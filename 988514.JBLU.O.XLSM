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345" windowWidth="18945" windowHeight="8460" tabRatio="788" firstSheet="1" activeTab="1"/>
  </bookViews>
  <sheets>
    <sheet name="__FDSCACHE__" sheetId="159" state="veryHidden" r:id="rId1"/>
    <sheet name="ImportantDisclosures" sheetId="177" r:id="rId2"/>
    <sheet name="Cover" sheetId="170" r:id="rId3"/>
    <sheet name="Valuation" sheetId="171" r:id="rId4"/>
    <sheet name="Model" sheetId="5" r:id="rId5"/>
    <sheet name="IndexInformation" sheetId="178" r:id="rId6"/>
    <sheet name="ModPubIndex" sheetId="179" r:id="rId7"/>
    <sheet name="MW-Cache" sheetId="143" state="veryHidden" r:id="rId8"/>
  </sheets>
  <externalReferences>
    <externalReference r:id="rId9"/>
    <externalReference r:id="rId10"/>
    <externalReference r:id="rId11"/>
  </externalReferences>
  <definedNames>
    <definedName name="__FDS_HYPERLINK_TOGGLE_STATE__" hidden="1">"ON"</definedName>
    <definedName name="__FDS_UNIQUE_RANGE_ID_GENERATOR_COUNTER" hidden="1">1</definedName>
    <definedName name="_7__123Graph_XLIQUIDS" hidden="1">[1]P!$R$29:$AK$29</definedName>
    <definedName name="_9__123Graph_XR_M_MARG" hidden="1">[1]P!$R$29:$AK$29</definedName>
    <definedName name="_bdm.AAC8DFECFBD648E0A364F75B29A5197A.edm" hidden="1">Model!$1:$1048576</definedName>
    <definedName name="_Order1" hidden="1">255</definedName>
    <definedName name="AdditionalInstructions">IndexInformation!$B$42</definedName>
    <definedName name="Address" localSheetId="1">ImportantDisclosures!$A$2:$A$2</definedName>
    <definedName name="ANA" localSheetId="6">ModPubIndex!$A$7</definedName>
    <definedName name="anscount" hidden="1">1</definedName>
    <definedName name="Authors" localSheetId="1">ImportantDisclosures!$A$7</definedName>
    <definedName name="Authors" localSheetId="5">IndexInformation!$B$18</definedName>
    <definedName name="basept">[2]Valuation!$BE$37</definedName>
    <definedName name="BRO" localSheetId="6">ModPubIndex!$A$1</definedName>
    <definedName name="CopyrightStamp">ImportantDisclosures!$A$27</definedName>
    <definedName name="COU" localSheetId="6">ModPubIndex!$A$5</definedName>
    <definedName name="CQEnd" localSheetId="5">IndexInformation!$B$31</definedName>
    <definedName name="Currency" localSheetId="5">IndexInformation!$B$24</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te" localSheetId="1">ImportantDisclosures!$A$8</definedName>
    <definedName name="Deleted" localSheetId="5">IndexInformation!$B$27</definedName>
    <definedName name="Description" localSheetId="5">IndexInformation!$B$7</definedName>
    <definedName name="Discipline" localSheetId="5">IndexInformation!$B$3</definedName>
    <definedName name="DISCIPLINE" localSheetId="6">ModPubIndex!$A$12</definedName>
    <definedName name="DisclosuresText">ImportantDisclosures!$A$22</definedName>
    <definedName name="Distribution" localSheetId="5">IndexInformation!$B$26</definedName>
    <definedName name="DistTable" localSheetId="1">ImportantDisclosures!#REF!</definedName>
    <definedName name="DistTablePreamble" localSheetId="1">ImportantDisclosures!#REF!</definedName>
    <definedName name="DOCDAT" localSheetId="6">ModPubIndex!$A$2</definedName>
    <definedName name="DOCTIME" localSheetId="6">ModPubIndex!$A$3</definedName>
    <definedName name="DocType" localSheetId="5">IndexInformation!$B$5</definedName>
    <definedName name="EMAIL_ALERT" localSheetId="6">ModPubIndex!$A$10</definedName>
    <definedName name="EmailAlert" localSheetId="5">IndexInformation!$B$28</definedName>
    <definedName name="FiveYearGrowthRate" localSheetId="5">IndexInformation!$B$16</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HL" localSheetId="6">ModPubIndex!$A$8</definedName>
    <definedName name="IND" localSheetId="6">ModPubIndex!$A$9</definedName>
    <definedName name="Industry" localSheetId="1">ImportantDisclosures!$A$12</definedName>
    <definedName name="IndustryId">IndexInformation!$B$40</definedName>
    <definedName name="IndustryRating" localSheetId="1">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39177.5491319444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5">IndexInformation!$B$8</definedName>
    <definedName name="LanguageCode">IndexInformation!$B$38</definedName>
    <definedName name="LastCell" localSheetId="1">ImportantDisclosures!$A$22</definedName>
    <definedName name="Linking_1">Valuation!$B$37:$H$52</definedName>
    <definedName name="Linking_2">Valuation!$L$6:$S$56</definedName>
    <definedName name="Linking_3">Valuation!$B$37:$I$52</definedName>
    <definedName name="Linking_4">Valuation!$L$6:$T$61</definedName>
    <definedName name="Linking_5">Valuation!$L$6:$T$56</definedName>
    <definedName name="Linking_6">Valuation!$B$37:$J$52</definedName>
    <definedName name="Linking_7">Valuation!$L$6:$V$56</definedName>
    <definedName name="MacroVersion" localSheetId="5">IndexInformation!$B$1</definedName>
    <definedName name="ModelPrice" localSheetId="1">ImportantDisclosures!$A$14</definedName>
    <definedName name="Multiplier" localSheetId="5">IndexInformation!$B$35</definedName>
    <definedName name="NextYearEPS" localSheetId="5">IndexInformation!$B$13</definedName>
    <definedName name="NextYearTotalRevenue" localSheetId="5">IndexInformation!$B$12</definedName>
    <definedName name="NextYearTotalRevenueActual" localSheetId="5">IndexInformation!$B$33</definedName>
    <definedName name="ObjectType">IndexInformation!$B$37</definedName>
    <definedName name="PANA" localSheetId="6">ModPubIndex!$A$11</definedName>
    <definedName name="PathName" localSheetId="5">IndexInformation!$B$25</definedName>
    <definedName name="_xlnm.Print_Area" localSheetId="4">Model!$AG$1:$BE$156</definedName>
    <definedName name="_xlnm.Print_Area" localSheetId="3">Valuation!$A$1:$R$67</definedName>
    <definedName name="_xlnm.Print_Area">#REF!</definedName>
    <definedName name="_xlnm.Print_Titles" localSheetId="4">Model!$A:$A,Model!$1:$2</definedName>
    <definedName name="_xlnm.Print_Titles">#REF!</definedName>
    <definedName name="PRODUCT" localSheetId="6">ModPubIndex!$A$6</definedName>
    <definedName name="ProjectName">{"Client Name or Project Name"}</definedName>
    <definedName name="PSYM" localSheetId="6">ModPubIndex!$A$4</definedName>
    <definedName name="PublishDate" localSheetId="5">IndexInformation!$B$2</definedName>
    <definedName name="Rating" localSheetId="5">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searchTopic" localSheetId="5">IndexInformation!$B$4</definedName>
    <definedName name="RIC" localSheetId="5">IndexInformation!$B$21</definedName>
    <definedName name="SECSettlement" localSheetId="1">ImportantDisclosures!#REF!</definedName>
    <definedName name="SEDOL" localSheetId="5">IndexInformation!$B$22</definedName>
    <definedName name="SedolTicker">2852760</definedName>
    <definedName name="SourceDefined" localSheetId="1">ImportantDisclosures!$A$19</definedName>
    <definedName name="Statement">[0]!Statement</definedName>
    <definedName name="StockRating" localSheetId="1">ImportantDisclosures!$A$11</definedName>
    <definedName name="SubjectCode" localSheetId="5">IndexInformation!$B$6</definedName>
    <definedName name="SubmitterUserId">IndexInformation!$B$39</definedName>
    <definedName name="SUPPRESSED" localSheetId="6">ModPubIndex!$A$13</definedName>
    <definedName name="TargetPrice" localSheetId="1">ImportantDisclosures!$A$15</definedName>
    <definedName name="TemplateRegion">IndexInformation!$B$36</definedName>
    <definedName name="Ticker" localSheetId="1">ImportantDisclosures!$A$10</definedName>
    <definedName name="TickerRegion">IndexInformation!$B$41</definedName>
    <definedName name="Tickers" localSheetId="5">IndexInformation!$B$19</definedName>
    <definedName name="Update_This">[3]!Update_This</definedName>
    <definedName name="UpdateReason" localSheetId="5">IndexInformation!$B$17</definedName>
    <definedName name="USRegDisclosures" localSheetId="1">ImportantDisclosures!#REF!</definedName>
    <definedName name="Version">"June 29, 2004"</definedName>
  </definedNames>
  <calcPr calcId="145621" calcMode="autoNoTable" calcOnSave="0"/>
</workbook>
</file>

<file path=xl/calcChain.xml><?xml version="1.0" encoding="utf-8"?>
<calcChain xmlns="http://schemas.openxmlformats.org/spreadsheetml/2006/main">
  <c r="DM6" i="5" l="1"/>
  <c r="BI369" i="5" l="1"/>
  <c r="BH369" i="5"/>
  <c r="BE368" i="5"/>
  <c r="AY368" i="5"/>
  <c r="BK360" i="5"/>
  <c r="AY360" i="5"/>
  <c r="BN358" i="5"/>
  <c r="BN360" i="5" s="1"/>
  <c r="BM358" i="5"/>
  <c r="BM360" i="5" s="1"/>
  <c r="BL358" i="5"/>
  <c r="BL360" i="5" s="1"/>
  <c r="BK358" i="5"/>
  <c r="BI358" i="5"/>
  <c r="BI360" i="5" s="1"/>
  <c r="BH358" i="5"/>
  <c r="BH360" i="5" s="1"/>
  <c r="BG358" i="5"/>
  <c r="BG360" i="5" s="1"/>
  <c r="BF358" i="5"/>
  <c r="BF360" i="5" s="1"/>
  <c r="BD358" i="5"/>
  <c r="BD360" i="5" s="1"/>
  <c r="BC358" i="5"/>
  <c r="BC360" i="5" s="1"/>
  <c r="BB358" i="5"/>
  <c r="BB360" i="5" s="1"/>
  <c r="BA358" i="5"/>
  <c r="BA360" i="5" s="1"/>
  <c r="AY358" i="5"/>
  <c r="AX358" i="5"/>
  <c r="AX360" i="5" s="1"/>
  <c r="AW358" i="5"/>
  <c r="AW360" i="5" s="1"/>
  <c r="AV358" i="5"/>
  <c r="AV360" i="5" s="1"/>
  <c r="AX353" i="5"/>
  <c r="AY353" i="5" s="1"/>
  <c r="AZ353" i="5" s="1"/>
  <c r="BA353" i="5" s="1"/>
  <c r="BB353" i="5" s="1"/>
  <c r="BC353" i="5" s="1"/>
  <c r="BD353" i="5" s="1"/>
  <c r="BE353" i="5" s="1"/>
  <c r="BF353" i="5" s="1"/>
  <c r="BG353" i="5" s="1"/>
  <c r="BH353" i="5" s="1"/>
  <c r="BI353" i="5" s="1"/>
  <c r="BJ353" i="5" s="1"/>
  <c r="AW353" i="5"/>
  <c r="AV353" i="5"/>
  <c r="BN352" i="5"/>
  <c r="BM352" i="5"/>
  <c r="BL352" i="5"/>
  <c r="BK352" i="5"/>
  <c r="BI352" i="5"/>
  <c r="BF352" i="5"/>
  <c r="BC352" i="5"/>
  <c r="BB352" i="5"/>
  <c r="BA352" i="5"/>
  <c r="AY352" i="5"/>
  <c r="AX352" i="5"/>
  <c r="AW352" i="5"/>
  <c r="AV352" i="5"/>
  <c r="BI348" i="5"/>
  <c r="BH348" i="5"/>
  <c r="BG348" i="5"/>
  <c r="BD348" i="5"/>
  <c r="BC348" i="5"/>
  <c r="BB348" i="5"/>
  <c r="AY348" i="5"/>
  <c r="AZ348" i="5" s="1"/>
  <c r="BE348" i="5" s="1"/>
  <c r="BJ348" i="5" s="1"/>
  <c r="AX348" i="5"/>
  <c r="AW348" i="5"/>
  <c r="BY307" i="5"/>
  <c r="CD307" i="5" s="1"/>
  <c r="CI307" i="5" s="1"/>
  <c r="CN307" i="5" s="1"/>
  <c r="CS307" i="5" s="1"/>
  <c r="CX307" i="5" s="1"/>
  <c r="DC307" i="5" s="1"/>
  <c r="BT307" i="5"/>
  <c r="BF308" i="5"/>
  <c r="BG308" i="5" s="1"/>
  <c r="BH308" i="5" s="1"/>
  <c r="BI308" i="5" s="1"/>
  <c r="BJ308" i="5" s="1"/>
  <c r="BE308" i="5"/>
  <c r="BB308" i="5"/>
  <c r="BC307" i="5"/>
  <c r="BD307" i="5" s="1"/>
  <c r="AY308" i="5"/>
  <c r="AZ308" i="5" s="1"/>
  <c r="AY307" i="5"/>
  <c r="AZ307" i="5" s="1"/>
  <c r="AX307" i="5"/>
  <c r="BO307" i="5"/>
  <c r="BK307" i="5"/>
  <c r="BL307" i="5" s="1"/>
  <c r="BM307" i="5" s="1"/>
  <c r="BN307" i="5" s="1"/>
  <c r="BJ307" i="5"/>
  <c r="BG307" i="5"/>
  <c r="BH307" i="5" s="1"/>
  <c r="BI307" i="5" s="1"/>
  <c r="BF307" i="5"/>
  <c r="BN306" i="5"/>
  <c r="BM306" i="5"/>
  <c r="BL306" i="5"/>
  <c r="BK306" i="5"/>
  <c r="BI306" i="5"/>
  <c r="BH306" i="5"/>
  <c r="BG306" i="5"/>
  <c r="AP306" i="5"/>
  <c r="AO306" i="5"/>
  <c r="AN306" i="5"/>
  <c r="AM306" i="5"/>
  <c r="AL306" i="5"/>
  <c r="AK306" i="5"/>
  <c r="DC300" i="5"/>
  <c r="DC299" i="5"/>
  <c r="CX300" i="5"/>
  <c r="CX299" i="5"/>
  <c r="AU300" i="5"/>
  <c r="AU299" i="5"/>
  <c r="AP300" i="5"/>
  <c r="AK300" i="5"/>
  <c r="AK299" i="5"/>
  <c r="AF300" i="5"/>
  <c r="AF299" i="5"/>
  <c r="Q300" i="5"/>
  <c r="Q299" i="5"/>
  <c r="L300" i="5"/>
  <c r="L299" i="5"/>
  <c r="G300" i="5"/>
  <c r="G299" i="5"/>
  <c r="AA299" i="5"/>
  <c r="V299" i="5"/>
  <c r="BG293" i="5"/>
  <c r="AW293" i="5"/>
  <c r="AO293" i="5"/>
  <c r="AG293" i="5"/>
  <c r="L291" i="5"/>
  <c r="G291" i="5"/>
  <c r="AM292" i="5"/>
  <c r="AM293" i="5" s="1"/>
  <c r="CL291" i="5"/>
  <c r="CL292" i="5" s="1"/>
  <c r="CL293" i="5" s="1"/>
  <c r="CK291" i="5"/>
  <c r="CJ291" i="5"/>
  <c r="CH291" i="5"/>
  <c r="CH292" i="5" s="1"/>
  <c r="CH293" i="5" s="1"/>
  <c r="CG291" i="5"/>
  <c r="CF291" i="5"/>
  <c r="CE291" i="5"/>
  <c r="CE292" i="5" s="1"/>
  <c r="CE293" i="5" s="1"/>
  <c r="CC291" i="5"/>
  <c r="CB291" i="5"/>
  <c r="CA291" i="5"/>
  <c r="CA292" i="5" s="1"/>
  <c r="CA293" i="5" s="1"/>
  <c r="BZ291" i="5"/>
  <c r="BZ292" i="5" s="1"/>
  <c r="BZ293" i="5" s="1"/>
  <c r="BX291" i="5"/>
  <c r="BW291" i="5"/>
  <c r="BW292" i="5" s="1"/>
  <c r="BW293" i="5" s="1"/>
  <c r="BV291" i="5"/>
  <c r="BV292" i="5" s="1"/>
  <c r="BV293" i="5" s="1"/>
  <c r="BU291" i="5"/>
  <c r="BS291" i="5"/>
  <c r="BS292" i="5" s="1"/>
  <c r="BS293" i="5" s="1"/>
  <c r="BR291" i="5"/>
  <c r="BR292" i="5" s="1"/>
  <c r="BR293" i="5" s="1"/>
  <c r="BQ291" i="5"/>
  <c r="BP291" i="5"/>
  <c r="BO291" i="5"/>
  <c r="BN291" i="5"/>
  <c r="BN292" i="5" s="1"/>
  <c r="BN293" i="5" s="1"/>
  <c r="BM291" i="5"/>
  <c r="BL291" i="5"/>
  <c r="BK291" i="5"/>
  <c r="BK292" i="5" s="1"/>
  <c r="BK293" i="5" s="1"/>
  <c r="BI291" i="5"/>
  <c r="BH291" i="5"/>
  <c r="BG291" i="5"/>
  <c r="BF291" i="5"/>
  <c r="BF292" i="5" s="1"/>
  <c r="BF293" i="5" s="1"/>
  <c r="BD291" i="5"/>
  <c r="BD292" i="5" s="1"/>
  <c r="BD293" i="5" s="1"/>
  <c r="BC291" i="5"/>
  <c r="BC292" i="5" s="1"/>
  <c r="BC293" i="5" s="1"/>
  <c r="BB291" i="5"/>
  <c r="BB292" i="5" s="1"/>
  <c r="BB293" i="5" s="1"/>
  <c r="BA291" i="5"/>
  <c r="BA292" i="5" s="1"/>
  <c r="BA293" i="5" s="1"/>
  <c r="AY291" i="5"/>
  <c r="AY292" i="5" s="1"/>
  <c r="AY293" i="5" s="1"/>
  <c r="AX291" i="5"/>
  <c r="AW291" i="5"/>
  <c r="AW292" i="5" s="1"/>
  <c r="AV291" i="5"/>
  <c r="AV292" i="5" s="1"/>
  <c r="AV293" i="5" s="1"/>
  <c r="AU291" i="5"/>
  <c r="AT291" i="5"/>
  <c r="AS291" i="5"/>
  <c r="AS292" i="5" s="1"/>
  <c r="AS293" i="5" s="1"/>
  <c r="AR291" i="5"/>
  <c r="AR292" i="5" s="1"/>
  <c r="AR293" i="5" s="1"/>
  <c r="AQ291" i="5"/>
  <c r="AQ292" i="5" s="1"/>
  <c r="AQ293" i="5" s="1"/>
  <c r="AP291" i="5"/>
  <c r="AO291" i="5"/>
  <c r="AO292" i="5" s="1"/>
  <c r="AN291" i="5"/>
  <c r="AN292" i="5" s="1"/>
  <c r="AN293" i="5" s="1"/>
  <c r="AM291" i="5"/>
  <c r="AL291" i="5"/>
  <c r="AL292" i="5" s="1"/>
  <c r="AL293" i="5" s="1"/>
  <c r="AK291" i="5"/>
  <c r="AJ291" i="5"/>
  <c r="AJ292" i="5" s="1"/>
  <c r="AJ293" i="5" s="1"/>
  <c r="AI291" i="5"/>
  <c r="AI292" i="5" s="1"/>
  <c r="AI293" i="5" s="1"/>
  <c r="AH291" i="5"/>
  <c r="AH292" i="5" s="1"/>
  <c r="AH293" i="5" s="1"/>
  <c r="AG291" i="5"/>
  <c r="AG292" i="5" s="1"/>
  <c r="AF291" i="5"/>
  <c r="AF292" i="5" s="1"/>
  <c r="CI290" i="5"/>
  <c r="CI289" i="5"/>
  <c r="CI288" i="5"/>
  <c r="CI287" i="5"/>
  <c r="CI286" i="5"/>
  <c r="CI291" i="5" s="1"/>
  <c r="CD290" i="5"/>
  <c r="CD289" i="5"/>
  <c r="CD288" i="5"/>
  <c r="CD287" i="5"/>
  <c r="CD286" i="5"/>
  <c r="CD291" i="5" s="1"/>
  <c r="BY290" i="5"/>
  <c r="BY289" i="5"/>
  <c r="BY288" i="5"/>
  <c r="BY287" i="5"/>
  <c r="BY286" i="5"/>
  <c r="BY291" i="5" s="1"/>
  <c r="BT290" i="5"/>
  <c r="BT289" i="5"/>
  <c r="BT288" i="5"/>
  <c r="BT287" i="5"/>
  <c r="BT286" i="5"/>
  <c r="BT291" i="5" s="1"/>
  <c r="BO290" i="5"/>
  <c r="BO289" i="5"/>
  <c r="BO288" i="5"/>
  <c r="BO287" i="5"/>
  <c r="BO286" i="5"/>
  <c r="BJ290" i="5"/>
  <c r="BJ289" i="5"/>
  <c r="BJ288" i="5"/>
  <c r="BJ287" i="5"/>
  <c r="BJ286" i="5"/>
  <c r="BJ291" i="5" s="1"/>
  <c r="BE290" i="5"/>
  <c r="BE289" i="5"/>
  <c r="BE288" i="5"/>
  <c r="BE287" i="5"/>
  <c r="BE286" i="5"/>
  <c r="AZ290" i="5"/>
  <c r="AZ289" i="5"/>
  <c r="AZ288" i="5"/>
  <c r="AZ287" i="5"/>
  <c r="AZ286" i="5"/>
  <c r="AZ291" i="5" s="1"/>
  <c r="AA289" i="5"/>
  <c r="AA291" i="5" s="1"/>
  <c r="AA292" i="5" s="1"/>
  <c r="V289" i="5"/>
  <c r="V291" i="5" s="1"/>
  <c r="V292" i="5" s="1"/>
  <c r="Q289" i="5"/>
  <c r="Q291" i="5" s="1"/>
  <c r="CQ289" i="5"/>
  <c r="CR289" i="5" s="1"/>
  <c r="CS289" i="5" s="1"/>
  <c r="CX289" i="5" s="1"/>
  <c r="DC289" i="5" s="1"/>
  <c r="CM289" i="5"/>
  <c r="CN289" i="5" s="1"/>
  <c r="CO289" i="5" s="1"/>
  <c r="CP289" i="5" s="1"/>
  <c r="CO287" i="5"/>
  <c r="CP287" i="5" s="1"/>
  <c r="CQ287" i="5" s="1"/>
  <c r="CR287" i="5" s="1"/>
  <c r="CS287" i="5" s="1"/>
  <c r="CX287" i="5" s="1"/>
  <c r="DC287" i="5" s="1"/>
  <c r="CN287" i="5"/>
  <c r="CM287" i="5"/>
  <c r="CN286" i="5"/>
  <c r="CM286" i="5"/>
  <c r="G286" i="5"/>
  <c r="BF284" i="5"/>
  <c r="BD284" i="5"/>
  <c r="BC284" i="5"/>
  <c r="BC281" i="5" s="1"/>
  <c r="BC283" i="5" s="1"/>
  <c r="BB284" i="5"/>
  <c r="BB281" i="5" s="1"/>
  <c r="BA284" i="5"/>
  <c r="AY284" i="5"/>
  <c r="AY281" i="5" s="1"/>
  <c r="AX284" i="5"/>
  <c r="AX281" i="5" s="1"/>
  <c r="AW284" i="5"/>
  <c r="AP281" i="5"/>
  <c r="AK281" i="5"/>
  <c r="AK284" i="5" s="1"/>
  <c r="AF284" i="5"/>
  <c r="AF283" i="5"/>
  <c r="AA284" i="5"/>
  <c r="AA283" i="5"/>
  <c r="V284" i="5"/>
  <c r="V283" i="5"/>
  <c r="Q281" i="5"/>
  <c r="L281" i="5"/>
  <c r="CL284" i="5"/>
  <c r="CK284" i="5"/>
  <c r="CK281" i="5" s="1"/>
  <c r="CK283" i="5" s="1"/>
  <c r="CJ284" i="5"/>
  <c r="CH284" i="5"/>
  <c r="CG284" i="5"/>
  <c r="CG281" i="5" s="1"/>
  <c r="CG283" i="5" s="1"/>
  <c r="CF284" i="5"/>
  <c r="CE284" i="5"/>
  <c r="CC284" i="5"/>
  <c r="CC281" i="5" s="1"/>
  <c r="CC283" i="5" s="1"/>
  <c r="CB284" i="5"/>
  <c r="CA284" i="5"/>
  <c r="BZ284" i="5"/>
  <c r="BX284" i="5"/>
  <c r="BW284" i="5"/>
  <c r="BV284" i="5"/>
  <c r="BU284" i="5"/>
  <c r="BU281" i="5" s="1"/>
  <c r="BU283" i="5" s="1"/>
  <c r="BS284" i="5"/>
  <c r="BR284" i="5"/>
  <c r="BQ284" i="5"/>
  <c r="BQ281" i="5" s="1"/>
  <c r="BQ283" i="5" s="1"/>
  <c r="BP284" i="5"/>
  <c r="BN284" i="5"/>
  <c r="BM284" i="5"/>
  <c r="BM281" i="5" s="1"/>
  <c r="BM283" i="5" s="1"/>
  <c r="BL284" i="5"/>
  <c r="BK284" i="5"/>
  <c r="BI284" i="5"/>
  <c r="BI281" i="5" s="1"/>
  <c r="BI283" i="5" s="1"/>
  <c r="BH284" i="5"/>
  <c r="CL283" i="5"/>
  <c r="BV283" i="5"/>
  <c r="BN283" i="5"/>
  <c r="CL281" i="5"/>
  <c r="CM281" i="5" s="1"/>
  <c r="CH281" i="5"/>
  <c r="CE281" i="5"/>
  <c r="CD281" i="5"/>
  <c r="CA281" i="5"/>
  <c r="CA283" i="5" s="1"/>
  <c r="BZ281" i="5"/>
  <c r="BW281" i="5"/>
  <c r="BV281" i="5"/>
  <c r="BS281" i="5"/>
  <c r="BS283" i="5" s="1"/>
  <c r="BR281" i="5"/>
  <c r="BN281" i="5"/>
  <c r="BO281" i="5" s="1"/>
  <c r="BK281" i="5"/>
  <c r="BK283" i="5" s="1"/>
  <c r="BJ281" i="5"/>
  <c r="BG283" i="5"/>
  <c r="BF283" i="5"/>
  <c r="BB283" i="5"/>
  <c r="AY283" i="5"/>
  <c r="AX283" i="5"/>
  <c r="AU283" i="5"/>
  <c r="AQ283" i="5"/>
  <c r="BG281" i="5"/>
  <c r="BF281" i="5"/>
  <c r="BD281" i="5"/>
  <c r="BD283" i="5" s="1"/>
  <c r="BA281" i="5"/>
  <c r="AZ281" i="5"/>
  <c r="AW281" i="5"/>
  <c r="AV281" i="5"/>
  <c r="AV283" i="5" s="1"/>
  <c r="AU281" i="5"/>
  <c r="AU284" i="5" s="1"/>
  <c r="AU292" i="5" s="1"/>
  <c r="AS281" i="5"/>
  <c r="AR281" i="5"/>
  <c r="AR283" i="5" s="1"/>
  <c r="AQ281" i="5"/>
  <c r="AM283" i="5"/>
  <c r="AO281" i="5"/>
  <c r="AO283" i="5" s="1"/>
  <c r="AN281" i="5"/>
  <c r="AN283" i="5" s="1"/>
  <c r="AM281" i="5"/>
  <c r="AL281" i="5"/>
  <c r="AL283" i="5" s="1"/>
  <c r="AH283" i="5"/>
  <c r="AJ281" i="5"/>
  <c r="AJ283" i="5" s="1"/>
  <c r="AI281" i="5"/>
  <c r="AI283" i="5" s="1"/>
  <c r="AH281" i="5"/>
  <c r="AG281" i="5"/>
  <c r="AG283" i="5" s="1"/>
  <c r="G281" i="5"/>
  <c r="CI280" i="5"/>
  <c r="CI279" i="5"/>
  <c r="CD280" i="5"/>
  <c r="CD283" i="5" s="1"/>
  <c r="CD279" i="5"/>
  <c r="BY280" i="5"/>
  <c r="BY279" i="5"/>
  <c r="BT280" i="5"/>
  <c r="BT279" i="5"/>
  <c r="BO280" i="5"/>
  <c r="BO279" i="5"/>
  <c r="BJ280" i="5"/>
  <c r="BJ279" i="5"/>
  <c r="BE280" i="5"/>
  <c r="BE279" i="5"/>
  <c r="AZ280" i="5"/>
  <c r="AZ279" i="5"/>
  <c r="BD279" i="5"/>
  <c r="DB278" i="5"/>
  <c r="DA278" i="5"/>
  <c r="CZ278" i="5"/>
  <c r="CY278" i="5"/>
  <c r="CW278" i="5"/>
  <c r="CV278" i="5"/>
  <c r="CU278" i="5"/>
  <c r="CT278" i="5"/>
  <c r="L278" i="5"/>
  <c r="G278" i="5"/>
  <c r="CR277" i="5"/>
  <c r="CM277" i="5"/>
  <c r="AA276" i="5"/>
  <c r="V276" i="5"/>
  <c r="Q276" i="5"/>
  <c r="CL276" i="5"/>
  <c r="CK276" i="5"/>
  <c r="CJ276" i="5"/>
  <c r="CH276" i="5"/>
  <c r="CI276" i="5" s="1"/>
  <c r="CG276" i="5"/>
  <c r="CF276" i="5"/>
  <c r="CE276" i="5"/>
  <c r="CD276" i="5"/>
  <c r="CC276" i="5"/>
  <c r="BZ276" i="5"/>
  <c r="BX276" i="5"/>
  <c r="BW276" i="5"/>
  <c r="BV276" i="5"/>
  <c r="BU276" i="5"/>
  <c r="BT276" i="5"/>
  <c r="BS276" i="5"/>
  <c r="BR276" i="5"/>
  <c r="BQ276" i="5"/>
  <c r="BP276" i="5"/>
  <c r="BN276" i="5"/>
  <c r="BM276" i="5"/>
  <c r="BL276" i="5"/>
  <c r="BK276" i="5"/>
  <c r="BJ276" i="5"/>
  <c r="BI276" i="5"/>
  <c r="BF276" i="5"/>
  <c r="BD276" i="5"/>
  <c r="BC276" i="5"/>
  <c r="BB276" i="5"/>
  <c r="BA276" i="5"/>
  <c r="AZ276" i="5"/>
  <c r="AY276" i="5"/>
  <c r="AX276" i="5"/>
  <c r="AW276" i="5"/>
  <c r="AV276" i="5"/>
  <c r="AU276" i="5"/>
  <c r="AT276" i="5"/>
  <c r="AS276" i="5"/>
  <c r="AR276" i="5"/>
  <c r="AQ276" i="5"/>
  <c r="AP276" i="5"/>
  <c r="AO276" i="5"/>
  <c r="AN276" i="5"/>
  <c r="AM276" i="5"/>
  <c r="AL276" i="5"/>
  <c r="AK276" i="5"/>
  <c r="AJ276" i="5"/>
  <c r="AI276" i="5"/>
  <c r="AH276" i="5"/>
  <c r="AG276" i="5"/>
  <c r="AF276" i="5"/>
  <c r="CR275" i="5"/>
  <c r="CM275" i="5"/>
  <c r="CI274" i="5"/>
  <c r="CI273" i="5"/>
  <c r="CI272" i="5"/>
  <c r="CD274" i="5"/>
  <c r="CD273" i="5"/>
  <c r="CD272" i="5"/>
  <c r="BY274" i="5"/>
  <c r="BY273" i="5"/>
  <c r="BY272" i="5"/>
  <c r="BT274" i="5"/>
  <c r="BT273" i="5"/>
  <c r="BT272" i="5"/>
  <c r="BO274" i="5"/>
  <c r="BO273" i="5"/>
  <c r="BO272" i="5"/>
  <c r="BJ274" i="5"/>
  <c r="BJ273" i="5"/>
  <c r="BJ272" i="5"/>
  <c r="BE274" i="5"/>
  <c r="BE273" i="5"/>
  <c r="BE272" i="5"/>
  <c r="AZ274" i="5"/>
  <c r="AZ273" i="5"/>
  <c r="AZ272" i="5"/>
  <c r="CN273" i="5"/>
  <c r="CO273" i="5" s="1"/>
  <c r="CP273" i="5" s="1"/>
  <c r="CQ273" i="5" s="1"/>
  <c r="CR273" i="5" s="1"/>
  <c r="CS273" i="5" s="1"/>
  <c r="CX273" i="5" s="1"/>
  <c r="DC273" i="5" s="1"/>
  <c r="CM273" i="5"/>
  <c r="CM272" i="5"/>
  <c r="CN272" i="5" s="1"/>
  <c r="CB272" i="5"/>
  <c r="CB276" i="5" s="1"/>
  <c r="CA272" i="5"/>
  <c r="CA276" i="5" s="1"/>
  <c r="BX272" i="5"/>
  <c r="BH272" i="5"/>
  <c r="BG272" i="5"/>
  <c r="CI266" i="5"/>
  <c r="CI258" i="5"/>
  <c r="CI255" i="5"/>
  <c r="CI306" i="5" s="1"/>
  <c r="CI252" i="5"/>
  <c r="CD266" i="5"/>
  <c r="CD258" i="5"/>
  <c r="CD255" i="5"/>
  <c r="CD306" i="5" s="1"/>
  <c r="CD252" i="5"/>
  <c r="BY266" i="5"/>
  <c r="BY258" i="5"/>
  <c r="BY255" i="5"/>
  <c r="BY306" i="5" s="1"/>
  <c r="BY252" i="5"/>
  <c r="BT266" i="5"/>
  <c r="BT258" i="5"/>
  <c r="BT255" i="5"/>
  <c r="BT306" i="5" s="1"/>
  <c r="BT252" i="5"/>
  <c r="BO266" i="5"/>
  <c r="BO258" i="5"/>
  <c r="BO255" i="5"/>
  <c r="BO306" i="5" s="1"/>
  <c r="BO252" i="5"/>
  <c r="BJ266" i="5"/>
  <c r="BJ258" i="5"/>
  <c r="BJ255" i="5"/>
  <c r="BJ306" i="5" s="1"/>
  <c r="BJ252" i="5"/>
  <c r="BE266" i="5"/>
  <c r="BE258" i="5"/>
  <c r="BE252" i="5"/>
  <c r="AZ266" i="5"/>
  <c r="AZ264" i="5"/>
  <c r="AZ258" i="5"/>
  <c r="AZ252" i="5"/>
  <c r="AP267" i="5"/>
  <c r="AK270" i="5"/>
  <c r="AF270" i="5"/>
  <c r="AF293" i="5" s="1"/>
  <c r="AF267" i="5"/>
  <c r="AF269" i="5" s="1"/>
  <c r="AA270" i="5"/>
  <c r="AA293" i="5" s="1"/>
  <c r="BU267" i="5"/>
  <c r="BA267" i="5"/>
  <c r="AT267" i="5"/>
  <c r="AQ267" i="5"/>
  <c r="CS266" i="5"/>
  <c r="CN266" i="5"/>
  <c r="AY264" i="5"/>
  <c r="AY265" i="5" s="1"/>
  <c r="AY263" i="5"/>
  <c r="AZ263" i="5" s="1"/>
  <c r="AZ265" i="5" s="1"/>
  <c r="AY261" i="5"/>
  <c r="AY267" i="5" s="1"/>
  <c r="AV265" i="5"/>
  <c r="AU265" i="5"/>
  <c r="AU269" i="5" s="1"/>
  <c r="AS265" i="5"/>
  <c r="AR265" i="5"/>
  <c r="AQ265" i="5"/>
  <c r="AP265" i="5"/>
  <c r="AP270" i="5" s="1"/>
  <c r="AO265" i="5"/>
  <c r="AN265" i="5"/>
  <c r="AM265" i="5"/>
  <c r="AL265" i="5"/>
  <c r="AL267" i="5" s="1"/>
  <c r="AK265" i="5"/>
  <c r="AJ265" i="5"/>
  <c r="AI265" i="5"/>
  <c r="AH265" i="5"/>
  <c r="AG265" i="5"/>
  <c r="AF265" i="5"/>
  <c r="AA265" i="5"/>
  <c r="AA269" i="5" s="1"/>
  <c r="V265" i="5"/>
  <c r="V270" i="5" s="1"/>
  <c r="V293" i="5" s="1"/>
  <c r="Q265" i="5"/>
  <c r="Q270" i="5" s="1"/>
  <c r="L265" i="5"/>
  <c r="L270" i="5" s="1"/>
  <c r="G264" i="5"/>
  <c r="G265" i="5" s="1"/>
  <c r="AU264" i="5"/>
  <c r="AT264" i="5" s="1"/>
  <c r="AT265" i="5" s="1"/>
  <c r="AP264" i="5"/>
  <c r="AP263" i="5"/>
  <c r="AP261" i="5"/>
  <c r="AU263" i="5"/>
  <c r="AU261" i="5"/>
  <c r="AK263" i="5"/>
  <c r="AK261" i="5"/>
  <c r="AV261" i="5"/>
  <c r="DB262" i="5"/>
  <c r="DA262" i="5"/>
  <c r="CZ262" i="5"/>
  <c r="CY262" i="5"/>
  <c r="DB261" i="5"/>
  <c r="DA261" i="5"/>
  <c r="CZ261" i="5"/>
  <c r="CY261" i="5"/>
  <c r="CW262" i="5"/>
  <c r="CV262" i="5"/>
  <c r="CU262" i="5"/>
  <c r="CT262" i="5"/>
  <c r="CW261" i="5"/>
  <c r="CV261" i="5"/>
  <c r="CU261" i="5"/>
  <c r="CT261" i="5"/>
  <c r="CL264" i="5"/>
  <c r="CK264" i="5"/>
  <c r="CJ264" i="5"/>
  <c r="CL263" i="5"/>
  <c r="CL265" i="5" s="1"/>
  <c r="CK263" i="5"/>
  <c r="CK265" i="5" s="1"/>
  <c r="CJ263" i="5"/>
  <c r="CJ265" i="5" s="1"/>
  <c r="CJ267" i="5" s="1"/>
  <c r="CL261" i="5"/>
  <c r="CK261" i="5"/>
  <c r="CJ261" i="5"/>
  <c r="CH264" i="5"/>
  <c r="CI264" i="5" s="1"/>
  <c r="CG264" i="5"/>
  <c r="CF264" i="5"/>
  <c r="CE264" i="5"/>
  <c r="CH263" i="5"/>
  <c r="CG263" i="5"/>
  <c r="CG265" i="5" s="1"/>
  <c r="CF263" i="5"/>
  <c r="CF265" i="5" s="1"/>
  <c r="CE263" i="5"/>
  <c r="CE265" i="5" s="1"/>
  <c r="CE267" i="5" s="1"/>
  <c r="CE269" i="5" s="1"/>
  <c r="CH261" i="5"/>
  <c r="CG261" i="5"/>
  <c r="CF261" i="5"/>
  <c r="CE261" i="5"/>
  <c r="CC264" i="5"/>
  <c r="CD264" i="5" s="1"/>
  <c r="CB264" i="5"/>
  <c r="CA264" i="5"/>
  <c r="BZ264" i="5"/>
  <c r="CC263" i="5"/>
  <c r="CB263" i="5"/>
  <c r="CB265" i="5" s="1"/>
  <c r="CA263" i="5"/>
  <c r="CA265" i="5" s="1"/>
  <c r="BZ263" i="5"/>
  <c r="BZ265" i="5" s="1"/>
  <c r="BZ267" i="5" s="1"/>
  <c r="BZ269" i="5" s="1"/>
  <c r="CC261" i="5"/>
  <c r="CB261" i="5"/>
  <c r="CA261" i="5"/>
  <c r="BZ261" i="5"/>
  <c r="BX264" i="5"/>
  <c r="BY264" i="5" s="1"/>
  <c r="BW264" i="5"/>
  <c r="BV264" i="5"/>
  <c r="BU264" i="5"/>
  <c r="BX263" i="5"/>
  <c r="BW263" i="5"/>
  <c r="BW265" i="5" s="1"/>
  <c r="BV263" i="5"/>
  <c r="BV265" i="5" s="1"/>
  <c r="BU263" i="5"/>
  <c r="BU265" i="5" s="1"/>
  <c r="BX261" i="5"/>
  <c r="BW261" i="5"/>
  <c r="BV261" i="5"/>
  <c r="BU261" i="5"/>
  <c r="BS264" i="5"/>
  <c r="BT264" i="5" s="1"/>
  <c r="BR264" i="5"/>
  <c r="BQ264" i="5"/>
  <c r="BP264" i="5"/>
  <c r="BS263" i="5"/>
  <c r="BR263" i="5"/>
  <c r="BR265" i="5" s="1"/>
  <c r="BQ263" i="5"/>
  <c r="BQ265" i="5" s="1"/>
  <c r="BP263" i="5"/>
  <c r="BP265" i="5" s="1"/>
  <c r="BP267" i="5" s="1"/>
  <c r="BS261" i="5"/>
  <c r="BR261" i="5"/>
  <c r="BQ261" i="5"/>
  <c r="BP261" i="5"/>
  <c r="BN264" i="5"/>
  <c r="BO264" i="5" s="1"/>
  <c r="BM264" i="5"/>
  <c r="BL264" i="5"/>
  <c r="BK264" i="5"/>
  <c r="BN263" i="5"/>
  <c r="BM263" i="5"/>
  <c r="BM265" i="5" s="1"/>
  <c r="BL263" i="5"/>
  <c r="BL265" i="5" s="1"/>
  <c r="BK263" i="5"/>
  <c r="BK265" i="5" s="1"/>
  <c r="BK267" i="5" s="1"/>
  <c r="BK269" i="5" s="1"/>
  <c r="BN261" i="5"/>
  <c r="BM261" i="5"/>
  <c r="BM267" i="5" s="1"/>
  <c r="BL261" i="5"/>
  <c r="BK261" i="5"/>
  <c r="BI264" i="5"/>
  <c r="BJ264" i="5" s="1"/>
  <c r="BH264" i="5"/>
  <c r="BG264" i="5"/>
  <c r="BF264" i="5"/>
  <c r="BI263" i="5"/>
  <c r="BH263" i="5"/>
  <c r="BH265" i="5" s="1"/>
  <c r="BG263" i="5"/>
  <c r="BG265" i="5" s="1"/>
  <c r="BF263" i="5"/>
  <c r="BF265" i="5" s="1"/>
  <c r="BF267" i="5" s="1"/>
  <c r="BF269" i="5" s="1"/>
  <c r="BI261" i="5"/>
  <c r="BH261" i="5"/>
  <c r="BH267" i="5" s="1"/>
  <c r="BG261" i="5"/>
  <c r="BF261" i="5"/>
  <c r="BD264" i="5"/>
  <c r="BE264" i="5" s="1"/>
  <c r="BC264" i="5"/>
  <c r="BB264" i="5"/>
  <c r="BA264" i="5"/>
  <c r="BD263" i="5"/>
  <c r="BC263" i="5"/>
  <c r="BC265" i="5" s="1"/>
  <c r="BB263" i="5"/>
  <c r="BB265" i="5" s="1"/>
  <c r="BA263" i="5"/>
  <c r="BA265" i="5" s="1"/>
  <c r="BD261" i="5"/>
  <c r="BC261" i="5"/>
  <c r="BC267" i="5" s="1"/>
  <c r="BB261" i="5"/>
  <c r="BA261" i="5"/>
  <c r="AX264" i="5"/>
  <c r="AX263" i="5"/>
  <c r="AW263" i="5"/>
  <c r="AW264" i="5" s="1"/>
  <c r="AX261" i="5"/>
  <c r="AX267" i="5" s="1"/>
  <c r="AX269" i="5" s="1"/>
  <c r="AW261" i="5"/>
  <c r="AW267" i="5" s="1"/>
  <c r="AT261" i="5"/>
  <c r="AS261" i="5"/>
  <c r="AS267" i="5" s="1"/>
  <c r="AR261" i="5"/>
  <c r="AR267" i="5" s="1"/>
  <c r="AQ261" i="5"/>
  <c r="AO261" i="5"/>
  <c r="AO267" i="5" s="1"/>
  <c r="AN261" i="5"/>
  <c r="AN267" i="5" s="1"/>
  <c r="AM261" i="5"/>
  <c r="AM267" i="5" s="1"/>
  <c r="AL261" i="5"/>
  <c r="AJ261" i="5"/>
  <c r="AJ267" i="5" s="1"/>
  <c r="AI261" i="5"/>
  <c r="AI267" i="5" s="1"/>
  <c r="AH261" i="5"/>
  <c r="AG261" i="5"/>
  <c r="AF261" i="5"/>
  <c r="CM258" i="5"/>
  <c r="CN258" i="5" s="1"/>
  <c r="CO258" i="5" s="1"/>
  <c r="CP258" i="5" s="1"/>
  <c r="CQ258" i="5" s="1"/>
  <c r="CR258" i="5" s="1"/>
  <c r="CS258" i="5" s="1"/>
  <c r="CX258" i="5" s="1"/>
  <c r="DC258" i="5" s="1"/>
  <c r="BF255" i="5"/>
  <c r="BF252" i="5"/>
  <c r="Q252" i="5"/>
  <c r="AY255" i="5"/>
  <c r="AY306" i="5" s="1"/>
  <c r="AX255" i="5"/>
  <c r="AX306" i="5" s="1"/>
  <c r="AW255" i="5"/>
  <c r="AW306" i="5" s="1"/>
  <c r="AV255" i="5"/>
  <c r="AU255" i="5"/>
  <c r="AU306" i="5" s="1"/>
  <c r="AT255" i="5"/>
  <c r="AT306" i="5" s="1"/>
  <c r="AS255" i="5"/>
  <c r="AS306" i="5" s="1"/>
  <c r="AR255" i="5"/>
  <c r="AQ255" i="5"/>
  <c r="AQ306" i="5" s="1"/>
  <c r="CE252" i="5"/>
  <c r="AU252" i="5"/>
  <c r="CC252" i="5"/>
  <c r="CB252" i="5"/>
  <c r="CA252" i="5"/>
  <c r="BZ252" i="5"/>
  <c r="BX252" i="5"/>
  <c r="BW252" i="5"/>
  <c r="BV252" i="5"/>
  <c r="BU252" i="5"/>
  <c r="BS252" i="5"/>
  <c r="BR252" i="5"/>
  <c r="BQ252" i="5"/>
  <c r="BP252" i="5"/>
  <c r="BN252" i="5"/>
  <c r="BM252" i="5"/>
  <c r="BI252" i="5"/>
  <c r="BH252" i="5"/>
  <c r="BG252" i="5"/>
  <c r="BD255" i="5"/>
  <c r="BD306" i="5" s="1"/>
  <c r="BC255" i="5"/>
  <c r="BB255" i="5"/>
  <c r="BB306" i="5" s="1"/>
  <c r="BA255" i="5"/>
  <c r="BA306" i="5" s="1"/>
  <c r="BD252" i="5"/>
  <c r="BC252" i="5"/>
  <c r="BB252" i="5"/>
  <c r="BA252" i="5"/>
  <c r="AY252" i="5"/>
  <c r="AX252" i="5"/>
  <c r="G247" i="5"/>
  <c r="CI246" i="5"/>
  <c r="CD246" i="5"/>
  <c r="BY246" i="5"/>
  <c r="CJ245" i="5"/>
  <c r="CE245" i="5"/>
  <c r="BZ245" i="5"/>
  <c r="BU245" i="5"/>
  <c r="BP245" i="5"/>
  <c r="BK245" i="5"/>
  <c r="BI245" i="5"/>
  <c r="BF245" i="5"/>
  <c r="BA245" i="5"/>
  <c r="AV245" i="5"/>
  <c r="AT245" i="5"/>
  <c r="AS245" i="5"/>
  <c r="AR245" i="5"/>
  <c r="AQ245" i="5"/>
  <c r="AO245" i="5"/>
  <c r="AN245" i="5"/>
  <c r="AM245" i="5"/>
  <c r="AL245" i="5"/>
  <c r="AJ245" i="5"/>
  <c r="AI245" i="5"/>
  <c r="AH245" i="5"/>
  <c r="AG245" i="5"/>
  <c r="V243" i="5"/>
  <c r="V242" i="5"/>
  <c r="Q243" i="5"/>
  <c r="Q242" i="5"/>
  <c r="L243" i="5"/>
  <c r="L242" i="5"/>
  <c r="G243" i="5"/>
  <c r="G244" i="5" s="1"/>
  <c r="G242" i="5"/>
  <c r="CL244" i="5"/>
  <c r="CK244" i="5"/>
  <c r="BR244" i="5"/>
  <c r="BQ244" i="5"/>
  <c r="BM244" i="5"/>
  <c r="BL244" i="5"/>
  <c r="BJ242" i="5"/>
  <c r="BH244" i="5"/>
  <c r="BG244" i="5"/>
  <c r="BC244" i="5"/>
  <c r="BB244" i="5"/>
  <c r="AY244" i="5"/>
  <c r="AX244" i="5"/>
  <c r="AW244" i="5"/>
  <c r="CS243" i="5"/>
  <c r="AM243" i="5"/>
  <c r="CL242" i="5"/>
  <c r="CK242" i="5"/>
  <c r="CF244" i="5"/>
  <c r="CF242" i="5"/>
  <c r="CB244" i="5"/>
  <c r="CA244" i="5"/>
  <c r="CA242" i="5"/>
  <c r="BV244" i="5"/>
  <c r="BU242" i="5"/>
  <c r="BQ242" i="5"/>
  <c r="BR242" i="5" s="1"/>
  <c r="BS242" i="5" s="1"/>
  <c r="BP242" i="5"/>
  <c r="BT242" i="5" s="1"/>
  <c r="BK242" i="5"/>
  <c r="BF242" i="5"/>
  <c r="BB242" i="5"/>
  <c r="BA242" i="5"/>
  <c r="AX242" i="5"/>
  <c r="AW242" i="5"/>
  <c r="AU242" i="5"/>
  <c r="AP242" i="5"/>
  <c r="AP244" i="5" s="1"/>
  <c r="AP245" i="5" s="1"/>
  <c r="AK242" i="5"/>
  <c r="AK244" i="5" s="1"/>
  <c r="AK245" i="5" s="1"/>
  <c r="AF242" i="5"/>
  <c r="AA242" i="5"/>
  <c r="DC240" i="5"/>
  <c r="CX240" i="5"/>
  <c r="CR240" i="5"/>
  <c r="CQ240" i="5"/>
  <c r="CP240" i="5"/>
  <c r="CO240" i="5"/>
  <c r="CN240" i="5"/>
  <c r="CJ238" i="5"/>
  <c r="CJ243" i="5" s="1"/>
  <c r="CE238" i="5"/>
  <c r="CE243" i="5" s="1"/>
  <c r="BZ238" i="5"/>
  <c r="BZ243" i="5" s="1"/>
  <c r="BU238" i="5"/>
  <c r="BP238" i="5"/>
  <c r="BP243" i="5" s="1"/>
  <c r="BK238" i="5"/>
  <c r="BI238" i="5"/>
  <c r="BG238" i="5"/>
  <c r="BF238" i="5"/>
  <c r="BA238" i="5"/>
  <c r="AW238" i="5"/>
  <c r="AV238" i="5"/>
  <c r="AV243" i="5" s="1"/>
  <c r="AU238" i="5"/>
  <c r="AT238" i="5"/>
  <c r="AT243" i="5" s="1"/>
  <c r="AS238" i="5"/>
  <c r="AS243" i="5" s="1"/>
  <c r="AR238" i="5"/>
  <c r="AR243" i="5" s="1"/>
  <c r="AQ238" i="5"/>
  <c r="AQ243" i="5" s="1"/>
  <c r="AP238" i="5"/>
  <c r="AO238" i="5"/>
  <c r="AO243" i="5" s="1"/>
  <c r="AN238" i="5"/>
  <c r="AN243" i="5" s="1"/>
  <c r="AM238" i="5"/>
  <c r="AL238" i="5"/>
  <c r="AL243" i="5" s="1"/>
  <c r="AK238" i="5"/>
  <c r="AJ238" i="5"/>
  <c r="AJ243" i="5" s="1"/>
  <c r="AI238" i="5"/>
  <c r="AI243" i="5" s="1"/>
  <c r="AH238" i="5"/>
  <c r="AH243" i="5" s="1"/>
  <c r="AG238" i="5"/>
  <c r="AG243" i="5" s="1"/>
  <c r="AF238" i="5"/>
  <c r="AA238" i="5"/>
  <c r="V238" i="5"/>
  <c r="Q238" i="5"/>
  <c r="L238" i="5"/>
  <c r="L244" i="5" s="1"/>
  <c r="G238" i="5"/>
  <c r="G237" i="5"/>
  <c r="B238" i="5"/>
  <c r="B244" i="5" s="1"/>
  <c r="CS237" i="5"/>
  <c r="CS299" i="5" s="1"/>
  <c r="CS235" i="5"/>
  <c r="CS300" i="5" s="1"/>
  <c r="CN235" i="5"/>
  <c r="CN300" i="5" s="1"/>
  <c r="CK237" i="5"/>
  <c r="CL237" i="5" s="1"/>
  <c r="BV237" i="5"/>
  <c r="BQ237" i="5"/>
  <c r="BL237" i="5"/>
  <c r="BJ236" i="5"/>
  <c r="BJ235" i="5"/>
  <c r="BJ300" i="5" s="1"/>
  <c r="BH237" i="5"/>
  <c r="BH238" i="5" s="1"/>
  <c r="BG237" i="5"/>
  <c r="BJ237" i="5" s="1"/>
  <c r="BJ299" i="5" s="1"/>
  <c r="BC237" i="5"/>
  <c r="BB237" i="5"/>
  <c r="BB238" i="5" s="1"/>
  <c r="AX237" i="5"/>
  <c r="CL236" i="5"/>
  <c r="CL238" i="5" s="1"/>
  <c r="CK236" i="5"/>
  <c r="CG237" i="5"/>
  <c r="CF237" i="5"/>
  <c r="CG236" i="5"/>
  <c r="CF236" i="5"/>
  <c r="CF238" i="5" s="1"/>
  <c r="CF243" i="5" s="1"/>
  <c r="CB237" i="5"/>
  <c r="CA237" i="5"/>
  <c r="CB236" i="5"/>
  <c r="CA236" i="5"/>
  <c r="CA238" i="5" s="1"/>
  <c r="CA243" i="5" s="1"/>
  <c r="BY236" i="5"/>
  <c r="BY235" i="5"/>
  <c r="BY300" i="5" s="1"/>
  <c r="BT236" i="5"/>
  <c r="BT235" i="5"/>
  <c r="BT300" i="5" s="1"/>
  <c r="BO236" i="5"/>
  <c r="BO235" i="5"/>
  <c r="BO300" i="5" s="1"/>
  <c r="BE236" i="5"/>
  <c r="BE235" i="5"/>
  <c r="BE300" i="5" s="1"/>
  <c r="AZ236" i="5"/>
  <c r="AZ235" i="5"/>
  <c r="AZ300" i="5" s="1"/>
  <c r="CI235" i="5"/>
  <c r="CD235" i="5"/>
  <c r="CD300" i="5" s="1"/>
  <c r="CG233" i="5"/>
  <c r="CF233" i="5"/>
  <c r="CB233" i="5"/>
  <c r="CA233" i="5"/>
  <c r="CA232" i="5" s="1"/>
  <c r="BW233" i="5"/>
  <c r="BV233" i="5"/>
  <c r="BX233" i="5" s="1"/>
  <c r="BR233" i="5"/>
  <c r="BS233" i="5" s="1"/>
  <c r="BQ233" i="5"/>
  <c r="BM233" i="5"/>
  <c r="BL233" i="5"/>
  <c r="BJ231" i="5"/>
  <c r="BH233" i="5"/>
  <c r="BG233" i="5"/>
  <c r="BG245" i="5" s="1"/>
  <c r="BC233" i="5"/>
  <c r="BB233" i="5"/>
  <c r="AX233" i="5"/>
  <c r="AW233" i="5"/>
  <c r="AF232" i="5"/>
  <c r="AA233" i="5"/>
  <c r="AA232" i="5"/>
  <c r="V232" i="5"/>
  <c r="Q232" i="5"/>
  <c r="L232" i="5"/>
  <c r="G233" i="5"/>
  <c r="G232" i="5"/>
  <c r="B232" i="5"/>
  <c r="CK233" i="5"/>
  <c r="CJ232" i="5"/>
  <c r="CE232" i="5"/>
  <c r="BZ232" i="5"/>
  <c r="BA232" i="5"/>
  <c r="AT232" i="5"/>
  <c r="AS232" i="5"/>
  <c r="AR232" i="5"/>
  <c r="AQ232" i="5"/>
  <c r="AO232" i="5"/>
  <c r="AN232" i="5"/>
  <c r="AM232" i="5"/>
  <c r="AL232" i="5"/>
  <c r="AJ232" i="5"/>
  <c r="AI232" i="5"/>
  <c r="AH232" i="5"/>
  <c r="AG232" i="5"/>
  <c r="CS231" i="5"/>
  <c r="CS226" i="5"/>
  <c r="CS227" i="5" s="1"/>
  <c r="CS225" i="5"/>
  <c r="CN231" i="5"/>
  <c r="CN226" i="5"/>
  <c r="CN239" i="5" s="1"/>
  <c r="CN242" i="5" s="1"/>
  <c r="CM242" i="5" s="1"/>
  <c r="CI231" i="5"/>
  <c r="CD231" i="5"/>
  <c r="BY231" i="5"/>
  <c r="BT231" i="5"/>
  <c r="BO231" i="5"/>
  <c r="BE231" i="5"/>
  <c r="BC231" i="5"/>
  <c r="BD231" i="5" s="1"/>
  <c r="BB231" i="5"/>
  <c r="AX231" i="5"/>
  <c r="AY231" i="5" s="1"/>
  <c r="AZ231" i="5" s="1"/>
  <c r="AW231" i="5"/>
  <c r="DC226" i="5"/>
  <c r="DC227" i="5" s="1"/>
  <c r="DC225" i="5"/>
  <c r="CX226" i="5"/>
  <c r="CX227" i="5" s="1"/>
  <c r="CX225" i="5"/>
  <c r="AA230" i="5"/>
  <c r="V229" i="5"/>
  <c r="CK230" i="5"/>
  <c r="CJ230" i="5"/>
  <c r="CJ229" i="5"/>
  <c r="CF230" i="5"/>
  <c r="CE230" i="5"/>
  <c r="CE229" i="5"/>
  <c r="CA230" i="5"/>
  <c r="BZ230" i="5"/>
  <c r="CA229" i="5"/>
  <c r="BZ229" i="5"/>
  <c r="BG230" i="5"/>
  <c r="AU230" i="5"/>
  <c r="AT230" i="5"/>
  <c r="AS230" i="5"/>
  <c r="AR230" i="5"/>
  <c r="AQ230" i="5"/>
  <c r="AO230" i="5"/>
  <c r="AN230" i="5"/>
  <c r="AM230" i="5"/>
  <c r="AL230" i="5"/>
  <c r="AJ230" i="5"/>
  <c r="AI230" i="5"/>
  <c r="AH230" i="5"/>
  <c r="AG230" i="5"/>
  <c r="AT229" i="5"/>
  <c r="AS229" i="5"/>
  <c r="AR229" i="5"/>
  <c r="AQ229" i="5"/>
  <c r="AO229" i="5"/>
  <c r="AN229" i="5"/>
  <c r="AM229" i="5"/>
  <c r="AL229" i="5"/>
  <c r="AK229" i="5"/>
  <c r="AJ229" i="5"/>
  <c r="AI229" i="5"/>
  <c r="AH229" i="5"/>
  <c r="AG229" i="5"/>
  <c r="DO227" i="5"/>
  <c r="DN227" i="5"/>
  <c r="DM227" i="5"/>
  <c r="DL227" i="5"/>
  <c r="CM225" i="5" s="1"/>
  <c r="CR226" i="5"/>
  <c r="CQ226" i="5"/>
  <c r="CQ227" i="5" s="1"/>
  <c r="CP226" i="5"/>
  <c r="CP227" i="5" s="1"/>
  <c r="CO226" i="5"/>
  <c r="CO227" i="5" s="1"/>
  <c r="CQ225" i="5"/>
  <c r="CP225" i="5"/>
  <c r="CO225" i="5"/>
  <c r="CR225" i="5" s="1"/>
  <c r="CL225" i="5"/>
  <c r="CK225" i="5"/>
  <c r="CG225" i="5"/>
  <c r="CH225" i="5" s="1"/>
  <c r="CF225" i="5"/>
  <c r="CF232" i="5" s="1"/>
  <c r="CD225" i="5"/>
  <c r="CB225" i="5"/>
  <c r="CC225" i="5" s="1"/>
  <c r="CA225" i="5"/>
  <c r="BU225" i="5"/>
  <c r="BQ225" i="5"/>
  <c r="BQ229" i="5" s="1"/>
  <c r="BP225" i="5"/>
  <c r="BP230" i="5" s="1"/>
  <c r="BK225" i="5"/>
  <c r="BK230" i="5" s="1"/>
  <c r="BJ225" i="5"/>
  <c r="BG225" i="5"/>
  <c r="BH225" i="5" s="1"/>
  <c r="BF225" i="5"/>
  <c r="BF230" i="5" s="1"/>
  <c r="BA225" i="5"/>
  <c r="AW225" i="5"/>
  <c r="AV225" i="5"/>
  <c r="AV232" i="5" s="1"/>
  <c r="AU225" i="5"/>
  <c r="AU232" i="5" s="1"/>
  <c r="AP225" i="5"/>
  <c r="AP230" i="5" s="1"/>
  <c r="AK225" i="5"/>
  <c r="AF225" i="5"/>
  <c r="AF229" i="5" s="1"/>
  <c r="AA225" i="5"/>
  <c r="AA229" i="5" s="1"/>
  <c r="V225" i="5"/>
  <c r="Q225" i="5"/>
  <c r="L225" i="5"/>
  <c r="L230" i="5" s="1"/>
  <c r="G225" i="5"/>
  <c r="B225" i="5"/>
  <c r="B233" i="5" s="1"/>
  <c r="CG223" i="5"/>
  <c r="CH223" i="5" s="1"/>
  <c r="CF223" i="5"/>
  <c r="CB223" i="5"/>
  <c r="CC223" i="5" s="1"/>
  <c r="CC230" i="5" s="1"/>
  <c r="CA223" i="5"/>
  <c r="BW223" i="5"/>
  <c r="BX223" i="5" s="1"/>
  <c r="BV223" i="5"/>
  <c r="BR223" i="5"/>
  <c r="BS223" i="5" s="1"/>
  <c r="BQ223" i="5"/>
  <c r="BM223" i="5"/>
  <c r="BN223" i="5" s="1"/>
  <c r="BL223" i="5"/>
  <c r="BH223" i="5"/>
  <c r="BG223" i="5"/>
  <c r="BC223" i="5"/>
  <c r="BB223" i="5"/>
  <c r="AX223" i="5"/>
  <c r="AW223" i="5"/>
  <c r="G222" i="5"/>
  <c r="G221" i="5"/>
  <c r="B222" i="5"/>
  <c r="CL223" i="5"/>
  <c r="CL230" i="5" s="1"/>
  <c r="CK223" i="5"/>
  <c r="CN220" i="5"/>
  <c r="CJ221" i="5"/>
  <c r="CE221" i="5"/>
  <c r="CA221" i="5"/>
  <c r="BZ221" i="5"/>
  <c r="BU221" i="5"/>
  <c r="BQ221" i="5"/>
  <c r="BP221" i="5"/>
  <c r="BL221" i="5"/>
  <c r="BK221" i="5"/>
  <c r="BI221" i="5"/>
  <c r="BG221" i="5"/>
  <c r="BF221" i="5"/>
  <c r="AW221" i="5"/>
  <c r="AV221" i="5"/>
  <c r="AT221" i="5"/>
  <c r="AR221" i="5"/>
  <c r="AQ221" i="5"/>
  <c r="AO221" i="5"/>
  <c r="AN221" i="5"/>
  <c r="AM221" i="5"/>
  <c r="AL221" i="5"/>
  <c r="AJ221" i="5"/>
  <c r="AH221" i="5"/>
  <c r="AG221" i="5"/>
  <c r="CG220" i="5"/>
  <c r="CF220" i="5"/>
  <c r="CB220" i="5"/>
  <c r="CA220" i="5"/>
  <c r="BW220" i="5"/>
  <c r="BV220" i="5"/>
  <c r="BV221" i="5" s="1"/>
  <c r="BR220" i="5"/>
  <c r="BQ220" i="5"/>
  <c r="BM220" i="5"/>
  <c r="BL220" i="5"/>
  <c r="BH220" i="5"/>
  <c r="BH221" i="5" s="1"/>
  <c r="BG220" i="5"/>
  <c r="BC220" i="5"/>
  <c r="BD220" i="5" s="1"/>
  <c r="BB220" i="5"/>
  <c r="AX220" i="5"/>
  <c r="AY220" i="5" s="1"/>
  <c r="AY221" i="5" s="1"/>
  <c r="AW220" i="5"/>
  <c r="CJ219" i="5"/>
  <c r="CE219" i="5"/>
  <c r="BZ219" i="5"/>
  <c r="BU219" i="5"/>
  <c r="BP219" i="5"/>
  <c r="BK219" i="5"/>
  <c r="BI219" i="5"/>
  <c r="BF219" i="5"/>
  <c r="BA219" i="5"/>
  <c r="AV219" i="5"/>
  <c r="AT219" i="5"/>
  <c r="AS219" i="5"/>
  <c r="AR219" i="5"/>
  <c r="AQ219" i="5"/>
  <c r="AO219" i="5"/>
  <c r="AN219" i="5"/>
  <c r="AM219" i="5"/>
  <c r="AL219" i="5"/>
  <c r="AP219" i="5" s="1"/>
  <c r="AJ219" i="5"/>
  <c r="AI219" i="5"/>
  <c r="AH219" i="5"/>
  <c r="AG219" i="5"/>
  <c r="AK219" i="5" s="1"/>
  <c r="L219" i="5"/>
  <c r="G219" i="5"/>
  <c r="B219" i="5"/>
  <c r="CF218" i="5"/>
  <c r="CF217" i="5"/>
  <c r="CA218" i="5"/>
  <c r="CA217" i="5"/>
  <c r="BV218" i="5"/>
  <c r="BV217" i="5"/>
  <c r="BQ218" i="5"/>
  <c r="BQ217" i="5"/>
  <c r="BL218" i="5"/>
  <c r="BL217" i="5"/>
  <c r="BG218" i="5"/>
  <c r="BG217" i="5"/>
  <c r="BB218" i="5"/>
  <c r="BB217" i="5"/>
  <c r="AW218" i="5"/>
  <c r="AW217" i="5"/>
  <c r="CM220" i="5"/>
  <c r="CM280" i="5" s="1"/>
  <c r="CN280" i="5" s="1"/>
  <c r="CL220" i="5"/>
  <c r="CL221" i="5" s="1"/>
  <c r="CK220" i="5"/>
  <c r="CK221" i="5" s="1"/>
  <c r="CM219" i="5"/>
  <c r="CL219" i="5"/>
  <c r="CL218" i="5"/>
  <c r="CK218" i="5"/>
  <c r="CK217" i="5"/>
  <c r="DC193" i="5"/>
  <c r="CX193" i="5"/>
  <c r="CI194" i="5"/>
  <c r="CO193" i="5"/>
  <c r="CM193" i="5"/>
  <c r="CL193" i="5"/>
  <c r="CK193" i="5"/>
  <c r="CJ193" i="5"/>
  <c r="CH193" i="5"/>
  <c r="CG193" i="5"/>
  <c r="CF193" i="5"/>
  <c r="CE193" i="5"/>
  <c r="CC193" i="5"/>
  <c r="CB193" i="5"/>
  <c r="CA193" i="5"/>
  <c r="BZ193" i="5"/>
  <c r="BX193" i="5"/>
  <c r="BW193" i="5"/>
  <c r="BV193" i="5"/>
  <c r="BU193" i="5"/>
  <c r="BS193" i="5"/>
  <c r="BR193" i="5"/>
  <c r="BQ193" i="5"/>
  <c r="BP193" i="5"/>
  <c r="BN193" i="5"/>
  <c r="BM193" i="5"/>
  <c r="BL193" i="5"/>
  <c r="BK193" i="5"/>
  <c r="BI193" i="5"/>
  <c r="BH193" i="5"/>
  <c r="BG193" i="5"/>
  <c r="BF193" i="5"/>
  <c r="BD193" i="5"/>
  <c r="BC193" i="5"/>
  <c r="BB193" i="5"/>
  <c r="BA193" i="5"/>
  <c r="AY193" i="5"/>
  <c r="AX193" i="5"/>
  <c r="AW193" i="5"/>
  <c r="AV193" i="5"/>
  <c r="AT193" i="5"/>
  <c r="AS193" i="5"/>
  <c r="AR193" i="5"/>
  <c r="AQ193" i="5"/>
  <c r="AO193" i="5"/>
  <c r="AN193" i="5"/>
  <c r="AM193" i="5"/>
  <c r="AL193" i="5"/>
  <c r="AJ193" i="5"/>
  <c r="AI193" i="5"/>
  <c r="AH193" i="5"/>
  <c r="AG193" i="5"/>
  <c r="AE193" i="5"/>
  <c r="AD193" i="5"/>
  <c r="AC193" i="5"/>
  <c r="AB193" i="5"/>
  <c r="Z193" i="5"/>
  <c r="Y193" i="5"/>
  <c r="X193" i="5"/>
  <c r="W193" i="5"/>
  <c r="U193" i="5"/>
  <c r="T193" i="5"/>
  <c r="S193" i="5"/>
  <c r="R193" i="5"/>
  <c r="P193" i="5"/>
  <c r="O193" i="5"/>
  <c r="N193" i="5"/>
  <c r="M193" i="5"/>
  <c r="CM188" i="5"/>
  <c r="CL188" i="5"/>
  <c r="CK188" i="5"/>
  <c r="CJ188" i="5"/>
  <c r="CI188" i="5"/>
  <c r="CH188" i="5"/>
  <c r="CG188" i="5"/>
  <c r="CF188" i="5"/>
  <c r="CE188" i="5"/>
  <c r="CC188" i="5"/>
  <c r="CB188" i="5"/>
  <c r="CA188" i="5"/>
  <c r="BZ188" i="5"/>
  <c r="BX188" i="5"/>
  <c r="BW188" i="5"/>
  <c r="BV188" i="5"/>
  <c r="BU188" i="5"/>
  <c r="BS188" i="5"/>
  <c r="BR188" i="5"/>
  <c r="BQ188" i="5"/>
  <c r="BP188" i="5"/>
  <c r="BN188" i="5"/>
  <c r="BM188" i="5"/>
  <c r="BL188" i="5"/>
  <c r="BK188" i="5"/>
  <c r="BI188" i="5"/>
  <c r="BH188" i="5"/>
  <c r="BG188" i="5"/>
  <c r="BF188" i="5"/>
  <c r="BD188" i="5"/>
  <c r="BC188" i="5"/>
  <c r="BB188" i="5"/>
  <c r="BA188" i="5"/>
  <c r="AY188" i="5"/>
  <c r="AX188" i="5"/>
  <c r="AW188" i="5"/>
  <c r="AV188" i="5"/>
  <c r="AT188" i="5"/>
  <c r="AS188" i="5"/>
  <c r="AR188" i="5"/>
  <c r="AQ188" i="5"/>
  <c r="AO188" i="5"/>
  <c r="AN188" i="5"/>
  <c r="AH188" i="5"/>
  <c r="AG188" i="5"/>
  <c r="AE188" i="5"/>
  <c r="AD188" i="5"/>
  <c r="AC188" i="5"/>
  <c r="AB188" i="5"/>
  <c r="Z188" i="5"/>
  <c r="Y188" i="5"/>
  <c r="X188" i="5"/>
  <c r="W188" i="5"/>
  <c r="U188" i="5"/>
  <c r="T188" i="5"/>
  <c r="S188" i="5"/>
  <c r="R188" i="5"/>
  <c r="P188" i="5"/>
  <c r="O188" i="5"/>
  <c r="N188" i="5"/>
  <c r="M188" i="5"/>
  <c r="CM186" i="5"/>
  <c r="CL186" i="5"/>
  <c r="CK186" i="5"/>
  <c r="CJ186" i="5"/>
  <c r="CH186" i="5"/>
  <c r="CG186" i="5"/>
  <c r="CF186" i="5"/>
  <c r="CE186" i="5"/>
  <c r="CC186" i="5"/>
  <c r="CB186" i="5"/>
  <c r="CA186" i="5"/>
  <c r="BZ186" i="5"/>
  <c r="BX186" i="5"/>
  <c r="BW186" i="5"/>
  <c r="BV186" i="5"/>
  <c r="BU186" i="5"/>
  <c r="BS186" i="5"/>
  <c r="BR186" i="5"/>
  <c r="BQ186" i="5"/>
  <c r="BP186" i="5"/>
  <c r="BN186" i="5"/>
  <c r="BM186" i="5"/>
  <c r="BL186" i="5"/>
  <c r="BK186" i="5"/>
  <c r="BI186" i="5"/>
  <c r="BH186" i="5"/>
  <c r="BG186" i="5"/>
  <c r="BF186" i="5"/>
  <c r="BD186" i="5"/>
  <c r="BC186" i="5"/>
  <c r="BB186" i="5"/>
  <c r="BA186" i="5"/>
  <c r="AY186" i="5"/>
  <c r="AX186" i="5"/>
  <c r="AW186" i="5"/>
  <c r="AV186" i="5"/>
  <c r="AT186" i="5"/>
  <c r="AS186" i="5"/>
  <c r="AR186" i="5"/>
  <c r="AQ186" i="5"/>
  <c r="AO186" i="5"/>
  <c r="AN186" i="5"/>
  <c r="AM186" i="5"/>
  <c r="AL186" i="5"/>
  <c r="AJ186" i="5"/>
  <c r="AI186" i="5"/>
  <c r="AH186" i="5"/>
  <c r="AG186" i="5"/>
  <c r="AE186" i="5"/>
  <c r="AD186" i="5"/>
  <c r="AC186" i="5"/>
  <c r="AB186" i="5"/>
  <c r="Z186" i="5"/>
  <c r="Y186" i="5"/>
  <c r="X186" i="5"/>
  <c r="W186" i="5"/>
  <c r="U186" i="5"/>
  <c r="T186" i="5"/>
  <c r="S186" i="5"/>
  <c r="R186" i="5"/>
  <c r="P186" i="5"/>
  <c r="O186" i="5"/>
  <c r="N186" i="5"/>
  <c r="M186" i="5"/>
  <c r="CM184" i="5"/>
  <c r="CL184" i="5"/>
  <c r="CK184" i="5"/>
  <c r="CJ184" i="5"/>
  <c r="CH184" i="5"/>
  <c r="CG184" i="5"/>
  <c r="CF184" i="5"/>
  <c r="CE184" i="5"/>
  <c r="CC184" i="5"/>
  <c r="CB184" i="5"/>
  <c r="CA184" i="5"/>
  <c r="BZ184" i="5"/>
  <c r="BX184" i="5"/>
  <c r="BW184" i="5"/>
  <c r="BV184" i="5"/>
  <c r="BU184" i="5"/>
  <c r="BS184" i="5"/>
  <c r="BR184" i="5"/>
  <c r="BQ184" i="5"/>
  <c r="BP184" i="5"/>
  <c r="BN184" i="5"/>
  <c r="BM184" i="5"/>
  <c r="BL184" i="5"/>
  <c r="BK184" i="5"/>
  <c r="BI184" i="5"/>
  <c r="BH184" i="5"/>
  <c r="BG184" i="5"/>
  <c r="BF184" i="5"/>
  <c r="BD184" i="5"/>
  <c r="BC184" i="5"/>
  <c r="AT184" i="5"/>
  <c r="AS184" i="5"/>
  <c r="AR184" i="5"/>
  <c r="AQ184" i="5"/>
  <c r="AO184" i="5"/>
  <c r="AN184" i="5"/>
  <c r="AM184" i="5"/>
  <c r="AL184" i="5"/>
  <c r="AJ184" i="5"/>
  <c r="AI184" i="5"/>
  <c r="AH184" i="5"/>
  <c r="AG184" i="5"/>
  <c r="AE184" i="5"/>
  <c r="AD184" i="5"/>
  <c r="AC184" i="5"/>
  <c r="AB184" i="5"/>
  <c r="Z184" i="5"/>
  <c r="Y184" i="5"/>
  <c r="X184" i="5"/>
  <c r="W184" i="5"/>
  <c r="U184" i="5"/>
  <c r="CM182" i="5"/>
  <c r="CM274" i="5" s="1"/>
  <c r="CN274" i="5" s="1"/>
  <c r="CL182" i="5"/>
  <c r="CK182" i="5"/>
  <c r="CJ182" i="5"/>
  <c r="CH182" i="5"/>
  <c r="CH256" i="5" s="1"/>
  <c r="CG182" i="5"/>
  <c r="CF182" i="5"/>
  <c r="CE182" i="5"/>
  <c r="CC182" i="5"/>
  <c r="CB182" i="5"/>
  <c r="CA182" i="5"/>
  <c r="BZ182" i="5"/>
  <c r="BX182" i="5"/>
  <c r="BW182" i="5"/>
  <c r="BV182" i="5"/>
  <c r="BU182" i="5"/>
  <c r="BS182" i="5"/>
  <c r="BR182" i="5"/>
  <c r="BQ182" i="5"/>
  <c r="BP182" i="5"/>
  <c r="BN182" i="5"/>
  <c r="BM182" i="5"/>
  <c r="BL182" i="5"/>
  <c r="BK182" i="5"/>
  <c r="BI182" i="5"/>
  <c r="BH182" i="5"/>
  <c r="BG182" i="5"/>
  <c r="BF182" i="5"/>
  <c r="BF275" i="5" s="1"/>
  <c r="BD182" i="5"/>
  <c r="BD275" i="5" s="1"/>
  <c r="BC182" i="5"/>
  <c r="BB182" i="5"/>
  <c r="BB275" i="5" s="1"/>
  <c r="BA182" i="5"/>
  <c r="AY182" i="5"/>
  <c r="AX182" i="5"/>
  <c r="AX275" i="5" s="1"/>
  <c r="AW182" i="5"/>
  <c r="AW275" i="5" s="1"/>
  <c r="AV182" i="5"/>
  <c r="AV275" i="5" s="1"/>
  <c r="AT182" i="5"/>
  <c r="AT275" i="5" s="1"/>
  <c r="AS182" i="5"/>
  <c r="AS275" i="5" s="1"/>
  <c r="AR182" i="5"/>
  <c r="AR275" i="5" s="1"/>
  <c r="AQ182" i="5"/>
  <c r="AJ182" i="5"/>
  <c r="AI182" i="5"/>
  <c r="AH182" i="5"/>
  <c r="AG182" i="5"/>
  <c r="AE182" i="5"/>
  <c r="Y182" i="5"/>
  <c r="X182" i="5"/>
  <c r="W182" i="5"/>
  <c r="U182" i="5"/>
  <c r="T182" i="5"/>
  <c r="S182" i="5"/>
  <c r="R182" i="5"/>
  <c r="P182" i="5"/>
  <c r="O182" i="5"/>
  <c r="N182" i="5"/>
  <c r="M182" i="5"/>
  <c r="CR174" i="5"/>
  <c r="CQ174" i="5"/>
  <c r="CP174" i="5"/>
  <c r="CO174" i="5"/>
  <c r="CM174" i="5"/>
  <c r="CL174" i="5"/>
  <c r="CK174" i="5"/>
  <c r="CJ174" i="5"/>
  <c r="CI174" i="5"/>
  <c r="CH174" i="5"/>
  <c r="CG174" i="5"/>
  <c r="CF174" i="5"/>
  <c r="CE174" i="5"/>
  <c r="CC174" i="5"/>
  <c r="CB174" i="5"/>
  <c r="CA174" i="5"/>
  <c r="BZ174" i="5"/>
  <c r="BX174" i="5"/>
  <c r="BW174" i="5"/>
  <c r="BV174" i="5"/>
  <c r="BU174" i="5"/>
  <c r="BS174" i="5"/>
  <c r="BR174" i="5"/>
  <c r="BQ174" i="5"/>
  <c r="BP174" i="5"/>
  <c r="BO174" i="5"/>
  <c r="BN174" i="5"/>
  <c r="BM174" i="5"/>
  <c r="BL174" i="5"/>
  <c r="BK174" i="5"/>
  <c r="BI174" i="5"/>
  <c r="BH174" i="5"/>
  <c r="BG174" i="5"/>
  <c r="BF174" i="5"/>
  <c r="BD174" i="5"/>
  <c r="BC174" i="5"/>
  <c r="BB174" i="5"/>
  <c r="BA174" i="5"/>
  <c r="AY174" i="5"/>
  <c r="AX174" i="5"/>
  <c r="AW174" i="5"/>
  <c r="AV174" i="5"/>
  <c r="AT174" i="5"/>
  <c r="AS174" i="5"/>
  <c r="AR174" i="5"/>
  <c r="AQ174" i="5"/>
  <c r="AO174" i="5"/>
  <c r="AN174" i="5"/>
  <c r="AM174" i="5"/>
  <c r="AL174" i="5"/>
  <c r="AH174" i="5"/>
  <c r="AG174" i="5"/>
  <c r="AE174" i="5"/>
  <c r="AD174" i="5"/>
  <c r="AC174" i="5"/>
  <c r="AB174" i="5"/>
  <c r="AF174" i="5" s="1"/>
  <c r="Z174" i="5"/>
  <c r="Y174" i="5"/>
  <c r="X174" i="5"/>
  <c r="W174" i="5"/>
  <c r="U174" i="5"/>
  <c r="T174" i="5"/>
  <c r="S174" i="5"/>
  <c r="R174" i="5"/>
  <c r="V174" i="5" s="1"/>
  <c r="CS173" i="5"/>
  <c r="CS172" i="5"/>
  <c r="CS171" i="5"/>
  <c r="CS170" i="5"/>
  <c r="CS174" i="5" s="1"/>
  <c r="CN173" i="5"/>
  <c r="CN174" i="5" s="1"/>
  <c r="CI173" i="5"/>
  <c r="CD173" i="5"/>
  <c r="CD174" i="5" s="1"/>
  <c r="BY173" i="5"/>
  <c r="BY174" i="5" s="1"/>
  <c r="BT173" i="5"/>
  <c r="BT174" i="5" s="1"/>
  <c r="BO173" i="5"/>
  <c r="BJ173" i="5"/>
  <c r="BJ174" i="5" s="1"/>
  <c r="AZ173" i="5"/>
  <c r="AZ172" i="5"/>
  <c r="AZ171" i="5"/>
  <c r="AZ170" i="5"/>
  <c r="AU173" i="5"/>
  <c r="AU172" i="5"/>
  <c r="AU171" i="5"/>
  <c r="AU170" i="5"/>
  <c r="AP173" i="5"/>
  <c r="AP172" i="5"/>
  <c r="AP171" i="5"/>
  <c r="AP170" i="5"/>
  <c r="AK173" i="5"/>
  <c r="AK172" i="5"/>
  <c r="AK170" i="5"/>
  <c r="AF173" i="5"/>
  <c r="AF172" i="5"/>
  <c r="AF171" i="5"/>
  <c r="AF170" i="5"/>
  <c r="AA173" i="5"/>
  <c r="AA172" i="5"/>
  <c r="AA171" i="5"/>
  <c r="AA170" i="5"/>
  <c r="V173" i="5"/>
  <c r="V172" i="5"/>
  <c r="V171" i="5"/>
  <c r="V170" i="5"/>
  <c r="AE172" i="5"/>
  <c r="AI171" i="5"/>
  <c r="AT170" i="5"/>
  <c r="AG168" i="5"/>
  <c r="AH168" i="5" s="1"/>
  <c r="AI168" i="5" s="1"/>
  <c r="AJ168" i="5" s="1"/>
  <c r="AA168" i="5"/>
  <c r="AF168" i="5" s="1"/>
  <c r="AK168" i="5" s="1"/>
  <c r="W168" i="5"/>
  <c r="X168" i="5" s="1"/>
  <c r="Y168" i="5" s="1"/>
  <c r="Z168" i="5" s="1"/>
  <c r="R168" i="5"/>
  <c r="S168" i="5" s="1"/>
  <c r="T168" i="5" s="1"/>
  <c r="U168" i="5" s="1"/>
  <c r="CG166" i="5"/>
  <c r="BI166" i="5"/>
  <c r="AW166" i="5"/>
  <c r="AS166" i="5"/>
  <c r="AJ166" i="5"/>
  <c r="CK165" i="5"/>
  <c r="CG165" i="5"/>
  <c r="BQ165" i="5"/>
  <c r="AS165" i="5"/>
  <c r="CO164" i="5"/>
  <c r="CP164" i="5" s="1"/>
  <c r="CN164" i="5"/>
  <c r="CL166" i="5"/>
  <c r="CK161" i="5"/>
  <c r="CJ166" i="5"/>
  <c r="CI164" i="5"/>
  <c r="CH166" i="5"/>
  <c r="CG161" i="5"/>
  <c r="CF166" i="5"/>
  <c r="CB166" i="5"/>
  <c r="CA166" i="5"/>
  <c r="BY164" i="5"/>
  <c r="BX166" i="5"/>
  <c r="BW166" i="5"/>
  <c r="BT164" i="5"/>
  <c r="BQ161" i="5"/>
  <c r="BP166" i="5"/>
  <c r="BO164" i="5"/>
  <c r="BM161" i="5"/>
  <c r="BL166" i="5"/>
  <c r="BH166" i="5"/>
  <c r="BG166" i="5"/>
  <c r="BE164" i="5"/>
  <c r="BD166" i="5"/>
  <c r="BC166" i="5"/>
  <c r="AZ164" i="5"/>
  <c r="BA166" i="5" s="1"/>
  <c r="AX166" i="5"/>
  <c r="AW161" i="5"/>
  <c r="AU164" i="5"/>
  <c r="AV166" i="5" s="1"/>
  <c r="AT166" i="5"/>
  <c r="AS161" i="5"/>
  <c r="AR166" i="5"/>
  <c r="AN166" i="5"/>
  <c r="AM166" i="5"/>
  <c r="AK164" i="5"/>
  <c r="AJ165" i="5"/>
  <c r="AI166" i="5"/>
  <c r="CP161" i="5"/>
  <c r="CM161" i="5"/>
  <c r="CM236" i="5" s="1"/>
  <c r="CL161" i="5"/>
  <c r="CJ161" i="5"/>
  <c r="CH161" i="5"/>
  <c r="CF161" i="5"/>
  <c r="CF163" i="5" s="1"/>
  <c r="CB161" i="5"/>
  <c r="CB163" i="5" s="1"/>
  <c r="CA161" i="5"/>
  <c r="BZ161" i="5"/>
  <c r="BX161" i="5"/>
  <c r="BX162" i="5" s="1"/>
  <c r="BW161" i="5"/>
  <c r="BS161" i="5"/>
  <c r="BP161" i="5"/>
  <c r="BN161" i="5"/>
  <c r="BL161" i="5"/>
  <c r="BL163" i="5" s="1"/>
  <c r="BH161" i="5"/>
  <c r="BH162" i="5" s="1"/>
  <c r="BG161" i="5"/>
  <c r="BF161" i="5"/>
  <c r="BD161" i="5"/>
  <c r="BD163" i="5" s="1"/>
  <c r="BC161" i="5"/>
  <c r="BC163" i="5" s="1"/>
  <c r="BB161" i="5"/>
  <c r="AY161" i="5"/>
  <c r="AY163" i="5" s="1"/>
  <c r="AX161" i="5"/>
  <c r="AV161" i="5"/>
  <c r="AT161" i="5"/>
  <c r="AR161" i="5"/>
  <c r="AR163" i="5" s="1"/>
  <c r="AN161" i="5"/>
  <c r="AM161" i="5"/>
  <c r="AL161" i="5"/>
  <c r="AJ161" i="5"/>
  <c r="AJ162" i="5" s="1"/>
  <c r="AI161" i="5"/>
  <c r="CS151" i="5"/>
  <c r="CN158" i="5"/>
  <c r="CM158" i="5"/>
  <c r="CL158" i="5"/>
  <c r="CK158" i="5"/>
  <c r="CJ158" i="5"/>
  <c r="CI158" i="5"/>
  <c r="CH158" i="5"/>
  <c r="CG158" i="5"/>
  <c r="CF158" i="5"/>
  <c r="CE158" i="5"/>
  <c r="CD158" i="5"/>
  <c r="CC158" i="5"/>
  <c r="CB158" i="5"/>
  <c r="CA158" i="5"/>
  <c r="BZ158" i="5"/>
  <c r="BY158" i="5"/>
  <c r="BX158" i="5"/>
  <c r="BW158" i="5"/>
  <c r="BV158" i="5"/>
  <c r="BU158" i="5"/>
  <c r="BT158" i="5"/>
  <c r="BS158" i="5"/>
  <c r="BR158" i="5"/>
  <c r="BQ158" i="5"/>
  <c r="BP158" i="5"/>
  <c r="BN158" i="5"/>
  <c r="BM158" i="5"/>
  <c r="BL158" i="5"/>
  <c r="BK158" i="5"/>
  <c r="BI158" i="5"/>
  <c r="BH158" i="5"/>
  <c r="BG158" i="5"/>
  <c r="BF158" i="5"/>
  <c r="BD158" i="5"/>
  <c r="BC158" i="5"/>
  <c r="BB158" i="5"/>
  <c r="BA158" i="5"/>
  <c r="AZ158" i="5"/>
  <c r="AX158" i="5"/>
  <c r="AW158" i="5"/>
  <c r="CO157" i="5"/>
  <c r="CN155" i="5"/>
  <c r="CN154" i="5"/>
  <c r="CN146" i="5"/>
  <c r="BO156" i="5"/>
  <c r="BT156" i="5" s="1"/>
  <c r="BY156" i="5" s="1"/>
  <c r="CD156" i="5" s="1"/>
  <c r="CI156" i="5" s="1"/>
  <c r="CN156" i="5" s="1"/>
  <c r="BJ156" i="5"/>
  <c r="BJ154" i="5"/>
  <c r="BJ151" i="5"/>
  <c r="BJ146" i="5"/>
  <c r="BE156" i="5"/>
  <c r="AZ156" i="5"/>
  <c r="AU156" i="5"/>
  <c r="AU155" i="5"/>
  <c r="AP156" i="5"/>
  <c r="AK156" i="5"/>
  <c r="AK155" i="5"/>
  <c r="AF156" i="5"/>
  <c r="AF154" i="5"/>
  <c r="AA156" i="5"/>
  <c r="AA155" i="5"/>
  <c r="AA154" i="5"/>
  <c r="V156" i="5"/>
  <c r="V155" i="5"/>
  <c r="V154" i="5"/>
  <c r="Q156" i="5"/>
  <c r="Q155" i="5"/>
  <c r="Q154" i="5"/>
  <c r="AT155" i="5"/>
  <c r="AY158" i="5" s="1"/>
  <c r="AS155" i="5"/>
  <c r="AQ155" i="5"/>
  <c r="AV158" i="5" s="1"/>
  <c r="AO155" i="5"/>
  <c r="AP155" i="5" s="1"/>
  <c r="AU158" i="5" s="1"/>
  <c r="AD155" i="5"/>
  <c r="AF155" i="5" s="1"/>
  <c r="AD154" i="5"/>
  <c r="L146" i="5"/>
  <c r="CI146" i="5"/>
  <c r="CD146" i="5"/>
  <c r="BY146" i="5"/>
  <c r="BT146" i="5"/>
  <c r="BO146" i="5"/>
  <c r="BA146" i="5"/>
  <c r="BA221" i="5" s="1"/>
  <c r="AZ146" i="5"/>
  <c r="AU146" i="5"/>
  <c r="AP146" i="5"/>
  <c r="AP221" i="5" s="1"/>
  <c r="AF146" i="5"/>
  <c r="AA146" i="5"/>
  <c r="CK141" i="5"/>
  <c r="CG141" i="5"/>
  <c r="CC141" i="5"/>
  <c r="BU141" i="5"/>
  <c r="BQ141" i="5"/>
  <c r="BM141" i="5"/>
  <c r="BI141" i="5"/>
  <c r="AW141" i="5"/>
  <c r="AS141" i="5"/>
  <c r="AO141" i="5"/>
  <c r="AG141" i="5"/>
  <c r="AC141" i="5"/>
  <c r="Y141" i="5"/>
  <c r="U141" i="5"/>
  <c r="M141" i="5"/>
  <c r="CM140" i="5"/>
  <c r="CL140" i="5"/>
  <c r="CK140" i="5"/>
  <c r="CJ140" i="5"/>
  <c r="CI140" i="5"/>
  <c r="CH140" i="5"/>
  <c r="CG140" i="5"/>
  <c r="CF140" i="5"/>
  <c r="CE140" i="5"/>
  <c r="CE141" i="5" s="1"/>
  <c r="CC140" i="5"/>
  <c r="CB140" i="5"/>
  <c r="CA140" i="5"/>
  <c r="BZ140" i="5"/>
  <c r="BX140" i="5"/>
  <c r="BW140" i="5"/>
  <c r="BV140" i="5"/>
  <c r="BU140" i="5"/>
  <c r="BZ141" i="5" s="1"/>
  <c r="BS140" i="5"/>
  <c r="BR140" i="5"/>
  <c r="BQ140" i="5"/>
  <c r="BP140" i="5"/>
  <c r="BP141" i="5" s="1"/>
  <c r="BO140" i="5"/>
  <c r="BN140" i="5"/>
  <c r="BM140" i="5"/>
  <c r="BL140" i="5"/>
  <c r="BK140" i="5"/>
  <c r="BK141" i="5" s="1"/>
  <c r="BI140" i="5"/>
  <c r="BH140" i="5"/>
  <c r="BG140" i="5"/>
  <c r="BF140" i="5"/>
  <c r="BD140" i="5"/>
  <c r="BC140" i="5"/>
  <c r="BC141" i="5" s="1"/>
  <c r="BB140" i="5"/>
  <c r="BA140" i="5"/>
  <c r="AY140" i="5"/>
  <c r="AX140" i="5"/>
  <c r="AW140" i="5"/>
  <c r="AS140" i="5"/>
  <c r="AR140" i="5"/>
  <c r="AQ140" i="5"/>
  <c r="AO140" i="5"/>
  <c r="AN140" i="5"/>
  <c r="AM140" i="5"/>
  <c r="AL140" i="5"/>
  <c r="AJ140" i="5"/>
  <c r="AI140" i="5"/>
  <c r="AH140" i="5"/>
  <c r="AG140" i="5"/>
  <c r="AE140" i="5"/>
  <c r="AD140" i="5"/>
  <c r="AC140" i="5"/>
  <c r="AH141" i="5" s="1"/>
  <c r="AB140" i="5"/>
  <c r="Z140" i="5"/>
  <c r="Y140" i="5"/>
  <c r="X140" i="5"/>
  <c r="W140" i="5"/>
  <c r="U140" i="5"/>
  <c r="T140" i="5"/>
  <c r="S140" i="5"/>
  <c r="R140" i="5"/>
  <c r="P140" i="5"/>
  <c r="O140" i="5"/>
  <c r="N140" i="5"/>
  <c r="M140" i="5"/>
  <c r="K140" i="5"/>
  <c r="I140" i="5"/>
  <c r="H140" i="5"/>
  <c r="G140" i="5"/>
  <c r="B140" i="5"/>
  <c r="CI139" i="5"/>
  <c r="CI138" i="5"/>
  <c r="CI137" i="5"/>
  <c r="CI136" i="5"/>
  <c r="CI193" i="5" s="1"/>
  <c r="CI133" i="5"/>
  <c r="CD139" i="5"/>
  <c r="CD138" i="5"/>
  <c r="CD136" i="5"/>
  <c r="CD133" i="5"/>
  <c r="BY139" i="5"/>
  <c r="BY138" i="5"/>
  <c r="BY136" i="5"/>
  <c r="BY193" i="5" s="1"/>
  <c r="BY133" i="5"/>
  <c r="BT139" i="5"/>
  <c r="BT138" i="5"/>
  <c r="BT136" i="5"/>
  <c r="BT193" i="5" s="1"/>
  <c r="BT134" i="5"/>
  <c r="BT135" i="5" s="1"/>
  <c r="BT133" i="5"/>
  <c r="BO139" i="5"/>
  <c r="BO138" i="5"/>
  <c r="BO137" i="5"/>
  <c r="BO194" i="5" s="1"/>
  <c r="BO136" i="5"/>
  <c r="BO193" i="5" s="1"/>
  <c r="BJ139" i="5"/>
  <c r="BJ138" i="5"/>
  <c r="BJ137" i="5"/>
  <c r="BJ194" i="5" s="1"/>
  <c r="BJ136" i="5"/>
  <c r="BJ193" i="5" s="1"/>
  <c r="BE139" i="5"/>
  <c r="BE138" i="5"/>
  <c r="BE140" i="5" s="1"/>
  <c r="BE137" i="5"/>
  <c r="BE194" i="5" s="1"/>
  <c r="BE136" i="5"/>
  <c r="BE193" i="5" s="1"/>
  <c r="AZ138" i="5"/>
  <c r="AZ140" i="5" s="1"/>
  <c r="AZ137" i="5"/>
  <c r="AZ194" i="5" s="1"/>
  <c r="AZ136" i="5"/>
  <c r="AZ193" i="5" s="1"/>
  <c r="AV139" i="5"/>
  <c r="AZ139" i="5" s="1"/>
  <c r="AT139" i="5"/>
  <c r="AP139" i="5"/>
  <c r="AP138" i="5"/>
  <c r="AP136" i="5"/>
  <c r="AK139" i="5"/>
  <c r="AK138" i="5"/>
  <c r="AK136" i="5"/>
  <c r="AF139" i="5"/>
  <c r="AF138" i="5"/>
  <c r="AF136" i="5"/>
  <c r="AA139" i="5"/>
  <c r="AA138" i="5"/>
  <c r="AA136" i="5"/>
  <c r="V139" i="5"/>
  <c r="V138" i="5"/>
  <c r="V136" i="5"/>
  <c r="Q139" i="5"/>
  <c r="Q138" i="5"/>
  <c r="Q136" i="5"/>
  <c r="K139" i="5"/>
  <c r="J139" i="5"/>
  <c r="J140" i="5" s="1"/>
  <c r="AU138" i="5"/>
  <c r="AU136" i="5"/>
  <c r="AU193" i="5" s="1"/>
  <c r="L138" i="5"/>
  <c r="L137" i="5"/>
  <c r="L194" i="5" s="1"/>
  <c r="L136" i="5"/>
  <c r="L193" i="5" s="1"/>
  <c r="CM137" i="5"/>
  <c r="CL137" i="5"/>
  <c r="CK137" i="5"/>
  <c r="CK194" i="5" s="1"/>
  <c r="CJ137" i="5"/>
  <c r="CH137" i="5"/>
  <c r="CG137" i="5"/>
  <c r="CF137" i="5"/>
  <c r="CF194" i="5" s="1"/>
  <c r="CE137" i="5"/>
  <c r="CC137" i="5"/>
  <c r="CB137" i="5"/>
  <c r="CA137" i="5"/>
  <c r="CA194" i="5" s="1"/>
  <c r="BZ137" i="5"/>
  <c r="BX137" i="5"/>
  <c r="BW137" i="5"/>
  <c r="BV137" i="5"/>
  <c r="BV194" i="5" s="1"/>
  <c r="BU137" i="5"/>
  <c r="BS137" i="5"/>
  <c r="BR137" i="5"/>
  <c r="BQ137" i="5"/>
  <c r="BP137" i="5"/>
  <c r="BN137" i="5"/>
  <c r="BM137" i="5"/>
  <c r="BL137" i="5"/>
  <c r="BL194" i="5" s="1"/>
  <c r="BK137" i="5"/>
  <c r="BI137" i="5"/>
  <c r="BH137" i="5"/>
  <c r="BG137" i="5"/>
  <c r="BG194" i="5" s="1"/>
  <c r="BF137" i="5"/>
  <c r="BD137" i="5"/>
  <c r="BC137" i="5"/>
  <c r="BB137" i="5"/>
  <c r="BA137" i="5"/>
  <c r="AY137" i="5"/>
  <c r="AX137" i="5"/>
  <c r="AW137" i="5"/>
  <c r="AW194" i="5" s="1"/>
  <c r="AV137" i="5"/>
  <c r="AT137" i="5"/>
  <c r="AS137" i="5"/>
  <c r="AR137" i="5"/>
  <c r="AR194" i="5" s="1"/>
  <c r="AQ137" i="5"/>
  <c r="AO137" i="5"/>
  <c r="AN137" i="5"/>
  <c r="AM137" i="5"/>
  <c r="AM194" i="5" s="1"/>
  <c r="AL137" i="5"/>
  <c r="AJ137" i="5"/>
  <c r="AI137" i="5"/>
  <c r="AH137" i="5"/>
  <c r="AH194" i="5" s="1"/>
  <c r="AG137" i="5"/>
  <c r="AE137" i="5"/>
  <c r="AD137" i="5"/>
  <c r="AC137" i="5"/>
  <c r="AC194" i="5" s="1"/>
  <c r="AB137" i="5"/>
  <c r="Z137" i="5"/>
  <c r="Y137" i="5"/>
  <c r="X137" i="5"/>
  <c r="X194" i="5" s="1"/>
  <c r="W137" i="5"/>
  <c r="U137" i="5"/>
  <c r="T137" i="5"/>
  <c r="S137" i="5"/>
  <c r="S194" i="5" s="1"/>
  <c r="R137" i="5"/>
  <c r="P137" i="5"/>
  <c r="O137" i="5"/>
  <c r="N137" i="5"/>
  <c r="N194" i="5" s="1"/>
  <c r="M137" i="5"/>
  <c r="K137" i="5"/>
  <c r="J137" i="5"/>
  <c r="I137" i="5"/>
  <c r="H137" i="5"/>
  <c r="G137" i="5"/>
  <c r="CP139" i="5"/>
  <c r="CQ139" i="5" s="1"/>
  <c r="CR139" i="5" s="1"/>
  <c r="CO139" i="5"/>
  <c r="CN139" i="5"/>
  <c r="CP138" i="5"/>
  <c r="CQ138" i="5" s="1"/>
  <c r="CR138" i="5" s="1"/>
  <c r="CO138" i="5"/>
  <c r="CS138" i="5" s="1"/>
  <c r="CX138" i="5" s="1"/>
  <c r="CN138" i="5"/>
  <c r="CO137" i="5"/>
  <c r="CN137" i="5"/>
  <c r="CN194" i="5" s="1"/>
  <c r="CP136" i="5"/>
  <c r="CO136" i="5"/>
  <c r="CN136" i="5"/>
  <c r="CN193" i="5" s="1"/>
  <c r="AA133" i="5"/>
  <c r="V133" i="5"/>
  <c r="Q133" i="5"/>
  <c r="L133" i="5"/>
  <c r="L134" i="5" s="1"/>
  <c r="CL133" i="5"/>
  <c r="CL134" i="5" s="1"/>
  <c r="CK133" i="5"/>
  <c r="CK134" i="5" s="1"/>
  <c r="CJ133" i="5"/>
  <c r="CJ134" i="5" s="1"/>
  <c r="CH133" i="5"/>
  <c r="CH134" i="5" s="1"/>
  <c r="CG133" i="5"/>
  <c r="CG134" i="5" s="1"/>
  <c r="CF133" i="5"/>
  <c r="CF134" i="5" s="1"/>
  <c r="CE133" i="5"/>
  <c r="CE134" i="5" s="1"/>
  <c r="CC133" i="5"/>
  <c r="CC134" i="5" s="1"/>
  <c r="CB133" i="5"/>
  <c r="CB134" i="5" s="1"/>
  <c r="CA133" i="5"/>
  <c r="CA134" i="5" s="1"/>
  <c r="BZ133" i="5"/>
  <c r="BZ134" i="5" s="1"/>
  <c r="BW134" i="5"/>
  <c r="BX133" i="5"/>
  <c r="BX134" i="5" s="1"/>
  <c r="BW133" i="5"/>
  <c r="BV133" i="5"/>
  <c r="BV134" i="5" s="1"/>
  <c r="BU133" i="5"/>
  <c r="BU134" i="5" s="1"/>
  <c r="BR134" i="5"/>
  <c r="BJ134" i="5"/>
  <c r="BB134" i="5"/>
  <c r="AT134" i="5"/>
  <c r="AL134" i="5"/>
  <c r="BS133" i="5"/>
  <c r="BS134" i="5" s="1"/>
  <c r="BR133" i="5"/>
  <c r="BQ133" i="5"/>
  <c r="BQ134" i="5" s="1"/>
  <c r="BP133" i="5"/>
  <c r="BP134" i="5" s="1"/>
  <c r="BO133" i="5"/>
  <c r="BO134" i="5" s="1"/>
  <c r="BN133" i="5"/>
  <c r="BN134" i="5" s="1"/>
  <c r="BM133" i="5"/>
  <c r="BM134" i="5" s="1"/>
  <c r="BL133" i="5"/>
  <c r="BL134" i="5" s="1"/>
  <c r="BK133" i="5"/>
  <c r="BK134" i="5" s="1"/>
  <c r="BJ133" i="5"/>
  <c r="BI133" i="5"/>
  <c r="BI134" i="5" s="1"/>
  <c r="BH133" i="5"/>
  <c r="BH134" i="5" s="1"/>
  <c r="BG133" i="5"/>
  <c r="BG134" i="5" s="1"/>
  <c r="BF133" i="5"/>
  <c r="BF134" i="5" s="1"/>
  <c r="BE133" i="5"/>
  <c r="BE134" i="5" s="1"/>
  <c r="BD133" i="5"/>
  <c r="BD134" i="5" s="1"/>
  <c r="BC133" i="5"/>
  <c r="BC134" i="5" s="1"/>
  <c r="BB133" i="5"/>
  <c r="BA133" i="5"/>
  <c r="BA134" i="5" s="1"/>
  <c r="AZ133" i="5"/>
  <c r="AZ134" i="5" s="1"/>
  <c r="AY133" i="5"/>
  <c r="AY134" i="5" s="1"/>
  <c r="AX133" i="5"/>
  <c r="AX134" i="5" s="1"/>
  <c r="AW133" i="5"/>
  <c r="AW134" i="5" s="1"/>
  <c r="AV133" i="5"/>
  <c r="AV134" i="5" s="1"/>
  <c r="AU133" i="5"/>
  <c r="AU134" i="5" s="1"/>
  <c r="AT133" i="5"/>
  <c r="AS133" i="5"/>
  <c r="AS134" i="5" s="1"/>
  <c r="AR133" i="5"/>
  <c r="AR134" i="5" s="1"/>
  <c r="AQ133" i="5"/>
  <c r="AQ134" i="5" s="1"/>
  <c r="AP133" i="5"/>
  <c r="AP134" i="5" s="1"/>
  <c r="AO133" i="5"/>
  <c r="AO134" i="5" s="1"/>
  <c r="AN133" i="5"/>
  <c r="AN134" i="5" s="1"/>
  <c r="AM133" i="5"/>
  <c r="AM134" i="5" s="1"/>
  <c r="AL133" i="5"/>
  <c r="AK133" i="5"/>
  <c r="AJ133" i="5"/>
  <c r="AJ134" i="5" s="1"/>
  <c r="AI133" i="5"/>
  <c r="AI134" i="5" s="1"/>
  <c r="AH133" i="5"/>
  <c r="AH134" i="5" s="1"/>
  <c r="AG133" i="5"/>
  <c r="AG134" i="5" s="1"/>
  <c r="AF133" i="5"/>
  <c r="AG117" i="5"/>
  <c r="AC116" i="5"/>
  <c r="BK115" i="5"/>
  <c r="AO115" i="5"/>
  <c r="T115" i="5"/>
  <c r="CJ112" i="5"/>
  <c r="BD112" i="5"/>
  <c r="AN112" i="5"/>
  <c r="X112" i="5"/>
  <c r="BX110" i="5"/>
  <c r="BH110" i="5"/>
  <c r="BG108" i="5"/>
  <c r="BC108" i="5"/>
  <c r="AY108" i="5"/>
  <c r="AS108" i="5"/>
  <c r="AQ108" i="5"/>
  <c r="AO108" i="5"/>
  <c r="AM108" i="5"/>
  <c r="AG108" i="5"/>
  <c r="AC108" i="5"/>
  <c r="Y108" i="5"/>
  <c r="W108" i="5"/>
  <c r="U108" i="5"/>
  <c r="G108" i="5"/>
  <c r="A108" i="5"/>
  <c r="AL106" i="5"/>
  <c r="AH106" i="5"/>
  <c r="AD106" i="5"/>
  <c r="DB105" i="5"/>
  <c r="DB110" i="5" s="1"/>
  <c r="DA105" i="5"/>
  <c r="DA110" i="5" s="1"/>
  <c r="CZ105" i="5"/>
  <c r="CZ110" i="5" s="1"/>
  <c r="CY105" i="5"/>
  <c r="CY110" i="5" s="1"/>
  <c r="CW105" i="5"/>
  <c r="CW110" i="5" s="1"/>
  <c r="CV105" i="5"/>
  <c r="CV110" i="5" s="1"/>
  <c r="CU105" i="5"/>
  <c r="CU110" i="5" s="1"/>
  <c r="CT105" i="5"/>
  <c r="CT110" i="5" s="1"/>
  <c r="CJ105" i="5"/>
  <c r="CF105" i="5"/>
  <c r="CB105" i="5"/>
  <c r="CB112" i="5" s="1"/>
  <c r="BX105" i="5"/>
  <c r="BX112" i="5" s="1"/>
  <c r="BP105" i="5"/>
  <c r="BP110" i="5" s="1"/>
  <c r="BL105" i="5"/>
  <c r="BL112" i="5" s="1"/>
  <c r="BH105" i="5"/>
  <c r="BH112" i="5" s="1"/>
  <c r="BG105" i="5"/>
  <c r="BG117" i="5" s="1"/>
  <c r="BF105" i="5"/>
  <c r="BF117" i="5" s="1"/>
  <c r="BD105" i="5"/>
  <c r="BD107" i="5" s="1"/>
  <c r="BC105" i="5"/>
  <c r="BC117" i="5" s="1"/>
  <c r="BB105" i="5"/>
  <c r="BB117" i="5" s="1"/>
  <c r="AY105" i="5"/>
  <c r="AY117" i="5" s="1"/>
  <c r="AS105" i="5"/>
  <c r="AS117" i="5" s="1"/>
  <c r="AR105" i="5"/>
  <c r="AR112" i="5" s="1"/>
  <c r="AQ105" i="5"/>
  <c r="AQ117" i="5" s="1"/>
  <c r="AO105" i="5"/>
  <c r="AN105" i="5"/>
  <c r="AM105" i="5"/>
  <c r="AM117" i="5" s="1"/>
  <c r="AL105" i="5"/>
  <c r="AL117" i="5" s="1"/>
  <c r="AJ105" i="5"/>
  <c r="AJ107" i="5" s="1"/>
  <c r="AH105" i="5"/>
  <c r="AH117" i="5" s="1"/>
  <c r="AG105" i="5"/>
  <c r="AD105" i="5"/>
  <c r="AD117" i="5" s="1"/>
  <c r="AC105" i="5"/>
  <c r="AC117" i="5" s="1"/>
  <c r="AB105" i="5"/>
  <c r="AB112" i="5" s="1"/>
  <c r="Y105" i="5"/>
  <c r="Y107" i="5" s="1"/>
  <c r="X105" i="5"/>
  <c r="W105" i="5"/>
  <c r="W117" i="5" s="1"/>
  <c r="U105" i="5"/>
  <c r="T105" i="5"/>
  <c r="T110" i="5" s="1"/>
  <c r="R105" i="5"/>
  <c r="R117" i="5" s="1"/>
  <c r="G105" i="5"/>
  <c r="G117" i="5" s="1"/>
  <c r="B105" i="5"/>
  <c r="B117" i="5" s="1"/>
  <c r="CI104" i="5"/>
  <c r="CI103" i="5"/>
  <c r="CI102" i="5"/>
  <c r="CD104" i="5"/>
  <c r="CD103" i="5"/>
  <c r="CD102" i="5"/>
  <c r="BY104" i="5"/>
  <c r="BY103" i="5"/>
  <c r="BY102" i="5"/>
  <c r="BT104" i="5"/>
  <c r="BT103" i="5"/>
  <c r="BT102" i="5"/>
  <c r="BO104" i="5"/>
  <c r="BO103" i="5"/>
  <c r="BO102" i="5"/>
  <c r="BJ104" i="5"/>
  <c r="BJ103" i="5"/>
  <c r="BJ102" i="5"/>
  <c r="BE103" i="5"/>
  <c r="BE102" i="5"/>
  <c r="BA104" i="5"/>
  <c r="BE104" i="5" s="1"/>
  <c r="AZ104" i="5"/>
  <c r="AU104" i="5"/>
  <c r="AT104" i="5"/>
  <c r="AP104" i="5"/>
  <c r="AP103" i="5"/>
  <c r="AP102" i="5"/>
  <c r="AJ104" i="5"/>
  <c r="AK104" i="5" s="1"/>
  <c r="AE104" i="5"/>
  <c r="AF104" i="5" s="1"/>
  <c r="Z104" i="5"/>
  <c r="AA104" i="5" s="1"/>
  <c r="V104" i="5"/>
  <c r="V103" i="5"/>
  <c r="V102" i="5"/>
  <c r="Q104" i="5"/>
  <c r="Q103" i="5"/>
  <c r="Q102" i="5"/>
  <c r="L104" i="5"/>
  <c r="L103" i="5"/>
  <c r="L102" i="5"/>
  <c r="AZ103" i="5"/>
  <c r="AZ102" i="5"/>
  <c r="AU103" i="5"/>
  <c r="AU102" i="5"/>
  <c r="AK103" i="5"/>
  <c r="AK102" i="5"/>
  <c r="AF103" i="5"/>
  <c r="AF102" i="5"/>
  <c r="AA103" i="5"/>
  <c r="AA102" i="5"/>
  <c r="CN104" i="5"/>
  <c r="CN103" i="5"/>
  <c r="CN102" i="5"/>
  <c r="BH100" i="5"/>
  <c r="BD100" i="5"/>
  <c r="AV100" i="5"/>
  <c r="AR100" i="5"/>
  <c r="AN100" i="5"/>
  <c r="AB100" i="5"/>
  <c r="X100" i="5"/>
  <c r="T100" i="5"/>
  <c r="P100" i="5"/>
  <c r="CL99" i="5"/>
  <c r="CH99" i="5"/>
  <c r="CH100" i="5" s="1"/>
  <c r="BZ99" i="5"/>
  <c r="BV99" i="5"/>
  <c r="BR99" i="5"/>
  <c r="BR100" i="5" s="1"/>
  <c r="BN99" i="5"/>
  <c r="BH99" i="5"/>
  <c r="BG99" i="5"/>
  <c r="BF99" i="5"/>
  <c r="BD99" i="5"/>
  <c r="BC99" i="5"/>
  <c r="BC100" i="5" s="1"/>
  <c r="BB99" i="5"/>
  <c r="BB100" i="5" s="1"/>
  <c r="AY99" i="5"/>
  <c r="AX99" i="5"/>
  <c r="AX100" i="5" s="1"/>
  <c r="AW99" i="5"/>
  <c r="AV99" i="5"/>
  <c r="AT99" i="5"/>
  <c r="AT100" i="5" s="1"/>
  <c r="AS99" i="5"/>
  <c r="AR99" i="5"/>
  <c r="AW100" i="5" s="1"/>
  <c r="AQ99" i="5"/>
  <c r="AQ100" i="5" s="1"/>
  <c r="AO99" i="5"/>
  <c r="AN99" i="5"/>
  <c r="AS100" i="5" s="1"/>
  <c r="AM99" i="5"/>
  <c r="AM100" i="5" s="1"/>
  <c r="AL99" i="5"/>
  <c r="AL100" i="5" s="1"/>
  <c r="AI99" i="5"/>
  <c r="AI100" i="5" s="1"/>
  <c r="AH99" i="5"/>
  <c r="AH100" i="5" s="1"/>
  <c r="AG99" i="5"/>
  <c r="AD99" i="5"/>
  <c r="AD100" i="5" s="1"/>
  <c r="AC99" i="5"/>
  <c r="AB99" i="5"/>
  <c r="AG100" i="5" s="1"/>
  <c r="Z99" i="5"/>
  <c r="Z100" i="5" s="1"/>
  <c r="Y99" i="5"/>
  <c r="X99" i="5"/>
  <c r="AC100" i="5" s="1"/>
  <c r="W99" i="5"/>
  <c r="U99" i="5"/>
  <c r="T99" i="5"/>
  <c r="Y100" i="5" s="1"/>
  <c r="S99" i="5"/>
  <c r="R99" i="5"/>
  <c r="R100" i="5" s="1"/>
  <c r="P99" i="5"/>
  <c r="U100" i="5" s="1"/>
  <c r="O99" i="5"/>
  <c r="N99" i="5"/>
  <c r="N100" i="5" s="1"/>
  <c r="M99" i="5"/>
  <c r="K99" i="5"/>
  <c r="J99" i="5"/>
  <c r="I99" i="5"/>
  <c r="H99" i="5"/>
  <c r="M100" i="5" s="1"/>
  <c r="A99" i="5"/>
  <c r="CH98" i="5"/>
  <c r="CC98" i="5"/>
  <c r="BS98" i="5"/>
  <c r="BN98" i="5"/>
  <c r="BI98" i="5"/>
  <c r="BH98" i="5"/>
  <c r="BG98" i="5"/>
  <c r="BF98" i="5"/>
  <c r="BD98" i="5"/>
  <c r="BC98" i="5"/>
  <c r="AY98" i="5"/>
  <c r="AX98" i="5"/>
  <c r="AW98" i="5"/>
  <c r="AV98" i="5"/>
  <c r="AT98" i="5"/>
  <c r="DI98" i="5" s="1"/>
  <c r="AS98" i="5"/>
  <c r="AR98" i="5"/>
  <c r="AQ98" i="5"/>
  <c r="AO98" i="5"/>
  <c r="AN98" i="5"/>
  <c r="AM98" i="5"/>
  <c r="AJ98" i="5"/>
  <c r="AI98" i="5"/>
  <c r="AH98" i="5"/>
  <c r="AD98" i="5"/>
  <c r="AC98" i="5"/>
  <c r="Z98" i="5"/>
  <c r="Y98" i="5"/>
  <c r="X98" i="5"/>
  <c r="W98" i="5"/>
  <c r="U98" i="5"/>
  <c r="T98" i="5"/>
  <c r="S98" i="5"/>
  <c r="R98" i="5"/>
  <c r="P98" i="5"/>
  <c r="O98" i="5"/>
  <c r="N98" i="5"/>
  <c r="M98" i="5"/>
  <c r="K98" i="5"/>
  <c r="J98" i="5"/>
  <c r="I98" i="5"/>
  <c r="CF97" i="5"/>
  <c r="BP97" i="5"/>
  <c r="BL97" i="5"/>
  <c r="BH97" i="5"/>
  <c r="BG97" i="5"/>
  <c r="BD97" i="5"/>
  <c r="BC97" i="5"/>
  <c r="BB97" i="5"/>
  <c r="AX97" i="5"/>
  <c r="AW97" i="5"/>
  <c r="AV97" i="5"/>
  <c r="AT97" i="5"/>
  <c r="AS97" i="5"/>
  <c r="AR97" i="5"/>
  <c r="AQ97" i="5"/>
  <c r="AN97" i="5"/>
  <c r="AM97" i="5"/>
  <c r="AL97" i="5"/>
  <c r="AI97" i="5"/>
  <c r="AH97" i="5"/>
  <c r="AG97" i="5"/>
  <c r="AD97" i="5"/>
  <c r="AC97" i="5"/>
  <c r="AB97" i="5"/>
  <c r="Y97" i="5"/>
  <c r="X97" i="5"/>
  <c r="W97" i="5"/>
  <c r="U97" i="5"/>
  <c r="T97" i="5"/>
  <c r="S97" i="5"/>
  <c r="R97" i="5"/>
  <c r="P97" i="5"/>
  <c r="O97" i="5"/>
  <c r="N97" i="5"/>
  <c r="M97" i="5"/>
  <c r="L97" i="5"/>
  <c r="DQ96" i="5"/>
  <c r="DP96" i="5"/>
  <c r="DO96" i="5"/>
  <c r="DN96" i="5"/>
  <c r="DM96" i="5"/>
  <c r="CM96" i="5"/>
  <c r="CL96" i="5"/>
  <c r="CL98" i="5" s="1"/>
  <c r="CK96" i="5"/>
  <c r="CK99" i="5" s="1"/>
  <c r="CJ96" i="5"/>
  <c r="CJ99" i="5" s="1"/>
  <c r="CO99" i="5" s="1"/>
  <c r="CH96" i="5"/>
  <c r="CH105" i="5" s="1"/>
  <c r="CG96" i="5"/>
  <c r="CG99" i="5" s="1"/>
  <c r="CF96" i="5"/>
  <c r="CF99" i="5" s="1"/>
  <c r="CE96" i="5"/>
  <c r="CI96" i="5" s="1"/>
  <c r="CC96" i="5"/>
  <c r="CC99" i="5" s="1"/>
  <c r="CB96" i="5"/>
  <c r="CA96" i="5"/>
  <c r="BZ96" i="5"/>
  <c r="CD96" i="5" s="1"/>
  <c r="BX96" i="5"/>
  <c r="BX99" i="5" s="1"/>
  <c r="BW96" i="5"/>
  <c r="BX98" i="5" s="1"/>
  <c r="BV96" i="5"/>
  <c r="BV105" i="5" s="1"/>
  <c r="BU96" i="5"/>
  <c r="BU99" i="5" s="1"/>
  <c r="BS96" i="5"/>
  <c r="BX97" i="5" s="1"/>
  <c r="BR96" i="5"/>
  <c r="BR98" i="5" s="1"/>
  <c r="BQ96" i="5"/>
  <c r="BQ99" i="5" s="1"/>
  <c r="BP96" i="5"/>
  <c r="BP99" i="5" s="1"/>
  <c r="BN96" i="5"/>
  <c r="BN105" i="5" s="1"/>
  <c r="BM96" i="5"/>
  <c r="BM99" i="5" s="1"/>
  <c r="BM100" i="5" s="1"/>
  <c r="BL96" i="5"/>
  <c r="BL99" i="5" s="1"/>
  <c r="BL100" i="5" s="1"/>
  <c r="BK96" i="5"/>
  <c r="BI96" i="5"/>
  <c r="BI99" i="5" s="1"/>
  <c r="BI100" i="5" s="1"/>
  <c r="BA96" i="5"/>
  <c r="BA99" i="5" s="1"/>
  <c r="BA100" i="5" s="1"/>
  <c r="AZ96" i="5"/>
  <c r="AU96" i="5"/>
  <c r="AZ97" i="5" s="1"/>
  <c r="AT96" i="5"/>
  <c r="AY97" i="5" s="1"/>
  <c r="AP96" i="5"/>
  <c r="AP105" i="5" s="1"/>
  <c r="AJ96" i="5"/>
  <c r="AK96" i="5" s="1"/>
  <c r="AE96" i="5"/>
  <c r="Z96" i="5"/>
  <c r="AA96" i="5" s="1"/>
  <c r="V96" i="5"/>
  <c r="Q96" i="5"/>
  <c r="Q94" i="5"/>
  <c r="L96" i="5"/>
  <c r="CJ95" i="5"/>
  <c r="CF95" i="5"/>
  <c r="CB95" i="5"/>
  <c r="BX95" i="5"/>
  <c r="BP95" i="5"/>
  <c r="BL95" i="5"/>
  <c r="BH95" i="5"/>
  <c r="BF95" i="5"/>
  <c r="CQ94" i="5"/>
  <c r="CO94" i="5"/>
  <c r="CM94" i="5"/>
  <c r="CM95" i="5" s="1"/>
  <c r="CL94" i="5"/>
  <c r="CK94" i="5"/>
  <c r="CJ94" i="5"/>
  <c r="CH94" i="5"/>
  <c r="CG94" i="5"/>
  <c r="CF94" i="5"/>
  <c r="CE94" i="5"/>
  <c r="CE95" i="5" s="1"/>
  <c r="CC94" i="5"/>
  <c r="CB94" i="5"/>
  <c r="CA94" i="5"/>
  <c r="CA95" i="5" s="1"/>
  <c r="BZ94" i="5"/>
  <c r="BX94" i="5"/>
  <c r="BW94" i="5"/>
  <c r="BW95" i="5" s="1"/>
  <c r="BV94" i="5"/>
  <c r="BU94" i="5"/>
  <c r="BS94" i="5"/>
  <c r="BS95" i="5" s="1"/>
  <c r="BR94" i="5"/>
  <c r="BQ94" i="5"/>
  <c r="BP94" i="5"/>
  <c r="BN94" i="5"/>
  <c r="BM94" i="5"/>
  <c r="BL94" i="5"/>
  <c r="BK94" i="5"/>
  <c r="BK95" i="5" s="1"/>
  <c r="BI94" i="5"/>
  <c r="BH94" i="5"/>
  <c r="BG94" i="5"/>
  <c r="BF94" i="5"/>
  <c r="BD95" i="5"/>
  <c r="AV95" i="5"/>
  <c r="AR95" i="5"/>
  <c r="BD94" i="5"/>
  <c r="BC94" i="5"/>
  <c r="BB94" i="5"/>
  <c r="BA94" i="5"/>
  <c r="AY94" i="5"/>
  <c r="AX94" i="5"/>
  <c r="AX95" i="5" s="1"/>
  <c r="AW94" i="5"/>
  <c r="AV94" i="5"/>
  <c r="BA95" i="5" s="1"/>
  <c r="AT94" i="5"/>
  <c r="AT95" i="5" s="1"/>
  <c r="AS94" i="5"/>
  <c r="AR94" i="5"/>
  <c r="AW95" i="5" s="1"/>
  <c r="AQ94" i="5"/>
  <c r="AQ95" i="5" s="1"/>
  <c r="AO95" i="5"/>
  <c r="AG95" i="5"/>
  <c r="Y95" i="5"/>
  <c r="AO94" i="5"/>
  <c r="AN94" i="5"/>
  <c r="AM94" i="5"/>
  <c r="AL94" i="5"/>
  <c r="AL95" i="5" s="1"/>
  <c r="AJ94" i="5"/>
  <c r="AJ95" i="5" s="1"/>
  <c r="AI94" i="5"/>
  <c r="AH94" i="5"/>
  <c r="AM95" i="5" s="1"/>
  <c r="AG94" i="5"/>
  <c r="AE94" i="5"/>
  <c r="AD94" i="5"/>
  <c r="AI95" i="5" s="1"/>
  <c r="AC94" i="5"/>
  <c r="AB94" i="5"/>
  <c r="AB95" i="5" s="1"/>
  <c r="Z94" i="5"/>
  <c r="AE95" i="5" s="1"/>
  <c r="Y94" i="5"/>
  <c r="X94" i="5"/>
  <c r="X95" i="5" s="1"/>
  <c r="W94" i="5"/>
  <c r="K94" i="5"/>
  <c r="J94" i="5"/>
  <c r="I94" i="5"/>
  <c r="H94" i="5"/>
  <c r="A94" i="5"/>
  <c r="DI93" i="5"/>
  <c r="CM93" i="5"/>
  <c r="CL93" i="5"/>
  <c r="CK93" i="5"/>
  <c r="CJ93" i="5"/>
  <c r="CH93" i="5"/>
  <c r="CG93" i="5"/>
  <c r="CF93" i="5"/>
  <c r="CE93" i="5"/>
  <c r="CC93" i="5"/>
  <c r="CB93" i="5"/>
  <c r="CA93" i="5"/>
  <c r="BZ93" i="5"/>
  <c r="BX93" i="5"/>
  <c r="BW93" i="5"/>
  <c r="BV93" i="5"/>
  <c r="BU93" i="5"/>
  <c r="BS93" i="5"/>
  <c r="BR93" i="5"/>
  <c r="BQ93" i="5"/>
  <c r="BP93" i="5"/>
  <c r="BN93" i="5"/>
  <c r="BM93" i="5"/>
  <c r="BL93" i="5"/>
  <c r="BK93" i="5"/>
  <c r="BI93" i="5"/>
  <c r="BH93" i="5"/>
  <c r="BG93" i="5"/>
  <c r="BF93" i="5"/>
  <c r="BD93" i="5"/>
  <c r="BC93" i="5"/>
  <c r="BB93" i="5"/>
  <c r="BA93" i="5"/>
  <c r="AY93" i="5"/>
  <c r="AX93" i="5"/>
  <c r="AW93" i="5"/>
  <c r="AV93" i="5"/>
  <c r="AT93" i="5"/>
  <c r="AS93" i="5"/>
  <c r="DH93" i="5" s="1"/>
  <c r="AR93" i="5"/>
  <c r="DG93" i="5" s="1"/>
  <c r="AQ93" i="5"/>
  <c r="DF93" i="5" s="1"/>
  <c r="AO93" i="5"/>
  <c r="AN93" i="5"/>
  <c r="AM93" i="5"/>
  <c r="AL93" i="5"/>
  <c r="AJ93" i="5"/>
  <c r="AI93" i="5"/>
  <c r="AH93" i="5"/>
  <c r="AG93" i="5"/>
  <c r="AE93" i="5"/>
  <c r="AD93" i="5"/>
  <c r="AC93" i="5"/>
  <c r="AB93" i="5"/>
  <c r="Z93" i="5"/>
  <c r="Y93" i="5"/>
  <c r="X93" i="5"/>
  <c r="W93" i="5"/>
  <c r="U94" i="5"/>
  <c r="T94" i="5"/>
  <c r="T95" i="5" s="1"/>
  <c r="S94" i="5"/>
  <c r="S95" i="5" s="1"/>
  <c r="R94" i="5"/>
  <c r="W95" i="5" s="1"/>
  <c r="U93" i="5"/>
  <c r="T93" i="5"/>
  <c r="S93" i="5"/>
  <c r="R93" i="5"/>
  <c r="P94" i="5"/>
  <c r="U95" i="5" s="1"/>
  <c r="O94" i="5"/>
  <c r="N94" i="5"/>
  <c r="N95" i="5" s="1"/>
  <c r="M94" i="5"/>
  <c r="M95" i="5" s="1"/>
  <c r="P93" i="5"/>
  <c r="O93" i="5"/>
  <c r="N93" i="5"/>
  <c r="M93" i="5"/>
  <c r="K93" i="5"/>
  <c r="J93" i="5"/>
  <c r="I93" i="5"/>
  <c r="CN92" i="5"/>
  <c r="CM92" i="5"/>
  <c r="CL92" i="5"/>
  <c r="CK92" i="5"/>
  <c r="CJ92" i="5"/>
  <c r="CH92" i="5"/>
  <c r="CG92" i="5"/>
  <c r="CF92" i="5"/>
  <c r="CE92" i="5"/>
  <c r="CC92" i="5"/>
  <c r="CB92" i="5"/>
  <c r="CA92" i="5"/>
  <c r="BZ92" i="5"/>
  <c r="BX92" i="5"/>
  <c r="BW92" i="5"/>
  <c r="BV92" i="5"/>
  <c r="BU92" i="5"/>
  <c r="BT92" i="5"/>
  <c r="BS92" i="5"/>
  <c r="BR92" i="5"/>
  <c r="BQ92" i="5"/>
  <c r="BP92" i="5"/>
  <c r="BN92" i="5"/>
  <c r="BM92" i="5"/>
  <c r="BL92" i="5"/>
  <c r="BK92" i="5"/>
  <c r="BI92" i="5"/>
  <c r="BH92" i="5"/>
  <c r="BG92" i="5"/>
  <c r="BF92" i="5"/>
  <c r="BD92" i="5"/>
  <c r="BC92" i="5"/>
  <c r="BB92" i="5"/>
  <c r="BA92" i="5"/>
  <c r="AZ92" i="5"/>
  <c r="AY92" i="5"/>
  <c r="AX92" i="5"/>
  <c r="AW92" i="5"/>
  <c r="AV92" i="5"/>
  <c r="AT92" i="5"/>
  <c r="AS92" i="5"/>
  <c r="AR92" i="5"/>
  <c r="AQ92" i="5"/>
  <c r="AO92" i="5"/>
  <c r="AN92" i="5"/>
  <c r="AM92" i="5"/>
  <c r="AL92" i="5"/>
  <c r="AJ92" i="5"/>
  <c r="AI92" i="5"/>
  <c r="AH92" i="5"/>
  <c r="AG92" i="5"/>
  <c r="AF92" i="5"/>
  <c r="AE92" i="5"/>
  <c r="AD92" i="5"/>
  <c r="AC92" i="5"/>
  <c r="AB92" i="5"/>
  <c r="Z92" i="5"/>
  <c r="Y92" i="5"/>
  <c r="X92" i="5"/>
  <c r="W92" i="5"/>
  <c r="U92" i="5"/>
  <c r="T92" i="5"/>
  <c r="S92" i="5"/>
  <c r="R92" i="5"/>
  <c r="P92" i="5"/>
  <c r="O92" i="5"/>
  <c r="N92" i="5"/>
  <c r="M92" i="5"/>
  <c r="L92" i="5"/>
  <c r="CI91" i="5"/>
  <c r="CD91" i="5"/>
  <c r="BY91" i="5"/>
  <c r="BY92" i="5" s="1"/>
  <c r="BT91" i="5"/>
  <c r="BO91" i="5"/>
  <c r="BJ91" i="5"/>
  <c r="BE91" i="5"/>
  <c r="AZ91" i="5"/>
  <c r="AU91" i="5"/>
  <c r="AU92" i="5" s="1"/>
  <c r="AU89" i="5"/>
  <c r="AP91" i="5"/>
  <c r="AP92" i="5" s="1"/>
  <c r="AP89" i="5"/>
  <c r="AK91" i="5"/>
  <c r="AK89" i="5"/>
  <c r="AF91" i="5"/>
  <c r="AF89" i="5"/>
  <c r="AA91" i="5"/>
  <c r="AA94" i="5" s="1"/>
  <c r="AA89" i="5"/>
  <c r="V91" i="5"/>
  <c r="V89" i="5"/>
  <c r="Q91" i="5"/>
  <c r="Q92" i="5" s="1"/>
  <c r="Q89" i="5"/>
  <c r="L91" i="5"/>
  <c r="AE90" i="5"/>
  <c r="AD90" i="5"/>
  <c r="AC90" i="5"/>
  <c r="AB90" i="5"/>
  <c r="Z90" i="5"/>
  <c r="Y90" i="5"/>
  <c r="X90" i="5"/>
  <c r="W90" i="5"/>
  <c r="U90" i="5"/>
  <c r="T90" i="5"/>
  <c r="S90" i="5"/>
  <c r="R90" i="5"/>
  <c r="P90" i="5"/>
  <c r="O90" i="5"/>
  <c r="N90" i="5"/>
  <c r="M90" i="5"/>
  <c r="K90" i="5"/>
  <c r="J90" i="5"/>
  <c r="I90" i="5"/>
  <c r="H90" i="5"/>
  <c r="A90" i="5"/>
  <c r="DN90" i="5"/>
  <c r="DQ89" i="5"/>
  <c r="DP89" i="5"/>
  <c r="DN89" i="5"/>
  <c r="CN91" i="5"/>
  <c r="CO88" i="5"/>
  <c r="CK89" i="5"/>
  <c r="CM88" i="5"/>
  <c r="CL88" i="5"/>
  <c r="CK88" i="5"/>
  <c r="CJ88" i="5"/>
  <c r="CF89" i="5"/>
  <c r="CH88" i="5"/>
  <c r="CG88" i="5"/>
  <c r="CF88" i="5"/>
  <c r="CE88" i="5"/>
  <c r="CA89" i="5"/>
  <c r="CC88" i="5"/>
  <c r="CB88" i="5"/>
  <c r="CA88" i="5"/>
  <c r="BZ88" i="5"/>
  <c r="BV89" i="5"/>
  <c r="BX88" i="5"/>
  <c r="BW88" i="5"/>
  <c r="BV88" i="5"/>
  <c r="BU88" i="5"/>
  <c r="BQ89" i="5"/>
  <c r="BS88" i="5"/>
  <c r="BR88" i="5"/>
  <c r="BQ88" i="5"/>
  <c r="BP88" i="5"/>
  <c r="BL89" i="5"/>
  <c r="BN88" i="5"/>
  <c r="BM88" i="5"/>
  <c r="BL88" i="5"/>
  <c r="BK88" i="5"/>
  <c r="BI89" i="5"/>
  <c r="BG89" i="5"/>
  <c r="BI88" i="5"/>
  <c r="BH88" i="5"/>
  <c r="BG88" i="5"/>
  <c r="BF88" i="5"/>
  <c r="BB89" i="5"/>
  <c r="BA89" i="5"/>
  <c r="BD88" i="5"/>
  <c r="BC88" i="5"/>
  <c r="BB88" i="5"/>
  <c r="BA88" i="5"/>
  <c r="AW89" i="5"/>
  <c r="AV89" i="5"/>
  <c r="AY88" i="5"/>
  <c r="AX88" i="5"/>
  <c r="AW88" i="5"/>
  <c r="AV88" i="5"/>
  <c r="AT90" i="5"/>
  <c r="AT89" i="5"/>
  <c r="AS89" i="5"/>
  <c r="AR89" i="5"/>
  <c r="AQ89" i="5"/>
  <c r="AT88" i="5"/>
  <c r="DI88" i="5" s="1"/>
  <c r="AS88" i="5"/>
  <c r="DH88" i="5" s="1"/>
  <c r="AR88" i="5"/>
  <c r="DG88" i="5" s="1"/>
  <c r="AQ88" i="5"/>
  <c r="DF88" i="5" s="1"/>
  <c r="AO89" i="5"/>
  <c r="AN89" i="5"/>
  <c r="AM89" i="5"/>
  <c r="AL89" i="5"/>
  <c r="AO88" i="5"/>
  <c r="AN88" i="5"/>
  <c r="AM88" i="5"/>
  <c r="AL88" i="5"/>
  <c r="AJ89" i="5"/>
  <c r="AI89" i="5"/>
  <c r="AH89" i="5"/>
  <c r="AG89" i="5"/>
  <c r="AI88" i="5"/>
  <c r="AH88" i="5"/>
  <c r="AG88" i="5"/>
  <c r="AE88" i="5"/>
  <c r="AD88" i="5"/>
  <c r="AC88" i="5"/>
  <c r="AB88" i="5"/>
  <c r="Z88" i="5"/>
  <c r="Y88" i="5"/>
  <c r="X88" i="5"/>
  <c r="W88" i="5"/>
  <c r="U88" i="5"/>
  <c r="T88" i="5"/>
  <c r="S88" i="5"/>
  <c r="R88" i="5"/>
  <c r="P88" i="5"/>
  <c r="O88" i="5"/>
  <c r="N88" i="5"/>
  <c r="M88" i="5"/>
  <c r="K88" i="5"/>
  <c r="J88" i="5"/>
  <c r="I88" i="5"/>
  <c r="DN87" i="5"/>
  <c r="DO89" i="5" s="1"/>
  <c r="CM87" i="5"/>
  <c r="CL87" i="5"/>
  <c r="CK87" i="5"/>
  <c r="CJ87" i="5"/>
  <c r="CI87" i="5"/>
  <c r="CH87" i="5"/>
  <c r="CG87" i="5"/>
  <c r="CF87" i="5"/>
  <c r="CE87" i="5"/>
  <c r="CC87" i="5"/>
  <c r="CB87" i="5"/>
  <c r="CA87" i="5"/>
  <c r="BZ87" i="5"/>
  <c r="BX87" i="5"/>
  <c r="BW87" i="5"/>
  <c r="BV87" i="5"/>
  <c r="BU87" i="5"/>
  <c r="BS87" i="5"/>
  <c r="BR87" i="5"/>
  <c r="BQ87" i="5"/>
  <c r="BP87" i="5"/>
  <c r="BO87" i="5"/>
  <c r="BN87" i="5"/>
  <c r="BM87" i="5"/>
  <c r="BL87" i="5"/>
  <c r="BK87" i="5"/>
  <c r="BI87" i="5"/>
  <c r="BH87" i="5"/>
  <c r="BG87" i="5"/>
  <c r="BF87" i="5"/>
  <c r="BD87" i="5"/>
  <c r="BC87" i="5"/>
  <c r="BB87" i="5"/>
  <c r="BA87" i="5"/>
  <c r="AY87" i="5"/>
  <c r="AX87" i="5"/>
  <c r="AW87" i="5"/>
  <c r="AV87" i="5"/>
  <c r="AU87" i="5"/>
  <c r="AT87" i="5"/>
  <c r="AS87" i="5"/>
  <c r="AR87" i="5"/>
  <c r="AQ87" i="5"/>
  <c r="AO87" i="5"/>
  <c r="AM87" i="5"/>
  <c r="AL87" i="5"/>
  <c r="AJ87" i="5"/>
  <c r="AI87" i="5"/>
  <c r="AH87" i="5"/>
  <c r="AG87" i="5"/>
  <c r="AE87" i="5"/>
  <c r="AD87" i="5"/>
  <c r="AC87" i="5"/>
  <c r="AB87" i="5"/>
  <c r="Z87" i="5"/>
  <c r="Y87" i="5"/>
  <c r="X87" i="5"/>
  <c r="W87" i="5"/>
  <c r="U87" i="5"/>
  <c r="T87" i="5"/>
  <c r="S87" i="5"/>
  <c r="R87" i="5"/>
  <c r="P87" i="5"/>
  <c r="O87" i="5"/>
  <c r="N87" i="5"/>
  <c r="M87" i="5"/>
  <c r="L87" i="5"/>
  <c r="CR86" i="5"/>
  <c r="CR88" i="5" s="1"/>
  <c r="CQ86" i="5"/>
  <c r="CP86" i="5"/>
  <c r="CQ88" i="5" s="1"/>
  <c r="CO86" i="5"/>
  <c r="CN86" i="5"/>
  <c r="CN188" i="5" s="1"/>
  <c r="CI86" i="5"/>
  <c r="CD86" i="5"/>
  <c r="CD188" i="5" s="1"/>
  <c r="BY86" i="5"/>
  <c r="BY188" i="5" s="1"/>
  <c r="BT86" i="5"/>
  <c r="BO86" i="5"/>
  <c r="BO188" i="5" s="1"/>
  <c r="BJ86" i="5"/>
  <c r="BJ188" i="5" s="1"/>
  <c r="BE86" i="5"/>
  <c r="BE188" i="5" s="1"/>
  <c r="AZ86" i="5"/>
  <c r="AU86" i="5"/>
  <c r="AU188" i="5" s="1"/>
  <c r="AP86" i="5"/>
  <c r="AP188" i="5" s="1"/>
  <c r="AI86" i="5"/>
  <c r="AI83" i="5"/>
  <c r="AI82" i="5"/>
  <c r="AF86" i="5"/>
  <c r="AF90" i="5" s="1"/>
  <c r="AA86" i="5"/>
  <c r="V86" i="5"/>
  <c r="Q86" i="5"/>
  <c r="L86" i="5"/>
  <c r="L188" i="5" s="1"/>
  <c r="AJ83" i="5"/>
  <c r="AJ82" i="5"/>
  <c r="K84" i="5"/>
  <c r="J84" i="5"/>
  <c r="I84" i="5"/>
  <c r="H84" i="5"/>
  <c r="A84" i="5"/>
  <c r="CM83" i="5"/>
  <c r="CL83" i="5"/>
  <c r="CK83" i="5"/>
  <c r="CJ83" i="5"/>
  <c r="CH83" i="5"/>
  <c r="CG83" i="5"/>
  <c r="CF83" i="5"/>
  <c r="CE83" i="5"/>
  <c r="CC83" i="5"/>
  <c r="CB83" i="5"/>
  <c r="CA83" i="5"/>
  <c r="BZ83" i="5"/>
  <c r="BX83" i="5"/>
  <c r="BW83" i="5"/>
  <c r="BV83" i="5"/>
  <c r="BU83" i="5"/>
  <c r="BS83" i="5"/>
  <c r="BR83" i="5"/>
  <c r="BQ83" i="5"/>
  <c r="BP83" i="5"/>
  <c r="BN83" i="5"/>
  <c r="BM83" i="5"/>
  <c r="BL83" i="5"/>
  <c r="BK83" i="5"/>
  <c r="BI83" i="5"/>
  <c r="BH83" i="5"/>
  <c r="BG83" i="5"/>
  <c r="BF83" i="5"/>
  <c r="BD83" i="5"/>
  <c r="BC83" i="5"/>
  <c r="BB83" i="5"/>
  <c r="BA83" i="5"/>
  <c r="AY83" i="5"/>
  <c r="AX83" i="5"/>
  <c r="AW83" i="5"/>
  <c r="AV83" i="5"/>
  <c r="AT84" i="5"/>
  <c r="AT83" i="5"/>
  <c r="DI83" i="5" s="1"/>
  <c r="AS83" i="5"/>
  <c r="DH83" i="5" s="1"/>
  <c r="AR83" i="5"/>
  <c r="DG83" i="5" s="1"/>
  <c r="AQ83" i="5"/>
  <c r="DF83" i="5" s="1"/>
  <c r="AO83" i="5"/>
  <c r="AN83" i="5"/>
  <c r="AM83" i="5"/>
  <c r="AL83" i="5"/>
  <c r="AE84" i="5"/>
  <c r="AE85" i="5" s="1"/>
  <c r="AD84" i="5"/>
  <c r="AD85" i="5" s="1"/>
  <c r="AC84" i="5"/>
  <c r="AC85" i="5" s="1"/>
  <c r="AB84" i="5"/>
  <c r="AB85" i="5" s="1"/>
  <c r="AE83" i="5"/>
  <c r="AD83" i="5"/>
  <c r="AC83" i="5"/>
  <c r="AB83" i="5"/>
  <c r="Z84" i="5"/>
  <c r="Z85" i="5" s="1"/>
  <c r="Y84" i="5"/>
  <c r="Y85" i="5" s="1"/>
  <c r="X84" i="5"/>
  <c r="X85" i="5" s="1"/>
  <c r="W84" i="5"/>
  <c r="W85" i="5" s="1"/>
  <c r="Z83" i="5"/>
  <c r="Y83" i="5"/>
  <c r="X83" i="5"/>
  <c r="W83" i="5"/>
  <c r="U84" i="5"/>
  <c r="U85" i="5" s="1"/>
  <c r="T84" i="5"/>
  <c r="T85" i="5" s="1"/>
  <c r="S84" i="5"/>
  <c r="S85" i="5" s="1"/>
  <c r="R84" i="5"/>
  <c r="R85" i="5" s="1"/>
  <c r="U83" i="5"/>
  <c r="T83" i="5"/>
  <c r="S83" i="5"/>
  <c r="R83" i="5"/>
  <c r="P85" i="5"/>
  <c r="P84" i="5"/>
  <c r="O84" i="5"/>
  <c r="O85" i="5" s="1"/>
  <c r="N84" i="5"/>
  <c r="N85" i="5" s="1"/>
  <c r="M84" i="5"/>
  <c r="M85" i="5" s="1"/>
  <c r="P83" i="5"/>
  <c r="O83" i="5"/>
  <c r="N83" i="5"/>
  <c r="M83" i="5"/>
  <c r="K83" i="5"/>
  <c r="J83" i="5"/>
  <c r="I83" i="5"/>
  <c r="CM82" i="5"/>
  <c r="CL82" i="5"/>
  <c r="CK82" i="5"/>
  <c r="CJ82" i="5"/>
  <c r="CH82" i="5"/>
  <c r="CG82" i="5"/>
  <c r="CF82" i="5"/>
  <c r="CE82" i="5"/>
  <c r="CC82" i="5"/>
  <c r="CB82" i="5"/>
  <c r="CA82" i="5"/>
  <c r="BZ82" i="5"/>
  <c r="BX82" i="5"/>
  <c r="BW82" i="5"/>
  <c r="BV82" i="5"/>
  <c r="BU82" i="5"/>
  <c r="BT82" i="5"/>
  <c r="BS82" i="5"/>
  <c r="BR82" i="5"/>
  <c r="BQ82" i="5"/>
  <c r="BP82" i="5"/>
  <c r="BN82" i="5"/>
  <c r="BM82" i="5"/>
  <c r="BL82" i="5"/>
  <c r="BK82" i="5"/>
  <c r="BI82" i="5"/>
  <c r="BH82" i="5"/>
  <c r="BG82" i="5"/>
  <c r="BF82" i="5"/>
  <c r="BD82" i="5"/>
  <c r="BC82" i="5"/>
  <c r="BB82" i="5"/>
  <c r="BA82" i="5"/>
  <c r="AZ82" i="5"/>
  <c r="AY82" i="5"/>
  <c r="AX82" i="5"/>
  <c r="AW82" i="5"/>
  <c r="AV82" i="5"/>
  <c r="AT82" i="5"/>
  <c r="AS82" i="5"/>
  <c r="AR82" i="5"/>
  <c r="AQ82" i="5"/>
  <c r="AO82" i="5"/>
  <c r="AN82" i="5"/>
  <c r="AM82" i="5"/>
  <c r="AL82" i="5"/>
  <c r="AH83" i="5"/>
  <c r="AG83" i="5"/>
  <c r="AH82" i="5"/>
  <c r="AG82" i="5"/>
  <c r="AF82" i="5"/>
  <c r="AE82" i="5"/>
  <c r="AD82" i="5"/>
  <c r="AC82" i="5"/>
  <c r="AB82" i="5"/>
  <c r="Z82" i="5"/>
  <c r="Y82" i="5"/>
  <c r="X82" i="5"/>
  <c r="W82" i="5"/>
  <c r="U82" i="5"/>
  <c r="T82" i="5"/>
  <c r="S82" i="5"/>
  <c r="R82" i="5"/>
  <c r="P82" i="5"/>
  <c r="O82" i="5"/>
  <c r="N82" i="5"/>
  <c r="M82" i="5"/>
  <c r="L82" i="5"/>
  <c r="CI81" i="5"/>
  <c r="CI75" i="5"/>
  <c r="CD81" i="5"/>
  <c r="Q17" i="171" s="1"/>
  <c r="Q50" i="171" s="1"/>
  <c r="CD75" i="5"/>
  <c r="CI76" i="5" s="1"/>
  <c r="BY81" i="5"/>
  <c r="BY75" i="5"/>
  <c r="CD76" i="5" s="1"/>
  <c r="BT81" i="5"/>
  <c r="BT79" i="5"/>
  <c r="BT75" i="5"/>
  <c r="BO81" i="5"/>
  <c r="BO75" i="5"/>
  <c r="BJ81" i="5"/>
  <c r="BJ75" i="5"/>
  <c r="BO76" i="5" s="1"/>
  <c r="BE81" i="5"/>
  <c r="BE358" i="5" s="1"/>
  <c r="BE360" i="5" s="1"/>
  <c r="BE75" i="5"/>
  <c r="BJ76" i="5" s="1"/>
  <c r="AZ81" i="5"/>
  <c r="AZ75" i="5"/>
  <c r="AU81" i="5"/>
  <c r="AU186" i="5" s="1"/>
  <c r="AU75" i="5"/>
  <c r="AU76" i="5" s="1"/>
  <c r="AP81" i="5"/>
  <c r="AP75" i="5"/>
  <c r="AK81" i="5"/>
  <c r="AK186" i="5" s="1"/>
  <c r="AK75" i="5"/>
  <c r="AP76" i="5" s="1"/>
  <c r="AF81" i="5"/>
  <c r="AF186" i="5" s="1"/>
  <c r="AF75" i="5"/>
  <c r="AA81" i="5"/>
  <c r="AA186" i="5" s="1"/>
  <c r="AA75" i="5"/>
  <c r="AA76" i="5" s="1"/>
  <c r="V81" i="5"/>
  <c r="V75" i="5"/>
  <c r="Q81" i="5"/>
  <c r="Q186" i="5" s="1"/>
  <c r="Q76" i="5"/>
  <c r="Q75" i="5"/>
  <c r="V76" i="5" s="1"/>
  <c r="L81" i="5"/>
  <c r="L186" i="5" s="1"/>
  <c r="CN81" i="5"/>
  <c r="CM79" i="5"/>
  <c r="CM80" i="5" s="1"/>
  <c r="CL79" i="5"/>
  <c r="CL80" i="5" s="1"/>
  <c r="CK79" i="5"/>
  <c r="CK80" i="5" s="1"/>
  <c r="CJ79" i="5"/>
  <c r="CJ80" i="5" s="1"/>
  <c r="A79" i="5"/>
  <c r="CM78" i="5"/>
  <c r="K77" i="5"/>
  <c r="J77" i="5"/>
  <c r="I77" i="5"/>
  <c r="H77" i="5"/>
  <c r="CQ77" i="5"/>
  <c r="CO77" i="5"/>
  <c r="CM77" i="5"/>
  <c r="CR77" i="5" s="1"/>
  <c r="CL77" i="5"/>
  <c r="CL78" i="5" s="1"/>
  <c r="CK77" i="5"/>
  <c r="CP77" i="5" s="1"/>
  <c r="CJ77" i="5"/>
  <c r="CN76" i="5"/>
  <c r="CM76" i="5"/>
  <c r="CL76" i="5"/>
  <c r="CK76" i="5"/>
  <c r="CJ76" i="5"/>
  <c r="CH79" i="5"/>
  <c r="CH80" i="5" s="1"/>
  <c r="CG79" i="5"/>
  <c r="CG80" i="5" s="1"/>
  <c r="CF79" i="5"/>
  <c r="CF80" i="5" s="1"/>
  <c r="CE79" i="5"/>
  <c r="CE80" i="5" s="1"/>
  <c r="CH77" i="5"/>
  <c r="CH78" i="5" s="1"/>
  <c r="CG77" i="5"/>
  <c r="CG78" i="5" s="1"/>
  <c r="CF77" i="5"/>
  <c r="CF78" i="5" s="1"/>
  <c r="CE77" i="5"/>
  <c r="CE78" i="5" s="1"/>
  <c r="CH76" i="5"/>
  <c r="CG76" i="5"/>
  <c r="CF76" i="5"/>
  <c r="CE76" i="5"/>
  <c r="CC79" i="5"/>
  <c r="CC80" i="5" s="1"/>
  <c r="CB79" i="5"/>
  <c r="CB80" i="5" s="1"/>
  <c r="CA79" i="5"/>
  <c r="CA80" i="5" s="1"/>
  <c r="BZ79" i="5"/>
  <c r="BZ80" i="5" s="1"/>
  <c r="CC77" i="5"/>
  <c r="CC78" i="5" s="1"/>
  <c r="CB77" i="5"/>
  <c r="CB78" i="5" s="1"/>
  <c r="CA77" i="5"/>
  <c r="CA78" i="5" s="1"/>
  <c r="BZ77" i="5"/>
  <c r="BZ78" i="5" s="1"/>
  <c r="CC76" i="5"/>
  <c r="CB76" i="5"/>
  <c r="CA76" i="5"/>
  <c r="BZ76" i="5"/>
  <c r="BX79" i="5"/>
  <c r="BX80" i="5" s="1"/>
  <c r="BW79" i="5"/>
  <c r="BW80" i="5" s="1"/>
  <c r="BV79" i="5"/>
  <c r="BV80" i="5" s="1"/>
  <c r="BU79" i="5"/>
  <c r="BU80" i="5" s="1"/>
  <c r="BX77" i="5"/>
  <c r="BX78" i="5" s="1"/>
  <c r="BW77" i="5"/>
  <c r="BW78" i="5" s="1"/>
  <c r="BV77" i="5"/>
  <c r="BV78" i="5" s="1"/>
  <c r="BU77" i="5"/>
  <c r="BU78" i="5" s="1"/>
  <c r="BX76" i="5"/>
  <c r="BW76" i="5"/>
  <c r="BV76" i="5"/>
  <c r="BU76" i="5"/>
  <c r="BS79" i="5"/>
  <c r="BS80" i="5" s="1"/>
  <c r="BR79" i="5"/>
  <c r="BR80" i="5" s="1"/>
  <c r="BQ79" i="5"/>
  <c r="BQ80" i="5" s="1"/>
  <c r="BP79" i="5"/>
  <c r="BP80" i="5" s="1"/>
  <c r="BS77" i="5"/>
  <c r="BS78" i="5" s="1"/>
  <c r="BR77" i="5"/>
  <c r="BR78" i="5" s="1"/>
  <c r="BQ77" i="5"/>
  <c r="BQ78" i="5" s="1"/>
  <c r="BP77" i="5"/>
  <c r="BP78" i="5" s="1"/>
  <c r="BS76" i="5"/>
  <c r="BR76" i="5"/>
  <c r="BQ76" i="5"/>
  <c r="BP76" i="5"/>
  <c r="BN79" i="5"/>
  <c r="BN80" i="5" s="1"/>
  <c r="BM79" i="5"/>
  <c r="BM80" i="5" s="1"/>
  <c r="BL79" i="5"/>
  <c r="BL80" i="5" s="1"/>
  <c r="BK79" i="5"/>
  <c r="BK80" i="5" s="1"/>
  <c r="BN77" i="5"/>
  <c r="BN78" i="5" s="1"/>
  <c r="BM77" i="5"/>
  <c r="BM78" i="5" s="1"/>
  <c r="BL77" i="5"/>
  <c r="BL78" i="5" s="1"/>
  <c r="BK77" i="5"/>
  <c r="BK78" i="5" s="1"/>
  <c r="BN76" i="5"/>
  <c r="BM76" i="5"/>
  <c r="BL76" i="5"/>
  <c r="BK76" i="5"/>
  <c r="BI79" i="5"/>
  <c r="BI80" i="5" s="1"/>
  <c r="BH79" i="5"/>
  <c r="BH80" i="5" s="1"/>
  <c r="BG79" i="5"/>
  <c r="BG80" i="5" s="1"/>
  <c r="BF79" i="5"/>
  <c r="BF80" i="5" s="1"/>
  <c r="BI77" i="5"/>
  <c r="BI78" i="5" s="1"/>
  <c r="BH77" i="5"/>
  <c r="BH78" i="5" s="1"/>
  <c r="BG77" i="5"/>
  <c r="BG78" i="5" s="1"/>
  <c r="BF77" i="5"/>
  <c r="BF78" i="5" s="1"/>
  <c r="BI76" i="5"/>
  <c r="BH76" i="5"/>
  <c r="BG76" i="5"/>
  <c r="BF76" i="5"/>
  <c r="BD79" i="5"/>
  <c r="BD80" i="5" s="1"/>
  <c r="BC79" i="5"/>
  <c r="BB79" i="5"/>
  <c r="BA79" i="5"/>
  <c r="BD77" i="5"/>
  <c r="BD78" i="5" s="1"/>
  <c r="BC77" i="5"/>
  <c r="BC78" i="5" s="1"/>
  <c r="BB77" i="5"/>
  <c r="BB78" i="5" s="1"/>
  <c r="BA77" i="5"/>
  <c r="BA78" i="5" s="1"/>
  <c r="BD76" i="5"/>
  <c r="BC76" i="5"/>
  <c r="BB76" i="5"/>
  <c r="BA76" i="5"/>
  <c r="AY79" i="5"/>
  <c r="AY80" i="5" s="1"/>
  <c r="AY77" i="5"/>
  <c r="AY78" i="5" s="1"/>
  <c r="AX77" i="5"/>
  <c r="AX78" i="5" s="1"/>
  <c r="AW77" i="5"/>
  <c r="AW78" i="5" s="1"/>
  <c r="AV77" i="5"/>
  <c r="AV78" i="5" s="1"/>
  <c r="AY76" i="5"/>
  <c r="AX76" i="5"/>
  <c r="AW76" i="5"/>
  <c r="AV76" i="5"/>
  <c r="AT79" i="5"/>
  <c r="AT80" i="5" s="1"/>
  <c r="AS79" i="5"/>
  <c r="AS80" i="5" s="1"/>
  <c r="AR79" i="5"/>
  <c r="AR80" i="5" s="1"/>
  <c r="AQ79" i="5"/>
  <c r="AQ80" i="5" s="1"/>
  <c r="AT77" i="5"/>
  <c r="AT78" i="5" s="1"/>
  <c r="AS77" i="5"/>
  <c r="AS78" i="5" s="1"/>
  <c r="AR77" i="5"/>
  <c r="AR78" i="5" s="1"/>
  <c r="AQ77" i="5"/>
  <c r="AQ78" i="5" s="1"/>
  <c r="AT76" i="5"/>
  <c r="AS76" i="5"/>
  <c r="AR76" i="5"/>
  <c r="AQ76" i="5"/>
  <c r="AO79" i="5"/>
  <c r="AO80" i="5" s="1"/>
  <c r="AN79" i="5"/>
  <c r="AN80" i="5" s="1"/>
  <c r="AM79" i="5"/>
  <c r="AM80" i="5" s="1"/>
  <c r="AL79" i="5"/>
  <c r="AL80" i="5" s="1"/>
  <c r="AO77" i="5"/>
  <c r="AO78" i="5" s="1"/>
  <c r="AN77" i="5"/>
  <c r="AN78" i="5" s="1"/>
  <c r="AM77" i="5"/>
  <c r="AM78" i="5" s="1"/>
  <c r="AL77" i="5"/>
  <c r="AL78" i="5" s="1"/>
  <c r="AO76" i="5"/>
  <c r="AN76" i="5"/>
  <c r="AM76" i="5"/>
  <c r="AL76" i="5"/>
  <c r="AJ79" i="5"/>
  <c r="AJ80" i="5" s="1"/>
  <c r="AI79" i="5"/>
  <c r="AI80" i="5" s="1"/>
  <c r="AH79" i="5"/>
  <c r="AH80" i="5" s="1"/>
  <c r="AG79" i="5"/>
  <c r="AG80" i="5" s="1"/>
  <c r="AJ77" i="5"/>
  <c r="AJ78" i="5" s="1"/>
  <c r="AI77" i="5"/>
  <c r="AI78" i="5" s="1"/>
  <c r="AH77" i="5"/>
  <c r="AH78" i="5" s="1"/>
  <c r="AG77" i="5"/>
  <c r="AG78" i="5" s="1"/>
  <c r="AJ76" i="5"/>
  <c r="AI76" i="5"/>
  <c r="AH76" i="5"/>
  <c r="AG76" i="5"/>
  <c r="AE79" i="5"/>
  <c r="AE80" i="5" s="1"/>
  <c r="AD79" i="5"/>
  <c r="AD80" i="5" s="1"/>
  <c r="AC79" i="5"/>
  <c r="AC80" i="5" s="1"/>
  <c r="AB79" i="5"/>
  <c r="AB80" i="5" s="1"/>
  <c r="AE77" i="5"/>
  <c r="AE78" i="5" s="1"/>
  <c r="AD77" i="5"/>
  <c r="AD78" i="5" s="1"/>
  <c r="AC77" i="5"/>
  <c r="AC78" i="5" s="1"/>
  <c r="AB77" i="5"/>
  <c r="AB78" i="5" s="1"/>
  <c r="AE76" i="5"/>
  <c r="AD76" i="5"/>
  <c r="AC76" i="5"/>
  <c r="AB76" i="5"/>
  <c r="Z79" i="5"/>
  <c r="Z80" i="5" s="1"/>
  <c r="Y79" i="5"/>
  <c r="Y80" i="5" s="1"/>
  <c r="X79" i="5"/>
  <c r="X80" i="5" s="1"/>
  <c r="W79" i="5"/>
  <c r="W80" i="5" s="1"/>
  <c r="Z77" i="5"/>
  <c r="Z78" i="5" s="1"/>
  <c r="Y77" i="5"/>
  <c r="Y78" i="5" s="1"/>
  <c r="X77" i="5"/>
  <c r="X78" i="5" s="1"/>
  <c r="W77" i="5"/>
  <c r="W78" i="5" s="1"/>
  <c r="Z76" i="5"/>
  <c r="Y76" i="5"/>
  <c r="X76" i="5"/>
  <c r="W76" i="5"/>
  <c r="U79" i="5"/>
  <c r="T79" i="5"/>
  <c r="S79" i="5"/>
  <c r="R79" i="5"/>
  <c r="R80" i="5" s="1"/>
  <c r="U77" i="5"/>
  <c r="U78" i="5" s="1"/>
  <c r="T77" i="5"/>
  <c r="T78" i="5" s="1"/>
  <c r="S77" i="5"/>
  <c r="S78" i="5" s="1"/>
  <c r="R77" i="5"/>
  <c r="R78" i="5" s="1"/>
  <c r="U76" i="5"/>
  <c r="T76" i="5"/>
  <c r="S76" i="5"/>
  <c r="R76" i="5"/>
  <c r="P77" i="5"/>
  <c r="P78" i="5" s="1"/>
  <c r="O77" i="5"/>
  <c r="N77" i="5"/>
  <c r="N78" i="5" s="1"/>
  <c r="M77" i="5"/>
  <c r="M78" i="5" s="1"/>
  <c r="P76" i="5"/>
  <c r="O76" i="5"/>
  <c r="N76" i="5"/>
  <c r="M76" i="5"/>
  <c r="L75" i="5"/>
  <c r="L76" i="5" s="1"/>
  <c r="CN75" i="5"/>
  <c r="DC71" i="5"/>
  <c r="CX71" i="5"/>
  <c r="CR71" i="5"/>
  <c r="CQ71" i="5"/>
  <c r="CP71" i="5"/>
  <c r="DC62" i="5"/>
  <c r="DC63" i="5" s="1"/>
  <c r="CX62" i="5"/>
  <c r="CP63" i="5"/>
  <c r="CL63" i="5"/>
  <c r="CH63" i="5"/>
  <c r="BZ63" i="5"/>
  <c r="BV63" i="5"/>
  <c r="BR63" i="5"/>
  <c r="BN63" i="5"/>
  <c r="BF63" i="5"/>
  <c r="AT63" i="5"/>
  <c r="AL63" i="5"/>
  <c r="AH63" i="5"/>
  <c r="AD63" i="5"/>
  <c r="Z63" i="5"/>
  <c r="R63" i="5"/>
  <c r="P63" i="5"/>
  <c r="O63" i="5"/>
  <c r="N63" i="5"/>
  <c r="M63" i="5"/>
  <c r="CM62" i="5"/>
  <c r="CM63" i="5" s="1"/>
  <c r="CL62" i="5"/>
  <c r="CK62" i="5"/>
  <c r="CK63" i="5" s="1"/>
  <c r="CJ62" i="5"/>
  <c r="CO63" i="5" s="1"/>
  <c r="CI62" i="5"/>
  <c r="F48" i="171" s="1"/>
  <c r="CH62" i="5"/>
  <c r="CG62" i="5"/>
  <c r="CG63" i="5" s="1"/>
  <c r="CF62" i="5"/>
  <c r="CE62" i="5"/>
  <c r="CC62" i="5"/>
  <c r="CC63" i="5" s="1"/>
  <c r="CB62" i="5"/>
  <c r="CA62" i="5"/>
  <c r="BZ62" i="5"/>
  <c r="BX62" i="5"/>
  <c r="BW62" i="5"/>
  <c r="BV62" i="5"/>
  <c r="BU62" i="5"/>
  <c r="BU63" i="5" s="1"/>
  <c r="BS62" i="5"/>
  <c r="BR62" i="5"/>
  <c r="BQ62" i="5"/>
  <c r="BQ63" i="5" s="1"/>
  <c r="BP62" i="5"/>
  <c r="BO62" i="5"/>
  <c r="BN62" i="5"/>
  <c r="BM62" i="5"/>
  <c r="BM63" i="5" s="1"/>
  <c r="BL62" i="5"/>
  <c r="BK62" i="5"/>
  <c r="BI62" i="5"/>
  <c r="BI63" i="5" s="1"/>
  <c r="BH62" i="5"/>
  <c r="BG62" i="5"/>
  <c r="BF62" i="5"/>
  <c r="BD62" i="5"/>
  <c r="BC62" i="5"/>
  <c r="BB62" i="5"/>
  <c r="BA62" i="5"/>
  <c r="AY62" i="5"/>
  <c r="AT62" i="5"/>
  <c r="AS62" i="5"/>
  <c r="AS63" i="5" s="1"/>
  <c r="AR62" i="5"/>
  <c r="AQ62" i="5"/>
  <c r="AQ63" i="5" s="1"/>
  <c r="AO62" i="5"/>
  <c r="AO63" i="5" s="1"/>
  <c r="AN62" i="5"/>
  <c r="AM62" i="5"/>
  <c r="AL62" i="5"/>
  <c r="AJ62" i="5"/>
  <c r="AI62" i="5"/>
  <c r="AH62" i="5"/>
  <c r="AG62" i="5"/>
  <c r="AG63" i="5" s="1"/>
  <c r="AE62" i="5"/>
  <c r="AD62" i="5"/>
  <c r="AC62" i="5"/>
  <c r="AC63" i="5" s="1"/>
  <c r="AB62" i="5"/>
  <c r="AA62" i="5"/>
  <c r="Z62" i="5"/>
  <c r="Y62" i="5"/>
  <c r="Y63" i="5" s="1"/>
  <c r="X62" i="5"/>
  <c r="W62" i="5"/>
  <c r="W63" i="5" s="1"/>
  <c r="U62" i="5"/>
  <c r="U63" i="5" s="1"/>
  <c r="T62" i="5"/>
  <c r="T63" i="5" s="1"/>
  <c r="S62" i="5"/>
  <c r="S63" i="5" s="1"/>
  <c r="R62" i="5"/>
  <c r="CM61" i="5"/>
  <c r="CL61" i="5"/>
  <c r="CK61" i="5"/>
  <c r="CJ61" i="5"/>
  <c r="CI61" i="5"/>
  <c r="CH61" i="5"/>
  <c r="CG61" i="5"/>
  <c r="CF61" i="5"/>
  <c r="CE61" i="5"/>
  <c r="CC61" i="5"/>
  <c r="CB61" i="5"/>
  <c r="CA61" i="5"/>
  <c r="BZ61" i="5"/>
  <c r="BX61" i="5"/>
  <c r="BW61" i="5"/>
  <c r="BV61" i="5"/>
  <c r="BU61" i="5"/>
  <c r="BS61" i="5"/>
  <c r="BR61" i="5"/>
  <c r="BQ61" i="5"/>
  <c r="BP61" i="5"/>
  <c r="BO61" i="5"/>
  <c r="BN61" i="5"/>
  <c r="BM61" i="5"/>
  <c r="BL61" i="5"/>
  <c r="BK61" i="5"/>
  <c r="BI61" i="5"/>
  <c r="BH61" i="5"/>
  <c r="BG61" i="5"/>
  <c r="BF61" i="5"/>
  <c r="BD61" i="5"/>
  <c r="AY61" i="5"/>
  <c r="AU61" i="5"/>
  <c r="AT61" i="5"/>
  <c r="AS61" i="5"/>
  <c r="AR61" i="5"/>
  <c r="AQ61" i="5"/>
  <c r="AO61" i="5"/>
  <c r="AN61" i="5"/>
  <c r="AM61" i="5"/>
  <c r="AL61" i="5"/>
  <c r="AJ61" i="5"/>
  <c r="AI61" i="5"/>
  <c r="AH61" i="5"/>
  <c r="AG61" i="5"/>
  <c r="AE61" i="5"/>
  <c r="AD61" i="5"/>
  <c r="AC61" i="5"/>
  <c r="AB61" i="5"/>
  <c r="Z61" i="5"/>
  <c r="Y61" i="5"/>
  <c r="X61" i="5"/>
  <c r="W61" i="5"/>
  <c r="CR62" i="5"/>
  <c r="CR63" i="5" s="1"/>
  <c r="CQ62" i="5"/>
  <c r="CQ63" i="5" s="1"/>
  <c r="CP62" i="5"/>
  <c r="CN60" i="5"/>
  <c r="CN79" i="5" s="1"/>
  <c r="CI60" i="5"/>
  <c r="CI184" i="5" s="1"/>
  <c r="CI54" i="5"/>
  <c r="CI47" i="5"/>
  <c r="CI48" i="5" s="1"/>
  <c r="CI45" i="5"/>
  <c r="CI49" i="5" s="1"/>
  <c r="CD60" i="5"/>
  <c r="CD184" i="5" s="1"/>
  <c r="CD53" i="5"/>
  <c r="CD49" i="5"/>
  <c r="CD47" i="5"/>
  <c r="CD48" i="5" s="1"/>
  <c r="CD45" i="5"/>
  <c r="BY60" i="5"/>
  <c r="BY184" i="5" s="1"/>
  <c r="BY53" i="5"/>
  <c r="BY47" i="5"/>
  <c r="BY48" i="5" s="1"/>
  <c r="BY45" i="5"/>
  <c r="BY46" i="5" s="1"/>
  <c r="BT60" i="5"/>
  <c r="BT184" i="5" s="1"/>
  <c r="BT53" i="5"/>
  <c r="BT49" i="5"/>
  <c r="BT47" i="5"/>
  <c r="BT48" i="5" s="1"/>
  <c r="BT45" i="5"/>
  <c r="BO60" i="5"/>
  <c r="BO184" i="5" s="1"/>
  <c r="BO53" i="5"/>
  <c r="BO47" i="5"/>
  <c r="BO48" i="5" s="1"/>
  <c r="BO45" i="5"/>
  <c r="BO46" i="5" s="1"/>
  <c r="BJ60" i="5"/>
  <c r="BJ184" i="5" s="1"/>
  <c r="BJ53" i="5"/>
  <c r="BJ49" i="5"/>
  <c r="BJ47" i="5"/>
  <c r="BJ48" i="5" s="1"/>
  <c r="BJ45" i="5"/>
  <c r="BE60" i="5"/>
  <c r="BE184" i="5" s="1"/>
  <c r="BE53" i="5"/>
  <c r="BE47" i="5"/>
  <c r="BE48" i="5" s="1"/>
  <c r="BE45" i="5"/>
  <c r="AZ53" i="5"/>
  <c r="BE54" i="5" s="1"/>
  <c r="AZ47" i="5"/>
  <c r="AZ48" i="5" s="1"/>
  <c r="AZ45" i="5"/>
  <c r="AX60" i="5"/>
  <c r="AW60" i="5"/>
  <c r="AV60" i="5"/>
  <c r="AV105" i="5" s="1"/>
  <c r="AU60" i="5"/>
  <c r="AU62" i="5" s="1"/>
  <c r="AP60" i="5"/>
  <c r="AP53" i="5"/>
  <c r="AP47" i="5"/>
  <c r="AP48" i="5" s="1"/>
  <c r="AP45" i="5"/>
  <c r="AK60" i="5"/>
  <c r="AK53" i="5"/>
  <c r="AK47" i="5"/>
  <c r="AK48" i="5" s="1"/>
  <c r="AK45" i="5"/>
  <c r="AF60" i="5"/>
  <c r="AF53" i="5"/>
  <c r="AF47" i="5"/>
  <c r="AF48" i="5" s="1"/>
  <c r="AA60" i="5"/>
  <c r="AA53" i="5"/>
  <c r="AA47" i="5"/>
  <c r="AA48" i="5" s="1"/>
  <c r="AA45" i="5"/>
  <c r="V60" i="5"/>
  <c r="V53" i="5"/>
  <c r="P60" i="5"/>
  <c r="P105" i="5" s="1"/>
  <c r="O60" i="5"/>
  <c r="N60" i="5"/>
  <c r="S61" i="5" s="1"/>
  <c r="M60" i="5"/>
  <c r="M79" i="5" s="1"/>
  <c r="K60" i="5"/>
  <c r="J60" i="5"/>
  <c r="I60" i="5"/>
  <c r="I105" i="5" s="1"/>
  <c r="H60" i="5"/>
  <c r="CS47" i="5"/>
  <c r="CJ58" i="5"/>
  <c r="G58" i="5"/>
  <c r="G56" i="5"/>
  <c r="CM55" i="5"/>
  <c r="CL55" i="5"/>
  <c r="CK55" i="5"/>
  <c r="CJ55" i="5"/>
  <c r="CE55" i="5"/>
  <c r="BZ55" i="5"/>
  <c r="DQ54" i="5"/>
  <c r="DN54" i="5"/>
  <c r="DN53" i="5"/>
  <c r="DL54" i="5"/>
  <c r="DM55" i="5" s="1"/>
  <c r="CC54" i="5"/>
  <c r="CH55" i="5" s="1"/>
  <c r="CB54" i="5"/>
  <c r="CG55" i="5" s="1"/>
  <c r="CA54" i="5"/>
  <c r="CD54" i="5" s="1"/>
  <c r="BX54" i="5"/>
  <c r="BW54" i="5"/>
  <c r="BV54" i="5"/>
  <c r="BU54" i="5"/>
  <c r="BS54" i="5"/>
  <c r="BS58" i="5" s="1"/>
  <c r="BR54" i="5"/>
  <c r="BQ54" i="5"/>
  <c r="BP54" i="5"/>
  <c r="BN54" i="5"/>
  <c r="BN55" i="5" s="1"/>
  <c r="BM54" i="5"/>
  <c r="BL54" i="5"/>
  <c r="BK54" i="5"/>
  <c r="BI54" i="5"/>
  <c r="BI58" i="5" s="1"/>
  <c r="BH54" i="5"/>
  <c r="BG54" i="5"/>
  <c r="BF54" i="5"/>
  <c r="BD54" i="5"/>
  <c r="BD55" i="5" s="1"/>
  <c r="BC54" i="5"/>
  <c r="BC58" i="5" s="1"/>
  <c r="BB54" i="5"/>
  <c r="BB58" i="5" s="1"/>
  <c r="BA54" i="5"/>
  <c r="BA58" i="5" s="1"/>
  <c r="AT56" i="5"/>
  <c r="AY55" i="5"/>
  <c r="AQ55" i="5"/>
  <c r="AY54" i="5"/>
  <c r="AY58" i="5" s="1"/>
  <c r="AX54" i="5"/>
  <c r="AX55" i="5" s="1"/>
  <c r="AW54" i="5"/>
  <c r="AV54" i="5"/>
  <c r="AZ54" i="5" s="1"/>
  <c r="AT54" i="5"/>
  <c r="AT55" i="5" s="1"/>
  <c r="AS54" i="5"/>
  <c r="AR54" i="5"/>
  <c r="AQ54" i="5"/>
  <c r="AQ58" i="5" s="1"/>
  <c r="AO54" i="5"/>
  <c r="AO58" i="5" s="1"/>
  <c r="AO59" i="5" s="1"/>
  <c r="AN54" i="5"/>
  <c r="AN58" i="5" s="1"/>
  <c r="AM54" i="5"/>
  <c r="AM58" i="5" s="1"/>
  <c r="AL54" i="5"/>
  <c r="AP54" i="5" s="1"/>
  <c r="AJ54" i="5"/>
  <c r="AJ58" i="5" s="1"/>
  <c r="AI54" i="5"/>
  <c r="AI58" i="5" s="1"/>
  <c r="AH54" i="5"/>
  <c r="AH58" i="5" s="1"/>
  <c r="AG54" i="5"/>
  <c r="AK54" i="5" s="1"/>
  <c r="AE54" i="5"/>
  <c r="AE56" i="5" s="1"/>
  <c r="AD54" i="5"/>
  <c r="AD58" i="5" s="1"/>
  <c r="AC54" i="5"/>
  <c r="AC55" i="5" s="1"/>
  <c r="AB54" i="5"/>
  <c r="AF54" i="5" s="1"/>
  <c r="Z54" i="5"/>
  <c r="Z58" i="5" s="1"/>
  <c r="Y54" i="5"/>
  <c r="Y58" i="5" s="1"/>
  <c r="X54" i="5"/>
  <c r="X58" i="5" s="1"/>
  <c r="W54" i="5"/>
  <c r="AA54" i="5" s="1"/>
  <c r="S56" i="5"/>
  <c r="U54" i="5"/>
  <c r="U56" i="5" s="1"/>
  <c r="T54" i="5"/>
  <c r="T56" i="5" s="1"/>
  <c r="S54" i="5"/>
  <c r="M54" i="5"/>
  <c r="M56" i="5" s="1"/>
  <c r="K54" i="5"/>
  <c r="K58" i="5" s="1"/>
  <c r="J54" i="5"/>
  <c r="J58" i="5" s="1"/>
  <c r="I54" i="5"/>
  <c r="I58" i="5" s="1"/>
  <c r="H54" i="5"/>
  <c r="H58" i="5" s="1"/>
  <c r="DP53" i="5"/>
  <c r="DP55" i="5" s="1"/>
  <c r="AU53" i="5"/>
  <c r="AU47" i="5"/>
  <c r="AU48" i="5" s="1"/>
  <c r="AU45" i="5"/>
  <c r="P53" i="5"/>
  <c r="R54" i="5" s="1"/>
  <c r="N53" i="5"/>
  <c r="O54" i="5" s="1"/>
  <c r="M53" i="5"/>
  <c r="N54" i="5" s="1"/>
  <c r="L53" i="5"/>
  <c r="DB51" i="5"/>
  <c r="DA51" i="5"/>
  <c r="CZ51" i="5"/>
  <c r="CY51" i="5"/>
  <c r="CW51" i="5"/>
  <c r="CV51" i="5"/>
  <c r="CU51" i="5"/>
  <c r="CT51" i="5"/>
  <c r="M52" i="5"/>
  <c r="R51" i="5"/>
  <c r="R52" i="5" s="1"/>
  <c r="P51" i="5"/>
  <c r="P52" i="5" s="1"/>
  <c r="O51" i="5"/>
  <c r="O52" i="5" s="1"/>
  <c r="N51" i="5"/>
  <c r="N52" i="5" s="1"/>
  <c r="M51" i="5"/>
  <c r="K51" i="5"/>
  <c r="J51" i="5"/>
  <c r="I51" i="5"/>
  <c r="H51" i="5"/>
  <c r="A51" i="5"/>
  <c r="CM49" i="5"/>
  <c r="CM58" i="5" s="1"/>
  <c r="CL49" i="5"/>
  <c r="CL51" i="5" s="1"/>
  <c r="CK49" i="5"/>
  <c r="CK51" i="5" s="1"/>
  <c r="CJ49" i="5"/>
  <c r="CJ51" i="5" s="1"/>
  <c r="DB48" i="5"/>
  <c r="DA48" i="5"/>
  <c r="CZ48" i="5"/>
  <c r="CY48" i="5"/>
  <c r="CN54" i="5"/>
  <c r="CN55" i="5" s="1"/>
  <c r="CM48" i="5"/>
  <c r="CL48" i="5"/>
  <c r="CE53" i="5"/>
  <c r="CF53" i="5" s="1"/>
  <c r="CG53" i="5" s="1"/>
  <c r="CH53" i="5" s="1"/>
  <c r="CH49" i="5"/>
  <c r="CH58" i="5" s="1"/>
  <c r="CG49" i="5"/>
  <c r="CG58" i="5" s="1"/>
  <c r="CF49" i="5"/>
  <c r="CF58" i="5" s="1"/>
  <c r="CE49" i="5"/>
  <c r="CE58" i="5" s="1"/>
  <c r="CH48" i="5"/>
  <c r="CG48" i="5"/>
  <c r="CF48" i="5"/>
  <c r="CE48" i="5"/>
  <c r="CC49" i="5"/>
  <c r="CC58" i="5" s="1"/>
  <c r="CB49" i="5"/>
  <c r="CB58" i="5" s="1"/>
  <c r="CA49" i="5"/>
  <c r="CA58" i="5" s="1"/>
  <c r="BZ49" i="5"/>
  <c r="BZ58" i="5" s="1"/>
  <c r="CC48" i="5"/>
  <c r="CB48" i="5"/>
  <c r="CA48" i="5"/>
  <c r="BZ48" i="5"/>
  <c r="BX49" i="5"/>
  <c r="BX51" i="5" s="1"/>
  <c r="BW49" i="5"/>
  <c r="BW58" i="5" s="1"/>
  <c r="BV49" i="5"/>
  <c r="BV58" i="5" s="1"/>
  <c r="BU49" i="5"/>
  <c r="BU50" i="5" s="1"/>
  <c r="BX48" i="5"/>
  <c r="BW48" i="5"/>
  <c r="BV48" i="5"/>
  <c r="BU48" i="5"/>
  <c r="BS49" i="5"/>
  <c r="BS51" i="5" s="1"/>
  <c r="BS52" i="5" s="1"/>
  <c r="BR49" i="5"/>
  <c r="BR58" i="5" s="1"/>
  <c r="BQ49" i="5"/>
  <c r="BQ58" i="5" s="1"/>
  <c r="BP49" i="5"/>
  <c r="BP51" i="5" s="1"/>
  <c r="BS48" i="5"/>
  <c r="BR48" i="5"/>
  <c r="BQ48" i="5"/>
  <c r="BP48" i="5"/>
  <c r="BN49" i="5"/>
  <c r="BN51" i="5" s="1"/>
  <c r="BM49" i="5"/>
  <c r="BM58" i="5" s="1"/>
  <c r="BL49" i="5"/>
  <c r="BL58" i="5" s="1"/>
  <c r="BK49" i="5"/>
  <c r="BK51" i="5" s="1"/>
  <c r="BN48" i="5"/>
  <c r="BM48" i="5"/>
  <c r="BL48" i="5"/>
  <c r="BK48" i="5"/>
  <c r="BI49" i="5"/>
  <c r="BI51" i="5" s="1"/>
  <c r="BH49" i="5"/>
  <c r="BH58" i="5" s="1"/>
  <c r="BH59" i="5" s="1"/>
  <c r="BG49" i="5"/>
  <c r="BG58" i="5" s="1"/>
  <c r="BG59" i="5" s="1"/>
  <c r="BF49" i="5"/>
  <c r="BF51" i="5" s="1"/>
  <c r="BI48" i="5"/>
  <c r="BH48" i="5"/>
  <c r="BG48" i="5"/>
  <c r="BF48" i="5"/>
  <c r="BD49" i="5"/>
  <c r="BD51" i="5" s="1"/>
  <c r="BD52" i="5" s="1"/>
  <c r="BC49" i="5"/>
  <c r="BC51" i="5" s="1"/>
  <c r="BB49" i="5"/>
  <c r="BB51" i="5" s="1"/>
  <c r="BA49" i="5"/>
  <c r="BA50" i="5" s="1"/>
  <c r="BD48" i="5"/>
  <c r="BC48" i="5"/>
  <c r="BB48" i="5"/>
  <c r="BA48" i="5"/>
  <c r="AY49" i="5"/>
  <c r="AY51" i="5" s="1"/>
  <c r="AX49" i="5"/>
  <c r="AX51" i="5" s="1"/>
  <c r="AW49" i="5"/>
  <c r="AW51" i="5" s="1"/>
  <c r="AV49" i="5"/>
  <c r="AV51" i="5" s="1"/>
  <c r="AY48" i="5"/>
  <c r="AX48" i="5"/>
  <c r="AW48" i="5"/>
  <c r="AV48" i="5"/>
  <c r="AT49" i="5"/>
  <c r="AT51" i="5" s="1"/>
  <c r="AS49" i="5"/>
  <c r="AS51" i="5" s="1"/>
  <c r="AR49" i="5"/>
  <c r="AR51" i="5" s="1"/>
  <c r="AQ49" i="5"/>
  <c r="AQ51" i="5" s="1"/>
  <c r="AT48" i="5"/>
  <c r="AS48" i="5"/>
  <c r="AR48" i="5"/>
  <c r="AQ48" i="5"/>
  <c r="AO49" i="5"/>
  <c r="AO51" i="5" s="1"/>
  <c r="AN49" i="5"/>
  <c r="AN51" i="5" s="1"/>
  <c r="AM49" i="5"/>
  <c r="AM51" i="5" s="1"/>
  <c r="AL49" i="5"/>
  <c r="AL50" i="5" s="1"/>
  <c r="AO48" i="5"/>
  <c r="AN48" i="5"/>
  <c r="AM48" i="5"/>
  <c r="AL48" i="5"/>
  <c r="AJ49" i="5"/>
  <c r="AJ51" i="5" s="1"/>
  <c r="AI49" i="5"/>
  <c r="AI51" i="5" s="1"/>
  <c r="AH49" i="5"/>
  <c r="AH51" i="5" s="1"/>
  <c r="AG49" i="5"/>
  <c r="AG50" i="5" s="1"/>
  <c r="AJ48" i="5"/>
  <c r="AI48" i="5"/>
  <c r="AH48" i="5"/>
  <c r="AG48" i="5"/>
  <c r="AD49" i="5"/>
  <c r="AD51" i="5" s="1"/>
  <c r="AC49" i="5"/>
  <c r="AC51" i="5" s="1"/>
  <c r="AB49" i="5"/>
  <c r="AB50" i="5" s="1"/>
  <c r="AE48" i="5"/>
  <c r="AD48" i="5"/>
  <c r="AC48" i="5"/>
  <c r="AB48" i="5"/>
  <c r="Z49" i="5"/>
  <c r="Z51" i="5" s="1"/>
  <c r="Y49" i="5"/>
  <c r="Y51" i="5" s="1"/>
  <c r="X49" i="5"/>
  <c r="X51" i="5" s="1"/>
  <c r="W49" i="5"/>
  <c r="W51" i="5" s="1"/>
  <c r="W52" i="5" s="1"/>
  <c r="Z48" i="5"/>
  <c r="Y48" i="5"/>
  <c r="X48" i="5"/>
  <c r="W48" i="5"/>
  <c r="U49" i="5"/>
  <c r="U51" i="5" s="1"/>
  <c r="U52" i="5" s="1"/>
  <c r="T49" i="5"/>
  <c r="T51" i="5" s="1"/>
  <c r="T52" i="5" s="1"/>
  <c r="R49" i="5"/>
  <c r="U48" i="5"/>
  <c r="T48" i="5"/>
  <c r="S48" i="5"/>
  <c r="R48" i="5"/>
  <c r="CN47" i="5"/>
  <c r="CN48" i="5" s="1"/>
  <c r="CN46" i="5"/>
  <c r="CN45" i="5"/>
  <c r="CN49" i="5" s="1"/>
  <c r="V47" i="5"/>
  <c r="V48" i="5" s="1"/>
  <c r="CM46" i="5"/>
  <c r="CL46" i="5"/>
  <c r="CK46" i="5"/>
  <c r="CJ46" i="5"/>
  <c r="CH46" i="5"/>
  <c r="CG46" i="5"/>
  <c r="CF46" i="5"/>
  <c r="CE46" i="5"/>
  <c r="CC46" i="5"/>
  <c r="CB46" i="5"/>
  <c r="CA46" i="5"/>
  <c r="BZ46" i="5"/>
  <c r="BX46" i="5"/>
  <c r="BW46" i="5"/>
  <c r="BV46" i="5"/>
  <c r="BU46" i="5"/>
  <c r="BS46" i="5"/>
  <c r="BR46" i="5"/>
  <c r="BQ46" i="5"/>
  <c r="BP46" i="5"/>
  <c r="BN46" i="5"/>
  <c r="BM46" i="5"/>
  <c r="BL46" i="5"/>
  <c r="BK46" i="5"/>
  <c r="BI46" i="5"/>
  <c r="BH46" i="5"/>
  <c r="BG46" i="5"/>
  <c r="BF46" i="5"/>
  <c r="BD46" i="5"/>
  <c r="BC46" i="5"/>
  <c r="BB46" i="5"/>
  <c r="BA46" i="5"/>
  <c r="AY46" i="5"/>
  <c r="AX46" i="5"/>
  <c r="AW46" i="5"/>
  <c r="AV46" i="5"/>
  <c r="AT46" i="5"/>
  <c r="AS46" i="5"/>
  <c r="AR46" i="5"/>
  <c r="AQ46" i="5"/>
  <c r="AO46" i="5"/>
  <c r="AN46" i="5"/>
  <c r="AM46" i="5"/>
  <c r="AL46" i="5"/>
  <c r="AI46" i="5"/>
  <c r="AH46" i="5"/>
  <c r="AG46" i="5"/>
  <c r="AD46" i="5"/>
  <c r="AC46" i="5"/>
  <c r="AB46" i="5"/>
  <c r="Z46" i="5"/>
  <c r="Y46" i="5"/>
  <c r="W46" i="5"/>
  <c r="U46" i="5"/>
  <c r="T46" i="5"/>
  <c r="R46" i="5"/>
  <c r="P46" i="5"/>
  <c r="O46" i="5"/>
  <c r="N46" i="5"/>
  <c r="M46" i="5"/>
  <c r="AE45" i="5"/>
  <c r="AE49" i="5" s="1"/>
  <c r="S45" i="5"/>
  <c r="S105" i="5" s="1"/>
  <c r="Q45" i="5"/>
  <c r="Q51" i="5" s="1"/>
  <c r="L45" i="5"/>
  <c r="K40" i="5"/>
  <c r="K115" i="5" s="1"/>
  <c r="J40" i="5"/>
  <c r="J115" i="5" s="1"/>
  <c r="I40" i="5"/>
  <c r="I115" i="5" s="1"/>
  <c r="H40" i="5"/>
  <c r="H115" i="5" s="1"/>
  <c r="G40" i="5"/>
  <c r="G115" i="5" s="1"/>
  <c r="B40" i="5"/>
  <c r="B115" i="5" s="1"/>
  <c r="B119" i="5" s="1"/>
  <c r="B120" i="5" s="1"/>
  <c r="CK42" i="5"/>
  <c r="CK43" i="5" s="1"/>
  <c r="CJ42" i="5"/>
  <c r="CG42" i="5"/>
  <c r="CG43" i="5" s="1"/>
  <c r="CF42" i="5"/>
  <c r="CC42" i="5"/>
  <c r="CC43" i="5" s="1"/>
  <c r="CB42" i="5"/>
  <c r="BX42" i="5"/>
  <c r="BU42" i="5"/>
  <c r="BU43" i="5" s="1"/>
  <c r="BQ42" i="5"/>
  <c r="BQ43" i="5" s="1"/>
  <c r="BP42" i="5"/>
  <c r="BM42" i="5"/>
  <c r="BM43" i="5" s="1"/>
  <c r="BL42" i="5"/>
  <c r="BI42" i="5"/>
  <c r="BI43" i="5" s="1"/>
  <c r="BH42" i="5"/>
  <c r="BD42" i="5"/>
  <c r="AW42" i="5"/>
  <c r="AW43" i="5" s="1"/>
  <c r="AV42" i="5"/>
  <c r="AS42" i="5"/>
  <c r="AS43" i="5" s="1"/>
  <c r="AR42" i="5"/>
  <c r="AO42" i="5"/>
  <c r="AO43" i="5" s="1"/>
  <c r="AN42" i="5"/>
  <c r="AJ42" i="5"/>
  <c r="AG42" i="5"/>
  <c r="AG43" i="5" s="1"/>
  <c r="AC42" i="5"/>
  <c r="AC43" i="5" s="1"/>
  <c r="AB42" i="5"/>
  <c r="Y42" i="5"/>
  <c r="Y43" i="5" s="1"/>
  <c r="X42" i="5"/>
  <c r="U42" i="5"/>
  <c r="U43" i="5" s="1"/>
  <c r="T42" i="5"/>
  <c r="P42" i="5"/>
  <c r="M42" i="5"/>
  <c r="CK41" i="5"/>
  <c r="CG41" i="5"/>
  <c r="CC41" i="5"/>
  <c r="BU41" i="5"/>
  <c r="BQ41" i="5"/>
  <c r="BM41" i="5"/>
  <c r="BI41" i="5"/>
  <c r="AW41" i="5"/>
  <c r="AS41" i="5"/>
  <c r="AO41" i="5"/>
  <c r="AG41" i="5"/>
  <c r="AC41" i="5"/>
  <c r="Y41" i="5"/>
  <c r="U41" i="5"/>
  <c r="M41" i="5"/>
  <c r="CM40" i="5"/>
  <c r="CM115" i="5" s="1"/>
  <c r="CL40" i="5"/>
  <c r="CL115" i="5" s="1"/>
  <c r="CK40" i="5"/>
  <c r="CK115" i="5" s="1"/>
  <c r="CJ40" i="5"/>
  <c r="CJ115" i="5" s="1"/>
  <c r="CH40" i="5"/>
  <c r="CH115" i="5" s="1"/>
  <c r="CG40" i="5"/>
  <c r="CG115" i="5" s="1"/>
  <c r="CF40" i="5"/>
  <c r="CF115" i="5" s="1"/>
  <c r="CE40" i="5"/>
  <c r="CE115" i="5" s="1"/>
  <c r="CC40" i="5"/>
  <c r="CC115" i="5" s="1"/>
  <c r="CB40" i="5"/>
  <c r="CB115" i="5" s="1"/>
  <c r="CA40" i="5"/>
  <c r="CA115" i="5" s="1"/>
  <c r="BZ40" i="5"/>
  <c r="BZ115" i="5" s="1"/>
  <c r="BX40" i="5"/>
  <c r="BX115" i="5" s="1"/>
  <c r="BW40" i="5"/>
  <c r="BW115" i="5" s="1"/>
  <c r="BV40" i="5"/>
  <c r="BV115" i="5" s="1"/>
  <c r="BU40" i="5"/>
  <c r="BU115" i="5" s="1"/>
  <c r="BS40" i="5"/>
  <c r="BS115" i="5" s="1"/>
  <c r="BR40" i="5"/>
  <c r="BR115" i="5" s="1"/>
  <c r="BR116" i="5" s="1"/>
  <c r="BQ40" i="5"/>
  <c r="BQ115" i="5" s="1"/>
  <c r="BP40" i="5"/>
  <c r="BP115" i="5" s="1"/>
  <c r="BN40" i="5"/>
  <c r="BN115" i="5" s="1"/>
  <c r="BM40" i="5"/>
  <c r="BM115" i="5" s="1"/>
  <c r="BL40" i="5"/>
  <c r="BL115" i="5" s="1"/>
  <c r="BK40" i="5"/>
  <c r="BK42" i="5" s="1"/>
  <c r="BI40" i="5"/>
  <c r="BI115" i="5" s="1"/>
  <c r="BH40" i="5"/>
  <c r="BH115" i="5" s="1"/>
  <c r="BG40" i="5"/>
  <c r="BG115" i="5" s="1"/>
  <c r="BF40" i="5"/>
  <c r="BF115" i="5" s="1"/>
  <c r="BD40" i="5"/>
  <c r="BD115" i="5" s="1"/>
  <c r="BC40" i="5"/>
  <c r="BC115" i="5" s="1"/>
  <c r="BB40" i="5"/>
  <c r="BB115" i="5" s="1"/>
  <c r="AY40" i="5"/>
  <c r="AY115" i="5" s="1"/>
  <c r="AX40" i="5"/>
  <c r="AX115" i="5" s="1"/>
  <c r="AW40" i="5"/>
  <c r="AW115" i="5" s="1"/>
  <c r="AV40" i="5"/>
  <c r="AV115" i="5" s="1"/>
  <c r="AT40" i="5"/>
  <c r="AT115" i="5" s="1"/>
  <c r="AS40" i="5"/>
  <c r="AS115" i="5" s="1"/>
  <c r="AR40" i="5"/>
  <c r="AR115" i="5" s="1"/>
  <c r="AQ40" i="5"/>
  <c r="AQ115" i="5" s="1"/>
  <c r="AO40" i="5"/>
  <c r="AN40" i="5"/>
  <c r="AN115" i="5" s="1"/>
  <c r="AM40" i="5"/>
  <c r="AM115" i="5" s="1"/>
  <c r="AL40" i="5"/>
  <c r="AL115" i="5" s="1"/>
  <c r="AJ40" i="5"/>
  <c r="AJ115" i="5" s="1"/>
  <c r="AI40" i="5"/>
  <c r="AI115" i="5" s="1"/>
  <c r="AH40" i="5"/>
  <c r="AH115" i="5" s="1"/>
  <c r="AG40" i="5"/>
  <c r="AG115" i="5" s="1"/>
  <c r="AE40" i="5"/>
  <c r="AE42" i="5" s="1"/>
  <c r="AD40" i="5"/>
  <c r="AD115" i="5" s="1"/>
  <c r="AC40" i="5"/>
  <c r="AC115" i="5" s="1"/>
  <c r="AB40" i="5"/>
  <c r="AB115" i="5" s="1"/>
  <c r="Z40" i="5"/>
  <c r="Z115" i="5" s="1"/>
  <c r="Y40" i="5"/>
  <c r="Y115" i="5" s="1"/>
  <c r="X40" i="5"/>
  <c r="X115" i="5" s="1"/>
  <c r="W40" i="5"/>
  <c r="W115" i="5" s="1"/>
  <c r="U40" i="5"/>
  <c r="U115" i="5" s="1"/>
  <c r="T40" i="5"/>
  <c r="T41" i="5" s="1"/>
  <c r="S40" i="5"/>
  <c r="S115" i="5" s="1"/>
  <c r="R40" i="5"/>
  <c r="R115" i="5" s="1"/>
  <c r="P40" i="5"/>
  <c r="P115" i="5" s="1"/>
  <c r="O40" i="5"/>
  <c r="O115" i="5" s="1"/>
  <c r="N40" i="5"/>
  <c r="N115" i="5" s="1"/>
  <c r="M40" i="5"/>
  <c r="M115" i="5" s="1"/>
  <c r="M116" i="5" s="1"/>
  <c r="CM39" i="5"/>
  <c r="CL39" i="5"/>
  <c r="CK39" i="5"/>
  <c r="CJ39" i="5"/>
  <c r="CH39" i="5"/>
  <c r="CG39" i="5"/>
  <c r="CF39" i="5"/>
  <c r="CE39" i="5"/>
  <c r="CC39" i="5"/>
  <c r="CB39" i="5"/>
  <c r="CA39" i="5"/>
  <c r="BZ39" i="5"/>
  <c r="BX39" i="5"/>
  <c r="BW39" i="5"/>
  <c r="BV39" i="5"/>
  <c r="BU39" i="5"/>
  <c r="BS39" i="5"/>
  <c r="BR39" i="5"/>
  <c r="BQ39" i="5"/>
  <c r="BP39" i="5"/>
  <c r="BO39" i="5"/>
  <c r="BN39" i="5"/>
  <c r="BM39" i="5"/>
  <c r="BL39" i="5"/>
  <c r="BK39" i="5"/>
  <c r="BI39" i="5"/>
  <c r="BH39" i="5"/>
  <c r="BG39" i="5"/>
  <c r="BF39" i="5"/>
  <c r="BD39" i="5"/>
  <c r="BC39" i="5"/>
  <c r="BB39" i="5"/>
  <c r="AY39" i="5"/>
  <c r="AX39" i="5"/>
  <c r="AW39" i="5"/>
  <c r="AV39" i="5"/>
  <c r="AU39" i="5"/>
  <c r="AT39" i="5"/>
  <c r="AS39" i="5"/>
  <c r="AR39" i="5"/>
  <c r="AQ39" i="5"/>
  <c r="AO39" i="5"/>
  <c r="AN39" i="5"/>
  <c r="AM39" i="5"/>
  <c r="AL39" i="5"/>
  <c r="AJ39" i="5"/>
  <c r="AI39" i="5"/>
  <c r="AH39" i="5"/>
  <c r="AG39" i="5"/>
  <c r="AE39" i="5"/>
  <c r="AD39" i="5"/>
  <c r="AC39" i="5"/>
  <c r="AB39" i="5"/>
  <c r="AA39" i="5"/>
  <c r="Z39" i="5"/>
  <c r="Y39" i="5"/>
  <c r="X39" i="5"/>
  <c r="W39" i="5"/>
  <c r="U39" i="5"/>
  <c r="T39" i="5"/>
  <c r="S39" i="5"/>
  <c r="R39" i="5"/>
  <c r="P39" i="5"/>
  <c r="O39" i="5"/>
  <c r="N39" i="5"/>
  <c r="M39" i="5"/>
  <c r="CR38" i="5"/>
  <c r="CN38" i="5"/>
  <c r="CM38" i="5"/>
  <c r="CL38" i="5"/>
  <c r="CK38" i="5"/>
  <c r="CJ38" i="5"/>
  <c r="CH38" i="5"/>
  <c r="CG38" i="5"/>
  <c r="CF38" i="5"/>
  <c r="CE38" i="5"/>
  <c r="CC38" i="5"/>
  <c r="CB38" i="5"/>
  <c r="CA38" i="5"/>
  <c r="BZ38" i="5"/>
  <c r="BX38" i="5"/>
  <c r="BW38" i="5"/>
  <c r="BV38" i="5"/>
  <c r="BU38" i="5"/>
  <c r="BT38" i="5"/>
  <c r="BS38" i="5"/>
  <c r="BR38" i="5"/>
  <c r="BQ38" i="5"/>
  <c r="BP38" i="5"/>
  <c r="BN38" i="5"/>
  <c r="BM38" i="5"/>
  <c r="BL38" i="5"/>
  <c r="BK38" i="5"/>
  <c r="BI38" i="5"/>
  <c r="BH38" i="5"/>
  <c r="BG38" i="5"/>
  <c r="BF38" i="5"/>
  <c r="BD38" i="5"/>
  <c r="BC38" i="5"/>
  <c r="BB38" i="5"/>
  <c r="AZ38" i="5"/>
  <c r="AY38" i="5"/>
  <c r="AX38" i="5"/>
  <c r="AW38" i="5"/>
  <c r="AV38" i="5"/>
  <c r="AT38" i="5"/>
  <c r="AS38" i="5"/>
  <c r="AR38" i="5"/>
  <c r="AQ38" i="5"/>
  <c r="AO38" i="5"/>
  <c r="AN38" i="5"/>
  <c r="AM38" i="5"/>
  <c r="AL38" i="5"/>
  <c r="AJ38" i="5"/>
  <c r="AI38" i="5"/>
  <c r="AH38" i="5"/>
  <c r="AG38" i="5"/>
  <c r="AE38" i="5"/>
  <c r="AD38" i="5"/>
  <c r="AC38" i="5"/>
  <c r="AB38" i="5"/>
  <c r="Z38" i="5"/>
  <c r="Y38" i="5"/>
  <c r="X38" i="5"/>
  <c r="W38" i="5"/>
  <c r="U38" i="5"/>
  <c r="T38" i="5"/>
  <c r="S38" i="5"/>
  <c r="R38" i="5"/>
  <c r="P38" i="5"/>
  <c r="O38" i="5"/>
  <c r="N38" i="5"/>
  <c r="M38" i="5"/>
  <c r="K39" i="5"/>
  <c r="J39" i="5"/>
  <c r="I39" i="5"/>
  <c r="H39" i="5"/>
  <c r="K38" i="5"/>
  <c r="J38" i="5"/>
  <c r="I38" i="5"/>
  <c r="H38" i="5"/>
  <c r="G38" i="5"/>
  <c r="CM36" i="5"/>
  <c r="CM37" i="5" s="1"/>
  <c r="CL36" i="5"/>
  <c r="CK36" i="5"/>
  <c r="CK37" i="5" s="1"/>
  <c r="CJ36" i="5"/>
  <c r="CH36" i="5"/>
  <c r="CG36" i="5"/>
  <c r="CG37" i="5" s="1"/>
  <c r="CF36" i="5"/>
  <c r="CE36" i="5"/>
  <c r="CJ37" i="5" s="1"/>
  <c r="CC36" i="5"/>
  <c r="CC37" i="5" s="1"/>
  <c r="CB36" i="5"/>
  <c r="CA36" i="5"/>
  <c r="CF37" i="5" s="1"/>
  <c r="BZ36" i="5"/>
  <c r="BX36" i="5"/>
  <c r="BW36" i="5"/>
  <c r="CB37" i="5" s="1"/>
  <c r="BV36" i="5"/>
  <c r="BU36" i="5"/>
  <c r="BU37" i="5" s="1"/>
  <c r="BS36" i="5"/>
  <c r="BX37" i="5" s="1"/>
  <c r="BR36" i="5"/>
  <c r="BQ36" i="5"/>
  <c r="BQ37" i="5" s="1"/>
  <c r="BP36" i="5"/>
  <c r="BN36" i="5"/>
  <c r="BM36" i="5"/>
  <c r="BM37" i="5" s="1"/>
  <c r="BL36" i="5"/>
  <c r="BK36" i="5"/>
  <c r="BP37" i="5" s="1"/>
  <c r="BI36" i="5"/>
  <c r="BI37" i="5" s="1"/>
  <c r="BH36" i="5"/>
  <c r="BG36" i="5"/>
  <c r="BL37" i="5" s="1"/>
  <c r="BF36" i="5"/>
  <c r="BD36" i="5"/>
  <c r="BC36" i="5"/>
  <c r="BH37" i="5" s="1"/>
  <c r="BB36" i="5"/>
  <c r="BA36" i="5"/>
  <c r="BA37" i="5" s="1"/>
  <c r="AY36" i="5"/>
  <c r="BD37" i="5" s="1"/>
  <c r="AX36" i="5"/>
  <c r="AW36" i="5"/>
  <c r="AW37" i="5" s="1"/>
  <c r="AV36" i="5"/>
  <c r="AT36" i="5"/>
  <c r="AS36" i="5"/>
  <c r="AS37" i="5" s="1"/>
  <c r="AR36" i="5"/>
  <c r="AQ36" i="5"/>
  <c r="AV37" i="5" s="1"/>
  <c r="AO36" i="5"/>
  <c r="AO37" i="5" s="1"/>
  <c r="AN36" i="5"/>
  <c r="AM36" i="5"/>
  <c r="AR37" i="5" s="1"/>
  <c r="AL36" i="5"/>
  <c r="AK36" i="5"/>
  <c r="AJ36" i="5"/>
  <c r="AI36" i="5"/>
  <c r="AN37" i="5" s="1"/>
  <c r="AH36" i="5"/>
  <c r="AG36" i="5"/>
  <c r="AG37" i="5" s="1"/>
  <c r="AE36" i="5"/>
  <c r="AJ37" i="5" s="1"/>
  <c r="AD36" i="5"/>
  <c r="AC36" i="5"/>
  <c r="AC37" i="5" s="1"/>
  <c r="AB36" i="5"/>
  <c r="Z36" i="5"/>
  <c r="Y36" i="5"/>
  <c r="Y37" i="5" s="1"/>
  <c r="X36" i="5"/>
  <c r="W36" i="5"/>
  <c r="AB37" i="5" s="1"/>
  <c r="U36" i="5"/>
  <c r="Z37" i="5" s="1"/>
  <c r="T36" i="5"/>
  <c r="S36" i="5"/>
  <c r="X37" i="5" s="1"/>
  <c r="R36" i="5"/>
  <c r="CM35" i="5"/>
  <c r="CL35" i="5"/>
  <c r="CK35" i="5"/>
  <c r="CJ35" i="5"/>
  <c r="CH35" i="5"/>
  <c r="CG35" i="5"/>
  <c r="CF35" i="5"/>
  <c r="CE35" i="5"/>
  <c r="CC35" i="5"/>
  <c r="CB35" i="5"/>
  <c r="CA35" i="5"/>
  <c r="BZ35" i="5"/>
  <c r="BX35" i="5"/>
  <c r="BW35" i="5"/>
  <c r="BV35" i="5"/>
  <c r="BU35" i="5"/>
  <c r="BS35" i="5"/>
  <c r="BR35" i="5"/>
  <c r="BQ35" i="5"/>
  <c r="BP35" i="5"/>
  <c r="BN35" i="5"/>
  <c r="BM35" i="5"/>
  <c r="BL35" i="5"/>
  <c r="BK35" i="5"/>
  <c r="BI35" i="5"/>
  <c r="BH35" i="5"/>
  <c r="BG35" i="5"/>
  <c r="BF35" i="5"/>
  <c r="BD35" i="5"/>
  <c r="BC35" i="5"/>
  <c r="BB35" i="5"/>
  <c r="AY35" i="5"/>
  <c r="AX35" i="5"/>
  <c r="AW35" i="5"/>
  <c r="AV35" i="5"/>
  <c r="AT35" i="5"/>
  <c r="AS35" i="5"/>
  <c r="AR35" i="5"/>
  <c r="AQ35" i="5"/>
  <c r="AO35" i="5"/>
  <c r="AN35" i="5"/>
  <c r="AM35" i="5"/>
  <c r="AL35" i="5"/>
  <c r="AJ35" i="5"/>
  <c r="AI35" i="5"/>
  <c r="AH35" i="5"/>
  <c r="AG35" i="5"/>
  <c r="AE35" i="5"/>
  <c r="AD35" i="5"/>
  <c r="AC35" i="5"/>
  <c r="AB35" i="5"/>
  <c r="Z35" i="5"/>
  <c r="Y35" i="5"/>
  <c r="X35" i="5"/>
  <c r="W35" i="5"/>
  <c r="U35" i="5"/>
  <c r="T35" i="5"/>
  <c r="S35" i="5"/>
  <c r="R35" i="5"/>
  <c r="P35" i="5"/>
  <c r="O35" i="5"/>
  <c r="N35" i="5"/>
  <c r="M35" i="5"/>
  <c r="CR34" i="5"/>
  <c r="CR36" i="5" s="1"/>
  <c r="CR37" i="5" s="1"/>
  <c r="CQ34" i="5"/>
  <c r="CQ38" i="5" s="1"/>
  <c r="CP34" i="5"/>
  <c r="CO34" i="5"/>
  <c r="CN34" i="5"/>
  <c r="CN36" i="5" s="1"/>
  <c r="CI34" i="5"/>
  <c r="CI38" i="5" s="1"/>
  <c r="CD34" i="5"/>
  <c r="CD39" i="5" s="1"/>
  <c r="BY34" i="5"/>
  <c r="BY40" i="5" s="1"/>
  <c r="BT34" i="5"/>
  <c r="BT36" i="5" s="1"/>
  <c r="BO34" i="5"/>
  <c r="BO38" i="5" s="1"/>
  <c r="BJ34" i="5"/>
  <c r="BJ39" i="5" s="1"/>
  <c r="BE34" i="5"/>
  <c r="BE40" i="5" s="1"/>
  <c r="BA34" i="5"/>
  <c r="BA40" i="5" s="1"/>
  <c r="AZ34" i="5"/>
  <c r="AZ36" i="5" s="1"/>
  <c r="AU34" i="5"/>
  <c r="AU38" i="5" s="1"/>
  <c r="AP34" i="5"/>
  <c r="AP39" i="5" s="1"/>
  <c r="AK34" i="5"/>
  <c r="AK40" i="5" s="1"/>
  <c r="AF34" i="5"/>
  <c r="AF36" i="5" s="1"/>
  <c r="AA34" i="5"/>
  <c r="AA38" i="5" s="1"/>
  <c r="V34" i="5"/>
  <c r="V39" i="5" s="1"/>
  <c r="Q34" i="5"/>
  <c r="Q40" i="5" s="1"/>
  <c r="L34" i="5"/>
  <c r="L40" i="5" s="1"/>
  <c r="CG33" i="5"/>
  <c r="CB33" i="5"/>
  <c r="BM33" i="5"/>
  <c r="BH33" i="5"/>
  <c r="AS33" i="5"/>
  <c r="AN33" i="5"/>
  <c r="Y33" i="5"/>
  <c r="T33" i="5"/>
  <c r="DQ32" i="5"/>
  <c r="DM32" i="5"/>
  <c r="DL32" i="5"/>
  <c r="CU32" i="5"/>
  <c r="CM32" i="5"/>
  <c r="CE32" i="5"/>
  <c r="CA32" i="5"/>
  <c r="BW32" i="5"/>
  <c r="BS32" i="5"/>
  <c r="BK32" i="5"/>
  <c r="BG32" i="5"/>
  <c r="BC32" i="5"/>
  <c r="AY32" i="5"/>
  <c r="AQ32" i="5"/>
  <c r="AM32" i="5"/>
  <c r="AI32" i="5"/>
  <c r="AE32" i="5"/>
  <c r="W32" i="5"/>
  <c r="S32" i="5"/>
  <c r="DO31" i="5"/>
  <c r="DN31" i="5"/>
  <c r="CJ31" i="5"/>
  <c r="CF31" i="5"/>
  <c r="CB31" i="5"/>
  <c r="BX31" i="5"/>
  <c r="BP31" i="5"/>
  <c r="BL31" i="5"/>
  <c r="BH31" i="5"/>
  <c r="BD31" i="5"/>
  <c r="AV31" i="5"/>
  <c r="AR31" i="5"/>
  <c r="AN31" i="5"/>
  <c r="AJ31" i="5"/>
  <c r="AB31" i="5"/>
  <c r="X31" i="5"/>
  <c r="T31" i="5"/>
  <c r="P31" i="5"/>
  <c r="CP30" i="5"/>
  <c r="CM30" i="5"/>
  <c r="CM31" i="5" s="1"/>
  <c r="CL30" i="5"/>
  <c r="CL32" i="5" s="1"/>
  <c r="CK30" i="5"/>
  <c r="CK33" i="5" s="1"/>
  <c r="CJ30" i="5"/>
  <c r="CT32" i="5" s="1"/>
  <c r="CH30" i="5"/>
  <c r="CH32" i="5" s="1"/>
  <c r="CG30" i="5"/>
  <c r="CF30" i="5"/>
  <c r="CF33" i="5" s="1"/>
  <c r="CE30" i="5"/>
  <c r="CE31" i="5" s="1"/>
  <c r="CC30" i="5"/>
  <c r="CC33" i="5" s="1"/>
  <c r="CB30" i="5"/>
  <c r="CB32" i="5" s="1"/>
  <c r="CA30" i="5"/>
  <c r="CA33" i="5" s="1"/>
  <c r="BZ30" i="5"/>
  <c r="BZ32" i="5" s="1"/>
  <c r="BX30" i="5"/>
  <c r="BX33" i="5" s="1"/>
  <c r="BW30" i="5"/>
  <c r="BW31" i="5" s="1"/>
  <c r="BV30" i="5"/>
  <c r="BV33" i="5" s="1"/>
  <c r="BU30" i="5"/>
  <c r="BU33" i="5" s="1"/>
  <c r="BS30" i="5"/>
  <c r="BS31" i="5" s="1"/>
  <c r="BR30" i="5"/>
  <c r="BR32" i="5" s="1"/>
  <c r="BQ30" i="5"/>
  <c r="BQ33" i="5" s="1"/>
  <c r="BP30" i="5"/>
  <c r="BP33" i="5" s="1"/>
  <c r="BN30" i="5"/>
  <c r="BN32" i="5" s="1"/>
  <c r="BM30" i="5"/>
  <c r="BL30" i="5"/>
  <c r="BL33" i="5" s="1"/>
  <c r="BK30" i="5"/>
  <c r="BK31" i="5" s="1"/>
  <c r="BI30" i="5"/>
  <c r="BI33" i="5" s="1"/>
  <c r="BH30" i="5"/>
  <c r="BH32" i="5" s="1"/>
  <c r="BG30" i="5"/>
  <c r="BG33" i="5" s="1"/>
  <c r="BF30" i="5"/>
  <c r="BF32" i="5" s="1"/>
  <c r="BD30" i="5"/>
  <c r="BD33" i="5" s="1"/>
  <c r="BC30" i="5"/>
  <c r="BC31" i="5" s="1"/>
  <c r="BB30" i="5"/>
  <c r="BB33" i="5" s="1"/>
  <c r="BA30" i="5"/>
  <c r="BA33" i="5" s="1"/>
  <c r="AY30" i="5"/>
  <c r="AY31" i="5" s="1"/>
  <c r="AX30" i="5"/>
  <c r="AX32" i="5" s="1"/>
  <c r="AW30" i="5"/>
  <c r="AW33" i="5" s="1"/>
  <c r="AV30" i="5"/>
  <c r="AV33" i="5" s="1"/>
  <c r="AT30" i="5"/>
  <c r="AT32" i="5" s="1"/>
  <c r="AS30" i="5"/>
  <c r="AR30" i="5"/>
  <c r="AR33" i="5" s="1"/>
  <c r="AQ30" i="5"/>
  <c r="AQ31" i="5" s="1"/>
  <c r="AO30" i="5"/>
  <c r="AO33" i="5" s="1"/>
  <c r="AN30" i="5"/>
  <c r="AN32" i="5" s="1"/>
  <c r="AM30" i="5"/>
  <c r="AM33" i="5" s="1"/>
  <c r="AL30" i="5"/>
  <c r="AL32" i="5" s="1"/>
  <c r="AJ30" i="5"/>
  <c r="AJ33" i="5" s="1"/>
  <c r="AI30" i="5"/>
  <c r="AI31" i="5" s="1"/>
  <c r="AH30" i="5"/>
  <c r="AH33" i="5" s="1"/>
  <c r="AG30" i="5"/>
  <c r="AG33" i="5" s="1"/>
  <c r="AE30" i="5"/>
  <c r="AE31" i="5" s="1"/>
  <c r="AD30" i="5"/>
  <c r="AD32" i="5" s="1"/>
  <c r="AC30" i="5"/>
  <c r="AC33" i="5" s="1"/>
  <c r="AB30" i="5"/>
  <c r="AB33" i="5" s="1"/>
  <c r="Z30" i="5"/>
  <c r="Z32" i="5" s="1"/>
  <c r="Y30" i="5"/>
  <c r="X30" i="5"/>
  <c r="X33" i="5" s="1"/>
  <c r="W30" i="5"/>
  <c r="W31" i="5" s="1"/>
  <c r="U30" i="5"/>
  <c r="U33" i="5" s="1"/>
  <c r="T30" i="5"/>
  <c r="T32" i="5" s="1"/>
  <c r="S30" i="5"/>
  <c r="S33" i="5" s="1"/>
  <c r="R30" i="5"/>
  <c r="R32" i="5" s="1"/>
  <c r="P30" i="5"/>
  <c r="P33" i="5" s="1"/>
  <c r="O30" i="5"/>
  <c r="O31" i="5" s="1"/>
  <c r="N30" i="5"/>
  <c r="N33" i="5" s="1"/>
  <c r="M30" i="5"/>
  <c r="M33" i="5" s="1"/>
  <c r="K30" i="5"/>
  <c r="U32" i="5" s="1"/>
  <c r="J30" i="5"/>
  <c r="J33" i="5" s="1"/>
  <c r="I30" i="5"/>
  <c r="I33" i="5" s="1"/>
  <c r="H30" i="5"/>
  <c r="M31" i="5" s="1"/>
  <c r="DP30" i="5"/>
  <c r="DO30" i="5"/>
  <c r="DN30" i="5"/>
  <c r="DN29" i="5"/>
  <c r="DN32" i="5" s="1"/>
  <c r="CM29" i="5"/>
  <c r="CL29" i="5"/>
  <c r="CK29" i="5"/>
  <c r="CJ29" i="5"/>
  <c r="CH29" i="5"/>
  <c r="CG29" i="5"/>
  <c r="CF29" i="5"/>
  <c r="CE29" i="5"/>
  <c r="CC29" i="5"/>
  <c r="CB29" i="5"/>
  <c r="CA29" i="5"/>
  <c r="BZ29" i="5"/>
  <c r="BY29" i="5"/>
  <c r="BX29" i="5"/>
  <c r="BW29" i="5"/>
  <c r="BV29" i="5"/>
  <c r="BU29" i="5"/>
  <c r="BS29" i="5"/>
  <c r="BR29" i="5"/>
  <c r="BQ29" i="5"/>
  <c r="BP29" i="5"/>
  <c r="BN29" i="5"/>
  <c r="BM29" i="5"/>
  <c r="BL29" i="5"/>
  <c r="BK29" i="5"/>
  <c r="BI29" i="5"/>
  <c r="BH29" i="5"/>
  <c r="BG29" i="5"/>
  <c r="BF29" i="5"/>
  <c r="BE29" i="5"/>
  <c r="BD29" i="5"/>
  <c r="BC29" i="5"/>
  <c r="BB29" i="5"/>
  <c r="BA29" i="5"/>
  <c r="AY29" i="5"/>
  <c r="AX29" i="5"/>
  <c r="AW29" i="5"/>
  <c r="AV29" i="5"/>
  <c r="AT29" i="5"/>
  <c r="AS29" i="5"/>
  <c r="AR29" i="5"/>
  <c r="AQ29" i="5"/>
  <c r="AO29" i="5"/>
  <c r="AN29" i="5"/>
  <c r="AM29" i="5"/>
  <c r="AL29" i="5"/>
  <c r="AK29" i="5"/>
  <c r="AJ29" i="5"/>
  <c r="AI29" i="5"/>
  <c r="AH29" i="5"/>
  <c r="AG29" i="5"/>
  <c r="AE29" i="5"/>
  <c r="AD29" i="5"/>
  <c r="AC29" i="5"/>
  <c r="AB29" i="5"/>
  <c r="Z29" i="5"/>
  <c r="Y29" i="5"/>
  <c r="X29" i="5"/>
  <c r="W29" i="5"/>
  <c r="U29" i="5"/>
  <c r="T29" i="5"/>
  <c r="S29" i="5"/>
  <c r="R29" i="5"/>
  <c r="P29" i="5"/>
  <c r="O29" i="5"/>
  <c r="N29" i="5"/>
  <c r="M29" i="5"/>
  <c r="CP28" i="5"/>
  <c r="CN28" i="5"/>
  <c r="CN182" i="5" s="1"/>
  <c r="CI28" i="5"/>
  <c r="CI182" i="5" s="1"/>
  <c r="CD28" i="5"/>
  <c r="CD182" i="5" s="1"/>
  <c r="BY28" i="5"/>
  <c r="BY182" i="5" s="1"/>
  <c r="BT28" i="5"/>
  <c r="BT182" i="5" s="1"/>
  <c r="BO28" i="5"/>
  <c r="BO182" i="5" s="1"/>
  <c r="BJ28" i="5"/>
  <c r="BJ182" i="5" s="1"/>
  <c r="BE28" i="5"/>
  <c r="BE182" i="5" s="1"/>
  <c r="AZ28" i="5"/>
  <c r="AZ182" i="5" s="1"/>
  <c r="AU28" i="5"/>
  <c r="AU182" i="5" s="1"/>
  <c r="AP28" i="5"/>
  <c r="AP182" i="5" s="1"/>
  <c r="AL28" i="5"/>
  <c r="AK28" i="5"/>
  <c r="AK182" i="5" s="1"/>
  <c r="AF28" i="5"/>
  <c r="AF182" i="5" s="1"/>
  <c r="AA28" i="5"/>
  <c r="AA182" i="5" s="1"/>
  <c r="Z28" i="5"/>
  <c r="V28" i="5"/>
  <c r="V182" i="5" s="1"/>
  <c r="Q28" i="5"/>
  <c r="Q182" i="5" s="1"/>
  <c r="L28" i="5"/>
  <c r="L182" i="5" s="1"/>
  <c r="DC22" i="5"/>
  <c r="CX22" i="5"/>
  <c r="AE25" i="5"/>
  <c r="AD25" i="5"/>
  <c r="AC25" i="5"/>
  <c r="AB25" i="5"/>
  <c r="Z25" i="5"/>
  <c r="Y25" i="5"/>
  <c r="X25" i="5"/>
  <c r="W25" i="5"/>
  <c r="U25" i="5"/>
  <c r="T25" i="5"/>
  <c r="S25" i="5"/>
  <c r="R25" i="5"/>
  <c r="P25" i="5"/>
  <c r="O25" i="5"/>
  <c r="N25" i="5"/>
  <c r="M25" i="5"/>
  <c r="DQ24" i="5"/>
  <c r="DP24" i="5"/>
  <c r="DO24" i="5"/>
  <c r="DN24" i="5"/>
  <c r="DM24" i="5"/>
  <c r="DL24" i="5"/>
  <c r="BS24" i="5"/>
  <c r="BS90" i="5" s="1"/>
  <c r="BK24" i="5"/>
  <c r="AL24" i="5"/>
  <c r="AF24" i="5"/>
  <c r="AF25" i="5" s="1"/>
  <c r="AA24" i="5"/>
  <c r="V24" i="5"/>
  <c r="V25" i="5" s="1"/>
  <c r="Q24" i="5"/>
  <c r="Q90" i="5" s="1"/>
  <c r="L24" i="5"/>
  <c r="Q25" i="5" s="1"/>
  <c r="CS23" i="5"/>
  <c r="CX23" i="5" s="1"/>
  <c r="DC23" i="5" s="1"/>
  <c r="CN23" i="5"/>
  <c r="CI23" i="5"/>
  <c r="CD23" i="5"/>
  <c r="BY23" i="5"/>
  <c r="BT23" i="5"/>
  <c r="BO23" i="5"/>
  <c r="BJ23" i="5"/>
  <c r="BE23" i="5"/>
  <c r="AY23" i="5"/>
  <c r="AZ23" i="5" s="1"/>
  <c r="BA23" i="5" s="1"/>
  <c r="AU23" i="5"/>
  <c r="AP23" i="5"/>
  <c r="AM23" i="5"/>
  <c r="AN23" i="5" s="1"/>
  <c r="AK23" i="5"/>
  <c r="AG23" i="5"/>
  <c r="AG19" i="5" s="1"/>
  <c r="AH24" i="5" s="1"/>
  <c r="AF23" i="5"/>
  <c r="CM21" i="5"/>
  <c r="CM19" i="5" s="1"/>
  <c r="CM24" i="5" s="1"/>
  <c r="CL21" i="5"/>
  <c r="CI21" i="5"/>
  <c r="CI20" i="5"/>
  <c r="CI19" i="5"/>
  <c r="CI15" i="5"/>
  <c r="CN16" i="5" s="1"/>
  <c r="CI13" i="5"/>
  <c r="CI14" i="5" s="1"/>
  <c r="CI11" i="5"/>
  <c r="CN12" i="5" s="1"/>
  <c r="CD21" i="5"/>
  <c r="CD20" i="5"/>
  <c r="CD19" i="5" s="1"/>
  <c r="CD16" i="5"/>
  <c r="CD15" i="5"/>
  <c r="CD13" i="5"/>
  <c r="CD12" i="5"/>
  <c r="CD11" i="5"/>
  <c r="BY21" i="5"/>
  <c r="BY19" i="5" s="1"/>
  <c r="BY20" i="5"/>
  <c r="BY17" i="5"/>
  <c r="BY15" i="5"/>
  <c r="BY16" i="5" s="1"/>
  <c r="BY13" i="5"/>
  <c r="CD14" i="5" s="1"/>
  <c r="BY11" i="5"/>
  <c r="BY12" i="5" s="1"/>
  <c r="BY9" i="5"/>
  <c r="BT21" i="5"/>
  <c r="BT20" i="5"/>
  <c r="BT19" i="5" s="1"/>
  <c r="BT15" i="5"/>
  <c r="BT14" i="5"/>
  <c r="BT13" i="5"/>
  <c r="BT11" i="5"/>
  <c r="CS20" i="5"/>
  <c r="CX20" i="5" s="1"/>
  <c r="CN20" i="5"/>
  <c r="CN15" i="5"/>
  <c r="CN14" i="5"/>
  <c r="CN13" i="5"/>
  <c r="CN11" i="5"/>
  <c r="BO20" i="5"/>
  <c r="BO19" i="5" s="1"/>
  <c r="BO15" i="5"/>
  <c r="BT16" i="5" s="1"/>
  <c r="BO14" i="5"/>
  <c r="BO13" i="5"/>
  <c r="BO11" i="5"/>
  <c r="BT12" i="5" s="1"/>
  <c r="BJ20" i="5"/>
  <c r="BJ19" i="5"/>
  <c r="BJ15" i="5"/>
  <c r="BJ16" i="5" s="1"/>
  <c r="BJ14" i="5"/>
  <c r="BJ13" i="5"/>
  <c r="BJ11" i="5"/>
  <c r="BJ12" i="5" s="1"/>
  <c r="BE20" i="5"/>
  <c r="BE19" i="5"/>
  <c r="BJ24" i="5" s="1"/>
  <c r="BE15" i="5"/>
  <c r="BE16" i="5" s="1"/>
  <c r="BE14" i="5"/>
  <c r="BE13" i="5"/>
  <c r="BE11" i="5"/>
  <c r="BE12" i="5" s="1"/>
  <c r="AZ20" i="5"/>
  <c r="AU20" i="5"/>
  <c r="AU19" i="5"/>
  <c r="AU17" i="5"/>
  <c r="AU18" i="5" s="1"/>
  <c r="AU15" i="5"/>
  <c r="AU16" i="5" s="1"/>
  <c r="AU13" i="5"/>
  <c r="AZ14" i="5" s="1"/>
  <c r="AU11" i="5"/>
  <c r="AU12" i="5" s="1"/>
  <c r="AU9" i="5"/>
  <c r="AP20" i="5"/>
  <c r="AP17" i="5"/>
  <c r="AP15" i="5"/>
  <c r="AP16" i="5" s="1"/>
  <c r="AP13" i="5"/>
  <c r="AP14" i="5" s="1"/>
  <c r="AP11" i="5"/>
  <c r="AP12" i="5" s="1"/>
  <c r="AM20" i="5"/>
  <c r="AN20" i="5" s="1"/>
  <c r="AN19" i="5" s="1"/>
  <c r="AO24" i="5" s="1"/>
  <c r="AK20" i="5"/>
  <c r="AK19" i="5"/>
  <c r="AP24" i="5" s="1"/>
  <c r="AK15" i="5"/>
  <c r="AK16" i="5" s="1"/>
  <c r="AK13" i="5"/>
  <c r="AK14" i="5" s="1"/>
  <c r="AK11" i="5"/>
  <c r="AK12" i="5" s="1"/>
  <c r="AF20" i="5"/>
  <c r="AF19" i="5"/>
  <c r="AK24" i="5" s="1"/>
  <c r="AK25" i="5" s="1"/>
  <c r="AF15" i="5"/>
  <c r="AF16" i="5" s="1"/>
  <c r="AF13" i="5"/>
  <c r="AF14" i="5" s="1"/>
  <c r="AF11" i="5"/>
  <c r="AF38" i="5" s="1"/>
  <c r="DB19" i="5"/>
  <c r="DA19" i="5"/>
  <c r="CZ19" i="5"/>
  <c r="CY19" i="5"/>
  <c r="CW19" i="5"/>
  <c r="CV19" i="5"/>
  <c r="CU19" i="5"/>
  <c r="CT19" i="5"/>
  <c r="AE19" i="5"/>
  <c r="AE18" i="5"/>
  <c r="AE17" i="5"/>
  <c r="AE16" i="5"/>
  <c r="AA19" i="5"/>
  <c r="AA15" i="5"/>
  <c r="AA16" i="5" s="1"/>
  <c r="AA14" i="5"/>
  <c r="AA13" i="5"/>
  <c r="AA11" i="5"/>
  <c r="AA12" i="5" s="1"/>
  <c r="AT19" i="5"/>
  <c r="AV24" i="5" s="1"/>
  <c r="AS19" i="5"/>
  <c r="AR19" i="5"/>
  <c r="AS24" i="5" s="1"/>
  <c r="AQ19" i="5"/>
  <c r="AR24" i="5" s="1"/>
  <c r="AS17" i="5"/>
  <c r="AS18" i="5" s="1"/>
  <c r="AR17" i="5"/>
  <c r="AQ17" i="5"/>
  <c r="AQ18" i="5" s="1"/>
  <c r="P17" i="5"/>
  <c r="O17" i="5"/>
  <c r="N17" i="5"/>
  <c r="M17" i="5"/>
  <c r="R18" i="5" s="1"/>
  <c r="CL19" i="5"/>
  <c r="CK19" i="5"/>
  <c r="CL24" i="5" s="1"/>
  <c r="CJ19" i="5"/>
  <c r="CK24" i="5" s="1"/>
  <c r="CM17" i="5"/>
  <c r="CM18" i="5" s="1"/>
  <c r="CL17" i="5"/>
  <c r="CL18" i="5" s="1"/>
  <c r="CK17" i="5"/>
  <c r="CK18" i="5" s="1"/>
  <c r="CJ17" i="5"/>
  <c r="CJ18" i="5" s="1"/>
  <c r="CM16" i="5"/>
  <c r="CL16" i="5"/>
  <c r="CK16" i="5"/>
  <c r="CJ16" i="5"/>
  <c r="CH19" i="5"/>
  <c r="CG19" i="5"/>
  <c r="CH24" i="5" s="1"/>
  <c r="CF19" i="5"/>
  <c r="CG24" i="5" s="1"/>
  <c r="CE19" i="5"/>
  <c r="CF24" i="5" s="1"/>
  <c r="CH17" i="5"/>
  <c r="CH18" i="5" s="1"/>
  <c r="CG17" i="5"/>
  <c r="CG18" i="5" s="1"/>
  <c r="CF17" i="5"/>
  <c r="CF18" i="5" s="1"/>
  <c r="CE17" i="5"/>
  <c r="CE18" i="5" s="1"/>
  <c r="CH16" i="5"/>
  <c r="CG16" i="5"/>
  <c r="CF16" i="5"/>
  <c r="CE16" i="5"/>
  <c r="CC19" i="5"/>
  <c r="CB19" i="5"/>
  <c r="CC24" i="5" s="1"/>
  <c r="CA19" i="5"/>
  <c r="CA24" i="5" s="1"/>
  <c r="BZ19" i="5"/>
  <c r="CC17" i="5"/>
  <c r="CC18" i="5" s="1"/>
  <c r="CB17" i="5"/>
  <c r="CB18" i="5" s="1"/>
  <c r="CA17" i="5"/>
  <c r="CA18" i="5" s="1"/>
  <c r="BZ17" i="5"/>
  <c r="BZ18" i="5" s="1"/>
  <c r="CC16" i="5"/>
  <c r="CB16" i="5"/>
  <c r="CA16" i="5"/>
  <c r="BZ16" i="5"/>
  <c r="BX19" i="5"/>
  <c r="BW19" i="5"/>
  <c r="BX24" i="5" s="1"/>
  <c r="BV19" i="5"/>
  <c r="BW24" i="5" s="1"/>
  <c r="BU19" i="5"/>
  <c r="BV24" i="5" s="1"/>
  <c r="BX17" i="5"/>
  <c r="BX18" i="5" s="1"/>
  <c r="BW17" i="5"/>
  <c r="BW18" i="5" s="1"/>
  <c r="BV17" i="5"/>
  <c r="BV18" i="5" s="1"/>
  <c r="BU17" i="5"/>
  <c r="BU18" i="5" s="1"/>
  <c r="BX16" i="5"/>
  <c r="BW16" i="5"/>
  <c r="BV16" i="5"/>
  <c r="BU16" i="5"/>
  <c r="BS19" i="5"/>
  <c r="BR19" i="5"/>
  <c r="BQ19" i="5"/>
  <c r="BR24" i="5" s="1"/>
  <c r="BP19" i="5"/>
  <c r="BQ24" i="5" s="1"/>
  <c r="BS17" i="5"/>
  <c r="BS18" i="5" s="1"/>
  <c r="BR17" i="5"/>
  <c r="BR18" i="5" s="1"/>
  <c r="BQ17" i="5"/>
  <c r="BQ18" i="5" s="1"/>
  <c r="BP17" i="5"/>
  <c r="BP18" i="5" s="1"/>
  <c r="BS16" i="5"/>
  <c r="BR16" i="5"/>
  <c r="BQ16" i="5"/>
  <c r="BP16" i="5"/>
  <c r="BN19" i="5"/>
  <c r="BM19" i="5"/>
  <c r="BN24" i="5" s="1"/>
  <c r="BL19" i="5"/>
  <c r="BM24" i="5" s="1"/>
  <c r="BK19" i="5"/>
  <c r="BL24" i="5" s="1"/>
  <c r="BN17" i="5"/>
  <c r="BN18" i="5" s="1"/>
  <c r="BM17" i="5"/>
  <c r="BM18" i="5" s="1"/>
  <c r="BL17" i="5"/>
  <c r="BL18" i="5" s="1"/>
  <c r="BK17" i="5"/>
  <c r="BK18" i="5" s="1"/>
  <c r="BN16" i="5"/>
  <c r="BM16" i="5"/>
  <c r="BL16" i="5"/>
  <c r="BK16" i="5"/>
  <c r="BI19" i="5"/>
  <c r="BH19" i="5"/>
  <c r="BI24" i="5" s="1"/>
  <c r="BG19" i="5"/>
  <c r="BG24" i="5" s="1"/>
  <c r="BF19" i="5"/>
  <c r="BI17" i="5"/>
  <c r="BI18" i="5" s="1"/>
  <c r="BH17" i="5"/>
  <c r="BH18" i="5" s="1"/>
  <c r="BG17" i="5"/>
  <c r="BG18" i="5" s="1"/>
  <c r="BF17" i="5"/>
  <c r="BF18" i="5" s="1"/>
  <c r="BI16" i="5"/>
  <c r="BH16" i="5"/>
  <c r="BG16" i="5"/>
  <c r="BF16" i="5"/>
  <c r="BD19" i="5"/>
  <c r="BC19" i="5"/>
  <c r="BD24" i="5" s="1"/>
  <c r="AY19" i="5"/>
  <c r="AX19" i="5"/>
  <c r="AY24" i="5" s="1"/>
  <c r="AW19" i="5"/>
  <c r="AX24" i="5" s="1"/>
  <c r="AV19" i="5"/>
  <c r="AW24" i="5" s="1"/>
  <c r="BC18" i="5"/>
  <c r="AY18" i="5"/>
  <c r="AW18" i="5"/>
  <c r="BD17" i="5"/>
  <c r="BD18" i="5" s="1"/>
  <c r="BC17" i="5"/>
  <c r="BB17" i="5"/>
  <c r="BB18" i="5" s="1"/>
  <c r="BA17" i="5"/>
  <c r="AY17" i="5"/>
  <c r="AX17" i="5"/>
  <c r="AX18" i="5" s="1"/>
  <c r="AW17" i="5"/>
  <c r="AV17" i="5"/>
  <c r="BA18" i="5" s="1"/>
  <c r="BD16" i="5"/>
  <c r="BC16" i="5"/>
  <c r="BB16" i="5"/>
  <c r="BA16" i="5"/>
  <c r="AY16" i="5"/>
  <c r="AX16" i="5"/>
  <c r="AW16" i="5"/>
  <c r="AV16" i="5"/>
  <c r="AT16" i="5"/>
  <c r="AS16" i="5"/>
  <c r="AR16" i="5"/>
  <c r="AQ16" i="5"/>
  <c r="AO19" i="5"/>
  <c r="AP19" i="5" s="1"/>
  <c r="AU24" i="5" s="1"/>
  <c r="AM19" i="5"/>
  <c r="AN24" i="5" s="1"/>
  <c r="AL19" i="5"/>
  <c r="AM24" i="5" s="1"/>
  <c r="AO17" i="5"/>
  <c r="AT18" i="5" s="1"/>
  <c r="AN17" i="5"/>
  <c r="AN18" i="5" s="1"/>
  <c r="AM17" i="5"/>
  <c r="AR18" i="5" s="1"/>
  <c r="AL17" i="5"/>
  <c r="AL18" i="5" s="1"/>
  <c r="AO16" i="5"/>
  <c r="AN16" i="5"/>
  <c r="AM16" i="5"/>
  <c r="AL16" i="5"/>
  <c r="AJ19" i="5"/>
  <c r="AI19" i="5"/>
  <c r="AJ24" i="5" s="1"/>
  <c r="AH19" i="5"/>
  <c r="AI24" i="5" s="1"/>
  <c r="AJ17" i="5"/>
  <c r="AJ18" i="5" s="1"/>
  <c r="AI17" i="5"/>
  <c r="AI18" i="5" s="1"/>
  <c r="AH17" i="5"/>
  <c r="AH18" i="5" s="1"/>
  <c r="AG17" i="5"/>
  <c r="AG18" i="5" s="1"/>
  <c r="AJ16" i="5"/>
  <c r="AI16" i="5"/>
  <c r="AH16" i="5"/>
  <c r="AG16" i="5"/>
  <c r="AD17" i="5"/>
  <c r="AC17" i="5"/>
  <c r="AC18" i="5" s="1"/>
  <c r="AB17" i="5"/>
  <c r="AD16" i="5"/>
  <c r="AC16" i="5"/>
  <c r="AB16" i="5"/>
  <c r="Y18" i="5"/>
  <c r="U18" i="5"/>
  <c r="Z17" i="5"/>
  <c r="Y17" i="5"/>
  <c r="AD18" i="5" s="1"/>
  <c r="X17" i="5"/>
  <c r="X18" i="5" s="1"/>
  <c r="W17" i="5"/>
  <c r="W18" i="5" s="1"/>
  <c r="U17" i="5"/>
  <c r="Z18" i="5" s="1"/>
  <c r="T17" i="5"/>
  <c r="T18" i="5" s="1"/>
  <c r="S17" i="5"/>
  <c r="S18" i="5" s="1"/>
  <c r="R17" i="5"/>
  <c r="Z16" i="5"/>
  <c r="Y16" i="5"/>
  <c r="X16" i="5"/>
  <c r="W16" i="5"/>
  <c r="U16" i="5"/>
  <c r="T16" i="5"/>
  <c r="S16" i="5"/>
  <c r="R16" i="5"/>
  <c r="Q16" i="5"/>
  <c r="P16" i="5"/>
  <c r="O16" i="5"/>
  <c r="N16" i="5"/>
  <c r="M16" i="5"/>
  <c r="CO17" i="5"/>
  <c r="CO18" i="5" s="1"/>
  <c r="AZ15" i="5"/>
  <c r="AZ16" i="5" s="1"/>
  <c r="AZ13" i="5"/>
  <c r="AZ12" i="5"/>
  <c r="AZ11" i="5"/>
  <c r="V15" i="5"/>
  <c r="V16" i="5" s="1"/>
  <c r="V13" i="5"/>
  <c r="V14" i="5" s="1"/>
  <c r="V11" i="5"/>
  <c r="V12" i="5" s="1"/>
  <c r="Q15" i="5"/>
  <c r="Q14" i="5"/>
  <c r="L15" i="5"/>
  <c r="L14" i="5"/>
  <c r="CM14" i="5"/>
  <c r="CL14" i="5"/>
  <c r="CK14" i="5"/>
  <c r="CJ14" i="5"/>
  <c r="CH14" i="5"/>
  <c r="CG14" i="5"/>
  <c r="CF14" i="5"/>
  <c r="CE14" i="5"/>
  <c r="CC14" i="5"/>
  <c r="CB14" i="5"/>
  <c r="CA14" i="5"/>
  <c r="BZ14" i="5"/>
  <c r="BX14" i="5"/>
  <c r="BW14" i="5"/>
  <c r="BV14" i="5"/>
  <c r="BU14" i="5"/>
  <c r="BS14" i="5"/>
  <c r="BR14" i="5"/>
  <c r="BQ14" i="5"/>
  <c r="BP14" i="5"/>
  <c r="BN14" i="5"/>
  <c r="BM14" i="5"/>
  <c r="BL14" i="5"/>
  <c r="BK14" i="5"/>
  <c r="BI14" i="5"/>
  <c r="BH14" i="5"/>
  <c r="BG14" i="5"/>
  <c r="BF14" i="5"/>
  <c r="BD14" i="5"/>
  <c r="BC14" i="5"/>
  <c r="BB14" i="5"/>
  <c r="BA14" i="5"/>
  <c r="AY14" i="5"/>
  <c r="AX14" i="5"/>
  <c r="AW14" i="5"/>
  <c r="AV14" i="5"/>
  <c r="AT14" i="5"/>
  <c r="AS14" i="5"/>
  <c r="AR14" i="5"/>
  <c r="AQ14" i="5"/>
  <c r="AO14" i="5"/>
  <c r="AN14" i="5"/>
  <c r="AM14" i="5"/>
  <c r="AL14" i="5"/>
  <c r="AJ14" i="5"/>
  <c r="AI14" i="5"/>
  <c r="AH14" i="5"/>
  <c r="AG14" i="5"/>
  <c r="AE14" i="5"/>
  <c r="AD14" i="5"/>
  <c r="AC14" i="5"/>
  <c r="AB14" i="5"/>
  <c r="Z14" i="5"/>
  <c r="Y14" i="5"/>
  <c r="X14" i="5"/>
  <c r="W14" i="5"/>
  <c r="U14" i="5"/>
  <c r="T14" i="5"/>
  <c r="S14" i="5"/>
  <c r="R14" i="5"/>
  <c r="P14" i="5"/>
  <c r="O14" i="5"/>
  <c r="N14" i="5"/>
  <c r="M14" i="5"/>
  <c r="DC12" i="5"/>
  <c r="CX12" i="5"/>
  <c r="CM12" i="5"/>
  <c r="CL12" i="5"/>
  <c r="CK12" i="5"/>
  <c r="CJ12" i="5"/>
  <c r="CH12" i="5"/>
  <c r="CG12" i="5"/>
  <c r="CF12" i="5"/>
  <c r="CE12" i="5"/>
  <c r="CC12" i="5"/>
  <c r="CB12" i="5"/>
  <c r="CA12" i="5"/>
  <c r="BZ12" i="5"/>
  <c r="BX12" i="5"/>
  <c r="BW12" i="5"/>
  <c r="BV12" i="5"/>
  <c r="BU12" i="5"/>
  <c r="BS12" i="5"/>
  <c r="BR12" i="5"/>
  <c r="BQ12" i="5"/>
  <c r="BP12" i="5"/>
  <c r="BN12" i="5"/>
  <c r="BM12" i="5"/>
  <c r="BL12" i="5"/>
  <c r="BK12" i="5"/>
  <c r="BI12" i="5"/>
  <c r="BH12" i="5"/>
  <c r="BG12" i="5"/>
  <c r="BF12" i="5"/>
  <c r="BD12" i="5"/>
  <c r="BC12" i="5"/>
  <c r="BB12" i="5"/>
  <c r="BA12" i="5"/>
  <c r="AY12" i="5"/>
  <c r="AX12" i="5"/>
  <c r="AW12" i="5"/>
  <c r="AV12" i="5"/>
  <c r="AT12" i="5"/>
  <c r="AS12" i="5"/>
  <c r="AR12" i="5"/>
  <c r="AQ12" i="5"/>
  <c r="AO12" i="5"/>
  <c r="AN12" i="5"/>
  <c r="AM12" i="5"/>
  <c r="AL12" i="5"/>
  <c r="AJ12" i="5"/>
  <c r="AI12" i="5"/>
  <c r="AH12" i="5"/>
  <c r="AG12" i="5"/>
  <c r="AE12" i="5"/>
  <c r="AD12" i="5"/>
  <c r="AC12" i="5"/>
  <c r="AB12" i="5"/>
  <c r="Z12" i="5"/>
  <c r="Y12" i="5"/>
  <c r="X12" i="5"/>
  <c r="W12" i="5"/>
  <c r="U12" i="5"/>
  <c r="T12" i="5"/>
  <c r="S12" i="5"/>
  <c r="R12" i="5"/>
  <c r="P12" i="5"/>
  <c r="O12" i="5"/>
  <c r="N12" i="5"/>
  <c r="M12" i="5"/>
  <c r="CR13" i="5"/>
  <c r="CR17" i="5" s="1"/>
  <c r="CR18" i="5" s="1"/>
  <c r="CQ13" i="5"/>
  <c r="CQ17" i="5" s="1"/>
  <c r="CQ18" i="5" s="1"/>
  <c r="CP13" i="5"/>
  <c r="CP17" i="5" s="1"/>
  <c r="CP18" i="5" s="1"/>
  <c r="CO13" i="5"/>
  <c r="CS13" i="5" s="1"/>
  <c r="CR12" i="5"/>
  <c r="CQ12" i="5"/>
  <c r="CQ11" i="5" s="1"/>
  <c r="CP12" i="5"/>
  <c r="CO12" i="5"/>
  <c r="CO11" i="5" s="1"/>
  <c r="CS11" i="5" s="1"/>
  <c r="CR11" i="5"/>
  <c r="CP11" i="5"/>
  <c r="Q11" i="5"/>
  <c r="Q12" i="5" s="1"/>
  <c r="L11" i="5"/>
  <c r="L12" i="5" s="1"/>
  <c r="K9" i="5"/>
  <c r="J9" i="5"/>
  <c r="I9" i="5"/>
  <c r="H9" i="5"/>
  <c r="G9" i="5"/>
  <c r="CM9" i="5"/>
  <c r="CR9" i="5" s="1"/>
  <c r="CR4" i="5" s="1"/>
  <c r="CL9" i="5"/>
  <c r="CQ9" i="5" s="1"/>
  <c r="CK9" i="5"/>
  <c r="CP9" i="5" s="1"/>
  <c r="CJ9" i="5"/>
  <c r="CO9" i="5" s="1"/>
  <c r="CM8" i="5"/>
  <c r="CL8" i="5"/>
  <c r="CK8" i="5"/>
  <c r="CJ8" i="5"/>
  <c r="CH9" i="5"/>
  <c r="CH10" i="5" s="1"/>
  <c r="CG9" i="5"/>
  <c r="CG10" i="5" s="1"/>
  <c r="CF9" i="5"/>
  <c r="CF10" i="5" s="1"/>
  <c r="CE9" i="5"/>
  <c r="CE10" i="5" s="1"/>
  <c r="CH8" i="5"/>
  <c r="CG8" i="5"/>
  <c r="CF8" i="5"/>
  <c r="CE8" i="5"/>
  <c r="CC9" i="5"/>
  <c r="CC10" i="5" s="1"/>
  <c r="CB9" i="5"/>
  <c r="CB10" i="5" s="1"/>
  <c r="CA9" i="5"/>
  <c r="CA10" i="5" s="1"/>
  <c r="BZ9" i="5"/>
  <c r="BZ10" i="5" s="1"/>
  <c r="CC8" i="5"/>
  <c r="CB8" i="5"/>
  <c r="CA8" i="5"/>
  <c r="BZ8" i="5"/>
  <c r="BX9" i="5"/>
  <c r="BX10" i="5" s="1"/>
  <c r="BW9" i="5"/>
  <c r="BW10" i="5" s="1"/>
  <c r="BV9" i="5"/>
  <c r="BV10" i="5" s="1"/>
  <c r="BU9" i="5"/>
  <c r="BU10" i="5" s="1"/>
  <c r="BX8" i="5"/>
  <c r="BW8" i="5"/>
  <c r="BV8" i="5"/>
  <c r="BU8" i="5"/>
  <c r="BS9" i="5"/>
  <c r="BS10" i="5" s="1"/>
  <c r="BR9" i="5"/>
  <c r="BR10" i="5" s="1"/>
  <c r="BQ9" i="5"/>
  <c r="BQ10" i="5" s="1"/>
  <c r="BP9" i="5"/>
  <c r="BP10" i="5" s="1"/>
  <c r="BS8" i="5"/>
  <c r="BR8" i="5"/>
  <c r="BQ8" i="5"/>
  <c r="BP8" i="5"/>
  <c r="BN9" i="5"/>
  <c r="BN10" i="5" s="1"/>
  <c r="BM9" i="5"/>
  <c r="BM10" i="5" s="1"/>
  <c r="BL9" i="5"/>
  <c r="BL10" i="5" s="1"/>
  <c r="BK9" i="5"/>
  <c r="BK10" i="5" s="1"/>
  <c r="BN8" i="5"/>
  <c r="BM8" i="5"/>
  <c r="BL8" i="5"/>
  <c r="BK8" i="5"/>
  <c r="BI9" i="5"/>
  <c r="BI10" i="5" s="1"/>
  <c r="BH9" i="5"/>
  <c r="BH10" i="5" s="1"/>
  <c r="BG9" i="5"/>
  <c r="BG10" i="5" s="1"/>
  <c r="BF9" i="5"/>
  <c r="BF10" i="5" s="1"/>
  <c r="BI8" i="5"/>
  <c r="BH8" i="5"/>
  <c r="BG8" i="5"/>
  <c r="BF8" i="5"/>
  <c r="BD9" i="5"/>
  <c r="BD10" i="5" s="1"/>
  <c r="BC9" i="5"/>
  <c r="BC10" i="5" s="1"/>
  <c r="BB9" i="5"/>
  <c r="BB10" i="5" s="1"/>
  <c r="BA9" i="5"/>
  <c r="BA10" i="5" s="1"/>
  <c r="BD8" i="5"/>
  <c r="BC8" i="5"/>
  <c r="BB8" i="5"/>
  <c r="BA8" i="5"/>
  <c r="AY9" i="5"/>
  <c r="AY10" i="5" s="1"/>
  <c r="AX9" i="5"/>
  <c r="AX10" i="5" s="1"/>
  <c r="AW9" i="5"/>
  <c r="AW10" i="5" s="1"/>
  <c r="AV9" i="5"/>
  <c r="AV10" i="5" s="1"/>
  <c r="AY8" i="5"/>
  <c r="AX8" i="5"/>
  <c r="AW8" i="5"/>
  <c r="AV8" i="5"/>
  <c r="AT9" i="5"/>
  <c r="AT10" i="5" s="1"/>
  <c r="AS9" i="5"/>
  <c r="AS10" i="5" s="1"/>
  <c r="AR9" i="5"/>
  <c r="AR10" i="5" s="1"/>
  <c r="AQ9" i="5"/>
  <c r="AQ10" i="5" s="1"/>
  <c r="AT8" i="5"/>
  <c r="DI8" i="5" s="1"/>
  <c r="AS8" i="5"/>
  <c r="DH8" i="5" s="1"/>
  <c r="AR8" i="5"/>
  <c r="DG8" i="5" s="1"/>
  <c r="AQ8" i="5"/>
  <c r="DF8" i="5" s="1"/>
  <c r="AO9" i="5"/>
  <c r="AO10" i="5" s="1"/>
  <c r="AN9" i="5"/>
  <c r="AN10" i="5" s="1"/>
  <c r="AM9" i="5"/>
  <c r="AM10" i="5" s="1"/>
  <c r="AL9" i="5"/>
  <c r="AL10" i="5" s="1"/>
  <c r="AO8" i="5"/>
  <c r="AN8" i="5"/>
  <c r="AM8" i="5"/>
  <c r="AL8" i="5"/>
  <c r="AJ9" i="5"/>
  <c r="AJ10" i="5" s="1"/>
  <c r="AI9" i="5"/>
  <c r="AI10" i="5" s="1"/>
  <c r="AH9" i="5"/>
  <c r="AH10" i="5" s="1"/>
  <c r="AG9" i="5"/>
  <c r="AG10" i="5" s="1"/>
  <c r="AJ8" i="5"/>
  <c r="AI8" i="5"/>
  <c r="AH8" i="5"/>
  <c r="AG8" i="5"/>
  <c r="AE9" i="5"/>
  <c r="AE10" i="5" s="1"/>
  <c r="AD9" i="5"/>
  <c r="AD10" i="5" s="1"/>
  <c r="AC9" i="5"/>
  <c r="AC10" i="5" s="1"/>
  <c r="AB9" i="5"/>
  <c r="AB10" i="5" s="1"/>
  <c r="AE8" i="5"/>
  <c r="AD8" i="5"/>
  <c r="AC8" i="5"/>
  <c r="AB8" i="5"/>
  <c r="Z9" i="5"/>
  <c r="Z10" i="5" s="1"/>
  <c r="Y9" i="5"/>
  <c r="Y10" i="5" s="1"/>
  <c r="X9" i="5"/>
  <c r="X10" i="5" s="1"/>
  <c r="W9" i="5"/>
  <c r="W10" i="5" s="1"/>
  <c r="Z8" i="5"/>
  <c r="Y8" i="5"/>
  <c r="X8" i="5"/>
  <c r="W8" i="5"/>
  <c r="U9" i="5"/>
  <c r="U10" i="5" s="1"/>
  <c r="T9" i="5"/>
  <c r="T10" i="5" s="1"/>
  <c r="S9" i="5"/>
  <c r="S10" i="5" s="1"/>
  <c r="R9" i="5"/>
  <c r="R10" i="5" s="1"/>
  <c r="U8" i="5"/>
  <c r="T8" i="5"/>
  <c r="S8" i="5"/>
  <c r="R8" i="5"/>
  <c r="P9" i="5"/>
  <c r="P10" i="5" s="1"/>
  <c r="O9" i="5"/>
  <c r="O10" i="5" s="1"/>
  <c r="N9" i="5"/>
  <c r="N10" i="5" s="1"/>
  <c r="M9" i="5"/>
  <c r="M10" i="5" s="1"/>
  <c r="P8" i="5"/>
  <c r="O8" i="5"/>
  <c r="N8" i="5"/>
  <c r="M8" i="5"/>
  <c r="K8" i="5"/>
  <c r="J8" i="5"/>
  <c r="I8" i="5"/>
  <c r="CM7" i="5"/>
  <c r="CL7" i="5"/>
  <c r="CK7" i="5"/>
  <c r="CJ7" i="5"/>
  <c r="CH7" i="5"/>
  <c r="CG7" i="5"/>
  <c r="CF7" i="5"/>
  <c r="CE7" i="5"/>
  <c r="CC7" i="5"/>
  <c r="CB7" i="5"/>
  <c r="CA7" i="5"/>
  <c r="BZ7" i="5"/>
  <c r="BX7" i="5"/>
  <c r="BW7" i="5"/>
  <c r="BV7" i="5"/>
  <c r="BU7" i="5"/>
  <c r="BS7" i="5"/>
  <c r="BR7" i="5"/>
  <c r="BQ7" i="5"/>
  <c r="BP7" i="5"/>
  <c r="BN7" i="5"/>
  <c r="BM7" i="5"/>
  <c r="BL7" i="5"/>
  <c r="BK7" i="5"/>
  <c r="BI7" i="5"/>
  <c r="BH7" i="5"/>
  <c r="BG7" i="5"/>
  <c r="BF7" i="5"/>
  <c r="BD7" i="5"/>
  <c r="BC7" i="5"/>
  <c r="BB7" i="5"/>
  <c r="BA7" i="5"/>
  <c r="AY7" i="5"/>
  <c r="AX7" i="5"/>
  <c r="AW7" i="5"/>
  <c r="AV7" i="5"/>
  <c r="AT7" i="5"/>
  <c r="AS7" i="5"/>
  <c r="AR7" i="5"/>
  <c r="AQ7" i="5"/>
  <c r="AO7" i="5"/>
  <c r="AN7" i="5"/>
  <c r="AM7" i="5"/>
  <c r="AL7" i="5"/>
  <c r="AJ7" i="5"/>
  <c r="AI7" i="5"/>
  <c r="AH7" i="5"/>
  <c r="AG7" i="5"/>
  <c r="AE7" i="5"/>
  <c r="AD7" i="5"/>
  <c r="AC7" i="5"/>
  <c r="AB7" i="5"/>
  <c r="Z7" i="5"/>
  <c r="Y7" i="5"/>
  <c r="X7" i="5"/>
  <c r="W7" i="5"/>
  <c r="U7" i="5"/>
  <c r="T7" i="5"/>
  <c r="S7" i="5"/>
  <c r="R7" i="5"/>
  <c r="P7" i="5"/>
  <c r="O7" i="5"/>
  <c r="N7" i="5"/>
  <c r="M7" i="5"/>
  <c r="DO6" i="5"/>
  <c r="DN6" i="5"/>
  <c r="CI6" i="5"/>
  <c r="CI4" i="5"/>
  <c r="CI17" i="5" s="1"/>
  <c r="CD6" i="5"/>
  <c r="CD77" i="5" s="1"/>
  <c r="CD4" i="5"/>
  <c r="CD5" i="5" s="1"/>
  <c r="E38" i="171" s="1"/>
  <c r="BY6" i="5"/>
  <c r="BY7" i="5" s="1"/>
  <c r="BY4" i="5"/>
  <c r="BT6" i="5"/>
  <c r="BT7" i="5" s="1"/>
  <c r="BT4" i="5"/>
  <c r="BT17" i="5" s="1"/>
  <c r="BO6" i="5"/>
  <c r="BO4" i="5"/>
  <c r="BO17" i="5" s="1"/>
  <c r="BO18" i="5" s="1"/>
  <c r="BJ6" i="5"/>
  <c r="BJ7" i="5" s="1"/>
  <c r="BJ4" i="5"/>
  <c r="BJ17" i="5" s="1"/>
  <c r="BE6" i="5"/>
  <c r="BE7" i="5" s="1"/>
  <c r="BE4" i="5"/>
  <c r="BE17" i="5" s="1"/>
  <c r="AZ6" i="5"/>
  <c r="AZ7" i="5" s="1"/>
  <c r="AZ4" i="5"/>
  <c r="BE5" i="5" s="1"/>
  <c r="AU6" i="5"/>
  <c r="AU77" i="5" s="1"/>
  <c r="AU4" i="5"/>
  <c r="AP6" i="5"/>
  <c r="AP99" i="5" s="1"/>
  <c r="AP4" i="5"/>
  <c r="AP5" i="5" s="1"/>
  <c r="AK6" i="5"/>
  <c r="AK7" i="5" s="1"/>
  <c r="AK4" i="5"/>
  <c r="AK17" i="5" s="1"/>
  <c r="AF6" i="5"/>
  <c r="AF94" i="5" s="1"/>
  <c r="AF95" i="5" s="1"/>
  <c r="AF4" i="5"/>
  <c r="AK5" i="5" s="1"/>
  <c r="AA6" i="5"/>
  <c r="AA77" i="5" s="1"/>
  <c r="AA4" i="5"/>
  <c r="AA17" i="5" s="1"/>
  <c r="AA18" i="5" s="1"/>
  <c r="V6" i="5"/>
  <c r="V7" i="5" s="1"/>
  <c r="V4" i="5"/>
  <c r="V17" i="5" s="1"/>
  <c r="Q6" i="5"/>
  <c r="Q7" i="5" s="1"/>
  <c r="Q4" i="5"/>
  <c r="Q9" i="5" s="1"/>
  <c r="L6" i="5"/>
  <c r="L99" i="5" s="1"/>
  <c r="L4" i="5"/>
  <c r="L17" i="5" s="1"/>
  <c r="CM5" i="5"/>
  <c r="CL5" i="5"/>
  <c r="CK5" i="5"/>
  <c r="CJ5" i="5"/>
  <c r="CH5" i="5"/>
  <c r="CG5" i="5"/>
  <c r="CF5" i="5"/>
  <c r="CE5" i="5"/>
  <c r="CC5" i="5"/>
  <c r="CB5" i="5"/>
  <c r="CA5" i="5"/>
  <c r="BZ5" i="5"/>
  <c r="BX5" i="5"/>
  <c r="BW5" i="5"/>
  <c r="BV5" i="5"/>
  <c r="BU5" i="5"/>
  <c r="BS5" i="5"/>
  <c r="BR5" i="5"/>
  <c r="BQ5" i="5"/>
  <c r="BP5" i="5"/>
  <c r="BN5" i="5"/>
  <c r="BM5" i="5"/>
  <c r="BL5" i="5"/>
  <c r="BK5" i="5"/>
  <c r="BI5" i="5"/>
  <c r="BH5" i="5"/>
  <c r="BG5" i="5"/>
  <c r="BF5" i="5"/>
  <c r="BD5" i="5"/>
  <c r="BC5" i="5"/>
  <c r="BB5" i="5"/>
  <c r="BA5" i="5"/>
  <c r="AY5" i="5"/>
  <c r="AX5" i="5"/>
  <c r="AW5" i="5"/>
  <c r="AV5" i="5"/>
  <c r="AT5" i="5"/>
  <c r="AS5" i="5"/>
  <c r="AR5" i="5"/>
  <c r="AQ5" i="5"/>
  <c r="AO5" i="5"/>
  <c r="AN5" i="5"/>
  <c r="AM5" i="5"/>
  <c r="AL5" i="5"/>
  <c r="AJ5" i="5"/>
  <c r="AI5" i="5"/>
  <c r="AH5" i="5"/>
  <c r="AG5" i="5"/>
  <c r="AE5" i="5"/>
  <c r="AD5" i="5"/>
  <c r="AC5" i="5"/>
  <c r="AB5" i="5"/>
  <c r="Z5" i="5"/>
  <c r="Y5" i="5"/>
  <c r="X5" i="5"/>
  <c r="W5" i="5"/>
  <c r="U5" i="5"/>
  <c r="T5" i="5"/>
  <c r="S5" i="5"/>
  <c r="R5" i="5"/>
  <c r="P5" i="5"/>
  <c r="O5" i="5"/>
  <c r="N5" i="5"/>
  <c r="M5" i="5"/>
  <c r="CR6" i="5"/>
  <c r="CQ6" i="5"/>
  <c r="CQ91" i="5" s="1"/>
  <c r="CP6" i="5"/>
  <c r="CP4" i="5" s="1"/>
  <c r="CO6" i="5"/>
  <c r="CO75" i="5" s="1"/>
  <c r="CN6" i="5"/>
  <c r="CN7" i="5" s="1"/>
  <c r="G39" i="171" s="1"/>
  <c r="CN5" i="5"/>
  <c r="CN4" i="5"/>
  <c r="CN17" i="5" s="1"/>
  <c r="CN2" i="5"/>
  <c r="S58" i="171"/>
  <c r="R58" i="171"/>
  <c r="Q58" i="171" s="1"/>
  <c r="P58" i="171" s="1"/>
  <c r="O58" i="171" s="1"/>
  <c r="R52" i="171"/>
  <c r="Q52" i="171"/>
  <c r="P52" i="171"/>
  <c r="O52" i="171"/>
  <c r="R49" i="171"/>
  <c r="Q49" i="171"/>
  <c r="P49" i="171"/>
  <c r="O49" i="171"/>
  <c r="J48" i="171"/>
  <c r="I48" i="171"/>
  <c r="J42" i="171"/>
  <c r="I42" i="171"/>
  <c r="J39" i="171"/>
  <c r="I39" i="171"/>
  <c r="G38" i="171"/>
  <c r="V40" i="171"/>
  <c r="U40" i="171"/>
  <c r="T40" i="171"/>
  <c r="V39" i="171"/>
  <c r="U39" i="171"/>
  <c r="T39" i="171"/>
  <c r="S39" i="171"/>
  <c r="R39" i="171"/>
  <c r="Q39" i="171"/>
  <c r="P39" i="171"/>
  <c r="O39" i="171"/>
  <c r="S37" i="171"/>
  <c r="O37" i="171"/>
  <c r="G37" i="171"/>
  <c r="F37" i="171" s="1"/>
  <c r="E37" i="171" s="1"/>
  <c r="V33" i="171"/>
  <c r="U33" i="171"/>
  <c r="T33" i="171"/>
  <c r="Q33" i="171"/>
  <c r="H28" i="171"/>
  <c r="F28" i="171"/>
  <c r="S27" i="171"/>
  <c r="R27" i="171"/>
  <c r="Q27" i="171"/>
  <c r="P27" i="171"/>
  <c r="O27" i="171"/>
  <c r="S24" i="171"/>
  <c r="R24" i="171"/>
  <c r="Q24" i="171"/>
  <c r="P24" i="171"/>
  <c r="O24" i="171"/>
  <c r="R23" i="171"/>
  <c r="H23" i="171"/>
  <c r="F23" i="171"/>
  <c r="H20" i="171"/>
  <c r="R17" i="171"/>
  <c r="R50" i="171" s="1"/>
  <c r="P17" i="171"/>
  <c r="P50" i="171" s="1"/>
  <c r="O17" i="171"/>
  <c r="O50" i="171" s="1"/>
  <c r="S16" i="171"/>
  <c r="R16" i="171"/>
  <c r="Q16" i="171"/>
  <c r="P16" i="171"/>
  <c r="O16" i="171"/>
  <c r="S14" i="171"/>
  <c r="R14" i="171"/>
  <c r="Q14" i="171"/>
  <c r="P14" i="171"/>
  <c r="O14" i="171"/>
  <c r="S13" i="171"/>
  <c r="Q13" i="171"/>
  <c r="P13" i="171"/>
  <c r="O13" i="171"/>
  <c r="H10" i="171"/>
  <c r="F10" i="171"/>
  <c r="S9" i="171"/>
  <c r="R9" i="171"/>
  <c r="P9" i="171"/>
  <c r="O9" i="171"/>
  <c r="S8" i="171"/>
  <c r="R8" i="171" s="1"/>
  <c r="Q8" i="171" s="1"/>
  <c r="P8" i="171" s="1"/>
  <c r="O8" i="171" s="1"/>
  <c r="B2" i="171"/>
  <c r="C6" i="170"/>
  <c r="BS163" i="5" l="1"/>
  <c r="AY162" i="5"/>
  <c r="BH163" i="5"/>
  <c r="AN162" i="5"/>
  <c r="BD162" i="5"/>
  <c r="CB162" i="5"/>
  <c r="AN163" i="5"/>
  <c r="BE166" i="5"/>
  <c r="BA165" i="5"/>
  <c r="BX163" i="5"/>
  <c r="CR8" i="5"/>
  <c r="CQ4" i="5"/>
  <c r="CQ15" i="5" s="1"/>
  <c r="CX11" i="5"/>
  <c r="DC11" i="5" s="1"/>
  <c r="CS12" i="5"/>
  <c r="AP25" i="5"/>
  <c r="AP84" i="5"/>
  <c r="AH90" i="5"/>
  <c r="AH84" i="5"/>
  <c r="AH85" i="5" s="1"/>
  <c r="AH25" i="5"/>
  <c r="CN58" i="5"/>
  <c r="CN50" i="5"/>
  <c r="AD52" i="5"/>
  <c r="AT52" i="5"/>
  <c r="BI52" i="5"/>
  <c r="AU58" i="5"/>
  <c r="AU59" i="5" s="1"/>
  <c r="AM90" i="5"/>
  <c r="AM84" i="5"/>
  <c r="AM85" i="5" s="1"/>
  <c r="AM25" i="5"/>
  <c r="AY90" i="5"/>
  <c r="AY25" i="5"/>
  <c r="AY56" i="5"/>
  <c r="AY57" i="5" s="1"/>
  <c r="AY84" i="5"/>
  <c r="AY85" i="5" s="1"/>
  <c r="BL90" i="5"/>
  <c r="BL84" i="5"/>
  <c r="BL25" i="5"/>
  <c r="BQ90" i="5"/>
  <c r="BQ84" i="5"/>
  <c r="BQ25" i="5"/>
  <c r="BV90" i="5"/>
  <c r="BV84" i="5"/>
  <c r="BV85" i="5" s="1"/>
  <c r="BV25" i="5"/>
  <c r="CF90" i="5"/>
  <c r="CF84" i="5"/>
  <c r="CF25" i="5"/>
  <c r="CF56" i="5"/>
  <c r="CK90" i="5"/>
  <c r="CK84" i="5"/>
  <c r="CK56" i="5"/>
  <c r="CK25" i="5"/>
  <c r="BY18" i="5"/>
  <c r="CI24" i="5"/>
  <c r="CE24" i="5"/>
  <c r="Q115" i="5"/>
  <c r="Q41" i="5"/>
  <c r="Q42" i="5"/>
  <c r="AK115" i="5"/>
  <c r="AK41" i="5"/>
  <c r="AK42" i="5"/>
  <c r="BA115" i="5"/>
  <c r="BA41" i="5"/>
  <c r="BA42" i="5"/>
  <c r="BA43" i="5" s="1"/>
  <c r="AK37" i="5"/>
  <c r="CG181" i="5"/>
  <c r="CG116" i="5"/>
  <c r="Z52" i="5"/>
  <c r="AV52" i="5"/>
  <c r="BF52" i="5"/>
  <c r="BK52" i="5"/>
  <c r="BP52" i="5"/>
  <c r="CE59" i="5"/>
  <c r="CI53" i="5"/>
  <c r="CJ53" i="5"/>
  <c r="CK53" i="5" s="1"/>
  <c r="CL53" i="5" s="1"/>
  <c r="CM53" i="5" s="1"/>
  <c r="CN53" i="5" s="1"/>
  <c r="N55" i="5"/>
  <c r="S55" i="5"/>
  <c r="N58" i="5"/>
  <c r="N59" i="5" s="1"/>
  <c r="N56" i="5"/>
  <c r="AA55" i="5"/>
  <c r="AA56" i="5"/>
  <c r="AF55" i="5"/>
  <c r="AF56" i="5"/>
  <c r="AF57" i="5" s="1"/>
  <c r="AK55" i="5"/>
  <c r="AK56" i="5"/>
  <c r="AP55" i="5"/>
  <c r="AP56" i="5"/>
  <c r="AP57" i="5" s="1"/>
  <c r="BB59" i="5"/>
  <c r="BG56" i="5"/>
  <c r="BL56" i="5"/>
  <c r="BL57" i="5" s="1"/>
  <c r="BQ56" i="5"/>
  <c r="BQ57" i="5" s="1"/>
  <c r="BV56" i="5"/>
  <c r="BV57" i="5" s="1"/>
  <c r="BL113" i="5"/>
  <c r="AX84" i="5"/>
  <c r="AX25" i="5"/>
  <c r="AX90" i="5"/>
  <c r="AX56" i="5"/>
  <c r="AS84" i="5"/>
  <c r="AS85" i="5" s="1"/>
  <c r="AS90" i="5"/>
  <c r="AS25" i="5"/>
  <c r="BO24" i="5"/>
  <c r="BO25" i="5" s="1"/>
  <c r="BT24" i="5"/>
  <c r="BT25" i="5" s="1"/>
  <c r="BP24" i="5"/>
  <c r="L115" i="5"/>
  <c r="L42" i="5"/>
  <c r="L41" i="5"/>
  <c r="T43" i="5"/>
  <c r="AY52" i="5"/>
  <c r="CH59" i="5"/>
  <c r="S57" i="5"/>
  <c r="BJ84" i="5"/>
  <c r="AA78" i="5"/>
  <c r="BJ18" i="5"/>
  <c r="BT18" i="5"/>
  <c r="AI84" i="5"/>
  <c r="AI85" i="5" s="1"/>
  <c r="AI90" i="5"/>
  <c r="AI25" i="5"/>
  <c r="AN84" i="5"/>
  <c r="AN90" i="5"/>
  <c r="AN25" i="5"/>
  <c r="BG90" i="5"/>
  <c r="BG84" i="5"/>
  <c r="BM84" i="5"/>
  <c r="BM25" i="5"/>
  <c r="BM90" i="5"/>
  <c r="BR84" i="5"/>
  <c r="BR90" i="5"/>
  <c r="BR25" i="5"/>
  <c r="BW84" i="5"/>
  <c r="BW25" i="5"/>
  <c r="BW90" i="5"/>
  <c r="CA90" i="5"/>
  <c r="CA84" i="5"/>
  <c r="CA25" i="5"/>
  <c r="CG84" i="5"/>
  <c r="CG90" i="5"/>
  <c r="CG56" i="5"/>
  <c r="CL84" i="5"/>
  <c r="CL90" i="5"/>
  <c r="CL56" i="5"/>
  <c r="CL25" i="5"/>
  <c r="AV90" i="5"/>
  <c r="AV84" i="5"/>
  <c r="AO90" i="5"/>
  <c r="AO84" i="5"/>
  <c r="AT25" i="5"/>
  <c r="AO25" i="5"/>
  <c r="AP18" i="5"/>
  <c r="DC20" i="5"/>
  <c r="CM84" i="5"/>
  <c r="CM90" i="5"/>
  <c r="CM25" i="5"/>
  <c r="CM56" i="5"/>
  <c r="BE115" i="5"/>
  <c r="BE42" i="5"/>
  <c r="BY115" i="5"/>
  <c r="P11" i="171"/>
  <c r="P10" i="171" s="1"/>
  <c r="BY41" i="5"/>
  <c r="BY42" i="5"/>
  <c r="O181" i="5"/>
  <c r="O116" i="5"/>
  <c r="Y181" i="5"/>
  <c r="Y116" i="5"/>
  <c r="BD43" i="5"/>
  <c r="AE51" i="5"/>
  <c r="AE52" i="5" s="1"/>
  <c r="AE50" i="5"/>
  <c r="AH52" i="5"/>
  <c r="AM52" i="5"/>
  <c r="AR52" i="5"/>
  <c r="AW52" i="5"/>
  <c r="BB52" i="5"/>
  <c r="BL59" i="5"/>
  <c r="BQ59" i="5"/>
  <c r="BV59" i="5"/>
  <c r="CA59" i="5"/>
  <c r="CF59" i="5"/>
  <c r="O58" i="5"/>
  <c r="O59" i="5" s="1"/>
  <c r="O55" i="5"/>
  <c r="O56" i="5"/>
  <c r="T57" i="5"/>
  <c r="AM59" i="5"/>
  <c r="AR56" i="5"/>
  <c r="AW56" i="5"/>
  <c r="AW57" i="5" s="1"/>
  <c r="BC59" i="5"/>
  <c r="BM56" i="5"/>
  <c r="BR56" i="5"/>
  <c r="BR57" i="5" s="1"/>
  <c r="BW56" i="5"/>
  <c r="BW57" i="5" s="1"/>
  <c r="AK58" i="5"/>
  <c r="AP58" i="5"/>
  <c r="AP59" i="5" s="1"/>
  <c r="AZ58" i="5"/>
  <c r="AZ59" i="5" s="1"/>
  <c r="CH106" i="5"/>
  <c r="AB43" i="5"/>
  <c r="Y52" i="5"/>
  <c r="AO52" i="5"/>
  <c r="BN52" i="5"/>
  <c r="BX52" i="5"/>
  <c r="CM59" i="5"/>
  <c r="CR58" i="5"/>
  <c r="P117" i="5"/>
  <c r="P108" i="5"/>
  <c r="P106" i="5"/>
  <c r="P112" i="5"/>
  <c r="P110" i="5"/>
  <c r="CI58" i="5"/>
  <c r="CI59" i="5" s="1"/>
  <c r="CI50" i="5"/>
  <c r="CN18" i="5"/>
  <c r="CP5" i="5"/>
  <c r="CP15" i="5"/>
  <c r="CP16" i="5" s="1"/>
  <c r="CD78" i="5"/>
  <c r="CR15" i="5"/>
  <c r="CR16" i="5" s="1"/>
  <c r="CR5" i="5"/>
  <c r="CS17" i="5"/>
  <c r="CS18" i="5" s="1"/>
  <c r="CX13" i="5"/>
  <c r="CS14" i="5"/>
  <c r="AJ90" i="5"/>
  <c r="AJ84" i="5"/>
  <c r="AJ85" i="5" s="1"/>
  <c r="AU25" i="5"/>
  <c r="AW90" i="5"/>
  <c r="AW84" i="5"/>
  <c r="AW25" i="5"/>
  <c r="BD90" i="5"/>
  <c r="BD84" i="5"/>
  <c r="BD25" i="5"/>
  <c r="BI90" i="5"/>
  <c r="BI84" i="5"/>
  <c r="BI85" i="5" s="1"/>
  <c r="BI25" i="5"/>
  <c r="BN90" i="5"/>
  <c r="BN84" i="5"/>
  <c r="BN25" i="5"/>
  <c r="BX90" i="5"/>
  <c r="BX84" i="5"/>
  <c r="BX25" i="5"/>
  <c r="CC90" i="5"/>
  <c r="CC84" i="5"/>
  <c r="CC25" i="5"/>
  <c r="CH90" i="5"/>
  <c r="CH56" i="5"/>
  <c r="CH57" i="5" s="1"/>
  <c r="CH84" i="5"/>
  <c r="CH85" i="5" s="1"/>
  <c r="CH25" i="5"/>
  <c r="AR90" i="5"/>
  <c r="AR84" i="5"/>
  <c r="AR85" i="5" s="1"/>
  <c r="AR25" i="5"/>
  <c r="AG24" i="5"/>
  <c r="AZ19" i="5"/>
  <c r="BY24" i="5"/>
  <c r="BY84" i="5" s="1"/>
  <c r="BY85" i="5" s="1"/>
  <c r="BU24" i="5"/>
  <c r="CD24" i="5"/>
  <c r="BZ24" i="5"/>
  <c r="DG33" i="5"/>
  <c r="CP39" i="5"/>
  <c r="AJ228" i="5"/>
  <c r="AJ181" i="5"/>
  <c r="BF116" i="5"/>
  <c r="AJ43" i="5"/>
  <c r="BP43" i="5"/>
  <c r="X52" i="5"/>
  <c r="AC52" i="5"/>
  <c r="AI52" i="5"/>
  <c r="AN52" i="5"/>
  <c r="AS52" i="5"/>
  <c r="AX52" i="5"/>
  <c r="BC52" i="5"/>
  <c r="BM59" i="5"/>
  <c r="BR59" i="5"/>
  <c r="BW59" i="5"/>
  <c r="CB59" i="5"/>
  <c r="CG59" i="5"/>
  <c r="V54" i="5"/>
  <c r="R55" i="5"/>
  <c r="R58" i="5"/>
  <c r="R56" i="5"/>
  <c r="R57" i="5" s="1"/>
  <c r="AD59" i="5"/>
  <c r="AI59" i="5"/>
  <c r="AN59" i="5"/>
  <c r="AS56" i="5"/>
  <c r="BI59" i="5"/>
  <c r="BX56" i="5"/>
  <c r="CJ59" i="5"/>
  <c r="AA58" i="5"/>
  <c r="AV117" i="5"/>
  <c r="AV108" i="5"/>
  <c r="AV109" i="5" s="1"/>
  <c r="AV106" i="5"/>
  <c r="AV107" i="5"/>
  <c r="AV112" i="5"/>
  <c r="AV110" i="5"/>
  <c r="CI105" i="5"/>
  <c r="CI97" i="5"/>
  <c r="CI99" i="5"/>
  <c r="AA7" i="5"/>
  <c r="AU7" i="5"/>
  <c r="L9" i="5"/>
  <c r="L10" i="5" s="1"/>
  <c r="AB18" i="5"/>
  <c r="AM18" i="5"/>
  <c r="AZ17" i="5"/>
  <c r="AZ18" i="5" s="1"/>
  <c r="BK90" i="5"/>
  <c r="BK84" i="5"/>
  <c r="L275" i="5"/>
  <c r="L256" i="5"/>
  <c r="Q29" i="5"/>
  <c r="V30" i="5"/>
  <c r="AI33" i="5"/>
  <c r="AX33" i="5"/>
  <c r="BY36" i="5"/>
  <c r="BY37" i="5" s="1"/>
  <c r="AL37" i="5"/>
  <c r="AX37" i="5"/>
  <c r="BV37" i="5"/>
  <c r="CI39" i="5"/>
  <c r="V40" i="5"/>
  <c r="AH228" i="5"/>
  <c r="AH119" i="5"/>
  <c r="AP40" i="5"/>
  <c r="AX181" i="5"/>
  <c r="BJ40" i="5"/>
  <c r="BV181" i="5"/>
  <c r="BV119" i="5"/>
  <c r="BV116" i="5"/>
  <c r="CH181" i="5"/>
  <c r="CH116" i="5"/>
  <c r="G228" i="5"/>
  <c r="G119" i="5"/>
  <c r="V45" i="5"/>
  <c r="AB51" i="5"/>
  <c r="AB52" i="5" s="1"/>
  <c r="AL51" i="5"/>
  <c r="AQ52" i="5" s="1"/>
  <c r="AV50" i="5"/>
  <c r="BA51" i="5"/>
  <c r="BA52" i="5" s="1"/>
  <c r="BP50" i="5"/>
  <c r="BZ50" i="5"/>
  <c r="CM51" i="5"/>
  <c r="T58" i="5"/>
  <c r="T59" i="5" s="1"/>
  <c r="X56" i="5"/>
  <c r="X57" i="5" s="1"/>
  <c r="AM56" i="5"/>
  <c r="AR58" i="5"/>
  <c r="BD56" i="5"/>
  <c r="BD57" i="5" s="1"/>
  <c r="BI56" i="5"/>
  <c r="BI57" i="5" s="1"/>
  <c r="BN56" i="5"/>
  <c r="BS55" i="5"/>
  <c r="BX58" i="5"/>
  <c r="BX59" i="5" s="1"/>
  <c r="H56" i="5"/>
  <c r="M57" i="5" s="1"/>
  <c r="I112" i="5"/>
  <c r="I117" i="5"/>
  <c r="I119" i="5" s="1"/>
  <c r="I110" i="5"/>
  <c r="AY184" i="5"/>
  <c r="AW184" i="5"/>
  <c r="BB61" i="5"/>
  <c r="AW62" i="5"/>
  <c r="AW61" i="5"/>
  <c r="AW105" i="5"/>
  <c r="AW79" i="5"/>
  <c r="AW80" i="5" s="1"/>
  <c r="BL63" i="5"/>
  <c r="BG63" i="5"/>
  <c r="CJ63" i="5"/>
  <c r="CE63" i="5"/>
  <c r="CN358" i="5"/>
  <c r="CN360" i="5" s="1"/>
  <c r="CN186" i="5"/>
  <c r="CN126" i="5"/>
  <c r="CL95" i="5"/>
  <c r="CG95" i="5"/>
  <c r="AA105" i="5"/>
  <c r="AA97" i="5"/>
  <c r="AA99" i="5"/>
  <c r="CD105" i="5"/>
  <c r="CM105" i="5"/>
  <c r="CM97" i="5"/>
  <c r="CM99" i="5"/>
  <c r="U106" i="5"/>
  <c r="AG106" i="5"/>
  <c r="CF117" i="5"/>
  <c r="CF108" i="5"/>
  <c r="U109" i="5"/>
  <c r="AB110" i="5"/>
  <c r="BK181" i="5"/>
  <c r="BK116" i="5"/>
  <c r="CA211" i="5"/>
  <c r="AT140" i="5"/>
  <c r="AU139" i="5"/>
  <c r="BZ162" i="5"/>
  <c r="BO283" i="5"/>
  <c r="L5" i="5"/>
  <c r="AF5" i="5"/>
  <c r="AZ5" i="5"/>
  <c r="BT5" i="5"/>
  <c r="L7" i="5"/>
  <c r="AF7" i="5"/>
  <c r="CJ10" i="5"/>
  <c r="CO8" i="5"/>
  <c r="AZ9" i="5"/>
  <c r="AZ10" i="5" s="1"/>
  <c r="AV18" i="5"/>
  <c r="AF12" i="5"/>
  <c r="AU14" i="5"/>
  <c r="BA20" i="5"/>
  <c r="BY14" i="5"/>
  <c r="CD9" i="5"/>
  <c r="CD17" i="5"/>
  <c r="CD18" i="5" s="1"/>
  <c r="CI12" i="5"/>
  <c r="CI16" i="5"/>
  <c r="CN21" i="5"/>
  <c r="CO21" i="5" s="1"/>
  <c r="AQ24" i="5"/>
  <c r="BH24" i="5"/>
  <c r="CB24" i="5"/>
  <c r="CJ24" i="5"/>
  <c r="L25" i="5"/>
  <c r="Q275" i="5"/>
  <c r="Q256" i="5"/>
  <c r="AF275" i="5"/>
  <c r="AF256" i="5"/>
  <c r="AU275" i="5"/>
  <c r="AU256" i="5"/>
  <c r="BO256" i="5"/>
  <c r="CI256" i="5"/>
  <c r="V29" i="5"/>
  <c r="AP29" i="5"/>
  <c r="BJ29" i="5"/>
  <c r="CD29" i="5"/>
  <c r="CP29" i="5"/>
  <c r="DO29" i="5"/>
  <c r="AA30" i="5"/>
  <c r="AU30" i="5"/>
  <c r="BO30" i="5"/>
  <c r="CI30" i="5"/>
  <c r="CQ30" i="5"/>
  <c r="U31" i="5"/>
  <c r="Y31" i="5"/>
  <c r="AC31" i="5"/>
  <c r="AG31" i="5"/>
  <c r="AO31" i="5"/>
  <c r="AS31" i="5"/>
  <c r="AW31" i="5"/>
  <c r="BA31" i="5"/>
  <c r="BI31" i="5"/>
  <c r="BM31" i="5"/>
  <c r="BQ31" i="5"/>
  <c r="BU31" i="5"/>
  <c r="CC31" i="5"/>
  <c r="CG31" i="5"/>
  <c r="CK31" i="5"/>
  <c r="X32" i="5"/>
  <c r="AB32" i="5"/>
  <c r="AJ32" i="5"/>
  <c r="AR32" i="5"/>
  <c r="AV32" i="5"/>
  <c r="BD32" i="5"/>
  <c r="BL32" i="5"/>
  <c r="BP32" i="5"/>
  <c r="BX32" i="5"/>
  <c r="CF32" i="5"/>
  <c r="CJ32" i="5"/>
  <c r="CV32" i="5"/>
  <c r="CZ32" i="5"/>
  <c r="K33" i="5"/>
  <c r="Z33" i="5"/>
  <c r="AE33" i="5"/>
  <c r="AT33" i="5"/>
  <c r="AY33" i="5"/>
  <c r="BN33" i="5"/>
  <c r="BS33" i="5"/>
  <c r="CH33" i="5"/>
  <c r="CM33" i="5"/>
  <c r="AA35" i="5"/>
  <c r="AU35" i="5"/>
  <c r="BO35" i="5"/>
  <c r="CI35" i="5"/>
  <c r="V36" i="5"/>
  <c r="AP36" i="5"/>
  <c r="AP37" i="5" s="1"/>
  <c r="BJ36" i="5"/>
  <c r="CD36" i="5"/>
  <c r="CD37" i="5" s="1"/>
  <c r="CP36" i="5"/>
  <c r="CP37" i="5" s="1"/>
  <c r="W37" i="5"/>
  <c r="AE37" i="5"/>
  <c r="AI37" i="5"/>
  <c r="AM37" i="5"/>
  <c r="AQ37" i="5"/>
  <c r="AY37" i="5"/>
  <c r="BC37" i="5"/>
  <c r="BG37" i="5"/>
  <c r="BK37" i="5"/>
  <c r="BS37" i="5"/>
  <c r="BW37" i="5"/>
  <c r="CA37" i="5"/>
  <c r="CE37" i="5"/>
  <c r="Q38" i="5"/>
  <c r="AK38" i="5"/>
  <c r="BA38" i="5"/>
  <c r="BE38" i="5"/>
  <c r="BY38" i="5"/>
  <c r="CO38" i="5"/>
  <c r="AF39" i="5"/>
  <c r="AZ39" i="5"/>
  <c r="BT39" i="5"/>
  <c r="CN39" i="5"/>
  <c r="CR39" i="5"/>
  <c r="S116" i="5"/>
  <c r="S181" i="5"/>
  <c r="W116" i="5"/>
  <c r="W181" i="5"/>
  <c r="W119" i="5"/>
  <c r="AA40" i="5"/>
  <c r="AI228" i="5"/>
  <c r="AI116" i="5"/>
  <c r="AM228" i="5"/>
  <c r="AM116" i="5"/>
  <c r="AM181" i="5"/>
  <c r="AM119" i="5"/>
  <c r="AQ228" i="5"/>
  <c r="AQ116" i="5"/>
  <c r="AQ181" i="5"/>
  <c r="AQ119" i="5"/>
  <c r="AU40" i="5"/>
  <c r="AY116" i="5"/>
  <c r="BC116" i="5"/>
  <c r="BC181" i="5"/>
  <c r="BC203" i="5" s="1"/>
  <c r="BC119" i="5"/>
  <c r="BG228" i="5"/>
  <c r="BG116" i="5"/>
  <c r="BG181" i="5"/>
  <c r="BG119" i="5"/>
  <c r="BO40" i="5"/>
  <c r="BS181" i="5"/>
  <c r="BS116" i="5"/>
  <c r="BW181" i="5"/>
  <c r="BW116" i="5"/>
  <c r="CA228" i="5"/>
  <c r="CA181" i="5"/>
  <c r="CA116" i="5"/>
  <c r="CE228" i="5"/>
  <c r="CE116" i="5"/>
  <c r="CE181" i="5"/>
  <c r="CI40" i="5"/>
  <c r="CM181" i="5"/>
  <c r="CM116" i="5"/>
  <c r="N41" i="5"/>
  <c r="R41" i="5"/>
  <c r="Z41" i="5"/>
  <c r="AD41" i="5"/>
  <c r="AH41" i="5"/>
  <c r="AL41" i="5"/>
  <c r="AT41" i="5"/>
  <c r="AX41" i="5"/>
  <c r="BB41" i="5"/>
  <c r="BF41" i="5"/>
  <c r="BN41" i="5"/>
  <c r="BR41" i="5"/>
  <c r="BV41" i="5"/>
  <c r="BZ41" i="5"/>
  <c r="CH41" i="5"/>
  <c r="CL41" i="5"/>
  <c r="L38" i="5"/>
  <c r="H42" i="5"/>
  <c r="M43" i="5" s="1"/>
  <c r="S46" i="5"/>
  <c r="X46" i="5"/>
  <c r="AC50" i="5"/>
  <c r="AH50" i="5"/>
  <c r="AM50" i="5"/>
  <c r="AR50" i="5"/>
  <c r="AW50" i="5"/>
  <c r="BB50" i="5"/>
  <c r="BG50" i="5"/>
  <c r="BG51" i="5"/>
  <c r="BG52" i="5" s="1"/>
  <c r="BL50" i="5"/>
  <c r="BL51" i="5"/>
  <c r="BQ50" i="5"/>
  <c r="BQ51" i="5"/>
  <c r="BQ52" i="5" s="1"/>
  <c r="BV50" i="5"/>
  <c r="BV51" i="5"/>
  <c r="CA50" i="5"/>
  <c r="CA51" i="5"/>
  <c r="CA52" i="5" s="1"/>
  <c r="CF50" i="5"/>
  <c r="CF51" i="5"/>
  <c r="CK52" i="5" s="1"/>
  <c r="CN51" i="5"/>
  <c r="CJ50" i="5"/>
  <c r="Q53" i="5"/>
  <c r="T55" i="5"/>
  <c r="M58" i="5"/>
  <c r="M59" i="5" s="1"/>
  <c r="U58" i="5"/>
  <c r="Y55" i="5"/>
  <c r="Y56" i="5"/>
  <c r="Y57" i="5" s="1"/>
  <c r="AD55" i="5"/>
  <c r="AD56" i="5"/>
  <c r="AI55" i="5"/>
  <c r="AI56" i="5"/>
  <c r="AI57" i="5" s="1"/>
  <c r="AN55" i="5"/>
  <c r="AN56" i="5"/>
  <c r="AR55" i="5"/>
  <c r="AV55" i="5"/>
  <c r="AT57" i="5"/>
  <c r="AS58" i="5"/>
  <c r="AW58" i="5"/>
  <c r="AW59" i="5" s="1"/>
  <c r="BA55" i="5"/>
  <c r="BJ54" i="5"/>
  <c r="BF55" i="5"/>
  <c r="BF58" i="5"/>
  <c r="BF59" i="5" s="1"/>
  <c r="BO54" i="5"/>
  <c r="BK55" i="5"/>
  <c r="BK56" i="5"/>
  <c r="BK58" i="5"/>
  <c r="BK59" i="5" s="1"/>
  <c r="BT54" i="5"/>
  <c r="BP55" i="5"/>
  <c r="BP58" i="5"/>
  <c r="BP59" i="5" s="1"/>
  <c r="BY54" i="5"/>
  <c r="BU55" i="5"/>
  <c r="BU56" i="5"/>
  <c r="BU58" i="5"/>
  <c r="BU59" i="5" s="1"/>
  <c r="CD56" i="5"/>
  <c r="CI55" i="5"/>
  <c r="CD55" i="5"/>
  <c r="CA55" i="5"/>
  <c r="CA56" i="5"/>
  <c r="CF55" i="5"/>
  <c r="DO55" i="5"/>
  <c r="I56" i="5"/>
  <c r="CK58" i="5"/>
  <c r="CO58" i="5"/>
  <c r="J105" i="5"/>
  <c r="J79" i="5"/>
  <c r="O184" i="5"/>
  <c r="O201" i="5" s="1"/>
  <c r="O105" i="5"/>
  <c r="O79" i="5"/>
  <c r="O80" i="5" s="1"/>
  <c r="T61" i="5"/>
  <c r="V184" i="5"/>
  <c r="V62" i="5"/>
  <c r="V61" i="5"/>
  <c r="V79" i="5"/>
  <c r="AA184" i="5"/>
  <c r="AA79" i="5"/>
  <c r="AA80" i="5" s="1"/>
  <c r="AF184" i="5"/>
  <c r="AF62" i="5"/>
  <c r="AF63" i="5" s="1"/>
  <c r="AF61" i="5"/>
  <c r="AK79" i="5"/>
  <c r="AK62" i="5"/>
  <c r="AK63" i="5" s="1"/>
  <c r="AK61" i="5"/>
  <c r="AK184" i="5"/>
  <c r="AP184" i="5"/>
  <c r="AP62" i="5"/>
  <c r="AP63" i="5" s="1"/>
  <c r="AP61" i="5"/>
  <c r="AP79" i="5"/>
  <c r="BB184" i="5"/>
  <c r="AX184" i="5"/>
  <c r="AX201" i="5" s="1"/>
  <c r="BA184" i="5"/>
  <c r="AX62" i="5"/>
  <c r="AX63" i="5" s="1"/>
  <c r="AX61" i="5"/>
  <c r="AX105" i="5"/>
  <c r="AX79" i="5"/>
  <c r="AX80" i="5" s="1"/>
  <c r="AZ60" i="5"/>
  <c r="O61" i="5"/>
  <c r="X63" i="5"/>
  <c r="AB63" i="5"/>
  <c r="BH63" i="5"/>
  <c r="BC63" i="5"/>
  <c r="CF63" i="5"/>
  <c r="CA63" i="5"/>
  <c r="AV79" i="5"/>
  <c r="AV80" i="5" s="1"/>
  <c r="CP75" i="5"/>
  <c r="V186" i="5"/>
  <c r="V84" i="5"/>
  <c r="V82" i="5"/>
  <c r="AF77" i="5"/>
  <c r="AF78" i="5" s="1"/>
  <c r="AF76" i="5"/>
  <c r="AK76" i="5"/>
  <c r="AP77" i="5"/>
  <c r="CN82" i="5"/>
  <c r="L94" i="5"/>
  <c r="AK94" i="5"/>
  <c r="AK95" i="5" s="1"/>
  <c r="BE94" i="5"/>
  <c r="BT94" i="5"/>
  <c r="CI92" i="5"/>
  <c r="P95" i="5"/>
  <c r="DI94" i="5"/>
  <c r="AC95" i="5"/>
  <c r="BZ95" i="5"/>
  <c r="BU95" i="5"/>
  <c r="BY94" i="5"/>
  <c r="CH95" i="5"/>
  <c r="CC95" i="5"/>
  <c r="Q99" i="5"/>
  <c r="Q100" i="5" s="1"/>
  <c r="AE105" i="5"/>
  <c r="AE97" i="5"/>
  <c r="AE99" i="5"/>
  <c r="AE100" i="5" s="1"/>
  <c r="AG98" i="5"/>
  <c r="AF96" i="5"/>
  <c r="BQ100" i="5"/>
  <c r="BV117" i="5"/>
  <c r="BV112" i="5"/>
  <c r="BV110" i="5"/>
  <c r="BV107" i="5"/>
  <c r="BV108" i="5"/>
  <c r="CA105" i="5"/>
  <c r="CA97" i="5"/>
  <c r="CA98" i="5"/>
  <c r="CA99" i="5"/>
  <c r="CA100" i="5" s="1"/>
  <c r="CO96" i="5"/>
  <c r="CJ97" i="5"/>
  <c r="S100" i="5"/>
  <c r="W100" i="5"/>
  <c r="BV100" i="5"/>
  <c r="CL100" i="5"/>
  <c r="CQ99" i="5"/>
  <c r="CQ96" i="5" s="1"/>
  <c r="CO102" i="5"/>
  <c r="AC118" i="5"/>
  <c r="AN117" i="5"/>
  <c r="AN108" i="5"/>
  <c r="AN107" i="5"/>
  <c r="AN106" i="5"/>
  <c r="AS118" i="5"/>
  <c r="CJ117" i="5"/>
  <c r="CJ108" i="5"/>
  <c r="CJ107" i="5"/>
  <c r="I108" i="5"/>
  <c r="BL110" i="5"/>
  <c r="CB110" i="5"/>
  <c r="AH116" i="5"/>
  <c r="DC138" i="5"/>
  <c r="CX137" i="5"/>
  <c r="CX194" i="5" s="1"/>
  <c r="CX140" i="5"/>
  <c r="AY141" i="5"/>
  <c r="BD141" i="5"/>
  <c r="BW141" i="5"/>
  <c r="CB141" i="5"/>
  <c r="AF221" i="5"/>
  <c r="AG161" i="5"/>
  <c r="AG165" i="5"/>
  <c r="AH161" i="5"/>
  <c r="AH162" i="5" s="1"/>
  <c r="AK161" i="5"/>
  <c r="AK165" i="5"/>
  <c r="AO161" i="5"/>
  <c r="AP164" i="5"/>
  <c r="AO166" i="5"/>
  <c r="AO165" i="5"/>
  <c r="BU166" i="5"/>
  <c r="BU165" i="5"/>
  <c r="BV161" i="5"/>
  <c r="BY165" i="5"/>
  <c r="BY166" i="5"/>
  <c r="CC161" i="5"/>
  <c r="CD164" i="5"/>
  <c r="CC165" i="5"/>
  <c r="CC166" i="5"/>
  <c r="AY181" i="5"/>
  <c r="CO76" i="5"/>
  <c r="CO60" i="5"/>
  <c r="BY5" i="5"/>
  <c r="CM10" i="5"/>
  <c r="AP9" i="5"/>
  <c r="AP10" i="5" s="1"/>
  <c r="AL90" i="5"/>
  <c r="AL84" i="5"/>
  <c r="AA256" i="5"/>
  <c r="AA275" i="5"/>
  <c r="CD256" i="5"/>
  <c r="BC33" i="5"/>
  <c r="DH33" i="5" s="1"/>
  <c r="BR33" i="5"/>
  <c r="BJ35" i="5"/>
  <c r="BE36" i="5"/>
  <c r="BE37" i="5" s="1"/>
  <c r="AH37" i="5"/>
  <c r="AT37" i="5"/>
  <c r="BF37" i="5"/>
  <c r="BR37" i="5"/>
  <c r="CH37" i="5"/>
  <c r="R181" i="5"/>
  <c r="R119" i="5"/>
  <c r="AD181" i="5"/>
  <c r="AD119" i="5"/>
  <c r="AD116" i="5"/>
  <c r="AT228" i="5"/>
  <c r="AT181" i="5"/>
  <c r="AT116" i="5"/>
  <c r="BF181" i="5"/>
  <c r="BF119" i="5"/>
  <c r="BR181" i="5"/>
  <c r="CL181" i="5"/>
  <c r="S117" i="5"/>
  <c r="S112" i="5"/>
  <c r="S110" i="5"/>
  <c r="S108" i="5"/>
  <c r="S49" i="5"/>
  <c r="S51" i="5" s="1"/>
  <c r="S52" i="5" s="1"/>
  <c r="W50" i="5"/>
  <c r="AG51" i="5"/>
  <c r="AG52" i="5" s="1"/>
  <c r="AQ50" i="5"/>
  <c r="BF50" i="5"/>
  <c r="BK50" i="5"/>
  <c r="BU51" i="5"/>
  <c r="BU52" i="5" s="1"/>
  <c r="CE51" i="5"/>
  <c r="CJ52" i="5" s="1"/>
  <c r="P54" i="5"/>
  <c r="AC56" i="5"/>
  <c r="AC58" i="5"/>
  <c r="AC59" i="5" s="1"/>
  <c r="AH55" i="5"/>
  <c r="BD58" i="5"/>
  <c r="BD59" i="5" s="1"/>
  <c r="BI55" i="5"/>
  <c r="BN58" i="5"/>
  <c r="BN59" i="5" s="1"/>
  <c r="DN55" i="5"/>
  <c r="BJ51" i="5"/>
  <c r="BJ58" i="5"/>
  <c r="CD51" i="5"/>
  <c r="CD58" i="5"/>
  <c r="AA63" i="5"/>
  <c r="V77" i="5"/>
  <c r="CD358" i="5"/>
  <c r="CD360" i="5" s="1"/>
  <c r="CD186" i="5"/>
  <c r="CD126" i="5"/>
  <c r="CD129" i="5"/>
  <c r="CD82" i="5"/>
  <c r="AZ188" i="5"/>
  <c r="BE87" i="5"/>
  <c r="AZ87" i="5"/>
  <c r="BN95" i="5"/>
  <c r="BI95" i="5"/>
  <c r="AP117" i="5"/>
  <c r="AP112" i="5"/>
  <c r="AP110" i="5"/>
  <c r="AP108" i="5"/>
  <c r="BG100" i="5"/>
  <c r="AR117" i="5"/>
  <c r="AR108" i="5"/>
  <c r="AR109" i="5" s="1"/>
  <c r="AR107" i="5"/>
  <c r="AR106" i="5"/>
  <c r="AO228" i="5"/>
  <c r="AO181" i="5"/>
  <c r="AO116" i="5"/>
  <c r="AX116" i="5"/>
  <c r="CL116" i="5"/>
  <c r="AW211" i="5"/>
  <c r="BB194" i="5"/>
  <c r="BC194" i="5"/>
  <c r="BQ194" i="5"/>
  <c r="BS194" i="5"/>
  <c r="BS211" i="5" s="1"/>
  <c r="CM205" i="5"/>
  <c r="CO4" i="5"/>
  <c r="CQ92" i="5"/>
  <c r="AA5" i="5"/>
  <c r="AU5" i="5"/>
  <c r="BO5" i="5"/>
  <c r="CI5" i="5"/>
  <c r="F38" i="171" s="1"/>
  <c r="CK10" i="5"/>
  <c r="CP8" i="5"/>
  <c r="V9" i="5"/>
  <c r="V10" i="5" s="1"/>
  <c r="Q17" i="5"/>
  <c r="Q18" i="5" s="1"/>
  <c r="AO18" i="5"/>
  <c r="AF9" i="5"/>
  <c r="AF17" i="5"/>
  <c r="AF18" i="5" s="1"/>
  <c r="AK9" i="5"/>
  <c r="AK10" i="5" s="1"/>
  <c r="BO12" i="5"/>
  <c r="BO16" i="5"/>
  <c r="CI9" i="5"/>
  <c r="AL25" i="5"/>
  <c r="V275" i="5"/>
  <c r="V256" i="5"/>
  <c r="AK275" i="5"/>
  <c r="AK256" i="5"/>
  <c r="BT256" i="5"/>
  <c r="AA29" i="5"/>
  <c r="AU29" i="5"/>
  <c r="BO29" i="5"/>
  <c r="CI29" i="5"/>
  <c r="L30" i="5"/>
  <c r="AF30" i="5"/>
  <c r="AZ30" i="5"/>
  <c r="BT30" i="5"/>
  <c r="CN30" i="5"/>
  <c r="CR30" i="5"/>
  <c r="N31" i="5"/>
  <c r="R31" i="5"/>
  <c r="Z31" i="5"/>
  <c r="AD31" i="5"/>
  <c r="AH31" i="5"/>
  <c r="AL31" i="5"/>
  <c r="AT31" i="5"/>
  <c r="AX31" i="5"/>
  <c r="BB31" i="5"/>
  <c r="BF31" i="5"/>
  <c r="BN31" i="5"/>
  <c r="BR31" i="5"/>
  <c r="BV31" i="5"/>
  <c r="BZ31" i="5"/>
  <c r="CH31" i="5"/>
  <c r="CL31" i="5"/>
  <c r="Y32" i="5"/>
  <c r="AC32" i="5"/>
  <c r="AG32" i="5"/>
  <c r="AO32" i="5"/>
  <c r="AS32" i="5"/>
  <c r="AW32" i="5"/>
  <c r="BA32" i="5"/>
  <c r="BI32" i="5"/>
  <c r="BM32" i="5"/>
  <c r="BQ32" i="5"/>
  <c r="BU32" i="5"/>
  <c r="CC32" i="5"/>
  <c r="CG32" i="5"/>
  <c r="CK32" i="5"/>
  <c r="CW32" i="5"/>
  <c r="R33" i="5"/>
  <c r="W33" i="5"/>
  <c r="AL33" i="5"/>
  <c r="AQ33" i="5"/>
  <c r="BF33" i="5"/>
  <c r="BK33" i="5"/>
  <c r="BZ33" i="5"/>
  <c r="CE33" i="5"/>
  <c r="CJ33" i="5"/>
  <c r="L35" i="5"/>
  <c r="AF35" i="5"/>
  <c r="AZ35" i="5"/>
  <c r="BT35" i="5"/>
  <c r="CN35" i="5"/>
  <c r="AA36" i="5"/>
  <c r="AA37" i="5" s="1"/>
  <c r="AU36" i="5"/>
  <c r="AZ37" i="5" s="1"/>
  <c r="BO36" i="5"/>
  <c r="BO37" i="5" s="1"/>
  <c r="CI36" i="5"/>
  <c r="CI37" i="5" s="1"/>
  <c r="CQ36" i="5"/>
  <c r="CQ37" i="5" s="1"/>
  <c r="V38" i="5"/>
  <c r="AP38" i="5"/>
  <c r="BJ38" i="5"/>
  <c r="CD38" i="5"/>
  <c r="CP38" i="5"/>
  <c r="Q39" i="5"/>
  <c r="AK39" i="5"/>
  <c r="BA39" i="5"/>
  <c r="BE39" i="5"/>
  <c r="BY39" i="5"/>
  <c r="P181" i="5"/>
  <c r="P119" i="5"/>
  <c r="P116" i="5"/>
  <c r="X181" i="5"/>
  <c r="X205" i="5" s="1"/>
  <c r="AB181" i="5"/>
  <c r="AB116" i="5"/>
  <c r="AF40" i="5"/>
  <c r="AN228" i="5"/>
  <c r="AN181" i="5"/>
  <c r="AN119" i="5"/>
  <c r="AN143" i="5" s="1"/>
  <c r="AR228" i="5"/>
  <c r="AR181" i="5"/>
  <c r="AR119" i="5"/>
  <c r="AR116" i="5"/>
  <c r="AV181" i="5"/>
  <c r="AV119" i="5"/>
  <c r="AV116" i="5"/>
  <c r="AZ40" i="5"/>
  <c r="BD181" i="5"/>
  <c r="BD116" i="5"/>
  <c r="BH181" i="5"/>
  <c r="BH116" i="5"/>
  <c r="BL181" i="5"/>
  <c r="BL119" i="5"/>
  <c r="BL143" i="5" s="1"/>
  <c r="BL116" i="5"/>
  <c r="BP181" i="5"/>
  <c r="BP116" i="5"/>
  <c r="BT40" i="5"/>
  <c r="BX181" i="5"/>
  <c r="BX116" i="5"/>
  <c r="CB181" i="5"/>
  <c r="CB116" i="5"/>
  <c r="CF228" i="5"/>
  <c r="CF181" i="5"/>
  <c r="CF119" i="5"/>
  <c r="CF116" i="5"/>
  <c r="CJ228" i="5"/>
  <c r="CJ181" i="5"/>
  <c r="CJ119" i="5"/>
  <c r="CJ116" i="5"/>
  <c r="CN40" i="5"/>
  <c r="O41" i="5"/>
  <c r="S41" i="5"/>
  <c r="W41" i="5"/>
  <c r="AE41" i="5"/>
  <c r="AI41" i="5"/>
  <c r="AM41" i="5"/>
  <c r="AQ41" i="5"/>
  <c r="AY41" i="5"/>
  <c r="BC41" i="5"/>
  <c r="BG41" i="5"/>
  <c r="BK41" i="5"/>
  <c r="BS41" i="5"/>
  <c r="BW41" i="5"/>
  <c r="CA41" i="5"/>
  <c r="CE41" i="5"/>
  <c r="CM41" i="5"/>
  <c r="N42" i="5"/>
  <c r="R42" i="5"/>
  <c r="R43" i="5" s="1"/>
  <c r="Z42" i="5"/>
  <c r="Z43" i="5" s="1"/>
  <c r="AD42" i="5"/>
  <c r="AD43" i="5" s="1"/>
  <c r="AH42" i="5"/>
  <c r="AH43" i="5" s="1"/>
  <c r="AL42" i="5"/>
  <c r="AL43" i="5" s="1"/>
  <c r="AT42" i="5"/>
  <c r="AT43" i="5" s="1"/>
  <c r="AX42" i="5"/>
  <c r="AX43" i="5" s="1"/>
  <c r="BB42" i="5"/>
  <c r="BB43" i="5" s="1"/>
  <c r="BF42" i="5"/>
  <c r="BN42" i="5"/>
  <c r="BN43" i="5" s="1"/>
  <c r="BR42" i="5"/>
  <c r="BR43" i="5" s="1"/>
  <c r="BV42" i="5"/>
  <c r="BV43" i="5" s="1"/>
  <c r="BZ42" i="5"/>
  <c r="BZ43" i="5" s="1"/>
  <c r="CH42" i="5"/>
  <c r="CH43" i="5" s="1"/>
  <c r="CL42" i="5"/>
  <c r="CL43" i="5" s="1"/>
  <c r="L39" i="5"/>
  <c r="I42" i="5"/>
  <c r="L58" i="5"/>
  <c r="L59" i="5" s="1"/>
  <c r="L46" i="5"/>
  <c r="Y50" i="5"/>
  <c r="AD50" i="5"/>
  <c r="AI50" i="5"/>
  <c r="AN50" i="5"/>
  <c r="AS50" i="5"/>
  <c r="AX50" i="5"/>
  <c r="BC50" i="5"/>
  <c r="BH50" i="5"/>
  <c r="BH51" i="5"/>
  <c r="BH52" i="5" s="1"/>
  <c r="BM50" i="5"/>
  <c r="BM51" i="5"/>
  <c r="BM52" i="5" s="1"/>
  <c r="BR50" i="5"/>
  <c r="BR51" i="5"/>
  <c r="BW50" i="5"/>
  <c r="BW51" i="5"/>
  <c r="BW52" i="5" s="1"/>
  <c r="CB50" i="5"/>
  <c r="CB51" i="5"/>
  <c r="CG50" i="5"/>
  <c r="CG51" i="5"/>
  <c r="CG52" i="5" s="1"/>
  <c r="CK50" i="5"/>
  <c r="L51" i="5"/>
  <c r="Q52" i="5" s="1"/>
  <c r="AU49" i="5"/>
  <c r="M55" i="5"/>
  <c r="U55" i="5"/>
  <c r="Z55" i="5"/>
  <c r="Z56" i="5"/>
  <c r="Z57" i="5" s="1"/>
  <c r="AE55" i="5"/>
  <c r="AE58" i="5"/>
  <c r="AE59" i="5" s="1"/>
  <c r="AJ55" i="5"/>
  <c r="AJ56" i="5"/>
  <c r="AJ57" i="5" s="1"/>
  <c r="AO55" i="5"/>
  <c r="AO56" i="5"/>
  <c r="AS55" i="5"/>
  <c r="AW55" i="5"/>
  <c r="AV56" i="5"/>
  <c r="AT58" i="5"/>
  <c r="AY59" i="5" s="1"/>
  <c r="AX58" i="5"/>
  <c r="AX59" i="5" s="1"/>
  <c r="BB55" i="5"/>
  <c r="BG55" i="5"/>
  <c r="BL55" i="5"/>
  <c r="BQ55" i="5"/>
  <c r="BV55" i="5"/>
  <c r="CB55" i="5"/>
  <c r="CB56" i="5"/>
  <c r="DL55" i="5"/>
  <c r="J56" i="5"/>
  <c r="CL58" i="5"/>
  <c r="K105" i="5"/>
  <c r="K79" i="5"/>
  <c r="T184" i="5"/>
  <c r="T201" i="5" s="1"/>
  <c r="P184" i="5"/>
  <c r="P201" i="5" s="1"/>
  <c r="S184" i="5"/>
  <c r="S201" i="5" s="1"/>
  <c r="R184" i="5"/>
  <c r="R201" i="5" s="1"/>
  <c r="P79" i="5"/>
  <c r="P80" i="5" s="1"/>
  <c r="U61" i="5"/>
  <c r="P61" i="5"/>
  <c r="AA49" i="5"/>
  <c r="AF45" i="5"/>
  <c r="AK46" i="5" s="1"/>
  <c r="AK49" i="5"/>
  <c r="AP49" i="5"/>
  <c r="AU184" i="5"/>
  <c r="AU79" i="5"/>
  <c r="AU80" i="5" s="1"/>
  <c r="AZ49" i="5"/>
  <c r="BE58" i="5"/>
  <c r="BE49" i="5"/>
  <c r="BJ50" i="5" s="1"/>
  <c r="BJ46" i="5"/>
  <c r="BO49" i="5"/>
  <c r="BT46" i="5"/>
  <c r="BY49" i="5"/>
  <c r="CD50" i="5" s="1"/>
  <c r="CD46" i="5"/>
  <c r="BC61" i="5"/>
  <c r="AR63" i="5"/>
  <c r="AM63" i="5"/>
  <c r="BD63" i="5"/>
  <c r="AY63" i="5"/>
  <c r="CB63" i="5"/>
  <c r="BW63" i="5"/>
  <c r="CN77" i="5"/>
  <c r="BB80" i="5"/>
  <c r="AF79" i="5"/>
  <c r="AF80" i="5" s="1"/>
  <c r="AP186" i="5"/>
  <c r="AP82" i="5"/>
  <c r="AZ77" i="5"/>
  <c r="AZ78" i="5" s="1"/>
  <c r="AZ76" i="5"/>
  <c r="BE76" i="5"/>
  <c r="BJ77" i="5"/>
  <c r="BT188" i="5"/>
  <c r="BY87" i="5"/>
  <c r="BT90" i="5"/>
  <c r="BT87" i="5"/>
  <c r="CP219" i="5"/>
  <c r="CP188" i="5"/>
  <c r="CP88" i="5"/>
  <c r="CS86" i="5"/>
  <c r="CN94" i="5"/>
  <c r="V94" i="5"/>
  <c r="V95" i="5" s="1"/>
  <c r="V92" i="5"/>
  <c r="BJ92" i="5"/>
  <c r="BJ94" i="5"/>
  <c r="BJ95" i="5" s="1"/>
  <c r="AN95" i="5"/>
  <c r="AS95" i="5"/>
  <c r="BB95" i="5"/>
  <c r="DG94" i="5"/>
  <c r="BG95" i="5"/>
  <c r="BV95" i="5"/>
  <c r="BQ95" i="5"/>
  <c r="CO91" i="5"/>
  <c r="AK99" i="5"/>
  <c r="AP100" i="5" s="1"/>
  <c r="AK97" i="5"/>
  <c r="AU105" i="5"/>
  <c r="AU97" i="5"/>
  <c r="AU99" i="5"/>
  <c r="AU100" i="5" s="1"/>
  <c r="BN117" i="5"/>
  <c r="BN112" i="5"/>
  <c r="BN110" i="5"/>
  <c r="BN108" i="5"/>
  <c r="BW105" i="5"/>
  <c r="BX107" i="5" s="1"/>
  <c r="BW98" i="5"/>
  <c r="BW97" i="5"/>
  <c r="BW99" i="5"/>
  <c r="BW100" i="5" s="1"/>
  <c r="CB98" i="5"/>
  <c r="CK100" i="5"/>
  <c r="AJ97" i="5"/>
  <c r="AE98" i="5"/>
  <c r="O100" i="5"/>
  <c r="BZ100" i="5"/>
  <c r="CP99" i="5"/>
  <c r="CP96" i="5" s="1"/>
  <c r="CO104" i="5"/>
  <c r="X117" i="5"/>
  <c r="X108" i="5"/>
  <c r="X109" i="5" s="1"/>
  <c r="X106" i="5"/>
  <c r="AJ117" i="5"/>
  <c r="AJ119" i="5" s="1"/>
  <c r="AJ108" i="5"/>
  <c r="AJ106" i="5"/>
  <c r="AO106" i="5"/>
  <c r="BH117" i="5"/>
  <c r="BH108" i="5"/>
  <c r="BH109" i="5" s="1"/>
  <c r="BH107" i="5"/>
  <c r="BH106" i="5"/>
  <c r="BX117" i="5"/>
  <c r="BX119" i="5" s="1"/>
  <c r="BX108" i="5"/>
  <c r="U107" i="5"/>
  <c r="AO107" i="5"/>
  <c r="AJ110" i="5"/>
  <c r="CF110" i="5"/>
  <c r="AE115" i="5"/>
  <c r="AJ116" i="5" s="1"/>
  <c r="R116" i="5"/>
  <c r="AN116" i="5"/>
  <c r="AI141" i="5"/>
  <c r="AS143" i="5"/>
  <c r="CA162" i="5"/>
  <c r="Q5" i="5"/>
  <c r="BO7" i="5"/>
  <c r="CI7" i="5"/>
  <c r="F39" i="171" s="1"/>
  <c r="CS6" i="5"/>
  <c r="AA25" i="5"/>
  <c r="AP256" i="5"/>
  <c r="AP275" i="5"/>
  <c r="BJ256" i="5"/>
  <c r="AP30" i="5"/>
  <c r="BJ30" i="5"/>
  <c r="CD30" i="5"/>
  <c r="O33" i="5"/>
  <c r="AD33" i="5"/>
  <c r="BW33" i="5"/>
  <c r="CL33" i="5"/>
  <c r="V35" i="5"/>
  <c r="AP35" i="5"/>
  <c r="CD35" i="5"/>
  <c r="CO36" i="5"/>
  <c r="CO37" i="5" s="1"/>
  <c r="AD37" i="5"/>
  <c r="BB37" i="5"/>
  <c r="BN37" i="5"/>
  <c r="BZ37" i="5"/>
  <c r="CL37" i="5"/>
  <c r="N181" i="5"/>
  <c r="N116" i="5"/>
  <c r="Z181" i="5"/>
  <c r="Z116" i="5"/>
  <c r="AL228" i="5"/>
  <c r="AL181" i="5"/>
  <c r="AL119" i="5"/>
  <c r="AL116" i="5"/>
  <c r="BB181" i="5"/>
  <c r="BB119" i="5"/>
  <c r="BB116" i="5"/>
  <c r="BN181" i="5"/>
  <c r="BN116" i="5"/>
  <c r="BZ228" i="5"/>
  <c r="BZ181" i="5"/>
  <c r="BZ205" i="5" s="1"/>
  <c r="BZ116" i="5"/>
  <c r="CD40" i="5"/>
  <c r="CP40" i="5"/>
  <c r="K42" i="5"/>
  <c r="P43" i="5" s="1"/>
  <c r="BZ51" i="5"/>
  <c r="CE50" i="5"/>
  <c r="CM50" i="5"/>
  <c r="L54" i="5"/>
  <c r="L56" i="5" s="1"/>
  <c r="L57" i="5" s="1"/>
  <c r="X55" i="5"/>
  <c r="AH56" i="5"/>
  <c r="AH57" i="5" s="1"/>
  <c r="AM55" i="5"/>
  <c r="AV58" i="5"/>
  <c r="AV59" i="5" s="1"/>
  <c r="BS56" i="5"/>
  <c r="BS57" i="5" s="1"/>
  <c r="BX55" i="5"/>
  <c r="N184" i="5"/>
  <c r="N61" i="5"/>
  <c r="N105" i="5"/>
  <c r="N79" i="5"/>
  <c r="N80" i="5" s="1"/>
  <c r="BT51" i="5"/>
  <c r="BT58" i="5"/>
  <c r="BT50" i="5"/>
  <c r="CI51" i="5"/>
  <c r="CI52" i="5" s="1"/>
  <c r="CI46" i="5"/>
  <c r="AJ63" i="5"/>
  <c r="AE63" i="5"/>
  <c r="CJ78" i="5"/>
  <c r="BS84" i="5"/>
  <c r="BS85" i="5" s="1"/>
  <c r="CD84" i="5"/>
  <c r="AA95" i="5"/>
  <c r="CD92" i="5"/>
  <c r="CD94" i="5"/>
  <c r="CD95" i="5" s="1"/>
  <c r="AY95" i="5"/>
  <c r="Q95" i="5"/>
  <c r="BU100" i="5"/>
  <c r="CE105" i="5"/>
  <c r="CE97" i="5"/>
  <c r="CE99" i="5"/>
  <c r="CE100" i="5" s="1"/>
  <c r="CE98" i="5"/>
  <c r="CM98" i="5"/>
  <c r="V99" i="5"/>
  <c r="V100" i="5" s="1"/>
  <c r="AB117" i="5"/>
  <c r="AB108" i="5"/>
  <c r="AB109" i="5" s="1"/>
  <c r="AB106" i="5"/>
  <c r="BP117" i="5"/>
  <c r="BP119" i="5" s="1"/>
  <c r="BP108" i="5"/>
  <c r="BP106" i="5"/>
  <c r="BP107" i="5"/>
  <c r="AR110" i="5"/>
  <c r="X113" i="5"/>
  <c r="T181" i="5"/>
  <c r="T116" i="5"/>
  <c r="S211" i="5"/>
  <c r="AR211" i="5"/>
  <c r="BL211" i="5"/>
  <c r="BV211" i="5"/>
  <c r="AA193" i="5"/>
  <c r="AA137" i="5"/>
  <c r="AA194" i="5" s="1"/>
  <c r="AA134" i="5"/>
  <c r="AA140" i="5"/>
  <c r="AL162" i="5"/>
  <c r="AL163" i="5"/>
  <c r="AM162" i="5"/>
  <c r="CG275" i="5"/>
  <c r="CG256" i="5"/>
  <c r="CG199" i="5"/>
  <c r="R13" i="171"/>
  <c r="Q9" i="171"/>
  <c r="S17" i="171"/>
  <c r="S50" i="171" s="1"/>
  <c r="V5" i="5"/>
  <c r="BJ5" i="5"/>
  <c r="BO77" i="5"/>
  <c r="BO78" i="5" s="1"/>
  <c r="BO94" i="5"/>
  <c r="BO95" i="5" s="1"/>
  <c r="CI77" i="5"/>
  <c r="CI78" i="5" s="1"/>
  <c r="CI94" i="5"/>
  <c r="AP7" i="5"/>
  <c r="CD7" i="5"/>
  <c r="E39" i="171" s="1"/>
  <c r="CL10" i="5"/>
  <c r="CQ8" i="5"/>
  <c r="AA9" i="5"/>
  <c r="AA10" i="5" s="1"/>
  <c r="BE9" i="5"/>
  <c r="BE10" i="5" s="1"/>
  <c r="BJ9" i="5"/>
  <c r="BO9" i="5"/>
  <c r="BO10" i="5" s="1"/>
  <c r="CN9" i="5"/>
  <c r="BT9" i="5"/>
  <c r="BT10" i="5" s="1"/>
  <c r="BF24" i="5"/>
  <c r="BF56" i="5" s="1"/>
  <c r="BK25" i="5"/>
  <c r="BS25" i="5"/>
  <c r="AB182" i="5"/>
  <c r="AB199" i="5" s="1"/>
  <c r="AD182" i="5"/>
  <c r="AD199" i="5" s="1"/>
  <c r="Z182" i="5"/>
  <c r="Z199" i="5" s="1"/>
  <c r="AC182" i="5"/>
  <c r="AC199" i="5" s="1"/>
  <c r="AN182" i="5"/>
  <c r="AM182" i="5"/>
  <c r="AL182" i="5"/>
  <c r="AO182" i="5"/>
  <c r="BY275" i="5"/>
  <c r="BY256" i="5"/>
  <c r="L29" i="5"/>
  <c r="AF29" i="5"/>
  <c r="AZ29" i="5"/>
  <c r="BT29" i="5"/>
  <c r="CN29" i="5"/>
  <c r="Q30" i="5"/>
  <c r="Q31" i="5" s="1"/>
  <c r="AK30" i="5"/>
  <c r="BE30" i="5"/>
  <c r="BY30" i="5"/>
  <c r="CO30" i="5"/>
  <c r="S31" i="5"/>
  <c r="AM31" i="5"/>
  <c r="BG31" i="5"/>
  <c r="CA31" i="5"/>
  <c r="AH32" i="5"/>
  <c r="BB32" i="5"/>
  <c r="BV32" i="5"/>
  <c r="CP32" i="5"/>
  <c r="Q35" i="5"/>
  <c r="AK35" i="5"/>
  <c r="BA35" i="5"/>
  <c r="BE35" i="5"/>
  <c r="BY35" i="5"/>
  <c r="CS34" i="5"/>
  <c r="M181" i="5"/>
  <c r="U181" i="5"/>
  <c r="U119" i="5"/>
  <c r="U116" i="5"/>
  <c r="AC181" i="5"/>
  <c r="AC119" i="5"/>
  <c r="AG228" i="5"/>
  <c r="AG119" i="5"/>
  <c r="AG116" i="5"/>
  <c r="AS228" i="5"/>
  <c r="AS181" i="5"/>
  <c r="AS119" i="5"/>
  <c r="AW181" i="5"/>
  <c r="AW116" i="5"/>
  <c r="BI181" i="5"/>
  <c r="BI116" i="5"/>
  <c r="BM181" i="5"/>
  <c r="BM199" i="5" s="1"/>
  <c r="BM116" i="5"/>
  <c r="BQ181" i="5"/>
  <c r="BQ228" i="5"/>
  <c r="BQ116" i="5"/>
  <c r="BU181" i="5"/>
  <c r="BU205" i="5" s="1"/>
  <c r="BU116" i="5"/>
  <c r="CC181" i="5"/>
  <c r="CC116" i="5"/>
  <c r="CK181" i="5"/>
  <c r="CK228" i="5"/>
  <c r="CK116" i="5"/>
  <c r="P41" i="5"/>
  <c r="X41" i="5"/>
  <c r="AB41" i="5"/>
  <c r="AJ41" i="5"/>
  <c r="AN41" i="5"/>
  <c r="AR41" i="5"/>
  <c r="AV41" i="5"/>
  <c r="BD41" i="5"/>
  <c r="BH41" i="5"/>
  <c r="BL41" i="5"/>
  <c r="BP41" i="5"/>
  <c r="BX41" i="5"/>
  <c r="CB41" i="5"/>
  <c r="CF41" i="5"/>
  <c r="CJ41" i="5"/>
  <c r="O42" i="5"/>
  <c r="S42" i="5"/>
  <c r="S43" i="5" s="1"/>
  <c r="W42" i="5"/>
  <c r="W43" i="5" s="1"/>
  <c r="AI42" i="5"/>
  <c r="AI43" i="5" s="1"/>
  <c r="AM42" i="5"/>
  <c r="AM43" i="5" s="1"/>
  <c r="AQ42" i="5"/>
  <c r="AQ43" i="5" s="1"/>
  <c r="AY42" i="5"/>
  <c r="BC42" i="5"/>
  <c r="BC43" i="5" s="1"/>
  <c r="BG42" i="5"/>
  <c r="BG43" i="5" s="1"/>
  <c r="BS42" i="5"/>
  <c r="BW42" i="5"/>
  <c r="BW43" i="5" s="1"/>
  <c r="CA42" i="5"/>
  <c r="CA43" i="5" s="1"/>
  <c r="CE42" i="5"/>
  <c r="CE43" i="5" s="1"/>
  <c r="CM42" i="5"/>
  <c r="J42" i="5"/>
  <c r="Q46" i="5"/>
  <c r="AE46" i="5"/>
  <c r="AJ46" i="5"/>
  <c r="Z50" i="5"/>
  <c r="AJ50" i="5"/>
  <c r="AO50" i="5"/>
  <c r="AT50" i="5"/>
  <c r="AY50" i="5"/>
  <c r="BD50" i="5"/>
  <c r="BI50" i="5"/>
  <c r="BN50" i="5"/>
  <c r="BS50" i="5"/>
  <c r="BX50" i="5"/>
  <c r="CC50" i="5"/>
  <c r="CC51" i="5"/>
  <c r="CC52" i="5" s="1"/>
  <c r="CH50" i="5"/>
  <c r="CH51" i="5"/>
  <c r="CL50" i="5"/>
  <c r="AU46" i="5"/>
  <c r="S58" i="5"/>
  <c r="S59" i="5" s="1"/>
  <c r="W55" i="5"/>
  <c r="W56" i="5"/>
  <c r="W58" i="5"/>
  <c r="W59" i="5" s="1"/>
  <c r="AB55" i="5"/>
  <c r="AB56" i="5"/>
  <c r="AB58" i="5"/>
  <c r="AG55" i="5"/>
  <c r="AG56" i="5"/>
  <c r="AG57" i="5" s="1"/>
  <c r="AG58" i="5"/>
  <c r="AL55" i="5"/>
  <c r="AL56" i="5"/>
  <c r="AL58" i="5"/>
  <c r="AL59" i="5" s="1"/>
  <c r="AU54" i="5"/>
  <c r="AZ55" i="5" s="1"/>
  <c r="BC55" i="5"/>
  <c r="BH55" i="5"/>
  <c r="BM55" i="5"/>
  <c r="BR55" i="5"/>
  <c r="BW55" i="5"/>
  <c r="CC55" i="5"/>
  <c r="CC56" i="5"/>
  <c r="CC57" i="5" s="1"/>
  <c r="K56" i="5"/>
  <c r="H79" i="5"/>
  <c r="M80" i="5" s="1"/>
  <c r="L60" i="5"/>
  <c r="M184" i="5"/>
  <c r="M201" i="5" s="1"/>
  <c r="R61" i="5"/>
  <c r="M61" i="5"/>
  <c r="M105" i="5"/>
  <c r="Q60" i="5"/>
  <c r="AA46" i="5"/>
  <c r="AP46" i="5"/>
  <c r="AV184" i="5"/>
  <c r="AV201" i="5" s="1"/>
  <c r="BA61" i="5"/>
  <c r="AV62" i="5"/>
  <c r="AV63" i="5" s="1"/>
  <c r="AV61" i="5"/>
  <c r="AZ46" i="5"/>
  <c r="BE46" i="5"/>
  <c r="BE55" i="5"/>
  <c r="CN184" i="5"/>
  <c r="CN62" i="5"/>
  <c r="CN61" i="5"/>
  <c r="AA61" i="5"/>
  <c r="AN63" i="5"/>
  <c r="AI63" i="5"/>
  <c r="BA63" i="5"/>
  <c r="BP63" i="5"/>
  <c r="BK63" i="5"/>
  <c r="BX63" i="5"/>
  <c r="BS63" i="5"/>
  <c r="CQ75" i="5"/>
  <c r="CS75" i="5" s="1"/>
  <c r="O78" i="5"/>
  <c r="BC80" i="5"/>
  <c r="CR75" i="5"/>
  <c r="CR76" i="5" s="1"/>
  <c r="I79" i="5"/>
  <c r="BJ358" i="5"/>
  <c r="BJ360" i="5" s="1"/>
  <c r="BJ186" i="5"/>
  <c r="BJ82" i="5"/>
  <c r="BT77" i="5"/>
  <c r="BT78" i="5" s="1"/>
  <c r="BT76" i="5"/>
  <c r="BY76" i="5"/>
  <c r="Q84" i="5"/>
  <c r="AA219" i="5"/>
  <c r="AA188" i="5"/>
  <c r="AA90" i="5"/>
  <c r="AF87" i="5"/>
  <c r="AL188" i="5"/>
  <c r="AJ188" i="5"/>
  <c r="AM188" i="5"/>
  <c r="AI188" i="5"/>
  <c r="AI105" i="5"/>
  <c r="AK86" i="5"/>
  <c r="AJ88" i="5"/>
  <c r="AN87" i="5"/>
  <c r="CI90" i="5"/>
  <c r="AA87" i="5"/>
  <c r="AZ94" i="5"/>
  <c r="AZ95" i="5" s="1"/>
  <c r="BO92" i="5"/>
  <c r="O95" i="5"/>
  <c r="BC95" i="5"/>
  <c r="BR95" i="5"/>
  <c r="BM95" i="5"/>
  <c r="CK95" i="5"/>
  <c r="CP94" i="5"/>
  <c r="CP91" i="5" s="1"/>
  <c r="V105" i="5"/>
  <c r="AP94" i="5"/>
  <c r="AP95" i="5" s="1"/>
  <c r="AZ99" i="5"/>
  <c r="AZ100" i="5" s="1"/>
  <c r="BK105" i="5"/>
  <c r="BK97" i="5"/>
  <c r="BK99" i="5"/>
  <c r="BK100" i="5" s="1"/>
  <c r="BK98" i="5"/>
  <c r="BO96" i="5"/>
  <c r="BS105" i="5"/>
  <c r="BS97" i="5"/>
  <c r="BS99" i="5"/>
  <c r="BS100" i="5" s="1"/>
  <c r="CC100" i="5"/>
  <c r="CH117" i="5"/>
  <c r="CH119" i="5" s="1"/>
  <c r="CH112" i="5"/>
  <c r="CH110" i="5"/>
  <c r="CH108" i="5"/>
  <c r="CB97" i="5"/>
  <c r="AY100" i="5"/>
  <c r="BF100" i="5"/>
  <c r="BN100" i="5"/>
  <c r="CD99" i="5"/>
  <c r="H105" i="5"/>
  <c r="T117" i="5"/>
  <c r="T108" i="5"/>
  <c r="T107" i="5"/>
  <c r="T106" i="5"/>
  <c r="BD117" i="5"/>
  <c r="BD108" i="5"/>
  <c r="BD109" i="5" s="1"/>
  <c r="BD106" i="5"/>
  <c r="BL117" i="5"/>
  <c r="BL108" i="5"/>
  <c r="BL109" i="5" s="1"/>
  <c r="BL107" i="5"/>
  <c r="BL106" i="5"/>
  <c r="CB117" i="5"/>
  <c r="CB119" i="5" s="1"/>
  <c r="CB108" i="5"/>
  <c r="CB107" i="5"/>
  <c r="BN107" i="5"/>
  <c r="AO109" i="5"/>
  <c r="X110" i="5"/>
  <c r="X111" i="5" s="1"/>
  <c r="AN110" i="5"/>
  <c r="BD110" i="5"/>
  <c r="CJ110" i="5"/>
  <c r="T112" i="5"/>
  <c r="AJ112" i="5"/>
  <c r="BP112" i="5"/>
  <c r="CF112" i="5"/>
  <c r="X116" i="5"/>
  <c r="AS116" i="5"/>
  <c r="AG118" i="5"/>
  <c r="AY119" i="5"/>
  <c r="AU140" i="5"/>
  <c r="AZ141" i="5" s="1"/>
  <c r="CD193" i="5"/>
  <c r="CD140" i="5"/>
  <c r="CI141" i="5" s="1"/>
  <c r="CD134" i="5"/>
  <c r="CD137" i="5"/>
  <c r="CD194" i="5" s="1"/>
  <c r="B143" i="5"/>
  <c r="B147" i="5" s="1"/>
  <c r="B216" i="5" s="1"/>
  <c r="P141" i="5"/>
  <c r="AP174" i="5"/>
  <c r="U201" i="5"/>
  <c r="BL210" i="5"/>
  <c r="W194" i="5"/>
  <c r="W211" i="5" s="1"/>
  <c r="BT61" i="5"/>
  <c r="BT62" i="5"/>
  <c r="BT63" i="5" s="1"/>
  <c r="Q77" i="5"/>
  <c r="AK77" i="5"/>
  <c r="AK78" i="5" s="1"/>
  <c r="BE77" i="5"/>
  <c r="BO79" i="5"/>
  <c r="BO80" i="5" s="1"/>
  <c r="BY77" i="5"/>
  <c r="BY78" i="5" s="1"/>
  <c r="BY358" i="5"/>
  <c r="BY360" i="5" s="1"/>
  <c r="BY129" i="5"/>
  <c r="BY126" i="5"/>
  <c r="BY186" i="5"/>
  <c r="CI79" i="5"/>
  <c r="CN80" i="5" s="1"/>
  <c r="Q82" i="5"/>
  <c r="AK82" i="5"/>
  <c r="BE82" i="5"/>
  <c r="BY82" i="5"/>
  <c r="V219" i="5"/>
  <c r="V188" i="5"/>
  <c r="AF84" i="5"/>
  <c r="AK84" i="5"/>
  <c r="AK85" i="5" s="1"/>
  <c r="CQ219" i="5"/>
  <c r="CQ188" i="5"/>
  <c r="CN87" i="5"/>
  <c r="L90" i="5"/>
  <c r="AK92" i="5"/>
  <c r="BE92" i="5"/>
  <c r="R95" i="5"/>
  <c r="DF94" i="5"/>
  <c r="Z95" i="5"/>
  <c r="AD95" i="5"/>
  <c r="AH95" i="5"/>
  <c r="AU94" i="5"/>
  <c r="AU95" i="5" s="1"/>
  <c r="BE96" i="5"/>
  <c r="BT96" i="5"/>
  <c r="CN96" i="5"/>
  <c r="Q97" i="5"/>
  <c r="AO97" i="5"/>
  <c r="BA97" i="5"/>
  <c r="BI97" i="5"/>
  <c r="BM97" i="5"/>
  <c r="BQ97" i="5"/>
  <c r="BU97" i="5"/>
  <c r="CC97" i="5"/>
  <c r="CG97" i="5"/>
  <c r="CK97" i="5"/>
  <c r="AB98" i="5"/>
  <c r="AL98" i="5"/>
  <c r="BA98" i="5"/>
  <c r="BP98" i="5"/>
  <c r="DF98" i="5" s="1"/>
  <c r="BU98" i="5"/>
  <c r="BZ98" i="5"/>
  <c r="CJ98" i="5"/>
  <c r="Q105" i="5"/>
  <c r="S107" i="5" s="1"/>
  <c r="BA105" i="5"/>
  <c r="BI105" i="5"/>
  <c r="BM105" i="5"/>
  <c r="BQ105" i="5"/>
  <c r="BU105" i="5"/>
  <c r="CC105" i="5"/>
  <c r="CG105" i="5"/>
  <c r="CK105" i="5"/>
  <c r="W106" i="5"/>
  <c r="AM106" i="5"/>
  <c r="AQ106" i="5"/>
  <c r="BG106" i="5"/>
  <c r="R107" i="5"/>
  <c r="W107" i="5"/>
  <c r="AG107" i="5"/>
  <c r="AL107" i="5"/>
  <c r="AQ107" i="5"/>
  <c r="BF107" i="5"/>
  <c r="R108" i="5"/>
  <c r="AD108" i="5"/>
  <c r="AD109" i="5" s="1"/>
  <c r="AH108" i="5"/>
  <c r="AL108" i="5"/>
  <c r="BB108" i="5"/>
  <c r="BF108" i="5"/>
  <c r="U110" i="5"/>
  <c r="U111" i="5" s="1"/>
  <c r="Y110" i="5"/>
  <c r="Y111" i="5" s="1"/>
  <c r="AC110" i="5"/>
  <c r="AG110" i="5"/>
  <c r="AG111" i="5" s="1"/>
  <c r="AO110" i="5"/>
  <c r="AO111" i="5" s="1"/>
  <c r="AS110" i="5"/>
  <c r="AS111" i="5" s="1"/>
  <c r="U112" i="5"/>
  <c r="U113" i="5" s="1"/>
  <c r="Y112" i="5"/>
  <c r="Y113" i="5" s="1"/>
  <c r="AC112" i="5"/>
  <c r="AC113" i="5" s="1"/>
  <c r="AG112" i="5"/>
  <c r="AG113" i="5" s="1"/>
  <c r="AO112" i="5"/>
  <c r="AO113" i="5" s="1"/>
  <c r="AS112" i="5"/>
  <c r="AS113" i="5" s="1"/>
  <c r="G112" i="5"/>
  <c r="U117" i="5"/>
  <c r="O194" i="5"/>
  <c r="O211" i="5" s="1"/>
  <c r="AI194" i="5"/>
  <c r="BW194" i="5"/>
  <c r="BW211" i="5" s="1"/>
  <c r="V193" i="5"/>
  <c r="V140" i="5"/>
  <c r="V134" i="5"/>
  <c r="V137" i="5"/>
  <c r="V194" i="5" s="1"/>
  <c r="AP193" i="5"/>
  <c r="AP140" i="5"/>
  <c r="AP137" i="5"/>
  <c r="AP194" i="5" s="1"/>
  <c r="R143" i="5"/>
  <c r="W141" i="5"/>
  <c r="AE141" i="5"/>
  <c r="AJ141" i="5"/>
  <c r="BS141" i="5"/>
  <c r="BA275" i="5"/>
  <c r="BI275" i="5"/>
  <c r="BI256" i="5"/>
  <c r="BI199" i="5"/>
  <c r="W201" i="5"/>
  <c r="AB201" i="5"/>
  <c r="AO201" i="5"/>
  <c r="AT201" i="5"/>
  <c r="CA201" i="5"/>
  <c r="CF201" i="5"/>
  <c r="CK201" i="5"/>
  <c r="CL203" i="5"/>
  <c r="S205" i="5"/>
  <c r="BB205" i="5"/>
  <c r="BG205" i="5"/>
  <c r="AN210" i="5"/>
  <c r="AS210" i="5"/>
  <c r="BE61" i="5"/>
  <c r="BY61" i="5"/>
  <c r="BE62" i="5"/>
  <c r="BY62" i="5"/>
  <c r="BY63" i="5" s="1"/>
  <c r="L77" i="5"/>
  <c r="CK78" i="5"/>
  <c r="AZ358" i="5"/>
  <c r="AZ360" i="5" s="1"/>
  <c r="AZ186" i="5"/>
  <c r="BJ79" i="5"/>
  <c r="BT358" i="5"/>
  <c r="BT360" i="5" s="1"/>
  <c r="BT186" i="5"/>
  <c r="BT126" i="5"/>
  <c r="CD79" i="5"/>
  <c r="L84" i="5"/>
  <c r="Q219" i="5"/>
  <c r="Q188" i="5"/>
  <c r="AA84" i="5"/>
  <c r="AA85" i="5" s="1"/>
  <c r="BT84" i="5"/>
  <c r="BT85" i="5" s="1"/>
  <c r="CR219" i="5"/>
  <c r="CR188" i="5"/>
  <c r="Q87" i="5"/>
  <c r="AU90" i="5"/>
  <c r="BO90" i="5"/>
  <c r="BY96" i="5"/>
  <c r="CD97" i="5" s="1"/>
  <c r="V97" i="5"/>
  <c r="Z97" i="5"/>
  <c r="AP97" i="5"/>
  <c r="BF97" i="5"/>
  <c r="BN97" i="5"/>
  <c r="BR97" i="5"/>
  <c r="BV97" i="5"/>
  <c r="BZ97" i="5"/>
  <c r="CH97" i="5"/>
  <c r="CL97" i="5"/>
  <c r="BB98" i="5"/>
  <c r="DG98" i="5" s="1"/>
  <c r="BL98" i="5"/>
  <c r="BQ98" i="5"/>
  <c r="BV98" i="5"/>
  <c r="CF98" i="5"/>
  <c r="CK98" i="5"/>
  <c r="AJ99" i="5"/>
  <c r="CB99" i="5"/>
  <c r="CB100" i="5" s="1"/>
  <c r="Z105" i="5"/>
  <c r="AT105" i="5"/>
  <c r="BF183" i="5"/>
  <c r="BR105" i="5"/>
  <c r="BZ105" i="5"/>
  <c r="CL105" i="5"/>
  <c r="AC107" i="5"/>
  <c r="AM107" i="5"/>
  <c r="BB107" i="5"/>
  <c r="R110" i="5"/>
  <c r="AD110" i="5"/>
  <c r="AD111" i="5" s="1"/>
  <c r="AH110" i="5"/>
  <c r="AH111" i="5" s="1"/>
  <c r="AL110" i="5"/>
  <c r="BB110" i="5"/>
  <c r="BF110" i="5"/>
  <c r="R112" i="5"/>
  <c r="AD112" i="5"/>
  <c r="AH112" i="5"/>
  <c r="AH113" i="5" s="1"/>
  <c r="AL112" i="5"/>
  <c r="AL113" i="5" s="1"/>
  <c r="BB112" i="5"/>
  <c r="BF112" i="5"/>
  <c r="Y117" i="5"/>
  <c r="Y119" i="5" s="1"/>
  <c r="AO117" i="5"/>
  <c r="AO119" i="5" s="1"/>
  <c r="AH118" i="5"/>
  <c r="AE194" i="5"/>
  <c r="AY194" i="5"/>
  <c r="AY211" i="5" s="1"/>
  <c r="CM194" i="5"/>
  <c r="CM211" i="5" s="1"/>
  <c r="Q140" i="5"/>
  <c r="Q137" i="5"/>
  <c r="Q194" i="5" s="1"/>
  <c r="Q134" i="5"/>
  <c r="AK134" i="5"/>
  <c r="AK140" i="5"/>
  <c r="AK193" i="5"/>
  <c r="AK137" i="5"/>
  <c r="AK194" i="5" s="1"/>
  <c r="S141" i="5"/>
  <c r="X141" i="5"/>
  <c r="AG143" i="5"/>
  <c r="AQ141" i="5"/>
  <c r="BB143" i="5"/>
  <c r="BG141" i="5"/>
  <c r="BG143" i="5"/>
  <c r="BL141" i="5"/>
  <c r="CM141" i="5"/>
  <c r="BM201" i="5"/>
  <c r="BW201" i="5"/>
  <c r="BE186" i="5"/>
  <c r="BI203" i="5"/>
  <c r="BN203" i="5"/>
  <c r="M210" i="5"/>
  <c r="Q193" i="5"/>
  <c r="U210" i="5"/>
  <c r="AJ210" i="5"/>
  <c r="AW219" i="5"/>
  <c r="AX218" i="5"/>
  <c r="BJ218" i="5"/>
  <c r="BR218" i="5"/>
  <c r="BS218" i="5" s="1"/>
  <c r="CB218" i="5"/>
  <c r="CC218" i="5" s="1"/>
  <c r="BJ61" i="5"/>
  <c r="CD61" i="5"/>
  <c r="BJ62" i="5"/>
  <c r="BJ63" i="5" s="1"/>
  <c r="CD62" i="5"/>
  <c r="BE79" i="5"/>
  <c r="BO358" i="5"/>
  <c r="BO360" i="5" s="1"/>
  <c r="BO186" i="5"/>
  <c r="BO126" i="5"/>
  <c r="BO129" i="5"/>
  <c r="BY79" i="5"/>
  <c r="BY80" i="5" s="1"/>
  <c r="CI358" i="5"/>
  <c r="CI360" i="5" s="1"/>
  <c r="CI186" i="5"/>
  <c r="CI126" i="5"/>
  <c r="CI129" i="5"/>
  <c r="AA82" i="5"/>
  <c r="AU82" i="5"/>
  <c r="BO82" i="5"/>
  <c r="CI82" i="5"/>
  <c r="AF219" i="5"/>
  <c r="AF188" i="5"/>
  <c r="AU84" i="5"/>
  <c r="AU85" i="5" s="1"/>
  <c r="BO84" i="5"/>
  <c r="CI84" i="5"/>
  <c r="CI85" i="5" s="1"/>
  <c r="CO219" i="5"/>
  <c r="CO188" i="5"/>
  <c r="V87" i="5"/>
  <c r="AP87" i="5"/>
  <c r="BJ87" i="5"/>
  <c r="CD87" i="5"/>
  <c r="V90" i="5"/>
  <c r="AP90" i="5"/>
  <c r="BJ90" i="5"/>
  <c r="CD90" i="5"/>
  <c r="AA92" i="5"/>
  <c r="DH94" i="5"/>
  <c r="CR94" i="5"/>
  <c r="CR91" i="5" s="1"/>
  <c r="BJ96" i="5"/>
  <c r="BM98" i="5"/>
  <c r="DH98" i="5" s="1"/>
  <c r="CG98" i="5"/>
  <c r="G118" i="5"/>
  <c r="W183" i="5"/>
  <c r="W118" i="5"/>
  <c r="AM118" i="5"/>
  <c r="AQ183" i="5"/>
  <c r="AQ118" i="5"/>
  <c r="BG183" i="5"/>
  <c r="BG118" i="5"/>
  <c r="Y106" i="5"/>
  <c r="AC106" i="5"/>
  <c r="AS106" i="5"/>
  <c r="AD107" i="5"/>
  <c r="AS107" i="5"/>
  <c r="BC107" i="5"/>
  <c r="G110" i="5"/>
  <c r="W110" i="5"/>
  <c r="AM110" i="5"/>
  <c r="AM111" i="5" s="1"/>
  <c r="AQ110" i="5"/>
  <c r="AY110" i="5"/>
  <c r="BC110" i="5"/>
  <c r="BG110" i="5"/>
  <c r="BG111" i="5" s="1"/>
  <c r="W112" i="5"/>
  <c r="W113" i="5" s="1"/>
  <c r="AM112" i="5"/>
  <c r="AR113" i="5" s="1"/>
  <c r="AQ112" i="5"/>
  <c r="AQ113" i="5" s="1"/>
  <c r="AY112" i="5"/>
  <c r="BD113" i="5" s="1"/>
  <c r="BC112" i="5"/>
  <c r="BG112" i="5"/>
  <c r="BG113" i="5" s="1"/>
  <c r="AL118" i="5"/>
  <c r="BT129" i="5"/>
  <c r="CP193" i="5"/>
  <c r="CP140" i="5"/>
  <c r="CP137" i="5"/>
  <c r="CP194" i="5" s="1"/>
  <c r="CQ136" i="5"/>
  <c r="CS139" i="5"/>
  <c r="CX139" i="5" s="1"/>
  <c r="DC139" i="5" s="1"/>
  <c r="AQ194" i="5"/>
  <c r="AQ211" i="5" s="1"/>
  <c r="BK194" i="5"/>
  <c r="BK211" i="5" s="1"/>
  <c r="CE194" i="5"/>
  <c r="AF193" i="5"/>
  <c r="AF134" i="5"/>
  <c r="AF140" i="5"/>
  <c r="AF137" i="5"/>
  <c r="AF194" i="5" s="1"/>
  <c r="CD135" i="5"/>
  <c r="CI134" i="5"/>
  <c r="CI135" i="5" s="1"/>
  <c r="O141" i="5"/>
  <c r="T141" i="5"/>
  <c r="AM141" i="5"/>
  <c r="AR141" i="5"/>
  <c r="BH141" i="5"/>
  <c r="CA141" i="5"/>
  <c r="CF141" i="5"/>
  <c r="CJ141" i="5"/>
  <c r="BE141" i="5"/>
  <c r="AA221" i="5"/>
  <c r="BE146" i="5"/>
  <c r="L221" i="5"/>
  <c r="BF162" i="5"/>
  <c r="BG162" i="5"/>
  <c r="AP168" i="5"/>
  <c r="AL168" i="5"/>
  <c r="AM168" i="5" s="1"/>
  <c r="AN168" i="5" s="1"/>
  <c r="AO168" i="5" s="1"/>
  <c r="M199" i="5"/>
  <c r="U199" i="5"/>
  <c r="Y201" i="5"/>
  <c r="BD201" i="5"/>
  <c r="AC203" i="5"/>
  <c r="CJ210" i="5"/>
  <c r="BE263" i="5"/>
  <c r="BD265" i="5"/>
  <c r="CO194" i="5"/>
  <c r="T194" i="5"/>
  <c r="T211" i="5" s="1"/>
  <c r="Y194" i="5"/>
  <c r="Y211" i="5" s="1"/>
  <c r="AD194" i="5"/>
  <c r="AD211" i="5" s="1"/>
  <c r="AN194" i="5"/>
  <c r="AN211" i="5" s="1"/>
  <c r="AS194" i="5"/>
  <c r="AS211" i="5" s="1"/>
  <c r="AX194" i="5"/>
  <c r="BH194" i="5"/>
  <c r="BM194" i="5"/>
  <c r="BM211" i="5" s="1"/>
  <c r="BR194" i="5"/>
  <c r="CB194" i="5"/>
  <c r="CB211" i="5" s="1"/>
  <c r="CG194" i="5"/>
  <c r="CL194" i="5"/>
  <c r="CL211" i="5" s="1"/>
  <c r="AV140" i="5"/>
  <c r="BT140" i="5"/>
  <c r="CN140" i="5"/>
  <c r="N141" i="5"/>
  <c r="R141" i="5"/>
  <c r="Z141" i="5"/>
  <c r="AD141" i="5"/>
  <c r="AL141" i="5"/>
  <c r="AX141" i="5"/>
  <c r="BB141" i="5"/>
  <c r="BF141" i="5"/>
  <c r="BN141" i="5"/>
  <c r="BR141" i="5"/>
  <c r="BV141" i="5"/>
  <c r="CH141" i="5"/>
  <c r="CL141" i="5"/>
  <c r="CF143" i="5"/>
  <c r="AM163" i="5"/>
  <c r="AT162" i="5"/>
  <c r="AT163" i="5"/>
  <c r="BB163" i="5"/>
  <c r="BG163" i="5"/>
  <c r="BN162" i="5"/>
  <c r="CA163" i="5"/>
  <c r="CH162" i="5"/>
  <c r="CH163" i="5"/>
  <c r="CP163" i="5"/>
  <c r="AH166" i="5"/>
  <c r="AL166" i="5"/>
  <c r="AQ166" i="5"/>
  <c r="AZ166" i="5"/>
  <c r="AZ165" i="5"/>
  <c r="BE161" i="5"/>
  <c r="BA161" i="5"/>
  <c r="BB162" i="5" s="1"/>
  <c r="AZ161" i="5"/>
  <c r="BM162" i="5"/>
  <c r="BM163" i="5"/>
  <c r="BQ162" i="5"/>
  <c r="BQ163" i="5"/>
  <c r="BV166" i="5"/>
  <c r="BZ166" i="5"/>
  <c r="CE166" i="5"/>
  <c r="CI166" i="5"/>
  <c r="CN166" i="5"/>
  <c r="CN165" i="5"/>
  <c r="CN161" i="5"/>
  <c r="BE165" i="5"/>
  <c r="BM166" i="5"/>
  <c r="N199" i="5"/>
  <c r="R199" i="5"/>
  <c r="W199" i="5"/>
  <c r="BU275" i="5"/>
  <c r="BU256" i="5"/>
  <c r="CC275" i="5"/>
  <c r="CC256" i="5"/>
  <c r="AL201" i="5"/>
  <c r="AQ201" i="5"/>
  <c r="CB201" i="5"/>
  <c r="CL201" i="5"/>
  <c r="Y203" i="5"/>
  <c r="AD203" i="5"/>
  <c r="AW203" i="5"/>
  <c r="BF203" i="5"/>
  <c r="BU203" i="5"/>
  <c r="CC203" i="5"/>
  <c r="O205" i="5"/>
  <c r="CA205" i="5"/>
  <c r="AO210" i="5"/>
  <c r="BD210" i="5"/>
  <c r="BM210" i="5"/>
  <c r="CF210" i="5"/>
  <c r="CK210" i="5"/>
  <c r="AS199" i="5"/>
  <c r="Q230" i="5"/>
  <c r="Q229" i="5"/>
  <c r="Q233" i="5"/>
  <c r="AK230" i="5"/>
  <c r="AK228" i="5"/>
  <c r="AK232" i="5"/>
  <c r="AW228" i="5"/>
  <c r="AX225" i="5"/>
  <c r="AX230" i="5" s="1"/>
  <c r="AW232" i="5"/>
  <c r="AW229" i="5"/>
  <c r="BX237" i="5"/>
  <c r="BX238" i="5" s="1"/>
  <c r="BV238" i="5"/>
  <c r="BW237" i="5"/>
  <c r="BW238" i="5" s="1"/>
  <c r="P194" i="5"/>
  <c r="P211" i="5" s="1"/>
  <c r="U194" i="5"/>
  <c r="U211" i="5" s="1"/>
  <c r="Z194" i="5"/>
  <c r="Z211" i="5" s="1"/>
  <c r="AJ194" i="5"/>
  <c r="AJ211" i="5" s="1"/>
  <c r="AO194" i="5"/>
  <c r="AO211" i="5" s="1"/>
  <c r="AT194" i="5"/>
  <c r="AT211" i="5" s="1"/>
  <c r="BD194" i="5"/>
  <c r="BD211" i="5" s="1"/>
  <c r="BI194" i="5"/>
  <c r="BI211" i="5" s="1"/>
  <c r="BN194" i="5"/>
  <c r="BX194" i="5"/>
  <c r="BX211" i="5" s="1"/>
  <c r="CC194" i="5"/>
  <c r="CC211" i="5" s="1"/>
  <c r="CH194" i="5"/>
  <c r="CH211" i="5" s="1"/>
  <c r="BY137" i="5"/>
  <c r="BY194" i="5" s="1"/>
  <c r="BY140" i="5"/>
  <c r="CO140" i="5"/>
  <c r="AR143" i="5"/>
  <c r="P143" i="5"/>
  <c r="AI162" i="5"/>
  <c r="AV162" i="5"/>
  <c r="BP162" i="5"/>
  <c r="CJ162" i="5"/>
  <c r="BC162" i="5"/>
  <c r="BI161" i="5"/>
  <c r="BN163" i="5" s="1"/>
  <c r="BJ164" i="5"/>
  <c r="BN166" i="5"/>
  <c r="BR166" i="5"/>
  <c r="CQ164" i="5"/>
  <c r="CQ161" i="5" s="1"/>
  <c r="CP165" i="5"/>
  <c r="BI165" i="5"/>
  <c r="CO165" i="5"/>
  <c r="BQ166" i="5"/>
  <c r="AK171" i="5"/>
  <c r="AI174" i="5"/>
  <c r="AK174" i="5" s="1"/>
  <c r="AA174" i="5"/>
  <c r="O199" i="5"/>
  <c r="S199" i="5"/>
  <c r="AG275" i="5"/>
  <c r="AG256" i="5"/>
  <c r="BQ275" i="5"/>
  <c r="BQ256" i="5"/>
  <c r="AD201" i="5"/>
  <c r="AM201" i="5"/>
  <c r="AR201" i="5"/>
  <c r="BF201" i="5"/>
  <c r="BK201" i="5"/>
  <c r="BP201" i="5"/>
  <c r="CC201" i="5"/>
  <c r="CH201" i="5"/>
  <c r="CM201" i="5"/>
  <c r="M203" i="5"/>
  <c r="U203" i="5"/>
  <c r="Z203" i="5"/>
  <c r="AS203" i="5"/>
  <c r="BV203" i="5"/>
  <c r="BZ203" i="5"/>
  <c r="AQ205" i="5"/>
  <c r="AY205" i="5"/>
  <c r="BW205" i="5"/>
  <c r="AC210" i="5"/>
  <c r="AV210" i="5"/>
  <c r="BI210" i="5"/>
  <c r="CB210" i="5"/>
  <c r="AW199" i="5"/>
  <c r="CC199" i="5"/>
  <c r="M194" i="5"/>
  <c r="M211" i="5" s="1"/>
  <c r="R194" i="5"/>
  <c r="R211" i="5" s="1"/>
  <c r="AB194" i="5"/>
  <c r="AB211" i="5" s="1"/>
  <c r="AG194" i="5"/>
  <c r="AL194" i="5"/>
  <c r="AL211" i="5" s="1"/>
  <c r="AV194" i="5"/>
  <c r="AV211" i="5" s="1"/>
  <c r="BA194" i="5"/>
  <c r="BF194" i="5"/>
  <c r="BF211" i="5" s="1"/>
  <c r="BP194" i="5"/>
  <c r="BP211" i="5" s="1"/>
  <c r="BU194" i="5"/>
  <c r="BZ194" i="5"/>
  <c r="CJ194" i="5"/>
  <c r="CJ211" i="5" s="1"/>
  <c r="AU137" i="5"/>
  <c r="AU194" i="5" s="1"/>
  <c r="L139" i="5"/>
  <c r="L140" i="5" s="1"/>
  <c r="BT137" i="5"/>
  <c r="BT194" i="5" s="1"/>
  <c r="BY134" i="5"/>
  <c r="BY135" i="5" s="1"/>
  <c r="BJ140" i="5"/>
  <c r="AB141" i="5"/>
  <c r="AN141" i="5"/>
  <c r="BX141" i="5"/>
  <c r="AX162" i="5"/>
  <c r="AX163" i="5"/>
  <c r="BJ161" i="5"/>
  <c r="BR161" i="5"/>
  <c r="CL162" i="5"/>
  <c r="CL163" i="5"/>
  <c r="CM162" i="5"/>
  <c r="AS162" i="5"/>
  <c r="AS163" i="5"/>
  <c r="AW162" i="5"/>
  <c r="AW163" i="5"/>
  <c r="BB166" i="5"/>
  <c r="BF166" i="5"/>
  <c r="BO166" i="5"/>
  <c r="BT166" i="5"/>
  <c r="BT165" i="5"/>
  <c r="BY161" i="5"/>
  <c r="BU161" i="5"/>
  <c r="BT161" i="5"/>
  <c r="CG162" i="5"/>
  <c r="CG163" i="5"/>
  <c r="CK162" i="5"/>
  <c r="CK163" i="5"/>
  <c r="AW165" i="5"/>
  <c r="BM165" i="5"/>
  <c r="CK166" i="5"/>
  <c r="P199" i="5"/>
  <c r="T199" i="5"/>
  <c r="BM256" i="5"/>
  <c r="BM275" i="5"/>
  <c r="CK256" i="5"/>
  <c r="CK275" i="5"/>
  <c r="CP275" i="5" s="1"/>
  <c r="Z201" i="5"/>
  <c r="AJ201" i="5"/>
  <c r="AN201" i="5"/>
  <c r="BL201" i="5"/>
  <c r="BV201" i="5"/>
  <c r="CE201" i="5"/>
  <c r="CJ201" i="5"/>
  <c r="N203" i="5"/>
  <c r="R203" i="5"/>
  <c r="AO203" i="5"/>
  <c r="AT203" i="5"/>
  <c r="BM203" i="5"/>
  <c r="CK203" i="5"/>
  <c r="W205" i="5"/>
  <c r="BK205" i="5"/>
  <c r="BS205" i="5"/>
  <c r="CH205" i="5"/>
  <c r="P210" i="5"/>
  <c r="T210" i="5"/>
  <c r="Y210" i="5"/>
  <c r="AW210" i="5"/>
  <c r="BP210" i="5"/>
  <c r="BU210" i="5"/>
  <c r="CC210" i="5"/>
  <c r="CM290" i="5"/>
  <c r="CN290" i="5" s="1"/>
  <c r="CM238" i="5"/>
  <c r="AH165" i="5"/>
  <c r="AL165" i="5"/>
  <c r="AT165" i="5"/>
  <c r="AX165" i="5"/>
  <c r="BB165" i="5"/>
  <c r="BF165" i="5"/>
  <c r="BN165" i="5"/>
  <c r="BR165" i="5"/>
  <c r="BV165" i="5"/>
  <c r="BZ165" i="5"/>
  <c r="CH165" i="5"/>
  <c r="CL165" i="5"/>
  <c r="AU174" i="5"/>
  <c r="AH256" i="5"/>
  <c r="AH275" i="5"/>
  <c r="BN275" i="5"/>
  <c r="BN256" i="5"/>
  <c r="BR275" i="5"/>
  <c r="BR256" i="5"/>
  <c r="BV275" i="5"/>
  <c r="BV256" i="5"/>
  <c r="BZ275" i="5"/>
  <c r="BZ256" i="5"/>
  <c r="CL256" i="5"/>
  <c r="CM256" i="5" s="1"/>
  <c r="CM255" i="5" s="1"/>
  <c r="CL275" i="5"/>
  <c r="CQ275" i="5" s="1"/>
  <c r="P205" i="5"/>
  <c r="T205" i="5"/>
  <c r="AB205" i="5"/>
  <c r="AN205" i="5"/>
  <c r="AR205" i="5"/>
  <c r="AV205" i="5"/>
  <c r="BD205" i="5"/>
  <c r="BL205" i="5"/>
  <c r="BP205" i="5"/>
  <c r="BX205" i="5"/>
  <c r="CB205" i="5"/>
  <c r="CF205" i="5"/>
  <c r="CJ205" i="5"/>
  <c r="N210" i="5"/>
  <c r="R210" i="5"/>
  <c r="Z210" i="5"/>
  <c r="AD210" i="5"/>
  <c r="AL210" i="5"/>
  <c r="AT210" i="5"/>
  <c r="BB210" i="5"/>
  <c r="BF210" i="5"/>
  <c r="BV210" i="5"/>
  <c r="BZ210" i="5"/>
  <c r="CH210" i="5"/>
  <c r="CL210" i="5"/>
  <c r="AT199" i="5"/>
  <c r="BB199" i="5"/>
  <c r="BF199" i="5"/>
  <c r="BV199" i="5"/>
  <c r="BZ199" i="5"/>
  <c r="CH199" i="5"/>
  <c r="CL199" i="5"/>
  <c r="N205" i="5"/>
  <c r="AD205" i="5"/>
  <c r="AT205" i="5"/>
  <c r="BD223" i="5"/>
  <c r="CL229" i="5"/>
  <c r="CN236" i="5"/>
  <c r="BM245" i="5"/>
  <c r="BN244" i="5"/>
  <c r="CL243" i="5"/>
  <c r="CL245" i="5"/>
  <c r="BP269" i="5"/>
  <c r="BY263" i="5"/>
  <c r="BX265" i="5"/>
  <c r="AI165" i="5"/>
  <c r="AM165" i="5"/>
  <c r="AY165" i="5"/>
  <c r="BC165" i="5"/>
  <c r="BG165" i="5"/>
  <c r="BK165" i="5"/>
  <c r="BO165" i="5"/>
  <c r="BS165" i="5"/>
  <c r="BW165" i="5"/>
  <c r="CA165" i="5"/>
  <c r="CE165" i="5"/>
  <c r="CI165" i="5"/>
  <c r="CM165" i="5"/>
  <c r="AY166" i="5"/>
  <c r="BS166" i="5"/>
  <c r="CM166" i="5"/>
  <c r="AZ174" i="5"/>
  <c r="AI275" i="5"/>
  <c r="AI256" i="5"/>
  <c r="AQ275" i="5"/>
  <c r="AQ256" i="5"/>
  <c r="AY275" i="5"/>
  <c r="AY256" i="5"/>
  <c r="BC275" i="5"/>
  <c r="BC256" i="5"/>
  <c r="BG275" i="5"/>
  <c r="BG256" i="5"/>
  <c r="BK275" i="5"/>
  <c r="BK256" i="5"/>
  <c r="BS256" i="5"/>
  <c r="BS275" i="5"/>
  <c r="BW275" i="5"/>
  <c r="BW256" i="5"/>
  <c r="CA275" i="5"/>
  <c r="CA256" i="5"/>
  <c r="CE275" i="5"/>
  <c r="CE256" i="5"/>
  <c r="CN275" i="5"/>
  <c r="O203" i="5"/>
  <c r="S203" i="5"/>
  <c r="W203" i="5"/>
  <c r="AM203" i="5"/>
  <c r="AQ203" i="5"/>
  <c r="AY203" i="5"/>
  <c r="BG203" i="5"/>
  <c r="BK203" i="5"/>
  <c r="BS203" i="5"/>
  <c r="BW203" i="5"/>
  <c r="CA203" i="5"/>
  <c r="CM203" i="5"/>
  <c r="M205" i="5"/>
  <c r="U205" i="5"/>
  <c r="Y205" i="5"/>
  <c r="AC205" i="5"/>
  <c r="AO205" i="5"/>
  <c r="AS205" i="5"/>
  <c r="AW205" i="5"/>
  <c r="BI205" i="5"/>
  <c r="BM205" i="5"/>
  <c r="CC205" i="5"/>
  <c r="CK205" i="5"/>
  <c r="O210" i="5"/>
  <c r="S210" i="5"/>
  <c r="W210" i="5"/>
  <c r="AM210" i="5"/>
  <c r="AQ210" i="5"/>
  <c r="AY210" i="5"/>
  <c r="BG210" i="5"/>
  <c r="BK210" i="5"/>
  <c r="BS210" i="5"/>
  <c r="BW210" i="5"/>
  <c r="CA210" i="5"/>
  <c r="CM210" i="5"/>
  <c r="AQ199" i="5"/>
  <c r="AY199" i="5"/>
  <c r="BK199" i="5"/>
  <c r="BS199" i="5"/>
  <c r="BW199" i="5"/>
  <c r="CA199" i="5"/>
  <c r="CE199" i="5"/>
  <c r="CM199" i="5"/>
  <c r="R205" i="5"/>
  <c r="AX205" i="5"/>
  <c r="BD221" i="5"/>
  <c r="BE220" i="5"/>
  <c r="BE221" i="5" s="1"/>
  <c r="CM228" i="5"/>
  <c r="CM263" i="5"/>
  <c r="CB232" i="5"/>
  <c r="CC233" i="5"/>
  <c r="CC232" i="5" s="1"/>
  <c r="CD232" i="5" s="1"/>
  <c r="BB243" i="5"/>
  <c r="BC242" i="5"/>
  <c r="BD242" i="5" s="1"/>
  <c r="BA269" i="5"/>
  <c r="CO155" i="5"/>
  <c r="CO161" i="5"/>
  <c r="CO236" i="5" s="1"/>
  <c r="CM163" i="5"/>
  <c r="AN165" i="5"/>
  <c r="AR165" i="5"/>
  <c r="AV165" i="5"/>
  <c r="BD165" i="5"/>
  <c r="BH165" i="5"/>
  <c r="BL165" i="5"/>
  <c r="BP165" i="5"/>
  <c r="BX165" i="5"/>
  <c r="CB165" i="5"/>
  <c r="CF165" i="5"/>
  <c r="CJ165" i="5"/>
  <c r="AB168" i="5"/>
  <c r="AC168" i="5" s="1"/>
  <c r="AD168" i="5" s="1"/>
  <c r="AE168" i="5" s="1"/>
  <c r="AJ275" i="5"/>
  <c r="AJ256" i="5"/>
  <c r="BH256" i="5"/>
  <c r="BH275" i="5"/>
  <c r="BL275" i="5"/>
  <c r="BL256" i="5"/>
  <c r="BP275" i="5"/>
  <c r="BP256" i="5"/>
  <c r="BX256" i="5"/>
  <c r="BX275" i="5"/>
  <c r="CB275" i="5"/>
  <c r="CB256" i="5"/>
  <c r="CF275" i="5"/>
  <c r="CF256" i="5"/>
  <c r="CJ256" i="5"/>
  <c r="CJ275" i="5"/>
  <c r="CO275" i="5" s="1"/>
  <c r="P203" i="5"/>
  <c r="T203" i="5"/>
  <c r="AB203" i="5"/>
  <c r="AJ203" i="5"/>
  <c r="AN203" i="5"/>
  <c r="AR203" i="5"/>
  <c r="AV203" i="5"/>
  <c r="BD203" i="5"/>
  <c r="BL203" i="5"/>
  <c r="BP203" i="5"/>
  <c r="BX203" i="5"/>
  <c r="CB203" i="5"/>
  <c r="CF203" i="5"/>
  <c r="CJ203" i="5"/>
  <c r="AJ199" i="5"/>
  <c r="AR199" i="5"/>
  <c r="AV199" i="5"/>
  <c r="BD199" i="5"/>
  <c r="BL199" i="5"/>
  <c r="BP199" i="5"/>
  <c r="BX199" i="5"/>
  <c r="CB199" i="5"/>
  <c r="CF199" i="5"/>
  <c r="CJ199" i="5"/>
  <c r="BH228" i="5"/>
  <c r="BI225" i="5"/>
  <c r="BC217" i="5"/>
  <c r="BM217" i="5"/>
  <c r="BV219" i="5"/>
  <c r="BW217" i="5"/>
  <c r="CG217" i="5"/>
  <c r="AK218" i="5"/>
  <c r="AP218" i="5"/>
  <c r="AU219" i="5"/>
  <c r="BM221" i="5"/>
  <c r="BN220" i="5"/>
  <c r="BO220" i="5" s="1"/>
  <c r="BO221" i="5" s="1"/>
  <c r="BY220" i="5"/>
  <c r="BY221" i="5" s="1"/>
  <c r="CG221" i="5"/>
  <c r="CI220" i="5"/>
  <c r="CI221" i="5" s="1"/>
  <c r="CH220" i="5"/>
  <c r="CH221" i="5" s="1"/>
  <c r="CN221" i="5"/>
  <c r="AW230" i="5"/>
  <c r="BA230" i="5"/>
  <c r="BA228" i="5"/>
  <c r="BB225" i="5"/>
  <c r="CH228" i="5"/>
  <c r="CF229" i="5"/>
  <c r="CK232" i="5"/>
  <c r="CL233" i="5"/>
  <c r="CL232" i="5" s="1"/>
  <c r="BD233" i="5"/>
  <c r="CI300" i="5"/>
  <c r="CB238" i="5"/>
  <c r="CC236" i="5"/>
  <c r="CI236" i="5"/>
  <c r="CI238" i="5" s="1"/>
  <c r="CH236" i="5"/>
  <c r="BC238" i="5"/>
  <c r="BD237" i="5"/>
  <c r="BD238" i="5" s="1"/>
  <c r="CG238" i="5"/>
  <c r="AW243" i="5"/>
  <c r="BF243" i="5"/>
  <c r="BG242" i="5"/>
  <c r="BC245" i="5"/>
  <c r="AS269" i="5"/>
  <c r="BJ263" i="5"/>
  <c r="BI265" i="5"/>
  <c r="CD263" i="5"/>
  <c r="CC265" i="5"/>
  <c r="CC267" i="5" s="1"/>
  <c r="AL269" i="5"/>
  <c r="CK219" i="5"/>
  <c r="CN217" i="5"/>
  <c r="CL217" i="5"/>
  <c r="CL89" i="5" s="1"/>
  <c r="CM217" i="5"/>
  <c r="CM264" i="5" s="1"/>
  <c r="CN264" i="5" s="1"/>
  <c r="CM218" i="5"/>
  <c r="BB219" i="5"/>
  <c r="BC218" i="5"/>
  <c r="BM218" i="5"/>
  <c r="BN218" i="5" s="1"/>
  <c r="BW218" i="5"/>
  <c r="CI218" i="5"/>
  <c r="CG218" i="5"/>
  <c r="CH218" i="5" s="1"/>
  <c r="BL219" i="5"/>
  <c r="CF219" i="5"/>
  <c r="AZ220" i="5"/>
  <c r="AZ221" i="5" s="1"/>
  <c r="BW221" i="5"/>
  <c r="B223" i="5"/>
  <c r="B230" i="5" s="1"/>
  <c r="AY223" i="5"/>
  <c r="BH230" i="5"/>
  <c r="CH230" i="5"/>
  <c r="BQ232" i="5"/>
  <c r="BR225" i="5"/>
  <c r="CC228" i="5"/>
  <c r="CI225" i="5"/>
  <c r="BA229" i="5"/>
  <c r="BQ230" i="5"/>
  <c r="CK229" i="5"/>
  <c r="BN233" i="5"/>
  <c r="CG232" i="5"/>
  <c r="CI232" i="5" s="1"/>
  <c r="CH233" i="5"/>
  <c r="CH232" i="5" s="1"/>
  <c r="BL238" i="5"/>
  <c r="BM237" i="5"/>
  <c r="DC239" i="5"/>
  <c r="DC242" i="5" s="1"/>
  <c r="AX243" i="5"/>
  <c r="AY242" i="5"/>
  <c r="AZ242" i="5" s="1"/>
  <c r="BK243" i="5"/>
  <c r="BL242" i="5"/>
  <c r="BO263" i="5"/>
  <c r="BN265" i="5"/>
  <c r="CI263" i="5"/>
  <c r="CH265" i="5"/>
  <c r="G269" i="5"/>
  <c r="G270" i="5"/>
  <c r="CN218" i="5"/>
  <c r="AX217" i="5"/>
  <c r="BH217" i="5"/>
  <c r="BH89" i="5" s="1"/>
  <c r="BQ219" i="5"/>
  <c r="BR217" i="5"/>
  <c r="CA219" i="5"/>
  <c r="CB217" i="5"/>
  <c r="BG219" i="5"/>
  <c r="BR221" i="5"/>
  <c r="BS220" i="5"/>
  <c r="BS221" i="5" s="1"/>
  <c r="CB221" i="5"/>
  <c r="CC220" i="5"/>
  <c r="BB230" i="5"/>
  <c r="BU232" i="5"/>
  <c r="BU230" i="5"/>
  <c r="BU229" i="5"/>
  <c r="BU228" i="5"/>
  <c r="BV225" i="5"/>
  <c r="CN225" i="5"/>
  <c r="CR227" i="5"/>
  <c r="CD227" i="5"/>
  <c r="CM279" i="5"/>
  <c r="CM244" i="5"/>
  <c r="AY233" i="5"/>
  <c r="AY245" i="5" s="1"/>
  <c r="BH232" i="5"/>
  <c r="CC237" i="5"/>
  <c r="CD237" i="5" s="1"/>
  <c r="CD299" i="5" s="1"/>
  <c r="CH237" i="5"/>
  <c r="CI237" i="5" s="1"/>
  <c r="CI299" i="5" s="1"/>
  <c r="AX238" i="5"/>
  <c r="AY237" i="5"/>
  <c r="AY238" i="5" s="1"/>
  <c r="BR237" i="5"/>
  <c r="CN237" i="5"/>
  <c r="CN299" i="5" s="1"/>
  <c r="BQ238" i="5"/>
  <c r="CK238" i="5"/>
  <c r="CK243" i="5" s="1"/>
  <c r="CN243" i="5" s="1"/>
  <c r="BE242" i="5"/>
  <c r="BV245" i="5"/>
  <c r="BW244" i="5"/>
  <c r="BX244" i="5"/>
  <c r="CB245" i="5"/>
  <c r="CC244" i="5"/>
  <c r="Q244" i="5"/>
  <c r="Q245" i="5" s="1"/>
  <c r="AM269" i="5"/>
  <c r="AW269" i="5"/>
  <c r="BT263" i="5"/>
  <c r="BS265" i="5"/>
  <c r="CJ269" i="5"/>
  <c r="BU269" i="5"/>
  <c r="BX220" i="5"/>
  <c r="BX221" i="5" s="1"/>
  <c r="AX221" i="5"/>
  <c r="BB221" i="5"/>
  <c r="CF221" i="5"/>
  <c r="BJ220" i="5"/>
  <c r="BJ221" i="5" s="1"/>
  <c r="AV228" i="5"/>
  <c r="AP229" i="5"/>
  <c r="BF229" i="5"/>
  <c r="AF230" i="5"/>
  <c r="AV230" i="5"/>
  <c r="BR230" i="5"/>
  <c r="CB228" i="5"/>
  <c r="CB229" i="5"/>
  <c r="CB230" i="5"/>
  <c r="CG228" i="5"/>
  <c r="CG229" i="5"/>
  <c r="CG230" i="5"/>
  <c r="CL228" i="5"/>
  <c r="L228" i="5"/>
  <c r="V230" i="5"/>
  <c r="AP232" i="5"/>
  <c r="BF232" i="5"/>
  <c r="BK232" i="5"/>
  <c r="BJ238" i="5"/>
  <c r="CX239" i="5"/>
  <c r="CX242" i="5" s="1"/>
  <c r="BA243" i="5"/>
  <c r="BB245" i="5"/>
  <c r="BH245" i="5"/>
  <c r="BQ243" i="5"/>
  <c r="BQ245" i="5"/>
  <c r="AI269" i="5"/>
  <c r="AN269" i="5"/>
  <c r="BB267" i="5"/>
  <c r="BG267" i="5"/>
  <c r="BL267" i="5"/>
  <c r="BQ267" i="5"/>
  <c r="BV267" i="5"/>
  <c r="CA267" i="5"/>
  <c r="CF267" i="5"/>
  <c r="CK267" i="5"/>
  <c r="AQ269" i="5"/>
  <c r="V269" i="5"/>
  <c r="BH352" i="5"/>
  <c r="BH276" i="5"/>
  <c r="CO272" i="5"/>
  <c r="BE275" i="5"/>
  <c r="BC221" i="5"/>
  <c r="AU229" i="5"/>
  <c r="BG229" i="5"/>
  <c r="L229" i="5"/>
  <c r="BG232" i="5"/>
  <c r="BP232" i="5"/>
  <c r="L233" i="5"/>
  <c r="L245" i="5" s="1"/>
  <c r="V233" i="5"/>
  <c r="AF233" i="5"/>
  <c r="CS239" i="5"/>
  <c r="AA244" i="5"/>
  <c r="AA245" i="5" s="1"/>
  <c r="AU244" i="5"/>
  <c r="AU245" i="5" s="1"/>
  <c r="BU243" i="5"/>
  <c r="CD242" i="5"/>
  <c r="Q37" i="171" s="1"/>
  <c r="CG242" i="5"/>
  <c r="CH242" i="5" s="1"/>
  <c r="CI242" i="5"/>
  <c r="R37" i="171" s="1"/>
  <c r="CF245" i="5"/>
  <c r="BC243" i="5"/>
  <c r="BR245" i="5"/>
  <c r="BS244" i="5"/>
  <c r="V244" i="5"/>
  <c r="V245" i="5" s="1"/>
  <c r="BC306" i="5"/>
  <c r="BF306" i="5"/>
  <c r="BF256" i="5"/>
  <c r="AJ269" i="5"/>
  <c r="AK267" i="5"/>
  <c r="AO269" i="5"/>
  <c r="BC269" i="5"/>
  <c r="BH269" i="5"/>
  <c r="BM269" i="5"/>
  <c r="BR267" i="5"/>
  <c r="BW267" i="5"/>
  <c r="CB267" i="5"/>
  <c r="CG267" i="5"/>
  <c r="CL267" i="5"/>
  <c r="AT269" i="5"/>
  <c r="AP269" i="5"/>
  <c r="AZ275" i="5"/>
  <c r="BT275" i="5"/>
  <c r="CI278" i="5"/>
  <c r="BH218" i="5"/>
  <c r="BH219" i="5" s="1"/>
  <c r="BL225" i="5"/>
  <c r="BF228" i="5"/>
  <c r="AV229" i="5"/>
  <c r="BK228" i="5"/>
  <c r="BK229" i="5"/>
  <c r="BP228" i="5"/>
  <c r="BP229" i="5"/>
  <c r="AW245" i="5"/>
  <c r="CN238" i="5"/>
  <c r="AF244" i="5"/>
  <c r="BV242" i="5"/>
  <c r="BW242" i="5" s="1"/>
  <c r="CB242" i="5"/>
  <c r="CC242" i="5" s="1"/>
  <c r="CA245" i="5"/>
  <c r="CG244" i="5"/>
  <c r="AX245" i="5"/>
  <c r="BD244" i="5"/>
  <c r="BL245" i="5"/>
  <c r="CK245" i="5"/>
  <c r="AR306" i="5"/>
  <c r="AR256" i="5"/>
  <c r="AV306" i="5"/>
  <c r="AV256" i="5"/>
  <c r="AR269" i="5"/>
  <c r="BD267" i="5"/>
  <c r="BI267" i="5"/>
  <c r="BN267" i="5"/>
  <c r="BS267" i="5"/>
  <c r="BX267" i="5"/>
  <c r="CH267" i="5"/>
  <c r="AZ267" i="5"/>
  <c r="AY269" i="5"/>
  <c r="AG267" i="5"/>
  <c r="AV267" i="5"/>
  <c r="BE352" i="5"/>
  <c r="BO275" i="5"/>
  <c r="BY352" i="5"/>
  <c r="CI275" i="5"/>
  <c r="BT278" i="5"/>
  <c r="BY276" i="5"/>
  <c r="BD256" i="5"/>
  <c r="AH267" i="5"/>
  <c r="Q269" i="5"/>
  <c r="AZ352" i="5"/>
  <c r="BJ275" i="5"/>
  <c r="BT352" i="5"/>
  <c r="CD275" i="5"/>
  <c r="BA256" i="5"/>
  <c r="AS256" i="5"/>
  <c r="AW256" i="5"/>
  <c r="L269" i="5"/>
  <c r="AU270" i="5"/>
  <c r="BO352" i="5"/>
  <c r="CI352" i="5"/>
  <c r="CN281" i="5"/>
  <c r="CM283" i="5"/>
  <c r="BB256" i="5"/>
  <c r="AT256" i="5"/>
  <c r="AX256" i="5"/>
  <c r="AZ255" i="5"/>
  <c r="BE255" i="5"/>
  <c r="BG352" i="5"/>
  <c r="BG276" i="5"/>
  <c r="BJ352" i="5"/>
  <c r="CD352" i="5"/>
  <c r="AZ278" i="5"/>
  <c r="BE276" i="5"/>
  <c r="BJ278" i="5"/>
  <c r="BO276" i="5"/>
  <c r="AW283" i="5"/>
  <c r="BE281" i="5"/>
  <c r="BL292" i="5"/>
  <c r="BL293" i="5" s="1"/>
  <c r="BL281" i="5"/>
  <c r="L284" i="5"/>
  <c r="L292" i="5" s="1"/>
  <c r="L293" i="5" s="1"/>
  <c r="L283" i="5"/>
  <c r="Q292" i="5"/>
  <c r="Q293" i="5" s="1"/>
  <c r="BE291" i="5"/>
  <c r="AK292" i="5"/>
  <c r="AK293" i="5" s="1"/>
  <c r="BQ292" i="5"/>
  <c r="BQ293" i="5" s="1"/>
  <c r="CG292" i="5"/>
  <c r="CG293" i="5" s="1"/>
  <c r="AS283" i="5"/>
  <c r="AZ284" i="5"/>
  <c r="AZ283" i="5"/>
  <c r="BJ284" i="5"/>
  <c r="BJ292" i="5" s="1"/>
  <c r="BH292" i="5"/>
  <c r="BH293" i="5" s="1"/>
  <c r="BH281" i="5"/>
  <c r="CJ292" i="5"/>
  <c r="CJ293" i="5" s="1"/>
  <c r="CJ281" i="5"/>
  <c r="AP283" i="5"/>
  <c r="CO286" i="5"/>
  <c r="AP292" i="5"/>
  <c r="AP293" i="5" s="1"/>
  <c r="AX292" i="5"/>
  <c r="AX293" i="5" s="1"/>
  <c r="BU292" i="5"/>
  <c r="BU293" i="5" s="1"/>
  <c r="CK292" i="5"/>
  <c r="CK293" i="5" s="1"/>
  <c r="BO308" i="5"/>
  <c r="BT308" i="5" s="1"/>
  <c r="BY308" i="5" s="1"/>
  <c r="CD308" i="5" s="1"/>
  <c r="CI308" i="5" s="1"/>
  <c r="CN308" i="5" s="1"/>
  <c r="CS308" i="5" s="1"/>
  <c r="CX308" i="5" s="1"/>
  <c r="DC308" i="5" s="1"/>
  <c r="BK308" i="5"/>
  <c r="BL308" i="5" s="1"/>
  <c r="BM308" i="5" s="1"/>
  <c r="BN308" i="5" s="1"/>
  <c r="BO348" i="5"/>
  <c r="BT348" i="5" s="1"/>
  <c r="BY348" i="5" s="1"/>
  <c r="CD348" i="5" s="1"/>
  <c r="CI348" i="5" s="1"/>
  <c r="CN348" i="5" s="1"/>
  <c r="CS348" i="5" s="1"/>
  <c r="CX348" i="5" s="1"/>
  <c r="DC348" i="5" s="1"/>
  <c r="BK348" i="5"/>
  <c r="BL348" i="5" s="1"/>
  <c r="BM348" i="5" s="1"/>
  <c r="BN348" i="5" s="1"/>
  <c r="BD352" i="5"/>
  <c r="G284" i="5"/>
  <c r="G292" i="5" s="1"/>
  <c r="BA283" i="5"/>
  <c r="BT281" i="5"/>
  <c r="CI281" i="5"/>
  <c r="BW283" i="5"/>
  <c r="CE283" i="5"/>
  <c r="CF292" i="5"/>
  <c r="CF293" i="5" s="1"/>
  <c r="CF281" i="5"/>
  <c r="Q284" i="5"/>
  <c r="Q283" i="5"/>
  <c r="AP284" i="5"/>
  <c r="BI292" i="5"/>
  <c r="BI293" i="5" s="1"/>
  <c r="CD278" i="5"/>
  <c r="CD284" i="5" s="1"/>
  <c r="CD292" i="5" s="1"/>
  <c r="BJ283" i="5"/>
  <c r="BR283" i="5"/>
  <c r="BZ283" i="5"/>
  <c r="CH283" i="5"/>
  <c r="BP292" i="5"/>
  <c r="BP293" i="5" s="1"/>
  <c r="BP281" i="5"/>
  <c r="BX292" i="5"/>
  <c r="BX293" i="5" s="1"/>
  <c r="BX281" i="5"/>
  <c r="CB292" i="5"/>
  <c r="CB293" i="5" s="1"/>
  <c r="CB281" i="5"/>
  <c r="AK283" i="5"/>
  <c r="AT284" i="5"/>
  <c r="AT281" i="5" s="1"/>
  <c r="AZ292" i="5"/>
  <c r="BM292" i="5"/>
  <c r="BM293" i="5" s="1"/>
  <c r="CC292" i="5"/>
  <c r="CC293" i="5" s="1"/>
  <c r="G283" i="5"/>
  <c r="BO353" i="5"/>
  <c r="BT353" i="5" s="1"/>
  <c r="BY353" i="5" s="1"/>
  <c r="CD353" i="5" s="1"/>
  <c r="CI353" i="5" s="1"/>
  <c r="CN353" i="5" s="1"/>
  <c r="CS353" i="5" s="1"/>
  <c r="CX353" i="5" s="1"/>
  <c r="DC353" i="5" s="1"/>
  <c r="BK353" i="5"/>
  <c r="BL353" i="5" s="1"/>
  <c r="BM353" i="5" s="1"/>
  <c r="BN353" i="5" s="1"/>
  <c r="BJ369" i="5"/>
  <c r="BJ368" i="5"/>
  <c r="BF368" i="5"/>
  <c r="AZ368" i="5"/>
  <c r="P54" i="171"/>
  <c r="Q54" i="171"/>
  <c r="R54" i="171"/>
  <c r="BF163" i="5" l="1"/>
  <c r="CP162" i="5"/>
  <c r="CO28" i="5"/>
  <c r="CQ28" i="5"/>
  <c r="CQ5" i="5"/>
  <c r="CD267" i="5"/>
  <c r="CC269" i="5"/>
  <c r="CO238" i="5"/>
  <c r="CS76" i="5"/>
  <c r="CS77" i="5"/>
  <c r="CB120" i="5"/>
  <c r="CB122" i="5"/>
  <c r="CB143" i="5"/>
  <c r="BP122" i="5"/>
  <c r="BP120" i="5"/>
  <c r="BP143" i="5"/>
  <c r="AO122" i="5"/>
  <c r="AO123" i="5" s="1"/>
  <c r="AO189" i="5"/>
  <c r="AO120" i="5"/>
  <c r="AO143" i="5"/>
  <c r="CH122" i="5"/>
  <c r="CH120" i="5"/>
  <c r="CH143" i="5"/>
  <c r="AN195" i="5"/>
  <c r="AN212" i="5" s="1"/>
  <c r="AN147" i="5"/>
  <c r="AN145" i="5"/>
  <c r="AN144" i="5"/>
  <c r="I120" i="5"/>
  <c r="I124" i="5" s="1"/>
  <c r="I122" i="5"/>
  <c r="I143" i="5"/>
  <c r="CN244" i="5"/>
  <c r="S40" i="171"/>
  <c r="L141" i="5"/>
  <c r="BL147" i="5"/>
  <c r="BL145" i="5"/>
  <c r="BL144" i="5"/>
  <c r="CD233" i="5"/>
  <c r="Q34" i="171"/>
  <c r="Q35" i="171" s="1"/>
  <c r="CI233" i="5"/>
  <c r="R34" i="171"/>
  <c r="Y122" i="5"/>
  <c r="Y120" i="5"/>
  <c r="Y143" i="5"/>
  <c r="BX122" i="5"/>
  <c r="BX120" i="5"/>
  <c r="BX143" i="5"/>
  <c r="AJ122" i="5"/>
  <c r="AJ120" i="5"/>
  <c r="AJ143" i="5"/>
  <c r="BA368" i="5"/>
  <c r="CJ283" i="5"/>
  <c r="BE306" i="5"/>
  <c r="BE256" i="5"/>
  <c r="CO281" i="5"/>
  <c r="AU293" i="5"/>
  <c r="AT270" i="5"/>
  <c r="CP239" i="5"/>
  <c r="CP242" i="5" s="1"/>
  <c r="CS242" i="5"/>
  <c r="CO239" i="5"/>
  <c r="CO242" i="5" s="1"/>
  <c r="CO244" i="5" s="1"/>
  <c r="CR239" i="5"/>
  <c r="CR242" i="5" s="1"/>
  <c r="CQ239" i="5"/>
  <c r="CQ242" i="5" s="1"/>
  <c r="BO265" i="5"/>
  <c r="BP89" i="5"/>
  <c r="BN237" i="5"/>
  <c r="BN238" i="5" s="1"/>
  <c r="BM238" i="5"/>
  <c r="BJ141" i="5"/>
  <c r="BJ105" i="5"/>
  <c r="BJ97" i="5"/>
  <c r="BJ99" i="5"/>
  <c r="Q141" i="5"/>
  <c r="BQ117" i="5"/>
  <c r="BQ106" i="5"/>
  <c r="BQ107" i="5"/>
  <c r="BQ112" i="5"/>
  <c r="BQ113" i="5" s="1"/>
  <c r="BQ110" i="5"/>
  <c r="BQ111" i="5" s="1"/>
  <c r="BQ108" i="5"/>
  <c r="BQ109" i="5" s="1"/>
  <c r="T113" i="5"/>
  <c r="V117" i="5"/>
  <c r="V112" i="5"/>
  <c r="V110" i="5"/>
  <c r="V108" i="5"/>
  <c r="V109" i="5" s="1"/>
  <c r="V106" i="5"/>
  <c r="AM205" i="5"/>
  <c r="BQ204" i="5"/>
  <c r="BQ198" i="5"/>
  <c r="U122" i="5"/>
  <c r="U120" i="5"/>
  <c r="U189" i="5"/>
  <c r="CE117" i="5"/>
  <c r="CE112" i="5"/>
  <c r="CE110" i="5"/>
  <c r="CE108" i="5"/>
  <c r="CE109" i="5" s="1"/>
  <c r="CE107" i="5"/>
  <c r="CE106" i="5"/>
  <c r="CP115" i="5"/>
  <c r="CP42" i="5"/>
  <c r="CP43" i="5" s="1"/>
  <c r="CP41" i="5"/>
  <c r="BJ32" i="5"/>
  <c r="BJ31" i="5"/>
  <c r="AS195" i="5"/>
  <c r="AS212" i="5" s="1"/>
  <c r="AS145" i="5"/>
  <c r="AS144" i="5"/>
  <c r="AS147" i="5"/>
  <c r="BN183" i="5"/>
  <c r="CS188" i="5"/>
  <c r="CX86" i="5"/>
  <c r="DO90" i="5"/>
  <c r="CS87" i="5"/>
  <c r="T16" i="171"/>
  <c r="CN115" i="5"/>
  <c r="CN41" i="5"/>
  <c r="CN42" i="5"/>
  <c r="CN43" i="5" s="1"/>
  <c r="G43" i="171" s="1"/>
  <c r="S11" i="171"/>
  <c r="BH380" i="5"/>
  <c r="BH204" i="5"/>
  <c r="BH198" i="5"/>
  <c r="BH210" i="5"/>
  <c r="BR204" i="5"/>
  <c r="BR198" i="5"/>
  <c r="BR203" i="5"/>
  <c r="AD120" i="5"/>
  <c r="AD143" i="5"/>
  <c r="AD122" i="5"/>
  <c r="AD123" i="5" s="1"/>
  <c r="U23" i="171"/>
  <c r="AX117" i="5"/>
  <c r="AX107" i="5"/>
  <c r="AX112" i="5"/>
  <c r="AX113" i="5" s="1"/>
  <c r="AX110" i="5"/>
  <c r="AX111" i="5" s="1"/>
  <c r="AX108" i="5"/>
  <c r="BC106" i="5"/>
  <c r="AY107" i="5"/>
  <c r="AX106" i="5"/>
  <c r="CE204" i="5"/>
  <c r="CE198" i="5"/>
  <c r="BG380" i="5"/>
  <c r="BG204" i="5"/>
  <c r="BG198" i="5"/>
  <c r="AM120" i="5"/>
  <c r="AM122" i="5"/>
  <c r="CI31" i="5"/>
  <c r="F42" i="171" s="1"/>
  <c r="CI32" i="5"/>
  <c r="AQ90" i="5"/>
  <c r="AQ84" i="5"/>
  <c r="AQ85" i="5" s="1"/>
  <c r="AQ25" i="5"/>
  <c r="AQ56" i="5"/>
  <c r="BA19" i="5"/>
  <c r="BB24" i="5" s="1"/>
  <c r="BB20" i="5"/>
  <c r="BB19" i="5" s="1"/>
  <c r="BC24" i="5" s="1"/>
  <c r="AW63" i="5"/>
  <c r="BB63" i="5"/>
  <c r="CI117" i="5"/>
  <c r="CI112" i="5"/>
  <c r="CI110" i="5"/>
  <c r="CI111" i="5" s="1"/>
  <c r="F46" i="171" s="1"/>
  <c r="CI108" i="5"/>
  <c r="CI106" i="5"/>
  <c r="R18" i="171"/>
  <c r="R15" i="171" s="1"/>
  <c r="BE43" i="5"/>
  <c r="BP90" i="5"/>
  <c r="BP84" i="5"/>
  <c r="BP85" i="5" s="1"/>
  <c r="BP25" i="5"/>
  <c r="DF58" i="5"/>
  <c r="CF43" i="5"/>
  <c r="CG204" i="5"/>
  <c r="CG198" i="5"/>
  <c r="Q181" i="5"/>
  <c r="Q116" i="5"/>
  <c r="BY10" i="5"/>
  <c r="CK57" i="5"/>
  <c r="CP56" i="5"/>
  <c r="AN43" i="5"/>
  <c r="AZ306" i="5"/>
  <c r="AZ256" i="5"/>
  <c r="BY278" i="5"/>
  <c r="AV269" i="5"/>
  <c r="AZ269" i="5"/>
  <c r="BT267" i="5"/>
  <c r="BS269" i="5"/>
  <c r="BD245" i="5"/>
  <c r="BD243" i="5"/>
  <c r="CM267" i="5"/>
  <c r="CL269" i="5"/>
  <c r="BR269" i="5"/>
  <c r="CF269" i="5"/>
  <c r="BL269" i="5"/>
  <c r="BX245" i="5"/>
  <c r="BX243" i="5"/>
  <c r="BX242" i="5"/>
  <c r="BY242" i="5" s="1"/>
  <c r="P37" i="171" s="1"/>
  <c r="BW225" i="5"/>
  <c r="BV228" i="5"/>
  <c r="BV232" i="5"/>
  <c r="BV230" i="5"/>
  <c r="BV229" i="5"/>
  <c r="CC221" i="5"/>
  <c r="CN219" i="5"/>
  <c r="V37" i="171"/>
  <c r="BO237" i="5"/>
  <c r="BO218" i="5"/>
  <c r="CD265" i="5"/>
  <c r="CE89" i="5"/>
  <c r="AY243" i="5"/>
  <c r="AZ243" i="5" s="1"/>
  <c r="AZ244" i="5" s="1"/>
  <c r="BE237" i="5"/>
  <c r="CC238" i="5"/>
  <c r="CC243" i="5" s="1"/>
  <c r="AU218" i="5"/>
  <c r="BH229" i="5"/>
  <c r="BH199" i="5"/>
  <c r="CM265" i="5"/>
  <c r="CN263" i="5"/>
  <c r="CM89" i="5"/>
  <c r="BG199" i="5"/>
  <c r="BC210" i="5"/>
  <c r="B245" i="5"/>
  <c r="CN255" i="5"/>
  <c r="BQ199" i="5"/>
  <c r="BZ201" i="5"/>
  <c r="BG201" i="5"/>
  <c r="BR162" i="5"/>
  <c r="BR163" i="5"/>
  <c r="BS162" i="5"/>
  <c r="CG210" i="5"/>
  <c r="CQ163" i="5"/>
  <c r="CQ162" i="5"/>
  <c r="BY237" i="5"/>
  <c r="CN141" i="5"/>
  <c r="S23" i="171"/>
  <c r="CG211" i="5"/>
  <c r="BH211" i="5"/>
  <c r="CP141" i="5"/>
  <c r="BC111" i="5"/>
  <c r="W111" i="5"/>
  <c r="CR93" i="5"/>
  <c r="CR92" i="5"/>
  <c r="CD218" i="5"/>
  <c r="AX219" i="5"/>
  <c r="AY218" i="5"/>
  <c r="BR201" i="5"/>
  <c r="BB147" i="5"/>
  <c r="BB145" i="5"/>
  <c r="BB144" i="5"/>
  <c r="AG144" i="5"/>
  <c r="AG147" i="5"/>
  <c r="AG145" i="5"/>
  <c r="AD113" i="5"/>
  <c r="AL111" i="5"/>
  <c r="CL107" i="5"/>
  <c r="CL112" i="5"/>
  <c r="CL110" i="5"/>
  <c r="CL111" i="5" s="1"/>
  <c r="CL117" i="5"/>
  <c r="CL108" i="5"/>
  <c r="CL106" i="5"/>
  <c r="AO100" i="5"/>
  <c r="AJ100" i="5"/>
  <c r="AC111" i="5"/>
  <c r="BB109" i="5"/>
  <c r="BG109" i="5"/>
  <c r="W109" i="5"/>
  <c r="CG107" i="5"/>
  <c r="CG106" i="5"/>
  <c r="CG117" i="5"/>
  <c r="CG112" i="5"/>
  <c r="CG113" i="5" s="1"/>
  <c r="CG110" i="5"/>
  <c r="CG111" i="5" s="1"/>
  <c r="CG108" i="5"/>
  <c r="CG109" i="5" s="1"/>
  <c r="BM107" i="5"/>
  <c r="BM106" i="5"/>
  <c r="BM112" i="5"/>
  <c r="BM113" i="5" s="1"/>
  <c r="BM110" i="5"/>
  <c r="BM111" i="5" s="1"/>
  <c r="BM117" i="5"/>
  <c r="BM108" i="5"/>
  <c r="BM109" i="5" s="1"/>
  <c r="V218" i="5"/>
  <c r="BE78" i="5"/>
  <c r="Q78" i="5"/>
  <c r="BQ210" i="5"/>
  <c r="CJ111" i="5"/>
  <c r="BV106" i="5"/>
  <c r="BD118" i="5"/>
  <c r="T183" i="5"/>
  <c r="BO105" i="5"/>
  <c r="BO97" i="5"/>
  <c r="BO99" i="5"/>
  <c r="BO100" i="5" s="1"/>
  <c r="BK117" i="5"/>
  <c r="BK112" i="5"/>
  <c r="BK113" i="5" s="1"/>
  <c r="BK110" i="5"/>
  <c r="BK108" i="5"/>
  <c r="BK109" i="5" s="1"/>
  <c r="BK107" i="5"/>
  <c r="BK106" i="5"/>
  <c r="CP93" i="5"/>
  <c r="CP92" i="5"/>
  <c r="AK188" i="5"/>
  <c r="AK87" i="5"/>
  <c r="AK90" i="5"/>
  <c r="AJ205" i="5"/>
  <c r="T80" i="5"/>
  <c r="AL57" i="5"/>
  <c r="AY43" i="5"/>
  <c r="CC204" i="5"/>
  <c r="CC198" i="5"/>
  <c r="AW380" i="5"/>
  <c r="AW204" i="5"/>
  <c r="AW198" i="5"/>
  <c r="AC122" i="5"/>
  <c r="AC120" i="5"/>
  <c r="AC143" i="5"/>
  <c r="U204" i="5"/>
  <c r="U198" i="5"/>
  <c r="AK32" i="5"/>
  <c r="AK31" i="5"/>
  <c r="AO275" i="5"/>
  <c r="AO256" i="5"/>
  <c r="AO199" i="5"/>
  <c r="G40" i="171"/>
  <c r="CN10" i="5"/>
  <c r="T119" i="5"/>
  <c r="AR111" i="5"/>
  <c r="BP109" i="5"/>
  <c r="N117" i="5"/>
  <c r="N112" i="5"/>
  <c r="N113" i="5" s="1"/>
  <c r="N110" i="5"/>
  <c r="N111" i="5" s="1"/>
  <c r="N108" i="5"/>
  <c r="N109" i="5" s="1"/>
  <c r="N106" i="5"/>
  <c r="BZ52" i="5"/>
  <c r="CD115" i="5"/>
  <c r="Q11" i="171"/>
  <c r="CD42" i="5"/>
  <c r="CD43" i="5" s="1"/>
  <c r="E43" i="171" s="1"/>
  <c r="CD41" i="5"/>
  <c r="AL120" i="5"/>
  <c r="AL143" i="5"/>
  <c r="AL122" i="5"/>
  <c r="AL123" i="5" s="1"/>
  <c r="N204" i="5"/>
  <c r="N198" i="5"/>
  <c r="AP32" i="5"/>
  <c r="AP31" i="5"/>
  <c r="AD118" i="5"/>
  <c r="X183" i="5"/>
  <c r="X118" i="5"/>
  <c r="AK105" i="5"/>
  <c r="BJ78" i="5"/>
  <c r="S80" i="5"/>
  <c r="BE59" i="5"/>
  <c r="AA51" i="5"/>
  <c r="AA52" i="5" s="1"/>
  <c r="AU50" i="5"/>
  <c r="AU51" i="5"/>
  <c r="BF43" i="5"/>
  <c r="BL380" i="5"/>
  <c r="BL198" i="5"/>
  <c r="BL204" i="5"/>
  <c r="AR189" i="5"/>
  <c r="AR122" i="5"/>
  <c r="AR123" i="5" s="1"/>
  <c r="AR120" i="5"/>
  <c r="AN204" i="5"/>
  <c r="AN198" i="5"/>
  <c r="AB119" i="5"/>
  <c r="DB32" i="5"/>
  <c r="CR33" i="5"/>
  <c r="CR32" i="5"/>
  <c r="AF32" i="5"/>
  <c r="AF31" i="5"/>
  <c r="BQ211" i="5"/>
  <c r="BJ59" i="5"/>
  <c r="AC57" i="5"/>
  <c r="S109" i="5"/>
  <c r="BF120" i="5"/>
  <c r="BF143" i="5"/>
  <c r="BF122" i="5"/>
  <c r="AT204" i="5"/>
  <c r="AT198" i="5"/>
  <c r="AD204" i="5"/>
  <c r="AD198" i="5"/>
  <c r="AO162" i="5"/>
  <c r="AO163" i="5"/>
  <c r="CJ183" i="5"/>
  <c r="CJ118" i="5"/>
  <c r="BV111" i="5"/>
  <c r="AF99" i="5"/>
  <c r="AF100" i="5" s="1"/>
  <c r="AF105" i="5"/>
  <c r="AF97" i="5"/>
  <c r="AE117" i="5"/>
  <c r="AE112" i="5"/>
  <c r="AE110" i="5"/>
  <c r="AE108" i="5"/>
  <c r="AE106" i="5"/>
  <c r="AE107" i="5"/>
  <c r="BY95" i="5"/>
  <c r="BE95" i="5"/>
  <c r="CP76" i="5"/>
  <c r="CP60" i="5"/>
  <c r="BB201" i="5"/>
  <c r="AK80" i="5"/>
  <c r="O117" i="5"/>
  <c r="O112" i="5"/>
  <c r="O110" i="5"/>
  <c r="O107" i="5"/>
  <c r="O108" i="5"/>
  <c r="O106" i="5"/>
  <c r="BU57" i="5"/>
  <c r="BP56" i="5"/>
  <c r="BP57" i="5" s="1"/>
  <c r="BK57" i="5"/>
  <c r="X50" i="5"/>
  <c r="BS204" i="5"/>
  <c r="BS201" i="5"/>
  <c r="BS198" i="5"/>
  <c r="AQ204" i="5"/>
  <c r="AQ198" i="5"/>
  <c r="AM204" i="5"/>
  <c r="AM198" i="5"/>
  <c r="W204" i="5"/>
  <c r="W198" i="5"/>
  <c r="BO31" i="5"/>
  <c r="BO32" i="5"/>
  <c r="CJ84" i="5"/>
  <c r="CJ90" i="5"/>
  <c r="CJ25" i="5"/>
  <c r="CJ56" i="5"/>
  <c r="CP21" i="5"/>
  <c r="CO19" i="5"/>
  <c r="E40" i="171"/>
  <c r="CD10" i="5"/>
  <c r="BG211" i="5"/>
  <c r="AB111" i="5"/>
  <c r="CM100" i="5"/>
  <c r="CR99" i="5"/>
  <c r="CR96" i="5" s="1"/>
  <c r="AA117" i="5"/>
  <c r="AA112" i="5"/>
  <c r="AA113" i="5" s="1"/>
  <c r="AA110" i="5"/>
  <c r="AA111" i="5" s="1"/>
  <c r="AA108" i="5"/>
  <c r="AA106" i="5"/>
  <c r="V58" i="5"/>
  <c r="V49" i="5"/>
  <c r="V51" i="5" s="1"/>
  <c r="V52" i="5" s="1"/>
  <c r="V46" i="5"/>
  <c r="BV204" i="5"/>
  <c r="BV198" i="5"/>
  <c r="BV205" i="5"/>
  <c r="AP115" i="5"/>
  <c r="AP42" i="5"/>
  <c r="AP43" i="5" s="1"/>
  <c r="AP41" i="5"/>
  <c r="V115" i="5"/>
  <c r="V42" i="5"/>
  <c r="V43" i="5" s="1"/>
  <c r="V41" i="5"/>
  <c r="V32" i="5"/>
  <c r="V31" i="5"/>
  <c r="BP100" i="5"/>
  <c r="DI56" i="5"/>
  <c r="R59" i="5"/>
  <c r="CJ43" i="5"/>
  <c r="AE43" i="5"/>
  <c r="BZ90" i="5"/>
  <c r="BZ84" i="5"/>
  <c r="BZ56" i="5"/>
  <c r="BZ57" i="5" s="1"/>
  <c r="BZ25" i="5"/>
  <c r="BE24" i="5"/>
  <c r="BA24" i="5"/>
  <c r="BN85" i="5"/>
  <c r="CR28" i="5"/>
  <c r="P107" i="5"/>
  <c r="BX100" i="5"/>
  <c r="AU63" i="5"/>
  <c r="X59" i="5"/>
  <c r="AR43" i="5"/>
  <c r="O204" i="5"/>
  <c r="O198" i="5"/>
  <c r="BE181" i="5"/>
  <c r="AO85" i="5"/>
  <c r="CQ84" i="5"/>
  <c r="CL85" i="5"/>
  <c r="AX85" i="5"/>
  <c r="AB113" i="5"/>
  <c r="N57" i="5"/>
  <c r="BZ59" i="5"/>
  <c r="BL43" i="5"/>
  <c r="AK181" i="5"/>
  <c r="AK116" i="5"/>
  <c r="CE90" i="5"/>
  <c r="CE84" i="5"/>
  <c r="CE85" i="5" s="1"/>
  <c r="CE25" i="5"/>
  <c r="CE56" i="5"/>
  <c r="CE57" i="5" s="1"/>
  <c r="CN19" i="5"/>
  <c r="CK85" i="5"/>
  <c r="CP84" i="5"/>
  <c r="CF85" i="5"/>
  <c r="CC59" i="5"/>
  <c r="AF37" i="5"/>
  <c r="AU10" i="5"/>
  <c r="BO368" i="5"/>
  <c r="BK368" i="5"/>
  <c r="BY281" i="5"/>
  <c r="BX283" i="5"/>
  <c r="CF283" i="5"/>
  <c r="BE267" i="5"/>
  <c r="BD269" i="5"/>
  <c r="BW269" i="5"/>
  <c r="BQ269" i="5"/>
  <c r="U37" i="171"/>
  <c r="BM242" i="5"/>
  <c r="BL243" i="5"/>
  <c r="R38" i="171"/>
  <c r="CH217" i="5"/>
  <c r="CG219" i="5"/>
  <c r="CG89" i="5"/>
  <c r="BY265" i="5"/>
  <c r="BZ89" i="5"/>
  <c r="CF145" i="5"/>
  <c r="CF144" i="5"/>
  <c r="CF147" i="5"/>
  <c r="AQ200" i="5"/>
  <c r="AQ185" i="5"/>
  <c r="BB111" i="5"/>
  <c r="BF200" i="5"/>
  <c r="BF185" i="5"/>
  <c r="CK117" i="5"/>
  <c r="CK106" i="5"/>
  <c r="CK107" i="5"/>
  <c r="CK112" i="5"/>
  <c r="CK113" i="5" s="1"/>
  <c r="CK110" i="5"/>
  <c r="CK111" i="5" s="1"/>
  <c r="CK108" i="5"/>
  <c r="CK109" i="5" s="1"/>
  <c r="AY120" i="5"/>
  <c r="AY122" i="5"/>
  <c r="T109" i="5"/>
  <c r="BS117" i="5"/>
  <c r="BS112" i="5"/>
  <c r="BS110" i="5"/>
  <c r="BS108" i="5"/>
  <c r="BS109" i="5" s="1"/>
  <c r="BS106" i="5"/>
  <c r="BS107" i="5"/>
  <c r="M117" i="5"/>
  <c r="M106" i="5"/>
  <c r="M112" i="5"/>
  <c r="M110" i="5"/>
  <c r="M107" i="5"/>
  <c r="M108" i="5"/>
  <c r="R109" i="5" s="1"/>
  <c r="R106" i="5"/>
  <c r="BU204" i="5"/>
  <c r="BU198" i="5"/>
  <c r="BU199" i="5"/>
  <c r="BE32" i="5"/>
  <c r="BE31" i="5"/>
  <c r="AN275" i="5"/>
  <c r="AN256" i="5"/>
  <c r="AN199" i="5"/>
  <c r="BN380" i="5"/>
  <c r="BN204" i="5"/>
  <c r="BN198" i="5"/>
  <c r="BN201" i="5"/>
  <c r="CX6" i="5"/>
  <c r="CS7" i="5"/>
  <c r="AE181" i="5"/>
  <c r="AE116" i="5"/>
  <c r="BH183" i="5"/>
  <c r="BH118" i="5"/>
  <c r="CP98" i="5"/>
  <c r="CP97" i="5"/>
  <c r="BY51" i="5"/>
  <c r="BY52" i="5" s="1"/>
  <c r="BY58" i="5"/>
  <c r="BY59" i="5" s="1"/>
  <c r="BY50" i="5"/>
  <c r="AF58" i="5"/>
  <c r="AF59" i="5" s="1"/>
  <c r="AF46" i="5"/>
  <c r="AF49" i="5"/>
  <c r="AZ41" i="5"/>
  <c r="AZ115" i="5"/>
  <c r="AZ42" i="5"/>
  <c r="X204" i="5"/>
  <c r="X198" i="5"/>
  <c r="AZ31" i="5"/>
  <c r="AZ32" i="5"/>
  <c r="AP166" i="5"/>
  <c r="AP165" i="5"/>
  <c r="AU161" i="5"/>
  <c r="AQ161" i="5"/>
  <c r="BT95" i="5"/>
  <c r="J117" i="5"/>
  <c r="J119" i="5" s="1"/>
  <c r="J112" i="5"/>
  <c r="J107" i="5"/>
  <c r="J110" i="5"/>
  <c r="J108" i="5"/>
  <c r="BC380" i="5"/>
  <c r="BC204" i="5"/>
  <c r="BC198" i="5"/>
  <c r="W120" i="5"/>
  <c r="W122" i="5"/>
  <c r="DO32" i="5"/>
  <c r="DP29" i="5"/>
  <c r="DP32" i="5" s="1"/>
  <c r="CM117" i="5"/>
  <c r="CM112" i="5"/>
  <c r="CM113" i="5" s="1"/>
  <c r="CM110" i="5"/>
  <c r="CM111" i="5" s="1"/>
  <c r="CM108" i="5"/>
  <c r="CM109" i="5" s="1"/>
  <c r="CM106" i="5"/>
  <c r="CM107" i="5"/>
  <c r="BT80" i="5"/>
  <c r="AX380" i="5"/>
  <c r="AX204" i="5"/>
  <c r="AX198" i="5"/>
  <c r="BY90" i="5"/>
  <c r="BY25" i="5"/>
  <c r="BP283" i="5"/>
  <c r="BH283" i="5"/>
  <c r="BL283" i="5"/>
  <c r="AG269" i="5"/>
  <c r="CI267" i="5"/>
  <c r="CH269" i="5"/>
  <c r="BO267" i="5"/>
  <c r="BN269" i="5"/>
  <c r="CG269" i="5"/>
  <c r="AK269" i="5"/>
  <c r="BS245" i="5"/>
  <c r="CA269" i="5"/>
  <c r="BG269" i="5"/>
  <c r="CB243" i="5"/>
  <c r="BV243" i="5"/>
  <c r="BY243" i="5" s="1"/>
  <c r="CN279" i="5"/>
  <c r="CN283" i="5" s="1"/>
  <c r="CM133" i="5"/>
  <c r="CM134" i="5" s="1"/>
  <c r="CN229" i="5"/>
  <c r="CN228" i="5"/>
  <c r="CN227" i="5"/>
  <c r="S33" i="171"/>
  <c r="BX225" i="5"/>
  <c r="BT220" i="5"/>
  <c r="BT221" i="5" s="1"/>
  <c r="BR219" i="5"/>
  <c r="BS217" i="5"/>
  <c r="BR89" i="5"/>
  <c r="BJ217" i="5"/>
  <c r="BJ229" i="5" s="1"/>
  <c r="CI265" i="5"/>
  <c r="CN89" i="5"/>
  <c r="CJ89" i="5"/>
  <c r="BR229" i="5"/>
  <c r="BR228" i="5"/>
  <c r="BR232" i="5"/>
  <c r="BX218" i="5"/>
  <c r="BY218" i="5" s="1"/>
  <c r="BD218" i="5"/>
  <c r="BD219" i="5" s="1"/>
  <c r="BC219" i="5"/>
  <c r="CD236" i="5"/>
  <c r="BB228" i="5"/>
  <c r="BC225" i="5"/>
  <c r="BB229" i="5"/>
  <c r="BW219" i="5"/>
  <c r="BW89" i="5"/>
  <c r="BN217" i="5"/>
  <c r="BM219" i="5"/>
  <c r="BM89" i="5"/>
  <c r="X203" i="5"/>
  <c r="CO162" i="5"/>
  <c r="CO163" i="5"/>
  <c r="BC199" i="5"/>
  <c r="BQ205" i="5"/>
  <c r="AU165" i="5"/>
  <c r="BN245" i="5"/>
  <c r="S38" i="171"/>
  <c r="BR199" i="5"/>
  <c r="AX199" i="5"/>
  <c r="BR210" i="5"/>
  <c r="AX210" i="5"/>
  <c r="BC201" i="5"/>
  <c r="BU162" i="5"/>
  <c r="BU163" i="5"/>
  <c r="BJ162" i="5"/>
  <c r="BJ163" i="5"/>
  <c r="BZ211" i="5"/>
  <c r="BR205" i="5"/>
  <c r="BQ203" i="5"/>
  <c r="BJ166" i="5"/>
  <c r="BJ165" i="5"/>
  <c r="BO161" i="5"/>
  <c r="BT163" i="5" s="1"/>
  <c r="BK161" i="5"/>
  <c r="BW163" i="5"/>
  <c r="AR147" i="5"/>
  <c r="AR145" i="5"/>
  <c r="AR144" i="5"/>
  <c r="Q228" i="5"/>
  <c r="BC205" i="5"/>
  <c r="CG201" i="5"/>
  <c r="AZ162" i="5"/>
  <c r="AZ163" i="5"/>
  <c r="BT141" i="5"/>
  <c r="O23" i="171"/>
  <c r="AX211" i="5"/>
  <c r="BE265" i="5"/>
  <c r="BJ89" i="5"/>
  <c r="BF89" i="5"/>
  <c r="AU168" i="5"/>
  <c r="AQ168" i="5"/>
  <c r="AR168" i="5" s="1"/>
  <c r="AS168" i="5" s="1"/>
  <c r="AT168" i="5" s="1"/>
  <c r="AM143" i="5"/>
  <c r="AF141" i="5"/>
  <c r="CE211" i="5"/>
  <c r="CQ193" i="5"/>
  <c r="CQ137" i="5"/>
  <c r="CQ194" i="5" s="1"/>
  <c r="CR136" i="5"/>
  <c r="CQ140" i="5"/>
  <c r="AM113" i="5"/>
  <c r="BG200" i="5"/>
  <c r="BG185" i="5"/>
  <c r="CO217" i="5"/>
  <c r="CP217" i="5" s="1"/>
  <c r="BO85" i="5"/>
  <c r="CD63" i="5"/>
  <c r="E48" i="171"/>
  <c r="Q210" i="5"/>
  <c r="BE203" i="5"/>
  <c r="AK211" i="5"/>
  <c r="BZ117" i="5"/>
  <c r="BZ112" i="5"/>
  <c r="BZ110" i="5"/>
  <c r="BZ108" i="5"/>
  <c r="BZ107" i="5"/>
  <c r="BZ106" i="5"/>
  <c r="AT117" i="5"/>
  <c r="AT112" i="5"/>
  <c r="AT113" i="5" s="1"/>
  <c r="AT110" i="5"/>
  <c r="AT108" i="5"/>
  <c r="AY106" i="5"/>
  <c r="AT107" i="5"/>
  <c r="AT106" i="5"/>
  <c r="Z117" i="5"/>
  <c r="Z112" i="5"/>
  <c r="Z113" i="5" s="1"/>
  <c r="Z110" i="5"/>
  <c r="Z111" i="5" s="1"/>
  <c r="Z108" i="5"/>
  <c r="Z109" i="5" s="1"/>
  <c r="Z107" i="5"/>
  <c r="Z106" i="5"/>
  <c r="BY99" i="5"/>
  <c r="BY105" i="5"/>
  <c r="BY97" i="5"/>
  <c r="CD80" i="5"/>
  <c r="BJ80" i="5"/>
  <c r="CG203" i="5"/>
  <c r="W143" i="5"/>
  <c r="U183" i="5"/>
  <c r="U118" i="5"/>
  <c r="AL109" i="5"/>
  <c r="AQ109" i="5"/>
  <c r="CC117" i="5"/>
  <c r="CC106" i="5"/>
  <c r="CC112" i="5"/>
  <c r="CC113" i="5" s="1"/>
  <c r="CC110" i="5"/>
  <c r="CC111" i="5" s="1"/>
  <c r="CC107" i="5"/>
  <c r="CC108" i="5"/>
  <c r="CC109" i="5" s="1"/>
  <c r="BI117" i="5"/>
  <c r="BL183" i="5" s="1"/>
  <c r="BI106" i="5"/>
  <c r="BI112" i="5"/>
  <c r="BI113" i="5" s="1"/>
  <c r="BI110" i="5"/>
  <c r="BI111" i="5" s="1"/>
  <c r="BI108" i="5"/>
  <c r="BI107" i="5"/>
  <c r="CN99" i="5"/>
  <c r="CN100" i="5" s="1"/>
  <c r="CN105" i="5"/>
  <c r="CN97" i="5"/>
  <c r="CI80" i="5"/>
  <c r="U143" i="5"/>
  <c r="BP113" i="5"/>
  <c r="BD111" i="5"/>
  <c r="AC109" i="5"/>
  <c r="BL118" i="5"/>
  <c r="H117" i="5"/>
  <c r="H119" i="5" s="1"/>
  <c r="H112" i="5"/>
  <c r="H108" i="5"/>
  <c r="H110" i="5"/>
  <c r="AI117" i="5"/>
  <c r="AI112" i="5"/>
  <c r="AI110" i="5"/>
  <c r="AI111" i="5" s="1"/>
  <c r="AI107" i="5"/>
  <c r="AI108" i="5"/>
  <c r="AI109" i="5" s="1"/>
  <c r="AI106" i="5"/>
  <c r="AL205" i="5"/>
  <c r="AA218" i="5"/>
  <c r="BO63" i="5"/>
  <c r="CN63" i="5"/>
  <c r="G48" i="171"/>
  <c r="AB59" i="5"/>
  <c r="W57" i="5"/>
  <c r="CM43" i="5"/>
  <c r="BS43" i="5"/>
  <c r="CK204" i="5"/>
  <c r="CK198" i="5"/>
  <c r="CK199" i="5"/>
  <c r="BI380" i="5"/>
  <c r="BI204" i="5"/>
  <c r="BI198" i="5"/>
  <c r="BI201" i="5"/>
  <c r="AS122" i="5"/>
  <c r="AS189" i="5"/>
  <c r="AS120" i="5"/>
  <c r="AG122" i="5"/>
  <c r="AG120" i="5"/>
  <c r="AC204" i="5"/>
  <c r="AC198" i="5"/>
  <c r="AC201" i="5"/>
  <c r="CO33" i="5"/>
  <c r="CO32" i="5"/>
  <c r="CY32" i="5"/>
  <c r="AL256" i="5"/>
  <c r="AL275" i="5"/>
  <c r="AL199" i="5"/>
  <c r="CI95" i="5"/>
  <c r="Q10" i="171"/>
  <c r="CE205" i="5"/>
  <c r="AA141" i="5"/>
  <c r="CK211" i="5"/>
  <c r="AC211" i="5"/>
  <c r="T204" i="5"/>
  <c r="T198" i="5"/>
  <c r="AG109" i="5"/>
  <c r="BP183" i="5"/>
  <c r="BP118" i="5"/>
  <c r="AB183" i="5"/>
  <c r="AB118" i="5"/>
  <c r="U80" i="5"/>
  <c r="CR60" i="5"/>
  <c r="BB120" i="5"/>
  <c r="BB122" i="5"/>
  <c r="AL204" i="5"/>
  <c r="AL198" i="5"/>
  <c r="AL203" i="5"/>
  <c r="Z204" i="5"/>
  <c r="Z198" i="5"/>
  <c r="Z205" i="5"/>
  <c r="AJ111" i="5"/>
  <c r="BX106" i="5"/>
  <c r="CP104" i="5"/>
  <c r="CQ104" i="5" s="1"/>
  <c r="CR104" i="5" s="1"/>
  <c r="BN111" i="5"/>
  <c r="AK100" i="5"/>
  <c r="CN78" i="5"/>
  <c r="BO51" i="5"/>
  <c r="BO52" i="5" s="1"/>
  <c r="BO58" i="5"/>
  <c r="BO50" i="5"/>
  <c r="AP50" i="5"/>
  <c r="AP51" i="5"/>
  <c r="K117" i="5"/>
  <c r="K110" i="5"/>
  <c r="K108" i="5"/>
  <c r="P109" i="5" s="1"/>
  <c r="K112" i="5"/>
  <c r="K107" i="5"/>
  <c r="CB57" i="5"/>
  <c r="CB52" i="5"/>
  <c r="BR52" i="5"/>
  <c r="N43" i="5"/>
  <c r="CJ122" i="5"/>
  <c r="CJ120" i="5"/>
  <c r="CJ143" i="5"/>
  <c r="CF122" i="5"/>
  <c r="CF120" i="5"/>
  <c r="BX204" i="5"/>
  <c r="BX198" i="5"/>
  <c r="BX201" i="5"/>
  <c r="BX210" i="5"/>
  <c r="BP204" i="5"/>
  <c r="BP198" i="5"/>
  <c r="BD119" i="5"/>
  <c r="AV122" i="5"/>
  <c r="AV123" i="5" s="1"/>
  <c r="AV120" i="5"/>
  <c r="AR204" i="5"/>
  <c r="AR198" i="5"/>
  <c r="AR210" i="5"/>
  <c r="AB204" i="5"/>
  <c r="AB198" i="5"/>
  <c r="AB210" i="5"/>
  <c r="P122" i="5"/>
  <c r="P120" i="5"/>
  <c r="AU37" i="5"/>
  <c r="DF33" i="5"/>
  <c r="CN32" i="5"/>
  <c r="CN31" i="5"/>
  <c r="G42" i="171" s="1"/>
  <c r="CI10" i="5"/>
  <c r="F40" i="171"/>
  <c r="CQ93" i="5"/>
  <c r="BC211" i="5"/>
  <c r="N211" i="5"/>
  <c r="BH111" i="5"/>
  <c r="AR183" i="5"/>
  <c r="AR118" i="5"/>
  <c r="CD59" i="5"/>
  <c r="P58" i="5"/>
  <c r="P59" i="5" s="1"/>
  <c r="P56" i="5"/>
  <c r="P55" i="5"/>
  <c r="CL204" i="5"/>
  <c r="CL198" i="5"/>
  <c r="CL205" i="5"/>
  <c r="BF380" i="5"/>
  <c r="BF204" i="5"/>
  <c r="BF198" i="5"/>
  <c r="BF205" i="5"/>
  <c r="R120" i="5"/>
  <c r="R122" i="5"/>
  <c r="AL85" i="5"/>
  <c r="CD166" i="5"/>
  <c r="CD165" i="5"/>
  <c r="CI161" i="5"/>
  <c r="CE161" i="5"/>
  <c r="CD161" i="5"/>
  <c r="AY143" i="5"/>
  <c r="DC137" i="5"/>
  <c r="DC194" i="5" s="1"/>
  <c r="DC140" i="5"/>
  <c r="BL111" i="5"/>
  <c r="AN109" i="5"/>
  <c r="CP102" i="5"/>
  <c r="CQ102" i="5" s="1"/>
  <c r="CR102" i="5" s="1"/>
  <c r="CS96" i="5"/>
  <c r="CS104" i="5" s="1"/>
  <c r="CO98" i="5"/>
  <c r="CO97" i="5"/>
  <c r="CA117" i="5"/>
  <c r="CA112" i="5"/>
  <c r="CA113" i="5" s="1"/>
  <c r="CA110" i="5"/>
  <c r="CA111" i="5" s="1"/>
  <c r="CA108" i="5"/>
  <c r="CA109" i="5" s="1"/>
  <c r="CA107" i="5"/>
  <c r="CA106" i="5"/>
  <c r="BV113" i="5"/>
  <c r="AP78" i="5"/>
  <c r="AU78" i="5"/>
  <c r="AZ184" i="5"/>
  <c r="AZ62" i="5"/>
  <c r="AZ63" i="5" s="1"/>
  <c r="AZ61" i="5"/>
  <c r="AZ79" i="5"/>
  <c r="AP80" i="5"/>
  <c r="AK201" i="5"/>
  <c r="CK59" i="5"/>
  <c r="CP58" i="5"/>
  <c r="CN52" i="5"/>
  <c r="CM204" i="5"/>
  <c r="CM198" i="5"/>
  <c r="CA204" i="5"/>
  <c r="CA198" i="5"/>
  <c r="BW204" i="5"/>
  <c r="BW198" i="5"/>
  <c r="BO115" i="5"/>
  <c r="BO42" i="5"/>
  <c r="BO41" i="5"/>
  <c r="AU31" i="5"/>
  <c r="AU32" i="5"/>
  <c r="CQ182" i="5"/>
  <c r="CQ29" i="5"/>
  <c r="CB84" i="5"/>
  <c r="CB85" i="5" s="1"/>
  <c r="CB90" i="5"/>
  <c r="CB25" i="5"/>
  <c r="AT141" i="5"/>
  <c r="AM211" i="5"/>
  <c r="BK380" i="5"/>
  <c r="BK204" i="5"/>
  <c r="BK198" i="5"/>
  <c r="CF183" i="5"/>
  <c r="CO103" i="5"/>
  <c r="CP103" i="5" s="1"/>
  <c r="CQ103" i="5" s="1"/>
  <c r="CR103" i="5" s="1"/>
  <c r="CD117" i="5"/>
  <c r="CD112" i="5"/>
  <c r="CD110" i="5"/>
  <c r="CD108" i="5"/>
  <c r="Q18" i="171"/>
  <c r="Q15" i="171" s="1"/>
  <c r="AW106" i="5"/>
  <c r="AW107" i="5"/>
  <c r="AW112" i="5"/>
  <c r="AW113" i="5" s="1"/>
  <c r="AW110" i="5"/>
  <c r="AW111" i="5" s="1"/>
  <c r="AW108" i="5"/>
  <c r="AW109" i="5" s="1"/>
  <c r="BB106" i="5"/>
  <c r="AW117" i="5"/>
  <c r="AW201" i="5"/>
  <c r="I107" i="5"/>
  <c r="DG58" i="5"/>
  <c r="DG59" i="5" s="1"/>
  <c r="AR59" i="5"/>
  <c r="CM52" i="5"/>
  <c r="G122" i="5"/>
  <c r="G120" i="5"/>
  <c r="G143" i="5"/>
  <c r="CH204" i="5"/>
  <c r="CH198" i="5"/>
  <c r="CH203" i="5"/>
  <c r="BJ115" i="5"/>
  <c r="BJ42" i="5"/>
  <c r="BJ43" i="5" s="1"/>
  <c r="BJ41" i="5"/>
  <c r="AH120" i="5"/>
  <c r="AH143" i="5"/>
  <c r="AH122" i="5"/>
  <c r="AH123" i="5" s="1"/>
  <c r="CI100" i="5"/>
  <c r="AV111" i="5"/>
  <c r="BX57" i="5"/>
  <c r="AS57" i="5"/>
  <c r="Y59" i="5"/>
  <c r="CB43" i="5"/>
  <c r="CD25" i="5"/>
  <c r="AG90" i="5"/>
  <c r="AG84" i="5"/>
  <c r="AG85" i="5" s="1"/>
  <c r="AG25" i="5"/>
  <c r="BX85" i="5"/>
  <c r="AW85" i="5"/>
  <c r="P111" i="5"/>
  <c r="P183" i="5"/>
  <c r="BN106" i="5"/>
  <c r="AR57" i="5"/>
  <c r="X43" i="5"/>
  <c r="Y204" i="5"/>
  <c r="Y198" i="5"/>
  <c r="Y199" i="5"/>
  <c r="BY181" i="5"/>
  <c r="CP33" i="5"/>
  <c r="CR84" i="5"/>
  <c r="CM85" i="5"/>
  <c r="CG25" i="5"/>
  <c r="BR85" i="5"/>
  <c r="CF100" i="5"/>
  <c r="BA59" i="5"/>
  <c r="AJ52" i="5"/>
  <c r="AX57" i="5"/>
  <c r="CI18" i="5"/>
  <c r="BA80" i="5"/>
  <c r="CN37" i="5"/>
  <c r="BA181" i="5"/>
  <c r="BA211" i="5" s="1"/>
  <c r="BA119" i="5"/>
  <c r="BA116" i="5"/>
  <c r="Q43" i="5"/>
  <c r="CI56" i="5"/>
  <c r="CI57" i="5" s="1"/>
  <c r="CI25" i="5"/>
  <c r="AZ24" i="5"/>
  <c r="BL85" i="5"/>
  <c r="AJ59" i="5"/>
  <c r="CN59" i="5"/>
  <c r="AP85" i="5"/>
  <c r="BE18" i="5"/>
  <c r="BE283" i="5"/>
  <c r="BY267" i="5"/>
  <c r="BX269" i="5"/>
  <c r="CP272" i="5"/>
  <c r="CK269" i="5"/>
  <c r="AY232" i="5"/>
  <c r="BD217" i="5"/>
  <c r="BD89" i="5" s="1"/>
  <c r="BC89" i="5"/>
  <c r="P23" i="171"/>
  <c r="BY141" i="5"/>
  <c r="AX228" i="5"/>
  <c r="AY225" i="5"/>
  <c r="AY230" i="5" s="1"/>
  <c r="AX229" i="5"/>
  <c r="BE162" i="5"/>
  <c r="BE163" i="5"/>
  <c r="AY113" i="5"/>
  <c r="W185" i="5"/>
  <c r="W202" i="5" s="1"/>
  <c r="W200" i="5"/>
  <c r="AK141" i="5"/>
  <c r="Y183" i="5"/>
  <c r="Y118" i="5"/>
  <c r="R111" i="5"/>
  <c r="Q218" i="5"/>
  <c r="BO141" i="5"/>
  <c r="Q112" i="5"/>
  <c r="Q110" i="5"/>
  <c r="Q108" i="5"/>
  <c r="Q117" i="5"/>
  <c r="BE99" i="5"/>
  <c r="BE100" i="5" s="1"/>
  <c r="BE105" i="5"/>
  <c r="BE97" i="5"/>
  <c r="CD141" i="5"/>
  <c r="Q23" i="171"/>
  <c r="CH183" i="5"/>
  <c r="CH118" i="5"/>
  <c r="L184" i="5"/>
  <c r="L79" i="5"/>
  <c r="L62" i="5"/>
  <c r="L63" i="5" s="1"/>
  <c r="L61" i="5"/>
  <c r="L105" i="5"/>
  <c r="CS35" i="5"/>
  <c r="CS36" i="5"/>
  <c r="CS37" i="5" s="1"/>
  <c r="CX34" i="5"/>
  <c r="CS38" i="5"/>
  <c r="CO182" i="5"/>
  <c r="CO29" i="5"/>
  <c r="CS28" i="5"/>
  <c r="BZ204" i="5"/>
  <c r="BZ198" i="5"/>
  <c r="BX118" i="5"/>
  <c r="AJ183" i="5"/>
  <c r="BW112" i="5"/>
  <c r="BW110" i="5"/>
  <c r="CB111" i="5" s="1"/>
  <c r="BW107" i="5"/>
  <c r="BW108" i="5"/>
  <c r="BW106" i="5"/>
  <c r="BW117" i="5"/>
  <c r="BE50" i="5"/>
  <c r="BE51" i="5"/>
  <c r="AV57" i="5"/>
  <c r="BL122" i="5"/>
  <c r="BL120" i="5"/>
  <c r="AN189" i="5"/>
  <c r="AN122" i="5"/>
  <c r="AN120" i="5"/>
  <c r="S183" i="5"/>
  <c r="S118" i="5"/>
  <c r="AQ189" i="5"/>
  <c r="AQ120" i="5"/>
  <c r="AQ122" i="5"/>
  <c r="AI181" i="5"/>
  <c r="CF107" i="5"/>
  <c r="BV122" i="5"/>
  <c r="BV120" i="5"/>
  <c r="AA59" i="5"/>
  <c r="CL52" i="5"/>
  <c r="BH43" i="5"/>
  <c r="CX17" i="5"/>
  <c r="CX18" i="5" s="1"/>
  <c r="DC13" i="5"/>
  <c r="DC17" i="5" s="1"/>
  <c r="DC18" i="5" s="1"/>
  <c r="AH59" i="5"/>
  <c r="AV85" i="5"/>
  <c r="CQ16" i="5"/>
  <c r="CQ39" i="5"/>
  <c r="BO369" i="5"/>
  <c r="BT369" i="5" s="1"/>
  <c r="BY369" i="5" s="1"/>
  <c r="CD369" i="5" s="1"/>
  <c r="CI369" i="5" s="1"/>
  <c r="CN369" i="5" s="1"/>
  <c r="CS369" i="5" s="1"/>
  <c r="CX369" i="5" s="1"/>
  <c r="DC369" i="5" s="1"/>
  <c r="BK369" i="5"/>
  <c r="CI284" i="5"/>
  <c r="CI292" i="5" s="1"/>
  <c r="CI283" i="5"/>
  <c r="CB283" i="5"/>
  <c r="BG368" i="5"/>
  <c r="AT283" i="5"/>
  <c r="BT283" i="5"/>
  <c r="BT284" i="5"/>
  <c r="BT292" i="5" s="1"/>
  <c r="AT292" i="5"/>
  <c r="CP286" i="5"/>
  <c r="BO278" i="5"/>
  <c r="BO284" i="5" s="1"/>
  <c r="BO292" i="5" s="1"/>
  <c r="BE278" i="5"/>
  <c r="BE284" i="5" s="1"/>
  <c r="BE292" i="5" s="1"/>
  <c r="AH269" i="5"/>
  <c r="BJ267" i="5"/>
  <c r="BI269" i="5"/>
  <c r="CG245" i="5"/>
  <c r="CG243" i="5"/>
  <c r="CH244" i="5"/>
  <c r="AF245" i="5"/>
  <c r="BL232" i="5"/>
  <c r="BL230" i="5"/>
  <c r="BL229" i="5"/>
  <c r="BL228" i="5"/>
  <c r="BM225" i="5"/>
  <c r="CB269" i="5"/>
  <c r="BV269" i="5"/>
  <c r="BB269" i="5"/>
  <c r="BE243" i="5"/>
  <c r="BE244" i="5" s="1"/>
  <c r="BT265" i="5"/>
  <c r="BU89" i="5"/>
  <c r="CC245" i="5"/>
  <c r="BW243" i="5"/>
  <c r="BW245" i="5"/>
  <c r="BS237" i="5"/>
  <c r="BR238" i="5"/>
  <c r="BR243" i="5" s="1"/>
  <c r="AZ237" i="5"/>
  <c r="AX232" i="5"/>
  <c r="AZ232" i="5" s="1"/>
  <c r="CD220" i="5"/>
  <c r="CD221" i="5" s="1"/>
  <c r="CC217" i="5"/>
  <c r="CB219" i="5"/>
  <c r="CB89" i="5"/>
  <c r="AY217" i="5"/>
  <c r="AX89" i="5"/>
  <c r="G293" i="5"/>
  <c r="CI228" i="5"/>
  <c r="CI227" i="5"/>
  <c r="R33" i="171"/>
  <c r="R35" i="171" s="1"/>
  <c r="BS225" i="5"/>
  <c r="BJ265" i="5"/>
  <c r="BK89" i="5"/>
  <c r="BO89" i="5"/>
  <c r="BG243" i="5"/>
  <c r="BH242" i="5"/>
  <c r="CH238" i="5"/>
  <c r="BX217" i="5"/>
  <c r="BO217" i="5"/>
  <c r="BI230" i="5"/>
  <c r="BI228" i="5"/>
  <c r="BI232" i="5"/>
  <c r="BJ232" i="5" s="1"/>
  <c r="BJ233" i="5" s="1"/>
  <c r="BI229" i="5"/>
  <c r="BH203" i="5"/>
  <c r="CO154" i="5"/>
  <c r="CP157" i="5"/>
  <c r="CP155" i="5"/>
  <c r="BB232" i="5"/>
  <c r="CM229" i="5"/>
  <c r="BN205" i="5"/>
  <c r="CE210" i="5"/>
  <c r="CG205" i="5"/>
  <c r="CE203" i="5"/>
  <c r="AQ165" i="5"/>
  <c r="BN199" i="5"/>
  <c r="BN210" i="5"/>
  <c r="BH205" i="5"/>
  <c r="CO290" i="5"/>
  <c r="BQ201" i="5"/>
  <c r="BY162" i="5"/>
  <c r="BY163" i="5"/>
  <c r="BK166" i="5"/>
  <c r="BU211" i="5"/>
  <c r="X210" i="5"/>
  <c r="AX203" i="5"/>
  <c r="BU201" i="5"/>
  <c r="X199" i="5"/>
  <c r="CR164" i="5"/>
  <c r="CQ165" i="5"/>
  <c r="BI162" i="5"/>
  <c r="BI163" i="5"/>
  <c r="P144" i="5"/>
  <c r="P147" i="5"/>
  <c r="P145" i="5"/>
  <c r="CO141" i="5"/>
  <c r="BN211" i="5"/>
  <c r="X201" i="5"/>
  <c r="CN162" i="5"/>
  <c r="CN163" i="5"/>
  <c r="BA162" i="5"/>
  <c r="BA163" i="5"/>
  <c r="AU166" i="5"/>
  <c r="AV141" i="5"/>
  <c r="AV143" i="5"/>
  <c r="BA141" i="5"/>
  <c r="BR211" i="5"/>
  <c r="BV143" i="5"/>
  <c r="BC113" i="5"/>
  <c r="AQ111" i="5"/>
  <c r="AF218" i="5"/>
  <c r="BT218" i="5"/>
  <c r="AZ218" i="5"/>
  <c r="BH201" i="5"/>
  <c r="BG147" i="5"/>
  <c r="BG145" i="5"/>
  <c r="BG144" i="5"/>
  <c r="AQ143" i="5"/>
  <c r="AR195" i="5" s="1"/>
  <c r="AR212" i="5" s="1"/>
  <c r="AK210" i="5"/>
  <c r="Q211" i="5"/>
  <c r="AE211" i="5"/>
  <c r="AO183" i="5"/>
  <c r="AO118" i="5"/>
  <c r="BR107" i="5"/>
  <c r="DH107" i="5" s="1"/>
  <c r="BR112" i="5"/>
  <c r="BR110" i="5"/>
  <c r="BR111" i="5" s="1"/>
  <c r="BR117" i="5"/>
  <c r="BR108" i="5"/>
  <c r="BR109" i="5" s="1"/>
  <c r="BR106" i="5"/>
  <c r="AL183" i="5"/>
  <c r="Q205" i="5"/>
  <c r="R145" i="5"/>
  <c r="R144" i="5"/>
  <c r="R147" i="5"/>
  <c r="AP141" i="5"/>
  <c r="V141" i="5"/>
  <c r="AI211" i="5"/>
  <c r="AH109" i="5"/>
  <c r="AM109" i="5"/>
  <c r="BU117" i="5"/>
  <c r="BU106" i="5"/>
  <c r="BU112" i="5"/>
  <c r="BU113" i="5" s="1"/>
  <c r="BU110" i="5"/>
  <c r="BU111" i="5" s="1"/>
  <c r="BU107" i="5"/>
  <c r="BU108" i="5"/>
  <c r="BU109" i="5" s="1"/>
  <c r="BA106" i="5"/>
  <c r="BA117" i="5"/>
  <c r="BD183" i="5" s="1"/>
  <c r="BA112" i="5"/>
  <c r="BA110" i="5"/>
  <c r="BA111" i="5" s="1"/>
  <c r="BA107" i="5"/>
  <c r="DF107" i="5" s="1"/>
  <c r="BF106" i="5"/>
  <c r="BA108" i="5"/>
  <c r="BT99" i="5"/>
  <c r="BT100" i="5" s="1"/>
  <c r="BT105" i="5"/>
  <c r="BT97" i="5"/>
  <c r="AF85" i="5"/>
  <c r="AU141" i="5"/>
  <c r="AJ113" i="5"/>
  <c r="AN111" i="5"/>
  <c r="CH107" i="5"/>
  <c r="CB106" i="5"/>
  <c r="CD100" i="5"/>
  <c r="AI205" i="5"/>
  <c r="Q85" i="5"/>
  <c r="CQ76" i="5"/>
  <c r="CQ60" i="5"/>
  <c r="Q184" i="5"/>
  <c r="Q201" i="5" s="1"/>
  <c r="Q79" i="5"/>
  <c r="Q62" i="5"/>
  <c r="Q61" i="5"/>
  <c r="AU56" i="5"/>
  <c r="AU57" i="5" s="1"/>
  <c r="AU55" i="5"/>
  <c r="AG59" i="5"/>
  <c r="AB57" i="5"/>
  <c r="CH52" i="5"/>
  <c r="O43" i="5"/>
  <c r="BM380" i="5"/>
  <c r="BM204" i="5"/>
  <c r="BM198" i="5"/>
  <c r="AS204" i="5"/>
  <c r="AS198" i="5"/>
  <c r="AS201" i="5"/>
  <c r="AG181" i="5"/>
  <c r="AG211" i="5" s="1"/>
  <c r="M204" i="5"/>
  <c r="M198" i="5"/>
  <c r="BY32" i="5"/>
  <c r="BY31" i="5"/>
  <c r="AM275" i="5"/>
  <c r="AM256" i="5"/>
  <c r="AM199" i="5"/>
  <c r="BF90" i="5"/>
  <c r="BF84" i="5"/>
  <c r="BF25" i="5"/>
  <c r="BJ10" i="5"/>
  <c r="AB107" i="5"/>
  <c r="CD85" i="5"/>
  <c r="CI63" i="5"/>
  <c r="BT52" i="5"/>
  <c r="N201" i="5"/>
  <c r="BN119" i="5"/>
  <c r="BB380" i="5"/>
  <c r="BB204" i="5"/>
  <c r="BB198" i="5"/>
  <c r="BB203" i="5"/>
  <c r="CD32" i="5"/>
  <c r="CD31" i="5"/>
  <c r="E42" i="171" s="1"/>
  <c r="Y109" i="5"/>
  <c r="BX109" i="5"/>
  <c r="AJ109" i="5"/>
  <c r="X107" i="5"/>
  <c r="CJ100" i="5"/>
  <c r="CG100" i="5"/>
  <c r="BN113" i="5"/>
  <c r="AU117" i="5"/>
  <c r="AU112" i="5"/>
  <c r="AU113" i="5" s="1"/>
  <c r="AU110" i="5"/>
  <c r="AU111" i="5" s="1"/>
  <c r="AU108" i="5"/>
  <c r="AU109" i="5" s="1"/>
  <c r="AU106" i="5"/>
  <c r="CS91" i="5"/>
  <c r="CO93" i="5"/>
  <c r="CO92" i="5"/>
  <c r="CN95" i="5"/>
  <c r="AZ50" i="5"/>
  <c r="AZ51" i="5"/>
  <c r="AZ52" i="5" s="1"/>
  <c r="AK51" i="5"/>
  <c r="CQ58" i="5"/>
  <c r="CL59" i="5"/>
  <c r="AT59" i="5"/>
  <c r="DI58" i="5"/>
  <c r="DI59" i="5" s="1"/>
  <c r="AO57" i="5"/>
  <c r="CJ204" i="5"/>
  <c r="CJ198" i="5"/>
  <c r="CF204" i="5"/>
  <c r="CF198" i="5"/>
  <c r="CB198" i="5"/>
  <c r="CB204" i="5"/>
  <c r="BT115" i="5"/>
  <c r="BT41" i="5"/>
  <c r="O11" i="171"/>
  <c r="BT42" i="5"/>
  <c r="BT43" i="5" s="1"/>
  <c r="BH119" i="5"/>
  <c r="BD380" i="5"/>
  <c r="BD204" i="5"/>
  <c r="BD198" i="5"/>
  <c r="AV380" i="5"/>
  <c r="AV198" i="5"/>
  <c r="AV204" i="5"/>
  <c r="AF115" i="5"/>
  <c r="AF41" i="5"/>
  <c r="AF42" i="5"/>
  <c r="X119" i="5"/>
  <c r="P198" i="5"/>
  <c r="P204" i="5"/>
  <c r="BT31" i="5"/>
  <c r="BT32" i="5"/>
  <c r="AF10" i="5"/>
  <c r="CO5" i="5"/>
  <c r="CO15" i="5"/>
  <c r="CS4" i="5"/>
  <c r="CF211" i="5"/>
  <c r="BB211" i="5"/>
  <c r="AO204" i="5"/>
  <c r="AO198" i="5"/>
  <c r="AP183" i="5"/>
  <c r="V78" i="5"/>
  <c r="CD52" i="5"/>
  <c r="CE52" i="5"/>
  <c r="S106" i="5"/>
  <c r="S113" i="5"/>
  <c r="R204" i="5"/>
  <c r="R198" i="5"/>
  <c r="CO184" i="5"/>
  <c r="CO61" i="5"/>
  <c r="CO79" i="5"/>
  <c r="CO80" i="5" s="1"/>
  <c r="AY380" i="5"/>
  <c r="AY204" i="5"/>
  <c r="AY198" i="5"/>
  <c r="CC162" i="5"/>
  <c r="CC163" i="5"/>
  <c r="BV162" i="5"/>
  <c r="BV163" i="5"/>
  <c r="BW162" i="5"/>
  <c r="AP161" i="5"/>
  <c r="S119" i="5"/>
  <c r="AS109" i="5"/>
  <c r="CJ106" i="5"/>
  <c r="AS183" i="5"/>
  <c r="AN183" i="5"/>
  <c r="AN118" i="5"/>
  <c r="CQ98" i="5"/>
  <c r="CQ97" i="5"/>
  <c r="BV109" i="5"/>
  <c r="BV118" i="5"/>
  <c r="V85" i="5"/>
  <c r="BA201" i="5"/>
  <c r="CA57" i="5"/>
  <c r="BY56" i="5"/>
  <c r="BY55" i="5"/>
  <c r="BT56" i="5"/>
  <c r="BT57" i="5" s="1"/>
  <c r="BT55" i="5"/>
  <c r="BO56" i="5"/>
  <c r="BO55" i="5"/>
  <c r="BJ56" i="5"/>
  <c r="BJ55" i="5"/>
  <c r="DH58" i="5"/>
  <c r="AS59" i="5"/>
  <c r="AN57" i="5"/>
  <c r="AD57" i="5"/>
  <c r="U59" i="5"/>
  <c r="Q54" i="5"/>
  <c r="CF52" i="5"/>
  <c r="BV52" i="5"/>
  <c r="BL52" i="5"/>
  <c r="CI42" i="5"/>
  <c r="CI43" i="5" s="1"/>
  <c r="F43" i="171" s="1"/>
  <c r="CI115" i="5"/>
  <c r="CI41" i="5"/>
  <c r="R11" i="171"/>
  <c r="BG189" i="5"/>
  <c r="BG120" i="5"/>
  <c r="BG122" i="5"/>
  <c r="BG123" i="5" s="1"/>
  <c r="BC120" i="5"/>
  <c r="BC122" i="5"/>
  <c r="BC143" i="5"/>
  <c r="AU42" i="5"/>
  <c r="AU41" i="5"/>
  <c r="AU115" i="5"/>
  <c r="AA115" i="5"/>
  <c r="AA42" i="5"/>
  <c r="AA43" i="5" s="1"/>
  <c r="AA41" i="5"/>
  <c r="S204" i="5"/>
  <c r="S198" i="5"/>
  <c r="BJ37" i="5"/>
  <c r="DI33" i="5"/>
  <c r="CQ32" i="5"/>
  <c r="DA32" i="5"/>
  <c r="CQ33" i="5"/>
  <c r="AA31" i="5"/>
  <c r="AA32" i="5"/>
  <c r="BH84" i="5"/>
  <c r="BH25" i="5"/>
  <c r="BH90" i="5"/>
  <c r="BZ163" i="5"/>
  <c r="X211" i="5"/>
  <c r="CF106" i="5"/>
  <c r="AA100" i="5"/>
  <c r="AY201" i="5"/>
  <c r="BN57" i="5"/>
  <c r="AM57" i="5"/>
  <c r="AL52" i="5"/>
  <c r="AH181" i="5"/>
  <c r="CP182" i="5"/>
  <c r="AV113" i="5"/>
  <c r="AV183" i="5"/>
  <c r="AV118" i="5"/>
  <c r="BS59" i="5"/>
  <c r="V55" i="5"/>
  <c r="V56" i="5"/>
  <c r="BK43" i="5"/>
  <c r="AJ204" i="5"/>
  <c r="AJ198" i="5"/>
  <c r="BU90" i="5"/>
  <c r="BU84" i="5"/>
  <c r="BU85" i="5" s="1"/>
  <c r="BU25" i="5"/>
  <c r="CC85" i="5"/>
  <c r="BD85" i="5"/>
  <c r="P113" i="5"/>
  <c r="AE57" i="5"/>
  <c r="AZ105" i="5"/>
  <c r="AK59" i="5"/>
  <c r="BH56" i="5"/>
  <c r="O57" i="5"/>
  <c r="BX43" i="5"/>
  <c r="BY43" i="5"/>
  <c r="BE41" i="5"/>
  <c r="CM57" i="5"/>
  <c r="CR56" i="5"/>
  <c r="AV25" i="5"/>
  <c r="CQ56" i="5"/>
  <c r="CL57" i="5"/>
  <c r="CG57" i="5"/>
  <c r="CA85" i="5"/>
  <c r="BW85" i="5"/>
  <c r="AN85" i="5"/>
  <c r="V18" i="5"/>
  <c r="AT85" i="5"/>
  <c r="L181" i="5"/>
  <c r="L116" i="5"/>
  <c r="AK18" i="5"/>
  <c r="AQ59" i="5"/>
  <c r="AK57" i="5"/>
  <c r="BT37" i="5"/>
  <c r="CF57" i="5"/>
  <c r="BQ85" i="5"/>
  <c r="BH113" i="5"/>
  <c r="Z59" i="5"/>
  <c r="AV43" i="5"/>
  <c r="Q10" i="5"/>
  <c r="BT162" i="5" l="1"/>
  <c r="CP274" i="5"/>
  <c r="CO40" i="5"/>
  <c r="CQ40" i="5"/>
  <c r="CQ274" i="5"/>
  <c r="H39" i="171"/>
  <c r="BL200" i="5"/>
  <c r="BL185" i="5"/>
  <c r="AS200" i="5"/>
  <c r="AS185" i="5"/>
  <c r="CS164" i="5"/>
  <c r="CR165" i="5"/>
  <c r="CR161" i="5"/>
  <c r="BL123" i="5"/>
  <c r="DC141" i="5"/>
  <c r="V23" i="171"/>
  <c r="BZ183" i="5"/>
  <c r="BZ118" i="5"/>
  <c r="BZ119" i="5"/>
  <c r="CB183" i="5"/>
  <c r="BN120" i="5"/>
  <c r="BN122" i="5"/>
  <c r="BN143" i="5"/>
  <c r="BF85" i="5"/>
  <c r="BK85" i="5"/>
  <c r="Q80" i="5"/>
  <c r="V80" i="5"/>
  <c r="BD200" i="5"/>
  <c r="BD185" i="5"/>
  <c r="CQ157" i="5"/>
  <c r="CQ236" i="5" s="1"/>
  <c r="CQ238" i="5" s="1"/>
  <c r="CQ155" i="5"/>
  <c r="CP154" i="5"/>
  <c r="AQ331" i="5"/>
  <c r="AQ327" i="5"/>
  <c r="AQ323" i="5"/>
  <c r="AQ319" i="5"/>
  <c r="AQ206" i="5"/>
  <c r="AQ190" i="5"/>
  <c r="G124" i="5"/>
  <c r="G121" i="5"/>
  <c r="AZ80" i="5"/>
  <c r="BE80" i="5"/>
  <c r="CA118" i="5"/>
  <c r="CA183" i="5"/>
  <c r="CA119" i="5"/>
  <c r="CF118" i="5"/>
  <c r="K119" i="5"/>
  <c r="P118" i="5"/>
  <c r="BO59" i="5"/>
  <c r="BT59" i="5"/>
  <c r="AG124" i="5"/>
  <c r="BY244" i="5"/>
  <c r="P40" i="171"/>
  <c r="AP162" i="5"/>
  <c r="AP163" i="5"/>
  <c r="BA113" i="5"/>
  <c r="BF113" i="5"/>
  <c r="BU183" i="5"/>
  <c r="BU118" i="5"/>
  <c r="BU119" i="5"/>
  <c r="BV183" i="5"/>
  <c r="BX183" i="5"/>
  <c r="CS99" i="5"/>
  <c r="CS97" i="5"/>
  <c r="CS103" i="5"/>
  <c r="CS102" i="5"/>
  <c r="BB124" i="5"/>
  <c r="BI109" i="5"/>
  <c r="BN109" i="5"/>
  <c r="BY117" i="5"/>
  <c r="BY106" i="5"/>
  <c r="BY112" i="5"/>
  <c r="BY113" i="5" s="1"/>
  <c r="BY110" i="5"/>
  <c r="BY108" i="5"/>
  <c r="P18" i="171"/>
  <c r="CD106" i="5"/>
  <c r="BM85" i="5"/>
  <c r="BC195" i="5"/>
  <c r="BC147" i="5"/>
  <c r="BC145" i="5"/>
  <c r="BC144" i="5"/>
  <c r="AH204" i="5"/>
  <c r="AH198" i="5"/>
  <c r="AH203" i="5"/>
  <c r="AH201" i="5"/>
  <c r="AH199" i="5"/>
  <c r="AH211" i="5"/>
  <c r="AH210" i="5"/>
  <c r="AH205" i="5"/>
  <c r="BT243" i="5"/>
  <c r="AJ200" i="5"/>
  <c r="AJ185" i="5"/>
  <c r="BA122" i="5"/>
  <c r="BA123" i="5" s="1"/>
  <c r="BA120" i="5"/>
  <c r="BA143" i="5"/>
  <c r="BC189" i="5"/>
  <c r="CJ147" i="5"/>
  <c r="CJ145" i="5"/>
  <c r="CJ144" i="5"/>
  <c r="BP200" i="5"/>
  <c r="BP185" i="5"/>
  <c r="AI113" i="5"/>
  <c r="AN113" i="5"/>
  <c r="BA109" i="5"/>
  <c r="BF109" i="5"/>
  <c r="AZ233" i="5"/>
  <c r="AN191" i="5"/>
  <c r="AN124" i="5"/>
  <c r="BE106" i="5"/>
  <c r="BE117" i="5"/>
  <c r="BG107" i="5"/>
  <c r="DG107" i="5" s="1"/>
  <c r="BE112" i="5"/>
  <c r="BE110" i="5"/>
  <c r="BE111" i="5" s="1"/>
  <c r="BE108" i="5"/>
  <c r="BY380" i="5"/>
  <c r="BY204" i="5"/>
  <c r="BY198" i="5"/>
  <c r="BY201" i="5"/>
  <c r="BY210" i="5"/>
  <c r="BY199" i="5"/>
  <c r="BY205" i="5"/>
  <c r="BY203" i="5"/>
  <c r="BY211" i="5"/>
  <c r="CD109" i="5"/>
  <c r="E45" i="171" s="1"/>
  <c r="CE163" i="5"/>
  <c r="CJ163" i="5"/>
  <c r="CE162" i="5"/>
  <c r="CF162" i="5"/>
  <c r="AS323" i="5"/>
  <c r="AS331" i="5"/>
  <c r="AS327" i="5"/>
  <c r="AS319" i="5"/>
  <c r="AS206" i="5"/>
  <c r="AS190" i="5"/>
  <c r="BI183" i="5"/>
  <c r="BI118" i="5"/>
  <c r="BI119" i="5"/>
  <c r="BN118" i="5"/>
  <c r="AT111" i="5"/>
  <c r="AY111" i="5"/>
  <c r="AA116" i="5"/>
  <c r="AA181" i="5"/>
  <c r="AA119" i="5"/>
  <c r="AA228" i="5"/>
  <c r="V57" i="5"/>
  <c r="AA57" i="5"/>
  <c r="AV200" i="5"/>
  <c r="AV185" i="5"/>
  <c r="BH189" i="5"/>
  <c r="BH122" i="5"/>
  <c r="BH123" i="5" s="1"/>
  <c r="BH120" i="5"/>
  <c r="BH143" i="5"/>
  <c r="BT181" i="5"/>
  <c r="BT116" i="5"/>
  <c r="BY116" i="5"/>
  <c r="CH113" i="5"/>
  <c r="W145" i="5"/>
  <c r="W144" i="5"/>
  <c r="W147" i="5"/>
  <c r="CP229" i="5"/>
  <c r="CQ217" i="5"/>
  <c r="CP218" i="5"/>
  <c r="BK163" i="5"/>
  <c r="BK162" i="5"/>
  <c r="BP163" i="5"/>
  <c r="BL162" i="5"/>
  <c r="BH200" i="5"/>
  <c r="BH185" i="5"/>
  <c r="CH219" i="5"/>
  <c r="CH89" i="5"/>
  <c r="CH229" i="5"/>
  <c r="BE269" i="5"/>
  <c r="BE90" i="5"/>
  <c r="BE25" i="5"/>
  <c r="BJ25" i="5"/>
  <c r="BE56" i="5"/>
  <c r="BE57" i="5" s="1"/>
  <c r="BE84" i="5"/>
  <c r="AA183" i="5"/>
  <c r="AA118" i="5"/>
  <c r="AE118" i="5"/>
  <c r="AE183" i="5"/>
  <c r="AG183" i="5"/>
  <c r="AH183" i="5"/>
  <c r="AB189" i="5"/>
  <c r="AB122" i="5"/>
  <c r="AB123" i="5" s="1"/>
  <c r="AB120" i="5"/>
  <c r="AB143" i="5"/>
  <c r="L204" i="5"/>
  <c r="L198" i="5"/>
  <c r="L211" i="5"/>
  <c r="L203" i="5"/>
  <c r="L205" i="5"/>
  <c r="L210" i="5"/>
  <c r="L199" i="5"/>
  <c r="BC124" i="5"/>
  <c r="BG381" i="5"/>
  <c r="BG327" i="5"/>
  <c r="BG323" i="5"/>
  <c r="BG319" i="5"/>
  <c r="BG206" i="5"/>
  <c r="BG190" i="5"/>
  <c r="BG331" i="5"/>
  <c r="DH59" i="5"/>
  <c r="BO57" i="5"/>
  <c r="BY57" i="5"/>
  <c r="CS9" i="5"/>
  <c r="CS5" i="5"/>
  <c r="H38" i="171" s="1"/>
  <c r="X189" i="5"/>
  <c r="X122" i="5"/>
  <c r="X143" i="5"/>
  <c r="X120" i="5"/>
  <c r="O10" i="171"/>
  <c r="AU118" i="5"/>
  <c r="AU183" i="5"/>
  <c r="BT117" i="5"/>
  <c r="BT119" i="5" s="1"/>
  <c r="BT108" i="5"/>
  <c r="BT106" i="5"/>
  <c r="BT110" i="5"/>
  <c r="O18" i="171"/>
  <c r="O15" i="171" s="1"/>
  <c r="BT112" i="5"/>
  <c r="AL200" i="5"/>
  <c r="AL185" i="5"/>
  <c r="BG152" i="5"/>
  <c r="BG149" i="5"/>
  <c r="BG148" i="5"/>
  <c r="BG176" i="5"/>
  <c r="BX219" i="5"/>
  <c r="BX89" i="5"/>
  <c r="BY217" i="5"/>
  <c r="BY89" i="5" s="1"/>
  <c r="BE218" i="5"/>
  <c r="BE219" i="5" s="1"/>
  <c r="AY89" i="5"/>
  <c r="AZ217" i="5"/>
  <c r="AZ89" i="5" s="1"/>
  <c r="CC219" i="5"/>
  <c r="CC89" i="5"/>
  <c r="CD217" i="5"/>
  <c r="CC229" i="5"/>
  <c r="BM229" i="5"/>
  <c r="BM228" i="5"/>
  <c r="BM232" i="5"/>
  <c r="BM230" i="5"/>
  <c r="BN225" i="5"/>
  <c r="BO225" i="5" s="1"/>
  <c r="BJ269" i="5"/>
  <c r="AQ123" i="5"/>
  <c r="S185" i="5"/>
  <c r="S202" i="5" s="1"/>
  <c r="S200" i="5"/>
  <c r="AN319" i="5"/>
  <c r="AN331" i="5"/>
  <c r="AN323" i="5"/>
  <c r="AN327" i="5"/>
  <c r="AN206" i="5"/>
  <c r="AN190" i="5"/>
  <c r="BW113" i="5"/>
  <c r="CB113" i="5"/>
  <c r="L117" i="5"/>
  <c r="Q118" i="5" s="1"/>
  <c r="L108" i="5"/>
  <c r="L109" i="5" s="1"/>
  <c r="L106" i="5"/>
  <c r="L110" i="5"/>
  <c r="L111" i="5" s="1"/>
  <c r="L112" i="5"/>
  <c r="L113" i="5" s="1"/>
  <c r="L201" i="5"/>
  <c r="Q183" i="5"/>
  <c r="Q106" i="5"/>
  <c r="Y200" i="5"/>
  <c r="Y185" i="5"/>
  <c r="Y202" i="5" s="1"/>
  <c r="CQ272" i="5"/>
  <c r="BY269" i="5"/>
  <c r="P200" i="5"/>
  <c r="P185" i="5"/>
  <c r="P202" i="5" s="1"/>
  <c r="AH144" i="5"/>
  <c r="AH147" i="5"/>
  <c r="AH145" i="5"/>
  <c r="CF200" i="5"/>
  <c r="CF185" i="5"/>
  <c r="BO116" i="5"/>
  <c r="BO181" i="5"/>
  <c r="AY147" i="5"/>
  <c r="AY145" i="5"/>
  <c r="AY144" i="5"/>
  <c r="R124" i="5"/>
  <c r="P124" i="5"/>
  <c r="BD189" i="5"/>
  <c r="BD122" i="5"/>
  <c r="BD123" i="5" s="1"/>
  <c r="BD120" i="5"/>
  <c r="BD143" i="5"/>
  <c r="AB200" i="5"/>
  <c r="AB185" i="5"/>
  <c r="AB202" i="5" s="1"/>
  <c r="CH111" i="5"/>
  <c r="H122" i="5"/>
  <c r="H120" i="5"/>
  <c r="H124" i="5" s="1"/>
  <c r="H143" i="5"/>
  <c r="CC183" i="5"/>
  <c r="CC118" i="5"/>
  <c r="CC119" i="5"/>
  <c r="U200" i="5"/>
  <c r="U185" i="5"/>
  <c r="U202" i="5" s="1"/>
  <c r="BE63" i="5"/>
  <c r="AT183" i="5"/>
  <c r="AT118" i="5"/>
  <c r="AT119" i="5"/>
  <c r="AY118" i="5"/>
  <c r="BZ111" i="5"/>
  <c r="BB113" i="5"/>
  <c r="BG282" i="5"/>
  <c r="BG202" i="5"/>
  <c r="BN219" i="5"/>
  <c r="BN89" i="5"/>
  <c r="CO264" i="5"/>
  <c r="CP264" i="5" s="1"/>
  <c r="CQ264" i="5" s="1"/>
  <c r="BG268" i="5"/>
  <c r="CI269" i="5"/>
  <c r="CM183" i="5"/>
  <c r="CM118" i="5"/>
  <c r="CM119" i="5"/>
  <c r="W124" i="5"/>
  <c r="W121" i="5"/>
  <c r="AZ181" i="5"/>
  <c r="AZ116" i="5"/>
  <c r="M111" i="5"/>
  <c r="BS113" i="5"/>
  <c r="BX113" i="5"/>
  <c r="AY124" i="5"/>
  <c r="BF282" i="5"/>
  <c r="BF202" i="5"/>
  <c r="BF268" i="5"/>
  <c r="BF277" i="5"/>
  <c r="AQ282" i="5"/>
  <c r="AQ202" i="5"/>
  <c r="AQ268" i="5"/>
  <c r="AQ277" i="5"/>
  <c r="BT368" i="5"/>
  <c r="AK204" i="5"/>
  <c r="AK198" i="5"/>
  <c r="AK199" i="5"/>
  <c r="AK203" i="5"/>
  <c r="BE116" i="5"/>
  <c r="V181" i="5"/>
  <c r="V119" i="5"/>
  <c r="V116" i="5"/>
  <c r="V228" i="5"/>
  <c r="CJ57" i="5"/>
  <c r="CO56" i="5"/>
  <c r="O109" i="5"/>
  <c r="O118" i="5"/>
  <c r="O183" i="5"/>
  <c r="O119" i="5"/>
  <c r="R183" i="5"/>
  <c r="AE111" i="5"/>
  <c r="AF117" i="5"/>
  <c r="AF108" i="5"/>
  <c r="AF109" i="5" s="1"/>
  <c r="AF106" i="5"/>
  <c r="AF112" i="5"/>
  <c r="AF113" i="5" s="1"/>
  <c r="AF110" i="5"/>
  <c r="AF111" i="5" s="1"/>
  <c r="AH107" i="5"/>
  <c r="CJ200" i="5"/>
  <c r="CJ185" i="5"/>
  <c r="BF189" i="5"/>
  <c r="AU52" i="5"/>
  <c r="AK106" i="5"/>
  <c r="AK117" i="5"/>
  <c r="AK112" i="5"/>
  <c r="AK110" i="5"/>
  <c r="AK108" i="5"/>
  <c r="AP106" i="5"/>
  <c r="AL124" i="5"/>
  <c r="AL125" i="5" s="1"/>
  <c r="AL121" i="5"/>
  <c r="Q20" i="171"/>
  <c r="N183" i="5"/>
  <c r="N118" i="5"/>
  <c r="N119" i="5"/>
  <c r="AC189" i="5"/>
  <c r="AK205" i="5"/>
  <c r="BK118" i="5"/>
  <c r="BK183" i="5"/>
  <c r="BK119" i="5"/>
  <c r="BN189" i="5" s="1"/>
  <c r="CH109" i="5"/>
  <c r="CF113" i="5"/>
  <c r="BM183" i="5"/>
  <c r="BM118" i="5"/>
  <c r="BM119" i="5"/>
  <c r="BP189" i="5" s="1"/>
  <c r="CG183" i="5"/>
  <c r="CG118" i="5"/>
  <c r="CG119" i="5"/>
  <c r="CL109" i="5"/>
  <c r="CN306" i="5"/>
  <c r="CN256" i="5"/>
  <c r="CO256" i="5" s="1"/>
  <c r="Q119" i="5"/>
  <c r="CI118" i="5"/>
  <c r="CI183" i="5"/>
  <c r="BB90" i="5"/>
  <c r="BB84" i="5"/>
  <c r="BB25" i="5"/>
  <c r="BG25" i="5"/>
  <c r="BB56" i="5"/>
  <c r="AM124" i="5"/>
  <c r="AM121" i="5"/>
  <c r="AD124" i="5"/>
  <c r="AD121" i="5"/>
  <c r="CN181" i="5"/>
  <c r="CN116" i="5"/>
  <c r="CE113" i="5"/>
  <c r="CJ113" i="5"/>
  <c r="U123" i="5"/>
  <c r="V113" i="5"/>
  <c r="BQ183" i="5"/>
  <c r="BQ118" i="5"/>
  <c r="BQ119" i="5"/>
  <c r="BJ100" i="5"/>
  <c r="AT293" i="5"/>
  <c r="AJ124" i="5"/>
  <c r="BX124" i="5"/>
  <c r="Y189" i="5"/>
  <c r="BE217" i="5"/>
  <c r="BE89" i="5" s="1"/>
  <c r="I147" i="5"/>
  <c r="I144" i="5"/>
  <c r="I145" i="5"/>
  <c r="CH124" i="5"/>
  <c r="AO124" i="5"/>
  <c r="AO125" i="5" s="1"/>
  <c r="AO191" i="5"/>
  <c r="AO121" i="5"/>
  <c r="CB124" i="5"/>
  <c r="CS78" i="5"/>
  <c r="CX77" i="5"/>
  <c r="CI217" i="5"/>
  <c r="CO229" i="5"/>
  <c r="AQ163" i="5"/>
  <c r="AV163" i="5"/>
  <c r="AQ162" i="5"/>
  <c r="AR162" i="5"/>
  <c r="AF50" i="5"/>
  <c r="AF51" i="5"/>
  <c r="AF52" i="5" s="1"/>
  <c r="BY283" i="5"/>
  <c r="BY284" i="5"/>
  <c r="BY292" i="5" s="1"/>
  <c r="BH57" i="5"/>
  <c r="AU43" i="5"/>
  <c r="R20" i="171"/>
  <c r="R10" i="171"/>
  <c r="CD57" i="5"/>
  <c r="AN200" i="5"/>
  <c r="AN185" i="5"/>
  <c r="S189" i="5"/>
  <c r="S120" i="5"/>
  <c r="S122" i="5"/>
  <c r="S143" i="5"/>
  <c r="CO16" i="5"/>
  <c r="CS15" i="5"/>
  <c r="CO39" i="5"/>
  <c r="AF43" i="5"/>
  <c r="Q63" i="5"/>
  <c r="CQ184" i="5"/>
  <c r="CQ79" i="5"/>
  <c r="CQ80" i="5" s="1"/>
  <c r="CQ61" i="5"/>
  <c r="BR113" i="5"/>
  <c r="AO200" i="5"/>
  <c r="AO185" i="5"/>
  <c r="AQ195" i="5"/>
  <c r="AQ212" i="5" s="1"/>
  <c r="AQ147" i="5"/>
  <c r="AR196" i="5" s="1"/>
  <c r="AR213" i="5" s="1"/>
  <c r="AQ145" i="5"/>
  <c r="AQ144" i="5"/>
  <c r="BS229" i="5"/>
  <c r="BS228" i="5"/>
  <c r="BS230" i="5"/>
  <c r="BS232" i="5"/>
  <c r="BT232" i="5" s="1"/>
  <c r="BT225" i="5"/>
  <c r="BS238" i="5"/>
  <c r="BS243" i="5" s="1"/>
  <c r="BT237" i="5"/>
  <c r="BK390" i="5"/>
  <c r="BK391" i="5"/>
  <c r="BK392" i="5"/>
  <c r="BL369" i="5"/>
  <c r="AQ191" i="5"/>
  <c r="AQ124" i="5"/>
  <c r="AQ125" i="5" s="1"/>
  <c r="AQ121" i="5"/>
  <c r="BL121" i="5"/>
  <c r="BL124" i="5"/>
  <c r="BE52" i="5"/>
  <c r="BW109" i="5"/>
  <c r="AJ118" i="5"/>
  <c r="Q109" i="5"/>
  <c r="AY229" i="5"/>
  <c r="AY228" i="5"/>
  <c r="AZ225" i="5"/>
  <c r="AZ25" i="5"/>
  <c r="AZ90" i="5"/>
  <c r="AZ84" i="5"/>
  <c r="AZ85" i="5" s="1"/>
  <c r="AZ56" i="5"/>
  <c r="AZ57" i="5" s="1"/>
  <c r="BM57" i="5"/>
  <c r="AH124" i="5"/>
  <c r="AH125" i="5" s="1"/>
  <c r="AH121" i="5"/>
  <c r="BJ181" i="5"/>
  <c r="BJ116" i="5"/>
  <c r="BJ228" i="5"/>
  <c r="G145" i="5"/>
  <c r="G144" i="5"/>
  <c r="G147" i="5"/>
  <c r="AW183" i="5"/>
  <c r="AW118" i="5"/>
  <c r="AY183" i="5"/>
  <c r="AW119" i="5"/>
  <c r="BB118" i="5"/>
  <c r="CD183" i="5"/>
  <c r="CD118" i="5"/>
  <c r="AZ201" i="5"/>
  <c r="CD162" i="5"/>
  <c r="CD163" i="5"/>
  <c r="S111" i="5"/>
  <c r="BJ52" i="5"/>
  <c r="AR200" i="5"/>
  <c r="AR185" i="5"/>
  <c r="AV121" i="5"/>
  <c r="AV124" i="5"/>
  <c r="AV125" i="5" s="1"/>
  <c r="CR184" i="5"/>
  <c r="CR79" i="5"/>
  <c r="CR80" i="5" s="1"/>
  <c r="CR61" i="5"/>
  <c r="AS191" i="5"/>
  <c r="AS124" i="5"/>
  <c r="AS125" i="5" s="1"/>
  <c r="AS121" i="5"/>
  <c r="U145" i="5"/>
  <c r="U147" i="5"/>
  <c r="U144" i="5"/>
  <c r="CN117" i="5"/>
  <c r="CN108" i="5"/>
  <c r="CN109" i="5" s="1"/>
  <c r="G45" i="171" s="1"/>
  <c r="CN106" i="5"/>
  <c r="S18" i="171"/>
  <c r="S15" i="171" s="1"/>
  <c r="CN110" i="5"/>
  <c r="CN111" i="5" s="1"/>
  <c r="G46" i="171" s="1"/>
  <c r="CN112" i="5"/>
  <c r="CN113" i="5" s="1"/>
  <c r="G47" i="171" s="1"/>
  <c r="Z183" i="5"/>
  <c r="Z118" i="5"/>
  <c r="Z119" i="5"/>
  <c r="AD183" i="5"/>
  <c r="AT109" i="5"/>
  <c r="AY109" i="5"/>
  <c r="BZ113" i="5"/>
  <c r="CO218" i="5"/>
  <c r="AM147" i="5"/>
  <c r="AM145" i="5"/>
  <c r="AM144" i="5"/>
  <c r="S41" i="171"/>
  <c r="BD225" i="5"/>
  <c r="BC229" i="5"/>
  <c r="BC228" i="5"/>
  <c r="BC232" i="5"/>
  <c r="BE225" i="5"/>
  <c r="BC230" i="5"/>
  <c r="BS219" i="5"/>
  <c r="BS89" i="5"/>
  <c r="BT217" i="5"/>
  <c r="BT89" i="5" s="1"/>
  <c r="BX229" i="5"/>
  <c r="BX228" i="5"/>
  <c r="BX230" i="5"/>
  <c r="BX232" i="5"/>
  <c r="BO269" i="5"/>
  <c r="W189" i="5"/>
  <c r="J122" i="5"/>
  <c r="J120" i="5"/>
  <c r="J124" i="5" s="1"/>
  <c r="J143" i="5"/>
  <c r="CJ109" i="5"/>
  <c r="AE204" i="5"/>
  <c r="AE198" i="5"/>
  <c r="AE203" i="5"/>
  <c r="AE210" i="5"/>
  <c r="AE201" i="5"/>
  <c r="AE205" i="5"/>
  <c r="AE199" i="5"/>
  <c r="M113" i="5"/>
  <c r="BS183" i="5"/>
  <c r="BS118" i="5"/>
  <c r="BS119" i="5"/>
  <c r="CK183" i="5"/>
  <c r="CK118" i="5"/>
  <c r="CK119" i="5"/>
  <c r="CF176" i="5"/>
  <c r="CF152" i="5"/>
  <c r="CF149" i="5"/>
  <c r="CF151" i="5"/>
  <c r="BN242" i="5"/>
  <c r="BM243" i="5"/>
  <c r="BG277" i="5"/>
  <c r="CO24" i="5"/>
  <c r="CN24" i="5"/>
  <c r="BA90" i="5"/>
  <c r="BA84" i="5"/>
  <c r="BA85" i="5" s="1"/>
  <c r="BA25" i="5"/>
  <c r="BA56" i="5"/>
  <c r="BZ85" i="5"/>
  <c r="CF109" i="5"/>
  <c r="V63" i="5"/>
  <c r="CP184" i="5"/>
  <c r="CP79" i="5"/>
  <c r="CP80" i="5" s="1"/>
  <c r="CP61" i="5"/>
  <c r="AE113" i="5"/>
  <c r="BF123" i="5"/>
  <c r="AR191" i="5"/>
  <c r="AR121" i="5"/>
  <c r="AR124" i="5"/>
  <c r="AR125" i="5" s="1"/>
  <c r="CF111" i="5"/>
  <c r="CD181" i="5"/>
  <c r="CD116" i="5"/>
  <c r="CD119" i="5"/>
  <c r="CD228" i="5"/>
  <c r="N107" i="5"/>
  <c r="AC123" i="5"/>
  <c r="T118" i="5"/>
  <c r="CB109" i="5"/>
  <c r="CL183" i="5"/>
  <c r="CL118" i="5"/>
  <c r="CL119" i="5"/>
  <c r="AG152" i="5"/>
  <c r="AG149" i="5"/>
  <c r="AG176" i="5"/>
  <c r="AY219" i="5"/>
  <c r="CO274" i="5"/>
  <c r="BO219" i="5"/>
  <c r="CM269" i="5"/>
  <c r="CN267" i="5"/>
  <c r="Q204" i="5"/>
  <c r="Q198" i="5"/>
  <c r="Q199" i="5"/>
  <c r="Q203" i="5"/>
  <c r="DF59" i="5"/>
  <c r="CI109" i="5"/>
  <c r="F45" i="171" s="1"/>
  <c r="DF56" i="5"/>
  <c r="DF57" i="5" s="1"/>
  <c r="AQ57" i="5"/>
  <c r="AD189" i="5"/>
  <c r="S20" i="171"/>
  <c r="S10" i="171"/>
  <c r="CE118" i="5"/>
  <c r="CE183" i="5"/>
  <c r="CE119" i="5"/>
  <c r="V183" i="5"/>
  <c r="V118" i="5"/>
  <c r="CP281" i="5"/>
  <c r="AC183" i="5"/>
  <c r="AN149" i="5"/>
  <c r="AN152" i="5"/>
  <c r="AN176" i="5"/>
  <c r="AO331" i="5"/>
  <c r="AO327" i="5"/>
  <c r="AO323" i="5"/>
  <c r="AO319" i="5"/>
  <c r="AO206" i="5"/>
  <c r="AO190" i="5"/>
  <c r="CQ141" i="5"/>
  <c r="CD243" i="5"/>
  <c r="M109" i="5"/>
  <c r="BE380" i="5"/>
  <c r="BE204" i="5"/>
  <c r="BE198" i="5"/>
  <c r="BE201" i="5"/>
  <c r="BE199" i="5"/>
  <c r="BE205" i="5"/>
  <c r="BE210" i="5"/>
  <c r="BE211" i="5"/>
  <c r="O111" i="5"/>
  <c r="T111" i="5"/>
  <c r="BF147" i="5"/>
  <c r="BF145" i="5"/>
  <c r="BF144" i="5"/>
  <c r="AC144" i="5"/>
  <c r="AC147" i="5"/>
  <c r="AC145" i="5"/>
  <c r="BK111" i="5"/>
  <c r="BP111" i="5"/>
  <c r="T200" i="5"/>
  <c r="T185" i="5"/>
  <c r="T202" i="5" s="1"/>
  <c r="BB152" i="5"/>
  <c r="BB151" i="5"/>
  <c r="BB149" i="5"/>
  <c r="BB176" i="5"/>
  <c r="AX109" i="5"/>
  <c r="BC109" i="5"/>
  <c r="AX183" i="5"/>
  <c r="AX118" i="5"/>
  <c r="AX119" i="5"/>
  <c r="BB189" i="5" s="1"/>
  <c r="BC118" i="5"/>
  <c r="BN200" i="5"/>
  <c r="BN185" i="5"/>
  <c r="U206" i="5"/>
  <c r="U190" i="5"/>
  <c r="U207" i="5" s="1"/>
  <c r="BJ117" i="5"/>
  <c r="BJ119" i="5" s="1"/>
  <c r="BJ112" i="5"/>
  <c r="BJ113" i="5" s="1"/>
  <c r="BJ110" i="5"/>
  <c r="BJ108" i="5"/>
  <c r="BJ109" i="5" s="1"/>
  <c r="BJ106" i="5"/>
  <c r="T37" i="171"/>
  <c r="Y145" i="5"/>
  <c r="Y144" i="5"/>
  <c r="Y147" i="5"/>
  <c r="BP147" i="5"/>
  <c r="BP145" i="5"/>
  <c r="BP144" i="5"/>
  <c r="CB145" i="5"/>
  <c r="CB144" i="5"/>
  <c r="CB147" i="5"/>
  <c r="AK43" i="5"/>
  <c r="AZ117" i="5"/>
  <c r="AZ108" i="5"/>
  <c r="AZ109" i="5" s="1"/>
  <c r="AZ106" i="5"/>
  <c r="AZ112" i="5"/>
  <c r="AZ113" i="5" s="1"/>
  <c r="AZ110" i="5"/>
  <c r="AZ111" i="5" s="1"/>
  <c r="AU228" i="5"/>
  <c r="AU181" i="5"/>
  <c r="AU116" i="5"/>
  <c r="AU119" i="5"/>
  <c r="BG191" i="5"/>
  <c r="BG124" i="5"/>
  <c r="BG125" i="5" s="1"/>
  <c r="BG121" i="5"/>
  <c r="CI181" i="5"/>
  <c r="CI116" i="5"/>
  <c r="CI119" i="5"/>
  <c r="Q56" i="5"/>
  <c r="Q57" i="5" s="1"/>
  <c r="Q55" i="5"/>
  <c r="Q58" i="5"/>
  <c r="Q59" i="5" s="1"/>
  <c r="CS60" i="5"/>
  <c r="AP185" i="5"/>
  <c r="AF181" i="5"/>
  <c r="AF119" i="5"/>
  <c r="AF116" i="5"/>
  <c r="AF228" i="5"/>
  <c r="AK50" i="5"/>
  <c r="CS94" i="5"/>
  <c r="CS92" i="5"/>
  <c r="AG204" i="5"/>
  <c r="AG198" i="5"/>
  <c r="AG210" i="5"/>
  <c r="AG201" i="5"/>
  <c r="AG203" i="5"/>
  <c r="AG205" i="5"/>
  <c r="AG199" i="5"/>
  <c r="BA183" i="5"/>
  <c r="BA118" i="5"/>
  <c r="BF118" i="5"/>
  <c r="BB183" i="5"/>
  <c r="BC183" i="5"/>
  <c r="R152" i="5"/>
  <c r="R149" i="5"/>
  <c r="R176" i="5"/>
  <c r="R177" i="5" s="1"/>
  <c r="BR183" i="5"/>
  <c r="BR118" i="5"/>
  <c r="BR119" i="5"/>
  <c r="BF111" i="5"/>
  <c r="AZ219" i="5"/>
  <c r="BV147" i="5"/>
  <c r="BV145" i="5"/>
  <c r="BV144" i="5"/>
  <c r="AV147" i="5"/>
  <c r="AV145" i="5"/>
  <c r="AV144" i="5"/>
  <c r="P176" i="5"/>
  <c r="P177" i="5" s="1"/>
  <c r="P152" i="5"/>
  <c r="P149" i="5"/>
  <c r="CP236" i="5"/>
  <c r="CP290" i="5" s="1"/>
  <c r="CQ290" i="5" s="1"/>
  <c r="BI242" i="5"/>
  <c r="BI243" i="5" s="1"/>
  <c r="BH243" i="5"/>
  <c r="BJ243" i="5" s="1"/>
  <c r="BJ244" i="5" s="1"/>
  <c r="AZ299" i="5"/>
  <c r="AZ238" i="5"/>
  <c r="CH243" i="5"/>
  <c r="CI243" i="5" s="1"/>
  <c r="CH245" i="5"/>
  <c r="CQ286" i="5"/>
  <c r="BH368" i="5"/>
  <c r="BV124" i="5"/>
  <c r="AI204" i="5"/>
  <c r="AI198" i="5"/>
  <c r="AI201" i="5"/>
  <c r="AI203" i="5"/>
  <c r="AI210" i="5"/>
  <c r="AI199" i="5"/>
  <c r="BW183" i="5"/>
  <c r="BW118" i="5"/>
  <c r="BW119" i="5"/>
  <c r="BW111" i="5"/>
  <c r="CS182" i="5"/>
  <c r="CS30" i="5"/>
  <c r="T9" i="171"/>
  <c r="CS29" i="5"/>
  <c r="CX36" i="5"/>
  <c r="CX37" i="5" s="1"/>
  <c r="DC34" i="5"/>
  <c r="CX38" i="5"/>
  <c r="CS40" i="5"/>
  <c r="CH200" i="5"/>
  <c r="CH185" i="5"/>
  <c r="BA380" i="5"/>
  <c r="BA204" i="5"/>
  <c r="BA198" i="5"/>
  <c r="BA203" i="5"/>
  <c r="BA210" i="5"/>
  <c r="BA199" i="5"/>
  <c r="BA205" i="5"/>
  <c r="CD111" i="5"/>
  <c r="E46" i="171" s="1"/>
  <c r="BO43" i="5"/>
  <c r="CI163" i="5"/>
  <c r="CI162" i="5"/>
  <c r="P57" i="5"/>
  <c r="U57" i="5"/>
  <c r="CF124" i="5"/>
  <c r="CJ124" i="5"/>
  <c r="AP52" i="5"/>
  <c r="AG123" i="5"/>
  <c r="AS123" i="5"/>
  <c r="AI183" i="5"/>
  <c r="AI118" i="5"/>
  <c r="AI119" i="5"/>
  <c r="CB118" i="5"/>
  <c r="BY100" i="5"/>
  <c r="DI107" i="5"/>
  <c r="BZ109" i="5"/>
  <c r="R113" i="5"/>
  <c r="AM183" i="5"/>
  <c r="CR193" i="5"/>
  <c r="CR140" i="5"/>
  <c r="CR137" i="5"/>
  <c r="CR194" i="5" s="1"/>
  <c r="CS136" i="5"/>
  <c r="AZ168" i="5"/>
  <c r="AV168" i="5"/>
  <c r="AW168" i="5" s="1"/>
  <c r="AX168" i="5" s="1"/>
  <c r="AY168" i="5" s="1"/>
  <c r="AR149" i="5"/>
  <c r="AR148" i="5"/>
  <c r="AR152" i="5"/>
  <c r="AR176" i="5"/>
  <c r="BO163" i="5"/>
  <c r="BO162" i="5"/>
  <c r="Q38" i="171"/>
  <c r="CD238" i="5"/>
  <c r="CO279" i="5"/>
  <c r="CN133" i="5"/>
  <c r="S49" i="171"/>
  <c r="CN352" i="5"/>
  <c r="W123" i="5"/>
  <c r="AU163" i="5"/>
  <c r="AU162" i="5"/>
  <c r="AZ43" i="5"/>
  <c r="AE119" i="5"/>
  <c r="DC6" i="5"/>
  <c r="M183" i="5"/>
  <c r="M118" i="5"/>
  <c r="M119" i="5"/>
  <c r="R118" i="5"/>
  <c r="BS111" i="5"/>
  <c r="BX111" i="5"/>
  <c r="BL368" i="5"/>
  <c r="CG85" i="5"/>
  <c r="CR182" i="5"/>
  <c r="CR29" i="5"/>
  <c r="CR40" i="5"/>
  <c r="AP181" i="5"/>
  <c r="AP119" i="5"/>
  <c r="AP116" i="5"/>
  <c r="AP228" i="5"/>
  <c r="AA109" i="5"/>
  <c r="CR97" i="5"/>
  <c r="CR98" i="5"/>
  <c r="CP19" i="5"/>
  <c r="CQ21" i="5"/>
  <c r="CJ85" i="5"/>
  <c r="CO84" i="5"/>
  <c r="O113" i="5"/>
  <c r="AE109" i="5"/>
  <c r="BF191" i="5"/>
  <c r="BF124" i="5"/>
  <c r="AR331" i="5"/>
  <c r="AR327" i="5"/>
  <c r="AR319" i="5"/>
  <c r="AR323" i="5"/>
  <c r="AR206" i="5"/>
  <c r="AR190" i="5"/>
  <c r="AA50" i="5"/>
  <c r="X200" i="5"/>
  <c r="X185" i="5"/>
  <c r="X202" i="5" s="1"/>
  <c r="AL147" i="5"/>
  <c r="AN196" i="5" s="1"/>
  <c r="AN213" i="5" s="1"/>
  <c r="AL145" i="5"/>
  <c r="AL144" i="5"/>
  <c r="T189" i="5"/>
  <c r="T122" i="5"/>
  <c r="T120" i="5"/>
  <c r="T143" i="5"/>
  <c r="U195" i="5" s="1"/>
  <c r="U212" i="5" s="1"/>
  <c r="AC124" i="5"/>
  <c r="AC121" i="5"/>
  <c r="BO117" i="5"/>
  <c r="BO112" i="5"/>
  <c r="BO113" i="5" s="1"/>
  <c r="BO110" i="5"/>
  <c r="BO111" i="5" s="1"/>
  <c r="BO108" i="5"/>
  <c r="BO109" i="5" s="1"/>
  <c r="BO106" i="5"/>
  <c r="CL113" i="5"/>
  <c r="CD219" i="5"/>
  <c r="BY299" i="5"/>
  <c r="BY238" i="5"/>
  <c r="P38" i="171"/>
  <c r="P41" i="171" s="1"/>
  <c r="CN265" i="5"/>
  <c r="CO263" i="5"/>
  <c r="BE299" i="5"/>
  <c r="BE238" i="5"/>
  <c r="BO299" i="5"/>
  <c r="BO238" i="5"/>
  <c r="BY225" i="5"/>
  <c r="BW229" i="5"/>
  <c r="BW228" i="5"/>
  <c r="BW232" i="5"/>
  <c r="BY232" i="5" s="1"/>
  <c r="BW230" i="5"/>
  <c r="BT269" i="5"/>
  <c r="CI113" i="5"/>
  <c r="F47" i="171" s="1"/>
  <c r="BC84" i="5"/>
  <c r="BC85" i="5" s="1"/>
  <c r="BC25" i="5"/>
  <c r="BC90" i="5"/>
  <c r="BC56" i="5"/>
  <c r="AM123" i="5"/>
  <c r="AD147" i="5"/>
  <c r="AD145" i="5"/>
  <c r="AD144" i="5"/>
  <c r="CX219" i="5"/>
  <c r="CX188" i="5"/>
  <c r="DP90" i="5"/>
  <c r="DC86" i="5"/>
  <c r="U16" i="171"/>
  <c r="AS152" i="5"/>
  <c r="AS153" i="5" s="1"/>
  <c r="AS149" i="5"/>
  <c r="AS150" i="5" s="1"/>
  <c r="AS148" i="5"/>
  <c r="AS176" i="5"/>
  <c r="CP116" i="5"/>
  <c r="CP228" i="5"/>
  <c r="CE111" i="5"/>
  <c r="U191" i="5"/>
  <c r="U124" i="5"/>
  <c r="U121" i="5"/>
  <c r="V111" i="5"/>
  <c r="BJ219" i="5"/>
  <c r="CQ244" i="5"/>
  <c r="CP244" i="5"/>
  <c r="AJ147" i="5"/>
  <c r="AJ144" i="5"/>
  <c r="AJ145" i="5"/>
  <c r="BX145" i="5"/>
  <c r="BX144" i="5"/>
  <c r="BX147" i="5"/>
  <c r="Y124" i="5"/>
  <c r="Y191" i="5"/>
  <c r="BL176" i="5"/>
  <c r="BL152" i="5"/>
  <c r="BL148" i="5"/>
  <c r="BL149" i="5"/>
  <c r="BL150" i="5" s="1"/>
  <c r="CH145" i="5"/>
  <c r="CH144" i="5"/>
  <c r="CH147" i="5"/>
  <c r="AO195" i="5"/>
  <c r="AO212" i="5" s="1"/>
  <c r="AO145" i="5"/>
  <c r="AO147" i="5"/>
  <c r="AO144" i="5"/>
  <c r="BP124" i="5"/>
  <c r="CD269" i="5"/>
  <c r="CO115" i="5" l="1"/>
  <c r="CO42" i="5"/>
  <c r="CO41" i="5"/>
  <c r="CQ115" i="5"/>
  <c r="CQ42" i="5"/>
  <c r="CQ41" i="5"/>
  <c r="CI244" i="5"/>
  <c r="R40" i="171"/>
  <c r="R41" i="171" s="1"/>
  <c r="BJ189" i="5"/>
  <c r="BJ120" i="5"/>
  <c r="BJ122" i="5"/>
  <c r="BJ143" i="5"/>
  <c r="BP206" i="5"/>
  <c r="BP190" i="5"/>
  <c r="BP207" i="5" s="1"/>
  <c r="BO229" i="5"/>
  <c r="BO228" i="5"/>
  <c r="BO227" i="5"/>
  <c r="BN381" i="5"/>
  <c r="BN331" i="5"/>
  <c r="BN319" i="5"/>
  <c r="BN323" i="5"/>
  <c r="BN327" i="5"/>
  <c r="BN206" i="5"/>
  <c r="BN190" i="5"/>
  <c r="BB381" i="5"/>
  <c r="BB331" i="5"/>
  <c r="BB327" i="5"/>
  <c r="BB323" i="5"/>
  <c r="BB319" i="5"/>
  <c r="BB206" i="5"/>
  <c r="BB190" i="5"/>
  <c r="BT189" i="5"/>
  <c r="BT128" i="5"/>
  <c r="BT130" i="5" s="1"/>
  <c r="BT122" i="5"/>
  <c r="BT120" i="5"/>
  <c r="BT143" i="5"/>
  <c r="BX176" i="5"/>
  <c r="BX149" i="5"/>
  <c r="BX151" i="5"/>
  <c r="BX152" i="5" s="1"/>
  <c r="BO118" i="5"/>
  <c r="BO183" i="5"/>
  <c r="CQ19" i="5"/>
  <c r="CR21" i="5"/>
  <c r="AP189" i="5"/>
  <c r="AP120" i="5"/>
  <c r="AP122" i="5"/>
  <c r="AP143" i="5"/>
  <c r="CS95" i="5"/>
  <c r="CX94" i="5"/>
  <c r="CI189" i="5"/>
  <c r="CI122" i="5"/>
  <c r="CI120" i="5"/>
  <c r="CI128" i="5"/>
  <c r="CI130" i="5" s="1"/>
  <c r="CI143" i="5"/>
  <c r="BB385" i="5"/>
  <c r="BO242" i="5"/>
  <c r="BN243" i="5"/>
  <c r="BO243" i="5" s="1"/>
  <c r="BO244" i="5" s="1"/>
  <c r="U152" i="5"/>
  <c r="U153" i="5" s="1"/>
  <c r="U148" i="5"/>
  <c r="U149" i="5"/>
  <c r="U150" i="5" s="1"/>
  <c r="U176" i="5"/>
  <c r="U177" i="5" s="1"/>
  <c r="G216" i="5"/>
  <c r="G223" i="5" s="1"/>
  <c r="G148" i="5"/>
  <c r="AQ333" i="5"/>
  <c r="AQ329" i="5"/>
  <c r="AQ325" i="5"/>
  <c r="AQ321" i="5"/>
  <c r="AQ208" i="5"/>
  <c r="AQ192" i="5"/>
  <c r="AQ209" i="5" s="1"/>
  <c r="BB57" i="5"/>
  <c r="DG56" i="5"/>
  <c r="DG57" i="5" s="1"/>
  <c r="BG57" i="5"/>
  <c r="BK200" i="5"/>
  <c r="BK185" i="5"/>
  <c r="CJ202" i="5"/>
  <c r="CJ268" i="5"/>
  <c r="CJ277" i="5"/>
  <c r="CO277" i="5" s="1"/>
  <c r="CJ282" i="5"/>
  <c r="AZ380" i="5"/>
  <c r="AZ204" i="5"/>
  <c r="AZ198" i="5"/>
  <c r="AZ211" i="5"/>
  <c r="AZ199" i="5"/>
  <c r="AZ210" i="5"/>
  <c r="AZ203" i="5"/>
  <c r="AZ205" i="5"/>
  <c r="H145" i="5"/>
  <c r="H147" i="5"/>
  <c r="H144" i="5"/>
  <c r="BD195" i="5"/>
  <c r="BD147" i="5"/>
  <c r="BD145" i="5"/>
  <c r="BD144" i="5"/>
  <c r="X195" i="5"/>
  <c r="X212" i="5" s="1"/>
  <c r="X147" i="5"/>
  <c r="X145" i="5"/>
  <c r="X144" i="5"/>
  <c r="W195" i="5"/>
  <c r="W212" i="5" s="1"/>
  <c r="BA124" i="5"/>
  <c r="BA125" i="5" s="1"/>
  <c r="BA121" i="5"/>
  <c r="BC151" i="5"/>
  <c r="BC152" i="5" s="1"/>
  <c r="BC149" i="5"/>
  <c r="BC176" i="5"/>
  <c r="K122" i="5"/>
  <c r="P123" i="5" s="1"/>
  <c r="K120" i="5"/>
  <c r="K143" i="5"/>
  <c r="BN124" i="5"/>
  <c r="CP263" i="5"/>
  <c r="CP89" i="5" s="1"/>
  <c r="CO265" i="5"/>
  <c r="T191" i="5"/>
  <c r="T121" i="5"/>
  <c r="T124" i="5"/>
  <c r="BF121" i="5"/>
  <c r="CQ24" i="5"/>
  <c r="AP204" i="5"/>
  <c r="AP198" i="5"/>
  <c r="AP199" i="5"/>
  <c r="AP205" i="5"/>
  <c r="AP201" i="5"/>
  <c r="AP211" i="5"/>
  <c r="AP203" i="5"/>
  <c r="AP210" i="5"/>
  <c r="M122" i="5"/>
  <c r="M189" i="5"/>
  <c r="M120" i="5"/>
  <c r="M143" i="5"/>
  <c r="AR216" i="5"/>
  <c r="AR222" i="5" s="1"/>
  <c r="AR177" i="5"/>
  <c r="AM185" i="5"/>
  <c r="AM200" i="5"/>
  <c r="AI185" i="5"/>
  <c r="AI200" i="5"/>
  <c r="BW189" i="5"/>
  <c r="BW120" i="5"/>
  <c r="BW122" i="5"/>
  <c r="BW143" i="5"/>
  <c r="CR286" i="5"/>
  <c r="BR200" i="5"/>
  <c r="BR185" i="5"/>
  <c r="AF198" i="5"/>
  <c r="AF204" i="5"/>
  <c r="AF199" i="5"/>
  <c r="AF203" i="5"/>
  <c r="AF210" i="5"/>
  <c r="AF205" i="5"/>
  <c r="AF211" i="5"/>
  <c r="AF201" i="5"/>
  <c r="BG386" i="5"/>
  <c r="BG387" i="5" s="1"/>
  <c r="BG329" i="5"/>
  <c r="BG325" i="5"/>
  <c r="BG321" i="5"/>
  <c r="BG208" i="5"/>
  <c r="BG192" i="5"/>
  <c r="BG209" i="5" s="1"/>
  <c r="BG333" i="5"/>
  <c r="AU204" i="5"/>
  <c r="AU198" i="5"/>
  <c r="AU199" i="5"/>
  <c r="AU210" i="5"/>
  <c r="AU205" i="5"/>
  <c r="AU203" i="5"/>
  <c r="AU211" i="5"/>
  <c r="AU201" i="5"/>
  <c r="Y195" i="5"/>
  <c r="Y212" i="5" s="1"/>
  <c r="BF195" i="5"/>
  <c r="AN216" i="5"/>
  <c r="AN222" i="5" s="1"/>
  <c r="AN177" i="5"/>
  <c r="CE189" i="5"/>
  <c r="CE122" i="5"/>
  <c r="CE120" i="5"/>
  <c r="CE143" i="5"/>
  <c r="CH189" i="5"/>
  <c r="CF189" i="5"/>
  <c r="S21" i="171"/>
  <c r="S26" i="171"/>
  <c r="CL200" i="5"/>
  <c r="CL185" i="5"/>
  <c r="CD380" i="5"/>
  <c r="CD204" i="5"/>
  <c r="CD198" i="5"/>
  <c r="CD201" i="5"/>
  <c r="CD205" i="5"/>
  <c r="CD199" i="5"/>
  <c r="CD210" i="5"/>
  <c r="CD203" i="5"/>
  <c r="CD211" i="5"/>
  <c r="AR333" i="5"/>
  <c r="AR329" i="5"/>
  <c r="AR325" i="5"/>
  <c r="AR321" i="5"/>
  <c r="AR208" i="5"/>
  <c r="AR192" i="5"/>
  <c r="AR209" i="5" s="1"/>
  <c r="V59" i="5"/>
  <c r="BS185" i="5"/>
  <c r="BS200" i="5"/>
  <c r="AD200" i="5"/>
  <c r="AD185" i="5"/>
  <c r="AD202" i="5" s="1"/>
  <c r="AS333" i="5"/>
  <c r="AS329" i="5"/>
  <c r="AS325" i="5"/>
  <c r="AS321" i="5"/>
  <c r="AS208" i="5"/>
  <c r="AS192" i="5"/>
  <c r="AS209" i="5" s="1"/>
  <c r="AY185" i="5"/>
  <c r="AY200" i="5"/>
  <c r="BL390" i="5"/>
  <c r="BL391" i="5"/>
  <c r="BL392" i="5"/>
  <c r="BM369" i="5"/>
  <c r="BT233" i="5"/>
  <c r="O34" i="171"/>
  <c r="S147" i="5"/>
  <c r="S144" i="5"/>
  <c r="S146" i="5"/>
  <c r="AN202" i="5"/>
  <c r="AN282" i="5"/>
  <c r="AN268" i="5"/>
  <c r="AN277" i="5"/>
  <c r="F52" i="171"/>
  <c r="R26" i="171"/>
  <c r="R21" i="171"/>
  <c r="R56" i="171" s="1"/>
  <c r="CN380" i="5"/>
  <c r="CN204" i="5"/>
  <c r="CN198" i="5"/>
  <c r="CN199" i="5"/>
  <c r="CN211" i="5"/>
  <c r="CN210" i="5"/>
  <c r="CN205" i="5"/>
  <c r="CN203" i="5"/>
  <c r="CN201" i="5"/>
  <c r="CI185" i="5"/>
  <c r="CI200" i="5"/>
  <c r="CG200" i="5"/>
  <c r="CG185" i="5"/>
  <c r="N189" i="5"/>
  <c r="N120" i="5"/>
  <c r="N122" i="5"/>
  <c r="N123" i="5" s="1"/>
  <c r="N143" i="5"/>
  <c r="P189" i="5"/>
  <c r="AK109" i="5"/>
  <c r="AP109" i="5"/>
  <c r="R200" i="5"/>
  <c r="R185" i="5"/>
  <c r="R202" i="5" s="1"/>
  <c r="BY368" i="5"/>
  <c r="AT200" i="5"/>
  <c r="AT185" i="5"/>
  <c r="CC189" i="5"/>
  <c r="CC122" i="5"/>
  <c r="CC120" i="5"/>
  <c r="CC143" i="5"/>
  <c r="BD191" i="5"/>
  <c r="BD121" i="5"/>
  <c r="BD124" i="5"/>
  <c r="BD125" i="5" s="1"/>
  <c r="CF202" i="5"/>
  <c r="CF277" i="5"/>
  <c r="CF268" i="5"/>
  <c r="CF282" i="5"/>
  <c r="AH152" i="5"/>
  <c r="AH149" i="5"/>
  <c r="AH148" i="5"/>
  <c r="AH176" i="5"/>
  <c r="CR272" i="5"/>
  <c r="BT219" i="5"/>
  <c r="BG150" i="5"/>
  <c r="BT113" i="5"/>
  <c r="BT109" i="5"/>
  <c r="X123" i="5"/>
  <c r="BG382" i="5"/>
  <c r="BG328" i="5"/>
  <c r="BG324" i="5"/>
  <c r="BG320" i="5"/>
  <c r="BG207" i="5"/>
  <c r="BG332" i="5"/>
  <c r="BC191" i="5"/>
  <c r="AB147" i="5"/>
  <c r="AB145" i="5"/>
  <c r="AB144" i="5"/>
  <c r="AH200" i="5"/>
  <c r="AH185" i="5"/>
  <c r="BH202" i="5"/>
  <c r="BH268" i="5"/>
  <c r="BH277" i="5"/>
  <c r="BH282" i="5"/>
  <c r="W152" i="5"/>
  <c r="W153" i="5" s="1"/>
  <c r="W196" i="5"/>
  <c r="W213" i="5" s="1"/>
  <c r="W149" i="5"/>
  <c r="W150" i="5" s="1"/>
  <c r="W148" i="5"/>
  <c r="W176" i="5"/>
  <c r="W177" i="5" s="1"/>
  <c r="BH191" i="5"/>
  <c r="BH121" i="5"/>
  <c r="BH124" i="5"/>
  <c r="BH125" i="5" s="1"/>
  <c r="AV202" i="5"/>
  <c r="AV277" i="5"/>
  <c r="AV282" i="5"/>
  <c r="AV268" i="5"/>
  <c r="BE113" i="5"/>
  <c r="BC383" i="5"/>
  <c r="BC212" i="5"/>
  <c r="P15" i="171"/>
  <c r="P20" i="171"/>
  <c r="BX200" i="5"/>
  <c r="BX185" i="5"/>
  <c r="BU200" i="5"/>
  <c r="BU185" i="5"/>
  <c r="AQ332" i="5"/>
  <c r="AQ328" i="5"/>
  <c r="AQ324" i="5"/>
  <c r="AQ320" i="5"/>
  <c r="AQ207" i="5"/>
  <c r="CR155" i="5"/>
  <c r="CR154" i="5" s="1"/>
  <c r="CQ154" i="5"/>
  <c r="CS154" i="5" s="1"/>
  <c r="CS156" i="5" s="1"/>
  <c r="CR157" i="5"/>
  <c r="BZ200" i="5"/>
  <c r="BZ185" i="5"/>
  <c r="Q111" i="5"/>
  <c r="CX164" i="5"/>
  <c r="CX161" i="5" s="1"/>
  <c r="CS166" i="5"/>
  <c r="CS165" i="5"/>
  <c r="CS161" i="5"/>
  <c r="AO152" i="5"/>
  <c r="AO196" i="5"/>
  <c r="AO213" i="5" s="1"/>
  <c r="AO148" i="5"/>
  <c r="AO149" i="5"/>
  <c r="AO176" i="5"/>
  <c r="BL216" i="5"/>
  <c r="BL222" i="5" s="1"/>
  <c r="BL177" i="5"/>
  <c r="U208" i="5"/>
  <c r="U192" i="5"/>
  <c r="U209" i="5" s="1"/>
  <c r="DC219" i="5"/>
  <c r="DQ90" i="5"/>
  <c r="DC188" i="5"/>
  <c r="V16" i="171"/>
  <c r="T195" i="5"/>
  <c r="T212" i="5" s="1"/>
  <c r="T147" i="5"/>
  <c r="T144" i="5"/>
  <c r="T145" i="5"/>
  <c r="CR274" i="5"/>
  <c r="CP279" i="5"/>
  <c r="CO133" i="5"/>
  <c r="CO134" i="5" s="1"/>
  <c r="AR150" i="5"/>
  <c r="CS140" i="5"/>
  <c r="CS193" i="5"/>
  <c r="CS137" i="5"/>
  <c r="CS194" i="5" s="1"/>
  <c r="DC36" i="5"/>
  <c r="DC37" i="5" s="1"/>
  <c r="DC38" i="5"/>
  <c r="CS79" i="5"/>
  <c r="CS80" i="5" s="1"/>
  <c r="CS62" i="5"/>
  <c r="CS61" i="5"/>
  <c r="T14" i="171"/>
  <c r="CS184" i="5"/>
  <c r="BP176" i="5"/>
  <c r="BP152" i="5"/>
  <c r="BP149" i="5"/>
  <c r="BP151" i="5"/>
  <c r="BJ183" i="5"/>
  <c r="BJ118" i="5"/>
  <c r="AX200" i="5"/>
  <c r="AX185" i="5"/>
  <c r="BF196" i="5"/>
  <c r="BF176" i="5"/>
  <c r="BF152" i="5"/>
  <c r="BF149" i="5"/>
  <c r="BF148" i="5"/>
  <c r="CO267" i="5"/>
  <c r="CN269" i="5"/>
  <c r="Z200" i="5"/>
  <c r="Z185" i="5"/>
  <c r="Z202" i="5" s="1"/>
  <c r="S206" i="5"/>
  <c r="S190" i="5"/>
  <c r="S207" i="5" s="1"/>
  <c r="Y206" i="5"/>
  <c r="Y190" i="5"/>
  <c r="Y207" i="5" s="1"/>
  <c r="BQ200" i="5"/>
  <c r="BQ185" i="5"/>
  <c r="AC206" i="5"/>
  <c r="AC190" i="5"/>
  <c r="AC207" i="5" s="1"/>
  <c r="AK183" i="5"/>
  <c r="AK118" i="5"/>
  <c r="AK119" i="5"/>
  <c r="AP118" i="5"/>
  <c r="L183" i="5"/>
  <c r="L118" i="5"/>
  <c r="L119" i="5"/>
  <c r="BN229" i="5"/>
  <c r="BN228" i="5"/>
  <c r="BN230" i="5"/>
  <c r="BN232" i="5"/>
  <c r="BO232" i="5" s="1"/>
  <c r="BO233" i="5" s="1"/>
  <c r="CX9" i="5"/>
  <c r="H40" i="171"/>
  <c r="CS10" i="5"/>
  <c r="BH195" i="5"/>
  <c r="BH147" i="5"/>
  <c r="BH145" i="5"/>
  <c r="BH144" i="5"/>
  <c r="BI122" i="5"/>
  <c r="BI123" i="5" s="1"/>
  <c r="BI189" i="5"/>
  <c r="BI120" i="5"/>
  <c r="BI143" i="5"/>
  <c r="BC381" i="5"/>
  <c r="BC331" i="5"/>
  <c r="BC327" i="5"/>
  <c r="BC323" i="5"/>
  <c r="BC319" i="5"/>
  <c r="BC206" i="5"/>
  <c r="BC190" i="5"/>
  <c r="BJ57" i="5"/>
  <c r="Y208" i="5"/>
  <c r="Y192" i="5"/>
  <c r="Y209" i="5" s="1"/>
  <c r="BF125" i="5"/>
  <c r="CR115" i="5"/>
  <c r="CR41" i="5"/>
  <c r="CR42" i="5"/>
  <c r="CR43" i="5" s="1"/>
  <c r="CS115" i="5"/>
  <c r="T11" i="171"/>
  <c r="T10" i="171" s="1"/>
  <c r="CS41" i="5"/>
  <c r="CS42" i="5"/>
  <c r="CS31" i="5"/>
  <c r="CS32" i="5"/>
  <c r="CX30" i="5"/>
  <c r="AP202" i="5"/>
  <c r="AP282" i="5"/>
  <c r="AP277" i="5"/>
  <c r="AP268" i="5"/>
  <c r="CI380" i="5"/>
  <c r="CI204" i="5"/>
  <c r="CI198" i="5"/>
  <c r="CI199" i="5"/>
  <c r="CI205" i="5"/>
  <c r="CI201" i="5"/>
  <c r="CI211" i="5"/>
  <c r="CI210" i="5"/>
  <c r="CI203" i="5"/>
  <c r="CB176" i="5"/>
  <c r="CB151" i="5"/>
  <c r="CB152" i="5" s="1"/>
  <c r="CB149" i="5"/>
  <c r="Y152" i="5"/>
  <c r="Y148" i="5"/>
  <c r="Y149" i="5"/>
  <c r="Y176" i="5"/>
  <c r="Y177" i="5" s="1"/>
  <c r="BJ111" i="5"/>
  <c r="AX189" i="5"/>
  <c r="AX120" i="5"/>
  <c r="AX122" i="5"/>
  <c r="AX143" i="5"/>
  <c r="BB195" i="5" s="1"/>
  <c r="CD244" i="5"/>
  <c r="Q40" i="171"/>
  <c r="Q41" i="171" s="1"/>
  <c r="AO324" i="5"/>
  <c r="AO320" i="5"/>
  <c r="AO332" i="5"/>
  <c r="AO328" i="5"/>
  <c r="AO207" i="5"/>
  <c r="AC200" i="5"/>
  <c r="AC185" i="5"/>
  <c r="AC202" i="5" s="1"/>
  <c r="CE185" i="5"/>
  <c r="CE200" i="5"/>
  <c r="AD206" i="5"/>
  <c r="AD190" i="5"/>
  <c r="AD207" i="5" s="1"/>
  <c r="AG216" i="5"/>
  <c r="AG222" i="5" s="1"/>
  <c r="AG177" i="5"/>
  <c r="CK200" i="5"/>
  <c r="CK185" i="5"/>
  <c r="W206" i="5"/>
  <c r="W190" i="5"/>
  <c r="W207" i="5" s="1"/>
  <c r="BE228" i="5"/>
  <c r="BE229" i="5"/>
  <c r="BD229" i="5"/>
  <c r="BD228" i="5"/>
  <c r="BD232" i="5"/>
  <c r="BE232" i="5" s="1"/>
  <c r="BE233" i="5" s="1"/>
  <c r="BD230" i="5"/>
  <c r="AM152" i="5"/>
  <c r="AM153" i="5" s="1"/>
  <c r="AM149" i="5"/>
  <c r="AM150" i="5" s="1"/>
  <c r="AM148" i="5"/>
  <c r="AM176" i="5"/>
  <c r="Z189" i="5"/>
  <c r="Z143" i="5"/>
  <c r="Z120" i="5"/>
  <c r="Z122" i="5"/>
  <c r="Z123" i="5" s="1"/>
  <c r="CN183" i="5"/>
  <c r="CN118" i="5"/>
  <c r="AR202" i="5"/>
  <c r="AR282" i="5"/>
  <c r="AR268" i="5"/>
  <c r="AR277" i="5"/>
  <c r="CD200" i="5"/>
  <c r="CD185" i="5"/>
  <c r="BJ380" i="5"/>
  <c r="BJ204" i="5"/>
  <c r="BJ198" i="5"/>
  <c r="BJ199" i="5"/>
  <c r="BJ201" i="5"/>
  <c r="BJ211" i="5"/>
  <c r="BJ205" i="5"/>
  <c r="BJ210" i="5"/>
  <c r="BJ203" i="5"/>
  <c r="BT299" i="5"/>
  <c r="O38" i="171"/>
  <c r="BT238" i="5"/>
  <c r="AO277" i="5"/>
  <c r="AO202" i="5"/>
  <c r="AO268" i="5"/>
  <c r="AO282" i="5"/>
  <c r="S123" i="5"/>
  <c r="CP24" i="5"/>
  <c r="BQ122" i="5"/>
  <c r="BQ120" i="5"/>
  <c r="BQ189" i="5"/>
  <c r="BQ143" i="5"/>
  <c r="AM125" i="5"/>
  <c r="CP256" i="5"/>
  <c r="CO255" i="5"/>
  <c r="BM189" i="5"/>
  <c r="BM122" i="5"/>
  <c r="BM123" i="5" s="1"/>
  <c r="BM120" i="5"/>
  <c r="BM143" i="5"/>
  <c r="AK111" i="5"/>
  <c r="AP111" i="5"/>
  <c r="O189" i="5"/>
  <c r="O120" i="5"/>
  <c r="O122" i="5"/>
  <c r="O123" i="5" s="1"/>
  <c r="O143" i="5"/>
  <c r="S195" i="5" s="1"/>
  <c r="S212" i="5" s="1"/>
  <c r="R189" i="5"/>
  <c r="CO54" i="5"/>
  <c r="V189" i="5"/>
  <c r="V120" i="5"/>
  <c r="V122" i="5"/>
  <c r="V143" i="5"/>
  <c r="W125" i="5"/>
  <c r="CM200" i="5"/>
  <c r="CM185" i="5"/>
  <c r="BO119" i="5"/>
  <c r="Q200" i="5"/>
  <c r="Q185" i="5"/>
  <c r="BG216" i="5"/>
  <c r="BG222" i="5" s="1"/>
  <c r="BG177" i="5"/>
  <c r="BG385" i="5"/>
  <c r="BG153" i="5"/>
  <c r="BT183" i="5"/>
  <c r="BT118" i="5"/>
  <c r="O20" i="171"/>
  <c r="X206" i="5"/>
  <c r="X190" i="5"/>
  <c r="X207" i="5" s="1"/>
  <c r="AB191" i="5"/>
  <c r="AB121" i="5"/>
  <c r="AB124" i="5"/>
  <c r="AB125" i="5" s="1"/>
  <c r="AG200" i="5"/>
  <c r="AG185" i="5"/>
  <c r="AA200" i="5"/>
  <c r="AA185" i="5"/>
  <c r="AA189" i="5"/>
  <c r="AA120" i="5"/>
  <c r="AA122" i="5"/>
  <c r="AA143" i="5"/>
  <c r="BI200" i="5"/>
  <c r="BI185" i="5"/>
  <c r="BP202" i="5"/>
  <c r="BP268" i="5"/>
  <c r="BP277" i="5"/>
  <c r="BP282" i="5"/>
  <c r="CJ176" i="5"/>
  <c r="CJ149" i="5"/>
  <c r="CJ151" i="5"/>
  <c r="BA144" i="5"/>
  <c r="BA195" i="5"/>
  <c r="BA147" i="5"/>
  <c r="BC196" i="5" s="1"/>
  <c r="BA145" i="5"/>
  <c r="AJ202" i="5"/>
  <c r="AJ268" i="5"/>
  <c r="AJ277" i="5"/>
  <c r="AJ282" i="5"/>
  <c r="BY109" i="5"/>
  <c r="BY183" i="5"/>
  <c r="BY118" i="5"/>
  <c r="BY119" i="5"/>
  <c r="BV200" i="5"/>
  <c r="BV185" i="5"/>
  <c r="BG195" i="5"/>
  <c r="AG121" i="5"/>
  <c r="CA189" i="5"/>
  <c r="CA122" i="5"/>
  <c r="CA120" i="5"/>
  <c r="CA143" i="5"/>
  <c r="BN145" i="5"/>
  <c r="BN144" i="5"/>
  <c r="BN147" i="5"/>
  <c r="CB200" i="5"/>
  <c r="CB185" i="5"/>
  <c r="AS277" i="5"/>
  <c r="AS202" i="5"/>
  <c r="AS282" i="5"/>
  <c r="AS268" i="5"/>
  <c r="BL202" i="5"/>
  <c r="BL277" i="5"/>
  <c r="BL282" i="5"/>
  <c r="BL268" i="5"/>
  <c r="AD152" i="5"/>
  <c r="AD153" i="5" s="1"/>
  <c r="AD176" i="5"/>
  <c r="AD177" i="5" s="1"/>
  <c r="AD149" i="5"/>
  <c r="AD150" i="5" s="1"/>
  <c r="AD148" i="5"/>
  <c r="S56" i="171"/>
  <c r="CH202" i="5"/>
  <c r="CH282" i="5"/>
  <c r="CH268" i="5"/>
  <c r="BB200" i="5"/>
  <c r="BB185" i="5"/>
  <c r="AF189" i="5"/>
  <c r="AF122" i="5"/>
  <c r="AF123" i="5" s="1"/>
  <c r="AF120" i="5"/>
  <c r="AF143" i="5"/>
  <c r="BB216" i="5"/>
  <c r="BB222" i="5" s="1"/>
  <c r="BB177" i="5"/>
  <c r="V200" i="5"/>
  <c r="V185" i="5"/>
  <c r="CO81" i="5"/>
  <c r="CO25" i="5"/>
  <c r="CO90" i="5"/>
  <c r="CK122" i="5"/>
  <c r="CK123" i="5" s="1"/>
  <c r="CK120" i="5"/>
  <c r="CK189" i="5"/>
  <c r="CK143" i="5"/>
  <c r="AW189" i="5"/>
  <c r="AW122" i="5"/>
  <c r="AW120" i="5"/>
  <c r="AW143" i="5"/>
  <c r="AY189" i="5"/>
  <c r="BT228" i="5"/>
  <c r="BT227" i="5"/>
  <c r="BT229" i="5"/>
  <c r="O33" i="171"/>
  <c r="O35" i="171" s="1"/>
  <c r="AQ152" i="5"/>
  <c r="AQ149" i="5"/>
  <c r="AQ150" i="5" s="1"/>
  <c r="AQ148" i="5"/>
  <c r="AQ196" i="5"/>
  <c r="AQ213" i="5" s="1"/>
  <c r="AQ176" i="5"/>
  <c r="CX75" i="5"/>
  <c r="DC77" i="5"/>
  <c r="DC75" i="5" s="1"/>
  <c r="BM200" i="5"/>
  <c r="BM185" i="5"/>
  <c r="Q21" i="171"/>
  <c r="E52" i="171"/>
  <c r="Q26" i="171"/>
  <c r="CM189" i="5"/>
  <c r="CM122" i="5"/>
  <c r="CM123" i="5" s="1"/>
  <c r="CM120" i="5"/>
  <c r="CM143" i="5"/>
  <c r="AY152" i="5"/>
  <c r="AY149" i="5"/>
  <c r="AY176" i="5"/>
  <c r="AB206" i="5"/>
  <c r="AB190" i="5"/>
  <c r="AB207" i="5" s="1"/>
  <c r="BT244" i="5"/>
  <c r="O40" i="171"/>
  <c r="AS196" i="5"/>
  <c r="AS213" i="5" s="1"/>
  <c r="Y121" i="5"/>
  <c r="AJ176" i="5"/>
  <c r="AJ149" i="5"/>
  <c r="AJ152" i="5"/>
  <c r="AS216" i="5"/>
  <c r="AS222" i="5" s="1"/>
  <c r="AS177" i="5"/>
  <c r="BY227" i="5"/>
  <c r="BY229" i="5"/>
  <c r="BY228" i="5"/>
  <c r="P33" i="171"/>
  <c r="AL152" i="5"/>
  <c r="AL153" i="5" s="1"/>
  <c r="AL149" i="5"/>
  <c r="AL150" i="5" s="1"/>
  <c r="AL148" i="5"/>
  <c r="AL176" i="5"/>
  <c r="CH176" i="5"/>
  <c r="CH149" i="5"/>
  <c r="CH151" i="5"/>
  <c r="CH152" i="5" s="1"/>
  <c r="BL385" i="5"/>
  <c r="BL153" i="5"/>
  <c r="Y125" i="5"/>
  <c r="U125" i="5"/>
  <c r="BC57" i="5"/>
  <c r="DH56" i="5"/>
  <c r="BY233" i="5"/>
  <c r="P34" i="171"/>
  <c r="CO89" i="5"/>
  <c r="T206" i="5"/>
  <c r="T190" i="5"/>
  <c r="T207" i="5" s="1"/>
  <c r="AR332" i="5"/>
  <c r="AR328" i="5"/>
  <c r="AR324" i="5"/>
  <c r="AR320" i="5"/>
  <c r="AR207" i="5"/>
  <c r="BF386" i="5"/>
  <c r="BF387" i="5" s="1"/>
  <c r="BF325" i="5"/>
  <c r="BF321" i="5"/>
  <c r="BF333" i="5"/>
  <c r="BF329" i="5"/>
  <c r="BF208" i="5"/>
  <c r="BF192" i="5"/>
  <c r="BF209" i="5" s="1"/>
  <c r="BM368" i="5"/>
  <c r="M200" i="5"/>
  <c r="M185" i="5"/>
  <c r="M202" i="5" s="1"/>
  <c r="AE189" i="5"/>
  <c r="AE120" i="5"/>
  <c r="AE122" i="5"/>
  <c r="AE143" i="5"/>
  <c r="AG189" i="5"/>
  <c r="AH189" i="5"/>
  <c r="CN134" i="5"/>
  <c r="CN135" i="5" s="1"/>
  <c r="BE168" i="5"/>
  <c r="BA168" i="5"/>
  <c r="BB168" i="5" s="1"/>
  <c r="BC168" i="5" s="1"/>
  <c r="BD168" i="5" s="1"/>
  <c r="CR141" i="5"/>
  <c r="AI189" i="5"/>
  <c r="AI120" i="5"/>
  <c r="AI122" i="5"/>
  <c r="AI143" i="5"/>
  <c r="AJ189" i="5"/>
  <c r="AM189" i="5"/>
  <c r="AL189" i="5"/>
  <c r="Q113" i="5"/>
  <c r="BW200" i="5"/>
  <c r="BW185" i="5"/>
  <c r="BI368" i="5"/>
  <c r="CP238" i="5"/>
  <c r="AV149" i="5"/>
  <c r="AV150" i="5" s="1"/>
  <c r="AV148" i="5"/>
  <c r="AV152" i="5"/>
  <c r="AV176" i="5"/>
  <c r="BV151" i="5"/>
  <c r="BV152" i="5" s="1"/>
  <c r="BV176" i="5"/>
  <c r="BV149" i="5"/>
  <c r="BR189" i="5"/>
  <c r="BR143" i="5"/>
  <c r="BR122" i="5"/>
  <c r="BR123" i="5" s="1"/>
  <c r="BR120" i="5"/>
  <c r="BC185" i="5"/>
  <c r="BC200" i="5"/>
  <c r="BA200" i="5"/>
  <c r="BA185" i="5"/>
  <c r="AP200" i="5"/>
  <c r="AU189" i="5"/>
  <c r="AU120" i="5"/>
  <c r="AU122" i="5"/>
  <c r="AU123" i="5" s="1"/>
  <c r="AU143" i="5"/>
  <c r="AZ183" i="5"/>
  <c r="AZ118" i="5"/>
  <c r="BN202" i="5"/>
  <c r="BN282" i="5"/>
  <c r="BN277" i="5"/>
  <c r="BN268" i="5"/>
  <c r="AC152" i="5"/>
  <c r="AC149" i="5"/>
  <c r="AC176" i="5"/>
  <c r="AC177" i="5" s="1"/>
  <c r="Y123" i="5"/>
  <c r="CQ281" i="5"/>
  <c r="CL189" i="5"/>
  <c r="CL122" i="5"/>
  <c r="CL123" i="5" s="1"/>
  <c r="CL120" i="5"/>
  <c r="CL143" i="5"/>
  <c r="CD189" i="5"/>
  <c r="CD122" i="5"/>
  <c r="CD128" i="5"/>
  <c r="CD130" i="5" s="1"/>
  <c r="CD120" i="5"/>
  <c r="CD143" i="5"/>
  <c r="BA57" i="5"/>
  <c r="BF57" i="5"/>
  <c r="CN90" i="5"/>
  <c r="CN25" i="5"/>
  <c r="CN84" i="5"/>
  <c r="CN85" i="5" s="1"/>
  <c r="CN56" i="5"/>
  <c r="CN57" i="5" s="1"/>
  <c r="CF177" i="5"/>
  <c r="CF216" i="5"/>
  <c r="CF222" i="5" s="1"/>
  <c r="BS189" i="5"/>
  <c r="BS122" i="5"/>
  <c r="BS120" i="5"/>
  <c r="BS143" i="5"/>
  <c r="J145" i="5"/>
  <c r="J147" i="5"/>
  <c r="J144" i="5"/>
  <c r="AW200" i="5"/>
  <c r="AW185" i="5"/>
  <c r="AZ229" i="5"/>
  <c r="AZ228" i="5"/>
  <c r="BL125" i="5"/>
  <c r="CS16" i="5"/>
  <c r="CS39" i="5"/>
  <c r="S191" i="5"/>
  <c r="S124" i="5"/>
  <c r="CI219" i="5"/>
  <c r="CI89" i="5"/>
  <c r="CI229" i="5"/>
  <c r="AO333" i="5"/>
  <c r="AO329" i="5"/>
  <c r="AO321" i="5"/>
  <c r="AO325" i="5"/>
  <c r="AO208" i="5"/>
  <c r="AO192" i="5"/>
  <c r="AO209" i="5" s="1"/>
  <c r="CN119" i="5"/>
  <c r="AD125" i="5"/>
  <c r="BB85" i="5"/>
  <c r="BG85" i="5"/>
  <c r="Q189" i="5"/>
  <c r="Q122" i="5"/>
  <c r="Q120" i="5"/>
  <c r="Q143" i="5"/>
  <c r="CG122" i="5"/>
  <c r="CG123" i="5" s="1"/>
  <c r="CG189" i="5"/>
  <c r="CG120" i="5"/>
  <c r="CG143" i="5"/>
  <c r="CJ189" i="5"/>
  <c r="BK189" i="5"/>
  <c r="BK120" i="5"/>
  <c r="BN191" i="5" s="1"/>
  <c r="BK122" i="5"/>
  <c r="BK143" i="5"/>
  <c r="BL189" i="5"/>
  <c r="N200" i="5"/>
  <c r="N185" i="5"/>
  <c r="N202" i="5" s="1"/>
  <c r="AK113" i="5"/>
  <c r="AP113" i="5"/>
  <c r="BF381" i="5"/>
  <c r="BF331" i="5"/>
  <c r="BF327" i="5"/>
  <c r="BF323" i="5"/>
  <c r="BF319" i="5"/>
  <c r="BF206" i="5"/>
  <c r="BF190" i="5"/>
  <c r="AF183" i="5"/>
  <c r="AF118" i="5"/>
  <c r="O200" i="5"/>
  <c r="O185" i="5"/>
  <c r="O202" i="5" s="1"/>
  <c r="V204" i="5"/>
  <c r="V198" i="5"/>
  <c r="V199" i="5"/>
  <c r="V205" i="5"/>
  <c r="V203" i="5"/>
  <c r="V211" i="5"/>
  <c r="V210" i="5"/>
  <c r="V201" i="5"/>
  <c r="AZ119" i="5"/>
  <c r="W191" i="5"/>
  <c r="AT189" i="5"/>
  <c r="AT120" i="5"/>
  <c r="AT122" i="5"/>
  <c r="AV189" i="5"/>
  <c r="AT143" i="5"/>
  <c r="CC200" i="5"/>
  <c r="CC185" i="5"/>
  <c r="BD381" i="5"/>
  <c r="BD319" i="5"/>
  <c r="BD327" i="5"/>
  <c r="BD323" i="5"/>
  <c r="BD206" i="5"/>
  <c r="BD331" i="5"/>
  <c r="BD190" i="5"/>
  <c r="BO380" i="5"/>
  <c r="BO204" i="5"/>
  <c r="BO198" i="5"/>
  <c r="BO205" i="5"/>
  <c r="BO211" i="5"/>
  <c r="BO210" i="5"/>
  <c r="BO199" i="5"/>
  <c r="BO201" i="5"/>
  <c r="BO203" i="5"/>
  <c r="CD113" i="5"/>
  <c r="E47" i="171" s="1"/>
  <c r="AN332" i="5"/>
  <c r="AN328" i="5"/>
  <c r="AN320" i="5"/>
  <c r="AN324" i="5"/>
  <c r="AN207" i="5"/>
  <c r="CD229" i="5"/>
  <c r="CD89" i="5"/>
  <c r="AL202" i="5"/>
  <c r="AL268" i="5"/>
  <c r="AL277" i="5"/>
  <c r="AL282" i="5"/>
  <c r="BT111" i="5"/>
  <c r="AU200" i="5"/>
  <c r="AU185" i="5"/>
  <c r="X191" i="5"/>
  <c r="X121" i="5"/>
  <c r="X124" i="5"/>
  <c r="X125" i="5" s="1"/>
  <c r="AE200" i="5"/>
  <c r="AE185" i="5"/>
  <c r="AE202" i="5" s="1"/>
  <c r="BE85" i="5"/>
  <c r="BJ85" i="5"/>
  <c r="CQ229" i="5"/>
  <c r="CQ218" i="5"/>
  <c r="CR217" i="5"/>
  <c r="CR264" i="5" s="1"/>
  <c r="CS264" i="5" s="1"/>
  <c r="AK52" i="5"/>
  <c r="BT380" i="5"/>
  <c r="BT204" i="5"/>
  <c r="BT198" i="5"/>
  <c r="BT201" i="5"/>
  <c r="BT210" i="5"/>
  <c r="BT199" i="5"/>
  <c r="BT203" i="5"/>
  <c r="BT205" i="5"/>
  <c r="BT211" i="5"/>
  <c r="BH381" i="5"/>
  <c r="BH323" i="5"/>
  <c r="BH327" i="5"/>
  <c r="BH319" i="5"/>
  <c r="BH206" i="5"/>
  <c r="BH331" i="5"/>
  <c r="BH190" i="5"/>
  <c r="AA204" i="5"/>
  <c r="AA198" i="5"/>
  <c r="AA199" i="5"/>
  <c r="AA203" i="5"/>
  <c r="AA205" i="5"/>
  <c r="AA201" i="5"/>
  <c r="AA210" i="5"/>
  <c r="AA211" i="5"/>
  <c r="AS324" i="5"/>
  <c r="AS332" i="5"/>
  <c r="AS328" i="5"/>
  <c r="AS320" i="5"/>
  <c r="AS207" i="5"/>
  <c r="BE109" i="5"/>
  <c r="BE183" i="5"/>
  <c r="BE118" i="5"/>
  <c r="BE119" i="5"/>
  <c r="AN333" i="5"/>
  <c r="AN329" i="5"/>
  <c r="AN325" i="5"/>
  <c r="AN321" i="5"/>
  <c r="AN192" i="5"/>
  <c r="AN209" i="5" s="1"/>
  <c r="AN208" i="5"/>
  <c r="BY219" i="5"/>
  <c r="BA189" i="5"/>
  <c r="BH85" i="5"/>
  <c r="BY111" i="5"/>
  <c r="BB191" i="5"/>
  <c r="CX99" i="5"/>
  <c r="CS100" i="5"/>
  <c r="BU122" i="5"/>
  <c r="BU123" i="5" s="1"/>
  <c r="BU120" i="5"/>
  <c r="BU189" i="5"/>
  <c r="BU143" i="5"/>
  <c r="BV189" i="5"/>
  <c r="BX189" i="5"/>
  <c r="AG125" i="5"/>
  <c r="CA200" i="5"/>
  <c r="CA185" i="5"/>
  <c r="CS155" i="5"/>
  <c r="BD202" i="5"/>
  <c r="BD277" i="5"/>
  <c r="BD282" i="5"/>
  <c r="BD268" i="5"/>
  <c r="BN123" i="5"/>
  <c r="BZ189" i="5"/>
  <c r="BZ122" i="5"/>
  <c r="BZ123" i="5" s="1"/>
  <c r="BZ120" i="5"/>
  <c r="BZ143" i="5"/>
  <c r="CB189" i="5"/>
  <c r="CR162" i="5"/>
  <c r="CR163" i="5"/>
  <c r="CO43" i="5" l="1"/>
  <c r="CO228" i="5"/>
  <c r="CP181" i="5"/>
  <c r="CO181" i="5"/>
  <c r="CO116" i="5"/>
  <c r="CQ43" i="5"/>
  <c r="CQ181" i="5"/>
  <c r="CQ228" i="5"/>
  <c r="CQ116" i="5"/>
  <c r="H42" i="171"/>
  <c r="CS43" i="5"/>
  <c r="CS274" i="5"/>
  <c r="BN386" i="5"/>
  <c r="BN387" i="5" s="1"/>
  <c r="BN325" i="5"/>
  <c r="BN321" i="5"/>
  <c r="BN329" i="5"/>
  <c r="BN333" i="5"/>
  <c r="BN208" i="5"/>
  <c r="BN192" i="5"/>
  <c r="BN209" i="5" s="1"/>
  <c r="BC384" i="5"/>
  <c r="BC213" i="5"/>
  <c r="BC385" i="5"/>
  <c r="BB383" i="5"/>
  <c r="BB212" i="5"/>
  <c r="BU206" i="5"/>
  <c r="BU190" i="5"/>
  <c r="BU207" i="5" s="1"/>
  <c r="BE122" i="5"/>
  <c r="BE189" i="5"/>
  <c r="BE120" i="5"/>
  <c r="BE143" i="5"/>
  <c r="CG191" i="5"/>
  <c r="CG121" i="5"/>
  <c r="CG124" i="5"/>
  <c r="CG125" i="5" s="1"/>
  <c r="CJ191" i="5"/>
  <c r="BS206" i="5"/>
  <c r="BS190" i="5"/>
  <c r="BS207" i="5" s="1"/>
  <c r="CR281" i="5"/>
  <c r="AU331" i="5"/>
  <c r="AU327" i="5"/>
  <c r="AU323" i="5"/>
  <c r="AU319" i="5"/>
  <c r="AU206" i="5"/>
  <c r="AU190" i="5"/>
  <c r="BR206" i="5"/>
  <c r="BR190" i="5"/>
  <c r="BR207" i="5" s="1"/>
  <c r="CM147" i="5"/>
  <c r="CM195" i="5"/>
  <c r="CM212" i="5" s="1"/>
  <c r="CM145" i="5"/>
  <c r="CM144" i="5"/>
  <c r="CK124" i="5"/>
  <c r="CK125" i="5" s="1"/>
  <c r="CK121" i="5"/>
  <c r="CK191" i="5"/>
  <c r="CA147" i="5"/>
  <c r="CA195" i="5"/>
  <c r="CA212" i="5" s="1"/>
  <c r="CA145" i="5"/>
  <c r="CA144" i="5"/>
  <c r="AA191" i="5"/>
  <c r="AA124" i="5"/>
  <c r="AA125" i="5" s="1"/>
  <c r="AA121" i="5"/>
  <c r="Z206" i="5"/>
  <c r="Z190" i="5"/>
  <c r="Z207" i="5" s="1"/>
  <c r="N191" i="5"/>
  <c r="N124" i="5"/>
  <c r="N125" i="5" s="1"/>
  <c r="N121" i="5"/>
  <c r="P191" i="5"/>
  <c r="BS277" i="5"/>
  <c r="BS202" i="5"/>
  <c r="BS282" i="5"/>
  <c r="BS268" i="5"/>
  <c r="AI202" i="5"/>
  <c r="AI268" i="5"/>
  <c r="AI282" i="5"/>
  <c r="AI277" i="5"/>
  <c r="X176" i="5"/>
  <c r="X177" i="5" s="1"/>
  <c r="X196" i="5"/>
  <c r="X213" i="5" s="1"/>
  <c r="X152" i="5"/>
  <c r="X153" i="5" s="1"/>
  <c r="X149" i="5"/>
  <c r="AC150" i="5" s="1"/>
  <c r="X148" i="5"/>
  <c r="CI147" i="5"/>
  <c r="CI195" i="5"/>
  <c r="CI144" i="5"/>
  <c r="CI145" i="5"/>
  <c r="CI381" i="5"/>
  <c r="CI327" i="5"/>
  <c r="CI323" i="5"/>
  <c r="CI319" i="5"/>
  <c r="CI206" i="5"/>
  <c r="CI190" i="5"/>
  <c r="CI331" i="5"/>
  <c r="AP331" i="5"/>
  <c r="AP327" i="5"/>
  <c r="AP323" i="5"/>
  <c r="AP319" i="5"/>
  <c r="AP206" i="5"/>
  <c r="AP190" i="5"/>
  <c r="BT195" i="5"/>
  <c r="BT147" i="5"/>
  <c r="BT144" i="5"/>
  <c r="BT145" i="5"/>
  <c r="BT381" i="5"/>
  <c r="BT319" i="5"/>
  <c r="BT323" i="5"/>
  <c r="BT327" i="5"/>
  <c r="BT206" i="5"/>
  <c r="BT331" i="5"/>
  <c r="BT190" i="5"/>
  <c r="BN382" i="5"/>
  <c r="BN328" i="5"/>
  <c r="BN324" i="5"/>
  <c r="BN332" i="5"/>
  <c r="BN320" i="5"/>
  <c r="BN207" i="5"/>
  <c r="BX206" i="5"/>
  <c r="BX190" i="5"/>
  <c r="BX207" i="5" s="1"/>
  <c r="AT123" i="5"/>
  <c r="AY123" i="5"/>
  <c r="AZ189" i="5"/>
  <c r="AZ122" i="5"/>
  <c r="AZ123" i="5" s="1"/>
  <c r="AZ120" i="5"/>
  <c r="AZ143" i="5"/>
  <c r="BL381" i="5"/>
  <c r="BL323" i="5"/>
  <c r="BL319" i="5"/>
  <c r="BL327" i="5"/>
  <c r="BL331" i="5"/>
  <c r="BL206" i="5"/>
  <c r="BL190" i="5"/>
  <c r="BK381" i="5"/>
  <c r="BK331" i="5"/>
  <c r="BK327" i="5"/>
  <c r="BK323" i="5"/>
  <c r="BK319" i="5"/>
  <c r="BK206" i="5"/>
  <c r="BK190" i="5"/>
  <c r="CG206" i="5"/>
  <c r="CG190" i="5"/>
  <c r="CG207" i="5" s="1"/>
  <c r="S121" i="5"/>
  <c r="BS195" i="5"/>
  <c r="BS212" i="5" s="1"/>
  <c r="BS145" i="5"/>
  <c r="BS144" i="5"/>
  <c r="BS147" i="5"/>
  <c r="E50" i="171"/>
  <c r="AU195" i="5"/>
  <c r="AU212" i="5" s="1"/>
  <c r="AU147" i="5"/>
  <c r="AU145" i="5"/>
  <c r="AU144" i="5"/>
  <c r="BA202" i="5"/>
  <c r="BA277" i="5"/>
  <c r="BA268" i="5"/>
  <c r="BA282" i="5"/>
  <c r="BR191" i="5"/>
  <c r="BR121" i="5"/>
  <c r="BR124" i="5"/>
  <c r="BR125" i="5" s="1"/>
  <c r="BW202" i="5"/>
  <c r="BW282" i="5"/>
  <c r="BW277" i="5"/>
  <c r="BW268" i="5"/>
  <c r="AL331" i="5"/>
  <c r="AL327" i="5"/>
  <c r="AL323" i="5"/>
  <c r="AL319" i="5"/>
  <c r="AL206" i="5"/>
  <c r="AL190" i="5"/>
  <c r="AI123" i="5"/>
  <c r="AN123" i="5"/>
  <c r="AE123" i="5"/>
  <c r="AJ123" i="5"/>
  <c r="AL216" i="5"/>
  <c r="AL222" i="5" s="1"/>
  <c r="AL177" i="5"/>
  <c r="CM191" i="5"/>
  <c r="CM124" i="5"/>
  <c r="CM125" i="5" s="1"/>
  <c r="CM121" i="5"/>
  <c r="DC76" i="5"/>
  <c r="DC60" i="5"/>
  <c r="AW144" i="5"/>
  <c r="AW195" i="5"/>
  <c r="AW147" i="5"/>
  <c r="AW145" i="5"/>
  <c r="AY195" i="5"/>
  <c r="V282" i="5"/>
  <c r="V268" i="5"/>
  <c r="V202" i="5"/>
  <c r="V277" i="5"/>
  <c r="AF206" i="5"/>
  <c r="AF190" i="5"/>
  <c r="AF207" i="5" s="1"/>
  <c r="CA191" i="5"/>
  <c r="CA124" i="5"/>
  <c r="CA121" i="5"/>
  <c r="CF121" i="5"/>
  <c r="BG383" i="5"/>
  <c r="BG212" i="5"/>
  <c r="BY122" i="5"/>
  <c r="BY123" i="5" s="1"/>
  <c r="BY189" i="5"/>
  <c r="BY128" i="5"/>
  <c r="BY130" i="5" s="1"/>
  <c r="BY120" i="5"/>
  <c r="BY143" i="5"/>
  <c r="AA206" i="5"/>
  <c r="AA190" i="5"/>
  <c r="AA207" i="5" s="1"/>
  <c r="BT200" i="5"/>
  <c r="BT185" i="5"/>
  <c r="V195" i="5"/>
  <c r="V212" i="5" s="1"/>
  <c r="V144" i="5"/>
  <c r="CO53" i="5"/>
  <c r="CO49" i="5"/>
  <c r="CO55" i="5"/>
  <c r="O191" i="5"/>
  <c r="O124" i="5"/>
  <c r="O125" i="5" s="1"/>
  <c r="O121" i="5"/>
  <c r="R191" i="5"/>
  <c r="BM147" i="5"/>
  <c r="BM145" i="5"/>
  <c r="BM144" i="5"/>
  <c r="BM195" i="5"/>
  <c r="BP195" i="5"/>
  <c r="BP212" i="5" s="1"/>
  <c r="BQ206" i="5"/>
  <c r="BQ190" i="5"/>
  <c r="BQ207" i="5" s="1"/>
  <c r="CD202" i="5"/>
  <c r="CD277" i="5"/>
  <c r="CD282" i="5"/>
  <c r="CD268" i="5"/>
  <c r="AM216" i="5"/>
  <c r="AM222" i="5" s="1"/>
  <c r="AM177" i="5"/>
  <c r="AX123" i="5"/>
  <c r="BC123" i="5"/>
  <c r="T123" i="5"/>
  <c r="BI195" i="5"/>
  <c r="BI145" i="5"/>
  <c r="BI144" i="5"/>
  <c r="BI147" i="5"/>
  <c r="AX202" i="5"/>
  <c r="AX268" i="5"/>
  <c r="AX277" i="5"/>
  <c r="AX282" i="5"/>
  <c r="CX163" i="5"/>
  <c r="CX162" i="5"/>
  <c r="BZ202" i="5"/>
  <c r="BZ268" i="5"/>
  <c r="BZ277" i="5"/>
  <c r="BZ282" i="5"/>
  <c r="BX202" i="5"/>
  <c r="BX277" i="5"/>
  <c r="BX282" i="5"/>
  <c r="BX268" i="5"/>
  <c r="AH150" i="5"/>
  <c r="CC123" i="5"/>
  <c r="CH123" i="5"/>
  <c r="P206" i="5"/>
  <c r="P190" i="5"/>
  <c r="P207" i="5" s="1"/>
  <c r="N206" i="5"/>
  <c r="N190" i="5"/>
  <c r="N207" i="5" s="1"/>
  <c r="CI202" i="5"/>
  <c r="CI277" i="5"/>
  <c r="CI282" i="5"/>
  <c r="CI268" i="5"/>
  <c r="AY282" i="5"/>
  <c r="AY202" i="5"/>
  <c r="AY268" i="5"/>
  <c r="AY277" i="5"/>
  <c r="CL202" i="5"/>
  <c r="CL277" i="5"/>
  <c r="CQ277" i="5" s="1"/>
  <c r="CL282" i="5"/>
  <c r="CL268" i="5"/>
  <c r="CE147" i="5"/>
  <c r="CE195" i="5"/>
  <c r="CE212" i="5" s="1"/>
  <c r="CE144" i="5"/>
  <c r="CE145" i="5"/>
  <c r="CF195" i="5"/>
  <c r="CF212" i="5" s="1"/>
  <c r="CH195" i="5"/>
  <c r="CH212" i="5" s="1"/>
  <c r="BR202" i="5"/>
  <c r="BR282" i="5"/>
  <c r="BR277" i="5"/>
  <c r="BR268" i="5"/>
  <c r="BW147" i="5"/>
  <c r="BW195" i="5"/>
  <c r="BW212" i="5" s="1"/>
  <c r="BW145" i="5"/>
  <c r="BW144" i="5"/>
  <c r="M195" i="5"/>
  <c r="M212" i="5" s="1"/>
  <c r="M145" i="5"/>
  <c r="M147" i="5"/>
  <c r="M144" i="5"/>
  <c r="CQ81" i="5"/>
  <c r="CQ25" i="5"/>
  <c r="CQ90" i="5"/>
  <c r="CQ54" i="5"/>
  <c r="T208" i="5"/>
  <c r="T192" i="5"/>
  <c r="T209" i="5" s="1"/>
  <c r="BD383" i="5"/>
  <c r="BD212" i="5"/>
  <c r="BK202" i="5"/>
  <c r="BK282" i="5"/>
  <c r="BK277" i="5"/>
  <c r="BK268" i="5"/>
  <c r="DC94" i="5"/>
  <c r="DC91" i="5" s="1"/>
  <c r="CX91" i="5"/>
  <c r="CX92" i="5" s="1"/>
  <c r="AP195" i="5"/>
  <c r="AP212" i="5" s="1"/>
  <c r="AP147" i="5"/>
  <c r="AP145" i="5"/>
  <c r="AP144" i="5"/>
  <c r="CR19" i="5"/>
  <c r="CS21" i="5"/>
  <c r="BT191" i="5"/>
  <c r="BT121" i="5"/>
  <c r="BT124" i="5"/>
  <c r="BB382" i="5"/>
  <c r="BB328" i="5"/>
  <c r="BB324" i="5"/>
  <c r="BB320" i="5"/>
  <c r="BB332" i="5"/>
  <c r="BB207" i="5"/>
  <c r="BJ381" i="5"/>
  <c r="BJ327" i="5"/>
  <c r="BJ323" i="5"/>
  <c r="BJ319" i="5"/>
  <c r="BJ206" i="5"/>
  <c r="BJ331" i="5"/>
  <c r="BJ190" i="5"/>
  <c r="BZ195" i="5"/>
  <c r="BZ212" i="5" s="1"/>
  <c r="BZ145" i="5"/>
  <c r="BZ144" i="5"/>
  <c r="BZ147" i="5"/>
  <c r="CB195" i="5"/>
  <c r="CB212" i="5" s="1"/>
  <c r="BA381" i="5"/>
  <c r="BA327" i="5"/>
  <c r="BA323" i="5"/>
  <c r="BA319" i="5"/>
  <c r="BA331" i="5"/>
  <c r="BA206" i="5"/>
  <c r="BA190" i="5"/>
  <c r="AU282" i="5"/>
  <c r="AU268" i="5"/>
  <c r="AU202" i="5"/>
  <c r="AU277" i="5"/>
  <c r="AV381" i="5"/>
  <c r="AV319" i="5"/>
  <c r="AV327" i="5"/>
  <c r="AV331" i="5"/>
  <c r="AV323" i="5"/>
  <c r="AV206" i="5"/>
  <c r="AV190" i="5"/>
  <c r="Q191" i="5"/>
  <c r="Q124" i="5"/>
  <c r="Q121" i="5"/>
  <c r="CL191" i="5"/>
  <c r="CL121" i="5"/>
  <c r="CL124" i="5"/>
  <c r="CL125" i="5" s="1"/>
  <c r="AZ200" i="5"/>
  <c r="AZ185" i="5"/>
  <c r="BC282" i="5"/>
  <c r="BC202" i="5"/>
  <c r="BC277" i="5"/>
  <c r="BC268" i="5"/>
  <c r="AV385" i="5"/>
  <c r="AV153" i="5"/>
  <c r="AW381" i="5"/>
  <c r="AW327" i="5"/>
  <c r="AW331" i="5"/>
  <c r="AW323" i="5"/>
  <c r="AW319" i="5"/>
  <c r="AW206" i="5"/>
  <c r="AW190" i="5"/>
  <c r="BN152" i="5"/>
  <c r="BN149" i="5"/>
  <c r="BN148" i="5"/>
  <c r="BN151" i="5"/>
  <c r="BO151" i="5" s="1"/>
  <c r="BN176" i="5"/>
  <c r="BA383" i="5"/>
  <c r="BA212" i="5"/>
  <c r="AB208" i="5"/>
  <c r="AB192" i="5"/>
  <c r="AB209" i="5" s="1"/>
  <c r="BO189" i="5"/>
  <c r="BO122" i="5"/>
  <c r="BO123" i="5" s="1"/>
  <c r="BO120" i="5"/>
  <c r="BO128" i="5"/>
  <c r="BO130" i="5" s="1"/>
  <c r="BO143" i="5"/>
  <c r="V206" i="5"/>
  <c r="V190" i="5"/>
  <c r="V207" i="5" s="1"/>
  <c r="BM381" i="5"/>
  <c r="BM327" i="5"/>
  <c r="BM323" i="5"/>
  <c r="BM331" i="5"/>
  <c r="BM319" i="5"/>
  <c r="BM206" i="5"/>
  <c r="BM190" i="5"/>
  <c r="CN200" i="5"/>
  <c r="CN185" i="5"/>
  <c r="CE202" i="5"/>
  <c r="CE277" i="5"/>
  <c r="CE268" i="5"/>
  <c r="CE282" i="5"/>
  <c r="BJ200" i="5"/>
  <c r="BJ185" i="5"/>
  <c r="P21" i="171"/>
  <c r="P56" i="171" s="1"/>
  <c r="P26" i="171"/>
  <c r="BH386" i="5"/>
  <c r="BH387" i="5" s="1"/>
  <c r="BH329" i="5"/>
  <c r="BH325" i="5"/>
  <c r="BH321" i="5"/>
  <c r="BH208" i="5"/>
  <c r="BH192" i="5"/>
  <c r="BH209" i="5" s="1"/>
  <c r="BH333" i="5"/>
  <c r="CC191" i="5"/>
  <c r="CC124" i="5"/>
  <c r="CC121" i="5"/>
  <c r="CH121" i="5"/>
  <c r="CH206" i="5"/>
  <c r="CH190" i="5"/>
  <c r="CH207" i="5" s="1"/>
  <c r="CS286" i="5"/>
  <c r="M123" i="5"/>
  <c r="R123" i="5"/>
  <c r="BD196" i="5"/>
  <c r="BD151" i="5"/>
  <c r="BD152" i="5" s="1"/>
  <c r="BD149" i="5"/>
  <c r="BD150" i="5" s="1"/>
  <c r="BD148" i="5"/>
  <c r="BD176" i="5"/>
  <c r="BJ191" i="5"/>
  <c r="BJ124" i="5"/>
  <c r="BJ121" i="5"/>
  <c r="BZ191" i="5"/>
  <c r="BZ124" i="5"/>
  <c r="BZ125" i="5" s="1"/>
  <c r="BZ121" i="5"/>
  <c r="CB191" i="5"/>
  <c r="BB386" i="5"/>
  <c r="BB387" i="5" s="1"/>
  <c r="BB325" i="5"/>
  <c r="BB333" i="5"/>
  <c r="BB321" i="5"/>
  <c r="BB329" i="5"/>
  <c r="BB208" i="5"/>
  <c r="BB192" i="5"/>
  <c r="BB209" i="5" s="1"/>
  <c r="CC277" i="5"/>
  <c r="CC282" i="5"/>
  <c r="CC202" i="5"/>
  <c r="CC268" i="5"/>
  <c r="BV206" i="5"/>
  <c r="BV190" i="5"/>
  <c r="BV207" i="5" s="1"/>
  <c r="S125" i="5"/>
  <c r="BS191" i="5"/>
  <c r="BS124" i="5"/>
  <c r="BS121" i="5"/>
  <c r="BX121" i="5"/>
  <c r="CD381" i="5"/>
  <c r="CD327" i="5"/>
  <c r="CD323" i="5"/>
  <c r="CD319" i="5"/>
  <c r="CD206" i="5"/>
  <c r="CD190" i="5"/>
  <c r="CD331" i="5"/>
  <c r="CL206" i="5"/>
  <c r="CL190" i="5"/>
  <c r="CL207" i="5" s="1"/>
  <c r="AM331" i="5"/>
  <c r="AM327" i="5"/>
  <c r="AM323" i="5"/>
  <c r="AM319" i="5"/>
  <c r="AM206" i="5"/>
  <c r="AM190" i="5"/>
  <c r="AI191" i="5"/>
  <c r="AI124" i="5"/>
  <c r="AI121" i="5"/>
  <c r="AL191" i="5"/>
  <c r="AM191" i="5"/>
  <c r="AN121" i="5"/>
  <c r="AJ191" i="5"/>
  <c r="AH206" i="5"/>
  <c r="AH190" i="5"/>
  <c r="AH207" i="5" s="1"/>
  <c r="AE191" i="5"/>
  <c r="AE124" i="5"/>
  <c r="AE121" i="5"/>
  <c r="AJ121" i="5"/>
  <c r="AH191" i="5"/>
  <c r="AG191" i="5"/>
  <c r="DH57" i="5"/>
  <c r="DI57" i="5"/>
  <c r="CH216" i="5"/>
  <c r="CH222" i="5" s="1"/>
  <c r="CH177" i="5"/>
  <c r="AC125" i="5"/>
  <c r="AJ216" i="5"/>
  <c r="AJ222" i="5" s="1"/>
  <c r="AJ177" i="5"/>
  <c r="AY216" i="5"/>
  <c r="AY222" i="5" s="1"/>
  <c r="AY177" i="5"/>
  <c r="AY385" i="5"/>
  <c r="Q56" i="171"/>
  <c r="F20" i="171"/>
  <c r="CX76" i="5"/>
  <c r="CX60" i="5"/>
  <c r="AW191" i="5"/>
  <c r="AW124" i="5"/>
  <c r="AW121" i="5"/>
  <c r="AY191" i="5"/>
  <c r="BB121" i="5"/>
  <c r="CK195" i="5"/>
  <c r="CK212" i="5" s="1"/>
  <c r="CK145" i="5"/>
  <c r="CK144" i="5"/>
  <c r="CK147" i="5"/>
  <c r="AF195" i="5"/>
  <c r="AF212" i="5" s="1"/>
  <c r="AF147" i="5"/>
  <c r="AF144" i="5"/>
  <c r="AF145" i="5"/>
  <c r="BB277" i="5"/>
  <c r="BB202" i="5"/>
  <c r="BB282" i="5"/>
  <c r="BB268" i="5"/>
  <c r="CB202" i="5"/>
  <c r="CB277" i="5"/>
  <c r="CB282" i="5"/>
  <c r="CB268" i="5"/>
  <c r="CA123" i="5"/>
  <c r="CF123" i="5"/>
  <c r="BV202" i="5"/>
  <c r="BV282" i="5"/>
  <c r="BV277" i="5"/>
  <c r="BV268" i="5"/>
  <c r="CJ152" i="5"/>
  <c r="AA195" i="5"/>
  <c r="AA212" i="5" s="1"/>
  <c r="AA147" i="5"/>
  <c r="AA144" i="5"/>
  <c r="AA145" i="5"/>
  <c r="AA282" i="5"/>
  <c r="AA277" i="5"/>
  <c r="AA268" i="5"/>
  <c r="AA202" i="5"/>
  <c r="Q282" i="5"/>
  <c r="Q277" i="5"/>
  <c r="Q268" i="5"/>
  <c r="Q202" i="5"/>
  <c r="CM276" i="5"/>
  <c r="CM202" i="5"/>
  <c r="CM282" i="5"/>
  <c r="CM268" i="5"/>
  <c r="V123" i="5"/>
  <c r="R206" i="5"/>
  <c r="R190" i="5"/>
  <c r="R207" i="5" s="1"/>
  <c r="O206" i="5"/>
  <c r="O190" i="5"/>
  <c r="O207" i="5" s="1"/>
  <c r="BM191" i="5"/>
  <c r="BM124" i="5"/>
  <c r="BM125" i="5" s="1"/>
  <c r="BM121" i="5"/>
  <c r="CP255" i="5"/>
  <c r="CQ256" i="5"/>
  <c r="BQ191" i="5"/>
  <c r="BQ124" i="5"/>
  <c r="BQ121" i="5"/>
  <c r="BV121" i="5"/>
  <c r="O41" i="171"/>
  <c r="Z191" i="5"/>
  <c r="Z124" i="5"/>
  <c r="Z125" i="5" s="1"/>
  <c r="Z121" i="5"/>
  <c r="AC191" i="5"/>
  <c r="AD191" i="5"/>
  <c r="CK277" i="5"/>
  <c r="CP277" i="5" s="1"/>
  <c r="CK282" i="5"/>
  <c r="CK202" i="5"/>
  <c r="CK268" i="5"/>
  <c r="AX191" i="5"/>
  <c r="AX124" i="5"/>
  <c r="AX121" i="5"/>
  <c r="BC121" i="5"/>
  <c r="Y196" i="5"/>
  <c r="Y213" i="5" s="1"/>
  <c r="CX32" i="5"/>
  <c r="DC30" i="5"/>
  <c r="CX28" i="5"/>
  <c r="AR153" i="5"/>
  <c r="BP191" i="5"/>
  <c r="BC382" i="5"/>
  <c r="BC332" i="5"/>
  <c r="BC328" i="5"/>
  <c r="BC324" i="5"/>
  <c r="BC320" i="5"/>
  <c r="BC207" i="5"/>
  <c r="BI191" i="5"/>
  <c r="BI124" i="5"/>
  <c r="BI125" i="5" s="1"/>
  <c r="BI121" i="5"/>
  <c r="L200" i="5"/>
  <c r="L185" i="5"/>
  <c r="AK122" i="5"/>
  <c r="AK123" i="5" s="1"/>
  <c r="AK120" i="5"/>
  <c r="AK189" i="5"/>
  <c r="AK143" i="5"/>
  <c r="BF385" i="5"/>
  <c r="BF153" i="5"/>
  <c r="BP177" i="5"/>
  <c r="BP216" i="5"/>
  <c r="BP222" i="5" s="1"/>
  <c r="CS63" i="5"/>
  <c r="H48" i="171"/>
  <c r="CX63" i="5"/>
  <c r="CQ279" i="5"/>
  <c r="CP133" i="5"/>
  <c r="CP134" i="5" s="1"/>
  <c r="AO216" i="5"/>
  <c r="AO222" i="5" s="1"/>
  <c r="AO177" i="5"/>
  <c r="AO153" i="5"/>
  <c r="AH282" i="5"/>
  <c r="AH202" i="5"/>
  <c r="AH277" i="5"/>
  <c r="AH268" i="5"/>
  <c r="AB152" i="5"/>
  <c r="AB176" i="5"/>
  <c r="AB177" i="5" s="1"/>
  <c r="AB196" i="5"/>
  <c r="AB213" i="5" s="1"/>
  <c r="AB149" i="5"/>
  <c r="AB148" i="5"/>
  <c r="AG148" i="5"/>
  <c r="CS272" i="5"/>
  <c r="AH153" i="5"/>
  <c r="BD386" i="5"/>
  <c r="BD387" i="5" s="1"/>
  <c r="BD329" i="5"/>
  <c r="BD325" i="5"/>
  <c r="BD321" i="5"/>
  <c r="BD192" i="5"/>
  <c r="BD209" i="5" s="1"/>
  <c r="BD208" i="5"/>
  <c r="BD333" i="5"/>
  <c r="CC206" i="5"/>
  <c r="CC190" i="5"/>
  <c r="CC207" i="5" s="1"/>
  <c r="N195" i="5"/>
  <c r="N212" i="5" s="1"/>
  <c r="N147" i="5"/>
  <c r="N144" i="5"/>
  <c r="N145" i="5"/>
  <c r="P195" i="5"/>
  <c r="P212" i="5" s="1"/>
  <c r="CG202" i="5"/>
  <c r="CG277" i="5"/>
  <c r="CG282" i="5"/>
  <c r="CG268" i="5"/>
  <c r="S145" i="5"/>
  <c r="V146" i="5"/>
  <c r="V147" i="5" s="1"/>
  <c r="CE191" i="5"/>
  <c r="CE124" i="5"/>
  <c r="CE121" i="5"/>
  <c r="CH191" i="5"/>
  <c r="CF191" i="5"/>
  <c r="CJ121" i="5"/>
  <c r="BW123" i="5"/>
  <c r="CB123" i="5"/>
  <c r="AM282" i="5"/>
  <c r="AM202" i="5"/>
  <c r="AM268" i="5"/>
  <c r="AM277" i="5"/>
  <c r="M191" i="5"/>
  <c r="M124" i="5"/>
  <c r="M121" i="5"/>
  <c r="R121" i="5"/>
  <c r="K145" i="5"/>
  <c r="K147" i="5"/>
  <c r="P148" i="5" s="1"/>
  <c r="K144" i="5"/>
  <c r="G230" i="5"/>
  <c r="G245" i="5"/>
  <c r="G248" i="5" s="1"/>
  <c r="CI191" i="5"/>
  <c r="CI121" i="5"/>
  <c r="CI124" i="5"/>
  <c r="AP123" i="5"/>
  <c r="CR24" i="5"/>
  <c r="BT123" i="5"/>
  <c r="BJ145" i="5"/>
  <c r="BJ195" i="5"/>
  <c r="BJ144" i="5"/>
  <c r="BJ147" i="5"/>
  <c r="CX96" i="5"/>
  <c r="DC99" i="5"/>
  <c r="DC96" i="5" s="1"/>
  <c r="W208" i="5"/>
  <c r="W192" i="5"/>
  <c r="W209" i="5" s="1"/>
  <c r="BK191" i="5"/>
  <c r="BK124" i="5"/>
  <c r="BK121" i="5"/>
  <c r="BL191" i="5"/>
  <c r="BP121" i="5"/>
  <c r="BV216" i="5"/>
  <c r="BV222" i="5" s="1"/>
  <c r="BV177" i="5"/>
  <c r="AI195" i="5"/>
  <c r="AI212" i="5" s="1"/>
  <c r="AI146" i="5"/>
  <c r="AI144" i="5"/>
  <c r="AM195" i="5"/>
  <c r="AM212" i="5" s="1"/>
  <c r="AL195" i="5"/>
  <c r="AL212" i="5" s="1"/>
  <c r="AJ195" i="5"/>
  <c r="AJ212" i="5" s="1"/>
  <c r="AE195" i="5"/>
  <c r="AE212" i="5" s="1"/>
  <c r="AE147" i="5"/>
  <c r="AE145" i="5"/>
  <c r="AE144" i="5"/>
  <c r="AG195" i="5"/>
  <c r="AG212" i="5" s="1"/>
  <c r="AH195" i="5"/>
  <c r="AH212" i="5" s="1"/>
  <c r="AY381" i="5"/>
  <c r="AY331" i="5"/>
  <c r="AY327" i="5"/>
  <c r="AY323" i="5"/>
  <c r="AY319" i="5"/>
  <c r="AY206" i="5"/>
  <c r="AY190" i="5"/>
  <c r="CO186" i="5"/>
  <c r="CO203" i="5" s="1"/>
  <c r="CO83" i="5"/>
  <c r="CO82" i="5"/>
  <c r="BI277" i="5"/>
  <c r="BI282" i="5"/>
  <c r="BI202" i="5"/>
  <c r="BI268" i="5"/>
  <c r="AG277" i="5"/>
  <c r="AG202" i="5"/>
  <c r="AG282" i="5"/>
  <c r="AG268" i="5"/>
  <c r="BQ195" i="5"/>
  <c r="BQ212" i="5" s="1"/>
  <c r="BQ145" i="5"/>
  <c r="BQ144" i="5"/>
  <c r="BQ147" i="5"/>
  <c r="AX195" i="5"/>
  <c r="AX147" i="5"/>
  <c r="AX145" i="5"/>
  <c r="AX144" i="5"/>
  <c r="CB216" i="5"/>
  <c r="CB222" i="5" s="1"/>
  <c r="CB177" i="5"/>
  <c r="CS228" i="5"/>
  <c r="CS181" i="5"/>
  <c r="CS116" i="5"/>
  <c r="BH383" i="5"/>
  <c r="BH212" i="5"/>
  <c r="L189" i="5"/>
  <c r="L122" i="5"/>
  <c r="L123" i="5" s="1"/>
  <c r="L120" i="5"/>
  <c r="L143" i="5"/>
  <c r="AK200" i="5"/>
  <c r="AK185" i="5"/>
  <c r="BF384" i="5"/>
  <c r="BF213" i="5"/>
  <c r="BC386" i="5"/>
  <c r="BC387" i="5" s="1"/>
  <c r="BC329" i="5"/>
  <c r="BC325" i="5"/>
  <c r="BC321" i="5"/>
  <c r="BC333" i="5"/>
  <c r="BC208" i="5"/>
  <c r="BC192" i="5"/>
  <c r="BC209" i="5" s="1"/>
  <c r="S152" i="5"/>
  <c r="S149" i="5"/>
  <c r="S148" i="5"/>
  <c r="S176" i="5"/>
  <c r="S177" i="5" s="1"/>
  <c r="BM391" i="5"/>
  <c r="BM392" i="5"/>
  <c r="BM390" i="5"/>
  <c r="BN369" i="5"/>
  <c r="CE206" i="5"/>
  <c r="CE190" i="5"/>
  <c r="CE207" i="5" s="1"/>
  <c r="BW206" i="5"/>
  <c r="BW190" i="5"/>
  <c r="BW207" i="5" s="1"/>
  <c r="CP265" i="5"/>
  <c r="CQ263" i="5"/>
  <c r="CS158" i="5"/>
  <c r="CX157" i="5"/>
  <c r="CX236" i="5" s="1"/>
  <c r="CX155" i="5"/>
  <c r="T27" i="171"/>
  <c r="BU124" i="5"/>
  <c r="BU125" i="5" s="1"/>
  <c r="BU121" i="5"/>
  <c r="BU191" i="5"/>
  <c r="BX191" i="5"/>
  <c r="BV191" i="5"/>
  <c r="BH382" i="5"/>
  <c r="BH328" i="5"/>
  <c r="BH324" i="5"/>
  <c r="BH320" i="5"/>
  <c r="BH207" i="5"/>
  <c r="BH332" i="5"/>
  <c r="AF200" i="5"/>
  <c r="AF185" i="5"/>
  <c r="CA202" i="5"/>
  <c r="CA282" i="5"/>
  <c r="CA277" i="5"/>
  <c r="CA268" i="5"/>
  <c r="BE200" i="5"/>
  <c r="BE185" i="5"/>
  <c r="CR229" i="5"/>
  <c r="CR218" i="5"/>
  <c r="CS218" i="5" s="1"/>
  <c r="CS217" i="5"/>
  <c r="CS229" i="5" s="1"/>
  <c r="BD382" i="5"/>
  <c r="BD328" i="5"/>
  <c r="BD320" i="5"/>
  <c r="BD324" i="5"/>
  <c r="BD207" i="5"/>
  <c r="BD332" i="5"/>
  <c r="AT191" i="5"/>
  <c r="AT124" i="5"/>
  <c r="AT121" i="5"/>
  <c r="AY121" i="5"/>
  <c r="AV191" i="5"/>
  <c r="BF382" i="5"/>
  <c r="BF332" i="5"/>
  <c r="BF328" i="5"/>
  <c r="BF324" i="5"/>
  <c r="BF320" i="5"/>
  <c r="BF207" i="5"/>
  <c r="BK195" i="5"/>
  <c r="BK147" i="5"/>
  <c r="BN196" i="5" s="1"/>
  <c r="BK144" i="5"/>
  <c r="BK145" i="5"/>
  <c r="BL195" i="5"/>
  <c r="CJ206" i="5"/>
  <c r="CJ190" i="5"/>
  <c r="CJ207" i="5" s="1"/>
  <c r="Q206" i="5"/>
  <c r="Q190" i="5"/>
  <c r="Q207" i="5" s="1"/>
  <c r="CN189" i="5"/>
  <c r="CN128" i="5"/>
  <c r="CN122" i="5"/>
  <c r="CN120" i="5"/>
  <c r="CN143" i="5"/>
  <c r="CD195" i="5"/>
  <c r="CD147" i="5"/>
  <c r="CD144" i="5"/>
  <c r="CD145" i="5"/>
  <c r="CB206" i="5"/>
  <c r="CB190" i="5"/>
  <c r="CB207" i="5" s="1"/>
  <c r="BZ206" i="5"/>
  <c r="BZ190" i="5"/>
  <c r="BZ207" i="5" s="1"/>
  <c r="BU195" i="5"/>
  <c r="BU212" i="5" s="1"/>
  <c r="BU147" i="5"/>
  <c r="BU145" i="5"/>
  <c r="BU144" i="5"/>
  <c r="BX195" i="5"/>
  <c r="BX212" i="5" s="1"/>
  <c r="BV195" i="5"/>
  <c r="BV212" i="5" s="1"/>
  <c r="X192" i="5"/>
  <c r="X209" i="5" s="1"/>
  <c r="X208" i="5"/>
  <c r="BG196" i="5"/>
  <c r="AT195" i="5"/>
  <c r="AT212" i="5" s="1"/>
  <c r="AT147" i="5"/>
  <c r="AT144" i="5"/>
  <c r="AT145" i="5"/>
  <c r="AV195" i="5"/>
  <c r="AT331" i="5"/>
  <c r="AT323" i="5"/>
  <c r="AT327" i="5"/>
  <c r="AT319" i="5"/>
  <c r="AT206" i="5"/>
  <c r="AT190" i="5"/>
  <c r="BK123" i="5"/>
  <c r="BP123" i="5"/>
  <c r="CG145" i="5"/>
  <c r="CG144" i="5"/>
  <c r="CG195" i="5"/>
  <c r="CG212" i="5" s="1"/>
  <c r="CG147" i="5"/>
  <c r="CJ195" i="5"/>
  <c r="CJ212" i="5" s="1"/>
  <c r="Q144" i="5"/>
  <c r="Q195" i="5"/>
  <c r="Q212" i="5" s="1"/>
  <c r="S208" i="5"/>
  <c r="S192" i="5"/>
  <c r="S209" i="5" s="1"/>
  <c r="AW277" i="5"/>
  <c r="AW202" i="5"/>
  <c r="AW268" i="5"/>
  <c r="AW282" i="5"/>
  <c r="BS123" i="5"/>
  <c r="BX123" i="5"/>
  <c r="CD191" i="5"/>
  <c r="CD121" i="5"/>
  <c r="CD124" i="5"/>
  <c r="CL195" i="5"/>
  <c r="CL212" i="5" s="1"/>
  <c r="CL145" i="5"/>
  <c r="CL144" i="5"/>
  <c r="CL147" i="5"/>
  <c r="AC148" i="5"/>
  <c r="AU191" i="5"/>
  <c r="AU124" i="5"/>
  <c r="AU121" i="5"/>
  <c r="BR195" i="5"/>
  <c r="BR212" i="5" s="1"/>
  <c r="BR145" i="5"/>
  <c r="BR144" i="5"/>
  <c r="BR147" i="5"/>
  <c r="AV216" i="5"/>
  <c r="AV222" i="5" s="1"/>
  <c r="AV177" i="5"/>
  <c r="AJ206" i="5"/>
  <c r="AJ190" i="5"/>
  <c r="AJ207" i="5" s="1"/>
  <c r="AI206" i="5"/>
  <c r="AI190" i="5"/>
  <c r="AI207" i="5" s="1"/>
  <c r="BJ168" i="5"/>
  <c r="BF168" i="5"/>
  <c r="BG168" i="5" s="1"/>
  <c r="BH168" i="5" s="1"/>
  <c r="BI168" i="5" s="1"/>
  <c r="AG206" i="5"/>
  <c r="AG190" i="5"/>
  <c r="AG207" i="5" s="1"/>
  <c r="AE206" i="5"/>
  <c r="AE190" i="5"/>
  <c r="AE207" i="5" s="1"/>
  <c r="BN368" i="5"/>
  <c r="P35" i="171"/>
  <c r="CM206" i="5"/>
  <c r="CM190" i="5"/>
  <c r="CM207" i="5" s="1"/>
  <c r="BM202" i="5"/>
  <c r="BM277" i="5"/>
  <c r="BM268" i="5"/>
  <c r="BM282" i="5"/>
  <c r="AQ216" i="5"/>
  <c r="AQ222" i="5" s="1"/>
  <c r="AQ177" i="5"/>
  <c r="AQ153" i="5"/>
  <c r="AW123" i="5"/>
  <c r="BB123" i="5"/>
  <c r="CK206" i="5"/>
  <c r="CK190" i="5"/>
  <c r="CK207" i="5" s="1"/>
  <c r="AF191" i="5"/>
  <c r="AF121" i="5"/>
  <c r="AF124" i="5"/>
  <c r="BN195" i="5"/>
  <c r="CA206" i="5"/>
  <c r="CA190" i="5"/>
  <c r="CA207" i="5" s="1"/>
  <c r="BY200" i="5"/>
  <c r="BY185" i="5"/>
  <c r="BA152" i="5"/>
  <c r="BA196" i="5"/>
  <c r="BA148" i="5"/>
  <c r="BA149" i="5"/>
  <c r="BA150" i="5" s="1"/>
  <c r="BA176" i="5"/>
  <c r="BB196" i="5"/>
  <c r="CJ216" i="5"/>
  <c r="CJ222" i="5" s="1"/>
  <c r="CJ177" i="5"/>
  <c r="AA123" i="5"/>
  <c r="O26" i="171"/>
  <c r="O21" i="171"/>
  <c r="O56" i="171" s="1"/>
  <c r="V191" i="5"/>
  <c r="V124" i="5"/>
  <c r="V125" i="5" s="1"/>
  <c r="V121" i="5"/>
  <c r="O195" i="5"/>
  <c r="O212" i="5" s="1"/>
  <c r="O144" i="5"/>
  <c r="O146" i="5"/>
  <c r="O147" i="5" s="1"/>
  <c r="R195" i="5"/>
  <c r="R212" i="5" s="1"/>
  <c r="BQ123" i="5"/>
  <c r="BV123" i="5"/>
  <c r="CP81" i="5"/>
  <c r="CP25" i="5"/>
  <c r="CP90" i="5"/>
  <c r="CP54" i="5"/>
  <c r="Z195" i="5"/>
  <c r="Z212" i="5" s="1"/>
  <c r="Z145" i="5"/>
  <c r="Z144" i="5"/>
  <c r="Z147" i="5"/>
  <c r="AD195" i="5"/>
  <c r="AD212" i="5" s="1"/>
  <c r="AC195" i="5"/>
  <c r="AC212" i="5" s="1"/>
  <c r="AX381" i="5"/>
  <c r="AX331" i="5"/>
  <c r="AX323" i="5"/>
  <c r="AX319" i="5"/>
  <c r="AX327" i="5"/>
  <c r="AX206" i="5"/>
  <c r="AX190" i="5"/>
  <c r="CR181" i="5"/>
  <c r="CR116" i="5"/>
  <c r="CR228" i="5"/>
  <c r="BI381" i="5"/>
  <c r="BI331" i="5"/>
  <c r="BI323" i="5"/>
  <c r="BI319" i="5"/>
  <c r="BI327" i="5"/>
  <c r="BI206" i="5"/>
  <c r="BI190" i="5"/>
  <c r="BH176" i="5"/>
  <c r="BH152" i="5"/>
  <c r="BH196" i="5"/>
  <c r="BH149" i="5"/>
  <c r="BH150" i="5" s="1"/>
  <c r="BH148" i="5"/>
  <c r="DC9" i="5"/>
  <c r="I40" i="171"/>
  <c r="CX4" i="5"/>
  <c r="BQ282" i="5"/>
  <c r="BQ202" i="5"/>
  <c r="BQ277" i="5"/>
  <c r="BQ268" i="5"/>
  <c r="CO269" i="5"/>
  <c r="CP267" i="5"/>
  <c r="BF216" i="5"/>
  <c r="BF222" i="5" s="1"/>
  <c r="BF177" i="5"/>
  <c r="CS141" i="5"/>
  <c r="T23" i="171"/>
  <c r="CX141" i="5"/>
  <c r="T176" i="5"/>
  <c r="T177" i="5" s="1"/>
  <c r="T196" i="5"/>
  <c r="T213" i="5" s="1"/>
  <c r="T152" i="5"/>
  <c r="T149" i="5"/>
  <c r="AO150" i="5"/>
  <c r="CS163" i="5"/>
  <c r="CS162" i="5"/>
  <c r="DC164" i="5"/>
  <c r="DC165" i="5" s="1"/>
  <c r="CX165" i="5"/>
  <c r="CR236" i="5"/>
  <c r="CS157" i="5"/>
  <c r="BU282" i="5"/>
  <c r="BU202" i="5"/>
  <c r="BU277" i="5"/>
  <c r="BU268" i="5"/>
  <c r="AB195" i="5"/>
  <c r="AB212" i="5" s="1"/>
  <c r="AH216" i="5"/>
  <c r="AH222" i="5" s="1"/>
  <c r="AH177" i="5"/>
  <c r="CC145" i="5"/>
  <c r="CC144" i="5"/>
  <c r="CC147" i="5"/>
  <c r="CC195" i="5"/>
  <c r="CC212" i="5" s="1"/>
  <c r="AT268" i="5"/>
  <c r="AT202" i="5"/>
  <c r="AT277" i="5"/>
  <c r="AT282" i="5"/>
  <c r="CD368" i="5"/>
  <c r="CF206" i="5"/>
  <c r="CF190" i="5"/>
  <c r="CF207" i="5" s="1"/>
  <c r="CE123" i="5"/>
  <c r="CJ123" i="5"/>
  <c r="BF383" i="5"/>
  <c r="BF212" i="5"/>
  <c r="BW191" i="5"/>
  <c r="BW124" i="5"/>
  <c r="BW121" i="5"/>
  <c r="CB121" i="5"/>
  <c r="M206" i="5"/>
  <c r="M190" i="5"/>
  <c r="M207" i="5" s="1"/>
  <c r="T125" i="5"/>
  <c r="BN121" i="5"/>
  <c r="K124" i="5"/>
  <c r="P125" i="5" s="1"/>
  <c r="P121" i="5"/>
  <c r="BC216" i="5"/>
  <c r="BC222" i="5" s="1"/>
  <c r="BC177" i="5"/>
  <c r="BA191" i="5"/>
  <c r="U196" i="5"/>
  <c r="U213" i="5" s="1"/>
  <c r="CI123" i="5"/>
  <c r="F50" i="171"/>
  <c r="AP191" i="5"/>
  <c r="AP124" i="5"/>
  <c r="BO185" i="5"/>
  <c r="BO200" i="5"/>
  <c r="BX216" i="5"/>
  <c r="BX222" i="5" s="1"/>
  <c r="BX177" i="5"/>
  <c r="BJ123" i="5"/>
  <c r="CP211" i="5" l="1"/>
  <c r="CP204" i="5"/>
  <c r="CP205" i="5"/>
  <c r="CP201" i="5"/>
  <c r="CP198" i="5"/>
  <c r="CP199" i="5"/>
  <c r="CP210" i="5"/>
  <c r="CO201" i="5"/>
  <c r="CO210" i="5"/>
  <c r="CO199" i="5"/>
  <c r="CO205" i="5"/>
  <c r="CO204" i="5"/>
  <c r="CO211" i="5"/>
  <c r="CO198" i="5"/>
  <c r="CQ199" i="5"/>
  <c r="CQ211" i="5"/>
  <c r="CQ198" i="5"/>
  <c r="CQ201" i="5"/>
  <c r="CQ205" i="5"/>
  <c r="CQ204" i="5"/>
  <c r="CQ210" i="5"/>
  <c r="CS211" i="5"/>
  <c r="H43" i="171"/>
  <c r="CS275" i="5"/>
  <c r="CX275" i="5" s="1"/>
  <c r="DC275" i="5" s="1"/>
  <c r="BD385" i="5"/>
  <c r="BD153" i="5"/>
  <c r="V196" i="5"/>
  <c r="V213" i="5" s="1"/>
  <c r="V152" i="5"/>
  <c r="V149" i="5"/>
  <c r="V176" i="5"/>
  <c r="CS81" i="5"/>
  <c r="O176" i="5"/>
  <c r="O177" i="5" s="1"/>
  <c r="O149" i="5"/>
  <c r="O196" i="5"/>
  <c r="O213" i="5" s="1"/>
  <c r="O152" i="5"/>
  <c r="T153" i="5" s="1"/>
  <c r="O148" i="5"/>
  <c r="R196" i="5"/>
  <c r="R213" i="5" s="1"/>
  <c r="S196" i="5"/>
  <c r="S213" i="5" s="1"/>
  <c r="T148" i="5"/>
  <c r="BN384" i="5"/>
  <c r="BN213" i="5"/>
  <c r="CS219" i="5"/>
  <c r="CX218" i="5"/>
  <c r="BA386" i="5"/>
  <c r="BA387" i="5" s="1"/>
  <c r="BA333" i="5"/>
  <c r="BA329" i="5"/>
  <c r="BA321" i="5"/>
  <c r="BA325" i="5"/>
  <c r="BA208" i="5"/>
  <c r="BA192" i="5"/>
  <c r="BA209" i="5" s="1"/>
  <c r="J40" i="171"/>
  <c r="DC4" i="5"/>
  <c r="CR198" i="5"/>
  <c r="CR204" i="5"/>
  <c r="CR205" i="5"/>
  <c r="CR211" i="5"/>
  <c r="CR199" i="5"/>
  <c r="CR210" i="5"/>
  <c r="CR201" i="5"/>
  <c r="CG148" i="5"/>
  <c r="CG196" i="5"/>
  <c r="CG213" i="5" s="1"/>
  <c r="CG151" i="5"/>
  <c r="CG152" i="5" s="1"/>
  <c r="CG153" i="5" s="1"/>
  <c r="CG149" i="5"/>
  <c r="CG150" i="5" s="1"/>
  <c r="CG176" i="5"/>
  <c r="CJ196" i="5"/>
  <c r="CJ213" i="5" s="1"/>
  <c r="BE202" i="5"/>
  <c r="BE277" i="5"/>
  <c r="BE282" i="5"/>
  <c r="BE268" i="5"/>
  <c r="L195" i="5"/>
  <c r="L212" i="5" s="1"/>
  <c r="L144" i="5"/>
  <c r="L147" i="5"/>
  <c r="L145" i="5"/>
  <c r="AI221" i="5"/>
  <c r="AK146" i="5"/>
  <c r="AK221" i="5" s="1"/>
  <c r="BK125" i="5"/>
  <c r="BP125" i="5"/>
  <c r="BJ383" i="5"/>
  <c r="BJ212" i="5"/>
  <c r="CE125" i="5"/>
  <c r="CJ125" i="5"/>
  <c r="Z208" i="5"/>
  <c r="Z192" i="5"/>
  <c r="Z209" i="5" s="1"/>
  <c r="BQ125" i="5"/>
  <c r="BV125" i="5"/>
  <c r="CN202" i="5"/>
  <c r="CN282" i="5"/>
  <c r="CN268" i="5"/>
  <c r="BN216" i="5"/>
  <c r="BN222" i="5" s="1"/>
  <c r="BN177" i="5"/>
  <c r="BD390" i="5"/>
  <c r="BG390" i="5"/>
  <c r="BC390" i="5"/>
  <c r="BF390" i="5"/>
  <c r="BE390" i="5"/>
  <c r="O208" i="5"/>
  <c r="O192" i="5"/>
  <c r="O209" i="5" s="1"/>
  <c r="BY195" i="5"/>
  <c r="BY147" i="5"/>
  <c r="BY144" i="5"/>
  <c r="BY145" i="5"/>
  <c r="AW383" i="5"/>
  <c r="AW212" i="5"/>
  <c r="BT383" i="5"/>
  <c r="BT212" i="5"/>
  <c r="CM151" i="5"/>
  <c r="CM152" i="5" s="1"/>
  <c r="CM153" i="5" s="1"/>
  <c r="CM149" i="5"/>
  <c r="CM150" i="5" s="1"/>
  <c r="CM148" i="5"/>
  <c r="CM196" i="5"/>
  <c r="CM213" i="5" s="1"/>
  <c r="CM176" i="5"/>
  <c r="CJ192" i="5"/>
  <c r="CJ209" i="5" s="1"/>
  <c r="CJ208" i="5"/>
  <c r="BE195" i="5"/>
  <c r="BE144" i="5"/>
  <c r="BE147" i="5"/>
  <c r="BE145" i="5"/>
  <c r="AF125" i="5"/>
  <c r="BR196" i="5"/>
  <c r="BR213" i="5" s="1"/>
  <c r="BR176" i="5"/>
  <c r="BR149" i="5"/>
  <c r="BR150" i="5" s="1"/>
  <c r="BR148" i="5"/>
  <c r="BR151" i="5"/>
  <c r="BR152" i="5" s="1"/>
  <c r="BR153" i="5" s="1"/>
  <c r="CL196" i="5"/>
  <c r="CL213" i="5" s="1"/>
  <c r="CL151" i="5"/>
  <c r="CL152" i="5" s="1"/>
  <c r="CL153" i="5" s="1"/>
  <c r="CL176" i="5"/>
  <c r="CL148" i="5"/>
  <c r="CL149" i="5"/>
  <c r="CL150" i="5" s="1"/>
  <c r="E51" i="171"/>
  <c r="BG384" i="5"/>
  <c r="BG213" i="5"/>
  <c r="CD383" i="5"/>
  <c r="CD212" i="5"/>
  <c r="AT125" i="5"/>
  <c r="AY125" i="5"/>
  <c r="CX238" i="5"/>
  <c r="U38" i="171"/>
  <c r="U41" i="171" s="1"/>
  <c r="CX244" i="5"/>
  <c r="L191" i="5"/>
  <c r="L121" i="5"/>
  <c r="L124" i="5"/>
  <c r="L125" i="5" s="1"/>
  <c r="AY382" i="5"/>
  <c r="AY332" i="5"/>
  <c r="AY320" i="5"/>
  <c r="AY324" i="5"/>
  <c r="AY328" i="5"/>
  <c r="AY207" i="5"/>
  <c r="AI147" i="5"/>
  <c r="BK386" i="5"/>
  <c r="BK387" i="5" s="1"/>
  <c r="BK333" i="5"/>
  <c r="BK325" i="5"/>
  <c r="BK321" i="5"/>
  <c r="BK329" i="5"/>
  <c r="BK208" i="5"/>
  <c r="BK192" i="5"/>
  <c r="BK209" i="5" s="1"/>
  <c r="CX97" i="5"/>
  <c r="CX104" i="5"/>
  <c r="DC104" i="5" s="1"/>
  <c r="CX103" i="5"/>
  <c r="DC103" i="5" s="1"/>
  <c r="CX102" i="5"/>
  <c r="DC102" i="5" s="1"/>
  <c r="CI125" i="5"/>
  <c r="F51" i="171"/>
  <c r="M208" i="5"/>
  <c r="M192" i="5"/>
  <c r="M209" i="5" s="1"/>
  <c r="CF208" i="5"/>
  <c r="CF192" i="5"/>
  <c r="CF209" i="5" s="1"/>
  <c r="CE208" i="5"/>
  <c r="CE192" i="5"/>
  <c r="CE209" i="5" s="1"/>
  <c r="CR279" i="5"/>
  <c r="CQ133" i="5"/>
  <c r="CQ134" i="5" s="1"/>
  <c r="BP208" i="5"/>
  <c r="BP192" i="5"/>
  <c r="BP209" i="5" s="1"/>
  <c r="AX125" i="5"/>
  <c r="BC125" i="5"/>
  <c r="AC208" i="5"/>
  <c r="AC192" i="5"/>
  <c r="AC209" i="5" s="1"/>
  <c r="BQ208" i="5"/>
  <c r="BQ192" i="5"/>
  <c r="BQ209" i="5" s="1"/>
  <c r="AY386" i="5"/>
  <c r="AY387" i="5" s="1"/>
  <c r="AY329" i="5"/>
  <c r="AY325" i="5"/>
  <c r="AY333" i="5"/>
  <c r="AY321" i="5"/>
  <c r="AY208" i="5"/>
  <c r="AY192" i="5"/>
  <c r="AY209" i="5" s="1"/>
  <c r="CX184" i="5"/>
  <c r="CX79" i="5"/>
  <c r="CX80" i="5" s="1"/>
  <c r="CX61" i="5"/>
  <c r="U14" i="171"/>
  <c r="AM329" i="5"/>
  <c r="AM325" i="5"/>
  <c r="AM321" i="5"/>
  <c r="AM333" i="5"/>
  <c r="AM208" i="5"/>
  <c r="AM192" i="5"/>
  <c r="AM209" i="5" s="1"/>
  <c r="AI208" i="5"/>
  <c r="AI192" i="5"/>
  <c r="AI209" i="5" s="1"/>
  <c r="BZ208" i="5"/>
  <c r="BZ192" i="5"/>
  <c r="BZ209" i="5" s="1"/>
  <c r="BD216" i="5"/>
  <c r="BD222" i="5" s="1"/>
  <c r="BD177" i="5"/>
  <c r="CX286" i="5"/>
  <c r="BO191" i="5"/>
  <c r="BO121" i="5"/>
  <c r="BO124" i="5"/>
  <c r="BO125" i="5" s="1"/>
  <c r="Q125" i="5"/>
  <c r="BT386" i="5"/>
  <c r="BT387" i="5" s="1"/>
  <c r="BT329" i="5"/>
  <c r="BT325" i="5"/>
  <c r="BT321" i="5"/>
  <c r="BT192" i="5"/>
  <c r="BT209" i="5" s="1"/>
  <c r="BT208" i="5"/>
  <c r="BT333" i="5"/>
  <c r="DC92" i="5"/>
  <c r="BF150" i="5"/>
  <c r="BI383" i="5"/>
  <c r="BI212" i="5"/>
  <c r="BM383" i="5"/>
  <c r="BM212" i="5"/>
  <c r="R208" i="5"/>
  <c r="R192" i="5"/>
  <c r="R209" i="5" s="1"/>
  <c r="BY121" i="5"/>
  <c r="BY191" i="5"/>
  <c r="BY124" i="5"/>
  <c r="BY125" i="5" s="1"/>
  <c r="CA125" i="5"/>
  <c r="CF125" i="5"/>
  <c r="AY383" i="5"/>
  <c r="AY212" i="5"/>
  <c r="AU152" i="5"/>
  <c r="AU149" i="5"/>
  <c r="AU148" i="5"/>
  <c r="AU196" i="5"/>
  <c r="AU213" i="5" s="1"/>
  <c r="AU176" i="5"/>
  <c r="CD123" i="5"/>
  <c r="BL382" i="5"/>
  <c r="BL332" i="5"/>
  <c r="BL328" i="5"/>
  <c r="BL324" i="5"/>
  <c r="BL320" i="5"/>
  <c r="BL207" i="5"/>
  <c r="AZ191" i="5"/>
  <c r="AZ121" i="5"/>
  <c r="AZ124" i="5"/>
  <c r="AZ125" i="5" s="1"/>
  <c r="AP332" i="5"/>
  <c r="AP328" i="5"/>
  <c r="AP324" i="5"/>
  <c r="AP320" i="5"/>
  <c r="AP207" i="5"/>
  <c r="CI149" i="5"/>
  <c r="CI196" i="5"/>
  <c r="CI148" i="5"/>
  <c r="CI176" i="5"/>
  <c r="AA208" i="5"/>
  <c r="AA192" i="5"/>
  <c r="AA209" i="5" s="1"/>
  <c r="CA151" i="5"/>
  <c r="CA152" i="5" s="1"/>
  <c r="CA149" i="5"/>
  <c r="CA196" i="5"/>
  <c r="CA213" i="5" s="1"/>
  <c r="CA148" i="5"/>
  <c r="CA176" i="5"/>
  <c r="CF148" i="5"/>
  <c r="BE124" i="5"/>
  <c r="BE125" i="5" s="1"/>
  <c r="BE191" i="5"/>
  <c r="BE121" i="5"/>
  <c r="AP325" i="5"/>
  <c r="AP321" i="5"/>
  <c r="AP333" i="5"/>
  <c r="AP329" i="5"/>
  <c r="AP208" i="5"/>
  <c r="AP192" i="5"/>
  <c r="AP209" i="5" s="1"/>
  <c r="BW208" i="5"/>
  <c r="BW192" i="5"/>
  <c r="BW209" i="5" s="1"/>
  <c r="CI368" i="5"/>
  <c r="BH385" i="5"/>
  <c r="BH153" i="5"/>
  <c r="AX382" i="5"/>
  <c r="AX328" i="5"/>
  <c r="AX324" i="5"/>
  <c r="AX332" i="5"/>
  <c r="AX320" i="5"/>
  <c r="AX207" i="5"/>
  <c r="BN383" i="5"/>
  <c r="BN212" i="5"/>
  <c r="CD196" i="5"/>
  <c r="CD149" i="5"/>
  <c r="CD148" i="5"/>
  <c r="CD176" i="5"/>
  <c r="CX154" i="5"/>
  <c r="CX156" i="5" s="1"/>
  <c r="DC157" i="5"/>
  <c r="U27" i="171"/>
  <c r="G33" i="171" s="1"/>
  <c r="BQ148" i="5"/>
  <c r="BQ196" i="5"/>
  <c r="BQ213" i="5" s="1"/>
  <c r="BQ151" i="5"/>
  <c r="BT151" i="5" s="1"/>
  <c r="BT152" i="5" s="1"/>
  <c r="BQ149" i="5"/>
  <c r="BQ176" i="5"/>
  <c r="BV148" i="5"/>
  <c r="G251" i="5"/>
  <c r="G253" i="5" s="1"/>
  <c r="G257" i="5" s="1"/>
  <c r="G259" i="5" s="1"/>
  <c r="G262" i="5" s="1"/>
  <c r="L247" i="5"/>
  <c r="L248" i="5" s="1"/>
  <c r="CX272" i="5"/>
  <c r="AW386" i="5"/>
  <c r="AW387" i="5" s="1"/>
  <c r="AW333" i="5"/>
  <c r="AW329" i="5"/>
  <c r="AW325" i="5"/>
  <c r="AW321" i="5"/>
  <c r="AW208" i="5"/>
  <c r="AW192" i="5"/>
  <c r="AW209" i="5" s="1"/>
  <c r="AE208" i="5"/>
  <c r="AE192" i="5"/>
  <c r="AE209" i="5" s="1"/>
  <c r="CC208" i="5"/>
  <c r="CC192" i="5"/>
  <c r="CC209" i="5" s="1"/>
  <c r="M176" i="5"/>
  <c r="M177" i="5" s="1"/>
  <c r="M196" i="5"/>
  <c r="M213" i="5" s="1"/>
  <c r="M148" i="5"/>
  <c r="M152" i="5"/>
  <c r="R153" i="5" s="1"/>
  <c r="M149" i="5"/>
  <c r="R150" i="5" s="1"/>
  <c r="R148" i="5"/>
  <c r="CE151" i="5"/>
  <c r="CE149" i="5"/>
  <c r="CE152" i="5"/>
  <c r="CE153" i="5" s="1"/>
  <c r="CE148" i="5"/>
  <c r="CE196" i="5"/>
  <c r="CE213" i="5" s="1"/>
  <c r="CE176" i="5"/>
  <c r="CF196" i="5"/>
  <c r="CF213" i="5" s="1"/>
  <c r="CJ148" i="5"/>
  <c r="CH196" i="5"/>
  <c r="CH213" i="5" s="1"/>
  <c r="BM152" i="5"/>
  <c r="BM196" i="5"/>
  <c r="BM148" i="5"/>
  <c r="BM149" i="5"/>
  <c r="BM150" i="5" s="1"/>
  <c r="BM176" i="5"/>
  <c r="CI382" i="5"/>
  <c r="CI328" i="5"/>
  <c r="CI324" i="5"/>
  <c r="CI320" i="5"/>
  <c r="CI207" i="5"/>
  <c r="CI332" i="5"/>
  <c r="CI383" i="5"/>
  <c r="CI212" i="5"/>
  <c r="P208" i="5"/>
  <c r="P192" i="5"/>
  <c r="P209" i="5" s="1"/>
  <c r="BO202" i="5"/>
  <c r="BO282" i="5"/>
  <c r="BO277" i="5"/>
  <c r="BO268" i="5"/>
  <c r="T150" i="5"/>
  <c r="CP269" i="5"/>
  <c r="CQ267" i="5"/>
  <c r="BI382" i="5"/>
  <c r="BI324" i="5"/>
  <c r="BI332" i="5"/>
  <c r="BI328" i="5"/>
  <c r="BI320" i="5"/>
  <c r="BI207" i="5"/>
  <c r="Z196" i="5"/>
  <c r="Z213" i="5" s="1"/>
  <c r="Z176" i="5"/>
  <c r="Z177" i="5" s="1"/>
  <c r="Z149" i="5"/>
  <c r="Z150" i="5" s="1"/>
  <c r="Z148" i="5"/>
  <c r="Z152" i="5"/>
  <c r="Z153" i="5" s="1"/>
  <c r="AC196" i="5"/>
  <c r="AC213" i="5" s="1"/>
  <c r="AD196" i="5"/>
  <c r="AD213" i="5" s="1"/>
  <c r="CP55" i="5"/>
  <c r="CP53" i="5"/>
  <c r="CP49" i="5"/>
  <c r="BB384" i="5"/>
  <c r="BB213" i="5"/>
  <c r="BA384" i="5"/>
  <c r="BA213" i="5"/>
  <c r="BO168" i="5"/>
  <c r="BK168" i="5"/>
  <c r="BL168" i="5" s="1"/>
  <c r="BM168" i="5" s="1"/>
  <c r="BN168" i="5" s="1"/>
  <c r="AU125" i="5"/>
  <c r="AT328" i="5"/>
  <c r="AT332" i="5"/>
  <c r="AT324" i="5"/>
  <c r="AT320" i="5"/>
  <c r="AT207" i="5"/>
  <c r="CN195" i="5"/>
  <c r="CN147" i="5"/>
  <c r="CN144" i="5"/>
  <c r="CN145" i="5"/>
  <c r="CN381" i="5"/>
  <c r="CN327" i="5"/>
  <c r="CN323" i="5"/>
  <c r="CN319" i="5"/>
  <c r="CN206" i="5"/>
  <c r="CN190" i="5"/>
  <c r="CN331" i="5"/>
  <c r="BK152" i="5"/>
  <c r="BK149" i="5"/>
  <c r="BK196" i="5"/>
  <c r="BK148" i="5"/>
  <c r="BK176" i="5"/>
  <c r="BL196" i="5"/>
  <c r="BP148" i="5"/>
  <c r="AV386" i="5"/>
  <c r="AV387" i="5" s="1"/>
  <c r="AV333" i="5"/>
  <c r="AV329" i="5"/>
  <c r="AV325" i="5"/>
  <c r="AV321" i="5"/>
  <c r="AV208" i="5"/>
  <c r="AV192" i="5"/>
  <c r="AV209" i="5" s="1"/>
  <c r="AT325" i="5"/>
  <c r="AT333" i="5"/>
  <c r="AT329" i="5"/>
  <c r="AT321" i="5"/>
  <c r="AT208" i="5"/>
  <c r="AT192" i="5"/>
  <c r="AT209" i="5" s="1"/>
  <c r="AF282" i="5"/>
  <c r="AF202" i="5"/>
  <c r="AF277" i="5"/>
  <c r="AF268" i="5"/>
  <c r="BV208" i="5"/>
  <c r="BV192" i="5"/>
  <c r="BV209" i="5" s="1"/>
  <c r="BN390" i="5"/>
  <c r="BN391" i="5"/>
  <c r="S153" i="5"/>
  <c r="AK277" i="5"/>
  <c r="AK202" i="5"/>
  <c r="AK282" i="5"/>
  <c r="AK268" i="5"/>
  <c r="AX196" i="5"/>
  <c r="AX152" i="5"/>
  <c r="AX149" i="5"/>
  <c r="AX148" i="5"/>
  <c r="AX176" i="5"/>
  <c r="BC148" i="5"/>
  <c r="AE152" i="5"/>
  <c r="AE149" i="5"/>
  <c r="AE148" i="5"/>
  <c r="AE196" i="5"/>
  <c r="AE213" i="5" s="1"/>
  <c r="AE176" i="5"/>
  <c r="AE177" i="5" s="1"/>
  <c r="AG196" i="5"/>
  <c r="AG213" i="5" s="1"/>
  <c r="AH196" i="5"/>
  <c r="AH213" i="5" s="1"/>
  <c r="AJ148" i="5"/>
  <c r="BL386" i="5"/>
  <c r="BL387" i="5" s="1"/>
  <c r="BL333" i="5"/>
  <c r="BL329" i="5"/>
  <c r="BL325" i="5"/>
  <c r="BL321" i="5"/>
  <c r="BL208" i="5"/>
  <c r="BL192" i="5"/>
  <c r="BL209" i="5" s="1"/>
  <c r="BJ196" i="5"/>
  <c r="BJ149" i="5"/>
  <c r="BJ148" i="5"/>
  <c r="BJ155" i="5"/>
  <c r="BJ176" i="5"/>
  <c r="CH208" i="5"/>
  <c r="CH192" i="5"/>
  <c r="CH209" i="5" s="1"/>
  <c r="V221" i="5"/>
  <c r="V145" i="5"/>
  <c r="AB153" i="5"/>
  <c r="AG153" i="5"/>
  <c r="AK195" i="5"/>
  <c r="AK212" i="5" s="1"/>
  <c r="AK144" i="5"/>
  <c r="AK147" i="5"/>
  <c r="L277" i="5"/>
  <c r="L282" i="5"/>
  <c r="L268" i="5"/>
  <c r="L202" i="5"/>
  <c r="BI386" i="5"/>
  <c r="BI387" i="5" s="1"/>
  <c r="BI333" i="5"/>
  <c r="BI329" i="5"/>
  <c r="BI325" i="5"/>
  <c r="BI321" i="5"/>
  <c r="BI208" i="5"/>
  <c r="BI192" i="5"/>
  <c r="BI209" i="5" s="1"/>
  <c r="AX386" i="5"/>
  <c r="AX387" i="5" s="1"/>
  <c r="AX325" i="5"/>
  <c r="AX321" i="5"/>
  <c r="AX329" i="5"/>
  <c r="AX333" i="5"/>
  <c r="AX208" i="5"/>
  <c r="AX192" i="5"/>
  <c r="AX209" i="5" s="1"/>
  <c r="CR256" i="5"/>
  <c r="CR255" i="5" s="1"/>
  <c r="CQ255" i="5"/>
  <c r="BM386" i="5"/>
  <c r="BM387" i="5" s="1"/>
  <c r="BM333" i="5"/>
  <c r="BM329" i="5"/>
  <c r="BM325" i="5"/>
  <c r="BM321" i="5"/>
  <c r="BM208" i="5"/>
  <c r="BM192" i="5"/>
  <c r="BM209" i="5" s="1"/>
  <c r="AA152" i="5"/>
  <c r="AA149" i="5"/>
  <c r="AA150" i="5" s="1"/>
  <c r="AA148" i="5"/>
  <c r="AA196" i="5"/>
  <c r="AA213" i="5" s="1"/>
  <c r="AA176" i="5"/>
  <c r="AF152" i="5"/>
  <c r="AF153" i="5" s="1"/>
  <c r="AF196" i="5"/>
  <c r="AF213" i="5" s="1"/>
  <c r="AF149" i="5"/>
  <c r="AF150" i="5" s="1"/>
  <c r="AF148" i="5"/>
  <c r="AF176" i="5"/>
  <c r="AL325" i="5"/>
  <c r="AL333" i="5"/>
  <c r="AL321" i="5"/>
  <c r="AL329" i="5"/>
  <c r="AL208" i="5"/>
  <c r="AL192" i="5"/>
  <c r="AL209" i="5" s="1"/>
  <c r="AM332" i="5"/>
  <c r="AM328" i="5"/>
  <c r="AM324" i="5"/>
  <c r="AM320" i="5"/>
  <c r="AM207" i="5"/>
  <c r="CD382" i="5"/>
  <c r="CD328" i="5"/>
  <c r="CD324" i="5"/>
  <c r="CD320" i="5"/>
  <c r="CD207" i="5"/>
  <c r="CD332" i="5"/>
  <c r="BS125" i="5"/>
  <c r="BX125" i="5"/>
  <c r="CB208" i="5"/>
  <c r="CB192" i="5"/>
  <c r="CB209" i="5" s="1"/>
  <c r="BD384" i="5"/>
  <c r="BD213" i="5"/>
  <c r="BJ202" i="5"/>
  <c r="BJ282" i="5"/>
  <c r="BJ277" i="5"/>
  <c r="BJ268" i="5"/>
  <c r="BM382" i="5"/>
  <c r="BM324" i="5"/>
  <c r="BM320" i="5"/>
  <c r="BM328" i="5"/>
  <c r="BM332" i="5"/>
  <c r="BM207" i="5"/>
  <c r="AW382" i="5"/>
  <c r="AW324" i="5"/>
  <c r="AW320" i="5"/>
  <c r="AW328" i="5"/>
  <c r="AW332" i="5"/>
  <c r="AW207" i="5"/>
  <c r="Q208" i="5"/>
  <c r="Q192" i="5"/>
  <c r="Q209" i="5" s="1"/>
  <c r="BA382" i="5"/>
  <c r="BA324" i="5"/>
  <c r="BA332" i="5"/>
  <c r="BA320" i="5"/>
  <c r="BA328" i="5"/>
  <c r="BA207" i="5"/>
  <c r="BZ196" i="5"/>
  <c r="BZ213" i="5" s="1"/>
  <c r="BZ176" i="5"/>
  <c r="BZ149" i="5"/>
  <c r="BZ150" i="5" s="1"/>
  <c r="BZ148" i="5"/>
  <c r="BZ151" i="5"/>
  <c r="BZ152" i="5"/>
  <c r="CB196" i="5"/>
  <c r="CB213" i="5" s="1"/>
  <c r="BJ382" i="5"/>
  <c r="BJ328" i="5"/>
  <c r="BJ320" i="5"/>
  <c r="BJ324" i="5"/>
  <c r="BJ207" i="5"/>
  <c r="BJ332" i="5"/>
  <c r="CX21" i="5"/>
  <c r="CS19" i="5"/>
  <c r="AP196" i="5"/>
  <c r="AP213" i="5" s="1"/>
  <c r="AP152" i="5"/>
  <c r="AP149" i="5"/>
  <c r="AP148" i="5"/>
  <c r="AP176" i="5"/>
  <c r="CQ186" i="5"/>
  <c r="CQ203" i="5" s="1"/>
  <c r="CQ83" i="5"/>
  <c r="CQ82" i="5"/>
  <c r="BW151" i="5"/>
  <c r="BW149" i="5"/>
  <c r="BW152" i="5"/>
  <c r="BW148" i="5"/>
  <c r="BW196" i="5"/>
  <c r="BW213" i="5" s="1"/>
  <c r="BW176" i="5"/>
  <c r="CB148" i="5"/>
  <c r="BI152" i="5"/>
  <c r="BI196" i="5"/>
  <c r="BI149" i="5"/>
  <c r="BI150" i="5" s="1"/>
  <c r="BI148" i="5"/>
  <c r="BI176" i="5"/>
  <c r="CA208" i="5"/>
  <c r="CA192" i="5"/>
  <c r="CA209" i="5" s="1"/>
  <c r="DC184" i="5"/>
  <c r="DC79" i="5"/>
  <c r="DC80" i="5" s="1"/>
  <c r="DC61" i="5"/>
  <c r="V14" i="171"/>
  <c r="CM208" i="5"/>
  <c r="CM192" i="5"/>
  <c r="CM209" i="5" s="1"/>
  <c r="AL328" i="5"/>
  <c r="AL324" i="5"/>
  <c r="AL320" i="5"/>
  <c r="AL332" i="5"/>
  <c r="AL207" i="5"/>
  <c r="BR208" i="5"/>
  <c r="BR192" i="5"/>
  <c r="BR209" i="5" s="1"/>
  <c r="BS151" i="5"/>
  <c r="BS149" i="5"/>
  <c r="BS152" i="5"/>
  <c r="BS196" i="5"/>
  <c r="BS213" i="5" s="1"/>
  <c r="BS148" i="5"/>
  <c r="BS176" i="5"/>
  <c r="BX148" i="5"/>
  <c r="BK382" i="5"/>
  <c r="BK332" i="5"/>
  <c r="BK328" i="5"/>
  <c r="BK324" i="5"/>
  <c r="BK320" i="5"/>
  <c r="BK207" i="5"/>
  <c r="BT382" i="5"/>
  <c r="BT328" i="5"/>
  <c r="BT320" i="5"/>
  <c r="BT324" i="5"/>
  <c r="BT207" i="5"/>
  <c r="BT332" i="5"/>
  <c r="CK208" i="5"/>
  <c r="CK192" i="5"/>
  <c r="CK209" i="5" s="1"/>
  <c r="BE381" i="5"/>
  <c r="BE327" i="5"/>
  <c r="BE323" i="5"/>
  <c r="BE319" i="5"/>
  <c r="BE206" i="5"/>
  <c r="BE190" i="5"/>
  <c r="BE331" i="5"/>
  <c r="BP196" i="5"/>
  <c r="BP213" i="5" s="1"/>
  <c r="BY202" i="5"/>
  <c r="BY277" i="5"/>
  <c r="BY268" i="5"/>
  <c r="BY282" i="5"/>
  <c r="AV383" i="5"/>
  <c r="AV212" i="5"/>
  <c r="BU148" i="5"/>
  <c r="BU196" i="5"/>
  <c r="BU213" i="5" s="1"/>
  <c r="BU149" i="5"/>
  <c r="BU150" i="5" s="1"/>
  <c r="BU151" i="5"/>
  <c r="BY151" i="5" s="1"/>
  <c r="BU176" i="5"/>
  <c r="BV196" i="5"/>
  <c r="BV213" i="5" s="1"/>
  <c r="BX196" i="5"/>
  <c r="BX213" i="5" s="1"/>
  <c r="CN123" i="5"/>
  <c r="G50" i="171"/>
  <c r="BU208" i="5"/>
  <c r="BU192" i="5"/>
  <c r="BU209" i="5" s="1"/>
  <c r="CR263" i="5"/>
  <c r="CQ265" i="5"/>
  <c r="CR89" i="5"/>
  <c r="CS380" i="5"/>
  <c r="CS204" i="5"/>
  <c r="CS198" i="5"/>
  <c r="CS205" i="5"/>
  <c r="CS199" i="5"/>
  <c r="DC97" i="5"/>
  <c r="M125" i="5"/>
  <c r="R125" i="5"/>
  <c r="AK191" i="5"/>
  <c r="AK124" i="5"/>
  <c r="AK125" i="5" s="1"/>
  <c r="AK121" i="5"/>
  <c r="DC32" i="5"/>
  <c r="DC28" i="5"/>
  <c r="AD208" i="5"/>
  <c r="AD192" i="5"/>
  <c r="AD209" i="5" s="1"/>
  <c r="CK148" i="5"/>
  <c r="CK196" i="5"/>
  <c r="CK213" i="5" s="1"/>
  <c r="CK149" i="5"/>
  <c r="CK150" i="5" s="1"/>
  <c r="CK151" i="5"/>
  <c r="CK176" i="5"/>
  <c r="AH208" i="5"/>
  <c r="AH192" i="5"/>
  <c r="AH209" i="5" s="1"/>
  <c r="AI125" i="5"/>
  <c r="AN125" i="5"/>
  <c r="BJ386" i="5"/>
  <c r="BJ387" i="5" s="1"/>
  <c r="BJ325" i="5"/>
  <c r="BJ329" i="5"/>
  <c r="BJ321" i="5"/>
  <c r="BJ208" i="5"/>
  <c r="BJ192" i="5"/>
  <c r="BJ209" i="5" s="1"/>
  <c r="BJ333" i="5"/>
  <c r="BN385" i="5"/>
  <c r="BN153" i="5"/>
  <c r="BT202" i="5"/>
  <c r="BT277" i="5"/>
  <c r="BT282" i="5"/>
  <c r="BT268" i="5"/>
  <c r="AZ195" i="5"/>
  <c r="AZ147" i="5"/>
  <c r="AZ145" i="5"/>
  <c r="AZ144" i="5"/>
  <c r="DC161" i="5"/>
  <c r="BH216" i="5"/>
  <c r="BH222" i="5" s="1"/>
  <c r="BH177" i="5"/>
  <c r="CP186" i="5"/>
  <c r="CP203" i="5" s="1"/>
  <c r="CP83" i="5"/>
  <c r="CP82" i="5"/>
  <c r="O145" i="5"/>
  <c r="Q146" i="5"/>
  <c r="AP121" i="5"/>
  <c r="CR238" i="5"/>
  <c r="CR244" i="5"/>
  <c r="CR290" i="5"/>
  <c r="CS290" i="5" s="1"/>
  <c r="CX290" i="5" s="1"/>
  <c r="CS236" i="5"/>
  <c r="CS201" i="5"/>
  <c r="CX15" i="5"/>
  <c r="CX5" i="5"/>
  <c r="I38" i="171" s="1"/>
  <c r="BW125" i="5"/>
  <c r="CB125" i="5"/>
  <c r="CC148" i="5"/>
  <c r="CC196" i="5"/>
  <c r="CC213" i="5" s="1"/>
  <c r="CC149" i="5"/>
  <c r="CC151" i="5"/>
  <c r="CC152" i="5" s="1"/>
  <c r="CC176" i="5"/>
  <c r="CH148" i="5"/>
  <c r="BH384" i="5"/>
  <c r="BH213" i="5"/>
  <c r="Y150" i="5"/>
  <c r="V208" i="5"/>
  <c r="V192" i="5"/>
  <c r="V209" i="5" s="1"/>
  <c r="BA216" i="5"/>
  <c r="BA222" i="5" s="1"/>
  <c r="BE222" i="5" s="1"/>
  <c r="BA177" i="5"/>
  <c r="BA385" i="5"/>
  <c r="BA153" i="5"/>
  <c r="AF208" i="5"/>
  <c r="AF192" i="5"/>
  <c r="AF209" i="5" s="1"/>
  <c r="AU325" i="5"/>
  <c r="AU333" i="5"/>
  <c r="AU329" i="5"/>
  <c r="AU321" i="5"/>
  <c r="AU208" i="5"/>
  <c r="AU192" i="5"/>
  <c r="AU209" i="5" s="1"/>
  <c r="CD386" i="5"/>
  <c r="CD387" i="5" s="1"/>
  <c r="CD325" i="5"/>
  <c r="CD321" i="5"/>
  <c r="CD329" i="5"/>
  <c r="CD208" i="5"/>
  <c r="CD192" i="5"/>
  <c r="CD209" i="5" s="1"/>
  <c r="CD333" i="5"/>
  <c r="AT196" i="5"/>
  <c r="AT213" i="5" s="1"/>
  <c r="AT152" i="5"/>
  <c r="AT149" i="5"/>
  <c r="AT148" i="5"/>
  <c r="AT176" i="5"/>
  <c r="AY148" i="5"/>
  <c r="AV196" i="5"/>
  <c r="CN191" i="5"/>
  <c r="CN121" i="5"/>
  <c r="CN124" i="5"/>
  <c r="BL383" i="5"/>
  <c r="BL212" i="5"/>
  <c r="BK383" i="5"/>
  <c r="BK212" i="5"/>
  <c r="BX208" i="5"/>
  <c r="BX192" i="5"/>
  <c r="BX209" i="5" s="1"/>
  <c r="CQ89" i="5"/>
  <c r="L206" i="5"/>
  <c r="L190" i="5"/>
  <c r="L207" i="5" s="1"/>
  <c r="AX383" i="5"/>
  <c r="AX212" i="5"/>
  <c r="CR90" i="5"/>
  <c r="CR81" i="5"/>
  <c r="CR25" i="5"/>
  <c r="CR54" i="5"/>
  <c r="CS54" i="5" s="1"/>
  <c r="CI386" i="5"/>
  <c r="CI387" i="5" s="1"/>
  <c r="CI329" i="5"/>
  <c r="CI325" i="5"/>
  <c r="CI321" i="5"/>
  <c r="CI208" i="5"/>
  <c r="CI192" i="5"/>
  <c r="CI209" i="5" s="1"/>
  <c r="CI333" i="5"/>
  <c r="N196" i="5"/>
  <c r="N213" i="5" s="1"/>
  <c r="N152" i="5"/>
  <c r="N176" i="5"/>
  <c r="N177" i="5" s="1"/>
  <c r="N149" i="5"/>
  <c r="S150" i="5" s="1"/>
  <c r="N148" i="5"/>
  <c r="P196" i="5"/>
  <c r="P213" i="5" s="1"/>
  <c r="AB150" i="5"/>
  <c r="AG150" i="5"/>
  <c r="AK327" i="5"/>
  <c r="AK323" i="5"/>
  <c r="AK319" i="5"/>
  <c r="AK331" i="5"/>
  <c r="AK206" i="5"/>
  <c r="AK190" i="5"/>
  <c r="CX182" i="5"/>
  <c r="U9" i="171"/>
  <c r="CX29" i="5"/>
  <c r="CX40" i="5"/>
  <c r="CM278" i="5"/>
  <c r="CN276" i="5"/>
  <c r="AW125" i="5"/>
  <c r="BB125" i="5"/>
  <c r="AG208" i="5"/>
  <c r="AG192" i="5"/>
  <c r="AG209" i="5" s="1"/>
  <c r="AE125" i="5"/>
  <c r="AJ125" i="5"/>
  <c r="AJ208" i="5"/>
  <c r="AJ192" i="5"/>
  <c r="AJ209" i="5" s="1"/>
  <c r="BS208" i="5"/>
  <c r="BS192" i="5"/>
  <c r="BS209" i="5" s="1"/>
  <c r="BJ125" i="5"/>
  <c r="CC125" i="5"/>
  <c r="CH125" i="5"/>
  <c r="BO195" i="5"/>
  <c r="BO147" i="5"/>
  <c r="BO144" i="5"/>
  <c r="BO145" i="5"/>
  <c r="BO381" i="5"/>
  <c r="BO327" i="5"/>
  <c r="BO319" i="5"/>
  <c r="BO323" i="5"/>
  <c r="BO206" i="5"/>
  <c r="BO331" i="5"/>
  <c r="BO190" i="5"/>
  <c r="BN150" i="5"/>
  <c r="AZ202" i="5"/>
  <c r="AZ282" i="5"/>
  <c r="AZ277" i="5"/>
  <c r="AZ268" i="5"/>
  <c r="CL208" i="5"/>
  <c r="CL192" i="5"/>
  <c r="CL209" i="5" s="1"/>
  <c r="AV382" i="5"/>
  <c r="AV332" i="5"/>
  <c r="AV328" i="5"/>
  <c r="AV324" i="5"/>
  <c r="AV320" i="5"/>
  <c r="AV207" i="5"/>
  <c r="BT125" i="5"/>
  <c r="CQ55" i="5"/>
  <c r="CQ53" i="5"/>
  <c r="CQ49" i="5"/>
  <c r="CS210" i="5"/>
  <c r="Y153" i="5"/>
  <c r="CO51" i="5"/>
  <c r="CO52" i="5" s="1"/>
  <c r="CO45" i="5"/>
  <c r="CO50" i="5"/>
  <c r="BY381" i="5"/>
  <c r="BY323" i="5"/>
  <c r="BY327" i="5"/>
  <c r="BY319" i="5"/>
  <c r="BY206" i="5"/>
  <c r="BY190" i="5"/>
  <c r="BY331" i="5"/>
  <c r="AW152" i="5"/>
  <c r="AW196" i="5"/>
  <c r="AW148" i="5"/>
  <c r="AW149" i="5"/>
  <c r="AW176" i="5"/>
  <c r="BB148" i="5"/>
  <c r="AY196" i="5"/>
  <c r="AC153" i="5"/>
  <c r="Q123" i="5"/>
  <c r="AZ381" i="5"/>
  <c r="AZ319" i="5"/>
  <c r="AZ327" i="5"/>
  <c r="AZ323" i="5"/>
  <c r="AZ206" i="5"/>
  <c r="AZ331" i="5"/>
  <c r="AZ190" i="5"/>
  <c r="BT196" i="5"/>
  <c r="BT148" i="5"/>
  <c r="BT149" i="5"/>
  <c r="BT176" i="5"/>
  <c r="X150" i="5"/>
  <c r="BN125" i="5"/>
  <c r="N208" i="5"/>
  <c r="N192" i="5"/>
  <c r="N209" i="5" s="1"/>
  <c r="AU332" i="5"/>
  <c r="AU328" i="5"/>
  <c r="AU324" i="5"/>
  <c r="AU320" i="5"/>
  <c r="AU207" i="5"/>
  <c r="CS281" i="5"/>
  <c r="CG208" i="5"/>
  <c r="CG192" i="5"/>
  <c r="CG209" i="5" s="1"/>
  <c r="BE123" i="5"/>
  <c r="BT385" i="5" l="1"/>
  <c r="BN392" i="5" s="1"/>
  <c r="O28" i="171"/>
  <c r="O60" i="171" s="1"/>
  <c r="CS56" i="5"/>
  <c r="CS55" i="5"/>
  <c r="CC153" i="5"/>
  <c r="CH153" i="5"/>
  <c r="BJ222" i="5"/>
  <c r="BJ223" i="5" s="1"/>
  <c r="CA153" i="5"/>
  <c r="CF153" i="5"/>
  <c r="BY382" i="5"/>
  <c r="BY324" i="5"/>
  <c r="BY328" i="5"/>
  <c r="BY320" i="5"/>
  <c r="BY207" i="5"/>
  <c r="BY332" i="5"/>
  <c r="CQ50" i="5"/>
  <c r="CQ45" i="5"/>
  <c r="CQ51" i="5"/>
  <c r="CQ52" i="5" s="1"/>
  <c r="AE153" i="5"/>
  <c r="AJ153" i="5"/>
  <c r="BL384" i="5"/>
  <c r="BL213" i="5"/>
  <c r="BE383" i="5"/>
  <c r="BE212" i="5"/>
  <c r="BY383" i="5"/>
  <c r="BY212" i="5"/>
  <c r="BE391" i="5"/>
  <c r="BD391" i="5"/>
  <c r="BG391" i="5"/>
  <c r="BC391" i="5"/>
  <c r="BF391" i="5"/>
  <c r="DC218" i="5"/>
  <c r="DC217" i="5" s="1"/>
  <c r="DC229" i="5" s="1"/>
  <c r="CX217" i="5"/>
  <c r="AV390" i="5"/>
  <c r="AW390" i="5"/>
  <c r="BO382" i="5"/>
  <c r="BO320" i="5"/>
  <c r="BO328" i="5"/>
  <c r="BO324" i="5"/>
  <c r="BO207" i="5"/>
  <c r="BO332" i="5"/>
  <c r="CX274" i="5"/>
  <c r="CR186" i="5"/>
  <c r="CR203" i="5" s="1"/>
  <c r="CR83" i="5"/>
  <c r="CR82" i="5"/>
  <c r="AV384" i="5"/>
  <c r="AV213" i="5"/>
  <c r="AT150" i="5"/>
  <c r="AY150" i="5"/>
  <c r="CC216" i="5"/>
  <c r="CC222" i="5" s="1"/>
  <c r="CC177" i="5"/>
  <c r="AP125" i="5"/>
  <c r="CS238" i="5"/>
  <c r="T38" i="171"/>
  <c r="T41" i="171" s="1"/>
  <c r="CS244" i="5"/>
  <c r="AZ196" i="5"/>
  <c r="AZ149" i="5"/>
  <c r="AZ150" i="5" s="1"/>
  <c r="AZ148" i="5"/>
  <c r="AZ152" i="5"/>
  <c r="AZ176" i="5"/>
  <c r="CN151" i="5"/>
  <c r="CK152" i="5"/>
  <c r="CK153" i="5" s="1"/>
  <c r="DC182" i="5"/>
  <c r="DC29" i="5"/>
  <c r="V9" i="171"/>
  <c r="DC40" i="5"/>
  <c r="AK333" i="5"/>
  <c r="AK329" i="5"/>
  <c r="AK321" i="5"/>
  <c r="AK325" i="5"/>
  <c r="AK208" i="5"/>
  <c r="AK192" i="5"/>
  <c r="AK209" i="5" s="1"/>
  <c r="BU216" i="5"/>
  <c r="BU222" i="5" s="1"/>
  <c r="BU177" i="5"/>
  <c r="AZ390" i="5"/>
  <c r="AY390" i="5"/>
  <c r="BB390" i="5"/>
  <c r="AX390" i="5"/>
  <c r="BA390" i="5"/>
  <c r="BS216" i="5"/>
  <c r="BS222" i="5" s="1"/>
  <c r="BS177" i="5"/>
  <c r="BS150" i="5"/>
  <c r="BX150" i="5"/>
  <c r="BW216" i="5"/>
  <c r="BW222" i="5" s="1"/>
  <c r="BW177" i="5"/>
  <c r="BW150" i="5"/>
  <c r="CB150" i="5"/>
  <c r="DC21" i="5"/>
  <c r="DC19" i="5" s="1"/>
  <c r="CX19" i="5"/>
  <c r="DC24" i="5" s="1"/>
  <c r="BZ216" i="5"/>
  <c r="BZ222" i="5" s="1"/>
  <c r="CD222" i="5" s="1"/>
  <c r="CD223" i="5" s="1"/>
  <c r="BZ177" i="5"/>
  <c r="BO158" i="5"/>
  <c r="BJ384" i="5"/>
  <c r="BJ213" i="5"/>
  <c r="AX385" i="5"/>
  <c r="AX153" i="5"/>
  <c r="BC153" i="5"/>
  <c r="BK216" i="5"/>
  <c r="BK222" i="5" s="1"/>
  <c r="BK177" i="5"/>
  <c r="BK385" i="5"/>
  <c r="BK153" i="5"/>
  <c r="BP153" i="5"/>
  <c r="CP51" i="5"/>
  <c r="CP52" i="5" s="1"/>
  <c r="CP45" i="5"/>
  <c r="CP50" i="5"/>
  <c r="BM216" i="5"/>
  <c r="BM222" i="5" s="1"/>
  <c r="BM177" i="5"/>
  <c r="BM385" i="5"/>
  <c r="BM153" i="5"/>
  <c r="CE216" i="5"/>
  <c r="CE222" i="5" s="1"/>
  <c r="CE177" i="5"/>
  <c r="CE150" i="5"/>
  <c r="CJ150" i="5"/>
  <c r="DC236" i="5"/>
  <c r="DC290" i="5" s="1"/>
  <c r="CN368" i="5"/>
  <c r="CI384" i="5"/>
  <c r="CI213" i="5"/>
  <c r="BY386" i="5"/>
  <c r="BY387" i="5" s="1"/>
  <c r="BY329" i="5"/>
  <c r="BY321" i="5"/>
  <c r="BY325" i="5"/>
  <c r="BY208" i="5"/>
  <c r="BY192" i="5"/>
  <c r="BY209" i="5" s="1"/>
  <c r="BY333" i="5"/>
  <c r="BO386" i="5"/>
  <c r="BO387" i="5" s="1"/>
  <c r="BO329" i="5"/>
  <c r="BO325" i="5"/>
  <c r="BO321" i="5"/>
  <c r="BO208" i="5"/>
  <c r="BO192" i="5"/>
  <c r="BO209" i="5" s="1"/>
  <c r="BO333" i="5"/>
  <c r="CS279" i="5"/>
  <c r="CR133" i="5"/>
  <c r="CR134" i="5" s="1"/>
  <c r="BR216" i="5"/>
  <c r="BR222" i="5" s="1"/>
  <c r="BR177" i="5"/>
  <c r="V216" i="5"/>
  <c r="V222" i="5" s="1"/>
  <c r="V177" i="5"/>
  <c r="CX281" i="5"/>
  <c r="H19" i="171"/>
  <c r="F18" i="171"/>
  <c r="H18" i="171"/>
  <c r="F19" i="171"/>
  <c r="CN386" i="5"/>
  <c r="CN387" i="5" s="1"/>
  <c r="CN329" i="5"/>
  <c r="CN325" i="5"/>
  <c r="CN321" i="5"/>
  <c r="CN208" i="5"/>
  <c r="CN192" i="5"/>
  <c r="CN209" i="5" s="1"/>
  <c r="CN333" i="5"/>
  <c r="BE382" i="5"/>
  <c r="BE324" i="5"/>
  <c r="BE320" i="5"/>
  <c r="BE328" i="5"/>
  <c r="BE207" i="5"/>
  <c r="BE332" i="5"/>
  <c r="BW153" i="5"/>
  <c r="CB153" i="5"/>
  <c r="CS255" i="5"/>
  <c r="BT168" i="5"/>
  <c r="BP168" i="5"/>
  <c r="BQ168" i="5" s="1"/>
  <c r="BR168" i="5" s="1"/>
  <c r="BS168" i="5" s="1"/>
  <c r="CD216" i="5"/>
  <c r="CD177" i="5"/>
  <c r="BE386" i="5"/>
  <c r="BE387" i="5" s="1"/>
  <c r="BE329" i="5"/>
  <c r="BE321" i="5"/>
  <c r="BE325" i="5"/>
  <c r="BE208" i="5"/>
  <c r="BE192" i="5"/>
  <c r="BE209" i="5" s="1"/>
  <c r="BE333" i="5"/>
  <c r="CS358" i="5"/>
  <c r="CS360" i="5" s="1"/>
  <c r="CS186" i="5"/>
  <c r="CS203" i="5" s="1"/>
  <c r="CS126" i="5"/>
  <c r="CS82" i="5"/>
  <c r="T17" i="171"/>
  <c r="T50" i="171" s="1"/>
  <c r="BT384" i="5"/>
  <c r="BT213" i="5"/>
  <c r="AW384" i="5"/>
  <c r="AW213" i="5"/>
  <c r="CM284" i="5"/>
  <c r="AK324" i="5"/>
  <c r="AK332" i="5"/>
  <c r="AK320" i="5"/>
  <c r="AK328" i="5"/>
  <c r="AK207" i="5"/>
  <c r="CN125" i="5"/>
  <c r="G51" i="171"/>
  <c r="AT153" i="5"/>
  <c r="AY153" i="5"/>
  <c r="Q221" i="5"/>
  <c r="Q145" i="5"/>
  <c r="Q147" i="5"/>
  <c r="DC163" i="5"/>
  <c r="DC162" i="5"/>
  <c r="AZ383" i="5"/>
  <c r="AZ212" i="5"/>
  <c r="CJ153" i="5"/>
  <c r="CR265" i="5"/>
  <c r="CS263" i="5"/>
  <c r="BU152" i="5"/>
  <c r="BU153" i="5" s="1"/>
  <c r="BI384" i="5"/>
  <c r="BI213" i="5"/>
  <c r="CD151" i="5"/>
  <c r="CD152" i="5" s="1"/>
  <c r="AF216" i="5"/>
  <c r="AF222" i="5" s="1"/>
  <c r="AF177" i="5"/>
  <c r="AX216" i="5"/>
  <c r="AX222" i="5" s="1"/>
  <c r="AX177" i="5"/>
  <c r="AX384" i="5"/>
  <c r="AX213" i="5"/>
  <c r="CQ269" i="5"/>
  <c r="CR267" i="5"/>
  <c r="CI151" i="5"/>
  <c r="CI152" i="5" s="1"/>
  <c r="DC272" i="5"/>
  <c r="BQ216" i="5"/>
  <c r="BQ222" i="5" s="1"/>
  <c r="BQ177" i="5"/>
  <c r="DC155" i="5"/>
  <c r="AU150" i="5"/>
  <c r="DC286" i="5"/>
  <c r="AI152" i="5"/>
  <c r="AI196" i="5"/>
  <c r="AI213" i="5" s="1"/>
  <c r="AI149" i="5"/>
  <c r="AI148" i="5"/>
  <c r="AI176" i="5"/>
  <c r="AN148" i="5"/>
  <c r="AM196" i="5"/>
  <c r="AM213" i="5" s="1"/>
  <c r="AJ196" i="5"/>
  <c r="AJ213" i="5" s="1"/>
  <c r="AL196" i="5"/>
  <c r="AL213" i="5" s="1"/>
  <c r="BE176" i="5"/>
  <c r="BE152" i="5"/>
  <c r="BE196" i="5"/>
  <c r="BE155" i="5"/>
  <c r="BE158" i="5" s="1"/>
  <c r="BE151" i="5"/>
  <c r="BE148" i="5"/>
  <c r="BE149" i="5"/>
  <c r="BE150" i="5" s="1"/>
  <c r="L216" i="5"/>
  <c r="L222" i="5" s="1"/>
  <c r="L148" i="5"/>
  <c r="L196" i="5"/>
  <c r="L213" i="5" s="1"/>
  <c r="CG216" i="5"/>
  <c r="CG222" i="5" s="1"/>
  <c r="CG177" i="5"/>
  <c r="AY384" i="5"/>
  <c r="AY213" i="5"/>
  <c r="CK216" i="5"/>
  <c r="CK222" i="5" s="1"/>
  <c r="CK177" i="5"/>
  <c r="BS153" i="5"/>
  <c r="BX153" i="5"/>
  <c r="CX24" i="5"/>
  <c r="CS24" i="5"/>
  <c r="BJ216" i="5"/>
  <c r="BJ177" i="5"/>
  <c r="AX150" i="5"/>
  <c r="BC150" i="5"/>
  <c r="BK150" i="5"/>
  <c r="BP150" i="5"/>
  <c r="CN383" i="5"/>
  <c r="CN212" i="5"/>
  <c r="BM384" i="5"/>
  <c r="BM213" i="5"/>
  <c r="H33" i="171"/>
  <c r="F33" i="171"/>
  <c r="CD384" i="5"/>
  <c r="CD213" i="5"/>
  <c r="CN278" i="5"/>
  <c r="CN284" i="5" s="1"/>
  <c r="CN277" i="5"/>
  <c r="BT216" i="5"/>
  <c r="BT177" i="5"/>
  <c r="AW216" i="5"/>
  <c r="AW222" i="5" s="1"/>
  <c r="AZ222" i="5" s="1"/>
  <c r="AW177" i="5"/>
  <c r="AW385" i="5"/>
  <c r="AW153" i="5"/>
  <c r="BB153" i="5"/>
  <c r="BO149" i="5"/>
  <c r="BO150" i="5" s="1"/>
  <c r="BO152" i="5"/>
  <c r="BO148" i="5"/>
  <c r="BO196" i="5"/>
  <c r="BO176" i="5"/>
  <c r="CX115" i="5"/>
  <c r="CX41" i="5"/>
  <c r="U11" i="171"/>
  <c r="CX42" i="5"/>
  <c r="BT150" i="5"/>
  <c r="AZ382" i="5"/>
  <c r="AZ328" i="5"/>
  <c r="AZ320" i="5"/>
  <c r="AZ324" i="5"/>
  <c r="AZ207" i="5"/>
  <c r="AZ332" i="5"/>
  <c r="AW150" i="5"/>
  <c r="BB150" i="5"/>
  <c r="CO46" i="5"/>
  <c r="CO105" i="5"/>
  <c r="BI390" i="5"/>
  <c r="BH390" i="5"/>
  <c r="BJ390" i="5"/>
  <c r="BO383" i="5"/>
  <c r="BO212" i="5"/>
  <c r="CR53" i="5"/>
  <c r="CS53" i="5" s="1"/>
  <c r="CR49" i="5"/>
  <c r="CR55" i="5"/>
  <c r="AT216" i="5"/>
  <c r="AT222" i="5" s="1"/>
  <c r="AT177" i="5"/>
  <c r="CC150" i="5"/>
  <c r="CH150" i="5"/>
  <c r="CX16" i="5"/>
  <c r="CX39" i="5"/>
  <c r="BI216" i="5"/>
  <c r="BI222" i="5" s="1"/>
  <c r="BI177" i="5"/>
  <c r="BI385" i="5"/>
  <c r="BI153" i="5"/>
  <c r="AP216" i="5"/>
  <c r="AP222" i="5" s="1"/>
  <c r="AP177" i="5"/>
  <c r="AA216" i="5"/>
  <c r="AA222" i="5" s="1"/>
  <c r="AA177" i="5"/>
  <c r="AA153" i="5"/>
  <c r="AK152" i="5"/>
  <c r="AK153" i="5" s="1"/>
  <c r="AK196" i="5"/>
  <c r="AK213" i="5" s="1"/>
  <c r="AK148" i="5"/>
  <c r="AK149" i="5"/>
  <c r="AK150" i="5" s="1"/>
  <c r="AK176" i="5"/>
  <c r="BJ152" i="5"/>
  <c r="AE150" i="5"/>
  <c r="AJ150" i="5"/>
  <c r="BK384" i="5"/>
  <c r="BK213" i="5"/>
  <c r="CN382" i="5"/>
  <c r="CN328" i="5"/>
  <c r="CN324" i="5"/>
  <c r="CN320" i="5"/>
  <c r="CN207" i="5"/>
  <c r="CN332" i="5"/>
  <c r="CN196" i="5"/>
  <c r="CN149" i="5"/>
  <c r="CN150" i="5" s="1"/>
  <c r="CN152" i="5"/>
  <c r="CN148" i="5"/>
  <c r="CN176" i="5"/>
  <c r="Q247" i="5"/>
  <c r="Q248" i="5" s="1"/>
  <c r="L251" i="5"/>
  <c r="L253" i="5" s="1"/>
  <c r="BQ150" i="5"/>
  <c r="BV150" i="5"/>
  <c r="BQ152" i="5"/>
  <c r="CA216" i="5"/>
  <c r="CA222" i="5" s="1"/>
  <c r="CA177" i="5"/>
  <c r="CA150" i="5"/>
  <c r="CF150" i="5"/>
  <c r="CI216" i="5"/>
  <c r="CI177" i="5"/>
  <c r="CI150" i="5"/>
  <c r="AZ386" i="5"/>
  <c r="AZ387" i="5" s="1"/>
  <c r="AZ321" i="5"/>
  <c r="AZ329" i="5"/>
  <c r="AZ325" i="5"/>
  <c r="AZ208" i="5"/>
  <c r="AZ192" i="5"/>
  <c r="AZ209" i="5" s="1"/>
  <c r="AZ333" i="5"/>
  <c r="AU216" i="5"/>
  <c r="AU222" i="5" s="1"/>
  <c r="AU177" i="5"/>
  <c r="AU153" i="5"/>
  <c r="L208" i="5"/>
  <c r="L192" i="5"/>
  <c r="L209" i="5" s="1"/>
  <c r="CD125" i="5"/>
  <c r="CL216" i="5"/>
  <c r="CL222" i="5" s="1"/>
  <c r="CL177" i="5"/>
  <c r="CM216" i="5"/>
  <c r="CM288" i="5" s="1"/>
  <c r="CM177" i="5"/>
  <c r="BY152" i="5"/>
  <c r="BY148" i="5"/>
  <c r="BY196" i="5"/>
  <c r="BY149" i="5"/>
  <c r="BY150" i="5" s="1"/>
  <c r="BY176" i="5"/>
  <c r="DC5" i="5"/>
  <c r="J38" i="171" s="1"/>
  <c r="DC15" i="5"/>
  <c r="CX43" i="5" l="1"/>
  <c r="BY216" i="5"/>
  <c r="BY177" i="5"/>
  <c r="AI150" i="5"/>
  <c r="AN150" i="5"/>
  <c r="L254" i="5"/>
  <c r="L257" i="5"/>
  <c r="L259" i="5" s="1"/>
  <c r="BE216" i="5"/>
  <c r="BE223" i="5" s="1"/>
  <c r="BE177" i="5"/>
  <c r="BT222" i="5"/>
  <c r="BT223" i="5" s="1"/>
  <c r="CS267" i="5"/>
  <c r="CR269" i="5"/>
  <c r="CD385" i="5"/>
  <c r="CD153" i="5"/>
  <c r="Q28" i="171"/>
  <c r="Q60" i="171" s="1"/>
  <c r="Q176" i="5"/>
  <c r="Q196" i="5"/>
  <c r="Q213" i="5" s="1"/>
  <c r="Q148" i="5"/>
  <c r="Q152" i="5"/>
  <c r="V153" i="5" s="1"/>
  <c r="Q149" i="5"/>
  <c r="V150" i="5" s="1"/>
  <c r="V148" i="5"/>
  <c r="BY168" i="5"/>
  <c r="BU168" i="5"/>
  <c r="BV168" i="5" s="1"/>
  <c r="BW168" i="5" s="1"/>
  <c r="BX168" i="5" s="1"/>
  <c r="CP46" i="5"/>
  <c r="CP105" i="5"/>
  <c r="BJ158" i="5"/>
  <c r="BZ153" i="5"/>
  <c r="DC274" i="5"/>
  <c r="AZ385" i="5"/>
  <c r="AZ153" i="5"/>
  <c r="CX229" i="5"/>
  <c r="CX264" i="5"/>
  <c r="DC264" i="5" s="1"/>
  <c r="BY385" i="5"/>
  <c r="BY153" i="5"/>
  <c r="P28" i="171"/>
  <c r="P60" i="171" s="1"/>
  <c r="CR50" i="5"/>
  <c r="CR51" i="5"/>
  <c r="CR52" i="5" s="1"/>
  <c r="CR45" i="5"/>
  <c r="U10" i="171"/>
  <c r="BO384" i="5"/>
  <c r="BO213" i="5"/>
  <c r="BE385" i="5"/>
  <c r="BE153" i="5"/>
  <c r="DC281" i="5"/>
  <c r="AZ384" i="5"/>
  <c r="AZ213" i="5"/>
  <c r="CX56" i="5"/>
  <c r="CS57" i="5"/>
  <c r="CN288" i="5"/>
  <c r="CM291" i="5"/>
  <c r="CM292" i="5" s="1"/>
  <c r="BQ153" i="5"/>
  <c r="BV153" i="5"/>
  <c r="CX228" i="5"/>
  <c r="CX181" i="5"/>
  <c r="CX116" i="5"/>
  <c r="BO385" i="5"/>
  <c r="BO153" i="5"/>
  <c r="CS25" i="5"/>
  <c r="CS90" i="5"/>
  <c r="AI216" i="5"/>
  <c r="AI222" i="5" s="1"/>
  <c r="AI177" i="5"/>
  <c r="AI153" i="5"/>
  <c r="AN153" i="5"/>
  <c r="CD150" i="5"/>
  <c r="CI385" i="5"/>
  <c r="CI153" i="5"/>
  <c r="R28" i="171"/>
  <c r="R60" i="171" s="1"/>
  <c r="AP153" i="5"/>
  <c r="CS265" i="5"/>
  <c r="CX263" i="5"/>
  <c r="CX89" i="5"/>
  <c r="CS89" i="5"/>
  <c r="AW391" i="5"/>
  <c r="AV391" i="5"/>
  <c r="BJ150" i="5"/>
  <c r="DC25" i="5"/>
  <c r="DC90" i="5"/>
  <c r="DC115" i="5"/>
  <c r="DC41" i="5"/>
  <c r="DC42" i="5"/>
  <c r="V11" i="171"/>
  <c r="CQ46" i="5"/>
  <c r="CQ105" i="5"/>
  <c r="BT153" i="5"/>
  <c r="CD230" i="5"/>
  <c r="Q31" i="171"/>
  <c r="Q43" i="171" s="1"/>
  <c r="Q59" i="171" s="1"/>
  <c r="CD245" i="5"/>
  <c r="AP150" i="5"/>
  <c r="AZ216" i="5"/>
  <c r="AZ223" i="5" s="1"/>
  <c r="AZ177" i="5"/>
  <c r="BJ230" i="5"/>
  <c r="BJ245" i="5"/>
  <c r="CN385" i="5"/>
  <c r="CN153" i="5"/>
  <c r="S28" i="171"/>
  <c r="S60" i="171" s="1"/>
  <c r="DC16" i="5"/>
  <c r="DC39" i="5"/>
  <c r="BY384" i="5"/>
  <c r="BY213" i="5"/>
  <c r="V247" i="5"/>
  <c r="V248" i="5" s="1"/>
  <c r="Q251" i="5"/>
  <c r="Q253" i="5" s="1"/>
  <c r="BJ385" i="5"/>
  <c r="BJ153" i="5"/>
  <c r="CN177" i="5"/>
  <c r="CN216" i="5"/>
  <c r="CN384" i="5"/>
  <c r="CN213" i="5"/>
  <c r="AK216" i="5"/>
  <c r="AK222" i="5" s="1"/>
  <c r="AK177" i="5"/>
  <c r="BH391" i="5"/>
  <c r="BI391" i="5"/>
  <c r="BJ391" i="5"/>
  <c r="CO112" i="5"/>
  <c r="CO113" i="5" s="1"/>
  <c r="CO117" i="5"/>
  <c r="CO106" i="5"/>
  <c r="CO110" i="5"/>
  <c r="CO107" i="5"/>
  <c r="CO108" i="5"/>
  <c r="BO216" i="5"/>
  <c r="BO177" i="5"/>
  <c r="CX25" i="5"/>
  <c r="CX90" i="5"/>
  <c r="BE384" i="5"/>
  <c r="BE213" i="5"/>
  <c r="DC154" i="5"/>
  <c r="DC156" i="5" s="1"/>
  <c r="V27" i="171"/>
  <c r="CS84" i="5"/>
  <c r="CS306" i="5"/>
  <c r="CS256" i="5"/>
  <c r="CX256" i="5" s="1"/>
  <c r="CX279" i="5"/>
  <c r="CS352" i="5"/>
  <c r="T49" i="171"/>
  <c r="CS133" i="5"/>
  <c r="CS368" i="5"/>
  <c r="DC238" i="5"/>
  <c r="V38" i="171"/>
  <c r="V41" i="171" s="1"/>
  <c r="DC244" i="5"/>
  <c r="CI222" i="5"/>
  <c r="CI223" i="5" s="1"/>
  <c r="BO222" i="5"/>
  <c r="BO223" i="5" s="1"/>
  <c r="BY222" i="5"/>
  <c r="BY223" i="5" s="1"/>
  <c r="V10" i="171"/>
  <c r="BA391" i="5"/>
  <c r="AZ391" i="5"/>
  <c r="AY391" i="5"/>
  <c r="BB391" i="5"/>
  <c r="AX391" i="5"/>
  <c r="CO111" i="5" l="1"/>
  <c r="CO109" i="5"/>
  <c r="DC43" i="5"/>
  <c r="I43" i="171"/>
  <c r="AZ230" i="5"/>
  <c r="AZ245" i="5"/>
  <c r="CI230" i="5"/>
  <c r="R31" i="171"/>
  <c r="R43" i="171" s="1"/>
  <c r="R59" i="171" s="1"/>
  <c r="CI245" i="5"/>
  <c r="Q257" i="5"/>
  <c r="Q259" i="5" s="1"/>
  <c r="Q254" i="5"/>
  <c r="AW392" i="5"/>
  <c r="AV392" i="5"/>
  <c r="CD168" i="5"/>
  <c r="BZ168" i="5"/>
  <c r="CA168" i="5" s="1"/>
  <c r="CB168" i="5" s="1"/>
  <c r="CC168" i="5" s="1"/>
  <c r="V251" i="5"/>
  <c r="V253" i="5" s="1"/>
  <c r="AA247" i="5"/>
  <c r="AA248" i="5" s="1"/>
  <c r="DC263" i="5"/>
  <c r="DC265" i="5" s="1"/>
  <c r="CX265" i="5"/>
  <c r="CX54" i="5"/>
  <c r="DC56" i="5"/>
  <c r="DC54" i="5" s="1"/>
  <c r="BB392" i="5"/>
  <c r="AX392" i="5"/>
  <c r="BA392" i="5"/>
  <c r="AZ392" i="5"/>
  <c r="AY392" i="5"/>
  <c r="CP117" i="5"/>
  <c r="CP110" i="5"/>
  <c r="CP107" i="5"/>
  <c r="CP112" i="5"/>
  <c r="CP113" i="5" s="1"/>
  <c r="CP108" i="5"/>
  <c r="CP106" i="5"/>
  <c r="BE230" i="5"/>
  <c r="BE245" i="5"/>
  <c r="DC228" i="5"/>
  <c r="DC181" i="5"/>
  <c r="DC116" i="5"/>
  <c r="CX267" i="5"/>
  <c r="CS269" i="5"/>
  <c r="CX368" i="5"/>
  <c r="BY230" i="5"/>
  <c r="P31" i="171"/>
  <c r="P43" i="171" s="1"/>
  <c r="P59" i="171" s="1"/>
  <c r="BY245" i="5"/>
  <c r="CX380" i="5"/>
  <c r="CX198" i="5"/>
  <c r="CX204" i="5"/>
  <c r="CX210" i="5"/>
  <c r="CX211" i="5"/>
  <c r="CX205" i="5"/>
  <c r="CX199" i="5"/>
  <c r="CX201" i="5"/>
  <c r="CR46" i="5"/>
  <c r="CR105" i="5"/>
  <c r="CS45" i="5"/>
  <c r="Q216" i="5"/>
  <c r="Q222" i="5" s="1"/>
  <c r="Q177" i="5"/>
  <c r="L262" i="5"/>
  <c r="L260" i="5"/>
  <c r="BO230" i="5"/>
  <c r="BO245" i="5"/>
  <c r="CS135" i="5"/>
  <c r="CS134" i="5"/>
  <c r="CX134" i="5" s="1"/>
  <c r="DC134" i="5" s="1"/>
  <c r="DC279" i="5"/>
  <c r="G26" i="171"/>
  <c r="U49" i="171"/>
  <c r="CX352" i="5"/>
  <c r="CX133" i="5"/>
  <c r="CX135" i="5" s="1"/>
  <c r="DC256" i="5"/>
  <c r="DC255" i="5" s="1"/>
  <c r="CX255" i="5"/>
  <c r="CS85" i="5"/>
  <c r="CX84" i="5"/>
  <c r="CO183" i="5"/>
  <c r="CO118" i="5"/>
  <c r="CO119" i="5"/>
  <c r="BF392" i="5"/>
  <c r="BE392" i="5"/>
  <c r="BD392" i="5"/>
  <c r="BG392" i="5"/>
  <c r="BC392" i="5"/>
  <c r="CQ110" i="5"/>
  <c r="CQ107" i="5"/>
  <c r="CQ112" i="5"/>
  <c r="CQ113" i="5" s="1"/>
  <c r="CQ108" i="5"/>
  <c r="CQ106" i="5"/>
  <c r="CQ117" i="5"/>
  <c r="BI392" i="5"/>
  <c r="BH392" i="5"/>
  <c r="BJ392" i="5"/>
  <c r="CN291" i="5"/>
  <c r="BT230" i="5"/>
  <c r="O31" i="171"/>
  <c r="O43" i="171" s="1"/>
  <c r="O59" i="171" s="1"/>
  <c r="BT245" i="5"/>
  <c r="CP111" i="5" l="1"/>
  <c r="CP109" i="5"/>
  <c r="CQ111" i="5"/>
  <c r="CQ109" i="5"/>
  <c r="J43" i="171"/>
  <c r="DC306" i="5"/>
  <c r="DC133" i="5"/>
  <c r="DC135" i="5" s="1"/>
  <c r="DC352" i="5"/>
  <c r="V49" i="171"/>
  <c r="DC55" i="5"/>
  <c r="CN292" i="5"/>
  <c r="S52" i="171"/>
  <c r="CN129" i="5"/>
  <c r="CN130" i="5" s="1"/>
  <c r="CO189" i="5"/>
  <c r="CO122" i="5"/>
  <c r="CO120" i="5"/>
  <c r="CO143" i="5"/>
  <c r="H26" i="171"/>
  <c r="F26" i="171"/>
  <c r="DC368" i="5"/>
  <c r="DC380" i="5"/>
  <c r="DC198" i="5"/>
  <c r="DC204" i="5"/>
  <c r="DC210" i="5"/>
  <c r="DC211" i="5"/>
  <c r="DC205" i="5"/>
  <c r="DC201" i="5"/>
  <c r="DC199" i="5"/>
  <c r="CX55" i="5"/>
  <c r="CX53" i="5"/>
  <c r="DC53" i="5" s="1"/>
  <c r="CI168" i="5"/>
  <c r="CE168" i="5"/>
  <c r="CF168" i="5" s="1"/>
  <c r="CG168" i="5" s="1"/>
  <c r="CH168" i="5" s="1"/>
  <c r="Q262" i="5"/>
  <c r="Q260" i="5"/>
  <c r="CO200" i="5"/>
  <c r="CO185" i="5"/>
  <c r="DC84" i="5"/>
  <c r="DC81" i="5" s="1"/>
  <c r="CX81" i="5"/>
  <c r="CQ183" i="5"/>
  <c r="CQ118" i="5"/>
  <c r="CQ119" i="5"/>
  <c r="CX306" i="5"/>
  <c r="CS49" i="5"/>
  <c r="CS51" i="5"/>
  <c r="CS52" i="5" s="1"/>
  <c r="CS46" i="5"/>
  <c r="T13" i="171"/>
  <c r="CS105" i="5"/>
  <c r="DC267" i="5"/>
  <c r="CX269" i="5"/>
  <c r="CP183" i="5"/>
  <c r="CP118" i="5"/>
  <c r="CP119" i="5"/>
  <c r="DC89" i="5"/>
  <c r="AF247" i="5"/>
  <c r="AF248" i="5" s="1"/>
  <c r="AA251" i="5"/>
  <c r="AA253" i="5" s="1"/>
  <c r="CR117" i="5"/>
  <c r="CR112" i="5"/>
  <c r="CR113" i="5" s="1"/>
  <c r="CR108" i="5"/>
  <c r="CR106" i="5"/>
  <c r="CR110" i="5"/>
  <c r="CR107" i="5"/>
  <c r="V257" i="5"/>
  <c r="V259" i="5" s="1"/>
  <c r="V254" i="5"/>
  <c r="CO123" i="5" l="1"/>
  <c r="CR109" i="5"/>
  <c r="CR111" i="5"/>
  <c r="CR183" i="5"/>
  <c r="CR118" i="5"/>
  <c r="CR119" i="5"/>
  <c r="CX358" i="5"/>
  <c r="CX360" i="5" s="1"/>
  <c r="CX186" i="5"/>
  <c r="CX203" i="5" s="1"/>
  <c r="CX126" i="5"/>
  <c r="CX82" i="5"/>
  <c r="G27" i="171"/>
  <c r="U17" i="171"/>
  <c r="U50" i="171" s="1"/>
  <c r="AA257" i="5"/>
  <c r="AA259" i="5" s="1"/>
  <c r="AA254" i="5"/>
  <c r="CQ189" i="5"/>
  <c r="CQ120" i="5"/>
  <c r="CQ122" i="5"/>
  <c r="CQ143" i="5"/>
  <c r="DC358" i="5"/>
  <c r="DC360" i="5" s="1"/>
  <c r="DC186" i="5"/>
  <c r="DC203" i="5" s="1"/>
  <c r="DC126" i="5"/>
  <c r="DC82" i="5"/>
  <c r="V17" i="171"/>
  <c r="V50" i="171" s="1"/>
  <c r="CO195" i="5"/>
  <c r="CO212" i="5" s="1"/>
  <c r="CO146" i="5"/>
  <c r="CO144" i="5"/>
  <c r="CO48" i="5" s="1"/>
  <c r="CS112" i="5"/>
  <c r="CS113" i="5" s="1"/>
  <c r="H47" i="171" s="1"/>
  <c r="CS117" i="5"/>
  <c r="CS106" i="5"/>
  <c r="CS110" i="5"/>
  <c r="CS108" i="5"/>
  <c r="T18" i="171"/>
  <c r="CP189" i="5"/>
  <c r="CP122" i="5"/>
  <c r="CP120" i="5"/>
  <c r="CP143" i="5"/>
  <c r="CO206" i="5"/>
  <c r="CO190" i="5"/>
  <c r="CO207" i="5" s="1"/>
  <c r="V260" i="5"/>
  <c r="V262" i="5"/>
  <c r="AF251" i="5"/>
  <c r="AF253" i="5" s="1"/>
  <c r="AK247" i="5"/>
  <c r="AK248" i="5" s="1"/>
  <c r="AG247" i="5"/>
  <c r="AG248" i="5" s="1"/>
  <c r="CP200" i="5"/>
  <c r="CP185" i="5"/>
  <c r="DC269" i="5"/>
  <c r="CO202" i="5"/>
  <c r="CO282" i="5"/>
  <c r="CO268" i="5"/>
  <c r="CO276" i="5"/>
  <c r="CO278" i="5" s="1"/>
  <c r="CO124" i="5"/>
  <c r="CO121" i="5"/>
  <c r="CO191" i="5"/>
  <c r="CS58" i="5"/>
  <c r="CS50" i="5"/>
  <c r="CQ200" i="5"/>
  <c r="CQ185" i="5"/>
  <c r="CN168" i="5"/>
  <c r="CJ168" i="5"/>
  <c r="CK168" i="5" s="1"/>
  <c r="CL168" i="5" s="1"/>
  <c r="CM168" i="5" s="1"/>
  <c r="S54" i="171"/>
  <c r="G52" i="171"/>
  <c r="CO147" i="5" l="1"/>
  <c r="CO125" i="5"/>
  <c r="CP123" i="5"/>
  <c r="CQ123" i="5"/>
  <c r="CS109" i="5"/>
  <c r="CS111" i="5"/>
  <c r="CQ202" i="5"/>
  <c r="CQ282" i="5"/>
  <c r="CQ276" i="5"/>
  <c r="CQ278" i="5" s="1"/>
  <c r="CQ268" i="5"/>
  <c r="T15" i="171"/>
  <c r="T20" i="171"/>
  <c r="CS183" i="5"/>
  <c r="CS118" i="5"/>
  <c r="CS119" i="5"/>
  <c r="CO152" i="5"/>
  <c r="F27" i="171"/>
  <c r="H27" i="171"/>
  <c r="CO208" i="5"/>
  <c r="CO192" i="5"/>
  <c r="CO209" i="5" s="1"/>
  <c r="AG251" i="5"/>
  <c r="AG253" i="5" s="1"/>
  <c r="AH247" i="5"/>
  <c r="AH248" i="5" s="1"/>
  <c r="CP191" i="5"/>
  <c r="CP124" i="5"/>
  <c r="CP121" i="5"/>
  <c r="CQ195" i="5"/>
  <c r="CQ212" i="5" s="1"/>
  <c r="CQ146" i="5"/>
  <c r="CQ144" i="5"/>
  <c r="CQ48" i="5" s="1"/>
  <c r="CR189" i="5"/>
  <c r="CR122" i="5"/>
  <c r="CR120" i="5"/>
  <c r="CR143" i="5"/>
  <c r="CP195" i="5"/>
  <c r="CP212" i="5" s="1"/>
  <c r="CP146" i="5"/>
  <c r="CP144" i="5"/>
  <c r="CP48" i="5" s="1"/>
  <c r="CQ206" i="5"/>
  <c r="CQ190" i="5"/>
  <c r="CQ207" i="5" s="1"/>
  <c r="CO168" i="5"/>
  <c r="CP168" i="5" s="1"/>
  <c r="CQ168" i="5" s="1"/>
  <c r="CR168" i="5" s="1"/>
  <c r="CS168" i="5"/>
  <c r="CX168" i="5" s="1"/>
  <c r="DC168" i="5" s="1"/>
  <c r="CS59" i="5"/>
  <c r="CX58" i="5"/>
  <c r="AK251" i="5"/>
  <c r="AK253" i="5" s="1"/>
  <c r="AP247" i="5"/>
  <c r="AP248" i="5" s="1"/>
  <c r="AL247" i="5"/>
  <c r="AL248" i="5" s="1"/>
  <c r="AA262" i="5"/>
  <c r="AA260" i="5"/>
  <c r="CP202" i="5"/>
  <c r="CP282" i="5"/>
  <c r="CP276" i="5"/>
  <c r="CP278" i="5" s="1"/>
  <c r="CP268" i="5"/>
  <c r="AF254" i="5"/>
  <c r="AF257" i="5"/>
  <c r="AF259" i="5" s="1"/>
  <c r="CP206" i="5"/>
  <c r="CP190" i="5"/>
  <c r="CP207" i="5" s="1"/>
  <c r="CO220" i="5"/>
  <c r="CQ191" i="5"/>
  <c r="CQ124" i="5"/>
  <c r="CQ121" i="5"/>
  <c r="CR200" i="5"/>
  <c r="CR185" i="5"/>
  <c r="CO176" i="5" l="1"/>
  <c r="CO216" i="5" s="1"/>
  <c r="CO288" i="5" s="1"/>
  <c r="CO148" i="5"/>
  <c r="CO149" i="5"/>
  <c r="CO150" i="5" s="1"/>
  <c r="CO153" i="5"/>
  <c r="CO196" i="5"/>
  <c r="CO213" i="5" s="1"/>
  <c r="CR123" i="5"/>
  <c r="CP220" i="5"/>
  <c r="CP147" i="5"/>
  <c r="CP125" i="5"/>
  <c r="H45" i="171"/>
  <c r="CQ220" i="5"/>
  <c r="CQ125" i="5"/>
  <c r="CQ147" i="5"/>
  <c r="H46" i="171"/>
  <c r="CO280" i="5"/>
  <c r="CS200" i="5"/>
  <c r="CS185" i="5"/>
  <c r="AP251" i="5"/>
  <c r="AP253" i="5" s="1"/>
  <c r="AU247" i="5"/>
  <c r="AU248" i="5" s="1"/>
  <c r="AQ247" i="5"/>
  <c r="AQ248" i="5" s="1"/>
  <c r="CR195" i="5"/>
  <c r="CR212" i="5" s="1"/>
  <c r="CR144" i="5"/>
  <c r="CR48" i="5" s="1"/>
  <c r="CR146" i="5"/>
  <c r="AH251" i="5"/>
  <c r="AH253" i="5" s="1"/>
  <c r="AI247" i="5"/>
  <c r="AI248" i="5" s="1"/>
  <c r="T21" i="171"/>
  <c r="T56" i="171" s="1"/>
  <c r="AL251" i="5"/>
  <c r="AL253" i="5" s="1"/>
  <c r="AM247" i="5"/>
  <c r="AM248" i="5" s="1"/>
  <c r="CR206" i="5"/>
  <c r="CR190" i="5"/>
  <c r="CR207" i="5" s="1"/>
  <c r="CP208" i="5"/>
  <c r="CP192" i="5"/>
  <c r="CP209" i="5" s="1"/>
  <c r="CR276" i="5"/>
  <c r="CR202" i="5"/>
  <c r="CR282" i="5"/>
  <c r="CR268" i="5"/>
  <c r="CQ208" i="5"/>
  <c r="CQ192" i="5"/>
  <c r="CQ209" i="5" s="1"/>
  <c r="AK337" i="5"/>
  <c r="AK335" i="5"/>
  <c r="AK336" i="5"/>
  <c r="AK305" i="5"/>
  <c r="AK254" i="5"/>
  <c r="AK257" i="5"/>
  <c r="AK259" i="5" s="1"/>
  <c r="CR191" i="5"/>
  <c r="CR124" i="5"/>
  <c r="CR121" i="5"/>
  <c r="AG254" i="5"/>
  <c r="AG257" i="5"/>
  <c r="AG259" i="5" s="1"/>
  <c r="CS189" i="5"/>
  <c r="CS120" i="5"/>
  <c r="CS122" i="5"/>
  <c r="CS143" i="5"/>
  <c r="AF260" i="5"/>
  <c r="AF262" i="5"/>
  <c r="DC58" i="5"/>
  <c r="DC49" i="5" s="1"/>
  <c r="CX49" i="5"/>
  <c r="CP196" i="5"/>
  <c r="CP213" i="5" s="1"/>
  <c r="CP176" i="5"/>
  <c r="CP149" i="5"/>
  <c r="CP150" i="5" s="1"/>
  <c r="CP148" i="5"/>
  <c r="CP152" i="5"/>
  <c r="CO177" i="5" l="1"/>
  <c r="CR125" i="5"/>
  <c r="CQ149" i="5"/>
  <c r="CQ150" i="5" s="1"/>
  <c r="CP153" i="5"/>
  <c r="CQ176" i="5"/>
  <c r="CQ216" i="5" s="1"/>
  <c r="CQ148" i="5"/>
  <c r="CQ152" i="5"/>
  <c r="CQ196" i="5"/>
  <c r="CQ213" i="5" s="1"/>
  <c r="DC50" i="5"/>
  <c r="DC45" i="5"/>
  <c r="DC51" i="5"/>
  <c r="CS381" i="5"/>
  <c r="CS327" i="5"/>
  <c r="CS323" i="5"/>
  <c r="CS319" i="5"/>
  <c r="CS206" i="5"/>
  <c r="CS190" i="5"/>
  <c r="CS331" i="5"/>
  <c r="AN247" i="5"/>
  <c r="AN248" i="5" s="1"/>
  <c r="AM251" i="5"/>
  <c r="AM253" i="5" s="1"/>
  <c r="AH257" i="5"/>
  <c r="AH259" i="5" s="1"/>
  <c r="AH254" i="5"/>
  <c r="CS124" i="5"/>
  <c r="CS191" i="5"/>
  <c r="CS121" i="5"/>
  <c r="AK260" i="5"/>
  <c r="AK262" i="5"/>
  <c r="CS276" i="5"/>
  <c r="CR278" i="5"/>
  <c r="AL335" i="5"/>
  <c r="AL336" i="5"/>
  <c r="AL337" i="5"/>
  <c r="AL305" i="5"/>
  <c r="AL257" i="5"/>
  <c r="AL259" i="5" s="1"/>
  <c r="AL254" i="5"/>
  <c r="CR220" i="5"/>
  <c r="CS146" i="5"/>
  <c r="AR247" i="5"/>
  <c r="AR248" i="5" s="1"/>
  <c r="AQ251" i="5"/>
  <c r="AQ253" i="5" s="1"/>
  <c r="CS123" i="5"/>
  <c r="H50" i="171"/>
  <c r="CP216" i="5"/>
  <c r="CP288" i="5" s="1"/>
  <c r="CP177" i="5"/>
  <c r="AG260" i="5"/>
  <c r="AG262" i="5"/>
  <c r="CR208" i="5"/>
  <c r="CR192" i="5"/>
  <c r="CR209" i="5" s="1"/>
  <c r="CS202" i="5"/>
  <c r="CS282" i="5"/>
  <c r="CS268" i="5"/>
  <c r="CX51" i="5"/>
  <c r="CX52" i="5" s="1"/>
  <c r="CX45" i="5"/>
  <c r="CX50" i="5"/>
  <c r="CS144" i="5"/>
  <c r="CS48" i="5" s="1"/>
  <c r="CS195" i="5"/>
  <c r="CO291" i="5"/>
  <c r="CR147" i="5"/>
  <c r="AZ247" i="5"/>
  <c r="AZ248" i="5" s="1"/>
  <c r="AV247" i="5"/>
  <c r="AV248" i="5" s="1"/>
  <c r="AU251" i="5"/>
  <c r="AU253" i="5" s="1"/>
  <c r="CP280" i="5"/>
  <c r="CO284" i="5"/>
  <c r="CO283" i="5"/>
  <c r="AJ247" i="5"/>
  <c r="AJ248" i="5" s="1"/>
  <c r="AJ251" i="5" s="1"/>
  <c r="AJ253" i="5" s="1"/>
  <c r="AI251" i="5"/>
  <c r="AI253" i="5" s="1"/>
  <c r="AP335" i="5"/>
  <c r="AP336" i="5"/>
  <c r="AP337" i="5"/>
  <c r="AP305" i="5"/>
  <c r="AP257" i="5"/>
  <c r="AP259" i="5" s="1"/>
  <c r="AP254" i="5"/>
  <c r="CO292" i="5" l="1"/>
  <c r="CS220" i="5"/>
  <c r="CQ177" i="5"/>
  <c r="CS147" i="5"/>
  <c r="CQ153" i="5"/>
  <c r="CQ288" i="5"/>
  <c r="CP291" i="5"/>
  <c r="CQ280" i="5"/>
  <c r="CP284" i="5"/>
  <c r="CP283" i="5"/>
  <c r="CR176" i="5"/>
  <c r="CR152" i="5"/>
  <c r="CR196" i="5"/>
  <c r="CR213" i="5" s="1"/>
  <c r="CR148" i="5"/>
  <c r="CR149" i="5"/>
  <c r="CR150" i="5" s="1"/>
  <c r="AJ254" i="5"/>
  <c r="AJ257" i="5"/>
  <c r="AJ259" i="5" s="1"/>
  <c r="AU335" i="5"/>
  <c r="AU336" i="5"/>
  <c r="AU337" i="5"/>
  <c r="AU305" i="5"/>
  <c r="AU254" i="5"/>
  <c r="AU257" i="5"/>
  <c r="AU259" i="5" s="1"/>
  <c r="CS278" i="5"/>
  <c r="CS277" i="5"/>
  <c r="CX277" i="5" s="1"/>
  <c r="AM335" i="5"/>
  <c r="AM336" i="5"/>
  <c r="AM337" i="5"/>
  <c r="AM305" i="5"/>
  <c r="AM254" i="5"/>
  <c r="AM257" i="5"/>
  <c r="AM259" i="5" s="1"/>
  <c r="AV251" i="5"/>
  <c r="AV253" i="5" s="1"/>
  <c r="AW247" i="5"/>
  <c r="AW248" i="5" s="1"/>
  <c r="AQ335" i="5"/>
  <c r="AQ336" i="5"/>
  <c r="AQ337" i="5"/>
  <c r="AQ305" i="5"/>
  <c r="AQ254" i="5"/>
  <c r="AQ257" i="5"/>
  <c r="AQ259" i="5" s="1"/>
  <c r="CS125" i="5"/>
  <c r="H51" i="171"/>
  <c r="AN251" i="5"/>
  <c r="AN253" i="5" s="1"/>
  <c r="AO247" i="5"/>
  <c r="AO248" i="5" s="1"/>
  <c r="AO251" i="5" s="1"/>
  <c r="AO253" i="5" s="1"/>
  <c r="DC52" i="5"/>
  <c r="CS386" i="5"/>
  <c r="CS387" i="5" s="1"/>
  <c r="CS329" i="5"/>
  <c r="CS321" i="5"/>
  <c r="CS325" i="5"/>
  <c r="CS208" i="5"/>
  <c r="CS192" i="5"/>
  <c r="CS209" i="5" s="1"/>
  <c r="CS333" i="5"/>
  <c r="AP262" i="5"/>
  <c r="AP260" i="5"/>
  <c r="AZ251" i="5"/>
  <c r="AZ253" i="5" s="1"/>
  <c r="BE247" i="5"/>
  <c r="BE248" i="5" s="1"/>
  <c r="BA247" i="5"/>
  <c r="BA248" i="5" s="1"/>
  <c r="CS383" i="5"/>
  <c r="CS212" i="5"/>
  <c r="CX46" i="5"/>
  <c r="U13" i="171"/>
  <c r="CX105" i="5"/>
  <c r="AR251" i="5"/>
  <c r="AR253" i="5" s="1"/>
  <c r="AS247" i="5"/>
  <c r="AS248" i="5" s="1"/>
  <c r="AL262" i="5"/>
  <c r="AL260" i="5"/>
  <c r="DC46" i="5"/>
  <c r="V13" i="171"/>
  <c r="DC105" i="5"/>
  <c r="AI254" i="5"/>
  <c r="AI257" i="5"/>
  <c r="AI259" i="5" s="1"/>
  <c r="CS145" i="5"/>
  <c r="CS127" i="5" s="1"/>
  <c r="CS128" i="5" s="1"/>
  <c r="T24" i="171"/>
  <c r="T26" i="171" s="1"/>
  <c r="AH262" i="5"/>
  <c r="AH260" i="5"/>
  <c r="CS382" i="5"/>
  <c r="CS320" i="5"/>
  <c r="CS328" i="5"/>
  <c r="CS324" i="5"/>
  <c r="CS207" i="5"/>
  <c r="CS332" i="5"/>
  <c r="CS221" i="5" l="1"/>
  <c r="CR153" i="5"/>
  <c r="CS176" i="5"/>
  <c r="CS216" i="5" s="1"/>
  <c r="CS148" i="5"/>
  <c r="CS196" i="5"/>
  <c r="CS384" i="5" s="1"/>
  <c r="CS152" i="5"/>
  <c r="CS149" i="5"/>
  <c r="CS150" i="5" s="1"/>
  <c r="DC110" i="5"/>
  <c r="DC117" i="5"/>
  <c r="DC108" i="5"/>
  <c r="DC106" i="5"/>
  <c r="V18" i="171"/>
  <c r="DC112" i="5"/>
  <c r="AV350" i="5"/>
  <c r="AV356" i="5" s="1"/>
  <c r="AV336" i="5"/>
  <c r="AV337" i="5"/>
  <c r="AV335" i="5"/>
  <c r="AV305" i="5"/>
  <c r="AV254" i="5"/>
  <c r="AV257" i="5"/>
  <c r="CR280" i="5"/>
  <c r="CQ283" i="5"/>
  <c r="CQ284" i="5"/>
  <c r="AI262" i="5"/>
  <c r="AI260" i="5"/>
  <c r="AR336" i="5"/>
  <c r="AR337" i="5"/>
  <c r="AR335" i="5"/>
  <c r="AR305" i="5"/>
  <c r="AR254" i="5"/>
  <c r="AR257" i="5"/>
  <c r="AR259" i="5" s="1"/>
  <c r="AZ350" i="5"/>
  <c r="AZ356" i="5" s="1"/>
  <c r="AZ305" i="5"/>
  <c r="AZ312" i="5" s="1"/>
  <c r="AZ254" i="5"/>
  <c r="AZ337" i="5"/>
  <c r="AZ335" i="5"/>
  <c r="AZ336" i="5"/>
  <c r="AZ257" i="5"/>
  <c r="AZ351" i="5" s="1"/>
  <c r="AZ355" i="5" s="1"/>
  <c r="AO337" i="5"/>
  <c r="AO335" i="5"/>
  <c r="AO336" i="5"/>
  <c r="AO305" i="5"/>
  <c r="AO254" i="5"/>
  <c r="AO257" i="5"/>
  <c r="AO259" i="5" s="1"/>
  <c r="AQ260" i="5"/>
  <c r="AQ262" i="5"/>
  <c r="AM262" i="5"/>
  <c r="AM260" i="5"/>
  <c r="AU260" i="5"/>
  <c r="AU262" i="5"/>
  <c r="CR216" i="5"/>
  <c r="CR288" i="5" s="1"/>
  <c r="CR177" i="5"/>
  <c r="AS251" i="5"/>
  <c r="AS253" i="5" s="1"/>
  <c r="AT247" i="5"/>
  <c r="AT248" i="5" s="1"/>
  <c r="AT251" i="5" s="1"/>
  <c r="AT253" i="5" s="1"/>
  <c r="BE251" i="5"/>
  <c r="BE253" i="5" s="1"/>
  <c r="BJ247" i="5"/>
  <c r="BJ248" i="5" s="1"/>
  <c r="BF247" i="5"/>
  <c r="BF248" i="5" s="1"/>
  <c r="CX112" i="5"/>
  <c r="CX113" i="5" s="1"/>
  <c r="I47" i="171" s="1"/>
  <c r="CX108" i="5"/>
  <c r="CX117" i="5"/>
  <c r="CX110" i="5"/>
  <c r="CX106" i="5"/>
  <c r="U18" i="171"/>
  <c r="AN336" i="5"/>
  <c r="AN337" i="5"/>
  <c r="AN335" i="5"/>
  <c r="AN305" i="5"/>
  <c r="AN254" i="5"/>
  <c r="AN257" i="5"/>
  <c r="AN259" i="5" s="1"/>
  <c r="CP292" i="5"/>
  <c r="BA251" i="5"/>
  <c r="BA253" i="5" s="1"/>
  <c r="BB247" i="5"/>
  <c r="BB248" i="5" s="1"/>
  <c r="AW251" i="5"/>
  <c r="AW253" i="5" s="1"/>
  <c r="AX247" i="5"/>
  <c r="AX248" i="5" s="1"/>
  <c r="DC277" i="5"/>
  <c r="AJ260" i="5"/>
  <c r="AJ262" i="5"/>
  <c r="CQ291" i="5"/>
  <c r="CS177" i="5" l="1"/>
  <c r="CS153" i="5"/>
  <c r="T28" i="171"/>
  <c r="CS213" i="5"/>
  <c r="CX109" i="5"/>
  <c r="CS385" i="5"/>
  <c r="CQ292" i="5"/>
  <c r="CX111" i="5"/>
  <c r="DC111" i="5"/>
  <c r="BA337" i="5"/>
  <c r="BA335" i="5"/>
  <c r="BA350" i="5"/>
  <c r="BA356" i="5" s="1"/>
  <c r="BA305" i="5"/>
  <c r="BA312" i="5" s="1"/>
  <c r="BA336" i="5"/>
  <c r="BA254" i="5"/>
  <c r="BA257" i="5"/>
  <c r="U15" i="171"/>
  <c r="U20" i="171"/>
  <c r="AX251" i="5"/>
  <c r="AX253" i="5" s="1"/>
  <c r="AY247" i="5"/>
  <c r="AY248" i="5" s="1"/>
  <c r="AY251" i="5" s="1"/>
  <c r="AY253" i="5" s="1"/>
  <c r="AW337" i="5"/>
  <c r="AW335" i="5"/>
  <c r="AW336" i="5"/>
  <c r="AW350" i="5"/>
  <c r="AW356" i="5" s="1"/>
  <c r="AW305" i="5"/>
  <c r="AW312" i="5" s="1"/>
  <c r="AW254" i="5"/>
  <c r="AW257" i="5"/>
  <c r="AN262" i="5"/>
  <c r="AN260" i="5"/>
  <c r="BG247" i="5"/>
  <c r="BG248" i="5" s="1"/>
  <c r="BF251" i="5"/>
  <c r="BF253" i="5" s="1"/>
  <c r="AS337" i="5"/>
  <c r="AS335" i="5"/>
  <c r="AS336" i="5"/>
  <c r="AS305" i="5"/>
  <c r="AS254" i="5"/>
  <c r="AS257" i="5"/>
  <c r="AS259" i="5" s="1"/>
  <c r="AZ365" i="5"/>
  <c r="AZ377" i="5" s="1"/>
  <c r="AZ362" i="5"/>
  <c r="AZ374" i="5" s="1"/>
  <c r="AZ371" i="5"/>
  <c r="AV372" i="5"/>
  <c r="AV366" i="5"/>
  <c r="AV378" i="5" s="1"/>
  <c r="AV363" i="5"/>
  <c r="AV375" i="5" s="1"/>
  <c r="DC109" i="5"/>
  <c r="CS288" i="5"/>
  <c r="CR291" i="5"/>
  <c r="AT335" i="5"/>
  <c r="AT336" i="5"/>
  <c r="AT337" i="5"/>
  <c r="AT305" i="5"/>
  <c r="AT254" i="5"/>
  <c r="AT257" i="5"/>
  <c r="AT259" i="5" s="1"/>
  <c r="AR260" i="5"/>
  <c r="AR262" i="5"/>
  <c r="BB251" i="5"/>
  <c r="BB253" i="5" s="1"/>
  <c r="BC247" i="5"/>
  <c r="BC248" i="5" s="1"/>
  <c r="CX183" i="5"/>
  <c r="CX118" i="5"/>
  <c r="CX119" i="5"/>
  <c r="BJ251" i="5"/>
  <c r="BJ253" i="5" s="1"/>
  <c r="BO247" i="5"/>
  <c r="BO248" i="5" s="1"/>
  <c r="BK247" i="5"/>
  <c r="BK248" i="5" s="1"/>
  <c r="AZ315" i="5"/>
  <c r="AZ313" i="5"/>
  <c r="CS280" i="5"/>
  <c r="CR283" i="5"/>
  <c r="CR284" i="5"/>
  <c r="DC113" i="5"/>
  <c r="J47" i="171" s="1"/>
  <c r="DC183" i="5"/>
  <c r="DC118" i="5"/>
  <c r="DC119" i="5"/>
  <c r="BE305" i="5"/>
  <c r="BE312" i="5" s="1"/>
  <c r="BE350" i="5"/>
  <c r="BE356" i="5" s="1"/>
  <c r="BE254" i="5"/>
  <c r="BE337" i="5"/>
  <c r="BE336" i="5"/>
  <c r="BE335" i="5"/>
  <c r="BE257" i="5"/>
  <c r="BE351" i="5" s="1"/>
  <c r="BE355" i="5" s="1"/>
  <c r="AO262" i="5"/>
  <c r="AO260" i="5"/>
  <c r="AZ366" i="5"/>
  <c r="AZ378" i="5" s="1"/>
  <c r="AZ363" i="5"/>
  <c r="AZ375" i="5" s="1"/>
  <c r="AZ372" i="5"/>
  <c r="AV351" i="5"/>
  <c r="AV355" i="5" s="1"/>
  <c r="AV259" i="5"/>
  <c r="V15" i="171"/>
  <c r="V20" i="171"/>
  <c r="T60" i="171" l="1"/>
  <c r="J46" i="171"/>
  <c r="J45" i="171"/>
  <c r="I46" i="171"/>
  <c r="I45" i="171"/>
  <c r="AZ397" i="5"/>
  <c r="AZ398" i="5"/>
  <c r="DC189" i="5"/>
  <c r="DC120" i="5"/>
  <c r="DC127" i="5"/>
  <c r="DC128" i="5" s="1"/>
  <c r="DC122" i="5"/>
  <c r="DC143" i="5"/>
  <c r="BJ350" i="5"/>
  <c r="BJ356" i="5" s="1"/>
  <c r="BJ305" i="5"/>
  <c r="BJ312" i="5" s="1"/>
  <c r="BJ254" i="5"/>
  <c r="BJ257" i="5"/>
  <c r="BJ351" i="5" s="1"/>
  <c r="BJ355" i="5" s="1"/>
  <c r="BJ335" i="5"/>
  <c r="BJ336" i="5"/>
  <c r="BJ337" i="5"/>
  <c r="CX120" i="5"/>
  <c r="CX189" i="5"/>
  <c r="CX127" i="5"/>
  <c r="CX128" i="5" s="1"/>
  <c r="CX122" i="5"/>
  <c r="CX143" i="5"/>
  <c r="BB335" i="5"/>
  <c r="BB350" i="5"/>
  <c r="BB356" i="5" s="1"/>
  <c r="BB336" i="5"/>
  <c r="BB337" i="5"/>
  <c r="BB305" i="5"/>
  <c r="BB312" i="5" s="1"/>
  <c r="BB254" i="5"/>
  <c r="BB257" i="5"/>
  <c r="AZ395" i="5"/>
  <c r="AZ394" i="5"/>
  <c r="AW372" i="5"/>
  <c r="AW366" i="5"/>
  <c r="AW378" i="5" s="1"/>
  <c r="AW363" i="5"/>
  <c r="AW375" i="5" s="1"/>
  <c r="AY335" i="5"/>
  <c r="AY350" i="5"/>
  <c r="AY356" i="5" s="1"/>
  <c r="AY336" i="5"/>
  <c r="AY337" i="5"/>
  <c r="AY305" i="5"/>
  <c r="AY312" i="5" s="1"/>
  <c r="AY254" i="5"/>
  <c r="AY257" i="5"/>
  <c r="BA351" i="5"/>
  <c r="BA355" i="5" s="1"/>
  <c r="BA259" i="5"/>
  <c r="BA366" i="5"/>
  <c r="BA378" i="5" s="1"/>
  <c r="BA363" i="5"/>
  <c r="BA375" i="5" s="1"/>
  <c r="BA372" i="5"/>
  <c r="V21" i="171"/>
  <c r="V56" i="171" s="1"/>
  <c r="AT262" i="5"/>
  <c r="AT260" i="5"/>
  <c r="AS260" i="5"/>
  <c r="AS262" i="5"/>
  <c r="BA315" i="5"/>
  <c r="BA313" i="5"/>
  <c r="BA314" i="5"/>
  <c r="BE365" i="5"/>
  <c r="BE377" i="5" s="1"/>
  <c r="BE362" i="5"/>
  <c r="BE374" i="5" s="1"/>
  <c r="BE371" i="5"/>
  <c r="AZ409" i="5"/>
  <c r="AZ410" i="5"/>
  <c r="BE366" i="5"/>
  <c r="BE378" i="5" s="1"/>
  <c r="BE363" i="5"/>
  <c r="BE375" i="5" s="1"/>
  <c r="BE372" i="5"/>
  <c r="DC200" i="5"/>
  <c r="DC185" i="5"/>
  <c r="CS284" i="5"/>
  <c r="CS283" i="5"/>
  <c r="BL247" i="5"/>
  <c r="BL248" i="5" s="1"/>
  <c r="BK251" i="5"/>
  <c r="BK253" i="5" s="1"/>
  <c r="CR292" i="5"/>
  <c r="AV403" i="5"/>
  <c r="AV404" i="5"/>
  <c r="AZ401" i="5"/>
  <c r="AZ400" i="5"/>
  <c r="BF335" i="5"/>
  <c r="BF350" i="5"/>
  <c r="BF356" i="5" s="1"/>
  <c r="BF336" i="5"/>
  <c r="BF305" i="5"/>
  <c r="BF312" i="5" s="1"/>
  <c r="BF337" i="5"/>
  <c r="BF254" i="5"/>
  <c r="BF257" i="5"/>
  <c r="AW351" i="5"/>
  <c r="AW355" i="5" s="1"/>
  <c r="AW259" i="5"/>
  <c r="AX335" i="5"/>
  <c r="AX350" i="5"/>
  <c r="AX356" i="5" s="1"/>
  <c r="AX336" i="5"/>
  <c r="AX337" i="5"/>
  <c r="AX305" i="5"/>
  <c r="AX312" i="5" s="1"/>
  <c r="AX254" i="5"/>
  <c r="AX257" i="5"/>
  <c r="AZ316" i="5"/>
  <c r="BD247" i="5"/>
  <c r="BD248" i="5" s="1"/>
  <c r="BD251" i="5" s="1"/>
  <c r="BD253" i="5" s="1"/>
  <c r="BC251" i="5"/>
  <c r="BC253" i="5" s="1"/>
  <c r="AV397" i="5"/>
  <c r="AV398" i="5"/>
  <c r="AW315" i="5"/>
  <c r="AW313" i="5"/>
  <c r="AW314" i="5"/>
  <c r="AZ403" i="5"/>
  <c r="AZ404" i="5"/>
  <c r="AV260" i="5"/>
  <c r="AV262" i="5"/>
  <c r="AV371" i="5"/>
  <c r="AV365" i="5"/>
  <c r="AV377" i="5" s="1"/>
  <c r="AV362" i="5"/>
  <c r="AV374" i="5" s="1"/>
  <c r="BE315" i="5"/>
  <c r="BE313" i="5"/>
  <c r="BO251" i="5"/>
  <c r="BO253" i="5" s="1"/>
  <c r="BT247" i="5"/>
  <c r="BT248" i="5" s="1"/>
  <c r="BP247" i="5"/>
  <c r="BP248" i="5" s="1"/>
  <c r="CX200" i="5"/>
  <c r="CX185" i="5"/>
  <c r="CS291" i="5"/>
  <c r="AV409" i="5"/>
  <c r="AV410" i="5"/>
  <c r="AZ407" i="5"/>
  <c r="AZ406" i="5"/>
  <c r="BH247" i="5"/>
  <c r="BH248" i="5" s="1"/>
  <c r="BG251" i="5"/>
  <c r="BG253" i="5" s="1"/>
  <c r="U21" i="171"/>
  <c r="BE316" i="5" l="1"/>
  <c r="BA403" i="5"/>
  <c r="BA404" i="5"/>
  <c r="AY351" i="5"/>
  <c r="AY355" i="5" s="1"/>
  <c r="AY259" i="5"/>
  <c r="CX123" i="5"/>
  <c r="I50" i="171"/>
  <c r="BJ365" i="5"/>
  <c r="BJ377" i="5" s="1"/>
  <c r="BJ362" i="5"/>
  <c r="BJ374" i="5" s="1"/>
  <c r="BJ371" i="5"/>
  <c r="BG350" i="5"/>
  <c r="BG356" i="5" s="1"/>
  <c r="BG305" i="5"/>
  <c r="BG312" i="5" s="1"/>
  <c r="BG254" i="5"/>
  <c r="BG257" i="5"/>
  <c r="BG335" i="5"/>
  <c r="BG337" i="5"/>
  <c r="BG336" i="5"/>
  <c r="AV401" i="5"/>
  <c r="AV400" i="5"/>
  <c r="BC335" i="5"/>
  <c r="BC350" i="5"/>
  <c r="BC356" i="5" s="1"/>
  <c r="BC336" i="5"/>
  <c r="BC337" i="5"/>
  <c r="BC305" i="5"/>
  <c r="BC312" i="5" s="1"/>
  <c r="BC254" i="5"/>
  <c r="BC257" i="5"/>
  <c r="AX351" i="5"/>
  <c r="AX355" i="5" s="1"/>
  <c r="AX259" i="5"/>
  <c r="AW365" i="5"/>
  <c r="AW377" i="5" s="1"/>
  <c r="AW362" i="5"/>
  <c r="AW374" i="5" s="1"/>
  <c r="AW371" i="5"/>
  <c r="BF313" i="5"/>
  <c r="BF314" i="5"/>
  <c r="BF315" i="5"/>
  <c r="BE397" i="5"/>
  <c r="BE398" i="5"/>
  <c r="BA409" i="5"/>
  <c r="BA410" i="5"/>
  <c r="AY366" i="5"/>
  <c r="AY378" i="5" s="1"/>
  <c r="AY363" i="5"/>
  <c r="AY375" i="5" s="1"/>
  <c r="AY372" i="5"/>
  <c r="AW397" i="5"/>
  <c r="AW398" i="5"/>
  <c r="BB372" i="5"/>
  <c r="BB366" i="5"/>
  <c r="BB378" i="5" s="1"/>
  <c r="BB363" i="5"/>
  <c r="BB375" i="5" s="1"/>
  <c r="DC123" i="5"/>
  <c r="J50" i="171"/>
  <c r="DC381" i="5"/>
  <c r="DC327" i="5"/>
  <c r="DC319" i="5"/>
  <c r="DC323" i="5"/>
  <c r="DC206" i="5"/>
  <c r="DC190" i="5"/>
  <c r="DC331" i="5"/>
  <c r="BT251" i="5"/>
  <c r="BT253" i="5" s="1"/>
  <c r="BY247" i="5"/>
  <c r="BY248" i="5" s="1"/>
  <c r="BU247" i="5"/>
  <c r="BU248" i="5" s="1"/>
  <c r="AW260" i="5"/>
  <c r="AW262" i="5"/>
  <c r="BE406" i="5"/>
  <c r="BE407" i="5"/>
  <c r="AW409" i="5"/>
  <c r="AW410" i="5"/>
  <c r="CX202" i="5"/>
  <c r="CX282" i="5"/>
  <c r="CX268" i="5"/>
  <c r="CX276" i="5"/>
  <c r="CX278" i="5" s="1"/>
  <c r="BH251" i="5"/>
  <c r="BH253" i="5" s="1"/>
  <c r="BI247" i="5"/>
  <c r="BI248" i="5" s="1"/>
  <c r="BI251" i="5" s="1"/>
  <c r="BI253" i="5" s="1"/>
  <c r="BD350" i="5"/>
  <c r="BD356" i="5" s="1"/>
  <c r="BD305" i="5"/>
  <c r="BD312" i="5" s="1"/>
  <c r="BD254" i="5"/>
  <c r="BD337" i="5"/>
  <c r="BD257" i="5"/>
  <c r="BD336" i="5"/>
  <c r="BD335" i="5"/>
  <c r="AX366" i="5"/>
  <c r="AX378" i="5" s="1"/>
  <c r="AX363" i="5"/>
  <c r="AX375" i="5" s="1"/>
  <c r="AX372" i="5"/>
  <c r="BF351" i="5"/>
  <c r="BF355" i="5" s="1"/>
  <c r="BF259" i="5"/>
  <c r="BK335" i="5"/>
  <c r="BK350" i="5"/>
  <c r="BK356" i="5" s="1"/>
  <c r="BK336" i="5"/>
  <c r="BK337" i="5"/>
  <c r="BK305" i="5"/>
  <c r="BK312" i="5" s="1"/>
  <c r="BK257" i="5"/>
  <c r="BK254" i="5"/>
  <c r="BE403" i="5"/>
  <c r="BE404" i="5"/>
  <c r="BE394" i="5"/>
  <c r="BE395" i="5"/>
  <c r="BA260" i="5"/>
  <c r="BA262" i="5"/>
  <c r="AY313" i="5"/>
  <c r="AY314" i="5"/>
  <c r="AY315" i="5"/>
  <c r="BB313" i="5"/>
  <c r="BB314" i="5"/>
  <c r="BB315" i="5"/>
  <c r="CX381" i="5"/>
  <c r="CX327" i="5"/>
  <c r="CX323" i="5"/>
  <c r="CX319" i="5"/>
  <c r="CX206" i="5"/>
  <c r="CX190" i="5"/>
  <c r="CX331" i="5"/>
  <c r="BJ313" i="5"/>
  <c r="BJ315" i="5"/>
  <c r="BB351" i="5"/>
  <c r="BB355" i="5" s="1"/>
  <c r="BB259" i="5"/>
  <c r="DC195" i="5"/>
  <c r="DC146" i="5"/>
  <c r="DC144" i="5"/>
  <c r="DC48" i="5" s="1"/>
  <c r="BO350" i="5"/>
  <c r="BO356" i="5" s="1"/>
  <c r="BO305" i="5"/>
  <c r="BO312" i="5" s="1"/>
  <c r="BO254" i="5"/>
  <c r="BO257" i="5"/>
  <c r="BO351" i="5" s="1"/>
  <c r="BO355" i="5" s="1"/>
  <c r="BO336" i="5"/>
  <c r="BO335" i="5"/>
  <c r="BO337" i="5"/>
  <c r="G17" i="171"/>
  <c r="U56" i="171"/>
  <c r="AV407" i="5"/>
  <c r="AV406" i="5"/>
  <c r="AW316" i="5"/>
  <c r="AW317" i="5"/>
  <c r="CS292" i="5"/>
  <c r="T52" i="171"/>
  <c r="CS129" i="5"/>
  <c r="CS130" i="5" s="1"/>
  <c r="BP251" i="5"/>
  <c r="BP253" i="5" s="1"/>
  <c r="BQ247" i="5"/>
  <c r="BQ248" i="5" s="1"/>
  <c r="AV395" i="5"/>
  <c r="AV394" i="5"/>
  <c r="AX313" i="5"/>
  <c r="AX314" i="5"/>
  <c r="AX315" i="5"/>
  <c r="BF366" i="5"/>
  <c r="BF378" i="5" s="1"/>
  <c r="BF363" i="5"/>
  <c r="BF375" i="5" s="1"/>
  <c r="BF372" i="5"/>
  <c r="BL251" i="5"/>
  <c r="BL253" i="5" s="1"/>
  <c r="BM247" i="5"/>
  <c r="BM248" i="5" s="1"/>
  <c r="DC202" i="5"/>
  <c r="DC282" i="5"/>
  <c r="DC268" i="5"/>
  <c r="DC276" i="5"/>
  <c r="DC278" i="5" s="1"/>
  <c r="BE409" i="5"/>
  <c r="BE410" i="5"/>
  <c r="BE400" i="5"/>
  <c r="BE401" i="5"/>
  <c r="BA316" i="5"/>
  <c r="BA317" i="5"/>
  <c r="BA397" i="5"/>
  <c r="BA398" i="5"/>
  <c r="BA365" i="5"/>
  <c r="BA377" i="5" s="1"/>
  <c r="BA362" i="5"/>
  <c r="BA374" i="5" s="1"/>
  <c r="BA371" i="5"/>
  <c r="AW403" i="5"/>
  <c r="AW404" i="5"/>
  <c r="CX195" i="5"/>
  <c r="CX144" i="5"/>
  <c r="CX48" i="5" s="1"/>
  <c r="CX146" i="5"/>
  <c r="CX191" i="5"/>
  <c r="CX124" i="5"/>
  <c r="CX121" i="5"/>
  <c r="BJ366" i="5"/>
  <c r="BJ378" i="5" s="1"/>
  <c r="BJ363" i="5"/>
  <c r="BJ375" i="5" s="1"/>
  <c r="BJ372" i="5"/>
  <c r="DC191" i="5"/>
  <c r="DC124" i="5"/>
  <c r="DC121" i="5"/>
  <c r="CX147" i="5" l="1"/>
  <c r="BJ398" i="5"/>
  <c r="BJ397" i="5"/>
  <c r="BL350" i="5"/>
  <c r="BL356" i="5" s="1"/>
  <c r="BL336" i="5"/>
  <c r="BL337" i="5"/>
  <c r="BL335" i="5"/>
  <c r="BL305" i="5"/>
  <c r="BL312" i="5" s="1"/>
  <c r="BL257" i="5"/>
  <c r="BL254" i="5"/>
  <c r="AY317" i="5"/>
  <c r="AY316" i="5"/>
  <c r="AY409" i="5"/>
  <c r="AY410" i="5"/>
  <c r="AW394" i="5"/>
  <c r="AW395" i="5"/>
  <c r="BG363" i="5"/>
  <c r="BG375" i="5" s="1"/>
  <c r="BG366" i="5"/>
  <c r="BG378" i="5" s="1"/>
  <c r="BG372" i="5"/>
  <c r="BJ404" i="5"/>
  <c r="BJ403" i="5"/>
  <c r="CX386" i="5"/>
  <c r="CX387" i="5" s="1"/>
  <c r="CX325" i="5"/>
  <c r="CX329" i="5"/>
  <c r="CX321" i="5"/>
  <c r="CX208" i="5"/>
  <c r="CX192" i="5"/>
  <c r="CX209" i="5" s="1"/>
  <c r="CX333" i="5"/>
  <c r="CX383" i="5"/>
  <c r="CX212" i="5"/>
  <c r="BA400" i="5"/>
  <c r="BA401" i="5"/>
  <c r="BF398" i="5"/>
  <c r="BF397" i="5"/>
  <c r="BQ251" i="5"/>
  <c r="BQ253" i="5" s="1"/>
  <c r="BR247" i="5"/>
  <c r="BR248" i="5" s="1"/>
  <c r="T54" i="171"/>
  <c r="H52" i="171"/>
  <c r="DC220" i="5"/>
  <c r="V24" i="171"/>
  <c r="V26" i="171" s="1"/>
  <c r="BB260" i="5"/>
  <c r="BB262" i="5"/>
  <c r="BB316" i="5"/>
  <c r="BB317" i="5"/>
  <c r="BF365" i="5"/>
  <c r="BF377" i="5" s="1"/>
  <c r="BF362" i="5"/>
  <c r="BF374" i="5" s="1"/>
  <c r="BF371" i="5"/>
  <c r="BH350" i="5"/>
  <c r="BH356" i="5" s="1"/>
  <c r="BH305" i="5"/>
  <c r="BH312" i="5" s="1"/>
  <c r="BH257" i="5"/>
  <c r="BH254" i="5"/>
  <c r="BH336" i="5"/>
  <c r="BH337" i="5"/>
  <c r="BH335" i="5"/>
  <c r="BV247" i="5"/>
  <c r="BV248" i="5" s="1"/>
  <c r="BU251" i="5"/>
  <c r="BU253" i="5" s="1"/>
  <c r="DC382" i="5"/>
  <c r="DC328" i="5"/>
  <c r="DC324" i="5"/>
  <c r="DC320" i="5"/>
  <c r="DC207" i="5"/>
  <c r="DC332" i="5"/>
  <c r="BB404" i="5"/>
  <c r="BB403" i="5"/>
  <c r="BF316" i="5"/>
  <c r="BF317" i="5"/>
  <c r="AW400" i="5"/>
  <c r="AW401" i="5"/>
  <c r="BC351" i="5"/>
  <c r="BC355" i="5" s="1"/>
  <c r="BC259" i="5"/>
  <c r="BG351" i="5"/>
  <c r="BG355" i="5" s="1"/>
  <c r="BG259" i="5"/>
  <c r="BJ394" i="5"/>
  <c r="BJ395" i="5"/>
  <c r="CX125" i="5"/>
  <c r="I51" i="171"/>
  <c r="AX316" i="5"/>
  <c r="AX317" i="5"/>
  <c r="BO362" i="5"/>
  <c r="BO374" i="5" s="1"/>
  <c r="BO365" i="5"/>
  <c r="BO377" i="5" s="1"/>
  <c r="BO371" i="5"/>
  <c r="BI337" i="5"/>
  <c r="BI335" i="5"/>
  <c r="BI336" i="5"/>
  <c r="BI305" i="5"/>
  <c r="BI312" i="5" s="1"/>
  <c r="BI350" i="5"/>
  <c r="BI356" i="5" s="1"/>
  <c r="BI254" i="5"/>
  <c r="BI257" i="5"/>
  <c r="AX365" i="5"/>
  <c r="AX377" i="5" s="1"/>
  <c r="AX362" i="5"/>
  <c r="AX374" i="5" s="1"/>
  <c r="AX371" i="5"/>
  <c r="BJ410" i="5"/>
  <c r="BJ409" i="5"/>
  <c r="CX220" i="5"/>
  <c r="U24" i="171"/>
  <c r="U26" i="171" s="1"/>
  <c r="BA406" i="5"/>
  <c r="BA407" i="5"/>
  <c r="BF404" i="5"/>
  <c r="BF403" i="5"/>
  <c r="BP257" i="5"/>
  <c r="BP259" i="5" s="1"/>
  <c r="BP254" i="5"/>
  <c r="BO313" i="5"/>
  <c r="BO315" i="5"/>
  <c r="DC147" i="5"/>
  <c r="BB365" i="5"/>
  <c r="BB377" i="5" s="1"/>
  <c r="BB362" i="5"/>
  <c r="BB374" i="5" s="1"/>
  <c r="BB371" i="5"/>
  <c r="BK351" i="5"/>
  <c r="BK355" i="5" s="1"/>
  <c r="BK259" i="5"/>
  <c r="BK363" i="5"/>
  <c r="BK375" i="5" s="1"/>
  <c r="BK366" i="5"/>
  <c r="BK378" i="5" s="1"/>
  <c r="BK372" i="5"/>
  <c r="AX398" i="5"/>
  <c r="AX397" i="5"/>
  <c r="BD314" i="5"/>
  <c r="BD315" i="5"/>
  <c r="BD313" i="5"/>
  <c r="BY251" i="5"/>
  <c r="BY253" i="5" s="1"/>
  <c r="CD247" i="5"/>
  <c r="CD248" i="5" s="1"/>
  <c r="BZ247" i="5"/>
  <c r="BZ248" i="5" s="1"/>
  <c r="BB410" i="5"/>
  <c r="BB409" i="5"/>
  <c r="AY397" i="5"/>
  <c r="AY398" i="5"/>
  <c r="AW406" i="5"/>
  <c r="AW407" i="5"/>
  <c r="BC372" i="5"/>
  <c r="BC366" i="5"/>
  <c r="BC378" i="5" s="1"/>
  <c r="BC363" i="5"/>
  <c r="BC375" i="5" s="1"/>
  <c r="BJ400" i="5"/>
  <c r="BJ401" i="5"/>
  <c r="AZ259" i="5"/>
  <c r="AY260" i="5"/>
  <c r="AY262" i="5"/>
  <c r="BA394" i="5"/>
  <c r="BA395" i="5"/>
  <c r="F17" i="171"/>
  <c r="F21" i="171" s="1"/>
  <c r="F24" i="171" s="1"/>
  <c r="H17" i="171"/>
  <c r="H21" i="171" s="1"/>
  <c r="H24" i="171" s="1"/>
  <c r="G21" i="171"/>
  <c r="G24" i="171" s="1"/>
  <c r="BF260" i="5"/>
  <c r="BF262" i="5"/>
  <c r="AX410" i="5"/>
  <c r="AX409" i="5"/>
  <c r="DC125" i="5"/>
  <c r="J51" i="171"/>
  <c r="DC386" i="5"/>
  <c r="DC387" i="5" s="1"/>
  <c r="DC329" i="5"/>
  <c r="DC325" i="5"/>
  <c r="DC321" i="5"/>
  <c r="DC208" i="5"/>
  <c r="DC192" i="5"/>
  <c r="DC209" i="5" s="1"/>
  <c r="DC333" i="5"/>
  <c r="BN247" i="5"/>
  <c r="BN248" i="5" s="1"/>
  <c r="BN251" i="5" s="1"/>
  <c r="BN253" i="5" s="1"/>
  <c r="BM251" i="5"/>
  <c r="BM253" i="5" s="1"/>
  <c r="BF410" i="5"/>
  <c r="BF409" i="5"/>
  <c r="BO366" i="5"/>
  <c r="BO378" i="5" s="1"/>
  <c r="BO363" i="5"/>
  <c r="BO375" i="5" s="1"/>
  <c r="BO372" i="5"/>
  <c r="DC383" i="5"/>
  <c r="DC212" i="5"/>
  <c r="BJ316" i="5"/>
  <c r="CX382" i="5"/>
  <c r="CX324" i="5"/>
  <c r="CX328" i="5"/>
  <c r="CX320" i="5"/>
  <c r="CX207" i="5"/>
  <c r="CX332" i="5"/>
  <c r="BK313" i="5"/>
  <c r="BK314" i="5"/>
  <c r="BK315" i="5"/>
  <c r="AX404" i="5"/>
  <c r="AX403" i="5"/>
  <c r="BD351" i="5"/>
  <c r="BD355" i="5" s="1"/>
  <c r="BD259" i="5"/>
  <c r="BD366" i="5"/>
  <c r="BD378" i="5" s="1"/>
  <c r="BD363" i="5"/>
  <c r="BD375" i="5" s="1"/>
  <c r="BD372" i="5"/>
  <c r="BT350" i="5"/>
  <c r="BT356" i="5" s="1"/>
  <c r="BT305" i="5"/>
  <c r="BT312" i="5" s="1"/>
  <c r="BT254" i="5"/>
  <c r="BT257" i="5"/>
  <c r="BT351" i="5" s="1"/>
  <c r="BT355" i="5" s="1"/>
  <c r="O46" i="171"/>
  <c r="BT335" i="5"/>
  <c r="BT336" i="5"/>
  <c r="BT337" i="5"/>
  <c r="BB398" i="5"/>
  <c r="BB397" i="5"/>
  <c r="AY403" i="5"/>
  <c r="AY404" i="5"/>
  <c r="AX260" i="5"/>
  <c r="AX262" i="5"/>
  <c r="BC313" i="5"/>
  <c r="BC314" i="5"/>
  <c r="BC315" i="5"/>
  <c r="BG313" i="5"/>
  <c r="BG314" i="5"/>
  <c r="BG315" i="5"/>
  <c r="BJ406" i="5"/>
  <c r="BJ407" i="5"/>
  <c r="AY362" i="5"/>
  <c r="AY374" i="5" s="1"/>
  <c r="AY365" i="5"/>
  <c r="AY377" i="5" s="1"/>
  <c r="AY371" i="5"/>
  <c r="CX148" i="5" l="1"/>
  <c r="CX196" i="5"/>
  <c r="CX384" i="5" s="1"/>
  <c r="CX152" i="5"/>
  <c r="CX149" i="5"/>
  <c r="CX150" i="5" s="1"/>
  <c r="CX176" i="5"/>
  <c r="CX177" i="5" s="1"/>
  <c r="CX280" i="5"/>
  <c r="DC280" i="5" s="1"/>
  <c r="BK409" i="5"/>
  <c r="BK410" i="5"/>
  <c r="BO316" i="5"/>
  <c r="BG262" i="5"/>
  <c r="BG260" i="5"/>
  <c r="BR251" i="5"/>
  <c r="BR253" i="5" s="1"/>
  <c r="BS247" i="5"/>
  <c r="BS248" i="5" s="1"/>
  <c r="BS251" i="5" s="1"/>
  <c r="BS253" i="5" s="1"/>
  <c r="BL314" i="5"/>
  <c r="BL315" i="5"/>
  <c r="BL313" i="5"/>
  <c r="AY394" i="5"/>
  <c r="AY395" i="5"/>
  <c r="BC317" i="5"/>
  <c r="BC316" i="5"/>
  <c r="O47" i="171"/>
  <c r="O55" i="171"/>
  <c r="O61" i="171"/>
  <c r="BT366" i="5"/>
  <c r="BT378" i="5" s="1"/>
  <c r="BT363" i="5"/>
  <c r="BT375" i="5" s="1"/>
  <c r="BT372" i="5"/>
  <c r="BE259" i="5"/>
  <c r="BD260" i="5"/>
  <c r="BD262" i="5"/>
  <c r="BK317" i="5"/>
  <c r="BK316" i="5"/>
  <c r="BC403" i="5"/>
  <c r="BC404" i="5"/>
  <c r="BK403" i="5"/>
  <c r="BK404" i="5"/>
  <c r="BB400" i="5"/>
  <c r="BB401" i="5"/>
  <c r="AX394" i="5"/>
  <c r="AX395" i="5"/>
  <c r="BG365" i="5"/>
  <c r="BG377" i="5" s="1"/>
  <c r="BG362" i="5"/>
  <c r="BG374" i="5" s="1"/>
  <c r="BG371" i="5"/>
  <c r="BW247" i="5"/>
  <c r="BW248" i="5" s="1"/>
  <c r="BV251" i="5"/>
  <c r="BV253" i="5" s="1"/>
  <c r="BF394" i="5"/>
  <c r="BF395" i="5"/>
  <c r="BQ257" i="5"/>
  <c r="BQ259" i="5" s="1"/>
  <c r="BQ254" i="5"/>
  <c r="BG397" i="5"/>
  <c r="BG398" i="5"/>
  <c r="BD409" i="5"/>
  <c r="BD410" i="5"/>
  <c r="BN335" i="5"/>
  <c r="BN350" i="5"/>
  <c r="BN356" i="5" s="1"/>
  <c r="BN336" i="5"/>
  <c r="BN337" i="5"/>
  <c r="BN305" i="5"/>
  <c r="BN312" i="5" s="1"/>
  <c r="BN254" i="5"/>
  <c r="BN257" i="5"/>
  <c r="BP262" i="5"/>
  <c r="BP260" i="5"/>
  <c r="BI351" i="5"/>
  <c r="BI355" i="5" s="1"/>
  <c r="BI259" i="5"/>
  <c r="BH366" i="5"/>
  <c r="BH378" i="5" s="1"/>
  <c r="BH363" i="5"/>
  <c r="BH375" i="5" s="1"/>
  <c r="BH372" i="5"/>
  <c r="BL366" i="5"/>
  <c r="BL378" i="5" s="1"/>
  <c r="BL363" i="5"/>
  <c r="BL375" i="5" s="1"/>
  <c r="BL372" i="5"/>
  <c r="AY406" i="5"/>
  <c r="AY407" i="5"/>
  <c r="BG317" i="5"/>
  <c r="BG316" i="5"/>
  <c r="BT365" i="5"/>
  <c r="BT377" i="5" s="1"/>
  <c r="BT362" i="5"/>
  <c r="BT374" i="5" s="1"/>
  <c r="BT371" i="5"/>
  <c r="BD397" i="5"/>
  <c r="BD398" i="5"/>
  <c r="BD371" i="5"/>
  <c r="BD365" i="5"/>
  <c r="BD377" i="5" s="1"/>
  <c r="BD362" i="5"/>
  <c r="BD374" i="5" s="1"/>
  <c r="AZ261" i="5"/>
  <c r="AZ270" i="5" s="1"/>
  <c r="AZ260" i="5"/>
  <c r="AZ262" i="5"/>
  <c r="BC409" i="5"/>
  <c r="BC410" i="5"/>
  <c r="CA247" i="5"/>
  <c r="CA248" i="5" s="1"/>
  <c r="BZ251" i="5"/>
  <c r="BZ253" i="5" s="1"/>
  <c r="BK262" i="5"/>
  <c r="BK260" i="5"/>
  <c r="BB406" i="5"/>
  <c r="BB407" i="5"/>
  <c r="AX400" i="5"/>
  <c r="AX401" i="5"/>
  <c r="BI366" i="5"/>
  <c r="BI378" i="5" s="1"/>
  <c r="BI363" i="5"/>
  <c r="BI375" i="5" s="1"/>
  <c r="BI372" i="5"/>
  <c r="BC260" i="5"/>
  <c r="BC262" i="5"/>
  <c r="BH351" i="5"/>
  <c r="BH355" i="5" s="1"/>
  <c r="BH259" i="5"/>
  <c r="BF400" i="5"/>
  <c r="BF401" i="5"/>
  <c r="BG409" i="5"/>
  <c r="BG410" i="5"/>
  <c r="CX385" i="5"/>
  <c r="U28" i="171"/>
  <c r="BT315" i="5"/>
  <c r="BT313" i="5"/>
  <c r="BY350" i="5"/>
  <c r="BY356" i="5" s="1"/>
  <c r="BY305" i="5"/>
  <c r="BY312" i="5" s="1"/>
  <c r="BY254" i="5"/>
  <c r="BY257" i="5"/>
  <c r="BY351" i="5" s="1"/>
  <c r="BY355" i="5" s="1"/>
  <c r="P46" i="171"/>
  <c r="BY335" i="5"/>
  <c r="BY337" i="5"/>
  <c r="BY336" i="5"/>
  <c r="BB394" i="5"/>
  <c r="BB395" i="5"/>
  <c r="BU257" i="5"/>
  <c r="BU259" i="5" s="1"/>
  <c r="BU254" i="5"/>
  <c r="AY400" i="5"/>
  <c r="AY401" i="5"/>
  <c r="BD403" i="5"/>
  <c r="BD404" i="5"/>
  <c r="BM337" i="5"/>
  <c r="BM335" i="5"/>
  <c r="BM336" i="5"/>
  <c r="BM350" i="5"/>
  <c r="BM356" i="5" s="1"/>
  <c r="BM305" i="5"/>
  <c r="BM312" i="5" s="1"/>
  <c r="BM257" i="5"/>
  <c r="BM254" i="5"/>
  <c r="BC397" i="5"/>
  <c r="BC398" i="5"/>
  <c r="CD251" i="5"/>
  <c r="CD253" i="5" s="1"/>
  <c r="CI247" i="5"/>
  <c r="CI248" i="5" s="1"/>
  <c r="CE247" i="5"/>
  <c r="CE248" i="5" s="1"/>
  <c r="BD316" i="5"/>
  <c r="BD317" i="5"/>
  <c r="BK397" i="5"/>
  <c r="BK398" i="5"/>
  <c r="BK362" i="5"/>
  <c r="BK374" i="5" s="1"/>
  <c r="BK365" i="5"/>
  <c r="BK377" i="5" s="1"/>
  <c r="BK371" i="5"/>
  <c r="DC176" i="5"/>
  <c r="DC152" i="5"/>
  <c r="DC148" i="5"/>
  <c r="DC196" i="5"/>
  <c r="DC149" i="5"/>
  <c r="AX406" i="5"/>
  <c r="AX407" i="5"/>
  <c r="BI315" i="5"/>
  <c r="BI313" i="5"/>
  <c r="BI314" i="5"/>
  <c r="BC371" i="5"/>
  <c r="BC365" i="5"/>
  <c r="BC377" i="5" s="1"/>
  <c r="BC362" i="5"/>
  <c r="BC374" i="5" s="1"/>
  <c r="BH314" i="5"/>
  <c r="BH315" i="5"/>
  <c r="BH313" i="5"/>
  <c r="BF406" i="5"/>
  <c r="BF407" i="5"/>
  <c r="BG403" i="5"/>
  <c r="BG404" i="5"/>
  <c r="BL351" i="5"/>
  <c r="BL355" i="5" s="1"/>
  <c r="BL259" i="5"/>
  <c r="CX213" i="5" l="1"/>
  <c r="CX284" i="5"/>
  <c r="CX216" i="5"/>
  <c r="CX288" i="5" s="1"/>
  <c r="CX291" i="5" s="1"/>
  <c r="CX283" i="5"/>
  <c r="CX153" i="5"/>
  <c r="U60" i="171"/>
  <c r="DC150" i="5"/>
  <c r="BK406" i="5"/>
  <c r="BK407" i="5"/>
  <c r="AZ293" i="5"/>
  <c r="AZ314" i="5"/>
  <c r="AZ317" i="5"/>
  <c r="BI365" i="5"/>
  <c r="BI377" i="5" s="1"/>
  <c r="BI362" i="5"/>
  <c r="BI374" i="5" s="1"/>
  <c r="BI371" i="5"/>
  <c r="BV257" i="5"/>
  <c r="BV259" i="5" s="1"/>
  <c r="BV254" i="5"/>
  <c r="DC385" i="5"/>
  <c r="DC153" i="5"/>
  <c r="V28" i="171"/>
  <c r="V60" i="171" s="1"/>
  <c r="BY313" i="5"/>
  <c r="BY315" i="5"/>
  <c r="DC284" i="5"/>
  <c r="DC283" i="5"/>
  <c r="BD401" i="5"/>
  <c r="BD400" i="5"/>
  <c r="BL397" i="5"/>
  <c r="BL398" i="5"/>
  <c r="BH403" i="5"/>
  <c r="BH404" i="5"/>
  <c r="BN313" i="5"/>
  <c r="BN314" i="5"/>
  <c r="BN315" i="5"/>
  <c r="BQ262" i="5"/>
  <c r="BQ260" i="5"/>
  <c r="BX247" i="5"/>
  <c r="BX248" i="5" s="1"/>
  <c r="BX251" i="5" s="1"/>
  <c r="BX253" i="5" s="1"/>
  <c r="BW251" i="5"/>
  <c r="BW253" i="5" s="1"/>
  <c r="BR257" i="5"/>
  <c r="BR259" i="5" s="1"/>
  <c r="BR254" i="5"/>
  <c r="BH316" i="5"/>
  <c r="BH317" i="5"/>
  <c r="BG406" i="5"/>
  <c r="BG407" i="5"/>
  <c r="BC400" i="5"/>
  <c r="BC401" i="5"/>
  <c r="DC216" i="5"/>
  <c r="DC288" i="5" s="1"/>
  <c r="DC291" i="5" s="1"/>
  <c r="DC177" i="5"/>
  <c r="CF247" i="5"/>
  <c r="CF248" i="5" s="1"/>
  <c r="CE251" i="5"/>
  <c r="CE253" i="5" s="1"/>
  <c r="BM315" i="5"/>
  <c r="BM313" i="5"/>
  <c r="BM314" i="5"/>
  <c r="P47" i="171"/>
  <c r="P61" i="171"/>
  <c r="P55" i="171"/>
  <c r="BY366" i="5"/>
  <c r="BY378" i="5" s="1"/>
  <c r="BY363" i="5"/>
  <c r="BY375" i="5" s="1"/>
  <c r="BY372" i="5"/>
  <c r="BT316" i="5"/>
  <c r="BH262" i="5"/>
  <c r="BH260" i="5"/>
  <c r="BI397" i="5"/>
  <c r="BI398" i="5"/>
  <c r="BZ257" i="5"/>
  <c r="BZ259" i="5" s="1"/>
  <c r="BZ254" i="5"/>
  <c r="BD407" i="5"/>
  <c r="BD406" i="5"/>
  <c r="BL403" i="5"/>
  <c r="BL404" i="5"/>
  <c r="BH409" i="5"/>
  <c r="BH410" i="5"/>
  <c r="BG394" i="5"/>
  <c r="BG395" i="5"/>
  <c r="BE261" i="5"/>
  <c r="BE270" i="5" s="1"/>
  <c r="BE260" i="5"/>
  <c r="BE262" i="5"/>
  <c r="BL316" i="5"/>
  <c r="BL317" i="5"/>
  <c r="BC394" i="5"/>
  <c r="BC395" i="5"/>
  <c r="CD350" i="5"/>
  <c r="CD356" i="5" s="1"/>
  <c r="CD305" i="5"/>
  <c r="CD312" i="5" s="1"/>
  <c r="CD254" i="5"/>
  <c r="CD257" i="5"/>
  <c r="CD351" i="5" s="1"/>
  <c r="CD355" i="5" s="1"/>
  <c r="Q46" i="171"/>
  <c r="CD337" i="5"/>
  <c r="CD335" i="5"/>
  <c r="CD336" i="5"/>
  <c r="BU262" i="5"/>
  <c r="BU260" i="5"/>
  <c r="BI409" i="5"/>
  <c r="BI410" i="5"/>
  <c r="BH397" i="5"/>
  <c r="BH398" i="5"/>
  <c r="BN366" i="5"/>
  <c r="BN378" i="5" s="1"/>
  <c r="BN363" i="5"/>
  <c r="BN375" i="5" s="1"/>
  <c r="BN372" i="5"/>
  <c r="BS254" i="5"/>
  <c r="BS257" i="5"/>
  <c r="BS259" i="5" s="1"/>
  <c r="BL262" i="5"/>
  <c r="BL260" i="5"/>
  <c r="BK400" i="5"/>
  <c r="BK401" i="5"/>
  <c r="BM351" i="5"/>
  <c r="BM355" i="5" s="1"/>
  <c r="BM259" i="5"/>
  <c r="BL365" i="5"/>
  <c r="BL377" i="5" s="1"/>
  <c r="BL362" i="5"/>
  <c r="BL374" i="5" s="1"/>
  <c r="BL371" i="5"/>
  <c r="BC406" i="5"/>
  <c r="BC407" i="5"/>
  <c r="BI316" i="5"/>
  <c r="BI317" i="5"/>
  <c r="DC384" i="5"/>
  <c r="DC213" i="5"/>
  <c r="BK394" i="5"/>
  <c r="BK395" i="5"/>
  <c r="CI251" i="5"/>
  <c r="CI253" i="5" s="1"/>
  <c r="CN247" i="5"/>
  <c r="CJ247" i="5"/>
  <c r="CJ248" i="5" s="1"/>
  <c r="BM366" i="5"/>
  <c r="BM378" i="5" s="1"/>
  <c r="BM363" i="5"/>
  <c r="BM375" i="5" s="1"/>
  <c r="BM372" i="5"/>
  <c r="BY365" i="5"/>
  <c r="BY377" i="5" s="1"/>
  <c r="BY362" i="5"/>
  <c r="BY374" i="5" s="1"/>
  <c r="BY371" i="5"/>
  <c r="BH365" i="5"/>
  <c r="BH377" i="5" s="1"/>
  <c r="BH362" i="5"/>
  <c r="BH374" i="5" s="1"/>
  <c r="BH371" i="5"/>
  <c r="BI403" i="5"/>
  <c r="BI404" i="5"/>
  <c r="CB247" i="5"/>
  <c r="CB248" i="5" s="1"/>
  <c r="CA251" i="5"/>
  <c r="CA253" i="5" s="1"/>
  <c r="BD395" i="5"/>
  <c r="BD394" i="5"/>
  <c r="BL409" i="5"/>
  <c r="BL410" i="5"/>
  <c r="BJ259" i="5"/>
  <c r="BI260" i="5"/>
  <c r="BI262" i="5"/>
  <c r="BN351" i="5"/>
  <c r="BN355" i="5" s="1"/>
  <c r="BN259" i="5"/>
  <c r="BG400" i="5"/>
  <c r="BG401" i="5"/>
  <c r="DC292" i="5" l="1"/>
  <c r="V52" i="171"/>
  <c r="BH401" i="5"/>
  <c r="BH400" i="5"/>
  <c r="CJ251" i="5"/>
  <c r="CJ253" i="5" s="1"/>
  <c r="CK247" i="5"/>
  <c r="CK248" i="5" s="1"/>
  <c r="BL401" i="5"/>
  <c r="BL400" i="5"/>
  <c r="BT259" i="5"/>
  <c r="BS260" i="5"/>
  <c r="BS262" i="5"/>
  <c r="BM316" i="5"/>
  <c r="BM317" i="5"/>
  <c r="BR262" i="5"/>
  <c r="BR260" i="5"/>
  <c r="BI394" i="5"/>
  <c r="BI395" i="5"/>
  <c r="BH407" i="5"/>
  <c r="BH406" i="5"/>
  <c r="BL407" i="5"/>
  <c r="BL406" i="5"/>
  <c r="CD315" i="5"/>
  <c r="CD313" i="5"/>
  <c r="CX292" i="5"/>
  <c r="U52" i="171"/>
  <c r="DC129" i="5"/>
  <c r="DC130" i="5" s="1"/>
  <c r="CX129" i="5"/>
  <c r="CX130" i="5" s="1"/>
  <c r="BZ262" i="5"/>
  <c r="BZ260" i="5"/>
  <c r="CE257" i="5"/>
  <c r="CE259" i="5" s="1"/>
  <c r="CE254" i="5"/>
  <c r="BW257" i="5"/>
  <c r="BW259" i="5" s="1"/>
  <c r="BW254" i="5"/>
  <c r="BN316" i="5"/>
  <c r="BN317" i="5"/>
  <c r="BY316" i="5"/>
  <c r="BI400" i="5"/>
  <c r="BI401" i="5"/>
  <c r="CB251" i="5"/>
  <c r="CB253" i="5" s="1"/>
  <c r="CC247" i="5"/>
  <c r="CC248" i="5" s="1"/>
  <c r="CC251" i="5" s="1"/>
  <c r="CC253" i="5" s="1"/>
  <c r="BN410" i="5"/>
  <c r="BN409" i="5"/>
  <c r="BM397" i="5"/>
  <c r="BM398" i="5"/>
  <c r="BO259" i="5"/>
  <c r="BN260" i="5"/>
  <c r="BN262" i="5"/>
  <c r="BJ261" i="5"/>
  <c r="BJ270" i="5" s="1"/>
  <c r="BJ260" i="5"/>
  <c r="BJ262" i="5"/>
  <c r="BM403" i="5"/>
  <c r="BM404" i="5"/>
  <c r="CI350" i="5"/>
  <c r="CI356" i="5" s="1"/>
  <c r="CI305" i="5"/>
  <c r="CI312" i="5" s="1"/>
  <c r="CI254" i="5"/>
  <c r="CI257" i="5"/>
  <c r="CI351" i="5" s="1"/>
  <c r="CI355" i="5" s="1"/>
  <c r="R46" i="171"/>
  <c r="CI335" i="5"/>
  <c r="CI337" i="5"/>
  <c r="CI336" i="5"/>
  <c r="BM262" i="5"/>
  <c r="BM260" i="5"/>
  <c r="BN398" i="5"/>
  <c r="BN397" i="5"/>
  <c r="Q47" i="171"/>
  <c r="Q55" i="171"/>
  <c r="Q61" i="171"/>
  <c r="CD366" i="5"/>
  <c r="CD378" i="5" s="1"/>
  <c r="CD363" i="5"/>
  <c r="CD375" i="5" s="1"/>
  <c r="CD372" i="5"/>
  <c r="CG247" i="5"/>
  <c r="CG248" i="5" s="1"/>
  <c r="CF251" i="5"/>
  <c r="CF253" i="5" s="1"/>
  <c r="BX254" i="5"/>
  <c r="BX257" i="5"/>
  <c r="BX259" i="5" s="1"/>
  <c r="BI406" i="5"/>
  <c r="BI407" i="5"/>
  <c r="BN365" i="5"/>
  <c r="BN377" i="5" s="1"/>
  <c r="BN362" i="5"/>
  <c r="BN374" i="5" s="1"/>
  <c r="BN371" i="5"/>
  <c r="CA257" i="5"/>
  <c r="CA259" i="5" s="1"/>
  <c r="CA254" i="5"/>
  <c r="BH395" i="5"/>
  <c r="BH394" i="5"/>
  <c r="BM409" i="5"/>
  <c r="BM410" i="5"/>
  <c r="BL395" i="5"/>
  <c r="BL394" i="5"/>
  <c r="BM365" i="5"/>
  <c r="BM377" i="5" s="1"/>
  <c r="BM362" i="5"/>
  <c r="BM374" i="5" s="1"/>
  <c r="BM371" i="5"/>
  <c r="BN404" i="5"/>
  <c r="BN403" i="5"/>
  <c r="CD365" i="5"/>
  <c r="CD377" i="5" s="1"/>
  <c r="CD362" i="5"/>
  <c r="CD374" i="5" s="1"/>
  <c r="CD371" i="5"/>
  <c r="BE293" i="5"/>
  <c r="BE314" i="5"/>
  <c r="BE317" i="5"/>
  <c r="BV262" i="5"/>
  <c r="BV260" i="5"/>
  <c r="BY259" i="5" l="1"/>
  <c r="BX260" i="5"/>
  <c r="BX262" i="5"/>
  <c r="BM400" i="5"/>
  <c r="BM401" i="5"/>
  <c r="R47" i="171"/>
  <c r="R61" i="171"/>
  <c r="R55" i="171"/>
  <c r="BO261" i="5"/>
  <c r="BO270" i="5" s="1"/>
  <c r="BO260" i="5"/>
  <c r="BO262" i="5"/>
  <c r="BM406" i="5"/>
  <c r="BM407" i="5"/>
  <c r="CA262" i="5"/>
  <c r="CA260" i="5"/>
  <c r="CF257" i="5"/>
  <c r="CF259" i="5" s="1"/>
  <c r="CF254" i="5"/>
  <c r="CI365" i="5"/>
  <c r="CI377" i="5" s="1"/>
  <c r="CI362" i="5"/>
  <c r="CI374" i="5" s="1"/>
  <c r="CI371" i="5"/>
  <c r="BJ293" i="5"/>
  <c r="BJ314" i="5"/>
  <c r="BJ317" i="5"/>
  <c r="CC254" i="5"/>
  <c r="CC257" i="5"/>
  <c r="CC259" i="5" s="1"/>
  <c r="U54" i="171"/>
  <c r="I52" i="171"/>
  <c r="CD316" i="5"/>
  <c r="BM394" i="5"/>
  <c r="BM395" i="5"/>
  <c r="BN400" i="5"/>
  <c r="BN401" i="5"/>
  <c r="BN406" i="5"/>
  <c r="BN407" i="5"/>
  <c r="CI363" i="5"/>
  <c r="CI375" i="5" s="1"/>
  <c r="CI366" i="5"/>
  <c r="CI378" i="5" s="1"/>
  <c r="CI372" i="5"/>
  <c r="CE262" i="5"/>
  <c r="CE260" i="5"/>
  <c r="BN394" i="5"/>
  <c r="BN395" i="5"/>
  <c r="CG251" i="5"/>
  <c r="CG253" i="5" s="1"/>
  <c r="CH247" i="5"/>
  <c r="CH248" i="5" s="1"/>
  <c r="CH251" i="5" s="1"/>
  <c r="CH253" i="5" s="1"/>
  <c r="CB257" i="5"/>
  <c r="CB259" i="5" s="1"/>
  <c r="CB254" i="5"/>
  <c r="BW262" i="5"/>
  <c r="BW260" i="5"/>
  <c r="CL247" i="5"/>
  <c r="CL248" i="5" s="1"/>
  <c r="CK251" i="5"/>
  <c r="CK253" i="5" s="1"/>
  <c r="V54" i="171"/>
  <c r="J52" i="171"/>
  <c r="CI313" i="5"/>
  <c r="CI315" i="5"/>
  <c r="BT261" i="5"/>
  <c r="BT270" i="5" s="1"/>
  <c r="BT260" i="5"/>
  <c r="BT262" i="5"/>
  <c r="CJ254" i="5"/>
  <c r="CJ257" i="5"/>
  <c r="CJ259" i="5" s="1"/>
  <c r="CJ262" i="5" l="1"/>
  <c r="CJ260" i="5"/>
  <c r="CO260" i="5" s="1"/>
  <c r="CO259" i="5" s="1"/>
  <c r="BT293" i="5"/>
  <c r="BT314" i="5"/>
  <c r="BT317" i="5"/>
  <c r="CG257" i="5"/>
  <c r="CG259" i="5" s="1"/>
  <c r="CG254" i="5"/>
  <c r="CI316" i="5"/>
  <c r="CK257" i="5"/>
  <c r="CK259" i="5" s="1"/>
  <c r="CK254" i="5"/>
  <c r="CH254" i="5"/>
  <c r="CH257" i="5"/>
  <c r="CH259" i="5" s="1"/>
  <c r="CF262" i="5"/>
  <c r="CF260" i="5"/>
  <c r="CM247" i="5"/>
  <c r="CL251" i="5"/>
  <c r="CL253" i="5" s="1"/>
  <c r="CB262" i="5"/>
  <c r="CB260" i="5"/>
  <c r="CD259" i="5"/>
  <c r="CC260" i="5"/>
  <c r="CC262" i="5"/>
  <c r="BO293" i="5"/>
  <c r="BO314" i="5"/>
  <c r="BO317" i="5"/>
  <c r="BY261" i="5"/>
  <c r="BY270" i="5" s="1"/>
  <c r="BY260" i="5"/>
  <c r="BY262" i="5"/>
  <c r="CI259" i="5" l="1"/>
  <c r="CH260" i="5"/>
  <c r="CM260" i="5" s="1"/>
  <c r="CH262" i="5"/>
  <c r="CL257" i="5"/>
  <c r="CL259" i="5" s="1"/>
  <c r="CL254" i="5"/>
  <c r="CD261" i="5"/>
  <c r="CD270" i="5" s="1"/>
  <c r="CD260" i="5"/>
  <c r="CD262" i="5"/>
  <c r="BY293" i="5"/>
  <c r="BY314" i="5"/>
  <c r="BY317" i="5"/>
  <c r="CK262" i="5"/>
  <c r="CK260" i="5"/>
  <c r="CP260" i="5" s="1"/>
  <c r="CP259" i="5" s="1"/>
  <c r="CG262" i="5"/>
  <c r="CG260" i="5"/>
  <c r="CO262" i="5"/>
  <c r="CL262" i="5" l="1"/>
  <c r="CL260" i="5"/>
  <c r="CQ260" i="5" s="1"/>
  <c r="CQ259" i="5" s="1"/>
  <c r="CD293" i="5"/>
  <c r="CD314" i="5"/>
  <c r="CD317" i="5"/>
  <c r="CI261" i="5"/>
  <c r="CI270" i="5" s="1"/>
  <c r="CI260" i="5"/>
  <c r="CI262" i="5"/>
  <c r="CP262" i="5"/>
  <c r="CP222" i="5" s="1"/>
  <c r="CR260" i="5"/>
  <c r="CR259" i="5" s="1"/>
  <c r="CM259" i="5"/>
  <c r="CP223" i="5" l="1"/>
  <c r="CP230" i="5" s="1"/>
  <c r="CI293" i="5"/>
  <c r="CI314" i="5"/>
  <c r="CI317" i="5"/>
  <c r="CN259" i="5"/>
  <c r="CM262" i="5"/>
  <c r="CM222" i="5" s="1"/>
  <c r="CS259" i="5"/>
  <c r="CR262" i="5"/>
  <c r="CQ262" i="5"/>
  <c r="CQ222" i="5" s="1"/>
  <c r="CQ223" i="5" l="1"/>
  <c r="CQ230" i="5" s="1"/>
  <c r="CS260" i="5"/>
  <c r="CX260" i="5" s="1"/>
  <c r="CS262" i="5"/>
  <c r="CN260" i="5"/>
  <c r="CN262" i="5"/>
  <c r="CO222" i="5" s="1"/>
  <c r="CM223" i="5"/>
  <c r="CM230" i="5" s="1"/>
  <c r="CM232" i="5" s="1"/>
  <c r="CN222" i="5"/>
  <c r="CN223" i="5" s="1"/>
  <c r="CR222" i="5"/>
  <c r="CR223" i="5" l="1"/>
  <c r="CR230" i="5" s="1"/>
  <c r="CN230" i="5"/>
  <c r="S31" i="171"/>
  <c r="S43" i="171" s="1"/>
  <c r="S59" i="171" s="1"/>
  <c r="CM252" i="5"/>
  <c r="CM233" i="5"/>
  <c r="CM245" i="5" s="1"/>
  <c r="CM248" i="5" s="1"/>
  <c r="CM251" i="5" s="1"/>
  <c r="CN232" i="5"/>
  <c r="CO223" i="5"/>
  <c r="CO230" i="5" s="1"/>
  <c r="CS222" i="5"/>
  <c r="DC260" i="5"/>
  <c r="DC259" i="5" s="1"/>
  <c r="CX259" i="5"/>
  <c r="CS223" i="5" l="1"/>
  <c r="T31" i="171" s="1"/>
  <c r="T43" i="171" s="1"/>
  <c r="T59" i="171" s="1"/>
  <c r="CM253" i="5"/>
  <c r="CN252" i="5"/>
  <c r="DC262" i="5"/>
  <c r="CX262" i="5"/>
  <c r="CX222" i="5" s="1"/>
  <c r="CN233" i="5"/>
  <c r="CN245" i="5" s="1"/>
  <c r="CN248" i="5" s="1"/>
  <c r="S34" i="171"/>
  <c r="S35" i="171" s="1"/>
  <c r="DC222" i="5" l="1"/>
  <c r="DC223" i="5" s="1"/>
  <c r="CS230" i="5"/>
  <c r="CX223" i="5"/>
  <c r="CX230" i="5" s="1"/>
  <c r="CO232" i="5"/>
  <c r="CO252" i="5" s="1"/>
  <c r="CM254" i="5"/>
  <c r="CM257" i="5"/>
  <c r="CM261" i="5" s="1"/>
  <c r="CM270" i="5" s="1"/>
  <c r="CM293" i="5" s="1"/>
  <c r="CO247" i="5"/>
  <c r="CN251" i="5"/>
  <c r="CN253" i="5" s="1"/>
  <c r="CS247" i="5"/>
  <c r="DC230" i="5" l="1"/>
  <c r="V31" i="171"/>
  <c r="V43" i="171" s="1"/>
  <c r="V59" i="171" s="1"/>
  <c r="U31" i="171"/>
  <c r="U43" i="171" s="1"/>
  <c r="U59" i="171" s="1"/>
  <c r="CN350" i="5"/>
  <c r="CN356" i="5" s="1"/>
  <c r="CN305" i="5"/>
  <c r="CN312" i="5" s="1"/>
  <c r="CN254" i="5"/>
  <c r="S46" i="171"/>
  <c r="CN257" i="5"/>
  <c r="CN335" i="5"/>
  <c r="CN337" i="5"/>
  <c r="CN336" i="5"/>
  <c r="CP232" i="5"/>
  <c r="CP233" i="5" s="1"/>
  <c r="CP245" i="5" s="1"/>
  <c r="CO233" i="5"/>
  <c r="CO245" i="5" s="1"/>
  <c r="CO248" i="5" s="1"/>
  <c r="CO251" i="5" l="1"/>
  <c r="CO253" i="5" s="1"/>
  <c r="CP247" i="5"/>
  <c r="CP248" i="5" s="1"/>
  <c r="CN366" i="5"/>
  <c r="CN378" i="5" s="1"/>
  <c r="CN363" i="5"/>
  <c r="CN375" i="5" s="1"/>
  <c r="CN372" i="5"/>
  <c r="S47" i="171"/>
  <c r="S61" i="171"/>
  <c r="S55" i="171"/>
  <c r="CN351" i="5"/>
  <c r="CN355" i="5" s="1"/>
  <c r="CN261" i="5"/>
  <c r="CN270" i="5" s="1"/>
  <c r="CN293" i="5" s="1"/>
  <c r="CP252" i="5"/>
  <c r="CN315" i="5"/>
  <c r="CN314" i="5"/>
  <c r="CN313" i="5"/>
  <c r="CQ232" i="5" l="1"/>
  <c r="CP251" i="5"/>
  <c r="CP253" i="5" s="1"/>
  <c r="CQ247" i="5"/>
  <c r="CN317" i="5"/>
  <c r="CN316" i="5"/>
  <c r="CN365" i="5"/>
  <c r="CN377" i="5" s="1"/>
  <c r="CN362" i="5"/>
  <c r="CN374" i="5" s="1"/>
  <c r="CN371" i="5"/>
  <c r="CO254" i="5"/>
  <c r="CO257" i="5"/>
  <c r="CO261" i="5" s="1"/>
  <c r="CO270" i="5" s="1"/>
  <c r="CO293" i="5" s="1"/>
  <c r="CP254" i="5" l="1"/>
  <c r="CP257" i="5"/>
  <c r="CP261" i="5" s="1"/>
  <c r="CP270" i="5" s="1"/>
  <c r="CP293" i="5" s="1"/>
  <c r="CQ233" i="5"/>
  <c r="CQ245" i="5" s="1"/>
  <c r="CQ248" i="5" s="1"/>
  <c r="CQ252" i="5"/>
  <c r="CR247" i="5" l="1"/>
  <c r="CQ251" i="5"/>
  <c r="CQ253" i="5" s="1"/>
  <c r="CR232" i="5"/>
  <c r="CR252" i="5" s="1"/>
  <c r="CQ254" i="5" l="1"/>
  <c r="CQ257" i="5"/>
  <c r="CQ261" i="5" s="1"/>
  <c r="CQ270" i="5" s="1"/>
  <c r="CQ293" i="5" s="1"/>
  <c r="CR233" i="5"/>
  <c r="CR245" i="5" s="1"/>
  <c r="CR248" i="5" s="1"/>
  <c r="CR251" i="5" s="1"/>
  <c r="CR253" i="5" s="1"/>
  <c r="CS232" i="5"/>
  <c r="CS252" i="5"/>
  <c r="CR254" i="5" l="1"/>
  <c r="CR257" i="5"/>
  <c r="CR261" i="5" s="1"/>
  <c r="CR270" i="5" s="1"/>
  <c r="CR293" i="5" s="1"/>
  <c r="CS233" i="5"/>
  <c r="CS245" i="5" s="1"/>
  <c r="CS248" i="5" s="1"/>
  <c r="T34" i="171"/>
  <c r="T35" i="171" s="1"/>
  <c r="CX232" i="5"/>
  <c r="CX233" i="5" l="1"/>
  <c r="CX245" i="5" s="1"/>
  <c r="U34" i="171"/>
  <c r="U35" i="171" s="1"/>
  <c r="CX252" i="5"/>
  <c r="CX247" i="5"/>
  <c r="CS251" i="5"/>
  <c r="CS253" i="5" s="1"/>
  <c r="CS350" i="5" l="1"/>
  <c r="CS356" i="5" s="1"/>
  <c r="CS305" i="5"/>
  <c r="CS312" i="5" s="1"/>
  <c r="CS254" i="5"/>
  <c r="T46" i="171"/>
  <c r="CS335" i="5"/>
  <c r="CS337" i="5"/>
  <c r="CS257" i="5"/>
  <c r="CS336" i="5"/>
  <c r="CX248" i="5"/>
  <c r="DC232" i="5"/>
  <c r="DC247" i="5" l="1"/>
  <c r="CX251" i="5"/>
  <c r="CX253" i="5" s="1"/>
  <c r="CS363" i="5"/>
  <c r="CS375" i="5" s="1"/>
  <c r="CS366" i="5"/>
  <c r="CS378" i="5" s="1"/>
  <c r="CS372" i="5"/>
  <c r="DC233" i="5"/>
  <c r="DC245" i="5" s="1"/>
  <c r="V34" i="171"/>
  <c r="V35" i="171" s="1"/>
  <c r="T47" i="171"/>
  <c r="T55" i="171"/>
  <c r="T61" i="171"/>
  <c r="CS351" i="5"/>
  <c r="CS355" i="5" s="1"/>
  <c r="CS261" i="5"/>
  <c r="CS270" i="5" s="1"/>
  <c r="CS293" i="5" s="1"/>
  <c r="DC252" i="5"/>
  <c r="CS313" i="5"/>
  <c r="CS315" i="5"/>
  <c r="CS314" i="5" l="1"/>
  <c r="DC248" i="5"/>
  <c r="DC251" i="5" s="1"/>
  <c r="DC253" i="5" s="1"/>
  <c r="CS317" i="5"/>
  <c r="CS316" i="5"/>
  <c r="CS365" i="5"/>
  <c r="CS377" i="5" s="1"/>
  <c r="CS362" i="5"/>
  <c r="CS374" i="5" s="1"/>
  <c r="CS371" i="5"/>
  <c r="CX350" i="5"/>
  <c r="CX356" i="5" s="1"/>
  <c r="CX305" i="5"/>
  <c r="CX312" i="5" s="1"/>
  <c r="CX254" i="5"/>
  <c r="U46" i="171"/>
  <c r="G29" i="171"/>
  <c r="CX336" i="5"/>
  <c r="CX335" i="5"/>
  <c r="CX337" i="5"/>
  <c r="CX257" i="5"/>
  <c r="DC350" i="5" l="1"/>
  <c r="DC356" i="5" s="1"/>
  <c r="DC366" i="5" s="1"/>
  <c r="DC378" i="5" s="1"/>
  <c r="DC257" i="5"/>
  <c r="DC261" i="5" s="1"/>
  <c r="DC270" i="5" s="1"/>
  <c r="DC293" i="5" s="1"/>
  <c r="DC305" i="5"/>
  <c r="DC312" i="5" s="1"/>
  <c r="DC315" i="5" s="1"/>
  <c r="DC335" i="5"/>
  <c r="V46" i="171"/>
  <c r="V47" i="171" s="1"/>
  <c r="DC254" i="5"/>
  <c r="DC336" i="5"/>
  <c r="DC337" i="5"/>
  <c r="U47" i="171"/>
  <c r="U61" i="171"/>
  <c r="U55" i="171"/>
  <c r="CX315" i="5"/>
  <c r="CX313" i="5"/>
  <c r="DC351" i="5"/>
  <c r="DC355" i="5" s="1"/>
  <c r="CX351" i="5"/>
  <c r="CX355" i="5" s="1"/>
  <c r="CX261" i="5"/>
  <c r="CX270" i="5" s="1"/>
  <c r="CX293" i="5" s="1"/>
  <c r="F29" i="171"/>
  <c r="F30" i="171" s="1"/>
  <c r="F32" i="171" s="1"/>
  <c r="F35" i="171" s="1"/>
  <c r="F9" i="171" s="1"/>
  <c r="H29" i="171"/>
  <c r="H30" i="171" s="1"/>
  <c r="H32" i="171" s="1"/>
  <c r="H35" i="171" s="1"/>
  <c r="H9" i="171" s="1"/>
  <c r="G30" i="171"/>
  <c r="G32" i="171" s="1"/>
  <c r="G35" i="171" s="1"/>
  <c r="G9" i="171" s="1"/>
  <c r="CX366" i="5"/>
  <c r="CX378" i="5" s="1"/>
  <c r="CX363" i="5"/>
  <c r="CX375" i="5" s="1"/>
  <c r="CX372" i="5"/>
  <c r="V61" i="171" l="1"/>
  <c r="DC372" i="5"/>
  <c r="V55" i="171"/>
  <c r="DC363" i="5"/>
  <c r="DC375" i="5" s="1"/>
  <c r="DC313" i="5"/>
  <c r="CX365" i="5"/>
  <c r="CX377" i="5" s="1"/>
  <c r="CX362" i="5"/>
  <c r="CX374" i="5" s="1"/>
  <c r="CX371" i="5"/>
  <c r="F13" i="171"/>
  <c r="F11" i="171"/>
  <c r="F14" i="171"/>
  <c r="F15" i="171"/>
  <c r="DC317" i="5"/>
  <c r="DC316" i="5"/>
  <c r="CX314" i="5"/>
  <c r="G14" i="171"/>
  <c r="C5" i="170"/>
  <c r="G11" i="171"/>
  <c r="G13" i="171"/>
  <c r="G15" i="171"/>
  <c r="CX317" i="5"/>
  <c r="CX316" i="5"/>
  <c r="H11" i="171"/>
  <c r="H13" i="171"/>
  <c r="H14" i="171"/>
  <c r="H15" i="171"/>
  <c r="DC365" i="5"/>
  <c r="DC377" i="5" s="1"/>
  <c r="DC362" i="5"/>
  <c r="DC374" i="5" s="1"/>
  <c r="DC371" i="5"/>
  <c r="DC314" i="5"/>
</calcChain>
</file>

<file path=xl/comments1.xml><?xml version="1.0" encoding="utf-8"?>
<comments xmlns="http://schemas.openxmlformats.org/spreadsheetml/2006/main">
  <authors>
    <author>matparke</author>
  </authors>
  <commentList>
    <comment ref="A1" authorId="0">
      <text>
        <r>
          <rPr>
            <b/>
            <sz val="8"/>
            <color indexed="81"/>
            <rFont val="Tahoma"/>
            <family val="2"/>
          </rPr>
          <t>卟䙄_x0001_＀＀筽䤊_x0015_䉊啌䝞卟彔䕄呂㌨㘸㘸착_x0018_＀＀_x0018_＀＀_x0008_＀＀_x0001_＀＀_x0001_＀＀鞍ቮ҃䁨_xDF33_䪁_x0015_䉊啌䝞䱟彔䕄呂㌨㤹㌳착_x0018_＀＀_x0018_＀＀_x0008_＀＀_x0001_＀＀_x0001_＀＀＀＀＀＀䠀䂧昞䵮_x0013_䉊啌偞偟䥒䕃㐨㘰㈰착_x0018_＀＀_x0018_＀＀_x0008_＀＀_x0001_＀＀_x0001_＀＀쳍쳌쳌䀖筽䤊_x0012_䉊啌杞䍟十⡈㠳㜷⤶_x0018_＀＀_x0018_＀＀_x0008_＀＀_x0001_＀＀_x0001_＀＀＀＀＀＀䀀䁾筽䤊_x0012_䉊啌杞䍟十⡈㜳㠹⤶_x0018_＀＀_x0018_＀＀_x0008_＀＀_x0001_＀＀_x0001_＀＀ਾꏗ並䂂欰䦭_x0015_䉊啌䝞卟彔䕄呂㌨㜹ㄲ착_x0018_＀＀_x0018_＀＀_x0008_＀＀_x0001_＀＀_x0001_＀＀＀＀＀＀쀀䁩㲼䫯_x0018_䉊啌捞影慳敬彳瑬⡭〴㠰⤶_x0018_＀＀_x0018_＀＀_x0008_＀＀_x0001_＀＀_x0001_＀＀＀＀＀＀舀䂩筽䤊_x0018_䉊啌捞影慳敬彳瑬⡭㠳〸⤷_x0018_＀＀_x0018_＀＀_x0008_＀＀_x0001_＀＀_x0001_＀＀帵䦺栌䂜筽䤊_x0015_䉊啌䝞䱟彔䕄呂㌨㔹㠳착_x0018_＀＀_x0018_＀＀_x0008_＀＀_x0001_＀＀_x0001_＀＀＀＀＀＀ሀ䂥筽䤊_x0013_䉊啌偞偟䥒䕃㌨㔹㠶착_x0018_＀＀_x0018_＀＀_x0008_＀＀_x0001_＀＀_x0001_＀＀尩슏⣵䀔筽䤊_x0015_䉊啌䝞䱟彔䕄呂㌨㜸㠴착_x0018_＀＀_x0018_＀＀_x0008_＀＀_x0001_＀＀_x0001_＀＀＀＀＀＀渀䂠筽䤊_x0018_䉊啌捞影慳敬彳瑬⡭㤳㐴⤷_x0018_＀＀_x0018_＀＀_x0008_＀＀_x0001_＀＀_x0001_＀＀＀＀＀＀㐀䂦欰䦭_x0013_䉊啌偞偟䥒䕃㌨㠹㌱착_x0018_＀＀_x0018_＀＀_x0008_＀＀_x0001_＀＀_x0001_＀＀晧晦晦䀜筽䤊_x0012_䉊啌杞䍟十⡈㤳ㄴ⤶_x0018_＀＀_x0018_＀＀_x0008_＀＀_x0001_＀＀_x0001_＀＀＀＀＀＀怀䂊筽䤊_x0015_䉊啌䝞卟彔䕄呂㌨㠷㌳착_x0018_＀＀_x0018_＀＀_x0008_＀＀_x0001_＀＀_x0001_＀＀ొ⬂亇䁔筽䤊_x0015_䉊啌䝞卟彔䕄呂㌨㈹㌶착_x0018_＀＀_x0018_＀＀_x0008_＀＀_x0001_＀＀_x0001_＀＀＀＀＀＀ 䁯筽䤊_x0013_䉊啌偞偟䥒䕃㌨㤸〶착_x0018_＀＀_x0018_＀＀_x0008_＀＀_x0001_＀＀_x0001_＀＀롑蔞䀤ᴷ亹_x0015_䉊啌䝞卟彔䕄呂㐨㜰㐲착_x0018_＀＀_x0018_＀＀_x0008_＀＀_x0001_＀＀_x0001_＀＀＀＀＀＀쀀䁧ᴷ亹_x0015_䉊啌䝞䱟彔䕄呂㐨㜰㘸착_x0018_＀＀_x0018_＀＀_x0008_＀＀_x0001_＀＀_x0001_＀＀＀＀＀＀騀䂦晛䵮_x0015_䉊啌䝞卟彔䕄呂㐨㔰㐷착_x0018_＀＀_x0018_＀＀_x0008_＀＀_x0001_＀＀_x0001_＀＀＀＀＀＀＀＀䁸筽䤊_x0013_䉊啌偞偟䥒䕃㌨㤷㔲착_x0018_＀＀_x0018_＀＀_x0008_＀＀_x0001_＀＀_x0001_＀＀⶷泊ꆐ䀹筽䤊_x0018_䉊啌捞影慳敬彳瑬⡭㠳㤱⤹_x0018_＀＀_x0018_＀＀_x0008_＀＀_x0001_＀＀_x0001_＀＀㥘좴䂑筽䤊_x0015_䉊啌䝞䱟彔䕄呂㌨㌹㔲착_x0018_＀＀_x0018_＀＀_x0008_＀＀_x0001_＀＀_x0001_＀＀＀＀＀＀蠀䂥筽䤊_x0013_䉊啌偞偟䥒䕃㌨㌹㔵착_x0018_＀＀_x0018_＀＀_x0008_＀＀_x0001_＀＀_x0001_＀＀㵱휊炣䀢დ乌_x001D_䉊啌䥞彃䕍乁卟䱁卅也䵔㐨㜰㐲착_x0018_＀＀_x0018_＀＀_x0008_＀＀_x0001_＀＀_x0001_＀＀휊炣䂱昞䵮_x001D_䉊啌䥞彃䕍乁卟䱁卅也䵔㐨㔰㐷착_x0018_＀＀_x0018_＀＀_x0008_＀＀_x0001_＀＀_x0001_＀＀褷恁者䂰筽䤊_x0015_䉊啌䝞卟彔䕄呂㌨ㄹ㌱착_x0018_＀＀_x0018_＀＀_x0008_＀＀_x0001_＀＀_x0001_＀＀＀＀＀＀쀀䁪筽䤊_x0012_䉊啌杞䍟十⡈㠳㘱⤸_x0018_＀＀_x0018_＀＀_x0008_＀＀_x0001_＀＀_x0001_＀＀ꧼ틱ⵍ䂁筽䤊_x0018_䉊啌捞影慳敬彳瑬⡭㜳㐷⤱_x0018_＀＀_x0018_＀＀_x0008_＀＀_x0001_＀＀_x0001_＀＀๖눭瞝䂆筽䤊_x0015_䉊啌䝞䱟彔䕄呂㌨㐸㈷착_x0018_＀＀_x0018_＀＀_x0008_＀＀_x0001_＀＀_x0001_＀＀롑䲞䂛筽䤊_x0015_䉊啌䝞卟彔䕄呂㌨㈸〶착_x0018_＀＀_x0018_＀＀_x0008_＀＀_x0001_＀＀_x0001_＀＀娝㭤뿟䁠昞䵮_x0015_䉊啌䝞卟彔䕄呂㐨㌰㤲착_x0018_＀＀_x0018_＀＀_x0008_＀＀_x0001_＀＀_x0001_＀＀＀＀＀＀ꀀ䁭筽䤊_x0012_䉊啌杞䍟十⡈㜳㘵⤰_x0018_＀＀_x0018_＀＀_x0008_＀＀_x0001_＀＀_x0001_＀＀욨㝋覉䁫ᴷ亹_x0013_䉊啌偞偟䥒䕃㐨㠰㘱착_x0018_＀＀_x0018_＀＀_x0008_＀＀_x0001_＀＀_x0001_＀＀轜尨䀐_xDF33_䪁_x0015_䉊啌䝞卟彔䕄呂㌨㠹㈷착_x0018_＀＀_x0018_＀＀_x0008_＀＀_x0001_＀＀_x0001_＀＀＀＀＀＀＀＀䁱昞䵮_x0018_䉊啌捞影慳敬彳瑬⡭〴㠴⤲_x0018_＀＀_x0018_＀＀_x0008_＀＀_x0001_＀＀_x0001_＀＀＀＀＀＀됀䂬昞䵮_x001D_䉊啌䥞彃䕍乁卟䱁卅也䵔㐨㌰㤲착_x0018_＀＀_x0018_＀＀_x0008_＀＀_x0001_＀＀_x0001_＀＀䞮竡洔䂮昞䵮_x0012_䉊啌杞䍟十⡈〴㔴⤱_x0018_＀＀_x0018_＀＀_x0008_＀＀_x0001_＀＀_x0001_＀＀＀＀＀＀쀀䂍筽䤊_x0015_䉊啌䝞䱟彔䕄呂㌨㐷㜳착_x0018_＀＀_x0018_＀＀_x0008_＀＀_x0001_＀＀_x0001_＀＀酩糭匿䁻㎾䬘_x001D_䉊啌䥞彃䕍乁卟䱁卅也䵔㌨㠹㈷착_x0018_＀＀_x0018_＀＀_x0008_＀＀_x0001_＀＀_x0001_＀＀晧晦쥦䂫筽䤊_x0015_䉊啌䝞䱟彔䕄呂㌨〸㜷착_x0018_＀＀_x0018_＀＀_x0008_＀＀_x0001_＀＀_x0001_＀＀⼛ⓝ抆䂑筽䤊_x0018_䉊啌捞影慳敬彳瑬⡭㤳㈰⤱_x0018_＀＀_x0018_＀＀_x0008_＀＀_x0001_＀＀_x0001_＀＀譄_xFFFF_￻䂠筽䤊_x0013_䉊啌偞偟䥒䕃㌨㌸㈵착_x0018_＀＀_x0018_＀＀_x0008_＀＀_x0001_＀＀_x0001_＀＀⣶轜䀮筽䤊_x0015_䉊啌䝞卟彔䕄呂㌨㠸㜳착_x0018_＀＀_x0018_＀＀_x0008_＀＀_x0001_＀＀_x0001_＀＀＀＀＀＀耀䁬昞䵮_x0018_䉊啌捞影慳敬彳瑬⡭〴㌲⤷_x0018_＀＀_x0018_＀＀_x0008_＀＀_x0001_＀＀_x0001_＀＀＀＀＀＀렀䂩_xDF33_䪁_x0013_䉊啌偞偟䥒䕃㌨㤹㐶착_x0018_＀＀_x0018_＀＀_x0008_＀＀_x0001_＀＀_x0001_＀＀蔟凫Ẹ䀒侴䭗_x0015_䉊啌䝞䱟彔䕄呂㐨㄰㠷착_x0018_＀＀_x0018_＀＀_x0008_＀＀_x0001_＀＀_x0001_＀＀＀＀＀＀蘀䂦筽䤊_x0018_䉊啌捞影慳敬彳瑬⡭㠳㤹⤰_x0018_＀＀_x0018_＀＀_x0008_＀＀_x0001_＀＀_x0001_＀＀譄_xFFFF_￻䂠㲼䫯_x0012_䉊啌杞䍟十⡈〴㔰⤶_x0018_＀＀_x0018_＀＀_x0008_＀＀_x0001_＀＀_x0001_＀＀＀＀＀＀䂍昞䵮_x0013_䉊啌偞偟䥒䕃㐨㌰〹착_x0018_＀＀_x0018_＀＀_x0008_＀＀_x0001_＀＀_x0001_＀＀Ẹ롑䀙筽䤊_x0013_䉊啌偞偟䥒䕃㌨ㄸ㜰착_x0018_＀＀_x0018_＀＀_x0008_＀＀_x0001_＀＀_x0001_＀＀غ꽤睷䀲筽䤊_x0013_䉊啌偞偟䥒䕃㌨㤸㤲착_x0018_＀＀_x0018_＀＀_x0008_＀＀_x0001_＀＀_x0001_＀＀竡긔慇䀥筽䤊_x0018_䉊啌捞影慳敬彳瑬⡭㜳㔹⤵_x0018_＀＀_x0018_＀＀_x0008_＀＀_x0001_＀＀_x0001_＀＀Ẹ핑䂌筽䤊_x0015_䉊啌䝞䱟彔䕄呂㌨㘸㘸착_x0018_＀＀_x0018_＀＀_x0008_＀＀_x0001_＀＀_x0001_＀＀ొ⬂㘇䂟筽䤊_x0018_䉊啌捞影慳敬彳瑬⡭㠳㤵⤵_x0018_＀＀_x0018_＀＀_x0008_＀＀_x0001_＀＀_x0001_＀＀俟鞍죮䂖欰䦭_x0015_䉊啌䝞䱟彔䕄呂㌨㜹ㄲ착_x0018_＀＀_x0018_＀＀_x0008_＀＀_x0001_＀＀_x0001_＀＀＀＀＀＀䂦筽䤊_x0012_䉊啌杞䍟十⡈㠳㘵⤴_x0018_＀＀_x0018_＀＀_x0008_＀＀_x0001_＀＀_x0001_＀＀Й๖輭䂁筽䤊_x0012_䉊啌杞䍟十⡈㜳㈵⤹_x0018_＀＀_x0018_＀＀_x0008_＀＀_x0001_＀＀_x0001_＀＀욨㝋覉䁫筽䤊_x0015_䉊啌䝞䱟彔䕄呂㌨㠷㌳착_x0018_＀＀_x0018_＀＀_x0008_＀＀_x0001_＀＀_x0001_＀＀됹盈⢾䂅筽䤊_x0015_䉊啌䝞䱟彔䕄呂㌨㈹㌶착_x0018_＀＀_x0018_＀＀_x0008_＀＀_x0001_＀＀_x0001_＀＀＀＀＀＀蠀䂥筽䤊_x0015_䉊啌䝞卟彔䕄呂㌨㐸ㄱ착_x0018_＀＀_x0018_＀＀_x0008_＀＀_x0001_＀＀_x0001_＀＀ⴎ鶲鯯䁢筽䤊_x0015_䉊啌䝞卟彔䕄呂㌨㘷ㄲ착_x0018_＀＀_x0018_＀＀_x0008_＀＀_x0001_＀＀_x0001_＀＀쫁䖡᮶䁒筽䤊_x0018_䉊啌捞影慳敬彳瑬⡭㤳㜱⤲_x0018_＀＀_x0018_＀＀_x0008_＀＀_x0001_＀＀_x0001_＀＀＀＀＀＀戀䂣筽䤊_x0015_䉊啌䝞卟彔䕄呂㌨〹ㄵ착_x0018_＀＀_x0018_＀＀_x0008_＀＀_x0001_＀＀_x0001_＀＀＀＀＀＀쀀䁫筽䤊_x0012_䉊啌杞䍟十⡈㜳ㄷ⤱_x0018_＀＀_x0018_＀＀_x0008_＀＀_x0001_＀＀_x0001_＀＀Й๖븭䁯筽䤊_x0012_䉊啌杞䍟十⡈㤳㐱⤱_x0018_＀＀_x0018_＀＀_x0008_＀＀_x0001_＀＀_x0001_＀＀＀＀＀＀_xD800_䂅_xDF33_䪁_x0018_䉊啌捞影慳敬彳瑬⡭㤳㤹⤴_x0018_＀＀_x0018_＀＀_x0008_＀＀_x0001_＀＀_x0001_＀＀＀＀＀＀䂩დ乌_x0018_䉊啌捞影慳敬彳瑬⡭〴㌶⤳_x0018_＀＀_x0018_＀＀_x0008_＀＀_x0001_＀＀_x0001_＀＀＀＀＀＀ꀀ䂮ᴷ亹_x0015_䉊啌䝞䱟彔䕄呂㐨㜰㐲착_x0018_＀＀_x0018_＀＀_x0008_＀＀_x0001_＀＀_x0001_＀＀＀＀＀＀騀䂦晛䵮_x0015_䉊啌䝞䱟彔䕄呂㐨㔰㐷착_x0018_＀＀_x0018_＀＀_x0008_＀＀_x0001_＀＀_x0001_＀＀＀＀＀＀눀䂧昞䵮_x0015_䉊啌䝞卟彔䕄呂㐨㔰㈱착_x0018_＀＀_x0018_＀＀_x0008_＀＀_x0001_＀＀_x0001_＀＀＀＀＀＀＀＀䁧დ乌_x0012_䉊啌杞䍟十⡈〴〶⤲_x0018_＀＀_x0018_＀＀_x0008_＀＀_x0001_＀＀_x0001_＀＀＀＀＀＀᠀䂎筽䤊_x0013_䉊啌偞偟䥒䕃㌨㐷㠶착_x0018_＀＀_x0018_＀＀_x0008_＀＀_x0001_＀＀_x0001_＀＀䗭ᶴ靓䀫筽䤊_x0013_䉊啌偞偟䥒䕃㌨㔸㌰착_x0018_＀＀_x0018_＀＀_x0008_＀＀_x0001_＀＀_x0001_＀＀ᖹ櫂郎䀬昞䵮_x001D_䉊啌䥞彃䕍乁卟䱁卅也䵔㐨㔰㈱착_x0018_＀＀_x0018_＀＀_x0008_＀＀_x0001_＀＀_x0001_＀＀㌳㌳뾳䂰筽䤊_x0015_䉊啌䝞䱟彔䕄呂㌨ㄹ㌱착_x0018_＀＀_x0018_＀＀_x0008_＀＀_x0001_＀＀_x0001_＀＀＀＀＀＀萀䂤筽䤊_x0015_䉊啌䝞䱟彔䕄呂㌨㈸〶착_x0018_＀＀_x0018_＀＀_x0008_＀＀_x0001_＀＀_x0001_＀＀酩糭씿䂓筽䤊_x0018_䉊啌捞影慳敬彳瑬⡭㤳㤵⤹_x0018_＀＀_x0018_＀＀_x0008_＀＀_x0001_＀＀_x0001_＀＀＀＀＀＀퐀䂧昞䵮_x0015_䉊啌䝞䱟彔䕄呂㐨㌰㤲착_x0018_＀＀_x0018_＀＀_x0008_＀＀_x0001_＀＀_x0001_＀＀＀＀＀＀萀䂦筽䤊_x0015_䉊啌䝞卟彔䕄呂㌨㐹㠷착_x0018_＀＀_x0018_＀＀_x0008_＀＀_x0001_＀＀_x0001_＀＀＀＀＀＀쀀䁼欰䦭_x0018_䉊啌捞影慳敬彳瑬⡭㤳㐸⤴_x0018_＀＀_x0018_＀＀_x0008_＀＀_x0001_＀＀_x0001_＀＀＀＀＀＀砀䂪昞䵮_x0013_䉊啌偞偟䥒䕃㐨㌰㤵착_x0018_＀＀_x0018_＀＀_x0008_＀＀_x0001_＀＀_x0001_＀＀⣶轜䀕筽䤊_x0012_䉊啌杞䍟十⡈㤳㘵⤸_x0018_＀＀_x0018_＀＀_x0008_＀＀_x0001_＀＀_x0001_＀＀＀＀＀＀蠀䂇侴䭗_x0015_䉊啌䝞卟彔䕄呂㐨㄰㜱착_x0018_＀＀_x0018_＀＀_x0008_＀＀_x0001_＀＀_x0001_＀＀＀＀＀＀怀䁸欰䦭_x0012_䉊啌杞䍟十⡈㤳ㄸ⤳_x0018_＀＀_x0018_＀＀_x0008_＀＀_x0001_＀＀_x0001_＀＀＀＀＀＀䠀䂄_xDF33_䪁_x0015_䉊啌䝞䱟彔䕄呂㌨㠹㈷착_x0018_＀＀_x0018_＀＀_x0008_＀＀_x0001_＀＀_x0001_＀＀＀＀＀＀蘀䂦筽䤊_x0015_䉊啌䝞卟彔䕄呂㌨㘹〶착_x0018_＀＀_x0018_＀＀_x0008_＀＀_x0001_＀＀_x0001_＀＀＀＀＀＀䁸筽䤊_x0012_䉊啌杞䍟十⡈㠳㘹⤰_x0018_＀＀_x0018_＀＀_x0008_＀＀_x0001_＀＀_x0001_＀＀＀＀＀＀䀀䁽㎾䬘_x001D_䉊啌䥞彃䕍乁卟䱁卅也䵔㐨㄰㜱착_x0018_＀＀_x0018_＀＀_x0008_＀＀_x0001_＀＀_x0001_＀＀슐⣵꿜䂪昞䵮_x0013_䉊啌偞偟䥒䕃㐨㈰㤰착_x0018_＀＀_x0018_＀＀_x0008_＀＀_x0001_＀＀_x0001_＀＀尨슏䀓筽䤊_x0015_䉊啌䝞䱟彔䕄呂㌨㠸㜳착_x0018_＀＀_x0018_＀＀_x0008_＀＀_x0001_＀＀_x0001_＀＀＀＀＀＀퐀䂠筽䤊_x0015_䉊啌䝞卟彔䕄呂㌨㘸㔲착_x0018_＀＀_x0018_＀＀_x0008_＀＀_x0001_＀＀_x0001_＀＀鞍ቮ҃䁨筽䤊_x0018_䉊啌捞影慳敬彳瑬⡭㤳㠳⤶_x0018_＀＀_x0018_＀＀_x0008_＀＀_x0001_＀＀_x0001_＀＀＀＀＀＀怀䂥筽䤊_x0012_䉊啌杞䍟十⡈㜳㈹⤵_x0018_＀＀_x0018_＀＀_x0008_＀＀_x0001_＀＀_x0001_＀＀㽼봵䂂欰䦭_x0013_䉊啌偞偟䥒䕃㌨㜹㈵착_x0018_＀＀_x0018_＀＀_x0008_＀＀_x0001_＀＀_x0001_＀＀㌳㌳㌳䀖_xDF33_䪁_x0018_䉊啌捞影慳敬彳瑬⡭〴㈰⤵_x0018_＀＀_x0018_＀＀_x0008_＀＀_x0001_＀＀_x0001_＀＀＀＀＀＀䂩筽䤊_x0012_䉊啌杞䍟十⡈㤳㔳⤵_x0018_＀＀_x0018_＀＀_x0008_＀＀_x0001_＀＀_x0001_＀＀＀＀＀＀怀䂊筽䤊_x0015_䉊啌䝞卟彔䕄呂㌨㜷㈷착_x0018_＀＀_x0018_＀＀_x0008_＀＀_x0001_＀＀_x0001_＀＀蔟凫暸䁓ᴷ亹_x0018_䉊啌捞影慳敬彳瑬⡭〴㐸⤷_x0018_＀＀_x0018_＀＀_x0008_＀＀_x0001_＀＀_x0001_＀＀＀＀＀＀저䂰ᴷ亹_x0012_䉊啌杞䍟十⡈〴ㄸ⤶_x0018_＀＀_x0018_＀＀_x0008_＀＀_x0001_＀＀_x0001_＀＀＀＀＀＀᠀䂎დ乌_x0015_䉊啌䝞卟彔䕄呂㐨㘰㌶착_x0018_＀＀_x0018_＀＀_x0008_＀＀_x0001_＀＀_x0001_＀＀＀＀＀＀耀䁧筽䤊_x0013_䉊啌偞偟䥒䕃㌨㔹㜰착_x0018_＀＀_x0018_＀＀_x0008_＀＀_x0001_＀＀_x0001_＀＀쳍쳌쳌䀕筽䤊_x0013_䉊啌偞偟䥒䕃㌨㜸㜱착_x0018_＀＀_x0018_＀＀_x0008_＀＀_x0001_＀＀_x0001_＀＀尨슏䀮筽䤊_x0018_䉊啌捞影慳敬彳瑬⡭㠳㌵⤳_x0018_＀＀_x0018_＀＀_x0008_＀＀_x0001_＀＀_x0001_＀＀俟鞍죮䂖筽䤊_x0013_䉊啌偞偟䥒䕃㌨㠷㐶착_x0018_＀＀_x0018_＀＀_x0008_＀＀_x0001_＀＀_x0001_＀＀嶣钅䀷筽䤊_x0015_䉊啌䝞卟彔䕄呂㌨㈹㈰착_x0018_＀＀_x0018_＀＀_x0008_＀＀_x0001_＀＀_x0001_＀＀＀＀＀＀ꀀ䁯筽䤊_x0013_䉊啌偞偟䥒䕃㌨㈹㐹착_x0018_＀＀_x0018_＀＀_x0008_＀＀_x0001_＀＀_x0001_＀＀㌳㌳댳䀣筽䤊_x0018_䉊啌捞影慳敬彳瑬⡭㠳㠳⤳_x0018_＀＀_x0018_＀＀_x0008_＀＀_x0001_＀＀_x0001_＀＀䆉쉐䂓დ乌_x001D_䉊啌䥞彃䕍乁卟䱁卅也䵔㐨㘰㌶착_x0018_＀＀_x0018_＀＀_x0008_＀＀_x0001_＀＀_x0001_＀＀휊炣杽䂱筽䤊_x0018_䉊啌捞影慳敬彳瑬⡭㜳㠶⤰_x0018_＀＀_x0018_＀＀_x0008_＀＀_x0001_＀＀_x0001_＀＀ొ⬂_xD987_䂃筽䤊_x0012_䉊啌杞䍟十⡈㠳㔳⤲_x0018_＀＀_x0018_＀＀_x0008_＀＀_x0001_＀＀_x0001_＀＀_xDF3C_赏ኗ䁼昞䵮_x0015_䉊啌䝞卟彔䕄呂㐨㈰㠶착_x0018_＀＀_x0018_＀＀_x0008_＀＀_x0001_＀＀_x0001_＀＀＀＀＀＀ꀀ䁭ᴷ亹_x0013_䉊啌偞偟䥒䕃㐨㜰㔵착_x0018_＀＀_x0018_＀＀_x0008_＀＀_x0001_＀＀_x0001_＀＀尩슏⣵䀓_xDF33_䪁_x0012_䉊啌杞䍟十⡈㤳㘹⤴_x0018_＀＀_x0018_＀＀_x0008_＀＀_x0001_＀＀_x0001_＀＀＀＀＀＀䀀䂆筽䤊_x0018_䉊啌捞影慳敬彳瑬⡭㠳㌱⤸_x0018_＀＀_x0018_＀＀_x0008_＀＀_x0001_＀＀_x0001_＀＀褷恁룥䂐昞䵮_x001D_䉊啌䥞彃䕍乁卟䱁卅也䵔㐨㈰㠶착_x0018_＀＀_x0018_＀＀_x0008_＀＀_x0001_＀＀_x0001_＀＀晧晦⋦䂭筽䤊_x0015_䉊啌䝞卟彔䕄呂㌨〸㜱착_x0018_＀＀_x0018_＀＀_x0008_＀＀_x0001_＀＀_x0001_＀＀ꏗ㵰㼊䁘昞䵮_x0012_䉊啌杞䍟十⡈〴㤳⤰_x0018_＀＀_x0018_＀＀_x0008_＀＀_x0001_＀＀_x0001_＀＀＀＀＀＀㠀䂏筽䤊_x0012_䉊啌杞䍟十⡈㠳〱⤷_x0018_＀＀_x0018_＀＀_x0008_＀＀_x0001_＀＀_x0001_＀＀욧䭋䂂侴䭗_x001D_䉊啌䥞彃䕍乁卟䱁卅也䵔㐨㄰㜹착_x0018_＀＀_x0018_＀＀_x0008_＀＀_x0001_＀＀_x0001_＀＀ⴎ鶲틯䂫筽䤊_x0015_䉊啌䝞䱟彔䕄呂㌨㐸ㄱ착_x0018_＀＀_x0018_＀＀_x0008_＀＀_x0001_＀＀_x0001_＀＀䯇褷쿁䂕筽䤊_x0015_䉊啌䝞䱟彔䕄呂㌨㘷ㄲ착_x0018_＀＀_x0018_＀＀_x0008_＀＀_x0001_＀＀_x0001_＀＀譄ﯻ䂃筽䤊_x0015_䉊啌䝞卟彔䕄呂㌨㘹㤲착_x0018_＀＀_x0018_＀＀_x0008_＀＀_x0001_＀＀_x0001_＀＀＀＀＀＀䁸筽䤊_x0015_䉊啌䝞䱟彔䕄呂㌨〹ㄵ착_x0018_＀＀_x0018_＀＀_x0008_＀＀_x0001_＀＀_x0001_＀＀＀＀＀＀䐀䂢筽䤊_x0013_䉊啌偞偟䥒䕃㌨㈸ㄹ착_x0018_＀＀_x0018_＀＀_x0008_＀＀_x0001_＀＀_x0001_＀＀晧晦晦䀭筽䤊_x0012_䉊啌杞䍟十⡈㠳㈹⤹_x0018_＀＀_x0018_＀＀_x0008_＀＀_x0001_＀＀_x0001_＀＀＀＀＀＀䀀䁽筽䤊_x0015_䉊啌䝞卟彔䕄呂㌨㜸㘷착_x0018_＀＀_x0018_＀＀_x0008_＀＀_x0001_＀＀_x0001_＀＀＀＀＀＀䁫筽䤊_x0015_䉊啌䝞卟彔䕄呂㌨㤷㘸착_x0018_＀＀_x0018_＀＀_x0008_＀＀_x0001_＀＀_x0001_＀＀ꏗ㵰㼊䁘欰䦭_x0018_䉊啌捞影慳敬彳瑬⡭㤳㠷⤲_x0018_＀＀_x0018_＀＀_x0008_＀＀_x0001_＀＀_x0001_＀＀＀＀＀＀䂩昞䵮_x0015_䉊啌䝞䱟彔䕄呂㐨㔰㈱착_x0018_＀＀_x0018_＀＀_x0008_＀＀_x0001_＀＀_x0001_＀＀＀＀＀＀耀䂦昞䵮_x0018_䉊啌捞影慳敬彳瑬⡭〴㈴⤱_x0018_＀＀_x0018_＀＀_x0008_＀＀_x0001_＀＀_x0001_＀＀＀＀＀＀堀䂫筽䤊_x0013_䉊啌偞偟䥒䕃㌨㐷㘰착_x0018_＀＀_x0018_＀＀_x0008_＀＀_x0001_＀＀_x0001_＀＀ᔸォ悶䀫筽䤊_x0013_䉊啌偞偟䥒䕃㌨〸㘴착_x0018_＀＀_x0018_＀＀_x0008_＀＀_x0001_＀＀_x0001_＀＀᰺ꕝ뮻䀯筽䤊_x0013_䉊啌偞偟䥒䕃㌨㠸㠶착_x0018_＀＀_x0018_＀＀_x0008_＀＀_x0001_＀＀_x0001_＀＀ꏗ㵰휊䀤뻖仟_x001D_䉊啌䥞彃䕍乁卟䱁卅也䵔㐨㠰㜷착_x0018_＀＀_x0018_＀＀_x0008_＀＀_x0001_＀＀_x0001_＀＀Ẹ집䂲_xDF33_䪁_x0013_䉊啌偞偟䥒䕃㌨㤹㌰착_x0018_＀＀_x0018_＀＀_x0008_＀＀_x0001_＀＀_x0001_＀＀㌳㌳㌳䀍筽䤊_x0015_䉊啌䝞䱟彔䕄呂㌨㐹㠷착_x0018_＀＀_x0018_＀＀_x0008_＀＀_x0001_＀＀_x0001_＀＀＀＀＀＀㠀䂤筽䤊_x0015_䉊啌䝞卟彔䕄呂㌨㐹㘱착_x0018_＀＀_x0018_＀＀_x0008_＀＀_x0001_＀＀_x0001_＀＀＀＀＀＀쀀䁺筽䤊_x0018_䉊啌捞影慳敬彳瑬⡭㜳㤸⤴_x0018_＀＀_x0018_＀＀_x0008_＀＀_x0001_＀＀_x0001_＀＀Ẹ핑䂌侴䭗_x0013_䉊啌偞偟䥒䕃㐨㄰㜴착_x0018_＀＀_x0018_＀＀_x0008_＀＀_x0001_＀＀_x0001_＀＀휊炣਽䀖侴䭗_x0015_䉊啌䝞䱟彔䕄呂㐨㄰㜱착_x0018_＀＀_x0018_＀＀_x0008_＀＀_x0001_＀＀_x0001_＀＀＀＀＀＀㠀䂧筽䤊_x0015_䉊啌䝞䱟彔䕄呂㌨㘹〶착_x0018_＀＀_x0018_＀＀_x0008_＀＀_x0001_＀＀_x0001_＀＀＀＀＀＀䂦筽䤊_x0018_䉊啌捞影慳敬彳瑬⡭㜳㤴⤹_x0018_＀＀_x0018_＀＀_x0008_＀＀_x0001_＀＀_x0001_＀＀⃅犰쵨䁼筽䤊_x0015_䉊啌䝞䱟彔䕄呂㌨㘸㔲착_x0018_＀＀_x0018_＀＀_x0008_＀＀_x0001_＀＀_x0001_＀＀ొ⬂㘇䂟筽䤊_x0015_䉊啌䝞卟彔䕄呂㌨ㄸ㠶착_x0018_＀＀_x0018_＀＀_x0008_＀＀_x0001_＀＀_x0001_＀＀Ȍ蜫褖䁞筽䤊_x0012_䉊啌杞䍟十⡈㜳㘴⤸_x0018_＀＀_x0018_＀＀_x0008_＀＀_x0001_＀＀_x0001_＀＀㭤俟讍䁱筽䤊_x0012_䉊啌杞䍟十⡈㠳〵⤳_x0018_＀＀_x0018_＀＀_x0008_＀＀_x0001_＀＀_x0001_＀＀娝㭤峟䂄筽䤊_x0015_䉊啌䝞䱟彔䕄呂㌨㜷㈷착_x0018_＀＀_x0018_＀＀_x0008_＀＀_x0001_＀＀_x0001_＀＀إ閁鉃䂃筽䤊_x0015_䉊啌䝞卟彔䕄呂㌨㔷〶착_x0018_＀＀_x0018_＀＀_x0008_＀＀_x0001_＀＀_x0001_＀＀帵䦺Ȍ䁓昞䵮_x0012_䉊啌杞䍟十⡈〴㔳⤹_x0018_＀＀_x0018_＀＀_x0008_＀＀_x0001_＀＀_x0001_＀＀＀＀＀＀㠀䂏დ乌_x0015_䉊啌䝞䱟彔䕄呂㐨㘰㌶착_x0018_＀＀_x0018_＀＀_x0008_＀＀_x0001_＀＀_x0001_＀＀＀＀＀＀鐀䂦დ乌_x0013_䉊啌偞偟䥒䕃㐨㜰㈷착_x0018_＀＀_x0018_＀＀_x0008_＀＀_x0001_＀＀_x0001_＀＀馚香香䀑昞䵮_x0015_䉊啌䝞卟彔䕄呂㐨㐰ㄵ착_x0018_＀＀_x0018_＀＀_x0008_＀＀_x0001_＀＀_x0001_＀＀＀＀＀＀＀＀䁧筽䤊_x0013_䉊啌偞偟䥒䕃㌨㠷㈰착_x0018_＀＀_x0018_＀＀_x0008_＀＀_x0001_＀＀_x0001_＀＀䔣ꡤ䀲筽䤊_x0015_䉊啌䝞䱟彔䕄呂㌨㈹㈰착_x0018_＀＀_x0018_＀＀_x0008_＀＀_x0001_＀＀_x0001_＀＀＀＀＀＀切䂤筽䤊_x0013_䉊啌偞偟䥒䕃㌨㐸㈴착_x0018_＀＀_x0018_＀＀_x0008_＀＀_x0001_＀＀_x0001_＀＀棤겎拼䀩筽䤊_x0018_䉊啌捞影慳敬彳瑬⡭㠳㈳⤱_x0018_＀＀_x0018_＀＀_x0008_＀＀_x0001_＀＀_x0001_＀＀尩슏ꫵ䂒筽䤊_x0013_䉊啌偞偟䥒䕃㌨㘷㈵착_x0018_＀＀_x0018_＀＀_x0008_＀＀_x0001_＀＀_x0001_＀＀뉒蒜⟒䀩昞䵮_x001D_䉊啌䥞彃䕍乁卟䱁卅也䵔㐨㐰ㄵ착_x0018_＀＀_x0018_＀＀_x0008_＀＀_x0001_＀＀_x0001_＀＀＀＀＀＀䂯筽䤊_x0013_䉊啌偞偟䥒䕃㌨〹㈸착_x0018_＀＀_x0018_＀＀_x0008_＀＀_x0001_＀＀_x0001_＀＀晧晦晦䀬筽䤊_x0018_䉊啌捞影慳敬彳瑬⡭㠳㤸⤸_x0018_＀＀_x0018_＀＀_x0008_＀＀_x0001_＀＀_x0001_＀＀ꗤ쒛䎠䂟_xDF33_䪁_x0018_䉊啌捞影慳敬彳瑬⡭㤳㌹⤳_x0018_＀＀_x0018_＀＀_x0008_＀＀_x0001_＀＀_x0001_＀＀＀＀＀＀䨀䂪昞䵮_x0015_䉊啌䝞䱟彔䕄呂㐨㈰㠶착_x0018_＀＀_x0018_＀＀_x0008_＀＀_x0001_＀＀_x0001_＀＀＀＀＀＀萀䂦昞䵮_x0012_䉊啌杞䍟十⡈〴〲⤹_x0018_＀＀_x0018_＀＀_x0008_＀＀_x0001_＀＀_x0001_＀＀＀＀＀＀䂑昞䵮_x0013_䉊啌偞偟䥒䕃㐨㈰㠹착_x0018_＀＀_x0018_＀＀_x0008_＀＀_x0001_＀＀_x0001_＀＀轜尨䀖昞䵮_x0013_䉊啌偞偟䥒䕃㐨㔰㌴착_x0018_＀＀_x0018_＀＀_x0008_＀＀_x0001_＀＀_x0001_＀＀㵱휊炣䀚㲼䫯_x0015_䉊啌䝞卟彔䕄呂㐨〰㘵착_x0018_＀＀_x0018_＀＀_x0008_＀＀_x0001_＀＀_x0001_＀＀＀＀＀＀退䁵欰䦭_x0012_䉊啌杞䍟十⡈㤳㔷⤲_x0018_＀＀_x0018_＀＀_x0008_＀＀_x0001_＀＀_x0001_＀＀＀＀＀＀뀀䂃筽䤊_x0015_䉊啌䝞䱟彔䕄呂㌨〸㜱착_x0018_＀＀_x0018_＀＀_x0008_＀＀_x0001_＀＀_x0001_＀＀ᑻ䞮鳡䂏㎾䬘_x001D_䉊啌䥞彃䕍乁卟䱁卅也䵔㐨〰㘵착_x0018_＀＀_x0018_＀＀_x0008_＀＀_x0001_＀＀_x0001_＀＀ᑻ䞮깡䂪筽䤊_x0015_䉊啌䝞䱟彔䕄呂㌨㘹㤲착_x0018_＀＀_x0018_＀＀_x0008_＀＀_x0001_＀＀_x0001_＀＀＀＀＀＀䂦筽䤊_x0018_䉊啌捞影慳敬彳瑬⡭㤳㌵⤸_x0018_＀＀_x0018_＀＀_x0008_＀＀_x0001_＀＀_x0001_＀＀＀＀＀＀퐀䂧筽䤊_x0018_䉊啌捞影慳敬彳瑬⡭㠳㐷⤸_x0018_＀＀_x0018_＀＀_x0008_＀＀_x0001_＀＀_x0001_＀＀ꗣ쒛锠䂚筽䤊_x0012_䉊啌杞䍟十⡈㤳〵⤷_x0018_＀＀_x0018_＀＀_x0008_＀＀_x0001_＀＀_x0001_＀＀＀＀＀＀က䂊筽䤊_x0015_䉊啌䝞䱟彔䕄呂㌨㜸㘷착_x0018_＀＀_x0018_＀＀_x0008_＀＀_x0001_＀＀_x0001_＀＀＀＀＀＀渀䂠筽䤊_x0012_䉊啌杞䍟十⡈㠳ㄷ⤷_x0018_＀＀_x0018_＀＀_x0008_＀＀_x0001_＀＀_x0001_＀＀＀＀＀＀䀀䁾筽䤊_x0015_䉊啌䝞䱟彔䕄呂㌨㤷㘸착_x0018_＀＀_x0018_＀＀_x0008_＀＀_x0001_＀＀_x0001_＀＀ᑻ䞮鳡䂏筽䤊_x0015_䉊啌䝞卟彔䕄呂㌨㔸㐶착_x0018_＀＀_x0018_＀＀_x0008_＀＀_x0001_＀＀_x0001_＀＀酩糭﴿䁡筽䤊_x0013_䉊啌偞偟䥒䕃㌨㘹ㄹ착_x0018_＀＀_x0018_＀＀_x0008_＀＀_x0001_＀＀_x0001_＀＀ᑺ䞮䀘筽䤊_x0012_䉊啌杞䍟十⡈㜳㘸⤴_x0018_＀＀_x0018_＀＀_x0008_＀＀_x0001_＀＀_x0001_＀＀ᑺ뾮䁰筽䤊_x0012_䉊啌杞䍟十⡈㤳㤲⤴_x0018_＀＀_x0018_＀＀_x0008_＀＀_x0001_＀＀_x0001_＀＀＀＀＀＀ 䂈ᴷ亹_x0018_䉊啌捞影慳敬彳瑬⡭〴㠷⤶_x0018_＀＀_x0018_＀＀_x0008_＀＀_x0001_＀＀_x0001_＀＀＀＀＀＀⌀䂰ᴷ亹_x0012_䉊啌杞䍟十⡈〴㔷⤵_x0018_＀＀_x0018_＀＀_x0008_＀＀_x0001_＀＀_x0001_＀＀＀＀＀＀吀䂒筽䤊_x0015_䉊啌䝞卟彔䕄呂㌨㔷㤲착_x0018_＀＀_x0018_＀＀_x0008_＀＀_x0001_＀＀_x0001_＀＀帵䦺Ȍ䁓筽䤊_x0015_䉊啌䝞䱟彔䕄呂㌨㐹㘱착_x0018_＀＀_x0018_＀＀_x0008_＀＀_x0001_＀＀_x0001_＀＀＀＀＀＀㨀䂤筽䤊_x0018_䉊啌捞影慳敬彳瑬⡭㤳㈳⤵_x0018_＀＀_x0018_＀＀_x0008_＀＀_x0001_＀＀_x0001_＀＀＀＀＀＀一䂤筽䤊_x0013_䉊啌偞偟䥒䕃㌨㘸㘵착_x0018_＀＀_x0018_＀＀_x0008_＀＀_x0001_＀＀_x0001_＀＀릐꠲퀶䀨筽䤊_x0015_䉊啌䝞卟彔䕄呂㌨㜷ㄱ착_x0018_＀＀_x0018_＀＀_x0008_＀＀_x0001_＀＀_x0001_＀＀蔟凫暸䁓筽䤊_x0018_䉊啌捞影慳敬彳瑬⡭㠳㜴⤲_x0018_＀＀_x0018_＀＀_x0008_＀＀_x0001_＀＀_x0001_＀＀䷒።䂕筽䤊_x0015_䉊啌䝞卟彔䕄呂㌨ㄹㄴ착_x0018_＀＀_x0018_＀＀_x0008_＀＀_x0001_＀＀_x0001_＀＀＀＀＀＀쀀䁪筽䤊_x0012_䉊啌杞䍟十⡈㠳㤲⤱_x0018_＀＀_x0018_＀＀_x0008_＀＀_x0001_＀＀_x0001_＀＀ొ⬂▇䂀㛚乍_x0013_䉊啌偞偟䥒䕃㐨㜰㌷착_x0018_＀＀_x0018_＀＀_x0008_＀＀_x0001_＀＀_x0001_＀＀竡긔䀐დ乌_x0015_䉊啌䝞卟彔䕄呂㐨㘰㈰착_x0018_＀＀_x0018_＀＀_x0008_＀＀_x0001_＀＀_x0001_＀＀＀＀＀＀䁦დ乌_x0013_䉊啌偞偟䥒䕃㐨㘰㐹착_x0018_＀＀_x0018_＀＀_x0008_＀＀_x0001_＀＀_x0001_＀＀ᑺ䞮䀘筽䤊_x0018_䉊啌捞影慳敬彳瑬⡭㜳㌴⤷_x0018_＀＀_x0018_＀＀_x0008_＀＀_x0001_＀＀_x0001_＀＀⃅犰쵨䁼筽䤊_x0015_䉊啌䝞䱟彔䕄呂㌨ㄸ㠶착_x0018_＀＀_x0018_＀＀_x0008_＀＀_x0001_＀＀_x0001_＀＀馚香覙䂒筽䤊_x0018_䉊啌捞影慳敬彳瑬⡭㠳㜰⤷_x0018_＀＀_x0018_＀＀_x0008_＀＀_x0001_＀＀_x0001_＀＀褷恁룥䂐昞䵮_x001D_䉊啌䥞彃䕍乁卟䱁卅也䵔㐨㘰㈰착_x0018_＀＀_x0018_＀＀_x0008_＀＀_x0001_＀＀_x0001_＀＀茓쫀ခ䂱筽䤊_x0012_䉊啌杞䍟十⡈㜳〴⤶_x0018_＀＀_x0018_＀＀_x0008_＀＀_x0001_＀＀_x0001_＀＀ꧼ틱≍䁗筽䤊_x0013_䉊啌偞偟䥒䕃㌨㈹㌳착_x0018_＀＀_x0018_＀＀_x0008_＀＀_x0001_＀＀_x0001_＀＀슏⣵轜䀥筽䤊_x0012_䉊啌杞䍟十⡈㠳㐰⤶_x0018_＀＀_x0018_＀＀_x0008_＀＀_x0001_＀＀_x0001_＀＀ਾꏗ並䂂筽䤊_x0015_䉊啌䝞䱟彔䕄呂㌨㔷〶착_x0018_＀＀_x0018_＀＀_x0008_＀＀_x0001_＀＀_x0001_＀＀鞍ቮ広䂀筽䤊_x0013_䉊啌偞偟䥒䕃㌨㔷〹착_x0018_＀＀_x0018_＀＀_x0008_＀＀_x0001_＀＀_x0001_＀＀籠ᚂ䀥筽䤊_x0015_䉊啌䝞卟彔䕄呂㌨㔹㠶착_x0018_＀＀_x0018_＀＀_x0008_＀＀_x0001_＀＀_x0001_＀＀＀＀＀＀＀＀䁹筽䤊_x0012_䉊啌杞䍟十⡈㠳㘸⤸_x0018_＀＀_x0018_＀＀_x0008_＀＀_x0001_＀＀_x0001_＀＀＀＀＀＀　䁺欰䦭_x0015_䉊啌䝞卟彔䕄呂㌨㠹㌱착_x0018_＀＀_x0018_＀＀_x0008_＀＀_x0001_＀＀_x0001_＀＀＀＀＀＀＀＀䁱侴䭗_x0018_䉊啌捞影慳敬彳瑬⡭〴㜱⤸_x0018_＀＀_x0018_＀＀_x0008_＀＀_x0001_＀＀_x0001_＀＀＀＀＀＀舀䂩_xDF33_䪁_x0012_䉊啌杞䍟十⡈㤳〹⤳_x0018_＀＀_x0018_＀＀_x0008_＀＀_x0001_＀＀_x0001_＀＀＀＀＀＀䀀䂆筽䤊_x0015_䉊啌䝞卟彔䕄呂㌨㤸〶착_x0018_＀＀_x0018_＀＀_x0008_＀＀_x0001_＀＀_x0001_＀＀＀＀＀＀䁬侴䭗_x0012_䉊啌杞䍟十⡈〴㐱⤷_x0018_＀＀_x0018_＀＀_x0008_＀＀_x0001_＀＀_x0001_＀＀＀＀＀＀㠀䂏昞䵮_x0015_䉊啌䝞䱟彔䕄呂㐨㐰ㄵ착_x0018_＀＀_x0018_＀＀_x0008_＀＀_x0001_＀＀_x0001_＀＀＀＀＀＀耀䂦㎾䬘_x001D_䉊啌䥞彃䕍乁卟䱁卅也䵔㌨㠹㌱착_x0018_＀＀_x0018_＀＀_x0008_＀＀_x0001_＀＀_x0001_＀＀尩슏익䂫筽䤊_x0013_䉊啌偞偟䥒䕃㌨㈸〳착_x0018_＀＀_x0018_＀＀_x0008_＀＀_x0001_＀＀_x0001_＀＀쳍쳌쳌䀯筽䤊_x0015_䉊啌䝞卟彔䕄呂㌨㤷㔲착_x0018_＀＀_x0018_＀＀_x0008_＀＀_x0001_＀＀_x0001_＀＀틲才【䁔筽䤊_x0018_䉊啌捞影慳敬彳瑬⡭㠳㠶⤶_x0018_＀＀_x0018_＀＀_x0008_＀＀_x0001_＀＀_x0001_＀＀ቯ삃큊䂘筽䤊_x0015_䉊啌䝞卟彔䕄呂㌨㌹㔵착_x0018_＀＀_x0018_＀＀_x0008_＀＀_x0001_＀＀_x0001_＀＀＀＀＀＀쀀䁺筽䤊_x0018_䉊啌捞影慳敬彳瑬⡭㤳㈷⤱_x0018_＀＀_x0018_＀＀_x0008_＀＀_x0001_＀＀_x0001_＀＀＀＀＀＀䂩㲼䫯_x0013_䉊啌偞偟䥒䕃㐨〰㘸착_x0018_＀＀_x0018_＀＀_x0008_＀＀_x0001_＀＀_x0001_＀＀凬Ẹ䀗㲼䫯_x0015_䉊啌䝞䱟彔䕄呂㐨〰㘵착_x0018_＀＀_x0018_＀＀_x0008_＀＀_x0001_＀＀_x0001_＀＀＀＀＀＀䂧ᴷ亹_x0015_䉊啌䝞卟彔䕄呂㐨㠰㘱착_x0018_＀＀_x0018_＀＀_x0008_＀＀_x0001_＀＀_x0001_＀＀＀＀＀＀䁦筽䤊_x0013_䉊啌偞偟䥒䕃㌨㠸㜰착_x0018_＀＀_x0018_＀＀_x0008_＀＀_x0001_＀＀_x0001_＀＀㵱휊炣䀥筽䤊_x0013_䉊啌偞偟䥒䕃㌨㐹㜴착_x0018_＀＀_x0018_＀＀_x0008_＀＀_x0001_＀＀_x0001_＀＀馚香香䀗ᴷ亹_x001D_䉊啌䥞彃䕍乁卟䱁卅也䵔㐨㠰㘱착_x0018_＀＀_x0018_＀＀_x0008_＀＀_x0001_＀＀_x0001_＀＀尩슏䳵䂲筽䤊_x0018_䉊啌捞影慳敬彳瑬⡭㜳㌸⤳_x0018_＀＀_x0018_＀＀_x0008_＀＀_x0001_＀＀_x0001_＀＀쳍쳌狌䂉筽䤊_x0015_䉊啌䝞䱟彔䕄呂㌨㔸㐶착_x0018_＀＀_x0018_＀＀_x0008_＀＀_x0001_＀＀_x0001_＀＀磕⛩킱䂜筽䤊_x0018_䉊啌捞影慳敬彳瑬⡭㤳㘲⤳_x0018_＀＀_x0018_＀＀_x0008_＀＀_x0001_＀＀_x0001_＀＀＀＀＀＀一䂤筽䤊_x0015_䉊啌䝞卟彔䕄呂㌨㌸㈵착_x0018_＀＀_x0018_＀＀_x0008_＀＀_x0001_＀＀_x0001_＀＀ⴎ鶲鯯䁢筽䤊_x0012_䉊啌杞䍟十⡈㜳〸⤲_x0018_＀＀_x0018_＀＀_x0008_＀＀_x0001_＀＀_x0001_＀＀ᑺ뾮䁰筽䤊_x0012_䉊啌杞䍟十⡈㠳㐴⤲_x0018_＀＀_x0018_＀＀_x0008_＀＀_x0001_＀＀_x0001_＀＀娝㭤峟䂄筽䤊_x0012_䉊啌杞䍟十⡈㜳㔶⤲_x0018_＀＀_x0018_＀＀_x0008_＀＀_x0001_＀＀_x0001_＀＀ᶥ䁰筽䤊_x0012_䉊啌杞䍟十⡈㤳㠰⤲_x0018_＀＀_x0018_＀＀_x0008_＀＀_x0001_＀＀_x0001_＀＀＀＀＀＀_xD800_䂅_xDF33_䪁_x0015_䉊啌䝞卟彔䕄呂㌨㤹㐶착_x0018_＀＀_x0018_＀＀_x0008_＀＀_x0001_＀＀_x0001_＀＀＀＀＀＀耀䁮დ乌_x0018_䉊啌捞影慳敬彳瑬⡭〴㈷⤴_x0018_＀＀_x0018_＀＀_x0008_＀＀_x0001_＀＀_x0001_＀＀＀＀＀＀⌀䂰昞䵮_x0018_䉊啌捞影慳敬彳瑬⡭〴㜵⤴_x0018_＀＀_x0018_＀＀_x0008_＀＀_x0001_＀＀_x0001_＀＀＀＀＀＀言䂭昞䵮_x0012_䉊啌杞䍟十⡈〴㤲⤸_x0018_＀＀_x0018_＀＀_x0008_＀＀_x0001_＀＀_x0001_＀＀＀＀＀＀쀀䂐昞䵮_x0012_䉊啌杞䍟十⡈〴㐵⤳_x0018_＀＀_x0018_＀＀_x0008_＀＀_x0001_＀＀_x0001_＀＀＀＀＀＀䂑筽䤊_x0015_䉊啌䝞䱟彔䕄呂㌨㔷㤲착_x0018_＀＀_x0018_＀＀_x0008_＀＀_x0001_＀＀_x0001_＀＀鞍ቮ広䂀昞䵮_x0015_䉊啌䝞卟彔䕄呂㐨㌰〹착_x0018_＀＀_x0018_＀＀_x0008_＀＀_x0001_＀＀_x0001_＀＀＀＀＀＀耀䁫㎾䬘_x001D_䉊啌䥞彃䕍乁卟䱁卅也䵔㌨㤹㐶착_x0018_＀＀_x0018_＀＀_x0008_＀＀_x0001_＀＀_x0001_＀＀炤਽뿗䂪筽䤊_x0015_䉊啌䝞卟彔䕄呂㌨ㄸ㜰착_x0018_＀＀_x0018_＀＀_x0008_＀＀_x0001_＀＀_x0001_＀＀뙆ﷳ죔䁛筽䤊_x0013_䉊啌偞偟䥒䕃㌨ㄸ㤹착_x0018_＀＀_x0018_＀＀_x0008_＀＀_x0001_＀＀_x0001_＀＀ࣾ胃뼥䀯筽䤊_x0018_䉊啌捞影慳敬彳瑬⡭㤳ㄱ⤳_x0018_＀＀_x0018_＀＀_x0008_＀＀_x0001_＀＀_x0001_＀＀＀＀＀＀瘀䂢筽䤊_x0015_䉊啌䝞䱟彔䕄呂㌨㜷ㄱ착_x0018_＀＀_x0018_＀＀_x0008_＀＀_x0001_＀＀_x0001_＀＀إ閁鉃䂃筽䤊_x0013_䉊啌偞偟䥒䕃㌨㜷ㄴ착_x0018_＀＀_x0018_＀＀_x0008_＀＀_x0001_＀＀_x0001_＀＀⭳햄䀫筽䤊_x0015_䉊啌䝞䱟彔䕄呂㌨ㄹㄴ착_x0018_＀＀_x0018_＀＀_x0008_＀＀_x0001_＀＀_x0001_＀＀＀＀＀＀萀䂤筽䤊_x0015_䉊啌䝞卟彔䕄呂㌨㤸㤲착_x0018_＀＀_x0018_＀＀_x0008_＀＀_x0001_＀＀_x0001_＀＀＀＀＀＀䁬筽䤊_x0018_䉊啌捞影慳敬彳瑬⡭㠳㘲⤰_x0018_＀＀_x0018_＀＀_x0008_＀＀_x0001_＀＀_x0001_＀＀尩슏ꫵ䂒昞䵮_x001D_䉊啌䥞彃䕍乁卟䱁卅也䵔㐨㌰〹착_x0018_＀＀_x0018_＀＀_x0008_＀＀_x0001_＀＀_x0001_＀＀ਾꏗ困䂮昞䵮_x0018_䉊啌捞影慳敬彳瑬⡭〴㈳⤹_x0018_＀＀_x0018_＀＀_x0008_＀＀_x0001_＀＀_x0001_＀＀＀＀＀＀倀䂪欰䦭_x0018_䉊啌捞影慳敬彳瑬⡭㤳㜸⤲_x0018_＀＀_x0018_＀＀_x0008_＀＀_x0001_＀＀_x0001_＀＀＀＀＀＀砀䂪დ乌_x0015_䉊啌䝞䱟彔䕄呂㐨㘰㈰착_x0018_＀＀_x0018_＀＀_x0008_＀＀_x0001_＀＀_x0001_＀＀＀＀＀＀䐀䂦昞䵮_x0013_䉊啌偞偟䥒䕃㐨㐰㈸착_x0018_＀＀_x0018_＀＀_x0008_＀＀_x0001_＀＀_x0001_＀＀凬Ẹ䀛筽䤊_x0012_䉊啌杞䍟十⡈㤳㤶⤱_x0018_＀＀_x0018_＀＀_x0008_＀＀_x0001_＀＀_x0001_＀＀＀＀＀＀က䂊筽䤊_x0013_䉊啌偞偟䥒䕃㌨〹ㄲ착_x0018_＀＀_x0018_＀＀_x0008_＀＀_x0001_＀＀_x0001_＀＀蔟凫Ẹ䀩筽䤊_x0018_䉊啌捞影慳敬彳瑬⡭㠳㌸⤷_x0018_＀＀_x0018_＀＀_x0008_＀＀_x0001_＀＀_x0001_＀＀帵䦺栌䂜筽䤊_x0015_䉊啌䝞䱟彔䕄呂㌨㔹㠶착_x0018_＀＀_x0018_＀＀_x0008_＀＀_x0001_＀＀_x0001_＀＀＀＀＀＀ሀ䂥昞䵮_x0013_䉊啌偞偟䥒䕃㐨㈰㜳착_x0018_＀＀_x0018_＀＀_x0008_＀＀_x0001_＀＀_x0001_＀＀蔟凫Ẹ䀕欰䦭_x0015_䉊啌䝞䱟彔䕄呂㌨㠹㌱착_x0018_＀＀_x0018_＀＀_x0008_＀＀_x0001_＀＀_x0001_＀＀＀＀＀＀蘀䂦筽䤊_x0012_䉊啌杞䍟十⡈㠳㔶⤶_x0018_＀＀_x0018_＀＀_x0008_＀＀_x0001_＀＀_x0001_＀＀䖢듽䁾筽䤊_x0015_䉊啌䝞䱟彔䕄呂㌨㤸〶착_x0018_＀＀_x0018_＀＀_x0008_＀＀_x0001_＀＀_x0001_＀＀＀＀＀＀_xDE00_䂡筽䤊_x0013_䉊啌偞偟䥒䕃㌨㤸〹착_x0018_＀＀_x0018_＀＀_x0008_＀＀_x0001_＀＀_x0001_＀＀ᑻ䞮竡䀢დ乌_x0012_䉊啌杞䍟十⡈〴㤶⤴_x0018_＀＀_x0018_＀＀_x0008_＀＀_x0001_＀＀_x0001_＀＀＀＀＀＀怀䂑筽䤊_x0015_䉊啌䝞䱟彔䕄呂㌨㤷㔲착_x0018_＀＀_x0018_＀＀_x0008_＀＀_x0001_＀＀_x0001_＀＀龿⼚泝䂌筽䤊_x0015_䉊啌䝞卟彔䕄呂㌨㐷㠶착_x0018_＀＀_x0018_＀＀_x0008_＀＀_x0001_＀＀_x0001_＀＀晧晦䁒筽䤊_x0013_䉊啌偞偟䥒䕃㌨㤷㔵착_x0018_＀＀_x0018_＀＀_x0008_＀＀_x0001_＀＀_x0001_＀＀᡿㰡䃚䀸筽䤊_x0015_䉊啌䝞䱟彔䕄呂㌨㌹㔵착_x0018_＀＀_x0018_＀＀_x0008_＀＀_x0001_＀＀_x0001_＀＀＀＀＀＀㨀䂤筽䤊_x0015_䉊啌䝞卟彔䕄呂㌨㔸㌰착_x0018_＀＀_x0018_＀＀_x0008_＀＀_x0001_＀＀_x0001_＀＀إ閁썃䁢筽䤊_x0013_䉊啌偞偟䥒䕃㌨㔸㔹착_x0018_＀＀_x0018_＀＀_x0008_＀＀_x0001_＀＀_x0001_＀＀晧晦晦䀩筽䤊_x0012_䉊啌杞䍟十⡈㤳㌲⤳_x0018_＀＀_x0018_＀＀_x0008_＀＀_x0001_＀＀_x0001_＀＀＀＀＀＀　䂈昞䵮_x0015_䉊啌䝞卟彔䕄呂㐨㌰㤵착_x0018_＀＀_x0018_＀＀_x0008_＀＀_x0001_＀＀_x0001_＀＀＀＀＀＀耀䁫筽䤊_x0012_䉊啌杞䍟十⡈㜳㤵⤰_x0018_＀＀_x0018_＀＀_x0008_＀＀_x0001_＀＀_x0001_＀＀욨㝋覉䁫ᴷ亹_x0015_䉊啌䝞䱟彔䕄呂㐨㠰㘱착_x0018_＀＀_x0018_＀＀_x0008_＀＀_x0001_＀＀_x0001_＀＀＀＀＀＀䂧昞䵮_x001D_䉊啌䥞彃䕍乁卟䱁卅也䵔㐨㌰㤵착_x0018_＀＀_x0018_＀＀_x0008_＀＀_x0001_＀＀_x0001_＀＀轜倨䂮筽䤊_x0018_䉊啌捞影慳敬彳瑬⡭㠳ㄴ⤱_x0018_＀＀_x0018_＀＀_x0008_＀＀_x0001_＀＀_x0001_＀＀䆉쉐䂓筽䤊_x0018_䉊啌捞影慳敬彳瑬⡭㜳㈶⤱_x0018_＀＀_x0018_＀＀_x0008_＀＀_x0001_＀＀_x0001_＀＀ొ⬂_xD987_䂃㛚乍:䉊啌䙞彅卅䥔䅍䕔✨䅓䕌❓✬䕍乁Ⱗ丧䵔弴佒䱌Ⱗ✧㐬㜰㌷Ⱜ✬⤧_x0018_＀＀_x0018_＀＀_x0008_＀＀_x0001_＀＀_x0001_＀＀쳍쳌덬䂱筽䤊_x0015_䉊啌䝞䱟彔䕄呂㌨㌸㈵착_x0018_＀＀_x0018_＀＀_x0008_＀＀_x0001_＀＀_x0001_＀＀䯇褷쿁䂕筽䤊_x0013_䉊啌偞偟䥒䕃㌨ㄹ㈷착_x0018_＀＀_x0018_＀＀_x0008_＀＀_x0001_＀＀_x0001_＀＀롑Ԟ䀧筽䤊_x0018_䉊啌捞影慳敬彳瑬⡭㤳㔰⤱_x0018_＀＀_x0018_＀＀_x0008_＀＀_x0001_＀＀_x0001_＀＀譄_xFFFF_￻䂠昞䵮_x0015_䉊啌䝞卟彔䕄呂㐨㈰㤰착_x0018_＀＀_x0018_＀＀_x0008_＀＀_x0001_＀＀_x0001_＀＀＀＀＀＀＀＀䁸筽䤊_x0012_䉊啌杞䍟十⡈㠳㌲⤰_x0018_＀＀_x0018_＀＀_x0008_＀＀_x0001_＀＀_x0001_＀＀ꧼ틱ⵍ䂁_xDF33_䪁_x0013_䉊啌偞偟䥒䕃㌨㤹㐹착_x0018_＀＀_x0018_＀＀_x0008_＀＀_x0001_＀＀_x0001_＀＀긕ᑺ䀑_xDF33_䪁_x0015_䉊啌䝞䱟彔䕄呂㌨㤹㐶착_x0018_＀＀_x0018_＀＀_x0008_＀＀_x0001_＀＀_x0001_＀＀＀＀＀＀䠀䂧昞䵮_x0018_䉊啌捞影慳敬彳瑬⡭〴ㄵ⤲_x0018_＀＀_x0018_＀＀_x0008_＀＀_x0001_＀＀_x0001_＀＀＀＀＀＀됀䂬欰䦭_x0015_䉊啌䝞卟彔䕄呂㌨㜹㈵착_x0018_＀＀_x0018_＀＀_x0008_＀＀_x0001_＀＀_x0001_＀＀＀＀＀＀쀀䁩დ乌_x0013_䉊啌偞偟䥒䕃㐨㘰㌳착_x0018_＀＀_x0018_＀＀_x0008_＀＀_x0001_＀＀_x0001_＀＀긕ᑺ䀙㲼䫯_x0012_䉊啌杞䍟十⡈〴㠰⤶_x0018_＀＀_x0018_＀＀_x0008_＀＀_x0001_＀＀_x0001_＀＀＀＀＀＀㠀䂏昞䵮_x0015_䉊啌䝞䱟彔䕄呂㐨㌰〹착_x0018_＀＀_x0018_＀＀_x0008_＀＀_x0001_＀＀_x0001_＀＀＀＀＀＀ꀀ䂦筽䤊_x0015_䉊啌䝞䱟彔䕄呂㌨ㄸ㜰착_x0018_＀＀_x0018_＀＀_x0008_＀＀_x0001_＀＀_x0001_＀＀⼛ⓝ抆䂑筽䤊_x0015_䉊啌䝞䱟彔䕄呂㌨㤸㤲착_x0018_＀＀_x0018_＀＀_x0008_＀＀_x0001_＀＀_x0001_＀＀＀＀＀＀_xDE00_䂡筽䤊_x0013_䉊啌偞偟䥒䕃㌨㔹㤹착_x0018_＀＀_x0018_＀＀_x0008_＀＀_x0001_＀＀_x0001_＀＀尨슏䀏筽䤊_x0015_䉊啌䝞卟彔䕄呂㌨㔹㜰착_x0018_＀＀_x0018_＀＀_x0008_＀＀_x0001_＀＀_x0001_＀＀＀＀＀＀쀀䁼筽䤊_x0015_䉊啌䝞卟彔䕄呂㌨㜸㜱착_x0018_＀＀_x0018_＀＀_x0008_＀＀_x0001_＀＀_x0001_＀＀＀＀＀＀䁫筽䤊_x0018_䉊啌捞影慳敬彳瑬⡭㤳㜴⤸_x0018_＀＀_x0018_＀＀_x0008_＀＀_x0001_＀＀_x0001_＀＀＀＀＀＀㐀䂦筽䤊_x0012_䉊啌杞䍟十⡈㠳〸⤷_x0018_＀＀_x0018_＀＀_x0008_＀＀_x0001_＀＀_x0001_＀＀＀＀＀＀　䁺欰䦭_x0013_䉊啌偞偟䥒䕃㌨㠹㐴착_x0018_＀＀_x0018_＀＀_x0008_＀＀_x0001_＀＀_x0001_＀＀롑蔞䀖㲼䫯_x0018_䉊啌捞影慳敬彳瑬⡭〴ㄱ⤷_x0018_＀＀_x0018_＀＀_x0008_＀＀_x0001_＀＀_x0001_＀＀＀＀＀＀舀䂩筽䤊_x0012_䉊啌杞䍟十⡈㤳㐴⤷_x0018_＀＀_x0018_＀＀_x0008_＀＀_x0001_＀＀_x0001_＀＀＀＀＀＀က䂊筽䤊_x0015_䉊啌䝞卟彔䕄呂㌨㠷㐶착_x0018_＀＀_x0018_＀＀_x0008_＀＀_x0001_＀＀_x0001_＀＀ొ⬂亇䁔筽䤊_x0015_䉊啌䝞卟彔䕄呂㌨㈹㐹착_x0018_＀＀_x0018_＀＀_x0008_＀＀_x0001_＀＀_x0001_＀＀＀＀＀＀ 䁯筽䤊_x0018_䉊啌捞影慳敬彳瑬⡭㤳㘶⤰_x0018_＀＀_x0018_＀＀_x0008_＀＀_x0001_＀＀_x0001_＀＀＀＀＀＀혀䂨ᴷ亹_x0015_䉊啌䝞卟彔䕄呂㐨㜰㔵착_x0018_＀＀_x0018_＀＀_x0008_＀＀_x0001_＀＀_x0001_＀＀＀＀＀＀쀀䁧筽䤊_x0018_䉊啌捞影慳敬彳瑬⡭㠳㈶⤵_x0018_＀＀_x0018_＀＀_x0008_＀＀_x0001_＀＀_x0001_＀＀ቯ삃큊䂘筽䤊_x0013_䉊啌偞偟䥒䕃㌨㌹㘸착_x0018_＀＀_x0018_＀＀_x0008_＀＀_x0001_＀＀_x0001_＀＀尨䊏䀢ᴷ亹_x001D_䉊啌䥞彃䕍乁卟䱁卅也䵔㐨㜰㔵착_x0018_＀＀_x0018_＀＀_x0008_＀＀_x0001_＀＀_x0001_＀＀晧晦䂱筽䤊_x0012_䉊啌杞䍟十⡈㠳㤱⤹_x0018_＀＀_x0018_＀＀_x0008_＀＀_x0001_＀＀_x0001_＀＀ꧼ틱ⵍ䂁筽䤊_x0018_䉊啌捞影慳敬彳瑬⡭㜳㜷⤲_x0018_＀＀_x0018_＀＀_x0008_＀＀_x0001_＀＀_x0001_＀＀๖눭瞝䂆_xDF33_䪁_x0013_䉊啌偞偟䥒䕃㐨〰㔲착_x0018_＀＀_x0018_＀＀_x0008_＀＀_x0001_＀＀_x0001_＀＀㵱휊炣䀔筽䤊_x0015_䉊啌䝞卟彔䕄呂㌨㈸ㄹ착_x0018_＀＀_x0018_＀＀_x0008_＀＀_x0001_＀＀_x0001_＀＀娝㭤뿟䁠筽䤊_x0012_䉊啌杞䍟十⡈㜳㐷⤱_x0018_＀＀_x0018_＀＀_x0008_＀＀_x0001_＀＀_x0001_＀＀Й๖븭䁯ᴷ亹_x0013_䉊啌偞偟䥒䕃㐨㠰㜴착_x0018_＀＀_x0018_＀＀_x0008_＀＀_x0001_＀＀_x0001_＀＀凬Ẹ䀑დ乌_x0018_䉊啌捞影慳敬彳瑬⡭〴㘶⤳_x0018_＀＀_x0018_＀＀_x0008_＀＀_x0001_＀＀_x0001_＀＀＀＀＀＀ꀀ䂮昞䵮_x0012_䉊啌杞䍟十⡈〴㠴⤲_x0018_＀＀_x0018_＀＀_x0008_＀＀_x0001_＀＀_x0001_＀＀＀＀＀＀쀀䂍筽䤊_x0015_䉊啌䝞䱟彔䕄呂㌨㐷㠶착_x0018_＀＀_x0018_＀＀_x0008_＀＀_x0001_＀＀_x0001_＀＀酩糭匿䁻筽䤊_x0015_䉊啌䝞卟彔䕄呂㌨㐷㘰착_x0018_＀＀_x0018_＀＀_x0008_＀＀_x0001_＀＀_x0001_＀＀䎥䁔筽䤊_x0015_䉊啌䝞䱟彔䕄呂㌨㔸㌰착_x0018_＀＀_x0018_＀＀_x0008_＀＀_x0001_＀＀_x0001_＀＀롑䲞䂛筽䤊_x0015_䉊啌䝞卟彔䕄呂㌨〸㘴착_x0018_＀＀_x0018_＀＀_x0008_＀＀_x0001_＀＀_x0001_＀＀ꏗ㵰㼊䁘筽䤊_x0018_䉊啌捞影慳敬彳瑬⡭㤳〲⤲_x0018_＀＀_x0018_＀＀_x0008_＀＀_x0001_＀＀_x0001_＀＀＀＀＀＀戀䂣筽䤊_x0013_䉊啌偞偟䥒䕃㌨㔸㌳착_x0018_＀＀_x0018_＀＀_x0008_＀＀_x0001_＀＀_x0001_＀＀缼䃚䀫筽䤊_x0013_䉊啌偞偟䥒䕃㌨㌸㌸착_x0018_＀＀_x0018_＀＀_x0008_＀＀_x0001_＀＀_x0001_＀＀棤겎拼䀪筽䤊_x0013_䉊啌偞偟䥒䕃㌨㘷〸착_x0018_＀＀_x0018_＀＀_x0008_＀＀_x0001_＀＀_x0001_＀＀嬤湝䀧筽䤊_x0012_䉊啌杞䍟十⡈㤳㈰⤱_x0018_＀＀_x0018_＀＀_x0008_＀＀_x0001_＀＀_x0001_＀＀＀＀＀＀耀䁼筽䤊_x0015_䉊啌䝞卟彔䕄呂㌨㠸㠶착_x0018_＀＀_x0018_＀＀_x0008_＀＀_x0001_＀＀_x0001_＀＀＀＀＀＀耀䁬昞䵮_x0015_䉊啌䝞䱟彔䕄呂㐨㌰㤵착_x0018_＀＀_x0018_＀＀_x0008_＀＀_x0001_＀＀_x0001_＀＀＀＀＀＀ꀀ䂦昞䵮_x0018_䉊啌捞影慳敬彳瑬⡭〴㘲⤸_x0018_＀＀_x0018_＀＀_x0008_＀＀_x0001_＀＀_x0001_＀＀＀＀＀＀倀䂪_xDF33_䪁_x0015_䉊啌䝞卟彔䕄呂㌨㤹㌰착_x0018_＀＀_x0018_＀＀_x0008_＀＀_x0001_＀＀_x0001_＀＀＀＀＀＀耀䁮侴䭗_x0015_䉊啌䝞卟彔䕄呂㐨㄰㜴착_x0018_＀＀_x0018_＀＀_x0008_＀＀_x0001_＀＀_x0001_＀＀＀＀＀＀怀䁸侴䭗_x0018_䉊啌捞影慳敬彳瑬⡭〴㤱⤷_x0018_＀＀_x0018_＀＀_x0008_＀＀_x0001_＀＀_x0001_＀＀＀＀＀＀舀䂩昞䵮_x0012_䉊啌杞䍟十⡈〴㌲⤷_x0018_＀＀_x0018_＀＀_x0008_＀＀_x0001_＀＀_x0001_＀＀＀＀＀＀䂑㎾䬘_x001D_䉊啌䥞彃䕍乁卟䱁卅也䵔㌨㤹㌰착_x0018_＀＀_x0018_＀＀_x0008_＀＀_x0001_＀＀_x0001_＀＀휊炣䨽䂫筽䤊_x0012_䉊啌杞䍟十⡈㠳㤹⤰_x0018_＀＀_x0018_＀＀_x0008_＀＀_x0001_＀＀_x0001_＀＀＀＀＀＀耀䁼筽䤊_x0013_䉊啌偞偟䥒䕃㌨ㄸ㠳착_x0018_＀＀_x0018_＀＀_x0008_＀＀_x0001_＀＀_x0001_＀＀䅵쭽㚜䀳筽䤊_x0018_䉊啌捞影慳敬彳瑬⡭㠳㄰⤷_x0018_＀＀_x0018_＀＀_x0008_＀＀_x0001_＀＀_x0001_＀＀蜫_xD916_㋎䂏侴䭗_x001D_䉊啌䥞彃䕍乁卟䱁卅也䵔㐨㄰㜴착_x0018_＀＀_x0018_＀＀_x0008_＀＀_x0001_＀＀_x0001_＀＀蔟凫머䂫筽䤊_x0018_䉊啌捞影慳敬彳瑬⡭㤳㈶⤹_x0018_＀＀_x0018_＀＀_x0008_＀＀_x0001_＀＀_x0001_＀＀＀＀＀＀혀䂨昞䵮_x0015_䉊啌䝞䱟彔䕄呂㐨㈰㤰착_x0018_＀＀_x0018_＀＀_x0008_＀＀_x0001_＀＀_x0001_＀＀＀＀＀＀퀀䂦筽䤊_x0018_䉊啌捞影慳敬彳瑬⡭㠳㜷⤶_x0018_＀＀_x0018_＀＀_x0008_＀＀_x0001_＀＀_x0001_＀＀ꗣ쒛锠䂚筽䤊_x0018_䉊啌捞影慳敬彳瑬⡭㜳㠹⤶_x0018_＀＀_x0018_＀＀_x0008_＀＀_x0001_＀＀_x0001_＀＀蜫_xD916_㋎䂏筽䤊_x0012_䉊啌杞䍟十⡈㜳㔹⤵_x0018_＀＀_x0018_＀＀_x0008_＀＀_x0001_＀＀_x0001_＀＀㽼봵䂂欰䦭_x0013_䉊啌偞偟䥒䕃㌨㜹㈸착_x0018_＀＀_x0018_＀＀_x0008_＀＀_x0001_＀＀_x0001_＀＀⣶轜䀔欰䦭_x0015_䉊啌䝞䱟彔䕄呂㌨㜹㈵착_x0018_＀＀_x0018_＀＀_x0008_＀＀_x0001_＀＀_x0001_＀＀＀＀＀＀䂦昞䵮_x0013_䉊啌偞偟䥒䕃㐨㐰ㄲ착_x0018_＀＀_x0018_＀＀_x0008_＀＀_x0001_＀＀_x0001_＀＀ꏗ㵰휊䀖筽䤊_x0012_䉊啌杞䍟十⡈㠳㤵⤵_x0018_＀＀_x0018_＀＀_x0008_＀＀_x0001_＀＀_x0001_＀＀Й๖輭䂁뻖仟_x0018_䉊啌捞影慳敬彳瑬⡭〴㜸⤷_x0018_＀＀_x0018_＀＀_x0008_＀＀_x0001_＀＀_x0001_＀＀＀＀＀＀저䂰筽䤊_x0015_䉊啌䝞䱟彔䕄呂㌨㔹㜰착_x0018_＀＀_x0018_＀＀_x0008_＀＀_x0001_＀＀_x0001_＀＀＀＀＀＀㠀䂤筽䤊_x0015_䉊啌䝞䱟彔䕄呂㌨㜸㜱착_x0018_＀＀_x0018_＀＀_x0008_＀＀_x0001_＀＀_x0001_＀＀＀＀＀＀渀䂠筽䤊_x0018_䉊啌捞影慳敬彳瑬⡭㤳ㄴ⤶_x0018_＀＀_x0018_＀＀_x0008_＀＀_x0001_＀＀_x0001_＀＀＀＀＀＀怀䂥筽䤊_x0015_䉊啌䝞䱟彔䕄呂㌨㠷㐶착_x0018_＀＀_x0018_＀＀_x0008_＀＀_x0001_＀＀_x0001_＀＀됹盈⢾䂅筽䤊_x0015_䉊啌䝞卟彔䕄呂㌨㠷㈰착_x0018_＀＀_x0018_＀＀_x0008_＀＀_x0001_＀＀_x0001_＀＀ొ⬂亇䁔筽䤊_x0013_䉊啌偞偟䥒䕃㌨㠷㐹착_x0018_＀＀_x0018_＀＀_x0008_＀＀_x0001_＀＀_x0001_＀＀峦ꮊ໊䀻筽䤊_x0015_䉊啌䝞䱟彔䕄呂㌨㈹㐹착_x0018_＀＀_x0018_＀＀_x0008_＀＀_x0001_＀＀_x0001_＀＀＀＀＀＀蠀䂥筽䤊_x0015_䉊啌䝞卟彔䕄呂㌨㐸㈴착_x0018_＀＀_x0018_＀＀_x0008_＀＀_x0001_＀＀_x0001_＀＀إ閁썃䁢筽䤊_x0015_䉊啌䝞卟彔䕄呂㌨㘷㈵착_x0018_＀＀_x0018_＀＀_x0008_＀＀_x0001_＀＀_x0001_＀＀쫁䖡᮶䁒დ乌_x001D_䉊啌䥞彃䕍乁卟䱁卅也䵔㐨㜰㈷착_x0018_＀＀_x0018_＀＀_x0008_＀＀_x0001_＀＀_x0001_＀＀إ閁㹣䂲筽䤊_x0015_䉊啌䝞卟彔䕄呂㌨〹㈸착_x0018_＀＀_x0018_＀＀_x0008_＀＀_x0001_＀＀_x0001_＀＀＀＀＀＀쀀䁪筽䤊_x0012_䉊啌杞䍟十⡈㤳㜱⤲_x0018_＀＀_x0018_＀＀_x0008_＀＀_x0001_＀＀_x0001_＀＀＀＀＀＀　䂈昞䵮_x0015_䉊啌䝞卟彔䕄呂㐨㈰㠹착_x0018_＀＀_x0018_＀＀_x0008_＀＀_x0001_＀＀_x0001_＀＀＀＀＀＀ꀀ䁭ᴷ亹_x0015_䉊啌䝞䱟彔䕄呂㐨㜰㔵착_x0018_＀＀_x0018_＀＀_x0008_＀＀_x0001_＀＀_x0001_＀＀＀＀＀＀騀䂦昞䵮_x0015_䉊啌䝞卟彔䕄呂㐨㔰㌴착_x0018_＀＀_x0018_＀＀_x0008_＀＀_x0001_＀＀_x0001_＀＀＀＀＀＀＀＀䁸_xDF33_䪁_x0012_䉊啌杞䍟十⡈㤳㤹⤴_x0018_＀＀_x0018_＀＀_x0008_＀＀_x0001_＀＀_x0001_＀＀＀＀＀＀䂍დ乌_x0012_䉊啌杞䍟十⡈〴㌶⤳_x0018_＀＀_x0018_＀＀_x0008_＀＀_x0001_＀＀_x0001_＀＀＀＀＀＀怀䂑筽䤊_x0018_䉊啌捞影慳敬彳瑬⡭㠳㘱⤸_x0018_＀＀_x0018_＀＀_x0008_＀＀_x0001_＀＀_x0001_＀＀㥘좴䂑筽䤊_x0013_䉊啌偞偟䥒䕃㌨㐷㤹착_x0018_＀＀_x0018_＀＀_x0008_＀＀_x0001_＀＀_x0001_＀＀劬ꙺ킗䀦昞䵮_x001D_䉊啌䥞彃䕍乁卟䱁卅也䵔㐨㈰㠹착_x0018_＀＀_x0018_＀＀_x0008_＀＀_x0001_＀＀_x0001_＀＀㵱휊㼣䂭昞䵮_x001D_䉊啌䥞彃䕍乁卟䱁卅也䵔㐨㔰㌴착_x0018_＀＀_x0018_＀＀_x0008_＀＀_x0001_＀＀_x0001_＀＀尨鳏䂰筽䤊_x0018_䉊啌捞影慳敬彳瑬⡭㜳㘵⤰_x0018_＀＀_x0018_＀＀_x0008_＀＀_x0001_＀＀_x0001_＀＀犰酨ﯭ䂀筽䤊_x0015_䉊啌䝞䱟彔䕄呂㌨㈸ㄹ착_x0018_＀＀_x0018_＀＀_x0008_＀＀_x0001_＀＀_x0001_＀＀酩糭씿䂓筽䤊_x0012_䉊啌杞䍟十⡈㤳㤵⤹_x0018_＀＀_x0018_＀＀_x0008_＀＀_x0001_＀＀_x0001_＀＀＀＀＀＀蠀䂇欰䦭_x0012_䉊啌杞䍟十⡈㤳㐸⤴_x0018_＀＀_x0018_＀＀_x0008_＀＀_x0001_＀＀_x0001_＀＀＀＀＀＀䠀䂄昞䵮_x0018_䉊啌捞影慳敬彳瑬⡭〴㔴⤱_x0018_＀＀_x0018_＀＀_x0008_＀＀_x0001_＀＀_x0001_＀＀＀＀＀＀됀䂬筽䤊_x0015_䉊啌䝞卟彔䕄呂㌨㘹ㄹ착_x0018_＀＀_x0018_＀＀_x0008_＀＀_x0001_＀＀_x0001_＀＀＀＀＀＀䁸筽䤊_x0015_䉊啌䝞䱟彔䕄呂㌨㐷㘰착_x0018_＀＀_x0018_＀＀_x0008_＀＀_x0001_＀＀_x0001_＀＀鮥瓄䁷筽䤊_x0015_䉊啌䝞䱟彔䕄呂㌨〸㘴착_x0018_＀＀_x0018_＀＀_x0008_＀＀_x0001_＀＀_x0001_＀＀ᑻ䞮鳡䂏筽䤊_x0013_䉊啌偞偟䥒䕃㌨㌸ㄲ착_x0018_＀＀_x0018_＀＀_x0008_＀＀_x0001_＀＀_x0001_＀＀_xDD44_ Ƶ䀰筽䤊_x0015_䉊啌䝞䱟彔䕄呂㌨㠸㠶착_x0018_＀＀_x0018_＀＀_x0008_＀＀_x0001_＀＀_x0001_＀＀＀＀＀＀퐀䂠筽䤊_x0013_䉊啌偞偟䥒䕃㌨㠸㠹착_x0018_＀＀_x0018_＀＀_x0008_＀＀_x0001_＀＀_x0001_＀＀ᑺ䞮䀨筽䤊_x0015_䉊啌䝞卟彔䕄呂㌨㘸㘵착_x0018_＀＀_x0018_＀＀_x0008_＀＀_x0001_＀＀_x0001_＀＀鞍ቮ҃䁨_xDF33_䪁_x0013_䉊啌偞偟䥒䕃㌨㤹㌳착_x0018_＀＀_x0018_＀＀_x0008_＀＀_x0001_＀＀_x0001_＀＀Ẹ롑䀓_xDF33_䪁_x0015_䉊啌䝞䱟彔䕄呂㌨㤹㌰착_x0018_＀＀_x0018_＀＀_x0008_＀＀_x0001_＀＀_x0001_＀＀＀＀＀＀䠀䂧㲼䫯_x0018_䉊啌捞影慳敬彳瑬⡭〴㔰⤶_x0018_＀＀_x0018_＀＀_x0008_＀＀_x0001_＀＀_x0001_＀＀＀＀＀＀䂩侴䭗_x0015_䉊啌䝞䱟彔䕄呂㐨㄰㜴착_x0018_＀＀_x0018_＀＀_x0008_＀＀_x0001_＀＀_x0001_＀＀＀＀＀＀㠀䂧筽䤊_x0012_䉊啌杞䍟十⡈㤳㠳⤶_x0018_＀＀_x0018_＀＀_x0008_＀＀_x0001_＀＀_x0001_＀＀＀＀＀＀怀䂊㲼䫯_x0012_䉊啌杞䍟十⡈〴㈰⤵_x0018_＀＀_x0018_＀＀_x0008_＀＀_x0001_＀＀_x0001_＀＀＀＀＀＀䂍뻖仟_x0012_䉊啌杞䍟十⡈〴㐸⤷_x0018_＀＀_x0018_＀＀_x0008_＀＀_x0001_＀＀_x0001_＀＀＀＀＀＀䂒დ乌_x0015_䉊啌䝞卟彔䕄呂㐨㘰㐹착_x0018_＀＀_x0018_＀＀_x0008_＀＀_x0001_＀＀_x0001_＀＀＀＀＀＀耀䁧筽䤊_x0013_䉊啌偞偟䥒䕃㌨㔹㠳착_x0018_＀＀_x0018_＀＀_x0008_＀＀_x0001_＀＀_x0001_＀＀㌴㌳㌳䀗筽䤊_x0013_䉊啌偞偟䥒䕃㌨㜸㠴착_x0018_＀＀_x0018_＀＀_x0008_＀＀_x0001_＀＀_x0001_＀＀긕ᑺ䀪筽䤊_x0018_䉊啌捞影慳敬彳瑬⡭㠳㘵⤴_x0018_＀＀_x0018_＀＀_x0008_＀＀_x0001_＀＀_x0001_＀＀俟鞍죮䂖筽䤊_x0015_䉊啌䝞卟彔䕄呂㌨㈹㌳착_x0018_＀＀_x0018_＀＀_x0008_＀＀_x0001_＀＀_x0001_＀＀＀＀＀＀ꀀ䁯დ乌_x001D_䉊啌䥞彃䕍乁卟䱁卅也䵔㐨㘰㐹착_x0018_＀＀_x0018_＀＀_x0008_＀＀_x0001_＀＀_x0001_＀＀䞮竡䂱筽䤊_x0012_䉊啌杞䍟十⡈㠳㌵⤳_x0018_＀＀_x0018_＀＀_x0008_＀＀_x0001_＀＀_x0001_＀＀Й๖輭䂁筽䤊_x0012_䉊啌杞䍟十⡈㠳㠳⤳_x0018_＀＀_x0018_＀＀_x0008_＀＀_x0001_＀＀_x0001_＀＀_xDF3C_赏ኗ䁼筽䤊_x0015_䉊啌䝞卟彔䕄呂㌨㔷〹착_x0018_＀＀_x0018_＀＀_x0008_＀＀_x0001_＀＀_x0001_＀＀帵䦺Ȍ䁓筽䤊_x0012_䉊啌杞䍟十⡈㜳㠶⤰_x0018_＀＀_x0018_＀＀_x0008_＀＀_x0001_＀＀_x0001_＀＀ᶥ䁰ᴷ亹_x0013_䉊啌偞偟䥒䕃㐨㜰㘸착_x0018_＀＀_x0018_＀＀_x0008_＀＀_x0001_＀＀_x0001_＀＀晧晦晦䀑筽䤊_x0018_䉊啌捞影慳敬彳瑬⡭㜳㈵⤹_x0018_＀＀_x0018_＀＀_x0008_＀＀_x0001_＀＀_x0001_＀＀犰酨ﯭ䂀筽䤊_x0013_䉊啌偞偟䥒䕃㌨㌹㔲착_x0018_＀＀_x0018_＀＀_x0008_＀＀_x0001_＀＀_x0001_＀＀휊炣਽䀣筽䤊_x0012_䉊啌杞䍟十⡈㠳㌱⤸_x0018_＀＀_x0018_＀＀_x0008_＀＀_x0001_＀＀_x0001_＀＀욧䭋䂂筽䤊_x0015_䉊啌䝞䱟彔䕄呂㌨㠷㈰착_x0018_＀＀_x0018_＀＀_x0008_＀＀_x0001_＀＀_x0001_＀＀됹盈⢾䂅筽䤊_x0018_䉊啌捞影慳敬彳瑬⡭㜳ㄷ⤱_x0018_＀＀_x0018_＀＀_x0008_＀＀_x0001_＀＀_x0001_＀＀๖눭瞝䂆筽䤊_x0015_䉊啌䝞䱟彔䕄呂㌨㐸㈴착_x0018_＀＀_x0018_＀＀_x0008_＀＀_x0001_＀＀_x0001_＀＀롑䲞䂛筽䤊_x0015_䉊啌䝞䱟彔䕄呂㌨㘷㈵착_x0018_＀＀_x0018_＀＀_x0008_＀＀_x0001_＀＀_x0001_＀＀譄ﯻ䂃筽䤊_x0018_䉊啌捞影慳敬彳瑬⡭㤳㐱⤱_x0018_＀＀_x0018_＀＀_x0008_＀＀_x0001_＀＀_x0001_＀＀＀＀＀＀瘀䂢筽䤊_x0013_䉊啌偞偟䥒䕃㌨㐸㈷착_x0018_＀＀_x0018_＀＀_x0008_＀＀_x0001_＀＀_x0001_＀＀᰺ꕝ뮻䀪筽䤊_x0015_䉊啌䝞䱟彔䕄呂㌨〹㈸착_x0018_＀＀_x0018_＀＀_x0008_＀＀_x0001_＀＀_x0001_＀＀＀＀＀＀萀䂤筽䤊_x0015_䉊啌䝞卟彔䕄呂㌨㈸〳착_x0018_＀＀_x0018_＀＀_x0008_＀＀_x0001_＀＀_x0001_＀＀Ȍ蜫褖䁞昞䵮_x0015_䉊啌䝞䱟彔䕄呂㐨㈰㠹착_x0018_＀＀_x0018_＀＀_x0008_＀＀_x0001_＀＀_x0001_＀＀＀＀＀＀萀䂦昞䵮_x0018_䉊啌捞影慳敬彳瑬⡭〴〶⤲_x0018_＀＀_x0018_＀＀_x0008_＀＀_x0001_＀＀_x0001_＀＀＀＀＀＀言䂭昞䵮_x0015_䉊啌䝞䱟彔䕄呂㐨㔰㌴착_x0018_＀＀_x0018_＀＀_x0008_＀＀_x0001_＀＀_x0001_＀＀＀＀＀＀눀䂧㲼䫯_x0015_䉊啌䝞卟彔䕄呂㐨〰㘸착_x0018_＀＀_x0018_＀＀_x0008_＀＀_x0001_＀＀_x0001_＀＀＀＀＀＀怀䁸欰䦭_x0012_䉊啌杞䍟十⡈㤳㠷⤲_x0018_＀＀_x0018_＀＀_x0008_＀＀_x0001_＀＀_x0001_＀＀＀＀＀＀뀀䂃昞䵮_x0012_䉊啌杞䍟十⡈〴㈴⤱_x0018_＀＀_x0018_＀＀_x0008_＀＀_x0001_＀＀_x0001_＀＀＀＀＀＀㠀䂏筽䤊_x0013_䉊啌偞偟䥒䕃㌨㐷㜳착_x0018_＀＀_x0018_＀＀_x0008_＀＀_x0001_＀＀_x0001_＀＀曥Ƹ_xFFFF_ﾟ䀪筽䤊_x0013_䉊啌偞偟䥒䕃㌨〸㜷착_x0018_＀＀_x0018_＀＀_x0008_＀＀_x0001_＀＀_x0001_＀＀욓ᵨ핕䀰㎾䬘_x001D_䉊啌䥞彃䕍乁卟䱁卅也䵔㐨〰㘸착_x0018_＀＀_x0018_＀＀_x0008_＀＀_x0001_＀＀_x0001_＀＀馚香ꎙ䂪筽䤊_x0015_䉊啌䝞卟彔䕄呂㌨㠸㜰착_x0018_＀＀_x0018_＀＀_x0008_＀＀_x0001_＀＀_x0001_＀＀＀＀＀＀耀䁬筽䤊_x0018_䉊啌捞影慳敬彳瑬⡭㤳㘵⤸_x0018_＀＀_x0018_＀＀_x0008_＀＀_x0001_＀＀_x0001_＀＀＀＀＀＀퐀䂧筽䤊_x0015_䉊啌䝞卟彔䕄呂㌨㐹㜴착_x0018_＀＀_x0018_＀＀_x0008_＀＀_x0001_＀＀_x0001_＀＀＀＀＀＀쀀䁼欰䦭_x0018_䉊啌捞影慳敬彳瑬⡭㤳ㄸ⤳_x0018_＀＀_x0018_＀＀_x0008_＀＀_x0001_＀＀_x0001_＀＀＀＀＀＀砀䂪侴䭗_x0013_䉊啌偞偟䥒䕃㐨㄰㠷착_x0018_＀＀_x0018_＀＀_x0008_＀＀_x0001_＀＀_x0001_＀＀쳍쳌쳌䀕筽䤊_x0018_䉊啌捞影慳敬彳瑬⡭㠳㘹⤰_x0018_＀＀_x0018_＀＀_x0008_＀＀_x0001_＀＀_x0001_＀＀ꗤ쒛䎠䂟筽䤊_x0015_䉊啌䝞䱟彔䕄呂㌨㘹ㄹ착_x0018_＀＀_x0018_＀＀_x0008_＀＀_x0001_＀＀_x0001_＀＀＀＀＀＀䂦筽䤊_x0012_䉊啌杞䍟十⡈㜳㤸⤴_x0018_＀＀_x0018_＀＀_x0008_＀＀_x0001_＀＀_x0001_＀＀㽼봵䂂筽䤊_x0018_䉊啌捞影慳敬彳瑬⡭㜳㈹⤵_x0018_＀＀_x0018_＀＀_x0008_＀＀_x0001_＀＀_x0001_＀＀Ẹ핑䂌筽䤊_x0015_䉊啌䝞䱟彔䕄呂㌨㘸㘵착_x0018_＀＀_x0018_＀＀_x0008_＀＀_x0001_＀＀_x0001_＀＀ొ⬂㘇䂟筽䤊_x0015_䉊啌䝞卟彔䕄呂㌨ㄸ㤹착_x0018_＀＀_x0018_＀＀_x0008_＀＀_x0001_＀＀_x0001_＀＀Ȍ蜫褖䁞筽䤊_x0018_䉊啌捞影慳敬彳瑬⡭㤳㔳⤵_x0018_＀＀_x0018_＀＀_x0008_＀＀_x0001_＀＀_x0001_＀＀＀＀＀＀怀䂥筽䤊_x0013_䉊啌偞偟䥒䕃㌨㘸㘸착_x0018_＀＀_x0018_＀＀_x0008_＀＀_x0001_＀＀_x0001_＀＀鰗_xDFC1_阯䀨筽䤊_x0013_䉊啌偞偟䥒䕃㌨㜹ㄲ착_x0018_＀＀_x0018_＀＀_x0008_＀＀_x0001_＀＀_x0001_＀＀쳍쳌쳌䀓筽䤊_x0012_䉊啌杞䍟十⡈㜳㤴⤹_x0018_＀＀_x0018_＀＀_x0008_＀＀_x0001_＀＀_x0001_＀＀㭤俟讍䁱筽䤊_x0015_䉊啌䝞卟彔䕄呂㌨㜷ㄴ착_x0018_＀＀_x0018_＀＀_x0008_＀＀_x0001_＀＀_x0001_＀＀蔟凫暸䁓ᴷ亹_x0018_䉊啌捞影慳敬彳瑬⡭〴ㄸ⤶_x0018_＀＀_x0018_＀＀_x0008_＀＀_x0001_＀＀_x0001_＀＀＀＀＀＀저䂰დ乌_x0015_䉊啌䝞䱟彔䕄呂㐨㘰㐹착_x0018_＀＀_x0018_＀＀_x0008_＀＀_x0001_＀＀_x0001_＀＀＀＀＀＀鐀䂦昞䵮_x0015_䉊啌䝞卟彔䕄呂㐨㐰㈸착_x0018_＀＀_x0018_＀＀_x0008_＀＀_x0001_＀＀_x0001_＀＀＀＀＀＀＀＀䁧筽䤊_x0013_䉊啌偞偟䥒䕃㌨㠷㌳착_x0018_＀＀_x0018_＀＀_x0008_＀＀_x0001_＀＀_x0001_＀＀孭_xD994_䌠䀴筽䤊_x0015_䉊啌䝞䱟彔䕄呂㌨㈹㌳착_x0018_＀＀_x0018_＀＀_x0008_＀＀_x0001_＀＀_x0001_＀＀＀＀＀＀切䂤筽䤊_x0013_䉊啌偞偟䥒䕃㌨㈹㌶착_x0018_＀＀_x0018_＀＀_x0008_＀＀_x0001_＀＀_x0001_＀＀＀＀＀＀耀䀧筽䤊_x0018_䉊啌捞影慳敬彳瑬⡭㠳㔳⤲_x0018_＀＀_x0018_＀＀_x0008_＀＀_x0001_＀＀_x0001_＀＀䆉쉐䂓昞䵮_x001D_䉊啌䥞彃䕍乁卟䱁卅也䵔㐨㐰㈸착_x0018_＀＀_x0018_＀＀_x0008_＀＀_x0001_＀＀_x0001_＀＀竡긔䂯筽䤊_x0015_䉊啌䝞卟彔䕄呂㌨〹ㄲ착_x0018_＀＀_x0018_＀＀_x0008_＀＀_x0001_＀＀_x0001_＀＀＀＀＀＀쀀䁫筽䤊_x0012_䉊啌杞䍟十⡈㠳㈳⤱_x0018_＀＀_x0018_＀＀_x0008_＀＀_x0001_＀＀_x0001_＀＀ొ⬂▇䂀筽䤊_x0015_䉊啌䝞䱟彔䕄呂㌨㔷〹착_x0018_＀＀_x0018_＀＀_x0008_＀＀_x0001_＀＀_x0001_＀＀鞍ቮ広䂀_xDF33_䪁_x0018_䉊啌捞影慳敬彳瑬⡭㤳㘹⤴_x0018_＀＀_x0018_＀＀_x0008_＀＀_x0001_＀＀_x0001_＀＀＀＀＀＀䨀䂪昞䵮_x0015_䉊啌䝞卟彔䕄呂㐨㈰㜳착_x0018_＀＀_x0018_＀＀_x0008_＀＀_x0001_＀＀_x0001_＀＀＀＀＀＀＀＀䁸筽䤊_x0012_䉊啌杞䍟十⡈㠳㤸⤸_x0018_＀＀_x0018_＀＀_x0008_＀＀_x0001_＀＀_x0001_＀＀＀＀＀＀䀀䁽დ乌_x0013_䉊啌偞偟䥒䕃㐨㜰㐲착_x0018_＀＀_x0018_＀＀_x0008_＀＀_x0001_＀＀_x0001_＀＀晧晦晦䀘昞䵮_x0013_䉊啌偞偟䥒䕃㐨㔰㐷착_x0018_＀＀_x0018_＀＀_x0008_＀＀_x0001_＀＀_x0001_＀＀＀＀＀＀＀＀䀘_xDF33_䪁_x0012_䉊啌杞䍟十⡈㤳㌹⤳_x0018_＀＀_x0018_＀＀_x0008_＀＀_x0001_＀＀_x0001_＀＀＀＀＀＀䀀䂆筽䤊_x0015_䉊啌䝞卟彔䕄呂㌨㤸〹착_x0018_＀＀_x0018_＀＀_x0008_＀＀_x0001_＀＀_x0001_＀＀＀＀＀＀쀀䁫昞䵮_x0018_䉊啌捞影慳敬彳瑬⡭〴㤳⤰_x0018_＀＀_x0018_＀＀_x0008_＀＀_x0001_＀＀_x0001_＀＀＀＀＀＀堀䂫筽䤊_x0018_䉊啌捞影慳敬彳瑬⡭㠳〱⤷_x0018_＀＀_x0018_＀＀_x0008_＀＀_x0001_＀＀_x0001_＀＀褷恁룥䂐筽䤊_x0013_䉊啌偞偟䥒䕃㌨ㄹ㌱착_x0018_＀＀_x0018_＀＀_x0008_＀＀_x0001_＀＀_x0001_＀＀轜尨䀫筽䤊_x0018_䉊啌捞影慳敬彳瑬⡭㠳㈹⤹_x0018_＀＀_x0018_＀＀_x0008_＀＀_x0001_＀＀_x0001_＀＀ꗤ쒛䎠䂟筽䤊_x0015_䉊啌䝞䱟彔䕄呂㌨㈸〳착_x0018_＀＀_x0018_＀＀_x0008_＀＀_x0001_＀＀_x0001_＀＀馚香覙䂒筽䤊_x0013_䉊啌偞偟䥒䕃㌨㈸〶착_x0018_＀＀_x0018_＀＀_x0008_＀＀_x0001_＀＀_x0001_＀＀枥襺䀫昞䵮_x0013_䉊啌偞偟䥒䕃㐨㌰㤲착_x0018_＀＀_x0018_＀＀_x0008_＀＀_x0001_＀＀_x0001_＀＀쳍쳌쳌䀘筽䤊_x0012_䉊啌杞䍟十⡈㤳㌵⤸_x0018_＀＀_x0018_＀＀_x0008_＀＀_x0001_＀＀_x0001_＀＀＀＀＀＀蠀䂇筽䤊_x0012_䉊啌杞䍟十⡈㠳㐷⤸_x0018_＀＀_x0018_＀＀_x0008_＀＀_x0001_＀＀_x0001_＀＀＀＀＀＀䀀䁾筽䤊_x0015_䉊啌䝞卟彔䕄呂㌨㤷㔵착_x0018_＀＀_x0018_＀＀_x0008_＀＀_x0001_＀＀_x0001_＀＀틲才【䁔筽䤊_x0015_䉊啌䝞卟彔䕄呂㌨㔸㔹착_x0018_＀＀_x0018_＀＀_x0008_＀＀_x0001_＀＀_x0001_＀＀酩糭﴿䁡欰䦭_x0013_䉊啌偞偟䥒䕃㌨㠹㈷착_x0018_＀＀_x0018_＀＀_x0008_＀＀_x0001_＀＀_x0001_＀＀ᑻ䞮竡䀎㲼䫯_x0015_䉊啌䝞䱟彔䕄呂㐨〰㘸착_x0018_＀＀_x0018_＀＀_x0008_＀＀_x0001_＀＀_x0001_＀＀＀＀＀＀㠀䂧ᴷ亹_x0012_䉊啌杞䍟十⡈〴㠷⤶_x0018_＀＀_x0018_＀＀_x0008_＀＀_x0001_＀＀_x0001_＀＀＀＀＀＀吀䂒筽䤊_x0015_䉊啌䝞䱟彔䕄呂㌨㠸㜰착_x0018_＀＀_x0018_＀＀_x0008_＀＀_x0001_＀＀_x0001_＀＀＀＀＀＀퐀䂠筽䤊_x0013_䉊啌偞偟䥒䕃㌨㠸㜳착_x0018_＀＀_x0018_＀＀_x0008_＀＀_x0001_＀＀_x0001_＀＀롑蔞䀤筽䤊_x0015_䉊啌䝞䱟彔䕄呂㌨㐹㜴착_x0018_＀＀_x0018_＀＀_x0008_＀＀_x0001_＀＀_x0001_＀＀＀＀＀＀㠀䂤筽䤊_x0012_䉊啌杞䍟十⡈㤳㈳⤵_x0018_＀＀_x0018_＀＀_x0008_＀＀_x0001_＀＀_x0001_＀＀＀＀＀＀ 䂈筽䤊_x0015_䉊啌䝞卟彔䕄呂㌨ㄹ㈷착_x0018_＀＀_x0018_＀＀_x0008_＀＀_x0001_＀＀_x0001_＀＀＀＀＀＀ꀀ䁯筽䤊_x0012_䉊啌杞䍟十⡈㠳㜴⤲_x0018_＀＀_x0018_＀＀_x0008_＀＀_x0001_＀＀_x0001_＀＀娝㭤峟䂄_xDF33_䪁_x0015_䉊啌䝞卟彔䕄呂㌨㤹㐹착_x0018_＀＀_x0018_＀＀_x0008_＀＀_x0001_＀＀_x0001_＀＀＀＀＀＀退䁵დ乌_x0015_䉊啌䝞卟彔䕄呂㐨㘰㌳착_x0018_＀＀_x0018_＀＀_x0008_＀＀_x0001_＀＀_x0001_＀＀＀＀＀＀耀䁧筽䤊_x0018_䉊啌捞影慳敬彳瑬⡭㜳㘴⤸_x0018_＀＀_x0018_＀＀_x0008_＀＀_x0001_＀＀_x0001_＀＀⃅犰쵨䁼㎾䬘_x001D_䉊啌䥞彃䕍乁卟䱁卅也䵔㌨㤹㐹착_x0018_＀＀_x0018_＀＀_x0008_＀＀_x0001_＀＀_x0001_＀＀䞮竡䠔䂪筽䤊_x0015_䉊啌䝞䱟彔䕄呂㌨ㄸ㤹착_x0018_＀＀_x0018_＀＀_x0008_＀＀_x0001_＀＀_x0001_＀＀馚香覙䂒筽䤊_x0018_䉊啌捞影慳敬彳瑬⡭㠳〵⤳_x0018_＀＀_x0018_＀＀_x0008_＀＀_x0001_＀＀_x0001_＀＀䷒።䂕筽䤊_x0012_䉊啌杞䍟十⡈㜳㌴⤷_x0018_＀＀_x0018_＀＀_x0008_＀＀_x0001_＀＀_x0001_＀＀㭤俟讍䁱გ乌_x001D_䉊啌䥞彃䕍乁卟䱁卅也䵔㐨㘰㌳착_x0018_＀＀_x0018_＀＀_x0008_＀＀_x0001_＀＀_x0001_＀＀竡긔䓇䂱筽䤊_x0012_䉊啌杞䍟十⡈㠳㜰⤷_x0018_＀＀_x0018_＀＀_x0008_＀＀_x0001_＀＀_x0001_＀＀욧䭋䂂筽䤊_x0015_䉊啌䝞䱟彔䕄呂㌨㜷ㄴ착_x0018_＀＀_x0018_＀＀_x0008_＀＀_x0001_＀＀_x0001_＀＀إ閁鉃䂃昞䵮_x0018_䉊啌捞影慳敬彳瑬⡭〴㔳⤹_x0018_＀＀_x0018_＀＀_x0008_＀＀_x0001_＀＀_x0001_＀＀＀＀＀＀堀䂫筽䤊_x0015_䉊啌䝞卟彔䕄呂㌨㔹㤹착_x0018_＀＀_x0018_＀＀_x0008_＀＀_x0001_＀＀_x0001_＀＀＀＀＀＀＀＀䁹欰䦭_x0015_䉊啌䝞卟彔䕄呂㌨㠹㐴착_x0018_＀＀_x0018_＀＀_x0008_＀＀_x0001_＀＀_x0001_＀＀＀＀＀＀＀＀䁱侴䭗_x0012_䉊啌杞䍟十⡈〴㜱⤸_x0018_＀＀_x0018_＀＀_x0008_＀＀_x0001_＀＀_x0001_＀＀＀＀＀＀䠀䂄昞䵮_x0015_䉊啌䝞䱟彔䕄呂㐨㐰㈸착_x0018_＀＀_x0018_＀＀_x0008_＀＀_x0001_＀＀_x0001_＀＀＀＀＀＀耀䂦㎾䬘_x001D_䉊啌䥞彃䕍乁卟䱁卅也䵔㌨㠹㐴착_x0018_＀＀_x0018_＀＀_x0008_＀＀_x0001_＀＀_x0001_＀＀롒蔞㹫䂫筽䤊_x0013_䉊啌偞偟䥒䕃㌨㐸ㄱ착_x0018_＀＀_x0018_＀＀_x0008_＀＀_x0001_＀＀_x0001_＀＀ᖹ櫂郎䀧筽䤊_x0013_䉊啌偞偟䥒䕃㌨㘷ㄲ착_x0018_＀＀_x0018_＀＀_x0008_＀＀_x0001_＀＀_x0001_＀＀＀＀＀＀＀＀䀨筽䤊_x0015_䉊啌䝞䱟彔䕄呂㌨〹ㄲ착_x0018_＀＀_x0018_＀＀_x0008_＀＀_x0001_＀＀_x0001_＀＀＀＀＀＀䐀䂢筽䤊_x0013_䉊啌偞偟䥒䕃㌨〹ㄵ착_x0018_＀＀_x0018_＀＀_x0008_＀＀_x0001_＀＀_x0001_＀＀롒蔞凫䀫昞䵮_x0018_䉊啌捞影慳敬彳瑬⡭〴〲⤹_x0018_＀＀_x0018_＀＀_x0008_＀＀_x0001_＀＀_x0001_＀＀＀＀＀＀렀䂩昞䵮_x0015_䉊啌䝞䱟彔䕄呂㐨㈰㜳착_x0018_＀＀_x0018_＀＀_x0008_＀＀_x0001_＀＀_x0001_＀＀＀＀＀＀퀀䂦筽䤊_x0015_䉊啌䝞卟彔䕄呂㌨㌹㘸착_x0018_＀＀_x0018_＀＀_x0008_＀＀_x0001_＀＀_x0001_＀＀＀＀＀＀쀀䁺欰䦭_x0018_䉊啌捞影慳敬彳瑬⡭㤳㔷⤲_x0018_＀＀_x0018_＀＀_x0008_＀＀_x0001_＀＀_x0001_＀＀＀＀＀＀䂩昞䵮_x0013_䉊啌偞偟䥒䕃㐨㔰㈱착_x0018_＀＀_x0018_＀＀_x0008_＀＀_x0001_＀＀_x0001_＀＀㌴㌳㌳䀛筽䤊_x0012_䉊啌杞䍟十⡈㠳㠶⤶_x0018_＀＀_x0018_＀＀_x0008_＀＀_x0001_＀＀_x0001_＀＀䖢듽䁾㲼䫯_x0015_䉊啌䝞卟彔䕄呂㐨〰㔲착_x0018_＀＀_x0018_＀＀_x0008_＀＀_x0001_＀＀_x0001_＀＀＀＀＀＀退䁵筽䤊_x0015_䉊啌䝞䱟彔䕄呂㌨㤸〹착_x0018_＀＀_x0018_＀＀_x0008_＀＀_x0001_＀＀_x0001_＀＀＀＀＀＀䐀䂢欰䦭_x0012_䉊啌杞䍟十⡈㤳㈷⤱_x0018_＀＀_x0018_＀＀_x0008_＀＀_x0001_＀＀_x0001_＀＀＀＀＀＀뀀䂃뻖仟_x0015_䉊啌䝞卟彔䕄呂㐨㠰㜴착_x0018_＀＀_x0018_＀＀_x0008_＀＀_x0001_＀＀_x0001_＀＀＀＀＀＀ 䁨㎾䬘_x001D_䉊啌䥞彃䕍乁卟䱁卅也䵔㐨〰㔲착_x0018_＀＀_x0018_＀＀_x0008_＀＀_x0001_＀＀_x0001_＀＀긕⿺䂪筽䤊_x0018_䉊啌捞影慳敬彳瑬⡭㤳〵⤷_x0018_＀＀_x0018_＀＀_x0008_＀＀_x0001_＀＀_x0001_＀＀＀＀＀＀㐀䂦筽䤊_x0018_䉊啌捞影慳敬彳瑬⡭㠳ㄷ⤷_x0018_＀＀_x0018_＀＀_x0008_＀＀_x0001_＀＀_x0001_＀＀ꗣ쒛锠䂚筽䤊_x0013_䉊啌偞偟䥒䕃㌨㐹㠷착_x0018_＀＀_x0018_＀＀_x0008_＀＀_x0001_＀＀_x0001_＀＀炤਽ꏗ䀛ᴷ亹_x001D_䉊啌䥞彃䕍乁卟䱁卅也䵔㐨㠰㜴착_x0018_＀＀_x0018_＀＀_x0008_＀＀_x0001_＀＀_x0001_＀＀Ẹ塑䂲筽䤊_x0015_䉊啌䝞䱟彔䕄呂㌨㤷㔵착_x0018_＀＀_x0018_＀＀_x0008_＀＀_x0001_＀＀_x0001_＀＀龿⼚泝䂌筽䤊_x0018_䉊啌捞影慳敬彳瑬⡭㜳㘸⤴_x0018_＀＀_x0018_＀＀_x0008_＀＀_x0001_＀＀_x0001_＀＀쳍쳌狌䂉㲼䫯_x0013_䉊啌偞偟䥒䕃㐨㄰㜱착_x0018_＀＀_x0018_＀＀_x0008_＀＀_x0001_＀＀_x0001_＀＀ꏗ㵰휊䀓筽䤊_x0015_䉊啌䝞䱟彔䕄呂㌨㔸㔹착_x0018_＀＀_x0018_＀＀_x0008_＀＀_x0001_＀＀_x0001_＀＀磕⛩킱䂜筽䤊_x0015_䉊啌䝞卟彔䕄呂㌨㔸㌳착_x0018_＀＀_x0018_＀＀_x0008_＀＀_x0001_＀＀_x0001_＀＀酩糭﴿䁡筽䤊_x0018_䉊啌捞影慳敬彳瑬⡭㤳㤲⤴_x0018_＀＀_x0018_＀＀_x0008_＀＀_x0001_＀＀_x0001_＀＀＀＀＀＀一䂤筽䤊_x0013_䉊啌偞偟䥒䕃㌨㘹〶착_x0018_＀＀_x0018_＀＀_x0008_＀＀_x0001_＀＀_x0001_＀＀긕ᑺ䀕筽䤊_x0015_䉊啌䝞卟彔䕄呂㌨㌸㌸착_x0018_＀＀_x0018_＀＀_x0008_＀＀_x0001_＀＀_x0001_＀＀ⴎ鶲鯯䁢筽䤊_x0012_䉊啌杞䍟十⡈㜳㌸⤳_x0018_＀＀_x0018_＀＀_x0008_＀＀_x0001_＀＀_x0001_＀＀ᑺ뾮䁰筽䤊_x0012_䉊啌杞䍟十⡈㤳㘲⤳_x0018_＀＀_x0018_＀＀_x0008_＀＀_x0001_＀＀_x0001_＀＀＀＀＀＀ 䂈筽䤊_x0015_䉊啌䝞卟彔䕄呂㌨㘷〸착_x0018_＀＀_x0018_＀＀_x0008_＀＀_x0001_＀＀_x0001_＀＀쫁䖡᮶䁒ᴷ亹_x0018_䉊啌捞影慳敬彳瑬⡭〴㔷⤵_x0018_＀＀_x0018_＀＀_x0008_＀＀_x0001_＀＀_x0001_＀＀＀＀＀＀⌀䂰ᴷ亹_x0012_䉊啌杞䍟十⡈〴㈷⤴_x0018_＀＀_x0018_＀＀_x0008_＀＀_x0001_＀＀_x0001_＀＀＀＀＀＀吀䂒晛䵮_x0012_䉊啌杞䍟十⡈〴㜵⤴_x0018_＀＀_x0018_＀＀_x0008_＀＀_x0001_＀＀_x0001_＀＀＀＀＀＀䂑筽䤊_x0015_䉊啌䝞卟彔䕄呂㌨ㄸ㠳착_x0018_＀＀_x0018_＀＀_x0008_＀＀_x0001_＀＀_x0001_＀＀뙆ﷳ죔䁛筽䤊_x0013_䉊啌偞偟䥒䕃㌨㘸㔲착_x0018_＀＀_x0018_＀＀_x0008_＀＀_x0001_＀＀_x0001_＀＀ᛸ跖睷䀧筽䤊_x0013_䉊啌偞偟䥒䕃㌨㜷㈷착_x0018_＀＀_x0018_＀＀_x0008_＀＀_x0001_＀＀_x0001_＀＀_xDB48_ᏸᶕ䀮筽䤊_x0015_䉊啌䝞䱟彔䕄呂㌨ㄹ㈷착_x0018_＀＀_x0018_＀＀_x0008_＀＀_x0001_＀＀_x0001_＀＀＀＀＀＀切䂤筽䤊_x0012_䉊啌杞䍟十⡈㤳ㄱ⤳_x0018_＀＀_x0018_＀＀_x0008_＀＀_x0001_＀＀_x0001_＀＀＀＀＀＀_xD800_䂅筽䤊_x0018_䉊啌捞影慳敬彳瑬⡭㠳㤲⤱_x0018_＀＀_x0018_＀＀_x0008_＀＀_x0001_＀＀_x0001_＀＀尩슏ꫵ䂒筽䤊_x0012_䉊啌杞䍟十⡈㠳㘲⤰_x0018_＀＀_x0018_＀＀_x0008_＀＀_x0001_＀＀_x0001_＀＀ొ⬂▇䂀昞䵮_x0012_䉊啌杞䍟十⡈〴㈳⤹_x0018_＀＀_x0018_＀＀_x0008_＀＀_x0001_＀＀_x0001_＀＀＀＀＀＀쀀䂐_xDF33_䪁_x0015_䉊啌䝞䱟彔䕄呂㌨㤹㐹착_x0018_＀＀_x0018_＀＀_x0008_＀＀_x0001_＀＀_x0001_＀＀＀＀＀＀䂧欰䦭_x0015_䉊啌䝞卟彔䕄呂㌨㜹㈸착_x0018_＀＀_x0018_＀＀_x0008_＀＀_x0001_＀＀_x0001_＀＀＀＀＀＀쀀䁩დ乌_x0013_䉊啌偞偟䥒䕃㐨㘰㌶착_x0018_＀＀_x0018_＀＀_x0008_＀＀_x0001_＀＀_x0001_＀＀炤਽ꏗ䀖დ乌_x0015_䉊啌䝞䱟彔䕄呂㐨㘰㌳착_x0018_＀＀_x0018_＀＀_x0008_＀＀_x0001_＀＀_x0001_＀＀＀＀＀＀鐀䂦昞䵮_x0015_䉊啌䝞卟彔䕄呂㐨㐰ㄲ착_x0018_＀＀_x0018_＀＀_x0008_＀＀_x0001_＀＀_x0001_＀＀＀＀＀＀耀䁫_xDF33_䪁_x0012_䉊啌杞䍟十⡈㤳㜸⤲_x0018_＀＀_x0018_＀＀_x0008_＀＀_x0001_＀＀_x0001_＀＀＀＀＀＀䠀䂄筽䤊_x0018_䉊啌捞影慳敬彳瑬⡭㜳〴⤶_x0018_＀＀_x0018_＀＀_x0008_＀＀_x0001_＀＀_x0001_＀＀犰酨廭䁸筽䤊_x0018_䉊啌捞影慳敬彳瑬⡭㠳㐰⤶_x0018_＀＀_x0018_＀＀_x0008_＀＀_x0001_＀＀_x0001_＀＀蜫_xD916_㋎䂏㎾䬘_x001D_䉊啌䥞彃䕍乁卟䱁卅也䵔㌨㜹㈸착_x0018_＀＀_x0018_＀＀_x0008_＀＀_x0001_＀＀_x0001_＀＀轜⾨䂬筽䤊_x0013_䉊啌偞偟䥒䕃㌨㈹㈰착_x0018_＀＀_x0018_＀＀_x0008_＀＀_x0001_＀＀_x0001_＀＀롒蔞퇫䀣昞䵮_x001D_䉊啌䥞彃䕍乁卟䱁卅也䵔㐨㐰ㄲ착_x0018_＀＀_x0018_＀＀_x0008_＀＀_x0001_＀＀_x0001_＀＀＀＀＀＀_xD900_䂯筽䤊_x0018_䉊啌捞影慳敬彳瑬⡭㠳㘸⤸_x0018_＀＀_x0018_＀＀_x0008_＀＀_x0001_＀＀_x0001_＀＀帵䦺栌䂜筽䤊_x0015_䉊啌䝞䱟彔䕄呂㌨㔹㤹착_x0018_＀＀_x0018_＀＀_x0008_＀＀_x0001_＀＀_x0001_＀＀＀＀＀＀ሀ䂥_xDF33_䪁_x0018_䉊啌捞影慳敬彳瑬⡭㤳〹⤳_x0018_＀＀_x0018_＀＀_x0008_＀＀_x0001_＀＀_x0001_＀＀＀＀＀＀䨀䂪昞䵮_x0013_䉊啌偞偟䥒䕃㐨㈰㠶착_x0018_＀＀_x0018_＀＀_x0008_＀＀_x0001_＀＀_x0001_＀＀롒蔞凫䀖筽䤊_x0012_䉊啌杞䍟十⡈㠳㌸⤷_x0018_＀＀_x0018_＀＀_x0008_＀＀_x0001_＀＀_x0001_＀＀＀＀＀＀　䁺欰䦭_x0015_䉊啌䝞䱟彔䕄呂㌨㠹㐴착_x0018_＀＀_x0018_＀＀_x0008_＀＀_x0001_＀＀_x0001_＀＀＀＀＀＀蘀䂦侴䭗_x0018_䉊啌捞影慳敬彳瑬⡭〴㐱⤷_x0018_＀＀_x0018_＀＀_x0008_＀＀_x0001_＀＀_x0001_＀＀＀＀＀＀舀䂩筽䤊_x0015_䉊啌䝞卟彔䕄呂㌨㠷㐹착_x0018_＀＀_x0018_＀＀_x0008_＀＀_x0001_＀＀_x0001_＀＀틲才【䁔侴䭗_x0013_䉊啌偞偟䥒䕃㐨㄰㜹착_x0018_＀＀_x0018_＀＀_x0008_＀＀_x0001_＀＀_x0001_＀＀쳍쳌쳌䀖筽䤊_x0013_䉊啌偞偟䥒䕃㌨〸㜱착_x0018_＀＀_x0018_＀＀_x0008_＀＀_x0001_＀＀_x0001_＀＀ῷນ㚝䀮筽䤊_x0013_䉊啌偞偟䥒䕃㌨㘹㤲착_x0018_＀＀_x0018_＀＀_x0008_＀＀_x0001_＀＀_x0001_＀＀ꏗ㵰휊䀍筽䤊_x0015_䉊啌䝞卟彔䕄呂㌨㐷㤹착_x0018_＀＀_x0018_＀＀_x0008_＀＀_x0001_＀＀_x0001_＀＀晧晦䁒筽䤊_x0013_䉊啌偞偟䥒䕃㌨㜸㘷착_x0018_＀＀_x0018_＀＀_x0008_＀＀_x0001_＀＀_x0001_＀＀쳍쳌쳌䀦筽䤊_x0013_䉊啌偞偟䥒䕃㌨㤷㘸착_x0018_＀＀_x0018_＀＀_x0008_＀＀_x0001_＀＀_x0001_＀＀䞮竡긔䀱筽䤊_x0015_䉊啌䝞䱟彔䕄呂㌨㌹㘸착_x0018_＀＀_x0018_＀＀_x0008_＀＀_x0001_＀＀_x0001_＀＀＀＀＀＀㨀䂤㲼䫯_x0015_䉊啌䝞䱟彔䕄呂㐨〰㔲착_x0018_＀＀_x0018_＀＀_x0008_＀＀_x0001_＀＀_x0001_＀＀＀＀＀＀䂧뻖仟_x0015_䉊啌䝞䱟彔䕄呂㐨㠰㜴착_x0018_＀＀_x0018_＀＀_x0008_＀＀_x0001_＀＀_x0001_＀＀＀＀＀＀怀䂦뻖仟_x0013_䉊啌偞偟䥒䕃㐨㠰㜷착_x0018_＀＀_x0018_＀＀_x0008_＀＀_x0001_＀＀_x0001_＀＀ᑻ䞮竡䀐დ乌_x0018_䉊啌捞影慳敬彳瑬⡭〴㜷⤲_x0018_＀＀_x0018_＀＀_x0008_＀＀_x0001_＀＀_x0001_＀＀＀＀＀＀⌀䂰筽䤊_x0013_䉊啌偞偟䥒䕃㌨㐹㘱착_x0018_＀＀_x0018_＀＀_x0008_＀＀_x0001_＀＀_x0001_＀＀＀＀＀＀＀＀䀜筽䤊_x0018_䉊啌捞影慳敬彳瑬⡭㜳〸⤲_x0018_＀＀_x0018_＀＀_x0008_＀＀_x0001_＀＀_x0001_＀＀쳍쳌狌䂉筽䤊_x0015_䉊啌䝞䱟彔䕄呂㌨㔸㌳착_x0018_＀＀_x0018_＀＀_x0008_＀＀_x0001_＀＀_x0001_＀＀磕⛩킱䂜筽䤊_x0018_䉊啌捞影慳敬彳瑬⡭㠳㐴⤲_x0018_＀＀_x0018_＀＀_x0008_＀＀_x0001_＀＀_x0001_＀＀䷒።䂕筽䤊_x0018_䉊啌捞影慳敬彳瑬⡭㜳㔶⤲_x0018_＀＀_x0018_＀＀_x0008_＀＀_x0001_＀＀_x0001_＀＀ొ⬂_xD987_䂃筽䤊_x0015_䉊啌䝞䱟彔䕄呂㌨㌸㌸착_x0018_＀＀_x0018_＀＀_x0008_＀＀_x0001_＀＀_x0001_＀＀䯇褷쿁䂕筽䤊_x0015_䉊啌䝞卟彔䕄呂㌨㌸ㄲ착_x0018_＀＀_x0018_＀＀_x0008_＀＀_x0001_＀＀_x0001_＀＀娝㭤뿟䁠筽䤊_x0018_䉊啌捞影慳敬彳瑬⡭㤳㠰⤲_x0018_＀＀_x0018_＀＀_x0008_＀＀_x0001_＀＀_x0001_＀＀＀＀＀＀瘀䂢筽䤊_x0012_䉊啌杞䍟十⡈㠳ㄴ⤱_x0018_＀＀_x0018_＀＀_x0008_＀＀_x0001_＀＀_x0001_＀＀_xDF3C_赏ኗ䁼筽䤊_x0015_䉊啌䝞䱟彔䕄呂㌨㘷〸착_x0018_＀＀_x0018_＀＀_x0008_＀＀_x0001_＀＀_x0001_＀＀譄ﯻ䂃筽䤊_x0012_䉊啌杞䍟十⡈㜳㈶⤱_x0018_＀＀_x0018_＀＀_x0008_＀＀_x0001_＀＀_x0001_＀＀ᶥ䁰筽䤊_x0012_䉊啌杞䍟十⡈㤳㔰⤱_x0018_＀＀_x0018_＀＀_x0008_＀＀_x0001_＀＀_x0001_＀＀＀＀＀＀耀䁼筽䤊_x0015_䉊啌䝞卟彔䕄呂㌨㠸㠹착_x0018_＀＀_x0018_＀＀_x0008_＀＀_x0001_＀＀_x0001_＀＀＀＀＀＀䁬昞䵮_x0018_䉊啌捞影慳敬彳瑬⡭〴㤲⤸_x0018_＀＀_x0018_＀＀_x0008_＀＀_x0001_＀＀_x0001_＀＀＀＀＀＀倀䂪_xDF33_䪁_x0015_䉊啌䝞卟彔䕄呂㌨㤹㌳착_x0018_＀＀_x0018_＀＀_x0008_＀＀_x0001_＀＀_x0001_＀＀＀＀＀＀耀䁮昞䵮_x0018_䉊啌捞影慳敬彳瑬⡭〴㐵⤳_x0018_＀＀_x0018_＀＀_x0008_＀＀_x0001_＀＀_x0001_＀＀＀＀＀＀言䂭昞䵮_x0012_䉊啌杞䍟十⡈〴ㄵ⤲_x0018_＀＀_x0018_＀＀_x0008_＀＀_x0001_＀＀_x0001_＀＀＀＀＀＀쀀䂍㎾䬘_x001D_䉊啌䥞彃䕍乁卟䱁卅也䵔㌨㤹㌳착_x0018_＀＀_x0018_＀＀_x0008_＀＀_x0001_＀＀_x0001_＀＀蔟凫䀸䂫筽䤊_x0015_䉊啌䝞䱟彔䕄呂㌨ㄸ㠳착_x0018_＀＀_x0018_＀＀_x0008_＀＀_x0001_＀＀_x0001_＀＀⼛ⓝ抆䂑筽䤊_x0013_䉊啌偞偟䥒䕃㌨ㄸ㠶착_x0018_＀＀_x0018_＀＀_x0008_＀＀_x0001_＀＀_x0001_＀＀譙ŏ阰䀳筽䤊_x0013_䉊啌偞偟䥒䕃㌨㔷〶착_x0018_＀＀_x0018_＀＀_x0008_＀＀_x0001_＀＀_x0001_＀＀ퟋ䀧筽䤊_x0015_䉊啌䝞卟彔䕄呂㌨㔹㠳착_x0018_＀＀_x0018_＀＀_x0008_＀＀_x0001_＀＀_x0001_＀＀＀＀＀＀＀＀䁹筽䤊_x0015_䉊啌䝞卟彔䕄呂㌨㜸㠴착_x0018_＀＀_x0018_＀＀_x0008_＀＀_x0001_＀＀_x0001_＀＀＀＀＀＀䁫筽䤊_x0012_䉊啌杞䍟十⡈㤳㜴⤸_x0018_＀＀_x0018_＀＀_x0008_＀＀_x0001_＀＀_x0001_＀＀＀＀＀＀က䂊筽䤊_x0018_䉊啌捞影慳敬彳瑬⡭㤳㤶⤱_x0018_＀＀_x0018_＀＀_x0008_＀＀_x0001_＀＀_x0001_＀＀＀＀＀＀혀䂨欰䦭_x0015_䉊啌䝞䱟彔䕄呂㌨㜹㈸착_x0018_＀＀_x0018_＀＀_x0008_＀＀_x0001_＀＀_x0001_＀＀＀＀＀＀䂦侴䭗_x0012_䉊啌杞䍟十⡈〴ㄱ⤷_x0018_＀＀_x0018_＀＀_x0008_＀＀_x0001_＀＀_x0001_＀＀＀＀＀＀㠀䂏昞䵮_x0015_䉊啌䝞䱟彔䕄呂㐨㐰ㄲ착_x0018_＀＀_x0018_＀＀_x0008_＀＀_x0001_＀＀_x0001_＀＀＀＀＀＀ꀀ䂦昞䵮_x0013_䉊啌偞偟䥒䕃㐨㐰ㄵ착_x0018_＀＀_x0018_＀＀_x0008_＀＀_x0001_＀＀_x0001_＀＀尨슏䀚筽䤊_x0012_䉊啌杞䍟十⡈㤳㘶⤰_x0018_＀＀_x0018_＀＀_x0008_＀＀_x0001_＀＀_x0001_＀＀＀＀＀＀က䂊ᴷ亹_x0015_䉊啌䝞卟彔䕄呂㐨㜰㘸착_x0018_＀＀_x0018_＀＀_x0008_＀＀_x0001_＀＀_x0001_＀＀＀＀＀＀쀀䁧筽䤊_x0018_䉊啌捞影慳敬彳瑬⡭㠳㔶⤶_x0018_＀＀_x0018_＀＀_x0008_＀＀_x0001_＀＀_x0001_＀＀ቯ삃큊䂘筽䤊_x0015_䉊啌䝞卟彔䕄呂㌨㌹㔲착_x0018_＀＀_x0018_＀＀_x0008_＀＀_x0001_＀＀_x0001_＀＀＀＀＀＀ 䁯ᴷ亹_x001D_䉊啌䥞彃䕍乁卟䱁卅也䵔㐨㜰㘸착_x0018_＀＀_x0018_＀＀_x0008_＀＀_x0001_＀＀_x0001_＀＀㵱휊㹣䂲筽䤊_x0012_䉊啌杞䍟十⡈㠳㈶⤵_x0018_＀＀_x0018_＀＀_x0008_＀＀_x0001_＀＀_x0001_＀＀䖢듽䁾筽䤊_x0015_䉊啌䝞䱟彔䕄呂㌨㠷㐹착_x0018_＀＀_x0018_＀＀_x0008_＀＀_x0001_＀＀_x0001_＀＀龿⼚泝䂌㲼䫯_x0013_䉊啌偞偟䥒䕃㐨〰㘵착_x0018_＀＀_x0018_＀＀_x0008_＀＀_x0001_＀＀_x0001_＀＀ਾꏗ㵰䀗筽䤊_x0015_䉊啌䝞卟彔䕄呂㌨㐸㈷착_x0018_＀＀_x0018_＀＀_x0008_＀＀_x0001_＀＀_x0001_＀＀إ閁썃䁢筽䤊_x0012_䉊啌杞䍟十⡈㜳㜷⤲_x0018_＀＀_x0018_＀＀_x0008_＀＀_x0001_＀＀_x0001_＀＀Й๖븭䁯㛚乍_x0018_䉊啌捞影慳敬彳瑬⡭〴㜷⤳_x0018_＀＀_x0018_＀＀_x0008_＀＀_x0001_＀＀_x0001_＀＀＀＀＀＀⌀䂰დ乌_x0018_䉊啌捞影慳敬彳瑬⡭〴㤶⤴_x0018_＀＀_x0018_＀＀_x0008_＀＀_x0001_＀＀_x0001_＀＀＀＀＀＀ꀀ䂮დ乌_x0012_䉊啌杞䍟十⡈〴㘶⤳_x0018_＀＀_x0018_＀＀_x0008_＀＀_x0001_＀＀_x0001_＀＀＀＀＀＀怀䂑筽䤊_x0015_䉊啌䝞䱟彔䕄呂㌨㐷㤹착_x0018_＀＀_x0018_＀＀_x0008_＀＀_x0001_＀＀_x0001_＀＀酩糭匿䁻筽䤊_x0015_䉊啌䝞卟彔䕄呂㌨㐷㜳착_x0018_＀＀_x0018_＀＀_x0008_＀＀_x0001_＀＀_x0001_＀＀晧晦䁒筽䤊_x0015_䉊啌䝞卟彔䕄呂㌨〸㜷착_x0018_＀＀_x0018_＀＀_x0008_＀＀_x0001_＀＀_x0001_＀＀뙆ﷳ죔䁛筽䤊_x0018_䉊啌捞影慳敬彳瑬⡭㤳㌲⤳_x0018_＀＀_x0018_＀＀_x0008_＀＀_x0001_＀＀_x0001_＀＀＀＀＀＀戀䂣筽䤊_x0013_䉊啌偞偟䥒䕃㌨㔸㐶착_x0018_＀＀_x0018_＀＀_x0008_＀＀_x0001_＀＀_x0001_＀＀＀＀＀＀＀＀䀬筽䤊_x0012_䉊啌杞䍟十⡈㤳〲⤲_x0018_＀＀_x0018_＀＀_x0008_＀＀_x0001_＀＀_x0001_＀＀＀＀＀＀　䂈筽䤊_x0018_䉊啌捞影慳敬彳瑬⡭㜳㤵⤰_x0018_＀＀_x0018_＀＀_x0008_＀＀_x0001_＀＀_x0001_＀＀犰酨ﯭ䂀侴䭗_x0015_䉊啌䝞卟彔䕄呂㐨㄰㠷착_x0018_＀＀_x0018_＀＀_x0008_＀＀_x0001_＀＀_x0001_＀＀＀＀＀＀＀＀䁱昞䵮_x0012_䉊啌杞䍟十⡈〴㘲⤸_x0018_＀＀_x0018_＀＀_x0008_＀＀_x0001_＀＀_x0001_＀＀＀＀＀＀쀀䂐筽䤊_x0013_䉊啌偞偟䥒䕃㌨㔷㤲착_x0018_＀＀_x0018_＀＀_x0008_＀＀_x0001_＀＀_x0001_＀＀駙䀧侴䭗_x001D_䉊啌䥞彃䕍乁卟䱁卅也䵔㐨㄰㠷착_x0018_＀＀_x0018_＀＀_x0008_＀＀_x0001_＀＀_x0001_＀＀尩슏쭵䂫筽䤊_x0012_䉊啌杞䍟十⡈㠳㄰⤷_x0018_＀＀_x0018_＀＀_x0008_＀＀_x0001_＀＀_x0001_＀＀ਾꏗ並䂂筽䤊_x0013_䉊啌偞偟䥒䕃㌨㜷ㄱ착_x0018_＀＀_x0018_＀＀_x0008_＀＀_x0001_＀＀_x0001_＀＀᳷蹘ꆐ䀨筽䤊_x0015_䉊啌䝞䱟彔䕄呂㌨㌸ㄲ착_x0018_＀＀_x0018_＀＀_x0008_＀＀_x0001_＀＀_x0001_＀＀酩糭씿䂓筽䤊_x0013_䉊啌偞偟䥒䕃㌨ㄹㄴ착_x0018_＀＀_x0018_＀＀_x0008_＀＀_x0001_＀＀_x0001_＀＀蔟凫麸䀨筽䤊_x0018_䉊啌捞影慳敬彳瑬⡭㠳㌲⤰_x0018_＀＀_x0018_＀＀_x0008_＀＀_x0001_＀＀_x0001_＀＀㥘좴䂑筽䤊_x0012_䉊啌杞䍟十⡈㤳㈶⤹_x0018_＀＀_x0018_＀＀_x0008_＀＀_x0001_＀＀_x0001_＀＀＀＀＀＀က䂊筽䤊_x0015_䉊啌䝞䱟彔䕄呂㌨㠸㠹착_x0018_＀＀_x0018_＀＀_x0008_＀＀_x0001_＀＀_x0001_＀＀＀＀＀＀_xDE00_䂡</t>
        </r>
      </text>
    </comment>
    <comment ref="B1" authorId="0">
      <text>
        <r>
          <rPr>
            <b/>
            <sz val="8"/>
            <color indexed="81"/>
            <rFont val="Tahoma"/>
            <family val="2"/>
          </rPr>
          <t>20859</t>
        </r>
      </text>
    </comment>
  </commentList>
</comments>
</file>

<file path=xl/comments2.xml><?xml version="1.0" encoding="utf-8"?>
<comments xmlns="http://schemas.openxmlformats.org/spreadsheetml/2006/main">
  <authors>
    <author>RL</author>
  </authors>
  <commentList>
    <comment ref="G28" authorId="0">
      <text>
        <r>
          <rPr>
            <b/>
            <sz val="9"/>
            <color indexed="81"/>
            <rFont val="Tahoma"/>
            <family val="2"/>
          </rPr>
          <t>RL:</t>
        </r>
        <r>
          <rPr>
            <sz val="9"/>
            <color indexed="81"/>
            <rFont val="Tahoma"/>
            <family val="2"/>
          </rPr>
          <t xml:space="preserve">
assume converted in model</t>
        </r>
      </text>
    </comment>
  </commentList>
</comments>
</file>

<file path=xl/comments3.xml><?xml version="1.0" encoding="utf-8"?>
<comments xmlns="http://schemas.openxmlformats.org/spreadsheetml/2006/main">
  <authors>
    <author>Newman, Brendan (Research)</author>
    <author>Robert Susman</author>
    <author>susmanr</author>
    <author>falfalkj</author>
    <author>Greene</author>
    <author>nedgill</author>
    <author>Streger, David W (Research)</author>
    <author>William Greene</author>
    <author xml:space="preserve"> Jeremy Falk</author>
    <author>godjohn</author>
    <author>bharadwa</author>
    <author>Lalwani, Rajeev (Research)</author>
    <author>matparke</author>
  </authors>
  <commentList>
    <comment ref="DO6" authorId="0">
      <text>
        <r>
          <rPr>
            <b/>
            <sz val="9"/>
            <color indexed="81"/>
            <rFont val="Tahoma"/>
            <family val="2"/>
          </rPr>
          <t>Newman, Brendan (Research):</t>
        </r>
        <r>
          <rPr>
            <sz val="9"/>
            <color indexed="81"/>
            <rFont val="Tahoma"/>
            <family val="2"/>
          </rPr>
          <t xml:space="preserve">
Mid- to High-Single-Digit CAGR per 1Q18 Call
</t>
        </r>
      </text>
    </comment>
    <comment ref="S13" authorId="1">
      <text>
        <r>
          <rPr>
            <sz val="8"/>
            <color indexed="81"/>
            <rFont val="Tahoma"/>
            <family val="2"/>
          </rPr>
          <t xml:space="preserve">4/24/03 conf call: 1250 miles
</t>
        </r>
      </text>
    </comment>
    <comment ref="T13" authorId="2">
      <text>
        <r>
          <rPr>
            <sz val="8"/>
            <color indexed="81"/>
            <rFont val="Tahoma"/>
            <family val="2"/>
          </rPr>
          <t xml:space="preserve">7/24 conf call: 1300 miles
</t>
        </r>
      </text>
    </comment>
    <comment ref="U13" authorId="2">
      <text>
        <r>
          <rPr>
            <sz val="8"/>
            <color indexed="81"/>
            <rFont val="Tahoma"/>
            <family val="2"/>
          </rPr>
          <t>7/24 conf call: 1300 miles
10/24 conf call: 1300 miles</t>
        </r>
      </text>
    </comment>
    <comment ref="V13" authorId="1">
      <text>
        <r>
          <rPr>
            <sz val="8"/>
            <color indexed="81"/>
            <rFont val="Tahoma"/>
            <family val="2"/>
          </rPr>
          <t xml:space="preserve">4/24/03 conf call: should be 1250 miles
</t>
        </r>
      </text>
    </comment>
    <comment ref="Z13" authorId="3">
      <text>
        <r>
          <rPr>
            <sz val="8"/>
            <color indexed="81"/>
            <rFont val="Tahoma"/>
            <family val="2"/>
          </rPr>
          <t xml:space="preserve">3Q call: Stage length under 1,400 miles for 4Q and full year, respectively.
</t>
        </r>
      </text>
    </comment>
    <comment ref="AA13" authorId="2">
      <text>
        <r>
          <rPr>
            <sz val="8"/>
            <color indexed="81"/>
            <rFont val="Tahoma"/>
            <family val="2"/>
          </rPr>
          <t xml:space="preserve">3Q call: Stage length under 1,400 miles for 4Q and full year, respectively.
07/21/2004: Stage length is expected to be slightly below 1,400 miles and approximately 1,440 miles for 3Q and full year, respectively.  
10/24 conf call: just under 1400 miles.
</t>
        </r>
      </text>
    </comment>
    <comment ref="AB13" authorId="3">
      <text>
        <r>
          <rPr>
            <b/>
            <sz val="8"/>
            <color indexed="81"/>
            <rFont val="Tahoma"/>
            <family val="2"/>
          </rPr>
          <t xml:space="preserve">4Q04 c/c: </t>
        </r>
        <r>
          <rPr>
            <sz val="8"/>
            <color indexed="81"/>
            <rFont val="Tahoma"/>
            <family val="2"/>
          </rPr>
          <t xml:space="preserve">Average stage length will be roughly 1,300 miles for 1Q and 2005. </t>
        </r>
      </text>
    </comment>
    <comment ref="AF13" authorId="3">
      <text>
        <r>
          <rPr>
            <b/>
            <sz val="8"/>
            <color indexed="81"/>
            <rFont val="Tahoma"/>
            <family val="2"/>
          </rPr>
          <t xml:space="preserve">4Q04 c/c: </t>
        </r>
        <r>
          <rPr>
            <sz val="8"/>
            <color indexed="81"/>
            <rFont val="Tahoma"/>
            <family val="2"/>
          </rPr>
          <t xml:space="preserve">Average stage length will be roughly 1,300 miles for 2005. </t>
        </r>
      </text>
    </comment>
    <comment ref="AG13" authorId="4">
      <text>
        <r>
          <rPr>
            <b/>
            <sz val="10"/>
            <color indexed="81"/>
            <rFont val="Arial"/>
            <family val="2"/>
          </rPr>
          <t xml:space="preserve">2/06: </t>
        </r>
        <r>
          <rPr>
            <sz val="10"/>
            <color indexed="81"/>
            <rFont val="Arial"/>
            <family val="2"/>
          </rPr>
          <t>Stage length will be 1,250 miles.</t>
        </r>
      </text>
    </comment>
    <comment ref="AH13" authorId="4">
      <text>
        <r>
          <rPr>
            <b/>
            <sz val="10"/>
            <color indexed="81"/>
            <rFont val="Arial"/>
            <family val="2"/>
          </rPr>
          <t xml:space="preserve">2/06: </t>
        </r>
        <r>
          <rPr>
            <sz val="10"/>
            <color indexed="81"/>
            <rFont val="Arial"/>
            <family val="2"/>
          </rPr>
          <t>Stage length will be 1,250 miles.</t>
        </r>
      </text>
    </comment>
    <comment ref="AK13" authorId="4">
      <text>
        <r>
          <rPr>
            <b/>
            <sz val="10"/>
            <color indexed="81"/>
            <rFont val="Arial"/>
            <family val="2"/>
          </rPr>
          <t xml:space="preserve">2/06: </t>
        </r>
        <r>
          <rPr>
            <sz val="10"/>
            <color indexed="81"/>
            <rFont val="Arial"/>
            <family val="2"/>
          </rPr>
          <t xml:space="preserve">Stage length will be 1,250 miles.  This is significant because it will cause upward pressure on CASM.
</t>
        </r>
        <r>
          <rPr>
            <b/>
            <sz val="10"/>
            <color indexed="81"/>
            <rFont val="Arial"/>
            <family val="2"/>
          </rPr>
          <t>7/06:</t>
        </r>
        <r>
          <rPr>
            <sz val="10"/>
            <color indexed="81"/>
            <rFont val="Arial"/>
            <family val="2"/>
          </rPr>
          <t xml:space="preserve"> Stage length will be 1,200 miles for the full-year.</t>
        </r>
      </text>
    </comment>
    <comment ref="AS23" authorId="5">
      <text>
        <r>
          <rPr>
            <b/>
            <sz val="8"/>
            <color indexed="81"/>
            <rFont val="Tahoma"/>
            <family val="2"/>
          </rPr>
          <t>nedgill:</t>
        </r>
        <r>
          <rPr>
            <sz val="8"/>
            <color indexed="81"/>
            <rFont val="Tahoma"/>
            <family val="2"/>
          </rPr>
          <t xml:space="preserve">
announced on 9/18 that they had leased two E190s to Azul. 1 in 3Q and 1 in 4Q</t>
        </r>
      </text>
    </comment>
    <comment ref="AT23" authorId="5">
      <text>
        <r>
          <rPr>
            <b/>
            <sz val="8"/>
            <color indexed="81"/>
            <rFont val="Tahoma"/>
            <family val="2"/>
          </rPr>
          <t>nedgill:</t>
        </r>
        <r>
          <rPr>
            <sz val="8"/>
            <color indexed="81"/>
            <rFont val="Tahoma"/>
            <family val="2"/>
          </rPr>
          <t xml:space="preserve">
announced on 9/18 that they had leased two E190s to Azul. 1 in 3Q and 1 in 4Q</t>
        </r>
      </text>
    </comment>
    <comment ref="L24" authorId="2">
      <text>
        <r>
          <rPr>
            <b/>
            <sz val="8"/>
            <color indexed="81"/>
            <rFont val="Tahoma"/>
            <family val="2"/>
          </rPr>
          <t>susmanr:</t>
        </r>
        <r>
          <rPr>
            <sz val="8"/>
            <color indexed="81"/>
            <rFont val="Tahoma"/>
            <family val="2"/>
          </rPr>
          <t xml:space="preserve">
company gave 14.7</t>
        </r>
      </text>
    </comment>
    <comment ref="N24" authorId="2">
      <text>
        <r>
          <rPr>
            <sz val="8"/>
            <color indexed="81"/>
            <rFont val="Tahoma"/>
            <family val="2"/>
          </rPr>
          <t xml:space="preserve">       At June 30, 2002, our firm aircraft orders consist of 57 Airbus A320 aircraft scheduled for delivery as follows: nine during the remaining six months of 2002, 13 in 2003, 13 in 2004, 12 in 2005 and five each year in 2006 and 2007.
       We operated a fleet of 26 Airbus A320 aircraft, of which 13 are owned and 13 are leased under operating leases as of June 30, 2002. We had also taken delivery of one owned aircraft in June that began scheduled service in July 2002. The average age of the fleet was 15 months.</t>
        </r>
      </text>
    </comment>
    <comment ref="P24" authorId="2">
      <text>
        <r>
          <rPr>
            <sz val="8"/>
            <color indexed="81"/>
            <rFont val="Tahoma"/>
            <family val="2"/>
          </rPr>
          <t xml:space="preserve">10Q:  JBLU will take 5 a/c in remainder of 4Q
</t>
        </r>
      </text>
    </comment>
    <comment ref="Q24" authorId="2">
      <text>
        <r>
          <rPr>
            <sz val="8"/>
            <color indexed="81"/>
            <rFont val="Tahoma"/>
            <family val="2"/>
          </rPr>
          <t>Dec Roadshow: 36 A/c at year end.
1/30/03: ended year with 37 a/c. Of these 37, 16 are under operating leases.</t>
        </r>
      </text>
    </comment>
    <comment ref="S24" authorId="1">
      <text>
        <r>
          <rPr>
            <sz val="8"/>
            <color indexed="81"/>
            <rFont val="Tahoma"/>
            <family val="2"/>
          </rPr>
          <t xml:space="preserve">4/24/03 conf call: JBLU taking 1 in May, 2 in June.
</t>
        </r>
      </text>
    </comment>
    <comment ref="T24" authorId="1">
      <text>
        <r>
          <rPr>
            <sz val="8"/>
            <color indexed="81"/>
            <rFont val="Tahoma"/>
            <family val="2"/>
          </rPr>
          <t xml:space="preserve">4/24/03 conf call: JBLU taking 1 in each month
</t>
        </r>
      </text>
    </comment>
    <comment ref="U24" authorId="1">
      <text>
        <r>
          <rPr>
            <sz val="8"/>
            <color indexed="81"/>
            <rFont val="Tahoma"/>
            <family val="2"/>
          </rPr>
          <t xml:space="preserve">4/24/03 conf call: JBLU taking 1 in Oct, 2 in Nov, 3 in Dec
</t>
        </r>
      </text>
    </comment>
    <comment ref="V24" authorId="2">
      <text>
        <r>
          <rPr>
            <sz val="8"/>
            <color indexed="81"/>
            <rFont val="Tahoma"/>
            <family val="2"/>
          </rPr>
          <t xml:space="preserve">3Q02 10Q: JBLU will take 13 a/c in 03, 13 in '04, 12 in '05, and 5 in '06 and in '07.
Dec Roadshow: 50 a/c at year end.
</t>
        </r>
      </text>
    </comment>
    <comment ref="Z24" authorId="2">
      <text>
        <r>
          <rPr>
            <sz val="8"/>
            <color indexed="81"/>
            <rFont val="Tahoma"/>
            <family val="2"/>
          </rPr>
          <t xml:space="preserve">1/29/04 call: JetBlue to finish year with 69 A/C
</t>
        </r>
      </text>
    </comment>
    <comment ref="AA24" authorId="2">
      <text>
        <r>
          <rPr>
            <sz val="8"/>
            <color indexed="81"/>
            <rFont val="Tahoma"/>
            <family val="2"/>
          </rPr>
          <t>3Q call: 2004 fleet of 69 A320s.  The fleet in 2005 will increase by 15 A320s and 7 E190’s.
3Q10Q:
firm aircraft orders consisted of 119 Airbus A320 aircraft, 100 Embraer E190 aircraft and 37 spare engines scheduled for delivery through 2012. 
07/21/2004: take 16 additional aircraft in the remainder of 2004, finishing the year with a total of 69 A320s.</t>
        </r>
        <r>
          <rPr>
            <b/>
            <sz val="8"/>
            <color indexed="81"/>
            <rFont val="Tahoma"/>
            <family val="2"/>
          </rPr>
          <t xml:space="preserve">
Dec Roadshow: </t>
        </r>
        <r>
          <rPr>
            <sz val="8"/>
            <color indexed="81"/>
            <rFont val="Tahoma"/>
            <family val="2"/>
          </rPr>
          <t>63 at year end, 1 on option</t>
        </r>
        <r>
          <rPr>
            <sz val="8"/>
            <color indexed="81"/>
            <rFont val="Tahoma"/>
            <family val="2"/>
          </rPr>
          <t xml:space="preserve">
4/24/03 conf call:  
        Firm     Options
2004   14       0
2005    16     0
2006    15     2
2007    15     2
2008    13    4
2009    10      8
2010     10    8
2011     6      13
2012     0     13</t>
        </r>
      </text>
    </comment>
    <comment ref="AB24" authorId="3">
      <text>
        <r>
          <rPr>
            <b/>
            <sz val="8"/>
            <color indexed="81"/>
            <rFont val="Tahoma"/>
            <family val="2"/>
          </rPr>
          <t xml:space="preserve">2005 JBLU Deliveries: </t>
        </r>
        <r>
          <rPr>
            <sz val="8"/>
            <color indexed="81"/>
            <rFont val="Tahoma"/>
            <family val="2"/>
          </rPr>
          <t xml:space="preserve">
A320s
1 Jan
1 Feb
2 March
</t>
        </r>
        <r>
          <rPr>
            <b/>
            <sz val="8"/>
            <color indexed="81"/>
            <rFont val="Tahoma"/>
            <family val="2"/>
          </rPr>
          <t xml:space="preserve">
formerly =(69+(69+4))/2</t>
        </r>
      </text>
    </comment>
    <comment ref="AC24" authorId="3">
      <text>
        <r>
          <rPr>
            <sz val="8"/>
            <color indexed="81"/>
            <rFont val="Tahoma"/>
            <family val="2"/>
          </rPr>
          <t>2005 JBLU Deliveries: 
A320s
June 2
July 2
Aug 1
Sept 1
Oct 1
Nov 2
Dec 0</t>
        </r>
      </text>
    </comment>
    <comment ref="AD24" authorId="3">
      <text>
        <r>
          <rPr>
            <sz val="8"/>
            <color indexed="81"/>
            <rFont val="Tahoma"/>
            <family val="2"/>
          </rPr>
          <t>2005 JBLU Deliveries: 
A320s
June 2
July 2
Aug 1
Sept 1
Oct 1
Nov 2
Dec 0
and 3 E190 in 3Q.</t>
        </r>
      </text>
    </comment>
    <comment ref="X28" authorId="3">
      <text>
        <r>
          <rPr>
            <b/>
            <sz val="8"/>
            <color indexed="81"/>
            <rFont val="Tahoma"/>
            <family val="2"/>
          </rPr>
          <t xml:space="preserve">10Q- 3Q2004:
</t>
        </r>
        <r>
          <rPr>
            <sz val="8"/>
            <color indexed="81"/>
            <rFont val="Tahoma"/>
            <family val="2"/>
          </rPr>
          <t xml:space="preserve">
Operating revs increased 30.7%, or $75.0 MM due to increase in passenger revs resulting from 37.3% increase in departures, or $97.9 million, partially offset by a 7.4% decrease in yield, or $25.7 million, drove the increase in passenger revenues of $72.2 MM for the three months ended. Lower yields experienced during 2004 and a 0.8 point reduction in load factor were attributable to competitive environment of fare discounting by several major airlines in many of the markets.  These carriers also added back capacity that was taken out in 2003 at the onset of hostilities in Iraq. </t>
        </r>
      </text>
    </comment>
    <comment ref="Z28" authorId="4">
      <text>
        <r>
          <rPr>
            <b/>
            <sz val="10"/>
            <color indexed="81"/>
            <rFont val="Arial"/>
            <family val="2"/>
          </rPr>
          <t>Greene:</t>
        </r>
        <r>
          <rPr>
            <sz val="10"/>
            <color indexed="81"/>
            <rFont val="Arial"/>
            <family val="2"/>
          </rPr>
          <t xml:space="preserve"> We excluded $3.5M in one-time revenue gains from an adjustment in expiring credits for unused flight coupons.</t>
        </r>
      </text>
    </comment>
    <comment ref="DK28" authorId="6">
      <text>
        <r>
          <rPr>
            <b/>
            <sz val="9"/>
            <color indexed="81"/>
            <rFont val="Tahoma"/>
            <family val="2"/>
          </rPr>
          <t>Streger, David W (Research):</t>
        </r>
        <r>
          <rPr>
            <sz val="9"/>
            <color indexed="81"/>
            <rFont val="Tahoma"/>
            <family val="2"/>
          </rPr>
          <t xml:space="preserve">
Operating Income Impact</t>
        </r>
      </text>
    </comment>
    <comment ref="DQ29" authorId="6">
      <text>
        <r>
          <rPr>
            <b/>
            <sz val="9"/>
            <color indexed="81"/>
            <rFont val="Tahoma"/>
            <family val="2"/>
          </rPr>
          <t>Streger, David W (Research):</t>
        </r>
        <r>
          <rPr>
            <sz val="9"/>
            <color indexed="81"/>
            <rFont val="Tahoma"/>
            <family val="2"/>
          </rPr>
          <t xml:space="preserve">
$280M+</t>
        </r>
      </text>
    </comment>
    <comment ref="U30" authorId="2">
      <text>
        <r>
          <rPr>
            <sz val="8"/>
            <color indexed="81"/>
            <rFont val="Tahoma"/>
            <family val="2"/>
          </rPr>
          <t xml:space="preserve">10/24 conf call: RASM should be flat from 3Q03.
</t>
        </r>
      </text>
    </comment>
    <comment ref="AV30" authorId="5">
      <text>
        <r>
          <rPr>
            <b/>
            <sz val="8"/>
            <color indexed="81"/>
            <rFont val="Tahoma"/>
            <family val="2"/>
          </rPr>
          <t>nedgill:</t>
        </r>
        <r>
          <rPr>
            <sz val="8"/>
            <color indexed="81"/>
            <rFont val="Tahoma"/>
            <family val="2"/>
          </rPr>
          <t xml:space="preserve">
adjusted for TrueBlue accounting change on 4Q10 results</t>
        </r>
      </text>
    </comment>
    <comment ref="AW30" authorId="5">
      <text>
        <r>
          <rPr>
            <b/>
            <sz val="8"/>
            <color indexed="81"/>
            <rFont val="Tahoma"/>
            <family val="2"/>
          </rPr>
          <t>nedgill:</t>
        </r>
        <r>
          <rPr>
            <sz val="8"/>
            <color indexed="81"/>
            <rFont val="Tahoma"/>
            <family val="2"/>
          </rPr>
          <t xml:space="preserve">
adjusted for TrueBlue accounting change on 4Q10 results</t>
        </r>
      </text>
    </comment>
    <comment ref="AX30" authorId="5">
      <text>
        <r>
          <rPr>
            <b/>
            <sz val="8"/>
            <color indexed="81"/>
            <rFont val="Tahoma"/>
            <family val="2"/>
          </rPr>
          <t>nedgill:</t>
        </r>
        <r>
          <rPr>
            <sz val="8"/>
            <color indexed="81"/>
            <rFont val="Tahoma"/>
            <family val="2"/>
          </rPr>
          <t xml:space="preserve">
adjusted for TrueBlue accounting change on 4Q10 results</t>
        </r>
      </text>
    </comment>
    <comment ref="AY30" authorId="5">
      <text>
        <r>
          <rPr>
            <b/>
            <sz val="8"/>
            <color indexed="81"/>
            <rFont val="Tahoma"/>
            <family val="2"/>
          </rPr>
          <t>nedgill:</t>
        </r>
        <r>
          <rPr>
            <sz val="8"/>
            <color indexed="81"/>
            <rFont val="Tahoma"/>
            <family val="2"/>
          </rPr>
          <t xml:space="preserve">
adjusted for TrueBlue accounting change on 4Q10 results</t>
        </r>
      </text>
    </comment>
    <comment ref="DN30" authorId="6">
      <text>
        <r>
          <rPr>
            <b/>
            <sz val="9"/>
            <color indexed="81"/>
            <rFont val="Tahoma"/>
            <family val="2"/>
          </rPr>
          <t>Streger, David W (Research):</t>
        </r>
        <r>
          <rPr>
            <sz val="9"/>
            <color indexed="81"/>
            <rFont val="Tahoma"/>
            <family val="2"/>
          </rPr>
          <t xml:space="preserve">
~10% done in Year 1 (Begins in Fall 2017)</t>
        </r>
      </text>
    </comment>
    <comment ref="DO30" authorId="6">
      <text>
        <r>
          <rPr>
            <b/>
            <sz val="9"/>
            <color indexed="81"/>
            <rFont val="Tahoma"/>
            <family val="2"/>
          </rPr>
          <t>Streger, David W (Research):</t>
        </r>
        <r>
          <rPr>
            <sz val="9"/>
            <color indexed="81"/>
            <rFont val="Tahoma"/>
            <family val="2"/>
          </rPr>
          <t xml:space="preserve">
Eyeballing the chart look slike ~35% done by YE2</t>
        </r>
      </text>
    </comment>
    <comment ref="DP30" authorId="6">
      <text>
        <r>
          <rPr>
            <b/>
            <sz val="9"/>
            <color indexed="81"/>
            <rFont val="Tahoma"/>
            <family val="2"/>
          </rPr>
          <t>Streger, David W (Research):</t>
        </r>
        <r>
          <rPr>
            <sz val="9"/>
            <color indexed="81"/>
            <rFont val="Tahoma"/>
            <family val="2"/>
          </rPr>
          <t xml:space="preserve">
Eyeballing the chart look slike ~85% done by YE3</t>
        </r>
      </text>
    </comment>
    <comment ref="AJ31" authorId="4">
      <text>
        <r>
          <rPr>
            <b/>
            <sz val="10"/>
            <color indexed="81"/>
            <rFont val="Arial"/>
            <family val="2"/>
          </rPr>
          <t xml:space="preserve">4Q06: </t>
        </r>
        <r>
          <rPr>
            <sz val="10"/>
            <color indexed="81"/>
            <rFont val="Arial"/>
            <family val="2"/>
          </rPr>
          <t>JBLU expects passenger RASM to rise by 21-23% in 4Q06.</t>
        </r>
      </text>
    </comment>
    <comment ref="DP31" authorId="6">
      <text>
        <r>
          <rPr>
            <b/>
            <sz val="9"/>
            <color indexed="81"/>
            <rFont val="Tahoma"/>
            <family val="2"/>
          </rPr>
          <t>Streger, David W (Research):</t>
        </r>
        <r>
          <rPr>
            <sz val="9"/>
            <color indexed="81"/>
            <rFont val="Tahoma"/>
            <family val="2"/>
          </rPr>
          <t xml:space="preserve">
~$60M run-rate by mid 2019</t>
        </r>
      </text>
    </comment>
    <comment ref="DQ31" authorId="6">
      <text>
        <r>
          <rPr>
            <b/>
            <sz val="9"/>
            <color indexed="81"/>
            <rFont val="Tahoma"/>
            <family val="2"/>
          </rPr>
          <t>Streger, David W (Research):</t>
        </r>
        <r>
          <rPr>
            <sz val="9"/>
            <color indexed="81"/>
            <rFont val="Tahoma"/>
            <family val="2"/>
          </rPr>
          <t xml:space="preserve">
$80M run-rate by 2022
</t>
        </r>
      </text>
    </comment>
    <comment ref="R34" authorId="7">
      <text>
        <r>
          <rPr>
            <sz val="8"/>
            <color indexed="81"/>
            <rFont val="Tahoma"/>
            <family val="2"/>
          </rPr>
          <t>4/03: $4.5 mm of this was in "change fees."
Also, $330K in fees from Frontier for LiveTV.</t>
        </r>
      </text>
    </comment>
    <comment ref="X34" authorId="3">
      <text>
        <r>
          <rPr>
            <b/>
            <sz val="8"/>
            <color indexed="81"/>
            <rFont val="Tahoma"/>
            <family val="2"/>
          </rPr>
          <t xml:space="preserve">10Q- 2Q2004:
</t>
        </r>
        <r>
          <rPr>
            <sz val="8"/>
            <color indexed="81"/>
            <rFont val="Tahoma"/>
            <family val="2"/>
          </rPr>
          <t>Other revs increased 37.6%, or $2.8 MM, due to change fees of $1.2 million resulting from more passengers, increases in LiveTV third party revenues of $0.5 MM and increased concession revs at NYC's JFK, of $0.5 million.</t>
        </r>
      </text>
    </comment>
    <comment ref="BF34" authorId="5">
      <text>
        <r>
          <rPr>
            <b/>
            <sz val="8"/>
            <color indexed="81"/>
            <rFont val="Tahoma"/>
            <family val="2"/>
          </rPr>
          <t>nedgill:</t>
        </r>
        <r>
          <rPr>
            <sz val="8"/>
            <color indexed="81"/>
            <rFont val="Tahoma"/>
            <family val="2"/>
          </rPr>
          <t xml:space="preserve">
includes a one-time $8M true up from the AMEX credit card deal</t>
        </r>
      </text>
    </comment>
    <comment ref="BA40" authorId="5">
      <text>
        <r>
          <rPr>
            <b/>
            <sz val="8"/>
            <color indexed="81"/>
            <rFont val="Tahoma"/>
            <family val="2"/>
          </rPr>
          <t>nedgill:</t>
        </r>
        <r>
          <rPr>
            <sz val="8"/>
            <color indexed="81"/>
            <rFont val="Tahoma"/>
            <family val="2"/>
          </rPr>
          <t xml:space="preserve">
impacted by ~$8M of one-time revenue loss associated with transition to Sabre</t>
        </r>
      </text>
    </comment>
    <comment ref="AA42" authorId="3">
      <text>
        <r>
          <rPr>
            <sz val="8"/>
            <color indexed="81"/>
            <rFont val="Tahoma"/>
            <family val="2"/>
          </rPr>
          <t xml:space="preserve">3Q call:
4Q RASM is expected to be down in the mid to high single digit range YoY.
07/21/2004: same store sales RASM (excluding new markets in which JetBlue has operated for less than one year) fell 5.2%.  </t>
        </r>
      </text>
    </comment>
    <comment ref="S45" authorId="2">
      <text>
        <r>
          <rPr>
            <sz val="8"/>
            <color indexed="81"/>
            <rFont val="Tahoma"/>
            <family val="2"/>
          </rPr>
          <t xml:space="preserve">We adjusted this down to reflect the added profitsharing that was paid due to the gov't aid money.
</t>
        </r>
      </text>
    </comment>
    <comment ref="X45" authorId="3">
      <text>
        <r>
          <rPr>
            <b/>
            <sz val="8"/>
            <color indexed="81"/>
            <rFont val="Tahoma"/>
            <family val="2"/>
          </rPr>
          <t>10Q: 2Q2004</t>
        </r>
        <r>
          <rPr>
            <sz val="8"/>
            <color indexed="81"/>
            <rFont val="Tahoma"/>
            <family val="2"/>
          </rPr>
          <t xml:space="preserve">
Salaries, wages and benefits increased 23.7%, or $16.0 million, in 2004 compared to 2003 due to an increase in average full-time equivalent employees of 35.2%.</t>
        </r>
      </text>
    </comment>
    <comment ref="AE45" authorId="3">
      <text>
        <r>
          <rPr>
            <b/>
            <sz val="8"/>
            <color indexed="81"/>
            <rFont val="Tahoma"/>
            <family val="2"/>
          </rPr>
          <t>falfalkj:</t>
        </r>
        <r>
          <rPr>
            <sz val="8"/>
            <color indexed="81"/>
            <rFont val="Tahoma"/>
            <family val="2"/>
          </rPr>
          <t xml:space="preserve">
non-cash stock stock based compensation rlated to the accelerating of veting of certain employee stock options : $6.9MM</t>
        </r>
      </text>
    </comment>
    <comment ref="BA45" authorId="5">
      <text>
        <r>
          <rPr>
            <b/>
            <sz val="8"/>
            <color indexed="81"/>
            <rFont val="Tahoma"/>
            <family val="2"/>
          </rPr>
          <t>nedgill:</t>
        </r>
        <r>
          <rPr>
            <sz val="8"/>
            <color indexed="81"/>
            <rFont val="Tahoma"/>
            <family val="2"/>
          </rPr>
          <t xml:space="preserve">
includes ~$5M of one-time cost associated with the Sabre cutover</t>
        </r>
      </text>
    </comment>
    <comment ref="AB51" authorId="8">
      <text>
        <r>
          <rPr>
            <b/>
            <sz val="8"/>
            <color indexed="81"/>
            <rFont val="Tahoma"/>
            <family val="2"/>
          </rPr>
          <t xml:space="preserve"> Jeremy Falk:</t>
        </r>
        <r>
          <rPr>
            <sz val="8"/>
            <color indexed="81"/>
            <rFont val="Tahoma"/>
            <family val="2"/>
          </rPr>
          <t xml:space="preserve">
sjpi;d be flat for your.</t>
        </r>
      </text>
    </comment>
    <comment ref="DQ52" authorId="0">
      <text>
        <r>
          <rPr>
            <b/>
            <sz val="9"/>
            <color indexed="81"/>
            <rFont val="Tahoma"/>
            <family val="2"/>
          </rPr>
          <t>Newman, Brendan (Research):</t>
        </r>
        <r>
          <rPr>
            <sz val="9"/>
            <color indexed="81"/>
            <rFont val="Tahoma"/>
            <family val="2"/>
          </rPr>
          <t xml:space="preserve">
assumed based on 12 year 737 Captain at LUV</t>
        </r>
      </text>
    </comment>
    <comment ref="DQ54" authorId="6">
      <text>
        <r>
          <rPr>
            <b/>
            <sz val="9"/>
            <color indexed="81"/>
            <rFont val="Tahoma"/>
            <family val="2"/>
          </rPr>
          <t>Streger, David W (Research):</t>
        </r>
        <r>
          <rPr>
            <sz val="9"/>
            <color indexed="81"/>
            <rFont val="Tahoma"/>
            <family val="2"/>
          </rPr>
          <t xml:space="preserve">
Firmwide 8% raise beginning in Jan 2016 on top of normal compensation process</t>
        </r>
      </text>
    </comment>
    <comment ref="R60" authorId="1">
      <text>
        <r>
          <rPr>
            <sz val="8"/>
            <color indexed="81"/>
            <rFont val="Tahoma"/>
            <family val="2"/>
          </rPr>
          <t xml:space="preserve">4/24/03 conf call: Of 177% growth, $13 mil was from higher fuel expense, $9.9 mil was from more gallons
</t>
        </r>
      </text>
    </comment>
    <comment ref="S60" authorId="1">
      <text>
        <r>
          <rPr>
            <sz val="8"/>
            <color indexed="81"/>
            <rFont val="Tahoma"/>
            <family val="2"/>
          </rPr>
          <t>4/24/03 conf call: 75% hedged. Of this 28% is done with $31 swaps and the rest is collars with $28 tops</t>
        </r>
      </text>
    </comment>
    <comment ref="T60" authorId="1">
      <text>
        <r>
          <rPr>
            <sz val="8"/>
            <color indexed="81"/>
            <rFont val="Tahoma"/>
            <family val="2"/>
          </rPr>
          <t xml:space="preserve">4/24/03 conf call: 83% hedged. Of this, 50% is with $29.50 swaps and the rest is $26 topped collars
7/24/03 conf call: JetBlue is 83% hedged in 3Q and 78% hedged in 4Q using a combination of swaps ($29.50 for half of the volume) and collars ($26 for the other half). </t>
        </r>
      </text>
    </comment>
    <comment ref="U60" authorId="1">
      <text>
        <r>
          <rPr>
            <sz val="8"/>
            <color indexed="81"/>
            <rFont val="Tahoma"/>
            <family val="2"/>
          </rPr>
          <t>4/24/03 conf call: 78% hedged with swaps and collars
7/24/03: see 3Q comment
10/24 conf call: 78% with collars and swaps.. Prices b/w $26.50 and $29.50.</t>
        </r>
      </text>
    </comment>
    <comment ref="W60" authorId="2">
      <text>
        <r>
          <rPr>
            <sz val="8"/>
            <color indexed="81"/>
            <rFont val="Tahoma"/>
            <family val="2"/>
          </rPr>
          <t>1/29/04 call: JBLU about 45% hedged in 1H04 around $25.25</t>
        </r>
      </text>
    </comment>
    <comment ref="X60" authorId="3">
      <text>
        <r>
          <rPr>
            <b/>
            <sz val="8"/>
            <color indexed="81"/>
            <rFont val="Tahoma"/>
            <family val="2"/>
          </rPr>
          <t xml:space="preserve">10Q: 2Q2004
 </t>
        </r>
        <r>
          <rPr>
            <sz val="8"/>
            <color indexed="81"/>
            <rFont val="Tahoma"/>
            <family val="2"/>
          </rPr>
          <t xml:space="preserve">                                                                              </t>
        </r>
        <r>
          <rPr>
            <u/>
            <sz val="8"/>
            <color indexed="81"/>
            <rFont val="Tahoma"/>
            <family val="2"/>
          </rPr>
          <t>2004</t>
        </r>
        <r>
          <rPr>
            <sz val="8"/>
            <color indexed="81"/>
            <rFont val="Tahoma"/>
            <family val="2"/>
          </rPr>
          <t xml:space="preserve">                                         </t>
        </r>
        <r>
          <rPr>
            <u/>
            <sz val="8"/>
            <color indexed="81"/>
            <rFont val="Tahoma"/>
            <family val="2"/>
          </rPr>
          <t>2003</t>
        </r>
        <r>
          <rPr>
            <sz val="8"/>
            <color indexed="81"/>
            <rFont val="Tahoma"/>
            <family val="2"/>
          </rPr>
          <t xml:space="preserve">  
</t>
        </r>
        <r>
          <rPr>
            <b/>
            <sz val="8"/>
            <color indexed="81"/>
            <rFont val="Tahoma"/>
            <family val="2"/>
          </rPr>
          <t xml:space="preserve">At June 30:          
Fair value of derivative instruments   $ 21,187                                      $ 4,446  
Estimated hedged position during the next 12 months   25 %            60 %
Longest remaining term (months)                18                                           18  
Hedged volume (barrels)                             2,760                                       3,375  
</t>
        </r>
        <r>
          <rPr>
            <sz val="8"/>
            <color indexed="81"/>
            <rFont val="Tahoma"/>
            <family val="2"/>
          </rPr>
          <t xml:space="preserve">                                                                                                        </t>
        </r>
        <r>
          <rPr>
            <u/>
            <sz val="8"/>
            <color indexed="81"/>
            <rFont val="Tahoma"/>
            <family val="2"/>
          </rPr>
          <t>3 mnth end</t>
        </r>
        <r>
          <rPr>
            <sz val="8"/>
            <color indexed="81"/>
            <rFont val="Tahoma"/>
            <family val="2"/>
          </rPr>
          <t xml:space="preserve">           </t>
        </r>
        <r>
          <rPr>
            <u/>
            <sz val="8"/>
            <color indexed="81"/>
            <rFont val="Tahoma"/>
            <family val="2"/>
          </rPr>
          <t>6 months ended</t>
        </r>
        <r>
          <rPr>
            <sz val="8"/>
            <color indexed="81"/>
            <rFont val="Tahoma"/>
            <family val="2"/>
          </rPr>
          <t xml:space="preserve">                                                                                                                                       '                                                                                                       2004   2003            2004   2003  
</t>
        </r>
        <r>
          <rPr>
            <b/>
            <sz val="8"/>
            <color indexed="81"/>
            <rFont val="Tahoma"/>
            <family val="2"/>
          </rPr>
          <t xml:space="preserve">                   
Hedge effectiveness gains recog in fuel expense             8,057   (494 )          13,424   559  
Hedge ineffectiveness gains recog in other income           (71 )    976               (45 )   741  
% of actual consumption hedged                                             46 % 73 %              46%  62 %
</t>
        </r>
        <r>
          <rPr>
            <sz val="8"/>
            <color indexed="81"/>
            <rFont val="Tahoma"/>
            <family val="2"/>
          </rPr>
          <t>Aircraft fuel expense increased 76.9%, or $25.0MM, due to 18.3 MM more gallons of aircraft fuel consumed resulting in $14.4 MM of additional fuel expense and, after the impact of fuel hedging, a 22.4% increase in average fuel cost per gallon, or $10.6 million. CASM increased 24.4% primarily due to the increase in average fuel cost per gallon.</t>
        </r>
        <r>
          <rPr>
            <b/>
            <sz val="8"/>
            <color indexed="81"/>
            <rFont val="Tahoma"/>
            <family val="2"/>
          </rPr>
          <t xml:space="preserve">
          </t>
        </r>
      </text>
    </comment>
    <comment ref="Y60" authorId="2">
      <text>
        <r>
          <rPr>
            <sz val="8"/>
            <color indexed="81"/>
            <rFont val="Tahoma"/>
            <family val="2"/>
          </rPr>
          <t xml:space="preserve">07/21/2004: Co. assumes fuel price per gallon will average $0.92 for 3Q04 and full year.  JetBlue is 40% hedged in 2H04 at roughly $25 per barrel.  JBLU has hedged 20% of 2005 fuel under $30.  
1/29/04 call: JBLU is 35% hedged in 2H04 around $25-26
</t>
        </r>
      </text>
    </comment>
    <comment ref="AA60" authorId="1">
      <text>
        <r>
          <rPr>
            <sz val="8"/>
            <color indexed="81"/>
            <rFont val="Tahoma"/>
            <family val="2"/>
          </rPr>
          <t>07/21/2004: Co. assumes fuel price per gallon will average $0.92 for 3Q04 and full year.  JetBlue is 40% hedged in 2H04 at roughly $25 per barrel.  JBLU has hedged 20% of 2005 fuel under $30.  
4/24/03 conf call: JBLU is 44% hedged in 1Q. Of this 57% is done with $24.75 swaps and the rest with $25.75 collars.  JBLU is then 23% and 21% hedged in 2Q and 2H, respectively, with $24.75 swaps.
7/24/03: In 2004, JetBlue is 50% hedged in 1Q (37% collars at $25.75, 63% swaps at $25), 30% hedged in 2Q (all swaps at $24.75) and 21% hedged in the second half of 2004 (all swaps at $24.75). 
October 03: In '04, we're 60% hedged in the first half, 50% hedged in the back half of the year.</t>
        </r>
      </text>
    </comment>
    <comment ref="AF60" authorId="3">
      <text>
        <r>
          <rPr>
            <sz val="8"/>
            <color indexed="81"/>
            <rFont val="Tahoma"/>
            <family val="2"/>
          </rPr>
          <t xml:space="preserve">2004 10K: 2005 hedged: 22%.  Assuming fuel prices of $1.17 per gallon, net of hedging, CASM is expected to be slightly higher than 2004. </t>
        </r>
      </text>
    </comment>
    <comment ref="AT60" authorId="5">
      <text>
        <r>
          <rPr>
            <b/>
            <sz val="8"/>
            <color indexed="81"/>
            <rFont val="Tahoma"/>
            <family val="2"/>
          </rPr>
          <t>nedgill:</t>
        </r>
        <r>
          <rPr>
            <sz val="8"/>
            <color indexed="81"/>
            <rFont val="Tahoma"/>
            <family val="2"/>
          </rPr>
          <t xml:space="preserve">
fuel taxes reclassified into fuel expense from other op expense in 4Q09 release</t>
        </r>
      </text>
    </comment>
    <comment ref="AV60" authorId="5">
      <text>
        <r>
          <rPr>
            <b/>
            <sz val="8"/>
            <color indexed="81"/>
            <rFont val="Tahoma"/>
            <family val="2"/>
          </rPr>
          <t>nedgill:</t>
        </r>
        <r>
          <rPr>
            <sz val="8"/>
            <color indexed="81"/>
            <rFont val="Tahoma"/>
            <family val="2"/>
          </rPr>
          <t xml:space="preserve">
some fuel expense reclassified from other expense to fuel</t>
        </r>
      </text>
    </comment>
    <comment ref="AW60" authorId="5">
      <text>
        <r>
          <rPr>
            <b/>
            <sz val="8"/>
            <color indexed="81"/>
            <rFont val="Tahoma"/>
            <family val="2"/>
          </rPr>
          <t>nedgill:</t>
        </r>
        <r>
          <rPr>
            <sz val="8"/>
            <color indexed="81"/>
            <rFont val="Tahoma"/>
            <family val="2"/>
          </rPr>
          <t xml:space="preserve">
some fuel expense reclassified from other expense to fuel</t>
        </r>
      </text>
    </comment>
    <comment ref="AX60" authorId="5">
      <text>
        <r>
          <rPr>
            <b/>
            <sz val="8"/>
            <color indexed="81"/>
            <rFont val="Tahoma"/>
            <family val="2"/>
          </rPr>
          <t>nedgill:</t>
        </r>
        <r>
          <rPr>
            <sz val="8"/>
            <color indexed="81"/>
            <rFont val="Tahoma"/>
            <family val="2"/>
          </rPr>
          <t xml:space="preserve">
some fuel expense reclassified from other expense to fuel</t>
        </r>
      </text>
    </comment>
    <comment ref="S62" authorId="1">
      <text>
        <r>
          <rPr>
            <sz val="8"/>
            <color indexed="81"/>
            <rFont val="Tahoma"/>
            <family val="2"/>
          </rPr>
          <t>4/24/03 conf call: company assuming fuel in 2Q will be 76 cents before heding and fees
7/24/03 earnings: reported 79.01</t>
        </r>
      </text>
    </comment>
    <comment ref="T62" authorId="2">
      <text>
        <r>
          <rPr>
            <sz val="8"/>
            <color indexed="81"/>
            <rFont val="Tahoma"/>
            <family val="2"/>
          </rPr>
          <t xml:space="preserve">7/24 conf call: company margin/CASM forecasts assume an all-in price of $0.79 per gallon in 3Q and 4Q
</t>
        </r>
      </text>
    </comment>
    <comment ref="U62" authorId="2">
      <text>
        <r>
          <rPr>
            <sz val="8"/>
            <color indexed="81"/>
            <rFont val="Tahoma"/>
            <family val="2"/>
          </rPr>
          <t xml:space="preserve">10/24 conf call: expecting an all-in 79 cent fuel price.
</t>
        </r>
      </text>
    </comment>
    <comment ref="W62" authorId="2">
      <text>
        <r>
          <rPr>
            <sz val="8"/>
            <color indexed="81"/>
            <rFont val="Tahoma"/>
            <family val="2"/>
          </rPr>
          <t xml:space="preserve">1/29/04 call: JBLU forecasting all-in price of 85 cents
</t>
        </r>
      </text>
    </comment>
    <comment ref="AA62" authorId="2">
      <text>
        <r>
          <rPr>
            <sz val="8"/>
            <color indexed="81"/>
            <rFont val="Tahoma"/>
            <family val="2"/>
          </rPr>
          <t xml:space="preserve">3Q call: fuel price per gallon will average $1.30 for 4Q04 and full year.  JetBlue is 35% hedged in 4Q04 at $25 per barrel and hedged 20% of 2005 fuel needs under $30/bbl.
1/29/04 call: JBLU forecasting all in price of 85 cents
</t>
        </r>
      </text>
    </comment>
    <comment ref="AF62" authorId="3">
      <text>
        <r>
          <rPr>
            <b/>
            <sz val="8"/>
            <color indexed="81"/>
            <rFont val="Tahoma"/>
            <family val="2"/>
          </rPr>
          <t xml:space="preserve">4Q04 c/c: </t>
        </r>
        <r>
          <rPr>
            <sz val="8"/>
            <color indexed="81"/>
            <rFont val="Tahoma"/>
            <family val="2"/>
          </rPr>
          <t xml:space="preserve">20% hedged in 2005 at just under $30/barrel with swaps.  </t>
        </r>
      </text>
    </comment>
    <comment ref="AG62" authorId="9">
      <text>
        <r>
          <rPr>
            <b/>
            <sz val="8"/>
            <color indexed="81"/>
            <rFont val="Tahoma"/>
            <family val="2"/>
          </rPr>
          <t>godjohn:</t>
        </r>
        <r>
          <rPr>
            <sz val="8"/>
            <color indexed="81"/>
            <rFont val="Tahoma"/>
            <family val="2"/>
          </rPr>
          <t xml:space="preserve">
</t>
        </r>
      </text>
    </comment>
    <comment ref="AH62" authorId="4">
      <text>
        <r>
          <rPr>
            <b/>
            <sz val="10"/>
            <color indexed="81"/>
            <rFont val="Arial"/>
            <family val="2"/>
          </rPr>
          <t>2006-04:</t>
        </r>
        <r>
          <rPr>
            <sz val="10"/>
            <color indexed="81"/>
            <rFont val="Arial"/>
            <family val="2"/>
          </rPr>
          <t xml:space="preserve"> JBLU guidance based upon an assumed all-in fuel price of $2.10 per gallon.
JBLU has 24% of its fuel needs hedged in 2Q06 at $1.73 per gallon.</t>
        </r>
      </text>
    </comment>
    <comment ref="AF75" authorId="3">
      <text>
        <r>
          <rPr>
            <b/>
            <sz val="8"/>
            <color indexed="81"/>
            <rFont val="Tahoma"/>
            <family val="2"/>
          </rPr>
          <t>falfalkj:</t>
        </r>
        <r>
          <rPr>
            <sz val="8"/>
            <color indexed="81"/>
            <rFont val="Tahoma"/>
            <family val="2"/>
          </rPr>
          <t xml:space="preserve">
should be 310.</t>
        </r>
      </text>
    </comment>
    <comment ref="AE78" authorId="10">
      <text>
        <r>
          <rPr>
            <b/>
            <sz val="8"/>
            <color indexed="81"/>
            <rFont val="Tahoma"/>
            <family val="2"/>
          </rPr>
          <t>bharadwa:</t>
        </r>
        <r>
          <rPr>
            <sz val="8"/>
            <color indexed="81"/>
            <rFont val="Tahoma"/>
            <family val="2"/>
          </rPr>
          <t xml:space="preserve">
increase due to entry into service of E190s</t>
        </r>
      </text>
    </comment>
    <comment ref="X81" authorId="3">
      <text>
        <r>
          <rPr>
            <b/>
            <sz val="8"/>
            <color indexed="81"/>
            <rFont val="Tahoma"/>
            <family val="2"/>
          </rPr>
          <t xml:space="preserve">10Q: 2Q2004
</t>
        </r>
        <r>
          <rPr>
            <sz val="8"/>
            <color indexed="81"/>
            <rFont val="Tahoma"/>
            <family val="2"/>
          </rPr>
          <t>Aircraft rent increased 19.0%, or $2.8 MM, due to 4.6 more average aircraft under operating leases during the three months ended June 30, 2004 compared to 2003. CASM decreased 16.3%  due to a lower % of a/c fleet being leased.</t>
        </r>
      </text>
    </comment>
    <comment ref="Y81" authorId="3">
      <text>
        <r>
          <rPr>
            <b/>
            <sz val="8"/>
            <color indexed="81"/>
            <rFont val="Tahoma"/>
            <family val="2"/>
          </rPr>
          <t xml:space="preserve">3Q10Q:
</t>
        </r>
        <r>
          <rPr>
            <sz val="8"/>
            <color indexed="81"/>
            <rFont val="Tahoma"/>
            <family val="2"/>
          </rPr>
          <t xml:space="preserve">increased 12.0%, due to having 3.0 more a/c under operating leases during the quarter. CASM decreased 16.0% due to a lower percentage of aircraft fleet being leased.
</t>
        </r>
        <r>
          <rPr>
            <b/>
            <sz val="8"/>
            <color indexed="81"/>
            <rFont val="Tahoma"/>
            <family val="2"/>
          </rPr>
          <t xml:space="preserve">
</t>
        </r>
      </text>
    </comment>
    <comment ref="P86" authorId="2">
      <text>
        <r>
          <rPr>
            <sz val="8"/>
            <color indexed="81"/>
            <rFont val="Tahoma"/>
            <family val="2"/>
          </rPr>
          <t xml:space="preserve">3Q 10Q: 4Q02 D&amp;A expense will increase by 1.6 million dollars to reflect existing assets and fixed tech acquired from LiveTV
</t>
        </r>
      </text>
    </comment>
    <comment ref="X86" authorId="3">
      <text>
        <r>
          <rPr>
            <b/>
            <sz val="8"/>
            <color indexed="81"/>
            <rFont val="Tahoma"/>
            <family val="2"/>
          </rPr>
          <t xml:space="preserve">10Q: 2Q2004
</t>
        </r>
        <r>
          <rPr>
            <sz val="8"/>
            <color indexed="81"/>
            <rFont val="Tahoma"/>
            <family val="2"/>
          </rPr>
          <t>D&amp;A increased 52.0%, or $6.0 MM, due to 12.4 more average owned aircraft during the three months ended June 30, 2004 compared to the same period in 2003. CASM increased 6.9% primarily due to a higher percentage of our aircraft fleet being owned.</t>
        </r>
      </text>
    </comment>
    <comment ref="DL87" authorId="6">
      <text>
        <r>
          <rPr>
            <b/>
            <sz val="9"/>
            <color indexed="81"/>
            <rFont val="Tahoma"/>
            <family val="2"/>
          </rPr>
          <t>Streger, David W (Research):</t>
        </r>
        <r>
          <rPr>
            <sz val="9"/>
            <color indexed="81"/>
            <rFont val="Tahoma"/>
            <family val="2"/>
          </rPr>
          <t xml:space="preserve">
Based on 10K and latest 10Q</t>
        </r>
      </text>
    </comment>
    <comment ref="U91" authorId="2">
      <text>
        <r>
          <rPr>
            <sz val="8"/>
            <color indexed="81"/>
            <rFont val="Tahoma"/>
            <family val="2"/>
          </rPr>
          <t xml:space="preserve">10/24 conf call: JBLU will perform 9 heavy C4 checks this quarter. Each costs $400K. This is up from 7 last qtr.
</t>
        </r>
      </text>
    </comment>
    <comment ref="X91" authorId="3">
      <text>
        <r>
          <rPr>
            <b/>
            <sz val="8"/>
            <color indexed="81"/>
            <rFont val="Tahoma"/>
            <family val="2"/>
          </rPr>
          <t xml:space="preserve">10Q: 2Q2004
</t>
        </r>
        <r>
          <rPr>
            <sz val="8"/>
            <color indexed="81"/>
            <rFont val="Tahoma"/>
            <family val="2"/>
          </rPr>
          <t>Maintenance materials and repairs increased 56.4%, or $3.0 MM, due to 17.0 more average operating a/c in 2004 compared to the same period in 2003 and a gradual aging of the fleet. CASM increased 10.0% due to the completion of 11 airframe checks in 2004 compared to eight in 2003, as well as increased engine and component repairs.</t>
        </r>
      </text>
    </comment>
    <comment ref="Z91" authorId="3">
      <text>
        <r>
          <rPr>
            <sz val="8"/>
            <color indexed="81"/>
            <rFont val="Tahoma"/>
            <family val="2"/>
          </rPr>
          <t xml:space="preserve">4Q maintenance expense per ASM is expected to be 35% higher YoY. </t>
        </r>
      </text>
    </comment>
    <comment ref="AA91" authorId="2">
      <text>
        <r>
          <rPr>
            <sz val="8"/>
            <color indexed="81"/>
            <rFont val="Tahoma"/>
            <family val="2"/>
          </rPr>
          <t xml:space="preserve">10/24 conf call: more heavy C4 checks coming. 
</t>
        </r>
      </text>
    </comment>
    <comment ref="AA94" authorId="2">
      <text>
        <r>
          <rPr>
            <sz val="8"/>
            <color indexed="81"/>
            <rFont val="Tahoma"/>
            <family val="2"/>
          </rPr>
          <t xml:space="preserve">1/29/04 call: Maint will increase 0.1 cent per ASM in 04
</t>
        </r>
      </text>
    </comment>
    <comment ref="O96" authorId="2">
      <text>
        <r>
          <rPr>
            <sz val="8"/>
            <color indexed="81"/>
            <rFont val="Tahoma"/>
            <family val="2"/>
          </rPr>
          <t xml:space="preserve">11/02: JBLU took over whole Terminal 6 at JFK. 
</t>
        </r>
      </text>
    </comment>
    <comment ref="X96" authorId="3">
      <text>
        <r>
          <rPr>
            <b/>
            <sz val="8"/>
            <color indexed="81"/>
            <rFont val="Tahoma"/>
            <family val="2"/>
          </rPr>
          <t xml:space="preserve">10Q: 2Q2004
</t>
        </r>
        <r>
          <rPr>
            <sz val="8"/>
            <color indexed="81"/>
            <rFont val="Tahoma"/>
            <family val="2"/>
          </rPr>
          <t>Landing fees and other rents increased 34.1%, or $5.6 million, due to a 37.3% increase in departures over 2003. Cost per available seat mile decreased 5.7% due to higher capacity and an increase in average stage length.</t>
        </r>
      </text>
    </comment>
    <comment ref="DJ101" authorId="6">
      <text>
        <r>
          <rPr>
            <b/>
            <sz val="9"/>
            <color indexed="81"/>
            <rFont val="Tahoma"/>
            <family val="2"/>
          </rPr>
          <t>Streger, David W (Research):</t>
        </r>
        <r>
          <rPr>
            <sz val="9"/>
            <color indexed="81"/>
            <rFont val="Tahoma"/>
            <family val="2"/>
          </rPr>
          <t xml:space="preserve">
Deliveries to come in new configuration
</t>
        </r>
      </text>
    </comment>
    <comment ref="X102" authorId="3">
      <text>
        <r>
          <rPr>
            <b/>
            <sz val="8"/>
            <color indexed="81"/>
            <rFont val="Tahoma"/>
            <family val="2"/>
          </rPr>
          <t xml:space="preserve">10Q: 2Q2004
</t>
        </r>
        <r>
          <rPr>
            <sz val="8"/>
            <color indexed="81"/>
            <rFont val="Tahoma"/>
            <family val="2"/>
          </rPr>
          <t>Sales and marketing expense increased 26.1%, or $3.8 million, due to higher credit card fees resulting from increased passenger revenues. On a cost per available seat mile basis, sales and marketing expense decreased 11.3% due to increases in capacity exceeding increases in advertising costs. We booked substantially all of our reservations through a combination of our website (75.2% in 2004) and our own reservation agents (23.1% in 2004).</t>
        </r>
      </text>
    </comment>
    <comment ref="Y102" authorId="3">
      <text>
        <r>
          <rPr>
            <b/>
            <sz val="8"/>
            <color indexed="81"/>
            <rFont val="Tahoma"/>
            <family val="2"/>
          </rPr>
          <t>3Q10Q:</t>
        </r>
        <r>
          <rPr>
            <sz val="8"/>
            <color indexed="81"/>
            <rFont val="Tahoma"/>
            <family val="2"/>
          </rPr>
          <t xml:space="preserve">
 decreased 2.7% due to $2.1 million in lower advertising offset by $1.7 million in higher credit card fees resulting from increased passenger revenues. JBLU booked the reservations through a combination of website (75.0% in 2004) and own reservation agents (23.3% in 2004).</t>
        </r>
      </text>
    </comment>
    <comment ref="AB102" authorId="3">
      <text>
        <r>
          <rPr>
            <sz val="8"/>
            <color indexed="81"/>
            <rFont val="Tahoma"/>
            <family val="2"/>
          </rPr>
          <t>1 new city.
light.</t>
        </r>
      </text>
    </comment>
    <comment ref="O103" authorId="2">
      <text>
        <r>
          <rPr>
            <sz val="8"/>
            <color indexed="81"/>
            <rFont val="Tahoma"/>
            <family val="2"/>
          </rPr>
          <t xml:space="preserve">11/02: JBLU took over whole Terminal 6 at JFK. 
</t>
        </r>
      </text>
    </comment>
    <comment ref="X103" authorId="3">
      <text>
        <r>
          <rPr>
            <b/>
            <sz val="8"/>
            <color indexed="81"/>
            <rFont val="Tahoma"/>
            <family val="2"/>
          </rPr>
          <t xml:space="preserve">10Q: 2Q2004
</t>
        </r>
        <r>
          <rPr>
            <sz val="8"/>
            <color indexed="81"/>
            <rFont val="Tahoma"/>
            <family val="2"/>
          </rPr>
          <t>Landing fees and other rents increased 34.1%, or $5.6 million, due to a 37.3% increase in departures over 2003. Cost per available seat mile decreased 5.7% due to higher capacity and an increase in average stage length.</t>
        </r>
      </text>
    </comment>
    <comment ref="R104" authorId="1">
      <text>
        <r>
          <rPr>
            <sz val="8"/>
            <color indexed="81"/>
            <rFont val="Tahoma"/>
            <family val="2"/>
          </rPr>
          <t xml:space="preserve">4/24/03 conf call: Saved $900K in charge-backs
</t>
        </r>
      </text>
    </comment>
    <comment ref="AE104" authorId="3">
      <text>
        <r>
          <rPr>
            <b/>
            <sz val="8"/>
            <color indexed="81"/>
            <rFont val="Tahoma"/>
            <family val="2"/>
          </rPr>
          <t>falfalkj:</t>
        </r>
        <r>
          <rPr>
            <sz val="8"/>
            <color indexed="81"/>
            <rFont val="Tahoma"/>
            <family val="2"/>
          </rPr>
          <t xml:space="preserve">
$6.1MM: charge for development costs related to a maintenance and inventory tracking system that will not be implemented.</t>
        </r>
      </text>
    </comment>
    <comment ref="AS104" authorId="5">
      <text>
        <r>
          <rPr>
            <b/>
            <sz val="8"/>
            <color indexed="81"/>
            <rFont val="Tahoma"/>
            <family val="2"/>
          </rPr>
          <t>nedgill:</t>
        </r>
        <r>
          <rPr>
            <sz val="8"/>
            <color indexed="81"/>
            <rFont val="Tahoma"/>
            <family val="2"/>
          </rPr>
          <t xml:space="preserve">
had a 7M tax credit benefit in this quarter</t>
        </r>
      </text>
    </comment>
    <comment ref="AT104" authorId="5">
      <text>
        <r>
          <rPr>
            <b/>
            <sz val="8"/>
            <color indexed="81"/>
            <rFont val="Tahoma"/>
            <family val="2"/>
          </rPr>
          <t>nedgill:</t>
        </r>
        <r>
          <rPr>
            <sz val="8"/>
            <color indexed="81"/>
            <rFont val="Tahoma"/>
            <family val="2"/>
          </rPr>
          <t xml:space="preserve">
fuel taxes reclassified into fuel expense from other op expense in 4Q09 release</t>
        </r>
      </text>
    </comment>
    <comment ref="AV104" authorId="5">
      <text>
        <r>
          <rPr>
            <b/>
            <sz val="8"/>
            <color indexed="81"/>
            <rFont val="Tahoma"/>
            <family val="2"/>
          </rPr>
          <t>nedgill:</t>
        </r>
        <r>
          <rPr>
            <sz val="8"/>
            <color indexed="81"/>
            <rFont val="Tahoma"/>
            <family val="2"/>
          </rPr>
          <t xml:space="preserve">
some fuel expense reclassified from other expense to fuel</t>
        </r>
      </text>
    </comment>
    <comment ref="AW104" authorId="5">
      <text>
        <r>
          <rPr>
            <b/>
            <sz val="8"/>
            <color indexed="81"/>
            <rFont val="Tahoma"/>
            <family val="2"/>
          </rPr>
          <t>nedgill:</t>
        </r>
        <r>
          <rPr>
            <sz val="8"/>
            <color indexed="81"/>
            <rFont val="Tahoma"/>
            <family val="2"/>
          </rPr>
          <t xml:space="preserve">
benefitted from 11M in tax incentives in the quarter
some other expense reclassified to fuel</t>
        </r>
      </text>
    </comment>
    <comment ref="AX104" authorId="5">
      <text>
        <r>
          <rPr>
            <b/>
            <sz val="8"/>
            <color indexed="81"/>
            <rFont val="Tahoma"/>
            <family val="2"/>
          </rPr>
          <t>nedgill:</t>
        </r>
        <r>
          <rPr>
            <sz val="8"/>
            <color indexed="81"/>
            <rFont val="Tahoma"/>
            <family val="2"/>
          </rPr>
          <t xml:space="preserve">
some fuel expense reclassified from other expense to fuel</t>
        </r>
      </text>
    </comment>
    <comment ref="BA104" authorId="5">
      <text>
        <r>
          <rPr>
            <b/>
            <sz val="8"/>
            <color indexed="81"/>
            <rFont val="Tahoma"/>
            <family val="2"/>
          </rPr>
          <t>nedgill:</t>
        </r>
        <r>
          <rPr>
            <sz val="8"/>
            <color indexed="81"/>
            <rFont val="Tahoma"/>
            <family val="2"/>
          </rPr>
          <t xml:space="preserve">
includes ~$10M one-time costs associated with transition to Sabre</t>
        </r>
      </text>
    </comment>
    <comment ref="BC104" authorId="5">
      <text>
        <r>
          <rPr>
            <b/>
            <sz val="8"/>
            <color indexed="81"/>
            <rFont val="Tahoma"/>
            <family val="2"/>
          </rPr>
          <t>nedgill:</t>
        </r>
        <r>
          <rPr>
            <sz val="8"/>
            <color indexed="81"/>
            <rFont val="Tahoma"/>
            <family val="2"/>
          </rPr>
          <t xml:space="preserve">
LiveTV liscense charge of $6M</t>
        </r>
      </text>
    </comment>
    <comment ref="BD104" authorId="5">
      <text>
        <r>
          <rPr>
            <b/>
            <sz val="8"/>
            <color indexed="81"/>
            <rFont val="Tahoma"/>
            <family val="2"/>
          </rPr>
          <t>nedgill:</t>
        </r>
        <r>
          <rPr>
            <sz val="8"/>
            <color indexed="81"/>
            <rFont val="Tahoma"/>
            <family val="2"/>
          </rPr>
          <t xml:space="preserve">
$5M Airbus deferral charge; includes snowstorm impact</t>
        </r>
      </text>
    </comment>
    <comment ref="AA105" authorId="3">
      <text>
        <r>
          <rPr>
            <sz val="8"/>
            <color indexed="81"/>
            <rFont val="Tahoma"/>
            <family val="2"/>
          </rPr>
          <t>07/21/2004: CASM will be decline 2004 by 2%.</t>
        </r>
      </text>
    </comment>
    <comment ref="S108" authorId="1">
      <text>
        <r>
          <rPr>
            <sz val="8"/>
            <color indexed="81"/>
            <rFont val="Tahoma"/>
            <family val="2"/>
          </rPr>
          <t xml:space="preserve">4/24/03 conf call: flat to slightly down
</t>
        </r>
      </text>
    </comment>
    <comment ref="T108" authorId="2">
      <text>
        <r>
          <rPr>
            <sz val="8"/>
            <color indexed="81"/>
            <rFont val="Tahoma"/>
            <family val="2"/>
          </rPr>
          <t xml:space="preserve">7/24 conf call: down slightly from 2Q CASM
</t>
        </r>
      </text>
    </comment>
    <comment ref="U108" authorId="2">
      <text>
        <r>
          <rPr>
            <sz val="8"/>
            <color indexed="81"/>
            <rFont val="Tahoma"/>
            <family val="2"/>
          </rPr>
          <t xml:space="preserve">10/24 conf call: will drop 2-3% YoY
</t>
        </r>
      </text>
    </comment>
    <comment ref="V108" authorId="1">
      <text>
        <r>
          <rPr>
            <sz val="8"/>
            <color indexed="81"/>
            <rFont val="Tahoma"/>
            <family val="2"/>
          </rPr>
          <t>4/24/03 conf call: flat to slightly down
7/24 conf call: flat</t>
        </r>
      </text>
    </comment>
    <comment ref="W108" authorId="2">
      <text>
        <r>
          <rPr>
            <sz val="8"/>
            <color indexed="81"/>
            <rFont val="Tahoma"/>
            <family val="2"/>
          </rPr>
          <t xml:space="preserve">1/29/04 call: CASM will rise 1.5%
</t>
        </r>
      </text>
    </comment>
    <comment ref="Z108" authorId="3">
      <text>
        <r>
          <rPr>
            <b/>
            <sz val="8"/>
            <color indexed="81"/>
            <rFont val="Tahoma"/>
            <family val="2"/>
          </rPr>
          <t xml:space="preserve">3Q call: </t>
        </r>
        <r>
          <rPr>
            <sz val="8"/>
            <color indexed="81"/>
            <rFont val="Tahoma"/>
            <family val="2"/>
          </rPr>
          <t>4Q04 CASM will increase 6% YoY.</t>
        </r>
      </text>
    </comment>
    <comment ref="AA108" authorId="2">
      <text>
        <r>
          <rPr>
            <sz val="8"/>
            <color indexed="81"/>
            <rFont val="Tahoma"/>
            <family val="2"/>
          </rPr>
          <t xml:space="preserve">1/29/04 call: CASM will rise 1-2%
</t>
        </r>
      </text>
    </comment>
    <comment ref="AG108" authorId="3">
      <text>
        <r>
          <rPr>
            <b/>
            <sz val="10"/>
            <color indexed="81"/>
            <rFont val="Arial"/>
            <family val="2"/>
          </rPr>
          <t xml:space="preserve">2005-4Q: </t>
        </r>
        <r>
          <rPr>
            <sz val="10"/>
            <color indexed="81"/>
            <rFont val="Arial"/>
            <family val="2"/>
          </rPr>
          <t>YoY CASM expected to increase 17-19% YoY.</t>
        </r>
      </text>
    </comment>
    <comment ref="AH108" authorId="4">
      <text>
        <r>
          <rPr>
            <b/>
            <sz val="10"/>
            <color indexed="81"/>
            <rFont val="Arial"/>
            <family val="2"/>
          </rPr>
          <t xml:space="preserve">2006-04: </t>
        </r>
        <r>
          <rPr>
            <sz val="10"/>
            <color indexed="81"/>
            <rFont val="Arial"/>
            <family val="2"/>
          </rPr>
          <t>JBLU expects operating CASM to be up 19-20% in 2Q06, based upon a fuel price of $2.10 per gallon</t>
        </r>
      </text>
    </comment>
    <comment ref="AI108" authorId="4">
      <text>
        <r>
          <rPr>
            <b/>
            <sz val="10"/>
            <color indexed="81"/>
            <rFont val="Arial"/>
            <family val="2"/>
          </rPr>
          <t xml:space="preserve">2006-07: </t>
        </r>
        <r>
          <rPr>
            <sz val="10"/>
            <color indexed="81"/>
            <rFont val="Arial"/>
            <family val="2"/>
          </rPr>
          <t>JBLU expects operating CASM to be up 17-19% in 3Q06, based upon a fuel price of $2.20 per gallon</t>
        </r>
      </text>
    </comment>
    <comment ref="AK108" authorId="3">
      <text>
        <r>
          <rPr>
            <b/>
            <sz val="10"/>
            <color indexed="81"/>
            <rFont val="Arial"/>
            <family val="2"/>
          </rPr>
          <t xml:space="preserve">July 2006: </t>
        </r>
        <r>
          <rPr>
            <sz val="10"/>
            <color indexed="81"/>
            <rFont val="Arial"/>
            <family val="2"/>
          </rPr>
          <t>CASM increasing between 14-16% YoY.</t>
        </r>
      </text>
    </comment>
    <comment ref="AB109" authorId="8">
      <text>
        <r>
          <rPr>
            <b/>
            <sz val="8"/>
            <color indexed="81"/>
            <rFont val="Tahoma"/>
            <family val="2"/>
          </rPr>
          <t xml:space="preserve">1Q05 conf call:  </t>
        </r>
        <r>
          <rPr>
            <sz val="8"/>
            <color indexed="81"/>
            <rFont val="Tahoma"/>
            <family val="2"/>
          </rPr>
          <t>JBLU mngmnt indicated that CASM should increase 12% YoY.</t>
        </r>
        <r>
          <rPr>
            <sz val="8"/>
            <color indexed="81"/>
            <rFont val="Tahoma"/>
            <family val="2"/>
          </rPr>
          <t xml:space="preserve">
</t>
        </r>
      </text>
    </comment>
    <comment ref="AF109" authorId="8">
      <text>
        <r>
          <rPr>
            <b/>
            <sz val="8"/>
            <color indexed="81"/>
            <rFont val="Tahoma"/>
            <family val="2"/>
          </rPr>
          <t xml:space="preserve">1Q05 conf call:  </t>
        </r>
        <r>
          <rPr>
            <sz val="8"/>
            <color indexed="81"/>
            <rFont val="Tahoma"/>
            <family val="2"/>
          </rPr>
          <t>JBLU mngmnt indicated that CASM should increase 8-10% YoY.</t>
        </r>
      </text>
    </comment>
    <comment ref="AJ109" authorId="9">
      <text>
        <r>
          <rPr>
            <b/>
            <sz val="8"/>
            <color indexed="81"/>
            <rFont val="Tahoma"/>
            <family val="2"/>
          </rPr>
          <t>3Q06:</t>
        </r>
        <r>
          <rPr>
            <sz val="8"/>
            <color indexed="81"/>
            <rFont val="Tahoma"/>
            <family val="2"/>
          </rPr>
          <t xml:space="preserve">
6-8% CASM growth</t>
        </r>
      </text>
    </comment>
    <comment ref="AK109" authorId="9">
      <text>
        <r>
          <rPr>
            <b/>
            <sz val="8"/>
            <color indexed="81"/>
            <rFont val="Tahoma"/>
            <family val="2"/>
          </rPr>
          <t>3Q06:</t>
        </r>
        <r>
          <rPr>
            <sz val="8"/>
            <color indexed="81"/>
            <rFont val="Tahoma"/>
            <family val="2"/>
          </rPr>
          <t xml:space="preserve">
13-15% FY growth</t>
        </r>
      </text>
    </comment>
    <comment ref="AL109" authorId="9">
      <text>
        <r>
          <rPr>
            <b/>
            <sz val="8"/>
            <color indexed="81"/>
            <rFont val="Tahoma"/>
            <family val="2"/>
          </rPr>
          <t>godjohn:</t>
        </r>
        <r>
          <rPr>
            <sz val="8"/>
            <color indexed="81"/>
            <rFont val="Tahoma"/>
            <family val="2"/>
          </rPr>
          <t xml:space="preserve">
inv update 7-9%</t>
        </r>
      </text>
    </comment>
    <comment ref="AM109" authorId="9">
      <text>
        <r>
          <rPr>
            <b/>
            <sz val="8"/>
            <color indexed="81"/>
            <rFont val="Tahoma"/>
            <family val="2"/>
          </rPr>
          <t>godjohn:</t>
        </r>
        <r>
          <rPr>
            <sz val="8"/>
            <color indexed="81"/>
            <rFont val="Tahoma"/>
            <family val="2"/>
          </rPr>
          <t xml:space="preserve">
4-6% as of june</t>
        </r>
      </text>
    </comment>
    <comment ref="AO109" authorId="9">
      <text>
        <r>
          <rPr>
            <b/>
            <sz val="8"/>
            <color indexed="81"/>
            <rFont val="Tahoma"/>
            <family val="2"/>
          </rPr>
          <t>godjohn:</t>
        </r>
        <r>
          <rPr>
            <sz val="8"/>
            <color indexed="81"/>
            <rFont val="Tahoma"/>
            <family val="2"/>
          </rPr>
          <t xml:space="preserve">
3Q07 update 11-13%</t>
        </r>
      </text>
    </comment>
    <comment ref="AP109" authorId="9">
      <text>
        <r>
          <rPr>
            <b/>
            <sz val="8"/>
            <color indexed="81"/>
            <rFont val="Tahoma"/>
            <family val="2"/>
          </rPr>
          <t>godjohn:</t>
        </r>
        <r>
          <rPr>
            <sz val="8"/>
            <color indexed="81"/>
            <rFont val="Tahoma"/>
            <family val="2"/>
          </rPr>
          <t xml:space="preserve">
3Q07 6-8%</t>
        </r>
      </text>
    </comment>
    <comment ref="AG110" authorId="3">
      <text>
        <r>
          <rPr>
            <b/>
            <sz val="10"/>
            <color indexed="81"/>
            <rFont val="Arial"/>
            <family val="2"/>
          </rPr>
          <t xml:space="preserve">2005-4Q: </t>
        </r>
        <r>
          <rPr>
            <sz val="10"/>
            <color indexed="81"/>
            <rFont val="Arial"/>
            <family val="2"/>
          </rPr>
          <t>CASM ex fuel is forecasted to increase 6-8% YoY.</t>
        </r>
      </text>
    </comment>
    <comment ref="AH110" authorId="4">
      <text>
        <r>
          <rPr>
            <b/>
            <sz val="10"/>
            <color indexed="81"/>
            <rFont val="Arial"/>
            <family val="2"/>
          </rPr>
          <t xml:space="preserve">2006-04: </t>
        </r>
        <r>
          <rPr>
            <sz val="10"/>
            <color indexed="81"/>
            <rFont val="Arial"/>
            <family val="2"/>
          </rPr>
          <t>JBLU expects  CASM ex-fuel to be up 9-11% in 2Q06.</t>
        </r>
      </text>
    </comment>
    <comment ref="AI110" authorId="4">
      <text>
        <r>
          <rPr>
            <b/>
            <sz val="10"/>
            <color indexed="81"/>
            <rFont val="Arial"/>
            <family val="2"/>
          </rPr>
          <t xml:space="preserve">2006-04: </t>
        </r>
        <r>
          <rPr>
            <sz val="10"/>
            <color indexed="81"/>
            <rFont val="Arial"/>
            <family val="2"/>
          </rPr>
          <t>JBLU expects  CASM ex-fuel to be up 8-10% in 3Q06.</t>
        </r>
      </text>
    </comment>
    <comment ref="AK110" authorId="3">
      <text>
        <r>
          <rPr>
            <b/>
            <sz val="10"/>
            <color indexed="81"/>
            <rFont val="Arial"/>
            <family val="2"/>
          </rPr>
          <t xml:space="preserve">2006-07: </t>
        </r>
        <r>
          <rPr>
            <sz val="10"/>
            <color indexed="81"/>
            <rFont val="Arial"/>
            <family val="2"/>
          </rPr>
          <t>CASM ex-fuel is expected to increase between 7-9% YoY.</t>
        </r>
      </text>
    </comment>
    <comment ref="AJ111" authorId="9">
      <text>
        <r>
          <rPr>
            <b/>
            <sz val="8"/>
            <color indexed="81"/>
            <rFont val="Tahoma"/>
            <family val="2"/>
          </rPr>
          <t>3Q06:</t>
        </r>
        <r>
          <rPr>
            <sz val="8"/>
            <color indexed="81"/>
            <rFont val="Tahoma"/>
            <family val="2"/>
          </rPr>
          <t xml:space="preserve">
5-7% growth</t>
        </r>
      </text>
    </comment>
    <comment ref="AK111" authorId="9">
      <text>
        <r>
          <rPr>
            <b/>
            <sz val="8"/>
            <color indexed="81"/>
            <rFont val="Tahoma"/>
            <family val="2"/>
          </rPr>
          <t>3Q06:</t>
        </r>
        <r>
          <rPr>
            <sz val="8"/>
            <color indexed="81"/>
            <rFont val="Tahoma"/>
            <family val="2"/>
          </rPr>
          <t xml:space="preserve">
6-8%</t>
        </r>
      </text>
    </comment>
    <comment ref="AL111" authorId="9">
      <text>
        <r>
          <rPr>
            <b/>
            <sz val="8"/>
            <color indexed="81"/>
            <rFont val="Tahoma"/>
            <family val="2"/>
          </rPr>
          <t>godjohn:</t>
        </r>
        <r>
          <rPr>
            <sz val="8"/>
            <color indexed="81"/>
            <rFont val="Tahoma"/>
            <family val="2"/>
          </rPr>
          <t xml:space="preserve">
inv update 7-9%</t>
        </r>
      </text>
    </comment>
    <comment ref="AM111" authorId="9">
      <text>
        <r>
          <rPr>
            <b/>
            <sz val="8"/>
            <color indexed="81"/>
            <rFont val="Tahoma"/>
            <family val="2"/>
          </rPr>
          <t>godjohn:</t>
        </r>
        <r>
          <rPr>
            <sz val="8"/>
            <color indexed="81"/>
            <rFont val="Tahoma"/>
            <family val="2"/>
          </rPr>
          <t xml:space="preserve">
3-5% as of june</t>
        </r>
      </text>
    </comment>
    <comment ref="AO111" authorId="9">
      <text>
        <r>
          <rPr>
            <b/>
            <sz val="8"/>
            <color indexed="81"/>
            <rFont val="Tahoma"/>
            <family val="2"/>
          </rPr>
          <t>godjohn:</t>
        </r>
        <r>
          <rPr>
            <sz val="8"/>
            <color indexed="81"/>
            <rFont val="Tahoma"/>
            <family val="2"/>
          </rPr>
          <t xml:space="preserve">
3Q07 update 6-8%</t>
        </r>
      </text>
    </comment>
    <comment ref="AP111" authorId="9">
      <text>
        <r>
          <rPr>
            <b/>
            <sz val="8"/>
            <color indexed="81"/>
            <rFont val="Tahoma"/>
            <family val="2"/>
          </rPr>
          <t>godjohn:</t>
        </r>
        <r>
          <rPr>
            <sz val="8"/>
            <color indexed="81"/>
            <rFont val="Tahoma"/>
            <family val="2"/>
          </rPr>
          <t xml:space="preserve">
3Q07 5-7%</t>
        </r>
      </text>
    </comment>
    <comment ref="AG112" authorId="3">
      <text>
        <r>
          <rPr>
            <b/>
            <sz val="10"/>
            <color indexed="81"/>
            <rFont val="Arial"/>
            <family val="2"/>
          </rPr>
          <t xml:space="preserve">2005-4Q: </t>
        </r>
        <r>
          <rPr>
            <sz val="10"/>
            <color indexed="81"/>
            <rFont val="Arial"/>
            <family val="2"/>
          </rPr>
          <t>CASM ex fuel is forecasted to increase 6-8% YoY.</t>
        </r>
      </text>
    </comment>
    <comment ref="AH112" authorId="4">
      <text>
        <r>
          <rPr>
            <b/>
            <sz val="10"/>
            <color indexed="81"/>
            <rFont val="Arial"/>
            <family val="2"/>
          </rPr>
          <t xml:space="preserve">2006-04: </t>
        </r>
        <r>
          <rPr>
            <sz val="10"/>
            <color indexed="81"/>
            <rFont val="Arial"/>
            <family val="2"/>
          </rPr>
          <t>JBLU expects  CASM ex-fuel to be up 9-11% in 2Q06.</t>
        </r>
      </text>
    </comment>
    <comment ref="AI112" authorId="4">
      <text>
        <r>
          <rPr>
            <b/>
            <sz val="10"/>
            <color indexed="81"/>
            <rFont val="Arial"/>
            <family val="2"/>
          </rPr>
          <t xml:space="preserve">2006-04: </t>
        </r>
        <r>
          <rPr>
            <sz val="10"/>
            <color indexed="81"/>
            <rFont val="Arial"/>
            <family val="2"/>
          </rPr>
          <t>JBLU expects  CASM ex-fuel to be up 8-10% in 3Q06.</t>
        </r>
      </text>
    </comment>
    <comment ref="AK112" authorId="3">
      <text>
        <r>
          <rPr>
            <b/>
            <sz val="10"/>
            <color indexed="81"/>
            <rFont val="Arial"/>
            <family val="2"/>
          </rPr>
          <t xml:space="preserve">2006-07: </t>
        </r>
        <r>
          <rPr>
            <sz val="10"/>
            <color indexed="81"/>
            <rFont val="Arial"/>
            <family val="2"/>
          </rPr>
          <t>CASM ex-fuel is expected to increase between 7-9% YoY.</t>
        </r>
      </text>
    </comment>
    <comment ref="AJ113" authorId="9">
      <text>
        <r>
          <rPr>
            <b/>
            <sz val="8"/>
            <color indexed="81"/>
            <rFont val="Tahoma"/>
            <family val="2"/>
          </rPr>
          <t>3Q06:</t>
        </r>
        <r>
          <rPr>
            <sz val="8"/>
            <color indexed="81"/>
            <rFont val="Tahoma"/>
            <family val="2"/>
          </rPr>
          <t xml:space="preserve">
5-7% growth</t>
        </r>
      </text>
    </comment>
    <comment ref="AK113" authorId="9">
      <text>
        <r>
          <rPr>
            <b/>
            <sz val="8"/>
            <color indexed="81"/>
            <rFont val="Tahoma"/>
            <family val="2"/>
          </rPr>
          <t>3Q06:</t>
        </r>
        <r>
          <rPr>
            <sz val="8"/>
            <color indexed="81"/>
            <rFont val="Tahoma"/>
            <family val="2"/>
          </rPr>
          <t xml:space="preserve">
6-8%</t>
        </r>
      </text>
    </comment>
    <comment ref="AL113" authorId="9">
      <text>
        <r>
          <rPr>
            <b/>
            <sz val="8"/>
            <color indexed="81"/>
            <rFont val="Tahoma"/>
            <family val="2"/>
          </rPr>
          <t>godjohn:</t>
        </r>
        <r>
          <rPr>
            <sz val="8"/>
            <color indexed="81"/>
            <rFont val="Tahoma"/>
            <family val="2"/>
          </rPr>
          <t xml:space="preserve">
inv update 7-9%</t>
        </r>
      </text>
    </comment>
    <comment ref="AM113" authorId="9">
      <text>
        <r>
          <rPr>
            <b/>
            <sz val="8"/>
            <color indexed="81"/>
            <rFont val="Tahoma"/>
            <family val="2"/>
          </rPr>
          <t>godjohn:</t>
        </r>
        <r>
          <rPr>
            <sz val="8"/>
            <color indexed="81"/>
            <rFont val="Tahoma"/>
            <family val="2"/>
          </rPr>
          <t xml:space="preserve">
3-5% as of june</t>
        </r>
      </text>
    </comment>
    <comment ref="AO113" authorId="9">
      <text>
        <r>
          <rPr>
            <b/>
            <sz val="8"/>
            <color indexed="81"/>
            <rFont val="Tahoma"/>
            <family val="2"/>
          </rPr>
          <t>godjohn:</t>
        </r>
        <r>
          <rPr>
            <sz val="8"/>
            <color indexed="81"/>
            <rFont val="Tahoma"/>
            <family val="2"/>
          </rPr>
          <t xml:space="preserve">
3Q07 update 6-8%</t>
        </r>
      </text>
    </comment>
    <comment ref="AP113" authorId="9">
      <text>
        <r>
          <rPr>
            <b/>
            <sz val="8"/>
            <color indexed="81"/>
            <rFont val="Tahoma"/>
            <family val="2"/>
          </rPr>
          <t>godjohn:</t>
        </r>
        <r>
          <rPr>
            <sz val="8"/>
            <color indexed="81"/>
            <rFont val="Tahoma"/>
            <family val="2"/>
          </rPr>
          <t xml:space="preserve">
3Q07 5-7%</t>
        </r>
      </text>
    </comment>
    <comment ref="X115" authorId="3">
      <text>
        <r>
          <rPr>
            <b/>
            <sz val="8"/>
            <color indexed="81"/>
            <rFont val="Tahoma"/>
            <family val="2"/>
          </rPr>
          <t>10Q: 2Q2004</t>
        </r>
        <r>
          <rPr>
            <sz val="8"/>
            <color indexed="81"/>
            <rFont val="Tahoma"/>
            <family val="2"/>
          </rPr>
          <t xml:space="preserve">
Operating expenses increased 37.9%, or $75.4 million, due to an average of 17.0 additional aircraft in service in 2004.</t>
        </r>
        <r>
          <rPr>
            <b/>
            <sz val="8"/>
            <color indexed="81"/>
            <rFont val="Tahoma"/>
            <family val="2"/>
          </rPr>
          <t xml:space="preserve">
</t>
        </r>
      </text>
    </comment>
    <comment ref="X117" authorId="3">
      <text>
        <r>
          <rPr>
            <b/>
            <sz val="8"/>
            <color indexed="81"/>
            <rFont val="Tahoma"/>
            <family val="2"/>
          </rPr>
          <t>10Q: 2Q2004</t>
        </r>
        <r>
          <rPr>
            <sz val="8"/>
            <color indexed="81"/>
            <rFont val="Tahoma"/>
            <family val="2"/>
          </rPr>
          <t xml:space="preserve">
Despite 36.6% increase in sales and marketing expense and a 16.6% increase in fuel expense from 1Q 2004, CASM decreased slightly compared to 6.08 cents in the first quarter of 2004 primarily due to lower maintenance costs.</t>
        </r>
      </text>
    </comment>
    <comment ref="S122" authorId="1">
      <text>
        <r>
          <rPr>
            <sz val="8"/>
            <color indexed="81"/>
            <rFont val="Tahoma"/>
            <family val="2"/>
          </rPr>
          <t xml:space="preserve">4/24/03 conf call: 14-16%
</t>
        </r>
      </text>
    </comment>
    <comment ref="T122" authorId="2">
      <text>
        <r>
          <rPr>
            <sz val="8"/>
            <color indexed="81"/>
            <rFont val="Tahoma"/>
            <family val="2"/>
          </rPr>
          <t xml:space="preserve">7/24 conf call: 16-18%
</t>
        </r>
      </text>
    </comment>
    <comment ref="U122" authorId="2">
      <text>
        <r>
          <rPr>
            <sz val="8"/>
            <color indexed="81"/>
            <rFont val="Tahoma"/>
            <family val="2"/>
          </rPr>
          <t>7/24 conf call: 15-17%
10/24 conf call: 15-17%</t>
        </r>
      </text>
    </comment>
    <comment ref="V122" authorId="1">
      <text>
        <r>
          <rPr>
            <sz val="8"/>
            <color indexed="81"/>
            <rFont val="Tahoma"/>
            <family val="2"/>
          </rPr>
          <t xml:space="preserve">4/24/03 conf call: 15-17%
</t>
        </r>
      </text>
    </comment>
    <comment ref="W122" authorId="2">
      <text>
        <r>
          <rPr>
            <sz val="8"/>
            <color indexed="81"/>
            <rFont val="Tahoma"/>
            <family val="2"/>
          </rPr>
          <t xml:space="preserve">1/29/04 call: 9-11%
</t>
        </r>
      </text>
    </comment>
    <comment ref="Y122" authorId="3">
      <text>
        <r>
          <rPr>
            <sz val="8"/>
            <color indexed="81"/>
            <rFont val="Tahoma"/>
            <family val="2"/>
          </rPr>
          <t xml:space="preserve">07/21/2004 C/C: JetBlue lowered 3Q04 operating margin guidance range by one point to 12-14% and full year 2004 margin guidance to 12-14%.  </t>
        </r>
      </text>
    </comment>
    <comment ref="AA122" authorId="2">
      <text>
        <r>
          <rPr>
            <sz val="8"/>
            <color indexed="81"/>
            <rFont val="Tahoma"/>
            <family val="2"/>
          </rPr>
          <t xml:space="preserve">07/21/2004 C/C: full year 2004 margin guidance is 12-14%.  
1/29/04 call: 13-15%
</t>
        </r>
      </text>
    </comment>
    <comment ref="AF122" authorId="3">
      <text>
        <r>
          <rPr>
            <b/>
            <sz val="8"/>
            <color indexed="81"/>
            <rFont val="Tahoma"/>
            <family val="2"/>
          </rPr>
          <t xml:space="preserve">1Q05 conf call: </t>
        </r>
        <r>
          <rPr>
            <sz val="8"/>
            <color indexed="81"/>
            <rFont val="Tahoma"/>
            <family val="2"/>
          </rPr>
          <t>revised op. margin guidance down to 5-7% for 2005.</t>
        </r>
        <r>
          <rPr>
            <b/>
            <sz val="8"/>
            <color indexed="81"/>
            <rFont val="Tahoma"/>
            <family val="2"/>
          </rPr>
          <t xml:space="preserve">
2004 10K: 2005 </t>
        </r>
        <r>
          <rPr>
            <sz val="8"/>
            <color indexed="81"/>
            <rFont val="Tahoma"/>
            <family val="2"/>
          </rPr>
          <t xml:space="preserve">operating margin is projected to be 7% - 9%.
</t>
        </r>
      </text>
    </comment>
    <comment ref="AG122" authorId="3">
      <text>
        <r>
          <rPr>
            <b/>
            <sz val="10"/>
            <color indexed="81"/>
            <rFont val="Arial"/>
            <family val="2"/>
          </rPr>
          <t>Oct-06:</t>
        </r>
        <r>
          <rPr>
            <sz val="10"/>
            <color indexed="81"/>
            <rFont val="Arial"/>
            <family val="2"/>
          </rPr>
          <t xml:space="preserve"> JBLU forecasts  op. margin of -3 to -5%.</t>
        </r>
      </text>
    </comment>
    <comment ref="AH122" authorId="4">
      <text>
        <r>
          <rPr>
            <b/>
            <sz val="10"/>
            <color indexed="81"/>
            <rFont val="Arial"/>
            <family val="2"/>
          </rPr>
          <t xml:space="preserve">2006-04: </t>
        </r>
        <r>
          <rPr>
            <sz val="10"/>
            <color indexed="81"/>
            <rFont val="Arial"/>
            <family val="2"/>
          </rPr>
          <t>JBLU forecasts op. margin to be 4-6% in 2Q06.</t>
        </r>
      </text>
    </comment>
    <comment ref="AI122" authorId="4">
      <text>
        <r>
          <rPr>
            <b/>
            <sz val="10"/>
            <color indexed="81"/>
            <rFont val="Arial"/>
            <family val="2"/>
          </rPr>
          <t xml:space="preserve">2006-07: </t>
        </r>
        <r>
          <rPr>
            <sz val="10"/>
            <color indexed="81"/>
            <rFont val="Arial"/>
            <family val="2"/>
          </rPr>
          <t>JBLU forecasts op. margin to be 4-6% in 3Q06.</t>
        </r>
      </text>
    </comment>
    <comment ref="AK122" authorId="3">
      <text>
        <r>
          <rPr>
            <b/>
            <sz val="10"/>
            <color indexed="81"/>
            <rFont val="Arial"/>
            <family val="2"/>
          </rPr>
          <t>2006-04:</t>
        </r>
        <r>
          <rPr>
            <sz val="10"/>
            <color indexed="81"/>
            <rFont val="Arial"/>
            <family val="2"/>
          </rPr>
          <t xml:space="preserve"> JBLU is forecasting an op. margin of 3-5% for full year.
</t>
        </r>
        <r>
          <rPr>
            <b/>
            <sz val="10"/>
            <color indexed="81"/>
            <rFont val="Arial"/>
            <family val="2"/>
          </rPr>
          <t>2006-07:</t>
        </r>
        <r>
          <rPr>
            <sz val="10"/>
            <color indexed="81"/>
            <rFont val="Arial"/>
            <family val="2"/>
          </rPr>
          <t xml:space="preserve"> JBLU is forecasting an op. margin of 2-4% for full year.
3Q06: 4-6%</t>
        </r>
      </text>
    </comment>
    <comment ref="AL122" authorId="9">
      <text>
        <r>
          <rPr>
            <b/>
            <sz val="8"/>
            <color indexed="81"/>
            <rFont val="Tahoma"/>
            <family val="2"/>
          </rPr>
          <t>godjohn:</t>
        </r>
        <r>
          <rPr>
            <sz val="8"/>
            <color indexed="81"/>
            <rFont val="Tahoma"/>
            <family val="2"/>
          </rPr>
          <t xml:space="preserve">
sotrm update: op marg -4 to -2%</t>
        </r>
      </text>
    </comment>
    <comment ref="AM122" authorId="9">
      <text>
        <r>
          <rPr>
            <b/>
            <sz val="8"/>
            <color indexed="81"/>
            <rFont val="Tahoma"/>
            <family val="2"/>
          </rPr>
          <t>godjohn:</t>
        </r>
        <r>
          <rPr>
            <sz val="8"/>
            <color indexed="81"/>
            <rFont val="Tahoma"/>
            <family val="2"/>
          </rPr>
          <t xml:space="preserve">
9-11% as of june</t>
        </r>
      </text>
    </comment>
    <comment ref="AO122" authorId="9">
      <text>
        <r>
          <rPr>
            <b/>
            <sz val="8"/>
            <color indexed="81"/>
            <rFont val="Tahoma"/>
            <family val="2"/>
          </rPr>
          <t>godjohn:</t>
        </r>
        <r>
          <rPr>
            <sz val="8"/>
            <color indexed="81"/>
            <rFont val="Tahoma"/>
            <family val="2"/>
          </rPr>
          <t xml:space="preserve">
3Q07 3-5%</t>
        </r>
      </text>
    </comment>
    <comment ref="AP122" authorId="9">
      <text>
        <r>
          <rPr>
            <b/>
            <sz val="8"/>
            <color indexed="81"/>
            <rFont val="Tahoma"/>
            <family val="2"/>
          </rPr>
          <t>godjohn:</t>
        </r>
        <r>
          <rPr>
            <sz val="8"/>
            <color indexed="81"/>
            <rFont val="Tahoma"/>
            <family val="2"/>
          </rPr>
          <t xml:space="preserve">
3Q07 5-7%</t>
        </r>
      </text>
    </comment>
    <comment ref="AF136" authorId="3">
      <text>
        <r>
          <rPr>
            <b/>
            <sz val="8"/>
            <color indexed="81"/>
            <rFont val="Tahoma"/>
            <family val="2"/>
          </rPr>
          <t xml:space="preserve">1Q05 c/c: </t>
        </r>
        <r>
          <rPr>
            <sz val="8"/>
            <color indexed="81"/>
            <rFont val="Tahoma"/>
            <family val="2"/>
          </rPr>
          <t xml:space="preserve">2005 interest expense is expected at just below $100 million. </t>
        </r>
      </text>
    </comment>
    <comment ref="B139" authorId="2">
      <text>
        <r>
          <rPr>
            <b/>
            <sz val="8"/>
            <color indexed="81"/>
            <rFont val="Tahoma"/>
            <family val="2"/>
          </rPr>
          <t>susmanr:</t>
        </r>
        <r>
          <rPr>
            <sz val="8"/>
            <color indexed="81"/>
            <rFont val="Tahoma"/>
            <family val="2"/>
          </rPr>
          <t xml:space="preserve">
other inc included in interest income</t>
        </r>
      </text>
    </comment>
    <comment ref="G139" authorId="2">
      <text>
        <r>
          <rPr>
            <b/>
            <sz val="8"/>
            <color indexed="81"/>
            <rFont val="Tahoma"/>
            <family val="2"/>
          </rPr>
          <t>susmanr:</t>
        </r>
        <r>
          <rPr>
            <sz val="8"/>
            <color indexed="81"/>
            <rFont val="Tahoma"/>
            <family val="2"/>
          </rPr>
          <t xml:space="preserve">
lumped into interest income</t>
        </r>
      </text>
    </comment>
    <comment ref="X140" authorId="3">
      <text>
        <r>
          <rPr>
            <b/>
            <sz val="8"/>
            <color indexed="81"/>
            <rFont val="Tahoma"/>
            <family val="2"/>
          </rPr>
          <t xml:space="preserve">10Q: 2Q2004
</t>
        </r>
        <r>
          <rPr>
            <sz val="8"/>
            <color indexed="81"/>
            <rFont val="Tahoma"/>
            <family val="2"/>
          </rPr>
          <t>Interest expense increased 108%, or $6.5 MM, due to the debt financing of 13 additional a/c and interest on 3½% convertible notes.  Capitalized interest increased 48.3%, or $0.5 MM, primarily due to higher predelivery deposit balances partially offset by lower interest rates. Interest income increased 84.3%, or $0.7MM due to higher cash balances in 2004.</t>
        </r>
      </text>
    </comment>
    <comment ref="AL143" authorId="9">
      <text>
        <r>
          <rPr>
            <b/>
            <sz val="8"/>
            <color indexed="81"/>
            <rFont val="Tahoma"/>
            <family val="2"/>
          </rPr>
          <t>godjohn:</t>
        </r>
        <r>
          <rPr>
            <sz val="8"/>
            <color indexed="81"/>
            <rFont val="Tahoma"/>
            <family val="2"/>
          </rPr>
          <t xml:space="preserve">
storm update: pretax marg -10 to -8%</t>
        </r>
      </text>
    </comment>
    <comment ref="AK144" authorId="9">
      <text>
        <r>
          <rPr>
            <b/>
            <sz val="8"/>
            <color indexed="81"/>
            <rFont val="Tahoma"/>
            <family val="2"/>
          </rPr>
          <t>3Q06:</t>
        </r>
        <r>
          <rPr>
            <sz val="8"/>
            <color indexed="81"/>
            <rFont val="Tahoma"/>
            <family val="2"/>
          </rPr>
          <t xml:space="preserve">
-1 to 1%</t>
        </r>
      </text>
    </comment>
    <comment ref="AM144" authorId="9">
      <text>
        <r>
          <rPr>
            <b/>
            <sz val="8"/>
            <color indexed="81"/>
            <rFont val="Tahoma"/>
            <family val="2"/>
          </rPr>
          <t>godjohn:</t>
        </r>
        <r>
          <rPr>
            <sz val="8"/>
            <color indexed="81"/>
            <rFont val="Tahoma"/>
            <family val="2"/>
          </rPr>
          <t xml:space="preserve">
4-6% as of june</t>
        </r>
      </text>
    </comment>
    <comment ref="AO144" authorId="9">
      <text>
        <r>
          <rPr>
            <b/>
            <sz val="8"/>
            <color indexed="81"/>
            <rFont val="Tahoma"/>
            <family val="2"/>
          </rPr>
          <t>godjohn:</t>
        </r>
        <r>
          <rPr>
            <sz val="8"/>
            <color indexed="81"/>
            <rFont val="Tahoma"/>
            <family val="2"/>
          </rPr>
          <t xml:space="preserve">
3Q07 (-1)-1%</t>
        </r>
      </text>
    </comment>
    <comment ref="AP144" authorId="9">
      <text>
        <r>
          <rPr>
            <b/>
            <sz val="8"/>
            <color indexed="81"/>
            <rFont val="Tahoma"/>
            <family val="2"/>
          </rPr>
          <t>godjohn:</t>
        </r>
        <r>
          <rPr>
            <sz val="8"/>
            <color indexed="81"/>
            <rFont val="Tahoma"/>
            <family val="2"/>
          </rPr>
          <t xml:space="preserve">
3Q07 1-3%</t>
        </r>
      </text>
    </comment>
    <comment ref="W145" authorId="2">
      <text>
        <r>
          <rPr>
            <sz val="8"/>
            <color indexed="81"/>
            <rFont val="Tahoma"/>
            <family val="2"/>
          </rPr>
          <t xml:space="preserve">1/29/04 call: forward tax rate should be 40.8%
</t>
        </r>
      </text>
    </comment>
    <comment ref="Z145" authorId="3">
      <text>
        <r>
          <rPr>
            <sz val="8"/>
            <color indexed="81"/>
            <rFont val="Tahoma"/>
            <family val="2"/>
          </rPr>
          <t>The 4Q tax rate is expected to be slightly above 39%.</t>
        </r>
      </text>
    </comment>
    <comment ref="AA145" authorId="3">
      <text>
        <r>
          <rPr>
            <sz val="8"/>
            <color indexed="81"/>
            <rFont val="Tahoma"/>
            <family val="2"/>
          </rPr>
          <t xml:space="preserve">07/21/2004: forward effective tax rate will be 41%. </t>
        </r>
      </text>
    </comment>
    <comment ref="AP145" authorId="9">
      <text>
        <r>
          <rPr>
            <b/>
            <sz val="8"/>
            <color indexed="81"/>
            <rFont val="Tahoma"/>
            <family val="2"/>
          </rPr>
          <t>godjohn:</t>
        </r>
        <r>
          <rPr>
            <sz val="8"/>
            <color indexed="81"/>
            <rFont val="Tahoma"/>
            <family val="2"/>
          </rPr>
          <t xml:space="preserve">
1Q07 update expected to be 50%
</t>
        </r>
      </text>
    </comment>
    <comment ref="AE146" authorId="3">
      <text>
        <r>
          <rPr>
            <b/>
            <sz val="8"/>
            <color indexed="81"/>
            <rFont val="Tahoma"/>
            <family val="2"/>
          </rPr>
          <t>falfalkj:</t>
        </r>
        <r>
          <rPr>
            <sz val="8"/>
            <color indexed="81"/>
            <rFont val="Tahoma"/>
            <family val="2"/>
          </rPr>
          <t xml:space="preserve">
adjusted by EPS of $0.01 to account to reach $0.19 loss est.</t>
        </r>
      </text>
    </comment>
    <comment ref="AH147" authorId="4">
      <text>
        <r>
          <rPr>
            <b/>
            <sz val="10"/>
            <color indexed="81"/>
            <rFont val="Arial"/>
            <family val="2"/>
          </rPr>
          <t xml:space="preserve">2006-04: </t>
        </r>
        <r>
          <rPr>
            <sz val="10"/>
            <color indexed="81"/>
            <rFont val="Arial"/>
            <family val="2"/>
          </rPr>
          <t>JBLU expects to report a 2Q06 profit.</t>
        </r>
      </text>
    </comment>
    <comment ref="AK147" authorId="4">
      <text>
        <r>
          <rPr>
            <b/>
            <sz val="10"/>
            <color indexed="81"/>
            <rFont val="Arial"/>
            <family val="2"/>
          </rPr>
          <t xml:space="preserve">2006-04: </t>
        </r>
        <r>
          <rPr>
            <sz val="10"/>
            <color indexed="81"/>
            <rFont val="Arial"/>
            <family val="2"/>
          </rPr>
          <t>JBLU expects to report a full-year 2006 net loss.</t>
        </r>
      </text>
    </comment>
    <comment ref="M155" authorId="2">
      <text>
        <r>
          <rPr>
            <sz val="8"/>
            <color indexed="81"/>
            <rFont val="Tahoma"/>
            <family val="2"/>
          </rPr>
          <t xml:space="preserve">Split adjusted x1.5
</t>
        </r>
      </text>
    </comment>
    <comment ref="N155" authorId="2">
      <text>
        <r>
          <rPr>
            <sz val="8"/>
            <color indexed="81"/>
            <rFont val="Tahoma"/>
            <family val="2"/>
          </rPr>
          <t xml:space="preserve">Split Adjusted x1.5
</t>
        </r>
      </text>
    </comment>
    <comment ref="O155" authorId="2">
      <text>
        <r>
          <rPr>
            <sz val="8"/>
            <color indexed="81"/>
            <rFont val="Tahoma"/>
            <family val="2"/>
          </rPr>
          <t xml:space="preserve">Split Adjusted x1.5
</t>
        </r>
      </text>
    </comment>
    <comment ref="P155" authorId="2">
      <text>
        <r>
          <rPr>
            <sz val="8"/>
            <color indexed="81"/>
            <rFont val="Tahoma"/>
            <family val="2"/>
          </rPr>
          <t xml:space="preserve">Split Adjusted x1.5
</t>
        </r>
      </text>
    </comment>
    <comment ref="S155" authorId="1">
      <text>
        <r>
          <rPr>
            <sz val="8"/>
            <color indexed="81"/>
            <rFont val="Tahoma"/>
            <family val="2"/>
          </rPr>
          <t xml:space="preserve">4/24/03 conf call: 69.1 mil
</t>
        </r>
      </text>
    </comment>
    <comment ref="T155" authorId="2">
      <text>
        <r>
          <rPr>
            <sz val="8"/>
            <color indexed="81"/>
            <rFont val="Tahoma"/>
            <family val="2"/>
          </rPr>
          <t xml:space="preserve">7/24/03 conf call: 73.7 mil
</t>
        </r>
      </text>
    </comment>
    <comment ref="U155" authorId="2">
      <text>
        <r>
          <rPr>
            <sz val="8"/>
            <color indexed="81"/>
            <rFont val="Tahoma"/>
            <family val="2"/>
          </rPr>
          <t xml:space="preserve">7/24/03 conf call: 74.8 mil
</t>
        </r>
      </text>
    </comment>
    <comment ref="W155" authorId="2">
      <text>
        <r>
          <rPr>
            <sz val="8"/>
            <color indexed="81"/>
            <rFont val="Tahoma"/>
            <family val="2"/>
          </rPr>
          <t xml:space="preserve">1/29/04 call: 111
</t>
        </r>
      </text>
    </comment>
    <comment ref="Y155" authorId="3">
      <text>
        <r>
          <rPr>
            <sz val="8"/>
            <color indexed="81"/>
            <rFont val="Tahoma"/>
            <family val="2"/>
          </rPr>
          <t>07/21/2004:Weighted diluted shares will total 111.9 million in 3Q and 111.6 million in 2004</t>
        </r>
      </text>
    </comment>
    <comment ref="Z155" authorId="3">
      <text>
        <r>
          <rPr>
            <sz val="8"/>
            <color indexed="81"/>
            <rFont val="Tahoma"/>
            <family val="2"/>
          </rPr>
          <t>3Q call: Weighted basic shares will total 103.8 million in 4Q.  
07/21/2004:Weighted diluted shares will total 111.9 million in 3Q and 111.6 million in 2004</t>
        </r>
      </text>
    </comment>
    <comment ref="AA155" authorId="2">
      <text>
        <r>
          <rPr>
            <sz val="8"/>
            <color indexed="81"/>
            <rFont val="Tahoma"/>
            <family val="2"/>
          </rPr>
          <t xml:space="preserve">1/29/04 call: 112
</t>
        </r>
      </text>
    </comment>
    <comment ref="AA168" authorId="3">
      <text>
        <r>
          <rPr>
            <b/>
            <sz val="8"/>
            <color indexed="81"/>
            <rFont val="Tahoma"/>
            <family val="2"/>
          </rPr>
          <t xml:space="preserve">        The effective tax rate on income before income taxes differed from the federal income tax statutory rate for the years ended December 31 for the following reasons (in thousands):
2004  2003   2002
Income tax expense at statutory rate   $ 26,888   $ 61,404   $ 33,258
Increase resulting from:                  
  State income tax, net of federal benefit     1,088     8,709     5,641
  Other, net     1,379     1,428     1,217
Total income tax expense   $ 29,355   $ 71,541   $ 40,116
</t>
        </r>
      </text>
    </comment>
    <comment ref="S173" authorId="2">
      <text>
        <r>
          <rPr>
            <sz val="8"/>
            <color indexed="81"/>
            <rFont val="Tahoma"/>
            <family val="2"/>
          </rPr>
          <t xml:space="preserve">Gov't aid and adjustment to profit sharing due to gov't aid.
</t>
        </r>
      </text>
    </comment>
    <comment ref="Q225" authorId="2">
      <text>
        <r>
          <rPr>
            <sz val="8"/>
            <color indexed="81"/>
            <rFont val="Tahoma"/>
            <family val="2"/>
          </rPr>
          <t xml:space="preserve">$544 mil is for CAPEX
$109 mil is for PDPs
</t>
        </r>
      </text>
    </comment>
    <comment ref="V225" authorId="2">
      <text>
        <r>
          <rPr>
            <sz val="8"/>
            <color indexed="81"/>
            <rFont val="Tahoma"/>
            <family val="2"/>
          </rPr>
          <t>02 10K: 2003 committed expenditures for A/C, including PDPs, is $540 mil. Also have $20 for Live TV committments. 
4/24/03 conf call: $480 mil for remainder of 2003</t>
        </r>
      </text>
    </comment>
    <comment ref="AA225" authorId="2">
      <text>
        <r>
          <rPr>
            <sz val="8"/>
            <color indexed="81"/>
            <rFont val="Tahoma"/>
            <family val="2"/>
          </rPr>
          <t xml:space="preserve">
02 10K: 2004, 2005, 2006 committed expenditures for A/C, including PDPs, is $485, $45, $200, respectively.
1/29/04: Guided 820, which includes $580 mil for a/c</t>
        </r>
      </text>
    </comment>
    <comment ref="AF225" authorId="2">
      <text>
        <r>
          <rPr>
            <sz val="8"/>
            <color indexed="81"/>
            <rFont val="Tahoma"/>
            <family val="2"/>
          </rPr>
          <t xml:space="preserve">
02 10K: 2004, 2005, 2006 committed expenditures for A/C, including PDPs, is $485, $45, $200, respectively.
1/29/04: Guided 820, which includes $580 mil for a/c</t>
        </r>
      </text>
    </comment>
    <comment ref="DC225" authorId="11">
      <text>
        <r>
          <rPr>
            <b/>
            <sz val="9"/>
            <color indexed="81"/>
            <rFont val="Tahoma"/>
            <family val="2"/>
          </rPr>
          <t>Lalwani, Rajeev (Research):</t>
        </r>
        <r>
          <rPr>
            <sz val="9"/>
            <color indexed="81"/>
            <rFont val="Tahoma"/>
            <family val="2"/>
          </rPr>
          <t xml:space="preserve">
set to hit the company target of $1.1B capex 2017-2020</t>
        </r>
      </text>
    </comment>
    <comment ref="Q231" authorId="9">
      <text>
        <r>
          <rPr>
            <b/>
            <sz val="8"/>
            <color indexed="81"/>
            <rFont val="Tahoma"/>
            <family val="2"/>
          </rPr>
          <t>godjohn:</t>
        </r>
        <r>
          <rPr>
            <sz val="8"/>
            <color indexed="81"/>
            <rFont val="Tahoma"/>
            <family val="2"/>
          </rPr>
          <t xml:space="preserve">
acquisition of LiveTV</t>
        </r>
      </text>
    </comment>
    <comment ref="BC231" authorId="5">
      <text>
        <r>
          <rPr>
            <b/>
            <sz val="8"/>
            <color indexed="81"/>
            <rFont val="Tahoma"/>
            <family val="2"/>
          </rPr>
          <t>nedgill:</t>
        </r>
        <r>
          <rPr>
            <sz val="8"/>
            <color indexed="81"/>
            <rFont val="Tahoma"/>
            <family val="2"/>
          </rPr>
          <t xml:space="preserve">
sale of ARS</t>
        </r>
      </text>
    </comment>
    <comment ref="Q232" authorId="2">
      <text>
        <r>
          <rPr>
            <sz val="8"/>
            <color indexed="81"/>
            <rFont val="Tahoma"/>
            <family val="2"/>
          </rPr>
          <t>The company restated  investment securities in 2004 so we adjusted this line item by $97.2M  in the cash flow statement to change the balance sheet.</t>
        </r>
      </text>
    </comment>
    <comment ref="G237" authorId="2">
      <text>
        <r>
          <rPr>
            <b/>
            <sz val="8"/>
            <color indexed="81"/>
            <rFont val="Tahoma"/>
            <family val="2"/>
          </rPr>
          <t>susmanr:</t>
        </r>
        <r>
          <rPr>
            <sz val="8"/>
            <color indexed="81"/>
            <rFont val="Tahoma"/>
            <family val="2"/>
          </rPr>
          <t xml:space="preserve">
converts included in debt, not here</t>
        </r>
      </text>
    </comment>
    <comment ref="B242" authorId="2">
      <text>
        <r>
          <rPr>
            <b/>
            <sz val="8"/>
            <color indexed="81"/>
            <rFont val="Tahoma"/>
            <family val="2"/>
          </rPr>
          <t>susmanr:</t>
        </r>
        <r>
          <rPr>
            <sz val="8"/>
            <color indexed="81"/>
            <rFont val="Tahoma"/>
            <family val="2"/>
          </rPr>
          <t xml:space="preserve">
includes converts</t>
        </r>
      </text>
    </comment>
    <comment ref="G242" authorId="2">
      <text>
        <r>
          <rPr>
            <b/>
            <sz val="8"/>
            <color indexed="81"/>
            <rFont val="Tahoma"/>
            <family val="2"/>
          </rPr>
          <t>susmanr:</t>
        </r>
        <r>
          <rPr>
            <sz val="8"/>
            <color indexed="81"/>
            <rFont val="Tahoma"/>
            <family val="2"/>
          </rPr>
          <t xml:space="preserve">
includes convertibles. </t>
        </r>
      </text>
    </comment>
    <comment ref="AG255" authorId="5">
      <text>
        <r>
          <rPr>
            <b/>
            <sz val="8"/>
            <color indexed="81"/>
            <rFont val="Tahoma"/>
            <family val="2"/>
          </rPr>
          <t>nedgill:</t>
        </r>
        <r>
          <rPr>
            <sz val="8"/>
            <color indexed="81"/>
            <rFont val="Tahoma"/>
            <family val="2"/>
          </rPr>
          <t xml:space="preserve">
estimated</t>
        </r>
      </text>
    </comment>
    <comment ref="AH255" authorId="5">
      <text>
        <r>
          <rPr>
            <b/>
            <sz val="8"/>
            <color indexed="81"/>
            <rFont val="Tahoma"/>
            <family val="2"/>
          </rPr>
          <t>nedgill:</t>
        </r>
        <r>
          <rPr>
            <sz val="8"/>
            <color indexed="81"/>
            <rFont val="Tahoma"/>
            <family val="2"/>
          </rPr>
          <t xml:space="preserve">
estimated</t>
        </r>
      </text>
    </comment>
    <comment ref="AI255" authorId="5">
      <text>
        <r>
          <rPr>
            <b/>
            <sz val="8"/>
            <color indexed="81"/>
            <rFont val="Tahoma"/>
            <family val="2"/>
          </rPr>
          <t>nedgill:</t>
        </r>
        <r>
          <rPr>
            <sz val="8"/>
            <color indexed="81"/>
            <rFont val="Tahoma"/>
            <family val="2"/>
          </rPr>
          <t xml:space="preserve">
estimated</t>
        </r>
      </text>
    </comment>
    <comment ref="AM255" authorId="5">
      <text>
        <r>
          <rPr>
            <b/>
            <sz val="8"/>
            <color indexed="81"/>
            <rFont val="Tahoma"/>
            <family val="2"/>
          </rPr>
          <t>nedgill:</t>
        </r>
        <r>
          <rPr>
            <sz val="8"/>
            <color indexed="81"/>
            <rFont val="Tahoma"/>
            <family val="2"/>
          </rPr>
          <t xml:space="preserve">
estimated</t>
        </r>
      </text>
    </comment>
    <comment ref="AN255" authorId="5">
      <text>
        <r>
          <rPr>
            <b/>
            <sz val="8"/>
            <color indexed="81"/>
            <rFont val="Tahoma"/>
            <family val="2"/>
          </rPr>
          <t>nedgill:</t>
        </r>
        <r>
          <rPr>
            <sz val="8"/>
            <color indexed="81"/>
            <rFont val="Tahoma"/>
            <family val="2"/>
          </rPr>
          <t xml:space="preserve">
estimated</t>
        </r>
      </text>
    </comment>
    <comment ref="AQ255" authorId="5">
      <text>
        <r>
          <rPr>
            <b/>
            <sz val="8"/>
            <color indexed="81"/>
            <rFont val="Tahoma"/>
            <family val="2"/>
          </rPr>
          <t>nedgill:</t>
        </r>
        <r>
          <rPr>
            <sz val="8"/>
            <color indexed="81"/>
            <rFont val="Tahoma"/>
            <family val="2"/>
          </rPr>
          <t xml:space="preserve">
incl LT rest cash </t>
        </r>
      </text>
    </comment>
    <comment ref="AR255" authorId="5">
      <text>
        <r>
          <rPr>
            <b/>
            <sz val="8"/>
            <color indexed="81"/>
            <rFont val="Tahoma"/>
            <family val="2"/>
          </rPr>
          <t>nedgill:</t>
        </r>
        <r>
          <rPr>
            <sz val="8"/>
            <color indexed="81"/>
            <rFont val="Tahoma"/>
            <family val="2"/>
          </rPr>
          <t xml:space="preserve">
incl LT rest cash </t>
        </r>
      </text>
    </comment>
    <comment ref="AS255" authorId="5">
      <text>
        <r>
          <rPr>
            <b/>
            <sz val="8"/>
            <color indexed="81"/>
            <rFont val="Tahoma"/>
            <family val="2"/>
          </rPr>
          <t>nedgill:</t>
        </r>
        <r>
          <rPr>
            <sz val="8"/>
            <color indexed="81"/>
            <rFont val="Tahoma"/>
            <family val="2"/>
          </rPr>
          <t xml:space="preserve">
incl LT rest cash </t>
        </r>
      </text>
    </comment>
    <comment ref="AT255" authorId="5">
      <text>
        <r>
          <rPr>
            <b/>
            <sz val="8"/>
            <color indexed="81"/>
            <rFont val="Tahoma"/>
            <family val="2"/>
          </rPr>
          <t>nedgill:</t>
        </r>
        <r>
          <rPr>
            <sz val="8"/>
            <color indexed="81"/>
            <rFont val="Tahoma"/>
            <family val="2"/>
          </rPr>
          <t xml:space="preserve">
incl LT rest cash + fuel hedge collateral</t>
        </r>
      </text>
    </comment>
    <comment ref="AV255" authorId="5">
      <text>
        <r>
          <rPr>
            <b/>
            <sz val="8"/>
            <color indexed="81"/>
            <rFont val="Tahoma"/>
            <family val="2"/>
          </rPr>
          <t>nedgill:</t>
        </r>
        <r>
          <rPr>
            <sz val="8"/>
            <color indexed="81"/>
            <rFont val="Tahoma"/>
            <family val="2"/>
          </rPr>
          <t xml:space="preserve">
incl LT rest cash + fuel hedge collateral</t>
        </r>
      </text>
    </comment>
    <comment ref="AW255" authorId="5">
      <text>
        <r>
          <rPr>
            <b/>
            <sz val="8"/>
            <color indexed="81"/>
            <rFont val="Tahoma"/>
            <family val="2"/>
          </rPr>
          <t>nedgill:</t>
        </r>
        <r>
          <rPr>
            <sz val="8"/>
            <color indexed="81"/>
            <rFont val="Tahoma"/>
            <family val="2"/>
          </rPr>
          <t xml:space="preserve">
incl LT rest cash + fuel hedge collateral</t>
        </r>
      </text>
    </comment>
    <comment ref="AX255" authorId="5">
      <text>
        <r>
          <rPr>
            <b/>
            <sz val="8"/>
            <color indexed="81"/>
            <rFont val="Tahoma"/>
            <family val="2"/>
          </rPr>
          <t>nedgill:</t>
        </r>
        <r>
          <rPr>
            <sz val="8"/>
            <color indexed="81"/>
            <rFont val="Tahoma"/>
            <family val="2"/>
          </rPr>
          <t xml:space="preserve">
incl LT rest cash + fuel hedge collateral</t>
        </r>
      </text>
    </comment>
    <comment ref="AY255" authorId="5">
      <text>
        <r>
          <rPr>
            <b/>
            <sz val="8"/>
            <color indexed="81"/>
            <rFont val="Tahoma"/>
            <family val="2"/>
          </rPr>
          <t>nedgill:</t>
        </r>
        <r>
          <rPr>
            <sz val="8"/>
            <color indexed="81"/>
            <rFont val="Tahoma"/>
            <family val="2"/>
          </rPr>
          <t xml:space="preserve">
incl LT rest cash</t>
        </r>
      </text>
    </comment>
    <comment ref="BA255" authorId="5">
      <text>
        <r>
          <rPr>
            <b/>
            <sz val="8"/>
            <color indexed="81"/>
            <rFont val="Tahoma"/>
            <family val="2"/>
          </rPr>
          <t>nedgill:</t>
        </r>
        <r>
          <rPr>
            <sz val="8"/>
            <color indexed="81"/>
            <rFont val="Tahoma"/>
            <family val="2"/>
          </rPr>
          <t xml:space="preserve">
incl LT rest cash</t>
        </r>
      </text>
    </comment>
    <comment ref="BB255" authorId="5">
      <text>
        <r>
          <rPr>
            <b/>
            <sz val="8"/>
            <color indexed="81"/>
            <rFont val="Tahoma"/>
            <family val="2"/>
          </rPr>
          <t>nedgill:</t>
        </r>
        <r>
          <rPr>
            <sz val="8"/>
            <color indexed="81"/>
            <rFont val="Tahoma"/>
            <family val="2"/>
          </rPr>
          <t xml:space="preserve">
incl LT rest cash</t>
        </r>
      </text>
    </comment>
    <comment ref="BC255" authorId="5">
      <text>
        <r>
          <rPr>
            <b/>
            <sz val="8"/>
            <color indexed="81"/>
            <rFont val="Tahoma"/>
            <family val="2"/>
          </rPr>
          <t>nedgill:</t>
        </r>
        <r>
          <rPr>
            <sz val="8"/>
            <color indexed="81"/>
            <rFont val="Tahoma"/>
            <family val="2"/>
          </rPr>
          <t xml:space="preserve">
incl LT rest cash</t>
        </r>
      </text>
    </comment>
    <comment ref="BD255" authorId="5">
      <text>
        <r>
          <rPr>
            <b/>
            <sz val="8"/>
            <color indexed="81"/>
            <rFont val="Tahoma"/>
            <family val="2"/>
          </rPr>
          <t>nedgill:</t>
        </r>
        <r>
          <rPr>
            <sz val="8"/>
            <color indexed="81"/>
            <rFont val="Tahoma"/>
            <family val="2"/>
          </rPr>
          <t xml:space="preserve">
incl LT rest cash</t>
        </r>
      </text>
    </comment>
    <comment ref="BF255" authorId="5">
      <text>
        <r>
          <rPr>
            <b/>
            <sz val="8"/>
            <color indexed="81"/>
            <rFont val="Tahoma"/>
            <family val="2"/>
          </rPr>
          <t>nedgill:</t>
        </r>
        <r>
          <rPr>
            <sz val="8"/>
            <color indexed="81"/>
            <rFont val="Tahoma"/>
            <family val="2"/>
          </rPr>
          <t xml:space="preserve">
incl LT rest cash</t>
        </r>
      </text>
    </comment>
    <comment ref="BG255" authorId="12">
      <text>
        <r>
          <rPr>
            <b/>
            <sz val="8"/>
            <color indexed="81"/>
            <rFont val="Tahoma"/>
            <family val="2"/>
          </rPr>
          <t>matparke:</t>
        </r>
        <r>
          <rPr>
            <sz val="8"/>
            <color indexed="81"/>
            <rFont val="Tahoma"/>
            <family val="2"/>
          </rPr>
          <t xml:space="preserve">
includes LT restricted cash</t>
        </r>
      </text>
    </comment>
    <comment ref="BH255" authorId="12">
      <text>
        <r>
          <rPr>
            <b/>
            <sz val="8"/>
            <color indexed="81"/>
            <rFont val="Tahoma"/>
            <family val="2"/>
          </rPr>
          <t>matparke:</t>
        </r>
        <r>
          <rPr>
            <sz val="8"/>
            <color indexed="81"/>
            <rFont val="Tahoma"/>
            <family val="2"/>
          </rPr>
          <t xml:space="preserve">
includes LT restricted cash</t>
        </r>
      </text>
    </comment>
    <comment ref="BI255" authorId="12">
      <text>
        <r>
          <rPr>
            <b/>
            <sz val="8"/>
            <color indexed="81"/>
            <rFont val="Tahoma"/>
            <family val="2"/>
          </rPr>
          <t>matparke:</t>
        </r>
        <r>
          <rPr>
            <sz val="8"/>
            <color indexed="81"/>
            <rFont val="Tahoma"/>
            <family val="2"/>
          </rPr>
          <t xml:space="preserve">
includes LT restricted cash</t>
        </r>
      </text>
    </comment>
    <comment ref="BK255" authorId="12">
      <text>
        <r>
          <rPr>
            <b/>
            <sz val="8"/>
            <color indexed="81"/>
            <rFont val="Tahoma"/>
            <family val="2"/>
          </rPr>
          <t>matparke:</t>
        </r>
        <r>
          <rPr>
            <sz val="8"/>
            <color indexed="81"/>
            <rFont val="Tahoma"/>
            <family val="2"/>
          </rPr>
          <t xml:space="preserve">
includes LT restricted cash</t>
        </r>
      </text>
    </comment>
    <comment ref="BL255" authorId="12">
      <text>
        <r>
          <rPr>
            <b/>
            <sz val="8"/>
            <color indexed="81"/>
            <rFont val="Tahoma"/>
            <family val="2"/>
          </rPr>
          <t>matparke:</t>
        </r>
        <r>
          <rPr>
            <sz val="8"/>
            <color indexed="81"/>
            <rFont val="Tahoma"/>
            <family val="2"/>
          </rPr>
          <t xml:space="preserve">
includes LT restricted cash</t>
        </r>
      </text>
    </comment>
    <comment ref="BM255" authorId="12">
      <text>
        <r>
          <rPr>
            <b/>
            <sz val="8"/>
            <color indexed="81"/>
            <rFont val="Tahoma"/>
            <family val="2"/>
          </rPr>
          <t>matparke:</t>
        </r>
        <r>
          <rPr>
            <sz val="8"/>
            <color indexed="81"/>
            <rFont val="Tahoma"/>
            <family val="2"/>
          </rPr>
          <t xml:space="preserve">
includes LT restricted cash</t>
        </r>
      </text>
    </comment>
    <comment ref="BN255" authorId="12">
      <text>
        <r>
          <rPr>
            <b/>
            <sz val="8"/>
            <color indexed="81"/>
            <rFont val="Tahoma"/>
            <family val="2"/>
          </rPr>
          <t>matparke:</t>
        </r>
        <r>
          <rPr>
            <sz val="8"/>
            <color indexed="81"/>
            <rFont val="Tahoma"/>
            <family val="2"/>
          </rPr>
          <t xml:space="preserve">
includes LT restricted cash</t>
        </r>
      </text>
    </comment>
    <comment ref="AA263" authorId="3">
      <text>
        <r>
          <rPr>
            <b/>
            <sz val="8"/>
            <color indexed="81"/>
            <rFont val="Tahoma"/>
            <family val="2"/>
          </rPr>
          <t xml:space="preserve">10Q- 3Q2004:
</t>
        </r>
        <r>
          <rPr>
            <sz val="8"/>
            <color indexed="81"/>
            <rFont val="Tahoma"/>
            <family val="2"/>
          </rPr>
          <t>At June 30, 2004, our firm aircraft orders consisted of 122 Airbus A320 aircraft, 100 Embraer E190 aircraft and 37 spare engines scheduled for delivery through 2012. Committed expenditures for these aircraft and related flight equipment, including estimated amounts for contractual price escalations, spare engines and predelivery deposits, will be approximately $345 million for the remainder of 2004, $815 million in 2005, $1.12 billion in 2006, $1.16 billion in 2007, $1.19 billion in 2008, $1.22 billion in 2009 and $1.70 billion thereafter. We have options to purchase 50 A320 aircraft and related equipment scheduled for delivery from 2008 through 2013, and we also have options to purchase 100 Embraer E190 aircraft and related equipment scheduled for delivery from 2011 through 2016. Debt financing has been arranged for our eight remaining aircraft deliveries scheduled for 2004. Additionally, lease financing has been arranged for the first 30 Embraer E190 aircraft deliveries scheduled for delivery through March 2007.</t>
        </r>
      </text>
    </comment>
    <comment ref="AF263" authorId="3">
      <text>
        <r>
          <rPr>
            <b/>
            <sz val="8"/>
            <color indexed="81"/>
            <rFont val="Tahoma"/>
            <family val="2"/>
          </rPr>
          <t xml:space="preserve">10Q- 3Q2004:
</t>
        </r>
        <r>
          <rPr>
            <sz val="8"/>
            <color indexed="81"/>
            <rFont val="Tahoma"/>
            <family val="2"/>
          </rPr>
          <t>At June 30, 2004, our firm aircraft orders consisted of 122 Airbus A320 aircraft, 100 Embraer E190 aircraft and 37 spare engines scheduled for delivery through 2012. Committed expenditures for these aircraft and related flight equipment, including estimated amounts for contractual price escalations, spare engines and predelivery deposits, will be approximately $345 million for the remainder of 2004, $815 million in 2005, $1.12 billion in 2006, $1.16 billion in 2007, $1.19 billion in 2008, $1.22 billion in 2009 and $1.70 billion thereafter. We have options to purchase 50 A320 aircraft and related equipment scheduled for delivery from 2008 through 2013, and we also have options to purchase 100 Embraer E190 aircraft and related equipment scheduled for delivery from 2011 through 2016. Debt financing has been arranged for our eight remaining aircraft deliveries scheduled for 2004. Additionally, lease financing has been arranged for the first 30 Embraer E190 aircraft deliveries scheduled for delivery through March 2007.</t>
        </r>
      </text>
    </comment>
    <comment ref="AQ266" authorId="5">
      <text>
        <r>
          <rPr>
            <b/>
            <sz val="8"/>
            <color indexed="81"/>
            <rFont val="Tahoma"/>
            <family val="2"/>
          </rPr>
          <t>nedgill:</t>
        </r>
        <r>
          <rPr>
            <sz val="8"/>
            <color indexed="81"/>
            <rFont val="Tahoma"/>
            <family val="2"/>
          </rPr>
          <t xml:space="preserve">
estimated</t>
        </r>
      </text>
    </comment>
    <comment ref="AR266" authorId="5">
      <text>
        <r>
          <rPr>
            <b/>
            <sz val="8"/>
            <color indexed="81"/>
            <rFont val="Tahoma"/>
            <family val="2"/>
          </rPr>
          <t>nedgill:</t>
        </r>
        <r>
          <rPr>
            <sz val="8"/>
            <color indexed="81"/>
            <rFont val="Tahoma"/>
            <family val="2"/>
          </rPr>
          <t xml:space="preserve">
estimated</t>
        </r>
      </text>
    </comment>
    <comment ref="AS266" authorId="5">
      <text>
        <r>
          <rPr>
            <b/>
            <sz val="8"/>
            <color indexed="81"/>
            <rFont val="Tahoma"/>
            <family val="2"/>
          </rPr>
          <t>nedgill:</t>
        </r>
        <r>
          <rPr>
            <sz val="8"/>
            <color indexed="81"/>
            <rFont val="Tahoma"/>
            <family val="2"/>
          </rPr>
          <t xml:space="preserve">
estimated</t>
        </r>
      </text>
    </comment>
    <comment ref="Q267" authorId="2">
      <text>
        <r>
          <rPr>
            <sz val="8"/>
            <color indexed="81"/>
            <rFont val="Tahoma"/>
            <family val="2"/>
          </rPr>
          <t xml:space="preserve">10K: Includes $12.9 mil of restricted cash pledged under standby letters of credit related to operating leases.
</t>
        </r>
      </text>
    </comment>
    <comment ref="AG280" authorId="5">
      <text>
        <r>
          <rPr>
            <b/>
            <sz val="8"/>
            <color indexed="81"/>
            <rFont val="Tahoma"/>
            <family val="2"/>
          </rPr>
          <t>nedgill:</t>
        </r>
        <r>
          <rPr>
            <sz val="8"/>
            <color indexed="81"/>
            <rFont val="Tahoma"/>
            <family val="2"/>
          </rPr>
          <t xml:space="preserve">
estimated</t>
        </r>
      </text>
    </comment>
    <comment ref="G281" authorId="2">
      <text>
        <r>
          <rPr>
            <b/>
            <sz val="8"/>
            <color indexed="81"/>
            <rFont val="Tahoma"/>
            <family val="2"/>
          </rPr>
          <t>susmanr:</t>
        </r>
        <r>
          <rPr>
            <sz val="8"/>
            <color indexed="81"/>
            <rFont val="Tahoma"/>
            <family val="2"/>
          </rPr>
          <t xml:space="preserve">
converts included</t>
        </r>
      </text>
    </comment>
    <comment ref="L281" authorId="2">
      <text>
        <r>
          <rPr>
            <b/>
            <sz val="8"/>
            <color indexed="81"/>
            <rFont val="Tahoma"/>
            <family val="2"/>
          </rPr>
          <t>susmanr:</t>
        </r>
        <r>
          <rPr>
            <sz val="8"/>
            <color indexed="81"/>
            <rFont val="Tahoma"/>
            <family val="2"/>
          </rPr>
          <t xml:space="preserve">
includes converts</t>
        </r>
      </text>
    </comment>
    <comment ref="AG297" authorId="5">
      <text>
        <r>
          <rPr>
            <b/>
            <sz val="8"/>
            <color indexed="81"/>
            <rFont val="Tahoma"/>
            <family val="2"/>
          </rPr>
          <t>nedgill:</t>
        </r>
        <r>
          <rPr>
            <sz val="8"/>
            <color indexed="81"/>
            <rFont val="Tahoma"/>
            <family val="2"/>
          </rPr>
          <t xml:space="preserve">
estimated</t>
        </r>
      </text>
    </comment>
    <comment ref="AH297" authorId="5">
      <text>
        <r>
          <rPr>
            <b/>
            <sz val="8"/>
            <color indexed="81"/>
            <rFont val="Tahoma"/>
            <family val="2"/>
          </rPr>
          <t>nedgill:</t>
        </r>
        <r>
          <rPr>
            <sz val="8"/>
            <color indexed="81"/>
            <rFont val="Tahoma"/>
            <family val="2"/>
          </rPr>
          <t xml:space="preserve">
estimated</t>
        </r>
      </text>
    </comment>
    <comment ref="AI297" authorId="5">
      <text>
        <r>
          <rPr>
            <b/>
            <sz val="8"/>
            <color indexed="81"/>
            <rFont val="Tahoma"/>
            <family val="2"/>
          </rPr>
          <t>nedgill:</t>
        </r>
        <r>
          <rPr>
            <sz val="8"/>
            <color indexed="81"/>
            <rFont val="Tahoma"/>
            <family val="2"/>
          </rPr>
          <t xml:space="preserve">
estimated</t>
        </r>
      </text>
    </comment>
    <comment ref="AL297" authorId="5">
      <text>
        <r>
          <rPr>
            <b/>
            <sz val="8"/>
            <color indexed="81"/>
            <rFont val="Tahoma"/>
            <family val="2"/>
          </rPr>
          <t>nedgill:</t>
        </r>
        <r>
          <rPr>
            <sz val="8"/>
            <color indexed="81"/>
            <rFont val="Tahoma"/>
            <family val="2"/>
          </rPr>
          <t xml:space="preserve">
estimated</t>
        </r>
      </text>
    </comment>
    <comment ref="AM297" authorId="5">
      <text>
        <r>
          <rPr>
            <b/>
            <sz val="8"/>
            <color indexed="81"/>
            <rFont val="Tahoma"/>
            <family val="2"/>
          </rPr>
          <t>nedgill:</t>
        </r>
        <r>
          <rPr>
            <sz val="8"/>
            <color indexed="81"/>
            <rFont val="Tahoma"/>
            <family val="2"/>
          </rPr>
          <t xml:space="preserve">
estimated</t>
        </r>
      </text>
    </comment>
    <comment ref="AN297" authorId="5">
      <text>
        <r>
          <rPr>
            <b/>
            <sz val="8"/>
            <color indexed="81"/>
            <rFont val="Tahoma"/>
            <family val="2"/>
          </rPr>
          <t>nedgill:</t>
        </r>
        <r>
          <rPr>
            <sz val="8"/>
            <color indexed="81"/>
            <rFont val="Tahoma"/>
            <family val="2"/>
          </rPr>
          <t xml:space="preserve">
estimated</t>
        </r>
      </text>
    </comment>
    <comment ref="AQ297" authorId="5">
      <text>
        <r>
          <rPr>
            <b/>
            <sz val="8"/>
            <color indexed="81"/>
            <rFont val="Tahoma"/>
            <family val="2"/>
          </rPr>
          <t>nedgill:</t>
        </r>
        <r>
          <rPr>
            <sz val="8"/>
            <color indexed="81"/>
            <rFont val="Tahoma"/>
            <family val="2"/>
          </rPr>
          <t xml:space="preserve">
estimated</t>
        </r>
      </text>
    </comment>
    <comment ref="AR297" authorId="5">
      <text>
        <r>
          <rPr>
            <b/>
            <sz val="8"/>
            <color indexed="81"/>
            <rFont val="Tahoma"/>
            <family val="2"/>
          </rPr>
          <t>nedgill:</t>
        </r>
        <r>
          <rPr>
            <sz val="8"/>
            <color indexed="81"/>
            <rFont val="Tahoma"/>
            <family val="2"/>
          </rPr>
          <t xml:space="preserve">
estimated</t>
        </r>
      </text>
    </comment>
    <comment ref="AS297" authorId="5">
      <text>
        <r>
          <rPr>
            <b/>
            <sz val="8"/>
            <color indexed="81"/>
            <rFont val="Tahoma"/>
            <family val="2"/>
          </rPr>
          <t>nedgill:</t>
        </r>
        <r>
          <rPr>
            <sz val="8"/>
            <color indexed="81"/>
            <rFont val="Tahoma"/>
            <family val="2"/>
          </rPr>
          <t xml:space="preserve">
estimated</t>
        </r>
      </text>
    </comment>
    <comment ref="AV297" authorId="5">
      <text>
        <r>
          <rPr>
            <b/>
            <sz val="8"/>
            <color indexed="81"/>
            <rFont val="Tahoma"/>
            <family val="2"/>
          </rPr>
          <t>nedgill:</t>
        </r>
        <r>
          <rPr>
            <sz val="8"/>
            <color indexed="81"/>
            <rFont val="Tahoma"/>
            <family val="2"/>
          </rPr>
          <t xml:space="preserve">
estimated</t>
        </r>
      </text>
    </comment>
    <comment ref="AW297" authorId="5">
      <text>
        <r>
          <rPr>
            <b/>
            <sz val="8"/>
            <color indexed="81"/>
            <rFont val="Tahoma"/>
            <family val="2"/>
          </rPr>
          <t>nedgill:</t>
        </r>
        <r>
          <rPr>
            <sz val="8"/>
            <color indexed="81"/>
            <rFont val="Tahoma"/>
            <family val="2"/>
          </rPr>
          <t xml:space="preserve">
estimated</t>
        </r>
      </text>
    </comment>
    <comment ref="AX297" authorId="5">
      <text>
        <r>
          <rPr>
            <b/>
            <sz val="8"/>
            <color indexed="81"/>
            <rFont val="Tahoma"/>
            <family val="2"/>
          </rPr>
          <t>nedgill:</t>
        </r>
        <r>
          <rPr>
            <sz val="8"/>
            <color indexed="81"/>
            <rFont val="Tahoma"/>
            <family val="2"/>
          </rPr>
          <t xml:space="preserve">
estimated</t>
        </r>
      </text>
    </comment>
    <comment ref="BA297" authorId="5">
      <text>
        <r>
          <rPr>
            <b/>
            <sz val="8"/>
            <color indexed="81"/>
            <rFont val="Tahoma"/>
            <family val="2"/>
          </rPr>
          <t>nedgill:</t>
        </r>
        <r>
          <rPr>
            <sz val="8"/>
            <color indexed="81"/>
            <rFont val="Tahoma"/>
            <family val="2"/>
          </rPr>
          <t xml:space="preserve">
estimated</t>
        </r>
      </text>
    </comment>
    <comment ref="BB297" authorId="5">
      <text>
        <r>
          <rPr>
            <b/>
            <sz val="8"/>
            <color indexed="81"/>
            <rFont val="Tahoma"/>
            <family val="2"/>
          </rPr>
          <t>nedgill:</t>
        </r>
        <r>
          <rPr>
            <sz val="8"/>
            <color indexed="81"/>
            <rFont val="Tahoma"/>
            <family val="2"/>
          </rPr>
          <t xml:space="preserve">
estimated</t>
        </r>
      </text>
    </comment>
    <comment ref="BC297" authorId="5">
      <text>
        <r>
          <rPr>
            <b/>
            <sz val="8"/>
            <color indexed="81"/>
            <rFont val="Tahoma"/>
            <family val="2"/>
          </rPr>
          <t>nedgill:</t>
        </r>
        <r>
          <rPr>
            <sz val="8"/>
            <color indexed="81"/>
            <rFont val="Tahoma"/>
            <family val="2"/>
          </rPr>
          <t xml:space="preserve">
estimated</t>
        </r>
      </text>
    </comment>
    <comment ref="BF297" authorId="5">
      <text>
        <r>
          <rPr>
            <b/>
            <sz val="8"/>
            <color indexed="81"/>
            <rFont val="Tahoma"/>
            <family val="2"/>
          </rPr>
          <t>nedgill:</t>
        </r>
        <r>
          <rPr>
            <sz val="8"/>
            <color indexed="81"/>
            <rFont val="Tahoma"/>
            <family val="2"/>
          </rPr>
          <t xml:space="preserve">
estimated</t>
        </r>
      </text>
    </comment>
    <comment ref="Q301" authorId="2">
      <text>
        <r>
          <rPr>
            <sz val="8"/>
            <color indexed="81"/>
            <rFont val="Tahoma"/>
            <family val="2"/>
          </rPr>
          <t xml:space="preserve">Amortization above is not indefinite life, thus it is not included here.
</t>
        </r>
      </text>
    </comment>
    <comment ref="AW308" authorId="5">
      <text>
        <r>
          <rPr>
            <b/>
            <sz val="8"/>
            <color indexed="81"/>
            <rFont val="Tahoma"/>
            <family val="2"/>
          </rPr>
          <t>nedgill:</t>
        </r>
        <r>
          <rPr>
            <sz val="8"/>
            <color indexed="81"/>
            <rFont val="Tahoma"/>
            <family val="2"/>
          </rPr>
          <t xml:space="preserve">
$84M line of credit fully available at the end of 2Q09</t>
        </r>
      </text>
    </comment>
    <comment ref="AX308" authorId="5">
      <text>
        <r>
          <rPr>
            <b/>
            <sz val="8"/>
            <color indexed="81"/>
            <rFont val="Tahoma"/>
            <family val="2"/>
          </rPr>
          <t>nedgill:</t>
        </r>
        <r>
          <rPr>
            <sz val="8"/>
            <color indexed="81"/>
            <rFont val="Tahoma"/>
            <family val="2"/>
          </rPr>
          <t xml:space="preserve">
60M available in line of credit at 3Q09</t>
        </r>
      </text>
    </comment>
  </commentList>
</comments>
</file>

<file path=xl/sharedStrings.xml><?xml version="1.0" encoding="utf-8"?>
<sst xmlns="http://schemas.openxmlformats.org/spreadsheetml/2006/main" count="1088" uniqueCount="871">
  <si>
    <t>First Copy is Master - Other Sensitivities Are Linked to It - Caution When Changing</t>
  </si>
  <si>
    <t>Tax Rate to Adjust One-time items</t>
  </si>
  <si>
    <t>Avg Debt</t>
  </si>
  <si>
    <t>Traditional EBITDAR</t>
  </si>
  <si>
    <t>Inventories</t>
  </si>
  <si>
    <t>JBLU.O</t>
  </si>
  <si>
    <t>Number of Aircraft (end of period)</t>
  </si>
  <si>
    <t>2005A</t>
  </si>
  <si>
    <t>2001A</t>
  </si>
  <si>
    <t>2002A</t>
  </si>
  <si>
    <t>2003A</t>
  </si>
  <si>
    <t>Math Check: Assets - (Liab + Equity)</t>
  </si>
  <si>
    <t>Statutory Tax Rate</t>
  </si>
  <si>
    <t>Total Liabilities</t>
  </si>
  <si>
    <t>Additional Paid-In Capital</t>
  </si>
  <si>
    <t>Treasury Stock</t>
  </si>
  <si>
    <t>Price</t>
  </si>
  <si>
    <t>Total Shareholders' Equity</t>
  </si>
  <si>
    <t>Total Liabilities and Equity</t>
  </si>
  <si>
    <t>Accrural Net Share Issuance</t>
  </si>
  <si>
    <t>Accrued Dividends</t>
  </si>
  <si>
    <t>Unrecorded goodwill from Poolings and accum amortization</t>
  </si>
  <si>
    <t>Interest and Other Income (Expense)</t>
  </si>
  <si>
    <t>3QE</t>
  </si>
  <si>
    <t>Number of Aircraft (average)</t>
  </si>
  <si>
    <t>Pax Revenue (mm)</t>
  </si>
  <si>
    <t>Hedged Fuel Price Forecasting Details</t>
  </si>
  <si>
    <t>JBLU</t>
  </si>
  <si>
    <t>D&amp;A</t>
  </si>
  <si>
    <t>Total Operating Expense</t>
  </si>
  <si>
    <t>Operating Income</t>
  </si>
  <si>
    <t>Operating Margin</t>
  </si>
  <si>
    <t>EBITDAR</t>
  </si>
  <si>
    <t>1999A</t>
  </si>
  <si>
    <t>2012A</t>
  </si>
  <si>
    <t>IR: flat to slight decline, we see favorable interest rate environment so don't see</t>
  </si>
  <si>
    <t>A320</t>
  </si>
  <si>
    <t>A321</t>
  </si>
  <si>
    <t>1QA</t>
  </si>
  <si>
    <t>2QA</t>
  </si>
  <si>
    <t>Implied Interest Rate and Forward Interest Rate Assumption</t>
  </si>
  <si>
    <t>LTM Metrics</t>
  </si>
  <si>
    <t>LTM Operating Revenue</t>
  </si>
  <si>
    <t>LTM Passenger Revenue</t>
  </si>
  <si>
    <t>LTM Operating Expense</t>
  </si>
  <si>
    <t>LTM Fuel Expense</t>
  </si>
  <si>
    <t>LTM Ex-Fuel Operating Expense</t>
  </si>
  <si>
    <t>LTM Mainline Aircraft Rent</t>
  </si>
  <si>
    <t>LTM Regional Rent</t>
  </si>
  <si>
    <t>LTM EBIT</t>
  </si>
  <si>
    <t>LTM EBITDA</t>
  </si>
  <si>
    <t>LTM EBITDAR</t>
  </si>
  <si>
    <t>LTM Regional Rent Adj EBITDAR</t>
  </si>
  <si>
    <t>LTM Interest Expense</t>
  </si>
  <si>
    <t>LTM Net Interest Expense</t>
  </si>
  <si>
    <t>LTM Pre-Tax Income</t>
  </si>
  <si>
    <t>LTM Net Income</t>
  </si>
  <si>
    <t>LTM Common-Sized Statement (% of LTM Total Revenue)</t>
  </si>
  <si>
    <t>Net Income</t>
  </si>
  <si>
    <t>Total Non-Current Assets</t>
  </si>
  <si>
    <t>Total Non-Current Liabilities</t>
  </si>
  <si>
    <t>Unrestricted Cash and ST Investments</t>
  </si>
  <si>
    <t>Restricted Cash in Current Assets</t>
  </si>
  <si>
    <t>Restricted Cash in LT Assets (i.e. impaired ARS)</t>
  </si>
  <si>
    <t>Available Lines of Credit</t>
  </si>
  <si>
    <t>Total Unencumbered Assets</t>
  </si>
  <si>
    <t>% of Unencumbered Assets Applied to Liquidity</t>
  </si>
  <si>
    <t>Total Liquidity including Restriced Cash</t>
  </si>
  <si>
    <t>% of LTM Operating Revenue</t>
  </si>
  <si>
    <t>% of Total Assets</t>
  </si>
  <si>
    <t>Total Liquidity ex-Restriced Cash</t>
  </si>
  <si>
    <t>Gross Debt / LTM EBIT</t>
  </si>
  <si>
    <t>Gross Debt / LTM EBITDA</t>
  </si>
  <si>
    <t>Gross Debt / LTM EBITDAR</t>
  </si>
  <si>
    <t>Debt Net of Unrest. Cash / LTM EBIT</t>
  </si>
  <si>
    <t>Debt Net of Unrest. Cash / LTM EBITDA</t>
  </si>
  <si>
    <t>Debt Net of Unrest. Cash / LTM EBITDAR</t>
  </si>
  <si>
    <t>Covenant Check</t>
  </si>
  <si>
    <t>Current Cash Balance</t>
  </si>
  <si>
    <t>Min. Cash Balance Covenant</t>
  </si>
  <si>
    <t>Current Fixed Charge Ratio</t>
  </si>
  <si>
    <t>Min. Fixed Charge Ratio</t>
  </si>
  <si>
    <t>Valuation</t>
  </si>
  <si>
    <t>Net Debt Calculations</t>
  </si>
  <si>
    <t>Unrestricted Cash Balance</t>
  </si>
  <si>
    <t>Total Cash Balance</t>
  </si>
  <si>
    <t>On Balance Sheet Debt</t>
  </si>
  <si>
    <t>Convertible Debt Adjustment</t>
  </si>
  <si>
    <t>Debt Net of Total Cash and Converts</t>
  </si>
  <si>
    <t>Debt Net of Unrest. Cash and Converts</t>
  </si>
  <si>
    <t>Annualized Mainline Aircraft Rent</t>
  </si>
  <si>
    <t>Annualized Regional Rent</t>
  </si>
  <si>
    <t>Annualized Total Aircraft Rent</t>
  </si>
  <si>
    <t>Mainline Rent Adj. Debt Net of Total Cash and Converts</t>
  </si>
  <si>
    <t>Mainline Rent Adj. Debt Net of Unrest. Cash and Converts</t>
  </si>
  <si>
    <t>Total Rent Adj. Debt Net of Total Cash and Converts</t>
  </si>
  <si>
    <t>Total Rent Adj. Debt Net of Unrest. Cash and Converts</t>
  </si>
  <si>
    <t>Market Value of Equity Calculations</t>
  </si>
  <si>
    <t>Share Price</t>
  </si>
  <si>
    <t>Enterprise Value Calculations</t>
  </si>
  <si>
    <t>EV on Debt Net of Total Cash and Converts</t>
  </si>
  <si>
    <t>EV on Debt Net of Unrest. Cash and Converts</t>
  </si>
  <si>
    <t>EV on Mainline Rent Adj. Debt Net of Total Cash and Converts</t>
  </si>
  <si>
    <t>EV on Mainline Rent Adj. Debt Net of Unrest. Cash and Converts</t>
  </si>
  <si>
    <t>EV on Total Rent Adj. Debt Net of Total Cash and Converts</t>
  </si>
  <si>
    <t>EV on Total Rent Adj. Debt Net of Unrest. Cash and Converts</t>
  </si>
  <si>
    <t>Income Statement Calculations</t>
  </si>
  <si>
    <t>Regional Rent Adj. EBITDAR</t>
  </si>
  <si>
    <t>Price / EBIT</t>
  </si>
  <si>
    <t>Price / Pre-tax Income</t>
  </si>
  <si>
    <t>Price / Earnings</t>
  </si>
  <si>
    <t>EV / EBIT</t>
  </si>
  <si>
    <t>EV / EBITDA</t>
  </si>
  <si>
    <t>Adj. EV / Sales</t>
  </si>
  <si>
    <t>Adj. EV / EBITDAR</t>
  </si>
  <si>
    <t>3QA</t>
  </si>
  <si>
    <t>4QA</t>
  </si>
  <si>
    <t>2000A</t>
  </si>
  <si>
    <t>4QE</t>
  </si>
  <si>
    <t>2004A</t>
  </si>
  <si>
    <t>Implied / assumed depreciable life of PPE</t>
  </si>
  <si>
    <t>Free Cash Flow</t>
  </si>
  <si>
    <t>Interest Expense</t>
  </si>
  <si>
    <t>OPERATING STATISTICS</t>
  </si>
  <si>
    <t>INCOME STATEMENT</t>
  </si>
  <si>
    <t>OPERATING REVENUE</t>
  </si>
  <si>
    <t>OPERATING EXPENSES</t>
  </si>
  <si>
    <t>OPERATING SUMMARY</t>
  </si>
  <si>
    <t>EPS RECONCILIATION</t>
  </si>
  <si>
    <t>OTHER INCOME/(EXPENSE)</t>
  </si>
  <si>
    <t>NET INCOME AND EPS</t>
  </si>
  <si>
    <t>YoY % Chg.</t>
  </si>
  <si>
    <t>A320 (end of period)</t>
  </si>
  <si>
    <t>E190 (end of period)</t>
  </si>
  <si>
    <t>Sequential Change %</t>
  </si>
  <si>
    <t>Other Revenue per ASM</t>
  </si>
  <si>
    <t>Other Revenue per Departure</t>
  </si>
  <si>
    <t>Other Revenue per Passenger</t>
  </si>
  <si>
    <t>Full-Time Equivalent Employees (end of prd.)</t>
  </si>
  <si>
    <t>Avg. FTEs</t>
  </si>
  <si>
    <t>Average FTEs per Aircraft</t>
  </si>
  <si>
    <t>Salaries, Wages, Benefits Per Avg FTE</t>
  </si>
  <si>
    <t>Realized Price per Gallon</t>
  </si>
  <si>
    <t>Approx. Call Hedged Jet Fuel Price</t>
  </si>
  <si>
    <t>Approx. Put Hedged Jet Fuel Price</t>
  </si>
  <si>
    <t>Approx. Swap Hedged Jet Fuel Price</t>
  </si>
  <si>
    <t>Unhedged Jet Fuel Price Assumption</t>
  </si>
  <si>
    <t>Baseline Unhedged Jet Fuel Price</t>
  </si>
  <si>
    <t>Other Fuel Costs (transports, taxes, etc.)</t>
  </si>
  <si>
    <t>Approx. Swap Hedged Consumption (%)</t>
  </si>
  <si>
    <t>Approx. Call Hedged Consumption (%)</t>
  </si>
  <si>
    <t>Approx. Put Hedged Consumption (%)</t>
  </si>
  <si>
    <t>Gallons Consumed (mm)</t>
  </si>
  <si>
    <t>Gallons per 1,000 ASMs</t>
  </si>
  <si>
    <t>Sequential % change</t>
  </si>
  <si>
    <t>YoY Pt. Chg.</t>
  </si>
  <si>
    <t>Capitalized Interest</t>
  </si>
  <si>
    <t>Pre-tax Income Margin</t>
  </si>
  <si>
    <t>Effective Tax Rate</t>
  </si>
  <si>
    <t>Provision for Taxes (benefit)</t>
  </si>
  <si>
    <t>Interest Add-back on Convertible Debt</t>
  </si>
  <si>
    <t>INCOME STATEMENT VIEWS</t>
  </si>
  <si>
    <t>LAST TWELVE-MONTH VIEW</t>
  </si>
  <si>
    <t>CASH FLOW STATEMENT</t>
  </si>
  <si>
    <t>CASH FLOW FROM OPERATIONS</t>
  </si>
  <si>
    <t>CASH FLOW FROM INVESTING</t>
  </si>
  <si>
    <t>ASMs</t>
  </si>
  <si>
    <t>CASH FLOW FROM FINANCING</t>
  </si>
  <si>
    <t>Other Amortization</t>
  </si>
  <si>
    <t>Total D&amp;A</t>
  </si>
  <si>
    <t>Deferred Taxes</t>
  </si>
  <si>
    <t>% of Reported Taxes</t>
  </si>
  <si>
    <t>Total Changes in Working Capital and Other</t>
  </si>
  <si>
    <t>Capex</t>
  </si>
  <si>
    <t>Financed Capex</t>
  </si>
  <si>
    <t>% of Total Capex Financed</t>
  </si>
  <si>
    <t>% of Op.Revenue</t>
  </si>
  <si>
    <t>Total Capex % of Depreciation</t>
  </si>
  <si>
    <t>Proceeds from Sales, net of Acquisitions</t>
  </si>
  <si>
    <t>Dividends</t>
  </si>
  <si>
    <t>Equity Buybacks</t>
  </si>
  <si>
    <t>Equity Issuance</t>
  </si>
  <si>
    <t>Total Change in Equity</t>
  </si>
  <si>
    <t>Debt Financing for Capex</t>
  </si>
  <si>
    <t>Debt Paydown</t>
  </si>
  <si>
    <t>Other Debt</t>
  </si>
  <si>
    <t>Total Change in Debt</t>
  </si>
  <si>
    <t>Other, net</t>
  </si>
  <si>
    <t>Cash &amp; Cash Equivalents</t>
  </si>
  <si>
    <t>Short-Term Investments</t>
  </si>
  <si>
    <t>Cash &amp; ST Investments</t>
  </si>
  <si>
    <t>% of Op Revenue</t>
  </si>
  <si>
    <t>Restricted Cash</t>
  </si>
  <si>
    <t>Total Cash &amp; Short-term Investments</t>
  </si>
  <si>
    <t>Accounts Receivable</t>
  </si>
  <si>
    <t>% of Pax Revenue</t>
  </si>
  <si>
    <t>BALANCE SHEET</t>
  </si>
  <si>
    <t>ASSETS</t>
  </si>
  <si>
    <t>Deferred Income Taxes</t>
  </si>
  <si>
    <t>Prepaid Expenses &amp; Other Current Assets</t>
  </si>
  <si>
    <t>% of Ex-Fuel Expenses</t>
  </si>
  <si>
    <t>CA Less Cash and Deferred Income Taxes</t>
  </si>
  <si>
    <t xml:space="preserve">Total Owned and Leased PPE </t>
  </si>
  <si>
    <t>Total Accumulated Depreciation</t>
  </si>
  <si>
    <t xml:space="preserve">Total Owned and Leased PPE, net </t>
  </si>
  <si>
    <t>Intangible Assets, (net)</t>
  </si>
  <si>
    <t>Other Long-Term Assets</t>
  </si>
  <si>
    <t>LIABILITIES</t>
  </si>
  <si>
    <t>Short-Term Debt</t>
  </si>
  <si>
    <t>Current Portion of Long-Term Debt</t>
  </si>
  <si>
    <t>Accounts Payable</t>
  </si>
  <si>
    <t>Air Traffic Liability</t>
  </si>
  <si>
    <t>Accrued Payroll</t>
  </si>
  <si>
    <t>Other Current Liabilities</t>
  </si>
  <si>
    <t>Long-Term Debt, Less Current Portion</t>
  </si>
  <si>
    <t>Other Long-Term Liabilities</t>
  </si>
  <si>
    <t>SHAREHOLDERS' EQUITY</t>
  </si>
  <si>
    <t>Accumulated Other Comprehensive Inc.</t>
  </si>
  <si>
    <t>DEBT METRICS AND COVENANTS</t>
  </si>
  <si>
    <t>LIQUIDITY</t>
  </si>
  <si>
    <t>DEBT RATIOS</t>
  </si>
  <si>
    <t>COVENANT CHECK</t>
  </si>
  <si>
    <t>VALUATION</t>
  </si>
  <si>
    <t>KEY INPUTS</t>
  </si>
  <si>
    <t>SENSITIVITY TABLES</t>
  </si>
  <si>
    <t>SENSITIVITY INPUTS</t>
  </si>
  <si>
    <t>PRASM/FUEL SENSITIVITIES</t>
  </si>
  <si>
    <t>2010A</t>
  </si>
  <si>
    <t>JetBlue Airways</t>
  </si>
  <si>
    <t>2006A</t>
  </si>
  <si>
    <t>EPS</t>
  </si>
  <si>
    <t>Revenue per ASM (unit rev., in cents)</t>
  </si>
  <si>
    <t>Other Revenue</t>
  </si>
  <si>
    <t>Revenue per ASM (cents)</t>
  </si>
  <si>
    <t>Operating Expense</t>
  </si>
  <si>
    <t>Net Interest Expense</t>
  </si>
  <si>
    <t>Diluted Earnings Per Share</t>
  </si>
  <si>
    <t>Revenue Passengers (mm)</t>
  </si>
  <si>
    <t>After Tax Gains (Losses) from Sale of Operating Assets</t>
  </si>
  <si>
    <t xml:space="preserve">After Tax Restructuring Costs </t>
  </si>
  <si>
    <t>After Tax Other Disc. Ops./Extrordinary Item</t>
  </si>
  <si>
    <t>Total Extraordinary Items (A/T)</t>
  </si>
  <si>
    <t>GAAP Net Income</t>
  </si>
  <si>
    <t>Reported GAAP Diluted Earnings Per Share</t>
  </si>
  <si>
    <t>Modelware Requirements</t>
  </si>
  <si>
    <t>Maintenance, Materials, and Repairs</t>
  </si>
  <si>
    <t>Depreciation and Amortization</t>
  </si>
  <si>
    <t>Landing Fees and Other Rents</t>
  </si>
  <si>
    <t>Aircraft Rent</t>
  </si>
  <si>
    <t>Aircraft Fuel</t>
  </si>
  <si>
    <t>Salaries, Wages, and Benefits</t>
  </si>
  <si>
    <t>Total Current Liabilities</t>
  </si>
  <si>
    <t>LTM D&amp;A</t>
  </si>
  <si>
    <t>Other</t>
  </si>
  <si>
    <t>Year</t>
  </si>
  <si>
    <t>Period Ending Basic Shares</t>
  </si>
  <si>
    <t>Extraordinary Gains/Charges (prior to 2002)</t>
  </si>
  <si>
    <t>After Tax Asset Impairment Charge</t>
  </si>
  <si>
    <t>Cash and ST Investments</t>
  </si>
  <si>
    <t>Profit-Sharing Expense</t>
  </si>
  <si>
    <t>Expense ex-Profit Sharing</t>
  </si>
  <si>
    <t>This sheet contains Factset binary data for use with this workbook's =FDS codes.  Modifying the worksheet's contents may damage the workbook's =FDS functionality.</t>
  </si>
  <si>
    <t>Cash From Financing</t>
  </si>
  <si>
    <t>Cash provided by (used in) operations</t>
  </si>
  <si>
    <t>Cash used in discontinued operations</t>
  </si>
  <si>
    <t>Beginning Cash</t>
  </si>
  <si>
    <t>Ending Cash</t>
  </si>
  <si>
    <t>EBITDAR Margin</t>
  </si>
  <si>
    <t>Total Operating Expense per ASM ex Fuel (cents)</t>
  </si>
  <si>
    <t>Diluted Shares</t>
  </si>
  <si>
    <t>1Q</t>
  </si>
  <si>
    <t>2Q</t>
  </si>
  <si>
    <t>3Q</t>
  </si>
  <si>
    <t>4Q</t>
  </si>
  <si>
    <t>Avg.</t>
  </si>
  <si>
    <t>2008A</t>
  </si>
  <si>
    <t>2007A</t>
  </si>
  <si>
    <t>Total Assets</t>
  </si>
  <si>
    <t>Cash From Operations</t>
  </si>
  <si>
    <t>USD</t>
  </si>
  <si>
    <t>Cash From Investing</t>
  </si>
  <si>
    <t>Ticker:</t>
  </si>
  <si>
    <t>Currency</t>
  </si>
  <si>
    <t>Date</t>
  </si>
  <si>
    <t>Current Stock Price</t>
  </si>
  <si>
    <t>Count</t>
  </si>
  <si>
    <t>2013A</t>
  </si>
  <si>
    <t>LTM EBIT / LTM Net Interest Expense</t>
  </si>
  <si>
    <t>LTM EBITDA / LTM Net Interest Expense</t>
  </si>
  <si>
    <t>LTM EBITDAR / LTM Net Interest Expense</t>
  </si>
  <si>
    <t>LTM EBIT / LTM Interest Expense</t>
  </si>
  <si>
    <t>LTM EBITDA / LTM Interest Expense</t>
  </si>
  <si>
    <t>LTM EBITDAR / LTM Interest Expense</t>
  </si>
  <si>
    <t>LTM EBIT / LTM (Interest  + Aircraft Rent) Expense</t>
  </si>
  <si>
    <t>Other Operating Expenses</t>
  </si>
  <si>
    <t>LTM EBITDA / LTM (Interest  + Aircraft Rent) Expense</t>
  </si>
  <si>
    <t>LTM EBITDAR / LTM (Interest  + Aircraft Rent) Expense</t>
  </si>
  <si>
    <t>2 YoY % Chg.</t>
  </si>
  <si>
    <t>2011A</t>
  </si>
  <si>
    <t>A321 (end of period)</t>
  </si>
  <si>
    <t>any interest to lease additional</t>
  </si>
  <si>
    <t>JBLU.O,mscalc:sedolCodeCalc</t>
  </si>
  <si>
    <t>2852760</t>
  </si>
  <si>
    <t>JBLU.O,mscalc:closePriceCurrencyCalc</t>
  </si>
  <si>
    <t>JBLU.O,mscalc:targetPrice,,,,USD</t>
  </si>
  <si>
    <t>Fuel Consumption</t>
  </si>
  <si>
    <t>Interest Expense Forecast</t>
  </si>
  <si>
    <t>Sales and Marketing</t>
  </si>
  <si>
    <t>JBLU.O,mscalc:targetPrice</t>
  </si>
  <si>
    <t>,mscalc:sedolCodeCalc</t>
  </si>
  <si>
    <t>,mscalc:closePriceCurrencyCalc</t>
  </si>
  <si>
    <t>,mscalc:targetPrice,,,,USD</t>
  </si>
  <si>
    <t>Common Stock</t>
  </si>
  <si>
    <t>Retained Earnings</t>
  </si>
  <si>
    <t>Departures</t>
  </si>
  <si>
    <t>2009A</t>
  </si>
  <si>
    <t>NA</t>
  </si>
  <si>
    <t>Total Other Income (Expense)</t>
  </si>
  <si>
    <t>Pre-tax Income</t>
  </si>
  <si>
    <t>Basic Earnings Per Share</t>
  </si>
  <si>
    <t>Valuation Summary</t>
  </si>
  <si>
    <t>COMMENTS</t>
  </si>
  <si>
    <t>Average Stage Length</t>
  </si>
  <si>
    <t>Average Passenger Length of Haul</t>
  </si>
  <si>
    <t>Operating Revenue</t>
  </si>
  <si>
    <t>Net Earnings</t>
  </si>
  <si>
    <t>Revenue Passenger Miles (mm)</t>
  </si>
  <si>
    <t>Available Seat Miles (mm)</t>
  </si>
  <si>
    <t>Passenger Load Factor</t>
  </si>
  <si>
    <t>Total Operating Revenue</t>
  </si>
  <si>
    <t>Depreciation</t>
  </si>
  <si>
    <t>Other Expense Detail</t>
  </si>
  <si>
    <t>All Other Operating Expenses</t>
  </si>
  <si>
    <t>Total Current Assets</t>
  </si>
  <si>
    <t>Net Income Before Extraordinary Items</t>
  </si>
  <si>
    <t>Basic Shares Outstanding</t>
  </si>
  <si>
    <t>Diluted Shares Outstanding</t>
  </si>
  <si>
    <t>E190</t>
  </si>
  <si>
    <t>Landing gear overhaul</t>
  </si>
  <si>
    <t>Heavy maint checks</t>
  </si>
  <si>
    <t>ROIC, pre-tax</t>
  </si>
  <si>
    <t>Invested Capital</t>
  </si>
  <si>
    <t>Adjusted Operating Income After Tax</t>
  </si>
  <si>
    <t>Income tax impact</t>
  </si>
  <si>
    <t>Interest component of capitalized rent (7.5%)</t>
  </si>
  <si>
    <t>2014A</t>
  </si>
  <si>
    <t>Run Rate</t>
  </si>
  <si>
    <t>A321neo</t>
  </si>
  <si>
    <t>4Q17</t>
  </si>
  <si>
    <t>rajeev.lalwani@morganstanley.com</t>
  </si>
  <si>
    <t>(212) 761-8518</t>
  </si>
  <si>
    <t>Rajeev Lalwani</t>
  </si>
  <si>
    <t>Date:</t>
  </si>
  <si>
    <t>Price Target:</t>
  </si>
  <si>
    <t>Rating:</t>
  </si>
  <si>
    <t>JetBlue</t>
  </si>
  <si>
    <t>EBITDAR Margin (%)</t>
  </si>
  <si>
    <t>Operating Margin (%)</t>
  </si>
  <si>
    <t>Average Hedged Fuel ($/gal) - w/ taxes &amp; costs</t>
  </si>
  <si>
    <t>CASM Ex-Fuel - YoY (%)</t>
  </si>
  <si>
    <t>CASM - YoY (%)</t>
  </si>
  <si>
    <t>RASM - YoY (%)</t>
  </si>
  <si>
    <t>PRASM - YoY (%)</t>
  </si>
  <si>
    <t>Load Factor (%)</t>
  </si>
  <si>
    <t>ASM Growth - YoY (%)</t>
  </si>
  <si>
    <t>RPM - YoY (%)</t>
  </si>
  <si>
    <t>Shareholder's Equity</t>
  </si>
  <si>
    <t>Aircraft Rent @ 7x</t>
  </si>
  <si>
    <t>Implied Equity Value</t>
  </si>
  <si>
    <t>Debt</t>
  </si>
  <si>
    <t>Implied Enterprise Value</t>
  </si>
  <si>
    <t>Assumed Multiple</t>
  </si>
  <si>
    <t>Balance Sheet</t>
  </si>
  <si>
    <t>Cash Flow from Financing</t>
  </si>
  <si>
    <t>Total</t>
  </si>
  <si>
    <t>Net Issuances/Buybacks</t>
  </si>
  <si>
    <t>Net Debt Change</t>
  </si>
  <si>
    <t>Cash Flow from Investment</t>
  </si>
  <si>
    <t>Operating Cash Flow</t>
  </si>
  <si>
    <t>Forecasted Shares (mil) - w/ convertible debt</t>
  </si>
  <si>
    <t>Cash Flow</t>
  </si>
  <si>
    <t>EPS (Diluted)</t>
  </si>
  <si>
    <t>Net Debt and Rents</t>
  </si>
  <si>
    <t>Convertible Debt - add back b/c in share count</t>
  </si>
  <si>
    <t>Forecasted Aircraft Rent @ 7x</t>
  </si>
  <si>
    <t>Taxes</t>
  </si>
  <si>
    <t>Forecasted Debt</t>
  </si>
  <si>
    <t>Interest Expense and Other</t>
  </si>
  <si>
    <t>MS EBITDAR - Adjusted</t>
  </si>
  <si>
    <t>Total Operating Expenses</t>
  </si>
  <si>
    <t>MS EBITDAR</t>
  </si>
  <si>
    <t>Fuel</t>
  </si>
  <si>
    <t>Implied Target P/E</t>
  </si>
  <si>
    <t>Labor</t>
  </si>
  <si>
    <t>Total Revenues</t>
  </si>
  <si>
    <t>Price Return Potential</t>
  </si>
  <si>
    <t>Other Revenues</t>
  </si>
  <si>
    <t>Cabin Refresh</t>
  </si>
  <si>
    <t>Passenger Revenues</t>
  </si>
  <si>
    <t>Company Valuation</t>
  </si>
  <si>
    <t>Income Statement</t>
  </si>
  <si>
    <t>Valuation Year</t>
  </si>
  <si>
    <t>SUMMARIZED FINANCIAL DATA</t>
  </si>
  <si>
    <t>BULL</t>
  </si>
  <si>
    <t>BASE</t>
  </si>
  <si>
    <t>BEAR</t>
  </si>
  <si>
    <t>BEAR TO BULL VALUATION</t>
  </si>
  <si>
    <t>$m, unless stated otherwise</t>
  </si>
  <si>
    <t>Net Debt &amp; Rent to EBITDAR</t>
  </si>
  <si>
    <t>Debt &amp; Rent to EBITDAR</t>
  </si>
  <si>
    <t>Implied Target EV/EBITDAR</t>
  </si>
  <si>
    <t>Implied FCF Yield</t>
  </si>
  <si>
    <t>Oil Price Change (+$15-bbl / $0 / $0)</t>
  </si>
  <si>
    <t>Implied Per Share Value</t>
  </si>
  <si>
    <t>% of Total</t>
  </si>
  <si>
    <t>TRADING MULTIPLES - MSe</t>
  </si>
  <si>
    <t>FCF Yield</t>
  </si>
  <si>
    <t>P/E</t>
  </si>
  <si>
    <t>EV/EBITDAR</t>
  </si>
  <si>
    <t>Equal-weight</t>
  </si>
  <si>
    <t>Cash to Revenues (%) - 10-15% target</t>
  </si>
  <si>
    <t>Capacity Change - None</t>
  </si>
  <si>
    <t>PRASM Change (-2% / 0% / +2%)</t>
  </si>
  <si>
    <t>After-Tax ROIC (%) - excludes cash</t>
  </si>
  <si>
    <t>2018E</t>
  </si>
  <si>
    <t>A321neo (end of period)</t>
  </si>
  <si>
    <t>1Q18</t>
  </si>
  <si>
    <t>2015A</t>
  </si>
  <si>
    <t>Assumed Share Creep, number of shares</t>
  </si>
  <si>
    <t>Assumed Share Creep, annualized</t>
  </si>
  <si>
    <t>Stock Price Assumptions</t>
  </si>
  <si>
    <t>Avg. Stock Price Assumption (for repurchase calculation)</t>
  </si>
  <si>
    <t>Sequential Growth</t>
  </si>
  <si>
    <t>YoY % Change</t>
  </si>
  <si>
    <t>Period End Stock Price ($)</t>
  </si>
  <si>
    <t>Sequential Change ($)</t>
  </si>
  <si>
    <t>Sequential % Change</t>
  </si>
  <si>
    <t xml:space="preserve">All open work groups go through a pay review every 2 years (latest increase in Jan 2016) </t>
  </si>
  <si>
    <t>New scheme still incorporate retirement plus</t>
  </si>
  <si>
    <t>Profit-Sharing Calculation</t>
  </si>
  <si>
    <t>Retirement plus is typically Less than 5% of wages</t>
  </si>
  <si>
    <t>Total Operating Expense per ASM ex Fuel ex P/S (cents)</t>
  </si>
  <si>
    <t>CASM Ex-Fuel Ex-P/S - YoY (%)</t>
  </si>
  <si>
    <t>Current Q</t>
  </si>
  <si>
    <t>Next Year</t>
  </si>
  <si>
    <t>Long-term</t>
  </si>
  <si>
    <t>Thereafter</t>
  </si>
  <si>
    <t>Consolidated</t>
  </si>
  <si>
    <t>A321 All-Core</t>
  </si>
  <si>
    <t>A320neo</t>
  </si>
  <si>
    <t>Order Book</t>
  </si>
  <si>
    <t>2019E</t>
  </si>
  <si>
    <t>Initiatives</t>
  </si>
  <si>
    <t>P/S scheme is 10% of pre-tax income up to 18% pre-tax margin and then 20% thereafter</t>
  </si>
  <si>
    <t>Wage Math</t>
  </si>
  <si>
    <t>Weight</t>
  </si>
  <si>
    <t>Wage Hike</t>
  </si>
  <si>
    <t>Pilot</t>
  </si>
  <si>
    <t>AC Capex</t>
  </si>
  <si>
    <t>Depreciation Rate</t>
  </si>
  <si>
    <t>Incr. Depreciation</t>
  </si>
  <si>
    <t>Modeled Incr. Depreciation</t>
  </si>
  <si>
    <t>Maintenance Schedule</t>
  </si>
  <si>
    <t># of AC</t>
  </si>
  <si>
    <t>Timeline</t>
  </si>
  <si>
    <t>Before</t>
  </si>
  <si>
    <t>After</t>
  </si>
  <si>
    <t>Retrofit starts 3Q16, complete end of 2016</t>
  </si>
  <si>
    <t>Starting Beginning of 2017, Ending 2019</t>
  </si>
  <si>
    <t>Aircraft</t>
  </si>
  <si>
    <t>Non-Aircraft</t>
  </si>
  <si>
    <t>We assume non-aircraft annual capex of $150-200M</t>
  </si>
  <si>
    <t>Repurchase Authorization</t>
  </si>
  <si>
    <t xml:space="preserve">In September 2015, the Board of Directors authorized a three-year repurchase  </t>
  </si>
  <si>
    <t xml:space="preserve">program starting January 1,  2016, of up to $250 million worth of shares. </t>
  </si>
  <si>
    <t>No shares were repurchased during the third quarter of 2016 .</t>
  </si>
  <si>
    <t>Debt to Capital Ratio (30-40% target lower-end)</t>
  </si>
  <si>
    <t>Credit Card</t>
  </si>
  <si>
    <t>Cabin Restyling</t>
  </si>
  <si>
    <t>Fare Options</t>
  </si>
  <si>
    <t>2020E</t>
  </si>
  <si>
    <t>$120M ASR announced to be completed by end of 3Q16</t>
  </si>
  <si>
    <t>$140M ASR announced to be completed by end of 2Q17</t>
  </si>
  <si>
    <t>$100M ASR announced to be completed by end of 1Q17</t>
  </si>
  <si>
    <t xml:space="preserve"> </t>
  </si>
  <si>
    <t>2018-2020 0-1%</t>
  </si>
  <si>
    <t>1QE</t>
  </si>
  <si>
    <t>2QE</t>
  </si>
  <si>
    <t>Aircraft commitments 2017 (remaining): 343, 2018: 814, 2019: 1000, 2020: 1400</t>
  </si>
  <si>
    <t>10Q: Long-term Debt Maturities: 2017: 55, 2018: 194, 2019: 215, 2020: 179</t>
  </si>
  <si>
    <t>JBLU.O,mscalc:defaultCurrencyCalc</t>
  </si>
  <si>
    <t>$P$2</t>
  </si>
  <si>
    <t>2018: 24-26%</t>
  </si>
  <si>
    <t>1Q18 -$18 to -$23; FY17 -$85 to -$95</t>
  </si>
  <si>
    <t>CASM ex-Fuel 1Q18 2-4%</t>
  </si>
  <si>
    <t>2018 (1%) to 1%</t>
  </si>
  <si>
    <t>1Q18 1.6%, FY18 1.7%</t>
  </si>
  <si>
    <t>2017-2020E: Average of $1.1B</t>
  </si>
  <si>
    <t>1H2018: 1.5-3.5%</t>
  </si>
  <si>
    <t>2H2018: (3.5)-(1.5%)</t>
  </si>
  <si>
    <t>1Q18 202, FY18 845</t>
  </si>
  <si>
    <t>1Q $2.16</t>
  </si>
  <si>
    <t>23</t>
  </si>
  <si>
    <t>Matt Sharpe</t>
  </si>
  <si>
    <t>(212) 761-5156</t>
  </si>
  <si>
    <t>matt.sharpe@morganstanley.com</t>
  </si>
  <si>
    <t>1Q18: 3.3%</t>
  </si>
  <si>
    <t>1Q18 RASM 6.1% (+2.0 pts calendar shift)</t>
  </si>
  <si>
    <t>Research</t>
  </si>
  <si>
    <t>MSA91FHR</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</si>
  <si>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</si>
  <si>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</si>
  <si>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</si>
  <si>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</si>
  <si>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</si>
  <si>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</si>
  <si>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</si>
  <si>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Rajeev Lalwani</t>
  </si>
  <si>
    <t>Date: 16 Apr 2018</t>
  </si>
  <si>
    <t>Ticker: JBLU.O</t>
  </si>
  <si>
    <t>Stock Rating: Equal-Weight</t>
  </si>
  <si>
    <t>Industry: Airlines</t>
  </si>
  <si>
    <t>Industry View: In-Line</t>
  </si>
  <si>
    <t>Price as of 16 Apr 2018: 19.51</t>
  </si>
  <si>
    <t>Target Price: 23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</si>
  <si>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</si>
  <si>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</si>
  <si>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</si>
  <si>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</si>
  <si>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JetBlue Airways.</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</si>
  <si>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</si>
  <si>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</si>
  <si>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</si>
  <si>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</si>
  <si>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</si>
  <si>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</si>
  <si>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</si>
  <si>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</si>
  <si>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</si>
  <si>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</si>
  <si>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</si>
  <si>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</si>
  <si>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</si>
  <si>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</si>
  <si>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</si>
  <si>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</si>
  <si>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</si>
  <si>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</si>
  <si>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</si>
  <si>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</si>
  <si>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</si>
  <si>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</si>
  <si>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</si>
  <si>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</si>
  <si>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</si>
  <si>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</si>
  <si>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</si>
  <si>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</si>
  <si>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</si>
  <si>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</si>
  <si>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</si>
  <si>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</si>
  <si>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</si>
  <si>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</si>
  <si>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</si>
  <si>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</si>
  <si>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</si>
  <si>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</si>
  <si>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</si>
  <si>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</si>
  <si>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</si>
  <si>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</si>
  <si>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</si>
  <si>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</si>
  <si>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</si>
  <si>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</si>
  <si>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</si>
  <si>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</si>
  <si>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</si>
  <si>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</si>
  <si>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</si>
  <si>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</si>
  <si>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</si>
  <si>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</si>
  <si>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</si>
  <si>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</si>
  <si>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</si>
  <si>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</si>
  <si>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</si>
  <si>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</si>
  <si>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</si>
  <si>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</si>
  <si>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</si>
  <si>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</si>
  <si>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</si>
  <si>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</si>
  <si>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</si>
  <si>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</si>
  <si>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</si>
  <si>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</si>
  <si>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</si>
  <si>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</si>
  <si>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</si>
  <si>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</si>
  <si>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</si>
  <si>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</si>
  <si>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</si>
  <si>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</si>
  <si>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</si>
  <si>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</si>
  <si>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</si>
  <si>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</si>
  <si>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</si>
  <si>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</si>
  <si>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</si>
  <si>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</si>
  <si>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</si>
  <si>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</si>
  <si>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</si>
  <si>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</si>
  <si>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</si>
  <si>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</si>
  <si>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</si>
  <si>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</si>
  <si>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</si>
  <si>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</si>
  <si>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</si>
  <si>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</si>
  <si>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</si>
  <si>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</si>
  <si>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</si>
  <si>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</si>
  <si>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</si>
  <si>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</si>
  <si>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</si>
  <si>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</si>
  <si>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</si>
  <si>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</si>
  <si>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</si>
  <si>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</si>
  <si>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</si>
  <si>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</si>
  <si>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</si>
  <si>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</si>
  <si>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</si>
  <si>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</si>
  <si>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</si>
  <si>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</si>
  <si>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</si>
  <si>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</si>
  <si>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</si>
  <si>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</si>
  <si>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</si>
  <si>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</si>
  <si>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</si>
  <si>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</si>
  <si>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</si>
  <si>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</si>
  <si>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</si>
  <si>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</si>
  <si>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</si>
  <si>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</si>
  <si>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</si>
  <si>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</si>
  <si>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</si>
  <si>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</si>
  <si>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</si>
  <si>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</si>
  <si>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</si>
  <si>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</si>
  <si>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</si>
  <si>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</si>
  <si>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</si>
  <si>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</si>
  <si>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</si>
  <si>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</si>
  <si>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</si>
  <si>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</si>
  <si>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</si>
  <si>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</si>
  <si>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</si>
  <si>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</si>
  <si>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</si>
  <si>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</si>
  <si>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</si>
  <si>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</si>
  <si>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</si>
  <si>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</si>
  <si>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</si>
  <si>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</si>
  <si>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</si>
  <si>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</si>
  <si>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</si>
  <si>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</si>
  <si>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</si>
  <si>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</si>
  <si>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</si>
  <si>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</si>
  <si>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</si>
  <si>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</si>
  <si>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</si>
  <si>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</si>
  <si>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</si>
  <si>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</si>
  <si>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</si>
  <si>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JetBlue Airways.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</si>
  <si>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</si>
  <si>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</si>
  <si>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</si>
  <si>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</si>
  <si>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</si>
  <si>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</si>
  <si>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</si>
  <si>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</si>
  <si>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</si>
  <si>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</si>
  <si>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</si>
  <si>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</si>
  <si>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</si>
  <si>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</si>
  <si>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</si>
  <si>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</si>
  <si>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</si>
  <si>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</si>
  <si>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</si>
  <si>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</si>
  <si>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</si>
  <si>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</si>
  <si>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</si>
  <si>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</si>
  <si>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</si>
  <si>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</si>
  <si>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</si>
  <si>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</si>
  <si>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</si>
  <si>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</si>
  <si>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</si>
  <si>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</si>
  <si>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</si>
  <si>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</si>
  <si>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</si>
  <si>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</si>
  <si>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</si>
  <si>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</si>
  <si>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</si>
  <si>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</si>
  <si>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</si>
  <si>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</si>
  <si>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</si>
  <si>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</si>
  <si>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</si>
  <si>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</si>
  <si>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</si>
  <si>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</si>
  <si>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</si>
  <si>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</si>
  <si>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</si>
  <si>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</si>
  <si>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</si>
  <si>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</si>
  <si>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</si>
  <si>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</si>
  <si>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</si>
  <si>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</si>
  <si>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</si>
  <si>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</si>
  <si>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</si>
  <si>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</si>
  <si>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</si>
  <si>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</si>
  <si>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</si>
  <si>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</si>
  <si>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</si>
  <si>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</si>
  <si>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JetBlue Airways.</t>
  </si>
  <si>
    <t>Within the last 12 months, Morgan Stanley has provided or is providing investment banking services to,</t>
  </si>
  <si>
    <t>or has an investment banking client relationship with, the following company: JetBlue Airways.</t>
  </si>
  <si>
    <t>In the next 3 months, Morgan Stanley expects to receive or intends to seek compensation for investment</t>
  </si>
  <si>
    <t>banking services from JetBlue Airways.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</si>
  <si>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</si>
  <si>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</si>
  <si>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</si>
  <si>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</si>
  <si>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</si>
  <si>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Rajeev Lalwani,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</si>
  <si>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</si>
  <si>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</si>
  <si>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</si>
  <si>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</si>
  <si>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</si>
  <si>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</si>
  <si>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</si>
  <si>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</si>
  <si>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</si>
  <si>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</si>
  <si>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</si>
  <si>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</si>
  <si>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</si>
  <si>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</si>
  <si>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</si>
  <si>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</si>
  <si>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</si>
  <si>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</si>
  <si>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</si>
  <si>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</si>
  <si>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</si>
  <si>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</si>
  <si>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</si>
  <si>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</si>
  <si>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</si>
  <si>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</si>
  <si>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</si>
  <si>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</si>
  <si>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</si>
  <si>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</si>
  <si>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</si>
  <si>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</si>
  <si>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</si>
  <si>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</si>
  <si>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</si>
  <si>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</si>
  <si>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</si>
  <si>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</si>
  <si>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</si>
  <si>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</si>
  <si>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</si>
  <si>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</si>
  <si>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</si>
  <si>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</si>
  <si>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</si>
  <si>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</si>
  <si>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</si>
  <si>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</si>
  <si>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</si>
  <si>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</si>
  <si>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</si>
  <si>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</si>
  <si>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</si>
  <si>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</si>
  <si>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</si>
  <si>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</si>
  <si>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</si>
  <si>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</si>
  <si>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</si>
  <si>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</si>
  <si>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</si>
  <si>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</si>
  <si>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</si>
  <si>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</si>
  <si>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</si>
  <si>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</si>
  <si>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</si>
  <si>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</si>
  <si>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</si>
  <si>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</si>
  <si>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</si>
  <si>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sharpmat</t>
  </si>
  <si>
    <t>L:\FREIGHT-NY\WG Airlines\JetBlue\JetBlueQQ.WIP.xlsm</t>
  </si>
  <si>
    <t>[BRO MSA]</t>
  </si>
  <si>
    <t>[PRODUCT MODEL]</t>
  </si>
  <si>
    <t>[EMAIL_ALERT YES]</t>
  </si>
  <si>
    <t>[DISCIPLINE Company]</t>
  </si>
  <si>
    <t>[SUPPRESSED NO]</t>
  </si>
  <si>
    <t>[DOCDAT 2018-04-16]</t>
  </si>
  <si>
    <t>[DOCTIME 09:11]</t>
  </si>
  <si>
    <t>[PSYM JBLU.O(S&amp;P) (None)]</t>
  </si>
  <si>
    <t>[COU 1]</t>
  </si>
  <si>
    <t>[ANA ]</t>
  </si>
  <si>
    <t>[HL JBLU.O Model]</t>
  </si>
  <si>
    <t>[IND AIRTRN]</t>
  </si>
  <si>
    <t>[PANA MSA91FHR]</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</si>
</sst>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0.0"/>
    <numFmt numFmtId="166" formatCode="&quot;$&quot;#,##0.0_);\(&quot;$&quot;#,##0.0\)"/>
    <numFmt numFmtId="167" formatCode="0.0%"/>
    <numFmt numFmtId="168" formatCode="_(* #,##0.0_);_(* \(#,##0.0\);_(* &quot;-&quot;??_);_(@_)"/>
    <numFmt numFmtId="169" formatCode="&quot;$&quot;#,##0.0"/>
    <numFmt numFmtId="170" formatCode="&quot;$&quot;#,##0"/>
    <numFmt numFmtId="171" formatCode="&quot;$&quot;#,##0.00"/>
    <numFmt numFmtId="172" formatCode="#,##0.0_);\(#,##0.0\)"/>
    <numFmt numFmtId="173" formatCode="0.0_);\(0.0\)"/>
    <numFmt numFmtId="174" formatCode="0_);\(0\)"/>
    <numFmt numFmtId="175" formatCode="0.00_);\(0.00\)"/>
    <numFmt numFmtId="176" formatCode="0_)"/>
    <numFmt numFmtId="177" formatCode="m/d/yy;@"/>
    <numFmt numFmtId="178" formatCode="0.0\x"/>
    <numFmt numFmtId="179" formatCode="0&quot;e&quot;"/>
    <numFmt numFmtId="180" formatCode="[$-F400]h:mm:ss\ AM/PM"/>
    <numFmt numFmtId="181" formatCode="0&quot;E&quot;"/>
    <numFmt numFmtId="182" formatCode="&quot;$&quot;#,##0.000_);\(&quot;$&quot;#,##0.000\)"/>
    <numFmt numFmtId="183" formatCode="&quot;$&quot;#,##0.000"/>
    <numFmt numFmtId="184" formatCode="0&quot;A&quot;"/>
    <numFmt numFmtId="185" formatCode="_(&quot;$&quot;* #,##0_);_(&quot;$&quot;* \(#,##0\);_(&quot;$&quot;* &quot;-&quot;??_);_(@_)"/>
    <numFmt numFmtId="186" formatCode="mm/dd/yy\ hh:mm"/>
  </numFmts>
  <fonts count="86" x14ac:knownFonts="1">
    <font>
      <sz val="10"/>
      <name val="Times New Roman"/>
    </font>
    <font>
      <sz val="10"/>
      <name val="Times New Roman"/>
      <family val="1"/>
    </font>
    <font>
      <sz val="8"/>
      <color indexed="12"/>
      <name val="Arial"/>
      <family val="2"/>
    </font>
    <font>
      <sz val="10"/>
      <name val="Times New Roman"/>
      <family val="1"/>
    </font>
    <font>
      <sz val="10"/>
      <name val="MS Sans Serif"/>
      <family val="2"/>
    </font>
    <font>
      <sz val="10"/>
      <name val="Arial"/>
      <family val="2"/>
    </font>
    <font>
      <sz val="8"/>
      <name val="Arial"/>
      <family val="2"/>
    </font>
    <font>
      <b/>
      <sz val="8"/>
      <name val="Arial"/>
      <family val="2"/>
    </font>
    <font>
      <b/>
      <sz val="10"/>
      <name val="Arial"/>
      <family val="2"/>
    </font>
    <font>
      <sz val="8"/>
      <name val="Times New Roman"/>
      <family val="1"/>
    </font>
    <font>
      <sz val="9"/>
      <name val="Times New Roman"/>
      <family val="1"/>
    </font>
    <font>
      <sz val="9"/>
      <name val="Times New Roman"/>
      <family val="1"/>
    </font>
    <font>
      <i/>
      <sz val="8"/>
      <name val="Arial"/>
      <family val="2"/>
    </font>
    <font>
      <b/>
      <sz val="8"/>
      <color indexed="12"/>
      <name val="Arial"/>
      <family val="2"/>
    </font>
    <font>
      <b/>
      <sz val="8"/>
      <color indexed="10"/>
      <name val="Arial"/>
      <family val="2"/>
    </font>
    <font>
      <sz val="8"/>
      <color indexed="81"/>
      <name val="Tahoma"/>
      <family val="2"/>
    </font>
    <font>
      <b/>
      <sz val="8"/>
      <color indexed="81"/>
      <name val="Tahoma"/>
      <family val="2"/>
    </font>
    <font>
      <u/>
      <sz val="8"/>
      <color indexed="81"/>
      <name val="Tahoma"/>
      <family val="2"/>
    </font>
    <font>
      <b/>
      <sz val="10"/>
      <color indexed="81"/>
      <name val="Arial"/>
      <family val="2"/>
    </font>
    <font>
      <sz val="10"/>
      <color indexed="81"/>
      <name val="Arial"/>
      <family val="2"/>
    </font>
    <font>
      <b/>
      <sz val="10"/>
      <color indexed="8"/>
      <name val="Times New Roman"/>
      <family val="1"/>
    </font>
    <font>
      <sz val="10"/>
      <color indexed="8"/>
      <name val="Times New Roman"/>
      <family val="1"/>
    </font>
    <font>
      <i/>
      <sz val="8"/>
      <name val="Times New Roman"/>
      <family val="1"/>
    </font>
    <font>
      <sz val="8"/>
      <color indexed="9"/>
      <name val="Arial"/>
      <family val="2"/>
    </font>
    <font>
      <b/>
      <sz val="8"/>
      <color indexed="9"/>
      <name val="Arial"/>
      <family val="2"/>
    </font>
    <font>
      <sz val="10"/>
      <color indexed="9"/>
      <name val="Arial"/>
      <family val="2"/>
    </font>
    <font>
      <b/>
      <i/>
      <sz val="8"/>
      <name val="Arial"/>
      <family val="2"/>
    </font>
    <font>
      <b/>
      <sz val="8"/>
      <color indexed="8"/>
      <name val="Arial"/>
      <family val="2"/>
    </font>
    <font>
      <sz val="12"/>
      <name val="Times New Roman"/>
      <family val="1"/>
    </font>
    <font>
      <sz val="8"/>
      <color indexed="12"/>
      <name val="Helvetica"/>
      <family val="2"/>
    </font>
    <font>
      <sz val="10"/>
      <name val="Courier"/>
      <family val="3"/>
    </font>
    <font>
      <sz val="8"/>
      <color indexed="8"/>
      <name val="Arial"/>
      <family val="2"/>
    </font>
    <font>
      <sz val="8"/>
      <color indexed="8"/>
      <name val="Helvetica"/>
      <family val="2"/>
    </font>
    <font>
      <sz val="8"/>
      <name val="Helvetica"/>
      <family val="2"/>
    </font>
    <font>
      <b/>
      <sz val="8"/>
      <name val="Times New Roman"/>
      <family val="1"/>
    </font>
    <font>
      <b/>
      <sz val="8"/>
      <name val="Helvetica"/>
      <family val="2"/>
    </font>
    <font>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indexed="81"/>
      <name val="Tahoma"/>
      <family val="2"/>
    </font>
    <font>
      <b/>
      <sz val="9"/>
      <color indexed="81"/>
      <name val="Tahoma"/>
      <family val="2"/>
    </font>
    <font>
      <sz val="10"/>
      <name val="Arial"/>
      <family val="2"/>
    </font>
    <font>
      <b/>
      <sz val="11"/>
      <color indexed="16"/>
      <name val="Arial"/>
      <family val="2"/>
    </font>
    <font>
      <b/>
      <sz val="10"/>
      <color indexed="16"/>
      <name val="Arial"/>
      <family val="2"/>
    </font>
    <font>
      <sz val="10"/>
      <color indexed="16"/>
      <name val="Arial"/>
      <family val="2"/>
    </font>
    <font>
      <b/>
      <sz val="12"/>
      <color indexed="9"/>
      <name val="Arial"/>
      <family val="2"/>
    </font>
    <font>
      <b/>
      <sz val="18"/>
      <color indexed="9"/>
      <name val="Arial"/>
      <family val="2"/>
    </font>
    <font>
      <i/>
      <sz val="10"/>
      <name val="Arial"/>
      <family val="2"/>
    </font>
    <font>
      <i/>
      <sz val="10"/>
      <color indexed="9"/>
      <name val="Arial"/>
      <family val="2"/>
    </font>
    <font>
      <sz val="12"/>
      <color indexed="16"/>
      <name val="Arial"/>
      <family val="2"/>
    </font>
    <font>
      <b/>
      <sz val="12"/>
      <color indexed="12"/>
      <name val="Arial"/>
      <family val="2"/>
    </font>
    <font>
      <b/>
      <sz val="14"/>
      <color indexed="9"/>
      <name val="Arial"/>
      <family val="2"/>
    </font>
    <font>
      <i/>
      <sz val="8"/>
      <color indexed="8"/>
      <name val="Arial"/>
      <family val="2"/>
    </font>
    <font>
      <sz val="8"/>
      <color rgb="FF0000FF"/>
      <name val="Arial"/>
      <family val="2"/>
    </font>
    <font>
      <sz val="10"/>
      <color rgb="FF002060"/>
      <name val="Times New Roman"/>
      <family val="1"/>
    </font>
    <font>
      <b/>
      <sz val="10"/>
      <color rgb="FF002060"/>
      <name val="Arial"/>
      <family val="2"/>
    </font>
    <font>
      <b/>
      <sz val="11"/>
      <color rgb="FF002060"/>
      <name val="Arial"/>
      <family val="2"/>
    </font>
    <font>
      <sz val="10"/>
      <color rgb="FF002060"/>
      <name val="Arial"/>
      <family val="2"/>
    </font>
    <font>
      <sz val="10"/>
      <color theme="0"/>
      <name val="Arial"/>
      <family val="2"/>
    </font>
    <font>
      <b/>
      <sz val="10"/>
      <color theme="0"/>
      <name val="Arial"/>
      <family val="2"/>
    </font>
    <font>
      <sz val="10"/>
      <color rgb="FF0070C0"/>
      <name val="Arial"/>
      <family val="2"/>
    </font>
    <font>
      <b/>
      <u/>
      <sz val="10"/>
      <color rgb="FF0070C0"/>
      <name val="Arial"/>
      <family val="2"/>
    </font>
    <font>
      <b/>
      <sz val="10"/>
      <color rgb="FF0070C0"/>
      <name val="Arial"/>
      <family val="2"/>
    </font>
    <font>
      <i/>
      <sz val="10"/>
      <color rgb="FF0070C0"/>
      <name val="Arial"/>
      <family val="2"/>
    </font>
    <font>
      <sz val="8"/>
      <color rgb="FF137CB1"/>
      <name val="Arial"/>
      <family val="2"/>
    </font>
    <font>
      <sz val="8"/>
      <color rgb="FF00843C"/>
      <name val="Arial"/>
      <family val="2"/>
    </font>
    <font>
      <b/>
      <sz val="8"/>
      <color rgb="FF00843C"/>
      <name val="Arial"/>
      <family val="2"/>
    </font>
    <font>
      <sz val="8"/>
      <color rgb="FF00B050"/>
      <name val="Arial"/>
      <family val="2"/>
    </font>
    <font>
      <sz val="10"/>
      <name val="Times New Roman"/>
      <family val="1"/>
    </font>
    <font>
      <sz val="11"/>
      <name val="Arial"/>
      <family val="2"/>
    </font>
    <font>
      <sz val="10"/>
      <color rgb="FF000000"/>
      <name val="Arial"/>
      <family val="2"/>
    </font>
    <font>
      <b/>
      <sz val="12"/>
      <color rgb="FF000080"/>
      <name val="Arial"/>
      <family val="2"/>
    </font>
  </fonts>
  <fills count="27">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indexed="18"/>
        <bgColor indexed="64"/>
      </patternFill>
    </fill>
    <fill>
      <patternFill patternType="solid">
        <fgColor indexed="48"/>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3" tint="0.79998168889431442"/>
        <bgColor indexed="64"/>
      </patternFill>
    </fill>
    <fill>
      <patternFill patternType="solid">
        <fgColor rgb="FFCCFFCC"/>
        <bgColor indexed="64"/>
      </patternFill>
    </fill>
    <fill>
      <patternFill patternType="solid">
        <fgColor indexed="65"/>
        <bgColor indexed="64"/>
      </patternFill>
    </fill>
  </fills>
  <borders count="36">
    <border>
      <left/>
      <right/>
      <top/>
      <bottom/>
      <diagonal/>
    </border>
    <border>
      <left style="thin">
        <color indexed="64"/>
      </left>
      <right/>
      <top/>
      <bottom/>
      <diagonal/>
    </border>
    <border>
      <left/>
      <right/>
      <top/>
      <bottom style="thin">
        <color indexed="64"/>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style="hair">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6">
    <xf numFmtId="0" fontId="0" fillId="0" borderId="0"/>
    <xf numFmtId="0" fontId="5" fillId="0" borderId="0"/>
    <xf numFmtId="0" fontId="5" fillId="0" borderId="0" applyNumberFormat="0" applyFont="0" applyFill="0" applyBorder="0" applyAlignment="0" applyProtection="0"/>
    <xf numFmtId="0" fontId="5" fillId="0" borderId="0"/>
    <xf numFmtId="0" fontId="4" fillId="0" borderId="0"/>
    <xf numFmtId="0" fontId="4" fillId="0" borderId="0"/>
    <xf numFmtId="0" fontId="37" fillId="2" borderId="0" applyNumberFormat="0" applyBorder="0" applyAlignment="0" applyProtection="0"/>
    <xf numFmtId="0" fontId="37" fillId="3" borderId="0" applyNumberFormat="0" applyBorder="0" applyAlignment="0" applyProtection="0"/>
    <xf numFmtId="0" fontId="37" fillId="4" borderId="0" applyNumberFormat="0" applyBorder="0" applyAlignment="0" applyProtection="0"/>
    <xf numFmtId="0" fontId="37" fillId="2" borderId="0" applyNumberFormat="0" applyBorder="0" applyAlignment="0" applyProtection="0"/>
    <xf numFmtId="0" fontId="37" fillId="5" borderId="0" applyNumberFormat="0" applyBorder="0" applyAlignment="0" applyProtection="0"/>
    <xf numFmtId="0" fontId="37" fillId="4" borderId="0" applyNumberFormat="0" applyBorder="0" applyAlignment="0" applyProtection="0"/>
    <xf numFmtId="0" fontId="37" fillId="6" borderId="0" applyNumberFormat="0" applyBorder="0" applyAlignment="0" applyProtection="0"/>
    <xf numFmtId="0" fontId="37" fillId="3" borderId="0" applyNumberFormat="0" applyBorder="0" applyAlignment="0" applyProtection="0"/>
    <xf numFmtId="0" fontId="37" fillId="4" borderId="0" applyNumberFormat="0" applyBorder="0" applyAlignment="0" applyProtection="0"/>
    <xf numFmtId="0" fontId="37" fillId="6" borderId="0" applyNumberFormat="0" applyBorder="0" applyAlignment="0" applyProtection="0"/>
    <xf numFmtId="0" fontId="37" fillId="7" borderId="0" applyNumberFormat="0" applyBorder="0" applyAlignment="0" applyProtection="0"/>
    <xf numFmtId="0" fontId="37" fillId="4" borderId="0" applyNumberFormat="0" applyBorder="0" applyAlignment="0" applyProtection="0"/>
    <xf numFmtId="0" fontId="38" fillId="8" borderId="0" applyNumberFormat="0" applyBorder="0" applyAlignment="0" applyProtection="0"/>
    <xf numFmtId="0" fontId="38" fillId="3" borderId="0" applyNumberFormat="0" applyBorder="0" applyAlignment="0" applyProtection="0"/>
    <xf numFmtId="0" fontId="38" fillId="9" borderId="0" applyNumberFormat="0" applyBorder="0" applyAlignment="0" applyProtection="0"/>
    <xf numFmtId="0" fontId="38" fillId="6" borderId="0" applyNumberFormat="0" applyBorder="0" applyAlignment="0" applyProtection="0"/>
    <xf numFmtId="0" fontId="38" fillId="8" borderId="0" applyNumberFormat="0" applyBorder="0" applyAlignment="0" applyProtection="0"/>
    <xf numFmtId="0" fontId="38" fillId="4" borderId="0" applyNumberFormat="0" applyBorder="0" applyAlignment="0" applyProtection="0"/>
    <xf numFmtId="0" fontId="38" fillId="8" borderId="0" applyNumberFormat="0" applyBorder="0" applyAlignment="0" applyProtection="0"/>
    <xf numFmtId="0" fontId="38" fillId="3" borderId="0" applyNumberFormat="0" applyBorder="0" applyAlignment="0" applyProtection="0"/>
    <xf numFmtId="0" fontId="38" fillId="9" borderId="0" applyNumberFormat="0" applyBorder="0" applyAlignment="0" applyProtection="0"/>
    <xf numFmtId="0" fontId="38" fillId="10" borderId="0" applyNumberFormat="0" applyBorder="0" applyAlignment="0" applyProtection="0"/>
    <xf numFmtId="0" fontId="38" fillId="8" borderId="0" applyNumberFormat="0" applyBorder="0" applyAlignment="0" applyProtection="0"/>
    <xf numFmtId="0" fontId="38" fillId="3" borderId="0" applyNumberFormat="0" applyBorder="0" applyAlignment="0" applyProtection="0"/>
    <xf numFmtId="0" fontId="39" fillId="11" borderId="0" applyNumberFormat="0" applyBorder="0" applyAlignment="0" applyProtection="0"/>
    <xf numFmtId="44" fontId="5" fillId="0" borderId="0" applyFont="0" applyFill="0" applyBorder="0" applyAlignment="0" applyProtection="0"/>
    <xf numFmtId="0" fontId="20" fillId="0" borderId="0"/>
    <xf numFmtId="0" fontId="40" fillId="12" borderId="4" applyNumberFormat="0" applyAlignment="0" applyProtection="0"/>
    <xf numFmtId="0" fontId="41" fillId="13" borderId="5" applyNumberFormat="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4" fontId="55" fillId="0" borderId="0" applyFont="0" applyFill="0" applyBorder="0" applyAlignment="0" applyProtection="0"/>
    <xf numFmtId="0" fontId="42" fillId="0" borderId="0" applyNumberFormat="0" applyFill="0" applyBorder="0" applyAlignment="0" applyProtection="0"/>
    <xf numFmtId="0" fontId="43" fillId="14" borderId="0" applyNumberFormat="0" applyBorder="0" applyAlignment="0" applyProtection="0"/>
    <xf numFmtId="0" fontId="44" fillId="0" borderId="9" applyNumberFormat="0" applyFill="0" applyAlignment="0" applyProtection="0"/>
    <xf numFmtId="0" fontId="45" fillId="0" borderId="10"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5" fillId="17" borderId="0" applyNumberFormat="0" applyFont="0" applyBorder="0" applyAlignment="0" applyProtection="0"/>
    <xf numFmtId="0" fontId="28" fillId="7" borderId="0" applyNumberFormat="0" applyFont="0" applyBorder="0" applyAlignment="0">
      <protection locked="0"/>
    </xf>
    <xf numFmtId="0" fontId="47" fillId="0" borderId="12" applyNumberFormat="0" applyFill="0" applyAlignment="0" applyProtection="0"/>
    <xf numFmtId="0" fontId="48" fillId="4" borderId="0" applyNumberFormat="0" applyBorder="0" applyAlignment="0" applyProtection="0"/>
    <xf numFmtId="0" fontId="55" fillId="0" borderId="0"/>
    <xf numFmtId="0" fontId="3" fillId="0" borderId="0"/>
    <xf numFmtId="0" fontId="3" fillId="0" borderId="0"/>
    <xf numFmtId="0" fontId="3" fillId="0" borderId="0"/>
    <xf numFmtId="0" fontId="1" fillId="0" borderId="0"/>
    <xf numFmtId="0" fontId="10" fillId="0" borderId="0"/>
    <xf numFmtId="0" fontId="3" fillId="0" borderId="0"/>
    <xf numFmtId="0" fontId="1" fillId="0" borderId="0"/>
    <xf numFmtId="0" fontId="3" fillId="0" borderId="0"/>
    <xf numFmtId="0" fontId="30" fillId="0" borderId="0"/>
    <xf numFmtId="0" fontId="5" fillId="4" borderId="13" applyNumberFormat="0" applyFont="0" applyAlignment="0" applyProtection="0"/>
    <xf numFmtId="0" fontId="49" fillId="12" borderId="14" applyNumberFormat="0" applyAlignment="0" applyProtection="0"/>
    <xf numFmtId="0" fontId="11" fillId="0" borderId="0">
      <alignment vertical="center"/>
    </xf>
    <xf numFmtId="9" fontId="1" fillId="0" borderId="0" applyFont="0" applyFill="0" applyBorder="0" applyAlignment="0" applyProtection="0"/>
    <xf numFmtId="0" fontId="5" fillId="17" borderId="0" applyNumberFormat="0" applyFont="0" applyBorder="0" applyAlignment="0" applyProtection="0"/>
    <xf numFmtId="0" fontId="21" fillId="0" borderId="0"/>
    <xf numFmtId="0" fontId="21" fillId="0" borderId="15">
      <alignment horizontal="centerContinuous"/>
    </xf>
    <xf numFmtId="0" fontId="22" fillId="0" borderId="15"/>
    <xf numFmtId="0" fontId="50" fillId="0" borderId="0" applyNumberFormat="0" applyFill="0" applyBorder="0" applyAlignment="0" applyProtection="0"/>
    <xf numFmtId="0" fontId="51" fillId="0" borderId="16" applyNumberFormat="0" applyFill="0" applyAlignment="0" applyProtection="0"/>
    <xf numFmtId="0" fontId="52" fillId="0" borderId="0" applyNumberFormat="0" applyFill="0" applyBorder="0" applyAlignment="0" applyProtection="0"/>
    <xf numFmtId="0" fontId="6" fillId="18" borderId="8" applyNumberFormat="0" applyProtection="0">
      <alignment wrapText="1"/>
    </xf>
    <xf numFmtId="9" fontId="5" fillId="0" borderId="0" applyFont="0" applyFill="0" applyBorder="0" applyAlignment="0" applyProtection="0"/>
    <xf numFmtId="43" fontId="5" fillId="0" borderId="0" applyFont="0" applyFill="0" applyBorder="0" applyAlignment="0" applyProtection="0"/>
    <xf numFmtId="0" fontId="5" fillId="0" borderId="0"/>
    <xf numFmtId="44" fontId="82" fillId="0" borderId="0" applyFont="0" applyFill="0" applyBorder="0" applyAlignment="0" applyProtection="0"/>
    <xf numFmtId="0" fontId="30" fillId="0" borderId="0"/>
  </cellStyleXfs>
  <cellXfs count="906">
    <xf numFmtId="0" fontId="0" fillId="0" borderId="0" xfId="0"/>
    <xf numFmtId="0" fontId="5" fillId="0" borderId="0" xfId="1"/>
    <xf numFmtId="49" fontId="0" fillId="0" borderId="0" xfId="0" applyNumberFormat="1"/>
    <xf numFmtId="167" fontId="6" fillId="0" borderId="0" xfId="62" applyNumberFormat="1" applyFont="1" applyFill="1" applyBorder="1" applyAlignment="1">
      <alignment horizontal="right"/>
    </xf>
    <xf numFmtId="167" fontId="2" fillId="18" borderId="0" xfId="62" applyNumberFormat="1" applyFont="1" applyFill="1" applyBorder="1" applyAlignment="1">
      <alignment horizontal="right"/>
    </xf>
    <xf numFmtId="167" fontId="6" fillId="18" borderId="0" xfId="62" applyNumberFormat="1" applyFont="1" applyFill="1" applyBorder="1" applyAlignment="1">
      <alignment horizontal="right"/>
    </xf>
    <xf numFmtId="0" fontId="24" fillId="19" borderId="0" xfId="58" applyFont="1" applyFill="1" applyBorder="1" applyAlignment="1">
      <alignment horizontal="left"/>
    </xf>
    <xf numFmtId="0" fontId="24" fillId="20" borderId="0" xfId="58" applyFont="1" applyFill="1" applyBorder="1" applyAlignment="1">
      <alignment horizontal="left"/>
    </xf>
    <xf numFmtId="170" fontId="7" fillId="15" borderId="0" xfId="58" applyNumberFormat="1" applyFont="1" applyFill="1" applyBorder="1" applyAlignment="1" applyProtection="1">
      <alignment horizontal="left"/>
      <protection locked="0"/>
    </xf>
    <xf numFmtId="170" fontId="7" fillId="15" borderId="0" xfId="58" applyNumberFormat="1" applyFont="1" applyFill="1" applyBorder="1" applyAlignment="1" applyProtection="1">
      <alignment horizontal="right"/>
      <protection locked="0"/>
    </xf>
    <xf numFmtId="170" fontId="7" fillId="15" borderId="22" xfId="58" applyNumberFormat="1" applyFont="1" applyFill="1" applyBorder="1" applyAlignment="1" applyProtection="1">
      <alignment horizontal="right"/>
      <protection locked="0"/>
    </xf>
    <xf numFmtId="167" fontId="6" fillId="18" borderId="0" xfId="58" applyNumberFormat="1" applyFont="1" applyFill="1" applyBorder="1" applyAlignment="1" applyProtection="1">
      <alignment horizontal="left" indent="2"/>
      <protection locked="0"/>
    </xf>
    <xf numFmtId="167" fontId="6" fillId="18" borderId="0" xfId="58" applyNumberFormat="1" applyFont="1" applyFill="1" applyBorder="1" applyAlignment="1" applyProtection="1">
      <alignment horizontal="left" indent="3"/>
      <protection locked="0"/>
    </xf>
    <xf numFmtId="0" fontId="6" fillId="0" borderId="0" xfId="0" applyFont="1" applyFill="1" applyBorder="1" applyAlignment="1">
      <alignment horizontal="left" indent="3"/>
    </xf>
    <xf numFmtId="0" fontId="7" fillId="0" borderId="0" xfId="0" applyFont="1" applyFill="1" applyBorder="1" applyAlignment="1">
      <alignment horizontal="right"/>
    </xf>
    <xf numFmtId="0" fontId="9" fillId="0" borderId="0" xfId="0" applyFont="1"/>
    <xf numFmtId="0" fontId="23" fillId="19" borderId="0" xfId="0" applyFont="1" applyFill="1" applyBorder="1" applyAlignment="1">
      <alignment horizontal="right"/>
    </xf>
    <xf numFmtId="0" fontId="6" fillId="0" borderId="0" xfId="35" applyNumberFormat="1" applyFont="1" applyFill="1" applyAlignment="1">
      <alignment horizontal="left"/>
    </xf>
    <xf numFmtId="164" fontId="6" fillId="0" borderId="0" xfId="35" applyNumberFormat="1" applyFont="1" applyFill="1" applyBorder="1" applyAlignment="1">
      <alignment horizontal="right"/>
    </xf>
    <xf numFmtId="0" fontId="6" fillId="18" borderId="0" xfId="0" applyFont="1" applyFill="1"/>
    <xf numFmtId="0" fontId="6" fillId="0" borderId="0" xfId="0" applyFont="1" applyFill="1" applyBorder="1" applyAlignment="1">
      <alignment horizontal="right"/>
    </xf>
    <xf numFmtId="167" fontId="6" fillId="0" borderId="0" xfId="62" applyNumberFormat="1" applyFont="1" applyFill="1" applyBorder="1"/>
    <xf numFmtId="0" fontId="6" fillId="0" borderId="0" xfId="0" applyFont="1" applyFill="1"/>
    <xf numFmtId="0" fontId="6" fillId="0" borderId="0" xfId="35" applyNumberFormat="1" applyFont="1" applyFill="1"/>
    <xf numFmtId="3" fontId="6" fillId="0" borderId="0" xfId="0" applyNumberFormat="1" applyFont="1" applyFill="1" applyBorder="1"/>
    <xf numFmtId="0" fontId="6" fillId="18" borderId="0" xfId="0" applyFont="1" applyFill="1" applyBorder="1"/>
    <xf numFmtId="0" fontId="6" fillId="0" borderId="23" xfId="0" applyFont="1" applyFill="1" applyBorder="1" applyAlignment="1">
      <alignment horizontal="right"/>
    </xf>
    <xf numFmtId="167" fontId="6" fillId="0" borderId="23" xfId="62" applyNumberFormat="1" applyFont="1" applyFill="1" applyBorder="1" applyAlignment="1">
      <alignment horizontal="right"/>
    </xf>
    <xf numFmtId="167" fontId="2" fillId="0" borderId="23" xfId="62" applyNumberFormat="1" applyFont="1" applyFill="1" applyBorder="1" applyAlignment="1">
      <alignment horizontal="right"/>
    </xf>
    <xf numFmtId="0" fontId="9" fillId="0" borderId="23" xfId="0" applyFont="1" applyFill="1" applyBorder="1"/>
    <xf numFmtId="0" fontId="9" fillId="0" borderId="23" xfId="0" applyFont="1" applyBorder="1"/>
    <xf numFmtId="167" fontId="6" fillId="0" borderId="0" xfId="0" applyNumberFormat="1" applyFont="1" applyFill="1" applyBorder="1"/>
    <xf numFmtId="168" fontId="6" fillId="0" borderId="0" xfId="35" applyNumberFormat="1" applyFont="1" applyFill="1" applyBorder="1" applyAlignment="1">
      <alignment horizontal="right"/>
    </xf>
    <xf numFmtId="173" fontId="2" fillId="0" borderId="0" xfId="35" applyNumberFormat="1" applyFont="1" applyFill="1" applyBorder="1" applyAlignment="1">
      <alignment horizontal="right"/>
    </xf>
    <xf numFmtId="3" fontId="6" fillId="0" borderId="0" xfId="0" applyNumberFormat="1" applyFont="1" applyFill="1"/>
    <xf numFmtId="167" fontId="2" fillId="0" borderId="0" xfId="62" applyNumberFormat="1" applyFont="1" applyFill="1" applyBorder="1" applyAlignment="1">
      <alignment horizontal="right"/>
    </xf>
    <xf numFmtId="3" fontId="6" fillId="0" borderId="0" xfId="0" applyNumberFormat="1" applyFont="1" applyFill="1" applyBorder="1" applyAlignment="1">
      <alignment horizontal="right"/>
    </xf>
    <xf numFmtId="172" fontId="6" fillId="0" borderId="0" xfId="0" applyNumberFormat="1" applyFont="1" applyFill="1" applyBorder="1" applyAlignment="1">
      <alignment horizontal="right"/>
    </xf>
    <xf numFmtId="3" fontId="6" fillId="0" borderId="0" xfId="35" applyNumberFormat="1" applyFont="1" applyFill="1" applyBorder="1" applyAlignment="1">
      <alignment horizontal="right"/>
    </xf>
    <xf numFmtId="0" fontId="6" fillId="0" borderId="0" xfId="0" applyNumberFormat="1" applyFont="1" applyFill="1" applyBorder="1" applyAlignment="1">
      <alignment horizontal="left" indent="1"/>
    </xf>
    <xf numFmtId="1" fontId="6" fillId="18" borderId="0" xfId="0" applyNumberFormat="1" applyFont="1" applyFill="1" applyBorder="1" applyAlignment="1">
      <alignment horizontal="right"/>
    </xf>
    <xf numFmtId="0" fontId="6" fillId="18" borderId="0" xfId="0" applyFont="1" applyFill="1" applyBorder="1" applyAlignment="1">
      <alignment horizontal="right"/>
    </xf>
    <xf numFmtId="1" fontId="2" fillId="18" borderId="0" xfId="0" applyNumberFormat="1" applyFont="1" applyFill="1" applyBorder="1" applyAlignment="1">
      <alignment horizontal="right"/>
    </xf>
    <xf numFmtId="1" fontId="6" fillId="0" borderId="0" xfId="35" applyNumberFormat="1" applyFont="1" applyFill="1"/>
    <xf numFmtId="1" fontId="6" fillId="0" borderId="0" xfId="35" applyNumberFormat="1" applyFont="1" applyFill="1" applyBorder="1" applyAlignment="1">
      <alignment horizontal="right"/>
    </xf>
    <xf numFmtId="1" fontId="6" fillId="18" borderId="0" xfId="35" applyNumberFormat="1" applyFont="1" applyFill="1" applyBorder="1" applyAlignment="1">
      <alignment horizontal="right"/>
    </xf>
    <xf numFmtId="1" fontId="31" fillId="18" borderId="0" xfId="35" applyNumberFormat="1" applyFont="1" applyFill="1" applyBorder="1" applyAlignment="1">
      <alignment horizontal="right"/>
    </xf>
    <xf numFmtId="0" fontId="6" fillId="0" borderId="2" xfId="0" applyFont="1" applyFill="1" applyBorder="1" applyAlignment="1">
      <alignment horizontal="right"/>
    </xf>
    <xf numFmtId="167" fontId="6" fillId="0" borderId="2" xfId="62" applyNumberFormat="1" applyFont="1" applyFill="1" applyBorder="1" applyAlignment="1">
      <alignment horizontal="right"/>
    </xf>
    <xf numFmtId="0" fontId="24" fillId="19" borderId="0" xfId="0" applyFont="1" applyFill="1" applyBorder="1" applyAlignment="1">
      <alignment horizontal="right"/>
    </xf>
    <xf numFmtId="167" fontId="23" fillId="19" borderId="0" xfId="62" applyNumberFormat="1" applyFont="1" applyFill="1" applyBorder="1"/>
    <xf numFmtId="0" fontId="24" fillId="19" borderId="0" xfId="0" applyFont="1" applyFill="1" applyBorder="1"/>
    <xf numFmtId="0" fontId="6" fillId="0" borderId="0" xfId="0" applyFont="1" applyFill="1" applyBorder="1"/>
    <xf numFmtId="43" fontId="6" fillId="0" borderId="0" xfId="0" applyNumberFormat="1" applyFont="1" applyFill="1" applyBorder="1" applyAlignment="1">
      <alignment horizontal="right"/>
    </xf>
    <xf numFmtId="39" fontId="6" fillId="0" borderId="0" xfId="0" applyNumberFormat="1" applyFont="1" applyFill="1" applyBorder="1" applyAlignment="1">
      <alignment horizontal="left" indent="1"/>
    </xf>
    <xf numFmtId="39" fontId="6" fillId="0" borderId="0" xfId="0" applyNumberFormat="1" applyFont="1" applyFill="1" applyBorder="1" applyAlignment="1">
      <alignment horizontal="right"/>
    </xf>
    <xf numFmtId="39" fontId="6" fillId="0" borderId="0" xfId="62" applyNumberFormat="1" applyFont="1" applyFill="1" applyBorder="1" applyAlignment="1">
      <alignment horizontal="right"/>
    </xf>
    <xf numFmtId="167" fontId="6" fillId="0" borderId="0" xfId="0" applyNumberFormat="1" applyFont="1" applyFill="1" applyBorder="1" applyAlignment="1">
      <alignment horizontal="right"/>
    </xf>
    <xf numFmtId="170" fontId="6" fillId="0" borderId="0" xfId="0" applyNumberFormat="1" applyFont="1" applyFill="1" applyBorder="1" applyAlignment="1">
      <alignment horizontal="left" indent="1"/>
    </xf>
    <xf numFmtId="170" fontId="6" fillId="0" borderId="0" xfId="0" applyNumberFormat="1" applyFont="1" applyFill="1" applyBorder="1" applyAlignment="1">
      <alignment horizontal="right"/>
    </xf>
    <xf numFmtId="170" fontId="6" fillId="0" borderId="0" xfId="62" applyNumberFormat="1" applyFont="1" applyFill="1" applyBorder="1" applyAlignment="1">
      <alignment horizontal="right"/>
    </xf>
    <xf numFmtId="170" fontId="6" fillId="0" borderId="0" xfId="0" applyNumberFormat="1" applyFont="1" applyFill="1" applyBorder="1"/>
    <xf numFmtId="171" fontId="6" fillId="0" borderId="0" xfId="0" applyNumberFormat="1" applyFont="1" applyFill="1" applyBorder="1" applyAlignment="1">
      <alignment horizontal="left" indent="1"/>
    </xf>
    <xf numFmtId="171" fontId="6" fillId="0" borderId="0" xfId="0" applyNumberFormat="1" applyFont="1" applyFill="1" applyBorder="1" applyAlignment="1">
      <alignment horizontal="right"/>
    </xf>
    <xf numFmtId="171" fontId="6" fillId="0" borderId="0" xfId="62" applyNumberFormat="1" applyFont="1" applyFill="1" applyBorder="1" applyAlignment="1">
      <alignment horizontal="right"/>
    </xf>
    <xf numFmtId="171" fontId="6" fillId="0" borderId="0" xfId="0" applyNumberFormat="1" applyFont="1" applyFill="1" applyBorder="1"/>
    <xf numFmtId="171" fontId="9" fillId="0" borderId="0" xfId="0" applyNumberFormat="1" applyFont="1"/>
    <xf numFmtId="3" fontId="6" fillId="0" borderId="0" xfId="0" applyNumberFormat="1" applyFont="1" applyFill="1" applyBorder="1" applyAlignment="1">
      <alignment horizontal="left" indent="1"/>
    </xf>
    <xf numFmtId="3" fontId="6" fillId="18" borderId="0" xfId="0" applyNumberFormat="1" applyFont="1" applyFill="1" applyBorder="1"/>
    <xf numFmtId="3" fontId="6" fillId="18" borderId="0" xfId="62" applyNumberFormat="1" applyFont="1" applyFill="1" applyBorder="1"/>
    <xf numFmtId="3" fontId="6" fillId="0" borderId="0" xfId="62" applyNumberFormat="1" applyFont="1" applyFill="1" applyBorder="1" applyAlignment="1">
      <alignment horizontal="right"/>
    </xf>
    <xf numFmtId="0" fontId="26" fillId="18" borderId="0" xfId="56" applyFont="1" applyFill="1" applyBorder="1"/>
    <xf numFmtId="167" fontId="6" fillId="0" borderId="0" xfId="62" applyNumberFormat="1" applyFont="1" applyFill="1" applyBorder="1" applyAlignment="1"/>
    <xf numFmtId="171" fontId="2" fillId="0" borderId="0" xfId="62" applyNumberFormat="1" applyFont="1" applyFill="1" applyBorder="1" applyAlignment="1">
      <alignment horizontal="right"/>
    </xf>
    <xf numFmtId="171" fontId="6" fillId="18" borderId="0" xfId="0" applyNumberFormat="1" applyFont="1" applyFill="1" applyBorder="1"/>
    <xf numFmtId="171" fontId="2" fillId="18" borderId="0" xfId="0" applyNumberFormat="1" applyFont="1" applyFill="1" applyBorder="1"/>
    <xf numFmtId="0" fontId="26" fillId="0" borderId="0" xfId="56" applyFont="1" applyFill="1" applyBorder="1"/>
    <xf numFmtId="172" fontId="6" fillId="0" borderId="0" xfId="0" applyNumberFormat="1" applyFont="1" applyFill="1" applyBorder="1" applyAlignment="1">
      <alignment horizontal="left" indent="1"/>
    </xf>
    <xf numFmtId="168" fontId="6" fillId="0" borderId="0" xfId="0" applyNumberFormat="1" applyFont="1" applyFill="1" applyBorder="1" applyAlignment="1">
      <alignment horizontal="right"/>
    </xf>
    <xf numFmtId="43" fontId="6" fillId="0" borderId="0" xfId="35" applyNumberFormat="1" applyFont="1" applyFill="1" applyBorder="1" applyAlignment="1">
      <alignment horizontal="right"/>
    </xf>
    <xf numFmtId="0" fontId="6" fillId="0" borderId="0" xfId="0" applyNumberFormat="1" applyFont="1" applyFill="1" applyBorder="1" applyAlignment="1">
      <alignment horizontal="left" indent="2"/>
    </xf>
    <xf numFmtId="0" fontId="6" fillId="0" borderId="0" xfId="0" applyNumberFormat="1" applyFont="1" applyFill="1" applyBorder="1"/>
    <xf numFmtId="43" fontId="6" fillId="0" borderId="0" xfId="35" applyFont="1" applyFill="1" applyBorder="1" applyAlignment="1">
      <alignment horizontal="right"/>
    </xf>
    <xf numFmtId="7" fontId="6" fillId="0" borderId="0" xfId="35" applyNumberFormat="1" applyFont="1" applyFill="1" applyBorder="1" applyAlignment="1">
      <alignment horizontal="right"/>
    </xf>
    <xf numFmtId="5" fontId="6" fillId="0" borderId="0" xfId="35" applyNumberFormat="1" applyFont="1" applyFill="1" applyBorder="1"/>
    <xf numFmtId="5" fontId="6" fillId="0" borderId="0" xfId="35" applyNumberFormat="1" applyFont="1" applyFill="1" applyBorder="1" applyAlignment="1">
      <alignment horizontal="right"/>
    </xf>
    <xf numFmtId="175" fontId="6" fillId="0" borderId="0" xfId="0" applyNumberFormat="1" applyFont="1" applyFill="1" applyBorder="1" applyAlignment="1">
      <alignment horizontal="right"/>
    </xf>
    <xf numFmtId="175" fontId="6" fillId="0" borderId="0" xfId="62" applyNumberFormat="1" applyFont="1" applyFill="1" applyBorder="1" applyAlignment="1">
      <alignment horizontal="right"/>
    </xf>
    <xf numFmtId="170" fontId="7" fillId="0" borderId="0" xfId="35" applyNumberFormat="1" applyFont="1" applyFill="1" applyBorder="1"/>
    <xf numFmtId="170" fontId="7" fillId="0" borderId="0" xfId="35" applyNumberFormat="1" applyFont="1" applyFill="1" applyBorder="1" applyAlignment="1">
      <alignment horizontal="right"/>
    </xf>
    <xf numFmtId="9" fontId="6" fillId="0" borderId="0" xfId="0" applyNumberFormat="1" applyFont="1" applyFill="1" applyBorder="1" applyAlignment="1">
      <alignment horizontal="right"/>
    </xf>
    <xf numFmtId="9" fontId="6" fillId="0" borderId="0" xfId="62" applyNumberFormat="1" applyFont="1" applyFill="1" applyBorder="1" applyAlignment="1">
      <alignment horizontal="right"/>
    </xf>
    <xf numFmtId="9" fontId="31" fillId="0" borderId="0" xfId="62" applyNumberFormat="1" applyFont="1" applyFill="1" applyBorder="1" applyAlignment="1">
      <alignment horizontal="right"/>
    </xf>
    <xf numFmtId="170" fontId="6" fillId="18" borderId="0" xfId="0" applyNumberFormat="1" applyFont="1" applyFill="1" applyBorder="1"/>
    <xf numFmtId="0" fontId="7" fillId="0" borderId="23" xfId="62" applyNumberFormat="1" applyFont="1" applyFill="1" applyBorder="1"/>
    <xf numFmtId="167" fontId="7" fillId="0" borderId="23" xfId="62" applyNumberFormat="1" applyFont="1" applyFill="1" applyBorder="1" applyAlignment="1">
      <alignment horizontal="right"/>
    </xf>
    <xf numFmtId="0" fontId="7" fillId="0" borderId="0" xfId="62" applyNumberFormat="1" applyFont="1" applyFill="1" applyBorder="1"/>
    <xf numFmtId="167" fontId="7" fillId="0" borderId="0" xfId="62" applyNumberFormat="1" applyFont="1" applyFill="1" applyBorder="1" applyAlignment="1">
      <alignment horizontal="right"/>
    </xf>
    <xf numFmtId="165" fontId="6" fillId="18" borderId="0" xfId="0" applyNumberFormat="1" applyFont="1" applyFill="1" applyBorder="1"/>
    <xf numFmtId="170" fontId="31" fillId="18" borderId="0" xfId="0" applyNumberFormat="1" applyFont="1" applyFill="1" applyBorder="1"/>
    <xf numFmtId="167" fontId="6" fillId="18" borderId="0" xfId="0" applyNumberFormat="1" applyFont="1" applyFill="1" applyBorder="1"/>
    <xf numFmtId="5" fontId="2" fillId="0" borderId="0" xfId="35" applyNumberFormat="1" applyFont="1" applyFill="1" applyBorder="1" applyAlignment="1">
      <alignment horizontal="right"/>
    </xf>
    <xf numFmtId="9" fontId="6" fillId="0" borderId="2" xfId="0" applyNumberFormat="1" applyFont="1" applyFill="1" applyBorder="1" applyAlignment="1">
      <alignment horizontal="right"/>
    </xf>
    <xf numFmtId="9" fontId="6" fillId="0" borderId="2" xfId="62" applyNumberFormat="1" applyFont="1" applyFill="1" applyBorder="1" applyAlignment="1">
      <alignment horizontal="right"/>
    </xf>
    <xf numFmtId="5" fontId="2" fillId="18" borderId="0" xfId="35" applyNumberFormat="1" applyFont="1" applyFill="1" applyBorder="1" applyAlignment="1">
      <alignment horizontal="right"/>
    </xf>
    <xf numFmtId="5" fontId="6" fillId="0" borderId="23" xfId="0" applyNumberFormat="1" applyFont="1" applyFill="1" applyBorder="1"/>
    <xf numFmtId="5" fontId="6" fillId="0" borderId="23" xfId="0" applyNumberFormat="1" applyFont="1" applyFill="1" applyBorder="1" applyAlignment="1">
      <alignment horizontal="right"/>
    </xf>
    <xf numFmtId="5" fontId="6" fillId="0" borderId="23" xfId="62" applyNumberFormat="1" applyFont="1" applyFill="1" applyBorder="1" applyAlignment="1">
      <alignment horizontal="right"/>
    </xf>
    <xf numFmtId="5" fontId="6" fillId="0" borderId="23" xfId="35" applyNumberFormat="1" applyFont="1" applyFill="1" applyBorder="1"/>
    <xf numFmtId="5" fontId="6" fillId="0" borderId="23" xfId="35" applyNumberFormat="1" applyFont="1" applyFill="1" applyBorder="1" applyAlignment="1">
      <alignment horizontal="right"/>
    </xf>
    <xf numFmtId="5" fontId="6" fillId="0" borderId="0" xfId="0" applyNumberFormat="1" applyFont="1" applyFill="1" applyBorder="1"/>
    <xf numFmtId="5" fontId="6" fillId="0" borderId="0" xfId="0" applyNumberFormat="1" applyFont="1" applyFill="1" applyBorder="1" applyAlignment="1">
      <alignment horizontal="right"/>
    </xf>
    <xf numFmtId="5" fontId="6" fillId="0" borderId="0" xfId="62" applyNumberFormat="1" applyFont="1" applyFill="1" applyBorder="1" applyAlignment="1">
      <alignment horizontal="right"/>
    </xf>
    <xf numFmtId="5" fontId="2" fillId="0" borderId="0" xfId="62" applyNumberFormat="1" applyFont="1" applyFill="1" applyBorder="1" applyAlignment="1">
      <alignment horizontal="right"/>
    </xf>
    <xf numFmtId="7" fontId="7" fillId="0" borderId="6" xfId="0" applyNumberFormat="1" applyFont="1" applyFill="1" applyBorder="1"/>
    <xf numFmtId="7" fontId="7" fillId="0" borderId="6" xfId="0" applyNumberFormat="1" applyFont="1" applyFill="1" applyBorder="1" applyAlignment="1">
      <alignment horizontal="right"/>
    </xf>
    <xf numFmtId="1" fontId="6" fillId="0" borderId="0" xfId="0" applyNumberFormat="1" applyFont="1" applyFill="1" applyBorder="1"/>
    <xf numFmtId="1" fontId="6" fillId="0" borderId="0" xfId="0" applyNumberFormat="1" applyFont="1" applyFill="1" applyBorder="1" applyAlignment="1">
      <alignment horizontal="right"/>
    </xf>
    <xf numFmtId="1" fontId="6" fillId="0" borderId="2" xfId="0" applyNumberFormat="1" applyFont="1" applyFill="1" applyBorder="1" applyAlignment="1">
      <alignment horizontal="right"/>
    </xf>
    <xf numFmtId="171" fontId="6" fillId="0" borderId="2" xfId="0" applyNumberFormat="1" applyFont="1" applyFill="1" applyBorder="1" applyAlignment="1">
      <alignment horizontal="right"/>
    </xf>
    <xf numFmtId="0" fontId="7" fillId="15" borderId="0" xfId="0" applyNumberFormat="1" applyFont="1" applyFill="1" applyBorder="1"/>
    <xf numFmtId="0" fontId="6" fillId="15" borderId="0" xfId="0" applyFont="1" applyFill="1" applyBorder="1" applyAlignment="1">
      <alignment horizontal="right"/>
    </xf>
    <xf numFmtId="0" fontId="31" fillId="0" borderId="0" xfId="0" applyFont="1" applyFill="1" applyBorder="1" applyAlignment="1">
      <alignment horizontal="right"/>
    </xf>
    <xf numFmtId="5" fontId="2" fillId="0" borderId="0" xfId="0" applyNumberFormat="1" applyFont="1" applyFill="1" applyBorder="1" applyAlignment="1">
      <alignment horizontal="right"/>
    </xf>
    <xf numFmtId="9" fontId="31" fillId="18" borderId="0" xfId="62" applyNumberFormat="1" applyFont="1" applyFill="1"/>
    <xf numFmtId="5" fontId="6" fillId="18" borderId="23" xfId="0" applyNumberFormat="1" applyFont="1" applyFill="1" applyBorder="1"/>
    <xf numFmtId="1" fontId="6" fillId="18" borderId="23" xfId="0" applyNumberFormat="1" applyFont="1" applyFill="1" applyBorder="1"/>
    <xf numFmtId="7" fontId="6" fillId="0" borderId="6" xfId="0" applyNumberFormat="1" applyFont="1" applyFill="1" applyBorder="1"/>
    <xf numFmtId="7" fontId="6" fillId="0" borderId="6" xfId="0" applyNumberFormat="1" applyFont="1" applyFill="1" applyBorder="1" applyAlignment="1">
      <alignment horizontal="right"/>
    </xf>
    <xf numFmtId="7" fontId="6" fillId="0" borderId="0" xfId="0" applyNumberFormat="1" applyFont="1" applyFill="1" applyBorder="1" applyAlignment="1">
      <alignment horizontal="right"/>
    </xf>
    <xf numFmtId="7" fontId="6" fillId="19" borderId="0" xfId="0" applyNumberFormat="1" applyFont="1" applyFill="1" applyBorder="1" applyAlignment="1">
      <alignment horizontal="right"/>
    </xf>
    <xf numFmtId="7" fontId="6" fillId="19" borderId="0" xfId="0" applyNumberFormat="1" applyFont="1" applyFill="1" applyBorder="1"/>
    <xf numFmtId="5" fontId="6" fillId="18" borderId="0" xfId="0" applyNumberFormat="1" applyFont="1" applyFill="1" applyBorder="1"/>
    <xf numFmtId="5" fontId="32" fillId="18" borderId="0" xfId="0" applyNumberFormat="1" applyFont="1" applyFill="1" applyBorder="1" applyAlignment="1" applyProtection="1">
      <alignment horizontal="right"/>
    </xf>
    <xf numFmtId="167" fontId="32" fillId="18" borderId="0" xfId="0" applyNumberFormat="1" applyFont="1" applyFill="1" applyBorder="1" applyAlignment="1" applyProtection="1">
      <alignment horizontal="right"/>
    </xf>
    <xf numFmtId="167" fontId="33" fillId="18" borderId="0" xfId="0" applyNumberFormat="1" applyFont="1" applyFill="1" applyBorder="1" applyAlignment="1" applyProtection="1">
      <alignment horizontal="right"/>
    </xf>
    <xf numFmtId="7" fontId="6" fillId="18" borderId="0" xfId="0" applyNumberFormat="1" applyFont="1" applyFill="1" applyBorder="1"/>
    <xf numFmtId="39" fontId="6" fillId="18" borderId="0" xfId="0" applyNumberFormat="1" applyFont="1" applyFill="1" applyBorder="1"/>
    <xf numFmtId="175" fontId="6" fillId="18" borderId="0" xfId="0" applyNumberFormat="1" applyFont="1" applyFill="1" applyBorder="1"/>
    <xf numFmtId="7" fontId="6" fillId="19" borderId="2" xfId="0" applyNumberFormat="1" applyFont="1" applyFill="1" applyBorder="1" applyAlignment="1">
      <alignment horizontal="right"/>
    </xf>
    <xf numFmtId="5" fontId="7" fillId="18" borderId="0" xfId="0" applyNumberFormat="1" applyFont="1" applyFill="1" applyAlignment="1"/>
    <xf numFmtId="5" fontId="6" fillId="18" borderId="0" xfId="0" applyNumberFormat="1" applyFont="1" applyFill="1"/>
    <xf numFmtId="5" fontId="6" fillId="0" borderId="0" xfId="0" applyNumberFormat="1" applyFont="1" applyFill="1"/>
    <xf numFmtId="5" fontId="2" fillId="18" borderId="0" xfId="0" applyNumberFormat="1" applyFont="1" applyFill="1"/>
    <xf numFmtId="0" fontId="6" fillId="18" borderId="0" xfId="53" applyFont="1" applyFill="1"/>
    <xf numFmtId="5" fontId="7" fillId="18" borderId="0" xfId="0" applyNumberFormat="1" applyFont="1" applyFill="1"/>
    <xf numFmtId="5" fontId="7" fillId="0" borderId="0" xfId="0" applyNumberFormat="1" applyFont="1" applyFill="1"/>
    <xf numFmtId="167" fontId="2" fillId="18" borderId="0" xfId="0" applyNumberFormat="1" applyFont="1" applyFill="1" applyBorder="1"/>
    <xf numFmtId="5" fontId="7" fillId="18" borderId="0" xfId="53" applyNumberFormat="1" applyFont="1" applyFill="1" applyBorder="1" applyAlignment="1"/>
    <xf numFmtId="5" fontId="7" fillId="18" borderId="0" xfId="0" applyNumberFormat="1" applyFont="1" applyFill="1" applyBorder="1" applyAlignment="1"/>
    <xf numFmtId="0" fontId="7" fillId="18" borderId="0" xfId="0" applyFont="1" applyFill="1" applyBorder="1"/>
    <xf numFmtId="5" fontId="13" fillId="18" borderId="0" xfId="0" applyNumberFormat="1" applyFont="1" applyFill="1" applyBorder="1"/>
    <xf numFmtId="5" fontId="7" fillId="18" borderId="0" xfId="0" applyNumberFormat="1" applyFont="1" applyFill="1" applyBorder="1"/>
    <xf numFmtId="5" fontId="2" fillId="18" borderId="0" xfId="0" applyNumberFormat="1" applyFont="1" applyFill="1" applyBorder="1"/>
    <xf numFmtId="167" fontId="6" fillId="18" borderId="0" xfId="0" applyNumberFormat="1" applyFont="1" applyFill="1"/>
    <xf numFmtId="5" fontId="13" fillId="18" borderId="0" xfId="0" applyNumberFormat="1" applyFont="1" applyFill="1"/>
    <xf numFmtId="0" fontId="7" fillId="18" borderId="0" xfId="0" applyFont="1" applyFill="1"/>
    <xf numFmtId="167" fontId="6" fillId="18" borderId="0" xfId="0" applyNumberFormat="1" applyFont="1" applyFill="1" applyBorder="1" applyAlignment="1"/>
    <xf numFmtId="167" fontId="6" fillId="18" borderId="0" xfId="62" applyNumberFormat="1" applyFont="1" applyFill="1" applyBorder="1"/>
    <xf numFmtId="167" fontId="2" fillId="18" borderId="0" xfId="62" applyNumberFormat="1" applyFont="1" applyFill="1" applyBorder="1"/>
    <xf numFmtId="167" fontId="6" fillId="18" borderId="0" xfId="62" applyNumberFormat="1" applyFont="1" applyFill="1"/>
    <xf numFmtId="5" fontId="7" fillId="18" borderId="23" xfId="0" applyNumberFormat="1" applyFont="1" applyFill="1" applyBorder="1"/>
    <xf numFmtId="166" fontId="6" fillId="18" borderId="0" xfId="0" applyNumberFormat="1" applyFont="1" applyFill="1" applyBorder="1"/>
    <xf numFmtId="167" fontId="2" fillId="18" borderId="0" xfId="62" applyNumberFormat="1" applyFont="1" applyFill="1"/>
    <xf numFmtId="5" fontId="7" fillId="18" borderId="23" xfId="62" applyNumberFormat="1" applyFont="1" applyFill="1" applyBorder="1"/>
    <xf numFmtId="166" fontId="7" fillId="18" borderId="0" xfId="0" applyNumberFormat="1" applyFont="1" applyFill="1" applyBorder="1"/>
    <xf numFmtId="167" fontId="6" fillId="0" borderId="0" xfId="62" applyNumberFormat="1" applyFont="1" applyFill="1"/>
    <xf numFmtId="167" fontId="2" fillId="0" borderId="0" xfId="62" applyNumberFormat="1" applyFont="1" applyFill="1"/>
    <xf numFmtId="5" fontId="7" fillId="0" borderId="23" xfId="62" applyNumberFormat="1" applyFont="1" applyFill="1" applyBorder="1"/>
    <xf numFmtId="166" fontId="6" fillId="18" borderId="0" xfId="0" applyNumberFormat="1" applyFont="1" applyFill="1"/>
    <xf numFmtId="166" fontId="7" fillId="15" borderId="0" xfId="0" applyNumberFormat="1" applyFont="1" applyFill="1"/>
    <xf numFmtId="166" fontId="6" fillId="15" borderId="0" xfId="0" applyNumberFormat="1" applyFont="1" applyFill="1"/>
    <xf numFmtId="166" fontId="6" fillId="15" borderId="0" xfId="0" applyNumberFormat="1" applyFont="1" applyFill="1" applyBorder="1"/>
    <xf numFmtId="5" fontId="2" fillId="18" borderId="2" xfId="0" applyNumberFormat="1" applyFont="1" applyFill="1" applyBorder="1"/>
    <xf numFmtId="0" fontId="6" fillId="19" borderId="0" xfId="0" applyFont="1" applyFill="1" applyBorder="1" applyAlignment="1"/>
    <xf numFmtId="0" fontId="6" fillId="19" borderId="0" xfId="0" applyFont="1" applyFill="1" applyBorder="1" applyAlignment="1">
      <alignment horizontal="right"/>
    </xf>
    <xf numFmtId="176" fontId="33" fillId="19" borderId="0" xfId="0" applyNumberFormat="1" applyFont="1" applyFill="1" applyBorder="1" applyAlignment="1" applyProtection="1">
      <alignment horizontal="right"/>
    </xf>
    <xf numFmtId="176" fontId="32" fillId="19" borderId="0" xfId="0" applyNumberFormat="1" applyFont="1" applyFill="1" applyBorder="1" applyAlignment="1" applyProtection="1">
      <alignment horizontal="right"/>
    </xf>
    <xf numFmtId="0" fontId="6" fillId="19" borderId="0" xfId="0" applyFont="1" applyFill="1" applyBorder="1"/>
    <xf numFmtId="176" fontId="33" fillId="18" borderId="0" xfId="0" applyNumberFormat="1" applyFont="1" applyFill="1" applyBorder="1" applyAlignment="1" applyProtection="1">
      <alignment horizontal="right"/>
    </xf>
    <xf numFmtId="176" fontId="32" fillId="18" borderId="0" xfId="0" applyNumberFormat="1" applyFont="1" applyFill="1" applyBorder="1" applyAlignment="1" applyProtection="1">
      <alignment horizontal="right"/>
    </xf>
    <xf numFmtId="168" fontId="6" fillId="0" borderId="0" xfId="35" applyNumberFormat="1" applyFont="1"/>
    <xf numFmtId="7" fontId="24" fillId="19" borderId="0" xfId="0" applyNumberFormat="1" applyFont="1" applyFill="1" applyBorder="1"/>
    <xf numFmtId="167" fontId="6" fillId="18" borderId="0" xfId="0" applyNumberFormat="1" applyFont="1" applyFill="1" applyBorder="1" applyAlignment="1">
      <alignment horizontal="left" indent="1"/>
    </xf>
    <xf numFmtId="9" fontId="6" fillId="18" borderId="0" xfId="0" applyNumberFormat="1" applyFont="1" applyFill="1" applyBorder="1" applyAlignment="1">
      <alignment horizontal="left" indent="1"/>
    </xf>
    <xf numFmtId="5" fontId="24" fillId="19" borderId="0" xfId="0" applyNumberFormat="1" applyFont="1" applyFill="1" applyBorder="1"/>
    <xf numFmtId="177" fontId="7" fillId="18" borderId="0" xfId="0" applyNumberFormat="1" applyFont="1" applyFill="1" applyBorder="1"/>
    <xf numFmtId="174" fontId="6" fillId="18" borderId="0" xfId="0" applyNumberFormat="1" applyFont="1" applyFill="1"/>
    <xf numFmtId="174" fontId="2" fillId="18" borderId="0" xfId="0" applyNumberFormat="1" applyFont="1" applyFill="1" applyBorder="1"/>
    <xf numFmtId="171" fontId="6" fillId="18" borderId="0" xfId="0" applyNumberFormat="1" applyFont="1" applyFill="1"/>
    <xf numFmtId="7" fontId="2" fillId="18" borderId="0" xfId="0" applyNumberFormat="1" applyFont="1" applyFill="1" applyBorder="1"/>
    <xf numFmtId="170" fontId="7" fillId="18" borderId="0" xfId="0" applyNumberFormat="1" applyFont="1" applyFill="1" applyBorder="1"/>
    <xf numFmtId="5" fontId="26" fillId="18" borderId="0" xfId="0" applyNumberFormat="1" applyFont="1" applyFill="1" applyBorder="1"/>
    <xf numFmtId="165" fontId="26" fillId="18" borderId="0" xfId="0" applyNumberFormat="1" applyFont="1" applyFill="1" applyBorder="1"/>
    <xf numFmtId="0" fontId="24" fillId="19" borderId="18" xfId="0" applyFont="1" applyFill="1" applyBorder="1"/>
    <xf numFmtId="0" fontId="6" fillId="19" borderId="0" xfId="55" applyFont="1" applyFill="1" applyBorder="1" applyAlignment="1">
      <alignment horizontal="right"/>
    </xf>
    <xf numFmtId="176" fontId="33" fillId="19" borderId="0" xfId="55" applyNumberFormat="1" applyFont="1" applyFill="1" applyBorder="1" applyAlignment="1" applyProtection="1">
      <alignment horizontal="right"/>
    </xf>
    <xf numFmtId="171" fontId="7" fillId="0" borderId="0" xfId="0" applyNumberFormat="1" applyFont="1" applyFill="1" applyBorder="1" applyAlignment="1">
      <alignment horizontal="right"/>
    </xf>
    <xf numFmtId="171" fontId="27" fillId="0" borderId="0" xfId="0" applyNumberFormat="1" applyFont="1" applyFill="1" applyBorder="1" applyAlignment="1">
      <alignment horizontal="right"/>
    </xf>
    <xf numFmtId="0" fontId="7" fillId="18" borderId="0" xfId="0" applyFont="1" applyFill="1" applyBorder="1" applyAlignment="1">
      <alignment horizontal="center"/>
    </xf>
    <xf numFmtId="9" fontId="6" fillId="18" borderId="0" xfId="0" applyNumberFormat="1" applyFont="1" applyFill="1" applyBorder="1" applyAlignment="1">
      <alignment horizontal="center"/>
    </xf>
    <xf numFmtId="0" fontId="9" fillId="0" borderId="0" xfId="0" applyFont="1" applyBorder="1"/>
    <xf numFmtId="167" fontId="6" fillId="18" borderId="0" xfId="0" applyNumberFormat="1" applyFont="1" applyFill="1" applyBorder="1" applyAlignment="1">
      <alignment horizontal="center"/>
    </xf>
    <xf numFmtId="170" fontId="6" fillId="18" borderId="0" xfId="0" applyNumberFormat="1" applyFont="1" applyFill="1" applyBorder="1" applyAlignment="1">
      <alignment horizontal="center"/>
    </xf>
    <xf numFmtId="167" fontId="7" fillId="18" borderId="0" xfId="0" applyNumberFormat="1" applyFont="1" applyFill="1" applyBorder="1" applyAlignment="1">
      <alignment horizontal="center"/>
    </xf>
    <xf numFmtId="7" fontId="6" fillId="0" borderId="0" xfId="0" applyNumberFormat="1" applyFont="1" applyFill="1" applyBorder="1" applyAlignment="1">
      <alignment horizontal="left" indent="1"/>
    </xf>
    <xf numFmtId="175" fontId="6" fillId="0" borderId="0" xfId="0" applyNumberFormat="1" applyFont="1" applyFill="1" applyBorder="1" applyAlignment="1">
      <alignment horizontal="left" indent="1"/>
    </xf>
    <xf numFmtId="5" fontId="6" fillId="18" borderId="0" xfId="0" applyNumberFormat="1" applyFont="1" applyFill="1" applyBorder="1" applyAlignment="1">
      <alignment horizontal="left" indent="1"/>
    </xf>
    <xf numFmtId="0" fontId="6" fillId="0" borderId="23" xfId="0" applyNumberFormat="1" applyFont="1" applyFill="1" applyBorder="1" applyAlignment="1">
      <alignment horizontal="left" indent="1"/>
    </xf>
    <xf numFmtId="0" fontId="6" fillId="0" borderId="0" xfId="62" applyNumberFormat="1" applyFont="1" applyFill="1" applyBorder="1" applyAlignment="1">
      <alignment horizontal="left" indent="1"/>
    </xf>
    <xf numFmtId="171" fontId="7" fillId="0" borderId="0" xfId="0" applyNumberFormat="1" applyFont="1" applyFill="1" applyBorder="1"/>
    <xf numFmtId="0" fontId="34" fillId="0" borderId="0" xfId="0" applyFont="1"/>
    <xf numFmtId="0" fontId="6" fillId="0" borderId="0" xfId="0" applyNumberFormat="1" applyFont="1" applyFill="1" applyAlignment="1">
      <alignment horizontal="left" indent="1"/>
    </xf>
    <xf numFmtId="3" fontId="6" fillId="0" borderId="0" xfId="0" applyNumberFormat="1" applyFont="1" applyFill="1" applyAlignment="1">
      <alignment horizontal="left" indent="1"/>
    </xf>
    <xf numFmtId="0" fontId="7" fillId="0" borderId="0" xfId="0" applyNumberFormat="1" applyFont="1" applyFill="1"/>
    <xf numFmtId="1" fontId="7" fillId="0" borderId="0" xfId="62" applyNumberFormat="1" applyFont="1" applyFill="1" applyBorder="1" applyAlignment="1">
      <alignment horizontal="right"/>
    </xf>
    <xf numFmtId="1" fontId="7" fillId="18" borderId="0" xfId="62" applyNumberFormat="1" applyFont="1" applyFill="1" applyBorder="1" applyAlignment="1">
      <alignment horizontal="right"/>
    </xf>
    <xf numFmtId="0" fontId="6" fillId="0" borderId="0" xfId="0" applyNumberFormat="1" applyFont="1" applyFill="1" applyBorder="1" applyAlignment="1">
      <alignment horizontal="left"/>
    </xf>
    <xf numFmtId="169" fontId="6" fillId="18" borderId="0" xfId="56" applyNumberFormat="1" applyFont="1" applyFill="1" applyBorder="1" applyAlignment="1">
      <alignment horizontal="left"/>
    </xf>
    <xf numFmtId="170" fontId="7" fillId="15" borderId="6" xfId="58" applyNumberFormat="1" applyFont="1" applyFill="1" applyBorder="1" applyAlignment="1" applyProtection="1">
      <alignment horizontal="left"/>
      <protection locked="0"/>
    </xf>
    <xf numFmtId="166" fontId="6" fillId="0" borderId="0" xfId="0" applyNumberFormat="1" applyFont="1" applyFill="1" applyBorder="1"/>
    <xf numFmtId="170" fontId="6" fillId="0" borderId="0" xfId="58" applyNumberFormat="1" applyFont="1" applyFill="1" applyBorder="1" applyAlignment="1" applyProtection="1">
      <alignment horizontal="left"/>
      <protection locked="0"/>
    </xf>
    <xf numFmtId="170" fontId="7" fillId="0" borderId="6" xfId="58" applyNumberFormat="1" applyFont="1" applyFill="1" applyBorder="1" applyAlignment="1" applyProtection="1">
      <alignment horizontal="left"/>
      <protection locked="0"/>
    </xf>
    <xf numFmtId="0" fontId="9" fillId="0" borderId="0" xfId="0" applyFont="1" applyFill="1"/>
    <xf numFmtId="5" fontId="7" fillId="15" borderId="6" xfId="0" applyNumberFormat="1" applyFont="1" applyFill="1" applyBorder="1"/>
    <xf numFmtId="0" fontId="9" fillId="15" borderId="0" xfId="0" applyFont="1" applyFill="1"/>
    <xf numFmtId="0" fontId="9" fillId="0" borderId="0" xfId="0" applyFont="1" applyFill="1" applyBorder="1"/>
    <xf numFmtId="5" fontId="6" fillId="0" borderId="2" xfId="0" applyNumberFormat="1" applyFont="1" applyFill="1" applyBorder="1"/>
    <xf numFmtId="170" fontId="7" fillId="0" borderId="6" xfId="0" applyNumberFormat="1" applyFont="1" applyFill="1" applyBorder="1"/>
    <xf numFmtId="170" fontId="9" fillId="0" borderId="0" xfId="0" applyNumberFormat="1" applyFont="1" applyFill="1"/>
    <xf numFmtId="170" fontId="9" fillId="0" borderId="0" xfId="0" applyNumberFormat="1" applyFont="1"/>
    <xf numFmtId="166" fontId="7" fillId="18" borderId="0" xfId="0" applyNumberFormat="1" applyFont="1" applyFill="1" applyBorder="1" applyAlignment="1"/>
    <xf numFmtId="166" fontId="6" fillId="18" borderId="0" xfId="0" applyNumberFormat="1" applyFont="1" applyFill="1" applyBorder="1" applyAlignment="1">
      <alignment horizontal="left"/>
    </xf>
    <xf numFmtId="167" fontId="6" fillId="18" borderId="0" xfId="0" applyNumberFormat="1" applyFont="1" applyFill="1" applyBorder="1" applyAlignment="1">
      <alignment horizontal="left" indent="2"/>
    </xf>
    <xf numFmtId="0" fontId="6" fillId="18" borderId="0" xfId="0" applyFont="1" applyFill="1" applyBorder="1" applyAlignment="1">
      <alignment horizontal="left" indent="1"/>
    </xf>
    <xf numFmtId="166" fontId="7" fillId="0" borderId="23" xfId="0" applyNumberFormat="1" applyFont="1" applyFill="1" applyBorder="1"/>
    <xf numFmtId="5" fontId="7" fillId="0" borderId="23" xfId="0" applyNumberFormat="1" applyFont="1" applyFill="1" applyBorder="1"/>
    <xf numFmtId="0" fontId="27" fillId="18" borderId="0" xfId="0" applyFont="1" applyFill="1" applyBorder="1"/>
    <xf numFmtId="167" fontId="6" fillId="18" borderId="0" xfId="0" applyNumberFormat="1" applyFont="1" applyFill="1" applyAlignment="1">
      <alignment horizontal="left" indent="2"/>
    </xf>
    <xf numFmtId="9" fontId="6" fillId="18" borderId="0" xfId="62" applyFont="1" applyFill="1" applyAlignment="1">
      <alignment horizontal="left" indent="2"/>
    </xf>
    <xf numFmtId="165" fontId="12" fillId="18" borderId="0" xfId="0" applyNumberFormat="1" applyFont="1" applyFill="1" applyAlignment="1">
      <alignment horizontal="left" indent="1"/>
    </xf>
    <xf numFmtId="5" fontId="6" fillId="18" borderId="0" xfId="0" applyNumberFormat="1" applyFont="1" applyFill="1" applyAlignment="1">
      <alignment horizontal="left" indent="1"/>
    </xf>
    <xf numFmtId="166" fontId="6" fillId="18" borderId="0" xfId="52" applyNumberFormat="1" applyFont="1" applyFill="1"/>
    <xf numFmtId="0" fontId="24" fillId="19" borderId="0" xfId="58" applyFont="1" applyFill="1" applyBorder="1" applyAlignment="1" applyProtection="1">
      <alignment horizontal="centerContinuous" wrapText="1"/>
    </xf>
    <xf numFmtId="0" fontId="24" fillId="19" borderId="22" xfId="58" applyFont="1" applyFill="1" applyBorder="1" applyAlignment="1" applyProtection="1">
      <alignment horizontal="center"/>
    </xf>
    <xf numFmtId="0" fontId="24" fillId="19" borderId="2" xfId="58" applyFont="1" applyFill="1" applyBorder="1" applyAlignment="1" applyProtection="1">
      <alignment horizontal="center"/>
    </xf>
    <xf numFmtId="0" fontId="24" fillId="19" borderId="24" xfId="58" applyFont="1" applyFill="1" applyBorder="1" applyAlignment="1" applyProtection="1">
      <alignment horizontal="center"/>
    </xf>
    <xf numFmtId="0" fontId="23" fillId="19" borderId="22" xfId="0" applyFont="1" applyFill="1" applyBorder="1" applyAlignment="1">
      <alignment horizontal="right"/>
    </xf>
    <xf numFmtId="164" fontId="6" fillId="0" borderId="22" xfId="35" applyNumberFormat="1" applyFont="1" applyFill="1" applyBorder="1" applyAlignment="1">
      <alignment horizontal="right"/>
    </xf>
    <xf numFmtId="167" fontId="6" fillId="0" borderId="22" xfId="62" applyNumberFormat="1" applyFont="1" applyFill="1" applyBorder="1" applyAlignment="1">
      <alignment horizontal="right"/>
    </xf>
    <xf numFmtId="167" fontId="6" fillId="0" borderId="25" xfId="62" applyNumberFormat="1" applyFont="1" applyFill="1" applyBorder="1" applyAlignment="1">
      <alignment horizontal="right"/>
    </xf>
    <xf numFmtId="168" fontId="6" fillId="0" borderId="22" xfId="35" applyNumberFormat="1" applyFont="1" applyFill="1" applyBorder="1" applyAlignment="1">
      <alignment horizontal="right"/>
    </xf>
    <xf numFmtId="3" fontId="6" fillId="0" borderId="22" xfId="0" applyNumberFormat="1" applyFont="1" applyFill="1" applyBorder="1" applyAlignment="1">
      <alignment horizontal="right"/>
    </xf>
    <xf numFmtId="172" fontId="6" fillId="0" borderId="22" xfId="0" applyNumberFormat="1" applyFont="1" applyFill="1" applyBorder="1" applyAlignment="1">
      <alignment horizontal="right"/>
    </xf>
    <xf numFmtId="1" fontId="7" fillId="0" borderId="22" xfId="62" applyNumberFormat="1" applyFont="1" applyFill="1" applyBorder="1" applyAlignment="1">
      <alignment horizontal="right"/>
    </xf>
    <xf numFmtId="1" fontId="6" fillId="0" borderId="22" xfId="62" applyNumberFormat="1" applyFont="1" applyFill="1" applyBorder="1" applyAlignment="1">
      <alignment horizontal="right"/>
    </xf>
    <xf numFmtId="1" fontId="6" fillId="18" borderId="22" xfId="62" applyNumberFormat="1" applyFont="1" applyFill="1" applyBorder="1" applyAlignment="1">
      <alignment horizontal="right"/>
    </xf>
    <xf numFmtId="1" fontId="6" fillId="0" borderId="22" xfId="35" applyNumberFormat="1" applyFont="1" applyFill="1" applyBorder="1" applyAlignment="1">
      <alignment horizontal="right"/>
    </xf>
    <xf numFmtId="167" fontId="6" fillId="0" borderId="24" xfId="62" applyNumberFormat="1" applyFont="1" applyFill="1" applyBorder="1" applyAlignment="1">
      <alignment horizontal="right"/>
    </xf>
    <xf numFmtId="167" fontId="24" fillId="19" borderId="22" xfId="62" applyNumberFormat="1" applyFont="1" applyFill="1" applyBorder="1" applyAlignment="1">
      <alignment horizontal="right"/>
    </xf>
    <xf numFmtId="0" fontId="24" fillId="20" borderId="22" xfId="58" applyFont="1" applyFill="1" applyBorder="1" applyAlignment="1">
      <alignment horizontal="left"/>
    </xf>
    <xf numFmtId="43" fontId="6" fillId="0" borderId="22" xfId="0" applyNumberFormat="1" applyFont="1" applyFill="1" applyBorder="1" applyAlignment="1">
      <alignment horizontal="right"/>
    </xf>
    <xf numFmtId="167" fontId="6" fillId="18" borderId="22" xfId="62" applyNumberFormat="1" applyFont="1" applyFill="1" applyBorder="1" applyAlignment="1">
      <alignment horizontal="right"/>
    </xf>
    <xf numFmtId="39" fontId="6" fillId="0" borderId="22" xfId="62" applyNumberFormat="1" applyFont="1" applyFill="1" applyBorder="1" applyAlignment="1">
      <alignment horizontal="right"/>
    </xf>
    <xf numFmtId="170" fontId="6" fillId="0" borderId="22" xfId="62" applyNumberFormat="1" applyFont="1" applyFill="1" applyBorder="1" applyAlignment="1">
      <alignment horizontal="right"/>
    </xf>
    <xf numFmtId="171" fontId="6" fillId="0" borderId="22" xfId="62" applyNumberFormat="1" applyFont="1" applyFill="1" applyBorder="1" applyAlignment="1">
      <alignment horizontal="right"/>
    </xf>
    <xf numFmtId="3" fontId="6" fillId="18" borderId="22" xfId="0" applyNumberFormat="1" applyFont="1" applyFill="1" applyBorder="1"/>
    <xf numFmtId="170" fontId="6" fillId="0" borderId="22" xfId="0" applyNumberFormat="1" applyFont="1" applyFill="1" applyBorder="1" applyAlignment="1">
      <alignment horizontal="right"/>
    </xf>
    <xf numFmtId="167" fontId="6" fillId="0" borderId="22" xfId="62" applyNumberFormat="1" applyFont="1" applyFill="1" applyBorder="1" applyAlignment="1"/>
    <xf numFmtId="171" fontId="6" fillId="0" borderId="22" xfId="62" applyNumberFormat="1" applyFont="1" applyFill="1" applyBorder="1" applyAlignment="1"/>
    <xf numFmtId="43" fontId="6" fillId="0" borderId="22" xfId="35" applyNumberFormat="1" applyFont="1" applyFill="1" applyBorder="1" applyAlignment="1">
      <alignment horizontal="right"/>
    </xf>
    <xf numFmtId="43" fontId="6" fillId="0" borderId="22" xfId="35" applyFont="1" applyFill="1" applyBorder="1" applyAlignment="1">
      <alignment horizontal="right"/>
    </xf>
    <xf numFmtId="7" fontId="6" fillId="0" borderId="22" xfId="35" applyNumberFormat="1" applyFont="1" applyFill="1" applyBorder="1" applyAlignment="1">
      <alignment horizontal="right"/>
    </xf>
    <xf numFmtId="5" fontId="6" fillId="0" borderId="22" xfId="35" applyNumberFormat="1" applyFont="1" applyFill="1" applyBorder="1" applyAlignment="1">
      <alignment horizontal="right"/>
    </xf>
    <xf numFmtId="175" fontId="6" fillId="0" borderId="22" xfId="62" applyNumberFormat="1" applyFont="1" applyFill="1" applyBorder="1" applyAlignment="1">
      <alignment horizontal="right"/>
    </xf>
    <xf numFmtId="170" fontId="7" fillId="0" borderId="22" xfId="35" applyNumberFormat="1" applyFont="1" applyFill="1" applyBorder="1" applyAlignment="1">
      <alignment horizontal="right"/>
    </xf>
    <xf numFmtId="9" fontId="6" fillId="0" borderId="22" xfId="62" applyNumberFormat="1" applyFont="1" applyFill="1" applyBorder="1" applyAlignment="1">
      <alignment horizontal="right"/>
    </xf>
    <xf numFmtId="167" fontId="7" fillId="0" borderId="25" xfId="62" applyNumberFormat="1" applyFont="1" applyFill="1" applyBorder="1" applyAlignment="1">
      <alignment horizontal="right"/>
    </xf>
    <xf numFmtId="167" fontId="7" fillId="0" borderId="22" xfId="62" applyNumberFormat="1" applyFont="1" applyFill="1" applyBorder="1" applyAlignment="1">
      <alignment horizontal="right"/>
    </xf>
    <xf numFmtId="0" fontId="24" fillId="19" borderId="22" xfId="58" applyFont="1" applyFill="1" applyBorder="1" applyAlignment="1">
      <alignment horizontal="left"/>
    </xf>
    <xf numFmtId="9" fontId="6" fillId="0" borderId="24" xfId="62" applyNumberFormat="1" applyFont="1" applyFill="1" applyBorder="1" applyAlignment="1">
      <alignment horizontal="right"/>
    </xf>
    <xf numFmtId="5" fontId="6" fillId="0" borderId="25" xfId="62" applyNumberFormat="1" applyFont="1" applyFill="1" applyBorder="1" applyAlignment="1">
      <alignment horizontal="right"/>
    </xf>
    <xf numFmtId="5" fontId="6" fillId="0" borderId="25" xfId="35" applyNumberFormat="1" applyFont="1" applyFill="1" applyBorder="1" applyAlignment="1">
      <alignment horizontal="right"/>
    </xf>
    <xf numFmtId="171" fontId="7" fillId="0" borderId="22" xfId="0" applyNumberFormat="1" applyFont="1" applyFill="1" applyBorder="1" applyAlignment="1">
      <alignment horizontal="right"/>
    </xf>
    <xf numFmtId="5" fontId="6" fillId="0" borderId="22" xfId="62" applyNumberFormat="1" applyFont="1" applyFill="1" applyBorder="1" applyAlignment="1">
      <alignment horizontal="right"/>
    </xf>
    <xf numFmtId="7" fontId="7" fillId="0" borderId="8" xfId="0" applyNumberFormat="1" applyFont="1" applyFill="1" applyBorder="1" applyAlignment="1">
      <alignment horizontal="right"/>
    </xf>
    <xf numFmtId="1" fontId="6" fillId="18" borderId="22" xfId="0" applyNumberFormat="1" applyFont="1" applyFill="1" applyBorder="1" applyAlignment="1">
      <alignment horizontal="right"/>
    </xf>
    <xf numFmtId="1" fontId="31" fillId="18" borderId="22" xfId="35" applyNumberFormat="1" applyFont="1" applyFill="1" applyBorder="1" applyAlignment="1">
      <alignment horizontal="right"/>
    </xf>
    <xf numFmtId="1" fontId="6" fillId="0" borderId="22" xfId="0" applyNumberFormat="1" applyFont="1" applyFill="1" applyBorder="1" applyAlignment="1">
      <alignment horizontal="right"/>
    </xf>
    <xf numFmtId="1" fontId="6" fillId="0" borderId="24" xfId="0" applyNumberFormat="1" applyFont="1" applyFill="1" applyBorder="1" applyAlignment="1">
      <alignment horizontal="right"/>
    </xf>
    <xf numFmtId="0" fontId="6" fillId="15" borderId="22" xfId="0" applyFont="1" applyFill="1" applyBorder="1" applyAlignment="1">
      <alignment horizontal="right"/>
    </xf>
    <xf numFmtId="0" fontId="6" fillId="0" borderId="22" xfId="0" applyFont="1" applyFill="1" applyBorder="1" applyAlignment="1">
      <alignment horizontal="right"/>
    </xf>
    <xf numFmtId="5" fontId="6" fillId="0" borderId="22" xfId="0" applyNumberFormat="1" applyFont="1" applyFill="1" applyBorder="1" applyAlignment="1">
      <alignment horizontal="right"/>
    </xf>
    <xf numFmtId="5" fontId="6" fillId="0" borderId="25" xfId="0" applyNumberFormat="1" applyFont="1" applyFill="1" applyBorder="1" applyAlignment="1">
      <alignment horizontal="right"/>
    </xf>
    <xf numFmtId="7" fontId="6" fillId="0" borderId="8" xfId="0" applyNumberFormat="1" applyFont="1" applyFill="1" applyBorder="1" applyAlignment="1">
      <alignment horizontal="right"/>
    </xf>
    <xf numFmtId="7" fontId="6" fillId="0" borderId="22" xfId="0" applyNumberFormat="1" applyFont="1" applyFill="1" applyBorder="1" applyAlignment="1">
      <alignment horizontal="right"/>
    </xf>
    <xf numFmtId="7" fontId="6" fillId="19" borderId="22" xfId="0" applyNumberFormat="1" applyFont="1" applyFill="1" applyBorder="1" applyAlignment="1">
      <alignment horizontal="right"/>
    </xf>
    <xf numFmtId="170" fontId="7" fillId="15" borderId="22" xfId="58" applyNumberFormat="1" applyFont="1" applyFill="1" applyBorder="1" applyAlignment="1" applyProtection="1">
      <alignment horizontal="left"/>
      <protection locked="0"/>
    </xf>
    <xf numFmtId="7" fontId="6" fillId="19" borderId="24" xfId="0" applyNumberFormat="1" applyFont="1" applyFill="1" applyBorder="1" applyAlignment="1">
      <alignment horizontal="right"/>
    </xf>
    <xf numFmtId="5" fontId="7" fillId="18" borderId="22" xfId="0" applyNumberFormat="1" applyFont="1" applyFill="1" applyBorder="1" applyAlignment="1"/>
    <xf numFmtId="5" fontId="6" fillId="18" borderId="22" xfId="0" applyNumberFormat="1" applyFont="1" applyFill="1" applyBorder="1"/>
    <xf numFmtId="5" fontId="7" fillId="18" borderId="22" xfId="0" applyNumberFormat="1" applyFont="1" applyFill="1" applyBorder="1"/>
    <xf numFmtId="167" fontId="6" fillId="18" borderId="22" xfId="0" applyNumberFormat="1" applyFont="1" applyFill="1" applyBorder="1"/>
    <xf numFmtId="5" fontId="7" fillId="15" borderId="8" xfId="0" applyNumberFormat="1" applyFont="1" applyFill="1" applyBorder="1"/>
    <xf numFmtId="5" fontId="7" fillId="0" borderId="25" xfId="0" applyNumberFormat="1" applyFont="1" applyFill="1" applyBorder="1"/>
    <xf numFmtId="5" fontId="6" fillId="0" borderId="24" xfId="0" applyNumberFormat="1" applyFont="1" applyFill="1" applyBorder="1"/>
    <xf numFmtId="170" fontId="7" fillId="0" borderId="8" xfId="0" applyNumberFormat="1" applyFont="1" applyFill="1" applyBorder="1"/>
    <xf numFmtId="167" fontId="6" fillId="18" borderId="22" xfId="0" applyNumberFormat="1" applyFont="1" applyFill="1" applyBorder="1" applyAlignment="1"/>
    <xf numFmtId="165" fontId="6" fillId="18" borderId="22" xfId="0" applyNumberFormat="1" applyFont="1" applyFill="1" applyBorder="1"/>
    <xf numFmtId="167" fontId="6" fillId="18" borderId="22" xfId="62" applyNumberFormat="1" applyFont="1" applyFill="1" applyBorder="1"/>
    <xf numFmtId="5" fontId="7" fillId="18" borderId="25" xfId="0" applyNumberFormat="1" applyFont="1" applyFill="1" applyBorder="1"/>
    <xf numFmtId="5" fontId="7" fillId="18" borderId="25" xfId="62" applyNumberFormat="1" applyFont="1" applyFill="1" applyBorder="1"/>
    <xf numFmtId="166" fontId="6" fillId="18" borderId="22" xfId="0" applyNumberFormat="1" applyFont="1" applyFill="1" applyBorder="1"/>
    <xf numFmtId="166" fontId="6" fillId="15" borderId="22" xfId="0" applyNumberFormat="1" applyFont="1" applyFill="1" applyBorder="1"/>
    <xf numFmtId="5" fontId="6" fillId="18" borderId="24" xfId="0" applyNumberFormat="1" applyFont="1" applyFill="1" applyBorder="1"/>
    <xf numFmtId="0" fontId="6" fillId="19" borderId="22" xfId="0" applyFont="1" applyFill="1" applyBorder="1" applyAlignment="1"/>
    <xf numFmtId="0" fontId="6" fillId="18" borderId="22" xfId="0" applyFont="1" applyFill="1" applyBorder="1" applyAlignment="1"/>
    <xf numFmtId="0" fontId="9" fillId="0" borderId="22" xfId="0" applyFont="1" applyBorder="1"/>
    <xf numFmtId="170" fontId="31" fillId="18" borderId="22" xfId="0" applyNumberFormat="1" applyFont="1" applyFill="1" applyBorder="1"/>
    <xf numFmtId="5" fontId="31" fillId="18" borderId="22" xfId="0" applyNumberFormat="1" applyFont="1" applyFill="1" applyBorder="1"/>
    <xf numFmtId="167" fontId="31" fillId="18" borderId="22" xfId="0" applyNumberFormat="1" applyFont="1" applyFill="1" applyBorder="1"/>
    <xf numFmtId="168" fontId="6" fillId="0" borderId="22" xfId="35" applyNumberFormat="1" applyFont="1" applyBorder="1"/>
    <xf numFmtId="167" fontId="23" fillId="19" borderId="22" xfId="62" applyNumberFormat="1" applyFont="1" applyFill="1" applyBorder="1"/>
    <xf numFmtId="7" fontId="6" fillId="18" borderId="22" xfId="0" applyNumberFormat="1" applyFont="1" applyFill="1" applyBorder="1"/>
    <xf numFmtId="7" fontId="6" fillId="19" borderId="22" xfId="0" applyNumberFormat="1" applyFont="1" applyFill="1" applyBorder="1"/>
    <xf numFmtId="0" fontId="6" fillId="19" borderId="22" xfId="55" applyFont="1" applyFill="1" applyBorder="1" applyAlignment="1">
      <alignment horizontal="right"/>
    </xf>
    <xf numFmtId="171" fontId="2" fillId="0" borderId="22" xfId="62" applyNumberFormat="1" applyFont="1" applyFill="1" applyBorder="1" applyAlignment="1"/>
    <xf numFmtId="9" fontId="6" fillId="18" borderId="24" xfId="62" applyNumberFormat="1" applyFont="1" applyFill="1" applyBorder="1"/>
    <xf numFmtId="1" fontId="31" fillId="0" borderId="22" xfId="35" applyNumberFormat="1" applyFont="1" applyFill="1" applyBorder="1" applyAlignment="1">
      <alignment horizontal="right"/>
    </xf>
    <xf numFmtId="5" fontId="7" fillId="0" borderId="22" xfId="0" applyNumberFormat="1" applyFont="1" applyFill="1" applyBorder="1" applyAlignment="1"/>
    <xf numFmtId="5" fontId="2" fillId="18" borderId="22" xfId="0" applyNumberFormat="1" applyFont="1" applyFill="1" applyBorder="1"/>
    <xf numFmtId="5" fontId="2" fillId="18" borderId="22" xfId="0" applyNumberFormat="1" applyFont="1" applyFill="1" applyBorder="1" applyAlignment="1">
      <alignment horizontal="right"/>
    </xf>
    <xf numFmtId="5" fontId="6" fillId="0" borderId="22" xfId="0" applyNumberFormat="1" applyFont="1" applyFill="1" applyBorder="1"/>
    <xf numFmtId="5" fontId="2" fillId="18" borderId="24" xfId="0" applyNumberFormat="1" applyFont="1" applyFill="1" applyBorder="1"/>
    <xf numFmtId="0" fontId="6" fillId="19" borderId="22" xfId="0" applyFont="1" applyFill="1" applyBorder="1" applyAlignment="1">
      <alignment horizontal="right"/>
    </xf>
    <xf numFmtId="167" fontId="2" fillId="18" borderId="22" xfId="0" applyNumberFormat="1" applyFont="1" applyFill="1" applyBorder="1"/>
    <xf numFmtId="177" fontId="7" fillId="18" borderId="22" xfId="0" applyNumberFormat="1" applyFont="1" applyFill="1" applyBorder="1"/>
    <xf numFmtId="174" fontId="2" fillId="18" borderId="22" xfId="0" applyNumberFormat="1" applyFont="1" applyFill="1" applyBorder="1"/>
    <xf numFmtId="171" fontId="2" fillId="18" borderId="22" xfId="62" applyNumberFormat="1" applyFont="1" applyFill="1" applyBorder="1" applyAlignment="1"/>
    <xf numFmtId="5" fontId="6" fillId="18" borderId="22" xfId="62" applyNumberFormat="1" applyFont="1" applyFill="1" applyBorder="1" applyAlignment="1">
      <alignment horizontal="right"/>
    </xf>
    <xf numFmtId="0" fontId="6" fillId="19" borderId="22" xfId="0" applyFont="1" applyFill="1" applyBorder="1"/>
    <xf numFmtId="0" fontId="24" fillId="20" borderId="1" xfId="58" applyFont="1" applyFill="1" applyBorder="1" applyAlignment="1">
      <alignment horizontal="left"/>
    </xf>
    <xf numFmtId="170" fontId="7" fillId="15" borderId="1" xfId="58" applyNumberFormat="1" applyFont="1" applyFill="1" applyBorder="1" applyAlignment="1" applyProtection="1">
      <alignment horizontal="right"/>
      <protection locked="0"/>
    </xf>
    <xf numFmtId="5" fontId="7" fillId="18" borderId="26" xfId="0" applyNumberFormat="1" applyFont="1" applyFill="1" applyBorder="1"/>
    <xf numFmtId="0" fontId="6" fillId="0" borderId="1" xfId="0" applyFont="1" applyFill="1" applyBorder="1"/>
    <xf numFmtId="0" fontId="9" fillId="0" borderId="1" xfId="0" applyFont="1" applyBorder="1"/>
    <xf numFmtId="3" fontId="6" fillId="0" borderId="0" xfId="0" applyNumberFormat="1" applyFont="1" applyFill="1" applyBorder="1" applyAlignment="1">
      <alignment horizontal="left"/>
    </xf>
    <xf numFmtId="3" fontId="6" fillId="18" borderId="0" xfId="0" applyNumberFormat="1" applyFont="1" applyFill="1" applyBorder="1" applyAlignment="1">
      <alignment horizontal="left"/>
    </xf>
    <xf numFmtId="167" fontId="6" fillId="18" borderId="0" xfId="55" applyNumberFormat="1" applyFont="1" applyFill="1" applyBorder="1" applyAlignment="1">
      <alignment horizontal="left" indent="1"/>
    </xf>
    <xf numFmtId="5" fontId="14" fillId="18" borderId="2" xfId="55" applyNumberFormat="1" applyFont="1" applyFill="1" applyBorder="1" applyAlignment="1">
      <alignment horizontal="left" indent="1"/>
    </xf>
    <xf numFmtId="170" fontId="6" fillId="0" borderId="0" xfId="0" applyNumberFormat="1" applyFont="1" applyFill="1" applyAlignment="1">
      <alignment horizontal="left"/>
    </xf>
    <xf numFmtId="5" fontId="6" fillId="18" borderId="0" xfId="0" applyNumberFormat="1" applyFont="1" applyFill="1" applyBorder="1" applyAlignment="1">
      <alignment horizontal="left"/>
    </xf>
    <xf numFmtId="5" fontId="6" fillId="0" borderId="0" xfId="35" applyNumberFormat="1" applyFont="1" applyFill="1" applyBorder="1" applyAlignment="1">
      <alignment horizontal="left"/>
    </xf>
    <xf numFmtId="166" fontId="7" fillId="18" borderId="0" xfId="52" applyNumberFormat="1" applyFont="1" applyFill="1"/>
    <xf numFmtId="167" fontId="6" fillId="18" borderId="0" xfId="56" applyNumberFormat="1" applyFont="1" applyFill="1" applyBorder="1" applyAlignment="1">
      <alignment horizontal="left" indent="1"/>
    </xf>
    <xf numFmtId="167" fontId="2" fillId="0" borderId="22" xfId="62" applyNumberFormat="1" applyFont="1" applyFill="1" applyBorder="1" applyAlignment="1"/>
    <xf numFmtId="167" fontId="2" fillId="0" borderId="0" xfId="62" applyNumberFormat="1" applyFont="1" applyFill="1" applyBorder="1" applyAlignment="1"/>
    <xf numFmtId="171" fontId="6" fillId="18" borderId="0" xfId="56" applyNumberFormat="1" applyFont="1" applyFill="1" applyBorder="1"/>
    <xf numFmtId="171" fontId="2" fillId="0" borderId="0" xfId="62" applyNumberFormat="1" applyFont="1" applyFill="1" applyBorder="1" applyAlignment="1"/>
    <xf numFmtId="0" fontId="9" fillId="18" borderId="0" xfId="0" applyFont="1" applyFill="1"/>
    <xf numFmtId="0" fontId="24" fillId="19" borderId="0" xfId="58" applyFont="1" applyFill="1" applyBorder="1" applyAlignment="1" applyProtection="1">
      <alignment horizontal="center"/>
    </xf>
    <xf numFmtId="167" fontId="6" fillId="18" borderId="0" xfId="62" applyNumberFormat="1" applyFont="1" applyFill="1" applyBorder="1" applyAlignment="1">
      <alignment horizontal="center" vertical="center"/>
    </xf>
    <xf numFmtId="0" fontId="24" fillId="18" borderId="0" xfId="0" applyFont="1" applyFill="1" applyBorder="1"/>
    <xf numFmtId="0" fontId="24" fillId="18" borderId="0" xfId="58" applyFont="1" applyFill="1" applyBorder="1" applyAlignment="1">
      <alignment horizontal="left"/>
    </xf>
    <xf numFmtId="170" fontId="7" fillId="18" borderId="0" xfId="58" applyNumberFormat="1" applyFont="1" applyFill="1" applyBorder="1" applyAlignment="1" applyProtection="1">
      <alignment horizontal="right"/>
      <protection locked="0"/>
    </xf>
    <xf numFmtId="43" fontId="6" fillId="18" borderId="0" xfId="35" applyNumberFormat="1" applyFont="1" applyFill="1" applyBorder="1"/>
    <xf numFmtId="43" fontId="6" fillId="18" borderId="0" xfId="35" applyFont="1" applyFill="1" applyBorder="1"/>
    <xf numFmtId="7" fontId="6" fillId="18" borderId="0" xfId="35" applyNumberFormat="1" applyFont="1" applyFill="1" applyBorder="1"/>
    <xf numFmtId="5" fontId="6" fillId="18" borderId="0" xfId="35" applyNumberFormat="1" applyFont="1" applyFill="1" applyBorder="1"/>
    <xf numFmtId="170" fontId="7" fillId="18" borderId="0" xfId="35" applyNumberFormat="1" applyFont="1" applyFill="1" applyBorder="1"/>
    <xf numFmtId="9" fontId="6" fillId="18" borderId="0" xfId="0" applyNumberFormat="1" applyFont="1" applyFill="1" applyBorder="1"/>
    <xf numFmtId="171" fontId="7" fillId="18" borderId="0" xfId="0" applyNumberFormat="1" applyFont="1" applyFill="1" applyBorder="1"/>
    <xf numFmtId="1" fontId="6" fillId="18" borderId="0" xfId="0" applyNumberFormat="1" applyFont="1" applyFill="1" applyBorder="1"/>
    <xf numFmtId="170" fontId="7" fillId="18" borderId="0" xfId="58" applyNumberFormat="1" applyFont="1" applyFill="1" applyBorder="1" applyAlignment="1" applyProtection="1">
      <alignment horizontal="left"/>
      <protection locked="0"/>
    </xf>
    <xf numFmtId="164" fontId="6" fillId="18" borderId="0" xfId="35" applyNumberFormat="1" applyFont="1" applyFill="1" applyBorder="1"/>
    <xf numFmtId="1" fontId="6" fillId="18" borderId="0" xfId="35" applyNumberFormat="1" applyFont="1" applyFill="1" applyBorder="1"/>
    <xf numFmtId="167" fontId="7" fillId="18" borderId="0" xfId="62" applyNumberFormat="1" applyFont="1" applyFill="1" applyBorder="1"/>
    <xf numFmtId="7" fontId="7" fillId="18" borderId="0" xfId="0" applyNumberFormat="1" applyFont="1" applyFill="1" applyBorder="1"/>
    <xf numFmtId="5" fontId="7" fillId="18" borderId="0" xfId="62" applyNumberFormat="1" applyFont="1" applyFill="1" applyBorder="1"/>
    <xf numFmtId="0" fontId="9" fillId="18" borderId="0" xfId="0" applyFont="1" applyFill="1" applyBorder="1"/>
    <xf numFmtId="5" fontId="6" fillId="0" borderId="27" xfId="35" applyNumberFormat="1" applyFont="1" applyFill="1" applyBorder="1" applyAlignment="1">
      <alignment horizontal="right"/>
    </xf>
    <xf numFmtId="5" fontId="6" fillId="0" borderId="3" xfId="35" applyNumberFormat="1" applyFont="1" applyFill="1" applyBorder="1" applyAlignment="1">
      <alignment horizontal="right"/>
    </xf>
    <xf numFmtId="0" fontId="34" fillId="18" borderId="0" xfId="0" applyFont="1" applyFill="1" applyBorder="1"/>
    <xf numFmtId="170" fontId="9" fillId="18" borderId="0" xfId="0" applyNumberFormat="1" applyFont="1" applyFill="1" applyBorder="1"/>
    <xf numFmtId="0" fontId="9" fillId="18" borderId="18" xfId="0" applyFont="1" applyFill="1" applyBorder="1"/>
    <xf numFmtId="0" fontId="0" fillId="15" borderId="0" xfId="0" applyFill="1"/>
    <xf numFmtId="0" fontId="6" fillId="0" borderId="0" xfId="54" applyFont="1" applyAlignment="1">
      <alignment horizontal="left" indent="1"/>
    </xf>
    <xf numFmtId="0" fontId="36" fillId="0" borderId="0" xfId="0" applyFont="1"/>
    <xf numFmtId="170" fontId="14" fillId="18" borderId="2" xfId="0" applyNumberFormat="1" applyFont="1" applyFill="1" applyBorder="1"/>
    <xf numFmtId="0" fontId="7" fillId="15" borderId="0" xfId="0" applyFont="1" applyFill="1" applyBorder="1" applyAlignment="1">
      <alignment horizontal="left"/>
    </xf>
    <xf numFmtId="164" fontId="7" fillId="15" borderId="0" xfId="35" applyNumberFormat="1" applyFont="1" applyFill="1" applyBorder="1" applyAlignment="1">
      <alignment horizontal="left"/>
    </xf>
    <xf numFmtId="3" fontId="7" fillId="15" borderId="0" xfId="0" applyNumberFormat="1" applyFont="1" applyFill="1" applyBorder="1" applyAlignment="1">
      <alignment horizontal="left"/>
    </xf>
    <xf numFmtId="1" fontId="7" fillId="15" borderId="0" xfId="35" applyNumberFormat="1" applyFont="1" applyFill="1" applyBorder="1" applyAlignment="1">
      <alignment horizontal="left"/>
    </xf>
    <xf numFmtId="0" fontId="24" fillId="15" borderId="0" xfId="58" applyFont="1" applyFill="1" applyBorder="1" applyAlignment="1">
      <alignment horizontal="left"/>
    </xf>
    <xf numFmtId="0" fontId="34" fillId="15" borderId="0" xfId="0" applyFont="1" applyFill="1" applyBorder="1" applyAlignment="1">
      <alignment horizontal="left"/>
    </xf>
    <xf numFmtId="39" fontId="7" fillId="15" borderId="0" xfId="0" applyNumberFormat="1" applyFont="1" applyFill="1" applyBorder="1" applyAlignment="1">
      <alignment horizontal="left"/>
    </xf>
    <xf numFmtId="167" fontId="7" fillId="15" borderId="0" xfId="0" applyNumberFormat="1" applyFont="1" applyFill="1" applyBorder="1" applyAlignment="1">
      <alignment horizontal="left"/>
    </xf>
    <xf numFmtId="170" fontId="7" fillId="15" borderId="0" xfId="0" applyNumberFormat="1" applyFont="1" applyFill="1" applyBorder="1" applyAlignment="1">
      <alignment horizontal="left"/>
    </xf>
    <xf numFmtId="171" fontId="7" fillId="15" borderId="0" xfId="0" applyNumberFormat="1" applyFont="1" applyFill="1" applyBorder="1" applyAlignment="1">
      <alignment horizontal="left"/>
    </xf>
    <xf numFmtId="167" fontId="6" fillId="15" borderId="0" xfId="0" applyNumberFormat="1" applyFont="1" applyFill="1" applyBorder="1" applyAlignment="1">
      <alignment horizontal="left"/>
    </xf>
    <xf numFmtId="171" fontId="6" fillId="15" borderId="0" xfId="0" applyNumberFormat="1" applyFont="1" applyFill="1" applyBorder="1" applyAlignment="1">
      <alignment horizontal="left"/>
    </xf>
    <xf numFmtId="1" fontId="7" fillId="15" borderId="0" xfId="0" applyNumberFormat="1" applyFont="1" applyFill="1" applyBorder="1" applyAlignment="1">
      <alignment horizontal="left"/>
    </xf>
    <xf numFmtId="43" fontId="7" fillId="15" borderId="0" xfId="35" applyNumberFormat="1" applyFont="1" applyFill="1" applyBorder="1" applyAlignment="1">
      <alignment horizontal="left"/>
    </xf>
    <xf numFmtId="43" fontId="7" fillId="15" borderId="0" xfId="35" applyFont="1" applyFill="1" applyBorder="1" applyAlignment="1">
      <alignment horizontal="left"/>
    </xf>
    <xf numFmtId="7" fontId="7" fillId="15" borderId="0" xfId="35" applyNumberFormat="1" applyFont="1" applyFill="1" applyBorder="1" applyAlignment="1">
      <alignment horizontal="left"/>
    </xf>
    <xf numFmtId="5" fontId="7" fillId="15" borderId="0" xfId="35" applyNumberFormat="1" applyFont="1" applyFill="1" applyBorder="1" applyAlignment="1">
      <alignment horizontal="left"/>
    </xf>
    <xf numFmtId="176" fontId="35" fillId="15" borderId="0" xfId="0" applyNumberFormat="1" applyFont="1" applyFill="1" applyBorder="1" applyAlignment="1" applyProtection="1">
      <alignment horizontal="left"/>
    </xf>
    <xf numFmtId="175" fontId="7" fillId="15" borderId="0" xfId="0" applyNumberFormat="1" applyFont="1" applyFill="1" applyBorder="1" applyAlignment="1">
      <alignment horizontal="left"/>
    </xf>
    <xf numFmtId="170" fontId="7" fillId="15" borderId="0" xfId="35" applyNumberFormat="1" applyFont="1" applyFill="1" applyBorder="1" applyAlignment="1">
      <alignment horizontal="left"/>
    </xf>
    <xf numFmtId="9" fontId="7" fillId="15" borderId="0" xfId="0" applyNumberFormat="1" applyFont="1" applyFill="1" applyBorder="1" applyAlignment="1">
      <alignment horizontal="left"/>
    </xf>
    <xf numFmtId="167" fontId="7" fillId="15" borderId="0" xfId="62" applyNumberFormat="1" applyFont="1" applyFill="1" applyBorder="1" applyAlignment="1">
      <alignment horizontal="left"/>
    </xf>
    <xf numFmtId="5" fontId="7" fillId="15" borderId="0" xfId="0" applyNumberFormat="1" applyFont="1" applyFill="1" applyBorder="1" applyAlignment="1">
      <alignment horizontal="left"/>
    </xf>
    <xf numFmtId="7" fontId="7" fillId="15" borderId="0" xfId="0" applyNumberFormat="1" applyFont="1" applyFill="1" applyBorder="1" applyAlignment="1">
      <alignment horizontal="left"/>
    </xf>
    <xf numFmtId="5" fontId="6" fillId="15" borderId="0" xfId="0" applyNumberFormat="1" applyFont="1" applyFill="1" applyBorder="1" applyAlignment="1">
      <alignment horizontal="left"/>
    </xf>
    <xf numFmtId="5" fontId="7" fillId="15" borderId="0" xfId="62" applyNumberFormat="1" applyFont="1" applyFill="1" applyBorder="1" applyAlignment="1">
      <alignment horizontal="left"/>
    </xf>
    <xf numFmtId="166" fontId="7" fillId="15" borderId="0" xfId="0" applyNumberFormat="1" applyFont="1" applyFill="1" applyBorder="1" applyAlignment="1">
      <alignment horizontal="left"/>
    </xf>
    <xf numFmtId="167" fontId="2" fillId="0" borderId="25" xfId="62" applyNumberFormat="1" applyFont="1" applyFill="1" applyBorder="1" applyAlignment="1">
      <alignment horizontal="right"/>
    </xf>
    <xf numFmtId="167" fontId="2" fillId="18" borderId="22" xfId="62" applyNumberFormat="1" applyFont="1" applyFill="1" applyBorder="1" applyAlignment="1">
      <alignment horizontal="right"/>
    </xf>
    <xf numFmtId="1" fontId="2" fillId="18" borderId="22" xfId="62" applyNumberFormat="1" applyFont="1" applyFill="1" applyBorder="1" applyAlignment="1">
      <alignment horizontal="right"/>
    </xf>
    <xf numFmtId="167" fontId="2" fillId="0" borderId="22" xfId="62" applyNumberFormat="1" applyFont="1" applyFill="1" applyBorder="1" applyAlignment="1">
      <alignment horizontal="right"/>
    </xf>
    <xf numFmtId="167" fontId="13" fillId="18" borderId="22" xfId="0" applyNumberFormat="1" applyFont="1" applyFill="1" applyBorder="1"/>
    <xf numFmtId="170" fontId="14" fillId="18" borderId="24" xfId="0" applyNumberFormat="1" applyFont="1" applyFill="1" applyBorder="1"/>
    <xf numFmtId="5" fontId="2" fillId="0" borderId="22" xfId="35" applyNumberFormat="1" applyFont="1" applyFill="1" applyBorder="1" applyAlignment="1">
      <alignment horizontal="right"/>
    </xf>
    <xf numFmtId="5" fontId="2" fillId="0" borderId="22" xfId="62" applyNumberFormat="1" applyFont="1" applyFill="1" applyBorder="1" applyAlignment="1">
      <alignment horizontal="right"/>
    </xf>
    <xf numFmtId="1" fontId="2" fillId="0" borderId="22" xfId="0" applyNumberFormat="1" applyFont="1" applyFill="1" applyBorder="1" applyAlignment="1">
      <alignment horizontal="right"/>
    </xf>
    <xf numFmtId="5" fontId="2" fillId="0" borderId="22" xfId="0" applyNumberFormat="1" applyFont="1" applyFill="1" applyBorder="1" applyAlignment="1">
      <alignment horizontal="right"/>
    </xf>
    <xf numFmtId="5" fontId="2" fillId="0" borderId="25" xfId="0" applyNumberFormat="1" applyFont="1" applyFill="1" applyBorder="1" applyAlignment="1">
      <alignment horizontal="right"/>
    </xf>
    <xf numFmtId="5" fontId="13" fillId="18" borderId="22" xfId="0" applyNumberFormat="1" applyFont="1" applyFill="1" applyBorder="1"/>
    <xf numFmtId="167" fontId="2" fillId="18" borderId="22" xfId="62" applyNumberFormat="1" applyFont="1" applyFill="1" applyBorder="1"/>
    <xf numFmtId="7" fontId="2" fillId="18" borderId="22" xfId="0" applyNumberFormat="1" applyFont="1" applyFill="1" applyBorder="1"/>
    <xf numFmtId="0" fontId="6" fillId="15" borderId="0" xfId="0" applyFont="1" applyFill="1" applyBorder="1" applyAlignment="1">
      <alignment horizontal="left"/>
    </xf>
    <xf numFmtId="164" fontId="6" fillId="15" borderId="0" xfId="35" applyNumberFormat="1" applyFont="1" applyFill="1" applyBorder="1" applyAlignment="1">
      <alignment horizontal="left"/>
    </xf>
    <xf numFmtId="3" fontId="6" fillId="15" borderId="0" xfId="0" applyNumberFormat="1" applyFont="1" applyFill="1" applyBorder="1" applyAlignment="1">
      <alignment horizontal="left"/>
    </xf>
    <xf numFmtId="1" fontId="6" fillId="15" borderId="0" xfId="35" applyNumberFormat="1" applyFont="1" applyFill="1" applyBorder="1" applyAlignment="1">
      <alignment horizontal="left"/>
    </xf>
    <xf numFmtId="0" fontId="9" fillId="15" borderId="0" xfId="0" applyFont="1" applyFill="1" applyBorder="1" applyAlignment="1">
      <alignment horizontal="left"/>
    </xf>
    <xf numFmtId="0" fontId="23" fillId="15" borderId="0" xfId="58" applyFont="1" applyFill="1" applyBorder="1" applyAlignment="1">
      <alignment horizontal="left"/>
    </xf>
    <xf numFmtId="170" fontId="6" fillId="15" borderId="0" xfId="0" applyNumberFormat="1" applyFont="1" applyFill="1" applyBorder="1" applyAlignment="1">
      <alignment horizontal="left"/>
    </xf>
    <xf numFmtId="170" fontId="6" fillId="15" borderId="0" xfId="58" applyNumberFormat="1" applyFont="1" applyFill="1" applyBorder="1" applyAlignment="1" applyProtection="1">
      <alignment horizontal="right"/>
      <protection locked="0"/>
    </xf>
    <xf numFmtId="170" fontId="6" fillId="15" borderId="0" xfId="58" applyNumberFormat="1" applyFont="1" applyFill="1" applyBorder="1" applyAlignment="1" applyProtection="1">
      <alignment horizontal="left"/>
      <protection locked="0"/>
    </xf>
    <xf numFmtId="1" fontId="6" fillId="15" borderId="0" xfId="0" applyNumberFormat="1" applyFont="1" applyFill="1" applyBorder="1" applyAlignment="1">
      <alignment horizontal="left"/>
    </xf>
    <xf numFmtId="43" fontId="6" fillId="15" borderId="0" xfId="35" applyNumberFormat="1" applyFont="1" applyFill="1" applyBorder="1" applyAlignment="1">
      <alignment horizontal="left"/>
    </xf>
    <xf numFmtId="43" fontId="6" fillId="15" borderId="0" xfId="35" applyFont="1" applyFill="1" applyBorder="1" applyAlignment="1">
      <alignment horizontal="left"/>
    </xf>
    <xf numFmtId="7" fontId="6" fillId="15" borderId="0" xfId="35" applyNumberFormat="1" applyFont="1" applyFill="1" applyBorder="1" applyAlignment="1">
      <alignment horizontal="left"/>
    </xf>
    <xf numFmtId="176" fontId="33" fillId="15" borderId="0" xfId="0" applyNumberFormat="1" applyFont="1" applyFill="1" applyBorder="1" applyAlignment="1" applyProtection="1">
      <alignment horizontal="left"/>
    </xf>
    <xf numFmtId="170" fontId="6" fillId="15" borderId="0" xfId="35" applyNumberFormat="1" applyFont="1" applyFill="1" applyBorder="1" applyAlignment="1">
      <alignment horizontal="left"/>
    </xf>
    <xf numFmtId="9" fontId="6" fillId="15" borderId="0" xfId="0" applyNumberFormat="1" applyFont="1" applyFill="1" applyBorder="1" applyAlignment="1">
      <alignment horizontal="left"/>
    </xf>
    <xf numFmtId="167" fontId="6" fillId="15" borderId="0" xfId="62" applyNumberFormat="1" applyFont="1" applyFill="1" applyBorder="1" applyAlignment="1">
      <alignment horizontal="left"/>
    </xf>
    <xf numFmtId="5" fontId="6" fillId="15" borderId="0" xfId="35" applyNumberFormat="1" applyFont="1" applyFill="1" applyBorder="1" applyAlignment="1">
      <alignment horizontal="left"/>
    </xf>
    <xf numFmtId="7" fontId="6" fillId="15" borderId="0" xfId="0" applyNumberFormat="1" applyFont="1" applyFill="1" applyBorder="1" applyAlignment="1">
      <alignment horizontal="left"/>
    </xf>
    <xf numFmtId="5" fontId="6" fillId="15" borderId="0" xfId="62" applyNumberFormat="1" applyFont="1" applyFill="1" applyBorder="1" applyAlignment="1">
      <alignment horizontal="left"/>
    </xf>
    <xf numFmtId="166" fontId="6" fillId="15" borderId="0" xfId="0" applyNumberFormat="1" applyFont="1" applyFill="1" applyBorder="1" applyAlignment="1">
      <alignment horizontal="left"/>
    </xf>
    <xf numFmtId="0" fontId="23" fillId="19" borderId="0" xfId="0" applyFont="1" applyFill="1" applyBorder="1"/>
    <xf numFmtId="164" fontId="6" fillId="19" borderId="0" xfId="35" applyNumberFormat="1" applyFont="1" applyFill="1" applyBorder="1"/>
    <xf numFmtId="3" fontId="6" fillId="19" borderId="0" xfId="0" applyNumberFormat="1" applyFont="1" applyFill="1" applyBorder="1"/>
    <xf numFmtId="0" fontId="7" fillId="19" borderId="0" xfId="0" applyFont="1" applyFill="1" applyBorder="1"/>
    <xf numFmtId="1" fontId="6" fillId="19" borderId="0" xfId="35" applyNumberFormat="1" applyFont="1" applyFill="1" applyBorder="1"/>
    <xf numFmtId="170" fontId="7" fillId="19" borderId="0" xfId="58" applyNumberFormat="1" applyFont="1" applyFill="1" applyBorder="1" applyAlignment="1" applyProtection="1">
      <alignment horizontal="right"/>
      <protection locked="0"/>
    </xf>
    <xf numFmtId="167" fontId="6" fillId="19" borderId="0" xfId="0" applyNumberFormat="1" applyFont="1" applyFill="1" applyBorder="1"/>
    <xf numFmtId="170" fontId="6" fillId="19" borderId="0" xfId="0" applyNumberFormat="1" applyFont="1" applyFill="1" applyBorder="1"/>
    <xf numFmtId="167" fontId="2" fillId="19" borderId="0" xfId="0" applyNumberFormat="1" applyFont="1" applyFill="1" applyBorder="1"/>
    <xf numFmtId="171" fontId="2" fillId="19" borderId="0" xfId="0" applyNumberFormat="1" applyFont="1" applyFill="1" applyBorder="1"/>
    <xf numFmtId="1" fontId="6" fillId="19" borderId="0" xfId="0" applyNumberFormat="1" applyFont="1" applyFill="1" applyBorder="1"/>
    <xf numFmtId="43" fontId="6" fillId="19" borderId="0" xfId="35" applyNumberFormat="1" applyFont="1" applyFill="1" applyBorder="1"/>
    <xf numFmtId="43" fontId="6" fillId="19" borderId="0" xfId="35" applyFont="1" applyFill="1" applyBorder="1"/>
    <xf numFmtId="7" fontId="6" fillId="19" borderId="0" xfId="35" applyNumberFormat="1" applyFont="1" applyFill="1" applyBorder="1"/>
    <xf numFmtId="5" fontId="6" fillId="19" borderId="0" xfId="35" applyNumberFormat="1" applyFont="1" applyFill="1" applyBorder="1"/>
    <xf numFmtId="175" fontId="6" fillId="19" borderId="0" xfId="0" applyNumberFormat="1" applyFont="1" applyFill="1" applyBorder="1"/>
    <xf numFmtId="170" fontId="7" fillId="19" borderId="0" xfId="35" applyNumberFormat="1" applyFont="1" applyFill="1" applyBorder="1"/>
    <xf numFmtId="9" fontId="6" fillId="19" borderId="0" xfId="0" applyNumberFormat="1" applyFont="1" applyFill="1" applyBorder="1"/>
    <xf numFmtId="167" fontId="7" fillId="19" borderId="0" xfId="62" applyNumberFormat="1" applyFont="1" applyFill="1" applyBorder="1"/>
    <xf numFmtId="167" fontId="6" fillId="19" borderId="0" xfId="62" applyNumberFormat="1" applyFont="1" applyFill="1" applyBorder="1"/>
    <xf numFmtId="5" fontId="6" fillId="19" borderId="0" xfId="0" applyNumberFormat="1" applyFont="1" applyFill="1" applyBorder="1"/>
    <xf numFmtId="171" fontId="7" fillId="19" borderId="0" xfId="0" applyNumberFormat="1" applyFont="1" applyFill="1" applyBorder="1"/>
    <xf numFmtId="7" fontId="7" fillId="19" borderId="0" xfId="0" applyNumberFormat="1" applyFont="1" applyFill="1" applyBorder="1"/>
    <xf numFmtId="170" fontId="7" fillId="19" borderId="0" xfId="58" applyNumberFormat="1" applyFont="1" applyFill="1" applyBorder="1" applyAlignment="1" applyProtection="1">
      <alignment horizontal="left"/>
      <protection locked="0"/>
    </xf>
    <xf numFmtId="5" fontId="7" fillId="19" borderId="0" xfId="0" applyNumberFormat="1" applyFont="1" applyFill="1" applyBorder="1" applyAlignment="1"/>
    <xf numFmtId="5" fontId="7" fillId="19" borderId="0" xfId="0" applyNumberFormat="1" applyFont="1" applyFill="1" applyBorder="1"/>
    <xf numFmtId="170" fontId="7" fillId="19" borderId="0" xfId="0" applyNumberFormat="1" applyFont="1" applyFill="1" applyBorder="1"/>
    <xf numFmtId="167" fontId="6" fillId="19" borderId="0" xfId="0" applyNumberFormat="1" applyFont="1" applyFill="1" applyBorder="1" applyAlignment="1"/>
    <xf numFmtId="5" fontId="7" fillId="19" borderId="0" xfId="62" applyNumberFormat="1" applyFont="1" applyFill="1" applyBorder="1"/>
    <xf numFmtId="166" fontId="6" fillId="19" borderId="0" xfId="0" applyNumberFormat="1" applyFont="1" applyFill="1" applyBorder="1"/>
    <xf numFmtId="0" fontId="7" fillId="19" borderId="0" xfId="0" applyFont="1" applyFill="1" applyBorder="1" applyAlignment="1">
      <alignment horizontal="center"/>
    </xf>
    <xf numFmtId="9" fontId="6" fillId="19" borderId="0" xfId="0" applyNumberFormat="1" applyFont="1" applyFill="1" applyBorder="1" applyAlignment="1">
      <alignment horizontal="center"/>
    </xf>
    <xf numFmtId="170" fontId="6" fillId="19" borderId="0" xfId="0" applyNumberFormat="1" applyFont="1" applyFill="1" applyBorder="1" applyAlignment="1">
      <alignment horizontal="center"/>
    </xf>
    <xf numFmtId="167" fontId="7" fillId="19" borderId="0" xfId="0" applyNumberFormat="1" applyFont="1" applyFill="1" applyBorder="1" applyAlignment="1">
      <alignment horizontal="center"/>
    </xf>
    <xf numFmtId="167" fontId="6" fillId="19" borderId="0" xfId="0" applyNumberFormat="1" applyFont="1" applyFill="1" applyBorder="1" applyAlignment="1">
      <alignment horizontal="center"/>
    </xf>
    <xf numFmtId="0" fontId="9" fillId="19" borderId="0" xfId="0" applyFont="1" applyFill="1" applyBorder="1"/>
    <xf numFmtId="0" fontId="7" fillId="19" borderId="0" xfId="0" applyFont="1" applyFill="1" applyBorder="1" applyAlignment="1">
      <alignment horizontal="left"/>
    </xf>
    <xf numFmtId="0" fontId="6" fillId="19" borderId="0" xfId="0" applyFont="1" applyFill="1" applyBorder="1" applyAlignment="1">
      <alignment horizontal="left"/>
    </xf>
    <xf numFmtId="164" fontId="7" fillId="19" borderId="0" xfId="35" applyNumberFormat="1" applyFont="1" applyFill="1" applyBorder="1" applyAlignment="1">
      <alignment horizontal="left"/>
    </xf>
    <xf numFmtId="3" fontId="7" fillId="19" borderId="0" xfId="0" applyNumberFormat="1" applyFont="1" applyFill="1" applyBorder="1" applyAlignment="1">
      <alignment horizontal="left"/>
    </xf>
    <xf numFmtId="1" fontId="7" fillId="19" borderId="0" xfId="35" applyNumberFormat="1" applyFont="1" applyFill="1" applyBorder="1" applyAlignment="1">
      <alignment horizontal="left"/>
    </xf>
    <xf numFmtId="39" fontId="7" fillId="19" borderId="0" xfId="0" applyNumberFormat="1" applyFont="1" applyFill="1" applyBorder="1" applyAlignment="1">
      <alignment horizontal="left"/>
    </xf>
    <xf numFmtId="167" fontId="7" fillId="19" borderId="0" xfId="0" applyNumberFormat="1" applyFont="1" applyFill="1" applyBorder="1" applyAlignment="1">
      <alignment horizontal="left"/>
    </xf>
    <xf numFmtId="170" fontId="7" fillId="19" borderId="0" xfId="0" applyNumberFormat="1" applyFont="1" applyFill="1" applyBorder="1" applyAlignment="1">
      <alignment horizontal="left"/>
    </xf>
    <xf numFmtId="171" fontId="7" fillId="19" borderId="0" xfId="0" applyNumberFormat="1" applyFont="1" applyFill="1" applyBorder="1" applyAlignment="1">
      <alignment horizontal="left"/>
    </xf>
    <xf numFmtId="167" fontId="6" fillId="19" borderId="0" xfId="0" applyNumberFormat="1" applyFont="1" applyFill="1" applyBorder="1" applyAlignment="1">
      <alignment horizontal="left"/>
    </xf>
    <xf numFmtId="171" fontId="6" fillId="19" borderId="0" xfId="0" applyNumberFormat="1" applyFont="1" applyFill="1" applyBorder="1" applyAlignment="1">
      <alignment horizontal="left"/>
    </xf>
    <xf numFmtId="1" fontId="7" fillId="19" borderId="0" xfId="0" applyNumberFormat="1" applyFont="1" applyFill="1" applyBorder="1" applyAlignment="1">
      <alignment horizontal="left"/>
    </xf>
    <xf numFmtId="43" fontId="7" fillId="19" borderId="0" xfId="35" applyNumberFormat="1" applyFont="1" applyFill="1" applyBorder="1" applyAlignment="1">
      <alignment horizontal="left"/>
    </xf>
    <xf numFmtId="43" fontId="7" fillId="19" borderId="0" xfId="35" applyFont="1" applyFill="1" applyBorder="1" applyAlignment="1">
      <alignment horizontal="left"/>
    </xf>
    <xf numFmtId="7" fontId="7" fillId="19" borderId="0" xfId="35" applyNumberFormat="1" applyFont="1" applyFill="1" applyBorder="1" applyAlignment="1">
      <alignment horizontal="left"/>
    </xf>
    <xf numFmtId="5" fontId="7" fillId="19" borderId="0" xfId="35" applyNumberFormat="1" applyFont="1" applyFill="1" applyBorder="1" applyAlignment="1">
      <alignment horizontal="left"/>
    </xf>
    <xf numFmtId="176" fontId="35" fillId="19" borderId="0" xfId="0" applyNumberFormat="1" applyFont="1" applyFill="1" applyBorder="1" applyAlignment="1" applyProtection="1">
      <alignment horizontal="left"/>
    </xf>
    <xf numFmtId="175" fontId="7" fillId="19" borderId="0" xfId="0" applyNumberFormat="1" applyFont="1" applyFill="1" applyBorder="1" applyAlignment="1">
      <alignment horizontal="left"/>
    </xf>
    <xf numFmtId="170" fontId="7" fillId="19" borderId="0" xfId="35" applyNumberFormat="1" applyFont="1" applyFill="1" applyBorder="1" applyAlignment="1">
      <alignment horizontal="left"/>
    </xf>
    <xf numFmtId="9" fontId="7" fillId="19" borderId="0" xfId="0" applyNumberFormat="1" applyFont="1" applyFill="1" applyBorder="1" applyAlignment="1">
      <alignment horizontal="left"/>
    </xf>
    <xf numFmtId="167" fontId="7" fillId="19" borderId="0" xfId="62" applyNumberFormat="1" applyFont="1" applyFill="1" applyBorder="1" applyAlignment="1">
      <alignment horizontal="left"/>
    </xf>
    <xf numFmtId="5" fontId="7" fillId="19" borderId="0" xfId="0" applyNumberFormat="1" applyFont="1" applyFill="1" applyBorder="1" applyAlignment="1">
      <alignment horizontal="left"/>
    </xf>
    <xf numFmtId="7" fontId="7" fillId="19" borderId="0" xfId="0" applyNumberFormat="1" applyFont="1" applyFill="1" applyBorder="1" applyAlignment="1">
      <alignment horizontal="left"/>
    </xf>
    <xf numFmtId="5" fontId="6" fillId="19" borderId="0" xfId="0" applyNumberFormat="1" applyFont="1" applyFill="1" applyBorder="1" applyAlignment="1">
      <alignment horizontal="left"/>
    </xf>
    <xf numFmtId="5" fontId="7" fillId="19" borderId="0" xfId="62" applyNumberFormat="1" applyFont="1" applyFill="1" applyBorder="1" applyAlignment="1">
      <alignment horizontal="left"/>
    </xf>
    <xf numFmtId="166" fontId="7" fillId="19" borderId="0" xfId="0" applyNumberFormat="1" applyFont="1" applyFill="1" applyBorder="1" applyAlignment="1">
      <alignment horizontal="left"/>
    </xf>
    <xf numFmtId="0" fontId="34" fillId="19" borderId="0" xfId="0" applyFont="1" applyFill="1" applyBorder="1" applyAlignment="1">
      <alignment horizontal="left"/>
    </xf>
    <xf numFmtId="0" fontId="7" fillId="18" borderId="2" xfId="0" applyFont="1" applyFill="1" applyBorder="1"/>
    <xf numFmtId="0" fontId="23" fillId="18" borderId="0" xfId="0" applyFont="1" applyFill="1"/>
    <xf numFmtId="164" fontId="6" fillId="18" borderId="0" xfId="35" applyNumberFormat="1" applyFont="1" applyFill="1"/>
    <xf numFmtId="0" fontId="6" fillId="18" borderId="23" xfId="0" applyFont="1" applyFill="1" applyBorder="1"/>
    <xf numFmtId="3" fontId="6" fillId="18" borderId="0" xfId="0" applyNumberFormat="1" applyFont="1" applyFill="1"/>
    <xf numFmtId="1" fontId="6" fillId="18" borderId="0" xfId="35" applyNumberFormat="1" applyFont="1" applyFill="1"/>
    <xf numFmtId="0" fontId="6" fillId="18" borderId="2" xfId="0" applyFont="1" applyFill="1" applyBorder="1"/>
    <xf numFmtId="167" fontId="7" fillId="18" borderId="23" xfId="62" applyNumberFormat="1" applyFont="1" applyFill="1" applyBorder="1"/>
    <xf numFmtId="9" fontId="6" fillId="18" borderId="2" xfId="0" applyNumberFormat="1" applyFont="1" applyFill="1" applyBorder="1"/>
    <xf numFmtId="5" fontId="6" fillId="18" borderId="23" xfId="35" applyNumberFormat="1" applyFont="1" applyFill="1" applyBorder="1"/>
    <xf numFmtId="7" fontId="7" fillId="18" borderId="6" xfId="0" applyNumberFormat="1" applyFont="1" applyFill="1" applyBorder="1"/>
    <xf numFmtId="1" fontId="6" fillId="18" borderId="2" xfId="0" applyNumberFormat="1" applyFont="1" applyFill="1" applyBorder="1"/>
    <xf numFmtId="7" fontId="6" fillId="18" borderId="6" xfId="0" applyNumberFormat="1" applyFont="1" applyFill="1" applyBorder="1"/>
    <xf numFmtId="7" fontId="6" fillId="18" borderId="2" xfId="0" applyNumberFormat="1" applyFont="1" applyFill="1" applyBorder="1"/>
    <xf numFmtId="5" fontId="7" fillId="18" borderId="6" xfId="0" applyNumberFormat="1" applyFont="1" applyFill="1" applyBorder="1"/>
    <xf numFmtId="5" fontId="6" fillId="18" borderId="2" xfId="0" applyNumberFormat="1" applyFont="1" applyFill="1" applyBorder="1"/>
    <xf numFmtId="170" fontId="7" fillId="18" borderId="6" xfId="0" applyNumberFormat="1" applyFont="1" applyFill="1" applyBorder="1"/>
    <xf numFmtId="0" fontId="24" fillId="19" borderId="0" xfId="0" applyFont="1" applyFill="1" applyBorder="1" applyAlignment="1">
      <alignment horizontal="left"/>
    </xf>
    <xf numFmtId="168" fontId="6" fillId="18" borderId="22" xfId="35" applyNumberFormat="1" applyFont="1" applyFill="1" applyBorder="1"/>
    <xf numFmtId="170" fontId="6" fillId="0" borderId="22" xfId="58" applyNumberFormat="1" applyFont="1" applyFill="1" applyBorder="1" applyAlignment="1" applyProtection="1">
      <alignment horizontal="right"/>
      <protection locked="0"/>
    </xf>
    <xf numFmtId="170" fontId="6" fillId="0" borderId="0" xfId="58" applyNumberFormat="1" applyFont="1" applyFill="1" applyBorder="1" applyAlignment="1" applyProtection="1">
      <alignment horizontal="right"/>
      <protection locked="0"/>
    </xf>
    <xf numFmtId="170" fontId="6" fillId="0" borderId="0" xfId="58" applyNumberFormat="1" applyFont="1" applyFill="1" applyBorder="1" applyAlignment="1" applyProtection="1">
      <alignment horizontal="left" indent="1"/>
      <protection locked="0"/>
    </xf>
    <xf numFmtId="167" fontId="12" fillId="18" borderId="23" xfId="58" applyNumberFormat="1" applyFont="1" applyFill="1" applyBorder="1" applyAlignment="1" applyProtection="1">
      <alignment horizontal="left"/>
      <protection locked="0"/>
    </xf>
    <xf numFmtId="0" fontId="24" fillId="20" borderId="20" xfId="58" applyFont="1" applyFill="1" applyBorder="1" applyAlignment="1">
      <alignment horizontal="left"/>
    </xf>
    <xf numFmtId="171" fontId="6" fillId="0" borderId="0" xfId="62" applyNumberFormat="1" applyFont="1" applyFill="1" applyBorder="1" applyAlignment="1"/>
    <xf numFmtId="1" fontId="2" fillId="18" borderId="22" xfId="35" applyNumberFormat="1" applyFont="1" applyFill="1" applyBorder="1" applyAlignment="1">
      <alignment horizontal="right"/>
    </xf>
    <xf numFmtId="1" fontId="7" fillId="18" borderId="22" xfId="62" applyNumberFormat="1" applyFont="1" applyFill="1" applyBorder="1" applyAlignment="1">
      <alignment horizontal="right"/>
    </xf>
    <xf numFmtId="1" fontId="6" fillId="18" borderId="22" xfId="35" applyNumberFormat="1" applyFont="1" applyFill="1" applyBorder="1" applyAlignment="1">
      <alignment horizontal="right"/>
    </xf>
    <xf numFmtId="167" fontId="6" fillId="18" borderId="24" xfId="62" applyNumberFormat="1" applyFont="1" applyFill="1" applyBorder="1" applyAlignment="1">
      <alignment horizontal="right"/>
    </xf>
    <xf numFmtId="167" fontId="6" fillId="18" borderId="2" xfId="62" applyNumberFormat="1" applyFont="1" applyFill="1" applyBorder="1" applyAlignment="1">
      <alignment horizontal="right"/>
    </xf>
    <xf numFmtId="167" fontId="6" fillId="16" borderId="23" xfId="58" applyNumberFormat="1" applyFont="1" applyFill="1" applyBorder="1" applyAlignment="1" applyProtection="1">
      <alignment horizontal="left" indent="2"/>
      <protection locked="0"/>
    </xf>
    <xf numFmtId="167" fontId="6" fillId="16" borderId="25" xfId="62" applyNumberFormat="1" applyFont="1" applyFill="1" applyBorder="1" applyAlignment="1">
      <alignment horizontal="right"/>
    </xf>
    <xf numFmtId="0" fontId="6" fillId="16" borderId="23" xfId="0" applyFont="1" applyFill="1" applyBorder="1" applyAlignment="1">
      <alignment horizontal="right"/>
    </xf>
    <xf numFmtId="167" fontId="6" fillId="16" borderId="23" xfId="62" applyNumberFormat="1" applyFont="1" applyFill="1" applyBorder="1" applyAlignment="1">
      <alignment horizontal="right"/>
    </xf>
    <xf numFmtId="167" fontId="2" fillId="16" borderId="23" xfId="62" applyNumberFormat="1" applyFont="1" applyFill="1" applyBorder="1" applyAlignment="1">
      <alignment horizontal="right"/>
    </xf>
    <xf numFmtId="167" fontId="2" fillId="16" borderId="25" xfId="62" applyNumberFormat="1" applyFont="1" applyFill="1" applyBorder="1" applyAlignment="1">
      <alignment horizontal="right"/>
    </xf>
    <xf numFmtId="167" fontId="6" fillId="16" borderId="23" xfId="58" applyNumberFormat="1" applyFont="1" applyFill="1" applyBorder="1" applyAlignment="1" applyProtection="1">
      <alignment horizontal="left" indent="3"/>
      <protection locked="0"/>
    </xf>
    <xf numFmtId="167" fontId="2" fillId="16" borderId="23" xfId="0" applyNumberFormat="1" applyFont="1" applyFill="1" applyBorder="1" applyAlignment="1">
      <alignment horizontal="right"/>
    </xf>
    <xf numFmtId="7" fontId="6" fillId="16" borderId="23" xfId="0" applyNumberFormat="1" applyFont="1" applyFill="1" applyBorder="1" applyAlignment="1">
      <alignment horizontal="left"/>
    </xf>
    <xf numFmtId="7" fontId="6" fillId="16" borderId="25" xfId="0" applyNumberFormat="1" applyFont="1" applyFill="1" applyBorder="1" applyAlignment="1"/>
    <xf numFmtId="7" fontId="6" fillId="16" borderId="23" xfId="0" applyNumberFormat="1" applyFont="1" applyFill="1" applyBorder="1"/>
    <xf numFmtId="7" fontId="6" fillId="16" borderId="23" xfId="0" applyNumberFormat="1" applyFont="1" applyFill="1" applyBorder="1" applyAlignment="1"/>
    <xf numFmtId="7" fontId="2" fillId="16" borderId="23" xfId="0" applyNumberFormat="1" applyFont="1" applyFill="1" applyBorder="1"/>
    <xf numFmtId="1" fontId="6" fillId="16" borderId="23" xfId="0" applyNumberFormat="1" applyFont="1" applyFill="1" applyBorder="1"/>
    <xf numFmtId="1" fontId="6" fillId="16" borderId="25" xfId="35" applyNumberFormat="1" applyFont="1" applyFill="1" applyBorder="1" applyAlignment="1">
      <alignment horizontal="right"/>
    </xf>
    <xf numFmtId="1" fontId="6" fillId="16" borderId="23" xfId="0" applyNumberFormat="1" applyFont="1" applyFill="1" applyBorder="1" applyAlignment="1">
      <alignment horizontal="right"/>
    </xf>
    <xf numFmtId="5" fontId="6" fillId="16" borderId="23" xfId="35" applyNumberFormat="1" applyFont="1" applyFill="1" applyBorder="1"/>
    <xf numFmtId="5" fontId="6" fillId="16" borderId="25" xfId="35" applyNumberFormat="1" applyFont="1" applyFill="1" applyBorder="1" applyAlignment="1">
      <alignment horizontal="right"/>
    </xf>
    <xf numFmtId="5" fontId="6" fillId="16" borderId="23" xfId="35" applyNumberFormat="1" applyFont="1" applyFill="1" applyBorder="1" applyAlignment="1">
      <alignment horizontal="right"/>
    </xf>
    <xf numFmtId="5" fontId="27" fillId="18" borderId="22" xfId="0" applyNumberFormat="1" applyFont="1" applyFill="1" applyBorder="1"/>
    <xf numFmtId="1" fontId="2" fillId="0" borderId="0" xfId="0" applyNumberFormat="1" applyFont="1" applyFill="1" applyBorder="1" applyAlignment="1">
      <alignment horizontal="right"/>
    </xf>
    <xf numFmtId="0" fontId="6" fillId="0" borderId="0" xfId="0" applyFont="1" applyFill="1" applyBorder="1" applyAlignment="1">
      <alignment horizontal="left" indent="2"/>
    </xf>
    <xf numFmtId="167" fontId="6" fillId="15" borderId="0" xfId="62" applyNumberFormat="1" applyFont="1" applyFill="1" applyBorder="1" applyAlignment="1"/>
    <xf numFmtId="167" fontId="6" fillId="0" borderId="0" xfId="58" applyNumberFormat="1" applyFont="1" applyFill="1" applyBorder="1" applyAlignment="1" applyProtection="1">
      <alignment horizontal="left" indent="3"/>
      <protection locked="0"/>
    </xf>
    <xf numFmtId="167" fontId="6" fillId="18" borderId="0" xfId="58" applyNumberFormat="1" applyFont="1" applyFill="1" applyBorder="1" applyAlignment="1" applyProtection="1">
      <alignment horizontal="left"/>
      <protection locked="0"/>
    </xf>
    <xf numFmtId="170" fontId="6" fillId="18" borderId="0" xfId="58" applyNumberFormat="1" applyFont="1" applyFill="1" applyBorder="1" applyAlignment="1" applyProtection="1">
      <alignment horizontal="left"/>
      <protection locked="0"/>
    </xf>
    <xf numFmtId="170" fontId="0" fillId="0" borderId="0" xfId="0" applyNumberFormat="1"/>
    <xf numFmtId="9" fontId="31" fillId="0" borderId="0" xfId="62" applyNumberFormat="1" applyFont="1" applyFill="1" applyBorder="1"/>
    <xf numFmtId="9" fontId="31" fillId="0" borderId="22" xfId="62" applyNumberFormat="1" applyFont="1" applyFill="1" applyBorder="1" applyAlignment="1">
      <alignment horizontal="right"/>
    </xf>
    <xf numFmtId="9" fontId="31" fillId="18" borderId="0" xfId="62" applyNumberFormat="1" applyFont="1" applyFill="1" applyBorder="1"/>
    <xf numFmtId="9" fontId="31" fillId="19" borderId="0" xfId="62" applyNumberFormat="1" applyFont="1" applyFill="1" applyBorder="1"/>
    <xf numFmtId="9" fontId="9" fillId="18" borderId="0" xfId="0" applyNumberFormat="1" applyFont="1" applyFill="1" applyBorder="1"/>
    <xf numFmtId="9" fontId="6" fillId="15" borderId="0" xfId="62" applyNumberFormat="1" applyFont="1" applyFill="1" applyBorder="1" applyAlignment="1">
      <alignment horizontal="left"/>
    </xf>
    <xf numFmtId="9" fontId="7" fillId="15" borderId="0" xfId="62" applyNumberFormat="1" applyFont="1" applyFill="1" applyBorder="1" applyAlignment="1">
      <alignment horizontal="left"/>
    </xf>
    <xf numFmtId="9" fontId="7" fillId="19" borderId="0" xfId="62" applyNumberFormat="1" applyFont="1" applyFill="1" applyBorder="1" applyAlignment="1">
      <alignment horizontal="left"/>
    </xf>
    <xf numFmtId="9" fontId="9" fillId="0" borderId="0" xfId="0" applyNumberFormat="1" applyFont="1"/>
    <xf numFmtId="9" fontId="0" fillId="0" borderId="0" xfId="0" applyNumberFormat="1"/>
    <xf numFmtId="170" fontId="6" fillId="15" borderId="0" xfId="58" applyNumberFormat="1" applyFont="1" applyFill="1" applyBorder="1" applyAlignment="1" applyProtection="1">
      <protection locked="0"/>
    </xf>
    <xf numFmtId="0" fontId="7" fillId="15" borderId="0" xfId="58" applyFont="1" applyFill="1" applyBorder="1" applyAlignment="1">
      <alignment horizontal="left"/>
    </xf>
    <xf numFmtId="1" fontId="6" fillId="15" borderId="22" xfId="0" applyNumberFormat="1" applyFont="1" applyFill="1" applyBorder="1" applyAlignment="1">
      <alignment horizontal="right"/>
    </xf>
    <xf numFmtId="170" fontId="6" fillId="15" borderId="0" xfId="58" quotePrefix="1" applyNumberFormat="1" applyFont="1" applyFill="1" applyBorder="1" applyAlignment="1" applyProtection="1">
      <protection locked="0"/>
    </xf>
    <xf numFmtId="170" fontId="6" fillId="15" borderId="0" xfId="58" applyNumberFormat="1" applyFont="1" applyFill="1" applyBorder="1" applyAlignment="1" applyProtection="1">
      <alignment horizontal="center"/>
      <protection locked="0"/>
    </xf>
    <xf numFmtId="170" fontId="6" fillId="15" borderId="0" xfId="0" applyNumberFormat="1" applyFont="1" applyFill="1" applyBorder="1" applyAlignment="1">
      <alignment horizontal="center"/>
    </xf>
    <xf numFmtId="4" fontId="6" fillId="15" borderId="0" xfId="0" applyNumberFormat="1" applyFont="1" applyFill="1" applyBorder="1" applyAlignment="1">
      <alignment horizontal="center"/>
    </xf>
    <xf numFmtId="171" fontId="7" fillId="15" borderId="0" xfId="35" applyNumberFormat="1" applyFont="1" applyFill="1" applyBorder="1" applyAlignment="1">
      <alignment horizontal="left"/>
    </xf>
    <xf numFmtId="167" fontId="6" fillId="15" borderId="0" xfId="58" applyNumberFormat="1" applyFont="1" applyFill="1" applyBorder="1" applyAlignment="1" applyProtection="1">
      <alignment horizontal="center"/>
      <protection locked="0"/>
    </xf>
    <xf numFmtId="172" fontId="2" fillId="0" borderId="22" xfId="35" applyNumberFormat="1" applyFont="1" applyFill="1" applyBorder="1" applyAlignment="1">
      <alignment horizontal="right"/>
    </xf>
    <xf numFmtId="0" fontId="7" fillId="15" borderId="0" xfId="0" applyFont="1" applyFill="1" applyBorder="1" applyAlignment="1">
      <alignment horizontal="center"/>
    </xf>
    <xf numFmtId="0" fontId="6" fillId="15" borderId="0" xfId="0" applyFont="1" applyFill="1" applyBorder="1" applyAlignment="1">
      <alignment horizontal="center"/>
    </xf>
    <xf numFmtId="9" fontId="6" fillId="15" borderId="0" xfId="0" applyNumberFormat="1" applyFont="1" applyFill="1" applyBorder="1" applyAlignment="1">
      <alignment horizontal="center"/>
    </xf>
    <xf numFmtId="164" fontId="6" fillId="15" borderId="0" xfId="35" applyNumberFormat="1" applyFont="1" applyFill="1" applyBorder="1" applyAlignment="1">
      <alignment horizontal="center"/>
    </xf>
    <xf numFmtId="167" fontId="6" fillId="15" borderId="0" xfId="0" applyNumberFormat="1" applyFont="1" applyFill="1" applyBorder="1" applyAlignment="1">
      <alignment horizontal="center"/>
    </xf>
    <xf numFmtId="3" fontId="6" fillId="15" borderId="0" xfId="35" applyNumberFormat="1" applyFont="1" applyFill="1" applyBorder="1" applyAlignment="1">
      <alignment horizontal="center"/>
    </xf>
    <xf numFmtId="3" fontId="6" fillId="15" borderId="0" xfId="0" applyNumberFormat="1" applyFont="1" applyFill="1" applyBorder="1" applyAlignment="1">
      <alignment horizontal="center"/>
    </xf>
    <xf numFmtId="167" fontId="7" fillId="18" borderId="0" xfId="58" applyNumberFormat="1" applyFont="1" applyFill="1" applyBorder="1" applyAlignment="1" applyProtection="1">
      <alignment horizontal="left"/>
      <protection locked="0"/>
    </xf>
    <xf numFmtId="164" fontId="67" fillId="0" borderId="22" xfId="35" applyNumberFormat="1" applyFont="1" applyFill="1" applyBorder="1" applyAlignment="1">
      <alignment horizontal="right"/>
    </xf>
    <xf numFmtId="168" fontId="7" fillId="0" borderId="22" xfId="35" applyNumberFormat="1" applyFont="1" applyFill="1" applyBorder="1" applyAlignment="1">
      <alignment horizontal="right"/>
    </xf>
    <xf numFmtId="168" fontId="7" fillId="0" borderId="0" xfId="35" applyNumberFormat="1" applyFont="1" applyFill="1" applyBorder="1" applyAlignment="1">
      <alignment horizontal="right"/>
    </xf>
    <xf numFmtId="164" fontId="7" fillId="0" borderId="22" xfId="35" applyNumberFormat="1" applyFont="1" applyFill="1" applyBorder="1" applyAlignment="1">
      <alignment horizontal="right"/>
    </xf>
    <xf numFmtId="167" fontId="7" fillId="0" borderId="22" xfId="35" applyNumberFormat="1" applyFont="1" applyFill="1" applyBorder="1" applyAlignment="1">
      <alignment horizontal="right"/>
    </xf>
    <xf numFmtId="167" fontId="6" fillId="0" borderId="0" xfId="35" applyNumberFormat="1" applyFont="1" applyFill="1" applyBorder="1" applyAlignment="1">
      <alignment horizontal="right"/>
    </xf>
    <xf numFmtId="164" fontId="7" fillId="0" borderId="0" xfId="35" applyNumberFormat="1" applyFont="1" applyFill="1" applyBorder="1" applyAlignment="1">
      <alignment horizontal="right"/>
    </xf>
    <xf numFmtId="167" fontId="6" fillId="15" borderId="0" xfId="62" quotePrefix="1" applyNumberFormat="1" applyFont="1" applyFill="1" applyBorder="1" applyAlignment="1"/>
    <xf numFmtId="164" fontId="67" fillId="21" borderId="22" xfId="35" applyNumberFormat="1" applyFont="1" applyFill="1" applyBorder="1" applyAlignment="1">
      <alignment horizontal="right"/>
    </xf>
    <xf numFmtId="1" fontId="6" fillId="21" borderId="22" xfId="0" applyNumberFormat="1" applyFont="1" applyFill="1" applyBorder="1" applyAlignment="1">
      <alignment horizontal="right"/>
    </xf>
    <xf numFmtId="1" fontId="6" fillId="21" borderId="22" xfId="35" applyNumberFormat="1" applyFont="1" applyFill="1" applyBorder="1" applyAlignment="1">
      <alignment horizontal="right"/>
    </xf>
    <xf numFmtId="13" fontId="7" fillId="15" borderId="0" xfId="0" applyNumberFormat="1" applyFont="1" applyFill="1" applyBorder="1" applyAlignment="1">
      <alignment horizontal="left"/>
    </xf>
    <xf numFmtId="0" fontId="7" fillId="15" borderId="0" xfId="0" applyNumberFormat="1" applyFont="1" applyFill="1" applyBorder="1" applyAlignment="1">
      <alignment horizontal="center"/>
    </xf>
    <xf numFmtId="167" fontId="6" fillId="15" borderId="0" xfId="0" quotePrefix="1" applyNumberFormat="1" applyFont="1" applyFill="1" applyBorder="1" applyAlignment="1">
      <alignment horizontal="center"/>
    </xf>
    <xf numFmtId="167" fontId="7" fillId="15" borderId="0" xfId="0" applyNumberFormat="1" applyFont="1" applyFill="1" applyBorder="1" applyAlignment="1">
      <alignment horizontal="center"/>
    </xf>
    <xf numFmtId="2" fontId="6" fillId="15" borderId="0" xfId="62" applyNumberFormat="1" applyFont="1" applyFill="1" applyBorder="1" applyAlignment="1"/>
    <xf numFmtId="167" fontId="34" fillId="15" borderId="0" xfId="0" applyNumberFormat="1" applyFont="1" applyFill="1" applyBorder="1" applyAlignment="1">
      <alignment horizontal="left"/>
    </xf>
    <xf numFmtId="5" fontId="6" fillId="21" borderId="0" xfId="62" applyNumberFormat="1" applyFont="1" applyFill="1" applyBorder="1" applyAlignment="1">
      <alignment horizontal="right"/>
    </xf>
    <xf numFmtId="1" fontId="6" fillId="21" borderId="0" xfId="0" applyNumberFormat="1" applyFont="1" applyFill="1" applyBorder="1" applyAlignment="1">
      <alignment horizontal="right"/>
    </xf>
    <xf numFmtId="43" fontId="7" fillId="15" borderId="0" xfId="0" applyNumberFormat="1" applyFont="1" applyFill="1" applyBorder="1" applyAlignment="1">
      <alignment horizontal="left"/>
    </xf>
    <xf numFmtId="171" fontId="7" fillId="15" borderId="0" xfId="58" applyNumberFormat="1" applyFont="1" applyFill="1" applyBorder="1" applyAlignment="1" applyProtection="1">
      <alignment horizontal="right"/>
      <protection locked="0"/>
    </xf>
    <xf numFmtId="0" fontId="6" fillId="22" borderId="0" xfId="0" applyFont="1" applyFill="1" applyBorder="1" applyAlignment="1">
      <alignment horizontal="left"/>
    </xf>
    <xf numFmtId="0" fontId="7" fillId="22" borderId="0" xfId="0" applyFont="1" applyFill="1" applyBorder="1" applyAlignment="1">
      <alignment horizontal="left"/>
    </xf>
    <xf numFmtId="170" fontId="7" fillId="22" borderId="0" xfId="0" applyNumberFormat="1" applyFont="1" applyFill="1" applyBorder="1" applyAlignment="1">
      <alignment horizontal="left"/>
    </xf>
    <xf numFmtId="2" fontId="6" fillId="15" borderId="0" xfId="62" applyNumberFormat="1" applyFont="1" applyFill="1" applyBorder="1" applyAlignment="1" applyProtection="1">
      <alignment horizontal="right"/>
      <protection locked="0"/>
    </xf>
    <xf numFmtId="5" fontId="7" fillId="22" borderId="0" xfId="0" applyNumberFormat="1" applyFont="1" applyFill="1" applyBorder="1" applyAlignment="1">
      <alignment horizontal="left"/>
    </xf>
    <xf numFmtId="170" fontId="7" fillId="22" borderId="0" xfId="58" applyNumberFormat="1" applyFont="1" applyFill="1" applyBorder="1" applyAlignment="1" applyProtection="1">
      <alignment horizontal="right"/>
      <protection locked="0"/>
    </xf>
    <xf numFmtId="9" fontId="7" fillId="22" borderId="0" xfId="0" applyNumberFormat="1" applyFont="1" applyFill="1" applyBorder="1" applyAlignment="1">
      <alignment horizontal="left"/>
    </xf>
    <xf numFmtId="0" fontId="3" fillId="0" borderId="0" xfId="50"/>
    <xf numFmtId="0" fontId="0" fillId="18" borderId="0" xfId="2" applyFont="1" applyFill="1"/>
    <xf numFmtId="0" fontId="56" fillId="18" borderId="0" xfId="2" applyFont="1" applyFill="1"/>
    <xf numFmtId="0" fontId="8" fillId="18" borderId="0" xfId="2" applyFont="1" applyFill="1"/>
    <xf numFmtId="0" fontId="57" fillId="18" borderId="0" xfId="2" applyFont="1" applyFill="1"/>
    <xf numFmtId="0" fontId="68" fillId="0" borderId="0" xfId="50" applyFont="1"/>
    <xf numFmtId="0" fontId="68" fillId="18" borderId="0" xfId="2" applyFont="1" applyFill="1"/>
    <xf numFmtId="0" fontId="69" fillId="18" borderId="0" xfId="2" applyFont="1" applyFill="1"/>
    <xf numFmtId="0" fontId="70" fillId="18" borderId="0" xfId="2" applyFont="1" applyFill="1"/>
    <xf numFmtId="0" fontId="71" fillId="18" borderId="0" xfId="2" applyFont="1" applyFill="1"/>
    <xf numFmtId="0" fontId="58" fillId="18" borderId="0" xfId="2" applyFont="1" applyFill="1"/>
    <xf numFmtId="0" fontId="3" fillId="23" borderId="0" xfId="50" applyFill="1"/>
    <xf numFmtId="0" fontId="25" fillId="23" borderId="0" xfId="2" applyFont="1" applyFill="1"/>
    <xf numFmtId="14" fontId="59" fillId="23" borderId="0" xfId="2" applyNumberFormat="1" applyFont="1" applyFill="1" applyAlignment="1">
      <alignment horizontal="left"/>
    </xf>
    <xf numFmtId="0" fontId="59" fillId="23" borderId="0" xfId="2" applyFont="1" applyFill="1"/>
    <xf numFmtId="8" fontId="59" fillId="23" borderId="0" xfId="2" applyNumberFormat="1" applyFont="1" applyFill="1" applyAlignment="1">
      <alignment horizontal="left"/>
    </xf>
    <xf numFmtId="0" fontId="60" fillId="23" borderId="0" xfId="2" applyFont="1" applyFill="1"/>
    <xf numFmtId="0" fontId="5" fillId="0" borderId="0" xfId="50" applyFont="1"/>
    <xf numFmtId="164" fontId="5" fillId="0" borderId="0" xfId="36" applyNumberFormat="1" applyFont="1"/>
    <xf numFmtId="167" fontId="5" fillId="0" borderId="0" xfId="50" applyNumberFormat="1" applyFont="1"/>
    <xf numFmtId="0" fontId="8" fillId="0" borderId="0" xfId="50" applyFont="1"/>
    <xf numFmtId="8" fontId="5" fillId="0" borderId="0" xfId="50" applyNumberFormat="1" applyFont="1"/>
    <xf numFmtId="0" fontId="61" fillId="0" borderId="0" xfId="50" applyFont="1"/>
    <xf numFmtId="178" fontId="5" fillId="0" borderId="0" xfId="50" applyNumberFormat="1" applyFont="1" applyAlignment="1">
      <alignment horizontal="right"/>
    </xf>
    <xf numFmtId="0" fontId="69" fillId="0" borderId="0" xfId="2" applyNumberFormat="1" applyFont="1" applyAlignment="1">
      <alignment horizontal="right"/>
    </xf>
    <xf numFmtId="0" fontId="72" fillId="23" borderId="0" xfId="50" applyFont="1" applyFill="1"/>
    <xf numFmtId="0" fontId="73" fillId="23" borderId="0" xfId="50" applyFont="1" applyFill="1"/>
    <xf numFmtId="8" fontId="8" fillId="0" borderId="29" xfId="50" applyNumberFormat="1" applyFont="1" applyFill="1" applyBorder="1"/>
    <xf numFmtId="8" fontId="8" fillId="0" borderId="6" xfId="50" applyNumberFormat="1" applyFont="1" applyFill="1" applyBorder="1"/>
    <xf numFmtId="0" fontId="5" fillId="0" borderId="6" xfId="50" applyFont="1" applyFill="1" applyBorder="1"/>
    <xf numFmtId="0" fontId="8" fillId="0" borderId="17" xfId="50" applyFont="1" applyFill="1" applyBorder="1"/>
    <xf numFmtId="164" fontId="8" fillId="0" borderId="0" xfId="50" applyNumberFormat="1" applyFont="1"/>
    <xf numFmtId="164" fontId="5" fillId="0" borderId="0" xfId="50" applyNumberFormat="1" applyFont="1"/>
    <xf numFmtId="164" fontId="8" fillId="0" borderId="0" xfId="36" applyNumberFormat="1" applyFont="1"/>
    <xf numFmtId="9" fontId="5" fillId="0" borderId="0" xfId="50" applyNumberFormat="1" applyFont="1"/>
    <xf numFmtId="0" fontId="75" fillId="0" borderId="0" xfId="50" applyFont="1"/>
    <xf numFmtId="164" fontId="61" fillId="0" borderId="29" xfId="50" applyNumberFormat="1" applyFont="1" applyBorder="1"/>
    <xf numFmtId="164" fontId="61" fillId="0" borderId="6" xfId="50" applyNumberFormat="1" applyFont="1" applyBorder="1"/>
    <xf numFmtId="0" fontId="61" fillId="0" borderId="6" xfId="50" applyFont="1" applyBorder="1"/>
    <xf numFmtId="0" fontId="61" fillId="0" borderId="17" xfId="50" applyFont="1" applyBorder="1"/>
    <xf numFmtId="179" fontId="5" fillId="0" borderId="0" xfId="50" applyNumberFormat="1" applyFont="1"/>
    <xf numFmtId="0" fontId="76" fillId="0" borderId="0" xfId="50" applyFont="1"/>
    <xf numFmtId="164" fontId="61" fillId="0" borderId="0" xfId="50" applyNumberFormat="1" applyFont="1"/>
    <xf numFmtId="164" fontId="61" fillId="0" borderId="0" xfId="36" applyNumberFormat="1" applyFont="1"/>
    <xf numFmtId="8" fontId="8" fillId="0" borderId="0" xfId="36" applyNumberFormat="1" applyFont="1"/>
    <xf numFmtId="178" fontId="74" fillId="0" borderId="0" xfId="50" applyNumberFormat="1" applyFont="1" applyAlignment="1">
      <alignment horizontal="right"/>
    </xf>
    <xf numFmtId="9" fontId="61" fillId="0" borderId="0" xfId="50" applyNumberFormat="1" applyFont="1"/>
    <xf numFmtId="8" fontId="74" fillId="0" borderId="0" xfId="50" applyNumberFormat="1" applyFont="1"/>
    <xf numFmtId="0" fontId="5" fillId="24" borderId="6" xfId="50" applyFont="1" applyFill="1" applyBorder="1"/>
    <xf numFmtId="0" fontId="8" fillId="24" borderId="17" xfId="50" applyFont="1" applyFill="1" applyBorder="1"/>
    <xf numFmtId="0" fontId="69" fillId="0" borderId="0" xfId="2" applyFont="1" applyAlignment="1">
      <alignment horizontal="right"/>
    </xf>
    <xf numFmtId="0" fontId="5" fillId="23" borderId="0" xfId="50" applyFont="1" applyFill="1"/>
    <xf numFmtId="180" fontId="58" fillId="23" borderId="0" xfId="2" applyNumberFormat="1" applyFont="1" applyFill="1"/>
    <xf numFmtId="180" fontId="57" fillId="23" borderId="0" xfId="2" applyNumberFormat="1" applyFont="1" applyFill="1"/>
    <xf numFmtId="180" fontId="62" fillId="23" borderId="0" xfId="2" applyNumberFormat="1" applyFont="1" applyFill="1"/>
    <xf numFmtId="180" fontId="63" fillId="23" borderId="0" xfId="2" applyNumberFormat="1" applyFont="1" applyFill="1"/>
    <xf numFmtId="180" fontId="64" fillId="23" borderId="0" xfId="2" applyNumberFormat="1" applyFont="1" applyFill="1"/>
    <xf numFmtId="180" fontId="59" fillId="23" borderId="0" xfId="2" applyNumberFormat="1" applyFont="1" applyFill="1"/>
    <xf numFmtId="180" fontId="65" fillId="23" borderId="0" xfId="2" applyNumberFormat="1" applyFont="1" applyFill="1"/>
    <xf numFmtId="0" fontId="5" fillId="23" borderId="0" xfId="2" applyFont="1" applyFill="1"/>
    <xf numFmtId="0" fontId="61" fillId="0" borderId="0" xfId="0" applyFont="1"/>
    <xf numFmtId="9" fontId="61" fillId="0" borderId="0" xfId="0" applyNumberFormat="1" applyFont="1"/>
    <xf numFmtId="0" fontId="5" fillId="0" borderId="0" xfId="0" applyFont="1"/>
    <xf numFmtId="0" fontId="61" fillId="0" borderId="7" xfId="51" applyFont="1" applyBorder="1"/>
    <xf numFmtId="0" fontId="61" fillId="0" borderId="18" xfId="51" applyFont="1" applyBorder="1"/>
    <xf numFmtId="178" fontId="61" fillId="0" borderId="18" xfId="51" applyNumberFormat="1" applyFont="1" applyBorder="1" applyAlignment="1">
      <alignment horizontal="right"/>
    </xf>
    <xf numFmtId="178" fontId="61" fillId="0" borderId="28" xfId="51" applyNumberFormat="1" applyFont="1" applyBorder="1" applyAlignment="1">
      <alignment horizontal="right"/>
    </xf>
    <xf numFmtId="0" fontId="61" fillId="0" borderId="1" xfId="51" applyFont="1" applyBorder="1"/>
    <xf numFmtId="0" fontId="61" fillId="0" borderId="0" xfId="51" applyFont="1" applyBorder="1"/>
    <xf numFmtId="178" fontId="61" fillId="0" borderId="0" xfId="51" applyNumberFormat="1" applyFont="1" applyBorder="1" applyAlignment="1">
      <alignment horizontal="right"/>
    </xf>
    <xf numFmtId="178" fontId="61" fillId="0" borderId="20" xfId="51" applyNumberFormat="1" applyFont="1" applyBorder="1" applyAlignment="1">
      <alignment horizontal="right"/>
    </xf>
    <xf numFmtId="0" fontId="61" fillId="0" borderId="19" xfId="51" applyFont="1" applyBorder="1"/>
    <xf numFmtId="0" fontId="61" fillId="0" borderId="2" xfId="51" applyFont="1" applyBorder="1"/>
    <xf numFmtId="167" fontId="61" fillId="0" borderId="2" xfId="51" applyNumberFormat="1" applyFont="1" applyBorder="1"/>
    <xf numFmtId="167" fontId="61" fillId="0" borderId="2" xfId="51" applyNumberFormat="1" applyFont="1" applyBorder="1" applyAlignment="1">
      <alignment horizontal="right"/>
    </xf>
    <xf numFmtId="167" fontId="61" fillId="0" borderId="21" xfId="51" applyNumberFormat="1" applyFont="1" applyBorder="1" applyAlignment="1">
      <alignment horizontal="right"/>
    </xf>
    <xf numFmtId="0" fontId="61" fillId="0" borderId="0" xfId="51" applyFont="1"/>
    <xf numFmtId="164" fontId="77" fillId="0" borderId="0" xfId="37" applyNumberFormat="1" applyFont="1"/>
    <xf numFmtId="0" fontId="8" fillId="0" borderId="0" xfId="0" applyFont="1"/>
    <xf numFmtId="9" fontId="24" fillId="20" borderId="22" xfId="58" applyNumberFormat="1" applyFont="1" applyFill="1" applyBorder="1" applyAlignment="1">
      <alignment horizontal="left"/>
    </xf>
    <xf numFmtId="164" fontId="5" fillId="0" borderId="0" xfId="35" applyNumberFormat="1" applyFont="1"/>
    <xf numFmtId="164" fontId="61" fillId="0" borderId="0" xfId="35" applyNumberFormat="1" applyFont="1"/>
    <xf numFmtId="43" fontId="5" fillId="0" borderId="0" xfId="50" applyNumberFormat="1" applyFont="1"/>
    <xf numFmtId="10" fontId="5" fillId="0" borderId="0" xfId="50" applyNumberFormat="1" applyFont="1"/>
    <xf numFmtId="164" fontId="8" fillId="0" borderId="0" xfId="35" applyNumberFormat="1" applyFont="1"/>
    <xf numFmtId="6" fontId="74" fillId="0" borderId="0" xfId="50" applyNumberFormat="1" applyFont="1"/>
    <xf numFmtId="164" fontId="74" fillId="0" borderId="0" xfId="35" applyNumberFormat="1" applyFont="1"/>
    <xf numFmtId="0" fontId="73" fillId="23" borderId="0" xfId="51" applyFont="1" applyFill="1"/>
    <xf numFmtId="0" fontId="72" fillId="23" borderId="0" xfId="51" applyFont="1" applyFill="1"/>
    <xf numFmtId="0" fontId="5" fillId="0" borderId="0" xfId="51" applyFont="1"/>
    <xf numFmtId="9" fontId="5" fillId="0" borderId="0" xfId="51" applyNumberFormat="1" applyFont="1"/>
    <xf numFmtId="178" fontId="5" fillId="0" borderId="0" xfId="51" applyNumberFormat="1" applyFont="1" applyAlignment="1">
      <alignment horizontal="right"/>
    </xf>
    <xf numFmtId="181" fontId="69" fillId="0" borderId="0" xfId="2" applyNumberFormat="1" applyFont="1" applyAlignment="1">
      <alignment horizontal="right"/>
    </xf>
    <xf numFmtId="181" fontId="69" fillId="0" borderId="0" xfId="50" applyNumberFormat="1" applyFont="1"/>
    <xf numFmtId="4" fontId="34" fillId="15" borderId="0" xfId="0" applyNumberFormat="1" applyFont="1" applyFill="1" applyBorder="1" applyAlignment="1">
      <alignment horizontal="left"/>
    </xf>
    <xf numFmtId="12" fontId="6" fillId="15" borderId="0" xfId="0" applyNumberFormat="1" applyFont="1" applyFill="1" applyBorder="1" applyAlignment="1">
      <alignment horizontal="left"/>
    </xf>
    <xf numFmtId="167" fontId="7" fillId="22" borderId="0" xfId="62" applyNumberFormat="1" applyFont="1" applyFill="1" applyBorder="1" applyAlignment="1">
      <alignment horizontal="left"/>
    </xf>
    <xf numFmtId="164" fontId="74" fillId="0" borderId="0" xfId="36" applyNumberFormat="1" applyFont="1" applyFill="1"/>
    <xf numFmtId="167" fontId="2" fillId="21" borderId="22" xfId="62" applyNumberFormat="1" applyFont="1" applyFill="1" applyBorder="1" applyAlignment="1">
      <alignment horizontal="right"/>
    </xf>
    <xf numFmtId="167" fontId="2" fillId="25" borderId="23" xfId="0" applyNumberFormat="1" applyFont="1" applyFill="1" applyBorder="1" applyAlignment="1">
      <alignment horizontal="right"/>
    </xf>
    <xf numFmtId="170" fontId="6" fillId="15" borderId="0" xfId="62" applyNumberFormat="1" applyFont="1" applyFill="1" applyBorder="1" applyAlignment="1"/>
    <xf numFmtId="7" fontId="34" fillId="15" borderId="0" xfId="0" applyNumberFormat="1" applyFont="1" applyFill="1" applyBorder="1" applyAlignment="1">
      <alignment horizontal="left"/>
    </xf>
    <xf numFmtId="1" fontId="6" fillId="18" borderId="0" xfId="57" applyNumberFormat="1" applyFont="1" applyFill="1" applyBorder="1" applyAlignment="1">
      <alignment horizontal="left" indent="1"/>
    </xf>
    <xf numFmtId="1" fontId="6" fillId="18" borderId="0" xfId="56" applyNumberFormat="1" applyFont="1" applyFill="1" applyBorder="1"/>
    <xf numFmtId="5" fontId="66" fillId="18" borderId="0" xfId="0" applyNumberFormat="1" applyFont="1" applyFill="1" applyBorder="1" applyAlignment="1">
      <alignment vertical="top"/>
    </xf>
    <xf numFmtId="171" fontId="6" fillId="18" borderId="1" xfId="0" applyNumberFormat="1" applyFont="1" applyFill="1" applyBorder="1"/>
    <xf numFmtId="171" fontId="6" fillId="18" borderId="22" xfId="0" applyNumberFormat="1" applyFont="1" applyFill="1" applyBorder="1"/>
    <xf numFmtId="9" fontId="6" fillId="18" borderId="0" xfId="0" applyNumberFormat="1" applyFont="1" applyFill="1" applyBorder="1" applyAlignment="1">
      <alignment horizontal="left" vertical="top" indent="1"/>
    </xf>
    <xf numFmtId="9" fontId="6" fillId="18" borderId="1" xfId="0" applyNumberFormat="1" applyFont="1" applyFill="1" applyBorder="1"/>
    <xf numFmtId="9" fontId="6" fillId="18" borderId="22" xfId="0" applyNumberFormat="1" applyFont="1" applyFill="1" applyBorder="1"/>
    <xf numFmtId="7" fontId="6" fillId="18" borderId="0" xfId="0" applyNumberFormat="1" applyFont="1" applyFill="1" applyBorder="1" applyAlignment="1">
      <alignment horizontal="left" vertical="top" indent="1"/>
    </xf>
    <xf numFmtId="167" fontId="67" fillId="0" borderId="0" xfId="62" applyNumberFormat="1" applyFont="1" applyFill="1" applyBorder="1" applyAlignment="1">
      <alignment horizontal="right"/>
    </xf>
    <xf numFmtId="167" fontId="67" fillId="0" borderId="22" xfId="62" applyNumberFormat="1" applyFont="1" applyFill="1" applyBorder="1" applyAlignment="1">
      <alignment horizontal="right"/>
    </xf>
    <xf numFmtId="9" fontId="6" fillId="18" borderId="19" xfId="0" applyNumberFormat="1" applyFont="1" applyFill="1" applyBorder="1"/>
    <xf numFmtId="9" fontId="6" fillId="18" borderId="21" xfId="0" applyNumberFormat="1" applyFont="1" applyFill="1" applyBorder="1"/>
    <xf numFmtId="9" fontId="6" fillId="18" borderId="24" xfId="0" applyNumberFormat="1" applyFont="1" applyFill="1" applyBorder="1"/>
    <xf numFmtId="9" fontId="67" fillId="18" borderId="21" xfId="0" applyNumberFormat="1" applyFont="1" applyFill="1" applyBorder="1"/>
    <xf numFmtId="9" fontId="2" fillId="18" borderId="24" xfId="0" applyNumberFormat="1" applyFont="1" applyFill="1" applyBorder="1"/>
    <xf numFmtId="171" fontId="24" fillId="15" borderId="0" xfId="58" applyNumberFormat="1" applyFont="1" applyFill="1" applyBorder="1" applyAlignment="1">
      <alignment horizontal="left"/>
    </xf>
    <xf numFmtId="167" fontId="24" fillId="20" borderId="0" xfId="62" applyNumberFormat="1" applyFont="1" applyFill="1" applyBorder="1" applyAlignment="1">
      <alignment horizontal="left"/>
    </xf>
    <xf numFmtId="165" fontId="7" fillId="15" borderId="0" xfId="35" applyNumberFormat="1" applyFont="1" applyFill="1" applyBorder="1" applyAlignment="1">
      <alignment horizontal="left"/>
    </xf>
    <xf numFmtId="167" fontId="5" fillId="0" borderId="0" xfId="62" applyNumberFormat="1" applyFont="1"/>
    <xf numFmtId="9" fontId="5" fillId="0" borderId="0" xfId="62" applyNumberFormat="1" applyFont="1"/>
    <xf numFmtId="170" fontId="2" fillId="21" borderId="22" xfId="62" applyNumberFormat="1" applyFont="1" applyFill="1" applyBorder="1" applyAlignment="1">
      <alignment horizontal="right"/>
    </xf>
    <xf numFmtId="170" fontId="2" fillId="21" borderId="0" xfId="62" applyNumberFormat="1" applyFont="1" applyFill="1" applyBorder="1" applyAlignment="1">
      <alignment horizontal="right"/>
    </xf>
    <xf numFmtId="170" fontId="6" fillId="21" borderId="22" xfId="62" applyNumberFormat="1" applyFont="1" applyFill="1" applyBorder="1" applyAlignment="1">
      <alignment horizontal="right"/>
    </xf>
    <xf numFmtId="170" fontId="6" fillId="21" borderId="0" xfId="62" applyNumberFormat="1" applyFont="1" applyFill="1" applyBorder="1" applyAlignment="1">
      <alignment horizontal="right"/>
    </xf>
    <xf numFmtId="167" fontId="6" fillId="21" borderId="0" xfId="62" applyNumberFormat="1" applyFont="1" applyFill="1" applyBorder="1" applyAlignment="1">
      <alignment horizontal="right"/>
    </xf>
    <xf numFmtId="167" fontId="2" fillId="21" borderId="0" xfId="62" applyNumberFormat="1" applyFont="1" applyFill="1" applyBorder="1" applyAlignment="1">
      <alignment horizontal="right"/>
    </xf>
    <xf numFmtId="167" fontId="9" fillId="18" borderId="0" xfId="62" applyNumberFormat="1" applyFont="1" applyFill="1" applyBorder="1"/>
    <xf numFmtId="165" fontId="9" fillId="18" borderId="0" xfId="0" applyNumberFormat="1" applyFont="1" applyFill="1" applyBorder="1" applyAlignment="1">
      <alignment horizontal="center"/>
    </xf>
    <xf numFmtId="170" fontId="9" fillId="18" borderId="0" xfId="0" applyNumberFormat="1" applyFont="1" applyFill="1" applyBorder="1" applyAlignment="1">
      <alignment horizontal="center"/>
    </xf>
    <xf numFmtId="167" fontId="7" fillId="18" borderId="0" xfId="62" applyNumberFormat="1" applyFont="1" applyFill="1" applyBorder="1" applyAlignment="1" applyProtection="1">
      <alignment horizontal="right"/>
      <protection locked="0"/>
    </xf>
    <xf numFmtId="10" fontId="9" fillId="18" borderId="0" xfId="0" applyNumberFormat="1" applyFont="1" applyFill="1" applyBorder="1"/>
    <xf numFmtId="2" fontId="9" fillId="18" borderId="0" xfId="0" applyNumberFormat="1" applyFont="1" applyFill="1" applyBorder="1" applyAlignment="1">
      <alignment horizontal="center"/>
    </xf>
    <xf numFmtId="167" fontId="2" fillId="21" borderId="0" xfId="62" applyNumberFormat="1" applyFont="1" applyFill="1" applyBorder="1" applyAlignment="1"/>
    <xf numFmtId="171" fontId="2" fillId="21" borderId="0" xfId="62" applyNumberFormat="1" applyFont="1" applyFill="1" applyBorder="1" applyAlignment="1"/>
    <xf numFmtId="2" fontId="7" fillId="15" borderId="0" xfId="0" applyNumberFormat="1" applyFont="1" applyFill="1" applyBorder="1" applyAlignment="1">
      <alignment horizontal="left"/>
    </xf>
    <xf numFmtId="3" fontId="7" fillId="15" borderId="0" xfId="0" applyNumberFormat="1" applyFont="1" applyFill="1" applyBorder="1" applyAlignment="1">
      <alignment horizontal="center"/>
    </xf>
    <xf numFmtId="171" fontId="7" fillId="15" borderId="0" xfId="0" applyNumberFormat="1" applyFont="1" applyFill="1" applyBorder="1" applyAlignment="1">
      <alignment horizontal="center"/>
    </xf>
    <xf numFmtId="171" fontId="34" fillId="15" borderId="0" xfId="0" applyNumberFormat="1" applyFont="1" applyFill="1" applyBorder="1" applyAlignment="1">
      <alignment horizontal="center"/>
    </xf>
    <xf numFmtId="49" fontId="6" fillId="15" borderId="0" xfId="62" applyNumberFormat="1" applyFont="1" applyFill="1" applyBorder="1" applyAlignment="1">
      <alignment vertical="center"/>
    </xf>
    <xf numFmtId="49" fontId="6" fillId="15" borderId="0" xfId="62" applyNumberFormat="1" applyFont="1" applyFill="1" applyBorder="1" applyAlignment="1">
      <alignment horizontal="center" vertical="center"/>
    </xf>
    <xf numFmtId="3" fontId="6" fillId="15" borderId="0" xfId="0" applyNumberFormat="1" applyFont="1" applyFill="1" applyAlignment="1">
      <alignment horizontal="center" vertical="center"/>
    </xf>
    <xf numFmtId="3" fontId="78" fillId="15" borderId="0" xfId="0" applyNumberFormat="1" applyFont="1" applyFill="1" applyAlignment="1">
      <alignment horizontal="center" vertical="center"/>
    </xf>
    <xf numFmtId="1" fontId="78" fillId="15" borderId="0" xfId="0" applyNumberFormat="1" applyFont="1" applyFill="1" applyAlignment="1">
      <alignment horizontal="center" vertical="center"/>
    </xf>
    <xf numFmtId="9" fontId="6" fillId="15" borderId="0" xfId="62" applyNumberFormat="1" applyFont="1" applyFill="1" applyBorder="1" applyAlignment="1">
      <alignment horizontal="center" vertical="center"/>
    </xf>
    <xf numFmtId="167" fontId="6" fillId="15" borderId="0" xfId="62" applyNumberFormat="1" applyFont="1" applyFill="1" applyBorder="1" applyAlignment="1">
      <alignment horizontal="center" vertical="center"/>
    </xf>
    <xf numFmtId="9" fontId="7" fillId="15" borderId="0" xfId="0" applyNumberFormat="1" applyFont="1" applyFill="1" applyBorder="1" applyAlignment="1">
      <alignment horizontal="center"/>
    </xf>
    <xf numFmtId="3" fontId="6" fillId="15" borderId="0" xfId="35" applyNumberFormat="1" applyFont="1" applyFill="1" applyBorder="1" applyAlignment="1">
      <alignment horizontal="left" vertical="center"/>
    </xf>
    <xf numFmtId="167" fontId="6" fillId="15" borderId="0" xfId="62" applyNumberFormat="1" applyFont="1" applyFill="1" applyBorder="1" applyAlignment="1">
      <alignment horizontal="center"/>
    </xf>
    <xf numFmtId="167" fontId="78" fillId="15" borderId="0" xfId="62" applyNumberFormat="1" applyFont="1" applyFill="1" applyBorder="1" applyAlignment="1">
      <alignment horizontal="center"/>
    </xf>
    <xf numFmtId="167" fontId="7" fillId="15" borderId="0" xfId="62" applyNumberFormat="1" applyFont="1" applyFill="1" applyBorder="1" applyAlignment="1">
      <alignment horizontal="center"/>
    </xf>
    <xf numFmtId="170" fontId="78" fillId="15" borderId="0" xfId="0" applyNumberFormat="1" applyFont="1" applyFill="1" applyBorder="1" applyAlignment="1">
      <alignment horizontal="center"/>
    </xf>
    <xf numFmtId="171" fontId="6" fillId="15" borderId="0" xfId="62" applyNumberFormat="1" applyFont="1" applyFill="1" applyBorder="1" applyAlignment="1">
      <alignment horizontal="left"/>
    </xf>
    <xf numFmtId="43" fontId="7" fillId="15" borderId="0" xfId="35" applyFont="1" applyFill="1" applyBorder="1" applyAlignment="1">
      <alignment horizontal="center"/>
    </xf>
    <xf numFmtId="5" fontId="7" fillId="15" borderId="0" xfId="0" applyNumberFormat="1" applyFont="1" applyFill="1" applyBorder="1" applyAlignment="1">
      <alignment horizontal="center"/>
    </xf>
    <xf numFmtId="1" fontId="7" fillId="15" borderId="0" xfId="0" applyNumberFormat="1" applyFont="1" applyFill="1" applyBorder="1" applyAlignment="1">
      <alignment horizontal="center"/>
    </xf>
    <xf numFmtId="0" fontId="6" fillId="15" borderId="0" xfId="58" applyFont="1" applyFill="1" applyBorder="1" applyAlignment="1">
      <alignment horizontal="left"/>
    </xf>
    <xf numFmtId="5" fontId="6" fillId="15" borderId="0" xfId="0" applyNumberFormat="1" applyFont="1" applyFill="1" applyBorder="1" applyAlignment="1">
      <alignment horizontal="left" indent="1"/>
    </xf>
    <xf numFmtId="170" fontId="7" fillId="15" borderId="18" xfId="0" applyNumberFormat="1" applyFont="1" applyFill="1" applyBorder="1" applyAlignment="1">
      <alignment horizontal="center"/>
    </xf>
    <xf numFmtId="171" fontId="6" fillId="15" borderId="0" xfId="62" quotePrefix="1" applyNumberFormat="1" applyFont="1" applyFill="1" applyBorder="1" applyAlignment="1"/>
    <xf numFmtId="171" fontId="7" fillId="15" borderId="0" xfId="62" applyNumberFormat="1" applyFont="1" applyFill="1" applyBorder="1" applyAlignment="1" applyProtection="1">
      <alignment horizontal="right"/>
      <protection locked="0"/>
    </xf>
    <xf numFmtId="171" fontId="2" fillId="21" borderId="22" xfId="62" applyNumberFormat="1" applyFont="1" applyFill="1" applyBorder="1"/>
    <xf numFmtId="171" fontId="2" fillId="21" borderId="0" xfId="62" applyNumberFormat="1" applyFont="1" applyFill="1" applyBorder="1"/>
    <xf numFmtId="171" fontId="7" fillId="15" borderId="0" xfId="62" applyNumberFormat="1" applyFont="1" applyFill="1" applyBorder="1" applyAlignment="1">
      <alignment horizontal="left"/>
    </xf>
    <xf numFmtId="2" fontId="6" fillId="15" borderId="0" xfId="0" applyNumberFormat="1" applyFont="1" applyFill="1" applyBorder="1" applyAlignment="1">
      <alignment horizontal="center"/>
    </xf>
    <xf numFmtId="2" fontId="6" fillId="15" borderId="0" xfId="62" quotePrefix="1" applyNumberFormat="1" applyFont="1" applyFill="1" applyBorder="1" applyAlignment="1"/>
    <xf numFmtId="43" fontId="6" fillId="15" borderId="0" xfId="0" applyNumberFormat="1" applyFont="1" applyFill="1" applyBorder="1" applyAlignment="1">
      <alignment horizontal="center"/>
    </xf>
    <xf numFmtId="167" fontId="34" fillId="15" borderId="0" xfId="62" applyNumberFormat="1" applyFont="1" applyFill="1" applyBorder="1" applyAlignment="1">
      <alignment horizontal="left"/>
    </xf>
    <xf numFmtId="167" fontId="8" fillId="0" borderId="0" xfId="62" applyNumberFormat="1" applyFont="1"/>
    <xf numFmtId="5" fontId="29" fillId="18" borderId="0" xfId="0" applyNumberFormat="1" applyFont="1" applyFill="1" applyBorder="1" applyAlignment="1" applyProtection="1">
      <alignment horizontal="right"/>
    </xf>
    <xf numFmtId="5" fontId="7" fillId="15" borderId="0" xfId="0" applyNumberFormat="1" applyFont="1" applyFill="1" applyBorder="1" applyAlignment="1">
      <alignment horizontal="center"/>
    </xf>
    <xf numFmtId="1" fontId="7" fillId="15" borderId="0" xfId="0" applyNumberFormat="1" applyFont="1" applyFill="1" applyBorder="1" applyAlignment="1">
      <alignment horizontal="center"/>
    </xf>
    <xf numFmtId="167" fontId="6" fillId="15" borderId="0" xfId="62" applyNumberFormat="1" applyFont="1" applyFill="1" applyBorder="1" applyAlignment="1" applyProtection="1">
      <protection locked="0"/>
    </xf>
    <xf numFmtId="171" fontId="6" fillId="15" borderId="0" xfId="62" applyNumberFormat="1" applyFont="1" applyFill="1" applyBorder="1" applyAlignment="1"/>
    <xf numFmtId="1" fontId="6" fillId="15" borderId="0" xfId="0" applyNumberFormat="1" applyFont="1" applyFill="1" applyBorder="1" applyAlignment="1">
      <alignment horizontal="center"/>
    </xf>
    <xf numFmtId="5" fontId="6" fillId="15" borderId="0" xfId="0" applyNumberFormat="1" applyFont="1" applyFill="1" applyBorder="1" applyAlignment="1">
      <alignment horizontal="center"/>
    </xf>
    <xf numFmtId="171" fontId="6" fillId="15" borderId="0" xfId="0" applyNumberFormat="1" applyFont="1" applyFill="1" applyBorder="1" applyAlignment="1">
      <alignment horizontal="center"/>
    </xf>
    <xf numFmtId="9" fontId="67" fillId="18" borderId="2" xfId="0" applyNumberFormat="1" applyFont="1" applyFill="1" applyBorder="1"/>
    <xf numFmtId="182" fontId="24" fillId="20" borderId="0" xfId="58" applyNumberFormat="1" applyFont="1" applyFill="1" applyBorder="1" applyAlignment="1">
      <alignment horizontal="left"/>
    </xf>
    <xf numFmtId="183" fontId="24" fillId="20" borderId="0" xfId="58" applyNumberFormat="1" applyFont="1" applyFill="1" applyBorder="1" applyAlignment="1">
      <alignment horizontal="left"/>
    </xf>
    <xf numFmtId="167" fontId="24" fillId="20" borderId="0" xfId="58" applyNumberFormat="1" applyFont="1" applyFill="1" applyBorder="1" applyAlignment="1">
      <alignment horizontal="left"/>
    </xf>
    <xf numFmtId="167" fontId="6" fillId="21" borderId="23" xfId="58" applyNumberFormat="1" applyFont="1" applyFill="1" applyBorder="1" applyAlignment="1" applyProtection="1">
      <alignment horizontal="left" indent="3"/>
      <protection locked="0"/>
    </xf>
    <xf numFmtId="167" fontId="6" fillId="21" borderId="25" xfId="62" applyNumberFormat="1" applyFont="1" applyFill="1" applyBorder="1" applyAlignment="1">
      <alignment horizontal="right"/>
    </xf>
    <xf numFmtId="0" fontId="6" fillId="21" borderId="23" xfId="0" applyFont="1" applyFill="1" applyBorder="1" applyAlignment="1">
      <alignment horizontal="right"/>
    </xf>
    <xf numFmtId="167" fontId="6" fillId="21" borderId="23" xfId="62" applyNumberFormat="1" applyFont="1" applyFill="1" applyBorder="1" applyAlignment="1">
      <alignment horizontal="right"/>
    </xf>
    <xf numFmtId="9" fontId="8" fillId="0" borderId="0" xfId="36" applyNumberFormat="1" applyFont="1"/>
    <xf numFmtId="6" fontId="6" fillId="15" borderId="0" xfId="62" applyNumberFormat="1" applyFont="1" applyFill="1" applyBorder="1" applyAlignment="1"/>
    <xf numFmtId="170" fontId="24" fillId="20" borderId="0" xfId="58" applyNumberFormat="1" applyFont="1" applyFill="1" applyBorder="1" applyAlignment="1">
      <alignment horizontal="left"/>
    </xf>
    <xf numFmtId="7" fontId="2" fillId="0" borderId="0" xfId="0" applyNumberFormat="1" applyFont="1" applyFill="1" applyBorder="1" applyAlignment="1">
      <alignment horizontal="right"/>
    </xf>
    <xf numFmtId="7" fontId="2" fillId="0" borderId="22" xfId="0" applyNumberFormat="1" applyFont="1" applyFill="1" applyBorder="1" applyAlignment="1">
      <alignment horizontal="right"/>
    </xf>
    <xf numFmtId="184" fontId="24" fillId="19" borderId="24" xfId="58" applyNumberFormat="1" applyFont="1" applyFill="1" applyBorder="1" applyAlignment="1" applyProtection="1">
      <alignment horizontal="center"/>
    </xf>
    <xf numFmtId="164" fontId="79" fillId="0" borderId="0" xfId="35" applyNumberFormat="1" applyFont="1" applyFill="1" applyBorder="1" applyAlignment="1">
      <alignment horizontal="right"/>
    </xf>
    <xf numFmtId="3" fontId="79" fillId="0" borderId="0" xfId="0" applyNumberFormat="1" applyFont="1" applyFill="1" applyBorder="1"/>
    <xf numFmtId="172" fontId="79" fillId="0" borderId="0" xfId="0" applyNumberFormat="1" applyFont="1" applyFill="1" applyBorder="1" applyAlignment="1">
      <alignment horizontal="right"/>
    </xf>
    <xf numFmtId="1" fontId="79" fillId="21" borderId="0" xfId="0" applyNumberFormat="1" applyFont="1" applyFill="1" applyBorder="1" applyAlignment="1">
      <alignment horizontal="right"/>
    </xf>
    <xf numFmtId="170" fontId="80" fillId="15" borderId="0" xfId="58" applyNumberFormat="1" applyFont="1" applyFill="1" applyBorder="1" applyAlignment="1" applyProtection="1">
      <alignment horizontal="right"/>
      <protection locked="0"/>
    </xf>
    <xf numFmtId="170" fontId="79" fillId="0" borderId="0" xfId="0" applyNumberFormat="1" applyFont="1" applyFill="1" applyBorder="1"/>
    <xf numFmtId="3" fontId="79" fillId="18" borderId="0" xfId="62" applyNumberFormat="1" applyFont="1" applyFill="1" applyBorder="1"/>
    <xf numFmtId="1" fontId="79" fillId="16" borderId="23" xfId="0" applyNumberFormat="1" applyFont="1" applyFill="1" applyBorder="1"/>
    <xf numFmtId="170" fontId="79" fillId="0" borderId="0" xfId="58" applyNumberFormat="1" applyFont="1" applyFill="1" applyBorder="1" applyAlignment="1" applyProtection="1">
      <alignment horizontal="right"/>
      <protection locked="0"/>
    </xf>
    <xf numFmtId="5" fontId="79" fillId="0" borderId="0" xfId="35" applyNumberFormat="1" applyFont="1" applyFill="1" applyBorder="1" applyAlignment="1">
      <alignment horizontal="right"/>
    </xf>
    <xf numFmtId="1" fontId="79" fillId="0" borderId="0" xfId="0" applyNumberFormat="1" applyFont="1" applyFill="1" applyBorder="1" applyAlignment="1">
      <alignment horizontal="right"/>
    </xf>
    <xf numFmtId="5" fontId="79" fillId="0" borderId="0" xfId="0" applyNumberFormat="1" applyFont="1" applyFill="1" applyBorder="1" applyAlignment="1">
      <alignment horizontal="right"/>
    </xf>
    <xf numFmtId="5" fontId="79" fillId="18" borderId="0" xfId="0" applyNumberFormat="1" applyFont="1" applyFill="1"/>
    <xf numFmtId="5" fontId="80" fillId="18" borderId="0" xfId="0" applyNumberFormat="1" applyFont="1" applyFill="1" applyAlignment="1"/>
    <xf numFmtId="5" fontId="80" fillId="15" borderId="6" xfId="0" applyNumberFormat="1" applyFont="1" applyFill="1" applyBorder="1"/>
    <xf numFmtId="5" fontId="80" fillId="18" borderId="0" xfId="0" applyNumberFormat="1" applyFont="1" applyFill="1" applyBorder="1"/>
    <xf numFmtId="5" fontId="80" fillId="18" borderId="23" xfId="0" applyNumberFormat="1" applyFont="1" applyFill="1" applyBorder="1"/>
    <xf numFmtId="5" fontId="79" fillId="0" borderId="0" xfId="0" applyNumberFormat="1" applyFont="1" applyFill="1"/>
    <xf numFmtId="5" fontId="81" fillId="0" borderId="27" xfId="35" applyNumberFormat="1" applyFont="1" applyFill="1" applyBorder="1" applyAlignment="1">
      <alignment horizontal="right"/>
    </xf>
    <xf numFmtId="5" fontId="81" fillId="0" borderId="3" xfId="35" applyNumberFormat="1" applyFont="1" applyFill="1" applyBorder="1" applyAlignment="1">
      <alignment horizontal="right"/>
    </xf>
    <xf numFmtId="171" fontId="81" fillId="0" borderId="0" xfId="0" applyNumberFormat="1" applyFont="1" applyFill="1" applyBorder="1" applyAlignment="1">
      <alignment horizontal="right"/>
    </xf>
    <xf numFmtId="1" fontId="81" fillId="18" borderId="0" xfId="35" applyNumberFormat="1" applyFont="1" applyFill="1" applyBorder="1" applyAlignment="1">
      <alignment horizontal="right"/>
    </xf>
    <xf numFmtId="164" fontId="79" fillId="0" borderId="22" xfId="35" applyNumberFormat="1" applyFont="1" applyFill="1" applyBorder="1" applyAlignment="1">
      <alignment horizontal="right"/>
    </xf>
    <xf numFmtId="3" fontId="79" fillId="0" borderId="22" xfId="0" applyNumberFormat="1" applyFont="1" applyFill="1" applyBorder="1" applyAlignment="1">
      <alignment horizontal="right"/>
    </xf>
    <xf numFmtId="1" fontId="79" fillId="0" borderId="22" xfId="35" applyNumberFormat="1" applyFont="1" applyFill="1" applyBorder="1" applyAlignment="1">
      <alignment horizontal="right"/>
    </xf>
    <xf numFmtId="1" fontId="79" fillId="18" borderId="0" xfId="35" applyNumberFormat="1" applyFont="1" applyFill="1" applyBorder="1" applyAlignment="1">
      <alignment horizontal="right"/>
    </xf>
    <xf numFmtId="170" fontId="80" fillId="15" borderId="22" xfId="58" applyNumberFormat="1" applyFont="1" applyFill="1" applyBorder="1" applyAlignment="1" applyProtection="1">
      <alignment horizontal="right"/>
      <protection locked="0"/>
    </xf>
    <xf numFmtId="0" fontId="79" fillId="16" borderId="23" xfId="0" applyFont="1" applyFill="1" applyBorder="1" applyAlignment="1">
      <alignment horizontal="right"/>
    </xf>
    <xf numFmtId="7" fontId="79" fillId="16" borderId="25" xfId="0" applyNumberFormat="1" applyFont="1" applyFill="1" applyBorder="1" applyAlignment="1"/>
    <xf numFmtId="1" fontId="79" fillId="16" borderId="23" xfId="0" applyNumberFormat="1" applyFont="1" applyFill="1" applyBorder="1" applyAlignment="1">
      <alignment horizontal="right"/>
    </xf>
    <xf numFmtId="1" fontId="79" fillId="16" borderId="25" xfId="35" applyNumberFormat="1" applyFont="1" applyFill="1" applyBorder="1" applyAlignment="1">
      <alignment horizontal="right"/>
    </xf>
    <xf numFmtId="170" fontId="79" fillId="0" borderId="22" xfId="58" applyNumberFormat="1" applyFont="1" applyFill="1" applyBorder="1" applyAlignment="1" applyProtection="1">
      <alignment horizontal="right"/>
      <protection locked="0"/>
    </xf>
    <xf numFmtId="5" fontId="79" fillId="0" borderId="22" xfId="35" applyNumberFormat="1" applyFont="1" applyFill="1" applyBorder="1" applyAlignment="1">
      <alignment horizontal="right"/>
    </xf>
    <xf numFmtId="5" fontId="79" fillId="18" borderId="22" xfId="0" applyNumberFormat="1" applyFont="1" applyFill="1" applyBorder="1"/>
    <xf numFmtId="5" fontId="80" fillId="18" borderId="22" xfId="0" applyNumberFormat="1" applyFont="1" applyFill="1" applyBorder="1" applyAlignment="1"/>
    <xf numFmtId="5" fontId="80" fillId="18" borderId="22" xfId="0" applyNumberFormat="1" applyFont="1" applyFill="1" applyBorder="1"/>
    <xf numFmtId="5" fontId="80" fillId="18" borderId="25" xfId="0" applyNumberFormat="1" applyFont="1" applyFill="1" applyBorder="1"/>
    <xf numFmtId="6" fontId="8" fillId="24" borderId="6" xfId="50" applyNumberFormat="1" applyFont="1" applyFill="1" applyBorder="1"/>
    <xf numFmtId="6" fontId="8" fillId="24" borderId="29" xfId="50" applyNumberFormat="1" applyFont="1" applyFill="1" applyBorder="1"/>
    <xf numFmtId="6" fontId="5" fillId="0" borderId="0" xfId="50" applyNumberFormat="1" applyFont="1"/>
    <xf numFmtId="164" fontId="5" fillId="0" borderId="0" xfId="36" applyNumberFormat="1" applyFont="1" applyFill="1"/>
    <xf numFmtId="9" fontId="61" fillId="0" borderId="0" xfId="0" applyNumberFormat="1" applyFont="1" applyFill="1"/>
    <xf numFmtId="0" fontId="5" fillId="0" borderId="0" xfId="50" applyFont="1" applyFill="1"/>
    <xf numFmtId="167" fontId="5" fillId="0" borderId="0" xfId="62" applyNumberFormat="1" applyFont="1" applyFill="1"/>
    <xf numFmtId="164" fontId="5" fillId="0" borderId="0" xfId="50" applyNumberFormat="1" applyFont="1" applyFill="1"/>
    <xf numFmtId="9" fontId="5" fillId="0" borderId="0" xfId="62" applyNumberFormat="1" applyFont="1" applyFill="1"/>
    <xf numFmtId="178" fontId="5" fillId="0" borderId="0" xfId="50" applyNumberFormat="1" applyFont="1" applyFill="1" applyAlignment="1">
      <alignment horizontal="right"/>
    </xf>
    <xf numFmtId="179" fontId="8" fillId="0" borderId="0" xfId="51" applyNumberFormat="1" applyFont="1" applyAlignment="1">
      <alignment horizontal="right"/>
    </xf>
    <xf numFmtId="0" fontId="5" fillId="0" borderId="0" xfId="51" applyFont="1" applyAlignment="1">
      <alignment horizontal="right"/>
    </xf>
    <xf numFmtId="185" fontId="8" fillId="0" borderId="0" xfId="74" applyNumberFormat="1" applyFont="1" applyAlignment="1">
      <alignment horizontal="right"/>
    </xf>
    <xf numFmtId="9" fontId="5" fillId="0" borderId="0" xfId="62" applyFont="1" applyAlignment="1">
      <alignment horizontal="right"/>
    </xf>
    <xf numFmtId="164" fontId="5" fillId="0" borderId="0" xfId="37" applyNumberFormat="1" applyFont="1" applyAlignment="1">
      <alignment horizontal="right"/>
    </xf>
    <xf numFmtId="44" fontId="8" fillId="0" borderId="0" xfId="74" applyFont="1" applyAlignment="1">
      <alignment horizontal="right"/>
    </xf>
    <xf numFmtId="43" fontId="5" fillId="0" borderId="0" xfId="51" applyNumberFormat="1" applyFont="1" applyAlignment="1">
      <alignment horizontal="right"/>
    </xf>
    <xf numFmtId="8" fontId="8" fillId="0" borderId="0" xfId="74" applyNumberFormat="1" applyFont="1" applyAlignment="1">
      <alignment horizontal="right"/>
    </xf>
    <xf numFmtId="0" fontId="5" fillId="26" borderId="0" xfId="75" applyFont="1" applyFill="1" applyAlignment="1">
      <alignment vertical="top"/>
    </xf>
    <xf numFmtId="0" fontId="5" fillId="26" borderId="0" xfId="1" applyFill="1" applyAlignment="1">
      <alignment vertical="top"/>
    </xf>
    <xf numFmtId="0" fontId="5" fillId="26" borderId="0" xfId="1" applyFill="1"/>
    <xf numFmtId="0" fontId="83" fillId="26" borderId="0" xfId="75" applyFont="1" applyFill="1" applyAlignment="1">
      <alignment horizontal="left" vertical="top"/>
    </xf>
    <xf numFmtId="0" fontId="5" fillId="26" borderId="0" xfId="1" applyFont="1" applyFill="1" applyAlignment="1">
      <alignment vertical="top"/>
    </xf>
    <xf numFmtId="0" fontId="61" fillId="26" borderId="0" xfId="75" applyFont="1" applyFill="1" applyAlignment="1">
      <alignment vertical="top"/>
    </xf>
    <xf numFmtId="0" fontId="0" fillId="26" borderId="0" xfId="0" applyFill="1" applyAlignment="1">
      <alignment vertical="top"/>
    </xf>
    <xf numFmtId="0" fontId="84" fillId="26" borderId="0" xfId="0" applyFont="1" applyFill="1" applyAlignment="1">
      <alignment vertical="top"/>
    </xf>
    <xf numFmtId="0" fontId="85" fillId="26" borderId="0" xfId="0" applyFont="1" applyFill="1" applyAlignment="1">
      <alignment vertical="top"/>
    </xf>
    <xf numFmtId="0" fontId="84" fillId="26" borderId="30" xfId="0" applyFont="1" applyFill="1" applyBorder="1" applyAlignment="1">
      <alignment vertical="top"/>
    </xf>
    <xf numFmtId="9" fontId="84" fillId="26" borderId="30" xfId="0" applyNumberFormat="1" applyFont="1" applyFill="1" applyBorder="1" applyAlignment="1">
      <alignment vertical="top"/>
    </xf>
    <xf numFmtId="3" fontId="84" fillId="26" borderId="30" xfId="0" applyNumberFormat="1" applyFont="1" applyFill="1" applyBorder="1" applyAlignment="1">
      <alignment vertical="top"/>
    </xf>
    <xf numFmtId="2" fontId="5" fillId="0" borderId="0" xfId="1" applyNumberFormat="1" applyAlignment="1">
      <alignment horizontal="left"/>
    </xf>
    <xf numFmtId="0" fontId="5" fillId="0" borderId="0" xfId="1" applyNumberFormat="1" applyAlignment="1">
      <alignment horizontal="left"/>
    </xf>
    <xf numFmtId="1" fontId="5" fillId="0" borderId="0" xfId="1" applyNumberFormat="1" applyAlignment="1">
      <alignment horizontal="left"/>
    </xf>
    <xf numFmtId="0" fontId="5" fillId="0" borderId="0" xfId="1" applyFont="1"/>
    <xf numFmtId="186" fontId="5" fillId="0" borderId="0" xfId="1" applyNumberFormat="1" applyAlignment="1">
      <alignment horizontal="left"/>
    </xf>
    <xf numFmtId="49" fontId="5" fillId="0" borderId="0" xfId="1" applyNumberFormat="1"/>
    <xf numFmtId="0" fontId="0" fillId="26" borderId="35" xfId="0" applyFill="1" applyBorder="1" applyAlignment="1">
      <alignment vertical="top"/>
    </xf>
    <xf numFmtId="0" fontId="84" fillId="26" borderId="0" xfId="0" applyFont="1" applyFill="1" applyAlignment="1">
      <alignment vertical="top"/>
    </xf>
    <xf numFmtId="0" fontId="84" fillId="26" borderId="31" xfId="0" applyFont="1" applyFill="1" applyBorder="1" applyAlignment="1">
      <alignment vertical="top"/>
    </xf>
    <xf numFmtId="0" fontId="84" fillId="26" borderId="32" xfId="0" applyFont="1" applyFill="1" applyBorder="1" applyAlignment="1">
      <alignment vertical="top"/>
    </xf>
    <xf numFmtId="0" fontId="84" fillId="26" borderId="33" xfId="0" applyFont="1" applyFill="1" applyBorder="1" applyAlignment="1">
      <alignment vertical="top"/>
    </xf>
    <xf numFmtId="0" fontId="85" fillId="26" borderId="0" xfId="0" applyFont="1" applyFill="1" applyAlignment="1">
      <alignment vertical="top"/>
    </xf>
    <xf numFmtId="0" fontId="0" fillId="26" borderId="0" xfId="0" applyFill="1" applyAlignment="1">
      <alignment vertical="top"/>
    </xf>
    <xf numFmtId="0" fontId="0" fillId="26" borderId="34" xfId="0" applyFill="1" applyBorder="1" applyAlignment="1">
      <alignment vertical="top"/>
    </xf>
    <xf numFmtId="14" fontId="24" fillId="19" borderId="0" xfId="58" applyNumberFormat="1" applyFont="1" applyFill="1" applyBorder="1" applyAlignment="1">
      <alignment horizontal="center"/>
    </xf>
    <xf numFmtId="0" fontId="9" fillId="0" borderId="0" xfId="0" applyFont="1" applyAlignment="1">
      <alignment horizontal="center"/>
    </xf>
    <xf numFmtId="9" fontId="6" fillId="15" borderId="0" xfId="0" applyNumberFormat="1" applyFont="1" applyFill="1" applyBorder="1" applyAlignment="1">
      <alignment horizontal="center"/>
    </xf>
    <xf numFmtId="5" fontId="7" fillId="15" borderId="0" xfId="0" applyNumberFormat="1" applyFont="1" applyFill="1" applyBorder="1" applyAlignment="1">
      <alignment horizontal="center"/>
    </xf>
    <xf numFmtId="1" fontId="7" fillId="15" borderId="0" xfId="0" applyNumberFormat="1" applyFont="1" applyFill="1" applyBorder="1" applyAlignment="1">
      <alignment horizontal="center"/>
    </xf>
  </cellXfs>
  <cellStyles count="76">
    <cellStyle name=" 1" xfId="73"/>
    <cellStyle name="******************************************" xfId="2"/>
    <cellStyle name="_SUMMARY " xfId="3"/>
    <cellStyle name="0_Capex &amp; Depreciation " xfId="4"/>
    <cellStyle name="0_Valuing BP " xfId="5"/>
    <cellStyle name="20% - Accent1" xfId="6" builtinId="30" customBuiltin="1"/>
    <cellStyle name="20% - Accent2" xfId="7" builtinId="34" customBuiltin="1"/>
    <cellStyle name="20% - Accent3" xfId="8" builtinId="38" customBuiltin="1"/>
    <cellStyle name="20% - Accent4" xfId="9" builtinId="42" customBuiltin="1"/>
    <cellStyle name="20% - Accent5" xfId="10" builtinId="46" customBuiltin="1"/>
    <cellStyle name="20% - Accent6" xfId="11" builtinId="50" customBuiltin="1"/>
    <cellStyle name="40% - Accent1" xfId="12" builtinId="31" customBuiltin="1"/>
    <cellStyle name="40% - Accent2" xfId="13" builtinId="35" customBuiltin="1"/>
    <cellStyle name="40% - Accent3" xfId="14" builtinId="39" customBuiltin="1"/>
    <cellStyle name="40% - Accent4" xfId="15" builtinId="43" customBuiltin="1"/>
    <cellStyle name="40% - Accent5" xfId="16" builtinId="47" customBuiltin="1"/>
    <cellStyle name="40% - Accent6" xfId="17" builtinId="51" customBuiltin="1"/>
    <cellStyle name="60% - Accent1" xfId="18" builtinId="32" customBuiltin="1"/>
    <cellStyle name="60% - Accent2" xfId="19" builtinId="36" customBuiltin="1"/>
    <cellStyle name="60% - Accent3" xfId="20" builtinId="40" customBuiltin="1"/>
    <cellStyle name="60% - Accent4" xfId="21" builtinId="44" customBuiltin="1"/>
    <cellStyle name="60% - Accent5" xfId="22" builtinId="48" customBuiltin="1"/>
    <cellStyle name="60% - Accent6" xfId="23" builtinId="52" customBuiltin="1"/>
    <cellStyle name="Accent1" xfId="24" builtinId="29" customBuiltin="1"/>
    <cellStyle name="Accent2" xfId="25" builtinId="33" customBuiltin="1"/>
    <cellStyle name="Accent3" xfId="26" builtinId="37" customBuiltin="1"/>
    <cellStyle name="Accent4" xfId="27" builtinId="41" customBuiltin="1"/>
    <cellStyle name="Accent5" xfId="28" builtinId="45" customBuiltin="1"/>
    <cellStyle name="Accent6" xfId="29" builtinId="49" customBuiltin="1"/>
    <cellStyle name="Bad" xfId="30" builtinId="27" customBuiltin="1"/>
    <cellStyle name="c_HardInc " xfId="32"/>
    <cellStyle name="Calculation" xfId="33" builtinId="22" customBuiltin="1"/>
    <cellStyle name="Check Cell" xfId="34" builtinId="23" customBuiltin="1"/>
    <cellStyle name="Comma" xfId="35" builtinId="3"/>
    <cellStyle name="Comma 2" xfId="36"/>
    <cellStyle name="Comma 2 2" xfId="37"/>
    <cellStyle name="Comma 3" xfId="72"/>
    <cellStyle name="Currency" xfId="74" builtinId="4"/>
    <cellStyle name="Currency 2" xfId="31"/>
    <cellStyle name="Currency 3" xfId="38"/>
    <cellStyle name="Explanatory Text" xfId="39" builtinId="53" customBuiltin="1"/>
    <cellStyle name="Good" xfId="40" builtinId="26" customBuiltin="1"/>
    <cellStyle name="Heading 1" xfId="41" builtinId="16" customBuiltin="1"/>
    <cellStyle name="Heading 2" xfId="42" builtinId="17" customBuiltin="1"/>
    <cellStyle name="Heading 3" xfId="43" builtinId="18" customBuiltin="1"/>
    <cellStyle name="Heading 4" xfId="44" builtinId="19" customBuiltin="1"/>
    <cellStyle name="Input" xfId="46" builtinId="20" customBuiltin="1"/>
    <cellStyle name="Linked Cell" xfId="47" builtinId="24" customBuiltin="1"/>
    <cellStyle name="Neutral" xfId="48" builtinId="28" customBuiltin="1"/>
    <cellStyle name="Normal" xfId="0" builtinId="0"/>
    <cellStyle name="Normal 2" xfId="49"/>
    <cellStyle name="Normal 3" xfId="50"/>
    <cellStyle name="Normal 3 2" xfId="51"/>
    <cellStyle name="Normal 4" xfId="1"/>
    <cellStyle name="Normal_CF &amp; Bal Sheet" xfId="52"/>
    <cellStyle name="Normal_CF and Bal Sheet" xfId="53"/>
    <cellStyle name="Normal_DisclaimerSheet Samples" xfId="75"/>
    <cellStyle name="Normal_GM Demo" xfId="54"/>
    <cellStyle name="Normal_Inc Statement" xfId="55"/>
    <cellStyle name="Normal_Inc Statement_1" xfId="56"/>
    <cellStyle name="Normal_Inc Statement_1_Model" xfId="57"/>
    <cellStyle name="Normal_JBHTqq" xfId="58"/>
    <cellStyle name="Note" xfId="59" builtinId="10" customBuiltin="1"/>
    <cellStyle name="Output" xfId="60" builtinId="21" customBuiltin="1"/>
    <cellStyle name="p " xfId="61"/>
    <cellStyle name="Percent" xfId="62" builtinId="5"/>
    <cellStyle name="Percent 2" xfId="71"/>
    <cellStyle name="RRSInstruction" xfId="45"/>
    <cellStyle name="RRSInstruction 2" xfId="63"/>
    <cellStyle name="s_HardInc " xfId="64"/>
    <cellStyle name="s_Valuation " xfId="65"/>
    <cellStyle name="ssp " xfId="66"/>
    <cellStyle name="Style 32" xfId="70"/>
    <cellStyle name="Title" xfId="67" builtinId="15" customBuiltin="1"/>
    <cellStyle name="Total" xfId="68" builtinId="25" customBuiltin="1"/>
    <cellStyle name="Warning Text" xfId="69"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43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2.xml" Type="http://schemas.openxmlformats.org/officeDocument/2006/relationships/externalLink"/>
<Relationship Id="rId11" Target="externalLinks/externalLink3.xml" Type="http://schemas.openxmlformats.org/officeDocument/2006/relationships/externalLink"/>
<Relationship Id="rId12" Target="theme/theme1.xml" Type="http://schemas.openxmlformats.org/officeDocument/2006/relationships/theme"/>
<Relationship Id="rId13" Target="styles.xml" Type="http://schemas.openxmlformats.org/officeDocument/2006/relationships/styles"/>
<Relationship Id="rId14" Target="sharedStrings.xml" Type="http://schemas.openxmlformats.org/officeDocument/2006/relationships/sharedStrings"/>
<Relationship Id="rId15" Target="calcChain.xml" Type="http://schemas.openxmlformats.org/officeDocument/2006/relationships/calcChain"/>
<Relationship Id="rId16" Target="../customXml/item1.xml" Type="http://schemas.openxmlformats.org/officeDocument/2006/relationships/customXml"/>
<Relationship Id="rId17"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externalLinks/externalLink1.xml" Type="http://schemas.openxmlformats.org/officeDocument/2006/relationships/externalLink"/>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171</xdr:row>
      <xdr:rowOff>0</xdr:rowOff>
    </xdr:from>
    <xdr:to>
      <xdr:col>9</xdr:col>
      <xdr:colOff>114300</xdr:colOff>
      <xdr:row>194</xdr:row>
      <xdr:rowOff>104775</xdr:rowOff>
    </xdr:to>
    <xdr:pic>
      <xdr:nvPicPr>
        <xdr:cNvPr id="2017281" name="Picture 1" descr="C:\Users\sharpmat\AppData\Local\Temp\MercuryPriceRatingHistoryChart\JBLU.O_2018_04_16_02_01_3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6414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UTILITIES/Models/SRE/Published/SRE%20Model.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COP"/>
      <sheetName val="Income Statement"/>
      <sheetName val="Revenue&amp;EBIT"/>
      <sheetName val="Fin. Summary"/>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Valuation"/>
      <sheetName val="Financial"/>
      <sheetName val="AFOSHEET"/>
      <sheetName val="SRE"/>
      <sheetName val="SDG&amp;E"/>
      <sheetName val="SoCalGas"/>
      <sheetName val="Mexico"/>
      <sheetName val="South America"/>
      <sheetName val="Renewables"/>
      <sheetName val="Natural Gas"/>
      <sheetName val="Parent"/>
      <sheetName val="LNG Export"/>
      <sheetName val="Debt"/>
      <sheetName val="PTCs"/>
      <sheetName val="Market Prices"/>
      <sheetName val="mwareDates"/>
      <sheetName val="MW-Cache"/>
      <sheetName val="mwareSettings"/>
      <sheetName val="MWA RR"/>
      <sheetName val="Sheet1"/>
      <sheetName val="SRE Model"/>
      <sheetName val="Associated"/>
      <sheetName val="Input-Notes"/>
      <sheetName val="Corp_Elims"/>
      <sheetName val="FBO"/>
      <sheetName val="Garrett"/>
      <sheetName val="PH"/>
      <sheetName val="PHHI"/>
      <sheetName val="MWA Lease"/>
    </sheetNames>
    <sheetDataSet>
      <sheetData sheetId="0"/>
      <sheetData sheetId="1"/>
      <sheetData sheetId="2">
        <row r="37">
          <cell r="BE37">
            <v>127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CENMODEL"/>
      <sheetName val="Monthly figures"/>
      <sheetName val="Consolidated"/>
      <sheetName val="Customize Your Statement"/>
      <sheetName val="DOMNETREV1002B"/>
      <sheetName val="Cash flow"/>
      <sheetName val="Profit &amp; Loss"/>
      <sheetName val="Inputs, sensitivity &amp; val"/>
      <sheetName val="c1"/>
      <sheetName val="KQ"/>
      <sheetName val="Sainsbury"/>
    </sheetNames>
    <definedNam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B1" t="s">
        <v>261</v>
      </c>
    </row>
  </sheetData>
  <phoneticPr fontId="9"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8"/>
  <sheetViews>
    <sheetView showGridLines="0" tabSelected="1" workbookViewId="0">
      <selection activeCell="Z1" sqref="Z1"/>
    </sheetView>
  </sheetViews>
  <sheetFormatPr defaultRowHeight="12.75" x14ac:dyDescent="0.2"/>
  <cols>
    <col min="1" max="1" width="25.83203125" style="877" customWidth="1"/>
    <col min="2" max="5" width="9.33203125" style="877"/>
    <col min="6" max="6" width="18.83203125" style="877" customWidth="1"/>
    <col min="7" max="256" width="9.33203125" style="877"/>
    <col min="257" max="257" width="117.5" style="877" customWidth="1"/>
    <col min="258" max="512" width="9.33203125" style="877"/>
    <col min="513" max="513" width="117.5" style="877" customWidth="1"/>
    <col min="514" max="768" width="9.33203125" style="877"/>
    <col min="769" max="769" width="117.5" style="877" customWidth="1"/>
    <col min="770" max="1024" width="9.33203125" style="877"/>
    <col min="1025" max="1025" width="117.5" style="877" customWidth="1"/>
    <col min="1026" max="1280" width="9.33203125" style="877"/>
    <col min="1281" max="1281" width="117.5" style="877" customWidth="1"/>
    <col min="1282" max="1536" width="9.33203125" style="877"/>
    <col min="1537" max="1537" width="117.5" style="877" customWidth="1"/>
    <col min="1538" max="1792" width="9.33203125" style="877"/>
    <col min="1793" max="1793" width="117.5" style="877" customWidth="1"/>
    <col min="1794" max="2048" width="9.33203125" style="877"/>
    <col min="2049" max="2049" width="117.5" style="877" customWidth="1"/>
    <col min="2050" max="2304" width="9.33203125" style="877"/>
    <col min="2305" max="2305" width="117.5" style="877" customWidth="1"/>
    <col min="2306" max="2560" width="9.33203125" style="877"/>
    <col min="2561" max="2561" width="117.5" style="877" customWidth="1"/>
    <col min="2562" max="2816" width="9.33203125" style="877"/>
    <col min="2817" max="2817" width="117.5" style="877" customWidth="1"/>
    <col min="2818" max="3072" width="9.33203125" style="877"/>
    <col min="3073" max="3073" width="117.5" style="877" customWidth="1"/>
    <col min="3074" max="3328" width="9.33203125" style="877"/>
    <col min="3329" max="3329" width="117.5" style="877" customWidth="1"/>
    <col min="3330" max="3584" width="9.33203125" style="877"/>
    <col min="3585" max="3585" width="117.5" style="877" customWidth="1"/>
    <col min="3586" max="3840" width="9.33203125" style="877"/>
    <col min="3841" max="3841" width="117.5" style="877" customWidth="1"/>
    <col min="3842" max="4096" width="9.33203125" style="877"/>
    <col min="4097" max="4097" width="117.5" style="877" customWidth="1"/>
    <col min="4098" max="4352" width="9.33203125" style="877"/>
    <col min="4353" max="4353" width="117.5" style="877" customWidth="1"/>
    <col min="4354" max="4608" width="9.33203125" style="877"/>
    <col min="4609" max="4609" width="117.5" style="877" customWidth="1"/>
    <col min="4610" max="4864" width="9.33203125" style="877"/>
    <col min="4865" max="4865" width="117.5" style="877" customWidth="1"/>
    <col min="4866" max="5120" width="9.33203125" style="877"/>
    <col min="5121" max="5121" width="117.5" style="877" customWidth="1"/>
    <col min="5122" max="5376" width="9.33203125" style="877"/>
    <col min="5377" max="5377" width="117.5" style="877" customWidth="1"/>
    <col min="5378" max="5632" width="9.33203125" style="877"/>
    <col min="5633" max="5633" width="117.5" style="877" customWidth="1"/>
    <col min="5634" max="5888" width="9.33203125" style="877"/>
    <col min="5889" max="5889" width="117.5" style="877" customWidth="1"/>
    <col min="5890" max="6144" width="9.33203125" style="877"/>
    <col min="6145" max="6145" width="117.5" style="877" customWidth="1"/>
    <col min="6146" max="6400" width="9.33203125" style="877"/>
    <col min="6401" max="6401" width="117.5" style="877" customWidth="1"/>
    <col min="6402" max="6656" width="9.33203125" style="877"/>
    <col min="6657" max="6657" width="117.5" style="877" customWidth="1"/>
    <col min="6658" max="6912" width="9.33203125" style="877"/>
    <col min="6913" max="6913" width="117.5" style="877" customWidth="1"/>
    <col min="6914" max="7168" width="9.33203125" style="877"/>
    <col min="7169" max="7169" width="117.5" style="877" customWidth="1"/>
    <col min="7170" max="7424" width="9.33203125" style="877"/>
    <col min="7425" max="7425" width="117.5" style="877" customWidth="1"/>
    <col min="7426" max="7680" width="9.33203125" style="877"/>
    <col min="7681" max="7681" width="117.5" style="877" customWidth="1"/>
    <col min="7682" max="7936" width="9.33203125" style="877"/>
    <col min="7937" max="7937" width="117.5" style="877" customWidth="1"/>
    <col min="7938" max="8192" width="9.33203125" style="877"/>
    <col min="8193" max="8193" width="117.5" style="877" customWidth="1"/>
    <col min="8194" max="8448" width="9.33203125" style="877"/>
    <col min="8449" max="8449" width="117.5" style="877" customWidth="1"/>
    <col min="8450" max="8704" width="9.33203125" style="877"/>
    <col min="8705" max="8705" width="117.5" style="877" customWidth="1"/>
    <col min="8706" max="8960" width="9.33203125" style="877"/>
    <col min="8961" max="8961" width="117.5" style="877" customWidth="1"/>
    <col min="8962" max="9216" width="9.33203125" style="877"/>
    <col min="9217" max="9217" width="117.5" style="877" customWidth="1"/>
    <col min="9218" max="9472" width="9.33203125" style="877"/>
    <col min="9473" max="9473" width="117.5" style="877" customWidth="1"/>
    <col min="9474" max="9728" width="9.33203125" style="877"/>
    <col min="9729" max="9729" width="117.5" style="877" customWidth="1"/>
    <col min="9730" max="9984" width="9.33203125" style="877"/>
    <col min="9985" max="9985" width="117.5" style="877" customWidth="1"/>
    <col min="9986" max="10240" width="9.33203125" style="877"/>
    <col min="10241" max="10241" width="117.5" style="877" customWidth="1"/>
    <col min="10242" max="10496" width="9.33203125" style="877"/>
    <col min="10497" max="10497" width="117.5" style="877" customWidth="1"/>
    <col min="10498" max="10752" width="9.33203125" style="877"/>
    <col min="10753" max="10753" width="117.5" style="877" customWidth="1"/>
    <col min="10754" max="11008" width="9.33203125" style="877"/>
    <col min="11009" max="11009" width="117.5" style="877" customWidth="1"/>
    <col min="11010" max="11264" width="9.33203125" style="877"/>
    <col min="11265" max="11265" width="117.5" style="877" customWidth="1"/>
    <col min="11266" max="11520" width="9.33203125" style="877"/>
    <col min="11521" max="11521" width="117.5" style="877" customWidth="1"/>
    <col min="11522" max="11776" width="9.33203125" style="877"/>
    <col min="11777" max="11777" width="117.5" style="877" customWidth="1"/>
    <col min="11778" max="12032" width="9.33203125" style="877"/>
    <col min="12033" max="12033" width="117.5" style="877" customWidth="1"/>
    <col min="12034" max="12288" width="9.33203125" style="877"/>
    <col min="12289" max="12289" width="117.5" style="877" customWidth="1"/>
    <col min="12290" max="12544" width="9.33203125" style="877"/>
    <col min="12545" max="12545" width="117.5" style="877" customWidth="1"/>
    <col min="12546" max="12800" width="9.33203125" style="877"/>
    <col min="12801" max="12801" width="117.5" style="877" customWidth="1"/>
    <col min="12802" max="13056" width="9.33203125" style="877"/>
    <col min="13057" max="13057" width="117.5" style="877" customWidth="1"/>
    <col min="13058" max="13312" width="9.33203125" style="877"/>
    <col min="13313" max="13313" width="117.5" style="877" customWidth="1"/>
    <col min="13314" max="13568" width="9.33203125" style="877"/>
    <col min="13569" max="13569" width="117.5" style="877" customWidth="1"/>
    <col min="13570" max="13824" width="9.33203125" style="877"/>
    <col min="13825" max="13825" width="117.5" style="877" customWidth="1"/>
    <col min="13826" max="14080" width="9.33203125" style="877"/>
    <col min="14081" max="14081" width="117.5" style="877" customWidth="1"/>
    <col min="14082" max="14336" width="9.33203125" style="877"/>
    <col min="14337" max="14337" width="117.5" style="877" customWidth="1"/>
    <col min="14338" max="14592" width="9.33203125" style="877"/>
    <col min="14593" max="14593" width="117.5" style="877" customWidth="1"/>
    <col min="14594" max="14848" width="9.33203125" style="877"/>
    <col min="14849" max="14849" width="117.5" style="877" customWidth="1"/>
    <col min="14850" max="15104" width="9.33203125" style="877"/>
    <col min="15105" max="15105" width="117.5" style="877" customWidth="1"/>
    <col min="15106" max="15360" width="9.33203125" style="877"/>
    <col min="15361" max="15361" width="117.5" style="877" customWidth="1"/>
    <col min="15362" max="15616" width="9.33203125" style="877"/>
    <col min="15617" max="15617" width="117.5" style="877" customWidth="1"/>
    <col min="15618" max="15872" width="9.33203125" style="877"/>
    <col min="15873" max="15873" width="117.5" style="877" customWidth="1"/>
    <col min="15874" max="16128" width="9.33203125" style="877"/>
    <col min="16129" max="16129" width="117.5" style="877" customWidth="1"/>
    <col min="16130" max="16384" width="9.33203125" style="877"/>
  </cols>
  <sheetData>
    <row r="1" spans="1:8" ht="30" customHeight="1" x14ac:dyDescent="0.2">
      <c r="A1" s="875"/>
      <c r="B1" s="876"/>
      <c r="C1" s="876"/>
      <c r="D1" s="876"/>
      <c r="E1" s="876"/>
      <c r="F1" s="876"/>
      <c r="G1" s="876"/>
      <c r="H1" s="876"/>
    </row>
    <row r="2" spans="1:8" ht="14.25" x14ac:dyDescent="0.2">
      <c r="A2" s="878" t="s">
        <v>513</v>
      </c>
      <c r="B2" s="876"/>
      <c r="C2" s="876"/>
      <c r="D2" s="876"/>
      <c r="E2" s="876"/>
      <c r="F2" s="876"/>
      <c r="G2" s="876"/>
      <c r="H2" s="876"/>
    </row>
    <row r="3" spans="1:8" ht="14.25" x14ac:dyDescent="0.2">
      <c r="A3" s="878" t="s">
        <v>514</v>
      </c>
      <c r="B3" s="876"/>
      <c r="C3" s="876"/>
      <c r="D3" s="876"/>
      <c r="E3" s="876"/>
      <c r="F3" s="876"/>
      <c r="G3" s="876"/>
      <c r="H3" s="876"/>
    </row>
    <row r="4" spans="1:8" ht="14.25" x14ac:dyDescent="0.2">
      <c r="A4" s="878" t="s">
        <v>515</v>
      </c>
      <c r="B4" s="876"/>
      <c r="C4" s="876"/>
      <c r="D4" s="876"/>
      <c r="E4" s="876"/>
      <c r="F4" s="876"/>
      <c r="G4" s="876"/>
      <c r="H4" s="876"/>
    </row>
    <row r="5" spans="1:8" ht="14.25" x14ac:dyDescent="0.2">
      <c r="A5" s="878" t="s">
        <v>516</v>
      </c>
      <c r="B5" s="876"/>
      <c r="C5" s="876"/>
      <c r="D5" s="876"/>
      <c r="E5" s="876"/>
      <c r="F5" s="876"/>
      <c r="G5" s="876"/>
      <c r="H5" s="876"/>
    </row>
    <row r="6" spans="1:8" ht="14.25" x14ac:dyDescent="0.2">
      <c r="A6" s="878"/>
      <c r="B6" s="876"/>
      <c r="C6" s="876"/>
      <c r="D6" s="876"/>
      <c r="E6" s="876"/>
      <c r="F6" s="876"/>
      <c r="G6" s="876"/>
      <c r="H6" s="876"/>
    </row>
    <row r="7" spans="1:8" x14ac:dyDescent="0.2">
      <c r="A7" s="875" t="s">
        <v>517</v>
      </c>
      <c r="B7" s="876"/>
      <c r="C7" s="876"/>
      <c r="D7" s="876"/>
      <c r="E7" s="876"/>
      <c r="F7" s="876"/>
      <c r="G7" s="876"/>
      <c r="H7" s="876"/>
    </row>
    <row r="8" spans="1:8" x14ac:dyDescent="0.2">
      <c r="A8" s="875" t="s">
        <v>518</v>
      </c>
      <c r="B8" s="876"/>
      <c r="C8" s="876"/>
      <c r="D8" s="876"/>
      <c r="E8" s="876"/>
      <c r="F8" s="876"/>
      <c r="G8" s="876"/>
      <c r="H8" s="876"/>
    </row>
    <row r="9" spans="1:8" x14ac:dyDescent="0.2">
      <c r="A9" s="875"/>
      <c r="B9" s="876"/>
      <c r="C9" s="876"/>
      <c r="D9" s="876"/>
      <c r="E9" s="876"/>
      <c r="F9" s="876"/>
      <c r="G9" s="876"/>
      <c r="H9" s="876"/>
    </row>
    <row r="10" spans="1:8" x14ac:dyDescent="0.2">
      <c r="A10" s="879" t="s">
        <v>519</v>
      </c>
      <c r="B10" s="876"/>
      <c r="C10" s="876"/>
      <c r="D10" s="876"/>
      <c r="E10" s="876"/>
      <c r="F10" s="876"/>
      <c r="G10" s="876"/>
      <c r="H10" s="876"/>
    </row>
    <row r="11" spans="1:8" x14ac:dyDescent="0.2">
      <c r="A11" s="879" t="s">
        <v>520</v>
      </c>
      <c r="B11" s="876"/>
      <c r="C11" s="876"/>
      <c r="D11" s="876"/>
      <c r="E11" s="876"/>
      <c r="F11" s="876"/>
      <c r="G11" s="876"/>
      <c r="H11" s="876"/>
    </row>
    <row r="12" spans="1:8" x14ac:dyDescent="0.2">
      <c r="A12" s="879" t="s">
        <v>521</v>
      </c>
      <c r="B12" s="876"/>
      <c r="C12" s="876"/>
      <c r="D12" s="876"/>
      <c r="E12" s="876"/>
      <c r="F12" s="876"/>
      <c r="G12" s="876"/>
      <c r="H12" s="876"/>
    </row>
    <row r="13" spans="1:8" x14ac:dyDescent="0.2">
      <c r="A13" s="879" t="s">
        <v>522</v>
      </c>
      <c r="B13" s="876"/>
      <c r="C13" s="876"/>
      <c r="D13" s="876"/>
      <c r="E13" s="876"/>
      <c r="F13" s="876"/>
      <c r="G13" s="876"/>
      <c r="H13" s="876"/>
    </row>
    <row r="14" spans="1:8" x14ac:dyDescent="0.2">
      <c r="A14" s="879" t="s">
        <v>523</v>
      </c>
      <c r="B14" s="876"/>
      <c r="C14" s="876"/>
      <c r="D14" s="876"/>
      <c r="E14" s="876"/>
      <c r="F14" s="876"/>
      <c r="G14" s="876"/>
      <c r="H14" s="876"/>
    </row>
    <row r="15" spans="1:8" x14ac:dyDescent="0.2">
      <c r="A15" s="879" t="s">
        <v>524</v>
      </c>
      <c r="B15" s="876"/>
      <c r="C15" s="876"/>
      <c r="D15" s="876"/>
      <c r="E15" s="876"/>
      <c r="F15" s="876"/>
      <c r="G15" s="876"/>
      <c r="H15" s="876"/>
    </row>
    <row r="16" spans="1:8" x14ac:dyDescent="0.2">
      <c r="A16" s="879"/>
      <c r="B16" s="876"/>
      <c r="C16" s="876"/>
      <c r="D16" s="876"/>
      <c r="E16" s="876"/>
      <c r="F16" s="876"/>
      <c r="G16" s="876"/>
      <c r="H16" s="876"/>
    </row>
    <row r="17" spans="1:8" x14ac:dyDescent="0.2">
      <c r="A17" s="879" t="s">
        <v>510</v>
      </c>
      <c r="B17" s="876"/>
      <c r="C17" s="876"/>
      <c r="D17" s="876"/>
      <c r="E17" s="876"/>
      <c r="F17" s="876"/>
      <c r="G17" s="876"/>
      <c r="H17" s="876"/>
    </row>
    <row r="18" spans="1:8" x14ac:dyDescent="0.2">
      <c r="A18" s="879"/>
      <c r="B18" s="876"/>
      <c r="C18" s="876"/>
      <c r="D18" s="876"/>
      <c r="E18" s="876"/>
      <c r="F18" s="876"/>
      <c r="G18" s="876"/>
      <c r="H18" s="876"/>
    </row>
    <row r="19" spans="1:8" x14ac:dyDescent="0.2">
      <c r="A19" s="879" t="s">
        <v>511</v>
      </c>
      <c r="B19" s="876"/>
      <c r="C19" s="876"/>
      <c r="D19" s="876"/>
      <c r="E19" s="876"/>
      <c r="F19" s="876"/>
      <c r="G19" s="876"/>
      <c r="H19" s="876"/>
    </row>
    <row r="20" spans="1:8" x14ac:dyDescent="0.2">
      <c r="A20" s="875"/>
      <c r="B20" s="876"/>
      <c r="C20" s="876"/>
      <c r="D20" s="876"/>
      <c r="E20" s="876"/>
      <c r="F20" s="876"/>
      <c r="G20" s="876"/>
      <c r="H20" s="876"/>
    </row>
    <row r="21" spans="1:8" x14ac:dyDescent="0.2">
      <c r="A21" s="880" t="s">
        <v>512</v>
      </c>
      <c r="B21" s="876"/>
      <c r="C21" s="876"/>
      <c r="D21" s="876"/>
      <c r="E21" s="876"/>
      <c r="F21" s="876"/>
      <c r="G21" s="876"/>
      <c r="H21" s="876"/>
    </row>
    <row r="22" spans="1:8" x14ac:dyDescent="0.2">
      <c r="A22" s="881"/>
      <c r="B22" s="881"/>
      <c r="C22" s="881"/>
      <c r="D22" s="881"/>
      <c r="E22" s="881"/>
      <c r="F22" s="881"/>
      <c r="G22" s="881"/>
      <c r="H22" s="881"/>
    </row>
    <row r="23" spans="1:8" x14ac:dyDescent="0.2">
      <c r="A23" s="882" t="s">
        <v>800</v>
      </c>
      <c r="B23" s="881"/>
      <c r="C23" s="881"/>
      <c r="D23" s="881"/>
      <c r="E23" s="881"/>
      <c r="F23" s="881"/>
      <c r="G23" s="881"/>
      <c r="H23" s="881"/>
    </row>
    <row r="24" spans="1:8" x14ac:dyDescent="0.2">
      <c r="A24" s="882" t="s">
        <v>801</v>
      </c>
      <c r="B24" s="881"/>
      <c r="C24" s="881"/>
      <c r="D24" s="881"/>
      <c r="E24" s="881"/>
      <c r="F24" s="881"/>
      <c r="G24" s="881"/>
      <c r="H24" s="881"/>
    </row>
    <row r="25" spans="1:8" x14ac:dyDescent="0.2">
      <c r="A25" s="882" t="s">
        <v>802</v>
      </c>
      <c r="B25" s="881"/>
      <c r="C25" s="881"/>
      <c r="D25" s="881"/>
      <c r="E25" s="881"/>
      <c r="F25" s="881"/>
      <c r="G25" s="881"/>
      <c r="H25" s="881"/>
    </row>
    <row r="26" spans="1:8" x14ac:dyDescent="0.2">
      <c r="A26" s="882" t="s">
        <v>803</v>
      </c>
      <c r="B26" s="881"/>
      <c r="C26" s="881"/>
      <c r="D26" s="881"/>
      <c r="E26" s="881"/>
      <c r="F26" s="881"/>
      <c r="G26" s="881"/>
      <c r="H26" s="881"/>
    </row>
    <row r="27" spans="1:8" x14ac:dyDescent="0.2">
      <c r="A27" s="881"/>
      <c r="B27" s="881"/>
      <c r="C27" s="881"/>
      <c r="D27" s="881"/>
      <c r="E27" s="881"/>
      <c r="F27" s="881"/>
      <c r="G27" s="881"/>
      <c r="H27" s="881"/>
    </row>
    <row r="28" spans="1:8" x14ac:dyDescent="0.2">
      <c r="A28" s="881"/>
      <c r="B28" s="881"/>
      <c r="C28" s="881"/>
      <c r="D28" s="881"/>
      <c r="E28" s="881"/>
      <c r="F28" s="881"/>
      <c r="G28" s="881"/>
      <c r="H28" s="881"/>
    </row>
    <row r="29" spans="1:8" x14ac:dyDescent="0.2">
      <c r="A29" s="882" t="s">
        <v>795</v>
      </c>
      <c r="B29" s="881"/>
      <c r="C29" s="881"/>
      <c r="D29" s="881"/>
      <c r="E29" s="881"/>
      <c r="F29" s="881"/>
      <c r="G29" s="881"/>
      <c r="H29" s="881"/>
    </row>
    <row r="30" spans="1:8" x14ac:dyDescent="0.2">
      <c r="A30" s="882" t="s">
        <v>796</v>
      </c>
      <c r="B30" s="881"/>
      <c r="C30" s="881"/>
      <c r="D30" s="881"/>
      <c r="E30" s="881"/>
      <c r="F30" s="881"/>
      <c r="G30" s="881"/>
      <c r="H30" s="881"/>
    </row>
    <row r="31" spans="1:8" x14ac:dyDescent="0.2">
      <c r="A31" s="882" t="s">
        <v>797</v>
      </c>
      <c r="B31" s="881"/>
      <c r="C31" s="881"/>
      <c r="D31" s="881"/>
      <c r="E31" s="881"/>
      <c r="F31" s="881"/>
      <c r="G31" s="881"/>
      <c r="H31" s="881"/>
    </row>
    <row r="32" spans="1:8" x14ac:dyDescent="0.2">
      <c r="A32" s="882" t="s">
        <v>798</v>
      </c>
      <c r="B32" s="881"/>
      <c r="C32" s="881"/>
      <c r="D32" s="881"/>
      <c r="E32" s="881"/>
      <c r="F32" s="881"/>
      <c r="G32" s="881"/>
      <c r="H32" s="881"/>
    </row>
    <row r="33" spans="1:8" x14ac:dyDescent="0.2">
      <c r="A33" s="882" t="s">
        <v>799</v>
      </c>
      <c r="B33" s="881"/>
      <c r="C33" s="881"/>
      <c r="D33" s="881"/>
      <c r="E33" s="881"/>
      <c r="F33" s="881"/>
      <c r="G33" s="881"/>
      <c r="H33" s="881"/>
    </row>
    <row r="34" spans="1:8" x14ac:dyDescent="0.2">
      <c r="A34" s="881"/>
      <c r="B34" s="881"/>
      <c r="C34" s="881"/>
      <c r="D34" s="881"/>
      <c r="E34" s="881"/>
      <c r="F34" s="881"/>
      <c r="G34" s="881"/>
      <c r="H34" s="881"/>
    </row>
    <row r="35" spans="1:8" x14ac:dyDescent="0.2">
      <c r="A35" s="882" t="s">
        <v>791</v>
      </c>
      <c r="B35" s="881"/>
      <c r="C35" s="881"/>
      <c r="D35" s="881"/>
      <c r="E35" s="881"/>
      <c r="F35" s="881"/>
      <c r="G35" s="881"/>
      <c r="H35" s="881"/>
    </row>
    <row r="36" spans="1:8" x14ac:dyDescent="0.2">
      <c r="A36" s="882" t="s">
        <v>792</v>
      </c>
      <c r="B36" s="881"/>
      <c r="C36" s="881"/>
      <c r="D36" s="881"/>
      <c r="E36" s="881"/>
      <c r="F36" s="881"/>
      <c r="G36" s="881"/>
      <c r="H36" s="881"/>
    </row>
    <row r="37" spans="1:8" x14ac:dyDescent="0.2">
      <c r="A37" s="882" t="s">
        <v>793</v>
      </c>
      <c r="B37" s="881"/>
      <c r="C37" s="881"/>
      <c r="D37" s="881"/>
      <c r="E37" s="881"/>
      <c r="F37" s="881"/>
      <c r="G37" s="881"/>
      <c r="H37" s="881"/>
    </row>
    <row r="38" spans="1:8" x14ac:dyDescent="0.2">
      <c r="A38" s="882" t="s">
        <v>794</v>
      </c>
      <c r="B38" s="881"/>
      <c r="C38" s="881"/>
      <c r="D38" s="881"/>
      <c r="E38" s="881"/>
      <c r="F38" s="881"/>
      <c r="G38" s="881"/>
      <c r="H38" s="881"/>
    </row>
    <row r="39" spans="1:8" x14ac:dyDescent="0.2">
      <c r="A39" s="881"/>
      <c r="B39" s="881"/>
      <c r="C39" s="881"/>
      <c r="D39" s="881"/>
      <c r="E39" s="881"/>
      <c r="F39" s="881"/>
      <c r="G39" s="881"/>
      <c r="H39" s="881"/>
    </row>
    <row r="40" spans="1:8" x14ac:dyDescent="0.2">
      <c r="A40" s="882" t="s">
        <v>785</v>
      </c>
      <c r="B40" s="881"/>
      <c r="C40" s="881"/>
      <c r="D40" s="881"/>
      <c r="E40" s="881"/>
      <c r="F40" s="881"/>
      <c r="G40" s="881"/>
      <c r="H40" s="881"/>
    </row>
    <row r="41" spans="1:8" x14ac:dyDescent="0.2">
      <c r="A41" s="882" t="s">
        <v>786</v>
      </c>
      <c r="B41" s="881"/>
      <c r="C41" s="881"/>
      <c r="D41" s="881"/>
      <c r="E41" s="881"/>
      <c r="F41" s="881"/>
      <c r="G41" s="881"/>
      <c r="H41" s="881"/>
    </row>
    <row r="42" spans="1:8" x14ac:dyDescent="0.2">
      <c r="A42" s="882" t="s">
        <v>787</v>
      </c>
      <c r="B42" s="881"/>
      <c r="C42" s="881"/>
      <c r="D42" s="881"/>
      <c r="E42" s="881"/>
      <c r="F42" s="881"/>
      <c r="G42" s="881"/>
      <c r="H42" s="881"/>
    </row>
    <row r="43" spans="1:8" x14ac:dyDescent="0.2">
      <c r="A43" s="882" t="s">
        <v>788</v>
      </c>
      <c r="B43" s="881"/>
      <c r="C43" s="881"/>
      <c r="D43" s="881"/>
      <c r="E43" s="881"/>
      <c r="F43" s="881"/>
      <c r="G43" s="881"/>
      <c r="H43" s="881"/>
    </row>
    <row r="44" spans="1:8" x14ac:dyDescent="0.2">
      <c r="A44" s="882" t="s">
        <v>789</v>
      </c>
      <c r="B44" s="881"/>
      <c r="C44" s="881"/>
      <c r="D44" s="881"/>
      <c r="E44" s="881"/>
      <c r="F44" s="881"/>
      <c r="G44" s="881"/>
      <c r="H44" s="881"/>
    </row>
    <row r="45" spans="1:8" x14ac:dyDescent="0.2">
      <c r="A45" s="882" t="s">
        <v>790</v>
      </c>
      <c r="B45" s="881"/>
      <c r="C45" s="881"/>
      <c r="D45" s="881"/>
      <c r="E45" s="881"/>
      <c r="F45" s="881"/>
      <c r="G45" s="881"/>
      <c r="H45" s="881"/>
    </row>
    <row r="46" spans="1:8" x14ac:dyDescent="0.2">
      <c r="A46" s="881"/>
      <c r="B46" s="881"/>
      <c r="C46" s="881"/>
      <c r="D46" s="881"/>
      <c r="E46" s="881"/>
      <c r="F46" s="881"/>
      <c r="G46" s="881"/>
      <c r="H46" s="881"/>
    </row>
    <row r="47" spans="1:8" ht="15.75" x14ac:dyDescent="0.2">
      <c r="A47" s="883" t="s">
        <v>525</v>
      </c>
      <c r="B47" s="881"/>
      <c r="C47" s="881"/>
      <c r="D47" s="881"/>
      <c r="E47" s="881"/>
      <c r="F47" s="881"/>
      <c r="G47" s="881"/>
      <c r="H47" s="881"/>
    </row>
    <row r="48" spans="1:8" x14ac:dyDescent="0.2">
      <c r="A48" s="881"/>
      <c r="B48" s="881"/>
      <c r="C48" s="881"/>
      <c r="D48" s="881"/>
      <c r="E48" s="881"/>
      <c r="F48" s="881"/>
      <c r="G48" s="881"/>
      <c r="H48" s="881"/>
    </row>
    <row r="49" spans="1:8" x14ac:dyDescent="0.2">
      <c r="A49" s="882" t="s">
        <v>781</v>
      </c>
      <c r="B49" s="881"/>
      <c r="C49" s="881"/>
      <c r="D49" s="881"/>
      <c r="E49" s="881"/>
      <c r="F49" s="881"/>
      <c r="G49" s="881"/>
      <c r="H49" s="881"/>
    </row>
    <row r="50" spans="1:8" x14ac:dyDescent="0.2">
      <c r="A50" s="882" t="s">
        <v>782</v>
      </c>
      <c r="B50" s="881"/>
      <c r="C50" s="881"/>
      <c r="D50" s="881"/>
      <c r="E50" s="881"/>
      <c r="F50" s="881"/>
      <c r="G50" s="881"/>
      <c r="H50" s="881"/>
    </row>
    <row r="51" spans="1:8" x14ac:dyDescent="0.2">
      <c r="A51" s="882" t="s">
        <v>783</v>
      </c>
      <c r="B51" s="881"/>
      <c r="C51" s="881"/>
      <c r="D51" s="881"/>
      <c r="E51" s="881"/>
      <c r="F51" s="881"/>
      <c r="G51" s="881"/>
      <c r="H51" s="881"/>
    </row>
    <row r="52" spans="1:8" x14ac:dyDescent="0.2">
      <c r="A52" s="882" t="s">
        <v>784</v>
      </c>
      <c r="B52" s="881"/>
      <c r="C52" s="881"/>
      <c r="D52" s="881"/>
      <c r="E52" s="881"/>
      <c r="F52" s="881"/>
      <c r="G52" s="881"/>
      <c r="H52" s="881"/>
    </row>
    <row r="53" spans="1:8" x14ac:dyDescent="0.2">
      <c r="A53" s="881"/>
      <c r="B53" s="881"/>
      <c r="C53" s="881"/>
      <c r="D53" s="881"/>
      <c r="E53" s="881"/>
      <c r="F53" s="881"/>
      <c r="G53" s="881"/>
      <c r="H53" s="881"/>
    </row>
    <row r="54" spans="1:8" x14ac:dyDescent="0.2">
      <c r="A54" s="882" t="s">
        <v>526</v>
      </c>
      <c r="B54" s="881"/>
      <c r="C54" s="881"/>
      <c r="D54" s="881"/>
      <c r="E54" s="881"/>
      <c r="F54" s="881"/>
      <c r="G54" s="881"/>
      <c r="H54" s="881"/>
    </row>
    <row r="55" spans="1:8" x14ac:dyDescent="0.2">
      <c r="A55" s="881"/>
      <c r="B55" s="881"/>
      <c r="C55" s="881"/>
      <c r="D55" s="881"/>
      <c r="E55" s="881"/>
      <c r="F55" s="881"/>
      <c r="G55" s="881"/>
      <c r="H55" s="881"/>
    </row>
    <row r="56" spans="1:8" ht="15.75" x14ac:dyDescent="0.2">
      <c r="A56" s="883" t="s">
        <v>527</v>
      </c>
      <c r="B56" s="881"/>
      <c r="C56" s="881"/>
      <c r="D56" s="881"/>
      <c r="E56" s="881"/>
      <c r="F56" s="881"/>
      <c r="G56" s="881"/>
      <c r="H56" s="881"/>
    </row>
    <row r="57" spans="1:8" x14ac:dyDescent="0.2">
      <c r="A57" s="881"/>
      <c r="B57" s="881"/>
      <c r="C57" s="881"/>
      <c r="D57" s="881"/>
      <c r="E57" s="881"/>
      <c r="F57" s="881"/>
      <c r="G57" s="881"/>
      <c r="H57" s="881"/>
    </row>
    <row r="58" spans="1:8" x14ac:dyDescent="0.2">
      <c r="A58" s="882" t="s">
        <v>779</v>
      </c>
      <c r="B58" s="881"/>
      <c r="C58" s="881"/>
      <c r="D58" s="881"/>
      <c r="E58" s="881"/>
      <c r="F58" s="881"/>
      <c r="G58" s="881"/>
      <c r="H58" s="881"/>
    </row>
    <row r="59" spans="1:8" x14ac:dyDescent="0.2">
      <c r="A59" s="882" t="s">
        <v>780</v>
      </c>
      <c r="B59" s="881"/>
      <c r="C59" s="881"/>
      <c r="D59" s="881"/>
      <c r="E59" s="881"/>
      <c r="F59" s="881"/>
      <c r="G59" s="881"/>
      <c r="H59" s="881"/>
    </row>
    <row r="60" spans="1:8" x14ac:dyDescent="0.2">
      <c r="A60" s="881"/>
      <c r="B60" s="881"/>
      <c r="C60" s="881"/>
      <c r="D60" s="881"/>
      <c r="E60" s="881"/>
      <c r="F60" s="881"/>
      <c r="G60" s="881"/>
      <c r="H60" s="881"/>
    </row>
    <row r="61" spans="1:8" ht="15.75" x14ac:dyDescent="0.2">
      <c r="A61" s="883" t="s">
        <v>528</v>
      </c>
      <c r="B61" s="881"/>
      <c r="C61" s="881"/>
      <c r="D61" s="881"/>
      <c r="E61" s="881"/>
      <c r="F61" s="881"/>
      <c r="G61" s="881"/>
      <c r="H61" s="881"/>
    </row>
    <row r="62" spans="1:8" x14ac:dyDescent="0.2">
      <c r="A62" s="881"/>
      <c r="B62" s="881"/>
      <c r="C62" s="881"/>
      <c r="D62" s="881"/>
      <c r="E62" s="881"/>
      <c r="F62" s="881"/>
      <c r="G62" s="881"/>
      <c r="H62" s="881"/>
    </row>
    <row r="63" spans="1:8" x14ac:dyDescent="0.2">
      <c r="A63" s="882" t="s">
        <v>777</v>
      </c>
      <c r="B63" s="881"/>
      <c r="C63" s="881"/>
      <c r="D63" s="881"/>
      <c r="E63" s="881"/>
      <c r="F63" s="881"/>
      <c r="G63" s="881"/>
      <c r="H63" s="881"/>
    </row>
    <row r="64" spans="1:8" x14ac:dyDescent="0.2">
      <c r="A64" s="882" t="s">
        <v>778</v>
      </c>
      <c r="B64" s="881"/>
      <c r="C64" s="881"/>
      <c r="D64" s="881"/>
      <c r="E64" s="881"/>
      <c r="F64" s="881"/>
      <c r="G64" s="881"/>
      <c r="H64" s="881"/>
    </row>
    <row r="65" spans="1:8" x14ac:dyDescent="0.2">
      <c r="A65" s="881"/>
      <c r="B65" s="881"/>
      <c r="C65" s="881"/>
      <c r="D65" s="881"/>
      <c r="E65" s="881"/>
      <c r="F65" s="881"/>
      <c r="G65" s="881"/>
      <c r="H65" s="881"/>
    </row>
    <row r="66" spans="1:8" x14ac:dyDescent="0.2">
      <c r="A66" s="882" t="s">
        <v>775</v>
      </c>
      <c r="B66" s="881"/>
      <c r="C66" s="881"/>
      <c r="D66" s="881"/>
      <c r="E66" s="881"/>
      <c r="F66" s="881"/>
      <c r="G66" s="881"/>
      <c r="H66" s="881"/>
    </row>
    <row r="67" spans="1:8" x14ac:dyDescent="0.2">
      <c r="A67" s="882" t="s">
        <v>776</v>
      </c>
      <c r="B67" s="881"/>
      <c r="C67" s="881"/>
      <c r="D67" s="881"/>
      <c r="E67" s="881"/>
      <c r="F67" s="881"/>
      <c r="G67" s="881"/>
      <c r="H67" s="881"/>
    </row>
    <row r="68" spans="1:8" x14ac:dyDescent="0.2">
      <c r="A68" s="881"/>
      <c r="B68" s="881"/>
      <c r="C68" s="881"/>
      <c r="D68" s="881"/>
      <c r="E68" s="881"/>
      <c r="F68" s="881"/>
      <c r="G68" s="881"/>
      <c r="H68" s="881"/>
    </row>
    <row r="69" spans="1:8" x14ac:dyDescent="0.2">
      <c r="A69" s="882" t="s">
        <v>772</v>
      </c>
      <c r="B69" s="881"/>
      <c r="C69" s="881"/>
      <c r="D69" s="881"/>
      <c r="E69" s="881"/>
      <c r="F69" s="881"/>
      <c r="G69" s="881"/>
      <c r="H69" s="881"/>
    </row>
    <row r="70" spans="1:8" x14ac:dyDescent="0.2">
      <c r="A70" s="882" t="s">
        <v>773</v>
      </c>
      <c r="B70" s="881"/>
      <c r="C70" s="881"/>
      <c r="D70" s="881"/>
      <c r="E70" s="881"/>
      <c r="F70" s="881"/>
      <c r="G70" s="881"/>
      <c r="H70" s="881"/>
    </row>
    <row r="71" spans="1:8" x14ac:dyDescent="0.2">
      <c r="A71" s="882" t="s">
        <v>774</v>
      </c>
      <c r="B71" s="881"/>
      <c r="C71" s="881"/>
      <c r="D71" s="881"/>
      <c r="E71" s="881"/>
      <c r="F71" s="881"/>
      <c r="G71" s="881"/>
      <c r="H71" s="881"/>
    </row>
    <row r="72" spans="1:8" x14ac:dyDescent="0.2">
      <c r="A72" s="881"/>
      <c r="B72" s="881"/>
      <c r="C72" s="881"/>
      <c r="D72" s="881"/>
      <c r="E72" s="881"/>
      <c r="F72" s="881"/>
      <c r="G72" s="881"/>
      <c r="H72" s="881"/>
    </row>
    <row r="73" spans="1:8" x14ac:dyDescent="0.2">
      <c r="A73" s="882" t="s">
        <v>529</v>
      </c>
      <c r="B73" s="881"/>
      <c r="C73" s="881"/>
      <c r="D73" s="881"/>
      <c r="E73" s="881"/>
      <c r="F73" s="881"/>
      <c r="G73" s="881"/>
      <c r="H73" s="881"/>
    </row>
    <row r="74" spans="1:8" x14ac:dyDescent="0.2">
      <c r="A74" s="881"/>
      <c r="B74" s="881"/>
      <c r="C74" s="881"/>
      <c r="D74" s="881"/>
      <c r="E74" s="881"/>
      <c r="F74" s="881"/>
      <c r="G74" s="881"/>
      <c r="H74" s="881"/>
    </row>
    <row r="75" spans="1:8" x14ac:dyDescent="0.2">
      <c r="A75" s="882" t="s">
        <v>767</v>
      </c>
      <c r="B75" s="881"/>
      <c r="C75" s="881"/>
      <c r="D75" s="881"/>
      <c r="E75" s="881"/>
      <c r="F75" s="881"/>
      <c r="G75" s="881"/>
      <c r="H75" s="881"/>
    </row>
    <row r="76" spans="1:8" x14ac:dyDescent="0.2">
      <c r="A76" s="882" t="s">
        <v>768</v>
      </c>
      <c r="B76" s="881"/>
      <c r="C76" s="881"/>
      <c r="D76" s="881"/>
      <c r="E76" s="881"/>
      <c r="F76" s="881"/>
      <c r="G76" s="881"/>
      <c r="H76" s="881"/>
    </row>
    <row r="77" spans="1:8" x14ac:dyDescent="0.2">
      <c r="A77" s="882" t="s">
        <v>769</v>
      </c>
      <c r="B77" s="881"/>
      <c r="C77" s="881"/>
      <c r="D77" s="881"/>
      <c r="E77" s="881"/>
      <c r="F77" s="881"/>
      <c r="G77" s="881"/>
      <c r="H77" s="881"/>
    </row>
    <row r="78" spans="1:8" x14ac:dyDescent="0.2">
      <c r="A78" s="882" t="s">
        <v>770</v>
      </c>
      <c r="B78" s="881"/>
      <c r="C78" s="881"/>
      <c r="D78" s="881"/>
      <c r="E78" s="881"/>
      <c r="F78" s="881"/>
      <c r="G78" s="881"/>
      <c r="H78" s="881"/>
    </row>
    <row r="79" spans="1:8" x14ac:dyDescent="0.2">
      <c r="A79" s="882" t="s">
        <v>771</v>
      </c>
      <c r="B79" s="881"/>
      <c r="C79" s="881"/>
      <c r="D79" s="881"/>
      <c r="E79" s="881"/>
      <c r="F79" s="881"/>
      <c r="G79" s="881"/>
      <c r="H79" s="881"/>
    </row>
    <row r="80" spans="1:8" x14ac:dyDescent="0.2">
      <c r="A80" s="882" t="s">
        <v>654</v>
      </c>
      <c r="B80" s="881"/>
      <c r="C80" s="881"/>
      <c r="D80" s="881"/>
      <c r="E80" s="881"/>
      <c r="F80" s="881"/>
      <c r="G80" s="881"/>
      <c r="H80" s="881"/>
    </row>
    <row r="81" spans="1:8" x14ac:dyDescent="0.2">
      <c r="A81" s="881"/>
      <c r="B81" s="881"/>
      <c r="C81" s="881"/>
      <c r="D81" s="881"/>
      <c r="E81" s="881"/>
      <c r="F81" s="881"/>
      <c r="G81" s="881"/>
      <c r="H81" s="881"/>
    </row>
    <row r="82" spans="1:8" x14ac:dyDescent="0.2">
      <c r="A82" s="882" t="s">
        <v>760</v>
      </c>
      <c r="B82" s="881"/>
      <c r="C82" s="881"/>
      <c r="D82" s="881"/>
      <c r="E82" s="881"/>
      <c r="F82" s="881"/>
      <c r="G82" s="881"/>
      <c r="H82" s="881"/>
    </row>
    <row r="83" spans="1:8" x14ac:dyDescent="0.2">
      <c r="A83" s="882" t="s">
        <v>761</v>
      </c>
      <c r="B83" s="881"/>
      <c r="C83" s="881"/>
      <c r="D83" s="881"/>
      <c r="E83" s="881"/>
      <c r="F83" s="881"/>
      <c r="G83" s="881"/>
      <c r="H83" s="881"/>
    </row>
    <row r="84" spans="1:8" x14ac:dyDescent="0.2">
      <c r="A84" s="882" t="s">
        <v>762</v>
      </c>
      <c r="B84" s="881"/>
      <c r="C84" s="881"/>
      <c r="D84" s="881"/>
      <c r="E84" s="881"/>
      <c r="F84" s="881"/>
      <c r="G84" s="881"/>
      <c r="H84" s="881"/>
    </row>
    <row r="85" spans="1:8" x14ac:dyDescent="0.2">
      <c r="A85" s="882" t="s">
        <v>763</v>
      </c>
      <c r="B85" s="881"/>
      <c r="C85" s="881"/>
      <c r="D85" s="881"/>
      <c r="E85" s="881"/>
      <c r="F85" s="881"/>
      <c r="G85" s="881"/>
      <c r="H85" s="881"/>
    </row>
    <row r="86" spans="1:8" x14ac:dyDescent="0.2">
      <c r="A86" s="882" t="s">
        <v>764</v>
      </c>
      <c r="B86" s="881"/>
      <c r="C86" s="881"/>
      <c r="D86" s="881"/>
      <c r="E86" s="881"/>
      <c r="F86" s="881"/>
      <c r="G86" s="881"/>
      <c r="H86" s="881"/>
    </row>
    <row r="87" spans="1:8" x14ac:dyDescent="0.2">
      <c r="A87" s="882" t="s">
        <v>765</v>
      </c>
      <c r="B87" s="881"/>
      <c r="C87" s="881"/>
      <c r="D87" s="881"/>
      <c r="E87" s="881"/>
      <c r="F87" s="881"/>
      <c r="G87" s="881"/>
      <c r="H87" s="881"/>
    </row>
    <row r="88" spans="1:8" x14ac:dyDescent="0.2">
      <c r="A88" s="882" t="s">
        <v>766</v>
      </c>
      <c r="B88" s="881"/>
      <c r="C88" s="881"/>
      <c r="D88" s="881"/>
      <c r="E88" s="881"/>
      <c r="F88" s="881"/>
      <c r="G88" s="881"/>
      <c r="H88" s="881"/>
    </row>
    <row r="89" spans="1:8" x14ac:dyDescent="0.2">
      <c r="A89" s="881"/>
      <c r="B89" s="881"/>
      <c r="C89" s="881"/>
      <c r="D89" s="881"/>
      <c r="E89" s="881"/>
      <c r="F89" s="881"/>
      <c r="G89" s="881"/>
      <c r="H89" s="881"/>
    </row>
    <row r="90" spans="1:8" x14ac:dyDescent="0.2">
      <c r="A90" s="882" t="s">
        <v>758</v>
      </c>
      <c r="B90" s="881"/>
      <c r="C90" s="881"/>
      <c r="D90" s="881"/>
      <c r="E90" s="881"/>
      <c r="F90" s="881"/>
      <c r="G90" s="881"/>
      <c r="H90" s="881"/>
    </row>
    <row r="91" spans="1:8" x14ac:dyDescent="0.2">
      <c r="A91" s="882" t="s">
        <v>759</v>
      </c>
      <c r="B91" s="881"/>
      <c r="C91" s="881"/>
      <c r="D91" s="881"/>
      <c r="E91" s="881"/>
      <c r="F91" s="881"/>
      <c r="G91" s="881"/>
      <c r="H91" s="881"/>
    </row>
    <row r="92" spans="1:8" x14ac:dyDescent="0.2">
      <c r="A92" s="881"/>
      <c r="B92" s="881"/>
      <c r="C92" s="881"/>
      <c r="D92" s="881"/>
      <c r="E92" s="881"/>
      <c r="F92" s="881"/>
      <c r="G92" s="881"/>
      <c r="H92" s="881"/>
    </row>
    <row r="93" spans="1:8" ht="15.75" x14ac:dyDescent="0.2">
      <c r="A93" s="883" t="s">
        <v>530</v>
      </c>
      <c r="B93" s="881"/>
      <c r="C93" s="881"/>
      <c r="D93" s="881"/>
      <c r="E93" s="881"/>
      <c r="F93" s="881"/>
      <c r="G93" s="881"/>
      <c r="H93" s="881"/>
    </row>
    <row r="94" spans="1:8" x14ac:dyDescent="0.2">
      <c r="A94" s="881"/>
      <c r="B94" s="881"/>
      <c r="C94" s="881"/>
      <c r="D94" s="881"/>
      <c r="E94" s="881"/>
      <c r="F94" s="881"/>
      <c r="G94" s="881"/>
      <c r="H94" s="881"/>
    </row>
    <row r="95" spans="1:8" x14ac:dyDescent="0.2">
      <c r="A95" s="882" t="s">
        <v>749</v>
      </c>
      <c r="B95" s="881"/>
      <c r="C95" s="881"/>
      <c r="D95" s="881"/>
      <c r="E95" s="881"/>
      <c r="F95" s="881"/>
      <c r="G95" s="881"/>
      <c r="H95" s="881"/>
    </row>
    <row r="96" spans="1:8" x14ac:dyDescent="0.2">
      <c r="A96" s="882" t="s">
        <v>750</v>
      </c>
      <c r="B96" s="881"/>
      <c r="C96" s="881"/>
      <c r="D96" s="881"/>
      <c r="E96" s="881"/>
      <c r="F96" s="881"/>
      <c r="G96" s="881"/>
      <c r="H96" s="881"/>
    </row>
    <row r="97" spans="1:8" x14ac:dyDescent="0.2">
      <c r="A97" s="882" t="s">
        <v>751</v>
      </c>
      <c r="B97" s="881"/>
      <c r="C97" s="881"/>
      <c r="D97" s="881"/>
      <c r="E97" s="881"/>
      <c r="F97" s="881"/>
      <c r="G97" s="881"/>
      <c r="H97" s="881"/>
    </row>
    <row r="98" spans="1:8" x14ac:dyDescent="0.2">
      <c r="A98" s="882" t="s">
        <v>752</v>
      </c>
      <c r="B98" s="881"/>
      <c r="C98" s="881"/>
      <c r="D98" s="881"/>
      <c r="E98" s="881"/>
      <c r="F98" s="881"/>
      <c r="G98" s="881"/>
      <c r="H98" s="881"/>
    </row>
    <row r="99" spans="1:8" x14ac:dyDescent="0.2">
      <c r="A99" s="882" t="s">
        <v>753</v>
      </c>
      <c r="B99" s="881"/>
      <c r="C99" s="881"/>
      <c r="D99" s="881"/>
      <c r="E99" s="881"/>
      <c r="F99" s="881"/>
      <c r="G99" s="881"/>
      <c r="H99" s="881"/>
    </row>
    <row r="100" spans="1:8" x14ac:dyDescent="0.2">
      <c r="A100" s="882" t="s">
        <v>754</v>
      </c>
      <c r="B100" s="881"/>
      <c r="C100" s="881"/>
      <c r="D100" s="881"/>
      <c r="E100" s="881"/>
      <c r="F100" s="881"/>
      <c r="G100" s="881"/>
      <c r="H100" s="881"/>
    </row>
    <row r="101" spans="1:8" x14ac:dyDescent="0.2">
      <c r="A101" s="882" t="s">
        <v>755</v>
      </c>
      <c r="B101" s="881"/>
      <c r="C101" s="881"/>
      <c r="D101" s="881"/>
      <c r="E101" s="881"/>
      <c r="F101" s="881"/>
      <c r="G101" s="881"/>
      <c r="H101" s="881"/>
    </row>
    <row r="102" spans="1:8" x14ac:dyDescent="0.2">
      <c r="A102" s="882" t="s">
        <v>756</v>
      </c>
      <c r="B102" s="881"/>
      <c r="C102" s="881"/>
      <c r="D102" s="881"/>
      <c r="E102" s="881"/>
      <c r="F102" s="881"/>
      <c r="G102" s="881"/>
      <c r="H102" s="881"/>
    </row>
    <row r="103" spans="1:8" x14ac:dyDescent="0.2">
      <c r="A103" s="882" t="s">
        <v>757</v>
      </c>
      <c r="B103" s="881"/>
      <c r="C103" s="881"/>
      <c r="D103" s="881"/>
      <c r="E103" s="881"/>
      <c r="F103" s="881"/>
      <c r="G103" s="881"/>
      <c r="H103" s="881"/>
    </row>
    <row r="104" spans="1:8" x14ac:dyDescent="0.2">
      <c r="A104" s="881"/>
      <c r="B104" s="881"/>
      <c r="C104" s="881"/>
      <c r="D104" s="881"/>
      <c r="E104" s="881"/>
      <c r="F104" s="881"/>
      <c r="G104" s="881"/>
      <c r="H104" s="881"/>
    </row>
    <row r="105" spans="1:8" ht="15.75" x14ac:dyDescent="0.2">
      <c r="A105" s="898" t="s">
        <v>531</v>
      </c>
      <c r="B105" s="898"/>
      <c r="C105" s="898"/>
      <c r="D105" s="898"/>
      <c r="E105" s="898"/>
      <c r="F105" s="898"/>
      <c r="G105" s="898"/>
      <c r="H105" s="898"/>
    </row>
    <row r="106" spans="1:8" x14ac:dyDescent="0.2">
      <c r="A106" s="894" t="s">
        <v>532</v>
      </c>
      <c r="B106" s="894"/>
      <c r="C106" s="894"/>
      <c r="D106" s="894"/>
      <c r="E106" s="894"/>
      <c r="F106" s="894"/>
      <c r="G106" s="894"/>
      <c r="H106" s="894"/>
    </row>
    <row r="107" spans="1:8" x14ac:dyDescent="0.2">
      <c r="A107" s="899"/>
      <c r="B107" s="899"/>
      <c r="C107" s="899"/>
      <c r="D107" s="899"/>
      <c r="E107" s="899"/>
      <c r="F107" s="899"/>
      <c r="G107" s="899"/>
      <c r="H107" s="899"/>
    </row>
    <row r="108" spans="1:8" x14ac:dyDescent="0.2">
      <c r="A108" s="894" t="s">
        <v>747</v>
      </c>
      <c r="B108" s="894"/>
      <c r="C108" s="894"/>
      <c r="D108" s="894"/>
      <c r="E108" s="894"/>
      <c r="F108" s="894"/>
      <c r="G108" s="894"/>
      <c r="H108" s="894"/>
    </row>
    <row r="109" spans="1:8" x14ac:dyDescent="0.2">
      <c r="A109" s="882" t="s">
        <v>748</v>
      </c>
      <c r="B109" s="882"/>
      <c r="C109" s="882"/>
      <c r="D109" s="882"/>
      <c r="E109" s="882"/>
      <c r="F109" s="882"/>
      <c r="G109" s="882"/>
      <c r="H109" s="882"/>
    </row>
    <row r="110" spans="1:8" x14ac:dyDescent="0.2">
      <c r="A110" s="899"/>
      <c r="B110" s="899"/>
      <c r="C110" s="899"/>
      <c r="D110" s="899"/>
      <c r="E110" s="899"/>
      <c r="F110" s="899"/>
      <c r="G110" s="899"/>
      <c r="H110" s="899"/>
    </row>
    <row r="111" spans="1:8" x14ac:dyDescent="0.2">
      <c r="A111" s="894" t="s">
        <v>740</v>
      </c>
      <c r="B111" s="894"/>
      <c r="C111" s="894"/>
      <c r="D111" s="894"/>
      <c r="E111" s="894"/>
      <c r="F111" s="894"/>
      <c r="G111" s="894"/>
      <c r="H111" s="894"/>
    </row>
    <row r="112" spans="1:8" x14ac:dyDescent="0.2">
      <c r="A112" s="882" t="s">
        <v>741</v>
      </c>
      <c r="B112" s="882"/>
      <c r="C112" s="882"/>
      <c r="D112" s="882"/>
      <c r="E112" s="882"/>
      <c r="F112" s="882"/>
      <c r="G112" s="882"/>
      <c r="H112" s="882"/>
    </row>
    <row r="113" spans="1:8" x14ac:dyDescent="0.2">
      <c r="A113" s="882" t="s">
        <v>742</v>
      </c>
      <c r="B113" s="882"/>
      <c r="C113" s="882"/>
      <c r="D113" s="882"/>
      <c r="E113" s="882"/>
      <c r="F113" s="882"/>
      <c r="G113" s="882"/>
      <c r="H113" s="882"/>
    </row>
    <row r="114" spans="1:8" x14ac:dyDescent="0.2">
      <c r="A114" s="882" t="s">
        <v>743</v>
      </c>
      <c r="B114" s="882"/>
      <c r="C114" s="882"/>
      <c r="D114" s="882"/>
      <c r="E114" s="882"/>
      <c r="F114" s="882"/>
      <c r="G114" s="882"/>
      <c r="H114" s="882"/>
    </row>
    <row r="115" spans="1:8" x14ac:dyDescent="0.2">
      <c r="A115" s="882" t="s">
        <v>744</v>
      </c>
      <c r="B115" s="882"/>
      <c r="C115" s="882"/>
      <c r="D115" s="882"/>
      <c r="E115" s="882"/>
      <c r="F115" s="882"/>
      <c r="G115" s="882"/>
      <c r="H115" s="882"/>
    </row>
    <row r="116" spans="1:8" x14ac:dyDescent="0.2">
      <c r="A116" s="882" t="s">
        <v>745</v>
      </c>
      <c r="B116" s="882"/>
      <c r="C116" s="882"/>
      <c r="D116" s="882"/>
      <c r="E116" s="882"/>
      <c r="F116" s="882"/>
      <c r="G116" s="882"/>
      <c r="H116" s="882"/>
    </row>
    <row r="117" spans="1:8" x14ac:dyDescent="0.2">
      <c r="A117" s="882" t="s">
        <v>746</v>
      </c>
      <c r="B117" s="882"/>
      <c r="C117" s="882"/>
      <c r="D117" s="882"/>
      <c r="E117" s="882"/>
      <c r="F117" s="882"/>
      <c r="G117" s="882"/>
      <c r="H117" s="882"/>
    </row>
    <row r="118" spans="1:8" x14ac:dyDescent="0.2">
      <c r="A118" s="900"/>
      <c r="B118" s="900"/>
      <c r="C118" s="900"/>
      <c r="D118" s="900"/>
      <c r="E118" s="900"/>
      <c r="F118" s="900"/>
      <c r="G118" s="900"/>
      <c r="H118" s="900"/>
    </row>
    <row r="119" spans="1:8" x14ac:dyDescent="0.2">
      <c r="A119" s="884"/>
      <c r="B119" s="895" t="s">
        <v>533</v>
      </c>
      <c r="C119" s="896"/>
      <c r="D119" s="895" t="s">
        <v>534</v>
      </c>
      <c r="E119" s="897"/>
      <c r="F119" s="896"/>
      <c r="G119" s="895" t="s">
        <v>535</v>
      </c>
      <c r="H119" s="896"/>
    </row>
    <row r="120" spans="1:8" x14ac:dyDescent="0.2">
      <c r="A120" s="884" t="s">
        <v>536</v>
      </c>
      <c r="B120" s="884" t="s">
        <v>285</v>
      </c>
      <c r="C120" s="884" t="s">
        <v>414</v>
      </c>
      <c r="D120" s="884" t="s">
        <v>285</v>
      </c>
      <c r="E120" s="884" t="s">
        <v>537</v>
      </c>
      <c r="F120" s="884" t="s">
        <v>538</v>
      </c>
      <c r="G120" s="884" t="s">
        <v>285</v>
      </c>
      <c r="H120" s="884" t="s">
        <v>539</v>
      </c>
    </row>
    <row r="121" spans="1:8" x14ac:dyDescent="0.2">
      <c r="A121" s="884" t="s">
        <v>540</v>
      </c>
      <c r="B121" s="884">
        <v>1189</v>
      </c>
      <c r="C121" s="885">
        <v>0.38</v>
      </c>
      <c r="D121" s="884">
        <v>315</v>
      </c>
      <c r="E121" s="885">
        <v>0.41</v>
      </c>
      <c r="F121" s="885">
        <v>0.26</v>
      </c>
      <c r="G121" s="884">
        <v>555</v>
      </c>
      <c r="H121" s="885">
        <v>0.39</v>
      </c>
    </row>
    <row r="122" spans="1:8" x14ac:dyDescent="0.2">
      <c r="A122" s="884" t="s">
        <v>541</v>
      </c>
      <c r="B122" s="884">
        <v>1355</v>
      </c>
      <c r="C122" s="885">
        <v>0.43</v>
      </c>
      <c r="D122" s="884">
        <v>364</v>
      </c>
      <c r="E122" s="885">
        <v>0.47</v>
      </c>
      <c r="F122" s="885">
        <v>0.27</v>
      </c>
      <c r="G122" s="884">
        <v>644</v>
      </c>
      <c r="H122" s="885">
        <v>0.45</v>
      </c>
    </row>
    <row r="123" spans="1:8" x14ac:dyDescent="0.2">
      <c r="A123" s="884" t="s">
        <v>542</v>
      </c>
      <c r="B123" s="884">
        <v>53</v>
      </c>
      <c r="C123" s="885">
        <v>0.02</v>
      </c>
      <c r="D123" s="884">
        <v>4</v>
      </c>
      <c r="E123" s="885">
        <v>0.01</v>
      </c>
      <c r="F123" s="885">
        <v>0.08</v>
      </c>
      <c r="G123" s="884">
        <v>7</v>
      </c>
      <c r="H123" s="885">
        <v>0</v>
      </c>
    </row>
    <row r="124" spans="1:8" x14ac:dyDescent="0.2">
      <c r="A124" s="884" t="s">
        <v>543</v>
      </c>
      <c r="B124" s="884">
        <v>545</v>
      </c>
      <c r="C124" s="885">
        <v>0.17</v>
      </c>
      <c r="D124" s="884">
        <v>84</v>
      </c>
      <c r="E124" s="885">
        <v>0.11</v>
      </c>
      <c r="F124" s="885">
        <v>0.15</v>
      </c>
      <c r="G124" s="884">
        <v>214</v>
      </c>
      <c r="H124" s="885">
        <v>0.15</v>
      </c>
    </row>
    <row r="125" spans="1:8" x14ac:dyDescent="0.2">
      <c r="A125" s="884" t="s">
        <v>374</v>
      </c>
      <c r="B125" s="886">
        <v>3142</v>
      </c>
      <c r="C125" s="884"/>
      <c r="D125" s="884">
        <v>767</v>
      </c>
      <c r="E125" s="884"/>
      <c r="F125" s="884"/>
      <c r="G125" s="884">
        <v>1420</v>
      </c>
      <c r="H125" s="884"/>
    </row>
    <row r="126" spans="1:8" x14ac:dyDescent="0.2">
      <c r="A126" s="893"/>
      <c r="B126" s="893"/>
      <c r="C126" s="893"/>
      <c r="D126" s="893"/>
      <c r="E126" s="893"/>
      <c r="F126" s="893"/>
      <c r="G126" s="893"/>
      <c r="H126" s="893"/>
    </row>
    <row r="127" spans="1:8" x14ac:dyDescent="0.2">
      <c r="A127" s="894" t="s">
        <v>736</v>
      </c>
      <c r="B127" s="894"/>
      <c r="C127" s="894"/>
      <c r="D127" s="894"/>
      <c r="E127" s="894"/>
      <c r="F127" s="894"/>
      <c r="G127" s="894"/>
      <c r="H127" s="894"/>
    </row>
    <row r="128" spans="1:8" x14ac:dyDescent="0.2">
      <c r="A128" s="882" t="s">
        <v>737</v>
      </c>
      <c r="B128" s="882"/>
      <c r="C128" s="882"/>
      <c r="D128" s="882"/>
      <c r="E128" s="882"/>
      <c r="F128" s="882"/>
      <c r="G128" s="882"/>
      <c r="H128" s="882"/>
    </row>
    <row r="129" spans="1:8" x14ac:dyDescent="0.2">
      <c r="A129" s="882" t="s">
        <v>738</v>
      </c>
      <c r="B129" s="882"/>
      <c r="C129" s="882"/>
      <c r="D129" s="882"/>
      <c r="E129" s="882"/>
      <c r="F129" s="882"/>
      <c r="G129" s="882"/>
      <c r="H129" s="882"/>
    </row>
    <row r="130" spans="1:8" x14ac:dyDescent="0.2">
      <c r="A130" s="882" t="s">
        <v>739</v>
      </c>
      <c r="B130" s="882"/>
      <c r="C130" s="882"/>
      <c r="D130" s="882"/>
      <c r="E130" s="882"/>
      <c r="F130" s="882"/>
      <c r="G130" s="882"/>
      <c r="H130" s="882"/>
    </row>
    <row r="131" spans="1:8" x14ac:dyDescent="0.2">
      <c r="A131" s="881"/>
      <c r="B131" s="881"/>
      <c r="C131" s="881"/>
      <c r="D131" s="881"/>
      <c r="E131" s="881"/>
      <c r="F131" s="881"/>
      <c r="G131" s="881"/>
      <c r="H131" s="881"/>
    </row>
    <row r="132" spans="1:8" ht="15.75" x14ac:dyDescent="0.2">
      <c r="A132" s="883" t="s">
        <v>544</v>
      </c>
      <c r="B132" s="881"/>
      <c r="C132" s="881"/>
      <c r="D132" s="881"/>
      <c r="E132" s="881"/>
      <c r="F132" s="881"/>
      <c r="G132" s="881"/>
      <c r="H132" s="881"/>
    </row>
    <row r="133" spans="1:8" x14ac:dyDescent="0.2">
      <c r="A133" s="881"/>
      <c r="B133" s="881"/>
      <c r="C133" s="881"/>
      <c r="D133" s="881"/>
      <c r="E133" s="881"/>
      <c r="F133" s="881"/>
      <c r="G133" s="881"/>
      <c r="H133" s="881"/>
    </row>
    <row r="134" spans="1:8" x14ac:dyDescent="0.2">
      <c r="A134" s="882" t="s">
        <v>734</v>
      </c>
      <c r="B134" s="881"/>
      <c r="C134" s="881"/>
      <c r="D134" s="881"/>
      <c r="E134" s="881"/>
      <c r="F134" s="881"/>
      <c r="G134" s="881"/>
      <c r="H134" s="881"/>
    </row>
    <row r="135" spans="1:8" x14ac:dyDescent="0.2">
      <c r="A135" s="882" t="s">
        <v>735</v>
      </c>
      <c r="B135" s="881"/>
      <c r="C135" s="881"/>
      <c r="D135" s="881"/>
      <c r="E135" s="881"/>
      <c r="F135" s="881"/>
      <c r="G135" s="881"/>
      <c r="H135" s="881"/>
    </row>
    <row r="136" spans="1:8" x14ac:dyDescent="0.2">
      <c r="A136" s="881"/>
      <c r="B136" s="881"/>
      <c r="C136" s="881"/>
      <c r="D136" s="881"/>
      <c r="E136" s="881"/>
      <c r="F136" s="881"/>
      <c r="G136" s="881"/>
      <c r="H136" s="881"/>
    </row>
    <row r="137" spans="1:8" x14ac:dyDescent="0.2">
      <c r="A137" s="882" t="s">
        <v>731</v>
      </c>
      <c r="B137" s="881"/>
      <c r="C137" s="881"/>
      <c r="D137" s="881"/>
      <c r="E137" s="881"/>
      <c r="F137" s="881"/>
      <c r="G137" s="881"/>
      <c r="H137" s="881"/>
    </row>
    <row r="138" spans="1:8" x14ac:dyDescent="0.2">
      <c r="A138" s="882" t="s">
        <v>732</v>
      </c>
      <c r="B138" s="881"/>
      <c r="C138" s="881"/>
      <c r="D138" s="881"/>
      <c r="E138" s="881"/>
      <c r="F138" s="881"/>
      <c r="G138" s="881"/>
      <c r="H138" s="881"/>
    </row>
    <row r="139" spans="1:8" x14ac:dyDescent="0.2">
      <c r="A139" s="882" t="s">
        <v>733</v>
      </c>
      <c r="B139" s="881"/>
      <c r="C139" s="881"/>
      <c r="D139" s="881"/>
      <c r="E139" s="881"/>
      <c r="F139" s="881"/>
      <c r="G139" s="881"/>
      <c r="H139" s="881"/>
    </row>
    <row r="140" spans="1:8" x14ac:dyDescent="0.2">
      <c r="A140" s="881"/>
      <c r="B140" s="881"/>
      <c r="C140" s="881"/>
      <c r="D140" s="881"/>
      <c r="E140" s="881"/>
      <c r="F140" s="881"/>
      <c r="G140" s="881"/>
      <c r="H140" s="881"/>
    </row>
    <row r="141" spans="1:8" x14ac:dyDescent="0.2">
      <c r="A141" s="882" t="s">
        <v>728</v>
      </c>
      <c r="B141" s="881"/>
      <c r="C141" s="881"/>
      <c r="D141" s="881"/>
      <c r="E141" s="881"/>
      <c r="F141" s="881"/>
      <c r="G141" s="881"/>
      <c r="H141" s="881"/>
    </row>
    <row r="142" spans="1:8" x14ac:dyDescent="0.2">
      <c r="A142" s="882" t="s">
        <v>729</v>
      </c>
      <c r="B142" s="881"/>
      <c r="C142" s="881"/>
      <c r="D142" s="881"/>
      <c r="E142" s="881"/>
      <c r="F142" s="881"/>
      <c r="G142" s="881"/>
      <c r="H142" s="881"/>
    </row>
    <row r="143" spans="1:8" x14ac:dyDescent="0.2">
      <c r="A143" s="882" t="s">
        <v>730</v>
      </c>
      <c r="B143" s="881"/>
      <c r="C143" s="881"/>
      <c r="D143" s="881"/>
      <c r="E143" s="881"/>
      <c r="F143" s="881"/>
      <c r="G143" s="881"/>
      <c r="H143" s="881"/>
    </row>
    <row r="144" spans="1:8" x14ac:dyDescent="0.2">
      <c r="A144" s="881"/>
      <c r="B144" s="881"/>
      <c r="C144" s="881"/>
      <c r="D144" s="881"/>
      <c r="E144" s="881"/>
      <c r="F144" s="881"/>
      <c r="G144" s="881"/>
      <c r="H144" s="881"/>
    </row>
    <row r="145" spans="1:8" x14ac:dyDescent="0.2">
      <c r="A145" s="882" t="s">
        <v>725</v>
      </c>
      <c r="B145" s="881"/>
      <c r="C145" s="881"/>
      <c r="D145" s="881"/>
      <c r="E145" s="881"/>
      <c r="F145" s="881"/>
      <c r="G145" s="881"/>
      <c r="H145" s="881"/>
    </row>
    <row r="146" spans="1:8" x14ac:dyDescent="0.2">
      <c r="A146" s="882" t="s">
        <v>726</v>
      </c>
      <c r="B146" s="881"/>
      <c r="C146" s="881"/>
      <c r="D146" s="881"/>
      <c r="E146" s="881"/>
      <c r="F146" s="881"/>
      <c r="G146" s="881"/>
      <c r="H146" s="881"/>
    </row>
    <row r="147" spans="1:8" x14ac:dyDescent="0.2">
      <c r="A147" s="882" t="s">
        <v>727</v>
      </c>
      <c r="B147" s="881"/>
      <c r="C147" s="881"/>
      <c r="D147" s="881"/>
      <c r="E147" s="881"/>
      <c r="F147" s="881"/>
      <c r="G147" s="881"/>
      <c r="H147" s="881"/>
    </row>
    <row r="148" spans="1:8" x14ac:dyDescent="0.2">
      <c r="A148" s="881"/>
      <c r="B148" s="881"/>
      <c r="C148" s="881"/>
      <c r="D148" s="881"/>
      <c r="E148" s="881"/>
      <c r="F148" s="881"/>
      <c r="G148" s="881"/>
      <c r="H148" s="881"/>
    </row>
    <row r="149" spans="1:8" x14ac:dyDescent="0.2">
      <c r="A149" s="882" t="s">
        <v>723</v>
      </c>
      <c r="B149" s="881"/>
      <c r="C149" s="881"/>
      <c r="D149" s="881"/>
      <c r="E149" s="881"/>
      <c r="F149" s="881"/>
      <c r="G149" s="881"/>
      <c r="H149" s="881"/>
    </row>
    <row r="150" spans="1:8" x14ac:dyDescent="0.2">
      <c r="A150" s="882" t="s">
        <v>724</v>
      </c>
      <c r="B150" s="881"/>
      <c r="C150" s="881"/>
      <c r="D150" s="881"/>
      <c r="E150" s="881"/>
      <c r="F150" s="881"/>
      <c r="G150" s="881"/>
      <c r="H150" s="881"/>
    </row>
    <row r="151" spans="1:8" x14ac:dyDescent="0.2">
      <c r="A151" s="881"/>
      <c r="B151" s="881"/>
      <c r="C151" s="881"/>
      <c r="D151" s="881"/>
      <c r="E151" s="881"/>
      <c r="F151" s="881"/>
      <c r="G151" s="881"/>
      <c r="H151" s="881"/>
    </row>
    <row r="152" spans="1:8" ht="15.75" x14ac:dyDescent="0.2">
      <c r="A152" s="883" t="s">
        <v>545</v>
      </c>
      <c r="B152" s="881"/>
      <c r="C152" s="881"/>
      <c r="D152" s="881"/>
      <c r="E152" s="881"/>
      <c r="F152" s="881"/>
      <c r="G152" s="881"/>
      <c r="H152" s="881"/>
    </row>
    <row r="153" spans="1:8" x14ac:dyDescent="0.2">
      <c r="A153" s="881"/>
      <c r="B153" s="881"/>
      <c r="C153" s="881"/>
      <c r="D153" s="881"/>
      <c r="E153" s="881"/>
      <c r="F153" s="881"/>
      <c r="G153" s="881"/>
      <c r="H153" s="881"/>
    </row>
    <row r="154" spans="1:8" x14ac:dyDescent="0.2">
      <c r="A154" s="882" t="s">
        <v>721</v>
      </c>
      <c r="B154" s="881"/>
      <c r="C154" s="881"/>
      <c r="D154" s="881"/>
      <c r="E154" s="881"/>
      <c r="F154" s="881"/>
      <c r="G154" s="881"/>
      <c r="H154" s="881"/>
    </row>
    <row r="155" spans="1:8" x14ac:dyDescent="0.2">
      <c r="A155" s="882" t="s">
        <v>722</v>
      </c>
      <c r="B155" s="881"/>
      <c r="C155" s="881"/>
      <c r="D155" s="881"/>
      <c r="E155" s="881"/>
      <c r="F155" s="881"/>
      <c r="G155" s="881"/>
      <c r="H155" s="881"/>
    </row>
    <row r="156" spans="1:8" x14ac:dyDescent="0.2">
      <c r="A156" s="881"/>
      <c r="B156" s="881"/>
      <c r="C156" s="881"/>
      <c r="D156" s="881"/>
      <c r="E156" s="881"/>
      <c r="F156" s="881"/>
      <c r="G156" s="881"/>
      <c r="H156" s="881"/>
    </row>
    <row r="157" spans="1:8" x14ac:dyDescent="0.2">
      <c r="A157" s="882" t="s">
        <v>719</v>
      </c>
      <c r="B157" s="881"/>
      <c r="C157" s="881"/>
      <c r="D157" s="881"/>
      <c r="E157" s="881"/>
      <c r="F157" s="881"/>
      <c r="G157" s="881"/>
      <c r="H157" s="881"/>
    </row>
    <row r="158" spans="1:8" x14ac:dyDescent="0.2">
      <c r="A158" s="882" t="s">
        <v>720</v>
      </c>
      <c r="B158" s="881"/>
      <c r="C158" s="881"/>
      <c r="D158" s="881"/>
      <c r="E158" s="881"/>
      <c r="F158" s="881"/>
      <c r="G158" s="881"/>
      <c r="H158" s="881"/>
    </row>
    <row r="159" spans="1:8" x14ac:dyDescent="0.2">
      <c r="A159" s="881"/>
      <c r="B159" s="881"/>
      <c r="C159" s="881"/>
      <c r="D159" s="881"/>
      <c r="E159" s="881"/>
      <c r="F159" s="881"/>
      <c r="G159" s="881"/>
      <c r="H159" s="881"/>
    </row>
    <row r="160" spans="1:8" x14ac:dyDescent="0.2">
      <c r="A160" s="882" t="s">
        <v>717</v>
      </c>
      <c r="B160" s="881"/>
      <c r="C160" s="881"/>
      <c r="D160" s="881"/>
      <c r="E160" s="881"/>
      <c r="F160" s="881"/>
      <c r="G160" s="881"/>
      <c r="H160" s="881"/>
    </row>
    <row r="161" spans="1:8" x14ac:dyDescent="0.2">
      <c r="A161" s="882" t="s">
        <v>718</v>
      </c>
      <c r="B161" s="881"/>
      <c r="C161" s="881"/>
      <c r="D161" s="881"/>
      <c r="E161" s="881"/>
      <c r="F161" s="881"/>
      <c r="G161" s="881"/>
      <c r="H161" s="881"/>
    </row>
    <row r="162" spans="1:8" x14ac:dyDescent="0.2">
      <c r="A162" s="881"/>
      <c r="B162" s="881"/>
      <c r="C162" s="881"/>
      <c r="D162" s="881"/>
      <c r="E162" s="881"/>
      <c r="F162" s="881"/>
      <c r="G162" s="881"/>
      <c r="H162" s="881"/>
    </row>
    <row r="163" spans="1:8" x14ac:dyDescent="0.2">
      <c r="A163" s="882" t="s">
        <v>714</v>
      </c>
      <c r="B163" s="881"/>
      <c r="C163" s="881"/>
      <c r="D163" s="881"/>
      <c r="E163" s="881"/>
      <c r="F163" s="881"/>
      <c r="G163" s="881"/>
      <c r="H163" s="881"/>
    </row>
    <row r="164" spans="1:8" x14ac:dyDescent="0.2">
      <c r="A164" s="882" t="s">
        <v>715</v>
      </c>
      <c r="B164" s="881"/>
      <c r="C164" s="881"/>
      <c r="D164" s="881"/>
      <c r="E164" s="881"/>
      <c r="F164" s="881"/>
      <c r="G164" s="881"/>
      <c r="H164" s="881"/>
    </row>
    <row r="165" spans="1:8" x14ac:dyDescent="0.2">
      <c r="A165" s="882" t="s">
        <v>716</v>
      </c>
      <c r="B165" s="881"/>
      <c r="C165" s="881"/>
      <c r="D165" s="881"/>
      <c r="E165" s="881"/>
      <c r="F165" s="881"/>
      <c r="G165" s="881"/>
      <c r="H165" s="881"/>
    </row>
    <row r="166" spans="1:8" x14ac:dyDescent="0.2">
      <c r="A166" s="881"/>
      <c r="B166" s="881"/>
      <c r="C166" s="881"/>
      <c r="D166" s="881"/>
      <c r="E166" s="881"/>
      <c r="F166" s="881"/>
      <c r="G166" s="881"/>
      <c r="H166" s="881"/>
    </row>
    <row r="167" spans="1:8" x14ac:dyDescent="0.2">
      <c r="A167" s="881"/>
      <c r="B167" s="881"/>
      <c r="C167" s="881"/>
      <c r="D167" s="881"/>
      <c r="E167" s="881"/>
      <c r="F167" s="881"/>
      <c r="G167" s="881"/>
      <c r="H167" s="881"/>
    </row>
    <row r="168" spans="1:8" x14ac:dyDescent="0.2">
      <c r="A168" s="882" t="s">
        <v>546</v>
      </c>
      <c r="B168" s="881"/>
      <c r="C168" s="881"/>
      <c r="D168" s="881"/>
      <c r="E168" s="881"/>
      <c r="F168" s="881"/>
      <c r="G168" s="881"/>
      <c r="H168" s="881"/>
    </row>
    <row r="169" spans="1:8" x14ac:dyDescent="0.2">
      <c r="A169" s="881"/>
      <c r="B169" s="881"/>
      <c r="C169" s="881"/>
      <c r="D169" s="881"/>
      <c r="E169" s="881"/>
      <c r="F169" s="881"/>
      <c r="G169" s="881"/>
      <c r="H169" s="881"/>
    </row>
    <row r="170" spans="1:8" ht="15.75" x14ac:dyDescent="0.2">
      <c r="A170" s="883" t="s">
        <v>547</v>
      </c>
      <c r="B170" s="881"/>
      <c r="C170" s="881"/>
      <c r="D170" s="881"/>
      <c r="E170" s="881"/>
      <c r="F170" s="881"/>
      <c r="G170" s="881"/>
      <c r="H170" s="881"/>
    </row>
    <row r="171" spans="1:8" x14ac:dyDescent="0.2">
      <c r="A171" s="881"/>
      <c r="B171" s="881"/>
      <c r="C171" s="881"/>
      <c r="D171" s="881"/>
      <c r="E171" s="881"/>
      <c r="F171" s="881"/>
      <c r="G171" s="881"/>
      <c r="H171" s="881"/>
    </row>
    <row r="172" spans="1:8" x14ac:dyDescent="0.2">
      <c r="A172" s="881"/>
      <c r="B172" s="881"/>
      <c r="C172" s="881"/>
      <c r="D172" s="881"/>
      <c r="E172" s="881"/>
      <c r="F172" s="881"/>
      <c r="G172" s="881"/>
      <c r="H172" s="881"/>
    </row>
    <row r="173" spans="1:8" x14ac:dyDescent="0.2">
      <c r="A173" s="881"/>
      <c r="B173" s="881"/>
      <c r="C173" s="881"/>
      <c r="D173" s="881"/>
      <c r="E173" s="881"/>
      <c r="F173" s="881"/>
      <c r="G173" s="881"/>
      <c r="H173" s="881"/>
    </row>
    <row r="174" spans="1:8" x14ac:dyDescent="0.2">
      <c r="A174" s="881"/>
      <c r="B174" s="881"/>
      <c r="C174" s="881"/>
      <c r="D174" s="881"/>
      <c r="E174" s="881"/>
      <c r="F174" s="881"/>
      <c r="G174" s="881"/>
      <c r="H174" s="881"/>
    </row>
    <row r="175" spans="1:8" x14ac:dyDescent="0.2">
      <c r="A175" s="881"/>
      <c r="B175" s="881"/>
      <c r="C175" s="881"/>
      <c r="D175" s="881"/>
      <c r="E175" s="881"/>
      <c r="F175" s="881"/>
      <c r="G175" s="881"/>
      <c r="H175" s="881"/>
    </row>
    <row r="176" spans="1:8" x14ac:dyDescent="0.2">
      <c r="A176" s="881"/>
      <c r="B176" s="881"/>
      <c r="C176" s="881"/>
      <c r="D176" s="881"/>
      <c r="E176" s="881"/>
      <c r="F176" s="881"/>
      <c r="G176" s="881"/>
      <c r="H176" s="881"/>
    </row>
    <row r="177" spans="1:8" x14ac:dyDescent="0.2">
      <c r="A177" s="881"/>
      <c r="B177" s="881"/>
      <c r="C177" s="881"/>
      <c r="D177" s="881"/>
      <c r="E177" s="881"/>
      <c r="F177" s="881"/>
      <c r="G177" s="881"/>
      <c r="H177" s="881"/>
    </row>
    <row r="178" spans="1:8" x14ac:dyDescent="0.2">
      <c r="A178" s="881"/>
      <c r="B178" s="881"/>
      <c r="C178" s="881"/>
      <c r="D178" s="881"/>
      <c r="E178" s="881"/>
      <c r="F178" s="881"/>
      <c r="G178" s="881"/>
      <c r="H178" s="881"/>
    </row>
    <row r="179" spans="1:8" x14ac:dyDescent="0.2">
      <c r="A179" s="881"/>
      <c r="B179" s="881"/>
      <c r="C179" s="881"/>
      <c r="D179" s="881"/>
      <c r="E179" s="881"/>
      <c r="F179" s="881"/>
      <c r="G179" s="881"/>
      <c r="H179" s="881"/>
    </row>
    <row r="180" spans="1:8" x14ac:dyDescent="0.2">
      <c r="A180" s="881"/>
      <c r="B180" s="881"/>
      <c r="C180" s="881"/>
      <c r="D180" s="881"/>
      <c r="E180" s="881"/>
      <c r="F180" s="881"/>
      <c r="G180" s="881"/>
      <c r="H180" s="881"/>
    </row>
    <row r="181" spans="1:8" x14ac:dyDescent="0.2">
      <c r="A181" s="881"/>
      <c r="B181" s="881"/>
      <c r="C181" s="881"/>
      <c r="D181" s="881"/>
      <c r="E181" s="881"/>
      <c r="F181" s="881"/>
      <c r="G181" s="881"/>
      <c r="H181" s="881"/>
    </row>
    <row r="182" spans="1:8" x14ac:dyDescent="0.2">
      <c r="A182" s="881"/>
      <c r="B182" s="881"/>
      <c r="C182" s="881"/>
      <c r="D182" s="881"/>
      <c r="E182" s="881"/>
      <c r="F182" s="881"/>
      <c r="G182" s="881"/>
      <c r="H182" s="881"/>
    </row>
    <row r="183" spans="1:8" x14ac:dyDescent="0.2">
      <c r="A183" s="881"/>
      <c r="B183" s="881"/>
      <c r="C183" s="881"/>
      <c r="D183" s="881"/>
      <c r="E183" s="881"/>
      <c r="F183" s="881"/>
      <c r="G183" s="881"/>
      <c r="H183" s="881"/>
    </row>
    <row r="184" spans="1:8" x14ac:dyDescent="0.2">
      <c r="A184" s="881"/>
      <c r="B184" s="881"/>
      <c r="C184" s="881"/>
      <c r="D184" s="881"/>
      <c r="E184" s="881"/>
      <c r="F184" s="881"/>
      <c r="G184" s="881"/>
      <c r="H184" s="881"/>
    </row>
    <row r="185" spans="1:8" x14ac:dyDescent="0.2">
      <c r="A185" s="881"/>
      <c r="B185" s="881"/>
      <c r="C185" s="881"/>
      <c r="D185" s="881"/>
      <c r="E185" s="881"/>
      <c r="F185" s="881"/>
      <c r="G185" s="881"/>
      <c r="H185" s="881"/>
    </row>
    <row r="186" spans="1:8" x14ac:dyDescent="0.2">
      <c r="A186" s="881"/>
      <c r="B186" s="881"/>
      <c r="C186" s="881"/>
      <c r="D186" s="881"/>
      <c r="E186" s="881"/>
      <c r="F186" s="881"/>
      <c r="G186" s="881"/>
      <c r="H186" s="881"/>
    </row>
    <row r="187" spans="1:8" x14ac:dyDescent="0.2">
      <c r="A187" s="881"/>
      <c r="B187" s="881"/>
      <c r="C187" s="881"/>
      <c r="D187" s="881"/>
      <c r="E187" s="881"/>
      <c r="F187" s="881"/>
      <c r="G187" s="881"/>
      <c r="H187" s="881"/>
    </row>
    <row r="188" spans="1:8" x14ac:dyDescent="0.2">
      <c r="A188" s="881"/>
      <c r="B188" s="881"/>
      <c r="C188" s="881"/>
      <c r="D188" s="881"/>
      <c r="E188" s="881"/>
      <c r="F188" s="881"/>
      <c r="G188" s="881"/>
      <c r="H188" s="881"/>
    </row>
    <row r="189" spans="1:8" x14ac:dyDescent="0.2">
      <c r="A189" s="881"/>
      <c r="B189" s="881"/>
      <c r="C189" s="881"/>
      <c r="D189" s="881"/>
      <c r="E189" s="881"/>
      <c r="F189" s="881"/>
      <c r="G189" s="881"/>
      <c r="H189" s="881"/>
    </row>
    <row r="190" spans="1:8" x14ac:dyDescent="0.2">
      <c r="A190" s="881"/>
      <c r="B190" s="881"/>
      <c r="C190" s="881"/>
      <c r="D190" s="881"/>
      <c r="E190" s="881"/>
      <c r="F190" s="881"/>
      <c r="G190" s="881"/>
      <c r="H190" s="881"/>
    </row>
    <row r="191" spans="1:8" x14ac:dyDescent="0.2">
      <c r="A191" s="881"/>
      <c r="B191" s="881"/>
      <c r="C191" s="881"/>
      <c r="D191" s="881"/>
      <c r="E191" s="881"/>
      <c r="F191" s="881"/>
      <c r="G191" s="881"/>
      <c r="H191" s="881"/>
    </row>
    <row r="192" spans="1:8" x14ac:dyDescent="0.2">
      <c r="A192" s="881"/>
      <c r="B192" s="881"/>
      <c r="C192" s="881"/>
      <c r="D192" s="881"/>
      <c r="E192" s="881"/>
      <c r="F192" s="881"/>
      <c r="G192" s="881"/>
      <c r="H192" s="881"/>
    </row>
    <row r="193" spans="1:8" x14ac:dyDescent="0.2">
      <c r="A193" s="881"/>
      <c r="B193" s="881"/>
      <c r="C193" s="881"/>
      <c r="D193" s="881"/>
      <c r="E193" s="881"/>
      <c r="F193" s="881"/>
      <c r="G193" s="881"/>
      <c r="H193" s="881"/>
    </row>
    <row r="194" spans="1:8" x14ac:dyDescent="0.2">
      <c r="A194" s="881"/>
      <c r="B194" s="881"/>
      <c r="C194" s="881"/>
      <c r="D194" s="881"/>
      <c r="E194" s="881"/>
      <c r="F194" s="881"/>
      <c r="G194" s="881"/>
      <c r="H194" s="881"/>
    </row>
    <row r="195" spans="1:8" x14ac:dyDescent="0.2">
      <c r="A195" s="881"/>
      <c r="B195" s="881"/>
      <c r="C195" s="881"/>
      <c r="D195" s="881"/>
      <c r="E195" s="881"/>
      <c r="F195" s="881"/>
      <c r="G195" s="881"/>
      <c r="H195" s="881"/>
    </row>
    <row r="196" spans="1:8" x14ac:dyDescent="0.2">
      <c r="A196" s="881"/>
      <c r="B196" s="881"/>
      <c r="C196" s="881"/>
      <c r="D196" s="881"/>
      <c r="E196" s="881"/>
      <c r="F196" s="881"/>
      <c r="G196" s="881"/>
      <c r="H196" s="881"/>
    </row>
    <row r="197" spans="1:8" ht="15.75" x14ac:dyDescent="0.2">
      <c r="A197" s="883" t="s">
        <v>548</v>
      </c>
      <c r="B197" s="881"/>
      <c r="C197" s="881"/>
      <c r="D197" s="881"/>
      <c r="E197" s="881"/>
      <c r="F197" s="881"/>
      <c r="G197" s="881"/>
      <c r="H197" s="881"/>
    </row>
    <row r="198" spans="1:8" x14ac:dyDescent="0.2">
      <c r="A198" s="881"/>
      <c r="B198" s="881"/>
      <c r="C198" s="881"/>
      <c r="D198" s="881"/>
      <c r="E198" s="881"/>
      <c r="F198" s="881"/>
      <c r="G198" s="881"/>
      <c r="H198" s="881"/>
    </row>
    <row r="199" spans="1:8" x14ac:dyDescent="0.2">
      <c r="A199" s="882" t="s">
        <v>709</v>
      </c>
      <c r="B199" s="881"/>
      <c r="C199" s="881"/>
      <c r="D199" s="881"/>
      <c r="E199" s="881"/>
      <c r="F199" s="881"/>
      <c r="G199" s="881"/>
      <c r="H199" s="881"/>
    </row>
    <row r="200" spans="1:8" x14ac:dyDescent="0.2">
      <c r="A200" s="882" t="s">
        <v>710</v>
      </c>
      <c r="B200" s="881"/>
      <c r="C200" s="881"/>
      <c r="D200" s="881"/>
      <c r="E200" s="881"/>
      <c r="F200" s="881"/>
      <c r="G200" s="881"/>
      <c r="H200" s="881"/>
    </row>
    <row r="201" spans="1:8" x14ac:dyDescent="0.2">
      <c r="A201" s="882" t="s">
        <v>711</v>
      </c>
      <c r="B201" s="881"/>
      <c r="C201" s="881"/>
      <c r="D201" s="881"/>
      <c r="E201" s="881"/>
      <c r="F201" s="881"/>
      <c r="G201" s="881"/>
      <c r="H201" s="881"/>
    </row>
    <row r="202" spans="1:8" x14ac:dyDescent="0.2">
      <c r="A202" s="882" t="s">
        <v>712</v>
      </c>
      <c r="B202" s="881"/>
      <c r="C202" s="881"/>
      <c r="D202" s="881"/>
      <c r="E202" s="881"/>
      <c r="F202" s="881"/>
      <c r="G202" s="881"/>
      <c r="H202" s="881"/>
    </row>
    <row r="203" spans="1:8" x14ac:dyDescent="0.2">
      <c r="A203" s="882" t="s">
        <v>713</v>
      </c>
      <c r="B203" s="881"/>
      <c r="C203" s="881"/>
      <c r="D203" s="881"/>
      <c r="E203" s="881"/>
      <c r="F203" s="881"/>
      <c r="G203" s="881"/>
      <c r="H203" s="881"/>
    </row>
    <row r="204" spans="1:8" x14ac:dyDescent="0.2">
      <c r="A204" s="881"/>
      <c r="B204" s="881"/>
      <c r="C204" s="881"/>
      <c r="D204" s="881"/>
      <c r="E204" s="881"/>
      <c r="F204" s="881"/>
      <c r="G204" s="881"/>
      <c r="H204" s="881"/>
    </row>
    <row r="205" spans="1:8" x14ac:dyDescent="0.2">
      <c r="A205" s="882" t="s">
        <v>706</v>
      </c>
      <c r="B205" s="881"/>
      <c r="C205" s="881"/>
      <c r="D205" s="881"/>
      <c r="E205" s="881"/>
      <c r="F205" s="881"/>
      <c r="G205" s="881"/>
      <c r="H205" s="881"/>
    </row>
    <row r="206" spans="1:8" x14ac:dyDescent="0.2">
      <c r="A206" s="882" t="s">
        <v>707</v>
      </c>
      <c r="B206" s="881"/>
      <c r="C206" s="881"/>
      <c r="D206" s="881"/>
      <c r="E206" s="881"/>
      <c r="F206" s="881"/>
      <c r="G206" s="881"/>
      <c r="H206" s="881"/>
    </row>
    <row r="207" spans="1:8" x14ac:dyDescent="0.2">
      <c r="A207" s="882" t="s">
        <v>708</v>
      </c>
      <c r="B207" s="881"/>
      <c r="C207" s="881"/>
      <c r="D207" s="881"/>
      <c r="E207" s="881"/>
      <c r="F207" s="881"/>
      <c r="G207" s="881"/>
      <c r="H207" s="881"/>
    </row>
    <row r="208" spans="1:8" ht="15.75" x14ac:dyDescent="0.2">
      <c r="A208" s="883" t="s">
        <v>549</v>
      </c>
      <c r="B208" s="881"/>
      <c r="C208" s="881"/>
      <c r="D208" s="881"/>
      <c r="E208" s="881"/>
      <c r="F208" s="881"/>
      <c r="G208" s="881"/>
      <c r="H208" s="881"/>
    </row>
    <row r="209" spans="1:8" x14ac:dyDescent="0.2">
      <c r="A209" s="881"/>
      <c r="B209" s="881"/>
      <c r="C209" s="881"/>
      <c r="D209" s="881"/>
      <c r="E209" s="881"/>
      <c r="F209" s="881"/>
      <c r="G209" s="881"/>
      <c r="H209" s="881"/>
    </row>
    <row r="210" spans="1:8" x14ac:dyDescent="0.2">
      <c r="A210" s="882" t="s">
        <v>704</v>
      </c>
      <c r="B210" s="881"/>
      <c r="C210" s="881"/>
      <c r="D210" s="881"/>
      <c r="E210" s="881"/>
      <c r="F210" s="881"/>
      <c r="G210" s="881"/>
      <c r="H210" s="881"/>
    </row>
    <row r="211" spans="1:8" x14ac:dyDescent="0.2">
      <c r="A211" s="882" t="s">
        <v>705</v>
      </c>
      <c r="B211" s="881"/>
      <c r="C211" s="881"/>
      <c r="D211" s="881"/>
      <c r="E211" s="881"/>
      <c r="F211" s="881"/>
      <c r="G211" s="881"/>
      <c r="H211" s="881"/>
    </row>
    <row r="212" spans="1:8" x14ac:dyDescent="0.2">
      <c r="A212" s="881"/>
      <c r="B212" s="881"/>
      <c r="C212" s="881"/>
      <c r="D212" s="881"/>
      <c r="E212" s="881"/>
      <c r="F212" s="881"/>
      <c r="G212" s="881"/>
      <c r="H212" s="881"/>
    </row>
    <row r="213" spans="1:8" x14ac:dyDescent="0.2">
      <c r="A213" s="882" t="s">
        <v>697</v>
      </c>
      <c r="B213" s="881"/>
      <c r="C213" s="881"/>
      <c r="D213" s="881"/>
      <c r="E213" s="881"/>
      <c r="F213" s="881"/>
      <c r="G213" s="881"/>
      <c r="H213" s="881"/>
    </row>
    <row r="214" spans="1:8" x14ac:dyDescent="0.2">
      <c r="A214" s="882" t="s">
        <v>698</v>
      </c>
      <c r="B214" s="881"/>
      <c r="C214" s="881"/>
      <c r="D214" s="881"/>
      <c r="E214" s="881"/>
      <c r="F214" s="881"/>
      <c r="G214" s="881"/>
      <c r="H214" s="881"/>
    </row>
    <row r="215" spans="1:8" x14ac:dyDescent="0.2">
      <c r="A215" s="882" t="s">
        <v>699</v>
      </c>
      <c r="B215" s="881"/>
      <c r="C215" s="881"/>
      <c r="D215" s="881"/>
      <c r="E215" s="881"/>
      <c r="F215" s="881"/>
      <c r="G215" s="881"/>
      <c r="H215" s="881"/>
    </row>
    <row r="216" spans="1:8" x14ac:dyDescent="0.2">
      <c r="A216" s="882" t="s">
        <v>700</v>
      </c>
      <c r="B216" s="881"/>
      <c r="C216" s="881"/>
      <c r="D216" s="881"/>
      <c r="E216" s="881"/>
      <c r="F216" s="881"/>
      <c r="G216" s="881"/>
      <c r="H216" s="881"/>
    </row>
    <row r="217" spans="1:8" x14ac:dyDescent="0.2">
      <c r="A217" s="882" t="s">
        <v>701</v>
      </c>
      <c r="B217" s="881"/>
      <c r="C217" s="881"/>
      <c r="D217" s="881"/>
      <c r="E217" s="881"/>
      <c r="F217" s="881"/>
      <c r="G217" s="881"/>
      <c r="H217" s="881"/>
    </row>
    <row r="218" spans="1:8" x14ac:dyDescent="0.2">
      <c r="A218" s="882" t="s">
        <v>702</v>
      </c>
      <c r="B218" s="881"/>
      <c r="C218" s="881"/>
      <c r="D218" s="881"/>
      <c r="E218" s="881"/>
      <c r="F218" s="881"/>
      <c r="G218" s="881"/>
      <c r="H218" s="881"/>
    </row>
    <row r="219" spans="1:8" x14ac:dyDescent="0.2">
      <c r="A219" s="882" t="s">
        <v>703</v>
      </c>
      <c r="B219" s="881"/>
      <c r="C219" s="881"/>
      <c r="D219" s="881"/>
      <c r="E219" s="881"/>
      <c r="F219" s="881"/>
      <c r="G219" s="881"/>
      <c r="H219" s="881"/>
    </row>
    <row r="220" spans="1:8" x14ac:dyDescent="0.2">
      <c r="A220" s="881"/>
      <c r="B220" s="881"/>
      <c r="C220" s="881"/>
      <c r="D220" s="881"/>
      <c r="E220" s="881"/>
      <c r="F220" s="881"/>
      <c r="G220" s="881"/>
      <c r="H220" s="881"/>
    </row>
    <row r="221" spans="1:8" x14ac:dyDescent="0.2">
      <c r="A221" s="882" t="s">
        <v>694</v>
      </c>
      <c r="B221" s="881"/>
      <c r="C221" s="881"/>
      <c r="D221" s="881"/>
      <c r="E221" s="881"/>
      <c r="F221" s="881"/>
      <c r="G221" s="881"/>
      <c r="H221" s="881"/>
    </row>
    <row r="222" spans="1:8" x14ac:dyDescent="0.2">
      <c r="A222" s="882" t="s">
        <v>695</v>
      </c>
      <c r="B222" s="881"/>
      <c r="C222" s="881"/>
      <c r="D222" s="881"/>
      <c r="E222" s="881"/>
      <c r="F222" s="881"/>
      <c r="G222" s="881"/>
      <c r="H222" s="881"/>
    </row>
    <row r="223" spans="1:8" x14ac:dyDescent="0.2">
      <c r="A223" s="882" t="s">
        <v>696</v>
      </c>
      <c r="B223" s="881"/>
      <c r="C223" s="881"/>
      <c r="D223" s="881"/>
      <c r="E223" s="881"/>
      <c r="F223" s="881"/>
      <c r="G223" s="881"/>
      <c r="H223" s="881"/>
    </row>
    <row r="224" spans="1:8" x14ac:dyDescent="0.2">
      <c r="A224" s="881"/>
      <c r="B224" s="881"/>
      <c r="C224" s="881"/>
      <c r="D224" s="881"/>
      <c r="E224" s="881"/>
      <c r="F224" s="881"/>
      <c r="G224" s="881"/>
      <c r="H224" s="881"/>
    </row>
    <row r="225" spans="1:8" x14ac:dyDescent="0.2">
      <c r="A225" s="882" t="s">
        <v>689</v>
      </c>
      <c r="B225" s="881"/>
      <c r="C225" s="881"/>
      <c r="D225" s="881"/>
      <c r="E225" s="881"/>
      <c r="F225" s="881"/>
      <c r="G225" s="881"/>
      <c r="H225" s="881"/>
    </row>
    <row r="226" spans="1:8" x14ac:dyDescent="0.2">
      <c r="A226" s="882" t="s">
        <v>690</v>
      </c>
      <c r="B226" s="881"/>
      <c r="C226" s="881"/>
      <c r="D226" s="881"/>
      <c r="E226" s="881"/>
      <c r="F226" s="881"/>
      <c r="G226" s="881"/>
      <c r="H226" s="881"/>
    </row>
    <row r="227" spans="1:8" x14ac:dyDescent="0.2">
      <c r="A227" s="882" t="s">
        <v>691</v>
      </c>
      <c r="B227" s="881"/>
      <c r="C227" s="881"/>
      <c r="D227" s="881"/>
      <c r="E227" s="881"/>
      <c r="F227" s="881"/>
      <c r="G227" s="881"/>
      <c r="H227" s="881"/>
    </row>
    <row r="228" spans="1:8" x14ac:dyDescent="0.2">
      <c r="A228" s="882" t="s">
        <v>692</v>
      </c>
      <c r="B228" s="881"/>
      <c r="C228" s="881"/>
      <c r="D228" s="881"/>
      <c r="E228" s="881"/>
      <c r="F228" s="881"/>
      <c r="G228" s="881"/>
      <c r="H228" s="881"/>
    </row>
    <row r="229" spans="1:8" x14ac:dyDescent="0.2">
      <c r="A229" s="882" t="s">
        <v>693</v>
      </c>
      <c r="B229" s="881"/>
      <c r="C229" s="881"/>
      <c r="D229" s="881"/>
      <c r="E229" s="881"/>
      <c r="F229" s="881"/>
      <c r="G229" s="881"/>
      <c r="H229" s="881"/>
    </row>
    <row r="230" spans="1:8" x14ac:dyDescent="0.2">
      <c r="A230" s="881"/>
      <c r="B230" s="881"/>
      <c r="C230" s="881"/>
      <c r="D230" s="881"/>
      <c r="E230" s="881"/>
      <c r="F230" s="881"/>
      <c r="G230" s="881"/>
      <c r="H230" s="881"/>
    </row>
    <row r="231" spans="1:8" x14ac:dyDescent="0.2">
      <c r="A231" s="882" t="s">
        <v>683</v>
      </c>
      <c r="B231" s="881"/>
      <c r="C231" s="881"/>
      <c r="D231" s="881"/>
      <c r="E231" s="881"/>
      <c r="F231" s="881"/>
      <c r="G231" s="881"/>
      <c r="H231" s="881"/>
    </row>
    <row r="232" spans="1:8" x14ac:dyDescent="0.2">
      <c r="A232" s="882" t="s">
        <v>684</v>
      </c>
      <c r="B232" s="881"/>
      <c r="C232" s="881"/>
      <c r="D232" s="881"/>
      <c r="E232" s="881"/>
      <c r="F232" s="881"/>
      <c r="G232" s="881"/>
      <c r="H232" s="881"/>
    </row>
    <row r="233" spans="1:8" x14ac:dyDescent="0.2">
      <c r="A233" s="882" t="s">
        <v>685</v>
      </c>
      <c r="B233" s="881"/>
      <c r="C233" s="881"/>
      <c r="D233" s="881"/>
      <c r="E233" s="881"/>
      <c r="F233" s="881"/>
      <c r="G233" s="881"/>
      <c r="H233" s="881"/>
    </row>
    <row r="234" spans="1:8" x14ac:dyDescent="0.2">
      <c r="A234" s="882" t="s">
        <v>686</v>
      </c>
      <c r="B234" s="881"/>
      <c r="C234" s="881"/>
      <c r="D234" s="881"/>
      <c r="E234" s="881"/>
      <c r="F234" s="881"/>
      <c r="G234" s="881"/>
      <c r="H234" s="881"/>
    </row>
    <row r="235" spans="1:8" x14ac:dyDescent="0.2">
      <c r="A235" s="882" t="s">
        <v>687</v>
      </c>
      <c r="B235" s="881"/>
      <c r="C235" s="881"/>
      <c r="D235" s="881"/>
      <c r="E235" s="881"/>
      <c r="F235" s="881"/>
      <c r="G235" s="881"/>
      <c r="H235" s="881"/>
    </row>
    <row r="236" spans="1:8" x14ac:dyDescent="0.2">
      <c r="A236" s="882" t="s">
        <v>688</v>
      </c>
      <c r="B236" s="881"/>
      <c r="C236" s="881"/>
      <c r="D236" s="881"/>
      <c r="E236" s="881"/>
      <c r="F236" s="881"/>
      <c r="G236" s="881"/>
      <c r="H236" s="881"/>
    </row>
    <row r="237" spans="1:8" x14ac:dyDescent="0.2">
      <c r="A237" s="881"/>
      <c r="B237" s="881"/>
      <c r="C237" s="881"/>
      <c r="D237" s="881"/>
      <c r="E237" s="881"/>
      <c r="F237" s="881"/>
      <c r="G237" s="881"/>
      <c r="H237" s="881"/>
    </row>
    <row r="238" spans="1:8" x14ac:dyDescent="0.2">
      <c r="A238" s="882" t="s">
        <v>673</v>
      </c>
      <c r="B238" s="881"/>
      <c r="C238" s="881"/>
      <c r="D238" s="881"/>
      <c r="E238" s="881"/>
      <c r="F238" s="881"/>
      <c r="G238" s="881"/>
      <c r="H238" s="881"/>
    </row>
    <row r="239" spans="1:8" x14ac:dyDescent="0.2">
      <c r="A239" s="882" t="s">
        <v>674</v>
      </c>
      <c r="B239" s="881"/>
      <c r="C239" s="881"/>
      <c r="D239" s="881"/>
      <c r="E239" s="881"/>
      <c r="F239" s="881"/>
      <c r="G239" s="881"/>
      <c r="H239" s="881"/>
    </row>
    <row r="240" spans="1:8" x14ac:dyDescent="0.2">
      <c r="A240" s="882" t="s">
        <v>675</v>
      </c>
      <c r="B240" s="881"/>
      <c r="C240" s="881"/>
      <c r="D240" s="881"/>
      <c r="E240" s="881"/>
      <c r="F240" s="881"/>
      <c r="G240" s="881"/>
      <c r="H240" s="881"/>
    </row>
    <row r="241" spans="1:8" x14ac:dyDescent="0.2">
      <c r="A241" s="882" t="s">
        <v>676</v>
      </c>
      <c r="B241" s="881"/>
      <c r="C241" s="881"/>
      <c r="D241" s="881"/>
      <c r="E241" s="881"/>
      <c r="F241" s="881"/>
      <c r="G241" s="881"/>
      <c r="H241" s="881"/>
    </row>
    <row r="242" spans="1:8" x14ac:dyDescent="0.2">
      <c r="A242" s="882" t="s">
        <v>677</v>
      </c>
      <c r="B242" s="881"/>
      <c r="C242" s="881"/>
      <c r="D242" s="881"/>
      <c r="E242" s="881"/>
      <c r="F242" s="881"/>
      <c r="G242" s="881"/>
      <c r="H242" s="881"/>
    </row>
    <row r="243" spans="1:8" x14ac:dyDescent="0.2">
      <c r="A243" s="882" t="s">
        <v>678</v>
      </c>
      <c r="B243" s="881"/>
      <c r="C243" s="881"/>
      <c r="D243" s="881"/>
      <c r="E243" s="881"/>
      <c r="F243" s="881"/>
      <c r="G243" s="881"/>
      <c r="H243" s="881"/>
    </row>
    <row r="244" spans="1:8" x14ac:dyDescent="0.2">
      <c r="A244" s="882" t="s">
        <v>679</v>
      </c>
      <c r="B244" s="881"/>
      <c r="C244" s="881"/>
      <c r="D244" s="881"/>
      <c r="E244" s="881"/>
      <c r="F244" s="881"/>
      <c r="G244" s="881"/>
      <c r="H244" s="881"/>
    </row>
    <row r="245" spans="1:8" x14ac:dyDescent="0.2">
      <c r="A245" s="882" t="s">
        <v>680</v>
      </c>
      <c r="B245" s="881"/>
      <c r="C245" s="881"/>
      <c r="D245" s="881"/>
      <c r="E245" s="881"/>
      <c r="F245" s="881"/>
      <c r="G245" s="881"/>
      <c r="H245" s="881"/>
    </row>
    <row r="246" spans="1:8" x14ac:dyDescent="0.2">
      <c r="A246" s="882" t="s">
        <v>681</v>
      </c>
      <c r="B246" s="881"/>
      <c r="C246" s="881"/>
      <c r="D246" s="881"/>
      <c r="E246" s="881"/>
      <c r="F246" s="881"/>
      <c r="G246" s="881"/>
      <c r="H246" s="881"/>
    </row>
    <row r="247" spans="1:8" x14ac:dyDescent="0.2">
      <c r="A247" s="882" t="s">
        <v>682</v>
      </c>
      <c r="B247" s="881"/>
      <c r="C247" s="881"/>
      <c r="D247" s="881"/>
      <c r="E247" s="881"/>
      <c r="F247" s="881"/>
      <c r="G247" s="881"/>
      <c r="H247" s="881"/>
    </row>
    <row r="248" spans="1:8" x14ac:dyDescent="0.2">
      <c r="A248" s="881"/>
      <c r="B248" s="881"/>
      <c r="C248" s="881"/>
      <c r="D248" s="881"/>
      <c r="E248" s="881"/>
      <c r="F248" s="881"/>
      <c r="G248" s="881"/>
      <c r="H248" s="881"/>
    </row>
    <row r="249" spans="1:8" x14ac:dyDescent="0.2">
      <c r="A249" s="882" t="s">
        <v>671</v>
      </c>
      <c r="B249" s="881"/>
      <c r="C249" s="881"/>
      <c r="D249" s="881"/>
      <c r="E249" s="881"/>
      <c r="F249" s="881"/>
      <c r="G249" s="881"/>
      <c r="H249" s="881"/>
    </row>
    <row r="250" spans="1:8" x14ac:dyDescent="0.2">
      <c r="A250" s="882" t="s">
        <v>672</v>
      </c>
      <c r="B250" s="881"/>
      <c r="C250" s="881"/>
      <c r="D250" s="881"/>
      <c r="E250" s="881"/>
      <c r="F250" s="881"/>
      <c r="G250" s="881"/>
      <c r="H250" s="881"/>
    </row>
    <row r="251" spans="1:8" x14ac:dyDescent="0.2">
      <c r="A251" s="881"/>
      <c r="B251" s="881"/>
      <c r="C251" s="881"/>
      <c r="D251" s="881"/>
      <c r="E251" s="881"/>
      <c r="F251" s="881"/>
      <c r="G251" s="881"/>
      <c r="H251" s="881"/>
    </row>
    <row r="252" spans="1:8" x14ac:dyDescent="0.2">
      <c r="A252" s="882" t="s">
        <v>655</v>
      </c>
      <c r="B252" s="881"/>
      <c r="C252" s="881"/>
      <c r="D252" s="881"/>
      <c r="E252" s="881"/>
      <c r="F252" s="881"/>
      <c r="G252" s="881"/>
      <c r="H252" s="881"/>
    </row>
    <row r="253" spans="1:8" x14ac:dyDescent="0.2">
      <c r="A253" s="882" t="s">
        <v>656</v>
      </c>
      <c r="B253" s="881"/>
      <c r="C253" s="881"/>
      <c r="D253" s="881"/>
      <c r="E253" s="881"/>
      <c r="F253" s="881"/>
      <c r="G253" s="881"/>
      <c r="H253" s="881"/>
    </row>
    <row r="254" spans="1:8" x14ac:dyDescent="0.2">
      <c r="A254" s="882" t="s">
        <v>657</v>
      </c>
      <c r="B254" s="881"/>
      <c r="C254" s="881"/>
      <c r="D254" s="881"/>
      <c r="E254" s="881"/>
      <c r="F254" s="881"/>
      <c r="G254" s="881"/>
      <c r="H254" s="881"/>
    </row>
    <row r="255" spans="1:8" x14ac:dyDescent="0.2">
      <c r="A255" s="882" t="s">
        <v>658</v>
      </c>
      <c r="B255" s="881"/>
      <c r="C255" s="881"/>
      <c r="D255" s="881"/>
      <c r="E255" s="881"/>
      <c r="F255" s="881"/>
      <c r="G255" s="881"/>
      <c r="H255" s="881"/>
    </row>
    <row r="256" spans="1:8" x14ac:dyDescent="0.2">
      <c r="A256" s="882" t="s">
        <v>659</v>
      </c>
      <c r="B256" s="881"/>
      <c r="C256" s="881"/>
      <c r="D256" s="881"/>
      <c r="E256" s="881"/>
      <c r="F256" s="881"/>
      <c r="G256" s="881"/>
      <c r="H256" s="881"/>
    </row>
    <row r="257" spans="1:8" x14ac:dyDescent="0.2">
      <c r="A257" s="882" t="s">
        <v>660</v>
      </c>
      <c r="B257" s="881"/>
      <c r="C257" s="881"/>
      <c r="D257" s="881"/>
      <c r="E257" s="881"/>
      <c r="F257" s="881"/>
      <c r="G257" s="881"/>
      <c r="H257" s="881"/>
    </row>
    <row r="258" spans="1:8" x14ac:dyDescent="0.2">
      <c r="A258" s="882" t="s">
        <v>661</v>
      </c>
      <c r="B258" s="881"/>
      <c r="C258" s="881"/>
      <c r="D258" s="881"/>
      <c r="E258" s="881"/>
      <c r="F258" s="881"/>
      <c r="G258" s="881"/>
      <c r="H258" s="881"/>
    </row>
    <row r="259" spans="1:8" x14ac:dyDescent="0.2">
      <c r="A259" s="882" t="s">
        <v>662</v>
      </c>
      <c r="B259" s="881"/>
      <c r="C259" s="881"/>
      <c r="D259" s="881"/>
      <c r="E259" s="881"/>
      <c r="F259" s="881"/>
      <c r="G259" s="881"/>
      <c r="H259" s="881"/>
    </row>
    <row r="260" spans="1:8" x14ac:dyDescent="0.2">
      <c r="A260" s="882" t="s">
        <v>663</v>
      </c>
      <c r="B260" s="881"/>
      <c r="C260" s="881"/>
      <c r="D260" s="881"/>
      <c r="E260" s="881"/>
      <c r="F260" s="881"/>
      <c r="G260" s="881"/>
      <c r="H260" s="881"/>
    </row>
    <row r="261" spans="1:8" x14ac:dyDescent="0.2">
      <c r="A261" s="882" t="s">
        <v>664</v>
      </c>
      <c r="B261" s="881"/>
      <c r="C261" s="881"/>
      <c r="D261" s="881"/>
      <c r="E261" s="881"/>
      <c r="F261" s="881"/>
      <c r="G261" s="881"/>
      <c r="H261" s="881"/>
    </row>
    <row r="262" spans="1:8" x14ac:dyDescent="0.2">
      <c r="A262" s="882" t="s">
        <v>665</v>
      </c>
      <c r="B262" s="881"/>
      <c r="C262" s="881"/>
      <c r="D262" s="881"/>
      <c r="E262" s="881"/>
      <c r="F262" s="881"/>
      <c r="G262" s="881"/>
      <c r="H262" s="881"/>
    </row>
    <row r="263" spans="1:8" x14ac:dyDescent="0.2">
      <c r="A263" s="882" t="s">
        <v>666</v>
      </c>
      <c r="B263" s="881"/>
      <c r="C263" s="881"/>
      <c r="D263" s="881"/>
      <c r="E263" s="881"/>
      <c r="F263" s="881"/>
      <c r="G263" s="881"/>
      <c r="H263" s="881"/>
    </row>
    <row r="264" spans="1:8" x14ac:dyDescent="0.2">
      <c r="A264" s="882" t="s">
        <v>667</v>
      </c>
      <c r="B264" s="881"/>
      <c r="C264" s="881"/>
      <c r="D264" s="881"/>
      <c r="E264" s="881"/>
      <c r="F264" s="881"/>
      <c r="G264" s="881"/>
      <c r="H264" s="881"/>
    </row>
    <row r="265" spans="1:8" x14ac:dyDescent="0.2">
      <c r="A265" s="882" t="s">
        <v>668</v>
      </c>
      <c r="B265" s="881"/>
      <c r="C265" s="881"/>
      <c r="D265" s="881"/>
      <c r="E265" s="881"/>
      <c r="F265" s="881"/>
      <c r="G265" s="881"/>
      <c r="H265" s="881"/>
    </row>
    <row r="266" spans="1:8" x14ac:dyDescent="0.2">
      <c r="A266" s="882" t="s">
        <v>669</v>
      </c>
      <c r="B266" s="881"/>
      <c r="C266" s="881"/>
      <c r="D266" s="881"/>
      <c r="E266" s="881"/>
      <c r="F266" s="881"/>
      <c r="G266" s="881"/>
      <c r="H266" s="881"/>
    </row>
    <row r="267" spans="1:8" x14ac:dyDescent="0.2">
      <c r="A267" s="882" t="s">
        <v>670</v>
      </c>
      <c r="B267" s="881"/>
      <c r="C267" s="881"/>
      <c r="D267" s="881"/>
      <c r="E267" s="881"/>
      <c r="F267" s="881"/>
      <c r="G267" s="881"/>
      <c r="H267" s="881"/>
    </row>
    <row r="268" spans="1:8" x14ac:dyDescent="0.2">
      <c r="A268" s="881"/>
      <c r="B268" s="881"/>
      <c r="C268" s="881"/>
      <c r="D268" s="881"/>
      <c r="E268" s="881"/>
      <c r="F268" s="881"/>
      <c r="G268" s="881"/>
      <c r="H268" s="881"/>
    </row>
    <row r="269" spans="1:8" x14ac:dyDescent="0.2">
      <c r="A269" s="882" t="s">
        <v>648</v>
      </c>
      <c r="B269" s="881"/>
      <c r="C269" s="881"/>
      <c r="D269" s="881"/>
      <c r="E269" s="881"/>
      <c r="F269" s="881"/>
      <c r="G269" s="881"/>
      <c r="H269" s="881"/>
    </row>
    <row r="270" spans="1:8" x14ac:dyDescent="0.2">
      <c r="A270" s="882" t="s">
        <v>649</v>
      </c>
      <c r="B270" s="881"/>
      <c r="C270" s="881"/>
      <c r="D270" s="881"/>
      <c r="E270" s="881"/>
      <c r="F270" s="881"/>
      <c r="G270" s="881"/>
      <c r="H270" s="881"/>
    </row>
    <row r="271" spans="1:8" x14ac:dyDescent="0.2">
      <c r="A271" s="882" t="s">
        <v>650</v>
      </c>
      <c r="B271" s="881"/>
      <c r="C271" s="881"/>
      <c r="D271" s="881"/>
      <c r="E271" s="881"/>
      <c r="F271" s="881"/>
      <c r="G271" s="881"/>
      <c r="H271" s="881"/>
    </row>
    <row r="272" spans="1:8" x14ac:dyDescent="0.2">
      <c r="A272" s="882" t="s">
        <v>651</v>
      </c>
      <c r="B272" s="881"/>
      <c r="C272" s="881"/>
      <c r="D272" s="881"/>
      <c r="E272" s="881"/>
      <c r="F272" s="881"/>
      <c r="G272" s="881"/>
      <c r="H272" s="881"/>
    </row>
    <row r="273" spans="1:8" x14ac:dyDescent="0.2">
      <c r="A273" s="882" t="s">
        <v>652</v>
      </c>
      <c r="B273" s="881"/>
      <c r="C273" s="881"/>
      <c r="D273" s="881"/>
      <c r="E273" s="881"/>
      <c r="F273" s="881"/>
      <c r="G273" s="881"/>
      <c r="H273" s="881"/>
    </row>
    <row r="274" spans="1:8" x14ac:dyDescent="0.2">
      <c r="A274" s="882" t="s">
        <v>653</v>
      </c>
      <c r="B274" s="881"/>
      <c r="C274" s="881"/>
      <c r="D274" s="881"/>
      <c r="E274" s="881"/>
      <c r="F274" s="881"/>
      <c r="G274" s="881"/>
      <c r="H274" s="881"/>
    </row>
    <row r="275" spans="1:8" x14ac:dyDescent="0.2">
      <c r="A275" s="882" t="s">
        <v>654</v>
      </c>
      <c r="B275" s="881"/>
      <c r="C275" s="881"/>
      <c r="D275" s="881"/>
      <c r="E275" s="881"/>
      <c r="F275" s="881"/>
      <c r="G275" s="881"/>
      <c r="H275" s="881"/>
    </row>
    <row r="276" spans="1:8" x14ac:dyDescent="0.2">
      <c r="A276" s="881"/>
      <c r="B276" s="881"/>
      <c r="C276" s="881"/>
      <c r="D276" s="881"/>
      <c r="E276" s="881"/>
      <c r="F276" s="881"/>
      <c r="G276" s="881"/>
      <c r="H276" s="881"/>
    </row>
    <row r="277" spans="1:8" x14ac:dyDescent="0.2">
      <c r="A277" s="882" t="s">
        <v>639</v>
      </c>
      <c r="B277" s="881"/>
      <c r="C277" s="881"/>
      <c r="D277" s="881"/>
      <c r="E277" s="881"/>
      <c r="F277" s="881"/>
      <c r="G277" s="881"/>
      <c r="H277" s="881"/>
    </row>
    <row r="278" spans="1:8" x14ac:dyDescent="0.2">
      <c r="A278" s="882" t="s">
        <v>640</v>
      </c>
      <c r="B278" s="881"/>
      <c r="C278" s="881"/>
      <c r="D278" s="881"/>
      <c r="E278" s="881"/>
      <c r="F278" s="881"/>
      <c r="G278" s="881"/>
      <c r="H278" s="881"/>
    </row>
    <row r="279" spans="1:8" x14ac:dyDescent="0.2">
      <c r="A279" s="882" t="s">
        <v>641</v>
      </c>
      <c r="B279" s="881"/>
      <c r="C279" s="881"/>
      <c r="D279" s="881"/>
      <c r="E279" s="881"/>
      <c r="F279" s="881"/>
      <c r="G279" s="881"/>
      <c r="H279" s="881"/>
    </row>
    <row r="280" spans="1:8" x14ac:dyDescent="0.2">
      <c r="A280" s="882" t="s">
        <v>642</v>
      </c>
      <c r="B280" s="881"/>
      <c r="C280" s="881"/>
      <c r="D280" s="881"/>
      <c r="E280" s="881"/>
      <c r="F280" s="881"/>
      <c r="G280" s="881"/>
      <c r="H280" s="881"/>
    </row>
    <row r="281" spans="1:8" x14ac:dyDescent="0.2">
      <c r="A281" s="882" t="s">
        <v>643</v>
      </c>
      <c r="B281" s="881"/>
      <c r="C281" s="881"/>
      <c r="D281" s="881"/>
      <c r="E281" s="881"/>
      <c r="F281" s="881"/>
      <c r="G281" s="881"/>
      <c r="H281" s="881"/>
    </row>
    <row r="282" spans="1:8" x14ac:dyDescent="0.2">
      <c r="A282" s="882" t="s">
        <v>644</v>
      </c>
      <c r="B282" s="881"/>
      <c r="C282" s="881"/>
      <c r="D282" s="881"/>
      <c r="E282" s="881"/>
      <c r="F282" s="881"/>
      <c r="G282" s="881"/>
      <c r="H282" s="881"/>
    </row>
    <row r="283" spans="1:8" x14ac:dyDescent="0.2">
      <c r="A283" s="882" t="s">
        <v>645</v>
      </c>
      <c r="B283" s="881"/>
      <c r="C283" s="881"/>
      <c r="D283" s="881"/>
      <c r="E283" s="881"/>
      <c r="F283" s="881"/>
      <c r="G283" s="881"/>
      <c r="H283" s="881"/>
    </row>
    <row r="284" spans="1:8" x14ac:dyDescent="0.2">
      <c r="A284" s="882" t="s">
        <v>646</v>
      </c>
      <c r="B284" s="881"/>
      <c r="C284" s="881"/>
      <c r="D284" s="881"/>
      <c r="E284" s="881"/>
      <c r="F284" s="881"/>
      <c r="G284" s="881"/>
      <c r="H284" s="881"/>
    </row>
    <row r="285" spans="1:8" x14ac:dyDescent="0.2">
      <c r="A285" s="882" t="s">
        <v>647</v>
      </c>
      <c r="B285" s="881"/>
      <c r="C285" s="881"/>
      <c r="D285" s="881"/>
      <c r="E285" s="881"/>
      <c r="F285" s="881"/>
      <c r="G285" s="881"/>
      <c r="H285" s="881"/>
    </row>
    <row r="286" spans="1:8" x14ac:dyDescent="0.2">
      <c r="A286" s="881"/>
      <c r="B286" s="881"/>
      <c r="C286" s="881"/>
      <c r="D286" s="881"/>
      <c r="E286" s="881"/>
      <c r="F286" s="881"/>
      <c r="G286" s="881"/>
      <c r="H286" s="881"/>
    </row>
    <row r="287" spans="1:8" x14ac:dyDescent="0.2">
      <c r="A287" s="882" t="s">
        <v>632</v>
      </c>
      <c r="B287" s="881"/>
      <c r="C287" s="881"/>
      <c r="D287" s="881"/>
      <c r="E287" s="881"/>
      <c r="F287" s="881"/>
      <c r="G287" s="881"/>
      <c r="H287" s="881"/>
    </row>
    <row r="288" spans="1:8" x14ac:dyDescent="0.2">
      <c r="A288" s="882" t="s">
        <v>633</v>
      </c>
      <c r="B288" s="881"/>
      <c r="C288" s="881"/>
      <c r="D288" s="881"/>
      <c r="E288" s="881"/>
      <c r="F288" s="881"/>
      <c r="G288" s="881"/>
      <c r="H288" s="881"/>
    </row>
    <row r="289" spans="1:8" x14ac:dyDescent="0.2">
      <c r="A289" s="882" t="s">
        <v>634</v>
      </c>
      <c r="B289" s="881"/>
      <c r="C289" s="881"/>
      <c r="D289" s="881"/>
      <c r="E289" s="881"/>
      <c r="F289" s="881"/>
      <c r="G289" s="881"/>
      <c r="H289" s="881"/>
    </row>
    <row r="290" spans="1:8" x14ac:dyDescent="0.2">
      <c r="A290" s="882" t="s">
        <v>635</v>
      </c>
      <c r="B290" s="881"/>
      <c r="C290" s="881"/>
      <c r="D290" s="881"/>
      <c r="E290" s="881"/>
      <c r="F290" s="881"/>
      <c r="G290" s="881"/>
      <c r="H290" s="881"/>
    </row>
    <row r="291" spans="1:8" x14ac:dyDescent="0.2">
      <c r="A291" s="882" t="s">
        <v>636</v>
      </c>
      <c r="B291" s="881"/>
      <c r="C291" s="881"/>
      <c r="D291" s="881"/>
      <c r="E291" s="881"/>
      <c r="F291" s="881"/>
      <c r="G291" s="881"/>
      <c r="H291" s="881"/>
    </row>
    <row r="292" spans="1:8" x14ac:dyDescent="0.2">
      <c r="A292" s="882" t="s">
        <v>637</v>
      </c>
      <c r="B292" s="881"/>
      <c r="C292" s="881"/>
      <c r="D292" s="881"/>
      <c r="E292" s="881"/>
      <c r="F292" s="881"/>
      <c r="G292" s="881"/>
      <c r="H292" s="881"/>
    </row>
    <row r="293" spans="1:8" x14ac:dyDescent="0.2">
      <c r="A293" s="882" t="s">
        <v>638</v>
      </c>
      <c r="B293" s="881"/>
      <c r="C293" s="881"/>
      <c r="D293" s="881"/>
      <c r="E293" s="881"/>
      <c r="F293" s="881"/>
      <c r="G293" s="881"/>
      <c r="H293" s="881"/>
    </row>
    <row r="294" spans="1:8" x14ac:dyDescent="0.2">
      <c r="A294" s="881"/>
      <c r="B294" s="881"/>
      <c r="C294" s="881"/>
      <c r="D294" s="881"/>
      <c r="E294" s="881"/>
      <c r="F294" s="881"/>
      <c r="G294" s="881"/>
      <c r="H294" s="881"/>
    </row>
    <row r="295" spans="1:8" x14ac:dyDescent="0.2">
      <c r="A295" s="882" t="s">
        <v>629</v>
      </c>
      <c r="B295" s="881"/>
      <c r="C295" s="881"/>
      <c r="D295" s="881"/>
      <c r="E295" s="881"/>
      <c r="F295" s="881"/>
      <c r="G295" s="881"/>
      <c r="H295" s="881"/>
    </row>
    <row r="296" spans="1:8" x14ac:dyDescent="0.2">
      <c r="A296" s="882" t="s">
        <v>630</v>
      </c>
      <c r="B296" s="881"/>
      <c r="C296" s="881"/>
      <c r="D296" s="881"/>
      <c r="E296" s="881"/>
      <c r="F296" s="881"/>
      <c r="G296" s="881"/>
      <c r="H296" s="881"/>
    </row>
    <row r="297" spans="1:8" x14ac:dyDescent="0.2">
      <c r="A297" s="882" t="s">
        <v>631</v>
      </c>
      <c r="B297" s="881"/>
      <c r="C297" s="881"/>
      <c r="D297" s="881"/>
      <c r="E297" s="881"/>
      <c r="F297" s="881"/>
      <c r="G297" s="881"/>
      <c r="H297" s="881"/>
    </row>
    <row r="298" spans="1:8" x14ac:dyDescent="0.2">
      <c r="A298" s="881"/>
      <c r="B298" s="881"/>
      <c r="C298" s="881"/>
      <c r="D298" s="881"/>
      <c r="E298" s="881"/>
      <c r="F298" s="881"/>
      <c r="G298" s="881"/>
      <c r="H298" s="881"/>
    </row>
    <row r="299" spans="1:8" x14ac:dyDescent="0.2">
      <c r="A299" s="882" t="s">
        <v>627</v>
      </c>
      <c r="B299" s="881"/>
      <c r="C299" s="881"/>
      <c r="D299" s="881"/>
      <c r="E299" s="881"/>
      <c r="F299" s="881"/>
      <c r="G299" s="881"/>
      <c r="H299" s="881"/>
    </row>
    <row r="300" spans="1:8" x14ac:dyDescent="0.2">
      <c r="A300" s="882" t="s">
        <v>628</v>
      </c>
      <c r="B300" s="881"/>
      <c r="C300" s="881"/>
      <c r="D300" s="881"/>
      <c r="E300" s="881"/>
      <c r="F300" s="881"/>
      <c r="G300" s="881"/>
      <c r="H300" s="881"/>
    </row>
    <row r="301" spans="1:8" x14ac:dyDescent="0.2">
      <c r="A301" s="881"/>
      <c r="B301" s="881"/>
      <c r="C301" s="881"/>
      <c r="D301" s="881"/>
      <c r="E301" s="881"/>
      <c r="F301" s="881"/>
      <c r="G301" s="881"/>
      <c r="H301" s="881"/>
    </row>
    <row r="302" spans="1:8" x14ac:dyDescent="0.2">
      <c r="A302" s="882" t="s">
        <v>614</v>
      </c>
      <c r="B302" s="881"/>
      <c r="C302" s="881"/>
      <c r="D302" s="881"/>
      <c r="E302" s="881"/>
      <c r="F302" s="881"/>
      <c r="G302" s="881"/>
      <c r="H302" s="881"/>
    </row>
    <row r="303" spans="1:8" x14ac:dyDescent="0.2">
      <c r="A303" s="882" t="s">
        <v>615</v>
      </c>
      <c r="B303" s="881"/>
      <c r="C303" s="881"/>
      <c r="D303" s="881"/>
      <c r="E303" s="881"/>
      <c r="F303" s="881"/>
      <c r="G303" s="881"/>
      <c r="H303" s="881"/>
    </row>
    <row r="304" spans="1:8" x14ac:dyDescent="0.2">
      <c r="A304" s="882" t="s">
        <v>616</v>
      </c>
      <c r="B304" s="881"/>
      <c r="C304" s="881"/>
      <c r="D304" s="881"/>
      <c r="E304" s="881"/>
      <c r="F304" s="881"/>
      <c r="G304" s="881"/>
      <c r="H304" s="881"/>
    </row>
    <row r="305" spans="1:8" x14ac:dyDescent="0.2">
      <c r="A305" s="882" t="s">
        <v>617</v>
      </c>
      <c r="B305" s="881"/>
      <c r="C305" s="881"/>
      <c r="D305" s="881"/>
      <c r="E305" s="881"/>
      <c r="F305" s="881"/>
      <c r="G305" s="881"/>
      <c r="H305" s="881"/>
    </row>
    <row r="306" spans="1:8" x14ac:dyDescent="0.2">
      <c r="A306" s="882" t="s">
        <v>618</v>
      </c>
      <c r="B306" s="881"/>
      <c r="C306" s="881"/>
      <c r="D306" s="881"/>
      <c r="E306" s="881"/>
      <c r="F306" s="881"/>
      <c r="G306" s="881"/>
      <c r="H306" s="881"/>
    </row>
    <row r="307" spans="1:8" x14ac:dyDescent="0.2">
      <c r="A307" s="882" t="s">
        <v>619</v>
      </c>
      <c r="B307" s="881"/>
      <c r="C307" s="881"/>
      <c r="D307" s="881"/>
      <c r="E307" s="881"/>
      <c r="F307" s="881"/>
      <c r="G307" s="881"/>
      <c r="H307" s="881"/>
    </row>
    <row r="308" spans="1:8" x14ac:dyDescent="0.2">
      <c r="A308" s="882" t="s">
        <v>620</v>
      </c>
      <c r="B308" s="881"/>
      <c r="C308" s="881"/>
      <c r="D308" s="881"/>
      <c r="E308" s="881"/>
      <c r="F308" s="881"/>
      <c r="G308" s="881"/>
      <c r="H308" s="881"/>
    </row>
    <row r="309" spans="1:8" x14ac:dyDescent="0.2">
      <c r="A309" s="882" t="s">
        <v>621</v>
      </c>
      <c r="B309" s="881"/>
      <c r="C309" s="881"/>
      <c r="D309" s="881"/>
      <c r="E309" s="881"/>
      <c r="F309" s="881"/>
      <c r="G309" s="881"/>
      <c r="H309" s="881"/>
    </row>
    <row r="310" spans="1:8" x14ac:dyDescent="0.2">
      <c r="A310" s="882" t="s">
        <v>622</v>
      </c>
      <c r="B310" s="881"/>
      <c r="C310" s="881"/>
      <c r="D310" s="881"/>
      <c r="E310" s="881"/>
      <c r="F310" s="881"/>
      <c r="G310" s="881"/>
      <c r="H310" s="881"/>
    </row>
    <row r="311" spans="1:8" x14ac:dyDescent="0.2">
      <c r="A311" s="882" t="s">
        <v>623</v>
      </c>
      <c r="B311" s="881"/>
      <c r="C311" s="881"/>
      <c r="D311" s="881"/>
      <c r="E311" s="881"/>
      <c r="F311" s="881"/>
      <c r="G311" s="881"/>
      <c r="H311" s="881"/>
    </row>
    <row r="312" spans="1:8" x14ac:dyDescent="0.2">
      <c r="A312" s="882" t="s">
        <v>624</v>
      </c>
      <c r="B312" s="881"/>
      <c r="C312" s="881"/>
      <c r="D312" s="881"/>
      <c r="E312" s="881"/>
      <c r="F312" s="881"/>
      <c r="G312" s="881"/>
      <c r="H312" s="881"/>
    </row>
    <row r="313" spans="1:8" x14ac:dyDescent="0.2">
      <c r="A313" s="882" t="s">
        <v>625</v>
      </c>
      <c r="B313" s="881"/>
      <c r="C313" s="881"/>
      <c r="D313" s="881"/>
      <c r="E313" s="881"/>
      <c r="F313" s="881"/>
      <c r="G313" s="881"/>
      <c r="H313" s="881"/>
    </row>
    <row r="314" spans="1:8" x14ac:dyDescent="0.2">
      <c r="A314" s="882" t="s">
        <v>626</v>
      </c>
      <c r="B314" s="881"/>
      <c r="C314" s="881"/>
      <c r="D314" s="881"/>
      <c r="E314" s="881"/>
      <c r="F314" s="881"/>
      <c r="G314" s="881"/>
      <c r="H314" s="881"/>
    </row>
    <row r="315" spans="1:8" x14ac:dyDescent="0.2">
      <c r="A315" s="881"/>
      <c r="B315" s="881"/>
      <c r="C315" s="881"/>
      <c r="D315" s="881"/>
      <c r="E315" s="881"/>
      <c r="F315" s="881"/>
      <c r="G315" s="881"/>
      <c r="H315" s="881"/>
    </row>
    <row r="316" spans="1:8" x14ac:dyDescent="0.2">
      <c r="A316" s="882" t="s">
        <v>606</v>
      </c>
      <c r="B316" s="881"/>
      <c r="C316" s="881"/>
      <c r="D316" s="881"/>
      <c r="E316" s="881"/>
      <c r="F316" s="881"/>
      <c r="G316" s="881"/>
      <c r="H316" s="881"/>
    </row>
    <row r="317" spans="1:8" x14ac:dyDescent="0.2">
      <c r="A317" s="882" t="s">
        <v>607</v>
      </c>
      <c r="B317" s="881"/>
      <c r="C317" s="881"/>
      <c r="D317" s="881"/>
      <c r="E317" s="881"/>
      <c r="F317" s="881"/>
      <c r="G317" s="881"/>
      <c r="H317" s="881"/>
    </row>
    <row r="318" spans="1:8" x14ac:dyDescent="0.2">
      <c r="A318" s="882" t="s">
        <v>608</v>
      </c>
      <c r="B318" s="881"/>
      <c r="C318" s="881"/>
      <c r="D318" s="881"/>
      <c r="E318" s="881"/>
      <c r="F318" s="881"/>
      <c r="G318" s="881"/>
      <c r="H318" s="881"/>
    </row>
    <row r="319" spans="1:8" x14ac:dyDescent="0.2">
      <c r="A319" s="882" t="s">
        <v>609</v>
      </c>
      <c r="B319" s="881"/>
      <c r="C319" s="881"/>
      <c r="D319" s="881"/>
      <c r="E319" s="881"/>
      <c r="F319" s="881"/>
      <c r="G319" s="881"/>
      <c r="H319" s="881"/>
    </row>
    <row r="320" spans="1:8" x14ac:dyDescent="0.2">
      <c r="A320" s="882" t="s">
        <v>610</v>
      </c>
      <c r="B320" s="881"/>
      <c r="C320" s="881"/>
      <c r="D320" s="881"/>
      <c r="E320" s="881"/>
      <c r="F320" s="881"/>
      <c r="G320" s="881"/>
      <c r="H320" s="881"/>
    </row>
    <row r="321" spans="1:8" x14ac:dyDescent="0.2">
      <c r="A321" s="882" t="s">
        <v>611</v>
      </c>
      <c r="B321" s="881"/>
      <c r="C321" s="881"/>
      <c r="D321" s="881"/>
      <c r="E321" s="881"/>
      <c r="F321" s="881"/>
      <c r="G321" s="881"/>
      <c r="H321" s="881"/>
    </row>
    <row r="322" spans="1:8" x14ac:dyDescent="0.2">
      <c r="A322" s="882" t="s">
        <v>612</v>
      </c>
      <c r="B322" s="881"/>
      <c r="C322" s="881"/>
      <c r="D322" s="881"/>
      <c r="E322" s="881"/>
      <c r="F322" s="881"/>
      <c r="G322" s="881"/>
      <c r="H322" s="881"/>
    </row>
    <row r="323" spans="1:8" x14ac:dyDescent="0.2">
      <c r="A323" s="882" t="s">
        <v>613</v>
      </c>
      <c r="B323" s="881"/>
      <c r="C323" s="881"/>
      <c r="D323" s="881"/>
      <c r="E323" s="881"/>
      <c r="F323" s="881"/>
      <c r="G323" s="881"/>
      <c r="H323" s="881"/>
    </row>
    <row r="324" spans="1:8" x14ac:dyDescent="0.2">
      <c r="A324" s="881"/>
      <c r="B324" s="881"/>
      <c r="C324" s="881"/>
      <c r="D324" s="881"/>
      <c r="E324" s="881"/>
      <c r="F324" s="881"/>
      <c r="G324" s="881"/>
      <c r="H324" s="881"/>
    </row>
    <row r="325" spans="1:8" x14ac:dyDescent="0.2">
      <c r="A325" s="882" t="s">
        <v>571</v>
      </c>
      <c r="B325" s="881"/>
      <c r="C325" s="881"/>
      <c r="D325" s="881"/>
      <c r="E325" s="881"/>
      <c r="F325" s="881"/>
      <c r="G325" s="881"/>
      <c r="H325" s="881"/>
    </row>
    <row r="326" spans="1:8" x14ac:dyDescent="0.2">
      <c r="A326" s="882" t="s">
        <v>572</v>
      </c>
      <c r="B326" s="881"/>
      <c r="C326" s="881"/>
      <c r="D326" s="881"/>
      <c r="E326" s="881"/>
      <c r="F326" s="881"/>
      <c r="G326" s="881"/>
      <c r="H326" s="881"/>
    </row>
    <row r="327" spans="1:8" x14ac:dyDescent="0.2">
      <c r="A327" s="882" t="s">
        <v>573</v>
      </c>
      <c r="B327" s="881"/>
      <c r="C327" s="881"/>
      <c r="D327" s="881"/>
      <c r="E327" s="881"/>
      <c r="F327" s="881"/>
      <c r="G327" s="881"/>
      <c r="H327" s="881"/>
    </row>
    <row r="328" spans="1:8" x14ac:dyDescent="0.2">
      <c r="A328" s="882" t="s">
        <v>574</v>
      </c>
      <c r="B328" s="881"/>
      <c r="C328" s="881"/>
      <c r="D328" s="881"/>
      <c r="E328" s="881"/>
      <c r="F328" s="881"/>
      <c r="G328" s="881"/>
      <c r="H328" s="881"/>
    </row>
    <row r="329" spans="1:8" x14ac:dyDescent="0.2">
      <c r="A329" s="882" t="s">
        <v>575</v>
      </c>
      <c r="B329" s="881"/>
      <c r="C329" s="881"/>
      <c r="D329" s="881"/>
      <c r="E329" s="881"/>
      <c r="F329" s="881"/>
      <c r="G329" s="881"/>
      <c r="H329" s="881"/>
    </row>
    <row r="330" spans="1:8" x14ac:dyDescent="0.2">
      <c r="A330" s="882" t="s">
        <v>576</v>
      </c>
      <c r="B330" s="881"/>
      <c r="C330" s="881"/>
      <c r="D330" s="881"/>
      <c r="E330" s="881"/>
      <c r="F330" s="881"/>
      <c r="G330" s="881"/>
      <c r="H330" s="881"/>
    </row>
    <row r="331" spans="1:8" x14ac:dyDescent="0.2">
      <c r="A331" s="882" t="s">
        <v>577</v>
      </c>
      <c r="B331" s="881"/>
      <c r="C331" s="881"/>
      <c r="D331" s="881"/>
      <c r="E331" s="881"/>
      <c r="F331" s="881"/>
      <c r="G331" s="881"/>
      <c r="H331" s="881"/>
    </row>
    <row r="332" spans="1:8" x14ac:dyDescent="0.2">
      <c r="A332" s="882" t="s">
        <v>578</v>
      </c>
      <c r="B332" s="881"/>
      <c r="C332" s="881"/>
      <c r="D332" s="881"/>
      <c r="E332" s="881"/>
      <c r="F332" s="881"/>
      <c r="G332" s="881"/>
      <c r="H332" s="881"/>
    </row>
    <row r="333" spans="1:8" x14ac:dyDescent="0.2">
      <c r="A333" s="882" t="s">
        <v>579</v>
      </c>
      <c r="B333" s="881"/>
      <c r="C333" s="881"/>
      <c r="D333" s="881"/>
      <c r="E333" s="881"/>
      <c r="F333" s="881"/>
      <c r="G333" s="881"/>
      <c r="H333" s="881"/>
    </row>
    <row r="334" spans="1:8" x14ac:dyDescent="0.2">
      <c r="A334" s="882" t="s">
        <v>580</v>
      </c>
      <c r="B334" s="881"/>
      <c r="C334" s="881"/>
      <c r="D334" s="881"/>
      <c r="E334" s="881"/>
      <c r="F334" s="881"/>
      <c r="G334" s="881"/>
      <c r="H334" s="881"/>
    </row>
    <row r="335" spans="1:8" x14ac:dyDescent="0.2">
      <c r="A335" s="882" t="s">
        <v>581</v>
      </c>
      <c r="B335" s="881"/>
      <c r="C335" s="881"/>
      <c r="D335" s="881"/>
      <c r="E335" s="881"/>
      <c r="F335" s="881"/>
      <c r="G335" s="881"/>
      <c r="H335" s="881"/>
    </row>
    <row r="336" spans="1:8" x14ac:dyDescent="0.2">
      <c r="A336" s="882" t="s">
        <v>582</v>
      </c>
      <c r="B336" s="881"/>
      <c r="C336" s="881"/>
      <c r="D336" s="881"/>
      <c r="E336" s="881"/>
      <c r="F336" s="881"/>
      <c r="G336" s="881"/>
      <c r="H336" s="881"/>
    </row>
    <row r="337" spans="1:8" x14ac:dyDescent="0.2">
      <c r="A337" s="882" t="s">
        <v>583</v>
      </c>
      <c r="B337" s="881"/>
      <c r="C337" s="881"/>
      <c r="D337" s="881"/>
      <c r="E337" s="881"/>
      <c r="F337" s="881"/>
      <c r="G337" s="881"/>
      <c r="H337" s="881"/>
    </row>
    <row r="338" spans="1:8" x14ac:dyDescent="0.2">
      <c r="A338" s="882" t="s">
        <v>584</v>
      </c>
      <c r="B338" s="881"/>
      <c r="C338" s="881"/>
      <c r="D338" s="881"/>
      <c r="E338" s="881"/>
      <c r="F338" s="881"/>
      <c r="G338" s="881"/>
      <c r="H338" s="881"/>
    </row>
    <row r="339" spans="1:8" x14ac:dyDescent="0.2">
      <c r="A339" s="882" t="s">
        <v>585</v>
      </c>
      <c r="B339" s="881"/>
      <c r="C339" s="881"/>
      <c r="D339" s="881"/>
      <c r="E339" s="881"/>
      <c r="F339" s="881"/>
      <c r="G339" s="881"/>
      <c r="H339" s="881"/>
    </row>
    <row r="340" spans="1:8" x14ac:dyDescent="0.2">
      <c r="A340" s="882" t="s">
        <v>586</v>
      </c>
      <c r="B340" s="881"/>
      <c r="C340" s="881"/>
      <c r="D340" s="881"/>
      <c r="E340" s="881"/>
      <c r="F340" s="881"/>
      <c r="G340" s="881"/>
      <c r="H340" s="881"/>
    </row>
    <row r="341" spans="1:8" x14ac:dyDescent="0.2">
      <c r="A341" s="882" t="s">
        <v>587</v>
      </c>
      <c r="B341" s="881"/>
      <c r="C341" s="881"/>
      <c r="D341" s="881"/>
      <c r="E341" s="881"/>
      <c r="F341" s="881"/>
      <c r="G341" s="881"/>
      <c r="H341" s="881"/>
    </row>
    <row r="342" spans="1:8" x14ac:dyDescent="0.2">
      <c r="A342" s="882" t="s">
        <v>588</v>
      </c>
      <c r="B342" s="881"/>
      <c r="C342" s="881"/>
      <c r="D342" s="881"/>
      <c r="E342" s="881"/>
      <c r="F342" s="881"/>
      <c r="G342" s="881"/>
      <c r="H342" s="881"/>
    </row>
    <row r="343" spans="1:8" x14ac:dyDescent="0.2">
      <c r="A343" s="882" t="s">
        <v>589</v>
      </c>
      <c r="B343" s="881"/>
      <c r="C343" s="881"/>
      <c r="D343" s="881"/>
      <c r="E343" s="881"/>
      <c r="F343" s="881"/>
      <c r="G343" s="881"/>
      <c r="H343" s="881"/>
    </row>
    <row r="344" spans="1:8" x14ac:dyDescent="0.2">
      <c r="A344" s="882" t="s">
        <v>590</v>
      </c>
      <c r="B344" s="881"/>
      <c r="C344" s="881"/>
      <c r="D344" s="881"/>
      <c r="E344" s="881"/>
      <c r="F344" s="881"/>
      <c r="G344" s="881"/>
      <c r="H344" s="881"/>
    </row>
    <row r="345" spans="1:8" x14ac:dyDescent="0.2">
      <c r="A345" s="882" t="s">
        <v>591</v>
      </c>
      <c r="B345" s="881"/>
      <c r="C345" s="881"/>
      <c r="D345" s="881"/>
      <c r="E345" s="881"/>
      <c r="F345" s="881"/>
      <c r="G345" s="881"/>
      <c r="H345" s="881"/>
    </row>
    <row r="346" spans="1:8" x14ac:dyDescent="0.2">
      <c r="A346" s="882" t="s">
        <v>592</v>
      </c>
      <c r="B346" s="881"/>
      <c r="C346" s="881"/>
      <c r="D346" s="881"/>
      <c r="E346" s="881"/>
      <c r="F346" s="881"/>
      <c r="G346" s="881"/>
      <c r="H346" s="881"/>
    </row>
    <row r="347" spans="1:8" x14ac:dyDescent="0.2">
      <c r="A347" s="882" t="s">
        <v>593</v>
      </c>
      <c r="B347" s="881"/>
      <c r="C347" s="881"/>
      <c r="D347" s="881"/>
      <c r="E347" s="881"/>
      <c r="F347" s="881"/>
      <c r="G347" s="881"/>
      <c r="H347" s="881"/>
    </row>
    <row r="348" spans="1:8" x14ac:dyDescent="0.2">
      <c r="A348" s="882" t="s">
        <v>594</v>
      </c>
      <c r="B348" s="881"/>
      <c r="C348" s="881"/>
      <c r="D348" s="881"/>
      <c r="E348" s="881"/>
      <c r="F348" s="881"/>
      <c r="G348" s="881"/>
      <c r="H348" s="881"/>
    </row>
    <row r="349" spans="1:8" x14ac:dyDescent="0.2">
      <c r="A349" s="882" t="s">
        <v>595</v>
      </c>
      <c r="B349" s="881"/>
      <c r="C349" s="881"/>
      <c r="D349" s="881"/>
      <c r="E349" s="881"/>
      <c r="F349" s="881"/>
      <c r="G349" s="881"/>
      <c r="H349" s="881"/>
    </row>
    <row r="350" spans="1:8" x14ac:dyDescent="0.2">
      <c r="A350" s="882" t="s">
        <v>596</v>
      </c>
      <c r="B350" s="881"/>
      <c r="C350" s="881"/>
      <c r="D350" s="881"/>
      <c r="E350" s="881"/>
      <c r="F350" s="881"/>
      <c r="G350" s="881"/>
      <c r="H350" s="881"/>
    </row>
    <row r="351" spans="1:8" x14ac:dyDescent="0.2">
      <c r="A351" s="882" t="s">
        <v>597</v>
      </c>
      <c r="B351" s="881"/>
      <c r="C351" s="881"/>
      <c r="D351" s="881"/>
      <c r="E351" s="881"/>
      <c r="F351" s="881"/>
      <c r="G351" s="881"/>
      <c r="H351" s="881"/>
    </row>
    <row r="352" spans="1:8" x14ac:dyDescent="0.2">
      <c r="A352" s="882" t="s">
        <v>598</v>
      </c>
      <c r="B352" s="881"/>
      <c r="C352" s="881"/>
      <c r="D352" s="881"/>
      <c r="E352" s="881"/>
      <c r="F352" s="881"/>
      <c r="G352" s="881"/>
      <c r="H352" s="881"/>
    </row>
    <row r="353" spans="1:8" x14ac:dyDescent="0.2">
      <c r="A353" s="882" t="s">
        <v>599</v>
      </c>
      <c r="B353" s="881"/>
      <c r="C353" s="881"/>
      <c r="D353" s="881"/>
      <c r="E353" s="881"/>
      <c r="F353" s="881"/>
      <c r="G353" s="881"/>
      <c r="H353" s="881"/>
    </row>
    <row r="354" spans="1:8" x14ac:dyDescent="0.2">
      <c r="A354" s="882" t="s">
        <v>600</v>
      </c>
      <c r="B354" s="881"/>
      <c r="C354" s="881"/>
      <c r="D354" s="881"/>
      <c r="E354" s="881"/>
      <c r="F354" s="881"/>
      <c r="G354" s="881"/>
      <c r="H354" s="881"/>
    </row>
    <row r="355" spans="1:8" x14ac:dyDescent="0.2">
      <c r="A355" s="882" t="s">
        <v>601</v>
      </c>
      <c r="B355" s="881"/>
      <c r="C355" s="881"/>
      <c r="D355" s="881"/>
      <c r="E355" s="881"/>
      <c r="F355" s="881"/>
      <c r="G355" s="881"/>
      <c r="H355" s="881"/>
    </row>
    <row r="356" spans="1:8" x14ac:dyDescent="0.2">
      <c r="A356" s="882" t="s">
        <v>602</v>
      </c>
      <c r="B356" s="881"/>
      <c r="C356" s="881"/>
      <c r="D356" s="881"/>
      <c r="E356" s="881"/>
      <c r="F356" s="881"/>
      <c r="G356" s="881"/>
      <c r="H356" s="881"/>
    </row>
    <row r="357" spans="1:8" x14ac:dyDescent="0.2">
      <c r="A357" s="882" t="s">
        <v>603</v>
      </c>
      <c r="B357" s="881"/>
      <c r="C357" s="881"/>
      <c r="D357" s="881"/>
      <c r="E357" s="881"/>
      <c r="F357" s="881"/>
      <c r="G357" s="881"/>
      <c r="H357" s="881"/>
    </row>
    <row r="358" spans="1:8" x14ac:dyDescent="0.2">
      <c r="A358" s="882" t="s">
        <v>604</v>
      </c>
      <c r="B358" s="881"/>
      <c r="C358" s="881"/>
      <c r="D358" s="881"/>
      <c r="E358" s="881"/>
      <c r="F358" s="881"/>
      <c r="G358" s="881"/>
      <c r="H358" s="881"/>
    </row>
    <row r="359" spans="1:8" x14ac:dyDescent="0.2">
      <c r="A359" s="882" t="s">
        <v>605</v>
      </c>
      <c r="B359" s="881"/>
      <c r="C359" s="881"/>
      <c r="D359" s="881"/>
      <c r="E359" s="881"/>
      <c r="F359" s="881"/>
      <c r="G359" s="881"/>
      <c r="H359" s="881"/>
    </row>
    <row r="360" spans="1:8" x14ac:dyDescent="0.2">
      <c r="A360" s="881"/>
      <c r="B360" s="881"/>
      <c r="C360" s="881"/>
      <c r="D360" s="881"/>
      <c r="E360" s="881"/>
      <c r="F360" s="881"/>
      <c r="G360" s="881"/>
      <c r="H360" s="881"/>
    </row>
    <row r="361" spans="1:8" x14ac:dyDescent="0.2">
      <c r="A361" s="882" t="s">
        <v>563</v>
      </c>
      <c r="B361" s="881"/>
      <c r="C361" s="881"/>
      <c r="D361" s="881"/>
      <c r="E361" s="881"/>
      <c r="F361" s="881"/>
      <c r="G361" s="881"/>
      <c r="H361" s="881"/>
    </row>
    <row r="362" spans="1:8" x14ac:dyDescent="0.2">
      <c r="A362" s="882" t="s">
        <v>567</v>
      </c>
      <c r="B362" s="881"/>
      <c r="C362" s="881"/>
      <c r="D362" s="881"/>
      <c r="E362" s="881"/>
      <c r="F362" s="881"/>
      <c r="G362" s="881"/>
      <c r="H362" s="881"/>
    </row>
    <row r="363" spans="1:8" x14ac:dyDescent="0.2">
      <c r="A363" s="882" t="s">
        <v>568</v>
      </c>
      <c r="B363" s="881"/>
      <c r="C363" s="881"/>
      <c r="D363" s="881"/>
      <c r="E363" s="881"/>
      <c r="F363" s="881"/>
      <c r="G363" s="881"/>
      <c r="H363" s="881"/>
    </row>
    <row r="364" spans="1:8" x14ac:dyDescent="0.2">
      <c r="A364" s="882" t="s">
        <v>569</v>
      </c>
      <c r="B364" s="881"/>
      <c r="C364" s="881"/>
      <c r="D364" s="881"/>
      <c r="E364" s="881"/>
      <c r="F364" s="881"/>
      <c r="G364" s="881"/>
      <c r="H364" s="881"/>
    </row>
    <row r="365" spans="1:8" x14ac:dyDescent="0.2">
      <c r="A365" s="882" t="s">
        <v>570</v>
      </c>
      <c r="B365" s="881"/>
      <c r="C365" s="881"/>
      <c r="D365" s="881"/>
      <c r="E365" s="881"/>
      <c r="F365" s="881"/>
      <c r="G365" s="881"/>
      <c r="H365" s="881"/>
    </row>
    <row r="366" spans="1:8" x14ac:dyDescent="0.2">
      <c r="A366" s="881"/>
      <c r="B366" s="881"/>
      <c r="C366" s="881"/>
      <c r="D366" s="881"/>
      <c r="E366" s="881"/>
      <c r="F366" s="881"/>
      <c r="G366" s="881"/>
      <c r="H366" s="881"/>
    </row>
    <row r="367" spans="1:8" x14ac:dyDescent="0.2">
      <c r="A367" s="882" t="s">
        <v>563</v>
      </c>
      <c r="B367" s="881"/>
      <c r="C367" s="881"/>
      <c r="D367" s="881"/>
      <c r="E367" s="881"/>
      <c r="F367" s="881"/>
      <c r="G367" s="881"/>
      <c r="H367" s="881"/>
    </row>
    <row r="368" spans="1:8" x14ac:dyDescent="0.2">
      <c r="A368" s="882" t="s">
        <v>564</v>
      </c>
      <c r="B368" s="881"/>
      <c r="C368" s="881"/>
      <c r="D368" s="881"/>
      <c r="E368" s="881"/>
      <c r="F368" s="881"/>
      <c r="G368" s="881"/>
      <c r="H368" s="881"/>
    </row>
    <row r="369" spans="1:8" x14ac:dyDescent="0.2">
      <c r="A369" s="882" t="s">
        <v>565</v>
      </c>
      <c r="B369" s="881"/>
      <c r="C369" s="881"/>
      <c r="D369" s="881"/>
      <c r="E369" s="881"/>
      <c r="F369" s="881"/>
      <c r="G369" s="881"/>
      <c r="H369" s="881"/>
    </row>
    <row r="370" spans="1:8" x14ac:dyDescent="0.2">
      <c r="A370" s="882" t="s">
        <v>566</v>
      </c>
      <c r="B370" s="881"/>
      <c r="C370" s="881"/>
      <c r="D370" s="881"/>
      <c r="E370" s="881"/>
      <c r="F370" s="881"/>
      <c r="G370" s="881"/>
      <c r="H370" s="881"/>
    </row>
    <row r="371" spans="1:8" x14ac:dyDescent="0.2">
      <c r="A371" s="881"/>
      <c r="B371" s="881"/>
      <c r="C371" s="881"/>
      <c r="D371" s="881"/>
      <c r="E371" s="881"/>
      <c r="F371" s="881"/>
      <c r="G371" s="881"/>
      <c r="H371" s="881"/>
    </row>
    <row r="372" spans="1:8" x14ac:dyDescent="0.2">
      <c r="A372" s="882" t="s">
        <v>557</v>
      </c>
      <c r="B372" s="881"/>
      <c r="C372" s="881"/>
      <c r="D372" s="881"/>
      <c r="E372" s="881"/>
      <c r="F372" s="881"/>
      <c r="G372" s="881"/>
      <c r="H372" s="881"/>
    </row>
    <row r="373" spans="1:8" x14ac:dyDescent="0.2">
      <c r="A373" s="882" t="s">
        <v>558</v>
      </c>
      <c r="B373" s="881"/>
      <c r="C373" s="881"/>
      <c r="D373" s="881"/>
      <c r="E373" s="881"/>
      <c r="F373" s="881"/>
      <c r="G373" s="881"/>
      <c r="H373" s="881"/>
    </row>
    <row r="374" spans="1:8" x14ac:dyDescent="0.2">
      <c r="A374" s="882" t="s">
        <v>559</v>
      </c>
      <c r="B374" s="881"/>
      <c r="C374" s="881"/>
      <c r="D374" s="881"/>
      <c r="E374" s="881"/>
      <c r="F374" s="881"/>
      <c r="G374" s="881"/>
      <c r="H374" s="881"/>
    </row>
    <row r="375" spans="1:8" x14ac:dyDescent="0.2">
      <c r="A375" s="882" t="s">
        <v>560</v>
      </c>
      <c r="B375" s="881"/>
      <c r="C375" s="881"/>
      <c r="D375" s="881"/>
      <c r="E375" s="881"/>
      <c r="F375" s="881"/>
      <c r="G375" s="881"/>
      <c r="H375" s="881"/>
    </row>
    <row r="376" spans="1:8" x14ac:dyDescent="0.2">
      <c r="A376" s="882" t="s">
        <v>561</v>
      </c>
      <c r="B376" s="881"/>
      <c r="C376" s="881"/>
      <c r="D376" s="881"/>
      <c r="E376" s="881"/>
      <c r="F376" s="881"/>
      <c r="G376" s="881"/>
      <c r="H376" s="881"/>
    </row>
    <row r="377" spans="1:8" x14ac:dyDescent="0.2">
      <c r="A377" s="882" t="s">
        <v>562</v>
      </c>
      <c r="B377" s="881"/>
      <c r="C377" s="881"/>
      <c r="D377" s="881"/>
      <c r="E377" s="881"/>
      <c r="F377" s="881"/>
      <c r="G377" s="881"/>
      <c r="H377" s="881"/>
    </row>
    <row r="378" spans="1:8" x14ac:dyDescent="0.2">
      <c r="A378" s="881"/>
      <c r="B378" s="881"/>
      <c r="C378" s="881"/>
      <c r="D378" s="881"/>
      <c r="E378" s="881"/>
      <c r="F378" s="881"/>
      <c r="G378" s="881"/>
      <c r="H378" s="881"/>
    </row>
    <row r="379" spans="1:8" x14ac:dyDescent="0.2">
      <c r="A379" s="882" t="s">
        <v>552</v>
      </c>
      <c r="B379" s="881"/>
      <c r="C379" s="881"/>
      <c r="D379" s="881"/>
      <c r="E379" s="881"/>
      <c r="F379" s="881"/>
      <c r="G379" s="881"/>
      <c r="H379" s="881"/>
    </row>
    <row r="380" spans="1:8" x14ac:dyDescent="0.2">
      <c r="A380" s="882" t="s">
        <v>553</v>
      </c>
      <c r="B380" s="881"/>
      <c r="C380" s="881"/>
      <c r="D380" s="881"/>
      <c r="E380" s="881"/>
      <c r="F380" s="881"/>
      <c r="G380" s="881"/>
      <c r="H380" s="881"/>
    </row>
    <row r="381" spans="1:8" x14ac:dyDescent="0.2">
      <c r="A381" s="882" t="s">
        <v>554</v>
      </c>
      <c r="B381" s="881"/>
      <c r="C381" s="881"/>
      <c r="D381" s="881"/>
      <c r="E381" s="881"/>
      <c r="F381" s="881"/>
      <c r="G381" s="881"/>
      <c r="H381" s="881"/>
    </row>
    <row r="382" spans="1:8" x14ac:dyDescent="0.2">
      <c r="A382" s="882" t="s">
        <v>555</v>
      </c>
      <c r="B382" s="881"/>
      <c r="C382" s="881"/>
      <c r="D382" s="881"/>
      <c r="E382" s="881"/>
      <c r="F382" s="881"/>
      <c r="G382" s="881"/>
      <c r="H382" s="881"/>
    </row>
    <row r="383" spans="1:8" x14ac:dyDescent="0.2">
      <c r="A383" s="882" t="s">
        <v>556</v>
      </c>
      <c r="B383" s="881"/>
      <c r="C383" s="881"/>
      <c r="D383" s="881"/>
      <c r="E383" s="881"/>
      <c r="F383" s="881"/>
      <c r="G383" s="881"/>
      <c r="H383" s="881"/>
    </row>
    <row r="384" spans="1:8" x14ac:dyDescent="0.2">
      <c r="A384" s="881"/>
      <c r="B384" s="881"/>
      <c r="C384" s="881"/>
      <c r="D384" s="881"/>
      <c r="E384" s="881"/>
      <c r="F384" s="881"/>
      <c r="G384" s="881"/>
      <c r="H384" s="881"/>
    </row>
    <row r="385" spans="1:8" x14ac:dyDescent="0.2">
      <c r="A385" s="882" t="s">
        <v>550</v>
      </c>
      <c r="B385" s="881"/>
      <c r="C385" s="881"/>
      <c r="D385" s="881"/>
      <c r="E385" s="881"/>
      <c r="F385" s="881"/>
      <c r="G385" s="881"/>
      <c r="H385" s="881"/>
    </row>
    <row r="386" spans="1:8" x14ac:dyDescent="0.2">
      <c r="A386" s="882" t="s">
        <v>551</v>
      </c>
      <c r="B386" s="881"/>
      <c r="C386" s="881"/>
      <c r="D386" s="881"/>
      <c r="E386" s="881"/>
      <c r="F386" s="881"/>
      <c r="G386" s="881"/>
      <c r="H386" s="881"/>
    </row>
    <row r="388" spans="1:8" x14ac:dyDescent="0.2">
      <c r="A388" s="877" t="s">
        <v>804</v>
      </c>
    </row>
  </sheetData>
  <mergeCells count="12">
    <mergeCell ref="A111:H111"/>
    <mergeCell ref="A118:H118"/>
    <mergeCell ref="A105:H105"/>
    <mergeCell ref="A106:H106"/>
    <mergeCell ref="A107:H107"/>
    <mergeCell ref="A108:H108"/>
    <mergeCell ref="A110:H110"/>
    <mergeCell ref="A126:H126"/>
    <mergeCell ref="A127:H127"/>
    <mergeCell ref="B119:C119"/>
    <mergeCell ref="D119:F119"/>
    <mergeCell ref="G119:H119"/>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73"/>
  <sheetViews>
    <sheetView zoomScaleNormal="100" workbookViewId="0"/>
  </sheetViews>
  <sheetFormatPr defaultRowHeight="12.75" x14ac:dyDescent="0.2"/>
  <cols>
    <col min="1" max="1" width="9.33203125" style="627"/>
    <col min="2" max="2" width="44.83203125" style="627" customWidth="1"/>
    <col min="3" max="3" width="15" style="627" customWidth="1"/>
    <col min="4" max="16384" width="9.33203125" style="627"/>
  </cols>
  <sheetData>
    <row r="1" spans="1:29" s="638" customFormat="1" x14ac:dyDescent="0.2">
      <c r="A1" s="639" t="s">
        <v>484</v>
      </c>
      <c r="B1" s="639"/>
      <c r="C1" s="639"/>
      <c r="D1" s="639"/>
      <c r="E1" s="639"/>
      <c r="F1" s="639"/>
      <c r="G1" s="639"/>
      <c r="H1" s="639"/>
      <c r="I1" s="639"/>
      <c r="J1" s="639"/>
      <c r="K1" s="639"/>
      <c r="L1" s="639"/>
      <c r="M1" s="639"/>
      <c r="N1" s="639"/>
      <c r="O1" s="639"/>
      <c r="P1" s="639"/>
      <c r="Q1" s="639"/>
      <c r="R1" s="639"/>
      <c r="S1" s="639"/>
      <c r="T1" s="639"/>
      <c r="U1" s="639"/>
      <c r="V1" s="639"/>
      <c r="W1" s="639"/>
      <c r="X1" s="639"/>
      <c r="Y1" s="639"/>
      <c r="Z1" s="639"/>
      <c r="AA1" s="639"/>
      <c r="AB1" s="639"/>
      <c r="AC1" s="639"/>
    </row>
    <row r="2" spans="1:29" s="638" customFormat="1" ht="28.5" customHeight="1" x14ac:dyDescent="0.35">
      <c r="A2" s="639"/>
      <c r="B2" s="643" t="s">
        <v>355</v>
      </c>
      <c r="C2" s="639"/>
      <c r="D2" s="639"/>
      <c r="E2" s="639"/>
      <c r="F2" s="639"/>
      <c r="G2" s="639"/>
      <c r="H2" s="639"/>
      <c r="I2" s="639"/>
      <c r="J2" s="639"/>
      <c r="K2" s="639"/>
      <c r="L2" s="639"/>
      <c r="M2" s="639"/>
      <c r="N2" s="639"/>
      <c r="O2" s="639"/>
      <c r="P2" s="639"/>
      <c r="Q2" s="639"/>
      <c r="R2" s="639"/>
      <c r="S2" s="639"/>
      <c r="T2" s="639"/>
      <c r="U2" s="639"/>
      <c r="V2" s="639"/>
      <c r="W2" s="639"/>
      <c r="X2" s="639"/>
      <c r="Y2" s="639"/>
      <c r="Z2" s="639"/>
      <c r="AA2" s="639"/>
      <c r="AB2" s="639"/>
      <c r="AC2" s="639"/>
    </row>
    <row r="3" spans="1:29" s="638" customFormat="1" ht="15.75" x14ac:dyDescent="0.25">
      <c r="A3" s="639"/>
      <c r="B3" s="641" t="s">
        <v>281</v>
      </c>
      <c r="C3" s="641" t="s">
        <v>27</v>
      </c>
      <c r="D3" s="639"/>
      <c r="E3" s="639"/>
      <c r="F3" s="639"/>
      <c r="G3" s="639"/>
      <c r="H3" s="639"/>
      <c r="I3" s="639"/>
      <c r="J3" s="639"/>
      <c r="K3" s="639"/>
      <c r="L3" s="639"/>
      <c r="M3" s="639"/>
      <c r="N3" s="639"/>
      <c r="O3" s="639"/>
      <c r="P3" s="639"/>
      <c r="Q3" s="639"/>
      <c r="R3" s="639"/>
      <c r="S3" s="639"/>
      <c r="T3" s="639"/>
      <c r="U3" s="639"/>
      <c r="V3" s="639"/>
      <c r="W3" s="639"/>
      <c r="X3" s="639"/>
      <c r="Y3" s="639"/>
      <c r="Z3" s="639"/>
      <c r="AA3" s="639"/>
      <c r="AB3" s="639"/>
      <c r="AC3" s="639"/>
    </row>
    <row r="4" spans="1:29" s="638" customFormat="1" ht="15.75" x14ac:dyDescent="0.25">
      <c r="A4" s="639"/>
      <c r="B4" s="641" t="s">
        <v>354</v>
      </c>
      <c r="C4" s="641" t="s">
        <v>419</v>
      </c>
      <c r="D4" s="639"/>
      <c r="E4" s="639"/>
      <c r="F4" s="639"/>
      <c r="G4" s="639"/>
      <c r="H4" s="639"/>
      <c r="I4" s="639"/>
      <c r="J4" s="639"/>
      <c r="K4" s="639"/>
      <c r="L4" s="639"/>
      <c r="M4" s="639"/>
      <c r="N4" s="639"/>
      <c r="O4" s="639"/>
      <c r="P4" s="639"/>
      <c r="Q4" s="639"/>
      <c r="R4" s="639"/>
      <c r="S4" s="639"/>
      <c r="T4" s="639"/>
      <c r="U4" s="639"/>
      <c r="V4" s="639"/>
      <c r="W4" s="639"/>
      <c r="X4" s="639"/>
      <c r="Y4" s="639"/>
      <c r="Z4" s="639"/>
      <c r="AA4" s="639"/>
      <c r="AB4" s="639"/>
      <c r="AC4" s="639"/>
    </row>
    <row r="5" spans="1:29" s="638" customFormat="1" ht="15.75" x14ac:dyDescent="0.25">
      <c r="A5" s="639"/>
      <c r="B5" s="641" t="s">
        <v>353</v>
      </c>
      <c r="C5" s="642">
        <f>+Valuation!G9</f>
        <v>23</v>
      </c>
      <c r="D5" s="639"/>
      <c r="E5" s="639"/>
      <c r="F5" s="639"/>
      <c r="G5" s="639"/>
      <c r="H5" s="639"/>
      <c r="I5" s="639"/>
      <c r="J5" s="639"/>
      <c r="K5" s="639"/>
      <c r="L5" s="639"/>
      <c r="M5" s="639"/>
      <c r="N5" s="639"/>
      <c r="O5" s="639"/>
      <c r="P5" s="639"/>
      <c r="Q5" s="639"/>
      <c r="R5" s="639"/>
      <c r="S5" s="639"/>
      <c r="T5" s="639"/>
      <c r="U5" s="639"/>
      <c r="V5" s="639"/>
      <c r="W5" s="639"/>
      <c r="X5" s="639"/>
      <c r="Y5" s="639"/>
      <c r="Z5" s="639"/>
      <c r="AA5" s="639"/>
      <c r="AB5" s="639"/>
      <c r="AC5" s="639"/>
    </row>
    <row r="6" spans="1:29" s="638" customFormat="1" ht="15.75" x14ac:dyDescent="0.25">
      <c r="A6" s="639"/>
      <c r="B6" s="641" t="s">
        <v>352</v>
      </c>
      <c r="C6" s="640">
        <f ca="1">NOW()</f>
        <v>43206.300982754627</v>
      </c>
      <c r="D6" s="639"/>
      <c r="E6" s="639"/>
      <c r="F6" s="639"/>
      <c r="G6" s="639"/>
      <c r="H6" s="639"/>
      <c r="I6" s="639"/>
      <c r="J6" s="639"/>
      <c r="K6" s="639"/>
      <c r="L6" s="639"/>
      <c r="M6" s="639"/>
      <c r="N6" s="639"/>
      <c r="O6" s="639"/>
      <c r="P6" s="639"/>
      <c r="Q6" s="639"/>
      <c r="R6" s="639"/>
      <c r="S6" s="639"/>
      <c r="T6" s="639"/>
      <c r="U6" s="639"/>
      <c r="V6" s="639"/>
      <c r="W6" s="639"/>
      <c r="X6" s="639"/>
      <c r="Y6" s="639"/>
      <c r="Z6" s="639"/>
      <c r="AA6" s="639"/>
      <c r="AB6" s="639"/>
      <c r="AC6" s="639"/>
    </row>
    <row r="7" spans="1:29" s="638" customFormat="1" x14ac:dyDescent="0.2">
      <c r="A7" s="639"/>
      <c r="B7" s="639"/>
      <c r="C7" s="639"/>
      <c r="D7" s="639"/>
      <c r="E7" s="639"/>
      <c r="F7" s="639"/>
      <c r="G7" s="639"/>
      <c r="H7" s="639"/>
      <c r="I7" s="639"/>
      <c r="J7" s="639"/>
      <c r="K7" s="639"/>
      <c r="L7" s="639"/>
      <c r="M7" s="639"/>
      <c r="N7" s="639"/>
      <c r="O7" s="639"/>
      <c r="P7" s="639"/>
      <c r="Q7" s="639"/>
      <c r="R7" s="639"/>
      <c r="S7" s="639"/>
      <c r="T7" s="639"/>
      <c r="U7" s="639"/>
      <c r="V7" s="639"/>
      <c r="W7" s="639"/>
      <c r="X7" s="639"/>
      <c r="Y7" s="639"/>
      <c r="Z7" s="639"/>
      <c r="AA7" s="639"/>
      <c r="AB7" s="639"/>
      <c r="AC7" s="639"/>
    </row>
    <row r="8" spans="1:29" x14ac:dyDescent="0.2">
      <c r="A8" s="628"/>
      <c r="B8" s="637"/>
      <c r="C8" s="637"/>
      <c r="D8" s="637"/>
      <c r="E8" s="637"/>
      <c r="F8" s="637"/>
      <c r="G8" s="637"/>
      <c r="H8" s="637"/>
      <c r="I8" s="637"/>
      <c r="J8" s="637"/>
      <c r="K8" s="637"/>
      <c r="L8" s="637"/>
      <c r="M8" s="637"/>
      <c r="N8" s="637"/>
      <c r="O8" s="637"/>
      <c r="P8" s="637"/>
      <c r="Q8" s="637"/>
      <c r="R8" s="637"/>
      <c r="S8" s="628"/>
      <c r="T8" s="628"/>
      <c r="U8" s="628"/>
      <c r="V8" s="628"/>
      <c r="W8" s="628"/>
      <c r="X8" s="628"/>
      <c r="Y8" s="628"/>
      <c r="Z8" s="628"/>
      <c r="AA8" s="628"/>
      <c r="AB8" s="628"/>
      <c r="AC8" s="628"/>
    </row>
    <row r="9" spans="1:29" x14ac:dyDescent="0.2">
      <c r="A9" s="628"/>
      <c r="B9" s="637"/>
      <c r="C9" s="637"/>
      <c r="D9" s="637"/>
      <c r="E9" s="637"/>
      <c r="F9" s="637"/>
      <c r="G9" s="637"/>
      <c r="H9" s="637"/>
      <c r="I9" s="637"/>
      <c r="J9" s="637"/>
      <c r="K9" s="637"/>
      <c r="L9" s="637"/>
      <c r="M9" s="637"/>
      <c r="N9" s="637"/>
      <c r="O9" s="637"/>
      <c r="P9" s="637"/>
      <c r="Q9" s="637"/>
      <c r="R9" s="637"/>
      <c r="S9" s="628"/>
      <c r="T9" s="628"/>
      <c r="U9" s="628"/>
      <c r="V9" s="628"/>
      <c r="W9" s="628"/>
      <c r="X9" s="628"/>
      <c r="Y9" s="628"/>
      <c r="Z9" s="628"/>
      <c r="AA9" s="628"/>
      <c r="AB9" s="628"/>
      <c r="AC9" s="628"/>
    </row>
    <row r="10" spans="1:29" s="632" customFormat="1" ht="15" x14ac:dyDescent="0.25">
      <c r="A10" s="633"/>
      <c r="B10" s="635" t="s">
        <v>351</v>
      </c>
      <c r="C10" s="635" t="s">
        <v>503</v>
      </c>
      <c r="D10" s="635"/>
      <c r="E10" s="635"/>
      <c r="F10" s="635"/>
      <c r="G10" s="635"/>
      <c r="H10" s="635"/>
      <c r="I10" s="636"/>
      <c r="J10" s="636"/>
      <c r="K10" s="636"/>
      <c r="L10" s="635"/>
      <c r="M10" s="635"/>
      <c r="N10" s="635"/>
      <c r="O10" s="635"/>
      <c r="P10" s="635"/>
      <c r="Q10" s="634"/>
      <c r="R10" s="634"/>
      <c r="S10" s="633"/>
      <c r="T10" s="633"/>
      <c r="U10" s="633"/>
      <c r="V10" s="633"/>
      <c r="W10" s="633"/>
      <c r="X10" s="633"/>
      <c r="Y10" s="633"/>
      <c r="Z10" s="633"/>
      <c r="AA10" s="633"/>
      <c r="AB10" s="633"/>
      <c r="AC10" s="633"/>
    </row>
    <row r="11" spans="1:29" s="632" customFormat="1" ht="15" x14ac:dyDescent="0.25">
      <c r="A11" s="633"/>
      <c r="B11" s="635" t="s">
        <v>350</v>
      </c>
      <c r="C11" s="635" t="s">
        <v>504</v>
      </c>
      <c r="D11" s="635"/>
      <c r="E11" s="635"/>
      <c r="F11" s="635"/>
      <c r="G11" s="635"/>
      <c r="H11" s="635"/>
      <c r="I11" s="636"/>
      <c r="J11" s="636"/>
      <c r="K11" s="636"/>
      <c r="L11" s="635"/>
      <c r="M11" s="635"/>
      <c r="N11" s="635"/>
      <c r="O11" s="635"/>
      <c r="P11" s="635"/>
      <c r="Q11" s="634"/>
      <c r="R11" s="634"/>
      <c r="S11" s="633"/>
      <c r="T11" s="633"/>
      <c r="U11" s="633"/>
      <c r="V11" s="633"/>
      <c r="W11" s="633"/>
      <c r="X11" s="633"/>
      <c r="Y11" s="633"/>
      <c r="Z11" s="633"/>
      <c r="AA11" s="633"/>
      <c r="AB11" s="633"/>
      <c r="AC11" s="633"/>
    </row>
    <row r="12" spans="1:29" s="632" customFormat="1" ht="15" x14ac:dyDescent="0.25">
      <c r="A12" s="633"/>
      <c r="B12" s="635" t="s">
        <v>349</v>
      </c>
      <c r="C12" s="635" t="s">
        <v>505</v>
      </c>
      <c r="D12" s="635"/>
      <c r="E12" s="635"/>
      <c r="F12" s="635"/>
      <c r="G12" s="635"/>
      <c r="H12" s="635"/>
      <c r="I12" s="636"/>
      <c r="J12" s="636"/>
      <c r="K12" s="636"/>
      <c r="L12" s="635"/>
      <c r="M12" s="635"/>
      <c r="N12" s="635"/>
      <c r="O12" s="635"/>
      <c r="P12" s="635"/>
      <c r="Q12" s="634"/>
      <c r="R12" s="634"/>
      <c r="S12" s="633"/>
      <c r="T12" s="633"/>
      <c r="U12" s="633"/>
      <c r="V12" s="633"/>
      <c r="W12" s="633"/>
      <c r="X12" s="633"/>
      <c r="Y12" s="633"/>
      <c r="Z12" s="633"/>
      <c r="AA12" s="633"/>
      <c r="AB12" s="633"/>
      <c r="AC12" s="633"/>
    </row>
    <row r="13" spans="1:29" x14ac:dyDescent="0.2">
      <c r="A13" s="628"/>
      <c r="B13" s="631"/>
      <c r="C13" s="631"/>
      <c r="D13" s="631"/>
      <c r="E13" s="631"/>
      <c r="F13" s="631"/>
      <c r="G13" s="631"/>
      <c r="H13" s="631"/>
      <c r="I13" s="631"/>
      <c r="J13" s="631"/>
      <c r="K13" s="631"/>
      <c r="L13" s="631"/>
      <c r="M13" s="631"/>
      <c r="N13" s="631"/>
      <c r="O13" s="631"/>
      <c r="P13" s="631"/>
      <c r="Q13" s="631"/>
      <c r="R13" s="631"/>
      <c r="S13" s="628"/>
      <c r="T13" s="628"/>
      <c r="U13" s="628"/>
      <c r="V13" s="628"/>
      <c r="W13" s="628"/>
      <c r="X13" s="628"/>
      <c r="Y13" s="628"/>
      <c r="Z13" s="628"/>
      <c r="AA13" s="628"/>
      <c r="AB13" s="628"/>
      <c r="AC13" s="628"/>
    </row>
    <row r="14" spans="1:29" ht="15" x14ac:dyDescent="0.25">
      <c r="A14" s="628"/>
      <c r="B14" s="630"/>
      <c r="C14" s="630"/>
      <c r="D14" s="630"/>
      <c r="E14" s="630"/>
      <c r="F14" s="630"/>
      <c r="G14" s="629"/>
      <c r="H14" s="630"/>
      <c r="I14" s="630"/>
      <c r="J14" s="630"/>
      <c r="K14" s="630"/>
      <c r="L14" s="630"/>
      <c r="M14" s="630"/>
      <c r="N14" s="630"/>
      <c r="O14" s="630"/>
      <c r="P14" s="630"/>
      <c r="Q14" s="630"/>
      <c r="R14" s="630"/>
      <c r="S14" s="628"/>
      <c r="T14" s="628"/>
      <c r="U14" s="628"/>
      <c r="V14" s="628"/>
      <c r="W14" s="628"/>
      <c r="X14" s="628"/>
      <c r="Y14" s="628"/>
      <c r="Z14" s="628"/>
      <c r="AA14" s="628"/>
      <c r="AB14" s="628"/>
      <c r="AC14" s="628"/>
    </row>
    <row r="15" spans="1:29" ht="15" x14ac:dyDescent="0.25">
      <c r="A15" s="628"/>
      <c r="B15" s="628"/>
      <c r="C15" s="628"/>
      <c r="D15" s="628"/>
      <c r="E15" s="628"/>
      <c r="F15" s="628"/>
      <c r="G15" s="629"/>
      <c r="H15" s="628"/>
      <c r="I15" s="628"/>
      <c r="J15" s="628"/>
      <c r="K15" s="628"/>
      <c r="L15" s="628"/>
      <c r="M15" s="628"/>
      <c r="N15" s="628"/>
      <c r="O15" s="628"/>
      <c r="P15" s="628"/>
      <c r="Q15" s="628"/>
      <c r="R15" s="628"/>
      <c r="S15" s="628"/>
      <c r="T15" s="628"/>
      <c r="U15" s="628"/>
      <c r="V15" s="628"/>
      <c r="W15" s="628"/>
      <c r="X15" s="628"/>
      <c r="Y15" s="628"/>
      <c r="Z15" s="628"/>
      <c r="AA15" s="628"/>
      <c r="AB15" s="628"/>
      <c r="AC15" s="628"/>
    </row>
    <row r="16" spans="1:29" ht="15" x14ac:dyDescent="0.25">
      <c r="A16" s="628"/>
      <c r="B16" s="628"/>
      <c r="C16" s="628"/>
      <c r="D16" s="628"/>
      <c r="E16" s="628"/>
      <c r="F16" s="628"/>
      <c r="G16" s="629"/>
      <c r="H16" s="628"/>
      <c r="I16" s="628"/>
      <c r="J16" s="628"/>
      <c r="K16" s="628"/>
      <c r="L16" s="628"/>
      <c r="M16" s="628"/>
      <c r="N16" s="628"/>
      <c r="O16" s="628"/>
      <c r="P16" s="628"/>
      <c r="Q16" s="628"/>
      <c r="R16" s="628"/>
      <c r="S16" s="628"/>
      <c r="T16" s="628"/>
      <c r="U16" s="628"/>
      <c r="V16" s="628"/>
      <c r="W16" s="628"/>
      <c r="X16" s="628"/>
      <c r="Y16" s="628"/>
      <c r="Z16" s="628"/>
      <c r="AA16" s="628"/>
      <c r="AB16" s="628"/>
      <c r="AC16" s="628"/>
    </row>
    <row r="17" spans="1:29" x14ac:dyDescent="0.2">
      <c r="A17" s="628"/>
      <c r="B17" s="628"/>
      <c r="C17" s="628"/>
      <c r="D17" s="628"/>
      <c r="E17" s="628"/>
      <c r="F17" s="628"/>
      <c r="G17" s="628"/>
      <c r="H17" s="628"/>
      <c r="I17" s="628"/>
      <c r="J17" s="628"/>
      <c r="K17" s="628"/>
      <c r="L17" s="628"/>
      <c r="M17" s="628"/>
      <c r="N17" s="628"/>
      <c r="O17" s="628"/>
      <c r="P17" s="628"/>
      <c r="Q17" s="628"/>
      <c r="R17" s="628"/>
      <c r="S17" s="628"/>
      <c r="T17" s="628"/>
      <c r="U17" s="628"/>
      <c r="V17" s="628"/>
      <c r="W17" s="628"/>
      <c r="X17" s="628"/>
      <c r="Y17" s="628"/>
      <c r="Z17" s="628"/>
      <c r="AA17" s="628"/>
      <c r="AB17" s="628"/>
      <c r="AC17" s="628"/>
    </row>
    <row r="18" spans="1:29" x14ac:dyDescent="0.2">
      <c r="A18" s="628"/>
      <c r="B18" s="628"/>
      <c r="C18" s="628"/>
      <c r="D18" s="628"/>
      <c r="E18" s="628"/>
      <c r="F18" s="628"/>
      <c r="G18" s="628"/>
      <c r="H18" s="628"/>
      <c r="I18" s="628"/>
      <c r="J18" s="628"/>
      <c r="K18" s="628"/>
      <c r="L18" s="628"/>
      <c r="M18" s="628"/>
      <c r="N18" s="628"/>
      <c r="O18" s="628"/>
      <c r="P18" s="628"/>
      <c r="Q18" s="628"/>
      <c r="R18" s="628"/>
      <c r="S18" s="628"/>
      <c r="T18" s="628"/>
      <c r="U18" s="628"/>
      <c r="V18" s="628"/>
      <c r="W18" s="628"/>
      <c r="X18" s="628"/>
      <c r="Y18" s="628"/>
      <c r="Z18" s="628"/>
      <c r="AA18" s="628"/>
      <c r="AB18" s="628"/>
      <c r="AC18" s="628"/>
    </row>
    <row r="19" spans="1:29" x14ac:dyDescent="0.2">
      <c r="A19" s="628"/>
      <c r="B19" s="628"/>
      <c r="C19" s="628"/>
      <c r="D19" s="628"/>
      <c r="E19" s="628"/>
      <c r="F19" s="628"/>
      <c r="G19" s="628"/>
      <c r="H19" s="628"/>
      <c r="I19" s="628"/>
      <c r="J19" s="628"/>
      <c r="K19" s="628"/>
      <c r="L19" s="628"/>
      <c r="M19" s="628"/>
      <c r="N19" s="628"/>
      <c r="O19" s="628"/>
      <c r="P19" s="628"/>
      <c r="Q19" s="628"/>
      <c r="R19" s="628"/>
      <c r="S19" s="628"/>
      <c r="T19" s="628"/>
      <c r="U19" s="628"/>
      <c r="V19" s="628"/>
      <c r="W19" s="628"/>
      <c r="X19" s="628"/>
      <c r="Y19" s="628"/>
      <c r="Z19" s="628"/>
      <c r="AA19" s="628"/>
      <c r="AB19" s="628"/>
      <c r="AC19" s="628"/>
    </row>
    <row r="20" spans="1:29" x14ac:dyDescent="0.2">
      <c r="A20" s="628"/>
      <c r="B20" s="628"/>
      <c r="C20" s="628"/>
      <c r="D20" s="628"/>
      <c r="E20" s="628"/>
      <c r="F20" s="628"/>
      <c r="G20" s="628"/>
      <c r="H20" s="628"/>
      <c r="I20" s="628"/>
      <c r="J20" s="628"/>
      <c r="K20" s="628"/>
      <c r="L20" s="628"/>
      <c r="M20" s="628"/>
      <c r="N20" s="628"/>
      <c r="O20" s="628"/>
      <c r="P20" s="628"/>
      <c r="Q20" s="628"/>
      <c r="R20" s="628"/>
      <c r="S20" s="628"/>
      <c r="T20" s="628"/>
      <c r="U20" s="628"/>
      <c r="V20" s="628"/>
      <c r="W20" s="628"/>
      <c r="X20" s="628"/>
      <c r="Y20" s="628"/>
      <c r="Z20" s="628"/>
      <c r="AA20" s="628"/>
      <c r="AB20" s="628"/>
      <c r="AC20" s="628"/>
    </row>
    <row r="21" spans="1:29" x14ac:dyDescent="0.2">
      <c r="A21" s="628"/>
      <c r="B21" s="628"/>
      <c r="C21" s="628"/>
      <c r="D21" s="628"/>
      <c r="E21" s="628"/>
      <c r="F21" s="628"/>
      <c r="G21" s="628"/>
      <c r="H21" s="628"/>
      <c r="I21" s="628"/>
      <c r="J21" s="628"/>
      <c r="K21" s="628"/>
      <c r="L21" s="628"/>
      <c r="M21" s="628"/>
      <c r="N21" s="628"/>
      <c r="O21" s="628"/>
      <c r="P21" s="628"/>
      <c r="Q21" s="628"/>
      <c r="R21" s="628"/>
      <c r="S21" s="628"/>
      <c r="T21" s="628"/>
      <c r="U21" s="628"/>
      <c r="V21" s="628"/>
      <c r="W21" s="628"/>
      <c r="X21" s="628"/>
      <c r="Y21" s="628"/>
      <c r="Z21" s="628"/>
      <c r="AA21" s="628"/>
      <c r="AB21" s="628"/>
      <c r="AC21" s="628"/>
    </row>
    <row r="22" spans="1:29" x14ac:dyDescent="0.2">
      <c r="A22" s="628"/>
      <c r="B22" s="628"/>
      <c r="C22" s="628"/>
      <c r="D22" s="628"/>
      <c r="E22" s="628"/>
      <c r="F22" s="628"/>
      <c r="G22" s="628"/>
      <c r="H22" s="628"/>
      <c r="I22" s="628"/>
      <c r="J22" s="628"/>
      <c r="K22" s="628"/>
      <c r="L22" s="628"/>
      <c r="M22" s="628"/>
      <c r="N22" s="628"/>
      <c r="O22" s="628"/>
      <c r="P22" s="628"/>
      <c r="Q22" s="628"/>
      <c r="R22" s="628"/>
      <c r="S22" s="628"/>
      <c r="T22" s="628"/>
      <c r="U22" s="628"/>
      <c r="V22" s="628"/>
      <c r="W22" s="628"/>
      <c r="X22" s="628"/>
      <c r="Y22" s="628"/>
      <c r="Z22" s="628"/>
      <c r="AA22" s="628"/>
      <c r="AB22" s="628"/>
      <c r="AC22" s="628"/>
    </row>
    <row r="23" spans="1:29" x14ac:dyDescent="0.2">
      <c r="A23" s="628"/>
      <c r="B23" s="628"/>
      <c r="C23" s="628"/>
      <c r="D23" s="628"/>
      <c r="E23" s="628"/>
      <c r="F23" s="628"/>
      <c r="G23" s="628"/>
      <c r="H23" s="628"/>
      <c r="I23" s="628"/>
      <c r="J23" s="628"/>
      <c r="K23" s="628"/>
      <c r="L23" s="628"/>
      <c r="M23" s="628"/>
      <c r="N23" s="628"/>
      <c r="O23" s="628"/>
      <c r="P23" s="628"/>
      <c r="Q23" s="628"/>
      <c r="R23" s="628"/>
      <c r="S23" s="628"/>
      <c r="T23" s="628"/>
      <c r="U23" s="628"/>
      <c r="V23" s="628"/>
      <c r="W23" s="628"/>
      <c r="X23" s="628"/>
      <c r="Y23" s="628"/>
      <c r="Z23" s="628"/>
      <c r="AA23" s="628"/>
      <c r="AB23" s="628"/>
      <c r="AC23" s="628"/>
    </row>
    <row r="24" spans="1:29" x14ac:dyDescent="0.2">
      <c r="A24" s="628"/>
      <c r="B24" s="628"/>
      <c r="C24" s="628"/>
      <c r="D24" s="628"/>
      <c r="E24" s="628"/>
      <c r="F24" s="628"/>
      <c r="G24" s="628"/>
      <c r="H24" s="628"/>
      <c r="I24" s="628"/>
      <c r="J24" s="628"/>
      <c r="K24" s="628"/>
      <c r="L24" s="628"/>
      <c r="M24" s="628"/>
      <c r="N24" s="628"/>
      <c r="O24" s="628"/>
      <c r="P24" s="628"/>
      <c r="Q24" s="628"/>
      <c r="R24" s="628"/>
      <c r="S24" s="628"/>
      <c r="T24" s="628"/>
      <c r="U24" s="628"/>
      <c r="V24" s="628"/>
      <c r="W24" s="628"/>
      <c r="X24" s="628"/>
      <c r="Y24" s="628"/>
      <c r="Z24" s="628"/>
      <c r="AA24" s="628"/>
      <c r="AB24" s="628"/>
      <c r="AC24" s="628"/>
    </row>
    <row r="25" spans="1:29" x14ac:dyDescent="0.2">
      <c r="A25" s="628"/>
      <c r="B25" s="628"/>
      <c r="C25" s="628"/>
      <c r="D25" s="628"/>
      <c r="E25" s="628"/>
      <c r="F25" s="628"/>
      <c r="G25" s="628"/>
      <c r="H25" s="628"/>
      <c r="I25" s="628"/>
      <c r="J25" s="628"/>
      <c r="K25" s="628"/>
      <c r="L25" s="628"/>
      <c r="M25" s="628"/>
      <c r="N25" s="628"/>
      <c r="O25" s="628"/>
      <c r="P25" s="628"/>
      <c r="Q25" s="628"/>
      <c r="R25" s="628"/>
      <c r="S25" s="628"/>
      <c r="T25" s="628"/>
      <c r="U25" s="628"/>
      <c r="V25" s="628"/>
      <c r="W25" s="628"/>
      <c r="X25" s="628"/>
      <c r="Y25" s="628"/>
      <c r="Z25" s="628"/>
      <c r="AA25" s="628"/>
      <c r="AB25" s="628"/>
      <c r="AC25" s="628"/>
    </row>
    <row r="26" spans="1:29" x14ac:dyDescent="0.2">
      <c r="A26" s="628"/>
      <c r="B26" s="628"/>
      <c r="C26" s="628"/>
      <c r="D26" s="628"/>
      <c r="E26" s="628"/>
      <c r="F26" s="628"/>
      <c r="G26" s="628"/>
      <c r="H26" s="628"/>
      <c r="I26" s="628"/>
      <c r="J26" s="628"/>
      <c r="K26" s="628"/>
      <c r="L26" s="628"/>
      <c r="M26" s="628"/>
      <c r="N26" s="628"/>
      <c r="O26" s="628"/>
      <c r="P26" s="628"/>
      <c r="Q26" s="628"/>
      <c r="R26" s="628"/>
      <c r="S26" s="628"/>
      <c r="T26" s="628"/>
      <c r="U26" s="628"/>
      <c r="V26" s="628"/>
      <c r="W26" s="628"/>
      <c r="X26" s="628"/>
      <c r="Y26" s="628"/>
      <c r="Z26" s="628"/>
      <c r="AA26" s="628"/>
      <c r="AB26" s="628"/>
      <c r="AC26" s="628"/>
    </row>
    <row r="27" spans="1:29" x14ac:dyDescent="0.2">
      <c r="A27" s="628"/>
      <c r="B27" s="628"/>
      <c r="C27" s="628"/>
      <c r="D27" s="628"/>
      <c r="E27" s="628"/>
      <c r="F27" s="628"/>
      <c r="G27" s="628"/>
      <c r="H27" s="628"/>
      <c r="I27" s="628"/>
      <c r="J27" s="628"/>
      <c r="K27" s="628"/>
      <c r="L27" s="628"/>
      <c r="M27" s="628"/>
      <c r="N27" s="628"/>
      <c r="O27" s="628"/>
      <c r="P27" s="628"/>
      <c r="Q27" s="628"/>
      <c r="R27" s="628"/>
      <c r="S27" s="628"/>
      <c r="T27" s="628"/>
      <c r="U27" s="628"/>
      <c r="V27" s="628"/>
      <c r="W27" s="628"/>
      <c r="X27" s="628"/>
      <c r="Y27" s="628"/>
      <c r="Z27" s="628"/>
      <c r="AA27" s="628"/>
      <c r="AB27" s="628"/>
      <c r="AC27" s="628"/>
    </row>
    <row r="28" spans="1:29" x14ac:dyDescent="0.2">
      <c r="A28" s="628"/>
      <c r="B28" s="628"/>
      <c r="C28" s="628"/>
      <c r="D28" s="628"/>
      <c r="E28" s="628"/>
      <c r="F28" s="628"/>
      <c r="G28" s="628"/>
      <c r="H28" s="628"/>
      <c r="I28" s="628"/>
      <c r="J28" s="628"/>
      <c r="K28" s="628"/>
      <c r="L28" s="628"/>
      <c r="M28" s="628"/>
      <c r="N28" s="628"/>
      <c r="O28" s="628"/>
      <c r="P28" s="628"/>
      <c r="Q28" s="628"/>
      <c r="R28" s="628"/>
      <c r="S28" s="628"/>
      <c r="T28" s="628"/>
      <c r="U28" s="628"/>
      <c r="V28" s="628"/>
      <c r="W28" s="628"/>
      <c r="X28" s="628"/>
      <c r="Y28" s="628"/>
      <c r="Z28" s="628"/>
      <c r="AA28" s="628"/>
      <c r="AB28" s="628"/>
      <c r="AC28" s="628"/>
    </row>
    <row r="29" spans="1:29" x14ac:dyDescent="0.2">
      <c r="A29" s="628"/>
      <c r="B29" s="628"/>
      <c r="C29" s="628"/>
      <c r="D29" s="628"/>
      <c r="E29" s="628"/>
      <c r="F29" s="628"/>
      <c r="G29" s="628"/>
      <c r="H29" s="628"/>
      <c r="I29" s="628"/>
      <c r="J29" s="628"/>
      <c r="K29" s="628"/>
      <c r="L29" s="628"/>
      <c r="M29" s="628"/>
      <c r="N29" s="628"/>
      <c r="O29" s="628"/>
      <c r="P29" s="628"/>
      <c r="Q29" s="628"/>
      <c r="R29" s="628"/>
      <c r="S29" s="628"/>
      <c r="T29" s="628"/>
      <c r="U29" s="628"/>
      <c r="V29" s="628"/>
      <c r="W29" s="628"/>
      <c r="X29" s="628"/>
      <c r="Y29" s="628"/>
      <c r="Z29" s="628"/>
      <c r="AA29" s="628"/>
      <c r="AB29" s="628"/>
      <c r="AC29" s="628"/>
    </row>
    <row r="30" spans="1:29" x14ac:dyDescent="0.2">
      <c r="A30" s="628"/>
      <c r="B30" s="628"/>
      <c r="C30" s="628"/>
      <c r="D30" s="628"/>
      <c r="E30" s="628"/>
      <c r="F30" s="628"/>
      <c r="G30" s="628"/>
      <c r="H30" s="628"/>
      <c r="I30" s="628"/>
      <c r="J30" s="628"/>
      <c r="K30" s="628"/>
      <c r="L30" s="628"/>
      <c r="M30" s="628"/>
      <c r="N30" s="628"/>
      <c r="O30" s="628"/>
      <c r="P30" s="628"/>
      <c r="Q30" s="628"/>
      <c r="R30" s="628"/>
      <c r="S30" s="628"/>
      <c r="T30" s="628"/>
      <c r="U30" s="628"/>
      <c r="V30" s="628"/>
      <c r="W30" s="628"/>
      <c r="X30" s="628"/>
      <c r="Y30" s="628"/>
      <c r="Z30" s="628"/>
      <c r="AA30" s="628"/>
      <c r="AB30" s="628"/>
      <c r="AC30" s="628"/>
    </row>
    <row r="31" spans="1:29" x14ac:dyDescent="0.2">
      <c r="A31" s="628"/>
      <c r="B31" s="628"/>
      <c r="C31" s="628"/>
      <c r="D31" s="628"/>
      <c r="E31" s="628"/>
      <c r="F31" s="628"/>
      <c r="G31" s="628"/>
      <c r="H31" s="628"/>
      <c r="I31" s="628"/>
      <c r="J31" s="628"/>
      <c r="K31" s="628"/>
      <c r="L31" s="628"/>
      <c r="M31" s="628"/>
      <c r="N31" s="628"/>
      <c r="O31" s="628"/>
      <c r="P31" s="628"/>
      <c r="Q31" s="628"/>
      <c r="R31" s="628"/>
      <c r="S31" s="628"/>
      <c r="T31" s="628"/>
      <c r="U31" s="628"/>
      <c r="V31" s="628"/>
      <c r="W31" s="628"/>
      <c r="X31" s="628"/>
      <c r="Y31" s="628"/>
      <c r="Z31" s="628"/>
      <c r="AA31" s="628"/>
      <c r="AB31" s="628"/>
      <c r="AC31" s="628"/>
    </row>
    <row r="32" spans="1:29" x14ac:dyDescent="0.2">
      <c r="A32" s="628"/>
      <c r="B32" s="628"/>
      <c r="C32" s="628"/>
      <c r="D32" s="628"/>
      <c r="E32" s="628"/>
      <c r="F32" s="628"/>
      <c r="G32" s="628"/>
      <c r="H32" s="628"/>
      <c r="I32" s="628"/>
      <c r="J32" s="628"/>
      <c r="K32" s="628"/>
      <c r="L32" s="628"/>
      <c r="M32" s="628"/>
      <c r="N32" s="628"/>
      <c r="O32" s="628"/>
      <c r="P32" s="628"/>
      <c r="Q32" s="628"/>
      <c r="R32" s="628"/>
      <c r="S32" s="628"/>
      <c r="T32" s="628"/>
      <c r="U32" s="628"/>
      <c r="V32" s="628"/>
      <c r="W32" s="628"/>
      <c r="X32" s="628"/>
      <c r="Y32" s="628"/>
      <c r="Z32" s="628"/>
      <c r="AA32" s="628"/>
      <c r="AB32" s="628"/>
      <c r="AC32" s="628"/>
    </row>
    <row r="33" spans="1:29" x14ac:dyDescent="0.2">
      <c r="A33" s="628"/>
      <c r="B33" s="628"/>
      <c r="C33" s="628"/>
      <c r="D33" s="628"/>
      <c r="E33" s="628"/>
      <c r="F33" s="628"/>
      <c r="G33" s="628"/>
      <c r="H33" s="628"/>
      <c r="I33" s="628"/>
      <c r="J33" s="628"/>
      <c r="K33" s="628"/>
      <c r="L33" s="628"/>
      <c r="M33" s="628"/>
      <c r="N33" s="628"/>
      <c r="O33" s="628"/>
      <c r="P33" s="628"/>
      <c r="Q33" s="628"/>
      <c r="R33" s="628"/>
      <c r="S33" s="628"/>
      <c r="T33" s="628"/>
      <c r="U33" s="628"/>
      <c r="V33" s="628"/>
      <c r="W33" s="628"/>
      <c r="X33" s="628"/>
      <c r="Y33" s="628"/>
      <c r="Z33" s="628"/>
      <c r="AA33" s="628"/>
      <c r="AB33" s="628"/>
      <c r="AC33" s="628"/>
    </row>
    <row r="34" spans="1:29" x14ac:dyDescent="0.2">
      <c r="A34" s="628"/>
      <c r="B34" s="628"/>
      <c r="C34" s="628"/>
      <c r="D34" s="628"/>
      <c r="E34" s="628"/>
      <c r="F34" s="628"/>
      <c r="G34" s="628"/>
      <c r="H34" s="628"/>
      <c r="I34" s="628"/>
      <c r="J34" s="628"/>
      <c r="K34" s="628"/>
      <c r="L34" s="628"/>
      <c r="M34" s="628"/>
      <c r="N34" s="628"/>
      <c r="O34" s="628"/>
      <c r="P34" s="628"/>
      <c r="Q34" s="628"/>
      <c r="R34" s="628"/>
      <c r="S34" s="628"/>
      <c r="T34" s="628"/>
      <c r="U34" s="628"/>
      <c r="V34" s="628"/>
      <c r="W34" s="628"/>
      <c r="X34" s="628"/>
      <c r="Y34" s="628"/>
      <c r="Z34" s="628"/>
      <c r="AA34" s="628"/>
      <c r="AB34" s="628"/>
      <c r="AC34" s="628"/>
    </row>
    <row r="35" spans="1:29" x14ac:dyDescent="0.2">
      <c r="A35" s="628"/>
      <c r="B35" s="628"/>
      <c r="C35" s="628"/>
      <c r="D35" s="628"/>
      <c r="E35" s="628"/>
      <c r="F35" s="628"/>
      <c r="G35" s="628"/>
      <c r="H35" s="628"/>
      <c r="I35" s="628"/>
      <c r="J35" s="628"/>
      <c r="K35" s="628"/>
      <c r="L35" s="628"/>
      <c r="M35" s="628"/>
      <c r="N35" s="628"/>
      <c r="O35" s="628"/>
      <c r="P35" s="628"/>
      <c r="Q35" s="628"/>
      <c r="R35" s="628"/>
      <c r="S35" s="628"/>
      <c r="T35" s="628"/>
      <c r="U35" s="628"/>
      <c r="V35" s="628"/>
      <c r="W35" s="628"/>
      <c r="X35" s="628"/>
      <c r="Y35" s="628"/>
      <c r="Z35" s="628"/>
      <c r="AA35" s="628"/>
      <c r="AB35" s="628"/>
      <c r="AC35" s="628"/>
    </row>
    <row r="36" spans="1:29" x14ac:dyDescent="0.2">
      <c r="A36" s="628"/>
      <c r="B36" s="628"/>
      <c r="C36" s="628"/>
      <c r="D36" s="628"/>
      <c r="E36" s="628"/>
      <c r="F36" s="628"/>
      <c r="G36" s="628"/>
      <c r="H36" s="628"/>
      <c r="I36" s="628"/>
      <c r="J36" s="628"/>
      <c r="K36" s="628"/>
      <c r="L36" s="628"/>
      <c r="M36" s="628"/>
      <c r="N36" s="628"/>
      <c r="O36" s="628"/>
      <c r="P36" s="628"/>
      <c r="Q36" s="628"/>
      <c r="R36" s="628"/>
      <c r="S36" s="628"/>
      <c r="T36" s="628"/>
      <c r="U36" s="628"/>
      <c r="V36" s="628"/>
      <c r="W36" s="628"/>
      <c r="X36" s="628"/>
      <c r="Y36" s="628"/>
      <c r="Z36" s="628"/>
      <c r="AA36" s="628"/>
      <c r="AB36" s="628"/>
      <c r="AC36" s="628"/>
    </row>
    <row r="37" spans="1:29" x14ac:dyDescent="0.2">
      <c r="A37" s="628"/>
      <c r="B37" s="628"/>
      <c r="C37" s="628"/>
      <c r="D37" s="628"/>
      <c r="E37" s="628"/>
      <c r="F37" s="628"/>
      <c r="G37" s="628"/>
      <c r="H37" s="628"/>
      <c r="I37" s="628"/>
      <c r="J37" s="628"/>
      <c r="K37" s="628"/>
      <c r="L37" s="628"/>
      <c r="M37" s="628"/>
      <c r="N37" s="628"/>
      <c r="O37" s="628"/>
      <c r="P37" s="628"/>
      <c r="Q37" s="628"/>
      <c r="R37" s="628"/>
      <c r="S37" s="628"/>
      <c r="T37" s="628"/>
      <c r="U37" s="628"/>
      <c r="V37" s="628"/>
      <c r="W37" s="628"/>
      <c r="X37" s="628"/>
      <c r="Y37" s="628"/>
      <c r="Z37" s="628"/>
      <c r="AA37" s="628"/>
      <c r="AB37" s="628"/>
      <c r="AC37" s="628"/>
    </row>
    <row r="38" spans="1:29" x14ac:dyDescent="0.2">
      <c r="A38" s="628"/>
      <c r="B38" s="628"/>
      <c r="C38" s="628"/>
      <c r="D38" s="628"/>
      <c r="E38" s="628"/>
      <c r="F38" s="628"/>
      <c r="G38" s="628"/>
      <c r="H38" s="628"/>
      <c r="I38" s="628"/>
      <c r="J38" s="628"/>
      <c r="K38" s="628"/>
      <c r="L38" s="628"/>
      <c r="M38" s="628"/>
      <c r="N38" s="628"/>
      <c r="O38" s="628"/>
      <c r="P38" s="628"/>
      <c r="Q38" s="628"/>
      <c r="R38" s="628"/>
      <c r="S38" s="628"/>
      <c r="T38" s="628"/>
      <c r="U38" s="628"/>
      <c r="V38" s="628"/>
      <c r="W38" s="628"/>
      <c r="X38" s="628"/>
      <c r="Y38" s="628"/>
      <c r="Z38" s="628"/>
      <c r="AA38" s="628"/>
      <c r="AB38" s="628"/>
      <c r="AC38" s="628"/>
    </row>
    <row r="39" spans="1:29" x14ac:dyDescent="0.2">
      <c r="A39" s="628"/>
      <c r="B39" s="628"/>
      <c r="C39" s="628"/>
      <c r="D39" s="628"/>
      <c r="E39" s="628"/>
      <c r="F39" s="628"/>
      <c r="G39" s="628"/>
      <c r="H39" s="628"/>
      <c r="I39" s="628"/>
      <c r="J39" s="628"/>
      <c r="K39" s="628"/>
      <c r="L39" s="628"/>
      <c r="M39" s="628"/>
      <c r="N39" s="628"/>
      <c r="O39" s="628"/>
      <c r="P39" s="628"/>
      <c r="Q39" s="628"/>
      <c r="R39" s="628"/>
      <c r="S39" s="628"/>
      <c r="T39" s="628"/>
      <c r="U39" s="628"/>
      <c r="V39" s="628"/>
      <c r="W39" s="628"/>
      <c r="X39" s="628"/>
      <c r="Y39" s="628"/>
      <c r="Z39" s="628"/>
      <c r="AA39" s="628"/>
      <c r="AB39" s="628"/>
      <c r="AC39" s="628"/>
    </row>
    <row r="40" spans="1:29" x14ac:dyDescent="0.2">
      <c r="A40" s="628"/>
      <c r="B40" s="628"/>
      <c r="C40" s="628"/>
      <c r="D40" s="628"/>
      <c r="E40" s="628"/>
      <c r="F40" s="628"/>
      <c r="G40" s="628"/>
      <c r="H40" s="628"/>
      <c r="I40" s="628"/>
      <c r="J40" s="628"/>
      <c r="K40" s="628"/>
      <c r="L40" s="628"/>
      <c r="M40" s="628"/>
      <c r="N40" s="628"/>
      <c r="O40" s="628"/>
      <c r="P40" s="628"/>
      <c r="Q40" s="628"/>
      <c r="R40" s="628"/>
      <c r="S40" s="628"/>
      <c r="T40" s="628"/>
      <c r="U40" s="628"/>
      <c r="V40" s="628"/>
      <c r="W40" s="628"/>
      <c r="X40" s="628"/>
      <c r="Y40" s="628"/>
      <c r="Z40" s="628"/>
      <c r="AA40" s="628"/>
      <c r="AB40" s="628"/>
      <c r="AC40" s="628"/>
    </row>
    <row r="41" spans="1:29" x14ac:dyDescent="0.2">
      <c r="A41" s="628"/>
      <c r="B41" s="628"/>
      <c r="C41" s="628"/>
      <c r="D41" s="628"/>
      <c r="E41" s="628"/>
      <c r="F41" s="628"/>
      <c r="G41" s="628"/>
      <c r="H41" s="628"/>
      <c r="I41" s="628"/>
      <c r="J41" s="628"/>
      <c r="K41" s="628"/>
      <c r="L41" s="628"/>
      <c r="M41" s="628"/>
      <c r="N41" s="628"/>
      <c r="O41" s="628"/>
      <c r="P41" s="628"/>
      <c r="Q41" s="628"/>
      <c r="R41" s="628"/>
      <c r="S41" s="628"/>
      <c r="T41" s="628"/>
      <c r="U41" s="628"/>
      <c r="V41" s="628"/>
      <c r="W41" s="628"/>
      <c r="X41" s="628"/>
      <c r="Y41" s="628"/>
      <c r="Z41" s="628"/>
      <c r="AA41" s="628"/>
      <c r="AB41" s="628"/>
      <c r="AC41" s="628"/>
    </row>
    <row r="42" spans="1:29" x14ac:dyDescent="0.2">
      <c r="A42" s="628"/>
      <c r="B42" s="628"/>
      <c r="C42" s="628"/>
      <c r="D42" s="628"/>
      <c r="E42" s="628"/>
      <c r="F42" s="628"/>
      <c r="G42" s="628"/>
      <c r="H42" s="628"/>
      <c r="I42" s="628"/>
      <c r="J42" s="628"/>
      <c r="K42" s="628"/>
      <c r="L42" s="628"/>
      <c r="M42" s="628"/>
      <c r="N42" s="628"/>
      <c r="O42" s="628"/>
      <c r="P42" s="628"/>
      <c r="Q42" s="628"/>
      <c r="R42" s="628"/>
      <c r="S42" s="628"/>
      <c r="T42" s="628"/>
      <c r="U42" s="628"/>
      <c r="V42" s="628"/>
      <c r="W42" s="628"/>
      <c r="X42" s="628"/>
      <c r="Y42" s="628"/>
      <c r="Z42" s="628"/>
      <c r="AA42" s="628"/>
      <c r="AB42" s="628"/>
      <c r="AC42" s="628"/>
    </row>
    <row r="43" spans="1:29" x14ac:dyDescent="0.2">
      <c r="A43" s="628"/>
      <c r="B43" s="628"/>
      <c r="C43" s="628"/>
      <c r="D43" s="628"/>
      <c r="E43" s="628"/>
      <c r="F43" s="628"/>
      <c r="G43" s="628"/>
      <c r="H43" s="628"/>
      <c r="I43" s="628"/>
      <c r="J43" s="628"/>
      <c r="K43" s="628"/>
      <c r="L43" s="628"/>
      <c r="M43" s="628"/>
      <c r="N43" s="628"/>
      <c r="O43" s="628"/>
      <c r="P43" s="628"/>
      <c r="Q43" s="628"/>
      <c r="R43" s="628"/>
      <c r="S43" s="628"/>
      <c r="T43" s="628"/>
      <c r="U43" s="628"/>
      <c r="V43" s="628"/>
      <c r="W43" s="628"/>
      <c r="X43" s="628"/>
      <c r="Y43" s="628"/>
      <c r="Z43" s="628"/>
      <c r="AA43" s="628"/>
      <c r="AB43" s="628"/>
      <c r="AC43" s="628"/>
    </row>
    <row r="44" spans="1:29" x14ac:dyDescent="0.2">
      <c r="A44" s="628"/>
      <c r="B44" s="628"/>
      <c r="C44" s="628"/>
      <c r="D44" s="628"/>
      <c r="E44" s="628"/>
      <c r="F44" s="628"/>
      <c r="G44" s="628"/>
      <c r="H44" s="628"/>
      <c r="I44" s="628"/>
      <c r="J44" s="628"/>
      <c r="K44" s="628"/>
      <c r="L44" s="628"/>
      <c r="M44" s="628"/>
      <c r="N44" s="628"/>
      <c r="O44" s="628"/>
      <c r="P44" s="628"/>
      <c r="Q44" s="628"/>
      <c r="R44" s="628"/>
      <c r="S44" s="628"/>
      <c r="T44" s="628"/>
      <c r="U44" s="628"/>
      <c r="V44" s="628"/>
      <c r="W44" s="628"/>
      <c r="X44" s="628"/>
      <c r="Y44" s="628"/>
      <c r="Z44" s="628"/>
      <c r="AA44" s="628"/>
      <c r="AB44" s="628"/>
      <c r="AC44" s="628"/>
    </row>
    <row r="45" spans="1:29" x14ac:dyDescent="0.2">
      <c r="A45" s="628"/>
      <c r="B45" s="628"/>
      <c r="C45" s="628"/>
      <c r="D45" s="628"/>
      <c r="E45" s="628"/>
      <c r="F45" s="628"/>
      <c r="G45" s="628"/>
      <c r="H45" s="628"/>
      <c r="I45" s="628"/>
      <c r="J45" s="628"/>
      <c r="K45" s="628"/>
      <c r="L45" s="628"/>
      <c r="M45" s="628"/>
      <c r="N45" s="628"/>
      <c r="O45" s="628"/>
      <c r="P45" s="628"/>
      <c r="Q45" s="628"/>
      <c r="R45" s="628"/>
      <c r="S45" s="628"/>
      <c r="T45" s="628"/>
      <c r="U45" s="628"/>
      <c r="V45" s="628"/>
      <c r="W45" s="628"/>
      <c r="X45" s="628"/>
      <c r="Y45" s="628"/>
      <c r="Z45" s="628"/>
      <c r="AA45" s="628"/>
      <c r="AB45" s="628"/>
      <c r="AC45" s="628"/>
    </row>
    <row r="46" spans="1:29" x14ac:dyDescent="0.2">
      <c r="A46" s="628"/>
      <c r="B46" s="628"/>
      <c r="C46" s="628"/>
      <c r="D46" s="628"/>
      <c r="E46" s="628"/>
      <c r="F46" s="628"/>
      <c r="G46" s="628"/>
      <c r="H46" s="628"/>
      <c r="I46" s="628"/>
      <c r="J46" s="628"/>
      <c r="K46" s="628"/>
      <c r="L46" s="628"/>
      <c r="M46" s="628"/>
      <c r="N46" s="628"/>
      <c r="O46" s="628"/>
      <c r="P46" s="628"/>
      <c r="Q46" s="628"/>
      <c r="R46" s="628"/>
      <c r="S46" s="628"/>
      <c r="T46" s="628"/>
      <c r="U46" s="628"/>
      <c r="V46" s="628"/>
      <c r="W46" s="628"/>
      <c r="X46" s="628"/>
      <c r="Y46" s="628"/>
      <c r="Z46" s="628"/>
      <c r="AA46" s="628"/>
      <c r="AB46" s="628"/>
      <c r="AC46" s="628"/>
    </row>
    <row r="47" spans="1:29" x14ac:dyDescent="0.2">
      <c r="A47" s="628"/>
      <c r="B47" s="628"/>
      <c r="C47" s="628"/>
      <c r="D47" s="628"/>
      <c r="E47" s="628"/>
      <c r="F47" s="628"/>
      <c r="G47" s="628"/>
      <c r="H47" s="628"/>
      <c r="I47" s="628"/>
      <c r="J47" s="628"/>
      <c r="K47" s="628"/>
      <c r="L47" s="628"/>
      <c r="M47" s="628"/>
      <c r="N47" s="628"/>
      <c r="O47" s="628"/>
      <c r="P47" s="628"/>
      <c r="Q47" s="628"/>
      <c r="R47" s="628"/>
      <c r="S47" s="628"/>
      <c r="T47" s="628"/>
      <c r="U47" s="628"/>
      <c r="V47" s="628"/>
      <c r="W47" s="628"/>
      <c r="X47" s="628"/>
      <c r="Y47" s="628"/>
      <c r="Z47" s="628"/>
      <c r="AA47" s="628"/>
      <c r="AB47" s="628"/>
      <c r="AC47" s="628"/>
    </row>
    <row r="48" spans="1:29" x14ac:dyDescent="0.2">
      <c r="A48" s="628"/>
      <c r="B48" s="628"/>
      <c r="C48" s="628"/>
      <c r="D48" s="628"/>
      <c r="E48" s="628"/>
      <c r="F48" s="628"/>
      <c r="G48" s="628"/>
      <c r="H48" s="628"/>
      <c r="I48" s="628"/>
      <c r="J48" s="628"/>
      <c r="K48" s="628"/>
      <c r="L48" s="628"/>
      <c r="M48" s="628"/>
      <c r="N48" s="628"/>
      <c r="O48" s="628"/>
      <c r="P48" s="628"/>
      <c r="Q48" s="628"/>
      <c r="R48" s="628"/>
      <c r="S48" s="628"/>
      <c r="T48" s="628"/>
      <c r="U48" s="628"/>
      <c r="V48" s="628"/>
      <c r="W48" s="628"/>
      <c r="X48" s="628"/>
      <c r="Y48" s="628"/>
      <c r="Z48" s="628"/>
      <c r="AA48" s="628"/>
      <c r="AB48" s="628"/>
      <c r="AC48" s="628"/>
    </row>
    <row r="49" spans="1:29" x14ac:dyDescent="0.2">
      <c r="A49" s="628"/>
      <c r="B49" s="628"/>
      <c r="C49" s="628"/>
      <c r="D49" s="628"/>
      <c r="E49" s="628"/>
      <c r="F49" s="628"/>
      <c r="G49" s="628"/>
      <c r="H49" s="628"/>
      <c r="I49" s="628"/>
      <c r="J49" s="628"/>
      <c r="K49" s="628"/>
      <c r="L49" s="628"/>
      <c r="M49" s="628"/>
      <c r="N49" s="628"/>
      <c r="O49" s="628"/>
      <c r="P49" s="628"/>
      <c r="Q49" s="628"/>
      <c r="R49" s="628"/>
      <c r="S49" s="628"/>
      <c r="T49" s="628"/>
      <c r="U49" s="628"/>
      <c r="V49" s="628"/>
      <c r="W49" s="628"/>
      <c r="X49" s="628"/>
      <c r="Y49" s="628"/>
      <c r="Z49" s="628"/>
      <c r="AA49" s="628"/>
      <c r="AB49" s="628"/>
      <c r="AC49" s="628"/>
    </row>
    <row r="50" spans="1:29" x14ac:dyDescent="0.2">
      <c r="A50" s="628"/>
      <c r="B50" s="628"/>
      <c r="C50" s="628"/>
      <c r="D50" s="628"/>
      <c r="E50" s="628"/>
      <c r="F50" s="628"/>
      <c r="G50" s="628"/>
      <c r="H50" s="628"/>
      <c r="I50" s="628"/>
      <c r="J50" s="628"/>
      <c r="K50" s="628"/>
      <c r="L50" s="628"/>
      <c r="M50" s="628"/>
      <c r="N50" s="628"/>
      <c r="O50" s="628"/>
      <c r="P50" s="628"/>
      <c r="Q50" s="628"/>
      <c r="R50" s="628"/>
      <c r="S50" s="628"/>
      <c r="T50" s="628"/>
      <c r="U50" s="628"/>
      <c r="V50" s="628"/>
      <c r="W50" s="628"/>
      <c r="X50" s="628"/>
      <c r="Y50" s="628"/>
      <c r="Z50" s="628"/>
      <c r="AA50" s="628"/>
      <c r="AB50" s="628"/>
      <c r="AC50" s="628"/>
    </row>
    <row r="51" spans="1:29" x14ac:dyDescent="0.2">
      <c r="A51" s="628"/>
      <c r="B51" s="628"/>
      <c r="C51" s="628"/>
      <c r="D51" s="628"/>
      <c r="E51" s="628"/>
      <c r="F51" s="628"/>
      <c r="G51" s="628"/>
      <c r="H51" s="628"/>
      <c r="I51" s="628"/>
      <c r="J51" s="628"/>
      <c r="K51" s="628"/>
      <c r="L51" s="628"/>
      <c r="M51" s="628"/>
      <c r="N51" s="628"/>
      <c r="O51" s="628"/>
      <c r="P51" s="628"/>
      <c r="Q51" s="628"/>
      <c r="R51" s="628"/>
      <c r="S51" s="628"/>
      <c r="T51" s="628"/>
      <c r="U51" s="628"/>
      <c r="V51" s="628"/>
      <c r="W51" s="628"/>
      <c r="X51" s="628"/>
      <c r="Y51" s="628"/>
      <c r="Z51" s="628"/>
      <c r="AA51" s="628"/>
      <c r="AB51" s="628"/>
      <c r="AC51" s="628"/>
    </row>
    <row r="52" spans="1:29" x14ac:dyDescent="0.2">
      <c r="A52" s="628"/>
      <c r="B52" s="628"/>
      <c r="C52" s="628"/>
      <c r="D52" s="628"/>
      <c r="E52" s="628"/>
      <c r="F52" s="628"/>
      <c r="G52" s="628"/>
      <c r="H52" s="628"/>
      <c r="I52" s="628"/>
      <c r="J52" s="628"/>
      <c r="K52" s="628"/>
      <c r="L52" s="628"/>
      <c r="M52" s="628"/>
      <c r="N52" s="628"/>
      <c r="O52" s="628"/>
      <c r="P52" s="628"/>
      <c r="Q52" s="628"/>
      <c r="R52" s="628"/>
      <c r="S52" s="628"/>
      <c r="T52" s="628"/>
      <c r="U52" s="628"/>
      <c r="V52" s="628"/>
      <c r="W52" s="628"/>
      <c r="X52" s="628"/>
      <c r="Y52" s="628"/>
      <c r="Z52" s="628"/>
      <c r="AA52" s="628"/>
      <c r="AB52" s="628"/>
      <c r="AC52" s="628"/>
    </row>
    <row r="53" spans="1:29" x14ac:dyDescent="0.2">
      <c r="A53" s="628"/>
      <c r="B53" s="628"/>
      <c r="C53" s="628"/>
      <c r="D53" s="628"/>
      <c r="E53" s="628"/>
      <c r="F53" s="628"/>
      <c r="G53" s="628"/>
      <c r="H53" s="628"/>
      <c r="I53" s="628"/>
      <c r="J53" s="628"/>
      <c r="K53" s="628"/>
      <c r="L53" s="628"/>
      <c r="M53" s="628"/>
      <c r="N53" s="628"/>
      <c r="O53" s="628"/>
      <c r="P53" s="628"/>
      <c r="Q53" s="628"/>
      <c r="R53" s="628"/>
      <c r="S53" s="628"/>
      <c r="T53" s="628"/>
      <c r="U53" s="628"/>
      <c r="V53" s="628"/>
      <c r="W53" s="628"/>
      <c r="X53" s="628"/>
      <c r="Y53" s="628"/>
      <c r="Z53" s="628"/>
      <c r="AA53" s="628"/>
      <c r="AB53" s="628"/>
      <c r="AC53" s="628"/>
    </row>
    <row r="54" spans="1:29" x14ac:dyDescent="0.2">
      <c r="A54" s="628"/>
      <c r="B54" s="628"/>
      <c r="C54" s="628"/>
      <c r="D54" s="628"/>
      <c r="E54" s="628"/>
      <c r="F54" s="628"/>
      <c r="G54" s="628"/>
      <c r="H54" s="628"/>
      <c r="I54" s="628"/>
      <c r="J54" s="628"/>
      <c r="K54" s="628"/>
      <c r="L54" s="628"/>
      <c r="M54" s="628"/>
      <c r="N54" s="628"/>
      <c r="O54" s="628"/>
      <c r="P54" s="628"/>
      <c r="Q54" s="628"/>
      <c r="R54" s="628"/>
      <c r="S54" s="628"/>
      <c r="T54" s="628"/>
      <c r="U54" s="628"/>
      <c r="V54" s="628"/>
      <c r="W54" s="628"/>
      <c r="X54" s="628"/>
      <c r="Y54" s="628"/>
      <c r="Z54" s="628"/>
      <c r="AA54" s="628"/>
      <c r="AB54" s="628"/>
      <c r="AC54" s="628"/>
    </row>
    <row r="55" spans="1:29" x14ac:dyDescent="0.2">
      <c r="A55" s="628"/>
      <c r="B55" s="628"/>
      <c r="C55" s="628"/>
      <c r="D55" s="628"/>
      <c r="E55" s="628"/>
      <c r="F55" s="628"/>
      <c r="G55" s="628"/>
      <c r="H55" s="628"/>
      <c r="I55" s="628"/>
      <c r="J55" s="628"/>
      <c r="K55" s="628"/>
      <c r="L55" s="628"/>
      <c r="M55" s="628"/>
      <c r="N55" s="628"/>
      <c r="O55" s="628"/>
      <c r="P55" s="628"/>
      <c r="Q55" s="628"/>
      <c r="R55" s="628"/>
      <c r="S55" s="628"/>
      <c r="T55" s="628"/>
      <c r="U55" s="628"/>
      <c r="V55" s="628"/>
      <c r="W55" s="628"/>
      <c r="X55" s="628"/>
      <c r="Y55" s="628"/>
      <c r="Z55" s="628"/>
      <c r="AA55" s="628"/>
      <c r="AB55" s="628"/>
      <c r="AC55" s="628"/>
    </row>
    <row r="56" spans="1:29" x14ac:dyDescent="0.2">
      <c r="A56" s="628"/>
      <c r="B56" s="628"/>
      <c r="C56" s="628"/>
      <c r="D56" s="628"/>
      <c r="E56" s="628"/>
      <c r="F56" s="628"/>
      <c r="G56" s="628"/>
      <c r="H56" s="628"/>
      <c r="I56" s="628"/>
      <c r="J56" s="628"/>
      <c r="K56" s="628"/>
      <c r="L56" s="628"/>
      <c r="M56" s="628"/>
      <c r="N56" s="628"/>
      <c r="O56" s="628"/>
      <c r="P56" s="628"/>
      <c r="Q56" s="628"/>
      <c r="R56" s="628"/>
      <c r="S56" s="628"/>
      <c r="T56" s="628"/>
      <c r="U56" s="628"/>
      <c r="V56" s="628"/>
      <c r="W56" s="628"/>
      <c r="X56" s="628"/>
      <c r="Y56" s="628"/>
      <c r="Z56" s="628"/>
      <c r="AA56" s="628"/>
      <c r="AB56" s="628"/>
      <c r="AC56" s="628"/>
    </row>
    <row r="57" spans="1:29" x14ac:dyDescent="0.2">
      <c r="A57" s="628"/>
      <c r="B57" s="628"/>
      <c r="C57" s="628"/>
      <c r="D57" s="628"/>
      <c r="E57" s="628"/>
      <c r="F57" s="628"/>
      <c r="G57" s="628"/>
      <c r="H57" s="628"/>
      <c r="I57" s="628"/>
      <c r="J57" s="628"/>
      <c r="K57" s="628"/>
      <c r="L57" s="628"/>
      <c r="M57" s="628"/>
      <c r="N57" s="628"/>
      <c r="O57" s="628"/>
      <c r="P57" s="628"/>
      <c r="Q57" s="628"/>
      <c r="R57" s="628"/>
      <c r="S57" s="628"/>
      <c r="T57" s="628"/>
      <c r="U57" s="628"/>
      <c r="V57" s="628"/>
      <c r="W57" s="628"/>
      <c r="X57" s="628"/>
      <c r="Y57" s="628"/>
      <c r="Z57" s="628"/>
      <c r="AA57" s="628"/>
      <c r="AB57" s="628"/>
      <c r="AC57" s="628"/>
    </row>
    <row r="58" spans="1:29" x14ac:dyDescent="0.2">
      <c r="A58" s="628"/>
      <c r="B58" s="628"/>
      <c r="C58" s="628"/>
      <c r="D58" s="628"/>
      <c r="E58" s="628"/>
      <c r="F58" s="628"/>
      <c r="G58" s="628"/>
      <c r="H58" s="628"/>
      <c r="I58" s="628"/>
      <c r="J58" s="628"/>
      <c r="K58" s="628"/>
      <c r="L58" s="628"/>
      <c r="M58" s="628"/>
      <c r="N58" s="628"/>
      <c r="O58" s="628"/>
      <c r="P58" s="628"/>
      <c r="Q58" s="628"/>
      <c r="R58" s="628"/>
      <c r="S58" s="628"/>
      <c r="T58" s="628"/>
      <c r="U58" s="628"/>
      <c r="V58" s="628"/>
      <c r="W58" s="628"/>
      <c r="X58" s="628"/>
      <c r="Y58" s="628"/>
      <c r="Z58" s="628"/>
      <c r="AA58" s="628"/>
      <c r="AB58" s="628"/>
      <c r="AC58" s="628"/>
    </row>
    <row r="59" spans="1:29" x14ac:dyDescent="0.2">
      <c r="A59" s="628"/>
      <c r="B59" s="628"/>
      <c r="C59" s="628"/>
      <c r="D59" s="628"/>
      <c r="E59" s="628"/>
      <c r="F59" s="628"/>
      <c r="G59" s="628"/>
      <c r="H59" s="628"/>
      <c r="I59" s="628"/>
      <c r="J59" s="628"/>
      <c r="K59" s="628"/>
      <c r="L59" s="628"/>
      <c r="M59" s="628"/>
      <c r="N59" s="628"/>
      <c r="O59" s="628"/>
      <c r="P59" s="628"/>
      <c r="Q59" s="628"/>
      <c r="R59" s="628"/>
      <c r="S59" s="628"/>
      <c r="T59" s="628"/>
      <c r="U59" s="628"/>
      <c r="V59" s="628"/>
      <c r="W59" s="628"/>
      <c r="X59" s="628"/>
      <c r="Y59" s="628"/>
      <c r="Z59" s="628"/>
      <c r="AA59" s="628"/>
      <c r="AB59" s="628"/>
      <c r="AC59" s="628"/>
    </row>
    <row r="60" spans="1:29" x14ac:dyDescent="0.2">
      <c r="A60" s="628"/>
      <c r="B60" s="628"/>
      <c r="C60" s="628"/>
      <c r="D60" s="628"/>
      <c r="E60" s="628"/>
      <c r="F60" s="628"/>
      <c r="G60" s="628"/>
      <c r="H60" s="628"/>
      <c r="I60" s="628"/>
      <c r="J60" s="628"/>
      <c r="K60" s="628"/>
      <c r="L60" s="628"/>
      <c r="M60" s="628"/>
      <c r="N60" s="628"/>
      <c r="O60" s="628"/>
      <c r="P60" s="628"/>
      <c r="Q60" s="628"/>
      <c r="R60" s="628"/>
      <c r="S60" s="628"/>
      <c r="T60" s="628"/>
      <c r="U60" s="628"/>
      <c r="V60" s="628"/>
      <c r="W60" s="628"/>
      <c r="X60" s="628"/>
      <c r="Y60" s="628"/>
      <c r="Z60" s="628"/>
      <c r="AA60" s="628"/>
      <c r="AB60" s="628"/>
      <c r="AC60" s="628"/>
    </row>
    <row r="61" spans="1:29" x14ac:dyDescent="0.2">
      <c r="A61" s="628"/>
      <c r="B61" s="628"/>
      <c r="C61" s="628"/>
      <c r="D61" s="628"/>
      <c r="E61" s="628"/>
      <c r="F61" s="628"/>
      <c r="G61" s="628"/>
      <c r="H61" s="628"/>
      <c r="I61" s="628"/>
      <c r="J61" s="628"/>
      <c r="K61" s="628"/>
      <c r="L61" s="628"/>
      <c r="M61" s="628"/>
      <c r="N61" s="628"/>
      <c r="O61" s="628"/>
      <c r="P61" s="628"/>
      <c r="Q61" s="628"/>
      <c r="R61" s="628"/>
      <c r="S61" s="628"/>
      <c r="T61" s="628"/>
      <c r="U61" s="628"/>
      <c r="V61" s="628"/>
      <c r="W61" s="628"/>
      <c r="X61" s="628"/>
      <c r="Y61" s="628"/>
      <c r="Z61" s="628"/>
      <c r="AA61" s="628"/>
      <c r="AB61" s="628"/>
      <c r="AC61" s="628"/>
    </row>
    <row r="62" spans="1:29" x14ac:dyDescent="0.2">
      <c r="A62" s="628"/>
      <c r="B62" s="628"/>
      <c r="C62" s="628"/>
      <c r="D62" s="628"/>
      <c r="E62" s="628"/>
      <c r="F62" s="628"/>
      <c r="G62" s="628"/>
      <c r="H62" s="628"/>
      <c r="I62" s="628"/>
      <c r="J62" s="628"/>
      <c r="K62" s="628"/>
      <c r="L62" s="628"/>
      <c r="M62" s="628"/>
      <c r="N62" s="628"/>
      <c r="O62" s="628"/>
      <c r="P62" s="628"/>
      <c r="Q62" s="628"/>
      <c r="R62" s="628"/>
      <c r="S62" s="628"/>
      <c r="T62" s="628"/>
      <c r="U62" s="628"/>
      <c r="V62" s="628"/>
      <c r="W62" s="628"/>
      <c r="X62" s="628"/>
      <c r="Y62" s="628"/>
      <c r="Z62" s="628"/>
      <c r="AA62" s="628"/>
      <c r="AB62" s="628"/>
      <c r="AC62" s="628"/>
    </row>
    <row r="63" spans="1:29" x14ac:dyDescent="0.2">
      <c r="A63" s="628"/>
      <c r="B63" s="628"/>
      <c r="C63" s="628"/>
      <c r="D63" s="628"/>
      <c r="E63" s="628"/>
      <c r="F63" s="628"/>
      <c r="G63" s="628"/>
      <c r="H63" s="628"/>
      <c r="I63" s="628"/>
      <c r="J63" s="628"/>
      <c r="K63" s="628"/>
      <c r="L63" s="628"/>
      <c r="M63" s="628"/>
      <c r="N63" s="628"/>
      <c r="O63" s="628"/>
      <c r="P63" s="628"/>
      <c r="Q63" s="628"/>
      <c r="R63" s="628"/>
      <c r="S63" s="628"/>
      <c r="T63" s="628"/>
      <c r="U63" s="628"/>
      <c r="V63" s="628"/>
      <c r="W63" s="628"/>
      <c r="X63" s="628"/>
      <c r="Y63" s="628"/>
      <c r="Z63" s="628"/>
      <c r="AA63" s="628"/>
      <c r="AB63" s="628"/>
      <c r="AC63" s="628"/>
    </row>
    <row r="64" spans="1:29" x14ac:dyDescent="0.2">
      <c r="A64" s="628"/>
      <c r="B64" s="628"/>
      <c r="C64" s="628"/>
      <c r="D64" s="628"/>
      <c r="E64" s="628"/>
      <c r="F64" s="628"/>
      <c r="G64" s="628"/>
      <c r="H64" s="628"/>
      <c r="I64" s="628"/>
      <c r="J64" s="628"/>
      <c r="K64" s="628"/>
      <c r="L64" s="628"/>
      <c r="M64" s="628"/>
      <c r="N64" s="628"/>
      <c r="O64" s="628"/>
      <c r="P64" s="628"/>
      <c r="Q64" s="628"/>
      <c r="R64" s="628"/>
      <c r="S64" s="628"/>
      <c r="T64" s="628"/>
      <c r="U64" s="628"/>
      <c r="V64" s="628"/>
      <c r="W64" s="628"/>
      <c r="X64" s="628"/>
      <c r="Y64" s="628"/>
      <c r="Z64" s="628"/>
      <c r="AA64" s="628"/>
      <c r="AB64" s="628"/>
      <c r="AC64" s="628"/>
    </row>
    <row r="65" spans="1:29" x14ac:dyDescent="0.2">
      <c r="A65" s="628"/>
      <c r="B65" s="628"/>
      <c r="C65" s="628"/>
      <c r="D65" s="628"/>
      <c r="E65" s="628"/>
      <c r="F65" s="628"/>
      <c r="G65" s="628"/>
      <c r="H65" s="628"/>
      <c r="I65" s="628"/>
      <c r="J65" s="628"/>
      <c r="K65" s="628"/>
      <c r="L65" s="628"/>
      <c r="M65" s="628"/>
      <c r="N65" s="628"/>
      <c r="O65" s="628"/>
      <c r="P65" s="628"/>
      <c r="Q65" s="628"/>
      <c r="R65" s="628"/>
      <c r="S65" s="628"/>
      <c r="T65" s="628"/>
      <c r="U65" s="628"/>
      <c r="V65" s="628"/>
      <c r="W65" s="628"/>
      <c r="X65" s="628"/>
      <c r="Y65" s="628"/>
      <c r="Z65" s="628"/>
      <c r="AA65" s="628"/>
      <c r="AB65" s="628"/>
      <c r="AC65" s="628"/>
    </row>
    <row r="66" spans="1:29" x14ac:dyDescent="0.2">
      <c r="A66" s="628"/>
      <c r="B66" s="628"/>
      <c r="C66" s="628"/>
      <c r="D66" s="628"/>
      <c r="E66" s="628"/>
      <c r="F66" s="628"/>
      <c r="G66" s="628"/>
      <c r="H66" s="628"/>
      <c r="I66" s="628"/>
      <c r="J66" s="628"/>
      <c r="K66" s="628"/>
      <c r="L66" s="628"/>
      <c r="M66" s="628"/>
      <c r="N66" s="628"/>
      <c r="O66" s="628"/>
      <c r="P66" s="628"/>
      <c r="Q66" s="628"/>
      <c r="R66" s="628"/>
      <c r="S66" s="628"/>
      <c r="T66" s="628"/>
      <c r="U66" s="628"/>
      <c r="V66" s="628"/>
      <c r="W66" s="628"/>
      <c r="X66" s="628"/>
      <c r="Y66" s="628"/>
      <c r="Z66" s="628"/>
      <c r="AA66" s="628"/>
      <c r="AB66" s="628"/>
      <c r="AC66" s="628"/>
    </row>
    <row r="67" spans="1:29" x14ac:dyDescent="0.2">
      <c r="A67" s="628"/>
      <c r="B67" s="628"/>
      <c r="C67" s="628"/>
      <c r="D67" s="628"/>
      <c r="E67" s="628"/>
      <c r="F67" s="628"/>
      <c r="G67" s="628"/>
      <c r="H67" s="628"/>
      <c r="I67" s="628"/>
      <c r="J67" s="628"/>
      <c r="K67" s="628"/>
      <c r="L67" s="628"/>
      <c r="M67" s="628"/>
      <c r="N67" s="628"/>
      <c r="O67" s="628"/>
      <c r="P67" s="628"/>
      <c r="Q67" s="628"/>
      <c r="R67" s="628"/>
      <c r="S67" s="628"/>
      <c r="T67" s="628"/>
      <c r="U67" s="628"/>
      <c r="V67" s="628"/>
      <c r="W67" s="628"/>
      <c r="X67" s="628"/>
      <c r="Y67" s="628"/>
      <c r="Z67" s="628"/>
      <c r="AA67" s="628"/>
      <c r="AB67" s="628"/>
      <c r="AC67" s="628"/>
    </row>
    <row r="68" spans="1:29" x14ac:dyDescent="0.2">
      <c r="A68" s="628"/>
      <c r="B68" s="628"/>
      <c r="C68" s="628"/>
      <c r="D68" s="628"/>
      <c r="E68" s="628"/>
      <c r="F68" s="628"/>
      <c r="G68" s="628"/>
      <c r="H68" s="628"/>
      <c r="I68" s="628"/>
      <c r="J68" s="628"/>
      <c r="K68" s="628"/>
      <c r="L68" s="628"/>
      <c r="M68" s="628"/>
      <c r="N68" s="628"/>
      <c r="O68" s="628"/>
      <c r="P68" s="628"/>
      <c r="Q68" s="628"/>
      <c r="R68" s="628"/>
      <c r="S68" s="628"/>
      <c r="T68" s="628"/>
      <c r="U68" s="628"/>
      <c r="V68" s="628"/>
      <c r="W68" s="628"/>
      <c r="X68" s="628"/>
      <c r="Y68" s="628"/>
      <c r="Z68" s="628"/>
      <c r="AA68" s="628"/>
      <c r="AB68" s="628"/>
      <c r="AC68" s="628"/>
    </row>
    <row r="69" spans="1:29" x14ac:dyDescent="0.2">
      <c r="A69" s="628"/>
      <c r="B69" s="628"/>
      <c r="C69" s="628"/>
      <c r="D69" s="628"/>
      <c r="E69" s="628"/>
      <c r="F69" s="628"/>
      <c r="G69" s="628"/>
      <c r="H69" s="628"/>
      <c r="I69" s="628"/>
      <c r="J69" s="628"/>
      <c r="K69" s="628"/>
      <c r="L69" s="628"/>
      <c r="M69" s="628"/>
      <c r="N69" s="628"/>
      <c r="O69" s="628"/>
      <c r="P69" s="628"/>
      <c r="Q69" s="628"/>
      <c r="R69" s="628"/>
      <c r="S69" s="628"/>
      <c r="T69" s="628"/>
      <c r="U69" s="628"/>
      <c r="V69" s="628"/>
      <c r="W69" s="628"/>
      <c r="X69" s="628"/>
      <c r="Y69" s="628"/>
      <c r="Z69" s="628"/>
      <c r="AA69" s="628"/>
      <c r="AB69" s="628"/>
      <c r="AC69" s="628"/>
    </row>
    <row r="70" spans="1:29" x14ac:dyDescent="0.2">
      <c r="A70" s="628"/>
      <c r="B70" s="628"/>
      <c r="C70" s="628"/>
      <c r="D70" s="628"/>
      <c r="E70" s="628"/>
      <c r="F70" s="628"/>
      <c r="G70" s="628"/>
      <c r="H70" s="628"/>
      <c r="I70" s="628"/>
      <c r="J70" s="628"/>
      <c r="K70" s="628"/>
      <c r="L70" s="628"/>
      <c r="M70" s="628"/>
      <c r="N70" s="628"/>
      <c r="O70" s="628"/>
      <c r="P70" s="628"/>
      <c r="Q70" s="628"/>
      <c r="R70" s="628"/>
      <c r="S70" s="628"/>
      <c r="T70" s="628"/>
      <c r="U70" s="628"/>
      <c r="V70" s="628"/>
      <c r="W70" s="628"/>
      <c r="X70" s="628"/>
      <c r="Y70" s="628"/>
      <c r="Z70" s="628"/>
      <c r="AA70" s="628"/>
      <c r="AB70" s="628"/>
      <c r="AC70" s="628"/>
    </row>
    <row r="71" spans="1:29" x14ac:dyDescent="0.2">
      <c r="A71" s="628"/>
      <c r="B71" s="628"/>
      <c r="C71" s="628"/>
      <c r="D71" s="628"/>
      <c r="E71" s="628"/>
      <c r="F71" s="628"/>
      <c r="G71" s="628"/>
      <c r="H71" s="628"/>
      <c r="I71" s="628"/>
      <c r="J71" s="628"/>
      <c r="K71" s="628"/>
      <c r="L71" s="628"/>
      <c r="M71" s="628"/>
      <c r="N71" s="628"/>
      <c r="O71" s="628"/>
      <c r="P71" s="628"/>
      <c r="Q71" s="628"/>
      <c r="R71" s="628"/>
      <c r="S71" s="628"/>
      <c r="T71" s="628"/>
      <c r="U71" s="628"/>
      <c r="V71" s="628"/>
      <c r="W71" s="628"/>
      <c r="X71" s="628"/>
      <c r="Y71" s="628"/>
      <c r="Z71" s="628"/>
      <c r="AA71" s="628"/>
      <c r="AB71" s="628"/>
      <c r="AC71" s="628"/>
    </row>
    <row r="72" spans="1:29" x14ac:dyDescent="0.2">
      <c r="A72" s="628"/>
      <c r="B72" s="628"/>
      <c r="C72" s="628"/>
      <c r="D72" s="628"/>
      <c r="E72" s="628"/>
      <c r="F72" s="628"/>
      <c r="G72" s="628"/>
      <c r="H72" s="628"/>
      <c r="I72" s="628"/>
      <c r="J72" s="628"/>
      <c r="K72" s="628"/>
      <c r="L72" s="628"/>
      <c r="M72" s="628"/>
      <c r="N72" s="628"/>
      <c r="O72" s="628"/>
      <c r="P72" s="628"/>
      <c r="Q72" s="628"/>
      <c r="R72" s="628"/>
      <c r="S72" s="628"/>
      <c r="T72" s="628"/>
      <c r="U72" s="628"/>
      <c r="V72" s="628"/>
      <c r="W72" s="628"/>
      <c r="X72" s="628"/>
      <c r="Y72" s="628"/>
      <c r="Z72" s="628"/>
      <c r="AA72" s="628"/>
      <c r="AB72" s="628"/>
      <c r="AC72" s="628"/>
    </row>
    <row r="73" spans="1:29" x14ac:dyDescent="0.2">
      <c r="A73" s="628"/>
      <c r="B73" s="628"/>
      <c r="C73" s="628"/>
      <c r="D73" s="628"/>
      <c r="E73" s="628"/>
      <c r="F73" s="628"/>
      <c r="G73" s="628"/>
      <c r="H73" s="628"/>
      <c r="I73" s="628"/>
      <c r="J73" s="628"/>
      <c r="K73" s="628"/>
      <c r="L73" s="628"/>
      <c r="M73" s="628"/>
      <c r="N73" s="628"/>
      <c r="O73" s="628"/>
      <c r="P73" s="628"/>
      <c r="Q73" s="628"/>
      <c r="R73" s="628"/>
      <c r="S73" s="628"/>
      <c r="T73" s="628"/>
      <c r="U73" s="628"/>
      <c r="V73" s="628"/>
      <c r="W73" s="628"/>
      <c r="X73" s="628"/>
      <c r="Y73" s="628"/>
      <c r="Z73" s="628"/>
      <c r="AA73" s="628"/>
      <c r="AB73" s="628"/>
      <c r="AC73" s="62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DT98"/>
  <sheetViews>
    <sheetView showGridLines="0" zoomScale="85" zoomScaleNormal="85" workbookViewId="0"/>
  </sheetViews>
  <sheetFormatPr defaultRowHeight="12.75" x14ac:dyDescent="0.2"/>
  <cols>
    <col min="1" max="2" width="2.83203125" style="644" customWidth="1"/>
    <col min="3" max="3" width="45.83203125" style="644" customWidth="1"/>
    <col min="4" max="4" width="2.83203125" style="644" customWidth="1"/>
    <col min="5" max="5" width="9.33203125" style="644"/>
    <col min="6" max="6" width="9.33203125" style="644" customWidth="1"/>
    <col min="7" max="7" width="9.33203125" style="644"/>
    <col min="8" max="8" width="9.33203125" style="644" customWidth="1"/>
    <col min="9" max="10" width="9.33203125" style="644"/>
    <col min="11" max="12" width="2.83203125" style="644" customWidth="1"/>
    <col min="13" max="13" width="45.83203125" style="644" customWidth="1"/>
    <col min="14" max="14" width="2.83203125" style="644" customWidth="1"/>
    <col min="15" max="16" width="9.33203125" style="644" hidden="1" customWidth="1"/>
    <col min="17" max="23" width="9.33203125" style="644" customWidth="1"/>
    <col min="24" max="24" width="12.33203125" style="644" bestFit="1" customWidth="1"/>
    <col min="25" max="27" width="15.1640625" style="644" customWidth="1"/>
    <col min="28" max="28" width="9.33203125" style="644" customWidth="1"/>
    <col min="29" max="29" width="9.33203125" style="644"/>
    <col min="30" max="34" width="9.33203125" style="644" customWidth="1"/>
    <col min="35" max="16384" width="9.33203125" style="644"/>
  </cols>
  <sheetData>
    <row r="1" spans="1:124" s="678" customFormat="1" ht="15" customHeight="1" x14ac:dyDescent="0.25">
      <c r="A1" s="685"/>
      <c r="B1" s="685"/>
      <c r="C1" s="685"/>
      <c r="D1" s="685"/>
      <c r="E1" s="682"/>
      <c r="F1" s="682"/>
      <c r="G1" s="682"/>
      <c r="H1" s="685"/>
      <c r="I1" s="682"/>
      <c r="J1" s="682"/>
      <c r="K1" s="685"/>
      <c r="L1" s="685"/>
      <c r="M1" s="685"/>
      <c r="N1" s="685"/>
      <c r="O1" s="682"/>
      <c r="P1" s="682"/>
      <c r="Q1" s="682"/>
      <c r="R1" s="682"/>
      <c r="S1" s="682"/>
      <c r="T1" s="682"/>
      <c r="U1" s="682"/>
      <c r="V1" s="682"/>
      <c r="W1" s="682"/>
      <c r="X1" s="682"/>
      <c r="Y1" s="682"/>
      <c r="Z1" s="682"/>
      <c r="AA1" s="682"/>
      <c r="AB1" s="682"/>
      <c r="AC1" s="682"/>
      <c r="AD1" s="682"/>
      <c r="AE1" s="682"/>
      <c r="AF1" s="682"/>
      <c r="AG1" s="682"/>
      <c r="AH1" s="682"/>
      <c r="AI1" s="682"/>
      <c r="AJ1" s="682"/>
      <c r="AK1" s="682"/>
      <c r="AL1" s="682"/>
      <c r="AM1" s="682"/>
      <c r="AN1" s="682"/>
      <c r="AO1" s="682"/>
      <c r="AP1" s="682"/>
      <c r="AQ1" s="682"/>
      <c r="AR1" s="682"/>
      <c r="AS1" s="682"/>
      <c r="AT1" s="682"/>
      <c r="AU1" s="682"/>
      <c r="AV1" s="682"/>
      <c r="AW1" s="682"/>
      <c r="AX1" s="682"/>
      <c r="AY1" s="682"/>
      <c r="AZ1" s="682"/>
      <c r="BA1" s="682"/>
      <c r="BB1" s="682"/>
      <c r="BC1" s="682"/>
      <c r="BD1" s="682"/>
      <c r="BE1" s="682"/>
      <c r="BF1" s="682"/>
      <c r="BG1" s="682"/>
      <c r="BH1" s="682"/>
      <c r="BI1" s="682"/>
      <c r="BJ1" s="682"/>
      <c r="BK1" s="682"/>
      <c r="BL1" s="682"/>
      <c r="BM1" s="682"/>
      <c r="BN1" s="682"/>
      <c r="BO1" s="682"/>
      <c r="BP1" s="682"/>
      <c r="BQ1" s="682"/>
      <c r="DO1" s="686"/>
      <c r="DP1" s="686"/>
      <c r="DQ1" s="686"/>
      <c r="DR1" s="686"/>
      <c r="DS1" s="686"/>
      <c r="DT1" s="686"/>
    </row>
    <row r="2" spans="1:124" s="678" customFormat="1" ht="15" customHeight="1" x14ac:dyDescent="0.25">
      <c r="A2" s="685"/>
      <c r="B2" s="685" t="str">
        <f>+Cover!B2</f>
        <v>JetBlue</v>
      </c>
      <c r="C2" s="685"/>
      <c r="D2" s="685"/>
      <c r="E2" s="682"/>
      <c r="F2" s="682"/>
      <c r="G2" s="682"/>
      <c r="H2" s="685"/>
      <c r="I2" s="682"/>
      <c r="J2" s="682"/>
      <c r="K2" s="685"/>
      <c r="L2" s="685"/>
      <c r="M2" s="685"/>
      <c r="N2" s="685"/>
      <c r="O2" s="682"/>
      <c r="P2" s="682"/>
      <c r="Q2" s="682"/>
      <c r="R2" s="682"/>
      <c r="S2" s="682"/>
      <c r="T2" s="682"/>
      <c r="U2" s="682"/>
      <c r="V2" s="682"/>
      <c r="W2" s="682"/>
      <c r="X2" s="682"/>
      <c r="Y2" s="682"/>
      <c r="Z2" s="682"/>
      <c r="AA2" s="682"/>
      <c r="AB2" s="682"/>
      <c r="AC2" s="682"/>
      <c r="AD2" s="682"/>
      <c r="AE2" s="682"/>
      <c r="AF2" s="682"/>
      <c r="AG2" s="682"/>
      <c r="AH2" s="682"/>
      <c r="AI2" s="682"/>
      <c r="AJ2" s="682"/>
      <c r="AK2" s="682"/>
      <c r="AL2" s="682"/>
      <c r="AM2" s="682"/>
      <c r="AN2" s="682"/>
      <c r="AO2" s="682"/>
      <c r="AP2" s="682"/>
      <c r="AQ2" s="682"/>
      <c r="AR2" s="682"/>
      <c r="AS2" s="682"/>
      <c r="AT2" s="682"/>
      <c r="AU2" s="682"/>
      <c r="AV2" s="682"/>
      <c r="AW2" s="682"/>
      <c r="AX2" s="682"/>
      <c r="AY2" s="682"/>
      <c r="AZ2" s="682"/>
      <c r="BA2" s="682"/>
      <c r="BB2" s="682"/>
      <c r="BC2" s="682"/>
      <c r="BD2" s="682"/>
      <c r="BE2" s="682"/>
      <c r="BF2" s="682"/>
      <c r="BG2" s="682"/>
      <c r="BH2" s="682"/>
      <c r="BI2" s="682"/>
      <c r="BJ2" s="682"/>
      <c r="BK2" s="682"/>
      <c r="BL2" s="682"/>
      <c r="BM2" s="682"/>
      <c r="BN2" s="682"/>
      <c r="BO2" s="682"/>
      <c r="BP2" s="682"/>
      <c r="BQ2" s="682"/>
    </row>
    <row r="3" spans="1:124" s="678" customFormat="1" ht="15" customHeight="1" x14ac:dyDescent="0.25">
      <c r="A3" s="683"/>
      <c r="B3" s="684" t="s">
        <v>320</v>
      </c>
      <c r="C3" s="684"/>
      <c r="D3" s="683"/>
      <c r="E3" s="682"/>
      <c r="F3" s="682"/>
      <c r="G3" s="682"/>
      <c r="H3" s="683"/>
      <c r="I3" s="682"/>
      <c r="J3" s="682"/>
      <c r="K3" s="683"/>
      <c r="L3" s="684"/>
      <c r="M3" s="684"/>
      <c r="N3" s="683"/>
      <c r="O3" s="682"/>
      <c r="P3" s="682"/>
      <c r="Q3" s="682"/>
      <c r="R3" s="682"/>
      <c r="S3" s="682"/>
      <c r="T3" s="682"/>
      <c r="U3" s="682"/>
      <c r="V3" s="682"/>
      <c r="W3" s="682"/>
      <c r="X3" s="682"/>
      <c r="Y3" s="682"/>
      <c r="Z3" s="682"/>
      <c r="AA3" s="682"/>
      <c r="AB3" s="682"/>
      <c r="AC3" s="682"/>
      <c r="AD3" s="682"/>
      <c r="AE3" s="682"/>
      <c r="AF3" s="682"/>
      <c r="AG3" s="682"/>
      <c r="AH3" s="682"/>
      <c r="AI3" s="682"/>
      <c r="AJ3" s="682"/>
      <c r="AK3" s="682"/>
      <c r="AL3" s="682"/>
      <c r="AM3" s="682"/>
      <c r="AN3" s="682"/>
      <c r="AO3" s="682"/>
      <c r="AP3" s="682"/>
      <c r="AQ3" s="682"/>
      <c r="AR3" s="682"/>
      <c r="AS3" s="682"/>
      <c r="AT3" s="682"/>
      <c r="AU3" s="682"/>
      <c r="AV3" s="682"/>
      <c r="AW3" s="682"/>
      <c r="AX3" s="682"/>
      <c r="AY3" s="682"/>
      <c r="AZ3" s="682"/>
      <c r="BA3" s="682"/>
      <c r="BB3" s="682"/>
      <c r="BC3" s="682"/>
      <c r="BD3" s="682"/>
      <c r="BE3" s="682"/>
      <c r="BF3" s="682"/>
      <c r="BG3" s="682"/>
      <c r="BH3" s="682"/>
      <c r="BI3" s="682"/>
      <c r="BJ3" s="682"/>
      <c r="BK3" s="682"/>
      <c r="BL3" s="682"/>
      <c r="BM3" s="682"/>
      <c r="BN3" s="682"/>
      <c r="BO3" s="682"/>
      <c r="BP3" s="682"/>
      <c r="BQ3" s="682"/>
    </row>
    <row r="4" spans="1:124" s="678" customFormat="1" x14ac:dyDescent="0.2">
      <c r="A4" s="680"/>
      <c r="B4" s="681" t="s">
        <v>407</v>
      </c>
      <c r="C4" s="681"/>
      <c r="D4" s="680"/>
      <c r="E4" s="679"/>
      <c r="F4" s="679"/>
      <c r="G4" s="679"/>
      <c r="H4" s="680"/>
      <c r="I4" s="679"/>
      <c r="J4" s="679"/>
      <c r="K4" s="680"/>
      <c r="L4" s="681"/>
      <c r="M4" s="681"/>
      <c r="N4" s="680"/>
      <c r="O4" s="679"/>
      <c r="P4" s="679"/>
      <c r="Q4" s="679"/>
      <c r="R4" s="679"/>
      <c r="S4" s="679"/>
      <c r="T4" s="679"/>
      <c r="U4" s="679"/>
      <c r="V4" s="679"/>
      <c r="W4" s="679"/>
      <c r="X4" s="679"/>
      <c r="Y4" s="679"/>
      <c r="Z4" s="679"/>
      <c r="AA4" s="679"/>
      <c r="AB4" s="679"/>
      <c r="AC4" s="679"/>
      <c r="AD4" s="679"/>
      <c r="AE4" s="679"/>
      <c r="AF4" s="679"/>
      <c r="AG4" s="679"/>
      <c r="AH4" s="679"/>
      <c r="AI4" s="679"/>
      <c r="AJ4" s="679"/>
      <c r="AK4" s="679"/>
      <c r="AL4" s="679"/>
      <c r="AM4" s="679"/>
      <c r="AN4" s="679"/>
      <c r="AO4" s="679"/>
      <c r="AP4" s="679"/>
      <c r="AQ4" s="679"/>
      <c r="AR4" s="679"/>
      <c r="AS4" s="679"/>
      <c r="AT4" s="679"/>
      <c r="AU4" s="679"/>
      <c r="AV4" s="679"/>
      <c r="AW4" s="679"/>
      <c r="AX4" s="679"/>
      <c r="AY4" s="679"/>
      <c r="AZ4" s="679"/>
      <c r="BA4" s="679"/>
      <c r="BB4" s="679"/>
      <c r="BC4" s="679"/>
      <c r="BD4" s="679"/>
      <c r="BE4" s="679"/>
      <c r="BF4" s="679"/>
      <c r="BG4" s="679"/>
      <c r="BH4" s="679"/>
      <c r="BI4" s="679"/>
      <c r="BJ4" s="679"/>
      <c r="BK4" s="679"/>
      <c r="BL4" s="679"/>
      <c r="BM4" s="679"/>
      <c r="BN4" s="679"/>
      <c r="BO4" s="679"/>
      <c r="BP4" s="679"/>
      <c r="BQ4" s="679"/>
    </row>
    <row r="5" spans="1:124" x14ac:dyDescent="0.2">
      <c r="AD5" s="710"/>
      <c r="AE5" s="710"/>
    </row>
    <row r="6" spans="1:124" x14ac:dyDescent="0.2">
      <c r="B6" s="653" t="s">
        <v>406</v>
      </c>
      <c r="C6" s="652"/>
      <c r="D6" s="652"/>
      <c r="F6" s="677" t="s">
        <v>405</v>
      </c>
      <c r="G6" s="677" t="s">
        <v>404</v>
      </c>
      <c r="H6" s="677" t="s">
        <v>403</v>
      </c>
      <c r="L6" s="653" t="s">
        <v>402</v>
      </c>
      <c r="M6" s="652"/>
      <c r="N6" s="652"/>
      <c r="W6" s="677"/>
      <c r="X6" s="677"/>
    </row>
    <row r="7" spans="1:124" x14ac:dyDescent="0.2">
      <c r="C7" s="644" t="s">
        <v>401</v>
      </c>
      <c r="F7" s="667">
        <v>2019</v>
      </c>
      <c r="G7" s="667">
        <v>2019</v>
      </c>
      <c r="H7" s="667">
        <v>2019</v>
      </c>
      <c r="L7" s="647"/>
      <c r="O7" s="645"/>
      <c r="P7" s="645"/>
      <c r="Q7" s="645"/>
      <c r="R7" s="645"/>
      <c r="S7" s="645"/>
      <c r="T7" s="645"/>
      <c r="U7" s="645"/>
      <c r="V7" s="645"/>
      <c r="W7" s="667"/>
      <c r="X7" s="667"/>
    </row>
    <row r="8" spans="1:124" x14ac:dyDescent="0.2">
      <c r="F8" s="667"/>
      <c r="G8" s="667"/>
      <c r="H8" s="667"/>
      <c r="M8" s="662" t="s">
        <v>400</v>
      </c>
      <c r="O8" s="651">
        <f>+P8-1</f>
        <v>2013</v>
      </c>
      <c r="P8" s="651">
        <f>+Q8-1</f>
        <v>2014</v>
      </c>
      <c r="Q8" s="651">
        <f>+R8-1</f>
        <v>2015</v>
      </c>
      <c r="R8" s="651">
        <f>+S8-1</f>
        <v>2016</v>
      </c>
      <c r="S8" s="651">
        <f>+T8-1</f>
        <v>2017</v>
      </c>
      <c r="T8" s="719">
        <v>2018</v>
      </c>
      <c r="U8" s="719">
        <v>2019</v>
      </c>
      <c r="V8" s="720">
        <v>2020</v>
      </c>
      <c r="W8" s="667"/>
      <c r="X8" s="867"/>
      <c r="Y8" s="867"/>
      <c r="Z8" s="867"/>
      <c r="AA8" s="867"/>
    </row>
    <row r="9" spans="1:124" x14ac:dyDescent="0.2">
      <c r="C9" s="676" t="s">
        <v>399</v>
      </c>
      <c r="D9" s="675"/>
      <c r="E9" s="675"/>
      <c r="F9" s="857">
        <f>MROUND(F35,1)</f>
        <v>11</v>
      </c>
      <c r="G9" s="857">
        <f>MROUND(G35,1)</f>
        <v>23</v>
      </c>
      <c r="H9" s="858">
        <f>MROUND(H35,1)</f>
        <v>32</v>
      </c>
      <c r="M9" s="644" t="s">
        <v>398</v>
      </c>
      <c r="O9" s="645">
        <f>+Model!BT28</f>
        <v>4971</v>
      </c>
      <c r="P9" s="645">
        <f>+Model!BY28</f>
        <v>5343</v>
      </c>
      <c r="Q9" s="645">
        <f>+Model!CD28</f>
        <v>5893</v>
      </c>
      <c r="R9" s="645">
        <f>+Model!CI28</f>
        <v>6013</v>
      </c>
      <c r="S9" s="645">
        <f>+Model!CN28</f>
        <v>6288</v>
      </c>
      <c r="T9" s="645">
        <f>+Model!CS28</f>
        <v>6788.2967329999992</v>
      </c>
      <c r="U9" s="645">
        <f>+Model!CX28</f>
        <v>7299.7948918315496</v>
      </c>
      <c r="V9" s="645">
        <f>+Model!DC28</f>
        <v>7849.8344369310562</v>
      </c>
      <c r="W9" s="667"/>
      <c r="X9" s="868"/>
      <c r="Y9" s="869"/>
      <c r="Z9" s="869"/>
      <c r="AA9" s="870"/>
    </row>
    <row r="10" spans="1:124" x14ac:dyDescent="0.2">
      <c r="C10" s="644" t="s">
        <v>284</v>
      </c>
      <c r="F10" s="859">
        <f>+G10</f>
        <v>19.27</v>
      </c>
      <c r="G10" s="712">
        <v>19.27</v>
      </c>
      <c r="H10" s="859">
        <f>+G10</f>
        <v>19.27</v>
      </c>
      <c r="M10" s="644" t="s">
        <v>396</v>
      </c>
      <c r="O10" s="645">
        <f t="shared" ref="O10:T10" si="0">+O11-O9</f>
        <v>470</v>
      </c>
      <c r="P10" s="645">
        <f t="shared" si="0"/>
        <v>474</v>
      </c>
      <c r="Q10" s="645">
        <f t="shared" si="0"/>
        <v>523</v>
      </c>
      <c r="R10" s="645">
        <f t="shared" si="0"/>
        <v>619</v>
      </c>
      <c r="S10" s="645">
        <f t="shared" si="0"/>
        <v>727</v>
      </c>
      <c r="T10" s="645">
        <f t="shared" si="0"/>
        <v>836.35000000000036</v>
      </c>
      <c r="U10" s="645">
        <f t="shared" ref="U10:V10" si="1">+U11-U9</f>
        <v>945.07549999999992</v>
      </c>
      <c r="V10" s="645">
        <f t="shared" si="1"/>
        <v>1044.3084275000001</v>
      </c>
      <c r="W10" s="667"/>
      <c r="X10" s="871"/>
      <c r="Y10" s="872"/>
      <c r="Z10" s="874"/>
      <c r="AA10" s="870"/>
    </row>
    <row r="11" spans="1:124" s="649" customFormat="1" x14ac:dyDescent="0.2">
      <c r="C11" s="649" t="s">
        <v>395</v>
      </c>
      <c r="F11" s="673">
        <f>+F9/F10-1</f>
        <v>-0.42916450441100151</v>
      </c>
      <c r="G11" s="673">
        <f>+G9/G10-1</f>
        <v>0.19356512714063312</v>
      </c>
      <c r="H11" s="673">
        <f>+H9/H10-1</f>
        <v>0.66061235080435909</v>
      </c>
      <c r="J11" s="673"/>
      <c r="L11" s="644"/>
      <c r="M11" s="647" t="s">
        <v>394</v>
      </c>
      <c r="N11" s="647"/>
      <c r="O11" s="660">
        <f>+Model!BT40</f>
        <v>5441</v>
      </c>
      <c r="P11" s="660">
        <f>+Model!BY40</f>
        <v>5817</v>
      </c>
      <c r="Q11" s="660">
        <f>+Model!CD40</f>
        <v>6416</v>
      </c>
      <c r="R11" s="660">
        <f>+Model!CI40</f>
        <v>6632</v>
      </c>
      <c r="S11" s="660">
        <f>+Model!CN40</f>
        <v>7015</v>
      </c>
      <c r="T11" s="660">
        <f>+Model!CS40</f>
        <v>7624.6467329999996</v>
      </c>
      <c r="U11" s="660">
        <f>+Model!CX40</f>
        <v>8244.8703918315496</v>
      </c>
      <c r="V11" s="660">
        <f>+Model!DC40</f>
        <v>8894.1428644310563</v>
      </c>
      <c r="W11" s="667"/>
      <c r="X11" s="873"/>
      <c r="Y11" s="872"/>
      <c r="Z11" s="874"/>
      <c r="AA11" s="870"/>
    </row>
    <row r="12" spans="1:124" x14ac:dyDescent="0.2">
      <c r="R12" s="709"/>
      <c r="S12" s="660"/>
      <c r="T12" s="660"/>
      <c r="U12" s="660"/>
      <c r="V12" s="660"/>
      <c r="W12" s="667"/>
      <c r="X12" s="667"/>
    </row>
    <row r="13" spans="1:124" s="649" customFormat="1" x14ac:dyDescent="0.2">
      <c r="C13" s="690" t="s">
        <v>410</v>
      </c>
      <c r="D13" s="691"/>
      <c r="E13" s="691"/>
      <c r="F13" s="692">
        <f>(F9*F33-F30)/(F17+F18+F19+F20)</f>
        <v>3.8639585040196582</v>
      </c>
      <c r="G13" s="692">
        <f>(G9*G33-G30)/G17</f>
        <v>5.0540544774882319</v>
      </c>
      <c r="H13" s="693">
        <f>(H9*H33-H30)/(H17+H18+H19+H20)</f>
        <v>6.2652097501213175</v>
      </c>
      <c r="L13" s="644"/>
      <c r="M13" s="644" t="s">
        <v>393</v>
      </c>
      <c r="N13" s="644"/>
      <c r="O13" s="645">
        <f>+Model!BT45</f>
        <v>1135</v>
      </c>
      <c r="P13" s="645">
        <f>+Model!BY45</f>
        <v>1294</v>
      </c>
      <c r="Q13" s="645">
        <f>+Model!CD45</f>
        <v>1540</v>
      </c>
      <c r="R13" s="645">
        <f>+Model!CI45</f>
        <v>1698</v>
      </c>
      <c r="S13" s="645">
        <f>+Model!CN45</f>
        <v>1886</v>
      </c>
      <c r="T13" s="645">
        <f>+Model!CS45</f>
        <v>2018.8042386244776</v>
      </c>
      <c r="U13" s="645">
        <f>+Model!CX45</f>
        <v>2319.3726144401944</v>
      </c>
      <c r="V13" s="645">
        <f>+Model!DC45</f>
        <v>2572.4293503851677</v>
      </c>
      <c r="W13" s="667"/>
      <c r="X13" s="667"/>
    </row>
    <row r="14" spans="1:124" s="649" customFormat="1" x14ac:dyDescent="0.2">
      <c r="C14" s="694" t="s">
        <v>392</v>
      </c>
      <c r="D14" s="695"/>
      <c r="E14" s="695"/>
      <c r="F14" s="696">
        <f>F9/($U$28+(((F18+F19+F20)*(1-38%))/U27))</f>
        <v>8.1089494973755105</v>
      </c>
      <c r="G14" s="696">
        <f>+G$9/$U$28</f>
        <v>10.134848633630432</v>
      </c>
      <c r="H14" s="697">
        <f>H9/($U$28+(((H18+H19+H20)*(1-38%))/U27))</f>
        <v>12.675945609338692</v>
      </c>
      <c r="L14" s="644"/>
      <c r="M14" s="644" t="s">
        <v>391</v>
      </c>
      <c r="N14" s="644"/>
      <c r="O14" s="645">
        <f>+Model!BT60</f>
        <v>1899</v>
      </c>
      <c r="P14" s="645">
        <f>+Model!BY60</f>
        <v>1912</v>
      </c>
      <c r="Q14" s="645">
        <f>+Model!CD60</f>
        <v>1348</v>
      </c>
      <c r="R14" s="645">
        <f>+Model!CI60</f>
        <v>1073</v>
      </c>
      <c r="S14" s="645">
        <f>+Model!CN60</f>
        <v>1363</v>
      </c>
      <c r="T14" s="645">
        <f>+Model!CS60</f>
        <v>1779.4911348000001</v>
      </c>
      <c r="U14" s="645">
        <f>+Model!CX60</f>
        <v>1792.1958887090002</v>
      </c>
      <c r="V14" s="645">
        <f>+Model!DC60</f>
        <v>1812.6582852683355</v>
      </c>
      <c r="W14" s="667"/>
      <c r="X14" s="667"/>
    </row>
    <row r="15" spans="1:124" x14ac:dyDescent="0.2">
      <c r="C15" s="698" t="s">
        <v>411</v>
      </c>
      <c r="D15" s="699"/>
      <c r="E15" s="699"/>
      <c r="F15" s="700">
        <f>(($U$43+((F18+F19+F20)*(1-38%)))/$U$27)/F9</f>
        <v>1.1602690596278E-2</v>
      </c>
      <c r="G15" s="701">
        <f>($U$43/$G$33)/G9</f>
        <v>4.5239181887173595E-2</v>
      </c>
      <c r="H15" s="702">
        <f>(($U$43+((H18+H19+H20)*(1-38%)))/$U$27)/H9</f>
        <v>4.0486568585330091E-2</v>
      </c>
      <c r="L15" s="649"/>
      <c r="M15" s="644" t="s">
        <v>253</v>
      </c>
      <c r="O15" s="659">
        <f t="shared" ref="O15:T15" si="2">+O18-O16-O17-O14-O13</f>
        <v>1561</v>
      </c>
      <c r="P15" s="659">
        <f t="shared" si="2"/>
        <v>1652</v>
      </c>
      <c r="Q15" s="659">
        <f t="shared" si="2"/>
        <v>1845</v>
      </c>
      <c r="R15" s="659">
        <f t="shared" si="2"/>
        <v>2046</v>
      </c>
      <c r="S15" s="659">
        <f t="shared" si="2"/>
        <v>2218</v>
      </c>
      <c r="T15" s="659">
        <f t="shared" si="2"/>
        <v>2398.6397149999993</v>
      </c>
      <c r="U15" s="659">
        <f t="shared" ref="U15:V15" si="3">+U18-U16-U17-U14-U13</f>
        <v>2533.756108891499</v>
      </c>
      <c r="V15" s="659">
        <f t="shared" si="3"/>
        <v>2666.7176928908411</v>
      </c>
      <c r="W15" s="667"/>
      <c r="X15" s="667"/>
    </row>
    <row r="16" spans="1:124" x14ac:dyDescent="0.2">
      <c r="C16" s="668"/>
      <c r="M16" s="644" t="s">
        <v>28</v>
      </c>
      <c r="O16" s="645">
        <f>+Model!BT86</f>
        <v>290</v>
      </c>
      <c r="P16" s="645">
        <f>+Model!BY86</f>
        <v>320</v>
      </c>
      <c r="Q16" s="645">
        <f>+Model!CD86</f>
        <v>345</v>
      </c>
      <c r="R16" s="645">
        <f>+Model!CI86</f>
        <v>392</v>
      </c>
      <c r="S16" s="645">
        <f>+Model!CN86</f>
        <v>447</v>
      </c>
      <c r="T16" s="645">
        <f>+Model!CS86</f>
        <v>480.89</v>
      </c>
      <c r="U16" s="645">
        <f>+Model!CX86</f>
        <v>512.14784999999995</v>
      </c>
      <c r="V16" s="645">
        <f>+Model!DC86</f>
        <v>553.11967800000002</v>
      </c>
      <c r="W16" s="667"/>
      <c r="X16" s="667"/>
    </row>
    <row r="17" spans="2:24" x14ac:dyDescent="0.2">
      <c r="C17" s="647" t="s">
        <v>390</v>
      </c>
      <c r="D17" s="647"/>
      <c r="E17" s="647"/>
      <c r="F17" s="658">
        <f>+G17</f>
        <v>1599.5457797908548</v>
      </c>
      <c r="G17" s="660">
        <f>+U21</f>
        <v>1599.5457797908548</v>
      </c>
      <c r="H17" s="658">
        <f>+G17</f>
        <v>1599.5457797908548</v>
      </c>
      <c r="M17" s="644" t="s">
        <v>248</v>
      </c>
      <c r="O17" s="645">
        <f>+Model!BT81</f>
        <v>128</v>
      </c>
      <c r="P17" s="645">
        <f>+Model!BY81</f>
        <v>124</v>
      </c>
      <c r="Q17" s="645">
        <f>+Model!CD81</f>
        <v>122</v>
      </c>
      <c r="R17" s="645">
        <f>+Model!CI81</f>
        <v>111</v>
      </c>
      <c r="S17" s="645">
        <f>+Model!CN81</f>
        <v>101</v>
      </c>
      <c r="T17" s="645">
        <f>+Model!CS81</f>
        <v>94.047187169571515</v>
      </c>
      <c r="U17" s="645">
        <f>+Model!CX81</f>
        <v>89.666773576299988</v>
      </c>
      <c r="V17" s="645">
        <f>+Model!DC81</f>
        <v>88.374151573061454</v>
      </c>
      <c r="W17" s="667"/>
      <c r="X17" s="667"/>
    </row>
    <row r="18" spans="2:24" x14ac:dyDescent="0.2">
      <c r="B18" s="647"/>
      <c r="C18" s="703" t="s">
        <v>422</v>
      </c>
      <c r="D18" s="689"/>
      <c r="E18" s="689"/>
      <c r="F18" s="708">
        <f>-2%*$U$9*85%</f>
        <v>-124.09651316113634</v>
      </c>
      <c r="G18" s="704">
        <v>0</v>
      </c>
      <c r="H18" s="708">
        <f>2%*$U$9*85%</f>
        <v>124.09651316113634</v>
      </c>
      <c r="I18" s="647"/>
      <c r="J18" s="647"/>
      <c r="M18" s="647" t="s">
        <v>389</v>
      </c>
      <c r="N18" s="647"/>
      <c r="O18" s="660">
        <f>+Model!BT105</f>
        <v>5013</v>
      </c>
      <c r="P18" s="660">
        <f>+Model!BY105</f>
        <v>5302</v>
      </c>
      <c r="Q18" s="660">
        <f>+Model!CD105</f>
        <v>5200</v>
      </c>
      <c r="R18" s="660">
        <f>+Model!CI105</f>
        <v>5320</v>
      </c>
      <c r="S18" s="660">
        <f>+Model!CN105</f>
        <v>6015</v>
      </c>
      <c r="T18" s="660">
        <f>+Model!CS105</f>
        <v>6771.8722755940489</v>
      </c>
      <c r="U18" s="660">
        <f>+Model!CX105</f>
        <v>7247.1392356169945</v>
      </c>
      <c r="V18" s="660">
        <f>+Model!DC105</f>
        <v>7693.2991581174065</v>
      </c>
      <c r="W18" s="667"/>
      <c r="X18" s="667"/>
    </row>
    <row r="19" spans="2:24" s="647" customFormat="1" x14ac:dyDescent="0.2">
      <c r="B19" s="644"/>
      <c r="C19" s="703" t="s">
        <v>421</v>
      </c>
      <c r="D19" s="689"/>
      <c r="E19" s="689"/>
      <c r="F19" s="670">
        <f>-1%*$U$9*88%*0</f>
        <v>0</v>
      </c>
      <c r="G19" s="704">
        <v>0</v>
      </c>
      <c r="H19" s="670">
        <f>1%*$U$9*88%*0</f>
        <v>0</v>
      </c>
      <c r="I19" s="644"/>
      <c r="J19" s="644"/>
      <c r="L19" s="644"/>
      <c r="M19" s="644"/>
      <c r="N19" s="644"/>
      <c r="O19" s="667"/>
      <c r="P19" s="667"/>
      <c r="Q19" s="667"/>
      <c r="R19" s="667"/>
      <c r="S19" s="667"/>
      <c r="T19" s="667"/>
      <c r="U19" s="667"/>
      <c r="V19" s="667"/>
      <c r="W19" s="667"/>
      <c r="X19" s="667"/>
    </row>
    <row r="20" spans="2:24" x14ac:dyDescent="0.2">
      <c r="C20" s="703" t="s">
        <v>412</v>
      </c>
      <c r="D20" s="705"/>
      <c r="E20" s="705"/>
      <c r="F20" s="670">
        <f>-(15/42)*(Model!CX75)*100%</f>
        <v>-320.03498012660719</v>
      </c>
      <c r="G20" s="704">
        <v>0</v>
      </c>
      <c r="H20" s="670">
        <f>(0)*(Model!CN75)</f>
        <v>0</v>
      </c>
      <c r="M20" s="647" t="s">
        <v>30</v>
      </c>
      <c r="N20" s="647"/>
      <c r="O20" s="660">
        <f t="shared" ref="O20:T20" si="4">+O11-O18</f>
        <v>428</v>
      </c>
      <c r="P20" s="660">
        <f t="shared" si="4"/>
        <v>515</v>
      </c>
      <c r="Q20" s="660">
        <f t="shared" si="4"/>
        <v>1216</v>
      </c>
      <c r="R20" s="660">
        <f t="shared" si="4"/>
        <v>1312</v>
      </c>
      <c r="S20" s="660">
        <f t="shared" si="4"/>
        <v>1000</v>
      </c>
      <c r="T20" s="660">
        <f t="shared" si="4"/>
        <v>852.77445740595067</v>
      </c>
      <c r="U20" s="660">
        <f t="shared" ref="U20:V20" si="5">+U11-U18</f>
        <v>997.73115621455509</v>
      </c>
      <c r="V20" s="660">
        <f t="shared" si="5"/>
        <v>1200.8437063136498</v>
      </c>
      <c r="W20" s="667"/>
      <c r="X20" s="667"/>
    </row>
    <row r="21" spans="2:24" x14ac:dyDescent="0.2">
      <c r="B21" s="647"/>
      <c r="C21" s="647" t="s">
        <v>388</v>
      </c>
      <c r="D21" s="647"/>
      <c r="E21" s="647"/>
      <c r="F21" s="660">
        <f>SUM(F17:F20)</f>
        <v>1155.4142865031113</v>
      </c>
      <c r="G21" s="660">
        <f>SUM(G17:G20)</f>
        <v>1599.5457797908548</v>
      </c>
      <c r="H21" s="660">
        <f>SUM(H17:H20)</f>
        <v>1723.6422929519911</v>
      </c>
      <c r="I21" s="647"/>
      <c r="J21" s="647"/>
      <c r="M21" s="647" t="s">
        <v>32</v>
      </c>
      <c r="N21" s="647"/>
      <c r="O21" s="660">
        <f t="shared" ref="O21:T21" si="6">+O20+O16+O17</f>
        <v>846</v>
      </c>
      <c r="P21" s="660">
        <f t="shared" si="6"/>
        <v>959</v>
      </c>
      <c r="Q21" s="660">
        <f t="shared" si="6"/>
        <v>1683</v>
      </c>
      <c r="R21" s="660">
        <f t="shared" si="6"/>
        <v>1815</v>
      </c>
      <c r="S21" s="660">
        <f t="shared" si="6"/>
        <v>1548</v>
      </c>
      <c r="T21" s="660">
        <f t="shared" si="6"/>
        <v>1427.7116445755221</v>
      </c>
      <c r="U21" s="660">
        <f t="shared" ref="U21:V21" si="7">+U20+U16+U17</f>
        <v>1599.5457797908548</v>
      </c>
      <c r="V21" s="660">
        <f t="shared" si="7"/>
        <v>1842.3375358867113</v>
      </c>
      <c r="W21" s="667"/>
      <c r="X21" s="667"/>
    </row>
    <row r="22" spans="2:24" s="647" customFormat="1" x14ac:dyDescent="0.2">
      <c r="B22" s="644"/>
      <c r="C22" s="644"/>
      <c r="D22" s="644"/>
      <c r="E22" s="644"/>
      <c r="F22" s="644"/>
      <c r="G22" s="645"/>
      <c r="H22" s="644"/>
      <c r="I22" s="644"/>
      <c r="J22" s="644"/>
      <c r="L22" s="644"/>
      <c r="M22" s="644"/>
      <c r="N22" s="644"/>
      <c r="O22" s="667"/>
      <c r="P22" s="667"/>
      <c r="Q22" s="667"/>
      <c r="R22" s="667"/>
      <c r="S22" s="667"/>
      <c r="T22" s="667"/>
      <c r="U22" s="667"/>
      <c r="V22" s="667"/>
      <c r="W22" s="667"/>
      <c r="X22" s="667"/>
    </row>
    <row r="23" spans="2:24" x14ac:dyDescent="0.2">
      <c r="C23" s="644" t="s">
        <v>371</v>
      </c>
      <c r="F23" s="672">
        <f>+G23-1.25</f>
        <v>3.75</v>
      </c>
      <c r="G23" s="672">
        <v>5</v>
      </c>
      <c r="H23" s="672">
        <f>+G23+1.25</f>
        <v>6.25</v>
      </c>
      <c r="M23" s="644" t="s">
        <v>387</v>
      </c>
      <c r="O23" s="645">
        <f>-Model!BT140</f>
        <v>149</v>
      </c>
      <c r="P23" s="645">
        <f>-Model!BY140</f>
        <v>134</v>
      </c>
      <c r="Q23" s="645">
        <f>-Model!CD140</f>
        <v>119</v>
      </c>
      <c r="R23" s="645">
        <f>-Model!CI140</f>
        <v>96</v>
      </c>
      <c r="S23" s="645">
        <f>-Model!CN140</f>
        <v>79</v>
      </c>
      <c r="T23" s="645">
        <f>-Model!CS140</f>
        <v>90</v>
      </c>
      <c r="U23" s="645">
        <f>-Model!CX140</f>
        <v>85</v>
      </c>
      <c r="V23" s="645">
        <f>-Model!DC140</f>
        <v>84</v>
      </c>
      <c r="W23" s="667"/>
      <c r="X23" s="667"/>
    </row>
    <row r="24" spans="2:24" x14ac:dyDescent="0.2">
      <c r="C24" s="647" t="s">
        <v>370</v>
      </c>
      <c r="D24" s="647"/>
      <c r="E24" s="647"/>
      <c r="F24" s="660">
        <f>+F21*F23</f>
        <v>4332.8035743866676</v>
      </c>
      <c r="G24" s="660">
        <f>+G21*G23</f>
        <v>7997.728898954274</v>
      </c>
      <c r="H24" s="660">
        <f>+H21*H23</f>
        <v>10772.764330949944</v>
      </c>
      <c r="M24" s="644" t="s">
        <v>385</v>
      </c>
      <c r="O24" s="645">
        <f>+Model!BT146</f>
        <v>111</v>
      </c>
      <c r="P24" s="645">
        <f>+Model!BY146</f>
        <v>150</v>
      </c>
      <c r="Q24" s="645">
        <f>+Model!CD146</f>
        <v>420</v>
      </c>
      <c r="R24" s="645">
        <f>+Model!CI146</f>
        <v>466</v>
      </c>
      <c r="S24" s="645">
        <f>+Model!CN146</f>
        <v>342.83199999999999</v>
      </c>
      <c r="T24" s="645">
        <f>+Model!CS146</f>
        <v>190.69361435148761</v>
      </c>
      <c r="U24" s="645">
        <f>+Model!CX146</f>
        <v>228.18278905363877</v>
      </c>
      <c r="V24" s="645">
        <f>+Model!DC146</f>
        <v>279.21092657841245</v>
      </c>
      <c r="W24" s="667"/>
      <c r="X24" s="667"/>
    </row>
    <row r="25" spans="2:24" x14ac:dyDescent="0.2">
      <c r="W25" s="667"/>
      <c r="X25" s="667"/>
    </row>
    <row r="26" spans="2:24" x14ac:dyDescent="0.2">
      <c r="C26" s="644" t="s">
        <v>386</v>
      </c>
      <c r="F26" s="659">
        <f>+G26</f>
        <v>-1441.3000000000002</v>
      </c>
      <c r="G26" s="645">
        <f>-(Model!CX272+Model!CX273+Model!CX279)</f>
        <v>-1441.3000000000002</v>
      </c>
      <c r="H26" s="659">
        <f>+G26</f>
        <v>-1441.3000000000002</v>
      </c>
      <c r="M26" s="647" t="s">
        <v>58</v>
      </c>
      <c r="O26" s="658">
        <f t="shared" ref="O26:T26" si="8">+O20-O23-O24</f>
        <v>168</v>
      </c>
      <c r="P26" s="658">
        <f t="shared" si="8"/>
        <v>231</v>
      </c>
      <c r="Q26" s="658">
        <f t="shared" si="8"/>
        <v>677</v>
      </c>
      <c r="R26" s="658">
        <f t="shared" si="8"/>
        <v>750</v>
      </c>
      <c r="S26" s="658">
        <f t="shared" si="8"/>
        <v>578.16800000000001</v>
      </c>
      <c r="T26" s="658">
        <f t="shared" si="8"/>
        <v>572.080843054463</v>
      </c>
      <c r="U26" s="658">
        <f t="shared" ref="U26:V26" si="9">+U20-U23-U24</f>
        <v>684.54836716091631</v>
      </c>
      <c r="V26" s="658">
        <f t="shared" si="9"/>
        <v>837.63277973523736</v>
      </c>
      <c r="W26" s="667"/>
      <c r="X26" s="667"/>
    </row>
    <row r="27" spans="2:24" x14ac:dyDescent="0.2">
      <c r="C27" s="644" t="s">
        <v>384</v>
      </c>
      <c r="F27" s="659">
        <f>+G27</f>
        <v>-627.66741503409992</v>
      </c>
      <c r="G27" s="645">
        <f>-(7*Model!CX81)</f>
        <v>-627.66741503409992</v>
      </c>
      <c r="H27" s="659">
        <f>+G27</f>
        <v>-627.66741503409992</v>
      </c>
      <c r="M27" s="644" t="s">
        <v>269</v>
      </c>
      <c r="O27" s="645">
        <f>+Model!BT155</f>
        <v>343.42500000000001</v>
      </c>
      <c r="P27" s="645">
        <f>+Model!BY155</f>
        <v>353.1</v>
      </c>
      <c r="Q27" s="645">
        <f>+Model!CD155</f>
        <v>342.69099999999997</v>
      </c>
      <c r="R27" s="645">
        <f>+Model!CI155</f>
        <v>342.2</v>
      </c>
      <c r="S27" s="645">
        <f>+Model!CN155</f>
        <v>330.17500000000001</v>
      </c>
      <c r="T27" s="645">
        <f>+Model!CS155</f>
        <v>314.21168856769725</v>
      </c>
      <c r="U27" s="645">
        <f>+Model!CX155</f>
        <v>301.64322102498937</v>
      </c>
      <c r="V27" s="645">
        <f>+Model!DC155</f>
        <v>291.08570828911473</v>
      </c>
      <c r="W27" s="667"/>
      <c r="X27" s="667"/>
    </row>
    <row r="28" spans="2:24" x14ac:dyDescent="0.2">
      <c r="C28" s="644" t="s">
        <v>383</v>
      </c>
      <c r="F28" s="659">
        <f>+G28</f>
        <v>0</v>
      </c>
      <c r="G28" s="724">
        <v>0</v>
      </c>
      <c r="H28" s="659">
        <f>+G28</f>
        <v>0</v>
      </c>
      <c r="L28" s="649"/>
      <c r="M28" s="647" t="s">
        <v>381</v>
      </c>
      <c r="N28" s="647"/>
      <c r="O28" s="671">
        <f>+Model!BT152</f>
        <v>0.51597874353934625</v>
      </c>
      <c r="P28" s="671">
        <f>+Model!BY152</f>
        <v>0.67403001982441235</v>
      </c>
      <c r="Q28" s="671">
        <f>+Model!CD152</f>
        <v>1.9872129702851842</v>
      </c>
      <c r="R28" s="671">
        <f>+Model!CI152</f>
        <v>2.191700759789597</v>
      </c>
      <c r="S28" s="671">
        <f>+Model!CN152</f>
        <v>1.7510956311047172</v>
      </c>
      <c r="T28" s="671">
        <f>+Model!CS152</f>
        <v>1.8206860656974178</v>
      </c>
      <c r="U28" s="671">
        <f>+Model!CX152</f>
        <v>2.2693974849983634</v>
      </c>
      <c r="V28" s="671">
        <f>+Model!DC152</f>
        <v>2.8776156158902735</v>
      </c>
      <c r="W28" s="667"/>
      <c r="X28" s="667"/>
    </row>
    <row r="29" spans="2:24" x14ac:dyDescent="0.2">
      <c r="C29" s="644" t="s">
        <v>258</v>
      </c>
      <c r="F29" s="659">
        <f>+G29</f>
        <v>922.56998830948055</v>
      </c>
      <c r="G29" s="645">
        <f>+Model!CX253</f>
        <v>922.56998830948055</v>
      </c>
      <c r="H29" s="659">
        <f>+G29</f>
        <v>922.56998830948055</v>
      </c>
      <c r="O29" s="660"/>
      <c r="P29" s="660"/>
      <c r="Q29" s="660"/>
      <c r="R29" s="671"/>
      <c r="S29" s="671"/>
      <c r="T29" s="671"/>
      <c r="U29" s="814"/>
      <c r="V29" s="814"/>
      <c r="W29" s="667"/>
      <c r="X29" s="667"/>
    </row>
    <row r="30" spans="2:24" x14ac:dyDescent="0.2">
      <c r="B30" s="649"/>
      <c r="C30" s="647" t="s">
        <v>382</v>
      </c>
      <c r="F30" s="660">
        <f>+SUM(F26:F29)</f>
        <v>-1146.3974267246197</v>
      </c>
      <c r="G30" s="660">
        <f>+SUM(G26:G29)</f>
        <v>-1146.3974267246197</v>
      </c>
      <c r="H30" s="660">
        <f>+SUM(H26:H29)</f>
        <v>-1146.3974267246197</v>
      </c>
      <c r="I30" s="649"/>
      <c r="J30" s="649"/>
      <c r="M30" s="662" t="s">
        <v>380</v>
      </c>
      <c r="S30" s="797"/>
      <c r="T30" s="797"/>
      <c r="U30" s="797"/>
      <c r="V30" s="797"/>
      <c r="W30" s="667"/>
      <c r="X30" s="667"/>
    </row>
    <row r="31" spans="2:24" s="649" customFormat="1" x14ac:dyDescent="0.2">
      <c r="B31" s="644"/>
      <c r="C31" s="644"/>
      <c r="D31" s="644"/>
      <c r="E31" s="644"/>
      <c r="F31" s="644"/>
      <c r="G31" s="645"/>
      <c r="H31" s="644"/>
      <c r="I31" s="644"/>
      <c r="J31" s="644"/>
      <c r="L31" s="644"/>
      <c r="M31" s="647" t="s">
        <v>378</v>
      </c>
      <c r="N31" s="647"/>
      <c r="O31" s="660">
        <f>+Model!BT223</f>
        <v>758</v>
      </c>
      <c r="P31" s="660">
        <f>+Model!BY223</f>
        <v>912</v>
      </c>
      <c r="Q31" s="660">
        <f>+Model!CD223</f>
        <v>1598</v>
      </c>
      <c r="R31" s="660">
        <f>+Model!CI223</f>
        <v>1632</v>
      </c>
      <c r="S31" s="660">
        <f>+Model!CN223</f>
        <v>1334.6073761915313</v>
      </c>
      <c r="T31" s="660">
        <f>+Model!CS223</f>
        <v>1251.1904648560444</v>
      </c>
      <c r="U31" s="660">
        <f>+Model!CX223</f>
        <v>1488.8601284425952</v>
      </c>
      <c r="V31" s="660">
        <f>+Model!DC223</f>
        <v>1739.1350694933194</v>
      </c>
      <c r="W31" s="711"/>
      <c r="X31" s="667"/>
    </row>
    <row r="32" spans="2:24" x14ac:dyDescent="0.2">
      <c r="C32" s="647" t="s">
        <v>368</v>
      </c>
      <c r="F32" s="658">
        <f>+F24+F30</f>
        <v>3186.4061476620482</v>
      </c>
      <c r="G32" s="658">
        <f>+G24+G30</f>
        <v>6851.3314722296545</v>
      </c>
      <c r="H32" s="658">
        <f>+H24+H30</f>
        <v>9626.3669042253241</v>
      </c>
      <c r="W32" s="667"/>
      <c r="X32" s="667"/>
    </row>
    <row r="33" spans="2:34" x14ac:dyDescent="0.2">
      <c r="C33" s="649" t="s">
        <v>379</v>
      </c>
      <c r="D33" s="649"/>
      <c r="E33" s="649"/>
      <c r="F33" s="669">
        <f>+G33</f>
        <v>301.64322102498937</v>
      </c>
      <c r="G33" s="670">
        <f>+U27</f>
        <v>301.64322102498937</v>
      </c>
      <c r="H33" s="669">
        <f>+G33</f>
        <v>301.64322102498937</v>
      </c>
      <c r="M33" s="644" t="s">
        <v>173</v>
      </c>
      <c r="O33" s="645">
        <f>+Model!BT225</f>
        <v>-637</v>
      </c>
      <c r="P33" s="645">
        <f>+Model!BY225</f>
        <v>-857</v>
      </c>
      <c r="Q33" s="645">
        <f>+Model!CD225</f>
        <v>-837</v>
      </c>
      <c r="R33" s="645">
        <f>+Model!CI225</f>
        <v>-850</v>
      </c>
      <c r="S33" s="645">
        <f>+Model!CN225</f>
        <v>-955</v>
      </c>
      <c r="T33" s="645">
        <f>+Model!CS225</f>
        <v>-1000</v>
      </c>
      <c r="U33" s="645">
        <f>+Model!CX225</f>
        <v>-1175</v>
      </c>
      <c r="V33" s="645">
        <f>+Model!DC225</f>
        <v>-1275</v>
      </c>
      <c r="W33" s="707"/>
      <c r="X33" s="667"/>
    </row>
    <row r="34" spans="2:34" x14ac:dyDescent="0.2">
      <c r="M34" s="644" t="s">
        <v>253</v>
      </c>
      <c r="O34" s="645">
        <f>+Model!BT232</f>
        <v>161</v>
      </c>
      <c r="P34" s="645">
        <f>+Model!BY232</f>
        <v>478</v>
      </c>
      <c r="Q34" s="645">
        <f>+Model!CD232</f>
        <v>-297</v>
      </c>
      <c r="R34" s="645">
        <f>+Model!CI232</f>
        <v>-195</v>
      </c>
      <c r="S34" s="645">
        <f>+Model!CN232</f>
        <v>112</v>
      </c>
      <c r="T34" s="645">
        <f>+Model!CS232</f>
        <v>167.77173097476992</v>
      </c>
      <c r="U34" s="645">
        <f>+Model!CX232</f>
        <v>0</v>
      </c>
      <c r="V34" s="645">
        <f>+Model!DC232</f>
        <v>0</v>
      </c>
      <c r="W34" s="667"/>
      <c r="X34" s="667"/>
    </row>
    <row r="35" spans="2:34" x14ac:dyDescent="0.2">
      <c r="C35" s="657" t="s">
        <v>413</v>
      </c>
      <c r="D35" s="656"/>
      <c r="E35" s="656"/>
      <c r="F35" s="655">
        <f>+F32/F$33</f>
        <v>10.56349331118591</v>
      </c>
      <c r="G35" s="655">
        <f>+G32/G$33</f>
        <v>22.713361331140479</v>
      </c>
      <c r="H35" s="654">
        <f>+H32/H$33</f>
        <v>31.913088819018533</v>
      </c>
      <c r="M35" s="647" t="s">
        <v>377</v>
      </c>
      <c r="N35" s="649"/>
      <c r="O35" s="660">
        <f t="shared" ref="O35:T35" si="10">+O33+O34</f>
        <v>-476</v>
      </c>
      <c r="P35" s="660">
        <f t="shared" si="10"/>
        <v>-379</v>
      </c>
      <c r="Q35" s="660">
        <f t="shared" si="10"/>
        <v>-1134</v>
      </c>
      <c r="R35" s="660">
        <f t="shared" si="10"/>
        <v>-1045</v>
      </c>
      <c r="S35" s="660">
        <f t="shared" si="10"/>
        <v>-843</v>
      </c>
      <c r="T35" s="660">
        <f t="shared" si="10"/>
        <v>-832.22826902523002</v>
      </c>
      <c r="U35" s="660">
        <f t="shared" ref="U35:V35" si="11">+U33+U34</f>
        <v>-1175</v>
      </c>
      <c r="V35" s="660">
        <f t="shared" si="11"/>
        <v>-1275</v>
      </c>
      <c r="W35" s="667"/>
      <c r="X35" s="667"/>
    </row>
    <row r="36" spans="2:34" x14ac:dyDescent="0.2">
      <c r="W36" s="667"/>
      <c r="X36" s="667"/>
    </row>
    <row r="37" spans="2:34" x14ac:dyDescent="0.2">
      <c r="B37" s="653" t="s">
        <v>123</v>
      </c>
      <c r="C37" s="652"/>
      <c r="D37" s="652"/>
      <c r="E37" s="651">
        <f>+F37-1</f>
        <v>2015</v>
      </c>
      <c r="F37" s="651">
        <f>+G37-1</f>
        <v>2016</v>
      </c>
      <c r="G37" s="651">
        <f>+H37-1</f>
        <v>2017</v>
      </c>
      <c r="H37" s="720">
        <v>2018</v>
      </c>
      <c r="I37" s="720">
        <v>2019</v>
      </c>
      <c r="J37" s="720">
        <v>2020</v>
      </c>
      <c r="M37" s="644" t="s">
        <v>376</v>
      </c>
      <c r="O37" s="645">
        <f>+Model!BT242</f>
        <v>-219</v>
      </c>
      <c r="P37" s="645">
        <f>+Model!BY242</f>
        <v>-360</v>
      </c>
      <c r="Q37" s="645">
        <f>+Model!CD242</f>
        <v>-328</v>
      </c>
      <c r="R37" s="645">
        <f>+Model!CI242</f>
        <v>-368</v>
      </c>
      <c r="S37" s="645">
        <f>+Model!CN242</f>
        <v>144.5</v>
      </c>
      <c r="T37" s="645">
        <f>+Model!CS242</f>
        <v>-31.199999999999989</v>
      </c>
      <c r="U37" s="645">
        <f>+Model!CX242</f>
        <v>-65</v>
      </c>
      <c r="V37" s="645">
        <f>+Model!DC242</f>
        <v>26</v>
      </c>
      <c r="W37" s="667"/>
      <c r="X37" s="667"/>
    </row>
    <row r="38" spans="2:34" x14ac:dyDescent="0.2">
      <c r="C38" s="644" t="s">
        <v>365</v>
      </c>
      <c r="E38" s="646">
        <f>+Model!CD5</f>
        <v>0.1030862401819479</v>
      </c>
      <c r="F38" s="646">
        <f>+Model!CI5</f>
        <v>9.3692311380690896E-2</v>
      </c>
      <c r="G38" s="646">
        <f>+Model!CN5</f>
        <v>3.5511519323089047E-2</v>
      </c>
      <c r="H38" s="646">
        <f>+Model!CS5</f>
        <v>7.1246999301424641E-2</v>
      </c>
      <c r="I38" s="646">
        <f>+Model!CX5</f>
        <v>7.0000000000000062E-2</v>
      </c>
      <c r="J38" s="646">
        <f>+Model!DC5</f>
        <v>7.0000000000000062E-2</v>
      </c>
      <c r="M38" s="644" t="s">
        <v>375</v>
      </c>
      <c r="O38" s="645">
        <f>+Model!BT236+Model!BT237</f>
        <v>10</v>
      </c>
      <c r="P38" s="645">
        <f>+Model!BY236+Model!BY237</f>
        <v>41</v>
      </c>
      <c r="Q38" s="645">
        <f>+Model!CD236+Model!CD237</f>
        <v>-157</v>
      </c>
      <c r="R38" s="645">
        <f>+Model!CI236+Model!CI237</f>
        <v>-89</v>
      </c>
      <c r="S38" s="645">
        <f>+Model!CN236+Model!CN237</f>
        <v>-362</v>
      </c>
      <c r="T38" s="645">
        <f>+Model!CS236+Model!CS237</f>
        <v>-335.68051655790595</v>
      </c>
      <c r="U38" s="645">
        <f>+Model!CX236+Model!CX237</f>
        <v>-325.424464622784</v>
      </c>
      <c r="V38" s="645">
        <f>+Model!DC236+Model!DC237</f>
        <v>-300.69220531145254</v>
      </c>
      <c r="W38" s="667"/>
      <c r="X38" s="667"/>
    </row>
    <row r="39" spans="2:34" x14ac:dyDescent="0.2">
      <c r="C39" s="644" t="s">
        <v>364</v>
      </c>
      <c r="E39" s="646">
        <f>+Model!CD7</f>
        <v>9.479252328139931E-2</v>
      </c>
      <c r="F39" s="646">
        <f>+Model!CI7</f>
        <v>8.8554143489382398E-2</v>
      </c>
      <c r="G39" s="646">
        <f>+Model!CN7</f>
        <v>4.4535621036926543E-2</v>
      </c>
      <c r="H39" s="646">
        <f>+Model!CS7</f>
        <v>7.1169118697328893E-2</v>
      </c>
      <c r="I39" s="646">
        <f>+Model!CX7</f>
        <v>7.0000000000000007E-2</v>
      </c>
      <c r="J39" s="646">
        <f>+Model!DC7</f>
        <v>7.0000000000000007E-2</v>
      </c>
      <c r="M39" s="644" t="s">
        <v>179</v>
      </c>
      <c r="O39" s="645">
        <f>+Model!BT235</f>
        <v>0</v>
      </c>
      <c r="P39" s="645">
        <f>+Model!BY235</f>
        <v>0</v>
      </c>
      <c r="Q39" s="645">
        <f>+Model!CD235</f>
        <v>0</v>
      </c>
      <c r="R39" s="645">
        <f>+Model!CI235</f>
        <v>0</v>
      </c>
      <c r="S39" s="645">
        <f>+Model!CN235</f>
        <v>0</v>
      </c>
      <c r="T39" s="645">
        <f>+Model!CS235</f>
        <v>0</v>
      </c>
      <c r="U39" s="645">
        <f>+Model!CX235</f>
        <v>0</v>
      </c>
      <c r="V39" s="645">
        <f>+Model!DC235</f>
        <v>0</v>
      </c>
      <c r="W39" s="667"/>
      <c r="X39" s="667"/>
    </row>
    <row r="40" spans="2:34" x14ac:dyDescent="0.2">
      <c r="C40" s="644" t="s">
        <v>363</v>
      </c>
      <c r="E40" s="646">
        <f>+Model!CD9</f>
        <v>0.84678630882293227</v>
      </c>
      <c r="F40" s="646">
        <f>+Model!CI9</f>
        <v>0.85078328981723239</v>
      </c>
      <c r="G40" s="646">
        <f>+Model!CN9</f>
        <v>0.84343308098843017</v>
      </c>
      <c r="H40" s="646">
        <f>+Model!CS9</f>
        <v>0.84349440377744189</v>
      </c>
      <c r="I40" s="646">
        <f>+Model!CX9</f>
        <v>0.84349440377744189</v>
      </c>
      <c r="J40" s="646">
        <f>+Model!DC9</f>
        <v>0.84349440377744189</v>
      </c>
      <c r="M40" s="644" t="s">
        <v>253</v>
      </c>
      <c r="O40" s="645">
        <f>+Model!BT243</f>
        <v>-30</v>
      </c>
      <c r="P40" s="645">
        <f>+Model!BY243</f>
        <v>-98</v>
      </c>
      <c r="Q40" s="645">
        <f>+Model!CD243</f>
        <v>-2</v>
      </c>
      <c r="R40" s="645">
        <f>+Model!CI243</f>
        <v>-15</v>
      </c>
      <c r="S40" s="645">
        <f>+Model!CN243</f>
        <v>-12</v>
      </c>
      <c r="T40" s="645">
        <f>+Model!CS243</f>
        <v>0</v>
      </c>
      <c r="U40" s="645">
        <f>+Model!CX243</f>
        <v>0</v>
      </c>
      <c r="V40" s="645">
        <f>+Model!DC243</f>
        <v>0</v>
      </c>
      <c r="W40" s="667"/>
      <c r="X40" s="667"/>
    </row>
    <row r="41" spans="2:34" x14ac:dyDescent="0.2">
      <c r="M41" s="647" t="s">
        <v>373</v>
      </c>
      <c r="O41" s="660">
        <f t="shared" ref="O41:T41" si="12">SUM(O37:O40)</f>
        <v>-239</v>
      </c>
      <c r="P41" s="660">
        <f t="shared" si="12"/>
        <v>-417</v>
      </c>
      <c r="Q41" s="660">
        <f t="shared" si="12"/>
        <v>-487</v>
      </c>
      <c r="R41" s="660">
        <f t="shared" si="12"/>
        <v>-472</v>
      </c>
      <c r="S41" s="660">
        <f t="shared" si="12"/>
        <v>-229.5</v>
      </c>
      <c r="T41" s="660">
        <f t="shared" si="12"/>
        <v>-366.88051655790593</v>
      </c>
      <c r="U41" s="660">
        <f t="shared" ref="U41:V41" si="13">SUM(U37:U40)</f>
        <v>-390.424464622784</v>
      </c>
      <c r="V41" s="660">
        <f t="shared" si="13"/>
        <v>-274.69220531145254</v>
      </c>
    </row>
    <row r="42" spans="2:34" x14ac:dyDescent="0.2">
      <c r="B42" s="649"/>
      <c r="C42" s="644" t="s">
        <v>362</v>
      </c>
      <c r="E42" s="646">
        <f>+Model!CD31</f>
        <v>7.4405886518957853E-3</v>
      </c>
      <c r="F42" s="646">
        <f>+Model!CI31</f>
        <v>-6.2643646331732139E-2</v>
      </c>
      <c r="G42" s="646">
        <f>+Model!CN31</f>
        <v>1.1475160957381547E-3</v>
      </c>
      <c r="H42" s="646">
        <f>+Model!CS31</f>
        <v>7.836868108818118E-3</v>
      </c>
      <c r="I42" s="646">
        <f>+Model!CX31</f>
        <v>5.0000000000000001E-3</v>
      </c>
      <c r="J42" s="646">
        <f>+Model!DC31</f>
        <v>5.0000000000000001E-3</v>
      </c>
    </row>
    <row r="43" spans="2:34" x14ac:dyDescent="0.2">
      <c r="C43" s="644" t="s">
        <v>361</v>
      </c>
      <c r="E43" s="646">
        <f>+Model!CD43</f>
        <v>7.4731222097486061E-3</v>
      </c>
      <c r="F43" s="646">
        <f>+Model!CI43</f>
        <v>-5.042313090827566E-2</v>
      </c>
      <c r="G43" s="646">
        <f>+Model!CN43</f>
        <v>1.265124928732364E-2</v>
      </c>
      <c r="H43" s="646">
        <f>+Model!CS43</f>
        <v>1.4691465581432972E-2</v>
      </c>
      <c r="I43" s="646">
        <f>+Model!CX43</f>
        <v>1.060240786713984E-2</v>
      </c>
      <c r="J43" s="646">
        <f>+Model!DC43</f>
        <v>8.1763151917322308E-3</v>
      </c>
      <c r="M43" s="666" t="s">
        <v>121</v>
      </c>
      <c r="N43" s="665"/>
      <c r="O43" s="664">
        <f t="shared" ref="O43:T43" si="14">+O31+O33</f>
        <v>121</v>
      </c>
      <c r="P43" s="664">
        <f t="shared" si="14"/>
        <v>55</v>
      </c>
      <c r="Q43" s="664">
        <f t="shared" si="14"/>
        <v>761</v>
      </c>
      <c r="R43" s="664">
        <f t="shared" si="14"/>
        <v>782</v>
      </c>
      <c r="S43" s="664">
        <f t="shared" si="14"/>
        <v>379.60737619153133</v>
      </c>
      <c r="T43" s="664">
        <f t="shared" si="14"/>
        <v>251.1904648560444</v>
      </c>
      <c r="U43" s="664">
        <f t="shared" ref="U43:V43" si="15">+U31+U33</f>
        <v>313.86012844259517</v>
      </c>
      <c r="V43" s="663">
        <f t="shared" si="15"/>
        <v>464.13506949331941</v>
      </c>
      <c r="W43" s="708"/>
    </row>
    <row r="44" spans="2:34" s="649" customFormat="1" x14ac:dyDescent="0.2">
      <c r="C44" s="644"/>
      <c r="D44" s="644"/>
      <c r="L44" s="644"/>
      <c r="M44" s="644"/>
      <c r="N44" s="644"/>
      <c r="O44" s="644"/>
      <c r="P44" s="644"/>
      <c r="Q44" s="644"/>
      <c r="R44" s="644"/>
      <c r="S44" s="644"/>
      <c r="T44" s="644"/>
      <c r="U44" s="644"/>
      <c r="V44" s="644"/>
      <c r="W44" s="644"/>
      <c r="X44" s="644"/>
      <c r="Y44" s="644"/>
      <c r="Z44" s="644"/>
      <c r="AA44" s="644"/>
      <c r="AB44" s="644"/>
      <c r="AC44" s="644"/>
      <c r="AD44" s="644"/>
      <c r="AE44" s="644"/>
      <c r="AF44" s="644"/>
      <c r="AG44" s="644"/>
      <c r="AH44" s="644"/>
    </row>
    <row r="45" spans="2:34" x14ac:dyDescent="0.2">
      <c r="B45" s="649"/>
      <c r="C45" s="644" t="s">
        <v>360</v>
      </c>
      <c r="E45" s="646">
        <f>+Model!CD109</f>
        <v>-0.10415722088329471</v>
      </c>
      <c r="F45" s="646">
        <f>+Model!CI109</f>
        <v>-6.0150632657160141E-2</v>
      </c>
      <c r="G45" s="646">
        <f>+Model!CN109</f>
        <v>8.2432302904096533E-2</v>
      </c>
      <c r="H45" s="646">
        <f>+Model!CS109</f>
        <v>5.1029928522557721E-2</v>
      </c>
      <c r="I45" s="646">
        <f>+Model!CX109</f>
        <v>1.705654456376493E-4</v>
      </c>
      <c r="J45" s="646">
        <f>+Model!DC109</f>
        <v>-7.8844935312315512E-3</v>
      </c>
      <c r="M45" s="662" t="s">
        <v>372</v>
      </c>
      <c r="P45" s="659"/>
      <c r="V45" s="659"/>
      <c r="W45" s="649"/>
      <c r="X45" s="649"/>
    </row>
    <row r="46" spans="2:34" x14ac:dyDescent="0.2">
      <c r="C46" s="644" t="s">
        <v>359</v>
      </c>
      <c r="E46" s="646">
        <f>+Model!CD111</f>
        <v>3.7898196851901655E-2</v>
      </c>
      <c r="F46" s="646">
        <f>+Model!CI111</f>
        <v>1.2851900396738225E-2</v>
      </c>
      <c r="G46" s="646">
        <f>+Model!CN111</f>
        <v>4.8658762361204477E-2</v>
      </c>
      <c r="H46" s="646">
        <f>+Model!CS111</f>
        <v>1.8667978370614513E-3</v>
      </c>
      <c r="I46" s="646">
        <f>+Model!CX111</f>
        <v>2.1171611407793112E-2</v>
      </c>
      <c r="J46" s="646">
        <f>+Model!DC111</f>
        <v>7.5129474088657666E-3</v>
      </c>
      <c r="M46" s="644" t="s">
        <v>258</v>
      </c>
      <c r="O46" s="645">
        <f>+Model!BT253</f>
        <v>740.71699999999953</v>
      </c>
      <c r="P46" s="645">
        <f>+Model!BY253</f>
        <v>767.71699999999953</v>
      </c>
      <c r="Q46" s="645">
        <f>+Model!CD253</f>
        <v>924.71699999999953</v>
      </c>
      <c r="R46" s="645">
        <f>+Model!CI253</f>
        <v>970.71699999999953</v>
      </c>
      <c r="S46" s="645">
        <f>+Model!CN253</f>
        <v>1114.824376191531</v>
      </c>
      <c r="T46" s="860">
        <f>+Model!CS253</f>
        <v>999.13432448966932</v>
      </c>
      <c r="U46" s="860">
        <f>+Model!CX253</f>
        <v>922.56998830948055</v>
      </c>
      <c r="V46" s="860">
        <f>+Model!DC253</f>
        <v>1112.0128524913473</v>
      </c>
    </row>
    <row r="47" spans="2:34" x14ac:dyDescent="0.2">
      <c r="C47" s="644" t="s">
        <v>442</v>
      </c>
      <c r="E47" s="646">
        <f>+Model!CD113</f>
        <v>4.3494190789834519E-3</v>
      </c>
      <c r="F47" s="646">
        <f>+Model!CI113</f>
        <v>1.274928677278564E-2</v>
      </c>
      <c r="G47" s="646">
        <f>+Model!CN113</f>
        <v>8.199178914622185E-2</v>
      </c>
      <c r="H47" s="646">
        <f>+Model!CS113</f>
        <v>1.0815956085075129E-4</v>
      </c>
      <c r="I47" s="646">
        <f>+Model!CX113</f>
        <v>1.9797400588837943E-2</v>
      </c>
      <c r="J47" s="646">
        <f>+Model!DC113</f>
        <v>4.9376786867183498E-3</v>
      </c>
      <c r="M47" s="687" t="s">
        <v>420</v>
      </c>
      <c r="N47" s="687"/>
      <c r="O47" s="688">
        <f t="shared" ref="O47:T47" si="16">O46/O11</f>
        <v>0.13613618820069831</v>
      </c>
      <c r="P47" s="688">
        <f t="shared" si="16"/>
        <v>0.13197816744026122</v>
      </c>
      <c r="Q47" s="688">
        <f t="shared" si="16"/>
        <v>0.14412671446384032</v>
      </c>
      <c r="R47" s="688">
        <f t="shared" si="16"/>
        <v>0.14636866706875748</v>
      </c>
      <c r="S47" s="688">
        <f t="shared" si="16"/>
        <v>0.15892008213706785</v>
      </c>
      <c r="T47" s="861">
        <f t="shared" si="16"/>
        <v>0.13104008086897281</v>
      </c>
      <c r="U47" s="861">
        <f t="shared" ref="U47:V47" si="17">U46/U11</f>
        <v>0.111896239051071</v>
      </c>
      <c r="V47" s="861">
        <f t="shared" si="17"/>
        <v>0.12502754559277937</v>
      </c>
    </row>
    <row r="48" spans="2:34" x14ac:dyDescent="0.2">
      <c r="C48" s="644" t="s">
        <v>358</v>
      </c>
      <c r="E48" s="648">
        <f>+Model!CD62</f>
        <v>1.9257142857142857</v>
      </c>
      <c r="F48" s="648">
        <f>+Model!CI62</f>
        <v>1.4137022397891963</v>
      </c>
      <c r="G48" s="648">
        <f>+Model!CN62</f>
        <v>1.720959595959596</v>
      </c>
      <c r="H48" s="648">
        <f>+Model!CS62</f>
        <v>2.1142055381340481</v>
      </c>
      <c r="I48" s="648">
        <f>+Model!CX62</f>
        <v>2</v>
      </c>
      <c r="J48" s="648">
        <f>+Model!DC62</f>
        <v>1.9</v>
      </c>
      <c r="L48" s="645"/>
      <c r="T48" s="862"/>
      <c r="U48" s="862"/>
      <c r="V48" s="862"/>
    </row>
    <row r="49" spans="2:22" x14ac:dyDescent="0.2">
      <c r="M49" s="644" t="s">
        <v>369</v>
      </c>
      <c r="O49" s="645">
        <f>(Model!BT272+Model!BT273+Model!BT279)</f>
        <v>2585</v>
      </c>
      <c r="P49" s="645">
        <f>(Model!BY272+Model!BY273+Model!BY279)</f>
        <v>2233</v>
      </c>
      <c r="Q49" s="645">
        <f>(Model!CD272+Model!CD273+Model!CD279)</f>
        <v>1827</v>
      </c>
      <c r="R49" s="645">
        <f>(Model!CI272+Model!CI273+Model!CI279)</f>
        <v>1384</v>
      </c>
      <c r="S49" s="645">
        <f>(Model!CN272+Model!CN273+Model!CN279)</f>
        <v>1537.5</v>
      </c>
      <c r="T49" s="860">
        <f>(Model!CS272+Model!CS273+Model!CS279)</f>
        <v>1506.3000000000002</v>
      </c>
      <c r="U49" s="860">
        <f>(Model!CX272+Model!CX273+Model!CX279)</f>
        <v>1441.3000000000002</v>
      </c>
      <c r="V49" s="860">
        <f>(Model!DC272+Model!DC273+Model!DC279)</f>
        <v>1467.3000000000002</v>
      </c>
    </row>
    <row r="50" spans="2:22" x14ac:dyDescent="0.2">
      <c r="C50" s="644" t="s">
        <v>357</v>
      </c>
      <c r="E50" s="646">
        <f>+Model!CD122</f>
        <v>0.18952618453865336</v>
      </c>
      <c r="F50" s="646">
        <f>+Model!CI122</f>
        <v>0.19782870928829915</v>
      </c>
      <c r="G50" s="646">
        <f>+Model!CN122</f>
        <v>0.14255167498218105</v>
      </c>
      <c r="H50" s="646">
        <f>+Model!CS122</f>
        <v>0.11184445486701484</v>
      </c>
      <c r="I50" s="646">
        <f>+Model!CX122</f>
        <v>0.12101235177729883</v>
      </c>
      <c r="J50" s="646">
        <f>+Model!DC122</f>
        <v>0.13501511327370228</v>
      </c>
      <c r="M50" s="644" t="s">
        <v>367</v>
      </c>
      <c r="O50" s="645">
        <f t="shared" ref="O50:T50" si="18">7*O17</f>
        <v>896</v>
      </c>
      <c r="P50" s="645">
        <f t="shared" si="18"/>
        <v>868</v>
      </c>
      <c r="Q50" s="645">
        <f t="shared" si="18"/>
        <v>854</v>
      </c>
      <c r="R50" s="645">
        <f t="shared" si="18"/>
        <v>777</v>
      </c>
      <c r="S50" s="645">
        <f t="shared" si="18"/>
        <v>707</v>
      </c>
      <c r="T50" s="860">
        <f t="shared" si="18"/>
        <v>658.33031018700058</v>
      </c>
      <c r="U50" s="860">
        <f t="shared" ref="U50:V50" si="19">7*U17</f>
        <v>627.66741503409992</v>
      </c>
      <c r="V50" s="860">
        <f t="shared" si="19"/>
        <v>618.61906101143018</v>
      </c>
    </row>
    <row r="51" spans="2:22" x14ac:dyDescent="0.2">
      <c r="B51" s="647"/>
      <c r="C51" s="644" t="s">
        <v>356</v>
      </c>
      <c r="E51" s="646">
        <f>+Model!CD124</f>
        <v>0.26231296758104738</v>
      </c>
      <c r="F51" s="646">
        <f>+Model!CI124</f>
        <v>0.27367310012062729</v>
      </c>
      <c r="G51" s="646">
        <f>+Model!CN124</f>
        <v>0.22066999287241626</v>
      </c>
      <c r="H51" s="646">
        <f>+Model!CS124</f>
        <v>0.18724954670965765</v>
      </c>
      <c r="I51" s="646">
        <f>+Model!CX124</f>
        <v>0.19400496354382657</v>
      </c>
      <c r="J51" s="646">
        <f>+Model!DC124</f>
        <v>0.20714053776384472</v>
      </c>
      <c r="S51" s="748"/>
      <c r="T51" s="863"/>
      <c r="U51" s="863"/>
      <c r="V51" s="863"/>
    </row>
    <row r="52" spans="2:22" x14ac:dyDescent="0.2">
      <c r="C52" s="644" t="s">
        <v>423</v>
      </c>
      <c r="E52" s="646">
        <f t="shared" ref="E52:J52" si="20">((Q20+Q17)*(1-39%))/(Q52+Q50+Q49)</f>
        <v>0.138546936004074</v>
      </c>
      <c r="F52" s="646">
        <f t="shared" si="20"/>
        <v>0.14059442824748947</v>
      </c>
      <c r="G52" s="646">
        <f t="shared" si="20"/>
        <v>0.10353697769024098</v>
      </c>
      <c r="H52" s="646">
        <f t="shared" si="20"/>
        <v>8.6940227859783031E-2</v>
      </c>
      <c r="I52" s="646">
        <f t="shared" si="20"/>
        <v>9.6039586624491108E-2</v>
      </c>
      <c r="J52" s="646">
        <f t="shared" si="20"/>
        <v>0.10541082048583435</v>
      </c>
      <c r="M52" s="644" t="s">
        <v>366</v>
      </c>
      <c r="O52" s="645">
        <f>+Model!BT291</f>
        <v>2134</v>
      </c>
      <c r="P52" s="645">
        <f>+Model!BY291</f>
        <v>2529</v>
      </c>
      <c r="Q52" s="645">
        <f>+Model!CD291</f>
        <v>3210</v>
      </c>
      <c r="R52" s="645">
        <f>+Model!CI291</f>
        <v>4013</v>
      </c>
      <c r="S52" s="645">
        <f>+Model!CN291</f>
        <v>4242.1679999999997</v>
      </c>
      <c r="T52" s="860">
        <f>+Model!CS291</f>
        <v>4478.5683264965573</v>
      </c>
      <c r="U52" s="860">
        <f>+Model!CX291</f>
        <v>4837.6922290346902</v>
      </c>
      <c r="V52" s="860">
        <f>+Model!DC291</f>
        <v>5374.6328034584749</v>
      </c>
    </row>
    <row r="53" spans="2:22" x14ac:dyDescent="0.2">
      <c r="P53" s="659"/>
      <c r="Q53" s="659"/>
      <c r="R53" s="659"/>
      <c r="S53" s="659"/>
      <c r="T53" s="864"/>
      <c r="U53" s="864"/>
      <c r="V53" s="864"/>
    </row>
    <row r="54" spans="2:22" x14ac:dyDescent="0.2">
      <c r="H54" s="648"/>
      <c r="M54" s="644" t="s">
        <v>476</v>
      </c>
      <c r="P54" s="749">
        <f t="shared" ref="P54:Q54" si="21">+(P49+P50)/(P52+P49+P50)</f>
        <v>0.55079928952042634</v>
      </c>
      <c r="Q54" s="749">
        <f t="shared" si="21"/>
        <v>0.45510100152775418</v>
      </c>
      <c r="R54" s="749">
        <f>+(R49+R50)/(R52+R49+R50)</f>
        <v>0.35001619695497249</v>
      </c>
      <c r="S54" s="749">
        <f t="shared" ref="S54:T54" si="22">+(S49+S50)/(S52+S49+S50)</f>
        <v>0.34601740061307285</v>
      </c>
      <c r="T54" s="865">
        <f t="shared" si="22"/>
        <v>0.3258415755076135</v>
      </c>
      <c r="U54" s="865">
        <f t="shared" ref="U54" si="23">+(U49+U50)/(U52+U49+U50)</f>
        <v>0.29956122375464972</v>
      </c>
      <c r="V54" s="865">
        <f>+(V49+V50)/(V52+V49+V50)</f>
        <v>0.27959313183591694</v>
      </c>
    </row>
    <row r="55" spans="2:22" x14ac:dyDescent="0.2">
      <c r="M55" s="689" t="s">
        <v>408</v>
      </c>
      <c r="O55" s="650">
        <f t="shared" ref="O55:T55" si="24">((O49+O50)-O46)/O21</f>
        <v>3.2391052009456267</v>
      </c>
      <c r="P55" s="650">
        <f t="shared" si="24"/>
        <v>2.4330375391032328</v>
      </c>
      <c r="Q55" s="650">
        <f t="shared" si="24"/>
        <v>1.0435430778371957</v>
      </c>
      <c r="R55" s="650">
        <f t="shared" si="24"/>
        <v>0.65580330578512414</v>
      </c>
      <c r="S55" s="650">
        <f t="shared" si="24"/>
        <v>0.72976461486335209</v>
      </c>
      <c r="T55" s="866">
        <f t="shared" si="24"/>
        <v>0.81633850233381622</v>
      </c>
      <c r="U55" s="866">
        <f t="shared" ref="U55:V55" si="25">((U49+U50)-U46)/U21</f>
        <v>0.71670185449428925</v>
      </c>
      <c r="V55" s="866">
        <f t="shared" si="25"/>
        <v>0.5286252869246052</v>
      </c>
    </row>
    <row r="56" spans="2:22" x14ac:dyDescent="0.2">
      <c r="M56" s="689" t="s">
        <v>409</v>
      </c>
      <c r="O56" s="650">
        <f t="shared" ref="O56:T56" si="26">((O49+O50))/O21</f>
        <v>4.1146572104018917</v>
      </c>
      <c r="P56" s="650">
        <f t="shared" si="26"/>
        <v>3.2335766423357666</v>
      </c>
      <c r="Q56" s="650">
        <f t="shared" si="26"/>
        <v>1.5929887106357694</v>
      </c>
      <c r="R56" s="650">
        <f t="shared" si="26"/>
        <v>1.190633608815427</v>
      </c>
      <c r="S56" s="650">
        <f t="shared" si="26"/>
        <v>1.4499354005167959</v>
      </c>
      <c r="T56" s="866">
        <f t="shared" si="26"/>
        <v>1.516153712418991</v>
      </c>
      <c r="U56" s="866">
        <f t="shared" ref="U56:V56" si="27">((U49+U50))/U21</f>
        <v>1.2934718350509629</v>
      </c>
      <c r="V56" s="866">
        <f t="shared" si="27"/>
        <v>1.1322132998867027</v>
      </c>
    </row>
    <row r="58" spans="2:22" x14ac:dyDescent="0.2">
      <c r="L58" s="714" t="s">
        <v>415</v>
      </c>
      <c r="M58" s="715"/>
      <c r="N58" s="715"/>
      <c r="O58" s="651">
        <f>+P58-1</f>
        <v>2013</v>
      </c>
      <c r="P58" s="651">
        <f>+Q58-1</f>
        <v>2014</v>
      </c>
      <c r="Q58" s="651">
        <f>+R58-1</f>
        <v>2015</v>
      </c>
      <c r="R58" s="651">
        <f>+S58-1</f>
        <v>2016</v>
      </c>
      <c r="S58" s="651">
        <f>+T58-1</f>
        <v>2017</v>
      </c>
      <c r="T58" s="719">
        <v>2018</v>
      </c>
      <c r="U58" s="719">
        <v>2019</v>
      </c>
      <c r="V58" s="720">
        <v>2020</v>
      </c>
    </row>
    <row r="59" spans="2:22" x14ac:dyDescent="0.2">
      <c r="L59" s="716"/>
      <c r="M59" s="716" t="s">
        <v>416</v>
      </c>
      <c r="N59" s="716"/>
      <c r="O59" s="717">
        <f t="shared" ref="O59:T59" si="28">(O43/O27)/$G$10</f>
        <v>1.8284022571096986E-2</v>
      </c>
      <c r="P59" s="717">
        <f t="shared" si="28"/>
        <v>8.083198748074177E-3</v>
      </c>
      <c r="Q59" s="717">
        <f t="shared" si="28"/>
        <v>0.11523920227717147</v>
      </c>
      <c r="R59" s="717">
        <f t="shared" si="28"/>
        <v>0.11858917101923298</v>
      </c>
      <c r="S59" s="717">
        <f t="shared" si="28"/>
        <v>5.9663502059522748E-2</v>
      </c>
      <c r="T59" s="717">
        <f t="shared" si="28"/>
        <v>4.1485764565849029E-2</v>
      </c>
      <c r="U59" s="717">
        <f t="shared" ref="U59:V59" si="29">(U43/U27)/$G$10</f>
        <v>5.3995909880902575E-2</v>
      </c>
      <c r="V59" s="717">
        <f t="shared" si="29"/>
        <v>8.2745005046386988E-2</v>
      </c>
    </row>
    <row r="60" spans="2:22" x14ac:dyDescent="0.2">
      <c r="L60" s="716"/>
      <c r="M60" s="716" t="s">
        <v>417</v>
      </c>
      <c r="N60" s="716"/>
      <c r="O60" s="718">
        <f t="shared" ref="O60:T60" si="30">$G$10/O28</f>
        <v>37.346499717832963</v>
      </c>
      <c r="P60" s="718">
        <f t="shared" si="30"/>
        <v>28.589231092436975</v>
      </c>
      <c r="Q60" s="718">
        <f t="shared" si="30"/>
        <v>9.696997900146842</v>
      </c>
      <c r="R60" s="718">
        <f t="shared" si="30"/>
        <v>8.7922586666666653</v>
      </c>
      <c r="S60" s="718">
        <f t="shared" si="30"/>
        <v>11.0045389056468</v>
      </c>
      <c r="T60" s="718">
        <f t="shared" si="30"/>
        <v>10.583922381269273</v>
      </c>
      <c r="U60" s="718">
        <f t="shared" ref="U60:V60" si="31">$G$10/U28</f>
        <v>8.4912405726112343</v>
      </c>
      <c r="V60" s="718">
        <f t="shared" si="31"/>
        <v>6.6965163427632666</v>
      </c>
    </row>
    <row r="61" spans="2:22" x14ac:dyDescent="0.2">
      <c r="L61" s="716"/>
      <c r="M61" s="716" t="s">
        <v>418</v>
      </c>
      <c r="N61" s="716"/>
      <c r="O61" s="718">
        <f t="shared" ref="O61:T61" si="32">($G$10+(O49+O50-O46)/O27)/(O21/O27)</f>
        <v>11.061563534278958</v>
      </c>
      <c r="P61" s="718">
        <f t="shared" si="32"/>
        <v>9.5281751824817515</v>
      </c>
      <c r="Q61" s="718">
        <f t="shared" si="32"/>
        <v>4.9672837611408198</v>
      </c>
      <c r="R61" s="718">
        <f t="shared" si="32"/>
        <v>4.2889680440771354</v>
      </c>
      <c r="S61" s="718">
        <f t="shared" si="32"/>
        <v>4.839888807369813</v>
      </c>
      <c r="T61" s="718">
        <f t="shared" si="32"/>
        <v>5.0572923824149152</v>
      </c>
      <c r="U61" s="718">
        <f t="shared" ref="U61:V61" si="33">($G$10+(U49+U50-U46)/U27)/(U21/U27)</f>
        <v>4.3506490303679097</v>
      </c>
      <c r="V61" s="718">
        <f t="shared" si="33"/>
        <v>3.5732473984919837</v>
      </c>
    </row>
    <row r="62" spans="2:22" x14ac:dyDescent="0.2">
      <c r="O62" s="674"/>
      <c r="P62" s="674"/>
      <c r="Q62" s="674"/>
      <c r="R62" s="674"/>
      <c r="S62" s="674"/>
      <c r="T62" s="674"/>
      <c r="U62" s="674"/>
      <c r="V62" s="674"/>
    </row>
    <row r="63" spans="2:22" x14ac:dyDescent="0.2">
      <c r="Q63" s="648"/>
      <c r="R63" s="648"/>
      <c r="S63" s="648"/>
      <c r="T63" s="648"/>
      <c r="U63" s="648"/>
      <c r="V63" s="648"/>
    </row>
    <row r="64" spans="2:22" x14ac:dyDescent="0.2">
      <c r="Q64" s="661"/>
      <c r="R64" s="661"/>
      <c r="S64" s="661"/>
      <c r="T64" s="661"/>
      <c r="U64" s="661"/>
      <c r="V64" s="661"/>
    </row>
    <row r="66" spans="15:22" x14ac:dyDescent="0.2">
      <c r="O66" s="674"/>
      <c r="P66" s="674"/>
      <c r="Q66" s="713"/>
      <c r="R66" s="713"/>
      <c r="S66" s="713"/>
      <c r="T66" s="713"/>
      <c r="U66" s="713"/>
      <c r="V66" s="713"/>
    </row>
    <row r="67" spans="15:22" x14ac:dyDescent="0.2">
      <c r="Q67" s="659"/>
      <c r="R67" s="659"/>
      <c r="S67" s="659"/>
      <c r="T67" s="659"/>
      <c r="U67" s="659"/>
      <c r="V67" s="659"/>
    </row>
    <row r="68" spans="15:22" x14ac:dyDescent="0.2">
      <c r="Q68" s="661"/>
      <c r="R68" s="661"/>
      <c r="S68" s="661"/>
      <c r="T68" s="661"/>
      <c r="U68" s="661"/>
      <c r="V68" s="661"/>
    </row>
    <row r="85" spans="15:22" x14ac:dyDescent="0.2">
      <c r="O85" s="645"/>
      <c r="P85" s="645"/>
      <c r="Q85" s="645"/>
      <c r="R85" s="645"/>
      <c r="S85" s="645"/>
      <c r="T85" s="645"/>
      <c r="U85" s="645"/>
      <c r="V85" s="645"/>
    </row>
    <row r="86" spans="15:22" x14ac:dyDescent="0.2">
      <c r="O86" s="645"/>
      <c r="P86" s="645"/>
      <c r="Q86" s="645"/>
      <c r="R86" s="645"/>
      <c r="S86" s="645"/>
      <c r="T86" s="645"/>
      <c r="U86" s="645"/>
      <c r="V86" s="645"/>
    </row>
    <row r="90" spans="15:22" x14ac:dyDescent="0.2">
      <c r="O90" s="645"/>
      <c r="P90" s="645"/>
      <c r="Q90" s="645"/>
      <c r="R90" s="645"/>
      <c r="S90" s="645"/>
      <c r="T90" s="645"/>
      <c r="U90" s="645"/>
      <c r="V90" s="645"/>
    </row>
    <row r="98" spans="15:22" x14ac:dyDescent="0.2">
      <c r="O98" s="645"/>
      <c r="P98" s="645"/>
      <c r="Q98" s="645"/>
      <c r="R98" s="645"/>
      <c r="S98" s="645"/>
      <c r="T98" s="645"/>
      <c r="U98" s="645"/>
      <c r="V98" s="645"/>
    </row>
  </sheetData>
  <pageMargins left="0" right="0" top="0" bottom="0" header="0" footer="0"/>
  <pageSetup paperSize="5" scale="68" orientation="landscape" r:id="rId1"/>
  <colBreaks count="1" manualBreakCount="1">
    <brk id="22"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X65536"/>
  <sheetViews>
    <sheetView showGridLines="0" zoomScaleNormal="100" workbookViewId="0">
      <pane xSplit="1" ySplit="2" topLeftCell="AU3" activePane="bottomRight" state="frozen"/>
      <selection activeCell="L34" sqref="L34"/>
      <selection pane="topRight" activeCell="L34" sqref="L34"/>
      <selection pane="bottomLeft" activeCell="L34" sqref="L34"/>
      <selection pane="bottomRight" activeCell="CO2" sqref="CO2"/>
    </sheetView>
  </sheetViews>
  <sheetFormatPr defaultRowHeight="12.75" outlineLevelCol="2" x14ac:dyDescent="0.2"/>
  <cols>
    <col min="1" max="1" width="40.83203125" style="15" customWidth="1" collapsed="1"/>
    <col min="2" max="7" width="10.83203125" style="201" hidden="1" customWidth="1" outlineLevel="1"/>
    <col min="8" max="8" width="10.83203125" style="201" hidden="1" customWidth="1" outlineLevel="1" collapsed="1"/>
    <col min="9" max="11" width="10.83203125" style="201" hidden="1" customWidth="1" outlineLevel="1"/>
    <col min="12" max="12" width="9.33203125" style="201" hidden="1" customWidth="1" outlineLevel="1" collapsed="1"/>
    <col min="13" max="16" width="9.33203125" style="201" hidden="1" customWidth="1" outlineLevel="2"/>
    <col min="17" max="17" width="9.33203125" style="201" hidden="1" customWidth="1" outlineLevel="1"/>
    <col min="18" max="21" width="9.33203125" style="201" hidden="1" customWidth="1" outlineLevel="2"/>
    <col min="22" max="22" width="9.33203125" style="201" hidden="1" customWidth="1" outlineLevel="1"/>
    <col min="23" max="26" width="9.33203125" style="201" hidden="1" customWidth="1" outlineLevel="2"/>
    <col min="27" max="27" width="9.33203125" style="201" hidden="1" customWidth="1" outlineLevel="1"/>
    <col min="28" max="31" width="9.33203125" style="201" hidden="1" customWidth="1" outlineLevel="2"/>
    <col min="32" max="32" width="9.33203125" style="201" hidden="1" customWidth="1" outlineLevel="1"/>
    <col min="33" max="36" width="9.33203125" style="201" hidden="1" customWidth="1" outlineLevel="2"/>
    <col min="37" max="37" width="9.33203125" style="201" hidden="1" customWidth="1" outlineLevel="1"/>
    <col min="38" max="41" width="9.33203125" style="201" hidden="1" customWidth="1" outlineLevel="2"/>
    <col min="42" max="42" width="9.33203125" style="201" hidden="1" customWidth="1" outlineLevel="1"/>
    <col min="43" max="46" width="9.33203125" style="201" hidden="1" customWidth="1" outlineLevel="2"/>
    <col min="47" max="47" width="9.33203125" style="201" collapsed="1"/>
    <col min="48" max="51" width="9.33203125" style="201" hidden="1" customWidth="1" outlineLevel="1"/>
    <col min="52" max="52" width="9.33203125" style="201" collapsed="1"/>
    <col min="53" max="56" width="9.33203125" style="201" hidden="1" customWidth="1" outlineLevel="1"/>
    <col min="57" max="57" width="9.33203125" style="201" collapsed="1"/>
    <col min="58" max="61" width="9.33203125" style="201" hidden="1" customWidth="1" outlineLevel="1"/>
    <col min="62" max="62" width="9.33203125" style="317" collapsed="1"/>
    <col min="63" max="66" width="9.33203125" style="201" hidden="1" customWidth="1" outlineLevel="1"/>
    <col min="67" max="67" width="9.33203125" style="201" collapsed="1"/>
    <col min="68" max="71" width="9.33203125" style="201" hidden="1" customWidth="1" outlineLevel="1"/>
    <col min="72" max="72" width="9.33203125" style="201" collapsed="1"/>
    <col min="73" max="76" width="9.33203125" style="201" hidden="1" customWidth="1" outlineLevel="1"/>
    <col min="77" max="77" width="9.33203125" style="201" collapsed="1"/>
    <col min="78" max="81" width="9.33203125" style="201" hidden="1" customWidth="1" outlineLevel="1"/>
    <col min="82" max="82" width="9.33203125" style="201" customWidth="1" collapsed="1"/>
    <col min="83" max="86" width="9.33203125" style="201" hidden="1" customWidth="1" outlineLevel="1"/>
    <col min="87" max="87" width="9.33203125" style="201" customWidth="1" collapsed="1"/>
    <col min="88" max="91" width="9.33203125" style="201" customWidth="1" outlineLevel="1"/>
    <col min="92" max="92" width="9.33203125" style="201" customWidth="1"/>
    <col min="93" max="96" width="9.33203125" style="201" customWidth="1" outlineLevel="1"/>
    <col min="97" max="97" width="9.33203125" style="201" customWidth="1"/>
    <col min="98" max="101" width="9.33203125" style="201" hidden="1" customWidth="1" outlineLevel="1"/>
    <col min="102" max="102" width="9.33203125" style="201" customWidth="1" collapsed="1"/>
    <col min="103" max="106" width="9.33203125" style="201" hidden="1" customWidth="1" outlineLevel="1"/>
    <col min="107" max="107" width="9.33203125" style="201" customWidth="1" collapsed="1"/>
    <col min="108" max="108" width="1.83203125" style="379" customWidth="1"/>
    <col min="109" max="109" width="1.83203125" style="486" customWidth="1"/>
    <col min="110" max="113" width="9.33203125" style="379" hidden="1" customWidth="1" outlineLevel="1"/>
    <col min="114" max="114" width="2.83203125" style="434" customWidth="1" collapsed="1"/>
    <col min="115" max="115" width="2.83203125" style="394" customWidth="1"/>
    <col min="116" max="121" width="10.83203125" style="394" customWidth="1"/>
    <col min="122" max="122" width="1.83203125" style="513" customWidth="1"/>
    <col min="123" max="123" width="9.33203125" style="359"/>
    <col min="124" max="124" width="41.33203125" customWidth="1"/>
    <col min="130" max="131" width="9.33203125" style="15"/>
    <col min="144" max="16384" width="9.33203125" style="15"/>
  </cols>
  <sheetData>
    <row r="1" spans="1:131" x14ac:dyDescent="0.2">
      <c r="A1" s="901" t="s">
        <v>27</v>
      </c>
      <c r="B1" s="244" t="s">
        <v>254</v>
      </c>
      <c r="C1" s="243">
        <v>2000</v>
      </c>
      <c r="D1" s="243"/>
      <c r="E1" s="243"/>
      <c r="F1" s="243"/>
      <c r="G1" s="244" t="s">
        <v>254</v>
      </c>
      <c r="H1" s="243">
        <v>2001</v>
      </c>
      <c r="I1" s="243"/>
      <c r="J1" s="243"/>
      <c r="K1" s="243"/>
      <c r="L1" s="244" t="s">
        <v>254</v>
      </c>
      <c r="M1" s="243">
        <v>2002</v>
      </c>
      <c r="N1" s="243"/>
      <c r="O1" s="243"/>
      <c r="P1" s="243"/>
      <c r="Q1" s="244" t="s">
        <v>254</v>
      </c>
      <c r="R1" s="243">
        <v>2003</v>
      </c>
      <c r="S1" s="243"/>
      <c r="T1" s="243"/>
      <c r="U1" s="243"/>
      <c r="V1" s="244" t="s">
        <v>254</v>
      </c>
      <c r="W1" s="243">
        <v>2004</v>
      </c>
      <c r="X1" s="243"/>
      <c r="Y1" s="243"/>
      <c r="Z1" s="243"/>
      <c r="AA1" s="244" t="s">
        <v>254</v>
      </c>
      <c r="AB1" s="243">
        <v>2005</v>
      </c>
      <c r="AC1" s="243"/>
      <c r="AD1" s="243"/>
      <c r="AE1" s="243"/>
      <c r="AF1" s="244" t="s">
        <v>254</v>
      </c>
      <c r="AG1" s="243">
        <v>2006</v>
      </c>
      <c r="AH1" s="243"/>
      <c r="AI1" s="243"/>
      <c r="AJ1" s="243"/>
      <c r="AK1" s="244" t="s">
        <v>254</v>
      </c>
      <c r="AL1" s="243">
        <v>2007</v>
      </c>
      <c r="AM1" s="243"/>
      <c r="AN1" s="243"/>
      <c r="AO1" s="243"/>
      <c r="AP1" s="244" t="s">
        <v>254</v>
      </c>
      <c r="AQ1" s="243">
        <v>2008</v>
      </c>
      <c r="AR1" s="243"/>
      <c r="AS1" s="243"/>
      <c r="AT1" s="243"/>
      <c r="AU1" s="244" t="s">
        <v>254</v>
      </c>
      <c r="AV1" s="243">
        <v>2009</v>
      </c>
      <c r="AW1" s="243"/>
      <c r="AX1" s="243"/>
      <c r="AY1" s="243"/>
      <c r="AZ1" s="244" t="s">
        <v>254</v>
      </c>
      <c r="BA1" s="243">
        <v>2010</v>
      </c>
      <c r="BB1" s="243"/>
      <c r="BC1" s="243"/>
      <c r="BD1" s="243"/>
      <c r="BE1" s="244" t="s">
        <v>254</v>
      </c>
      <c r="BF1" s="243">
        <v>2011</v>
      </c>
      <c r="BG1" s="243"/>
      <c r="BH1" s="243"/>
      <c r="BI1" s="243"/>
      <c r="BJ1" s="244" t="s">
        <v>254</v>
      </c>
      <c r="BK1" s="243">
        <v>2012</v>
      </c>
      <c r="BL1" s="243"/>
      <c r="BM1" s="243"/>
      <c r="BN1" s="243"/>
      <c r="BO1" s="244" t="s">
        <v>254</v>
      </c>
      <c r="BP1" s="243">
        <v>2013</v>
      </c>
      <c r="BQ1" s="243"/>
      <c r="BR1" s="243"/>
      <c r="BS1" s="243"/>
      <c r="BT1" s="244" t="s">
        <v>254</v>
      </c>
      <c r="BU1" s="243">
        <v>2014</v>
      </c>
      <c r="BV1" s="243"/>
      <c r="BW1" s="243"/>
      <c r="BX1" s="243"/>
      <c r="BY1" s="244" t="s">
        <v>254</v>
      </c>
      <c r="BZ1" s="243">
        <v>2015</v>
      </c>
      <c r="CA1" s="243"/>
      <c r="CB1" s="243"/>
      <c r="CC1" s="243"/>
      <c r="CD1" s="244" t="s">
        <v>254</v>
      </c>
      <c r="CE1" s="243">
        <v>2016</v>
      </c>
      <c r="CF1" s="243"/>
      <c r="CG1" s="243"/>
      <c r="CH1" s="243"/>
      <c r="CI1" s="244" t="s">
        <v>254</v>
      </c>
      <c r="CJ1" s="243">
        <v>2017</v>
      </c>
      <c r="CK1" s="243"/>
      <c r="CL1" s="243"/>
      <c r="CM1" s="243"/>
      <c r="CN1" s="244" t="s">
        <v>254</v>
      </c>
      <c r="CO1" s="243">
        <v>2018</v>
      </c>
      <c r="CP1" s="243"/>
      <c r="CQ1" s="243"/>
      <c r="CR1" s="243"/>
      <c r="CS1" s="244" t="s">
        <v>254</v>
      </c>
      <c r="CT1" s="243"/>
      <c r="CU1" s="243"/>
      <c r="CV1" s="243"/>
      <c r="CW1" s="243"/>
      <c r="CX1" s="244" t="s">
        <v>254</v>
      </c>
      <c r="CY1" s="243"/>
      <c r="CZ1" s="243"/>
      <c r="DA1" s="243"/>
      <c r="DB1" s="243"/>
      <c r="DC1" s="244" t="s">
        <v>254</v>
      </c>
      <c r="DD1" s="360"/>
      <c r="DE1" s="360"/>
      <c r="DF1" s="360" t="s">
        <v>270</v>
      </c>
      <c r="DG1" s="360" t="s">
        <v>271</v>
      </c>
      <c r="DH1" s="360" t="s">
        <v>272</v>
      </c>
      <c r="DI1" s="360" t="s">
        <v>273</v>
      </c>
      <c r="DJ1" s="531" t="s">
        <v>321</v>
      </c>
      <c r="DK1" s="487"/>
      <c r="DL1" s="487"/>
      <c r="DM1" s="487"/>
      <c r="DN1" s="487"/>
      <c r="DO1" s="487"/>
      <c r="DP1" s="487"/>
      <c r="DQ1" s="487"/>
      <c r="DR1" s="487"/>
      <c r="DS1" s="150"/>
    </row>
    <row r="2" spans="1:131" x14ac:dyDescent="0.2">
      <c r="A2" s="902"/>
      <c r="B2" s="246" t="s">
        <v>33</v>
      </c>
      <c r="C2" s="245" t="s">
        <v>38</v>
      </c>
      <c r="D2" s="245" t="s">
        <v>39</v>
      </c>
      <c r="E2" s="245" t="s">
        <v>115</v>
      </c>
      <c r="F2" s="245" t="s">
        <v>116</v>
      </c>
      <c r="G2" s="246" t="s">
        <v>117</v>
      </c>
      <c r="H2" s="245" t="s">
        <v>38</v>
      </c>
      <c r="I2" s="245" t="s">
        <v>39</v>
      </c>
      <c r="J2" s="245" t="s">
        <v>115</v>
      </c>
      <c r="K2" s="245" t="s">
        <v>116</v>
      </c>
      <c r="L2" s="246" t="s">
        <v>8</v>
      </c>
      <c r="M2" s="245" t="s">
        <v>38</v>
      </c>
      <c r="N2" s="245" t="s">
        <v>39</v>
      </c>
      <c r="O2" s="245" t="s">
        <v>115</v>
      </c>
      <c r="P2" s="245" t="s">
        <v>116</v>
      </c>
      <c r="Q2" s="246" t="s">
        <v>9</v>
      </c>
      <c r="R2" s="245" t="s">
        <v>38</v>
      </c>
      <c r="S2" s="245" t="s">
        <v>39</v>
      </c>
      <c r="T2" s="245" t="s">
        <v>115</v>
      </c>
      <c r="U2" s="245" t="s">
        <v>116</v>
      </c>
      <c r="V2" s="246" t="s">
        <v>10</v>
      </c>
      <c r="W2" s="245" t="s">
        <v>38</v>
      </c>
      <c r="X2" s="245" t="s">
        <v>39</v>
      </c>
      <c r="Y2" s="245" t="s">
        <v>115</v>
      </c>
      <c r="Z2" s="245" t="s">
        <v>116</v>
      </c>
      <c r="AA2" s="246" t="s">
        <v>119</v>
      </c>
      <c r="AB2" s="245" t="s">
        <v>38</v>
      </c>
      <c r="AC2" s="245" t="s">
        <v>39</v>
      </c>
      <c r="AD2" s="245" t="s">
        <v>115</v>
      </c>
      <c r="AE2" s="245" t="s">
        <v>116</v>
      </c>
      <c r="AF2" s="246" t="s">
        <v>7</v>
      </c>
      <c r="AG2" s="245" t="s">
        <v>38</v>
      </c>
      <c r="AH2" s="245" t="s">
        <v>39</v>
      </c>
      <c r="AI2" s="245" t="s">
        <v>23</v>
      </c>
      <c r="AJ2" s="245" t="s">
        <v>116</v>
      </c>
      <c r="AK2" s="246" t="s">
        <v>229</v>
      </c>
      <c r="AL2" s="245" t="s">
        <v>38</v>
      </c>
      <c r="AM2" s="245" t="s">
        <v>39</v>
      </c>
      <c r="AN2" s="245" t="s">
        <v>115</v>
      </c>
      <c r="AO2" s="245" t="s">
        <v>116</v>
      </c>
      <c r="AP2" s="246" t="s">
        <v>276</v>
      </c>
      <c r="AQ2" s="245" t="s">
        <v>38</v>
      </c>
      <c r="AR2" s="245" t="s">
        <v>39</v>
      </c>
      <c r="AS2" s="245" t="s">
        <v>115</v>
      </c>
      <c r="AT2" s="245" t="s">
        <v>116</v>
      </c>
      <c r="AU2" s="246" t="s">
        <v>275</v>
      </c>
      <c r="AV2" s="245" t="s">
        <v>38</v>
      </c>
      <c r="AW2" s="245" t="s">
        <v>39</v>
      </c>
      <c r="AX2" s="245" t="s">
        <v>115</v>
      </c>
      <c r="AY2" s="245" t="s">
        <v>116</v>
      </c>
      <c r="AZ2" s="246" t="s">
        <v>315</v>
      </c>
      <c r="BA2" s="245" t="s">
        <v>38</v>
      </c>
      <c r="BB2" s="245" t="s">
        <v>39</v>
      </c>
      <c r="BC2" s="245" t="s">
        <v>115</v>
      </c>
      <c r="BD2" s="245" t="s">
        <v>116</v>
      </c>
      <c r="BE2" s="246" t="s">
        <v>227</v>
      </c>
      <c r="BF2" s="245" t="s">
        <v>38</v>
      </c>
      <c r="BG2" s="245" t="s">
        <v>39</v>
      </c>
      <c r="BH2" s="245" t="s">
        <v>115</v>
      </c>
      <c r="BI2" s="245" t="s">
        <v>116</v>
      </c>
      <c r="BJ2" s="246" t="s">
        <v>298</v>
      </c>
      <c r="BK2" s="245" t="s">
        <v>38</v>
      </c>
      <c r="BL2" s="245" t="s">
        <v>39</v>
      </c>
      <c r="BM2" s="245" t="s">
        <v>115</v>
      </c>
      <c r="BN2" s="245" t="s">
        <v>116</v>
      </c>
      <c r="BO2" s="246" t="s">
        <v>34</v>
      </c>
      <c r="BP2" s="245" t="s">
        <v>38</v>
      </c>
      <c r="BQ2" s="245" t="s">
        <v>39</v>
      </c>
      <c r="BR2" s="245" t="s">
        <v>115</v>
      </c>
      <c r="BS2" s="245" t="s">
        <v>116</v>
      </c>
      <c r="BT2" s="246" t="s">
        <v>286</v>
      </c>
      <c r="BU2" s="245" t="s">
        <v>38</v>
      </c>
      <c r="BV2" s="245" t="s">
        <v>39</v>
      </c>
      <c r="BW2" s="245" t="s">
        <v>115</v>
      </c>
      <c r="BX2" s="245" t="s">
        <v>116</v>
      </c>
      <c r="BY2" s="246" t="s">
        <v>345</v>
      </c>
      <c r="BZ2" s="245" t="s">
        <v>38</v>
      </c>
      <c r="CA2" s="245" t="s">
        <v>39</v>
      </c>
      <c r="CB2" s="245" t="s">
        <v>115</v>
      </c>
      <c r="CC2" s="245" t="s">
        <v>116</v>
      </c>
      <c r="CD2" s="246" t="s">
        <v>427</v>
      </c>
      <c r="CE2" s="245" t="s">
        <v>38</v>
      </c>
      <c r="CF2" s="245" t="s">
        <v>39</v>
      </c>
      <c r="CG2" s="245" t="s">
        <v>115</v>
      </c>
      <c r="CH2" s="245" t="s">
        <v>116</v>
      </c>
      <c r="CI2" s="819">
        <v>2016</v>
      </c>
      <c r="CJ2" s="245" t="s">
        <v>38</v>
      </c>
      <c r="CK2" s="245" t="s">
        <v>39</v>
      </c>
      <c r="CL2" s="245" t="s">
        <v>115</v>
      </c>
      <c r="CM2" s="245" t="s">
        <v>116</v>
      </c>
      <c r="CN2" s="819">
        <f>+CI2+1</f>
        <v>2017</v>
      </c>
      <c r="CO2" s="245" t="s">
        <v>486</v>
      </c>
      <c r="CP2" s="245" t="s">
        <v>487</v>
      </c>
      <c r="CQ2" s="245" t="s">
        <v>23</v>
      </c>
      <c r="CR2" s="245" t="s">
        <v>118</v>
      </c>
      <c r="CS2" s="246" t="s">
        <v>424</v>
      </c>
      <c r="CT2" s="245"/>
      <c r="CU2" s="245"/>
      <c r="CV2" s="245"/>
      <c r="CW2" s="245"/>
      <c r="CX2" s="246" t="s">
        <v>451</v>
      </c>
      <c r="CY2" s="245"/>
      <c r="CZ2" s="245"/>
      <c r="DA2" s="245"/>
      <c r="DB2" s="245"/>
      <c r="DC2" s="246" t="s">
        <v>480</v>
      </c>
      <c r="DD2" s="245"/>
      <c r="DE2" s="360"/>
      <c r="DF2" s="360" t="s">
        <v>274</v>
      </c>
      <c r="DG2" s="360" t="s">
        <v>274</v>
      </c>
      <c r="DH2" s="360" t="s">
        <v>274</v>
      </c>
      <c r="DI2" s="360" t="s">
        <v>274</v>
      </c>
      <c r="DJ2" s="488"/>
      <c r="DK2" s="487"/>
      <c r="DL2" s="487"/>
      <c r="DM2" s="487"/>
      <c r="DN2" s="487"/>
      <c r="DO2" s="487"/>
      <c r="DP2" s="487"/>
      <c r="DQ2" s="487"/>
      <c r="DR2" s="487"/>
      <c r="DS2" s="514"/>
    </row>
    <row r="3" spans="1:131" x14ac:dyDescent="0.2">
      <c r="A3" s="6" t="s">
        <v>123</v>
      </c>
      <c r="B3" s="247"/>
      <c r="C3" s="16"/>
      <c r="D3" s="16"/>
      <c r="E3" s="16"/>
      <c r="F3" s="16"/>
      <c r="G3" s="247"/>
      <c r="H3" s="16"/>
      <c r="I3" s="16"/>
      <c r="J3" s="16"/>
      <c r="K3" s="16"/>
      <c r="L3" s="247"/>
      <c r="M3" s="16"/>
      <c r="N3" s="16"/>
      <c r="O3" s="16"/>
      <c r="P3" s="16"/>
      <c r="Q3" s="247"/>
      <c r="R3" s="16"/>
      <c r="S3" s="16"/>
      <c r="T3" s="16"/>
      <c r="U3" s="16"/>
      <c r="V3" s="247"/>
      <c r="W3" s="16"/>
      <c r="X3" s="16"/>
      <c r="Y3" s="16"/>
      <c r="Z3" s="16"/>
      <c r="AA3" s="247"/>
      <c r="AB3" s="16"/>
      <c r="AC3" s="16"/>
      <c r="AD3" s="16"/>
      <c r="AE3" s="16"/>
      <c r="AF3" s="247"/>
      <c r="AG3" s="16"/>
      <c r="AH3" s="16"/>
      <c r="AI3" s="16"/>
      <c r="AJ3" s="16"/>
      <c r="AK3" s="247"/>
      <c r="AL3" s="16"/>
      <c r="AM3" s="16"/>
      <c r="AN3" s="16"/>
      <c r="AO3" s="16"/>
      <c r="AP3" s="247"/>
      <c r="AQ3" s="16"/>
      <c r="AR3" s="16"/>
      <c r="AS3" s="16"/>
      <c r="AT3" s="16"/>
      <c r="AU3" s="247"/>
      <c r="AV3" s="16"/>
      <c r="AW3" s="16"/>
      <c r="AX3" s="16"/>
      <c r="AY3" s="16"/>
      <c r="AZ3" s="247"/>
      <c r="BA3" s="16"/>
      <c r="BB3" s="16"/>
      <c r="BC3" s="16"/>
      <c r="BD3" s="16"/>
      <c r="BE3" s="247"/>
      <c r="BF3" s="16"/>
      <c r="BG3" s="16"/>
      <c r="BH3" s="16"/>
      <c r="BI3" s="16"/>
      <c r="BJ3" s="247"/>
      <c r="BK3" s="16"/>
      <c r="BL3" s="16"/>
      <c r="BM3" s="16"/>
      <c r="BN3" s="16"/>
      <c r="BO3" s="247"/>
      <c r="BP3" s="16"/>
      <c r="BQ3" s="16"/>
      <c r="BR3" s="16"/>
      <c r="BS3" s="16"/>
      <c r="BT3" s="247"/>
      <c r="BU3" s="16"/>
      <c r="BV3" s="16"/>
      <c r="BW3" s="16"/>
      <c r="BX3" s="16"/>
      <c r="BY3" s="247"/>
      <c r="BZ3" s="16"/>
      <c r="CA3" s="16"/>
      <c r="CB3" s="16"/>
      <c r="CC3" s="16"/>
      <c r="CD3" s="247"/>
      <c r="CE3" s="16"/>
      <c r="CF3" s="16"/>
      <c r="CG3" s="16"/>
      <c r="CH3" s="16"/>
      <c r="CI3" s="247"/>
      <c r="CJ3" s="16"/>
      <c r="CK3" s="16"/>
      <c r="CL3" s="16"/>
      <c r="CM3" s="16"/>
      <c r="CN3" s="247"/>
      <c r="CO3" s="16"/>
      <c r="CP3" s="16"/>
      <c r="CQ3" s="16"/>
      <c r="CR3" s="16"/>
      <c r="CS3" s="247"/>
      <c r="CT3" s="16"/>
      <c r="CU3" s="16"/>
      <c r="CV3" s="16"/>
      <c r="CW3" s="16"/>
      <c r="CX3" s="247"/>
      <c r="CY3" s="16"/>
      <c r="CZ3" s="16"/>
      <c r="DA3" s="16"/>
      <c r="DB3" s="16"/>
      <c r="DC3" s="247"/>
      <c r="DD3" s="451"/>
      <c r="DE3" s="451"/>
      <c r="DF3" s="384"/>
      <c r="DG3" s="384"/>
      <c r="DH3" s="384"/>
      <c r="DI3" s="384"/>
      <c r="DJ3" s="430"/>
      <c r="DK3" s="389"/>
      <c r="DL3" s="389"/>
      <c r="DM3" s="389"/>
      <c r="DN3" s="389"/>
      <c r="DO3" s="389"/>
      <c r="DP3" s="389"/>
      <c r="DQ3" s="389"/>
      <c r="DR3" s="487"/>
      <c r="DS3" s="515"/>
    </row>
    <row r="4" spans="1:131" x14ac:dyDescent="0.2">
      <c r="A4" s="17" t="s">
        <v>326</v>
      </c>
      <c r="B4" s="842"/>
      <c r="C4" s="18"/>
      <c r="D4" s="18"/>
      <c r="E4" s="18"/>
      <c r="F4" s="18"/>
      <c r="G4" s="842">
        <v>1004.496</v>
      </c>
      <c r="H4" s="820">
        <v>600.34299999999996</v>
      </c>
      <c r="I4" s="820">
        <v>766.35</v>
      </c>
      <c r="J4" s="820">
        <v>863.85500000000002</v>
      </c>
      <c r="K4" s="820">
        <v>1051.287</v>
      </c>
      <c r="L4" s="248">
        <f>SUM(H4:K4)</f>
        <v>3281.835</v>
      </c>
      <c r="M4" s="820">
        <v>1304.2750000000001</v>
      </c>
      <c r="N4" s="820">
        <v>1625.5360000000001</v>
      </c>
      <c r="O4" s="820">
        <v>1888.1510000000001</v>
      </c>
      <c r="P4" s="820">
        <v>2017.866</v>
      </c>
      <c r="Q4" s="248">
        <f>SUM(M4:P4)</f>
        <v>6835.8280000000004</v>
      </c>
      <c r="R4" s="820">
        <v>2374.846</v>
      </c>
      <c r="S4" s="820">
        <v>2795.0160000000001</v>
      </c>
      <c r="T4" s="820">
        <v>3248.9580000000001</v>
      </c>
      <c r="U4" s="820">
        <v>3108.125</v>
      </c>
      <c r="V4" s="248">
        <f>SUM(R4:U4)</f>
        <v>11526.945</v>
      </c>
      <c r="W4" s="820">
        <v>3372.2950000000001</v>
      </c>
      <c r="X4" s="820">
        <v>3935.3850000000002</v>
      </c>
      <c r="Y4" s="820">
        <v>4196.0060000000003</v>
      </c>
      <c r="Z4" s="820">
        <v>4226.616</v>
      </c>
      <c r="AA4" s="248">
        <f>SUM(W4:Z4)</f>
        <v>15730.302000000001</v>
      </c>
      <c r="AB4" s="820">
        <v>4434.5280000000002</v>
      </c>
      <c r="AC4" s="820">
        <v>5124.6890000000003</v>
      </c>
      <c r="AD4" s="820">
        <v>5483.8209999999999</v>
      </c>
      <c r="AE4" s="820">
        <v>5157.0190000000002</v>
      </c>
      <c r="AF4" s="248">
        <f>SUM(AB4:AE4)</f>
        <v>20200.057000000001</v>
      </c>
      <c r="AG4" s="820">
        <v>5536</v>
      </c>
      <c r="AH4" s="820">
        <v>5924</v>
      </c>
      <c r="AI4" s="820">
        <v>6062</v>
      </c>
      <c r="AJ4" s="820">
        <v>5798</v>
      </c>
      <c r="AK4" s="248">
        <f>SUM(AG4:AJ4)</f>
        <v>23320</v>
      </c>
      <c r="AL4" s="820">
        <v>5942</v>
      </c>
      <c r="AM4" s="820">
        <v>6736</v>
      </c>
      <c r="AN4" s="820">
        <v>6848</v>
      </c>
      <c r="AO4" s="820">
        <v>6211</v>
      </c>
      <c r="AP4" s="248">
        <f>SUM(AL4:AO4)</f>
        <v>25737</v>
      </c>
      <c r="AQ4" s="820">
        <v>6563</v>
      </c>
      <c r="AR4" s="820">
        <v>6756</v>
      </c>
      <c r="AS4" s="820">
        <v>6848</v>
      </c>
      <c r="AT4" s="820">
        <v>5904</v>
      </c>
      <c r="AU4" s="248">
        <f>SUM(AQ4:AT4)</f>
        <v>26071</v>
      </c>
      <c r="AV4" s="820">
        <v>6040</v>
      </c>
      <c r="AW4" s="820">
        <v>6545</v>
      </c>
      <c r="AX4" s="820">
        <v>7027</v>
      </c>
      <c r="AY4" s="820">
        <v>6342.9919999999993</v>
      </c>
      <c r="AZ4" s="248">
        <f>SUM(AV4:AY4)</f>
        <v>25954.991999999998</v>
      </c>
      <c r="BA4" s="820">
        <v>6469.9750000000004</v>
      </c>
      <c r="BB4" s="820">
        <v>7126.3210000000008</v>
      </c>
      <c r="BC4" s="820">
        <v>7699</v>
      </c>
      <c r="BD4" s="820">
        <v>6984.030999999999</v>
      </c>
      <c r="BE4" s="248">
        <f>SUM(BA4:BD4)</f>
        <v>28279.327000000001</v>
      </c>
      <c r="BF4" s="820">
        <v>6923.7</v>
      </c>
      <c r="BG4" s="820">
        <v>7692</v>
      </c>
      <c r="BH4" s="820">
        <v>8332</v>
      </c>
      <c r="BI4" s="820">
        <v>7750</v>
      </c>
      <c r="BJ4" s="248">
        <f>SUM(BF4:BI4)</f>
        <v>30697.7</v>
      </c>
      <c r="BK4" s="820">
        <v>7908</v>
      </c>
      <c r="BL4" s="820">
        <v>8497</v>
      </c>
      <c r="BM4" s="820">
        <v>9075</v>
      </c>
      <c r="BN4" s="820">
        <v>8083</v>
      </c>
      <c r="BO4" s="248">
        <f>SUM(BK4:BN4)</f>
        <v>33563</v>
      </c>
      <c r="BP4" s="820">
        <v>8506</v>
      </c>
      <c r="BQ4" s="820">
        <v>9115</v>
      </c>
      <c r="BR4" s="820">
        <v>9561</v>
      </c>
      <c r="BS4" s="820">
        <v>8654</v>
      </c>
      <c r="BT4" s="248">
        <f>SUM(BP4:BS4)</f>
        <v>35836</v>
      </c>
      <c r="BU4" s="820">
        <v>8662</v>
      </c>
      <c r="BV4" s="820">
        <v>9632</v>
      </c>
      <c r="BW4" s="820">
        <v>10127</v>
      </c>
      <c r="BX4" s="820">
        <v>9392</v>
      </c>
      <c r="BY4" s="248">
        <f>SUM(BU4:BX4)</f>
        <v>37813</v>
      </c>
      <c r="BZ4" s="820">
        <v>9622</v>
      </c>
      <c r="CA4" s="820">
        <v>10472</v>
      </c>
      <c r="CB4" s="820">
        <v>11063</v>
      </c>
      <c r="CC4" s="820">
        <v>10554</v>
      </c>
      <c r="CD4" s="248">
        <f>SUM(BZ4:CC4)</f>
        <v>41711</v>
      </c>
      <c r="CE4" s="820">
        <v>10976</v>
      </c>
      <c r="CF4" s="820">
        <v>11553</v>
      </c>
      <c r="CG4" s="820">
        <v>11905</v>
      </c>
      <c r="CH4" s="820">
        <v>11185</v>
      </c>
      <c r="CI4" s="248">
        <f>SUM(CE4:CH4)</f>
        <v>45619</v>
      </c>
      <c r="CJ4" s="820">
        <v>11399</v>
      </c>
      <c r="CK4" s="820">
        <v>12133</v>
      </c>
      <c r="CL4" s="820">
        <v>12180</v>
      </c>
      <c r="CM4" s="820">
        <v>11527</v>
      </c>
      <c r="CN4" s="248">
        <f>SUM(CJ4:CM4)</f>
        <v>47239</v>
      </c>
      <c r="CO4" s="18">
        <f t="shared" ref="CO4" si="0">CO6*CO9</f>
        <v>11775.166999999999</v>
      </c>
      <c r="CP4" s="18">
        <f t="shared" ref="CP4:CR4" si="1">CP6*CP9</f>
        <v>12982.31</v>
      </c>
      <c r="CQ4" s="18">
        <f t="shared" si="1"/>
        <v>13398</v>
      </c>
      <c r="CR4" s="18">
        <f t="shared" si="1"/>
        <v>12449.16</v>
      </c>
      <c r="CS4" s="248">
        <f>SUM(CO4:CR4)</f>
        <v>50604.637000000002</v>
      </c>
      <c r="CT4" s="18"/>
      <c r="CU4" s="18"/>
      <c r="CV4" s="18"/>
      <c r="CW4" s="18"/>
      <c r="CX4" s="248">
        <f>CX6*CX9</f>
        <v>54146.961590000006</v>
      </c>
      <c r="CY4" s="18"/>
      <c r="CZ4" s="18"/>
      <c r="DA4" s="18"/>
      <c r="DB4" s="18"/>
      <c r="DC4" s="248">
        <f>DC6*DC9</f>
        <v>57937.248901300009</v>
      </c>
      <c r="DD4" s="374"/>
      <c r="DE4" s="452"/>
      <c r="DJ4" s="431"/>
      <c r="DK4" s="390"/>
      <c r="DL4" s="768"/>
      <c r="DM4" s="769" t="s">
        <v>443</v>
      </c>
      <c r="DN4" s="769" t="s">
        <v>444</v>
      </c>
      <c r="DO4" s="769" t="s">
        <v>445</v>
      </c>
      <c r="DP4" s="390"/>
      <c r="DQ4" s="390"/>
      <c r="DR4" s="489"/>
      <c r="DS4" s="516"/>
    </row>
    <row r="5" spans="1:131" x14ac:dyDescent="0.2">
      <c r="A5" s="11" t="s">
        <v>131</v>
      </c>
      <c r="B5" s="249"/>
      <c r="C5" s="20"/>
      <c r="D5" s="20"/>
      <c r="E5" s="20"/>
      <c r="F5" s="20"/>
      <c r="G5" s="249"/>
      <c r="H5" s="3"/>
      <c r="I5" s="3"/>
      <c r="J5" s="3"/>
      <c r="K5" s="3"/>
      <c r="L5" s="249">
        <f t="shared" ref="L5:AW5" si="2">L4/G4-1</f>
        <v>2.267145911979739</v>
      </c>
      <c r="M5" s="3">
        <f t="shared" si="2"/>
        <v>1.1725496924258301</v>
      </c>
      <c r="N5" s="3">
        <f t="shared" si="2"/>
        <v>1.1211404710641353</v>
      </c>
      <c r="O5" s="3">
        <f t="shared" si="2"/>
        <v>1.1857267712752719</v>
      </c>
      <c r="P5" s="3">
        <f t="shared" si="2"/>
        <v>0.91942447685551132</v>
      </c>
      <c r="Q5" s="249">
        <f t="shared" si="2"/>
        <v>1.0829286054905261</v>
      </c>
      <c r="R5" s="3">
        <f t="shared" si="2"/>
        <v>0.82081692894519942</v>
      </c>
      <c r="S5" s="3">
        <f t="shared" si="2"/>
        <v>0.71944269459427534</v>
      </c>
      <c r="T5" s="3">
        <f t="shared" si="2"/>
        <v>0.72070877805853439</v>
      </c>
      <c r="U5" s="3">
        <f t="shared" si="2"/>
        <v>0.54030297353739054</v>
      </c>
      <c r="V5" s="249">
        <f t="shared" si="2"/>
        <v>0.68625439376180886</v>
      </c>
      <c r="W5" s="3">
        <f t="shared" si="2"/>
        <v>0.42000576037351478</v>
      </c>
      <c r="X5" s="3">
        <f t="shared" si="2"/>
        <v>0.4080008844314309</v>
      </c>
      <c r="Y5" s="3">
        <f t="shared" si="2"/>
        <v>0.2914928417049405</v>
      </c>
      <c r="Z5" s="3">
        <f t="shared" si="2"/>
        <v>0.3598603659762718</v>
      </c>
      <c r="AA5" s="249">
        <f t="shared" si="2"/>
        <v>0.36465490205774409</v>
      </c>
      <c r="AB5" s="3">
        <f t="shared" si="2"/>
        <v>0.31498816088153614</v>
      </c>
      <c r="AC5" s="3">
        <f t="shared" si="2"/>
        <v>0.30220778907273371</v>
      </c>
      <c r="AD5" s="3">
        <f t="shared" si="2"/>
        <v>0.30691448010322175</v>
      </c>
      <c r="AE5" s="3">
        <f t="shared" si="2"/>
        <v>0.22012953152119819</v>
      </c>
      <c r="AF5" s="249">
        <f t="shared" si="2"/>
        <v>0.28414934436732353</v>
      </c>
      <c r="AG5" s="3">
        <f t="shared" si="2"/>
        <v>0.24838539749889943</v>
      </c>
      <c r="AH5" s="3">
        <f t="shared" si="2"/>
        <v>0.15597258682429316</v>
      </c>
      <c r="AI5" s="3">
        <f t="shared" si="2"/>
        <v>0.10543360186264294</v>
      </c>
      <c r="AJ5" s="3">
        <f t="shared" si="2"/>
        <v>0.12429292969446104</v>
      </c>
      <c r="AK5" s="249">
        <f>AK4/AF4-1</f>
        <v>0.15445218793194493</v>
      </c>
      <c r="AL5" s="3">
        <f t="shared" si="2"/>
        <v>7.3338150289017356E-2</v>
      </c>
      <c r="AM5" s="3">
        <f t="shared" si="2"/>
        <v>0.13706954760297108</v>
      </c>
      <c r="AN5" s="3">
        <f t="shared" si="2"/>
        <v>0.12966017815902342</v>
      </c>
      <c r="AO5" s="3">
        <f t="shared" si="2"/>
        <v>7.1231459123835883E-2</v>
      </c>
      <c r="AP5" s="249">
        <f>AP4/AK4-1</f>
        <v>0.10364493996569468</v>
      </c>
      <c r="AQ5" s="3">
        <f t="shared" si="2"/>
        <v>0.10451026590373602</v>
      </c>
      <c r="AR5" s="3">
        <f t="shared" si="2"/>
        <v>2.9691211401425832E-3</v>
      </c>
      <c r="AS5" s="3">
        <f t="shared" si="2"/>
        <v>0</v>
      </c>
      <c r="AT5" s="3">
        <f t="shared" si="2"/>
        <v>-4.9428433424569262E-2</v>
      </c>
      <c r="AU5" s="249">
        <f t="shared" ref="AU5:BA5" si="3">AU4/AP4-1</f>
        <v>1.2977425496367045E-2</v>
      </c>
      <c r="AV5" s="3">
        <f t="shared" si="2"/>
        <v>-7.9689166539692269E-2</v>
      </c>
      <c r="AW5" s="3">
        <f t="shared" si="2"/>
        <v>-3.1231497927767915E-2</v>
      </c>
      <c r="AX5" s="3">
        <f t="shared" si="3"/>
        <v>2.6139018691588856E-2</v>
      </c>
      <c r="AY5" s="3">
        <f t="shared" si="3"/>
        <v>7.4355013550135407E-2</v>
      </c>
      <c r="AZ5" s="249">
        <f t="shared" si="3"/>
        <v>-4.4496950634805854E-3</v>
      </c>
      <c r="BA5" s="3">
        <f t="shared" si="3"/>
        <v>7.118791390728485E-2</v>
      </c>
      <c r="BB5" s="3">
        <f t="shared" ref="BB5:BW5" si="4">BB4/AW4-1</f>
        <v>8.8819098548510445E-2</v>
      </c>
      <c r="BC5" s="3">
        <f t="shared" si="4"/>
        <v>9.5631137042834879E-2</v>
      </c>
      <c r="BD5" s="3">
        <f t="shared" si="4"/>
        <v>0.10106255848974732</v>
      </c>
      <c r="BE5" s="249">
        <f t="shared" si="4"/>
        <v>8.9552522304765292E-2</v>
      </c>
      <c r="BF5" s="3">
        <f t="shared" si="4"/>
        <v>7.0127782564847641E-2</v>
      </c>
      <c r="BG5" s="3">
        <f t="shared" si="4"/>
        <v>7.9378826746647979E-2</v>
      </c>
      <c r="BH5" s="3">
        <f t="shared" si="4"/>
        <v>8.2218469931159888E-2</v>
      </c>
      <c r="BI5" s="3">
        <f t="shared" si="4"/>
        <v>0.10967434136532339</v>
      </c>
      <c r="BJ5" s="249">
        <f t="shared" si="4"/>
        <v>8.5517346293283447E-2</v>
      </c>
      <c r="BK5" s="3">
        <f t="shared" si="4"/>
        <v>0.14216387191819413</v>
      </c>
      <c r="BL5" s="3">
        <f t="shared" si="4"/>
        <v>0.10465418616744659</v>
      </c>
      <c r="BM5" s="3">
        <f t="shared" si="4"/>
        <v>8.9174267882861313E-2</v>
      </c>
      <c r="BN5" s="3">
        <f t="shared" si="4"/>
        <v>4.2967741935483916E-2</v>
      </c>
      <c r="BO5" s="249">
        <f t="shared" si="4"/>
        <v>9.3339240399117784E-2</v>
      </c>
      <c r="BP5" s="3">
        <f t="shared" si="4"/>
        <v>7.5619625695498183E-2</v>
      </c>
      <c r="BQ5" s="3">
        <f t="shared" si="4"/>
        <v>7.2731552312580883E-2</v>
      </c>
      <c r="BR5" s="3">
        <f t="shared" si="4"/>
        <v>5.3553719008264444E-2</v>
      </c>
      <c r="BS5" s="3">
        <f t="shared" si="4"/>
        <v>7.0642088333539466E-2</v>
      </c>
      <c r="BT5" s="249">
        <f>BT4/BO4-1</f>
        <v>6.7723385871346409E-2</v>
      </c>
      <c r="BU5" s="3">
        <f t="shared" si="4"/>
        <v>1.8339995297437017E-2</v>
      </c>
      <c r="BV5" s="3">
        <f t="shared" si="4"/>
        <v>5.6719692814042766E-2</v>
      </c>
      <c r="BW5" s="3">
        <f t="shared" si="4"/>
        <v>5.919882857441694E-2</v>
      </c>
      <c r="BX5" s="3">
        <f>BX4/BS4-1</f>
        <v>8.5278483938063365E-2</v>
      </c>
      <c r="BY5" s="249">
        <f>BY4/BT4-1</f>
        <v>5.5167987498604854E-2</v>
      </c>
      <c r="BZ5" s="3">
        <f>BZ4/BU4-1</f>
        <v>0.11082890787347033</v>
      </c>
      <c r="CA5" s="3">
        <f>CA4/BV4-1</f>
        <v>8.7209302325581328E-2</v>
      </c>
      <c r="CB5" s="3">
        <f>CB4/BW4-1</f>
        <v>9.2426187419768935E-2</v>
      </c>
      <c r="CC5" s="3">
        <f t="shared" ref="CC5:CD5" si="5">CC4/BX4-1</f>
        <v>0.12372231686541735</v>
      </c>
      <c r="CD5" s="249">
        <f t="shared" si="5"/>
        <v>0.1030862401819479</v>
      </c>
      <c r="CE5" s="3">
        <f>CE4/BZ4-1</f>
        <v>0.14071918520058202</v>
      </c>
      <c r="CF5" s="3">
        <f>CF4/CA4-1</f>
        <v>0.10322765469824291</v>
      </c>
      <c r="CG5" s="3">
        <f>CG4/CB4-1</f>
        <v>7.6109554370423993E-2</v>
      </c>
      <c r="CH5" s="3">
        <f t="shared" ref="CH5" si="6">CH4/CC4-1</f>
        <v>5.9787758195944729E-2</v>
      </c>
      <c r="CI5" s="249">
        <f t="shared" ref="CI5:CS5" si="7">CI4/CD4-1</f>
        <v>9.3692311380690896E-2</v>
      </c>
      <c r="CJ5" s="3">
        <f>CJ4/CE4-1</f>
        <v>3.8538629737609353E-2</v>
      </c>
      <c r="CK5" s="3">
        <f>CK4/CF4-1</f>
        <v>5.0203410369600965E-2</v>
      </c>
      <c r="CL5" s="3">
        <f>CL4/CG4-1</f>
        <v>2.3099538009239806E-2</v>
      </c>
      <c r="CM5" s="3">
        <f t="shared" ref="CM5" si="8">CM4/CH4-1</f>
        <v>3.0576665176575757E-2</v>
      </c>
      <c r="CN5" s="249">
        <f t="shared" ref="CN5" si="9">CN4/CI4-1</f>
        <v>3.5511519323089047E-2</v>
      </c>
      <c r="CO5" s="21">
        <f t="shared" si="7"/>
        <v>3.2999999999999918E-2</v>
      </c>
      <c r="CP5" s="21">
        <f t="shared" si="7"/>
        <v>7.0000000000000062E-2</v>
      </c>
      <c r="CQ5" s="21">
        <f t="shared" si="7"/>
        <v>0.10000000000000009</v>
      </c>
      <c r="CR5" s="21">
        <f t="shared" si="7"/>
        <v>8.0000000000000071E-2</v>
      </c>
      <c r="CS5" s="249">
        <f t="shared" si="7"/>
        <v>7.1246999301424641E-2</v>
      </c>
      <c r="CT5" s="3"/>
      <c r="CU5" s="3"/>
      <c r="CV5" s="21"/>
      <c r="CW5" s="21"/>
      <c r="CX5" s="249">
        <f>CX4/CS4-1</f>
        <v>7.0000000000000062E-2</v>
      </c>
      <c r="CY5" s="3"/>
      <c r="CZ5" s="3"/>
      <c r="DA5" s="21"/>
      <c r="DB5" s="21"/>
      <c r="DC5" s="249">
        <f>DC4/CX4-1</f>
        <v>7.0000000000000062E-2</v>
      </c>
      <c r="DD5" s="25"/>
      <c r="DE5" s="178"/>
      <c r="DJ5" s="430"/>
      <c r="DK5" s="389"/>
      <c r="DL5" s="770" t="s">
        <v>166</v>
      </c>
      <c r="DM5" s="771" t="s">
        <v>426</v>
      </c>
      <c r="DN5" s="772">
        <v>2018</v>
      </c>
      <c r="DO5" s="771" t="s">
        <v>446</v>
      </c>
      <c r="DP5" s="592"/>
      <c r="DQ5" s="592"/>
      <c r="DR5" s="487"/>
      <c r="DS5" s="19"/>
    </row>
    <row r="6" spans="1:131" x14ac:dyDescent="0.2">
      <c r="A6" s="23" t="s">
        <v>327</v>
      </c>
      <c r="B6" s="842"/>
      <c r="C6" s="18"/>
      <c r="D6" s="18"/>
      <c r="E6" s="18"/>
      <c r="F6" s="18"/>
      <c r="G6" s="842">
        <v>1371.836</v>
      </c>
      <c r="H6" s="821">
        <v>745.85199999999998</v>
      </c>
      <c r="I6" s="821">
        <v>960.74400000000003</v>
      </c>
      <c r="J6" s="821">
        <v>1131.0129999999999</v>
      </c>
      <c r="K6" s="821">
        <v>1370.6579999999999</v>
      </c>
      <c r="L6" s="248">
        <f>SUM(H6:K6)</f>
        <v>4208.2669999999998</v>
      </c>
      <c r="M6" s="821">
        <v>1614.67</v>
      </c>
      <c r="N6" s="821">
        <v>1932.1130000000001</v>
      </c>
      <c r="O6" s="821">
        <v>2227.2539999999999</v>
      </c>
      <c r="P6" s="821">
        <v>2465.9009999999998</v>
      </c>
      <c r="Q6" s="248">
        <f>SUM(M6:P6)</f>
        <v>8239.9380000000001</v>
      </c>
      <c r="R6" s="821">
        <v>2918.0709999999999</v>
      </c>
      <c r="S6" s="821">
        <v>3275.2190000000001</v>
      </c>
      <c r="T6" s="821">
        <v>3704.8409999999999</v>
      </c>
      <c r="U6" s="821">
        <v>3741.357</v>
      </c>
      <c r="V6" s="248">
        <f>SUM(R6:U6)</f>
        <v>13639.487999999999</v>
      </c>
      <c r="W6" s="821">
        <v>4218.5200000000004</v>
      </c>
      <c r="X6" s="821">
        <v>4656.7950000000001</v>
      </c>
      <c r="Y6" s="821">
        <v>4940.08</v>
      </c>
      <c r="Z6" s="821">
        <v>5095.6559999999999</v>
      </c>
      <c r="AA6" s="248">
        <f>SUM(W6:Z6)</f>
        <v>18911.050999999999</v>
      </c>
      <c r="AB6" s="821">
        <v>5168.6530000000002</v>
      </c>
      <c r="AC6" s="821">
        <v>5846.2</v>
      </c>
      <c r="AD6" s="821">
        <v>6331.8620000000001</v>
      </c>
      <c r="AE6" s="821">
        <v>6356.3789999999999</v>
      </c>
      <c r="AF6" s="248">
        <f>SUM(AB6:AE6)</f>
        <v>23703.094000000001</v>
      </c>
      <c r="AG6" s="821">
        <v>6577</v>
      </c>
      <c r="AH6" s="821">
        <v>7202</v>
      </c>
      <c r="AI6" s="821">
        <v>7537</v>
      </c>
      <c r="AJ6" s="821">
        <v>7278</v>
      </c>
      <c r="AK6" s="248">
        <f>SUM(AG6:AJ6)</f>
        <v>28594</v>
      </c>
      <c r="AL6" s="821">
        <v>7370</v>
      </c>
      <c r="AM6" s="821">
        <v>8066</v>
      </c>
      <c r="AN6" s="821">
        <v>8355</v>
      </c>
      <c r="AO6" s="821">
        <v>8113</v>
      </c>
      <c r="AP6" s="248">
        <f>SUM(AL6:AO6)</f>
        <v>31904</v>
      </c>
      <c r="AQ6" s="821">
        <v>8395</v>
      </c>
      <c r="AR6" s="821">
        <v>8383</v>
      </c>
      <c r="AS6" s="821">
        <v>8154</v>
      </c>
      <c r="AT6" s="821">
        <v>7510</v>
      </c>
      <c r="AU6" s="248">
        <f>SUM(AQ6:AT6)</f>
        <v>32442</v>
      </c>
      <c r="AV6" s="821">
        <v>7942.4</v>
      </c>
      <c r="AW6" s="821">
        <v>8237</v>
      </c>
      <c r="AX6" s="821">
        <v>8391</v>
      </c>
      <c r="AY6" s="821">
        <v>7988</v>
      </c>
      <c r="AZ6" s="248">
        <f>SUM(AV6:AY6)</f>
        <v>32558.400000000001</v>
      </c>
      <c r="BA6" s="821">
        <v>8423.6200000000008</v>
      </c>
      <c r="BB6" s="821">
        <v>8688.2280000000119</v>
      </c>
      <c r="BC6" s="821">
        <v>9102</v>
      </c>
      <c r="BD6" s="821">
        <v>8530.19</v>
      </c>
      <c r="BE6" s="248">
        <f>SUM(BA6:BD6)</f>
        <v>34744.038000000015</v>
      </c>
      <c r="BF6" s="821">
        <v>8510.8109999999997</v>
      </c>
      <c r="BG6" s="821">
        <v>9441</v>
      </c>
      <c r="BH6" s="821">
        <v>9855</v>
      </c>
      <c r="BI6" s="821">
        <v>9425</v>
      </c>
      <c r="BJ6" s="248">
        <f>SUM(BF6:BI6)</f>
        <v>37231.811000000002</v>
      </c>
      <c r="BK6" s="821">
        <v>9536</v>
      </c>
      <c r="BL6" s="821">
        <v>9961</v>
      </c>
      <c r="BM6" s="821">
        <v>10704</v>
      </c>
      <c r="BN6" s="821">
        <v>9874</v>
      </c>
      <c r="BO6" s="248">
        <f>SUM(BK6:BN6)</f>
        <v>40075</v>
      </c>
      <c r="BP6" s="821">
        <v>10140</v>
      </c>
      <c r="BQ6" s="821">
        <v>10741</v>
      </c>
      <c r="BR6" s="821">
        <v>11252</v>
      </c>
      <c r="BS6" s="821">
        <v>10691</v>
      </c>
      <c r="BT6" s="248">
        <f>SUM(BP6:BS6)</f>
        <v>42824</v>
      </c>
      <c r="BU6" s="821">
        <v>10419</v>
      </c>
      <c r="BV6" s="821">
        <v>11386</v>
      </c>
      <c r="BW6" s="821">
        <v>11752</v>
      </c>
      <c r="BX6" s="821">
        <v>11436</v>
      </c>
      <c r="BY6" s="248">
        <f>SUM(BU6:BX6)</f>
        <v>44993</v>
      </c>
      <c r="BZ6" s="821">
        <v>11419</v>
      </c>
      <c r="CA6" s="821">
        <v>12237</v>
      </c>
      <c r="CB6" s="821">
        <v>12976</v>
      </c>
      <c r="CC6" s="821">
        <v>12626</v>
      </c>
      <c r="CD6" s="248">
        <f>SUM(BZ6:CC6)</f>
        <v>49258</v>
      </c>
      <c r="CE6" s="821">
        <v>13029</v>
      </c>
      <c r="CF6" s="821">
        <v>13597</v>
      </c>
      <c r="CG6" s="821">
        <v>13796</v>
      </c>
      <c r="CH6" s="821">
        <v>13198</v>
      </c>
      <c r="CI6" s="248">
        <f>SUM(CE6:CH6)</f>
        <v>53620</v>
      </c>
      <c r="CJ6" s="821">
        <v>13580</v>
      </c>
      <c r="CK6" s="821">
        <v>14246</v>
      </c>
      <c r="CL6" s="821">
        <v>14306</v>
      </c>
      <c r="CM6" s="821">
        <v>13876</v>
      </c>
      <c r="CN6" s="248">
        <f>SUM(CJ6:CM6)</f>
        <v>56008</v>
      </c>
      <c r="CO6" s="24">
        <f t="shared" ref="CO6:CR6" si="10">CJ6*(1+CO7)</f>
        <v>14028.14</v>
      </c>
      <c r="CP6" s="24">
        <f t="shared" si="10"/>
        <v>15243.220000000001</v>
      </c>
      <c r="CQ6" s="24">
        <f t="shared" si="10"/>
        <v>15736.6</v>
      </c>
      <c r="CR6" s="24">
        <f t="shared" si="10"/>
        <v>14986.080000000002</v>
      </c>
      <c r="CS6" s="248">
        <f>SUM(CO6:CR6)</f>
        <v>59994.04</v>
      </c>
      <c r="CT6" s="24"/>
      <c r="CU6" s="24"/>
      <c r="CV6" s="24"/>
      <c r="CW6" s="24"/>
      <c r="CX6" s="248">
        <f>CS6*(1+CX7)</f>
        <v>64193.622800000005</v>
      </c>
      <c r="CY6" s="24"/>
      <c r="CZ6" s="24"/>
      <c r="DA6" s="24"/>
      <c r="DB6" s="24"/>
      <c r="DC6" s="248">
        <f>CX6*(1+DC7)</f>
        <v>68687.17639600001</v>
      </c>
      <c r="DD6" s="374"/>
      <c r="DE6" s="452"/>
      <c r="DJ6" s="430"/>
      <c r="DK6" s="430"/>
      <c r="DL6" s="773" t="s">
        <v>447</v>
      </c>
      <c r="DM6" s="774">
        <f>+AVERAGE(3.5%,5.5%)</f>
        <v>4.4999999999999998E-2</v>
      </c>
      <c r="DN6" s="774">
        <f>+AVERAGE(6.5%,8.5%)</f>
        <v>7.5000000000000011E-2</v>
      </c>
      <c r="DO6" s="774">
        <f>+AVERAGE(5%,9%)</f>
        <v>7.0000000000000007E-2</v>
      </c>
      <c r="DP6" s="592"/>
      <c r="DQ6" s="595"/>
      <c r="DR6" s="489"/>
      <c r="DS6" s="516"/>
    </row>
    <row r="7" spans="1:131" s="30" customFormat="1" x14ac:dyDescent="0.2">
      <c r="A7" s="544" t="s">
        <v>131</v>
      </c>
      <c r="B7" s="545"/>
      <c r="C7" s="546"/>
      <c r="D7" s="546"/>
      <c r="E7" s="546"/>
      <c r="F7" s="546"/>
      <c r="G7" s="545"/>
      <c r="H7" s="547"/>
      <c r="I7" s="547"/>
      <c r="J7" s="547"/>
      <c r="K7" s="547"/>
      <c r="L7" s="545">
        <f t="shared" ref="L7:BW7" si="11">L6/G6-1</f>
        <v>2.0676166830437457</v>
      </c>
      <c r="M7" s="547">
        <f t="shared" si="11"/>
        <v>1.1648664882577244</v>
      </c>
      <c r="N7" s="547">
        <f t="shared" si="11"/>
        <v>1.0110591375017695</v>
      </c>
      <c r="O7" s="547">
        <f t="shared" si="11"/>
        <v>0.9692558794638082</v>
      </c>
      <c r="P7" s="547">
        <f t="shared" si="11"/>
        <v>0.79906366139474616</v>
      </c>
      <c r="Q7" s="545">
        <f t="shared" si="11"/>
        <v>0.95803593260598729</v>
      </c>
      <c r="R7" s="547">
        <f t="shared" si="11"/>
        <v>0.80722438640712957</v>
      </c>
      <c r="S7" s="547">
        <f t="shared" si="11"/>
        <v>0.6951487827057734</v>
      </c>
      <c r="T7" s="547">
        <f t="shared" si="11"/>
        <v>0.66341198623955777</v>
      </c>
      <c r="U7" s="547">
        <f t="shared" si="11"/>
        <v>0.51723731001366247</v>
      </c>
      <c r="V7" s="545">
        <f t="shared" si="11"/>
        <v>0.65529012475579296</v>
      </c>
      <c r="W7" s="547">
        <f t="shared" si="11"/>
        <v>0.44565365270413237</v>
      </c>
      <c r="X7" s="547">
        <f t="shared" si="11"/>
        <v>0.42182705950350186</v>
      </c>
      <c r="Y7" s="547">
        <f t="shared" si="11"/>
        <v>0.33341214913136619</v>
      </c>
      <c r="Z7" s="547">
        <f t="shared" si="11"/>
        <v>0.36198069310146019</v>
      </c>
      <c r="AA7" s="545">
        <f>AA6/V6-1</f>
        <v>0.3864927334515782</v>
      </c>
      <c r="AB7" s="547">
        <f t="shared" si="11"/>
        <v>0.22522899026198751</v>
      </c>
      <c r="AC7" s="547">
        <f t="shared" si="11"/>
        <v>0.25541278926815547</v>
      </c>
      <c r="AD7" s="547">
        <f>AD6/Y6-1</f>
        <v>0.28173268449093936</v>
      </c>
      <c r="AE7" s="547">
        <f t="shared" si="11"/>
        <v>0.24741132446931258</v>
      </c>
      <c r="AF7" s="545">
        <f>AF6/AA6-1</f>
        <v>0.25339908395360999</v>
      </c>
      <c r="AG7" s="547">
        <f t="shared" si="11"/>
        <v>0.27247853551012224</v>
      </c>
      <c r="AH7" s="547">
        <f t="shared" si="11"/>
        <v>0.2319113270158395</v>
      </c>
      <c r="AI7" s="547">
        <f>AI6/AD6-1</f>
        <v>0.19032916383837795</v>
      </c>
      <c r="AJ7" s="547">
        <f t="shared" si="11"/>
        <v>0.14499151167669511</v>
      </c>
      <c r="AK7" s="545">
        <f>AK6/AF6-1</f>
        <v>0.20634040433708778</v>
      </c>
      <c r="AL7" s="547">
        <f t="shared" si="11"/>
        <v>0.12057168922000905</v>
      </c>
      <c r="AM7" s="547">
        <f t="shared" si="11"/>
        <v>0.11996667592335464</v>
      </c>
      <c r="AN7" s="547">
        <f t="shared" si="11"/>
        <v>0.10853124585378793</v>
      </c>
      <c r="AO7" s="547">
        <f t="shared" si="11"/>
        <v>0.11472932124209945</v>
      </c>
      <c r="AP7" s="545">
        <f>AP6/AK6-1</f>
        <v>0.11575855074491148</v>
      </c>
      <c r="AQ7" s="547">
        <f t="shared" si="11"/>
        <v>0.13907734056987797</v>
      </c>
      <c r="AR7" s="547">
        <f t="shared" si="11"/>
        <v>3.9300768658566909E-2</v>
      </c>
      <c r="AS7" s="547">
        <f t="shared" si="11"/>
        <v>-2.4057450628366284E-2</v>
      </c>
      <c r="AT7" s="547">
        <f t="shared" si="11"/>
        <v>-7.4325157155183064E-2</v>
      </c>
      <c r="AU7" s="545">
        <f>AU6/AP6-1</f>
        <v>1.6863089267803444E-2</v>
      </c>
      <c r="AV7" s="547">
        <f t="shared" si="11"/>
        <v>-5.3913043478260869E-2</v>
      </c>
      <c r="AW7" s="547">
        <f t="shared" si="11"/>
        <v>-1.7416199451270375E-2</v>
      </c>
      <c r="AX7" s="547">
        <f t="shared" si="11"/>
        <v>2.9065489330389882E-2</v>
      </c>
      <c r="AY7" s="547">
        <f t="shared" si="11"/>
        <v>6.3648468708388917E-2</v>
      </c>
      <c r="AZ7" s="545">
        <f>AZ6/AU6-1</f>
        <v>3.5879415572406259E-3</v>
      </c>
      <c r="BA7" s="547">
        <f t="shared" si="11"/>
        <v>6.058873892022576E-2</v>
      </c>
      <c r="BB7" s="547">
        <f t="shared" si="11"/>
        <v>5.4780624013598622E-2</v>
      </c>
      <c r="BC7" s="547">
        <f t="shared" si="11"/>
        <v>8.4733643189131236E-2</v>
      </c>
      <c r="BD7" s="547">
        <f t="shared" si="11"/>
        <v>6.7875563345017653E-2</v>
      </c>
      <c r="BE7" s="545">
        <f>BE6/AZ6-1</f>
        <v>6.7129772961816769E-2</v>
      </c>
      <c r="BF7" s="547">
        <f t="shared" si="11"/>
        <v>1.0350775557301795E-2</v>
      </c>
      <c r="BG7" s="547">
        <f t="shared" si="11"/>
        <v>8.6642753850380894E-2</v>
      </c>
      <c r="BH7" s="547">
        <f t="shared" si="11"/>
        <v>8.2729070533948512E-2</v>
      </c>
      <c r="BI7" s="547">
        <f t="shared" si="11"/>
        <v>0.10489918747413585</v>
      </c>
      <c r="BJ7" s="545">
        <f>BJ6/BE6-1</f>
        <v>7.1602874714792319E-2</v>
      </c>
      <c r="BK7" s="547">
        <f t="shared" si="11"/>
        <v>0.12045726312098815</v>
      </c>
      <c r="BL7" s="547">
        <f t="shared" si="11"/>
        <v>5.507891113229535E-2</v>
      </c>
      <c r="BM7" s="547">
        <f t="shared" si="11"/>
        <v>8.6149162861491657E-2</v>
      </c>
      <c r="BN7" s="547">
        <f t="shared" si="11"/>
        <v>4.7639257294429749E-2</v>
      </c>
      <c r="BO7" s="545">
        <f>BO6/BJ6-1</f>
        <v>7.6364509907938638E-2</v>
      </c>
      <c r="BP7" s="547">
        <f t="shared" si="11"/>
        <v>6.3338926174496546E-2</v>
      </c>
      <c r="BQ7" s="547">
        <f t="shared" si="11"/>
        <v>7.8305391024997562E-2</v>
      </c>
      <c r="BR7" s="547">
        <f t="shared" si="11"/>
        <v>5.1195814648729465E-2</v>
      </c>
      <c r="BS7" s="547">
        <f t="shared" si="11"/>
        <v>8.2742556208223572E-2</v>
      </c>
      <c r="BT7" s="545">
        <f>BT6/BO6-1</f>
        <v>6.8596381784154614E-2</v>
      </c>
      <c r="BU7" s="547">
        <f t="shared" si="11"/>
        <v>2.7514792899408391E-2</v>
      </c>
      <c r="BV7" s="547">
        <f t="shared" si="11"/>
        <v>6.0050274648542956E-2</v>
      </c>
      <c r="BW7" s="547">
        <f t="shared" si="11"/>
        <v>4.4436544614290696E-2</v>
      </c>
      <c r="BX7" s="547">
        <f t="shared" ref="BX7:CG7" si="12">BX6/BS6-1</f>
        <v>6.9684781591993206E-2</v>
      </c>
      <c r="BY7" s="545">
        <f t="shared" si="12"/>
        <v>5.0649168690453994E-2</v>
      </c>
      <c r="BZ7" s="547">
        <f t="shared" si="12"/>
        <v>9.5978500815817158E-2</v>
      </c>
      <c r="CA7" s="547">
        <f t="shared" si="12"/>
        <v>7.4740909889337681E-2</v>
      </c>
      <c r="CB7" s="547">
        <f t="shared" si="12"/>
        <v>0.10415248468345806</v>
      </c>
      <c r="CC7" s="547">
        <f t="shared" si="12"/>
        <v>0.10405736271423582</v>
      </c>
      <c r="CD7" s="545">
        <f t="shared" si="12"/>
        <v>9.479252328139931E-2</v>
      </c>
      <c r="CE7" s="547">
        <f t="shared" si="12"/>
        <v>0.14099308170592861</v>
      </c>
      <c r="CF7" s="547">
        <f t="shared" si="12"/>
        <v>0.11113835090299906</v>
      </c>
      <c r="CG7" s="547">
        <f t="shared" si="12"/>
        <v>6.3193588162762104E-2</v>
      </c>
      <c r="CH7" s="547">
        <f t="shared" ref="CH7" si="13">CH6/CC6-1</f>
        <v>4.5303342309519934E-2</v>
      </c>
      <c r="CI7" s="545">
        <f t="shared" ref="CI7:CL7" si="14">CI6/CD6-1</f>
        <v>8.8554143489382398E-2</v>
      </c>
      <c r="CJ7" s="547">
        <f t="shared" si="14"/>
        <v>4.2290275539181854E-2</v>
      </c>
      <c r="CK7" s="547">
        <f t="shared" si="14"/>
        <v>4.7731117158196668E-2</v>
      </c>
      <c r="CL7" s="547">
        <f t="shared" si="14"/>
        <v>3.6967236880255161E-2</v>
      </c>
      <c r="CM7" s="547">
        <f t="shared" ref="CM7" si="15">CM6/CH6-1</f>
        <v>5.1371419912107807E-2</v>
      </c>
      <c r="CN7" s="545">
        <f t="shared" ref="CN7" si="16">CN6/CI6-1</f>
        <v>4.4535621036926543E-2</v>
      </c>
      <c r="CO7" s="548">
        <v>3.3000000000000002E-2</v>
      </c>
      <c r="CP7" s="548">
        <v>7.0000000000000007E-2</v>
      </c>
      <c r="CQ7" s="548">
        <v>0.1</v>
      </c>
      <c r="CR7" s="548">
        <v>0.08</v>
      </c>
      <c r="CS7" s="545">
        <f>CS6/CN6-1</f>
        <v>7.1169118697328893E-2</v>
      </c>
      <c r="CT7" s="547"/>
      <c r="CU7" s="547"/>
      <c r="CV7" s="548"/>
      <c r="CW7" s="548"/>
      <c r="CX7" s="549">
        <v>7.0000000000000007E-2</v>
      </c>
      <c r="CY7" s="547"/>
      <c r="CZ7" s="547"/>
      <c r="DA7" s="548"/>
      <c r="DB7" s="548"/>
      <c r="DC7" s="549">
        <v>7.0000000000000007E-2</v>
      </c>
      <c r="DD7" s="25"/>
      <c r="DE7" s="178"/>
      <c r="DF7" s="379"/>
      <c r="DG7" s="379"/>
      <c r="DH7" s="379"/>
      <c r="DI7" s="379"/>
      <c r="DJ7" s="389" t="s">
        <v>506</v>
      </c>
      <c r="DK7" s="430"/>
      <c r="DL7" s="389"/>
      <c r="DM7" s="389"/>
      <c r="DN7" s="592"/>
      <c r="DO7" s="593"/>
      <c r="DP7" s="592"/>
      <c r="DQ7" s="595"/>
      <c r="DR7" s="487"/>
      <c r="DS7" s="517"/>
      <c r="DT7"/>
      <c r="DU7"/>
      <c r="DV7"/>
      <c r="DW7"/>
      <c r="DX7"/>
      <c r="DY7"/>
      <c r="DZ7" s="29"/>
      <c r="EA7" s="29"/>
    </row>
    <row r="8" spans="1:131" x14ac:dyDescent="0.2">
      <c r="A8" s="565" t="s">
        <v>134</v>
      </c>
      <c r="B8" s="262"/>
      <c r="C8" s="41"/>
      <c r="D8" s="41"/>
      <c r="E8" s="41"/>
      <c r="F8" s="41"/>
      <c r="G8" s="262"/>
      <c r="H8" s="5"/>
      <c r="I8" s="5">
        <f>I6/H6-1</f>
        <v>0.28811614100384531</v>
      </c>
      <c r="J8" s="5">
        <f>J6/I6-1</f>
        <v>0.17722619136835616</v>
      </c>
      <c r="K8" s="5">
        <f>K6/J6-1</f>
        <v>0.21188527452823269</v>
      </c>
      <c r="L8" s="262"/>
      <c r="M8" s="5">
        <f>M6/K6-1</f>
        <v>0.17802544471341508</v>
      </c>
      <c r="N8" s="5">
        <f>N6/M6-1</f>
        <v>0.1965993051211703</v>
      </c>
      <c r="O8" s="5">
        <f>O6/N6-1</f>
        <v>0.15275555829291543</v>
      </c>
      <c r="P8" s="5">
        <f>P6/O6-1</f>
        <v>0.1071485335754252</v>
      </c>
      <c r="Q8" s="262"/>
      <c r="R8" s="5">
        <f>R6/P6-1</f>
        <v>0.18336908091606285</v>
      </c>
      <c r="S8" s="5">
        <f>S6/R6-1</f>
        <v>0.1223918129476631</v>
      </c>
      <c r="T8" s="5">
        <f>T6/S6-1</f>
        <v>0.13117351847311576</v>
      </c>
      <c r="U8" s="5">
        <f>U6/T6-1</f>
        <v>9.8562934279771142E-3</v>
      </c>
      <c r="V8" s="262"/>
      <c r="W8" s="5">
        <f>W6/U6-1</f>
        <v>0.1275374149005295</v>
      </c>
      <c r="X8" s="5">
        <f>X6/W6-1</f>
        <v>0.10389307150375005</v>
      </c>
      <c r="Y8" s="5">
        <f>Y6/X6-1</f>
        <v>6.0832611270197567E-2</v>
      </c>
      <c r="Z8" s="5">
        <f>Z6/Y6-1</f>
        <v>3.1492607407167528E-2</v>
      </c>
      <c r="AA8" s="262"/>
      <c r="AB8" s="5">
        <f>AB6/Z6-1</f>
        <v>1.4325339073124388E-2</v>
      </c>
      <c r="AC8" s="5">
        <f>AC6/AB6-1</f>
        <v>0.13108773214220415</v>
      </c>
      <c r="AD8" s="5">
        <f>AD6/AC6-1</f>
        <v>8.3073107317573891E-2</v>
      </c>
      <c r="AE8" s="5">
        <f>AE6/AD6-1</f>
        <v>3.8720047910076882E-3</v>
      </c>
      <c r="AF8" s="262"/>
      <c r="AG8" s="5">
        <f>AG6/AE6-1</f>
        <v>3.4708597457766555E-2</v>
      </c>
      <c r="AH8" s="5">
        <f>AH6/AG6-1</f>
        <v>9.5028128325984396E-2</v>
      </c>
      <c r="AI8" s="5">
        <f>AI6/AH6-1</f>
        <v>4.6514856984171127E-2</v>
      </c>
      <c r="AJ8" s="5">
        <f>AJ6/AI6-1</f>
        <v>-3.436380522754412E-2</v>
      </c>
      <c r="AK8" s="262"/>
      <c r="AL8" s="5">
        <f>AL6/AJ6-1</f>
        <v>1.2640835394339023E-2</v>
      </c>
      <c r="AM8" s="5">
        <f>AM6/AL6-1</f>
        <v>9.443690637720481E-2</v>
      </c>
      <c r="AN8" s="5">
        <f>AN6/AM6-1</f>
        <v>3.5829407389040391E-2</v>
      </c>
      <c r="AO8" s="5">
        <f>AO6/AN6-1</f>
        <v>-2.8964691801316556E-2</v>
      </c>
      <c r="AP8" s="262"/>
      <c r="AQ8" s="5">
        <f>AQ6/AO6-1</f>
        <v>3.4759028719339335E-2</v>
      </c>
      <c r="AR8" s="5">
        <f>AR6/AQ6-1</f>
        <v>-1.4294222751637387E-3</v>
      </c>
      <c r="AS8" s="5">
        <f>AS6/AR6-1</f>
        <v>-2.7317189550280285E-2</v>
      </c>
      <c r="AT8" s="5">
        <f>AT6/AS6-1</f>
        <v>-7.8979641893549224E-2</v>
      </c>
      <c r="AU8" s="262"/>
      <c r="AV8" s="5">
        <f>AV6/AT6-1</f>
        <v>5.7576564580559264E-2</v>
      </c>
      <c r="AW8" s="5">
        <f>AW6/AV6-1</f>
        <v>3.709206285253841E-2</v>
      </c>
      <c r="AX8" s="5">
        <f>AX6/AW6-1</f>
        <v>1.8696127230787951E-2</v>
      </c>
      <c r="AY8" s="5">
        <f>AY6/AX6-1</f>
        <v>-4.8027648671195355E-2</v>
      </c>
      <c r="AZ8" s="262"/>
      <c r="BA8" s="5">
        <f>BA6/AY6-1</f>
        <v>5.4534301452178413E-2</v>
      </c>
      <c r="BB8" s="5">
        <f>BB6/BA6-1</f>
        <v>3.1412623076540802E-2</v>
      </c>
      <c r="BC8" s="5">
        <f>BC6/BB6-1</f>
        <v>4.7624440795060563E-2</v>
      </c>
      <c r="BD8" s="5">
        <f>BD6/BC6-1</f>
        <v>-6.2822456602944388E-2</v>
      </c>
      <c r="BE8" s="262"/>
      <c r="BF8" s="5">
        <f>BF6/BD6-1</f>
        <v>-2.2718134062665873E-3</v>
      </c>
      <c r="BG8" s="5">
        <f>BG6/BF6-1</f>
        <v>0.10929498963142303</v>
      </c>
      <c r="BH8" s="5">
        <f>BH6/BG6-1</f>
        <v>4.385128693994278E-2</v>
      </c>
      <c r="BI8" s="5">
        <f>BI6/BH6-1</f>
        <v>-4.3632673769660069E-2</v>
      </c>
      <c r="BJ8" s="262"/>
      <c r="BK8" s="5">
        <f>BK6/BI6-1</f>
        <v>1.1777188328912391E-2</v>
      </c>
      <c r="BL8" s="5">
        <f>BL6/BK6-1</f>
        <v>4.4567953020134166E-2</v>
      </c>
      <c r="BM8" s="5">
        <f>BM6/BL6-1</f>
        <v>7.459090452765782E-2</v>
      </c>
      <c r="BN8" s="5">
        <f>BN6/BM6-1</f>
        <v>-7.754110612855003E-2</v>
      </c>
      <c r="BO8" s="262"/>
      <c r="BP8" s="5">
        <f>BP6/BN6-1</f>
        <v>2.6939436905003111E-2</v>
      </c>
      <c r="BQ8" s="5">
        <f>BQ6/BP6-1</f>
        <v>5.9270216962524547E-2</v>
      </c>
      <c r="BR8" s="5">
        <f>BR6/BQ6-1</f>
        <v>4.7574713713806949E-2</v>
      </c>
      <c r="BS8" s="5">
        <f>BS6/BR6-1</f>
        <v>-4.9857803057234307E-2</v>
      </c>
      <c r="BT8" s="262"/>
      <c r="BU8" s="5">
        <f>BU6/BS6-1</f>
        <v>-2.5441960527546548E-2</v>
      </c>
      <c r="BV8" s="5">
        <f>BV6/BU6-1</f>
        <v>9.2811210288895385E-2</v>
      </c>
      <c r="BW8" s="5">
        <f>BW6/BV6-1</f>
        <v>3.2144739153346258E-2</v>
      </c>
      <c r="BX8" s="5">
        <f>BX6/BW6-1</f>
        <v>-2.6889040163376454E-2</v>
      </c>
      <c r="BY8" s="262"/>
      <c r="BZ8" s="5">
        <f>BZ6/BX6-1</f>
        <v>-1.4865337530605149E-3</v>
      </c>
      <c r="CA8" s="5">
        <f>CA6/BZ6-1</f>
        <v>7.1634994307732791E-2</v>
      </c>
      <c r="CB8" s="5">
        <f>CB6/CA6-1</f>
        <v>6.0390618615673741E-2</v>
      </c>
      <c r="CC8" s="5">
        <f>CC6/CB6-1</f>
        <v>-2.6972872996300912E-2</v>
      </c>
      <c r="CD8" s="262"/>
      <c r="CE8" s="5">
        <f>CE6/CC6-1</f>
        <v>3.1918263899889165E-2</v>
      </c>
      <c r="CF8" s="5">
        <f>CF6/CE6-1</f>
        <v>4.3595057180136676E-2</v>
      </c>
      <c r="CG8" s="5">
        <f>CG6/CF6-1</f>
        <v>1.4635581378245277E-2</v>
      </c>
      <c r="CH8" s="5">
        <f>CH6/CG6-1</f>
        <v>-4.3345897361554031E-2</v>
      </c>
      <c r="CI8" s="262"/>
      <c r="CJ8" s="5">
        <f>CJ6/CH6-1</f>
        <v>2.8943779360509181E-2</v>
      </c>
      <c r="CK8" s="5">
        <f>CK6/CJ6-1</f>
        <v>4.9042709867452183E-2</v>
      </c>
      <c r="CL8" s="5">
        <f>CL6/CK6-1</f>
        <v>4.2117085497683782E-3</v>
      </c>
      <c r="CM8" s="5">
        <f>CM6/CL6-1</f>
        <v>-3.005731860757721E-2</v>
      </c>
      <c r="CN8" s="262"/>
      <c r="CO8" s="5">
        <f>CO6/CM6-1</f>
        <v>1.0964254828480735E-2</v>
      </c>
      <c r="CP8" s="5">
        <f t="shared" ref="CP8:CR8" si="17">CP6/CO6-1</f>
        <v>8.6617327742665839E-2</v>
      </c>
      <c r="CQ8" s="5">
        <f t="shared" si="17"/>
        <v>3.2367177013780557E-2</v>
      </c>
      <c r="CR8" s="5">
        <f t="shared" si="17"/>
        <v>-4.7692640087439342E-2</v>
      </c>
      <c r="CS8" s="262"/>
      <c r="CT8" s="5"/>
      <c r="CU8" s="5"/>
      <c r="CV8" s="5"/>
      <c r="CW8" s="5"/>
      <c r="CX8" s="262"/>
      <c r="CY8" s="5"/>
      <c r="CZ8" s="5"/>
      <c r="DA8" s="5"/>
      <c r="DB8" s="5"/>
      <c r="DC8" s="262"/>
      <c r="DD8" s="25"/>
      <c r="DE8" s="178"/>
      <c r="DF8" s="361">
        <f>AVERAGE(AQ8,BA8,BF8,AL8,BK8,BP8,BU8)</f>
        <v>1.6133859552279878E-2</v>
      </c>
      <c r="DG8" s="361">
        <f t="shared" ref="DG8" si="18">AVERAGE(AR8,BB8,BG8,AM8,BL8,BQ8,BV8)</f>
        <v>6.1480639583079859E-2</v>
      </c>
      <c r="DH8" s="361">
        <f t="shared" ref="DH8" si="19">AVERAGE(AS8,BC8,BH8,AN8,BM8,BR8,BW8)</f>
        <v>3.6328328995510639E-2</v>
      </c>
      <c r="DI8" s="361">
        <f t="shared" ref="DI8" si="20">AVERAGE(AT8,BD8,BI8,AO8,BN8,BS8,BX8)</f>
        <v>-5.2669630488090147E-2</v>
      </c>
      <c r="DJ8" s="430"/>
      <c r="DK8" s="430"/>
      <c r="DL8" s="592"/>
      <c r="DM8" s="592"/>
      <c r="DN8" s="594"/>
      <c r="DO8" s="593"/>
      <c r="DP8" s="594"/>
      <c r="DQ8" s="595"/>
      <c r="DR8" s="487"/>
      <c r="DS8" s="25"/>
    </row>
    <row r="9" spans="1:131" x14ac:dyDescent="0.2">
      <c r="A9" s="212" t="s">
        <v>328</v>
      </c>
      <c r="B9" s="249"/>
      <c r="C9" s="20"/>
      <c r="D9" s="20"/>
      <c r="E9" s="20"/>
      <c r="F9" s="20"/>
      <c r="G9" s="249">
        <f t="shared" ref="G9:AL9" si="21">G4/G6</f>
        <v>0.73222746742321965</v>
      </c>
      <c r="H9" s="3">
        <f t="shared" si="21"/>
        <v>0.80490901680226101</v>
      </c>
      <c r="I9" s="3">
        <f t="shared" si="21"/>
        <v>0.79766306112762608</v>
      </c>
      <c r="J9" s="3">
        <f t="shared" si="21"/>
        <v>0.76378874513378725</v>
      </c>
      <c r="K9" s="3">
        <f t="shared" si="21"/>
        <v>0.76699439247427159</v>
      </c>
      <c r="L9" s="249">
        <f t="shared" si="21"/>
        <v>0.77985427255447437</v>
      </c>
      <c r="M9" s="3">
        <f t="shared" si="21"/>
        <v>0.8077656734812686</v>
      </c>
      <c r="N9" s="3">
        <f t="shared" si="21"/>
        <v>0.84132553323744519</v>
      </c>
      <c r="O9" s="3">
        <f t="shared" si="21"/>
        <v>0.84774839331302143</v>
      </c>
      <c r="P9" s="3">
        <f t="shared" si="21"/>
        <v>0.81830779094537864</v>
      </c>
      <c r="Q9" s="249">
        <f t="shared" si="21"/>
        <v>0.82959701881252024</v>
      </c>
      <c r="R9" s="3">
        <f t="shared" si="21"/>
        <v>0.81384106144093138</v>
      </c>
      <c r="S9" s="3">
        <f t="shared" si="21"/>
        <v>0.85338293408776633</v>
      </c>
      <c r="T9" s="3">
        <f t="shared" si="21"/>
        <v>0.87694937515537108</v>
      </c>
      <c r="U9" s="3">
        <f t="shared" si="21"/>
        <v>0.83074804141919634</v>
      </c>
      <c r="V9" s="249">
        <f t="shared" si="21"/>
        <v>0.8451156670983544</v>
      </c>
      <c r="W9" s="3">
        <f t="shared" si="21"/>
        <v>0.79940239704920202</v>
      </c>
      <c r="X9" s="3">
        <f t="shared" si="21"/>
        <v>0.84508444112313297</v>
      </c>
      <c r="Y9" s="3">
        <f t="shared" si="21"/>
        <v>0.84938017198102067</v>
      </c>
      <c r="Z9" s="3">
        <f t="shared" si="21"/>
        <v>0.8294547355629972</v>
      </c>
      <c r="AA9" s="249">
        <f t="shared" si="21"/>
        <v>0.83180474739346866</v>
      </c>
      <c r="AB9" s="3">
        <f t="shared" si="21"/>
        <v>0.85796589556311864</v>
      </c>
      <c r="AC9" s="3">
        <f t="shared" si="21"/>
        <v>0.87658461906879692</v>
      </c>
      <c r="AD9" s="3">
        <f t="shared" si="21"/>
        <v>0.86606767487983782</v>
      </c>
      <c r="AE9" s="3">
        <f t="shared" si="21"/>
        <v>0.81131395720739752</v>
      </c>
      <c r="AF9" s="249">
        <f t="shared" si="21"/>
        <v>0.85221182517354066</v>
      </c>
      <c r="AG9" s="3">
        <f t="shared" si="21"/>
        <v>0.84172114946024024</v>
      </c>
      <c r="AH9" s="3">
        <f t="shared" si="21"/>
        <v>0.82254929186337133</v>
      </c>
      <c r="AI9" s="3">
        <f t="shared" si="21"/>
        <v>0.80429879262305959</v>
      </c>
      <c r="AJ9" s="3">
        <f t="shared" si="21"/>
        <v>0.79664743061280574</v>
      </c>
      <c r="AK9" s="249">
        <f t="shared" si="21"/>
        <v>0.81555571098831925</v>
      </c>
      <c r="AL9" s="3">
        <f t="shared" si="21"/>
        <v>0.80624151967435553</v>
      </c>
      <c r="AM9" s="3">
        <f t="shared" ref="AM9:BG9" si="22">AM4/AM6</f>
        <v>0.83511033969749571</v>
      </c>
      <c r="AN9" s="3">
        <f t="shared" si="22"/>
        <v>0.81962896469180135</v>
      </c>
      <c r="AO9" s="3">
        <f t="shared" si="22"/>
        <v>0.76556144459509434</v>
      </c>
      <c r="AP9" s="249">
        <f t="shared" si="22"/>
        <v>0.80670135406218657</v>
      </c>
      <c r="AQ9" s="3">
        <f t="shared" si="22"/>
        <v>0.78177486599166168</v>
      </c>
      <c r="AR9" s="3">
        <f t="shared" si="22"/>
        <v>0.80591673625193849</v>
      </c>
      <c r="AS9" s="3">
        <f t="shared" si="22"/>
        <v>0.83983321069413785</v>
      </c>
      <c r="AT9" s="3">
        <f t="shared" si="22"/>
        <v>0.78615179760319576</v>
      </c>
      <c r="AU9" s="249">
        <f t="shared" si="22"/>
        <v>0.80361876579742308</v>
      </c>
      <c r="AV9" s="3">
        <f t="shared" si="22"/>
        <v>0.76047542304593074</v>
      </c>
      <c r="AW9" s="3">
        <f t="shared" si="22"/>
        <v>0.79458540730848615</v>
      </c>
      <c r="AX9" s="3">
        <f t="shared" si="22"/>
        <v>0.83744488142056961</v>
      </c>
      <c r="AY9" s="3">
        <f t="shared" si="22"/>
        <v>0.7940650976464696</v>
      </c>
      <c r="AZ9" s="249">
        <f t="shared" si="22"/>
        <v>0.79718266253869963</v>
      </c>
      <c r="BA9" s="3">
        <f t="shared" si="22"/>
        <v>0.76807536427331713</v>
      </c>
      <c r="BB9" s="3">
        <f t="shared" si="22"/>
        <v>0.82022720858614562</v>
      </c>
      <c r="BC9" s="3">
        <f t="shared" si="22"/>
        <v>0.8458580531751263</v>
      </c>
      <c r="BD9" s="3">
        <f t="shared" si="22"/>
        <v>0.81874272437073481</v>
      </c>
      <c r="BE9" s="249">
        <f t="shared" si="22"/>
        <v>0.81393322791092937</v>
      </c>
      <c r="BF9" s="3">
        <f t="shared" si="22"/>
        <v>0.81351824168108067</v>
      </c>
      <c r="BG9" s="3">
        <f t="shared" si="22"/>
        <v>0.81474420082618371</v>
      </c>
      <c r="BH9" s="3">
        <f t="shared" ref="BH9:BM9" si="23">BH4/BH6</f>
        <v>0.84545915778792491</v>
      </c>
      <c r="BI9" s="3">
        <f t="shared" si="23"/>
        <v>0.82228116710875332</v>
      </c>
      <c r="BJ9" s="249">
        <f t="shared" si="23"/>
        <v>0.82450192927762767</v>
      </c>
      <c r="BK9" s="3">
        <f t="shared" si="23"/>
        <v>0.82927852348993292</v>
      </c>
      <c r="BL9" s="3">
        <f t="shared" si="23"/>
        <v>0.85302680453769697</v>
      </c>
      <c r="BM9" s="3">
        <f t="shared" si="23"/>
        <v>0.84781390134529144</v>
      </c>
      <c r="BN9" s="3">
        <f t="shared" ref="BN9:BT9" si="24">BN4/BN6</f>
        <v>0.81861454324488558</v>
      </c>
      <c r="BO9" s="249">
        <f t="shared" si="24"/>
        <v>0.8375046787273861</v>
      </c>
      <c r="BP9" s="3">
        <f t="shared" si="24"/>
        <v>0.83885601577909275</v>
      </c>
      <c r="BQ9" s="3">
        <f t="shared" si="24"/>
        <v>0.84861744716506848</v>
      </c>
      <c r="BR9" s="3">
        <f t="shared" si="24"/>
        <v>0.8497156061144685</v>
      </c>
      <c r="BS9" s="3">
        <f t="shared" si="24"/>
        <v>0.80946590590216072</v>
      </c>
      <c r="BT9" s="249">
        <f t="shared" si="24"/>
        <v>0.83682047450028019</v>
      </c>
      <c r="BU9" s="3">
        <f t="shared" ref="BU9:BZ9" si="25">BU4/BU6</f>
        <v>0.83136577406660905</v>
      </c>
      <c r="BV9" s="3">
        <f t="shared" si="25"/>
        <v>0.84595116810117688</v>
      </c>
      <c r="BW9" s="3">
        <f t="shared" si="25"/>
        <v>0.86172566371681414</v>
      </c>
      <c r="BX9" s="3">
        <f t="shared" si="25"/>
        <v>0.82126617698495974</v>
      </c>
      <c r="BY9" s="249">
        <f t="shared" si="25"/>
        <v>0.84041962082990684</v>
      </c>
      <c r="BZ9" s="3">
        <f t="shared" si="25"/>
        <v>0.84263070321394162</v>
      </c>
      <c r="CA9" s="3">
        <f t="shared" ref="CA9:CF9" si="26">CA4/CA6</f>
        <v>0.85576530195309308</v>
      </c>
      <c r="CB9" s="3">
        <f t="shared" si="26"/>
        <v>0.85257398273736129</v>
      </c>
      <c r="CC9" s="3">
        <f t="shared" si="26"/>
        <v>0.83589418659908121</v>
      </c>
      <c r="CD9" s="249">
        <f t="shared" si="26"/>
        <v>0.84678630882293227</v>
      </c>
      <c r="CE9" s="3">
        <f t="shared" si="26"/>
        <v>0.84242842888940062</v>
      </c>
      <c r="CF9" s="3">
        <f t="shared" si="26"/>
        <v>0.84967272192395382</v>
      </c>
      <c r="CG9" s="3">
        <f t="shared" ref="CG9:CK9" si="27">CG4/CG6</f>
        <v>0.86293128443026967</v>
      </c>
      <c r="CH9" s="3">
        <f t="shared" si="27"/>
        <v>0.84747689043794516</v>
      </c>
      <c r="CI9" s="249">
        <f t="shared" si="27"/>
        <v>0.85078328981723239</v>
      </c>
      <c r="CJ9" s="3">
        <f t="shared" si="27"/>
        <v>0.83939617083946982</v>
      </c>
      <c r="CK9" s="3">
        <f t="shared" si="27"/>
        <v>0.85167766390565769</v>
      </c>
      <c r="CL9" s="3">
        <f t="shared" ref="CL9:CN9" si="28">CL4/CL6</f>
        <v>0.85139102474486228</v>
      </c>
      <c r="CM9" s="3">
        <f t="shared" si="28"/>
        <v>0.83071490343038334</v>
      </c>
      <c r="CN9" s="249">
        <f t="shared" si="28"/>
        <v>0.84343308098843017</v>
      </c>
      <c r="CO9" s="31">
        <f t="shared" ref="CO9:CR9" si="29">(CJ9+(CO10/100))</f>
        <v>0.83939617083946982</v>
      </c>
      <c r="CP9" s="31">
        <f t="shared" si="29"/>
        <v>0.85167766390565769</v>
      </c>
      <c r="CQ9" s="31">
        <f t="shared" si="29"/>
        <v>0.85139102474486228</v>
      </c>
      <c r="CR9" s="31">
        <f t="shared" si="29"/>
        <v>0.83071490343038334</v>
      </c>
      <c r="CS9" s="249">
        <f>CS4/CS6</f>
        <v>0.84349440377744189</v>
      </c>
      <c r="CT9" s="3"/>
      <c r="CU9" s="3"/>
      <c r="CV9" s="31"/>
      <c r="CW9" s="31"/>
      <c r="CX9" s="249">
        <f>(CS9+(CX10/100))</f>
        <v>0.84349440377744189</v>
      </c>
      <c r="CY9" s="3"/>
      <c r="CZ9" s="3"/>
      <c r="DA9" s="31"/>
      <c r="DB9" s="31"/>
      <c r="DC9" s="249">
        <f>(CX9+(DC10/100))</f>
        <v>0.84349440377744189</v>
      </c>
      <c r="DD9" s="25"/>
      <c r="DE9" s="178"/>
      <c r="DJ9" s="430"/>
      <c r="DK9" s="430"/>
      <c r="DL9" s="389"/>
      <c r="DM9" s="593"/>
      <c r="DN9" s="593"/>
      <c r="DO9" s="593"/>
      <c r="DP9" s="593"/>
      <c r="DQ9" s="595"/>
      <c r="DR9" s="487"/>
      <c r="DS9" s="19"/>
    </row>
    <row r="10" spans="1:131" x14ac:dyDescent="0.2">
      <c r="A10" s="12" t="s">
        <v>155</v>
      </c>
      <c r="B10" s="251"/>
      <c r="C10" s="20"/>
      <c r="D10" s="20"/>
      <c r="E10" s="20"/>
      <c r="F10" s="20"/>
      <c r="G10" s="251"/>
      <c r="H10" s="32"/>
      <c r="I10" s="32"/>
      <c r="J10" s="32"/>
      <c r="K10" s="32"/>
      <c r="L10" s="251">
        <f t="shared" ref="L10:BW10" si="30">(L9-G9)*100</f>
        <v>4.7626805131254724</v>
      </c>
      <c r="M10" s="32">
        <f t="shared" si="30"/>
        <v>0.28566566790075854</v>
      </c>
      <c r="N10" s="32">
        <f t="shared" si="30"/>
        <v>4.3662472109819106</v>
      </c>
      <c r="O10" s="32">
        <f t="shared" si="30"/>
        <v>8.3959648179234172</v>
      </c>
      <c r="P10" s="32">
        <f t="shared" si="30"/>
        <v>5.1313398471107057</v>
      </c>
      <c r="Q10" s="251">
        <f t="shared" si="30"/>
        <v>4.9742746258045862</v>
      </c>
      <c r="R10" s="32">
        <f t="shared" si="30"/>
        <v>0.60753879596627813</v>
      </c>
      <c r="S10" s="32">
        <f t="shared" si="30"/>
        <v>1.2057400850321143</v>
      </c>
      <c r="T10" s="32">
        <f t="shared" si="30"/>
        <v>2.9200981842349649</v>
      </c>
      <c r="U10" s="32">
        <f t="shared" si="30"/>
        <v>1.2440250473817693</v>
      </c>
      <c r="V10" s="251">
        <f t="shared" si="30"/>
        <v>1.5518648285834158</v>
      </c>
      <c r="W10" s="32">
        <f t="shared" si="30"/>
        <v>-1.4438664391729361</v>
      </c>
      <c r="X10" s="32">
        <f t="shared" si="30"/>
        <v>-0.82984929646333638</v>
      </c>
      <c r="Y10" s="32">
        <f t="shared" si="30"/>
        <v>-2.756920317435041</v>
      </c>
      <c r="Z10" s="32">
        <f t="shared" si="30"/>
        <v>-0.1293305856199134</v>
      </c>
      <c r="AA10" s="251">
        <f>(AA9-V9)*100</f>
        <v>-1.3310919704885738</v>
      </c>
      <c r="AB10" s="32">
        <f t="shared" si="30"/>
        <v>5.8563498513916628</v>
      </c>
      <c r="AC10" s="32">
        <f t="shared" si="30"/>
        <v>3.1500177945663954</v>
      </c>
      <c r="AD10" s="32">
        <f>(AD9-Y9)*100</f>
        <v>1.6687502898817153</v>
      </c>
      <c r="AE10" s="32">
        <f t="shared" si="30"/>
        <v>-1.8140778355599685</v>
      </c>
      <c r="AF10" s="251">
        <f>(AF9-AA9)*100</f>
        <v>2.0407077780072003</v>
      </c>
      <c r="AG10" s="32">
        <f t="shared" si="30"/>
        <v>-1.6244746102878405</v>
      </c>
      <c r="AH10" s="32">
        <f t="shared" si="30"/>
        <v>-5.4035327205425592</v>
      </c>
      <c r="AI10" s="32">
        <f>(AI9-AD9)*100</f>
        <v>-6.176888225677823</v>
      </c>
      <c r="AJ10" s="32">
        <f t="shared" si="30"/>
        <v>-1.4666526594591778</v>
      </c>
      <c r="AK10" s="251">
        <f>(AK9-AF9)*100</f>
        <v>-3.6656114185221411</v>
      </c>
      <c r="AL10" s="32">
        <f t="shared" si="30"/>
        <v>-3.5479629785884703</v>
      </c>
      <c r="AM10" s="32">
        <f t="shared" si="30"/>
        <v>1.2561047834124373</v>
      </c>
      <c r="AN10" s="32">
        <f t="shared" si="30"/>
        <v>1.5330172068741765</v>
      </c>
      <c r="AO10" s="32">
        <f t="shared" si="30"/>
        <v>-3.1085986017711398</v>
      </c>
      <c r="AP10" s="251">
        <f>(AP9-AK9)*100</f>
        <v>-0.88543569261326782</v>
      </c>
      <c r="AQ10" s="32">
        <f t="shared" si="30"/>
        <v>-2.4466653682693851</v>
      </c>
      <c r="AR10" s="32">
        <f t="shared" si="30"/>
        <v>-2.9193603445557215</v>
      </c>
      <c r="AS10" s="32">
        <f t="shared" si="30"/>
        <v>2.0204246002336501</v>
      </c>
      <c r="AT10" s="32">
        <f t="shared" si="30"/>
        <v>2.0590353008101414</v>
      </c>
      <c r="AU10" s="251">
        <f>(AU9-AP9)*100</f>
        <v>-0.30825882647634861</v>
      </c>
      <c r="AV10" s="32">
        <f t="shared" si="30"/>
        <v>-2.129944294573094</v>
      </c>
      <c r="AW10" s="32">
        <f t="shared" si="30"/>
        <v>-1.1331328943452346</v>
      </c>
      <c r="AX10" s="32">
        <f t="shared" si="30"/>
        <v>-0.2388329273568246</v>
      </c>
      <c r="AY10" s="32">
        <f t="shared" si="30"/>
        <v>0.7913300043273841</v>
      </c>
      <c r="AZ10" s="251">
        <f>(AZ9-AU9)*100</f>
        <v>-0.64361032587234579</v>
      </c>
      <c r="BA10" s="32">
        <f t="shared" si="30"/>
        <v>0.75999412273863864</v>
      </c>
      <c r="BB10" s="32">
        <f t="shared" si="30"/>
        <v>2.5641801277659471</v>
      </c>
      <c r="BC10" s="32">
        <f t="shared" si="30"/>
        <v>0.8413171754556692</v>
      </c>
      <c r="BD10" s="32">
        <f t="shared" si="30"/>
        <v>2.4677626724265211</v>
      </c>
      <c r="BE10" s="251">
        <f>(BE9-AZ9)*100</f>
        <v>1.6750565372229742</v>
      </c>
      <c r="BF10" s="32">
        <f t="shared" si="30"/>
        <v>4.5442877407763538</v>
      </c>
      <c r="BG10" s="32">
        <f t="shared" si="30"/>
        <v>-0.54830077599619109</v>
      </c>
      <c r="BH10" s="32">
        <f t="shared" si="30"/>
        <v>-3.9889538720139228E-2</v>
      </c>
      <c r="BI10" s="32">
        <f t="shared" si="30"/>
        <v>0.35384427380185102</v>
      </c>
      <c r="BJ10" s="251">
        <f>(BJ9-BE9)*100</f>
        <v>1.0568701366698297</v>
      </c>
      <c r="BK10" s="32">
        <f t="shared" si="30"/>
        <v>1.576028180885225</v>
      </c>
      <c r="BL10" s="32">
        <f t="shared" si="30"/>
        <v>3.8282603711513263</v>
      </c>
      <c r="BM10" s="32">
        <f t="shared" si="30"/>
        <v>0.23547435573665343</v>
      </c>
      <c r="BN10" s="32">
        <f t="shared" si="30"/>
        <v>-0.36666238638677351</v>
      </c>
      <c r="BO10" s="251">
        <f>(BO9-BJ9)*100</f>
        <v>1.3002749449758433</v>
      </c>
      <c r="BP10" s="32">
        <f t="shared" si="30"/>
        <v>0.9577492289159828</v>
      </c>
      <c r="BQ10" s="32">
        <f t="shared" si="30"/>
        <v>-0.44093573726284863</v>
      </c>
      <c r="BR10" s="32">
        <f t="shared" si="30"/>
        <v>0.19017047691770594</v>
      </c>
      <c r="BS10" s="32">
        <f t="shared" si="30"/>
        <v>-0.91486373427248635</v>
      </c>
      <c r="BT10" s="251">
        <f>(BT9-BO9)*100</f>
        <v>-6.8420422710591122E-2</v>
      </c>
      <c r="BU10" s="32">
        <f t="shared" si="30"/>
        <v>-0.74902417124836917</v>
      </c>
      <c r="BV10" s="32">
        <f t="shared" si="30"/>
        <v>-0.26662790638916078</v>
      </c>
      <c r="BW10" s="32">
        <f t="shared" si="30"/>
        <v>1.2010057602345636</v>
      </c>
      <c r="BX10" s="32">
        <f t="shared" ref="BX10:CG10" si="31">(BX9-BS9)*100</f>
        <v>1.1800271082799019</v>
      </c>
      <c r="BY10" s="251">
        <f t="shared" si="31"/>
        <v>0.35991463296266568</v>
      </c>
      <c r="BZ10" s="32">
        <f t="shared" si="31"/>
        <v>1.126492914733257</v>
      </c>
      <c r="CA10" s="32">
        <f t="shared" si="31"/>
        <v>0.98141338519162069</v>
      </c>
      <c r="CB10" s="32">
        <f t="shared" si="31"/>
        <v>-0.91516809794528475</v>
      </c>
      <c r="CC10" s="32">
        <f t="shared" si="31"/>
        <v>1.4628009614121473</v>
      </c>
      <c r="CD10" s="251">
        <f t="shared" si="31"/>
        <v>0.63666879930254217</v>
      </c>
      <c r="CE10" s="32">
        <f t="shared" si="31"/>
        <v>-2.0227432454100747E-2</v>
      </c>
      <c r="CF10" s="32">
        <f t="shared" si="31"/>
        <v>-0.60925800291392607</v>
      </c>
      <c r="CG10" s="32">
        <f t="shared" si="31"/>
        <v>1.0357301692908383</v>
      </c>
      <c r="CH10" s="32">
        <f t="shared" ref="CH10" si="32">(CH9-CC9)*100</f>
        <v>1.158270383886395</v>
      </c>
      <c r="CI10" s="251">
        <f t="shared" ref="CI10:CL10" si="33">(CI9-CD9)*100</f>
        <v>0.39969809943001255</v>
      </c>
      <c r="CJ10" s="32">
        <f t="shared" si="33"/>
        <v>-0.30322580499307916</v>
      </c>
      <c r="CK10" s="32">
        <f t="shared" si="33"/>
        <v>0.20049419817038672</v>
      </c>
      <c r="CL10" s="32">
        <f t="shared" si="33"/>
        <v>-1.1540259685407395</v>
      </c>
      <c r="CM10" s="32">
        <f t="shared" ref="CM10" si="34">(CM9-CH9)*100</f>
        <v>-1.6761987007561818</v>
      </c>
      <c r="CN10" s="251">
        <f t="shared" ref="CN10" si="35">(CN9-CI9)*100</f>
        <v>-0.73502088288022183</v>
      </c>
      <c r="CO10" s="33">
        <v>0</v>
      </c>
      <c r="CP10" s="33">
        <v>0</v>
      </c>
      <c r="CQ10" s="33">
        <v>0</v>
      </c>
      <c r="CR10" s="33">
        <v>0</v>
      </c>
      <c r="CS10" s="251">
        <f>(CS9-CN9)*100</f>
        <v>6.1322789011719614E-3</v>
      </c>
      <c r="CT10" s="32"/>
      <c r="CU10" s="32"/>
      <c r="CV10" s="33"/>
      <c r="CW10" s="33"/>
      <c r="CX10" s="590">
        <v>0</v>
      </c>
      <c r="CY10" s="32"/>
      <c r="CZ10" s="32"/>
      <c r="DA10" s="33"/>
      <c r="DB10" s="33"/>
      <c r="DC10" s="590">
        <v>0</v>
      </c>
      <c r="DD10" s="25"/>
      <c r="DE10" s="178"/>
      <c r="DJ10" s="430"/>
      <c r="DK10" s="389"/>
      <c r="DL10" s="592"/>
      <c r="DM10" s="593"/>
      <c r="DN10" s="593"/>
      <c r="DO10" s="593"/>
      <c r="DP10" s="593"/>
      <c r="DQ10" s="592"/>
      <c r="DR10" s="487"/>
      <c r="DS10" s="19"/>
    </row>
    <row r="11" spans="1:131" x14ac:dyDescent="0.2">
      <c r="A11" s="23" t="s">
        <v>314</v>
      </c>
      <c r="B11" s="842"/>
      <c r="C11" s="18"/>
      <c r="D11" s="18"/>
      <c r="E11" s="18"/>
      <c r="F11" s="18"/>
      <c r="G11" s="842">
        <v>10265</v>
      </c>
      <c r="H11" s="820">
        <v>5283</v>
      </c>
      <c r="I11" s="820">
        <v>6332</v>
      </c>
      <c r="J11" s="820">
        <v>6936</v>
      </c>
      <c r="K11" s="820">
        <v>7783</v>
      </c>
      <c r="L11" s="248">
        <f>SUM(H11:K11)</f>
        <v>26334</v>
      </c>
      <c r="M11" s="820">
        <v>9439</v>
      </c>
      <c r="N11" s="820">
        <v>10090</v>
      </c>
      <c r="O11" s="820">
        <v>11245</v>
      </c>
      <c r="P11" s="820">
        <v>13370</v>
      </c>
      <c r="Q11" s="248">
        <f>SUM(M11:P11)</f>
        <v>44144</v>
      </c>
      <c r="R11" s="820">
        <v>15411</v>
      </c>
      <c r="S11" s="820">
        <v>16133</v>
      </c>
      <c r="T11" s="820">
        <v>17175</v>
      </c>
      <c r="U11" s="820">
        <v>18201</v>
      </c>
      <c r="V11" s="248">
        <f>SUM(R11:U11)</f>
        <v>66920</v>
      </c>
      <c r="W11" s="820">
        <v>20845</v>
      </c>
      <c r="X11" s="820">
        <v>22145</v>
      </c>
      <c r="Y11" s="820">
        <v>22893</v>
      </c>
      <c r="Z11" s="820">
        <v>24649</v>
      </c>
      <c r="AA11" s="248">
        <f>SUM(W11:Z11)</f>
        <v>90532</v>
      </c>
      <c r="AB11" s="820">
        <v>25637</v>
      </c>
      <c r="AC11" s="820">
        <v>27382</v>
      </c>
      <c r="AD11" s="820">
        <v>28104</v>
      </c>
      <c r="AE11" s="820">
        <v>30886</v>
      </c>
      <c r="AF11" s="248">
        <f>SUM(AB11:AE11)</f>
        <v>112009</v>
      </c>
      <c r="AG11" s="820">
        <v>34417</v>
      </c>
      <c r="AH11" s="820">
        <v>37688</v>
      </c>
      <c r="AI11" s="820">
        <v>42311</v>
      </c>
      <c r="AJ11" s="820">
        <v>44736</v>
      </c>
      <c r="AK11" s="248">
        <f>SUM(AG11:AJ11)</f>
        <v>159152</v>
      </c>
      <c r="AL11" s="820">
        <v>46574</v>
      </c>
      <c r="AM11" s="820">
        <v>49513</v>
      </c>
      <c r="AN11" s="820">
        <v>50233</v>
      </c>
      <c r="AO11" s="820">
        <v>50274</v>
      </c>
      <c r="AP11" s="248">
        <f>SUM(AL11:AO11)</f>
        <v>196594</v>
      </c>
      <c r="AQ11" s="820">
        <v>52265</v>
      </c>
      <c r="AR11" s="820">
        <v>52236</v>
      </c>
      <c r="AS11" s="820">
        <v>51125</v>
      </c>
      <c r="AT11" s="820">
        <v>49763</v>
      </c>
      <c r="AU11" s="248">
        <f>SUM(AQ11:AT11)</f>
        <v>205389</v>
      </c>
      <c r="AV11" s="820">
        <v>53014</v>
      </c>
      <c r="AW11" s="820">
        <v>54885</v>
      </c>
      <c r="AX11" s="820">
        <v>55420</v>
      </c>
      <c r="AY11" s="820">
        <v>52207</v>
      </c>
      <c r="AZ11" s="248">
        <f>SUM(AV11:AY11)</f>
        <v>215526</v>
      </c>
      <c r="BA11" s="820">
        <v>54367</v>
      </c>
      <c r="BB11" s="820">
        <v>56202</v>
      </c>
      <c r="BC11" s="820">
        <v>58935</v>
      </c>
      <c r="BD11" s="820">
        <v>55997</v>
      </c>
      <c r="BE11" s="248">
        <f>SUM(BA11:BD11)</f>
        <v>225501</v>
      </c>
      <c r="BF11" s="820">
        <v>56706</v>
      </c>
      <c r="BG11" s="820">
        <v>61632</v>
      </c>
      <c r="BH11" s="820">
        <v>63099</v>
      </c>
      <c r="BI11" s="820">
        <v>62009</v>
      </c>
      <c r="BJ11" s="248">
        <f>SUM(BF11:BI11)</f>
        <v>243446</v>
      </c>
      <c r="BK11" s="820">
        <v>63546</v>
      </c>
      <c r="BL11" s="820">
        <v>66067</v>
      </c>
      <c r="BM11" s="820">
        <v>69925</v>
      </c>
      <c r="BN11" s="820">
        <v>65062</v>
      </c>
      <c r="BO11" s="248">
        <f>SUM(BK11:BN11)</f>
        <v>264600</v>
      </c>
      <c r="BP11" s="820">
        <v>66773</v>
      </c>
      <c r="BQ11" s="820">
        <v>70722</v>
      </c>
      <c r="BR11" s="820">
        <v>74206</v>
      </c>
      <c r="BS11" s="820">
        <v>70432</v>
      </c>
      <c r="BT11" s="248">
        <f>SUM(BP11:BS11)</f>
        <v>282133</v>
      </c>
      <c r="BU11" s="820">
        <v>68152</v>
      </c>
      <c r="BV11" s="820">
        <v>74917</v>
      </c>
      <c r="BW11" s="820">
        <v>77205</v>
      </c>
      <c r="BX11" s="820">
        <v>74526</v>
      </c>
      <c r="BY11" s="248">
        <f>SUM(BU11:BX11)</f>
        <v>294800</v>
      </c>
      <c r="BZ11" s="820">
        <v>73823</v>
      </c>
      <c r="CA11" s="820">
        <v>79558</v>
      </c>
      <c r="CB11" s="820">
        <v>82989</v>
      </c>
      <c r="CC11" s="820">
        <v>80135</v>
      </c>
      <c r="CD11" s="248">
        <f>SUM(BZ11:CC11)</f>
        <v>316505</v>
      </c>
      <c r="CE11" s="820">
        <v>81239</v>
      </c>
      <c r="CF11" s="820">
        <v>85285</v>
      </c>
      <c r="CG11" s="820">
        <v>86801</v>
      </c>
      <c r="CH11" s="820">
        <v>83976</v>
      </c>
      <c r="CI11" s="248">
        <f>SUM(CE11:CH11)</f>
        <v>337301</v>
      </c>
      <c r="CJ11" s="820">
        <v>85724</v>
      </c>
      <c r="CK11" s="820">
        <v>90235</v>
      </c>
      <c r="CL11" s="820">
        <v>90021</v>
      </c>
      <c r="CM11" s="820">
        <v>87701</v>
      </c>
      <c r="CN11" s="248">
        <f>SUM(CJ11:CM11)</f>
        <v>353681</v>
      </c>
      <c r="CO11" s="18">
        <f t="shared" ref="CO11:CR11" si="36">CJ11*(1+CO12)</f>
        <v>87181.30799999999</v>
      </c>
      <c r="CP11" s="18">
        <f t="shared" si="36"/>
        <v>94746.75</v>
      </c>
      <c r="CQ11" s="18">
        <f t="shared" si="36"/>
        <v>97672.785000000003</v>
      </c>
      <c r="CR11" s="18">
        <f t="shared" si="36"/>
        <v>93401.565000000002</v>
      </c>
      <c r="CS11" s="248">
        <f>SUM(CO11:CR11)</f>
        <v>373002.408</v>
      </c>
      <c r="CT11" s="18"/>
      <c r="CU11" s="18"/>
      <c r="CV11" s="18"/>
      <c r="CW11" s="18"/>
      <c r="CX11" s="248">
        <f>CS11*(1+CX12)</f>
        <v>395382.55248000001</v>
      </c>
      <c r="CY11" s="18"/>
      <c r="CZ11" s="18"/>
      <c r="DA11" s="18"/>
      <c r="DB11" s="18"/>
      <c r="DC11" s="248">
        <f>CX11*(1+DC12)</f>
        <v>419105.50562880002</v>
      </c>
      <c r="DD11" s="374"/>
      <c r="DE11" s="452"/>
      <c r="DJ11" s="431"/>
      <c r="DK11" s="390"/>
      <c r="DL11" s="594"/>
      <c r="DM11" s="593"/>
      <c r="DN11" s="592"/>
      <c r="DO11" s="593"/>
      <c r="DP11" s="592"/>
      <c r="DQ11" s="595"/>
      <c r="DR11" s="489"/>
      <c r="DS11" s="516"/>
    </row>
    <row r="12" spans="1:131" x14ac:dyDescent="0.2">
      <c r="A12" s="11" t="s">
        <v>131</v>
      </c>
      <c r="B12" s="249"/>
      <c r="C12" s="20"/>
      <c r="D12" s="20"/>
      <c r="E12" s="20"/>
      <c r="F12" s="20"/>
      <c r="G12" s="249"/>
      <c r="H12" s="3"/>
      <c r="I12" s="3"/>
      <c r="J12" s="3"/>
      <c r="K12" s="3"/>
      <c r="L12" s="249">
        <f t="shared" ref="L12:BW12" si="37">L11/G11-1</f>
        <v>1.5654164637116414</v>
      </c>
      <c r="M12" s="3">
        <f t="shared" si="37"/>
        <v>0.7866742381222791</v>
      </c>
      <c r="N12" s="3">
        <f t="shared" si="37"/>
        <v>0.59349336702463673</v>
      </c>
      <c r="O12" s="3">
        <f t="shared" si="37"/>
        <v>0.62125144175317182</v>
      </c>
      <c r="P12" s="3">
        <f t="shared" si="37"/>
        <v>0.71784658871900286</v>
      </c>
      <c r="Q12" s="249">
        <f t="shared" si="37"/>
        <v>0.67631199210146575</v>
      </c>
      <c r="R12" s="3">
        <f t="shared" si="37"/>
        <v>0.63269414132853052</v>
      </c>
      <c r="S12" s="3">
        <f t="shared" si="37"/>
        <v>0.59890981169474733</v>
      </c>
      <c r="T12" s="3">
        <f t="shared" si="37"/>
        <v>0.52734548688305916</v>
      </c>
      <c r="U12" s="3">
        <f t="shared" si="37"/>
        <v>0.36133133881824975</v>
      </c>
      <c r="V12" s="249">
        <f t="shared" si="37"/>
        <v>0.51594780717651334</v>
      </c>
      <c r="W12" s="3">
        <f t="shared" si="37"/>
        <v>0.35260528194147045</v>
      </c>
      <c r="X12" s="3">
        <f t="shared" si="37"/>
        <v>0.37265232752742827</v>
      </c>
      <c r="Y12" s="3">
        <f t="shared" si="37"/>
        <v>0.33292576419213971</v>
      </c>
      <c r="Z12" s="3">
        <f t="shared" si="37"/>
        <v>0.35426624910719196</v>
      </c>
      <c r="AA12" s="249">
        <f>AA11/V11-1</f>
        <v>0.35283921099820681</v>
      </c>
      <c r="AB12" s="3">
        <f t="shared" si="37"/>
        <v>0.22988726313264563</v>
      </c>
      <c r="AC12" s="3">
        <f t="shared" si="37"/>
        <v>0.23648679160081287</v>
      </c>
      <c r="AD12" s="3">
        <f>AD11/Y11-1</f>
        <v>0.22762416459179668</v>
      </c>
      <c r="AE12" s="3">
        <f t="shared" si="37"/>
        <v>0.25303257738650653</v>
      </c>
      <c r="AF12" s="249">
        <f>AF11/AA11-1</f>
        <v>0.23723103433040249</v>
      </c>
      <c r="AG12" s="3">
        <f t="shared" si="37"/>
        <v>0.3424737683816359</v>
      </c>
      <c r="AH12" s="3">
        <f t="shared" si="37"/>
        <v>0.37637864290409762</v>
      </c>
      <c r="AI12" s="3">
        <f>AI11/AD11-1</f>
        <v>0.50551522914887559</v>
      </c>
      <c r="AJ12" s="3">
        <f t="shared" si="37"/>
        <v>0.44842323382762417</v>
      </c>
      <c r="AK12" s="249">
        <f>AK11/AF11-1</f>
        <v>0.42088582167504396</v>
      </c>
      <c r="AL12" s="3">
        <f t="shared" si="37"/>
        <v>0.35322660313217313</v>
      </c>
      <c r="AM12" s="3">
        <f t="shared" si="37"/>
        <v>0.31376034812141795</v>
      </c>
      <c r="AN12" s="3">
        <f t="shared" si="37"/>
        <v>0.18723263453948147</v>
      </c>
      <c r="AO12" s="3">
        <f t="shared" si="37"/>
        <v>0.12379291845493556</v>
      </c>
      <c r="AP12" s="249">
        <f>AP11/AK11-1</f>
        <v>0.23525937468583491</v>
      </c>
      <c r="AQ12" s="3">
        <f t="shared" si="37"/>
        <v>0.12219263967020222</v>
      </c>
      <c r="AR12" s="3">
        <f t="shared" si="37"/>
        <v>5.4995657706057077E-2</v>
      </c>
      <c r="AS12" s="3">
        <f t="shared" si="37"/>
        <v>1.7757251209364444E-2</v>
      </c>
      <c r="AT12" s="3">
        <f t="shared" si="37"/>
        <v>-1.016429963798382E-2</v>
      </c>
      <c r="AU12" s="249">
        <f>AU11/AP11-1</f>
        <v>4.4736868876974922E-2</v>
      </c>
      <c r="AV12" s="3">
        <f t="shared" si="37"/>
        <v>1.4330814120348201E-2</v>
      </c>
      <c r="AW12" s="3">
        <f t="shared" si="37"/>
        <v>5.0712152538479272E-2</v>
      </c>
      <c r="AX12" s="3">
        <f t="shared" si="37"/>
        <v>8.400977995110015E-2</v>
      </c>
      <c r="AY12" s="3">
        <f t="shared" si="37"/>
        <v>4.9112794646624991E-2</v>
      </c>
      <c r="AZ12" s="249">
        <f>AZ11/AU11-1</f>
        <v>4.9355126126520821E-2</v>
      </c>
      <c r="BA12" s="3">
        <f t="shared" si="37"/>
        <v>2.5521560342550931E-2</v>
      </c>
      <c r="BB12" s="3">
        <f t="shared" si="37"/>
        <v>2.3995627220552151E-2</v>
      </c>
      <c r="BC12" s="3">
        <f t="shared" si="37"/>
        <v>6.3424756405629834E-2</v>
      </c>
      <c r="BD12" s="3">
        <f t="shared" si="37"/>
        <v>7.2595628938648016E-2</v>
      </c>
      <c r="BE12" s="249">
        <f>BE11/AZ11-1</f>
        <v>4.6282119094680052E-2</v>
      </c>
      <c r="BF12" s="3">
        <f t="shared" si="37"/>
        <v>4.3022421689627999E-2</v>
      </c>
      <c r="BG12" s="3">
        <f t="shared" si="37"/>
        <v>9.6615778797907614E-2</v>
      </c>
      <c r="BH12" s="3">
        <f t="shared" si="37"/>
        <v>7.0654110460677044E-2</v>
      </c>
      <c r="BI12" s="3">
        <f t="shared" si="37"/>
        <v>0.10736289444077363</v>
      </c>
      <c r="BJ12" s="249">
        <f>BJ11/BE11-1</f>
        <v>7.9578361071569459E-2</v>
      </c>
      <c r="BK12" s="3">
        <f t="shared" si="37"/>
        <v>0.12062215638556761</v>
      </c>
      <c r="BL12" s="3">
        <f t="shared" si="37"/>
        <v>7.19593717549325E-2</v>
      </c>
      <c r="BM12" s="3">
        <f t="shared" si="37"/>
        <v>0.10817921044707512</v>
      </c>
      <c r="BN12" s="3">
        <f t="shared" si="37"/>
        <v>4.9234788498443871E-2</v>
      </c>
      <c r="BO12" s="249">
        <f>BO11/BJ11-1</f>
        <v>8.6894013456783048E-2</v>
      </c>
      <c r="BP12" s="3">
        <f t="shared" si="37"/>
        <v>5.0782110597047847E-2</v>
      </c>
      <c r="BQ12" s="3">
        <f t="shared" si="37"/>
        <v>7.0458776696384007E-2</v>
      </c>
      <c r="BR12" s="3">
        <f t="shared" si="37"/>
        <v>6.1222738648551989E-2</v>
      </c>
      <c r="BS12" s="3">
        <f t="shared" si="37"/>
        <v>8.2536657342227482E-2</v>
      </c>
      <c r="BT12" s="249">
        <f>BT11/BO11-1</f>
        <v>6.6262282690854102E-2</v>
      </c>
      <c r="BU12" s="3">
        <f t="shared" si="37"/>
        <v>2.0652059964356928E-2</v>
      </c>
      <c r="BV12" s="3">
        <f t="shared" si="37"/>
        <v>5.9316761403806373E-2</v>
      </c>
      <c r="BW12" s="3">
        <f t="shared" si="37"/>
        <v>4.0414521736786835E-2</v>
      </c>
      <c r="BX12" s="3">
        <f t="shared" ref="BX12:CG12" si="38">BX11/BS11-1</f>
        <v>5.8126987732848745E-2</v>
      </c>
      <c r="BY12" s="249">
        <f t="shared" si="38"/>
        <v>4.4897264765199285E-2</v>
      </c>
      <c r="BZ12" s="3">
        <f t="shared" si="38"/>
        <v>8.3211057635872665E-2</v>
      </c>
      <c r="CA12" s="3">
        <f t="shared" si="38"/>
        <v>6.1948556402418697E-2</v>
      </c>
      <c r="CB12" s="3">
        <f t="shared" si="38"/>
        <v>7.4917427627744226E-2</v>
      </c>
      <c r="CC12" s="3">
        <f t="shared" si="38"/>
        <v>7.5262324557872518E-2</v>
      </c>
      <c r="CD12" s="249">
        <f t="shared" si="38"/>
        <v>7.3626187245590335E-2</v>
      </c>
      <c r="CE12" s="3">
        <f t="shared" si="38"/>
        <v>0.1004564972975901</v>
      </c>
      <c r="CF12" s="3">
        <f t="shared" si="38"/>
        <v>7.1985218331280354E-2</v>
      </c>
      <c r="CG12" s="3">
        <f t="shared" si="38"/>
        <v>4.5933798455217056E-2</v>
      </c>
      <c r="CH12" s="3">
        <f t="shared" ref="CH12" si="39">CH11/CC11-1</f>
        <v>4.7931615399014138E-2</v>
      </c>
      <c r="CI12" s="249">
        <f t="shared" ref="CI12:CL12" si="40">CI11/CD11-1</f>
        <v>6.5705123141814425E-2</v>
      </c>
      <c r="CJ12" s="3">
        <f t="shared" si="40"/>
        <v>5.5207474242666699E-2</v>
      </c>
      <c r="CK12" s="3">
        <f t="shared" si="40"/>
        <v>5.8040687107932198E-2</v>
      </c>
      <c r="CL12" s="3">
        <f t="shared" si="40"/>
        <v>3.7096346816280823E-2</v>
      </c>
      <c r="CM12" s="3">
        <f t="shared" ref="CM12" si="41">CM11/CH11-1</f>
        <v>4.4357911784319359E-2</v>
      </c>
      <c r="CN12" s="249">
        <f t="shared" ref="CN12" si="42">CN11/CI11-1</f>
        <v>4.8561966907895382E-2</v>
      </c>
      <c r="CO12" s="3">
        <f t="shared" ref="CO12" si="43">CO7-CO14</f>
        <v>1.7000000000000001E-2</v>
      </c>
      <c r="CP12" s="3">
        <f t="shared" ref="CP12:CR12" si="44">CP7-CP14</f>
        <v>0.05</v>
      </c>
      <c r="CQ12" s="3">
        <f t="shared" si="44"/>
        <v>8.5000000000000006E-2</v>
      </c>
      <c r="CR12" s="3">
        <f t="shared" si="44"/>
        <v>6.5000000000000002E-2</v>
      </c>
      <c r="CS12" s="249">
        <f>CS11/CN11-1</f>
        <v>5.4629476844953562E-2</v>
      </c>
      <c r="CT12" s="3"/>
      <c r="CU12" s="3"/>
      <c r="CV12" s="35"/>
      <c r="CW12" s="35"/>
      <c r="CX12" s="249">
        <f>CX7-CX14</f>
        <v>6.0000000000000005E-2</v>
      </c>
      <c r="CY12" s="3"/>
      <c r="CZ12" s="3"/>
      <c r="DA12" s="35"/>
      <c r="DB12" s="35"/>
      <c r="DC12" s="249">
        <f>DC7-DC14</f>
        <v>6.0000000000000005E-2</v>
      </c>
      <c r="DD12" s="25"/>
      <c r="DE12" s="178"/>
      <c r="DJ12" s="430"/>
      <c r="DK12" s="389"/>
      <c r="DL12" s="389"/>
      <c r="DM12" s="389"/>
      <c r="DN12" s="592"/>
      <c r="DO12" s="593"/>
      <c r="DP12" s="592"/>
      <c r="DQ12" s="595"/>
      <c r="DR12" s="487"/>
      <c r="DS12" s="19"/>
    </row>
    <row r="13" spans="1:131" x14ac:dyDescent="0.2">
      <c r="A13" s="34" t="s">
        <v>322</v>
      </c>
      <c r="B13" s="843"/>
      <c r="C13" s="36"/>
      <c r="D13" s="36"/>
      <c r="E13" s="36"/>
      <c r="F13" s="36"/>
      <c r="G13" s="843">
        <v>825</v>
      </c>
      <c r="H13" s="821">
        <v>871</v>
      </c>
      <c r="I13" s="821">
        <v>937</v>
      </c>
      <c r="J13" s="821">
        <v>1007</v>
      </c>
      <c r="K13" s="821">
        <v>1087</v>
      </c>
      <c r="L13" s="252">
        <v>986</v>
      </c>
      <c r="M13" s="821">
        <v>1056</v>
      </c>
      <c r="N13" s="821">
        <v>1182</v>
      </c>
      <c r="O13" s="821">
        <v>1223</v>
      </c>
      <c r="P13" s="821">
        <v>1138</v>
      </c>
      <c r="Q13" s="252">
        <v>1175</v>
      </c>
      <c r="R13" s="821">
        <v>1169</v>
      </c>
      <c r="S13" s="821">
        <v>1253</v>
      </c>
      <c r="T13" s="821">
        <v>1267</v>
      </c>
      <c r="U13" s="821">
        <v>1318</v>
      </c>
      <c r="V13" s="252">
        <f>AVERAGE(R13:U13)</f>
        <v>1251.75</v>
      </c>
      <c r="W13" s="821">
        <v>1297</v>
      </c>
      <c r="X13" s="821">
        <v>1348</v>
      </c>
      <c r="Y13" s="821">
        <v>1383</v>
      </c>
      <c r="Z13" s="821">
        <v>1325</v>
      </c>
      <c r="AA13" s="252">
        <f>AVERAGE(W13:Z13)</f>
        <v>1338.25</v>
      </c>
      <c r="AB13" s="821">
        <v>1292</v>
      </c>
      <c r="AC13" s="821">
        <v>1369</v>
      </c>
      <c r="AD13" s="821">
        <v>1444</v>
      </c>
      <c r="AE13" s="821">
        <v>1324</v>
      </c>
      <c r="AF13" s="252">
        <f>AVERAGE(AB13:AE13)</f>
        <v>1357.25</v>
      </c>
      <c r="AG13" s="821">
        <v>1246</v>
      </c>
      <c r="AH13" s="821">
        <v>1253</v>
      </c>
      <c r="AI13" s="821">
        <v>1181</v>
      </c>
      <c r="AJ13" s="821">
        <v>1087</v>
      </c>
      <c r="AK13" s="252">
        <f>AVERAGE(AG13:AJ13)</f>
        <v>1191.75</v>
      </c>
      <c r="AL13" s="821">
        <v>1086</v>
      </c>
      <c r="AM13" s="821">
        <v>1135</v>
      </c>
      <c r="AN13" s="821">
        <v>1161</v>
      </c>
      <c r="AO13" s="821">
        <v>1133</v>
      </c>
      <c r="AP13" s="252">
        <f>AVERAGE(AL13:AO13)</f>
        <v>1128.75</v>
      </c>
      <c r="AQ13" s="821">
        <v>1131</v>
      </c>
      <c r="AR13" s="821">
        <v>1138</v>
      </c>
      <c r="AS13" s="821">
        <v>1132</v>
      </c>
      <c r="AT13" s="821">
        <v>1075</v>
      </c>
      <c r="AU13" s="252">
        <f>AVERAGE(AQ13:AT13)</f>
        <v>1119</v>
      </c>
      <c r="AV13" s="821">
        <v>1064</v>
      </c>
      <c r="AW13" s="821">
        <v>1067</v>
      </c>
      <c r="AX13" s="821">
        <v>1081</v>
      </c>
      <c r="AY13" s="821">
        <v>1091</v>
      </c>
      <c r="AZ13" s="252">
        <f>AVERAGE(AV13:AY13)</f>
        <v>1075.75</v>
      </c>
      <c r="BA13" s="821">
        <v>1102</v>
      </c>
      <c r="BB13" s="821">
        <v>1102</v>
      </c>
      <c r="BC13" s="821">
        <v>1103</v>
      </c>
      <c r="BD13" s="821">
        <v>1093</v>
      </c>
      <c r="BE13" s="252">
        <f>AVERAGE(BA13:BD13)</f>
        <v>1100</v>
      </c>
      <c r="BF13" s="821">
        <v>1075</v>
      </c>
      <c r="BG13" s="821">
        <v>1091</v>
      </c>
      <c r="BH13" s="821">
        <v>1108</v>
      </c>
      <c r="BI13" s="821">
        <v>1090</v>
      </c>
      <c r="BJ13" s="252">
        <f>AVERAGE(BF13:BI13)</f>
        <v>1091</v>
      </c>
      <c r="BK13" s="821">
        <v>1077</v>
      </c>
      <c r="BL13" s="821">
        <v>1081</v>
      </c>
      <c r="BM13" s="821">
        <v>1094</v>
      </c>
      <c r="BN13" s="821">
        <v>1089</v>
      </c>
      <c r="BO13" s="252">
        <f>AVERAGE(BK13:BN13)</f>
        <v>1085.25</v>
      </c>
      <c r="BP13" s="821">
        <v>1092</v>
      </c>
      <c r="BQ13" s="821">
        <v>1088</v>
      </c>
      <c r="BR13" s="821">
        <v>1085</v>
      </c>
      <c r="BS13" s="821">
        <v>1095</v>
      </c>
      <c r="BT13" s="252">
        <f>AVERAGE(BP13:BS13)</f>
        <v>1090</v>
      </c>
      <c r="BU13" s="821">
        <v>1095</v>
      </c>
      <c r="BV13" s="821">
        <v>1088</v>
      </c>
      <c r="BW13" s="821">
        <v>1082</v>
      </c>
      <c r="BX13" s="821">
        <v>1088</v>
      </c>
      <c r="BY13" s="252">
        <f>AVERAGE(BU13:BX13)</f>
        <v>1088.25</v>
      </c>
      <c r="BZ13" s="821">
        <v>1097</v>
      </c>
      <c r="CA13" s="821">
        <v>1085</v>
      </c>
      <c r="CB13" s="821">
        <v>1094</v>
      </c>
      <c r="CC13" s="821">
        <v>1093</v>
      </c>
      <c r="CD13" s="252">
        <f>AVERAGE(BZ13:CC13)</f>
        <v>1092.25</v>
      </c>
      <c r="CE13" s="821">
        <v>1109</v>
      </c>
      <c r="CF13" s="821">
        <v>1097</v>
      </c>
      <c r="CG13" s="821">
        <v>1090</v>
      </c>
      <c r="CH13" s="821">
        <v>1077</v>
      </c>
      <c r="CI13" s="252">
        <f>AVERAGE(CE13:CH13)</f>
        <v>1093.25</v>
      </c>
      <c r="CJ13" s="821">
        <v>1079</v>
      </c>
      <c r="CK13" s="821">
        <v>1069</v>
      </c>
      <c r="CL13" s="821">
        <v>1069</v>
      </c>
      <c r="CM13" s="821">
        <v>1071</v>
      </c>
      <c r="CN13" s="252">
        <f>AVERAGE(CJ13:CM13)</f>
        <v>1072</v>
      </c>
      <c r="CO13" s="24">
        <f t="shared" ref="CO13:CR13" si="45">CJ13*(1+CO14)</f>
        <v>1096.2640000000001</v>
      </c>
      <c r="CP13" s="24">
        <f t="shared" si="45"/>
        <v>1090.3800000000001</v>
      </c>
      <c r="CQ13" s="24">
        <f t="shared" si="45"/>
        <v>1085.0349999999999</v>
      </c>
      <c r="CR13" s="24">
        <f t="shared" si="45"/>
        <v>1087.0649999999998</v>
      </c>
      <c r="CS13" s="252">
        <f>AVERAGE(CO13:CR13)</f>
        <v>1089.6859999999999</v>
      </c>
      <c r="CT13" s="24"/>
      <c r="CU13" s="24"/>
      <c r="CV13" s="24"/>
      <c r="CW13" s="24"/>
      <c r="CX13" s="252">
        <f>CS13*(1+CX14)</f>
        <v>1100.58286</v>
      </c>
      <c r="CY13" s="24"/>
      <c r="CZ13" s="24"/>
      <c r="DA13" s="24"/>
      <c r="DB13" s="24"/>
      <c r="DC13" s="252">
        <f>CX13*(1+DC14)</f>
        <v>1111.5886886000001</v>
      </c>
      <c r="DD13" s="68"/>
      <c r="DE13" s="453"/>
      <c r="DJ13" s="432"/>
      <c r="DK13" s="391"/>
      <c r="DL13" s="391"/>
      <c r="DM13" s="391"/>
      <c r="DN13" s="594"/>
      <c r="DO13" s="593"/>
      <c r="DP13" s="594"/>
      <c r="DQ13" s="595"/>
      <c r="DR13" s="490"/>
      <c r="DS13" s="518"/>
    </row>
    <row r="14" spans="1:131" x14ac:dyDescent="0.2">
      <c r="A14" s="11" t="s">
        <v>131</v>
      </c>
      <c r="B14" s="249"/>
      <c r="C14" s="20"/>
      <c r="D14" s="20"/>
      <c r="E14" s="20"/>
      <c r="F14" s="20"/>
      <c r="G14" s="249"/>
      <c r="H14" s="3"/>
      <c r="I14" s="3"/>
      <c r="J14" s="3"/>
      <c r="K14" s="3"/>
      <c r="L14" s="249">
        <f t="shared" ref="L14:BW14" si="46">L13/G13-1</f>
        <v>0.19515151515151508</v>
      </c>
      <c r="M14" s="3">
        <f t="shared" si="46"/>
        <v>0.21239954075774969</v>
      </c>
      <c r="N14" s="3">
        <f t="shared" si="46"/>
        <v>0.26147278548559227</v>
      </c>
      <c r="O14" s="3">
        <f t="shared" si="46"/>
        <v>0.21449851042701096</v>
      </c>
      <c r="P14" s="3">
        <f t="shared" si="46"/>
        <v>4.6918123275069057E-2</v>
      </c>
      <c r="Q14" s="249">
        <f t="shared" si="46"/>
        <v>0.19168356997971592</v>
      </c>
      <c r="R14" s="3">
        <f t="shared" si="46"/>
        <v>0.10700757575757569</v>
      </c>
      <c r="S14" s="3">
        <f t="shared" si="46"/>
        <v>6.006768189509315E-2</v>
      </c>
      <c r="T14" s="3">
        <f t="shared" si="46"/>
        <v>3.5977105478331994E-2</v>
      </c>
      <c r="U14" s="3">
        <f t="shared" si="46"/>
        <v>0.15817223198594021</v>
      </c>
      <c r="V14" s="249">
        <f t="shared" si="46"/>
        <v>6.531914893617019E-2</v>
      </c>
      <c r="W14" s="3">
        <f t="shared" si="46"/>
        <v>0.10949529512403755</v>
      </c>
      <c r="X14" s="3">
        <f t="shared" si="46"/>
        <v>7.5818036711891468E-2</v>
      </c>
      <c r="Y14" s="3">
        <f t="shared" si="46"/>
        <v>9.1554853985793105E-2</v>
      </c>
      <c r="Z14" s="3">
        <f t="shared" si="46"/>
        <v>5.3110773899849306E-3</v>
      </c>
      <c r="AA14" s="249">
        <f t="shared" si="46"/>
        <v>6.9103255442380718E-2</v>
      </c>
      <c r="AB14" s="3">
        <f t="shared" si="46"/>
        <v>-3.8550501156514594E-3</v>
      </c>
      <c r="AC14" s="3">
        <f t="shared" si="46"/>
        <v>1.5578635014836806E-2</v>
      </c>
      <c r="AD14" s="3">
        <f t="shared" si="46"/>
        <v>4.4107013738250211E-2</v>
      </c>
      <c r="AE14" s="3">
        <f t="shared" si="46"/>
        <v>-7.547169811320531E-4</v>
      </c>
      <c r="AF14" s="249">
        <f t="shared" si="46"/>
        <v>1.419764617971242E-2</v>
      </c>
      <c r="AG14" s="3">
        <f t="shared" si="46"/>
        <v>-3.5603715170278605E-2</v>
      </c>
      <c r="AH14" s="3">
        <f t="shared" si="46"/>
        <v>-8.4733382030679372E-2</v>
      </c>
      <c r="AI14" s="3">
        <f t="shared" si="46"/>
        <v>-0.18213296398891965</v>
      </c>
      <c r="AJ14" s="3">
        <f t="shared" si="46"/>
        <v>-0.17900302114803623</v>
      </c>
      <c r="AK14" s="249">
        <f>AK13/AF13-1</f>
        <v>-0.12193774175722971</v>
      </c>
      <c r="AL14" s="3">
        <f t="shared" si="46"/>
        <v>-0.1284109149277689</v>
      </c>
      <c r="AM14" s="3">
        <f t="shared" si="46"/>
        <v>-9.4173982442138815E-2</v>
      </c>
      <c r="AN14" s="3">
        <f t="shared" si="46"/>
        <v>-1.6934801016088019E-2</v>
      </c>
      <c r="AO14" s="3">
        <f t="shared" si="46"/>
        <v>4.2318307267709354E-2</v>
      </c>
      <c r="AP14" s="262">
        <f>AP13/AK13-1</f>
        <v>-5.2863436123347984E-2</v>
      </c>
      <c r="AQ14" s="3">
        <f t="shared" si="46"/>
        <v>4.143646408839774E-2</v>
      </c>
      <c r="AR14" s="3">
        <f t="shared" si="46"/>
        <v>2.6431718061674658E-3</v>
      </c>
      <c r="AS14" s="3">
        <f t="shared" si="46"/>
        <v>-2.4978466838931901E-2</v>
      </c>
      <c r="AT14" s="3">
        <f t="shared" si="46"/>
        <v>-5.1191526919682206E-2</v>
      </c>
      <c r="AU14" s="262">
        <f>AU13/AP13-1</f>
        <v>-8.6378737541528139E-3</v>
      </c>
      <c r="AV14" s="3">
        <f t="shared" si="46"/>
        <v>-5.9239610963748857E-2</v>
      </c>
      <c r="AW14" s="3">
        <f t="shared" si="46"/>
        <v>-6.2390158172232035E-2</v>
      </c>
      <c r="AX14" s="3">
        <f t="shared" si="46"/>
        <v>-4.5053003533568892E-2</v>
      </c>
      <c r="AY14" s="3">
        <f t="shared" si="46"/>
        <v>1.4883720930232602E-2</v>
      </c>
      <c r="AZ14" s="262">
        <f>AZ13/AU13-1</f>
        <v>-3.8650580875781992E-2</v>
      </c>
      <c r="BA14" s="3">
        <f t="shared" si="46"/>
        <v>3.5714285714285809E-2</v>
      </c>
      <c r="BB14" s="3">
        <f t="shared" si="46"/>
        <v>3.2802249297094743E-2</v>
      </c>
      <c r="BC14" s="3">
        <f t="shared" si="46"/>
        <v>2.0351526364477346E-2</v>
      </c>
      <c r="BD14" s="3">
        <f t="shared" si="46"/>
        <v>1.8331805682860747E-3</v>
      </c>
      <c r="BE14" s="262">
        <f>BE13/AZ13-1</f>
        <v>2.2542412270508905E-2</v>
      </c>
      <c r="BF14" s="3">
        <f t="shared" si="46"/>
        <v>-2.4500907441016295E-2</v>
      </c>
      <c r="BG14" s="3">
        <f t="shared" si="46"/>
        <v>-9.9818511796733178E-3</v>
      </c>
      <c r="BH14" s="3">
        <f t="shared" si="46"/>
        <v>4.5330915684496098E-3</v>
      </c>
      <c r="BI14" s="3">
        <f t="shared" si="46"/>
        <v>-2.7447392497712553E-3</v>
      </c>
      <c r="BJ14" s="262">
        <f>BJ13/BE13-1</f>
        <v>-8.181818181818179E-3</v>
      </c>
      <c r="BK14" s="3">
        <f t="shared" si="46"/>
        <v>1.8604651162790198E-3</v>
      </c>
      <c r="BL14" s="3">
        <f t="shared" si="46"/>
        <v>-9.1659028414299293E-3</v>
      </c>
      <c r="BM14" s="3">
        <f t="shared" si="46"/>
        <v>-1.2635379061371799E-2</v>
      </c>
      <c r="BN14" s="3">
        <f t="shared" si="46"/>
        <v>-9.1743119266052275E-4</v>
      </c>
      <c r="BO14" s="262">
        <f>BO13/BJ13-1</f>
        <v>-5.2703941338221316E-3</v>
      </c>
      <c r="BP14" s="3">
        <f t="shared" si="46"/>
        <v>1.3927576601671321E-2</v>
      </c>
      <c r="BQ14" s="3">
        <f t="shared" si="46"/>
        <v>6.4754856614246403E-3</v>
      </c>
      <c r="BR14" s="3">
        <f t="shared" si="46"/>
        <v>-8.2266910420475403E-3</v>
      </c>
      <c r="BS14" s="3">
        <f t="shared" si="46"/>
        <v>5.5096418732782926E-3</v>
      </c>
      <c r="BT14" s="262">
        <f>BT13/BO13-1</f>
        <v>4.3768716885510539E-3</v>
      </c>
      <c r="BU14" s="3">
        <f t="shared" si="46"/>
        <v>2.7472527472527375E-3</v>
      </c>
      <c r="BV14" s="3">
        <f t="shared" si="46"/>
        <v>0</v>
      </c>
      <c r="BW14" s="3">
        <f t="shared" si="46"/>
        <v>-2.7649769585254003E-3</v>
      </c>
      <c r="BX14" s="3">
        <f t="shared" ref="BX14:CG14" si="47">BX13/BS13-1</f>
        <v>-6.3926940639269514E-3</v>
      </c>
      <c r="BY14" s="262">
        <f t="shared" si="47"/>
        <v>-1.6055045871559148E-3</v>
      </c>
      <c r="BZ14" s="3">
        <f t="shared" si="47"/>
        <v>1.8264840182649067E-3</v>
      </c>
      <c r="CA14" s="3">
        <f t="shared" si="47"/>
        <v>-2.7573529411765163E-3</v>
      </c>
      <c r="CB14" s="3">
        <f t="shared" si="47"/>
        <v>1.109057301293892E-2</v>
      </c>
      <c r="CC14" s="3">
        <f t="shared" si="47"/>
        <v>4.5955882352941568E-3</v>
      </c>
      <c r="CD14" s="262">
        <f t="shared" si="47"/>
        <v>3.6756260050538891E-3</v>
      </c>
      <c r="CE14" s="3">
        <f t="shared" si="47"/>
        <v>1.0938924339106704E-2</v>
      </c>
      <c r="CF14" s="3">
        <f t="shared" si="47"/>
        <v>1.1059907834101379E-2</v>
      </c>
      <c r="CG14" s="3">
        <f t="shared" si="47"/>
        <v>-3.6563071297989191E-3</v>
      </c>
      <c r="CH14" s="3">
        <f t="shared" ref="CH14" si="48">CH13/CC13-1</f>
        <v>-1.4638609332113472E-2</v>
      </c>
      <c r="CI14" s="262">
        <f t="shared" ref="CI14:CL14" si="49">CI13/CD13-1</f>
        <v>9.1554131380178205E-4</v>
      </c>
      <c r="CJ14" s="3">
        <f t="shared" si="49"/>
        <v>-2.7051397655545539E-2</v>
      </c>
      <c r="CK14" s="3">
        <f t="shared" si="49"/>
        <v>-2.5524156791248864E-2</v>
      </c>
      <c r="CL14" s="3">
        <f t="shared" si="49"/>
        <v>-1.9266055045871533E-2</v>
      </c>
      <c r="CM14" s="3">
        <f t="shared" ref="CM14" si="50">CM13/CH13-1</f>
        <v>-5.5710306406685506E-3</v>
      </c>
      <c r="CN14" s="262">
        <f t="shared" ref="CN14" si="51">CN13/CI13-1</f>
        <v>-1.9437457123256396E-2</v>
      </c>
      <c r="CO14" s="4">
        <v>1.6E-2</v>
      </c>
      <c r="CP14" s="4">
        <v>0.02</v>
      </c>
      <c r="CQ14" s="4">
        <v>1.4999999999999999E-2</v>
      </c>
      <c r="CR14" s="4">
        <v>1.4999999999999999E-2</v>
      </c>
      <c r="CS14" s="262">
        <f>CS13/CN13-1</f>
        <v>1.6498134328358116E-2</v>
      </c>
      <c r="CT14" s="3"/>
      <c r="CU14" s="3"/>
      <c r="CV14" s="4"/>
      <c r="CW14" s="4"/>
      <c r="CX14" s="417">
        <v>0.01</v>
      </c>
      <c r="CY14" s="3"/>
      <c r="CZ14" s="3"/>
      <c r="DA14" s="4"/>
      <c r="DB14" s="4"/>
      <c r="DC14" s="417">
        <v>0.01</v>
      </c>
      <c r="DD14" s="25"/>
      <c r="DE14" s="178"/>
      <c r="DJ14" s="432" t="s">
        <v>496</v>
      </c>
      <c r="DK14" s="389"/>
      <c r="DL14" s="392"/>
      <c r="DM14" s="433"/>
      <c r="DN14" s="593"/>
      <c r="DO14" s="593"/>
      <c r="DP14" s="595"/>
      <c r="DQ14" s="595"/>
      <c r="DR14" s="487"/>
      <c r="DS14" s="19"/>
    </row>
    <row r="15" spans="1:131" x14ac:dyDescent="0.2">
      <c r="A15" s="22" t="s">
        <v>237</v>
      </c>
      <c r="B15" s="253"/>
      <c r="C15" s="20"/>
      <c r="D15" s="20"/>
      <c r="E15" s="20"/>
      <c r="F15" s="37"/>
      <c r="G15" s="253"/>
      <c r="H15" s="822">
        <v>0.64441899999999996</v>
      </c>
      <c r="I15" s="822">
        <v>0.75393699999999997</v>
      </c>
      <c r="J15" s="822">
        <v>0.791551</v>
      </c>
      <c r="K15" s="822">
        <v>0.92691000000000001</v>
      </c>
      <c r="L15" s="253">
        <f>SUM(H15:K15)</f>
        <v>3.1168169999999997</v>
      </c>
      <c r="M15" s="822">
        <v>1.180917</v>
      </c>
      <c r="N15" s="822">
        <v>1.3329059999999999</v>
      </c>
      <c r="O15" s="822">
        <v>1.501946</v>
      </c>
      <c r="P15" s="822">
        <v>1.7363360000000001</v>
      </c>
      <c r="Q15" s="253">
        <f>SUM(M15:P15)</f>
        <v>5.7521050000000002</v>
      </c>
      <c r="R15" s="822">
        <v>2.0106169999999999</v>
      </c>
      <c r="S15" s="822">
        <v>2.2099199999999999</v>
      </c>
      <c r="T15" s="822">
        <v>2.4135049999999998</v>
      </c>
      <c r="U15" s="822">
        <v>2.37751</v>
      </c>
      <c r="V15" s="253">
        <f>SUM(R15:U15)</f>
        <v>9.011552</v>
      </c>
      <c r="W15" s="822">
        <v>2.6500729999999999</v>
      </c>
      <c r="X15" s="822">
        <v>2.9206970000000001</v>
      </c>
      <c r="Y15" s="822">
        <v>3.0333380000000001</v>
      </c>
      <c r="Z15" s="822">
        <v>3.1785169999999998</v>
      </c>
      <c r="AA15" s="253">
        <f>SUM(W15:Z15)</f>
        <v>11.782624999999999</v>
      </c>
      <c r="AB15" s="822">
        <v>3.4000859999999999</v>
      </c>
      <c r="AC15" s="822">
        <v>3.6959059999999999</v>
      </c>
      <c r="AD15" s="822">
        <v>3.7825669999999998</v>
      </c>
      <c r="AE15" s="822">
        <v>3.8505069999999999</v>
      </c>
      <c r="AF15" s="253">
        <f>SUM(AB15:AE15)</f>
        <v>14.729066</v>
      </c>
      <c r="AG15" s="822">
        <v>4.335</v>
      </c>
      <c r="AH15" s="822">
        <v>4.5250000000000004</v>
      </c>
      <c r="AI15" s="822">
        <v>4.7729999999999997</v>
      </c>
      <c r="AJ15" s="822">
        <v>4.9320000000000004</v>
      </c>
      <c r="AK15" s="253">
        <f>SUM(AG15:AJ15)</f>
        <v>18.564999999999998</v>
      </c>
      <c r="AL15" s="822">
        <v>5.0910000000000002</v>
      </c>
      <c r="AM15" s="822">
        <v>5.5869999999999997</v>
      </c>
      <c r="AN15" s="822">
        <v>5.5279999999999996</v>
      </c>
      <c r="AO15" s="822">
        <v>5.181</v>
      </c>
      <c r="AP15" s="253">
        <f>SUM(AL15:AO15)</f>
        <v>21.387</v>
      </c>
      <c r="AQ15" s="822">
        <v>5.5179999999999998</v>
      </c>
      <c r="AR15" s="822">
        <v>5.6369999999999996</v>
      </c>
      <c r="AS15" s="822">
        <v>5.6369999999999996</v>
      </c>
      <c r="AT15" s="822">
        <v>5.3</v>
      </c>
      <c r="AU15" s="253">
        <f>SUM(AQ15:AT15)</f>
        <v>22.091999999999999</v>
      </c>
      <c r="AV15" s="822">
        <v>5.2910000000000004</v>
      </c>
      <c r="AW15" s="822">
        <v>5.6909999999999998</v>
      </c>
      <c r="AX15" s="822">
        <v>6.0112509999999997</v>
      </c>
      <c r="AY15" s="822">
        <v>5.4569999999999999</v>
      </c>
      <c r="AZ15" s="253">
        <f>SUM(AV15:AY15)</f>
        <v>22.450251000000002</v>
      </c>
      <c r="BA15" s="822">
        <v>5.5283329999999999</v>
      </c>
      <c r="BB15" s="822">
        <v>6.1134079999999997</v>
      </c>
      <c r="BC15" s="822">
        <v>6.6625907655863212</v>
      </c>
      <c r="BD15" s="822">
        <v>6.0389999999999997</v>
      </c>
      <c r="BE15" s="253">
        <f>SUM(BA15:BD15)</f>
        <v>24.343331765586321</v>
      </c>
      <c r="BF15" s="822">
        <v>6.0386930000000003</v>
      </c>
      <c r="BG15" s="822">
        <v>6.6219999999999999</v>
      </c>
      <c r="BH15" s="822">
        <v>7.016</v>
      </c>
      <c r="BI15" s="822">
        <v>6.6929999999999996</v>
      </c>
      <c r="BJ15" s="253">
        <f>SUM(BF15:BI15)</f>
        <v>26.369692999999998</v>
      </c>
      <c r="BK15" s="822">
        <v>6.8529999999999998</v>
      </c>
      <c r="BL15" s="822">
        <v>7.3380000000000001</v>
      </c>
      <c r="BM15" s="822">
        <v>7.7469999999999999</v>
      </c>
      <c r="BN15" s="822">
        <v>7.0179999999999998</v>
      </c>
      <c r="BO15" s="253">
        <f>SUM(BK15:BN15)</f>
        <v>28.956</v>
      </c>
      <c r="BP15" s="822">
        <v>7.3</v>
      </c>
      <c r="BQ15" s="822">
        <v>7.7530000000000001</v>
      </c>
      <c r="BR15" s="822">
        <v>8.0589999999999993</v>
      </c>
      <c r="BS15" s="822">
        <v>7.351</v>
      </c>
      <c r="BT15" s="253">
        <f>SUM(BP15:BS15)</f>
        <v>30.463000000000001</v>
      </c>
      <c r="BU15" s="822">
        <v>7.3330000000000002</v>
      </c>
      <c r="BV15" s="822">
        <v>8.1790000000000003</v>
      </c>
      <c r="BW15" s="822">
        <v>8.5790000000000006</v>
      </c>
      <c r="BX15" s="822">
        <v>7.9870000000000001</v>
      </c>
      <c r="BY15" s="253">
        <f>SUM(BU15:BX15)</f>
        <v>32.078000000000003</v>
      </c>
      <c r="BZ15" s="822">
        <v>8.0950000000000006</v>
      </c>
      <c r="CA15" s="822">
        <v>8.8580000000000005</v>
      </c>
      <c r="CB15" s="822">
        <v>9.2370000000000001</v>
      </c>
      <c r="CC15" s="822">
        <v>8.9109999999999996</v>
      </c>
      <c r="CD15" s="253">
        <f>SUM(BZ15:CC15)</f>
        <v>35.101000000000006</v>
      </c>
      <c r="CE15" s="822">
        <v>9.1189999999999998</v>
      </c>
      <c r="CF15" s="822">
        <v>9.66</v>
      </c>
      <c r="CG15" s="822">
        <v>9.9529999999999994</v>
      </c>
      <c r="CH15" s="822">
        <v>9.532</v>
      </c>
      <c r="CI15" s="253">
        <f>SUM(CE15:CH15)</f>
        <v>38.263999999999996</v>
      </c>
      <c r="CJ15" s="822">
        <v>9.7110000000000003</v>
      </c>
      <c r="CK15" s="822">
        <v>10.313000000000001</v>
      </c>
      <c r="CL15" s="822">
        <v>10.227</v>
      </c>
      <c r="CM15" s="822">
        <v>9.7870000000000008</v>
      </c>
      <c r="CN15" s="253">
        <f>SUM(CJ15:CM15)</f>
        <v>40.038000000000004</v>
      </c>
      <c r="CO15" s="37">
        <f t="shared" ref="CO15" si="52">CO4/CO17</f>
        <v>10.479198263263273</v>
      </c>
      <c r="CP15" s="37">
        <f t="shared" ref="CP15:CR15" si="53">CP4/CP17</f>
        <v>11.615829612321326</v>
      </c>
      <c r="CQ15" s="37">
        <f t="shared" si="53"/>
        <v>12.046818316639669</v>
      </c>
      <c r="CR15" s="37">
        <f t="shared" si="53"/>
        <v>11.17276515315967</v>
      </c>
      <c r="CS15" s="253">
        <f>SUM(CO15:CR15)</f>
        <v>45.314611345383938</v>
      </c>
      <c r="CT15" s="37"/>
      <c r="CU15" s="37"/>
      <c r="CV15" s="37"/>
      <c r="CW15" s="37"/>
      <c r="CX15" s="253">
        <f>CX4/CX17</f>
        <v>47.998479633095428</v>
      </c>
      <c r="CY15" s="37"/>
      <c r="CZ15" s="37"/>
      <c r="DA15" s="37"/>
      <c r="DB15" s="37"/>
      <c r="DC15" s="253">
        <f>DC4/DC17</f>
        <v>50.849874462784264</v>
      </c>
      <c r="DD15" s="25"/>
      <c r="DE15" s="178"/>
      <c r="DJ15" s="430"/>
      <c r="DK15" s="389"/>
      <c r="DL15" s="433"/>
      <c r="DM15" s="436"/>
      <c r="DN15" s="593"/>
      <c r="DO15" s="593"/>
      <c r="DP15" s="595"/>
      <c r="DQ15" s="595"/>
      <c r="DR15" s="487"/>
      <c r="DS15" s="19"/>
    </row>
    <row r="16" spans="1:131" x14ac:dyDescent="0.2">
      <c r="A16" s="11" t="s">
        <v>131</v>
      </c>
      <c r="B16" s="249"/>
      <c r="C16" s="20"/>
      <c r="D16" s="20"/>
      <c r="E16" s="20"/>
      <c r="F16" s="20"/>
      <c r="G16" s="249"/>
      <c r="H16" s="3"/>
      <c r="I16" s="3"/>
      <c r="J16" s="3"/>
      <c r="K16" s="3"/>
      <c r="L16" s="249"/>
      <c r="M16" s="3">
        <f t="shared" ref="M16:AW16" si="54">M15/H15-1</f>
        <v>0.83252976712356408</v>
      </c>
      <c r="N16" s="3">
        <f t="shared" si="54"/>
        <v>0.76792755893396936</v>
      </c>
      <c r="O16" s="3">
        <f t="shared" si="54"/>
        <v>0.89747217804032831</v>
      </c>
      <c r="P16" s="3">
        <f t="shared" si="54"/>
        <v>0.87325198778737967</v>
      </c>
      <c r="Q16" s="249">
        <f t="shared" si="54"/>
        <v>0.84550616863293571</v>
      </c>
      <c r="R16" s="3">
        <f t="shared" si="54"/>
        <v>0.70258959774480334</v>
      </c>
      <c r="S16" s="3">
        <f t="shared" si="54"/>
        <v>0.65797137982723464</v>
      </c>
      <c r="T16" s="3">
        <f t="shared" si="54"/>
        <v>0.60691862423815479</v>
      </c>
      <c r="U16" s="3">
        <f t="shared" si="54"/>
        <v>0.36926839044977466</v>
      </c>
      <c r="V16" s="249">
        <f t="shared" si="54"/>
        <v>0.56665290358920761</v>
      </c>
      <c r="W16" s="3">
        <f t="shared" si="54"/>
        <v>0.3180396863251429</v>
      </c>
      <c r="X16" s="3">
        <f t="shared" si="54"/>
        <v>0.32163019475818144</v>
      </c>
      <c r="Y16" s="3">
        <f t="shared" si="54"/>
        <v>0.25681861027841268</v>
      </c>
      <c r="Z16" s="3">
        <f t="shared" si="54"/>
        <v>0.33691004454239937</v>
      </c>
      <c r="AA16" s="249">
        <f t="shared" si="54"/>
        <v>0.30750230370972709</v>
      </c>
      <c r="AB16" s="3">
        <f t="shared" si="54"/>
        <v>0.2830159772957197</v>
      </c>
      <c r="AC16" s="3">
        <f t="shared" si="54"/>
        <v>0.26541917905212342</v>
      </c>
      <c r="AD16" s="3">
        <f t="shared" si="54"/>
        <v>0.24699819143135371</v>
      </c>
      <c r="AE16" s="3">
        <f t="shared" si="54"/>
        <v>0.21141620447523168</v>
      </c>
      <c r="AF16" s="249">
        <f t="shared" si="54"/>
        <v>0.25006660230636224</v>
      </c>
      <c r="AG16" s="3">
        <f t="shared" si="54"/>
        <v>0.27496775081571467</v>
      </c>
      <c r="AH16" s="3">
        <f t="shared" si="54"/>
        <v>0.22432767500039241</v>
      </c>
      <c r="AI16" s="3">
        <f>AI15/AD15-1</f>
        <v>0.26184149547119717</v>
      </c>
      <c r="AJ16" s="3">
        <f t="shared" si="54"/>
        <v>0.28087028539358605</v>
      </c>
      <c r="AK16" s="249">
        <f>AK15/AF15-1</f>
        <v>0.2604329425912002</v>
      </c>
      <c r="AL16" s="3">
        <f t="shared" si="54"/>
        <v>0.17439446366782008</v>
      </c>
      <c r="AM16" s="3">
        <f t="shared" si="54"/>
        <v>0.23469613259668498</v>
      </c>
      <c r="AN16" s="3">
        <f t="shared" si="54"/>
        <v>0.1581814372512047</v>
      </c>
      <c r="AO16" s="3">
        <f t="shared" si="54"/>
        <v>5.0486618004866202E-2</v>
      </c>
      <c r="AP16" s="249">
        <f>AP15/AK15-1</f>
        <v>0.15200646377592264</v>
      </c>
      <c r="AQ16" s="3">
        <f t="shared" si="54"/>
        <v>8.3873502258888122E-2</v>
      </c>
      <c r="AR16" s="3">
        <f t="shared" si="54"/>
        <v>8.9493466976910963E-3</v>
      </c>
      <c r="AS16" s="3">
        <f t="shared" si="54"/>
        <v>1.9717800289435594E-2</v>
      </c>
      <c r="AT16" s="3">
        <f t="shared" si="54"/>
        <v>2.2968538892105705E-2</v>
      </c>
      <c r="AU16" s="249">
        <f t="shared" ref="AU16:AZ16" si="55">AU15/AP15-1</f>
        <v>3.2963950063122471E-2</v>
      </c>
      <c r="AV16" s="3">
        <f t="shared" si="54"/>
        <v>-4.1138093512141927E-2</v>
      </c>
      <c r="AW16" s="3">
        <f t="shared" si="54"/>
        <v>9.5795635976583249E-3</v>
      </c>
      <c r="AX16" s="3">
        <f t="shared" si="55"/>
        <v>6.6391875110874521E-2</v>
      </c>
      <c r="AY16" s="3">
        <f t="shared" si="55"/>
        <v>2.9622641509434056E-2</v>
      </c>
      <c r="AZ16" s="249">
        <f t="shared" si="55"/>
        <v>1.6216322650733472E-2</v>
      </c>
      <c r="BA16" s="3">
        <f t="shared" ref="BA16:BW16" si="56">BA15/AV15-1</f>
        <v>4.4855981855981719E-2</v>
      </c>
      <c r="BB16" s="3">
        <f t="shared" si="56"/>
        <v>7.4223862238622429E-2</v>
      </c>
      <c r="BC16" s="3">
        <f t="shared" si="56"/>
        <v>0.10835344682601367</v>
      </c>
      <c r="BD16" s="3">
        <f t="shared" si="56"/>
        <v>0.10665200659703133</v>
      </c>
      <c r="BE16" s="249">
        <f t="shared" si="56"/>
        <v>8.4323367502052271E-2</v>
      </c>
      <c r="BF16" s="3">
        <f t="shared" si="56"/>
        <v>9.2317159621173372E-2</v>
      </c>
      <c r="BG16" s="3">
        <f t="shared" si="56"/>
        <v>8.319287703356304E-2</v>
      </c>
      <c r="BH16" s="3">
        <f t="shared" si="56"/>
        <v>5.3043815363703839E-2</v>
      </c>
      <c r="BI16" s="3">
        <f t="shared" si="56"/>
        <v>0.10829607550919018</v>
      </c>
      <c r="BJ16" s="249">
        <f t="shared" si="56"/>
        <v>8.3240915989909903E-2</v>
      </c>
      <c r="BK16" s="3">
        <f t="shared" si="56"/>
        <v>0.13484821963958082</v>
      </c>
      <c r="BL16" s="3">
        <f t="shared" si="56"/>
        <v>0.10812443370582914</v>
      </c>
      <c r="BM16" s="3">
        <f t="shared" si="56"/>
        <v>0.10419042189281646</v>
      </c>
      <c r="BN16" s="3">
        <f t="shared" si="56"/>
        <v>4.8558195129239534E-2</v>
      </c>
      <c r="BO16" s="249">
        <f t="shared" si="56"/>
        <v>9.8078767924981269E-2</v>
      </c>
      <c r="BP16" s="3">
        <f t="shared" si="56"/>
        <v>6.5226907923537247E-2</v>
      </c>
      <c r="BQ16" s="3">
        <f t="shared" si="56"/>
        <v>5.6554919596620401E-2</v>
      </c>
      <c r="BR16" s="3">
        <f t="shared" si="56"/>
        <v>4.0273654317800389E-2</v>
      </c>
      <c r="BS16" s="3">
        <f t="shared" si="56"/>
        <v>4.7449415787973903E-2</v>
      </c>
      <c r="BT16" s="249">
        <f>BT15/BO15-1</f>
        <v>5.2044481281945165E-2</v>
      </c>
      <c r="BU16" s="3">
        <f t="shared" si="56"/>
        <v>4.5205479452055108E-3</v>
      </c>
      <c r="BV16" s="3">
        <f t="shared" si="56"/>
        <v>5.4946472333290419E-2</v>
      </c>
      <c r="BW16" s="3">
        <f t="shared" si="56"/>
        <v>6.452413450800365E-2</v>
      </c>
      <c r="BX16" s="3">
        <f>BX15/BS15-1</f>
        <v>8.6518840974017186E-2</v>
      </c>
      <c r="BY16" s="249">
        <f>BY15/BT15-1</f>
        <v>5.3015133112300328E-2</v>
      </c>
      <c r="BZ16" s="3">
        <f>BZ15/BU15-1</f>
        <v>0.10391381426428481</v>
      </c>
      <c r="CA16" s="3">
        <f>CA15/BV15-1</f>
        <v>8.3017483799975533E-2</v>
      </c>
      <c r="CB16" s="3">
        <f>CB15/BW15-1</f>
        <v>7.6698915957570835E-2</v>
      </c>
      <c r="CC16" s="3">
        <f t="shared" ref="CC16:CD16" si="57">CC15/BX15-1</f>
        <v>0.11568799298860633</v>
      </c>
      <c r="CD16" s="249">
        <f t="shared" si="57"/>
        <v>9.4239042334310241E-2</v>
      </c>
      <c r="CE16" s="3">
        <f>CE15/BZ15-1</f>
        <v>0.12649783817171079</v>
      </c>
      <c r="CF16" s="3">
        <f>CF15/CA15-1</f>
        <v>9.0539625197561424E-2</v>
      </c>
      <c r="CG16" s="3">
        <f>CG15/CB15-1</f>
        <v>7.7514344484139741E-2</v>
      </c>
      <c r="CH16" s="3">
        <f t="shared" ref="CH16" si="58">CH15/CC15-1</f>
        <v>6.9689148243743837E-2</v>
      </c>
      <c r="CI16" s="249">
        <f t="shared" ref="CI16:CR16" si="59">CI15/CD15-1</f>
        <v>9.0111392837810556E-2</v>
      </c>
      <c r="CJ16" s="3">
        <f>CJ15/CE15-1</f>
        <v>6.4919399056914129E-2</v>
      </c>
      <c r="CK16" s="3">
        <f>CK15/CF15-1</f>
        <v>6.7598343685300266E-2</v>
      </c>
      <c r="CL16" s="3">
        <f>CL15/CG15-1</f>
        <v>2.7529388124183818E-2</v>
      </c>
      <c r="CM16" s="3">
        <f t="shared" ref="CM16" si="60">CM15/CH15-1</f>
        <v>2.6751993285774267E-2</v>
      </c>
      <c r="CN16" s="249">
        <f t="shared" ref="CN16" si="61">CN15/CI15-1</f>
        <v>4.6362115826887207E-2</v>
      </c>
      <c r="CO16" s="3">
        <f t="shared" si="59"/>
        <v>7.9105989420582112E-2</v>
      </c>
      <c r="CP16" s="3">
        <f t="shared" si="59"/>
        <v>0.12632886767393825</v>
      </c>
      <c r="CQ16" s="3">
        <f t="shared" si="59"/>
        <v>0.17794253609461896</v>
      </c>
      <c r="CR16" s="3">
        <f t="shared" si="59"/>
        <v>0.14159243416365275</v>
      </c>
      <c r="CS16" s="249">
        <f>CS15/CN15-1</f>
        <v>0.13179008305569551</v>
      </c>
      <c r="CT16" s="3"/>
      <c r="CU16" s="3"/>
      <c r="CV16" s="3"/>
      <c r="CW16" s="3"/>
      <c r="CX16" s="249">
        <f>CX15/CS15-1</f>
        <v>5.9227436979549131E-2</v>
      </c>
      <c r="CY16" s="3"/>
      <c r="CZ16" s="3"/>
      <c r="DA16" s="3"/>
      <c r="DB16" s="3"/>
      <c r="DC16" s="249">
        <f>DC15/CX15-1</f>
        <v>5.9405940594059459E-2</v>
      </c>
      <c r="DD16" s="25"/>
      <c r="DE16" s="178"/>
      <c r="DJ16" s="430"/>
      <c r="DK16" s="389"/>
      <c r="DL16" s="430"/>
      <c r="DM16" s="399"/>
      <c r="DN16" s="593"/>
      <c r="DO16" s="593"/>
      <c r="DP16" s="612"/>
      <c r="DQ16" s="595"/>
      <c r="DR16" s="487"/>
      <c r="DS16" s="19"/>
    </row>
    <row r="17" spans="1:131" x14ac:dyDescent="0.2">
      <c r="A17" s="213" t="s">
        <v>323</v>
      </c>
      <c r="B17" s="252"/>
      <c r="C17" s="36"/>
      <c r="D17" s="36"/>
      <c r="E17" s="36"/>
      <c r="F17" s="36"/>
      <c r="G17" s="252"/>
      <c r="H17" s="36"/>
      <c r="I17" s="36"/>
      <c r="J17" s="36"/>
      <c r="K17" s="36"/>
      <c r="L17" s="252">
        <f t="shared" ref="L17:AH17" si="62">(L4/L15)</f>
        <v>1052.9443980830445</v>
      </c>
      <c r="M17" s="36">
        <f t="shared" si="62"/>
        <v>1104.4595005406816</v>
      </c>
      <c r="N17" s="36">
        <f t="shared" si="62"/>
        <v>1219.542863487748</v>
      </c>
      <c r="O17" s="36">
        <f t="shared" si="62"/>
        <v>1257.1364083662129</v>
      </c>
      <c r="P17" s="36">
        <f t="shared" si="62"/>
        <v>1162.1402769970789</v>
      </c>
      <c r="Q17" s="252">
        <f t="shared" si="62"/>
        <v>1188.4045927534355</v>
      </c>
      <c r="R17" s="36">
        <f t="shared" si="62"/>
        <v>1181.1528500952693</v>
      </c>
      <c r="S17" s="36">
        <f t="shared" si="62"/>
        <v>1264.7589052997394</v>
      </c>
      <c r="T17" s="36">
        <f t="shared" si="62"/>
        <v>1346.1575592343916</v>
      </c>
      <c r="U17" s="36">
        <f t="shared" si="62"/>
        <v>1307.3025980963278</v>
      </c>
      <c r="V17" s="252">
        <f t="shared" si="62"/>
        <v>1279.1298324639306</v>
      </c>
      <c r="W17" s="36">
        <f t="shared" si="62"/>
        <v>1272.5290963682887</v>
      </c>
      <c r="X17" s="36">
        <f t="shared" si="62"/>
        <v>1347.4129634125006</v>
      </c>
      <c r="Y17" s="36">
        <f t="shared" si="62"/>
        <v>1383.2965531701379</v>
      </c>
      <c r="Z17" s="36">
        <f t="shared" si="62"/>
        <v>1329.7446576500929</v>
      </c>
      <c r="AA17" s="252">
        <f t="shared" si="62"/>
        <v>1335.0422337976472</v>
      </c>
      <c r="AB17" s="36">
        <f t="shared" si="62"/>
        <v>1304.2399515776956</v>
      </c>
      <c r="AC17" s="36">
        <f t="shared" si="62"/>
        <v>1386.5853189989141</v>
      </c>
      <c r="AD17" s="36">
        <f t="shared" si="62"/>
        <v>1449.7617623164376</v>
      </c>
      <c r="AE17" s="36">
        <f t="shared" si="62"/>
        <v>1339.3090831934601</v>
      </c>
      <c r="AF17" s="252">
        <f t="shared" si="62"/>
        <v>1371.4418144368422</v>
      </c>
      <c r="AG17" s="36">
        <f t="shared" si="62"/>
        <v>1277.0472895040368</v>
      </c>
      <c r="AH17" s="36">
        <f t="shared" si="62"/>
        <v>1309.1712707182319</v>
      </c>
      <c r="AI17" s="36">
        <f>AI13*1.025</f>
        <v>1210.5249999999999</v>
      </c>
      <c r="AJ17" s="36">
        <f t="shared" ref="AJ17:AS17" si="63">(AJ4/AJ15)</f>
        <v>1175.5879967558799</v>
      </c>
      <c r="AK17" s="252">
        <f t="shared" si="63"/>
        <v>1256.1271209264746</v>
      </c>
      <c r="AL17" s="36">
        <f t="shared" si="63"/>
        <v>1167.1577293262619</v>
      </c>
      <c r="AM17" s="36">
        <f t="shared" si="63"/>
        <v>1205.6559871129409</v>
      </c>
      <c r="AN17" s="36">
        <f t="shared" si="63"/>
        <v>1238.7843704775689</v>
      </c>
      <c r="AO17" s="36">
        <f t="shared" si="63"/>
        <v>1198.8033198224282</v>
      </c>
      <c r="AP17" s="252">
        <f t="shared" si="63"/>
        <v>1203.394585495862</v>
      </c>
      <c r="AQ17" s="36">
        <f t="shared" si="63"/>
        <v>1189.3802102210946</v>
      </c>
      <c r="AR17" s="36">
        <f t="shared" si="63"/>
        <v>1198.5098456625865</v>
      </c>
      <c r="AS17" s="36">
        <f t="shared" si="63"/>
        <v>1214.8305836437823</v>
      </c>
      <c r="AT17" s="36">
        <v>1117</v>
      </c>
      <c r="AU17" s="252">
        <f t="shared" ref="AU17:BG17" si="64">(AU4/AU15)</f>
        <v>1180.1104472207135</v>
      </c>
      <c r="AV17" s="36">
        <f t="shared" si="64"/>
        <v>1141.5611415611415</v>
      </c>
      <c r="AW17" s="36">
        <f t="shared" si="64"/>
        <v>1150.0615006150063</v>
      </c>
      <c r="AX17" s="36">
        <f t="shared" si="64"/>
        <v>1168.9746443793481</v>
      </c>
      <c r="AY17" s="36">
        <f t="shared" si="64"/>
        <v>1162.3588052043247</v>
      </c>
      <c r="AZ17" s="252">
        <f t="shared" si="64"/>
        <v>1156.1114394667568</v>
      </c>
      <c r="BA17" s="36">
        <f t="shared" si="64"/>
        <v>1170.3301881417058</v>
      </c>
      <c r="BB17" s="36">
        <f t="shared" si="64"/>
        <v>1165.6871257406672</v>
      </c>
      <c r="BC17" s="36">
        <f t="shared" si="64"/>
        <v>1155.5564900919549</v>
      </c>
      <c r="BD17" s="36">
        <f t="shared" si="64"/>
        <v>1156.4879947011093</v>
      </c>
      <c r="BE17" s="252">
        <f t="shared" si="64"/>
        <v>1161.6867926015748</v>
      </c>
      <c r="BF17" s="36">
        <f t="shared" si="64"/>
        <v>1146.5560511190085</v>
      </c>
      <c r="BG17" s="36">
        <f t="shared" si="64"/>
        <v>1161.5826034430686</v>
      </c>
      <c r="BH17" s="36">
        <f t="shared" ref="BH17:BM17" si="65">(BH4/BH15)</f>
        <v>1187.5712656784492</v>
      </c>
      <c r="BI17" s="36">
        <f t="shared" si="65"/>
        <v>1157.9261915434035</v>
      </c>
      <c r="BJ17" s="252">
        <f t="shared" si="65"/>
        <v>1164.1280768797726</v>
      </c>
      <c r="BK17" s="36">
        <f t="shared" si="65"/>
        <v>1153.9471764190866</v>
      </c>
      <c r="BL17" s="36">
        <f t="shared" si="65"/>
        <v>1157.9449441264649</v>
      </c>
      <c r="BM17" s="36">
        <f t="shared" si="65"/>
        <v>1171.4211953014071</v>
      </c>
      <c r="BN17" s="36">
        <f t="shared" ref="BN17:BT17" si="66">(BN4/BN15)</f>
        <v>1151.7526360786549</v>
      </c>
      <c r="BO17" s="252">
        <f t="shared" si="66"/>
        <v>1159.1034673297418</v>
      </c>
      <c r="BP17" s="36">
        <f t="shared" si="66"/>
        <v>1165.2054794520548</v>
      </c>
      <c r="BQ17" s="36">
        <f t="shared" si="66"/>
        <v>1175.6739326712241</v>
      </c>
      <c r="BR17" s="36">
        <f t="shared" si="66"/>
        <v>1186.375480828887</v>
      </c>
      <c r="BS17" s="36">
        <f t="shared" si="66"/>
        <v>1177.2547952659502</v>
      </c>
      <c r="BT17" s="252">
        <f t="shared" si="66"/>
        <v>1176.3779010603025</v>
      </c>
      <c r="BU17" s="36">
        <f t="shared" ref="BU17:BZ17" si="67">(BU4/BU15)</f>
        <v>1181.2355107050321</v>
      </c>
      <c r="BV17" s="36">
        <f t="shared" si="67"/>
        <v>1177.6500794718181</v>
      </c>
      <c r="BW17" s="36">
        <f t="shared" si="67"/>
        <v>1180.4406107937987</v>
      </c>
      <c r="BX17" s="36">
        <f t="shared" si="67"/>
        <v>1175.9108551396018</v>
      </c>
      <c r="BY17" s="252">
        <f t="shared" si="67"/>
        <v>1178.7829665191096</v>
      </c>
      <c r="BZ17" s="36">
        <f t="shared" si="67"/>
        <v>1188.6349598517602</v>
      </c>
      <c r="CA17" s="36">
        <f t="shared" ref="CA17:CF17" si="68">(CA4/CA15)</f>
        <v>1182.2081734025739</v>
      </c>
      <c r="CB17" s="36">
        <f t="shared" si="68"/>
        <v>1197.6832304860886</v>
      </c>
      <c r="CC17" s="36">
        <f t="shared" si="68"/>
        <v>1184.3788575917406</v>
      </c>
      <c r="CD17" s="252">
        <f t="shared" si="68"/>
        <v>1188.3137232557474</v>
      </c>
      <c r="CE17" s="36">
        <f t="shared" si="68"/>
        <v>1203.6407500822459</v>
      </c>
      <c r="CF17" s="36">
        <f t="shared" si="68"/>
        <v>1195.9627329192547</v>
      </c>
      <c r="CG17" s="36">
        <f t="shared" ref="CG17:CK17" si="69">(CG4/CG15)</f>
        <v>1196.1217723299508</v>
      </c>
      <c r="CH17" s="36">
        <f t="shared" si="69"/>
        <v>1173.4158623583719</v>
      </c>
      <c r="CI17" s="252">
        <f t="shared" si="69"/>
        <v>1192.2172276813717</v>
      </c>
      <c r="CJ17" s="36">
        <f t="shared" si="69"/>
        <v>1173.8234991247039</v>
      </c>
      <c r="CK17" s="36">
        <f t="shared" si="69"/>
        <v>1176.4762920585667</v>
      </c>
      <c r="CL17" s="36">
        <f t="shared" ref="CL17:CN17" si="70">(CL4/CL15)</f>
        <v>1190.9650924024641</v>
      </c>
      <c r="CM17" s="36">
        <f t="shared" si="70"/>
        <v>1177.786860120568</v>
      </c>
      <c r="CN17" s="252">
        <f t="shared" si="70"/>
        <v>1179.85413856836</v>
      </c>
      <c r="CO17" s="38">
        <f t="shared" ref="CO17" si="71">CO13*1.025</f>
        <v>1123.6705999999999</v>
      </c>
      <c r="CP17" s="38">
        <f t="shared" ref="CP17:CR17" si="72">CP13*1.025</f>
        <v>1117.6395</v>
      </c>
      <c r="CQ17" s="38">
        <f t="shared" si="72"/>
        <v>1112.1608749999998</v>
      </c>
      <c r="CR17" s="38">
        <f t="shared" si="72"/>
        <v>1114.2416249999997</v>
      </c>
      <c r="CS17" s="252">
        <f>CS13*1.025</f>
        <v>1116.9281499999997</v>
      </c>
      <c r="CT17" s="36"/>
      <c r="CU17" s="36"/>
      <c r="CV17" s="38"/>
      <c r="CW17" s="38"/>
      <c r="CX17" s="252">
        <f>CX13*1.025</f>
        <v>1128.0974314999999</v>
      </c>
      <c r="CY17" s="36"/>
      <c r="CZ17" s="36"/>
      <c r="DA17" s="38"/>
      <c r="DB17" s="38"/>
      <c r="DC17" s="252">
        <f>DC13*1.025</f>
        <v>1139.378405815</v>
      </c>
      <c r="DD17" s="68"/>
      <c r="DE17" s="453"/>
      <c r="DJ17" s="430"/>
      <c r="DK17" s="391"/>
      <c r="DL17" s="430"/>
      <c r="DM17" s="446"/>
      <c r="DN17" s="389"/>
      <c r="DO17" s="593"/>
      <c r="DP17" s="389"/>
      <c r="DQ17" s="613"/>
      <c r="DR17" s="490"/>
      <c r="DS17" s="518"/>
    </row>
    <row r="18" spans="1:131" x14ac:dyDescent="0.2">
      <c r="A18" s="12" t="s">
        <v>131</v>
      </c>
      <c r="B18" s="249"/>
      <c r="C18" s="20"/>
      <c r="D18" s="20"/>
      <c r="E18" s="20"/>
      <c r="F18" s="20"/>
      <c r="G18" s="249"/>
      <c r="H18" s="3"/>
      <c r="I18" s="3"/>
      <c r="J18" s="3"/>
      <c r="K18" s="3"/>
      <c r="L18" s="249"/>
      <c r="M18" s="3"/>
      <c r="N18" s="3"/>
      <c r="O18" s="3"/>
      <c r="P18" s="3"/>
      <c r="Q18" s="249">
        <f t="shared" ref="Q18:BA18" si="73">Q17/L17-1</f>
        <v>0.12864895327522086</v>
      </c>
      <c r="R18" s="3">
        <f t="shared" si="73"/>
        <v>6.9439711928814818E-2</v>
      </c>
      <c r="S18" s="3">
        <f t="shared" si="73"/>
        <v>3.7076221890781857E-2</v>
      </c>
      <c r="T18" s="3">
        <f t="shared" si="73"/>
        <v>7.0812642347914734E-2</v>
      </c>
      <c r="U18" s="3">
        <f t="shared" si="73"/>
        <v>0.12490946572675554</v>
      </c>
      <c r="V18" s="249">
        <f t="shared" si="73"/>
        <v>7.6342047366454668E-2</v>
      </c>
      <c r="W18" s="3">
        <f t="shared" si="73"/>
        <v>7.7361914900047957E-2</v>
      </c>
      <c r="X18" s="3">
        <f t="shared" si="73"/>
        <v>6.5351631655973907E-2</v>
      </c>
      <c r="Y18" s="3">
        <f t="shared" si="73"/>
        <v>2.7588890825579693E-2</v>
      </c>
      <c r="Z18" s="3">
        <f t="shared" si="73"/>
        <v>1.7166690853705147E-2</v>
      </c>
      <c r="AA18" s="249">
        <f t="shared" si="73"/>
        <v>4.3711279273359605E-2</v>
      </c>
      <c r="AB18" s="3">
        <f t="shared" si="73"/>
        <v>2.4919552173626069E-2</v>
      </c>
      <c r="AC18" s="3">
        <f t="shared" si="73"/>
        <v>2.9072271567882391E-2</v>
      </c>
      <c r="AD18" s="3">
        <f t="shared" si="73"/>
        <v>4.8048416656558235E-2</v>
      </c>
      <c r="AE18" s="3">
        <f t="shared" si="73"/>
        <v>7.1926782998092964E-3</v>
      </c>
      <c r="AF18" s="249">
        <f t="shared" si="73"/>
        <v>2.7264740933066189E-2</v>
      </c>
      <c r="AG18" s="3">
        <f t="shared" si="73"/>
        <v>-2.0849431916852956E-2</v>
      </c>
      <c r="AH18" s="3">
        <f t="shared" si="73"/>
        <v>-5.583071392719885E-2</v>
      </c>
      <c r="AI18" s="3">
        <f>AI17/AD17-1</f>
        <v>-0.16501798332312467</v>
      </c>
      <c r="AJ18" s="3">
        <f t="shared" si="73"/>
        <v>-0.12224294488259735</v>
      </c>
      <c r="AK18" s="249">
        <f>AK17/AF17-1</f>
        <v>-8.4082818750658705E-2</v>
      </c>
      <c r="AL18" s="3">
        <f t="shared" si="73"/>
        <v>-8.6049718816953447E-2</v>
      </c>
      <c r="AM18" s="3">
        <f t="shared" si="73"/>
        <v>-7.9069321119841551E-2</v>
      </c>
      <c r="AN18" s="3">
        <f t="shared" si="73"/>
        <v>2.3344722725733957E-2</v>
      </c>
      <c r="AO18" s="3">
        <f t="shared" si="73"/>
        <v>1.974783949020642E-2</v>
      </c>
      <c r="AP18" s="249">
        <f>AP17/AK17-1</f>
        <v>-4.1980253870897211E-2</v>
      </c>
      <c r="AQ18" s="3">
        <f t="shared" si="73"/>
        <v>1.9039826697339723E-2</v>
      </c>
      <c r="AR18" s="3">
        <f t="shared" si="73"/>
        <v>-5.9271811584219458E-3</v>
      </c>
      <c r="AS18" s="3">
        <f t="shared" si="73"/>
        <v>-1.9336526521199215E-2</v>
      </c>
      <c r="AT18" s="3">
        <f t="shared" si="73"/>
        <v>-6.823748188697476E-2</v>
      </c>
      <c r="AU18" s="249">
        <f>AU17/AP17-1</f>
        <v>-1.9348714507930298E-2</v>
      </c>
      <c r="AV18" s="3">
        <f t="shared" si="73"/>
        <v>-4.0205031367609445E-2</v>
      </c>
      <c r="AW18" s="3">
        <f t="shared" si="73"/>
        <v>-4.0423818980640847E-2</v>
      </c>
      <c r="AX18" s="3">
        <f t="shared" si="73"/>
        <v>-3.774677710771257E-2</v>
      </c>
      <c r="AY18" s="3">
        <f t="shared" si="73"/>
        <v>4.0607703853468902E-2</v>
      </c>
      <c r="AZ18" s="249">
        <f t="shared" ref="AZ18:BW18" si="74">AZ17/AU17-1</f>
        <v>-2.0336238705857546E-2</v>
      </c>
      <c r="BA18" s="3">
        <f t="shared" si="73"/>
        <v>2.5201494281086978E-2</v>
      </c>
      <c r="BB18" s="3">
        <f t="shared" si="74"/>
        <v>1.3586773504986382E-2</v>
      </c>
      <c r="BC18" s="3">
        <f t="shared" si="74"/>
        <v>-1.1478567436779108E-2</v>
      </c>
      <c r="BD18" s="3">
        <f t="shared" si="74"/>
        <v>-5.0507730288870123E-3</v>
      </c>
      <c r="BE18" s="249">
        <f t="shared" si="74"/>
        <v>4.8225049458809899E-3</v>
      </c>
      <c r="BF18" s="3">
        <f t="shared" si="74"/>
        <v>-2.0314042364784846E-2</v>
      </c>
      <c r="BG18" s="3">
        <f t="shared" si="74"/>
        <v>-3.5211183232298771E-3</v>
      </c>
      <c r="BH18" s="3">
        <f t="shared" si="74"/>
        <v>2.7705071851525709E-2</v>
      </c>
      <c r="BI18" s="3">
        <f t="shared" si="74"/>
        <v>1.2435899454934507E-3</v>
      </c>
      <c r="BJ18" s="249">
        <f t="shared" si="74"/>
        <v>2.1014995554271554E-3</v>
      </c>
      <c r="BK18" s="3">
        <f t="shared" si="74"/>
        <v>6.446370670552426E-3</v>
      </c>
      <c r="BL18" s="3">
        <f t="shared" si="74"/>
        <v>-3.1316406649181117E-3</v>
      </c>
      <c r="BM18" s="3">
        <f t="shared" si="74"/>
        <v>-1.3599243130740235E-2</v>
      </c>
      <c r="BN18" s="3">
        <f t="shared" si="74"/>
        <v>-5.3315621581371264E-3</v>
      </c>
      <c r="BO18" s="249">
        <f t="shared" si="74"/>
        <v>-4.3161999524127248E-3</v>
      </c>
      <c r="BP18" s="3">
        <f t="shared" si="74"/>
        <v>9.7563417659245477E-3</v>
      </c>
      <c r="BQ18" s="3">
        <f t="shared" si="74"/>
        <v>1.5310735311456103E-2</v>
      </c>
      <c r="BR18" s="3">
        <f t="shared" si="74"/>
        <v>1.2765933882246561E-2</v>
      </c>
      <c r="BS18" s="3">
        <f t="shared" si="74"/>
        <v>2.2142045425762591E-2</v>
      </c>
      <c r="BT18" s="249">
        <f>BT17/BO17-1</f>
        <v>1.490327155206983E-2</v>
      </c>
      <c r="BU18" s="3">
        <f t="shared" si="74"/>
        <v>1.3757257012313007E-2</v>
      </c>
      <c r="BV18" s="3">
        <f t="shared" si="74"/>
        <v>1.6808629890296967E-3</v>
      </c>
      <c r="BW18" s="3">
        <f t="shared" si="74"/>
        <v>-5.0025224989830308E-3</v>
      </c>
      <c r="BX18" s="3">
        <f>BX17/BS17-1</f>
        <v>-1.1415881521592564E-3</v>
      </c>
      <c r="BY18" s="249">
        <f>BY17/BT17-1</f>
        <v>2.0444667114531967E-3</v>
      </c>
      <c r="BZ18" s="3">
        <f>BZ17/BU17-1</f>
        <v>6.2641607703715074E-3</v>
      </c>
      <c r="CA18" s="3">
        <f>CA17/BV17-1</f>
        <v>3.8704994040337226E-3</v>
      </c>
      <c r="CB18" s="3">
        <f>CB17/BW17-1</f>
        <v>1.46069353550069E-2</v>
      </c>
      <c r="CC18" s="3">
        <f t="shared" ref="CC18:CD18" si="75">CC17/BX17-1</f>
        <v>7.2012282352249546E-3</v>
      </c>
      <c r="CD18" s="249">
        <f t="shared" si="75"/>
        <v>8.0852514901719186E-3</v>
      </c>
      <c r="CE18" s="3">
        <f>CE17/BZ17-1</f>
        <v>1.2624389099540778E-2</v>
      </c>
      <c r="CF18" s="3">
        <f>CF17/CA17-1</f>
        <v>1.1634634090790463E-2</v>
      </c>
      <c r="CG18" s="3">
        <f>CG17/CB17-1</f>
        <v>-1.3037321692348502E-3</v>
      </c>
      <c r="CH18" s="3">
        <f t="shared" ref="CH18" si="76">CH17/CC17-1</f>
        <v>-9.2563246659606024E-3</v>
      </c>
      <c r="CI18" s="249">
        <f t="shared" ref="CI18:CR18" si="77">CI17/CD17-1</f>
        <v>3.2849106673020767E-3</v>
      </c>
      <c r="CJ18" s="3">
        <f>CJ17/CE17-1</f>
        <v>-2.4772550244335445E-2</v>
      </c>
      <c r="CK18" s="3">
        <f>CK17/CF17-1</f>
        <v>-1.6293518455314238E-2</v>
      </c>
      <c r="CL18" s="3">
        <f>CL17/CG17-1</f>
        <v>-4.3111663434082237E-3</v>
      </c>
      <c r="CM18" s="3">
        <f t="shared" ref="CM18" si="78">CM17/CH17-1</f>
        <v>3.7250201760619106E-3</v>
      </c>
      <c r="CN18" s="249">
        <f t="shared" ref="CN18" si="79">CN17/CI17-1</f>
        <v>-1.0369829277719345E-2</v>
      </c>
      <c r="CO18" s="3">
        <f t="shared" si="77"/>
        <v>-4.2726099078866597E-2</v>
      </c>
      <c r="CP18" s="3">
        <f t="shared" si="77"/>
        <v>-5.0011030783812638E-2</v>
      </c>
      <c r="CQ18" s="3">
        <f t="shared" si="77"/>
        <v>-6.6168368750000206E-2</v>
      </c>
      <c r="CR18" s="3">
        <f t="shared" si="77"/>
        <v>-5.3953085462392858E-2</v>
      </c>
      <c r="CS18" s="249">
        <f>CS17/CN17-1</f>
        <v>-5.3333701608840323E-2</v>
      </c>
      <c r="CT18" s="3"/>
      <c r="CU18" s="3"/>
      <c r="CV18" s="3"/>
      <c r="CW18" s="3"/>
      <c r="CX18" s="249">
        <f>CX17/CS17-1</f>
        <v>1.0000000000000009E-2</v>
      </c>
      <c r="CY18" s="3"/>
      <c r="CZ18" s="3"/>
      <c r="DA18" s="3"/>
      <c r="DB18" s="3"/>
      <c r="DC18" s="249">
        <f>DC17/CX17-1</f>
        <v>1.0000000000000009E-2</v>
      </c>
      <c r="DD18" s="25"/>
      <c r="DE18" s="178"/>
      <c r="DJ18" s="430"/>
      <c r="DK18" s="389"/>
      <c r="DL18" s="430"/>
      <c r="DM18" s="430"/>
      <c r="DN18" s="389"/>
      <c r="DO18" s="389"/>
      <c r="DP18" s="389"/>
      <c r="DQ18" s="433"/>
      <c r="DR18" s="487"/>
      <c r="DS18" s="19"/>
    </row>
    <row r="19" spans="1:131" s="211" customFormat="1" x14ac:dyDescent="0.2">
      <c r="A19" s="214" t="s">
        <v>6</v>
      </c>
      <c r="B19" s="254"/>
      <c r="C19" s="14"/>
      <c r="D19" s="14"/>
      <c r="E19" s="14"/>
      <c r="F19" s="14"/>
      <c r="G19" s="254"/>
      <c r="H19" s="215"/>
      <c r="I19" s="215"/>
      <c r="J19" s="215"/>
      <c r="K19" s="215"/>
      <c r="L19" s="254"/>
      <c r="M19" s="215"/>
      <c r="N19" s="215"/>
      <c r="O19" s="215"/>
      <c r="P19" s="215"/>
      <c r="Q19" s="254"/>
      <c r="R19" s="215"/>
      <c r="S19" s="215"/>
      <c r="T19" s="215"/>
      <c r="U19" s="215"/>
      <c r="V19" s="254"/>
      <c r="W19" s="215"/>
      <c r="X19" s="215"/>
      <c r="Y19" s="215"/>
      <c r="Z19" s="215"/>
      <c r="AA19" s="254">
        <f>AA20+AA23</f>
        <v>69</v>
      </c>
      <c r="AB19" s="215"/>
      <c r="AC19" s="215"/>
      <c r="AD19" s="215"/>
      <c r="AE19" s="215">
        <f>AE20+AE23</f>
        <v>92</v>
      </c>
      <c r="AF19" s="254">
        <f>AE19</f>
        <v>92</v>
      </c>
      <c r="AG19" s="215">
        <f>AG20+AG23</f>
        <v>99</v>
      </c>
      <c r="AH19" s="215">
        <f>AH20+AH23</f>
        <v>109</v>
      </c>
      <c r="AI19" s="215">
        <f>AI20+AI23</f>
        <v>115</v>
      </c>
      <c r="AJ19" s="215">
        <f>AJ20+AJ23</f>
        <v>119</v>
      </c>
      <c r="AK19" s="254">
        <f>AJ19</f>
        <v>119</v>
      </c>
      <c r="AL19" s="215">
        <f>AL20+AL23</f>
        <v>125</v>
      </c>
      <c r="AM19" s="215">
        <f>AM20+AM23</f>
        <v>130</v>
      </c>
      <c r="AN19" s="215">
        <f>AN20+AN23</f>
        <v>134</v>
      </c>
      <c r="AO19" s="215">
        <f>AO20+AO23</f>
        <v>134</v>
      </c>
      <c r="AP19" s="254">
        <f>AO19</f>
        <v>134</v>
      </c>
      <c r="AQ19" s="215">
        <f>AQ20+AQ23</f>
        <v>141</v>
      </c>
      <c r="AR19" s="215">
        <f>AR20+AR23</f>
        <v>142</v>
      </c>
      <c r="AS19" s="215">
        <f>AS20+AS23</f>
        <v>143</v>
      </c>
      <c r="AT19" s="215">
        <f>AT20+AT23</f>
        <v>142</v>
      </c>
      <c r="AU19" s="254">
        <f t="shared" ref="AU19:CB19" si="80">AU20+AU23+AU21+AU22</f>
        <v>142</v>
      </c>
      <c r="AV19" s="215">
        <f t="shared" si="80"/>
        <v>147</v>
      </c>
      <c r="AW19" s="215">
        <f t="shared" si="80"/>
        <v>151</v>
      </c>
      <c r="AX19" s="215">
        <f t="shared" si="80"/>
        <v>151</v>
      </c>
      <c r="AY19" s="215">
        <f t="shared" si="80"/>
        <v>151</v>
      </c>
      <c r="AZ19" s="254">
        <f t="shared" si="80"/>
        <v>151</v>
      </c>
      <c r="BA19" s="215">
        <f t="shared" si="80"/>
        <v>151</v>
      </c>
      <c r="BB19" s="215">
        <f t="shared" si="80"/>
        <v>153</v>
      </c>
      <c r="BC19" s="215">
        <f t="shared" si="80"/>
        <v>157</v>
      </c>
      <c r="BD19" s="215">
        <f t="shared" si="80"/>
        <v>161</v>
      </c>
      <c r="BE19" s="254">
        <f t="shared" si="80"/>
        <v>161</v>
      </c>
      <c r="BF19" s="215">
        <f t="shared" si="80"/>
        <v>164</v>
      </c>
      <c r="BG19" s="215">
        <f t="shared" si="80"/>
        <v>165</v>
      </c>
      <c r="BH19" s="215">
        <f t="shared" si="80"/>
        <v>167</v>
      </c>
      <c r="BI19" s="215">
        <f t="shared" si="80"/>
        <v>169</v>
      </c>
      <c r="BJ19" s="254">
        <f t="shared" si="80"/>
        <v>169</v>
      </c>
      <c r="BK19" s="215">
        <f t="shared" si="80"/>
        <v>172</v>
      </c>
      <c r="BL19" s="215">
        <f t="shared" si="80"/>
        <v>175</v>
      </c>
      <c r="BM19" s="215">
        <f t="shared" si="80"/>
        <v>175</v>
      </c>
      <c r="BN19" s="215">
        <f t="shared" si="80"/>
        <v>180</v>
      </c>
      <c r="BO19" s="254">
        <f t="shared" si="80"/>
        <v>180</v>
      </c>
      <c r="BP19" s="215">
        <f t="shared" si="80"/>
        <v>181</v>
      </c>
      <c r="BQ19" s="215">
        <f t="shared" si="80"/>
        <v>186</v>
      </c>
      <c r="BR19" s="215">
        <f t="shared" si="80"/>
        <v>189</v>
      </c>
      <c r="BS19" s="215">
        <f t="shared" si="80"/>
        <v>194</v>
      </c>
      <c r="BT19" s="254">
        <f t="shared" si="80"/>
        <v>194</v>
      </c>
      <c r="BU19" s="215">
        <f t="shared" si="80"/>
        <v>195</v>
      </c>
      <c r="BV19" s="215">
        <f t="shared" si="80"/>
        <v>197</v>
      </c>
      <c r="BW19" s="215">
        <f t="shared" si="80"/>
        <v>199</v>
      </c>
      <c r="BX19" s="215">
        <f t="shared" si="80"/>
        <v>203</v>
      </c>
      <c r="BY19" s="254">
        <f t="shared" si="80"/>
        <v>203</v>
      </c>
      <c r="BZ19" s="215">
        <f t="shared" si="80"/>
        <v>205</v>
      </c>
      <c r="CA19" s="215">
        <f t="shared" si="80"/>
        <v>209</v>
      </c>
      <c r="CB19" s="215">
        <f t="shared" si="80"/>
        <v>211</v>
      </c>
      <c r="CC19" s="215">
        <f>CC20+CC23+CC21+CC22</f>
        <v>215</v>
      </c>
      <c r="CD19" s="254">
        <f>CD20+CD23+CD21+CD22</f>
        <v>215</v>
      </c>
      <c r="CE19" s="215">
        <f>CE20+CE23+CE21+CE22</f>
        <v>217</v>
      </c>
      <c r="CF19" s="215">
        <f t="shared" ref="CF19:CG19" si="81">CF20+CF23+CF21+CF22</f>
        <v>219</v>
      </c>
      <c r="CG19" s="215">
        <f t="shared" si="81"/>
        <v>220</v>
      </c>
      <c r="CH19" s="215">
        <f>CH20+CH23+CH21+CH22</f>
        <v>227</v>
      </c>
      <c r="CI19" s="254">
        <f>CI20+CI23+CI21+CI22</f>
        <v>227</v>
      </c>
      <c r="CJ19" s="215">
        <f>CJ20+CJ23+CJ21+CJ22</f>
        <v>230</v>
      </c>
      <c r="CK19" s="215">
        <f t="shared" ref="CK19:CL19" si="82">CK20+CK23+CK21+CK22</f>
        <v>233</v>
      </c>
      <c r="CL19" s="215">
        <f t="shared" si="82"/>
        <v>236</v>
      </c>
      <c r="CM19" s="215">
        <f>CM20+CM23+CM21+CM22</f>
        <v>236</v>
      </c>
      <c r="CN19" s="254">
        <f>CN20+CN23+CN21+CN22</f>
        <v>236</v>
      </c>
      <c r="CO19" s="215">
        <f t="shared" ref="CO19" si="83">CO20+CO23+CO21+CO22</f>
        <v>238</v>
      </c>
      <c r="CP19" s="215">
        <f t="shared" ref="CP19:CS19" si="84">CP20+CP23+CP21+CP22</f>
        <v>240</v>
      </c>
      <c r="CQ19" s="215">
        <f t="shared" si="84"/>
        <v>242</v>
      </c>
      <c r="CR19" s="215">
        <f t="shared" si="84"/>
        <v>246</v>
      </c>
      <c r="CS19" s="540">
        <f t="shared" si="84"/>
        <v>246</v>
      </c>
      <c r="CT19" s="216">
        <f t="shared" ref="CT19:CW19" si="85">CT20+CT23+CT21+CT22</f>
        <v>0</v>
      </c>
      <c r="CU19" s="216">
        <f t="shared" si="85"/>
        <v>0</v>
      </c>
      <c r="CV19" s="216">
        <f t="shared" si="85"/>
        <v>0</v>
      </c>
      <c r="CW19" s="216">
        <f t="shared" si="85"/>
        <v>0</v>
      </c>
      <c r="CX19" s="540">
        <f>CX20+CX23+CX21+CX22</f>
        <v>259</v>
      </c>
      <c r="CY19" s="216">
        <f t="shared" ref="CY19:DB19" si="86">CY20+CY23+CY21+CY22</f>
        <v>0</v>
      </c>
      <c r="CZ19" s="216">
        <f t="shared" si="86"/>
        <v>0</v>
      </c>
      <c r="DA19" s="216">
        <f t="shared" si="86"/>
        <v>0</v>
      </c>
      <c r="DB19" s="216">
        <f t="shared" si="86"/>
        <v>0</v>
      </c>
      <c r="DC19" s="540">
        <f>DC20+DC23+DC21+DC22</f>
        <v>282</v>
      </c>
      <c r="DD19" s="150"/>
      <c r="DE19" s="454"/>
      <c r="DF19" s="382"/>
      <c r="DG19" s="382"/>
      <c r="DH19" s="382"/>
      <c r="DI19" s="382"/>
      <c r="DJ19" s="433" t="s">
        <v>450</v>
      </c>
      <c r="DK19" s="389"/>
      <c r="DL19" s="591">
        <v>2018</v>
      </c>
      <c r="DM19" s="591">
        <v>2019</v>
      </c>
      <c r="DN19" s="591">
        <v>2020</v>
      </c>
      <c r="DO19" s="591">
        <v>2021</v>
      </c>
      <c r="DP19" s="591">
        <v>2022</v>
      </c>
      <c r="DQ19" s="591">
        <v>2023</v>
      </c>
      <c r="DR19" s="487"/>
      <c r="DS19" s="156"/>
      <c r="DT19"/>
      <c r="DU19"/>
      <c r="DV19"/>
      <c r="DW19"/>
      <c r="DX19"/>
      <c r="DY19"/>
    </row>
    <row r="20" spans="1:131" x14ac:dyDescent="0.2">
      <c r="A20" s="217" t="s">
        <v>132</v>
      </c>
      <c r="B20" s="255"/>
      <c r="C20" s="20"/>
      <c r="D20" s="20"/>
      <c r="E20" s="20"/>
      <c r="F20" s="20"/>
      <c r="G20" s="255"/>
      <c r="H20" s="823"/>
      <c r="I20" s="823"/>
      <c r="J20" s="823"/>
      <c r="K20" s="823"/>
      <c r="L20" s="255"/>
      <c r="M20" s="823"/>
      <c r="N20" s="823"/>
      <c r="O20" s="823"/>
      <c r="P20" s="823"/>
      <c r="Q20" s="255"/>
      <c r="R20" s="823"/>
      <c r="S20" s="823"/>
      <c r="T20" s="823"/>
      <c r="U20" s="823"/>
      <c r="V20" s="255"/>
      <c r="W20" s="823"/>
      <c r="X20" s="823"/>
      <c r="Y20" s="823"/>
      <c r="Z20" s="823"/>
      <c r="AA20" s="255">
        <v>69</v>
      </c>
      <c r="AB20" s="823"/>
      <c r="AC20" s="823"/>
      <c r="AD20" s="823"/>
      <c r="AE20" s="823">
        <v>85</v>
      </c>
      <c r="AF20" s="255">
        <f>AE20</f>
        <v>85</v>
      </c>
      <c r="AG20" s="823">
        <v>88</v>
      </c>
      <c r="AH20" s="823">
        <v>92</v>
      </c>
      <c r="AI20" s="823">
        <v>94</v>
      </c>
      <c r="AJ20" s="823">
        <v>96</v>
      </c>
      <c r="AK20" s="255">
        <f>AJ20</f>
        <v>96</v>
      </c>
      <c r="AL20" s="823">
        <v>100</v>
      </c>
      <c r="AM20" s="823">
        <f>AL20+3</f>
        <v>103</v>
      </c>
      <c r="AN20" s="823">
        <f>AM20+1</f>
        <v>104</v>
      </c>
      <c r="AO20" s="823">
        <v>104</v>
      </c>
      <c r="AP20" s="255">
        <f>AO20</f>
        <v>104</v>
      </c>
      <c r="AQ20" s="823">
        <v>107</v>
      </c>
      <c r="AR20" s="823">
        <v>106</v>
      </c>
      <c r="AS20" s="823">
        <v>108</v>
      </c>
      <c r="AT20" s="823">
        <v>107</v>
      </c>
      <c r="AU20" s="255">
        <f>AT20</f>
        <v>107</v>
      </c>
      <c r="AV20" s="823">
        <v>110</v>
      </c>
      <c r="AW20" s="823">
        <v>110</v>
      </c>
      <c r="AX20" s="823">
        <v>110</v>
      </c>
      <c r="AY20" s="823">
        <v>110</v>
      </c>
      <c r="AZ20" s="255">
        <f>AY20</f>
        <v>110</v>
      </c>
      <c r="BA20" s="823">
        <f>AZ20</f>
        <v>110</v>
      </c>
      <c r="BB20" s="823">
        <f>BA20</f>
        <v>110</v>
      </c>
      <c r="BC20" s="823">
        <v>113</v>
      </c>
      <c r="BD20" s="823">
        <v>116</v>
      </c>
      <c r="BE20" s="256">
        <f>BD20</f>
        <v>116</v>
      </c>
      <c r="BF20" s="823">
        <v>118</v>
      </c>
      <c r="BG20" s="823">
        <v>119</v>
      </c>
      <c r="BH20" s="823">
        <v>119</v>
      </c>
      <c r="BI20" s="823">
        <v>120</v>
      </c>
      <c r="BJ20" s="256">
        <f>BI20</f>
        <v>120</v>
      </c>
      <c r="BK20" s="823">
        <v>121</v>
      </c>
      <c r="BL20" s="823">
        <v>123</v>
      </c>
      <c r="BM20" s="823">
        <v>123</v>
      </c>
      <c r="BN20" s="823">
        <v>127</v>
      </c>
      <c r="BO20" s="256">
        <f>BN20</f>
        <v>127</v>
      </c>
      <c r="BP20" s="823">
        <v>127</v>
      </c>
      <c r="BQ20" s="823">
        <v>127</v>
      </c>
      <c r="BR20" s="823">
        <v>130</v>
      </c>
      <c r="BS20" s="823">
        <v>130</v>
      </c>
      <c r="BT20" s="256">
        <f>BS20</f>
        <v>130</v>
      </c>
      <c r="BU20" s="823">
        <v>130</v>
      </c>
      <c r="BV20" s="823">
        <v>130</v>
      </c>
      <c r="BW20" s="823">
        <v>130</v>
      </c>
      <c r="BX20" s="823">
        <v>130</v>
      </c>
      <c r="BY20" s="256">
        <f>BX20</f>
        <v>130</v>
      </c>
      <c r="BZ20" s="823">
        <v>130</v>
      </c>
      <c r="CA20" s="823">
        <v>130</v>
      </c>
      <c r="CB20" s="823">
        <v>130</v>
      </c>
      <c r="CC20" s="823">
        <v>130</v>
      </c>
      <c r="CD20" s="256">
        <f>CC20</f>
        <v>130</v>
      </c>
      <c r="CE20" s="823">
        <v>130</v>
      </c>
      <c r="CF20" s="823">
        <v>130</v>
      </c>
      <c r="CG20" s="823">
        <v>130</v>
      </c>
      <c r="CH20" s="823">
        <v>130</v>
      </c>
      <c r="CI20" s="256">
        <f>CH20</f>
        <v>130</v>
      </c>
      <c r="CJ20" s="823">
        <v>130</v>
      </c>
      <c r="CK20" s="823">
        <v>130</v>
      </c>
      <c r="CL20" s="823">
        <v>130</v>
      </c>
      <c r="CM20" s="823">
        <v>130</v>
      </c>
      <c r="CN20" s="256">
        <f>CM20</f>
        <v>130</v>
      </c>
      <c r="CO20" s="564">
        <v>130</v>
      </c>
      <c r="CP20" s="564">
        <v>130</v>
      </c>
      <c r="CQ20" s="564">
        <v>130</v>
      </c>
      <c r="CR20" s="564">
        <v>130</v>
      </c>
      <c r="CS20" s="256">
        <f>CR20</f>
        <v>130</v>
      </c>
      <c r="CT20" s="40"/>
      <c r="CU20" s="40"/>
      <c r="CV20" s="42"/>
      <c r="CW20" s="42"/>
      <c r="CX20" s="418">
        <f>CS20+DM20</f>
        <v>130</v>
      </c>
      <c r="CY20" s="40"/>
      <c r="CZ20" s="40"/>
      <c r="DA20" s="42"/>
      <c r="DB20" s="42"/>
      <c r="DC20" s="418">
        <f>CX20+DN20</f>
        <v>136</v>
      </c>
      <c r="DD20" s="25"/>
      <c r="DE20" s="178"/>
      <c r="DJ20" s="433" t="s">
        <v>449</v>
      </c>
      <c r="DK20" s="430"/>
      <c r="DL20" s="592">
        <v>0</v>
      </c>
      <c r="DM20" s="592">
        <v>0</v>
      </c>
      <c r="DN20" s="592">
        <v>6</v>
      </c>
      <c r="DO20" s="592">
        <v>16</v>
      </c>
      <c r="DP20" s="592">
        <v>3</v>
      </c>
      <c r="DQ20" s="592">
        <v>0</v>
      </c>
      <c r="DR20" s="487"/>
      <c r="DS20" s="19"/>
    </row>
    <row r="21" spans="1:131" x14ac:dyDescent="0.2">
      <c r="A21" s="217" t="s">
        <v>299</v>
      </c>
      <c r="B21" s="255"/>
      <c r="C21" s="20"/>
      <c r="D21" s="20"/>
      <c r="E21" s="20"/>
      <c r="F21" s="20"/>
      <c r="G21" s="255"/>
      <c r="H21" s="823"/>
      <c r="I21" s="823"/>
      <c r="J21" s="823"/>
      <c r="K21" s="823"/>
      <c r="L21" s="255"/>
      <c r="M21" s="823"/>
      <c r="N21" s="823"/>
      <c r="O21" s="823"/>
      <c r="P21" s="823"/>
      <c r="Q21" s="255"/>
      <c r="R21" s="823"/>
      <c r="S21" s="823"/>
      <c r="T21" s="823"/>
      <c r="U21" s="823"/>
      <c r="V21" s="255"/>
      <c r="W21" s="823"/>
      <c r="X21" s="823"/>
      <c r="Y21" s="823"/>
      <c r="Z21" s="823"/>
      <c r="AA21" s="255"/>
      <c r="AB21" s="823"/>
      <c r="AC21" s="823"/>
      <c r="AD21" s="823"/>
      <c r="AE21" s="823"/>
      <c r="AF21" s="255"/>
      <c r="AG21" s="823"/>
      <c r="AH21" s="823"/>
      <c r="AI21" s="823"/>
      <c r="AJ21" s="823"/>
      <c r="AK21" s="255"/>
      <c r="AL21" s="823"/>
      <c r="AM21" s="823"/>
      <c r="AN21" s="823"/>
      <c r="AO21" s="823"/>
      <c r="AP21" s="255"/>
      <c r="AQ21" s="823"/>
      <c r="AR21" s="823"/>
      <c r="AS21" s="823"/>
      <c r="AT21" s="823"/>
      <c r="AU21" s="255"/>
      <c r="AV21" s="823"/>
      <c r="AW21" s="823"/>
      <c r="AX21" s="823"/>
      <c r="AY21" s="823"/>
      <c r="AZ21" s="255"/>
      <c r="BA21" s="823"/>
      <c r="BB21" s="823"/>
      <c r="BC21" s="823"/>
      <c r="BD21" s="823"/>
      <c r="BE21" s="256"/>
      <c r="BF21" s="823"/>
      <c r="BG21" s="823"/>
      <c r="BH21" s="823"/>
      <c r="BI21" s="823"/>
      <c r="BJ21" s="256"/>
      <c r="BK21" s="823"/>
      <c r="BL21" s="823"/>
      <c r="BM21" s="823"/>
      <c r="BN21" s="823"/>
      <c r="BO21" s="256"/>
      <c r="BP21" s="823"/>
      <c r="BQ21" s="823"/>
      <c r="BR21" s="823"/>
      <c r="BS21" s="823">
        <v>4</v>
      </c>
      <c r="BT21" s="256">
        <f>BS21</f>
        <v>4</v>
      </c>
      <c r="BU21" s="823">
        <v>5</v>
      </c>
      <c r="BV21" s="823">
        <v>7</v>
      </c>
      <c r="BW21" s="823">
        <v>9</v>
      </c>
      <c r="BX21" s="823">
        <v>13</v>
      </c>
      <c r="BY21" s="256">
        <f>BX21</f>
        <v>13</v>
      </c>
      <c r="BZ21" s="823">
        <v>15</v>
      </c>
      <c r="CA21" s="823">
        <v>19</v>
      </c>
      <c r="CB21" s="823">
        <v>21</v>
      </c>
      <c r="CC21" s="823">
        <v>25</v>
      </c>
      <c r="CD21" s="256">
        <f>CC21</f>
        <v>25</v>
      </c>
      <c r="CE21" s="823">
        <v>27</v>
      </c>
      <c r="CF21" s="823">
        <v>29</v>
      </c>
      <c r="CG21" s="823">
        <v>30</v>
      </c>
      <c r="CH21" s="823">
        <v>37</v>
      </c>
      <c r="CI21" s="256">
        <f>CH21</f>
        <v>37</v>
      </c>
      <c r="CJ21" s="823">
        <v>40</v>
      </c>
      <c r="CK21" s="823">
        <v>43</v>
      </c>
      <c r="CL21" s="823">
        <f>21+25</f>
        <v>46</v>
      </c>
      <c r="CM21" s="823">
        <f>21+25</f>
        <v>46</v>
      </c>
      <c r="CN21" s="256">
        <f>CM21</f>
        <v>46</v>
      </c>
      <c r="CO21" s="564">
        <f>+CN21+2</f>
        <v>48</v>
      </c>
      <c r="CP21" s="564">
        <f>+CO21+2</f>
        <v>50</v>
      </c>
      <c r="CQ21" s="564">
        <f>CP21+2</f>
        <v>52</v>
      </c>
      <c r="CR21" s="564">
        <f>CQ21+4</f>
        <v>56</v>
      </c>
      <c r="CS21" s="256">
        <f>CR21</f>
        <v>56</v>
      </c>
      <c r="CT21" s="40"/>
      <c r="CU21" s="40"/>
      <c r="CV21" s="42"/>
      <c r="CW21" s="42"/>
      <c r="CX21" s="418">
        <f>CS21+DM21</f>
        <v>56</v>
      </c>
      <c r="CY21" s="40"/>
      <c r="CZ21" s="40"/>
      <c r="DA21" s="42"/>
      <c r="DB21" s="42"/>
      <c r="DC21" s="418">
        <f>CX21+DN21</f>
        <v>56</v>
      </c>
      <c r="DD21" s="25"/>
      <c r="DE21" s="178"/>
      <c r="DJ21" s="433" t="s">
        <v>37</v>
      </c>
      <c r="DK21" s="430"/>
      <c r="DL21" s="592">
        <v>10</v>
      </c>
      <c r="DM21" s="592">
        <v>0</v>
      </c>
      <c r="DN21" s="592">
        <v>0</v>
      </c>
      <c r="DO21" s="592">
        <v>0</v>
      </c>
      <c r="DP21" s="592">
        <v>0</v>
      </c>
      <c r="DQ21" s="592">
        <v>0</v>
      </c>
      <c r="DR21" s="487"/>
      <c r="DS21" s="19"/>
    </row>
    <row r="22" spans="1:131" x14ac:dyDescent="0.2">
      <c r="A22" s="217" t="s">
        <v>425</v>
      </c>
      <c r="B22" s="255"/>
      <c r="C22" s="20"/>
      <c r="D22" s="20"/>
      <c r="E22" s="20"/>
      <c r="F22" s="20"/>
      <c r="G22" s="255"/>
      <c r="H22" s="617"/>
      <c r="I22" s="617"/>
      <c r="J22" s="617"/>
      <c r="K22" s="617"/>
      <c r="L22" s="255"/>
      <c r="M22" s="617"/>
      <c r="N22" s="617"/>
      <c r="O22" s="617"/>
      <c r="P22" s="617"/>
      <c r="Q22" s="255"/>
      <c r="R22" s="617"/>
      <c r="S22" s="617"/>
      <c r="T22" s="617"/>
      <c r="U22" s="617"/>
      <c r="V22" s="255"/>
      <c r="W22" s="617"/>
      <c r="X22" s="617"/>
      <c r="Y22" s="617"/>
      <c r="Z22" s="617"/>
      <c r="AA22" s="255"/>
      <c r="AB22" s="617"/>
      <c r="AC22" s="617"/>
      <c r="AD22" s="617"/>
      <c r="AE22" s="617"/>
      <c r="AF22" s="255"/>
      <c r="AG22" s="617"/>
      <c r="AH22" s="617"/>
      <c r="AI22" s="617"/>
      <c r="AJ22" s="617"/>
      <c r="AK22" s="255"/>
      <c r="AL22" s="617"/>
      <c r="AM22" s="617"/>
      <c r="AN22" s="617"/>
      <c r="AO22" s="617"/>
      <c r="AP22" s="255"/>
      <c r="AQ22" s="617"/>
      <c r="AR22" s="617"/>
      <c r="AS22" s="617"/>
      <c r="AT22" s="617"/>
      <c r="AU22" s="255"/>
      <c r="AV22" s="617"/>
      <c r="AW22" s="617"/>
      <c r="AX22" s="617"/>
      <c r="AY22" s="617"/>
      <c r="AZ22" s="255"/>
      <c r="BA22" s="617"/>
      <c r="BB22" s="617"/>
      <c r="BC22" s="617"/>
      <c r="BD22" s="617"/>
      <c r="BE22" s="256"/>
      <c r="BF22" s="617"/>
      <c r="BG22" s="617"/>
      <c r="BH22" s="617"/>
      <c r="BI22" s="617"/>
      <c r="BJ22" s="256"/>
      <c r="BK22" s="617"/>
      <c r="BL22" s="617"/>
      <c r="BM22" s="617"/>
      <c r="BN22" s="617"/>
      <c r="BO22" s="256"/>
      <c r="BP22" s="617"/>
      <c r="BQ22" s="617"/>
      <c r="BR22" s="617"/>
      <c r="BS22" s="617"/>
      <c r="BT22" s="256"/>
      <c r="BU22" s="617"/>
      <c r="BV22" s="617"/>
      <c r="BW22" s="617"/>
      <c r="BX22" s="617"/>
      <c r="BY22" s="256"/>
      <c r="BZ22" s="617"/>
      <c r="CA22" s="617"/>
      <c r="CB22" s="617"/>
      <c r="CC22" s="617"/>
      <c r="CD22" s="256"/>
      <c r="CE22" s="617"/>
      <c r="CF22" s="617"/>
      <c r="CG22" s="617"/>
      <c r="CH22" s="617"/>
      <c r="CI22" s="256"/>
      <c r="CJ22" s="617"/>
      <c r="CK22" s="617"/>
      <c r="CL22" s="617"/>
      <c r="CM22" s="617"/>
      <c r="CN22" s="256"/>
      <c r="CO22" s="564"/>
      <c r="CP22" s="564"/>
      <c r="CQ22" s="564"/>
      <c r="CR22" s="564"/>
      <c r="CS22" s="256"/>
      <c r="CT22" s="40"/>
      <c r="CU22" s="40"/>
      <c r="CV22" s="42"/>
      <c r="CW22" s="42"/>
      <c r="CX22" s="418">
        <f>CS22+DM22</f>
        <v>13</v>
      </c>
      <c r="CY22" s="40"/>
      <c r="CZ22" s="40"/>
      <c r="DA22" s="42"/>
      <c r="DB22" s="42"/>
      <c r="DC22" s="418">
        <f>CX22+DN22</f>
        <v>20</v>
      </c>
      <c r="DD22" s="25"/>
      <c r="DE22" s="178"/>
      <c r="DJ22" s="433" t="s">
        <v>347</v>
      </c>
      <c r="DK22" s="389"/>
      <c r="DL22" s="592">
        <v>0</v>
      </c>
      <c r="DM22" s="592">
        <v>13</v>
      </c>
      <c r="DN22" s="592">
        <v>7</v>
      </c>
      <c r="DO22" s="592">
        <v>4</v>
      </c>
      <c r="DP22" s="592">
        <v>17</v>
      </c>
      <c r="DQ22" s="592">
        <v>14</v>
      </c>
      <c r="DR22" s="487"/>
      <c r="DS22" s="19"/>
    </row>
    <row r="23" spans="1:131" x14ac:dyDescent="0.2">
      <c r="A23" s="217" t="s">
        <v>133</v>
      </c>
      <c r="B23" s="256"/>
      <c r="C23" s="20"/>
      <c r="D23" s="20"/>
      <c r="E23" s="20"/>
      <c r="F23" s="20"/>
      <c r="G23" s="256"/>
      <c r="H23" s="823"/>
      <c r="I23" s="823"/>
      <c r="J23" s="823"/>
      <c r="K23" s="823"/>
      <c r="L23" s="256"/>
      <c r="M23" s="823"/>
      <c r="N23" s="823"/>
      <c r="O23" s="823"/>
      <c r="P23" s="823"/>
      <c r="Q23" s="256"/>
      <c r="R23" s="823"/>
      <c r="S23" s="823"/>
      <c r="T23" s="823"/>
      <c r="U23" s="823"/>
      <c r="V23" s="256"/>
      <c r="W23" s="823"/>
      <c r="X23" s="823"/>
      <c r="Y23" s="823"/>
      <c r="Z23" s="823"/>
      <c r="AA23" s="256">
        <v>0</v>
      </c>
      <c r="AB23" s="823"/>
      <c r="AC23" s="823"/>
      <c r="AD23" s="823"/>
      <c r="AE23" s="823">
        <v>7</v>
      </c>
      <c r="AF23" s="256">
        <f>AE23</f>
        <v>7</v>
      </c>
      <c r="AG23" s="823">
        <f>AF23+4</f>
        <v>11</v>
      </c>
      <c r="AH23" s="823">
        <v>17</v>
      </c>
      <c r="AI23" s="823">
        <v>21</v>
      </c>
      <c r="AJ23" s="823">
        <v>23</v>
      </c>
      <c r="AK23" s="256">
        <f>AJ23</f>
        <v>23</v>
      </c>
      <c r="AL23" s="823">
        <v>25</v>
      </c>
      <c r="AM23" s="823">
        <f>AL23+2</f>
        <v>27</v>
      </c>
      <c r="AN23" s="823">
        <f>AM23+3</f>
        <v>30</v>
      </c>
      <c r="AO23" s="823">
        <v>30</v>
      </c>
      <c r="AP23" s="256">
        <f>AO23</f>
        <v>30</v>
      </c>
      <c r="AQ23" s="823">
        <v>34</v>
      </c>
      <c r="AR23" s="823">
        <v>36</v>
      </c>
      <c r="AS23" s="823">
        <v>35</v>
      </c>
      <c r="AT23" s="823">
        <v>35</v>
      </c>
      <c r="AU23" s="256">
        <f>AT23</f>
        <v>35</v>
      </c>
      <c r="AV23" s="823">
        <v>37</v>
      </c>
      <c r="AW23" s="823">
        <v>41</v>
      </c>
      <c r="AX23" s="823">
        <v>41</v>
      </c>
      <c r="AY23" s="823">
        <f>AX23+0</f>
        <v>41</v>
      </c>
      <c r="AZ23" s="256">
        <f>AY23</f>
        <v>41</v>
      </c>
      <c r="BA23" s="823">
        <f>AZ23</f>
        <v>41</v>
      </c>
      <c r="BB23" s="823">
        <v>43</v>
      </c>
      <c r="BC23" s="823">
        <v>44</v>
      </c>
      <c r="BD23" s="823">
        <v>45</v>
      </c>
      <c r="BE23" s="256">
        <f>BD23</f>
        <v>45</v>
      </c>
      <c r="BF23" s="823">
        <v>46</v>
      </c>
      <c r="BG23" s="823">
        <v>46</v>
      </c>
      <c r="BH23" s="823">
        <v>48</v>
      </c>
      <c r="BI23" s="823">
        <v>49</v>
      </c>
      <c r="BJ23" s="256">
        <f>BI23</f>
        <v>49</v>
      </c>
      <c r="BK23" s="823">
        <v>51</v>
      </c>
      <c r="BL23" s="823">
        <v>52</v>
      </c>
      <c r="BM23" s="823">
        <v>52</v>
      </c>
      <c r="BN23" s="823">
        <v>53</v>
      </c>
      <c r="BO23" s="256">
        <f>BN23</f>
        <v>53</v>
      </c>
      <c r="BP23" s="823">
        <v>54</v>
      </c>
      <c r="BQ23" s="823">
        <v>59</v>
      </c>
      <c r="BR23" s="823">
        <v>59</v>
      </c>
      <c r="BS23" s="823">
        <v>60</v>
      </c>
      <c r="BT23" s="256">
        <f>BS23</f>
        <v>60</v>
      </c>
      <c r="BU23" s="823">
        <v>60</v>
      </c>
      <c r="BV23" s="823">
        <v>60</v>
      </c>
      <c r="BW23" s="823">
        <v>60</v>
      </c>
      <c r="BX23" s="823">
        <v>60</v>
      </c>
      <c r="BY23" s="256">
        <f>BX23</f>
        <v>60</v>
      </c>
      <c r="BZ23" s="823">
        <v>60</v>
      </c>
      <c r="CA23" s="823">
        <v>60</v>
      </c>
      <c r="CB23" s="823">
        <v>60</v>
      </c>
      <c r="CC23" s="823">
        <v>60</v>
      </c>
      <c r="CD23" s="256">
        <f>CC23</f>
        <v>60</v>
      </c>
      <c r="CE23" s="823">
        <v>60</v>
      </c>
      <c r="CF23" s="823">
        <v>60</v>
      </c>
      <c r="CG23" s="823">
        <v>60</v>
      </c>
      <c r="CH23" s="823">
        <v>60</v>
      </c>
      <c r="CI23" s="256">
        <f>CH23</f>
        <v>60</v>
      </c>
      <c r="CJ23" s="823">
        <v>60</v>
      </c>
      <c r="CK23" s="823">
        <v>60</v>
      </c>
      <c r="CL23" s="823">
        <v>60</v>
      </c>
      <c r="CM23" s="823">
        <v>60</v>
      </c>
      <c r="CN23" s="256">
        <f>CM23</f>
        <v>60</v>
      </c>
      <c r="CO23" s="564">
        <v>60</v>
      </c>
      <c r="CP23" s="564">
        <v>60</v>
      </c>
      <c r="CQ23" s="564">
        <v>60</v>
      </c>
      <c r="CR23" s="564">
        <v>60</v>
      </c>
      <c r="CS23" s="256">
        <f>CR23</f>
        <v>60</v>
      </c>
      <c r="CT23" s="42"/>
      <c r="CU23" s="42"/>
      <c r="CV23" s="42"/>
      <c r="CW23" s="42"/>
      <c r="CX23" s="418">
        <f>CS23+DM23</f>
        <v>60</v>
      </c>
      <c r="CY23" s="42"/>
      <c r="CZ23" s="42"/>
      <c r="DA23" s="42"/>
      <c r="DB23" s="42"/>
      <c r="DC23" s="418">
        <f>CX23+DN23</f>
        <v>70</v>
      </c>
      <c r="DD23" s="25"/>
      <c r="DE23" s="178"/>
      <c r="DJ23" s="433" t="s">
        <v>337</v>
      </c>
      <c r="DK23" s="392"/>
      <c r="DL23" s="592">
        <v>0</v>
      </c>
      <c r="DM23" s="592">
        <v>0</v>
      </c>
      <c r="DN23" s="592">
        <v>10</v>
      </c>
      <c r="DO23" s="592">
        <v>7</v>
      </c>
      <c r="DP23" s="592">
        <v>7</v>
      </c>
      <c r="DQ23" s="592">
        <v>0</v>
      </c>
      <c r="DR23" s="487"/>
      <c r="DS23" s="19"/>
    </row>
    <row r="24" spans="1:131" x14ac:dyDescent="0.2">
      <c r="A24" s="43" t="s">
        <v>24</v>
      </c>
      <c r="B24" s="844"/>
      <c r="C24" s="44"/>
      <c r="D24" s="44"/>
      <c r="E24" s="44"/>
      <c r="F24" s="44"/>
      <c r="G24" s="844">
        <v>5.8</v>
      </c>
      <c r="H24" s="845">
        <v>10.5</v>
      </c>
      <c r="I24" s="845">
        <v>13.2</v>
      </c>
      <c r="J24" s="845">
        <v>15.9</v>
      </c>
      <c r="K24" s="845">
        <v>19.399999999999999</v>
      </c>
      <c r="L24" s="257">
        <f>AVERAGE(H24:K24)</f>
        <v>14.75</v>
      </c>
      <c r="M24" s="841">
        <v>22.2</v>
      </c>
      <c r="N24" s="841">
        <v>24.6</v>
      </c>
      <c r="O24" s="841">
        <v>28.4</v>
      </c>
      <c r="P24" s="841">
        <v>32.799999999999997</v>
      </c>
      <c r="Q24" s="257">
        <f>AVERAGE(M24:P24)</f>
        <v>26.999999999999996</v>
      </c>
      <c r="R24" s="845">
        <v>38.700000000000003</v>
      </c>
      <c r="S24" s="845">
        <v>41.6</v>
      </c>
      <c r="T24" s="845">
        <v>45.8</v>
      </c>
      <c r="U24" s="845">
        <v>49.6</v>
      </c>
      <c r="V24" s="257">
        <f>AVERAGE(R24:U24)</f>
        <v>43.925000000000004</v>
      </c>
      <c r="W24" s="845">
        <v>55.3</v>
      </c>
      <c r="X24" s="845">
        <v>58.6</v>
      </c>
      <c r="Y24" s="845">
        <v>61.8</v>
      </c>
      <c r="Z24" s="845">
        <v>66.5</v>
      </c>
      <c r="AA24" s="257">
        <f>AVERAGE(W24:Z24)</f>
        <v>60.55</v>
      </c>
      <c r="AB24" s="845">
        <v>70.900000000000006</v>
      </c>
      <c r="AC24" s="845">
        <v>74.3</v>
      </c>
      <c r="AD24" s="845">
        <v>79.2</v>
      </c>
      <c r="AE24" s="845">
        <v>85.5</v>
      </c>
      <c r="AF24" s="257">
        <f>AVERAGE(AB24:AE24)</f>
        <v>77.474999999999994</v>
      </c>
      <c r="AG24" s="46">
        <f>AVERAGE(AE19,AG19)</f>
        <v>95.5</v>
      </c>
      <c r="AH24" s="46">
        <f>AVERAGE(AG19,AH19)</f>
        <v>104</v>
      </c>
      <c r="AI24" s="46">
        <f>AVERAGE(AH19,AI19)</f>
        <v>112</v>
      </c>
      <c r="AJ24" s="46">
        <f>AVERAGE(AI19,AJ19)</f>
        <v>117</v>
      </c>
      <c r="AK24" s="257">
        <f>AVERAGE(AF19,AK19)</f>
        <v>105.5</v>
      </c>
      <c r="AL24" s="46">
        <f>AVERAGE(AJ19,AL19)</f>
        <v>122</v>
      </c>
      <c r="AM24" s="46">
        <f>AVERAGE(AL19,AM19)</f>
        <v>127.5</v>
      </c>
      <c r="AN24" s="46">
        <f>AVERAGE(AM19,AN19)</f>
        <v>132</v>
      </c>
      <c r="AO24" s="46">
        <f>AVERAGE(AN19,AO19)</f>
        <v>134</v>
      </c>
      <c r="AP24" s="257">
        <f>AVERAGE(AK19,AP19)</f>
        <v>126.5</v>
      </c>
      <c r="AQ24" s="46">
        <f>AVERAGE(AO19,AQ19)</f>
        <v>137.5</v>
      </c>
      <c r="AR24" s="46">
        <f>AVERAGE(AQ19,AR19)</f>
        <v>141.5</v>
      </c>
      <c r="AS24" s="46">
        <f>AVERAGE(AR19,AS19)</f>
        <v>142.5</v>
      </c>
      <c r="AT24" s="46">
        <v>139.9</v>
      </c>
      <c r="AU24" s="257">
        <f>AVERAGE(AP19,AU19)</f>
        <v>138</v>
      </c>
      <c r="AV24" s="46">
        <f>AVERAGE(AT19,AV19)</f>
        <v>144.5</v>
      </c>
      <c r="AW24" s="46">
        <f>AVERAGE(AV19,AW19)</f>
        <v>149</v>
      </c>
      <c r="AX24" s="46">
        <f>AVERAGE(AW19,AX19)</f>
        <v>151</v>
      </c>
      <c r="AY24" s="46">
        <f>AVERAGE(AX19,AY19)</f>
        <v>151</v>
      </c>
      <c r="AZ24" s="257">
        <f>AVERAGE(AU19,AZ19)</f>
        <v>146.5</v>
      </c>
      <c r="BA24" s="46">
        <f>AVERAGE(AZ19,BA19)</f>
        <v>151</v>
      </c>
      <c r="BB24" s="46">
        <f>AVERAGE(BA19,BB19)</f>
        <v>152</v>
      </c>
      <c r="BC24" s="46">
        <f>AVERAGE(BB19,BC19)</f>
        <v>155</v>
      </c>
      <c r="BD24" s="46">
        <f>AVERAGE(BC19,BD19)</f>
        <v>159</v>
      </c>
      <c r="BE24" s="257">
        <f>AVERAGE(AZ19,BE19)</f>
        <v>156</v>
      </c>
      <c r="BF24" s="46">
        <f>AVERAGE(BE19,BF19)</f>
        <v>162.5</v>
      </c>
      <c r="BG24" s="46">
        <f>AVERAGE(BF19,BG19)</f>
        <v>164.5</v>
      </c>
      <c r="BH24" s="46">
        <f>AVERAGE(BG19,BH19)</f>
        <v>166</v>
      </c>
      <c r="BI24" s="46">
        <f>AVERAGE(BH19,BI19)</f>
        <v>168</v>
      </c>
      <c r="BJ24" s="257">
        <f>AVERAGE(BE19,BJ19)</f>
        <v>165</v>
      </c>
      <c r="BK24" s="46">
        <f>AVERAGE(BJ19,BK19)</f>
        <v>170.5</v>
      </c>
      <c r="BL24" s="46">
        <f>AVERAGE(BK19,BL19)</f>
        <v>173.5</v>
      </c>
      <c r="BM24" s="46">
        <f>AVERAGE(BL19,BM19)</f>
        <v>175</v>
      </c>
      <c r="BN24" s="46">
        <f>AVERAGE(BM19,BN19)</f>
        <v>177.5</v>
      </c>
      <c r="BO24" s="257">
        <f>AVERAGE(BJ19,BO19)</f>
        <v>174.5</v>
      </c>
      <c r="BP24" s="46">
        <f>AVERAGE(BO19,BP19)</f>
        <v>180.5</v>
      </c>
      <c r="BQ24" s="46">
        <f>AVERAGE(BP19,BQ19)</f>
        <v>183.5</v>
      </c>
      <c r="BR24" s="46">
        <f>AVERAGE(BQ19,BR19)</f>
        <v>187.5</v>
      </c>
      <c r="BS24" s="46">
        <f>AVERAGE(BR19,BS19)</f>
        <v>191.5</v>
      </c>
      <c r="BT24" s="257">
        <f>AVERAGE(BO19,BT19)</f>
        <v>187</v>
      </c>
      <c r="BU24" s="46">
        <f>AVERAGE(BT19,BU19)</f>
        <v>194.5</v>
      </c>
      <c r="BV24" s="46">
        <f>AVERAGE(BU19,BV19)</f>
        <v>196</v>
      </c>
      <c r="BW24" s="46">
        <f>AVERAGE(BV19,BW19)</f>
        <v>198</v>
      </c>
      <c r="BX24" s="46">
        <f>AVERAGE(BW19,BX19)</f>
        <v>201</v>
      </c>
      <c r="BY24" s="257">
        <f>AVERAGE(BT19,BY19)</f>
        <v>198.5</v>
      </c>
      <c r="BZ24" s="46">
        <f>AVERAGE(BY19,BZ19)</f>
        <v>204</v>
      </c>
      <c r="CA24" s="46">
        <f>AVERAGE(BZ19,CA19)</f>
        <v>207</v>
      </c>
      <c r="CB24" s="46">
        <f>AVERAGE(CA19,CB19)</f>
        <v>210</v>
      </c>
      <c r="CC24" s="46">
        <f>AVERAGE(CB19,CC19)</f>
        <v>213</v>
      </c>
      <c r="CD24" s="257">
        <f>AVERAGE(BY19,CD19)</f>
        <v>209</v>
      </c>
      <c r="CE24" s="46">
        <f>AVERAGE(CD19,CE19)</f>
        <v>216</v>
      </c>
      <c r="CF24" s="46">
        <f>AVERAGE(CE19,CF19)</f>
        <v>218</v>
      </c>
      <c r="CG24" s="46">
        <f>AVERAGE(CF19,CG19)</f>
        <v>219.5</v>
      </c>
      <c r="CH24" s="46">
        <f>AVERAGE(CG19,CH19)</f>
        <v>223.5</v>
      </c>
      <c r="CI24" s="257">
        <f>AVERAGE(CD19,CI19)</f>
        <v>221</v>
      </c>
      <c r="CJ24" s="46">
        <f>AVERAGE(CI19,CJ19)</f>
        <v>228.5</v>
      </c>
      <c r="CK24" s="46">
        <f>AVERAGE(CJ19,CK19)</f>
        <v>231.5</v>
      </c>
      <c r="CL24" s="46">
        <f>AVERAGE(CK19,CL19)</f>
        <v>234.5</v>
      </c>
      <c r="CM24" s="46">
        <f>AVERAGE(CL19,CM19)</f>
        <v>236</v>
      </c>
      <c r="CN24" s="257">
        <f>AVERAGE(CI19,CN19)</f>
        <v>231.5</v>
      </c>
      <c r="CO24" s="46">
        <f t="shared" ref="CO24:CR24" si="87">AVERAGE(CN19,CO19)</f>
        <v>237</v>
      </c>
      <c r="CP24" s="46">
        <f t="shared" si="87"/>
        <v>239</v>
      </c>
      <c r="CQ24" s="46">
        <f t="shared" si="87"/>
        <v>241</v>
      </c>
      <c r="CR24" s="46">
        <f t="shared" si="87"/>
        <v>244</v>
      </c>
      <c r="CS24" s="541">
        <f>AVERAGE(CN19,CS19)</f>
        <v>241</v>
      </c>
      <c r="CT24" s="45"/>
      <c r="CU24" s="45"/>
      <c r="CV24" s="46"/>
      <c r="CW24" s="46"/>
      <c r="CX24" s="541">
        <f>AVERAGE(CS19,CX19)</f>
        <v>252.5</v>
      </c>
      <c r="CY24" s="45"/>
      <c r="CZ24" s="45"/>
      <c r="DA24" s="46"/>
      <c r="DB24" s="46"/>
      <c r="DC24" s="541">
        <f>AVERAGE(CX19,DC19)</f>
        <v>270.5</v>
      </c>
      <c r="DD24" s="375"/>
      <c r="DE24" s="455"/>
      <c r="DJ24" s="433" t="s">
        <v>374</v>
      </c>
      <c r="DK24" s="392"/>
      <c r="DL24" s="592">
        <f t="shared" ref="DL24:DQ24" si="88">SUM(DL20:DL23)</f>
        <v>10</v>
      </c>
      <c r="DM24" s="592">
        <f t="shared" si="88"/>
        <v>13</v>
      </c>
      <c r="DN24" s="592">
        <f t="shared" si="88"/>
        <v>23</v>
      </c>
      <c r="DO24" s="592">
        <f t="shared" si="88"/>
        <v>27</v>
      </c>
      <c r="DP24" s="592">
        <f t="shared" si="88"/>
        <v>27</v>
      </c>
      <c r="DQ24" s="592">
        <f t="shared" si="88"/>
        <v>14</v>
      </c>
      <c r="DR24" s="491"/>
      <c r="DS24" s="519"/>
    </row>
    <row r="25" spans="1:131" x14ac:dyDescent="0.2">
      <c r="A25" s="11" t="s">
        <v>131</v>
      </c>
      <c r="B25" s="258"/>
      <c r="C25" s="47"/>
      <c r="D25" s="47"/>
      <c r="E25" s="47"/>
      <c r="F25" s="47"/>
      <c r="G25" s="258"/>
      <c r="H25" s="48"/>
      <c r="I25" s="48"/>
      <c r="J25" s="48"/>
      <c r="K25" s="48"/>
      <c r="L25" s="258">
        <f t="shared" ref="L25:AH25" si="89">L24/G24-1</f>
        <v>1.5431034482758621</v>
      </c>
      <c r="M25" s="48">
        <f t="shared" si="89"/>
        <v>1.1142857142857143</v>
      </c>
      <c r="N25" s="48">
        <f t="shared" si="89"/>
        <v>0.86363636363636376</v>
      </c>
      <c r="O25" s="48">
        <f t="shared" si="89"/>
        <v>0.78616352201257844</v>
      </c>
      <c r="P25" s="48">
        <f t="shared" si="89"/>
        <v>0.69072164948453607</v>
      </c>
      <c r="Q25" s="258">
        <f t="shared" si="89"/>
        <v>0.83050847457627097</v>
      </c>
      <c r="R25" s="48">
        <f t="shared" si="89"/>
        <v>0.74324324324324342</v>
      </c>
      <c r="S25" s="48">
        <f t="shared" si="89"/>
        <v>0.69105691056910556</v>
      </c>
      <c r="T25" s="48">
        <f t="shared" si="89"/>
        <v>0.61267605633802824</v>
      </c>
      <c r="U25" s="48">
        <f t="shared" si="89"/>
        <v>0.51219512195121975</v>
      </c>
      <c r="V25" s="258">
        <f t="shared" si="89"/>
        <v>0.62685185185185222</v>
      </c>
      <c r="W25" s="48">
        <f t="shared" si="89"/>
        <v>0.42894056847545192</v>
      </c>
      <c r="X25" s="48">
        <f t="shared" si="89"/>
        <v>0.40865384615384603</v>
      </c>
      <c r="Y25" s="48">
        <f t="shared" si="89"/>
        <v>0.34934497816593879</v>
      </c>
      <c r="Z25" s="48">
        <f t="shared" si="89"/>
        <v>0.34072580645161277</v>
      </c>
      <c r="AA25" s="258">
        <f t="shared" si="89"/>
        <v>0.37848605577689232</v>
      </c>
      <c r="AB25" s="48">
        <f t="shared" si="89"/>
        <v>0.28209764918625702</v>
      </c>
      <c r="AC25" s="48">
        <f t="shared" si="89"/>
        <v>0.26791808873720124</v>
      </c>
      <c r="AD25" s="48">
        <f t="shared" si="89"/>
        <v>0.28155339805825252</v>
      </c>
      <c r="AE25" s="48">
        <f t="shared" si="89"/>
        <v>0.28571428571428581</v>
      </c>
      <c r="AF25" s="258">
        <f t="shared" si="89"/>
        <v>0.27952105697770424</v>
      </c>
      <c r="AG25" s="48">
        <f t="shared" si="89"/>
        <v>0.34696755994358242</v>
      </c>
      <c r="AH25" s="48">
        <f t="shared" si="89"/>
        <v>0.39973082099596247</v>
      </c>
      <c r="AI25" s="48">
        <f t="shared" ref="AI25:AZ25" si="90">AI24/AD24-1</f>
        <v>0.41414141414141414</v>
      </c>
      <c r="AJ25" s="48">
        <v>0.36842105263157898</v>
      </c>
      <c r="AK25" s="258">
        <f t="shared" si="90"/>
        <v>0.36172959019038409</v>
      </c>
      <c r="AL25" s="48">
        <f t="shared" si="90"/>
        <v>0.27748691099476441</v>
      </c>
      <c r="AM25" s="48">
        <f t="shared" si="90"/>
        <v>0.22596153846153855</v>
      </c>
      <c r="AN25" s="48">
        <f t="shared" si="90"/>
        <v>0.1785714285714286</v>
      </c>
      <c r="AO25" s="48">
        <f t="shared" si="90"/>
        <v>0.14529914529914523</v>
      </c>
      <c r="AP25" s="258">
        <f t="shared" si="90"/>
        <v>0.19905213270142186</v>
      </c>
      <c r="AQ25" s="48">
        <f t="shared" si="90"/>
        <v>0.12704918032786883</v>
      </c>
      <c r="AR25" s="48">
        <f t="shared" si="90"/>
        <v>0.1098039215686275</v>
      </c>
      <c r="AS25" s="48">
        <f t="shared" si="90"/>
        <v>7.9545454545454586E-2</v>
      </c>
      <c r="AT25" s="48">
        <f t="shared" si="90"/>
        <v>4.4029850746268639E-2</v>
      </c>
      <c r="AU25" s="258">
        <f t="shared" si="90"/>
        <v>9.0909090909090828E-2</v>
      </c>
      <c r="AV25" s="48">
        <f t="shared" si="90"/>
        <v>5.0909090909091015E-2</v>
      </c>
      <c r="AW25" s="48">
        <f t="shared" si="90"/>
        <v>5.3003533568904526E-2</v>
      </c>
      <c r="AX25" s="48">
        <f t="shared" si="90"/>
        <v>5.9649122807017507E-2</v>
      </c>
      <c r="AY25" s="48">
        <f t="shared" si="90"/>
        <v>7.9342387419585325E-2</v>
      </c>
      <c r="AZ25" s="258">
        <f t="shared" si="90"/>
        <v>6.1594202898550776E-2</v>
      </c>
      <c r="BA25" s="48">
        <f t="shared" ref="BA25:BO25" si="91">BA24/AV24-1</f>
        <v>4.4982698961937739E-2</v>
      </c>
      <c r="BB25" s="48">
        <f t="shared" si="91"/>
        <v>2.0134228187919545E-2</v>
      </c>
      <c r="BC25" s="48">
        <f t="shared" si="91"/>
        <v>2.6490066225165476E-2</v>
      </c>
      <c r="BD25" s="48">
        <f t="shared" si="91"/>
        <v>5.2980132450331174E-2</v>
      </c>
      <c r="BE25" s="258">
        <f t="shared" si="91"/>
        <v>6.4846416382252636E-2</v>
      </c>
      <c r="BF25" s="48">
        <f t="shared" si="91"/>
        <v>7.6158940397351049E-2</v>
      </c>
      <c r="BG25" s="48">
        <f t="shared" si="91"/>
        <v>8.2236842105263053E-2</v>
      </c>
      <c r="BH25" s="48">
        <f t="shared" si="91"/>
        <v>7.0967741935483941E-2</v>
      </c>
      <c r="BI25" s="48">
        <f t="shared" si="91"/>
        <v>5.6603773584905648E-2</v>
      </c>
      <c r="BJ25" s="258">
        <f t="shared" si="91"/>
        <v>5.7692307692307709E-2</v>
      </c>
      <c r="BK25" s="48">
        <f t="shared" si="91"/>
        <v>4.9230769230769189E-2</v>
      </c>
      <c r="BL25" s="48">
        <f t="shared" si="91"/>
        <v>5.4711246200607855E-2</v>
      </c>
      <c r="BM25" s="48">
        <f t="shared" si="91"/>
        <v>5.4216867469879526E-2</v>
      </c>
      <c r="BN25" s="48">
        <f t="shared" si="91"/>
        <v>5.6547619047619069E-2</v>
      </c>
      <c r="BO25" s="258">
        <f t="shared" si="91"/>
        <v>5.7575757575757613E-2</v>
      </c>
      <c r="BP25" s="48">
        <f t="shared" ref="BP25:BW25" si="92">BP24/BK24-1</f>
        <v>5.8651026392961825E-2</v>
      </c>
      <c r="BQ25" s="48">
        <f t="shared" si="92"/>
        <v>5.7636887608069065E-2</v>
      </c>
      <c r="BR25" s="48">
        <f t="shared" si="92"/>
        <v>7.1428571428571397E-2</v>
      </c>
      <c r="BS25" s="48">
        <f t="shared" si="92"/>
        <v>7.8873239436619613E-2</v>
      </c>
      <c r="BT25" s="258">
        <f t="shared" si="92"/>
        <v>7.1633237822349649E-2</v>
      </c>
      <c r="BU25" s="48">
        <f t="shared" si="92"/>
        <v>7.756232686980602E-2</v>
      </c>
      <c r="BV25" s="48">
        <f t="shared" si="92"/>
        <v>6.8119891008174394E-2</v>
      </c>
      <c r="BW25" s="48">
        <f t="shared" si="92"/>
        <v>5.600000000000005E-2</v>
      </c>
      <c r="BX25" s="48">
        <f>BX24/BS24-1</f>
        <v>4.9608355091383727E-2</v>
      </c>
      <c r="BY25" s="258">
        <f>BY24/BT24-1</f>
        <v>6.149732620320858E-2</v>
      </c>
      <c r="BZ25" s="48">
        <f>BZ24/BU24-1</f>
        <v>4.8843187660668308E-2</v>
      </c>
      <c r="CA25" s="48">
        <f>CA24/BV24-1</f>
        <v>5.6122448979591733E-2</v>
      </c>
      <c r="CB25" s="48">
        <f>CB24/BW24-1</f>
        <v>6.0606060606060552E-2</v>
      </c>
      <c r="CC25" s="48">
        <f t="shared" ref="CC25:CD25" si="93">CC24/BX24-1</f>
        <v>5.9701492537313383E-2</v>
      </c>
      <c r="CD25" s="258">
        <f t="shared" si="93"/>
        <v>5.2896725440806147E-2</v>
      </c>
      <c r="CE25" s="48">
        <f>CE24/BZ24-1</f>
        <v>5.8823529411764719E-2</v>
      </c>
      <c r="CF25" s="48">
        <f>CF24/CA24-1</f>
        <v>5.3140096618357502E-2</v>
      </c>
      <c r="CG25" s="48">
        <f>CG24/CB24-1</f>
        <v>4.5238095238095299E-2</v>
      </c>
      <c r="CH25" s="48">
        <f t="shared" ref="CH25" si="94">CH24/CC24-1</f>
        <v>4.9295774647887258E-2</v>
      </c>
      <c r="CI25" s="258">
        <f t="shared" ref="CI25:CR25" si="95">CI24/CD24-1</f>
        <v>5.741626794258381E-2</v>
      </c>
      <c r="CJ25" s="48">
        <f>CJ24/CE24-1</f>
        <v>5.7870370370370461E-2</v>
      </c>
      <c r="CK25" s="48">
        <f>CK24/CF24-1</f>
        <v>6.1926605504587062E-2</v>
      </c>
      <c r="CL25" s="48">
        <f>CL24/CG24-1</f>
        <v>6.8337129840546629E-2</v>
      </c>
      <c r="CM25" s="48">
        <f t="shared" ref="CM25" si="96">CM24/CH24-1</f>
        <v>5.5928411633109576E-2</v>
      </c>
      <c r="CN25" s="258">
        <f t="shared" ref="CN25" si="97">CN24/CI24-1</f>
        <v>4.7511312217194623E-2</v>
      </c>
      <c r="CO25" s="48">
        <f t="shared" si="95"/>
        <v>3.7199124726477129E-2</v>
      </c>
      <c r="CP25" s="48">
        <f t="shared" si="95"/>
        <v>3.2397408207343492E-2</v>
      </c>
      <c r="CQ25" s="48">
        <f t="shared" si="95"/>
        <v>2.771855010660973E-2</v>
      </c>
      <c r="CR25" s="48">
        <f t="shared" si="95"/>
        <v>3.3898305084745672E-2</v>
      </c>
      <c r="CS25" s="542">
        <f>CS24/CN24-1</f>
        <v>4.1036717062634898E-2</v>
      </c>
      <c r="CT25" s="543"/>
      <c r="CU25" s="543"/>
      <c r="CV25" s="543"/>
      <c r="CW25" s="543"/>
      <c r="CX25" s="542">
        <f>CX24/CS24-1</f>
        <v>4.7717842323651505E-2</v>
      </c>
      <c r="CY25" s="543"/>
      <c r="CZ25" s="543"/>
      <c r="DA25" s="543"/>
      <c r="DB25" s="543"/>
      <c r="DC25" s="542">
        <f>DC24/CX24-1</f>
        <v>7.128712871287135E-2</v>
      </c>
      <c r="DD25" s="25"/>
      <c r="DE25" s="178"/>
      <c r="DJ25" s="433"/>
      <c r="DK25" s="392"/>
      <c r="DL25" s="430"/>
      <c r="DM25" s="433"/>
      <c r="DN25" s="392"/>
      <c r="DO25" s="433"/>
      <c r="DP25" s="433"/>
      <c r="DQ25" s="430"/>
      <c r="DR25" s="487"/>
      <c r="DS25" s="520"/>
    </row>
    <row r="26" spans="1:131" x14ac:dyDescent="0.2">
      <c r="A26" s="6" t="s">
        <v>124</v>
      </c>
      <c r="B26" s="259"/>
      <c r="C26" s="49"/>
      <c r="D26" s="49"/>
      <c r="E26" s="49"/>
      <c r="F26" s="49"/>
      <c r="G26" s="259"/>
      <c r="H26" s="50"/>
      <c r="I26" s="50"/>
      <c r="J26" s="50"/>
      <c r="K26" s="50"/>
      <c r="L26" s="259"/>
      <c r="M26" s="50"/>
      <c r="N26" s="50"/>
      <c r="O26" s="50"/>
      <c r="P26" s="50"/>
      <c r="Q26" s="259"/>
      <c r="R26" s="50"/>
      <c r="S26" s="50"/>
      <c r="T26" s="50"/>
      <c r="U26" s="50"/>
      <c r="V26" s="322"/>
      <c r="W26" s="50"/>
      <c r="X26" s="50"/>
      <c r="Y26" s="50"/>
      <c r="Z26" s="50"/>
      <c r="AA26" s="322"/>
      <c r="AB26" s="50"/>
      <c r="AC26" s="50"/>
      <c r="AD26" s="50"/>
      <c r="AE26" s="50"/>
      <c r="AF26" s="322"/>
      <c r="AG26" s="50"/>
      <c r="AH26" s="50"/>
      <c r="AI26" s="50"/>
      <c r="AJ26" s="50"/>
      <c r="AK26" s="322"/>
      <c r="AL26" s="50"/>
      <c r="AM26" s="50"/>
      <c r="AN26" s="50"/>
      <c r="AO26" s="50"/>
      <c r="AP26" s="322"/>
      <c r="AQ26" s="50"/>
      <c r="AR26" s="50"/>
      <c r="AS26" s="50"/>
      <c r="AT26" s="50"/>
      <c r="AU26" s="322"/>
      <c r="AV26" s="50"/>
      <c r="AW26" s="50"/>
      <c r="AX26" s="50"/>
      <c r="AY26" s="50"/>
      <c r="AZ26" s="322"/>
      <c r="BA26" s="50"/>
      <c r="BB26" s="50"/>
      <c r="BC26" s="50"/>
      <c r="BD26" s="50"/>
      <c r="BE26" s="322"/>
      <c r="BF26" s="50"/>
      <c r="BG26" s="50"/>
      <c r="BH26" s="50"/>
      <c r="BI26" s="50"/>
      <c r="BJ26" s="259"/>
      <c r="BK26" s="50"/>
      <c r="BL26" s="50"/>
      <c r="BM26" s="50"/>
      <c r="BN26" s="50"/>
      <c r="BO26" s="259"/>
      <c r="BP26" s="50"/>
      <c r="BQ26" s="50"/>
      <c r="BR26" s="50"/>
      <c r="BS26" s="50"/>
      <c r="BT26" s="259"/>
      <c r="BU26" s="50"/>
      <c r="BV26" s="50"/>
      <c r="BW26" s="50"/>
      <c r="BX26" s="50"/>
      <c r="BY26" s="259"/>
      <c r="BZ26" s="50"/>
      <c r="CA26" s="50"/>
      <c r="CB26" s="50"/>
      <c r="CC26" s="50"/>
      <c r="CD26" s="259"/>
      <c r="CE26" s="50"/>
      <c r="CF26" s="50"/>
      <c r="CG26" s="50"/>
      <c r="CH26" s="50"/>
      <c r="CI26" s="259"/>
      <c r="CJ26" s="50"/>
      <c r="CK26" s="50"/>
      <c r="CL26" s="50"/>
      <c r="CM26" s="50"/>
      <c r="CN26" s="259"/>
      <c r="CO26" s="50"/>
      <c r="CP26" s="50"/>
      <c r="CQ26" s="50"/>
      <c r="CR26" s="50"/>
      <c r="CS26" s="259"/>
      <c r="CT26" s="50"/>
      <c r="CU26" s="50"/>
      <c r="CV26" s="50"/>
      <c r="CW26" s="50"/>
      <c r="CX26" s="259"/>
      <c r="CY26" s="50"/>
      <c r="CZ26" s="50"/>
      <c r="DA26" s="50"/>
      <c r="DB26" s="50"/>
      <c r="DC26" s="259"/>
      <c r="DD26" s="362"/>
      <c r="DE26" s="51"/>
      <c r="DJ26" s="433"/>
      <c r="DK26" s="392"/>
      <c r="DL26" s="392"/>
      <c r="DM26" s="747"/>
      <c r="DN26" s="392"/>
      <c r="DO26" s="392"/>
      <c r="DP26" s="392"/>
      <c r="DQ26" s="392"/>
      <c r="DR26" s="487"/>
      <c r="DS26" s="362"/>
    </row>
    <row r="27" spans="1:131" s="7" customFormat="1" x14ac:dyDescent="0.2">
      <c r="A27" s="7" t="s">
        <v>125</v>
      </c>
      <c r="B27" s="260"/>
      <c r="G27" s="260"/>
      <c r="L27" s="260"/>
      <c r="Q27" s="260"/>
      <c r="V27" s="260"/>
      <c r="AA27" s="260"/>
      <c r="AF27" s="260"/>
      <c r="AK27" s="260"/>
      <c r="AP27" s="260"/>
      <c r="AU27" s="260"/>
      <c r="AZ27" s="260"/>
      <c r="BE27" s="260"/>
      <c r="BJ27" s="260"/>
      <c r="BO27" s="260"/>
      <c r="BT27" s="260"/>
      <c r="BY27" s="260"/>
      <c r="CD27" s="260"/>
      <c r="CI27" s="260"/>
      <c r="CN27" s="260"/>
      <c r="CP27" s="809"/>
      <c r="CQ27" s="809"/>
      <c r="CR27" s="809"/>
      <c r="CS27" s="260"/>
      <c r="CX27" s="260"/>
      <c r="DC27" s="260"/>
      <c r="DD27" s="363"/>
      <c r="DE27" s="6"/>
      <c r="DF27" s="363"/>
      <c r="DG27" s="363"/>
      <c r="DH27" s="363"/>
      <c r="DI27" s="363"/>
      <c r="DJ27" s="433"/>
      <c r="DK27" s="390"/>
      <c r="DL27" s="392"/>
      <c r="DM27" s="433"/>
      <c r="DN27" s="392"/>
      <c r="DO27" s="433"/>
      <c r="DP27" s="433"/>
      <c r="DQ27" s="433"/>
      <c r="DR27" s="6"/>
      <c r="DS27" s="363"/>
      <c r="DT27"/>
      <c r="DU27"/>
      <c r="DV27"/>
      <c r="DW27"/>
      <c r="DX27"/>
      <c r="DY27"/>
    </row>
    <row r="28" spans="1:131" x14ac:dyDescent="0.2">
      <c r="A28" s="8" t="s">
        <v>25</v>
      </c>
      <c r="B28" s="846">
        <v>0</v>
      </c>
      <c r="C28" s="9"/>
      <c r="D28" s="9"/>
      <c r="E28" s="9"/>
      <c r="F28" s="9"/>
      <c r="G28" s="846">
        <v>101.66500000000001</v>
      </c>
      <c r="H28" s="824">
        <v>61.960999999999999</v>
      </c>
      <c r="I28" s="824">
        <v>76.156000000000006</v>
      </c>
      <c r="J28" s="824">
        <v>80.274000000000001</v>
      </c>
      <c r="K28" s="824">
        <v>92.106999999999999</v>
      </c>
      <c r="L28" s="10">
        <f>SUM(H28:K28)</f>
        <v>310.49800000000005</v>
      </c>
      <c r="M28" s="824">
        <v>129.09100000000001</v>
      </c>
      <c r="N28" s="824">
        <v>144.29499999999999</v>
      </c>
      <c r="O28" s="824">
        <v>160.239</v>
      </c>
      <c r="P28" s="824">
        <v>181.54599999999999</v>
      </c>
      <c r="Q28" s="10">
        <f>SUM(M28:P28)</f>
        <v>615.17100000000005</v>
      </c>
      <c r="R28" s="824">
        <v>209.90299999999999</v>
      </c>
      <c r="S28" s="824">
        <v>237.03700000000001</v>
      </c>
      <c r="T28" s="824">
        <v>264.43099999999998</v>
      </c>
      <c r="U28" s="824">
        <v>253.72</v>
      </c>
      <c r="V28" s="10">
        <f>SUM(R28:U28)</f>
        <v>965.09100000000001</v>
      </c>
      <c r="W28" s="824">
        <v>279.61599999999999</v>
      </c>
      <c r="X28" s="824">
        <v>309.17500000000001</v>
      </c>
      <c r="Y28" s="824">
        <v>311.60199999999998</v>
      </c>
      <c r="Z28" s="824">
        <f>320.365-3.5</f>
        <v>316.86500000000001</v>
      </c>
      <c r="AA28" s="10">
        <f>SUM(W28:Z28)</f>
        <v>1217.2579999999998</v>
      </c>
      <c r="AB28" s="824">
        <v>357.88400000000001</v>
      </c>
      <c r="AC28" s="824">
        <v>411</v>
      </c>
      <c r="AD28" s="824">
        <v>431.529</v>
      </c>
      <c r="AE28" s="824">
        <v>420.95800000000003</v>
      </c>
      <c r="AF28" s="10">
        <f>SUM(AB28:AE28)</f>
        <v>1621.3710000000001</v>
      </c>
      <c r="AG28" s="824">
        <v>463.4</v>
      </c>
      <c r="AH28" s="824">
        <v>579</v>
      </c>
      <c r="AI28" s="824">
        <v>589</v>
      </c>
      <c r="AJ28" s="824">
        <v>592</v>
      </c>
      <c r="AK28" s="10">
        <f>SUM(AG28:AJ28)</f>
        <v>2223.4</v>
      </c>
      <c r="AL28" s="824">
        <f>564</f>
        <v>564</v>
      </c>
      <c r="AM28" s="824">
        <v>683</v>
      </c>
      <c r="AN28" s="824">
        <v>712</v>
      </c>
      <c r="AO28" s="824">
        <v>677</v>
      </c>
      <c r="AP28" s="10">
        <f>SUM(AL28:AO28)</f>
        <v>2636</v>
      </c>
      <c r="AQ28" s="824">
        <v>748</v>
      </c>
      <c r="AR28" s="824">
        <v>779</v>
      </c>
      <c r="AS28" s="824">
        <v>807</v>
      </c>
      <c r="AT28" s="824">
        <v>722</v>
      </c>
      <c r="AU28" s="10">
        <f>SUM(AQ28:AT28)</f>
        <v>3056</v>
      </c>
      <c r="AV28" s="824">
        <v>708</v>
      </c>
      <c r="AW28" s="824">
        <v>723</v>
      </c>
      <c r="AX28" s="824">
        <v>765</v>
      </c>
      <c r="AY28" s="824">
        <v>737</v>
      </c>
      <c r="AZ28" s="10">
        <f>SUM(AV28:AY28)</f>
        <v>2933</v>
      </c>
      <c r="BA28" s="824">
        <v>785</v>
      </c>
      <c r="BB28" s="824">
        <v>850</v>
      </c>
      <c r="BC28" s="824">
        <v>932</v>
      </c>
      <c r="BD28" s="824">
        <v>845</v>
      </c>
      <c r="BE28" s="10">
        <f>SUM(BA28:BD28)</f>
        <v>3412</v>
      </c>
      <c r="BF28" s="824">
        <v>906</v>
      </c>
      <c r="BG28" s="824">
        <v>1046</v>
      </c>
      <c r="BH28" s="824">
        <v>1087</v>
      </c>
      <c r="BI28" s="824">
        <v>1041</v>
      </c>
      <c r="BJ28" s="10">
        <f>SUM(BF28:BI28)</f>
        <v>4080</v>
      </c>
      <c r="BK28" s="824">
        <v>1096</v>
      </c>
      <c r="BL28" s="824">
        <v>1171</v>
      </c>
      <c r="BM28" s="824">
        <v>1194</v>
      </c>
      <c r="BN28" s="824">
        <v>1089</v>
      </c>
      <c r="BO28" s="10">
        <f>SUM(BK28:BN28)</f>
        <v>4550</v>
      </c>
      <c r="BP28" s="824">
        <v>1186</v>
      </c>
      <c r="BQ28" s="824">
        <v>1222</v>
      </c>
      <c r="BR28" s="824">
        <v>1321</v>
      </c>
      <c r="BS28" s="824">
        <v>1242</v>
      </c>
      <c r="BT28" s="10">
        <f>SUM(BP28:BS28)</f>
        <v>4971</v>
      </c>
      <c r="BU28" s="824">
        <v>1230</v>
      </c>
      <c r="BV28" s="824">
        <v>1372</v>
      </c>
      <c r="BW28" s="824">
        <v>1414</v>
      </c>
      <c r="BX28" s="824">
        <v>1327</v>
      </c>
      <c r="BY28" s="10">
        <f>SUM(BU28:BX28)</f>
        <v>5343</v>
      </c>
      <c r="BZ28" s="824">
        <v>1408</v>
      </c>
      <c r="CA28" s="824">
        <v>1496</v>
      </c>
      <c r="CB28" s="824">
        <v>1551</v>
      </c>
      <c r="CC28" s="824">
        <v>1438</v>
      </c>
      <c r="CD28" s="10">
        <f>SUM(BZ28:CC28)</f>
        <v>5893</v>
      </c>
      <c r="CE28" s="824">
        <v>1478</v>
      </c>
      <c r="CF28" s="824">
        <v>1487</v>
      </c>
      <c r="CG28" s="824">
        <v>1571</v>
      </c>
      <c r="CH28" s="824">
        <v>1477</v>
      </c>
      <c r="CI28" s="10">
        <f>SUM(CE28:CH28)</f>
        <v>6013</v>
      </c>
      <c r="CJ28" s="824">
        <v>1451</v>
      </c>
      <c r="CK28" s="824">
        <v>1650</v>
      </c>
      <c r="CL28" s="824">
        <v>1623</v>
      </c>
      <c r="CM28" s="824">
        <v>1564</v>
      </c>
      <c r="CN28" s="10">
        <f>SUM(CJ28:CM28)</f>
        <v>6288</v>
      </c>
      <c r="CO28" s="9">
        <f>CO6*(CO30/100)</f>
        <v>1575.3260329999996</v>
      </c>
      <c r="CP28" s="9">
        <f t="shared" ref="CP28:CR28" si="98">CP6*(CP30/100)</f>
        <v>1694.88</v>
      </c>
      <c r="CQ28" s="9">
        <f t="shared" si="98"/>
        <v>1812.0794999999998</v>
      </c>
      <c r="CR28" s="9">
        <f t="shared" si="98"/>
        <v>1706.0112000000001</v>
      </c>
      <c r="CS28" s="10">
        <f>SUM(CO28:CR28)</f>
        <v>6788.2967329999992</v>
      </c>
      <c r="CT28" s="9"/>
      <c r="CU28" s="9"/>
      <c r="CV28" s="9"/>
      <c r="CW28" s="9"/>
      <c r="CX28" s="10">
        <f>CX6*(CX30/100)</f>
        <v>7299.7948918315496</v>
      </c>
      <c r="CY28" s="9"/>
      <c r="CZ28" s="9"/>
      <c r="DA28" s="9"/>
      <c r="DB28" s="9"/>
      <c r="DC28" s="10">
        <f>DC6*(DC30/100)</f>
        <v>7849.8344369310562</v>
      </c>
      <c r="DD28" s="364"/>
      <c r="DE28" s="456"/>
      <c r="DF28" s="364"/>
      <c r="DG28" s="364"/>
      <c r="DH28" s="364"/>
      <c r="DI28" s="364"/>
      <c r="DJ28" s="433"/>
      <c r="DK28" s="410" t="s">
        <v>452</v>
      </c>
      <c r="DL28" s="611">
        <v>2015</v>
      </c>
      <c r="DM28" s="611">
        <v>2016</v>
      </c>
      <c r="DN28" s="611">
        <v>2017</v>
      </c>
      <c r="DO28" s="611">
        <v>2018</v>
      </c>
      <c r="DP28" s="611">
        <v>2019</v>
      </c>
      <c r="DQ28" s="611" t="s">
        <v>346</v>
      </c>
      <c r="DR28" s="456"/>
      <c r="DS28" s="364"/>
      <c r="DZ28" s="9"/>
      <c r="EA28" s="342"/>
    </row>
    <row r="29" spans="1:131" x14ac:dyDescent="0.2">
      <c r="A29" s="11" t="s">
        <v>131</v>
      </c>
      <c r="B29" s="249"/>
      <c r="C29" s="20"/>
      <c r="D29" s="20"/>
      <c r="E29" s="20"/>
      <c r="F29" s="20"/>
      <c r="G29" s="249"/>
      <c r="H29" s="3"/>
      <c r="I29" s="3"/>
      <c r="J29" s="3"/>
      <c r="K29" s="3"/>
      <c r="L29" s="249">
        <f t="shared" ref="L29:BW29" si="99">L28/G28-1</f>
        <v>2.0541287562091184</v>
      </c>
      <c r="M29" s="3">
        <f t="shared" si="99"/>
        <v>1.0834234437791515</v>
      </c>
      <c r="N29" s="3">
        <f t="shared" si="99"/>
        <v>0.89472923998109111</v>
      </c>
      <c r="O29" s="3">
        <f t="shared" si="99"/>
        <v>0.99615068390761641</v>
      </c>
      <c r="P29" s="3">
        <f t="shared" si="99"/>
        <v>0.97103368907900589</v>
      </c>
      <c r="Q29" s="249">
        <f t="shared" si="99"/>
        <v>0.98123981474920918</v>
      </c>
      <c r="R29" s="3">
        <f t="shared" si="99"/>
        <v>0.62600800985351412</v>
      </c>
      <c r="S29" s="3">
        <f t="shared" si="99"/>
        <v>0.64272497314529287</v>
      </c>
      <c r="T29" s="3">
        <f t="shared" si="99"/>
        <v>0.65022872084823291</v>
      </c>
      <c r="U29" s="3">
        <f t="shared" si="99"/>
        <v>0.39755213554691382</v>
      </c>
      <c r="V29" s="249">
        <f t="shared" si="99"/>
        <v>0.56881745075759405</v>
      </c>
      <c r="W29" s="3">
        <f t="shared" si="99"/>
        <v>0.33212007451060721</v>
      </c>
      <c r="X29" s="3">
        <f t="shared" si="99"/>
        <v>0.30433223505191176</v>
      </c>
      <c r="Y29" s="3">
        <f t="shared" si="99"/>
        <v>0.17838680033732812</v>
      </c>
      <c r="Z29" s="3">
        <f t="shared" si="99"/>
        <v>0.24887671448841253</v>
      </c>
      <c r="AA29" s="249">
        <f t="shared" si="99"/>
        <v>0.26128831374450678</v>
      </c>
      <c r="AB29" s="3">
        <f t="shared" si="99"/>
        <v>0.27991245136186782</v>
      </c>
      <c r="AC29" s="3">
        <f t="shared" si="99"/>
        <v>0.32934422252769457</v>
      </c>
      <c r="AD29" s="3">
        <f t="shared" si="99"/>
        <v>0.38487236924024892</v>
      </c>
      <c r="AE29" s="3">
        <f t="shared" si="99"/>
        <v>0.32850898647689086</v>
      </c>
      <c r="AF29" s="249">
        <f t="shared" si="99"/>
        <v>0.33198631678740287</v>
      </c>
      <c r="AG29" s="3">
        <f t="shared" si="99"/>
        <v>0.29483296263593783</v>
      </c>
      <c r="AH29" s="3">
        <f t="shared" si="99"/>
        <v>0.40875912408759119</v>
      </c>
      <c r="AI29" s="3">
        <f t="shared" si="99"/>
        <v>0.36491406139564209</v>
      </c>
      <c r="AJ29" s="3">
        <f t="shared" si="99"/>
        <v>0.40631606953662835</v>
      </c>
      <c r="AK29" s="249">
        <f t="shared" si="99"/>
        <v>0.37130860241116936</v>
      </c>
      <c r="AL29" s="3">
        <f t="shared" si="99"/>
        <v>0.21709106603366424</v>
      </c>
      <c r="AM29" s="3">
        <f t="shared" si="99"/>
        <v>0.17962003454231423</v>
      </c>
      <c r="AN29" s="3">
        <f t="shared" si="99"/>
        <v>0.20882852292020382</v>
      </c>
      <c r="AO29" s="3">
        <f t="shared" si="99"/>
        <v>0.14358108108108114</v>
      </c>
      <c r="AP29" s="249">
        <f t="shared" si="99"/>
        <v>0.18557164702707563</v>
      </c>
      <c r="AQ29" s="3">
        <f t="shared" si="99"/>
        <v>0.32624113475177308</v>
      </c>
      <c r="AR29" s="3">
        <f t="shared" si="99"/>
        <v>0.14055636896046853</v>
      </c>
      <c r="AS29" s="3">
        <f t="shared" si="99"/>
        <v>0.1334269662921348</v>
      </c>
      <c r="AT29" s="3">
        <f t="shared" si="99"/>
        <v>6.6469719350073841E-2</v>
      </c>
      <c r="AU29" s="249">
        <f t="shared" si="99"/>
        <v>0.15933232169954481</v>
      </c>
      <c r="AV29" s="3">
        <f t="shared" si="99"/>
        <v>-5.3475935828876997E-2</v>
      </c>
      <c r="AW29" s="3">
        <f t="shared" si="99"/>
        <v>-7.188703465982027E-2</v>
      </c>
      <c r="AX29" s="3">
        <f t="shared" si="99"/>
        <v>-5.2044609665427455E-2</v>
      </c>
      <c r="AY29" s="3">
        <f t="shared" si="99"/>
        <v>2.0775623268697974E-2</v>
      </c>
      <c r="AZ29" s="249">
        <f t="shared" si="99"/>
        <v>-4.0248691099476486E-2</v>
      </c>
      <c r="BA29" s="3">
        <f t="shared" si="99"/>
        <v>0.10875706214689274</v>
      </c>
      <c r="BB29" s="3">
        <f t="shared" si="99"/>
        <v>0.17565698478561553</v>
      </c>
      <c r="BC29" s="3">
        <f t="shared" si="99"/>
        <v>0.21830065359477113</v>
      </c>
      <c r="BD29" s="3">
        <f t="shared" si="99"/>
        <v>0.14654002713704206</v>
      </c>
      <c r="BE29" s="249">
        <f>BE28/AZ28-1</f>
        <v>0.16331401295601777</v>
      </c>
      <c r="BF29" s="3">
        <f t="shared" si="99"/>
        <v>0.154140127388535</v>
      </c>
      <c r="BG29" s="3">
        <f t="shared" si="99"/>
        <v>0.23058823529411754</v>
      </c>
      <c r="BH29" s="3">
        <f t="shared" si="99"/>
        <v>0.16630901287553645</v>
      </c>
      <c r="BI29" s="3">
        <f t="shared" si="99"/>
        <v>0.23195266272189352</v>
      </c>
      <c r="BJ29" s="249">
        <f>BJ28/BE28-1</f>
        <v>0.19577960140679962</v>
      </c>
      <c r="BK29" s="3">
        <f t="shared" si="99"/>
        <v>0.20971302428256067</v>
      </c>
      <c r="BL29" s="3">
        <f t="shared" si="99"/>
        <v>0.1195028680688337</v>
      </c>
      <c r="BM29" s="3">
        <f t="shared" si="99"/>
        <v>9.8436062557497594E-2</v>
      </c>
      <c r="BN29" s="3">
        <f t="shared" si="99"/>
        <v>4.6109510086455252E-2</v>
      </c>
      <c r="BO29" s="249">
        <f>BO28/BJ28-1</f>
        <v>0.11519607843137258</v>
      </c>
      <c r="BP29" s="3">
        <f t="shared" si="99"/>
        <v>8.2116788321167977E-2</v>
      </c>
      <c r="BQ29" s="3">
        <f t="shared" si="99"/>
        <v>4.3552519214346663E-2</v>
      </c>
      <c r="BR29" s="3">
        <f t="shared" si="99"/>
        <v>0.10636515912897826</v>
      </c>
      <c r="BS29" s="3">
        <f t="shared" si="99"/>
        <v>0.14049586776859502</v>
      </c>
      <c r="BT29" s="249">
        <f>BT28/BO28-1</f>
        <v>9.252747252747251E-2</v>
      </c>
      <c r="BU29" s="3">
        <f t="shared" si="99"/>
        <v>3.7099494097807773E-2</v>
      </c>
      <c r="BV29" s="3">
        <f t="shared" si="99"/>
        <v>0.12274959083469716</v>
      </c>
      <c r="BW29" s="3">
        <f t="shared" si="99"/>
        <v>7.0401211203633629E-2</v>
      </c>
      <c r="BX29" s="3">
        <f>BX28/BS28-1</f>
        <v>6.8438003220611998E-2</v>
      </c>
      <c r="BY29" s="249">
        <f>BY28/BT28-1</f>
        <v>7.4834037417018662E-2</v>
      </c>
      <c r="BZ29" s="3">
        <f>BZ28/BU28-1</f>
        <v>0.1447154471544716</v>
      </c>
      <c r="CA29" s="3">
        <f>CA28/BV28-1</f>
        <v>9.0379008746355627E-2</v>
      </c>
      <c r="CB29" s="3">
        <f>CB28/BW28-1</f>
        <v>9.6888260254596847E-2</v>
      </c>
      <c r="CC29" s="3">
        <f t="shared" ref="CC29:CD29" si="100">CC28/BX28-1</f>
        <v>8.3647324792765598E-2</v>
      </c>
      <c r="CD29" s="249">
        <f t="shared" si="100"/>
        <v>0.10293842410630738</v>
      </c>
      <c r="CE29" s="3">
        <f>CE28/BZ28-1</f>
        <v>4.9715909090909172E-2</v>
      </c>
      <c r="CF29" s="3">
        <f>CF28/CA28-1</f>
        <v>-6.0160427807486316E-3</v>
      </c>
      <c r="CG29" s="3">
        <f>CG28/CB28-1</f>
        <v>1.2894906511927706E-2</v>
      </c>
      <c r="CH29" s="3">
        <f t="shared" ref="CH29" si="101">CH28/CC28-1</f>
        <v>2.7121001390820521E-2</v>
      </c>
      <c r="CI29" s="249">
        <f t="shared" ref="CI29:CS29" si="102">CI28/CD28-1</f>
        <v>2.0363142711691928E-2</v>
      </c>
      <c r="CJ29" s="3">
        <f>CJ28/CE28-1</f>
        <v>-1.8267929634641411E-2</v>
      </c>
      <c r="CK29" s="3">
        <f>CK28/CF28-1</f>
        <v>0.10961667787491591</v>
      </c>
      <c r="CL29" s="3">
        <f>CL28/CG28-1</f>
        <v>3.3099936346276282E-2</v>
      </c>
      <c r="CM29" s="3">
        <f t="shared" ref="CM29" si="103">CM28/CH28-1</f>
        <v>5.8903182125930931E-2</v>
      </c>
      <c r="CN29" s="249">
        <f t="shared" ref="CN29" si="104">CN28/CI28-1</f>
        <v>4.5734242474638309E-2</v>
      </c>
      <c r="CO29" s="3">
        <f>CO28/CJ28-1</f>
        <v>8.5682999999999732E-2</v>
      </c>
      <c r="CP29" s="3">
        <f t="shared" si="102"/>
        <v>2.7200000000000113E-2</v>
      </c>
      <c r="CQ29" s="3">
        <f t="shared" si="102"/>
        <v>0.11649999999999983</v>
      </c>
      <c r="CR29" s="3">
        <f t="shared" si="102"/>
        <v>9.0799999999999992E-2</v>
      </c>
      <c r="CS29" s="249">
        <f t="shared" si="102"/>
        <v>7.956372980279891E-2</v>
      </c>
      <c r="CT29" s="3"/>
      <c r="CU29" s="3"/>
      <c r="CV29" s="3"/>
      <c r="CW29" s="3"/>
      <c r="CX29" s="249">
        <f>CX28/CS28-1</f>
        <v>7.5350000000000028E-2</v>
      </c>
      <c r="CY29" s="3"/>
      <c r="CZ29" s="3"/>
      <c r="DA29" s="3"/>
      <c r="DB29" s="3"/>
      <c r="DC29" s="249">
        <f>DC28/CX28-1</f>
        <v>7.5349999999999806E-2</v>
      </c>
      <c r="DD29" s="25"/>
      <c r="DE29" s="178"/>
      <c r="DJ29" s="392"/>
      <c r="DK29" s="581" t="s">
        <v>479</v>
      </c>
      <c r="DL29" s="586">
        <v>100</v>
      </c>
      <c r="DM29" s="586">
        <v>260</v>
      </c>
      <c r="DN29" s="586">
        <f>+DQ29</f>
        <v>285</v>
      </c>
      <c r="DO29" s="586">
        <f>+DN29</f>
        <v>285</v>
      </c>
      <c r="DP29" s="586">
        <f>+DO29</f>
        <v>285</v>
      </c>
      <c r="DQ29" s="586">
        <v>285</v>
      </c>
      <c r="DR29" s="487"/>
      <c r="DS29" s="25"/>
    </row>
    <row r="30" spans="1:131" x14ac:dyDescent="0.2">
      <c r="A30" s="39" t="s">
        <v>231</v>
      </c>
      <c r="B30" s="261"/>
      <c r="C30" s="20"/>
      <c r="D30" s="20"/>
      <c r="E30" s="20"/>
      <c r="F30" s="20"/>
      <c r="G30" s="261"/>
      <c r="H30" s="53">
        <f t="shared" ref="H30:AM30" si="105">(H28/H6)*100</f>
        <v>8.3074121943763632</v>
      </c>
      <c r="I30" s="53">
        <f t="shared" si="105"/>
        <v>7.9267734172682847</v>
      </c>
      <c r="J30" s="53">
        <f t="shared" si="105"/>
        <v>7.0975311512776615</v>
      </c>
      <c r="K30" s="53">
        <f t="shared" si="105"/>
        <v>6.7199111667534863</v>
      </c>
      <c r="L30" s="261">
        <f t="shared" si="105"/>
        <v>7.3782865963590254</v>
      </c>
      <c r="M30" s="53">
        <f t="shared" si="105"/>
        <v>7.994884403624269</v>
      </c>
      <c r="N30" s="53">
        <f t="shared" si="105"/>
        <v>7.468248492712382</v>
      </c>
      <c r="O30" s="53">
        <f t="shared" si="105"/>
        <v>7.194464573865397</v>
      </c>
      <c r="P30" s="53">
        <f t="shared" si="105"/>
        <v>7.3622582577321642</v>
      </c>
      <c r="Q30" s="261">
        <f t="shared" si="105"/>
        <v>7.4657236498624142</v>
      </c>
      <c r="R30" s="53">
        <f t="shared" si="105"/>
        <v>7.1932108574465801</v>
      </c>
      <c r="S30" s="53">
        <f t="shared" si="105"/>
        <v>7.2372870333251003</v>
      </c>
      <c r="T30" s="53">
        <f t="shared" si="105"/>
        <v>7.1374453046702948</v>
      </c>
      <c r="U30" s="53">
        <f t="shared" si="105"/>
        <v>6.7814966601690241</v>
      </c>
      <c r="V30" s="261">
        <f t="shared" si="105"/>
        <v>7.0757128126803588</v>
      </c>
      <c r="W30" s="53">
        <f t="shared" si="105"/>
        <v>6.6282961797028337</v>
      </c>
      <c r="X30" s="53">
        <f t="shared" si="105"/>
        <v>6.639222899011016</v>
      </c>
      <c r="Y30" s="53">
        <f t="shared" si="105"/>
        <v>6.3076306456575599</v>
      </c>
      <c r="Z30" s="53">
        <f t="shared" si="105"/>
        <v>6.2183357746284287</v>
      </c>
      <c r="AA30" s="261">
        <f t="shared" si="105"/>
        <v>6.4367548900375757</v>
      </c>
      <c r="AB30" s="53">
        <f t="shared" si="105"/>
        <v>6.9241251057093596</v>
      </c>
      <c r="AC30" s="53">
        <f t="shared" si="105"/>
        <v>7.0302076562553451</v>
      </c>
      <c r="AD30" s="53">
        <f t="shared" si="105"/>
        <v>6.8151990678255459</v>
      </c>
      <c r="AE30" s="53">
        <f t="shared" si="105"/>
        <v>6.6226069905523266</v>
      </c>
      <c r="AF30" s="261">
        <f t="shared" si="105"/>
        <v>6.8403348524880334</v>
      </c>
      <c r="AG30" s="53">
        <f t="shared" si="105"/>
        <v>7.0457655466017943</v>
      </c>
      <c r="AH30" s="53">
        <f t="shared" si="105"/>
        <v>8.0394334906970286</v>
      </c>
      <c r="AI30" s="53">
        <f t="shared" si="105"/>
        <v>7.8147804166113835</v>
      </c>
      <c r="AJ30" s="53">
        <f t="shared" si="105"/>
        <v>8.1341027754877704</v>
      </c>
      <c r="AK30" s="261">
        <f t="shared" si="105"/>
        <v>7.7757571518500397</v>
      </c>
      <c r="AL30" s="53">
        <f t="shared" si="105"/>
        <v>7.6526458616010862</v>
      </c>
      <c r="AM30" s="53">
        <f t="shared" si="105"/>
        <v>8.4676419538804861</v>
      </c>
      <c r="AN30" s="53">
        <f t="shared" ref="AN30:BG30" si="106">(AN28/AN6)*100</f>
        <v>8.5218432076600834</v>
      </c>
      <c r="AO30" s="53">
        <f t="shared" si="106"/>
        <v>8.3446320719832361</v>
      </c>
      <c r="AP30" s="261">
        <f t="shared" si="106"/>
        <v>8.2622868605817459</v>
      </c>
      <c r="AQ30" s="53">
        <f t="shared" si="106"/>
        <v>8.9100655151876129</v>
      </c>
      <c r="AR30" s="53">
        <f t="shared" si="106"/>
        <v>9.2926160085888103</v>
      </c>
      <c r="AS30" s="53">
        <f t="shared" si="106"/>
        <v>9.8969830757910238</v>
      </c>
      <c r="AT30" s="53">
        <f t="shared" si="106"/>
        <v>9.6138482023968042</v>
      </c>
      <c r="AU30" s="261">
        <f t="shared" si="106"/>
        <v>9.4198877997657355</v>
      </c>
      <c r="AV30" s="53">
        <f t="shared" si="106"/>
        <v>8.9141821112006454</v>
      </c>
      <c r="AW30" s="53">
        <f t="shared" si="106"/>
        <v>8.7774675245841927</v>
      </c>
      <c r="AX30" s="53">
        <f t="shared" si="106"/>
        <v>9.1169109760457641</v>
      </c>
      <c r="AY30" s="53">
        <f t="shared" si="106"/>
        <v>9.2263395092638962</v>
      </c>
      <c r="AZ30" s="261">
        <f t="shared" si="106"/>
        <v>9.0084279325765397</v>
      </c>
      <c r="BA30" s="53">
        <f t="shared" si="106"/>
        <v>9.3190338595520679</v>
      </c>
      <c r="BB30" s="53">
        <f t="shared" si="106"/>
        <v>9.7833528309800197</v>
      </c>
      <c r="BC30" s="53">
        <f t="shared" si="106"/>
        <v>10.239507800483411</v>
      </c>
      <c r="BD30" s="53">
        <f t="shared" si="106"/>
        <v>9.9059927152853575</v>
      </c>
      <c r="BE30" s="261">
        <f t="shared" si="106"/>
        <v>9.8203899040174853</v>
      </c>
      <c r="BF30" s="53">
        <f t="shared" si="106"/>
        <v>10.645283980574824</v>
      </c>
      <c r="BG30" s="53">
        <f t="shared" si="106"/>
        <v>11.079334816227094</v>
      </c>
      <c r="BH30" s="53">
        <f t="shared" ref="BH30:BM30" si="107">(BH28/BH6)*100</f>
        <v>11.029934043632673</v>
      </c>
      <c r="BI30" s="53">
        <f t="shared" si="107"/>
        <v>11.045092838196286</v>
      </c>
      <c r="BJ30" s="261">
        <f t="shared" si="107"/>
        <v>10.958371055332226</v>
      </c>
      <c r="BK30" s="53">
        <f t="shared" si="107"/>
        <v>11.493288590604028</v>
      </c>
      <c r="BL30" s="53">
        <f t="shared" si="107"/>
        <v>11.755847806445136</v>
      </c>
      <c r="BM30" s="53">
        <f t="shared" si="107"/>
        <v>11.154708520179373</v>
      </c>
      <c r="BN30" s="53">
        <f t="shared" ref="BN30:BT30" si="108">(BN28/BN6)*100</f>
        <v>11.028964958476809</v>
      </c>
      <c r="BO30" s="261">
        <f t="shared" si="108"/>
        <v>11.353711790393014</v>
      </c>
      <c r="BP30" s="53">
        <f t="shared" si="108"/>
        <v>11.696252465483235</v>
      </c>
      <c r="BQ30" s="53">
        <f t="shared" si="108"/>
        <v>11.376966762871241</v>
      </c>
      <c r="BR30" s="53">
        <f t="shared" si="108"/>
        <v>11.740135087095629</v>
      </c>
      <c r="BS30" s="53">
        <f t="shared" si="108"/>
        <v>11.617248152651763</v>
      </c>
      <c r="BT30" s="261">
        <f t="shared" si="108"/>
        <v>11.607976835419391</v>
      </c>
      <c r="BU30" s="53">
        <f t="shared" ref="BU30:BZ30" si="109">(BU28/BU6)*100</f>
        <v>11.805355600345523</v>
      </c>
      <c r="BV30" s="53">
        <f t="shared" si="109"/>
        <v>12.049885824696997</v>
      </c>
      <c r="BW30" s="53">
        <f t="shared" si="109"/>
        <v>12.031994554118448</v>
      </c>
      <c r="BX30" s="53">
        <f t="shared" si="109"/>
        <v>11.603707590066458</v>
      </c>
      <c r="BY30" s="261">
        <f t="shared" si="109"/>
        <v>11.875180583646346</v>
      </c>
      <c r="BZ30" s="53">
        <f t="shared" si="109"/>
        <v>12.330326648568175</v>
      </c>
      <c r="CA30" s="53">
        <f t="shared" ref="CA30:CF30" si="110">(CA28/CA6)*100</f>
        <v>12.225218599329901</v>
      </c>
      <c r="CB30" s="53">
        <f t="shared" si="110"/>
        <v>11.952836004932182</v>
      </c>
      <c r="CC30" s="53">
        <f t="shared" si="110"/>
        <v>11.389196895295422</v>
      </c>
      <c r="CD30" s="261">
        <f t="shared" si="110"/>
        <v>11.963538917536237</v>
      </c>
      <c r="CE30" s="53">
        <f t="shared" si="110"/>
        <v>11.343925090183436</v>
      </c>
      <c r="CF30" s="53">
        <f t="shared" si="110"/>
        <v>10.936235934397294</v>
      </c>
      <c r="CG30" s="53">
        <f t="shared" ref="CG30:CL30" si="111">(CG28/CG6)*100</f>
        <v>11.387358654682517</v>
      </c>
      <c r="CH30" s="53">
        <f t="shared" si="111"/>
        <v>11.191089559024094</v>
      </c>
      <c r="CI30" s="261">
        <f t="shared" si="111"/>
        <v>11.214099216710183</v>
      </c>
      <c r="CJ30" s="53">
        <f t="shared" si="111"/>
        <v>10.684830633284241</v>
      </c>
      <c r="CK30" s="53">
        <f t="shared" si="111"/>
        <v>11.582198511862979</v>
      </c>
      <c r="CL30" s="53">
        <f t="shared" si="111"/>
        <v>11.344890255836711</v>
      </c>
      <c r="CM30" s="53">
        <f t="shared" ref="CM30:CN30" si="112">(CM28/CM6)*100</f>
        <v>11.271259729028539</v>
      </c>
      <c r="CN30" s="261">
        <f t="shared" si="112"/>
        <v>11.226967576060563</v>
      </c>
      <c r="CO30" s="53">
        <f t="shared" ref="CO30:CR30" si="113">CJ30*(1+CO31)</f>
        <v>11.229756995581736</v>
      </c>
      <c r="CP30" s="53">
        <f t="shared" si="113"/>
        <v>11.11891057138846</v>
      </c>
      <c r="CQ30" s="53">
        <f t="shared" si="113"/>
        <v>11.515063609674261</v>
      </c>
      <c r="CR30" s="53">
        <f t="shared" si="113"/>
        <v>11.383972326318824</v>
      </c>
      <c r="CS30" s="261">
        <f>(CS28/CS6)*100</f>
        <v>11.314951840216127</v>
      </c>
      <c r="CT30" s="53"/>
      <c r="CU30" s="53"/>
      <c r="CV30" s="53"/>
      <c r="CW30" s="53"/>
      <c r="CX30" s="261">
        <f>CS30*(1+CX31)</f>
        <v>11.371526599417207</v>
      </c>
      <c r="CY30" s="53"/>
      <c r="CZ30" s="53"/>
      <c r="DA30" s="53"/>
      <c r="DB30" s="53"/>
      <c r="DC30" s="261">
        <f>CX30*(1+DC31)</f>
        <v>11.428384232414292</v>
      </c>
      <c r="DD30" s="25"/>
      <c r="DE30" s="178"/>
      <c r="DJ30" s="392"/>
      <c r="DK30" s="581" t="s">
        <v>478</v>
      </c>
      <c r="DL30" s="586"/>
      <c r="DM30" s="586"/>
      <c r="DN30" s="586">
        <f>10%/4*DQ30</f>
        <v>2.5</v>
      </c>
      <c r="DO30" s="586">
        <f>(10%*0.75+35%/4)*$DQ$30</f>
        <v>16.25</v>
      </c>
      <c r="DP30" s="586">
        <f>(35%*0.75+85%/4)*$DQ$30</f>
        <v>47.5</v>
      </c>
      <c r="DQ30" s="586">
        <v>100</v>
      </c>
      <c r="DR30" s="487"/>
      <c r="DS30" s="25"/>
    </row>
    <row r="31" spans="1:131" s="30" customFormat="1" x14ac:dyDescent="0.2">
      <c r="A31" s="550" t="s">
        <v>131</v>
      </c>
      <c r="B31" s="545"/>
      <c r="C31" s="546"/>
      <c r="D31" s="546"/>
      <c r="E31" s="546"/>
      <c r="F31" s="546"/>
      <c r="G31" s="545"/>
      <c r="H31" s="547"/>
      <c r="I31" s="547"/>
      <c r="J31" s="547"/>
      <c r="K31" s="547"/>
      <c r="L31" s="545"/>
      <c r="M31" s="547">
        <f t="shared" ref="M31:AR31" si="114">M30/H30-1</f>
        <v>-3.7620354382277732E-2</v>
      </c>
      <c r="N31" s="547">
        <f t="shared" si="114"/>
        <v>-5.78450903563128E-2</v>
      </c>
      <c r="O31" s="547">
        <f t="shared" si="114"/>
        <v>1.3657343732867755E-2</v>
      </c>
      <c r="P31" s="547">
        <f t="shared" si="114"/>
        <v>9.5588628337330839E-2</v>
      </c>
      <c r="Q31" s="545">
        <f t="shared" si="114"/>
        <v>1.1850590562114682E-2</v>
      </c>
      <c r="R31" s="547">
        <f t="shared" si="114"/>
        <v>-0.10027331299677977</v>
      </c>
      <c r="S31" s="547">
        <f t="shared" si="114"/>
        <v>-3.0925786630246366E-2</v>
      </c>
      <c r="T31" s="547">
        <f t="shared" si="114"/>
        <v>-7.9254360918296074E-3</v>
      </c>
      <c r="U31" s="547">
        <f t="shared" si="114"/>
        <v>-7.8883622012743015E-2</v>
      </c>
      <c r="V31" s="545">
        <f t="shared" si="114"/>
        <v>-5.224019203942043E-2</v>
      </c>
      <c r="W31" s="547">
        <f t="shared" si="114"/>
        <v>-7.8534424881891773E-2</v>
      </c>
      <c r="X31" s="547">
        <f t="shared" si="114"/>
        <v>-8.2636508896249961E-2</v>
      </c>
      <c r="Y31" s="547">
        <f t="shared" si="114"/>
        <v>-0.11626213912557148</v>
      </c>
      <c r="Z31" s="547">
        <f t="shared" si="114"/>
        <v>-8.3043745910590605E-2</v>
      </c>
      <c r="AA31" s="545">
        <f t="shared" si="114"/>
        <v>-9.0302975764888105E-2</v>
      </c>
      <c r="AB31" s="547">
        <f t="shared" si="114"/>
        <v>4.4631217131245959E-2</v>
      </c>
      <c r="AC31" s="547">
        <f t="shared" si="114"/>
        <v>5.8890138679117188E-2</v>
      </c>
      <c r="AD31" s="547">
        <f t="shared" si="114"/>
        <v>8.0468951129441635E-2</v>
      </c>
      <c r="AE31" s="547">
        <f t="shared" si="114"/>
        <v>6.5012767173714625E-2</v>
      </c>
      <c r="AF31" s="545">
        <f t="shared" si="114"/>
        <v>6.2699290146203124E-2</v>
      </c>
      <c r="AG31" s="547">
        <f t="shared" si="114"/>
        <v>1.7567626095047695E-2</v>
      </c>
      <c r="AH31" s="547">
        <f t="shared" si="114"/>
        <v>0.14355562222172669</v>
      </c>
      <c r="AI31" s="547">
        <f t="shared" si="114"/>
        <v>0.14666942797090798</v>
      </c>
      <c r="AJ31" s="547">
        <f t="shared" si="114"/>
        <v>0.22823274687622441</v>
      </c>
      <c r="AK31" s="545">
        <f t="shared" si="114"/>
        <v>0.13675095145696936</v>
      </c>
      <c r="AL31" s="547">
        <f t="shared" si="114"/>
        <v>8.6134049023529169E-2</v>
      </c>
      <c r="AM31" s="547">
        <f t="shared" si="114"/>
        <v>5.3263512121714429E-2</v>
      </c>
      <c r="AN31" s="547">
        <f t="shared" si="114"/>
        <v>9.0477627438608765E-2</v>
      </c>
      <c r="AO31" s="547">
        <f t="shared" si="114"/>
        <v>2.5882301011723063E-2</v>
      </c>
      <c r="AP31" s="545">
        <f t="shared" si="114"/>
        <v>6.2570075071846754E-2</v>
      </c>
      <c r="AQ31" s="547">
        <f t="shared" si="114"/>
        <v>0.16431175260518982</v>
      </c>
      <c r="AR31" s="547">
        <f t="shared" si="114"/>
        <v>9.7426657763943547E-2</v>
      </c>
      <c r="AS31" s="547">
        <f t="shared" ref="AS31:BW31" si="115">AS30/AN30-1</f>
        <v>0.16136648312126423</v>
      </c>
      <c r="AT31" s="547">
        <f t="shared" si="115"/>
        <v>0.15209971146300272</v>
      </c>
      <c r="AU31" s="545">
        <f t="shared" si="115"/>
        <v>0.14010660229031102</v>
      </c>
      <c r="AV31" s="547">
        <f t="shared" si="115"/>
        <v>4.6201635734499646E-4</v>
      </c>
      <c r="AW31" s="547">
        <f t="shared" si="115"/>
        <v>-5.5436325306941092E-2</v>
      </c>
      <c r="AX31" s="547">
        <f t="shared" si="115"/>
        <v>-7.8819180933368593E-2</v>
      </c>
      <c r="AY31" s="547">
        <f t="shared" si="115"/>
        <v>-4.0307344673519929E-2</v>
      </c>
      <c r="AZ31" s="545">
        <f t="shared" si="115"/>
        <v>-4.3679911686360873E-2</v>
      </c>
      <c r="BA31" s="547">
        <f t="shared" si="115"/>
        <v>4.5416589351784387E-2</v>
      </c>
      <c r="BB31" s="547">
        <f t="shared" si="115"/>
        <v>0.1145985790979589</v>
      </c>
      <c r="BC31" s="547">
        <f t="shared" si="115"/>
        <v>0.12313346344910192</v>
      </c>
      <c r="BD31" s="547">
        <f t="shared" si="115"/>
        <v>7.3664447892801022E-2</v>
      </c>
      <c r="BE31" s="545">
        <f t="shared" si="115"/>
        <v>9.013359240014629E-2</v>
      </c>
      <c r="BF31" s="547">
        <f t="shared" si="115"/>
        <v>0.14231626808216191</v>
      </c>
      <c r="BG31" s="547">
        <f t="shared" si="115"/>
        <v>0.1324680820202262</v>
      </c>
      <c r="BH31" s="547">
        <f t="shared" si="115"/>
        <v>7.7193773231165164E-2</v>
      </c>
      <c r="BI31" s="547">
        <f t="shared" si="115"/>
        <v>0.11499101156749791</v>
      </c>
      <c r="BJ31" s="545">
        <f t="shared" si="115"/>
        <v>0.11587942662533157</v>
      </c>
      <c r="BK31" s="547">
        <f t="shared" si="115"/>
        <v>7.9660121005378004E-2</v>
      </c>
      <c r="BL31" s="547">
        <f t="shared" si="115"/>
        <v>6.1060794843676103E-2</v>
      </c>
      <c r="BM31" s="547">
        <f t="shared" si="115"/>
        <v>1.1312350196575283E-2</v>
      </c>
      <c r="BN31" s="547">
        <f t="shared" si="115"/>
        <v>-1.4601850754665247E-3</v>
      </c>
      <c r="BO31" s="545">
        <f t="shared" si="115"/>
        <v>3.6076596883295009E-2</v>
      </c>
      <c r="BP31" s="547">
        <f t="shared" si="115"/>
        <v>1.7659338602628916E-2</v>
      </c>
      <c r="BQ31" s="547">
        <f t="shared" si="115"/>
        <v>-3.2229155209560711E-2</v>
      </c>
      <c r="BR31" s="547">
        <f t="shared" si="115"/>
        <v>5.2482462079326719E-2</v>
      </c>
      <c r="BS31" s="547">
        <f t="shared" si="115"/>
        <v>5.3339837091675779E-2</v>
      </c>
      <c r="BT31" s="545">
        <f>BT30/BO30-1</f>
        <v>2.2394882811938688E-2</v>
      </c>
      <c r="BU31" s="547">
        <f t="shared" si="115"/>
        <v>9.3280420531500763E-3</v>
      </c>
      <c r="BV31" s="547">
        <f t="shared" si="115"/>
        <v>5.9147492987483119E-2</v>
      </c>
      <c r="BW31" s="547">
        <f t="shared" si="115"/>
        <v>2.4859975192587092E-2</v>
      </c>
      <c r="BX31" s="547">
        <f t="shared" ref="BX31:CG31" si="116">BX30/BS30-1</f>
        <v>-1.1655568003180461E-3</v>
      </c>
      <c r="BY31" s="545">
        <f t="shared" si="116"/>
        <v>2.3018976692961379E-2</v>
      </c>
      <c r="BZ31" s="547">
        <f t="shared" si="116"/>
        <v>4.4468889036030967E-2</v>
      </c>
      <c r="CA31" s="547">
        <f t="shared" si="116"/>
        <v>1.4550575597450877E-2</v>
      </c>
      <c r="CB31" s="547">
        <f t="shared" si="116"/>
        <v>-6.5790047385926309E-3</v>
      </c>
      <c r="CC31" s="547">
        <f t="shared" si="116"/>
        <v>-1.8486392655626016E-2</v>
      </c>
      <c r="CD31" s="545">
        <f t="shared" si="116"/>
        <v>7.4405886518957853E-3</v>
      </c>
      <c r="CE31" s="547">
        <f t="shared" si="116"/>
        <v>-7.9998007068148635E-2</v>
      </c>
      <c r="CF31" s="547">
        <f t="shared" si="116"/>
        <v>-0.10543636945708768</v>
      </c>
      <c r="CG31" s="547">
        <f t="shared" si="116"/>
        <v>-4.730905284874054E-2</v>
      </c>
      <c r="CH31" s="547">
        <f t="shared" ref="CH31" si="117">CH30/CC30-1</f>
        <v>-1.7394320081792647E-2</v>
      </c>
      <c r="CI31" s="545">
        <f t="shared" ref="CI31:CL31" si="118">CI30/CD30-1</f>
        <v>-6.2643646331732139E-2</v>
      </c>
      <c r="CJ31" s="547">
        <f t="shared" si="118"/>
        <v>-5.8101093903515699E-2</v>
      </c>
      <c r="CK31" s="547">
        <f t="shared" si="118"/>
        <v>5.906626204304577E-2</v>
      </c>
      <c r="CL31" s="547">
        <f t="shared" si="118"/>
        <v>-3.7294336758544322E-3</v>
      </c>
      <c r="CM31" s="547">
        <f t="shared" ref="CM31" si="119">CM30/CH30-1</f>
        <v>7.1637501944392667E-3</v>
      </c>
      <c r="CN31" s="545">
        <f t="shared" ref="CN31" si="120">CN30/CI30-1</f>
        <v>1.1475160957381547E-3</v>
      </c>
      <c r="CO31" s="726">
        <v>5.0999999999999997E-2</v>
      </c>
      <c r="CP31" s="726">
        <v>-0.04</v>
      </c>
      <c r="CQ31" s="726">
        <v>1.4999999999999999E-2</v>
      </c>
      <c r="CR31" s="726">
        <v>0.01</v>
      </c>
      <c r="CS31" s="545">
        <f>CS30/CN30-1</f>
        <v>7.836868108818118E-3</v>
      </c>
      <c r="CT31" s="547"/>
      <c r="CU31" s="547"/>
      <c r="CV31" s="551"/>
      <c r="CW31" s="551"/>
      <c r="CX31" s="549">
        <v>5.0000000000000001E-3</v>
      </c>
      <c r="CY31" s="547"/>
      <c r="CZ31" s="547"/>
      <c r="DA31" s="551"/>
      <c r="DB31" s="551"/>
      <c r="DC31" s="549">
        <v>5.0000000000000001E-3</v>
      </c>
      <c r="DD31" s="25"/>
      <c r="DE31" s="178"/>
      <c r="DF31" s="379"/>
      <c r="DG31" s="379"/>
      <c r="DH31" s="379"/>
      <c r="DI31" s="379"/>
      <c r="DJ31" s="392"/>
      <c r="DK31" s="581" t="s">
        <v>477</v>
      </c>
      <c r="DL31" s="586"/>
      <c r="DM31" s="586">
        <v>15</v>
      </c>
      <c r="DN31" s="586">
        <f>+DM31+20</f>
        <v>35</v>
      </c>
      <c r="DO31" s="586">
        <f>+DN31+20</f>
        <v>55</v>
      </c>
      <c r="DP31" s="586">
        <v>65</v>
      </c>
      <c r="DQ31" s="586">
        <v>80</v>
      </c>
      <c r="DR31" s="487"/>
      <c r="DS31" s="517"/>
      <c r="DT31"/>
      <c r="DU31"/>
      <c r="DV31"/>
      <c r="DW31"/>
      <c r="DX31"/>
      <c r="DY31"/>
      <c r="DZ31" s="29"/>
      <c r="EA31" s="29"/>
    </row>
    <row r="32" spans="1:131" s="201" customFormat="1" x14ac:dyDescent="0.2">
      <c r="A32" s="567" t="s">
        <v>297</v>
      </c>
      <c r="B32" s="249"/>
      <c r="C32" s="20"/>
      <c r="D32" s="20"/>
      <c r="E32" s="20"/>
      <c r="F32" s="20"/>
      <c r="G32" s="249"/>
      <c r="H32" s="3"/>
      <c r="I32" s="3"/>
      <c r="J32" s="3"/>
      <c r="K32" s="3"/>
      <c r="L32" s="249"/>
      <c r="M32" s="3"/>
      <c r="N32" s="3"/>
      <c r="O32" s="3"/>
      <c r="P32" s="3"/>
      <c r="Q32" s="249"/>
      <c r="R32" s="3">
        <f>R30/H30-1</f>
        <v>-0.13412134980903356</v>
      </c>
      <c r="S32" s="3">
        <f t="shared" ref="S32:CB32" si="121">S30/I30-1</f>
        <v>-8.6981972064592461E-2</v>
      </c>
      <c r="T32" s="3">
        <f t="shared" si="121"/>
        <v>5.6236672360991946E-3</v>
      </c>
      <c r="U32" s="3">
        <f t="shared" si="121"/>
        <v>9.1646290981091116E-3</v>
      </c>
      <c r="V32" s="249">
        <f t="shared" si="121"/>
        <v>-4.1008678604051219E-2</v>
      </c>
      <c r="W32" s="3">
        <f t="shared" si="121"/>
        <v>-0.17093283091146738</v>
      </c>
      <c r="X32" s="3">
        <f t="shared" si="121"/>
        <v>-0.11100669648450245</v>
      </c>
      <c r="Y32" s="3">
        <f t="shared" si="121"/>
        <v>-0.12326614706386196</v>
      </c>
      <c r="Z32" s="3">
        <f t="shared" si="121"/>
        <v>-0.15537657646040037</v>
      </c>
      <c r="AA32" s="249">
        <f t="shared" si="121"/>
        <v>-0.13782572300861973</v>
      </c>
      <c r="AB32" s="3">
        <f t="shared" si="121"/>
        <v>-3.7408294719826873E-2</v>
      </c>
      <c r="AC32" s="3">
        <f t="shared" si="121"/>
        <v>-2.8612845685991095E-2</v>
      </c>
      <c r="AD32" s="3">
        <f t="shared" si="121"/>
        <v>-4.5148680387629869E-2</v>
      </c>
      <c r="AE32" s="3">
        <f t="shared" si="121"/>
        <v>-2.3429882454994444E-2</v>
      </c>
      <c r="AF32" s="249">
        <f t="shared" si="121"/>
        <v>-3.3265618097233274E-2</v>
      </c>
      <c r="AG32" s="3">
        <f t="shared" si="121"/>
        <v>6.2982907761022444E-2</v>
      </c>
      <c r="AH32" s="3">
        <f t="shared" si="121"/>
        <v>0.21089977140164828</v>
      </c>
      <c r="AI32" s="3">
        <f t="shared" si="121"/>
        <v>0.23894071413192353</v>
      </c>
      <c r="AJ32" s="3">
        <f t="shared" si="121"/>
        <v>0.3080835564840203</v>
      </c>
      <c r="AK32" s="249">
        <f t="shared" si="121"/>
        <v>0.20802442918634223</v>
      </c>
      <c r="AL32" s="3">
        <f t="shared" si="121"/>
        <v>0.10521484588587482</v>
      </c>
      <c r="AM32" s="3">
        <f t="shared" si="121"/>
        <v>0.20446541096778836</v>
      </c>
      <c r="AN32" s="3">
        <f t="shared" si="121"/>
        <v>0.25041735727010228</v>
      </c>
      <c r="AO32" s="3">
        <f t="shared" si="121"/>
        <v>0.26002223654333023</v>
      </c>
      <c r="AP32" s="249">
        <f t="shared" si="121"/>
        <v>0.20787754382762502</v>
      </c>
      <c r="AQ32" s="3">
        <f t="shared" si="121"/>
        <v>0.26459863818275631</v>
      </c>
      <c r="AR32" s="3">
        <f t="shared" si="121"/>
        <v>0.15587945585244589</v>
      </c>
      <c r="AS32" s="3">
        <f t="shared" si="121"/>
        <v>0.2664441671007971</v>
      </c>
      <c r="AT32" s="3">
        <f t="shared" si="121"/>
        <v>0.18191870299060731</v>
      </c>
      <c r="AU32" s="249">
        <f t="shared" si="121"/>
        <v>0.21144315798552404</v>
      </c>
      <c r="AV32" s="3">
        <f t="shared" si="121"/>
        <v>0.16484968367994246</v>
      </c>
      <c r="AW32" s="3">
        <f t="shared" si="121"/>
        <v>3.658935656363238E-2</v>
      </c>
      <c r="AX32" s="3">
        <f t="shared" si="121"/>
        <v>6.9828528158179193E-2</v>
      </c>
      <c r="AY32" s="3">
        <f t="shared" si="121"/>
        <v>0.10566163129480044</v>
      </c>
      <c r="AZ32" s="249">
        <f t="shared" si="121"/>
        <v>9.030684658923338E-2</v>
      </c>
      <c r="BA32" s="3">
        <f t="shared" si="121"/>
        <v>4.5899588916304745E-2</v>
      </c>
      <c r="BB32" s="3">
        <f t="shared" si="121"/>
        <v>5.2809329680430173E-2</v>
      </c>
      <c r="BC32" s="3">
        <f t="shared" si="121"/>
        <v>3.4609003781186143E-2</v>
      </c>
      <c r="BD32" s="3">
        <f t="shared" si="121"/>
        <v>3.0387884927881359E-2</v>
      </c>
      <c r="BE32" s="249">
        <f t="shared" si="121"/>
        <v>4.2516653357772549E-2</v>
      </c>
      <c r="BF32" s="3">
        <f t="shared" si="121"/>
        <v>0.19419637693951231</v>
      </c>
      <c r="BG32" s="3">
        <f t="shared" si="121"/>
        <v>0.26224731509353494</v>
      </c>
      <c r="BH32" s="3">
        <f t="shared" si="121"/>
        <v>0.20983237333492499</v>
      </c>
      <c r="BI32" s="3">
        <f t="shared" si="121"/>
        <v>0.19712620884005339</v>
      </c>
      <c r="BJ32" s="249">
        <f t="shared" si="121"/>
        <v>0.21645764803248801</v>
      </c>
      <c r="BK32" s="3">
        <f t="shared" si="121"/>
        <v>0.23331332022399898</v>
      </c>
      <c r="BL32" s="3">
        <f t="shared" si="121"/>
        <v>0.20161748324347473</v>
      </c>
      <c r="BM32" s="3">
        <f t="shared" si="121"/>
        <v>8.9379366423526285E-2</v>
      </c>
      <c r="BN32" s="3">
        <f t="shared" si="121"/>
        <v>0.11336291833312773</v>
      </c>
      <c r="BO32" s="249">
        <f t="shared" si="121"/>
        <v>0.15613655887005584</v>
      </c>
      <c r="BP32" s="3">
        <f t="shared" si="121"/>
        <v>9.8726204657967331E-2</v>
      </c>
      <c r="BQ32" s="3">
        <f t="shared" si="121"/>
        <v>2.6863701799879403E-2</v>
      </c>
      <c r="BR32" s="3">
        <f t="shared" si="121"/>
        <v>6.4388512266121634E-2</v>
      </c>
      <c r="BS32" s="3">
        <f t="shared" si="121"/>
        <v>5.1801765982160131E-2</v>
      </c>
      <c r="BT32" s="249">
        <f t="shared" si="121"/>
        <v>5.9279410854688575E-2</v>
      </c>
      <c r="BU32" s="3">
        <f t="shared" si="121"/>
        <v>2.7152107708894979E-2</v>
      </c>
      <c r="BV32" s="3">
        <f t="shared" si="121"/>
        <v>2.50120640461724E-2</v>
      </c>
      <c r="BW32" s="3">
        <f t="shared" si="121"/>
        <v>7.8647149977251862E-2</v>
      </c>
      <c r="BX32" s="3">
        <f>BX30/BN30-1</f>
        <v>5.2112109681507812E-2</v>
      </c>
      <c r="BY32" s="249">
        <f>BY30/BO30-1</f>
        <v>4.5929366790389725E-2</v>
      </c>
      <c r="BZ32" s="3">
        <f t="shared" si="121"/>
        <v>5.4211738756166028E-2</v>
      </c>
      <c r="CA32" s="3">
        <f t="shared" si="121"/>
        <v>7.4558698653047983E-2</v>
      </c>
      <c r="CB32" s="3">
        <f t="shared" si="121"/>
        <v>1.8117416559401134E-2</v>
      </c>
      <c r="CC32" s="3">
        <f>CC30/BS30-1</f>
        <v>-1.9630402515270928E-2</v>
      </c>
      <c r="CD32" s="249">
        <f>CD30/BT30-1</f>
        <v>3.0630840081616872E-2</v>
      </c>
      <c r="CE32" s="3">
        <f>CE30/BU30-1</f>
        <v>-3.9086540531534819E-2</v>
      </c>
      <c r="CF32" s="3">
        <f t="shared" ref="CF32:CG32" si="122">CF30/BV30-1</f>
        <v>-9.2419953724143022E-2</v>
      </c>
      <c r="CG32" s="3">
        <f t="shared" si="122"/>
        <v>-5.3576811104462996E-2</v>
      </c>
      <c r="CH32" s="3">
        <f>CH30/BX30-1</f>
        <v>-3.5559154506409008E-2</v>
      </c>
      <c r="CI32" s="249">
        <f>CI30/BY30-1</f>
        <v>-5.5669163283845746E-2</v>
      </c>
      <c r="CJ32" s="3">
        <f>CJ30/BZ30-1</f>
        <v>-0.13345112925090374</v>
      </c>
      <c r="CK32" s="3">
        <f t="shared" ref="CK32:CL32" si="123">CK30/CA30-1</f>
        <v>-5.2597839641261523E-2</v>
      </c>
      <c r="CL32" s="3">
        <f t="shared" si="123"/>
        <v>-5.0862050549728144E-2</v>
      </c>
      <c r="CM32" s="3">
        <f>CM30/CC30-1</f>
        <v>-1.0355178451221581E-2</v>
      </c>
      <c r="CN32" s="249">
        <f>CN30/CD30-1</f>
        <v>-6.156801482845542E-2</v>
      </c>
      <c r="CO32" s="57">
        <f t="shared" ref="CO32:CS32" si="124">CO30/CE30-1</f>
        <v>-1.0064249692595117E-2</v>
      </c>
      <c r="CP32" s="57">
        <f t="shared" si="124"/>
        <v>1.6703611561323939E-2</v>
      </c>
      <c r="CQ32" s="57">
        <f t="shared" si="124"/>
        <v>1.1214624819007701E-2</v>
      </c>
      <c r="CR32" s="57">
        <f t="shared" si="124"/>
        <v>1.7235387696383553E-2</v>
      </c>
      <c r="CS32" s="249">
        <f t="shared" si="124"/>
        <v>8.9933771368513327E-3</v>
      </c>
      <c r="CT32" s="3">
        <f t="shared" ref="CT32:CX32" si="125">CT30/CJ30-1</f>
        <v>-1</v>
      </c>
      <c r="CU32" s="3">
        <f t="shared" si="125"/>
        <v>-1</v>
      </c>
      <c r="CV32" s="57">
        <f t="shared" si="125"/>
        <v>-1</v>
      </c>
      <c r="CW32" s="57">
        <f t="shared" si="125"/>
        <v>-1</v>
      </c>
      <c r="CX32" s="249">
        <f t="shared" si="125"/>
        <v>1.2876052449362074E-2</v>
      </c>
      <c r="CY32" s="3">
        <f t="shared" ref="CY32" si="126">CY30/CO30-1</f>
        <v>-1</v>
      </c>
      <c r="CZ32" s="3">
        <f t="shared" ref="CZ32" si="127">CZ30/CP30-1</f>
        <v>-1</v>
      </c>
      <c r="DA32" s="57">
        <f t="shared" ref="DA32" si="128">DA30/CQ30-1</f>
        <v>-1</v>
      </c>
      <c r="DB32" s="57">
        <f t="shared" ref="DB32" si="129">DB30/CR30-1</f>
        <v>-1</v>
      </c>
      <c r="DC32" s="249">
        <f t="shared" ref="DC32" si="130">DC30/CS30-1</f>
        <v>1.0024999999999951E-2</v>
      </c>
      <c r="DD32" s="25"/>
      <c r="DE32" s="178"/>
      <c r="DF32" s="379"/>
      <c r="DG32" s="379"/>
      <c r="DH32" s="379"/>
      <c r="DI32" s="379"/>
      <c r="DJ32" s="392"/>
      <c r="DK32" s="566"/>
      <c r="DL32" s="787">
        <f t="shared" ref="DL32:DQ32" si="131">+SUM(DL29:DL31)</f>
        <v>100</v>
      </c>
      <c r="DM32" s="787">
        <f t="shared" si="131"/>
        <v>275</v>
      </c>
      <c r="DN32" s="787">
        <f t="shared" si="131"/>
        <v>322.5</v>
      </c>
      <c r="DO32" s="787">
        <f t="shared" si="131"/>
        <v>356.25</v>
      </c>
      <c r="DP32" s="787">
        <f t="shared" si="131"/>
        <v>397.5</v>
      </c>
      <c r="DQ32" s="787">
        <f t="shared" si="131"/>
        <v>465</v>
      </c>
      <c r="DR32" s="487"/>
      <c r="DS32" s="25"/>
      <c r="DT32"/>
      <c r="DU32"/>
      <c r="DV32"/>
      <c r="DW32"/>
      <c r="DX32"/>
      <c r="DY32"/>
      <c r="DZ32" s="226"/>
      <c r="EA32" s="226"/>
    </row>
    <row r="33" spans="1:143" x14ac:dyDescent="0.2">
      <c r="A33" s="13" t="s">
        <v>134</v>
      </c>
      <c r="B33" s="262"/>
      <c r="C33" s="41"/>
      <c r="D33" s="41"/>
      <c r="E33" s="41"/>
      <c r="F33" s="41"/>
      <c r="G33" s="262"/>
      <c r="H33" s="5"/>
      <c r="I33" s="5">
        <f>I30/H30-1</f>
        <v>-4.5819175478706731E-2</v>
      </c>
      <c r="J33" s="5">
        <f>J30/I30-1</f>
        <v>-0.10461283833143742</v>
      </c>
      <c r="K33" s="5">
        <f>K30/J30-1</f>
        <v>-5.3204413827221853E-2</v>
      </c>
      <c r="L33" s="262"/>
      <c r="M33" s="5">
        <f>M30/K30-1</f>
        <v>0.18973066834256169</v>
      </c>
      <c r="N33" s="5">
        <f>N30/M30-1</f>
        <v>-6.5871610435436767E-2</v>
      </c>
      <c r="O33" s="5">
        <f>O30/N30-1</f>
        <v>-3.6659722706622211E-2</v>
      </c>
      <c r="P33" s="5">
        <f>P30/O30-1</f>
        <v>2.3322608950816726E-2</v>
      </c>
      <c r="Q33" s="262"/>
      <c r="R33" s="5">
        <f>R30/P30-1</f>
        <v>-2.2961351580955913E-2</v>
      </c>
      <c r="S33" s="5">
        <f>S30/R30-1</f>
        <v>6.1274689081152189E-3</v>
      </c>
      <c r="T33" s="5">
        <f>T30/S30-1</f>
        <v>-1.3795463437482947E-2</v>
      </c>
      <c r="U33" s="5">
        <f>U30/T30-1</f>
        <v>-4.9870595052877054E-2</v>
      </c>
      <c r="V33" s="262"/>
      <c r="W33" s="5">
        <f>W30/U30-1</f>
        <v>-2.2590954201306301E-2</v>
      </c>
      <c r="X33" s="5">
        <f>X30/W30-1</f>
        <v>1.6484959349949424E-3</v>
      </c>
      <c r="Y33" s="5">
        <f>Y30/X30-1</f>
        <v>-4.9944437533924413E-2</v>
      </c>
      <c r="Z33" s="5">
        <f>Z30/Y30-1</f>
        <v>-1.4156642334567482E-2</v>
      </c>
      <c r="AA33" s="262"/>
      <c r="AB33" s="5">
        <f>AB30/Z30-1</f>
        <v>0.11350132200333052</v>
      </c>
      <c r="AC33" s="5">
        <f>AC30/AB30-1</f>
        <v>1.5320715458840173E-2</v>
      </c>
      <c r="AD33" s="5">
        <f>AD30/AC30-1</f>
        <v>-3.0583533082196857E-2</v>
      </c>
      <c r="AE33" s="5">
        <f>AE30/AD30-1</f>
        <v>-2.8259200554015207E-2</v>
      </c>
      <c r="AF33" s="262"/>
      <c r="AG33" s="5">
        <f>AG30/AE30-1</f>
        <v>6.3896069426003566E-2</v>
      </c>
      <c r="AH33" s="5">
        <f>AH30/AG30-1</f>
        <v>0.1410305150693647</v>
      </c>
      <c r="AI33" s="5">
        <f>AI30/AH30-1</f>
        <v>-2.7943893602155767E-2</v>
      </c>
      <c r="AJ33" s="5">
        <f>AJ30/AI30-1</f>
        <v>4.0861334785251779E-2</v>
      </c>
      <c r="AK33" s="262"/>
      <c r="AL33" s="5">
        <f>AL30/AJ30-1</f>
        <v>-5.918992262275824E-2</v>
      </c>
      <c r="AM33" s="5">
        <f>AM30/AL30-1</f>
        <v>0.10649860283863788</v>
      </c>
      <c r="AN33" s="5">
        <f>AN30/AM30-1</f>
        <v>6.400985548846716E-3</v>
      </c>
      <c r="AO33" s="5">
        <f>AO30/AN30-1</f>
        <v>-2.079493031713564E-2</v>
      </c>
      <c r="AP33" s="262"/>
      <c r="AQ33" s="5">
        <f>AQ30/AO30-1</f>
        <v>6.7760140690060755E-2</v>
      </c>
      <c r="AR33" s="5">
        <f>AR30/AQ30-1</f>
        <v>4.2934644279452483E-2</v>
      </c>
      <c r="AS33" s="5">
        <f>AS30/AR30-1</f>
        <v>6.5037344343467973E-2</v>
      </c>
      <c r="AT33" s="5">
        <f>AT30/AS30-1</f>
        <v>-2.8608200218791402E-2</v>
      </c>
      <c r="AU33" s="262"/>
      <c r="AV33" s="5">
        <f>AV30/AT30-1</f>
        <v>-7.2776902283700151E-2</v>
      </c>
      <c r="AW33" s="5">
        <f>AW30/AV30-1</f>
        <v>-1.5336750462464854E-2</v>
      </c>
      <c r="AX33" s="5">
        <f>AX30/AW30-1</f>
        <v>3.8672139829722951E-2</v>
      </c>
      <c r="AY33" s="5">
        <f>AY30/AX30-1</f>
        <v>1.2002808133769305E-2</v>
      </c>
      <c r="AZ33" s="262"/>
      <c r="BA33" s="5">
        <f>BA30/AY30-1</f>
        <v>1.0046709227977235E-2</v>
      </c>
      <c r="BB33" s="5">
        <f>BB30/BA30-1</f>
        <v>4.9824797122292042E-2</v>
      </c>
      <c r="BC33" s="5">
        <f>BC30/BB30-1</f>
        <v>4.6625627980923623E-2</v>
      </c>
      <c r="BD33" s="5">
        <f>BD30/BC30-1</f>
        <v>-3.2571398127389295E-2</v>
      </c>
      <c r="BE33" s="262"/>
      <c r="BF33" s="5">
        <f>BF30/BD30-1</f>
        <v>7.4630709565201903E-2</v>
      </c>
      <c r="BG33" s="5">
        <f>BG30/BF30-1</f>
        <v>4.0774002501418716E-2</v>
      </c>
      <c r="BH33" s="5">
        <f>BH30/BG30-1</f>
        <v>-4.4588211669591704E-3</v>
      </c>
      <c r="BI33" s="5">
        <f>BI30/BH30-1</f>
        <v>1.3743322946127012E-3</v>
      </c>
      <c r="BJ33" s="262"/>
      <c r="BK33" s="5">
        <f>BK30/BI30-1</f>
        <v>4.0578722059970929E-2</v>
      </c>
      <c r="BL33" s="5">
        <f>BL30/BK30-1</f>
        <v>2.2844568268802989E-2</v>
      </c>
      <c r="BM33" s="5">
        <f>BM30/BL30-1</f>
        <v>-5.1135340994818645E-2</v>
      </c>
      <c r="BN33" s="5">
        <f>BN30/BM30-1</f>
        <v>-1.1272689149616766E-2</v>
      </c>
      <c r="BO33" s="262"/>
      <c r="BP33" s="5">
        <f>BP30/BN30-1</f>
        <v>6.0503184978709434E-2</v>
      </c>
      <c r="BQ33" s="5">
        <f>BQ30/BP30-1</f>
        <v>-2.7298119936640997E-2</v>
      </c>
      <c r="BR33" s="5">
        <f>BR30/BQ30-1</f>
        <v>3.1921366370655901E-2</v>
      </c>
      <c r="BS33" s="5">
        <f>BS30/BR30-1</f>
        <v>-1.0467250464514577E-2</v>
      </c>
      <c r="BT33" s="262"/>
      <c r="BU33" s="5">
        <f>BU30/BS30-1</f>
        <v>1.6192083118309109E-2</v>
      </c>
      <c r="BV33" s="5">
        <f>BV30/BU30-1</f>
        <v>2.0713499248113942E-2</v>
      </c>
      <c r="BW33" s="5">
        <f>BW30/BV30-1</f>
        <v>-1.4847668134646552E-3</v>
      </c>
      <c r="BX33" s="5">
        <f>BX30/BW30-1</f>
        <v>-3.5595674692637802E-2</v>
      </c>
      <c r="BY33" s="262"/>
      <c r="BZ33" s="5">
        <f>BZ30/BX30-1</f>
        <v>6.2619559555581183E-2</v>
      </c>
      <c r="CA33" s="5">
        <f>CA30/BZ30-1</f>
        <v>-8.5243523739477745E-3</v>
      </c>
      <c r="CB33" s="5">
        <f>CB30/CA30-1</f>
        <v>-2.2280386414738507E-2</v>
      </c>
      <c r="CC33" s="5">
        <f>CC30/CB30-1</f>
        <v>-4.7155261680506766E-2</v>
      </c>
      <c r="CD33" s="262"/>
      <c r="CE33" s="5">
        <f>CE30/CC30-1</f>
        <v>-3.9749778257575086E-3</v>
      </c>
      <c r="CF33" s="5">
        <f>CF30/CE30-1</f>
        <v>-3.5938985187670136E-2</v>
      </c>
      <c r="CG33" s="5">
        <f>CG30/CF30-1</f>
        <v>4.1250273219355593E-2</v>
      </c>
      <c r="CH33" s="5">
        <f>CH30/CG30-1</f>
        <v>-1.7235699832613638E-2</v>
      </c>
      <c r="CI33" s="262"/>
      <c r="CJ33" s="5">
        <f>CJ30/CH30-1</f>
        <v>-4.5237679769225325E-2</v>
      </c>
      <c r="CK33" s="5">
        <f>CK30/CJ30-1</f>
        <v>8.3985222543757843E-2</v>
      </c>
      <c r="CL33" s="5">
        <f>CL30/CK30-1</f>
        <v>-2.0489051002122505E-2</v>
      </c>
      <c r="CM33" s="5">
        <f>CM30/CL30-1</f>
        <v>-6.4901929545144732E-3</v>
      </c>
      <c r="CN33" s="262"/>
      <c r="CO33" s="5">
        <f>CO30/CM30-1</f>
        <v>-3.6821734610475998E-3</v>
      </c>
      <c r="CP33" s="5">
        <f t="shared" ref="CP33:CR33" si="132">CP30/CO30-1</f>
        <v>-9.870776744046017E-3</v>
      </c>
      <c r="CQ33" s="5">
        <f t="shared" si="132"/>
        <v>3.562876378421409E-2</v>
      </c>
      <c r="CR33" s="5">
        <f t="shared" si="132"/>
        <v>-1.1384329935034132E-2</v>
      </c>
      <c r="CS33" s="262"/>
      <c r="CT33" s="5"/>
      <c r="CU33" s="5"/>
      <c r="CV33" s="5"/>
      <c r="CW33" s="5"/>
      <c r="CX33" s="262"/>
      <c r="CY33" s="5"/>
      <c r="CZ33" s="5"/>
      <c r="DA33" s="5"/>
      <c r="DB33" s="5"/>
      <c r="DC33" s="262"/>
      <c r="DD33" s="25"/>
      <c r="DE33" s="178"/>
      <c r="DF33" s="361">
        <f>AVERAGE(AQ33,BA33,BF33,AL33,BK33,BP33,BU33,BZ33)</f>
        <v>3.4142648321631539E-2</v>
      </c>
      <c r="DG33" s="361">
        <f>AVERAGE(AR33,BB33,BG33,AM33,BL33,BQ33,BV33,CA33)</f>
        <v>3.097095524351616E-2</v>
      </c>
      <c r="DH33" s="361">
        <f>AVERAGE(AS33,BC33,BH33,AN33,BM33,BR33,BW33,CB33)</f>
        <v>8.8282511067391545E-3</v>
      </c>
      <c r="DI33" s="361">
        <f>AVERAGE(AT33,BD33,BI33,AO33,BN33,BS33,BX33,CC33)</f>
        <v>-2.3136384044497443E-2</v>
      </c>
      <c r="DJ33" s="566"/>
      <c r="DK33" s="614"/>
      <c r="DL33" s="614"/>
      <c r="DM33" s="723"/>
      <c r="DN33" s="727"/>
      <c r="DO33" s="623"/>
      <c r="DP33" s="623"/>
      <c r="DQ33" s="389"/>
      <c r="DR33" s="487"/>
      <c r="DS33" s="25"/>
    </row>
    <row r="34" spans="1:143" x14ac:dyDescent="0.2">
      <c r="A34" s="8" t="s">
        <v>232</v>
      </c>
      <c r="B34" s="846">
        <v>0</v>
      </c>
      <c r="C34" s="9"/>
      <c r="D34" s="9"/>
      <c r="E34" s="9"/>
      <c r="F34" s="9"/>
      <c r="G34" s="846">
        <v>2.9529999999999998</v>
      </c>
      <c r="H34" s="824">
        <v>1.889</v>
      </c>
      <c r="I34" s="824">
        <v>2.242</v>
      </c>
      <c r="J34" s="824">
        <v>2.3340000000000001</v>
      </c>
      <c r="K34" s="824">
        <v>3.4510000000000001</v>
      </c>
      <c r="L34" s="10">
        <f>SUM(H34:K34)</f>
        <v>9.9160000000000004</v>
      </c>
      <c r="M34" s="824">
        <v>4.2779999999999996</v>
      </c>
      <c r="N34" s="824">
        <v>5.008</v>
      </c>
      <c r="O34" s="824">
        <v>5.0220000000000002</v>
      </c>
      <c r="P34" s="824">
        <v>5.7119999999999997</v>
      </c>
      <c r="Q34" s="10">
        <f>SUM(M34:P34)</f>
        <v>20.02</v>
      </c>
      <c r="R34" s="824">
        <v>7.2270000000000003</v>
      </c>
      <c r="S34" s="824">
        <v>7.6639999999999997</v>
      </c>
      <c r="T34" s="824">
        <v>9.1449999999999996</v>
      </c>
      <c r="U34" s="824">
        <v>9.2240000000000002</v>
      </c>
      <c r="V34" s="10">
        <f>SUM(R34:U34)</f>
        <v>33.260000000000005</v>
      </c>
      <c r="W34" s="824">
        <v>9.3870000000000005</v>
      </c>
      <c r="X34" s="824">
        <v>10.542999999999999</v>
      </c>
      <c r="Y34" s="824">
        <v>11.613</v>
      </c>
      <c r="Z34" s="824">
        <v>13.670999999999999</v>
      </c>
      <c r="AA34" s="10">
        <f>SUM(W34:Z34)</f>
        <v>45.213999999999999</v>
      </c>
      <c r="AB34" s="824">
        <v>16.338000000000001</v>
      </c>
      <c r="AC34" s="824">
        <v>18</v>
      </c>
      <c r="AD34" s="824">
        <v>21.385999999999999</v>
      </c>
      <c r="AE34" s="824">
        <v>25.033999999999999</v>
      </c>
      <c r="AF34" s="10">
        <f>SUM(AB34:AE34)</f>
        <v>80.75800000000001</v>
      </c>
      <c r="AG34" s="824">
        <v>27</v>
      </c>
      <c r="AH34" s="824">
        <v>33</v>
      </c>
      <c r="AI34" s="824">
        <v>39</v>
      </c>
      <c r="AJ34" s="824">
        <v>41</v>
      </c>
      <c r="AK34" s="10">
        <f>SUM(AG34:AJ34)</f>
        <v>140</v>
      </c>
      <c r="AL34" s="824">
        <v>44</v>
      </c>
      <c r="AM34" s="824">
        <v>47</v>
      </c>
      <c r="AN34" s="824">
        <v>53</v>
      </c>
      <c r="AO34" s="824">
        <v>62</v>
      </c>
      <c r="AP34" s="10">
        <f>SUM(AL34:AO34)</f>
        <v>206</v>
      </c>
      <c r="AQ34" s="824">
        <v>68</v>
      </c>
      <c r="AR34" s="824">
        <v>80</v>
      </c>
      <c r="AS34" s="824">
        <v>95</v>
      </c>
      <c r="AT34" s="824">
        <v>89</v>
      </c>
      <c r="AU34" s="10">
        <f>SUM(AQ34:AT34)</f>
        <v>332</v>
      </c>
      <c r="AV34" s="824">
        <v>87</v>
      </c>
      <c r="AW34" s="824">
        <v>86</v>
      </c>
      <c r="AX34" s="824">
        <v>90</v>
      </c>
      <c r="AY34" s="824">
        <v>95</v>
      </c>
      <c r="AZ34" s="10">
        <f>SUM(AV34:AY34)</f>
        <v>358</v>
      </c>
      <c r="BA34" s="824">
        <f>85</f>
        <v>85</v>
      </c>
      <c r="BB34" s="824">
        <v>89</v>
      </c>
      <c r="BC34" s="824">
        <v>98</v>
      </c>
      <c r="BD34" s="824">
        <v>95</v>
      </c>
      <c r="BE34" s="10">
        <f>SUM(BA34:BD34)</f>
        <v>367</v>
      </c>
      <c r="BF34" s="824">
        <v>106</v>
      </c>
      <c r="BG34" s="824">
        <v>105</v>
      </c>
      <c r="BH34" s="824">
        <v>108</v>
      </c>
      <c r="BI34" s="824">
        <v>105</v>
      </c>
      <c r="BJ34" s="10">
        <f>SUM(BF34:BI34)</f>
        <v>424</v>
      </c>
      <c r="BK34" s="824">
        <v>107</v>
      </c>
      <c r="BL34" s="824">
        <v>106</v>
      </c>
      <c r="BM34" s="824">
        <v>114</v>
      </c>
      <c r="BN34" s="824">
        <v>105</v>
      </c>
      <c r="BO34" s="10">
        <f>SUM(BK34:BN34)</f>
        <v>432</v>
      </c>
      <c r="BP34" s="824">
        <v>113</v>
      </c>
      <c r="BQ34" s="824">
        <v>113</v>
      </c>
      <c r="BR34" s="824">
        <v>121</v>
      </c>
      <c r="BS34" s="824">
        <v>123</v>
      </c>
      <c r="BT34" s="10">
        <f>SUM(BP34:BS34)</f>
        <v>470</v>
      </c>
      <c r="BU34" s="824">
        <v>119</v>
      </c>
      <c r="BV34" s="824">
        <v>121</v>
      </c>
      <c r="BW34" s="824">
        <v>115</v>
      </c>
      <c r="BX34" s="824">
        <v>119</v>
      </c>
      <c r="BY34" s="10">
        <f>SUM(BU34:BX34)</f>
        <v>474</v>
      </c>
      <c r="BZ34" s="824">
        <v>115</v>
      </c>
      <c r="CA34" s="824">
        <v>116</v>
      </c>
      <c r="CB34" s="824">
        <v>136</v>
      </c>
      <c r="CC34" s="824">
        <v>156</v>
      </c>
      <c r="CD34" s="10">
        <f>SUM(BZ34:CC34)</f>
        <v>523</v>
      </c>
      <c r="CE34" s="824">
        <v>138</v>
      </c>
      <c r="CF34" s="824">
        <v>156</v>
      </c>
      <c r="CG34" s="824">
        <v>161</v>
      </c>
      <c r="CH34" s="824">
        <v>164</v>
      </c>
      <c r="CI34" s="10">
        <f>SUM(CE34:CH34)</f>
        <v>619</v>
      </c>
      <c r="CJ34" s="824">
        <v>153</v>
      </c>
      <c r="CK34" s="824">
        <v>192</v>
      </c>
      <c r="CL34" s="824">
        <v>190</v>
      </c>
      <c r="CM34" s="824">
        <v>192</v>
      </c>
      <c r="CN34" s="10">
        <f>SUM(CJ34:CM34)</f>
        <v>727</v>
      </c>
      <c r="CO34" s="9">
        <f t="shared" ref="CO34:CR34" si="133">CJ34*(1+CO35)</f>
        <v>182.07</v>
      </c>
      <c r="CP34" s="9">
        <f t="shared" si="133"/>
        <v>209.28000000000003</v>
      </c>
      <c r="CQ34" s="9">
        <f t="shared" si="133"/>
        <v>224.2</v>
      </c>
      <c r="CR34" s="9">
        <f t="shared" si="133"/>
        <v>220.79999999999998</v>
      </c>
      <c r="CS34" s="10">
        <f>SUM(CO34:CR34)</f>
        <v>836.34999999999991</v>
      </c>
      <c r="CT34" s="9"/>
      <c r="CU34" s="9"/>
      <c r="CV34" s="9"/>
      <c r="CW34" s="9"/>
      <c r="CX34" s="10">
        <f>CS34*(1+CX35)</f>
        <v>945.07549999999981</v>
      </c>
      <c r="CY34" s="9"/>
      <c r="CZ34" s="9"/>
      <c r="DA34" s="9"/>
      <c r="DB34" s="9"/>
      <c r="DC34" s="10">
        <f>CX34*(1+DC35)</f>
        <v>1044.3084274999999</v>
      </c>
      <c r="DD34" s="364"/>
      <c r="DE34" s="178"/>
      <c r="DF34" s="364"/>
      <c r="DG34" s="364"/>
      <c r="DH34" s="364"/>
      <c r="DI34" s="364"/>
      <c r="DJ34" s="433"/>
      <c r="DK34" s="566"/>
      <c r="DL34" s="446"/>
      <c r="DM34" s="789"/>
      <c r="DN34" s="586"/>
      <c r="DO34" s="595"/>
      <c r="DP34" s="586"/>
      <c r="DQ34" s="586"/>
      <c r="DR34" s="456"/>
      <c r="DS34" s="364"/>
      <c r="DZ34" s="9"/>
      <c r="EA34" s="342"/>
    </row>
    <row r="35" spans="1:143" x14ac:dyDescent="0.2">
      <c r="A35" s="11" t="s">
        <v>131</v>
      </c>
      <c r="B35" s="249"/>
      <c r="C35" s="20"/>
      <c r="D35" s="20"/>
      <c r="E35" s="20"/>
      <c r="F35" s="20"/>
      <c r="G35" s="249"/>
      <c r="H35" s="3"/>
      <c r="I35" s="3"/>
      <c r="J35" s="3"/>
      <c r="K35" s="3"/>
      <c r="L35" s="249">
        <f t="shared" ref="L35:BW35" si="134">L34/G34-1</f>
        <v>2.3579410768709788</v>
      </c>
      <c r="M35" s="3">
        <f t="shared" si="134"/>
        <v>1.2646903123345683</v>
      </c>
      <c r="N35" s="3">
        <f t="shared" si="134"/>
        <v>1.2337198929527209</v>
      </c>
      <c r="O35" s="3">
        <f t="shared" si="134"/>
        <v>1.1516709511568122</v>
      </c>
      <c r="P35" s="3">
        <f t="shared" si="134"/>
        <v>0.65517241379310343</v>
      </c>
      <c r="Q35" s="249">
        <f t="shared" si="134"/>
        <v>1.018959257765228</v>
      </c>
      <c r="R35" s="3">
        <f t="shared" si="134"/>
        <v>0.68934081346423581</v>
      </c>
      <c r="S35" s="3">
        <f t="shared" si="134"/>
        <v>0.53035143769968052</v>
      </c>
      <c r="T35" s="3">
        <f t="shared" si="134"/>
        <v>0.82098765432098753</v>
      </c>
      <c r="U35" s="3">
        <f t="shared" si="134"/>
        <v>0.61484593837535018</v>
      </c>
      <c r="V35" s="249">
        <f t="shared" si="134"/>
        <v>0.66133866133866159</v>
      </c>
      <c r="W35" s="3">
        <f t="shared" si="134"/>
        <v>0.29887920298879211</v>
      </c>
      <c r="X35" s="3">
        <f t="shared" si="134"/>
        <v>0.37565240083507301</v>
      </c>
      <c r="Y35" s="3">
        <f t="shared" si="134"/>
        <v>0.26987424822307271</v>
      </c>
      <c r="Z35" s="3">
        <f t="shared" si="134"/>
        <v>0.48211188204683419</v>
      </c>
      <c r="AA35" s="249">
        <f>AA34/V34-1</f>
        <v>0.35941070354780491</v>
      </c>
      <c r="AB35" s="3">
        <f t="shared" si="134"/>
        <v>0.74049217002237144</v>
      </c>
      <c r="AC35" s="3">
        <f t="shared" si="134"/>
        <v>0.70729393910651628</v>
      </c>
      <c r="AD35" s="3">
        <f>AD34/Y34-1</f>
        <v>0.84155687591492301</v>
      </c>
      <c r="AE35" s="3">
        <f t="shared" si="134"/>
        <v>0.83117548094506621</v>
      </c>
      <c r="AF35" s="249">
        <f>AF34/AA34-1</f>
        <v>0.78612819038350978</v>
      </c>
      <c r="AG35" s="3">
        <f t="shared" si="134"/>
        <v>0.65258905618802787</v>
      </c>
      <c r="AH35" s="3">
        <f t="shared" si="134"/>
        <v>0.83333333333333326</v>
      </c>
      <c r="AI35" s="3">
        <f>AI34/AD34-1</f>
        <v>0.823622930889367</v>
      </c>
      <c r="AJ35" s="3">
        <f t="shared" si="134"/>
        <v>0.63777262922425515</v>
      </c>
      <c r="AK35" s="249">
        <f>AK34/AF34-1</f>
        <v>0.73357438272369291</v>
      </c>
      <c r="AL35" s="3">
        <f t="shared" si="134"/>
        <v>0.62962962962962954</v>
      </c>
      <c r="AM35" s="3">
        <f t="shared" si="134"/>
        <v>0.42424242424242431</v>
      </c>
      <c r="AN35" s="3">
        <f t="shared" si="134"/>
        <v>0.35897435897435903</v>
      </c>
      <c r="AO35" s="3">
        <f t="shared" si="134"/>
        <v>0.51219512195121952</v>
      </c>
      <c r="AP35" s="249">
        <f>AP34/AK34-1</f>
        <v>0.47142857142857153</v>
      </c>
      <c r="AQ35" s="3">
        <f t="shared" si="134"/>
        <v>0.54545454545454541</v>
      </c>
      <c r="AR35" s="3">
        <f t="shared" si="134"/>
        <v>0.7021276595744681</v>
      </c>
      <c r="AS35" s="3">
        <f t="shared" si="134"/>
        <v>0.79245283018867929</v>
      </c>
      <c r="AT35" s="3">
        <f t="shared" si="134"/>
        <v>0.43548387096774199</v>
      </c>
      <c r="AU35" s="249">
        <f>AU34/AP34-1</f>
        <v>0.61165048543689315</v>
      </c>
      <c r="AV35" s="3">
        <f t="shared" si="134"/>
        <v>0.27941176470588225</v>
      </c>
      <c r="AW35" s="3">
        <f t="shared" si="134"/>
        <v>7.4999999999999956E-2</v>
      </c>
      <c r="AX35" s="3">
        <f t="shared" si="134"/>
        <v>-5.2631578947368474E-2</v>
      </c>
      <c r="AY35" s="3">
        <f t="shared" si="134"/>
        <v>6.7415730337078594E-2</v>
      </c>
      <c r="AZ35" s="249">
        <f>AZ34/AU34-1</f>
        <v>7.8313253012048278E-2</v>
      </c>
      <c r="BA35" s="3">
        <f t="shared" si="134"/>
        <v>-2.2988505747126409E-2</v>
      </c>
      <c r="BB35" s="3">
        <f t="shared" si="134"/>
        <v>3.488372093023262E-2</v>
      </c>
      <c r="BC35" s="3">
        <f t="shared" si="134"/>
        <v>8.8888888888888795E-2</v>
      </c>
      <c r="BD35" s="3">
        <f t="shared" si="134"/>
        <v>0</v>
      </c>
      <c r="BE35" s="249">
        <f>BE34/AZ34-1</f>
        <v>2.5139664804469275E-2</v>
      </c>
      <c r="BF35" s="3">
        <f t="shared" si="134"/>
        <v>0.24705882352941178</v>
      </c>
      <c r="BG35" s="3">
        <f t="shared" si="134"/>
        <v>0.1797752808988764</v>
      </c>
      <c r="BH35" s="3">
        <f t="shared" si="134"/>
        <v>0.1020408163265305</v>
      </c>
      <c r="BI35" s="3">
        <f t="shared" si="134"/>
        <v>0.10526315789473695</v>
      </c>
      <c r="BJ35" s="249">
        <f>BJ34/BE34-1</f>
        <v>0.15531335149863756</v>
      </c>
      <c r="BK35" s="3">
        <f t="shared" si="134"/>
        <v>9.4339622641510523E-3</v>
      </c>
      <c r="BL35" s="3">
        <f t="shared" si="134"/>
        <v>9.52380952380949E-3</v>
      </c>
      <c r="BM35" s="3">
        <f t="shared" si="134"/>
        <v>5.555555555555558E-2</v>
      </c>
      <c r="BN35" s="3">
        <f t="shared" si="134"/>
        <v>0</v>
      </c>
      <c r="BO35" s="249">
        <f>BO34/BJ34-1</f>
        <v>1.8867924528301883E-2</v>
      </c>
      <c r="BP35" s="3">
        <f t="shared" si="134"/>
        <v>5.6074766355140193E-2</v>
      </c>
      <c r="BQ35" s="3">
        <f t="shared" si="134"/>
        <v>6.60377358490567E-2</v>
      </c>
      <c r="BR35" s="3">
        <f t="shared" si="134"/>
        <v>6.1403508771929793E-2</v>
      </c>
      <c r="BS35" s="3">
        <f t="shared" si="134"/>
        <v>0.17142857142857149</v>
      </c>
      <c r="BT35" s="249">
        <f>BT34/BO34-1</f>
        <v>8.7962962962963021E-2</v>
      </c>
      <c r="BU35" s="3">
        <f t="shared" si="134"/>
        <v>5.3097345132743445E-2</v>
      </c>
      <c r="BV35" s="3">
        <f t="shared" si="134"/>
        <v>7.079646017699126E-2</v>
      </c>
      <c r="BW35" s="3">
        <f t="shared" si="134"/>
        <v>-4.9586776859504078E-2</v>
      </c>
      <c r="BX35" s="3">
        <f t="shared" ref="BX35:CG35" si="135">BX34/BS34-1</f>
        <v>-3.2520325203251987E-2</v>
      </c>
      <c r="BY35" s="249">
        <f t="shared" si="135"/>
        <v>8.5106382978723527E-3</v>
      </c>
      <c r="BZ35" s="3">
        <f t="shared" si="135"/>
        <v>-3.3613445378151252E-2</v>
      </c>
      <c r="CA35" s="3">
        <f t="shared" si="135"/>
        <v>-4.132231404958675E-2</v>
      </c>
      <c r="CB35" s="3">
        <f t="shared" si="135"/>
        <v>0.18260869565217397</v>
      </c>
      <c r="CC35" s="3">
        <f t="shared" si="135"/>
        <v>0.31092436974789917</v>
      </c>
      <c r="CD35" s="249">
        <f t="shared" si="135"/>
        <v>0.1033755274261603</v>
      </c>
      <c r="CE35" s="3">
        <f t="shared" si="135"/>
        <v>0.19999999999999996</v>
      </c>
      <c r="CF35" s="3">
        <f t="shared" si="135"/>
        <v>0.34482758620689657</v>
      </c>
      <c r="CG35" s="3">
        <f t="shared" si="135"/>
        <v>0.18382352941176472</v>
      </c>
      <c r="CH35" s="3">
        <f t="shared" ref="CH35" si="136">CH34/CC34-1</f>
        <v>5.1282051282051322E-2</v>
      </c>
      <c r="CI35" s="249">
        <f t="shared" ref="CI35:CL35" si="137">CI34/CD34-1</f>
        <v>0.18355640535372841</v>
      </c>
      <c r="CJ35" s="3">
        <f t="shared" si="137"/>
        <v>0.10869565217391308</v>
      </c>
      <c r="CK35" s="3">
        <f t="shared" si="137"/>
        <v>0.23076923076923084</v>
      </c>
      <c r="CL35" s="3">
        <f t="shared" si="137"/>
        <v>0.18012422360248448</v>
      </c>
      <c r="CM35" s="3">
        <f t="shared" ref="CM35" si="138">CM34/CH34-1</f>
        <v>0.1707317073170731</v>
      </c>
      <c r="CN35" s="249">
        <f t="shared" ref="CN35" si="139">CN34/CI34-1</f>
        <v>0.17447495961227788</v>
      </c>
      <c r="CO35" s="755">
        <v>0.19</v>
      </c>
      <c r="CP35" s="755">
        <v>0.09</v>
      </c>
      <c r="CQ35" s="755">
        <v>0.18</v>
      </c>
      <c r="CR35" s="755">
        <v>0.15</v>
      </c>
      <c r="CS35" s="249">
        <f>CS34/CN34-1</f>
        <v>0.15041265474552934</v>
      </c>
      <c r="CT35" s="3"/>
      <c r="CU35" s="3"/>
      <c r="CV35" s="35"/>
      <c r="CW35" s="35"/>
      <c r="CX35" s="419">
        <v>0.13</v>
      </c>
      <c r="CY35" s="3"/>
      <c r="CZ35" s="3"/>
      <c r="DA35" s="35"/>
      <c r="DB35" s="35"/>
      <c r="DC35" s="419">
        <v>0.105</v>
      </c>
      <c r="DD35" s="25"/>
      <c r="DE35" s="178"/>
      <c r="DF35" s="364"/>
      <c r="DG35" s="364"/>
      <c r="DH35" s="364"/>
      <c r="DI35" s="364"/>
      <c r="DJ35" s="566"/>
      <c r="DK35" s="606"/>
      <c r="DL35" s="606"/>
      <c r="DM35" s="788"/>
      <c r="DN35" s="586"/>
      <c r="DO35" s="586"/>
      <c r="DP35" s="586"/>
      <c r="DQ35" s="586"/>
      <c r="DR35" s="487"/>
      <c r="DS35" s="25"/>
    </row>
    <row r="36" spans="1:143" x14ac:dyDescent="0.2">
      <c r="A36" s="54" t="s">
        <v>135</v>
      </c>
      <c r="B36" s="263"/>
      <c r="C36" s="55"/>
      <c r="D36" s="55"/>
      <c r="E36" s="55"/>
      <c r="F36" s="55"/>
      <c r="G36" s="263"/>
      <c r="H36" s="56"/>
      <c r="I36" s="56"/>
      <c r="J36" s="56"/>
      <c r="K36" s="56"/>
      <c r="L36" s="263"/>
      <c r="M36" s="56"/>
      <c r="N36" s="56"/>
      <c r="O36" s="56"/>
      <c r="P36" s="56"/>
      <c r="Q36" s="263"/>
      <c r="R36" s="56">
        <f t="shared" ref="R36:BJ36" si="140">(R34/R6)*100</f>
        <v>0.24766361065237963</v>
      </c>
      <c r="S36" s="56">
        <f t="shared" si="140"/>
        <v>0.23399961956742432</v>
      </c>
      <c r="T36" s="56">
        <f t="shared" si="140"/>
        <v>0.24683920308590843</v>
      </c>
      <c r="U36" s="56">
        <f t="shared" si="140"/>
        <v>0.24654156232618274</v>
      </c>
      <c r="V36" s="263">
        <f t="shared" si="140"/>
        <v>0.24385079557238515</v>
      </c>
      <c r="W36" s="56">
        <f t="shared" si="140"/>
        <v>0.22251879806187949</v>
      </c>
      <c r="X36" s="56">
        <f t="shared" si="140"/>
        <v>0.22640034616082516</v>
      </c>
      <c r="Y36" s="56">
        <f t="shared" si="140"/>
        <v>0.23507716474227136</v>
      </c>
      <c r="Z36" s="56">
        <f t="shared" si="140"/>
        <v>0.26828734121769604</v>
      </c>
      <c r="AA36" s="263">
        <f t="shared" si="140"/>
        <v>0.23908771648915755</v>
      </c>
      <c r="AB36" s="56">
        <f t="shared" si="140"/>
        <v>0.31609783051793183</v>
      </c>
      <c r="AC36" s="56">
        <f t="shared" si="140"/>
        <v>0.30789230611337282</v>
      </c>
      <c r="AD36" s="56">
        <f t="shared" si="140"/>
        <v>0.33775214936775311</v>
      </c>
      <c r="AE36" s="56">
        <f t="shared" si="140"/>
        <v>0.39384058124916721</v>
      </c>
      <c r="AF36" s="263">
        <f t="shared" si="140"/>
        <v>0.34070657611196248</v>
      </c>
      <c r="AG36" s="56">
        <f t="shared" si="140"/>
        <v>0.41052151436825302</v>
      </c>
      <c r="AH36" s="56">
        <f t="shared" si="140"/>
        <v>0.45820605387392388</v>
      </c>
      <c r="AI36" s="56">
        <f t="shared" si="140"/>
        <v>0.51744726018309672</v>
      </c>
      <c r="AJ36" s="56">
        <f t="shared" si="140"/>
        <v>0.56334157735641655</v>
      </c>
      <c r="AK36" s="263">
        <f t="shared" si="140"/>
        <v>0.48961320556760157</v>
      </c>
      <c r="AL36" s="56">
        <f t="shared" si="140"/>
        <v>0.59701492537313439</v>
      </c>
      <c r="AM36" s="56">
        <f t="shared" si="140"/>
        <v>0.58269278452764695</v>
      </c>
      <c r="AN36" s="56">
        <f t="shared" si="140"/>
        <v>0.63435068821065232</v>
      </c>
      <c r="AO36" s="56">
        <f t="shared" si="140"/>
        <v>0.76420559595710591</v>
      </c>
      <c r="AP36" s="263">
        <f t="shared" si="140"/>
        <v>0.64568706118355068</v>
      </c>
      <c r="AQ36" s="56">
        <f t="shared" si="140"/>
        <v>0.81000595592614655</v>
      </c>
      <c r="AR36" s="56">
        <f t="shared" si="140"/>
        <v>0.95431229869974954</v>
      </c>
      <c r="AS36" s="56">
        <f t="shared" si="140"/>
        <v>1.1650723571253372</v>
      </c>
      <c r="AT36" s="56">
        <f t="shared" si="140"/>
        <v>1.18508655126498</v>
      </c>
      <c r="AU36" s="263">
        <f t="shared" si="140"/>
        <v>1.0233647740583194</v>
      </c>
      <c r="AV36" s="56">
        <f t="shared" si="140"/>
        <v>1.0953867848509267</v>
      </c>
      <c r="AW36" s="56">
        <f t="shared" si="140"/>
        <v>1.0440694427582859</v>
      </c>
      <c r="AX36" s="56">
        <f t="shared" si="140"/>
        <v>1.0725777618877368</v>
      </c>
      <c r="AY36" s="56">
        <f t="shared" si="140"/>
        <v>1.1892839258888332</v>
      </c>
      <c r="AZ36" s="263">
        <f t="shared" si="140"/>
        <v>1.099562632070372</v>
      </c>
      <c r="BA36" s="56">
        <f t="shared" si="140"/>
        <v>1.0090673605884404</v>
      </c>
      <c r="BB36" s="56">
        <f t="shared" si="140"/>
        <v>1.024374590537908</v>
      </c>
      <c r="BC36" s="56">
        <f t="shared" si="140"/>
        <v>1.076686442540101</v>
      </c>
      <c r="BD36" s="56">
        <f t="shared" si="140"/>
        <v>1.1136914887007205</v>
      </c>
      <c r="BE36" s="263">
        <f t="shared" si="140"/>
        <v>1.0562963349280239</v>
      </c>
      <c r="BF36" s="56">
        <f t="shared" si="140"/>
        <v>1.2454747262041186</v>
      </c>
      <c r="BG36" s="56">
        <f t="shared" si="140"/>
        <v>1.1121703209405782</v>
      </c>
      <c r="BH36" s="56">
        <f>(BH34/BH6)*100</f>
        <v>1.095890410958904</v>
      </c>
      <c r="BI36" s="56">
        <f>(BI34/BI6)*100</f>
        <v>1.1140583554376657</v>
      </c>
      <c r="BJ36" s="263">
        <f t="shared" si="140"/>
        <v>1.1388111096717803</v>
      </c>
      <c r="BK36" s="56">
        <f t="shared" ref="BK36:BS36" si="141">(BK34/BK6)*100</f>
        <v>1.1220637583892616</v>
      </c>
      <c r="BL36" s="56">
        <f t="shared" si="141"/>
        <v>1.0641501857243247</v>
      </c>
      <c r="BM36" s="56">
        <f t="shared" si="141"/>
        <v>1.0650224215246635</v>
      </c>
      <c r="BN36" s="56">
        <f t="shared" si="141"/>
        <v>1.0633988251974884</v>
      </c>
      <c r="BO36" s="263">
        <f t="shared" si="141"/>
        <v>1.0779787897691828</v>
      </c>
      <c r="BP36" s="56">
        <f t="shared" si="141"/>
        <v>1.1143984220907299</v>
      </c>
      <c r="BQ36" s="56">
        <f t="shared" si="141"/>
        <v>1.0520435713620706</v>
      </c>
      <c r="BR36" s="56">
        <f t="shared" si="141"/>
        <v>1.0753643796658372</v>
      </c>
      <c r="BS36" s="56">
        <f t="shared" si="141"/>
        <v>1.150500420914788</v>
      </c>
      <c r="BT36" s="263">
        <f t="shared" ref="BT36:BY36" si="142">(BT34/BT6)*100</f>
        <v>1.0975154119185502</v>
      </c>
      <c r="BU36" s="56">
        <f t="shared" si="142"/>
        <v>1.1421441597082254</v>
      </c>
      <c r="BV36" s="56">
        <f t="shared" si="142"/>
        <v>1.0627085894958721</v>
      </c>
      <c r="BW36" s="56">
        <f t="shared" si="142"/>
        <v>0.97855684138869969</v>
      </c>
      <c r="BX36" s="56">
        <f t="shared" si="142"/>
        <v>1.0405736271423576</v>
      </c>
      <c r="BY36" s="263">
        <f t="shared" si="142"/>
        <v>1.0534972106772165</v>
      </c>
      <c r="BZ36" s="56">
        <f t="shared" ref="BZ36:CE36" si="143">(BZ34/BZ6)*100</f>
        <v>1.0070934407566337</v>
      </c>
      <c r="CA36" s="56">
        <f t="shared" si="143"/>
        <v>0.94794475770205111</v>
      </c>
      <c r="CB36" s="56">
        <f t="shared" si="143"/>
        <v>1.0480887792848335</v>
      </c>
      <c r="CC36" s="56">
        <f t="shared" si="143"/>
        <v>1.2355456993505465</v>
      </c>
      <c r="CD36" s="263">
        <f t="shared" si="143"/>
        <v>1.0617564659547689</v>
      </c>
      <c r="CE36" s="56">
        <f t="shared" si="143"/>
        <v>1.0591756850103615</v>
      </c>
      <c r="CF36" s="56">
        <f t="shared" ref="CF36:CJ36" si="144">(CF34/CF6)*100</f>
        <v>1.1473119070383173</v>
      </c>
      <c r="CG36" s="56">
        <f t="shared" si="144"/>
        <v>1.1670049289649174</v>
      </c>
      <c r="CH36" s="56">
        <f t="shared" si="144"/>
        <v>1.2426125170480375</v>
      </c>
      <c r="CI36" s="263">
        <f t="shared" si="144"/>
        <v>1.1544199925400969</v>
      </c>
      <c r="CJ36" s="56">
        <f t="shared" si="144"/>
        <v>1.1266568483063328</v>
      </c>
      <c r="CK36" s="56">
        <f t="shared" ref="CK36:CN36" si="145">(CK34/CK6)*100</f>
        <v>1.3477467359258739</v>
      </c>
      <c r="CL36" s="56">
        <f t="shared" si="145"/>
        <v>1.3281140780092269</v>
      </c>
      <c r="CM36" s="56">
        <f t="shared" si="145"/>
        <v>1.3836840588065724</v>
      </c>
      <c r="CN36" s="263">
        <f t="shared" si="145"/>
        <v>1.2980288530209969</v>
      </c>
      <c r="CO36" s="56">
        <f t="shared" ref="CO36:CR36" si="146">(CO34/CO6)*100</f>
        <v>1.2978912386103931</v>
      </c>
      <c r="CP36" s="56">
        <f t="shared" si="146"/>
        <v>1.3729382637001895</v>
      </c>
      <c r="CQ36" s="56">
        <f t="shared" si="146"/>
        <v>1.4247041927735342</v>
      </c>
      <c r="CR36" s="56">
        <f t="shared" si="146"/>
        <v>1.4733672848403316</v>
      </c>
      <c r="CS36" s="263">
        <f>(CS34/CS6)*100</f>
        <v>1.3940551428108523</v>
      </c>
      <c r="CT36" s="56"/>
      <c r="CU36" s="56"/>
      <c r="CV36" s="56"/>
      <c r="CW36" s="56"/>
      <c r="CX36" s="263">
        <f>(CX34/CX6)*100</f>
        <v>1.4722264592301522</v>
      </c>
      <c r="CY36" s="56"/>
      <c r="CZ36" s="56"/>
      <c r="DA36" s="56"/>
      <c r="DB36" s="56"/>
      <c r="DC36" s="263">
        <f>(DC34/DC6)*100</f>
        <v>1.5203833994853442</v>
      </c>
      <c r="DD36" s="137"/>
      <c r="DE36" s="178"/>
      <c r="DF36" s="364"/>
      <c r="DG36" s="364"/>
      <c r="DH36" s="364"/>
      <c r="DI36" s="364"/>
      <c r="DJ36" s="566"/>
      <c r="DK36" s="606"/>
      <c r="DL36" s="606"/>
      <c r="DM36" s="794"/>
      <c r="DN36" s="777"/>
      <c r="DO36" s="805"/>
      <c r="DP36" s="586"/>
      <c r="DQ36" s="395"/>
      <c r="DR36" s="492"/>
      <c r="DS36" s="137"/>
    </row>
    <row r="37" spans="1:143" x14ac:dyDescent="0.2">
      <c r="A37" s="12" t="s">
        <v>131</v>
      </c>
      <c r="B37" s="249"/>
      <c r="C37" s="57"/>
      <c r="D37" s="57"/>
      <c r="E37" s="57"/>
      <c r="F37" s="57"/>
      <c r="G37" s="249"/>
      <c r="H37" s="3"/>
      <c r="I37" s="3"/>
      <c r="J37" s="3"/>
      <c r="K37" s="3"/>
      <c r="L37" s="249"/>
      <c r="M37" s="3"/>
      <c r="N37" s="3"/>
      <c r="O37" s="3"/>
      <c r="P37" s="3"/>
      <c r="Q37" s="249"/>
      <c r="R37" s="3"/>
      <c r="S37" s="3"/>
      <c r="T37" s="3"/>
      <c r="U37" s="3"/>
      <c r="V37" s="249"/>
      <c r="W37" s="3">
        <f t="shared" ref="W37:BW37" si="147">W36/R36-1</f>
        <v>-0.10152808692510495</v>
      </c>
      <c r="X37" s="3">
        <f t="shared" si="147"/>
        <v>-3.2475580176785313E-2</v>
      </c>
      <c r="Y37" s="3">
        <f t="shared" si="147"/>
        <v>-4.7650608965640995E-2</v>
      </c>
      <c r="Z37" s="3">
        <f t="shared" si="147"/>
        <v>8.8203298001100938E-2</v>
      </c>
      <c r="AA37" s="249">
        <f t="shared" si="147"/>
        <v>-1.9532760071778066E-2</v>
      </c>
      <c r="AB37" s="3">
        <f t="shared" si="147"/>
        <v>0.42054439117556841</v>
      </c>
      <c r="AC37" s="3">
        <f t="shared" si="147"/>
        <v>0.35994626922813633</v>
      </c>
      <c r="AD37" s="3">
        <f t="shared" si="147"/>
        <v>0.43677140966903472</v>
      </c>
      <c r="AE37" s="3">
        <f t="shared" si="147"/>
        <v>0.46798048488465094</v>
      </c>
      <c r="AF37" s="249">
        <f t="shared" si="147"/>
        <v>0.42502752176067249</v>
      </c>
      <c r="AG37" s="3">
        <f t="shared" si="147"/>
        <v>0.29871664634839901</v>
      </c>
      <c r="AH37" s="3">
        <f t="shared" si="147"/>
        <v>0.48820235119874078</v>
      </c>
      <c r="AI37" s="3">
        <f t="shared" si="147"/>
        <v>0.53203247159705569</v>
      </c>
      <c r="AJ37" s="3">
        <f t="shared" si="147"/>
        <v>0.43037971244515516</v>
      </c>
      <c r="AK37" s="249">
        <f t="shared" si="147"/>
        <v>0.43705240783701704</v>
      </c>
      <c r="AL37" s="3">
        <f t="shared" si="147"/>
        <v>0.45428413488114994</v>
      </c>
      <c r="AM37" s="3">
        <f t="shared" si="147"/>
        <v>0.27168285883882226</v>
      </c>
      <c r="AN37" s="3">
        <f t="shared" si="147"/>
        <v>0.22592336847274019</v>
      </c>
      <c r="AO37" s="3">
        <f t="shared" si="147"/>
        <v>0.35655812862824821</v>
      </c>
      <c r="AP37" s="249">
        <f t="shared" si="147"/>
        <v>0.318769701963032</v>
      </c>
      <c r="AQ37" s="3">
        <f t="shared" si="147"/>
        <v>0.3567599761762954</v>
      </c>
      <c r="AR37" s="3">
        <f t="shared" si="147"/>
        <v>0.63776234070471904</v>
      </c>
      <c r="AS37" s="3">
        <f t="shared" si="147"/>
        <v>0.83663764977022481</v>
      </c>
      <c r="AT37" s="3">
        <f t="shared" si="147"/>
        <v>0.55074309522786802</v>
      </c>
      <c r="AU37" s="249">
        <f t="shared" si="147"/>
        <v>0.58492377434740872</v>
      </c>
      <c r="AV37" s="3">
        <f t="shared" si="147"/>
        <v>0.3523194204152249</v>
      </c>
      <c r="AW37" s="3">
        <f t="shared" si="147"/>
        <v>9.4054267330338837E-2</v>
      </c>
      <c r="AX37" s="3">
        <f t="shared" si="147"/>
        <v>-7.9389571533409864E-2</v>
      </c>
      <c r="AY37" s="3">
        <f t="shared" si="147"/>
        <v>3.5418295983300485E-3</v>
      </c>
      <c r="AZ37" s="249">
        <f t="shared" si="147"/>
        <v>7.4458159928524337E-2</v>
      </c>
      <c r="BA37" s="3">
        <f t="shared" si="147"/>
        <v>-7.8802689110617385E-2</v>
      </c>
      <c r="BB37" s="3">
        <f t="shared" si="147"/>
        <v>-1.8863546248750307E-2</v>
      </c>
      <c r="BC37" s="3">
        <f t="shared" si="147"/>
        <v>3.8306599282209586E-3</v>
      </c>
      <c r="BD37" s="3">
        <f t="shared" si="147"/>
        <v>-6.3561304027225707E-2</v>
      </c>
      <c r="BE37" s="249">
        <f>BE36/AZ36-1</f>
        <v>-3.9348642706129255E-2</v>
      </c>
      <c r="BF37" s="3">
        <f t="shared" si="147"/>
        <v>0.23428303684088703</v>
      </c>
      <c r="BG37" s="3">
        <f t="shared" si="147"/>
        <v>8.5706665524149628E-2</v>
      </c>
      <c r="BH37" s="3">
        <f t="shared" si="147"/>
        <v>1.7836175566116941E-2</v>
      </c>
      <c r="BI37" s="3">
        <f t="shared" si="147"/>
        <v>3.2941504956029988E-4</v>
      </c>
      <c r="BJ37" s="249">
        <f>BJ36/BE36-1</f>
        <v>7.8117070007043932E-2</v>
      </c>
      <c r="BK37" s="3">
        <f t="shared" si="147"/>
        <v>-9.9087492679182154E-2</v>
      </c>
      <c r="BL37" s="3">
        <f t="shared" si="147"/>
        <v>-4.3176961578728523E-2</v>
      </c>
      <c r="BM37" s="3">
        <f t="shared" si="147"/>
        <v>-2.8167040358744511E-2</v>
      </c>
      <c r="BN37" s="3">
        <f t="shared" si="147"/>
        <v>-4.5472959287016335E-2</v>
      </c>
      <c r="BO37" s="249">
        <f>BO36/BJ36-1</f>
        <v>-5.3417392389270013E-2</v>
      </c>
      <c r="BP37" s="3">
        <f t="shared" si="147"/>
        <v>-6.8314623311026557E-3</v>
      </c>
      <c r="BQ37" s="3">
        <f t="shared" si="147"/>
        <v>-1.1376791100227712E-2</v>
      </c>
      <c r="BR37" s="3">
        <f t="shared" si="147"/>
        <v>9.7105543809756778E-3</v>
      </c>
      <c r="BS37" s="3">
        <f t="shared" si="147"/>
        <v>8.19086815345349E-2</v>
      </c>
      <c r="BT37" s="249">
        <f>BT36/BO36-1</f>
        <v>1.8123382699904989E-2</v>
      </c>
      <c r="BU37" s="3">
        <f t="shared" si="147"/>
        <v>2.4897502605433885E-2</v>
      </c>
      <c r="BV37" s="3">
        <f t="shared" si="147"/>
        <v>1.0137430068598352E-2</v>
      </c>
      <c r="BW37" s="3">
        <f t="shared" si="147"/>
        <v>-9.0023009974739776E-2</v>
      </c>
      <c r="BX37" s="3">
        <f>BX36/BS36-1</f>
        <v>-9.554693920496371E-2</v>
      </c>
      <c r="BY37" s="249">
        <f>BY36/BT36-1</f>
        <v>-4.01071372331675E-2</v>
      </c>
      <c r="BZ37" s="3">
        <f>BZ36/BU36-1</f>
        <v>-0.11824314628207011</v>
      </c>
      <c r="CA37" s="3">
        <f>CA36/BV36-1</f>
        <v>-0.10799181725656581</v>
      </c>
      <c r="CB37" s="3">
        <f>CB36/BW36-1</f>
        <v>7.1055594274379574E-2</v>
      </c>
      <c r="CC37" s="3">
        <f t="shared" ref="CC37:CD37" si="148">CC36/BX36-1</f>
        <v>0.1873697998128443</v>
      </c>
      <c r="CD37" s="249">
        <f t="shared" si="148"/>
        <v>7.8398454156733965E-3</v>
      </c>
      <c r="CE37" s="3">
        <f>CE36/BZ36-1</f>
        <v>5.1715404098549467E-2</v>
      </c>
      <c r="CF37" s="3">
        <f>CF36/CA36-1</f>
        <v>0.21031515572654214</v>
      </c>
      <c r="CG37" s="3">
        <f>CG36/CB36-1</f>
        <v>0.11345999693005648</v>
      </c>
      <c r="CH37" s="3">
        <f t="shared" ref="CH37" si="149">CH36/CC36-1</f>
        <v>5.7195923236232904E-3</v>
      </c>
      <c r="CI37" s="249">
        <f t="shared" ref="CI37:CS37" si="150">CI36/CD36-1</f>
        <v>8.72738048286823E-2</v>
      </c>
      <c r="CJ37" s="3">
        <f>CJ36/CE36-1</f>
        <v>6.3711020042261701E-2</v>
      </c>
      <c r="CK37" s="3">
        <f>CK36/CF36-1</f>
        <v>0.17469951079385293</v>
      </c>
      <c r="CL37" s="3">
        <f>CL36/CG36-1</f>
        <v>0.13805352920591885</v>
      </c>
      <c r="CM37" s="3">
        <f t="shared" ref="CM37" si="151">CM36/CH36-1</f>
        <v>0.11352818342250881</v>
      </c>
      <c r="CN37" s="249">
        <f t="shared" ref="CN37" si="152">CN36/CI36-1</f>
        <v>0.12439914537941621</v>
      </c>
      <c r="CO37" s="3">
        <f t="shared" si="150"/>
        <v>0.15198451113262346</v>
      </c>
      <c r="CP37" s="3">
        <f t="shared" si="150"/>
        <v>1.8691588785046731E-2</v>
      </c>
      <c r="CQ37" s="3">
        <f t="shared" si="150"/>
        <v>7.2727272727272751E-2</v>
      </c>
      <c r="CR37" s="3">
        <f t="shared" si="150"/>
        <v>6.4814814814814659E-2</v>
      </c>
      <c r="CS37" s="249">
        <f t="shared" si="150"/>
        <v>7.3978547985560139E-2</v>
      </c>
      <c r="CT37" s="3"/>
      <c r="CU37" s="3"/>
      <c r="CV37" s="3"/>
      <c r="CW37" s="3"/>
      <c r="CX37" s="249">
        <f>CX36/CS36-1</f>
        <v>5.6074766355139971E-2</v>
      </c>
      <c r="CY37" s="3"/>
      <c r="CZ37" s="3"/>
      <c r="DA37" s="3"/>
      <c r="DB37" s="3"/>
      <c r="DC37" s="249">
        <f>DC36/CX36-1</f>
        <v>3.2710280373831946E-2</v>
      </c>
      <c r="DD37" s="100"/>
      <c r="DE37" s="178"/>
      <c r="DF37" s="364"/>
      <c r="DG37" s="364"/>
      <c r="DH37" s="364"/>
      <c r="DI37" s="364"/>
      <c r="DJ37" s="566"/>
      <c r="DK37" s="606"/>
      <c r="DL37" s="606"/>
      <c r="DM37" s="777"/>
      <c r="DN37" s="795"/>
      <c r="DO37" s="795"/>
      <c r="DP37" s="795"/>
      <c r="DQ37" s="396"/>
      <c r="DR37" s="493"/>
      <c r="DS37" s="100"/>
    </row>
    <row r="38" spans="1:143" x14ac:dyDescent="0.2">
      <c r="A38" s="58" t="s">
        <v>136</v>
      </c>
      <c r="B38" s="264"/>
      <c r="C38" s="59"/>
      <c r="D38" s="59"/>
      <c r="E38" s="59"/>
      <c r="F38" s="59"/>
      <c r="G38" s="264">
        <f t="shared" ref="G38:AL38" si="153">G34/G11*1000000</f>
        <v>287.6765708718948</v>
      </c>
      <c r="H38" s="60">
        <f t="shared" si="153"/>
        <v>357.56199129282606</v>
      </c>
      <c r="I38" s="60">
        <f t="shared" si="153"/>
        <v>354.07454200884393</v>
      </c>
      <c r="J38" s="60">
        <f t="shared" si="153"/>
        <v>336.50519031141869</v>
      </c>
      <c r="K38" s="60">
        <f t="shared" si="153"/>
        <v>443.40228703584739</v>
      </c>
      <c r="L38" s="264">
        <f t="shared" si="153"/>
        <v>376.54742917900819</v>
      </c>
      <c r="M38" s="60">
        <f t="shared" si="153"/>
        <v>453.22597732810675</v>
      </c>
      <c r="N38" s="60">
        <f t="shared" si="153"/>
        <v>496.33300297324087</v>
      </c>
      <c r="O38" s="60">
        <f t="shared" si="153"/>
        <v>446.59848821698534</v>
      </c>
      <c r="P38" s="60">
        <f t="shared" si="153"/>
        <v>427.2251308900523</v>
      </c>
      <c r="Q38" s="264">
        <f t="shared" si="153"/>
        <v>453.51576658209495</v>
      </c>
      <c r="R38" s="60">
        <f t="shared" si="153"/>
        <v>468.95074946466809</v>
      </c>
      <c r="S38" s="60">
        <f t="shared" si="153"/>
        <v>475.05113742019461</v>
      </c>
      <c r="T38" s="60">
        <f t="shared" si="153"/>
        <v>532.45997088791842</v>
      </c>
      <c r="U38" s="60">
        <f t="shared" si="153"/>
        <v>506.78534146475477</v>
      </c>
      <c r="V38" s="264">
        <f t="shared" si="153"/>
        <v>497.01135684399293</v>
      </c>
      <c r="W38" s="60">
        <f t="shared" si="153"/>
        <v>450.32381866154958</v>
      </c>
      <c r="X38" s="60">
        <f t="shared" si="153"/>
        <v>476.08941070219009</v>
      </c>
      <c r="Y38" s="60">
        <f t="shared" si="153"/>
        <v>507.27296553531642</v>
      </c>
      <c r="Z38" s="60">
        <f t="shared" si="153"/>
        <v>554.62696255426181</v>
      </c>
      <c r="AA38" s="264">
        <f t="shared" si="153"/>
        <v>499.42561746122914</v>
      </c>
      <c r="AB38" s="60">
        <f t="shared" si="153"/>
        <v>637.28205328236538</v>
      </c>
      <c r="AC38" s="60">
        <f t="shared" si="153"/>
        <v>657.36615294719161</v>
      </c>
      <c r="AD38" s="60">
        <f t="shared" si="153"/>
        <v>760.95929405066886</v>
      </c>
      <c r="AE38" s="60">
        <f t="shared" si="153"/>
        <v>810.52904228453019</v>
      </c>
      <c r="AF38" s="264">
        <f t="shared" si="153"/>
        <v>720.99563427938836</v>
      </c>
      <c r="AG38" s="60">
        <f t="shared" si="153"/>
        <v>784.49603393671737</v>
      </c>
      <c r="AH38" s="60">
        <f t="shared" si="153"/>
        <v>875.61027382721295</v>
      </c>
      <c r="AI38" s="60">
        <f t="shared" si="153"/>
        <v>921.7461180307721</v>
      </c>
      <c r="AJ38" s="60">
        <f t="shared" si="153"/>
        <v>916.48783977110168</v>
      </c>
      <c r="AK38" s="264">
        <f t="shared" si="153"/>
        <v>879.66220971147072</v>
      </c>
      <c r="AL38" s="60">
        <f t="shared" si="153"/>
        <v>944.73311289560706</v>
      </c>
      <c r="AM38" s="60">
        <f t="shared" ref="AM38:BJ38" si="154">AM34/AM11*1000000</f>
        <v>949.24565265687806</v>
      </c>
      <c r="AN38" s="60">
        <f t="shared" si="154"/>
        <v>1055.083311767165</v>
      </c>
      <c r="AO38" s="60">
        <f t="shared" si="154"/>
        <v>1233.2418347455941</v>
      </c>
      <c r="AP38" s="264">
        <f t="shared" si="154"/>
        <v>1047.8447968910548</v>
      </c>
      <c r="AQ38" s="60">
        <f t="shared" si="154"/>
        <v>1301.061896106381</v>
      </c>
      <c r="AR38" s="60">
        <f t="shared" si="154"/>
        <v>1531.5108354391607</v>
      </c>
      <c r="AS38" s="60">
        <f t="shared" si="154"/>
        <v>1858.1907090464549</v>
      </c>
      <c r="AT38" s="60">
        <f t="shared" si="154"/>
        <v>1788.4773827944455</v>
      </c>
      <c r="AU38" s="264">
        <f t="shared" si="154"/>
        <v>1616.4448923749567</v>
      </c>
      <c r="AV38" s="60">
        <f t="shared" si="154"/>
        <v>1641.0759422039459</v>
      </c>
      <c r="AW38" s="60">
        <f t="shared" si="154"/>
        <v>1566.912635510613</v>
      </c>
      <c r="AX38" s="60">
        <f t="shared" si="154"/>
        <v>1623.962468422952</v>
      </c>
      <c r="AY38" s="60">
        <f t="shared" si="154"/>
        <v>1819.6793533434213</v>
      </c>
      <c r="AZ38" s="264">
        <f t="shared" si="154"/>
        <v>1661.0524948266104</v>
      </c>
      <c r="BA38" s="60">
        <f t="shared" si="154"/>
        <v>1563.4484153990472</v>
      </c>
      <c r="BB38" s="60">
        <f t="shared" si="154"/>
        <v>1583.5735383082451</v>
      </c>
      <c r="BC38" s="60">
        <f t="shared" si="154"/>
        <v>1662.8489013319759</v>
      </c>
      <c r="BD38" s="60">
        <f t="shared" si="154"/>
        <v>1696.5194563994501</v>
      </c>
      <c r="BE38" s="264">
        <f t="shared" si="154"/>
        <v>1627.4872395244367</v>
      </c>
      <c r="BF38" s="60">
        <f t="shared" si="154"/>
        <v>1869.2907276125982</v>
      </c>
      <c r="BG38" s="60">
        <f t="shared" si="154"/>
        <v>1703.6604361370717</v>
      </c>
      <c r="BH38" s="60">
        <f>BH34/BH11*1000000</f>
        <v>1711.5960633290545</v>
      </c>
      <c r="BI38" s="60">
        <f>BI34/BI11*1000000</f>
        <v>1693.3025851086134</v>
      </c>
      <c r="BJ38" s="264">
        <f t="shared" si="154"/>
        <v>1741.6593412912925</v>
      </c>
      <c r="BK38" s="60">
        <f t="shared" ref="BK38:BS38" si="155">BK34/BK11*1000000</f>
        <v>1683.8195952538319</v>
      </c>
      <c r="BL38" s="60">
        <f t="shared" si="155"/>
        <v>1604.4318646222773</v>
      </c>
      <c r="BM38" s="60">
        <f t="shared" si="155"/>
        <v>1630.3181980693601</v>
      </c>
      <c r="BN38" s="60">
        <f t="shared" si="155"/>
        <v>1613.8452552949495</v>
      </c>
      <c r="BO38" s="264">
        <f t="shared" si="155"/>
        <v>1632.6530612244899</v>
      </c>
      <c r="BP38" s="60">
        <f t="shared" si="155"/>
        <v>1692.3007802554926</v>
      </c>
      <c r="BQ38" s="60">
        <f t="shared" si="155"/>
        <v>1597.8054919261333</v>
      </c>
      <c r="BR38" s="60">
        <f t="shared" si="155"/>
        <v>1630.5959086866292</v>
      </c>
      <c r="BS38" s="60">
        <f t="shared" si="155"/>
        <v>1746.365288505225</v>
      </c>
      <c r="BT38" s="264">
        <f t="shared" ref="BT38:BY38" si="156">BT34/BT11*1000000</f>
        <v>1665.8809852091035</v>
      </c>
      <c r="BU38" s="60">
        <f t="shared" si="156"/>
        <v>1746.0969597370583</v>
      </c>
      <c r="BV38" s="60">
        <f t="shared" si="156"/>
        <v>1615.1207336118639</v>
      </c>
      <c r="BW38" s="60">
        <f t="shared" si="156"/>
        <v>1489.5408328476135</v>
      </c>
      <c r="BX38" s="60">
        <f t="shared" si="156"/>
        <v>1596.7581783538631</v>
      </c>
      <c r="BY38" s="264">
        <f t="shared" si="156"/>
        <v>1607.8697421981003</v>
      </c>
      <c r="BZ38" s="60">
        <f t="shared" ref="BZ38:CE38" si="157">BZ34/BZ11*1000000</f>
        <v>1557.7800956341521</v>
      </c>
      <c r="CA38" s="60">
        <f t="shared" si="157"/>
        <v>1458.0557580632999</v>
      </c>
      <c r="CB38" s="60">
        <f t="shared" si="157"/>
        <v>1638.7714034390101</v>
      </c>
      <c r="CC38" s="60">
        <f t="shared" si="157"/>
        <v>1946.7149185749049</v>
      </c>
      <c r="CD38" s="264">
        <f t="shared" si="157"/>
        <v>1652.4225525663101</v>
      </c>
      <c r="CE38" s="60">
        <f t="shared" si="157"/>
        <v>1698.6915151589753</v>
      </c>
      <c r="CF38" s="60">
        <f t="shared" ref="CF38:CJ38" si="158">CF34/CF11*1000000</f>
        <v>1829.1610482499852</v>
      </c>
      <c r="CG38" s="60">
        <f t="shared" si="158"/>
        <v>1854.817340814046</v>
      </c>
      <c r="CH38" s="60">
        <f t="shared" si="158"/>
        <v>1952.9389349337905</v>
      </c>
      <c r="CI38" s="264">
        <f t="shared" si="158"/>
        <v>1835.1561365071552</v>
      </c>
      <c r="CJ38" s="60">
        <f t="shared" si="158"/>
        <v>1784.7977229247351</v>
      </c>
      <c r="CK38" s="60">
        <f t="shared" ref="CK38:CN38" si="159">CK34/CK11*1000000</f>
        <v>2127.7774699396018</v>
      </c>
      <c r="CL38" s="60">
        <f t="shared" si="159"/>
        <v>2110.6186334299778</v>
      </c>
      <c r="CM38" s="60">
        <f t="shared" si="159"/>
        <v>2189.2566789432276</v>
      </c>
      <c r="CN38" s="264">
        <f t="shared" si="159"/>
        <v>2055.5246111609049</v>
      </c>
      <c r="CO38" s="60">
        <f t="shared" ref="CO38:CR38" si="160">CO34/CO11*1000000</f>
        <v>2088.4063817900051</v>
      </c>
      <c r="CP38" s="60">
        <f t="shared" si="160"/>
        <v>2208.8356592706346</v>
      </c>
      <c r="CQ38" s="60">
        <f t="shared" si="160"/>
        <v>2295.4193432694683</v>
      </c>
      <c r="CR38" s="60">
        <f t="shared" si="160"/>
        <v>2363.9860852438605</v>
      </c>
      <c r="CS38" s="264">
        <f>CS34/CS11*1000000</f>
        <v>2242.2107258889328</v>
      </c>
      <c r="CT38" s="60"/>
      <c r="CU38" s="60"/>
      <c r="CV38" s="60"/>
      <c r="CW38" s="60"/>
      <c r="CX38" s="264">
        <f>CX34/CX11*1000000</f>
        <v>2390.2812455231074</v>
      </c>
      <c r="CY38" s="60"/>
      <c r="CZ38" s="60"/>
      <c r="DA38" s="60"/>
      <c r="DB38" s="60"/>
      <c r="DC38" s="264">
        <f>DC34/DC11*1000000</f>
        <v>2491.7554493424846</v>
      </c>
      <c r="DD38" s="93"/>
      <c r="DE38" s="178"/>
      <c r="DF38" s="364"/>
      <c r="DG38" s="364"/>
      <c r="DH38" s="364"/>
      <c r="DI38" s="364"/>
      <c r="DL38" s="801"/>
      <c r="DM38" s="801"/>
      <c r="DN38" s="796"/>
      <c r="DO38" s="796"/>
      <c r="DP38" s="796"/>
      <c r="DR38" s="494"/>
      <c r="DS38" s="93"/>
    </row>
    <row r="39" spans="1:143" s="66" customFormat="1" x14ac:dyDescent="0.2">
      <c r="A39" s="62" t="s">
        <v>137</v>
      </c>
      <c r="B39" s="265"/>
      <c r="C39" s="63"/>
      <c r="D39" s="63"/>
      <c r="E39" s="63"/>
      <c r="F39" s="63"/>
      <c r="G39" s="265"/>
      <c r="H39" s="64">
        <f t="shared" ref="H39:AM39" si="161">H34/H15</f>
        <v>2.9313226332556925</v>
      </c>
      <c r="I39" s="64">
        <f t="shared" si="161"/>
        <v>2.9737232686550734</v>
      </c>
      <c r="J39" s="64">
        <f t="shared" si="161"/>
        <v>2.9486413383344852</v>
      </c>
      <c r="K39" s="64">
        <f t="shared" si="161"/>
        <v>3.7231230648067233</v>
      </c>
      <c r="L39" s="265">
        <f t="shared" si="161"/>
        <v>3.18145081985885</v>
      </c>
      <c r="M39" s="64">
        <f t="shared" si="161"/>
        <v>3.6226085321830404</v>
      </c>
      <c r="N39" s="64">
        <f t="shared" si="161"/>
        <v>3.7572041839409533</v>
      </c>
      <c r="O39" s="64">
        <f t="shared" si="161"/>
        <v>3.3436621556300961</v>
      </c>
      <c r="P39" s="64">
        <f t="shared" si="161"/>
        <v>3.2896858672514995</v>
      </c>
      <c r="Q39" s="265">
        <f t="shared" si="161"/>
        <v>3.4804649776038508</v>
      </c>
      <c r="R39" s="64">
        <f t="shared" si="161"/>
        <v>3.5944190265973086</v>
      </c>
      <c r="S39" s="64">
        <f t="shared" si="161"/>
        <v>3.467998841587026</v>
      </c>
      <c r="T39" s="64">
        <f t="shared" si="161"/>
        <v>3.7890951127095245</v>
      </c>
      <c r="U39" s="64">
        <f t="shared" si="161"/>
        <v>3.8796892547244806</v>
      </c>
      <c r="V39" s="265">
        <f t="shared" si="161"/>
        <v>3.6908181853691802</v>
      </c>
      <c r="W39" s="64">
        <f t="shared" si="161"/>
        <v>3.5421665742792747</v>
      </c>
      <c r="X39" s="64">
        <f t="shared" si="161"/>
        <v>3.6097547948315074</v>
      </c>
      <c r="Y39" s="64">
        <f t="shared" si="161"/>
        <v>3.8284556485297712</v>
      </c>
      <c r="Z39" s="64">
        <f t="shared" si="161"/>
        <v>4.3010624136979603</v>
      </c>
      <c r="AA39" s="265">
        <f t="shared" si="161"/>
        <v>3.8373452435259545</v>
      </c>
      <c r="AB39" s="64">
        <f t="shared" si="161"/>
        <v>4.8051725750466314</v>
      </c>
      <c r="AC39" s="64">
        <f t="shared" si="161"/>
        <v>4.8702537348081902</v>
      </c>
      <c r="AD39" s="64">
        <f t="shared" si="161"/>
        <v>5.6538324370724959</v>
      </c>
      <c r="AE39" s="64">
        <f t="shared" si="161"/>
        <v>6.5014814932163478</v>
      </c>
      <c r="AF39" s="265">
        <f t="shared" si="161"/>
        <v>5.4829002735136099</v>
      </c>
      <c r="AG39" s="64">
        <f t="shared" si="161"/>
        <v>6.2283737024221457</v>
      </c>
      <c r="AH39" s="64">
        <f t="shared" si="161"/>
        <v>7.2928176795580102</v>
      </c>
      <c r="AI39" s="64">
        <f t="shared" si="161"/>
        <v>8.1709616593337522</v>
      </c>
      <c r="AJ39" s="64">
        <f t="shared" si="161"/>
        <v>8.3130575831305755</v>
      </c>
      <c r="AK39" s="265">
        <f t="shared" si="161"/>
        <v>7.5410719095071377</v>
      </c>
      <c r="AL39" s="64">
        <f t="shared" si="161"/>
        <v>8.642702808878413</v>
      </c>
      <c r="AM39" s="64">
        <f t="shared" si="161"/>
        <v>8.4123858958296047</v>
      </c>
      <c r="AN39" s="64">
        <f t="shared" ref="AN39:BJ39" si="162">AN34/AN15</f>
        <v>9.5875542691751097</v>
      </c>
      <c r="AO39" s="64">
        <f t="shared" si="162"/>
        <v>11.966801775718974</v>
      </c>
      <c r="AP39" s="265">
        <f t="shared" si="162"/>
        <v>9.6320194510684054</v>
      </c>
      <c r="AQ39" s="64">
        <f t="shared" si="162"/>
        <v>12.323305545487496</v>
      </c>
      <c r="AR39" s="64">
        <f t="shared" si="162"/>
        <v>14.191946070604933</v>
      </c>
      <c r="AS39" s="64">
        <f t="shared" si="162"/>
        <v>16.852935958843357</v>
      </c>
      <c r="AT39" s="64">
        <f t="shared" si="162"/>
        <v>16.79245283018868</v>
      </c>
      <c r="AU39" s="265">
        <f t="shared" si="162"/>
        <v>15.028064457722254</v>
      </c>
      <c r="AV39" s="64">
        <f t="shared" si="162"/>
        <v>16.443016443016443</v>
      </c>
      <c r="AW39" s="64">
        <f t="shared" si="162"/>
        <v>15.111579687225444</v>
      </c>
      <c r="AX39" s="64">
        <f t="shared" si="162"/>
        <v>14.971925145032207</v>
      </c>
      <c r="AY39" s="64">
        <f t="shared" si="162"/>
        <v>17.408832691955286</v>
      </c>
      <c r="AZ39" s="265">
        <f t="shared" si="162"/>
        <v>15.946369597382228</v>
      </c>
      <c r="BA39" s="64">
        <f t="shared" si="162"/>
        <v>15.375340088956291</v>
      </c>
      <c r="BB39" s="64">
        <f t="shared" si="162"/>
        <v>14.558164611293734</v>
      </c>
      <c r="BC39" s="64">
        <f t="shared" si="162"/>
        <v>14.70899285998332</v>
      </c>
      <c r="BD39" s="64">
        <f t="shared" si="162"/>
        <v>15.731081304851797</v>
      </c>
      <c r="BE39" s="265">
        <f t="shared" si="162"/>
        <v>15.07599713687592</v>
      </c>
      <c r="BF39" s="64">
        <f t="shared" si="162"/>
        <v>17.553467281744574</v>
      </c>
      <c r="BG39" s="64">
        <f t="shared" si="162"/>
        <v>15.856236786469346</v>
      </c>
      <c r="BH39" s="64">
        <f>BH34/BH15</f>
        <v>15.393386545039908</v>
      </c>
      <c r="BI39" s="64">
        <f>BI34/BI15</f>
        <v>15.688032272523532</v>
      </c>
      <c r="BJ39" s="265">
        <f t="shared" si="162"/>
        <v>16.079064705076394</v>
      </c>
      <c r="BK39" s="64">
        <f t="shared" ref="BK39:BS39" si="163">BK34/BK15</f>
        <v>15.613599883262806</v>
      </c>
      <c r="BL39" s="64">
        <f t="shared" si="163"/>
        <v>14.445352957209048</v>
      </c>
      <c r="BM39" s="64">
        <f t="shared" si="163"/>
        <v>14.715373693042467</v>
      </c>
      <c r="BN39" s="64">
        <f t="shared" si="163"/>
        <v>14.961527500712455</v>
      </c>
      <c r="BO39" s="265">
        <f t="shared" si="163"/>
        <v>14.919187733112308</v>
      </c>
      <c r="BP39" s="64">
        <f t="shared" si="163"/>
        <v>15.479452054794521</v>
      </c>
      <c r="BQ39" s="64">
        <f t="shared" si="163"/>
        <v>14.575003224558236</v>
      </c>
      <c r="BR39" s="64">
        <f t="shared" si="163"/>
        <v>15.014269760516195</v>
      </c>
      <c r="BS39" s="64">
        <f t="shared" si="163"/>
        <v>16.732417358182559</v>
      </c>
      <c r="BT39" s="265">
        <f t="shared" ref="BT39:BY39" si="164">BT34/BT15</f>
        <v>15.42855267045268</v>
      </c>
      <c r="BU39" s="64">
        <f t="shared" si="164"/>
        <v>16.228010364107458</v>
      </c>
      <c r="BV39" s="64">
        <f t="shared" si="164"/>
        <v>14.793984594693727</v>
      </c>
      <c r="BW39" s="64">
        <f t="shared" si="164"/>
        <v>13.404825737265414</v>
      </c>
      <c r="BX39" s="64">
        <f t="shared" si="164"/>
        <v>14.899211218229622</v>
      </c>
      <c r="BY39" s="265">
        <f t="shared" si="164"/>
        <v>14.776482324334433</v>
      </c>
      <c r="BZ39" s="64">
        <f t="shared" ref="BZ39:CE39" si="165">BZ34/BZ15</f>
        <v>14.206300185299567</v>
      </c>
      <c r="CA39" s="64">
        <f t="shared" si="165"/>
        <v>13.095506886430345</v>
      </c>
      <c r="CB39" s="64">
        <f t="shared" si="165"/>
        <v>14.723395041680199</v>
      </c>
      <c r="CC39" s="64">
        <f t="shared" si="165"/>
        <v>17.50645269891146</v>
      </c>
      <c r="CD39" s="265">
        <f t="shared" si="165"/>
        <v>14.899860402837524</v>
      </c>
      <c r="CE39" s="64">
        <f t="shared" si="165"/>
        <v>15.133238293672552</v>
      </c>
      <c r="CF39" s="64">
        <f t="shared" ref="CF39:CJ39" si="166">CF34/CF15</f>
        <v>16.149068322981368</v>
      </c>
      <c r="CG39" s="64">
        <f t="shared" si="166"/>
        <v>16.176027328443688</v>
      </c>
      <c r="CH39" s="64">
        <f t="shared" si="166"/>
        <v>17.205203524968528</v>
      </c>
      <c r="CI39" s="265">
        <f t="shared" si="166"/>
        <v>16.177085511185449</v>
      </c>
      <c r="CJ39" s="64">
        <f t="shared" si="166"/>
        <v>15.755329008341056</v>
      </c>
      <c r="CK39" s="64">
        <f t="shared" ref="CK39:CN39" si="167">CK34/CK15</f>
        <v>18.617279162222438</v>
      </c>
      <c r="CL39" s="64">
        <f t="shared" si="167"/>
        <v>18.578273198396403</v>
      </c>
      <c r="CM39" s="64">
        <f t="shared" si="167"/>
        <v>19.617860427097167</v>
      </c>
      <c r="CN39" s="265">
        <f t="shared" si="167"/>
        <v>18.157750137369497</v>
      </c>
      <c r="CO39" s="64">
        <f t="shared" ref="CO39:CR39" si="168">CO34/CO15</f>
        <v>17.374420773989872</v>
      </c>
      <c r="CP39" s="64">
        <f t="shared" si="168"/>
        <v>18.016793202442404</v>
      </c>
      <c r="CQ39" s="64">
        <f t="shared" si="168"/>
        <v>18.610723106060604</v>
      </c>
      <c r="CR39" s="64">
        <f t="shared" si="168"/>
        <v>19.762341459182778</v>
      </c>
      <c r="CS39" s="265">
        <f>CS34/CS15</f>
        <v>18.45651932497919</v>
      </c>
      <c r="CT39" s="64"/>
      <c r="CU39" s="64"/>
      <c r="CV39" s="64"/>
      <c r="CW39" s="64"/>
      <c r="CX39" s="265">
        <f>CX34/CX15</f>
        <v>19.689696574229838</v>
      </c>
      <c r="CY39" s="64"/>
      <c r="CZ39" s="64"/>
      <c r="DA39" s="64"/>
      <c r="DB39" s="64"/>
      <c r="DC39" s="265">
        <f>DC34/DC15</f>
        <v>20.537089590345062</v>
      </c>
      <c r="DD39" s="74"/>
      <c r="DE39" s="178"/>
      <c r="DF39" s="364"/>
      <c r="DG39" s="364"/>
      <c r="DH39" s="364"/>
      <c r="DI39" s="364"/>
      <c r="DJ39" s="615"/>
      <c r="DK39" s="615"/>
      <c r="DL39" s="615"/>
      <c r="DM39" s="721"/>
      <c r="DN39" s="721"/>
      <c r="DO39" s="721"/>
      <c r="DP39" s="721"/>
      <c r="DQ39" s="615"/>
      <c r="DR39" s="494"/>
      <c r="DS39" s="74"/>
      <c r="DT39"/>
      <c r="DU39"/>
      <c r="DV39"/>
      <c r="DW39"/>
      <c r="DX39"/>
      <c r="DY39"/>
    </row>
    <row r="40" spans="1:143" x14ac:dyDescent="0.2">
      <c r="A40" s="8" t="s">
        <v>329</v>
      </c>
      <c r="B40" s="10">
        <f>B34+B28</f>
        <v>0</v>
      </c>
      <c r="C40" s="9"/>
      <c r="D40" s="9"/>
      <c r="E40" s="9"/>
      <c r="F40" s="9"/>
      <c r="G40" s="10">
        <f t="shared" ref="G40:AL40" si="169">G34+G28</f>
        <v>104.61800000000001</v>
      </c>
      <c r="H40" s="9">
        <f t="shared" si="169"/>
        <v>63.85</v>
      </c>
      <c r="I40" s="9">
        <f t="shared" si="169"/>
        <v>78.39800000000001</v>
      </c>
      <c r="J40" s="9">
        <f t="shared" si="169"/>
        <v>82.608000000000004</v>
      </c>
      <c r="K40" s="9">
        <f t="shared" si="169"/>
        <v>95.557999999999993</v>
      </c>
      <c r="L40" s="10">
        <f t="shared" si="169"/>
        <v>320.41400000000004</v>
      </c>
      <c r="M40" s="9">
        <f t="shared" si="169"/>
        <v>133.369</v>
      </c>
      <c r="N40" s="9">
        <f t="shared" si="169"/>
        <v>149.303</v>
      </c>
      <c r="O40" s="9">
        <f t="shared" si="169"/>
        <v>165.261</v>
      </c>
      <c r="P40" s="9">
        <f t="shared" si="169"/>
        <v>187.25799999999998</v>
      </c>
      <c r="Q40" s="10">
        <f t="shared" si="169"/>
        <v>635.19100000000003</v>
      </c>
      <c r="R40" s="9">
        <f t="shared" si="169"/>
        <v>217.13</v>
      </c>
      <c r="S40" s="9">
        <f t="shared" si="169"/>
        <v>244.70099999999999</v>
      </c>
      <c r="T40" s="9">
        <f t="shared" si="169"/>
        <v>273.57599999999996</v>
      </c>
      <c r="U40" s="9">
        <f t="shared" si="169"/>
        <v>262.94400000000002</v>
      </c>
      <c r="V40" s="10">
        <f t="shared" si="169"/>
        <v>998.351</v>
      </c>
      <c r="W40" s="9">
        <f t="shared" si="169"/>
        <v>289.00299999999999</v>
      </c>
      <c r="X40" s="9">
        <f t="shared" si="169"/>
        <v>319.71800000000002</v>
      </c>
      <c r="Y40" s="9">
        <f t="shared" si="169"/>
        <v>323.21499999999997</v>
      </c>
      <c r="Z40" s="9">
        <f t="shared" si="169"/>
        <v>330.536</v>
      </c>
      <c r="AA40" s="10">
        <f t="shared" si="169"/>
        <v>1262.4719999999998</v>
      </c>
      <c r="AB40" s="9">
        <f t="shared" si="169"/>
        <v>374.22200000000004</v>
      </c>
      <c r="AC40" s="9">
        <f t="shared" si="169"/>
        <v>429</v>
      </c>
      <c r="AD40" s="9">
        <f t="shared" si="169"/>
        <v>452.91500000000002</v>
      </c>
      <c r="AE40" s="9">
        <f t="shared" si="169"/>
        <v>445.99200000000002</v>
      </c>
      <c r="AF40" s="10">
        <f t="shared" si="169"/>
        <v>1702.1290000000001</v>
      </c>
      <c r="AG40" s="9">
        <f t="shared" si="169"/>
        <v>490.4</v>
      </c>
      <c r="AH40" s="9">
        <f t="shared" si="169"/>
        <v>612</v>
      </c>
      <c r="AI40" s="9">
        <f t="shared" si="169"/>
        <v>628</v>
      </c>
      <c r="AJ40" s="9">
        <f t="shared" si="169"/>
        <v>633</v>
      </c>
      <c r="AK40" s="10">
        <f t="shared" si="169"/>
        <v>2363.4</v>
      </c>
      <c r="AL40" s="9">
        <f t="shared" si="169"/>
        <v>608</v>
      </c>
      <c r="AM40" s="9">
        <f t="shared" ref="AM40:BR40" si="170">AM34+AM28</f>
        <v>730</v>
      </c>
      <c r="AN40" s="9">
        <f t="shared" si="170"/>
        <v>765</v>
      </c>
      <c r="AO40" s="9">
        <f t="shared" si="170"/>
        <v>739</v>
      </c>
      <c r="AP40" s="10">
        <f t="shared" si="170"/>
        <v>2842</v>
      </c>
      <c r="AQ40" s="9">
        <f t="shared" si="170"/>
        <v>816</v>
      </c>
      <c r="AR40" s="9">
        <f t="shared" si="170"/>
        <v>859</v>
      </c>
      <c r="AS40" s="9">
        <f t="shared" si="170"/>
        <v>902</v>
      </c>
      <c r="AT40" s="9">
        <f t="shared" si="170"/>
        <v>811</v>
      </c>
      <c r="AU40" s="10">
        <f t="shared" si="170"/>
        <v>3388</v>
      </c>
      <c r="AV40" s="9">
        <f t="shared" si="170"/>
        <v>795</v>
      </c>
      <c r="AW40" s="9">
        <f t="shared" si="170"/>
        <v>809</v>
      </c>
      <c r="AX40" s="9">
        <f t="shared" si="170"/>
        <v>855</v>
      </c>
      <c r="AY40" s="9">
        <f t="shared" si="170"/>
        <v>832</v>
      </c>
      <c r="AZ40" s="10">
        <f t="shared" si="170"/>
        <v>3291</v>
      </c>
      <c r="BA40" s="9">
        <f t="shared" si="170"/>
        <v>870</v>
      </c>
      <c r="BB40" s="9">
        <f t="shared" si="170"/>
        <v>939</v>
      </c>
      <c r="BC40" s="9">
        <f t="shared" si="170"/>
        <v>1030</v>
      </c>
      <c r="BD40" s="9">
        <f t="shared" si="170"/>
        <v>940</v>
      </c>
      <c r="BE40" s="10">
        <f t="shared" si="170"/>
        <v>3779</v>
      </c>
      <c r="BF40" s="9">
        <f t="shared" si="170"/>
        <v>1012</v>
      </c>
      <c r="BG40" s="9">
        <f t="shared" si="170"/>
        <v>1151</v>
      </c>
      <c r="BH40" s="9">
        <f t="shared" si="170"/>
        <v>1195</v>
      </c>
      <c r="BI40" s="9">
        <f t="shared" si="170"/>
        <v>1146</v>
      </c>
      <c r="BJ40" s="10">
        <f t="shared" si="170"/>
        <v>4504</v>
      </c>
      <c r="BK40" s="9">
        <f t="shared" si="170"/>
        <v>1203</v>
      </c>
      <c r="BL40" s="9">
        <f t="shared" si="170"/>
        <v>1277</v>
      </c>
      <c r="BM40" s="9">
        <f t="shared" si="170"/>
        <v>1308</v>
      </c>
      <c r="BN40" s="9">
        <f t="shared" si="170"/>
        <v>1194</v>
      </c>
      <c r="BO40" s="10">
        <f t="shared" si="170"/>
        <v>4982</v>
      </c>
      <c r="BP40" s="9">
        <f t="shared" si="170"/>
        <v>1299</v>
      </c>
      <c r="BQ40" s="9">
        <f t="shared" si="170"/>
        <v>1335</v>
      </c>
      <c r="BR40" s="9">
        <f t="shared" si="170"/>
        <v>1442</v>
      </c>
      <c r="BS40" s="9">
        <f t="shared" ref="BS40:CE40" si="171">BS34+BS28</f>
        <v>1365</v>
      </c>
      <c r="BT40" s="10">
        <f t="shared" si="171"/>
        <v>5441</v>
      </c>
      <c r="BU40" s="9">
        <f t="shared" si="171"/>
        <v>1349</v>
      </c>
      <c r="BV40" s="9">
        <f t="shared" si="171"/>
        <v>1493</v>
      </c>
      <c r="BW40" s="9">
        <f t="shared" si="171"/>
        <v>1529</v>
      </c>
      <c r="BX40" s="9">
        <f t="shared" si="171"/>
        <v>1446</v>
      </c>
      <c r="BY40" s="10">
        <f t="shared" si="171"/>
        <v>5817</v>
      </c>
      <c r="BZ40" s="9">
        <f t="shared" si="171"/>
        <v>1523</v>
      </c>
      <c r="CA40" s="9">
        <f t="shared" si="171"/>
        <v>1612</v>
      </c>
      <c r="CB40" s="9">
        <f t="shared" si="171"/>
        <v>1687</v>
      </c>
      <c r="CC40" s="9">
        <f t="shared" si="171"/>
        <v>1594</v>
      </c>
      <c r="CD40" s="10">
        <f t="shared" si="171"/>
        <v>6416</v>
      </c>
      <c r="CE40" s="9">
        <f t="shared" si="171"/>
        <v>1616</v>
      </c>
      <c r="CF40" s="9">
        <f t="shared" ref="CF40:CJ40" si="172">CF34+CF28</f>
        <v>1643</v>
      </c>
      <c r="CG40" s="9">
        <f t="shared" si="172"/>
        <v>1732</v>
      </c>
      <c r="CH40" s="9">
        <f t="shared" si="172"/>
        <v>1641</v>
      </c>
      <c r="CI40" s="10">
        <f t="shared" si="172"/>
        <v>6632</v>
      </c>
      <c r="CJ40" s="9">
        <f t="shared" si="172"/>
        <v>1604</v>
      </c>
      <c r="CK40" s="9">
        <f t="shared" ref="CK40:CN40" si="173">CK34+CK28</f>
        <v>1842</v>
      </c>
      <c r="CL40" s="9">
        <f t="shared" si="173"/>
        <v>1813</v>
      </c>
      <c r="CM40" s="9">
        <f t="shared" si="173"/>
        <v>1756</v>
      </c>
      <c r="CN40" s="10">
        <f t="shared" si="173"/>
        <v>7015</v>
      </c>
      <c r="CO40" s="9">
        <f t="shared" ref="CO40:CR40" si="174">CO34+CO28</f>
        <v>1757.3960329999995</v>
      </c>
      <c r="CP40" s="9">
        <f t="shared" si="174"/>
        <v>1904.16</v>
      </c>
      <c r="CQ40" s="9">
        <f t="shared" si="174"/>
        <v>2036.2794999999999</v>
      </c>
      <c r="CR40" s="9">
        <f t="shared" si="174"/>
        <v>1926.8112000000001</v>
      </c>
      <c r="CS40" s="10">
        <f>CS34+CS28</f>
        <v>7624.6467329999996</v>
      </c>
      <c r="CT40" s="9"/>
      <c r="CU40" s="9"/>
      <c r="CV40" s="9"/>
      <c r="CW40" s="9"/>
      <c r="CX40" s="10">
        <f>CX34+CX28</f>
        <v>8244.8703918315496</v>
      </c>
      <c r="CY40" s="9"/>
      <c r="CZ40" s="9"/>
      <c r="DA40" s="9"/>
      <c r="DB40" s="9"/>
      <c r="DC40" s="10">
        <f>DC34+DC28</f>
        <v>8894.1428644310563</v>
      </c>
      <c r="DD40" s="364"/>
      <c r="DE40" s="456"/>
      <c r="DF40" s="364"/>
      <c r="DG40" s="364"/>
      <c r="DH40" s="364"/>
      <c r="DI40" s="364"/>
      <c r="DJ40" s="620"/>
      <c r="DK40" s="566"/>
      <c r="DM40" s="566"/>
      <c r="DN40" s="566"/>
      <c r="DO40" s="566"/>
      <c r="DP40" s="566"/>
      <c r="DR40" s="456"/>
      <c r="DS40" s="364"/>
      <c r="DZ40" s="9"/>
      <c r="EA40" s="342"/>
    </row>
    <row r="41" spans="1:143" x14ac:dyDescent="0.2">
      <c r="A41" s="11" t="s">
        <v>131</v>
      </c>
      <c r="B41" s="249"/>
      <c r="C41" s="20"/>
      <c r="D41" s="20"/>
      <c r="E41" s="20"/>
      <c r="F41" s="20"/>
      <c r="G41" s="249"/>
      <c r="H41" s="3"/>
      <c r="I41" s="3"/>
      <c r="J41" s="3"/>
      <c r="K41" s="3"/>
      <c r="L41" s="249">
        <f t="shared" ref="L41:AZ41" si="175">L40/G40-1</f>
        <v>2.0627043147450728</v>
      </c>
      <c r="M41" s="3">
        <f t="shared" si="175"/>
        <v>1.088786217697729</v>
      </c>
      <c r="N41" s="3">
        <f t="shared" si="175"/>
        <v>0.90442358223424035</v>
      </c>
      <c r="O41" s="3">
        <f t="shared" si="175"/>
        <v>1.0005447414294015</v>
      </c>
      <c r="P41" s="3">
        <f t="shared" si="175"/>
        <v>0.95962661420289241</v>
      </c>
      <c r="Q41" s="249">
        <f t="shared" si="175"/>
        <v>0.9824071357680999</v>
      </c>
      <c r="R41" s="3">
        <f t="shared" si="175"/>
        <v>0.62803949943390136</v>
      </c>
      <c r="S41" s="3">
        <f t="shared" si="175"/>
        <v>0.63895568072979114</v>
      </c>
      <c r="T41" s="3">
        <f t="shared" si="175"/>
        <v>0.65541779367182795</v>
      </c>
      <c r="U41" s="3">
        <f t="shared" si="175"/>
        <v>0.40418032874429954</v>
      </c>
      <c r="V41" s="249">
        <f t="shared" si="175"/>
        <v>0.57173354156466316</v>
      </c>
      <c r="W41" s="3">
        <f t="shared" si="175"/>
        <v>0.33101367844148655</v>
      </c>
      <c r="X41" s="3">
        <f t="shared" si="175"/>
        <v>0.30656597234992922</v>
      </c>
      <c r="Y41" s="3">
        <f t="shared" si="175"/>
        <v>0.18144500979618106</v>
      </c>
      <c r="Z41" s="3">
        <f t="shared" si="175"/>
        <v>0.25705853717901905</v>
      </c>
      <c r="AA41" s="249">
        <f t="shared" si="175"/>
        <v>0.26455725491335191</v>
      </c>
      <c r="AB41" s="3">
        <f t="shared" si="175"/>
        <v>0.29487237156707735</v>
      </c>
      <c r="AC41" s="3">
        <f t="shared" si="175"/>
        <v>0.34180746783102611</v>
      </c>
      <c r="AD41" s="3">
        <f t="shared" si="175"/>
        <v>0.40128088114722416</v>
      </c>
      <c r="AE41" s="3">
        <f t="shared" si="175"/>
        <v>0.34929931989253826</v>
      </c>
      <c r="AF41" s="249">
        <f t="shared" si="175"/>
        <v>0.34825089190096925</v>
      </c>
      <c r="AG41" s="3">
        <f t="shared" si="175"/>
        <v>0.31045208459149887</v>
      </c>
      <c r="AH41" s="3">
        <f t="shared" si="175"/>
        <v>0.42657342657342667</v>
      </c>
      <c r="AI41" s="3">
        <f t="shared" si="175"/>
        <v>0.38657363964540803</v>
      </c>
      <c r="AJ41" s="3">
        <f t="shared" si="175"/>
        <v>0.41930796964967976</v>
      </c>
      <c r="AK41" s="249">
        <f t="shared" si="175"/>
        <v>0.38849640655907969</v>
      </c>
      <c r="AL41" s="3">
        <f t="shared" si="175"/>
        <v>0.23980424143556278</v>
      </c>
      <c r="AM41" s="3">
        <f t="shared" si="175"/>
        <v>0.19281045751633985</v>
      </c>
      <c r="AN41" s="3">
        <f t="shared" si="175"/>
        <v>0.21815286624203822</v>
      </c>
      <c r="AO41" s="3">
        <f t="shared" si="175"/>
        <v>0.1674565560821486</v>
      </c>
      <c r="AP41" s="249">
        <f t="shared" si="175"/>
        <v>0.20250486587120253</v>
      </c>
      <c r="AQ41" s="3">
        <f t="shared" si="175"/>
        <v>0.34210526315789469</v>
      </c>
      <c r="AR41" s="3">
        <f t="shared" si="175"/>
        <v>0.17671232876712328</v>
      </c>
      <c r="AS41" s="3">
        <f t="shared" si="175"/>
        <v>0.17908496732026147</v>
      </c>
      <c r="AT41" s="3">
        <f t="shared" si="175"/>
        <v>9.7428958051420933E-2</v>
      </c>
      <c r="AU41" s="249">
        <f t="shared" si="175"/>
        <v>0.19211822660098532</v>
      </c>
      <c r="AV41" s="3">
        <f t="shared" si="175"/>
        <v>-2.5735294117647078E-2</v>
      </c>
      <c r="AW41" s="3">
        <f t="shared" si="175"/>
        <v>-5.8207217694994151E-2</v>
      </c>
      <c r="AX41" s="3">
        <f t="shared" si="175"/>
        <v>-5.2106430155210659E-2</v>
      </c>
      <c r="AY41" s="3">
        <f t="shared" si="175"/>
        <v>2.5893958076448786E-2</v>
      </c>
      <c r="AZ41" s="249">
        <f t="shared" si="175"/>
        <v>-2.8630460448642259E-2</v>
      </c>
      <c r="BA41" s="3">
        <f t="shared" ref="BA41:BW41" si="176">BA40/AV40-1</f>
        <v>9.4339622641509413E-2</v>
      </c>
      <c r="BB41" s="3">
        <f t="shared" si="176"/>
        <v>0.16069221260815825</v>
      </c>
      <c r="BC41" s="3">
        <f t="shared" si="176"/>
        <v>0.20467836257309946</v>
      </c>
      <c r="BD41" s="3">
        <f t="shared" si="176"/>
        <v>0.12980769230769229</v>
      </c>
      <c r="BE41" s="249">
        <f t="shared" si="176"/>
        <v>0.14828319659677902</v>
      </c>
      <c r="BF41" s="3">
        <f t="shared" si="176"/>
        <v>0.16321839080459766</v>
      </c>
      <c r="BG41" s="3">
        <f t="shared" si="176"/>
        <v>0.22577209797657072</v>
      </c>
      <c r="BH41" s="3">
        <f t="shared" si="176"/>
        <v>0.16019417475728148</v>
      </c>
      <c r="BI41" s="3">
        <f t="shared" si="176"/>
        <v>0.2191489361702128</v>
      </c>
      <c r="BJ41" s="249">
        <f t="shared" si="176"/>
        <v>0.19184969568668953</v>
      </c>
      <c r="BK41" s="3">
        <f t="shared" si="176"/>
        <v>0.18873517786561256</v>
      </c>
      <c r="BL41" s="3">
        <f t="shared" si="176"/>
        <v>0.10947002606429201</v>
      </c>
      <c r="BM41" s="3">
        <f t="shared" si="176"/>
        <v>9.4560669456067004E-2</v>
      </c>
      <c r="BN41" s="3">
        <f t="shared" si="176"/>
        <v>4.1884816753926746E-2</v>
      </c>
      <c r="BO41" s="249">
        <f t="shared" si="176"/>
        <v>0.10612788632326819</v>
      </c>
      <c r="BP41" s="3">
        <f t="shared" si="176"/>
        <v>7.9800498753117122E-2</v>
      </c>
      <c r="BQ41" s="3">
        <f t="shared" si="176"/>
        <v>4.5418950665622626E-2</v>
      </c>
      <c r="BR41" s="3">
        <f t="shared" si="176"/>
        <v>0.10244648318042815</v>
      </c>
      <c r="BS41" s="3">
        <f t="shared" si="176"/>
        <v>0.14321608040200995</v>
      </c>
      <c r="BT41" s="249">
        <f>BT40/BO40-1</f>
        <v>9.2131674026495469E-2</v>
      </c>
      <c r="BU41" s="3">
        <f t="shared" si="176"/>
        <v>3.8491147036181728E-2</v>
      </c>
      <c r="BV41" s="3">
        <f t="shared" si="176"/>
        <v>0.11835205992509357</v>
      </c>
      <c r="BW41" s="3">
        <f t="shared" si="176"/>
        <v>6.0332871012482636E-2</v>
      </c>
      <c r="BX41" s="3">
        <f>BX40/BS40-1</f>
        <v>5.9340659340659352E-2</v>
      </c>
      <c r="BY41" s="249">
        <f>BY40/BT40-1</f>
        <v>6.9104943944128028E-2</v>
      </c>
      <c r="BZ41" s="3">
        <f>BZ40/BU40-1</f>
        <v>0.128984432913269</v>
      </c>
      <c r="CA41" s="3">
        <f>CA40/BV40-1</f>
        <v>7.9705291359678521E-2</v>
      </c>
      <c r="CB41" s="3">
        <f>CB40/BW40-1</f>
        <v>0.10333551340745584</v>
      </c>
      <c r="CC41" s="3">
        <f t="shared" ref="CC41:CD41" si="177">CC40/BX40-1</f>
        <v>0.10235131396957131</v>
      </c>
      <c r="CD41" s="249">
        <f t="shared" si="177"/>
        <v>0.10297404160220047</v>
      </c>
      <c r="CE41" s="3">
        <f>CE40/BZ40-1</f>
        <v>6.1063690085357836E-2</v>
      </c>
      <c r="CF41" s="3">
        <f>CF40/CA40-1</f>
        <v>1.9230769230769162E-2</v>
      </c>
      <c r="CG41" s="3">
        <f>CG40/CB40-1</f>
        <v>2.6674570243034879E-2</v>
      </c>
      <c r="CH41" s="3">
        <f t="shared" ref="CH41" si="178">CH40/CC40-1</f>
        <v>2.9485570890840584E-2</v>
      </c>
      <c r="CI41" s="249">
        <f t="shared" ref="CI41:CR41" si="179">CI40/CD40-1</f>
        <v>3.366583541147139E-2</v>
      </c>
      <c r="CJ41" s="3">
        <f>CJ40/CE40-1</f>
        <v>-7.4257425742574323E-3</v>
      </c>
      <c r="CK41" s="3">
        <f>CK40/CF40-1</f>
        <v>0.12111990261716366</v>
      </c>
      <c r="CL41" s="3">
        <f>CL40/CG40-1</f>
        <v>4.6766743648960718E-2</v>
      </c>
      <c r="CM41" s="3">
        <f t="shared" ref="CM41" si="180">CM40/CH40-1</f>
        <v>7.0079219987812413E-2</v>
      </c>
      <c r="CN41" s="249">
        <f t="shared" ref="CN41" si="181">CN40/CI40-1</f>
        <v>5.7750301568154416E-2</v>
      </c>
      <c r="CO41" s="3">
        <f t="shared" si="179"/>
        <v>9.5633437032418556E-2</v>
      </c>
      <c r="CP41" s="3">
        <f t="shared" si="179"/>
        <v>3.3745928338762221E-2</v>
      </c>
      <c r="CQ41" s="3">
        <f t="shared" si="179"/>
        <v>0.12315471594043026</v>
      </c>
      <c r="CR41" s="3">
        <f t="shared" si="179"/>
        <v>9.7272892938496724E-2</v>
      </c>
      <c r="CS41" s="249">
        <f>CS40/CN40-1</f>
        <v>8.6906162936564391E-2</v>
      </c>
      <c r="CT41" s="3"/>
      <c r="CU41" s="3"/>
      <c r="CV41" s="3"/>
      <c r="CW41" s="3"/>
      <c r="CX41" s="249">
        <f>CX40/CS40-1</f>
        <v>8.1344576417839765E-2</v>
      </c>
      <c r="CY41" s="3"/>
      <c r="CZ41" s="3"/>
      <c r="DA41" s="3"/>
      <c r="DB41" s="3"/>
      <c r="DC41" s="249">
        <f>DC40/CX40-1</f>
        <v>7.8748657255153676E-2</v>
      </c>
      <c r="DD41" s="25"/>
      <c r="DE41" s="178"/>
      <c r="DF41" s="364"/>
      <c r="DG41" s="364"/>
      <c r="DH41" s="364"/>
      <c r="DI41" s="364"/>
      <c r="DJ41" s="566"/>
      <c r="DK41" s="566"/>
      <c r="DM41" s="566"/>
      <c r="DN41" s="566"/>
      <c r="DO41" s="566"/>
      <c r="DP41" s="566"/>
      <c r="DR41" s="487"/>
      <c r="DS41" s="25"/>
    </row>
    <row r="42" spans="1:143" x14ac:dyDescent="0.2">
      <c r="A42" s="39" t="s">
        <v>233</v>
      </c>
      <c r="B42" s="261"/>
      <c r="C42" s="20"/>
      <c r="D42" s="20"/>
      <c r="E42" s="20"/>
      <c r="F42" s="20"/>
      <c r="G42" s="261"/>
      <c r="H42" s="53">
        <f t="shared" ref="H42:AM42" si="182">H40/H6*100</f>
        <v>8.5606795986335094</v>
      </c>
      <c r="I42" s="53">
        <f t="shared" si="182"/>
        <v>8.1601342293056227</v>
      </c>
      <c r="J42" s="53">
        <f t="shared" si="182"/>
        <v>7.3038948270267454</v>
      </c>
      <c r="K42" s="53">
        <f t="shared" si="182"/>
        <v>6.9716880505567405</v>
      </c>
      <c r="L42" s="261">
        <f t="shared" si="182"/>
        <v>7.6139180332426646</v>
      </c>
      <c r="M42" s="53">
        <f t="shared" si="182"/>
        <v>8.2598301820186162</v>
      </c>
      <c r="N42" s="53">
        <f t="shared" si="182"/>
        <v>7.727446583093224</v>
      </c>
      <c r="O42" s="53">
        <f t="shared" si="182"/>
        <v>7.4199440207538077</v>
      </c>
      <c r="P42" s="53">
        <f t="shared" si="182"/>
        <v>7.5938977274432347</v>
      </c>
      <c r="Q42" s="261">
        <f t="shared" si="182"/>
        <v>7.7086866430305667</v>
      </c>
      <c r="R42" s="53">
        <f t="shared" si="182"/>
        <v>7.4408744680989596</v>
      </c>
      <c r="S42" s="53">
        <f t="shared" si="182"/>
        <v>7.4712866528925241</v>
      </c>
      <c r="T42" s="53">
        <f t="shared" si="182"/>
        <v>7.3842845077562034</v>
      </c>
      <c r="U42" s="53">
        <f t="shared" si="182"/>
        <v>7.0280382224952076</v>
      </c>
      <c r="V42" s="261">
        <f t="shared" si="182"/>
        <v>7.3195636082527438</v>
      </c>
      <c r="W42" s="53">
        <f t="shared" si="182"/>
        <v>6.8508149777647134</v>
      </c>
      <c r="X42" s="53">
        <f t="shared" si="182"/>
        <v>6.8656232451718413</v>
      </c>
      <c r="Y42" s="53">
        <f t="shared" si="182"/>
        <v>6.5427078103998308</v>
      </c>
      <c r="Z42" s="53">
        <f t="shared" si="182"/>
        <v>6.4866231158461236</v>
      </c>
      <c r="AA42" s="261">
        <f t="shared" si="182"/>
        <v>6.6758426065267331</v>
      </c>
      <c r="AB42" s="53">
        <f t="shared" si="182"/>
        <v>7.2402229362272923</v>
      </c>
      <c r="AC42" s="53">
        <f t="shared" si="182"/>
        <v>7.3380999623687186</v>
      </c>
      <c r="AD42" s="53">
        <f t="shared" si="182"/>
        <v>7.1529512171932996</v>
      </c>
      <c r="AE42" s="53">
        <f t="shared" si="182"/>
        <v>7.0164475718014927</v>
      </c>
      <c r="AF42" s="261">
        <f t="shared" si="182"/>
        <v>7.1810414285999959</v>
      </c>
      <c r="AG42" s="53">
        <f t="shared" si="182"/>
        <v>7.4562870609700473</v>
      </c>
      <c r="AH42" s="53">
        <f t="shared" si="182"/>
        <v>8.4976395445709514</v>
      </c>
      <c r="AI42" s="53">
        <f t="shared" si="182"/>
        <v>8.3322276767944814</v>
      </c>
      <c r="AJ42" s="53">
        <f t="shared" si="182"/>
        <v>8.6974443528441885</v>
      </c>
      <c r="AK42" s="261">
        <f t="shared" si="182"/>
        <v>8.2653703574176411</v>
      </c>
      <c r="AL42" s="53">
        <f t="shared" si="182"/>
        <v>8.2496607869742196</v>
      </c>
      <c r="AM42" s="53">
        <f t="shared" si="182"/>
        <v>9.0503347384081341</v>
      </c>
      <c r="AN42" s="53">
        <f t="shared" ref="AN42:BS42" si="183">AN40/AN6*100</f>
        <v>9.1561938958707358</v>
      </c>
      <c r="AO42" s="53">
        <f t="shared" si="183"/>
        <v>9.1088376679403424</v>
      </c>
      <c r="AP42" s="261">
        <f t="shared" si="183"/>
        <v>8.9079739217652953</v>
      </c>
      <c r="AQ42" s="53">
        <f t="shared" si="183"/>
        <v>9.7200714711137586</v>
      </c>
      <c r="AR42" s="53">
        <f t="shared" si="183"/>
        <v>10.246928307288561</v>
      </c>
      <c r="AS42" s="53">
        <f t="shared" si="183"/>
        <v>11.06205543291636</v>
      </c>
      <c r="AT42" s="53">
        <f t="shared" si="183"/>
        <v>10.798934753661785</v>
      </c>
      <c r="AU42" s="261">
        <f t="shared" si="183"/>
        <v>10.443252573824054</v>
      </c>
      <c r="AV42" s="53">
        <f t="shared" si="183"/>
        <v>10.009568896051572</v>
      </c>
      <c r="AW42" s="53">
        <f t="shared" si="183"/>
        <v>9.8215369673424782</v>
      </c>
      <c r="AX42" s="53">
        <f t="shared" si="183"/>
        <v>10.1894887379335</v>
      </c>
      <c r="AY42" s="53">
        <f t="shared" si="183"/>
        <v>10.41562343515273</v>
      </c>
      <c r="AZ42" s="261">
        <f t="shared" si="183"/>
        <v>10.107990564646911</v>
      </c>
      <c r="BA42" s="53">
        <f t="shared" si="183"/>
        <v>10.328101220140509</v>
      </c>
      <c r="BB42" s="53">
        <f t="shared" si="183"/>
        <v>10.80772742151793</v>
      </c>
      <c r="BC42" s="53">
        <f t="shared" si="183"/>
        <v>11.316194243023512</v>
      </c>
      <c r="BD42" s="53">
        <f t="shared" si="183"/>
        <v>11.019684203986078</v>
      </c>
      <c r="BE42" s="261">
        <f t="shared" si="183"/>
        <v>10.876686238945508</v>
      </c>
      <c r="BF42" s="53">
        <f t="shared" si="183"/>
        <v>11.890758706778943</v>
      </c>
      <c r="BG42" s="53">
        <f t="shared" si="183"/>
        <v>12.191505137167672</v>
      </c>
      <c r="BH42" s="53">
        <f t="shared" si="183"/>
        <v>12.125824454591577</v>
      </c>
      <c r="BI42" s="53">
        <f t="shared" si="183"/>
        <v>12.159151193633951</v>
      </c>
      <c r="BJ42" s="261">
        <f t="shared" si="183"/>
        <v>12.097182165004007</v>
      </c>
      <c r="BK42" s="53">
        <f t="shared" si="183"/>
        <v>12.615352348993289</v>
      </c>
      <c r="BL42" s="53">
        <f t="shared" si="183"/>
        <v>12.81999799216946</v>
      </c>
      <c r="BM42" s="53">
        <f t="shared" si="183"/>
        <v>12.219730941704036</v>
      </c>
      <c r="BN42" s="53">
        <f t="shared" si="183"/>
        <v>12.092363783674296</v>
      </c>
      <c r="BO42" s="261">
        <f t="shared" si="183"/>
        <v>12.431690580162195</v>
      </c>
      <c r="BP42" s="53">
        <f t="shared" si="183"/>
        <v>12.810650887573965</v>
      </c>
      <c r="BQ42" s="53">
        <f t="shared" si="183"/>
        <v>12.429010334233311</v>
      </c>
      <c r="BR42" s="53">
        <f t="shared" si="183"/>
        <v>12.815499466761466</v>
      </c>
      <c r="BS42" s="53">
        <f t="shared" si="183"/>
        <v>12.76774857356655</v>
      </c>
      <c r="BT42" s="261">
        <f t="shared" ref="BT42:CF42" si="184">BT40/BT6*100</f>
        <v>12.70549224733794</v>
      </c>
      <c r="BU42" s="53">
        <f t="shared" si="184"/>
        <v>12.947499760053748</v>
      </c>
      <c r="BV42" s="53">
        <f t="shared" si="184"/>
        <v>13.112594414192868</v>
      </c>
      <c r="BW42" s="53">
        <f t="shared" si="184"/>
        <v>13.010551395507147</v>
      </c>
      <c r="BX42" s="53">
        <f t="shared" si="184"/>
        <v>12.644281217208814</v>
      </c>
      <c r="BY42" s="261">
        <f t="shared" si="184"/>
        <v>12.928677794323562</v>
      </c>
      <c r="BZ42" s="53">
        <f t="shared" si="184"/>
        <v>13.337420089324809</v>
      </c>
      <c r="CA42" s="53">
        <f t="shared" si="184"/>
        <v>13.173163357031953</v>
      </c>
      <c r="CB42" s="53">
        <f t="shared" si="184"/>
        <v>13.000924784217016</v>
      </c>
      <c r="CC42" s="53">
        <f t="shared" si="184"/>
        <v>12.624742594645969</v>
      </c>
      <c r="CD42" s="261">
        <f t="shared" si="184"/>
        <v>13.025295383491006</v>
      </c>
      <c r="CE42" s="53">
        <f t="shared" si="184"/>
        <v>12.403100775193799</v>
      </c>
      <c r="CF42" s="53">
        <f t="shared" si="184"/>
        <v>12.08354784143561</v>
      </c>
      <c r="CG42" s="53">
        <f t="shared" ref="CG42:CL42" si="185">CG40/CG6*100</f>
        <v>12.554363583647435</v>
      </c>
      <c r="CH42" s="53">
        <f t="shared" si="185"/>
        <v>12.433702076072132</v>
      </c>
      <c r="CI42" s="261">
        <f t="shared" si="185"/>
        <v>12.36851920925028</v>
      </c>
      <c r="CJ42" s="53">
        <f t="shared" si="185"/>
        <v>11.811487481590573</v>
      </c>
      <c r="CK42" s="53">
        <f t="shared" si="185"/>
        <v>12.929945247788854</v>
      </c>
      <c r="CL42" s="53">
        <f t="shared" si="185"/>
        <v>12.673004333845938</v>
      </c>
      <c r="CM42" s="53">
        <f t="shared" ref="CM42:CN42" si="186">CM40/CM6*100</f>
        <v>12.65494378783511</v>
      </c>
      <c r="CN42" s="261">
        <f t="shared" si="186"/>
        <v>12.524996429081558</v>
      </c>
      <c r="CO42" s="53">
        <f t="shared" ref="CO42:CR42" si="187">CO40/CO6*100</f>
        <v>12.52764823419213</v>
      </c>
      <c r="CP42" s="53">
        <f t="shared" si="187"/>
        <v>12.49184883508865</v>
      </c>
      <c r="CQ42" s="53">
        <f t="shared" si="187"/>
        <v>12.939767802447797</v>
      </c>
      <c r="CR42" s="53">
        <f t="shared" si="187"/>
        <v>12.857339611159155</v>
      </c>
      <c r="CS42" s="261">
        <f>CS40/CS6*100</f>
        <v>12.709006983026979</v>
      </c>
      <c r="CT42" s="53"/>
      <c r="CU42" s="53"/>
      <c r="CV42" s="53"/>
      <c r="CW42" s="53"/>
      <c r="CX42" s="261">
        <f>CX40/CX6*100</f>
        <v>12.843753058647359</v>
      </c>
      <c r="CY42" s="53"/>
      <c r="CZ42" s="53"/>
      <c r="DA42" s="53"/>
      <c r="DB42" s="53"/>
      <c r="DC42" s="261">
        <f>DC40/DC6*100</f>
        <v>12.948767631899635</v>
      </c>
      <c r="DD42" s="25"/>
      <c r="DE42" s="178"/>
      <c r="DF42" s="364"/>
      <c r="DG42" s="364"/>
      <c r="DH42" s="364"/>
      <c r="DI42" s="364"/>
      <c r="DJ42" s="620"/>
      <c r="DM42" s="566"/>
      <c r="DN42" s="566"/>
      <c r="DO42" s="566"/>
      <c r="DP42" s="566"/>
      <c r="DQ42" s="586"/>
      <c r="DR42" s="487"/>
      <c r="DS42" s="25"/>
    </row>
    <row r="43" spans="1:143" x14ac:dyDescent="0.2">
      <c r="A43" s="12" t="s">
        <v>131</v>
      </c>
      <c r="B43" s="258"/>
      <c r="C43" s="47"/>
      <c r="D43" s="47"/>
      <c r="E43" s="47"/>
      <c r="F43" s="47"/>
      <c r="G43" s="258"/>
      <c r="H43" s="48"/>
      <c r="I43" s="48"/>
      <c r="J43" s="48"/>
      <c r="K43" s="48"/>
      <c r="L43" s="258"/>
      <c r="M43" s="48">
        <f t="shared" ref="M43:AZ43" si="188">M42/H42-1</f>
        <v>-3.5143169785599282E-2</v>
      </c>
      <c r="N43" s="48">
        <f t="shared" si="188"/>
        <v>-5.302457460301091E-2</v>
      </c>
      <c r="O43" s="48">
        <f t="shared" si="188"/>
        <v>1.588867261582716E-2</v>
      </c>
      <c r="P43" s="48">
        <f t="shared" si="188"/>
        <v>8.9248066232224144E-2</v>
      </c>
      <c r="Q43" s="258">
        <f t="shared" si="188"/>
        <v>1.2446759917054351E-2</v>
      </c>
      <c r="R43" s="48">
        <f t="shared" si="188"/>
        <v>-9.9149219278441891E-2</v>
      </c>
      <c r="S43" s="48">
        <f t="shared" si="188"/>
        <v>-3.3149362787074921E-2</v>
      </c>
      <c r="T43" s="48">
        <f t="shared" si="188"/>
        <v>-4.8059005428967572E-3</v>
      </c>
      <c r="U43" s="48">
        <f t="shared" si="188"/>
        <v>-7.4515028415920503E-2</v>
      </c>
      <c r="V43" s="258">
        <f t="shared" si="188"/>
        <v>-5.0478512462253211E-2</v>
      </c>
      <c r="W43" s="48">
        <f t="shared" si="188"/>
        <v>-7.9299750703225924E-2</v>
      </c>
      <c r="X43" s="48">
        <f t="shared" si="188"/>
        <v>-8.1065475848955515E-2</v>
      </c>
      <c r="Y43" s="48">
        <f t="shared" si="188"/>
        <v>-0.11396861760572863</v>
      </c>
      <c r="Z43" s="48">
        <f t="shared" si="188"/>
        <v>-7.7036448793937007E-2</v>
      </c>
      <c r="AA43" s="258">
        <f t="shared" si="188"/>
        <v>-8.7945270535011222E-2</v>
      </c>
      <c r="AB43" s="48">
        <f t="shared" si="188"/>
        <v>5.6841114484401878E-2</v>
      </c>
      <c r="AC43" s="48">
        <f t="shared" si="188"/>
        <v>6.8817746084325337E-2</v>
      </c>
      <c r="AD43" s="48">
        <f t="shared" si="188"/>
        <v>9.3270771747359538E-2</v>
      </c>
      <c r="AE43" s="48">
        <f t="shared" si="188"/>
        <v>8.1679549820162123E-2</v>
      </c>
      <c r="AF43" s="258">
        <f t="shared" si="188"/>
        <v>7.5675664009715815E-2</v>
      </c>
      <c r="AG43" s="48">
        <f t="shared" si="188"/>
        <v>2.9842192242679921E-2</v>
      </c>
      <c r="AH43" s="48">
        <f t="shared" si="188"/>
        <v>0.15801632413684596</v>
      </c>
      <c r="AI43" s="48">
        <f t="shared" si="188"/>
        <v>0.16486572098612884</v>
      </c>
      <c r="AJ43" s="48">
        <f t="shared" si="188"/>
        <v>0.23957946864713686</v>
      </c>
      <c r="AK43" s="258">
        <f t="shared" si="188"/>
        <v>0.15099884043268141</v>
      </c>
      <c r="AL43" s="48">
        <f t="shared" si="188"/>
        <v>0.10640332373428718</v>
      </c>
      <c r="AM43" s="48">
        <f t="shared" si="188"/>
        <v>6.5041025915284045E-2</v>
      </c>
      <c r="AN43" s="48">
        <f t="shared" si="188"/>
        <v>9.8889066770345924E-2</v>
      </c>
      <c r="AO43" s="48">
        <f t="shared" si="188"/>
        <v>4.7300482579301972E-2</v>
      </c>
      <c r="AP43" s="258">
        <f t="shared" si="188"/>
        <v>7.774649369110942E-2</v>
      </c>
      <c r="AQ43" s="48">
        <f t="shared" si="188"/>
        <v>0.17823892667941443</v>
      </c>
      <c r="AR43" s="48">
        <f t="shared" si="188"/>
        <v>0.13221539351492506</v>
      </c>
      <c r="AS43" s="48">
        <f t="shared" si="188"/>
        <v>0.20814997571262994</v>
      </c>
      <c r="AT43" s="48">
        <f t="shared" si="188"/>
        <v>0.18554475854476404</v>
      </c>
      <c r="AU43" s="258">
        <f t="shared" si="188"/>
        <v>0.17234880406503406</v>
      </c>
      <c r="AV43" s="48">
        <f t="shared" si="188"/>
        <v>2.9783466695501692E-2</v>
      </c>
      <c r="AW43" s="48">
        <f t="shared" si="188"/>
        <v>-4.1514034956554258E-2</v>
      </c>
      <c r="AX43" s="48">
        <f t="shared" si="188"/>
        <v>-7.8879255331377407E-2</v>
      </c>
      <c r="AY43" s="48">
        <f t="shared" si="188"/>
        <v>-3.5495289790419271E-2</v>
      </c>
      <c r="AZ43" s="258">
        <f t="shared" si="188"/>
        <v>-3.2103217537558626E-2</v>
      </c>
      <c r="BA43" s="48">
        <f t="shared" ref="BA43:BW43" si="189">BA42/AV42-1</f>
        <v>3.1822781520049803E-2</v>
      </c>
      <c r="BB43" s="48">
        <f t="shared" si="189"/>
        <v>0.10041101076691228</v>
      </c>
      <c r="BC43" s="48">
        <f t="shared" si="189"/>
        <v>0.11057527360479869</v>
      </c>
      <c r="BD43" s="48">
        <f t="shared" si="189"/>
        <v>5.7995642084624821E-2</v>
      </c>
      <c r="BE43" s="258">
        <f t="shared" si="189"/>
        <v>7.6048317356680162E-2</v>
      </c>
      <c r="BF43" s="48">
        <f t="shared" si="189"/>
        <v>0.15130152709881894</v>
      </c>
      <c r="BG43" s="48">
        <f t="shared" si="189"/>
        <v>0.12803595628204634</v>
      </c>
      <c r="BH43" s="48">
        <f t="shared" si="189"/>
        <v>7.1546157142645894E-2</v>
      </c>
      <c r="BI43" s="48">
        <f t="shared" si="189"/>
        <v>0.10340287149387661</v>
      </c>
      <c r="BJ43" s="258">
        <f t="shared" si="189"/>
        <v>0.11221211123001251</v>
      </c>
      <c r="BK43" s="48">
        <f t="shared" si="189"/>
        <v>6.0937544868457705E-2</v>
      </c>
      <c r="BL43" s="48">
        <f t="shared" si="189"/>
        <v>5.1551703249972824E-2</v>
      </c>
      <c r="BM43" s="48">
        <f t="shared" si="189"/>
        <v>7.7443383304878211E-3</v>
      </c>
      <c r="BN43" s="48">
        <f t="shared" si="189"/>
        <v>-5.4927691000851153E-3</v>
      </c>
      <c r="BO43" s="258">
        <f t="shared" si="189"/>
        <v>2.7651763079660663E-2</v>
      </c>
      <c r="BP43" s="48">
        <f t="shared" si="189"/>
        <v>1.548102131259621E-2</v>
      </c>
      <c r="BQ43" s="48">
        <f t="shared" si="189"/>
        <v>-3.049826202585737E-2</v>
      </c>
      <c r="BR43" s="48">
        <f t="shared" si="189"/>
        <v>4.8754635261580415E-2</v>
      </c>
      <c r="BS43" s="48">
        <f t="shared" si="189"/>
        <v>5.5852172658259036E-2</v>
      </c>
      <c r="BT43" s="258">
        <f>BT42/BO42-1</f>
        <v>2.2024491794596424E-2</v>
      </c>
      <c r="BU43" s="48">
        <f t="shared" si="189"/>
        <v>1.0682429306736019E-2</v>
      </c>
      <c r="BV43" s="48">
        <f t="shared" si="189"/>
        <v>5.4999075676746001E-2</v>
      </c>
      <c r="BW43" s="48">
        <f t="shared" si="189"/>
        <v>1.5220002096022256E-2</v>
      </c>
      <c r="BX43" s="48">
        <f>BX42/BS42-1</f>
        <v>-9.6702527972202246E-3</v>
      </c>
      <c r="BY43" s="258">
        <f>BY42/BT42-1</f>
        <v>1.756606848761666E-2</v>
      </c>
      <c r="BZ43" s="48">
        <f>BZ42/BU42-1</f>
        <v>3.0115492295590629E-2</v>
      </c>
      <c r="CA43" s="48">
        <f>CA42/BV42-1</f>
        <v>4.6191425530195396E-3</v>
      </c>
      <c r="CB43" s="48">
        <f>CB42/BW42-1</f>
        <v>-7.3990801753831548E-4</v>
      </c>
      <c r="CC43" s="48">
        <f t="shared" ref="CC43:CD43" si="190">CC42/BX42-1</f>
        <v>-1.5452537180407067E-3</v>
      </c>
      <c r="CD43" s="258">
        <f t="shared" si="190"/>
        <v>7.4731222097486061E-3</v>
      </c>
      <c r="CE43" s="48">
        <f>CE42/BZ42-1</f>
        <v>-7.0052477006316449E-2</v>
      </c>
      <c r="CF43" s="48">
        <f>CF42/CA42-1</f>
        <v>-8.2714795684568521E-2</v>
      </c>
      <c r="CG43" s="48">
        <f>CG42/CB42-1</f>
        <v>-3.4348418130354941E-2</v>
      </c>
      <c r="CH43" s="48">
        <f t="shared" ref="CH43" si="191">CH42/CC42-1</f>
        <v>-1.5132230787410772E-2</v>
      </c>
      <c r="CI43" s="258">
        <f t="shared" ref="CI43:CR43" si="192">CI42/CD42-1</f>
        <v>-5.042313090827566E-2</v>
      </c>
      <c r="CJ43" s="48">
        <f>CJ42/CE42-1</f>
        <v>-4.7698821796760105E-2</v>
      </c>
      <c r="CK43" s="48">
        <f>CK42/CF42-1</f>
        <v>7.0045438430828222E-2</v>
      </c>
      <c r="CL43" s="48">
        <f>CL42/CG42-1</f>
        <v>9.4501604488368418E-3</v>
      </c>
      <c r="CM43" s="48">
        <f t="shared" ref="CM43" si="193">CM42/CH42-1</f>
        <v>1.7793711833319792E-2</v>
      </c>
      <c r="CN43" s="258">
        <f t="shared" ref="CN43" si="194">CN42/CI42-1</f>
        <v>1.265124928732364E-2</v>
      </c>
      <c r="CO43" s="48">
        <f t="shared" si="192"/>
        <v>6.0632562470879892E-2</v>
      </c>
      <c r="CP43" s="48">
        <f t="shared" si="192"/>
        <v>-3.3882309963773727E-2</v>
      </c>
      <c r="CQ43" s="48">
        <f t="shared" si="192"/>
        <v>2.104974176402763E-2</v>
      </c>
      <c r="CR43" s="48">
        <f t="shared" si="192"/>
        <v>1.5993419387496877E-2</v>
      </c>
      <c r="CS43" s="258">
        <f>CS42/CN42-1</f>
        <v>1.4691465581432972E-2</v>
      </c>
      <c r="CT43" s="48"/>
      <c r="CU43" s="48"/>
      <c r="CV43" s="48"/>
      <c r="CW43" s="48"/>
      <c r="CX43" s="258">
        <f>CX42/CS42-1</f>
        <v>1.060240786713984E-2</v>
      </c>
      <c r="CY43" s="48"/>
      <c r="CZ43" s="48"/>
      <c r="DA43" s="48"/>
      <c r="DB43" s="48"/>
      <c r="DC43" s="258">
        <f>DC42/CX42-1</f>
        <v>8.1763151917322308E-3</v>
      </c>
      <c r="DD43" s="25"/>
      <c r="DE43" s="178"/>
      <c r="DJ43" s="620" t="s">
        <v>507</v>
      </c>
      <c r="DK43" s="566"/>
      <c r="DM43" s="566"/>
      <c r="DN43" s="802"/>
      <c r="DO43" s="815"/>
      <c r="DP43" s="566"/>
      <c r="DQ43" s="589"/>
      <c r="DR43" s="487"/>
      <c r="DS43" s="520"/>
    </row>
    <row r="44" spans="1:143" s="7" customFormat="1" x14ac:dyDescent="0.2">
      <c r="A44" s="7" t="s">
        <v>126</v>
      </c>
      <c r="B44" s="260"/>
      <c r="G44" s="260"/>
      <c r="L44" s="260"/>
      <c r="Q44" s="260"/>
      <c r="V44" s="260"/>
      <c r="AA44" s="260"/>
      <c r="AF44" s="260"/>
      <c r="AK44" s="260"/>
      <c r="AP44" s="260"/>
      <c r="AU44" s="260"/>
      <c r="AZ44" s="260"/>
      <c r="BE44" s="260"/>
      <c r="BJ44" s="260"/>
      <c r="BO44" s="706"/>
      <c r="BT44" s="706"/>
      <c r="BY44" s="706"/>
      <c r="CD44" s="706"/>
      <c r="CI44" s="706"/>
      <c r="CN44" s="706"/>
      <c r="CO44" s="816"/>
      <c r="CP44" s="746"/>
      <c r="CQ44" s="746"/>
      <c r="CR44" s="746"/>
      <c r="CS44" s="706"/>
      <c r="CX44" s="706"/>
      <c r="DC44" s="706"/>
      <c r="DD44" s="363"/>
      <c r="DE44" s="6"/>
      <c r="DF44" s="363"/>
      <c r="DG44" s="363"/>
      <c r="DH44" s="363"/>
      <c r="DI44" s="363"/>
      <c r="DJ44" s="430"/>
      <c r="DK44" s="581"/>
      <c r="DL44" s="394"/>
      <c r="DM44" s="802"/>
      <c r="DN44" s="802"/>
      <c r="DO44" s="802"/>
      <c r="DP44" s="566"/>
      <c r="DQ44" s="585"/>
      <c r="DR44" s="6"/>
      <c r="DS44" s="363"/>
      <c r="DT44"/>
      <c r="DU44"/>
      <c r="DV44"/>
      <c r="DW44"/>
      <c r="DX44"/>
      <c r="DY44"/>
    </row>
    <row r="45" spans="1:143" x14ac:dyDescent="0.2">
      <c r="A45" s="8" t="s">
        <v>250</v>
      </c>
      <c r="B45" s="846">
        <v>6</v>
      </c>
      <c r="C45" s="9"/>
      <c r="D45" s="9"/>
      <c r="E45" s="9"/>
      <c r="F45" s="9"/>
      <c r="G45" s="846">
        <v>32.911999999999999</v>
      </c>
      <c r="H45" s="824">
        <v>15.917</v>
      </c>
      <c r="I45" s="824">
        <v>18.863</v>
      </c>
      <c r="J45" s="824">
        <v>21.599</v>
      </c>
      <c r="K45" s="824">
        <v>28.382999999999999</v>
      </c>
      <c r="L45" s="10">
        <f>SUM(H45:K45)</f>
        <v>84.762</v>
      </c>
      <c r="M45" s="824">
        <v>33.561</v>
      </c>
      <c r="N45" s="824">
        <v>37.622</v>
      </c>
      <c r="O45" s="824">
        <v>41.747</v>
      </c>
      <c r="P45" s="824">
        <v>49.261000000000003</v>
      </c>
      <c r="Q45" s="10">
        <f>SUM(M45:P45)</f>
        <v>162.191</v>
      </c>
      <c r="R45" s="824">
        <v>56.901000000000003</v>
      </c>
      <c r="S45" s="824">
        <f>67.827-3.4</f>
        <v>64.426999999999992</v>
      </c>
      <c r="T45" s="824">
        <v>69.875</v>
      </c>
      <c r="U45" s="824">
        <v>72.730999999999995</v>
      </c>
      <c r="V45" s="10">
        <f>SUM(R45:U45)</f>
        <v>263.93399999999997</v>
      </c>
      <c r="W45" s="824">
        <v>77.584000000000003</v>
      </c>
      <c r="X45" s="824">
        <v>83.902000000000001</v>
      </c>
      <c r="Y45" s="824">
        <v>86.254999999999995</v>
      </c>
      <c r="Z45" s="824">
        <v>89.376999999999995</v>
      </c>
      <c r="AA45" s="10">
        <f>SUM(W45:Z45)</f>
        <v>337.11799999999999</v>
      </c>
      <c r="AB45" s="824">
        <v>98.456000000000003</v>
      </c>
      <c r="AC45" s="824">
        <v>105.429</v>
      </c>
      <c r="AD45" s="824">
        <v>107.75700000000001</v>
      </c>
      <c r="AE45" s="824">
        <f>115.781-6.9</f>
        <v>108.881</v>
      </c>
      <c r="AF45" s="10">
        <f>SUM(AB45:AE45)</f>
        <v>420.52300000000002</v>
      </c>
      <c r="AG45" s="824">
        <v>132</v>
      </c>
      <c r="AH45" s="824">
        <v>134</v>
      </c>
      <c r="AI45" s="824">
        <v>140</v>
      </c>
      <c r="AJ45" s="824">
        <v>147</v>
      </c>
      <c r="AK45" s="10">
        <f>SUM(AG45:AJ45)</f>
        <v>553</v>
      </c>
      <c r="AL45" s="824">
        <v>164</v>
      </c>
      <c r="AM45" s="824">
        <v>158</v>
      </c>
      <c r="AN45" s="824">
        <v>159</v>
      </c>
      <c r="AO45" s="824">
        <v>167</v>
      </c>
      <c r="AP45" s="10">
        <f>SUM(AL45:AO45)</f>
        <v>648</v>
      </c>
      <c r="AQ45" s="824">
        <v>178</v>
      </c>
      <c r="AR45" s="824">
        <v>168</v>
      </c>
      <c r="AS45" s="824">
        <v>173</v>
      </c>
      <c r="AT45" s="824">
        <v>175</v>
      </c>
      <c r="AU45" s="10">
        <f>SUM(AQ45:AT45)</f>
        <v>694</v>
      </c>
      <c r="AV45" s="824">
        <v>185</v>
      </c>
      <c r="AW45" s="824">
        <v>192</v>
      </c>
      <c r="AX45" s="824">
        <v>199</v>
      </c>
      <c r="AY45" s="824">
        <v>200</v>
      </c>
      <c r="AZ45" s="10">
        <f>SUM(AV45:AY45)</f>
        <v>776</v>
      </c>
      <c r="BA45" s="824">
        <v>219</v>
      </c>
      <c r="BB45" s="824">
        <v>218</v>
      </c>
      <c r="BC45" s="824">
        <v>227</v>
      </c>
      <c r="BD45" s="824">
        <v>227</v>
      </c>
      <c r="BE45" s="10">
        <f>SUM(BA45:BD45)</f>
        <v>891</v>
      </c>
      <c r="BF45" s="824">
        <v>235</v>
      </c>
      <c r="BG45" s="824">
        <v>235</v>
      </c>
      <c r="BH45" s="824">
        <v>236</v>
      </c>
      <c r="BI45" s="824">
        <v>241</v>
      </c>
      <c r="BJ45" s="10">
        <f>SUM(BF45:BI45)</f>
        <v>947</v>
      </c>
      <c r="BK45" s="824">
        <v>255</v>
      </c>
      <c r="BL45" s="824">
        <v>265</v>
      </c>
      <c r="BM45" s="824">
        <v>262</v>
      </c>
      <c r="BN45" s="824">
        <v>262</v>
      </c>
      <c r="BO45" s="10">
        <f>SUM(BK45:BN45)</f>
        <v>1044</v>
      </c>
      <c r="BP45" s="824">
        <v>280</v>
      </c>
      <c r="BQ45" s="824">
        <v>279</v>
      </c>
      <c r="BR45" s="824">
        <v>283</v>
      </c>
      <c r="BS45" s="824">
        <v>293</v>
      </c>
      <c r="BT45" s="10">
        <f>SUM(BP45:BS45)</f>
        <v>1135</v>
      </c>
      <c r="BU45" s="824">
        <v>329</v>
      </c>
      <c r="BV45" s="824">
        <v>316</v>
      </c>
      <c r="BW45" s="824">
        <v>318</v>
      </c>
      <c r="BX45" s="824">
        <v>331</v>
      </c>
      <c r="BY45" s="10">
        <f>SUM(BU45:BX45)</f>
        <v>1294</v>
      </c>
      <c r="BZ45" s="824">
        <v>375</v>
      </c>
      <c r="CA45" s="824">
        <v>375</v>
      </c>
      <c r="CB45" s="824">
        <v>389</v>
      </c>
      <c r="CC45" s="824">
        <v>401</v>
      </c>
      <c r="CD45" s="10">
        <f>SUM(BZ45:CC45)</f>
        <v>1540</v>
      </c>
      <c r="CE45" s="824">
        <v>435</v>
      </c>
      <c r="CF45" s="824">
        <v>415</v>
      </c>
      <c r="CG45" s="824">
        <v>421</v>
      </c>
      <c r="CH45" s="824">
        <v>427</v>
      </c>
      <c r="CI45" s="10">
        <f>SUM(CE45:CH45)</f>
        <v>1698</v>
      </c>
      <c r="CJ45" s="824">
        <v>466</v>
      </c>
      <c r="CK45" s="824">
        <v>464</v>
      </c>
      <c r="CL45" s="824">
        <v>466</v>
      </c>
      <c r="CM45" s="824">
        <v>490</v>
      </c>
      <c r="CN45" s="10">
        <f>SUM(CJ45:CM45)</f>
        <v>1886</v>
      </c>
      <c r="CO45" s="9">
        <f t="shared" ref="CO45" si="195">CO47+CO49</f>
        <v>499.39890396212712</v>
      </c>
      <c r="CP45" s="9">
        <f t="shared" ref="CP45:CR45" si="196">CP47+CP49</f>
        <v>502.21728768898487</v>
      </c>
      <c r="CQ45" s="9">
        <f t="shared" si="196"/>
        <v>505.98465714285709</v>
      </c>
      <c r="CR45" s="9">
        <f t="shared" si="196"/>
        <v>511.20338983050846</v>
      </c>
      <c r="CS45" s="10">
        <f>SUM(CO45:CR45)</f>
        <v>2018.8042386244776</v>
      </c>
      <c r="CT45" s="9"/>
      <c r="CU45" s="9"/>
      <c r="CV45" s="9"/>
      <c r="CW45" s="9"/>
      <c r="CX45" s="10">
        <f>CX47+CX49</f>
        <v>2319.3726144401944</v>
      </c>
      <c r="CY45" s="9"/>
      <c r="CZ45" s="9"/>
      <c r="DA45" s="9"/>
      <c r="DB45" s="9"/>
      <c r="DC45" s="10">
        <f>DC47+DC49</f>
        <v>2572.4293503851677</v>
      </c>
      <c r="DD45" s="364"/>
      <c r="DE45" s="456"/>
      <c r="DF45" s="364"/>
      <c r="DG45" s="364"/>
      <c r="DH45" s="364"/>
      <c r="DI45" s="364"/>
      <c r="DJ45" s="430"/>
      <c r="DK45" s="581"/>
      <c r="DL45" s="728"/>
      <c r="DM45" s="728"/>
      <c r="DN45" s="589"/>
      <c r="DO45" s="589"/>
      <c r="DP45" s="589"/>
      <c r="DQ45" s="585"/>
      <c r="DR45" s="456"/>
      <c r="DS45" s="364"/>
      <c r="DZ45" s="9"/>
      <c r="EA45" s="342"/>
    </row>
    <row r="46" spans="1:143" x14ac:dyDescent="0.2">
      <c r="A46" s="11" t="s">
        <v>131</v>
      </c>
      <c r="B46" s="249"/>
      <c r="C46" s="20"/>
      <c r="D46" s="20"/>
      <c r="E46" s="20"/>
      <c r="F46" s="20"/>
      <c r="G46" s="249"/>
      <c r="H46" s="3"/>
      <c r="I46" s="3"/>
      <c r="J46" s="3"/>
      <c r="K46" s="3"/>
      <c r="L46" s="249">
        <f t="shared" ref="L46:AQ46" si="197">L45/G45-1</f>
        <v>1.575413223140496</v>
      </c>
      <c r="M46" s="3">
        <f t="shared" si="197"/>
        <v>1.1085003455425015</v>
      </c>
      <c r="N46" s="3">
        <f t="shared" si="197"/>
        <v>0.99448656099241917</v>
      </c>
      <c r="O46" s="3">
        <f t="shared" si="197"/>
        <v>0.93282096393351543</v>
      </c>
      <c r="P46" s="3">
        <f t="shared" si="197"/>
        <v>0.73558115773526422</v>
      </c>
      <c r="Q46" s="249">
        <f t="shared" si="197"/>
        <v>0.9134871758571057</v>
      </c>
      <c r="R46" s="3">
        <f t="shared" si="197"/>
        <v>0.69545007598104958</v>
      </c>
      <c r="S46" s="3">
        <f t="shared" si="197"/>
        <v>0.71248205837010237</v>
      </c>
      <c r="T46" s="3">
        <f t="shared" si="197"/>
        <v>0.67377296572208789</v>
      </c>
      <c r="U46" s="3">
        <f t="shared" si="197"/>
        <v>0.47644180995107677</v>
      </c>
      <c r="V46" s="249">
        <f t="shared" si="197"/>
        <v>0.62730361117447919</v>
      </c>
      <c r="W46" s="3">
        <f t="shared" si="197"/>
        <v>0.36349097555403231</v>
      </c>
      <c r="X46" s="3">
        <f t="shared" si="197"/>
        <v>0.30228009995809235</v>
      </c>
      <c r="Y46" s="3">
        <f t="shared" si="197"/>
        <v>0.23441860465116271</v>
      </c>
      <c r="Z46" s="3">
        <f t="shared" si="197"/>
        <v>0.2288707703730184</v>
      </c>
      <c r="AA46" s="249">
        <f t="shared" si="197"/>
        <v>0.27728144157251444</v>
      </c>
      <c r="AB46" s="3">
        <f t="shared" si="197"/>
        <v>0.26902454114250363</v>
      </c>
      <c r="AC46" s="3">
        <f t="shared" si="197"/>
        <v>0.25657314485947902</v>
      </c>
      <c r="AD46" s="3">
        <f t="shared" si="197"/>
        <v>0.24928409947249452</v>
      </c>
      <c r="AE46" s="3">
        <f t="shared" si="197"/>
        <v>0.21822169014399684</v>
      </c>
      <c r="AF46" s="249">
        <f t="shared" si="197"/>
        <v>0.24740595281177513</v>
      </c>
      <c r="AG46" s="3">
        <f t="shared" si="197"/>
        <v>0.34070041439830989</v>
      </c>
      <c r="AH46" s="3">
        <f t="shared" si="197"/>
        <v>0.27099754337041992</v>
      </c>
      <c r="AI46" s="3">
        <f t="shared" si="197"/>
        <v>0.29921954026188557</v>
      </c>
      <c r="AJ46" s="3">
        <f t="shared" si="197"/>
        <v>0.35009781320891609</v>
      </c>
      <c r="AK46" s="249">
        <f t="shared" si="197"/>
        <v>0.31502914228234835</v>
      </c>
      <c r="AL46" s="3">
        <f t="shared" si="197"/>
        <v>0.24242424242424243</v>
      </c>
      <c r="AM46" s="3">
        <f t="shared" si="197"/>
        <v>0.17910447761194037</v>
      </c>
      <c r="AN46" s="3">
        <f t="shared" si="197"/>
        <v>0.13571428571428568</v>
      </c>
      <c r="AO46" s="3">
        <f t="shared" si="197"/>
        <v>0.13605442176870741</v>
      </c>
      <c r="AP46" s="249">
        <f t="shared" si="197"/>
        <v>0.17179023508137425</v>
      </c>
      <c r="AQ46" s="3">
        <f t="shared" si="197"/>
        <v>8.5365853658536661E-2</v>
      </c>
      <c r="AR46" s="3">
        <f t="shared" ref="AR46:BW46" si="198">AR45/AM45-1</f>
        <v>6.3291139240506222E-2</v>
      </c>
      <c r="AS46" s="3">
        <f t="shared" si="198"/>
        <v>8.8050314465408785E-2</v>
      </c>
      <c r="AT46" s="3">
        <f t="shared" si="198"/>
        <v>4.7904191616766401E-2</v>
      </c>
      <c r="AU46" s="249">
        <f t="shared" si="198"/>
        <v>7.0987654320987748E-2</v>
      </c>
      <c r="AV46" s="3">
        <f t="shared" si="198"/>
        <v>3.9325842696629199E-2</v>
      </c>
      <c r="AW46" s="3">
        <f t="shared" si="198"/>
        <v>0.14285714285714279</v>
      </c>
      <c r="AX46" s="3">
        <f t="shared" si="198"/>
        <v>0.1502890173410405</v>
      </c>
      <c r="AY46" s="3">
        <f t="shared" si="198"/>
        <v>0.14285714285714279</v>
      </c>
      <c r="AZ46" s="249">
        <f t="shared" si="198"/>
        <v>0.11815561959654186</v>
      </c>
      <c r="BA46" s="3">
        <f t="shared" si="198"/>
        <v>0.18378378378378368</v>
      </c>
      <c r="BB46" s="3">
        <f t="shared" si="198"/>
        <v>0.13541666666666674</v>
      </c>
      <c r="BC46" s="3">
        <f t="shared" si="198"/>
        <v>0.14070351758793964</v>
      </c>
      <c r="BD46" s="3">
        <f t="shared" si="198"/>
        <v>0.13500000000000001</v>
      </c>
      <c r="BE46" s="249">
        <f t="shared" si="198"/>
        <v>0.14819587628865971</v>
      </c>
      <c r="BF46" s="3">
        <f t="shared" si="198"/>
        <v>7.3059360730593603E-2</v>
      </c>
      <c r="BG46" s="3">
        <f t="shared" si="198"/>
        <v>7.7981651376146877E-2</v>
      </c>
      <c r="BH46" s="3">
        <f t="shared" si="198"/>
        <v>3.9647577092511099E-2</v>
      </c>
      <c r="BI46" s="3">
        <f t="shared" si="198"/>
        <v>6.1674008810572722E-2</v>
      </c>
      <c r="BJ46" s="249">
        <f t="shared" si="198"/>
        <v>6.285072951739612E-2</v>
      </c>
      <c r="BK46" s="3">
        <f t="shared" si="198"/>
        <v>8.5106382978723305E-2</v>
      </c>
      <c r="BL46" s="3">
        <f t="shared" si="198"/>
        <v>0.12765957446808507</v>
      </c>
      <c r="BM46" s="3">
        <f t="shared" si="198"/>
        <v>0.11016949152542366</v>
      </c>
      <c r="BN46" s="3">
        <f t="shared" si="198"/>
        <v>8.7136929460580825E-2</v>
      </c>
      <c r="BO46" s="249">
        <f t="shared" si="198"/>
        <v>0.10242872228088706</v>
      </c>
      <c r="BP46" s="3">
        <f t="shared" si="198"/>
        <v>9.8039215686274606E-2</v>
      </c>
      <c r="BQ46" s="3">
        <f t="shared" si="198"/>
        <v>5.2830188679245271E-2</v>
      </c>
      <c r="BR46" s="3">
        <f t="shared" si="198"/>
        <v>8.0152671755725269E-2</v>
      </c>
      <c r="BS46" s="3">
        <f t="shared" si="198"/>
        <v>0.11832061068702293</v>
      </c>
      <c r="BT46" s="249">
        <f t="shared" si="198"/>
        <v>8.7164750957854364E-2</v>
      </c>
      <c r="BU46" s="3">
        <f t="shared" si="198"/>
        <v>0.17500000000000004</v>
      </c>
      <c r="BV46" s="3">
        <f t="shared" si="198"/>
        <v>0.13261648745519716</v>
      </c>
      <c r="BW46" s="3">
        <f t="shared" si="198"/>
        <v>0.12367491166077738</v>
      </c>
      <c r="BX46" s="3">
        <f>BX45/BS45-1</f>
        <v>0.12969283276450505</v>
      </c>
      <c r="BY46" s="249">
        <f>BY45/BT45-1</f>
        <v>0.14008810572687214</v>
      </c>
      <c r="BZ46" s="3">
        <f>BZ45/BU45-1</f>
        <v>0.13981762917933138</v>
      </c>
      <c r="CA46" s="3">
        <f>CA45/BV45-1</f>
        <v>0.18670886075949378</v>
      </c>
      <c r="CB46" s="3">
        <f>CB45/BW45-1</f>
        <v>0.22327044025157239</v>
      </c>
      <c r="CC46" s="3">
        <f t="shared" ref="CC46:CD46" si="199">CC45/BX45-1</f>
        <v>0.21148036253776437</v>
      </c>
      <c r="CD46" s="249">
        <f t="shared" si="199"/>
        <v>0.19010819165378678</v>
      </c>
      <c r="CE46" s="3">
        <f>CE45/BZ45-1</f>
        <v>0.15999999999999992</v>
      </c>
      <c r="CF46" s="3">
        <f>CF45/CA45-1</f>
        <v>0.10666666666666669</v>
      </c>
      <c r="CG46" s="3">
        <f>CG45/CB45-1</f>
        <v>8.2262210796915092E-2</v>
      </c>
      <c r="CH46" s="3">
        <f t="shared" ref="CH46" si="200">CH45/CC45-1</f>
        <v>6.4837905236907689E-2</v>
      </c>
      <c r="CI46" s="249">
        <f t="shared" ref="CI46:CS46" si="201">CI45/CD45-1</f>
        <v>0.10259740259740258</v>
      </c>
      <c r="CJ46" s="3">
        <f>CJ45/CE45-1</f>
        <v>7.1264367816092022E-2</v>
      </c>
      <c r="CK46" s="3">
        <f>CK45/CF45-1</f>
        <v>0.1180722891566266</v>
      </c>
      <c r="CL46" s="3">
        <f>CL45/CG45-1</f>
        <v>0.10688836104513055</v>
      </c>
      <c r="CM46" s="3">
        <f t="shared" ref="CM46" si="202">CM45/CH45-1</f>
        <v>0.14754098360655732</v>
      </c>
      <c r="CN46" s="249">
        <f t="shared" ref="CN46" si="203">CN45/CI45-1</f>
        <v>0.11071849234393394</v>
      </c>
      <c r="CO46" s="3">
        <f t="shared" si="201"/>
        <v>7.1671467729886418E-2</v>
      </c>
      <c r="CP46" s="3">
        <f t="shared" si="201"/>
        <v>8.2364844157295058E-2</v>
      </c>
      <c r="CQ46" s="3">
        <f t="shared" si="201"/>
        <v>8.5803985285101136E-2</v>
      </c>
      <c r="CR46" s="3">
        <f t="shared" si="201"/>
        <v>4.3272224143894755E-2</v>
      </c>
      <c r="CS46" s="249">
        <f t="shared" si="201"/>
        <v>7.0415821115841881E-2</v>
      </c>
      <c r="CT46" s="3"/>
      <c r="CU46" s="3"/>
      <c r="CV46" s="3"/>
      <c r="CW46" s="3"/>
      <c r="CX46" s="249">
        <f>CX45/CS45-1</f>
        <v>0.14888435939708078</v>
      </c>
      <c r="CY46" s="3"/>
      <c r="CZ46" s="3"/>
      <c r="DA46" s="3"/>
      <c r="DB46" s="3"/>
      <c r="DC46" s="249">
        <f>DC45/CX45-1</f>
        <v>0.10910568417056665</v>
      </c>
      <c r="DD46" s="25"/>
      <c r="DE46" s="178"/>
      <c r="DP46" s="626"/>
      <c r="DQ46" s="389"/>
      <c r="DR46" s="487"/>
      <c r="DS46" s="25"/>
    </row>
    <row r="47" spans="1:143" s="230" customFormat="1" x14ac:dyDescent="0.2">
      <c r="A47" s="569" t="s">
        <v>259</v>
      </c>
      <c r="B47" s="264"/>
      <c r="C47" s="59"/>
      <c r="D47" s="59"/>
      <c r="E47" s="59"/>
      <c r="F47" s="59"/>
      <c r="G47" s="264"/>
      <c r="H47" s="825"/>
      <c r="I47" s="825"/>
      <c r="J47" s="825"/>
      <c r="K47" s="825"/>
      <c r="L47" s="264"/>
      <c r="M47" s="825"/>
      <c r="N47" s="825"/>
      <c r="O47" s="825"/>
      <c r="P47" s="825"/>
      <c r="Q47" s="264"/>
      <c r="R47" s="825">
        <v>0</v>
      </c>
      <c r="S47" s="825">
        <v>0</v>
      </c>
      <c r="T47" s="825">
        <v>0</v>
      </c>
      <c r="U47" s="825">
        <v>0</v>
      </c>
      <c r="V47" s="264">
        <f>SUM(R47:U47)</f>
        <v>0</v>
      </c>
      <c r="W47" s="825">
        <v>0</v>
      </c>
      <c r="X47" s="825">
        <v>0</v>
      </c>
      <c r="Y47" s="825">
        <v>0</v>
      </c>
      <c r="Z47" s="825">
        <v>0</v>
      </c>
      <c r="AA47" s="264">
        <f>SUM(W47:Z47)</f>
        <v>0</v>
      </c>
      <c r="AB47" s="825">
        <v>0</v>
      </c>
      <c r="AC47" s="825">
        <v>0</v>
      </c>
      <c r="AD47" s="825">
        <v>0</v>
      </c>
      <c r="AE47" s="825">
        <v>0</v>
      </c>
      <c r="AF47" s="264">
        <f>SUM(AB47:AE47)</f>
        <v>0</v>
      </c>
      <c r="AG47" s="825">
        <v>0</v>
      </c>
      <c r="AH47" s="825">
        <v>0</v>
      </c>
      <c r="AI47" s="825">
        <v>0</v>
      </c>
      <c r="AJ47" s="825">
        <v>0</v>
      </c>
      <c r="AK47" s="264">
        <f>SUM(AG47:AJ47)</f>
        <v>0</v>
      </c>
      <c r="AL47" s="825">
        <v>0</v>
      </c>
      <c r="AM47" s="825">
        <v>0</v>
      </c>
      <c r="AN47" s="825">
        <v>0</v>
      </c>
      <c r="AO47" s="825">
        <v>0</v>
      </c>
      <c r="AP47" s="264">
        <f>SUM(AL47:AO47)</f>
        <v>0</v>
      </c>
      <c r="AQ47" s="825">
        <v>0</v>
      </c>
      <c r="AR47" s="825">
        <v>0</v>
      </c>
      <c r="AS47" s="825">
        <v>0</v>
      </c>
      <c r="AT47" s="825">
        <v>0</v>
      </c>
      <c r="AU47" s="264">
        <f>SUM(AQ47:AT47)</f>
        <v>0</v>
      </c>
      <c r="AV47" s="825">
        <v>0</v>
      </c>
      <c r="AW47" s="825">
        <v>0</v>
      </c>
      <c r="AX47" s="825">
        <v>0</v>
      </c>
      <c r="AY47" s="825">
        <v>0</v>
      </c>
      <c r="AZ47" s="264">
        <f>SUM(AV47:AY47)</f>
        <v>0</v>
      </c>
      <c r="BA47" s="825">
        <v>0</v>
      </c>
      <c r="BB47" s="825">
        <v>0</v>
      </c>
      <c r="BC47" s="825">
        <v>0</v>
      </c>
      <c r="BD47" s="825">
        <v>0</v>
      </c>
      <c r="BE47" s="264">
        <f>SUM(BA47:BD47)</f>
        <v>0</v>
      </c>
      <c r="BF47" s="825">
        <v>0</v>
      </c>
      <c r="BG47" s="825">
        <v>0</v>
      </c>
      <c r="BH47" s="825">
        <v>0</v>
      </c>
      <c r="BI47" s="825">
        <v>0</v>
      </c>
      <c r="BJ47" s="264">
        <f>SUM(BF47:BI47)</f>
        <v>0</v>
      </c>
      <c r="BK47" s="825">
        <v>0</v>
      </c>
      <c r="BL47" s="825">
        <v>7</v>
      </c>
      <c r="BM47" s="825">
        <v>4</v>
      </c>
      <c r="BN47" s="825">
        <v>-8</v>
      </c>
      <c r="BO47" s="264">
        <f>SUM(BK47:BN47)</f>
        <v>3</v>
      </c>
      <c r="BP47" s="825">
        <v>0</v>
      </c>
      <c r="BQ47" s="825">
        <v>0</v>
      </c>
      <c r="BR47" s="825">
        <v>7</v>
      </c>
      <c r="BS47" s="825">
        <v>5</v>
      </c>
      <c r="BT47" s="264">
        <f>SUM(BP47:BS47)</f>
        <v>12</v>
      </c>
      <c r="BU47" s="825">
        <v>0</v>
      </c>
      <c r="BV47" s="825">
        <v>0</v>
      </c>
      <c r="BW47" s="825">
        <v>11</v>
      </c>
      <c r="BX47" s="825">
        <v>14</v>
      </c>
      <c r="BY47" s="264">
        <f>SUM(BU47:BX47)</f>
        <v>25</v>
      </c>
      <c r="BZ47" s="825">
        <v>28</v>
      </c>
      <c r="CA47" s="825">
        <v>33</v>
      </c>
      <c r="CB47" s="825">
        <v>47</v>
      </c>
      <c r="CC47" s="825">
        <v>44</v>
      </c>
      <c r="CD47" s="264">
        <f>SUM(BZ47:CC47)</f>
        <v>152</v>
      </c>
      <c r="CE47" s="825">
        <v>53</v>
      </c>
      <c r="CF47" s="825">
        <v>38</v>
      </c>
      <c r="CG47" s="825">
        <v>38</v>
      </c>
      <c r="CH47" s="825">
        <v>39</v>
      </c>
      <c r="CI47" s="264">
        <f>SUM(CE47:CH47)</f>
        <v>168</v>
      </c>
      <c r="CJ47" s="825">
        <v>0</v>
      </c>
      <c r="CK47" s="825">
        <v>18</v>
      </c>
      <c r="CL47" s="825">
        <v>12</v>
      </c>
      <c r="CM47" s="825">
        <v>12</v>
      </c>
      <c r="CN47" s="264">
        <f>SUM(CJ47:CM47)</f>
        <v>42</v>
      </c>
      <c r="CO47" s="751">
        <v>1.7574019927616469</v>
      </c>
      <c r="CP47" s="751">
        <v>12</v>
      </c>
      <c r="CQ47" s="751">
        <v>23</v>
      </c>
      <c r="CR47" s="751">
        <v>17</v>
      </c>
      <c r="CS47" s="264">
        <f>SUM(CO47:CR47)</f>
        <v>53.757401992761643</v>
      </c>
      <c r="CT47" s="751"/>
      <c r="CU47" s="751"/>
      <c r="CV47" s="751"/>
      <c r="CW47" s="751"/>
      <c r="CX47" s="750">
        <v>66</v>
      </c>
      <c r="CY47" s="751">
        <v>0</v>
      </c>
      <c r="CZ47" s="751">
        <v>0</v>
      </c>
      <c r="DA47" s="751">
        <v>0</v>
      </c>
      <c r="DB47" s="751">
        <v>0</v>
      </c>
      <c r="DC47" s="750">
        <v>86</v>
      </c>
      <c r="DD47" s="93"/>
      <c r="DE47" s="458"/>
      <c r="DF47" s="383"/>
      <c r="DG47" s="383"/>
      <c r="DH47" s="383"/>
      <c r="DI47" s="383"/>
      <c r="DJ47" s="430" t="s">
        <v>453</v>
      </c>
      <c r="DK47" s="581"/>
      <c r="DL47" s="625"/>
      <c r="DM47" s="621"/>
      <c r="DN47" s="621"/>
      <c r="DO47" s="621"/>
      <c r="DP47" s="723"/>
      <c r="DQ47" s="397"/>
      <c r="DR47" s="494"/>
      <c r="DS47" s="93"/>
      <c r="DT47"/>
      <c r="DU47"/>
      <c r="DV47"/>
      <c r="DW47"/>
      <c r="DX47"/>
      <c r="DY47"/>
      <c r="EB47" s="570"/>
      <c r="EC47" s="570"/>
      <c r="ED47" s="570"/>
      <c r="EE47" s="570"/>
      <c r="EF47" s="570"/>
      <c r="EG47" s="570"/>
      <c r="EH47" s="570"/>
      <c r="EI47" s="570"/>
      <c r="EJ47" s="570"/>
      <c r="EK47" s="570"/>
      <c r="EL47" s="570"/>
      <c r="EM47" s="570"/>
    </row>
    <row r="48" spans="1:143" s="230" customFormat="1" x14ac:dyDescent="0.2">
      <c r="A48" s="569" t="s">
        <v>439</v>
      </c>
      <c r="B48" s="264"/>
      <c r="C48" s="59"/>
      <c r="D48" s="59"/>
      <c r="E48" s="59"/>
      <c r="F48" s="59"/>
      <c r="G48" s="264"/>
      <c r="H48" s="61"/>
      <c r="I48" s="61"/>
      <c r="J48" s="61"/>
      <c r="K48" s="61"/>
      <c r="L48" s="264"/>
      <c r="M48" s="61"/>
      <c r="N48" s="61"/>
      <c r="O48" s="61"/>
      <c r="P48" s="61"/>
      <c r="Q48" s="264"/>
      <c r="R48" s="61">
        <f>+R47</f>
        <v>0</v>
      </c>
      <c r="S48" s="61">
        <f t="shared" ref="S48:CD48" si="204">+S47</f>
        <v>0</v>
      </c>
      <c r="T48" s="61">
        <f t="shared" si="204"/>
        <v>0</v>
      </c>
      <c r="U48" s="61">
        <f t="shared" si="204"/>
        <v>0</v>
      </c>
      <c r="V48" s="264">
        <f t="shared" si="204"/>
        <v>0</v>
      </c>
      <c r="W48" s="61">
        <f t="shared" si="204"/>
        <v>0</v>
      </c>
      <c r="X48" s="61">
        <f t="shared" si="204"/>
        <v>0</v>
      </c>
      <c r="Y48" s="61">
        <f t="shared" si="204"/>
        <v>0</v>
      </c>
      <c r="Z48" s="61">
        <f t="shared" si="204"/>
        <v>0</v>
      </c>
      <c r="AA48" s="264">
        <f t="shared" si="204"/>
        <v>0</v>
      </c>
      <c r="AB48" s="61">
        <f t="shared" si="204"/>
        <v>0</v>
      </c>
      <c r="AC48" s="61">
        <f t="shared" si="204"/>
        <v>0</v>
      </c>
      <c r="AD48" s="61">
        <f t="shared" si="204"/>
        <v>0</v>
      </c>
      <c r="AE48" s="61">
        <f t="shared" si="204"/>
        <v>0</v>
      </c>
      <c r="AF48" s="264">
        <f t="shared" si="204"/>
        <v>0</v>
      </c>
      <c r="AG48" s="61">
        <f t="shared" si="204"/>
        <v>0</v>
      </c>
      <c r="AH48" s="61">
        <f t="shared" si="204"/>
        <v>0</v>
      </c>
      <c r="AI48" s="61">
        <f t="shared" si="204"/>
        <v>0</v>
      </c>
      <c r="AJ48" s="61">
        <f t="shared" si="204"/>
        <v>0</v>
      </c>
      <c r="AK48" s="264">
        <f t="shared" si="204"/>
        <v>0</v>
      </c>
      <c r="AL48" s="61">
        <f t="shared" si="204"/>
        <v>0</v>
      </c>
      <c r="AM48" s="61">
        <f t="shared" si="204"/>
        <v>0</v>
      </c>
      <c r="AN48" s="61">
        <f t="shared" si="204"/>
        <v>0</v>
      </c>
      <c r="AO48" s="61">
        <f t="shared" si="204"/>
        <v>0</v>
      </c>
      <c r="AP48" s="264">
        <f t="shared" si="204"/>
        <v>0</v>
      </c>
      <c r="AQ48" s="61">
        <f t="shared" si="204"/>
        <v>0</v>
      </c>
      <c r="AR48" s="61">
        <f t="shared" si="204"/>
        <v>0</v>
      </c>
      <c r="AS48" s="61">
        <f t="shared" si="204"/>
        <v>0</v>
      </c>
      <c r="AT48" s="61">
        <f t="shared" si="204"/>
        <v>0</v>
      </c>
      <c r="AU48" s="264">
        <f t="shared" si="204"/>
        <v>0</v>
      </c>
      <c r="AV48" s="61">
        <f t="shared" si="204"/>
        <v>0</v>
      </c>
      <c r="AW48" s="61">
        <f t="shared" si="204"/>
        <v>0</v>
      </c>
      <c r="AX48" s="61">
        <f t="shared" si="204"/>
        <v>0</v>
      </c>
      <c r="AY48" s="61">
        <f t="shared" si="204"/>
        <v>0</v>
      </c>
      <c r="AZ48" s="264">
        <f t="shared" si="204"/>
        <v>0</v>
      </c>
      <c r="BA48" s="61">
        <f t="shared" si="204"/>
        <v>0</v>
      </c>
      <c r="BB48" s="61">
        <f t="shared" si="204"/>
        <v>0</v>
      </c>
      <c r="BC48" s="61">
        <f t="shared" si="204"/>
        <v>0</v>
      </c>
      <c r="BD48" s="61">
        <f t="shared" si="204"/>
        <v>0</v>
      </c>
      <c r="BE48" s="264">
        <f t="shared" si="204"/>
        <v>0</v>
      </c>
      <c r="BF48" s="61">
        <f t="shared" si="204"/>
        <v>0</v>
      </c>
      <c r="BG48" s="61">
        <f t="shared" si="204"/>
        <v>0</v>
      </c>
      <c r="BH48" s="61">
        <f t="shared" si="204"/>
        <v>0</v>
      </c>
      <c r="BI48" s="61">
        <f t="shared" si="204"/>
        <v>0</v>
      </c>
      <c r="BJ48" s="264">
        <f t="shared" si="204"/>
        <v>0</v>
      </c>
      <c r="BK48" s="61">
        <f t="shared" si="204"/>
        <v>0</v>
      </c>
      <c r="BL48" s="61">
        <f t="shared" si="204"/>
        <v>7</v>
      </c>
      <c r="BM48" s="61">
        <f t="shared" si="204"/>
        <v>4</v>
      </c>
      <c r="BN48" s="61">
        <f t="shared" si="204"/>
        <v>-8</v>
      </c>
      <c r="BO48" s="264">
        <f t="shared" si="204"/>
        <v>3</v>
      </c>
      <c r="BP48" s="61">
        <f t="shared" si="204"/>
        <v>0</v>
      </c>
      <c r="BQ48" s="61">
        <f t="shared" si="204"/>
        <v>0</v>
      </c>
      <c r="BR48" s="61">
        <f t="shared" si="204"/>
        <v>7</v>
      </c>
      <c r="BS48" s="61">
        <f t="shared" si="204"/>
        <v>5</v>
      </c>
      <c r="BT48" s="264">
        <f t="shared" si="204"/>
        <v>12</v>
      </c>
      <c r="BU48" s="61">
        <f t="shared" si="204"/>
        <v>0</v>
      </c>
      <c r="BV48" s="61">
        <f t="shared" si="204"/>
        <v>0</v>
      </c>
      <c r="BW48" s="61">
        <f t="shared" si="204"/>
        <v>11</v>
      </c>
      <c r="BX48" s="61">
        <f t="shared" si="204"/>
        <v>14</v>
      </c>
      <c r="BY48" s="264">
        <f t="shared" si="204"/>
        <v>25</v>
      </c>
      <c r="BZ48" s="61">
        <f t="shared" si="204"/>
        <v>28</v>
      </c>
      <c r="CA48" s="61">
        <f t="shared" si="204"/>
        <v>33</v>
      </c>
      <c r="CB48" s="61">
        <f t="shared" si="204"/>
        <v>47</v>
      </c>
      <c r="CC48" s="61">
        <f t="shared" si="204"/>
        <v>44</v>
      </c>
      <c r="CD48" s="264">
        <f t="shared" si="204"/>
        <v>152</v>
      </c>
      <c r="CE48" s="61">
        <f t="shared" ref="CE48:CI48" si="205">+CE47</f>
        <v>53</v>
      </c>
      <c r="CF48" s="61">
        <f t="shared" si="205"/>
        <v>38</v>
      </c>
      <c r="CG48" s="61">
        <f t="shared" si="205"/>
        <v>38</v>
      </c>
      <c r="CH48" s="61">
        <f t="shared" si="205"/>
        <v>39</v>
      </c>
      <c r="CI48" s="264">
        <f t="shared" si="205"/>
        <v>168</v>
      </c>
      <c r="CJ48" s="61">
        <v>0</v>
      </c>
      <c r="CK48" s="61">
        <v>18</v>
      </c>
      <c r="CL48" s="61">
        <f>+CL47</f>
        <v>12</v>
      </c>
      <c r="CM48" s="61">
        <f t="shared" ref="CM48:CN48" si="206">+CM47</f>
        <v>12</v>
      </c>
      <c r="CN48" s="264">
        <f t="shared" si="206"/>
        <v>42</v>
      </c>
      <c r="CO48" s="753">
        <f t="shared" ref="CO48:CS48" si="207">+IF(CO144&gt;18%,((CO143-(CO115*0.18))*0.2+(CO115*0.18)*0.1)-CO49*0.01,CO143*0.1-CO49*0.01)</f>
        <v>4.2796351294765094</v>
      </c>
      <c r="CP48" s="753">
        <f t="shared" si="207"/>
        <v>12.067582725701946</v>
      </c>
      <c r="CQ48" s="753">
        <f t="shared" si="207"/>
        <v>23.386392671641797</v>
      </c>
      <c r="CR48" s="753">
        <f t="shared" si="207"/>
        <v>16.893366847457635</v>
      </c>
      <c r="CS48" s="264">
        <f t="shared" si="207"/>
        <v>56.626977374277914</v>
      </c>
      <c r="CT48" s="753"/>
      <c r="CU48" s="753"/>
      <c r="CV48" s="753"/>
      <c r="CW48" s="753"/>
      <c r="CX48" s="752">
        <f t="shared" ref="CX48:DC48" si="208">+IF(CX144&gt;18%,((CX143-(CX115*0.18))*0.2+(CX115*0.18)*0.1)-CX49*0.01,CX143*0.1-CX49*0.01)</f>
        <v>68.739389477053578</v>
      </c>
      <c r="CY48" s="753">
        <f t="shared" si="208"/>
        <v>0</v>
      </c>
      <c r="CZ48" s="753">
        <f t="shared" si="208"/>
        <v>0</v>
      </c>
      <c r="DA48" s="753">
        <f t="shared" si="208"/>
        <v>0</v>
      </c>
      <c r="DB48" s="753">
        <f t="shared" si="208"/>
        <v>0</v>
      </c>
      <c r="DC48" s="752">
        <f t="shared" si="208"/>
        <v>86.820077127513315</v>
      </c>
      <c r="DD48" s="93"/>
      <c r="DE48" s="458"/>
      <c r="DF48" s="383"/>
      <c r="DG48" s="383"/>
      <c r="DH48" s="383"/>
      <c r="DI48" s="383"/>
      <c r="DJ48" s="620"/>
      <c r="DK48" s="430" t="s">
        <v>438</v>
      </c>
      <c r="DL48" s="621"/>
      <c r="DM48" s="622"/>
      <c r="DN48" s="622"/>
      <c r="DO48" s="622"/>
      <c r="DP48" s="723"/>
      <c r="DQ48" s="397"/>
      <c r="DR48" s="494"/>
      <c r="DS48" s="93"/>
      <c r="DT48"/>
      <c r="DU48"/>
      <c r="DV48"/>
      <c r="DW48"/>
      <c r="DX48"/>
      <c r="DY48"/>
      <c r="EB48" s="570"/>
      <c r="EC48" s="570"/>
      <c r="ED48" s="570"/>
      <c r="EE48" s="570"/>
      <c r="EF48" s="570"/>
      <c r="EG48" s="570"/>
      <c r="EH48" s="570"/>
      <c r="EI48" s="570"/>
      <c r="EJ48" s="570"/>
      <c r="EK48" s="570"/>
      <c r="EL48" s="570"/>
      <c r="EM48" s="570"/>
    </row>
    <row r="49" spans="1:131" x14ac:dyDescent="0.2">
      <c r="A49" s="568" t="s">
        <v>260</v>
      </c>
      <c r="B49" s="249"/>
      <c r="C49" s="20"/>
      <c r="D49" s="20"/>
      <c r="E49" s="20"/>
      <c r="F49" s="20"/>
      <c r="G49" s="249"/>
      <c r="H49" s="93"/>
      <c r="I49" s="93"/>
      <c r="J49" s="93"/>
      <c r="K49" s="93"/>
      <c r="L49" s="249"/>
      <c r="M49" s="93"/>
      <c r="N49" s="93"/>
      <c r="O49" s="93"/>
      <c r="P49" s="93"/>
      <c r="Q49" s="249"/>
      <c r="R49" s="93">
        <f t="shared" ref="R49:BJ49" si="209">R45-R47</f>
        <v>56.901000000000003</v>
      </c>
      <c r="S49" s="93">
        <f t="shared" si="209"/>
        <v>64.426999999999992</v>
      </c>
      <c r="T49" s="93">
        <f t="shared" si="209"/>
        <v>69.875</v>
      </c>
      <c r="U49" s="93">
        <f t="shared" si="209"/>
        <v>72.730999999999995</v>
      </c>
      <c r="V49" s="267">
        <f t="shared" si="209"/>
        <v>263.93399999999997</v>
      </c>
      <c r="W49" s="93">
        <f t="shared" si="209"/>
        <v>77.584000000000003</v>
      </c>
      <c r="X49" s="93">
        <f t="shared" si="209"/>
        <v>83.902000000000001</v>
      </c>
      <c r="Y49" s="93">
        <f t="shared" si="209"/>
        <v>86.254999999999995</v>
      </c>
      <c r="Z49" s="93">
        <f t="shared" si="209"/>
        <v>89.376999999999995</v>
      </c>
      <c r="AA49" s="267">
        <f t="shared" si="209"/>
        <v>337.11799999999999</v>
      </c>
      <c r="AB49" s="93">
        <f t="shared" si="209"/>
        <v>98.456000000000003</v>
      </c>
      <c r="AC49" s="93">
        <f t="shared" si="209"/>
        <v>105.429</v>
      </c>
      <c r="AD49" s="93">
        <f t="shared" si="209"/>
        <v>107.75700000000001</v>
      </c>
      <c r="AE49" s="93">
        <f t="shared" si="209"/>
        <v>108.881</v>
      </c>
      <c r="AF49" s="267">
        <f t="shared" si="209"/>
        <v>420.52300000000002</v>
      </c>
      <c r="AG49" s="93">
        <f t="shared" si="209"/>
        <v>132</v>
      </c>
      <c r="AH49" s="93">
        <f t="shared" si="209"/>
        <v>134</v>
      </c>
      <c r="AI49" s="93">
        <f t="shared" si="209"/>
        <v>140</v>
      </c>
      <c r="AJ49" s="93">
        <f t="shared" si="209"/>
        <v>147</v>
      </c>
      <c r="AK49" s="267">
        <f t="shared" si="209"/>
        <v>553</v>
      </c>
      <c r="AL49" s="93">
        <f t="shared" si="209"/>
        <v>164</v>
      </c>
      <c r="AM49" s="93">
        <f t="shared" si="209"/>
        <v>158</v>
      </c>
      <c r="AN49" s="93">
        <f t="shared" si="209"/>
        <v>159</v>
      </c>
      <c r="AO49" s="93">
        <f t="shared" si="209"/>
        <v>167</v>
      </c>
      <c r="AP49" s="267">
        <f t="shared" si="209"/>
        <v>648</v>
      </c>
      <c r="AQ49" s="93">
        <f t="shared" si="209"/>
        <v>178</v>
      </c>
      <c r="AR49" s="93">
        <f t="shared" si="209"/>
        <v>168</v>
      </c>
      <c r="AS49" s="93">
        <f t="shared" si="209"/>
        <v>173</v>
      </c>
      <c r="AT49" s="93">
        <f t="shared" si="209"/>
        <v>175</v>
      </c>
      <c r="AU49" s="267">
        <f t="shared" si="209"/>
        <v>694</v>
      </c>
      <c r="AV49" s="93">
        <f t="shared" si="209"/>
        <v>185</v>
      </c>
      <c r="AW49" s="93">
        <f t="shared" si="209"/>
        <v>192</v>
      </c>
      <c r="AX49" s="93">
        <f t="shared" si="209"/>
        <v>199</v>
      </c>
      <c r="AY49" s="93">
        <f t="shared" si="209"/>
        <v>200</v>
      </c>
      <c r="AZ49" s="267">
        <f t="shared" si="209"/>
        <v>776</v>
      </c>
      <c r="BA49" s="93">
        <f t="shared" si="209"/>
        <v>219</v>
      </c>
      <c r="BB49" s="93">
        <f t="shared" si="209"/>
        <v>218</v>
      </c>
      <c r="BC49" s="93">
        <f t="shared" si="209"/>
        <v>227</v>
      </c>
      <c r="BD49" s="93">
        <f t="shared" si="209"/>
        <v>227</v>
      </c>
      <c r="BE49" s="267">
        <f t="shared" si="209"/>
        <v>891</v>
      </c>
      <c r="BF49" s="93">
        <f t="shared" si="209"/>
        <v>235</v>
      </c>
      <c r="BG49" s="93">
        <f t="shared" si="209"/>
        <v>235</v>
      </c>
      <c r="BH49" s="93">
        <f t="shared" si="209"/>
        <v>236</v>
      </c>
      <c r="BI49" s="93">
        <f t="shared" si="209"/>
        <v>241</v>
      </c>
      <c r="BJ49" s="267">
        <f t="shared" si="209"/>
        <v>947</v>
      </c>
      <c r="BK49" s="93">
        <f t="shared" ref="BK49:BV49" si="210">BK45-BK47</f>
        <v>255</v>
      </c>
      <c r="BL49" s="93">
        <f t="shared" si="210"/>
        <v>258</v>
      </c>
      <c r="BM49" s="93">
        <f t="shared" si="210"/>
        <v>258</v>
      </c>
      <c r="BN49" s="93">
        <f t="shared" si="210"/>
        <v>270</v>
      </c>
      <c r="BO49" s="267">
        <f t="shared" si="210"/>
        <v>1041</v>
      </c>
      <c r="BP49" s="93">
        <f t="shared" si="210"/>
        <v>280</v>
      </c>
      <c r="BQ49" s="93">
        <f t="shared" si="210"/>
        <v>279</v>
      </c>
      <c r="BR49" s="93">
        <f t="shared" si="210"/>
        <v>276</v>
      </c>
      <c r="BS49" s="93">
        <f t="shared" si="210"/>
        <v>288</v>
      </c>
      <c r="BT49" s="267">
        <f>BT45-BT47</f>
        <v>1123</v>
      </c>
      <c r="BU49" s="93">
        <f t="shared" si="210"/>
        <v>329</v>
      </c>
      <c r="BV49" s="93">
        <f t="shared" si="210"/>
        <v>316</v>
      </c>
      <c r="BW49" s="93">
        <f t="shared" ref="BW49:CB49" si="211">BW45-BW47</f>
        <v>307</v>
      </c>
      <c r="BX49" s="93">
        <f t="shared" si="211"/>
        <v>317</v>
      </c>
      <c r="BY49" s="267">
        <f t="shared" si="211"/>
        <v>1269</v>
      </c>
      <c r="BZ49" s="93">
        <f t="shared" si="211"/>
        <v>347</v>
      </c>
      <c r="CA49" s="93">
        <f t="shared" si="211"/>
        <v>342</v>
      </c>
      <c r="CB49" s="93">
        <f t="shared" si="211"/>
        <v>342</v>
      </c>
      <c r="CC49" s="93">
        <f>CC45-CC47</f>
        <v>357</v>
      </c>
      <c r="CD49" s="267">
        <f>CD45-CD47</f>
        <v>1388</v>
      </c>
      <c r="CE49" s="93">
        <f>CE45-CE47</f>
        <v>382</v>
      </c>
      <c r="CF49" s="93">
        <f t="shared" ref="CF49:CG49" si="212">CF45-CF47</f>
        <v>377</v>
      </c>
      <c r="CG49" s="93">
        <f t="shared" si="212"/>
        <v>383</v>
      </c>
      <c r="CH49" s="93">
        <f>CH45-CH47</f>
        <v>388</v>
      </c>
      <c r="CI49" s="267">
        <f>CI45-CI47</f>
        <v>1530</v>
      </c>
      <c r="CJ49" s="93">
        <f>CJ45-CJ47</f>
        <v>466</v>
      </c>
      <c r="CK49" s="93">
        <f t="shared" ref="CK49:CL49" si="213">CK45-CK47</f>
        <v>446</v>
      </c>
      <c r="CL49" s="93">
        <f t="shared" si="213"/>
        <v>454</v>
      </c>
      <c r="CM49" s="93">
        <f>CM45-CM47</f>
        <v>478</v>
      </c>
      <c r="CN49" s="267">
        <f>CN45-CN47</f>
        <v>1844</v>
      </c>
      <c r="CO49" s="93">
        <f t="shared" ref="CO49" si="214">(CO54*(CO58/1000000))/4</f>
        <v>497.64150196936549</v>
      </c>
      <c r="CP49" s="93">
        <f t="shared" ref="CP49:CR49" si="215">(CP54*(CP58/1000000))/4</f>
        <v>490.21728768898487</v>
      </c>
      <c r="CQ49" s="93">
        <f t="shared" si="215"/>
        <v>482.98465714285709</v>
      </c>
      <c r="CR49" s="93">
        <f t="shared" si="215"/>
        <v>494.20338983050846</v>
      </c>
      <c r="CS49" s="267">
        <f>CS45-CS47</f>
        <v>1965.0468366317159</v>
      </c>
      <c r="CT49" s="93"/>
      <c r="CU49" s="93"/>
      <c r="CV49" s="93"/>
      <c r="CW49" s="93"/>
      <c r="CX49" s="267">
        <f>(CX54*(CX58/1000000))</f>
        <v>2253.3726144401944</v>
      </c>
      <c r="CY49" s="93"/>
      <c r="CZ49" s="93"/>
      <c r="DA49" s="93"/>
      <c r="DB49" s="93"/>
      <c r="DC49" s="267">
        <f>(DC54*(DC58/1000000))</f>
        <v>2486.4293503851677</v>
      </c>
      <c r="DD49" s="25"/>
      <c r="DE49" s="178"/>
      <c r="DJ49" s="620"/>
      <c r="DK49" s="430" t="s">
        <v>440</v>
      </c>
      <c r="DL49" s="621"/>
      <c r="DM49" s="622"/>
      <c r="DN49" s="622"/>
      <c r="DO49" s="622"/>
      <c r="DP49" s="389"/>
      <c r="DQ49" s="389"/>
      <c r="DR49" s="487"/>
      <c r="DS49" s="25"/>
    </row>
    <row r="50" spans="1:131" x14ac:dyDescent="0.2">
      <c r="A50" s="11" t="s">
        <v>131</v>
      </c>
      <c r="B50" s="249"/>
      <c r="C50" s="20"/>
      <c r="D50" s="20"/>
      <c r="E50" s="20"/>
      <c r="F50" s="20"/>
      <c r="G50" s="249"/>
      <c r="H50" s="3"/>
      <c r="I50" s="3"/>
      <c r="J50" s="3"/>
      <c r="K50" s="3"/>
      <c r="L50" s="249"/>
      <c r="M50" s="3"/>
      <c r="N50" s="3"/>
      <c r="O50" s="3"/>
      <c r="P50" s="3"/>
      <c r="Q50" s="249"/>
      <c r="R50" s="3"/>
      <c r="S50" s="3"/>
      <c r="T50" s="3"/>
      <c r="U50" s="3"/>
      <c r="V50" s="249"/>
      <c r="W50" s="3">
        <f t="shared" ref="W50:BO50" si="216">W49/R49-1</f>
        <v>0.36349097555403231</v>
      </c>
      <c r="X50" s="3">
        <f t="shared" si="216"/>
        <v>0.30228009995809235</v>
      </c>
      <c r="Y50" s="3">
        <f t="shared" si="216"/>
        <v>0.23441860465116271</v>
      </c>
      <c r="Z50" s="3">
        <f t="shared" si="216"/>
        <v>0.2288707703730184</v>
      </c>
      <c r="AA50" s="249">
        <f t="shared" si="216"/>
        <v>0.27728144157251444</v>
      </c>
      <c r="AB50" s="3">
        <f t="shared" si="216"/>
        <v>0.26902454114250363</v>
      </c>
      <c r="AC50" s="3">
        <f t="shared" si="216"/>
        <v>0.25657314485947902</v>
      </c>
      <c r="AD50" s="3">
        <f t="shared" si="216"/>
        <v>0.24928409947249452</v>
      </c>
      <c r="AE50" s="3">
        <f t="shared" si="216"/>
        <v>0.21822169014399684</v>
      </c>
      <c r="AF50" s="249">
        <f t="shared" si="216"/>
        <v>0.24740595281177513</v>
      </c>
      <c r="AG50" s="3">
        <f t="shared" si="216"/>
        <v>0.34070041439830989</v>
      </c>
      <c r="AH50" s="3">
        <f t="shared" si="216"/>
        <v>0.27099754337041992</v>
      </c>
      <c r="AI50" s="3">
        <f t="shared" si="216"/>
        <v>0.29921954026188557</v>
      </c>
      <c r="AJ50" s="3">
        <f t="shared" si="216"/>
        <v>0.35009781320891609</v>
      </c>
      <c r="AK50" s="249">
        <f t="shared" si="216"/>
        <v>0.31502914228234835</v>
      </c>
      <c r="AL50" s="3">
        <f t="shared" si="216"/>
        <v>0.24242424242424243</v>
      </c>
      <c r="AM50" s="3">
        <f t="shared" si="216"/>
        <v>0.17910447761194037</v>
      </c>
      <c r="AN50" s="3">
        <f t="shared" si="216"/>
        <v>0.13571428571428568</v>
      </c>
      <c r="AO50" s="3">
        <f t="shared" si="216"/>
        <v>0.13605442176870741</v>
      </c>
      <c r="AP50" s="249">
        <f t="shared" si="216"/>
        <v>0.17179023508137425</v>
      </c>
      <c r="AQ50" s="3">
        <f t="shared" si="216"/>
        <v>8.5365853658536661E-2</v>
      </c>
      <c r="AR50" s="3">
        <f t="shared" si="216"/>
        <v>6.3291139240506222E-2</v>
      </c>
      <c r="AS50" s="3">
        <f t="shared" si="216"/>
        <v>8.8050314465408785E-2</v>
      </c>
      <c r="AT50" s="3">
        <f t="shared" si="216"/>
        <v>4.7904191616766401E-2</v>
      </c>
      <c r="AU50" s="249">
        <f t="shared" si="216"/>
        <v>7.0987654320987748E-2</v>
      </c>
      <c r="AV50" s="3">
        <f t="shared" si="216"/>
        <v>3.9325842696629199E-2</v>
      </c>
      <c r="AW50" s="3">
        <f t="shared" si="216"/>
        <v>0.14285714285714279</v>
      </c>
      <c r="AX50" s="3">
        <f t="shared" si="216"/>
        <v>0.1502890173410405</v>
      </c>
      <c r="AY50" s="3">
        <f t="shared" si="216"/>
        <v>0.14285714285714279</v>
      </c>
      <c r="AZ50" s="249">
        <f t="shared" si="216"/>
        <v>0.11815561959654186</v>
      </c>
      <c r="BA50" s="3">
        <f t="shared" si="216"/>
        <v>0.18378378378378368</v>
      </c>
      <c r="BB50" s="3">
        <f t="shared" si="216"/>
        <v>0.13541666666666674</v>
      </c>
      <c r="BC50" s="3">
        <f t="shared" si="216"/>
        <v>0.14070351758793964</v>
      </c>
      <c r="BD50" s="3">
        <f t="shared" si="216"/>
        <v>0.13500000000000001</v>
      </c>
      <c r="BE50" s="249">
        <f t="shared" si="216"/>
        <v>0.14819587628865971</v>
      </c>
      <c r="BF50" s="3">
        <f t="shared" si="216"/>
        <v>7.3059360730593603E-2</v>
      </c>
      <c r="BG50" s="3">
        <f t="shared" si="216"/>
        <v>7.7981651376146877E-2</v>
      </c>
      <c r="BH50" s="3">
        <f t="shared" si="216"/>
        <v>3.9647577092511099E-2</v>
      </c>
      <c r="BI50" s="3">
        <f t="shared" si="216"/>
        <v>6.1674008810572722E-2</v>
      </c>
      <c r="BJ50" s="249">
        <f t="shared" si="216"/>
        <v>6.285072951739612E-2</v>
      </c>
      <c r="BK50" s="3">
        <f t="shared" si="216"/>
        <v>8.5106382978723305E-2</v>
      </c>
      <c r="BL50" s="3">
        <f t="shared" si="216"/>
        <v>9.7872340425531945E-2</v>
      </c>
      <c r="BM50" s="3">
        <f t="shared" si="216"/>
        <v>9.3220338983050821E-2</v>
      </c>
      <c r="BN50" s="3">
        <f t="shared" si="216"/>
        <v>0.1203319502074689</v>
      </c>
      <c r="BO50" s="249">
        <f t="shared" si="216"/>
        <v>9.9260823653643193E-2</v>
      </c>
      <c r="BP50" s="3">
        <f t="shared" ref="BP50:BW50" si="217">BP49/BK49-1</f>
        <v>9.8039215686274606E-2</v>
      </c>
      <c r="BQ50" s="3">
        <f t="shared" si="217"/>
        <v>8.1395348837209225E-2</v>
      </c>
      <c r="BR50" s="3">
        <f t="shared" si="217"/>
        <v>6.9767441860465018E-2</v>
      </c>
      <c r="BS50" s="3">
        <f t="shared" si="217"/>
        <v>6.6666666666666652E-2</v>
      </c>
      <c r="BT50" s="249">
        <f t="shared" si="217"/>
        <v>7.8770413064361167E-2</v>
      </c>
      <c r="BU50" s="3">
        <f t="shared" si="217"/>
        <v>0.17500000000000004</v>
      </c>
      <c r="BV50" s="3">
        <f t="shared" si="217"/>
        <v>0.13261648745519716</v>
      </c>
      <c r="BW50" s="3">
        <f t="shared" si="217"/>
        <v>0.1123188405797102</v>
      </c>
      <c r="BX50" s="3">
        <f>BX49/BS49-1</f>
        <v>0.10069444444444442</v>
      </c>
      <c r="BY50" s="249">
        <f>BY49/BT49-1</f>
        <v>0.13000890471950144</v>
      </c>
      <c r="BZ50" s="3">
        <f>BZ49/BU49-1</f>
        <v>5.4711246200607855E-2</v>
      </c>
      <c r="CA50" s="3">
        <f>CA49/BV49-1</f>
        <v>8.2278481012658222E-2</v>
      </c>
      <c r="CB50" s="3">
        <f>CB49/BW49-1</f>
        <v>0.11400651465798051</v>
      </c>
      <c r="CC50" s="3">
        <f t="shared" ref="CC50:CD50" si="218">CC49/BX49-1</f>
        <v>0.12618296529968465</v>
      </c>
      <c r="CD50" s="249">
        <f t="shared" si="218"/>
        <v>9.3774625689519331E-2</v>
      </c>
      <c r="CE50" s="3">
        <f>CE49/BZ49-1</f>
        <v>0.10086455331412103</v>
      </c>
      <c r="CF50" s="3">
        <f>CF49/CA49-1</f>
        <v>0.10233918128654973</v>
      </c>
      <c r="CG50" s="3">
        <f>CG49/CB49-1</f>
        <v>0.11988304093567259</v>
      </c>
      <c r="CH50" s="3">
        <f t="shared" ref="CH50" si="219">CH49/CC49-1</f>
        <v>8.6834733893557337E-2</v>
      </c>
      <c r="CI50" s="249">
        <f t="shared" ref="CI50:CS50" si="220">CI49/CD49-1</f>
        <v>0.10230547550432267</v>
      </c>
      <c r="CJ50" s="3">
        <f>CJ49/CE49-1</f>
        <v>0.21989528795811508</v>
      </c>
      <c r="CK50" s="3">
        <f>CK49/CF49-1</f>
        <v>0.18302387267904519</v>
      </c>
      <c r="CL50" s="3">
        <f>CL49/CG49-1</f>
        <v>0.18537859007832891</v>
      </c>
      <c r="CM50" s="3">
        <f t="shared" ref="CM50" si="221">CM49/CH49-1</f>
        <v>0.231958762886598</v>
      </c>
      <c r="CN50" s="249">
        <f t="shared" ref="CN50" si="222">CN49/CI49-1</f>
        <v>0.20522875816993458</v>
      </c>
      <c r="CO50" s="3">
        <f t="shared" si="220"/>
        <v>6.790021881838082E-2</v>
      </c>
      <c r="CP50" s="3">
        <f t="shared" si="220"/>
        <v>9.9141900647948145E-2</v>
      </c>
      <c r="CQ50" s="3">
        <f t="shared" si="220"/>
        <v>6.384285714285709E-2</v>
      </c>
      <c r="CR50" s="3">
        <f t="shared" si="220"/>
        <v>3.3898305084745672E-2</v>
      </c>
      <c r="CS50" s="249">
        <f t="shared" si="220"/>
        <v>6.5643620733034647E-2</v>
      </c>
      <c r="CT50" s="3"/>
      <c r="CU50" s="3"/>
      <c r="CV50" s="3"/>
      <c r="CW50" s="3"/>
      <c r="CX50" s="249">
        <f>CX49/CS49-1</f>
        <v>0.14672717842323668</v>
      </c>
      <c r="CY50" s="3"/>
      <c r="CZ50" s="3"/>
      <c r="DA50" s="3"/>
      <c r="DB50" s="3"/>
      <c r="DC50" s="249">
        <f>DC49/CX49-1</f>
        <v>0.10342574257425752</v>
      </c>
      <c r="DD50" s="25"/>
      <c r="DE50" s="178"/>
      <c r="DR50" s="487"/>
      <c r="DS50" s="25"/>
    </row>
    <row r="51" spans="1:131" x14ac:dyDescent="0.2">
      <c r="A51" s="39" t="str">
        <f>$A45&amp;" per ASM (cents)"</f>
        <v>Salaries, Wages, and Benefits per ASM (cents)</v>
      </c>
      <c r="B51" s="261"/>
      <c r="C51" s="20"/>
      <c r="D51" s="20"/>
      <c r="E51" s="20"/>
      <c r="F51" s="20"/>
      <c r="G51" s="261"/>
      <c r="H51" s="53">
        <f t="shared" ref="H51:Q51" si="223">H45/H6*100</f>
        <v>2.1340694936797111</v>
      </c>
      <c r="I51" s="53">
        <f t="shared" si="223"/>
        <v>1.9633742183141396</v>
      </c>
      <c r="J51" s="53">
        <f t="shared" si="223"/>
        <v>1.9097039556574504</v>
      </c>
      <c r="K51" s="53">
        <f t="shared" si="223"/>
        <v>2.0707572567336272</v>
      </c>
      <c r="L51" s="261">
        <f t="shared" si="223"/>
        <v>2.01417828288937</v>
      </c>
      <c r="M51" s="53">
        <f t="shared" si="223"/>
        <v>2.0785052053980069</v>
      </c>
      <c r="N51" s="53">
        <f t="shared" si="223"/>
        <v>1.9471945999017655</v>
      </c>
      <c r="O51" s="53">
        <f t="shared" si="223"/>
        <v>1.8743708620570443</v>
      </c>
      <c r="P51" s="53">
        <f t="shared" si="223"/>
        <v>1.9976876606157348</v>
      </c>
      <c r="Q51" s="261">
        <f t="shared" si="223"/>
        <v>1.9683521890577333</v>
      </c>
      <c r="R51" s="53">
        <f t="shared" ref="R51:AW51" si="224">R49/R6*100</f>
        <v>1.9499525542730114</v>
      </c>
      <c r="S51" s="53">
        <f t="shared" si="224"/>
        <v>1.9671051004528244</v>
      </c>
      <c r="T51" s="53">
        <f t="shared" si="224"/>
        <v>1.886045851900257</v>
      </c>
      <c r="U51" s="53">
        <f t="shared" si="224"/>
        <v>1.9439738041571546</v>
      </c>
      <c r="V51" s="261">
        <f t="shared" si="224"/>
        <v>1.9350726361576036</v>
      </c>
      <c r="W51" s="53">
        <f t="shared" si="224"/>
        <v>1.8391284147046831</v>
      </c>
      <c r="X51" s="53">
        <f t="shared" si="224"/>
        <v>1.801711262789107</v>
      </c>
      <c r="Y51" s="53">
        <f t="shared" si="224"/>
        <v>1.7460243558808763</v>
      </c>
      <c r="Z51" s="53">
        <f t="shared" si="224"/>
        <v>1.7539841778958392</v>
      </c>
      <c r="AA51" s="261">
        <f t="shared" si="224"/>
        <v>1.7826507897419346</v>
      </c>
      <c r="AB51" s="53">
        <f t="shared" si="224"/>
        <v>1.9048676705516892</v>
      </c>
      <c r="AC51" s="53">
        <f t="shared" si="224"/>
        <v>1.8033765522903769</v>
      </c>
      <c r="AD51" s="53">
        <f t="shared" si="224"/>
        <v>1.701821675835639</v>
      </c>
      <c r="AE51" s="53">
        <f t="shared" si="224"/>
        <v>1.7129406537904679</v>
      </c>
      <c r="AF51" s="261">
        <f t="shared" si="224"/>
        <v>1.7741270401239602</v>
      </c>
      <c r="AG51" s="53">
        <f t="shared" si="224"/>
        <v>2.0069940702447924</v>
      </c>
      <c r="AH51" s="53">
        <f t="shared" si="224"/>
        <v>1.8605942793668426</v>
      </c>
      <c r="AI51" s="53">
        <f t="shared" si="224"/>
        <v>1.8575029852726548</v>
      </c>
      <c r="AJ51" s="53">
        <f t="shared" si="224"/>
        <v>2.019785655399835</v>
      </c>
      <c r="AK51" s="261">
        <f t="shared" si="224"/>
        <v>1.9339721619920263</v>
      </c>
      <c r="AL51" s="53">
        <f t="shared" si="224"/>
        <v>2.2252374491180462</v>
      </c>
      <c r="AM51" s="53">
        <f t="shared" si="224"/>
        <v>1.9588395735184727</v>
      </c>
      <c r="AN51" s="53">
        <f t="shared" si="224"/>
        <v>1.9030520646319569</v>
      </c>
      <c r="AO51" s="53">
        <f t="shared" si="224"/>
        <v>2.0584247504005915</v>
      </c>
      <c r="AP51" s="261">
        <f t="shared" si="224"/>
        <v>2.0310932798395189</v>
      </c>
      <c r="AQ51" s="53">
        <f t="shared" si="224"/>
        <v>2.1203097081596187</v>
      </c>
      <c r="AR51" s="53">
        <f t="shared" si="224"/>
        <v>2.004055827269474</v>
      </c>
      <c r="AS51" s="53">
        <f t="shared" si="224"/>
        <v>2.1216580819229827</v>
      </c>
      <c r="AT51" s="53">
        <f t="shared" si="224"/>
        <v>2.3302263648468711</v>
      </c>
      <c r="AU51" s="261">
        <f t="shared" si="224"/>
        <v>2.1392022686640777</v>
      </c>
      <c r="AV51" s="53">
        <f t="shared" si="224"/>
        <v>2.3292707493956488</v>
      </c>
      <c r="AW51" s="53">
        <f t="shared" si="224"/>
        <v>2.3309457326696612</v>
      </c>
      <c r="AX51" s="53">
        <f t="shared" ref="AX51:CC51" si="225">AX49/AX6*100</f>
        <v>2.3715886068406626</v>
      </c>
      <c r="AY51" s="53">
        <f t="shared" si="225"/>
        <v>2.5037556334501754</v>
      </c>
      <c r="AZ51" s="261">
        <f t="shared" si="225"/>
        <v>2.3834095041525378</v>
      </c>
      <c r="BA51" s="53">
        <f t="shared" si="225"/>
        <v>2.5998323761043349</v>
      </c>
      <c r="BB51" s="53">
        <f t="shared" si="225"/>
        <v>2.5091422554748761</v>
      </c>
      <c r="BC51" s="53">
        <f t="shared" si="225"/>
        <v>2.4939573720061525</v>
      </c>
      <c r="BD51" s="53">
        <f t="shared" si="225"/>
        <v>2.6611365045796163</v>
      </c>
      <c r="BE51" s="261">
        <f t="shared" si="225"/>
        <v>2.5644687586399706</v>
      </c>
      <c r="BF51" s="53">
        <f t="shared" si="225"/>
        <v>2.7611939684713946</v>
      </c>
      <c r="BG51" s="53">
        <f t="shared" si="225"/>
        <v>2.4891430992479613</v>
      </c>
      <c r="BH51" s="53">
        <f t="shared" si="225"/>
        <v>2.3947234906139014</v>
      </c>
      <c r="BI51" s="53">
        <f t="shared" si="225"/>
        <v>2.557029177718833</v>
      </c>
      <c r="BJ51" s="261">
        <f t="shared" si="225"/>
        <v>2.5435238699508869</v>
      </c>
      <c r="BK51" s="53">
        <f t="shared" si="225"/>
        <v>2.6740771812080539</v>
      </c>
      <c r="BL51" s="53">
        <f t="shared" si="225"/>
        <v>2.5901013954422245</v>
      </c>
      <c r="BM51" s="53">
        <f t="shared" si="225"/>
        <v>2.4103139013452917</v>
      </c>
      <c r="BN51" s="53">
        <f t="shared" si="225"/>
        <v>2.7344541219363987</v>
      </c>
      <c r="BO51" s="261">
        <f t="shared" si="225"/>
        <v>2.5976294447910169</v>
      </c>
      <c r="BP51" s="53">
        <f t="shared" si="225"/>
        <v>2.7613412228796843</v>
      </c>
      <c r="BQ51" s="53">
        <f t="shared" si="225"/>
        <v>2.5975235080532539</v>
      </c>
      <c r="BR51" s="53">
        <f t="shared" si="225"/>
        <v>2.4528972627088517</v>
      </c>
      <c r="BS51" s="53">
        <f t="shared" si="225"/>
        <v>2.6938546440931623</v>
      </c>
      <c r="BT51" s="261">
        <f t="shared" si="225"/>
        <v>2.6223612927330469</v>
      </c>
      <c r="BU51" s="53">
        <f t="shared" si="225"/>
        <v>3.1576926768403881</v>
      </c>
      <c r="BV51" s="53">
        <f t="shared" si="225"/>
        <v>2.7753381345512032</v>
      </c>
      <c r="BW51" s="53">
        <f t="shared" si="225"/>
        <v>2.6123213070115723</v>
      </c>
      <c r="BX51" s="53">
        <f t="shared" si="225"/>
        <v>2.7719482336481289</v>
      </c>
      <c r="BY51" s="261">
        <f t="shared" si="225"/>
        <v>2.8204387349143203</v>
      </c>
      <c r="BZ51" s="53">
        <f t="shared" si="225"/>
        <v>3.0387949908047993</v>
      </c>
      <c r="CA51" s="53">
        <f t="shared" si="225"/>
        <v>2.7948026477077716</v>
      </c>
      <c r="CB51" s="53">
        <f t="shared" si="225"/>
        <v>2.6356350184956843</v>
      </c>
      <c r="CC51" s="53">
        <f t="shared" si="225"/>
        <v>2.8274988119752891</v>
      </c>
      <c r="CD51" s="261">
        <f t="shared" ref="CD51:CH51" si="226">CD49/CD6*100</f>
        <v>2.817816395306346</v>
      </c>
      <c r="CE51" s="53">
        <f t="shared" si="226"/>
        <v>2.9319210990866531</v>
      </c>
      <c r="CF51" s="53">
        <f t="shared" si="226"/>
        <v>2.7726704420092667</v>
      </c>
      <c r="CG51" s="53">
        <f t="shared" si="226"/>
        <v>2.7761670049289648</v>
      </c>
      <c r="CH51" s="53">
        <f t="shared" si="226"/>
        <v>2.9398393696014544</v>
      </c>
      <c r="CI51" s="261">
        <f>CI45/CI6*100</f>
        <v>3.1667288325251772</v>
      </c>
      <c r="CJ51" s="53">
        <f t="shared" ref="CJ51:CM51" si="227">CJ49/CJ6*100</f>
        <v>3.4315169366715761</v>
      </c>
      <c r="CK51" s="53">
        <f t="shared" si="227"/>
        <v>3.1307033553278116</v>
      </c>
      <c r="CL51" s="53">
        <f t="shared" si="227"/>
        <v>3.1734936390325736</v>
      </c>
      <c r="CM51" s="53">
        <f t="shared" si="227"/>
        <v>3.4447967714038628</v>
      </c>
      <c r="CN51" s="261">
        <f>CN45/CN6*100</f>
        <v>3.3673760891301243</v>
      </c>
      <c r="CO51" s="53">
        <f t="shared" ref="CO51" si="228">CO49/CO6*100</f>
        <v>3.5474517788485538</v>
      </c>
      <c r="CP51" s="53">
        <f t="shared" ref="CP51:CR51" si="229">CP49/CP6*100</f>
        <v>3.2159693797569333</v>
      </c>
      <c r="CQ51" s="53">
        <f t="shared" si="229"/>
        <v>3.0691804909755418</v>
      </c>
      <c r="CR51" s="53">
        <f t="shared" si="229"/>
        <v>3.2977495771443128</v>
      </c>
      <c r="CS51" s="261">
        <f>CS45/CS6*100</f>
        <v>3.3650079885009871</v>
      </c>
      <c r="CT51" s="53" t="e">
        <f t="shared" ref="CT51:CX51" si="230">CT49/CT6*100</f>
        <v>#DIV/0!</v>
      </c>
      <c r="CU51" s="53" t="e">
        <f t="shared" si="230"/>
        <v>#DIV/0!</v>
      </c>
      <c r="CV51" s="53" t="e">
        <f t="shared" si="230"/>
        <v>#DIV/0!</v>
      </c>
      <c r="CW51" s="53" t="e">
        <f t="shared" si="230"/>
        <v>#DIV/0!</v>
      </c>
      <c r="CX51" s="261">
        <f t="shared" si="230"/>
        <v>3.5102748780213631</v>
      </c>
      <c r="CY51" s="53" t="e">
        <f t="shared" ref="CY51:DC51" si="231">CY49/CY6*100</f>
        <v>#DIV/0!</v>
      </c>
      <c r="CZ51" s="53" t="e">
        <f t="shared" si="231"/>
        <v>#DIV/0!</v>
      </c>
      <c r="DA51" s="53" t="e">
        <f t="shared" si="231"/>
        <v>#DIV/0!</v>
      </c>
      <c r="DB51" s="53" t="e">
        <f t="shared" si="231"/>
        <v>#DIV/0!</v>
      </c>
      <c r="DC51" s="261">
        <f t="shared" si="231"/>
        <v>3.6199323961873682</v>
      </c>
      <c r="DD51" s="25"/>
      <c r="DE51" s="178"/>
      <c r="DF51" s="760"/>
      <c r="DJ51" s="432"/>
      <c r="DK51" s="776" t="s">
        <v>454</v>
      </c>
      <c r="DL51" s="389"/>
      <c r="DM51" s="389"/>
      <c r="DN51" s="389"/>
      <c r="DO51" s="389"/>
      <c r="DP51" s="389"/>
      <c r="DQ51" s="389"/>
      <c r="DR51" s="487"/>
      <c r="DS51" s="25"/>
    </row>
    <row r="52" spans="1:131" x14ac:dyDescent="0.2">
      <c r="A52" s="12" t="s">
        <v>131</v>
      </c>
      <c r="B52" s="249"/>
      <c r="C52" s="20"/>
      <c r="D52" s="20"/>
      <c r="E52" s="20"/>
      <c r="F52" s="20"/>
      <c r="G52" s="249"/>
      <c r="H52" s="3"/>
      <c r="I52" s="3"/>
      <c r="J52" s="3"/>
      <c r="K52" s="3"/>
      <c r="L52" s="249"/>
      <c r="M52" s="3">
        <f t="shared" ref="M52:BW52" si="232">M51/H51-1</f>
        <v>-2.6036775487520036E-2</v>
      </c>
      <c r="N52" s="3">
        <f t="shared" si="232"/>
        <v>-8.2407206234310637E-3</v>
      </c>
      <c r="O52" s="3">
        <f t="shared" si="232"/>
        <v>-1.8501869620017652E-2</v>
      </c>
      <c r="P52" s="3">
        <f t="shared" si="232"/>
        <v>-3.5286413161314201E-2</v>
      </c>
      <c r="Q52" s="249">
        <f t="shared" si="232"/>
        <v>-2.2751756495903774E-2</v>
      </c>
      <c r="R52" s="3">
        <f t="shared" si="232"/>
        <v>-6.1848606773337034E-2</v>
      </c>
      <c r="S52" s="3">
        <f t="shared" si="232"/>
        <v>1.0225223792251326E-2</v>
      </c>
      <c r="T52" s="3">
        <f t="shared" si="232"/>
        <v>6.2287512463781169E-3</v>
      </c>
      <c r="U52" s="3">
        <f t="shared" si="232"/>
        <v>-2.6888015337705129E-2</v>
      </c>
      <c r="V52" s="249">
        <f t="shared" si="232"/>
        <v>-1.6907316223760183E-2</v>
      </c>
      <c r="W52" s="3">
        <f t="shared" si="232"/>
        <v>-5.6834274929138506E-2</v>
      </c>
      <c r="X52" s="3">
        <f t="shared" si="232"/>
        <v>-8.407981740560988E-2</v>
      </c>
      <c r="Y52" s="3">
        <f t="shared" si="232"/>
        <v>-7.4240769851010802E-2</v>
      </c>
      <c r="Z52" s="3">
        <f t="shared" si="232"/>
        <v>-9.7732606198203897E-2</v>
      </c>
      <c r="AA52" s="249">
        <f t="shared" si="232"/>
        <v>-7.8768023260525788E-2</v>
      </c>
      <c r="AB52" s="3">
        <f t="shared" si="232"/>
        <v>3.574478830373673E-2</v>
      </c>
      <c r="AC52" s="3">
        <f t="shared" si="232"/>
        <v>9.2428211759743029E-4</v>
      </c>
      <c r="AD52" s="3">
        <f t="shared" si="232"/>
        <v>-2.5316187541345569E-2</v>
      </c>
      <c r="AE52" s="3">
        <f t="shared" si="232"/>
        <v>-2.3400167813719341E-2</v>
      </c>
      <c r="AF52" s="249">
        <f t="shared" si="232"/>
        <v>-4.781502730104692E-3</v>
      </c>
      <c r="AG52" s="3">
        <f t="shared" si="232"/>
        <v>5.3613382846444901E-2</v>
      </c>
      <c r="AH52" s="3">
        <f t="shared" si="232"/>
        <v>3.172810858819064E-2</v>
      </c>
      <c r="AI52" s="3">
        <f t="shared" si="232"/>
        <v>9.147921409601989E-2</v>
      </c>
      <c r="AJ52" s="3">
        <f t="shared" si="232"/>
        <v>0.17913346906115368</v>
      </c>
      <c r="AK52" s="249">
        <f t="shared" si="232"/>
        <v>9.009790068748269E-2</v>
      </c>
      <c r="AL52" s="3">
        <f t="shared" si="232"/>
        <v>0.10874141688252958</v>
      </c>
      <c r="AM52" s="3">
        <f t="shared" si="232"/>
        <v>5.2803179737316297E-2</v>
      </c>
      <c r="AN52" s="3">
        <f t="shared" si="232"/>
        <v>2.4521672223647206E-2</v>
      </c>
      <c r="AO52" s="3">
        <f t="shared" si="232"/>
        <v>1.9130294790170366E-2</v>
      </c>
      <c r="AP52" s="249">
        <f t="shared" si="232"/>
        <v>5.0218467336911488E-2</v>
      </c>
      <c r="AQ52" s="3">
        <f t="shared" si="232"/>
        <v>-4.715350310143962E-2</v>
      </c>
      <c r="AR52" s="3">
        <f t="shared" si="232"/>
        <v>2.3083183718707323E-2</v>
      </c>
      <c r="AS52" s="3">
        <f t="shared" si="232"/>
        <v>0.11487127512368045</v>
      </c>
      <c r="AT52" s="3">
        <f t="shared" si="232"/>
        <v>0.13204350287441113</v>
      </c>
      <c r="AU52" s="249">
        <f>AU51/AP51-1</f>
        <v>5.3226993510165466E-2</v>
      </c>
      <c r="AV52" s="3">
        <f t="shared" si="232"/>
        <v>9.8552131526768116E-2</v>
      </c>
      <c r="AW52" s="3">
        <f t="shared" si="232"/>
        <v>0.16311417124820049</v>
      </c>
      <c r="AX52" s="3">
        <f t="shared" si="232"/>
        <v>0.11779962428778967</v>
      </c>
      <c r="AY52" s="3">
        <f t="shared" si="232"/>
        <v>7.4468846126332311E-2</v>
      </c>
      <c r="AZ52" s="249">
        <f>AZ51/AU51-1</f>
        <v>0.11415808550023954</v>
      </c>
      <c r="BA52" s="3">
        <f t="shared" si="232"/>
        <v>0.11615722507951731</v>
      </c>
      <c r="BB52" s="3">
        <f t="shared" si="232"/>
        <v>7.6448164497216364E-2</v>
      </c>
      <c r="BC52" s="3">
        <f t="shared" si="232"/>
        <v>5.1597804447418349E-2</v>
      </c>
      <c r="BD52" s="3">
        <f t="shared" si="232"/>
        <v>6.2857919929098616E-2</v>
      </c>
      <c r="BE52" s="249">
        <f>BE51/AZ51-1</f>
        <v>7.5966490094119044E-2</v>
      </c>
      <c r="BF52" s="3">
        <f>BF51/BA51-1</f>
        <v>6.2066152360502835E-2</v>
      </c>
      <c r="BG52" s="3">
        <f t="shared" si="232"/>
        <v>-7.9705150966539184E-3</v>
      </c>
      <c r="BH52" s="3">
        <f t="shared" si="232"/>
        <v>-3.9789726362654987E-2</v>
      </c>
      <c r="BI52" s="3">
        <f t="shared" si="232"/>
        <v>-3.9121377908131527E-2</v>
      </c>
      <c r="BJ52" s="249">
        <f>BJ51/BE51-1</f>
        <v>-8.1673401629550613E-3</v>
      </c>
      <c r="BK52" s="3">
        <f>BK51/BF51-1</f>
        <v>-3.1550404737255344E-2</v>
      </c>
      <c r="BL52" s="3">
        <f t="shared" si="232"/>
        <v>4.0559458483831357E-2</v>
      </c>
      <c r="BM52" s="3">
        <f t="shared" si="232"/>
        <v>6.5103177016039293E-3</v>
      </c>
      <c r="BN52" s="3">
        <f t="shared" si="232"/>
        <v>6.9387141047740908E-2</v>
      </c>
      <c r="BO52" s="249">
        <f>BO51/BJ51-1</f>
        <v>2.1271895844710453E-2</v>
      </c>
      <c r="BP52" s="3">
        <f t="shared" si="232"/>
        <v>3.2633329465908467E-2</v>
      </c>
      <c r="BQ52" s="3">
        <f t="shared" si="232"/>
        <v>2.8655683611806815E-3</v>
      </c>
      <c r="BR52" s="3">
        <f t="shared" si="232"/>
        <v>1.7667143412230413E-2</v>
      </c>
      <c r="BS52" s="3">
        <f t="shared" si="232"/>
        <v>-1.4847379415708017E-2</v>
      </c>
      <c r="BT52" s="249">
        <f>BT51/BO51-1</f>
        <v>9.5209299354164223E-3</v>
      </c>
      <c r="BU52" s="3">
        <f t="shared" si="232"/>
        <v>0.14353584797005481</v>
      </c>
      <c r="BV52" s="3">
        <f t="shared" si="232"/>
        <v>6.8455444559658574E-2</v>
      </c>
      <c r="BW52" s="3">
        <f t="shared" si="232"/>
        <v>6.499417922080486E-2</v>
      </c>
      <c r="BX52" s="3">
        <f>BX51/BS51-1</f>
        <v>2.8989533539310663E-2</v>
      </c>
      <c r="BY52" s="249">
        <f>BY51/BT51-1</f>
        <v>7.5534001638208892E-2</v>
      </c>
      <c r="BZ52" s="3">
        <f>BZ51/BU51-1</f>
        <v>-3.7653343185556243E-2</v>
      </c>
      <c r="CA52" s="3">
        <f>CA51/BV51-1</f>
        <v>7.0133843924269357E-3</v>
      </c>
      <c r="CB52" s="3">
        <f>CB51/BW51-1</f>
        <v>8.9245191322893103E-3</v>
      </c>
      <c r="CC52" s="3">
        <f t="shared" ref="CC52:CD52" si="233">CC51/BX51-1</f>
        <v>2.0040265417962333E-2</v>
      </c>
      <c r="CD52" s="249">
        <f t="shared" si="233"/>
        <v>-9.2976301009917162E-4</v>
      </c>
      <c r="CE52" s="3">
        <f>CE51/BZ51-1</f>
        <v>-3.5169826211225108E-2</v>
      </c>
      <c r="CF52" s="3">
        <f>CF51/CA51-1</f>
        <v>-7.9190585126492907E-3</v>
      </c>
      <c r="CG52" s="3">
        <f>CG51/CB51-1</f>
        <v>5.331997239643993E-2</v>
      </c>
      <c r="CH52" s="3">
        <f t="shared" ref="CH52" si="234">CH51/CC51-1</f>
        <v>3.9731425226553707E-2</v>
      </c>
      <c r="CI52" s="249">
        <f t="shared" ref="CI52:CS52" si="235">CI51/CD51-1</f>
        <v>0.12382369475882693</v>
      </c>
      <c r="CJ52" s="3">
        <f>CJ51/CE51-1</f>
        <v>0.1703988002066481</v>
      </c>
      <c r="CK52" s="3">
        <f>CK51/CF51-1</f>
        <v>0.12912927115098816</v>
      </c>
      <c r="CL52" s="3">
        <f>CL51/CG51-1</f>
        <v>0.14312058078572809</v>
      </c>
      <c r="CM52" s="3">
        <f t="shared" ref="CM52" si="236">CM51/CH51-1</f>
        <v>0.17176360280897396</v>
      </c>
      <c r="CN52" s="249">
        <f t="shared" ref="CN52" si="237">CN51/CI51-1</f>
        <v>6.3361047698217154E-2</v>
      </c>
      <c r="CO52" s="3">
        <f t="shared" si="235"/>
        <v>3.378530379320499E-2</v>
      </c>
      <c r="CP52" s="3">
        <f t="shared" si="235"/>
        <v>2.7235421166306395E-2</v>
      </c>
      <c r="CQ52" s="3">
        <f t="shared" si="235"/>
        <v>-3.2870129870129938E-2</v>
      </c>
      <c r="CR52" s="3">
        <f t="shared" si="235"/>
        <v>-4.2686754551161443E-2</v>
      </c>
      <c r="CS52" s="249">
        <f t="shared" si="235"/>
        <v>-7.0324803837074068E-4</v>
      </c>
      <c r="CT52" s="3"/>
      <c r="CU52" s="3"/>
      <c r="CV52" s="3"/>
      <c r="CW52" s="3"/>
      <c r="CX52" s="249">
        <f>CX51/CS51-1</f>
        <v>4.3169849824067796E-2</v>
      </c>
      <c r="CY52" s="3"/>
      <c r="CZ52" s="3"/>
      <c r="DA52" s="3"/>
      <c r="DB52" s="3"/>
      <c r="DC52" s="249">
        <f>DC51/CX51-1</f>
        <v>3.1239011751642565E-2</v>
      </c>
      <c r="DD52" s="25"/>
      <c r="DE52" s="178"/>
      <c r="DJ52" s="432"/>
      <c r="DK52" s="591"/>
      <c r="DL52" s="591" t="s">
        <v>455</v>
      </c>
      <c r="DM52" s="591">
        <v>2016</v>
      </c>
      <c r="DN52" s="591">
        <v>2017</v>
      </c>
      <c r="DO52" s="591">
        <v>2018</v>
      </c>
      <c r="DP52" s="591">
        <v>2019</v>
      </c>
      <c r="DQ52" s="397" t="s">
        <v>456</v>
      </c>
      <c r="DR52" s="487"/>
      <c r="DS52" s="25"/>
    </row>
    <row r="53" spans="1:131" x14ac:dyDescent="0.2">
      <c r="A53" s="346" t="s">
        <v>138</v>
      </c>
      <c r="B53" s="843"/>
      <c r="C53" s="36"/>
      <c r="D53" s="36"/>
      <c r="E53" s="36"/>
      <c r="F53" s="36"/>
      <c r="G53" s="843">
        <v>1028</v>
      </c>
      <c r="H53" s="68">
        <v>1350</v>
      </c>
      <c r="I53" s="68">
        <v>1587</v>
      </c>
      <c r="J53" s="68">
        <v>1876</v>
      </c>
      <c r="K53" s="68">
        <v>2116</v>
      </c>
      <c r="L53" s="252">
        <f>AVERAGE(H53:K53)</f>
        <v>1732.25</v>
      </c>
      <c r="M53" s="68">
        <f>2479*0.925</f>
        <v>2293.0750000000003</v>
      </c>
      <c r="N53" s="68">
        <f>2864*0.925</f>
        <v>2649.2000000000003</v>
      </c>
      <c r="O53" s="68">
        <v>3143</v>
      </c>
      <c r="P53" s="68">
        <f>3823*0.925</f>
        <v>3536.2750000000001</v>
      </c>
      <c r="Q53" s="252">
        <f>AVERAGE(M53:P53)</f>
        <v>2905.3875000000003</v>
      </c>
      <c r="R53" s="68">
        <v>4005</v>
      </c>
      <c r="S53" s="68">
        <v>4475</v>
      </c>
      <c r="T53" s="68">
        <v>4650</v>
      </c>
      <c r="U53" s="68">
        <v>4892</v>
      </c>
      <c r="V53" s="252">
        <f>AVERAGE(R53:U53)</f>
        <v>4505.5</v>
      </c>
      <c r="W53" s="68">
        <v>5292</v>
      </c>
      <c r="X53" s="68">
        <v>5781</v>
      </c>
      <c r="Y53" s="68">
        <v>6127</v>
      </c>
      <c r="Z53" s="68">
        <v>6413</v>
      </c>
      <c r="AA53" s="252">
        <f>AVERAGE(W53:Z53)</f>
        <v>5903.25</v>
      </c>
      <c r="AB53" s="68">
        <v>6797</v>
      </c>
      <c r="AC53" s="68">
        <v>7284</v>
      </c>
      <c r="AD53" s="68">
        <v>7452</v>
      </c>
      <c r="AE53" s="68">
        <v>8326</v>
      </c>
      <c r="AF53" s="252">
        <f>AVERAGE(AB53:AE53)</f>
        <v>7464.75</v>
      </c>
      <c r="AG53" s="68">
        <v>9039</v>
      </c>
      <c r="AH53" s="68">
        <v>9337</v>
      </c>
      <c r="AI53" s="68">
        <v>9223</v>
      </c>
      <c r="AJ53" s="68">
        <v>9265</v>
      </c>
      <c r="AK53" s="252">
        <f>AVERAGE(AG53:AJ53)</f>
        <v>9216</v>
      </c>
      <c r="AL53" s="68">
        <v>9260</v>
      </c>
      <c r="AM53" s="68">
        <v>9421</v>
      </c>
      <c r="AN53" s="68">
        <v>9301</v>
      </c>
      <c r="AO53" s="68">
        <v>9909</v>
      </c>
      <c r="AP53" s="252">
        <f>AVERAGE(AL53:AO53)</f>
        <v>9472.75</v>
      </c>
      <c r="AQ53" s="68">
        <v>10165</v>
      </c>
      <c r="AR53" s="68">
        <v>9856</v>
      </c>
      <c r="AS53" s="68">
        <v>9398</v>
      </c>
      <c r="AT53" s="68">
        <v>9895</v>
      </c>
      <c r="AU53" s="252">
        <f>AT53</f>
        <v>9895</v>
      </c>
      <c r="AV53" s="68">
        <v>10047</v>
      </c>
      <c r="AW53" s="68">
        <v>10235</v>
      </c>
      <c r="AX53" s="68">
        <v>10246</v>
      </c>
      <c r="AY53" s="68">
        <v>10704</v>
      </c>
      <c r="AZ53" s="252">
        <f>AY53</f>
        <v>10704</v>
      </c>
      <c r="BA53" s="68">
        <v>11084</v>
      </c>
      <c r="BB53" s="68">
        <v>10906</v>
      </c>
      <c r="BC53" s="68">
        <v>10669</v>
      </c>
      <c r="BD53" s="68">
        <v>11832.13245033113</v>
      </c>
      <c r="BE53" s="252">
        <f>BD53</f>
        <v>11832.13245033113</v>
      </c>
      <c r="BF53" s="68">
        <v>11452.169271523173</v>
      </c>
      <c r="BG53" s="68">
        <v>11609</v>
      </c>
      <c r="BH53" s="68">
        <v>11740</v>
      </c>
      <c r="BI53" s="68">
        <v>11733</v>
      </c>
      <c r="BJ53" s="252">
        <f>BI53</f>
        <v>11733</v>
      </c>
      <c r="BK53" s="68">
        <v>11965</v>
      </c>
      <c r="BL53" s="68">
        <v>12308</v>
      </c>
      <c r="BM53" s="68">
        <v>11797</v>
      </c>
      <c r="BN53" s="68">
        <v>12070</v>
      </c>
      <c r="BO53" s="252">
        <f>BN53</f>
        <v>12070</v>
      </c>
      <c r="BP53" s="68">
        <v>12385</v>
      </c>
      <c r="BQ53" s="68">
        <v>12743</v>
      </c>
      <c r="BR53" s="68">
        <v>12124</v>
      </c>
      <c r="BS53" s="68">
        <v>12647</v>
      </c>
      <c r="BT53" s="252">
        <f>BS53</f>
        <v>12647</v>
      </c>
      <c r="BU53" s="68">
        <v>13042</v>
      </c>
      <c r="BV53" s="68">
        <v>13162</v>
      </c>
      <c r="BW53" s="68">
        <v>13225</v>
      </c>
      <c r="BX53" s="68">
        <v>13335</v>
      </c>
      <c r="BY53" s="252">
        <f>BX53</f>
        <v>13335</v>
      </c>
      <c r="BZ53" s="68">
        <v>14761</v>
      </c>
      <c r="CA53" s="68">
        <v>14398</v>
      </c>
      <c r="CB53" s="68">
        <v>14808</v>
      </c>
      <c r="CC53" s="68">
        <v>14894</v>
      </c>
      <c r="CD53" s="252">
        <f>CC53</f>
        <v>14894</v>
      </c>
      <c r="CE53" s="68">
        <f>+CE54*2-CC53</f>
        <v>15514</v>
      </c>
      <c r="CF53" s="68">
        <f>+CF54*3-CE53-CD53</f>
        <v>15483</v>
      </c>
      <c r="CG53" s="68">
        <f>+CG54*4-CF53-CE53-CD53</f>
        <v>16193</v>
      </c>
      <c r="CH53" s="68">
        <f>+CH54*5-CG53-CF53-CE53-CD53</f>
        <v>16396</v>
      </c>
      <c r="CI53" s="252">
        <f>CH53</f>
        <v>16396</v>
      </c>
      <c r="CJ53" s="68">
        <f>+CJ54*2-CH53</f>
        <v>17048</v>
      </c>
      <c r="CK53" s="68">
        <f>+CK54*3-CJ53-CI53</f>
        <v>17079</v>
      </c>
      <c r="CL53" s="68">
        <f>+CL54*4-CK53-CJ53-CI53</f>
        <v>17681</v>
      </c>
      <c r="CM53" s="68">
        <f>+CM54*5-CL53-CK53-CJ53-CI53</f>
        <v>17386</v>
      </c>
      <c r="CN53" s="252">
        <f>CM53</f>
        <v>17386</v>
      </c>
      <c r="CO53" s="68">
        <f t="shared" ref="CO53:CR53" si="238">CO54*2-CN53</f>
        <v>16955.206652078778</v>
      </c>
      <c r="CP53" s="68">
        <f t="shared" si="238"/>
        <v>17644.13680364476</v>
      </c>
      <c r="CQ53" s="68">
        <f t="shared" si="238"/>
        <v>17578.357482069521</v>
      </c>
      <c r="CR53" s="68">
        <f t="shared" si="238"/>
        <v>17818.184890811834</v>
      </c>
      <c r="CS53" s="252">
        <f>CR53</f>
        <v>17818.184890811834</v>
      </c>
      <c r="CT53" s="68"/>
      <c r="CU53" s="68"/>
      <c r="CV53" s="68"/>
      <c r="CW53" s="68"/>
      <c r="CX53" s="252">
        <f>CX54*2-CS53</f>
        <v>18553.8085534028</v>
      </c>
      <c r="CY53" s="68"/>
      <c r="CZ53" s="68"/>
      <c r="DA53" s="68"/>
      <c r="DB53" s="68"/>
      <c r="DC53" s="252">
        <f>DC54*2-CX53</f>
        <v>20411.039869013272</v>
      </c>
      <c r="DD53" s="68"/>
      <c r="DE53" s="453"/>
      <c r="DJ53" s="430" t="s">
        <v>457</v>
      </c>
      <c r="DK53" s="591"/>
      <c r="DL53" s="777">
        <v>0.4</v>
      </c>
      <c r="DM53" s="778">
        <v>4.4999999999999998E-2</v>
      </c>
      <c r="DN53" s="777">
        <f>8%</f>
        <v>0.08</v>
      </c>
      <c r="DO53" s="778">
        <v>4.4999999999999998E-2</v>
      </c>
      <c r="DP53" s="777">
        <f>+DQ53</f>
        <v>0.2</v>
      </c>
      <c r="DQ53" s="778">
        <v>0.2</v>
      </c>
      <c r="DR53" s="490"/>
      <c r="DS53" s="68"/>
    </row>
    <row r="54" spans="1:131" x14ac:dyDescent="0.2">
      <c r="A54" s="347" t="s">
        <v>139</v>
      </c>
      <c r="B54" s="266"/>
      <c r="C54" s="36"/>
      <c r="D54" s="36"/>
      <c r="E54" s="36"/>
      <c r="F54" s="36"/>
      <c r="G54" s="266"/>
      <c r="H54" s="826">
        <f>AVERAGE(F53,H53)</f>
        <v>1350</v>
      </c>
      <c r="I54" s="826">
        <f>AVERAGE(H53:I53)</f>
        <v>1468.5</v>
      </c>
      <c r="J54" s="826">
        <f>AVERAGE(I53:J53)</f>
        <v>1731.5</v>
      </c>
      <c r="K54" s="826">
        <f>AVERAGE(J53:K53)</f>
        <v>1996</v>
      </c>
      <c r="L54" s="266">
        <f>AVERAGE(H54:K54)</f>
        <v>1636.5</v>
      </c>
      <c r="M54" s="826">
        <f>AVERAGE(K53,M53)</f>
        <v>2204.5375000000004</v>
      </c>
      <c r="N54" s="826">
        <f>AVERAGE(M53:N53)</f>
        <v>2471.1375000000003</v>
      </c>
      <c r="O54" s="826">
        <f>AVERAGE(N53:O53)</f>
        <v>2896.1000000000004</v>
      </c>
      <c r="P54" s="826">
        <f>AVERAGE(O53:P53)</f>
        <v>3339.6374999999998</v>
      </c>
      <c r="Q54" s="266">
        <f>AVERAGE(M54:P54)</f>
        <v>2727.8531250000005</v>
      </c>
      <c r="R54" s="826">
        <f>AVERAGE(P53,R53)</f>
        <v>3770.6374999999998</v>
      </c>
      <c r="S54" s="826">
        <f>AVERAGE(R53:S53)</f>
        <v>4240</v>
      </c>
      <c r="T54" s="826">
        <f>AVERAGE(S53:T53)</f>
        <v>4562.5</v>
      </c>
      <c r="U54" s="826">
        <f>AVERAGE(T53:U53)</f>
        <v>4771</v>
      </c>
      <c r="V54" s="266">
        <f>AVERAGE(R54:U54)</f>
        <v>4336.0343750000002</v>
      </c>
      <c r="W54" s="826">
        <f>AVERAGE(U53,W53)</f>
        <v>5092</v>
      </c>
      <c r="X54" s="826">
        <f>AVERAGE(W53:X53)</f>
        <v>5536.5</v>
      </c>
      <c r="Y54" s="826">
        <f>AVERAGE(X53:Y53)</f>
        <v>5954</v>
      </c>
      <c r="Z54" s="826">
        <f>AVERAGE(Y53:Z53)</f>
        <v>6270</v>
      </c>
      <c r="AA54" s="266">
        <f>AVERAGE(W54:Z54)</f>
        <v>5713.125</v>
      </c>
      <c r="AB54" s="826">
        <f>AVERAGE(Z53,AB53)</f>
        <v>6605</v>
      </c>
      <c r="AC54" s="826">
        <f>AVERAGE(AB53:AC53)</f>
        <v>7040.5</v>
      </c>
      <c r="AD54" s="826">
        <f>AVERAGE(AC53:AD53)</f>
        <v>7368</v>
      </c>
      <c r="AE54" s="826">
        <f>AVERAGE(AD53:AE53)</f>
        <v>7889</v>
      </c>
      <c r="AF54" s="266">
        <f>AVERAGE(AB54:AE54)</f>
        <v>7225.625</v>
      </c>
      <c r="AG54" s="826">
        <f>AVERAGE(AE53,AG53)</f>
        <v>8682.5</v>
      </c>
      <c r="AH54" s="826">
        <f>AVERAGE(AG53:AH53)</f>
        <v>9188</v>
      </c>
      <c r="AI54" s="826">
        <f>AVERAGE(AH53:AI53)</f>
        <v>9280</v>
      </c>
      <c r="AJ54" s="826">
        <f>AVERAGE(AI53:AJ53)</f>
        <v>9244</v>
      </c>
      <c r="AK54" s="266">
        <f>AVERAGE(AG54:AJ54)</f>
        <v>9098.625</v>
      </c>
      <c r="AL54" s="826">
        <f>AVERAGE(AJ53,AL53)</f>
        <v>9262.5</v>
      </c>
      <c r="AM54" s="826">
        <f>AVERAGE(AL53:AM53)</f>
        <v>9340.5</v>
      </c>
      <c r="AN54" s="826">
        <f>AVERAGE(AM53:AN53)</f>
        <v>9361</v>
      </c>
      <c r="AO54" s="826">
        <f>AVERAGE(AN53:AO53)</f>
        <v>9605</v>
      </c>
      <c r="AP54" s="266">
        <f>AVERAGE(AL54:AO54)</f>
        <v>9392.25</v>
      </c>
      <c r="AQ54" s="826">
        <f>AVERAGE(AO53,AQ53)</f>
        <v>10037</v>
      </c>
      <c r="AR54" s="826">
        <f>AVERAGE(AQ53,AR53)</f>
        <v>10010.5</v>
      </c>
      <c r="AS54" s="826">
        <f>AVERAGE(AR53,AS53)</f>
        <v>9627</v>
      </c>
      <c r="AT54" s="826">
        <f>AVERAGE(AS53,AT53)</f>
        <v>9646.5</v>
      </c>
      <c r="AU54" s="266">
        <f>AVERAGE(AQ54:AT54)</f>
        <v>9830.25</v>
      </c>
      <c r="AV54" s="826">
        <f>AVERAGE(AT53,AV53)</f>
        <v>9971</v>
      </c>
      <c r="AW54" s="826">
        <f>AVERAGE(AV53,AW53)</f>
        <v>10141</v>
      </c>
      <c r="AX54" s="826">
        <f>AVERAGE(AW53,AX53)</f>
        <v>10240.5</v>
      </c>
      <c r="AY54" s="826">
        <f>AVERAGE(AX53,AY53)</f>
        <v>10475</v>
      </c>
      <c r="AZ54" s="266">
        <f>AVERAGE(AV54:AY54)</f>
        <v>10206.875</v>
      </c>
      <c r="BA54" s="826">
        <f>AVERAGE(AY53,BA53)</f>
        <v>10894</v>
      </c>
      <c r="BB54" s="826">
        <f>AVERAGE(BA53,BB53)</f>
        <v>10995</v>
      </c>
      <c r="BC54" s="826">
        <f>AVERAGE(BB53,BC53)</f>
        <v>10787.5</v>
      </c>
      <c r="BD54" s="826">
        <f>AVERAGE(BC53,BD53)</f>
        <v>11250.566225165565</v>
      </c>
      <c r="BE54" s="266">
        <f>AVERAGE(AZ53:BD53)</f>
        <v>11039.026490066226</v>
      </c>
      <c r="BF54" s="826">
        <f>AVERAGE(BD53,BF53)</f>
        <v>11642.150860927151</v>
      </c>
      <c r="BG54" s="826">
        <f>AVERAGE(BF53,BG53)</f>
        <v>11530.584635761586</v>
      </c>
      <c r="BH54" s="826">
        <f>AVERAGE(BG53,BH53)</f>
        <v>11674.5</v>
      </c>
      <c r="BI54" s="826">
        <f>AVERAGE(BH53,BI53)</f>
        <v>11736.5</v>
      </c>
      <c r="BJ54" s="266">
        <f>AVERAGE(BF54:BI54)</f>
        <v>11645.933874172184</v>
      </c>
      <c r="BK54" s="826">
        <f>AVERAGE(BI53,BK53)</f>
        <v>11849</v>
      </c>
      <c r="BL54" s="826">
        <f>AVERAGE(BK53,BL53)</f>
        <v>12136.5</v>
      </c>
      <c r="BM54" s="826">
        <f>AVERAGE(BL53,BM53)</f>
        <v>12052.5</v>
      </c>
      <c r="BN54" s="826">
        <f>AVERAGE(BM53,BN53)</f>
        <v>11933.5</v>
      </c>
      <c r="BO54" s="266">
        <f>AVERAGE(BK54:BN54)</f>
        <v>11992.875</v>
      </c>
      <c r="BP54" s="826">
        <f>AVERAGE(BN53,BP53)</f>
        <v>12227.5</v>
      </c>
      <c r="BQ54" s="826">
        <f>AVERAGE(BP53,BQ53)</f>
        <v>12564</v>
      </c>
      <c r="BR54" s="826">
        <f>AVERAGE(BQ53,BR53)</f>
        <v>12433.5</v>
      </c>
      <c r="BS54" s="826">
        <f>AVERAGE(BR53,BS53)</f>
        <v>12385.5</v>
      </c>
      <c r="BT54" s="266">
        <f>AVERAGE(BP54:BS54)</f>
        <v>12402.625</v>
      </c>
      <c r="BU54" s="826">
        <f>AVERAGE(BS53,BU53)</f>
        <v>12844.5</v>
      </c>
      <c r="BV54" s="826">
        <f>AVERAGE(BU53,BV53)</f>
        <v>13102</v>
      </c>
      <c r="BW54" s="826">
        <f>AVERAGE(BV53,BW53)</f>
        <v>13193.5</v>
      </c>
      <c r="BX54" s="826">
        <f>AVERAGE(BW53,BX53)</f>
        <v>13280</v>
      </c>
      <c r="BY54" s="266">
        <f>AVERAGE(BU54:BX54)</f>
        <v>13105</v>
      </c>
      <c r="BZ54" s="826">
        <v>14048</v>
      </c>
      <c r="CA54" s="826">
        <f>AVERAGE(BZ53,CA53)</f>
        <v>14579.5</v>
      </c>
      <c r="CB54" s="826">
        <f>AVERAGE(CA53,CB53)</f>
        <v>14603</v>
      </c>
      <c r="CC54" s="826">
        <f>AVERAGE(CB53,CC53)</f>
        <v>14851</v>
      </c>
      <c r="CD54" s="266">
        <f>AVERAGE(BZ54:CC54)</f>
        <v>14520.375</v>
      </c>
      <c r="CE54" s="826">
        <v>15204</v>
      </c>
      <c r="CF54" s="826">
        <v>15297</v>
      </c>
      <c r="CG54" s="826">
        <v>15521</v>
      </c>
      <c r="CH54" s="826">
        <v>15696</v>
      </c>
      <c r="CI54" s="266">
        <f>AVERAGE(CE54:CH54)</f>
        <v>15429.5</v>
      </c>
      <c r="CJ54" s="826">
        <v>16722</v>
      </c>
      <c r="CK54" s="826">
        <v>16841</v>
      </c>
      <c r="CL54" s="826">
        <v>17051</v>
      </c>
      <c r="CM54" s="826">
        <v>17118</v>
      </c>
      <c r="CN54" s="266">
        <f>AVERAGE(CJ54:CM54)</f>
        <v>16933</v>
      </c>
      <c r="CO54" s="70">
        <f t="shared" ref="CO54" si="239">CO56*CO24</f>
        <v>17170.603326039389</v>
      </c>
      <c r="CP54" s="70">
        <f t="shared" ref="CP54:CR54" si="240">CP56*CP24</f>
        <v>17299.671727861769</v>
      </c>
      <c r="CQ54" s="70">
        <f t="shared" si="240"/>
        <v>17611.247142857141</v>
      </c>
      <c r="CR54" s="70">
        <f t="shared" si="240"/>
        <v>17698.271186440677</v>
      </c>
      <c r="CS54" s="266">
        <f>AVERAGE(CO54:CR54)</f>
        <v>17444.948345799745</v>
      </c>
      <c r="CT54" s="69"/>
      <c r="CU54" s="69"/>
      <c r="CV54" s="70"/>
      <c r="CW54" s="70"/>
      <c r="CX54" s="266">
        <f>CX56*CX24</f>
        <v>18185.996722107317</v>
      </c>
      <c r="CY54" s="69"/>
      <c r="CZ54" s="69"/>
      <c r="DA54" s="70"/>
      <c r="DB54" s="70"/>
      <c r="DC54" s="266">
        <f>DC56*DC24</f>
        <v>19482.424211208036</v>
      </c>
      <c r="DD54" s="68"/>
      <c r="DE54" s="453"/>
      <c r="DF54" s="575"/>
      <c r="DJ54" s="430" t="s">
        <v>253</v>
      </c>
      <c r="DK54" s="591"/>
      <c r="DL54" s="777">
        <f>1-DL53</f>
        <v>0.6</v>
      </c>
      <c r="DM54" s="778">
        <v>4.4999999999999998E-2</v>
      </c>
      <c r="DN54" s="777">
        <f>+DQ54</f>
        <v>0.08</v>
      </c>
      <c r="DO54" s="778">
        <v>4.4999999999999998E-2</v>
      </c>
      <c r="DP54" s="778">
        <v>4.4999999999999998E-2</v>
      </c>
      <c r="DQ54" s="778">
        <f>8%</f>
        <v>0.08</v>
      </c>
      <c r="DR54" s="490"/>
      <c r="DS54" s="68"/>
    </row>
    <row r="55" spans="1:131" x14ac:dyDescent="0.2">
      <c r="A55" s="11" t="s">
        <v>131</v>
      </c>
      <c r="B55" s="249"/>
      <c r="C55" s="20"/>
      <c r="D55" s="20"/>
      <c r="E55" s="20"/>
      <c r="F55" s="20"/>
      <c r="G55" s="249"/>
      <c r="H55" s="3"/>
      <c r="I55" s="3"/>
      <c r="J55" s="3"/>
      <c r="K55" s="3"/>
      <c r="L55" s="249"/>
      <c r="M55" s="3">
        <f t="shared" ref="M55:BW55" si="241">M54/H54-1</f>
        <v>0.63299074074074091</v>
      </c>
      <c r="N55" s="3">
        <f t="shared" si="241"/>
        <v>0.68276302349336082</v>
      </c>
      <c r="O55" s="3">
        <f t="shared" si="241"/>
        <v>0.67259601501588229</v>
      </c>
      <c r="P55" s="3">
        <f t="shared" si="241"/>
        <v>0.67316508016032062</v>
      </c>
      <c r="Q55" s="249">
        <f t="shared" si="241"/>
        <v>0.66688244729605906</v>
      </c>
      <c r="R55" s="3">
        <f t="shared" si="241"/>
        <v>0.71039843958199822</v>
      </c>
      <c r="S55" s="3">
        <f t="shared" si="241"/>
        <v>0.7158090150790879</v>
      </c>
      <c r="T55" s="3">
        <f t="shared" si="241"/>
        <v>0.57539449604640702</v>
      </c>
      <c r="U55" s="3">
        <f t="shared" si="241"/>
        <v>0.4285981637228593</v>
      </c>
      <c r="V55" s="249">
        <f t="shared" si="241"/>
        <v>0.5895409966399856</v>
      </c>
      <c r="W55" s="3">
        <f t="shared" si="241"/>
        <v>0.3504347739606366</v>
      </c>
      <c r="X55" s="3">
        <f t="shared" si="241"/>
        <v>0.30577830188679256</v>
      </c>
      <c r="Y55" s="3">
        <f t="shared" si="241"/>
        <v>0.30498630136986304</v>
      </c>
      <c r="Z55" s="3">
        <f t="shared" si="241"/>
        <v>0.31418989729616431</v>
      </c>
      <c r="AA55" s="249">
        <f t="shared" si="241"/>
        <v>0.31759218352598961</v>
      </c>
      <c r="AB55" s="3">
        <f t="shared" si="241"/>
        <v>0.29713275726630006</v>
      </c>
      <c r="AC55" s="3">
        <f t="shared" si="241"/>
        <v>0.27165176555585657</v>
      </c>
      <c r="AD55" s="3">
        <f t="shared" si="241"/>
        <v>0.23748740342626795</v>
      </c>
      <c r="AE55" s="3">
        <f t="shared" si="241"/>
        <v>0.25821371610845301</v>
      </c>
      <c r="AF55" s="249">
        <f t="shared" si="241"/>
        <v>0.26474127557160054</v>
      </c>
      <c r="AG55" s="3">
        <f t="shared" si="241"/>
        <v>0.31453444360333083</v>
      </c>
      <c r="AH55" s="3">
        <f t="shared" si="241"/>
        <v>0.30502095021660391</v>
      </c>
      <c r="AI55" s="3">
        <f t="shared" si="241"/>
        <v>0.25950054288816493</v>
      </c>
      <c r="AJ55" s="3">
        <f t="shared" si="241"/>
        <v>0.1717581442514895</v>
      </c>
      <c r="AK55" s="249">
        <f t="shared" si="241"/>
        <v>0.2592163307672346</v>
      </c>
      <c r="AL55" s="3">
        <f t="shared" si="241"/>
        <v>6.6801036567808891E-2</v>
      </c>
      <c r="AM55" s="3">
        <f t="shared" si="241"/>
        <v>1.6597736177623057E-2</v>
      </c>
      <c r="AN55" s="3">
        <f t="shared" si="241"/>
        <v>8.7284482758620552E-3</v>
      </c>
      <c r="AO55" s="3">
        <f t="shared" si="241"/>
        <v>3.9052358286456146E-2</v>
      </c>
      <c r="AP55" s="249">
        <f t="shared" si="241"/>
        <v>3.2271359683468726E-2</v>
      </c>
      <c r="AQ55" s="3">
        <f t="shared" si="241"/>
        <v>8.3616734143050042E-2</v>
      </c>
      <c r="AR55" s="3">
        <f t="shared" si="241"/>
        <v>7.1730635404956944E-2</v>
      </c>
      <c r="AS55" s="3">
        <f t="shared" si="241"/>
        <v>2.8415767546202231E-2</v>
      </c>
      <c r="AT55" s="3">
        <f t="shared" si="241"/>
        <v>4.3206663196251327E-3</v>
      </c>
      <c r="AU55" s="249">
        <f t="shared" si="241"/>
        <v>4.6634193084724052E-2</v>
      </c>
      <c r="AV55" s="3">
        <f t="shared" si="241"/>
        <v>-6.5756700209226304E-3</v>
      </c>
      <c r="AW55" s="3">
        <f t="shared" si="241"/>
        <v>1.3036311872533846E-2</v>
      </c>
      <c r="AX55" s="3">
        <f t="shared" si="241"/>
        <v>6.3727017762542859E-2</v>
      </c>
      <c r="AY55" s="3">
        <f t="shared" si="241"/>
        <v>8.5886072668843516E-2</v>
      </c>
      <c r="AZ55" s="249">
        <f t="shared" si="241"/>
        <v>3.8312860812288685E-2</v>
      </c>
      <c r="BA55" s="3">
        <f t="shared" si="241"/>
        <v>9.2568448500651934E-2</v>
      </c>
      <c r="BB55" s="3">
        <f t="shared" si="241"/>
        <v>8.4212602307464746E-2</v>
      </c>
      <c r="BC55" s="3">
        <f t="shared" si="241"/>
        <v>5.3415360578096704E-2</v>
      </c>
      <c r="BD55" s="3">
        <f t="shared" si="241"/>
        <v>7.4039735099338033E-2</v>
      </c>
      <c r="BE55" s="249">
        <f>BE54/AZ54-1</f>
        <v>8.1528527592061861E-2</v>
      </c>
      <c r="BF55" s="3">
        <f>BF54/BA54-1</f>
        <v>6.8675496688741733E-2</v>
      </c>
      <c r="BG55" s="3">
        <f t="shared" si="241"/>
        <v>4.8711654002872695E-2</v>
      </c>
      <c r="BH55" s="3">
        <f t="shared" si="241"/>
        <v>8.2224797219003554E-2</v>
      </c>
      <c r="BI55" s="3">
        <f t="shared" si="241"/>
        <v>4.3191939419678693E-2</v>
      </c>
      <c r="BJ55" s="249">
        <f>BJ54/BE54-1</f>
        <v>5.4978342941028435E-2</v>
      </c>
      <c r="BK55" s="3">
        <f>BK54/BF54-1</f>
        <v>1.7767261526138389E-2</v>
      </c>
      <c r="BL55" s="3">
        <f t="shared" si="241"/>
        <v>5.254853794309744E-2</v>
      </c>
      <c r="BM55" s="3">
        <f t="shared" si="241"/>
        <v>3.2378260310934159E-2</v>
      </c>
      <c r="BN55" s="3">
        <f t="shared" si="241"/>
        <v>1.6785242619179463E-2</v>
      </c>
      <c r="BO55" s="249">
        <f>BO54/BJ54-1</f>
        <v>2.9790751826029638E-2</v>
      </c>
      <c r="BP55" s="3">
        <f t="shared" si="241"/>
        <v>3.1943623934509224E-2</v>
      </c>
      <c r="BQ55" s="3">
        <f t="shared" si="241"/>
        <v>3.5224323322209816E-2</v>
      </c>
      <c r="BR55" s="3">
        <f t="shared" si="241"/>
        <v>3.1611698817672673E-2</v>
      </c>
      <c r="BS55" s="3">
        <f t="shared" si="241"/>
        <v>3.7876565969749088E-2</v>
      </c>
      <c r="BT55" s="249">
        <f>BT54/BO54-1</f>
        <v>3.416611946676662E-2</v>
      </c>
      <c r="BU55" s="3">
        <f t="shared" si="241"/>
        <v>5.0460028624003339E-2</v>
      </c>
      <c r="BV55" s="3">
        <f t="shared" si="241"/>
        <v>4.2820757720471114E-2</v>
      </c>
      <c r="BW55" s="3">
        <f t="shared" si="241"/>
        <v>6.1125185989463926E-2</v>
      </c>
      <c r="BX55" s="3">
        <f>BX54/BS54-1</f>
        <v>7.2221549392434747E-2</v>
      </c>
      <c r="BY55" s="249">
        <f>BY54/BT54-1</f>
        <v>5.6631156710776898E-2</v>
      </c>
      <c r="BZ55" s="3">
        <f>BZ54/BU54-1</f>
        <v>9.3697691618980894E-2</v>
      </c>
      <c r="CA55" s="3">
        <f>CA54/BV54-1</f>
        <v>0.11276904289421452</v>
      </c>
      <c r="CB55" s="3">
        <f>CB54/BW54-1</f>
        <v>0.10683291014514729</v>
      </c>
      <c r="CC55" s="3">
        <f t="shared" ref="CC55:CD55" si="242">CC54/BX54-1</f>
        <v>0.11829819277108444</v>
      </c>
      <c r="CD55" s="249">
        <f t="shared" si="242"/>
        <v>0.10800267073636016</v>
      </c>
      <c r="CE55" s="3">
        <f>CE54/BZ54-1</f>
        <v>8.2289293849658218E-2</v>
      </c>
      <c r="CF55" s="3">
        <f>CF54/CA54-1</f>
        <v>4.9212935971741034E-2</v>
      </c>
      <c r="CG55" s="3">
        <f>CG54/CB54-1</f>
        <v>6.2863795110593701E-2</v>
      </c>
      <c r="CH55" s="3">
        <f t="shared" ref="CH55" si="243">CH54/CC54-1</f>
        <v>5.6898525351828155E-2</v>
      </c>
      <c r="CI55" s="249">
        <f t="shared" ref="CI55:CS55" si="244">CI54/CD54-1</f>
        <v>6.2610297599063447E-2</v>
      </c>
      <c r="CJ55" s="3">
        <f>CJ54/CE54-1</f>
        <v>9.9842146803472698E-2</v>
      </c>
      <c r="CK55" s="3">
        <f>CK54/CF54-1</f>
        <v>0.1009348238216643</v>
      </c>
      <c r="CL55" s="3">
        <f>CL54/CG54-1</f>
        <v>9.8576122672508149E-2</v>
      </c>
      <c r="CM55" s="3">
        <f t="shared" ref="CM55" si="245">CM54/CH54-1</f>
        <v>9.0596330275229286E-2</v>
      </c>
      <c r="CN55" s="249">
        <f t="shared" ref="CN55" si="246">CN54/CI54-1</f>
        <v>9.7443209436469003E-2</v>
      </c>
      <c r="CO55" s="3">
        <f>CO54/CJ54-1</f>
        <v>2.6827133479212284E-2</v>
      </c>
      <c r="CP55" s="3">
        <f t="shared" si="244"/>
        <v>2.7235421166306617E-2</v>
      </c>
      <c r="CQ55" s="3">
        <f t="shared" si="244"/>
        <v>3.2857142857142696E-2</v>
      </c>
      <c r="CR55" s="3">
        <f t="shared" si="244"/>
        <v>3.3898305084745672E-2</v>
      </c>
      <c r="CS55" s="249">
        <f t="shared" si="244"/>
        <v>3.0233765180401884E-2</v>
      </c>
      <c r="CT55" s="3"/>
      <c r="CU55" s="3"/>
      <c r="CV55" s="3"/>
      <c r="CW55" s="3"/>
      <c r="CX55" s="249">
        <f>CX54/CS54-1</f>
        <v>4.2479253112033266E-2</v>
      </c>
      <c r="CY55" s="3"/>
      <c r="CZ55" s="3"/>
      <c r="DA55" s="3"/>
      <c r="DB55" s="3"/>
      <c r="DC55" s="249">
        <f>DC54/CX54-1</f>
        <v>7.128712871287135E-2</v>
      </c>
      <c r="DD55" s="25"/>
      <c r="DE55" s="178"/>
      <c r="DJ55" s="398" t="s">
        <v>374</v>
      </c>
      <c r="DK55" s="398"/>
      <c r="DL55" s="779">
        <f>+SUM(DL51:DL54)</f>
        <v>1</v>
      </c>
      <c r="DM55" s="779">
        <f>+SUMPRODUCT(DM53:DM54,$DL$53:$DL$54)</f>
        <v>4.4999999999999998E-2</v>
      </c>
      <c r="DN55" s="779">
        <f>+SUMPRODUCT(DN53:DN54,$DL$53:$DL$54)</f>
        <v>0.08</v>
      </c>
      <c r="DO55" s="779">
        <f>+SUMPRODUCT(DO53:DO54,$DL$53:$DL$54)</f>
        <v>4.4999999999999998E-2</v>
      </c>
      <c r="DP55" s="779">
        <f>+SUMPRODUCT(DP53:DP54,$DL$53:$DL$54)</f>
        <v>0.10700000000000001</v>
      </c>
      <c r="DQ55" s="777"/>
      <c r="DR55" s="487"/>
      <c r="DS55" s="25"/>
    </row>
    <row r="56" spans="1:131" x14ac:dyDescent="0.2">
      <c r="A56" s="67" t="s">
        <v>140</v>
      </c>
      <c r="B56" s="252"/>
      <c r="C56" s="36"/>
      <c r="D56" s="36"/>
      <c r="E56" s="36"/>
      <c r="F56" s="36"/>
      <c r="G56" s="252">
        <f>G53/G24</f>
        <v>177.24137931034483</v>
      </c>
      <c r="H56" s="36">
        <f t="shared" ref="H56:AM56" si="247">H54/H24</f>
        <v>128.57142857142858</v>
      </c>
      <c r="I56" s="36">
        <f t="shared" si="247"/>
        <v>111.25</v>
      </c>
      <c r="J56" s="36">
        <f t="shared" si="247"/>
        <v>108.89937106918239</v>
      </c>
      <c r="K56" s="36">
        <f t="shared" si="247"/>
        <v>102.88659793814433</v>
      </c>
      <c r="L56" s="252">
        <f t="shared" si="247"/>
        <v>110.94915254237289</v>
      </c>
      <c r="M56" s="36">
        <f t="shared" si="247"/>
        <v>99.303490990991008</v>
      </c>
      <c r="N56" s="36">
        <f t="shared" si="247"/>
        <v>100.45274390243902</v>
      </c>
      <c r="O56" s="36">
        <f t="shared" si="247"/>
        <v>101.97535211267608</v>
      </c>
      <c r="P56" s="36">
        <f t="shared" si="247"/>
        <v>101.81821646341464</v>
      </c>
      <c r="Q56" s="252">
        <f t="shared" si="247"/>
        <v>101.03159722222226</v>
      </c>
      <c r="R56" s="36">
        <f t="shared" si="247"/>
        <v>97.432493540051667</v>
      </c>
      <c r="S56" s="36">
        <f t="shared" si="247"/>
        <v>101.92307692307692</v>
      </c>
      <c r="T56" s="36">
        <f t="shared" si="247"/>
        <v>99.617903930131007</v>
      </c>
      <c r="U56" s="36">
        <f t="shared" si="247"/>
        <v>96.189516129032256</v>
      </c>
      <c r="V56" s="252">
        <f t="shared" si="247"/>
        <v>98.714499146272047</v>
      </c>
      <c r="W56" s="36">
        <f t="shared" si="247"/>
        <v>92.079566003616648</v>
      </c>
      <c r="X56" s="36">
        <f t="shared" si="247"/>
        <v>94.479522184300336</v>
      </c>
      <c r="Y56" s="36">
        <f t="shared" si="247"/>
        <v>96.343042071197416</v>
      </c>
      <c r="Z56" s="36">
        <f t="shared" si="247"/>
        <v>94.285714285714292</v>
      </c>
      <c r="AA56" s="252">
        <f t="shared" si="247"/>
        <v>94.35383980181669</v>
      </c>
      <c r="AB56" s="36">
        <f t="shared" si="247"/>
        <v>93.159379407616356</v>
      </c>
      <c r="AC56" s="36">
        <f t="shared" si="247"/>
        <v>94.757738896366092</v>
      </c>
      <c r="AD56" s="36">
        <f t="shared" si="247"/>
        <v>93.030303030303031</v>
      </c>
      <c r="AE56" s="36">
        <f t="shared" si="247"/>
        <v>92.26900584795321</v>
      </c>
      <c r="AF56" s="252">
        <f t="shared" si="247"/>
        <v>93.263956114875768</v>
      </c>
      <c r="AG56" s="36">
        <f t="shared" si="247"/>
        <v>90.916230366492144</v>
      </c>
      <c r="AH56" s="36">
        <f t="shared" si="247"/>
        <v>88.34615384615384</v>
      </c>
      <c r="AI56" s="36">
        <f t="shared" si="247"/>
        <v>82.857142857142861</v>
      </c>
      <c r="AJ56" s="36">
        <f t="shared" si="247"/>
        <v>79.008547008547012</v>
      </c>
      <c r="AK56" s="252">
        <f t="shared" si="247"/>
        <v>86.242890995260666</v>
      </c>
      <c r="AL56" s="36">
        <f t="shared" si="247"/>
        <v>75.922131147540981</v>
      </c>
      <c r="AM56" s="36">
        <f t="shared" si="247"/>
        <v>73.258823529411771</v>
      </c>
      <c r="AN56" s="36">
        <f t="shared" ref="AN56:BS56" si="248">AN54/AN24</f>
        <v>70.916666666666671</v>
      </c>
      <c r="AO56" s="36">
        <f t="shared" si="248"/>
        <v>71.679104477611943</v>
      </c>
      <c r="AP56" s="252">
        <f t="shared" si="248"/>
        <v>74.247035573122531</v>
      </c>
      <c r="AQ56" s="36">
        <f t="shared" si="248"/>
        <v>72.99636363636364</v>
      </c>
      <c r="AR56" s="36">
        <f t="shared" si="248"/>
        <v>70.745583038869256</v>
      </c>
      <c r="AS56" s="36">
        <f t="shared" si="248"/>
        <v>67.557894736842101</v>
      </c>
      <c r="AT56" s="36">
        <f t="shared" si="248"/>
        <v>68.952823445318089</v>
      </c>
      <c r="AU56" s="252">
        <f t="shared" si="248"/>
        <v>71.233695652173907</v>
      </c>
      <c r="AV56" s="36">
        <f t="shared" si="248"/>
        <v>69.003460207612463</v>
      </c>
      <c r="AW56" s="36">
        <f t="shared" si="248"/>
        <v>68.060402684563755</v>
      </c>
      <c r="AX56" s="36">
        <f t="shared" si="248"/>
        <v>67.817880794701992</v>
      </c>
      <c r="AY56" s="36">
        <f t="shared" si="248"/>
        <v>69.370860927152322</v>
      </c>
      <c r="AZ56" s="252">
        <f t="shared" si="248"/>
        <v>69.671501706484648</v>
      </c>
      <c r="BA56" s="36">
        <f t="shared" si="248"/>
        <v>72.145695364238406</v>
      </c>
      <c r="BB56" s="36">
        <f t="shared" si="248"/>
        <v>72.33552631578948</v>
      </c>
      <c r="BC56" s="36">
        <f t="shared" si="248"/>
        <v>69.596774193548384</v>
      </c>
      <c r="BD56" s="36">
        <f t="shared" si="248"/>
        <v>70.758278145695371</v>
      </c>
      <c r="BE56" s="252">
        <f t="shared" si="248"/>
        <v>70.762990320937348</v>
      </c>
      <c r="BF56" s="36">
        <f t="shared" si="248"/>
        <v>71.644005298013241</v>
      </c>
      <c r="BG56" s="36">
        <f t="shared" si="248"/>
        <v>70.094739427122107</v>
      </c>
      <c r="BH56" s="36">
        <f t="shared" si="248"/>
        <v>70.328313253012041</v>
      </c>
      <c r="BI56" s="36">
        <f t="shared" si="248"/>
        <v>69.860119047619051</v>
      </c>
      <c r="BJ56" s="252">
        <f t="shared" si="248"/>
        <v>70.58141741922536</v>
      </c>
      <c r="BK56" s="36">
        <f t="shared" si="248"/>
        <v>69.495601173020532</v>
      </c>
      <c r="BL56" s="36">
        <f t="shared" si="248"/>
        <v>69.951008645533136</v>
      </c>
      <c r="BM56" s="36">
        <f t="shared" si="248"/>
        <v>68.871428571428567</v>
      </c>
      <c r="BN56" s="36">
        <f t="shared" si="248"/>
        <v>67.230985915492951</v>
      </c>
      <c r="BO56" s="252">
        <f t="shared" si="248"/>
        <v>68.727077363896854</v>
      </c>
      <c r="BP56" s="36">
        <f t="shared" si="248"/>
        <v>67.742382271468145</v>
      </c>
      <c r="BQ56" s="36">
        <f t="shared" si="248"/>
        <v>68.468664850136236</v>
      </c>
      <c r="BR56" s="36">
        <f t="shared" si="248"/>
        <v>66.311999999999998</v>
      </c>
      <c r="BS56" s="36">
        <f t="shared" si="248"/>
        <v>64.676240208877289</v>
      </c>
      <c r="BT56" s="252">
        <f t="shared" ref="BT56:CE56" si="249">BT54/BT24</f>
        <v>66.32419786096257</v>
      </c>
      <c r="BU56" s="36">
        <f t="shared" si="249"/>
        <v>66.038560411311053</v>
      </c>
      <c r="BV56" s="36">
        <f t="shared" si="249"/>
        <v>66.84693877551021</v>
      </c>
      <c r="BW56" s="36">
        <f t="shared" si="249"/>
        <v>66.633838383838381</v>
      </c>
      <c r="BX56" s="36">
        <f t="shared" si="249"/>
        <v>66.069651741293526</v>
      </c>
      <c r="BY56" s="252">
        <f t="shared" si="249"/>
        <v>66.020151133501258</v>
      </c>
      <c r="BZ56" s="36">
        <f t="shared" si="249"/>
        <v>68.862745098039213</v>
      </c>
      <c r="CA56" s="36">
        <f t="shared" si="249"/>
        <v>70.432367149758448</v>
      </c>
      <c r="CB56" s="36">
        <f t="shared" si="249"/>
        <v>69.538095238095238</v>
      </c>
      <c r="CC56" s="36">
        <f t="shared" si="249"/>
        <v>69.72300469483568</v>
      </c>
      <c r="CD56" s="252">
        <f t="shared" si="249"/>
        <v>69.475478468899524</v>
      </c>
      <c r="CE56" s="36">
        <f t="shared" si="249"/>
        <v>70.388888888888886</v>
      </c>
      <c r="CF56" s="36">
        <f t="shared" ref="CF56:CJ56" si="250">CF54/CF24</f>
        <v>70.169724770642205</v>
      </c>
      <c r="CG56" s="36">
        <f t="shared" si="250"/>
        <v>70.710706150341679</v>
      </c>
      <c r="CH56" s="36">
        <f t="shared" si="250"/>
        <v>70.228187919463082</v>
      </c>
      <c r="CI56" s="252">
        <f t="shared" si="250"/>
        <v>69.81674208144797</v>
      </c>
      <c r="CJ56" s="36">
        <f t="shared" si="250"/>
        <v>73.181619256017512</v>
      </c>
      <c r="CK56" s="36">
        <f t="shared" ref="CK56:CN56" si="251">CK54/CK24</f>
        <v>72.747300215982719</v>
      </c>
      <c r="CL56" s="36">
        <f t="shared" si="251"/>
        <v>72.712153518123671</v>
      </c>
      <c r="CM56" s="36">
        <f t="shared" si="251"/>
        <v>72.533898305084747</v>
      </c>
      <c r="CN56" s="252">
        <f t="shared" si="251"/>
        <v>73.144708423326136</v>
      </c>
      <c r="CO56" s="36">
        <f t="shared" ref="CO56:CR56" si="252">CJ56*(1+CO57)</f>
        <v>72.449803063457338</v>
      </c>
      <c r="CP56" s="36">
        <f t="shared" si="252"/>
        <v>72.383563714902806</v>
      </c>
      <c r="CQ56" s="36">
        <f t="shared" si="252"/>
        <v>73.075714285714284</v>
      </c>
      <c r="CR56" s="36">
        <f t="shared" si="252"/>
        <v>72.533898305084747</v>
      </c>
      <c r="CS56" s="252">
        <f>CS54/CS24</f>
        <v>72.385677783401434</v>
      </c>
      <c r="CT56" s="36"/>
      <c r="CU56" s="36"/>
      <c r="CV56" s="36"/>
      <c r="CW56" s="36"/>
      <c r="CX56" s="252">
        <f>CS56*(1+CX57)</f>
        <v>72.023749394484426</v>
      </c>
      <c r="CY56" s="36"/>
      <c r="CZ56" s="36"/>
      <c r="DA56" s="36"/>
      <c r="DB56" s="36"/>
      <c r="DC56" s="252">
        <f>CX56*(1+DC57)</f>
        <v>72.023749394484426</v>
      </c>
      <c r="DD56" s="68"/>
      <c r="DE56" s="453"/>
      <c r="DF56" s="757">
        <f>AVERAGE(AQ56,BA56,BF56,AL56,BK56,BP56,BU56,BZ56)</f>
        <v>70.605935549999401</v>
      </c>
      <c r="DG56" s="757">
        <f t="shared" ref="DG56" si="253">AVERAGE(AR56,BB56,BG56,AM56,BL56,BQ56,BV56,CA56)</f>
        <v>70.266706466516325</v>
      </c>
      <c r="DH56" s="757">
        <f t="shared" ref="DH56" si="254">AVERAGE(AS56,BC56,BH56,AN56,BM56,BR56,BW56,CB56)</f>
        <v>68.719376380428926</v>
      </c>
      <c r="DI56" s="757">
        <f t="shared" ref="DI56" si="255">AVERAGE(AT56,BD56,BI56,AO56,BN56,BS56,BX56,CC56)</f>
        <v>68.61877595959298</v>
      </c>
      <c r="DJ56" s="445"/>
      <c r="DK56" s="434"/>
      <c r="DL56" s="777"/>
      <c r="DM56" s="778"/>
      <c r="DN56" s="778"/>
      <c r="DO56" s="778"/>
      <c r="DP56" s="778"/>
      <c r="DQ56" s="777"/>
      <c r="DR56" s="490"/>
      <c r="DS56" s="68"/>
    </row>
    <row r="57" spans="1:131" x14ac:dyDescent="0.2">
      <c r="A57" s="12" t="s">
        <v>131</v>
      </c>
      <c r="B57" s="262"/>
      <c r="C57" s="20"/>
      <c r="D57" s="20"/>
      <c r="E57" s="20"/>
      <c r="F57" s="20"/>
      <c r="G57" s="262"/>
      <c r="H57" s="3"/>
      <c r="I57" s="3"/>
      <c r="J57" s="3"/>
      <c r="K57" s="3"/>
      <c r="L57" s="262">
        <f t="shared" ref="L57:BW57" si="256">L56/G56-1</f>
        <v>-0.37402229110334362</v>
      </c>
      <c r="M57" s="3">
        <f t="shared" si="256"/>
        <v>-0.22763951451451447</v>
      </c>
      <c r="N57" s="3">
        <f t="shared" si="256"/>
        <v>-9.7053987393806551E-2</v>
      </c>
      <c r="O57" s="3">
        <f t="shared" si="256"/>
        <v>-6.3581808494629133E-2</v>
      </c>
      <c r="P57" s="3">
        <f t="shared" si="256"/>
        <v>-1.038406844176154E-2</v>
      </c>
      <c r="Q57" s="262">
        <f t="shared" si="256"/>
        <v>-8.9388292680856574E-2</v>
      </c>
      <c r="R57" s="3">
        <f t="shared" si="256"/>
        <v>-1.8841205201024391E-2</v>
      </c>
      <c r="S57" s="3">
        <f t="shared" si="256"/>
        <v>1.463706180157609E-2</v>
      </c>
      <c r="T57" s="3">
        <f t="shared" si="256"/>
        <v>-2.3117823412271643E-2</v>
      </c>
      <c r="U57" s="3">
        <f t="shared" si="256"/>
        <v>-5.5281859473593209E-2</v>
      </c>
      <c r="V57" s="262">
        <f t="shared" si="256"/>
        <v>-2.2934390226986956E-2</v>
      </c>
      <c r="W57" s="3">
        <f t="shared" si="256"/>
        <v>-5.4939859814165493E-2</v>
      </c>
      <c r="X57" s="3">
        <f t="shared" si="256"/>
        <v>-7.3031103097430661E-2</v>
      </c>
      <c r="Y57" s="3">
        <f t="shared" si="256"/>
        <v>-3.2874229729130566E-2</v>
      </c>
      <c r="Z57" s="3">
        <f t="shared" si="256"/>
        <v>-1.9792196903913428E-2</v>
      </c>
      <c r="AA57" s="262">
        <f>AA56/V56-1</f>
        <v>-4.4174456459469713E-2</v>
      </c>
      <c r="AB57" s="3">
        <f t="shared" si="256"/>
        <v>1.1726960180908019E-2</v>
      </c>
      <c r="AC57" s="3">
        <f t="shared" si="256"/>
        <v>2.9447303038117045E-3</v>
      </c>
      <c r="AD57" s="3">
        <f>AD56/Y56-1</f>
        <v>-3.4384829144654572E-2</v>
      </c>
      <c r="AE57" s="3">
        <f t="shared" si="256"/>
        <v>-2.1389331915647847E-2</v>
      </c>
      <c r="AF57" s="262">
        <f>AF56/AA56-1</f>
        <v>-1.155102631996896E-2</v>
      </c>
      <c r="AG57" s="3">
        <f t="shared" si="256"/>
        <v>-2.4078617262029756E-2</v>
      </c>
      <c r="AH57" s="3">
        <f t="shared" si="256"/>
        <v>-6.7662917297176328E-2</v>
      </c>
      <c r="AI57" s="3">
        <f>AI56/AD56-1</f>
        <v>-0.1093531875290833</v>
      </c>
      <c r="AJ57" s="3">
        <f t="shared" si="256"/>
        <v>-0.14371520227775758</v>
      </c>
      <c r="AK57" s="262">
        <f>AK56/AF56-1</f>
        <v>-7.5281656623777171E-2</v>
      </c>
      <c r="AL57" s="3">
        <f t="shared" si="256"/>
        <v>-0.16492213940798572</v>
      </c>
      <c r="AM57" s="3">
        <f t="shared" si="256"/>
        <v>-0.17077517990217406</v>
      </c>
      <c r="AN57" s="3">
        <f t="shared" si="256"/>
        <v>-0.14410919540229883</v>
      </c>
      <c r="AO57" s="3">
        <f t="shared" si="256"/>
        <v>-9.2767717018542029E-2</v>
      </c>
      <c r="AP57" s="262">
        <f>AP56/AK56-1</f>
        <v>-0.13909384627188981</v>
      </c>
      <c r="AQ57" s="3">
        <f t="shared" si="256"/>
        <v>-3.8536424978530159E-2</v>
      </c>
      <c r="AR57" s="3">
        <f t="shared" si="256"/>
        <v>-3.4306317921328655E-2</v>
      </c>
      <c r="AS57" s="3">
        <f t="shared" si="256"/>
        <v>-4.7362236378254763E-2</v>
      </c>
      <c r="AT57" s="3">
        <f t="shared" si="256"/>
        <v>-3.8034529758185998E-2</v>
      </c>
      <c r="AU57" s="262">
        <f>AU56/AP56-1</f>
        <v>-4.0585323005669638E-2</v>
      </c>
      <c r="AV57" s="3">
        <f t="shared" si="256"/>
        <v>-5.4700032026829382E-2</v>
      </c>
      <c r="AW57" s="3">
        <f t="shared" si="256"/>
        <v>-3.7955448792191038E-2</v>
      </c>
      <c r="AX57" s="3">
        <f t="shared" si="256"/>
        <v>3.848344577234375E-3</v>
      </c>
      <c r="AY57" s="3">
        <f t="shared" si="256"/>
        <v>6.0626593799417705E-3</v>
      </c>
      <c r="AZ57" s="262">
        <f>AZ56/AU56-1</f>
        <v>-2.1930547494226293E-2</v>
      </c>
      <c r="BA57" s="3">
        <f t="shared" si="256"/>
        <v>4.5537356346650126E-2</v>
      </c>
      <c r="BB57" s="3">
        <f t="shared" si="256"/>
        <v>6.2813669367185909E-2</v>
      </c>
      <c r="BC57" s="3">
        <f t="shared" si="256"/>
        <v>2.6230448047048993E-2</v>
      </c>
      <c r="BD57" s="3">
        <f t="shared" si="256"/>
        <v>2.0000000000000018E-2</v>
      </c>
      <c r="BE57" s="262">
        <f>BE56/AZ56-1</f>
        <v>1.5666213411775987E-2</v>
      </c>
      <c r="BF57" s="3">
        <f>BF56/BA56-1</f>
        <v>-6.9538461538461993E-3</v>
      </c>
      <c r="BG57" s="3">
        <f t="shared" si="256"/>
        <v>-3.0977681407679869E-2</v>
      </c>
      <c r="BH57" s="3">
        <f t="shared" si="256"/>
        <v>1.0511105837021306E-2</v>
      </c>
      <c r="BI57" s="3">
        <f t="shared" si="256"/>
        <v>-1.269334304923242E-2</v>
      </c>
      <c r="BJ57" s="262">
        <f>BJ56/BE56-1</f>
        <v>-2.5659303103003905E-3</v>
      </c>
      <c r="BK57" s="3">
        <f>BK56/BF56-1</f>
        <v>-2.9987214087991321E-2</v>
      </c>
      <c r="BL57" s="3">
        <f t="shared" si="256"/>
        <v>-2.0505216620201328E-3</v>
      </c>
      <c r="BM57" s="3">
        <f t="shared" si="256"/>
        <v>-2.0715478790771069E-2</v>
      </c>
      <c r="BN57" s="3">
        <f t="shared" si="256"/>
        <v>-3.7634249239311912E-2</v>
      </c>
      <c r="BO57" s="262">
        <f>BO56/BJ56-1</f>
        <v>-2.6272355006905945E-2</v>
      </c>
      <c r="BP57" s="3">
        <f t="shared" si="256"/>
        <v>-2.5227767973219795E-2</v>
      </c>
      <c r="BQ57" s="3">
        <f t="shared" si="256"/>
        <v>-2.1191171136766163E-2</v>
      </c>
      <c r="BR57" s="3">
        <f t="shared" si="256"/>
        <v>-3.7162414436838764E-2</v>
      </c>
      <c r="BS57" s="3">
        <f t="shared" si="256"/>
        <v>-3.7999527625950491E-2</v>
      </c>
      <c r="BT57" s="262">
        <f>BT56/BO56-1</f>
        <v>-3.4962631834487778E-2</v>
      </c>
      <c r="BU57" s="3">
        <f t="shared" si="256"/>
        <v>-2.5151490145847943E-2</v>
      </c>
      <c r="BV57" s="3">
        <f t="shared" si="256"/>
        <v>-2.3685668154558748E-2</v>
      </c>
      <c r="BW57" s="3">
        <f t="shared" si="256"/>
        <v>4.8533958233560881E-3</v>
      </c>
      <c r="BX57" s="3">
        <f t="shared" ref="BX57:CG57" si="257">BX56/BS56-1</f>
        <v>2.1544411485826975E-2</v>
      </c>
      <c r="BY57" s="262">
        <f t="shared" si="257"/>
        <v>-4.5842503530716394E-3</v>
      </c>
      <c r="BZ57" s="3">
        <f t="shared" si="257"/>
        <v>4.2765691273979334E-2</v>
      </c>
      <c r="CA57" s="3">
        <f t="shared" si="257"/>
        <v>5.3636388440898797E-2</v>
      </c>
      <c r="CB57" s="3">
        <f t="shared" si="257"/>
        <v>4.3585315279710324E-2</v>
      </c>
      <c r="CC57" s="3">
        <f t="shared" si="257"/>
        <v>5.529547768538956E-2</v>
      </c>
      <c r="CD57" s="262">
        <f t="shared" si="257"/>
        <v>5.2337464790275234E-2</v>
      </c>
      <c r="CE57" s="3">
        <f t="shared" si="257"/>
        <v>2.2162110858010564E-2</v>
      </c>
      <c r="CF57" s="3">
        <f t="shared" si="257"/>
        <v>-3.7290011644475207E-3</v>
      </c>
      <c r="CG57" s="3">
        <f t="shared" si="257"/>
        <v>1.6862856370043922E-2</v>
      </c>
      <c r="CH57" s="3">
        <f t="shared" ref="CH57" si="258">CH56/CC56-1</f>
        <v>7.2455744963730861E-3</v>
      </c>
      <c r="CI57" s="262">
        <f t="shared" ref="CI57:CL57" si="259">CI56/CD56-1</f>
        <v>4.9120008968519535E-3</v>
      </c>
      <c r="CJ57" s="3">
        <f t="shared" si="259"/>
        <v>3.9675727394092641E-2</v>
      </c>
      <c r="CK57" s="3">
        <f t="shared" si="259"/>
        <v>3.6733441007009926E-2</v>
      </c>
      <c r="CL57" s="3">
        <f t="shared" si="259"/>
        <v>2.8304728898147502E-2</v>
      </c>
      <c r="CM57" s="3">
        <f t="shared" ref="CM57" si="260">CM56/CH56-1</f>
        <v>3.2831694137770207E-2</v>
      </c>
      <c r="CN57" s="262">
        <f t="shared" ref="CN57" si="261">CN56/CI56-1</f>
        <v>4.7667167539782618E-2</v>
      </c>
      <c r="CO57" s="4">
        <v>-0.01</v>
      </c>
      <c r="CP57" s="4">
        <v>-5.0000000000000001E-3</v>
      </c>
      <c r="CQ57" s="4">
        <v>5.0000000000000001E-3</v>
      </c>
      <c r="CR57" s="4">
        <v>0</v>
      </c>
      <c r="CS57" s="262">
        <f>CS56/CN56-1</f>
        <v>-1.0377109380651284E-2</v>
      </c>
      <c r="CT57" s="3"/>
      <c r="CU57" s="3"/>
      <c r="CV57" s="4"/>
      <c r="CW57" s="4"/>
      <c r="CX57" s="417">
        <v>-5.0000000000000001E-3</v>
      </c>
      <c r="CY57" s="3"/>
      <c r="CZ57" s="3"/>
      <c r="DA57" s="4"/>
      <c r="DB57" s="4"/>
      <c r="DC57" s="417">
        <v>0</v>
      </c>
      <c r="DD57" s="25"/>
      <c r="DE57" s="178"/>
      <c r="DF57" s="756">
        <f>+DF56/DI56-1</f>
        <v>2.8959414717286469E-2</v>
      </c>
      <c r="DG57" s="756">
        <f>+DG56/DF56-1</f>
        <v>-4.8045405933733187E-3</v>
      </c>
      <c r="DH57" s="756">
        <f>+DH56/DG56-1</f>
        <v>-2.2020814179254833E-2</v>
      </c>
      <c r="DI57" s="756">
        <f>+DI56/DH56-1</f>
        <v>-1.4639309338173589E-3</v>
      </c>
      <c r="DJ57" s="430" t="s">
        <v>437</v>
      </c>
      <c r="DK57" s="398"/>
      <c r="DL57" s="779"/>
      <c r="DM57" s="779"/>
      <c r="DN57" s="779"/>
      <c r="DO57" s="779"/>
      <c r="DP57" s="779"/>
      <c r="DQ57" s="777"/>
      <c r="DR57" s="487"/>
      <c r="DS57" s="25"/>
    </row>
    <row r="58" spans="1:131" x14ac:dyDescent="0.2">
      <c r="A58" s="58" t="s">
        <v>141</v>
      </c>
      <c r="B58" s="267"/>
      <c r="C58" s="59"/>
      <c r="D58" s="59"/>
      <c r="E58" s="59"/>
      <c r="F58" s="59"/>
      <c r="G58" s="267">
        <f>(G45*1000000)/G53</f>
        <v>32015.56420233463</v>
      </c>
      <c r="H58" s="59">
        <f>((H45*1000000)/H54)*4</f>
        <v>47161.481481481482</v>
      </c>
      <c r="I58" s="59">
        <f>((I45*1000000)/I54)*4</f>
        <v>51380.320054477357</v>
      </c>
      <c r="J58" s="59">
        <f>((J45*1000000)/J54)*4</f>
        <v>49896.621426508806</v>
      </c>
      <c r="K58" s="59">
        <f>((K45*1000000)/K54)*4</f>
        <v>56879.759519038074</v>
      </c>
      <c r="L58" s="267">
        <f>(L45*1000000)/L54</f>
        <v>51794.683776351972</v>
      </c>
      <c r="M58" s="59">
        <f>((M45*1000000)/M54)*4</f>
        <v>60894.405289091243</v>
      </c>
      <c r="N58" s="59">
        <f>((N45*1000000)/N54)*4</f>
        <v>60898.270533307026</v>
      </c>
      <c r="O58" s="59">
        <f>((O45*1000000)/O54)*4</f>
        <v>57659.611201270665</v>
      </c>
      <c r="P58" s="59">
        <f>((P45*1000000)/P54)*4</f>
        <v>59001.613199037325</v>
      </c>
      <c r="Q58" s="267">
        <f>(Q45*1000000)/Q54</f>
        <v>59457.380059639378</v>
      </c>
      <c r="R58" s="59">
        <f>((R45*1000000)/R54)*4</f>
        <v>60362.20665603628</v>
      </c>
      <c r="S58" s="59">
        <f>((S45*1000000)/S54)*4</f>
        <v>60780.188679245279</v>
      </c>
      <c r="T58" s="59">
        <f>((T45*1000000)/T54)*4</f>
        <v>61260.273972602743</v>
      </c>
      <c r="U58" s="59">
        <f>((U45*1000000)/U54)*4</f>
        <v>60977.57283588346</v>
      </c>
      <c r="V58" s="267">
        <f>(V45*1000000)/V54</f>
        <v>60869.904888611491</v>
      </c>
      <c r="W58" s="59">
        <f>((W45*1000000)/W54)*4</f>
        <v>60945.797329143752</v>
      </c>
      <c r="X58" s="59">
        <f>((X45*1000000)/X54)*4</f>
        <v>60617.357536349678</v>
      </c>
      <c r="Y58" s="59">
        <f>((Y45*1000000)/Y54)*4</f>
        <v>57947.598253275108</v>
      </c>
      <c r="Z58" s="59">
        <f>((Z45*1000000)/Z54)*4</f>
        <v>57018.81977671451</v>
      </c>
      <c r="AA58" s="267">
        <f>(AA45*1000000)/AA54</f>
        <v>59007.635926047478</v>
      </c>
      <c r="AB58" s="59">
        <f>((AB45*1000000)/AB54)*4</f>
        <v>59625.132475397426</v>
      </c>
      <c r="AC58" s="59">
        <f>((AC45*1000000)/AC54)*4</f>
        <v>59898.586748100279</v>
      </c>
      <c r="AD58" s="59">
        <f>((AD45*1000000)/AD54)*4</f>
        <v>58500</v>
      </c>
      <c r="AE58" s="59">
        <f>((AE45*1000000)/AE54)*4</f>
        <v>55206.490049435924</v>
      </c>
      <c r="AF58" s="267">
        <f>(AF45*1000000)/AF54</f>
        <v>58198.840930715334</v>
      </c>
      <c r="AG58" s="59">
        <f>((AG45*1000000)/AG54)*4</f>
        <v>60811.978116901817</v>
      </c>
      <c r="AH58" s="59">
        <f>((AH45*1000000)/AH54)*4</f>
        <v>58336.961253809313</v>
      </c>
      <c r="AI58" s="59">
        <f>((AI45*1000000)/AI54)*4</f>
        <v>60344.827586206899</v>
      </c>
      <c r="AJ58" s="59">
        <f>((AJ45*1000000)/AJ54)*4</f>
        <v>63608.827347468628</v>
      </c>
      <c r="AK58" s="267">
        <f>(AK45*1000000)/AK54</f>
        <v>60778.414320845186</v>
      </c>
      <c r="AL58" s="59">
        <f>((AL45*1000000)/AL54)*4</f>
        <v>70823.211875843452</v>
      </c>
      <c r="AM58" s="59">
        <f>((AM45*1000000)/AM54)*4</f>
        <v>67662.330710347407</v>
      </c>
      <c r="AN58" s="59">
        <f>((AN45*1000000)/AN54)*4</f>
        <v>67941.459245807069</v>
      </c>
      <c r="AO58" s="59">
        <f>((AO45*1000000)/AO54)*4</f>
        <v>69547.110879750137</v>
      </c>
      <c r="AP58" s="267">
        <f>(AP45*1000000)/AP54</f>
        <v>68993.052782879502</v>
      </c>
      <c r="AQ58" s="59">
        <f>((AQ45*1000000)/AQ54)*4</f>
        <v>70937.531134801233</v>
      </c>
      <c r="AR58" s="59">
        <f>((AR45*1000000)/AR54)*4</f>
        <v>67129.514010289189</v>
      </c>
      <c r="AS58" s="59">
        <f>((AS45*1000000)/AS54)*4</f>
        <v>71881.167549600083</v>
      </c>
      <c r="AT58" s="59">
        <f>((AT45*1000000)/AT54)*4</f>
        <v>72565.179080495524</v>
      </c>
      <c r="AU58" s="267">
        <f>(AU45*1000000)/AU54</f>
        <v>70598.407975382113</v>
      </c>
      <c r="AV58" s="59">
        <f>((AV45*1000000)/AV54)*4</f>
        <v>74215.224150035108</v>
      </c>
      <c r="AW58" s="59">
        <f>((AW45*1000000)/AW54)*4</f>
        <v>75732.176313972974</v>
      </c>
      <c r="AX58" s="59">
        <f>((AX45*1000000)/AX54)*4</f>
        <v>77730.579561544844</v>
      </c>
      <c r="AY58" s="59">
        <f>((AY45*1000000)/AY54)*4</f>
        <v>76372.315035799518</v>
      </c>
      <c r="AZ58" s="267">
        <f>(AZ45*1000000)/AZ54</f>
        <v>76027.187557406156</v>
      </c>
      <c r="BA58" s="59">
        <f>((BA45*1000000)/BA54)*4</f>
        <v>80411.235542500464</v>
      </c>
      <c r="BB58" s="59">
        <f>((BB45*1000000)/BB54)*4</f>
        <v>79308.776716689405</v>
      </c>
      <c r="BC58" s="59">
        <f>((BC45*1000000)/BC54)*4</f>
        <v>84171.494785631512</v>
      </c>
      <c r="BD58" s="59">
        <f>((BD45*1000000)/BD54)*4</f>
        <v>80707.049034470954</v>
      </c>
      <c r="BE58" s="267">
        <f>(BE45*1000000)/BE54</f>
        <v>80713.639087811869</v>
      </c>
      <c r="BF58" s="59">
        <f>((BF49*1000000)/BF54)*4</f>
        <v>80741.094255597098</v>
      </c>
      <c r="BG58" s="59">
        <f>((BG49*1000000)/BG54)*4</f>
        <v>81522.319092531747</v>
      </c>
      <c r="BH58" s="59">
        <f>((BH49*1000000)/BH54)*4</f>
        <v>80859.994004025866</v>
      </c>
      <c r="BI58" s="59">
        <f>((BI49*1000000)/BI54)*4</f>
        <v>82136.923273548338</v>
      </c>
      <c r="BJ58" s="267">
        <f>(BJ49*1000000)/BJ54</f>
        <v>81315.934834578875</v>
      </c>
      <c r="BK58" s="59">
        <f>((BK49*1000000)/BK54)*4</f>
        <v>86083.213773314201</v>
      </c>
      <c r="BL58" s="59">
        <f>((BL49*1000000)/BL54)*4</f>
        <v>85032.752440983808</v>
      </c>
      <c r="BM58" s="59">
        <f>((BM49*1000000)/BM54)*4</f>
        <v>85625.388923459861</v>
      </c>
      <c r="BN58" s="59">
        <f>((BN49*1000000)/BN54)*4</f>
        <v>90501.529308249883</v>
      </c>
      <c r="BO58" s="267">
        <f>(BO49*1000000)/BO54</f>
        <v>86801.53841343298</v>
      </c>
      <c r="BP58" s="59">
        <f>((BP49*1000000)/BP54)*4</f>
        <v>91596.81046820691</v>
      </c>
      <c r="BQ58" s="59">
        <f>((BQ49*1000000)/BQ54)*4</f>
        <v>88825.214899713465</v>
      </c>
      <c r="BR58" s="59">
        <f>((BR49*1000000)/BR54)*4</f>
        <v>88792.375437326584</v>
      </c>
      <c r="BS58" s="59">
        <f>((BS49*1000000)/BS54)*4</f>
        <v>93011.989826813617</v>
      </c>
      <c r="BT58" s="267">
        <f>(BT49*1000000)/BT54</f>
        <v>90545.348262968531</v>
      </c>
      <c r="BU58" s="59">
        <f>((BU49*1000000)/BU54)*4</f>
        <v>102456.30425473939</v>
      </c>
      <c r="BV58" s="59">
        <f>((BV49*1000000)/BV54)*4</f>
        <v>96473.820790718979</v>
      </c>
      <c r="BW58" s="59">
        <f>((BW49*1000000)/BW54)*4</f>
        <v>93076.135976048812</v>
      </c>
      <c r="BX58" s="59">
        <f>((BX49*1000000)/BX54)*4</f>
        <v>95481.927710843374</v>
      </c>
      <c r="BY58" s="267">
        <f>(BY49*1000000)/BY54</f>
        <v>96833.269744372374</v>
      </c>
      <c r="BZ58" s="59">
        <f>((BZ49*1000000)/BZ54)*4</f>
        <v>98804.100227790434</v>
      </c>
      <c r="CA58" s="59">
        <f>((CA49*1000000)/CA54)*4</f>
        <v>93830.378270859772</v>
      </c>
      <c r="CB58" s="59">
        <f>((CB49*1000000)/CB54)*4</f>
        <v>93679.380949120037</v>
      </c>
      <c r="CC58" s="59">
        <f>((CC49*1000000)/CC54)*4</f>
        <v>96155.141067941557</v>
      </c>
      <c r="CD58" s="267">
        <f>(CD49*1000000)/CD54</f>
        <v>95589.817756084129</v>
      </c>
      <c r="CE58" s="59">
        <f>((CE49*1000000)/CE54)*4</f>
        <v>100499.86845566957</v>
      </c>
      <c r="CF58" s="59">
        <f>((CF49*1000000)/CF54)*4</f>
        <v>98581.421193698116</v>
      </c>
      <c r="CG58" s="59">
        <f>((CG49*1000000)/CG54)*4</f>
        <v>98704.980349204299</v>
      </c>
      <c r="CH58" s="59">
        <f>((CH49*1000000)/CH54)*4</f>
        <v>98878.695208970443</v>
      </c>
      <c r="CI58" s="267">
        <f>(CI49*1000000)/CI54</f>
        <v>99160.69866165462</v>
      </c>
      <c r="CJ58" s="59">
        <f>((CJ49*1000000)/CJ54)*4</f>
        <v>111469.91986604473</v>
      </c>
      <c r="CK58" s="59">
        <f>((CK49*1000000)/CK54)*4</f>
        <v>105931.95178433585</v>
      </c>
      <c r="CL58" s="59">
        <f>((CL49*1000000)/CL54)*4</f>
        <v>106504.01735968565</v>
      </c>
      <c r="CM58" s="59">
        <f>((CM49*1000000)/CM54)*4</f>
        <v>111695.29150601706</v>
      </c>
      <c r="CN58" s="267">
        <f>(CN49*1000000)/CN54</f>
        <v>108899.78149176165</v>
      </c>
      <c r="CO58" s="60">
        <f t="shared" ref="CO58:CR58" si="262">CJ58*(1+CO59)</f>
        <v>115928.71666068652</v>
      </c>
      <c r="CP58" s="60">
        <f t="shared" si="262"/>
        <v>113347.18840923936</v>
      </c>
      <c r="CQ58" s="60">
        <f t="shared" si="262"/>
        <v>109699.13788047622</v>
      </c>
      <c r="CR58" s="60">
        <f t="shared" si="262"/>
        <v>111695.29150601706</v>
      </c>
      <c r="CS58" s="267">
        <f>(CS49*1000000)/CS54</f>
        <v>112642.7431987693</v>
      </c>
      <c r="CT58" s="59"/>
      <c r="CU58" s="59"/>
      <c r="CV58" s="60"/>
      <c r="CW58" s="60"/>
      <c r="CX58" s="267">
        <f>CS58*(1+CX59)</f>
        <v>123907.01751864624</v>
      </c>
      <c r="CY58" s="59"/>
      <c r="CZ58" s="59"/>
      <c r="DA58" s="60"/>
      <c r="DB58" s="60"/>
      <c r="DC58" s="267">
        <f>CX58*(1+DC59)</f>
        <v>127624.22804420564</v>
      </c>
      <c r="DD58" s="93"/>
      <c r="DE58" s="458"/>
      <c r="DF58" s="758">
        <f>AVERAGE(AQ58,BA58,BF58,AL58,BK58,BP58,BU58,BZ58)</f>
        <v>85231.687691599145</v>
      </c>
      <c r="DG58" s="758">
        <f t="shared" ref="DG58" si="263">AVERAGE(AR58,BB58,BG58,AM58,BL58,BQ58,BV58,CA58)</f>
        <v>82473.138366516709</v>
      </c>
      <c r="DH58" s="758">
        <f t="shared" ref="DH58" si="264">AVERAGE(AS58,BC58,BH58,AN58,BM58,BR58,BW58,CB58)</f>
        <v>83253.424608877482</v>
      </c>
      <c r="DI58" s="758">
        <f t="shared" ref="DI58" si="265">AVERAGE(AT58,BD58,BI58,AO58,BN58,BS58,BX58,CC58)</f>
        <v>85013.356272764169</v>
      </c>
      <c r="DJ58" s="584"/>
      <c r="DK58" s="430"/>
      <c r="DL58" s="389"/>
      <c r="DM58" s="389"/>
      <c r="DN58" s="397"/>
      <c r="DO58" s="397"/>
      <c r="DP58" s="397"/>
      <c r="DQ58" s="397"/>
      <c r="DR58" s="494"/>
      <c r="DS58" s="93"/>
    </row>
    <row r="59" spans="1:131" x14ac:dyDescent="0.2">
      <c r="A59" s="12" t="s">
        <v>131</v>
      </c>
      <c r="B59" s="249"/>
      <c r="C59" s="20"/>
      <c r="D59" s="20"/>
      <c r="E59" s="20"/>
      <c r="F59" s="20"/>
      <c r="G59" s="249"/>
      <c r="H59" s="3"/>
      <c r="I59" s="3"/>
      <c r="J59" s="3"/>
      <c r="K59" s="3"/>
      <c r="L59" s="249">
        <f t="shared" ref="L59:BW59" si="266">L58/G58-1</f>
        <v>0.61779700176500452</v>
      </c>
      <c r="M59" s="3">
        <f t="shared" si="266"/>
        <v>0.29118940661357628</v>
      </c>
      <c r="N59" s="3">
        <f t="shared" si="266"/>
        <v>0.18524506014633624</v>
      </c>
      <c r="O59" s="3">
        <f t="shared" si="266"/>
        <v>0.15558147130654376</v>
      </c>
      <c r="P59" s="3">
        <f t="shared" si="266"/>
        <v>3.7304195691774122E-2</v>
      </c>
      <c r="Q59" s="249">
        <f t="shared" si="266"/>
        <v>0.14794368310799455</v>
      </c>
      <c r="R59" s="3">
        <f t="shared" si="266"/>
        <v>-8.7396967016656335E-3</v>
      </c>
      <c r="S59" s="3">
        <f t="shared" si="266"/>
        <v>-1.9390017652006764E-3</v>
      </c>
      <c r="T59" s="3">
        <f t="shared" si="266"/>
        <v>6.2446879129367527E-2</v>
      </c>
      <c r="U59" s="3">
        <f t="shared" si="266"/>
        <v>3.3489925608989557E-2</v>
      </c>
      <c r="V59" s="249">
        <f t="shared" si="266"/>
        <v>2.3756930217161631E-2</v>
      </c>
      <c r="W59" s="3">
        <f t="shared" si="266"/>
        <v>9.6681467666177578E-3</v>
      </c>
      <c r="X59" s="3">
        <f t="shared" si="266"/>
        <v>-2.6790167394001863E-3</v>
      </c>
      <c r="Y59" s="3">
        <f t="shared" si="266"/>
        <v>-5.4075431017647002E-2</v>
      </c>
      <c r="Z59" s="3">
        <f t="shared" si="266"/>
        <v>-6.4921460055873959E-2</v>
      </c>
      <c r="AA59" s="249">
        <f>AA58/V58-1</f>
        <v>-3.0594247945217923E-2</v>
      </c>
      <c r="AB59" s="3">
        <f t="shared" si="266"/>
        <v>-2.1669498334954018E-2</v>
      </c>
      <c r="AC59" s="3">
        <f t="shared" si="266"/>
        <v>-1.1857507774376108E-2</v>
      </c>
      <c r="AD59" s="3">
        <f>AD58/Y58-1</f>
        <v>9.5327807083647187E-3</v>
      </c>
      <c r="AE59" s="3">
        <f t="shared" si="266"/>
        <v>-3.1784763949440964E-2</v>
      </c>
      <c r="AF59" s="249">
        <f>AF58/AA58-1</f>
        <v>-1.3706615807245415E-2</v>
      </c>
      <c r="AG59" s="3">
        <f t="shared" si="266"/>
        <v>1.9905123766292832E-2</v>
      </c>
      <c r="AH59" s="3">
        <f t="shared" si="266"/>
        <v>-2.6071157586042615E-2</v>
      </c>
      <c r="AI59" s="3">
        <f>AI58/AD58-1</f>
        <v>3.1535514294134925E-2</v>
      </c>
      <c r="AJ59" s="3">
        <f t="shared" si="266"/>
        <v>0.15219836092656203</v>
      </c>
      <c r="AK59" s="249">
        <f>AK58/AF58-1</f>
        <v>4.4323449554618977E-2</v>
      </c>
      <c r="AL59" s="3">
        <f t="shared" si="266"/>
        <v>0.16462601725759618</v>
      </c>
      <c r="AM59" s="3">
        <f t="shared" si="266"/>
        <v>0.15985353463931351</v>
      </c>
      <c r="AN59" s="3">
        <f t="shared" si="266"/>
        <v>0.12588703893051711</v>
      </c>
      <c r="AO59" s="3">
        <f t="shared" si="266"/>
        <v>9.3356280565323635E-2</v>
      </c>
      <c r="AP59" s="249">
        <f>AP58/AK58-1</f>
        <v>0.1351571697588192</v>
      </c>
      <c r="AQ59" s="3">
        <f t="shared" si="266"/>
        <v>1.6141495977080034E-3</v>
      </c>
      <c r="AR59" s="3">
        <f t="shared" si="266"/>
        <v>-7.8746430172369486E-3</v>
      </c>
      <c r="AS59" s="3">
        <f t="shared" si="266"/>
        <v>5.7986807282714548E-2</v>
      </c>
      <c r="AT59" s="3">
        <f t="shared" si="266"/>
        <v>4.3396025551136974E-2</v>
      </c>
      <c r="AU59" s="249">
        <f>AU58/AP58-1</f>
        <v>2.326836004133126E-2</v>
      </c>
      <c r="AV59" s="3">
        <f t="shared" si="266"/>
        <v>4.6205343811660748E-2</v>
      </c>
      <c r="AW59" s="3">
        <f t="shared" si="266"/>
        <v>0.12815022468902759</v>
      </c>
      <c r="AX59" s="3">
        <f t="shared" si="266"/>
        <v>8.1376140807792208E-2</v>
      </c>
      <c r="AY59" s="3">
        <f t="shared" si="266"/>
        <v>5.2465052846914162E-2</v>
      </c>
      <c r="AZ59" s="249">
        <f>AZ58/AU58-1</f>
        <v>7.68966289426396E-2</v>
      </c>
      <c r="BA59" s="3">
        <f t="shared" si="266"/>
        <v>8.3487067019286654E-2</v>
      </c>
      <c r="BB59" s="3">
        <f t="shared" si="266"/>
        <v>4.7226959223889642E-2</v>
      </c>
      <c r="BC59" s="3">
        <f t="shared" si="266"/>
        <v>8.2862050693793377E-2</v>
      </c>
      <c r="BD59" s="3">
        <f t="shared" si="266"/>
        <v>5.6757923295104096E-2</v>
      </c>
      <c r="BE59" s="249">
        <f>BE58/AZ58-1</f>
        <v>6.1641784747950901E-2</v>
      </c>
      <c r="BF59" s="3">
        <f>BF58/BA58-1</f>
        <v>4.1021470553364026E-3</v>
      </c>
      <c r="BG59" s="3">
        <f t="shared" si="266"/>
        <v>2.7910433970626869E-2</v>
      </c>
      <c r="BH59" s="3">
        <f t="shared" si="266"/>
        <v>-3.9342306918029646E-2</v>
      </c>
      <c r="BI59" s="3">
        <f t="shared" si="266"/>
        <v>1.7716844515857089E-2</v>
      </c>
      <c r="BJ59" s="249">
        <f>BJ58/BE58-1</f>
        <v>7.4621309802640479E-3</v>
      </c>
      <c r="BK59" s="3">
        <f>BK58/BF58-1</f>
        <v>6.6163575896133864E-2</v>
      </c>
      <c r="BL59" s="3">
        <f t="shared" si="266"/>
        <v>4.3061009396304639E-2</v>
      </c>
      <c r="BM59" s="3">
        <f t="shared" si="266"/>
        <v>5.893390146920785E-2</v>
      </c>
      <c r="BN59" s="3">
        <f t="shared" si="266"/>
        <v>0.1018373430770485</v>
      </c>
      <c r="BO59" s="249">
        <f>BO58/BJ58-1</f>
        <v>6.7460376493407859E-2</v>
      </c>
      <c r="BP59" s="3">
        <f t="shared" si="266"/>
        <v>6.4049614939003741E-2</v>
      </c>
      <c r="BQ59" s="3">
        <f t="shared" si="266"/>
        <v>4.4600019990671091E-2</v>
      </c>
      <c r="BR59" s="3">
        <f t="shared" si="266"/>
        <v>3.6986535812382426E-2</v>
      </c>
      <c r="BS59" s="3">
        <f t="shared" si="266"/>
        <v>2.773942647988914E-2</v>
      </c>
      <c r="BT59" s="249">
        <f>BT58/BO58-1</f>
        <v>4.3130685445964101E-2</v>
      </c>
      <c r="BU59" s="3">
        <f t="shared" si="266"/>
        <v>0.11855755381680888</v>
      </c>
      <c r="BV59" s="3">
        <f t="shared" si="266"/>
        <v>8.610849857938474E-2</v>
      </c>
      <c r="BW59" s="3">
        <f t="shared" si="266"/>
        <v>4.8244689001995411E-2</v>
      </c>
      <c r="BX59" s="3">
        <f t="shared" ref="BX59:CG59" si="267">BX58/BS58-1</f>
        <v>2.6555048318273045E-2</v>
      </c>
      <c r="BY59" s="249">
        <f t="shared" si="267"/>
        <v>6.9444997473995018E-2</v>
      </c>
      <c r="BZ59" s="3">
        <f t="shared" si="267"/>
        <v>-3.5646454881569811E-2</v>
      </c>
      <c r="CA59" s="3">
        <f t="shared" si="267"/>
        <v>-2.7400620170249468E-2</v>
      </c>
      <c r="CB59" s="3">
        <f t="shared" si="267"/>
        <v>6.4811991467550456E-3</v>
      </c>
      <c r="CC59" s="3">
        <f t="shared" si="267"/>
        <v>7.0506887872743285E-3</v>
      </c>
      <c r="CD59" s="249">
        <f t="shared" si="267"/>
        <v>-1.2841164938154015E-2</v>
      </c>
      <c r="CE59" s="3">
        <f t="shared" si="267"/>
        <v>1.7162933764586441E-2</v>
      </c>
      <c r="CF59" s="3">
        <f t="shared" si="267"/>
        <v>5.063437886953337E-2</v>
      </c>
      <c r="CG59" s="3">
        <f t="shared" si="267"/>
        <v>5.3646804122390757E-2</v>
      </c>
      <c r="CH59" s="3">
        <f t="shared" ref="CH59" si="268">CH58/CC58-1</f>
        <v>2.8324581616540501E-2</v>
      </c>
      <c r="CI59" s="249">
        <f t="shared" ref="CI59:CL59" si="269">CI58/CD58-1</f>
        <v>3.735628950232206E-2</v>
      </c>
      <c r="CJ59" s="3">
        <f t="shared" si="269"/>
        <v>0.10915488327443978</v>
      </c>
      <c r="CK59" s="3">
        <f t="shared" si="269"/>
        <v>7.4563041409141606E-2</v>
      </c>
      <c r="CL59" s="3">
        <f t="shared" si="269"/>
        <v>7.9013611905796921E-2</v>
      </c>
      <c r="CM59" s="3">
        <f t="shared" ref="CM59" si="270">CM58/CH58-1</f>
        <v>0.12961939141652312</v>
      </c>
      <c r="CN59" s="249">
        <f t="shared" ref="CN59" si="271">CN58/CI58-1</f>
        <v>9.8215149364141441E-2</v>
      </c>
      <c r="CO59" s="755">
        <v>0.04</v>
      </c>
      <c r="CP59" s="755">
        <v>7.0000000000000007E-2</v>
      </c>
      <c r="CQ59" s="755">
        <v>0.03</v>
      </c>
      <c r="CR59" s="755">
        <v>0</v>
      </c>
      <c r="CS59" s="249">
        <f>CS58/CN58-1</f>
        <v>3.437069988327579E-2</v>
      </c>
      <c r="CT59" s="754"/>
      <c r="CU59" s="754"/>
      <c r="CV59" s="755"/>
      <c r="CW59" s="755"/>
      <c r="CX59" s="725">
        <v>0.1</v>
      </c>
      <c r="CY59" s="754"/>
      <c r="CZ59" s="754"/>
      <c r="DA59" s="755"/>
      <c r="DB59" s="755"/>
      <c r="DC59" s="725">
        <v>0.03</v>
      </c>
      <c r="DD59" s="25"/>
      <c r="DE59" s="178"/>
      <c r="DF59" s="756">
        <f>+DF58/DI58-1</f>
        <v>2.5682013792569514E-3</v>
      </c>
      <c r="DG59" s="756">
        <f>+DG58/DF58-1</f>
        <v>-3.2365302152222108E-2</v>
      </c>
      <c r="DH59" s="756">
        <f>+DH58/DG58-1</f>
        <v>9.461095549597287E-3</v>
      </c>
      <c r="DI59" s="756">
        <f>+DI58/DH58-1</f>
        <v>2.1139450685119687E-2</v>
      </c>
      <c r="DJ59" s="430"/>
      <c r="DK59" s="584"/>
      <c r="DL59" s="619"/>
      <c r="DM59" s="389"/>
      <c r="DN59" s="618"/>
      <c r="DO59" s="389"/>
      <c r="DP59" s="389"/>
      <c r="DQ59" s="389"/>
      <c r="DR59" s="487"/>
      <c r="DS59" s="25"/>
    </row>
    <row r="60" spans="1:131" x14ac:dyDescent="0.2">
      <c r="A60" s="8" t="s">
        <v>249</v>
      </c>
      <c r="B60" s="846">
        <v>4.0000000000000001E-3</v>
      </c>
      <c r="C60" s="9"/>
      <c r="D60" s="9"/>
      <c r="E60" s="9"/>
      <c r="F60" s="9"/>
      <c r="G60" s="846">
        <v>17.634</v>
      </c>
      <c r="H60" s="824">
        <f>H75*H62</f>
        <v>8.5315950999999988</v>
      </c>
      <c r="I60" s="824">
        <f>I75*I62</f>
        <v>10.529027599999999</v>
      </c>
      <c r="J60" s="824">
        <f>J75*J62</f>
        <v>11.8960974</v>
      </c>
      <c r="K60" s="824">
        <f>K75*K62</f>
        <v>10.702496100000001</v>
      </c>
      <c r="L60" s="10">
        <f>SUM(H60:K60)</f>
        <v>41.659216200000003</v>
      </c>
      <c r="M60" s="824">
        <f>M62*M75</f>
        <v>12.983266800000001</v>
      </c>
      <c r="N60" s="824">
        <f>N62*N75</f>
        <v>16.982577199999998</v>
      </c>
      <c r="O60" s="824">
        <f>O62*O75</f>
        <v>21.169148</v>
      </c>
      <c r="P60" s="824">
        <f>P62*P75</f>
        <v>25.134021600000001</v>
      </c>
      <c r="Q60" s="10">
        <f>SUM(M60:P60)</f>
        <v>76.269013599999994</v>
      </c>
      <c r="R60" s="824">
        <v>35.966000000000001</v>
      </c>
      <c r="S60" s="824">
        <v>32.457000000000001</v>
      </c>
      <c r="T60" s="824">
        <v>38.295999999999999</v>
      </c>
      <c r="U60" s="824">
        <v>40.597000000000001</v>
      </c>
      <c r="V60" s="10">
        <f>SUM(R60:U60)</f>
        <v>147.316</v>
      </c>
      <c r="W60" s="824">
        <v>49.244999999999997</v>
      </c>
      <c r="X60" s="824">
        <v>57.43</v>
      </c>
      <c r="Y60" s="824">
        <v>68.498999999999995</v>
      </c>
      <c r="Z60" s="824">
        <v>80.191999999999993</v>
      </c>
      <c r="AA60" s="10">
        <f>SUM(W60:Z60)</f>
        <v>255.36599999999999</v>
      </c>
      <c r="AB60" s="824">
        <v>86.62</v>
      </c>
      <c r="AC60" s="824">
        <v>111.307</v>
      </c>
      <c r="AD60" s="824">
        <v>138.02600000000001</v>
      </c>
      <c r="AE60" s="824">
        <v>151.982</v>
      </c>
      <c r="AF60" s="10">
        <f>SUM(AB60:AE60)</f>
        <v>487.93500000000006</v>
      </c>
      <c r="AG60" s="824">
        <v>160</v>
      </c>
      <c r="AH60" s="824">
        <v>192</v>
      </c>
      <c r="AI60" s="824">
        <v>212</v>
      </c>
      <c r="AJ60" s="824">
        <v>188</v>
      </c>
      <c r="AK60" s="10">
        <f>SUM(AG60:AJ60)</f>
        <v>752</v>
      </c>
      <c r="AL60" s="824">
        <v>190</v>
      </c>
      <c r="AM60" s="824">
        <v>226</v>
      </c>
      <c r="AN60" s="824">
        <v>249</v>
      </c>
      <c r="AO60" s="824">
        <v>264</v>
      </c>
      <c r="AP60" s="10">
        <f>SUM(AL60:AO60)</f>
        <v>929</v>
      </c>
      <c r="AQ60" s="824">
        <v>308</v>
      </c>
      <c r="AR60" s="824">
        <v>370</v>
      </c>
      <c r="AS60" s="824">
        <v>394</v>
      </c>
      <c r="AT60" s="824">
        <v>288.39999999999998</v>
      </c>
      <c r="AU60" s="10">
        <f>SUM(AQ60:AT60)</f>
        <v>1360.4</v>
      </c>
      <c r="AV60" s="824">
        <f>214+9.1</f>
        <v>223.1</v>
      </c>
      <c r="AW60" s="824">
        <f>227+8.1</f>
        <v>235.1</v>
      </c>
      <c r="AX60" s="824">
        <f>246+8.3</f>
        <v>254.3</v>
      </c>
      <c r="AY60" s="824">
        <v>232</v>
      </c>
      <c r="AZ60" s="10">
        <f>SUM(AV60:AY60)</f>
        <v>944.5</v>
      </c>
      <c r="BA60" s="824">
        <v>254</v>
      </c>
      <c r="BB60" s="824">
        <v>279</v>
      </c>
      <c r="BC60" s="824">
        <v>292.2</v>
      </c>
      <c r="BD60" s="824">
        <v>289.5</v>
      </c>
      <c r="BE60" s="10">
        <f>SUM(BA60:BD60)</f>
        <v>1114.7</v>
      </c>
      <c r="BF60" s="824">
        <v>353</v>
      </c>
      <c r="BG60" s="824">
        <v>439</v>
      </c>
      <c r="BH60" s="824">
        <v>454</v>
      </c>
      <c r="BI60" s="824">
        <v>418</v>
      </c>
      <c r="BJ60" s="10">
        <f>SUM(BF60:BI60)</f>
        <v>1664</v>
      </c>
      <c r="BK60" s="824">
        <v>433</v>
      </c>
      <c r="BL60" s="824">
        <v>450</v>
      </c>
      <c r="BM60" s="824">
        <v>481</v>
      </c>
      <c r="BN60" s="824">
        <v>442</v>
      </c>
      <c r="BO60" s="10">
        <f>SUM(BK60:BN60)</f>
        <v>1806</v>
      </c>
      <c r="BP60" s="824">
        <v>467</v>
      </c>
      <c r="BQ60" s="824">
        <v>465</v>
      </c>
      <c r="BR60" s="824">
        <v>501</v>
      </c>
      <c r="BS60" s="824">
        <v>466</v>
      </c>
      <c r="BT60" s="10">
        <f>SUM(BP60:BS60)</f>
        <v>1899</v>
      </c>
      <c r="BU60" s="824">
        <v>464</v>
      </c>
      <c r="BV60" s="824">
        <v>497</v>
      </c>
      <c r="BW60" s="824">
        <v>515</v>
      </c>
      <c r="BX60" s="824">
        <v>436</v>
      </c>
      <c r="BY60" s="10">
        <f>SUM(BU60:BX60)</f>
        <v>1912</v>
      </c>
      <c r="BZ60" s="824">
        <v>335</v>
      </c>
      <c r="CA60" s="824">
        <v>371</v>
      </c>
      <c r="CB60" s="824">
        <v>342</v>
      </c>
      <c r="CC60" s="824">
        <v>300</v>
      </c>
      <c r="CD60" s="10">
        <f>SUM(BZ60:CC60)</f>
        <v>1348</v>
      </c>
      <c r="CE60" s="824">
        <v>215</v>
      </c>
      <c r="CF60" s="824">
        <v>274</v>
      </c>
      <c r="CG60" s="824">
        <v>293</v>
      </c>
      <c r="CH60" s="824">
        <v>291</v>
      </c>
      <c r="CI60" s="10">
        <f>SUM(CE60:CH60)</f>
        <v>1073</v>
      </c>
      <c r="CJ60" s="824">
        <v>323</v>
      </c>
      <c r="CK60" s="824">
        <v>325</v>
      </c>
      <c r="CL60" s="824">
        <v>347</v>
      </c>
      <c r="CM60" s="824">
        <v>368</v>
      </c>
      <c r="CN60" s="10">
        <f>SUM(CJ60:CM60)</f>
        <v>1363</v>
      </c>
      <c r="CO60" s="9">
        <f t="shared" ref="CO60" si="272">CO62*CO75</f>
        <v>430.43622479999993</v>
      </c>
      <c r="CP60" s="9">
        <f t="shared" ref="CP60:CR60" si="273">CP62*CP75</f>
        <v>444.81612000000001</v>
      </c>
      <c r="CQ60" s="9">
        <f t="shared" si="273"/>
        <v>466.44675000000007</v>
      </c>
      <c r="CR60" s="9">
        <f t="shared" si="273"/>
        <v>437.79204000000004</v>
      </c>
      <c r="CS60" s="10">
        <f>SUM(CO60:CR60)</f>
        <v>1779.4911348000001</v>
      </c>
      <c r="CT60" s="9"/>
      <c r="CU60" s="9"/>
      <c r="CV60" s="9"/>
      <c r="CW60" s="9"/>
      <c r="CX60" s="10">
        <f>CX62*CX75</f>
        <v>1792.1958887090002</v>
      </c>
      <c r="CY60" s="9"/>
      <c r="CZ60" s="9"/>
      <c r="DA60" s="9"/>
      <c r="DB60" s="9"/>
      <c r="DC60" s="10">
        <f>DC62*DC75</f>
        <v>1812.6582852683355</v>
      </c>
      <c r="DD60" s="364"/>
      <c r="DE60" s="456"/>
      <c r="DF60" s="759"/>
      <c r="DG60" s="759"/>
      <c r="DH60" s="759"/>
      <c r="DI60" s="759"/>
      <c r="DJ60" s="430"/>
      <c r="DK60" s="403"/>
      <c r="DL60" s="777"/>
      <c r="DM60" s="595"/>
      <c r="DN60" s="793"/>
      <c r="DO60" s="793"/>
      <c r="DP60" s="793"/>
      <c r="DQ60" s="9"/>
      <c r="DR60" s="456"/>
      <c r="DS60" s="364"/>
      <c r="DZ60" s="9"/>
      <c r="EA60" s="342"/>
    </row>
    <row r="61" spans="1:131" x14ac:dyDescent="0.2">
      <c r="A61" s="11" t="s">
        <v>131</v>
      </c>
      <c r="B61" s="249"/>
      <c r="C61" s="20"/>
      <c r="D61" s="20"/>
      <c r="E61" s="20"/>
      <c r="F61" s="20"/>
      <c r="G61" s="249"/>
      <c r="H61" s="3"/>
      <c r="I61" s="3"/>
      <c r="J61" s="3"/>
      <c r="K61" s="3"/>
      <c r="L61" s="249">
        <f t="shared" ref="L61:AZ61" si="274">L60/G60-1</f>
        <v>1.3624371214698878</v>
      </c>
      <c r="M61" s="3">
        <f t="shared" si="274"/>
        <v>0.52178656485936648</v>
      </c>
      <c r="N61" s="3">
        <f t="shared" si="274"/>
        <v>0.61292930792583356</v>
      </c>
      <c r="O61" s="3">
        <f t="shared" si="274"/>
        <v>0.77950358745381476</v>
      </c>
      <c r="P61" s="3">
        <f t="shared" si="274"/>
        <v>1.3484261395806532</v>
      </c>
      <c r="Q61" s="249">
        <f t="shared" si="274"/>
        <v>0.83078369102873295</v>
      </c>
      <c r="R61" s="3">
        <f t="shared" si="274"/>
        <v>1.770181076460664</v>
      </c>
      <c r="S61" s="3">
        <f t="shared" si="274"/>
        <v>0.91119402065783062</v>
      </c>
      <c r="T61" s="3">
        <f t="shared" si="274"/>
        <v>0.80904777084084811</v>
      </c>
      <c r="U61" s="3">
        <f t="shared" si="274"/>
        <v>0.61522101978300214</v>
      </c>
      <c r="V61" s="249">
        <f t="shared" si="274"/>
        <v>0.93153147059974573</v>
      </c>
      <c r="W61" s="3">
        <f t="shared" si="274"/>
        <v>0.36920980926430502</v>
      </c>
      <c r="X61" s="3">
        <f t="shared" si="274"/>
        <v>0.76941799919894005</v>
      </c>
      <c r="Y61" s="3">
        <f t="shared" si="274"/>
        <v>0.78867244620848131</v>
      </c>
      <c r="Z61" s="3">
        <f t="shared" si="274"/>
        <v>0.97531837327881354</v>
      </c>
      <c r="AA61" s="249">
        <f t="shared" si="274"/>
        <v>0.73345732982160783</v>
      </c>
      <c r="AB61" s="3">
        <f t="shared" si="274"/>
        <v>0.7589603005381258</v>
      </c>
      <c r="AC61" s="3">
        <f t="shared" si="274"/>
        <v>0.93813337976667244</v>
      </c>
      <c r="AD61" s="3">
        <f t="shared" si="274"/>
        <v>1.0150075183579323</v>
      </c>
      <c r="AE61" s="3">
        <f t="shared" si="274"/>
        <v>0.8952264565043897</v>
      </c>
      <c r="AF61" s="249">
        <f t="shared" si="274"/>
        <v>0.91072813138789077</v>
      </c>
      <c r="AG61" s="3">
        <f t="shared" si="274"/>
        <v>0.84714846455783865</v>
      </c>
      <c r="AH61" s="3">
        <f t="shared" si="274"/>
        <v>0.72495889746377129</v>
      </c>
      <c r="AI61" s="3">
        <f t="shared" si="274"/>
        <v>0.53594250358628082</v>
      </c>
      <c r="AJ61" s="3">
        <f t="shared" si="274"/>
        <v>0.23698859075416823</v>
      </c>
      <c r="AK61" s="249">
        <f t="shared" si="274"/>
        <v>0.54118888786416197</v>
      </c>
      <c r="AL61" s="3">
        <f t="shared" si="274"/>
        <v>0.1875</v>
      </c>
      <c r="AM61" s="3">
        <f t="shared" si="274"/>
        <v>0.17708333333333326</v>
      </c>
      <c r="AN61" s="3">
        <f t="shared" si="274"/>
        <v>0.17452830188679247</v>
      </c>
      <c r="AO61" s="3">
        <f t="shared" si="274"/>
        <v>0.4042553191489362</v>
      </c>
      <c r="AP61" s="249">
        <f t="shared" si="274"/>
        <v>0.2353723404255319</v>
      </c>
      <c r="AQ61" s="3">
        <f t="shared" si="274"/>
        <v>0.6210526315789473</v>
      </c>
      <c r="AR61" s="3">
        <f t="shared" si="274"/>
        <v>0.63716814159292046</v>
      </c>
      <c r="AS61" s="3">
        <f t="shared" si="274"/>
        <v>0.58232931726907622</v>
      </c>
      <c r="AT61" s="3">
        <f t="shared" si="274"/>
        <v>9.2424242424242298E-2</v>
      </c>
      <c r="AU61" s="249">
        <f t="shared" si="274"/>
        <v>0.4643702906350915</v>
      </c>
      <c r="AV61" s="3">
        <f t="shared" si="274"/>
        <v>-0.2756493506493507</v>
      </c>
      <c r="AW61" s="3">
        <f t="shared" si="274"/>
        <v>-0.36459459459459465</v>
      </c>
      <c r="AX61" s="3">
        <f t="shared" si="274"/>
        <v>-0.35456852791878168</v>
      </c>
      <c r="AY61" s="3">
        <f t="shared" si="274"/>
        <v>-0.19556171983356441</v>
      </c>
      <c r="AZ61" s="249">
        <f t="shared" si="274"/>
        <v>-0.30571890620405773</v>
      </c>
      <c r="BA61" s="3">
        <f t="shared" ref="BA61:BW61" si="275">BA60/AV60-1</f>
        <v>0.13850291349170774</v>
      </c>
      <c r="BB61" s="3">
        <f t="shared" si="275"/>
        <v>0.18672905146746066</v>
      </c>
      <c r="BC61" s="3">
        <f t="shared" si="275"/>
        <v>0.14903657097915834</v>
      </c>
      <c r="BD61" s="3">
        <f t="shared" si="275"/>
        <v>0.24784482758620685</v>
      </c>
      <c r="BE61" s="249">
        <f t="shared" si="275"/>
        <v>0.18020116463737423</v>
      </c>
      <c r="BF61" s="3">
        <f>BF60/BA60-1</f>
        <v>0.38976377952755903</v>
      </c>
      <c r="BG61" s="3">
        <f t="shared" si="275"/>
        <v>0.57347670250896066</v>
      </c>
      <c r="BH61" s="3">
        <f t="shared" si="275"/>
        <v>0.55373032169746761</v>
      </c>
      <c r="BI61" s="3">
        <f t="shared" si="275"/>
        <v>0.44386873920552672</v>
      </c>
      <c r="BJ61" s="249">
        <f t="shared" si="275"/>
        <v>0.49277832600699734</v>
      </c>
      <c r="BK61" s="3">
        <f>BK60/BF60-1</f>
        <v>0.22662889518413598</v>
      </c>
      <c r="BL61" s="3">
        <f t="shared" si="275"/>
        <v>2.5056947608200542E-2</v>
      </c>
      <c r="BM61" s="3">
        <f t="shared" si="275"/>
        <v>5.9471365638766427E-2</v>
      </c>
      <c r="BN61" s="3">
        <f t="shared" si="275"/>
        <v>5.741626794258381E-2</v>
      </c>
      <c r="BO61" s="249">
        <f t="shared" si="275"/>
        <v>8.5336538461538547E-2</v>
      </c>
      <c r="BP61" s="3">
        <f t="shared" si="275"/>
        <v>7.8521939953810627E-2</v>
      </c>
      <c r="BQ61" s="3">
        <f t="shared" si="275"/>
        <v>3.3333333333333437E-2</v>
      </c>
      <c r="BR61" s="3">
        <f t="shared" si="275"/>
        <v>4.1580041580041582E-2</v>
      </c>
      <c r="BS61" s="3">
        <f t="shared" si="275"/>
        <v>5.4298642533936681E-2</v>
      </c>
      <c r="BT61" s="249">
        <f>BT60/BO60-1</f>
        <v>5.1495016611295741E-2</v>
      </c>
      <c r="BU61" s="3">
        <f t="shared" si="275"/>
        <v>-6.4239828693790635E-3</v>
      </c>
      <c r="BV61" s="3">
        <f t="shared" si="275"/>
        <v>6.8817204301075297E-2</v>
      </c>
      <c r="BW61" s="3">
        <f t="shared" si="275"/>
        <v>2.7944111776447178E-2</v>
      </c>
      <c r="BX61" s="3">
        <f>BX60/BS60-1</f>
        <v>-6.4377682403433445E-2</v>
      </c>
      <c r="BY61" s="249">
        <f>BY60/BT60-1</f>
        <v>6.8457082675092984E-3</v>
      </c>
      <c r="BZ61" s="3">
        <f>BZ60/BU60-1</f>
        <v>-0.27801724137931039</v>
      </c>
      <c r="CA61" s="3">
        <f>CA60/BV60-1</f>
        <v>-0.25352112676056338</v>
      </c>
      <c r="CB61" s="3">
        <f>CB60/BW60-1</f>
        <v>-0.33592233009708738</v>
      </c>
      <c r="CC61" s="3">
        <f t="shared" ref="CC61:CD61" si="276">CC60/BX60-1</f>
        <v>-0.31192660550458717</v>
      </c>
      <c r="CD61" s="249">
        <f t="shared" si="276"/>
        <v>-0.29497907949790791</v>
      </c>
      <c r="CE61" s="3">
        <f>CE60/BZ60-1</f>
        <v>-0.35820895522388063</v>
      </c>
      <c r="CF61" s="3">
        <f>CF60/CA60-1</f>
        <v>-0.26145552560646901</v>
      </c>
      <c r="CG61" s="3">
        <f>CG60/CB60-1</f>
        <v>-0.14327485380116955</v>
      </c>
      <c r="CH61" s="3">
        <f t="shared" ref="CH61" si="277">CH60/CC60-1</f>
        <v>-3.0000000000000027E-2</v>
      </c>
      <c r="CI61" s="249">
        <f t="shared" ref="CI61:CS61" si="278">CI60/CD60-1</f>
        <v>-0.20400593471810091</v>
      </c>
      <c r="CJ61" s="3">
        <f>CJ60/CE60-1</f>
        <v>0.50232558139534889</v>
      </c>
      <c r="CK61" s="3">
        <f>CK60/CF60-1</f>
        <v>0.18613138686131392</v>
      </c>
      <c r="CL61" s="3">
        <f>CL60/CG60-1</f>
        <v>0.1843003412969284</v>
      </c>
      <c r="CM61" s="3">
        <f t="shared" ref="CM61" si="279">CM60/CH60-1</f>
        <v>0.26460481099656352</v>
      </c>
      <c r="CN61" s="249">
        <f t="shared" ref="CN61" si="280">CN60/CI60-1</f>
        <v>0.27027027027027017</v>
      </c>
      <c r="CO61" s="3">
        <f t="shared" si="278"/>
        <v>0.33261989102167155</v>
      </c>
      <c r="CP61" s="3">
        <f t="shared" si="278"/>
        <v>0.36866498461538466</v>
      </c>
      <c r="CQ61" s="3">
        <f t="shared" si="278"/>
        <v>0.34422694524495689</v>
      </c>
      <c r="CR61" s="3">
        <f t="shared" si="278"/>
        <v>0.18965228260869571</v>
      </c>
      <c r="CS61" s="249">
        <f t="shared" si="278"/>
        <v>0.30556943125458558</v>
      </c>
      <c r="CT61" s="3"/>
      <c r="CU61" s="3"/>
      <c r="CV61" s="3"/>
      <c r="CW61" s="3"/>
      <c r="CX61" s="249">
        <f>CX60/CS60-1</f>
        <v>7.1395432438767781E-3</v>
      </c>
      <c r="CY61" s="3"/>
      <c r="CZ61" s="3"/>
      <c r="DA61" s="3"/>
      <c r="DB61" s="3"/>
      <c r="DC61" s="249">
        <f>DC60/CX60-1</f>
        <v>1.141750000000008E-2</v>
      </c>
      <c r="DD61" s="25"/>
      <c r="DE61" s="178"/>
      <c r="DJ61" s="430"/>
      <c r="DK61" s="430"/>
      <c r="DL61" s="587"/>
      <c r="DM61" s="587"/>
      <c r="DN61" s="793"/>
      <c r="DO61" s="793"/>
      <c r="DP61" s="793"/>
      <c r="DQ61" s="389"/>
      <c r="DR61" s="487"/>
      <c r="DS61" s="25"/>
    </row>
    <row r="62" spans="1:131" s="30" customFormat="1" x14ac:dyDescent="0.2">
      <c r="A62" s="552" t="s">
        <v>142</v>
      </c>
      <c r="B62" s="848"/>
      <c r="C62" s="546"/>
      <c r="D62" s="546"/>
      <c r="E62" s="546"/>
      <c r="F62" s="847">
        <v>0.10338</v>
      </c>
      <c r="G62" s="848">
        <v>0.96150000000000002</v>
      </c>
      <c r="H62" s="555">
        <v>0.86029999999999995</v>
      </c>
      <c r="I62" s="555">
        <v>0.83240000000000003</v>
      </c>
      <c r="J62" s="555">
        <v>0.79530000000000001</v>
      </c>
      <c r="K62" s="555">
        <v>0.60909999999999997</v>
      </c>
      <c r="L62" s="553">
        <f>L60/L75</f>
        <v>0.75613424448679556</v>
      </c>
      <c r="M62" s="555">
        <v>0.62019999999999997</v>
      </c>
      <c r="N62" s="555">
        <v>0.68920000000000003</v>
      </c>
      <c r="O62" s="555">
        <v>0.748</v>
      </c>
      <c r="P62" s="555">
        <v>0.7944</v>
      </c>
      <c r="Q62" s="553">
        <f t="shared" ref="Q62:BG62" si="281">Q60/Q75</f>
        <v>0.72282626735535227</v>
      </c>
      <c r="R62" s="555">
        <f t="shared" si="281"/>
        <v>0.97609031942899016</v>
      </c>
      <c r="S62" s="555">
        <f t="shared" si="281"/>
        <v>0.79009250243427465</v>
      </c>
      <c r="T62" s="555">
        <f t="shared" si="281"/>
        <v>0.81330303480790866</v>
      </c>
      <c r="U62" s="555">
        <f t="shared" si="281"/>
        <v>0.84325862534532536</v>
      </c>
      <c r="V62" s="553">
        <f t="shared" si="281"/>
        <v>0.85076549027760939</v>
      </c>
      <c r="W62" s="555">
        <f t="shared" si="281"/>
        <v>0.91661237785016281</v>
      </c>
      <c r="X62" s="555">
        <f t="shared" si="281"/>
        <v>0.96732356408960762</v>
      </c>
      <c r="Y62" s="555">
        <f t="shared" si="281"/>
        <v>1.079302303595626</v>
      </c>
      <c r="Z62" s="555">
        <f t="shared" si="281"/>
        <v>1.2427858537643741</v>
      </c>
      <c r="AA62" s="553">
        <f t="shared" si="281"/>
        <v>1.0592275817443495</v>
      </c>
      <c r="AB62" s="555">
        <f t="shared" si="281"/>
        <v>1.3068601861770341</v>
      </c>
      <c r="AC62" s="555">
        <f t="shared" si="281"/>
        <v>1.4962629385670116</v>
      </c>
      <c r="AD62" s="555">
        <f t="shared" si="281"/>
        <v>1.703835376316212</v>
      </c>
      <c r="AE62" s="555">
        <f t="shared" si="281"/>
        <v>1.8681334890295618</v>
      </c>
      <c r="AF62" s="553">
        <f t="shared" si="281"/>
        <v>1.6101605425115912</v>
      </c>
      <c r="AG62" s="555">
        <f t="shared" si="281"/>
        <v>1.8604651162790697</v>
      </c>
      <c r="AH62" s="555">
        <f t="shared" si="281"/>
        <v>2.064516129032258</v>
      </c>
      <c r="AI62" s="555">
        <f t="shared" si="281"/>
        <v>2.12</v>
      </c>
      <c r="AJ62" s="555">
        <f t="shared" si="281"/>
        <v>1.9183673469387754</v>
      </c>
      <c r="AK62" s="553">
        <f t="shared" si="281"/>
        <v>1.9946949602122015</v>
      </c>
      <c r="AL62" s="555">
        <f t="shared" si="281"/>
        <v>1.8811881188118811</v>
      </c>
      <c r="AM62" s="555">
        <f t="shared" si="281"/>
        <v>2</v>
      </c>
      <c r="AN62" s="555">
        <f t="shared" si="281"/>
        <v>2.1282051282051282</v>
      </c>
      <c r="AO62" s="555">
        <f t="shared" si="281"/>
        <v>2.336283185840708</v>
      </c>
      <c r="AP62" s="553">
        <f t="shared" si="281"/>
        <v>2.0923423423423424</v>
      </c>
      <c r="AQ62" s="555">
        <f t="shared" si="281"/>
        <v>2.6324786324786325</v>
      </c>
      <c r="AR62" s="555">
        <f t="shared" si="281"/>
        <v>3.1896551724137931</v>
      </c>
      <c r="AS62" s="555">
        <f t="shared" si="281"/>
        <v>3.4201388888888888</v>
      </c>
      <c r="AT62" s="555">
        <f t="shared" si="281"/>
        <v>2.7466666666666666</v>
      </c>
      <c r="AU62" s="553">
        <f t="shared" si="281"/>
        <v>3.0017652250661961</v>
      </c>
      <c r="AV62" s="555">
        <f t="shared" si="281"/>
        <v>2.046788990825688</v>
      </c>
      <c r="AW62" s="555">
        <f t="shared" si="281"/>
        <v>2.0443478260869563</v>
      </c>
      <c r="AX62" s="555">
        <f t="shared" si="281"/>
        <v>2.1369747899159663</v>
      </c>
      <c r="AY62" s="555">
        <f t="shared" si="281"/>
        <v>2.0807174887892375</v>
      </c>
      <c r="AZ62" s="553">
        <f t="shared" si="281"/>
        <v>2.078107810781078</v>
      </c>
      <c r="BA62" s="555">
        <f t="shared" si="281"/>
        <v>2.1896551724137931</v>
      </c>
      <c r="BB62" s="555">
        <f t="shared" si="281"/>
        <v>2.2981878088962109</v>
      </c>
      <c r="BC62" s="555">
        <f t="shared" si="281"/>
        <v>2.2563706563706565</v>
      </c>
      <c r="BD62" s="555">
        <f t="shared" si="281"/>
        <v>2.4246231155778895</v>
      </c>
      <c r="BE62" s="553">
        <f t="shared" si="281"/>
        <v>2.2922064569195975</v>
      </c>
      <c r="BF62" s="555">
        <f t="shared" si="281"/>
        <v>3.0044166195126052</v>
      </c>
      <c r="BG62" s="555">
        <f t="shared" si="281"/>
        <v>3.3007518796992481</v>
      </c>
      <c r="BH62" s="555">
        <f t="shared" ref="BH62:BM62" si="282">BH60/BH75</f>
        <v>3.2661870503597124</v>
      </c>
      <c r="BI62" s="555">
        <f t="shared" si="282"/>
        <v>3.1428571428571428</v>
      </c>
      <c r="BJ62" s="553">
        <f t="shared" si="282"/>
        <v>3.1847274454533911</v>
      </c>
      <c r="BK62" s="555">
        <f t="shared" si="282"/>
        <v>3.255639097744361</v>
      </c>
      <c r="BL62" s="555">
        <f t="shared" si="282"/>
        <v>3.2142857142857144</v>
      </c>
      <c r="BM62" s="555">
        <f t="shared" si="282"/>
        <v>3.1644736842105261</v>
      </c>
      <c r="BN62" s="555">
        <f t="shared" ref="BN62:BT62" si="283">BN60/BN75</f>
        <v>3.2028985507246377</v>
      </c>
      <c r="BO62" s="553">
        <f t="shared" si="283"/>
        <v>3.2078152753108347</v>
      </c>
      <c r="BP62" s="555">
        <f t="shared" si="283"/>
        <v>3.288732394366197</v>
      </c>
      <c r="BQ62" s="555">
        <f t="shared" si="283"/>
        <v>3.0592105263157894</v>
      </c>
      <c r="BR62" s="555">
        <f t="shared" si="283"/>
        <v>3.1312500000000001</v>
      </c>
      <c r="BS62" s="555">
        <f t="shared" si="283"/>
        <v>3.1066666666666665</v>
      </c>
      <c r="BT62" s="553">
        <f t="shared" si="283"/>
        <v>3.1440397350993377</v>
      </c>
      <c r="BU62" s="555">
        <f t="shared" ref="BU62:BZ62" si="284">BU60/BU75</f>
        <v>3.1351351351351351</v>
      </c>
      <c r="BV62" s="555">
        <f t="shared" si="284"/>
        <v>3.0869565217391304</v>
      </c>
      <c r="BW62" s="555">
        <f t="shared" si="284"/>
        <v>3.0473372781065087</v>
      </c>
      <c r="BX62" s="555">
        <f t="shared" si="284"/>
        <v>2.691358024691358</v>
      </c>
      <c r="BY62" s="553">
        <f t="shared" si="284"/>
        <v>2.9874999999999998</v>
      </c>
      <c r="BZ62" s="555">
        <f t="shared" si="284"/>
        <v>2.0552147239263805</v>
      </c>
      <c r="CA62" s="555">
        <f t="shared" ref="CA62:CF62" si="285">CA60/CA75</f>
        <v>2.132183908045977</v>
      </c>
      <c r="CB62" s="555">
        <f t="shared" si="285"/>
        <v>1.8486486486486486</v>
      </c>
      <c r="CC62" s="555">
        <f t="shared" si="285"/>
        <v>1.6853932584269662</v>
      </c>
      <c r="CD62" s="553">
        <f t="shared" si="285"/>
        <v>1.9257142857142857</v>
      </c>
      <c r="CE62" s="555">
        <f t="shared" si="285"/>
        <v>1.174863387978142</v>
      </c>
      <c r="CF62" s="555">
        <f t="shared" si="285"/>
        <v>1.4345549738219896</v>
      </c>
      <c r="CG62" s="555">
        <f t="shared" ref="CG62:CL62" si="286">CG60/CG75</f>
        <v>1.4797979797979799</v>
      </c>
      <c r="CH62" s="555">
        <f t="shared" si="286"/>
        <v>1.5561497326203209</v>
      </c>
      <c r="CI62" s="553">
        <f t="shared" si="286"/>
        <v>1.4137022397891963</v>
      </c>
      <c r="CJ62" s="555">
        <f t="shared" si="286"/>
        <v>1.6910994764397906</v>
      </c>
      <c r="CK62" s="555">
        <f t="shared" si="286"/>
        <v>1.608910891089109</v>
      </c>
      <c r="CL62" s="555">
        <f t="shared" si="286"/>
        <v>1.6926829268292682</v>
      </c>
      <c r="CM62" s="555">
        <f t="shared" ref="CM62:CN62" si="287">CM60/CM75</f>
        <v>1.8969072164948453</v>
      </c>
      <c r="CN62" s="553">
        <f t="shared" si="287"/>
        <v>1.720959595959596</v>
      </c>
      <c r="CO62" s="554">
        <v>2.16</v>
      </c>
      <c r="CP62" s="554">
        <f t="shared" ref="CP62:CR62" si="288">IF(CP72&gt;CP68,(CP67*CP68)+(CP65*CP66)+((1-CP65-CP67)*CP72)+(CP69*0.04)+(CP65*0.04)+(CP67*0.04)+CP73,IF(CP72&lt;CP70,(CP65*CP66)+(CP69*CP70)+((1-CP65-CP69)*CP72)+(CP67*0.04)+(CP65*0.04)+(CP69*0.04)+CP73,(CP65*CP66)+((1-CP65)*CP72)+(CP67*0.04)+(CP65*0.04)+(CP69*0.04)+CP73))</f>
        <v>2.1</v>
      </c>
      <c r="CQ62" s="554">
        <f t="shared" si="288"/>
        <v>2.1</v>
      </c>
      <c r="CR62" s="554">
        <f t="shared" si="288"/>
        <v>2.1</v>
      </c>
      <c r="CS62" s="553">
        <f>CS60/CS75</f>
        <v>2.1142055381340481</v>
      </c>
      <c r="CT62" s="555"/>
      <c r="CU62" s="555"/>
      <c r="CV62" s="555"/>
      <c r="CW62" s="556"/>
      <c r="CX62" s="553">
        <f>IF(CX72&gt;CX68,(CX67*CX68)+(CX65*CX66)+((1-CX65-CX67)*CX72)+(CX69*0.04)+(CX65*0.04)+(CX67*0.04)+CX73,IF(CX72&lt;CX70,(CX65*CX66)+(CX69*CX70)+((1-CX65-CX69)*CX72)+(CX67*0.04)+(CX65*0.04)+(CX69*0.04)+CX73,(CX65*CX66)+((1-CX65)*CX72)+(CX67*0.04)+(CX65*0.04)+(CX69*0.04)+CX73))</f>
        <v>2</v>
      </c>
      <c r="CY62" s="555"/>
      <c r="CZ62" s="555"/>
      <c r="DA62" s="555"/>
      <c r="DB62" s="556"/>
      <c r="DC62" s="553">
        <f>IF(DC72&gt;DC68,(DC67*DC68)+(DC65*DC66)+((1-DC65-DC67)*DC72)+(DC69*0.04)+(DC65*0.04)+(DC67*0.04)+DC73,IF(DC72&lt;DC70,(DC65*DC66)+(DC69*DC70)+((1-DC65-DC69)*DC72)+(DC67*0.04)+(DC65*0.04)+(DC69*0.04)+DC73,(DC65*DC66)+((1-DC65)*DC72)+(DC67*0.04)+(DC65*0.04)+(DC69*0.04)+DC73))</f>
        <v>1.9</v>
      </c>
      <c r="DD62" s="25"/>
      <c r="DE62" s="178"/>
      <c r="DF62" s="379"/>
      <c r="DG62" s="379"/>
      <c r="DH62" s="379"/>
      <c r="DI62" s="379"/>
      <c r="DJ62" s="430" t="s">
        <v>501</v>
      </c>
      <c r="DK62" s="403"/>
      <c r="DL62" s="389"/>
      <c r="DM62" s="396"/>
      <c r="DN62" s="396"/>
      <c r="DO62" s="396"/>
      <c r="DP62" s="396"/>
      <c r="DQ62" s="389"/>
      <c r="DR62" s="487"/>
      <c r="DS62" s="517"/>
      <c r="DT62"/>
      <c r="DU62"/>
      <c r="DV62"/>
      <c r="DW62"/>
      <c r="DX62"/>
      <c r="DY62"/>
      <c r="DZ62" s="29"/>
      <c r="EA62" s="29"/>
    </row>
    <row r="63" spans="1:131" x14ac:dyDescent="0.2">
      <c r="A63" s="11" t="s">
        <v>131</v>
      </c>
      <c r="B63" s="268"/>
      <c r="C63" s="20"/>
      <c r="D63" s="20"/>
      <c r="E63" s="20"/>
      <c r="F63" s="20"/>
      <c r="G63" s="268"/>
      <c r="H63" s="3"/>
      <c r="I63" s="3"/>
      <c r="J63" s="3"/>
      <c r="K63" s="3"/>
      <c r="L63" s="268">
        <f t="shared" ref="L63:AW63" si="289">L62/G62-1</f>
        <v>-0.21358892929090423</v>
      </c>
      <c r="M63" s="3">
        <f t="shared" si="289"/>
        <v>-0.27908868999186331</v>
      </c>
      <c r="N63" s="3">
        <f t="shared" si="289"/>
        <v>-0.17203267659778954</v>
      </c>
      <c r="O63" s="3">
        <f t="shared" si="289"/>
        <v>-5.9474412171507618E-2</v>
      </c>
      <c r="P63" s="3">
        <f t="shared" si="289"/>
        <v>0.30421934000985074</v>
      </c>
      <c r="Q63" s="268">
        <f t="shared" si="289"/>
        <v>-4.4050348697075803E-2</v>
      </c>
      <c r="R63" s="3">
        <f t="shared" si="289"/>
        <v>0.5738315372927929</v>
      </c>
      <c r="S63" s="3">
        <f t="shared" si="289"/>
        <v>0.14639074642233685</v>
      </c>
      <c r="T63" s="3">
        <f t="shared" si="289"/>
        <v>8.7303522470466133E-2</v>
      </c>
      <c r="U63" s="3">
        <f t="shared" si="289"/>
        <v>6.1503808340036992E-2</v>
      </c>
      <c r="V63" s="268">
        <f t="shared" si="289"/>
        <v>0.17699858001889712</v>
      </c>
      <c r="W63" s="3">
        <f t="shared" si="289"/>
        <v>-6.0934874975116848E-2</v>
      </c>
      <c r="X63" s="3">
        <f t="shared" si="289"/>
        <v>0.22431685038053661</v>
      </c>
      <c r="Y63" s="3">
        <f t="shared" si="289"/>
        <v>0.32706046504614705</v>
      </c>
      <c r="Z63" s="3">
        <f t="shared" si="289"/>
        <v>0.4737896730738298</v>
      </c>
      <c r="AA63" s="268">
        <f>AA62/V62-1</f>
        <v>0.24502885207381619</v>
      </c>
      <c r="AB63" s="3">
        <f t="shared" si="289"/>
        <v>0.42575009650444029</v>
      </c>
      <c r="AC63" s="3">
        <f t="shared" si="289"/>
        <v>0.54680708101555764</v>
      </c>
      <c r="AD63" s="3">
        <f>AD62/Y62-1</f>
        <v>0.57864517720382369</v>
      </c>
      <c r="AE63" s="3">
        <f t="shared" si="289"/>
        <v>0.50318213179770432</v>
      </c>
      <c r="AF63" s="268">
        <f>AF62/AA62-1</f>
        <v>0.52012709096940091</v>
      </c>
      <c r="AG63" s="3">
        <f t="shared" si="289"/>
        <v>0.42361450441114079</v>
      </c>
      <c r="AH63" s="3">
        <f t="shared" si="289"/>
        <v>0.37978163851967683</v>
      </c>
      <c r="AI63" s="3">
        <f>AI62/AD62-1</f>
        <v>0.24425166273021026</v>
      </c>
      <c r="AJ63" s="3">
        <f t="shared" si="289"/>
        <v>2.6889865314340344E-2</v>
      </c>
      <c r="AK63" s="268">
        <f>AK62/AF62-1</f>
        <v>0.23881743934725819</v>
      </c>
      <c r="AL63" s="3">
        <f t="shared" si="289"/>
        <v>1.1138613861386037E-2</v>
      </c>
      <c r="AM63" s="3">
        <f t="shared" si="289"/>
        <v>-3.125E-2</v>
      </c>
      <c r="AN63" s="3">
        <f t="shared" si="289"/>
        <v>3.8703434929849845E-3</v>
      </c>
      <c r="AO63" s="3">
        <f t="shared" si="289"/>
        <v>0.21784974581058192</v>
      </c>
      <c r="AP63" s="268">
        <f>AP62/AK62-1</f>
        <v>4.8953541307264814E-2</v>
      </c>
      <c r="AQ63" s="3">
        <f t="shared" si="289"/>
        <v>0.39937022042285197</v>
      </c>
      <c r="AR63" s="3">
        <f t="shared" si="289"/>
        <v>0.59482758620689657</v>
      </c>
      <c r="AS63" s="3">
        <f t="shared" si="289"/>
        <v>0.60705321285140568</v>
      </c>
      <c r="AT63" s="3">
        <f t="shared" si="289"/>
        <v>0.17565656565656562</v>
      </c>
      <c r="AU63" s="268">
        <f t="shared" ref="AU63:AZ63" si="290">AU62/AP62-1</f>
        <v>0.43464344448804204</v>
      </c>
      <c r="AV63" s="3">
        <f t="shared" si="289"/>
        <v>-0.22248600023829379</v>
      </c>
      <c r="AW63" s="3">
        <f t="shared" si="289"/>
        <v>-0.35906933019976506</v>
      </c>
      <c r="AX63" s="3">
        <f t="shared" si="290"/>
        <v>-0.37517894467431645</v>
      </c>
      <c r="AY63" s="3">
        <f t="shared" si="290"/>
        <v>-0.24245722495537469</v>
      </c>
      <c r="AZ63" s="268">
        <f t="shared" si="290"/>
        <v>-0.30770474871656539</v>
      </c>
      <c r="BA63" s="3">
        <f t="shared" ref="BA63:BW63" si="291">BA62/AV62-1</f>
        <v>6.9800151470656546E-2</v>
      </c>
      <c r="BB63" s="3">
        <f t="shared" si="291"/>
        <v>0.12416672914957161</v>
      </c>
      <c r="BC63" s="3">
        <f t="shared" si="291"/>
        <v>5.5871443602470094E-2</v>
      </c>
      <c r="BD63" s="3">
        <f t="shared" si="291"/>
        <v>0.16528223011609788</v>
      </c>
      <c r="BE63" s="268">
        <f t="shared" si="291"/>
        <v>0.10302576460556612</v>
      </c>
      <c r="BF63" s="3">
        <f>BF62/BA62-1</f>
        <v>0.37209577899000856</v>
      </c>
      <c r="BG63" s="3">
        <f t="shared" si="291"/>
        <v>0.43624114048562257</v>
      </c>
      <c r="BH63" s="3">
        <f t="shared" si="291"/>
        <v>0.44754011985483477</v>
      </c>
      <c r="BI63" s="3">
        <f t="shared" si="291"/>
        <v>0.2962250185048112</v>
      </c>
      <c r="BJ63" s="268">
        <f t="shared" si="291"/>
        <v>0.3893719895254184</v>
      </c>
      <c r="BK63" s="3">
        <f>BK62/BF62-1</f>
        <v>8.3617723520817977E-2</v>
      </c>
      <c r="BL63" s="3">
        <f t="shared" si="291"/>
        <v>-2.6195899772209486E-2</v>
      </c>
      <c r="BM63" s="3">
        <f t="shared" si="291"/>
        <v>-3.1141316948759656E-2</v>
      </c>
      <c r="BN63" s="3">
        <f t="shared" si="291"/>
        <v>1.910408432147559E-2</v>
      </c>
      <c r="BO63" s="268">
        <f t="shared" si="291"/>
        <v>7.2495465476658527E-3</v>
      </c>
      <c r="BP63" s="3">
        <f t="shared" si="291"/>
        <v>1.016491559054078E-2</v>
      </c>
      <c r="BQ63" s="3">
        <f t="shared" si="291"/>
        <v>-4.8245614035087758E-2</v>
      </c>
      <c r="BR63" s="3">
        <f t="shared" si="291"/>
        <v>-1.0498960498960375E-2</v>
      </c>
      <c r="BS63" s="3">
        <f t="shared" si="291"/>
        <v>-3.0045248868778351E-2</v>
      </c>
      <c r="BT63" s="268">
        <f>BT62/BO62-1</f>
        <v>-1.9881300741457775E-2</v>
      </c>
      <c r="BU63" s="3">
        <f t="shared" si="291"/>
        <v>-4.6704091671971759E-2</v>
      </c>
      <c r="BV63" s="3">
        <f t="shared" si="291"/>
        <v>9.0696587190275402E-3</v>
      </c>
      <c r="BW63" s="3">
        <f t="shared" si="291"/>
        <v>-2.6798474057801669E-2</v>
      </c>
      <c r="BX63" s="3">
        <f>BX62/BS62-1</f>
        <v>-0.13368303926243841</v>
      </c>
      <c r="BY63" s="268">
        <f>BY62/BT62-1</f>
        <v>-4.9789362822538208E-2</v>
      </c>
      <c r="BZ63" s="3">
        <f>BZ62/BU62-1</f>
        <v>-0.34445737254072351</v>
      </c>
      <c r="CA63" s="3">
        <f>CA62/BV62-1</f>
        <v>-0.30929253683017643</v>
      </c>
      <c r="CB63" s="3">
        <f>CB62/BW62-1</f>
        <v>-0.39335607452112298</v>
      </c>
      <c r="CC63" s="3">
        <f t="shared" ref="CC63:CD63" si="292">CC62/BX62-1</f>
        <v>-0.37377589939181532</v>
      </c>
      <c r="CD63" s="268">
        <f t="shared" si="292"/>
        <v>-0.35540944411237296</v>
      </c>
      <c r="CE63" s="3">
        <f>CE62/BZ62-1</f>
        <v>-0.4283500530136205</v>
      </c>
      <c r="CF63" s="3">
        <f>CF62/CA62-1</f>
        <v>-0.32718985055249006</v>
      </c>
      <c r="CG63" s="3">
        <f>CG62/CB62-1</f>
        <v>-0.19952448461220385</v>
      </c>
      <c r="CH63" s="3">
        <f t="shared" ref="CH63" si="293">CH62/CC62-1</f>
        <v>-7.6684491978609604E-2</v>
      </c>
      <c r="CI63" s="268">
        <f t="shared" ref="CI63:CS63" si="294">CI62/CD62-1</f>
        <v>-0.26588162622222744</v>
      </c>
      <c r="CJ63" s="3">
        <f>CJ62/CE62-1</f>
        <v>0.43940094971386845</v>
      </c>
      <c r="CK63" s="3">
        <f>CK62/CF62-1</f>
        <v>0.12154007371540065</v>
      </c>
      <c r="CL63" s="3">
        <f>CL62/CG62-1</f>
        <v>0.14386081744776491</v>
      </c>
      <c r="CM63" s="3">
        <f t="shared" ref="CM63" si="295">CM62/CH62-1</f>
        <v>0.21897474049668753</v>
      </c>
      <c r="CN63" s="268">
        <f t="shared" ref="CN63" si="296">CN62/CI62-1</f>
        <v>0.2173423423423424</v>
      </c>
      <c r="CO63" s="3">
        <f t="shared" si="294"/>
        <v>0.2772755417956656</v>
      </c>
      <c r="CP63" s="3">
        <f t="shared" si="294"/>
        <v>0.30523076923076919</v>
      </c>
      <c r="CQ63" s="3">
        <f t="shared" si="294"/>
        <v>0.24063400576368887</v>
      </c>
      <c r="CR63" s="3">
        <f t="shared" si="294"/>
        <v>0.10706521739130448</v>
      </c>
      <c r="CS63" s="268">
        <f t="shared" si="294"/>
        <v>0.22850387835815567</v>
      </c>
      <c r="CT63" s="3"/>
      <c r="CU63" s="3"/>
      <c r="CV63" s="3"/>
      <c r="CW63" s="3"/>
      <c r="CX63" s="268">
        <f>CX62/CS62-1</f>
        <v>-5.4018181332948112E-2</v>
      </c>
      <c r="CY63" s="3"/>
      <c r="CZ63" s="3"/>
      <c r="DA63" s="3"/>
      <c r="DB63" s="3"/>
      <c r="DC63" s="268">
        <f>DC62/CX62-1</f>
        <v>-5.0000000000000044E-2</v>
      </c>
      <c r="DD63" s="25"/>
      <c r="DE63" s="178"/>
      <c r="DJ63" s="430"/>
      <c r="DK63" s="430"/>
      <c r="DL63" s="389"/>
      <c r="DM63" s="396"/>
      <c r="DN63" s="396"/>
      <c r="DO63" s="396"/>
      <c r="DP63" s="396"/>
      <c r="DQ63" s="389"/>
      <c r="DR63" s="487"/>
      <c r="DS63" s="25"/>
    </row>
    <row r="64" spans="1:131" x14ac:dyDescent="0.2">
      <c r="A64" s="71" t="s">
        <v>26</v>
      </c>
      <c r="B64" s="268"/>
      <c r="C64" s="20"/>
      <c r="D64" s="20"/>
      <c r="E64" s="20"/>
      <c r="F64" s="20"/>
      <c r="G64" s="268"/>
      <c r="H64" s="72"/>
      <c r="I64" s="72"/>
      <c r="J64" s="72"/>
      <c r="K64" s="72"/>
      <c r="L64" s="268"/>
      <c r="M64" s="72"/>
      <c r="N64" s="72"/>
      <c r="O64" s="72"/>
      <c r="P64" s="72"/>
      <c r="Q64" s="268"/>
      <c r="R64" s="72"/>
      <c r="S64" s="72"/>
      <c r="T64" s="72"/>
      <c r="U64" s="72"/>
      <c r="V64" s="268"/>
      <c r="W64" s="72"/>
      <c r="X64" s="72"/>
      <c r="Y64" s="72"/>
      <c r="Z64" s="72"/>
      <c r="AA64" s="268"/>
      <c r="AB64" s="72"/>
      <c r="AC64" s="72"/>
      <c r="AD64" s="72"/>
      <c r="AE64" s="72"/>
      <c r="AF64" s="268"/>
      <c r="AG64" s="72"/>
      <c r="AH64" s="72"/>
      <c r="AI64" s="72"/>
      <c r="AJ64" s="72"/>
      <c r="AK64" s="268"/>
      <c r="AL64" s="72"/>
      <c r="AM64" s="72"/>
      <c r="AN64" s="72"/>
      <c r="AO64" s="72"/>
      <c r="AP64" s="268"/>
      <c r="AQ64" s="72"/>
      <c r="AR64" s="72"/>
      <c r="AS64" s="72"/>
      <c r="AT64" s="72"/>
      <c r="AU64" s="268"/>
      <c r="AV64" s="72"/>
      <c r="AW64" s="72"/>
      <c r="AX64" s="72"/>
      <c r="AY64" s="72"/>
      <c r="AZ64" s="268"/>
      <c r="BA64" s="72"/>
      <c r="BB64" s="72"/>
      <c r="BC64" s="72"/>
      <c r="BD64" s="72"/>
      <c r="BE64" s="268"/>
      <c r="BF64" s="72"/>
      <c r="BG64" s="72"/>
      <c r="BH64" s="72"/>
      <c r="BI64" s="72"/>
      <c r="BJ64" s="268"/>
      <c r="BK64" s="72"/>
      <c r="BL64" s="72"/>
      <c r="BM64" s="72"/>
      <c r="BN64" s="72"/>
      <c r="BO64" s="268"/>
      <c r="BP64" s="72"/>
      <c r="BQ64" s="72"/>
      <c r="BR64" s="72"/>
      <c r="BS64" s="72"/>
      <c r="BT64" s="268"/>
      <c r="BU64" s="72"/>
      <c r="BV64" s="72"/>
      <c r="BW64" s="72"/>
      <c r="BX64" s="72"/>
      <c r="BY64" s="268"/>
      <c r="BZ64" s="72"/>
      <c r="CA64" s="72"/>
      <c r="CB64" s="72"/>
      <c r="CC64" s="72"/>
      <c r="CD64" s="268"/>
      <c r="CE64" s="72"/>
      <c r="CF64" s="72"/>
      <c r="CG64" s="72"/>
      <c r="CH64" s="72"/>
      <c r="CI64" s="268"/>
      <c r="CJ64" s="72"/>
      <c r="CK64" s="72"/>
      <c r="CL64" s="72"/>
      <c r="CM64" s="72"/>
      <c r="CN64" s="268"/>
      <c r="CO64" s="72"/>
      <c r="CP64" s="72"/>
      <c r="CQ64" s="72"/>
      <c r="CR64" s="72"/>
      <c r="CS64" s="268"/>
      <c r="CT64" s="72"/>
      <c r="CU64" s="72"/>
      <c r="CV64" s="72"/>
      <c r="CW64" s="72"/>
      <c r="CX64" s="268"/>
      <c r="CY64" s="72"/>
      <c r="CZ64" s="72"/>
      <c r="DA64" s="72"/>
      <c r="DB64" s="72"/>
      <c r="DC64" s="268"/>
      <c r="DD64" s="25"/>
      <c r="DE64" s="178"/>
      <c r="DJ64" s="430"/>
      <c r="DK64" s="430"/>
      <c r="DL64" s="389"/>
      <c r="DM64" s="389"/>
      <c r="DN64" s="389"/>
      <c r="DO64" s="389"/>
      <c r="DP64" s="389"/>
      <c r="DQ64" s="389"/>
      <c r="DR64" s="487"/>
      <c r="DS64" s="25"/>
    </row>
    <row r="65" spans="1:131" x14ac:dyDescent="0.2">
      <c r="A65" s="354" t="s">
        <v>149</v>
      </c>
      <c r="B65" s="268"/>
      <c r="C65" s="57"/>
      <c r="D65" s="57"/>
      <c r="E65" s="57"/>
      <c r="F65" s="57"/>
      <c r="G65" s="268"/>
      <c r="H65" s="356"/>
      <c r="I65" s="356"/>
      <c r="J65" s="356"/>
      <c r="K65" s="356"/>
      <c r="L65" s="268"/>
      <c r="M65" s="356"/>
      <c r="N65" s="356"/>
      <c r="O65" s="356"/>
      <c r="P65" s="356"/>
      <c r="Q65" s="268"/>
      <c r="R65" s="356"/>
      <c r="S65" s="356"/>
      <c r="T65" s="356"/>
      <c r="U65" s="356"/>
      <c r="V65" s="268"/>
      <c r="W65" s="356"/>
      <c r="X65" s="356"/>
      <c r="Y65" s="356"/>
      <c r="Z65" s="356"/>
      <c r="AA65" s="268"/>
      <c r="AB65" s="356"/>
      <c r="AC65" s="356"/>
      <c r="AD65" s="356"/>
      <c r="AE65" s="356"/>
      <c r="AF65" s="268"/>
      <c r="AG65" s="356"/>
      <c r="AH65" s="356"/>
      <c r="AI65" s="356"/>
      <c r="AJ65" s="356"/>
      <c r="AK65" s="268"/>
      <c r="AL65" s="356"/>
      <c r="AM65" s="356"/>
      <c r="AN65" s="356"/>
      <c r="AO65" s="356"/>
      <c r="AP65" s="268"/>
      <c r="AQ65" s="356"/>
      <c r="AR65" s="356"/>
      <c r="AS65" s="356"/>
      <c r="AT65" s="356"/>
      <c r="AU65" s="355"/>
      <c r="AV65" s="356"/>
      <c r="AW65" s="356"/>
      <c r="AX65" s="356"/>
      <c r="AY65" s="356"/>
      <c r="AZ65" s="355"/>
      <c r="BA65" s="356"/>
      <c r="BB65" s="356"/>
      <c r="BC65" s="356"/>
      <c r="BD65" s="356"/>
      <c r="BE65" s="355"/>
      <c r="BF65" s="356"/>
      <c r="BG65" s="356"/>
      <c r="BH65" s="356"/>
      <c r="BI65" s="356"/>
      <c r="BJ65" s="355"/>
      <c r="BK65" s="356"/>
      <c r="BL65" s="356"/>
      <c r="BM65" s="356"/>
      <c r="BN65" s="356"/>
      <c r="BO65" s="355"/>
      <c r="BP65" s="356"/>
      <c r="BQ65" s="356"/>
      <c r="BR65" s="356"/>
      <c r="BS65" s="356"/>
      <c r="BT65" s="355"/>
      <c r="BU65" s="356"/>
      <c r="BV65" s="356"/>
      <c r="BW65" s="356"/>
      <c r="BX65" s="356"/>
      <c r="BY65" s="355"/>
      <c r="BZ65" s="356"/>
      <c r="CA65" s="356"/>
      <c r="CB65" s="356"/>
      <c r="CC65" s="356"/>
      <c r="CD65" s="355"/>
      <c r="CE65" s="356"/>
      <c r="CF65" s="356"/>
      <c r="CG65" s="356"/>
      <c r="CH65" s="356"/>
      <c r="CI65" s="355"/>
      <c r="CJ65" s="356"/>
      <c r="CK65" s="356"/>
      <c r="CL65" s="356"/>
      <c r="CM65" s="356"/>
      <c r="CN65" s="355"/>
      <c r="CO65" s="762"/>
      <c r="CP65" s="762">
        <v>0</v>
      </c>
      <c r="CQ65" s="762">
        <v>0</v>
      </c>
      <c r="CR65" s="762">
        <v>0</v>
      </c>
      <c r="CS65" s="355"/>
      <c r="CT65" s="356"/>
      <c r="CU65" s="356"/>
      <c r="CV65" s="356"/>
      <c r="CW65" s="356"/>
      <c r="CX65" s="355">
        <v>0</v>
      </c>
      <c r="CY65" s="356"/>
      <c r="CZ65" s="356"/>
      <c r="DA65" s="356"/>
      <c r="DB65" s="356"/>
      <c r="DC65" s="355">
        <v>0</v>
      </c>
      <c r="DD65" s="147"/>
      <c r="DE65" s="459"/>
      <c r="DJ65" s="399"/>
      <c r="DK65" s="399"/>
      <c r="DL65" s="399"/>
      <c r="DM65" s="399"/>
      <c r="DN65" s="399"/>
      <c r="DO65" s="399"/>
      <c r="DP65" s="399"/>
      <c r="DQ65" s="399"/>
      <c r="DR65" s="496"/>
      <c r="DS65" s="100"/>
    </row>
    <row r="66" spans="1:131" x14ac:dyDescent="0.2">
      <c r="A66" s="357" t="s">
        <v>145</v>
      </c>
      <c r="B66" s="269"/>
      <c r="C66" s="63"/>
      <c r="D66" s="63"/>
      <c r="E66" s="63"/>
      <c r="F66" s="63"/>
      <c r="G66" s="269"/>
      <c r="H66" s="358"/>
      <c r="I66" s="358"/>
      <c r="J66" s="358"/>
      <c r="K66" s="358"/>
      <c r="L66" s="269"/>
      <c r="M66" s="358"/>
      <c r="N66" s="358"/>
      <c r="O66" s="358"/>
      <c r="P66" s="358"/>
      <c r="Q66" s="269"/>
      <c r="R66" s="358"/>
      <c r="S66" s="358"/>
      <c r="T66" s="358"/>
      <c r="U66" s="358"/>
      <c r="V66" s="269"/>
      <c r="W66" s="358"/>
      <c r="X66" s="358"/>
      <c r="Y66" s="358"/>
      <c r="Z66" s="358"/>
      <c r="AA66" s="269"/>
      <c r="AB66" s="358"/>
      <c r="AC66" s="358"/>
      <c r="AD66" s="358"/>
      <c r="AE66" s="358"/>
      <c r="AF66" s="269"/>
      <c r="AG66" s="358"/>
      <c r="AH66" s="358"/>
      <c r="AI66" s="358"/>
      <c r="AJ66" s="358"/>
      <c r="AK66" s="269"/>
      <c r="AL66" s="358"/>
      <c r="AM66" s="358"/>
      <c r="AN66" s="358"/>
      <c r="AO66" s="358"/>
      <c r="AP66" s="269"/>
      <c r="AQ66" s="358"/>
      <c r="AR66" s="358"/>
      <c r="AS66" s="358"/>
      <c r="AT66" s="358"/>
      <c r="AU66" s="326"/>
      <c r="AV66" s="358"/>
      <c r="AW66" s="358"/>
      <c r="AX66" s="358"/>
      <c r="AY66" s="358"/>
      <c r="AZ66" s="326"/>
      <c r="BA66" s="358"/>
      <c r="BB66" s="358"/>
      <c r="BC66" s="358"/>
      <c r="BD66" s="358"/>
      <c r="BE66" s="326"/>
      <c r="BF66" s="358"/>
      <c r="BG66" s="358"/>
      <c r="BH66" s="358"/>
      <c r="BI66" s="358"/>
      <c r="BJ66" s="326"/>
      <c r="BK66" s="358"/>
      <c r="BL66" s="358"/>
      <c r="BM66" s="358"/>
      <c r="BN66" s="358"/>
      <c r="BO66" s="326"/>
      <c r="BP66" s="358"/>
      <c r="BQ66" s="358"/>
      <c r="BR66" s="358"/>
      <c r="BS66" s="358"/>
      <c r="BT66" s="326"/>
      <c r="BU66" s="358"/>
      <c r="BV66" s="358"/>
      <c r="BW66" s="358"/>
      <c r="BX66" s="358"/>
      <c r="BY66" s="326"/>
      <c r="BZ66" s="358"/>
      <c r="CA66" s="358"/>
      <c r="CB66" s="358"/>
      <c r="CC66" s="358"/>
      <c r="CD66" s="326"/>
      <c r="CE66" s="358"/>
      <c r="CF66" s="358"/>
      <c r="CG66" s="358"/>
      <c r="CH66" s="358"/>
      <c r="CI66" s="326"/>
      <c r="CJ66" s="358"/>
      <c r="CK66" s="358"/>
      <c r="CL66" s="358"/>
      <c r="CM66" s="358"/>
      <c r="CN66" s="326"/>
      <c r="CO66" s="763"/>
      <c r="CP66" s="763">
        <v>0</v>
      </c>
      <c r="CQ66" s="763">
        <v>0</v>
      </c>
      <c r="CR66" s="763">
        <v>0</v>
      </c>
      <c r="CS66" s="326"/>
      <c r="CT66" s="358"/>
      <c r="CU66" s="358"/>
      <c r="CV66" s="358"/>
      <c r="CW66" s="358"/>
      <c r="CX66" s="326">
        <v>0</v>
      </c>
      <c r="CY66" s="358"/>
      <c r="CZ66" s="358"/>
      <c r="DA66" s="358"/>
      <c r="DB66" s="358"/>
      <c r="DC66" s="326">
        <v>0</v>
      </c>
      <c r="DD66" s="75"/>
      <c r="DE66" s="460"/>
      <c r="DJ66" s="400"/>
      <c r="DK66" s="400"/>
      <c r="DL66" s="400"/>
      <c r="DM66" s="400"/>
      <c r="DN66" s="400"/>
      <c r="DO66" s="400"/>
      <c r="DP66" s="400"/>
      <c r="DQ66" s="400"/>
      <c r="DR66" s="497"/>
      <c r="DS66" s="74"/>
    </row>
    <row r="67" spans="1:131" x14ac:dyDescent="0.2">
      <c r="A67" s="354" t="s">
        <v>150</v>
      </c>
      <c r="B67" s="268"/>
      <c r="C67" s="57"/>
      <c r="D67" s="57"/>
      <c r="E67" s="57"/>
      <c r="F67" s="57"/>
      <c r="G67" s="268"/>
      <c r="H67" s="356"/>
      <c r="I67" s="356"/>
      <c r="J67" s="356"/>
      <c r="K67" s="356"/>
      <c r="L67" s="268"/>
      <c r="M67" s="356"/>
      <c r="N67" s="356"/>
      <c r="O67" s="356"/>
      <c r="P67" s="356"/>
      <c r="Q67" s="268"/>
      <c r="R67" s="356"/>
      <c r="S67" s="356"/>
      <c r="T67" s="356"/>
      <c r="U67" s="356"/>
      <c r="V67" s="268"/>
      <c r="W67" s="356"/>
      <c r="X67" s="356"/>
      <c r="Y67" s="356"/>
      <c r="Z67" s="356"/>
      <c r="AA67" s="268"/>
      <c r="AB67" s="356"/>
      <c r="AC67" s="356"/>
      <c r="AD67" s="356"/>
      <c r="AE67" s="356"/>
      <c r="AF67" s="268"/>
      <c r="AG67" s="356"/>
      <c r="AH67" s="356"/>
      <c r="AI67" s="356"/>
      <c r="AJ67" s="356"/>
      <c r="AK67" s="268"/>
      <c r="AL67" s="356"/>
      <c r="AM67" s="356"/>
      <c r="AN67" s="356"/>
      <c r="AO67" s="356"/>
      <c r="AP67" s="268"/>
      <c r="AQ67" s="356"/>
      <c r="AR67" s="356"/>
      <c r="AS67" s="356"/>
      <c r="AT67" s="356"/>
      <c r="AU67" s="355"/>
      <c r="AV67" s="356"/>
      <c r="AW67" s="356"/>
      <c r="AX67" s="356"/>
      <c r="AY67" s="356"/>
      <c r="AZ67" s="355"/>
      <c r="BA67" s="356"/>
      <c r="BB67" s="356"/>
      <c r="BC67" s="356"/>
      <c r="BD67" s="356"/>
      <c r="BE67" s="355"/>
      <c r="BF67" s="356"/>
      <c r="BG67" s="356"/>
      <c r="BH67" s="356"/>
      <c r="BI67" s="356"/>
      <c r="BJ67" s="355"/>
      <c r="BK67" s="356"/>
      <c r="BL67" s="356"/>
      <c r="BM67" s="356"/>
      <c r="BN67" s="356"/>
      <c r="BO67" s="355"/>
      <c r="BP67" s="356"/>
      <c r="BQ67" s="356"/>
      <c r="BR67" s="356"/>
      <c r="BS67" s="356"/>
      <c r="BT67" s="355"/>
      <c r="BU67" s="356"/>
      <c r="BV67" s="356"/>
      <c r="BW67" s="356"/>
      <c r="BX67" s="356"/>
      <c r="BY67" s="355"/>
      <c r="BZ67" s="356"/>
      <c r="CA67" s="356"/>
      <c r="CB67" s="356"/>
      <c r="CC67" s="356"/>
      <c r="CD67" s="355"/>
      <c r="CE67" s="356"/>
      <c r="CF67" s="356"/>
      <c r="CG67" s="356"/>
      <c r="CH67" s="356"/>
      <c r="CI67" s="355"/>
      <c r="CJ67" s="356"/>
      <c r="CK67" s="356"/>
      <c r="CL67" s="356"/>
      <c r="CM67" s="356"/>
      <c r="CN67" s="355"/>
      <c r="CO67" s="762"/>
      <c r="CP67" s="762">
        <v>0</v>
      </c>
      <c r="CQ67" s="762">
        <v>0</v>
      </c>
      <c r="CR67" s="762">
        <v>0</v>
      </c>
      <c r="CS67" s="355"/>
      <c r="CT67" s="356"/>
      <c r="CU67" s="356"/>
      <c r="CV67" s="356"/>
      <c r="CW67" s="356"/>
      <c r="CX67" s="355">
        <v>0</v>
      </c>
      <c r="CY67" s="356"/>
      <c r="CZ67" s="356"/>
      <c r="DA67" s="356"/>
      <c r="DB67" s="356"/>
      <c r="DC67" s="355">
        <v>0</v>
      </c>
      <c r="DD67" s="147"/>
      <c r="DE67" s="459"/>
      <c r="DJ67" s="399"/>
      <c r="DK67" s="400"/>
      <c r="DL67" s="400"/>
      <c r="DM67" s="400"/>
      <c r="DN67" s="400"/>
      <c r="DO67" s="400"/>
      <c r="DP67" s="399"/>
      <c r="DQ67" s="399"/>
      <c r="DR67" s="496"/>
      <c r="DS67" s="100"/>
    </row>
    <row r="68" spans="1:131" x14ac:dyDescent="0.2">
      <c r="A68" s="357" t="s">
        <v>143</v>
      </c>
      <c r="B68" s="269"/>
      <c r="C68" s="63"/>
      <c r="D68" s="63"/>
      <c r="E68" s="63"/>
      <c r="F68" s="63"/>
      <c r="G68" s="269"/>
      <c r="H68" s="358"/>
      <c r="I68" s="358"/>
      <c r="J68" s="358"/>
      <c r="K68" s="358"/>
      <c r="L68" s="269"/>
      <c r="M68" s="358"/>
      <c r="N68" s="358"/>
      <c r="O68" s="358"/>
      <c r="P68" s="358"/>
      <c r="Q68" s="269"/>
      <c r="R68" s="358"/>
      <c r="S68" s="358"/>
      <c r="T68" s="358"/>
      <c r="U68" s="358"/>
      <c r="V68" s="269"/>
      <c r="W68" s="358"/>
      <c r="X68" s="358"/>
      <c r="Y68" s="358"/>
      <c r="Z68" s="358"/>
      <c r="AA68" s="269"/>
      <c r="AB68" s="358"/>
      <c r="AC68" s="358"/>
      <c r="AD68" s="358"/>
      <c r="AE68" s="358"/>
      <c r="AF68" s="269"/>
      <c r="AG68" s="358"/>
      <c r="AH68" s="358"/>
      <c r="AI68" s="358"/>
      <c r="AJ68" s="358"/>
      <c r="AK68" s="269"/>
      <c r="AL68" s="358"/>
      <c r="AM68" s="358"/>
      <c r="AN68" s="358"/>
      <c r="AO68" s="358"/>
      <c r="AP68" s="269"/>
      <c r="AQ68" s="358"/>
      <c r="AR68" s="358"/>
      <c r="AS68" s="358"/>
      <c r="AT68" s="358"/>
      <c r="AU68" s="326"/>
      <c r="AV68" s="358"/>
      <c r="AW68" s="358"/>
      <c r="AX68" s="358"/>
      <c r="AY68" s="358"/>
      <c r="AZ68" s="326"/>
      <c r="BA68" s="358"/>
      <c r="BB68" s="358"/>
      <c r="BC68" s="358"/>
      <c r="BD68" s="358"/>
      <c r="BE68" s="326"/>
      <c r="BF68" s="358"/>
      <c r="BG68" s="358"/>
      <c r="BH68" s="358"/>
      <c r="BI68" s="358"/>
      <c r="BJ68" s="326"/>
      <c r="BK68" s="358"/>
      <c r="BL68" s="358"/>
      <c r="BM68" s="358"/>
      <c r="BN68" s="358"/>
      <c r="BO68" s="326"/>
      <c r="BP68" s="358"/>
      <c r="BQ68" s="358"/>
      <c r="BR68" s="358"/>
      <c r="BS68" s="358"/>
      <c r="BT68" s="326"/>
      <c r="BU68" s="358"/>
      <c r="BV68" s="358"/>
      <c r="BW68" s="358"/>
      <c r="BX68" s="358"/>
      <c r="BY68" s="326"/>
      <c r="BZ68" s="358"/>
      <c r="CA68" s="358"/>
      <c r="CB68" s="358"/>
      <c r="CC68" s="358"/>
      <c r="CD68" s="326"/>
      <c r="CE68" s="358"/>
      <c r="CF68" s="358"/>
      <c r="CG68" s="358"/>
      <c r="CH68" s="358"/>
      <c r="CI68" s="326"/>
      <c r="CJ68" s="358"/>
      <c r="CK68" s="358"/>
      <c r="CL68" s="358"/>
      <c r="CM68" s="358"/>
      <c r="CN68" s="326"/>
      <c r="CO68" s="763"/>
      <c r="CP68" s="763">
        <v>0</v>
      </c>
      <c r="CQ68" s="763">
        <v>0</v>
      </c>
      <c r="CR68" s="763">
        <v>0</v>
      </c>
      <c r="CS68" s="326"/>
      <c r="CT68" s="358"/>
      <c r="CU68" s="358"/>
      <c r="CV68" s="358"/>
      <c r="CW68" s="358"/>
      <c r="CX68" s="326">
        <v>0</v>
      </c>
      <c r="CY68" s="358"/>
      <c r="CZ68" s="358"/>
      <c r="DA68" s="358"/>
      <c r="DB68" s="358"/>
      <c r="DC68" s="326">
        <v>0</v>
      </c>
      <c r="DD68" s="75"/>
      <c r="DE68" s="460"/>
      <c r="DJ68" s="399"/>
      <c r="DK68" s="399"/>
      <c r="DL68" s="400"/>
      <c r="DM68" s="400"/>
      <c r="DN68" s="400"/>
      <c r="DO68" s="400"/>
      <c r="DP68" s="400"/>
      <c r="DQ68" s="400"/>
      <c r="DR68" s="497"/>
      <c r="DS68" s="74"/>
    </row>
    <row r="69" spans="1:131" x14ac:dyDescent="0.2">
      <c r="A69" s="354" t="s">
        <v>151</v>
      </c>
      <c r="B69" s="268"/>
      <c r="C69" s="57"/>
      <c r="D69" s="57"/>
      <c r="E69" s="57"/>
      <c r="F69" s="57"/>
      <c r="G69" s="268"/>
      <c r="H69" s="356"/>
      <c r="I69" s="356"/>
      <c r="J69" s="356"/>
      <c r="K69" s="356"/>
      <c r="L69" s="268"/>
      <c r="M69" s="356"/>
      <c r="N69" s="356"/>
      <c r="O69" s="356"/>
      <c r="P69" s="356"/>
      <c r="Q69" s="268"/>
      <c r="R69" s="356"/>
      <c r="S69" s="356"/>
      <c r="T69" s="356"/>
      <c r="U69" s="356"/>
      <c r="V69" s="268"/>
      <c r="W69" s="356"/>
      <c r="X69" s="356"/>
      <c r="Y69" s="356"/>
      <c r="Z69" s="356"/>
      <c r="AA69" s="268"/>
      <c r="AB69" s="356"/>
      <c r="AC69" s="356"/>
      <c r="AD69" s="356"/>
      <c r="AE69" s="356"/>
      <c r="AF69" s="268"/>
      <c r="AG69" s="356"/>
      <c r="AH69" s="356"/>
      <c r="AI69" s="356"/>
      <c r="AJ69" s="356"/>
      <c r="AK69" s="268"/>
      <c r="AL69" s="356"/>
      <c r="AM69" s="356"/>
      <c r="AN69" s="356"/>
      <c r="AO69" s="356"/>
      <c r="AP69" s="268"/>
      <c r="AQ69" s="356"/>
      <c r="AR69" s="356"/>
      <c r="AS69" s="356"/>
      <c r="AT69" s="356"/>
      <c r="AU69" s="355"/>
      <c r="AV69" s="356"/>
      <c r="AW69" s="356"/>
      <c r="AX69" s="356"/>
      <c r="AY69" s="356"/>
      <c r="AZ69" s="355"/>
      <c r="BA69" s="356"/>
      <c r="BB69" s="356"/>
      <c r="BC69" s="356"/>
      <c r="BD69" s="356"/>
      <c r="BE69" s="355"/>
      <c r="BF69" s="356"/>
      <c r="BG69" s="356"/>
      <c r="BH69" s="356"/>
      <c r="BI69" s="356"/>
      <c r="BJ69" s="355"/>
      <c r="BK69" s="356"/>
      <c r="BL69" s="356"/>
      <c r="BM69" s="356"/>
      <c r="BN69" s="356"/>
      <c r="BO69" s="355"/>
      <c r="BP69" s="356"/>
      <c r="BQ69" s="356"/>
      <c r="BR69" s="356"/>
      <c r="BS69" s="356"/>
      <c r="BT69" s="355"/>
      <c r="BU69" s="356"/>
      <c r="BV69" s="356"/>
      <c r="BW69" s="356"/>
      <c r="BX69" s="356"/>
      <c r="BY69" s="355"/>
      <c r="BZ69" s="356"/>
      <c r="CA69" s="356"/>
      <c r="CB69" s="356"/>
      <c r="CC69" s="356"/>
      <c r="CD69" s="355"/>
      <c r="CE69" s="356"/>
      <c r="CF69" s="356"/>
      <c r="CG69" s="356"/>
      <c r="CH69" s="356"/>
      <c r="CI69" s="355"/>
      <c r="CJ69" s="356"/>
      <c r="CK69" s="356"/>
      <c r="CL69" s="356"/>
      <c r="CM69" s="356"/>
      <c r="CN69" s="355"/>
      <c r="CO69" s="762"/>
      <c r="CP69" s="762">
        <v>0</v>
      </c>
      <c r="CQ69" s="762">
        <v>0</v>
      </c>
      <c r="CR69" s="762">
        <v>0</v>
      </c>
      <c r="CS69" s="355"/>
      <c r="CT69" s="356"/>
      <c r="CU69" s="356"/>
      <c r="CV69" s="356"/>
      <c r="CW69" s="356"/>
      <c r="CX69" s="355">
        <v>0</v>
      </c>
      <c r="CY69" s="356"/>
      <c r="CZ69" s="356"/>
      <c r="DA69" s="356"/>
      <c r="DB69" s="356"/>
      <c r="DC69" s="355">
        <v>0</v>
      </c>
      <c r="DD69" s="147"/>
      <c r="DE69" s="459"/>
      <c r="DJ69" s="399"/>
      <c r="DK69" s="400"/>
      <c r="DL69" s="399"/>
      <c r="DM69" s="399"/>
      <c r="DN69" s="399"/>
      <c r="DO69" s="399"/>
      <c r="DP69" s="399"/>
      <c r="DQ69" s="399"/>
      <c r="DR69" s="496"/>
      <c r="DS69" s="100"/>
    </row>
    <row r="70" spans="1:131" x14ac:dyDescent="0.2">
      <c r="A70" s="357" t="s">
        <v>144</v>
      </c>
      <c r="B70" s="269"/>
      <c r="C70" s="63"/>
      <c r="D70" s="63"/>
      <c r="E70" s="63"/>
      <c r="F70" s="63"/>
      <c r="G70" s="269"/>
      <c r="H70" s="358"/>
      <c r="I70" s="358"/>
      <c r="J70" s="358"/>
      <c r="K70" s="358"/>
      <c r="L70" s="269"/>
      <c r="M70" s="358"/>
      <c r="N70" s="358"/>
      <c r="O70" s="358"/>
      <c r="P70" s="358"/>
      <c r="Q70" s="269"/>
      <c r="R70" s="358"/>
      <c r="S70" s="358"/>
      <c r="T70" s="358"/>
      <c r="U70" s="358"/>
      <c r="V70" s="269"/>
      <c r="W70" s="358"/>
      <c r="X70" s="358"/>
      <c r="Y70" s="358"/>
      <c r="Z70" s="358"/>
      <c r="AA70" s="269"/>
      <c r="AB70" s="358"/>
      <c r="AC70" s="358"/>
      <c r="AD70" s="358"/>
      <c r="AE70" s="358"/>
      <c r="AF70" s="269"/>
      <c r="AG70" s="358"/>
      <c r="AH70" s="358"/>
      <c r="AI70" s="358"/>
      <c r="AJ70" s="358"/>
      <c r="AK70" s="269"/>
      <c r="AL70" s="358"/>
      <c r="AM70" s="358"/>
      <c r="AN70" s="358"/>
      <c r="AO70" s="358"/>
      <c r="AP70" s="269"/>
      <c r="AQ70" s="358"/>
      <c r="AR70" s="358"/>
      <c r="AS70" s="358"/>
      <c r="AT70" s="358"/>
      <c r="AU70" s="326"/>
      <c r="AV70" s="358"/>
      <c r="AW70" s="358"/>
      <c r="AX70" s="358"/>
      <c r="AY70" s="358"/>
      <c r="AZ70" s="326"/>
      <c r="BA70" s="358"/>
      <c r="BB70" s="358"/>
      <c r="BC70" s="358"/>
      <c r="BD70" s="358"/>
      <c r="BE70" s="326"/>
      <c r="BF70" s="358"/>
      <c r="BG70" s="358"/>
      <c r="BH70" s="358"/>
      <c r="BI70" s="358"/>
      <c r="BJ70" s="326"/>
      <c r="BK70" s="358"/>
      <c r="BL70" s="358"/>
      <c r="BM70" s="358"/>
      <c r="BN70" s="358"/>
      <c r="BO70" s="326"/>
      <c r="BP70" s="358"/>
      <c r="BQ70" s="358"/>
      <c r="BR70" s="358"/>
      <c r="BS70" s="358"/>
      <c r="BT70" s="326"/>
      <c r="BU70" s="358"/>
      <c r="BV70" s="358"/>
      <c r="BW70" s="358"/>
      <c r="BX70" s="358"/>
      <c r="BY70" s="326"/>
      <c r="BZ70" s="358"/>
      <c r="CA70" s="358"/>
      <c r="CB70" s="358"/>
      <c r="CC70" s="358"/>
      <c r="CD70" s="326"/>
      <c r="CE70" s="358"/>
      <c r="CF70" s="358"/>
      <c r="CG70" s="358"/>
      <c r="CH70" s="358"/>
      <c r="CI70" s="326"/>
      <c r="CJ70" s="358"/>
      <c r="CK70" s="358"/>
      <c r="CL70" s="358"/>
      <c r="CM70" s="358"/>
      <c r="CN70" s="326"/>
      <c r="CO70" s="763"/>
      <c r="CP70" s="763">
        <v>0</v>
      </c>
      <c r="CQ70" s="763">
        <v>0</v>
      </c>
      <c r="CR70" s="763">
        <v>0</v>
      </c>
      <c r="CS70" s="326"/>
      <c r="CT70" s="358"/>
      <c r="CU70" s="358"/>
      <c r="CV70" s="358"/>
      <c r="CW70" s="358"/>
      <c r="CX70" s="326">
        <v>0</v>
      </c>
      <c r="CY70" s="358"/>
      <c r="CZ70" s="358"/>
      <c r="DA70" s="358"/>
      <c r="DB70" s="358"/>
      <c r="DC70" s="326">
        <v>0</v>
      </c>
      <c r="DD70" s="75"/>
      <c r="DE70" s="460"/>
      <c r="DJ70" s="400"/>
      <c r="DK70" s="430"/>
      <c r="DL70" s="400"/>
      <c r="DM70" s="400"/>
      <c r="DO70" s="592"/>
      <c r="DP70" s="592"/>
      <c r="DR70" s="497"/>
      <c r="DS70" s="74"/>
    </row>
    <row r="71" spans="1:131" x14ac:dyDescent="0.2">
      <c r="A71" s="65" t="s">
        <v>146</v>
      </c>
      <c r="B71" s="268"/>
      <c r="C71" s="20"/>
      <c r="D71" s="20"/>
      <c r="E71" s="20"/>
      <c r="F71" s="20"/>
      <c r="G71" s="268"/>
      <c r="H71" s="538"/>
      <c r="I71" s="538"/>
      <c r="J71" s="538"/>
      <c r="K71" s="538"/>
      <c r="L71" s="268"/>
      <c r="M71" s="538"/>
      <c r="N71" s="538"/>
      <c r="O71" s="538"/>
      <c r="P71" s="538"/>
      <c r="Q71" s="268"/>
      <c r="R71" s="538"/>
      <c r="S71" s="538"/>
      <c r="T71" s="538"/>
      <c r="U71" s="538"/>
      <c r="V71" s="268"/>
      <c r="W71" s="538"/>
      <c r="X71" s="538"/>
      <c r="Y71" s="538"/>
      <c r="Z71" s="538"/>
      <c r="AA71" s="268"/>
      <c r="AB71" s="538"/>
      <c r="AC71" s="538"/>
      <c r="AD71" s="538"/>
      <c r="AE71" s="538"/>
      <c r="AF71" s="268"/>
      <c r="AG71" s="538"/>
      <c r="AH71" s="538"/>
      <c r="AI71" s="538"/>
      <c r="AJ71" s="538"/>
      <c r="AK71" s="268"/>
      <c r="AL71" s="538"/>
      <c r="AM71" s="538"/>
      <c r="AN71" s="538"/>
      <c r="AO71" s="538"/>
      <c r="AP71" s="269"/>
      <c r="AQ71" s="538"/>
      <c r="AR71" s="538"/>
      <c r="AS71" s="538"/>
      <c r="AT71" s="538"/>
      <c r="AU71" s="269"/>
      <c r="AV71" s="538"/>
      <c r="AW71" s="538"/>
      <c r="AX71" s="538"/>
      <c r="AY71" s="538"/>
      <c r="AZ71" s="269"/>
      <c r="BA71" s="538"/>
      <c r="BB71" s="538"/>
      <c r="BC71" s="538"/>
      <c r="BD71" s="538"/>
      <c r="BE71" s="269"/>
      <c r="BF71" s="538"/>
      <c r="BG71" s="538"/>
      <c r="BH71" s="538"/>
      <c r="BI71" s="538"/>
      <c r="BJ71" s="269"/>
      <c r="BK71" s="538"/>
      <c r="BL71" s="538"/>
      <c r="BM71" s="538"/>
      <c r="BN71" s="538"/>
      <c r="BO71" s="269"/>
      <c r="BP71" s="538"/>
      <c r="BQ71" s="538"/>
      <c r="BR71" s="538"/>
      <c r="BS71" s="538"/>
      <c r="BT71" s="269"/>
      <c r="BU71" s="538"/>
      <c r="BV71" s="538"/>
      <c r="BW71" s="538"/>
      <c r="BX71" s="538"/>
      <c r="BY71" s="269"/>
      <c r="BZ71" s="538"/>
      <c r="CA71" s="538"/>
      <c r="CB71" s="538"/>
      <c r="CC71" s="538"/>
      <c r="CD71" s="269"/>
      <c r="CE71" s="538"/>
      <c r="CF71" s="538"/>
      <c r="CG71" s="538"/>
      <c r="CH71" s="538"/>
      <c r="CI71" s="269"/>
      <c r="CJ71" s="538"/>
      <c r="CK71" s="538"/>
      <c r="CL71" s="538"/>
      <c r="CM71" s="538"/>
      <c r="CN71" s="269"/>
      <c r="CO71" s="538"/>
      <c r="CP71" s="538">
        <f t="shared" ref="CP71:CR71" si="297">SUM(CP72:CP73)</f>
        <v>2.1</v>
      </c>
      <c r="CQ71" s="538">
        <f t="shared" si="297"/>
        <v>2.1</v>
      </c>
      <c r="CR71" s="538">
        <f t="shared" si="297"/>
        <v>2.1</v>
      </c>
      <c r="CS71" s="269"/>
      <c r="CT71" s="74"/>
      <c r="CU71" s="74"/>
      <c r="CV71" s="74"/>
      <c r="CW71" s="74"/>
      <c r="CX71" s="269">
        <f>SUM(CX72:CX73)</f>
        <v>2</v>
      </c>
      <c r="CY71" s="74"/>
      <c r="CZ71" s="74"/>
      <c r="DA71" s="74"/>
      <c r="DB71" s="74"/>
      <c r="DC71" s="269">
        <f>SUM(DC72:DC73)</f>
        <v>1.9</v>
      </c>
      <c r="DD71" s="25"/>
      <c r="DE71" s="178"/>
      <c r="DJ71" s="430"/>
      <c r="DK71" s="430"/>
      <c r="DL71" s="389"/>
      <c r="DM71" s="389"/>
      <c r="DN71" s="592"/>
      <c r="DO71" s="592"/>
      <c r="DP71" s="592"/>
      <c r="DQ71" s="399"/>
      <c r="DR71" s="487"/>
      <c r="DS71" s="25"/>
    </row>
    <row r="72" spans="1:131" x14ac:dyDescent="0.2">
      <c r="A72" s="65" t="s">
        <v>147</v>
      </c>
      <c r="B72" s="268"/>
      <c r="C72" s="20"/>
      <c r="D72" s="20"/>
      <c r="E72" s="20"/>
      <c r="F72" s="20"/>
      <c r="G72" s="268"/>
      <c r="H72" s="358"/>
      <c r="I72" s="358"/>
      <c r="J72" s="358"/>
      <c r="K72" s="358"/>
      <c r="L72" s="268"/>
      <c r="M72" s="358"/>
      <c r="N72" s="358"/>
      <c r="O72" s="358"/>
      <c r="P72" s="358"/>
      <c r="Q72" s="268"/>
      <c r="R72" s="358"/>
      <c r="S72" s="358"/>
      <c r="T72" s="358"/>
      <c r="U72" s="358"/>
      <c r="V72" s="268"/>
      <c r="W72" s="358"/>
      <c r="X72" s="358"/>
      <c r="Y72" s="358"/>
      <c r="Z72" s="358"/>
      <c r="AA72" s="268"/>
      <c r="AB72" s="358"/>
      <c r="AC72" s="358"/>
      <c r="AD72" s="358"/>
      <c r="AE72" s="358"/>
      <c r="AF72" s="268"/>
      <c r="AG72" s="358"/>
      <c r="AH72" s="358"/>
      <c r="AI72" s="358"/>
      <c r="AJ72" s="358"/>
      <c r="AK72" s="268"/>
      <c r="AL72" s="358"/>
      <c r="AM72" s="358"/>
      <c r="AN72" s="358"/>
      <c r="AO72" s="358"/>
      <c r="AP72" s="326"/>
      <c r="AQ72" s="358"/>
      <c r="AR72" s="358"/>
      <c r="AS72" s="358"/>
      <c r="AT72" s="358"/>
      <c r="AU72" s="326"/>
      <c r="AV72" s="358"/>
      <c r="AW72" s="358"/>
      <c r="AX72" s="358"/>
      <c r="AY72" s="358"/>
      <c r="AZ72" s="326"/>
      <c r="BA72" s="358"/>
      <c r="BB72" s="358"/>
      <c r="BC72" s="358"/>
      <c r="BD72" s="358"/>
      <c r="BE72" s="338"/>
      <c r="BF72" s="358"/>
      <c r="BG72" s="358"/>
      <c r="BH72" s="358"/>
      <c r="BI72" s="358"/>
      <c r="BJ72" s="338"/>
      <c r="BK72" s="358"/>
      <c r="BL72" s="358"/>
      <c r="BM72" s="358"/>
      <c r="BN72" s="358"/>
      <c r="BO72" s="338"/>
      <c r="BP72" s="358"/>
      <c r="BQ72" s="358"/>
      <c r="BR72" s="358"/>
      <c r="BS72" s="358"/>
      <c r="BT72" s="338"/>
      <c r="BU72" s="358"/>
      <c r="BV72" s="358"/>
      <c r="BW72" s="358"/>
      <c r="BX72" s="358"/>
      <c r="BY72" s="338"/>
      <c r="BZ72" s="358"/>
      <c r="CA72" s="358"/>
      <c r="CB72" s="358"/>
      <c r="CC72" s="358"/>
      <c r="CD72" s="338"/>
      <c r="CE72" s="358"/>
      <c r="CF72" s="358"/>
      <c r="CG72" s="358"/>
      <c r="CH72" s="358"/>
      <c r="CI72" s="338"/>
      <c r="CJ72" s="358"/>
      <c r="CK72" s="358"/>
      <c r="CL72" s="358"/>
      <c r="CM72" s="358"/>
      <c r="CN72" s="338"/>
      <c r="CO72" s="190"/>
      <c r="CP72" s="190">
        <v>1.9</v>
      </c>
      <c r="CQ72" s="190">
        <v>1.9</v>
      </c>
      <c r="CR72" s="190">
        <v>1.9</v>
      </c>
      <c r="CS72" s="790"/>
      <c r="CT72" s="791"/>
      <c r="CU72" s="791"/>
      <c r="CV72" s="791"/>
      <c r="CW72" s="791"/>
      <c r="CX72" s="790">
        <v>1.8</v>
      </c>
      <c r="CY72" s="791"/>
      <c r="CZ72" s="791"/>
      <c r="DA72" s="791"/>
      <c r="DB72" s="791"/>
      <c r="DC72" s="790">
        <v>1.7</v>
      </c>
      <c r="DD72" s="25"/>
      <c r="DE72" s="178"/>
      <c r="DJ72" s="430"/>
      <c r="DK72" s="430"/>
      <c r="DL72" s="389"/>
      <c r="DM72" s="389"/>
      <c r="DN72" s="592"/>
      <c r="DO72" s="592"/>
      <c r="DP72" s="592"/>
      <c r="DQ72" s="399"/>
      <c r="DR72" s="487"/>
      <c r="DS72" s="25"/>
    </row>
    <row r="73" spans="1:131" x14ac:dyDescent="0.2">
      <c r="A73" s="52" t="s">
        <v>148</v>
      </c>
      <c r="B73" s="268"/>
      <c r="C73" s="20"/>
      <c r="D73" s="20"/>
      <c r="E73" s="20"/>
      <c r="F73" s="20"/>
      <c r="G73" s="268"/>
      <c r="H73" s="358"/>
      <c r="I73" s="358"/>
      <c r="J73" s="358"/>
      <c r="K73" s="358"/>
      <c r="L73" s="268"/>
      <c r="M73" s="358"/>
      <c r="N73" s="358"/>
      <c r="O73" s="358"/>
      <c r="P73" s="358"/>
      <c r="Q73" s="268"/>
      <c r="R73" s="358"/>
      <c r="S73" s="358"/>
      <c r="T73" s="358"/>
      <c r="U73" s="358"/>
      <c r="V73" s="268"/>
      <c r="W73" s="358"/>
      <c r="X73" s="358"/>
      <c r="Y73" s="358"/>
      <c r="Z73" s="358"/>
      <c r="AA73" s="268"/>
      <c r="AB73" s="358"/>
      <c r="AC73" s="358"/>
      <c r="AD73" s="358"/>
      <c r="AE73" s="358"/>
      <c r="AF73" s="268"/>
      <c r="AG73" s="358"/>
      <c r="AH73" s="358"/>
      <c r="AI73" s="358"/>
      <c r="AJ73" s="358"/>
      <c r="AK73" s="268"/>
      <c r="AL73" s="358"/>
      <c r="AM73" s="358"/>
      <c r="AN73" s="358"/>
      <c r="AO73" s="358"/>
      <c r="AP73" s="326"/>
      <c r="AQ73" s="358"/>
      <c r="AR73" s="358"/>
      <c r="AS73" s="358"/>
      <c r="AT73" s="358"/>
      <c r="AU73" s="326"/>
      <c r="AV73" s="358"/>
      <c r="AW73" s="358"/>
      <c r="AX73" s="358"/>
      <c r="AY73" s="358"/>
      <c r="AZ73" s="326"/>
      <c r="BA73" s="358"/>
      <c r="BB73" s="358"/>
      <c r="BC73" s="358"/>
      <c r="BD73" s="358"/>
      <c r="BE73" s="326"/>
      <c r="BF73" s="358"/>
      <c r="BG73" s="358"/>
      <c r="BH73" s="358"/>
      <c r="BI73" s="358"/>
      <c r="BJ73" s="326"/>
      <c r="BK73" s="358"/>
      <c r="BL73" s="358"/>
      <c r="BM73" s="358"/>
      <c r="BN73" s="358"/>
      <c r="BO73" s="326"/>
      <c r="BP73" s="358"/>
      <c r="BQ73" s="358"/>
      <c r="BR73" s="358"/>
      <c r="BS73" s="358"/>
      <c r="BT73" s="326"/>
      <c r="BU73" s="358"/>
      <c r="BV73" s="358"/>
      <c r="BW73" s="358"/>
      <c r="BX73" s="358"/>
      <c r="BY73" s="326"/>
      <c r="BZ73" s="358"/>
      <c r="CA73" s="358"/>
      <c r="CB73" s="358"/>
      <c r="CC73" s="358"/>
      <c r="CD73" s="326"/>
      <c r="CE73" s="358"/>
      <c r="CF73" s="358"/>
      <c r="CG73" s="358"/>
      <c r="CH73" s="358"/>
      <c r="CI73" s="326"/>
      <c r="CJ73" s="358"/>
      <c r="CK73" s="358"/>
      <c r="CL73" s="358"/>
      <c r="CM73" s="358"/>
      <c r="CN73" s="326"/>
      <c r="CO73" s="358"/>
      <c r="CP73" s="358">
        <v>0.2</v>
      </c>
      <c r="CQ73" s="358">
        <v>0.2</v>
      </c>
      <c r="CR73" s="358">
        <v>0.2</v>
      </c>
      <c r="CS73" s="338"/>
      <c r="CT73" s="75"/>
      <c r="CU73" s="75"/>
      <c r="CV73" s="75"/>
      <c r="CW73" s="75"/>
      <c r="CX73" s="338">
        <v>0.2</v>
      </c>
      <c r="CY73" s="75"/>
      <c r="CZ73" s="75"/>
      <c r="DA73" s="75"/>
      <c r="DB73" s="75"/>
      <c r="DC73" s="338">
        <v>0.2</v>
      </c>
      <c r="DD73" s="25"/>
      <c r="DE73" s="178"/>
      <c r="DJ73" s="430"/>
      <c r="DK73" s="430"/>
      <c r="DL73" s="389"/>
      <c r="DM73" s="389"/>
      <c r="DN73" s="592"/>
      <c r="DO73" s="592"/>
      <c r="DP73" s="592"/>
      <c r="DQ73" s="389"/>
      <c r="DR73" s="487"/>
      <c r="DS73" s="25"/>
    </row>
    <row r="74" spans="1:131" x14ac:dyDescent="0.2">
      <c r="A74" s="76" t="s">
        <v>305</v>
      </c>
      <c r="B74" s="268"/>
      <c r="C74" s="20"/>
      <c r="D74" s="20"/>
      <c r="E74" s="20"/>
      <c r="F74" s="20"/>
      <c r="G74" s="268"/>
      <c r="H74" s="73"/>
      <c r="I74" s="73"/>
      <c r="J74" s="73"/>
      <c r="K74" s="73"/>
      <c r="L74" s="268"/>
      <c r="M74" s="73"/>
      <c r="N74" s="73"/>
      <c r="O74" s="73"/>
      <c r="P74" s="73"/>
      <c r="Q74" s="268"/>
      <c r="R74" s="73"/>
      <c r="S74" s="73"/>
      <c r="T74" s="73"/>
      <c r="U74" s="73"/>
      <c r="V74" s="268"/>
      <c r="W74" s="73"/>
      <c r="X74" s="73"/>
      <c r="Y74" s="73"/>
      <c r="Z74" s="73"/>
      <c r="AA74" s="268"/>
      <c r="AB74" s="73"/>
      <c r="AC74" s="73"/>
      <c r="AD74" s="73"/>
      <c r="AE74" s="73"/>
      <c r="AF74" s="268"/>
      <c r="AG74" s="73"/>
      <c r="AH74" s="73"/>
      <c r="AI74" s="73"/>
      <c r="AJ74" s="73"/>
      <c r="AK74" s="268"/>
      <c r="AL74" s="73"/>
      <c r="AM74" s="73"/>
      <c r="AN74" s="73"/>
      <c r="AO74" s="73"/>
      <c r="AP74" s="268"/>
      <c r="AQ74" s="73"/>
      <c r="AR74" s="73"/>
      <c r="AS74" s="73"/>
      <c r="AT74" s="73"/>
      <c r="AU74" s="326"/>
      <c r="AV74" s="73"/>
      <c r="AW74" s="73"/>
      <c r="AX74" s="73"/>
      <c r="AY74" s="73"/>
      <c r="AZ74" s="326"/>
      <c r="BA74" s="73"/>
      <c r="BB74" s="73"/>
      <c r="BC74" s="73"/>
      <c r="BD74" s="73"/>
      <c r="BE74" s="326"/>
      <c r="BF74" s="73"/>
      <c r="BG74" s="73"/>
      <c r="BH74" s="73"/>
      <c r="BI74" s="73"/>
      <c r="BJ74" s="326"/>
      <c r="BK74" s="73"/>
      <c r="BL74" s="73"/>
      <c r="BM74" s="73"/>
      <c r="BN74" s="73"/>
      <c r="BO74" s="326"/>
      <c r="BP74" s="73"/>
      <c r="BQ74" s="73"/>
      <c r="BR74" s="73"/>
      <c r="BS74" s="73"/>
      <c r="BT74" s="326"/>
      <c r="BU74" s="73"/>
      <c r="BV74" s="73"/>
      <c r="BW74" s="73"/>
      <c r="BX74" s="73"/>
      <c r="BY74" s="326"/>
      <c r="BZ74" s="73"/>
      <c r="CA74" s="73"/>
      <c r="CB74" s="73"/>
      <c r="CC74" s="73"/>
      <c r="CD74" s="326"/>
      <c r="CE74" s="73"/>
      <c r="CF74" s="73"/>
      <c r="CG74" s="73"/>
      <c r="CH74" s="73"/>
      <c r="CI74" s="326"/>
      <c r="CJ74" s="73"/>
      <c r="CK74" s="73"/>
      <c r="CL74" s="73"/>
      <c r="CM74" s="73"/>
      <c r="CN74" s="326"/>
      <c r="CO74" s="73"/>
      <c r="CP74" s="73"/>
      <c r="CQ74" s="73"/>
      <c r="CR74" s="73"/>
      <c r="CS74" s="326"/>
      <c r="CT74" s="73"/>
      <c r="CU74" s="73"/>
      <c r="CV74" s="73"/>
      <c r="CW74" s="73"/>
      <c r="CX74" s="326"/>
      <c r="CY74" s="73"/>
      <c r="CZ74" s="73"/>
      <c r="DA74" s="73"/>
      <c r="DB74" s="73"/>
      <c r="DC74" s="326"/>
      <c r="DD74" s="25"/>
      <c r="DE74" s="178"/>
      <c r="DJ74" s="430"/>
      <c r="DK74" s="389"/>
      <c r="DL74" s="389"/>
      <c r="DM74" s="389"/>
      <c r="DN74" s="389"/>
      <c r="DO74" s="592"/>
      <c r="DP74" s="592"/>
      <c r="DQ74" s="389"/>
      <c r="DR74" s="487"/>
      <c r="DS74" s="25"/>
    </row>
    <row r="75" spans="1:131" s="30" customFormat="1" x14ac:dyDescent="0.2">
      <c r="A75" s="557" t="s">
        <v>152</v>
      </c>
      <c r="B75" s="850"/>
      <c r="C75" s="559"/>
      <c r="D75" s="559"/>
      <c r="E75" s="559"/>
      <c r="F75" s="849">
        <v>8.3480000000000008</v>
      </c>
      <c r="G75" s="850">
        <v>18.34</v>
      </c>
      <c r="H75" s="827">
        <v>9.9169999999999998</v>
      </c>
      <c r="I75" s="827">
        <v>12.648999999999999</v>
      </c>
      <c r="J75" s="827">
        <v>14.958</v>
      </c>
      <c r="K75" s="827">
        <v>17.571000000000002</v>
      </c>
      <c r="L75" s="558">
        <f>SUM(H75:K75)</f>
        <v>55.094999999999999</v>
      </c>
      <c r="M75" s="827">
        <v>20.934000000000001</v>
      </c>
      <c r="N75" s="827">
        <v>24.640999999999998</v>
      </c>
      <c r="O75" s="827">
        <v>28.300999999999998</v>
      </c>
      <c r="P75" s="827">
        <v>31.638999999999999</v>
      </c>
      <c r="Q75" s="558">
        <f>SUM(M75:P75)</f>
        <v>105.515</v>
      </c>
      <c r="R75" s="827">
        <v>36.847000000000001</v>
      </c>
      <c r="S75" s="827">
        <v>41.08</v>
      </c>
      <c r="T75" s="827">
        <v>47.087000000000003</v>
      </c>
      <c r="U75" s="827">
        <v>48.143000000000001</v>
      </c>
      <c r="V75" s="558">
        <f>SUM(R75:U75)</f>
        <v>173.15699999999998</v>
      </c>
      <c r="W75" s="827">
        <v>53.725000000000001</v>
      </c>
      <c r="X75" s="827">
        <v>59.37</v>
      </c>
      <c r="Y75" s="827">
        <v>63.466000000000001</v>
      </c>
      <c r="Z75" s="827">
        <v>64.525999999999996</v>
      </c>
      <c r="AA75" s="558">
        <f>SUM(W75:Z75)</f>
        <v>241.08699999999999</v>
      </c>
      <c r="AB75" s="827">
        <v>66.281000000000006</v>
      </c>
      <c r="AC75" s="827">
        <v>74.39</v>
      </c>
      <c r="AD75" s="827">
        <v>81.009</v>
      </c>
      <c r="AE75" s="827">
        <v>81.355000000000004</v>
      </c>
      <c r="AF75" s="558">
        <f>SUM(AB75:AE75)</f>
        <v>303.03500000000003</v>
      </c>
      <c r="AG75" s="827">
        <v>86</v>
      </c>
      <c r="AH75" s="827">
        <v>93</v>
      </c>
      <c r="AI75" s="827">
        <v>100</v>
      </c>
      <c r="AJ75" s="827">
        <v>98</v>
      </c>
      <c r="AK75" s="558">
        <f>SUM(AG75:AJ75)</f>
        <v>377</v>
      </c>
      <c r="AL75" s="827">
        <v>101</v>
      </c>
      <c r="AM75" s="827">
        <v>113</v>
      </c>
      <c r="AN75" s="827">
        <v>117</v>
      </c>
      <c r="AO75" s="827">
        <v>113</v>
      </c>
      <c r="AP75" s="558">
        <f>SUM(AL75:AO75)</f>
        <v>444</v>
      </c>
      <c r="AQ75" s="827">
        <v>117</v>
      </c>
      <c r="AR75" s="827">
        <v>116</v>
      </c>
      <c r="AS75" s="827">
        <v>115.2</v>
      </c>
      <c r="AT75" s="827">
        <v>105</v>
      </c>
      <c r="AU75" s="558">
        <f>SUM(AQ75:AT75)</f>
        <v>453.2</v>
      </c>
      <c r="AV75" s="827">
        <v>109</v>
      </c>
      <c r="AW75" s="827">
        <v>115</v>
      </c>
      <c r="AX75" s="827">
        <v>119</v>
      </c>
      <c r="AY75" s="827">
        <v>111.5</v>
      </c>
      <c r="AZ75" s="558">
        <f>SUM(AV75:AY75)</f>
        <v>454.5</v>
      </c>
      <c r="BA75" s="827">
        <v>116</v>
      </c>
      <c r="BB75" s="827">
        <v>121.4</v>
      </c>
      <c r="BC75" s="827">
        <v>129.5</v>
      </c>
      <c r="BD75" s="827">
        <v>119.4</v>
      </c>
      <c r="BE75" s="558">
        <f>SUM(BA75:BD75)</f>
        <v>486.29999999999995</v>
      </c>
      <c r="BF75" s="827">
        <v>117.49369168955863</v>
      </c>
      <c r="BG75" s="827">
        <v>133</v>
      </c>
      <c r="BH75" s="827">
        <v>139</v>
      </c>
      <c r="BI75" s="827">
        <v>133</v>
      </c>
      <c r="BJ75" s="558">
        <f>SUM(BF75:BI75)</f>
        <v>522.49369168955866</v>
      </c>
      <c r="BK75" s="827">
        <v>133</v>
      </c>
      <c r="BL75" s="827">
        <v>140</v>
      </c>
      <c r="BM75" s="827">
        <v>152</v>
      </c>
      <c r="BN75" s="827">
        <v>138</v>
      </c>
      <c r="BO75" s="558">
        <f>SUM(BK75:BN75)</f>
        <v>563</v>
      </c>
      <c r="BP75" s="827">
        <v>142</v>
      </c>
      <c r="BQ75" s="827">
        <v>152</v>
      </c>
      <c r="BR75" s="827">
        <v>160</v>
      </c>
      <c r="BS75" s="827">
        <v>150</v>
      </c>
      <c r="BT75" s="558">
        <f>SUM(BP75:BS75)</f>
        <v>604</v>
      </c>
      <c r="BU75" s="827">
        <v>148</v>
      </c>
      <c r="BV75" s="827">
        <v>161</v>
      </c>
      <c r="BW75" s="827">
        <v>169</v>
      </c>
      <c r="BX75" s="827">
        <v>162</v>
      </c>
      <c r="BY75" s="558">
        <f>SUM(BU75:BX75)</f>
        <v>640</v>
      </c>
      <c r="BZ75" s="827">
        <v>163</v>
      </c>
      <c r="CA75" s="827">
        <v>174</v>
      </c>
      <c r="CB75" s="827">
        <v>185</v>
      </c>
      <c r="CC75" s="827">
        <v>178</v>
      </c>
      <c r="CD75" s="558">
        <f>SUM(BZ75:CC75)</f>
        <v>700</v>
      </c>
      <c r="CE75" s="827">
        <v>183</v>
      </c>
      <c r="CF75" s="827">
        <v>191</v>
      </c>
      <c r="CG75" s="827">
        <v>198</v>
      </c>
      <c r="CH75" s="827">
        <v>187</v>
      </c>
      <c r="CI75" s="558">
        <f>SUM(CE75:CH75)</f>
        <v>759</v>
      </c>
      <c r="CJ75" s="827">
        <v>191</v>
      </c>
      <c r="CK75" s="827">
        <v>202</v>
      </c>
      <c r="CL75" s="827">
        <v>205</v>
      </c>
      <c r="CM75" s="827">
        <v>194</v>
      </c>
      <c r="CN75" s="558">
        <f>SUM(CJ75:CM75)</f>
        <v>792</v>
      </c>
      <c r="CO75" s="557">
        <f t="shared" ref="CO75" si="298">CO77*CO6/1000</f>
        <v>199.27602999999996</v>
      </c>
      <c r="CP75" s="557">
        <f t="shared" ref="CP75:CR75" si="299">CP77*CP6/1000</f>
        <v>211.81719999999999</v>
      </c>
      <c r="CQ75" s="557">
        <f t="shared" si="299"/>
        <v>222.11750000000004</v>
      </c>
      <c r="CR75" s="557">
        <f t="shared" si="299"/>
        <v>208.47240000000002</v>
      </c>
      <c r="CS75" s="558">
        <f>SUM(CO75:CR75)</f>
        <v>841.68313000000001</v>
      </c>
      <c r="CT75" s="557"/>
      <c r="CU75" s="557"/>
      <c r="CV75" s="557"/>
      <c r="CW75" s="557"/>
      <c r="CX75" s="558">
        <f>CX77*CX6/1000</f>
        <v>896.0979443545001</v>
      </c>
      <c r="CY75" s="557"/>
      <c r="CZ75" s="557"/>
      <c r="DA75" s="557"/>
      <c r="DB75" s="557"/>
      <c r="DC75" s="558">
        <f>DC77*DC6/1000</f>
        <v>954.03067645701867</v>
      </c>
      <c r="DD75" s="372"/>
      <c r="DE75" s="461"/>
      <c r="DF75" s="379"/>
      <c r="DG75" s="379"/>
      <c r="DH75" s="379"/>
      <c r="DI75" s="379"/>
      <c r="DJ75" s="430" t="s">
        <v>500</v>
      </c>
      <c r="DK75" s="401"/>
      <c r="DL75" s="401"/>
      <c r="DM75" s="401"/>
      <c r="DN75" s="389"/>
      <c r="DO75" s="389"/>
      <c r="DP75" s="389"/>
      <c r="DQ75" s="389"/>
      <c r="DR75" s="498"/>
      <c r="DS75" s="126"/>
      <c r="DT75"/>
      <c r="DU75"/>
      <c r="DV75"/>
      <c r="DW75"/>
      <c r="DX75"/>
      <c r="DY75"/>
      <c r="DZ75" s="29"/>
      <c r="EA75" s="29"/>
    </row>
    <row r="76" spans="1:131" x14ac:dyDescent="0.2">
      <c r="A76" s="11" t="s">
        <v>131</v>
      </c>
      <c r="B76" s="268"/>
      <c r="C76" s="20"/>
      <c r="D76" s="20"/>
      <c r="E76" s="20"/>
      <c r="F76" s="20"/>
      <c r="G76" s="268"/>
      <c r="H76" s="3"/>
      <c r="I76" s="3"/>
      <c r="J76" s="3"/>
      <c r="K76" s="3"/>
      <c r="L76" s="268">
        <f t="shared" ref="L76:BW76" si="300">L75/G75-1</f>
        <v>2.0040894220283532</v>
      </c>
      <c r="M76" s="3">
        <f t="shared" si="300"/>
        <v>1.1109206413229811</v>
      </c>
      <c r="N76" s="3">
        <f t="shared" si="300"/>
        <v>0.94805913510949491</v>
      </c>
      <c r="O76" s="3">
        <f t="shared" si="300"/>
        <v>0.89203102018986491</v>
      </c>
      <c r="P76" s="3">
        <f t="shared" si="300"/>
        <v>0.80063741392066445</v>
      </c>
      <c r="Q76" s="268">
        <f t="shared" si="300"/>
        <v>0.91514656502404934</v>
      </c>
      <c r="R76" s="3">
        <f t="shared" si="300"/>
        <v>0.7601509506066686</v>
      </c>
      <c r="S76" s="3">
        <f t="shared" si="300"/>
        <v>0.66714013229982561</v>
      </c>
      <c r="T76" s="3">
        <f t="shared" si="300"/>
        <v>0.6637927988410306</v>
      </c>
      <c r="U76" s="3">
        <f t="shared" si="300"/>
        <v>0.52163469136192675</v>
      </c>
      <c r="V76" s="268">
        <f t="shared" si="300"/>
        <v>0.64106525138605863</v>
      </c>
      <c r="W76" s="3">
        <f t="shared" si="300"/>
        <v>0.4580562868076099</v>
      </c>
      <c r="X76" s="3">
        <f t="shared" si="300"/>
        <v>0.44522882181110024</v>
      </c>
      <c r="Y76" s="3">
        <f t="shared" si="300"/>
        <v>0.34784547752033457</v>
      </c>
      <c r="Z76" s="3">
        <f t="shared" si="300"/>
        <v>0.34029869347568686</v>
      </c>
      <c r="AA76" s="268">
        <f t="shared" si="300"/>
        <v>0.39230293895135637</v>
      </c>
      <c r="AB76" s="3">
        <f t="shared" si="300"/>
        <v>0.23370870172173119</v>
      </c>
      <c r="AC76" s="3">
        <f t="shared" si="300"/>
        <v>0.25298972545056442</v>
      </c>
      <c r="AD76" s="3">
        <f t="shared" si="300"/>
        <v>0.27641571865250691</v>
      </c>
      <c r="AE76" s="3">
        <f t="shared" si="300"/>
        <v>0.260809596131792</v>
      </c>
      <c r="AF76" s="268">
        <f t="shared" si="300"/>
        <v>0.25695288422851514</v>
      </c>
      <c r="AG76" s="3">
        <f t="shared" si="300"/>
        <v>0.29750607263016549</v>
      </c>
      <c r="AH76" s="3">
        <f t="shared" si="300"/>
        <v>0.25016803333781423</v>
      </c>
      <c r="AI76" s="3">
        <f t="shared" si="300"/>
        <v>0.23443074226320526</v>
      </c>
      <c r="AJ76" s="3">
        <f t="shared" si="300"/>
        <v>0.2045971360088501</v>
      </c>
      <c r="AK76" s="268">
        <f t="shared" si="300"/>
        <v>0.24408071674889031</v>
      </c>
      <c r="AL76" s="3">
        <f t="shared" si="300"/>
        <v>0.17441860465116288</v>
      </c>
      <c r="AM76" s="3">
        <f t="shared" si="300"/>
        <v>0.21505376344086025</v>
      </c>
      <c r="AN76" s="3">
        <f t="shared" si="300"/>
        <v>0.16999999999999993</v>
      </c>
      <c r="AO76" s="3">
        <f t="shared" si="300"/>
        <v>0.15306122448979598</v>
      </c>
      <c r="AP76" s="268">
        <f t="shared" si="300"/>
        <v>0.17771883289124668</v>
      </c>
      <c r="AQ76" s="3">
        <f t="shared" si="300"/>
        <v>0.15841584158415833</v>
      </c>
      <c r="AR76" s="3">
        <f t="shared" si="300"/>
        <v>2.6548672566371723E-2</v>
      </c>
      <c r="AS76" s="3">
        <f t="shared" si="300"/>
        <v>-1.538461538461533E-2</v>
      </c>
      <c r="AT76" s="3">
        <f t="shared" si="300"/>
        <v>-7.0796460176991149E-2</v>
      </c>
      <c r="AU76" s="268">
        <f t="shared" si="300"/>
        <v>2.0720720720720731E-2</v>
      </c>
      <c r="AV76" s="3">
        <f t="shared" si="300"/>
        <v>-6.8376068376068355E-2</v>
      </c>
      <c r="AW76" s="3">
        <f t="shared" si="300"/>
        <v>-8.6206896551723755E-3</v>
      </c>
      <c r="AX76" s="3">
        <f t="shared" si="300"/>
        <v>3.298611111111116E-2</v>
      </c>
      <c r="AY76" s="3">
        <f t="shared" si="300"/>
        <v>6.1904761904761907E-2</v>
      </c>
      <c r="AZ76" s="268">
        <f t="shared" si="300"/>
        <v>2.8684907325684517E-3</v>
      </c>
      <c r="BA76" s="3">
        <f t="shared" si="300"/>
        <v>6.4220183486238591E-2</v>
      </c>
      <c r="BB76" s="3">
        <f t="shared" si="300"/>
        <v>5.5652173913043557E-2</v>
      </c>
      <c r="BC76" s="3">
        <f t="shared" si="300"/>
        <v>8.8235294117646967E-2</v>
      </c>
      <c r="BD76" s="3">
        <f t="shared" si="300"/>
        <v>7.0852017937219847E-2</v>
      </c>
      <c r="BE76" s="268">
        <f>BE75/AZ75-1</f>
        <v>6.9966996699669881E-2</v>
      </c>
      <c r="BF76" s="3">
        <f>BF75/BA75-1</f>
        <v>1.2876652496195184E-2</v>
      </c>
      <c r="BG76" s="3">
        <f t="shared" si="300"/>
        <v>9.5551894563426609E-2</v>
      </c>
      <c r="BH76" s="3">
        <f t="shared" si="300"/>
        <v>7.3359073359073435E-2</v>
      </c>
      <c r="BI76" s="3">
        <f t="shared" si="300"/>
        <v>0.11390284757118918</v>
      </c>
      <c r="BJ76" s="268">
        <f>BJ75/BE75-1</f>
        <v>7.442667425366789E-2</v>
      </c>
      <c r="BK76" s="3">
        <f>BK75/BF75-1</f>
        <v>0.13197566684185968</v>
      </c>
      <c r="BL76" s="3">
        <f t="shared" si="300"/>
        <v>5.2631578947368363E-2</v>
      </c>
      <c r="BM76" s="3">
        <f t="shared" si="300"/>
        <v>9.3525179856115193E-2</v>
      </c>
      <c r="BN76" s="3">
        <f t="shared" si="300"/>
        <v>3.7593984962406068E-2</v>
      </c>
      <c r="BO76" s="268">
        <f>BO75/BJ75-1</f>
        <v>7.7524971027800094E-2</v>
      </c>
      <c r="BP76" s="3">
        <f t="shared" si="300"/>
        <v>6.7669172932330879E-2</v>
      </c>
      <c r="BQ76" s="3">
        <f t="shared" si="300"/>
        <v>8.5714285714285632E-2</v>
      </c>
      <c r="BR76" s="3">
        <f>BR75/BM75-1</f>
        <v>5.2631578947368363E-2</v>
      </c>
      <c r="BS76" s="3">
        <f t="shared" si="300"/>
        <v>8.6956521739130377E-2</v>
      </c>
      <c r="BT76" s="268">
        <f>BT75/BO75-1</f>
        <v>7.2824156305506316E-2</v>
      </c>
      <c r="BU76" s="3">
        <f t="shared" si="300"/>
        <v>4.2253521126760507E-2</v>
      </c>
      <c r="BV76" s="3">
        <f t="shared" si="300"/>
        <v>5.921052631578938E-2</v>
      </c>
      <c r="BW76" s="3">
        <f t="shared" si="300"/>
        <v>5.6249999999999911E-2</v>
      </c>
      <c r="BX76" s="3">
        <f>BX75/BS75-1</f>
        <v>8.0000000000000071E-2</v>
      </c>
      <c r="BY76" s="268">
        <f>BY75/BT75-1</f>
        <v>5.9602649006622599E-2</v>
      </c>
      <c r="BZ76" s="3">
        <f>BZ75/BU75-1</f>
        <v>0.10135135135135132</v>
      </c>
      <c r="CA76" s="3">
        <f>CA75/BV75-1</f>
        <v>8.0745341614906874E-2</v>
      </c>
      <c r="CB76" s="3">
        <f>CB75/BW75-1</f>
        <v>9.4674556213017791E-2</v>
      </c>
      <c r="CC76" s="3">
        <f t="shared" ref="CC76:CD76" si="301">CC75/BX75-1</f>
        <v>9.8765432098765427E-2</v>
      </c>
      <c r="CD76" s="268">
        <f t="shared" si="301"/>
        <v>9.375E-2</v>
      </c>
      <c r="CE76" s="3">
        <f>CE75/BZ75-1</f>
        <v>0.12269938650306744</v>
      </c>
      <c r="CF76" s="3">
        <f>CF75/CA75-1</f>
        <v>9.7701149425287293E-2</v>
      </c>
      <c r="CG76" s="3">
        <f>CG75/CB75-1</f>
        <v>7.0270270270270219E-2</v>
      </c>
      <c r="CH76" s="3">
        <f t="shared" ref="CH76" si="302">CH75/CC75-1</f>
        <v>5.0561797752809001E-2</v>
      </c>
      <c r="CI76" s="268">
        <f t="shared" ref="CI76:CS76" si="303">CI75/CD75-1</f>
        <v>8.4285714285714297E-2</v>
      </c>
      <c r="CJ76" s="3">
        <f>CJ75/CE75-1</f>
        <v>4.3715846994535568E-2</v>
      </c>
      <c r="CK76" s="3">
        <f>CK75/CF75-1</f>
        <v>5.7591623036649109E-2</v>
      </c>
      <c r="CL76" s="3">
        <f>CL75/CG75-1</f>
        <v>3.5353535353535248E-2</v>
      </c>
      <c r="CM76" s="3">
        <f t="shared" ref="CM76" si="304">CM75/CH75-1</f>
        <v>3.7433155080213831E-2</v>
      </c>
      <c r="CN76" s="268">
        <f t="shared" ref="CN76" si="305">CN75/CI75-1</f>
        <v>4.3478260869565188E-2</v>
      </c>
      <c r="CO76" s="3">
        <f t="shared" si="303"/>
        <v>4.3329999999999869E-2</v>
      </c>
      <c r="CP76" s="3">
        <f t="shared" si="303"/>
        <v>4.8599999999999977E-2</v>
      </c>
      <c r="CQ76" s="3">
        <f t="shared" si="303"/>
        <v>8.350000000000013E-2</v>
      </c>
      <c r="CR76" s="3">
        <f t="shared" si="303"/>
        <v>7.4600000000000222E-2</v>
      </c>
      <c r="CS76" s="268">
        <f t="shared" si="303"/>
        <v>6.2731224747474723E-2</v>
      </c>
      <c r="CT76" s="3"/>
      <c r="CU76" s="3"/>
      <c r="CV76" s="3"/>
      <c r="CW76" s="3"/>
      <c r="CX76" s="268">
        <f>CX75/CS75-1</f>
        <v>6.4650000000000096E-2</v>
      </c>
      <c r="CY76" s="3"/>
      <c r="CZ76" s="3"/>
      <c r="DA76" s="3"/>
      <c r="DB76" s="3"/>
      <c r="DC76" s="268">
        <f>DC75/CX75-1</f>
        <v>6.4650000000000096E-2</v>
      </c>
      <c r="DD76" s="25"/>
      <c r="DE76" s="178"/>
      <c r="DJ76" s="430"/>
      <c r="DK76" s="430"/>
      <c r="DM76" s="389"/>
      <c r="DN76" s="389"/>
      <c r="DO76" s="389"/>
      <c r="DP76" s="389"/>
      <c r="DQ76" s="389"/>
      <c r="DR76" s="487"/>
      <c r="DS76" s="25"/>
    </row>
    <row r="77" spans="1:131" x14ac:dyDescent="0.2">
      <c r="A77" s="77" t="s">
        <v>153</v>
      </c>
      <c r="B77" s="251"/>
      <c r="C77" s="20"/>
      <c r="D77" s="20"/>
      <c r="E77" s="20"/>
      <c r="F77" s="20"/>
      <c r="G77" s="251"/>
      <c r="H77" s="78">
        <f>(H75/(H6/1000))</f>
        <v>13.296203536358419</v>
      </c>
      <c r="I77" s="78">
        <f>(I75/(I6/1000))</f>
        <v>13.165838142106532</v>
      </c>
      <c r="J77" s="78">
        <f>(J75/(J6/1000))</f>
        <v>13.225312175898953</v>
      </c>
      <c r="K77" s="78">
        <f>(K75/(K6/1000))</f>
        <v>12.81939039497818</v>
      </c>
      <c r="L77" s="251">
        <f>L75/(L6/1000)</f>
        <v>13.092087550528518</v>
      </c>
      <c r="M77" s="78">
        <f>(M75/(M6/1000))</f>
        <v>12.964878272340478</v>
      </c>
      <c r="N77" s="78">
        <f>(N75/(N6/1000))</f>
        <v>12.753394858375261</v>
      </c>
      <c r="O77" s="78">
        <f>(O75/(O6/1000))</f>
        <v>12.706678268396869</v>
      </c>
      <c r="P77" s="78">
        <f>(P75/(P6/1000))</f>
        <v>12.830604310554238</v>
      </c>
      <c r="Q77" s="251">
        <f>Q75/(Q6/1000)</f>
        <v>12.805314797271532</v>
      </c>
      <c r="R77" s="78">
        <f>(R75/(R6/1000))</f>
        <v>12.627177337357454</v>
      </c>
      <c r="S77" s="78">
        <f>(S75/(S6/1000))</f>
        <v>12.542672718984592</v>
      </c>
      <c r="T77" s="78">
        <f>(T75/(T6/1000))</f>
        <v>12.709587267037911</v>
      </c>
      <c r="U77" s="78">
        <f>(U75/(U6/1000))</f>
        <v>12.867791018071786</v>
      </c>
      <c r="V77" s="251">
        <f>V75/(V6/1000)</f>
        <v>12.695271259449033</v>
      </c>
      <c r="W77" s="78">
        <f>(W75/(W6/1000))</f>
        <v>12.735509135905481</v>
      </c>
      <c r="X77" s="78">
        <f>(X75/(X6/1000))</f>
        <v>12.749111781815605</v>
      </c>
      <c r="Y77" s="78">
        <f>(Y75/(Y6/1000))</f>
        <v>12.847160369872553</v>
      </c>
      <c r="Z77" s="78">
        <f>(Z75/(Z6/1000))</f>
        <v>12.662942710418442</v>
      </c>
      <c r="AA77" s="251">
        <f>AA75/(AA6/1000)</f>
        <v>12.748471779807478</v>
      </c>
      <c r="AB77" s="78">
        <f>(AB75/(AB6/1000))</f>
        <v>12.823650572015573</v>
      </c>
      <c r="AC77" s="78">
        <f>(AC75/(AC6/1000))</f>
        <v>12.724504806541002</v>
      </c>
      <c r="AD77" s="78">
        <f>(AD75/(AD6/1000))</f>
        <v>12.793866954143978</v>
      </c>
      <c r="AE77" s="78">
        <f>(AE75/(AE6/1000))</f>
        <v>12.798953618089797</v>
      </c>
      <c r="AF77" s="251">
        <f>AF75/(AF6/1000)</f>
        <v>12.784617906843724</v>
      </c>
      <c r="AG77" s="78">
        <f>(AG75/(AG6/1000))</f>
        <v>13.075870457655466</v>
      </c>
      <c r="AH77" s="78">
        <f>(AH75/(AH6/1000))</f>
        <v>12.91307970008331</v>
      </c>
      <c r="AI77" s="78">
        <f>(AI75/(AI6/1000))</f>
        <v>13.267878466233249</v>
      </c>
      <c r="AJ77" s="78">
        <f>(AJ75/(AJ6/1000))</f>
        <v>13.465237702665569</v>
      </c>
      <c r="AK77" s="251">
        <f>AK75/(AK6/1000)</f>
        <v>13.184584178498985</v>
      </c>
      <c r="AL77" s="78">
        <f>(AL75/(AL6/1000))</f>
        <v>13.704206241519675</v>
      </c>
      <c r="AM77" s="78">
        <f>(AM75/(AM6/1000))</f>
        <v>14.009422266302998</v>
      </c>
      <c r="AN77" s="78">
        <f>(AN75/(AN6/1000))</f>
        <v>14.00359066427289</v>
      </c>
      <c r="AO77" s="78">
        <f>(AO75/(AO6/1000))</f>
        <v>13.928263281153704</v>
      </c>
      <c r="AP77" s="251">
        <f>AP75/(AP6/1000)</f>
        <v>13.916750250752257</v>
      </c>
      <c r="AQ77" s="78">
        <f>(AQ75/(AQ6/1000))</f>
        <v>13.936867182846933</v>
      </c>
      <c r="AR77" s="78">
        <f>(AR75/(AR6/1000))</f>
        <v>13.83752833114637</v>
      </c>
      <c r="AS77" s="78">
        <f>(AS75/(AS6/1000))</f>
        <v>14.128035320088301</v>
      </c>
      <c r="AT77" s="78">
        <f>(AT75/(AT6/1000))</f>
        <v>13.981358189081226</v>
      </c>
      <c r="AU77" s="251">
        <f>AU75/(AU6/1000)</f>
        <v>13.969545650699709</v>
      </c>
      <c r="AV77" s="78">
        <f>(AV75/(AV6/1000))</f>
        <v>13.723811442385175</v>
      </c>
      <c r="AW77" s="78">
        <f>(AW75/(AW6/1000))</f>
        <v>13.961393711302659</v>
      </c>
      <c r="AX77" s="78">
        <f>(AX75/(AX6/1000))</f>
        <v>14.18186151829341</v>
      </c>
      <c r="AY77" s="78">
        <f>(AY75/(AY6/1000))</f>
        <v>13.958437656484726</v>
      </c>
      <c r="AZ77" s="251">
        <f>AZ75/(AZ6/1000)</f>
        <v>13.959531180893411</v>
      </c>
      <c r="BA77" s="78">
        <f>(BA75/(BA6/1000))</f>
        <v>13.770801626854011</v>
      </c>
      <c r="BB77" s="78">
        <f>(BB75/(BB6/1000))</f>
        <v>13.972929808011466</v>
      </c>
      <c r="BC77" s="78">
        <f>(BC75/(BC6/1000))</f>
        <v>14.227642276422763</v>
      </c>
      <c r="BD77" s="78">
        <f>(BD75/(BD6/1000))</f>
        <v>13.997343552722739</v>
      </c>
      <c r="BE77" s="251">
        <f>BE75/(BE6/1000)</f>
        <v>13.996645985708389</v>
      </c>
      <c r="BF77" s="78">
        <f>(BF75/(BF6/1000))</f>
        <v>13.805228630921146</v>
      </c>
      <c r="BG77" s="78">
        <f>(BG75/(BG6/1000))</f>
        <v>14.087490731913991</v>
      </c>
      <c r="BH77" s="78">
        <f>(BH75/(BH6/1000))</f>
        <v>14.104515474378488</v>
      </c>
      <c r="BI77" s="78">
        <f>(BI75/(BI6/1000))</f>
        <v>14.111405835543765</v>
      </c>
      <c r="BJ77" s="251">
        <f>BJ75/(BJ6/1000)</f>
        <v>14.033528793148381</v>
      </c>
      <c r="BK77" s="78">
        <f>(BK75/(BK6/1000))</f>
        <v>13.947147651006713</v>
      </c>
      <c r="BL77" s="78">
        <f>(BL75/(BL6/1000))</f>
        <v>14.054813773717498</v>
      </c>
      <c r="BM77" s="78">
        <f>(BM75/(BM6/1000))</f>
        <v>14.200298953662182</v>
      </c>
      <c r="BN77" s="78">
        <f>(BN75/(BN6/1000))</f>
        <v>13.976098845452704</v>
      </c>
      <c r="BO77" s="251">
        <f>BO75/(BO6/1000)</f>
        <v>14.048658764815968</v>
      </c>
      <c r="BP77" s="78">
        <f>(BP75/(BP6/1000))</f>
        <v>14.003944773175542</v>
      </c>
      <c r="BQ77" s="78">
        <f>(BQ75/(BQ6/1000))</f>
        <v>14.151382552834932</v>
      </c>
      <c r="BR77" s="78">
        <f>(BR75/(BR6/1000))</f>
        <v>14.219694276573053</v>
      </c>
      <c r="BS77" s="78">
        <f>(BS75/(BS6/1000))</f>
        <v>14.030492937985221</v>
      </c>
      <c r="BT77" s="251">
        <f>BT75/(BT6/1000)</f>
        <v>14.10424061274052</v>
      </c>
      <c r="BU77" s="78">
        <f>(BU75/(BU6/1000))</f>
        <v>14.204818120740953</v>
      </c>
      <c r="BV77" s="78">
        <f>(BV75/(BV6/1000))</f>
        <v>14.140172141226069</v>
      </c>
      <c r="BW77" s="78">
        <f>(BW75/(BW6/1000))</f>
        <v>14.380530973451327</v>
      </c>
      <c r="BX77" s="78">
        <f>(BX75/(BX6/1000))</f>
        <v>14.165792235047219</v>
      </c>
      <c r="BY77" s="251">
        <f>BY75/(BY6/1000)</f>
        <v>14.224434912097436</v>
      </c>
      <c r="BZ77" s="78">
        <f>(BZ75/(BZ6/1000))</f>
        <v>14.274454855941851</v>
      </c>
      <c r="CA77" s="78">
        <f>(CA75/(CA6/1000))</f>
        <v>14.219171365530768</v>
      </c>
      <c r="CB77" s="78">
        <f>(CB75/(CB6/1000))</f>
        <v>14.257090012330455</v>
      </c>
      <c r="CC77" s="78">
        <f>(CC75/(CC6/1000))</f>
        <v>14.097893236179313</v>
      </c>
      <c r="CD77" s="251">
        <f>CD75/(CD6/1000)</f>
        <v>14.210889601689065</v>
      </c>
      <c r="CE77" s="78">
        <f>(CE75/(CE6/1000))</f>
        <v>14.045590605572185</v>
      </c>
      <c r="CF77" s="78">
        <f>(CF75/(CF6/1000))</f>
        <v>14.047216297712732</v>
      </c>
      <c r="CG77" s="78">
        <f>(CG75/(CG6/1000))</f>
        <v>14.351986082922586</v>
      </c>
      <c r="CH77" s="78">
        <f>(CH75/(CH6/1000))</f>
        <v>14.168813456584331</v>
      </c>
      <c r="CI77" s="251">
        <f>CI75/(CI6/1000)</f>
        <v>14.155165982842224</v>
      </c>
      <c r="CJ77" s="78">
        <f>(CJ75/(CJ6/1000))</f>
        <v>14.06480117820324</v>
      </c>
      <c r="CK77" s="78">
        <f>(CK75/(CK6/1000))</f>
        <v>14.179418784220131</v>
      </c>
      <c r="CL77" s="78">
        <f>(CL75/(CL6/1000))</f>
        <v>14.32965189431008</v>
      </c>
      <c r="CM77" s="78">
        <f>(CM75/(CM6/1000))</f>
        <v>13.980974344191409</v>
      </c>
      <c r="CN77" s="251">
        <f>CN75/(CN6/1000)</f>
        <v>14.140837023282387</v>
      </c>
      <c r="CO77" s="78">
        <f t="shared" ref="CO77:CR77" si="306">CJ77*(1+CO78)</f>
        <v>14.205449189985272</v>
      </c>
      <c r="CP77" s="78">
        <f t="shared" si="306"/>
        <v>13.895830408535728</v>
      </c>
      <c r="CQ77" s="78">
        <f t="shared" si="306"/>
        <v>14.114707115895429</v>
      </c>
      <c r="CR77" s="78">
        <f t="shared" si="306"/>
        <v>13.911069472470452</v>
      </c>
      <c r="CS77" s="251">
        <f>CS75/(CS6/1000)</f>
        <v>14.029445758278657</v>
      </c>
      <c r="CT77" s="78"/>
      <c r="CU77" s="78"/>
      <c r="CV77" s="78"/>
      <c r="CW77" s="78"/>
      <c r="CX77" s="251">
        <f>CS77*(1+CX78)</f>
        <v>13.959298529487263</v>
      </c>
      <c r="CY77" s="78"/>
      <c r="CZ77" s="78"/>
      <c r="DA77" s="78"/>
      <c r="DB77" s="78"/>
      <c r="DC77" s="251">
        <f>CX77*(1+DC78)</f>
        <v>13.889502036839827</v>
      </c>
      <c r="DD77" s="25"/>
      <c r="DE77" s="178"/>
      <c r="DJ77" s="430"/>
      <c r="DK77" s="389"/>
      <c r="DL77" s="389"/>
      <c r="DM77" s="389"/>
      <c r="DN77" s="389"/>
      <c r="DO77" s="389"/>
      <c r="DP77" s="389"/>
      <c r="DQ77" s="389"/>
      <c r="DR77" s="487"/>
      <c r="DS77" s="25"/>
    </row>
    <row r="78" spans="1:131" x14ac:dyDescent="0.2">
      <c r="A78" s="12" t="s">
        <v>131</v>
      </c>
      <c r="B78" s="268"/>
      <c r="C78" s="20"/>
      <c r="D78" s="20"/>
      <c r="E78" s="20"/>
      <c r="F78" s="20"/>
      <c r="G78" s="268"/>
      <c r="H78" s="3"/>
      <c r="I78" s="3"/>
      <c r="J78" s="3"/>
      <c r="K78" s="3"/>
      <c r="L78" s="268"/>
      <c r="M78" s="3">
        <f t="shared" ref="M78:BV78" si="307">M77/H77-1</f>
        <v>-2.4918787014047594E-2</v>
      </c>
      <c r="N78" s="3">
        <f t="shared" si="307"/>
        <v>-3.1326777625513169E-2</v>
      </c>
      <c r="O78" s="3">
        <f t="shared" si="307"/>
        <v>-3.9215248805031022E-2</v>
      </c>
      <c r="P78" s="3">
        <f t="shared" si="307"/>
        <v>8.7476199963854029E-4</v>
      </c>
      <c r="Q78" s="268">
        <f t="shared" si="307"/>
        <v>-2.1904280134867449E-2</v>
      </c>
      <c r="R78" s="3">
        <f t="shared" si="307"/>
        <v>-2.6047366422520257E-2</v>
      </c>
      <c r="S78" s="3">
        <f t="shared" si="307"/>
        <v>-1.6522827194696776E-2</v>
      </c>
      <c r="T78" s="3">
        <f t="shared" si="307"/>
        <v>2.2893462631201622E-4</v>
      </c>
      <c r="U78" s="3">
        <f t="shared" si="307"/>
        <v>2.8982818437444102E-3</v>
      </c>
      <c r="V78" s="268">
        <f t="shared" si="307"/>
        <v>-8.5935831773495952E-3</v>
      </c>
      <c r="W78" s="3">
        <f t="shared" si="307"/>
        <v>8.579256919717837E-3</v>
      </c>
      <c r="X78" s="3">
        <f t="shared" si="307"/>
        <v>1.6458937218265079E-2</v>
      </c>
      <c r="Y78" s="3">
        <f t="shared" si="307"/>
        <v>1.082435644400781E-2</v>
      </c>
      <c r="Z78" s="3">
        <f t="shared" si="307"/>
        <v>-1.5919461807053836E-2</v>
      </c>
      <c r="AA78" s="268">
        <f>AA77/V77-1</f>
        <v>4.1905776781923088E-3</v>
      </c>
      <c r="AB78" s="3">
        <f t="shared" si="307"/>
        <v>6.9209197032880088E-3</v>
      </c>
      <c r="AC78" s="3">
        <f t="shared" si="307"/>
        <v>-1.9300933034174239E-3</v>
      </c>
      <c r="AD78" s="3">
        <f>AD77/Y77-1</f>
        <v>-4.1482642229291322E-3</v>
      </c>
      <c r="AE78" s="3">
        <f t="shared" si="307"/>
        <v>1.0740861013250225E-2</v>
      </c>
      <c r="AF78" s="268">
        <f>AF77/AA77-1</f>
        <v>2.8353301996164593E-3</v>
      </c>
      <c r="AG78" s="3">
        <f t="shared" si="307"/>
        <v>1.9668337360213117E-2</v>
      </c>
      <c r="AH78" s="3">
        <f t="shared" si="307"/>
        <v>1.4819821785549747E-2</v>
      </c>
      <c r="AI78" s="3">
        <f>AI77/AD77-1</f>
        <v>3.7049901627727699E-2</v>
      </c>
      <c r="AJ78" s="3">
        <f t="shared" si="307"/>
        <v>5.2057699750865494E-2</v>
      </c>
      <c r="AK78" s="268">
        <f>AK77/AF77-1</f>
        <v>3.1284960924890415E-2</v>
      </c>
      <c r="AL78" s="3">
        <f t="shared" si="307"/>
        <v>4.8053075005522139E-2</v>
      </c>
      <c r="AM78" s="3">
        <f t="shared" si="307"/>
        <v>8.490171141843228E-2</v>
      </c>
      <c r="AN78" s="3">
        <f t="shared" si="307"/>
        <v>5.5450628366247701E-2</v>
      </c>
      <c r="AO78" s="3">
        <f t="shared" si="307"/>
        <v>3.43867363289454E-2</v>
      </c>
      <c r="AP78" s="268">
        <f>AP77/AK77-1</f>
        <v>5.5531980557055771E-2</v>
      </c>
      <c r="AQ78" s="3">
        <f t="shared" si="307"/>
        <v>1.6977337995860431E-2</v>
      </c>
      <c r="AR78" s="3">
        <f t="shared" si="307"/>
        <v>-1.2269880362596131E-2</v>
      </c>
      <c r="AS78" s="3">
        <f t="shared" si="307"/>
        <v>8.8866247806647092E-3</v>
      </c>
      <c r="AT78" s="3">
        <f t="shared" si="307"/>
        <v>3.812026442619354E-3</v>
      </c>
      <c r="AU78" s="268">
        <f>AU77/AP77-1</f>
        <v>3.7936586484763613E-3</v>
      </c>
      <c r="AV78" s="3">
        <f t="shared" si="307"/>
        <v>-1.5287204625439865E-2</v>
      </c>
      <c r="AW78" s="3">
        <f t="shared" si="307"/>
        <v>8.9514093262945682E-3</v>
      </c>
      <c r="AX78" s="3">
        <f t="shared" si="307"/>
        <v>3.8098855917052532E-3</v>
      </c>
      <c r="AY78" s="3">
        <f t="shared" si="307"/>
        <v>-1.639363807616312E-3</v>
      </c>
      <c r="AZ78" s="268">
        <f>AZ77/AU77-1</f>
        <v>-7.1687870577219481E-4</v>
      </c>
      <c r="BA78" s="3">
        <f t="shared" si="307"/>
        <v>3.423989368121827E-3</v>
      </c>
      <c r="BB78" s="3">
        <f t="shared" si="307"/>
        <v>8.2628546600393982E-4</v>
      </c>
      <c r="BC78" s="3">
        <f t="shared" si="307"/>
        <v>3.2281205164992333E-3</v>
      </c>
      <c r="BD78" s="3">
        <f t="shared" si="307"/>
        <v>2.7872672569440038E-3</v>
      </c>
      <c r="BE78" s="268">
        <f>BE77/AZ77-1</f>
        <v>2.6587429286863973E-3</v>
      </c>
      <c r="BF78" s="3">
        <f>BF77/BA77-1</f>
        <v>2.4999999999999467E-3</v>
      </c>
      <c r="BG78" s="3">
        <f t="shared" si="307"/>
        <v>8.1987761676753923E-3</v>
      </c>
      <c r="BH78" s="3">
        <f t="shared" si="307"/>
        <v>-8.6540552293976614E-3</v>
      </c>
      <c r="BI78" s="3">
        <f t="shared" si="307"/>
        <v>8.1488521297914396E-3</v>
      </c>
      <c r="BJ78" s="268">
        <f>BJ77/BE77-1</f>
        <v>2.6351175472789645E-3</v>
      </c>
      <c r="BK78" s="3">
        <f>BK77/BF77-1</f>
        <v>1.0280091976723638E-2</v>
      </c>
      <c r="BL78" s="3">
        <f t="shared" si="307"/>
        <v>-2.3195726491209712E-3</v>
      </c>
      <c r="BM78" s="3">
        <f t="shared" si="307"/>
        <v>6.7909797722360832E-3</v>
      </c>
      <c r="BN78" s="3">
        <f t="shared" si="307"/>
        <v>-9.5884840722425535E-3</v>
      </c>
      <c r="BO78" s="268">
        <f>BO77/BJ77-1</f>
        <v>1.0781302330011844E-3</v>
      </c>
      <c r="BP78" s="3">
        <f t="shared" si="307"/>
        <v>4.0723109549019032E-3</v>
      </c>
      <c r="BQ78" s="3">
        <f t="shared" si="307"/>
        <v>6.8708686342053849E-3</v>
      </c>
      <c r="BR78" s="3">
        <f>BR77/BM77-1</f>
        <v>1.3658390555129074E-3</v>
      </c>
      <c r="BS78" s="3">
        <f t="shared" si="307"/>
        <v>3.8919367367107327E-3</v>
      </c>
      <c r="BT78" s="268">
        <f>BT77/BO77-1</f>
        <v>3.956381093386252E-3</v>
      </c>
      <c r="BU78" s="3">
        <f t="shared" si="307"/>
        <v>1.4344054537417383E-2</v>
      </c>
      <c r="BV78" s="3">
        <f t="shared" si="307"/>
        <v>-7.9217783612361981E-4</v>
      </c>
      <c r="BW78" s="3">
        <f t="shared" ref="BW78:CB78" si="308">BW77/BR77-1</f>
        <v>1.1310840707964509E-2</v>
      </c>
      <c r="BX78" s="3">
        <f t="shared" si="308"/>
        <v>9.6432318992654142E-3</v>
      </c>
      <c r="BY78" s="268">
        <f t="shared" si="308"/>
        <v>8.5218554232791011E-3</v>
      </c>
      <c r="BZ78" s="3">
        <f t="shared" si="308"/>
        <v>4.9023320544470117E-3</v>
      </c>
      <c r="CA78" s="3">
        <f t="shared" si="308"/>
        <v>5.586864397101321E-3</v>
      </c>
      <c r="CB78" s="3">
        <f t="shared" si="308"/>
        <v>-8.5838945271744516E-3</v>
      </c>
      <c r="CC78" s="3">
        <f>CC77/BX77-1</f>
        <v>-4.7931663645269795E-3</v>
      </c>
      <c r="CD78" s="268">
        <f>CD77/BY77-1</f>
        <v>-9.5225648625607562E-4</v>
      </c>
      <c r="CE78" s="3">
        <f>CE77/BZ77-1</f>
        <v>-1.6033134202277366E-2</v>
      </c>
      <c r="CF78" s="3">
        <f t="shared" ref="CF78:CG78" si="309">CF77/CA77-1</f>
        <v>-1.2093184855685668E-2</v>
      </c>
      <c r="CG78" s="3">
        <f t="shared" si="309"/>
        <v>6.6560616865054545E-3</v>
      </c>
      <c r="CH78" s="3">
        <f>CH77/CC77-1</f>
        <v>5.0305545103019877E-3</v>
      </c>
      <c r="CI78" s="268">
        <f>CI77/CD77-1</f>
        <v>-3.921191453082451E-3</v>
      </c>
      <c r="CJ78" s="3">
        <f>CJ77/CE77-1</f>
        <v>1.3677297858469828E-3</v>
      </c>
      <c r="CK78" s="3">
        <f t="shared" ref="CK78:CL78" si="310">CK77/CF77-1</f>
        <v>9.411294288173444E-3</v>
      </c>
      <c r="CL78" s="3">
        <f t="shared" si="310"/>
        <v>-1.5561740712026761E-3</v>
      </c>
      <c r="CM78" s="3">
        <f>CM77/CH77-1</f>
        <v>-1.3257222488565645E-2</v>
      </c>
      <c r="CN78" s="268">
        <f>CN77/CI77-1</f>
        <v>-1.012277749141588E-3</v>
      </c>
      <c r="CO78" s="35">
        <v>0.01</v>
      </c>
      <c r="CP78" s="35">
        <v>-0.02</v>
      </c>
      <c r="CQ78" s="35">
        <v>-1.4999999999999999E-2</v>
      </c>
      <c r="CR78" s="35">
        <v>-5.0000000000000001E-3</v>
      </c>
      <c r="CS78" s="268">
        <f>CS77/CN77-1</f>
        <v>-7.8772752150617631E-3</v>
      </c>
      <c r="CT78" s="3"/>
      <c r="CU78" s="3"/>
      <c r="CV78" s="35"/>
      <c r="CW78" s="35"/>
      <c r="CX78" s="355">
        <v>-5.0000000000000001E-3</v>
      </c>
      <c r="CY78" s="3"/>
      <c r="CZ78" s="3"/>
      <c r="DA78" s="35"/>
      <c r="DB78" s="35"/>
      <c r="DC78" s="355">
        <v>-5.0000000000000001E-3</v>
      </c>
      <c r="DD78" s="25"/>
      <c r="DE78" s="178"/>
      <c r="DJ78" s="430"/>
      <c r="DK78" s="430"/>
      <c r="DL78" s="389"/>
      <c r="DM78" s="389"/>
      <c r="DN78" s="389"/>
      <c r="DO78" s="389"/>
      <c r="DP78" s="389"/>
      <c r="DQ78" s="389"/>
      <c r="DR78" s="487"/>
      <c r="DS78" s="25"/>
    </row>
    <row r="79" spans="1:131" x14ac:dyDescent="0.2">
      <c r="A79" s="39" t="str">
        <f>$A60&amp;" per ASM (cents)"</f>
        <v>Aircraft Fuel per ASM (cents)</v>
      </c>
      <c r="B79" s="270"/>
      <c r="C79" s="79"/>
      <c r="D79" s="79"/>
      <c r="E79" s="79"/>
      <c r="F79" s="79"/>
      <c r="G79" s="270"/>
      <c r="H79" s="79">
        <f t="shared" ref="H79:AM79" si="311">H60/H6*100</f>
        <v>1.1438723902329146</v>
      </c>
      <c r="I79" s="79">
        <f t="shared" si="311"/>
        <v>1.0959243669489478</v>
      </c>
      <c r="J79" s="79">
        <f t="shared" si="311"/>
        <v>1.0518090773492437</v>
      </c>
      <c r="K79" s="79">
        <f t="shared" si="311"/>
        <v>0.78082906895812099</v>
      </c>
      <c r="L79" s="270">
        <f t="shared" si="311"/>
        <v>0.98993757287738648</v>
      </c>
      <c r="M79" s="79">
        <f t="shared" si="311"/>
        <v>0.80408175045055641</v>
      </c>
      <c r="N79" s="79">
        <f t="shared" si="311"/>
        <v>0.87896397363922285</v>
      </c>
      <c r="O79" s="79">
        <f t="shared" si="311"/>
        <v>0.95045953447608578</v>
      </c>
      <c r="P79" s="79">
        <f t="shared" si="311"/>
        <v>1.0192632064304286</v>
      </c>
      <c r="Q79" s="270">
        <f t="shared" si="311"/>
        <v>0.92560178972220419</v>
      </c>
      <c r="R79" s="79">
        <f t="shared" si="311"/>
        <v>1.2325265560707743</v>
      </c>
      <c r="S79" s="79">
        <f t="shared" si="311"/>
        <v>0.99098716757566441</v>
      </c>
      <c r="T79" s="79">
        <f t="shared" si="311"/>
        <v>1.0336745895437889</v>
      </c>
      <c r="U79" s="79">
        <f t="shared" si="311"/>
        <v>1.0850875765130139</v>
      </c>
      <c r="V79" s="270">
        <f t="shared" si="311"/>
        <v>1.0800698677252403</v>
      </c>
      <c r="W79" s="79">
        <f t="shared" si="311"/>
        <v>1.1673525312194797</v>
      </c>
      <c r="X79" s="79">
        <f t="shared" si="311"/>
        <v>1.2332516247762679</v>
      </c>
      <c r="Y79" s="79">
        <f t="shared" si="311"/>
        <v>1.3865969781865879</v>
      </c>
      <c r="Z79" s="79">
        <f t="shared" si="311"/>
        <v>1.5737326067536739</v>
      </c>
      <c r="AA79" s="270">
        <f t="shared" si="311"/>
        <v>1.350353293426156</v>
      </c>
      <c r="AB79" s="79">
        <f t="shared" si="311"/>
        <v>1.6758718374013499</v>
      </c>
      <c r="AC79" s="79">
        <f t="shared" si="311"/>
        <v>1.9039204953645104</v>
      </c>
      <c r="AD79" s="79">
        <f t="shared" si="311"/>
        <v>2.1798643116353453</v>
      </c>
      <c r="AE79" s="79">
        <f t="shared" si="311"/>
        <v>2.3910153878489626</v>
      </c>
      <c r="AF79" s="270">
        <f t="shared" si="311"/>
        <v>2.058528730468689</v>
      </c>
      <c r="AG79" s="79">
        <f t="shared" si="311"/>
        <v>2.4327200851452031</v>
      </c>
      <c r="AH79" s="79">
        <f t="shared" si="311"/>
        <v>2.6659261316301026</v>
      </c>
      <c r="AI79" s="79">
        <f t="shared" si="311"/>
        <v>2.8127902348414486</v>
      </c>
      <c r="AJ79" s="79">
        <f t="shared" si="311"/>
        <v>2.5831272327562518</v>
      </c>
      <c r="AK79" s="270">
        <f t="shared" si="311"/>
        <v>2.6299223613345459</v>
      </c>
      <c r="AL79" s="79">
        <f t="shared" si="311"/>
        <v>2.5780189959294439</v>
      </c>
      <c r="AM79" s="79">
        <f t="shared" si="311"/>
        <v>2.8018844532606</v>
      </c>
      <c r="AN79" s="79">
        <f t="shared" ref="AN79:BS79" si="312">AN60/AN6*100</f>
        <v>2.9802513464991023</v>
      </c>
      <c r="AO79" s="79">
        <f t="shared" si="312"/>
        <v>3.2540367311721927</v>
      </c>
      <c r="AP79" s="270">
        <f t="shared" si="312"/>
        <v>2.9118605817452359</v>
      </c>
      <c r="AQ79" s="79">
        <f t="shared" si="312"/>
        <v>3.668850506253722</v>
      </c>
      <c r="AR79" s="79">
        <f t="shared" si="312"/>
        <v>4.4136943814863407</v>
      </c>
      <c r="AS79" s="79">
        <f t="shared" si="312"/>
        <v>4.8319843021829776</v>
      </c>
      <c r="AT79" s="79">
        <f t="shared" si="312"/>
        <v>3.8402130492676427</v>
      </c>
      <c r="AU79" s="270">
        <f t="shared" si="312"/>
        <v>4.1933296344245123</v>
      </c>
      <c r="AV79" s="79">
        <f t="shared" si="312"/>
        <v>2.8089746172441581</v>
      </c>
      <c r="AW79" s="79">
        <f t="shared" si="312"/>
        <v>2.8541944882845693</v>
      </c>
      <c r="AX79" s="79">
        <f t="shared" si="312"/>
        <v>3.0306280538672388</v>
      </c>
      <c r="AY79" s="79">
        <f t="shared" si="312"/>
        <v>2.9043565348022033</v>
      </c>
      <c r="AZ79" s="270">
        <f t="shared" si="312"/>
        <v>2.9009410781856602</v>
      </c>
      <c r="BA79" s="79">
        <f t="shared" si="312"/>
        <v>3.0153307010525165</v>
      </c>
      <c r="BB79" s="79">
        <f t="shared" si="312"/>
        <v>3.2112416939334421</v>
      </c>
      <c r="BC79" s="79">
        <f t="shared" si="312"/>
        <v>3.2102834541858929</v>
      </c>
      <c r="BD79" s="79">
        <f t="shared" si="312"/>
        <v>3.3938282734616694</v>
      </c>
      <c r="BE79" s="270">
        <f t="shared" si="312"/>
        <v>3.2083202303658536</v>
      </c>
      <c r="BF79" s="79">
        <f t="shared" si="312"/>
        <v>4.1476658334910734</v>
      </c>
      <c r="BG79" s="79">
        <f t="shared" si="312"/>
        <v>4.6499311513610841</v>
      </c>
      <c r="BH79" s="79">
        <f t="shared" si="312"/>
        <v>4.6067985794013193</v>
      </c>
      <c r="BI79" s="79">
        <f t="shared" si="312"/>
        <v>4.4350132625994698</v>
      </c>
      <c r="BJ79" s="270">
        <f t="shared" si="312"/>
        <v>4.4692964304100062</v>
      </c>
      <c r="BK79" s="79">
        <f t="shared" si="312"/>
        <v>4.5406879194630871</v>
      </c>
      <c r="BL79" s="79">
        <f t="shared" si="312"/>
        <v>4.5176187129806245</v>
      </c>
      <c r="BM79" s="79">
        <f t="shared" si="312"/>
        <v>4.4936472346786251</v>
      </c>
      <c r="BN79" s="79">
        <f t="shared" si="312"/>
        <v>4.476402673688475</v>
      </c>
      <c r="BO79" s="270">
        <f t="shared" si="312"/>
        <v>4.5065502183406112</v>
      </c>
      <c r="BP79" s="79">
        <f t="shared" si="312"/>
        <v>4.60552268244576</v>
      </c>
      <c r="BQ79" s="79">
        <f t="shared" si="312"/>
        <v>4.3292058467554231</v>
      </c>
      <c r="BR79" s="79">
        <f t="shared" si="312"/>
        <v>4.452541770351937</v>
      </c>
      <c r="BS79" s="79">
        <f t="shared" si="312"/>
        <v>4.3588064727340754</v>
      </c>
      <c r="BT79" s="270">
        <f t="shared" ref="BT79:CE79" si="313">BT60/BT6*100</f>
        <v>4.4344292919858024</v>
      </c>
      <c r="BU79" s="79">
        <f t="shared" si="313"/>
        <v>4.4534024378539208</v>
      </c>
      <c r="BV79" s="79">
        <f t="shared" si="313"/>
        <v>4.3650096609871767</v>
      </c>
      <c r="BW79" s="79">
        <f t="shared" si="313"/>
        <v>4.3822328114363511</v>
      </c>
      <c r="BX79" s="79">
        <f t="shared" si="313"/>
        <v>3.8125218607904863</v>
      </c>
      <c r="BY79" s="270">
        <f t="shared" si="313"/>
        <v>4.2495499299891097</v>
      </c>
      <c r="BZ79" s="79">
        <f t="shared" si="313"/>
        <v>2.9337069795954114</v>
      </c>
      <c r="CA79" s="79">
        <f t="shared" si="313"/>
        <v>3.0317888371332846</v>
      </c>
      <c r="CB79" s="79">
        <f t="shared" si="313"/>
        <v>2.6356350184956843</v>
      </c>
      <c r="CC79" s="79">
        <f t="shared" si="313"/>
        <v>2.376049421827974</v>
      </c>
      <c r="CD79" s="270">
        <f t="shared" si="313"/>
        <v>2.7366113118681228</v>
      </c>
      <c r="CE79" s="79">
        <f t="shared" si="313"/>
        <v>1.6501650165016499</v>
      </c>
      <c r="CF79" s="79">
        <f t="shared" ref="CF79:CJ79" si="314">CF60/CF6*100</f>
        <v>2.0151504008237109</v>
      </c>
      <c r="CG79" s="79">
        <f t="shared" si="314"/>
        <v>2.1238040011597561</v>
      </c>
      <c r="CH79" s="79">
        <f t="shared" si="314"/>
        <v>2.2048795272010908</v>
      </c>
      <c r="CI79" s="270">
        <f t="shared" si="314"/>
        <v>2.0011189854531892</v>
      </c>
      <c r="CJ79" s="79">
        <f t="shared" si="314"/>
        <v>2.3784977908689249</v>
      </c>
      <c r="CK79" s="79">
        <f t="shared" ref="CK79:CN79" si="315">CK60/CK6*100</f>
        <v>2.2813421311245263</v>
      </c>
      <c r="CL79" s="79">
        <f t="shared" si="315"/>
        <v>2.4255557108905355</v>
      </c>
      <c r="CM79" s="79">
        <f t="shared" si="315"/>
        <v>2.6520611127125973</v>
      </c>
      <c r="CN79" s="270">
        <f t="shared" si="315"/>
        <v>2.4335809170118554</v>
      </c>
      <c r="CO79" s="79">
        <f t="shared" ref="CO79:CR79" si="316">CO60/CO6*100</f>
        <v>3.0683770250368183</v>
      </c>
      <c r="CP79" s="79">
        <f t="shared" si="316"/>
        <v>2.918124385792503</v>
      </c>
      <c r="CQ79" s="79">
        <f t="shared" si="316"/>
        <v>2.9640884943380406</v>
      </c>
      <c r="CR79" s="79">
        <f t="shared" si="316"/>
        <v>2.9213245892187949</v>
      </c>
      <c r="CS79" s="270">
        <f t="shared" ref="CS79" si="317">CS60/CS6*100</f>
        <v>2.9661131919103965</v>
      </c>
      <c r="CT79" s="79"/>
      <c r="CU79" s="79"/>
      <c r="CV79" s="79"/>
      <c r="CW79" s="79"/>
      <c r="CX79" s="270">
        <f>CX60/CX6*100</f>
        <v>2.7918597058974526</v>
      </c>
      <c r="CY79" s="79"/>
      <c r="CZ79" s="79"/>
      <c r="DA79" s="79"/>
      <c r="DB79" s="79"/>
      <c r="DC79" s="270">
        <f>DC60/DC6*100</f>
        <v>2.6390053869995671</v>
      </c>
      <c r="DD79" s="365"/>
      <c r="DE79" s="462"/>
      <c r="DJ79" s="440"/>
      <c r="DK79" s="402"/>
      <c r="DL79" s="402"/>
      <c r="DM79" s="402"/>
      <c r="DN79" s="402"/>
      <c r="DO79" s="402"/>
      <c r="DP79" s="402"/>
      <c r="DQ79" s="402"/>
      <c r="DR79" s="499"/>
      <c r="DS79" s="365"/>
    </row>
    <row r="80" spans="1:131" x14ac:dyDescent="0.2">
      <c r="A80" s="12" t="s">
        <v>131</v>
      </c>
      <c r="B80" s="249"/>
      <c r="C80" s="20"/>
      <c r="D80" s="20"/>
      <c r="E80" s="20"/>
      <c r="F80" s="20"/>
      <c r="G80" s="249"/>
      <c r="H80" s="3"/>
      <c r="I80" s="3"/>
      <c r="J80" s="3"/>
      <c r="K80" s="3"/>
      <c r="L80" s="249"/>
      <c r="M80" s="3">
        <f t="shared" ref="M80:BW80" si="318">M79/H79-1</f>
        <v>-0.29705292538197403</v>
      </c>
      <c r="N80" s="3">
        <f t="shared" si="318"/>
        <v>-0.19797022481920212</v>
      </c>
      <c r="O80" s="3">
        <f t="shared" si="318"/>
        <v>-9.6357357105700037E-2</v>
      </c>
      <c r="P80" s="3">
        <f t="shared" si="318"/>
        <v>0.30536022152768472</v>
      </c>
      <c r="Q80" s="249">
        <f t="shared" si="318"/>
        <v>-6.4989737654043922E-2</v>
      </c>
      <c r="R80" s="3">
        <f t="shared" si="318"/>
        <v>0.53283737055360936</v>
      </c>
      <c r="S80" s="3">
        <f t="shared" si="318"/>
        <v>0.12744913022160143</v>
      </c>
      <c r="T80" s="3">
        <f t="shared" si="318"/>
        <v>8.7552443896070864E-2</v>
      </c>
      <c r="U80" s="3">
        <f t="shared" si="318"/>
        <v>6.4580345554814622E-2</v>
      </c>
      <c r="V80" s="249">
        <f t="shared" si="318"/>
        <v>0.16688394482188262</v>
      </c>
      <c r="W80" s="3">
        <f t="shared" si="318"/>
        <v>-5.2878394003181395E-2</v>
      </c>
      <c r="X80" s="3">
        <f t="shared" si="318"/>
        <v>0.24446780455621386</v>
      </c>
      <c r="Y80" s="3">
        <f t="shared" si="318"/>
        <v>0.34142504054255696</v>
      </c>
      <c r="Z80" s="3">
        <f t="shared" si="318"/>
        <v>0.45032773466170029</v>
      </c>
      <c r="AA80" s="249">
        <f t="shared" si="318"/>
        <v>0.25024624219002223</v>
      </c>
      <c r="AB80" s="3">
        <f t="shared" si="318"/>
        <v>0.43561759843930226</v>
      </c>
      <c r="AC80" s="3">
        <f t="shared" si="318"/>
        <v>0.54382159902681071</v>
      </c>
      <c r="AD80" s="3">
        <f t="shared" si="318"/>
        <v>0.57209653989452969</v>
      </c>
      <c r="AE80" s="3">
        <f t="shared" si="318"/>
        <v>0.51932760215294493</v>
      </c>
      <c r="AF80" s="249">
        <f t="shared" si="318"/>
        <v>0.52443715321768103</v>
      </c>
      <c r="AG80" s="3">
        <f t="shared" si="318"/>
        <v>0.45161463475479224</v>
      </c>
      <c r="AH80" s="3">
        <f t="shared" si="318"/>
        <v>0.40022975650551218</v>
      </c>
      <c r="AI80" s="3">
        <f t="shared" si="318"/>
        <v>0.29035106443450109</v>
      </c>
      <c r="AJ80" s="3">
        <f t="shared" si="318"/>
        <v>8.034738960008081E-2</v>
      </c>
      <c r="AK80" s="249">
        <f t="shared" si="318"/>
        <v>0.2775737945303105</v>
      </c>
      <c r="AL80" s="3">
        <f t="shared" si="318"/>
        <v>5.972693351424696E-2</v>
      </c>
      <c r="AM80" s="3">
        <f t="shared" si="318"/>
        <v>5.0998532936606278E-2</v>
      </c>
      <c r="AN80" s="3">
        <f t="shared" si="318"/>
        <v>5.9535584837911992E-2</v>
      </c>
      <c r="AO80" s="3">
        <f t="shared" si="318"/>
        <v>0.25972762390804349</v>
      </c>
      <c r="AP80" s="249">
        <f t="shared" si="318"/>
        <v>0.10720400896839455</v>
      </c>
      <c r="AQ80" s="3">
        <f t="shared" si="318"/>
        <v>0.42312780163631203</v>
      </c>
      <c r="AR80" s="3">
        <f t="shared" si="318"/>
        <v>0.57525924252516925</v>
      </c>
      <c r="AS80" s="3">
        <f t="shared" si="318"/>
        <v>0.62133449175657751</v>
      </c>
      <c r="AT80" s="3">
        <f t="shared" si="318"/>
        <v>0.18013819957228727</v>
      </c>
      <c r="AU80" s="249">
        <f t="shared" si="318"/>
        <v>0.44008599199870435</v>
      </c>
      <c r="AV80" s="3">
        <f t="shared" si="318"/>
        <v>-0.23437201585179512</v>
      </c>
      <c r="AW80" s="3">
        <f t="shared" si="318"/>
        <v>-0.35333209742460681</v>
      </c>
      <c r="AX80" s="3">
        <f t="shared" si="318"/>
        <v>-0.37279844793823691</v>
      </c>
      <c r="AY80" s="3">
        <f t="shared" si="318"/>
        <v>-0.24369911316350379</v>
      </c>
      <c r="AZ80" s="249">
        <f t="shared" si="318"/>
        <v>-0.30820104044031782</v>
      </c>
      <c r="BA80" s="3">
        <f t="shared" si="318"/>
        <v>7.3463135815307279E-2</v>
      </c>
      <c r="BB80" s="3">
        <f t="shared" si="318"/>
        <v>0.12509561177923278</v>
      </c>
      <c r="BC80" s="3">
        <f t="shared" si="318"/>
        <v>5.9279923872348705E-2</v>
      </c>
      <c r="BD80" s="3">
        <f t="shared" si="318"/>
        <v>0.16853018312119894</v>
      </c>
      <c r="BE80" s="249">
        <f>BE79/AZ79-1</f>
        <v>0.10595842655737009</v>
      </c>
      <c r="BF80" s="3">
        <f>BF79/BA79-1</f>
        <v>0.37552601843748334</v>
      </c>
      <c r="BG80" s="3">
        <f t="shared" si="318"/>
        <v>0.44801656011927116</v>
      </c>
      <c r="BH80" s="3">
        <f t="shared" si="318"/>
        <v>0.43501302771084238</v>
      </c>
      <c r="BI80" s="3">
        <f t="shared" si="318"/>
        <v>0.30678776450754319</v>
      </c>
      <c r="BJ80" s="249">
        <f>BJ79/BE79-1</f>
        <v>0.39303314803471467</v>
      </c>
      <c r="BK80" s="3">
        <f>BK79/BF79-1</f>
        <v>9.4757413386219902E-2</v>
      </c>
      <c r="BL80" s="3">
        <f t="shared" si="318"/>
        <v>-2.845470912869974E-2</v>
      </c>
      <c r="BM80" s="3">
        <f t="shared" si="318"/>
        <v>-2.456181723000328E-2</v>
      </c>
      <c r="BN80" s="3">
        <f t="shared" si="318"/>
        <v>9.3324210410017372E-3</v>
      </c>
      <c r="BO80" s="249">
        <f>BO79/BJ79-1</f>
        <v>8.3354927359757802E-3</v>
      </c>
      <c r="BP80" s="3">
        <f t="shared" si="318"/>
        <v>1.4278621242558076E-2</v>
      </c>
      <c r="BQ80" s="3">
        <f t="shared" si="318"/>
        <v>-4.1706234677094001E-2</v>
      </c>
      <c r="BR80" s="3">
        <f>BR79/BM79-1</f>
        <v>-9.1474613337394484E-3</v>
      </c>
      <c r="BS80" s="3">
        <f t="shared" si="318"/>
        <v>-2.6270246339903602E-2</v>
      </c>
      <c r="BT80" s="249">
        <f>BT79/BO79-1</f>
        <v>-1.6003577650437251E-2</v>
      </c>
      <c r="BU80" s="3">
        <f t="shared" si="318"/>
        <v>-3.3029963172617749E-2</v>
      </c>
      <c r="BV80" s="3">
        <f t="shared" si="318"/>
        <v>8.2702961002851794E-3</v>
      </c>
      <c r="BW80" s="3">
        <f t="shared" si="318"/>
        <v>-1.5790746621121232E-2</v>
      </c>
      <c r="BX80" s="3">
        <f>BX79/BS79-1</f>
        <v>-0.12532894391177918</v>
      </c>
      <c r="BY80" s="249">
        <f>BY79/BT79-1</f>
        <v>-4.1691805150849692E-2</v>
      </c>
      <c r="BZ80" s="3">
        <f>BZ79/BU79-1</f>
        <v>-0.34124368490507351</v>
      </c>
      <c r="CA80" s="3">
        <f>CA79/BV79-1</f>
        <v>-0.30543364789538063</v>
      </c>
      <c r="CB80" s="3">
        <f>CB79/BW79-1</f>
        <v>-0.39856344199298477</v>
      </c>
      <c r="CC80" s="3">
        <f t="shared" ref="CC80:CD80" si="319">CC79/BX79-1</f>
        <v>-0.37677749568750663</v>
      </c>
      <c r="CD80" s="249">
        <f t="shared" si="319"/>
        <v>-0.35602325965019643</v>
      </c>
      <c r="CE80" s="3">
        <f>CE79/BZ79-1</f>
        <v>-0.43751539333037792</v>
      </c>
      <c r="CF80" s="3">
        <f>CF79/CA79-1</f>
        <v>-0.33532626806254051</v>
      </c>
      <c r="CG80" s="3">
        <f>CG79/CB79-1</f>
        <v>-0.19419647020324571</v>
      </c>
      <c r="CH80" s="3">
        <f t="shared" ref="CH80" si="320">CH79/CC79-1</f>
        <v>-7.2039702985300935E-2</v>
      </c>
      <c r="CI80" s="249">
        <f t="shared" ref="CI80:CS80" si="321">CI79/CD79-1</f>
        <v>-0.26876024491503558</v>
      </c>
      <c r="CJ80" s="3">
        <f>CJ79/CE79-1</f>
        <v>0.44136966126656874</v>
      </c>
      <c r="CK80" s="3">
        <f>CK79/CF79-1</f>
        <v>0.13209521740511643</v>
      </c>
      <c r="CL80" s="3">
        <f>CL79/CG79-1</f>
        <v>0.14208077090258819</v>
      </c>
      <c r="CM80" s="3">
        <f t="shared" ref="CM80" si="322">CM79/CH79-1</f>
        <v>0.20281452115398158</v>
      </c>
      <c r="CN80" s="249">
        <f t="shared" ref="CN80" si="323">CN79/CI79-1</f>
        <v>0.21611005377610137</v>
      </c>
      <c r="CO80" s="3">
        <f t="shared" si="321"/>
        <v>0.29004829721362202</v>
      </c>
      <c r="CP80" s="3">
        <f t="shared" si="321"/>
        <v>0.2791261538461538</v>
      </c>
      <c r="CQ80" s="3">
        <f t="shared" si="321"/>
        <v>0.2220244956772337</v>
      </c>
      <c r="CR80" s="3">
        <f t="shared" si="321"/>
        <v>0.10152989130434786</v>
      </c>
      <c r="CS80" s="249">
        <f t="shared" si="321"/>
        <v>0.21882661520555757</v>
      </c>
      <c r="CT80" s="3"/>
      <c r="CU80" s="3"/>
      <c r="CV80" s="3"/>
      <c r="CW80" s="3"/>
      <c r="CX80" s="249">
        <f>CX79/CS79-1</f>
        <v>-5.8748090426283373E-2</v>
      </c>
      <c r="CY80" s="3"/>
      <c r="CZ80" s="3"/>
      <c r="DA80" s="3"/>
      <c r="DB80" s="3"/>
      <c r="DC80" s="249">
        <f>DC79/CX79-1</f>
        <v>-5.4749999999999965E-2</v>
      </c>
      <c r="DD80" s="25"/>
      <c r="DE80" s="178"/>
      <c r="DJ80" s="430"/>
      <c r="DK80" s="389"/>
      <c r="DL80" s="389"/>
      <c r="DM80" s="389"/>
      <c r="DN80" s="389"/>
      <c r="DO80" s="389"/>
      <c r="DP80" s="389"/>
      <c r="DQ80" s="389"/>
      <c r="DR80" s="487"/>
      <c r="DS80" s="25"/>
    </row>
    <row r="81" spans="1:131" x14ac:dyDescent="0.2">
      <c r="A81" s="8" t="s">
        <v>248</v>
      </c>
      <c r="B81" s="846">
        <v>0.32400000000000001</v>
      </c>
      <c r="C81" s="9"/>
      <c r="D81" s="9"/>
      <c r="E81" s="9"/>
      <c r="F81" s="9"/>
      <c r="G81" s="846">
        <v>13.026999999999999</v>
      </c>
      <c r="H81" s="824">
        <v>5.61</v>
      </c>
      <c r="I81" s="824">
        <v>8.1270000000000007</v>
      </c>
      <c r="J81" s="824">
        <v>9.31</v>
      </c>
      <c r="K81" s="824">
        <v>9.8800000000000008</v>
      </c>
      <c r="L81" s="10">
        <f>SUM(H81:K81)</f>
        <v>32.927000000000007</v>
      </c>
      <c r="M81" s="824">
        <v>9.4909999999999997</v>
      </c>
      <c r="N81" s="824">
        <v>10.298</v>
      </c>
      <c r="O81" s="824">
        <v>10.061</v>
      </c>
      <c r="P81" s="824">
        <v>10.994999999999999</v>
      </c>
      <c r="Q81" s="10">
        <f>SUM(M81:P81)</f>
        <v>40.844999999999999</v>
      </c>
      <c r="R81" s="824">
        <v>13.079000000000001</v>
      </c>
      <c r="S81" s="824">
        <v>14.907</v>
      </c>
      <c r="T81" s="824">
        <v>15.673</v>
      </c>
      <c r="U81" s="824">
        <v>16.303999999999998</v>
      </c>
      <c r="V81" s="10">
        <f>SUM(R81:U81)</f>
        <v>59.962999999999994</v>
      </c>
      <c r="W81" s="824">
        <v>17.254999999999999</v>
      </c>
      <c r="X81" s="824">
        <v>17.739999999999998</v>
      </c>
      <c r="Y81" s="824">
        <v>17.553000000000001</v>
      </c>
      <c r="Z81" s="824">
        <v>17.667999999999999</v>
      </c>
      <c r="AA81" s="10">
        <f>SUM(W81:Z81)</f>
        <v>70.216000000000008</v>
      </c>
      <c r="AB81" s="824">
        <v>17.812999999999999</v>
      </c>
      <c r="AC81" s="824">
        <v>18.076000000000001</v>
      </c>
      <c r="AD81" s="824">
        <v>18.265000000000001</v>
      </c>
      <c r="AE81" s="824">
        <v>20.082000000000001</v>
      </c>
      <c r="AF81" s="10">
        <f>SUM(AB81:AE81)</f>
        <v>74.23599999999999</v>
      </c>
      <c r="AG81" s="824">
        <v>22</v>
      </c>
      <c r="AH81" s="824">
        <v>25</v>
      </c>
      <c r="AI81" s="824">
        <v>27</v>
      </c>
      <c r="AJ81" s="824">
        <v>29</v>
      </c>
      <c r="AK81" s="10">
        <f>SUM(AG81:AJ81)</f>
        <v>103</v>
      </c>
      <c r="AL81" s="824">
        <v>30</v>
      </c>
      <c r="AM81" s="824">
        <v>30</v>
      </c>
      <c r="AN81" s="824">
        <v>32</v>
      </c>
      <c r="AO81" s="824">
        <v>32</v>
      </c>
      <c r="AP81" s="10">
        <f>SUM(AL81:AO81)</f>
        <v>124</v>
      </c>
      <c r="AQ81" s="824">
        <v>32</v>
      </c>
      <c r="AR81" s="824">
        <v>32</v>
      </c>
      <c r="AS81" s="824">
        <v>33</v>
      </c>
      <c r="AT81" s="824">
        <v>32</v>
      </c>
      <c r="AU81" s="10">
        <f>SUM(AQ81:AT81)</f>
        <v>129</v>
      </c>
      <c r="AV81" s="824">
        <v>32</v>
      </c>
      <c r="AW81" s="824">
        <v>32</v>
      </c>
      <c r="AX81" s="824">
        <v>31</v>
      </c>
      <c r="AY81" s="824">
        <v>31</v>
      </c>
      <c r="AZ81" s="10">
        <f>SUM(AV81:AY81)</f>
        <v>126</v>
      </c>
      <c r="BA81" s="824">
        <v>31</v>
      </c>
      <c r="BB81" s="824">
        <v>31</v>
      </c>
      <c r="BC81" s="824">
        <v>31</v>
      </c>
      <c r="BD81" s="824">
        <v>33</v>
      </c>
      <c r="BE81" s="10">
        <f>SUM(BA81:BD81)</f>
        <v>126</v>
      </c>
      <c r="BF81" s="824">
        <v>34</v>
      </c>
      <c r="BG81" s="824">
        <v>36</v>
      </c>
      <c r="BH81" s="824">
        <v>32</v>
      </c>
      <c r="BI81" s="824">
        <v>33</v>
      </c>
      <c r="BJ81" s="10">
        <f>SUM(BF81:BI81)</f>
        <v>135</v>
      </c>
      <c r="BK81" s="824">
        <v>33</v>
      </c>
      <c r="BL81" s="824">
        <v>33</v>
      </c>
      <c r="BM81" s="824">
        <v>32</v>
      </c>
      <c r="BN81" s="824">
        <v>32</v>
      </c>
      <c r="BO81" s="10">
        <f>SUM(BK81:BN81)</f>
        <v>130</v>
      </c>
      <c r="BP81" s="824">
        <v>32</v>
      </c>
      <c r="BQ81" s="824">
        <v>33</v>
      </c>
      <c r="BR81" s="824">
        <v>32</v>
      </c>
      <c r="BS81" s="824">
        <v>31</v>
      </c>
      <c r="BT81" s="10">
        <f>SUM(BP81:BS81)</f>
        <v>128</v>
      </c>
      <c r="BU81" s="824">
        <v>31</v>
      </c>
      <c r="BV81" s="824">
        <v>31</v>
      </c>
      <c r="BW81" s="824">
        <v>31</v>
      </c>
      <c r="BX81" s="824">
        <v>31</v>
      </c>
      <c r="BY81" s="10">
        <f>SUM(BU81:BX81)</f>
        <v>124</v>
      </c>
      <c r="BZ81" s="824">
        <v>31</v>
      </c>
      <c r="CA81" s="824">
        <v>31</v>
      </c>
      <c r="CB81" s="824">
        <v>30</v>
      </c>
      <c r="CC81" s="824">
        <v>30</v>
      </c>
      <c r="CD81" s="10">
        <f>SUM(BZ81:CC81)</f>
        <v>122</v>
      </c>
      <c r="CE81" s="824">
        <v>28</v>
      </c>
      <c r="CF81" s="824">
        <v>28</v>
      </c>
      <c r="CG81" s="824">
        <v>28</v>
      </c>
      <c r="CH81" s="824">
        <v>27</v>
      </c>
      <c r="CI81" s="10">
        <f>SUM(CE81:CH81)</f>
        <v>111</v>
      </c>
      <c r="CJ81" s="824">
        <v>26</v>
      </c>
      <c r="CK81" s="824">
        <v>24</v>
      </c>
      <c r="CL81" s="824">
        <v>26</v>
      </c>
      <c r="CM81" s="824">
        <v>25</v>
      </c>
      <c r="CN81" s="10">
        <f>SUM(CJ81:CM81)</f>
        <v>101</v>
      </c>
      <c r="CO81" s="9">
        <f t="shared" ref="CO81" si="324">CO24*CO84/4</f>
        <v>24.00078774617068</v>
      </c>
      <c r="CP81" s="9">
        <f t="shared" ref="CP81:CR81" si="325">CP24*CP84/4</f>
        <v>23.786436285097192</v>
      </c>
      <c r="CQ81" s="9">
        <f t="shared" si="325"/>
        <v>23.514200426439231</v>
      </c>
      <c r="CR81" s="9">
        <f t="shared" si="325"/>
        <v>22.745762711864408</v>
      </c>
      <c r="CS81" s="10">
        <f>SUM(CO81:CR81)</f>
        <v>94.047187169571515</v>
      </c>
      <c r="CT81" s="9"/>
      <c r="CU81" s="9"/>
      <c r="CV81" s="9"/>
      <c r="CW81" s="9"/>
      <c r="CX81" s="10">
        <f>CX24*CX84</f>
        <v>89.666773576299988</v>
      </c>
      <c r="CY81" s="9"/>
      <c r="CZ81" s="9"/>
      <c r="DA81" s="9"/>
      <c r="DB81" s="9"/>
      <c r="DC81" s="10">
        <f>DC24*DC84</f>
        <v>88.374151573061454</v>
      </c>
      <c r="DD81" s="364"/>
      <c r="DE81" s="456"/>
      <c r="DF81" s="364"/>
      <c r="DG81" s="364"/>
      <c r="DH81" s="364"/>
      <c r="DI81" s="364"/>
      <c r="DJ81" s="430" t="s">
        <v>35</v>
      </c>
      <c r="DK81" s="9"/>
      <c r="DL81" s="9"/>
      <c r="DM81" s="9"/>
      <c r="DN81" s="9"/>
      <c r="DO81" s="9"/>
      <c r="DP81" s="9"/>
      <c r="DQ81" s="9"/>
      <c r="DR81" s="456"/>
      <c r="DS81" s="364"/>
      <c r="DZ81" s="9"/>
      <c r="EA81" s="342"/>
    </row>
    <row r="82" spans="1:131" x14ac:dyDescent="0.2">
      <c r="A82" s="11" t="s">
        <v>131</v>
      </c>
      <c r="B82" s="249"/>
      <c r="C82" s="20"/>
      <c r="D82" s="20"/>
      <c r="E82" s="20"/>
      <c r="F82" s="20"/>
      <c r="G82" s="249"/>
      <c r="H82" s="3"/>
      <c r="I82" s="3"/>
      <c r="J82" s="3"/>
      <c r="K82" s="3"/>
      <c r="L82" s="249">
        <f t="shared" ref="L82:BW82" si="326">L81/G81-1</f>
        <v>1.5275965302832586</v>
      </c>
      <c r="M82" s="3">
        <f t="shared" si="326"/>
        <v>0.69180035650623872</v>
      </c>
      <c r="N82" s="3">
        <f t="shared" si="326"/>
        <v>0.26713424387842988</v>
      </c>
      <c r="O82" s="3">
        <f t="shared" si="326"/>
        <v>8.0665950590762536E-2</v>
      </c>
      <c r="P82" s="3">
        <f t="shared" si="326"/>
        <v>0.11285425101214552</v>
      </c>
      <c r="Q82" s="249">
        <f t="shared" si="326"/>
        <v>0.2404713457041332</v>
      </c>
      <c r="R82" s="3">
        <f t="shared" si="326"/>
        <v>0.37804235591613122</v>
      </c>
      <c r="S82" s="3">
        <f t="shared" si="326"/>
        <v>0.44756263352107206</v>
      </c>
      <c r="T82" s="3">
        <f t="shared" si="326"/>
        <v>0.55779743564258033</v>
      </c>
      <c r="U82" s="3">
        <f t="shared" si="326"/>
        <v>0.48285584356525679</v>
      </c>
      <c r="V82" s="249">
        <f t="shared" si="326"/>
        <v>0.46806218631411411</v>
      </c>
      <c r="W82" s="3">
        <f t="shared" si="326"/>
        <v>0.31929046563192887</v>
      </c>
      <c r="X82" s="3">
        <f t="shared" si="326"/>
        <v>0.19004494532769822</v>
      </c>
      <c r="Y82" s="3">
        <f t="shared" si="326"/>
        <v>0.11995150896446116</v>
      </c>
      <c r="Z82" s="3">
        <f t="shared" si="326"/>
        <v>8.3660451422963744E-2</v>
      </c>
      <c r="AA82" s="249">
        <f t="shared" si="326"/>
        <v>0.17098877641212096</v>
      </c>
      <c r="AB82" s="3">
        <f t="shared" si="326"/>
        <v>3.2338452622428182E-2</v>
      </c>
      <c r="AC82" s="3">
        <f t="shared" si="326"/>
        <v>1.8940248027057516E-2</v>
      </c>
      <c r="AD82" s="3">
        <f t="shared" si="326"/>
        <v>4.0562866746425064E-2</v>
      </c>
      <c r="AE82" s="3">
        <f t="shared" si="326"/>
        <v>0.13663119764546083</v>
      </c>
      <c r="AF82" s="249">
        <f t="shared" si="326"/>
        <v>5.7251908396946272E-2</v>
      </c>
      <c r="AG82" s="3">
        <f t="shared" si="326"/>
        <v>0.23505305114242425</v>
      </c>
      <c r="AH82" s="3">
        <f t="shared" si="326"/>
        <v>0.38304934720070816</v>
      </c>
      <c r="AI82" s="3">
        <f t="shared" si="326"/>
        <v>0.47823706542567757</v>
      </c>
      <c r="AJ82" s="3">
        <f t="shared" si="326"/>
        <v>0.44407927497261213</v>
      </c>
      <c r="AK82" s="249">
        <f t="shared" si="326"/>
        <v>0.38746699714424282</v>
      </c>
      <c r="AL82" s="3">
        <f t="shared" si="326"/>
        <v>0.36363636363636354</v>
      </c>
      <c r="AM82" s="3">
        <f t="shared" si="326"/>
        <v>0.19999999999999996</v>
      </c>
      <c r="AN82" s="3">
        <f t="shared" si="326"/>
        <v>0.18518518518518512</v>
      </c>
      <c r="AO82" s="3">
        <f t="shared" si="326"/>
        <v>0.10344827586206895</v>
      </c>
      <c r="AP82" s="249">
        <f t="shared" si="326"/>
        <v>0.20388349514563098</v>
      </c>
      <c r="AQ82" s="3">
        <f t="shared" si="326"/>
        <v>6.6666666666666652E-2</v>
      </c>
      <c r="AR82" s="3">
        <f t="shared" si="326"/>
        <v>6.6666666666666652E-2</v>
      </c>
      <c r="AS82" s="3">
        <f t="shared" si="326"/>
        <v>3.125E-2</v>
      </c>
      <c r="AT82" s="3">
        <f t="shared" si="326"/>
        <v>0</v>
      </c>
      <c r="AU82" s="249">
        <f t="shared" si="326"/>
        <v>4.0322580645161255E-2</v>
      </c>
      <c r="AV82" s="3">
        <f t="shared" si="326"/>
        <v>0</v>
      </c>
      <c r="AW82" s="3">
        <f t="shared" si="326"/>
        <v>0</v>
      </c>
      <c r="AX82" s="3">
        <f t="shared" si="326"/>
        <v>-6.0606060606060552E-2</v>
      </c>
      <c r="AY82" s="3">
        <f t="shared" si="326"/>
        <v>-3.125E-2</v>
      </c>
      <c r="AZ82" s="249">
        <f t="shared" si="326"/>
        <v>-2.3255813953488413E-2</v>
      </c>
      <c r="BA82" s="3">
        <f t="shared" si="326"/>
        <v>-3.125E-2</v>
      </c>
      <c r="BB82" s="3">
        <f t="shared" si="326"/>
        <v>-3.125E-2</v>
      </c>
      <c r="BC82" s="3">
        <f t="shared" si="326"/>
        <v>0</v>
      </c>
      <c r="BD82" s="3">
        <f t="shared" si="326"/>
        <v>6.4516129032258007E-2</v>
      </c>
      <c r="BE82" s="249">
        <f>BE81/AZ81-1</f>
        <v>0</v>
      </c>
      <c r="BF82" s="3">
        <f>BF81/BA81-1</f>
        <v>9.6774193548387011E-2</v>
      </c>
      <c r="BG82" s="3">
        <f t="shared" si="326"/>
        <v>0.16129032258064524</v>
      </c>
      <c r="BH82" s="3">
        <f t="shared" si="326"/>
        <v>3.2258064516129004E-2</v>
      </c>
      <c r="BI82" s="3">
        <f t="shared" si="326"/>
        <v>0</v>
      </c>
      <c r="BJ82" s="249">
        <f>BJ81/BE81-1</f>
        <v>7.1428571428571397E-2</v>
      </c>
      <c r="BK82" s="3">
        <f>BK81/BF81-1</f>
        <v>-2.9411764705882359E-2</v>
      </c>
      <c r="BL82" s="3">
        <f t="shared" si="326"/>
        <v>-8.333333333333337E-2</v>
      </c>
      <c r="BM82" s="3">
        <f t="shared" si="326"/>
        <v>0</v>
      </c>
      <c r="BN82" s="3">
        <f t="shared" si="326"/>
        <v>-3.0303030303030276E-2</v>
      </c>
      <c r="BO82" s="249">
        <f>BO81/BJ81-1</f>
        <v>-3.703703703703709E-2</v>
      </c>
      <c r="BP82" s="3">
        <f t="shared" si="326"/>
        <v>-3.0303030303030276E-2</v>
      </c>
      <c r="BQ82" s="3">
        <f t="shared" si="326"/>
        <v>0</v>
      </c>
      <c r="BR82" s="3">
        <f t="shared" si="326"/>
        <v>0</v>
      </c>
      <c r="BS82" s="3">
        <f t="shared" si="326"/>
        <v>-3.125E-2</v>
      </c>
      <c r="BT82" s="249">
        <f>BT81/BO81-1</f>
        <v>-1.538461538461533E-2</v>
      </c>
      <c r="BU82" s="3">
        <f t="shared" si="326"/>
        <v>-3.125E-2</v>
      </c>
      <c r="BV82" s="3">
        <f t="shared" si="326"/>
        <v>-6.0606060606060552E-2</v>
      </c>
      <c r="BW82" s="3">
        <f t="shared" si="326"/>
        <v>-3.125E-2</v>
      </c>
      <c r="BX82" s="3">
        <f>BX81/BS81-1</f>
        <v>0</v>
      </c>
      <c r="BY82" s="249">
        <f>BY81/BT81-1</f>
        <v>-3.125E-2</v>
      </c>
      <c r="BZ82" s="3">
        <f>BZ81/BU81-1</f>
        <v>0</v>
      </c>
      <c r="CA82" s="3">
        <f>CA81/BV81-1</f>
        <v>0</v>
      </c>
      <c r="CB82" s="3">
        <f>CB81/BW81-1</f>
        <v>-3.2258064516129004E-2</v>
      </c>
      <c r="CC82" s="3">
        <f t="shared" ref="CC82:CD82" si="327">CC81/BX81-1</f>
        <v>-3.2258064516129004E-2</v>
      </c>
      <c r="CD82" s="249">
        <f t="shared" si="327"/>
        <v>-1.6129032258064502E-2</v>
      </c>
      <c r="CE82" s="3">
        <f>CE81/BZ81-1</f>
        <v>-9.6774193548387122E-2</v>
      </c>
      <c r="CF82" s="3">
        <f>CF81/CA81-1</f>
        <v>-9.6774193548387122E-2</v>
      </c>
      <c r="CG82" s="3">
        <f>CG81/CB81-1</f>
        <v>-6.6666666666666652E-2</v>
      </c>
      <c r="CH82" s="3">
        <f t="shared" ref="CH82" si="328">CH81/CC81-1</f>
        <v>-9.9999999999999978E-2</v>
      </c>
      <c r="CI82" s="249">
        <f t="shared" ref="CI82:CS82" si="329">CI81/CD81-1</f>
        <v>-9.0163934426229497E-2</v>
      </c>
      <c r="CJ82" s="3">
        <f>CJ81/CE81-1</f>
        <v>-7.1428571428571397E-2</v>
      </c>
      <c r="CK82" s="3">
        <f>CK81/CF81-1</f>
        <v>-0.1428571428571429</v>
      </c>
      <c r="CL82" s="3">
        <f>CL81/CG81-1</f>
        <v>-7.1428571428571397E-2</v>
      </c>
      <c r="CM82" s="3">
        <f t="shared" ref="CM82" si="330">CM81/CH81-1</f>
        <v>-7.407407407407407E-2</v>
      </c>
      <c r="CN82" s="249">
        <f t="shared" ref="CN82" si="331">CN81/CI81-1</f>
        <v>-9.0090090090090058E-2</v>
      </c>
      <c r="CO82" s="3">
        <f t="shared" si="329"/>
        <v>-7.6892778993435384E-2</v>
      </c>
      <c r="CP82" s="3">
        <f t="shared" si="329"/>
        <v>-8.8984881209502875E-3</v>
      </c>
      <c r="CQ82" s="3">
        <f t="shared" si="329"/>
        <v>-9.5607675906183465E-2</v>
      </c>
      <c r="CR82" s="3">
        <f t="shared" si="329"/>
        <v>-9.016949152542364E-2</v>
      </c>
      <c r="CS82" s="249">
        <f t="shared" si="329"/>
        <v>-6.8839730994341486E-2</v>
      </c>
      <c r="CT82" s="3"/>
      <c r="CU82" s="3"/>
      <c r="CV82" s="3"/>
      <c r="CW82" s="3"/>
      <c r="CX82" s="249">
        <f>CX81/CS81-1</f>
        <v>-4.6576763485477124E-2</v>
      </c>
      <c r="CY82" s="3"/>
      <c r="CZ82" s="3"/>
      <c r="DA82" s="3"/>
      <c r="DB82" s="3"/>
      <c r="DC82" s="249">
        <f>DC81/CX81-1</f>
        <v>-1.4415841584158318E-2</v>
      </c>
      <c r="DD82" s="25"/>
      <c r="DE82" s="178"/>
      <c r="DJ82" s="430"/>
      <c r="DK82" s="430" t="s">
        <v>300</v>
      </c>
      <c r="DL82" s="389"/>
      <c r="DM82" s="389"/>
      <c r="DN82" s="389"/>
      <c r="DO82" s="389"/>
      <c r="DP82" s="389"/>
      <c r="DQ82" s="389"/>
      <c r="DR82" s="487"/>
      <c r="DS82" s="25"/>
    </row>
    <row r="83" spans="1:131" x14ac:dyDescent="0.2">
      <c r="A83" s="80" t="s">
        <v>154</v>
      </c>
      <c r="B83" s="249"/>
      <c r="C83" s="20"/>
      <c r="D83" s="20"/>
      <c r="E83" s="20"/>
      <c r="F83" s="20"/>
      <c r="G83" s="249"/>
      <c r="H83" s="3"/>
      <c r="I83" s="3">
        <f>I81/H81-1</f>
        <v>0.44866310160427814</v>
      </c>
      <c r="J83" s="3">
        <f>J81/I81-1</f>
        <v>0.14556416881998269</v>
      </c>
      <c r="K83" s="3">
        <f>K81/J81-1</f>
        <v>6.1224489795918435E-2</v>
      </c>
      <c r="L83" s="249"/>
      <c r="M83" s="3">
        <f>M81/K81-1</f>
        <v>-3.9372469635627683E-2</v>
      </c>
      <c r="N83" s="3">
        <f>N81/M81-1</f>
        <v>8.5027921188494338E-2</v>
      </c>
      <c r="O83" s="3">
        <f>O81/N81-1</f>
        <v>-2.3014177510196188E-2</v>
      </c>
      <c r="P83" s="3">
        <f>P81/O81-1</f>
        <v>9.2833714342510643E-2</v>
      </c>
      <c r="Q83" s="249"/>
      <c r="R83" s="3">
        <f>R81/P81-1</f>
        <v>0.1895407003183267</v>
      </c>
      <c r="S83" s="3">
        <f>S81/R81-1</f>
        <v>0.13976603715880409</v>
      </c>
      <c r="T83" s="3">
        <f>T81/S81-1</f>
        <v>5.1385255249211781E-2</v>
      </c>
      <c r="U83" s="3">
        <f>U81/T81-1</f>
        <v>4.0260320296050534E-2</v>
      </c>
      <c r="V83" s="249"/>
      <c r="W83" s="3">
        <f>W81/U81-1</f>
        <v>5.8329244357212984E-2</v>
      </c>
      <c r="X83" s="3">
        <f>X81/W81-1</f>
        <v>2.8107794842074707E-2</v>
      </c>
      <c r="Y83" s="3">
        <f>Y81/X81-1</f>
        <v>-1.054114994363009E-2</v>
      </c>
      <c r="Z83" s="3">
        <f>Z81/Y81-1</f>
        <v>6.5515866233691877E-3</v>
      </c>
      <c r="AA83" s="249"/>
      <c r="AB83" s="3">
        <f>AB81/Z81-1</f>
        <v>8.2069277790355333E-3</v>
      </c>
      <c r="AC83" s="3">
        <f>AC81/AB81-1</f>
        <v>1.4764497838657187E-2</v>
      </c>
      <c r="AD83" s="3">
        <f>AD81/AC81-1</f>
        <v>1.0455853064837317E-2</v>
      </c>
      <c r="AE83" s="3">
        <f>AE81/AD81-1</f>
        <v>9.9479879551053862E-2</v>
      </c>
      <c r="AF83" s="249"/>
      <c r="AG83" s="3">
        <f>AG81/AE81-1</f>
        <v>9.5508415496464494E-2</v>
      </c>
      <c r="AH83" s="3">
        <f>AH81/AG81-1</f>
        <v>0.13636363636363646</v>
      </c>
      <c r="AI83" s="3">
        <f>AI81/AH81-1</f>
        <v>8.0000000000000071E-2</v>
      </c>
      <c r="AJ83" s="3">
        <f>AJ81/AI81-1</f>
        <v>7.4074074074074181E-2</v>
      </c>
      <c r="AK83" s="249"/>
      <c r="AL83" s="3">
        <f>AL81/AJ81-1</f>
        <v>3.4482758620689724E-2</v>
      </c>
      <c r="AM83" s="3">
        <f>AM81/AL81-1</f>
        <v>0</v>
      </c>
      <c r="AN83" s="3">
        <f>AN81/AM81-1</f>
        <v>6.6666666666666652E-2</v>
      </c>
      <c r="AO83" s="3">
        <f>AO81/AN81-1</f>
        <v>0</v>
      </c>
      <c r="AP83" s="249"/>
      <c r="AQ83" s="3">
        <f>AQ81/AO81-1</f>
        <v>0</v>
      </c>
      <c r="AR83" s="3">
        <f>AR81/AQ81-1</f>
        <v>0</v>
      </c>
      <c r="AS83" s="3">
        <f>AS81/AR81-1</f>
        <v>3.125E-2</v>
      </c>
      <c r="AT83" s="3">
        <f>AT81/AS81-1</f>
        <v>-3.0303030303030276E-2</v>
      </c>
      <c r="AU83" s="249"/>
      <c r="AV83" s="3">
        <f>AV81/AT81-1</f>
        <v>0</v>
      </c>
      <c r="AW83" s="3">
        <f>AW81/AV81-1</f>
        <v>0</v>
      </c>
      <c r="AX83" s="3">
        <f>AX81/AW81-1</f>
        <v>-3.125E-2</v>
      </c>
      <c r="AY83" s="3">
        <f>AY81/AX81-1</f>
        <v>0</v>
      </c>
      <c r="AZ83" s="249"/>
      <c r="BA83" s="3">
        <f>BA81/AY81-1</f>
        <v>0</v>
      </c>
      <c r="BB83" s="3">
        <f>BB81/BA81-1</f>
        <v>0</v>
      </c>
      <c r="BC83" s="3">
        <f>BC81/BB81-1</f>
        <v>0</v>
      </c>
      <c r="BD83" s="3">
        <f>BD81/BC81-1</f>
        <v>6.4516129032258007E-2</v>
      </c>
      <c r="BE83" s="249"/>
      <c r="BF83" s="3">
        <f>BF81/BD81-1</f>
        <v>3.0303030303030276E-2</v>
      </c>
      <c r="BG83" s="3">
        <f>BG81/BF81-1</f>
        <v>5.8823529411764719E-2</v>
      </c>
      <c r="BH83" s="3">
        <f>BH81/BG81-1</f>
        <v>-0.11111111111111116</v>
      </c>
      <c r="BI83" s="3">
        <f>BI81/BH81-1</f>
        <v>3.125E-2</v>
      </c>
      <c r="BJ83" s="249"/>
      <c r="BK83" s="3">
        <f>BK81/BI81-1</f>
        <v>0</v>
      </c>
      <c r="BL83" s="3">
        <f>BL81/BK81-1</f>
        <v>0</v>
      </c>
      <c r="BM83" s="3">
        <f>BM81/BL81-1</f>
        <v>-3.0303030303030276E-2</v>
      </c>
      <c r="BN83" s="3">
        <f>BN81/BM81-1</f>
        <v>0</v>
      </c>
      <c r="BO83" s="249"/>
      <c r="BP83" s="3">
        <f>BP81/BN81-1</f>
        <v>0</v>
      </c>
      <c r="BQ83" s="3">
        <f>BQ81/BP81-1</f>
        <v>3.125E-2</v>
      </c>
      <c r="BR83" s="3">
        <f>BR81/BQ81-1</f>
        <v>-3.0303030303030276E-2</v>
      </c>
      <c r="BS83" s="3">
        <f>BS81/BR81-1</f>
        <v>-3.125E-2</v>
      </c>
      <c r="BT83" s="249"/>
      <c r="BU83" s="3">
        <f>BU81/BS81-1</f>
        <v>0</v>
      </c>
      <c r="BV83" s="3">
        <f>BV81/BU81-1</f>
        <v>0</v>
      </c>
      <c r="BW83" s="3">
        <f>BW81/BV81-1</f>
        <v>0</v>
      </c>
      <c r="BX83" s="3">
        <f>BX81/BW81-1</f>
        <v>0</v>
      </c>
      <c r="BY83" s="249"/>
      <c r="BZ83" s="3">
        <f>BZ81/BX81-1</f>
        <v>0</v>
      </c>
      <c r="CA83" s="3">
        <f>CA81/BZ81-1</f>
        <v>0</v>
      </c>
      <c r="CB83" s="3">
        <f>CB81/CA81-1</f>
        <v>-3.2258064516129004E-2</v>
      </c>
      <c r="CC83" s="3">
        <f>CC81/CB81-1</f>
        <v>0</v>
      </c>
      <c r="CD83" s="249"/>
      <c r="CE83" s="3">
        <f>CE81/CC81-1</f>
        <v>-6.6666666666666652E-2</v>
      </c>
      <c r="CF83" s="3">
        <f>CF81/CE81-1</f>
        <v>0</v>
      </c>
      <c r="CG83" s="3">
        <f>CG81/CF81-1</f>
        <v>0</v>
      </c>
      <c r="CH83" s="3">
        <f>CH81/CG81-1</f>
        <v>-3.5714285714285698E-2</v>
      </c>
      <c r="CI83" s="249"/>
      <c r="CJ83" s="3">
        <f>CJ81/CH81-1</f>
        <v>-3.703703703703709E-2</v>
      </c>
      <c r="CK83" s="3">
        <f>CK81/CJ81-1</f>
        <v>-7.6923076923076872E-2</v>
      </c>
      <c r="CL83" s="3">
        <f>CL81/CK81-1</f>
        <v>8.3333333333333259E-2</v>
      </c>
      <c r="CM83" s="3">
        <f>CM81/CL81-1</f>
        <v>-3.8461538461538436E-2</v>
      </c>
      <c r="CN83" s="249"/>
      <c r="CO83" s="3">
        <f>CO81/CM81-1</f>
        <v>-3.9968490153172831E-2</v>
      </c>
      <c r="CP83" s="3">
        <f t="shared" ref="CP83:CR83" si="332">CP81/CO81-1</f>
        <v>-8.9310177374359867E-3</v>
      </c>
      <c r="CQ83" s="3">
        <f t="shared" si="332"/>
        <v>-1.1445004009638993E-2</v>
      </c>
      <c r="CR83" s="3">
        <f t="shared" si="332"/>
        <v>-3.2679729722418949E-2</v>
      </c>
      <c r="CS83" s="249"/>
      <c r="CT83" s="3"/>
      <c r="CU83" s="3"/>
      <c r="CV83" s="3"/>
      <c r="CW83" s="3"/>
      <c r="CX83" s="249"/>
      <c r="CY83" s="3"/>
      <c r="CZ83" s="3"/>
      <c r="DA83" s="3"/>
      <c r="DB83" s="3"/>
      <c r="DC83" s="249"/>
      <c r="DD83" s="25"/>
      <c r="DE83" s="178"/>
      <c r="DF83" s="361">
        <f>AVERAGE(AQ83,BA83,BF83,AL83,BK83,BP83)</f>
        <v>1.0797631487286666E-2</v>
      </c>
      <c r="DG83" s="361">
        <f>AVERAGE(AR83,BB83,BG83,AM83,BL83,BQ83)</f>
        <v>1.5012254901960786E-2</v>
      </c>
      <c r="DH83" s="361">
        <f>AVERAGE(AS83,BC83,BH83,AN83,BM83,BR83)</f>
        <v>-1.2300084175084177E-2</v>
      </c>
      <c r="DI83" s="361">
        <f>AVERAGE(AT83,BD83,BI83,AO83,BN83,BS83)</f>
        <v>5.7021831215379555E-3</v>
      </c>
      <c r="DJ83" s="430"/>
      <c r="DK83" s="389"/>
      <c r="DL83" s="389"/>
      <c r="DM83" s="389"/>
      <c r="DN83" s="389"/>
      <c r="DO83" s="389"/>
      <c r="DP83" s="389"/>
      <c r="DQ83" s="389"/>
      <c r="DR83" s="487"/>
      <c r="DS83" s="25"/>
    </row>
    <row r="84" spans="1:131" x14ac:dyDescent="0.2">
      <c r="A84" s="205" t="str">
        <f>$A81&amp;" per Avg Aircraft ($mm)"</f>
        <v>Aircraft Rent per Avg Aircraft ($mm)</v>
      </c>
      <c r="B84" s="272"/>
      <c r="C84" s="83"/>
      <c r="D84" s="83"/>
      <c r="E84" s="83"/>
      <c r="F84" s="83"/>
      <c r="G84" s="272"/>
      <c r="H84" s="83">
        <f>H81/H24*4</f>
        <v>2.1371428571428575</v>
      </c>
      <c r="I84" s="83">
        <f>I81/I24*4</f>
        <v>2.4627272727272729</v>
      </c>
      <c r="J84" s="83">
        <f>J81/J24*4</f>
        <v>2.3421383647798741</v>
      </c>
      <c r="K84" s="83">
        <f>K81/K24*4</f>
        <v>2.037113402061856</v>
      </c>
      <c r="L84" s="272">
        <f>L81/L24</f>
        <v>2.2323389830508478</v>
      </c>
      <c r="M84" s="83">
        <f>M81/M24*4</f>
        <v>1.7100900900900902</v>
      </c>
      <c r="N84" s="83">
        <f>N81/N24*4</f>
        <v>1.674471544715447</v>
      </c>
      <c r="O84" s="83">
        <f>O81/O24*4</f>
        <v>1.4170422535211269</v>
      </c>
      <c r="P84" s="83">
        <f>P81/P24*4</f>
        <v>1.3408536585365853</v>
      </c>
      <c r="Q84" s="272">
        <f>Q81/Q24</f>
        <v>1.512777777777778</v>
      </c>
      <c r="R84" s="83">
        <f>R81/R24*4</f>
        <v>1.3518346253229974</v>
      </c>
      <c r="S84" s="83">
        <f>S81/S24*4</f>
        <v>1.4333653846153847</v>
      </c>
      <c r="T84" s="83">
        <f>T81/T24*4</f>
        <v>1.3688209606986901</v>
      </c>
      <c r="U84" s="83">
        <f>U81/U24*4</f>
        <v>1.3148387096774192</v>
      </c>
      <c r="V84" s="272">
        <f>V81/V24</f>
        <v>1.3651223676721682</v>
      </c>
      <c r="W84" s="83">
        <f>W81/W24*4</f>
        <v>1.2481012658227848</v>
      </c>
      <c r="X84" s="83">
        <f>X81/X24*4</f>
        <v>1.2109215017064845</v>
      </c>
      <c r="Y84" s="83">
        <f>Y81/Y24*4</f>
        <v>1.1361165048543691</v>
      </c>
      <c r="Z84" s="83">
        <f>Z81/Z24*4</f>
        <v>1.0627368421052632</v>
      </c>
      <c r="AA84" s="272">
        <f>AA81/AA24</f>
        <v>1.1596366639141207</v>
      </c>
      <c r="AB84" s="83">
        <f>AB81/AB24*4</f>
        <v>1.0049647390691112</v>
      </c>
      <c r="AC84" s="83">
        <f>AC81/AC24*4</f>
        <v>0.97313593539703913</v>
      </c>
      <c r="AD84" s="83">
        <f>AD81/AD24*4</f>
        <v>0.92247474747474745</v>
      </c>
      <c r="AE84" s="83">
        <f>AE81/AE24*4</f>
        <v>0.93950877192982463</v>
      </c>
      <c r="AF84" s="272">
        <f>AF81/AF24</f>
        <v>0.95819296547273303</v>
      </c>
      <c r="AG84" s="83">
        <f>AG81/AG24*4</f>
        <v>0.92146596858638741</v>
      </c>
      <c r="AH84" s="83">
        <f>AH81/AH24*4</f>
        <v>0.96153846153846156</v>
      </c>
      <c r="AI84" s="83">
        <f>AI81/AI24*4</f>
        <v>0.9642857142857143</v>
      </c>
      <c r="AJ84" s="83">
        <f>AJ81/AJ24*4</f>
        <v>0.99145299145299148</v>
      </c>
      <c r="AK84" s="272">
        <f>AK81/AK24</f>
        <v>0.976303317535545</v>
      </c>
      <c r="AL84" s="83">
        <f>AL81/AL24*4</f>
        <v>0.98360655737704916</v>
      </c>
      <c r="AM84" s="83">
        <f>AM81/AM24*4</f>
        <v>0.94117647058823528</v>
      </c>
      <c r="AN84" s="83">
        <f>AN81/AN24*4</f>
        <v>0.96969696969696972</v>
      </c>
      <c r="AO84" s="83">
        <f>AO81/AO24*4</f>
        <v>0.95522388059701491</v>
      </c>
      <c r="AP84" s="272">
        <f>AP81/AP24</f>
        <v>0.98023715415019763</v>
      </c>
      <c r="AQ84" s="83">
        <f>AQ81/AQ24*4</f>
        <v>0.93090909090909091</v>
      </c>
      <c r="AR84" s="83">
        <f>AR81/AR24*4</f>
        <v>0.90459363957597172</v>
      </c>
      <c r="AS84" s="83">
        <f>AS81/AS24*4</f>
        <v>0.9263157894736842</v>
      </c>
      <c r="AT84" s="83">
        <f>AT81/AT24*4</f>
        <v>0.91493924231593993</v>
      </c>
      <c r="AU84" s="272">
        <f>AU81/AU24</f>
        <v>0.93478260869565222</v>
      </c>
      <c r="AV84" s="83">
        <f>AV81/AV24*4</f>
        <v>0.88581314878892736</v>
      </c>
      <c r="AW84" s="83">
        <f>AW81/AW24*4</f>
        <v>0.85906040268456374</v>
      </c>
      <c r="AX84" s="83">
        <f>AX81/AX24*4</f>
        <v>0.82119205298013243</v>
      </c>
      <c r="AY84" s="83">
        <f>AY81/AY24*4</f>
        <v>0.82119205298013243</v>
      </c>
      <c r="AZ84" s="272">
        <f>AZ81/AZ24</f>
        <v>0.86006825938566556</v>
      </c>
      <c r="BA84" s="83">
        <f>BA81/BA24*4</f>
        <v>0.82119205298013243</v>
      </c>
      <c r="BB84" s="83">
        <f>BB81/BB24*4</f>
        <v>0.81578947368421051</v>
      </c>
      <c r="BC84" s="83">
        <f>BC81/BC24*4</f>
        <v>0.8</v>
      </c>
      <c r="BD84" s="83">
        <f>BD81/BD24*4</f>
        <v>0.83018867924528306</v>
      </c>
      <c r="BE84" s="272">
        <f>BE81/BE24</f>
        <v>0.80769230769230771</v>
      </c>
      <c r="BF84" s="83">
        <f>BF81/BF24*4</f>
        <v>0.83692307692307688</v>
      </c>
      <c r="BG84" s="83">
        <f>BG81/BG24*4</f>
        <v>0.87537993920972645</v>
      </c>
      <c r="BH84" s="83">
        <f>BH81/BH24*4</f>
        <v>0.77108433734939763</v>
      </c>
      <c r="BI84" s="83">
        <f>BI81/BI24*4</f>
        <v>0.7857142857142857</v>
      </c>
      <c r="BJ84" s="272">
        <f>BJ81/BJ24</f>
        <v>0.81818181818181823</v>
      </c>
      <c r="BK84" s="83">
        <f>BK81/BK24*4</f>
        <v>0.77419354838709675</v>
      </c>
      <c r="BL84" s="83">
        <f>BL81/BL24*4</f>
        <v>0.76080691642651299</v>
      </c>
      <c r="BM84" s="83">
        <f>BM81/BM24*4</f>
        <v>0.73142857142857143</v>
      </c>
      <c r="BN84" s="83">
        <f>BN81/BN24*4</f>
        <v>0.72112676056338032</v>
      </c>
      <c r="BO84" s="272">
        <f>BO81/BO24</f>
        <v>0.74498567335243548</v>
      </c>
      <c r="BP84" s="83">
        <f>BP81/BP24*4</f>
        <v>0.70914127423822715</v>
      </c>
      <c r="BQ84" s="83">
        <f>BQ81/BQ24*4</f>
        <v>0.71934604904632149</v>
      </c>
      <c r="BR84" s="83">
        <f>BR81/BR24*4</f>
        <v>0.68266666666666664</v>
      </c>
      <c r="BS84" s="83">
        <f>BS81/BS24*4</f>
        <v>0.64751958224543082</v>
      </c>
      <c r="BT84" s="272">
        <f>BT81/BT24</f>
        <v>0.68449197860962563</v>
      </c>
      <c r="BU84" s="83">
        <f>BU81/BU24*4</f>
        <v>0.63753213367609252</v>
      </c>
      <c r="BV84" s="83">
        <f>BV81/BV24*4</f>
        <v>0.63265306122448983</v>
      </c>
      <c r="BW84" s="83">
        <f>BW81/BW24*4</f>
        <v>0.6262626262626263</v>
      </c>
      <c r="BX84" s="83">
        <f>BX81/BX24*4</f>
        <v>0.61691542288557211</v>
      </c>
      <c r="BY84" s="272">
        <f>BY81/BY24</f>
        <v>0.62468513853904284</v>
      </c>
      <c r="BZ84" s="83">
        <f>BZ81/BZ24*4</f>
        <v>0.60784313725490191</v>
      </c>
      <c r="CA84" s="83">
        <f>CA81/CA24*4</f>
        <v>0.59903381642512077</v>
      </c>
      <c r="CB84" s="83">
        <f>CB81/CB24*4</f>
        <v>0.5714285714285714</v>
      </c>
      <c r="CC84" s="83">
        <f>CC81/CC24*4</f>
        <v>0.56338028169014087</v>
      </c>
      <c r="CD84" s="272">
        <f>CD81/CD24</f>
        <v>0.58373205741626799</v>
      </c>
      <c r="CE84" s="83">
        <f>CE81/CE24*4</f>
        <v>0.51851851851851849</v>
      </c>
      <c r="CF84" s="83">
        <f>CF81/CF24*4</f>
        <v>0.51376146788990829</v>
      </c>
      <c r="CG84" s="83">
        <f>CG81/CG24*4</f>
        <v>0.51025056947608205</v>
      </c>
      <c r="CH84" s="83">
        <f>CH81/CH24*4</f>
        <v>0.48322147651006714</v>
      </c>
      <c r="CI84" s="272">
        <f>CI81/CI24</f>
        <v>0.50226244343891402</v>
      </c>
      <c r="CJ84" s="83">
        <f>CJ81/CJ24*4</f>
        <v>0.4551422319474836</v>
      </c>
      <c r="CK84" s="83">
        <f>CK81/CK24*4</f>
        <v>0.41468682505399568</v>
      </c>
      <c r="CL84" s="83">
        <f>CL81/CL24*4</f>
        <v>0.44349680170575695</v>
      </c>
      <c r="CM84" s="83">
        <f>CM81/CM24*4</f>
        <v>0.42372881355932202</v>
      </c>
      <c r="CN84" s="272">
        <f>CN81/CN24</f>
        <v>0.43628509719222464</v>
      </c>
      <c r="CO84" s="83">
        <f t="shared" ref="CO84:CR84" si="333">CJ84*(1+CO85)</f>
        <v>0.40507658643326039</v>
      </c>
      <c r="CP84" s="83">
        <f t="shared" si="333"/>
        <v>0.39809935205183583</v>
      </c>
      <c r="CQ84" s="83">
        <f t="shared" si="333"/>
        <v>0.3902771855010661</v>
      </c>
      <c r="CR84" s="83">
        <f t="shared" si="333"/>
        <v>0.3728813559322034</v>
      </c>
      <c r="CS84" s="272">
        <f>CS81/CS24</f>
        <v>0.39023729116004779</v>
      </c>
      <c r="CT84" s="83"/>
      <c r="CU84" s="83"/>
      <c r="CV84" s="83"/>
      <c r="CW84" s="83"/>
      <c r="CX84" s="272">
        <f>CS84*(1+CX85)</f>
        <v>0.35511593495564353</v>
      </c>
      <c r="CY84" s="83"/>
      <c r="CZ84" s="83"/>
      <c r="DA84" s="83"/>
      <c r="DB84" s="83"/>
      <c r="DC84" s="272">
        <f>CX84*(1+DC85)</f>
        <v>0.32670666015919209</v>
      </c>
      <c r="DD84" s="367"/>
      <c r="DE84" s="464"/>
      <c r="DJ84" s="442"/>
      <c r="DK84" s="404"/>
      <c r="DL84" s="404"/>
      <c r="DM84" s="404"/>
      <c r="DN84" s="404"/>
      <c r="DO84" s="404"/>
      <c r="DP84" s="404"/>
      <c r="DQ84" s="404"/>
      <c r="DR84" s="501"/>
      <c r="DS84" s="367"/>
    </row>
    <row r="85" spans="1:131" x14ac:dyDescent="0.2">
      <c r="A85" s="12" t="s">
        <v>131</v>
      </c>
      <c r="B85" s="249"/>
      <c r="C85" s="20"/>
      <c r="D85" s="20"/>
      <c r="E85" s="20"/>
      <c r="F85" s="20"/>
      <c r="G85" s="249"/>
      <c r="H85" s="3"/>
      <c r="I85" s="3"/>
      <c r="J85" s="3"/>
      <c r="K85" s="3"/>
      <c r="L85" s="249"/>
      <c r="M85" s="3">
        <f t="shared" ref="M85:BW85" si="334">M84/H84-1</f>
        <v>-0.19982415570650869</v>
      </c>
      <c r="N85" s="3">
        <f t="shared" si="334"/>
        <v>-0.32007430816279381</v>
      </c>
      <c r="O85" s="3">
        <f t="shared" si="334"/>
        <v>-0.39497927414108702</v>
      </c>
      <c r="P85" s="3">
        <f t="shared" si="334"/>
        <v>-0.34178742470623102</v>
      </c>
      <c r="Q85" s="249">
        <f t="shared" si="334"/>
        <v>-0.32233509818014938</v>
      </c>
      <c r="R85" s="3">
        <f t="shared" si="334"/>
        <v>-0.20949508265276207</v>
      </c>
      <c r="S85" s="3">
        <f t="shared" si="334"/>
        <v>-0.14398940421590445</v>
      </c>
      <c r="T85" s="3">
        <f t="shared" si="334"/>
        <v>-3.4029537723814896E-2</v>
      </c>
      <c r="U85" s="3">
        <f t="shared" si="334"/>
        <v>-1.9401780868136598E-2</v>
      </c>
      <c r="V85" s="249">
        <f t="shared" si="334"/>
        <v>-9.7605485930994385E-2</v>
      </c>
      <c r="W85" s="3">
        <f t="shared" si="334"/>
        <v>-7.6735243762103833E-2</v>
      </c>
      <c r="X85" s="3">
        <f t="shared" si="334"/>
        <v>-0.15518993642265788</v>
      </c>
      <c r="Y85" s="3">
        <f t="shared" si="334"/>
        <v>-0.17000357426258372</v>
      </c>
      <c r="Z85" s="3">
        <f t="shared" si="334"/>
        <v>-0.19173596405144355</v>
      </c>
      <c r="AA85" s="249">
        <f>AA84/V84-1</f>
        <v>-0.15052548300739188</v>
      </c>
      <c r="AB85" s="3">
        <f t="shared" si="334"/>
        <v>-0.19480512792637128</v>
      </c>
      <c r="AC85" s="3">
        <f t="shared" si="334"/>
        <v>-0.1963674490661429</v>
      </c>
      <c r="AD85" s="3">
        <f>AD84/Y84-1</f>
        <v>-0.18804564185695627</v>
      </c>
      <c r="AE85" s="3">
        <f t="shared" si="334"/>
        <v>-0.1159535129424194</v>
      </c>
      <c r="AF85" s="249">
        <f>AF84/AA84-1</f>
        <v>-0.17371277117218331</v>
      </c>
      <c r="AG85" s="3">
        <f t="shared" si="334"/>
        <v>-8.3086268837718524E-2</v>
      </c>
      <c r="AH85" s="3">
        <f t="shared" si="334"/>
        <v>-1.1917629836417309E-2</v>
      </c>
      <c r="AI85" s="3">
        <f>AI84/AD84-1</f>
        <v>4.5324781979586337E-2</v>
      </c>
      <c r="AJ85" s="3">
        <f t="shared" si="334"/>
        <v>5.5288700941524382E-2</v>
      </c>
      <c r="AK85" s="249">
        <f>AK84/AF84-1</f>
        <v>1.8900527049765081E-2</v>
      </c>
      <c r="AL85" s="3">
        <f t="shared" si="334"/>
        <v>6.743666169895679E-2</v>
      </c>
      <c r="AM85" s="3">
        <f t="shared" si="334"/>
        <v>-2.1176470588235352E-2</v>
      </c>
      <c r="AN85" s="3">
        <f t="shared" si="334"/>
        <v>5.6116722783390305E-3</v>
      </c>
      <c r="AO85" s="3">
        <f t="shared" si="334"/>
        <v>-3.6541430777148776E-2</v>
      </c>
      <c r="AP85" s="249">
        <f>AP84/AK84-1</f>
        <v>4.0293180858821387E-3</v>
      </c>
      <c r="AQ85" s="3">
        <f t="shared" si="334"/>
        <v>-5.357575757575761E-2</v>
      </c>
      <c r="AR85" s="3">
        <f t="shared" si="334"/>
        <v>-3.8869257950530089E-2</v>
      </c>
      <c r="AS85" s="3">
        <f t="shared" si="334"/>
        <v>-4.4736842105263186E-2</v>
      </c>
      <c r="AT85" s="3">
        <f t="shared" si="334"/>
        <v>-4.2172980700500351E-2</v>
      </c>
      <c r="AU85" s="249">
        <f>AU84/AP84-1</f>
        <v>-4.6370967741935387E-2</v>
      </c>
      <c r="AV85" s="3">
        <f t="shared" si="334"/>
        <v>-4.8442906574394429E-2</v>
      </c>
      <c r="AW85" s="3">
        <f t="shared" si="334"/>
        <v>-5.0335570469798641E-2</v>
      </c>
      <c r="AX85" s="3">
        <f t="shared" si="334"/>
        <v>-0.113485851896448</v>
      </c>
      <c r="AY85" s="3">
        <f t="shared" si="334"/>
        <v>-0.10246274834437086</v>
      </c>
      <c r="AZ85" s="249">
        <f>AZ84/AU84-1</f>
        <v>-7.9926978331613663E-2</v>
      </c>
      <c r="BA85" s="3">
        <f t="shared" si="334"/>
        <v>-7.2951158940397387E-2</v>
      </c>
      <c r="BB85" s="3">
        <f t="shared" si="334"/>
        <v>-5.0370065789473673E-2</v>
      </c>
      <c r="BC85" s="3">
        <f t="shared" si="334"/>
        <v>-2.5806451612903181E-2</v>
      </c>
      <c r="BD85" s="3">
        <f t="shared" si="334"/>
        <v>1.0955569080949523E-2</v>
      </c>
      <c r="BE85" s="249">
        <f>BE84/AZ84-1</f>
        <v>-6.0897435897435903E-2</v>
      </c>
      <c r="BF85" s="3">
        <f>BF84/BA84-1</f>
        <v>1.9156327543424334E-2</v>
      </c>
      <c r="BG85" s="3">
        <f t="shared" si="334"/>
        <v>7.3046377095793646E-2</v>
      </c>
      <c r="BH85" s="3">
        <f t="shared" si="334"/>
        <v>-3.6144578313253017E-2</v>
      </c>
      <c r="BI85" s="3">
        <f t="shared" si="334"/>
        <v>-5.3571428571428603E-2</v>
      </c>
      <c r="BJ85" s="249">
        <f>BJ84/BE84-1</f>
        <v>1.2987012987013102E-2</v>
      </c>
      <c r="BK85" s="3">
        <f>BK84/BF84-1</f>
        <v>-7.4952561669829221E-2</v>
      </c>
      <c r="BL85" s="3">
        <f t="shared" si="334"/>
        <v>-0.13088376560999038</v>
      </c>
      <c r="BM85" s="3">
        <f t="shared" si="334"/>
        <v>-5.142857142857149E-2</v>
      </c>
      <c r="BN85" s="3">
        <f t="shared" si="334"/>
        <v>-8.2202304737515886E-2</v>
      </c>
      <c r="BO85" s="249">
        <f>BO84/BJ84-1</f>
        <v>-8.946195479146779E-2</v>
      </c>
      <c r="BP85" s="3">
        <f t="shared" si="334"/>
        <v>-8.4025854108956577E-2</v>
      </c>
      <c r="BQ85" s="3">
        <f t="shared" si="334"/>
        <v>-5.4495912806539537E-2</v>
      </c>
      <c r="BR85" s="3">
        <f t="shared" si="334"/>
        <v>-6.6666666666666652E-2</v>
      </c>
      <c r="BS85" s="3">
        <f t="shared" si="334"/>
        <v>-0.10207245430809397</v>
      </c>
      <c r="BT85" s="249">
        <f>BT84/BO84-1</f>
        <v>-8.1201151789387027E-2</v>
      </c>
      <c r="BU85" s="3">
        <f t="shared" si="334"/>
        <v>-0.10098007712082269</v>
      </c>
      <c r="BV85" s="3">
        <f t="shared" si="334"/>
        <v>-0.12051638837353118</v>
      </c>
      <c r="BW85" s="3">
        <f t="shared" si="334"/>
        <v>-8.2623106060605966E-2</v>
      </c>
      <c r="BX85" s="3">
        <f t="shared" ref="BX85:CG85" si="335">BX84/BS84-1</f>
        <v>-4.7263681592039863E-2</v>
      </c>
      <c r="BY85" s="249">
        <f t="shared" si="335"/>
        <v>-8.7374055415617047E-2</v>
      </c>
      <c r="BZ85" s="3">
        <f t="shared" si="335"/>
        <v>-4.6568627450980449E-2</v>
      </c>
      <c r="CA85" s="3">
        <f t="shared" si="335"/>
        <v>-5.3140096618357502E-2</v>
      </c>
      <c r="CB85" s="3">
        <f t="shared" si="335"/>
        <v>-8.755760368663601E-2</v>
      </c>
      <c r="CC85" s="3">
        <f t="shared" si="335"/>
        <v>-8.6778736937755507E-2</v>
      </c>
      <c r="CD85" s="249">
        <f t="shared" si="335"/>
        <v>-6.5557956474764589E-2</v>
      </c>
      <c r="CE85" s="3">
        <f t="shared" si="335"/>
        <v>-0.14695340501792109</v>
      </c>
      <c r="CF85" s="3">
        <f t="shared" si="335"/>
        <v>-0.14234980763539506</v>
      </c>
      <c r="CG85" s="3">
        <f t="shared" si="335"/>
        <v>-0.10706150341685639</v>
      </c>
      <c r="CH85" s="3">
        <f t="shared" ref="CH85" si="336">CH84/CC84-1</f>
        <v>-0.14228187919463087</v>
      </c>
      <c r="CI85" s="249">
        <f t="shared" ref="CI85:CL85" si="337">CI84/CD84-1</f>
        <v>-0.13956679771530311</v>
      </c>
      <c r="CJ85" s="3">
        <f t="shared" si="337"/>
        <v>-0.12222569552985296</v>
      </c>
      <c r="CK85" s="3">
        <f t="shared" si="337"/>
        <v>-0.19284171551990137</v>
      </c>
      <c r="CL85" s="3">
        <f t="shared" si="337"/>
        <v>-0.13082546451416388</v>
      </c>
      <c r="CM85" s="3">
        <f t="shared" ref="CM85" si="338">CM84/CH84-1</f>
        <v>-0.12311676082862533</v>
      </c>
      <c r="CN85" s="249">
        <f t="shared" ref="CN85" si="339">CN84/CI84-1</f>
        <v>-0.13136030198665183</v>
      </c>
      <c r="CO85" s="35">
        <v>-0.11</v>
      </c>
      <c r="CP85" s="35">
        <v>-0.04</v>
      </c>
      <c r="CQ85" s="35">
        <v>-0.12</v>
      </c>
      <c r="CR85" s="35">
        <v>-0.12</v>
      </c>
      <c r="CS85" s="249">
        <f>CS84/CN84-1</f>
        <v>-0.10554521877672218</v>
      </c>
      <c r="CT85" s="3"/>
      <c r="CU85" s="3"/>
      <c r="CV85" s="35"/>
      <c r="CW85" s="35"/>
      <c r="CX85" s="419">
        <v>-0.09</v>
      </c>
      <c r="CY85" s="3"/>
      <c r="CZ85" s="3"/>
      <c r="DA85" s="35"/>
      <c r="DB85" s="35"/>
      <c r="DC85" s="419">
        <v>-0.08</v>
      </c>
      <c r="DD85" s="25"/>
      <c r="DE85" s="178"/>
      <c r="DJ85" s="430"/>
      <c r="DK85" s="389"/>
      <c r="DL85" s="397"/>
      <c r="DM85" s="389"/>
      <c r="DN85" s="389"/>
      <c r="DO85" s="389"/>
      <c r="DP85" s="389"/>
      <c r="DQ85" s="389"/>
      <c r="DR85" s="487"/>
      <c r="DS85" s="25"/>
    </row>
    <row r="86" spans="1:131" x14ac:dyDescent="0.2">
      <c r="A86" s="8" t="s">
        <v>246</v>
      </c>
      <c r="B86" s="846">
        <v>0.111</v>
      </c>
      <c r="C86" s="9"/>
      <c r="D86" s="9"/>
      <c r="E86" s="9"/>
      <c r="F86" s="9"/>
      <c r="G86" s="846">
        <v>3.9950000000000001</v>
      </c>
      <c r="H86" s="824">
        <v>2.13</v>
      </c>
      <c r="I86" s="824">
        <v>2.2810000000000001</v>
      </c>
      <c r="J86" s="824">
        <v>2.7250000000000001</v>
      </c>
      <c r="K86" s="824">
        <v>3.2810000000000001</v>
      </c>
      <c r="L86" s="10">
        <f>SUM(H86:K86)</f>
        <v>10.417</v>
      </c>
      <c r="M86" s="824">
        <v>4.7119999999999997</v>
      </c>
      <c r="N86" s="824">
        <v>5.6950000000000003</v>
      </c>
      <c r="O86" s="824">
        <v>6.9260000000000002</v>
      </c>
      <c r="P86" s="824">
        <v>9.5890000000000004</v>
      </c>
      <c r="Q86" s="10">
        <f>SUM(M86:P86)</f>
        <v>26.921999999999997</v>
      </c>
      <c r="R86" s="824">
        <v>10.321999999999999</v>
      </c>
      <c r="S86" s="824">
        <v>11.471</v>
      </c>
      <c r="T86" s="824">
        <v>13.7</v>
      </c>
      <c r="U86" s="824">
        <v>14.904</v>
      </c>
      <c r="V86" s="10">
        <f>SUM(R86:U86)</f>
        <v>50.396999999999991</v>
      </c>
      <c r="W86" s="824">
        <v>16.315999999999999</v>
      </c>
      <c r="X86" s="824">
        <v>17.440999999999999</v>
      </c>
      <c r="Y86" s="824">
        <v>19.55</v>
      </c>
      <c r="Z86" s="824">
        <v>23.233000000000001</v>
      </c>
      <c r="AA86" s="10">
        <f>SUM(W86:Z86)</f>
        <v>76.540000000000006</v>
      </c>
      <c r="AB86" s="824">
        <v>24.323</v>
      </c>
      <c r="AC86" s="824">
        <v>27</v>
      </c>
      <c r="AD86" s="824">
        <v>29.510999999999999</v>
      </c>
      <c r="AE86" s="824">
        <v>34.107999999999997</v>
      </c>
      <c r="AF86" s="10">
        <f>SUM(AB86:AE86)</f>
        <v>114.94200000000001</v>
      </c>
      <c r="AG86" s="824">
        <v>34</v>
      </c>
      <c r="AH86" s="824">
        <v>37</v>
      </c>
      <c r="AI86" s="824">
        <f>32+7</f>
        <v>39</v>
      </c>
      <c r="AJ86" s="824">
        <v>41</v>
      </c>
      <c r="AK86" s="10">
        <f>SUM(AG86:AJ86)</f>
        <v>151</v>
      </c>
      <c r="AL86" s="824">
        <v>42</v>
      </c>
      <c r="AM86" s="824">
        <v>43</v>
      </c>
      <c r="AN86" s="824">
        <v>44</v>
      </c>
      <c r="AO86" s="824">
        <v>47</v>
      </c>
      <c r="AP86" s="10">
        <f>SUM(AL86:AO86)</f>
        <v>176</v>
      </c>
      <c r="AQ86" s="824">
        <v>45</v>
      </c>
      <c r="AR86" s="824">
        <v>46</v>
      </c>
      <c r="AS86" s="824">
        <v>54</v>
      </c>
      <c r="AT86" s="824">
        <v>60</v>
      </c>
      <c r="AU86" s="10">
        <f>SUM(AQ86:AT86)</f>
        <v>205</v>
      </c>
      <c r="AV86" s="824">
        <v>55</v>
      </c>
      <c r="AW86" s="824">
        <v>56</v>
      </c>
      <c r="AX86" s="824">
        <v>59</v>
      </c>
      <c r="AY86" s="824">
        <v>58</v>
      </c>
      <c r="AZ86" s="10">
        <f>SUM(AV86:AY86)</f>
        <v>228</v>
      </c>
      <c r="BA86" s="824">
        <v>57</v>
      </c>
      <c r="BB86" s="824">
        <v>54</v>
      </c>
      <c r="BC86" s="824">
        <v>54</v>
      </c>
      <c r="BD86" s="824">
        <v>55</v>
      </c>
      <c r="BE86" s="10">
        <f>SUM(BA86:BD86)</f>
        <v>220</v>
      </c>
      <c r="BF86" s="824">
        <v>56</v>
      </c>
      <c r="BG86" s="824">
        <v>58</v>
      </c>
      <c r="BH86" s="824">
        <v>57</v>
      </c>
      <c r="BI86" s="824">
        <v>62</v>
      </c>
      <c r="BJ86" s="10">
        <f>SUM(BF86:BI86)</f>
        <v>233</v>
      </c>
      <c r="BK86" s="824">
        <v>61</v>
      </c>
      <c r="BL86" s="824">
        <v>63</v>
      </c>
      <c r="BM86" s="824">
        <v>66</v>
      </c>
      <c r="BN86" s="824">
        <v>68</v>
      </c>
      <c r="BO86" s="10">
        <f>SUM(BK86:BN86)</f>
        <v>258</v>
      </c>
      <c r="BP86" s="824">
        <v>68</v>
      </c>
      <c r="BQ86" s="824">
        <v>71</v>
      </c>
      <c r="BR86" s="824">
        <v>73</v>
      </c>
      <c r="BS86" s="824">
        <v>78</v>
      </c>
      <c r="BT86" s="10">
        <f>SUM(BP86:BS86)</f>
        <v>290</v>
      </c>
      <c r="BU86" s="824">
        <v>78</v>
      </c>
      <c r="BV86" s="824">
        <v>77</v>
      </c>
      <c r="BW86" s="824">
        <v>79</v>
      </c>
      <c r="BX86" s="824">
        <v>86</v>
      </c>
      <c r="BY86" s="10">
        <f>SUM(BU86:BX86)</f>
        <v>320</v>
      </c>
      <c r="BZ86" s="824">
        <v>87</v>
      </c>
      <c r="CA86" s="824">
        <v>81</v>
      </c>
      <c r="CB86" s="824">
        <v>84</v>
      </c>
      <c r="CC86" s="824">
        <v>93</v>
      </c>
      <c r="CD86" s="10">
        <f>SUM(BZ86:CC86)</f>
        <v>345</v>
      </c>
      <c r="CE86" s="824">
        <v>91</v>
      </c>
      <c r="CF86" s="824">
        <v>96</v>
      </c>
      <c r="CG86" s="824">
        <v>102</v>
      </c>
      <c r="CH86" s="824">
        <v>103</v>
      </c>
      <c r="CI86" s="10">
        <f>SUM(CE86:CH86)</f>
        <v>392</v>
      </c>
      <c r="CJ86" s="824">
        <v>105</v>
      </c>
      <c r="CK86" s="824">
        <v>109</v>
      </c>
      <c r="CL86" s="824">
        <v>114</v>
      </c>
      <c r="CM86" s="824">
        <v>119</v>
      </c>
      <c r="CN86" s="10">
        <f>SUM(CJ86:CM86)</f>
        <v>447</v>
      </c>
      <c r="CO86" s="9">
        <f t="shared" ref="CO86:CR86" si="340">CJ86*(1+CO87)</f>
        <v>114.97499999999999</v>
      </c>
      <c r="CP86" s="9">
        <f t="shared" si="340"/>
        <v>117.175</v>
      </c>
      <c r="CQ86" s="9">
        <f t="shared" si="340"/>
        <v>121.41</v>
      </c>
      <c r="CR86" s="9">
        <f t="shared" si="340"/>
        <v>127.33000000000001</v>
      </c>
      <c r="CS86" s="10">
        <f>SUM(CO86:CR86)</f>
        <v>480.89</v>
      </c>
      <c r="CT86" s="9"/>
      <c r="CU86" s="9"/>
      <c r="CV86" s="9"/>
      <c r="CW86" s="9"/>
      <c r="CX86" s="10">
        <f>CS86*(1+CX87)</f>
        <v>512.14784999999995</v>
      </c>
      <c r="CY86" s="9"/>
      <c r="CZ86" s="9"/>
      <c r="DA86" s="9"/>
      <c r="DB86" s="9"/>
      <c r="DC86" s="10">
        <f>CX86*(1+DC87)</f>
        <v>553.11967800000002</v>
      </c>
      <c r="DD86" s="364"/>
      <c r="DE86" s="456"/>
      <c r="DF86" s="364"/>
      <c r="DG86" s="364"/>
      <c r="DH86" s="364"/>
      <c r="DI86" s="364"/>
      <c r="DJ86" s="430"/>
      <c r="DK86" s="9"/>
      <c r="DL86" s="430"/>
      <c r="DM86" s="591">
        <v>2016</v>
      </c>
      <c r="DN86" s="591">
        <v>2017</v>
      </c>
      <c r="DO86" s="591">
        <v>2018</v>
      </c>
      <c r="DP86" s="591">
        <v>2019</v>
      </c>
      <c r="DQ86" s="591">
        <v>2020</v>
      </c>
      <c r="DR86" s="456"/>
      <c r="DS86" s="364"/>
      <c r="DZ86" s="9"/>
      <c r="EA86" s="342"/>
    </row>
    <row r="87" spans="1:131" x14ac:dyDescent="0.2">
      <c r="A87" s="11" t="s">
        <v>131</v>
      </c>
      <c r="B87" s="249"/>
      <c r="C87" s="20"/>
      <c r="D87" s="20"/>
      <c r="E87" s="20"/>
      <c r="F87" s="20"/>
      <c r="G87" s="249"/>
      <c r="H87" s="3"/>
      <c r="I87" s="3"/>
      <c r="J87" s="3"/>
      <c r="K87" s="3"/>
      <c r="L87" s="249">
        <f t="shared" ref="L87:BW87" si="341">L86/G86-1</f>
        <v>1.6075093867334167</v>
      </c>
      <c r="M87" s="3">
        <f t="shared" si="341"/>
        <v>1.2122065727699529</v>
      </c>
      <c r="N87" s="3">
        <f t="shared" si="341"/>
        <v>1.4967119684348971</v>
      </c>
      <c r="O87" s="3">
        <f t="shared" si="341"/>
        <v>1.5416513761467892</v>
      </c>
      <c r="P87" s="3">
        <f t="shared" si="341"/>
        <v>1.9225845778725996</v>
      </c>
      <c r="Q87" s="249">
        <f t="shared" si="341"/>
        <v>1.5844292982624553</v>
      </c>
      <c r="R87" s="3">
        <f t="shared" si="341"/>
        <v>1.1905772495755516</v>
      </c>
      <c r="S87" s="3">
        <f t="shared" si="341"/>
        <v>1.0142230026338894</v>
      </c>
      <c r="T87" s="3">
        <f t="shared" si="341"/>
        <v>0.97805371065550095</v>
      </c>
      <c r="U87" s="3">
        <f t="shared" si="341"/>
        <v>0.55428094691834384</v>
      </c>
      <c r="V87" s="249">
        <f t="shared" si="341"/>
        <v>0.87196344996657005</v>
      </c>
      <c r="W87" s="3">
        <f t="shared" si="341"/>
        <v>0.58070141445456303</v>
      </c>
      <c r="X87" s="3">
        <f t="shared" si="341"/>
        <v>0.52044285589748052</v>
      </c>
      <c r="Y87" s="3">
        <f t="shared" si="341"/>
        <v>0.42700729927007308</v>
      </c>
      <c r="Z87" s="3">
        <f t="shared" si="341"/>
        <v>0.55884326355340863</v>
      </c>
      <c r="AA87" s="249">
        <f t="shared" si="341"/>
        <v>0.5187411949123959</v>
      </c>
      <c r="AB87" s="3">
        <f t="shared" si="341"/>
        <v>0.4907452807060555</v>
      </c>
      <c r="AC87" s="3">
        <f t="shared" si="341"/>
        <v>0.54807637176767399</v>
      </c>
      <c r="AD87" s="3">
        <f t="shared" si="341"/>
        <v>0.50951406649616349</v>
      </c>
      <c r="AE87" s="3">
        <f t="shared" si="341"/>
        <v>0.46808419059096962</v>
      </c>
      <c r="AF87" s="249">
        <f t="shared" si="341"/>
        <v>0.50172458845048329</v>
      </c>
      <c r="AG87" s="3">
        <f t="shared" si="341"/>
        <v>0.39785388315586068</v>
      </c>
      <c r="AH87" s="3">
        <f t="shared" si="341"/>
        <v>0.37037037037037046</v>
      </c>
      <c r="AI87" s="3">
        <f t="shared" si="341"/>
        <v>0.32154112026024206</v>
      </c>
      <c r="AJ87" s="3">
        <f t="shared" si="341"/>
        <v>0.20206403189867483</v>
      </c>
      <c r="AK87" s="249">
        <f t="shared" si="341"/>
        <v>0.31370604304779803</v>
      </c>
      <c r="AL87" s="3">
        <f t="shared" si="341"/>
        <v>0.23529411764705888</v>
      </c>
      <c r="AM87" s="3">
        <f t="shared" si="341"/>
        <v>0.16216216216216206</v>
      </c>
      <c r="AN87" s="3">
        <f t="shared" si="341"/>
        <v>0.12820512820512819</v>
      </c>
      <c r="AO87" s="3">
        <f t="shared" si="341"/>
        <v>0.14634146341463405</v>
      </c>
      <c r="AP87" s="249">
        <f t="shared" si="341"/>
        <v>0.16556291390728473</v>
      </c>
      <c r="AQ87" s="3">
        <f t="shared" si="341"/>
        <v>7.1428571428571397E-2</v>
      </c>
      <c r="AR87" s="3">
        <f t="shared" si="341"/>
        <v>6.9767441860465018E-2</v>
      </c>
      <c r="AS87" s="3">
        <f t="shared" si="341"/>
        <v>0.22727272727272729</v>
      </c>
      <c r="AT87" s="3">
        <f t="shared" si="341"/>
        <v>0.27659574468085113</v>
      </c>
      <c r="AU87" s="249">
        <f t="shared" si="341"/>
        <v>0.16477272727272729</v>
      </c>
      <c r="AV87" s="3">
        <f t="shared" si="341"/>
        <v>0.22222222222222232</v>
      </c>
      <c r="AW87" s="3">
        <f t="shared" si="341"/>
        <v>0.21739130434782616</v>
      </c>
      <c r="AX87" s="3">
        <f t="shared" si="341"/>
        <v>9.259259259259256E-2</v>
      </c>
      <c r="AY87" s="3">
        <f t="shared" si="341"/>
        <v>-3.3333333333333326E-2</v>
      </c>
      <c r="AZ87" s="249">
        <f t="shared" si="341"/>
        <v>0.11219512195121961</v>
      </c>
      <c r="BA87" s="3">
        <f t="shared" si="341"/>
        <v>3.6363636363636376E-2</v>
      </c>
      <c r="BB87" s="3">
        <f t="shared" si="341"/>
        <v>-3.5714285714285698E-2</v>
      </c>
      <c r="BC87" s="3">
        <f t="shared" si="341"/>
        <v>-8.4745762711864403E-2</v>
      </c>
      <c r="BD87" s="3">
        <f t="shared" si="341"/>
        <v>-5.1724137931034475E-2</v>
      </c>
      <c r="BE87" s="249">
        <f>BE86/AZ86-1</f>
        <v>-3.5087719298245612E-2</v>
      </c>
      <c r="BF87" s="3">
        <f>BF86/BA86-1</f>
        <v>-1.7543859649122862E-2</v>
      </c>
      <c r="BG87" s="3">
        <f t="shared" si="341"/>
        <v>7.4074074074074181E-2</v>
      </c>
      <c r="BH87" s="3">
        <f t="shared" si="341"/>
        <v>5.555555555555558E-2</v>
      </c>
      <c r="BI87" s="3">
        <f t="shared" si="341"/>
        <v>0.1272727272727272</v>
      </c>
      <c r="BJ87" s="249">
        <f>BJ86/BE86-1</f>
        <v>5.9090909090909083E-2</v>
      </c>
      <c r="BK87" s="3">
        <f>BK86/BF86-1</f>
        <v>8.9285714285714191E-2</v>
      </c>
      <c r="BL87" s="3">
        <f t="shared" si="341"/>
        <v>8.6206896551724199E-2</v>
      </c>
      <c r="BM87" s="3">
        <f t="shared" si="341"/>
        <v>0.15789473684210531</v>
      </c>
      <c r="BN87" s="3">
        <f t="shared" si="341"/>
        <v>9.6774193548387011E-2</v>
      </c>
      <c r="BO87" s="249">
        <f>BO86/BJ86-1</f>
        <v>0.10729613733905574</v>
      </c>
      <c r="BP87" s="3">
        <f t="shared" si="341"/>
        <v>0.11475409836065564</v>
      </c>
      <c r="BQ87" s="3">
        <f t="shared" si="341"/>
        <v>0.12698412698412698</v>
      </c>
      <c r="BR87" s="3">
        <f t="shared" si="341"/>
        <v>0.10606060606060597</v>
      </c>
      <c r="BS87" s="3">
        <f t="shared" si="341"/>
        <v>0.14705882352941169</v>
      </c>
      <c r="BT87" s="249">
        <f>BT86/BO86-1</f>
        <v>0.12403100775193798</v>
      </c>
      <c r="BU87" s="3">
        <f t="shared" si="341"/>
        <v>0.14705882352941169</v>
      </c>
      <c r="BV87" s="3">
        <f t="shared" si="341"/>
        <v>8.4507042253521236E-2</v>
      </c>
      <c r="BW87" s="3">
        <f t="shared" si="341"/>
        <v>8.2191780821917915E-2</v>
      </c>
      <c r="BX87" s="3">
        <f t="shared" ref="BX87:CG87" si="342">BX86/BS86-1</f>
        <v>0.10256410256410264</v>
      </c>
      <c r="BY87" s="249">
        <f t="shared" si="342"/>
        <v>0.10344827586206895</v>
      </c>
      <c r="BZ87" s="3">
        <f t="shared" si="342"/>
        <v>0.11538461538461542</v>
      </c>
      <c r="CA87" s="3">
        <f t="shared" si="342"/>
        <v>5.1948051948051965E-2</v>
      </c>
      <c r="CB87" s="3">
        <f t="shared" si="342"/>
        <v>6.3291139240506222E-2</v>
      </c>
      <c r="CC87" s="3">
        <f t="shared" si="342"/>
        <v>8.1395348837209225E-2</v>
      </c>
      <c r="CD87" s="249">
        <f t="shared" si="342"/>
        <v>7.8125E-2</v>
      </c>
      <c r="CE87" s="3">
        <f t="shared" si="342"/>
        <v>4.5977011494252817E-2</v>
      </c>
      <c r="CF87" s="3">
        <f t="shared" si="342"/>
        <v>0.18518518518518512</v>
      </c>
      <c r="CG87" s="3">
        <f t="shared" si="342"/>
        <v>0.21428571428571419</v>
      </c>
      <c r="CH87" s="3">
        <f t="shared" ref="CH87" si="343">CH86/CC86-1</f>
        <v>0.10752688172043001</v>
      </c>
      <c r="CI87" s="249">
        <f t="shared" ref="CI87:CL87" si="344">CI86/CD86-1</f>
        <v>0.13623188405797104</v>
      </c>
      <c r="CJ87" s="3">
        <f t="shared" si="344"/>
        <v>0.15384615384615374</v>
      </c>
      <c r="CK87" s="3">
        <f t="shared" si="344"/>
        <v>0.13541666666666674</v>
      </c>
      <c r="CL87" s="3">
        <f t="shared" si="344"/>
        <v>0.11764705882352944</v>
      </c>
      <c r="CM87" s="3">
        <f t="shared" ref="CM87" si="345">CM86/CH86-1</f>
        <v>0.15533980582524265</v>
      </c>
      <c r="CN87" s="249">
        <f t="shared" ref="CN87" si="346">CN86/CI86-1</f>
        <v>0.14030612244897966</v>
      </c>
      <c r="CO87" s="35">
        <v>9.5000000000000001E-2</v>
      </c>
      <c r="CP87" s="35">
        <v>7.4999999999999997E-2</v>
      </c>
      <c r="CQ87" s="35">
        <v>6.5000000000000002E-2</v>
      </c>
      <c r="CR87" s="35">
        <v>7.0000000000000007E-2</v>
      </c>
      <c r="CS87" s="249">
        <f>CS86/CN86-1</f>
        <v>7.5816554809843284E-2</v>
      </c>
      <c r="CT87" s="35"/>
      <c r="CU87" s="35"/>
      <c r="CV87" s="35"/>
      <c r="CW87" s="35"/>
      <c r="CX87" s="419">
        <v>6.5000000000000002E-2</v>
      </c>
      <c r="CY87" s="35"/>
      <c r="CZ87" s="35"/>
      <c r="DA87" s="35"/>
      <c r="DB87" s="35"/>
      <c r="DC87" s="419">
        <v>0.08</v>
      </c>
      <c r="DD87" s="25"/>
      <c r="DE87" s="178"/>
      <c r="DJ87" s="430"/>
      <c r="DK87" s="389"/>
      <c r="DL87" s="436" t="s">
        <v>458</v>
      </c>
      <c r="DM87" s="780">
        <v>870</v>
      </c>
      <c r="DN87" s="780">
        <f>+AVERAGE(1050,1200)</f>
        <v>1125</v>
      </c>
      <c r="DO87" s="780">
        <v>814</v>
      </c>
      <c r="DP87" s="780">
        <v>1000</v>
      </c>
      <c r="DQ87" s="780">
        <v>1400</v>
      </c>
      <c r="DR87" s="487"/>
      <c r="DS87" s="25"/>
    </row>
    <row r="88" spans="1:131" x14ac:dyDescent="0.2">
      <c r="A88" s="80" t="s">
        <v>154</v>
      </c>
      <c r="B88" s="249"/>
      <c r="C88" s="20"/>
      <c r="D88" s="20"/>
      <c r="E88" s="20"/>
      <c r="F88" s="20"/>
      <c r="G88" s="249"/>
      <c r="H88" s="3"/>
      <c r="I88" s="3">
        <f>I86/H86-1</f>
        <v>7.0892018779342925E-2</v>
      </c>
      <c r="J88" s="3">
        <f>J86/I86-1</f>
        <v>0.19465146865409899</v>
      </c>
      <c r="K88" s="3">
        <f>K86/J86-1</f>
        <v>0.20403669724770634</v>
      </c>
      <c r="L88" s="249"/>
      <c r="M88" s="3">
        <f>M86/K86-1</f>
        <v>0.43614751600121893</v>
      </c>
      <c r="N88" s="3">
        <f>N86/M86-1</f>
        <v>0.2086162988115452</v>
      </c>
      <c r="O88" s="3">
        <f>O86/N86-1</f>
        <v>0.21615452151009662</v>
      </c>
      <c r="P88" s="3">
        <f>P86/O86-1</f>
        <v>0.38449321397632108</v>
      </c>
      <c r="Q88" s="249"/>
      <c r="R88" s="3">
        <f>R86/P86-1</f>
        <v>7.6441756178954989E-2</v>
      </c>
      <c r="S88" s="3">
        <f>S86/R86-1</f>
        <v>0.11131563650455356</v>
      </c>
      <c r="T88" s="3">
        <f>T86/S86-1</f>
        <v>0.19431610147328038</v>
      </c>
      <c r="U88" s="3">
        <f>U86/T86-1</f>
        <v>8.7883211678832174E-2</v>
      </c>
      <c r="V88" s="249"/>
      <c r="W88" s="3">
        <f>W86/U86-1</f>
        <v>9.4739667203435296E-2</v>
      </c>
      <c r="X88" s="3">
        <f>X86/W86-1</f>
        <v>6.8950723216474552E-2</v>
      </c>
      <c r="Y88" s="3">
        <f>Y86/X86-1</f>
        <v>0.12092196548363066</v>
      </c>
      <c r="Z88" s="3">
        <f>Z86/Y86-1</f>
        <v>0.18838874680306894</v>
      </c>
      <c r="AA88" s="249"/>
      <c r="AB88" s="3">
        <f>AB86/Z86-1</f>
        <v>4.6916024620152319E-2</v>
      </c>
      <c r="AC88" s="3">
        <f>AC86/AB86-1</f>
        <v>0.11006043662377163</v>
      </c>
      <c r="AD88" s="3">
        <f>AD86/AC86-1</f>
        <v>9.2999999999999972E-2</v>
      </c>
      <c r="AE88" s="3">
        <f>AE86/AD86-1</f>
        <v>0.15577242384195711</v>
      </c>
      <c r="AF88" s="249"/>
      <c r="AG88" s="3">
        <f>AG86/AE86-1</f>
        <v>-3.1664125718305902E-3</v>
      </c>
      <c r="AH88" s="3">
        <f>AH86/AG86-1</f>
        <v>8.8235294117646967E-2</v>
      </c>
      <c r="AI88" s="3">
        <f>AI86/AH86-1</f>
        <v>5.4054054054053946E-2</v>
      </c>
      <c r="AJ88" s="3">
        <f>AJ86/AI86-1</f>
        <v>5.1282051282051322E-2</v>
      </c>
      <c r="AK88" s="249"/>
      <c r="AL88" s="3">
        <f>AL86/AJ86-1</f>
        <v>2.4390243902439046E-2</v>
      </c>
      <c r="AM88" s="3">
        <f>AM86/AL86-1</f>
        <v>2.3809523809523725E-2</v>
      </c>
      <c r="AN88" s="3">
        <f>AN86/AM86-1</f>
        <v>2.3255813953488413E-2</v>
      </c>
      <c r="AO88" s="3">
        <f>AO86/AN86-1</f>
        <v>6.8181818181818121E-2</v>
      </c>
      <c r="AP88" s="249"/>
      <c r="AQ88" s="3">
        <f>AQ86/AO86-1</f>
        <v>-4.2553191489361653E-2</v>
      </c>
      <c r="AR88" s="3">
        <f>AR86/AQ86-1</f>
        <v>2.2222222222222143E-2</v>
      </c>
      <c r="AS88" s="3">
        <f>AS86/AR86-1</f>
        <v>0.17391304347826098</v>
      </c>
      <c r="AT88" s="3">
        <f>AT86/AS86-1</f>
        <v>0.11111111111111116</v>
      </c>
      <c r="AU88" s="249"/>
      <c r="AV88" s="3">
        <f>AV86/AT86-1</f>
        <v>-8.333333333333337E-2</v>
      </c>
      <c r="AW88" s="3">
        <f>AW86/AV86-1</f>
        <v>1.8181818181818077E-2</v>
      </c>
      <c r="AX88" s="3">
        <f>AX86/AW86-1</f>
        <v>5.3571428571428603E-2</v>
      </c>
      <c r="AY88" s="3">
        <f>AY86/AX86-1</f>
        <v>-1.6949152542372836E-2</v>
      </c>
      <c r="AZ88" s="249"/>
      <c r="BA88" s="3">
        <f>BA86/AY86-1</f>
        <v>-1.7241379310344862E-2</v>
      </c>
      <c r="BB88" s="3">
        <f>BB86/BA86-1</f>
        <v>-5.2631578947368474E-2</v>
      </c>
      <c r="BC88" s="3">
        <f>BC86/BB86-1</f>
        <v>0</v>
      </c>
      <c r="BD88" s="3">
        <f>BD86/BC86-1</f>
        <v>1.8518518518518601E-2</v>
      </c>
      <c r="BE88" s="249"/>
      <c r="BF88" s="3">
        <f>BF86/BD86-1</f>
        <v>1.8181818181818077E-2</v>
      </c>
      <c r="BG88" s="3">
        <f>BG86/BF86-1</f>
        <v>3.5714285714285809E-2</v>
      </c>
      <c r="BH88" s="3">
        <f>BH86/BG86-1</f>
        <v>-1.7241379310344862E-2</v>
      </c>
      <c r="BI88" s="3">
        <f>BI86/BH86-1</f>
        <v>8.7719298245614086E-2</v>
      </c>
      <c r="BJ88" s="249"/>
      <c r="BK88" s="3">
        <f>BK86/BI86-1</f>
        <v>-1.6129032258064502E-2</v>
      </c>
      <c r="BL88" s="3">
        <f>BL86/BK86-1</f>
        <v>3.2786885245901676E-2</v>
      </c>
      <c r="BM88" s="3">
        <f>BM86/BL86-1</f>
        <v>4.7619047619047672E-2</v>
      </c>
      <c r="BN88" s="3">
        <f>BN86/BM86-1</f>
        <v>3.0303030303030276E-2</v>
      </c>
      <c r="BO88" s="249"/>
      <c r="BP88" s="3">
        <f>BP86/BN86-1</f>
        <v>0</v>
      </c>
      <c r="BQ88" s="3">
        <f>BQ86/BP86-1</f>
        <v>4.4117647058823595E-2</v>
      </c>
      <c r="BR88" s="3">
        <f>BR86/BQ86-1</f>
        <v>2.8169014084507005E-2</v>
      </c>
      <c r="BS88" s="3">
        <f>BS86/BR86-1</f>
        <v>6.8493150684931559E-2</v>
      </c>
      <c r="BT88" s="249"/>
      <c r="BU88" s="3">
        <f>BU86/BS86-1</f>
        <v>0</v>
      </c>
      <c r="BV88" s="3">
        <f>BV86/BU86-1</f>
        <v>-1.2820512820512775E-2</v>
      </c>
      <c r="BW88" s="3">
        <f>BW86/BV86-1</f>
        <v>2.5974025974025983E-2</v>
      </c>
      <c r="BX88" s="3">
        <f>BX86/BW86-1</f>
        <v>8.8607594936708889E-2</v>
      </c>
      <c r="BY88" s="249"/>
      <c r="BZ88" s="3">
        <f>BZ86/BX86-1</f>
        <v>1.1627906976744207E-2</v>
      </c>
      <c r="CA88" s="3">
        <f>CA86/BZ86-1</f>
        <v>-6.8965517241379337E-2</v>
      </c>
      <c r="CB88" s="3">
        <f>CB86/CA86-1</f>
        <v>3.7037037037036979E-2</v>
      </c>
      <c r="CC88" s="3">
        <f>CC86/CB86-1</f>
        <v>0.10714285714285721</v>
      </c>
      <c r="CD88" s="249"/>
      <c r="CE88" s="3">
        <f>CE86/CC86-1</f>
        <v>-2.1505376344086002E-2</v>
      </c>
      <c r="CF88" s="3">
        <f>CF86/CE86-1</f>
        <v>5.4945054945054972E-2</v>
      </c>
      <c r="CG88" s="3">
        <f>CG86/CF86-1</f>
        <v>6.25E-2</v>
      </c>
      <c r="CH88" s="3">
        <f>CH86/CG86-1</f>
        <v>9.8039215686274161E-3</v>
      </c>
      <c r="CI88" s="249"/>
      <c r="CJ88" s="3">
        <f>CJ86/CH86-1</f>
        <v>1.9417475728155331E-2</v>
      </c>
      <c r="CK88" s="3">
        <f>CK86/CJ86-1</f>
        <v>3.8095238095238182E-2</v>
      </c>
      <c r="CL88" s="3">
        <f>CL86/CK86-1</f>
        <v>4.587155963302747E-2</v>
      </c>
      <c r="CM88" s="3">
        <f>CM86/CL86-1</f>
        <v>4.3859649122806932E-2</v>
      </c>
      <c r="CN88" s="249"/>
      <c r="CO88" s="3">
        <f>CO86/CM86-1</f>
        <v>-3.3823529411764808E-2</v>
      </c>
      <c r="CP88" s="3">
        <f t="shared" ref="CP88:CR88" si="347">CP86/CO86-1</f>
        <v>1.9134594477060229E-2</v>
      </c>
      <c r="CQ88" s="3">
        <f t="shared" si="347"/>
        <v>3.6142521868999467E-2</v>
      </c>
      <c r="CR88" s="3">
        <f t="shared" si="347"/>
        <v>4.8760398649205339E-2</v>
      </c>
      <c r="CS88" s="249"/>
      <c r="CT88" s="3"/>
      <c r="CU88" s="3"/>
      <c r="CV88" s="3"/>
      <c r="CW88" s="3"/>
      <c r="CX88" s="249"/>
      <c r="CY88" s="3"/>
      <c r="CZ88" s="3"/>
      <c r="DA88" s="3"/>
      <c r="DB88" s="3"/>
      <c r="DC88" s="249"/>
      <c r="DD88" s="25"/>
      <c r="DE88" s="178"/>
      <c r="DF88" s="361">
        <f>AVERAGE(AQ88,BA88,BF88,AL88,BK88,BP88)</f>
        <v>-5.5585901622523153E-3</v>
      </c>
      <c r="DG88" s="361">
        <f>AVERAGE(AR88,BB88,BG88,AM88,BL88,BQ88)</f>
        <v>1.7669830850564745E-2</v>
      </c>
      <c r="DH88" s="361">
        <f>AVERAGE(AS88,BC88,BH88,AN88,BM88,BR88)</f>
        <v>4.2619256637493198E-2</v>
      </c>
      <c r="DI88" s="361">
        <f>AVERAGE(AT88,BD88,BI88,AO88,BN88,BS88)</f>
        <v>6.4054487840837296E-2</v>
      </c>
      <c r="DJ88" s="430"/>
      <c r="DK88" s="587"/>
      <c r="DL88" s="436" t="s">
        <v>459</v>
      </c>
      <c r="DM88" s="778">
        <v>3.4000000000000002E-2</v>
      </c>
      <c r="DN88" s="778">
        <v>3.4000000000000002E-2</v>
      </c>
      <c r="DO88" s="778">
        <v>3.4000000000000002E-2</v>
      </c>
      <c r="DP88" s="778">
        <v>3.4000000000000002E-2</v>
      </c>
      <c r="DQ88" s="778">
        <v>3.4000000000000002E-2</v>
      </c>
      <c r="DR88" s="487"/>
      <c r="DS88" s="25"/>
    </row>
    <row r="89" spans="1:131" x14ac:dyDescent="0.2">
      <c r="A89" s="386" t="s">
        <v>120</v>
      </c>
      <c r="B89" s="316"/>
      <c r="C89" s="41"/>
      <c r="D89" s="41"/>
      <c r="E89" s="41"/>
      <c r="F89" s="41"/>
      <c r="G89" s="316"/>
      <c r="H89" s="181"/>
      <c r="I89" s="181"/>
      <c r="J89" s="181"/>
      <c r="K89" s="181"/>
      <c r="L89" s="321">
        <v>39.695346971520266</v>
      </c>
      <c r="M89" s="181"/>
      <c r="N89" s="181"/>
      <c r="O89" s="181"/>
      <c r="P89" s="181"/>
      <c r="Q89" s="321">
        <f>(L263+Q263)/Model!Q217/2</f>
        <v>31.416235341690257</v>
      </c>
      <c r="R89" s="181"/>
      <c r="S89" s="181"/>
      <c r="T89" s="181"/>
      <c r="U89" s="181"/>
      <c r="V89" s="321">
        <f>(Q263+V263)/Model!V217/2</f>
        <v>28.744442933859016</v>
      </c>
      <c r="W89" s="181"/>
      <c r="X89" s="181"/>
      <c r="Y89" s="181"/>
      <c r="Z89" s="181"/>
      <c r="AA89" s="321">
        <f>(V263+AA263)/Model!AA217/2</f>
        <v>28.446069511076356</v>
      </c>
      <c r="AB89" s="181"/>
      <c r="AC89" s="181"/>
      <c r="AD89" s="181"/>
      <c r="AE89" s="181"/>
      <c r="AF89" s="321">
        <f>(AA263+AF263)/Model!AF217/2</f>
        <v>27.217351485148519</v>
      </c>
      <c r="AG89" s="181">
        <f>(AF263+AG263)/(Model!AG217*4)/2</f>
        <v>27.837499999999999</v>
      </c>
      <c r="AH89" s="181">
        <f>(AG263+AH263)/(Model!AH217*4)/2</f>
        <v>27.208333333333332</v>
      </c>
      <c r="AI89" s="181">
        <f>(AH263+AI263)/(Model!AI217*4)/2</f>
        <v>26.309027777777779</v>
      </c>
      <c r="AJ89" s="181">
        <f>(AI263+AJ263)/(Model!AJ217*4)/2</f>
        <v>26.418918918918919</v>
      </c>
      <c r="AK89" s="321">
        <f>(AF263+AK263)/Model!AK217/2</f>
        <v>26.393382352941178</v>
      </c>
      <c r="AL89" s="181">
        <f>(AK263+AL263)/(Model!AL217*4)/2</f>
        <v>26.243589743589745</v>
      </c>
      <c r="AM89" s="181">
        <f>(AL263+AM263)/(Model!AM217*4)/2</f>
        <v>28.503289473684209</v>
      </c>
      <c r="AN89" s="181">
        <f>(AM263+AN263)/(Model!AN217*4)/2</f>
        <v>27.457317073170731</v>
      </c>
      <c r="AO89" s="181">
        <f>(AN263+AO263)/(Model!AO217*4)/2</f>
        <v>26.973837209302324</v>
      </c>
      <c r="AP89" s="321">
        <f>(AK263+AP263)/Model!AP217/2</f>
        <v>26.937888198757765</v>
      </c>
      <c r="AQ89" s="181">
        <f>(AP263+AQ263)/(Model!AQ217*4)/2</f>
        <v>29.362804878048781</v>
      </c>
      <c r="AR89" s="181">
        <f>(AQ263+AR263)/(Model!AR217*4)/2</f>
        <v>28.930232558139537</v>
      </c>
      <c r="AS89" s="181">
        <f>(AR263+AS263)/(Model!AS217*4)/2</f>
        <v>25.24</v>
      </c>
      <c r="AT89" s="181">
        <f>(AS263+AT263)/(Model!AT217*4)/2</f>
        <v>22.904545454545456</v>
      </c>
      <c r="AU89" s="321">
        <f>(AP263+AU263)/Model!AU217/2</f>
        <v>25.732804232804234</v>
      </c>
      <c r="AV89" s="181">
        <f>(AU263+AV263)/(Model!AV217*4)/2</f>
        <v>28.96590909090909</v>
      </c>
      <c r="AW89" s="181">
        <f>(AV263+AW263)/(Model!AW217*4)/2</f>
        <v>28.540760869565219</v>
      </c>
      <c r="AX89" s="181">
        <f>(AW263+AX263)/(Model!AX217*4)/2</f>
        <v>27.206632653061224</v>
      </c>
      <c r="AY89" s="181">
        <f>(AX263+AY263)/(Model!AY217*4)/2</f>
        <v>26.264705882352942</v>
      </c>
      <c r="AZ89" s="321">
        <f>(AU263+AZ263)/Model!AZ217/2</f>
        <v>27.336842105263159</v>
      </c>
      <c r="BA89" s="181">
        <f>(AZ263+BA263)/(Model!BA217*4)/2</f>
        <v>28.036458333333332</v>
      </c>
      <c r="BB89" s="181">
        <f>(BA263+BB263)/(Model!BB217*4)/2</f>
        <v>28.244791666666668</v>
      </c>
      <c r="BC89" s="181">
        <f>(BB263+BC263)/(Model!BC217*4)/2</f>
        <v>27.941326530612244</v>
      </c>
      <c r="BD89" s="181">
        <f>(BC263+BD263)/(Model!BD217*4)/2</f>
        <v>28.181122448979593</v>
      </c>
      <c r="BE89" s="321">
        <f>(AZ263+BE263)/Model!BE217/2</f>
        <v>28.144329896907216</v>
      </c>
      <c r="BF89" s="181">
        <f>(BE263+BF263)/(Model!BF217*4)/2</f>
        <v>27.450980392156861</v>
      </c>
      <c r="BG89" s="181">
        <f>(BF263+BG263)/(Model!BG217*4)/2</f>
        <v>26.377314814814813</v>
      </c>
      <c r="BH89" s="181">
        <f>(BG263+BH263)/(Model!BH217*4)/2</f>
        <v>28.416666666666668</v>
      </c>
      <c r="BI89" s="181">
        <f>(BH263+BI263)/(Model!BI217*4)/2</f>
        <v>25.914473684210527</v>
      </c>
      <c r="BJ89" s="321">
        <f>(BE263+BJ263)/Model!BJ217/2</f>
        <v>27.023474178403756</v>
      </c>
      <c r="BK89" s="181">
        <f>(BJ263+BK263)/(Model!BK217*4)/2</f>
        <v>27.393181818181819</v>
      </c>
      <c r="BL89" s="181">
        <f>(BK263+BL263)/(Model!BL217*4)/2</f>
        <v>27.05043859649123</v>
      </c>
      <c r="BM89" s="181">
        <f>(BL263+BM263)/(Model!BM217*4)/2</f>
        <v>27.036637931034484</v>
      </c>
      <c r="BN89" s="181">
        <f>(BM263+BN263)/(Model!BN217*4)/2</f>
        <v>26.274999999999999</v>
      </c>
      <c r="BO89" s="321">
        <f>(BJ263+BO263)/Model!BO217/2</f>
        <v>26.693478260869565</v>
      </c>
      <c r="BP89" s="181">
        <f>(BO263+BP263)/(Model!BP217*4)/2</f>
        <v>25.997950819672131</v>
      </c>
      <c r="BQ89" s="181">
        <f>(BP263+BQ263)/(Model!BQ217*4)/2</f>
        <v>26.08266129032258</v>
      </c>
      <c r="BR89" s="181">
        <f>(BQ263+BR263)/(Model!BR217*4)/2</f>
        <v>25.611538461538462</v>
      </c>
      <c r="BS89" s="181">
        <f>(BR263+BS263)/(Model!BS217*4)/2</f>
        <v>24.608928571428571</v>
      </c>
      <c r="BT89" s="321">
        <f>(BO263+BT263)/Model!BT217/2</f>
        <v>25.854651162790699</v>
      </c>
      <c r="BU89" s="181">
        <f>(BT263+BU263)/(Model!BU217*4)/2</f>
        <v>25.840073529411764</v>
      </c>
      <c r="BV89" s="181">
        <f>(BU263+BV263)/(Model!BV217*4)/2</f>
        <v>27.375</v>
      </c>
      <c r="BW89" s="181">
        <f>(BV263+BW263)/(Model!BW217*4)/2</f>
        <v>28.474609375</v>
      </c>
      <c r="BX89" s="181">
        <f>(BW263+BX263)/(Model!BX217*4)/2</f>
        <v>28.378787878787879</v>
      </c>
      <c r="BY89" s="321">
        <f>(BT263+BY263)/Model!BY217/2</f>
        <v>27.826996197718632</v>
      </c>
      <c r="BZ89" s="181">
        <f>(BY263+BZ263)/(Model!BZ217*4)/2</f>
        <v>28.692164179104477</v>
      </c>
      <c r="CA89" s="181">
        <f>(BZ263+CA263)/(Model!CA217*4)/2</f>
        <v>27.79225352112676</v>
      </c>
      <c r="CB89" s="181">
        <f>(CA263+CB263)/(Model!CB217*4)/2</f>
        <v>28.045138888888889</v>
      </c>
      <c r="CC89" s="181">
        <f>(CB263+CC263)/(Model!CC217*4)/2</f>
        <v>26.674679487179485</v>
      </c>
      <c r="CD89" s="321">
        <f>(BY263+CD263)/Model!CD217/2</f>
        <v>27.982638888888889</v>
      </c>
      <c r="CE89" s="181">
        <f>(CD263+CE263)/(Model!CE217*4)/2</f>
        <v>27.164556962025316</v>
      </c>
      <c r="CF89" s="181">
        <f>(CE263+CF263)/(Model!CF217*4)/2</f>
        <v>26.311746987951807</v>
      </c>
      <c r="CG89" s="181">
        <f>(CF263+CG263)/(Model!CG217*4)/2</f>
        <v>25.921511627906977</v>
      </c>
      <c r="CH89" s="181">
        <f>(CG263+CH263)/(Model!CH217*4)/2</f>
        <v>25.876404494382022</v>
      </c>
      <c r="CI89" s="321">
        <f>(CD263+CI263)/Model!CI217/2</f>
        <v>26.571216617210684</v>
      </c>
      <c r="CJ89" s="181">
        <f>(CI263+CJ263)/(Model!CJ217*4)/2</f>
        <v>26.484722222222221</v>
      </c>
      <c r="CK89" s="181">
        <f>(CJ263+CK263)/(Model!CK217*4)/2</f>
        <v>26.091755319148938</v>
      </c>
      <c r="CL89" s="181">
        <f>(CK263+CL263)/(Model!CL217*4)/2</f>
        <v>25.378787878787879</v>
      </c>
      <c r="CM89" s="181">
        <f>(CL263+CM263)/(Model!CM217*4)/2</f>
        <v>24.849503437738729</v>
      </c>
      <c r="CN89" s="321">
        <f>(CI263+CN263)/Model!CN217/2</f>
        <v>25.622369048429942</v>
      </c>
      <c r="CO89" s="181">
        <f>(CN263+CO263)/(Model!CO217*4)/2</f>
        <v>26.472259164267193</v>
      </c>
      <c r="CP89" s="181">
        <f>(CO263+CP263)/(Model!CP217*4)/2</f>
        <v>26.593603383538987</v>
      </c>
      <c r="CQ89" s="181">
        <f>(CP263+CQ263)/(Model!CQ217*4)/2</f>
        <v>26.261579192933411</v>
      </c>
      <c r="CR89" s="181">
        <f>(CQ263+CR263)/(Model!CR217*4)/2</f>
        <v>25.607371063026889</v>
      </c>
      <c r="CS89" s="321">
        <f>(CN263+CS263)/Model!CS217/2</f>
        <v>26.217826544338383</v>
      </c>
      <c r="CT89" s="181"/>
      <c r="CU89" s="181"/>
      <c r="CV89" s="181"/>
      <c r="CW89" s="181"/>
      <c r="CX89" s="532">
        <f>(CS263+CX263)/Model!CX217/2</f>
        <v>26.817496398913725</v>
      </c>
      <c r="CY89" s="181"/>
      <c r="CZ89" s="181"/>
      <c r="DA89" s="181"/>
      <c r="DB89" s="181"/>
      <c r="DC89" s="532">
        <f>(CX263+DC263)/Model!DC217/2</f>
        <v>27.076253823169932</v>
      </c>
      <c r="DD89" s="179"/>
      <c r="DE89" s="176"/>
      <c r="DJ89" s="443"/>
      <c r="DK89" s="406"/>
      <c r="DL89" s="781" t="s">
        <v>460</v>
      </c>
      <c r="DM89" s="781"/>
      <c r="DN89" s="586">
        <f>+DN88*DN87/2+DM88*DM87/2</f>
        <v>33.914999999999999</v>
      </c>
      <c r="DO89" s="586">
        <f>+DO88*DO87/2+DN88*DN87/2</f>
        <v>32.963000000000001</v>
      </c>
      <c r="DP89" s="586">
        <f>+DP88*DP87/2+DO88*DO87/2</f>
        <v>30.838000000000001</v>
      </c>
      <c r="DQ89" s="586">
        <f>+DQ88*DQ87/2+DP88*DP87/2</f>
        <v>40.799999999999997</v>
      </c>
      <c r="DR89" s="503"/>
      <c r="DS89" s="179"/>
    </row>
    <row r="90" spans="1:131" x14ac:dyDescent="0.2">
      <c r="A90" s="205" t="str">
        <f>$A86&amp;" per Aircraft ($mm)"</f>
        <v>Depreciation and Amortization per Aircraft ($mm)</v>
      </c>
      <c r="B90" s="272"/>
      <c r="C90" s="83"/>
      <c r="D90" s="83"/>
      <c r="E90" s="83"/>
      <c r="F90" s="83"/>
      <c r="G90" s="272"/>
      <c r="H90" s="83">
        <f>H86/H24*4</f>
        <v>0.81142857142857139</v>
      </c>
      <c r="I90" s="83">
        <f>I86/I24*4</f>
        <v>0.69121212121212128</v>
      </c>
      <c r="J90" s="83">
        <f>J86/J24*4</f>
        <v>0.68553459119496851</v>
      </c>
      <c r="K90" s="83">
        <f>K86/K24*4</f>
        <v>0.67649484536082483</v>
      </c>
      <c r="L90" s="272">
        <f>L86/L24</f>
        <v>0.70623728813559317</v>
      </c>
      <c r="M90" s="83">
        <f>M86/M24*4</f>
        <v>0.849009009009009</v>
      </c>
      <c r="N90" s="83">
        <f>N86/N24*4</f>
        <v>0.92601626016260163</v>
      </c>
      <c r="O90" s="83">
        <f>O86/O24*4</f>
        <v>0.97549295774647893</v>
      </c>
      <c r="P90" s="83">
        <f>P86/P24*4</f>
        <v>1.1693902439024393</v>
      </c>
      <c r="Q90" s="272">
        <f>Q86/Q24</f>
        <v>0.99711111111111117</v>
      </c>
      <c r="R90" s="83">
        <f>R86/R24*4</f>
        <v>1.0668733850129197</v>
      </c>
      <c r="S90" s="83">
        <f>S86/S24*4</f>
        <v>1.1029807692307692</v>
      </c>
      <c r="T90" s="83">
        <f>T86/T24*4</f>
        <v>1.1965065502183405</v>
      </c>
      <c r="U90" s="83">
        <f>U86/U24*4</f>
        <v>1.2019354838709677</v>
      </c>
      <c r="V90" s="272">
        <f>V86/V24</f>
        <v>1.1473420603301079</v>
      </c>
      <c r="W90" s="83">
        <f>W86/W24*4</f>
        <v>1.1801808318264013</v>
      </c>
      <c r="X90" s="83">
        <f>X86/X24*4</f>
        <v>1.1905119453924913</v>
      </c>
      <c r="Y90" s="83">
        <f>Y86/Y24*4</f>
        <v>1.2653721682847898</v>
      </c>
      <c r="Z90" s="83">
        <f>Z86/Z24*4</f>
        <v>1.3974736842105264</v>
      </c>
      <c r="AA90" s="272">
        <f>AA86/AA24</f>
        <v>1.2640792733278283</v>
      </c>
      <c r="AB90" s="83">
        <f>AB86/AB24*4</f>
        <v>1.3722425952045134</v>
      </c>
      <c r="AC90" s="83">
        <f>AC86/AC24*4</f>
        <v>1.4535666218034995</v>
      </c>
      <c r="AD90" s="83">
        <f>AD86/AD24*4</f>
        <v>1.4904545454545453</v>
      </c>
      <c r="AE90" s="83">
        <f>AE86/AE24*4</f>
        <v>1.5956959064327485</v>
      </c>
      <c r="AF90" s="272">
        <f>AF86/AF24</f>
        <v>1.4836011616650535</v>
      </c>
      <c r="AG90" s="83">
        <f>AG86/AG24*4</f>
        <v>1.4240837696335078</v>
      </c>
      <c r="AH90" s="83">
        <f>AH86/AH24*4</f>
        <v>1.4230769230769231</v>
      </c>
      <c r="AI90" s="83">
        <f>AI86/AI24*4</f>
        <v>1.3928571428571428</v>
      </c>
      <c r="AJ90" s="83">
        <f>AJ86/AJ24*4</f>
        <v>1.4017094017094016</v>
      </c>
      <c r="AK90" s="272">
        <f>AK86/AK24</f>
        <v>1.4312796208530805</v>
      </c>
      <c r="AL90" s="83">
        <f>AL86/AL24*4</f>
        <v>1.3770491803278688</v>
      </c>
      <c r="AM90" s="83">
        <f>AM86/AM24*4</f>
        <v>1.3490196078431373</v>
      </c>
      <c r="AN90" s="83">
        <f>AN86/AN24*4</f>
        <v>1.3333333333333333</v>
      </c>
      <c r="AO90" s="83">
        <f>AO86/AO24*4</f>
        <v>1.4029850746268657</v>
      </c>
      <c r="AP90" s="272">
        <f>AP86/AP24</f>
        <v>1.3913043478260869</v>
      </c>
      <c r="AQ90" s="83">
        <f>AQ86/AQ24*4</f>
        <v>1.3090909090909091</v>
      </c>
      <c r="AR90" s="83">
        <f>AR86/AR24*4</f>
        <v>1.3003533568904593</v>
      </c>
      <c r="AS90" s="83">
        <f>AS86/AS24*4</f>
        <v>1.5157894736842106</v>
      </c>
      <c r="AT90" s="83">
        <f>AT86/AT24*4</f>
        <v>1.7155110793423873</v>
      </c>
      <c r="AU90" s="272">
        <f>AU86/AU24</f>
        <v>1.4855072463768115</v>
      </c>
      <c r="AV90" s="83">
        <f>AV86/AV24*4</f>
        <v>1.5224913494809689</v>
      </c>
      <c r="AW90" s="83">
        <f>AW86/AW24*4</f>
        <v>1.5033557046979866</v>
      </c>
      <c r="AX90" s="83">
        <f>AX86/AX24*4</f>
        <v>1.5629139072847682</v>
      </c>
      <c r="AY90" s="83">
        <f>AY86/AY24*4</f>
        <v>1.5364238410596027</v>
      </c>
      <c r="AZ90" s="272">
        <f>AZ86/AZ24</f>
        <v>1.5563139931740615</v>
      </c>
      <c r="BA90" s="83">
        <f>BA86/BA24*4</f>
        <v>1.509933774834437</v>
      </c>
      <c r="BB90" s="83">
        <f>BB86/BB24*4</f>
        <v>1.4210526315789473</v>
      </c>
      <c r="BC90" s="83">
        <f>BC86/BC24*4</f>
        <v>1.3935483870967742</v>
      </c>
      <c r="BD90" s="83">
        <f>BD86/BD24*4</f>
        <v>1.3836477987421383</v>
      </c>
      <c r="BE90" s="272">
        <f>BE86/BE24</f>
        <v>1.4102564102564104</v>
      </c>
      <c r="BF90" s="83">
        <f>BF86/BF24*4</f>
        <v>1.3784615384615384</v>
      </c>
      <c r="BG90" s="83">
        <f>BG86/BG24*4</f>
        <v>1.4103343465045592</v>
      </c>
      <c r="BH90" s="83">
        <f>BH86/BH24*4</f>
        <v>1.3734939759036144</v>
      </c>
      <c r="BI90" s="83">
        <f>BI86/BI24*4</f>
        <v>1.4761904761904763</v>
      </c>
      <c r="BJ90" s="272">
        <f>BJ86/BJ24</f>
        <v>1.4121212121212121</v>
      </c>
      <c r="BK90" s="83">
        <f>BK86/BK24*4</f>
        <v>1.4310850439882699</v>
      </c>
      <c r="BL90" s="83">
        <f>BL86/BL24*4</f>
        <v>1.4524495677233429</v>
      </c>
      <c r="BM90" s="83">
        <f>BM86/BM24*4</f>
        <v>1.5085714285714287</v>
      </c>
      <c r="BN90" s="83">
        <f>BN86/BN24*4</f>
        <v>1.5323943661971831</v>
      </c>
      <c r="BO90" s="272">
        <f>BO86/BO24</f>
        <v>1.4785100286532951</v>
      </c>
      <c r="BP90" s="83">
        <f>BP86/BP24*4</f>
        <v>1.5069252077562327</v>
      </c>
      <c r="BQ90" s="83">
        <f>BQ86/BQ24*4</f>
        <v>1.5476839237057221</v>
      </c>
      <c r="BR90" s="83">
        <f>BR86/BR24*4</f>
        <v>1.5573333333333332</v>
      </c>
      <c r="BS90" s="83">
        <f>BS86/BS24*4</f>
        <v>1.629242819843342</v>
      </c>
      <c r="BT90" s="272">
        <f>BT86/BT24</f>
        <v>1.5508021390374331</v>
      </c>
      <c r="BU90" s="83">
        <f>BU86/BU24*4</f>
        <v>1.6041131105398458</v>
      </c>
      <c r="BV90" s="83">
        <f>BV86/BV24*4</f>
        <v>1.5714285714285714</v>
      </c>
      <c r="BW90" s="83">
        <f>BW86/BW24*4</f>
        <v>1.595959595959596</v>
      </c>
      <c r="BX90" s="83">
        <f>BX86/BX24*4</f>
        <v>1.7114427860696517</v>
      </c>
      <c r="BY90" s="272">
        <f>BY86/BY24</f>
        <v>1.6120906801007557</v>
      </c>
      <c r="BZ90" s="83">
        <f>BZ86/BZ24*4</f>
        <v>1.7058823529411764</v>
      </c>
      <c r="CA90" s="83">
        <f>CA86/CA24*4</f>
        <v>1.5652173913043479</v>
      </c>
      <c r="CB90" s="83">
        <f>CB86/CB24*4</f>
        <v>1.6</v>
      </c>
      <c r="CC90" s="83">
        <f>CC86/CC24*4</f>
        <v>1.7464788732394365</v>
      </c>
      <c r="CD90" s="272">
        <f>CD86/CD24</f>
        <v>1.6507177033492824</v>
      </c>
      <c r="CE90" s="83">
        <f>CE86/CE24*4</f>
        <v>1.6851851851851851</v>
      </c>
      <c r="CF90" s="83">
        <f>CF86/CF24*4</f>
        <v>1.761467889908257</v>
      </c>
      <c r="CG90" s="83">
        <f>CG86/CG24*4</f>
        <v>1.8587699316628701</v>
      </c>
      <c r="CH90" s="83">
        <f>CH86/CH24*4</f>
        <v>1.8434004474272931</v>
      </c>
      <c r="CI90" s="272">
        <f>CI86/CI24</f>
        <v>1.7737556561085972</v>
      </c>
      <c r="CJ90" s="83">
        <f>CJ86/CJ24*4</f>
        <v>1.838074398249453</v>
      </c>
      <c r="CK90" s="83">
        <f>CK86/CK24*4</f>
        <v>1.8833693304535637</v>
      </c>
      <c r="CL90" s="83">
        <f>CL86/CL24*4</f>
        <v>1.9445628997867803</v>
      </c>
      <c r="CM90" s="83">
        <f>CM86/CM24*4</f>
        <v>2.0169491525423728</v>
      </c>
      <c r="CN90" s="272">
        <f>CN86/CN24</f>
        <v>1.9308855291576674</v>
      </c>
      <c r="CO90" s="83">
        <f t="shared" ref="CO90" si="348">CO86/CO24*4</f>
        <v>1.940506329113924</v>
      </c>
      <c r="CP90" s="83">
        <f t="shared" ref="CP90:CR90" si="349">CP86/CP24*4</f>
        <v>1.9610878661087865</v>
      </c>
      <c r="CQ90" s="83">
        <f t="shared" si="349"/>
        <v>2.0151037344398341</v>
      </c>
      <c r="CR90" s="83">
        <f t="shared" si="349"/>
        <v>2.0873770491803283</v>
      </c>
      <c r="CS90" s="272">
        <f>CS86/CS24</f>
        <v>1.9953941908713693</v>
      </c>
      <c r="CT90" s="83"/>
      <c r="CU90" s="83"/>
      <c r="CV90" s="83"/>
      <c r="CW90" s="83"/>
      <c r="CX90" s="272">
        <f>CX86/CX24</f>
        <v>2.0283083168316831</v>
      </c>
      <c r="CY90" s="83"/>
      <c r="CZ90" s="83"/>
      <c r="DA90" s="83"/>
      <c r="DB90" s="83"/>
      <c r="DC90" s="272">
        <f>DC86/DC24</f>
        <v>2.0448047245841035</v>
      </c>
      <c r="DD90" s="367"/>
      <c r="DE90" s="464"/>
      <c r="DJ90" s="442"/>
      <c r="DK90" s="404"/>
      <c r="DL90" s="781" t="s">
        <v>461</v>
      </c>
      <c r="DN90" s="586">
        <f>+CN86-CI86</f>
        <v>55</v>
      </c>
      <c r="DO90" s="586">
        <f>+CS86-CN86</f>
        <v>33.889999999999986</v>
      </c>
      <c r="DP90" s="586">
        <f>+CX86-CS86</f>
        <v>31.257849999999962</v>
      </c>
      <c r="DQ90" s="586">
        <f>+DC86-CX86</f>
        <v>40.971828000000073</v>
      </c>
      <c r="DR90" s="501"/>
      <c r="DS90" s="367"/>
    </row>
    <row r="91" spans="1:131" x14ac:dyDescent="0.2">
      <c r="A91" s="8" t="s">
        <v>245</v>
      </c>
      <c r="B91" s="846">
        <v>3.7999999999999999E-2</v>
      </c>
      <c r="C91" s="9"/>
      <c r="D91" s="9"/>
      <c r="E91" s="9"/>
      <c r="F91" s="9"/>
      <c r="G91" s="846">
        <v>1.052</v>
      </c>
      <c r="H91" s="824">
        <v>0.69399999999999995</v>
      </c>
      <c r="I91" s="824">
        <v>0.80300000000000005</v>
      </c>
      <c r="J91" s="824">
        <v>1.6479999999999999</v>
      </c>
      <c r="K91" s="824">
        <v>1.56</v>
      </c>
      <c r="L91" s="10">
        <f>SUM(H91:K91)</f>
        <v>4.7050000000000001</v>
      </c>
      <c r="M91" s="824">
        <v>1.905</v>
      </c>
      <c r="N91" s="824">
        <v>1.506</v>
      </c>
      <c r="O91" s="824">
        <v>2.7330000000000001</v>
      </c>
      <c r="P91" s="824">
        <v>2.782</v>
      </c>
      <c r="Q91" s="10">
        <f>SUM(M91:P91)</f>
        <v>8.9260000000000002</v>
      </c>
      <c r="R91" s="824">
        <v>3.3319999999999999</v>
      </c>
      <c r="S91" s="824">
        <v>5.3659999999999997</v>
      </c>
      <c r="T91" s="824">
        <v>5.7549999999999999</v>
      </c>
      <c r="U91" s="824">
        <v>8.6609999999999996</v>
      </c>
      <c r="V91" s="10">
        <f>SUM(R91:U91)</f>
        <v>23.113999999999997</v>
      </c>
      <c r="W91" s="824">
        <v>12.497999999999999</v>
      </c>
      <c r="X91" s="824">
        <v>8.391</v>
      </c>
      <c r="Y91" s="824">
        <v>11.518000000000001</v>
      </c>
      <c r="Z91" s="824">
        <v>12.494999999999999</v>
      </c>
      <c r="AA91" s="10">
        <f>SUM(W91:Z91)</f>
        <v>44.901999999999994</v>
      </c>
      <c r="AB91" s="824">
        <v>13.54</v>
      </c>
      <c r="AC91" s="824">
        <v>13.579000000000001</v>
      </c>
      <c r="AD91" s="824">
        <v>19.812000000000001</v>
      </c>
      <c r="AE91" s="824">
        <v>17.518999999999998</v>
      </c>
      <c r="AF91" s="10">
        <f>SUM(AB91:AE91)</f>
        <v>64.449999999999989</v>
      </c>
      <c r="AG91" s="824">
        <v>21</v>
      </c>
      <c r="AH91" s="824">
        <v>23</v>
      </c>
      <c r="AI91" s="824">
        <v>22</v>
      </c>
      <c r="AJ91" s="824">
        <v>20</v>
      </c>
      <c r="AK91" s="10">
        <f>SUM(AG91:AJ91)</f>
        <v>86</v>
      </c>
      <c r="AL91" s="824">
        <v>26</v>
      </c>
      <c r="AM91" s="824">
        <v>27</v>
      </c>
      <c r="AN91" s="824">
        <v>25</v>
      </c>
      <c r="AO91" s="824">
        <v>28</v>
      </c>
      <c r="AP91" s="10">
        <f>SUM(AL91:AO91)</f>
        <v>106</v>
      </c>
      <c r="AQ91" s="824">
        <v>33</v>
      </c>
      <c r="AR91" s="824">
        <v>32</v>
      </c>
      <c r="AS91" s="824">
        <v>32</v>
      </c>
      <c r="AT91" s="824">
        <v>30</v>
      </c>
      <c r="AU91" s="10">
        <f>SUM(AQ91:AT91)</f>
        <v>127</v>
      </c>
      <c r="AV91" s="824">
        <v>37</v>
      </c>
      <c r="AW91" s="824">
        <v>34</v>
      </c>
      <c r="AX91" s="824">
        <v>40</v>
      </c>
      <c r="AY91" s="824">
        <v>38</v>
      </c>
      <c r="AZ91" s="10">
        <f>SUM(AV91:AY91)</f>
        <v>149</v>
      </c>
      <c r="BA91" s="824">
        <v>39</v>
      </c>
      <c r="BB91" s="824">
        <v>41</v>
      </c>
      <c r="BC91" s="824">
        <v>44</v>
      </c>
      <c r="BD91" s="824">
        <v>48</v>
      </c>
      <c r="BE91" s="10">
        <f>SUM(BA91:BD91)</f>
        <v>172</v>
      </c>
      <c r="BF91" s="824">
        <v>52</v>
      </c>
      <c r="BG91" s="824">
        <v>54</v>
      </c>
      <c r="BH91" s="824">
        <v>59</v>
      </c>
      <c r="BI91" s="824">
        <v>62</v>
      </c>
      <c r="BJ91" s="10">
        <f>SUM(BF91:BI91)</f>
        <v>227</v>
      </c>
      <c r="BK91" s="824">
        <v>88</v>
      </c>
      <c r="BL91" s="824">
        <v>85</v>
      </c>
      <c r="BM91" s="824">
        <v>85</v>
      </c>
      <c r="BN91" s="824">
        <v>80</v>
      </c>
      <c r="BO91" s="10">
        <f>SUM(BK91:BN91)</f>
        <v>338</v>
      </c>
      <c r="BP91" s="824">
        <v>114</v>
      </c>
      <c r="BQ91" s="824">
        <v>111</v>
      </c>
      <c r="BR91" s="824">
        <v>109</v>
      </c>
      <c r="BS91" s="824">
        <v>98</v>
      </c>
      <c r="BT91" s="10">
        <f>SUM(BP91:BS91)</f>
        <v>432</v>
      </c>
      <c r="BU91" s="824">
        <v>94</v>
      </c>
      <c r="BV91" s="824">
        <v>102</v>
      </c>
      <c r="BW91" s="824">
        <v>109</v>
      </c>
      <c r="BX91" s="824">
        <v>113</v>
      </c>
      <c r="BY91" s="10">
        <f>SUM(BU91:BX91)</f>
        <v>418</v>
      </c>
      <c r="BZ91" s="824">
        <v>113</v>
      </c>
      <c r="CA91" s="824">
        <v>126</v>
      </c>
      <c r="CB91" s="824">
        <v>132</v>
      </c>
      <c r="CC91" s="824">
        <v>119</v>
      </c>
      <c r="CD91" s="10">
        <f>SUM(BZ91:CC91)</f>
        <v>490</v>
      </c>
      <c r="CE91" s="824">
        <v>135</v>
      </c>
      <c r="CF91" s="824">
        <v>140</v>
      </c>
      <c r="CG91" s="824">
        <v>153</v>
      </c>
      <c r="CH91" s="824">
        <v>136</v>
      </c>
      <c r="CI91" s="10">
        <f>SUM(CE91:CH91)</f>
        <v>564</v>
      </c>
      <c r="CJ91" s="824">
        <v>152</v>
      </c>
      <c r="CK91" s="824">
        <v>166</v>
      </c>
      <c r="CL91" s="824">
        <v>149</v>
      </c>
      <c r="CM91" s="824">
        <v>155</v>
      </c>
      <c r="CN91" s="10">
        <f>SUM(CJ91:CM91)</f>
        <v>622</v>
      </c>
      <c r="CO91" s="9">
        <f t="shared" ref="CO91" si="350">CO94*CO6/100</f>
        <v>155.44584</v>
      </c>
      <c r="CP91" s="9">
        <f t="shared" ref="CP91:CR91" si="351">CP94*CP6/100</f>
        <v>174.06759999999997</v>
      </c>
      <c r="CQ91" s="9">
        <f t="shared" si="351"/>
        <v>170.45600000000002</v>
      </c>
      <c r="CR91" s="9">
        <f t="shared" si="351"/>
        <v>165.726</v>
      </c>
      <c r="CS91" s="10">
        <f>SUM(CO91:CR91)</f>
        <v>665.69543999999996</v>
      </c>
      <c r="CT91" s="9"/>
      <c r="CU91" s="9"/>
      <c r="CV91" s="9"/>
      <c r="CW91" s="9"/>
      <c r="CX91" s="10">
        <f>CX94*CX6/100</f>
        <v>698.048238384</v>
      </c>
      <c r="CY91" s="9"/>
      <c r="CZ91" s="9"/>
      <c r="DA91" s="9"/>
      <c r="DB91" s="9"/>
      <c r="DC91" s="10">
        <f>DC94*DC6/100</f>
        <v>731.97338276946243</v>
      </c>
      <c r="DD91" s="364"/>
      <c r="DE91" s="456"/>
      <c r="DF91" s="364"/>
      <c r="DG91" s="364"/>
      <c r="DH91" s="364"/>
      <c r="DI91" s="364"/>
      <c r="DJ91" s="442"/>
      <c r="DK91" s="442"/>
      <c r="DL91" s="442"/>
      <c r="DM91" s="442"/>
      <c r="DN91" s="442"/>
      <c r="DO91" s="404"/>
      <c r="DP91" s="404"/>
      <c r="DQ91" s="9"/>
      <c r="DR91" s="456"/>
      <c r="DS91" s="364"/>
      <c r="DZ91" s="9"/>
      <c r="EA91" s="342"/>
    </row>
    <row r="92" spans="1:131" x14ac:dyDescent="0.2">
      <c r="A92" s="11" t="s">
        <v>131</v>
      </c>
      <c r="B92" s="249"/>
      <c r="C92" s="20"/>
      <c r="D92" s="20"/>
      <c r="E92" s="20"/>
      <c r="F92" s="20"/>
      <c r="G92" s="249"/>
      <c r="H92" s="3"/>
      <c r="I92" s="3"/>
      <c r="J92" s="3"/>
      <c r="K92" s="3"/>
      <c r="L92" s="249">
        <f t="shared" ref="L92:BW92" si="352">L91/G91-1</f>
        <v>3.4724334600760454</v>
      </c>
      <c r="M92" s="3">
        <f t="shared" si="352"/>
        <v>1.744956772334294</v>
      </c>
      <c r="N92" s="3">
        <f t="shared" si="352"/>
        <v>0.87546699875466993</v>
      </c>
      <c r="O92" s="3">
        <f t="shared" si="352"/>
        <v>0.65837378640776723</v>
      </c>
      <c r="P92" s="3">
        <f t="shared" si="352"/>
        <v>0.78333333333333321</v>
      </c>
      <c r="Q92" s="249">
        <f t="shared" si="352"/>
        <v>0.8971307120085017</v>
      </c>
      <c r="R92" s="3">
        <f t="shared" si="352"/>
        <v>0.74908136482939613</v>
      </c>
      <c r="S92" s="3">
        <f t="shared" si="352"/>
        <v>2.5630810092961487</v>
      </c>
      <c r="T92" s="3">
        <f t="shared" si="352"/>
        <v>1.1057446030003657</v>
      </c>
      <c r="U92" s="3">
        <f t="shared" si="352"/>
        <v>2.1132278936017252</v>
      </c>
      <c r="V92" s="249">
        <f t="shared" si="352"/>
        <v>1.5895137799686307</v>
      </c>
      <c r="W92" s="3">
        <f t="shared" si="352"/>
        <v>2.7509003601440578</v>
      </c>
      <c r="X92" s="3">
        <f t="shared" si="352"/>
        <v>0.56373462541930675</v>
      </c>
      <c r="Y92" s="3">
        <f t="shared" si="352"/>
        <v>1.0013900955690707</v>
      </c>
      <c r="Z92" s="3">
        <f t="shared" si="352"/>
        <v>0.44267405611361266</v>
      </c>
      <c r="AA92" s="249">
        <f t="shared" si="352"/>
        <v>0.94263217097862761</v>
      </c>
      <c r="AB92" s="3">
        <f t="shared" si="352"/>
        <v>8.3373339734357454E-2</v>
      </c>
      <c r="AC92" s="3">
        <f t="shared" si="352"/>
        <v>0.61828149207484207</v>
      </c>
      <c r="AD92" s="3">
        <f t="shared" si="352"/>
        <v>0.72009029345372455</v>
      </c>
      <c r="AE92" s="3">
        <f t="shared" si="352"/>
        <v>0.40208083233293324</v>
      </c>
      <c r="AF92" s="249">
        <f t="shared" si="352"/>
        <v>0.43534809139904684</v>
      </c>
      <c r="AG92" s="3">
        <f t="shared" si="352"/>
        <v>0.55096011816839008</v>
      </c>
      <c r="AH92" s="3">
        <f t="shared" si="352"/>
        <v>0.69379188452757923</v>
      </c>
      <c r="AI92" s="3">
        <f t="shared" si="352"/>
        <v>0.1104381183121339</v>
      </c>
      <c r="AJ92" s="3">
        <f t="shared" si="352"/>
        <v>0.14161767224156652</v>
      </c>
      <c r="AK92" s="249">
        <f t="shared" si="352"/>
        <v>0.33436772692009331</v>
      </c>
      <c r="AL92" s="3">
        <f t="shared" si="352"/>
        <v>0.23809523809523814</v>
      </c>
      <c r="AM92" s="3">
        <f t="shared" si="352"/>
        <v>0.17391304347826098</v>
      </c>
      <c r="AN92" s="3">
        <f t="shared" si="352"/>
        <v>0.13636363636363646</v>
      </c>
      <c r="AO92" s="3">
        <f t="shared" si="352"/>
        <v>0.39999999999999991</v>
      </c>
      <c r="AP92" s="249">
        <f t="shared" si="352"/>
        <v>0.23255813953488369</v>
      </c>
      <c r="AQ92" s="3">
        <f t="shared" si="352"/>
        <v>0.26923076923076916</v>
      </c>
      <c r="AR92" s="3">
        <f t="shared" si="352"/>
        <v>0.18518518518518512</v>
      </c>
      <c r="AS92" s="3">
        <f t="shared" si="352"/>
        <v>0.28000000000000003</v>
      </c>
      <c r="AT92" s="3">
        <f t="shared" si="352"/>
        <v>7.1428571428571397E-2</v>
      </c>
      <c r="AU92" s="249">
        <f t="shared" si="352"/>
        <v>0.19811320754716988</v>
      </c>
      <c r="AV92" s="3">
        <f t="shared" si="352"/>
        <v>0.1212121212121211</v>
      </c>
      <c r="AW92" s="3">
        <f t="shared" si="352"/>
        <v>6.25E-2</v>
      </c>
      <c r="AX92" s="3">
        <f t="shared" si="352"/>
        <v>0.25</v>
      </c>
      <c r="AY92" s="3">
        <f t="shared" si="352"/>
        <v>0.26666666666666661</v>
      </c>
      <c r="AZ92" s="249">
        <f t="shared" si="352"/>
        <v>0.17322834645669283</v>
      </c>
      <c r="BA92" s="3">
        <f t="shared" si="352"/>
        <v>5.4054054054053946E-2</v>
      </c>
      <c r="BB92" s="3">
        <f t="shared" si="352"/>
        <v>0.20588235294117641</v>
      </c>
      <c r="BC92" s="3">
        <f t="shared" si="352"/>
        <v>0.10000000000000009</v>
      </c>
      <c r="BD92" s="3">
        <f t="shared" si="352"/>
        <v>0.26315789473684204</v>
      </c>
      <c r="BE92" s="249">
        <f>BE91/AZ91-1</f>
        <v>0.15436241610738266</v>
      </c>
      <c r="BF92" s="3">
        <f>BF91/BA91-1</f>
        <v>0.33333333333333326</v>
      </c>
      <c r="BG92" s="3">
        <f t="shared" si="352"/>
        <v>0.31707317073170738</v>
      </c>
      <c r="BH92" s="3">
        <f t="shared" si="352"/>
        <v>0.34090909090909083</v>
      </c>
      <c r="BI92" s="3">
        <f t="shared" si="352"/>
        <v>0.29166666666666674</v>
      </c>
      <c r="BJ92" s="249">
        <f>BJ91/BE91-1</f>
        <v>0.31976744186046502</v>
      </c>
      <c r="BK92" s="3">
        <f>BK91/BF91-1</f>
        <v>0.69230769230769229</v>
      </c>
      <c r="BL92" s="3">
        <f t="shared" si="352"/>
        <v>0.57407407407407418</v>
      </c>
      <c r="BM92" s="3">
        <f t="shared" si="352"/>
        <v>0.44067796610169485</v>
      </c>
      <c r="BN92" s="3">
        <f t="shared" si="352"/>
        <v>0.29032258064516125</v>
      </c>
      <c r="BO92" s="249">
        <f>BO91/BJ91-1</f>
        <v>0.48898678414096919</v>
      </c>
      <c r="BP92" s="3">
        <f t="shared" si="352"/>
        <v>0.29545454545454541</v>
      </c>
      <c r="BQ92" s="3">
        <f t="shared" si="352"/>
        <v>0.30588235294117649</v>
      </c>
      <c r="BR92" s="3">
        <f t="shared" si="352"/>
        <v>0.2823529411764707</v>
      </c>
      <c r="BS92" s="3">
        <f t="shared" si="352"/>
        <v>0.22500000000000009</v>
      </c>
      <c r="BT92" s="249">
        <f>BT91/BO91-1</f>
        <v>0.27810650887573973</v>
      </c>
      <c r="BU92" s="3">
        <f t="shared" si="352"/>
        <v>-0.17543859649122806</v>
      </c>
      <c r="BV92" s="3">
        <f t="shared" si="352"/>
        <v>-8.108108108108103E-2</v>
      </c>
      <c r="BW92" s="3">
        <f t="shared" si="352"/>
        <v>0</v>
      </c>
      <c r="BX92" s="3">
        <f>BX91/BS91-1</f>
        <v>0.15306122448979598</v>
      </c>
      <c r="BY92" s="249">
        <f>BY91/BT91-1</f>
        <v>-3.240740740740744E-2</v>
      </c>
      <c r="BZ92" s="3">
        <f>BZ91/BU91-1</f>
        <v>0.2021276595744681</v>
      </c>
      <c r="CA92" s="3">
        <f>CA91/BV91-1</f>
        <v>0.23529411764705888</v>
      </c>
      <c r="CB92" s="3">
        <f>CB91/BW91-1</f>
        <v>0.21100917431192667</v>
      </c>
      <c r="CC92" s="3">
        <f t="shared" ref="CC92:CD92" si="353">CC91/BX91-1</f>
        <v>5.3097345132743445E-2</v>
      </c>
      <c r="CD92" s="249">
        <f t="shared" si="353"/>
        <v>0.17224880382775121</v>
      </c>
      <c r="CE92" s="3">
        <f>CE91/BZ91-1</f>
        <v>0.19469026548672574</v>
      </c>
      <c r="CF92" s="3">
        <f>CF91/CA91-1</f>
        <v>0.11111111111111116</v>
      </c>
      <c r="CG92" s="3">
        <f>CG91/CB91-1</f>
        <v>0.15909090909090917</v>
      </c>
      <c r="CH92" s="3">
        <f t="shared" ref="CH92" si="354">CH91/CC91-1</f>
        <v>0.14285714285714279</v>
      </c>
      <c r="CI92" s="249">
        <f t="shared" ref="CI92:CS92" si="355">CI91/CD91-1</f>
        <v>0.15102040816326534</v>
      </c>
      <c r="CJ92" s="3">
        <f>CJ91/CE91-1</f>
        <v>0.125925925925926</v>
      </c>
      <c r="CK92" s="3">
        <f>CK91/CF91-1</f>
        <v>0.18571428571428572</v>
      </c>
      <c r="CL92" s="3">
        <f>CL91/CG91-1</f>
        <v>-2.6143790849673221E-2</v>
      </c>
      <c r="CM92" s="3">
        <f t="shared" ref="CM92" si="356">CM91/CH91-1</f>
        <v>0.13970588235294112</v>
      </c>
      <c r="CN92" s="249">
        <f t="shared" ref="CN92" si="357">CN91/CI91-1</f>
        <v>0.10283687943262421</v>
      </c>
      <c r="CO92" s="3">
        <f t="shared" si="355"/>
        <v>2.2669999999999968E-2</v>
      </c>
      <c r="CP92" s="3">
        <f t="shared" si="355"/>
        <v>4.8599999999999755E-2</v>
      </c>
      <c r="CQ92" s="3">
        <f t="shared" si="355"/>
        <v>0.14400000000000013</v>
      </c>
      <c r="CR92" s="3">
        <f t="shared" si="355"/>
        <v>6.9199999999999928E-2</v>
      </c>
      <c r="CS92" s="249">
        <f t="shared" si="355"/>
        <v>7.0249903536977465E-2</v>
      </c>
      <c r="CT92" s="3"/>
      <c r="CU92" s="3"/>
      <c r="CV92" s="3"/>
      <c r="CW92" s="3"/>
      <c r="CX92" s="249">
        <f>CX91/CS91-1</f>
        <v>4.8599999999999977E-2</v>
      </c>
      <c r="CY92" s="3"/>
      <c r="CZ92" s="3"/>
      <c r="DA92" s="3"/>
      <c r="DB92" s="3"/>
      <c r="DC92" s="249">
        <f>DC91/CX91-1</f>
        <v>4.8599999999999977E-2</v>
      </c>
      <c r="DD92" s="25"/>
      <c r="DE92" s="178"/>
      <c r="DJ92" s="430"/>
      <c r="DK92" s="442"/>
      <c r="DL92" s="430" t="s">
        <v>462</v>
      </c>
      <c r="DM92" s="389"/>
      <c r="DN92" s="389"/>
      <c r="DO92" s="389"/>
      <c r="DP92" s="389"/>
      <c r="DQ92" s="389"/>
      <c r="DR92" s="487"/>
      <c r="DS92" s="25"/>
    </row>
    <row r="93" spans="1:131" x14ac:dyDescent="0.2">
      <c r="A93" s="80" t="s">
        <v>154</v>
      </c>
      <c r="B93" s="249"/>
      <c r="C93" s="20"/>
      <c r="D93" s="20"/>
      <c r="E93" s="20"/>
      <c r="F93" s="20"/>
      <c r="G93" s="249"/>
      <c r="H93" s="3"/>
      <c r="I93" s="3">
        <f>I91/H91-1</f>
        <v>0.15706051873198867</v>
      </c>
      <c r="J93" s="3">
        <f>J91/I91-1</f>
        <v>1.0523038605230384</v>
      </c>
      <c r="K93" s="3">
        <f>K91/J91-1</f>
        <v>-5.339805825242705E-2</v>
      </c>
      <c r="L93" s="249"/>
      <c r="M93" s="3">
        <f>M91/K91-1</f>
        <v>0.22115384615384603</v>
      </c>
      <c r="N93" s="3">
        <f>N91/M91-1</f>
        <v>-0.20944881889763778</v>
      </c>
      <c r="O93" s="3">
        <f>O91/N91-1</f>
        <v>0.81474103585657387</v>
      </c>
      <c r="P93" s="3">
        <f>P91/O91-1</f>
        <v>1.7929015733626041E-2</v>
      </c>
      <c r="Q93" s="249"/>
      <c r="R93" s="3">
        <f>R91/P91-1</f>
        <v>0.19769949676491727</v>
      </c>
      <c r="S93" s="3">
        <f>S91/R91-1</f>
        <v>0.61044417767106829</v>
      </c>
      <c r="T93" s="3">
        <f>T91/S91-1</f>
        <v>7.2493477450614963E-2</v>
      </c>
      <c r="U93" s="3">
        <f>U91/T91-1</f>
        <v>0.50495221546481317</v>
      </c>
      <c r="V93" s="249"/>
      <c r="W93" s="3">
        <f>W91/U91-1</f>
        <v>0.4430204364392103</v>
      </c>
      <c r="X93" s="3">
        <f>X91/W91-1</f>
        <v>-0.328612578012482</v>
      </c>
      <c r="Y93" s="3">
        <f>Y91/X91-1</f>
        <v>0.37266118460255049</v>
      </c>
      <c r="Z93" s="3">
        <f>Z91/Y91-1</f>
        <v>8.48237541239798E-2</v>
      </c>
      <c r="AA93" s="249"/>
      <c r="AB93" s="3">
        <f>AB91/Z91-1</f>
        <v>8.3633453381352529E-2</v>
      </c>
      <c r="AC93" s="3">
        <f>AC91/AB91-1</f>
        <v>2.8803545051698798E-3</v>
      </c>
      <c r="AD93" s="3">
        <f>AD91/AC91-1</f>
        <v>0.45901760070697395</v>
      </c>
      <c r="AE93" s="3">
        <f>AE91/AD91-1</f>
        <v>-0.1157379366040785</v>
      </c>
      <c r="AF93" s="249"/>
      <c r="AG93" s="3">
        <f>AG91/AE91-1</f>
        <v>0.19869855585364471</v>
      </c>
      <c r="AH93" s="3">
        <f>AH91/AG91-1</f>
        <v>9.5238095238095344E-2</v>
      </c>
      <c r="AI93" s="3">
        <f>AI91/AH91-1</f>
        <v>-4.3478260869565188E-2</v>
      </c>
      <c r="AJ93" s="3">
        <f>AJ91/AI91-1</f>
        <v>-9.0909090909090939E-2</v>
      </c>
      <c r="AK93" s="249"/>
      <c r="AL93" s="3">
        <f>AL91/AJ91-1</f>
        <v>0.30000000000000004</v>
      </c>
      <c r="AM93" s="3">
        <f>AM91/AL91-1</f>
        <v>3.8461538461538547E-2</v>
      </c>
      <c r="AN93" s="3">
        <f>AN91/AM91-1</f>
        <v>-7.407407407407407E-2</v>
      </c>
      <c r="AO93" s="3">
        <f>AO91/AN91-1</f>
        <v>0.12000000000000011</v>
      </c>
      <c r="AP93" s="249"/>
      <c r="AQ93" s="3">
        <f>AQ91/AO91-1</f>
        <v>0.1785714285714286</v>
      </c>
      <c r="AR93" s="3">
        <f>AR91/AQ91-1</f>
        <v>-3.0303030303030276E-2</v>
      </c>
      <c r="AS93" s="3">
        <f>AS91/AR91-1</f>
        <v>0</v>
      </c>
      <c r="AT93" s="3">
        <f>AT91/AS91-1</f>
        <v>-6.25E-2</v>
      </c>
      <c r="AU93" s="249"/>
      <c r="AV93" s="3">
        <f>AV91/AT91-1</f>
        <v>0.23333333333333339</v>
      </c>
      <c r="AW93" s="3">
        <f>AW91/AV91-1</f>
        <v>-8.108108108108103E-2</v>
      </c>
      <c r="AX93" s="3">
        <f>AX91/AW91-1</f>
        <v>0.17647058823529416</v>
      </c>
      <c r="AY93" s="3">
        <f>AY91/AX91-1</f>
        <v>-5.0000000000000044E-2</v>
      </c>
      <c r="AZ93" s="249"/>
      <c r="BA93" s="3">
        <f>BA91/AY91-1</f>
        <v>2.6315789473684292E-2</v>
      </c>
      <c r="BB93" s="3">
        <f>BB91/BA91-1</f>
        <v>5.1282051282051322E-2</v>
      </c>
      <c r="BC93" s="3">
        <f>BC91/BB91-1</f>
        <v>7.3170731707317138E-2</v>
      </c>
      <c r="BD93" s="3">
        <f>BD91/BC91-1</f>
        <v>9.0909090909090828E-2</v>
      </c>
      <c r="BE93" s="249"/>
      <c r="BF93" s="3">
        <f>BF91/BD91-1</f>
        <v>8.3333333333333259E-2</v>
      </c>
      <c r="BG93" s="3">
        <f>BG91/BF91-1</f>
        <v>3.8461538461538547E-2</v>
      </c>
      <c r="BH93" s="3">
        <f>BH91/BG91-1</f>
        <v>9.259259259259256E-2</v>
      </c>
      <c r="BI93" s="3">
        <f>BI91/BH91-1</f>
        <v>5.0847457627118731E-2</v>
      </c>
      <c r="BJ93" s="249"/>
      <c r="BK93" s="3">
        <f>BK91/BI91-1</f>
        <v>0.41935483870967749</v>
      </c>
      <c r="BL93" s="3">
        <f>BL91/BK91-1</f>
        <v>-3.4090909090909061E-2</v>
      </c>
      <c r="BM93" s="3">
        <f>BM91/BL91-1</f>
        <v>0</v>
      </c>
      <c r="BN93" s="3">
        <f>BN91/BM91-1</f>
        <v>-5.8823529411764719E-2</v>
      </c>
      <c r="BO93" s="249"/>
      <c r="BP93" s="3">
        <f>BP91/BN91-1</f>
        <v>0.42500000000000004</v>
      </c>
      <c r="BQ93" s="3">
        <f>BQ91/BP91-1</f>
        <v>-2.6315789473684181E-2</v>
      </c>
      <c r="BR93" s="3">
        <f>BR91/BQ91-1</f>
        <v>-1.8018018018018056E-2</v>
      </c>
      <c r="BS93" s="3">
        <f>BS91/BR91-1</f>
        <v>-0.1009174311926605</v>
      </c>
      <c r="BT93" s="249"/>
      <c r="BU93" s="3">
        <f>BU91/BS91-1</f>
        <v>-4.081632653061229E-2</v>
      </c>
      <c r="BV93" s="3">
        <f>BV91/BU91-1</f>
        <v>8.5106382978723305E-2</v>
      </c>
      <c r="BW93" s="3">
        <f>BW91/BV91-1</f>
        <v>6.8627450980392135E-2</v>
      </c>
      <c r="BX93" s="3">
        <f>BX91/BW91-1</f>
        <v>3.669724770642202E-2</v>
      </c>
      <c r="BY93" s="249"/>
      <c r="BZ93" s="3">
        <f>BZ91/BX91-1</f>
        <v>0</v>
      </c>
      <c r="CA93" s="3">
        <f>CA91/BZ91-1</f>
        <v>0.11504424778761058</v>
      </c>
      <c r="CB93" s="3">
        <f>CB91/CA91-1</f>
        <v>4.7619047619047672E-2</v>
      </c>
      <c r="CC93" s="3">
        <f>CC91/CB91-1</f>
        <v>-9.8484848484848508E-2</v>
      </c>
      <c r="CD93" s="249"/>
      <c r="CE93" s="3">
        <f>CE91/CC91-1</f>
        <v>0.13445378151260501</v>
      </c>
      <c r="CF93" s="3">
        <f>CF91/CE91-1</f>
        <v>3.7037037037036979E-2</v>
      </c>
      <c r="CG93" s="3">
        <f>CG91/CF91-1</f>
        <v>9.2857142857142749E-2</v>
      </c>
      <c r="CH93" s="3">
        <f>CH91/CG91-1</f>
        <v>-0.11111111111111116</v>
      </c>
      <c r="CI93" s="249"/>
      <c r="CJ93" s="3">
        <f>CJ91/CH91-1</f>
        <v>0.11764705882352944</v>
      </c>
      <c r="CK93" s="3">
        <f>CK91/CJ91-1</f>
        <v>9.210526315789469E-2</v>
      </c>
      <c r="CL93" s="3">
        <f>CL91/CK91-1</f>
        <v>-0.10240963855421692</v>
      </c>
      <c r="CM93" s="3">
        <f>CM91/CL91-1</f>
        <v>4.0268456375838868E-2</v>
      </c>
      <c r="CN93" s="249"/>
      <c r="CO93" s="3">
        <f>CO91/CM91-1</f>
        <v>2.8763870967742911E-3</v>
      </c>
      <c r="CP93" s="3">
        <f t="shared" ref="CP93:CR93" si="358">CP91/CO91-1</f>
        <v>0.11979580798045131</v>
      </c>
      <c r="CQ93" s="3">
        <f t="shared" si="358"/>
        <v>-2.0748261020430925E-2</v>
      </c>
      <c r="CR93" s="3">
        <f t="shared" si="358"/>
        <v>-2.7749096541042961E-2</v>
      </c>
      <c r="CS93" s="249"/>
      <c r="CT93" s="3"/>
      <c r="CU93" s="3"/>
      <c r="CV93" s="3"/>
      <c r="CW93" s="3"/>
      <c r="CX93" s="249"/>
      <c r="CY93" s="3"/>
      <c r="CZ93" s="3"/>
      <c r="DA93" s="3"/>
      <c r="DB93" s="3"/>
      <c r="DC93" s="249"/>
      <c r="DD93" s="25"/>
      <c r="DE93" s="178"/>
      <c r="DF93" s="361">
        <f t="shared" ref="DF93:DI94" si="359">AVERAGE(AQ93,BA93,BF93,AL93,BK93,BP93)</f>
        <v>0.23876256501468729</v>
      </c>
      <c r="DG93" s="361">
        <f t="shared" si="359"/>
        <v>6.249233222917483E-3</v>
      </c>
      <c r="DH93" s="361">
        <f t="shared" si="359"/>
        <v>1.2278538701302929E-2</v>
      </c>
      <c r="DI93" s="361">
        <f t="shared" si="359"/>
        <v>6.5859313219640741E-3</v>
      </c>
      <c r="DK93" s="430"/>
      <c r="DL93" s="430"/>
      <c r="DM93" s="592">
        <v>2014</v>
      </c>
      <c r="DN93" s="592">
        <v>2015</v>
      </c>
      <c r="DO93" s="592">
        <v>2016</v>
      </c>
      <c r="DP93" s="592">
        <v>2017</v>
      </c>
      <c r="DQ93" s="592">
        <v>2018</v>
      </c>
      <c r="DR93" s="487"/>
      <c r="DS93" s="25"/>
    </row>
    <row r="94" spans="1:131" x14ac:dyDescent="0.2">
      <c r="A94" s="39" t="str">
        <f>$A91&amp;" per ASM (cents)"</f>
        <v>Maintenance, Materials, and Repairs per ASM (cents)</v>
      </c>
      <c r="B94" s="271"/>
      <c r="C94" s="82"/>
      <c r="D94" s="82"/>
      <c r="E94" s="82"/>
      <c r="F94" s="82"/>
      <c r="G94" s="271"/>
      <c r="H94" s="82">
        <f t="shared" ref="H94:AM94" si="360">H91/H6*100</f>
        <v>9.3047950531740878E-2</v>
      </c>
      <c r="I94" s="82">
        <f t="shared" si="360"/>
        <v>8.3581058013372969E-2</v>
      </c>
      <c r="J94" s="82">
        <f t="shared" si="360"/>
        <v>0.14571008467630345</v>
      </c>
      <c r="K94" s="82">
        <f t="shared" si="360"/>
        <v>0.1138139492127139</v>
      </c>
      <c r="L94" s="271">
        <f t="shared" si="360"/>
        <v>0.11180374249067374</v>
      </c>
      <c r="M94" s="82">
        <f t="shared" si="360"/>
        <v>0.11798076387125542</v>
      </c>
      <c r="N94" s="82">
        <f t="shared" si="360"/>
        <v>7.7945751620117465E-2</v>
      </c>
      <c r="O94" s="82">
        <f t="shared" si="360"/>
        <v>0.12270715419076586</v>
      </c>
      <c r="P94" s="82">
        <f t="shared" si="360"/>
        <v>0.11281880335017506</v>
      </c>
      <c r="Q94" s="271">
        <f t="shared" si="360"/>
        <v>0.10832605779315328</v>
      </c>
      <c r="R94" s="82">
        <f t="shared" si="360"/>
        <v>0.11418502154334147</v>
      </c>
      <c r="S94" s="82">
        <f t="shared" si="360"/>
        <v>0.16383637246852803</v>
      </c>
      <c r="T94" s="82">
        <f t="shared" si="360"/>
        <v>0.15533730057511241</v>
      </c>
      <c r="U94" s="82">
        <f t="shared" si="360"/>
        <v>0.23149354632557118</v>
      </c>
      <c r="V94" s="271">
        <f t="shared" si="360"/>
        <v>0.16946383911184937</v>
      </c>
      <c r="W94" s="82">
        <f t="shared" si="360"/>
        <v>0.29626504082000316</v>
      </c>
      <c r="X94" s="82">
        <f t="shared" si="360"/>
        <v>0.18018830547619125</v>
      </c>
      <c r="Y94" s="82">
        <f t="shared" si="360"/>
        <v>0.23315411896163624</v>
      </c>
      <c r="Z94" s="82">
        <f t="shared" si="360"/>
        <v>0.24520886025273292</v>
      </c>
      <c r="AA94" s="271">
        <f t="shared" si="360"/>
        <v>0.23743788750820879</v>
      </c>
      <c r="AB94" s="82">
        <f t="shared" si="360"/>
        <v>0.26196380372216899</v>
      </c>
      <c r="AC94" s="82">
        <f t="shared" si="360"/>
        <v>0.23227053470630499</v>
      </c>
      <c r="AD94" s="82">
        <f t="shared" si="360"/>
        <v>0.31289374278845622</v>
      </c>
      <c r="AE94" s="82">
        <f t="shared" si="360"/>
        <v>0.27561289218279778</v>
      </c>
      <c r="AF94" s="271">
        <f t="shared" si="360"/>
        <v>0.27190543141751872</v>
      </c>
      <c r="AG94" s="82">
        <f t="shared" si="360"/>
        <v>0.31929451117530788</v>
      </c>
      <c r="AH94" s="82">
        <f t="shared" si="360"/>
        <v>0.31935573451818938</v>
      </c>
      <c r="AI94" s="82">
        <f t="shared" si="360"/>
        <v>0.29189332625713149</v>
      </c>
      <c r="AJ94" s="82">
        <f t="shared" si="360"/>
        <v>0.27480076944215442</v>
      </c>
      <c r="AK94" s="271">
        <f t="shared" si="360"/>
        <v>0.30076239770581242</v>
      </c>
      <c r="AL94" s="82">
        <f t="shared" si="360"/>
        <v>0.35278154681139756</v>
      </c>
      <c r="AM94" s="82">
        <f t="shared" si="360"/>
        <v>0.33473840813290356</v>
      </c>
      <c r="AN94" s="82">
        <f t="shared" ref="AN94:BS94" si="361">AN91/AN6*100</f>
        <v>0.29922202274087373</v>
      </c>
      <c r="AO94" s="82">
        <f t="shared" si="361"/>
        <v>0.34512510785159622</v>
      </c>
      <c r="AP94" s="271">
        <f t="shared" si="361"/>
        <v>0.33224674022066197</v>
      </c>
      <c r="AQ94" s="82">
        <f t="shared" si="361"/>
        <v>0.39309112567004167</v>
      </c>
      <c r="AR94" s="82">
        <f t="shared" si="361"/>
        <v>0.38172491947989984</v>
      </c>
      <c r="AS94" s="82">
        <f t="shared" si="361"/>
        <v>0.39244542555800832</v>
      </c>
      <c r="AT94" s="82">
        <f t="shared" si="361"/>
        <v>0.39946737683089217</v>
      </c>
      <c r="AU94" s="271">
        <f t="shared" si="361"/>
        <v>0.39146785031748971</v>
      </c>
      <c r="AV94" s="82">
        <f t="shared" si="361"/>
        <v>0.46585414987912976</v>
      </c>
      <c r="AW94" s="82">
        <f t="shared" si="361"/>
        <v>0.41277164016025258</v>
      </c>
      <c r="AX94" s="82">
        <f t="shared" si="361"/>
        <v>0.4767012275056608</v>
      </c>
      <c r="AY94" s="82">
        <f t="shared" si="361"/>
        <v>0.4757135703555333</v>
      </c>
      <c r="AZ94" s="271">
        <f t="shared" si="361"/>
        <v>0.45763919602928887</v>
      </c>
      <c r="BA94" s="82">
        <f t="shared" si="361"/>
        <v>0.4629838477994021</v>
      </c>
      <c r="BB94" s="82">
        <f t="shared" si="361"/>
        <v>0.47190290125903633</v>
      </c>
      <c r="BC94" s="82">
        <f t="shared" si="361"/>
        <v>0.48341023950780049</v>
      </c>
      <c r="BD94" s="82">
        <f t="shared" si="361"/>
        <v>0.56270727850141666</v>
      </c>
      <c r="BE94" s="271">
        <f t="shared" si="361"/>
        <v>0.49504896350850158</v>
      </c>
      <c r="BF94" s="82">
        <f t="shared" si="361"/>
        <v>0.61098760153409593</v>
      </c>
      <c r="BG94" s="82">
        <f t="shared" si="361"/>
        <v>0.57197330791229739</v>
      </c>
      <c r="BH94" s="82">
        <f t="shared" si="361"/>
        <v>0.59868087265347536</v>
      </c>
      <c r="BI94" s="82">
        <f t="shared" si="361"/>
        <v>0.65782493368700257</v>
      </c>
      <c r="BJ94" s="271">
        <f t="shared" si="361"/>
        <v>0.60969368371578814</v>
      </c>
      <c r="BK94" s="82">
        <f t="shared" si="361"/>
        <v>0.92281879194630878</v>
      </c>
      <c r="BL94" s="82">
        <f t="shared" si="361"/>
        <v>0.8533279791185624</v>
      </c>
      <c r="BM94" s="82">
        <f t="shared" si="361"/>
        <v>0.79409566517189834</v>
      </c>
      <c r="BN94" s="82">
        <f t="shared" si="361"/>
        <v>0.81020862872189581</v>
      </c>
      <c r="BO94" s="271">
        <f t="shared" si="361"/>
        <v>0.84341859014348086</v>
      </c>
      <c r="BP94" s="82">
        <f t="shared" si="361"/>
        <v>1.1242603550295858</v>
      </c>
      <c r="BQ94" s="82">
        <f t="shared" si="361"/>
        <v>1.033423331160972</v>
      </c>
      <c r="BR94" s="82">
        <f t="shared" si="361"/>
        <v>0.96871667259153926</v>
      </c>
      <c r="BS94" s="82">
        <f t="shared" si="361"/>
        <v>0.9166588719483677</v>
      </c>
      <c r="BT94" s="271">
        <f t="shared" ref="BT94:CE94" si="362">BT91/BT6*100</f>
        <v>1.0087801232953484</v>
      </c>
      <c r="BU94" s="82">
        <f t="shared" si="362"/>
        <v>0.90219790766868235</v>
      </c>
      <c r="BV94" s="82">
        <f t="shared" si="362"/>
        <v>0.89583699279817319</v>
      </c>
      <c r="BW94" s="82">
        <f t="shared" si="362"/>
        <v>0.92750170183798497</v>
      </c>
      <c r="BX94" s="82">
        <f t="shared" si="362"/>
        <v>0.98810772997551588</v>
      </c>
      <c r="BY94" s="271">
        <f t="shared" si="362"/>
        <v>0.9290334051963639</v>
      </c>
      <c r="BZ94" s="82">
        <f t="shared" si="362"/>
        <v>0.98957877222173563</v>
      </c>
      <c r="CA94" s="82">
        <f t="shared" si="362"/>
        <v>1.029664133366021</v>
      </c>
      <c r="CB94" s="82">
        <f t="shared" si="362"/>
        <v>1.0172626387176327</v>
      </c>
      <c r="CC94" s="82">
        <f t="shared" si="362"/>
        <v>0.94249960399176302</v>
      </c>
      <c r="CD94" s="271">
        <f t="shared" si="362"/>
        <v>0.99476227211823465</v>
      </c>
      <c r="CE94" s="82">
        <f t="shared" si="362"/>
        <v>1.036150126640571</v>
      </c>
      <c r="CF94" s="82">
        <f t="shared" ref="CF94:CJ94" si="363">CF91/CF6*100</f>
        <v>1.0296388909318233</v>
      </c>
      <c r="CG94" s="82">
        <f t="shared" si="363"/>
        <v>1.1090171064076544</v>
      </c>
      <c r="CH94" s="82">
        <f t="shared" si="363"/>
        <v>1.0304591604788604</v>
      </c>
      <c r="CI94" s="271">
        <f t="shared" si="363"/>
        <v>1.051846325997762</v>
      </c>
      <c r="CJ94" s="82">
        <f t="shared" si="363"/>
        <v>1.1192930780559647</v>
      </c>
      <c r="CK94" s="82">
        <f t="shared" ref="CK94:CN94" si="364">CK91/CK6*100</f>
        <v>1.1652393654359117</v>
      </c>
      <c r="CL94" s="82">
        <f t="shared" si="364"/>
        <v>1.0415210401230253</v>
      </c>
      <c r="CM94" s="82">
        <f t="shared" si="364"/>
        <v>1.1170366099740558</v>
      </c>
      <c r="CN94" s="271">
        <f t="shared" si="364"/>
        <v>1.1105556349092987</v>
      </c>
      <c r="CO94" s="82">
        <f>CJ94*(1+CO95)</f>
        <v>1.1081001472754051</v>
      </c>
      <c r="CP94" s="82">
        <f t="shared" ref="CP94:CR94" si="365">CK94*(1+CP95)</f>
        <v>1.1419345781271935</v>
      </c>
      <c r="CQ94" s="82">
        <f t="shared" si="365"/>
        <v>1.0831818817279464</v>
      </c>
      <c r="CR94" s="82">
        <f t="shared" si="365"/>
        <v>1.1058662438743152</v>
      </c>
      <c r="CS94" s="271">
        <f>CS91/CS6*100</f>
        <v>1.1096026205269722</v>
      </c>
      <c r="CT94" s="82"/>
      <c r="CU94" s="82"/>
      <c r="CV94" s="82"/>
      <c r="CW94" s="82"/>
      <c r="CX94" s="271">
        <f>CS94*(1+CX95)</f>
        <v>1.0874105681164328</v>
      </c>
      <c r="CY94" s="82"/>
      <c r="CZ94" s="82"/>
      <c r="DA94" s="82"/>
      <c r="DB94" s="82"/>
      <c r="DC94" s="271">
        <f>CX94*(1+DC95)</f>
        <v>1.0656623567541041</v>
      </c>
      <c r="DD94" s="366"/>
      <c r="DE94" s="463"/>
      <c r="DF94" s="761">
        <f t="shared" si="359"/>
        <v>0.64448721146513865</v>
      </c>
      <c r="DG94" s="761">
        <f t="shared" si="359"/>
        <v>0.60784847451061197</v>
      </c>
      <c r="DH94" s="761">
        <f t="shared" si="359"/>
        <v>0.58942848303726592</v>
      </c>
      <c r="DI94" s="761">
        <f t="shared" si="359"/>
        <v>0.61533203292352856</v>
      </c>
      <c r="DJ94" s="430"/>
      <c r="DK94" s="430" t="s">
        <v>338</v>
      </c>
      <c r="DL94" s="430"/>
      <c r="DM94" s="596">
        <v>11</v>
      </c>
      <c r="DN94" s="596">
        <v>28</v>
      </c>
      <c r="DO94" s="596">
        <v>28</v>
      </c>
      <c r="DP94" s="596">
        <v>15</v>
      </c>
      <c r="DQ94" s="596">
        <v>19</v>
      </c>
      <c r="DR94" s="500"/>
      <c r="DS94" s="366"/>
    </row>
    <row r="95" spans="1:131" x14ac:dyDescent="0.2">
      <c r="A95" s="12" t="s">
        <v>131</v>
      </c>
      <c r="B95" s="249"/>
      <c r="C95" s="20"/>
      <c r="D95" s="20"/>
      <c r="E95" s="20"/>
      <c r="F95" s="20"/>
      <c r="G95" s="249"/>
      <c r="H95" s="3"/>
      <c r="I95" s="3"/>
      <c r="J95" s="3"/>
      <c r="K95" s="3"/>
      <c r="L95" s="249"/>
      <c r="M95" s="3">
        <f t="shared" ref="M95:BW95" si="366">M94/H94-1</f>
        <v>0.26795660943665123</v>
      </c>
      <c r="N95" s="3">
        <f t="shared" si="366"/>
        <v>-6.742324788893983E-2</v>
      </c>
      <c r="O95" s="3">
        <f t="shared" si="366"/>
        <v>-0.15786779986188915</v>
      </c>
      <c r="P95" s="3">
        <f t="shared" si="366"/>
        <v>-8.7436194721522975E-3</v>
      </c>
      <c r="Q95" s="249">
        <f t="shared" si="366"/>
        <v>-3.1105261953199403E-2</v>
      </c>
      <c r="R95" s="3">
        <f t="shared" si="366"/>
        <v>-3.2172552570146062E-2</v>
      </c>
      <c r="S95" s="3">
        <f t="shared" si="366"/>
        <v>1.1019281880430616</v>
      </c>
      <c r="T95" s="3">
        <f t="shared" si="366"/>
        <v>0.26591885859905373</v>
      </c>
      <c r="U95" s="3">
        <f t="shared" si="366"/>
        <v>1.0519057058870316</v>
      </c>
      <c r="V95" s="249">
        <f t="shared" si="366"/>
        <v>0.56438665418285239</v>
      </c>
      <c r="W95" s="3">
        <f t="shared" si="366"/>
        <v>1.5946051138375377</v>
      </c>
      <c r="X95" s="3">
        <f t="shared" si="366"/>
        <v>9.9806488396246174E-2</v>
      </c>
      <c r="Y95" s="3">
        <f t="shared" si="366"/>
        <v>0.50095384752032546</v>
      </c>
      <c r="Z95" s="3">
        <f t="shared" si="366"/>
        <v>5.9247068200651176E-2</v>
      </c>
      <c r="AA95" s="249">
        <f t="shared" si="366"/>
        <v>0.4011124069453853</v>
      </c>
      <c r="AB95" s="3">
        <f t="shared" si="366"/>
        <v>-0.11577888839970829</v>
      </c>
      <c r="AC95" s="3">
        <f t="shared" si="366"/>
        <v>0.2890433377042636</v>
      </c>
      <c r="AD95" s="3">
        <f t="shared" si="366"/>
        <v>0.34200392505156874</v>
      </c>
      <c r="AE95" s="3">
        <f t="shared" si="366"/>
        <v>0.1239923871377564</v>
      </c>
      <c r="AF95" s="249">
        <f t="shared" si="366"/>
        <v>0.14516446499347446</v>
      </c>
      <c r="AG95" s="3">
        <f t="shared" si="366"/>
        <v>0.2188497290027982</v>
      </c>
      <c r="AH95" s="3">
        <f t="shared" si="366"/>
        <v>0.37493003545197623</v>
      </c>
      <c r="AI95" s="3">
        <f t="shared" si="366"/>
        <v>-6.7116767322262683E-2</v>
      </c>
      <c r="AJ95" s="3">
        <f t="shared" si="366"/>
        <v>-2.9466065038231681E-3</v>
      </c>
      <c r="AK95" s="249">
        <f t="shared" si="366"/>
        <v>0.1061286864990314</v>
      </c>
      <c r="AL95" s="3">
        <f t="shared" si="366"/>
        <v>0.10487820637074363</v>
      </c>
      <c r="AM95" s="3">
        <f t="shared" si="366"/>
        <v>4.8167832770944052E-2</v>
      </c>
      <c r="AN95" s="3">
        <f t="shared" si="366"/>
        <v>2.5107447908166103E-2</v>
      </c>
      <c r="AO95" s="3">
        <f t="shared" si="366"/>
        <v>0.25591026747195866</v>
      </c>
      <c r="AP95" s="249">
        <f t="shared" si="366"/>
        <v>0.10468177789181499</v>
      </c>
      <c r="AQ95" s="3">
        <f t="shared" si="366"/>
        <v>0.11426215238007975</v>
      </c>
      <c r="AR95" s="3">
        <f t="shared" si="366"/>
        <v>0.1403678520462488</v>
      </c>
      <c r="AS95" s="3">
        <f t="shared" si="366"/>
        <v>0.31155261221486374</v>
      </c>
      <c r="AT95" s="3">
        <f t="shared" si="366"/>
        <v>0.15745672436751001</v>
      </c>
      <c r="AU95" s="249">
        <f t="shared" si="366"/>
        <v>0.1782443675970935</v>
      </c>
      <c r="AV95" s="3">
        <f t="shared" si="366"/>
        <v>0.18510472370766506</v>
      </c>
      <c r="AW95" s="3">
        <f t="shared" si="366"/>
        <v>8.1332706082311468E-2</v>
      </c>
      <c r="AX95" s="3">
        <f t="shared" si="366"/>
        <v>0.21469431533786199</v>
      </c>
      <c r="AY95" s="3">
        <f t="shared" si="366"/>
        <v>0.19086963779001831</v>
      </c>
      <c r="AZ95" s="249">
        <f>AZ94/AU94-1</f>
        <v>0.16903392106946358</v>
      </c>
      <c r="BA95" s="3">
        <f t="shared" si="366"/>
        <v>-6.1613749291969944E-3</v>
      </c>
      <c r="BB95" s="3">
        <f t="shared" si="366"/>
        <v>0.1432541757854946</v>
      </c>
      <c r="BC95" s="3">
        <f t="shared" si="366"/>
        <v>1.4073829927488513E-2</v>
      </c>
      <c r="BD95" s="3">
        <f t="shared" si="366"/>
        <v>0.18286993175508326</v>
      </c>
      <c r="BE95" s="249">
        <f>BE94/AZ94-1</f>
        <v>8.1745112315114055E-2</v>
      </c>
      <c r="BF95" s="3">
        <f>BF94/BA94-1</f>
        <v>0.31967368718836964</v>
      </c>
      <c r="BG95" s="3">
        <f t="shared" si="366"/>
        <v>0.21205719733079276</v>
      </c>
      <c r="BH95" s="3">
        <f t="shared" si="366"/>
        <v>0.23845302338453012</v>
      </c>
      <c r="BI95" s="3">
        <f t="shared" si="366"/>
        <v>0.16903576480990279</v>
      </c>
      <c r="BJ95" s="249">
        <f>BJ94/BE94-1</f>
        <v>0.23158258810356602</v>
      </c>
      <c r="BK95" s="3">
        <f>BK94/BF94-1</f>
        <v>0.51037237028910676</v>
      </c>
      <c r="BL95" s="3">
        <f t="shared" si="366"/>
        <v>0.49190175015895332</v>
      </c>
      <c r="BM95" s="3">
        <f t="shared" si="366"/>
        <v>0.32640894580831503</v>
      </c>
      <c r="BN95" s="3">
        <f t="shared" si="366"/>
        <v>0.23164779446836592</v>
      </c>
      <c r="BO95" s="249">
        <f>BO94/BJ94-1</f>
        <v>0.38334808555544231</v>
      </c>
      <c r="BP95" s="3">
        <f t="shared" si="366"/>
        <v>0.21828940290478749</v>
      </c>
      <c r="BQ95" s="3">
        <f t="shared" si="366"/>
        <v>0.21105056490522833</v>
      </c>
      <c r="BR95" s="3">
        <f t="shared" si="366"/>
        <v>0.21989920746115721</v>
      </c>
      <c r="BS95" s="3">
        <f t="shared" si="366"/>
        <v>0.13138621270227291</v>
      </c>
      <c r="BT95" s="249">
        <f>BT94/BO94-1</f>
        <v>0.19606104855210327</v>
      </c>
      <c r="BU95" s="3">
        <f t="shared" si="366"/>
        <v>-0.19751870317890885</v>
      </c>
      <c r="BV95" s="3">
        <f t="shared" si="366"/>
        <v>-0.13313647390583982</v>
      </c>
      <c r="BW95" s="3">
        <f t="shared" si="366"/>
        <v>-4.2545949625595658E-2</v>
      </c>
      <c r="BX95" s="3">
        <f t="shared" ref="BX95:CG95" si="367">BX94/BS94-1</f>
        <v>7.7944871547779737E-2</v>
      </c>
      <c r="BY95" s="249">
        <f t="shared" si="367"/>
        <v>-7.9052626293308115E-2</v>
      </c>
      <c r="BZ95" s="3">
        <f t="shared" si="367"/>
        <v>9.6853322104070383E-2</v>
      </c>
      <c r="CA95" s="3">
        <f t="shared" si="367"/>
        <v>0.14938782573583476</v>
      </c>
      <c r="CB95" s="3">
        <f t="shared" si="367"/>
        <v>9.6777112863267956E-2</v>
      </c>
      <c r="CC95" s="3">
        <f t="shared" si="367"/>
        <v>-4.6157037942495371E-2</v>
      </c>
      <c r="CD95" s="249">
        <f t="shared" si="367"/>
        <v>7.0749734675017439E-2</v>
      </c>
      <c r="CE95" s="3">
        <f t="shared" si="367"/>
        <v>4.7061796115812626E-2</v>
      </c>
      <c r="CF95" s="3">
        <f t="shared" si="367"/>
        <v>-2.4515211688780347E-5</v>
      </c>
      <c r="CG95" s="3">
        <f t="shared" si="367"/>
        <v>9.019742217770621E-2</v>
      </c>
      <c r="CH95" s="3">
        <f t="shared" ref="CH95" si="368">CH94/CC94-1</f>
        <v>9.3325828588747273E-2</v>
      </c>
      <c r="CI95" s="249">
        <f t="shared" ref="CI95:CL95" si="369">CI94/CD94-1</f>
        <v>5.7384618897913464E-2</v>
      </c>
      <c r="CJ95" s="3">
        <f t="shared" si="369"/>
        <v>8.0242186221567646E-2</v>
      </c>
      <c r="CK95" s="3">
        <f t="shared" si="369"/>
        <v>0.13169711798800643</v>
      </c>
      <c r="CL95" s="3">
        <f t="shared" si="369"/>
        <v>-6.0861158853774078E-2</v>
      </c>
      <c r="CM95" s="3">
        <f t="shared" ref="CM95" si="370">CM94/CH94-1</f>
        <v>8.4018321943940322E-2</v>
      </c>
      <c r="CN95" s="249">
        <f t="shared" ref="CN95" si="371">CN94/CI94-1</f>
        <v>5.5815481273698619E-2</v>
      </c>
      <c r="CO95" s="35">
        <v>-0.01</v>
      </c>
      <c r="CP95" s="35">
        <v>-0.02</v>
      </c>
      <c r="CQ95" s="35">
        <v>0.04</v>
      </c>
      <c r="CR95" s="35">
        <v>-0.01</v>
      </c>
      <c r="CS95" s="249">
        <f>CS94/CN94-1</f>
        <v>-8.5814195378353109E-4</v>
      </c>
      <c r="CT95" s="3"/>
      <c r="CU95" s="3"/>
      <c r="CV95" s="35"/>
      <c r="CW95" s="35"/>
      <c r="CX95" s="419">
        <v>-0.02</v>
      </c>
      <c r="CY95" s="3"/>
      <c r="CZ95" s="3"/>
      <c r="DA95" s="35"/>
      <c r="DB95" s="35"/>
      <c r="DC95" s="419">
        <v>-0.02</v>
      </c>
      <c r="DD95" s="25"/>
      <c r="DE95" s="178"/>
      <c r="DF95" s="760"/>
      <c r="DJ95" s="430"/>
      <c r="DK95" s="430" t="s">
        <v>339</v>
      </c>
      <c r="DL95" s="430"/>
      <c r="DM95" s="597">
        <v>110</v>
      </c>
      <c r="DN95" s="597">
        <v>123</v>
      </c>
      <c r="DO95" s="597">
        <v>131</v>
      </c>
      <c r="DP95" s="597">
        <v>125</v>
      </c>
      <c r="DQ95" s="597">
        <v>151</v>
      </c>
      <c r="DR95" s="487"/>
      <c r="DS95" s="25"/>
    </row>
    <row r="96" spans="1:131" x14ac:dyDescent="0.2">
      <c r="A96" s="8" t="s">
        <v>332</v>
      </c>
      <c r="B96" s="846">
        <v>7.7389999999999999</v>
      </c>
      <c r="C96" s="437"/>
      <c r="D96" s="437"/>
      <c r="E96" s="437"/>
      <c r="F96" s="437"/>
      <c r="G96" s="846">
        <v>57.186</v>
      </c>
      <c r="H96" s="9">
        <v>23.429000000000002</v>
      </c>
      <c r="I96" s="9">
        <v>26.805</v>
      </c>
      <c r="J96" s="9">
        <v>30.792000000000002</v>
      </c>
      <c r="K96" s="9">
        <v>38.540999999999997</v>
      </c>
      <c r="L96" s="10">
        <f>SUM(H96:K96)</f>
        <v>119.56700000000001</v>
      </c>
      <c r="M96" s="9">
        <v>47.338000000000001</v>
      </c>
      <c r="N96" s="9">
        <v>49.491999999999997</v>
      </c>
      <c r="O96" s="9">
        <v>60.163000000000004</v>
      </c>
      <c r="P96" s="9">
        <v>58.055999999999997</v>
      </c>
      <c r="Q96" s="10">
        <f>SUM(M96:P96)</f>
        <v>215.04899999999998</v>
      </c>
      <c r="R96" s="9">
        <v>63.076999999999998</v>
      </c>
      <c r="S96" s="9">
        <v>67.129000000000005</v>
      </c>
      <c r="T96" s="9">
        <v>76.441000000000003</v>
      </c>
      <c r="U96" s="9">
        <v>74.747</v>
      </c>
      <c r="V96" s="10">
        <f>SUM(R96:U96)</f>
        <v>281.39400000000001</v>
      </c>
      <c r="W96" s="9">
        <v>83.441000000000003</v>
      </c>
      <c r="X96" s="9">
        <v>89.725999999999999</v>
      </c>
      <c r="Y96" s="9">
        <v>96.855000000000004</v>
      </c>
      <c r="Z96" s="9">
        <f>((58.993-2)+16.775)+23.097</f>
        <v>96.865000000000009</v>
      </c>
      <c r="AA96" s="10">
        <f>SUM(W96:Z96)</f>
        <v>366.887</v>
      </c>
      <c r="AB96" s="9">
        <v>107.80799999999999</v>
      </c>
      <c r="AC96" s="9">
        <v>113.54899999999999</v>
      </c>
      <c r="AD96" s="9">
        <v>125.69799999999999</v>
      </c>
      <c r="AE96" s="9">
        <f>((86.202-6.1)+19.749)+32.084</f>
        <v>131.935</v>
      </c>
      <c r="AF96" s="10">
        <f>SUM(AB96:AE96)</f>
        <v>478.98999999999995</v>
      </c>
      <c r="AG96" s="9">
        <v>146</v>
      </c>
      <c r="AH96" s="9">
        <v>154</v>
      </c>
      <c r="AI96" s="9">
        <v>154</v>
      </c>
      <c r="AJ96" s="9">
        <f>((76)+27)+41</f>
        <v>144</v>
      </c>
      <c r="AK96" s="10">
        <f>SUM(AG96:AJ96)</f>
        <v>598</v>
      </c>
      <c r="AL96" s="9">
        <v>169</v>
      </c>
      <c r="AM96" s="9">
        <v>173</v>
      </c>
      <c r="AN96" s="9">
        <v>177</v>
      </c>
      <c r="AO96" s="9">
        <v>171</v>
      </c>
      <c r="AP96" s="10">
        <f>SUM(AL96:AO96)</f>
        <v>690</v>
      </c>
      <c r="AQ96" s="9">
        <v>202.8</v>
      </c>
      <c r="AR96" s="9">
        <v>190</v>
      </c>
      <c r="AS96" s="9">
        <v>194</v>
      </c>
      <c r="AT96" s="9">
        <f>((104-8.4)+33)+48</f>
        <v>176.6</v>
      </c>
      <c r="AU96" s="10">
        <f>SUM(AQ96:AT96)</f>
        <v>763.4</v>
      </c>
      <c r="AV96" s="9">
        <v>187.4</v>
      </c>
      <c r="AW96" s="9">
        <v>181.9</v>
      </c>
      <c r="AX96" s="9">
        <v>204.7</v>
      </c>
      <c r="AY96" s="9">
        <v>209</v>
      </c>
      <c r="AZ96" s="10">
        <f>SUM(AV96:AY96)</f>
        <v>783</v>
      </c>
      <c r="BA96" s="9">
        <f>((134)+40)+54</f>
        <v>228</v>
      </c>
      <c r="BB96" s="9">
        <v>222</v>
      </c>
      <c r="BC96" s="9">
        <v>242</v>
      </c>
      <c r="BD96" s="9">
        <v>230.4</v>
      </c>
      <c r="BE96" s="10">
        <f>SUM(BA96:BD96)</f>
        <v>922.4</v>
      </c>
      <c r="BF96" s="9">
        <v>237</v>
      </c>
      <c r="BG96" s="9">
        <v>243</v>
      </c>
      <c r="BH96" s="9">
        <v>249</v>
      </c>
      <c r="BI96" s="9">
        <f>SUM(BI102:BI104)</f>
        <v>247</v>
      </c>
      <c r="BJ96" s="10">
        <f>SUM(BF96:BI96)</f>
        <v>976</v>
      </c>
      <c r="BK96" s="9">
        <f>SUM(BK102:BK104)</f>
        <v>244</v>
      </c>
      <c r="BL96" s="9">
        <f>SUM(BL102:BL104)</f>
        <v>251</v>
      </c>
      <c r="BM96" s="9">
        <f>SUM(BM102:BM104)</f>
        <v>269</v>
      </c>
      <c r="BN96" s="9">
        <f>SUM(BN102:BN104)</f>
        <v>266</v>
      </c>
      <c r="BO96" s="10">
        <f>SUM(BK96:BN96)</f>
        <v>1030</v>
      </c>
      <c r="BP96" s="9">
        <f>SUM(BP102:BP104)</f>
        <v>279</v>
      </c>
      <c r="BQ96" s="9">
        <f>SUM(BQ102:BQ104)</f>
        <v>274</v>
      </c>
      <c r="BR96" s="9">
        <f>SUM(BR102:BR104)</f>
        <v>292</v>
      </c>
      <c r="BS96" s="9">
        <f>SUM(BS102:BS104)</f>
        <v>284</v>
      </c>
      <c r="BT96" s="10">
        <f>SUM(BP96:BS96)</f>
        <v>1129</v>
      </c>
      <c r="BU96" s="9">
        <f>SUM(BU102:BU104)</f>
        <v>312</v>
      </c>
      <c r="BV96" s="9">
        <f>SUM(BV102:BV104)</f>
        <v>329</v>
      </c>
      <c r="BW96" s="9">
        <f>SUM(BW102:BW104)</f>
        <v>313</v>
      </c>
      <c r="BX96" s="9">
        <f>SUM(BX102:BX104)</f>
        <v>280</v>
      </c>
      <c r="BY96" s="10">
        <f>SUM(BU96:BX96)</f>
        <v>1234</v>
      </c>
      <c r="BZ96" s="9">
        <f>SUM(BZ102:BZ104)</f>
        <v>329</v>
      </c>
      <c r="CA96" s="9">
        <f>SUM(CA102:CA104)</f>
        <v>346</v>
      </c>
      <c r="CB96" s="9">
        <f>SUM(CB102:CB104)</f>
        <v>359</v>
      </c>
      <c r="CC96" s="9">
        <f>SUM(CC102:CC104)</f>
        <v>321</v>
      </c>
      <c r="CD96" s="10">
        <f>SUM(BZ96:CC96)</f>
        <v>1355</v>
      </c>
      <c r="CE96" s="9">
        <f>SUM(CE102:CE104)</f>
        <v>363</v>
      </c>
      <c r="CF96" s="9">
        <f>SUM(CF102:CF104)</f>
        <v>377</v>
      </c>
      <c r="CG96" s="9">
        <f>SUM(CG102:CG104)</f>
        <v>381</v>
      </c>
      <c r="CH96" s="9">
        <f>SUM(CH102:CH104)</f>
        <v>361</v>
      </c>
      <c r="CI96" s="10">
        <f>SUM(CE96:CH96)</f>
        <v>1482</v>
      </c>
      <c r="CJ96" s="9">
        <f>SUM(CJ102:CJ104)</f>
        <v>385</v>
      </c>
      <c r="CK96" s="9">
        <f>SUM(CK102:CK104)</f>
        <v>400</v>
      </c>
      <c r="CL96" s="9">
        <f>SUM(CL102:CL104)</f>
        <v>401</v>
      </c>
      <c r="CM96" s="9">
        <f>SUM(CM102:CM104)</f>
        <v>410</v>
      </c>
      <c r="CN96" s="10">
        <f>SUM(CJ96:CM96)</f>
        <v>1596</v>
      </c>
      <c r="CO96" s="9">
        <f t="shared" ref="CO96" si="372">CO99*CO6/100</f>
        <v>419.57877500000001</v>
      </c>
      <c r="CP96" s="9">
        <f t="shared" ref="CP96:CR96" si="373">CP99*CP6/100</f>
        <v>449.40000000000009</v>
      </c>
      <c r="CQ96" s="9">
        <f t="shared" si="373"/>
        <v>443.30549999999994</v>
      </c>
      <c r="CR96" s="9">
        <f t="shared" si="373"/>
        <v>420.66000000000008</v>
      </c>
      <c r="CS96" s="10">
        <f>SUM(CO96:CR96)</f>
        <v>1732.9442750000001</v>
      </c>
      <c r="CT96" s="9"/>
      <c r="CU96" s="9"/>
      <c r="CV96" s="9"/>
      <c r="CW96" s="9"/>
      <c r="CX96" s="10">
        <f>CX99*CX6/100</f>
        <v>1835.7078705074998</v>
      </c>
      <c r="CY96" s="9"/>
      <c r="CZ96" s="9"/>
      <c r="DA96" s="9"/>
      <c r="DB96" s="9"/>
      <c r="DC96" s="10">
        <f>DC99*DC6/100</f>
        <v>1934.7443101213801</v>
      </c>
      <c r="DD96" s="364"/>
      <c r="DE96" s="456"/>
      <c r="DF96" s="364"/>
      <c r="DG96" s="364"/>
      <c r="DH96" s="364"/>
      <c r="DI96" s="364"/>
      <c r="DJ96" s="430"/>
      <c r="DK96" s="430"/>
      <c r="DL96" s="430"/>
      <c r="DM96" s="765">
        <f>+SUM(DM94:DM95)</f>
        <v>121</v>
      </c>
      <c r="DN96" s="765">
        <f t="shared" ref="DN96:DQ96" si="374">+SUM(DN94:DN95)</f>
        <v>151</v>
      </c>
      <c r="DO96" s="765">
        <f t="shared" si="374"/>
        <v>159</v>
      </c>
      <c r="DP96" s="765">
        <f t="shared" si="374"/>
        <v>140</v>
      </c>
      <c r="DQ96" s="765">
        <f t="shared" si="374"/>
        <v>170</v>
      </c>
      <c r="DR96" s="456"/>
      <c r="DS96" s="364"/>
      <c r="DZ96" s="9"/>
      <c r="EA96" s="342"/>
    </row>
    <row r="97" spans="1:154" x14ac:dyDescent="0.2">
      <c r="A97" s="11" t="s">
        <v>131</v>
      </c>
      <c r="B97" s="249"/>
      <c r="C97" s="20"/>
      <c r="D97" s="20"/>
      <c r="E97" s="20"/>
      <c r="F97" s="20"/>
      <c r="G97" s="249"/>
      <c r="H97" s="3"/>
      <c r="I97" s="3"/>
      <c r="J97" s="3"/>
      <c r="K97" s="3"/>
      <c r="L97" s="249">
        <f t="shared" ref="L97:BW97" si="375">L96/G96-1</f>
        <v>1.0908439128458016</v>
      </c>
      <c r="M97" s="3">
        <f t="shared" si="375"/>
        <v>1.0204874301079858</v>
      </c>
      <c r="N97" s="3">
        <f t="shared" si="375"/>
        <v>0.8463719455325498</v>
      </c>
      <c r="O97" s="3">
        <f t="shared" si="375"/>
        <v>0.95385164977916337</v>
      </c>
      <c r="P97" s="3">
        <f t="shared" si="375"/>
        <v>0.50634389351599607</v>
      </c>
      <c r="Q97" s="249">
        <f t="shared" si="375"/>
        <v>0.79856482139720786</v>
      </c>
      <c r="R97" s="3">
        <f t="shared" si="375"/>
        <v>0.33248130466010384</v>
      </c>
      <c r="S97" s="3">
        <f t="shared" si="375"/>
        <v>0.35636062393922274</v>
      </c>
      <c r="T97" s="3">
        <f t="shared" si="375"/>
        <v>0.27056496517793316</v>
      </c>
      <c r="U97" s="3">
        <f t="shared" si="375"/>
        <v>0.28749827752514823</v>
      </c>
      <c r="V97" s="249">
        <f t="shared" si="375"/>
        <v>0.30851108352050005</v>
      </c>
      <c r="W97" s="3">
        <f t="shared" si="375"/>
        <v>0.3228435087274284</v>
      </c>
      <c r="X97" s="3">
        <f t="shared" si="375"/>
        <v>0.33662053657882574</v>
      </c>
      <c r="Y97" s="3">
        <f t="shared" si="375"/>
        <v>0.2670556376813491</v>
      </c>
      <c r="Z97" s="3">
        <f t="shared" si="375"/>
        <v>0.29590485236865716</v>
      </c>
      <c r="AA97" s="249">
        <f t="shared" si="375"/>
        <v>0.30381955549869577</v>
      </c>
      <c r="AB97" s="3">
        <f t="shared" si="375"/>
        <v>0.29202670150165977</v>
      </c>
      <c r="AC97" s="3">
        <f t="shared" si="375"/>
        <v>0.26550832534605351</v>
      </c>
      <c r="AD97" s="3">
        <f t="shared" si="375"/>
        <v>0.2977956739455887</v>
      </c>
      <c r="AE97" s="3">
        <f t="shared" si="375"/>
        <v>0.36205027615753882</v>
      </c>
      <c r="AF97" s="249">
        <f t="shared" si="375"/>
        <v>0.30555184566365101</v>
      </c>
      <c r="AG97" s="3">
        <f t="shared" si="375"/>
        <v>0.35425942416147227</v>
      </c>
      <c r="AH97" s="3">
        <f t="shared" si="375"/>
        <v>0.35624267937190113</v>
      </c>
      <c r="AI97" s="3">
        <f t="shared" si="375"/>
        <v>0.22515871374246221</v>
      </c>
      <c r="AJ97" s="3">
        <f t="shared" si="375"/>
        <v>9.1446545647478006E-2</v>
      </c>
      <c r="AK97" s="249">
        <f t="shared" si="375"/>
        <v>0.24846030188521695</v>
      </c>
      <c r="AL97" s="3">
        <f t="shared" si="375"/>
        <v>0.15753424657534243</v>
      </c>
      <c r="AM97" s="3">
        <f t="shared" si="375"/>
        <v>0.12337662337662336</v>
      </c>
      <c r="AN97" s="3">
        <f t="shared" si="375"/>
        <v>0.14935064935064934</v>
      </c>
      <c r="AO97" s="3">
        <f t="shared" si="375"/>
        <v>0.1875</v>
      </c>
      <c r="AP97" s="249">
        <f t="shared" si="375"/>
        <v>0.15384615384615374</v>
      </c>
      <c r="AQ97" s="3">
        <f t="shared" si="375"/>
        <v>0.20000000000000018</v>
      </c>
      <c r="AR97" s="3">
        <f t="shared" si="375"/>
        <v>9.8265895953757232E-2</v>
      </c>
      <c r="AS97" s="3">
        <f t="shared" si="375"/>
        <v>9.6045197740112886E-2</v>
      </c>
      <c r="AT97" s="3">
        <f t="shared" si="375"/>
        <v>3.274853801169586E-2</v>
      </c>
      <c r="AU97" s="249">
        <f t="shared" si="375"/>
        <v>0.10637681159420276</v>
      </c>
      <c r="AV97" s="3">
        <f t="shared" si="375"/>
        <v>-7.5936883629191376E-2</v>
      </c>
      <c r="AW97" s="3">
        <f t="shared" si="375"/>
        <v>-4.2631578947368354E-2</v>
      </c>
      <c r="AX97" s="3">
        <f t="shared" si="375"/>
        <v>5.5154639175257758E-2</v>
      </c>
      <c r="AY97" s="3">
        <f t="shared" si="375"/>
        <v>0.18346545866364661</v>
      </c>
      <c r="AZ97" s="249">
        <f t="shared" si="375"/>
        <v>2.56746135708672E-2</v>
      </c>
      <c r="BA97" s="3">
        <f t="shared" si="375"/>
        <v>0.21664887940234778</v>
      </c>
      <c r="BB97" s="3">
        <f t="shared" si="375"/>
        <v>0.22045079714128635</v>
      </c>
      <c r="BC97" s="3">
        <f t="shared" si="375"/>
        <v>0.18221787982413296</v>
      </c>
      <c r="BD97" s="3">
        <f t="shared" si="375"/>
        <v>0.10239234449760759</v>
      </c>
      <c r="BE97" s="249">
        <f>BE96/AZ96-1</f>
        <v>0.17803320561941249</v>
      </c>
      <c r="BF97" s="3">
        <f>BF96/BA96-1</f>
        <v>3.9473684210526327E-2</v>
      </c>
      <c r="BG97" s="3">
        <f t="shared" si="375"/>
        <v>9.4594594594594517E-2</v>
      </c>
      <c r="BH97" s="3">
        <f t="shared" si="375"/>
        <v>2.8925619834710758E-2</v>
      </c>
      <c r="BI97" s="3">
        <f t="shared" si="375"/>
        <v>7.204861111111116E-2</v>
      </c>
      <c r="BJ97" s="249">
        <f>BJ96/BE96-1</f>
        <v>5.8109280138768371E-2</v>
      </c>
      <c r="BK97" s="3">
        <f>BK96/BF96-1</f>
        <v>2.9535864978903037E-2</v>
      </c>
      <c r="BL97" s="3">
        <f t="shared" si="375"/>
        <v>3.292181069958855E-2</v>
      </c>
      <c r="BM97" s="3">
        <f t="shared" si="375"/>
        <v>8.032128514056236E-2</v>
      </c>
      <c r="BN97" s="3">
        <f t="shared" si="375"/>
        <v>7.6923076923076872E-2</v>
      </c>
      <c r="BO97" s="249">
        <f>BO96/BJ96-1</f>
        <v>5.5327868852458995E-2</v>
      </c>
      <c r="BP97" s="3">
        <f t="shared" si="375"/>
        <v>0.14344262295081966</v>
      </c>
      <c r="BQ97" s="3">
        <f t="shared" si="375"/>
        <v>9.1633466135458086E-2</v>
      </c>
      <c r="BR97" s="3">
        <f t="shared" si="375"/>
        <v>8.5501858736059422E-2</v>
      </c>
      <c r="BS97" s="3">
        <f t="shared" si="375"/>
        <v>6.7669172932330879E-2</v>
      </c>
      <c r="BT97" s="249">
        <f>BT96/BO96-1</f>
        <v>9.6116504854368845E-2</v>
      </c>
      <c r="BU97" s="3">
        <f t="shared" si="375"/>
        <v>0.11827956989247301</v>
      </c>
      <c r="BV97" s="3">
        <f t="shared" si="375"/>
        <v>0.2007299270072993</v>
      </c>
      <c r="BW97" s="3">
        <f t="shared" si="375"/>
        <v>7.1917808219178037E-2</v>
      </c>
      <c r="BX97" s="3">
        <f>BX96/BS96-1</f>
        <v>-1.4084507042253502E-2</v>
      </c>
      <c r="BY97" s="249">
        <f>BY96/BT96-1</f>
        <v>9.3002657218777651E-2</v>
      </c>
      <c r="BZ97" s="3">
        <f>BZ96/BU96-1</f>
        <v>5.4487179487179516E-2</v>
      </c>
      <c r="CA97" s="3">
        <f>CA96/BV96-1</f>
        <v>5.1671732522796443E-2</v>
      </c>
      <c r="CB97" s="3">
        <f>CB96/BW96-1</f>
        <v>0.14696485623003186</v>
      </c>
      <c r="CC97" s="3">
        <f t="shared" ref="CC97:CD97" si="376">CC96/BX96-1</f>
        <v>0.14642857142857135</v>
      </c>
      <c r="CD97" s="249">
        <f t="shared" si="376"/>
        <v>9.8055105348460181E-2</v>
      </c>
      <c r="CE97" s="3">
        <f>CE96/BZ96-1</f>
        <v>0.10334346504559266</v>
      </c>
      <c r="CF97" s="3">
        <f>CF96/CA96-1</f>
        <v>8.9595375722543391E-2</v>
      </c>
      <c r="CG97" s="3">
        <f>CG96/CB96-1</f>
        <v>6.1281337047353723E-2</v>
      </c>
      <c r="CH97" s="3">
        <f t="shared" ref="CH97" si="377">CH96/CC96-1</f>
        <v>0.12461059190031154</v>
      </c>
      <c r="CI97" s="249">
        <f t="shared" ref="CI97:CS97" si="378">CI96/CD96-1</f>
        <v>9.3726937269372756E-2</v>
      </c>
      <c r="CJ97" s="3">
        <f>CJ96/CE96-1</f>
        <v>6.0606060606060552E-2</v>
      </c>
      <c r="CK97" s="3">
        <f>CK96/CF96-1</f>
        <v>6.1007957559681802E-2</v>
      </c>
      <c r="CL97" s="3">
        <f>CL96/CG96-1</f>
        <v>5.2493438320210029E-2</v>
      </c>
      <c r="CM97" s="3">
        <f t="shared" ref="CM97" si="379">CM96/CH96-1</f>
        <v>0.1357340720221607</v>
      </c>
      <c r="CN97" s="249">
        <f t="shared" ref="CN97" si="380">CN96/CI96-1</f>
        <v>7.6923076923076872E-2</v>
      </c>
      <c r="CO97" s="3">
        <f t="shared" si="378"/>
        <v>8.9814999999999978E-2</v>
      </c>
      <c r="CP97" s="3">
        <f t="shared" si="378"/>
        <v>0.12350000000000017</v>
      </c>
      <c r="CQ97" s="3">
        <f t="shared" si="378"/>
        <v>0.10549999999999993</v>
      </c>
      <c r="CR97" s="3">
        <f t="shared" si="378"/>
        <v>2.6000000000000245E-2</v>
      </c>
      <c r="CS97" s="249">
        <f t="shared" si="378"/>
        <v>8.5804683583959873E-2</v>
      </c>
      <c r="CT97" s="3"/>
      <c r="CU97" s="3"/>
      <c r="CV97" s="3"/>
      <c r="CW97" s="3"/>
      <c r="CX97" s="249">
        <f>CX96/CS96-1</f>
        <v>5.9299999999999908E-2</v>
      </c>
      <c r="CY97" s="3"/>
      <c r="CZ97" s="3"/>
      <c r="DA97" s="3"/>
      <c r="DB97" s="3"/>
      <c r="DC97" s="249">
        <f>DC96/CX96-1</f>
        <v>5.3950000000000387E-2</v>
      </c>
      <c r="DD97" s="25"/>
      <c r="DE97" s="178"/>
      <c r="DJ97" s="430"/>
      <c r="DK97" s="389"/>
      <c r="DL97" s="430"/>
      <c r="DM97" s="766"/>
      <c r="DN97" s="767"/>
      <c r="DO97" s="767"/>
      <c r="DP97" s="767"/>
      <c r="DQ97" s="767"/>
      <c r="DR97" s="487"/>
      <c r="DS97" s="25"/>
    </row>
    <row r="98" spans="1:154" x14ac:dyDescent="0.2">
      <c r="A98" s="80" t="s">
        <v>154</v>
      </c>
      <c r="B98" s="249"/>
      <c r="C98" s="20"/>
      <c r="D98" s="20"/>
      <c r="E98" s="20"/>
      <c r="F98" s="20"/>
      <c r="G98" s="249"/>
      <c r="H98" s="3"/>
      <c r="I98" s="3">
        <f>I96/H96-1</f>
        <v>0.14409492509283361</v>
      </c>
      <c r="J98" s="3">
        <f>J96/I96-1</f>
        <v>0.148740906547286</v>
      </c>
      <c r="K98" s="3">
        <f>K96/J96-1</f>
        <v>0.25165627435697568</v>
      </c>
      <c r="L98" s="249"/>
      <c r="M98" s="3">
        <f>M96/K96-1</f>
        <v>0.22825043460211214</v>
      </c>
      <c r="N98" s="3">
        <f>N96/M96-1</f>
        <v>4.5502556086019608E-2</v>
      </c>
      <c r="O98" s="3">
        <f>O96/N96-1</f>
        <v>0.21561060373393692</v>
      </c>
      <c r="P98" s="3">
        <f>P96/O96-1</f>
        <v>-3.5021524857470676E-2</v>
      </c>
      <c r="Q98" s="249"/>
      <c r="R98" s="3">
        <f>R96/P96-1</f>
        <v>8.6485462312250183E-2</v>
      </c>
      <c r="S98" s="3">
        <f>S96/R96-1</f>
        <v>6.4238946050065859E-2</v>
      </c>
      <c r="T98" s="3">
        <f>T96/S96-1</f>
        <v>0.13871799073425795</v>
      </c>
      <c r="U98" s="3">
        <f>U96/T96-1</f>
        <v>-2.2160882249054881E-2</v>
      </c>
      <c r="V98" s="249"/>
      <c r="W98" s="3">
        <f>W96/U96-1</f>
        <v>0.11631236036228887</v>
      </c>
      <c r="X98" s="3">
        <f>X96/W96-1</f>
        <v>7.5322683093443255E-2</v>
      </c>
      <c r="Y98" s="3">
        <f>Y96/X96-1</f>
        <v>7.9453001359695019E-2</v>
      </c>
      <c r="Z98" s="3">
        <f>Z96/Y96-1</f>
        <v>1.0324712198661601E-4</v>
      </c>
      <c r="AA98" s="249"/>
      <c r="AB98" s="3">
        <f>AB96/Z96-1</f>
        <v>0.1129716615908738</v>
      </c>
      <c r="AC98" s="3">
        <f>AC96/AB96-1</f>
        <v>5.3252077767883543E-2</v>
      </c>
      <c r="AD98" s="3">
        <f>AD96/AC96-1</f>
        <v>0.10699345656941062</v>
      </c>
      <c r="AE98" s="3">
        <f>AE96/AD96-1</f>
        <v>4.9618927906569743E-2</v>
      </c>
      <c r="AF98" s="249"/>
      <c r="AG98" s="3">
        <f>AG96/AE96-1</f>
        <v>0.10660552544813728</v>
      </c>
      <c r="AH98" s="3">
        <f>AH96/AG96-1</f>
        <v>5.4794520547945202E-2</v>
      </c>
      <c r="AI98" s="3">
        <f>AI96/AH96-1</f>
        <v>0</v>
      </c>
      <c r="AJ98" s="3">
        <f>AJ96/AI96-1</f>
        <v>-6.4935064935064957E-2</v>
      </c>
      <c r="AK98" s="249"/>
      <c r="AL98" s="3">
        <f>AL96/AJ96-1</f>
        <v>0.17361111111111116</v>
      </c>
      <c r="AM98" s="3">
        <f>AM96/AL96-1</f>
        <v>2.3668639053254337E-2</v>
      </c>
      <c r="AN98" s="3">
        <f>AN96/AM96-1</f>
        <v>2.3121387283236983E-2</v>
      </c>
      <c r="AO98" s="3">
        <f>AO96/AN96-1</f>
        <v>-3.3898305084745783E-2</v>
      </c>
      <c r="AP98" s="249"/>
      <c r="AQ98" s="3">
        <f>AQ96/AO96-1</f>
        <v>0.18596491228070189</v>
      </c>
      <c r="AR98" s="3">
        <f>AR96/AQ96-1</f>
        <v>-6.3116370808678601E-2</v>
      </c>
      <c r="AS98" s="3">
        <f>AS96/AR96-1</f>
        <v>2.1052631578947434E-2</v>
      </c>
      <c r="AT98" s="3">
        <f>AT96/AS96-1</f>
        <v>-8.9690721649484551E-2</v>
      </c>
      <c r="AU98" s="249"/>
      <c r="AV98" s="3">
        <f>AV96/AT96-1</f>
        <v>6.1155152887882203E-2</v>
      </c>
      <c r="AW98" s="3">
        <f>AW96/AV96-1</f>
        <v>-2.934898612593384E-2</v>
      </c>
      <c r="AX98" s="3">
        <f>AX96/AW96-1</f>
        <v>0.12534359538207807</v>
      </c>
      <c r="AY98" s="3">
        <f>AY96/AX96-1</f>
        <v>2.1006350757205805E-2</v>
      </c>
      <c r="AZ98" s="249"/>
      <c r="BA98" s="3">
        <f>BA96/AY96-1</f>
        <v>9.0909090909090828E-2</v>
      </c>
      <c r="BB98" s="3">
        <f>BB96/BA96-1</f>
        <v>-2.6315789473684181E-2</v>
      </c>
      <c r="BC98" s="3">
        <f>BC96/BB96-1</f>
        <v>9.0090090090090058E-2</v>
      </c>
      <c r="BD98" s="3">
        <f>BD96/BC96-1</f>
        <v>-4.7933884297520657E-2</v>
      </c>
      <c r="BE98" s="249"/>
      <c r="BF98" s="3">
        <f>BF96/BD96-1</f>
        <v>2.8645833333333259E-2</v>
      </c>
      <c r="BG98" s="3">
        <f>BG96/BF96-1</f>
        <v>2.5316455696202445E-2</v>
      </c>
      <c r="BH98" s="3">
        <f>BH96/BG96-1</f>
        <v>2.4691358024691468E-2</v>
      </c>
      <c r="BI98" s="3">
        <f>BI96/BH96-1</f>
        <v>-8.0321285140562138E-3</v>
      </c>
      <c r="BJ98" s="249"/>
      <c r="BK98" s="3">
        <f>BK96/BI96-1</f>
        <v>-1.2145748987854255E-2</v>
      </c>
      <c r="BL98" s="3">
        <f>BL96/BK96-1</f>
        <v>2.8688524590164022E-2</v>
      </c>
      <c r="BM98" s="3">
        <f>BM96/BL96-1</f>
        <v>7.1713147410358502E-2</v>
      </c>
      <c r="BN98" s="3">
        <f>BN96/BM96-1</f>
        <v>-1.1152416356877359E-2</v>
      </c>
      <c r="BO98" s="249"/>
      <c r="BP98" s="3">
        <f>BP96/BN96-1</f>
        <v>4.8872180451127845E-2</v>
      </c>
      <c r="BQ98" s="3">
        <f>BQ96/BP96-1</f>
        <v>-1.7921146953404965E-2</v>
      </c>
      <c r="BR98" s="3">
        <f>BR96/BQ96-1</f>
        <v>6.5693430656934337E-2</v>
      </c>
      <c r="BS98" s="3">
        <f>BS96/BR96-1</f>
        <v>-2.7397260273972601E-2</v>
      </c>
      <c r="BT98" s="249"/>
      <c r="BU98" s="3">
        <f>BU96/BS96-1</f>
        <v>9.8591549295774739E-2</v>
      </c>
      <c r="BV98" s="3">
        <f>BV96/BU96-1</f>
        <v>5.4487179487179516E-2</v>
      </c>
      <c r="BW98" s="3">
        <f>BW96/BV96-1</f>
        <v>-4.8632218844984809E-2</v>
      </c>
      <c r="BX98" s="3">
        <f>BX96/BW96-1</f>
        <v>-0.10543130990415339</v>
      </c>
      <c r="BY98" s="249"/>
      <c r="BZ98" s="3">
        <f>BZ96/BX96-1</f>
        <v>0.17500000000000004</v>
      </c>
      <c r="CA98" s="3">
        <f>CA96/BZ96-1</f>
        <v>5.1671732522796443E-2</v>
      </c>
      <c r="CB98" s="3">
        <f>CB96/CA96-1</f>
        <v>3.7572254335260125E-2</v>
      </c>
      <c r="CC98" s="3">
        <f>CC96/CB96-1</f>
        <v>-0.10584958217270191</v>
      </c>
      <c r="CD98" s="249"/>
      <c r="CE98" s="3">
        <f>CE96/CC96-1</f>
        <v>0.13084112149532712</v>
      </c>
      <c r="CF98" s="3">
        <f>CF96/CE96-1</f>
        <v>3.8567493112947604E-2</v>
      </c>
      <c r="CG98" s="3">
        <f>CG96/CF96-1</f>
        <v>1.0610079575596787E-2</v>
      </c>
      <c r="CH98" s="3">
        <f>CH96/CG96-1</f>
        <v>-5.2493438320210029E-2</v>
      </c>
      <c r="CI98" s="249"/>
      <c r="CJ98" s="3">
        <f>CJ96/CH96-1</f>
        <v>6.6481994459833826E-2</v>
      </c>
      <c r="CK98" s="3">
        <f>CK96/CJ96-1</f>
        <v>3.8961038961038863E-2</v>
      </c>
      <c r="CL98" s="3">
        <f>CL96/CK96-1</f>
        <v>2.4999999999999467E-3</v>
      </c>
      <c r="CM98" s="3">
        <f>CM96/CL96-1</f>
        <v>2.244389027431426E-2</v>
      </c>
      <c r="CN98" s="249"/>
      <c r="CO98" s="3">
        <f>CO96/CM96-1</f>
        <v>2.3362865853658654E-2</v>
      </c>
      <c r="CP98" s="3">
        <f t="shared" ref="CP98:CR98" si="381">CP96/CO96-1</f>
        <v>7.1074198164576163E-2</v>
      </c>
      <c r="CQ98" s="3">
        <f t="shared" si="381"/>
        <v>-1.3561415220294082E-2</v>
      </c>
      <c r="CR98" s="3">
        <f t="shared" si="381"/>
        <v>-5.1083282296294219E-2</v>
      </c>
      <c r="CS98" s="249"/>
      <c r="CT98" s="3"/>
      <c r="CU98" s="3"/>
      <c r="CV98" s="3"/>
      <c r="CW98" s="3"/>
      <c r="CX98" s="249"/>
      <c r="CY98" s="3"/>
      <c r="CZ98" s="3"/>
      <c r="DA98" s="3"/>
      <c r="DB98" s="3"/>
      <c r="DC98" s="249"/>
      <c r="DD98" s="25"/>
      <c r="DE98" s="178"/>
      <c r="DF98" s="361">
        <f>AVERAGE(AQ98,BA98,BF98,AL98,BK98,BP98)</f>
        <v>8.5976229849585126E-2</v>
      </c>
      <c r="DG98" s="361">
        <f>AVERAGE(AR98,BB98,BG98,AM98,BL98,BQ98)</f>
        <v>-4.9466146493578238E-3</v>
      </c>
      <c r="DH98" s="361">
        <f>AVERAGE(AS98,BC98,BH98,AN98,BM98,BR98)</f>
        <v>4.9393674174043133E-2</v>
      </c>
      <c r="DI98" s="361">
        <f>AVERAGE(AT98,BD98,BI98,AO98,BN98,BS98)</f>
        <v>-3.6350786029442861E-2</v>
      </c>
      <c r="DJ98" s="430"/>
      <c r="DK98" s="389"/>
      <c r="DL98" s="430" t="s">
        <v>397</v>
      </c>
      <c r="DM98" s="389"/>
      <c r="DN98" s="593"/>
      <c r="DO98" s="593"/>
      <c r="DP98" s="593"/>
      <c r="DQ98" s="593"/>
      <c r="DR98" s="487"/>
      <c r="DS98" s="25"/>
    </row>
    <row r="99" spans="1:154" x14ac:dyDescent="0.2">
      <c r="A99" s="39" t="str">
        <f>$A96&amp;" per ASM (cents)"</f>
        <v>All Other Operating Expenses per ASM (cents)</v>
      </c>
      <c r="B99" s="271"/>
      <c r="C99" s="82"/>
      <c r="D99" s="82"/>
      <c r="E99" s="82"/>
      <c r="F99" s="82"/>
      <c r="G99" s="271"/>
      <c r="H99" s="82">
        <f t="shared" ref="H99:AM99" si="382">H96/H6*100</f>
        <v>3.1412398170146356</v>
      </c>
      <c r="I99" s="82">
        <f t="shared" si="382"/>
        <v>2.7900252304464037</v>
      </c>
      <c r="J99" s="82">
        <f t="shared" si="382"/>
        <v>2.7225151258208355</v>
      </c>
      <c r="K99" s="82">
        <f t="shared" si="382"/>
        <v>2.8118611644917988</v>
      </c>
      <c r="L99" s="271">
        <f t="shared" si="382"/>
        <v>2.8412408243108151</v>
      </c>
      <c r="M99" s="82">
        <f t="shared" si="382"/>
        <v>2.9317445670013065</v>
      </c>
      <c r="N99" s="82">
        <f t="shared" si="382"/>
        <v>2.5615479011838334</v>
      </c>
      <c r="O99" s="82">
        <f t="shared" si="382"/>
        <v>2.7012186306546093</v>
      </c>
      <c r="P99" s="82">
        <f t="shared" si="382"/>
        <v>2.3543524253406769</v>
      </c>
      <c r="Q99" s="271">
        <f t="shared" si="382"/>
        <v>2.6098375982926081</v>
      </c>
      <c r="R99" s="82">
        <f t="shared" si="382"/>
        <v>2.1615992208551473</v>
      </c>
      <c r="S99" s="82">
        <f t="shared" si="382"/>
        <v>2.0496034005664967</v>
      </c>
      <c r="T99" s="82">
        <f t="shared" si="382"/>
        <v>2.0632734306276572</v>
      </c>
      <c r="U99" s="82">
        <f t="shared" si="382"/>
        <v>1.9978579964435366</v>
      </c>
      <c r="V99" s="271">
        <f t="shared" si="382"/>
        <v>2.0630833063528486</v>
      </c>
      <c r="W99" s="82">
        <f t="shared" si="382"/>
        <v>1.9779685766572161</v>
      </c>
      <c r="X99" s="82">
        <f t="shared" si="382"/>
        <v>1.9267758189913879</v>
      </c>
      <c r="Y99" s="82">
        <f t="shared" si="382"/>
        <v>1.9605957798254279</v>
      </c>
      <c r="Z99" s="82">
        <f t="shared" si="382"/>
        <v>1.9009328730196859</v>
      </c>
      <c r="AA99" s="271">
        <f t="shared" si="382"/>
        <v>1.9400666837607283</v>
      </c>
      <c r="AB99" s="82">
        <f t="shared" si="382"/>
        <v>2.0858045606853466</v>
      </c>
      <c r="AC99" s="82">
        <f t="shared" si="382"/>
        <v>1.9422701926037425</v>
      </c>
      <c r="AD99" s="82">
        <f t="shared" si="382"/>
        <v>1.9851664486686535</v>
      </c>
      <c r="AE99" s="82">
        <f t="shared" si="382"/>
        <v>2.0756314247466991</v>
      </c>
      <c r="AF99" s="271">
        <f t="shared" si="382"/>
        <v>2.0207910410345584</v>
      </c>
      <c r="AG99" s="82">
        <f t="shared" si="382"/>
        <v>2.2198570776949977</v>
      </c>
      <c r="AH99" s="82">
        <f t="shared" si="382"/>
        <v>2.1382949180783117</v>
      </c>
      <c r="AI99" s="82">
        <f t="shared" si="382"/>
        <v>2.0432532837999204</v>
      </c>
      <c r="AJ99" s="82">
        <f t="shared" si="382"/>
        <v>1.9785655399835118</v>
      </c>
      <c r="AK99" s="271">
        <f t="shared" si="382"/>
        <v>2.091347835210184</v>
      </c>
      <c r="AL99" s="82">
        <f t="shared" si="382"/>
        <v>2.2930800542740841</v>
      </c>
      <c r="AM99" s="82">
        <f t="shared" si="382"/>
        <v>2.1448053558145301</v>
      </c>
      <c r="AN99" s="82">
        <f t="shared" ref="AN99:BS99" si="383">AN96/AN6*100</f>
        <v>2.1184919210053859</v>
      </c>
      <c r="AO99" s="82">
        <f t="shared" si="383"/>
        <v>2.1077283372365341</v>
      </c>
      <c r="AP99" s="271">
        <f t="shared" si="383"/>
        <v>2.162738214643932</v>
      </c>
      <c r="AQ99" s="82">
        <f t="shared" si="383"/>
        <v>2.415723645026802</v>
      </c>
      <c r="AR99" s="82">
        <f t="shared" si="383"/>
        <v>2.266491709411905</v>
      </c>
      <c r="AS99" s="82">
        <f t="shared" si="383"/>
        <v>2.3792003924454255</v>
      </c>
      <c r="AT99" s="82">
        <f t="shared" si="383"/>
        <v>2.351531291611185</v>
      </c>
      <c r="AU99" s="271">
        <f t="shared" si="383"/>
        <v>2.353122495530485</v>
      </c>
      <c r="AV99" s="82">
        <f t="shared" si="383"/>
        <v>2.359488315874295</v>
      </c>
      <c r="AW99" s="82">
        <f t="shared" si="383"/>
        <v>2.2083282748573509</v>
      </c>
      <c r="AX99" s="82">
        <f t="shared" si="383"/>
        <v>2.439518531760219</v>
      </c>
      <c r="AY99" s="82">
        <f t="shared" si="383"/>
        <v>2.6164246369554331</v>
      </c>
      <c r="AZ99" s="271">
        <f t="shared" si="383"/>
        <v>2.4049093321539141</v>
      </c>
      <c r="BA99" s="82">
        <f t="shared" si="383"/>
        <v>2.7066748025195815</v>
      </c>
      <c r="BB99" s="82">
        <f t="shared" si="383"/>
        <v>2.555181562914782</v>
      </c>
      <c r="BC99" s="82">
        <f t="shared" si="383"/>
        <v>2.6587563172929025</v>
      </c>
      <c r="BD99" s="82">
        <f t="shared" si="383"/>
        <v>2.7009949368068003</v>
      </c>
      <c r="BE99" s="271">
        <f t="shared" si="383"/>
        <v>2.6548439763967551</v>
      </c>
      <c r="BF99" s="82">
        <f t="shared" si="383"/>
        <v>2.7846934916073218</v>
      </c>
      <c r="BG99" s="82">
        <f t="shared" si="383"/>
        <v>2.5738798856053386</v>
      </c>
      <c r="BH99" s="82">
        <f t="shared" si="383"/>
        <v>2.5266362252663623</v>
      </c>
      <c r="BI99" s="82">
        <f t="shared" si="383"/>
        <v>2.6206896551724137</v>
      </c>
      <c r="BJ99" s="271">
        <f t="shared" si="383"/>
        <v>2.621414252452023</v>
      </c>
      <c r="BK99" s="82">
        <f t="shared" si="383"/>
        <v>2.5587248322147653</v>
      </c>
      <c r="BL99" s="82">
        <f t="shared" si="383"/>
        <v>2.5198273265736368</v>
      </c>
      <c r="BM99" s="82">
        <f t="shared" si="383"/>
        <v>2.5130792227204783</v>
      </c>
      <c r="BN99" s="82">
        <f t="shared" si="383"/>
        <v>2.693943690500304</v>
      </c>
      <c r="BO99" s="271">
        <f t="shared" si="383"/>
        <v>2.5701809107922644</v>
      </c>
      <c r="BP99" s="82">
        <f t="shared" si="383"/>
        <v>2.7514792899408285</v>
      </c>
      <c r="BQ99" s="82">
        <f t="shared" si="383"/>
        <v>2.5509729075505074</v>
      </c>
      <c r="BR99" s="82">
        <f t="shared" si="383"/>
        <v>2.5950942054745822</v>
      </c>
      <c r="BS99" s="82">
        <f t="shared" si="383"/>
        <v>2.656439996258535</v>
      </c>
      <c r="BT99" s="271">
        <f t="shared" ref="BT99:CE99" si="384">BT96/BT6*100</f>
        <v>2.6363721277788157</v>
      </c>
      <c r="BU99" s="82">
        <f t="shared" si="384"/>
        <v>2.9945292254534985</v>
      </c>
      <c r="BV99" s="82">
        <f t="shared" si="384"/>
        <v>2.8895134375548923</v>
      </c>
      <c r="BW99" s="82">
        <f t="shared" si="384"/>
        <v>2.6633764465622876</v>
      </c>
      <c r="BX99" s="82">
        <f t="shared" si="384"/>
        <v>2.4484085344526059</v>
      </c>
      <c r="BY99" s="271">
        <f t="shared" si="384"/>
        <v>2.742648856488787</v>
      </c>
      <c r="BZ99" s="82">
        <f t="shared" si="384"/>
        <v>2.8811629739907172</v>
      </c>
      <c r="CA99" s="82">
        <f t="shared" si="384"/>
        <v>2.8274903979733592</v>
      </c>
      <c r="CB99" s="82">
        <f t="shared" si="384"/>
        <v>2.7666461159062883</v>
      </c>
      <c r="CC99" s="82">
        <f t="shared" si="384"/>
        <v>2.5423728813559325</v>
      </c>
      <c r="CD99" s="271">
        <f t="shared" si="384"/>
        <v>2.7508222014698118</v>
      </c>
      <c r="CE99" s="82">
        <f t="shared" si="384"/>
        <v>2.7860925627446465</v>
      </c>
      <c r="CF99" s="82">
        <f t="shared" ref="CF99:CJ99" si="385">CF96/CF6*100</f>
        <v>2.7726704420092667</v>
      </c>
      <c r="CG99" s="82">
        <f t="shared" si="385"/>
        <v>2.7616700492896493</v>
      </c>
      <c r="CH99" s="82">
        <f t="shared" si="385"/>
        <v>2.7352629186240338</v>
      </c>
      <c r="CI99" s="271">
        <f t="shared" si="385"/>
        <v>2.7638940693770984</v>
      </c>
      <c r="CJ99" s="82">
        <f t="shared" si="385"/>
        <v>2.8350515463917527</v>
      </c>
      <c r="CK99" s="82">
        <f t="shared" ref="CK99:CN99" si="386">CK96/CK6*100</f>
        <v>2.8078056998455709</v>
      </c>
      <c r="CL99" s="82">
        <f t="shared" si="386"/>
        <v>2.8030197120089473</v>
      </c>
      <c r="CM99" s="82">
        <f t="shared" si="386"/>
        <v>2.9547420005765352</v>
      </c>
      <c r="CN99" s="271">
        <f t="shared" si="386"/>
        <v>2.8495929152978148</v>
      </c>
      <c r="CO99" s="82">
        <f t="shared" ref="CO99:CR99" si="387">CJ99*(1+CO100)</f>
        <v>2.990979381443299</v>
      </c>
      <c r="CP99" s="82">
        <f t="shared" si="387"/>
        <v>2.9481959848378496</v>
      </c>
      <c r="CQ99" s="82">
        <f t="shared" si="387"/>
        <v>2.8170348105689915</v>
      </c>
      <c r="CR99" s="82">
        <f t="shared" si="387"/>
        <v>2.8070049005477085</v>
      </c>
      <c r="CS99" s="271">
        <f>CS96/CS6*100</f>
        <v>2.8885273853869484</v>
      </c>
      <c r="CT99" s="82"/>
      <c r="CU99" s="82"/>
      <c r="CV99" s="82"/>
      <c r="CW99" s="82"/>
      <c r="CX99" s="271">
        <f>CS99*(1+CX100)</f>
        <v>2.8596421115330788</v>
      </c>
      <c r="CY99" s="82"/>
      <c r="CZ99" s="82"/>
      <c r="DA99" s="82"/>
      <c r="DB99" s="82"/>
      <c r="DC99" s="271">
        <f>CX99*(1+DC100)</f>
        <v>2.8167474798600827</v>
      </c>
      <c r="DD99" s="366"/>
      <c r="DE99" s="463"/>
      <c r="DJ99" s="441"/>
      <c r="DK99" s="403"/>
      <c r="DL99" s="782" t="s">
        <v>465</v>
      </c>
      <c r="DM99" s="782" t="s">
        <v>466</v>
      </c>
      <c r="DN99" s="775" t="s">
        <v>463</v>
      </c>
      <c r="DO99" s="903" t="s">
        <v>464</v>
      </c>
      <c r="DP99" s="903"/>
      <c r="DQ99" s="903"/>
      <c r="DR99" s="500"/>
      <c r="DS99" s="366"/>
      <c r="EB99" s="387"/>
      <c r="EC99" s="387"/>
      <c r="ED99" s="387"/>
      <c r="EE99" s="387"/>
      <c r="EF99" s="387"/>
      <c r="EG99" s="387"/>
      <c r="EH99" s="387"/>
      <c r="EI99" s="387"/>
      <c r="EJ99" s="387"/>
      <c r="EK99" s="387"/>
      <c r="EL99" s="387"/>
      <c r="EM99" s="387"/>
    </row>
    <row r="100" spans="1:154" x14ac:dyDescent="0.2">
      <c r="A100" s="12" t="s">
        <v>131</v>
      </c>
      <c r="B100" s="249"/>
      <c r="C100" s="20"/>
      <c r="D100" s="20"/>
      <c r="E100" s="20"/>
      <c r="F100" s="20"/>
      <c r="G100" s="249"/>
      <c r="H100" s="3"/>
      <c r="I100" s="3"/>
      <c r="J100" s="3"/>
      <c r="K100" s="3"/>
      <c r="L100" s="249"/>
      <c r="M100" s="3">
        <f t="shared" ref="M100:BW100" si="388">M99/H99-1</f>
        <v>-6.6691899446387648E-2</v>
      </c>
      <c r="N100" s="3">
        <f t="shared" si="388"/>
        <v>-8.1890775312456254E-2</v>
      </c>
      <c r="O100" s="3">
        <f t="shared" si="388"/>
        <v>-7.8223606415429581E-3</v>
      </c>
      <c r="P100" s="3">
        <f t="shared" si="388"/>
        <v>-0.1627067313737055</v>
      </c>
      <c r="Q100" s="249">
        <f t="shared" si="388"/>
        <v>-8.1444425280049026E-2</v>
      </c>
      <c r="R100" s="3">
        <f t="shared" si="388"/>
        <v>-0.26269183025514786</v>
      </c>
      <c r="S100" s="3">
        <f t="shared" si="388"/>
        <v>-0.1998574769500655</v>
      </c>
      <c r="T100" s="3">
        <f t="shared" si="388"/>
        <v>-0.23616940620328586</v>
      </c>
      <c r="U100" s="3">
        <f t="shared" si="388"/>
        <v>-0.15141931388863983</v>
      </c>
      <c r="V100" s="249">
        <f t="shared" si="388"/>
        <v>-0.20949743857527903</v>
      </c>
      <c r="W100" s="3">
        <f t="shared" si="388"/>
        <v>-8.495129088975395E-2</v>
      </c>
      <c r="X100" s="3">
        <f t="shared" si="388"/>
        <v>-5.9927487211018482E-2</v>
      </c>
      <c r="Y100" s="3">
        <f t="shared" si="388"/>
        <v>-4.9764441919360358E-2</v>
      </c>
      <c r="Z100" s="3">
        <f t="shared" si="388"/>
        <v>-4.8514520850025722E-2</v>
      </c>
      <c r="AA100" s="249">
        <f>AA99/V99-1</f>
        <v>-5.9627559494721094E-2</v>
      </c>
      <c r="AB100" s="3">
        <f t="shared" si="388"/>
        <v>5.4518552671030784E-2</v>
      </c>
      <c r="AC100" s="3">
        <f t="shared" si="388"/>
        <v>8.0416068437403343E-3</v>
      </c>
      <c r="AD100" s="3">
        <f>AD99/Y99-1</f>
        <v>1.2532246114195678E-2</v>
      </c>
      <c r="AE100" s="3">
        <f t="shared" si="388"/>
        <v>9.1901483848558785E-2</v>
      </c>
      <c r="AF100" s="249">
        <f>AF99/AA99-1</f>
        <v>4.1609063208770669E-2</v>
      </c>
      <c r="AG100" s="3">
        <f t="shared" si="388"/>
        <v>6.4268973007521213E-2</v>
      </c>
      <c r="AH100" s="3">
        <f t="shared" si="388"/>
        <v>0.10092556958400567</v>
      </c>
      <c r="AI100" s="3">
        <f>AI99/AD99-1</f>
        <v>2.9260435652749717E-2</v>
      </c>
      <c r="AJ100" s="3">
        <f t="shared" si="388"/>
        <v>-4.6764509154139877E-2</v>
      </c>
      <c r="AK100" s="249">
        <f>AK99/AF99-1</f>
        <v>3.4915432987818296E-2</v>
      </c>
      <c r="AL100" s="3">
        <f t="shared" si="388"/>
        <v>3.2985446367167937E-2</v>
      </c>
      <c r="AM100" s="3">
        <f t="shared" si="388"/>
        <v>3.0446865309250448E-3</v>
      </c>
      <c r="AN100" s="3">
        <f t="shared" si="388"/>
        <v>3.6822961598544923E-2</v>
      </c>
      <c r="AO100" s="3">
        <f t="shared" si="388"/>
        <v>6.5281030444964916E-2</v>
      </c>
      <c r="AP100" s="249">
        <f>AP99/AK99-1</f>
        <v>3.4136062032250614E-2</v>
      </c>
      <c r="AQ100" s="3">
        <f t="shared" si="388"/>
        <v>5.3484216795711914E-2</v>
      </c>
      <c r="AR100" s="3">
        <f t="shared" si="388"/>
        <v>5.6735383128117212E-2</v>
      </c>
      <c r="AS100" s="3">
        <f t="shared" si="388"/>
        <v>0.12306323609500169</v>
      </c>
      <c r="AT100" s="3">
        <f t="shared" si="388"/>
        <v>0.11567095724219545</v>
      </c>
      <c r="AU100" s="249">
        <f>AU99/AP99-1</f>
        <v>8.8029276773979426E-2</v>
      </c>
      <c r="AV100" s="3">
        <f t="shared" si="388"/>
        <v>-2.327887515953142E-2</v>
      </c>
      <c r="AW100" s="3">
        <f t="shared" si="388"/>
        <v>-2.5662319572148817E-2</v>
      </c>
      <c r="AX100" s="3">
        <f t="shared" si="388"/>
        <v>2.5352273606846776E-2</v>
      </c>
      <c r="AY100" s="3">
        <f t="shared" si="388"/>
        <v>0.11264717007561176</v>
      </c>
      <c r="AZ100" s="249">
        <f>AZ99/AU99-1</f>
        <v>2.2007709637638095E-2</v>
      </c>
      <c r="BA100" s="3">
        <f t="shared" si="388"/>
        <v>0.1471448213197184</v>
      </c>
      <c r="BB100" s="3">
        <f t="shared" si="388"/>
        <v>0.15706599965525347</v>
      </c>
      <c r="BC100" s="3">
        <f t="shared" si="388"/>
        <v>8.9869284729103383E-2</v>
      </c>
      <c r="BD100" s="3">
        <f t="shared" si="388"/>
        <v>3.2322849531709164E-2</v>
      </c>
      <c r="BE100" s="249">
        <f>BE99/AZ99-1</f>
        <v>0.10392684701297727</v>
      </c>
      <c r="BF100" s="3">
        <f>BF99/BA99-1</f>
        <v>2.8824552183038143E-2</v>
      </c>
      <c r="BG100" s="3">
        <f t="shared" si="388"/>
        <v>7.3178058897807041E-3</v>
      </c>
      <c r="BH100" s="3">
        <f t="shared" si="388"/>
        <v>-4.9692441224197026E-2</v>
      </c>
      <c r="BI100" s="3">
        <f t="shared" si="388"/>
        <v>-2.9731740900383108E-2</v>
      </c>
      <c r="BJ100" s="249">
        <f>BJ99/BE99-1</f>
        <v>-1.2591973103483145E-2</v>
      </c>
      <c r="BK100" s="3">
        <f>BK99/BF99-1</f>
        <v>-8.1146689958372265E-2</v>
      </c>
      <c r="BL100" s="3">
        <f t="shared" si="388"/>
        <v>-2.100042015713155E-2</v>
      </c>
      <c r="BM100" s="3">
        <f t="shared" si="388"/>
        <v>-5.3656329353287679E-3</v>
      </c>
      <c r="BN100" s="3">
        <f t="shared" si="388"/>
        <v>2.7952197690905622E-2</v>
      </c>
      <c r="BO100" s="249">
        <f>BO99/BJ99-1</f>
        <v>-1.9544160794821241E-2</v>
      </c>
      <c r="BP100" s="3">
        <f t="shared" si="388"/>
        <v>7.5332233970317075E-2</v>
      </c>
      <c r="BQ100" s="3">
        <f t="shared" si="388"/>
        <v>1.2360204466558056E-2</v>
      </c>
      <c r="BR100" s="3">
        <f t="shared" si="388"/>
        <v>3.2635255591075385E-2</v>
      </c>
      <c r="BS100" s="3">
        <f t="shared" si="388"/>
        <v>-1.3921484095610004E-2</v>
      </c>
      <c r="BT100" s="249">
        <f>BT99/BO99-1</f>
        <v>2.5753524473165479E-2</v>
      </c>
      <c r="BU100" s="3">
        <f t="shared" si="388"/>
        <v>8.8334277637938108E-2</v>
      </c>
      <c r="BV100" s="3">
        <f t="shared" si="388"/>
        <v>0.13271035886047811</v>
      </c>
      <c r="BW100" s="3">
        <f t="shared" si="388"/>
        <v>2.6312047147906137E-2</v>
      </c>
      <c r="BX100" s="3">
        <f t="shared" ref="BX100:CG100" si="389">BX99/BS99-1</f>
        <v>-7.8312125287577028E-2</v>
      </c>
      <c r="BY100" s="249">
        <f t="shared" si="389"/>
        <v>4.0311732774807929E-2</v>
      </c>
      <c r="BZ100" s="3">
        <f t="shared" si="389"/>
        <v>-3.7857787627907702E-2</v>
      </c>
      <c r="CA100" s="3">
        <f t="shared" si="389"/>
        <v>-2.1464873212016289E-2</v>
      </c>
      <c r="CB100" s="3">
        <f t="shared" si="389"/>
        <v>3.8773966585645248E-2</v>
      </c>
      <c r="CC100" s="3">
        <f t="shared" si="389"/>
        <v>3.8377723970944411E-2</v>
      </c>
      <c r="CD100" s="249">
        <f t="shared" si="389"/>
        <v>2.9800916590863036E-3</v>
      </c>
      <c r="CE100" s="3">
        <f t="shared" si="389"/>
        <v>-3.2997234833400668E-2</v>
      </c>
      <c r="CF100" s="3">
        <f t="shared" si="389"/>
        <v>-1.9388202344872818E-2</v>
      </c>
      <c r="CG100" s="3">
        <f t="shared" si="389"/>
        <v>-1.798591655083781E-3</v>
      </c>
      <c r="CH100" s="3">
        <f t="shared" ref="CH100" si="390">CH99/CC99-1</f>
        <v>7.5870081325453143E-2</v>
      </c>
      <c r="CI100" s="249">
        <f t="shared" ref="CI100:CL100" si="391">CI99/CD99-1</f>
        <v>4.7519857518607544E-3</v>
      </c>
      <c r="CJ100" s="3">
        <f t="shared" si="391"/>
        <v>1.7572633552014993E-2</v>
      </c>
      <c r="CK100" s="3">
        <f t="shared" si="391"/>
        <v>1.2671992063666648E-2</v>
      </c>
      <c r="CL100" s="3">
        <f t="shared" si="391"/>
        <v>1.4972702017727935E-2</v>
      </c>
      <c r="CM100" s="3">
        <f t="shared" ref="CM100" si="392">CM99/CH99-1</f>
        <v>8.0240579601360551E-2</v>
      </c>
      <c r="CN100" s="249">
        <f t="shared" ref="CN100" si="393">CN99/CI99-1</f>
        <v>3.1006559502488651E-2</v>
      </c>
      <c r="CO100" s="35">
        <v>5.5E-2</v>
      </c>
      <c r="CP100" s="35">
        <v>0.05</v>
      </c>
      <c r="CQ100" s="35">
        <v>5.0000000000000001E-3</v>
      </c>
      <c r="CR100" s="35">
        <v>-0.05</v>
      </c>
      <c r="CS100" s="249">
        <f>CS99/CN99-1</f>
        <v>1.3663169177645429E-2</v>
      </c>
      <c r="CT100" s="3"/>
      <c r="CU100" s="3"/>
      <c r="CV100" s="35"/>
      <c r="CW100" s="35"/>
      <c r="CX100" s="419">
        <v>-0.01</v>
      </c>
      <c r="CY100" s="3"/>
      <c r="CZ100" s="3"/>
      <c r="DA100" s="35"/>
      <c r="DB100" s="35"/>
      <c r="DC100" s="419">
        <v>-1.4999999999999999E-2</v>
      </c>
      <c r="DD100" s="25"/>
      <c r="DE100" s="178"/>
      <c r="DF100" s="575"/>
      <c r="DJ100" s="389" t="s">
        <v>36</v>
      </c>
      <c r="DK100" s="389"/>
      <c r="DL100" s="592">
        <v>150</v>
      </c>
      <c r="DM100" s="592">
        <v>162</v>
      </c>
      <c r="DN100" s="592">
        <v>130</v>
      </c>
      <c r="DO100" s="903" t="s">
        <v>468</v>
      </c>
      <c r="DP100" s="903"/>
      <c r="DQ100" s="903"/>
      <c r="DR100" s="487"/>
      <c r="DS100" s="25"/>
    </row>
    <row r="101" spans="1:154" x14ac:dyDescent="0.2">
      <c r="A101" s="536" t="s">
        <v>331</v>
      </c>
      <c r="B101" s="250"/>
      <c r="C101" s="26"/>
      <c r="D101" s="26"/>
      <c r="E101" s="26"/>
      <c r="F101" s="26"/>
      <c r="G101" s="250"/>
      <c r="H101" s="27"/>
      <c r="I101" s="27"/>
      <c r="J101" s="27"/>
      <c r="K101" s="27"/>
      <c r="L101" s="250"/>
      <c r="M101" s="27"/>
      <c r="N101" s="27"/>
      <c r="O101" s="27"/>
      <c r="P101" s="27"/>
      <c r="Q101" s="250"/>
      <c r="R101" s="27"/>
      <c r="S101" s="27"/>
      <c r="T101" s="27"/>
      <c r="U101" s="27"/>
      <c r="V101" s="250"/>
      <c r="W101" s="27"/>
      <c r="X101" s="27"/>
      <c r="Y101" s="27"/>
      <c r="Z101" s="27"/>
      <c r="AA101" s="250"/>
      <c r="AB101" s="27"/>
      <c r="AC101" s="27"/>
      <c r="AD101" s="27"/>
      <c r="AE101" s="27"/>
      <c r="AF101" s="250"/>
      <c r="AG101" s="27"/>
      <c r="AH101" s="27"/>
      <c r="AI101" s="27"/>
      <c r="AJ101" s="27"/>
      <c r="AK101" s="250"/>
      <c r="AL101" s="27"/>
      <c r="AM101" s="27"/>
      <c r="AN101" s="27"/>
      <c r="AO101" s="27"/>
      <c r="AP101" s="250"/>
      <c r="AQ101" s="27"/>
      <c r="AR101" s="27"/>
      <c r="AS101" s="27"/>
      <c r="AT101" s="27"/>
      <c r="AU101" s="250"/>
      <c r="AV101" s="27"/>
      <c r="AW101" s="27"/>
      <c r="AX101" s="27"/>
      <c r="AY101" s="27"/>
      <c r="AZ101" s="250"/>
      <c r="BA101" s="27"/>
      <c r="BB101" s="27"/>
      <c r="BC101" s="27"/>
      <c r="BD101" s="27"/>
      <c r="BE101" s="250"/>
      <c r="BF101" s="27"/>
      <c r="BG101" s="27"/>
      <c r="BH101" s="27"/>
      <c r="BI101" s="27"/>
      <c r="BJ101" s="250"/>
      <c r="BK101" s="27"/>
      <c r="BL101" s="27"/>
      <c r="BM101" s="27"/>
      <c r="BN101" s="27"/>
      <c r="BO101" s="250"/>
      <c r="BP101" s="27"/>
      <c r="BQ101" s="27"/>
      <c r="BR101" s="27"/>
      <c r="BS101" s="27"/>
      <c r="BT101" s="250"/>
      <c r="BU101" s="27"/>
      <c r="BV101" s="27"/>
      <c r="BW101" s="27"/>
      <c r="BX101" s="27"/>
      <c r="BY101" s="250"/>
      <c r="BZ101" s="27"/>
      <c r="CA101" s="27"/>
      <c r="CB101" s="27"/>
      <c r="CC101" s="27"/>
      <c r="CD101" s="250"/>
      <c r="CE101" s="27"/>
      <c r="CF101" s="27"/>
      <c r="CG101" s="27"/>
      <c r="CH101" s="27"/>
      <c r="CI101" s="250"/>
      <c r="CJ101" s="27"/>
      <c r="CK101" s="27"/>
      <c r="CL101" s="27"/>
      <c r="CM101" s="27"/>
      <c r="CN101" s="250"/>
      <c r="CO101" s="28"/>
      <c r="CP101" s="28"/>
      <c r="CQ101" s="28"/>
      <c r="CR101" s="28"/>
      <c r="CS101" s="416"/>
      <c r="CT101" s="27"/>
      <c r="CU101" s="27"/>
      <c r="CV101" s="28"/>
      <c r="CW101" s="28"/>
      <c r="CX101" s="416"/>
      <c r="CY101" s="27"/>
      <c r="CZ101" s="27"/>
      <c r="DA101" s="28"/>
      <c r="DB101" s="28"/>
      <c r="DC101" s="416"/>
      <c r="DD101" s="25"/>
      <c r="DE101" s="178"/>
      <c r="DJ101" s="389" t="s">
        <v>448</v>
      </c>
      <c r="DK101" s="389"/>
      <c r="DL101" s="592">
        <v>190</v>
      </c>
      <c r="DM101" s="592">
        <v>200</v>
      </c>
      <c r="DN101" s="592">
        <v>15</v>
      </c>
      <c r="DO101" s="903" t="s">
        <v>467</v>
      </c>
      <c r="DP101" s="903"/>
      <c r="DQ101" s="903"/>
      <c r="DR101" s="487"/>
      <c r="DS101" s="25"/>
    </row>
    <row r="102" spans="1:154" x14ac:dyDescent="0.2">
      <c r="A102" s="535" t="s">
        <v>307</v>
      </c>
      <c r="B102" s="851">
        <v>0.88700000000000001</v>
      </c>
      <c r="C102" s="534"/>
      <c r="D102" s="534"/>
      <c r="E102" s="534"/>
      <c r="F102" s="534"/>
      <c r="G102" s="851">
        <v>16.978000000000002</v>
      </c>
      <c r="H102" s="828">
        <v>5.6909999999999998</v>
      </c>
      <c r="I102" s="828">
        <v>6.5830000000000002</v>
      </c>
      <c r="J102" s="828">
        <v>7.46</v>
      </c>
      <c r="K102" s="828">
        <v>8.7460000000000004</v>
      </c>
      <c r="L102" s="533">
        <f>SUM(H102:K102)</f>
        <v>28.480000000000004</v>
      </c>
      <c r="M102" s="828">
        <v>9.85</v>
      </c>
      <c r="N102" s="828">
        <v>11.785</v>
      </c>
      <c r="O102" s="828">
        <v>11.795</v>
      </c>
      <c r="P102" s="828">
        <v>10.914999999999999</v>
      </c>
      <c r="Q102" s="533">
        <f>SUM(M102:P102)</f>
        <v>44.344999999999999</v>
      </c>
      <c r="R102" s="828">
        <v>11.427</v>
      </c>
      <c r="S102" s="828">
        <v>14.541</v>
      </c>
      <c r="T102" s="828">
        <v>15.067</v>
      </c>
      <c r="U102" s="828">
        <v>12.552</v>
      </c>
      <c r="V102" s="533">
        <f>SUM(R102:U102)</f>
        <v>53.586999999999996</v>
      </c>
      <c r="W102" s="828">
        <v>13.420999999999999</v>
      </c>
      <c r="X102" s="828">
        <v>18.341999999999999</v>
      </c>
      <c r="Y102" s="828">
        <v>14.657</v>
      </c>
      <c r="Z102" s="828">
        <v>16.774999999999999</v>
      </c>
      <c r="AA102" s="533">
        <f>SUM(W102:Z102)</f>
        <v>63.195</v>
      </c>
      <c r="AB102" s="828">
        <v>19.457000000000001</v>
      </c>
      <c r="AC102" s="828">
        <v>20.291</v>
      </c>
      <c r="AD102" s="828">
        <v>21.995999999999999</v>
      </c>
      <c r="AE102" s="828">
        <v>19.748999999999999</v>
      </c>
      <c r="AF102" s="533">
        <f>SUM(AB102:AE102)</f>
        <v>81.492999999999995</v>
      </c>
      <c r="AG102" s="828">
        <v>20</v>
      </c>
      <c r="AH102" s="828">
        <v>30</v>
      </c>
      <c r="AI102" s="828">
        <v>27</v>
      </c>
      <c r="AJ102" s="828">
        <v>27</v>
      </c>
      <c r="AK102" s="533">
        <f>SUM(AG102:AJ102)</f>
        <v>104</v>
      </c>
      <c r="AL102" s="828">
        <v>29</v>
      </c>
      <c r="AM102" s="828">
        <v>31</v>
      </c>
      <c r="AN102" s="828">
        <v>32</v>
      </c>
      <c r="AO102" s="828">
        <v>29</v>
      </c>
      <c r="AP102" s="533">
        <f>SUM(AL102:AO102)</f>
        <v>121</v>
      </c>
      <c r="AQ102" s="828">
        <v>39</v>
      </c>
      <c r="AR102" s="828">
        <v>41</v>
      </c>
      <c r="AS102" s="828">
        <v>38</v>
      </c>
      <c r="AT102" s="828">
        <v>33</v>
      </c>
      <c r="AU102" s="533">
        <f>SUM(AQ102:AT102)</f>
        <v>151</v>
      </c>
      <c r="AV102" s="828">
        <v>37</v>
      </c>
      <c r="AW102" s="828">
        <v>38</v>
      </c>
      <c r="AX102" s="828">
        <v>38</v>
      </c>
      <c r="AY102" s="828">
        <v>38</v>
      </c>
      <c r="AZ102" s="533">
        <f>SUM(AV102:AY102)</f>
        <v>151</v>
      </c>
      <c r="BA102" s="828">
        <v>40</v>
      </c>
      <c r="BB102" s="828">
        <v>43</v>
      </c>
      <c r="BC102" s="828">
        <v>47</v>
      </c>
      <c r="BD102" s="828">
        <v>49</v>
      </c>
      <c r="BE102" s="533">
        <f>SUM(BA102:BD102)</f>
        <v>179</v>
      </c>
      <c r="BF102" s="828">
        <v>45</v>
      </c>
      <c r="BG102" s="828">
        <v>51</v>
      </c>
      <c r="BH102" s="828">
        <v>49</v>
      </c>
      <c r="BI102" s="828">
        <v>54</v>
      </c>
      <c r="BJ102" s="533">
        <f>SUM(BF102:BI102)</f>
        <v>199</v>
      </c>
      <c r="BK102" s="828">
        <v>47</v>
      </c>
      <c r="BL102" s="828">
        <v>54</v>
      </c>
      <c r="BM102" s="828">
        <v>51</v>
      </c>
      <c r="BN102" s="828">
        <v>52</v>
      </c>
      <c r="BO102" s="533">
        <f>SUM(BK102:BN102)</f>
        <v>204</v>
      </c>
      <c r="BP102" s="828">
        <v>50</v>
      </c>
      <c r="BQ102" s="828">
        <v>53</v>
      </c>
      <c r="BR102" s="828">
        <v>60</v>
      </c>
      <c r="BS102" s="828">
        <v>60</v>
      </c>
      <c r="BT102" s="533">
        <f>SUM(BP102:BS102)</f>
        <v>223</v>
      </c>
      <c r="BU102" s="828">
        <v>54</v>
      </c>
      <c r="BV102" s="828">
        <v>69</v>
      </c>
      <c r="BW102" s="828">
        <v>59</v>
      </c>
      <c r="BX102" s="828">
        <v>49</v>
      </c>
      <c r="BY102" s="533">
        <f>SUM(BU102:BX102)</f>
        <v>231</v>
      </c>
      <c r="BZ102" s="828">
        <v>60</v>
      </c>
      <c r="CA102" s="828">
        <v>70</v>
      </c>
      <c r="CB102" s="828">
        <v>69</v>
      </c>
      <c r="CC102" s="828">
        <v>65</v>
      </c>
      <c r="CD102" s="533">
        <f>SUM(BZ102:CC102)</f>
        <v>264</v>
      </c>
      <c r="CE102" s="828">
        <v>64</v>
      </c>
      <c r="CF102" s="828">
        <v>72</v>
      </c>
      <c r="CG102" s="828">
        <v>60</v>
      </c>
      <c r="CH102" s="828">
        <v>63</v>
      </c>
      <c r="CI102" s="533">
        <f>SUM(CE102:CH102)</f>
        <v>259</v>
      </c>
      <c r="CJ102" s="828">
        <v>60</v>
      </c>
      <c r="CK102" s="828">
        <v>68</v>
      </c>
      <c r="CL102" s="828">
        <v>68</v>
      </c>
      <c r="CM102" s="828">
        <v>72</v>
      </c>
      <c r="CN102" s="533">
        <f>SUM(CJ102:CM102)</f>
        <v>268</v>
      </c>
      <c r="CO102" s="534">
        <f>(CM102/CM$96)*CO$96</f>
        <v>73.682126341463416</v>
      </c>
      <c r="CP102" s="534">
        <f t="shared" ref="CP102:CR104" si="394">(CO102/CO$96)*CP$96</f>
        <v>78.919024390243919</v>
      </c>
      <c r="CQ102" s="534">
        <f t="shared" si="394"/>
        <v>77.848770731707305</v>
      </c>
      <c r="CR102" s="534">
        <f t="shared" si="394"/>
        <v>73.872000000000014</v>
      </c>
      <c r="CS102" s="533">
        <f>(CN102/CN$96)*CS$96</f>
        <v>290.99565520050123</v>
      </c>
      <c r="CT102" s="534"/>
      <c r="CU102" s="534"/>
      <c r="CV102" s="534"/>
      <c r="CW102" s="534"/>
      <c r="CX102" s="533">
        <f>(CS102/CS$96)*CX$96</f>
        <v>308.25169755389095</v>
      </c>
      <c r="CY102" s="534"/>
      <c r="CZ102" s="534"/>
      <c r="DA102" s="534"/>
      <c r="DB102" s="534"/>
      <c r="DC102" s="533">
        <f>(CX102/CX$96)*DC$96</f>
        <v>324.88187663692344</v>
      </c>
      <c r="DD102" s="25"/>
      <c r="DE102" s="178"/>
      <c r="DJ102" s="430"/>
      <c r="DK102" s="389"/>
      <c r="DL102" s="9"/>
      <c r="DM102" s="9"/>
      <c r="DN102" s="9"/>
      <c r="DO102" s="9"/>
      <c r="DP102" s="9"/>
      <c r="DQ102" s="9"/>
      <c r="DR102" s="487"/>
      <c r="DS102" s="25"/>
      <c r="DZ102" s="9"/>
      <c r="EA102" s="342"/>
      <c r="EB102" s="385"/>
      <c r="EC102" s="385"/>
      <c r="ED102" s="385"/>
      <c r="EE102" s="385"/>
      <c r="EF102" s="385"/>
      <c r="EG102" s="385"/>
      <c r="EH102" s="385"/>
      <c r="EI102" s="385"/>
      <c r="EJ102" s="385"/>
      <c r="EK102" s="385"/>
      <c r="EL102" s="385"/>
      <c r="EM102" s="385"/>
      <c r="EN102" s="225"/>
      <c r="EO102" s="225"/>
      <c r="EP102" s="225"/>
      <c r="EQ102" s="225"/>
      <c r="ER102" s="225"/>
      <c r="ES102" s="225"/>
      <c r="ET102" s="225"/>
      <c r="EU102" s="225"/>
      <c r="EV102" s="225"/>
      <c r="EW102" s="225"/>
      <c r="EX102" s="225"/>
    </row>
    <row r="103" spans="1:154" x14ac:dyDescent="0.2">
      <c r="A103" s="535" t="s">
        <v>247</v>
      </c>
      <c r="B103" s="851">
        <v>0.44700000000000001</v>
      </c>
      <c r="C103" s="534"/>
      <c r="D103" s="534"/>
      <c r="E103" s="534"/>
      <c r="F103" s="534"/>
      <c r="G103" s="851">
        <v>11.112</v>
      </c>
      <c r="H103" s="828">
        <v>5.7389999999999999</v>
      </c>
      <c r="I103" s="828">
        <v>6.3680000000000003</v>
      </c>
      <c r="J103" s="828">
        <v>7.5179999999999998</v>
      </c>
      <c r="K103" s="828">
        <v>7.9790000000000001</v>
      </c>
      <c r="L103" s="533">
        <f>SUM(H103:K103)</f>
        <v>27.603999999999999</v>
      </c>
      <c r="M103" s="828">
        <v>9.9390000000000001</v>
      </c>
      <c r="N103" s="828">
        <v>9.6809999999999992</v>
      </c>
      <c r="O103" s="828">
        <v>11.865</v>
      </c>
      <c r="P103" s="828">
        <v>12.396000000000001</v>
      </c>
      <c r="Q103" s="533">
        <f>SUM(M103:P103)</f>
        <v>43.881</v>
      </c>
      <c r="R103" s="828">
        <v>16.288</v>
      </c>
      <c r="S103" s="828">
        <v>16.309000000000001</v>
      </c>
      <c r="T103" s="828">
        <v>18.850999999999999</v>
      </c>
      <c r="U103" s="828">
        <v>17.242999999999999</v>
      </c>
      <c r="V103" s="533">
        <f>SUM(R103:U103)</f>
        <v>68.691000000000003</v>
      </c>
      <c r="W103" s="828">
        <v>21.516999999999999</v>
      </c>
      <c r="X103" s="828">
        <v>21.867999999999999</v>
      </c>
      <c r="Y103" s="828">
        <v>24.699000000000002</v>
      </c>
      <c r="Z103" s="828">
        <v>23.097000000000001</v>
      </c>
      <c r="AA103" s="533">
        <f>SUM(W103:Z103)</f>
        <v>91.181000000000012</v>
      </c>
      <c r="AB103" s="828">
        <v>26.097000000000001</v>
      </c>
      <c r="AC103" s="828">
        <v>27</v>
      </c>
      <c r="AD103" s="828">
        <v>27.184000000000001</v>
      </c>
      <c r="AE103" s="828">
        <v>32.084000000000003</v>
      </c>
      <c r="AF103" s="533">
        <f>SUM(AB103:AE103)</f>
        <v>112.36500000000001</v>
      </c>
      <c r="AG103" s="828">
        <v>38</v>
      </c>
      <c r="AH103" s="828">
        <v>37</v>
      </c>
      <c r="AI103" s="828">
        <v>42</v>
      </c>
      <c r="AJ103" s="828">
        <v>41</v>
      </c>
      <c r="AK103" s="533">
        <f>SUM(AG103:AJ103)</f>
        <v>158</v>
      </c>
      <c r="AL103" s="828">
        <v>45</v>
      </c>
      <c r="AM103" s="828">
        <v>47</v>
      </c>
      <c r="AN103" s="828">
        <v>44</v>
      </c>
      <c r="AO103" s="828">
        <v>44</v>
      </c>
      <c r="AP103" s="533">
        <f>SUM(AL103:AO103)</f>
        <v>180</v>
      </c>
      <c r="AQ103" s="828">
        <v>51</v>
      </c>
      <c r="AR103" s="828">
        <v>49</v>
      </c>
      <c r="AS103" s="828">
        <v>52</v>
      </c>
      <c r="AT103" s="828">
        <v>48</v>
      </c>
      <c r="AU103" s="533">
        <f>SUM(AQ103:AT103)</f>
        <v>200</v>
      </c>
      <c r="AV103" s="828">
        <v>50</v>
      </c>
      <c r="AW103" s="828">
        <v>54</v>
      </c>
      <c r="AX103" s="828">
        <v>56</v>
      </c>
      <c r="AY103" s="828">
        <v>53</v>
      </c>
      <c r="AZ103" s="533">
        <f>SUM(AV103:AY103)</f>
        <v>213</v>
      </c>
      <c r="BA103" s="828">
        <v>54</v>
      </c>
      <c r="BB103" s="828">
        <v>58</v>
      </c>
      <c r="BC103" s="828">
        <v>61</v>
      </c>
      <c r="BD103" s="828">
        <v>55</v>
      </c>
      <c r="BE103" s="533">
        <f>SUM(BA103:BD103)</f>
        <v>228</v>
      </c>
      <c r="BF103" s="828">
        <v>57</v>
      </c>
      <c r="BG103" s="828">
        <v>63</v>
      </c>
      <c r="BH103" s="828">
        <v>65</v>
      </c>
      <c r="BI103" s="828">
        <v>60</v>
      </c>
      <c r="BJ103" s="533">
        <f>SUM(BF103:BI103)</f>
        <v>245</v>
      </c>
      <c r="BK103" s="828">
        <v>66</v>
      </c>
      <c r="BL103" s="828">
        <v>72</v>
      </c>
      <c r="BM103" s="828">
        <v>73</v>
      </c>
      <c r="BN103" s="828">
        <v>66</v>
      </c>
      <c r="BO103" s="533">
        <f>SUM(BK103:BN103)</f>
        <v>277</v>
      </c>
      <c r="BP103" s="828">
        <v>70</v>
      </c>
      <c r="BQ103" s="828">
        <v>80</v>
      </c>
      <c r="BR103" s="828">
        <v>81</v>
      </c>
      <c r="BS103" s="828">
        <v>74</v>
      </c>
      <c r="BT103" s="533">
        <f>SUM(BP103:BS103)</f>
        <v>305</v>
      </c>
      <c r="BU103" s="828">
        <v>77</v>
      </c>
      <c r="BV103" s="828">
        <v>83</v>
      </c>
      <c r="BW103" s="828">
        <v>88</v>
      </c>
      <c r="BX103" s="828">
        <v>73</v>
      </c>
      <c r="BY103" s="533">
        <f>SUM(BU103:BX103)</f>
        <v>321</v>
      </c>
      <c r="BZ103" s="828">
        <v>83</v>
      </c>
      <c r="CA103" s="828">
        <v>90</v>
      </c>
      <c r="CB103" s="828">
        <v>91</v>
      </c>
      <c r="CC103" s="828">
        <v>78</v>
      </c>
      <c r="CD103" s="533">
        <f>SUM(BZ103:CC103)</f>
        <v>342</v>
      </c>
      <c r="CE103" s="828">
        <v>85</v>
      </c>
      <c r="CF103" s="828">
        <v>92</v>
      </c>
      <c r="CG103" s="828">
        <v>98</v>
      </c>
      <c r="CH103" s="828">
        <v>81</v>
      </c>
      <c r="CI103" s="533">
        <f>SUM(CE103:CH103)</f>
        <v>356</v>
      </c>
      <c r="CJ103" s="828">
        <v>95</v>
      </c>
      <c r="CK103" s="828">
        <v>101</v>
      </c>
      <c r="CL103" s="828">
        <v>104</v>
      </c>
      <c r="CM103" s="828">
        <v>96</v>
      </c>
      <c r="CN103" s="533">
        <f>SUM(CJ103:CM103)</f>
        <v>396</v>
      </c>
      <c r="CO103" s="534">
        <f>(CM103/CM$96)*CO$96</f>
        <v>98.242835121951231</v>
      </c>
      <c r="CP103" s="534">
        <f t="shared" si="394"/>
        <v>105.22536585365856</v>
      </c>
      <c r="CQ103" s="534">
        <f t="shared" si="394"/>
        <v>103.79836097560975</v>
      </c>
      <c r="CR103" s="534">
        <f t="shared" si="394"/>
        <v>98.496000000000024</v>
      </c>
      <c r="CS103" s="533">
        <f>(CN103/CN$96)*CS$96</f>
        <v>429.97865469924812</v>
      </c>
      <c r="CT103" s="534"/>
      <c r="CU103" s="534"/>
      <c r="CV103" s="534"/>
      <c r="CW103" s="534"/>
      <c r="CX103" s="533">
        <f>(CS103/CS$96)*CX$96</f>
        <v>455.47638892291349</v>
      </c>
      <c r="CY103" s="534"/>
      <c r="CZ103" s="534"/>
      <c r="DA103" s="534"/>
      <c r="DB103" s="534"/>
      <c r="DC103" s="533">
        <f>(CX103/CX$96)*DC$96</f>
        <v>480.04934010530479</v>
      </c>
      <c r="DD103" s="25"/>
      <c r="DE103" s="178"/>
      <c r="DK103" s="389"/>
      <c r="DL103" s="9"/>
      <c r="DM103" s="9"/>
      <c r="DN103" s="9"/>
      <c r="DO103" s="9"/>
      <c r="DP103" s="9"/>
      <c r="DQ103" s="9"/>
      <c r="DR103" s="487"/>
      <c r="DS103" s="25"/>
      <c r="DZ103" s="9"/>
      <c r="EA103" s="342"/>
      <c r="EB103" s="385"/>
      <c r="EC103" s="385"/>
      <c r="ED103" s="385"/>
      <c r="EE103" s="385"/>
      <c r="EF103" s="385"/>
      <c r="EG103" s="385"/>
      <c r="EH103" s="385"/>
      <c r="EI103" s="385"/>
      <c r="EJ103" s="385"/>
      <c r="EK103" s="385"/>
      <c r="EL103" s="385"/>
      <c r="EM103" s="385"/>
      <c r="EN103" s="225"/>
      <c r="EO103" s="225"/>
      <c r="EP103" s="225"/>
      <c r="EQ103" s="225"/>
      <c r="ER103" s="225"/>
      <c r="ES103" s="225"/>
      <c r="ET103" s="225"/>
      <c r="EU103" s="225"/>
      <c r="EV103" s="225"/>
      <c r="EW103" s="225"/>
      <c r="EX103" s="225"/>
    </row>
    <row r="104" spans="1:154" x14ac:dyDescent="0.2">
      <c r="A104" s="535" t="s">
        <v>294</v>
      </c>
      <c r="B104" s="851">
        <v>6.4050000000000002</v>
      </c>
      <c r="C104" s="534"/>
      <c r="D104" s="534"/>
      <c r="E104" s="534"/>
      <c r="F104" s="534"/>
      <c r="G104" s="851">
        <v>29.096</v>
      </c>
      <c r="H104" s="828">
        <v>11.999000000000001</v>
      </c>
      <c r="I104" s="828">
        <v>13.853999999999999</v>
      </c>
      <c r="J104" s="828">
        <v>15.814</v>
      </c>
      <c r="K104" s="828">
        <v>21.815999999999999</v>
      </c>
      <c r="L104" s="533">
        <f>SUM(H104:K104)</f>
        <v>63.483000000000004</v>
      </c>
      <c r="M104" s="828">
        <v>27.548999999999999</v>
      </c>
      <c r="N104" s="828">
        <v>28.026</v>
      </c>
      <c r="O104" s="828">
        <v>36.503</v>
      </c>
      <c r="P104" s="828">
        <v>34.744999999999997</v>
      </c>
      <c r="Q104" s="533">
        <f>SUM(M104:P104)</f>
        <v>126.82300000000001</v>
      </c>
      <c r="R104" s="828">
        <v>35.362000000000002</v>
      </c>
      <c r="S104" s="828">
        <v>36.279000000000003</v>
      </c>
      <c r="T104" s="828">
        <v>42.523000000000003</v>
      </c>
      <c r="U104" s="828">
        <v>44.951999999999998</v>
      </c>
      <c r="V104" s="533">
        <f>SUM(R104:U104)</f>
        <v>159.11600000000001</v>
      </c>
      <c r="W104" s="828">
        <v>48.503</v>
      </c>
      <c r="X104" s="828">
        <v>49.515999999999998</v>
      </c>
      <c r="Y104" s="828">
        <v>57.499000000000002</v>
      </c>
      <c r="Z104" s="828">
        <f>58.993-2</f>
        <v>56.993000000000002</v>
      </c>
      <c r="AA104" s="533">
        <f>SUM(W104:Z104)</f>
        <v>212.511</v>
      </c>
      <c r="AB104" s="828">
        <v>62.253999999999998</v>
      </c>
      <c r="AC104" s="828">
        <v>66.257999999999996</v>
      </c>
      <c r="AD104" s="828">
        <v>76.518000000000001</v>
      </c>
      <c r="AE104" s="828">
        <f>86.202-6.1</f>
        <v>80.102000000000004</v>
      </c>
      <c r="AF104" s="533">
        <f>SUM(AB104:AE104)</f>
        <v>285.13200000000001</v>
      </c>
      <c r="AG104" s="828">
        <v>88</v>
      </c>
      <c r="AH104" s="828">
        <v>87</v>
      </c>
      <c r="AI104" s="828">
        <v>85</v>
      </c>
      <c r="AJ104" s="828">
        <f>76</f>
        <v>76</v>
      </c>
      <c r="AK104" s="533">
        <f>SUM(AG104:AJ104)</f>
        <v>336</v>
      </c>
      <c r="AL104" s="828">
        <v>95</v>
      </c>
      <c r="AM104" s="828">
        <v>95</v>
      </c>
      <c r="AN104" s="828">
        <v>101</v>
      </c>
      <c r="AO104" s="828">
        <v>98</v>
      </c>
      <c r="AP104" s="533">
        <f>SUM(AL104:AO104)</f>
        <v>389</v>
      </c>
      <c r="AQ104" s="828">
        <v>112.8</v>
      </c>
      <c r="AR104" s="828">
        <v>100</v>
      </c>
      <c r="AS104" s="828">
        <v>104</v>
      </c>
      <c r="AT104" s="828">
        <f>104-8.4</f>
        <v>95.6</v>
      </c>
      <c r="AU104" s="533">
        <f>SUM(AQ104:AT104)</f>
        <v>412.4</v>
      </c>
      <c r="AV104" s="828">
        <v>100.4</v>
      </c>
      <c r="AW104" s="828">
        <v>89.9</v>
      </c>
      <c r="AX104" s="828">
        <v>110.7</v>
      </c>
      <c r="AY104" s="828">
        <v>118</v>
      </c>
      <c r="AZ104" s="533">
        <f>SUM(AV104:AY104)</f>
        <v>419</v>
      </c>
      <c r="BA104" s="828">
        <f>134</f>
        <v>134</v>
      </c>
      <c r="BB104" s="828">
        <v>121</v>
      </c>
      <c r="BC104" s="828">
        <v>134</v>
      </c>
      <c r="BD104" s="828">
        <v>126.4</v>
      </c>
      <c r="BE104" s="533">
        <f>SUM(BA104:BD104)</f>
        <v>515.4</v>
      </c>
      <c r="BF104" s="828">
        <v>135</v>
      </c>
      <c r="BG104" s="828">
        <v>129</v>
      </c>
      <c r="BH104" s="828">
        <v>135</v>
      </c>
      <c r="BI104" s="828">
        <v>133</v>
      </c>
      <c r="BJ104" s="533">
        <f>SUM(BF104:BI104)</f>
        <v>532</v>
      </c>
      <c r="BK104" s="828">
        <v>131</v>
      </c>
      <c r="BL104" s="828">
        <v>125</v>
      </c>
      <c r="BM104" s="828">
        <v>145</v>
      </c>
      <c r="BN104" s="828">
        <v>148</v>
      </c>
      <c r="BO104" s="533">
        <f>SUM(BK104:BN104)</f>
        <v>549</v>
      </c>
      <c r="BP104" s="828">
        <v>159</v>
      </c>
      <c r="BQ104" s="828">
        <v>141</v>
      </c>
      <c r="BR104" s="828">
        <v>151</v>
      </c>
      <c r="BS104" s="828">
        <v>150</v>
      </c>
      <c r="BT104" s="533">
        <f>SUM(BP104:BS104)</f>
        <v>601</v>
      </c>
      <c r="BU104" s="828">
        <v>181</v>
      </c>
      <c r="BV104" s="828">
        <v>177</v>
      </c>
      <c r="BW104" s="828">
        <v>166</v>
      </c>
      <c r="BX104" s="828">
        <v>158</v>
      </c>
      <c r="BY104" s="533">
        <f>SUM(BU104:BX104)</f>
        <v>682</v>
      </c>
      <c r="BZ104" s="828">
        <v>186</v>
      </c>
      <c r="CA104" s="828">
        <v>186</v>
      </c>
      <c r="CB104" s="828">
        <v>199</v>
      </c>
      <c r="CC104" s="828">
        <v>178</v>
      </c>
      <c r="CD104" s="533">
        <f>SUM(BZ104:CC104)</f>
        <v>749</v>
      </c>
      <c r="CE104" s="828">
        <v>214</v>
      </c>
      <c r="CF104" s="828">
        <v>213</v>
      </c>
      <c r="CG104" s="828">
        <v>223</v>
      </c>
      <c r="CH104" s="828">
        <v>217</v>
      </c>
      <c r="CI104" s="533">
        <f>SUM(CE104:CH104)</f>
        <v>867</v>
      </c>
      <c r="CJ104" s="828">
        <v>230</v>
      </c>
      <c r="CK104" s="828">
        <v>231</v>
      </c>
      <c r="CL104" s="828">
        <v>229</v>
      </c>
      <c r="CM104" s="828">
        <v>242</v>
      </c>
      <c r="CN104" s="533">
        <f>SUM(CJ104:CM104)</f>
        <v>932</v>
      </c>
      <c r="CO104" s="534">
        <f>(CM104/CM$96)*CO$96</f>
        <v>247.65381353658535</v>
      </c>
      <c r="CP104" s="534">
        <f t="shared" si="394"/>
        <v>265.25560975609761</v>
      </c>
      <c r="CQ104" s="534">
        <f t="shared" si="394"/>
        <v>261.65836829268289</v>
      </c>
      <c r="CR104" s="534">
        <f t="shared" si="394"/>
        <v>248.29200000000003</v>
      </c>
      <c r="CS104" s="533">
        <f>(CN104/CN$96)*CS$96</f>
        <v>1011.9699651002506</v>
      </c>
      <c r="CT104" s="534"/>
      <c r="CU104" s="534"/>
      <c r="CV104" s="534"/>
      <c r="CW104" s="534"/>
      <c r="CX104" s="533">
        <f>(CS104/CS$96)*CX$96</f>
        <v>1071.9797840306953</v>
      </c>
      <c r="CY104" s="534"/>
      <c r="CZ104" s="534"/>
      <c r="DA104" s="534"/>
      <c r="DB104" s="534"/>
      <c r="DC104" s="533">
        <f>(CX104/CX$96)*DC$96</f>
        <v>1129.8130933791517</v>
      </c>
      <c r="DD104" s="364"/>
      <c r="DE104" s="456"/>
      <c r="DF104" s="364"/>
      <c r="DG104" s="364"/>
      <c r="DH104" s="364"/>
      <c r="DI104" s="364"/>
      <c r="DJ104" s="430"/>
      <c r="DK104" s="9"/>
      <c r="DL104" s="9"/>
      <c r="DM104" s="619"/>
      <c r="DN104" s="9"/>
      <c r="DO104" s="9"/>
      <c r="DP104" s="9"/>
      <c r="DQ104" s="9"/>
      <c r="DR104" s="456"/>
      <c r="DS104" s="364"/>
      <c r="DZ104" s="9"/>
      <c r="EA104" s="342"/>
    </row>
    <row r="105" spans="1:154" x14ac:dyDescent="0.2">
      <c r="A105" s="8" t="s">
        <v>29</v>
      </c>
      <c r="B105" s="10">
        <f>B96+B91+B86+B81+B60+B45</f>
        <v>14.215999999999999</v>
      </c>
      <c r="C105" s="9"/>
      <c r="D105" s="9"/>
      <c r="E105" s="9"/>
      <c r="F105" s="9"/>
      <c r="G105" s="10">
        <f t="shared" ref="G105:AL105" si="395">G96+G91+G86+G81+G60+G45</f>
        <v>125.80599999999998</v>
      </c>
      <c r="H105" s="9">
        <f t="shared" si="395"/>
        <v>56.311595099999998</v>
      </c>
      <c r="I105" s="9">
        <f t="shared" si="395"/>
        <v>67.408027599999997</v>
      </c>
      <c r="J105" s="9">
        <f t="shared" si="395"/>
        <v>77.970097400000014</v>
      </c>
      <c r="K105" s="9">
        <f t="shared" si="395"/>
        <v>92.347496100000001</v>
      </c>
      <c r="L105" s="10">
        <f t="shared" si="395"/>
        <v>294.03721619999999</v>
      </c>
      <c r="M105" s="9">
        <f t="shared" si="395"/>
        <v>109.9902668</v>
      </c>
      <c r="N105" s="9">
        <f t="shared" si="395"/>
        <v>121.59557719999999</v>
      </c>
      <c r="O105" s="9">
        <f t="shared" si="395"/>
        <v>142.799148</v>
      </c>
      <c r="P105" s="9">
        <f t="shared" si="395"/>
        <v>155.8170216</v>
      </c>
      <c r="Q105" s="10">
        <f t="shared" si="395"/>
        <v>530.20201359999999</v>
      </c>
      <c r="R105" s="9">
        <f t="shared" si="395"/>
        <v>182.67700000000002</v>
      </c>
      <c r="S105" s="9">
        <f t="shared" si="395"/>
        <v>195.75700000000001</v>
      </c>
      <c r="T105" s="9">
        <f t="shared" si="395"/>
        <v>219.74</v>
      </c>
      <c r="U105" s="9">
        <f t="shared" si="395"/>
        <v>227.94399999999999</v>
      </c>
      <c r="V105" s="10">
        <f t="shared" si="395"/>
        <v>826.11799999999994</v>
      </c>
      <c r="W105" s="9">
        <f t="shared" si="395"/>
        <v>256.33900000000006</v>
      </c>
      <c r="X105" s="9">
        <f t="shared" si="395"/>
        <v>274.63</v>
      </c>
      <c r="Y105" s="9">
        <f t="shared" si="395"/>
        <v>300.23</v>
      </c>
      <c r="Z105" s="9">
        <f t="shared" si="395"/>
        <v>319.83000000000004</v>
      </c>
      <c r="AA105" s="10">
        <f t="shared" si="395"/>
        <v>1151.029</v>
      </c>
      <c r="AB105" s="9">
        <f t="shared" si="395"/>
        <v>348.56</v>
      </c>
      <c r="AC105" s="9">
        <f t="shared" si="395"/>
        <v>388.93999999999994</v>
      </c>
      <c r="AD105" s="9">
        <f t="shared" si="395"/>
        <v>439.06900000000002</v>
      </c>
      <c r="AE105" s="9">
        <f t="shared" si="395"/>
        <v>464.50699999999995</v>
      </c>
      <c r="AF105" s="10">
        <f t="shared" si="395"/>
        <v>1641.076</v>
      </c>
      <c r="AG105" s="9">
        <f t="shared" si="395"/>
        <v>515</v>
      </c>
      <c r="AH105" s="9">
        <f t="shared" si="395"/>
        <v>565</v>
      </c>
      <c r="AI105" s="9">
        <f t="shared" si="395"/>
        <v>594</v>
      </c>
      <c r="AJ105" s="9">
        <f t="shared" si="395"/>
        <v>569</v>
      </c>
      <c r="AK105" s="10">
        <f t="shared" si="395"/>
        <v>2243</v>
      </c>
      <c r="AL105" s="9">
        <f t="shared" si="395"/>
        <v>621</v>
      </c>
      <c r="AM105" s="9">
        <f t="shared" ref="AM105:BR105" si="396">AM96+AM91+AM86+AM81+AM60+AM45</f>
        <v>657</v>
      </c>
      <c r="AN105" s="9">
        <f t="shared" si="396"/>
        <v>686</v>
      </c>
      <c r="AO105" s="9">
        <f t="shared" si="396"/>
        <v>709</v>
      </c>
      <c r="AP105" s="10">
        <f t="shared" si="396"/>
        <v>2673</v>
      </c>
      <c r="AQ105" s="9">
        <f t="shared" si="396"/>
        <v>798.8</v>
      </c>
      <c r="AR105" s="9">
        <f t="shared" si="396"/>
        <v>838</v>
      </c>
      <c r="AS105" s="9">
        <f t="shared" si="396"/>
        <v>880</v>
      </c>
      <c r="AT105" s="9">
        <f t="shared" si="396"/>
        <v>762</v>
      </c>
      <c r="AU105" s="10">
        <f t="shared" si="396"/>
        <v>3278.8</v>
      </c>
      <c r="AV105" s="9">
        <f t="shared" si="396"/>
        <v>719.5</v>
      </c>
      <c r="AW105" s="9">
        <f t="shared" si="396"/>
        <v>731</v>
      </c>
      <c r="AX105" s="9">
        <f t="shared" si="396"/>
        <v>788</v>
      </c>
      <c r="AY105" s="9">
        <f t="shared" si="396"/>
        <v>768</v>
      </c>
      <c r="AZ105" s="10">
        <f t="shared" si="396"/>
        <v>3006.5</v>
      </c>
      <c r="BA105" s="9">
        <f t="shared" si="396"/>
        <v>828</v>
      </c>
      <c r="BB105" s="9">
        <f t="shared" si="396"/>
        <v>845</v>
      </c>
      <c r="BC105" s="9">
        <f t="shared" si="396"/>
        <v>890.2</v>
      </c>
      <c r="BD105" s="9">
        <f t="shared" si="396"/>
        <v>882.9</v>
      </c>
      <c r="BE105" s="10">
        <f t="shared" si="396"/>
        <v>3446.1000000000004</v>
      </c>
      <c r="BF105" s="9">
        <f t="shared" si="396"/>
        <v>967</v>
      </c>
      <c r="BG105" s="9">
        <f t="shared" si="396"/>
        <v>1065</v>
      </c>
      <c r="BH105" s="9">
        <f t="shared" si="396"/>
        <v>1087</v>
      </c>
      <c r="BI105" s="9">
        <f t="shared" si="396"/>
        <v>1063</v>
      </c>
      <c r="BJ105" s="10">
        <f t="shared" si="396"/>
        <v>4182</v>
      </c>
      <c r="BK105" s="9">
        <f t="shared" si="396"/>
        <v>1114</v>
      </c>
      <c r="BL105" s="9">
        <f t="shared" si="396"/>
        <v>1147</v>
      </c>
      <c r="BM105" s="9">
        <f t="shared" si="396"/>
        <v>1195</v>
      </c>
      <c r="BN105" s="9">
        <f t="shared" si="396"/>
        <v>1150</v>
      </c>
      <c r="BO105" s="10">
        <f t="shared" si="396"/>
        <v>4606</v>
      </c>
      <c r="BP105" s="9">
        <f t="shared" si="396"/>
        <v>1240</v>
      </c>
      <c r="BQ105" s="9">
        <f>BQ96+BQ91+BQ86+BQ81+BQ60+BQ45</f>
        <v>1233</v>
      </c>
      <c r="BR105" s="9">
        <f t="shared" si="396"/>
        <v>1290</v>
      </c>
      <c r="BS105" s="9">
        <f>BS96+BS91+BS86+BS81+BS60+BS45</f>
        <v>1250</v>
      </c>
      <c r="BT105" s="10">
        <f>BT96+BT91+BT86+BT81+BT60+BT45</f>
        <v>5013</v>
      </c>
      <c r="BU105" s="9">
        <f>BU96+BU91+BU86+BU81+BU60+BU45</f>
        <v>1308</v>
      </c>
      <c r="BV105" s="9">
        <f>BV96+BV91+BV86+BV81+BV60+BV45</f>
        <v>1352</v>
      </c>
      <c r="BW105" s="9">
        <f>BW96+BW91+BW86+BW81+BW60+BW45</f>
        <v>1365</v>
      </c>
      <c r="BX105" s="9">
        <f t="shared" ref="BX105:CD105" si="397">BX96+BX91+BX86+BX81+BX60+BX45</f>
        <v>1277</v>
      </c>
      <c r="BY105" s="10">
        <f t="shared" si="397"/>
        <v>5302</v>
      </c>
      <c r="BZ105" s="9">
        <f t="shared" si="397"/>
        <v>1270</v>
      </c>
      <c r="CA105" s="9">
        <f t="shared" si="397"/>
        <v>1330</v>
      </c>
      <c r="CB105" s="9">
        <f t="shared" si="397"/>
        <v>1336</v>
      </c>
      <c r="CC105" s="9">
        <f t="shared" si="397"/>
        <v>1264</v>
      </c>
      <c r="CD105" s="10">
        <f t="shared" si="397"/>
        <v>5200</v>
      </c>
      <c r="CE105" s="9">
        <f>CE96+CE91+CE86+CE81+CE60+CE45</f>
        <v>1267</v>
      </c>
      <c r="CF105" s="9">
        <f t="shared" ref="CF105:CI105" si="398">CF96+CF91+CF86+CF81+CF60+CF45</f>
        <v>1330</v>
      </c>
      <c r="CG105" s="9">
        <f t="shared" si="398"/>
        <v>1378</v>
      </c>
      <c r="CH105" s="9">
        <f t="shared" si="398"/>
        <v>1345</v>
      </c>
      <c r="CI105" s="10">
        <f t="shared" si="398"/>
        <v>5320</v>
      </c>
      <c r="CJ105" s="9">
        <f>CJ96+CJ91+CJ86+CJ81+CJ60+CJ45</f>
        <v>1457</v>
      </c>
      <c r="CK105" s="9">
        <f t="shared" ref="CK105:CN105" si="399">CK96+CK91+CK86+CK81+CK60+CK45</f>
        <v>1488</v>
      </c>
      <c r="CL105" s="9">
        <f t="shared" si="399"/>
        <v>1503</v>
      </c>
      <c r="CM105" s="9">
        <f t="shared" si="399"/>
        <v>1567</v>
      </c>
      <c r="CN105" s="10">
        <f t="shared" si="399"/>
        <v>6015</v>
      </c>
      <c r="CO105" s="9">
        <f t="shared" ref="CO105:CS105" si="400">CO96+CO91+CO86+CO81+CO60+CO45</f>
        <v>1643.8355315082979</v>
      </c>
      <c r="CP105" s="9">
        <f t="shared" si="400"/>
        <v>1711.4624439740821</v>
      </c>
      <c r="CQ105" s="9">
        <f t="shared" si="400"/>
        <v>1731.1171075692962</v>
      </c>
      <c r="CR105" s="9">
        <f t="shared" si="400"/>
        <v>1685.4571925423729</v>
      </c>
      <c r="CS105" s="10">
        <f t="shared" si="400"/>
        <v>6771.8722755940489</v>
      </c>
      <c r="CT105" s="9">
        <f t="shared" ref="CT105:CX105" si="401">CT96+CT91+CT86+CT81+CT60+CT45</f>
        <v>0</v>
      </c>
      <c r="CU105" s="9">
        <f t="shared" si="401"/>
        <v>0</v>
      </c>
      <c r="CV105" s="9">
        <f t="shared" si="401"/>
        <v>0</v>
      </c>
      <c r="CW105" s="9">
        <f t="shared" si="401"/>
        <v>0</v>
      </c>
      <c r="CX105" s="10">
        <f t="shared" si="401"/>
        <v>7247.1392356169945</v>
      </c>
      <c r="CY105" s="9">
        <f t="shared" ref="CY105:DC105" si="402">CY96+CY91+CY86+CY81+CY60+CY45</f>
        <v>0</v>
      </c>
      <c r="CZ105" s="9">
        <f t="shared" si="402"/>
        <v>0</v>
      </c>
      <c r="DA105" s="9">
        <f t="shared" si="402"/>
        <v>0</v>
      </c>
      <c r="DB105" s="9">
        <f t="shared" si="402"/>
        <v>0</v>
      </c>
      <c r="DC105" s="10">
        <f t="shared" si="402"/>
        <v>7693.2991581174065</v>
      </c>
      <c r="DD105" s="364"/>
      <c r="DE105" s="178"/>
      <c r="DJ105" s="437"/>
      <c r="DK105" s="9"/>
      <c r="DL105" s="9"/>
      <c r="DM105" s="619"/>
      <c r="DN105" s="619"/>
      <c r="DO105" s="9"/>
      <c r="DP105" s="9"/>
      <c r="DQ105" s="9"/>
      <c r="DR105" s="487"/>
      <c r="DS105" s="25"/>
      <c r="DZ105" s="9"/>
      <c r="EA105" s="342"/>
    </row>
    <row r="106" spans="1:154" x14ac:dyDescent="0.2">
      <c r="A106" s="11" t="s">
        <v>131</v>
      </c>
      <c r="B106" s="249"/>
      <c r="C106" s="20"/>
      <c r="D106" s="20"/>
      <c r="E106" s="20"/>
      <c r="F106" s="20"/>
      <c r="G106" s="249"/>
      <c r="H106" s="3"/>
      <c r="I106" s="3"/>
      <c r="J106" s="3"/>
      <c r="K106" s="3"/>
      <c r="L106" s="249">
        <f t="shared" ref="L106:AZ106" si="403">L105/G105-1</f>
        <v>1.3372272880466753</v>
      </c>
      <c r="M106" s="3">
        <f t="shared" si="403"/>
        <v>0.95324367218999284</v>
      </c>
      <c r="N106" s="3">
        <f t="shared" si="403"/>
        <v>0.80387383416036928</v>
      </c>
      <c r="O106" s="3">
        <f t="shared" si="403"/>
        <v>0.83146042857194091</v>
      </c>
      <c r="P106" s="3">
        <f t="shared" si="403"/>
        <v>0.68729016140590304</v>
      </c>
      <c r="Q106" s="249">
        <f t="shared" si="403"/>
        <v>0.8031799527015111</v>
      </c>
      <c r="R106" s="3">
        <f t="shared" si="403"/>
        <v>0.66084695777826785</v>
      </c>
      <c r="S106" s="3">
        <f t="shared" si="403"/>
        <v>0.60990230490060959</v>
      </c>
      <c r="T106" s="3">
        <f t="shared" si="403"/>
        <v>0.53880469931095121</v>
      </c>
      <c r="U106" s="3">
        <f t="shared" si="403"/>
        <v>0.46289537342818776</v>
      </c>
      <c r="V106" s="249">
        <f t="shared" si="403"/>
        <v>0.5581193183156179</v>
      </c>
      <c r="W106" s="3">
        <f t="shared" si="403"/>
        <v>0.40323631327424914</v>
      </c>
      <c r="X106" s="3">
        <f t="shared" si="403"/>
        <v>0.40291279494475285</v>
      </c>
      <c r="Y106" s="3">
        <f t="shared" si="403"/>
        <v>0.3662965322654046</v>
      </c>
      <c r="Z106" s="3">
        <f t="shared" si="403"/>
        <v>0.40310778085845667</v>
      </c>
      <c r="AA106" s="249">
        <f t="shared" si="403"/>
        <v>0.39329853604448761</v>
      </c>
      <c r="AB106" s="3">
        <f t="shared" si="403"/>
        <v>0.35976187782584756</v>
      </c>
      <c r="AC106" s="3">
        <f t="shared" si="403"/>
        <v>0.41623274951753242</v>
      </c>
      <c r="AD106" s="3">
        <f t="shared" si="403"/>
        <v>0.46244212770209492</v>
      </c>
      <c r="AE106" s="3">
        <f t="shared" si="403"/>
        <v>0.4523559390926426</v>
      </c>
      <c r="AF106" s="249">
        <f t="shared" si="403"/>
        <v>0.42574687518733234</v>
      </c>
      <c r="AG106" s="3">
        <f t="shared" si="403"/>
        <v>0.47750745926095939</v>
      </c>
      <c r="AH106" s="3">
        <f t="shared" si="403"/>
        <v>0.45266622101095311</v>
      </c>
      <c r="AI106" s="3">
        <f t="shared" si="403"/>
        <v>0.35286253413472601</v>
      </c>
      <c r="AJ106" s="3">
        <f t="shared" si="403"/>
        <v>0.22495462931667354</v>
      </c>
      <c r="AK106" s="249">
        <f t="shared" si="403"/>
        <v>0.36678618174904765</v>
      </c>
      <c r="AL106" s="3">
        <f t="shared" si="403"/>
        <v>0.2058252427184466</v>
      </c>
      <c r="AM106" s="3">
        <f t="shared" si="403"/>
        <v>0.16283185840707959</v>
      </c>
      <c r="AN106" s="3">
        <f t="shared" si="403"/>
        <v>0.15488215488215484</v>
      </c>
      <c r="AO106" s="3">
        <f t="shared" si="403"/>
        <v>0.24604569420035149</v>
      </c>
      <c r="AP106" s="249">
        <f t="shared" si="403"/>
        <v>0.19170753455193945</v>
      </c>
      <c r="AQ106" s="3">
        <f t="shared" si="403"/>
        <v>0.2863123993558776</v>
      </c>
      <c r="AR106" s="3">
        <f t="shared" si="403"/>
        <v>0.27549467275494677</v>
      </c>
      <c r="AS106" s="3">
        <f t="shared" si="403"/>
        <v>0.28279883381924198</v>
      </c>
      <c r="AT106" s="3">
        <f t="shared" si="403"/>
        <v>7.4753173483780078E-2</v>
      </c>
      <c r="AU106" s="249">
        <f t="shared" si="403"/>
        <v>0.22663673774784887</v>
      </c>
      <c r="AV106" s="3">
        <f t="shared" si="403"/>
        <v>-9.9273910866299442E-2</v>
      </c>
      <c r="AW106" s="3">
        <f t="shared" si="403"/>
        <v>-0.12768496420047737</v>
      </c>
      <c r="AX106" s="3">
        <f t="shared" si="403"/>
        <v>-0.1045454545454545</v>
      </c>
      <c r="AY106" s="3">
        <f t="shared" si="403"/>
        <v>7.8740157480314821E-3</v>
      </c>
      <c r="AZ106" s="249">
        <f t="shared" si="403"/>
        <v>-8.3048676345004346E-2</v>
      </c>
      <c r="BA106" s="3">
        <f t="shared" ref="BA106:BQ106" si="404">BA105/AV105-1</f>
        <v>0.15079916608756072</v>
      </c>
      <c r="BB106" s="3">
        <f t="shared" si="404"/>
        <v>0.15595075239398093</v>
      </c>
      <c r="BC106" s="3">
        <f t="shared" si="404"/>
        <v>0.12969543147208129</v>
      </c>
      <c r="BD106" s="3">
        <f t="shared" si="404"/>
        <v>0.14960937500000004</v>
      </c>
      <c r="BE106" s="249">
        <f t="shared" si="404"/>
        <v>0.14621653084982555</v>
      </c>
      <c r="BF106" s="3">
        <f>BF105/BA105-1</f>
        <v>0.16787439613526578</v>
      </c>
      <c r="BG106" s="3">
        <f t="shared" si="404"/>
        <v>0.26035502958579881</v>
      </c>
      <c r="BH106" s="3">
        <f t="shared" si="404"/>
        <v>0.22107391597393833</v>
      </c>
      <c r="BI106" s="3">
        <f t="shared" si="404"/>
        <v>0.20398686147921619</v>
      </c>
      <c r="BJ106" s="249">
        <f t="shared" si="404"/>
        <v>0.21354574736658827</v>
      </c>
      <c r="BK106" s="3">
        <f>BK105/BF105-1</f>
        <v>0.15201654601861425</v>
      </c>
      <c r="BL106" s="3">
        <f t="shared" si="404"/>
        <v>7.6995305164319294E-2</v>
      </c>
      <c r="BM106" s="3">
        <f t="shared" si="404"/>
        <v>9.9356025758969624E-2</v>
      </c>
      <c r="BN106" s="3">
        <f t="shared" si="404"/>
        <v>8.1843838193791152E-2</v>
      </c>
      <c r="BO106" s="249">
        <f t="shared" si="404"/>
        <v>0.10138689622190333</v>
      </c>
      <c r="BP106" s="3">
        <f t="shared" si="404"/>
        <v>0.11310592459605018</v>
      </c>
      <c r="BQ106" s="3">
        <f t="shared" si="404"/>
        <v>7.4978204010462068E-2</v>
      </c>
      <c r="BR106" s="3">
        <f t="shared" ref="BR106:BW106" si="405">BR105/BM105-1</f>
        <v>7.9497907949790836E-2</v>
      </c>
      <c r="BS106" s="3">
        <f t="shared" si="405"/>
        <v>8.6956521739130377E-2</v>
      </c>
      <c r="BT106" s="249">
        <f t="shared" si="405"/>
        <v>8.8363004776378595E-2</v>
      </c>
      <c r="BU106" s="3">
        <f t="shared" si="405"/>
        <v>5.4838709677419439E-2</v>
      </c>
      <c r="BV106" s="3">
        <f t="shared" si="405"/>
        <v>9.6512570965125777E-2</v>
      </c>
      <c r="BW106" s="3">
        <f t="shared" si="405"/>
        <v>5.8139534883721034E-2</v>
      </c>
      <c r="BX106" s="3">
        <f>BX105/BS105-1</f>
        <v>2.1600000000000064E-2</v>
      </c>
      <c r="BY106" s="249">
        <f>BY105/BT105-1</f>
        <v>5.7650109714741715E-2</v>
      </c>
      <c r="BZ106" s="3">
        <f>BZ105/BU105-1</f>
        <v>-2.9051987767584109E-2</v>
      </c>
      <c r="CA106" s="3">
        <f>CA105/BV105-1</f>
        <v>-1.6272189349112454E-2</v>
      </c>
      <c r="CB106" s="3">
        <f>CB105/BW105-1</f>
        <v>-2.1245421245421281E-2</v>
      </c>
      <c r="CC106" s="3">
        <f t="shared" ref="CC106:CD106" si="406">CC105/BX105-1</f>
        <v>-1.018010963194993E-2</v>
      </c>
      <c r="CD106" s="249">
        <f t="shared" si="406"/>
        <v>-1.9238023387400993E-2</v>
      </c>
      <c r="CE106" s="3">
        <f>CE105/BZ105-1</f>
        <v>-2.3622047244094002E-3</v>
      </c>
      <c r="CF106" s="3">
        <f>CF105/CA105-1</f>
        <v>0</v>
      </c>
      <c r="CG106" s="3">
        <f>CG105/CB105-1</f>
        <v>3.1437125748503103E-2</v>
      </c>
      <c r="CH106" s="3">
        <f t="shared" ref="CH106" si="407">CH105/CC105-1</f>
        <v>6.4082278481012667E-2</v>
      </c>
      <c r="CI106" s="249">
        <f t="shared" ref="CI106:CR106" si="408">CI105/CD105-1</f>
        <v>2.3076923076922995E-2</v>
      </c>
      <c r="CJ106" s="3">
        <f>CJ105/CE105-1</f>
        <v>0.14996053670086829</v>
      </c>
      <c r="CK106" s="3">
        <f>CK105/CF105-1</f>
        <v>0.1187969924812029</v>
      </c>
      <c r="CL106" s="3">
        <f>CL105/CG105-1</f>
        <v>9.0711175616835948E-2</v>
      </c>
      <c r="CM106" s="3">
        <f t="shared" ref="CM106" si="409">CM105/CH105-1</f>
        <v>0.1650557620817843</v>
      </c>
      <c r="CN106" s="249">
        <f t="shared" ref="CN106" si="410">CN105/CI105-1</f>
        <v>0.130639097744361</v>
      </c>
      <c r="CO106" s="3">
        <f t="shared" si="408"/>
        <v>0.12823303466595593</v>
      </c>
      <c r="CP106" s="3">
        <f t="shared" si="408"/>
        <v>0.15017637363849601</v>
      </c>
      <c r="CQ106" s="3">
        <f t="shared" si="408"/>
        <v>0.15177452266752911</v>
      </c>
      <c r="CR106" s="3">
        <f t="shared" si="408"/>
        <v>7.5594889944079702E-2</v>
      </c>
      <c r="CS106" s="249">
        <f>CS105/CN105-1</f>
        <v>0.12583080226002474</v>
      </c>
      <c r="CT106" s="3"/>
      <c r="CU106" s="3"/>
      <c r="CV106" s="3"/>
      <c r="CW106" s="3"/>
      <c r="CX106" s="249">
        <f>CX105/CS105-1</f>
        <v>7.018250502683232E-2</v>
      </c>
      <c r="CY106" s="3"/>
      <c r="CZ106" s="3"/>
      <c r="DA106" s="3"/>
      <c r="DB106" s="3"/>
      <c r="DC106" s="249">
        <f>DC105/CX105-1</f>
        <v>6.1563591921582228E-2</v>
      </c>
      <c r="DD106" s="25"/>
      <c r="DE106" s="178"/>
      <c r="DJ106" s="430"/>
      <c r="DK106" s="389"/>
      <c r="DL106" s="389"/>
      <c r="DM106" s="619"/>
      <c r="DN106" s="398"/>
      <c r="DO106" s="389"/>
      <c r="DP106" s="389"/>
      <c r="DQ106" s="389"/>
      <c r="DR106" s="487"/>
      <c r="DS106" s="25"/>
    </row>
    <row r="107" spans="1:154" x14ac:dyDescent="0.2">
      <c r="A107" s="80" t="s">
        <v>154</v>
      </c>
      <c r="B107" s="249"/>
      <c r="C107" s="20"/>
      <c r="D107" s="20"/>
      <c r="E107" s="20"/>
      <c r="F107" s="20"/>
      <c r="G107" s="249"/>
      <c r="H107" s="3"/>
      <c r="I107" s="3">
        <f>I105/H105-1</f>
        <v>0.19705413210715461</v>
      </c>
      <c r="J107" s="3">
        <f>J105/I105-1</f>
        <v>0.1566886048450411</v>
      </c>
      <c r="K107" s="3">
        <f>K105/J105-1</f>
        <v>0.18439631575989268</v>
      </c>
      <c r="L107" s="249"/>
      <c r="M107" s="3">
        <f>M105/K105-1</f>
        <v>0.19104763469596664</v>
      </c>
      <c r="N107" s="3">
        <f>N105/L105-1</f>
        <v>-0.58646194937006757</v>
      </c>
      <c r="O107" s="3">
        <f>O105/M105-1</f>
        <v>0.29828895005462441</v>
      </c>
      <c r="P107" s="3">
        <f>P105/N105-1</f>
        <v>0.28143658830380569</v>
      </c>
      <c r="Q107" s="249"/>
      <c r="R107" s="3">
        <f>R105/P105-1</f>
        <v>0.17238154165821906</v>
      </c>
      <c r="S107" s="3">
        <f>S105/Q105-1</f>
        <v>-0.63078789786022038</v>
      </c>
      <c r="T107" s="3">
        <f>T105/R105-1</f>
        <v>0.20288815778669456</v>
      </c>
      <c r="U107" s="3">
        <f>U105/S105-1</f>
        <v>0.16442323901571831</v>
      </c>
      <c r="V107" s="249"/>
      <c r="W107" s="3">
        <f>W105/U105-1</f>
        <v>0.12457006984171581</v>
      </c>
      <c r="X107" s="3">
        <f>X105/V105-1</f>
        <v>-0.6675656504276628</v>
      </c>
      <c r="Y107" s="3">
        <f>Y105/W105-1</f>
        <v>0.17122248272794982</v>
      </c>
      <c r="Z107" s="3">
        <f>Z105/X105-1</f>
        <v>0.16458507810508705</v>
      </c>
      <c r="AA107" s="249"/>
      <c r="AB107" s="3">
        <f>AB105/Z105-1</f>
        <v>8.9828971641184197E-2</v>
      </c>
      <c r="AC107" s="3">
        <f>AC105/AA105-1</f>
        <v>-0.66209365706685075</v>
      </c>
      <c r="AD107" s="3">
        <f>AD105/AB105-1</f>
        <v>0.25966548083543728</v>
      </c>
      <c r="AE107" s="3">
        <f>AE105/AC105-1</f>
        <v>0.19428960765156589</v>
      </c>
      <c r="AF107" s="249"/>
      <c r="AG107" s="3">
        <f>AG105/AE105-1</f>
        <v>0.10870234463635642</v>
      </c>
      <c r="AH107" s="3">
        <f>AH105/AF105-1</f>
        <v>-0.65571369028612936</v>
      </c>
      <c r="AI107" s="3">
        <f>AI105/AH105-1</f>
        <v>5.1327433628318486E-2</v>
      </c>
      <c r="AJ107" s="3">
        <f>AJ105/AH105-1</f>
        <v>7.0796460176991705E-3</v>
      </c>
      <c r="AK107" s="249"/>
      <c r="AL107" s="3">
        <f>AL105/AJ105-1</f>
        <v>9.1388400702987704E-2</v>
      </c>
      <c r="AM107" s="3">
        <f>AM105/AL105-1</f>
        <v>5.7971014492753659E-2</v>
      </c>
      <c r="AN107" s="3">
        <f>AN105/AM105-1</f>
        <v>4.4140030441400357E-2</v>
      </c>
      <c r="AO107" s="3">
        <f>AO105/AN105-1</f>
        <v>3.3527696793002937E-2</v>
      </c>
      <c r="AP107" s="249"/>
      <c r="AQ107" s="3">
        <f>AQ105/AO105-1</f>
        <v>0.12665726375176289</v>
      </c>
      <c r="AR107" s="3">
        <f>AR105/AQ105-1</f>
        <v>4.9073610415623525E-2</v>
      </c>
      <c r="AS107" s="3">
        <f>AS105/AR105-1</f>
        <v>5.0119331742243478E-2</v>
      </c>
      <c r="AT107" s="3">
        <f>AT105/AS105-1</f>
        <v>-0.13409090909090904</v>
      </c>
      <c r="AU107" s="249"/>
      <c r="AV107" s="3">
        <f>AV105/AT105-1</f>
        <v>-5.5774278215223072E-2</v>
      </c>
      <c r="AW107" s="3">
        <f>AW105/AV105-1</f>
        <v>1.5983321751216195E-2</v>
      </c>
      <c r="AX107" s="3">
        <f>AX105/AW105-1</f>
        <v>7.7975376196990354E-2</v>
      </c>
      <c r="AY107" s="3">
        <f>AY105/AX105-1</f>
        <v>-2.5380710659898442E-2</v>
      </c>
      <c r="AZ107" s="249"/>
      <c r="BA107" s="3">
        <f>BA105/AZ105-1</f>
        <v>-0.72459670713454183</v>
      </c>
      <c r="BB107" s="3">
        <f>BB105/BA105-1</f>
        <v>2.0531400966183666E-2</v>
      </c>
      <c r="BC107" s="3">
        <f>BC105/BB105-1</f>
        <v>5.3491124260355072E-2</v>
      </c>
      <c r="BD107" s="3">
        <f>BD105/BC105-1</f>
        <v>-8.2004044035048906E-3</v>
      </c>
      <c r="BE107" s="249"/>
      <c r="BF107" s="3">
        <f>BF105/BD105-1</f>
        <v>9.5254275682410183E-2</v>
      </c>
      <c r="BG107" s="3">
        <f>BG105/BE105-1</f>
        <v>-0.69095499260033089</v>
      </c>
      <c r="BH107" s="3">
        <f>BH105/BG105-1</f>
        <v>2.0657276995305063E-2</v>
      </c>
      <c r="BI107" s="3">
        <f>BI105/BH105-1</f>
        <v>-2.2079116835326595E-2</v>
      </c>
      <c r="BJ107" s="249"/>
      <c r="BK107" s="3">
        <f>BK105/BI105-1</f>
        <v>4.7977422389463786E-2</v>
      </c>
      <c r="BL107" s="3">
        <f>BL105/BK105-1</f>
        <v>2.9622980251346576E-2</v>
      </c>
      <c r="BM107" s="3">
        <f>BM105/BL105-1</f>
        <v>4.1848299912816023E-2</v>
      </c>
      <c r="BN107" s="3">
        <f>BN105/BM105-1</f>
        <v>-3.7656903765690419E-2</v>
      </c>
      <c r="BO107" s="249"/>
      <c r="BP107" s="3">
        <f>BP105/BN105-1</f>
        <v>7.8260869565217384E-2</v>
      </c>
      <c r="BQ107" s="3">
        <f>BQ105/BP105-1</f>
        <v>-5.6451612903225534E-3</v>
      </c>
      <c r="BR107" s="3">
        <f>BR105/BQ105-1</f>
        <v>4.6228710462287159E-2</v>
      </c>
      <c r="BS107" s="3">
        <f>BS105/BR105-1</f>
        <v>-3.1007751937984551E-2</v>
      </c>
      <c r="BT107" s="249"/>
      <c r="BU107" s="3">
        <f>BU105/BS105-1</f>
        <v>4.6399999999999997E-2</v>
      </c>
      <c r="BV107" s="3">
        <f>BV105/BU105-1</f>
        <v>3.3639143730886945E-2</v>
      </c>
      <c r="BW107" s="3">
        <f>BW105/BV105-1</f>
        <v>9.6153846153845812E-3</v>
      </c>
      <c r="BX107" s="3">
        <f>BX105/BW105-1</f>
        <v>-6.4468864468864462E-2</v>
      </c>
      <c r="BY107" s="249"/>
      <c r="BZ107" s="3">
        <f>BZ105/BX105-1</f>
        <v>-5.4815974941269108E-3</v>
      </c>
      <c r="CA107" s="3">
        <f>CA105/BZ105-1</f>
        <v>4.7244094488188892E-2</v>
      </c>
      <c r="CB107" s="3">
        <f>CB105/CA105-1</f>
        <v>4.5112781954887993E-3</v>
      </c>
      <c r="CC107" s="3">
        <f>CC105/CB105-1</f>
        <v>-5.3892215568862256E-2</v>
      </c>
      <c r="CD107" s="249"/>
      <c r="CE107" s="3">
        <f>CE105/CC105-1</f>
        <v>2.373417721518889E-3</v>
      </c>
      <c r="CF107" s="3">
        <f>CF105/CE105-1</f>
        <v>4.9723756906077332E-2</v>
      </c>
      <c r="CG107" s="3">
        <f>CG105/CF105-1</f>
        <v>3.6090225563909728E-2</v>
      </c>
      <c r="CH107" s="3">
        <f>CH105/CG105-1</f>
        <v>-2.3947750362844689E-2</v>
      </c>
      <c r="CI107" s="249"/>
      <c r="CJ107" s="3">
        <f>CJ105/CH105-1</f>
        <v>8.3271375464684105E-2</v>
      </c>
      <c r="CK107" s="3">
        <f>CK105/CJ105-1</f>
        <v>2.1276595744680771E-2</v>
      </c>
      <c r="CL107" s="3">
        <f>CL105/CK105-1</f>
        <v>1.0080645161290258E-2</v>
      </c>
      <c r="CM107" s="3">
        <f>CM105/CL105-1</f>
        <v>4.2581503659347986E-2</v>
      </c>
      <c r="CN107" s="249"/>
      <c r="CO107" s="3">
        <f>CO105/CM105-1</f>
        <v>4.903352361729274E-2</v>
      </c>
      <c r="CP107" s="3">
        <f t="shared" ref="CP107:CR107" si="411">CP105/CO105-1</f>
        <v>4.1139707208867282E-2</v>
      </c>
      <c r="CQ107" s="3">
        <f t="shared" si="411"/>
        <v>1.1484133738614233E-2</v>
      </c>
      <c r="CR107" s="3">
        <f t="shared" si="411"/>
        <v>-2.6375982784339502E-2</v>
      </c>
      <c r="CS107" s="249"/>
      <c r="CT107" s="3"/>
      <c r="CU107" s="3"/>
      <c r="CV107" s="3"/>
      <c r="CW107" s="3"/>
      <c r="CX107" s="249"/>
      <c r="CY107" s="3"/>
      <c r="CZ107" s="3"/>
      <c r="DA107" s="3"/>
      <c r="DB107" s="3"/>
      <c r="DC107" s="249"/>
      <c r="DD107" s="25"/>
      <c r="DE107" s="178"/>
      <c r="DF107" s="361">
        <f>AVERAGE(AQ107,BA107,BF107,AL107,BK107,BP107)</f>
        <v>-4.750974584044998E-2</v>
      </c>
      <c r="DG107" s="361">
        <f>AVERAGE(AR107,BB107,BG107,AM107,BL107,BQ107)</f>
        <v>-8.990019129412434E-2</v>
      </c>
      <c r="DH107" s="361">
        <f>AVERAGE(AS107,BC107,BH107,AN107,BM107,BR107)</f>
        <v>4.2747462302401194E-2</v>
      </c>
      <c r="DI107" s="361">
        <f>AVERAGE(AT107,BD107,BI107,AO107,BN107,BS107)</f>
        <v>-3.325123154006876E-2</v>
      </c>
      <c r="DJ107" s="430"/>
      <c r="DK107" s="389"/>
      <c r="DL107" s="389"/>
      <c r="DM107" s="398"/>
      <c r="DN107" s="407"/>
      <c r="DO107" s="389"/>
      <c r="DP107" s="389"/>
      <c r="DQ107" s="389"/>
      <c r="DR107" s="487"/>
      <c r="DS107" s="25"/>
    </row>
    <row r="108" spans="1:154" x14ac:dyDescent="0.2">
      <c r="A108" s="39" t="str">
        <f>$A105&amp;" per ASM (cents)"</f>
        <v>Total Operating Expense per ASM (cents)</v>
      </c>
      <c r="B108" s="271"/>
      <c r="C108" s="82"/>
      <c r="D108" s="82"/>
      <c r="E108" s="82"/>
      <c r="F108" s="82"/>
      <c r="G108" s="271">
        <f>G105/G$6*100</f>
        <v>9.1706297254190723</v>
      </c>
      <c r="H108" s="82">
        <f t="shared" ref="H108:AM108" si="412">H105/H6*100</f>
        <v>7.5499690421155936</v>
      </c>
      <c r="I108" s="82">
        <f t="shared" si="412"/>
        <v>7.0162319618961968</v>
      </c>
      <c r="J108" s="82">
        <f t="shared" si="412"/>
        <v>6.8938285766830285</v>
      </c>
      <c r="K108" s="82">
        <f t="shared" si="412"/>
        <v>6.7374571993889081</v>
      </c>
      <c r="L108" s="271">
        <f t="shared" si="412"/>
        <v>6.9871330930285556</v>
      </c>
      <c r="M108" s="82">
        <f t="shared" si="412"/>
        <v>6.8119347482767374</v>
      </c>
      <c r="N108" s="82">
        <f t="shared" si="412"/>
        <v>6.2933988436494133</v>
      </c>
      <c r="O108" s="82">
        <f t="shared" si="412"/>
        <v>6.4114442268371734</v>
      </c>
      <c r="P108" s="82">
        <f t="shared" si="412"/>
        <v>6.3188676917686486</v>
      </c>
      <c r="Q108" s="271">
        <f t="shared" si="412"/>
        <v>6.4345388715303447</v>
      </c>
      <c r="R108" s="82">
        <f t="shared" si="412"/>
        <v>6.2601972330351128</v>
      </c>
      <c r="S108" s="82">
        <f t="shared" si="412"/>
        <v>5.976913299538138</v>
      </c>
      <c r="T108" s="82">
        <f t="shared" si="412"/>
        <v>5.9311587190921289</v>
      </c>
      <c r="U108" s="82">
        <f t="shared" si="412"/>
        <v>6.0925487730788586</v>
      </c>
      <c r="V108" s="271">
        <f t="shared" si="412"/>
        <v>6.0568109301463515</v>
      </c>
      <c r="W108" s="82">
        <f t="shared" si="412"/>
        <v>6.0765149862985135</v>
      </c>
      <c r="X108" s="82">
        <f t="shared" si="412"/>
        <v>5.8974036864409962</v>
      </c>
      <c r="Y108" s="82">
        <f t="shared" si="412"/>
        <v>6.0774319444219529</v>
      </c>
      <c r="Z108" s="82">
        <f t="shared" si="412"/>
        <v>6.2765225910069296</v>
      </c>
      <c r="AA108" s="271">
        <f t="shared" si="412"/>
        <v>6.0865416734373987</v>
      </c>
      <c r="AB108" s="82">
        <f t="shared" si="412"/>
        <v>6.7437299427916706</v>
      </c>
      <c r="AC108" s="82">
        <f t="shared" si="412"/>
        <v>6.6528685299852883</v>
      </c>
      <c r="AD108" s="82">
        <f t="shared" si="412"/>
        <v>6.934279363637426</v>
      </c>
      <c r="AE108" s="82">
        <f t="shared" si="412"/>
        <v>7.3077297624952813</v>
      </c>
      <c r="AF108" s="271">
        <f t="shared" si="412"/>
        <v>6.9234674595645611</v>
      </c>
      <c r="AG108" s="82">
        <f t="shared" si="412"/>
        <v>7.8303177740611227</v>
      </c>
      <c r="AH108" s="82">
        <f t="shared" si="412"/>
        <v>7.8450430435990013</v>
      </c>
      <c r="AI108" s="82">
        <f t="shared" si="412"/>
        <v>7.8811198089425512</v>
      </c>
      <c r="AJ108" s="82">
        <f t="shared" si="412"/>
        <v>7.8180818906292942</v>
      </c>
      <c r="AK108" s="271">
        <f t="shared" si="412"/>
        <v>7.8443030006295027</v>
      </c>
      <c r="AL108" s="82">
        <f t="shared" si="412"/>
        <v>8.4260515603799178</v>
      </c>
      <c r="AM108" s="82">
        <f t="shared" si="412"/>
        <v>8.1453012645673208</v>
      </c>
      <c r="AN108" s="82">
        <f t="shared" ref="AN108:BS108" si="413">AN105/AN6*100</f>
        <v>8.2106523040095745</v>
      </c>
      <c r="AO108" s="82">
        <f t="shared" si="413"/>
        <v>8.7390607666707751</v>
      </c>
      <c r="AP108" s="271">
        <f t="shared" si="413"/>
        <v>8.3782597793380145</v>
      </c>
      <c r="AQ108" s="82">
        <f t="shared" si="413"/>
        <v>9.515187611673614</v>
      </c>
      <c r="AR108" s="82">
        <f t="shared" si="413"/>
        <v>9.996421328879876</v>
      </c>
      <c r="AS108" s="82">
        <f t="shared" si="413"/>
        <v>10.792249202845229</v>
      </c>
      <c r="AT108" s="82">
        <f t="shared" si="413"/>
        <v>10.14647137150466</v>
      </c>
      <c r="AU108" s="271">
        <f t="shared" si="413"/>
        <v>10.10665187103138</v>
      </c>
      <c r="AV108" s="82">
        <f t="shared" si="413"/>
        <v>9.058974617244159</v>
      </c>
      <c r="AW108" s="82">
        <f t="shared" si="413"/>
        <v>8.8745902634454303</v>
      </c>
      <c r="AX108" s="82">
        <f t="shared" si="413"/>
        <v>9.391014181861518</v>
      </c>
      <c r="AY108" s="82">
        <f t="shared" si="413"/>
        <v>9.6144216324486731</v>
      </c>
      <c r="AZ108" s="271">
        <f t="shared" si="413"/>
        <v>9.2341761265909881</v>
      </c>
      <c r="BA108" s="82">
        <f t="shared" si="413"/>
        <v>9.8295032302026915</v>
      </c>
      <c r="BB108" s="82">
        <f t="shared" si="413"/>
        <v>9.7258036966801384</v>
      </c>
      <c r="BC108" s="82">
        <f t="shared" si="413"/>
        <v>9.7802680729509994</v>
      </c>
      <c r="BD108" s="82">
        <f t="shared" si="413"/>
        <v>10.350297003935433</v>
      </c>
      <c r="BE108" s="271">
        <f t="shared" si="413"/>
        <v>9.9185362392246947</v>
      </c>
      <c r="BF108" s="82">
        <f t="shared" si="413"/>
        <v>11.36201943622059</v>
      </c>
      <c r="BG108" s="82">
        <f t="shared" si="413"/>
        <v>11.280584683825866</v>
      </c>
      <c r="BH108" s="82">
        <f t="shared" si="413"/>
        <v>11.029934043632673</v>
      </c>
      <c r="BI108" s="82">
        <f t="shared" si="413"/>
        <v>11.278514588859416</v>
      </c>
      <c r="BJ108" s="271">
        <f t="shared" si="413"/>
        <v>11.232330331715531</v>
      </c>
      <c r="BK108" s="82">
        <f t="shared" si="413"/>
        <v>11.682046979865772</v>
      </c>
      <c r="BL108" s="82">
        <f t="shared" si="413"/>
        <v>11.514908141752835</v>
      </c>
      <c r="BM108" s="82">
        <f t="shared" si="413"/>
        <v>11.16405082212257</v>
      </c>
      <c r="BN108" s="82">
        <f t="shared" si="413"/>
        <v>11.646749037877253</v>
      </c>
      <c r="BO108" s="271">
        <f t="shared" si="413"/>
        <v>11.493449781659388</v>
      </c>
      <c r="BP108" s="82">
        <f t="shared" si="413"/>
        <v>12.22879684418146</v>
      </c>
      <c r="BQ108" s="82">
        <f t="shared" si="413"/>
        <v>11.479378083977283</v>
      </c>
      <c r="BR108" s="82">
        <f t="shared" si="413"/>
        <v>11.464628510487024</v>
      </c>
      <c r="BS108" s="82">
        <f t="shared" si="413"/>
        <v>11.692077448321017</v>
      </c>
      <c r="BT108" s="271">
        <f t="shared" ref="BT108:CF108" si="414">BT105/BT6*100</f>
        <v>11.706052680739772</v>
      </c>
      <c r="BU108" s="82">
        <f t="shared" si="414"/>
        <v>12.553987906708898</v>
      </c>
      <c r="BV108" s="82">
        <f t="shared" si="414"/>
        <v>11.874231512383629</v>
      </c>
      <c r="BW108" s="82">
        <f t="shared" si="414"/>
        <v>11.61504424778761</v>
      </c>
      <c r="BX108" s="82">
        <f t="shared" si="414"/>
        <v>11.166491780342778</v>
      </c>
      <c r="BY108" s="271">
        <f t="shared" si="414"/>
        <v>11.78405529749072</v>
      </c>
      <c r="BZ108" s="82">
        <f t="shared" si="414"/>
        <v>11.121814519660216</v>
      </c>
      <c r="CA108" s="82">
        <f t="shared" si="414"/>
        <v>10.868676963308001</v>
      </c>
      <c r="CB108" s="82">
        <f t="shared" si="414"/>
        <v>10.295930949445129</v>
      </c>
      <c r="CC108" s="82">
        <f t="shared" si="414"/>
        <v>10.011088230635197</v>
      </c>
      <c r="CD108" s="271">
        <f t="shared" si="414"/>
        <v>10.55666084696902</v>
      </c>
      <c r="CE108" s="82">
        <f t="shared" si="414"/>
        <v>9.7244608181748404</v>
      </c>
      <c r="CF108" s="82">
        <f t="shared" si="414"/>
        <v>9.7815694638523194</v>
      </c>
      <c r="CG108" s="82">
        <f t="shared" ref="CG108:CL108" si="415">CG105/CG6*100</f>
        <v>9.9884024354885472</v>
      </c>
      <c r="CH108" s="82">
        <f t="shared" si="415"/>
        <v>10.19093802091226</v>
      </c>
      <c r="CI108" s="271">
        <f t="shared" si="415"/>
        <v>9.9216710182767613</v>
      </c>
      <c r="CJ108" s="82">
        <f t="shared" si="415"/>
        <v>10.72901325478645</v>
      </c>
      <c r="CK108" s="82">
        <f t="shared" si="415"/>
        <v>10.445037203425523</v>
      </c>
      <c r="CL108" s="82">
        <f t="shared" si="415"/>
        <v>10.506081364462464</v>
      </c>
      <c r="CM108" s="82">
        <f t="shared" ref="CM108:CN108" si="416">CM105/CM6*100</f>
        <v>11.29287979244739</v>
      </c>
      <c r="CN108" s="271">
        <f t="shared" si="416"/>
        <v>10.739537208970146</v>
      </c>
      <c r="CO108" s="82">
        <f t="shared" ref="CO108:CR108" si="417">CO105/CO6*100</f>
        <v>11.718128928769588</v>
      </c>
      <c r="CP108" s="82">
        <f t="shared" si="417"/>
        <v>11.227696273976772</v>
      </c>
      <c r="CQ108" s="82">
        <f t="shared" si="417"/>
        <v>11.000578953327251</v>
      </c>
      <c r="CR108" s="82">
        <f t="shared" si="417"/>
        <v>11.246818331027011</v>
      </c>
      <c r="CS108" s="271">
        <f>CS105/CS6*100</f>
        <v>11.287575025109241</v>
      </c>
      <c r="CT108" s="82"/>
      <c r="CU108" s="82"/>
      <c r="CV108" s="82"/>
      <c r="CW108" s="82"/>
      <c r="CX108" s="271">
        <f>CX105/CX6*100</f>
        <v>11.289500295373568</v>
      </c>
      <c r="CY108" s="82"/>
      <c r="CZ108" s="82"/>
      <c r="DA108" s="82"/>
      <c r="DB108" s="82"/>
      <c r="DC108" s="271">
        <f>DC105/DC6*100</f>
        <v>11.200488303323858</v>
      </c>
      <c r="DD108" s="366"/>
      <c r="DE108" s="463"/>
      <c r="DJ108" s="441"/>
      <c r="DK108" s="403"/>
      <c r="DL108" s="410"/>
      <c r="DM108" s="410"/>
      <c r="DN108" s="403"/>
      <c r="DO108" s="403"/>
      <c r="DP108" s="403"/>
      <c r="DQ108" s="403"/>
      <c r="DR108" s="500"/>
      <c r="DS108" s="366"/>
    </row>
    <row r="109" spans="1:154" s="30" customFormat="1" x14ac:dyDescent="0.2">
      <c r="A109" s="810" t="s">
        <v>131</v>
      </c>
      <c r="B109" s="811"/>
      <c r="C109" s="812"/>
      <c r="D109" s="812"/>
      <c r="E109" s="812"/>
      <c r="F109" s="812"/>
      <c r="G109" s="811"/>
      <c r="H109" s="813"/>
      <c r="I109" s="813"/>
      <c r="J109" s="813"/>
      <c r="K109" s="813"/>
      <c r="L109" s="811">
        <f t="shared" ref="L109:AZ109" si="418">L108/G108-1</f>
        <v>-0.23809669540340506</v>
      </c>
      <c r="M109" s="813">
        <f t="shared" si="418"/>
        <v>-9.7753287426997182E-2</v>
      </c>
      <c r="N109" s="813">
        <f t="shared" si="418"/>
        <v>-0.10302297902525903</v>
      </c>
      <c r="O109" s="813">
        <f t="shared" si="418"/>
        <v>-6.9973360155403674E-2</v>
      </c>
      <c r="P109" s="813">
        <f t="shared" si="418"/>
        <v>-6.2128707497871138E-2</v>
      </c>
      <c r="Q109" s="811">
        <f t="shared" si="418"/>
        <v>-7.9087404539290085E-2</v>
      </c>
      <c r="R109" s="813">
        <f t="shared" si="418"/>
        <v>-8.0995713498459687E-2</v>
      </c>
      <c r="S109" s="813">
        <f t="shared" si="418"/>
        <v>-5.0288493066133366E-2</v>
      </c>
      <c r="T109" s="813">
        <f t="shared" si="418"/>
        <v>-7.4910658309192524E-2</v>
      </c>
      <c r="U109" s="813">
        <f t="shared" si="418"/>
        <v>-3.5816372446697553E-2</v>
      </c>
      <c r="V109" s="811">
        <f t="shared" si="418"/>
        <v>-5.8703187427346593E-2</v>
      </c>
      <c r="W109" s="813">
        <f t="shared" si="418"/>
        <v>-2.9341287486487899E-2</v>
      </c>
      <c r="X109" s="813">
        <f t="shared" si="418"/>
        <v>-1.3302788431494572E-2</v>
      </c>
      <c r="Y109" s="813">
        <f t="shared" si="418"/>
        <v>2.4661829544196268E-2</v>
      </c>
      <c r="Z109" s="813">
        <f t="shared" si="418"/>
        <v>3.0196527722682553E-2</v>
      </c>
      <c r="AA109" s="811">
        <f t="shared" si="418"/>
        <v>4.9086464203578206E-3</v>
      </c>
      <c r="AB109" s="813">
        <f t="shared" si="418"/>
        <v>0.10980223993483285</v>
      </c>
      <c r="AC109" s="813">
        <f t="shared" si="418"/>
        <v>0.12810126009878164</v>
      </c>
      <c r="AD109" s="813">
        <f t="shared" si="418"/>
        <v>0.14098840218225939</v>
      </c>
      <c r="AE109" s="813">
        <f t="shared" si="418"/>
        <v>0.16429593879991389</v>
      </c>
      <c r="AF109" s="811">
        <f t="shared" si="418"/>
        <v>0.13750432199940965</v>
      </c>
      <c r="AG109" s="813">
        <f t="shared" si="418"/>
        <v>0.1611256441890736</v>
      </c>
      <c r="AH109" s="813">
        <f t="shared" si="418"/>
        <v>0.1791970648811767</v>
      </c>
      <c r="AI109" s="813">
        <f t="shared" si="418"/>
        <v>0.13654489466782205</v>
      </c>
      <c r="AJ109" s="813">
        <f t="shared" si="418"/>
        <v>6.9837301695697684E-2</v>
      </c>
      <c r="AK109" s="811">
        <f t="shared" si="418"/>
        <v>0.13300207539689302</v>
      </c>
      <c r="AL109" s="813">
        <f t="shared" si="418"/>
        <v>7.608040995376153E-2</v>
      </c>
      <c r="AM109" s="813">
        <f t="shared" si="418"/>
        <v>3.8273623140067992E-2</v>
      </c>
      <c r="AN109" s="813">
        <f t="shared" si="418"/>
        <v>4.1812902614817515E-2</v>
      </c>
      <c r="AO109" s="813">
        <f t="shared" si="418"/>
        <v>0.11780112934674691</v>
      </c>
      <c r="AP109" s="811">
        <f t="shared" si="418"/>
        <v>6.8069371958944247E-2</v>
      </c>
      <c r="AQ109" s="813">
        <f t="shared" si="418"/>
        <v>0.12925817549169949</v>
      </c>
      <c r="AR109" s="813">
        <f t="shared" si="418"/>
        <v>0.22726232022443016</v>
      </c>
      <c r="AS109" s="813">
        <f t="shared" si="418"/>
        <v>0.31442043862641245</v>
      </c>
      <c r="AT109" s="813">
        <f t="shared" si="418"/>
        <v>0.16104826850518061</v>
      </c>
      <c r="AU109" s="811">
        <f t="shared" si="418"/>
        <v>0.20629487951135483</v>
      </c>
      <c r="AV109" s="813">
        <f t="shared" si="418"/>
        <v>-4.7945769757577361E-2</v>
      </c>
      <c r="AW109" s="813">
        <f t="shared" si="418"/>
        <v>-0.11222326756010692</v>
      </c>
      <c r="AX109" s="813">
        <f t="shared" si="418"/>
        <v>-0.12983716319433158</v>
      </c>
      <c r="AY109" s="813">
        <f t="shared" si="418"/>
        <v>-5.2436923101187194E-2</v>
      </c>
      <c r="AZ109" s="811">
        <f t="shared" si="418"/>
        <v>-8.6326882094471147E-2</v>
      </c>
      <c r="BA109" s="813">
        <f t="shared" ref="BA109:BQ109" si="419">BA108/AV108-1</f>
        <v>8.505693475416054E-2</v>
      </c>
      <c r="BB109" s="813">
        <f t="shared" si="419"/>
        <v>9.59158009514951E-2</v>
      </c>
      <c r="BC109" s="813">
        <f t="shared" si="419"/>
        <v>4.1449611676799947E-2</v>
      </c>
      <c r="BD109" s="813">
        <f t="shared" si="419"/>
        <v>7.6538704003076052E-2</v>
      </c>
      <c r="BE109" s="811">
        <f t="shared" si="419"/>
        <v>7.4111659042651823E-2</v>
      </c>
      <c r="BF109" s="813">
        <f>BF108/BA108-1</f>
        <v>0.15590983289053728</v>
      </c>
      <c r="BG109" s="813">
        <f t="shared" si="419"/>
        <v>0.15986144031227423</v>
      </c>
      <c r="BH109" s="813">
        <f t="shared" si="419"/>
        <v>0.1277742042815615</v>
      </c>
      <c r="BI109" s="813">
        <f t="shared" si="419"/>
        <v>8.9680284978397529E-2</v>
      </c>
      <c r="BJ109" s="811">
        <f t="shared" si="419"/>
        <v>0.13245846572553654</v>
      </c>
      <c r="BK109" s="813">
        <f>BK108/BF108-1</f>
        <v>2.8166431631420741E-2</v>
      </c>
      <c r="BL109" s="813">
        <f t="shared" si="419"/>
        <v>2.0772279495666846E-2</v>
      </c>
      <c r="BM109" s="813">
        <f t="shared" si="419"/>
        <v>1.2159345464746396E-2</v>
      </c>
      <c r="BN109" s="813">
        <f t="shared" si="419"/>
        <v>3.2649197384695405E-2</v>
      </c>
      <c r="BO109" s="811">
        <f t="shared" si="419"/>
        <v>2.3247130580424713E-2</v>
      </c>
      <c r="BP109" s="813">
        <f t="shared" si="419"/>
        <v>4.6802573663504488E-2</v>
      </c>
      <c r="BQ109" s="813">
        <f t="shared" si="419"/>
        <v>-3.0855702310573774E-3</v>
      </c>
      <c r="BR109" s="813">
        <f t="shared" ref="BR109:BW109" si="420">BR108/BM108-1</f>
        <v>2.6923711935172623E-2</v>
      </c>
      <c r="BS109" s="813">
        <f t="shared" si="420"/>
        <v>3.8919367367107327E-3</v>
      </c>
      <c r="BT109" s="811">
        <f t="shared" si="420"/>
        <v>1.8497744638832803E-2</v>
      </c>
      <c r="BU109" s="813">
        <f t="shared" si="420"/>
        <v>2.6592236887324372E-2</v>
      </c>
      <c r="BV109" s="813">
        <f t="shared" si="420"/>
        <v>3.4396761350466987E-2</v>
      </c>
      <c r="BW109" s="813">
        <f t="shared" si="420"/>
        <v>1.3119983535706981E-2</v>
      </c>
      <c r="BX109" s="813">
        <f>BX108/BS108-1</f>
        <v>-4.495229101084286E-2</v>
      </c>
      <c r="BY109" s="811">
        <f>BY108/BT108-1</f>
        <v>6.6634431672503158E-3</v>
      </c>
      <c r="BZ109" s="813">
        <f>BZ108/BU108-1</f>
        <v>-0.11408115076192826</v>
      </c>
      <c r="CA109" s="813">
        <f>CA108/BV108-1</f>
        <v>-8.4683758104845408E-2</v>
      </c>
      <c r="CB109" s="813">
        <f>CB108/BW108-1</f>
        <v>-0.11356937349539076</v>
      </c>
      <c r="CC109" s="813">
        <f t="shared" ref="CC109:CD109" si="421">CC108/BX108-1</f>
        <v>-0.10347059510145573</v>
      </c>
      <c r="CD109" s="811">
        <f t="shared" si="421"/>
        <v>-0.10415722088329471</v>
      </c>
      <c r="CE109" s="813">
        <f>CE108/BZ108-1</f>
        <v>-0.12564080249812204</v>
      </c>
      <c r="CF109" s="813">
        <f>CF108/CA108-1</f>
        <v>-0.10002206369052014</v>
      </c>
      <c r="CG109" s="813">
        <f>CG108/CB108-1</f>
        <v>-2.9868937104046478E-2</v>
      </c>
      <c r="CH109" s="813">
        <f t="shared" ref="CH109" si="422">CH108/CC108-1</f>
        <v>1.7965058955998314E-2</v>
      </c>
      <c r="CI109" s="811">
        <f t="shared" ref="CI109:CR109" si="423">CI108/CD108-1</f>
        <v>-6.0150632657160141E-2</v>
      </c>
      <c r="CJ109" s="813">
        <f>CJ108/CE108-1</f>
        <v>0.10330160770807151</v>
      </c>
      <c r="CK109" s="813">
        <f>CK108/CF108-1</f>
        <v>6.7828352293058947E-2</v>
      </c>
      <c r="CL109" s="813">
        <f>CL108/CG108-1</f>
        <v>5.1828000755617998E-2</v>
      </c>
      <c r="CM109" s="813">
        <f t="shared" ref="CM109" si="424">CM108/CH108-1</f>
        <v>0.10812957249606447</v>
      </c>
      <c r="CN109" s="811">
        <f t="shared" ref="CN109" si="425">CN108/CI108-1</f>
        <v>8.2432302904096533E-2</v>
      </c>
      <c r="CO109" s="813">
        <f t="shared" si="423"/>
        <v>9.2190740238098812E-2</v>
      </c>
      <c r="CP109" s="813">
        <f t="shared" si="423"/>
        <v>7.4931190316351426E-2</v>
      </c>
      <c r="CQ109" s="813">
        <f t="shared" si="423"/>
        <v>4.7067747879571797E-2</v>
      </c>
      <c r="CR109" s="813">
        <f t="shared" si="423"/>
        <v>-4.0788056073336465E-3</v>
      </c>
      <c r="CS109" s="811">
        <f>CS108/CN108-1</f>
        <v>5.1029928522557721E-2</v>
      </c>
      <c r="CT109" s="813"/>
      <c r="CU109" s="813"/>
      <c r="CV109" s="813"/>
      <c r="CW109" s="813"/>
      <c r="CX109" s="811">
        <f>CX108/CS108-1</f>
        <v>1.705654456376493E-4</v>
      </c>
      <c r="CY109" s="813"/>
      <c r="CZ109" s="813"/>
      <c r="DA109" s="813"/>
      <c r="DB109" s="813"/>
      <c r="DC109" s="811">
        <f>DC108/CX108-1</f>
        <v>-7.8844935312315512E-3</v>
      </c>
      <c r="DD109" s="25"/>
      <c r="DE109" s="178"/>
      <c r="DF109" s="379"/>
      <c r="DG109" s="379"/>
      <c r="DH109" s="379"/>
      <c r="DI109" s="379"/>
      <c r="DJ109" s="430"/>
      <c r="DK109" s="389"/>
      <c r="DL109" s="403"/>
      <c r="DM109" s="618"/>
      <c r="DN109" s="618"/>
      <c r="DO109" s="389"/>
      <c r="DP109" s="389"/>
      <c r="DQ109" s="389"/>
      <c r="DR109" s="487"/>
      <c r="DS109" s="517"/>
      <c r="DT109"/>
      <c r="DU109"/>
      <c r="DV109"/>
      <c r="DW109"/>
      <c r="DX109"/>
      <c r="DY109"/>
      <c r="DZ109" s="29"/>
      <c r="EA109" s="29"/>
    </row>
    <row r="110" spans="1:154" x14ac:dyDescent="0.2">
      <c r="A110" s="206" t="s">
        <v>268</v>
      </c>
      <c r="B110" s="274"/>
      <c r="C110" s="86"/>
      <c r="D110" s="86"/>
      <c r="E110" s="86"/>
      <c r="F110" s="86"/>
      <c r="G110" s="274">
        <f t="shared" ref="G110:BR110" si="426">((G105-G60)/G6)*100</f>
        <v>7.8851991054324264</v>
      </c>
      <c r="H110" s="87">
        <f t="shared" si="426"/>
        <v>6.4060966518826801</v>
      </c>
      <c r="I110" s="87">
        <f t="shared" si="426"/>
        <v>5.920307594947249</v>
      </c>
      <c r="J110" s="87">
        <f t="shared" si="426"/>
        <v>5.8420194993337846</v>
      </c>
      <c r="K110" s="87">
        <f t="shared" si="426"/>
        <v>5.9566281304307864</v>
      </c>
      <c r="L110" s="274">
        <f t="shared" si="426"/>
        <v>5.9971955201511689</v>
      </c>
      <c r="M110" s="87">
        <f t="shared" si="426"/>
        <v>6.0078529978261814</v>
      </c>
      <c r="N110" s="87">
        <f t="shared" si="426"/>
        <v>5.414434870010191</v>
      </c>
      <c r="O110" s="87">
        <f t="shared" si="426"/>
        <v>5.4609846923610865</v>
      </c>
      <c r="P110" s="87">
        <f t="shared" si="426"/>
        <v>5.2996044853382189</v>
      </c>
      <c r="Q110" s="274">
        <f t="shared" si="426"/>
        <v>5.5089370818081402</v>
      </c>
      <c r="R110" s="87">
        <f t="shared" si="426"/>
        <v>5.0276706769643376</v>
      </c>
      <c r="S110" s="87">
        <f t="shared" si="426"/>
        <v>4.9859261319624739</v>
      </c>
      <c r="T110" s="87">
        <f t="shared" si="426"/>
        <v>4.8974841295483396</v>
      </c>
      <c r="U110" s="87">
        <f t="shared" si="426"/>
        <v>5.0074611965658447</v>
      </c>
      <c r="V110" s="274">
        <f t="shared" si="426"/>
        <v>4.9767410624211115</v>
      </c>
      <c r="W110" s="87">
        <f t="shared" si="426"/>
        <v>4.9091624550790334</v>
      </c>
      <c r="X110" s="87">
        <f t="shared" si="426"/>
        <v>4.6641520616647281</v>
      </c>
      <c r="Y110" s="87">
        <f t="shared" si="426"/>
        <v>4.6908349662353652</v>
      </c>
      <c r="Z110" s="87">
        <f t="shared" si="426"/>
        <v>4.702789984253255</v>
      </c>
      <c r="AA110" s="274">
        <f t="shared" si="426"/>
        <v>4.7361883800112432</v>
      </c>
      <c r="AB110" s="87">
        <f t="shared" si="426"/>
        <v>5.0678581053903207</v>
      </c>
      <c r="AC110" s="87">
        <f t="shared" si="426"/>
        <v>4.7489480346207777</v>
      </c>
      <c r="AD110" s="87">
        <f t="shared" si="426"/>
        <v>4.7544150520020807</v>
      </c>
      <c r="AE110" s="87">
        <f t="shared" si="426"/>
        <v>4.9167143746463191</v>
      </c>
      <c r="AF110" s="274">
        <f t="shared" si="426"/>
        <v>4.8649387290958721</v>
      </c>
      <c r="AG110" s="87">
        <f t="shared" si="426"/>
        <v>5.3975976889159192</v>
      </c>
      <c r="AH110" s="87">
        <f t="shared" si="426"/>
        <v>5.1791169119688973</v>
      </c>
      <c r="AI110" s="87">
        <f t="shared" si="426"/>
        <v>5.0683295741011012</v>
      </c>
      <c r="AJ110" s="87">
        <f t="shared" si="426"/>
        <v>5.2349546578730424</v>
      </c>
      <c r="AK110" s="274">
        <f t="shared" si="426"/>
        <v>5.2143806392949568</v>
      </c>
      <c r="AL110" s="87">
        <f t="shared" si="426"/>
        <v>5.8480325644504747</v>
      </c>
      <c r="AM110" s="87">
        <f t="shared" si="426"/>
        <v>5.34341681130672</v>
      </c>
      <c r="AN110" s="87">
        <f t="shared" si="426"/>
        <v>5.2304009575104722</v>
      </c>
      <c r="AO110" s="87">
        <f t="shared" si="426"/>
        <v>5.4850240354985829</v>
      </c>
      <c r="AP110" s="274">
        <f t="shared" si="426"/>
        <v>5.4663991975927786</v>
      </c>
      <c r="AQ110" s="87">
        <f t="shared" si="426"/>
        <v>5.8463371054198925</v>
      </c>
      <c r="AR110" s="87">
        <f t="shared" si="426"/>
        <v>5.5827269473935353</v>
      </c>
      <c r="AS110" s="87">
        <f t="shared" si="426"/>
        <v>5.9602649006622519</v>
      </c>
      <c r="AT110" s="87">
        <f t="shared" si="426"/>
        <v>6.3062583222370172</v>
      </c>
      <c r="AU110" s="274">
        <f t="shared" si="426"/>
        <v>5.9133222366068683</v>
      </c>
      <c r="AV110" s="87">
        <f t="shared" si="426"/>
        <v>6.25</v>
      </c>
      <c r="AW110" s="87">
        <f t="shared" si="426"/>
        <v>6.0203957751608588</v>
      </c>
      <c r="AX110" s="87">
        <f t="shared" si="426"/>
        <v>6.3603861279942802</v>
      </c>
      <c r="AY110" s="87">
        <f t="shared" si="426"/>
        <v>6.7100650976464697</v>
      </c>
      <c r="AZ110" s="274">
        <f t="shared" si="426"/>
        <v>6.3332350484053261</v>
      </c>
      <c r="BA110" s="87">
        <f t="shared" si="426"/>
        <v>6.8141725291501754</v>
      </c>
      <c r="BB110" s="87">
        <f t="shared" si="426"/>
        <v>6.5145620027466959</v>
      </c>
      <c r="BC110" s="87">
        <f t="shared" si="426"/>
        <v>6.5699846187651065</v>
      </c>
      <c r="BD110" s="87">
        <f t="shared" si="426"/>
        <v>6.9564687304737642</v>
      </c>
      <c r="BE110" s="274">
        <f t="shared" si="426"/>
        <v>6.7102160088588425</v>
      </c>
      <c r="BF110" s="87">
        <f t="shared" si="426"/>
        <v>7.214353602729517</v>
      </c>
      <c r="BG110" s="87">
        <f t="shared" si="426"/>
        <v>6.6306535324647804</v>
      </c>
      <c r="BH110" s="87">
        <f t="shared" si="426"/>
        <v>6.4231354642313541</v>
      </c>
      <c r="BI110" s="87">
        <f t="shared" si="426"/>
        <v>6.8435013262599469</v>
      </c>
      <c r="BJ110" s="274">
        <f t="shared" si="426"/>
        <v>6.7630339013055263</v>
      </c>
      <c r="BK110" s="87">
        <f t="shared" si="426"/>
        <v>7.1413590604026842</v>
      </c>
      <c r="BL110" s="87">
        <f t="shared" si="426"/>
        <v>6.9972894287722118</v>
      </c>
      <c r="BM110" s="87">
        <f t="shared" si="426"/>
        <v>6.6704035874439462</v>
      </c>
      <c r="BN110" s="87">
        <f t="shared" si="426"/>
        <v>7.170346364188779</v>
      </c>
      <c r="BO110" s="274">
        <f t="shared" si="426"/>
        <v>6.9868995633187767</v>
      </c>
      <c r="BP110" s="87">
        <f t="shared" si="426"/>
        <v>7.6232741617357007</v>
      </c>
      <c r="BQ110" s="87">
        <f t="shared" si="426"/>
        <v>7.1501722372218603</v>
      </c>
      <c r="BR110" s="87">
        <f t="shared" si="426"/>
        <v>7.0120867401350875</v>
      </c>
      <c r="BS110" s="87">
        <f t="shared" ref="BS110:CW110" si="427">((BS105-BS60)/BS6)*100</f>
        <v>7.3332709755869416</v>
      </c>
      <c r="BT110" s="274">
        <f t="shared" si="427"/>
        <v>7.2716233887539703</v>
      </c>
      <c r="BU110" s="87">
        <f t="shared" si="427"/>
        <v>8.1005854688549768</v>
      </c>
      <c r="BV110" s="87">
        <f t="shared" si="427"/>
        <v>7.5092218513964513</v>
      </c>
      <c r="BW110" s="87">
        <f t="shared" si="427"/>
        <v>7.232811436351259</v>
      </c>
      <c r="BX110" s="87">
        <f t="shared" si="427"/>
        <v>7.3539699195522905</v>
      </c>
      <c r="BY110" s="274">
        <f t="shared" si="427"/>
        <v>7.5345053675016107</v>
      </c>
      <c r="BZ110" s="87">
        <f t="shared" si="427"/>
        <v>8.188107540064804</v>
      </c>
      <c r="CA110" s="87">
        <f t="shared" si="427"/>
        <v>7.836888126174717</v>
      </c>
      <c r="CB110" s="87">
        <f t="shared" si="427"/>
        <v>7.6602959309494452</v>
      </c>
      <c r="CC110" s="87">
        <f t="shared" si="427"/>
        <v>7.6350388088072236</v>
      </c>
      <c r="CD110" s="274">
        <f t="shared" si="427"/>
        <v>7.820049535100897</v>
      </c>
      <c r="CE110" s="87">
        <f t="shared" si="427"/>
        <v>8.0742958016731912</v>
      </c>
      <c r="CF110" s="87">
        <f t="shared" si="427"/>
        <v>7.7664190630286098</v>
      </c>
      <c r="CG110" s="87">
        <f t="shared" si="427"/>
        <v>7.8645984343287916</v>
      </c>
      <c r="CH110" s="87">
        <f t="shared" si="427"/>
        <v>7.9860584937111678</v>
      </c>
      <c r="CI110" s="274">
        <f t="shared" si="427"/>
        <v>7.920552032823573</v>
      </c>
      <c r="CJ110" s="87">
        <f t="shared" ref="CJ110:CN110" si="428">((CJ105-CJ60)/CJ6)*100</f>
        <v>8.3505154639175245</v>
      </c>
      <c r="CK110" s="87">
        <f t="shared" si="428"/>
        <v>8.1636950723009978</v>
      </c>
      <c r="CL110" s="87">
        <f t="shared" si="428"/>
        <v>8.0805256535719288</v>
      </c>
      <c r="CM110" s="87">
        <f t="shared" si="428"/>
        <v>8.6408186797347941</v>
      </c>
      <c r="CN110" s="274">
        <f t="shared" si="428"/>
        <v>8.3059562919582905</v>
      </c>
      <c r="CO110" s="87">
        <f t="shared" ref="CO110" si="429">((CO105-CO60)/CO6)*100</f>
        <v>8.649751903732767</v>
      </c>
      <c r="CP110" s="87">
        <f t="shared" ref="CP110:CR110" si="430">((CP105-CP60)/CP6)*100</f>
        <v>8.3095718881842675</v>
      </c>
      <c r="CQ110" s="87">
        <f t="shared" si="430"/>
        <v>8.0364904589892117</v>
      </c>
      <c r="CR110" s="87">
        <f t="shared" si="430"/>
        <v>8.3254937418082164</v>
      </c>
      <c r="CS110" s="274">
        <f t="shared" si="427"/>
        <v>8.3214618331988461</v>
      </c>
      <c r="CT110" s="87" t="e">
        <f t="shared" si="427"/>
        <v>#DIV/0!</v>
      </c>
      <c r="CU110" s="87" t="e">
        <f t="shared" si="427"/>
        <v>#DIV/0!</v>
      </c>
      <c r="CV110" s="87" t="e">
        <f t="shared" si="427"/>
        <v>#DIV/0!</v>
      </c>
      <c r="CW110" s="87" t="e">
        <f t="shared" si="427"/>
        <v>#DIV/0!</v>
      </c>
      <c r="CX110" s="274">
        <f>((CX105-CX60)/CX6)*100</f>
        <v>8.4976405894761147</v>
      </c>
      <c r="CY110" s="87" t="e">
        <f t="shared" ref="CY110:DB110" si="431">((CY105-CY60)/CY6)*100</f>
        <v>#DIV/0!</v>
      </c>
      <c r="CZ110" s="87" t="e">
        <f t="shared" si="431"/>
        <v>#DIV/0!</v>
      </c>
      <c r="DA110" s="87" t="e">
        <f t="shared" si="431"/>
        <v>#DIV/0!</v>
      </c>
      <c r="DB110" s="87" t="e">
        <f t="shared" si="431"/>
        <v>#DIV/0!</v>
      </c>
      <c r="DC110" s="274">
        <f>((DC105-DC60)/DC6)*100</f>
        <v>8.5614829163242909</v>
      </c>
      <c r="DD110" s="138"/>
      <c r="DE110" s="466"/>
      <c r="DJ110" s="430"/>
      <c r="DK110" s="430"/>
      <c r="DL110" s="407"/>
      <c r="DM110" s="410"/>
      <c r="DN110" s="407"/>
      <c r="DO110" s="407"/>
      <c r="DP110" s="407"/>
      <c r="DQ110" s="407"/>
      <c r="DR110" s="504"/>
      <c r="DS110" s="138"/>
    </row>
    <row r="111" spans="1:154" s="30" customFormat="1" x14ac:dyDescent="0.2">
      <c r="A111" s="550" t="s">
        <v>131</v>
      </c>
      <c r="B111" s="545"/>
      <c r="C111" s="546"/>
      <c r="D111" s="546"/>
      <c r="E111" s="546"/>
      <c r="F111" s="546"/>
      <c r="G111" s="545"/>
      <c r="H111" s="547"/>
      <c r="I111" s="547"/>
      <c r="J111" s="547"/>
      <c r="K111" s="547"/>
      <c r="L111" s="545">
        <f t="shared" ref="L111" si="432">L110/G110-1</f>
        <v>-0.23943638708888615</v>
      </c>
      <c r="M111" s="547">
        <f t="shared" ref="M111" si="433">M110/H110-1</f>
        <v>-6.2166351164785971E-2</v>
      </c>
      <c r="N111" s="547">
        <f t="shared" ref="N111" si="434">N110/I110-1</f>
        <v>-8.544703409816079E-2</v>
      </c>
      <c r="O111" s="547">
        <f t="shared" ref="O111" si="435">O110/J110-1</f>
        <v>-6.522313166126037E-2</v>
      </c>
      <c r="P111" s="547">
        <f t="shared" ref="P111" si="436">P110/K110-1</f>
        <v>-0.11030126956155162</v>
      </c>
      <c r="Q111" s="545">
        <f t="shared" ref="Q111" si="437">Q110/L110-1</f>
        <v>-8.1414460592860838E-2</v>
      </c>
      <c r="R111" s="547">
        <f t="shared" ref="R111" si="438">R110/M110-1</f>
        <v>-0.16315018380384849</v>
      </c>
      <c r="S111" s="547">
        <f t="shared" ref="S111" si="439">S110/N110-1</f>
        <v>-7.9141913853497003E-2</v>
      </c>
      <c r="T111" s="547">
        <f t="shared" ref="T111" si="440">T110/O110-1</f>
        <v>-0.10318662192937123</v>
      </c>
      <c r="U111" s="547">
        <f t="shared" ref="U111" si="441">U110/P110-1</f>
        <v>-5.5125489002172179E-2</v>
      </c>
      <c r="V111" s="545">
        <f t="shared" ref="V111" si="442">V110/Q110-1</f>
        <v>-9.6605935316355418E-2</v>
      </c>
      <c r="W111" s="547">
        <f t="shared" ref="W111" si="443">W110/R110-1</f>
        <v>-2.3571198174988317E-2</v>
      </c>
      <c r="X111" s="547">
        <f t="shared" ref="X111" si="444">X110/S110-1</f>
        <v>-6.4536469610931624E-2</v>
      </c>
      <c r="Y111" s="547">
        <f t="shared" ref="Y111" si="445">Y110/T110-1</f>
        <v>-4.2194963341725455E-2</v>
      </c>
      <c r="Z111" s="547">
        <f t="shared" ref="Z111" si="446">Z110/U110-1</f>
        <v>-6.0843449475262101E-2</v>
      </c>
      <c r="AA111" s="545">
        <f t="shared" ref="AA111" si="447">AA110/V110-1</f>
        <v>-4.8335382410440886E-2</v>
      </c>
      <c r="AB111" s="547">
        <f t="shared" ref="AB111" si="448">AB110/W110-1</f>
        <v>3.2326420598915107E-2</v>
      </c>
      <c r="AC111" s="547">
        <f t="shared" ref="AC111" si="449">AC110/X110-1</f>
        <v>1.8180362011135598E-2</v>
      </c>
      <c r="AD111" s="547">
        <f t="shared" ref="AD111" si="450">AD110/Y110-1</f>
        <v>1.3554108431519163E-2</v>
      </c>
      <c r="AE111" s="547">
        <f t="shared" ref="AE111" si="451">AE110/Z110-1</f>
        <v>4.5488824954838414E-2</v>
      </c>
      <c r="AF111" s="545">
        <f t="shared" ref="AF111" si="452">AF110/AA110-1</f>
        <v>2.7184380931301488E-2</v>
      </c>
      <c r="AG111" s="547">
        <f t="shared" ref="AG111" si="453">AG110/AB110-1</f>
        <v>6.5064880797447433E-2</v>
      </c>
      <c r="AH111" s="547">
        <f t="shared" ref="AH111" si="454">AH110/AC110-1</f>
        <v>9.0581929768888347E-2</v>
      </c>
      <c r="AI111" s="547">
        <f t="shared" ref="AI111" si="455">AI110/AD110-1</f>
        <v>6.6025897753043461E-2</v>
      </c>
      <c r="AJ111" s="547">
        <f t="shared" ref="AJ111" si="456">AJ110/AE110-1</f>
        <v>6.4726209207468077E-2</v>
      </c>
      <c r="AK111" s="545">
        <f t="shared" ref="AK111" si="457">AK110/AF110-1</f>
        <v>7.1828635396611995E-2</v>
      </c>
      <c r="AL111" s="547">
        <f t="shared" ref="AL111" si="458">AL110/AG110-1</f>
        <v>8.3450990884247123E-2</v>
      </c>
      <c r="AM111" s="547">
        <f t="shared" ref="AM111" si="459">AM110/AH110-1</f>
        <v>3.1723535523619173E-2</v>
      </c>
      <c r="AN111" s="547">
        <f t="shared" ref="AN111" si="460">AN110/AI110-1</f>
        <v>3.1977277925560932E-2</v>
      </c>
      <c r="AO111" s="547">
        <f t="shared" ref="AO111" si="461">AO110/AJ110-1</f>
        <v>4.7769158277130908E-2</v>
      </c>
      <c r="AP111" s="545">
        <f t="shared" ref="AP111" si="462">AP110/AK110-1</f>
        <v>4.8331446384761279E-2</v>
      </c>
      <c r="AQ111" s="547">
        <f t="shared" ref="AQ111" si="463">AQ110/AL110-1</f>
        <v>-2.8991956044988054E-4</v>
      </c>
      <c r="AR111" s="547">
        <f t="shared" ref="AR111" si="464">AR110/AM110-1</f>
        <v>4.47859758161544E-2</v>
      </c>
      <c r="AS111" s="547">
        <f t="shared" ref="AS111" si="465">AS110/AN110-1</f>
        <v>0.13954263718611259</v>
      </c>
      <c r="AT111" s="547">
        <f t="shared" ref="AT111" si="466">AT110/AO110-1</f>
        <v>0.14972300602941391</v>
      </c>
      <c r="AU111" s="545">
        <f t="shared" ref="AU111" si="467">AU110/AP110-1</f>
        <v>8.1758214660008655E-2</v>
      </c>
      <c r="AV111" s="547">
        <f t="shared" ref="AV111" si="468">AV110/AQ110-1</f>
        <v>6.9045436022819873E-2</v>
      </c>
      <c r="AW111" s="547">
        <f t="shared" ref="AW111" si="469">AW110/AR110-1</f>
        <v>7.8396961178920366E-2</v>
      </c>
      <c r="AX111" s="547">
        <f t="shared" ref="AX111" si="470">AX110/AS110-1</f>
        <v>6.7131450363484779E-2</v>
      </c>
      <c r="AY111" s="547">
        <f t="shared" ref="AY111" si="471">AY110/AT110-1</f>
        <v>6.4032704462098522E-2</v>
      </c>
      <c r="AZ111" s="545">
        <f t="shared" ref="AZ111" si="472">AZ110/AU110-1</f>
        <v>7.101131901775215E-2</v>
      </c>
      <c r="BA111" s="547">
        <f t="shared" ref="BA111" si="473">BA110/AV110-1</f>
        <v>9.0267604664028056E-2</v>
      </c>
      <c r="BB111" s="547">
        <f t="shared" ref="BB111" si="474">BB110/AW110-1</f>
        <v>8.2082016870831609E-2</v>
      </c>
      <c r="BC111" s="547">
        <f t="shared" ref="BC111" si="475">BC110/AX110-1</f>
        <v>3.2953736856998317E-2</v>
      </c>
      <c r="BD111" s="547">
        <f t="shared" ref="BD111" si="476">BD110/AY110-1</f>
        <v>3.6721496623590033E-2</v>
      </c>
      <c r="BE111" s="545">
        <f t="shared" ref="BE111" si="477">BE110/AZ110-1</f>
        <v>5.9524233282394645E-2</v>
      </c>
      <c r="BF111" s="547">
        <f>BF110/BA110-1</f>
        <v>5.8727757753038512E-2</v>
      </c>
      <c r="BG111" s="547">
        <f t="shared" ref="BG111" si="478">BG110/BB110-1</f>
        <v>1.7820312350874445E-2</v>
      </c>
      <c r="BH111" s="547">
        <f t="shared" ref="BH111" si="479">BH110/BC110-1</f>
        <v>-2.2351521815488495E-2</v>
      </c>
      <c r="BI111" s="547">
        <f t="shared" ref="BI111" si="480">BI110/BD110-1</f>
        <v>-1.6239188098258528E-2</v>
      </c>
      <c r="BJ111" s="545">
        <f t="shared" ref="BJ111" si="481">BJ110/BE110-1</f>
        <v>7.8712656011301618E-3</v>
      </c>
      <c r="BK111" s="547">
        <f>BK110/BF110-1</f>
        <v>-1.0117960159204742E-2</v>
      </c>
      <c r="BL111" s="547">
        <f t="shared" ref="BL111" si="482">BL110/BG110-1</f>
        <v>5.5294081422339714E-2</v>
      </c>
      <c r="BM111" s="547">
        <f t="shared" ref="BM111" si="483">BM110/BH110-1</f>
        <v>3.8496482689732936E-2</v>
      </c>
      <c r="BN111" s="547">
        <f t="shared" ref="BN111" si="484">BN110/BI110-1</f>
        <v>4.7759914457042418E-2</v>
      </c>
      <c r="BO111" s="545">
        <f t="shared" ref="BO111" si="485">BO110/BJ110-1</f>
        <v>3.3101366232991314E-2</v>
      </c>
      <c r="BP111" s="547">
        <f t="shared" ref="BP111" si="486">BP110/BK110-1</f>
        <v>6.7482267346720137E-2</v>
      </c>
      <c r="BQ111" s="547">
        <f t="shared" ref="BQ111" si="487">BQ110/BL110-1</f>
        <v>2.1848861620759719E-2</v>
      </c>
      <c r="BR111" s="547">
        <f t="shared" ref="BR111" si="488">BR110/BM110-1</f>
        <v>5.1223760033697108E-2</v>
      </c>
      <c r="BS111" s="547">
        <f t="shared" ref="BS111" si="489">BS110/BN110-1</f>
        <v>2.2722000182845425E-2</v>
      </c>
      <c r="BT111" s="545">
        <f t="shared" ref="BT111" si="490">BT110/BO110-1</f>
        <v>4.0751097515412171E-2</v>
      </c>
      <c r="BU111" s="547">
        <f t="shared" ref="BU111" si="491">BU110/BP110-1</f>
        <v>6.2612375862735492E-2</v>
      </c>
      <c r="BV111" s="547">
        <f t="shared" ref="BV111" si="492">BV110/BQ110-1</f>
        <v>5.0215519607412551E-2</v>
      </c>
      <c r="BW111" s="547">
        <f t="shared" ref="BW111" si="493">BW110/BR110-1</f>
        <v>3.1477747551639457E-2</v>
      </c>
      <c r="BX111" s="547">
        <f>BX110/BS110-1</f>
        <v>2.8226072695605176E-3</v>
      </c>
      <c r="BY111" s="545">
        <f>BY110/BT110-1</f>
        <v>3.6151759338114875E-2</v>
      </c>
      <c r="BZ111" s="547">
        <f>BZ110/BU110-1</f>
        <v>1.0804413032407423E-2</v>
      </c>
      <c r="CA111" s="547">
        <f>CA110/BV110-1</f>
        <v>4.3635183679828549E-2</v>
      </c>
      <c r="CB111" s="547">
        <f>CB110/BW110-1</f>
        <v>5.9103503300210303E-2</v>
      </c>
      <c r="CC111" s="547">
        <f t="shared" ref="CC111" si="494">CC110/BX110-1</f>
        <v>3.8220021611408139E-2</v>
      </c>
      <c r="CD111" s="545">
        <f t="shared" ref="CD111" si="495">CD110/BY110-1</f>
        <v>3.7898196851901655E-2</v>
      </c>
      <c r="CE111" s="547">
        <f>CE110/BZ110-1</f>
        <v>-1.3899638937901915E-2</v>
      </c>
      <c r="CF111" s="547">
        <f>CF110/CA110-1</f>
        <v>-8.9919700283515036E-3</v>
      </c>
      <c r="CG111" s="547">
        <f>CG110/CB110-1</f>
        <v>2.6670314726865207E-2</v>
      </c>
      <c r="CH111" s="547">
        <f t="shared" ref="CH111" si="496">CH110/CC110-1</f>
        <v>4.5974839643124543E-2</v>
      </c>
      <c r="CI111" s="545">
        <f t="shared" ref="CI111" si="497">CI110/CD110-1</f>
        <v>1.2851900396738225E-2</v>
      </c>
      <c r="CJ111" s="547">
        <f>CJ110/CE110-1</f>
        <v>3.4209752655717018E-2</v>
      </c>
      <c r="CK111" s="547">
        <f>CK110/CF110-1</f>
        <v>5.1153048277241098E-2</v>
      </c>
      <c r="CL111" s="547">
        <f>CL110/CG110-1</f>
        <v>2.7455593702104375E-2</v>
      </c>
      <c r="CM111" s="547">
        <f t="shared" ref="CM111" si="498">CM110/CH110-1</f>
        <v>8.1987902610434649E-2</v>
      </c>
      <c r="CN111" s="545">
        <f t="shared" ref="CN111" si="499">CN110/CI110-1</f>
        <v>4.8658762361204477E-2</v>
      </c>
      <c r="CO111" s="547">
        <f t="shared" ref="CO111:CR111" si="500">CO110/CJ110-1</f>
        <v>3.5834487237133894E-2</v>
      </c>
      <c r="CP111" s="547">
        <f t="shared" si="500"/>
        <v>1.7868969209570595E-2</v>
      </c>
      <c r="CQ111" s="547">
        <f t="shared" si="500"/>
        <v>-5.4495457932556279E-3</v>
      </c>
      <c r="CR111" s="547">
        <f t="shared" si="500"/>
        <v>-3.6492484058959107E-2</v>
      </c>
      <c r="CS111" s="545">
        <f>CS110/CN110-1</f>
        <v>1.8667978370614513E-3</v>
      </c>
      <c r="CT111" s="547"/>
      <c r="CU111" s="547"/>
      <c r="CV111" s="547"/>
      <c r="CW111" s="547"/>
      <c r="CX111" s="545">
        <f>CX110/CS110-1</f>
        <v>2.1171611407793112E-2</v>
      </c>
      <c r="CY111" s="547"/>
      <c r="CZ111" s="547"/>
      <c r="DA111" s="547"/>
      <c r="DB111" s="547"/>
      <c r="DC111" s="545">
        <f>DC110/CX110-1</f>
        <v>7.5129474088657666E-3</v>
      </c>
      <c r="DD111" s="25"/>
      <c r="DE111" s="178"/>
      <c r="DF111" s="379"/>
      <c r="DG111" s="379"/>
      <c r="DH111" s="379"/>
      <c r="DI111" s="379"/>
      <c r="DJ111" s="430" t="s">
        <v>494</v>
      </c>
      <c r="DK111" s="430"/>
      <c r="DL111" s="389"/>
      <c r="DM111" s="389"/>
      <c r="DN111" s="389"/>
      <c r="DO111" s="389"/>
      <c r="DP111" s="389"/>
      <c r="DQ111" s="389"/>
      <c r="DR111" s="487"/>
      <c r="DS111" s="517"/>
      <c r="DT111"/>
      <c r="DU111"/>
      <c r="DV111"/>
      <c r="DW111"/>
      <c r="DX111"/>
      <c r="DY111"/>
      <c r="DZ111" s="29"/>
      <c r="EA111" s="29"/>
    </row>
    <row r="112" spans="1:154" x14ac:dyDescent="0.2">
      <c r="A112" s="206" t="s">
        <v>441</v>
      </c>
      <c r="B112" s="274"/>
      <c r="C112" s="86"/>
      <c r="D112" s="86"/>
      <c r="E112" s="86"/>
      <c r="F112" s="86"/>
      <c r="G112" s="274">
        <f t="shared" ref="G112:AL112" si="501">((G105-G60)/G6)*100</f>
        <v>7.8851991054324264</v>
      </c>
      <c r="H112" s="87">
        <f t="shared" si="501"/>
        <v>6.4060966518826801</v>
      </c>
      <c r="I112" s="87">
        <f t="shared" si="501"/>
        <v>5.920307594947249</v>
      </c>
      <c r="J112" s="87">
        <f t="shared" si="501"/>
        <v>5.8420194993337846</v>
      </c>
      <c r="K112" s="87">
        <f t="shared" si="501"/>
        <v>5.9566281304307864</v>
      </c>
      <c r="L112" s="274">
        <f t="shared" si="501"/>
        <v>5.9971955201511689</v>
      </c>
      <c r="M112" s="87">
        <f t="shared" si="501"/>
        <v>6.0078529978261814</v>
      </c>
      <c r="N112" s="87">
        <f t="shared" si="501"/>
        <v>5.414434870010191</v>
      </c>
      <c r="O112" s="87">
        <f t="shared" si="501"/>
        <v>5.4609846923610865</v>
      </c>
      <c r="P112" s="87">
        <f t="shared" si="501"/>
        <v>5.2996044853382189</v>
      </c>
      <c r="Q112" s="274">
        <f t="shared" si="501"/>
        <v>5.5089370818081402</v>
      </c>
      <c r="R112" s="87">
        <f t="shared" si="501"/>
        <v>5.0276706769643376</v>
      </c>
      <c r="S112" s="87">
        <f t="shared" si="501"/>
        <v>4.9859261319624739</v>
      </c>
      <c r="T112" s="87">
        <f t="shared" si="501"/>
        <v>4.8974841295483396</v>
      </c>
      <c r="U112" s="87">
        <f t="shared" si="501"/>
        <v>5.0074611965658447</v>
      </c>
      <c r="V112" s="274">
        <f t="shared" si="501"/>
        <v>4.9767410624211115</v>
      </c>
      <c r="W112" s="87">
        <f t="shared" si="501"/>
        <v>4.9091624550790334</v>
      </c>
      <c r="X112" s="87">
        <f t="shared" si="501"/>
        <v>4.6641520616647281</v>
      </c>
      <c r="Y112" s="87">
        <f t="shared" si="501"/>
        <v>4.6908349662353652</v>
      </c>
      <c r="Z112" s="87">
        <f t="shared" si="501"/>
        <v>4.702789984253255</v>
      </c>
      <c r="AA112" s="274">
        <f t="shared" si="501"/>
        <v>4.7361883800112432</v>
      </c>
      <c r="AB112" s="87">
        <f t="shared" si="501"/>
        <v>5.0678581053903207</v>
      </c>
      <c r="AC112" s="87">
        <f t="shared" si="501"/>
        <v>4.7489480346207777</v>
      </c>
      <c r="AD112" s="87">
        <f t="shared" si="501"/>
        <v>4.7544150520020807</v>
      </c>
      <c r="AE112" s="87">
        <f t="shared" si="501"/>
        <v>4.9167143746463191</v>
      </c>
      <c r="AF112" s="274">
        <f t="shared" si="501"/>
        <v>4.8649387290958721</v>
      </c>
      <c r="AG112" s="87">
        <f t="shared" si="501"/>
        <v>5.3975976889159192</v>
      </c>
      <c r="AH112" s="87">
        <f t="shared" si="501"/>
        <v>5.1791169119688973</v>
      </c>
      <c r="AI112" s="87">
        <f t="shared" si="501"/>
        <v>5.0683295741011012</v>
      </c>
      <c r="AJ112" s="87">
        <f t="shared" si="501"/>
        <v>5.2349546578730424</v>
      </c>
      <c r="AK112" s="274">
        <f t="shared" si="501"/>
        <v>5.2143806392949568</v>
      </c>
      <c r="AL112" s="87">
        <f t="shared" si="501"/>
        <v>5.8480325644504747</v>
      </c>
      <c r="AM112" s="87">
        <f t="shared" ref="AM112:BJ112" si="502">((AM105-AM60)/AM6)*100</f>
        <v>5.34341681130672</v>
      </c>
      <c r="AN112" s="87">
        <f t="shared" si="502"/>
        <v>5.2304009575104722</v>
      </c>
      <c r="AO112" s="87">
        <f t="shared" si="502"/>
        <v>5.4850240354985829</v>
      </c>
      <c r="AP112" s="274">
        <f t="shared" si="502"/>
        <v>5.4663991975927786</v>
      </c>
      <c r="AQ112" s="87">
        <f t="shared" si="502"/>
        <v>5.8463371054198925</v>
      </c>
      <c r="AR112" s="87">
        <f t="shared" si="502"/>
        <v>5.5827269473935353</v>
      </c>
      <c r="AS112" s="87">
        <f t="shared" si="502"/>
        <v>5.9602649006622519</v>
      </c>
      <c r="AT112" s="87">
        <f t="shared" si="502"/>
        <v>6.3062583222370172</v>
      </c>
      <c r="AU112" s="274">
        <f t="shared" si="502"/>
        <v>5.9133222366068683</v>
      </c>
      <c r="AV112" s="87">
        <f t="shared" si="502"/>
        <v>6.25</v>
      </c>
      <c r="AW112" s="87">
        <f t="shared" si="502"/>
        <v>6.0203957751608588</v>
      </c>
      <c r="AX112" s="87">
        <f t="shared" si="502"/>
        <v>6.3603861279942802</v>
      </c>
      <c r="AY112" s="87">
        <f t="shared" si="502"/>
        <v>6.7100650976464697</v>
      </c>
      <c r="AZ112" s="274">
        <f t="shared" si="502"/>
        <v>6.3332350484053261</v>
      </c>
      <c r="BA112" s="87">
        <f t="shared" si="502"/>
        <v>6.8141725291501754</v>
      </c>
      <c r="BB112" s="87">
        <f t="shared" si="502"/>
        <v>6.5145620027466959</v>
      </c>
      <c r="BC112" s="87">
        <f t="shared" si="502"/>
        <v>6.5699846187651065</v>
      </c>
      <c r="BD112" s="87">
        <f t="shared" si="502"/>
        <v>6.9564687304737642</v>
      </c>
      <c r="BE112" s="274">
        <f t="shared" si="502"/>
        <v>6.7102160088588425</v>
      </c>
      <c r="BF112" s="87">
        <f t="shared" si="502"/>
        <v>7.214353602729517</v>
      </c>
      <c r="BG112" s="87">
        <f t="shared" si="502"/>
        <v>6.6306535324647804</v>
      </c>
      <c r="BH112" s="87">
        <f t="shared" si="502"/>
        <v>6.4231354642313541</v>
      </c>
      <c r="BI112" s="87">
        <f t="shared" si="502"/>
        <v>6.8435013262599469</v>
      </c>
      <c r="BJ112" s="274">
        <f t="shared" si="502"/>
        <v>6.7630339013055263</v>
      </c>
      <c r="BK112" s="87">
        <f>((BK105-BK60-BK47)/BK6)*100</f>
        <v>7.1413590604026842</v>
      </c>
      <c r="BL112" s="87">
        <f>((BL105-BL60-BL47)/BL6)*100</f>
        <v>6.9270153599036242</v>
      </c>
      <c r="BM112" s="87">
        <f>((BM105-BM60-BM47)/BM6)*100</f>
        <v>6.6330343796711517</v>
      </c>
      <c r="BN112" s="87">
        <f>((BN105-BN60-BN47)/BN6)*100</f>
        <v>7.2513672270609693</v>
      </c>
      <c r="BO112" s="274">
        <f>((BO105-BO60)/BO6)*100</f>
        <v>6.9868995633187767</v>
      </c>
      <c r="BP112" s="87">
        <f t="shared" ref="BP112:CE112" si="503">((BP105-BP60-BP47)/BP6)*100</f>
        <v>7.6232741617357007</v>
      </c>
      <c r="BQ112" s="87">
        <f t="shared" si="503"/>
        <v>7.1501722372218603</v>
      </c>
      <c r="BR112" s="87">
        <f t="shared" si="503"/>
        <v>6.9498755776750798</v>
      </c>
      <c r="BS112" s="87">
        <f t="shared" si="503"/>
        <v>7.286502665793658</v>
      </c>
      <c r="BT112" s="274">
        <f t="shared" si="503"/>
        <v>7.2436017186624317</v>
      </c>
      <c r="BU112" s="87">
        <f t="shared" si="503"/>
        <v>8.1005854688549768</v>
      </c>
      <c r="BV112" s="87">
        <f t="shared" si="503"/>
        <v>7.5092218513964513</v>
      </c>
      <c r="BW112" s="87">
        <f t="shared" si="503"/>
        <v>7.1392103471749486</v>
      </c>
      <c r="BX112" s="87">
        <f t="shared" si="503"/>
        <v>7.23154949282966</v>
      </c>
      <c r="BY112" s="274">
        <f t="shared" si="503"/>
        <v>7.478941168626231</v>
      </c>
      <c r="BZ112" s="87">
        <f t="shared" si="503"/>
        <v>7.9429021805762323</v>
      </c>
      <c r="CA112" s="87">
        <f t="shared" si="503"/>
        <v>7.567214186483616</v>
      </c>
      <c r="CB112" s="87">
        <f t="shared" si="503"/>
        <v>7.2980887792848339</v>
      </c>
      <c r="CC112" s="87">
        <f t="shared" si="503"/>
        <v>7.2865515602724544</v>
      </c>
      <c r="CD112" s="274">
        <f t="shared" si="503"/>
        <v>7.5114702180356483</v>
      </c>
      <c r="CE112" s="87">
        <f t="shared" si="503"/>
        <v>7.6675109371402259</v>
      </c>
      <c r="CF112" s="87">
        <f>((CF105-CF60-CF47)/CF6)*100</f>
        <v>7.4869456497756861</v>
      </c>
      <c r="CG112" s="87">
        <f t="shared" ref="CG112:CK112" si="504">((CG105-CG60-CG47)/CG6)*100</f>
        <v>7.5891562771817922</v>
      </c>
      <c r="CH112" s="87">
        <f t="shared" si="504"/>
        <v>7.6905591756326714</v>
      </c>
      <c r="CI112" s="274">
        <f t="shared" si="504"/>
        <v>7.6072361059306228</v>
      </c>
      <c r="CJ112" s="87">
        <f t="shared" si="504"/>
        <v>8.3505154639175245</v>
      </c>
      <c r="CK112" s="87">
        <f t="shared" si="504"/>
        <v>8.0373438158079455</v>
      </c>
      <c r="CL112" s="87">
        <f t="shared" ref="CL112:CN112" si="505">((CL105-CL60-CL47)/CL6)*100</f>
        <v>7.9966447644345031</v>
      </c>
      <c r="CM112" s="87">
        <f t="shared" si="505"/>
        <v>8.5543384260593829</v>
      </c>
      <c r="CN112" s="274">
        <f t="shared" si="505"/>
        <v>8.2309670047136123</v>
      </c>
      <c r="CO112" s="87">
        <f t="shared" ref="CO112:CR112" si="506">((CO105-CO60-CO47)/CO6)*100</f>
        <v>8.6372242130142425</v>
      </c>
      <c r="CP112" s="87">
        <f t="shared" si="506"/>
        <v>8.2308483638895336</v>
      </c>
      <c r="CQ112" s="87">
        <f t="shared" si="506"/>
        <v>7.8903343642800605</v>
      </c>
      <c r="CR112" s="87">
        <f t="shared" si="506"/>
        <v>8.2120551374500383</v>
      </c>
      <c r="CS112" s="274">
        <f>((CS105-CS60-CS47)/CS6)*100</f>
        <v>8.2318572624902195</v>
      </c>
      <c r="CT112" s="87"/>
      <c r="CU112" s="87"/>
      <c r="CV112" s="87"/>
      <c r="CW112" s="87"/>
      <c r="CX112" s="274">
        <f>((CX105-CX60-CX47)/CX6)*100</f>
        <v>8.3948266383058741</v>
      </c>
      <c r="CY112" s="87"/>
      <c r="CZ112" s="87"/>
      <c r="DA112" s="87"/>
      <c r="DB112" s="87"/>
      <c r="DC112" s="274">
        <f>((DC105-DC60-DC47)/DC6)*100</f>
        <v>8.4362775948765325</v>
      </c>
      <c r="DD112" s="138"/>
      <c r="DE112" s="466"/>
      <c r="DJ112" s="430"/>
      <c r="DK112" s="430" t="s">
        <v>498</v>
      </c>
      <c r="DL112" s="407"/>
      <c r="DM112" s="410"/>
      <c r="DN112" s="407"/>
      <c r="DO112" s="407"/>
      <c r="DP112" s="407"/>
      <c r="DQ112" s="407"/>
      <c r="DR112" s="504"/>
      <c r="DS112" s="138"/>
    </row>
    <row r="113" spans="1:131" s="30" customFormat="1" x14ac:dyDescent="0.2">
      <c r="A113" s="810" t="s">
        <v>131</v>
      </c>
      <c r="B113" s="811"/>
      <c r="C113" s="812"/>
      <c r="D113" s="812"/>
      <c r="E113" s="812"/>
      <c r="F113" s="812"/>
      <c r="G113" s="811"/>
      <c r="H113" s="813"/>
      <c r="I113" s="813"/>
      <c r="J113" s="813"/>
      <c r="K113" s="813"/>
      <c r="L113" s="811">
        <f t="shared" ref="L113:AZ113" si="507">L112/G112-1</f>
        <v>-0.23943638708888615</v>
      </c>
      <c r="M113" s="813">
        <f t="shared" si="507"/>
        <v>-6.2166351164785971E-2</v>
      </c>
      <c r="N113" s="813">
        <f t="shared" si="507"/>
        <v>-8.544703409816079E-2</v>
      </c>
      <c r="O113" s="813">
        <f t="shared" si="507"/>
        <v>-6.522313166126037E-2</v>
      </c>
      <c r="P113" s="813">
        <f t="shared" si="507"/>
        <v>-0.11030126956155162</v>
      </c>
      <c r="Q113" s="811">
        <f t="shared" si="507"/>
        <v>-8.1414460592860838E-2</v>
      </c>
      <c r="R113" s="813">
        <f t="shared" si="507"/>
        <v>-0.16315018380384849</v>
      </c>
      <c r="S113" s="813">
        <f t="shared" si="507"/>
        <v>-7.9141913853497003E-2</v>
      </c>
      <c r="T113" s="813">
        <f t="shared" si="507"/>
        <v>-0.10318662192937123</v>
      </c>
      <c r="U113" s="813">
        <f t="shared" si="507"/>
        <v>-5.5125489002172179E-2</v>
      </c>
      <c r="V113" s="811">
        <f t="shared" si="507"/>
        <v>-9.6605935316355418E-2</v>
      </c>
      <c r="W113" s="813">
        <f t="shared" si="507"/>
        <v>-2.3571198174988317E-2</v>
      </c>
      <c r="X113" s="813">
        <f t="shared" si="507"/>
        <v>-6.4536469610931624E-2</v>
      </c>
      <c r="Y113" s="813">
        <f t="shared" si="507"/>
        <v>-4.2194963341725455E-2</v>
      </c>
      <c r="Z113" s="813">
        <f t="shared" si="507"/>
        <v>-6.0843449475262101E-2</v>
      </c>
      <c r="AA113" s="811">
        <f t="shared" si="507"/>
        <v>-4.8335382410440886E-2</v>
      </c>
      <c r="AB113" s="813">
        <f t="shared" si="507"/>
        <v>3.2326420598915107E-2</v>
      </c>
      <c r="AC113" s="813">
        <f t="shared" si="507"/>
        <v>1.8180362011135598E-2</v>
      </c>
      <c r="AD113" s="813">
        <f t="shared" si="507"/>
        <v>1.3554108431519163E-2</v>
      </c>
      <c r="AE113" s="813">
        <f t="shared" si="507"/>
        <v>4.5488824954838414E-2</v>
      </c>
      <c r="AF113" s="811">
        <f t="shared" si="507"/>
        <v>2.7184380931301488E-2</v>
      </c>
      <c r="AG113" s="813">
        <f t="shared" si="507"/>
        <v>6.5064880797447433E-2</v>
      </c>
      <c r="AH113" s="813">
        <f t="shared" si="507"/>
        <v>9.0581929768888347E-2</v>
      </c>
      <c r="AI113" s="813">
        <f t="shared" si="507"/>
        <v>6.6025897753043461E-2</v>
      </c>
      <c r="AJ113" s="813">
        <f t="shared" si="507"/>
        <v>6.4726209207468077E-2</v>
      </c>
      <c r="AK113" s="811">
        <f t="shared" si="507"/>
        <v>7.1828635396611995E-2</v>
      </c>
      <c r="AL113" s="813">
        <f t="shared" si="507"/>
        <v>8.3450990884247123E-2</v>
      </c>
      <c r="AM113" s="813">
        <f t="shared" si="507"/>
        <v>3.1723535523619173E-2</v>
      </c>
      <c r="AN113" s="813">
        <f t="shared" si="507"/>
        <v>3.1977277925560932E-2</v>
      </c>
      <c r="AO113" s="813">
        <f t="shared" si="507"/>
        <v>4.7769158277130908E-2</v>
      </c>
      <c r="AP113" s="811">
        <f t="shared" si="507"/>
        <v>4.8331446384761279E-2</v>
      </c>
      <c r="AQ113" s="813">
        <f t="shared" si="507"/>
        <v>-2.8991956044988054E-4</v>
      </c>
      <c r="AR113" s="813">
        <f t="shared" si="507"/>
        <v>4.47859758161544E-2</v>
      </c>
      <c r="AS113" s="813">
        <f t="shared" si="507"/>
        <v>0.13954263718611259</v>
      </c>
      <c r="AT113" s="813">
        <f t="shared" si="507"/>
        <v>0.14972300602941391</v>
      </c>
      <c r="AU113" s="811">
        <f t="shared" si="507"/>
        <v>8.1758214660008655E-2</v>
      </c>
      <c r="AV113" s="813">
        <f t="shared" si="507"/>
        <v>6.9045436022819873E-2</v>
      </c>
      <c r="AW113" s="813">
        <f t="shared" si="507"/>
        <v>7.8396961178920366E-2</v>
      </c>
      <c r="AX113" s="813">
        <f t="shared" si="507"/>
        <v>6.7131450363484779E-2</v>
      </c>
      <c r="AY113" s="813">
        <f t="shared" si="507"/>
        <v>6.4032704462098522E-2</v>
      </c>
      <c r="AZ113" s="811">
        <f t="shared" si="507"/>
        <v>7.101131901775215E-2</v>
      </c>
      <c r="BA113" s="813">
        <f t="shared" ref="BA113:BQ113" si="508">BA112/AV112-1</f>
        <v>9.0267604664028056E-2</v>
      </c>
      <c r="BB113" s="813">
        <f t="shared" si="508"/>
        <v>8.2082016870831609E-2</v>
      </c>
      <c r="BC113" s="813">
        <f t="shared" si="508"/>
        <v>3.2953736856998317E-2</v>
      </c>
      <c r="BD113" s="813">
        <f t="shared" si="508"/>
        <v>3.6721496623590033E-2</v>
      </c>
      <c r="BE113" s="811">
        <f t="shared" si="508"/>
        <v>5.9524233282394645E-2</v>
      </c>
      <c r="BF113" s="813">
        <f>BF112/BA112-1</f>
        <v>5.8727757753038512E-2</v>
      </c>
      <c r="BG113" s="813">
        <f t="shared" si="508"/>
        <v>1.7820312350874445E-2</v>
      </c>
      <c r="BH113" s="813">
        <f t="shared" si="508"/>
        <v>-2.2351521815488495E-2</v>
      </c>
      <c r="BI113" s="813">
        <f t="shared" si="508"/>
        <v>-1.6239188098258528E-2</v>
      </c>
      <c r="BJ113" s="811">
        <f t="shared" si="508"/>
        <v>7.8712656011301618E-3</v>
      </c>
      <c r="BK113" s="813">
        <f>BK112/BF112-1</f>
        <v>-1.0117960159204742E-2</v>
      </c>
      <c r="BL113" s="813">
        <f t="shared" si="508"/>
        <v>4.4695719055113825E-2</v>
      </c>
      <c r="BM113" s="813">
        <f t="shared" si="508"/>
        <v>3.2678575223684225E-2</v>
      </c>
      <c r="BN113" s="813">
        <f t="shared" si="508"/>
        <v>5.9599009535653336E-2</v>
      </c>
      <c r="BO113" s="811">
        <f t="shared" si="508"/>
        <v>3.3101366232991314E-2</v>
      </c>
      <c r="BP113" s="813">
        <f t="shared" si="508"/>
        <v>6.7482267346720137E-2</v>
      </c>
      <c r="BQ113" s="813">
        <f t="shared" si="508"/>
        <v>3.2215444274883431E-2</v>
      </c>
      <c r="BR113" s="813">
        <f t="shared" ref="BR113:BW113" si="509">BR112/BM112-1</f>
        <v>4.7767157513155523E-2</v>
      </c>
      <c r="BS113" s="813">
        <f t="shared" si="509"/>
        <v>4.8453536598682678E-3</v>
      </c>
      <c r="BT113" s="811">
        <f t="shared" si="509"/>
        <v>3.6740495983560661E-2</v>
      </c>
      <c r="BU113" s="813">
        <f t="shared" si="509"/>
        <v>6.2612375862735492E-2</v>
      </c>
      <c r="BV113" s="813">
        <f t="shared" si="509"/>
        <v>5.0215519607412551E-2</v>
      </c>
      <c r="BW113" s="813">
        <f t="shared" si="509"/>
        <v>2.7242900593510644E-2</v>
      </c>
      <c r="BX113" s="813">
        <f>BX112/BS112-1</f>
        <v>-7.5417762793080767E-3</v>
      </c>
      <c r="BY113" s="811">
        <f>BY112/BT112-1</f>
        <v>3.2489286283848395E-2</v>
      </c>
      <c r="BZ113" s="813">
        <f>BZ112/BU112-1</f>
        <v>-1.9465665646637875E-2</v>
      </c>
      <c r="CA113" s="813">
        <f>CA112/BV112-1</f>
        <v>7.7228155240054441E-3</v>
      </c>
      <c r="CB113" s="813">
        <f>CB112/BW112-1</f>
        <v>2.2254342480993783E-2</v>
      </c>
      <c r="CC113" s="813">
        <f t="shared" ref="CC113:CD113" si="510">CC112/BX112-1</f>
        <v>7.6058481653662469E-3</v>
      </c>
      <c r="CD113" s="811">
        <f t="shared" si="510"/>
        <v>4.3494190789834519E-3</v>
      </c>
      <c r="CE113" s="813">
        <f>CE112/BZ112-1</f>
        <v>-3.4671362831265262E-2</v>
      </c>
      <c r="CF113" s="813">
        <f>CF112/CA112-1</f>
        <v>-1.0607409111176413E-2</v>
      </c>
      <c r="CG113" s="813">
        <f>CG112/CB112-1</f>
        <v>3.9882701718172431E-2</v>
      </c>
      <c r="CH113" s="813">
        <f t="shared" ref="CH113" si="511">CH112/CC112-1</f>
        <v>5.5445653821066365E-2</v>
      </c>
      <c r="CI113" s="811">
        <f t="shared" ref="CI113:CR113" si="512">CI112/CD112-1</f>
        <v>1.274928677278564E-2</v>
      </c>
      <c r="CJ113" s="813">
        <f>CJ112/CE112-1</f>
        <v>8.9077737531345624E-2</v>
      </c>
      <c r="CK113" s="813">
        <f>CK112/CF112-1</f>
        <v>7.3514379799023866E-2</v>
      </c>
      <c r="CL113" s="813">
        <f>CL112/CG112-1</f>
        <v>5.3693516429211163E-2</v>
      </c>
      <c r="CM113" s="813">
        <f t="shared" ref="CM113" si="513">CM112/CH112-1</f>
        <v>0.11231683297666728</v>
      </c>
      <c r="CN113" s="811">
        <f t="shared" ref="CN113" si="514">CN112/CI112-1</f>
        <v>8.199178914622185E-2</v>
      </c>
      <c r="CO113" s="813">
        <f t="shared" si="512"/>
        <v>3.4334257607878671E-2</v>
      </c>
      <c r="CP113" s="813">
        <f t="shared" si="512"/>
        <v>2.4075683772666334E-2</v>
      </c>
      <c r="CQ113" s="813">
        <f t="shared" si="512"/>
        <v>-1.3294375739593134E-2</v>
      </c>
      <c r="CR113" s="813">
        <f t="shared" si="512"/>
        <v>-4.0012829930440308E-2</v>
      </c>
      <c r="CS113" s="811">
        <f>CS112/CN112-1</f>
        <v>1.0815956085075129E-4</v>
      </c>
      <c r="CT113" s="813"/>
      <c r="CU113" s="813"/>
      <c r="CV113" s="813"/>
      <c r="CW113" s="813"/>
      <c r="CX113" s="811">
        <f>CX112/CS112-1</f>
        <v>1.9797400588837943E-2</v>
      </c>
      <c r="CY113" s="813"/>
      <c r="CZ113" s="813"/>
      <c r="DA113" s="813"/>
      <c r="DB113" s="813"/>
      <c r="DC113" s="811">
        <f>DC112/CX112-1</f>
        <v>4.9376786867183498E-3</v>
      </c>
      <c r="DD113" s="25"/>
      <c r="DE113" s="178"/>
      <c r="DF113" s="379"/>
      <c r="DG113" s="379"/>
      <c r="DH113" s="379"/>
      <c r="DI113" s="379"/>
      <c r="DJ113" s="430"/>
      <c r="DK113" s="430" t="s">
        <v>499</v>
      </c>
      <c r="DL113" s="389"/>
      <c r="DM113" s="389"/>
      <c r="DN113" s="410"/>
      <c r="DO113" s="389"/>
      <c r="DP113" s="389"/>
      <c r="DQ113" s="389"/>
      <c r="DR113" s="487"/>
      <c r="DS113" s="517"/>
      <c r="DT113"/>
      <c r="DU113"/>
      <c r="DV113"/>
      <c r="DW113"/>
      <c r="DX113"/>
      <c r="DY113"/>
      <c r="DZ113" s="29"/>
      <c r="EA113" s="29"/>
    </row>
    <row r="114" spans="1:131" s="7" customFormat="1" x14ac:dyDescent="0.2">
      <c r="A114" s="7" t="s">
        <v>127</v>
      </c>
      <c r="B114" s="260"/>
      <c r="G114" s="260"/>
      <c r="L114" s="260"/>
      <c r="Q114" s="260"/>
      <c r="V114" s="260"/>
      <c r="AA114" s="260"/>
      <c r="AF114" s="260"/>
      <c r="AK114" s="260"/>
      <c r="AP114" s="260"/>
      <c r="AU114" s="260"/>
      <c r="AZ114" s="260"/>
      <c r="BE114" s="260"/>
      <c r="BJ114" s="260"/>
      <c r="BO114" s="260"/>
      <c r="BT114" s="260"/>
      <c r="BY114" s="260"/>
      <c r="CD114" s="260"/>
      <c r="CI114" s="260"/>
      <c r="CN114" s="260"/>
      <c r="CS114" s="260"/>
      <c r="CX114" s="260"/>
      <c r="DC114" s="260"/>
      <c r="DD114" s="363"/>
      <c r="DE114" s="6"/>
      <c r="DF114" s="363"/>
      <c r="DG114" s="363"/>
      <c r="DH114" s="363"/>
      <c r="DI114" s="363"/>
      <c r="DJ114" s="435"/>
      <c r="DK114" s="430" t="s">
        <v>495</v>
      </c>
      <c r="DL114" s="582"/>
      <c r="DM114" s="582"/>
      <c r="DN114" s="582"/>
      <c r="DO114" s="582"/>
      <c r="DP114" s="582"/>
      <c r="DQ114" s="393"/>
      <c r="DR114" s="6"/>
      <c r="DS114" s="363"/>
      <c r="DT114"/>
      <c r="DU114"/>
      <c r="DV114"/>
      <c r="DW114"/>
      <c r="DX114"/>
      <c r="DY114"/>
    </row>
    <row r="115" spans="1:131" x14ac:dyDescent="0.2">
      <c r="A115" s="88" t="s">
        <v>324</v>
      </c>
      <c r="B115" s="275">
        <f>B40</f>
        <v>0</v>
      </c>
      <c r="C115" s="89"/>
      <c r="D115" s="89"/>
      <c r="E115" s="89"/>
      <c r="F115" s="89"/>
      <c r="G115" s="275">
        <f t="shared" ref="G115:AI115" si="515">G40</f>
        <v>104.61800000000001</v>
      </c>
      <c r="H115" s="89">
        <f t="shared" si="515"/>
        <v>63.85</v>
      </c>
      <c r="I115" s="89">
        <f t="shared" si="515"/>
        <v>78.39800000000001</v>
      </c>
      <c r="J115" s="89">
        <f t="shared" si="515"/>
        <v>82.608000000000004</v>
      </c>
      <c r="K115" s="89">
        <f t="shared" si="515"/>
        <v>95.557999999999993</v>
      </c>
      <c r="L115" s="275">
        <f t="shared" si="515"/>
        <v>320.41400000000004</v>
      </c>
      <c r="M115" s="89">
        <f t="shared" si="515"/>
        <v>133.369</v>
      </c>
      <c r="N115" s="89">
        <f t="shared" si="515"/>
        <v>149.303</v>
      </c>
      <c r="O115" s="89">
        <f t="shared" si="515"/>
        <v>165.261</v>
      </c>
      <c r="P115" s="89">
        <f t="shared" si="515"/>
        <v>187.25799999999998</v>
      </c>
      <c r="Q115" s="275">
        <f t="shared" si="515"/>
        <v>635.19100000000003</v>
      </c>
      <c r="R115" s="89">
        <f t="shared" si="515"/>
        <v>217.13</v>
      </c>
      <c r="S115" s="89">
        <f t="shared" si="515"/>
        <v>244.70099999999999</v>
      </c>
      <c r="T115" s="89">
        <f t="shared" si="515"/>
        <v>273.57599999999996</v>
      </c>
      <c r="U115" s="89">
        <f t="shared" si="515"/>
        <v>262.94400000000002</v>
      </c>
      <c r="V115" s="275">
        <f t="shared" si="515"/>
        <v>998.351</v>
      </c>
      <c r="W115" s="89">
        <f t="shared" si="515"/>
        <v>289.00299999999999</v>
      </c>
      <c r="X115" s="89">
        <f t="shared" si="515"/>
        <v>319.71800000000002</v>
      </c>
      <c r="Y115" s="89">
        <f t="shared" si="515"/>
        <v>323.21499999999997</v>
      </c>
      <c r="Z115" s="89">
        <f>Z40</f>
        <v>330.536</v>
      </c>
      <c r="AA115" s="275">
        <f t="shared" si="515"/>
        <v>1262.4719999999998</v>
      </c>
      <c r="AB115" s="89">
        <f>AB40</f>
        <v>374.22200000000004</v>
      </c>
      <c r="AC115" s="89">
        <f>AC40</f>
        <v>429</v>
      </c>
      <c r="AD115" s="89">
        <f t="shared" si="515"/>
        <v>452.91500000000002</v>
      </c>
      <c r="AE115" s="89">
        <f>AE40</f>
        <v>445.99200000000002</v>
      </c>
      <c r="AF115" s="275">
        <f t="shared" si="515"/>
        <v>1702.1290000000001</v>
      </c>
      <c r="AG115" s="89">
        <f>AG40</f>
        <v>490.4</v>
      </c>
      <c r="AH115" s="89">
        <f>AH40</f>
        <v>612</v>
      </c>
      <c r="AI115" s="89">
        <f t="shared" si="515"/>
        <v>628</v>
      </c>
      <c r="AJ115" s="89">
        <f t="shared" ref="AJ115:AP115" si="516">AJ40</f>
        <v>633</v>
      </c>
      <c r="AK115" s="275">
        <f t="shared" si="516"/>
        <v>2363.4</v>
      </c>
      <c r="AL115" s="89">
        <f t="shared" si="516"/>
        <v>608</v>
      </c>
      <c r="AM115" s="89">
        <f t="shared" si="516"/>
        <v>730</v>
      </c>
      <c r="AN115" s="89">
        <f t="shared" si="516"/>
        <v>765</v>
      </c>
      <c r="AO115" s="89">
        <f t="shared" si="516"/>
        <v>739</v>
      </c>
      <c r="AP115" s="275">
        <f t="shared" si="516"/>
        <v>2842</v>
      </c>
      <c r="AQ115" s="89">
        <f t="shared" ref="AQ115:BV115" si="517">AQ40</f>
        <v>816</v>
      </c>
      <c r="AR115" s="89">
        <f t="shared" si="517"/>
        <v>859</v>
      </c>
      <c r="AS115" s="89">
        <f t="shared" si="517"/>
        <v>902</v>
      </c>
      <c r="AT115" s="89">
        <f t="shared" si="517"/>
        <v>811</v>
      </c>
      <c r="AU115" s="275">
        <f t="shared" si="517"/>
        <v>3388</v>
      </c>
      <c r="AV115" s="89">
        <f t="shared" si="517"/>
        <v>795</v>
      </c>
      <c r="AW115" s="89">
        <f t="shared" si="517"/>
        <v>809</v>
      </c>
      <c r="AX115" s="89">
        <f t="shared" si="517"/>
        <v>855</v>
      </c>
      <c r="AY115" s="89">
        <f t="shared" si="517"/>
        <v>832</v>
      </c>
      <c r="AZ115" s="275">
        <f t="shared" si="517"/>
        <v>3291</v>
      </c>
      <c r="BA115" s="89">
        <f t="shared" si="517"/>
        <v>870</v>
      </c>
      <c r="BB115" s="89">
        <f t="shared" si="517"/>
        <v>939</v>
      </c>
      <c r="BC115" s="89">
        <f t="shared" si="517"/>
        <v>1030</v>
      </c>
      <c r="BD115" s="89">
        <f t="shared" si="517"/>
        <v>940</v>
      </c>
      <c r="BE115" s="275">
        <f t="shared" si="517"/>
        <v>3779</v>
      </c>
      <c r="BF115" s="89">
        <f>BF40</f>
        <v>1012</v>
      </c>
      <c r="BG115" s="89">
        <f>BG40</f>
        <v>1151</v>
      </c>
      <c r="BH115" s="89">
        <f>BH40</f>
        <v>1195</v>
      </c>
      <c r="BI115" s="89">
        <f>BI40</f>
        <v>1146</v>
      </c>
      <c r="BJ115" s="275">
        <f t="shared" si="517"/>
        <v>4504</v>
      </c>
      <c r="BK115" s="89">
        <f t="shared" ref="BK115:BS115" si="518">BK40</f>
        <v>1203</v>
      </c>
      <c r="BL115" s="89">
        <f t="shared" si="518"/>
        <v>1277</v>
      </c>
      <c r="BM115" s="89">
        <f t="shared" si="518"/>
        <v>1308</v>
      </c>
      <c r="BN115" s="89">
        <f>BN40</f>
        <v>1194</v>
      </c>
      <c r="BO115" s="275">
        <f t="shared" si="518"/>
        <v>4982</v>
      </c>
      <c r="BP115" s="89">
        <f t="shared" si="518"/>
        <v>1299</v>
      </c>
      <c r="BQ115" s="89">
        <f t="shared" si="518"/>
        <v>1335</v>
      </c>
      <c r="BR115" s="89">
        <f t="shared" si="518"/>
        <v>1442</v>
      </c>
      <c r="BS115" s="89">
        <f t="shared" si="518"/>
        <v>1365</v>
      </c>
      <c r="BT115" s="275">
        <f t="shared" si="517"/>
        <v>5441</v>
      </c>
      <c r="BU115" s="89">
        <f t="shared" si="517"/>
        <v>1349</v>
      </c>
      <c r="BV115" s="89">
        <f t="shared" si="517"/>
        <v>1493</v>
      </c>
      <c r="BW115" s="89">
        <f>BW40</f>
        <v>1529</v>
      </c>
      <c r="BX115" s="89">
        <f>BX40</f>
        <v>1446</v>
      </c>
      <c r="BY115" s="275">
        <f>BY40</f>
        <v>5817</v>
      </c>
      <c r="BZ115" s="89">
        <f>BZ40</f>
        <v>1523</v>
      </c>
      <c r="CA115" s="89">
        <f>CA40</f>
        <v>1612</v>
      </c>
      <c r="CB115" s="89">
        <f t="shared" ref="CB115:CD115" si="519">CB40</f>
        <v>1687</v>
      </c>
      <c r="CC115" s="89">
        <f t="shared" si="519"/>
        <v>1594</v>
      </c>
      <c r="CD115" s="275">
        <f t="shared" si="519"/>
        <v>6416</v>
      </c>
      <c r="CE115" s="89">
        <f>CE40</f>
        <v>1616</v>
      </c>
      <c r="CF115" s="89">
        <f>CF40</f>
        <v>1643</v>
      </c>
      <c r="CG115" s="89">
        <f t="shared" ref="CG115:CI115" si="520">CG40</f>
        <v>1732</v>
      </c>
      <c r="CH115" s="89">
        <f t="shared" si="520"/>
        <v>1641</v>
      </c>
      <c r="CI115" s="275">
        <f t="shared" si="520"/>
        <v>6632</v>
      </c>
      <c r="CJ115" s="89">
        <f>CJ40</f>
        <v>1604</v>
      </c>
      <c r="CK115" s="89">
        <f>CK40</f>
        <v>1842</v>
      </c>
      <c r="CL115" s="89">
        <f t="shared" ref="CL115:CN115" si="521">CL40</f>
        <v>1813</v>
      </c>
      <c r="CM115" s="89">
        <f t="shared" si="521"/>
        <v>1756</v>
      </c>
      <c r="CN115" s="275">
        <f t="shared" si="521"/>
        <v>7015</v>
      </c>
      <c r="CO115" s="89">
        <f t="shared" ref="CO115:CR115" si="522">CO40</f>
        <v>1757.3960329999995</v>
      </c>
      <c r="CP115" s="89">
        <f t="shared" si="522"/>
        <v>1904.16</v>
      </c>
      <c r="CQ115" s="89">
        <f t="shared" si="522"/>
        <v>2036.2794999999999</v>
      </c>
      <c r="CR115" s="89">
        <f t="shared" si="522"/>
        <v>1926.8112000000001</v>
      </c>
      <c r="CS115" s="275">
        <f>CS40</f>
        <v>7624.6467329999996</v>
      </c>
      <c r="CT115" s="89"/>
      <c r="CU115" s="89"/>
      <c r="CV115" s="89"/>
      <c r="CW115" s="89"/>
      <c r="CX115" s="275">
        <f>CX40</f>
        <v>8244.8703918315496</v>
      </c>
      <c r="CY115" s="89"/>
      <c r="CZ115" s="89"/>
      <c r="DA115" s="89"/>
      <c r="DB115" s="89"/>
      <c r="DC115" s="275">
        <f>DC40</f>
        <v>8894.1428644310563</v>
      </c>
      <c r="DD115" s="369"/>
      <c r="DE115" s="467"/>
      <c r="DJ115" s="444"/>
      <c r="DK115" s="430" t="s">
        <v>485</v>
      </c>
      <c r="DL115" s="408"/>
      <c r="DQ115" s="408"/>
      <c r="DR115" s="505"/>
      <c r="DS115" s="369"/>
    </row>
    <row r="116" spans="1:131" x14ac:dyDescent="0.2">
      <c r="A116" s="11" t="s">
        <v>131</v>
      </c>
      <c r="B116" s="276"/>
      <c r="C116" s="90"/>
      <c r="D116" s="90"/>
      <c r="E116" s="90"/>
      <c r="F116" s="90"/>
      <c r="G116" s="276"/>
      <c r="H116" s="91"/>
      <c r="I116" s="91"/>
      <c r="J116" s="91"/>
      <c r="K116" s="91"/>
      <c r="L116" s="276">
        <f t="shared" ref="L116:AZ116" si="523">L115/G115-1</f>
        <v>2.0627043147450728</v>
      </c>
      <c r="M116" s="91">
        <f t="shared" si="523"/>
        <v>1.088786217697729</v>
      </c>
      <c r="N116" s="91">
        <f t="shared" si="523"/>
        <v>0.90442358223424035</v>
      </c>
      <c r="O116" s="91">
        <f t="shared" si="523"/>
        <v>1.0005447414294015</v>
      </c>
      <c r="P116" s="91">
        <f t="shared" si="523"/>
        <v>0.95962661420289241</v>
      </c>
      <c r="Q116" s="276">
        <f t="shared" si="523"/>
        <v>0.9824071357680999</v>
      </c>
      <c r="R116" s="91">
        <f t="shared" si="523"/>
        <v>0.62803949943390136</v>
      </c>
      <c r="S116" s="91">
        <f t="shared" si="523"/>
        <v>0.63895568072979114</v>
      </c>
      <c r="T116" s="91">
        <f t="shared" si="523"/>
        <v>0.65541779367182795</v>
      </c>
      <c r="U116" s="91">
        <f t="shared" si="523"/>
        <v>0.40418032874429954</v>
      </c>
      <c r="V116" s="276">
        <f t="shared" si="523"/>
        <v>0.57173354156466316</v>
      </c>
      <c r="W116" s="91">
        <f t="shared" si="523"/>
        <v>0.33101367844148655</v>
      </c>
      <c r="X116" s="91">
        <f t="shared" si="523"/>
        <v>0.30656597234992922</v>
      </c>
      <c r="Y116" s="91">
        <f t="shared" si="523"/>
        <v>0.18144500979618106</v>
      </c>
      <c r="Z116" s="91">
        <f t="shared" si="523"/>
        <v>0.25705853717901905</v>
      </c>
      <c r="AA116" s="276">
        <f t="shared" si="523"/>
        <v>0.26455725491335191</v>
      </c>
      <c r="AB116" s="91">
        <f t="shared" si="523"/>
        <v>0.29487237156707735</v>
      </c>
      <c r="AC116" s="91">
        <f t="shared" si="523"/>
        <v>0.34180746783102611</v>
      </c>
      <c r="AD116" s="91">
        <f t="shared" si="523"/>
        <v>0.40128088114722416</v>
      </c>
      <c r="AE116" s="91">
        <f t="shared" si="523"/>
        <v>0.34929931989253826</v>
      </c>
      <c r="AF116" s="276">
        <f t="shared" si="523"/>
        <v>0.34825089190096925</v>
      </c>
      <c r="AG116" s="91">
        <f t="shared" si="523"/>
        <v>0.31045208459149887</v>
      </c>
      <c r="AH116" s="91">
        <f t="shared" si="523"/>
        <v>0.42657342657342667</v>
      </c>
      <c r="AI116" s="91">
        <f t="shared" si="523"/>
        <v>0.38657363964540803</v>
      </c>
      <c r="AJ116" s="91">
        <f t="shared" si="523"/>
        <v>0.41930796964967976</v>
      </c>
      <c r="AK116" s="276">
        <f t="shared" si="523"/>
        <v>0.38849640655907969</v>
      </c>
      <c r="AL116" s="91">
        <f t="shared" si="523"/>
        <v>0.23980424143556278</v>
      </c>
      <c r="AM116" s="91">
        <f t="shared" si="523"/>
        <v>0.19281045751633985</v>
      </c>
      <c r="AN116" s="91">
        <f t="shared" si="523"/>
        <v>0.21815286624203822</v>
      </c>
      <c r="AO116" s="91">
        <f t="shared" si="523"/>
        <v>0.1674565560821486</v>
      </c>
      <c r="AP116" s="276">
        <f t="shared" si="523"/>
        <v>0.20250486587120253</v>
      </c>
      <c r="AQ116" s="91">
        <f t="shared" si="523"/>
        <v>0.34210526315789469</v>
      </c>
      <c r="AR116" s="91">
        <f t="shared" si="523"/>
        <v>0.17671232876712328</v>
      </c>
      <c r="AS116" s="91">
        <f t="shared" si="523"/>
        <v>0.17908496732026147</v>
      </c>
      <c r="AT116" s="91">
        <f t="shared" si="523"/>
        <v>9.7428958051420933E-2</v>
      </c>
      <c r="AU116" s="276">
        <f t="shared" si="523"/>
        <v>0.19211822660098532</v>
      </c>
      <c r="AV116" s="91">
        <f t="shared" si="523"/>
        <v>-2.5735294117647078E-2</v>
      </c>
      <c r="AW116" s="91">
        <f t="shared" si="523"/>
        <v>-5.8207217694994151E-2</v>
      </c>
      <c r="AX116" s="91">
        <f t="shared" si="523"/>
        <v>-5.2106430155210659E-2</v>
      </c>
      <c r="AY116" s="91">
        <f t="shared" si="523"/>
        <v>2.5893958076448786E-2</v>
      </c>
      <c r="AZ116" s="276">
        <f t="shared" si="523"/>
        <v>-2.8630460448642259E-2</v>
      </c>
      <c r="BA116" s="91">
        <f t="shared" ref="BA116:BL116" si="524">BA115/AV115-1</f>
        <v>9.4339622641509413E-2</v>
      </c>
      <c r="BB116" s="91">
        <f t="shared" si="524"/>
        <v>0.16069221260815825</v>
      </c>
      <c r="BC116" s="91">
        <f t="shared" si="524"/>
        <v>0.20467836257309946</v>
      </c>
      <c r="BD116" s="91">
        <f t="shared" si="524"/>
        <v>0.12980769230769229</v>
      </c>
      <c r="BE116" s="276">
        <f t="shared" si="524"/>
        <v>0.14828319659677902</v>
      </c>
      <c r="BF116" s="91">
        <f>BF115/BA115-1</f>
        <v>0.16321839080459766</v>
      </c>
      <c r="BG116" s="91">
        <f t="shared" si="524"/>
        <v>0.22577209797657072</v>
      </c>
      <c r="BH116" s="91">
        <f t="shared" si="524"/>
        <v>0.16019417475728148</v>
      </c>
      <c r="BI116" s="91">
        <f t="shared" si="524"/>
        <v>0.2191489361702128</v>
      </c>
      <c r="BJ116" s="276">
        <f t="shared" si="524"/>
        <v>0.19184969568668953</v>
      </c>
      <c r="BK116" s="91">
        <f>BK115/BF115-1</f>
        <v>0.18873517786561256</v>
      </c>
      <c r="BL116" s="91">
        <f t="shared" si="524"/>
        <v>0.10947002606429201</v>
      </c>
      <c r="BM116" s="91">
        <f t="shared" ref="BM116:BV116" si="525">BM115/BH115-1</f>
        <v>9.4560669456067004E-2</v>
      </c>
      <c r="BN116" s="91">
        <f t="shared" si="525"/>
        <v>4.1884816753926746E-2</v>
      </c>
      <c r="BO116" s="276">
        <f t="shared" si="525"/>
        <v>0.10612788632326819</v>
      </c>
      <c r="BP116" s="91">
        <f t="shared" si="525"/>
        <v>7.9800498753117122E-2</v>
      </c>
      <c r="BQ116" s="91">
        <f t="shared" si="525"/>
        <v>4.5418950665622626E-2</v>
      </c>
      <c r="BR116" s="91">
        <f t="shared" si="525"/>
        <v>0.10244648318042815</v>
      </c>
      <c r="BS116" s="91">
        <f t="shared" si="525"/>
        <v>0.14321608040200995</v>
      </c>
      <c r="BT116" s="276">
        <f t="shared" si="525"/>
        <v>9.2131674026495469E-2</v>
      </c>
      <c r="BU116" s="91">
        <f t="shared" si="525"/>
        <v>3.8491147036181728E-2</v>
      </c>
      <c r="BV116" s="91">
        <f t="shared" si="525"/>
        <v>0.11835205992509357</v>
      </c>
      <c r="BW116" s="91">
        <f t="shared" ref="BW116:CB116" si="526">BW115/BR115-1</f>
        <v>6.0332871012482636E-2</v>
      </c>
      <c r="BX116" s="91">
        <f t="shared" si="526"/>
        <v>5.9340659340659352E-2</v>
      </c>
      <c r="BY116" s="276">
        <f t="shared" si="526"/>
        <v>6.9104943944128028E-2</v>
      </c>
      <c r="BZ116" s="91">
        <f t="shared" si="526"/>
        <v>0.128984432913269</v>
      </c>
      <c r="CA116" s="91">
        <f t="shared" si="526"/>
        <v>7.9705291359678521E-2</v>
      </c>
      <c r="CB116" s="91">
        <f t="shared" si="526"/>
        <v>0.10333551340745584</v>
      </c>
      <c r="CC116" s="91">
        <f t="shared" ref="CC116:CG116" si="527">CC115/BX115-1</f>
        <v>0.10235131396957131</v>
      </c>
      <c r="CD116" s="276">
        <f t="shared" si="527"/>
        <v>0.10297404160220047</v>
      </c>
      <c r="CE116" s="91">
        <f t="shared" si="527"/>
        <v>6.1063690085357836E-2</v>
      </c>
      <c r="CF116" s="91">
        <f t="shared" si="527"/>
        <v>1.9230769230769162E-2</v>
      </c>
      <c r="CG116" s="91">
        <f t="shared" si="527"/>
        <v>2.6674570243034879E-2</v>
      </c>
      <c r="CH116" s="91">
        <f t="shared" ref="CH116" si="528">CH115/CC115-1</f>
        <v>2.9485570890840584E-2</v>
      </c>
      <c r="CI116" s="276">
        <f t="shared" ref="CI116:CR116" si="529">CI115/CD115-1</f>
        <v>3.366583541147139E-2</v>
      </c>
      <c r="CJ116" s="91">
        <f t="shared" si="529"/>
        <v>-7.4257425742574323E-3</v>
      </c>
      <c r="CK116" s="91">
        <f t="shared" si="529"/>
        <v>0.12111990261716366</v>
      </c>
      <c r="CL116" s="91">
        <f t="shared" si="529"/>
        <v>4.6766743648960718E-2</v>
      </c>
      <c r="CM116" s="91">
        <f t="shared" ref="CM116" si="530">CM115/CH115-1</f>
        <v>7.0079219987812413E-2</v>
      </c>
      <c r="CN116" s="276">
        <f t="shared" ref="CN116" si="531">CN115/CI115-1</f>
        <v>5.7750301568154416E-2</v>
      </c>
      <c r="CO116" s="91">
        <f t="shared" si="529"/>
        <v>9.5633437032418556E-2</v>
      </c>
      <c r="CP116" s="91">
        <f t="shared" si="529"/>
        <v>3.3745928338762221E-2</v>
      </c>
      <c r="CQ116" s="91">
        <f t="shared" si="529"/>
        <v>0.12315471594043026</v>
      </c>
      <c r="CR116" s="91">
        <f t="shared" si="529"/>
        <v>9.7272892938496724E-2</v>
      </c>
      <c r="CS116" s="276">
        <f>CS115/CN115-1</f>
        <v>8.6906162936564391E-2</v>
      </c>
      <c r="CT116" s="91"/>
      <c r="CU116" s="91"/>
      <c r="CV116" s="91"/>
      <c r="CW116" s="91"/>
      <c r="CX116" s="276">
        <f>CX115/CS115-1</f>
        <v>8.1344576417839765E-2</v>
      </c>
      <c r="CY116" s="91"/>
      <c r="CZ116" s="91"/>
      <c r="DA116" s="91"/>
      <c r="DB116" s="91"/>
      <c r="DC116" s="276">
        <f>DC115/CX115-1</f>
        <v>7.8748657255153676E-2</v>
      </c>
      <c r="DD116" s="370"/>
      <c r="DE116" s="468"/>
      <c r="DJ116" s="445"/>
      <c r="DK116" s="409"/>
      <c r="DL116" s="409"/>
      <c r="DM116" s="408"/>
      <c r="DN116" s="393"/>
      <c r="DO116" s="393"/>
      <c r="DP116" s="393"/>
      <c r="DQ116" s="409"/>
      <c r="DR116" s="506"/>
      <c r="DS116" s="370"/>
    </row>
    <row r="117" spans="1:131" x14ac:dyDescent="0.2">
      <c r="A117" s="88" t="s">
        <v>234</v>
      </c>
      <c r="B117" s="275">
        <f>B105</f>
        <v>14.215999999999999</v>
      </c>
      <c r="C117" s="89"/>
      <c r="D117" s="89"/>
      <c r="E117" s="89"/>
      <c r="F117" s="89"/>
      <c r="G117" s="275">
        <f t="shared" ref="G117:AI117" si="532">G105</f>
        <v>125.80599999999998</v>
      </c>
      <c r="H117" s="89">
        <f t="shared" si="532"/>
        <v>56.311595099999998</v>
      </c>
      <c r="I117" s="89">
        <f t="shared" si="532"/>
        <v>67.408027599999997</v>
      </c>
      <c r="J117" s="89">
        <f t="shared" si="532"/>
        <v>77.970097400000014</v>
      </c>
      <c r="K117" s="89">
        <f t="shared" si="532"/>
        <v>92.347496100000001</v>
      </c>
      <c r="L117" s="275">
        <f t="shared" si="532"/>
        <v>294.03721619999999</v>
      </c>
      <c r="M117" s="89">
        <f t="shared" si="532"/>
        <v>109.9902668</v>
      </c>
      <c r="N117" s="89">
        <f t="shared" si="532"/>
        <v>121.59557719999999</v>
      </c>
      <c r="O117" s="89">
        <f t="shared" si="532"/>
        <v>142.799148</v>
      </c>
      <c r="P117" s="89">
        <f t="shared" si="532"/>
        <v>155.8170216</v>
      </c>
      <c r="Q117" s="275">
        <f t="shared" si="532"/>
        <v>530.20201359999999</v>
      </c>
      <c r="R117" s="89">
        <f t="shared" si="532"/>
        <v>182.67700000000002</v>
      </c>
      <c r="S117" s="89">
        <f t="shared" si="532"/>
        <v>195.75700000000001</v>
      </c>
      <c r="T117" s="89">
        <f t="shared" si="532"/>
        <v>219.74</v>
      </c>
      <c r="U117" s="89">
        <f t="shared" si="532"/>
        <v>227.94399999999999</v>
      </c>
      <c r="V117" s="275">
        <f t="shared" si="532"/>
        <v>826.11799999999994</v>
      </c>
      <c r="W117" s="89">
        <f t="shared" si="532"/>
        <v>256.33900000000006</v>
      </c>
      <c r="X117" s="89">
        <f t="shared" si="532"/>
        <v>274.63</v>
      </c>
      <c r="Y117" s="89">
        <f t="shared" si="532"/>
        <v>300.23</v>
      </c>
      <c r="Z117" s="89">
        <f>Z105</f>
        <v>319.83000000000004</v>
      </c>
      <c r="AA117" s="275">
        <f t="shared" si="532"/>
        <v>1151.029</v>
      </c>
      <c r="AB117" s="89">
        <f>AB105</f>
        <v>348.56</v>
      </c>
      <c r="AC117" s="89">
        <f>AC105</f>
        <v>388.93999999999994</v>
      </c>
      <c r="AD117" s="89">
        <f t="shared" si="532"/>
        <v>439.06900000000002</v>
      </c>
      <c r="AE117" s="89">
        <f>AE105</f>
        <v>464.50699999999995</v>
      </c>
      <c r="AF117" s="275">
        <f t="shared" si="532"/>
        <v>1641.076</v>
      </c>
      <c r="AG117" s="89">
        <f>AG105</f>
        <v>515</v>
      </c>
      <c r="AH117" s="89">
        <f>AH105</f>
        <v>565</v>
      </c>
      <c r="AI117" s="89">
        <f t="shared" si="532"/>
        <v>594</v>
      </c>
      <c r="AJ117" s="89">
        <f t="shared" ref="AJ117:AP117" si="533">AJ105</f>
        <v>569</v>
      </c>
      <c r="AK117" s="275">
        <f t="shared" si="533"/>
        <v>2243</v>
      </c>
      <c r="AL117" s="89">
        <f t="shared" si="533"/>
        <v>621</v>
      </c>
      <c r="AM117" s="89">
        <f t="shared" si="533"/>
        <v>657</v>
      </c>
      <c r="AN117" s="89">
        <f t="shared" si="533"/>
        <v>686</v>
      </c>
      <c r="AO117" s="89">
        <f t="shared" si="533"/>
        <v>709</v>
      </c>
      <c r="AP117" s="275">
        <f t="shared" si="533"/>
        <v>2673</v>
      </c>
      <c r="AQ117" s="89">
        <f t="shared" ref="AQ117:BV117" si="534">AQ105</f>
        <v>798.8</v>
      </c>
      <c r="AR117" s="89">
        <f t="shared" si="534"/>
        <v>838</v>
      </c>
      <c r="AS117" s="89">
        <f t="shared" si="534"/>
        <v>880</v>
      </c>
      <c r="AT117" s="89">
        <f t="shared" si="534"/>
        <v>762</v>
      </c>
      <c r="AU117" s="275">
        <f t="shared" si="534"/>
        <v>3278.8</v>
      </c>
      <c r="AV117" s="89">
        <f t="shared" si="534"/>
        <v>719.5</v>
      </c>
      <c r="AW117" s="89">
        <f t="shared" si="534"/>
        <v>731</v>
      </c>
      <c r="AX117" s="89">
        <f t="shared" si="534"/>
        <v>788</v>
      </c>
      <c r="AY117" s="89">
        <f t="shared" si="534"/>
        <v>768</v>
      </c>
      <c r="AZ117" s="275">
        <f t="shared" si="534"/>
        <v>3006.5</v>
      </c>
      <c r="BA117" s="89">
        <f t="shared" si="534"/>
        <v>828</v>
      </c>
      <c r="BB117" s="89">
        <f t="shared" si="534"/>
        <v>845</v>
      </c>
      <c r="BC117" s="89">
        <f t="shared" si="534"/>
        <v>890.2</v>
      </c>
      <c r="BD117" s="89">
        <f t="shared" si="534"/>
        <v>882.9</v>
      </c>
      <c r="BE117" s="275">
        <f t="shared" si="534"/>
        <v>3446.1000000000004</v>
      </c>
      <c r="BF117" s="89">
        <f t="shared" si="534"/>
        <v>967</v>
      </c>
      <c r="BG117" s="89">
        <f>BG105</f>
        <v>1065</v>
      </c>
      <c r="BH117" s="89">
        <f>BH105</f>
        <v>1087</v>
      </c>
      <c r="BI117" s="89">
        <f>BI105</f>
        <v>1063</v>
      </c>
      <c r="BJ117" s="275">
        <f t="shared" si="534"/>
        <v>4182</v>
      </c>
      <c r="BK117" s="89">
        <f t="shared" ref="BK117:BS117" si="535">BK105</f>
        <v>1114</v>
      </c>
      <c r="BL117" s="89">
        <f t="shared" si="535"/>
        <v>1147</v>
      </c>
      <c r="BM117" s="89">
        <f t="shared" si="535"/>
        <v>1195</v>
      </c>
      <c r="BN117" s="89">
        <f>BN105</f>
        <v>1150</v>
      </c>
      <c r="BO117" s="275">
        <f t="shared" si="535"/>
        <v>4606</v>
      </c>
      <c r="BP117" s="89">
        <f t="shared" si="535"/>
        <v>1240</v>
      </c>
      <c r="BQ117" s="89">
        <f t="shared" si="535"/>
        <v>1233</v>
      </c>
      <c r="BR117" s="89">
        <f t="shared" si="535"/>
        <v>1290</v>
      </c>
      <c r="BS117" s="89">
        <f t="shared" si="535"/>
        <v>1250</v>
      </c>
      <c r="BT117" s="275">
        <f t="shared" si="534"/>
        <v>5013</v>
      </c>
      <c r="BU117" s="89">
        <f t="shared" si="534"/>
        <v>1308</v>
      </c>
      <c r="BV117" s="89">
        <f t="shared" si="534"/>
        <v>1352</v>
      </c>
      <c r="BW117" s="89">
        <f>BW105</f>
        <v>1365</v>
      </c>
      <c r="BX117" s="89">
        <f>BX105</f>
        <v>1277</v>
      </c>
      <c r="BY117" s="275">
        <f>BY105</f>
        <v>5302</v>
      </c>
      <c r="BZ117" s="89">
        <f>BZ105</f>
        <v>1270</v>
      </c>
      <c r="CA117" s="89">
        <f>CA105</f>
        <v>1330</v>
      </c>
      <c r="CB117" s="89">
        <f t="shared" ref="CB117:CD117" si="536">CB105</f>
        <v>1336</v>
      </c>
      <c r="CC117" s="89">
        <f t="shared" si="536"/>
        <v>1264</v>
      </c>
      <c r="CD117" s="275">
        <f t="shared" si="536"/>
        <v>5200</v>
      </c>
      <c r="CE117" s="89">
        <f>CE105</f>
        <v>1267</v>
      </c>
      <c r="CF117" s="89">
        <f>CF105</f>
        <v>1330</v>
      </c>
      <c r="CG117" s="89">
        <f t="shared" ref="CG117:CI117" si="537">CG105</f>
        <v>1378</v>
      </c>
      <c r="CH117" s="89">
        <f t="shared" si="537"/>
        <v>1345</v>
      </c>
      <c r="CI117" s="275">
        <f t="shared" si="537"/>
        <v>5320</v>
      </c>
      <c r="CJ117" s="89">
        <f>CJ105</f>
        <v>1457</v>
      </c>
      <c r="CK117" s="89">
        <f>CK105</f>
        <v>1488</v>
      </c>
      <c r="CL117" s="89">
        <f t="shared" ref="CL117:CN117" si="538">CL105</f>
        <v>1503</v>
      </c>
      <c r="CM117" s="89">
        <f t="shared" si="538"/>
        <v>1567</v>
      </c>
      <c r="CN117" s="275">
        <f t="shared" si="538"/>
        <v>6015</v>
      </c>
      <c r="CO117" s="89">
        <f t="shared" ref="CO117:CR117" si="539">CO105</f>
        <v>1643.8355315082979</v>
      </c>
      <c r="CP117" s="89">
        <f t="shared" si="539"/>
        <v>1711.4624439740821</v>
      </c>
      <c r="CQ117" s="89">
        <f t="shared" si="539"/>
        <v>1731.1171075692962</v>
      </c>
      <c r="CR117" s="89">
        <f t="shared" si="539"/>
        <v>1685.4571925423729</v>
      </c>
      <c r="CS117" s="275">
        <f>CS105</f>
        <v>6771.8722755940489</v>
      </c>
      <c r="CT117" s="89"/>
      <c r="CU117" s="89"/>
      <c r="CV117" s="89"/>
      <c r="CW117" s="89"/>
      <c r="CX117" s="275">
        <f>CX105</f>
        <v>7247.1392356169945</v>
      </c>
      <c r="CY117" s="89"/>
      <c r="CZ117" s="89"/>
      <c r="DA117" s="89"/>
      <c r="DB117" s="89"/>
      <c r="DC117" s="275">
        <f>DC105</f>
        <v>7693.2991581174065</v>
      </c>
      <c r="DD117" s="369"/>
      <c r="DE117" s="467"/>
      <c r="DJ117" s="444"/>
      <c r="DK117" s="408"/>
      <c r="DL117" s="408"/>
      <c r="DM117" s="408"/>
      <c r="DN117" s="408"/>
      <c r="DO117" s="588"/>
      <c r="DP117" s="408"/>
      <c r="DQ117" s="408"/>
      <c r="DR117" s="505"/>
      <c r="DS117" s="369"/>
    </row>
    <row r="118" spans="1:131" x14ac:dyDescent="0.2">
      <c r="A118" s="11" t="s">
        <v>131</v>
      </c>
      <c r="B118" s="276"/>
      <c r="C118" s="90"/>
      <c r="D118" s="90"/>
      <c r="E118" s="90"/>
      <c r="F118" s="90"/>
      <c r="G118" s="276">
        <f>G117/B117-1</f>
        <v>7.8496060776589758</v>
      </c>
      <c r="H118" s="91"/>
      <c r="I118" s="91"/>
      <c r="J118" s="91"/>
      <c r="K118" s="91"/>
      <c r="L118" s="276">
        <f t="shared" ref="L118:AZ118" si="540">L117/G117-1</f>
        <v>1.3372272880466753</v>
      </c>
      <c r="M118" s="91">
        <f t="shared" si="540"/>
        <v>0.95324367218999284</v>
      </c>
      <c r="N118" s="91">
        <f t="shared" si="540"/>
        <v>0.80387383416036928</v>
      </c>
      <c r="O118" s="91">
        <f t="shared" si="540"/>
        <v>0.83146042857194091</v>
      </c>
      <c r="P118" s="91">
        <f t="shared" si="540"/>
        <v>0.68729016140590304</v>
      </c>
      <c r="Q118" s="276">
        <f t="shared" si="540"/>
        <v>0.8031799527015111</v>
      </c>
      <c r="R118" s="91">
        <f t="shared" si="540"/>
        <v>0.66084695777826785</v>
      </c>
      <c r="S118" s="91">
        <f t="shared" si="540"/>
        <v>0.60990230490060959</v>
      </c>
      <c r="T118" s="91">
        <f t="shared" si="540"/>
        <v>0.53880469931095121</v>
      </c>
      <c r="U118" s="91">
        <f t="shared" si="540"/>
        <v>0.46289537342818776</v>
      </c>
      <c r="V118" s="276">
        <f t="shared" si="540"/>
        <v>0.5581193183156179</v>
      </c>
      <c r="W118" s="91">
        <f t="shared" si="540"/>
        <v>0.40323631327424914</v>
      </c>
      <c r="X118" s="91">
        <f t="shared" si="540"/>
        <v>0.40291279494475285</v>
      </c>
      <c r="Y118" s="91">
        <f t="shared" si="540"/>
        <v>0.3662965322654046</v>
      </c>
      <c r="Z118" s="91">
        <f t="shared" si="540"/>
        <v>0.40310778085845667</v>
      </c>
      <c r="AA118" s="276">
        <f t="shared" si="540"/>
        <v>0.39329853604448761</v>
      </c>
      <c r="AB118" s="91">
        <f t="shared" si="540"/>
        <v>0.35976187782584756</v>
      </c>
      <c r="AC118" s="91">
        <f t="shared" si="540"/>
        <v>0.41623274951753242</v>
      </c>
      <c r="AD118" s="91">
        <f t="shared" si="540"/>
        <v>0.46244212770209492</v>
      </c>
      <c r="AE118" s="91">
        <f t="shared" si="540"/>
        <v>0.4523559390926426</v>
      </c>
      <c r="AF118" s="276">
        <f t="shared" si="540"/>
        <v>0.42574687518733234</v>
      </c>
      <c r="AG118" s="91">
        <f t="shared" si="540"/>
        <v>0.47750745926095939</v>
      </c>
      <c r="AH118" s="91">
        <f t="shared" si="540"/>
        <v>0.45266622101095311</v>
      </c>
      <c r="AI118" s="91">
        <f t="shared" si="540"/>
        <v>0.35286253413472601</v>
      </c>
      <c r="AJ118" s="91">
        <f t="shared" si="540"/>
        <v>0.22495462931667354</v>
      </c>
      <c r="AK118" s="276">
        <f t="shared" si="540"/>
        <v>0.36678618174904765</v>
      </c>
      <c r="AL118" s="91">
        <f t="shared" si="540"/>
        <v>0.2058252427184466</v>
      </c>
      <c r="AM118" s="91">
        <f t="shared" si="540"/>
        <v>0.16283185840707959</v>
      </c>
      <c r="AN118" s="91">
        <f t="shared" si="540"/>
        <v>0.15488215488215484</v>
      </c>
      <c r="AO118" s="91">
        <f t="shared" si="540"/>
        <v>0.24604569420035149</v>
      </c>
      <c r="AP118" s="276">
        <f t="shared" si="540"/>
        <v>0.19170753455193945</v>
      </c>
      <c r="AQ118" s="91">
        <f t="shared" si="540"/>
        <v>0.2863123993558776</v>
      </c>
      <c r="AR118" s="91">
        <f t="shared" si="540"/>
        <v>0.27549467275494677</v>
      </c>
      <c r="AS118" s="91">
        <f t="shared" si="540"/>
        <v>0.28279883381924198</v>
      </c>
      <c r="AT118" s="91">
        <f t="shared" si="540"/>
        <v>7.4753173483780078E-2</v>
      </c>
      <c r="AU118" s="276">
        <f t="shared" si="540"/>
        <v>0.22663673774784887</v>
      </c>
      <c r="AV118" s="91">
        <f t="shared" si="540"/>
        <v>-9.9273910866299442E-2</v>
      </c>
      <c r="AW118" s="91">
        <f t="shared" si="540"/>
        <v>-0.12768496420047737</v>
      </c>
      <c r="AX118" s="91">
        <f t="shared" si="540"/>
        <v>-0.1045454545454545</v>
      </c>
      <c r="AY118" s="91">
        <f t="shared" si="540"/>
        <v>7.8740157480314821E-3</v>
      </c>
      <c r="AZ118" s="276">
        <f t="shared" si="540"/>
        <v>-8.3048676345004346E-2</v>
      </c>
      <c r="BA118" s="91">
        <f t="shared" ref="BA118:BL118" si="541">BA117/AV117-1</f>
        <v>0.15079916608756072</v>
      </c>
      <c r="BB118" s="91">
        <f t="shared" si="541"/>
        <v>0.15595075239398093</v>
      </c>
      <c r="BC118" s="91">
        <f t="shared" si="541"/>
        <v>0.12969543147208129</v>
      </c>
      <c r="BD118" s="91">
        <f t="shared" si="541"/>
        <v>0.14960937500000004</v>
      </c>
      <c r="BE118" s="276">
        <f t="shared" si="541"/>
        <v>0.14621653084982555</v>
      </c>
      <c r="BF118" s="91">
        <f>BF117/BA117-1</f>
        <v>0.16787439613526578</v>
      </c>
      <c r="BG118" s="91">
        <f t="shared" si="541"/>
        <v>0.26035502958579881</v>
      </c>
      <c r="BH118" s="91">
        <f t="shared" si="541"/>
        <v>0.22107391597393833</v>
      </c>
      <c r="BI118" s="91">
        <f t="shared" si="541"/>
        <v>0.20398686147921619</v>
      </c>
      <c r="BJ118" s="276">
        <f t="shared" si="541"/>
        <v>0.21354574736658827</v>
      </c>
      <c r="BK118" s="91">
        <f>BK117/BF117-1</f>
        <v>0.15201654601861425</v>
      </c>
      <c r="BL118" s="91">
        <f t="shared" si="541"/>
        <v>7.6995305164319294E-2</v>
      </c>
      <c r="BM118" s="91">
        <f t="shared" ref="BM118:BV118" si="542">BM117/BH117-1</f>
        <v>9.9356025758969624E-2</v>
      </c>
      <c r="BN118" s="91">
        <f t="shared" si="542"/>
        <v>8.1843838193791152E-2</v>
      </c>
      <c r="BO118" s="276">
        <f t="shared" si="542"/>
        <v>0.10138689622190333</v>
      </c>
      <c r="BP118" s="91">
        <f t="shared" si="542"/>
        <v>0.11310592459605018</v>
      </c>
      <c r="BQ118" s="91">
        <f t="shared" si="542"/>
        <v>7.4978204010462068E-2</v>
      </c>
      <c r="BR118" s="91">
        <f t="shared" si="542"/>
        <v>7.9497907949790836E-2</v>
      </c>
      <c r="BS118" s="91">
        <f t="shared" si="542"/>
        <v>8.6956521739130377E-2</v>
      </c>
      <c r="BT118" s="276">
        <f t="shared" si="542"/>
        <v>8.8363004776378595E-2</v>
      </c>
      <c r="BU118" s="91">
        <f t="shared" si="542"/>
        <v>5.4838709677419439E-2</v>
      </c>
      <c r="BV118" s="91">
        <f t="shared" si="542"/>
        <v>9.6512570965125777E-2</v>
      </c>
      <c r="BW118" s="91">
        <f t="shared" ref="BW118:CB118" si="543">BW117/BR117-1</f>
        <v>5.8139534883721034E-2</v>
      </c>
      <c r="BX118" s="91">
        <f t="shared" si="543"/>
        <v>2.1600000000000064E-2</v>
      </c>
      <c r="BY118" s="276">
        <f t="shared" si="543"/>
        <v>5.7650109714741715E-2</v>
      </c>
      <c r="BZ118" s="91">
        <f t="shared" si="543"/>
        <v>-2.9051987767584109E-2</v>
      </c>
      <c r="CA118" s="91">
        <f t="shared" si="543"/>
        <v>-1.6272189349112454E-2</v>
      </c>
      <c r="CB118" s="91">
        <f t="shared" si="543"/>
        <v>-2.1245421245421281E-2</v>
      </c>
      <c r="CC118" s="91">
        <f t="shared" ref="CC118:CG118" si="544">CC117/BX117-1</f>
        <v>-1.018010963194993E-2</v>
      </c>
      <c r="CD118" s="276">
        <f t="shared" si="544"/>
        <v>-1.9238023387400993E-2</v>
      </c>
      <c r="CE118" s="91">
        <f t="shared" si="544"/>
        <v>-2.3622047244094002E-3</v>
      </c>
      <c r="CF118" s="91">
        <f t="shared" si="544"/>
        <v>0</v>
      </c>
      <c r="CG118" s="91">
        <f t="shared" si="544"/>
        <v>3.1437125748503103E-2</v>
      </c>
      <c r="CH118" s="91">
        <f t="shared" ref="CH118" si="545">CH117/CC117-1</f>
        <v>6.4082278481012667E-2</v>
      </c>
      <c r="CI118" s="276">
        <f t="shared" ref="CI118:CR118" si="546">CI117/CD117-1</f>
        <v>2.3076923076922995E-2</v>
      </c>
      <c r="CJ118" s="91">
        <f t="shared" si="546"/>
        <v>0.14996053670086829</v>
      </c>
      <c r="CK118" s="91">
        <f t="shared" si="546"/>
        <v>0.1187969924812029</v>
      </c>
      <c r="CL118" s="91">
        <f t="shared" si="546"/>
        <v>9.0711175616835948E-2</v>
      </c>
      <c r="CM118" s="91">
        <f t="shared" ref="CM118" si="547">CM117/CH117-1</f>
        <v>0.1650557620817843</v>
      </c>
      <c r="CN118" s="276">
        <f t="shared" ref="CN118" si="548">CN117/CI117-1</f>
        <v>0.130639097744361</v>
      </c>
      <c r="CO118" s="91">
        <f t="shared" si="546"/>
        <v>0.12823303466595593</v>
      </c>
      <c r="CP118" s="91">
        <f t="shared" si="546"/>
        <v>0.15017637363849601</v>
      </c>
      <c r="CQ118" s="91">
        <f t="shared" si="546"/>
        <v>0.15177452266752911</v>
      </c>
      <c r="CR118" s="91">
        <f t="shared" si="546"/>
        <v>7.5594889944079702E-2</v>
      </c>
      <c r="CS118" s="276">
        <f>CS117/CN117-1</f>
        <v>0.12583080226002474</v>
      </c>
      <c r="CT118" s="91"/>
      <c r="CU118" s="91"/>
      <c r="CV118" s="91"/>
      <c r="CW118" s="91"/>
      <c r="CX118" s="276">
        <f>CX117/CS117-1</f>
        <v>7.018250502683232E-2</v>
      </c>
      <c r="CY118" s="91"/>
      <c r="CZ118" s="91"/>
      <c r="DA118" s="91"/>
      <c r="DB118" s="91"/>
      <c r="DC118" s="276">
        <f>DC117/CX117-1</f>
        <v>6.1563591921582228E-2</v>
      </c>
      <c r="DD118" s="370"/>
      <c r="DE118" s="468"/>
      <c r="DJ118" s="445"/>
      <c r="DK118" s="409"/>
      <c r="DL118" s="409"/>
      <c r="DM118" s="409"/>
      <c r="DN118" s="409"/>
      <c r="DO118" s="588"/>
      <c r="DP118" s="588"/>
      <c r="DQ118" s="409"/>
      <c r="DR118" s="506"/>
      <c r="DS118" s="370"/>
    </row>
    <row r="119" spans="1:131" x14ac:dyDescent="0.2">
      <c r="A119" s="88" t="s">
        <v>30</v>
      </c>
      <c r="B119" s="275">
        <f>B115-B117</f>
        <v>-14.215999999999999</v>
      </c>
      <c r="C119" s="89"/>
      <c r="D119" s="89"/>
      <c r="E119" s="89"/>
      <c r="F119" s="89"/>
      <c r="G119" s="275">
        <f t="shared" ref="G119:AI119" si="549">G115-G117</f>
        <v>-21.187999999999974</v>
      </c>
      <c r="H119" s="89">
        <f t="shared" si="549"/>
        <v>7.5384049000000033</v>
      </c>
      <c r="I119" s="89">
        <f t="shared" si="549"/>
        <v>10.989972400000013</v>
      </c>
      <c r="J119" s="89">
        <f t="shared" si="549"/>
        <v>4.6379025999999897</v>
      </c>
      <c r="K119" s="89">
        <f t="shared" si="549"/>
        <v>3.210503899999992</v>
      </c>
      <c r="L119" s="275">
        <f t="shared" si="549"/>
        <v>26.376783800000055</v>
      </c>
      <c r="M119" s="89">
        <f t="shared" si="549"/>
        <v>23.378733199999999</v>
      </c>
      <c r="N119" s="89">
        <f t="shared" si="549"/>
        <v>27.707422800000003</v>
      </c>
      <c r="O119" s="89">
        <f t="shared" si="549"/>
        <v>22.461851999999993</v>
      </c>
      <c r="P119" s="89">
        <f t="shared" si="549"/>
        <v>31.440978399999977</v>
      </c>
      <c r="Q119" s="275">
        <f t="shared" si="549"/>
        <v>104.98898640000004</v>
      </c>
      <c r="R119" s="89">
        <f t="shared" si="549"/>
        <v>34.452999999999975</v>
      </c>
      <c r="S119" s="89">
        <f t="shared" si="549"/>
        <v>48.943999999999988</v>
      </c>
      <c r="T119" s="89">
        <f t="shared" si="549"/>
        <v>53.835999999999956</v>
      </c>
      <c r="U119" s="89">
        <f t="shared" si="549"/>
        <v>35.000000000000028</v>
      </c>
      <c r="V119" s="275">
        <f t="shared" si="549"/>
        <v>172.23300000000006</v>
      </c>
      <c r="W119" s="89">
        <f t="shared" si="549"/>
        <v>32.66399999999993</v>
      </c>
      <c r="X119" s="89">
        <f t="shared" si="549"/>
        <v>45.088000000000022</v>
      </c>
      <c r="Y119" s="89">
        <f t="shared" si="549"/>
        <v>22.984999999999957</v>
      </c>
      <c r="Z119" s="89">
        <f>Z115-Z117</f>
        <v>10.70599999999996</v>
      </c>
      <c r="AA119" s="275">
        <f t="shared" si="549"/>
        <v>111.44299999999976</v>
      </c>
      <c r="AB119" s="89">
        <f>AB115-AB117</f>
        <v>25.662000000000035</v>
      </c>
      <c r="AC119" s="89">
        <f>AC115-AC117</f>
        <v>40.060000000000059</v>
      </c>
      <c r="AD119" s="89">
        <f t="shared" si="549"/>
        <v>13.846000000000004</v>
      </c>
      <c r="AE119" s="89">
        <f>AE115-AE117</f>
        <v>-18.51499999999993</v>
      </c>
      <c r="AF119" s="275">
        <f t="shared" si="549"/>
        <v>61.053000000000111</v>
      </c>
      <c r="AG119" s="89">
        <f>AG115-AG117</f>
        <v>-24.600000000000023</v>
      </c>
      <c r="AH119" s="89">
        <f>AH115-AH117</f>
        <v>47</v>
      </c>
      <c r="AI119" s="89">
        <f t="shared" si="549"/>
        <v>34</v>
      </c>
      <c r="AJ119" s="89">
        <f t="shared" ref="AJ119:AP119" si="550">AJ115-AJ117</f>
        <v>64</v>
      </c>
      <c r="AK119" s="275">
        <f t="shared" si="550"/>
        <v>120.40000000000009</v>
      </c>
      <c r="AL119" s="89">
        <f t="shared" si="550"/>
        <v>-13</v>
      </c>
      <c r="AM119" s="89">
        <f t="shared" si="550"/>
        <v>73</v>
      </c>
      <c r="AN119" s="89">
        <f t="shared" si="550"/>
        <v>79</v>
      </c>
      <c r="AO119" s="89">
        <f t="shared" si="550"/>
        <v>30</v>
      </c>
      <c r="AP119" s="275">
        <f t="shared" si="550"/>
        <v>169</v>
      </c>
      <c r="AQ119" s="89">
        <f t="shared" ref="AQ119:BV119" si="551">AQ115-AQ117</f>
        <v>17.200000000000045</v>
      </c>
      <c r="AR119" s="89">
        <f t="shared" si="551"/>
        <v>21</v>
      </c>
      <c r="AS119" s="89">
        <f t="shared" si="551"/>
        <v>22</v>
      </c>
      <c r="AT119" s="89">
        <f t="shared" si="551"/>
        <v>49</v>
      </c>
      <c r="AU119" s="275">
        <f t="shared" si="551"/>
        <v>109.19999999999982</v>
      </c>
      <c r="AV119" s="89">
        <f t="shared" si="551"/>
        <v>75.5</v>
      </c>
      <c r="AW119" s="89">
        <f t="shared" si="551"/>
        <v>78</v>
      </c>
      <c r="AX119" s="89">
        <f t="shared" si="551"/>
        <v>67</v>
      </c>
      <c r="AY119" s="89">
        <f t="shared" si="551"/>
        <v>64</v>
      </c>
      <c r="AZ119" s="275">
        <f t="shared" si="551"/>
        <v>284.5</v>
      </c>
      <c r="BA119" s="89">
        <f t="shared" si="551"/>
        <v>42</v>
      </c>
      <c r="BB119" s="89">
        <f t="shared" si="551"/>
        <v>94</v>
      </c>
      <c r="BC119" s="89">
        <f t="shared" si="551"/>
        <v>139.79999999999995</v>
      </c>
      <c r="BD119" s="89">
        <f t="shared" si="551"/>
        <v>57.100000000000023</v>
      </c>
      <c r="BE119" s="275">
        <f t="shared" si="551"/>
        <v>332.89999999999964</v>
      </c>
      <c r="BF119" s="89">
        <f t="shared" si="551"/>
        <v>45</v>
      </c>
      <c r="BG119" s="89">
        <f>BG115-BG117</f>
        <v>86</v>
      </c>
      <c r="BH119" s="89">
        <f>BH115-BH117</f>
        <v>108</v>
      </c>
      <c r="BI119" s="89">
        <f>BI115-BI117</f>
        <v>83</v>
      </c>
      <c r="BJ119" s="275">
        <f t="shared" si="551"/>
        <v>322</v>
      </c>
      <c r="BK119" s="89">
        <f t="shared" ref="BK119:BS119" si="552">BK115-BK117</f>
        <v>89</v>
      </c>
      <c r="BL119" s="89">
        <f t="shared" si="552"/>
        <v>130</v>
      </c>
      <c r="BM119" s="89">
        <f t="shared" si="552"/>
        <v>113</v>
      </c>
      <c r="BN119" s="89">
        <f>BN115-BN117</f>
        <v>44</v>
      </c>
      <c r="BO119" s="275">
        <f t="shared" si="552"/>
        <v>376</v>
      </c>
      <c r="BP119" s="89">
        <f t="shared" si="552"/>
        <v>59</v>
      </c>
      <c r="BQ119" s="89">
        <f t="shared" si="552"/>
        <v>102</v>
      </c>
      <c r="BR119" s="89">
        <f t="shared" si="552"/>
        <v>152</v>
      </c>
      <c r="BS119" s="89">
        <f t="shared" si="552"/>
        <v>115</v>
      </c>
      <c r="BT119" s="275">
        <f t="shared" si="551"/>
        <v>428</v>
      </c>
      <c r="BU119" s="89">
        <f t="shared" si="551"/>
        <v>41</v>
      </c>
      <c r="BV119" s="89">
        <f t="shared" si="551"/>
        <v>141</v>
      </c>
      <c r="BW119" s="89">
        <f>BW115-BW117</f>
        <v>164</v>
      </c>
      <c r="BX119" s="89">
        <f>BX115-BX117</f>
        <v>169</v>
      </c>
      <c r="BY119" s="275">
        <f>BY115-BY117</f>
        <v>515</v>
      </c>
      <c r="BZ119" s="89">
        <f>BZ115-BZ117</f>
        <v>253</v>
      </c>
      <c r="CA119" s="89">
        <f>CA115-CA117</f>
        <v>282</v>
      </c>
      <c r="CB119" s="89">
        <f t="shared" ref="CB119:CD119" si="553">CB115-CB117</f>
        <v>351</v>
      </c>
      <c r="CC119" s="89">
        <f t="shared" si="553"/>
        <v>330</v>
      </c>
      <c r="CD119" s="275">
        <f t="shared" si="553"/>
        <v>1216</v>
      </c>
      <c r="CE119" s="89">
        <f>CE115-CE117</f>
        <v>349</v>
      </c>
      <c r="CF119" s="89">
        <f>CF115-CF117</f>
        <v>313</v>
      </c>
      <c r="CG119" s="89">
        <f t="shared" ref="CG119:CI119" si="554">CG115-CG117</f>
        <v>354</v>
      </c>
      <c r="CH119" s="89">
        <f t="shared" si="554"/>
        <v>296</v>
      </c>
      <c r="CI119" s="275">
        <f t="shared" si="554"/>
        <v>1312</v>
      </c>
      <c r="CJ119" s="89">
        <f>CJ115-CJ117</f>
        <v>147</v>
      </c>
      <c r="CK119" s="89">
        <f>CK115-CK117</f>
        <v>354</v>
      </c>
      <c r="CL119" s="89">
        <f t="shared" ref="CL119:CN119" si="555">CL115-CL117</f>
        <v>310</v>
      </c>
      <c r="CM119" s="89">
        <f t="shared" si="555"/>
        <v>189</v>
      </c>
      <c r="CN119" s="275">
        <f t="shared" si="555"/>
        <v>1000</v>
      </c>
      <c r="CO119" s="89">
        <f t="shared" ref="CO119:CR119" si="556">CO115-CO117</f>
        <v>113.56050149170164</v>
      </c>
      <c r="CP119" s="89">
        <f t="shared" si="556"/>
        <v>192.69755602591795</v>
      </c>
      <c r="CQ119" s="89">
        <f t="shared" si="556"/>
        <v>305.16239243070368</v>
      </c>
      <c r="CR119" s="89">
        <f t="shared" si="556"/>
        <v>241.35400745762718</v>
      </c>
      <c r="CS119" s="275">
        <f>CS115-CS117</f>
        <v>852.77445740595067</v>
      </c>
      <c r="CT119" s="89"/>
      <c r="CU119" s="89"/>
      <c r="CV119" s="89"/>
      <c r="CW119" s="89"/>
      <c r="CX119" s="275">
        <f>CX115-CX117</f>
        <v>997.73115621455509</v>
      </c>
      <c r="CY119" s="89"/>
      <c r="CZ119" s="89"/>
      <c r="DA119" s="89"/>
      <c r="DB119" s="89"/>
      <c r="DC119" s="275">
        <f>DC115-DC117</f>
        <v>1200.8437063136498</v>
      </c>
      <c r="DD119" s="369"/>
      <c r="DE119" s="467"/>
      <c r="DJ119" s="444"/>
      <c r="DK119" s="408"/>
      <c r="DL119" s="408"/>
      <c r="DM119" s="408"/>
      <c r="DN119" s="409"/>
      <c r="DO119" s="588"/>
      <c r="DP119" s="588"/>
      <c r="DQ119" s="408"/>
      <c r="DR119" s="505"/>
      <c r="DS119" s="369"/>
    </row>
    <row r="120" spans="1:131" x14ac:dyDescent="0.2">
      <c r="A120" s="88" t="s">
        <v>3</v>
      </c>
      <c r="B120" s="275">
        <f>B119+B86+B81</f>
        <v>-13.780999999999999</v>
      </c>
      <c r="C120" s="89"/>
      <c r="D120" s="89"/>
      <c r="E120" s="89"/>
      <c r="F120" s="89"/>
      <c r="G120" s="275">
        <f t="shared" ref="G120:BQ120" si="557">G119+G86+G81</f>
        <v>-4.1659999999999737</v>
      </c>
      <c r="H120" s="89">
        <f t="shared" si="557"/>
        <v>15.278404900000002</v>
      </c>
      <c r="I120" s="89">
        <f t="shared" si="557"/>
        <v>21.397972400000015</v>
      </c>
      <c r="J120" s="89">
        <f t="shared" si="557"/>
        <v>16.67290259999999</v>
      </c>
      <c r="K120" s="89">
        <f t="shared" si="557"/>
        <v>16.371503899999993</v>
      </c>
      <c r="L120" s="275">
        <f t="shared" si="557"/>
        <v>69.720783800000063</v>
      </c>
      <c r="M120" s="89">
        <f t="shared" si="557"/>
        <v>37.581733200000002</v>
      </c>
      <c r="N120" s="89">
        <f t="shared" si="557"/>
        <v>43.700422800000005</v>
      </c>
      <c r="O120" s="89">
        <f t="shared" si="557"/>
        <v>39.448851999999995</v>
      </c>
      <c r="P120" s="89">
        <f t="shared" si="557"/>
        <v>52.024978399999974</v>
      </c>
      <c r="Q120" s="275">
        <f t="shared" si="557"/>
        <v>172.75598640000004</v>
      </c>
      <c r="R120" s="89">
        <f t="shared" si="557"/>
        <v>57.853999999999978</v>
      </c>
      <c r="S120" s="89">
        <f t="shared" si="557"/>
        <v>75.321999999999989</v>
      </c>
      <c r="T120" s="89">
        <f t="shared" si="557"/>
        <v>83.208999999999961</v>
      </c>
      <c r="U120" s="89">
        <f t="shared" si="557"/>
        <v>66.208000000000027</v>
      </c>
      <c r="V120" s="275">
        <f t="shared" si="557"/>
        <v>282.59300000000007</v>
      </c>
      <c r="W120" s="89">
        <f t="shared" si="557"/>
        <v>66.234999999999928</v>
      </c>
      <c r="X120" s="89">
        <f t="shared" si="557"/>
        <v>80.26900000000002</v>
      </c>
      <c r="Y120" s="89">
        <f t="shared" si="557"/>
        <v>60.087999999999951</v>
      </c>
      <c r="Z120" s="89">
        <f t="shared" si="557"/>
        <v>51.606999999999964</v>
      </c>
      <c r="AA120" s="275">
        <f t="shared" si="557"/>
        <v>258.19899999999978</v>
      </c>
      <c r="AB120" s="89">
        <f t="shared" si="557"/>
        <v>67.79800000000003</v>
      </c>
      <c r="AC120" s="89">
        <f t="shared" si="557"/>
        <v>85.136000000000053</v>
      </c>
      <c r="AD120" s="89">
        <f t="shared" si="557"/>
        <v>61.622</v>
      </c>
      <c r="AE120" s="89">
        <f t="shared" si="557"/>
        <v>35.675000000000068</v>
      </c>
      <c r="AF120" s="275">
        <f t="shared" si="557"/>
        <v>250.23100000000011</v>
      </c>
      <c r="AG120" s="89">
        <f t="shared" si="557"/>
        <v>31.399999999999977</v>
      </c>
      <c r="AH120" s="89">
        <f t="shared" si="557"/>
        <v>109</v>
      </c>
      <c r="AI120" s="89">
        <f t="shared" si="557"/>
        <v>100</v>
      </c>
      <c r="AJ120" s="89">
        <f t="shared" si="557"/>
        <v>134</v>
      </c>
      <c r="AK120" s="275">
        <f t="shared" si="557"/>
        <v>374.40000000000009</v>
      </c>
      <c r="AL120" s="89">
        <f t="shared" si="557"/>
        <v>59</v>
      </c>
      <c r="AM120" s="89">
        <f t="shared" si="557"/>
        <v>146</v>
      </c>
      <c r="AN120" s="89">
        <f t="shared" si="557"/>
        <v>155</v>
      </c>
      <c r="AO120" s="89">
        <f t="shared" si="557"/>
        <v>109</v>
      </c>
      <c r="AP120" s="275">
        <f t="shared" si="557"/>
        <v>469</v>
      </c>
      <c r="AQ120" s="89">
        <f t="shared" si="557"/>
        <v>94.200000000000045</v>
      </c>
      <c r="AR120" s="89">
        <f t="shared" si="557"/>
        <v>99</v>
      </c>
      <c r="AS120" s="89">
        <f t="shared" si="557"/>
        <v>109</v>
      </c>
      <c r="AT120" s="89">
        <f t="shared" si="557"/>
        <v>141</v>
      </c>
      <c r="AU120" s="275">
        <f t="shared" si="557"/>
        <v>443.19999999999982</v>
      </c>
      <c r="AV120" s="89">
        <f t="shared" si="557"/>
        <v>162.5</v>
      </c>
      <c r="AW120" s="89">
        <f t="shared" si="557"/>
        <v>166</v>
      </c>
      <c r="AX120" s="89">
        <f t="shared" si="557"/>
        <v>157</v>
      </c>
      <c r="AY120" s="89">
        <f t="shared" si="557"/>
        <v>153</v>
      </c>
      <c r="AZ120" s="275">
        <f t="shared" si="557"/>
        <v>638.5</v>
      </c>
      <c r="BA120" s="89">
        <f t="shared" si="557"/>
        <v>130</v>
      </c>
      <c r="BB120" s="89">
        <f t="shared" si="557"/>
        <v>179</v>
      </c>
      <c r="BC120" s="89">
        <f t="shared" si="557"/>
        <v>224.79999999999995</v>
      </c>
      <c r="BD120" s="89">
        <f t="shared" si="557"/>
        <v>145.10000000000002</v>
      </c>
      <c r="BE120" s="275">
        <f t="shared" si="557"/>
        <v>678.89999999999964</v>
      </c>
      <c r="BF120" s="89">
        <f t="shared" si="557"/>
        <v>135</v>
      </c>
      <c r="BG120" s="89">
        <f t="shared" si="557"/>
        <v>180</v>
      </c>
      <c r="BH120" s="89">
        <f t="shared" si="557"/>
        <v>197</v>
      </c>
      <c r="BI120" s="89">
        <f t="shared" si="557"/>
        <v>178</v>
      </c>
      <c r="BJ120" s="275">
        <f t="shared" si="557"/>
        <v>690</v>
      </c>
      <c r="BK120" s="89">
        <f t="shared" si="557"/>
        <v>183</v>
      </c>
      <c r="BL120" s="89">
        <f t="shared" si="557"/>
        <v>226</v>
      </c>
      <c r="BM120" s="89">
        <f t="shared" si="557"/>
        <v>211</v>
      </c>
      <c r="BN120" s="89">
        <f t="shared" si="557"/>
        <v>144</v>
      </c>
      <c r="BO120" s="275">
        <f t="shared" si="557"/>
        <v>764</v>
      </c>
      <c r="BP120" s="89">
        <f t="shared" si="557"/>
        <v>159</v>
      </c>
      <c r="BQ120" s="89">
        <f t="shared" si="557"/>
        <v>206</v>
      </c>
      <c r="BR120" s="89">
        <f t="shared" ref="BR120:BW120" si="558">BR119+BR86+BR81</f>
        <v>257</v>
      </c>
      <c r="BS120" s="89">
        <f t="shared" si="558"/>
        <v>224</v>
      </c>
      <c r="BT120" s="275">
        <f t="shared" si="558"/>
        <v>846</v>
      </c>
      <c r="BU120" s="89">
        <f t="shared" si="558"/>
        <v>150</v>
      </c>
      <c r="BV120" s="89">
        <f t="shared" si="558"/>
        <v>249</v>
      </c>
      <c r="BW120" s="89">
        <f t="shared" si="558"/>
        <v>274</v>
      </c>
      <c r="BX120" s="89">
        <f>BX119+BX86+BX81</f>
        <v>286</v>
      </c>
      <c r="BY120" s="275">
        <f>BY119+BY86+BY81</f>
        <v>959</v>
      </c>
      <c r="BZ120" s="89">
        <f>BZ119+BZ86+BZ81</f>
        <v>371</v>
      </c>
      <c r="CA120" s="89">
        <f>CA119+CA86+CA81</f>
        <v>394</v>
      </c>
      <c r="CB120" s="89">
        <f>CB119+CB86+CB81</f>
        <v>465</v>
      </c>
      <c r="CC120" s="89">
        <f t="shared" ref="CC120:CD120" si="559">CC119+CC86+CC81</f>
        <v>453</v>
      </c>
      <c r="CD120" s="275">
        <f t="shared" si="559"/>
        <v>1683</v>
      </c>
      <c r="CE120" s="89">
        <f>CE119+CE86+CE81</f>
        <v>468</v>
      </c>
      <c r="CF120" s="89">
        <f>CF119+CF86+CF81</f>
        <v>437</v>
      </c>
      <c r="CG120" s="89">
        <f>CG119+CG86+CG81</f>
        <v>484</v>
      </c>
      <c r="CH120" s="89">
        <f t="shared" ref="CH120:CI120" si="560">CH119+CH86+CH81</f>
        <v>426</v>
      </c>
      <c r="CI120" s="275">
        <f t="shared" si="560"/>
        <v>1815</v>
      </c>
      <c r="CJ120" s="89">
        <f>CJ119+CJ86+CJ81</f>
        <v>278</v>
      </c>
      <c r="CK120" s="89">
        <f>CK119+CK86+CK81</f>
        <v>487</v>
      </c>
      <c r="CL120" s="89">
        <f>CL119+CL86+CL81</f>
        <v>450</v>
      </c>
      <c r="CM120" s="89">
        <f t="shared" ref="CM120:CN120" si="561">CM119+CM86+CM81</f>
        <v>333</v>
      </c>
      <c r="CN120" s="275">
        <f t="shared" si="561"/>
        <v>1548</v>
      </c>
      <c r="CO120" s="89">
        <f t="shared" ref="CO120:CR120" si="562">CO119+CO86+CO81</f>
        <v>252.53628923787232</v>
      </c>
      <c r="CP120" s="89">
        <f t="shared" si="562"/>
        <v>333.65899231101514</v>
      </c>
      <c r="CQ120" s="89">
        <f t="shared" si="562"/>
        <v>450.08659285714288</v>
      </c>
      <c r="CR120" s="89">
        <f t="shared" si="562"/>
        <v>391.42977016949163</v>
      </c>
      <c r="CS120" s="275">
        <f>CS119+CS86+CS81</f>
        <v>1427.7116445755221</v>
      </c>
      <c r="CT120" s="89"/>
      <c r="CU120" s="89"/>
      <c r="CV120" s="89"/>
      <c r="CW120" s="89"/>
      <c r="CX120" s="275">
        <f>CX119+CX86+CX81</f>
        <v>1599.5457797908548</v>
      </c>
      <c r="CY120" s="89"/>
      <c r="CZ120" s="89"/>
      <c r="DA120" s="89"/>
      <c r="DB120" s="89"/>
      <c r="DC120" s="275">
        <f>DC119+DC86+DC81</f>
        <v>1842.3375358867113</v>
      </c>
      <c r="DD120" s="369"/>
      <c r="DE120" s="467"/>
      <c r="DJ120" s="444"/>
      <c r="DK120" s="408"/>
      <c r="DL120" s="408"/>
      <c r="DM120" s="409"/>
      <c r="DN120" s="409"/>
      <c r="DO120" s="588"/>
      <c r="DP120" s="588"/>
      <c r="DQ120" s="408"/>
      <c r="DR120" s="505"/>
      <c r="DS120" s="369"/>
    </row>
    <row r="121" spans="1:131" x14ac:dyDescent="0.2">
      <c r="A121" s="11" t="s">
        <v>131</v>
      </c>
      <c r="B121" s="276"/>
      <c r="C121" s="90"/>
      <c r="D121" s="90"/>
      <c r="E121" s="90"/>
      <c r="F121" s="90"/>
      <c r="G121" s="276">
        <f>G120/B120-1</f>
        <v>-0.69769973151440579</v>
      </c>
      <c r="H121" s="91"/>
      <c r="I121" s="91"/>
      <c r="J121" s="91"/>
      <c r="K121" s="91"/>
      <c r="L121" s="276">
        <f t="shared" ref="L121:AQ121" si="563">L120/G120-1</f>
        <v>-17.735665818531086</v>
      </c>
      <c r="M121" s="91">
        <f t="shared" si="563"/>
        <v>1.4597942943638049</v>
      </c>
      <c r="N121" s="91">
        <f t="shared" si="563"/>
        <v>1.0422693320232517</v>
      </c>
      <c r="O121" s="91">
        <f t="shared" si="563"/>
        <v>1.3660458497490424</v>
      </c>
      <c r="P121" s="91">
        <f t="shared" si="563"/>
        <v>2.1777763800917516</v>
      </c>
      <c r="Q121" s="276">
        <f t="shared" si="563"/>
        <v>1.4778262231756476</v>
      </c>
      <c r="R121" s="91">
        <f t="shared" si="563"/>
        <v>0.53941809155305198</v>
      </c>
      <c r="S121" s="91">
        <f t="shared" si="563"/>
        <v>0.723598884722918</v>
      </c>
      <c r="T121" s="91">
        <f t="shared" si="563"/>
        <v>1.109288250010418</v>
      </c>
      <c r="U121" s="91">
        <f t="shared" si="563"/>
        <v>0.27261946157771133</v>
      </c>
      <c r="V121" s="276">
        <f t="shared" si="563"/>
        <v>0.635792807467076</v>
      </c>
      <c r="W121" s="91">
        <f t="shared" si="563"/>
        <v>0.14486465931482617</v>
      </c>
      <c r="X121" s="91">
        <f t="shared" si="563"/>
        <v>6.5678022357346322E-2</v>
      </c>
      <c r="Y121" s="91">
        <f t="shared" si="563"/>
        <v>-0.27786657693278394</v>
      </c>
      <c r="Z121" s="91">
        <f t="shared" si="563"/>
        <v>-0.22053226196230147</v>
      </c>
      <c r="AA121" s="276">
        <f t="shared" si="563"/>
        <v>-8.6322024961695054E-2</v>
      </c>
      <c r="AB121" s="91">
        <f t="shared" si="563"/>
        <v>2.3597795727336113E-2</v>
      </c>
      <c r="AC121" s="91">
        <f t="shared" si="563"/>
        <v>6.0633619454584453E-2</v>
      </c>
      <c r="AD121" s="91">
        <f t="shared" si="563"/>
        <v>2.5529223805086598E-2</v>
      </c>
      <c r="AE121" s="91">
        <f t="shared" si="563"/>
        <v>-0.30871780959947115</v>
      </c>
      <c r="AF121" s="276">
        <f t="shared" si="563"/>
        <v>-3.0859918125165753E-2</v>
      </c>
      <c r="AG121" s="91">
        <f t="shared" si="563"/>
        <v>-0.53685949438036573</v>
      </c>
      <c r="AH121" s="91">
        <f t="shared" si="563"/>
        <v>0.28030445404998972</v>
      </c>
      <c r="AI121" s="91">
        <f t="shared" si="563"/>
        <v>0.62279705300055177</v>
      </c>
      <c r="AJ121" s="91">
        <f t="shared" si="563"/>
        <v>2.7561317449194043</v>
      </c>
      <c r="AK121" s="276">
        <f t="shared" si="563"/>
        <v>0.49621749503458767</v>
      </c>
      <c r="AL121" s="91">
        <f t="shared" si="563"/>
        <v>0.87898089171974658</v>
      </c>
      <c r="AM121" s="91">
        <f t="shared" si="563"/>
        <v>0.33944954128440363</v>
      </c>
      <c r="AN121" s="91">
        <f t="shared" si="563"/>
        <v>0.55000000000000004</v>
      </c>
      <c r="AO121" s="91">
        <f t="shared" si="563"/>
        <v>-0.18656716417910446</v>
      </c>
      <c r="AP121" s="276">
        <f t="shared" si="563"/>
        <v>0.25267094017093994</v>
      </c>
      <c r="AQ121" s="91">
        <f t="shared" si="563"/>
        <v>0.59661016949152623</v>
      </c>
      <c r="AR121" s="91">
        <f t="shared" ref="AR121:BV121" si="564">AR120/AM120-1</f>
        <v>-0.32191780821917804</v>
      </c>
      <c r="AS121" s="91">
        <f t="shared" si="564"/>
        <v>-0.29677419354838708</v>
      </c>
      <c r="AT121" s="91">
        <f t="shared" si="564"/>
        <v>0.29357798165137616</v>
      </c>
      <c r="AU121" s="276">
        <f t="shared" si="564"/>
        <v>-5.5010660980810644E-2</v>
      </c>
      <c r="AV121" s="91">
        <f t="shared" si="564"/>
        <v>0.72505307855626233</v>
      </c>
      <c r="AW121" s="91">
        <f t="shared" si="564"/>
        <v>0.67676767676767668</v>
      </c>
      <c r="AX121" s="91">
        <f t="shared" si="564"/>
        <v>0.44036697247706424</v>
      </c>
      <c r="AY121" s="91">
        <f t="shared" si="564"/>
        <v>8.5106382978723305E-2</v>
      </c>
      <c r="AZ121" s="276">
        <f t="shared" si="564"/>
        <v>0.44065884476534345</v>
      </c>
      <c r="BA121" s="91">
        <f t="shared" si="564"/>
        <v>-0.19999999999999996</v>
      </c>
      <c r="BB121" s="91">
        <f t="shared" si="564"/>
        <v>7.8313253012048278E-2</v>
      </c>
      <c r="BC121" s="91">
        <f t="shared" si="564"/>
        <v>0.43184713375796147</v>
      </c>
      <c r="BD121" s="91">
        <f t="shared" si="564"/>
        <v>-5.1633986928104392E-2</v>
      </c>
      <c r="BE121" s="276">
        <f t="shared" si="564"/>
        <v>6.3273296789349454E-2</v>
      </c>
      <c r="BF121" s="91">
        <f>BF120/BA120-1</f>
        <v>3.8461538461538547E-2</v>
      </c>
      <c r="BG121" s="91">
        <f t="shared" si="564"/>
        <v>5.5865921787709993E-3</v>
      </c>
      <c r="BH121" s="91">
        <f t="shared" si="564"/>
        <v>-0.12366548042704606</v>
      </c>
      <c r="BI121" s="91">
        <f t="shared" si="564"/>
        <v>0.22674017918676759</v>
      </c>
      <c r="BJ121" s="276">
        <f t="shared" si="564"/>
        <v>1.6349977905435908E-2</v>
      </c>
      <c r="BK121" s="91">
        <f>BK120/BF120-1</f>
        <v>0.35555555555555562</v>
      </c>
      <c r="BL121" s="91">
        <f t="shared" si="564"/>
        <v>0.25555555555555554</v>
      </c>
      <c r="BM121" s="91">
        <f t="shared" si="564"/>
        <v>7.1065989847715727E-2</v>
      </c>
      <c r="BN121" s="91">
        <f t="shared" si="564"/>
        <v>-0.1910112359550562</v>
      </c>
      <c r="BO121" s="276">
        <f t="shared" si="564"/>
        <v>0.1072463768115941</v>
      </c>
      <c r="BP121" s="91">
        <f t="shared" si="564"/>
        <v>-0.13114754098360659</v>
      </c>
      <c r="BQ121" s="91">
        <f t="shared" si="564"/>
        <v>-8.8495575221238965E-2</v>
      </c>
      <c r="BR121" s="91">
        <f t="shared" si="564"/>
        <v>0.21800947867298581</v>
      </c>
      <c r="BS121" s="91">
        <f t="shared" si="564"/>
        <v>0.55555555555555558</v>
      </c>
      <c r="BT121" s="276">
        <f t="shared" si="564"/>
        <v>0.10732984293193715</v>
      </c>
      <c r="BU121" s="91">
        <f t="shared" si="564"/>
        <v>-5.6603773584905648E-2</v>
      </c>
      <c r="BV121" s="91">
        <f t="shared" si="564"/>
        <v>0.20873786407766981</v>
      </c>
      <c r="BW121" s="91">
        <f t="shared" ref="BW121:CB121" si="565">BW120/BR120-1</f>
        <v>6.6147859922178975E-2</v>
      </c>
      <c r="BX121" s="91">
        <f t="shared" si="565"/>
        <v>0.27678571428571419</v>
      </c>
      <c r="BY121" s="276">
        <f t="shared" si="565"/>
        <v>0.1335697399527187</v>
      </c>
      <c r="BZ121" s="91">
        <f t="shared" si="565"/>
        <v>1.4733333333333332</v>
      </c>
      <c r="CA121" s="91">
        <f t="shared" si="565"/>
        <v>0.58232931726907622</v>
      </c>
      <c r="CB121" s="91">
        <f t="shared" si="565"/>
        <v>0.69708029197080301</v>
      </c>
      <c r="CC121" s="91">
        <f t="shared" ref="CC121:CG121" si="566">CC120/BX120-1</f>
        <v>0.58391608391608396</v>
      </c>
      <c r="CD121" s="276">
        <f t="shared" si="566"/>
        <v>0.7549530761209593</v>
      </c>
      <c r="CE121" s="91">
        <f t="shared" si="566"/>
        <v>0.26145552560646901</v>
      </c>
      <c r="CF121" s="91">
        <f t="shared" si="566"/>
        <v>0.1091370558375635</v>
      </c>
      <c r="CG121" s="91">
        <f t="shared" si="566"/>
        <v>4.086021505376336E-2</v>
      </c>
      <c r="CH121" s="91">
        <f t="shared" ref="CH121" si="567">CH120/CC120-1</f>
        <v>-5.9602649006622488E-2</v>
      </c>
      <c r="CI121" s="276">
        <f t="shared" ref="CI121:CR121" si="568">CI120/CD120-1</f>
        <v>7.8431372549019551E-2</v>
      </c>
      <c r="CJ121" s="91">
        <f t="shared" si="568"/>
        <v>-0.40598290598290598</v>
      </c>
      <c r="CK121" s="91">
        <f t="shared" si="568"/>
        <v>0.11441647597254012</v>
      </c>
      <c r="CL121" s="91">
        <f t="shared" si="568"/>
        <v>-7.0247933884297509E-2</v>
      </c>
      <c r="CM121" s="91">
        <f t="shared" ref="CM121" si="569">CM120/CH120-1</f>
        <v>-0.21830985915492962</v>
      </c>
      <c r="CN121" s="276">
        <f t="shared" ref="CN121" si="570">CN120/CI120-1</f>
        <v>-0.14710743801652892</v>
      </c>
      <c r="CO121" s="91">
        <f t="shared" si="568"/>
        <v>-9.1596081878157154E-2</v>
      </c>
      <c r="CP121" s="91">
        <f t="shared" si="568"/>
        <v>-0.31486859895068764</v>
      </c>
      <c r="CQ121" s="91">
        <f t="shared" si="568"/>
        <v>1.9242857142853786E-4</v>
      </c>
      <c r="CR121" s="91">
        <f t="shared" si="568"/>
        <v>0.17546477528375859</v>
      </c>
      <c r="CS121" s="276">
        <f>CS120/CN120-1</f>
        <v>-7.7705655958965059E-2</v>
      </c>
      <c r="CT121" s="91"/>
      <c r="CU121" s="91"/>
      <c r="CV121" s="91"/>
      <c r="CW121" s="91"/>
      <c r="CX121" s="276">
        <f>CX120/CS120-1</f>
        <v>0.12035633096375098</v>
      </c>
      <c r="CY121" s="91"/>
      <c r="CZ121" s="91"/>
      <c r="DA121" s="91"/>
      <c r="DB121" s="91"/>
      <c r="DC121" s="276">
        <f>DC120/CX120-1</f>
        <v>0.15178793827807935</v>
      </c>
      <c r="DD121" s="370"/>
      <c r="DE121" s="468"/>
      <c r="DJ121" s="445"/>
      <c r="DK121" s="409"/>
      <c r="DL121" s="409"/>
      <c r="DM121" s="408"/>
      <c r="DN121" s="408"/>
      <c r="DO121" s="408"/>
      <c r="DP121" s="408"/>
      <c r="DQ121" s="409"/>
      <c r="DR121" s="506"/>
      <c r="DS121" s="370"/>
    </row>
    <row r="122" spans="1:131" s="30" customFormat="1" x14ac:dyDescent="0.2">
      <c r="A122" s="94" t="s">
        <v>31</v>
      </c>
      <c r="B122" s="277"/>
      <c r="C122" s="95"/>
      <c r="D122" s="95"/>
      <c r="E122" s="95"/>
      <c r="F122" s="95"/>
      <c r="G122" s="277">
        <f t="shared" ref="G122:AI122" si="571">G119/G115</f>
        <v>-0.20252728975893222</v>
      </c>
      <c r="H122" s="95">
        <f t="shared" si="571"/>
        <v>0.11806428974158188</v>
      </c>
      <c r="I122" s="95">
        <f t="shared" si="571"/>
        <v>0.14018179545396581</v>
      </c>
      <c r="J122" s="95">
        <f t="shared" si="571"/>
        <v>5.6143504261088384E-2</v>
      </c>
      <c r="K122" s="95">
        <f t="shared" si="571"/>
        <v>3.3597437158584237E-2</v>
      </c>
      <c r="L122" s="277">
        <f t="shared" si="571"/>
        <v>8.232094665027137E-2</v>
      </c>
      <c r="M122" s="95">
        <f t="shared" si="571"/>
        <v>0.17529360795987073</v>
      </c>
      <c r="N122" s="95">
        <f t="shared" si="571"/>
        <v>0.18557847330596172</v>
      </c>
      <c r="O122" s="95">
        <f t="shared" si="571"/>
        <v>0.13591743968631434</v>
      </c>
      <c r="P122" s="95">
        <f t="shared" si="571"/>
        <v>0.16790192354932756</v>
      </c>
      <c r="Q122" s="277">
        <f t="shared" si="571"/>
        <v>0.16528727012819772</v>
      </c>
      <c r="R122" s="95">
        <f t="shared" si="571"/>
        <v>0.15867452678119087</v>
      </c>
      <c r="S122" s="95">
        <f t="shared" si="571"/>
        <v>0.20001552915599033</v>
      </c>
      <c r="T122" s="95">
        <f t="shared" si="571"/>
        <v>0.19678626780126898</v>
      </c>
      <c r="U122" s="95">
        <f t="shared" si="571"/>
        <v>0.13310819033710611</v>
      </c>
      <c r="V122" s="277">
        <f t="shared" si="571"/>
        <v>0.1725174813267078</v>
      </c>
      <c r="W122" s="95">
        <f t="shared" si="571"/>
        <v>0.11302304820365162</v>
      </c>
      <c r="X122" s="95">
        <f t="shared" si="571"/>
        <v>0.14102427764467443</v>
      </c>
      <c r="Y122" s="95">
        <f t="shared" si="571"/>
        <v>7.1113654997447387E-2</v>
      </c>
      <c r="Z122" s="95">
        <f>Z119/Z115</f>
        <v>3.2389815330251349E-2</v>
      </c>
      <c r="AA122" s="277">
        <f t="shared" si="571"/>
        <v>8.8273640920352905E-2</v>
      </c>
      <c r="AB122" s="95">
        <f>AB119/AB115</f>
        <v>6.8574268749565848E-2</v>
      </c>
      <c r="AC122" s="95">
        <f>AC119/AC115</f>
        <v>9.3379953379953515E-2</v>
      </c>
      <c r="AD122" s="95">
        <f t="shared" si="571"/>
        <v>3.0570857666449562E-2</v>
      </c>
      <c r="AE122" s="95">
        <f>AE119/AE115</f>
        <v>-4.1514197564081708E-2</v>
      </c>
      <c r="AF122" s="277">
        <f t="shared" si="571"/>
        <v>3.5868609253470275E-2</v>
      </c>
      <c r="AG122" s="95">
        <f>AG119/AG115</f>
        <v>-5.0163132137031045E-2</v>
      </c>
      <c r="AH122" s="95">
        <f>AH119/AH115</f>
        <v>7.6797385620915037E-2</v>
      </c>
      <c r="AI122" s="95">
        <f t="shared" si="571"/>
        <v>5.4140127388535034E-2</v>
      </c>
      <c r="AJ122" s="95">
        <f t="shared" ref="AJ122:AP122" si="572">AJ119/AJ115</f>
        <v>0.10110584518167456</v>
      </c>
      <c r="AK122" s="277">
        <f t="shared" si="572"/>
        <v>5.0943555894050981E-2</v>
      </c>
      <c r="AL122" s="95">
        <f t="shared" si="572"/>
        <v>-2.1381578947368422E-2</v>
      </c>
      <c r="AM122" s="95">
        <f t="shared" si="572"/>
        <v>0.1</v>
      </c>
      <c r="AN122" s="95">
        <f t="shared" si="572"/>
        <v>0.10326797385620914</v>
      </c>
      <c r="AO122" s="95">
        <f t="shared" si="572"/>
        <v>4.0595399188092018E-2</v>
      </c>
      <c r="AP122" s="277">
        <f t="shared" si="572"/>
        <v>5.9465165376495425E-2</v>
      </c>
      <c r="AQ122" s="95">
        <f t="shared" ref="AQ122:BV122" si="573">AQ119/AQ115</f>
        <v>2.1078431372549077E-2</v>
      </c>
      <c r="AR122" s="95">
        <f t="shared" si="573"/>
        <v>2.4447031431897557E-2</v>
      </c>
      <c r="AS122" s="95">
        <f t="shared" si="573"/>
        <v>2.4390243902439025E-2</v>
      </c>
      <c r="AT122" s="95">
        <f t="shared" si="573"/>
        <v>6.0419235511713937E-2</v>
      </c>
      <c r="AU122" s="277">
        <f t="shared" si="573"/>
        <v>3.2231404958677635E-2</v>
      </c>
      <c r="AV122" s="95">
        <f t="shared" si="573"/>
        <v>9.4968553459119504E-2</v>
      </c>
      <c r="AW122" s="95">
        <f t="shared" si="573"/>
        <v>9.6415327564894932E-2</v>
      </c>
      <c r="AX122" s="95">
        <f t="shared" si="573"/>
        <v>7.8362573099415203E-2</v>
      </c>
      <c r="AY122" s="95">
        <f t="shared" si="573"/>
        <v>7.6923076923076927E-2</v>
      </c>
      <c r="AZ122" s="277">
        <f t="shared" si="573"/>
        <v>8.6447888179884538E-2</v>
      </c>
      <c r="BA122" s="95">
        <f t="shared" si="573"/>
        <v>4.8275862068965517E-2</v>
      </c>
      <c r="BB122" s="95">
        <f t="shared" si="573"/>
        <v>0.10010649627263046</v>
      </c>
      <c r="BC122" s="95">
        <f t="shared" si="573"/>
        <v>0.13572815533980578</v>
      </c>
      <c r="BD122" s="95">
        <f t="shared" si="573"/>
        <v>6.0744680851063854E-2</v>
      </c>
      <c r="BE122" s="277">
        <f t="shared" si="573"/>
        <v>8.809208785392951E-2</v>
      </c>
      <c r="BF122" s="95">
        <f t="shared" si="573"/>
        <v>4.4466403162055336E-2</v>
      </c>
      <c r="BG122" s="95">
        <f>BG119/BG115</f>
        <v>7.4717636837532575E-2</v>
      </c>
      <c r="BH122" s="95">
        <f>BH119/BH115</f>
        <v>9.0376569037656909E-2</v>
      </c>
      <c r="BI122" s="95">
        <f>BI119/BI115</f>
        <v>7.2425828970331591E-2</v>
      </c>
      <c r="BJ122" s="277">
        <f t="shared" si="573"/>
        <v>7.1492007104795738E-2</v>
      </c>
      <c r="BK122" s="95">
        <f t="shared" ref="BK122:BS122" si="574">BK119/BK115</f>
        <v>7.3981712385702406E-2</v>
      </c>
      <c r="BL122" s="95">
        <f t="shared" si="574"/>
        <v>0.10180109631949882</v>
      </c>
      <c r="BM122" s="95">
        <f t="shared" si="574"/>
        <v>8.6391437308868502E-2</v>
      </c>
      <c r="BN122" s="95">
        <f>BN119/BN115</f>
        <v>3.6850921273031828E-2</v>
      </c>
      <c r="BO122" s="277">
        <f t="shared" si="574"/>
        <v>7.5471698113207544E-2</v>
      </c>
      <c r="BP122" s="95">
        <f t="shared" si="574"/>
        <v>4.5419553502694381E-2</v>
      </c>
      <c r="BQ122" s="95">
        <f t="shared" si="574"/>
        <v>7.6404494382022473E-2</v>
      </c>
      <c r="BR122" s="95">
        <f t="shared" si="574"/>
        <v>0.10540915395284327</v>
      </c>
      <c r="BS122" s="95">
        <f t="shared" si="574"/>
        <v>8.4249084249084255E-2</v>
      </c>
      <c r="BT122" s="277">
        <f t="shared" si="573"/>
        <v>7.8662010659805187E-2</v>
      </c>
      <c r="BU122" s="95">
        <f t="shared" si="573"/>
        <v>3.039288361749444E-2</v>
      </c>
      <c r="BV122" s="95">
        <f t="shared" si="573"/>
        <v>9.4440723375753516E-2</v>
      </c>
      <c r="BW122" s="95">
        <f>BW119/BW115</f>
        <v>0.10725964682799215</v>
      </c>
      <c r="BX122" s="95">
        <f>BX119/BX115</f>
        <v>0.11687413554633472</v>
      </c>
      <c r="BY122" s="277">
        <f>BY119/BY115</f>
        <v>8.8533608389204058E-2</v>
      </c>
      <c r="BZ122" s="95">
        <f>BZ119/BZ115</f>
        <v>0.16611950098489822</v>
      </c>
      <c r="CA122" s="95">
        <f>CA119/CA115</f>
        <v>0.17493796526054592</v>
      </c>
      <c r="CB122" s="95">
        <f t="shared" ref="CB122:CD122" si="575">CB119/CB115</f>
        <v>0.2080616478956728</v>
      </c>
      <c r="CC122" s="95">
        <f t="shared" si="575"/>
        <v>0.20702634880803011</v>
      </c>
      <c r="CD122" s="277">
        <f t="shared" si="575"/>
        <v>0.18952618453865336</v>
      </c>
      <c r="CE122" s="95">
        <f>CE119/CE115</f>
        <v>0.21596534653465346</v>
      </c>
      <c r="CF122" s="95">
        <f>CF119/CF115</f>
        <v>0.19050517346317711</v>
      </c>
      <c r="CG122" s="95">
        <f t="shared" ref="CG122:CI122" si="576">CG119/CG115</f>
        <v>0.20438799076212472</v>
      </c>
      <c r="CH122" s="95">
        <f t="shared" si="576"/>
        <v>0.18037781840341255</v>
      </c>
      <c r="CI122" s="277">
        <f t="shared" si="576"/>
        <v>0.19782870928829915</v>
      </c>
      <c r="CJ122" s="95">
        <f>CJ119/CJ115</f>
        <v>9.1645885286783038E-2</v>
      </c>
      <c r="CK122" s="95">
        <f>CK119/CK115</f>
        <v>0.19218241042345277</v>
      </c>
      <c r="CL122" s="95">
        <f t="shared" ref="CL122:CN122" si="577">CL119/CL115</f>
        <v>0.1709873138444567</v>
      </c>
      <c r="CM122" s="95">
        <f t="shared" si="577"/>
        <v>0.10763097949886105</v>
      </c>
      <c r="CN122" s="277">
        <f t="shared" si="577"/>
        <v>0.14255167498218105</v>
      </c>
      <c r="CO122" s="95">
        <f t="shared" ref="CO122:CR122" si="578">CO119/CO115</f>
        <v>6.4618617180924112E-2</v>
      </c>
      <c r="CP122" s="95">
        <f t="shared" si="578"/>
        <v>0.10119819554339864</v>
      </c>
      <c r="CQ122" s="95">
        <f t="shared" si="578"/>
        <v>0.14986272387003047</v>
      </c>
      <c r="CR122" s="95">
        <f t="shared" si="578"/>
        <v>0.1252608493544293</v>
      </c>
      <c r="CS122" s="277">
        <f>CS119/CS115</f>
        <v>0.11184445486701484</v>
      </c>
      <c r="CT122" s="95"/>
      <c r="CU122" s="95"/>
      <c r="CV122" s="95"/>
      <c r="CW122" s="95"/>
      <c r="CX122" s="277">
        <f>CX119/CX115</f>
        <v>0.12101235177729883</v>
      </c>
      <c r="CY122" s="95"/>
      <c r="CZ122" s="95"/>
      <c r="DA122" s="95"/>
      <c r="DB122" s="95"/>
      <c r="DC122" s="277">
        <f>DC119/DC115</f>
        <v>0.13501511327370228</v>
      </c>
      <c r="DD122" s="376"/>
      <c r="DE122" s="469"/>
      <c r="DF122" s="379"/>
      <c r="DG122" s="379"/>
      <c r="DH122" s="379"/>
      <c r="DI122" s="379"/>
      <c r="DJ122" s="446"/>
      <c r="DK122" s="410"/>
      <c r="DL122" s="792"/>
      <c r="DM122" s="408"/>
      <c r="DN122" s="408"/>
      <c r="DO122" s="408"/>
      <c r="DP122" s="408"/>
      <c r="DQ122" s="410"/>
      <c r="DR122" s="507"/>
      <c r="DS122" s="521"/>
      <c r="DT122"/>
      <c r="DU122"/>
      <c r="DV122"/>
      <c r="DW122"/>
      <c r="DX122"/>
      <c r="DY122"/>
      <c r="DZ122" s="29"/>
      <c r="EA122" s="29"/>
    </row>
    <row r="123" spans="1:131" x14ac:dyDescent="0.2">
      <c r="A123" s="11" t="s">
        <v>155</v>
      </c>
      <c r="B123" s="251"/>
      <c r="C123" s="20"/>
      <c r="D123" s="20"/>
      <c r="E123" s="20"/>
      <c r="F123" s="20"/>
      <c r="G123" s="251"/>
      <c r="H123" s="32"/>
      <c r="I123" s="32"/>
      <c r="J123" s="32"/>
      <c r="K123" s="32"/>
      <c r="L123" s="251">
        <f t="shared" ref="L123:AZ123" si="579">(L122-G122)*100</f>
        <v>28.484823640920361</v>
      </c>
      <c r="M123" s="32">
        <f t="shared" si="579"/>
        <v>5.7229318218288849</v>
      </c>
      <c r="N123" s="32">
        <f t="shared" si="579"/>
        <v>4.5396677851995912</v>
      </c>
      <c r="O123" s="32">
        <f t="shared" si="579"/>
        <v>7.9773935425225959</v>
      </c>
      <c r="P123" s="32">
        <f t="shared" si="579"/>
        <v>13.430448639074333</v>
      </c>
      <c r="Q123" s="251">
        <f t="shared" si="579"/>
        <v>8.2966323477926345</v>
      </c>
      <c r="R123" s="32">
        <f t="shared" si="579"/>
        <v>-1.6619081178679855</v>
      </c>
      <c r="S123" s="32">
        <f t="shared" si="579"/>
        <v>1.4437055850028608</v>
      </c>
      <c r="T123" s="32">
        <f t="shared" si="579"/>
        <v>6.0868828114954638</v>
      </c>
      <c r="U123" s="32">
        <f t="shared" si="579"/>
        <v>-3.4793733212221456</v>
      </c>
      <c r="V123" s="251">
        <f t="shared" si="579"/>
        <v>0.72302111985100836</v>
      </c>
      <c r="W123" s="32">
        <f t="shared" si="579"/>
        <v>-4.5651478577539244</v>
      </c>
      <c r="X123" s="32">
        <f t="shared" si="579"/>
        <v>-5.8991251511315905</v>
      </c>
      <c r="Y123" s="32">
        <f t="shared" si="579"/>
        <v>-12.567261280382159</v>
      </c>
      <c r="Z123" s="32">
        <f t="shared" si="579"/>
        <v>-10.071837500685476</v>
      </c>
      <c r="AA123" s="251">
        <f t="shared" si="579"/>
        <v>-8.4243840406354895</v>
      </c>
      <c r="AB123" s="32">
        <f t="shared" si="579"/>
        <v>-4.4448779454085781</v>
      </c>
      <c r="AC123" s="32">
        <f t="shared" si="579"/>
        <v>-4.7644324264720916</v>
      </c>
      <c r="AD123" s="32">
        <f t="shared" si="579"/>
        <v>-4.0542797330997828</v>
      </c>
      <c r="AE123" s="32">
        <f t="shared" si="579"/>
        <v>-7.3904012894333055</v>
      </c>
      <c r="AF123" s="251">
        <f t="shared" si="579"/>
        <v>-5.2405031666882627</v>
      </c>
      <c r="AG123" s="32">
        <f t="shared" si="579"/>
        <v>-11.873740088659691</v>
      </c>
      <c r="AH123" s="32">
        <f t="shared" si="579"/>
        <v>-1.6582567759038478</v>
      </c>
      <c r="AI123" s="32">
        <f t="shared" si="579"/>
        <v>2.3569269722085471</v>
      </c>
      <c r="AJ123" s="32">
        <f t="shared" si="579"/>
        <v>14.262004274575627</v>
      </c>
      <c r="AK123" s="251">
        <f t="shared" si="579"/>
        <v>1.5074946640580706</v>
      </c>
      <c r="AL123" s="32">
        <f t="shared" si="579"/>
        <v>2.8781553189662623</v>
      </c>
      <c r="AM123" s="32">
        <f t="shared" si="579"/>
        <v>2.3202614379084969</v>
      </c>
      <c r="AN123" s="32">
        <f t="shared" si="579"/>
        <v>4.9127846467674114</v>
      </c>
      <c r="AO123" s="32">
        <f t="shared" si="579"/>
        <v>-6.0510445993582547</v>
      </c>
      <c r="AP123" s="251">
        <f t="shared" si="579"/>
        <v>0.85216094824444455</v>
      </c>
      <c r="AQ123" s="32">
        <f t="shared" si="579"/>
        <v>4.2460010319917503</v>
      </c>
      <c r="AR123" s="32">
        <f t="shared" si="579"/>
        <v>-7.5552968568102452</v>
      </c>
      <c r="AS123" s="32">
        <f t="shared" si="579"/>
        <v>-7.8877729953770128</v>
      </c>
      <c r="AT123" s="32">
        <f t="shared" si="579"/>
        <v>1.9823836323621919</v>
      </c>
      <c r="AU123" s="251">
        <f t="shared" si="579"/>
        <v>-2.7233760417817789</v>
      </c>
      <c r="AV123" s="32">
        <f t="shared" si="579"/>
        <v>7.389012208657042</v>
      </c>
      <c r="AW123" s="32">
        <f t="shared" si="579"/>
        <v>7.1968296132997374</v>
      </c>
      <c r="AX123" s="32">
        <f t="shared" si="579"/>
        <v>5.3972329196976174</v>
      </c>
      <c r="AY123" s="32">
        <f t="shared" si="579"/>
        <v>1.6503841411362989</v>
      </c>
      <c r="AZ123" s="251">
        <f t="shared" si="579"/>
        <v>5.4216483221206904</v>
      </c>
      <c r="BA123" s="32">
        <f t="shared" ref="BA123:BL123" si="580">(BA122-AV122)*100</f>
        <v>-4.6692691390153991</v>
      </c>
      <c r="BB123" s="32">
        <f t="shared" si="580"/>
        <v>0.36911687077355315</v>
      </c>
      <c r="BC123" s="32">
        <f t="shared" si="580"/>
        <v>5.736558224039058</v>
      </c>
      <c r="BD123" s="32">
        <f t="shared" si="580"/>
        <v>-1.6178396072013075</v>
      </c>
      <c r="BE123" s="251">
        <f t="shared" si="580"/>
        <v>0.16441996740449716</v>
      </c>
      <c r="BF123" s="32">
        <f>(BF122-BA122)*100</f>
        <v>-0.38094589069101803</v>
      </c>
      <c r="BG123" s="32">
        <f t="shared" si="580"/>
        <v>-2.538885943509789</v>
      </c>
      <c r="BH123" s="32">
        <f t="shared" si="580"/>
        <v>-4.5351586302148874</v>
      </c>
      <c r="BI123" s="32">
        <f t="shared" si="580"/>
        <v>1.1681148119267737</v>
      </c>
      <c r="BJ123" s="251">
        <f t="shared" si="580"/>
        <v>-1.6600080749133772</v>
      </c>
      <c r="BK123" s="32">
        <f>(BK122-BF122)*100</f>
        <v>2.9515309223647068</v>
      </c>
      <c r="BL123" s="32">
        <f t="shared" si="580"/>
        <v>2.7083459481966248</v>
      </c>
      <c r="BM123" s="32">
        <f t="shared" ref="BM123:BV123" si="581">(BM122-BH122)*100</f>
        <v>-0.39851317287884075</v>
      </c>
      <c r="BN123" s="32">
        <f t="shared" si="581"/>
        <v>-3.5574907697299762</v>
      </c>
      <c r="BO123" s="251">
        <f t="shared" si="581"/>
        <v>0.39796910084118065</v>
      </c>
      <c r="BP123" s="32">
        <f t="shared" si="581"/>
        <v>-2.8562158883008024</v>
      </c>
      <c r="BQ123" s="32">
        <f t="shared" si="581"/>
        <v>-2.5396601937476353</v>
      </c>
      <c r="BR123" s="32">
        <f t="shared" si="581"/>
        <v>1.9017716643974767</v>
      </c>
      <c r="BS123" s="32">
        <f t="shared" si="581"/>
        <v>4.7398162976052429</v>
      </c>
      <c r="BT123" s="251">
        <f t="shared" si="581"/>
        <v>0.31903125465976429</v>
      </c>
      <c r="BU123" s="32">
        <f t="shared" si="581"/>
        <v>-1.5026669885199941</v>
      </c>
      <c r="BV123" s="32">
        <f t="shared" si="581"/>
        <v>1.8036228993731043</v>
      </c>
      <c r="BW123" s="32">
        <f t="shared" ref="BW123:CB123" si="582">(BW122-BR122)*100</f>
        <v>0.18504928751488792</v>
      </c>
      <c r="BX123" s="32">
        <f t="shared" si="582"/>
        <v>3.2625051297250462</v>
      </c>
      <c r="BY123" s="251">
        <f t="shared" si="582"/>
        <v>0.9871597729398871</v>
      </c>
      <c r="BZ123" s="32">
        <f t="shared" si="582"/>
        <v>13.572661736740377</v>
      </c>
      <c r="CA123" s="32">
        <f t="shared" si="582"/>
        <v>8.0497241884792405</v>
      </c>
      <c r="CB123" s="32">
        <f t="shared" si="582"/>
        <v>10.080200106768066</v>
      </c>
      <c r="CC123" s="32">
        <f t="shared" ref="CC123:CG123" si="583">(CC122-BX122)*100</f>
        <v>9.0152213261695398</v>
      </c>
      <c r="CD123" s="251">
        <f t="shared" si="583"/>
        <v>10.09925761494493</v>
      </c>
      <c r="CE123" s="32">
        <f t="shared" si="583"/>
        <v>4.9845845549755241</v>
      </c>
      <c r="CF123" s="32">
        <f t="shared" si="583"/>
        <v>1.5567208202631189</v>
      </c>
      <c r="CG123" s="32">
        <f t="shared" si="583"/>
        <v>-0.36736571335480861</v>
      </c>
      <c r="CH123" s="32">
        <f t="shared" ref="CH123" si="584">(CH122-CC122)*100</f>
        <v>-2.6648530404617565</v>
      </c>
      <c r="CI123" s="251">
        <f t="shared" ref="CI123:CR123" si="585">(CI122-CD122)*100</f>
        <v>0.83025247496457955</v>
      </c>
      <c r="CJ123" s="32">
        <f t="shared" si="585"/>
        <v>-12.431946124787043</v>
      </c>
      <c r="CK123" s="32">
        <f t="shared" si="585"/>
        <v>0.16772369602756632</v>
      </c>
      <c r="CL123" s="32">
        <f t="shared" si="585"/>
        <v>-3.3400676917668015</v>
      </c>
      <c r="CM123" s="32">
        <f t="shared" ref="CM123" si="586">(CM122-CH122)*100</f>
        <v>-7.2746838904551501</v>
      </c>
      <c r="CN123" s="251">
        <f t="shared" ref="CN123" si="587">(CN122-CI122)*100</f>
        <v>-5.5277034306118109</v>
      </c>
      <c r="CO123" s="32">
        <f t="shared" si="585"/>
        <v>-2.7027268105858928</v>
      </c>
      <c r="CP123" s="32">
        <f t="shared" si="585"/>
        <v>-9.0984214880054139</v>
      </c>
      <c r="CQ123" s="32">
        <f t="shared" si="585"/>
        <v>-2.1124589974426233</v>
      </c>
      <c r="CR123" s="32">
        <f t="shared" si="585"/>
        <v>1.7629869855568248</v>
      </c>
      <c r="CS123" s="251">
        <f>(CS122-CN122)*100</f>
        <v>-3.0707220115166205</v>
      </c>
      <c r="CT123" s="32"/>
      <c r="CU123" s="32"/>
      <c r="CV123" s="32"/>
      <c r="CW123" s="32"/>
      <c r="CX123" s="251">
        <f>(CX122-CS122)*100</f>
        <v>0.91678969102839813</v>
      </c>
      <c r="CY123" s="32"/>
      <c r="CZ123" s="32"/>
      <c r="DA123" s="32"/>
      <c r="DB123" s="32"/>
      <c r="DC123" s="251">
        <f>(DC122-CX122)*100</f>
        <v>1.4002761496403449</v>
      </c>
      <c r="DD123" s="25"/>
      <c r="DE123" s="178"/>
      <c r="DJ123" s="430"/>
      <c r="DK123" s="389"/>
      <c r="DL123" s="389"/>
      <c r="DM123" s="409"/>
      <c r="DN123" s="409"/>
      <c r="DO123" s="409"/>
      <c r="DP123" s="409"/>
      <c r="DQ123" s="389"/>
      <c r="DR123" s="487"/>
      <c r="DS123" s="25"/>
    </row>
    <row r="124" spans="1:131" x14ac:dyDescent="0.2">
      <c r="A124" s="96" t="s">
        <v>267</v>
      </c>
      <c r="B124" s="278"/>
      <c r="C124" s="3"/>
      <c r="D124" s="3"/>
      <c r="E124" s="3"/>
      <c r="F124" s="3"/>
      <c r="G124" s="278">
        <f t="shared" ref="G124:AL124" si="588">G120/G115</f>
        <v>-3.9821063296946735E-2</v>
      </c>
      <c r="H124" s="97">
        <f t="shared" si="588"/>
        <v>0.23928590289741583</v>
      </c>
      <c r="I124" s="97">
        <f t="shared" si="588"/>
        <v>0.27294028419092337</v>
      </c>
      <c r="J124" s="97">
        <f t="shared" si="588"/>
        <v>0.20183157321324799</v>
      </c>
      <c r="K124" s="97">
        <f t="shared" si="588"/>
        <v>0.17132530923627529</v>
      </c>
      <c r="L124" s="278">
        <f t="shared" si="588"/>
        <v>0.2175959346345667</v>
      </c>
      <c r="M124" s="97">
        <f t="shared" si="588"/>
        <v>0.28178762081143294</v>
      </c>
      <c r="N124" s="97">
        <f t="shared" si="588"/>
        <v>0.2926962137398445</v>
      </c>
      <c r="O124" s="97">
        <f t="shared" si="588"/>
        <v>0.23870636145249027</v>
      </c>
      <c r="P124" s="97">
        <f t="shared" si="588"/>
        <v>0.27782513110254292</v>
      </c>
      <c r="Q124" s="278">
        <f t="shared" si="588"/>
        <v>0.27197486488316119</v>
      </c>
      <c r="R124" s="97">
        <f t="shared" si="588"/>
        <v>0.266448671302906</v>
      </c>
      <c r="S124" s="97">
        <f t="shared" si="588"/>
        <v>0.30781239144915629</v>
      </c>
      <c r="T124" s="97">
        <f t="shared" si="588"/>
        <v>0.30415314208848721</v>
      </c>
      <c r="U124" s="97">
        <f t="shared" si="588"/>
        <v>0.25179505902397475</v>
      </c>
      <c r="V124" s="278">
        <f t="shared" si="588"/>
        <v>0.28305976555339762</v>
      </c>
      <c r="W124" s="97">
        <f t="shared" si="588"/>
        <v>0.22918447213350704</v>
      </c>
      <c r="X124" s="97">
        <f t="shared" si="588"/>
        <v>0.25106187327582435</v>
      </c>
      <c r="Y124" s="97">
        <f t="shared" si="588"/>
        <v>0.1859072134647215</v>
      </c>
      <c r="Z124" s="97">
        <f t="shared" si="588"/>
        <v>0.15613125347919732</v>
      </c>
      <c r="AA124" s="278">
        <f t="shared" si="588"/>
        <v>0.20451859526389482</v>
      </c>
      <c r="AB124" s="97">
        <f t="shared" si="588"/>
        <v>0.1811705351368974</v>
      </c>
      <c r="AC124" s="97">
        <f t="shared" si="588"/>
        <v>0.19845221445221459</v>
      </c>
      <c r="AD124" s="97">
        <f t="shared" si="588"/>
        <v>0.13605643443030149</v>
      </c>
      <c r="AE124" s="97">
        <f t="shared" si="588"/>
        <v>7.999022403989324E-2</v>
      </c>
      <c r="AF124" s="278">
        <f t="shared" si="588"/>
        <v>0.14701059672915512</v>
      </c>
      <c r="AG124" s="97">
        <f t="shared" si="588"/>
        <v>6.4029363784665533E-2</v>
      </c>
      <c r="AH124" s="97">
        <f t="shared" si="588"/>
        <v>0.1781045751633987</v>
      </c>
      <c r="AI124" s="97">
        <f t="shared" si="588"/>
        <v>0.15923566878980891</v>
      </c>
      <c r="AJ124" s="97">
        <f t="shared" si="588"/>
        <v>0.21169036334913113</v>
      </c>
      <c r="AK124" s="278">
        <f t="shared" si="588"/>
        <v>0.15841584158415845</v>
      </c>
      <c r="AL124" s="97">
        <f t="shared" si="588"/>
        <v>9.7039473684210523E-2</v>
      </c>
      <c r="AM124" s="97">
        <f t="shared" ref="AM124:BT124" si="589">AM120/AM115</f>
        <v>0.2</v>
      </c>
      <c r="AN124" s="97">
        <f t="shared" si="589"/>
        <v>0.20261437908496732</v>
      </c>
      <c r="AO124" s="97">
        <f t="shared" si="589"/>
        <v>0.14749661705006767</v>
      </c>
      <c r="AP124" s="278">
        <f t="shared" si="589"/>
        <v>0.16502463054187191</v>
      </c>
      <c r="AQ124" s="97">
        <f t="shared" si="589"/>
        <v>0.1154411764705883</v>
      </c>
      <c r="AR124" s="97">
        <f t="shared" si="589"/>
        <v>0.11525029103608847</v>
      </c>
      <c r="AS124" s="97">
        <f t="shared" si="589"/>
        <v>0.12084257206208426</v>
      </c>
      <c r="AT124" s="97">
        <f t="shared" si="589"/>
        <v>0.17385943279901356</v>
      </c>
      <c r="AU124" s="278">
        <f t="shared" si="589"/>
        <v>0.13081463990554895</v>
      </c>
      <c r="AV124" s="97">
        <f t="shared" si="589"/>
        <v>0.20440251572327045</v>
      </c>
      <c r="AW124" s="97">
        <f t="shared" si="589"/>
        <v>0.20519159456118666</v>
      </c>
      <c r="AX124" s="97">
        <f t="shared" si="589"/>
        <v>0.18362573099415205</v>
      </c>
      <c r="AY124" s="97">
        <f t="shared" si="589"/>
        <v>0.18389423076923078</v>
      </c>
      <c r="AZ124" s="278">
        <f t="shared" si="589"/>
        <v>0.19401397751443331</v>
      </c>
      <c r="BA124" s="97">
        <f t="shared" si="589"/>
        <v>0.14942528735632185</v>
      </c>
      <c r="BB124" s="97">
        <f t="shared" si="589"/>
        <v>0.1906283280085197</v>
      </c>
      <c r="BC124" s="97">
        <f t="shared" si="589"/>
        <v>0.21825242718446597</v>
      </c>
      <c r="BD124" s="97">
        <f t="shared" si="589"/>
        <v>0.15436170212765959</v>
      </c>
      <c r="BE124" s="278">
        <f t="shared" si="589"/>
        <v>0.17965070124371518</v>
      </c>
      <c r="BF124" s="97">
        <f t="shared" si="589"/>
        <v>0.13339920948616601</v>
      </c>
      <c r="BG124" s="97">
        <f t="shared" si="589"/>
        <v>0.15638575152041703</v>
      </c>
      <c r="BH124" s="97">
        <f t="shared" si="589"/>
        <v>0.16485355648535566</v>
      </c>
      <c r="BI124" s="97">
        <f t="shared" si="589"/>
        <v>0.15532286212914484</v>
      </c>
      <c r="BJ124" s="278">
        <f t="shared" si="589"/>
        <v>0.15319715808170514</v>
      </c>
      <c r="BK124" s="97">
        <f t="shared" si="589"/>
        <v>0.15211970074812967</v>
      </c>
      <c r="BL124" s="97">
        <f t="shared" si="589"/>
        <v>0.17697729052466718</v>
      </c>
      <c r="BM124" s="97">
        <f t="shared" si="589"/>
        <v>0.16131498470948014</v>
      </c>
      <c r="BN124" s="97">
        <f t="shared" si="589"/>
        <v>0.12060301507537688</v>
      </c>
      <c r="BO124" s="278">
        <f t="shared" si="589"/>
        <v>0.15335206744279406</v>
      </c>
      <c r="BP124" s="97">
        <f t="shared" si="589"/>
        <v>0.12240184757505773</v>
      </c>
      <c r="BQ124" s="97">
        <f t="shared" si="589"/>
        <v>0.15430711610486891</v>
      </c>
      <c r="BR124" s="97">
        <f t="shared" si="589"/>
        <v>0.1782246879334258</v>
      </c>
      <c r="BS124" s="97">
        <f t="shared" si="589"/>
        <v>0.1641025641025641</v>
      </c>
      <c r="BT124" s="278">
        <f t="shared" si="589"/>
        <v>0.15548612387428781</v>
      </c>
      <c r="BU124" s="97">
        <f>BU120/BU115</f>
        <v>0.1111934766493699</v>
      </c>
      <c r="BV124" s="97">
        <f>BV120/BV115</f>
        <v>0.1667782987273945</v>
      </c>
      <c r="BW124" s="97">
        <f>BW120/BW115</f>
        <v>0.17920209287115763</v>
      </c>
      <c r="BX124" s="97">
        <f>BX120/BX115</f>
        <v>0.19778699861687413</v>
      </c>
      <c r="BY124" s="278">
        <f>BY120/BY115</f>
        <v>0.16486161251504211</v>
      </c>
      <c r="BZ124" s="97">
        <f t="shared" ref="BZ124:CD124" si="590">BZ120/BZ115</f>
        <v>0.24359816152330926</v>
      </c>
      <c r="CA124" s="97">
        <f t="shared" si="590"/>
        <v>0.24441687344913152</v>
      </c>
      <c r="CB124" s="97">
        <f t="shared" si="590"/>
        <v>0.27563722584469474</v>
      </c>
      <c r="CC124" s="97">
        <f t="shared" si="590"/>
        <v>0.28419071518193223</v>
      </c>
      <c r="CD124" s="278">
        <f t="shared" si="590"/>
        <v>0.26231296758104738</v>
      </c>
      <c r="CE124" s="97">
        <f>CE120/CE115</f>
        <v>0.28960396039603958</v>
      </c>
      <c r="CF124" s="97">
        <f t="shared" ref="CF124:CI124" si="591">CF120/CF115</f>
        <v>0.26597687157638467</v>
      </c>
      <c r="CG124" s="97">
        <f t="shared" si="591"/>
        <v>0.27944572748267898</v>
      </c>
      <c r="CH124" s="97">
        <f t="shared" si="591"/>
        <v>0.25959780621572209</v>
      </c>
      <c r="CI124" s="278">
        <f t="shared" si="591"/>
        <v>0.27367310012062729</v>
      </c>
      <c r="CJ124" s="97">
        <f>CJ120/CJ115</f>
        <v>0.17331670822942644</v>
      </c>
      <c r="CK124" s="97">
        <f t="shared" ref="CK124:CN124" si="592">CK120/CK115</f>
        <v>0.26438653637350706</v>
      </c>
      <c r="CL124" s="97">
        <f t="shared" si="592"/>
        <v>0.24820739106453393</v>
      </c>
      <c r="CM124" s="97">
        <f t="shared" si="592"/>
        <v>0.18963553530751709</v>
      </c>
      <c r="CN124" s="278">
        <f t="shared" si="592"/>
        <v>0.22066999287241626</v>
      </c>
      <c r="CO124" s="97">
        <f t="shared" ref="CO124:CR124" si="593">CO120/CO115</f>
        <v>0.1436991346832478</v>
      </c>
      <c r="CP124" s="97">
        <f t="shared" si="593"/>
        <v>0.17522634248750898</v>
      </c>
      <c r="CQ124" s="97">
        <f t="shared" si="593"/>
        <v>0.22103379858076599</v>
      </c>
      <c r="CR124" s="97">
        <f t="shared" si="593"/>
        <v>0.2031490008826457</v>
      </c>
      <c r="CS124" s="278">
        <f>CS120/CS115</f>
        <v>0.18724954670965765</v>
      </c>
      <c r="CT124" s="97"/>
      <c r="CU124" s="97"/>
      <c r="CV124" s="97"/>
      <c r="CW124" s="97"/>
      <c r="CX124" s="278">
        <f>CX120/CX115</f>
        <v>0.19400496354382657</v>
      </c>
      <c r="CY124" s="97"/>
      <c r="CZ124" s="97"/>
      <c r="DA124" s="97"/>
      <c r="DB124" s="97"/>
      <c r="DC124" s="278">
        <f>DC120/DC115</f>
        <v>0.20714053776384472</v>
      </c>
      <c r="DD124" s="158"/>
      <c r="DE124" s="470"/>
      <c r="DJ124" s="446"/>
      <c r="DK124" s="410"/>
      <c r="DL124" s="410"/>
      <c r="DM124" s="410"/>
      <c r="DN124" s="410"/>
      <c r="DO124" s="410"/>
      <c r="DP124" s="410"/>
      <c r="DQ124" s="410"/>
      <c r="DR124" s="507"/>
      <c r="DS124" s="158"/>
    </row>
    <row r="125" spans="1:131" x14ac:dyDescent="0.2">
      <c r="A125" s="11" t="s">
        <v>155</v>
      </c>
      <c r="B125" s="251"/>
      <c r="C125" s="20"/>
      <c r="D125" s="20"/>
      <c r="E125" s="20"/>
      <c r="F125" s="20"/>
      <c r="G125" s="251"/>
      <c r="H125" s="32"/>
      <c r="I125" s="32"/>
      <c r="J125" s="32"/>
      <c r="K125" s="32"/>
      <c r="L125" s="251">
        <f t="shared" ref="L125:AZ125" si="594">(L124-G124)*100</f>
        <v>25.741699793151341</v>
      </c>
      <c r="M125" s="32">
        <f t="shared" si="594"/>
        <v>4.2501717914017103</v>
      </c>
      <c r="N125" s="32">
        <f t="shared" si="594"/>
        <v>1.9755929548921136</v>
      </c>
      <c r="O125" s="32">
        <f t="shared" si="594"/>
        <v>3.6874788239242284</v>
      </c>
      <c r="P125" s="32">
        <f t="shared" si="594"/>
        <v>10.649982186626763</v>
      </c>
      <c r="Q125" s="251">
        <f t="shared" si="594"/>
        <v>5.4378930248594495</v>
      </c>
      <c r="R125" s="32">
        <f t="shared" si="594"/>
        <v>-1.5338949508526933</v>
      </c>
      <c r="S125" s="32">
        <f t="shared" si="594"/>
        <v>1.5116177709311784</v>
      </c>
      <c r="T125" s="32">
        <f t="shared" si="594"/>
        <v>6.5446780635996928</v>
      </c>
      <c r="U125" s="32">
        <f t="shared" si="594"/>
        <v>-2.6030072078568169</v>
      </c>
      <c r="V125" s="251">
        <f t="shared" si="594"/>
        <v>1.1084900670236431</v>
      </c>
      <c r="W125" s="32">
        <f t="shared" si="594"/>
        <v>-3.7264199169398964</v>
      </c>
      <c r="X125" s="32">
        <f t="shared" si="594"/>
        <v>-5.675051817333193</v>
      </c>
      <c r="Y125" s="32">
        <f t="shared" si="594"/>
        <v>-11.824592862376571</v>
      </c>
      <c r="Z125" s="32">
        <f t="shared" si="594"/>
        <v>-9.5663805544777443</v>
      </c>
      <c r="AA125" s="251">
        <f t="shared" si="594"/>
        <v>-7.8541170289502809</v>
      </c>
      <c r="AB125" s="32">
        <f t="shared" si="594"/>
        <v>-4.8013936996609639</v>
      </c>
      <c r="AC125" s="32">
        <f t="shared" si="594"/>
        <v>-5.2609658823609768</v>
      </c>
      <c r="AD125" s="32">
        <f t="shared" si="594"/>
        <v>-4.9850779034420007</v>
      </c>
      <c r="AE125" s="32">
        <f t="shared" si="594"/>
        <v>-7.6141029439304075</v>
      </c>
      <c r="AF125" s="251">
        <f t="shared" si="594"/>
        <v>-5.7507998534739704</v>
      </c>
      <c r="AG125" s="32">
        <f t="shared" si="594"/>
        <v>-11.714117135223187</v>
      </c>
      <c r="AH125" s="32">
        <f t="shared" si="594"/>
        <v>-2.0347639288815889</v>
      </c>
      <c r="AI125" s="32">
        <f t="shared" si="594"/>
        <v>2.3179234359507417</v>
      </c>
      <c r="AJ125" s="32">
        <f t="shared" si="594"/>
        <v>13.17001393092379</v>
      </c>
      <c r="AK125" s="251">
        <f t="shared" si="594"/>
        <v>1.1405244855003327</v>
      </c>
      <c r="AL125" s="32">
        <f t="shared" si="594"/>
        <v>3.301010989954499</v>
      </c>
      <c r="AM125" s="32">
        <f t="shared" si="594"/>
        <v>2.1895424836601314</v>
      </c>
      <c r="AN125" s="32">
        <f t="shared" si="594"/>
        <v>4.3378710295158411</v>
      </c>
      <c r="AO125" s="32">
        <f t="shared" si="594"/>
        <v>-6.4193746299063461</v>
      </c>
      <c r="AP125" s="251">
        <f t="shared" si="594"/>
        <v>0.66087889577134684</v>
      </c>
      <c r="AQ125" s="32">
        <f t="shared" si="594"/>
        <v>1.8401702786377774</v>
      </c>
      <c r="AR125" s="32">
        <f t="shared" si="594"/>
        <v>-8.4749708963911541</v>
      </c>
      <c r="AS125" s="32">
        <f t="shared" si="594"/>
        <v>-8.1771807022883056</v>
      </c>
      <c r="AT125" s="32">
        <f t="shared" si="594"/>
        <v>2.6362815748945891</v>
      </c>
      <c r="AU125" s="251">
        <f t="shared" si="594"/>
        <v>-3.420999063632296</v>
      </c>
      <c r="AV125" s="32">
        <f t="shared" si="594"/>
        <v>8.8961339252682148</v>
      </c>
      <c r="AW125" s="32">
        <f t="shared" si="594"/>
        <v>8.9941303525098188</v>
      </c>
      <c r="AX125" s="32">
        <f t="shared" si="594"/>
        <v>6.2783158932067789</v>
      </c>
      <c r="AY125" s="32">
        <f t="shared" si="594"/>
        <v>1.0034797970217224</v>
      </c>
      <c r="AZ125" s="251">
        <f t="shared" si="594"/>
        <v>6.3199337608884356</v>
      </c>
      <c r="BA125" s="32">
        <f t="shared" ref="BA125:BL125" si="595">(BA124-AV124)*100</f>
        <v>-5.4977228366948596</v>
      </c>
      <c r="BB125" s="32">
        <f t="shared" si="595"/>
        <v>-1.4563266552666958</v>
      </c>
      <c r="BC125" s="32">
        <f t="shared" si="595"/>
        <v>3.4626696190313915</v>
      </c>
      <c r="BD125" s="32">
        <f t="shared" si="595"/>
        <v>-2.9532528641571187</v>
      </c>
      <c r="BE125" s="251">
        <f t="shared" si="595"/>
        <v>-1.4363276270718122</v>
      </c>
      <c r="BF125" s="32">
        <f>(BF124-BA124)*100</f>
        <v>-1.6026077870155837</v>
      </c>
      <c r="BG125" s="32">
        <f t="shared" si="595"/>
        <v>-3.4242576488102667</v>
      </c>
      <c r="BH125" s="32">
        <f t="shared" si="595"/>
        <v>-5.3398870699110308</v>
      </c>
      <c r="BI125" s="32">
        <f t="shared" si="595"/>
        <v>9.6116000148524505E-2</v>
      </c>
      <c r="BJ125" s="251">
        <f t="shared" si="595"/>
        <v>-2.6453543162010043</v>
      </c>
      <c r="BK125" s="32">
        <f>(BK124-BF124)*100</f>
        <v>1.872049126196365</v>
      </c>
      <c r="BL125" s="32">
        <f t="shared" si="595"/>
        <v>2.0591539004250148</v>
      </c>
      <c r="BM125" s="32">
        <f t="shared" ref="BM125:BV125" si="596">(BM124-BH124)*100</f>
        <v>-0.35385717758755209</v>
      </c>
      <c r="BN125" s="32">
        <f t="shared" si="596"/>
        <v>-3.471984705376796</v>
      </c>
      <c r="BO125" s="251">
        <f t="shared" si="596"/>
        <v>1.549093610889174E-2</v>
      </c>
      <c r="BP125" s="32">
        <f t="shared" si="596"/>
        <v>-2.9717853173071935</v>
      </c>
      <c r="BQ125" s="32">
        <f t="shared" si="596"/>
        <v>-2.2670174419798266</v>
      </c>
      <c r="BR125" s="32">
        <f t="shared" si="596"/>
        <v>1.6909703223945667</v>
      </c>
      <c r="BS125" s="32">
        <f t="shared" si="596"/>
        <v>4.3499549027187223</v>
      </c>
      <c r="BT125" s="251">
        <f t="shared" si="596"/>
        <v>0.21340564314937527</v>
      </c>
      <c r="BU125" s="32">
        <f t="shared" si="596"/>
        <v>-1.1208370925687827</v>
      </c>
      <c r="BV125" s="32">
        <f t="shared" si="596"/>
        <v>1.2471182622525583</v>
      </c>
      <c r="BW125" s="32">
        <f t="shared" ref="BW125:CB125" si="597">(BW124-BR124)*100</f>
        <v>9.7740493773182391E-2</v>
      </c>
      <c r="BX125" s="32">
        <f t="shared" si="597"/>
        <v>3.3684434514310024</v>
      </c>
      <c r="BY125" s="251">
        <f t="shared" si="597"/>
        <v>0.93754886407542981</v>
      </c>
      <c r="BZ125" s="32">
        <f t="shared" si="597"/>
        <v>13.240468487393937</v>
      </c>
      <c r="CA125" s="32">
        <f t="shared" si="597"/>
        <v>7.7638574721737017</v>
      </c>
      <c r="CB125" s="32">
        <f t="shared" si="597"/>
        <v>9.6435132973537119</v>
      </c>
      <c r="CC125" s="32">
        <f t="shared" ref="CC125:CG125" si="598">(CC124-BX124)*100</f>
        <v>8.6403716565058097</v>
      </c>
      <c r="CD125" s="251">
        <f t="shared" si="598"/>
        <v>9.7451355066005281</v>
      </c>
      <c r="CE125" s="32">
        <f t="shared" si="598"/>
        <v>4.6005798872730317</v>
      </c>
      <c r="CF125" s="32">
        <f t="shared" si="598"/>
        <v>2.155999812725315</v>
      </c>
      <c r="CG125" s="32">
        <f t="shared" si="598"/>
        <v>0.38085016379842407</v>
      </c>
      <c r="CH125" s="32">
        <f t="shared" ref="CH125" si="599">(CH124-CC124)*100</f>
        <v>-2.4592908966210136</v>
      </c>
      <c r="CI125" s="251">
        <f t="shared" ref="CI125:CR125" si="600">(CI124-CD124)*100</f>
        <v>1.1360132539579904</v>
      </c>
      <c r="CJ125" s="32">
        <f t="shared" si="600"/>
        <v>-11.628725216661314</v>
      </c>
      <c r="CK125" s="32">
        <f t="shared" si="600"/>
        <v>-0.15903352028776019</v>
      </c>
      <c r="CL125" s="32">
        <f t="shared" si="600"/>
        <v>-3.123833641814505</v>
      </c>
      <c r="CM125" s="32">
        <f t="shared" ref="CM125" si="601">(CM124-CH124)*100</f>
        <v>-6.9962270908205006</v>
      </c>
      <c r="CN125" s="251">
        <f t="shared" ref="CN125" si="602">(CN124-CI124)*100</f>
        <v>-5.3003107248211032</v>
      </c>
      <c r="CO125" s="32">
        <f t="shared" si="600"/>
        <v>-2.9617573546178639</v>
      </c>
      <c r="CP125" s="32">
        <f t="shared" si="600"/>
        <v>-8.9160193885998087</v>
      </c>
      <c r="CQ125" s="32">
        <f t="shared" si="600"/>
        <v>-2.7173592483767939</v>
      </c>
      <c r="CR125" s="32">
        <f t="shared" si="600"/>
        <v>1.3513465575128614</v>
      </c>
      <c r="CS125" s="251">
        <f>(CS124-CN124)*100</f>
        <v>-3.3420446162758606</v>
      </c>
      <c r="CT125" s="32"/>
      <c r="CU125" s="32"/>
      <c r="CV125" s="32"/>
      <c r="CW125" s="32"/>
      <c r="CX125" s="251">
        <f>(CX124-CS124)*100</f>
        <v>0.67554168341689147</v>
      </c>
      <c r="CY125" s="32"/>
      <c r="CZ125" s="32"/>
      <c r="DA125" s="32"/>
      <c r="DB125" s="32"/>
      <c r="DC125" s="251">
        <f>(DC124-CX124)*100</f>
        <v>1.3135574220018154</v>
      </c>
      <c r="DD125" s="25"/>
      <c r="DE125" s="178"/>
      <c r="DJ125" s="430"/>
      <c r="DK125" s="389"/>
      <c r="DL125" s="389"/>
      <c r="DM125" s="389"/>
      <c r="DN125" s="389"/>
      <c r="DO125" s="389"/>
      <c r="DP125" s="389"/>
      <c r="DQ125" s="389"/>
      <c r="DR125" s="487"/>
      <c r="DS125" s="520"/>
    </row>
    <row r="126" spans="1:131" x14ac:dyDescent="0.2">
      <c r="A126" s="568" t="s">
        <v>344</v>
      </c>
      <c r="B126" s="251"/>
      <c r="C126" s="20"/>
      <c r="D126" s="20"/>
      <c r="E126" s="20"/>
      <c r="F126" s="20"/>
      <c r="G126" s="251"/>
      <c r="H126" s="18"/>
      <c r="I126" s="18"/>
      <c r="J126" s="18"/>
      <c r="K126" s="18"/>
      <c r="L126" s="251"/>
      <c r="M126" s="18"/>
      <c r="N126" s="18"/>
      <c r="O126" s="18"/>
      <c r="P126" s="18"/>
      <c r="Q126" s="251"/>
      <c r="R126" s="18"/>
      <c r="S126" s="18"/>
      <c r="T126" s="18"/>
      <c r="U126" s="18"/>
      <c r="V126" s="251"/>
      <c r="W126" s="18"/>
      <c r="X126" s="18"/>
      <c r="Y126" s="18"/>
      <c r="Z126" s="18"/>
      <c r="AA126" s="251"/>
      <c r="AB126" s="18"/>
      <c r="AC126" s="18"/>
      <c r="AD126" s="18"/>
      <c r="AE126" s="18"/>
      <c r="AF126" s="251"/>
      <c r="AG126" s="18"/>
      <c r="AH126" s="18"/>
      <c r="AI126" s="18"/>
      <c r="AJ126" s="18"/>
      <c r="AK126" s="251"/>
      <c r="AL126" s="18"/>
      <c r="AM126" s="18"/>
      <c r="AN126" s="18"/>
      <c r="AO126" s="18"/>
      <c r="AP126" s="251"/>
      <c r="AQ126" s="18"/>
      <c r="AR126" s="18"/>
      <c r="AS126" s="18"/>
      <c r="AT126" s="18"/>
      <c r="AU126" s="251"/>
      <c r="AV126" s="18"/>
      <c r="AW126" s="18"/>
      <c r="AX126" s="18"/>
      <c r="AY126" s="18"/>
      <c r="AZ126" s="251"/>
      <c r="BA126" s="18"/>
      <c r="BB126" s="18"/>
      <c r="BC126" s="18"/>
      <c r="BD126" s="18"/>
      <c r="BE126" s="251"/>
      <c r="BF126" s="18"/>
      <c r="BG126" s="18"/>
      <c r="BH126" s="18"/>
      <c r="BI126" s="18"/>
      <c r="BJ126" s="251"/>
      <c r="BK126" s="18"/>
      <c r="BL126" s="18"/>
      <c r="BM126" s="18"/>
      <c r="BN126" s="18"/>
      <c r="BO126" s="248">
        <f>BO81*7*0.075</f>
        <v>68.25</v>
      </c>
      <c r="BP126" s="18"/>
      <c r="BQ126" s="18"/>
      <c r="BR126" s="18"/>
      <c r="BS126" s="18"/>
      <c r="BT126" s="248">
        <f>BT81*7*0.075</f>
        <v>67.2</v>
      </c>
      <c r="BU126" s="18"/>
      <c r="BV126" s="18"/>
      <c r="BW126" s="18"/>
      <c r="BX126" s="18"/>
      <c r="BY126" s="248">
        <f>BY81*7*0.075</f>
        <v>65.099999999999994</v>
      </c>
      <c r="BZ126" s="18"/>
      <c r="CA126" s="18"/>
      <c r="CB126" s="18"/>
      <c r="CC126" s="18"/>
      <c r="CD126" s="248">
        <f>CD81*7*0.075</f>
        <v>64.05</v>
      </c>
      <c r="CE126" s="18"/>
      <c r="CF126" s="18"/>
      <c r="CG126" s="18"/>
      <c r="CH126" s="18"/>
      <c r="CI126" s="248">
        <f>CI81*7*0.075</f>
        <v>58.274999999999999</v>
      </c>
      <c r="CJ126" s="18"/>
      <c r="CK126" s="18"/>
      <c r="CL126" s="18"/>
      <c r="CM126" s="18"/>
      <c r="CN126" s="248">
        <f>CN81*7*0.075</f>
        <v>53.024999999999999</v>
      </c>
      <c r="CO126" s="18"/>
      <c r="CP126" s="18"/>
      <c r="CQ126" s="18"/>
      <c r="CR126" s="18"/>
      <c r="CS126" s="248">
        <f>CS81*7*0.075</f>
        <v>49.374773264025045</v>
      </c>
      <c r="CT126" s="32"/>
      <c r="CU126" s="32"/>
      <c r="CV126" s="32"/>
      <c r="CW126" s="32"/>
      <c r="CX126" s="248">
        <f>CX81*7*0.075</f>
        <v>47.075056127557495</v>
      </c>
      <c r="CY126" s="32"/>
      <c r="CZ126" s="32"/>
      <c r="DA126" s="32"/>
      <c r="DB126" s="32"/>
      <c r="DC126" s="248">
        <f>DC81*7*0.075</f>
        <v>46.396429575857262</v>
      </c>
      <c r="DD126" s="25"/>
      <c r="DE126" s="178"/>
      <c r="DJ126" s="430"/>
      <c r="DK126" s="389"/>
      <c r="DL126" s="389"/>
      <c r="DM126" s="389"/>
      <c r="DN126" s="389"/>
      <c r="DO126" s="389"/>
      <c r="DP126" s="389"/>
      <c r="DQ126" s="389"/>
      <c r="DR126" s="487"/>
      <c r="DS126" s="25"/>
    </row>
    <row r="127" spans="1:131" x14ac:dyDescent="0.2">
      <c r="A127" s="568" t="s">
        <v>343</v>
      </c>
      <c r="B127" s="251"/>
      <c r="C127" s="20"/>
      <c r="D127" s="20"/>
      <c r="E127" s="20"/>
      <c r="F127" s="20"/>
      <c r="G127" s="251"/>
      <c r="H127" s="604"/>
      <c r="I127" s="604"/>
      <c r="J127" s="604"/>
      <c r="K127" s="604"/>
      <c r="L127" s="251"/>
      <c r="M127" s="604"/>
      <c r="N127" s="604"/>
      <c r="O127" s="604"/>
      <c r="P127" s="604"/>
      <c r="Q127" s="251"/>
      <c r="R127" s="604"/>
      <c r="S127" s="604"/>
      <c r="T127" s="604"/>
      <c r="U127" s="604"/>
      <c r="V127" s="251"/>
      <c r="W127" s="604"/>
      <c r="X127" s="604"/>
      <c r="Y127" s="604"/>
      <c r="Z127" s="604"/>
      <c r="AA127" s="251"/>
      <c r="AB127" s="604"/>
      <c r="AC127" s="604"/>
      <c r="AD127" s="604"/>
      <c r="AE127" s="604"/>
      <c r="AF127" s="251"/>
      <c r="AG127" s="604"/>
      <c r="AH127" s="604"/>
      <c r="AI127" s="604"/>
      <c r="AJ127" s="604"/>
      <c r="AK127" s="251"/>
      <c r="AL127" s="604"/>
      <c r="AM127" s="604"/>
      <c r="AN127" s="604"/>
      <c r="AO127" s="604"/>
      <c r="AP127" s="251"/>
      <c r="AQ127" s="604"/>
      <c r="AR127" s="604"/>
      <c r="AS127" s="604"/>
      <c r="AT127" s="604"/>
      <c r="AU127" s="251"/>
      <c r="AV127" s="604"/>
      <c r="AW127" s="604"/>
      <c r="AX127" s="604"/>
      <c r="AY127" s="604"/>
      <c r="AZ127" s="251"/>
      <c r="BA127" s="604"/>
      <c r="BB127" s="604"/>
      <c r="BC127" s="604"/>
      <c r="BD127" s="604"/>
      <c r="BE127" s="251"/>
      <c r="BF127" s="604"/>
      <c r="BG127" s="604"/>
      <c r="BH127" s="604"/>
      <c r="BI127" s="604"/>
      <c r="BJ127" s="251"/>
      <c r="BK127" s="604"/>
      <c r="BL127" s="604"/>
      <c r="BM127" s="604"/>
      <c r="BN127" s="604"/>
      <c r="BO127" s="599">
        <v>172</v>
      </c>
      <c r="BP127" s="604"/>
      <c r="BQ127" s="604"/>
      <c r="BR127" s="604"/>
      <c r="BS127" s="604"/>
      <c r="BT127" s="599">
        <v>194</v>
      </c>
      <c r="BU127" s="604"/>
      <c r="BV127" s="604"/>
      <c r="BW127" s="604"/>
      <c r="BX127" s="604"/>
      <c r="BY127" s="607">
        <v>226</v>
      </c>
      <c r="BZ127" s="604"/>
      <c r="CA127" s="604"/>
      <c r="CB127" s="604"/>
      <c r="CC127" s="604"/>
      <c r="CD127" s="607">
        <v>491</v>
      </c>
      <c r="CE127" s="604"/>
      <c r="CF127" s="604"/>
      <c r="CG127" s="604"/>
      <c r="CH127" s="604"/>
      <c r="CI127" s="607">
        <v>520</v>
      </c>
      <c r="CJ127" s="604"/>
      <c r="CK127" s="604"/>
      <c r="CL127" s="604"/>
      <c r="CM127" s="604"/>
      <c r="CN127" s="607">
        <v>520</v>
      </c>
      <c r="CO127" s="18"/>
      <c r="CP127" s="18"/>
      <c r="CQ127" s="18"/>
      <c r="CR127" s="18"/>
      <c r="CS127" s="599">
        <f>(CS119+CS139+CS126)*CS145</f>
        <v>226.53730766749385</v>
      </c>
      <c r="CT127" s="32"/>
      <c r="CU127" s="32"/>
      <c r="CV127" s="32"/>
      <c r="CW127" s="32"/>
      <c r="CX127" s="599">
        <f>(CX119+CX139+CX126)*CX145</f>
        <v>262.20155308552813</v>
      </c>
      <c r="CY127" s="32"/>
      <c r="CZ127" s="32"/>
      <c r="DA127" s="32"/>
      <c r="DB127" s="32"/>
      <c r="DC127" s="599">
        <f>(DC119+DC139+DC126)*DC145</f>
        <v>312.81003397237674</v>
      </c>
      <c r="DD127" s="25"/>
      <c r="DE127" s="178"/>
      <c r="DJ127" s="430"/>
      <c r="DK127" s="389"/>
      <c r="DL127" s="389"/>
      <c r="DM127" s="389"/>
      <c r="DN127" s="389"/>
      <c r="DO127" s="389"/>
      <c r="DP127" s="389"/>
      <c r="DQ127" s="389"/>
      <c r="DR127" s="487"/>
      <c r="DS127" s="25"/>
    </row>
    <row r="128" spans="1:131" x14ac:dyDescent="0.2">
      <c r="A128" s="598" t="s">
        <v>342</v>
      </c>
      <c r="B128" s="600"/>
      <c r="C128" s="14"/>
      <c r="D128" s="14"/>
      <c r="E128" s="14"/>
      <c r="F128" s="14"/>
      <c r="G128" s="600"/>
      <c r="H128" s="601"/>
      <c r="I128" s="601"/>
      <c r="J128" s="601"/>
      <c r="K128" s="601"/>
      <c r="L128" s="600"/>
      <c r="M128" s="601"/>
      <c r="N128" s="601"/>
      <c r="O128" s="601"/>
      <c r="P128" s="601"/>
      <c r="Q128" s="600"/>
      <c r="R128" s="601"/>
      <c r="S128" s="601"/>
      <c r="T128" s="601"/>
      <c r="U128" s="601"/>
      <c r="V128" s="600"/>
      <c r="W128" s="601"/>
      <c r="X128" s="601"/>
      <c r="Y128" s="601"/>
      <c r="Z128" s="601"/>
      <c r="AA128" s="600"/>
      <c r="AB128" s="601"/>
      <c r="AC128" s="601"/>
      <c r="AD128" s="601"/>
      <c r="AE128" s="601"/>
      <c r="AF128" s="600"/>
      <c r="AG128" s="601"/>
      <c r="AH128" s="601"/>
      <c r="AI128" s="601"/>
      <c r="AJ128" s="601"/>
      <c r="AK128" s="600"/>
      <c r="AL128" s="601"/>
      <c r="AM128" s="601"/>
      <c r="AN128" s="601"/>
      <c r="AO128" s="601"/>
      <c r="AP128" s="600"/>
      <c r="AQ128" s="601"/>
      <c r="AR128" s="601"/>
      <c r="AS128" s="601"/>
      <c r="AT128" s="601"/>
      <c r="AU128" s="600"/>
      <c r="AV128" s="601"/>
      <c r="AW128" s="601"/>
      <c r="AX128" s="601"/>
      <c r="AY128" s="601"/>
      <c r="AZ128" s="600"/>
      <c r="BA128" s="601"/>
      <c r="BB128" s="601"/>
      <c r="BC128" s="601"/>
      <c r="BD128" s="601"/>
      <c r="BE128" s="600"/>
      <c r="BF128" s="601"/>
      <c r="BG128" s="601"/>
      <c r="BH128" s="601"/>
      <c r="BI128" s="601"/>
      <c r="BJ128" s="600"/>
      <c r="BK128" s="601"/>
      <c r="BL128" s="601"/>
      <c r="BM128" s="601"/>
      <c r="BN128" s="601"/>
      <c r="BO128" s="602">
        <f>BO119+BO139+BO126-BO127</f>
        <v>273.25</v>
      </c>
      <c r="BP128" s="601"/>
      <c r="BQ128" s="601"/>
      <c r="BR128" s="601"/>
      <c r="BS128" s="601"/>
      <c r="BT128" s="602">
        <f>BT119+BT139+BT126-BT127</f>
        <v>300.2</v>
      </c>
      <c r="BU128" s="601"/>
      <c r="BV128" s="601"/>
      <c r="BW128" s="601"/>
      <c r="BX128" s="601"/>
      <c r="BY128" s="602">
        <f>BY119+BY139+BY126-BY127</f>
        <v>354.1</v>
      </c>
      <c r="BZ128" s="601"/>
      <c r="CA128" s="601"/>
      <c r="CB128" s="601"/>
      <c r="CC128" s="601"/>
      <c r="CD128" s="602">
        <f>CD119+CD139+CD126-CD127</f>
        <v>790.05</v>
      </c>
      <c r="CE128" s="601"/>
      <c r="CF128" s="601"/>
      <c r="CG128" s="601"/>
      <c r="CH128" s="601"/>
      <c r="CI128" s="602">
        <f>CI119+CI139+CI126-CI127</f>
        <v>857.27500000000009</v>
      </c>
      <c r="CJ128" s="601"/>
      <c r="CK128" s="601"/>
      <c r="CL128" s="601"/>
      <c r="CM128" s="601"/>
      <c r="CN128" s="602">
        <f>CN119+CN139+CN126-CN127</f>
        <v>539.02500000000009</v>
      </c>
      <c r="CO128" s="605"/>
      <c r="CP128" s="605"/>
      <c r="CQ128" s="605"/>
      <c r="CR128" s="605"/>
      <c r="CS128" s="602">
        <f>CS119+CS139+CS126-CS127</f>
        <v>679.61192300248194</v>
      </c>
      <c r="CT128" s="601"/>
      <c r="CU128" s="601"/>
      <c r="CV128" s="601"/>
      <c r="CW128" s="601"/>
      <c r="CX128" s="602">
        <f>CX119+CX139+CX126-CX127</f>
        <v>786.60465925658445</v>
      </c>
      <c r="CY128" s="601"/>
      <c r="CZ128" s="601"/>
      <c r="DA128" s="601"/>
      <c r="DB128" s="601"/>
      <c r="DC128" s="602">
        <f>DC119+DC139+DC126-DC127</f>
        <v>938.43010191713029</v>
      </c>
      <c r="DD128" s="25"/>
      <c r="DE128" s="178"/>
      <c r="DJ128" s="430"/>
      <c r="DK128" s="389"/>
      <c r="DL128" s="389"/>
      <c r="DM128" s="389"/>
      <c r="DN128" s="389"/>
      <c r="DO128" s="389"/>
      <c r="DP128" s="389"/>
      <c r="DQ128" s="389"/>
      <c r="DR128" s="487"/>
      <c r="DS128" s="25"/>
    </row>
    <row r="129" spans="1:143" x14ac:dyDescent="0.2">
      <c r="A129" s="598" t="s">
        <v>341</v>
      </c>
      <c r="B129" s="600"/>
      <c r="C129" s="14"/>
      <c r="D129" s="14"/>
      <c r="E129" s="14"/>
      <c r="F129" s="14"/>
      <c r="G129" s="600"/>
      <c r="H129" s="601"/>
      <c r="I129" s="601"/>
      <c r="J129" s="601"/>
      <c r="K129" s="601"/>
      <c r="L129" s="600"/>
      <c r="M129" s="601"/>
      <c r="N129" s="601"/>
      <c r="O129" s="601"/>
      <c r="P129" s="601"/>
      <c r="Q129" s="600"/>
      <c r="R129" s="601"/>
      <c r="S129" s="601"/>
      <c r="T129" s="601"/>
      <c r="U129" s="601"/>
      <c r="V129" s="600"/>
      <c r="W129" s="601"/>
      <c r="X129" s="601"/>
      <c r="Y129" s="601"/>
      <c r="Z129" s="601"/>
      <c r="AA129" s="600"/>
      <c r="AB129" s="601"/>
      <c r="AC129" s="601"/>
      <c r="AD129" s="601"/>
      <c r="AE129" s="601"/>
      <c r="AF129" s="600"/>
      <c r="AG129" s="601"/>
      <c r="AH129" s="601"/>
      <c r="AI129" s="601"/>
      <c r="AJ129" s="601"/>
      <c r="AK129" s="600"/>
      <c r="AL129" s="601"/>
      <c r="AM129" s="601"/>
      <c r="AN129" s="601"/>
      <c r="AO129" s="601"/>
      <c r="AP129" s="600"/>
      <c r="AQ129" s="601"/>
      <c r="AR129" s="601"/>
      <c r="AS129" s="601"/>
      <c r="AT129" s="601"/>
      <c r="AU129" s="600"/>
      <c r="AV129" s="601"/>
      <c r="AW129" s="601"/>
      <c r="AX129" s="601"/>
      <c r="AY129" s="601"/>
      <c r="AZ129" s="600"/>
      <c r="BA129" s="601"/>
      <c r="BB129" s="601"/>
      <c r="BC129" s="601"/>
      <c r="BD129" s="601"/>
      <c r="BE129" s="600"/>
      <c r="BF129" s="601"/>
      <c r="BG129" s="601"/>
      <c r="BH129" s="601"/>
      <c r="BI129" s="601"/>
      <c r="BJ129" s="600"/>
      <c r="BK129" s="601"/>
      <c r="BL129" s="601"/>
      <c r="BM129" s="601"/>
      <c r="BN129" s="601"/>
      <c r="BO129" s="602">
        <f>AVERAGE(BJ291,BO291)+AVERAGE((BJ279+BJ273+BJ272),(BO279+BO273+BO272))+(BO81*7)</f>
        <v>5726</v>
      </c>
      <c r="BP129" s="601"/>
      <c r="BQ129" s="601"/>
      <c r="BR129" s="601"/>
      <c r="BS129" s="601"/>
      <c r="BT129" s="602">
        <f>AVERAGE(BO291,BT291)+AVERAGE((BO279+BO273+BO272),(BT279+BT273+BT272))+(BT81*7)</f>
        <v>5625</v>
      </c>
      <c r="BU129" s="601"/>
      <c r="BV129" s="601"/>
      <c r="BW129" s="601"/>
      <c r="BX129" s="601"/>
      <c r="BY129" s="602">
        <f>AVERAGE(BT291,BY291)+AVERAGE((BT279+BT273+BT272),(BY279+BY273+BY272))+(BY81*7)</f>
        <v>5608.5</v>
      </c>
      <c r="BZ129" s="601"/>
      <c r="CA129" s="601"/>
      <c r="CB129" s="601"/>
      <c r="CC129" s="601"/>
      <c r="CD129" s="602">
        <f>AVERAGE(BY291,CD291)+AVERAGE((BY279+BY273+BY272),(CD279+CD273+CD272))+(CD81*7)</f>
        <v>5753.5</v>
      </c>
      <c r="CE129" s="601"/>
      <c r="CF129" s="601"/>
      <c r="CG129" s="601"/>
      <c r="CH129" s="601"/>
      <c r="CI129" s="602">
        <f>AVERAGE(CD291,CI291)+AVERAGE((CD279+CD273+CD272),(CI279+CI273+CI272))+(CI81*7)</f>
        <v>5994</v>
      </c>
      <c r="CJ129" s="601"/>
      <c r="CK129" s="601"/>
      <c r="CL129" s="601"/>
      <c r="CM129" s="601"/>
      <c r="CN129" s="602">
        <f>AVERAGE(CI291,CN291)+AVERAGE((CI279+CI273+CI272),(CN279+CN273+CN272))+(CN81*7)</f>
        <v>6295.3339999999998</v>
      </c>
      <c r="CO129" s="605"/>
      <c r="CP129" s="605"/>
      <c r="CQ129" s="605"/>
      <c r="CR129" s="605"/>
      <c r="CS129" s="275">
        <f>AVERAGE(CN291,CS291)+AVERAGE((CN279+CN273+CN272),(CS279+CS273+CS272))+(CS81*7)</f>
        <v>6540.5984734352787</v>
      </c>
      <c r="CT129" s="601"/>
      <c r="CU129" s="601"/>
      <c r="CV129" s="601"/>
      <c r="CW129" s="601"/>
      <c r="CX129" s="602">
        <f>AVERAGE(CS291,CX291)+AVERAGE((CS279+CS273+CS272),(CX279+CX273+CX272))+(CX81*7)</f>
        <v>6759.5976927997235</v>
      </c>
      <c r="CY129" s="601"/>
      <c r="CZ129" s="601"/>
      <c r="DA129" s="601"/>
      <c r="DB129" s="601"/>
      <c r="DC129" s="602">
        <f>AVERAGE(CX291,DC291)+AVERAGE((CX279+CX273+CX272),(DC279+DC273+DC272))+(DC81*7)</f>
        <v>7179.0815772580127</v>
      </c>
      <c r="DD129" s="25"/>
      <c r="DE129" s="178"/>
      <c r="DJ129" s="430"/>
      <c r="DK129" s="389"/>
      <c r="DL129" s="389"/>
      <c r="DM129" s="389"/>
      <c r="DN129" s="389"/>
      <c r="DO129" s="389"/>
      <c r="DP129" s="389"/>
      <c r="DQ129" s="389"/>
      <c r="DR129" s="487"/>
      <c r="DS129" s="25"/>
    </row>
    <row r="130" spans="1:143" x14ac:dyDescent="0.2">
      <c r="A130" s="598" t="s">
        <v>340</v>
      </c>
      <c r="B130" s="600"/>
      <c r="C130" s="14"/>
      <c r="D130" s="14"/>
      <c r="E130" s="14"/>
      <c r="F130" s="14"/>
      <c r="G130" s="600"/>
      <c r="H130" s="601"/>
      <c r="I130" s="601"/>
      <c r="J130" s="601"/>
      <c r="K130" s="601"/>
      <c r="L130" s="600"/>
      <c r="M130" s="601"/>
      <c r="N130" s="601"/>
      <c r="O130" s="601"/>
      <c r="P130" s="601"/>
      <c r="Q130" s="600"/>
      <c r="R130" s="601"/>
      <c r="S130" s="601"/>
      <c r="T130" s="601"/>
      <c r="U130" s="601"/>
      <c r="V130" s="600"/>
      <c r="W130" s="601"/>
      <c r="X130" s="601"/>
      <c r="Y130" s="601"/>
      <c r="Z130" s="601"/>
      <c r="AA130" s="600"/>
      <c r="AB130" s="601"/>
      <c r="AC130" s="601"/>
      <c r="AD130" s="601"/>
      <c r="AE130" s="601"/>
      <c r="AF130" s="600"/>
      <c r="AG130" s="601"/>
      <c r="AH130" s="601"/>
      <c r="AI130" s="601"/>
      <c r="AJ130" s="601"/>
      <c r="AK130" s="600"/>
      <c r="AL130" s="601"/>
      <c r="AM130" s="601"/>
      <c r="AN130" s="601"/>
      <c r="AO130" s="601"/>
      <c r="AP130" s="600"/>
      <c r="AQ130" s="601"/>
      <c r="AR130" s="601"/>
      <c r="AS130" s="601"/>
      <c r="AT130" s="601"/>
      <c r="AU130" s="600"/>
      <c r="AV130" s="601"/>
      <c r="AW130" s="601"/>
      <c r="AX130" s="601"/>
      <c r="AY130" s="601"/>
      <c r="AZ130" s="600"/>
      <c r="BA130" s="601"/>
      <c r="BB130" s="601"/>
      <c r="BC130" s="601"/>
      <c r="BD130" s="601"/>
      <c r="BE130" s="600"/>
      <c r="BF130" s="601"/>
      <c r="BG130" s="601"/>
      <c r="BH130" s="601"/>
      <c r="BI130" s="601"/>
      <c r="BJ130" s="600"/>
      <c r="BK130" s="601"/>
      <c r="BL130" s="601"/>
      <c r="BM130" s="601"/>
      <c r="BN130" s="601"/>
      <c r="BO130" s="603">
        <f>BO128/BO129</f>
        <v>4.7720922109675164E-2</v>
      </c>
      <c r="BP130" s="601"/>
      <c r="BQ130" s="601"/>
      <c r="BR130" s="601"/>
      <c r="BS130" s="601"/>
      <c r="BT130" s="603">
        <f>BT128/BT129</f>
        <v>5.3368888888888889E-2</v>
      </c>
      <c r="BU130" s="601"/>
      <c r="BV130" s="601"/>
      <c r="BW130" s="601"/>
      <c r="BX130" s="601"/>
      <c r="BY130" s="603">
        <f>BY128/BY129</f>
        <v>6.3136310956583758E-2</v>
      </c>
      <c r="BZ130" s="601"/>
      <c r="CA130" s="601"/>
      <c r="CB130" s="601"/>
      <c r="CC130" s="601"/>
      <c r="CD130" s="603">
        <f>CD128/CD129</f>
        <v>0.13731641609455114</v>
      </c>
      <c r="CE130" s="601"/>
      <c r="CF130" s="601"/>
      <c r="CG130" s="601"/>
      <c r="CH130" s="601"/>
      <c r="CI130" s="603">
        <f>CI128/CI129</f>
        <v>0.1430221888555222</v>
      </c>
      <c r="CJ130" s="601"/>
      <c r="CK130" s="601"/>
      <c r="CL130" s="601"/>
      <c r="CM130" s="601"/>
      <c r="CN130" s="603">
        <f>CN128/CN129</f>
        <v>8.5622939148264424E-2</v>
      </c>
      <c r="CO130" s="601"/>
      <c r="CP130" s="601"/>
      <c r="CQ130" s="601"/>
      <c r="CR130" s="601"/>
      <c r="CS130" s="603">
        <f>CS128/CS129</f>
        <v>0.10390668770797262</v>
      </c>
      <c r="CT130" s="601"/>
      <c r="CU130" s="601"/>
      <c r="CV130" s="601"/>
      <c r="CW130" s="601"/>
      <c r="CX130" s="603">
        <f>CX128/CX129</f>
        <v>0.11636856141519639</v>
      </c>
      <c r="CY130" s="601"/>
      <c r="CZ130" s="601"/>
      <c r="DA130" s="601"/>
      <c r="DB130" s="601"/>
      <c r="DC130" s="603">
        <f>DC128/DC129</f>
        <v>0.13071729187336459</v>
      </c>
      <c r="DD130" s="25"/>
      <c r="DE130" s="178"/>
      <c r="DJ130" s="413"/>
      <c r="DK130" s="389"/>
      <c r="DL130" s="389"/>
      <c r="DM130" s="389"/>
      <c r="DN130" s="389"/>
      <c r="DO130" s="389"/>
      <c r="DP130" s="389"/>
      <c r="DQ130" s="389"/>
      <c r="DR130" s="487"/>
      <c r="DS130" s="25"/>
    </row>
    <row r="131" spans="1:143" s="6" customFormat="1" x14ac:dyDescent="0.2">
      <c r="A131" s="6" t="s">
        <v>128</v>
      </c>
      <c r="B131" s="279"/>
      <c r="G131" s="279"/>
      <c r="L131" s="279"/>
      <c r="Q131" s="279"/>
      <c r="V131" s="279"/>
      <c r="AA131" s="279"/>
      <c r="AF131" s="279"/>
      <c r="AK131" s="279"/>
      <c r="AP131" s="279"/>
      <c r="AU131" s="279"/>
      <c r="AZ131" s="279"/>
      <c r="BE131" s="279"/>
      <c r="BJ131" s="279"/>
      <c r="BO131" s="279"/>
      <c r="BT131" s="279"/>
      <c r="BY131" s="279"/>
      <c r="CD131" s="279"/>
      <c r="CI131" s="279"/>
      <c r="CN131" s="279"/>
      <c r="CS131" s="279"/>
      <c r="CX131" s="279"/>
      <c r="DC131" s="279"/>
      <c r="DD131" s="363"/>
      <c r="DF131" s="363"/>
      <c r="DG131" s="363"/>
      <c r="DH131" s="363"/>
      <c r="DI131" s="363"/>
      <c r="DJ131" s="435"/>
      <c r="DK131" s="393"/>
      <c r="DL131" s="393"/>
      <c r="DM131" s="389"/>
      <c r="DN131" s="410"/>
      <c r="DO131" s="410"/>
      <c r="DP131" s="410"/>
      <c r="DQ131" s="393"/>
      <c r="DS131" s="363"/>
      <c r="DT131"/>
      <c r="DU131"/>
      <c r="DV131"/>
      <c r="DW131"/>
      <c r="DX131"/>
      <c r="DY131"/>
    </row>
    <row r="132" spans="1:143" s="7" customFormat="1" x14ac:dyDescent="0.2">
      <c r="A132" s="7" t="s">
        <v>129</v>
      </c>
      <c r="B132" s="260"/>
      <c r="G132" s="260"/>
      <c r="L132" s="260"/>
      <c r="Q132" s="260"/>
      <c r="V132" s="260"/>
      <c r="AA132" s="260"/>
      <c r="AF132" s="260"/>
      <c r="AK132" s="260"/>
      <c r="AP132" s="260"/>
      <c r="AU132" s="260"/>
      <c r="AZ132" s="260"/>
      <c r="BE132" s="260"/>
      <c r="BJ132" s="260"/>
      <c r="BO132" s="260"/>
      <c r="BT132" s="260"/>
      <c r="BY132" s="260"/>
      <c r="CD132" s="260"/>
      <c r="CI132" s="260"/>
      <c r="CN132" s="260"/>
      <c r="CS132" s="260"/>
      <c r="CX132" s="260"/>
      <c r="DC132" s="260"/>
      <c r="DD132" s="363"/>
      <c r="DE132" s="6"/>
      <c r="DF132" s="363"/>
      <c r="DG132" s="363"/>
      <c r="DH132" s="363"/>
      <c r="DI132" s="363"/>
      <c r="DJ132" s="435"/>
      <c r="DK132" s="393"/>
      <c r="DL132" s="393"/>
      <c r="DM132" s="389"/>
      <c r="DN132" s="389"/>
      <c r="DO132" s="389"/>
      <c r="DP132" s="389"/>
      <c r="DQ132" s="393"/>
      <c r="DR132" s="6"/>
      <c r="DS132" s="363"/>
      <c r="DT132"/>
      <c r="DU132"/>
      <c r="DV132"/>
      <c r="DW132"/>
      <c r="DX132"/>
      <c r="DY132"/>
    </row>
    <row r="133" spans="1:143" x14ac:dyDescent="0.2">
      <c r="A133" s="207" t="s">
        <v>2</v>
      </c>
      <c r="B133" s="276"/>
      <c r="C133" s="90"/>
      <c r="D133" s="90"/>
      <c r="E133" s="90"/>
      <c r="F133" s="90"/>
      <c r="G133" s="276"/>
      <c r="H133" s="93"/>
      <c r="I133" s="93"/>
      <c r="J133" s="93"/>
      <c r="K133" s="93"/>
      <c r="L133" s="318">
        <f>(L272+L273+L279+G272+G273+G279)/2</f>
        <v>275.73950000000002</v>
      </c>
      <c r="M133" s="93"/>
      <c r="N133" s="93"/>
      <c r="O133" s="93"/>
      <c r="P133" s="93"/>
      <c r="Q133" s="318">
        <f>(Q272+Q273+Q279+L272+L273+L279)/2</f>
        <v>543.18100000000004</v>
      </c>
      <c r="R133" s="93"/>
      <c r="S133" s="93"/>
      <c r="T133" s="93"/>
      <c r="U133" s="93"/>
      <c r="V133" s="318">
        <f>(V272+V273+V279+Q272+Q273+Q279)/2</f>
        <v>910.26300000000003</v>
      </c>
      <c r="W133" s="93"/>
      <c r="X133" s="93"/>
      <c r="Y133" s="93"/>
      <c r="Z133" s="93"/>
      <c r="AA133" s="318">
        <f>(AA272+AA273+AA279+V272+V273+V279)/2</f>
        <v>1326.7035000000001</v>
      </c>
      <c r="AB133" s="93"/>
      <c r="AC133" s="93"/>
      <c r="AD133" s="93"/>
      <c r="AE133" s="93"/>
      <c r="AF133" s="318">
        <f>(AF272+AF273+AF279+AA272+AA273+AA279)/2</f>
        <v>1935.4059999999999</v>
      </c>
      <c r="AG133" s="93">
        <f>(AG272+AG273+AG279+AF272+AF273+AF279)/2</f>
        <v>2354</v>
      </c>
      <c r="AH133" s="93">
        <f>(AH272+AH273+AH279+AG272+AG273+AG279)/2</f>
        <v>2450</v>
      </c>
      <c r="AI133" s="93">
        <f>(AI272+AI273+AI279+AH272+AH273+AH279)/2</f>
        <v>2539</v>
      </c>
      <c r="AJ133" s="93">
        <f>(AJ272+AJ273+AJ279+AI272+AI273+AI279)/2</f>
        <v>2700</v>
      </c>
      <c r="AK133" s="318">
        <f>(AK272+AK273+AK279+AF272+AF273+AF279)/2</f>
        <v>2583</v>
      </c>
      <c r="AL133" s="93">
        <f>(AL272+AL273+AL279+AK272+AK273+AK279)/2</f>
        <v>2889</v>
      </c>
      <c r="AM133" s="93">
        <f>(AM272+AM273+AM279+AL272+AL273+AL279)/2</f>
        <v>2971.5</v>
      </c>
      <c r="AN133" s="93">
        <f>(AN272+AN273+AN279+AM272+AM273+AM279)/2</f>
        <v>3011</v>
      </c>
      <c r="AO133" s="93">
        <f>(AO272+AO273+AO279+AN272+AN273+AN279)/2</f>
        <v>3032.5</v>
      </c>
      <c r="AP133" s="318">
        <f>(AP272+AP273+AP279+AK272+AK273+AK279)/2</f>
        <v>2944</v>
      </c>
      <c r="AQ133" s="93">
        <f>(AQ272+AQ273+AQ279+AP272+AP273+AP279)/2</f>
        <v>3072.5</v>
      </c>
      <c r="AR133" s="93">
        <f>(AR272+AR273+AR279+AQ272+AQ273+AQ279)/2</f>
        <v>3216</v>
      </c>
      <c r="AS133" s="93">
        <f>(AS272+AS273+AS279+AR272+AR273+AR279)/2</f>
        <v>3235</v>
      </c>
      <c r="AT133" s="93">
        <f>(AT272+AT273+AT279+AS272+AS273+AS279)/2</f>
        <v>3145</v>
      </c>
      <c r="AU133" s="318">
        <f>(AU272+AU273+AU279+AP272+AP273+AP279)/2</f>
        <v>3101.5</v>
      </c>
      <c r="AV133" s="93">
        <f>(AV272+AV273+AV279+AU272+AU273+AU279)/2</f>
        <v>3189.5</v>
      </c>
      <c r="AW133" s="93">
        <f>(AW272+AW273+AW279+AV272+AV273+AV279)/2</f>
        <v>3316</v>
      </c>
      <c r="AX133" s="93">
        <f>(AX272+AX273+AX279+AW272+AW273+AW279)/2</f>
        <v>3385</v>
      </c>
      <c r="AY133" s="93">
        <f>(AY272+AY273+AY279+AX272+AX273+AX279)/2</f>
        <v>3333</v>
      </c>
      <c r="AZ133" s="318">
        <f>(AZ272+AZ273+AZ279+AU272+AU273+AU279)/2</f>
        <v>3229.5</v>
      </c>
      <c r="BA133" s="93">
        <f>(BA272+BA273+BA279+AZ272+AZ273+AZ279)/2</f>
        <v>3211.5</v>
      </c>
      <c r="BB133" s="93">
        <f>(BB272+BB273+BB279+BA272+BA273+BA279)/2</f>
        <v>3117.5</v>
      </c>
      <c r="BC133" s="93">
        <f>(BC272+BC273+BC279+BB272+BB273+BB279)/2</f>
        <v>3090</v>
      </c>
      <c r="BD133" s="93">
        <f>(BD272+BD273+BD279+BC272+BC273+BC279)/2</f>
        <v>3048.5</v>
      </c>
      <c r="BE133" s="318">
        <f>(BE272+BE273+BE279+AZ272+AZ273+AZ279)/2</f>
        <v>3168.5</v>
      </c>
      <c r="BF133" s="93">
        <f>(BF272+BF273+BF279+BE272+BE273+BE279)/2</f>
        <v>3055.5</v>
      </c>
      <c r="BG133" s="93">
        <f>(BG272+BG273+BG279+BF272+BF273+BF279)/2</f>
        <v>3080.5</v>
      </c>
      <c r="BH133" s="93">
        <f>(BH272+BH273+BH279+BG272+BG273+BG279)/2</f>
        <v>3070</v>
      </c>
      <c r="BI133" s="93">
        <f>(BI272+BI273+BI279+BH272+BH273+BH279)/2</f>
        <v>3096.5</v>
      </c>
      <c r="BJ133" s="318">
        <f>(BJ272+BJ273+BJ279+BE272+BE273+BE279)/2</f>
        <v>3084.5</v>
      </c>
      <c r="BK133" s="93">
        <f>(BK272+BK273+BK279+BJ272+BJ273+BJ279)/2</f>
        <v>3069.5</v>
      </c>
      <c r="BL133" s="93">
        <f>(BL272+BL273+BL279+BK272+BK273+BK279)/2</f>
        <v>2947</v>
      </c>
      <c r="BM133" s="93">
        <f>(BM272+BM273+BM279+BL272+BL273+BL279)/2</f>
        <v>2881</v>
      </c>
      <c r="BN133" s="93">
        <f>(BN272+BN273+BN279+BM272+BM273+BM279)/2</f>
        <v>2861</v>
      </c>
      <c r="BO133" s="318">
        <f>(BO272+BO273+BO279+BJ272+BJ273+BJ279)/2</f>
        <v>2993.5</v>
      </c>
      <c r="BP133" s="93">
        <f>(BP272+BP273+BP279+BO272+BO273+BO279)/2</f>
        <v>2838.5</v>
      </c>
      <c r="BQ133" s="93">
        <f>(BQ272+BQ273+BQ279+BP272+BP273+BP279)/2</f>
        <v>2823</v>
      </c>
      <c r="BR133" s="93">
        <f>(BR272+BR273+BR279+BQ272+BQ273+BQ279)/2</f>
        <v>2831</v>
      </c>
      <c r="BS133" s="93">
        <f>(BS272+BS273+BS279+BR272+BR273+BR279)/2</f>
        <v>2713.5</v>
      </c>
      <c r="BT133" s="318">
        <f>(BT272+BT273+BT279+BO272+BO273+BO279)/2</f>
        <v>2718</v>
      </c>
      <c r="BU133" s="93">
        <f>(BU272+BU273+BU279+BT272+BT273+BT279)/2</f>
        <v>2612</v>
      </c>
      <c r="BV133" s="93">
        <f>(BV272+BV273+BV279+BU272+BU273+BU279)/2</f>
        <v>2512.5</v>
      </c>
      <c r="BW133" s="93">
        <f>(BW272+BW273+BW279+BV272+BV273+BV279)/2</f>
        <v>2374</v>
      </c>
      <c r="BX133" s="93">
        <f>(BX272+BX273+BX279+BW272+BW273+BW279)/2</f>
        <v>2297.5</v>
      </c>
      <c r="BY133" s="318">
        <f>(BY272+BY273+BY279+BT272+BT273+BT279)/2</f>
        <v>2409</v>
      </c>
      <c r="BZ133" s="93">
        <f>(BZ272+BZ273+BZ279+BY272+BY273+BY279)/2</f>
        <v>2207</v>
      </c>
      <c r="CA133" s="93">
        <f>(CA272+CA273+CA279+BZ272+BZ273+BZ279)/2</f>
        <v>2125</v>
      </c>
      <c r="CB133" s="93">
        <f>(CB272+CB273+CB279+CA272+CA273+CA279)/2</f>
        <v>2025.5</v>
      </c>
      <c r="CC133" s="93">
        <f>(CC272+CC273+CC279+CB272+CB273+CB279)/2</f>
        <v>1904.5</v>
      </c>
      <c r="CD133" s="318">
        <f>(CD272+CD273+CD279+BY272+BY273+BY279)/2</f>
        <v>2030</v>
      </c>
      <c r="CE133" s="93">
        <f>(CE272+CE273+CE279+CD272+CD273+CD279)/2</f>
        <v>1803.5</v>
      </c>
      <c r="CF133" s="93">
        <f>(CF272+CF273+CF279+CE272+CE273+CE279)/2</f>
        <v>1763</v>
      </c>
      <c r="CG133" s="93">
        <f>(CG272+CG273+CG279+CF272+CF273+CF279)/2</f>
        <v>1717.5</v>
      </c>
      <c r="CH133" s="93">
        <f>(CH272+CH273+CH279+CG272+CG273+CG279)/2</f>
        <v>1536.5</v>
      </c>
      <c r="CI133" s="318">
        <f>(CI272+CI273+CI279+CD272+CD273+CD279)/2</f>
        <v>1605.5</v>
      </c>
      <c r="CJ133" s="93">
        <f>(CJ272+CJ273+CJ279+CI272+CI273+CI279)/2</f>
        <v>1360.5</v>
      </c>
      <c r="CK133" s="93">
        <f>(CK272+CK273+CK279+CJ272+CJ273+CJ279)/2</f>
        <v>1321</v>
      </c>
      <c r="CL133" s="93">
        <f>(CL272+CL273+CL279+CK272+CK273+CK279)/2</f>
        <v>1280</v>
      </c>
      <c r="CM133" s="93">
        <f>(CM272+CM273+CM279+CL272+CL273+CL279)/2</f>
        <v>1396.25</v>
      </c>
      <c r="CN133" s="318">
        <f>(CN272+CN273+CN279+CI272+CI273+CI279)/2</f>
        <v>1460.75</v>
      </c>
      <c r="CO133" s="93">
        <f t="shared" ref="CO133:CR133" si="603">(CO272+CO273+CO279+CN272+CN273+CN279)/2</f>
        <v>1533.6</v>
      </c>
      <c r="CP133" s="93">
        <f t="shared" si="603"/>
        <v>1525.8000000000002</v>
      </c>
      <c r="CQ133" s="93">
        <f t="shared" si="603"/>
        <v>1518</v>
      </c>
      <c r="CR133" s="93">
        <f t="shared" si="603"/>
        <v>1510.2000000000003</v>
      </c>
      <c r="CS133" s="318">
        <f>(CS272+CS273+CS279+CN272+CN273+CN279)/2</f>
        <v>1521.9</v>
      </c>
      <c r="CT133" s="99"/>
      <c r="CU133" s="99"/>
      <c r="CV133" s="93"/>
      <c r="CW133" s="93"/>
      <c r="CX133" s="318">
        <f>(CX272+CX273+CX279+CS272+CS273+CS279)/2</f>
        <v>1473.8000000000002</v>
      </c>
      <c r="CY133" s="99"/>
      <c r="CZ133" s="99"/>
      <c r="DA133" s="93"/>
      <c r="DB133" s="93"/>
      <c r="DC133" s="318">
        <f>(DC272+DC273+DC279+CX272+CX273+CX279)/2</f>
        <v>1454.3000000000002</v>
      </c>
      <c r="DD133" s="370"/>
      <c r="DE133" s="468"/>
      <c r="DJ133" s="445"/>
      <c r="DK133" s="409"/>
      <c r="DL133" s="409"/>
      <c r="DM133" s="409"/>
      <c r="DN133" s="409"/>
      <c r="DO133" s="409"/>
      <c r="DP133" s="409"/>
      <c r="DQ133" s="409"/>
      <c r="DR133" s="506"/>
      <c r="DS133" s="370"/>
    </row>
    <row r="134" spans="1:143" x14ac:dyDescent="0.2">
      <c r="A134" s="348" t="s">
        <v>40</v>
      </c>
      <c r="B134" s="276"/>
      <c r="C134" s="90"/>
      <c r="D134" s="90"/>
      <c r="E134" s="90"/>
      <c r="F134" s="90"/>
      <c r="G134" s="276"/>
      <c r="H134" s="100"/>
      <c r="I134" s="100"/>
      <c r="J134" s="100"/>
      <c r="K134" s="100"/>
      <c r="L134" s="302">
        <f>L136/L133</f>
        <v>5.1251271580604149E-2</v>
      </c>
      <c r="M134" s="100"/>
      <c r="N134" s="100"/>
      <c r="O134" s="100"/>
      <c r="P134" s="100"/>
      <c r="Q134" s="302">
        <f>Q136/Q133</f>
        <v>3.8677715163085602E-2</v>
      </c>
      <c r="R134" s="100"/>
      <c r="S134" s="100"/>
      <c r="T134" s="100"/>
      <c r="U134" s="100"/>
      <c r="V134" s="302">
        <f>V136/V133</f>
        <v>3.1745770178508846E-2</v>
      </c>
      <c r="W134" s="100"/>
      <c r="X134" s="100"/>
      <c r="Y134" s="100"/>
      <c r="Z134" s="100"/>
      <c r="AA134" s="302">
        <f>AA136/AA133</f>
        <v>4.0308931121384693E-2</v>
      </c>
      <c r="AB134" s="100"/>
      <c r="AC134" s="100"/>
      <c r="AD134" s="100"/>
      <c r="AE134" s="100"/>
      <c r="AF134" s="302">
        <f>AF136/AF133</f>
        <v>5.4843789881812918E-2</v>
      </c>
      <c r="AG134" s="100">
        <f>(AG136*4)/AG133</f>
        <v>6.2871707731520815E-2</v>
      </c>
      <c r="AH134" s="100">
        <f>(AH136*4)/AH133</f>
        <v>6.8571428571428575E-2</v>
      </c>
      <c r="AI134" s="100">
        <f>(AI136*4)/AI133</f>
        <v>7.089405277668373E-2</v>
      </c>
      <c r="AJ134" s="100">
        <f>(AJ136*4)/AJ133</f>
        <v>7.2592592592592597E-2</v>
      </c>
      <c r="AK134" s="302">
        <f>AK136/AK133</f>
        <v>6.6976384049554777E-2</v>
      </c>
      <c r="AL134" s="100">
        <f>(AL136*4)/AL133</f>
        <v>7.1997230875735549E-2</v>
      </c>
      <c r="AM134" s="100">
        <f>(AM136*4)/AM133</f>
        <v>7.5382803297997639E-2</v>
      </c>
      <c r="AN134" s="100">
        <f>(AN136*4)/AN133</f>
        <v>7.7050813683161745E-2</v>
      </c>
      <c r="AO134" s="100">
        <f>(AO136*4)/AO133</f>
        <v>7.782357790601814E-2</v>
      </c>
      <c r="AP134" s="302">
        <f>AP136/AP133</f>
        <v>7.6426630434782608E-2</v>
      </c>
      <c r="AQ134" s="100">
        <f>(AQ136*4)/AQ133</f>
        <v>7.2904800650935714E-2</v>
      </c>
      <c r="AR134" s="100">
        <f>(AR136*4)/AR133</f>
        <v>6.5920398009950254E-2</v>
      </c>
      <c r="AS134" s="100">
        <f>(AS136*4)/AS133</f>
        <v>7.9134466769706341E-2</v>
      </c>
      <c r="AT134" s="100">
        <f>(AT136*4)/AT133</f>
        <v>7.5039745627980922E-2</v>
      </c>
      <c r="AU134" s="302">
        <f>AU136/AU133</f>
        <v>7.4802514912139281E-2</v>
      </c>
      <c r="AV134" s="100">
        <f>(AV136*4)/AV133</f>
        <v>6.1577049694309452E-2</v>
      </c>
      <c r="AW134" s="100">
        <f>(AW136*4)/AW133</f>
        <v>5.8986731001206272E-2</v>
      </c>
      <c r="AX134" s="100">
        <f>(AX136*4)/AX133</f>
        <v>5.9084194977843424E-2</v>
      </c>
      <c r="AY134" s="100">
        <f>(AY136*4)/AY133</f>
        <v>5.8805880588058808E-2</v>
      </c>
      <c r="AZ134" s="302">
        <f>AZ136/AZ133</f>
        <v>6.1000154822727977E-2</v>
      </c>
      <c r="BA134" s="100">
        <f>(BA136*4)/BA133</f>
        <v>5.8539623229020704E-2</v>
      </c>
      <c r="BB134" s="100">
        <f>(BB136*4)/BB133</f>
        <v>5.5172413793103448E-2</v>
      </c>
      <c r="BC134" s="100">
        <f>(BC136*4)/BC133</f>
        <v>5.8252427184466021E-2</v>
      </c>
      <c r="BD134" s="100">
        <f>(BD136*4)/BD133</f>
        <v>6.0357552894866329E-2</v>
      </c>
      <c r="BE134" s="302">
        <f>BE136/BE133</f>
        <v>5.7124822471200883E-2</v>
      </c>
      <c r="BF134" s="100">
        <f>(BF136*4)/BF133</f>
        <v>5.7601047291768938E-2</v>
      </c>
      <c r="BG134" s="100">
        <f>(BG136*4)/BG133</f>
        <v>5.7133582210680087E-2</v>
      </c>
      <c r="BH134" s="100">
        <f>(BH136*4)/BH133</f>
        <v>5.8631921824104233E-2</v>
      </c>
      <c r="BI134" s="100">
        <f>(BI136*4)/BI133</f>
        <v>5.9421927983206849E-2</v>
      </c>
      <c r="BJ134" s="302">
        <f>BJ136/BJ133</f>
        <v>5.8032095963689412E-2</v>
      </c>
      <c r="BK134" s="100">
        <f>(BK136*4)/BK133</f>
        <v>5.8641472552532985E-2</v>
      </c>
      <c r="BL134" s="100">
        <f>(BL136*4)/BL133</f>
        <v>5.9721750933152358E-2</v>
      </c>
      <c r="BM134" s="100">
        <f>(BM136*4)/BM133</f>
        <v>6.1089899340506772E-2</v>
      </c>
      <c r="BN134" s="100">
        <f>(BN136*4)/BN133</f>
        <v>6.0118839566585112E-2</v>
      </c>
      <c r="BO134" s="302">
        <f>BO136/BO133</f>
        <v>5.879405378319693E-2</v>
      </c>
      <c r="BP134" s="100">
        <f>(BP136*4)/BP133</f>
        <v>5.7776994891668133E-2</v>
      </c>
      <c r="BQ134" s="100">
        <f>(BQ136*4)/BQ133</f>
        <v>5.951115834218916E-2</v>
      </c>
      <c r="BR134" s="100">
        <f>(BR136*4)/BR133</f>
        <v>5.6517131755563402E-2</v>
      </c>
      <c r="BS134" s="100">
        <f>(BS136*4)/BS133</f>
        <v>5.6016215220195321E-2</v>
      </c>
      <c r="BT134" s="302">
        <f>BT136/BT133</f>
        <v>5.9234731420161883E-2</v>
      </c>
      <c r="BU134" s="100">
        <f>(BU136*4)/BU133</f>
        <v>5.6661562021439509E-2</v>
      </c>
      <c r="BV134" s="100">
        <f>(BV136*4)/BV133</f>
        <v>6.2089552238805967E-2</v>
      </c>
      <c r="BW134" s="100">
        <f>(BW136*4)/BW133</f>
        <v>6.2342038753159225E-2</v>
      </c>
      <c r="BX134" s="100">
        <f>(BX136*4)/BX133</f>
        <v>6.0935799782372145E-2</v>
      </c>
      <c r="BY134" s="302">
        <f>BY136/BY133</f>
        <v>6.1436280614362807E-2</v>
      </c>
      <c r="BZ134" s="100">
        <f>(BZ136*4)/BZ133</f>
        <v>6.1622111463525149E-2</v>
      </c>
      <c r="CA134" s="100">
        <f>(CA136*4)/CA133</f>
        <v>6.023529411764706E-2</v>
      </c>
      <c r="CB134" s="100">
        <f>(CB136*4)/CB133</f>
        <v>6.3194273019007652E-2</v>
      </c>
      <c r="CC134" s="100">
        <f>(CC136*4)/CC133</f>
        <v>6.3008663691257544E-2</v>
      </c>
      <c r="CD134" s="302">
        <f>CD136/CD133</f>
        <v>6.3054187192118222E-2</v>
      </c>
      <c r="CE134" s="100">
        <f>(CE136*4)/CE133</f>
        <v>6.4319378985306347E-2</v>
      </c>
      <c r="CF134" s="100">
        <f>(CF136*4)/CF133</f>
        <v>6.3528077141236525E-2</v>
      </c>
      <c r="CG134" s="100">
        <f>(CG136*4)/CG133</f>
        <v>6.5211062590975255E-2</v>
      </c>
      <c r="CH134" s="100">
        <f>(CH136*4)/CH133</f>
        <v>6.7686300032541488E-2</v>
      </c>
      <c r="CI134" s="302">
        <f>CI136/CI133</f>
        <v>6.9137340392401117E-2</v>
      </c>
      <c r="CJ134" s="100">
        <f>(CJ136*4)/CJ133</f>
        <v>7.3502388827636891E-2</v>
      </c>
      <c r="CK134" s="100">
        <f>(CK136*4)/CK133</f>
        <v>7.267221801665405E-2</v>
      </c>
      <c r="CL134" s="100">
        <f>(CL136*4)/CL133</f>
        <v>7.1874999999999994E-2</v>
      </c>
      <c r="CM134" s="100">
        <f>(CM136*4)/CM133</f>
        <v>6.3025962399283791E-2</v>
      </c>
      <c r="CN134" s="302">
        <f>CN136/CN133</f>
        <v>6.4350504877631359E-2</v>
      </c>
      <c r="CO134" s="100">
        <f t="shared" ref="CO134" si="604">(CO136*4)/CO133</f>
        <v>6.2597809076682318E-2</v>
      </c>
      <c r="CP134" s="100">
        <f t="shared" ref="CP134:CR134" si="605">(CP136*4)/CP133</f>
        <v>6.8160964739808622E-2</v>
      </c>
      <c r="CQ134" s="100">
        <f t="shared" si="605"/>
        <v>6.8511198945981552E-2</v>
      </c>
      <c r="CR134" s="100">
        <f t="shared" si="605"/>
        <v>6.8865050986624279E-2</v>
      </c>
      <c r="CS134" s="302">
        <f>CS136/CS133</f>
        <v>6.7021486300019709E-2</v>
      </c>
      <c r="CT134" s="100"/>
      <c r="CU134" s="100"/>
      <c r="CV134" s="100"/>
      <c r="CW134" s="100"/>
      <c r="CX134" s="420">
        <f>CS134-0.1%</f>
        <v>6.6021486300019708E-2</v>
      </c>
      <c r="CY134" s="100"/>
      <c r="CZ134" s="100"/>
      <c r="DA134" s="100"/>
      <c r="DB134" s="100"/>
      <c r="DC134" s="420">
        <f>CX134</f>
        <v>6.6021486300019708E-2</v>
      </c>
      <c r="DD134" s="370"/>
      <c r="DE134" s="468"/>
      <c r="DJ134" s="445"/>
      <c r="DK134" s="409"/>
      <c r="DL134" s="409"/>
      <c r="DM134" s="409"/>
      <c r="DN134" s="409"/>
      <c r="DO134" s="409"/>
      <c r="DP134" s="409"/>
      <c r="DQ134" s="409"/>
      <c r="DR134" s="506"/>
      <c r="DS134" s="370"/>
    </row>
    <row r="135" spans="1:143" x14ac:dyDescent="0.2">
      <c r="A135" s="349" t="s">
        <v>306</v>
      </c>
      <c r="B135" s="280"/>
      <c r="C135" s="102"/>
      <c r="D135" s="102"/>
      <c r="E135" s="102"/>
      <c r="F135" s="102"/>
      <c r="G135" s="280"/>
      <c r="H135" s="388"/>
      <c r="I135" s="388"/>
      <c r="J135" s="388"/>
      <c r="K135" s="388"/>
      <c r="L135" s="280"/>
      <c r="M135" s="388"/>
      <c r="N135" s="388"/>
      <c r="O135" s="388"/>
      <c r="P135" s="388"/>
      <c r="Q135" s="280"/>
      <c r="R135" s="388"/>
      <c r="S135" s="388"/>
      <c r="T135" s="388"/>
      <c r="U135" s="388"/>
      <c r="V135" s="280"/>
      <c r="W135" s="388"/>
      <c r="X135" s="388"/>
      <c r="Y135" s="388"/>
      <c r="Z135" s="388"/>
      <c r="AA135" s="280"/>
      <c r="AB135" s="388"/>
      <c r="AC135" s="388"/>
      <c r="AD135" s="388"/>
      <c r="AE135" s="388"/>
      <c r="AF135" s="280"/>
      <c r="AG135" s="388"/>
      <c r="AH135" s="388"/>
      <c r="AI135" s="388"/>
      <c r="AJ135" s="388"/>
      <c r="AK135" s="280"/>
      <c r="AL135" s="388"/>
      <c r="AM135" s="388"/>
      <c r="AN135" s="388"/>
      <c r="AO135" s="388"/>
      <c r="AP135" s="327"/>
      <c r="AQ135" s="388"/>
      <c r="AR135" s="388"/>
      <c r="AS135" s="388"/>
      <c r="AT135" s="388"/>
      <c r="AU135" s="327"/>
      <c r="AV135" s="388"/>
      <c r="AW135" s="388"/>
      <c r="AX135" s="388"/>
      <c r="AY135" s="388"/>
      <c r="AZ135" s="327"/>
      <c r="BA135" s="388"/>
      <c r="BB135" s="388"/>
      <c r="BC135" s="388"/>
      <c r="BD135" s="388"/>
      <c r="BE135" s="327"/>
      <c r="BF135" s="388"/>
      <c r="BG135" s="388"/>
      <c r="BH135" s="388"/>
      <c r="BI135" s="388"/>
      <c r="BJ135" s="421"/>
      <c r="BK135" s="388"/>
      <c r="BL135" s="388"/>
      <c r="BM135" s="388"/>
      <c r="BN135" s="388"/>
      <c r="BO135" s="421"/>
      <c r="BP135" s="388"/>
      <c r="BQ135" s="388"/>
      <c r="BR135" s="388"/>
      <c r="BS135" s="388"/>
      <c r="BT135" s="421">
        <f>BT133*BT134</f>
        <v>161</v>
      </c>
      <c r="BU135" s="388"/>
      <c r="BV135" s="388"/>
      <c r="BW135" s="388"/>
      <c r="BX135" s="388"/>
      <c r="BY135" s="421">
        <f>BY133*BY134</f>
        <v>148</v>
      </c>
      <c r="BZ135" s="388"/>
      <c r="CA135" s="388"/>
      <c r="CB135" s="388"/>
      <c r="CC135" s="388"/>
      <c r="CD135" s="421">
        <f>CD133*CD134</f>
        <v>127.99999999999999</v>
      </c>
      <c r="CE135" s="388"/>
      <c r="CF135" s="388"/>
      <c r="CG135" s="388"/>
      <c r="CH135" s="388"/>
      <c r="CI135" s="421">
        <f>CI133*CI134</f>
        <v>111</v>
      </c>
      <c r="CJ135" s="388"/>
      <c r="CK135" s="388"/>
      <c r="CL135" s="388"/>
      <c r="CM135" s="388"/>
      <c r="CN135" s="421">
        <f>CN133*CN134</f>
        <v>94.000000000000014</v>
      </c>
      <c r="CO135" s="388"/>
      <c r="CP135" s="388"/>
      <c r="CQ135" s="388"/>
      <c r="CR135" s="388"/>
      <c r="CS135" s="421">
        <f>CS133*CS134</f>
        <v>102</v>
      </c>
      <c r="CT135" s="388"/>
      <c r="CU135" s="388"/>
      <c r="CV135" s="388"/>
      <c r="CW135" s="388"/>
      <c r="CX135" s="421">
        <f>CX133*CX134</f>
        <v>97.302466508969061</v>
      </c>
      <c r="CY135" s="388"/>
      <c r="CZ135" s="388"/>
      <c r="DA135" s="388"/>
      <c r="DB135" s="388"/>
      <c r="DC135" s="421">
        <f>DC133*DC134</f>
        <v>96.015047526118678</v>
      </c>
      <c r="DD135" s="370"/>
      <c r="DE135" s="468"/>
      <c r="DJ135" s="447"/>
      <c r="DK135" s="409"/>
      <c r="DL135" s="409"/>
      <c r="DM135" s="409"/>
      <c r="DN135" s="409"/>
      <c r="DO135" s="409"/>
      <c r="DP135" s="409"/>
      <c r="DQ135" s="409"/>
      <c r="DR135" s="506"/>
      <c r="DS135" s="522"/>
      <c r="EB135" s="387"/>
      <c r="EC135" s="387"/>
      <c r="ED135" s="387"/>
      <c r="EE135" s="387"/>
      <c r="EF135" s="387"/>
      <c r="EG135" s="387"/>
      <c r="EH135" s="387"/>
      <c r="EI135" s="387"/>
      <c r="EJ135" s="387"/>
      <c r="EK135" s="387"/>
      <c r="EL135" s="387"/>
      <c r="EM135" s="387"/>
    </row>
    <row r="136" spans="1:143" x14ac:dyDescent="0.2">
      <c r="A136" s="350" t="s">
        <v>122</v>
      </c>
      <c r="B136" s="852">
        <v>0.70499999999999996</v>
      </c>
      <c r="C136" s="85"/>
      <c r="D136" s="85"/>
      <c r="E136" s="85"/>
      <c r="F136" s="85"/>
      <c r="G136" s="852">
        <v>7.3949999999999996</v>
      </c>
      <c r="H136" s="829">
        <v>3.6269999999999998</v>
      </c>
      <c r="I136" s="829">
        <v>3.3759999999999999</v>
      </c>
      <c r="J136" s="829">
        <v>3.165</v>
      </c>
      <c r="K136" s="829">
        <v>3.964</v>
      </c>
      <c r="L136" s="273">
        <f>SUM(H136:K136)</f>
        <v>14.132</v>
      </c>
      <c r="M136" s="829">
        <v>4.1870000000000003</v>
      </c>
      <c r="N136" s="829">
        <v>4.7249999999999996</v>
      </c>
      <c r="O136" s="829">
        <v>5.7380000000000004</v>
      </c>
      <c r="P136" s="829">
        <v>6.359</v>
      </c>
      <c r="Q136" s="273">
        <f>SUM(M136:P136)</f>
        <v>21.009</v>
      </c>
      <c r="R136" s="829">
        <v>6.194</v>
      </c>
      <c r="S136" s="829">
        <v>6.0229999999999997</v>
      </c>
      <c r="T136" s="829">
        <v>7.8570000000000002</v>
      </c>
      <c r="U136" s="829">
        <v>8.8230000000000004</v>
      </c>
      <c r="V136" s="273">
        <f>SUM(R136:U136)</f>
        <v>28.896999999999998</v>
      </c>
      <c r="W136" s="829">
        <v>9.8209999999999997</v>
      </c>
      <c r="X136" s="829">
        <v>12.519</v>
      </c>
      <c r="Y136" s="829">
        <v>14.172000000000001</v>
      </c>
      <c r="Z136" s="829">
        <v>16.966000000000001</v>
      </c>
      <c r="AA136" s="273">
        <f>SUM(W136:Z136)</f>
        <v>53.478000000000002</v>
      </c>
      <c r="AB136" s="829">
        <v>20.658000000000001</v>
      </c>
      <c r="AC136" s="829">
        <v>25</v>
      </c>
      <c r="AD136" s="829">
        <v>28.361000000000001</v>
      </c>
      <c r="AE136" s="829">
        <v>32.125999999999998</v>
      </c>
      <c r="AF136" s="273">
        <f>SUM(AB136:AE136)</f>
        <v>106.14500000000001</v>
      </c>
      <c r="AG136" s="829">
        <v>37</v>
      </c>
      <c r="AH136" s="829">
        <v>42</v>
      </c>
      <c r="AI136" s="829">
        <v>45</v>
      </c>
      <c r="AJ136" s="829">
        <v>49</v>
      </c>
      <c r="AK136" s="273">
        <f>SUM(AG136:AJ136)</f>
        <v>173</v>
      </c>
      <c r="AL136" s="829">
        <v>52</v>
      </c>
      <c r="AM136" s="829">
        <v>56</v>
      </c>
      <c r="AN136" s="829">
        <v>58</v>
      </c>
      <c r="AO136" s="829">
        <v>59</v>
      </c>
      <c r="AP136" s="273">
        <f>SUM(AL136:AO136)</f>
        <v>225</v>
      </c>
      <c r="AQ136" s="829">
        <v>56</v>
      </c>
      <c r="AR136" s="829">
        <v>53</v>
      </c>
      <c r="AS136" s="829">
        <v>64</v>
      </c>
      <c r="AT136" s="829">
        <v>59</v>
      </c>
      <c r="AU136" s="273">
        <f>SUM(AQ136:AT136)</f>
        <v>232</v>
      </c>
      <c r="AV136" s="829">
        <v>49.1</v>
      </c>
      <c r="AW136" s="829">
        <v>48.9</v>
      </c>
      <c r="AX136" s="829">
        <v>50</v>
      </c>
      <c r="AY136" s="829">
        <v>49</v>
      </c>
      <c r="AZ136" s="273">
        <f>SUM(AV136:AY136)</f>
        <v>197</v>
      </c>
      <c r="BA136" s="829">
        <v>47</v>
      </c>
      <c r="BB136" s="829">
        <v>43</v>
      </c>
      <c r="BC136" s="829">
        <v>45</v>
      </c>
      <c r="BD136" s="829">
        <v>46</v>
      </c>
      <c r="BE136" s="273">
        <f>SUM(BA136:BD136)</f>
        <v>181</v>
      </c>
      <c r="BF136" s="829">
        <v>44</v>
      </c>
      <c r="BG136" s="829">
        <v>44</v>
      </c>
      <c r="BH136" s="829">
        <v>45</v>
      </c>
      <c r="BI136" s="829">
        <v>46</v>
      </c>
      <c r="BJ136" s="273">
        <f>SUM(BF136:BI136)</f>
        <v>179</v>
      </c>
      <c r="BK136" s="829">
        <v>45</v>
      </c>
      <c r="BL136" s="829">
        <v>44</v>
      </c>
      <c r="BM136" s="829">
        <v>44</v>
      </c>
      <c r="BN136" s="829">
        <v>43</v>
      </c>
      <c r="BO136" s="273">
        <f>SUM(BK136:BN136)</f>
        <v>176</v>
      </c>
      <c r="BP136" s="829">
        <v>41</v>
      </c>
      <c r="BQ136" s="829">
        <v>42</v>
      </c>
      <c r="BR136" s="829">
        <v>40</v>
      </c>
      <c r="BS136" s="829">
        <v>38</v>
      </c>
      <c r="BT136" s="273">
        <f>SUM(BP136:BS136)</f>
        <v>161</v>
      </c>
      <c r="BU136" s="829">
        <v>37</v>
      </c>
      <c r="BV136" s="829">
        <v>39</v>
      </c>
      <c r="BW136" s="829">
        <v>37</v>
      </c>
      <c r="BX136" s="829">
        <v>35</v>
      </c>
      <c r="BY136" s="273">
        <f>SUM(BU136:BX136)</f>
        <v>148</v>
      </c>
      <c r="BZ136" s="829">
        <v>34</v>
      </c>
      <c r="CA136" s="829">
        <v>32</v>
      </c>
      <c r="CB136" s="829">
        <v>32</v>
      </c>
      <c r="CC136" s="829">
        <v>30</v>
      </c>
      <c r="CD136" s="273">
        <f>SUM(BZ136:CC136)</f>
        <v>128</v>
      </c>
      <c r="CE136" s="829">
        <v>29</v>
      </c>
      <c r="CF136" s="829">
        <v>28</v>
      </c>
      <c r="CG136" s="829">
        <v>28</v>
      </c>
      <c r="CH136" s="829">
        <v>26</v>
      </c>
      <c r="CI136" s="273">
        <f>SUM(CE136:CH136)</f>
        <v>111</v>
      </c>
      <c r="CJ136" s="829">
        <v>25</v>
      </c>
      <c r="CK136" s="829">
        <v>24</v>
      </c>
      <c r="CL136" s="829">
        <v>23</v>
      </c>
      <c r="CM136" s="829">
        <v>22</v>
      </c>
      <c r="CN136" s="273">
        <f>SUM(CJ136:CM136)</f>
        <v>94</v>
      </c>
      <c r="CO136" s="104">
        <f>CM136+2</f>
        <v>24</v>
      </c>
      <c r="CP136" s="104">
        <f>CO136+2</f>
        <v>26</v>
      </c>
      <c r="CQ136" s="104">
        <f>CP136</f>
        <v>26</v>
      </c>
      <c r="CR136" s="104">
        <f>CQ136</f>
        <v>26</v>
      </c>
      <c r="CS136" s="273">
        <f>SUM(CO136:CR136)</f>
        <v>102</v>
      </c>
      <c r="CT136" s="85"/>
      <c r="CU136" s="85"/>
      <c r="CV136" s="104"/>
      <c r="CW136" s="104"/>
      <c r="CX136" s="422">
        <v>97</v>
      </c>
      <c r="CY136" s="85"/>
      <c r="CZ136" s="85"/>
      <c r="DA136" s="104"/>
      <c r="DB136" s="104"/>
      <c r="DC136" s="422">
        <v>96</v>
      </c>
      <c r="DD136" s="368"/>
      <c r="DE136" s="465"/>
      <c r="DJ136" s="447"/>
      <c r="DK136" s="405"/>
      <c r="DL136" s="405"/>
      <c r="DM136" s="405"/>
      <c r="DN136" s="410"/>
      <c r="DO136" s="405"/>
      <c r="DP136" s="405"/>
      <c r="DQ136" s="405"/>
      <c r="DR136" s="502"/>
      <c r="DS136" s="368"/>
    </row>
    <row r="137" spans="1:143" x14ac:dyDescent="0.2">
      <c r="A137" s="125" t="s">
        <v>235</v>
      </c>
      <c r="B137" s="281"/>
      <c r="C137" s="106"/>
      <c r="D137" s="106"/>
      <c r="E137" s="106"/>
      <c r="F137" s="106"/>
      <c r="G137" s="281">
        <f>G136-G138</f>
        <v>2.9079999999999995</v>
      </c>
      <c r="H137" s="107">
        <f>H136-H138</f>
        <v>1.5639999999999996</v>
      </c>
      <c r="I137" s="107">
        <f t="shared" ref="I137:BV137" si="606">I136-I138</f>
        <v>0.95599999999999996</v>
      </c>
      <c r="J137" s="107">
        <f t="shared" si="606"/>
        <v>1.1280000000000001</v>
      </c>
      <c r="K137" s="107">
        <f t="shared" si="606"/>
        <v>2.4409999999999998</v>
      </c>
      <c r="L137" s="281">
        <f t="shared" si="606"/>
        <v>6.0889999999999986</v>
      </c>
      <c r="M137" s="107">
        <f t="shared" si="606"/>
        <v>2.8900000000000006</v>
      </c>
      <c r="N137" s="107">
        <f t="shared" si="606"/>
        <v>3.2899999999999996</v>
      </c>
      <c r="O137" s="107">
        <f t="shared" si="606"/>
        <v>4.3230000000000004</v>
      </c>
      <c r="P137" s="107">
        <f t="shared" si="606"/>
        <v>5.181</v>
      </c>
      <c r="Q137" s="281">
        <f t="shared" si="606"/>
        <v>15.684000000000001</v>
      </c>
      <c r="R137" s="107">
        <f t="shared" si="606"/>
        <v>5.173</v>
      </c>
      <c r="S137" s="107">
        <f t="shared" si="606"/>
        <v>4.8019999999999996</v>
      </c>
      <c r="T137" s="107">
        <f t="shared" si="606"/>
        <v>6.452</v>
      </c>
      <c r="U137" s="107">
        <f t="shared" si="606"/>
        <v>7.2670000000000003</v>
      </c>
      <c r="V137" s="281">
        <f t="shared" si="606"/>
        <v>23.693999999999999</v>
      </c>
      <c r="W137" s="107">
        <f t="shared" si="606"/>
        <v>8.2449999999999992</v>
      </c>
      <c r="X137" s="107">
        <f t="shared" si="606"/>
        <v>10.709</v>
      </c>
      <c r="Y137" s="107">
        <f t="shared" si="606"/>
        <v>11.695</v>
      </c>
      <c r="Z137" s="107">
        <f t="shared" si="606"/>
        <v>13.955000000000002</v>
      </c>
      <c r="AA137" s="281">
        <f t="shared" si="606"/>
        <v>44.603999999999999</v>
      </c>
      <c r="AB137" s="107">
        <f t="shared" si="606"/>
        <v>16.86</v>
      </c>
      <c r="AC137" s="107">
        <f t="shared" si="606"/>
        <v>21</v>
      </c>
      <c r="AD137" s="107">
        <f t="shared" si="606"/>
        <v>24.506</v>
      </c>
      <c r="AE137" s="107">
        <f t="shared" si="606"/>
        <v>27.74</v>
      </c>
      <c r="AF137" s="281">
        <f t="shared" si="606"/>
        <v>90.106000000000009</v>
      </c>
      <c r="AG137" s="107">
        <f t="shared" si="606"/>
        <v>32</v>
      </c>
      <c r="AH137" s="107">
        <f t="shared" si="606"/>
        <v>35</v>
      </c>
      <c r="AI137" s="107">
        <f t="shared" si="606"/>
        <v>38</v>
      </c>
      <c r="AJ137" s="107">
        <f t="shared" si="606"/>
        <v>41</v>
      </c>
      <c r="AK137" s="281">
        <f t="shared" si="606"/>
        <v>146</v>
      </c>
      <c r="AL137" s="107">
        <f t="shared" si="606"/>
        <v>44</v>
      </c>
      <c r="AM137" s="107">
        <f t="shared" si="606"/>
        <v>45</v>
      </c>
      <c r="AN137" s="107">
        <f t="shared" si="606"/>
        <v>47</v>
      </c>
      <c r="AO137" s="107">
        <f t="shared" si="606"/>
        <v>46</v>
      </c>
      <c r="AP137" s="281">
        <f t="shared" si="606"/>
        <v>182</v>
      </c>
      <c r="AQ137" s="107">
        <f t="shared" si="606"/>
        <v>42</v>
      </c>
      <c r="AR137" s="107">
        <f t="shared" si="606"/>
        <v>39</v>
      </c>
      <c r="AS137" s="107">
        <f t="shared" si="606"/>
        <v>49</v>
      </c>
      <c r="AT137" s="107">
        <f t="shared" si="606"/>
        <v>54</v>
      </c>
      <c r="AU137" s="281">
        <f t="shared" si="606"/>
        <v>184</v>
      </c>
      <c r="AV137" s="107">
        <f t="shared" si="606"/>
        <v>47.1</v>
      </c>
      <c r="AW137" s="107">
        <f t="shared" si="606"/>
        <v>46.8</v>
      </c>
      <c r="AX137" s="107">
        <f t="shared" si="606"/>
        <v>48</v>
      </c>
      <c r="AY137" s="107">
        <f t="shared" si="606"/>
        <v>48</v>
      </c>
      <c r="AZ137" s="281">
        <f t="shared" si="606"/>
        <v>189.9</v>
      </c>
      <c r="BA137" s="107">
        <f t="shared" si="606"/>
        <v>46</v>
      </c>
      <c r="BB137" s="107">
        <f t="shared" si="606"/>
        <v>42</v>
      </c>
      <c r="BC137" s="107">
        <f t="shared" si="606"/>
        <v>44</v>
      </c>
      <c r="BD137" s="107">
        <f t="shared" si="606"/>
        <v>45</v>
      </c>
      <c r="BE137" s="281">
        <f t="shared" si="606"/>
        <v>177</v>
      </c>
      <c r="BF137" s="107">
        <f t="shared" si="606"/>
        <v>43</v>
      </c>
      <c r="BG137" s="107">
        <f t="shared" si="606"/>
        <v>43</v>
      </c>
      <c r="BH137" s="107">
        <f t="shared" si="606"/>
        <v>44</v>
      </c>
      <c r="BI137" s="107">
        <f t="shared" si="606"/>
        <v>44</v>
      </c>
      <c r="BJ137" s="281">
        <f t="shared" si="606"/>
        <v>174</v>
      </c>
      <c r="BK137" s="107">
        <f t="shared" si="606"/>
        <v>43</v>
      </c>
      <c r="BL137" s="107">
        <f t="shared" si="606"/>
        <v>42</v>
      </c>
      <c r="BM137" s="107">
        <f t="shared" si="606"/>
        <v>42</v>
      </c>
      <c r="BN137" s="107">
        <f t="shared" si="606"/>
        <v>41</v>
      </c>
      <c r="BO137" s="281">
        <f t="shared" si="606"/>
        <v>168</v>
      </c>
      <c r="BP137" s="107">
        <f t="shared" si="606"/>
        <v>38</v>
      </c>
      <c r="BQ137" s="107">
        <f t="shared" si="606"/>
        <v>38</v>
      </c>
      <c r="BR137" s="107">
        <f t="shared" si="606"/>
        <v>36</v>
      </c>
      <c r="BS137" s="107">
        <f t="shared" si="606"/>
        <v>36</v>
      </c>
      <c r="BT137" s="281">
        <f t="shared" si="606"/>
        <v>148</v>
      </c>
      <c r="BU137" s="107">
        <f t="shared" si="606"/>
        <v>34</v>
      </c>
      <c r="BV137" s="107">
        <f t="shared" si="606"/>
        <v>35</v>
      </c>
      <c r="BW137" s="107">
        <f>BW136-BW138</f>
        <v>33</v>
      </c>
      <c r="BX137" s="107">
        <f>BX136-BX138</f>
        <v>32</v>
      </c>
      <c r="BY137" s="281">
        <f>BY136-BY138</f>
        <v>134</v>
      </c>
      <c r="BZ137" s="107">
        <f>BZ136-BZ138</f>
        <v>32</v>
      </c>
      <c r="CA137" s="107">
        <f>CA136-CA138</f>
        <v>30</v>
      </c>
      <c r="CB137" s="107">
        <f t="shared" ref="CB137:CD137" si="607">CB136-CB138</f>
        <v>30</v>
      </c>
      <c r="CC137" s="107">
        <f t="shared" si="607"/>
        <v>28</v>
      </c>
      <c r="CD137" s="281">
        <f t="shared" si="607"/>
        <v>120</v>
      </c>
      <c r="CE137" s="107">
        <f>CE136-CE138</f>
        <v>27</v>
      </c>
      <c r="CF137" s="107">
        <f>CF136-CF138</f>
        <v>26</v>
      </c>
      <c r="CG137" s="107">
        <f t="shared" ref="CG137:CI137" si="608">CG136-CG138</f>
        <v>26</v>
      </c>
      <c r="CH137" s="107">
        <f t="shared" si="608"/>
        <v>24</v>
      </c>
      <c r="CI137" s="281">
        <f t="shared" si="608"/>
        <v>103</v>
      </c>
      <c r="CJ137" s="107">
        <f>CJ136-CJ138</f>
        <v>23</v>
      </c>
      <c r="CK137" s="107">
        <f>CK136-CK138</f>
        <v>22</v>
      </c>
      <c r="CL137" s="107">
        <f t="shared" ref="CL137:CN137" si="609">CL136-CL138</f>
        <v>20</v>
      </c>
      <c r="CM137" s="107">
        <f t="shared" si="609"/>
        <v>20</v>
      </c>
      <c r="CN137" s="281">
        <f t="shared" si="609"/>
        <v>85</v>
      </c>
      <c r="CO137" s="107">
        <f t="shared" ref="CO137:CS137" si="610">CO136-CO138</f>
        <v>22</v>
      </c>
      <c r="CP137" s="107">
        <f t="shared" si="610"/>
        <v>24</v>
      </c>
      <c r="CQ137" s="107">
        <f t="shared" si="610"/>
        <v>24</v>
      </c>
      <c r="CR137" s="107">
        <f t="shared" si="610"/>
        <v>24</v>
      </c>
      <c r="CS137" s="281">
        <f t="shared" si="610"/>
        <v>94</v>
      </c>
      <c r="CT137" s="107"/>
      <c r="CU137" s="107"/>
      <c r="CV137" s="107"/>
      <c r="CW137" s="107"/>
      <c r="CX137" s="281">
        <f>CX136-CX138</f>
        <v>89</v>
      </c>
      <c r="CY137" s="107"/>
      <c r="CZ137" s="107"/>
      <c r="DA137" s="107"/>
      <c r="DB137" s="107"/>
      <c r="DC137" s="281">
        <f>DC136-DC138</f>
        <v>88</v>
      </c>
      <c r="DD137" s="132"/>
      <c r="DE137" s="471"/>
      <c r="DJ137" s="413"/>
      <c r="DK137" s="411"/>
      <c r="DL137" s="411"/>
      <c r="DM137" s="411"/>
      <c r="DN137" s="411"/>
      <c r="DO137" s="411"/>
      <c r="DP137" s="411"/>
      <c r="DQ137" s="411"/>
      <c r="DR137" s="508"/>
      <c r="DS137" s="125"/>
    </row>
    <row r="138" spans="1:143" x14ac:dyDescent="0.2">
      <c r="A138" s="351" t="s">
        <v>156</v>
      </c>
      <c r="B138" s="852">
        <v>0.70499999999999996</v>
      </c>
      <c r="C138" s="85"/>
      <c r="D138" s="85"/>
      <c r="E138" s="85"/>
      <c r="F138" s="85"/>
      <c r="G138" s="852">
        <v>4.4870000000000001</v>
      </c>
      <c r="H138" s="829">
        <v>2.0630000000000002</v>
      </c>
      <c r="I138" s="829">
        <v>2.42</v>
      </c>
      <c r="J138" s="829">
        <v>2.0369999999999999</v>
      </c>
      <c r="K138" s="829">
        <v>1.5229999999999999</v>
      </c>
      <c r="L138" s="273">
        <f>SUM(H138:K138)</f>
        <v>8.043000000000001</v>
      </c>
      <c r="M138" s="829">
        <v>1.2969999999999999</v>
      </c>
      <c r="N138" s="829">
        <v>1.4350000000000001</v>
      </c>
      <c r="O138" s="829">
        <v>1.415</v>
      </c>
      <c r="P138" s="829">
        <v>1.1779999999999999</v>
      </c>
      <c r="Q138" s="273">
        <f>SUM(M138:P138)</f>
        <v>5.3250000000000002</v>
      </c>
      <c r="R138" s="829">
        <v>1.0209999999999999</v>
      </c>
      <c r="S138" s="829">
        <v>1.2210000000000001</v>
      </c>
      <c r="T138" s="829">
        <v>1.405</v>
      </c>
      <c r="U138" s="829">
        <v>1.556</v>
      </c>
      <c r="V138" s="273">
        <f>SUM(R138:U138)</f>
        <v>5.2030000000000003</v>
      </c>
      <c r="W138" s="829">
        <v>1.5760000000000001</v>
      </c>
      <c r="X138" s="829">
        <v>1.81</v>
      </c>
      <c r="Y138" s="829">
        <v>2.4769999999999999</v>
      </c>
      <c r="Z138" s="829">
        <v>3.0110000000000001</v>
      </c>
      <c r="AA138" s="273">
        <f>SUM(W138:Z138)</f>
        <v>8.8739999999999988</v>
      </c>
      <c r="AB138" s="829">
        <v>3.798</v>
      </c>
      <c r="AC138" s="829">
        <v>4</v>
      </c>
      <c r="AD138" s="829">
        <v>3.855</v>
      </c>
      <c r="AE138" s="829">
        <v>4.3860000000000001</v>
      </c>
      <c r="AF138" s="273">
        <f>SUM(AB138:AE138)</f>
        <v>16.039000000000001</v>
      </c>
      <c r="AG138" s="829">
        <v>5</v>
      </c>
      <c r="AH138" s="829">
        <v>7</v>
      </c>
      <c r="AI138" s="829">
        <v>7</v>
      </c>
      <c r="AJ138" s="829">
        <v>8</v>
      </c>
      <c r="AK138" s="273">
        <f>SUM(AG138:AJ138)</f>
        <v>27</v>
      </c>
      <c r="AL138" s="829">
        <v>8</v>
      </c>
      <c r="AM138" s="829">
        <v>11</v>
      </c>
      <c r="AN138" s="829">
        <v>11</v>
      </c>
      <c r="AO138" s="829">
        <v>13</v>
      </c>
      <c r="AP138" s="273">
        <f>SUM(AL138:AO138)</f>
        <v>43</v>
      </c>
      <c r="AQ138" s="829">
        <v>14</v>
      </c>
      <c r="AR138" s="829">
        <v>14</v>
      </c>
      <c r="AS138" s="829">
        <v>15</v>
      </c>
      <c r="AT138" s="829">
        <v>5</v>
      </c>
      <c r="AU138" s="273">
        <f>SUM(AQ138:AT138)</f>
        <v>48</v>
      </c>
      <c r="AV138" s="829">
        <v>2</v>
      </c>
      <c r="AW138" s="829">
        <v>2.1</v>
      </c>
      <c r="AX138" s="829">
        <v>2</v>
      </c>
      <c r="AY138" s="829">
        <v>1</v>
      </c>
      <c r="AZ138" s="273">
        <f>SUM(AV138:AY138)</f>
        <v>7.1</v>
      </c>
      <c r="BA138" s="829">
        <v>1</v>
      </c>
      <c r="BB138" s="829">
        <v>1</v>
      </c>
      <c r="BC138" s="829">
        <v>1</v>
      </c>
      <c r="BD138" s="829">
        <v>1</v>
      </c>
      <c r="BE138" s="273">
        <f>SUM(BA138:BD138)</f>
        <v>4</v>
      </c>
      <c r="BF138" s="829">
        <v>1</v>
      </c>
      <c r="BG138" s="829">
        <v>1</v>
      </c>
      <c r="BH138" s="829">
        <v>1</v>
      </c>
      <c r="BI138" s="829">
        <v>2</v>
      </c>
      <c r="BJ138" s="273">
        <f>SUM(BF138:BI138)</f>
        <v>5</v>
      </c>
      <c r="BK138" s="829">
        <v>2</v>
      </c>
      <c r="BL138" s="829">
        <v>2</v>
      </c>
      <c r="BM138" s="829">
        <v>2</v>
      </c>
      <c r="BN138" s="829">
        <v>2</v>
      </c>
      <c r="BO138" s="273">
        <f>SUM(BK138:BN138)</f>
        <v>8</v>
      </c>
      <c r="BP138" s="829">
        <v>3</v>
      </c>
      <c r="BQ138" s="829">
        <v>4</v>
      </c>
      <c r="BR138" s="829">
        <v>4</v>
      </c>
      <c r="BS138" s="829">
        <v>2</v>
      </c>
      <c r="BT138" s="273">
        <f>SUM(BP138:BS138)</f>
        <v>13</v>
      </c>
      <c r="BU138" s="829">
        <v>3</v>
      </c>
      <c r="BV138" s="829">
        <v>4</v>
      </c>
      <c r="BW138" s="829">
        <v>4</v>
      </c>
      <c r="BX138" s="829">
        <v>3</v>
      </c>
      <c r="BY138" s="273">
        <f>SUM(BU138:BX138)</f>
        <v>14</v>
      </c>
      <c r="BZ138" s="829">
        <v>2</v>
      </c>
      <c r="CA138" s="829">
        <v>2</v>
      </c>
      <c r="CB138" s="829">
        <v>2</v>
      </c>
      <c r="CC138" s="829">
        <v>2</v>
      </c>
      <c r="CD138" s="273">
        <f>SUM(BZ138:CC138)</f>
        <v>8</v>
      </c>
      <c r="CE138" s="829">
        <v>2</v>
      </c>
      <c r="CF138" s="829">
        <v>2</v>
      </c>
      <c r="CG138" s="829">
        <v>2</v>
      </c>
      <c r="CH138" s="829">
        <v>2</v>
      </c>
      <c r="CI138" s="273">
        <f>SUM(CE138:CH138)</f>
        <v>8</v>
      </c>
      <c r="CJ138" s="829">
        <v>2</v>
      </c>
      <c r="CK138" s="829">
        <v>2</v>
      </c>
      <c r="CL138" s="829">
        <v>3</v>
      </c>
      <c r="CM138" s="829">
        <v>2</v>
      </c>
      <c r="CN138" s="273">
        <f>SUM(CJ138:CM138)</f>
        <v>9</v>
      </c>
      <c r="CO138" s="101">
        <f>CM138</f>
        <v>2</v>
      </c>
      <c r="CP138" s="101">
        <f t="shared" ref="CP138:CR138" si="611">CO138</f>
        <v>2</v>
      </c>
      <c r="CQ138" s="101">
        <f t="shared" si="611"/>
        <v>2</v>
      </c>
      <c r="CR138" s="101">
        <f t="shared" si="611"/>
        <v>2</v>
      </c>
      <c r="CS138" s="273">
        <f>SUM(CO138:CR138)</f>
        <v>8</v>
      </c>
      <c r="CT138" s="101"/>
      <c r="CU138" s="101"/>
      <c r="CV138" s="101"/>
      <c r="CW138" s="101"/>
      <c r="CX138" s="422">
        <f>CS138</f>
        <v>8</v>
      </c>
      <c r="CY138" s="101"/>
      <c r="CZ138" s="101"/>
      <c r="DA138" s="101"/>
      <c r="DB138" s="101"/>
      <c r="DC138" s="422">
        <f>CX138</f>
        <v>8</v>
      </c>
      <c r="DD138" s="368"/>
      <c r="DE138" s="465"/>
      <c r="DJ138" s="447"/>
      <c r="DK138" s="405"/>
      <c r="DL138" s="405"/>
      <c r="DM138" s="405"/>
      <c r="DN138" s="405"/>
      <c r="DO138" s="405"/>
      <c r="DP138" s="405"/>
      <c r="DQ138" s="405"/>
      <c r="DR138" s="502"/>
      <c r="DS138" s="368"/>
    </row>
    <row r="139" spans="1:143" s="201" customFormat="1" x14ac:dyDescent="0.2">
      <c r="A139" s="352" t="s">
        <v>22</v>
      </c>
      <c r="B139" s="273"/>
      <c r="C139" s="85"/>
      <c r="D139" s="85"/>
      <c r="E139" s="85"/>
      <c r="F139" s="85"/>
      <c r="G139" s="852">
        <v>2.5270000000000001</v>
      </c>
      <c r="H139" s="838">
        <v>0.77500000000000002</v>
      </c>
      <c r="I139" s="839">
        <v>0.57899999999999996</v>
      </c>
      <c r="J139" s="839">
        <f>(0+6.7)+0.288</f>
        <v>6.9880000000000004</v>
      </c>
      <c r="K139" s="839">
        <f>(+-0.124+12.01)+0.973</f>
        <v>12.859</v>
      </c>
      <c r="L139" s="273">
        <f>SUM(H139:K139)</f>
        <v>21.201000000000001</v>
      </c>
      <c r="M139" s="838">
        <v>1.802</v>
      </c>
      <c r="N139" s="839">
        <v>0.61699999999999999</v>
      </c>
      <c r="O139" s="839">
        <v>2.35</v>
      </c>
      <c r="P139" s="839">
        <v>0.95199999999999996</v>
      </c>
      <c r="Q139" s="273">
        <f>SUM(M139:P139)</f>
        <v>5.7210000000000001</v>
      </c>
      <c r="R139" s="838">
        <v>0.77200000000000002</v>
      </c>
      <c r="S139" s="839">
        <v>1.948</v>
      </c>
      <c r="T139" s="839">
        <v>2.0329999999999999</v>
      </c>
      <c r="U139" s="839">
        <v>2.786</v>
      </c>
      <c r="V139" s="273">
        <f>SUM(R139:U139)</f>
        <v>7.5389999999999997</v>
      </c>
      <c r="W139" s="838">
        <v>1.345</v>
      </c>
      <c r="X139" s="839">
        <v>2.1349999999999998</v>
      </c>
      <c r="Y139" s="839">
        <v>2.52</v>
      </c>
      <c r="Z139" s="839">
        <v>2.4830000000000001</v>
      </c>
      <c r="AA139" s="273">
        <f>SUM(W139:Z139)</f>
        <v>8.4830000000000005</v>
      </c>
      <c r="AB139" s="838">
        <v>3.004</v>
      </c>
      <c r="AC139" s="839">
        <v>5</v>
      </c>
      <c r="AD139" s="839">
        <v>6.9630000000000001</v>
      </c>
      <c r="AE139" s="839">
        <v>4.1079999999999997</v>
      </c>
      <c r="AF139" s="273">
        <f>SUM(AB139:AE139)</f>
        <v>19.074999999999999</v>
      </c>
      <c r="AG139" s="838">
        <v>10</v>
      </c>
      <c r="AH139" s="839">
        <v>13</v>
      </c>
      <c r="AI139" s="839">
        <v>-2</v>
      </c>
      <c r="AJ139" s="839">
        <v>6</v>
      </c>
      <c r="AK139" s="273">
        <f>SUM(AG139:AJ139)</f>
        <v>27</v>
      </c>
      <c r="AL139" s="838">
        <v>12</v>
      </c>
      <c r="AM139" s="839">
        <v>15</v>
      </c>
      <c r="AN139" s="839">
        <v>14</v>
      </c>
      <c r="AO139" s="839">
        <v>13</v>
      </c>
      <c r="AP139" s="273">
        <f>SUM(AL139:AO139)</f>
        <v>54</v>
      </c>
      <c r="AQ139" s="838">
        <v>12</v>
      </c>
      <c r="AR139" s="839">
        <v>8</v>
      </c>
      <c r="AS139" s="839">
        <v>23</v>
      </c>
      <c r="AT139" s="839">
        <f>(-59+67-14)+15</f>
        <v>9</v>
      </c>
      <c r="AU139" s="273">
        <f>SUM(AQ139:AT139)</f>
        <v>52</v>
      </c>
      <c r="AV139" s="838">
        <f>(-12+8)+6</f>
        <v>2</v>
      </c>
      <c r="AW139" s="839">
        <v>1</v>
      </c>
      <c r="AX139" s="839">
        <v>2</v>
      </c>
      <c r="AY139" s="839">
        <v>4</v>
      </c>
      <c r="AZ139" s="273">
        <f>SUM(AV139:AY139)</f>
        <v>9</v>
      </c>
      <c r="BA139" s="838">
        <v>2</v>
      </c>
      <c r="BB139" s="839">
        <v>-1</v>
      </c>
      <c r="BC139" s="839">
        <v>1</v>
      </c>
      <c r="BD139" s="839">
        <v>3</v>
      </c>
      <c r="BE139" s="273">
        <f>SUM(BA139:BD139)</f>
        <v>5</v>
      </c>
      <c r="BF139" s="838">
        <v>4</v>
      </c>
      <c r="BG139" s="839">
        <v>0</v>
      </c>
      <c r="BH139" s="839">
        <v>-3</v>
      </c>
      <c r="BI139" s="839">
        <v>1</v>
      </c>
      <c r="BJ139" s="273">
        <f>SUM(BF139:BI139)</f>
        <v>2</v>
      </c>
      <c r="BK139" s="838">
        <v>3</v>
      </c>
      <c r="BL139" s="839">
        <v>-2</v>
      </c>
      <c r="BM139" s="839">
        <v>2</v>
      </c>
      <c r="BN139" s="839">
        <v>-2</v>
      </c>
      <c r="BO139" s="273">
        <f>SUM(BK139:BN139)</f>
        <v>1</v>
      </c>
      <c r="BP139" s="838">
        <v>2</v>
      </c>
      <c r="BQ139" s="839">
        <v>-4</v>
      </c>
      <c r="BR139" s="839">
        <v>3</v>
      </c>
      <c r="BS139" s="839">
        <v>-2</v>
      </c>
      <c r="BT139" s="273">
        <f>SUM(BP139:BS139)</f>
        <v>-1</v>
      </c>
      <c r="BU139" s="838">
        <v>-1</v>
      </c>
      <c r="BV139" s="839">
        <v>-3</v>
      </c>
      <c r="BW139" s="839">
        <v>1</v>
      </c>
      <c r="BX139" s="839">
        <v>3</v>
      </c>
      <c r="BY139" s="273">
        <f>SUM(BU139:BX139)</f>
        <v>0</v>
      </c>
      <c r="BZ139" s="838">
        <v>1</v>
      </c>
      <c r="CA139" s="839">
        <v>-2</v>
      </c>
      <c r="CB139" s="839">
        <v>1</v>
      </c>
      <c r="CC139" s="839">
        <v>1</v>
      </c>
      <c r="CD139" s="273">
        <f>SUM(BZ139:CC139)</f>
        <v>1</v>
      </c>
      <c r="CE139" s="838">
        <v>1</v>
      </c>
      <c r="CF139" s="839">
        <v>2</v>
      </c>
      <c r="CG139" s="839">
        <v>2</v>
      </c>
      <c r="CH139" s="839">
        <v>2</v>
      </c>
      <c r="CI139" s="273">
        <f>SUM(CE139:CH139)</f>
        <v>7</v>
      </c>
      <c r="CJ139" s="838">
        <v>2</v>
      </c>
      <c r="CK139" s="839">
        <v>0</v>
      </c>
      <c r="CL139" s="839">
        <v>3</v>
      </c>
      <c r="CM139" s="839">
        <v>1</v>
      </c>
      <c r="CN139" s="273">
        <f>SUM(CJ139:CM139)</f>
        <v>6</v>
      </c>
      <c r="CO139" s="101">
        <f>+CM139</f>
        <v>1</v>
      </c>
      <c r="CP139" s="101">
        <f t="shared" ref="CP139:CR139" si="612">+CO139</f>
        <v>1</v>
      </c>
      <c r="CQ139" s="101">
        <f t="shared" si="612"/>
        <v>1</v>
      </c>
      <c r="CR139" s="101">
        <f t="shared" si="612"/>
        <v>1</v>
      </c>
      <c r="CS139" s="273">
        <f>SUM(CO139:CR139)</f>
        <v>4</v>
      </c>
      <c r="CT139" s="380"/>
      <c r="CU139" s="381"/>
      <c r="CV139" s="101"/>
      <c r="CW139" s="101"/>
      <c r="CX139" s="422">
        <f>CS139</f>
        <v>4</v>
      </c>
      <c r="CY139" s="380"/>
      <c r="CZ139" s="381"/>
      <c r="DA139" s="101"/>
      <c r="DB139" s="101"/>
      <c r="DC139" s="422">
        <f>CX139</f>
        <v>4</v>
      </c>
      <c r="DD139" s="368"/>
      <c r="DE139" s="465"/>
      <c r="DF139" s="379"/>
      <c r="DG139" s="379"/>
      <c r="DH139" s="379"/>
      <c r="DI139" s="379"/>
      <c r="DJ139" s="447"/>
      <c r="DK139" s="405"/>
      <c r="DL139" s="405"/>
      <c r="DM139" s="405"/>
      <c r="DN139" s="405"/>
      <c r="DO139" s="405"/>
      <c r="DP139" s="405"/>
      <c r="DQ139" s="405"/>
      <c r="DR139" s="502"/>
      <c r="DS139" s="368"/>
      <c r="DT139"/>
      <c r="DU139"/>
      <c r="DV139"/>
      <c r="DW139"/>
      <c r="DX139"/>
      <c r="DY139"/>
    </row>
    <row r="140" spans="1:143" x14ac:dyDescent="0.2">
      <c r="A140" s="560" t="s">
        <v>317</v>
      </c>
      <c r="B140" s="561">
        <f>-B136+B138+B139</f>
        <v>0</v>
      </c>
      <c r="C140" s="562"/>
      <c r="D140" s="562"/>
      <c r="E140" s="562"/>
      <c r="F140" s="562"/>
      <c r="G140" s="561">
        <f t="shared" ref="G140:AL140" si="613">-G136+G138+G139</f>
        <v>-0.38099999999999934</v>
      </c>
      <c r="H140" s="562">
        <f t="shared" si="613"/>
        <v>-0.78899999999999959</v>
      </c>
      <c r="I140" s="562">
        <f t="shared" si="613"/>
        <v>-0.377</v>
      </c>
      <c r="J140" s="562">
        <f t="shared" si="613"/>
        <v>5.86</v>
      </c>
      <c r="K140" s="562">
        <f t="shared" si="613"/>
        <v>10.417999999999999</v>
      </c>
      <c r="L140" s="561">
        <f t="shared" si="613"/>
        <v>15.112000000000002</v>
      </c>
      <c r="M140" s="562">
        <f t="shared" si="613"/>
        <v>-1.0880000000000005</v>
      </c>
      <c r="N140" s="562">
        <f t="shared" si="613"/>
        <v>-2.6729999999999996</v>
      </c>
      <c r="O140" s="562">
        <f t="shared" si="613"/>
        <v>-1.9730000000000003</v>
      </c>
      <c r="P140" s="562">
        <f t="shared" si="613"/>
        <v>-4.2290000000000001</v>
      </c>
      <c r="Q140" s="561">
        <f t="shared" si="613"/>
        <v>-9.963000000000001</v>
      </c>
      <c r="R140" s="562">
        <f t="shared" si="613"/>
        <v>-4.4009999999999998</v>
      </c>
      <c r="S140" s="562">
        <f t="shared" si="613"/>
        <v>-2.8539999999999996</v>
      </c>
      <c r="T140" s="562">
        <f t="shared" si="613"/>
        <v>-4.4190000000000005</v>
      </c>
      <c r="U140" s="562">
        <f t="shared" si="613"/>
        <v>-4.4809999999999999</v>
      </c>
      <c r="V140" s="561">
        <f t="shared" si="613"/>
        <v>-16.155000000000001</v>
      </c>
      <c r="W140" s="562">
        <f t="shared" si="613"/>
        <v>-6.8999999999999995</v>
      </c>
      <c r="X140" s="562">
        <f t="shared" si="613"/>
        <v>-8.5739999999999998</v>
      </c>
      <c r="Y140" s="562">
        <f t="shared" si="613"/>
        <v>-9.1750000000000007</v>
      </c>
      <c r="Z140" s="562">
        <f t="shared" si="613"/>
        <v>-11.472000000000001</v>
      </c>
      <c r="AA140" s="561">
        <f t="shared" si="613"/>
        <v>-36.120999999999995</v>
      </c>
      <c r="AB140" s="562">
        <f t="shared" si="613"/>
        <v>-13.856</v>
      </c>
      <c r="AC140" s="562">
        <f t="shared" si="613"/>
        <v>-16</v>
      </c>
      <c r="AD140" s="562">
        <f t="shared" si="613"/>
        <v>-17.542999999999999</v>
      </c>
      <c r="AE140" s="562">
        <f t="shared" si="613"/>
        <v>-23.631999999999998</v>
      </c>
      <c r="AF140" s="561">
        <f t="shared" si="613"/>
        <v>-71.031000000000006</v>
      </c>
      <c r="AG140" s="562">
        <f t="shared" si="613"/>
        <v>-22</v>
      </c>
      <c r="AH140" s="562">
        <f t="shared" si="613"/>
        <v>-22</v>
      </c>
      <c r="AI140" s="562">
        <f t="shared" si="613"/>
        <v>-40</v>
      </c>
      <c r="AJ140" s="562">
        <f t="shared" si="613"/>
        <v>-35</v>
      </c>
      <c r="AK140" s="561">
        <f t="shared" si="613"/>
        <v>-119</v>
      </c>
      <c r="AL140" s="562">
        <f t="shared" si="613"/>
        <v>-32</v>
      </c>
      <c r="AM140" s="562">
        <f t="shared" ref="AM140:BV140" si="614">-AM136+AM138+AM139</f>
        <v>-30</v>
      </c>
      <c r="AN140" s="562">
        <f t="shared" si="614"/>
        <v>-33</v>
      </c>
      <c r="AO140" s="562">
        <f t="shared" si="614"/>
        <v>-33</v>
      </c>
      <c r="AP140" s="561">
        <f t="shared" si="614"/>
        <v>-128</v>
      </c>
      <c r="AQ140" s="562">
        <f t="shared" si="614"/>
        <v>-30</v>
      </c>
      <c r="AR140" s="562">
        <f t="shared" si="614"/>
        <v>-31</v>
      </c>
      <c r="AS140" s="562">
        <f t="shared" si="614"/>
        <v>-26</v>
      </c>
      <c r="AT140" s="562">
        <f t="shared" si="614"/>
        <v>-45</v>
      </c>
      <c r="AU140" s="561">
        <f t="shared" si="614"/>
        <v>-132</v>
      </c>
      <c r="AV140" s="562">
        <f t="shared" si="614"/>
        <v>-45.1</v>
      </c>
      <c r="AW140" s="562">
        <f t="shared" si="614"/>
        <v>-45.8</v>
      </c>
      <c r="AX140" s="562">
        <f t="shared" si="614"/>
        <v>-46</v>
      </c>
      <c r="AY140" s="562">
        <f t="shared" si="614"/>
        <v>-44</v>
      </c>
      <c r="AZ140" s="561">
        <f t="shared" si="614"/>
        <v>-180.9</v>
      </c>
      <c r="BA140" s="562">
        <f t="shared" si="614"/>
        <v>-44</v>
      </c>
      <c r="BB140" s="562">
        <f t="shared" si="614"/>
        <v>-43</v>
      </c>
      <c r="BC140" s="562">
        <f t="shared" si="614"/>
        <v>-43</v>
      </c>
      <c r="BD140" s="562">
        <f t="shared" si="614"/>
        <v>-42</v>
      </c>
      <c r="BE140" s="561">
        <f t="shared" si="614"/>
        <v>-172</v>
      </c>
      <c r="BF140" s="562">
        <f t="shared" si="614"/>
        <v>-39</v>
      </c>
      <c r="BG140" s="562">
        <f t="shared" si="614"/>
        <v>-43</v>
      </c>
      <c r="BH140" s="562">
        <f t="shared" si="614"/>
        <v>-47</v>
      </c>
      <c r="BI140" s="562">
        <f t="shared" si="614"/>
        <v>-43</v>
      </c>
      <c r="BJ140" s="561">
        <f t="shared" si="614"/>
        <v>-172</v>
      </c>
      <c r="BK140" s="562">
        <f t="shared" si="614"/>
        <v>-40</v>
      </c>
      <c r="BL140" s="562">
        <f t="shared" si="614"/>
        <v>-44</v>
      </c>
      <c r="BM140" s="562">
        <f t="shared" si="614"/>
        <v>-40</v>
      </c>
      <c r="BN140" s="562">
        <f t="shared" si="614"/>
        <v>-43</v>
      </c>
      <c r="BO140" s="561">
        <f t="shared" si="614"/>
        <v>-167</v>
      </c>
      <c r="BP140" s="562">
        <f t="shared" si="614"/>
        <v>-36</v>
      </c>
      <c r="BQ140" s="562">
        <f t="shared" si="614"/>
        <v>-42</v>
      </c>
      <c r="BR140" s="562">
        <f t="shared" si="614"/>
        <v>-33</v>
      </c>
      <c r="BS140" s="562">
        <f t="shared" si="614"/>
        <v>-38</v>
      </c>
      <c r="BT140" s="561">
        <f t="shared" si="614"/>
        <v>-149</v>
      </c>
      <c r="BU140" s="562">
        <f t="shared" si="614"/>
        <v>-35</v>
      </c>
      <c r="BV140" s="562">
        <f t="shared" si="614"/>
        <v>-38</v>
      </c>
      <c r="BW140" s="562">
        <f>-BW136+BW138+BW139</f>
        <v>-32</v>
      </c>
      <c r="BX140" s="562">
        <f>-BX136+BX138+BX139</f>
        <v>-29</v>
      </c>
      <c r="BY140" s="561">
        <f>-BY136+BY138+BY139</f>
        <v>-134</v>
      </c>
      <c r="BZ140" s="562">
        <f>-BZ136+BZ138+BZ139</f>
        <v>-31</v>
      </c>
      <c r="CA140" s="562">
        <f>-CA136+CA138+CA139</f>
        <v>-32</v>
      </c>
      <c r="CB140" s="562">
        <f t="shared" ref="CB140:CD140" si="615">-CB136+CB138+CB139</f>
        <v>-29</v>
      </c>
      <c r="CC140" s="562">
        <f t="shared" si="615"/>
        <v>-27</v>
      </c>
      <c r="CD140" s="561">
        <f t="shared" si="615"/>
        <v>-119</v>
      </c>
      <c r="CE140" s="562">
        <f>-CE136+CE138+CE139</f>
        <v>-26</v>
      </c>
      <c r="CF140" s="562">
        <f>-CF136+CF138+CF139</f>
        <v>-24</v>
      </c>
      <c r="CG140" s="562">
        <f t="shared" ref="CG140:CI140" si="616">-CG136+CG138+CG139</f>
        <v>-24</v>
      </c>
      <c r="CH140" s="562">
        <f t="shared" si="616"/>
        <v>-22</v>
      </c>
      <c r="CI140" s="561">
        <f t="shared" si="616"/>
        <v>-96</v>
      </c>
      <c r="CJ140" s="562">
        <f>-CJ136+CJ138+CJ139</f>
        <v>-21</v>
      </c>
      <c r="CK140" s="562">
        <f>-CK136+CK138+CK139</f>
        <v>-22</v>
      </c>
      <c r="CL140" s="562">
        <f t="shared" ref="CL140:CN140" si="617">-CL136+CL138+CL139</f>
        <v>-17</v>
      </c>
      <c r="CM140" s="562">
        <f t="shared" si="617"/>
        <v>-19</v>
      </c>
      <c r="CN140" s="561">
        <f t="shared" si="617"/>
        <v>-79</v>
      </c>
      <c r="CO140" s="562">
        <f t="shared" ref="CO140:CS140" si="618">-CO136+CO138+CO139</f>
        <v>-21</v>
      </c>
      <c r="CP140" s="562">
        <f t="shared" si="618"/>
        <v>-23</v>
      </c>
      <c r="CQ140" s="562">
        <f t="shared" si="618"/>
        <v>-23</v>
      </c>
      <c r="CR140" s="562">
        <f t="shared" si="618"/>
        <v>-23</v>
      </c>
      <c r="CS140" s="561">
        <f t="shared" si="618"/>
        <v>-90</v>
      </c>
      <c r="CT140" s="562"/>
      <c r="CU140" s="562"/>
      <c r="CV140" s="562"/>
      <c r="CW140" s="562"/>
      <c r="CX140" s="561">
        <f>-CX136+CX138+CX139</f>
        <v>-85</v>
      </c>
      <c r="CY140" s="562"/>
      <c r="CZ140" s="562"/>
      <c r="DA140" s="562"/>
      <c r="DB140" s="562"/>
      <c r="DC140" s="561">
        <f>-DC136+DC138+DC139</f>
        <v>-84</v>
      </c>
      <c r="DD140" s="368"/>
      <c r="DE140" s="465"/>
      <c r="DJ140" s="447" t="s">
        <v>493</v>
      </c>
      <c r="DK140" s="405"/>
      <c r="DL140" s="405"/>
      <c r="DM140" s="405"/>
      <c r="DN140" s="405"/>
      <c r="DO140" s="405"/>
      <c r="DP140" s="405"/>
      <c r="DQ140" s="405"/>
      <c r="DR140" s="502"/>
      <c r="DS140" s="523"/>
    </row>
    <row r="141" spans="1:143" x14ac:dyDescent="0.2">
      <c r="A141" s="11" t="s">
        <v>131</v>
      </c>
      <c r="B141" s="280"/>
      <c r="C141" s="102"/>
      <c r="D141" s="102"/>
      <c r="E141" s="102"/>
      <c r="F141" s="102"/>
      <c r="G141" s="280"/>
      <c r="H141" s="103"/>
      <c r="I141" s="103"/>
      <c r="J141" s="103"/>
      <c r="K141" s="103"/>
      <c r="L141" s="280">
        <f t="shared" ref="L141:AZ141" si="619">L140/G140-1</f>
        <v>-40.664041994750733</v>
      </c>
      <c r="M141" s="103">
        <f t="shared" si="619"/>
        <v>0.37896070975919027</v>
      </c>
      <c r="N141" s="103">
        <f t="shared" si="619"/>
        <v>6.0901856763925721</v>
      </c>
      <c r="O141" s="103">
        <f t="shared" si="619"/>
        <v>-1.3366894197952219</v>
      </c>
      <c r="P141" s="103">
        <f t="shared" si="619"/>
        <v>-1.4059320406987905</v>
      </c>
      <c r="Q141" s="280">
        <f t="shared" si="619"/>
        <v>-1.6592773954473268</v>
      </c>
      <c r="R141" s="103">
        <f t="shared" si="619"/>
        <v>3.0450367647058805</v>
      </c>
      <c r="S141" s="103">
        <f t="shared" si="619"/>
        <v>6.7714178825289961E-2</v>
      </c>
      <c r="T141" s="103">
        <f t="shared" si="619"/>
        <v>1.2397364419665484</v>
      </c>
      <c r="U141" s="103">
        <f t="shared" si="619"/>
        <v>5.9588555213998529E-2</v>
      </c>
      <c r="V141" s="280">
        <f t="shared" si="619"/>
        <v>0.6214995483288166</v>
      </c>
      <c r="W141" s="103">
        <f t="shared" si="619"/>
        <v>0.56782549420586226</v>
      </c>
      <c r="X141" s="103">
        <f t="shared" si="619"/>
        <v>2.0042046250875969</v>
      </c>
      <c r="Y141" s="103">
        <f t="shared" si="619"/>
        <v>1.0762615976465262</v>
      </c>
      <c r="Z141" s="103">
        <f t="shared" si="619"/>
        <v>1.5601428252622185</v>
      </c>
      <c r="AA141" s="280">
        <f t="shared" si="619"/>
        <v>1.2359021974620856</v>
      </c>
      <c r="AB141" s="103">
        <f t="shared" si="619"/>
        <v>1.0081159420289856</v>
      </c>
      <c r="AC141" s="103">
        <f t="shared" si="619"/>
        <v>0.86610683461628191</v>
      </c>
      <c r="AD141" s="103">
        <f t="shared" si="619"/>
        <v>0.91204359673024493</v>
      </c>
      <c r="AE141" s="103">
        <f t="shared" si="619"/>
        <v>1.0599721059972103</v>
      </c>
      <c r="AF141" s="280">
        <f t="shared" si="619"/>
        <v>0.96647379640652287</v>
      </c>
      <c r="AG141" s="103">
        <f t="shared" si="619"/>
        <v>0.58775981524249432</v>
      </c>
      <c r="AH141" s="103">
        <f t="shared" si="619"/>
        <v>0.375</v>
      </c>
      <c r="AI141" s="103">
        <f t="shared" si="619"/>
        <v>1.2801117254745482</v>
      </c>
      <c r="AJ141" s="103">
        <f t="shared" si="619"/>
        <v>0.48104265402843605</v>
      </c>
      <c r="AK141" s="280">
        <f t="shared" si="619"/>
        <v>0.67532485816052135</v>
      </c>
      <c r="AL141" s="103">
        <f t="shared" si="619"/>
        <v>0.45454545454545459</v>
      </c>
      <c r="AM141" s="103">
        <f t="shared" si="619"/>
        <v>0.36363636363636354</v>
      </c>
      <c r="AN141" s="103">
        <f t="shared" si="619"/>
        <v>-0.17500000000000004</v>
      </c>
      <c r="AO141" s="103">
        <f t="shared" si="619"/>
        <v>-5.7142857142857162E-2</v>
      </c>
      <c r="AP141" s="280">
        <f t="shared" si="619"/>
        <v>7.5630252100840289E-2</v>
      </c>
      <c r="AQ141" s="103">
        <f t="shared" si="619"/>
        <v>-6.25E-2</v>
      </c>
      <c r="AR141" s="103">
        <f t="shared" si="619"/>
        <v>3.3333333333333437E-2</v>
      </c>
      <c r="AS141" s="103">
        <f t="shared" si="619"/>
        <v>-0.21212121212121215</v>
      </c>
      <c r="AT141" s="103">
        <f t="shared" si="619"/>
        <v>0.36363636363636354</v>
      </c>
      <c r="AU141" s="280">
        <f t="shared" si="619"/>
        <v>3.125E-2</v>
      </c>
      <c r="AV141" s="103">
        <f t="shared" si="619"/>
        <v>0.50333333333333341</v>
      </c>
      <c r="AW141" s="103">
        <f t="shared" si="619"/>
        <v>0.47741935483870956</v>
      </c>
      <c r="AX141" s="103">
        <f t="shared" si="619"/>
        <v>0.76923076923076916</v>
      </c>
      <c r="AY141" s="103">
        <f t="shared" si="619"/>
        <v>-2.2222222222222254E-2</v>
      </c>
      <c r="AZ141" s="280">
        <f t="shared" si="619"/>
        <v>0.37045454545454559</v>
      </c>
      <c r="BA141" s="103">
        <f t="shared" ref="BA141:BW141" si="620">BA140/AV140-1</f>
        <v>-2.4390243902439046E-2</v>
      </c>
      <c r="BB141" s="103">
        <f t="shared" si="620"/>
        <v>-6.1135371179039222E-2</v>
      </c>
      <c r="BC141" s="103">
        <f t="shared" si="620"/>
        <v>-6.5217391304347783E-2</v>
      </c>
      <c r="BD141" s="103">
        <f t="shared" si="620"/>
        <v>-4.5454545454545414E-2</v>
      </c>
      <c r="BE141" s="280">
        <f t="shared" si="620"/>
        <v>-4.9198452183526808E-2</v>
      </c>
      <c r="BF141" s="103">
        <f>BF140/BA140-1</f>
        <v>-0.11363636363636365</v>
      </c>
      <c r="BG141" s="103">
        <f t="shared" si="620"/>
        <v>0</v>
      </c>
      <c r="BH141" s="103">
        <f t="shared" si="620"/>
        <v>9.3023255813953432E-2</v>
      </c>
      <c r="BI141" s="103">
        <f t="shared" si="620"/>
        <v>2.3809523809523725E-2</v>
      </c>
      <c r="BJ141" s="280">
        <f t="shared" si="620"/>
        <v>0</v>
      </c>
      <c r="BK141" s="103">
        <f>BK140/BF140-1</f>
        <v>2.564102564102555E-2</v>
      </c>
      <c r="BL141" s="103">
        <f t="shared" si="620"/>
        <v>2.3255813953488413E-2</v>
      </c>
      <c r="BM141" s="103">
        <f t="shared" si="620"/>
        <v>-0.14893617021276595</v>
      </c>
      <c r="BN141" s="103">
        <f t="shared" si="620"/>
        <v>0</v>
      </c>
      <c r="BO141" s="280">
        <f>BO140/BJ140-1</f>
        <v>-2.9069767441860517E-2</v>
      </c>
      <c r="BP141" s="103">
        <f t="shared" si="620"/>
        <v>-9.9999999999999978E-2</v>
      </c>
      <c r="BQ141" s="103">
        <f t="shared" si="620"/>
        <v>-4.5454545454545414E-2</v>
      </c>
      <c r="BR141" s="103">
        <f t="shared" si="620"/>
        <v>-0.17500000000000004</v>
      </c>
      <c r="BS141" s="103">
        <f t="shared" si="620"/>
        <v>-0.11627906976744184</v>
      </c>
      <c r="BT141" s="280">
        <f>BT140/BO140-1</f>
        <v>-0.10778443113772451</v>
      </c>
      <c r="BU141" s="103">
        <f t="shared" si="620"/>
        <v>-2.777777777777779E-2</v>
      </c>
      <c r="BV141" s="103">
        <f t="shared" si="620"/>
        <v>-9.5238095238095233E-2</v>
      </c>
      <c r="BW141" s="103">
        <f t="shared" si="620"/>
        <v>-3.0303030303030276E-2</v>
      </c>
      <c r="BX141" s="103">
        <f>BX140/BS140-1</f>
        <v>-0.23684210526315785</v>
      </c>
      <c r="BY141" s="280">
        <f>BY140/BT140-1</f>
        <v>-0.10067114093959728</v>
      </c>
      <c r="BZ141" s="103">
        <f>BZ140/BU140-1</f>
        <v>-0.11428571428571432</v>
      </c>
      <c r="CA141" s="103">
        <f>CA140/BV140-1</f>
        <v>-0.15789473684210531</v>
      </c>
      <c r="CB141" s="103">
        <f>CB140/BW140-1</f>
        <v>-9.375E-2</v>
      </c>
      <c r="CC141" s="103">
        <f t="shared" ref="CC141:CD141" si="621">CC140/BX140-1</f>
        <v>-6.8965517241379337E-2</v>
      </c>
      <c r="CD141" s="280">
        <f t="shared" si="621"/>
        <v>-0.11194029850746268</v>
      </c>
      <c r="CE141" s="103">
        <f>CE140/BZ140-1</f>
        <v>-0.16129032258064513</v>
      </c>
      <c r="CF141" s="103">
        <f>CF140/CA140-1</f>
        <v>-0.25</v>
      </c>
      <c r="CG141" s="103">
        <f>CG140/CB140-1</f>
        <v>-0.17241379310344829</v>
      </c>
      <c r="CH141" s="103">
        <f t="shared" ref="CH141" si="622">CH140/CC140-1</f>
        <v>-0.18518518518518523</v>
      </c>
      <c r="CI141" s="280">
        <f t="shared" ref="CI141:CS141" si="623">CI140/CD140-1</f>
        <v>-0.19327731092436973</v>
      </c>
      <c r="CJ141" s="103">
        <f>CJ140/CE140-1</f>
        <v>-0.19230769230769229</v>
      </c>
      <c r="CK141" s="103">
        <f>CK140/CF140-1</f>
        <v>-8.333333333333337E-2</v>
      </c>
      <c r="CL141" s="103">
        <f>CL140/CG140-1</f>
        <v>-0.29166666666666663</v>
      </c>
      <c r="CM141" s="103">
        <f t="shared" ref="CM141" si="624">CM140/CH140-1</f>
        <v>-0.13636363636363635</v>
      </c>
      <c r="CN141" s="280">
        <f t="shared" ref="CN141" si="625">CN140/CI140-1</f>
        <v>-0.17708333333333337</v>
      </c>
      <c r="CO141" s="103">
        <f t="shared" si="623"/>
        <v>0</v>
      </c>
      <c r="CP141" s="103">
        <f t="shared" si="623"/>
        <v>4.5454545454545414E-2</v>
      </c>
      <c r="CQ141" s="103">
        <f t="shared" si="623"/>
        <v>0.35294117647058831</v>
      </c>
      <c r="CR141" s="103">
        <f t="shared" si="623"/>
        <v>0.21052631578947367</v>
      </c>
      <c r="CS141" s="280">
        <f t="shared" si="623"/>
        <v>0.139240506329114</v>
      </c>
      <c r="CT141" s="103"/>
      <c r="CU141" s="103"/>
      <c r="CV141" s="103"/>
      <c r="CW141" s="103"/>
      <c r="CX141" s="280">
        <f>CX140/CS140-1</f>
        <v>-5.555555555555558E-2</v>
      </c>
      <c r="CY141" s="103"/>
      <c r="CZ141" s="103"/>
      <c r="DA141" s="103"/>
      <c r="DB141" s="103"/>
      <c r="DC141" s="280">
        <f>DC140/CX140-1</f>
        <v>-1.1764705882352899E-2</v>
      </c>
      <c r="DD141" s="370"/>
      <c r="DE141" s="468"/>
      <c r="DJ141" s="445"/>
      <c r="DK141" s="409"/>
      <c r="DL141" s="409"/>
      <c r="DM141" s="409"/>
      <c r="DN141" s="409"/>
      <c r="DO141" s="409"/>
      <c r="DP141" s="409"/>
      <c r="DQ141" s="409"/>
      <c r="DR141" s="506"/>
      <c r="DS141" s="522"/>
    </row>
    <row r="142" spans="1:143" s="7" customFormat="1" x14ac:dyDescent="0.2">
      <c r="A142" s="7" t="s">
        <v>130</v>
      </c>
      <c r="B142" s="260"/>
      <c r="G142" s="260"/>
      <c r="L142" s="260"/>
      <c r="Q142" s="260"/>
      <c r="V142" s="260"/>
      <c r="AA142" s="260"/>
      <c r="AF142" s="260"/>
      <c r="AK142" s="260"/>
      <c r="AP142" s="260"/>
      <c r="AU142" s="260"/>
      <c r="AZ142" s="260"/>
      <c r="BE142" s="260"/>
      <c r="BJ142" s="260"/>
      <c r="BO142" s="260"/>
      <c r="BT142" s="260"/>
      <c r="BY142" s="260"/>
      <c r="CD142" s="260"/>
      <c r="CI142" s="260"/>
      <c r="CN142" s="260"/>
      <c r="CS142" s="260"/>
      <c r="CX142" s="260"/>
      <c r="DC142" s="260"/>
      <c r="DD142" s="363"/>
      <c r="DE142" s="6"/>
      <c r="DF142" s="363"/>
      <c r="DG142" s="363"/>
      <c r="DH142" s="363"/>
      <c r="DI142" s="363"/>
      <c r="DJ142" s="435"/>
      <c r="DK142" s="393"/>
      <c r="DL142" s="393"/>
      <c r="DM142" s="393"/>
      <c r="DN142" s="393"/>
      <c r="DO142" s="393"/>
      <c r="DP142" s="393"/>
      <c r="DQ142" s="393"/>
      <c r="DR142" s="6"/>
      <c r="DS142" s="363"/>
      <c r="DT142"/>
      <c r="DU142"/>
      <c r="DV142"/>
      <c r="DW142"/>
      <c r="DX142"/>
      <c r="DY142"/>
    </row>
    <row r="143" spans="1:143" x14ac:dyDescent="0.2">
      <c r="A143" s="84" t="s">
        <v>318</v>
      </c>
      <c r="B143" s="273">
        <f>B140+B119</f>
        <v>-14.215999999999999</v>
      </c>
      <c r="C143" s="85"/>
      <c r="D143" s="85"/>
      <c r="E143" s="85"/>
      <c r="F143" s="85"/>
      <c r="G143" s="273">
        <f t="shared" ref="G143:AL143" si="626">G140+G119</f>
        <v>-21.568999999999974</v>
      </c>
      <c r="H143" s="85">
        <f t="shared" si="626"/>
        <v>6.7494049000000036</v>
      </c>
      <c r="I143" s="85">
        <f t="shared" si="626"/>
        <v>10.612972400000013</v>
      </c>
      <c r="J143" s="85">
        <f t="shared" si="626"/>
        <v>10.497902599999989</v>
      </c>
      <c r="K143" s="85">
        <f t="shared" si="626"/>
        <v>13.628503899999991</v>
      </c>
      <c r="L143" s="273">
        <f t="shared" si="626"/>
        <v>41.488783800000057</v>
      </c>
      <c r="M143" s="85">
        <f t="shared" si="626"/>
        <v>22.290733199999998</v>
      </c>
      <c r="N143" s="85">
        <f t="shared" si="626"/>
        <v>25.034422800000005</v>
      </c>
      <c r="O143" s="85">
        <f t="shared" si="626"/>
        <v>20.488851999999994</v>
      </c>
      <c r="P143" s="85">
        <f t="shared" si="626"/>
        <v>27.211978399999978</v>
      </c>
      <c r="Q143" s="273">
        <f t="shared" si="626"/>
        <v>95.02598640000005</v>
      </c>
      <c r="R143" s="85">
        <f t="shared" si="626"/>
        <v>30.051999999999975</v>
      </c>
      <c r="S143" s="85">
        <f t="shared" si="626"/>
        <v>46.089999999999989</v>
      </c>
      <c r="T143" s="85">
        <f t="shared" si="626"/>
        <v>49.416999999999959</v>
      </c>
      <c r="U143" s="85">
        <f t="shared" si="626"/>
        <v>30.519000000000027</v>
      </c>
      <c r="V143" s="273">
        <f t="shared" si="626"/>
        <v>156.07800000000006</v>
      </c>
      <c r="W143" s="85">
        <f t="shared" si="626"/>
        <v>25.763999999999932</v>
      </c>
      <c r="X143" s="85">
        <f t="shared" si="626"/>
        <v>36.514000000000024</v>
      </c>
      <c r="Y143" s="85">
        <f t="shared" si="626"/>
        <v>13.809999999999956</v>
      </c>
      <c r="Z143" s="85">
        <f t="shared" si="626"/>
        <v>-0.76600000000004087</v>
      </c>
      <c r="AA143" s="273">
        <f t="shared" si="626"/>
        <v>75.321999999999761</v>
      </c>
      <c r="AB143" s="85">
        <f t="shared" si="626"/>
        <v>11.806000000000035</v>
      </c>
      <c r="AC143" s="85">
        <f t="shared" si="626"/>
        <v>24.060000000000059</v>
      </c>
      <c r="AD143" s="85">
        <f t="shared" si="626"/>
        <v>-3.6969999999999956</v>
      </c>
      <c r="AE143" s="85">
        <f t="shared" si="626"/>
        <v>-42.146999999999927</v>
      </c>
      <c r="AF143" s="273">
        <f t="shared" si="626"/>
        <v>-9.977999999999895</v>
      </c>
      <c r="AG143" s="85">
        <f t="shared" si="626"/>
        <v>-46.600000000000023</v>
      </c>
      <c r="AH143" s="85">
        <f t="shared" si="626"/>
        <v>25</v>
      </c>
      <c r="AI143" s="85">
        <f t="shared" si="626"/>
        <v>-6</v>
      </c>
      <c r="AJ143" s="85">
        <f t="shared" si="626"/>
        <v>29</v>
      </c>
      <c r="AK143" s="273">
        <f t="shared" si="626"/>
        <v>1.4000000000000909</v>
      </c>
      <c r="AL143" s="85">
        <f t="shared" si="626"/>
        <v>-45</v>
      </c>
      <c r="AM143" s="85">
        <f t="shared" ref="AM143:BT143" si="627">AM140+AM119</f>
        <v>43</v>
      </c>
      <c r="AN143" s="85">
        <f t="shared" si="627"/>
        <v>46</v>
      </c>
      <c r="AO143" s="85">
        <f t="shared" si="627"/>
        <v>-3</v>
      </c>
      <c r="AP143" s="273">
        <f t="shared" si="627"/>
        <v>41</v>
      </c>
      <c r="AQ143" s="85">
        <f t="shared" si="627"/>
        <v>-12.799999999999955</v>
      </c>
      <c r="AR143" s="85">
        <f t="shared" si="627"/>
        <v>-10</v>
      </c>
      <c r="AS143" s="85">
        <f t="shared" si="627"/>
        <v>-4</v>
      </c>
      <c r="AT143" s="85">
        <f t="shared" si="627"/>
        <v>4</v>
      </c>
      <c r="AU143" s="273">
        <f t="shared" si="627"/>
        <v>-22.800000000000182</v>
      </c>
      <c r="AV143" s="85">
        <f t="shared" si="627"/>
        <v>30.4</v>
      </c>
      <c r="AW143" s="85">
        <f t="shared" si="627"/>
        <v>32.200000000000003</v>
      </c>
      <c r="AX143" s="85">
        <f t="shared" si="627"/>
        <v>21</v>
      </c>
      <c r="AY143" s="85">
        <f t="shared" si="627"/>
        <v>20</v>
      </c>
      <c r="AZ143" s="273">
        <f t="shared" si="627"/>
        <v>103.6</v>
      </c>
      <c r="BA143" s="85">
        <f t="shared" si="627"/>
        <v>-2</v>
      </c>
      <c r="BB143" s="85">
        <f t="shared" si="627"/>
        <v>51</v>
      </c>
      <c r="BC143" s="85">
        <f t="shared" si="627"/>
        <v>96.799999999999955</v>
      </c>
      <c r="BD143" s="85">
        <f t="shared" si="627"/>
        <v>15.100000000000023</v>
      </c>
      <c r="BE143" s="273">
        <f t="shared" si="627"/>
        <v>160.89999999999964</v>
      </c>
      <c r="BF143" s="85">
        <f t="shared" si="627"/>
        <v>6</v>
      </c>
      <c r="BG143" s="85">
        <f t="shared" si="627"/>
        <v>43</v>
      </c>
      <c r="BH143" s="85">
        <f t="shared" si="627"/>
        <v>61</v>
      </c>
      <c r="BI143" s="85">
        <f t="shared" si="627"/>
        <v>40</v>
      </c>
      <c r="BJ143" s="273">
        <f t="shared" si="627"/>
        <v>150</v>
      </c>
      <c r="BK143" s="85">
        <f t="shared" si="627"/>
        <v>49</v>
      </c>
      <c r="BL143" s="85">
        <f t="shared" si="627"/>
        <v>86</v>
      </c>
      <c r="BM143" s="85">
        <f t="shared" si="627"/>
        <v>73</v>
      </c>
      <c r="BN143" s="85">
        <f t="shared" si="627"/>
        <v>1</v>
      </c>
      <c r="BO143" s="273">
        <f t="shared" si="627"/>
        <v>209</v>
      </c>
      <c r="BP143" s="85">
        <f t="shared" si="627"/>
        <v>23</v>
      </c>
      <c r="BQ143" s="85">
        <f>BQ140+BQ119</f>
        <v>60</v>
      </c>
      <c r="BR143" s="85">
        <f>BR140+BR119</f>
        <v>119</v>
      </c>
      <c r="BS143" s="85">
        <f>BS140+BS119</f>
        <v>77</v>
      </c>
      <c r="BT143" s="273">
        <f t="shared" si="627"/>
        <v>279</v>
      </c>
      <c r="BU143" s="85">
        <f>BU140+BU119</f>
        <v>6</v>
      </c>
      <c r="BV143" s="85">
        <f>BV140+BV119</f>
        <v>103</v>
      </c>
      <c r="BW143" s="85">
        <f>BW140+BW119</f>
        <v>132</v>
      </c>
      <c r="BX143" s="85">
        <f t="shared" ref="BX143:CD143" si="628">BX140+BX119</f>
        <v>140</v>
      </c>
      <c r="BY143" s="273">
        <f t="shared" si="628"/>
        <v>381</v>
      </c>
      <c r="BZ143" s="85">
        <f t="shared" si="628"/>
        <v>222</v>
      </c>
      <c r="CA143" s="85">
        <f t="shared" si="628"/>
        <v>250</v>
      </c>
      <c r="CB143" s="85">
        <f t="shared" si="628"/>
        <v>322</v>
      </c>
      <c r="CC143" s="85">
        <f t="shared" si="628"/>
        <v>303</v>
      </c>
      <c r="CD143" s="273">
        <f t="shared" si="628"/>
        <v>1097</v>
      </c>
      <c r="CE143" s="85">
        <f>CE140+CE119</f>
        <v>323</v>
      </c>
      <c r="CF143" s="85">
        <f t="shared" ref="CF143:CI143" si="629">CF140+CF119</f>
        <v>289</v>
      </c>
      <c r="CG143" s="85">
        <f t="shared" si="629"/>
        <v>330</v>
      </c>
      <c r="CH143" s="85">
        <f t="shared" si="629"/>
        <v>274</v>
      </c>
      <c r="CI143" s="273">
        <f t="shared" si="629"/>
        <v>1216</v>
      </c>
      <c r="CJ143" s="85">
        <f>CJ140+CJ119</f>
        <v>126</v>
      </c>
      <c r="CK143" s="85">
        <f t="shared" ref="CK143:CN143" si="630">CK140+CK119</f>
        <v>332</v>
      </c>
      <c r="CL143" s="85">
        <f t="shared" si="630"/>
        <v>293</v>
      </c>
      <c r="CM143" s="85">
        <f t="shared" si="630"/>
        <v>170</v>
      </c>
      <c r="CN143" s="273">
        <f t="shared" si="630"/>
        <v>921</v>
      </c>
      <c r="CO143" s="85">
        <f t="shared" ref="CO143:CR143" si="631">CO140+CO119</f>
        <v>92.560501491701643</v>
      </c>
      <c r="CP143" s="85">
        <f t="shared" si="631"/>
        <v>169.69755602591795</v>
      </c>
      <c r="CQ143" s="85">
        <f t="shared" si="631"/>
        <v>282.16239243070368</v>
      </c>
      <c r="CR143" s="85">
        <f t="shared" si="631"/>
        <v>218.35400745762718</v>
      </c>
      <c r="CS143" s="273">
        <f>CS140+CS119</f>
        <v>762.77445740595067</v>
      </c>
      <c r="CT143" s="85"/>
      <c r="CU143" s="85"/>
      <c r="CV143" s="85"/>
      <c r="CW143" s="85"/>
      <c r="CX143" s="273">
        <f>CX140+CX119</f>
        <v>912.73115621455509</v>
      </c>
      <c r="CY143" s="85"/>
      <c r="CZ143" s="85"/>
      <c r="DA143" s="85"/>
      <c r="DB143" s="85"/>
      <c r="DC143" s="273">
        <f>DC140+DC119</f>
        <v>1116.8437063136498</v>
      </c>
      <c r="DD143" s="368"/>
      <c r="DE143" s="465"/>
      <c r="DJ143" s="447"/>
      <c r="DK143" s="405"/>
      <c r="DL143" s="405"/>
      <c r="DM143" s="405"/>
      <c r="DN143" s="405"/>
      <c r="DO143" s="405"/>
      <c r="DP143" s="405"/>
      <c r="DQ143" s="405"/>
      <c r="DR143" s="502"/>
      <c r="DS143" s="368"/>
    </row>
    <row r="144" spans="1:143" s="30" customFormat="1" x14ac:dyDescent="0.2">
      <c r="A144" s="208" t="s">
        <v>157</v>
      </c>
      <c r="B144" s="250"/>
      <c r="C144" s="26"/>
      <c r="D144" s="26"/>
      <c r="E144" s="26"/>
      <c r="F144" s="26"/>
      <c r="G144" s="250">
        <f>Model!G143/Model!G115</f>
        <v>-0.20616911047812014</v>
      </c>
      <c r="H144" s="27">
        <f>Model!H143/Model!H115</f>
        <v>0.10570720281910734</v>
      </c>
      <c r="I144" s="27">
        <f>Model!I143/Model!I115</f>
        <v>0.13537299931120705</v>
      </c>
      <c r="J144" s="27">
        <f>Model!J143/Model!J115</f>
        <v>0.12708094373426287</v>
      </c>
      <c r="K144" s="27">
        <f>Model!K143/Model!K115</f>
        <v>0.14262022959877763</v>
      </c>
      <c r="L144" s="250">
        <f>Model!L143/Model!L115</f>
        <v>0.12948492824907792</v>
      </c>
      <c r="M144" s="27">
        <f>Model!M143/Model!M115</f>
        <v>0.16713579017612787</v>
      </c>
      <c r="N144" s="27">
        <f>Model!N143/Model!N115</f>
        <v>0.16767528314903254</v>
      </c>
      <c r="O144" s="27">
        <f>Model!O143/Model!O115</f>
        <v>0.1239787487671017</v>
      </c>
      <c r="P144" s="27">
        <f>Model!P143/Model!P115</f>
        <v>0.14531810870563597</v>
      </c>
      <c r="Q144" s="250">
        <f>Model!Q143/Model!Q115</f>
        <v>0.14960222421287461</v>
      </c>
      <c r="R144" s="27">
        <f>Model!R143/Model!R115</f>
        <v>0.13840556348731164</v>
      </c>
      <c r="S144" s="27">
        <f>Model!S143/Model!S115</f>
        <v>0.18835231568322153</v>
      </c>
      <c r="T144" s="27">
        <f>Model!T143/Model!T115</f>
        <v>0.18063353510541846</v>
      </c>
      <c r="U144" s="27">
        <f>Model!U143/Model!U115</f>
        <v>0.11606653888280404</v>
      </c>
      <c r="V144" s="250">
        <f>Model!V143/Model!V115</f>
        <v>0.15633579773045758</v>
      </c>
      <c r="W144" s="27">
        <f>Model!W143/Model!W115</f>
        <v>8.9147863516987488E-2</v>
      </c>
      <c r="X144" s="27">
        <f>Model!X143/Model!X115</f>
        <v>0.11420689482606554</v>
      </c>
      <c r="Y144" s="27">
        <f>Model!Y143/Model!Y115</f>
        <v>4.2726977398944842E-2</v>
      </c>
      <c r="Z144" s="27">
        <f>Model!Z143/Model!Z115</f>
        <v>-2.3174480238159862E-3</v>
      </c>
      <c r="AA144" s="250">
        <f>Model!AA143/Model!AA115</f>
        <v>5.9662313302789906E-2</v>
      </c>
      <c r="AB144" s="27">
        <f>Model!AB143/Model!AB115</f>
        <v>3.1548118496507509E-2</v>
      </c>
      <c r="AC144" s="27">
        <f>Model!AC143/Model!AC115</f>
        <v>5.6083916083916219E-2</v>
      </c>
      <c r="AD144" s="27">
        <f>Model!AD143/Model!AD115</f>
        <v>-8.1626795314794064E-3</v>
      </c>
      <c r="AE144" s="27">
        <f>Model!AE143/Model!AE115</f>
        <v>-9.4501695097669744E-2</v>
      </c>
      <c r="AF144" s="250">
        <f>Model!AF143/Model!AF115</f>
        <v>-5.8620703836195108E-3</v>
      </c>
      <c r="AG144" s="27">
        <f>Model!AG143/Model!AG115</f>
        <v>-9.5024469820554694E-2</v>
      </c>
      <c r="AH144" s="27">
        <f>Model!AH143/Model!AH115</f>
        <v>4.084967320261438E-2</v>
      </c>
      <c r="AI144" s="27">
        <f>Model!AI143/Model!AI115</f>
        <v>-9.5541401273885346E-3</v>
      </c>
      <c r="AJ144" s="27">
        <f>Model!AJ143/Model!AJ115</f>
        <v>4.5813586097946286E-2</v>
      </c>
      <c r="AK144" s="250">
        <f>Model!AK143/Model!AK115</f>
        <v>5.9236692900063086E-4</v>
      </c>
      <c r="AL144" s="27">
        <f>Model!AL143/Model!AL115</f>
        <v>-7.4013157894736836E-2</v>
      </c>
      <c r="AM144" s="27">
        <f>Model!AM143/Model!AM115</f>
        <v>5.8904109589041097E-2</v>
      </c>
      <c r="AN144" s="27">
        <f>Model!AN143/Model!AN115</f>
        <v>6.0130718954248367E-2</v>
      </c>
      <c r="AO144" s="27">
        <f>Model!AO143/Model!AO115</f>
        <v>-4.0595399188092015E-3</v>
      </c>
      <c r="AP144" s="250">
        <f>Model!AP143/Model!AP115</f>
        <v>1.4426460239268121E-2</v>
      </c>
      <c r="AQ144" s="27">
        <f>Model!AQ143/Model!AQ115</f>
        <v>-1.5686274509803866E-2</v>
      </c>
      <c r="AR144" s="27">
        <f>Model!AR143/Model!AR115</f>
        <v>-1.1641443538998836E-2</v>
      </c>
      <c r="AS144" s="27">
        <f>Model!AS143/Model!AS115</f>
        <v>-4.434589800443459E-3</v>
      </c>
      <c r="AT144" s="27">
        <f>Model!AT143/Model!AT115</f>
        <v>4.9321824907521579E-3</v>
      </c>
      <c r="AU144" s="250">
        <f>Model!AU143/Model!AU115</f>
        <v>-6.729634002361329E-3</v>
      </c>
      <c r="AV144" s="27">
        <f>Model!AV143/Model!AV115</f>
        <v>3.8238993710691824E-2</v>
      </c>
      <c r="AW144" s="27">
        <f>Model!AW143/Model!AW115</f>
        <v>3.9802224969097653E-2</v>
      </c>
      <c r="AX144" s="27">
        <f>Model!AX143/Model!AX115</f>
        <v>2.456140350877193E-2</v>
      </c>
      <c r="AY144" s="27">
        <f>Model!AY143/Model!AY115</f>
        <v>2.403846153846154E-2</v>
      </c>
      <c r="AZ144" s="250">
        <f>Model!AZ143/Model!AZ115</f>
        <v>3.1479793375873595E-2</v>
      </c>
      <c r="BA144" s="27">
        <f>Model!BA143/Model!BA115</f>
        <v>-2.2988505747126436E-3</v>
      </c>
      <c r="BB144" s="27">
        <f>Model!BB143/Model!BB115</f>
        <v>5.4313099041533544E-2</v>
      </c>
      <c r="BC144" s="27">
        <f>Model!BC143/Model!BC115</f>
        <v>9.39805825242718E-2</v>
      </c>
      <c r="BD144" s="27">
        <f>Model!BD143/Model!BD115</f>
        <v>1.6063829787234068E-2</v>
      </c>
      <c r="BE144" s="250">
        <f>Model!BE143/Model!BE115</f>
        <v>4.2577401428949363E-2</v>
      </c>
      <c r="BF144" s="27">
        <f>Model!BF143/Model!BF115</f>
        <v>5.9288537549407111E-3</v>
      </c>
      <c r="BG144" s="27">
        <f>Model!BG143/Model!BG115</f>
        <v>3.7358818418766288E-2</v>
      </c>
      <c r="BH144" s="27">
        <f>Model!BH143/Model!BH115</f>
        <v>5.1046025104602509E-2</v>
      </c>
      <c r="BI144" s="27">
        <f>Model!BI143/Model!BI115</f>
        <v>3.4904013961605584E-2</v>
      </c>
      <c r="BJ144" s="250">
        <f>Model!BJ143/Model!BJ115</f>
        <v>3.330373001776199E-2</v>
      </c>
      <c r="BK144" s="27">
        <f>Model!BK143/Model!BK115</f>
        <v>4.0731504571903575E-2</v>
      </c>
      <c r="BL144" s="27">
        <f>Model!BL143/Model!BL115</f>
        <v>6.7345340642129992E-2</v>
      </c>
      <c r="BM144" s="27">
        <f>Model!BM143/Model!BM115</f>
        <v>5.581039755351682E-2</v>
      </c>
      <c r="BN144" s="27">
        <f>Model!BN143/Model!BN115</f>
        <v>8.375209380234506E-4</v>
      </c>
      <c r="BO144" s="250">
        <f>Model!BO143/Model!BO115</f>
        <v>4.1951023685266958E-2</v>
      </c>
      <c r="BP144" s="27">
        <f>Model!BP143/Model!BP115</f>
        <v>1.7705927636643571E-2</v>
      </c>
      <c r="BQ144" s="27">
        <f>Model!BQ143/Model!BQ115</f>
        <v>4.49438202247191E-2</v>
      </c>
      <c r="BR144" s="27">
        <f>Model!BR143/Model!BR115</f>
        <v>8.2524271844660199E-2</v>
      </c>
      <c r="BS144" s="27">
        <f>Model!BS143/Model!BS115</f>
        <v>5.6410256410256411E-2</v>
      </c>
      <c r="BT144" s="250">
        <f>Model!BT143/Model!BT115</f>
        <v>5.1277338724499175E-2</v>
      </c>
      <c r="BU144" s="27">
        <f>Model!BU143/Model!BU115</f>
        <v>4.447739065974796E-3</v>
      </c>
      <c r="BV144" s="27">
        <f>Model!BV143/Model!BV115</f>
        <v>6.8988613529805759E-2</v>
      </c>
      <c r="BW144" s="27">
        <f>Model!BW143/Model!BW115</f>
        <v>8.6330935251798566E-2</v>
      </c>
      <c r="BX144" s="27">
        <f>Model!BX143/Model!BX115</f>
        <v>9.6818810511756573E-2</v>
      </c>
      <c r="BY144" s="250">
        <f>Model!BY143/Model!BY115</f>
        <v>6.5497679216090773E-2</v>
      </c>
      <c r="BZ144" s="27">
        <f>Model!BZ143/Model!BZ115</f>
        <v>0.14576493762311227</v>
      </c>
      <c r="CA144" s="27">
        <f>Model!CA143/Model!CA115</f>
        <v>0.15508684863523572</v>
      </c>
      <c r="CB144" s="27">
        <f>Model!CB143/Model!CB115</f>
        <v>0.1908713692946058</v>
      </c>
      <c r="CC144" s="27">
        <f>Model!CC143/Model!CC115</f>
        <v>0.19008782936010038</v>
      </c>
      <c r="CD144" s="250">
        <f>Model!CD143/Model!CD115</f>
        <v>0.17097880299251869</v>
      </c>
      <c r="CE144" s="27">
        <f>Model!CE143/Model!CE115</f>
        <v>0.19987623762376239</v>
      </c>
      <c r="CF144" s="27">
        <f>Model!CF143/Model!CF115</f>
        <v>0.17589774802191113</v>
      </c>
      <c r="CG144" s="27">
        <f>Model!CG143/Model!CG115</f>
        <v>0.19053117782909931</v>
      </c>
      <c r="CH144" s="27">
        <f>Model!CH143/Model!CH115</f>
        <v>0.16697135892748324</v>
      </c>
      <c r="CI144" s="250">
        <f>Model!CI143/Model!CI115</f>
        <v>0.18335343787696018</v>
      </c>
      <c r="CJ144" s="27">
        <f>Model!CJ143/Model!CJ115</f>
        <v>7.8553615960099757E-2</v>
      </c>
      <c r="CK144" s="27">
        <f>Model!CK143/Model!CK115</f>
        <v>0.18023887079261672</v>
      </c>
      <c r="CL144" s="27">
        <f>Model!CL143/Model!CL115</f>
        <v>0.16161059018201876</v>
      </c>
      <c r="CM144" s="27">
        <f>Model!CM143/Model!CM115</f>
        <v>9.6810933940774488E-2</v>
      </c>
      <c r="CN144" s="250">
        <f>Model!CN143/Model!CN115</f>
        <v>0.13129009265858874</v>
      </c>
      <c r="CO144" s="27">
        <f>Model!CO143/Model!CO115</f>
        <v>5.2669119398030227E-2</v>
      </c>
      <c r="CP144" s="27">
        <f>Model!CP143/Model!CP115</f>
        <v>8.9119378637256289E-2</v>
      </c>
      <c r="CQ144" s="27">
        <f>Model!CQ143/Model!CQ115</f>
        <v>0.13856761433325027</v>
      </c>
      <c r="CR144" s="27">
        <f>Model!CR143/Model!CR115</f>
        <v>0.11332402855953254</v>
      </c>
      <c r="CS144" s="250">
        <f>Model!CS143/Model!CS115</f>
        <v>0.10004062930609099</v>
      </c>
      <c r="CT144" s="27"/>
      <c r="CU144" s="27"/>
      <c r="CV144" s="27"/>
      <c r="CW144" s="27"/>
      <c r="CX144" s="250">
        <f>Model!CX143/Model!CX115</f>
        <v>0.11070291136642078</v>
      </c>
      <c r="CY144" s="27"/>
      <c r="CZ144" s="27"/>
      <c r="DA144" s="27"/>
      <c r="DB144" s="27"/>
      <c r="DC144" s="250">
        <f>Model!DC143/Model!DC115</f>
        <v>0.1255706956068883</v>
      </c>
      <c r="DD144" s="25"/>
      <c r="DE144" s="178"/>
      <c r="DF144" s="379"/>
      <c r="DG144" s="379"/>
      <c r="DH144" s="379"/>
      <c r="DI144" s="379"/>
      <c r="DJ144" s="430"/>
      <c r="DK144" s="389"/>
      <c r="DL144" s="389"/>
      <c r="DM144" s="389"/>
      <c r="DN144" s="389"/>
      <c r="DO144" s="389"/>
      <c r="DP144" s="389"/>
      <c r="DQ144" s="389"/>
      <c r="DR144" s="487"/>
      <c r="DS144" s="517"/>
      <c r="DT144"/>
      <c r="DU144"/>
      <c r="DV144"/>
      <c r="DW144"/>
      <c r="DX144"/>
      <c r="DY144"/>
      <c r="DZ144" s="29"/>
      <c r="EA144" s="29"/>
    </row>
    <row r="145" spans="1:129" x14ac:dyDescent="0.2">
      <c r="A145" s="209" t="s">
        <v>158</v>
      </c>
      <c r="B145" s="249"/>
      <c r="C145" s="3"/>
      <c r="D145" s="3"/>
      <c r="E145" s="3"/>
      <c r="F145" s="3"/>
      <c r="G145" s="249">
        <f t="shared" ref="G145:AH145" si="632">G146/G143</f>
        <v>1.1080717696694343E-2</v>
      </c>
      <c r="H145" s="3">
        <f t="shared" si="632"/>
        <v>0</v>
      </c>
      <c r="I145" s="3">
        <f t="shared" si="632"/>
        <v>0</v>
      </c>
      <c r="J145" s="3">
        <f t="shared" si="632"/>
        <v>0</v>
      </c>
      <c r="K145" s="3">
        <f t="shared" si="632"/>
        <v>0.24786286336242691</v>
      </c>
      <c r="L145" s="249">
        <f t="shared" si="632"/>
        <v>8.1419595625745855E-2</v>
      </c>
      <c r="M145" s="3">
        <f t="shared" si="632"/>
        <v>0.41658566888234977</v>
      </c>
      <c r="N145" s="3">
        <f t="shared" si="632"/>
        <v>0.41734535217644397</v>
      </c>
      <c r="O145" s="3">
        <f t="shared" si="632"/>
        <v>0.40700000000000003</v>
      </c>
      <c r="P145" s="3">
        <f t="shared" si="632"/>
        <v>0.44278294738026136</v>
      </c>
      <c r="Q145" s="249">
        <f t="shared" si="632"/>
        <v>0.4222209553827897</v>
      </c>
      <c r="R145" s="3">
        <f t="shared" si="632"/>
        <v>0.42240117130307503</v>
      </c>
      <c r="S145" s="3">
        <f t="shared" si="632"/>
        <v>0.42</v>
      </c>
      <c r="T145" s="3">
        <f t="shared" si="632"/>
        <v>0.41228726956310613</v>
      </c>
      <c r="U145" s="3">
        <f t="shared" si="632"/>
        <v>0.35974311084897898</v>
      </c>
      <c r="V145" s="249">
        <f t="shared" si="632"/>
        <v>0.40623790668768162</v>
      </c>
      <c r="W145" s="3">
        <f t="shared" si="632"/>
        <v>0.41030119546654353</v>
      </c>
      <c r="X145" s="3">
        <f t="shared" si="632"/>
        <v>0.41233499479651609</v>
      </c>
      <c r="Y145" s="3">
        <f t="shared" si="632"/>
        <v>0.39007965242577963</v>
      </c>
      <c r="Z145" s="3">
        <f t="shared" si="632"/>
        <v>2.1657963446474042</v>
      </c>
      <c r="AA145" s="249">
        <f t="shared" si="632"/>
        <v>0.38972677305435455</v>
      </c>
      <c r="AB145" s="3">
        <f t="shared" si="632"/>
        <v>0.40987633406742219</v>
      </c>
      <c r="AC145" s="3">
        <f t="shared" si="632"/>
        <v>0.45719035743973285</v>
      </c>
      <c r="AD145" s="3">
        <f t="shared" si="632"/>
        <v>1.7265350284014074</v>
      </c>
      <c r="AE145" s="3">
        <f t="shared" si="632"/>
        <v>0.24075260398130213</v>
      </c>
      <c r="AF145" s="249">
        <f t="shared" si="632"/>
        <v>6.9252355181391695E-2</v>
      </c>
      <c r="AG145" s="3">
        <f t="shared" si="632"/>
        <v>0.32188841201716722</v>
      </c>
      <c r="AH145" s="3">
        <f t="shared" si="632"/>
        <v>0.44</v>
      </c>
      <c r="AI145" s="3">
        <v>0.2</v>
      </c>
      <c r="AJ145" s="3">
        <f>AJ146/AJ143</f>
        <v>0.44827586206896552</v>
      </c>
      <c r="AK145" s="249">
        <v>0</v>
      </c>
      <c r="AL145" s="3">
        <f t="shared" ref="AL145:AQ145" si="633">AL146/AL143</f>
        <v>0.51111111111111107</v>
      </c>
      <c r="AM145" s="3">
        <f t="shared" si="633"/>
        <v>0.51162790697674421</v>
      </c>
      <c r="AN145" s="3">
        <f t="shared" si="633"/>
        <v>0.5</v>
      </c>
      <c r="AO145" s="3">
        <f t="shared" si="633"/>
        <v>-0.33333333333333331</v>
      </c>
      <c r="AP145" s="249">
        <f t="shared" si="633"/>
        <v>0.56097560975609762</v>
      </c>
      <c r="AQ145" s="3">
        <f t="shared" si="633"/>
        <v>0.39062500000000139</v>
      </c>
      <c r="AR145" s="3">
        <f t="shared" ref="AR145:BD145" si="634">AR146/AR143</f>
        <v>0.3</v>
      </c>
      <c r="AS145" s="3">
        <f t="shared" si="634"/>
        <v>0</v>
      </c>
      <c r="AT145" s="3">
        <f t="shared" si="634"/>
        <v>2</v>
      </c>
      <c r="AU145" s="249">
        <f t="shared" si="634"/>
        <v>0</v>
      </c>
      <c r="AV145" s="3">
        <f t="shared" si="634"/>
        <v>0.25328947368421056</v>
      </c>
      <c r="AW145" s="3">
        <f t="shared" si="634"/>
        <v>0.48136645962732916</v>
      </c>
      <c r="AX145" s="3">
        <f t="shared" si="634"/>
        <v>0.37857142857142856</v>
      </c>
      <c r="AY145" s="3">
        <f t="shared" si="634"/>
        <v>0.45</v>
      </c>
      <c r="AZ145" s="249">
        <f>AZ146/AZ143</f>
        <v>0.38754826254826258</v>
      </c>
      <c r="BA145" s="3">
        <f t="shared" si="634"/>
        <v>0.25</v>
      </c>
      <c r="BB145" s="3">
        <f t="shared" si="634"/>
        <v>0.41176470588235292</v>
      </c>
      <c r="BC145" s="3">
        <f t="shared" si="634"/>
        <v>0.39256198347107457</v>
      </c>
      <c r="BD145" s="3">
        <f t="shared" si="634"/>
        <v>0.39735099337748286</v>
      </c>
      <c r="BE145" s="249">
        <f t="shared" ref="BE145:BJ145" si="635">BE146/BE143</f>
        <v>0.40087010565568765</v>
      </c>
      <c r="BF145" s="3">
        <f t="shared" si="635"/>
        <v>0.5</v>
      </c>
      <c r="BG145" s="3">
        <f t="shared" si="635"/>
        <v>0.41860465116279072</v>
      </c>
      <c r="BH145" s="3">
        <f t="shared" si="635"/>
        <v>0.38524590163934425</v>
      </c>
      <c r="BI145" s="3">
        <f t="shared" si="635"/>
        <v>0.42499999999999999</v>
      </c>
      <c r="BJ145" s="249">
        <f t="shared" si="635"/>
        <v>0.41</v>
      </c>
      <c r="BK145" s="3">
        <f t="shared" ref="BK145:BP145" si="636">BK146/BK143</f>
        <v>0.38775510204081631</v>
      </c>
      <c r="BL145" s="3">
        <f t="shared" si="636"/>
        <v>0.39534883720930231</v>
      </c>
      <c r="BM145" s="3">
        <f t="shared" si="636"/>
        <v>0.38356164383561642</v>
      </c>
      <c r="BN145" s="3">
        <f t="shared" si="636"/>
        <v>0</v>
      </c>
      <c r="BO145" s="249">
        <f t="shared" si="636"/>
        <v>0.38755980861244022</v>
      </c>
      <c r="BP145" s="3">
        <f t="shared" si="636"/>
        <v>0.39130434782608697</v>
      </c>
      <c r="BQ145" s="3">
        <f t="shared" ref="BQ145:BV145" si="637">BQ146/BQ143</f>
        <v>0.4</v>
      </c>
      <c r="BR145" s="3">
        <f t="shared" si="637"/>
        <v>0.40336134453781514</v>
      </c>
      <c r="BS145" s="3">
        <f t="shared" si="637"/>
        <v>0.38961038961038963</v>
      </c>
      <c r="BT145" s="249">
        <f t="shared" si="637"/>
        <v>0.39784946236559138</v>
      </c>
      <c r="BU145" s="3">
        <f t="shared" si="637"/>
        <v>0.33333333333333331</v>
      </c>
      <c r="BV145" s="3">
        <f t="shared" si="637"/>
        <v>0.40776699029126212</v>
      </c>
      <c r="BW145" s="3">
        <f t="shared" ref="BW145:CB145" si="638">BW146/BW143</f>
        <v>0.40151515151515149</v>
      </c>
      <c r="BX145" s="3">
        <f t="shared" si="638"/>
        <v>0.37857142857142856</v>
      </c>
      <c r="BY145" s="249">
        <f t="shared" si="638"/>
        <v>0.39370078740157483</v>
      </c>
      <c r="BZ145" s="3">
        <f t="shared" si="638"/>
        <v>0.38288288288288286</v>
      </c>
      <c r="CA145" s="3">
        <f t="shared" si="638"/>
        <v>0.39200000000000002</v>
      </c>
      <c r="CB145" s="3">
        <f t="shared" si="638"/>
        <v>0.38509316770186336</v>
      </c>
      <c r="CC145" s="3">
        <f>CC146/CC143</f>
        <v>0.37293729372937295</v>
      </c>
      <c r="CD145" s="249">
        <f>CD146/CD143</f>
        <v>0.38286235186873291</v>
      </c>
      <c r="CE145" s="3">
        <f>CE146/CE143</f>
        <v>0.38390092879256965</v>
      </c>
      <c r="CF145" s="3">
        <f t="shared" ref="CF145:CG145" si="639">CF146/CF143</f>
        <v>0.37716262975778547</v>
      </c>
      <c r="CG145" s="3">
        <f t="shared" si="639"/>
        <v>0.39696969696969697</v>
      </c>
      <c r="CH145" s="3">
        <f>CH146/CH143</f>
        <v>0.37226277372262773</v>
      </c>
      <c r="CI145" s="249">
        <f>CI146/CI143</f>
        <v>0.38322368421052633</v>
      </c>
      <c r="CJ145" s="3">
        <f>CJ146/CJ143</f>
        <v>0.32539682539682541</v>
      </c>
      <c r="CK145" s="3">
        <f t="shared" ref="CK145:CL145" si="640">CK146/CK143</f>
        <v>0.36445783132530118</v>
      </c>
      <c r="CL145" s="3">
        <f t="shared" si="640"/>
        <v>0.38907849829351537</v>
      </c>
      <c r="CM145" s="3">
        <f>CM146/CM143</f>
        <v>0.39312941176470584</v>
      </c>
      <c r="CN145" s="249">
        <f>CN146/CN143</f>
        <v>0.37223887079261669</v>
      </c>
      <c r="CO145" s="4">
        <v>0.25</v>
      </c>
      <c r="CP145" s="4">
        <v>0.25</v>
      </c>
      <c r="CQ145" s="4">
        <v>0.25</v>
      </c>
      <c r="CR145" s="4">
        <v>0.25</v>
      </c>
      <c r="CS145" s="249">
        <f>CS146/CS143</f>
        <v>0.24999999999999992</v>
      </c>
      <c r="CT145" s="3"/>
      <c r="CU145" s="3"/>
      <c r="CV145" s="4"/>
      <c r="CW145" s="4"/>
      <c r="CX145" s="419">
        <v>0.25</v>
      </c>
      <c r="CY145" s="3"/>
      <c r="CZ145" s="3"/>
      <c r="DA145" s="4"/>
      <c r="DB145" s="4"/>
      <c r="DC145" s="419">
        <v>0.25</v>
      </c>
      <c r="DD145" s="158"/>
      <c r="DE145" s="470"/>
      <c r="DJ145" s="446" t="s">
        <v>492</v>
      </c>
      <c r="DK145" s="410"/>
      <c r="DL145" s="410"/>
      <c r="DM145" s="410"/>
      <c r="DN145" s="410"/>
      <c r="DO145" s="410"/>
      <c r="DP145" s="410"/>
      <c r="DQ145" s="410"/>
      <c r="DR145" s="507"/>
      <c r="DS145" s="158"/>
    </row>
    <row r="146" spans="1:129" x14ac:dyDescent="0.2">
      <c r="A146" s="84" t="s">
        <v>159</v>
      </c>
      <c r="B146" s="852">
        <v>0.23300000000000001</v>
      </c>
      <c r="C146" s="85"/>
      <c r="D146" s="85"/>
      <c r="E146" s="85"/>
      <c r="F146" s="85"/>
      <c r="G146" s="852">
        <v>-0.23899999999999999</v>
      </c>
      <c r="H146" s="829">
        <v>0</v>
      </c>
      <c r="I146" s="829">
        <v>0</v>
      </c>
      <c r="J146" s="829">
        <v>0</v>
      </c>
      <c r="K146" s="829">
        <v>3.3780000000000001</v>
      </c>
      <c r="L146" s="273">
        <f>SUM(H146:K146)</f>
        <v>3.3780000000000001</v>
      </c>
      <c r="M146" s="829">
        <v>9.2859999999999996</v>
      </c>
      <c r="N146" s="829">
        <v>10.448</v>
      </c>
      <c r="O146" s="829">
        <f>O143*0.407</f>
        <v>8.3389627639999979</v>
      </c>
      <c r="P146" s="829">
        <v>12.048999999999999</v>
      </c>
      <c r="Q146" s="273">
        <f>SUM(M146:P146)</f>
        <v>40.121962764000003</v>
      </c>
      <c r="R146" s="829">
        <v>12.694000000000001</v>
      </c>
      <c r="S146" s="829">
        <f>S143*0.42</f>
        <v>19.357799999999994</v>
      </c>
      <c r="T146" s="829">
        <v>20.373999999999999</v>
      </c>
      <c r="U146" s="829">
        <v>10.978999999999999</v>
      </c>
      <c r="V146" s="273">
        <f>SUM(R146:U146)</f>
        <v>63.404799999999994</v>
      </c>
      <c r="W146" s="829">
        <v>10.571</v>
      </c>
      <c r="X146" s="829">
        <v>15.055999999999999</v>
      </c>
      <c r="Y146" s="829">
        <v>5.3869999999999996</v>
      </c>
      <c r="Z146" s="829">
        <v>-1.659</v>
      </c>
      <c r="AA146" s="273">
        <f>SUM(W146:Z146)</f>
        <v>29.355</v>
      </c>
      <c r="AB146" s="829">
        <v>4.8390000000000004</v>
      </c>
      <c r="AC146" s="829">
        <v>11</v>
      </c>
      <c r="AD146" s="829">
        <v>-6.3829999999999956</v>
      </c>
      <c r="AE146" s="829">
        <v>-10.146999999999924</v>
      </c>
      <c r="AF146" s="273">
        <f>SUM(AB146:AE146)</f>
        <v>-0.69099999999991901</v>
      </c>
      <c r="AG146" s="829">
        <v>-15</v>
      </c>
      <c r="AH146" s="829">
        <v>11</v>
      </c>
      <c r="AI146" s="829">
        <f>AI143*AI145</f>
        <v>-1.2000000000000002</v>
      </c>
      <c r="AJ146" s="829">
        <v>13</v>
      </c>
      <c r="AK146" s="273">
        <f>SUM(AG146:AJ146)</f>
        <v>7.8</v>
      </c>
      <c r="AL146" s="829">
        <v>-23</v>
      </c>
      <c r="AM146" s="829">
        <v>22</v>
      </c>
      <c r="AN146" s="829">
        <v>23</v>
      </c>
      <c r="AO146" s="829">
        <v>1</v>
      </c>
      <c r="AP146" s="273">
        <f>SUM(AL146:AO146)</f>
        <v>23</v>
      </c>
      <c r="AQ146" s="829">
        <v>-5</v>
      </c>
      <c r="AR146" s="829">
        <v>-3</v>
      </c>
      <c r="AS146" s="829">
        <v>0</v>
      </c>
      <c r="AT146" s="829">
        <v>8</v>
      </c>
      <c r="AU146" s="273">
        <f>SUM(AQ146:AT146)</f>
        <v>0</v>
      </c>
      <c r="AV146" s="829">
        <v>7.7</v>
      </c>
      <c r="AW146" s="829">
        <v>15.5</v>
      </c>
      <c r="AX146" s="829">
        <v>7.95</v>
      </c>
      <c r="AY146" s="829">
        <v>9</v>
      </c>
      <c r="AZ146" s="273">
        <f>SUM(AV146:AY146)</f>
        <v>40.15</v>
      </c>
      <c r="BA146" s="829">
        <f>-0.5</f>
        <v>-0.5</v>
      </c>
      <c r="BB146" s="829">
        <v>21</v>
      </c>
      <c r="BC146" s="829">
        <v>38</v>
      </c>
      <c r="BD146" s="829">
        <v>6</v>
      </c>
      <c r="BE146" s="273">
        <f>SUM(BA146:BD146)</f>
        <v>64.5</v>
      </c>
      <c r="BF146" s="829">
        <v>3</v>
      </c>
      <c r="BG146" s="829">
        <v>18</v>
      </c>
      <c r="BH146" s="829">
        <v>23.5</v>
      </c>
      <c r="BI146" s="829">
        <v>17</v>
      </c>
      <c r="BJ146" s="273">
        <f>SUM(BF146:BI146)</f>
        <v>61.5</v>
      </c>
      <c r="BK146" s="829">
        <v>19</v>
      </c>
      <c r="BL146" s="829">
        <v>34</v>
      </c>
      <c r="BM146" s="829">
        <v>28</v>
      </c>
      <c r="BN146" s="829">
        <v>0</v>
      </c>
      <c r="BO146" s="273">
        <f>SUM(BK146:BN146)</f>
        <v>81</v>
      </c>
      <c r="BP146" s="829">
        <v>9</v>
      </c>
      <c r="BQ146" s="829">
        <v>24</v>
      </c>
      <c r="BR146" s="829">
        <v>48</v>
      </c>
      <c r="BS146" s="829">
        <v>30</v>
      </c>
      <c r="BT146" s="273">
        <f>SUM(BP146:BS146)</f>
        <v>111</v>
      </c>
      <c r="BU146" s="829">
        <v>2</v>
      </c>
      <c r="BV146" s="829">
        <v>42</v>
      </c>
      <c r="BW146" s="829">
        <v>53</v>
      </c>
      <c r="BX146" s="829">
        <v>53</v>
      </c>
      <c r="BY146" s="273">
        <f>SUM(BU146:BX146)</f>
        <v>150</v>
      </c>
      <c r="BZ146" s="829">
        <v>85</v>
      </c>
      <c r="CA146" s="829">
        <v>98</v>
      </c>
      <c r="CB146" s="829">
        <v>124</v>
      </c>
      <c r="CC146" s="829">
        <v>113</v>
      </c>
      <c r="CD146" s="273">
        <f>SUM(BZ146:CC146)</f>
        <v>420</v>
      </c>
      <c r="CE146" s="829">
        <v>124</v>
      </c>
      <c r="CF146" s="829">
        <v>109</v>
      </c>
      <c r="CG146" s="829">
        <v>131</v>
      </c>
      <c r="CH146" s="829">
        <v>102</v>
      </c>
      <c r="CI146" s="273">
        <f>SUM(CE146:CH146)</f>
        <v>466</v>
      </c>
      <c r="CJ146" s="829">
        <v>41</v>
      </c>
      <c r="CK146" s="829">
        <v>121</v>
      </c>
      <c r="CL146" s="829">
        <v>114</v>
      </c>
      <c r="CM146" s="829">
        <v>66.831999999999994</v>
      </c>
      <c r="CN146" s="273">
        <f>SUM(CJ146:CM146)</f>
        <v>342.83199999999999</v>
      </c>
      <c r="CO146" s="85">
        <f t="shared" ref="CO146" si="641">CO143*CO145</f>
        <v>23.140125372925411</v>
      </c>
      <c r="CP146" s="85">
        <f t="shared" ref="CP146:CR146" si="642">CP143*CP145</f>
        <v>42.424389006479487</v>
      </c>
      <c r="CQ146" s="85">
        <f t="shared" si="642"/>
        <v>70.540598107675919</v>
      </c>
      <c r="CR146" s="85">
        <f t="shared" si="642"/>
        <v>54.588501864406794</v>
      </c>
      <c r="CS146" s="273">
        <f>SUM(CO146:CR146)</f>
        <v>190.69361435148761</v>
      </c>
      <c r="CT146" s="85"/>
      <c r="CU146" s="85"/>
      <c r="CV146" s="85"/>
      <c r="CW146" s="85"/>
      <c r="CX146" s="273">
        <f>CX143*CX145</f>
        <v>228.18278905363877</v>
      </c>
      <c r="CY146" s="85"/>
      <c r="CZ146" s="85"/>
      <c r="DA146" s="85"/>
      <c r="DB146" s="85"/>
      <c r="DC146" s="273">
        <f>DC143*DC145</f>
        <v>279.21092657841245</v>
      </c>
      <c r="DD146" s="368"/>
      <c r="DE146" s="465"/>
      <c r="DJ146" s="447"/>
      <c r="DK146" s="405"/>
      <c r="DL146" s="405"/>
      <c r="DM146" s="405"/>
      <c r="DN146" s="405"/>
      <c r="DO146" s="405"/>
      <c r="DP146" s="405"/>
      <c r="DQ146" s="405"/>
      <c r="DR146" s="502"/>
      <c r="DS146" s="368"/>
    </row>
    <row r="147" spans="1:129" x14ac:dyDescent="0.2">
      <c r="A147" s="108" t="s">
        <v>334</v>
      </c>
      <c r="B147" s="282">
        <f>B143-B146</f>
        <v>-14.449</v>
      </c>
      <c r="C147" s="109"/>
      <c r="D147" s="109"/>
      <c r="E147" s="109"/>
      <c r="F147" s="109"/>
      <c r="G147" s="282">
        <f t="shared" ref="G147:BV147" si="643">G143-G146</f>
        <v>-21.329999999999973</v>
      </c>
      <c r="H147" s="109">
        <f t="shared" si="643"/>
        <v>6.7494049000000036</v>
      </c>
      <c r="I147" s="109">
        <f t="shared" si="643"/>
        <v>10.612972400000013</v>
      </c>
      <c r="J147" s="109">
        <f t="shared" si="643"/>
        <v>10.497902599999989</v>
      </c>
      <c r="K147" s="109">
        <f t="shared" si="643"/>
        <v>10.250503899999991</v>
      </c>
      <c r="L147" s="282">
        <f t="shared" si="643"/>
        <v>38.110783800000057</v>
      </c>
      <c r="M147" s="109">
        <f t="shared" si="643"/>
        <v>13.004733199999999</v>
      </c>
      <c r="N147" s="109">
        <f t="shared" si="643"/>
        <v>14.586422800000005</v>
      </c>
      <c r="O147" s="109">
        <f t="shared" si="643"/>
        <v>12.149889235999996</v>
      </c>
      <c r="P147" s="109">
        <f t="shared" si="643"/>
        <v>15.162978399999979</v>
      </c>
      <c r="Q147" s="282">
        <f t="shared" si="643"/>
        <v>54.904023636000048</v>
      </c>
      <c r="R147" s="109">
        <f t="shared" si="643"/>
        <v>17.357999999999976</v>
      </c>
      <c r="S147" s="109">
        <f t="shared" si="643"/>
        <v>26.732199999999995</v>
      </c>
      <c r="T147" s="109">
        <f t="shared" si="643"/>
        <v>29.04299999999996</v>
      </c>
      <c r="U147" s="109">
        <f t="shared" si="643"/>
        <v>19.540000000000028</v>
      </c>
      <c r="V147" s="282">
        <f t="shared" si="643"/>
        <v>92.673200000000065</v>
      </c>
      <c r="W147" s="109">
        <f t="shared" si="643"/>
        <v>15.192999999999932</v>
      </c>
      <c r="X147" s="109">
        <f t="shared" si="643"/>
        <v>21.458000000000027</v>
      </c>
      <c r="Y147" s="109">
        <f t="shared" si="643"/>
        <v>8.4229999999999556</v>
      </c>
      <c r="Z147" s="109">
        <f t="shared" si="643"/>
        <v>0.89299999999995916</v>
      </c>
      <c r="AA147" s="282">
        <f t="shared" si="643"/>
        <v>45.966999999999757</v>
      </c>
      <c r="AB147" s="109">
        <f t="shared" si="643"/>
        <v>6.9670000000000343</v>
      </c>
      <c r="AC147" s="109">
        <f t="shared" si="643"/>
        <v>13.060000000000059</v>
      </c>
      <c r="AD147" s="109">
        <f t="shared" si="643"/>
        <v>2.6859999999999999</v>
      </c>
      <c r="AE147" s="109">
        <f t="shared" si="643"/>
        <v>-32</v>
      </c>
      <c r="AF147" s="282">
        <f t="shared" si="643"/>
        <v>-9.2869999999999759</v>
      </c>
      <c r="AG147" s="109">
        <f t="shared" si="643"/>
        <v>-31.600000000000023</v>
      </c>
      <c r="AH147" s="109">
        <f t="shared" si="643"/>
        <v>14</v>
      </c>
      <c r="AI147" s="109">
        <f t="shared" si="643"/>
        <v>-4.8</v>
      </c>
      <c r="AJ147" s="109">
        <f t="shared" si="643"/>
        <v>16</v>
      </c>
      <c r="AK147" s="282">
        <f t="shared" si="643"/>
        <v>-6.3999999999999089</v>
      </c>
      <c r="AL147" s="109">
        <f t="shared" si="643"/>
        <v>-22</v>
      </c>
      <c r="AM147" s="109">
        <f t="shared" si="643"/>
        <v>21</v>
      </c>
      <c r="AN147" s="109">
        <f t="shared" si="643"/>
        <v>23</v>
      </c>
      <c r="AO147" s="109">
        <f t="shared" si="643"/>
        <v>-4</v>
      </c>
      <c r="AP147" s="282">
        <f t="shared" si="643"/>
        <v>18</v>
      </c>
      <c r="AQ147" s="109">
        <f t="shared" si="643"/>
        <v>-7.7999999999999545</v>
      </c>
      <c r="AR147" s="109">
        <f t="shared" si="643"/>
        <v>-7</v>
      </c>
      <c r="AS147" s="109">
        <f t="shared" si="643"/>
        <v>-4</v>
      </c>
      <c r="AT147" s="109">
        <f t="shared" si="643"/>
        <v>-4</v>
      </c>
      <c r="AU147" s="282">
        <f t="shared" si="643"/>
        <v>-22.800000000000182</v>
      </c>
      <c r="AV147" s="109">
        <f t="shared" si="643"/>
        <v>22.7</v>
      </c>
      <c r="AW147" s="109">
        <f t="shared" si="643"/>
        <v>16.700000000000003</v>
      </c>
      <c r="AX147" s="109">
        <f t="shared" si="643"/>
        <v>13.05</v>
      </c>
      <c r="AY147" s="109">
        <f t="shared" si="643"/>
        <v>11</v>
      </c>
      <c r="AZ147" s="282">
        <f t="shared" si="643"/>
        <v>63.449999999999996</v>
      </c>
      <c r="BA147" s="109">
        <f>BA143-BA146</f>
        <v>-1.5</v>
      </c>
      <c r="BB147" s="109">
        <f>BB143-BB146</f>
        <v>30</v>
      </c>
      <c r="BC147" s="109">
        <f>BC143-BC146</f>
        <v>58.799999999999955</v>
      </c>
      <c r="BD147" s="109">
        <f>BD143-BD146</f>
        <v>9.1000000000000227</v>
      </c>
      <c r="BE147" s="282">
        <f t="shared" si="643"/>
        <v>96.399999999999636</v>
      </c>
      <c r="BF147" s="109">
        <f>BF143-BF146</f>
        <v>3</v>
      </c>
      <c r="BG147" s="109">
        <f>BG143-BG146</f>
        <v>25</v>
      </c>
      <c r="BH147" s="109">
        <f>BH143-BH146</f>
        <v>37.5</v>
      </c>
      <c r="BI147" s="109">
        <f>BI143-BI146</f>
        <v>23</v>
      </c>
      <c r="BJ147" s="282">
        <f t="shared" si="643"/>
        <v>88.5</v>
      </c>
      <c r="BK147" s="109">
        <f>BK143-BK146</f>
        <v>30</v>
      </c>
      <c r="BL147" s="109">
        <f>BL143-BL146</f>
        <v>52</v>
      </c>
      <c r="BM147" s="109">
        <f>BM143-BM146</f>
        <v>45</v>
      </c>
      <c r="BN147" s="109">
        <f>BN143-BN146</f>
        <v>1</v>
      </c>
      <c r="BO147" s="282">
        <f t="shared" si="643"/>
        <v>128</v>
      </c>
      <c r="BP147" s="109">
        <f t="shared" si="643"/>
        <v>14</v>
      </c>
      <c r="BQ147" s="109">
        <f t="shared" si="643"/>
        <v>36</v>
      </c>
      <c r="BR147" s="109">
        <f t="shared" si="643"/>
        <v>71</v>
      </c>
      <c r="BS147" s="109">
        <f>BS143-BS146</f>
        <v>47</v>
      </c>
      <c r="BT147" s="282">
        <f t="shared" si="643"/>
        <v>168</v>
      </c>
      <c r="BU147" s="109">
        <f t="shared" si="643"/>
        <v>4</v>
      </c>
      <c r="BV147" s="109">
        <f t="shared" si="643"/>
        <v>61</v>
      </c>
      <c r="BW147" s="109">
        <f t="shared" ref="BW147:CB147" si="644">BW143-BW146</f>
        <v>79</v>
      </c>
      <c r="BX147" s="109">
        <f t="shared" si="644"/>
        <v>87</v>
      </c>
      <c r="BY147" s="282">
        <f t="shared" si="644"/>
        <v>231</v>
      </c>
      <c r="BZ147" s="109">
        <f t="shared" si="644"/>
        <v>137</v>
      </c>
      <c r="CA147" s="109">
        <f t="shared" si="644"/>
        <v>152</v>
      </c>
      <c r="CB147" s="109">
        <f t="shared" si="644"/>
        <v>198</v>
      </c>
      <c r="CC147" s="109">
        <f>CC143-CC146</f>
        <v>190</v>
      </c>
      <c r="CD147" s="282">
        <f>CD143-CD146</f>
        <v>677</v>
      </c>
      <c r="CE147" s="109">
        <f>CE143-CE146</f>
        <v>199</v>
      </c>
      <c r="CF147" s="109">
        <f t="shared" ref="CF147:CG147" si="645">CF143-CF146</f>
        <v>180</v>
      </c>
      <c r="CG147" s="109">
        <f t="shared" si="645"/>
        <v>199</v>
      </c>
      <c r="CH147" s="109">
        <f>CH143-CH146</f>
        <v>172</v>
      </c>
      <c r="CI147" s="282">
        <f>CI143-CI146</f>
        <v>750</v>
      </c>
      <c r="CJ147" s="109">
        <f>CJ143-CJ146</f>
        <v>85</v>
      </c>
      <c r="CK147" s="109">
        <f t="shared" ref="CK147:CL147" si="646">CK143-CK146</f>
        <v>211</v>
      </c>
      <c r="CL147" s="109">
        <f t="shared" si="646"/>
        <v>179</v>
      </c>
      <c r="CM147" s="109">
        <f>CM143-CM146</f>
        <v>103.16800000000001</v>
      </c>
      <c r="CN147" s="282">
        <f>CN143-CN146</f>
        <v>578.16800000000001</v>
      </c>
      <c r="CO147" s="109">
        <f t="shared" ref="CO147" si="647">CO143-CO146</f>
        <v>69.420376118776232</v>
      </c>
      <c r="CP147" s="109">
        <f t="shared" ref="CP147:CR147" si="648">CP143-CP146</f>
        <v>127.27316701943846</v>
      </c>
      <c r="CQ147" s="109">
        <f t="shared" si="648"/>
        <v>211.62179432302776</v>
      </c>
      <c r="CR147" s="109">
        <f t="shared" si="648"/>
        <v>163.76550559322038</v>
      </c>
      <c r="CS147" s="282">
        <f>CS143-CS146</f>
        <v>572.080843054463</v>
      </c>
      <c r="CT147" s="109"/>
      <c r="CU147" s="109"/>
      <c r="CV147" s="109"/>
      <c r="CW147" s="109"/>
      <c r="CX147" s="282">
        <f>CX143-CX146</f>
        <v>684.54836716091631</v>
      </c>
      <c r="CY147" s="109"/>
      <c r="CZ147" s="109"/>
      <c r="DA147" s="109"/>
      <c r="DB147" s="109"/>
      <c r="DC147" s="282">
        <f>DC143-DC146</f>
        <v>837.63277973523736</v>
      </c>
      <c r="DD147" s="368"/>
      <c r="DE147" s="465"/>
      <c r="DJ147" s="447"/>
      <c r="DK147" s="405"/>
      <c r="DL147" s="405"/>
      <c r="DM147" s="405"/>
      <c r="DN147" s="405"/>
      <c r="DO147" s="405"/>
      <c r="DP147" s="405"/>
      <c r="DQ147" s="405"/>
      <c r="DR147" s="502"/>
      <c r="DS147" s="523"/>
    </row>
    <row r="148" spans="1:129" x14ac:dyDescent="0.2">
      <c r="A148" s="11" t="s">
        <v>131</v>
      </c>
      <c r="B148" s="249"/>
      <c r="C148" s="20"/>
      <c r="D148" s="20"/>
      <c r="E148" s="20"/>
      <c r="F148" s="20"/>
      <c r="G148" s="249">
        <f>G147/B147-1</f>
        <v>0.47622672849331948</v>
      </c>
      <c r="H148" s="3"/>
      <c r="I148" s="3"/>
      <c r="J148" s="3"/>
      <c r="K148" s="3"/>
      <c r="L148" s="249">
        <f t="shared" ref="L148:AZ148" si="649">L147/G147-1</f>
        <v>-2.7867221659634369</v>
      </c>
      <c r="M148" s="3">
        <f t="shared" si="649"/>
        <v>0.92679701287442273</v>
      </c>
      <c r="N148" s="3">
        <f t="shared" si="649"/>
        <v>0.37439562172045093</v>
      </c>
      <c r="O148" s="3">
        <f t="shared" si="649"/>
        <v>0.15736349430409158</v>
      </c>
      <c r="P148" s="3">
        <f t="shared" si="649"/>
        <v>0.47924224486173728</v>
      </c>
      <c r="Q148" s="249">
        <f t="shared" si="649"/>
        <v>0.4406427305229017</v>
      </c>
      <c r="R148" s="3">
        <f t="shared" si="649"/>
        <v>0.33474479891674958</v>
      </c>
      <c r="S148" s="3">
        <f t="shared" si="649"/>
        <v>0.83267689182847393</v>
      </c>
      <c r="T148" s="3">
        <f t="shared" si="649"/>
        <v>1.3903921620903219</v>
      </c>
      <c r="U148" s="3">
        <f t="shared" si="649"/>
        <v>0.28866502902886504</v>
      </c>
      <c r="V148" s="249">
        <f t="shared" si="649"/>
        <v>0.68791272228790046</v>
      </c>
      <c r="W148" s="3">
        <f t="shared" si="649"/>
        <v>-0.12472635096209506</v>
      </c>
      <c r="X148" s="3">
        <f t="shared" si="649"/>
        <v>-0.19729764104712555</v>
      </c>
      <c r="Y148" s="3">
        <f t="shared" si="649"/>
        <v>-0.70998175119650286</v>
      </c>
      <c r="Z148" s="3">
        <f t="shared" si="649"/>
        <v>-0.95429887410440339</v>
      </c>
      <c r="AA148" s="249">
        <f t="shared" si="649"/>
        <v>-0.50398820802562416</v>
      </c>
      <c r="AB148" s="3">
        <f t="shared" si="649"/>
        <v>-0.54143355492660661</v>
      </c>
      <c r="AC148" s="3">
        <f t="shared" si="649"/>
        <v>-0.39136918631745532</v>
      </c>
      <c r="AD148" s="3">
        <f t="shared" si="649"/>
        <v>-0.68111124302504877</v>
      </c>
      <c r="AE148" s="3">
        <f t="shared" si="649"/>
        <v>-36.834266517358863</v>
      </c>
      <c r="AF148" s="249">
        <f t="shared" si="649"/>
        <v>-1.2020362433919991</v>
      </c>
      <c r="AG148" s="3">
        <f t="shared" si="649"/>
        <v>-5.5356681498492701</v>
      </c>
      <c r="AH148" s="3">
        <f t="shared" si="649"/>
        <v>7.1975497702904789E-2</v>
      </c>
      <c r="AI148" s="3">
        <f t="shared" si="649"/>
        <v>-2.7870439314966493</v>
      </c>
      <c r="AJ148" s="3">
        <f t="shared" si="649"/>
        <v>-1.5</v>
      </c>
      <c r="AK148" s="249">
        <f t="shared" si="649"/>
        <v>-0.31086464951007586</v>
      </c>
      <c r="AL148" s="3">
        <f t="shared" si="649"/>
        <v>-0.30379746835443089</v>
      </c>
      <c r="AM148" s="3">
        <f t="shared" si="649"/>
        <v>0.5</v>
      </c>
      <c r="AN148" s="3">
        <f t="shared" si="649"/>
        <v>-5.791666666666667</v>
      </c>
      <c r="AO148" s="3">
        <f t="shared" si="649"/>
        <v>-1.25</v>
      </c>
      <c r="AP148" s="249">
        <f t="shared" si="649"/>
        <v>-3.81250000000004</v>
      </c>
      <c r="AQ148" s="3">
        <f t="shared" si="649"/>
        <v>-0.6454545454545475</v>
      </c>
      <c r="AR148" s="3">
        <f t="shared" si="649"/>
        <v>-1.3333333333333333</v>
      </c>
      <c r="AS148" s="3">
        <f t="shared" si="649"/>
        <v>-1.1739130434782608</v>
      </c>
      <c r="AT148" s="3">
        <f t="shared" si="649"/>
        <v>0</v>
      </c>
      <c r="AU148" s="249">
        <f t="shared" si="649"/>
        <v>-2.2666666666666768</v>
      </c>
      <c r="AV148" s="3">
        <f t="shared" si="649"/>
        <v>-3.910256410256427</v>
      </c>
      <c r="AW148" s="3">
        <f t="shared" si="649"/>
        <v>-3.3857142857142861</v>
      </c>
      <c r="AX148" s="3">
        <f t="shared" si="649"/>
        <v>-4.2625000000000002</v>
      </c>
      <c r="AY148" s="3">
        <f t="shared" si="649"/>
        <v>-3.75</v>
      </c>
      <c r="AZ148" s="249">
        <f t="shared" si="649"/>
        <v>-3.7828947368420827</v>
      </c>
      <c r="BA148" s="3">
        <f t="shared" ref="BA148:BL148" si="650">BA147/AV147-1</f>
        <v>-1.0660792951541851</v>
      </c>
      <c r="BB148" s="3">
        <f t="shared" si="650"/>
        <v>0.79640718562874224</v>
      </c>
      <c r="BC148" s="3">
        <f t="shared" si="650"/>
        <v>3.5057471264367779</v>
      </c>
      <c r="BD148" s="3">
        <f t="shared" si="650"/>
        <v>-0.17272727272727062</v>
      </c>
      <c r="BE148" s="249">
        <f t="shared" si="650"/>
        <v>0.51930654058313075</v>
      </c>
      <c r="BF148" s="3">
        <f>BF147/BA147-1</f>
        <v>-3</v>
      </c>
      <c r="BG148" s="3">
        <f t="shared" si="650"/>
        <v>-0.16666666666666663</v>
      </c>
      <c r="BH148" s="3">
        <f t="shared" si="650"/>
        <v>-0.36224489795918313</v>
      </c>
      <c r="BI148" s="3">
        <f t="shared" si="650"/>
        <v>1.5274725274725212</v>
      </c>
      <c r="BJ148" s="249">
        <f t="shared" si="650"/>
        <v>-8.1950207468876157E-2</v>
      </c>
      <c r="BK148" s="3">
        <f>BK147/BF147-1</f>
        <v>9</v>
      </c>
      <c r="BL148" s="3">
        <f t="shared" si="650"/>
        <v>1.08</v>
      </c>
      <c r="BM148" s="3">
        <f t="shared" ref="BM148:BW148" si="651">BM147/BH147-1</f>
        <v>0.19999999999999996</v>
      </c>
      <c r="BN148" s="3">
        <f t="shared" si="651"/>
        <v>-0.95652173913043481</v>
      </c>
      <c r="BO148" s="249">
        <f t="shared" si="651"/>
        <v>0.4463276836158192</v>
      </c>
      <c r="BP148" s="3">
        <f t="shared" si="651"/>
        <v>-0.53333333333333333</v>
      </c>
      <c r="BQ148" s="3">
        <f t="shared" si="651"/>
        <v>-0.30769230769230771</v>
      </c>
      <c r="BR148" s="3">
        <f t="shared" si="651"/>
        <v>0.57777777777777772</v>
      </c>
      <c r="BS148" s="3">
        <f t="shared" si="651"/>
        <v>46</v>
      </c>
      <c r="BT148" s="249">
        <f t="shared" si="651"/>
        <v>0.3125</v>
      </c>
      <c r="BU148" s="3">
        <f t="shared" si="651"/>
        <v>-0.7142857142857143</v>
      </c>
      <c r="BV148" s="3">
        <f t="shared" si="651"/>
        <v>0.69444444444444442</v>
      </c>
      <c r="BW148" s="3">
        <f t="shared" si="651"/>
        <v>0.11267605633802824</v>
      </c>
      <c r="BX148" s="3">
        <f>BX147/BS147-1</f>
        <v>0.85106382978723394</v>
      </c>
      <c r="BY148" s="249">
        <f>BY147/BT147-1</f>
        <v>0.375</v>
      </c>
      <c r="BZ148" s="3">
        <f>BZ147/BU147-1</f>
        <v>33.25</v>
      </c>
      <c r="CA148" s="3">
        <f>CA147/BV147-1</f>
        <v>1.4918032786885247</v>
      </c>
      <c r="CB148" s="3">
        <f>CB147/BW147-1</f>
        <v>1.5063291139240507</v>
      </c>
      <c r="CC148" s="3">
        <f t="shared" ref="CC148:CD148" si="652">CC147/BX147-1</f>
        <v>1.1839080459770117</v>
      </c>
      <c r="CD148" s="249">
        <f t="shared" si="652"/>
        <v>1.9307359307359309</v>
      </c>
      <c r="CE148" s="3">
        <f>CE147/BZ147-1</f>
        <v>0.45255474452554734</v>
      </c>
      <c r="CF148" s="3">
        <f>CF147/CA147-1</f>
        <v>0.18421052631578938</v>
      </c>
      <c r="CG148" s="3">
        <f>CG147/CB147-1</f>
        <v>5.050505050504972E-3</v>
      </c>
      <c r="CH148" s="3">
        <f t="shared" ref="CH148" si="653">CH147/CC147-1</f>
        <v>-9.4736842105263119E-2</v>
      </c>
      <c r="CI148" s="249">
        <f t="shared" ref="CI148:CR148" si="654">CI147/CD147-1</f>
        <v>0.10782865583456425</v>
      </c>
      <c r="CJ148" s="3">
        <f>CJ147/CE147-1</f>
        <v>-0.57286432160804024</v>
      </c>
      <c r="CK148" s="3">
        <f>CK147/CF147-1</f>
        <v>0.17222222222222228</v>
      </c>
      <c r="CL148" s="3">
        <f>CL147/CG147-1</f>
        <v>-0.10050251256281406</v>
      </c>
      <c r="CM148" s="3">
        <f t="shared" ref="CM148" si="655">CM147/CH147-1</f>
        <v>-0.40018604651162792</v>
      </c>
      <c r="CN148" s="249">
        <f t="shared" ref="CN148" si="656">CN147/CI147-1</f>
        <v>-0.22910933333333328</v>
      </c>
      <c r="CO148" s="3">
        <f t="shared" si="654"/>
        <v>-0.18328969272027962</v>
      </c>
      <c r="CP148" s="3">
        <f t="shared" si="654"/>
        <v>-0.3968096349789646</v>
      </c>
      <c r="CQ148" s="3">
        <f t="shared" si="654"/>
        <v>0.18224466102250148</v>
      </c>
      <c r="CR148" s="3">
        <f t="shared" si="654"/>
        <v>0.58736726110053872</v>
      </c>
      <c r="CS148" s="249">
        <f>CS147/CN147-1</f>
        <v>-1.0528353256384015E-2</v>
      </c>
      <c r="CT148" s="3"/>
      <c r="CU148" s="3"/>
      <c r="CV148" s="3"/>
      <c r="CW148" s="3"/>
      <c r="CX148" s="249">
        <f>CX147/CS147-1</f>
        <v>0.19659376025591935</v>
      </c>
      <c r="CY148" s="3"/>
      <c r="CZ148" s="3"/>
      <c r="DA148" s="3"/>
      <c r="DB148" s="3"/>
      <c r="DC148" s="249">
        <f>DC147/CX147-1</f>
        <v>0.22362833645958524</v>
      </c>
      <c r="DD148" s="25"/>
      <c r="DE148" s="178"/>
      <c r="DJ148" s="430"/>
      <c r="DK148" s="389"/>
      <c r="DL148" s="389"/>
      <c r="DM148" s="389"/>
      <c r="DN148" s="389"/>
      <c r="DO148" s="389"/>
      <c r="DP148" s="389"/>
      <c r="DQ148" s="389"/>
      <c r="DR148" s="487"/>
      <c r="DS148" s="25"/>
    </row>
    <row r="149" spans="1:129" s="211" customFormat="1" x14ac:dyDescent="0.2">
      <c r="A149" s="210" t="s">
        <v>319</v>
      </c>
      <c r="B149" s="283"/>
      <c r="C149" s="197"/>
      <c r="D149" s="197"/>
      <c r="E149" s="197"/>
      <c r="F149" s="197"/>
      <c r="G149" s="283"/>
      <c r="H149" s="197"/>
      <c r="I149" s="197"/>
      <c r="J149" s="197"/>
      <c r="K149" s="197"/>
      <c r="L149" s="283"/>
      <c r="M149" s="197">
        <f t="shared" ref="M149:AI149" si="657">M147/M154</f>
        <v>0.84148931879349309</v>
      </c>
      <c r="N149" s="197">
        <f t="shared" si="657"/>
        <v>0.12791236687142932</v>
      </c>
      <c r="O149" s="197">
        <f t="shared" si="657"/>
        <v>8.8701914033190485E-2</v>
      </c>
      <c r="P149" s="197">
        <f t="shared" si="657"/>
        <v>0.10834916735443427</v>
      </c>
      <c r="Q149" s="283">
        <f t="shared" si="657"/>
        <v>0.5403822328128125</v>
      </c>
      <c r="R149" s="197">
        <f t="shared" si="657"/>
        <v>0.1231843560551624</v>
      </c>
      <c r="S149" s="197">
        <f t="shared" si="657"/>
        <v>0.18863186120152062</v>
      </c>
      <c r="T149" s="197">
        <f t="shared" si="657"/>
        <v>0.19574777835067159</v>
      </c>
      <c r="U149" s="197">
        <f t="shared" si="657"/>
        <v>0.12813450844612334</v>
      </c>
      <c r="V149" s="283">
        <f t="shared" si="657"/>
        <v>0.63530002527881724</v>
      </c>
      <c r="W149" s="197">
        <f t="shared" si="657"/>
        <v>9.9051083707390408E-2</v>
      </c>
      <c r="X149" s="197">
        <f t="shared" si="657"/>
        <v>0.1388921252605281</v>
      </c>
      <c r="Y149" s="197">
        <f t="shared" si="657"/>
        <v>5.4259670821657197E-2</v>
      </c>
      <c r="Z149" s="197">
        <f>Z147/Z154</f>
        <v>5.7260657824284751E-3</v>
      </c>
      <c r="AA149" s="283">
        <f t="shared" si="657"/>
        <v>0.29700776005220597</v>
      </c>
      <c r="AB149" s="197">
        <f>AB147/AB154</f>
        <v>4.4521270137455729E-2</v>
      </c>
      <c r="AC149" s="197">
        <f>AC147/AC154</f>
        <v>8.2972262105945674E-2</v>
      </c>
      <c r="AD149" s="197">
        <f t="shared" si="657"/>
        <v>1.6995535982637471E-2</v>
      </c>
      <c r="AE149" s="197">
        <f>AE147/AE154</f>
        <v>-0.19100828498436118</v>
      </c>
      <c r="AF149" s="283">
        <f t="shared" si="657"/>
        <v>-5.8092538655511304E-2</v>
      </c>
      <c r="AG149" s="197">
        <f>AG147/AG154</f>
        <v>-0.18239959364141176</v>
      </c>
      <c r="AH149" s="197">
        <f>AH147/AH154</f>
        <v>8.0104822882514845E-2</v>
      </c>
      <c r="AI149" s="197">
        <f t="shared" si="657"/>
        <v>-2.7339678417032619E-2</v>
      </c>
      <c r="AJ149" s="197">
        <f t="shared" ref="AJ149:AP149" si="658">AJ147/AJ154</f>
        <v>9.0486477926954786E-2</v>
      </c>
      <c r="AK149" s="283">
        <f t="shared" si="658"/>
        <v>-3.6571428571428054E-2</v>
      </c>
      <c r="AL149" s="197">
        <f t="shared" si="658"/>
        <v>-0.12345401898947274</v>
      </c>
      <c r="AM149" s="197">
        <f t="shared" si="658"/>
        <v>0.11698251946923359</v>
      </c>
      <c r="AN149" s="197">
        <f t="shared" si="658"/>
        <v>0.12766855024034993</v>
      </c>
      <c r="AO149" s="197">
        <f t="shared" si="658"/>
        <v>-2.208041687827066E-2</v>
      </c>
      <c r="AP149" s="283">
        <f t="shared" si="658"/>
        <v>0.1002227171492205</v>
      </c>
      <c r="AQ149" s="197">
        <f t="shared" ref="AQ149:BU149" si="659">AQ147/AQ154</f>
        <v>-3.6377882247593252E-2</v>
      </c>
      <c r="AR149" s="197">
        <f t="shared" si="659"/>
        <v>-3.107202940301754E-2</v>
      </c>
      <c r="AS149" s="197">
        <f t="shared" si="659"/>
        <v>-1.7704833862265245E-2</v>
      </c>
      <c r="AT149" s="197">
        <f t="shared" si="659"/>
        <v>-1.614543810646302E-2</v>
      </c>
      <c r="AU149" s="283">
        <f t="shared" si="659"/>
        <v>-0.1007681360546631</v>
      </c>
      <c r="AV149" s="197">
        <f t="shared" si="659"/>
        <v>9.2882803996824789E-2</v>
      </c>
      <c r="AW149" s="197">
        <f t="shared" si="659"/>
        <v>6.633038090320531E-2</v>
      </c>
      <c r="AX149" s="197">
        <f t="shared" si="659"/>
        <v>4.7907488986784146E-2</v>
      </c>
      <c r="AY149" s="197">
        <f t="shared" si="659"/>
        <v>4.0275336848271823E-2</v>
      </c>
      <c r="AZ149" s="283">
        <f t="shared" si="659"/>
        <v>0.24358314842256398</v>
      </c>
      <c r="BA149" s="197">
        <f t="shared" si="659"/>
        <v>-5.4733938325798297E-3</v>
      </c>
      <c r="BB149" s="197">
        <f t="shared" si="659"/>
        <v>0.10900014170018421</v>
      </c>
      <c r="BC149" s="197">
        <f t="shared" si="659"/>
        <v>0.21325132103390607</v>
      </c>
      <c r="BD149" s="197">
        <f t="shared" si="659"/>
        <v>3.2921512942495963E-2</v>
      </c>
      <c r="BE149" s="283">
        <f t="shared" si="659"/>
        <v>0.35016345804576693</v>
      </c>
      <c r="BF149" s="197">
        <f t="shared" si="659"/>
        <v>1.0820129769423033E-2</v>
      </c>
      <c r="BG149" s="197">
        <f>BG147/BG154</f>
        <v>8.9779823959721172E-2</v>
      </c>
      <c r="BH149" s="197">
        <f>BH147/BH154</f>
        <v>0.13436092569303365</v>
      </c>
      <c r="BI149" s="197">
        <f>BI147/BI154</f>
        <v>8.2171030067451703E-2</v>
      </c>
      <c r="BJ149" s="283">
        <f t="shared" si="659"/>
        <v>0.31756768273373748</v>
      </c>
      <c r="BK149" s="197">
        <f t="shared" ref="BK149:BP149" si="660">BK147/BK154</f>
        <v>0.10668335668513473</v>
      </c>
      <c r="BL149" s="197">
        <f t="shared" si="660"/>
        <v>0.18407470601145509</v>
      </c>
      <c r="BM149" s="197">
        <f t="shared" si="660"/>
        <v>0.15907805429864252</v>
      </c>
      <c r="BN149" s="197">
        <f>BN147/BN154</f>
        <v>3.537606526176519E-3</v>
      </c>
      <c r="BO149" s="283">
        <f t="shared" si="660"/>
        <v>0.45309734513274336</v>
      </c>
      <c r="BP149" s="197">
        <f t="shared" si="660"/>
        <v>5.0041462926424758E-2</v>
      </c>
      <c r="BQ149" s="197">
        <f>BQ147/BQ154</f>
        <v>0.12828690653942507</v>
      </c>
      <c r="BR149" s="197">
        <f>BR147/BR154</f>
        <v>0.25272749924359728</v>
      </c>
      <c r="BS149" s="197">
        <f>BS147/BS154</f>
        <v>0.16228889495074358</v>
      </c>
      <c r="BT149" s="283">
        <f t="shared" si="659"/>
        <v>0.59415394953228062</v>
      </c>
      <c r="BU149" s="197">
        <f t="shared" si="659"/>
        <v>1.3567324455780697E-2</v>
      </c>
      <c r="BV149" s="197">
        <f>BV147/BV154</f>
        <v>0.20782866740939862</v>
      </c>
      <c r="BW149" s="197">
        <f>BW147/BW154</f>
        <v>0.27190093169091401</v>
      </c>
      <c r="BX149" s="197">
        <f t="shared" ref="BX149:CD149" si="661">BX147/BX154</f>
        <v>0.28996617061342839</v>
      </c>
      <c r="BY149" s="283">
        <f t="shared" si="661"/>
        <v>0.77568838146406982</v>
      </c>
      <c r="BZ149" s="197">
        <f t="shared" si="661"/>
        <v>0.44170892993593608</v>
      </c>
      <c r="CA149" s="197">
        <f t="shared" si="661"/>
        <v>0.47957847576077872</v>
      </c>
      <c r="CB149" s="197">
        <f t="shared" si="661"/>
        <v>0.63101133908254781</v>
      </c>
      <c r="CC149" s="197">
        <f t="shared" si="661"/>
        <v>0.59572146572563578</v>
      </c>
      <c r="CD149" s="283">
        <f t="shared" si="661"/>
        <v>2.1485174594812455</v>
      </c>
      <c r="CE149" s="197">
        <f>CE147/CE154</f>
        <v>0.61878109452736318</v>
      </c>
      <c r="CF149" s="197">
        <f t="shared" ref="CF149:CI149" si="662">CF147/CF154</f>
        <v>0.55693069306930698</v>
      </c>
      <c r="CG149" s="197">
        <f t="shared" si="662"/>
        <v>0.61476675934507263</v>
      </c>
      <c r="CH149" s="197">
        <f t="shared" si="662"/>
        <v>0.51327961802447031</v>
      </c>
      <c r="CI149" s="283">
        <f t="shared" si="662"/>
        <v>2.2970903522205206</v>
      </c>
      <c r="CJ149" s="197">
        <f>CJ147/CJ154</f>
        <v>0.25275052036871842</v>
      </c>
      <c r="CK149" s="197">
        <f t="shared" ref="CK149:CN149" si="663">CK147/CK154</f>
        <v>0.63920024235080275</v>
      </c>
      <c r="CL149" s="197">
        <f t="shared" si="663"/>
        <v>0.54891137687825819</v>
      </c>
      <c r="CM149" s="197">
        <f t="shared" si="663"/>
        <v>0.3207960199004975</v>
      </c>
      <c r="CN149" s="283">
        <f t="shared" si="663"/>
        <v>1.7598904192983789</v>
      </c>
      <c r="CO149" s="197">
        <f t="shared" ref="CO149:CR149" si="664">CO147/CO154</f>
        <v>0.21723465759214505</v>
      </c>
      <c r="CP149" s="197">
        <f t="shared" si="664"/>
        <v>0.40280282333300638</v>
      </c>
      <c r="CQ149" s="197">
        <f t="shared" si="664"/>
        <v>0.67737560325409008</v>
      </c>
      <c r="CR149" s="197">
        <f t="shared" si="664"/>
        <v>0.53015772287990903</v>
      </c>
      <c r="CS149" s="283">
        <f>CS147/CS154</f>
        <v>1.8206860656974178</v>
      </c>
      <c r="CT149" s="197"/>
      <c r="CU149" s="197"/>
      <c r="CV149" s="197"/>
      <c r="CW149" s="197"/>
      <c r="CX149" s="283">
        <f>CX147/CX154</f>
        <v>2.2693974849983634</v>
      </c>
      <c r="CY149" s="197"/>
      <c r="CZ149" s="197"/>
      <c r="DA149" s="197"/>
      <c r="DB149" s="197"/>
      <c r="DC149" s="283">
        <f>DC147/DC154</f>
        <v>2.8776156158902735</v>
      </c>
      <c r="DD149" s="371"/>
      <c r="DE149" s="472"/>
      <c r="DF149" s="382"/>
      <c r="DG149" s="382"/>
      <c r="DH149" s="382"/>
      <c r="DI149" s="382"/>
      <c r="DJ149" s="400"/>
      <c r="DK149" s="398"/>
      <c r="DL149" s="398"/>
      <c r="DM149" s="410"/>
      <c r="DN149" s="398"/>
      <c r="DO149" s="398"/>
      <c r="DP149" s="398"/>
      <c r="DQ149" s="398"/>
      <c r="DR149" s="495"/>
      <c r="DS149" s="371"/>
      <c r="DT149"/>
      <c r="DU149"/>
      <c r="DV149"/>
      <c r="DW149"/>
      <c r="DX149"/>
      <c r="DY149"/>
    </row>
    <row r="150" spans="1:129" x14ac:dyDescent="0.2">
      <c r="A150" s="11" t="s">
        <v>131</v>
      </c>
      <c r="B150" s="276"/>
      <c r="C150" s="90"/>
      <c r="D150" s="90"/>
      <c r="E150" s="90"/>
      <c r="F150" s="90"/>
      <c r="G150" s="276"/>
      <c r="H150" s="91"/>
      <c r="I150" s="91"/>
      <c r="J150" s="91"/>
      <c r="K150" s="91"/>
      <c r="L150" s="276"/>
      <c r="M150" s="91"/>
      <c r="N150" s="91"/>
      <c r="O150" s="91"/>
      <c r="P150" s="91"/>
      <c r="Q150" s="276"/>
      <c r="R150" s="91">
        <f t="shared" ref="R150:AZ150" si="665">R149/M149-1</f>
        <v>-0.85361150367091865</v>
      </c>
      <c r="S150" s="91">
        <f t="shared" si="665"/>
        <v>0.47469604241725349</v>
      </c>
      <c r="T150" s="91">
        <f t="shared" si="665"/>
        <v>1.2068044470542842</v>
      </c>
      <c r="U150" s="91">
        <f t="shared" si="665"/>
        <v>0.18260722786144545</v>
      </c>
      <c r="V150" s="276">
        <f t="shared" si="665"/>
        <v>0.17564935836608853</v>
      </c>
      <c r="W150" s="91">
        <f t="shared" si="665"/>
        <v>-0.19591182777271676</v>
      </c>
      <c r="X150" s="91">
        <f t="shared" si="665"/>
        <v>-0.26368682164384827</v>
      </c>
      <c r="Y150" s="91">
        <f t="shared" si="665"/>
        <v>-0.72280824191805682</v>
      </c>
      <c r="Z150" s="91">
        <f t="shared" si="665"/>
        <v>-0.95531207126114581</v>
      </c>
      <c r="AA150" s="276">
        <f t="shared" si="665"/>
        <v>-0.53249213248203997</v>
      </c>
      <c r="AB150" s="91">
        <f t="shared" si="665"/>
        <v>-0.55052212988423976</v>
      </c>
      <c r="AC150" s="91">
        <f t="shared" si="665"/>
        <v>-0.40261363306011955</v>
      </c>
      <c r="AD150" s="91">
        <f t="shared" si="665"/>
        <v>-0.68677406764042004</v>
      </c>
      <c r="AE150" s="91">
        <f t="shared" si="665"/>
        <v>-34.357682611769242</v>
      </c>
      <c r="AF150" s="276">
        <f t="shared" si="665"/>
        <v>-1.1955926627819429</v>
      </c>
      <c r="AG150" s="91">
        <f t="shared" si="665"/>
        <v>-5.0969090297349586</v>
      </c>
      <c r="AH150" s="91">
        <f t="shared" si="665"/>
        <v>-3.4559009850417821E-2</v>
      </c>
      <c r="AI150" s="91">
        <f t="shared" si="665"/>
        <v>-2.6086387887362106</v>
      </c>
      <c r="AJ150" s="91">
        <f t="shared" si="665"/>
        <v>-1.473730644376831</v>
      </c>
      <c r="AK150" s="276">
        <f t="shared" si="665"/>
        <v>-0.37046255133905248</v>
      </c>
      <c r="AL150" s="91">
        <f t="shared" si="665"/>
        <v>-0.323167247662969</v>
      </c>
      <c r="AM150" s="91">
        <f t="shared" si="665"/>
        <v>0.460367993582673</v>
      </c>
      <c r="AN150" s="91">
        <f t="shared" si="665"/>
        <v>-5.6697166035724988</v>
      </c>
      <c r="AO150" s="91">
        <f t="shared" si="665"/>
        <v>-1.2440189670780983</v>
      </c>
      <c r="AP150" s="276">
        <f t="shared" si="665"/>
        <v>-3.7404649220490369</v>
      </c>
      <c r="AQ150" s="91">
        <f t="shared" si="665"/>
        <v>-0.70533253963408593</v>
      </c>
      <c r="AR150" s="91">
        <f t="shared" si="665"/>
        <v>-1.2656125850596807</v>
      </c>
      <c r="AS150" s="91">
        <f t="shared" si="665"/>
        <v>-1.1386781147661971</v>
      </c>
      <c r="AT150" s="91">
        <f t="shared" si="665"/>
        <v>-0.26878925359639616</v>
      </c>
      <c r="AU150" s="276">
        <f t="shared" si="665"/>
        <v>-2.0054420686343049</v>
      </c>
      <c r="AV150" s="91">
        <f t="shared" si="665"/>
        <v>-3.5532768335619616</v>
      </c>
      <c r="AW150" s="91">
        <f t="shared" si="665"/>
        <v>-3.1347296001452571</v>
      </c>
      <c r="AX150" s="91">
        <f t="shared" si="665"/>
        <v>-3.7058988160792956</v>
      </c>
      <c r="AY150" s="91">
        <f t="shared" si="665"/>
        <v>-3.4945335383714116</v>
      </c>
      <c r="AZ150" s="276">
        <f t="shared" si="665"/>
        <v>-3.417263610894111</v>
      </c>
      <c r="BA150" s="91">
        <f t="shared" ref="BA150:BL150" si="666">BA149/AV149-1</f>
        <v>-1.0589279564898464</v>
      </c>
      <c r="BB150" s="91">
        <f t="shared" si="666"/>
        <v>0.64329135783565139</v>
      </c>
      <c r="BC150" s="91">
        <f t="shared" si="666"/>
        <v>3.4513149310065909</v>
      </c>
      <c r="BD150" s="91">
        <f t="shared" si="666"/>
        <v>-0.18258876228595478</v>
      </c>
      <c r="BE150" s="276">
        <f t="shared" si="666"/>
        <v>0.43755206513017564</v>
      </c>
      <c r="BF150" s="91">
        <f>BF149/BA149-1</f>
        <v>-2.976859349133127</v>
      </c>
      <c r="BG150" s="91">
        <f t="shared" si="666"/>
        <v>-0.17633296104633001</v>
      </c>
      <c r="BH150" s="91">
        <f t="shared" si="666"/>
        <v>-0.3699409455396957</v>
      </c>
      <c r="BI150" s="91">
        <f t="shared" si="666"/>
        <v>1.4959676127576493</v>
      </c>
      <c r="BJ150" s="276">
        <f t="shared" si="666"/>
        <v>-9.3087312690889434E-2</v>
      </c>
      <c r="BK150" s="91">
        <f>BK149/BF149-1</f>
        <v>8.8597113859590486</v>
      </c>
      <c r="BL150" s="91">
        <f t="shared" si="666"/>
        <v>1.0502903424497512</v>
      </c>
      <c r="BM150" s="91">
        <f t="shared" ref="BM150:BW150" si="667">BM149/BH149-1</f>
        <v>0.18396069004524884</v>
      </c>
      <c r="BN150" s="91">
        <f t="shared" si="667"/>
        <v>-0.95694825143030815</v>
      </c>
      <c r="BO150" s="276">
        <f t="shared" si="667"/>
        <v>0.42677410129493509</v>
      </c>
      <c r="BP150" s="91">
        <f t="shared" si="667"/>
        <v>-0.53093467921039328</v>
      </c>
      <c r="BQ150" s="91">
        <f t="shared" si="667"/>
        <v>-0.30307151200099325</v>
      </c>
      <c r="BR150" s="91">
        <f t="shared" si="667"/>
        <v>0.58870122191175112</v>
      </c>
      <c r="BS150" s="91">
        <f t="shared" si="667"/>
        <v>44.875337957991349</v>
      </c>
      <c r="BT150" s="276">
        <f t="shared" si="667"/>
        <v>0.3113163339286662</v>
      </c>
      <c r="BU150" s="91">
        <f t="shared" si="667"/>
        <v>-0.72887834083251046</v>
      </c>
      <c r="BV150" s="91">
        <f t="shared" si="667"/>
        <v>0.62003023547480129</v>
      </c>
      <c r="BW150" s="91">
        <f t="shared" si="667"/>
        <v>7.5866031613900375E-2</v>
      </c>
      <c r="BX150" s="91">
        <f>BX149/BS149-1</f>
        <v>0.78672835686900333</v>
      </c>
      <c r="BY150" s="276">
        <f>BY149/BT149-1</f>
        <v>0.30553433512424433</v>
      </c>
      <c r="BZ150" s="91">
        <f>BZ149/BU149-1</f>
        <v>31.556819244323073</v>
      </c>
      <c r="CA150" s="91">
        <f>CA149/BV149-1</f>
        <v>1.3075665245741299</v>
      </c>
      <c r="CB150" s="91">
        <f>CB149/BW149-1</f>
        <v>1.3207398928660385</v>
      </c>
      <c r="CC150" s="91">
        <f t="shared" ref="CC150:CD150" si="668">CC149/BX149-1</f>
        <v>1.054451608838979</v>
      </c>
      <c r="CD150" s="276">
        <f t="shared" si="668"/>
        <v>1.7698203438680302</v>
      </c>
      <c r="CE150" s="91">
        <f>CE149/BZ149-1</f>
        <v>0.40087974815702521</v>
      </c>
      <c r="CF150" s="91">
        <f>CF149/CA149-1</f>
        <v>0.16129209549244394</v>
      </c>
      <c r="CG150" s="91">
        <f>CG149/CB149-1</f>
        <v>-2.5743720803961812E-2</v>
      </c>
      <c r="CH150" s="91">
        <f t="shared" ref="CH150" si="669">CH149/CC149-1</f>
        <v>-0.13838992288240748</v>
      </c>
      <c r="CI150" s="276">
        <f t="shared" ref="CI150:CR150" si="670">CI149/CD149-1</f>
        <v>6.9151354616009408E-2</v>
      </c>
      <c r="CJ150" s="91">
        <f>CJ149/CE149-1</f>
        <v>-0.59153483743427215</v>
      </c>
      <c r="CK150" s="91">
        <f>CK149/CF149-1</f>
        <v>0.14771954626544126</v>
      </c>
      <c r="CL150" s="91">
        <f>CL149/CG149-1</f>
        <v>-0.10712254926888354</v>
      </c>
      <c r="CM150" s="91">
        <f t="shared" ref="CM150" si="671">CM149/CH149-1</f>
        <v>-0.37500728913571679</v>
      </c>
      <c r="CN150" s="276">
        <f t="shared" ref="CN150" si="672">CN149/CI149-1</f>
        <v>-0.23386103746543907</v>
      </c>
      <c r="CO150" s="91">
        <f t="shared" si="670"/>
        <v>-0.14051746649131325</v>
      </c>
      <c r="CP150" s="91">
        <f t="shared" si="670"/>
        <v>-0.36983311856765211</v>
      </c>
      <c r="CQ150" s="91">
        <f t="shared" si="670"/>
        <v>0.23403454872155738</v>
      </c>
      <c r="CR150" s="91">
        <f t="shared" si="670"/>
        <v>0.65263185947366198</v>
      </c>
      <c r="CS150" s="276">
        <f>CS149/CN149-1</f>
        <v>3.4545131749325941E-2</v>
      </c>
      <c r="CT150" s="91"/>
      <c r="CU150" s="91"/>
      <c r="CV150" s="91"/>
      <c r="CW150" s="91"/>
      <c r="CX150" s="276">
        <f>CX149/CS149-1</f>
        <v>0.24645183359991596</v>
      </c>
      <c r="CY150" s="91"/>
      <c r="CZ150" s="91"/>
      <c r="DA150" s="91"/>
      <c r="DB150" s="91"/>
      <c r="DC150" s="276">
        <f>DC149/CX149-1</f>
        <v>0.26800863881822301</v>
      </c>
      <c r="DD150" s="370"/>
      <c r="DE150" s="468"/>
      <c r="DJ150" s="445"/>
      <c r="DK150" s="409"/>
      <c r="DL150" s="409"/>
      <c r="DM150" s="410"/>
      <c r="DN150" s="398"/>
      <c r="DO150" s="398"/>
      <c r="DP150" s="398"/>
      <c r="DQ150" s="409"/>
      <c r="DR150" s="506"/>
      <c r="DS150" s="370"/>
    </row>
    <row r="151" spans="1:129" x14ac:dyDescent="0.2">
      <c r="A151" s="218" t="s">
        <v>160</v>
      </c>
      <c r="B151" s="284"/>
      <c r="C151" s="111"/>
      <c r="D151" s="111"/>
      <c r="E151" s="111"/>
      <c r="F151" s="111"/>
      <c r="G151" s="284"/>
      <c r="H151" s="616"/>
      <c r="I151" s="616"/>
      <c r="J151" s="616"/>
      <c r="K151" s="616"/>
      <c r="L151" s="284"/>
      <c r="M151" s="616"/>
      <c r="N151" s="616"/>
      <c r="O151" s="616"/>
      <c r="P151" s="616"/>
      <c r="Q151" s="284"/>
      <c r="R151" s="616"/>
      <c r="S151" s="616"/>
      <c r="T151" s="616"/>
      <c r="U151" s="616"/>
      <c r="V151" s="284"/>
      <c r="W151" s="616"/>
      <c r="X151" s="616"/>
      <c r="Y151" s="616"/>
      <c r="Z151" s="616"/>
      <c r="AA151" s="284"/>
      <c r="AB151" s="616"/>
      <c r="AC151" s="616"/>
      <c r="AD151" s="616"/>
      <c r="AE151" s="616"/>
      <c r="AF151" s="284"/>
      <c r="AG151" s="616"/>
      <c r="AH151" s="616"/>
      <c r="AI151" s="616"/>
      <c r="AJ151" s="616"/>
      <c r="AK151" s="284"/>
      <c r="AL151" s="616"/>
      <c r="AM151" s="616"/>
      <c r="AN151" s="616"/>
      <c r="AO151" s="616"/>
      <c r="AP151" s="284"/>
      <c r="AQ151" s="616"/>
      <c r="AR151" s="616"/>
      <c r="AS151" s="616"/>
      <c r="AT151" s="616"/>
      <c r="AU151" s="284"/>
      <c r="AV151" s="616"/>
      <c r="AW151" s="616"/>
      <c r="AX151" s="616"/>
      <c r="AY151" s="616"/>
      <c r="AZ151" s="284"/>
      <c r="BA151" s="616"/>
      <c r="BB151" s="616">
        <f>IF(BB147&gt;15,3,IF(BB147&gt;11,1,0))</f>
        <v>3</v>
      </c>
      <c r="BC151" s="616">
        <f>IF(BC147&gt;15,3,IF(BC147&gt;11,1,0))</f>
        <v>3</v>
      </c>
      <c r="BD151" s="616">
        <f>IF(BD147&gt;15,3,IF(BD147&gt;11,1,0))</f>
        <v>0</v>
      </c>
      <c r="BE151" s="339">
        <f>IF(BE147&gt;57,12,IF(BE147&gt;42,4,0))</f>
        <v>12</v>
      </c>
      <c r="BF151" s="616">
        <v>0</v>
      </c>
      <c r="BG151" s="616">
        <v>2.908719999999998</v>
      </c>
      <c r="BH151" s="616">
        <v>3</v>
      </c>
      <c r="BI151" s="616">
        <v>3</v>
      </c>
      <c r="BJ151" s="284">
        <f>SUM(BF151:BI151)</f>
        <v>8.9087199999999989</v>
      </c>
      <c r="BK151" s="616">
        <v>0</v>
      </c>
      <c r="BL151" s="616">
        <v>3</v>
      </c>
      <c r="BM151" s="616">
        <v>3</v>
      </c>
      <c r="BN151" s="616">
        <f>IF(BN147&gt;=15,3,IF(BN147&gt;=11,1,0))</f>
        <v>0</v>
      </c>
      <c r="BO151" s="284">
        <f>SUM(BK151:BN151)</f>
        <v>6</v>
      </c>
      <c r="BP151" s="616">
        <f>IF(BP147&gt;=15,3,IF(BP147&gt;=11,1,0))</f>
        <v>1</v>
      </c>
      <c r="BQ151" s="616">
        <f>IF(BQ147&gt;=15,3,IF(BQ147&gt;=11,1,0))</f>
        <v>3</v>
      </c>
      <c r="BR151" s="616">
        <f>IF(BR147&gt;=15,2.6,IF(BR147&gt;=11,1,0))</f>
        <v>2.6</v>
      </c>
      <c r="BS151" s="616">
        <f>IF(BS147&gt;=15,2.6,IF(BS147&gt;=11,1,0))</f>
        <v>2.6</v>
      </c>
      <c r="BT151" s="284">
        <f>SUM(BP151:BS151)</f>
        <v>9.1999999999999993</v>
      </c>
      <c r="BU151" s="616">
        <f>IF(BU147&gt;=15,2,IF(BU147&gt;=11,1,0))</f>
        <v>0</v>
      </c>
      <c r="BV151" s="616">
        <f>IF(BV147&gt;=15,3,IF(BV147&gt;=11,1,0))</f>
        <v>3</v>
      </c>
      <c r="BW151" s="616">
        <f>IF(BW147&gt;=16,2,IF(BW147&gt;=12,1,0))</f>
        <v>2</v>
      </c>
      <c r="BX151" s="616">
        <f>IF(BX147&gt;=15,2,IF(BX147&gt;=11,1,0))</f>
        <v>2</v>
      </c>
      <c r="BY151" s="284">
        <f>SUM(BU151:BX151)</f>
        <v>7</v>
      </c>
      <c r="BZ151" s="616">
        <f>IF(BZ147&gt;=15,1,IF(BZ147&gt;=11,1,0))</f>
        <v>1</v>
      </c>
      <c r="CA151" s="616">
        <f>IF(CA147&gt;=16,1,IF(CA147&gt;=12,1,0))</f>
        <v>1</v>
      </c>
      <c r="CB151" s="616">
        <f>IF(CB147&gt;=16,1,IF(CB147&gt;=12,1,0))</f>
        <v>1</v>
      </c>
      <c r="CC151" s="616">
        <f>IF(CC147&gt;=16,1,IF(CC147&gt;=12,1,0))</f>
        <v>1</v>
      </c>
      <c r="CD151" s="284">
        <f>SUM(BZ151:CC151)</f>
        <v>4</v>
      </c>
      <c r="CE151" s="616">
        <f>IF(CE147&gt;=15,0,IF(CE147&gt;=11,1,0))</f>
        <v>0</v>
      </c>
      <c r="CF151" s="616">
        <f>IF(CF147&gt;=15,0,IF(CF147&gt;=11,1,0))</f>
        <v>0</v>
      </c>
      <c r="CG151" s="616">
        <f>IF(CG147&gt;=15,0,IF(CG147&gt;=11,1,0))</f>
        <v>0</v>
      </c>
      <c r="CH151" s="616">
        <f>IF(CH147&gt;=15,0,IF(CH147&gt;=11,1,0))</f>
        <v>0</v>
      </c>
      <c r="CI151" s="284">
        <f>SUM(CE151:CH151)</f>
        <v>0</v>
      </c>
      <c r="CJ151" s="616">
        <f>IF(CJ147&gt;=15,0,IF(CJ147&gt;=11,1,0))</f>
        <v>0</v>
      </c>
      <c r="CK151" s="616">
        <f>IF(CK147&gt;=15,0,IF(CK147&gt;=11,1,0))</f>
        <v>0</v>
      </c>
      <c r="CL151" s="616">
        <f>IF(CL147&gt;=15,0,IF(CL147&gt;=11,1,0))</f>
        <v>0</v>
      </c>
      <c r="CM151" s="616">
        <f>IF(CM147&gt;=15,0,IF(CM147&gt;=11,1,0))</f>
        <v>0</v>
      </c>
      <c r="CN151" s="284">
        <f>SUM(CJ151:CM151)</f>
        <v>0</v>
      </c>
      <c r="CO151" s="113">
        <v>0</v>
      </c>
      <c r="CP151" s="113">
        <v>0</v>
      </c>
      <c r="CQ151" s="113">
        <v>0</v>
      </c>
      <c r="CR151" s="113">
        <v>0</v>
      </c>
      <c r="CS151" s="284">
        <f>SUM(CO151:CR151)</f>
        <v>0</v>
      </c>
      <c r="CT151" s="112"/>
      <c r="CU151" s="112"/>
      <c r="CV151" s="113"/>
      <c r="CW151" s="113"/>
      <c r="CX151" s="423">
        <v>0</v>
      </c>
      <c r="CY151" s="112"/>
      <c r="CZ151" s="112"/>
      <c r="DA151" s="113"/>
      <c r="DB151" s="113"/>
      <c r="DC151" s="423">
        <v>0</v>
      </c>
      <c r="DD151" s="132"/>
      <c r="DE151" s="471"/>
      <c r="DJ151" s="445"/>
      <c r="DK151" s="409"/>
      <c r="DL151" s="398"/>
      <c r="DM151" s="410"/>
      <c r="DN151" s="398"/>
      <c r="DO151" s="398"/>
      <c r="DP151" s="398"/>
      <c r="DQ151" s="409"/>
      <c r="DR151" s="508"/>
      <c r="DS151" s="132"/>
    </row>
    <row r="152" spans="1:129" x14ac:dyDescent="0.2">
      <c r="A152" s="114" t="s">
        <v>236</v>
      </c>
      <c r="B152" s="285"/>
      <c r="C152" s="115"/>
      <c r="D152" s="115"/>
      <c r="E152" s="115"/>
      <c r="F152" s="115"/>
      <c r="G152" s="285"/>
      <c r="H152" s="115"/>
      <c r="I152" s="115"/>
      <c r="J152" s="115"/>
      <c r="K152" s="115"/>
      <c r="L152" s="285"/>
      <c r="M152" s="115">
        <f t="shared" ref="M152:AA152" si="673">M147/M155</f>
        <v>0.10060716139638333</v>
      </c>
      <c r="N152" s="115">
        <f t="shared" si="673"/>
        <v>9.7480671505139241E-2</v>
      </c>
      <c r="O152" s="115">
        <f t="shared" si="673"/>
        <v>7.9313648263610925E-2</v>
      </c>
      <c r="P152" s="115">
        <f t="shared" si="673"/>
        <v>9.882684681425849E-2</v>
      </c>
      <c r="Q152" s="285">
        <f t="shared" si="673"/>
        <v>0.37508248762401797</v>
      </c>
      <c r="R152" s="115">
        <f t="shared" si="673"/>
        <v>0.1125850687603674</v>
      </c>
      <c r="S152" s="115">
        <f t="shared" si="673"/>
        <v>0.17089522421359821</v>
      </c>
      <c r="T152" s="115">
        <f t="shared" si="673"/>
        <v>0.17475123536180848</v>
      </c>
      <c r="U152" s="115">
        <f t="shared" si="673"/>
        <v>0.11622546789078153</v>
      </c>
      <c r="V152" s="285">
        <f t="shared" si="673"/>
        <v>0.57478970227268888</v>
      </c>
      <c r="W152" s="115">
        <f t="shared" si="673"/>
        <v>9.1884160520593838E-2</v>
      </c>
      <c r="X152" s="115">
        <f t="shared" si="673"/>
        <v>0.12834845127119293</v>
      </c>
      <c r="Y152" s="115">
        <f t="shared" si="673"/>
        <v>5.0672129125795717E-2</v>
      </c>
      <c r="Z152" s="115">
        <f>Z147/Z155</f>
        <v>5.376052785252633E-3</v>
      </c>
      <c r="AA152" s="285">
        <f t="shared" si="673"/>
        <v>0.27648741229507806</v>
      </c>
      <c r="AB152" s="115">
        <f t="shared" ref="AB152:AK152" si="674">AB147/AB155</f>
        <v>4.2213497170417433E-2</v>
      </c>
      <c r="AC152" s="115">
        <f t="shared" si="674"/>
        <v>7.2194183558963509E-2</v>
      </c>
      <c r="AD152" s="115">
        <f t="shared" si="674"/>
        <v>1.6157460042468978E-2</v>
      </c>
      <c r="AE152" s="115">
        <f t="shared" si="674"/>
        <v>-0.19100828498436118</v>
      </c>
      <c r="AF152" s="285">
        <f t="shared" si="674"/>
        <v>-5.4396679305403012E-2</v>
      </c>
      <c r="AG152" s="115">
        <f>AG147/AG155</f>
        <v>-0.18239959364141176</v>
      </c>
      <c r="AH152" s="115">
        <f>AH147/AH155</f>
        <v>7.74160726826328E-2</v>
      </c>
      <c r="AI152" s="115">
        <f t="shared" si="674"/>
        <v>-2.7339678417032619E-2</v>
      </c>
      <c r="AJ152" s="115">
        <f>AJ147/AJ155</f>
        <v>8.1134256911624514E-2</v>
      </c>
      <c r="AK152" s="285">
        <f t="shared" si="674"/>
        <v>-3.6249943359462987E-2</v>
      </c>
      <c r="AL152" s="115">
        <f t="shared" ref="AL152:AU152" si="675">AL147/AL155</f>
        <v>-0.12345401898947274</v>
      </c>
      <c r="AM152" s="115">
        <f t="shared" si="675"/>
        <v>0.10574816829065639</v>
      </c>
      <c r="AN152" s="115">
        <f t="shared" si="675"/>
        <v>0.1157081337787258</v>
      </c>
      <c r="AO152" s="115">
        <f t="shared" si="675"/>
        <v>-2.208041687827066E-2</v>
      </c>
      <c r="AP152" s="285">
        <f t="shared" si="675"/>
        <v>9.514735285527956E-2</v>
      </c>
      <c r="AQ152" s="115">
        <f t="shared" si="675"/>
        <v>-3.6377882247593252E-2</v>
      </c>
      <c r="AR152" s="115">
        <f t="shared" si="675"/>
        <v>-3.107202940301754E-2</v>
      </c>
      <c r="AS152" s="115">
        <f t="shared" si="675"/>
        <v>-1.7704833862265245E-2</v>
      </c>
      <c r="AT152" s="115">
        <f>AT147/AT155</f>
        <v>-1.614543810646302E-2</v>
      </c>
      <c r="AU152" s="285">
        <f t="shared" si="675"/>
        <v>-0.1007681360546631</v>
      </c>
      <c r="AV152" s="115">
        <f>AV147/AV155</f>
        <v>8.2679545735993648E-2</v>
      </c>
      <c r="AW152" s="115">
        <f>AW147/AW155</f>
        <v>5.1660881885281916E-2</v>
      </c>
      <c r="AX152" s="115">
        <f>AX147/AX155</f>
        <v>3.7917418477550278E-2</v>
      </c>
      <c r="AY152" s="115">
        <f>AY147/AY155</f>
        <v>3.6240001054254581E-2</v>
      </c>
      <c r="AZ152" s="285">
        <f>AZ147/AZ155</f>
        <v>0.19107819901645171</v>
      </c>
      <c r="BA152" s="115">
        <f>(BA147+BA151)/BA155</f>
        <v>-5.4733938325798297E-3</v>
      </c>
      <c r="BB152" s="115">
        <f t="shared" ref="BB152:BO152" si="676">(BB147+BB151)/BB155</f>
        <v>9.5255414404350577E-2</v>
      </c>
      <c r="BC152" s="115">
        <f t="shared" si="676"/>
        <v>0.17813186369741782</v>
      </c>
      <c r="BD152" s="115">
        <f t="shared" si="676"/>
        <v>2.9673300225321508E-2</v>
      </c>
      <c r="BE152" s="285">
        <f t="shared" si="676"/>
        <v>0.31275245239469024</v>
      </c>
      <c r="BF152" s="115">
        <f t="shared" si="676"/>
        <v>1.0739523594733338E-2</v>
      </c>
      <c r="BG152" s="115">
        <f t="shared" si="676"/>
        <v>0.08</v>
      </c>
      <c r="BH152" s="115">
        <f t="shared" si="676"/>
        <v>0.11696649559715007</v>
      </c>
      <c r="BI152" s="115">
        <f t="shared" si="676"/>
        <v>7.5830489689969957E-2</v>
      </c>
      <c r="BJ152" s="285">
        <f t="shared" si="676"/>
        <v>0.28104073860357759</v>
      </c>
      <c r="BK152" s="115">
        <f t="shared" si="676"/>
        <v>8.750820389411508E-2</v>
      </c>
      <c r="BL152" s="115">
        <f t="shared" si="676"/>
        <v>0.15998324539102815</v>
      </c>
      <c r="BM152" s="115">
        <f>(BM147+BM151)/BM155</f>
        <v>0.13921436692266642</v>
      </c>
      <c r="BN152" s="115">
        <f>(BN147+BN151)/BN155</f>
        <v>3.5146790570819023E-3</v>
      </c>
      <c r="BO152" s="285">
        <f t="shared" si="676"/>
        <v>0.3893888628973437</v>
      </c>
      <c r="BP152" s="115">
        <f t="shared" ref="BP152:BV152" si="677">(BP147+BP151)/BP155</f>
        <v>4.8566007679904682E-2</v>
      </c>
      <c r="BQ152" s="115">
        <f t="shared" si="677"/>
        <v>0.11370494441577525</v>
      </c>
      <c r="BR152" s="115">
        <f t="shared" si="677"/>
        <v>0.21411220526844024</v>
      </c>
      <c r="BS152" s="115">
        <f>(BS147+BS151)/BS155</f>
        <v>0.143799376676089</v>
      </c>
      <c r="BT152" s="285">
        <f t="shared" si="677"/>
        <v>0.51597874353934625</v>
      </c>
      <c r="BU152" s="115">
        <f t="shared" si="677"/>
        <v>1.3458361511777747E-2</v>
      </c>
      <c r="BV152" s="115">
        <f t="shared" si="677"/>
        <v>0.1861190114754003</v>
      </c>
      <c r="BW152" s="115">
        <f>(BW147+BW151)/BW155</f>
        <v>0.23746144915979689</v>
      </c>
      <c r="BX152" s="115">
        <f>(BX147+BX151)/BX155</f>
        <v>0.25970918407544991</v>
      </c>
      <c r="BY152" s="285">
        <f>(BY147+BY151)/BY155</f>
        <v>0.67403001982441235</v>
      </c>
      <c r="BZ152" s="115">
        <f>(BZ147+BZ151)/BZ155</f>
        <v>0.39856171208248492</v>
      </c>
      <c r="CA152" s="115">
        <f>(CA147+CA151)/CA155</f>
        <v>0.44005855942660083</v>
      </c>
      <c r="CB152" s="115">
        <f t="shared" ref="CB152:CD152" si="678">(CB147+CB151)/CB155</f>
        <v>0.57929837942006113</v>
      </c>
      <c r="CC152" s="115">
        <f t="shared" si="678"/>
        <v>0.55785480003388022</v>
      </c>
      <c r="CD152" s="285">
        <f t="shared" si="678"/>
        <v>1.9872129702851842</v>
      </c>
      <c r="CE152" s="115">
        <f>(CE147+CE151)/CE155</f>
        <v>0.58272327964860904</v>
      </c>
      <c r="CF152" s="115">
        <f>(CF147+CF151)/CF155</f>
        <v>0.52539404553415059</v>
      </c>
      <c r="CG152" s="115">
        <f t="shared" ref="CG152:CI152" si="679">(CG147+CG151)/CG155</f>
        <v>0.58000582920431354</v>
      </c>
      <c r="CH152" s="115">
        <f t="shared" si="679"/>
        <v>0.50351288056206089</v>
      </c>
      <c r="CI152" s="285">
        <f t="shared" si="679"/>
        <v>2.191700759789597</v>
      </c>
      <c r="CJ152" s="115">
        <f>(CJ147+CJ151)/CJ155</f>
        <v>0.25133057362507394</v>
      </c>
      <c r="CK152" s="115">
        <f>(CK147+CK151)/CK155</f>
        <v>0.63650075414781293</v>
      </c>
      <c r="CL152" s="115">
        <f t="shared" ref="CL152:CN152" si="680">(CL147+CL151)/CL155</f>
        <v>0.54606467358145205</v>
      </c>
      <c r="CM152" s="115">
        <f t="shared" si="680"/>
        <v>0.31920792079207921</v>
      </c>
      <c r="CN152" s="285">
        <f t="shared" si="680"/>
        <v>1.7510956311047172</v>
      </c>
      <c r="CO152" s="115">
        <f t="shared" ref="CO152:CR152" si="681">(CO147+CO151)/CO155</f>
        <v>0.21723465759214505</v>
      </c>
      <c r="CP152" s="115">
        <f t="shared" si="681"/>
        <v>0.40280282333300638</v>
      </c>
      <c r="CQ152" s="115">
        <f t="shared" si="681"/>
        <v>0.67737560325409008</v>
      </c>
      <c r="CR152" s="115">
        <f t="shared" si="681"/>
        <v>0.53015772287990903</v>
      </c>
      <c r="CS152" s="285">
        <f>(CS147+CS151)/CS155</f>
        <v>1.8206860656974178</v>
      </c>
      <c r="CT152" s="115"/>
      <c r="CU152" s="115"/>
      <c r="CV152" s="115"/>
      <c r="CW152" s="115"/>
      <c r="CX152" s="285">
        <f>(CX147+CX151)/CX155</f>
        <v>2.2693974849983634</v>
      </c>
      <c r="CY152" s="115"/>
      <c r="CZ152" s="115"/>
      <c r="DA152" s="115"/>
      <c r="DB152" s="115"/>
      <c r="DC152" s="285">
        <f>(DC147+DC151)/DC155</f>
        <v>2.8776156158902735</v>
      </c>
      <c r="DD152" s="377"/>
      <c r="DE152" s="473"/>
      <c r="DJ152" s="448"/>
      <c r="DK152" s="412"/>
      <c r="DL152" s="412"/>
      <c r="DM152" s="410"/>
      <c r="DN152" s="398"/>
      <c r="DO152" s="398"/>
      <c r="DP152" s="398"/>
      <c r="DQ152" s="412"/>
      <c r="DR152" s="509"/>
      <c r="DS152" s="524"/>
    </row>
    <row r="153" spans="1:129" x14ac:dyDescent="0.2">
      <c r="A153" s="11" t="s">
        <v>131</v>
      </c>
      <c r="B153" s="276"/>
      <c r="C153" s="90"/>
      <c r="D153" s="90"/>
      <c r="E153" s="90"/>
      <c r="F153" s="90"/>
      <c r="G153" s="276"/>
      <c r="H153" s="91"/>
      <c r="I153" s="91"/>
      <c r="J153" s="91"/>
      <c r="K153" s="91"/>
      <c r="L153" s="276"/>
      <c r="M153" s="91"/>
      <c r="N153" s="91"/>
      <c r="O153" s="91"/>
      <c r="P153" s="91"/>
      <c r="Q153" s="276"/>
      <c r="R153" s="91">
        <f t="shared" ref="R153:AZ153" si="682">R152/M152-1</f>
        <v>0.11905621029095714</v>
      </c>
      <c r="S153" s="91">
        <f t="shared" si="682"/>
        <v>0.75311907042606396</v>
      </c>
      <c r="T153" s="91">
        <f t="shared" si="682"/>
        <v>1.2032933699001749</v>
      </c>
      <c r="U153" s="91">
        <f t="shared" si="682"/>
        <v>0.17605156531223876</v>
      </c>
      <c r="V153" s="276">
        <f t="shared" si="682"/>
        <v>0.53243545416830296</v>
      </c>
      <c r="W153" s="91">
        <f t="shared" si="682"/>
        <v>-0.18386903758823103</v>
      </c>
      <c r="X153" s="91">
        <f t="shared" si="682"/>
        <v>-0.2489640839186178</v>
      </c>
      <c r="Y153" s="91">
        <f t="shared" si="682"/>
        <v>-0.71003278448428064</v>
      </c>
      <c r="Z153" s="91">
        <f t="shared" si="682"/>
        <v>-0.95374462342191146</v>
      </c>
      <c r="AA153" s="276">
        <f t="shared" si="682"/>
        <v>-0.51897639919111094</v>
      </c>
      <c r="AB153" s="91">
        <f t="shared" si="682"/>
        <v>-0.54057917130389199</v>
      </c>
      <c r="AC153" s="91">
        <f t="shared" si="682"/>
        <v>-0.43751418233772588</v>
      </c>
      <c r="AD153" s="91">
        <f t="shared" si="682"/>
        <v>-0.68113713946462773</v>
      </c>
      <c r="AE153" s="91">
        <f t="shared" si="682"/>
        <v>-36.529466062596569</v>
      </c>
      <c r="AF153" s="276">
        <f t="shared" si="682"/>
        <v>-1.1967419740879515</v>
      </c>
      <c r="AG153" s="91">
        <f t="shared" si="682"/>
        <v>-5.3208832688051864</v>
      </c>
      <c r="AH153" s="91">
        <f t="shared" si="682"/>
        <v>7.2331161130236854E-2</v>
      </c>
      <c r="AI153" s="91">
        <f t="shared" si="682"/>
        <v>-2.6920777365484305</v>
      </c>
      <c r="AJ153" s="91">
        <f t="shared" si="682"/>
        <v>-1.4247682602786962</v>
      </c>
      <c r="AK153" s="276">
        <f t="shared" si="682"/>
        <v>-0.33360006856406732</v>
      </c>
      <c r="AL153" s="91">
        <f t="shared" si="682"/>
        <v>-0.323167247662969</v>
      </c>
      <c r="AM153" s="91">
        <f t="shared" si="682"/>
        <v>0.3659717501321853</v>
      </c>
      <c r="AN153" s="91">
        <f t="shared" si="682"/>
        <v>-5.2322419457077309</v>
      </c>
      <c r="AO153" s="91">
        <f t="shared" si="682"/>
        <v>-1.2721466581289054</v>
      </c>
      <c r="AP153" s="276">
        <f t="shared" si="682"/>
        <v>-3.6247586627039929</v>
      </c>
      <c r="AQ153" s="91">
        <f t="shared" si="682"/>
        <v>-0.70533253963408593</v>
      </c>
      <c r="AR153" s="91">
        <f t="shared" si="682"/>
        <v>-1.2938304266189637</v>
      </c>
      <c r="AS153" s="91">
        <f t="shared" si="682"/>
        <v>-1.1530128719915493</v>
      </c>
      <c r="AT153" s="91">
        <f t="shared" si="682"/>
        <v>-0.26878925359639616</v>
      </c>
      <c r="AU153" s="276">
        <f t="shared" si="682"/>
        <v>-2.0590745094919543</v>
      </c>
      <c r="AV153" s="91">
        <f t="shared" si="682"/>
        <v>-3.2727971126319124</v>
      </c>
      <c r="AW153" s="91">
        <f t="shared" si="682"/>
        <v>-2.662616921965995</v>
      </c>
      <c r="AX153" s="91">
        <f t="shared" si="682"/>
        <v>-3.1416421510943753</v>
      </c>
      <c r="AY153" s="91">
        <f t="shared" si="682"/>
        <v>-3.2445969452973658</v>
      </c>
      <c r="AZ153" s="276">
        <f t="shared" si="682"/>
        <v>-2.8962164678008793</v>
      </c>
      <c r="BA153" s="91">
        <f t="shared" ref="BA153:BL153" si="683">BA152/AV152-1</f>
        <v>-1.0662000956083755</v>
      </c>
      <c r="BB153" s="91">
        <f t="shared" si="683"/>
        <v>0.84385962701671691</v>
      </c>
      <c r="BC153" s="91">
        <f t="shared" si="683"/>
        <v>3.6978900687261751</v>
      </c>
      <c r="BD153" s="91">
        <f t="shared" si="683"/>
        <v>-0.18120034872797397</v>
      </c>
      <c r="BE153" s="276">
        <f t="shared" si="683"/>
        <v>0.63677726713219895</v>
      </c>
      <c r="BF153" s="91">
        <f>BF152/BA152-1</f>
        <v>-2.9621324398049702</v>
      </c>
      <c r="BG153" s="91">
        <f t="shared" si="683"/>
        <v>-0.16015272727272734</v>
      </c>
      <c r="BH153" s="91">
        <f t="shared" si="683"/>
        <v>-0.34337129152909884</v>
      </c>
      <c r="BI153" s="91">
        <f t="shared" si="683"/>
        <v>1.5555125016145164</v>
      </c>
      <c r="BJ153" s="276">
        <f t="shared" si="683"/>
        <v>-0.10139557195571658</v>
      </c>
      <c r="BK153" s="91">
        <f>BK152/BF152-1</f>
        <v>7.1482388973966309</v>
      </c>
      <c r="BL153" s="91">
        <f t="shared" si="683"/>
        <v>0.99979056738785177</v>
      </c>
      <c r="BM153" s="91">
        <f t="shared" ref="BM153:BW153" si="684">BM152/BH152-1</f>
        <v>0.19020721456972867</v>
      </c>
      <c r="BN153" s="91">
        <f t="shared" si="684"/>
        <v>-0.95365084583455106</v>
      </c>
      <c r="BO153" s="276">
        <f t="shared" si="684"/>
        <v>0.3855246212065957</v>
      </c>
      <c r="BP153" s="91">
        <f t="shared" si="684"/>
        <v>-0.44501194723788928</v>
      </c>
      <c r="BQ153" s="91">
        <f t="shared" si="684"/>
        <v>-0.28926967234687806</v>
      </c>
      <c r="BR153" s="91">
        <f t="shared" si="684"/>
        <v>0.53800365581075105</v>
      </c>
      <c r="BS153" s="91">
        <f t="shared" si="684"/>
        <v>39.913942451257519</v>
      </c>
      <c r="BT153" s="276">
        <f t="shared" si="684"/>
        <v>0.32509887339889332</v>
      </c>
      <c r="BU153" s="91">
        <f t="shared" si="684"/>
        <v>-0.72288515867968983</v>
      </c>
      <c r="BV153" s="91">
        <f t="shared" si="684"/>
        <v>0.63685943853799931</v>
      </c>
      <c r="BW153" s="91">
        <f t="shared" si="684"/>
        <v>0.10905143806296724</v>
      </c>
      <c r="BX153" s="91">
        <f>BX152/BS152-1</f>
        <v>0.80605222413759203</v>
      </c>
      <c r="BY153" s="276">
        <f>BY152/BT152-1</f>
        <v>0.30631354152482415</v>
      </c>
      <c r="BZ153" s="91">
        <f t="shared" ref="BZ153:CG153" si="685">BZ152/BU152-1</f>
        <v>28.6144305332929</v>
      </c>
      <c r="CA153" s="91">
        <f t="shared" si="685"/>
        <v>1.3643933843091798</v>
      </c>
      <c r="CB153" s="91">
        <f t="shared" si="685"/>
        <v>1.4395470568792375</v>
      </c>
      <c r="CC153" s="91">
        <f t="shared" si="685"/>
        <v>1.1479979694203419</v>
      </c>
      <c r="CD153" s="276">
        <f t="shared" si="685"/>
        <v>1.9482558815449518</v>
      </c>
      <c r="CE153" s="91">
        <f t="shared" si="685"/>
        <v>0.46206537653574387</v>
      </c>
      <c r="CF153" s="91">
        <f t="shared" si="685"/>
        <v>0.19391847807424178</v>
      </c>
      <c r="CG153" s="91">
        <f t="shared" si="685"/>
        <v>1.2212183037014768E-3</v>
      </c>
      <c r="CH153" s="91">
        <f t="shared" ref="CH153" si="686">CH152/CC152-1</f>
        <v>-9.7412300599580726E-2</v>
      </c>
      <c r="CI153" s="276">
        <f t="shared" ref="CI153:CS153" si="687">CI152/CD152-1</f>
        <v>0.10290179893253559</v>
      </c>
      <c r="CJ153" s="91">
        <f t="shared" si="687"/>
        <v>-0.56869652817606653</v>
      </c>
      <c r="CK153" s="91">
        <f t="shared" si="687"/>
        <v>0.2114731020613374</v>
      </c>
      <c r="CL153" s="91">
        <f t="shared" si="687"/>
        <v>-5.8518645699516481E-2</v>
      </c>
      <c r="CM153" s="91">
        <f t="shared" ref="CM153" si="688">CM152/CH152-1</f>
        <v>-0.36603822242689388</v>
      </c>
      <c r="CN153" s="276">
        <f t="shared" ref="CN153" si="689">CN152/CI152-1</f>
        <v>-0.20103343338128776</v>
      </c>
      <c r="CO153" s="91">
        <f t="shared" si="687"/>
        <v>-0.13566163296866529</v>
      </c>
      <c r="CP153" s="91">
        <f t="shared" si="687"/>
        <v>-0.36716049319956579</v>
      </c>
      <c r="CQ153" s="91">
        <f t="shared" si="687"/>
        <v>0.24046772484184764</v>
      </c>
      <c r="CR153" s="91">
        <f t="shared" si="687"/>
        <v>0.66085390852576964</v>
      </c>
      <c r="CS153" s="276">
        <f t="shared" si="687"/>
        <v>3.9741081729955496E-2</v>
      </c>
      <c r="CT153" s="91"/>
      <c r="CU153" s="91"/>
      <c r="CV153" s="91"/>
      <c r="CW153" s="91"/>
      <c r="CX153" s="276">
        <f>CX152/CS152-1</f>
        <v>0.24645183359991596</v>
      </c>
      <c r="CY153" s="91"/>
      <c r="CZ153" s="91"/>
      <c r="DA153" s="91"/>
      <c r="DB153" s="91"/>
      <c r="DC153" s="276">
        <f>DC152/CX152-1</f>
        <v>0.26800863881822301</v>
      </c>
      <c r="DD153" s="370"/>
      <c r="DE153" s="468"/>
      <c r="DJ153" s="445"/>
      <c r="DK153" s="409"/>
      <c r="DL153" s="396"/>
      <c r="DM153" s="410"/>
      <c r="DN153" s="398"/>
      <c r="DO153" s="398"/>
      <c r="DP153" s="398"/>
      <c r="DQ153" s="409"/>
      <c r="DR153" s="506"/>
      <c r="DS153" s="370"/>
    </row>
    <row r="154" spans="1:129" x14ac:dyDescent="0.2">
      <c r="A154" s="116" t="s">
        <v>335</v>
      </c>
      <c r="B154" s="286"/>
      <c r="C154" s="117"/>
      <c r="D154" s="117"/>
      <c r="E154" s="117"/>
      <c r="F154" s="117"/>
      <c r="G154" s="286"/>
      <c r="H154" s="830"/>
      <c r="I154" s="830"/>
      <c r="J154" s="830"/>
      <c r="K154" s="830"/>
      <c r="L154" s="286"/>
      <c r="M154" s="830">
        <v>15.454424565538002</v>
      </c>
      <c r="N154" s="830">
        <v>114.03449999999999</v>
      </c>
      <c r="O154" s="830">
        <v>136.97437500000001</v>
      </c>
      <c r="P154" s="830">
        <v>139.94549999999998</v>
      </c>
      <c r="Q154" s="286">
        <f>AVERAGE(M154:P154)</f>
        <v>101.6021998913845</v>
      </c>
      <c r="R154" s="830">
        <v>140.91075000000001</v>
      </c>
      <c r="S154" s="830">
        <v>141.71625</v>
      </c>
      <c r="T154" s="830">
        <v>148.36949999999996</v>
      </c>
      <c r="U154" s="830">
        <v>152.49600000000001</v>
      </c>
      <c r="V154" s="286">
        <f>AVERAGE(R154:U154)</f>
        <v>145.87312499999999</v>
      </c>
      <c r="W154" s="830">
        <v>153.38550000000001</v>
      </c>
      <c r="X154" s="830">
        <v>154.494</v>
      </c>
      <c r="Y154" s="830">
        <v>155.23500000000001</v>
      </c>
      <c r="Z154" s="830">
        <v>155.95349999999999</v>
      </c>
      <c r="AA154" s="286">
        <f>AVERAGE(W154:Z154)</f>
        <v>154.767</v>
      </c>
      <c r="AB154" s="830">
        <v>156.48699999999999</v>
      </c>
      <c r="AC154" s="830">
        <v>157.40199999999999</v>
      </c>
      <c r="AD154" s="830">
        <f>105.361*3/2</f>
        <v>158.04150000000001</v>
      </c>
      <c r="AE154" s="830">
        <v>167.53200000000001</v>
      </c>
      <c r="AF154" s="286">
        <f>AVERAGE(AB154:AE154)</f>
        <v>159.86562500000002</v>
      </c>
      <c r="AG154" s="830">
        <v>173.24600000000001</v>
      </c>
      <c r="AH154" s="830">
        <v>174.77099999999999</v>
      </c>
      <c r="AI154" s="830">
        <v>175.56899999999999</v>
      </c>
      <c r="AJ154" s="830">
        <v>176.822</v>
      </c>
      <c r="AK154" s="286">
        <v>175</v>
      </c>
      <c r="AL154" s="830">
        <v>178.20400000000001</v>
      </c>
      <c r="AM154" s="830">
        <v>179.51400000000001</v>
      </c>
      <c r="AN154" s="830">
        <v>180.154</v>
      </c>
      <c r="AO154" s="830">
        <v>181.15600000000001</v>
      </c>
      <c r="AP154" s="288">
        <v>179.6</v>
      </c>
      <c r="AQ154" s="830">
        <v>214.416</v>
      </c>
      <c r="AR154" s="830">
        <v>225.28299999999999</v>
      </c>
      <c r="AS154" s="830">
        <v>225.92699999999999</v>
      </c>
      <c r="AT154" s="830">
        <v>247.74799999999999</v>
      </c>
      <c r="AU154" s="288">
        <v>226.262</v>
      </c>
      <c r="AV154" s="830">
        <v>244.39400000000001</v>
      </c>
      <c r="AW154" s="830">
        <v>251.77</v>
      </c>
      <c r="AX154" s="830">
        <v>272.39999999999998</v>
      </c>
      <c r="AY154" s="830">
        <v>273.12</v>
      </c>
      <c r="AZ154" s="288">
        <v>260.48599999999999</v>
      </c>
      <c r="BA154" s="830">
        <v>274.053</v>
      </c>
      <c r="BB154" s="830">
        <v>275.22899999999998</v>
      </c>
      <c r="BC154" s="830">
        <v>275.73099999999999</v>
      </c>
      <c r="BD154" s="830">
        <v>276.41500000000002</v>
      </c>
      <c r="BE154" s="288">
        <v>275.3</v>
      </c>
      <c r="BF154" s="830">
        <v>277.26100000000002</v>
      </c>
      <c r="BG154" s="830">
        <v>278.459</v>
      </c>
      <c r="BH154" s="830">
        <v>279.09899999999999</v>
      </c>
      <c r="BI154" s="830">
        <v>279.904</v>
      </c>
      <c r="BJ154" s="288">
        <f>AVERAGE(BF154:BI154)</f>
        <v>278.68074999999999</v>
      </c>
      <c r="BK154" s="830">
        <v>281.20600000000002</v>
      </c>
      <c r="BL154" s="830">
        <v>282.49400000000003</v>
      </c>
      <c r="BM154" s="830">
        <v>282.88</v>
      </c>
      <c r="BN154" s="830">
        <v>282.67700000000002</v>
      </c>
      <c r="BO154" s="288">
        <v>282.5</v>
      </c>
      <c r="BP154" s="830">
        <v>279.76799999999997</v>
      </c>
      <c r="BQ154" s="830">
        <v>280.62099999999998</v>
      </c>
      <c r="BR154" s="830">
        <v>280.935</v>
      </c>
      <c r="BS154" s="830">
        <v>289.60700000000003</v>
      </c>
      <c r="BT154" s="288">
        <v>282.755</v>
      </c>
      <c r="BU154" s="830">
        <v>294.82600000000002</v>
      </c>
      <c r="BV154" s="830">
        <v>293.51100000000002</v>
      </c>
      <c r="BW154" s="830">
        <v>290.54700000000003</v>
      </c>
      <c r="BX154" s="830">
        <v>300.03500000000003</v>
      </c>
      <c r="BY154" s="608">
        <v>297.8</v>
      </c>
      <c r="BZ154" s="830">
        <v>310.15899999999999</v>
      </c>
      <c r="CA154" s="830">
        <v>316.94499999999999</v>
      </c>
      <c r="CB154" s="830">
        <v>313.78199999999998</v>
      </c>
      <c r="CC154" s="830">
        <v>318.94099999999997</v>
      </c>
      <c r="CD154" s="608">
        <v>315.101</v>
      </c>
      <c r="CE154" s="830">
        <v>321.60000000000002</v>
      </c>
      <c r="CF154" s="830">
        <v>323.2</v>
      </c>
      <c r="CG154" s="830">
        <v>323.7</v>
      </c>
      <c r="CH154" s="830">
        <v>335.1</v>
      </c>
      <c r="CI154" s="608">
        <v>326.5</v>
      </c>
      <c r="CJ154" s="830">
        <v>336.3</v>
      </c>
      <c r="CK154" s="830">
        <v>330.1</v>
      </c>
      <c r="CL154" s="830">
        <v>326.10000000000002</v>
      </c>
      <c r="CM154" s="830">
        <v>321.60000000000002</v>
      </c>
      <c r="CN154" s="288">
        <f>+AVERAGE(CJ154:CM154)</f>
        <v>328.52500000000003</v>
      </c>
      <c r="CO154" s="42">
        <f>+CO155</f>
        <v>319.56399999999996</v>
      </c>
      <c r="CP154" s="42">
        <f>+CP155</f>
        <v>315.96890499999995</v>
      </c>
      <c r="CQ154" s="42">
        <f>+CQ155</f>
        <v>312.41425481874995</v>
      </c>
      <c r="CR154" s="42">
        <f>+CR155</f>
        <v>308.89959445203903</v>
      </c>
      <c r="CS154" s="288">
        <f>+AVERAGE(CO154:CR154)</f>
        <v>314.21168856769725</v>
      </c>
      <c r="CT154" s="117"/>
      <c r="CU154" s="117"/>
      <c r="CV154" s="42"/>
      <c r="CW154" s="42"/>
      <c r="CX154" s="424">
        <f>+CX155</f>
        <v>301.64322102498937</v>
      </c>
      <c r="CY154" s="117"/>
      <c r="CZ154" s="117"/>
      <c r="DA154" s="42"/>
      <c r="DB154" s="42"/>
      <c r="DC154" s="424">
        <f>+DC155</f>
        <v>291.08570828911473</v>
      </c>
      <c r="DD154" s="372"/>
      <c r="DE154" s="461"/>
      <c r="DJ154" s="439"/>
      <c r="DK154" s="409"/>
      <c r="DL154" s="409"/>
      <c r="DM154" s="410"/>
      <c r="DN154" s="398"/>
      <c r="DO154" s="398"/>
      <c r="DP154" s="398"/>
      <c r="DQ154" s="409"/>
      <c r="DR154" s="498"/>
      <c r="DS154" s="372"/>
    </row>
    <row r="155" spans="1:129" x14ac:dyDescent="0.2">
      <c r="A155" s="116" t="s">
        <v>336</v>
      </c>
      <c r="B155" s="287"/>
      <c r="C155" s="117"/>
      <c r="D155" s="117"/>
      <c r="E155" s="117"/>
      <c r="F155" s="117"/>
      <c r="G155" s="287"/>
      <c r="H155" s="830"/>
      <c r="I155" s="830"/>
      <c r="J155" s="830"/>
      <c r="K155" s="830"/>
      <c r="L155" s="287"/>
      <c r="M155" s="830">
        <v>129.26249999999999</v>
      </c>
      <c r="N155" s="830">
        <v>149.63399999999999</v>
      </c>
      <c r="O155" s="830">
        <v>153.18787499999999</v>
      </c>
      <c r="P155" s="830">
        <v>153.42975000000001</v>
      </c>
      <c r="Q155" s="287">
        <f>AVERAGE(M155:P155)</f>
        <v>146.37853124999998</v>
      </c>
      <c r="R155" s="830">
        <v>154.17675</v>
      </c>
      <c r="S155" s="830">
        <v>156.42450000000002</v>
      </c>
      <c r="T155" s="830">
        <v>166.19624999999999</v>
      </c>
      <c r="U155" s="830">
        <v>168.1215</v>
      </c>
      <c r="V155" s="287">
        <f>AVERAGE(R155:U155)</f>
        <v>161.22975</v>
      </c>
      <c r="W155" s="830">
        <v>165.34950000000001</v>
      </c>
      <c r="X155" s="830">
        <v>167.18549999999999</v>
      </c>
      <c r="Y155" s="830">
        <v>166.22549999999998</v>
      </c>
      <c r="Z155" s="830">
        <v>166.107</v>
      </c>
      <c r="AA155" s="287">
        <f>AVERAGE(W155:Y155)</f>
        <v>166.2535</v>
      </c>
      <c r="AB155" s="830">
        <v>165.042</v>
      </c>
      <c r="AC155" s="830">
        <v>180.90100000000001</v>
      </c>
      <c r="AD155" s="830">
        <f>110.826*3/2</f>
        <v>166.23899999999998</v>
      </c>
      <c r="AE155" s="830">
        <v>167.53200000000001</v>
      </c>
      <c r="AF155" s="287">
        <f>AVERAGE(AB155:AD155)</f>
        <v>170.72733333333335</v>
      </c>
      <c r="AG155" s="830">
        <v>173.24600000000001</v>
      </c>
      <c r="AH155" s="830">
        <v>180.84100000000001</v>
      </c>
      <c r="AI155" s="830">
        <v>175.56899999999999</v>
      </c>
      <c r="AJ155" s="830">
        <v>197.20400000000001</v>
      </c>
      <c r="AK155" s="287">
        <f>AVERAGE(AG155:AI155)</f>
        <v>176.55199999999999</v>
      </c>
      <c r="AL155" s="830">
        <v>178.20400000000001</v>
      </c>
      <c r="AM155" s="830">
        <v>198.58500000000001</v>
      </c>
      <c r="AN155" s="830">
        <v>198.77600000000001</v>
      </c>
      <c r="AO155" s="830">
        <f>AO154</f>
        <v>181.15600000000001</v>
      </c>
      <c r="AP155" s="328">
        <f>AVERAGE(AL155:AO155)</f>
        <v>189.18025</v>
      </c>
      <c r="AQ155" s="830">
        <f>AQ154</f>
        <v>214.416</v>
      </c>
      <c r="AR155" s="830">
        <v>225.28299999999999</v>
      </c>
      <c r="AS155" s="830">
        <f>AS154</f>
        <v>225.92699999999999</v>
      </c>
      <c r="AT155" s="830">
        <f>AT154</f>
        <v>247.74799999999999</v>
      </c>
      <c r="AU155" s="328">
        <f>AU154</f>
        <v>226.262</v>
      </c>
      <c r="AV155" s="830">
        <v>274.55399999999997</v>
      </c>
      <c r="AW155" s="830">
        <v>323.262</v>
      </c>
      <c r="AX155" s="830">
        <v>344.16899999999998</v>
      </c>
      <c r="AY155" s="830">
        <v>303.53199999999998</v>
      </c>
      <c r="AZ155" s="287">
        <v>332.06299999999999</v>
      </c>
      <c r="BA155" s="830">
        <v>274.053</v>
      </c>
      <c r="BB155" s="830">
        <v>346.43700000000001</v>
      </c>
      <c r="BC155" s="830">
        <v>346.93400000000003</v>
      </c>
      <c r="BD155" s="830">
        <v>306.673</v>
      </c>
      <c r="BE155" s="287">
        <f>IF(BE147&gt;57,346.6,IF(BE147&gt;42,305.4,IF(BE147&gt;0,278,BE154)))</f>
        <v>346.6</v>
      </c>
      <c r="BF155" s="830">
        <v>279.34199999999998</v>
      </c>
      <c r="BG155" s="830">
        <v>348.85899999999998</v>
      </c>
      <c r="BH155" s="830">
        <v>346.25299999999999</v>
      </c>
      <c r="BI155" s="830">
        <v>342.87</v>
      </c>
      <c r="BJ155" s="287">
        <f>IF(BJ147&gt;57,346.6,IF(BJ147&gt;42,307.8,IF(BJ147&gt;0,280.4,BJ154)))</f>
        <v>346.6</v>
      </c>
      <c r="BK155" s="830">
        <v>342.82499999999999</v>
      </c>
      <c r="BL155" s="830">
        <v>343.786</v>
      </c>
      <c r="BM155" s="830">
        <v>344.79199999999997</v>
      </c>
      <c r="BN155" s="830">
        <v>284.52100000000002</v>
      </c>
      <c r="BO155" s="541">
        <v>344.12900000000002</v>
      </c>
      <c r="BP155" s="830">
        <v>308.858</v>
      </c>
      <c r="BQ155" s="830">
        <v>342.99299999999999</v>
      </c>
      <c r="BR155" s="830">
        <v>343.745</v>
      </c>
      <c r="BS155" s="830">
        <v>344.92500000000001</v>
      </c>
      <c r="BT155" s="541">
        <v>343.42500000000001</v>
      </c>
      <c r="BU155" s="830">
        <v>297.21300000000002</v>
      </c>
      <c r="BV155" s="830">
        <v>343.86599999999999</v>
      </c>
      <c r="BW155" s="830">
        <v>341.108</v>
      </c>
      <c r="BX155" s="830">
        <v>342.69099999999997</v>
      </c>
      <c r="BY155" s="609">
        <v>353.1</v>
      </c>
      <c r="BZ155" s="830">
        <v>346.245</v>
      </c>
      <c r="CA155" s="830">
        <v>347.68099999999998</v>
      </c>
      <c r="CB155" s="830">
        <v>343.51900000000001</v>
      </c>
      <c r="CC155" s="830">
        <v>342.38299999999998</v>
      </c>
      <c r="CD155" s="609">
        <v>342.69099999999997</v>
      </c>
      <c r="CE155" s="830">
        <v>341.5</v>
      </c>
      <c r="CF155" s="830">
        <v>342.6</v>
      </c>
      <c r="CG155" s="830">
        <v>343.1</v>
      </c>
      <c r="CH155" s="830">
        <v>341.6</v>
      </c>
      <c r="CI155" s="609">
        <v>342.2</v>
      </c>
      <c r="CJ155" s="830">
        <v>338.2</v>
      </c>
      <c r="CK155" s="830">
        <v>331.5</v>
      </c>
      <c r="CL155" s="830">
        <v>327.8</v>
      </c>
      <c r="CM155" s="830">
        <v>323.2</v>
      </c>
      <c r="CN155" s="541">
        <f>+AVERAGE(CJ155:CM155)</f>
        <v>330.17500000000001</v>
      </c>
      <c r="CO155" s="42">
        <f>+CM155+CO157</f>
        <v>319.56399999999996</v>
      </c>
      <c r="CP155" s="42">
        <f t="shared" ref="CP155:CR155" si="690">+CO155+CP157</f>
        <v>315.96890499999995</v>
      </c>
      <c r="CQ155" s="42">
        <f t="shared" si="690"/>
        <v>312.41425481874995</v>
      </c>
      <c r="CR155" s="42">
        <f t="shared" si="690"/>
        <v>308.89959445203903</v>
      </c>
      <c r="CS155" s="541">
        <f>+AVERAGE(CO155:CR155)</f>
        <v>314.21168856769725</v>
      </c>
      <c r="CT155" s="117"/>
      <c r="CU155" s="117"/>
      <c r="CV155" s="42"/>
      <c r="CW155" s="42"/>
      <c r="CX155" s="539">
        <f>+CS155+CX157</f>
        <v>301.64322102498937</v>
      </c>
      <c r="CY155" s="117"/>
      <c r="CZ155" s="117"/>
      <c r="DA155" s="42"/>
      <c r="DB155" s="42"/>
      <c r="DC155" s="539">
        <f>+CX155+DC157</f>
        <v>291.08570828911473</v>
      </c>
      <c r="DD155" s="372"/>
      <c r="DE155" s="461"/>
      <c r="DJ155" s="439"/>
      <c r="DK155" s="409"/>
      <c r="DL155" s="764"/>
      <c r="DM155" s="410"/>
      <c r="DN155" s="398"/>
      <c r="DO155" s="398"/>
      <c r="DP155" s="398"/>
      <c r="DQ155" s="409"/>
      <c r="DR155" s="498"/>
      <c r="DS155" s="372"/>
    </row>
    <row r="156" spans="1:129" x14ac:dyDescent="0.2">
      <c r="A156" s="116" t="s">
        <v>255</v>
      </c>
      <c r="B156" s="288"/>
      <c r="C156" s="117"/>
      <c r="D156" s="117"/>
      <c r="E156" s="117"/>
      <c r="F156" s="117"/>
      <c r="G156" s="288"/>
      <c r="H156" s="117"/>
      <c r="I156" s="117"/>
      <c r="J156" s="117"/>
      <c r="K156" s="117"/>
      <c r="L156" s="288"/>
      <c r="M156" s="117"/>
      <c r="N156" s="117"/>
      <c r="O156" s="117"/>
      <c r="P156" s="117"/>
      <c r="Q156" s="288">
        <f>P154</f>
        <v>139.94549999999998</v>
      </c>
      <c r="R156" s="117"/>
      <c r="S156" s="117"/>
      <c r="T156" s="117"/>
      <c r="U156" s="117"/>
      <c r="V156" s="288">
        <f>U154</f>
        <v>152.49600000000001</v>
      </c>
      <c r="W156" s="117"/>
      <c r="X156" s="117"/>
      <c r="Y156" s="117"/>
      <c r="Z156" s="117"/>
      <c r="AA156" s="288">
        <f>Z154</f>
        <v>155.95349999999999</v>
      </c>
      <c r="AB156" s="117"/>
      <c r="AC156" s="117"/>
      <c r="AD156" s="117"/>
      <c r="AE156" s="117"/>
      <c r="AF156" s="288">
        <f>AE154</f>
        <v>167.53200000000001</v>
      </c>
      <c r="AG156" s="117"/>
      <c r="AH156" s="117"/>
      <c r="AI156" s="117"/>
      <c r="AJ156" s="117"/>
      <c r="AK156" s="288">
        <f>AJ154</f>
        <v>176.822</v>
      </c>
      <c r="AL156" s="117"/>
      <c r="AM156" s="117"/>
      <c r="AN156" s="117"/>
      <c r="AO156" s="117"/>
      <c r="AP156" s="288">
        <f>AO154</f>
        <v>181.15600000000001</v>
      </c>
      <c r="AQ156" s="117"/>
      <c r="AR156" s="117"/>
      <c r="AS156" s="117"/>
      <c r="AT156" s="117"/>
      <c r="AU156" s="288">
        <f>AT154</f>
        <v>247.74799999999999</v>
      </c>
      <c r="AV156" s="117"/>
      <c r="AW156" s="117"/>
      <c r="AX156" s="117"/>
      <c r="AY156" s="117"/>
      <c r="AZ156" s="288">
        <f>AY154</f>
        <v>273.12</v>
      </c>
      <c r="BA156" s="117"/>
      <c r="BB156" s="117"/>
      <c r="BC156" s="117"/>
      <c r="BD156" s="117"/>
      <c r="BE156" s="288">
        <f>BD154</f>
        <v>276.41500000000002</v>
      </c>
      <c r="BF156" s="117"/>
      <c r="BG156" s="117"/>
      <c r="BH156" s="117"/>
      <c r="BI156" s="117"/>
      <c r="BJ156" s="288">
        <f>(BJ154/BE154)*BE156</f>
        <v>279.80944246730843</v>
      </c>
      <c r="BK156" s="117"/>
      <c r="BL156" s="117"/>
      <c r="BM156" s="117"/>
      <c r="BN156" s="117"/>
      <c r="BO156" s="288">
        <f>(BO154/BJ154)*BJ156</f>
        <v>283.64416091536509</v>
      </c>
      <c r="BP156" s="117"/>
      <c r="BQ156" s="117"/>
      <c r="BR156" s="117"/>
      <c r="BS156" s="117"/>
      <c r="BT156" s="288">
        <f>(BT154/BO154)*BO156</f>
        <v>283.90019369778429</v>
      </c>
      <c r="BU156" s="117"/>
      <c r="BV156" s="117"/>
      <c r="BW156" s="117"/>
      <c r="BX156" s="117"/>
      <c r="BY156" s="288">
        <f>(BY154/BT154)*BT156</f>
        <v>299.0061278605159</v>
      </c>
      <c r="BZ156" s="117"/>
      <c r="CA156" s="117"/>
      <c r="CB156" s="117"/>
      <c r="CC156" s="117"/>
      <c r="CD156" s="288">
        <f>(CD154/BY154)*BY156</f>
        <v>316.37719911006184</v>
      </c>
      <c r="CE156" s="117"/>
      <c r="CF156" s="117"/>
      <c r="CG156" s="117"/>
      <c r="CH156" s="117"/>
      <c r="CI156" s="288">
        <f>(CI154/CD154)*CD156</f>
        <v>327.82236650926268</v>
      </c>
      <c r="CJ156" s="117"/>
      <c r="CK156" s="117"/>
      <c r="CL156" s="117"/>
      <c r="CM156" s="117"/>
      <c r="CN156" s="288">
        <f>(CN154/CI154)*CI156</f>
        <v>329.85556801670919</v>
      </c>
      <c r="CO156" s="117"/>
      <c r="CP156" s="117"/>
      <c r="CQ156" s="117"/>
      <c r="CR156" s="117"/>
      <c r="CS156" s="288">
        <f>(CS154/CN154)*CN156</f>
        <v>315.4842858533965</v>
      </c>
      <c r="CT156" s="117"/>
      <c r="CU156" s="117"/>
      <c r="CV156" s="117"/>
      <c r="CW156" s="117"/>
      <c r="CX156" s="288">
        <f>(CX154/CS154)*CS156</f>
        <v>302.86491441926069</v>
      </c>
      <c r="CY156" s="117"/>
      <c r="CZ156" s="117"/>
      <c r="DA156" s="117"/>
      <c r="DB156" s="117"/>
      <c r="DC156" s="288">
        <f>(DC154/CX154)*CX156</f>
        <v>292.26464241458655</v>
      </c>
      <c r="DD156" s="372"/>
      <c r="DE156" s="461"/>
      <c r="DJ156" s="439"/>
      <c r="DK156" s="401"/>
      <c r="DL156" s="401"/>
      <c r="DM156" s="410"/>
      <c r="DN156" s="398"/>
      <c r="DO156" s="398"/>
      <c r="DP156" s="398"/>
      <c r="DQ156" s="401"/>
      <c r="DR156" s="498"/>
      <c r="DS156" s="372"/>
    </row>
    <row r="157" spans="1:129" x14ac:dyDescent="0.2">
      <c r="A157" s="729" t="s">
        <v>428</v>
      </c>
      <c r="B157" s="288"/>
      <c r="C157" s="117"/>
      <c r="D157" s="117"/>
      <c r="E157" s="117"/>
      <c r="F157" s="117"/>
      <c r="G157" s="288"/>
      <c r="H157" s="117"/>
      <c r="I157" s="117"/>
      <c r="J157" s="117"/>
      <c r="K157" s="117"/>
      <c r="L157" s="288"/>
      <c r="M157" s="117"/>
      <c r="N157" s="117"/>
      <c r="O157" s="117"/>
      <c r="P157" s="117"/>
      <c r="Q157" s="288"/>
      <c r="R157" s="117"/>
      <c r="S157" s="117"/>
      <c r="T157" s="117"/>
      <c r="U157" s="117"/>
      <c r="V157" s="288"/>
      <c r="W157" s="117"/>
      <c r="X157" s="117"/>
      <c r="Y157" s="117"/>
      <c r="Z157" s="117"/>
      <c r="AA157" s="288"/>
      <c r="AB157" s="117"/>
      <c r="AC157" s="117"/>
      <c r="AD157" s="117"/>
      <c r="AE157" s="117"/>
      <c r="AF157" s="288"/>
      <c r="AG157" s="117"/>
      <c r="AH157" s="117"/>
      <c r="AI157" s="117"/>
      <c r="AJ157" s="117"/>
      <c r="AK157" s="288"/>
      <c r="AL157" s="117"/>
      <c r="AM157" s="117"/>
      <c r="AN157" s="117"/>
      <c r="AO157" s="117"/>
      <c r="AP157" s="288"/>
      <c r="AQ157" s="117"/>
      <c r="AR157" s="117"/>
      <c r="AS157" s="117"/>
      <c r="AT157" s="117"/>
      <c r="AU157" s="288"/>
      <c r="AV157" s="117"/>
      <c r="AW157" s="117"/>
      <c r="AX157" s="117"/>
      <c r="AY157" s="117"/>
      <c r="AZ157" s="288"/>
      <c r="BA157" s="117"/>
      <c r="BB157" s="117"/>
      <c r="BC157" s="117"/>
      <c r="BD157" s="117"/>
      <c r="BE157" s="288"/>
      <c r="BF157" s="117"/>
      <c r="BG157" s="117"/>
      <c r="BH157" s="117"/>
      <c r="BI157" s="117"/>
      <c r="BJ157" s="288"/>
      <c r="BK157" s="117"/>
      <c r="BL157" s="117"/>
      <c r="BM157" s="117"/>
      <c r="BN157" s="117"/>
      <c r="BO157" s="288"/>
      <c r="BP157" s="117"/>
      <c r="BQ157" s="117"/>
      <c r="BR157" s="117"/>
      <c r="BS157" s="117"/>
      <c r="BT157" s="288"/>
      <c r="BU157" s="117"/>
      <c r="BV157" s="117"/>
      <c r="BW157" s="117"/>
      <c r="BX157" s="117"/>
      <c r="BY157" s="288"/>
      <c r="BZ157" s="117"/>
      <c r="CA157" s="117"/>
      <c r="CB157" s="117"/>
      <c r="CC157" s="117"/>
      <c r="CD157" s="288"/>
      <c r="CE157" s="117"/>
      <c r="CF157" s="117"/>
      <c r="CG157" s="117"/>
      <c r="CH157" s="117"/>
      <c r="CI157" s="288"/>
      <c r="CJ157" s="117"/>
      <c r="CK157" s="117"/>
      <c r="CL157" s="117"/>
      <c r="CM157" s="117"/>
      <c r="CN157" s="288"/>
      <c r="CO157" s="117">
        <f>+CM155*(CO158)/4</f>
        <v>-3.6359999999999997</v>
      </c>
      <c r="CP157" s="117">
        <f>+CO155*(CP158)/4</f>
        <v>-3.5950949999999993</v>
      </c>
      <c r="CQ157" s="117">
        <f>+CP155*(CQ158)/4</f>
        <v>-3.5546501812499991</v>
      </c>
      <c r="CR157" s="117">
        <f>+CQ155*(CR158)/4</f>
        <v>-3.5146603667109368</v>
      </c>
      <c r="CS157" s="288">
        <f>+SUM(CO157:CR157)</f>
        <v>-14.300405547960935</v>
      </c>
      <c r="CT157" s="117"/>
      <c r="CU157" s="117"/>
      <c r="CV157" s="117"/>
      <c r="CW157" s="117"/>
      <c r="CX157" s="288">
        <f>+CS155*(CX158)</f>
        <v>-12.568467542707891</v>
      </c>
      <c r="CY157" s="117"/>
      <c r="CZ157" s="117"/>
      <c r="DA157" s="117"/>
      <c r="DB157" s="117"/>
      <c r="DC157" s="288">
        <f>+CX155*(DC158)</f>
        <v>-10.55751273587463</v>
      </c>
      <c r="DD157" s="372"/>
      <c r="DE157" s="461"/>
      <c r="DJ157" s="439"/>
      <c r="DK157" s="401"/>
      <c r="DL157" s="401"/>
      <c r="DM157" s="410"/>
      <c r="DN157" s="398"/>
      <c r="DO157" s="398"/>
      <c r="DP157" s="398"/>
      <c r="DQ157" s="401"/>
      <c r="DR157" s="498"/>
      <c r="DS157" s="372"/>
    </row>
    <row r="158" spans="1:129" x14ac:dyDescent="0.2">
      <c r="A158" s="729" t="s">
        <v>429</v>
      </c>
      <c r="B158" s="288"/>
      <c r="C158" s="117"/>
      <c r="D158" s="117"/>
      <c r="E158" s="117"/>
      <c r="F158" s="117"/>
      <c r="G158" s="288"/>
      <c r="H158" s="117"/>
      <c r="I158" s="117"/>
      <c r="J158" s="117"/>
      <c r="K158" s="117"/>
      <c r="L158" s="288"/>
      <c r="M158" s="3"/>
      <c r="N158" s="3"/>
      <c r="O158" s="3"/>
      <c r="P158" s="3"/>
      <c r="Q158" s="288"/>
      <c r="R158" s="3"/>
      <c r="S158" s="3"/>
      <c r="T158" s="3"/>
      <c r="U158" s="3"/>
      <c r="V158" s="288"/>
      <c r="W158" s="3"/>
      <c r="X158" s="3"/>
      <c r="Y158" s="3"/>
      <c r="Z158" s="3"/>
      <c r="AA158" s="288"/>
      <c r="AB158" s="3"/>
      <c r="AC158" s="3"/>
      <c r="AD158" s="3"/>
      <c r="AE158" s="3"/>
      <c r="AF158" s="288"/>
      <c r="AG158" s="3"/>
      <c r="AH158" s="3"/>
      <c r="AI158" s="3"/>
      <c r="AJ158" s="3"/>
      <c r="AK158" s="288"/>
      <c r="AL158" s="3"/>
      <c r="AM158" s="3"/>
      <c r="AN158" s="3"/>
      <c r="AO158" s="3"/>
      <c r="AP158" s="288"/>
      <c r="AQ158" s="3"/>
      <c r="AR158" s="3"/>
      <c r="AS158" s="3"/>
      <c r="AT158" s="3"/>
      <c r="AU158" s="249">
        <f t="shared" ref="AU158:CG158" si="691">+AU155/AP155-1</f>
        <v>0.19601279731895893</v>
      </c>
      <c r="AV158" s="3">
        <f t="shared" si="691"/>
        <v>0.28047347212894547</v>
      </c>
      <c r="AW158" s="3">
        <f t="shared" si="691"/>
        <v>0.43491519555403646</v>
      </c>
      <c r="AX158" s="3">
        <f t="shared" si="691"/>
        <v>0.52336374138549169</v>
      </c>
      <c r="AY158" s="3">
        <f t="shared" si="691"/>
        <v>0.22516427983273313</v>
      </c>
      <c r="AZ158" s="249">
        <f t="shared" si="691"/>
        <v>0.46760392818944396</v>
      </c>
      <c r="BA158" s="3">
        <f t="shared" si="691"/>
        <v>-1.8247776393713888E-3</v>
      </c>
      <c r="BB158" s="3">
        <f t="shared" si="691"/>
        <v>7.1691074113257924E-2</v>
      </c>
      <c r="BC158" s="3">
        <f t="shared" si="691"/>
        <v>8.0338438383469324E-3</v>
      </c>
      <c r="BD158" s="3">
        <f t="shared" si="691"/>
        <v>1.0348167573764888E-2</v>
      </c>
      <c r="BE158" s="249">
        <f t="shared" si="691"/>
        <v>4.3777837338095482E-2</v>
      </c>
      <c r="BF158" s="3">
        <f t="shared" si="691"/>
        <v>1.929918665367647E-2</v>
      </c>
      <c r="BG158" s="3">
        <f t="shared" si="691"/>
        <v>6.9911701117373326E-3</v>
      </c>
      <c r="BH158" s="3">
        <f t="shared" si="691"/>
        <v>-1.9629093718114277E-3</v>
      </c>
      <c r="BI158" s="3">
        <f t="shared" si="691"/>
        <v>0.1180312580501055</v>
      </c>
      <c r="BJ158" s="249">
        <f t="shared" si="691"/>
        <v>0</v>
      </c>
      <c r="BK158" s="3">
        <f t="shared" si="691"/>
        <v>0.22725905878815222</v>
      </c>
      <c r="BL158" s="3">
        <f t="shared" si="691"/>
        <v>-1.4541691628996212E-2</v>
      </c>
      <c r="BM158" s="3">
        <f t="shared" si="691"/>
        <v>-4.2194580263564818E-3</v>
      </c>
      <c r="BN158" s="3">
        <f t="shared" si="691"/>
        <v>-0.17017820165077135</v>
      </c>
      <c r="BO158" s="249">
        <f t="shared" si="691"/>
        <v>-7.1292556260819095E-3</v>
      </c>
      <c r="BP158" s="3">
        <f t="shared" si="691"/>
        <v>-9.9079705389046868E-2</v>
      </c>
      <c r="BQ158" s="3">
        <f t="shared" si="691"/>
        <v>-2.3066675199107101E-3</v>
      </c>
      <c r="BR158" s="3">
        <f t="shared" si="691"/>
        <v>-3.0366133785005855E-3</v>
      </c>
      <c r="BS158" s="3">
        <f t="shared" si="691"/>
        <v>0.21230067376397521</v>
      </c>
      <c r="BT158" s="249">
        <f t="shared" si="691"/>
        <v>-2.045744473729405E-3</v>
      </c>
      <c r="BU158" s="3">
        <f t="shared" si="691"/>
        <v>-3.7703410628832645E-2</v>
      </c>
      <c r="BV158" s="3">
        <f t="shared" si="691"/>
        <v>2.5452414480762187E-3</v>
      </c>
      <c r="BW158" s="3">
        <f t="shared" si="691"/>
        <v>-7.6713843110445268E-3</v>
      </c>
      <c r="BX158" s="3">
        <f t="shared" si="691"/>
        <v>-6.4767703123868037E-3</v>
      </c>
      <c r="BY158" s="249">
        <f t="shared" si="691"/>
        <v>2.8172089975977421E-2</v>
      </c>
      <c r="BZ158" s="3">
        <f t="shared" si="691"/>
        <v>0.16497259541137166</v>
      </c>
      <c r="CA158" s="3">
        <f t="shared" si="691"/>
        <v>1.1094437949666469E-2</v>
      </c>
      <c r="CB158" s="3">
        <f t="shared" si="691"/>
        <v>7.0681426410403869E-3</v>
      </c>
      <c r="CC158" s="3">
        <f t="shared" si="691"/>
        <v>-8.9876886174422577E-4</v>
      </c>
      <c r="CD158" s="249">
        <f>+CD155/BY155-1</f>
        <v>-2.9478901161144266E-2</v>
      </c>
      <c r="CE158" s="3">
        <f t="shared" si="691"/>
        <v>-1.3704169013270984E-2</v>
      </c>
      <c r="CF158" s="3">
        <f t="shared" si="691"/>
        <v>-1.4613970852591751E-2</v>
      </c>
      <c r="CG158" s="3">
        <f t="shared" si="691"/>
        <v>-1.2197287486280795E-3</v>
      </c>
      <c r="CH158" s="3">
        <f t="shared" ref="CH158" si="692">+CH155/CC155-1</f>
        <v>-2.2869126095628189E-3</v>
      </c>
      <c r="CI158" s="249">
        <f>+CI155/CD155-1</f>
        <v>-1.4327776334948084E-3</v>
      </c>
      <c r="CJ158" s="3">
        <f t="shared" ref="CJ158:CL158" si="693">+CJ155/CE155-1</f>
        <v>-9.6632503660322167E-3</v>
      </c>
      <c r="CK158" s="3">
        <f t="shared" si="693"/>
        <v>-3.2399299474606069E-2</v>
      </c>
      <c r="CL158" s="3">
        <f t="shared" si="693"/>
        <v>-4.459341299912567E-2</v>
      </c>
      <c r="CM158" s="3">
        <f t="shared" ref="CM158" si="694">+CM155/CH155-1</f>
        <v>-5.3864168618267039E-2</v>
      </c>
      <c r="CN158" s="249">
        <f>+CN155/CI155-1</f>
        <v>-3.5140268848626421E-2</v>
      </c>
      <c r="CO158" s="738">
        <v>-4.4999999999999998E-2</v>
      </c>
      <c r="CP158" s="738">
        <v>-4.4999999999999998E-2</v>
      </c>
      <c r="CQ158" s="738">
        <v>-4.4999999999999998E-2</v>
      </c>
      <c r="CR158" s="738">
        <v>-4.4999999999999998E-2</v>
      </c>
      <c r="CS158" s="249">
        <f>+CS155/CN155-1</f>
        <v>-4.834803189915271E-2</v>
      </c>
      <c r="CT158" s="738"/>
      <c r="CU158" s="738"/>
      <c r="CV158" s="738"/>
      <c r="CW158" s="738"/>
      <c r="CX158" s="739">
        <v>-0.04</v>
      </c>
      <c r="CY158" s="738"/>
      <c r="CZ158" s="738"/>
      <c r="DA158" s="738"/>
      <c r="DB158" s="738"/>
      <c r="DC158" s="739">
        <v>-3.5000000000000003E-2</v>
      </c>
      <c r="DD158" s="372"/>
      <c r="DE158" s="461"/>
      <c r="DJ158" s="439"/>
      <c r="DK158" s="401"/>
      <c r="DL158" s="401"/>
      <c r="DM158" s="410"/>
      <c r="DN158" s="398"/>
      <c r="DO158" s="398"/>
      <c r="DP158" s="398"/>
      <c r="DQ158" s="401"/>
      <c r="DR158" s="498"/>
      <c r="DS158" s="372"/>
    </row>
    <row r="159" spans="1:129" x14ac:dyDescent="0.2">
      <c r="A159" s="730" t="s">
        <v>255</v>
      </c>
      <c r="B159" s="288"/>
      <c r="C159" s="117"/>
      <c r="D159" s="117"/>
      <c r="E159" s="117"/>
      <c r="F159" s="117"/>
      <c r="G159" s="288"/>
      <c r="H159" s="117"/>
      <c r="I159" s="117"/>
      <c r="J159" s="117"/>
      <c r="K159" s="117"/>
      <c r="L159" s="288"/>
      <c r="M159" s="117"/>
      <c r="N159" s="117"/>
      <c r="O159" s="117"/>
      <c r="P159" s="117"/>
      <c r="Q159" s="288"/>
      <c r="R159" s="117"/>
      <c r="S159" s="117"/>
      <c r="T159" s="117"/>
      <c r="U159" s="117"/>
      <c r="V159" s="288"/>
      <c r="W159" s="117"/>
      <c r="X159" s="117"/>
      <c r="Y159" s="117"/>
      <c r="Z159" s="117"/>
      <c r="AA159" s="288"/>
      <c r="AB159" s="117"/>
      <c r="AC159" s="117"/>
      <c r="AD159" s="117"/>
      <c r="AE159" s="117"/>
      <c r="AF159" s="288"/>
      <c r="AG159" s="117"/>
      <c r="AH159" s="117"/>
      <c r="AI159" s="117"/>
      <c r="AJ159" s="117"/>
      <c r="AK159" s="288"/>
      <c r="AL159" s="117"/>
      <c r="AM159" s="117"/>
      <c r="AN159" s="117"/>
      <c r="AO159" s="117"/>
      <c r="AP159" s="288"/>
      <c r="AQ159" s="117"/>
      <c r="AR159" s="117"/>
      <c r="AS159" s="117"/>
      <c r="AT159" s="117"/>
      <c r="AU159" s="288"/>
      <c r="AV159" s="117"/>
      <c r="AW159" s="117"/>
      <c r="AX159" s="117"/>
      <c r="AY159" s="117"/>
      <c r="AZ159" s="288"/>
      <c r="BA159" s="117"/>
      <c r="BB159" s="117"/>
      <c r="BC159" s="117"/>
      <c r="BD159" s="117"/>
      <c r="BE159" s="288"/>
      <c r="BF159" s="117"/>
      <c r="BG159" s="117"/>
      <c r="BH159" s="117"/>
      <c r="BI159" s="117"/>
      <c r="BJ159" s="288"/>
      <c r="BK159" s="117"/>
      <c r="BL159" s="117"/>
      <c r="BM159" s="117"/>
      <c r="BN159" s="117"/>
      <c r="BO159" s="288"/>
      <c r="BP159" s="117"/>
      <c r="BQ159" s="117"/>
      <c r="BR159" s="117"/>
      <c r="BS159" s="117"/>
      <c r="BT159" s="288"/>
      <c r="BU159" s="117"/>
      <c r="BV159" s="117"/>
      <c r="BW159" s="117"/>
      <c r="BX159" s="117"/>
      <c r="BY159" s="288"/>
      <c r="BZ159" s="117"/>
      <c r="CA159" s="117"/>
      <c r="CB159" s="117"/>
      <c r="CC159" s="117"/>
      <c r="CD159" s="288"/>
      <c r="CE159" s="117"/>
      <c r="CF159" s="117"/>
      <c r="CG159" s="117"/>
      <c r="CH159" s="117"/>
      <c r="CI159" s="288"/>
      <c r="CJ159" s="117"/>
      <c r="CK159" s="117"/>
      <c r="CL159" s="117"/>
      <c r="CM159" s="117"/>
      <c r="CN159" s="288"/>
      <c r="CO159" s="117"/>
      <c r="CP159" s="117"/>
      <c r="CQ159" s="117"/>
      <c r="CR159" s="117"/>
      <c r="CS159" s="288"/>
      <c r="CT159" s="117"/>
      <c r="CU159" s="117"/>
      <c r="CV159" s="117"/>
      <c r="CW159" s="117"/>
      <c r="CX159" s="288"/>
      <c r="CY159" s="117"/>
      <c r="CZ159" s="117"/>
      <c r="DA159" s="117"/>
      <c r="DB159" s="117"/>
      <c r="DC159" s="288"/>
      <c r="DD159" s="372"/>
      <c r="DE159" s="461"/>
      <c r="DJ159" s="439"/>
      <c r="DK159" s="401"/>
      <c r="DL159" s="401"/>
      <c r="DM159" s="410"/>
      <c r="DN159" s="398"/>
      <c r="DO159" s="398"/>
      <c r="DP159" s="398"/>
      <c r="DQ159" s="401"/>
      <c r="DR159" s="498"/>
      <c r="DS159" s="372"/>
    </row>
    <row r="160" spans="1:129" x14ac:dyDescent="0.2">
      <c r="A160" s="120" t="s">
        <v>430</v>
      </c>
      <c r="B160" s="290"/>
      <c r="C160" s="121"/>
      <c r="D160" s="121"/>
      <c r="E160" s="121"/>
      <c r="F160" s="121"/>
      <c r="G160" s="290"/>
      <c r="H160" s="121"/>
      <c r="I160" s="121"/>
      <c r="J160" s="121"/>
      <c r="K160" s="121"/>
      <c r="L160" s="290"/>
      <c r="M160" s="121"/>
      <c r="N160" s="121"/>
      <c r="O160" s="121"/>
      <c r="P160" s="121"/>
      <c r="Q160" s="290"/>
      <c r="R160" s="121"/>
      <c r="S160" s="121"/>
      <c r="T160" s="121"/>
      <c r="U160" s="121"/>
      <c r="V160" s="290"/>
      <c r="W160" s="121"/>
      <c r="X160" s="121"/>
      <c r="Y160" s="121"/>
      <c r="Z160" s="121"/>
      <c r="AA160" s="290"/>
      <c r="AB160" s="121"/>
      <c r="AC160" s="121"/>
      <c r="AD160" s="121"/>
      <c r="AE160" s="121"/>
      <c r="AF160" s="290"/>
      <c r="AG160" s="121"/>
      <c r="AH160" s="121"/>
      <c r="AI160" s="121"/>
      <c r="AJ160" s="121"/>
      <c r="AK160" s="290"/>
      <c r="AL160" s="121"/>
      <c r="AM160" s="121"/>
      <c r="AN160" s="121"/>
      <c r="AO160" s="121"/>
      <c r="AP160" s="290"/>
      <c r="AQ160" s="121"/>
      <c r="AR160" s="121"/>
      <c r="AS160" s="121"/>
      <c r="AT160" s="121"/>
      <c r="AU160" s="290"/>
      <c r="AV160" s="121"/>
      <c r="AW160" s="121"/>
      <c r="AX160" s="121"/>
      <c r="AY160" s="121"/>
      <c r="AZ160" s="290"/>
      <c r="BA160" s="121"/>
      <c r="BB160" s="121"/>
      <c r="BC160" s="121"/>
      <c r="BD160" s="121"/>
      <c r="BE160" s="290"/>
      <c r="BF160" s="121"/>
      <c r="BG160" s="121"/>
      <c r="BH160" s="121"/>
      <c r="BI160" s="121"/>
      <c r="BJ160" s="290"/>
      <c r="BK160" s="121"/>
      <c r="BL160" s="121"/>
      <c r="BM160" s="121"/>
      <c r="BN160" s="121"/>
      <c r="BO160" s="290"/>
      <c r="BP160" s="121"/>
      <c r="BQ160" s="121"/>
      <c r="BR160" s="121"/>
      <c r="BS160" s="121"/>
      <c r="BT160" s="583"/>
      <c r="BU160" s="121"/>
      <c r="BV160" s="121"/>
      <c r="BW160" s="121"/>
      <c r="BX160" s="121"/>
      <c r="BY160" s="583"/>
      <c r="BZ160" s="121"/>
      <c r="CA160" s="121"/>
      <c r="CB160" s="121"/>
      <c r="CC160" s="121"/>
      <c r="CD160" s="583"/>
      <c r="CE160" s="121"/>
      <c r="CF160" s="121"/>
      <c r="CG160" s="121"/>
      <c r="CH160" s="121"/>
      <c r="CI160" s="583"/>
      <c r="CJ160" s="121"/>
      <c r="CK160" s="121"/>
      <c r="CL160" s="121"/>
      <c r="CM160" s="121"/>
      <c r="CN160" s="583"/>
      <c r="CO160" s="121"/>
      <c r="CP160" s="121"/>
      <c r="CQ160" s="121"/>
      <c r="CR160" s="121"/>
      <c r="CS160" s="290"/>
      <c r="CT160" s="121"/>
      <c r="CU160" s="121"/>
      <c r="CV160" s="121"/>
      <c r="CW160" s="121"/>
      <c r="CX160" s="290"/>
      <c r="CY160" s="121"/>
      <c r="CZ160" s="121"/>
      <c r="DA160" s="121"/>
      <c r="DB160" s="121"/>
      <c r="DC160" s="290"/>
      <c r="DD160" s="25"/>
      <c r="DE160" s="178"/>
      <c r="DJ160" s="430"/>
      <c r="DK160" s="389"/>
      <c r="DL160" s="389"/>
      <c r="DM160" s="410"/>
      <c r="DN160" s="398"/>
      <c r="DO160" s="398"/>
      <c r="DP160" s="398"/>
      <c r="DQ160" s="389"/>
      <c r="DR160" s="487"/>
      <c r="DS160" s="25"/>
    </row>
    <row r="161" spans="1:143" x14ac:dyDescent="0.2">
      <c r="A161" s="731" t="s">
        <v>431</v>
      </c>
      <c r="B161" s="288"/>
      <c r="C161" s="117"/>
      <c r="D161" s="117"/>
      <c r="E161" s="117"/>
      <c r="F161" s="117"/>
      <c r="G161" s="288"/>
      <c r="H161" s="117"/>
      <c r="I161" s="117"/>
      <c r="J161" s="117"/>
      <c r="K161" s="117"/>
      <c r="L161" s="288"/>
      <c r="M161" s="732"/>
      <c r="N161" s="74"/>
      <c r="O161" s="74"/>
      <c r="P161" s="74"/>
      <c r="Q161" s="288"/>
      <c r="R161" s="732"/>
      <c r="S161" s="74"/>
      <c r="T161" s="74"/>
      <c r="U161" s="74"/>
      <c r="V161" s="288"/>
      <c r="W161" s="732"/>
      <c r="X161" s="74"/>
      <c r="Y161" s="74"/>
      <c r="Z161" s="74"/>
      <c r="AA161" s="288"/>
      <c r="AB161" s="732"/>
      <c r="AC161" s="74"/>
      <c r="AD161" s="74"/>
      <c r="AE161" s="74"/>
      <c r="AF161" s="288"/>
      <c r="AG161" s="732">
        <f>AVERAGE(AF164,AG164)</f>
        <v>10.719999</v>
      </c>
      <c r="AH161" s="74">
        <f>AVERAGE(AG164,AH164)</f>
        <v>11.429998999999999</v>
      </c>
      <c r="AI161" s="74">
        <f>AVERAGE(AH164,AI164)</f>
        <v>10.689999499999999</v>
      </c>
      <c r="AJ161" s="74">
        <f>AVERAGE(AI164,AJ164)</f>
        <v>11.719999999999999</v>
      </c>
      <c r="AK161" s="733">
        <f>AVERAGE(AF164,AK164)</f>
        <v>14.2</v>
      </c>
      <c r="AL161" s="732">
        <f>AVERAGE(AK164,AL164)</f>
        <v>12.855</v>
      </c>
      <c r="AM161" s="74">
        <f>AVERAGE(AL164,AM164)</f>
        <v>11.629999999999999</v>
      </c>
      <c r="AN161" s="74">
        <f>AVERAGE(AM164,AN164)</f>
        <v>10.484999699999999</v>
      </c>
      <c r="AO161" s="74">
        <f>AVERAGE(AN164,AO164)</f>
        <v>7.5599995500000006</v>
      </c>
      <c r="AP161" s="733">
        <f>AVERAGE(AK164,AP164)</f>
        <v>10.049999849999999</v>
      </c>
      <c r="AQ161" s="732">
        <f>AVERAGE(AP164,AQ164)</f>
        <v>5.8499995</v>
      </c>
      <c r="AR161" s="74">
        <f>AVERAGE(AQ164,AR164)</f>
        <v>4.7649994499999995</v>
      </c>
      <c r="AS161" s="74">
        <f>AVERAGE(AR164,AS164)</f>
        <v>4.3399997500000005</v>
      </c>
      <c r="AT161" s="74">
        <f>AVERAGE(AS164,AT164)</f>
        <v>6.0249997000000004</v>
      </c>
      <c r="AU161" s="733">
        <f>AVERAGE(AP164,AU164)</f>
        <v>6.4999996000000007</v>
      </c>
      <c r="AV161" s="732">
        <f>AVERAGE(AU164,AV164)</f>
        <v>5.3749995999999998</v>
      </c>
      <c r="AW161" s="74">
        <f>AVERAGE(AV164,AW164)</f>
        <v>3.9599996500000003</v>
      </c>
      <c r="AX161" s="74">
        <f>AVERAGE(AW164,AX164)</f>
        <v>5.1249996000000007</v>
      </c>
      <c r="AY161" s="74">
        <f>AVERAGE(AX164,AY164)</f>
        <v>5.7149997500000005</v>
      </c>
      <c r="AZ161" s="733">
        <f>AVERAGE(AU164,AZ164)</f>
        <v>6.2749997000000004</v>
      </c>
      <c r="BA161" s="732">
        <f>AVERAGE(AZ164,BA164)</f>
        <v>5.51499995</v>
      </c>
      <c r="BB161" s="74">
        <f>AVERAGE(BA164,BB164)</f>
        <v>5.5349998999999999</v>
      </c>
      <c r="BC161" s="74">
        <f>AVERAGE(BB164,BC164)</f>
        <v>6.0899996999999999</v>
      </c>
      <c r="BD161" s="74">
        <f>AVERAGE(BC164,BD164)</f>
        <v>6.6499996499999998</v>
      </c>
      <c r="BE161" s="733">
        <f>AVERAGE(AZ164,BE164)</f>
        <v>6.0299998000000006</v>
      </c>
      <c r="BF161" s="732">
        <f>AVERAGE(BE164,BF164)</f>
        <v>6.4399996500000007</v>
      </c>
      <c r="BG161" s="74">
        <f>AVERAGE(BF164,BG164)</f>
        <v>6.1849995500000006</v>
      </c>
      <c r="BH161" s="74">
        <f>AVERAGE(BG164,BH164)</f>
        <v>5.0949993500000001</v>
      </c>
      <c r="BI161" s="74">
        <f>AVERAGE(BH164,BI164)</f>
        <v>4.6449995499999996</v>
      </c>
      <c r="BJ161" s="733">
        <f>AVERAGE(BE164,BJ164)</f>
        <v>5.9049998000000006</v>
      </c>
      <c r="BK161" s="732">
        <f>AVERAGE(BJ164,BK164)</f>
        <v>5.0449996499999994</v>
      </c>
      <c r="BL161" s="74">
        <f>AVERAGE(BK164,BL164)</f>
        <v>5.0949993500000001</v>
      </c>
      <c r="BM161" s="74">
        <f>AVERAGE(BL164,BM164)</f>
        <v>5.0474992499999995</v>
      </c>
      <c r="BN161" s="74">
        <f>AVERAGE(BM164,BN164)</f>
        <v>5.2574993000000001</v>
      </c>
      <c r="BO161" s="733">
        <f>AVERAGE(BJ164,BO164)</f>
        <v>5.4599996500000003</v>
      </c>
      <c r="BP161" s="732">
        <f>AVERAGE(BO164,BP164)</f>
        <v>6.3099995500000006</v>
      </c>
      <c r="BQ161" s="74">
        <f>AVERAGE(BP164,BQ164)</f>
        <v>6.5949998500000007</v>
      </c>
      <c r="BR161" s="74">
        <f>AVERAGE(BQ164,BR164)</f>
        <v>6.4775</v>
      </c>
      <c r="BS161" s="74">
        <f>AVERAGE(BR164,BS164)</f>
        <v>7.6024999999999991</v>
      </c>
      <c r="BT161" s="733">
        <f>AVERAGE(BO164,BT164)</f>
        <v>7.1299996999999991</v>
      </c>
      <c r="BU161" s="732">
        <f>AVERAGE(BT164,BU164)</f>
        <v>8.6149997999999997</v>
      </c>
      <c r="BV161" s="74">
        <f>AVERAGE(BU164,BV164)</f>
        <v>9.7699998000000008</v>
      </c>
      <c r="BW161" s="74">
        <f>AVERAGE(BV164,BW164)</f>
        <v>10.734999999999999</v>
      </c>
      <c r="BX161" s="74">
        <f>AVERAGE(BW164,BX164)</f>
        <v>13.239999999999998</v>
      </c>
      <c r="BY161" s="733">
        <f>AVERAGE(BT164,BY164)</f>
        <v>12.2</v>
      </c>
      <c r="BZ161" s="732">
        <f>AVERAGE(BY164,BZ164)</f>
        <v>17.555</v>
      </c>
      <c r="CA161" s="74">
        <f>AVERAGE(BZ164,CA164)</f>
        <v>20.004997500000002</v>
      </c>
      <c r="CB161" s="74">
        <f>AVERAGE(CA164,CB164)</f>
        <v>23.265000000000001</v>
      </c>
      <c r="CC161" s="74">
        <f>AVERAGE(CB164,CC164)</f>
        <v>24.209999500000002</v>
      </c>
      <c r="CD161" s="733">
        <f>AVERAGE(BY164,CD164)</f>
        <v>19.254996999999999</v>
      </c>
      <c r="CE161" s="732">
        <f>AVERAGE(CD164,CE164)</f>
        <v>21.884995</v>
      </c>
      <c r="CF161" s="74">
        <f>AVERAGE(CE164,CF164)</f>
        <v>18.839997</v>
      </c>
      <c r="CG161" s="74">
        <f>AVERAGE(CF164,CG164)</f>
        <v>16.900002000000001</v>
      </c>
      <c r="CH161" s="74">
        <f>AVERAGE(CG164,CH164)</f>
        <v>19.830002499999999</v>
      </c>
      <c r="CI161" s="733">
        <f>AVERAGE(CD164,CI164)</f>
        <v>22.534996499999998</v>
      </c>
      <c r="CJ161" s="732">
        <f>AVERAGE(CI164,CJ164)</f>
        <v>21.515000000000001</v>
      </c>
      <c r="CK161" s="74">
        <f>AVERAGE(CJ164,CK164)</f>
        <v>21.720001500000002</v>
      </c>
      <c r="CL161" s="74">
        <f>AVERAGE(CK164,CL164)</f>
        <v>22.290001</v>
      </c>
      <c r="CM161" s="74">
        <f>AVERAGE(CL164,CM164)</f>
        <v>22.044998499999998</v>
      </c>
      <c r="CN161" s="733">
        <f>AVERAGE(CI164,CN164)</f>
        <v>22.379998000000001</v>
      </c>
      <c r="CO161" s="74">
        <f>AVERAGE(CM164,CO164)</f>
        <v>22.6192469625</v>
      </c>
      <c r="CP161" s="74">
        <f t="shared" ref="CP161:CR161" si="695">AVERAGE(CO164,CP164)</f>
        <v>23.184728136562498</v>
      </c>
      <c r="CQ161" s="74">
        <f t="shared" si="695"/>
        <v>23.764346339976562</v>
      </c>
      <c r="CR161" s="74">
        <f t="shared" si="695"/>
        <v>24.35845499847597</v>
      </c>
      <c r="CS161" s="733">
        <f>AVERAGE(CN164,CS164)</f>
        <v>23.49958683256191</v>
      </c>
      <c r="CT161" s="117"/>
      <c r="CU161" s="117"/>
      <c r="CV161" s="117"/>
      <c r="CW161" s="117"/>
      <c r="CX161" s="733">
        <f>AVERAGE(CS164,CX164)</f>
        <v>25.892135498380014</v>
      </c>
      <c r="CY161" s="117"/>
      <c r="CZ161" s="117"/>
      <c r="DA161" s="117"/>
      <c r="DB161" s="117"/>
      <c r="DC161" s="733">
        <f>AVERAGE(CX164,DC164)</f>
        <v>28.481349048218021</v>
      </c>
      <c r="DD161" s="372"/>
      <c r="DE161" s="461"/>
      <c r="DJ161" s="439"/>
      <c r="DK161" s="401"/>
      <c r="DL161" s="401"/>
      <c r="DM161" s="410"/>
      <c r="DN161" s="398"/>
      <c r="DO161" s="398"/>
      <c r="DP161" s="398"/>
      <c r="DQ161" s="401"/>
      <c r="DR161" s="498"/>
      <c r="DS161" s="372"/>
    </row>
    <row r="162" spans="1:143" x14ac:dyDescent="0.2">
      <c r="A162" s="734" t="s">
        <v>432</v>
      </c>
      <c r="B162" s="288"/>
      <c r="C162" s="117"/>
      <c r="D162" s="117"/>
      <c r="E162" s="117"/>
      <c r="F162" s="117"/>
      <c r="G162" s="288"/>
      <c r="H162" s="117"/>
      <c r="I162" s="117"/>
      <c r="J162" s="117"/>
      <c r="K162" s="117"/>
      <c r="L162" s="288"/>
      <c r="M162" s="735"/>
      <c r="N162" s="370"/>
      <c r="O162" s="370"/>
      <c r="P162" s="370"/>
      <c r="Q162" s="288"/>
      <c r="R162" s="735"/>
      <c r="S162" s="370"/>
      <c r="T162" s="370"/>
      <c r="U162" s="370"/>
      <c r="V162" s="288"/>
      <c r="W162" s="735"/>
      <c r="X162" s="370"/>
      <c r="Y162" s="370"/>
      <c r="Z162" s="370"/>
      <c r="AA162" s="288"/>
      <c r="AB162" s="735"/>
      <c r="AC162" s="370"/>
      <c r="AD162" s="370"/>
      <c r="AE162" s="370"/>
      <c r="AF162" s="288"/>
      <c r="AG162" s="735"/>
      <c r="AH162" s="370">
        <f>AH161/AG161-1</f>
        <v>6.6231349461879585E-2</v>
      </c>
      <c r="AI162" s="370">
        <f>AI161/AH161-1</f>
        <v>-6.4741869181265899E-2</v>
      </c>
      <c r="AJ162" s="370">
        <f>AJ161/AI161-1</f>
        <v>9.635178186865212E-2</v>
      </c>
      <c r="AK162" s="736"/>
      <c r="AL162" s="735">
        <f>AL161/AJ161-1</f>
        <v>9.6843003412969475E-2</v>
      </c>
      <c r="AM162" s="370">
        <f>AM161/AL161-1</f>
        <v>-9.5293660054453611E-2</v>
      </c>
      <c r="AN162" s="370">
        <f>AN161/AM161-1</f>
        <v>-9.8452304385210576E-2</v>
      </c>
      <c r="AO162" s="370">
        <f>AO161/AN161-1</f>
        <v>-0.27896997936967027</v>
      </c>
      <c r="AP162" s="736">
        <f>AP161/AK161-1</f>
        <v>-0.2922535316901409</v>
      </c>
      <c r="AQ162" s="735">
        <f>AQ161/AO161-1</f>
        <v>-0.22619049626795285</v>
      </c>
      <c r="AR162" s="370">
        <f>AR161/AQ161-1</f>
        <v>-0.18547010986924028</v>
      </c>
      <c r="AS162" s="370">
        <f>AS161/AR161-1</f>
        <v>-8.9191972519534923E-2</v>
      </c>
      <c r="AT162" s="370">
        <f>AT161/AS161-1</f>
        <v>0.38824885877009541</v>
      </c>
      <c r="AU162" s="736">
        <f>AU161/AP161-1</f>
        <v>-0.35323386099354004</v>
      </c>
      <c r="AV162" s="735">
        <f>AV161/AT161-1</f>
        <v>-0.10788383939670576</v>
      </c>
      <c r="AW162" s="370">
        <f>AW161/AV161-1</f>
        <v>-0.26325582424229377</v>
      </c>
      <c r="AX162" s="370">
        <f>AX161/AW161-1</f>
        <v>0.29419193256746889</v>
      </c>
      <c r="AY162" s="370">
        <f>AY161/AX161-1</f>
        <v>0.11512198947293562</v>
      </c>
      <c r="AZ162" s="736">
        <f>AZ161/AU161-1</f>
        <v>-3.4615371360945946E-2</v>
      </c>
      <c r="BA162" s="735">
        <f>BA161/AY161-1</f>
        <v>-3.4995592082046945E-2</v>
      </c>
      <c r="BB162" s="370">
        <f>BB161/BA161-1</f>
        <v>3.6264642214547393E-3</v>
      </c>
      <c r="BC162" s="370">
        <f>BC161/BB161-1</f>
        <v>0.10027096838791283</v>
      </c>
      <c r="BD162" s="370">
        <f>BD161/BC161-1</f>
        <v>9.1954019308079671E-2</v>
      </c>
      <c r="BE162" s="736">
        <f>BE161/AZ161-1</f>
        <v>-3.9043810631576581E-2</v>
      </c>
      <c r="BF162" s="735">
        <f>BF161/BD161-1</f>
        <v>-3.1578949030470871E-2</v>
      </c>
      <c r="BG162" s="370">
        <f>BG161/BF161-1</f>
        <v>-3.9596290971848136E-2</v>
      </c>
      <c r="BH162" s="370">
        <f>BH161/BG161-1</f>
        <v>-0.17623286650037029</v>
      </c>
      <c r="BI162" s="370">
        <f>BI161/BH161-1</f>
        <v>-8.8321856213779637E-2</v>
      </c>
      <c r="BJ162" s="736">
        <f>BJ161/BE161-1</f>
        <v>-2.0729685596341141E-2</v>
      </c>
      <c r="BK162" s="735">
        <f>BK161/BI161-1</f>
        <v>8.6114131055190279E-2</v>
      </c>
      <c r="BL162" s="370">
        <f>BL161/BK161-1</f>
        <v>9.9107439977723644E-3</v>
      </c>
      <c r="BM162" s="370">
        <f>BM161/BL161-1</f>
        <v>-9.3228863709277077E-3</v>
      </c>
      <c r="BN162" s="370">
        <f>BN161/BM161-1</f>
        <v>4.1604770917004208E-2</v>
      </c>
      <c r="BO162" s="736">
        <f>BO161/BJ161-1</f>
        <v>-7.5359892476203005E-2</v>
      </c>
      <c r="BP162" s="735">
        <f>BP161/BN161-1</f>
        <v>0.20019027867488259</v>
      </c>
      <c r="BQ162" s="370">
        <f>BQ161/BP161-1</f>
        <v>4.5166453300301779E-2</v>
      </c>
      <c r="BR162" s="370">
        <f>BR161/BQ161-1</f>
        <v>-1.7816505333203447E-2</v>
      </c>
      <c r="BS162" s="370">
        <f>BS161/BR161-1</f>
        <v>0.17367811655731358</v>
      </c>
      <c r="BT162" s="736">
        <f>BT161/BO161-1</f>
        <v>0.30586083462477842</v>
      </c>
      <c r="BU162" s="735">
        <f>BU161/BS161-1</f>
        <v>0.13317984873396926</v>
      </c>
      <c r="BV162" s="370">
        <f>BV161/BU161-1</f>
        <v>0.13406848831267548</v>
      </c>
      <c r="BW162" s="370">
        <f>BW161/BV161-1</f>
        <v>9.8771772748654341E-2</v>
      </c>
      <c r="BX162" s="370">
        <f>BX161/BW161-1</f>
        <v>0.23334885887284584</v>
      </c>
      <c r="BY162" s="736">
        <f>BY161/BT161-1</f>
        <v>0.71108001589396985</v>
      </c>
      <c r="BZ162" s="735">
        <f>BZ161/BX161-1</f>
        <v>0.32590634441087629</v>
      </c>
      <c r="CA162" s="370">
        <f>CA161/BZ161-1</f>
        <v>0.1395612361150671</v>
      </c>
      <c r="CB162" s="370">
        <f>CB161/CA161-1</f>
        <v>0.16295940551854593</v>
      </c>
      <c r="CC162" s="370">
        <f>CC161/CB161-1</f>
        <v>4.0618934021061648E-2</v>
      </c>
      <c r="CD162" s="736">
        <f>CD161/BY161-1</f>
        <v>0.57827844262295081</v>
      </c>
      <c r="CE162" s="735">
        <f>CE161/CC161-1</f>
        <v>-9.6034884263421882E-2</v>
      </c>
      <c r="CF162" s="370">
        <f>CF161/CE161-1</f>
        <v>-0.13913633519221735</v>
      </c>
      <c r="CG162" s="370">
        <f>CG161/CF161-1</f>
        <v>-0.10297215015480099</v>
      </c>
      <c r="CH162" s="370">
        <f>CH161/CG161-1</f>
        <v>0.17337279013339746</v>
      </c>
      <c r="CI162" s="736">
        <f>CI161/CD161-1</f>
        <v>0.17034536541345591</v>
      </c>
      <c r="CJ162" s="735">
        <f>CJ161/CH161-1</f>
        <v>8.4972127461910407E-2</v>
      </c>
      <c r="CK162" s="370">
        <f>CK161/CJ161-1</f>
        <v>9.528305833139683E-3</v>
      </c>
      <c r="CL162" s="370">
        <f>CL161/CK161-1</f>
        <v>2.6243069090027271E-2</v>
      </c>
      <c r="CM162" s="370">
        <f>CM161/CL161-1</f>
        <v>-1.0991587663006452E-2</v>
      </c>
      <c r="CN162" s="736">
        <f>CN161/CI161-1</f>
        <v>-6.8781239881708922E-3</v>
      </c>
      <c r="CO162" s="370">
        <f>CO161/CM161-1</f>
        <v>2.6048922729570601E-2</v>
      </c>
      <c r="CP162" s="370">
        <f t="shared" ref="CP162:CR162" si="696">CP161/CO161-1</f>
        <v>2.4999999999999911E-2</v>
      </c>
      <c r="CQ162" s="370">
        <f t="shared" si="696"/>
        <v>2.5000000000000133E-2</v>
      </c>
      <c r="CR162" s="370">
        <f t="shared" si="696"/>
        <v>2.4999999999999689E-2</v>
      </c>
      <c r="CS162" s="736">
        <f>CS161/CN161-1</f>
        <v>5.0026315130229593E-2</v>
      </c>
      <c r="CT162" s="117"/>
      <c r="CU162" s="117"/>
      <c r="CV162" s="117"/>
      <c r="CW162" s="117"/>
      <c r="CX162" s="736">
        <f>CX161/CS161-1</f>
        <v>0.10181237154786471</v>
      </c>
      <c r="CY162" s="117"/>
      <c r="CZ162" s="117"/>
      <c r="DA162" s="117"/>
      <c r="DB162" s="117"/>
      <c r="DC162" s="736">
        <f>DC161/CX161-1</f>
        <v>0.10000000000000031</v>
      </c>
      <c r="DD162" s="372"/>
      <c r="DE162" s="461"/>
      <c r="DJ162" s="439"/>
      <c r="DK162" s="401"/>
      <c r="DL162" s="401"/>
      <c r="DM162" s="410"/>
      <c r="DN162" s="398"/>
      <c r="DO162" s="398"/>
      <c r="DP162" s="398"/>
      <c r="DQ162" s="401"/>
      <c r="DR162" s="498"/>
      <c r="DS162" s="372"/>
    </row>
    <row r="163" spans="1:143" x14ac:dyDescent="0.2">
      <c r="A163" s="184" t="s">
        <v>433</v>
      </c>
      <c r="B163" s="288"/>
      <c r="C163" s="117"/>
      <c r="D163" s="117"/>
      <c r="E163" s="117"/>
      <c r="F163" s="117"/>
      <c r="G163" s="288"/>
      <c r="H163" s="117"/>
      <c r="I163" s="117"/>
      <c r="J163" s="117"/>
      <c r="K163" s="117"/>
      <c r="L163" s="288"/>
      <c r="M163" s="370"/>
      <c r="N163" s="370"/>
      <c r="O163" s="370"/>
      <c r="P163" s="370"/>
      <c r="Q163" s="288"/>
      <c r="R163" s="370"/>
      <c r="S163" s="370"/>
      <c r="T163" s="370"/>
      <c r="U163" s="370"/>
      <c r="V163" s="288"/>
      <c r="W163" s="370"/>
      <c r="X163" s="370"/>
      <c r="Y163" s="370"/>
      <c r="Z163" s="370"/>
      <c r="AA163" s="288"/>
      <c r="AB163" s="370"/>
      <c r="AC163" s="370"/>
      <c r="AD163" s="370"/>
      <c r="AE163" s="370"/>
      <c r="AF163" s="288"/>
      <c r="AG163" s="370"/>
      <c r="AH163" s="370"/>
      <c r="AI163" s="370"/>
      <c r="AJ163" s="370"/>
      <c r="AK163" s="736"/>
      <c r="AL163" s="370">
        <f t="shared" ref="AL163:BY163" si="697">AL161/AG161-1</f>
        <v>0.19916055962318668</v>
      </c>
      <c r="AM163" s="370">
        <f t="shared" si="697"/>
        <v>1.7497901793342319E-2</v>
      </c>
      <c r="AN163" s="370">
        <f t="shared" si="697"/>
        <v>-1.917678293623859E-2</v>
      </c>
      <c r="AO163" s="370">
        <f t="shared" si="697"/>
        <v>-0.35494884385665515</v>
      </c>
      <c r="AP163" s="736">
        <f t="shared" si="697"/>
        <v>-0.2922535316901409</v>
      </c>
      <c r="AQ163" s="370">
        <f t="shared" si="697"/>
        <v>-0.54492419292104244</v>
      </c>
      <c r="AR163" s="370">
        <f t="shared" si="697"/>
        <v>-0.59028379621668103</v>
      </c>
      <c r="AS163" s="370">
        <f t="shared" si="697"/>
        <v>-0.58607535773224662</v>
      </c>
      <c r="AT163" s="370">
        <f t="shared" si="697"/>
        <v>-0.2030423202869106</v>
      </c>
      <c r="AU163" s="736">
        <f t="shared" si="697"/>
        <v>-0.35323386099354004</v>
      </c>
      <c r="AV163" s="370">
        <f t="shared" si="697"/>
        <v>-8.1196571042442045E-2</v>
      </c>
      <c r="AW163" s="370">
        <f t="shared" si="697"/>
        <v>-0.16894016640442622</v>
      </c>
      <c r="AX163" s="370">
        <f t="shared" si="697"/>
        <v>0.18087555189375304</v>
      </c>
      <c r="AY163" s="370">
        <f t="shared" si="697"/>
        <v>-5.1452276420860255E-2</v>
      </c>
      <c r="AZ163" s="736">
        <f t="shared" si="697"/>
        <v>-3.4615371360945946E-2</v>
      </c>
      <c r="BA163" s="370">
        <f t="shared" si="697"/>
        <v>2.6046578682536126E-2</v>
      </c>
      <c r="BB163" s="370">
        <f t="shared" si="697"/>
        <v>0.39772737101125744</v>
      </c>
      <c r="BC163" s="370">
        <f t="shared" si="697"/>
        <v>0.18829271713504125</v>
      </c>
      <c r="BD163" s="370">
        <f t="shared" si="697"/>
        <v>0.16360453909031225</v>
      </c>
      <c r="BE163" s="736">
        <f t="shared" si="697"/>
        <v>-3.9043810631576581E-2</v>
      </c>
      <c r="BF163" s="370">
        <f t="shared" si="697"/>
        <v>0.16772433515615903</v>
      </c>
      <c r="BG163" s="370">
        <f t="shared" si="697"/>
        <v>0.11743444656611479</v>
      </c>
      <c r="BH163" s="370">
        <f t="shared" si="697"/>
        <v>-0.16338265993674839</v>
      </c>
      <c r="BI163" s="370">
        <f t="shared" si="697"/>
        <v>-0.30150379030471075</v>
      </c>
      <c r="BJ163" s="736">
        <f t="shared" si="697"/>
        <v>-2.0729685596341141E-2</v>
      </c>
      <c r="BK163" s="370">
        <f t="shared" si="697"/>
        <v>-0.21661491860484827</v>
      </c>
      <c r="BL163" s="370">
        <f t="shared" si="697"/>
        <v>-0.17623286650037029</v>
      </c>
      <c r="BM163" s="370">
        <f t="shared" si="697"/>
        <v>-9.3228863709277077E-3</v>
      </c>
      <c r="BN163" s="370">
        <f t="shared" si="697"/>
        <v>0.13186217639138431</v>
      </c>
      <c r="BO163" s="736">
        <f t="shared" si="697"/>
        <v>-7.5359892476203005E-2</v>
      </c>
      <c r="BP163" s="370">
        <f t="shared" si="697"/>
        <v>0.25074330778199383</v>
      </c>
      <c r="BQ163" s="370">
        <f t="shared" si="697"/>
        <v>0.29440641636195708</v>
      </c>
      <c r="BR163" s="370">
        <f t="shared" si="697"/>
        <v>0.28330875928312427</v>
      </c>
      <c r="BS163" s="370">
        <f t="shared" si="697"/>
        <v>0.4460296742217349</v>
      </c>
      <c r="BT163" s="736">
        <f t="shared" si="697"/>
        <v>0.30586083462477842</v>
      </c>
      <c r="BU163" s="370">
        <f t="shared" si="697"/>
        <v>0.3652932510906437</v>
      </c>
      <c r="BV163" s="370">
        <f t="shared" si="697"/>
        <v>0.48142532558207707</v>
      </c>
      <c r="BW163" s="370">
        <f t="shared" si="697"/>
        <v>0.6572751833269006</v>
      </c>
      <c r="BX163" s="370">
        <f t="shared" si="697"/>
        <v>0.74153239066096677</v>
      </c>
      <c r="BY163" s="736">
        <f t="shared" si="697"/>
        <v>0.71108001589396985</v>
      </c>
      <c r="BZ163" s="370">
        <f t="shared" ref="BZ163:CG163" si="698">BZ161/BU161-1</f>
        <v>1.0377249457394067</v>
      </c>
      <c r="CA163" s="370">
        <f t="shared" si="698"/>
        <v>1.0475944636150349</v>
      </c>
      <c r="CB163" s="370">
        <f t="shared" si="698"/>
        <v>1.1672100605496043</v>
      </c>
      <c r="CC163" s="370">
        <f t="shared" si="698"/>
        <v>0.82854981117824811</v>
      </c>
      <c r="CD163" s="736">
        <f t="shared" si="698"/>
        <v>0.57827844262295081</v>
      </c>
      <c r="CE163" s="370">
        <f t="shared" si="698"/>
        <v>0.24665309028766735</v>
      </c>
      <c r="CF163" s="370">
        <f t="shared" si="698"/>
        <v>-5.8235473411081484E-2</v>
      </c>
      <c r="CG163" s="370">
        <f t="shared" si="698"/>
        <v>-0.27358684719535786</v>
      </c>
      <c r="CH163" s="370">
        <f t="shared" ref="CH163" si="699">CH161/CC161-1</f>
        <v>-0.1809168562766803</v>
      </c>
      <c r="CI163" s="736">
        <f t="shared" ref="CI163:CR163" si="700">CI161/CD161-1</f>
        <v>0.17034536541345591</v>
      </c>
      <c r="CJ163" s="370">
        <f t="shared" si="700"/>
        <v>-1.6906332398065382E-2</v>
      </c>
      <c r="CK163" s="370">
        <f t="shared" si="700"/>
        <v>0.15286650523352008</v>
      </c>
      <c r="CL163" s="370">
        <f t="shared" si="700"/>
        <v>0.3189348143272408</v>
      </c>
      <c r="CM163" s="370">
        <f t="shared" ref="CM163" si="701">CM161/CH161-1</f>
        <v>0.1116992294882464</v>
      </c>
      <c r="CN163" s="736">
        <f t="shared" ref="CN163" si="702">CN161/CI161-1</f>
        <v>-6.8781239881708922E-3</v>
      </c>
      <c r="CO163" s="370">
        <f t="shared" si="700"/>
        <v>5.1324516035324175E-2</v>
      </c>
      <c r="CP163" s="370">
        <f t="shared" si="700"/>
        <v>6.7436764981922082E-2</v>
      </c>
      <c r="CQ163" s="370">
        <f t="shared" si="700"/>
        <v>6.6143798736328474E-2</v>
      </c>
      <c r="CR163" s="370">
        <f t="shared" si="700"/>
        <v>0.10494246567882382</v>
      </c>
      <c r="CS163" s="736">
        <f>CS161/CN161-1</f>
        <v>5.0026315130229593E-2</v>
      </c>
      <c r="CT163" s="117"/>
      <c r="CU163" s="117"/>
      <c r="CV163" s="117"/>
      <c r="CW163" s="117"/>
      <c r="CX163" s="736">
        <f>CX161/CS161-1</f>
        <v>0.10181237154786471</v>
      </c>
      <c r="CY163" s="117"/>
      <c r="CZ163" s="117"/>
      <c r="DA163" s="117"/>
      <c r="DB163" s="117"/>
      <c r="DC163" s="736">
        <f>DC161/CX161-1</f>
        <v>0.10000000000000031</v>
      </c>
      <c r="DD163" s="372"/>
      <c r="DE163" s="461"/>
      <c r="DJ163" s="439"/>
      <c r="DK163" s="401"/>
      <c r="DL163" s="401"/>
      <c r="DM163" s="410"/>
      <c r="DN163" s="398"/>
      <c r="DO163" s="398"/>
      <c r="DP163" s="398"/>
      <c r="DQ163" s="401"/>
      <c r="DR163" s="498"/>
      <c r="DS163" s="372"/>
    </row>
    <row r="164" spans="1:143" x14ac:dyDescent="0.2">
      <c r="A164" s="731" t="s">
        <v>434</v>
      </c>
      <c r="B164" s="288"/>
      <c r="C164" s="117"/>
      <c r="D164" s="117"/>
      <c r="E164" s="117"/>
      <c r="F164" s="117"/>
      <c r="G164" s="288"/>
      <c r="H164" s="117"/>
      <c r="I164" s="117"/>
      <c r="J164" s="117"/>
      <c r="K164" s="117"/>
      <c r="L164" s="288"/>
      <c r="M164" s="840"/>
      <c r="N164" s="840"/>
      <c r="O164" s="840"/>
      <c r="P164" s="840"/>
      <c r="Q164" s="288"/>
      <c r="R164" s="840"/>
      <c r="S164" s="840"/>
      <c r="T164" s="840"/>
      <c r="U164" s="840"/>
      <c r="V164" s="288"/>
      <c r="W164" s="840"/>
      <c r="X164" s="840"/>
      <c r="Y164" s="840"/>
      <c r="Z164" s="840"/>
      <c r="AA164" s="288"/>
      <c r="AB164" s="840"/>
      <c r="AC164" s="840"/>
      <c r="AD164" s="840"/>
      <c r="AE164" s="840"/>
      <c r="AF164" s="288"/>
      <c r="AG164" s="840">
        <v>10.719999</v>
      </c>
      <c r="AH164" s="840">
        <v>12.139999</v>
      </c>
      <c r="AI164" s="840">
        <v>9.24</v>
      </c>
      <c r="AJ164" s="840">
        <v>14.2</v>
      </c>
      <c r="AK164" s="733">
        <f>AJ164</f>
        <v>14.2</v>
      </c>
      <c r="AL164" s="840">
        <v>11.51</v>
      </c>
      <c r="AM164" s="840">
        <v>11.75</v>
      </c>
      <c r="AN164" s="840">
        <v>9.2199994000000007</v>
      </c>
      <c r="AO164" s="840">
        <v>5.8999997000000004</v>
      </c>
      <c r="AP164" s="733">
        <f>AO164</f>
        <v>5.8999997000000004</v>
      </c>
      <c r="AQ164" s="840">
        <v>5.7999992999999996</v>
      </c>
      <c r="AR164" s="840">
        <v>3.7299996000000002</v>
      </c>
      <c r="AS164" s="840">
        <v>4.9499998999999999</v>
      </c>
      <c r="AT164" s="840">
        <v>7.0999995</v>
      </c>
      <c r="AU164" s="733">
        <f>AT164</f>
        <v>7.0999995</v>
      </c>
      <c r="AV164" s="840">
        <v>3.6499997</v>
      </c>
      <c r="AW164" s="840">
        <v>4.2699996000000002</v>
      </c>
      <c r="AX164" s="840">
        <v>5.9799996000000002</v>
      </c>
      <c r="AY164" s="840">
        <v>5.4499998999999999</v>
      </c>
      <c r="AZ164" s="733">
        <f>AY164</f>
        <v>5.4499998999999999</v>
      </c>
      <c r="BA164" s="840">
        <v>5.58</v>
      </c>
      <c r="BB164" s="840">
        <v>5.4899997999999997</v>
      </c>
      <c r="BC164" s="840">
        <v>6.6899996000000002</v>
      </c>
      <c r="BD164" s="840">
        <v>6.6099997000000004</v>
      </c>
      <c r="BE164" s="733">
        <f>BD164</f>
        <v>6.6099997000000004</v>
      </c>
      <c r="BF164" s="840">
        <v>6.2699996000000002</v>
      </c>
      <c r="BG164" s="840">
        <v>6.0999995</v>
      </c>
      <c r="BH164" s="840">
        <v>4.0899992000000003</v>
      </c>
      <c r="BI164" s="840">
        <v>5.1999998999999999</v>
      </c>
      <c r="BJ164" s="733">
        <f>BI164</f>
        <v>5.1999998999999999</v>
      </c>
      <c r="BK164" s="840">
        <v>4.8899993999999998</v>
      </c>
      <c r="BL164" s="840">
        <v>5.2999992999999996</v>
      </c>
      <c r="BM164" s="840">
        <v>4.7949992000000004</v>
      </c>
      <c r="BN164" s="840">
        <v>5.7199993999999998</v>
      </c>
      <c r="BO164" s="733">
        <f>BN164</f>
        <v>5.7199993999999998</v>
      </c>
      <c r="BP164" s="840">
        <v>6.8999997000000004</v>
      </c>
      <c r="BQ164" s="840">
        <v>6.29</v>
      </c>
      <c r="BR164" s="840">
        <v>6.665</v>
      </c>
      <c r="BS164" s="840">
        <v>8.5399999999999991</v>
      </c>
      <c r="BT164" s="733">
        <f>BS164</f>
        <v>8.5399999999999991</v>
      </c>
      <c r="BU164" s="840">
        <v>8.6899996000000002</v>
      </c>
      <c r="BV164" s="840">
        <v>10.85</v>
      </c>
      <c r="BW164" s="840">
        <v>10.62</v>
      </c>
      <c r="BX164" s="840">
        <v>15.86</v>
      </c>
      <c r="BY164" s="733">
        <f>BX164</f>
        <v>15.86</v>
      </c>
      <c r="BZ164" s="840">
        <v>19.25</v>
      </c>
      <c r="CA164" s="840">
        <v>20.759995</v>
      </c>
      <c r="CB164" s="840">
        <v>25.770005000000001</v>
      </c>
      <c r="CC164" s="840">
        <v>22.649994</v>
      </c>
      <c r="CD164" s="733">
        <f>CC164</f>
        <v>22.649994</v>
      </c>
      <c r="CE164" s="840">
        <v>21.119996</v>
      </c>
      <c r="CF164" s="840">
        <v>16.559998</v>
      </c>
      <c r="CG164" s="840">
        <v>17.240006000000001</v>
      </c>
      <c r="CH164" s="840">
        <v>22.419999000000001</v>
      </c>
      <c r="CI164" s="733">
        <f>CH164</f>
        <v>22.419999000000001</v>
      </c>
      <c r="CJ164" s="840">
        <v>20.610001</v>
      </c>
      <c r="CK164" s="840">
        <v>22.830002</v>
      </c>
      <c r="CL164" s="840">
        <v>21.75</v>
      </c>
      <c r="CM164" s="840">
        <v>22.339997</v>
      </c>
      <c r="CN164" s="733">
        <f>CM164</f>
        <v>22.339997</v>
      </c>
      <c r="CO164" s="817">
        <f>CM164*(1+CO166)</f>
        <v>22.898496925</v>
      </c>
      <c r="CP164" s="817">
        <f t="shared" ref="CP164:CR164" si="703">CO164*(1+CP166)</f>
        <v>23.470959348125</v>
      </c>
      <c r="CQ164" s="817">
        <f t="shared" si="703"/>
        <v>24.057733331828121</v>
      </c>
      <c r="CR164" s="817">
        <f t="shared" si="703"/>
        <v>24.659176665123823</v>
      </c>
      <c r="CS164" s="733">
        <f>CR164</f>
        <v>24.659176665123823</v>
      </c>
      <c r="CT164" s="117"/>
      <c r="CU164" s="117"/>
      <c r="CV164" s="117"/>
      <c r="CW164" s="117"/>
      <c r="CX164" s="818">
        <f>CS164*(1+CX166)</f>
        <v>27.125094331636209</v>
      </c>
      <c r="CY164" s="117"/>
      <c r="CZ164" s="117"/>
      <c r="DA164" s="117"/>
      <c r="DB164" s="117"/>
      <c r="DC164" s="818">
        <f>CX164*(1+DC166)</f>
        <v>29.837603764799834</v>
      </c>
      <c r="DD164" s="372"/>
      <c r="DE164" s="461"/>
      <c r="DJ164" s="439"/>
      <c r="DK164" s="401"/>
      <c r="DL164" s="401"/>
      <c r="DM164" s="410"/>
      <c r="DN164" s="398"/>
      <c r="DO164" s="398"/>
      <c r="DP164" s="398"/>
      <c r="DQ164" s="401"/>
      <c r="DR164" s="498"/>
      <c r="DS164" s="372"/>
    </row>
    <row r="165" spans="1:143" x14ac:dyDescent="0.2">
      <c r="A165" s="737" t="s">
        <v>435</v>
      </c>
      <c r="B165" s="288"/>
      <c r="C165" s="117"/>
      <c r="D165" s="117"/>
      <c r="E165" s="117"/>
      <c r="F165" s="117"/>
      <c r="G165" s="288"/>
      <c r="H165" s="117"/>
      <c r="I165" s="117"/>
      <c r="J165" s="117"/>
      <c r="K165" s="117"/>
      <c r="L165" s="288"/>
      <c r="M165" s="732"/>
      <c r="N165" s="74"/>
      <c r="O165" s="74"/>
      <c r="P165" s="74"/>
      <c r="Q165" s="288"/>
      <c r="R165" s="732"/>
      <c r="S165" s="74"/>
      <c r="T165" s="74"/>
      <c r="U165" s="74"/>
      <c r="V165" s="288"/>
      <c r="W165" s="732"/>
      <c r="X165" s="74"/>
      <c r="Y165" s="74"/>
      <c r="Z165" s="74"/>
      <c r="AA165" s="288"/>
      <c r="AB165" s="732"/>
      <c r="AC165" s="74"/>
      <c r="AD165" s="74"/>
      <c r="AE165" s="74"/>
      <c r="AF165" s="288"/>
      <c r="AG165" s="732">
        <f>AG164-AF164</f>
        <v>10.719999</v>
      </c>
      <c r="AH165" s="74">
        <f>AH164-AG164</f>
        <v>1.42</v>
      </c>
      <c r="AI165" s="74">
        <f>AI164-AH164</f>
        <v>-2.8999989999999993</v>
      </c>
      <c r="AJ165" s="74">
        <f>AJ164-AI164</f>
        <v>4.9599999999999991</v>
      </c>
      <c r="AK165" s="733">
        <f>AK164-AF164</f>
        <v>14.2</v>
      </c>
      <c r="AL165" s="732">
        <f>AL164-AK164</f>
        <v>-2.6899999999999995</v>
      </c>
      <c r="AM165" s="74">
        <f>AM164-AL164</f>
        <v>0.24000000000000021</v>
      </c>
      <c r="AN165" s="74">
        <f>AN164-AM164</f>
        <v>-2.5300005999999993</v>
      </c>
      <c r="AO165" s="74">
        <f>AO164-AN164</f>
        <v>-3.3199997000000003</v>
      </c>
      <c r="AP165" s="733">
        <f>AP164-AK164</f>
        <v>-8.3000002999999989</v>
      </c>
      <c r="AQ165" s="732">
        <f>AQ164-AP164</f>
        <v>-0.10000040000000077</v>
      </c>
      <c r="AR165" s="74">
        <f>AR164-AQ164</f>
        <v>-2.0699996999999994</v>
      </c>
      <c r="AS165" s="74">
        <f>AS164-AR164</f>
        <v>1.2200002999999997</v>
      </c>
      <c r="AT165" s="74">
        <f>AT164-AS164</f>
        <v>2.1499996000000001</v>
      </c>
      <c r="AU165" s="733">
        <f>AU164-AP164</f>
        <v>1.1999997999999996</v>
      </c>
      <c r="AV165" s="732">
        <f>AV164-AU164</f>
        <v>-3.4499998000000001</v>
      </c>
      <c r="AW165" s="74">
        <f>AW164-AV164</f>
        <v>0.61999990000000027</v>
      </c>
      <c r="AX165" s="74">
        <f>AX164-AW164</f>
        <v>1.71</v>
      </c>
      <c r="AY165" s="74">
        <f>AY164-AX164</f>
        <v>-0.5299997000000003</v>
      </c>
      <c r="AZ165" s="733">
        <f>AZ164-AU164</f>
        <v>-1.6499996000000001</v>
      </c>
      <c r="BA165" s="732">
        <f>BA164-AZ164</f>
        <v>0.13000010000000017</v>
      </c>
      <c r="BB165" s="74">
        <f>BB164-BA164</f>
        <v>-9.0000200000000419E-2</v>
      </c>
      <c r="BC165" s="74">
        <f>BC164-BB164</f>
        <v>1.1999998000000005</v>
      </c>
      <c r="BD165" s="74">
        <f>BD164-BC164</f>
        <v>-7.9999899999999791E-2</v>
      </c>
      <c r="BE165" s="733">
        <f>BE164-AZ164</f>
        <v>1.1599998000000005</v>
      </c>
      <c r="BF165" s="732">
        <f>BF164-BE164</f>
        <v>-0.34000010000000014</v>
      </c>
      <c r="BG165" s="74">
        <f>BG164-BF164</f>
        <v>-0.17000010000000021</v>
      </c>
      <c r="BH165" s="74">
        <f>BH164-BG164</f>
        <v>-2.0100002999999997</v>
      </c>
      <c r="BI165" s="74">
        <f>BI164-BH164</f>
        <v>1.1100006999999996</v>
      </c>
      <c r="BJ165" s="733">
        <f>BJ164-BE164</f>
        <v>-1.4099998000000005</v>
      </c>
      <c r="BK165" s="732">
        <f>BK164-BJ164</f>
        <v>-0.31000050000000012</v>
      </c>
      <c r="BL165" s="74">
        <f>BL164-BK164</f>
        <v>0.40999989999999986</v>
      </c>
      <c r="BM165" s="74">
        <f>BM164-BL164</f>
        <v>-0.50500009999999929</v>
      </c>
      <c r="BN165" s="74">
        <f>BN164-BM164</f>
        <v>0.9250001999999995</v>
      </c>
      <c r="BO165" s="733">
        <f>BO164-BJ164</f>
        <v>0.51999949999999995</v>
      </c>
      <c r="BP165" s="732">
        <f>BP164-BO164</f>
        <v>1.1800003000000006</v>
      </c>
      <c r="BQ165" s="74">
        <f>BQ164-BP164</f>
        <v>-0.60999970000000037</v>
      </c>
      <c r="BR165" s="74">
        <f>BR164-BQ164</f>
        <v>0.375</v>
      </c>
      <c r="BS165" s="74">
        <f>BS164-BR164</f>
        <v>1.8749999999999991</v>
      </c>
      <c r="BT165" s="733">
        <f>BT164-BO164</f>
        <v>2.8200005999999993</v>
      </c>
      <c r="BU165" s="732">
        <f>BU164-BT164</f>
        <v>0.14999960000000101</v>
      </c>
      <c r="BV165" s="74">
        <f>BV164-BU164</f>
        <v>2.1600003999999995</v>
      </c>
      <c r="BW165" s="74">
        <f>BW164-BV164</f>
        <v>-0.23000000000000043</v>
      </c>
      <c r="BX165" s="74">
        <f>BX164-BW164</f>
        <v>5.24</v>
      </c>
      <c r="BY165" s="733">
        <f>BY164-BT164</f>
        <v>7.32</v>
      </c>
      <c r="BZ165" s="732">
        <f>BZ164-BY164</f>
        <v>3.3900000000000006</v>
      </c>
      <c r="CA165" s="74">
        <f>CA164-BZ164</f>
        <v>1.509995</v>
      </c>
      <c r="CB165" s="74">
        <f>CB164-CA164</f>
        <v>5.0100100000000012</v>
      </c>
      <c r="CC165" s="74">
        <f>CC164-CB164</f>
        <v>-3.1200110000000016</v>
      </c>
      <c r="CD165" s="733">
        <f>CD164-BY164</f>
        <v>6.7899940000000001</v>
      </c>
      <c r="CE165" s="732">
        <f>CE164-CD164</f>
        <v>-1.5299979999999991</v>
      </c>
      <c r="CF165" s="74">
        <f>CF164-CE164</f>
        <v>-4.5599980000000002</v>
      </c>
      <c r="CG165" s="74">
        <f>CG164-CF164</f>
        <v>0.68000800000000083</v>
      </c>
      <c r="CH165" s="74">
        <f>CH164-CG164</f>
        <v>5.1799929999999996</v>
      </c>
      <c r="CI165" s="733">
        <f>CI164-CD164</f>
        <v>-0.22999499999999884</v>
      </c>
      <c r="CJ165" s="732">
        <f>CJ164-CI164</f>
        <v>-1.8099980000000002</v>
      </c>
      <c r="CK165" s="74">
        <f>CK164-CJ164</f>
        <v>2.2200009999999999</v>
      </c>
      <c r="CL165" s="74">
        <f>CL164-CK164</f>
        <v>-1.0800020000000004</v>
      </c>
      <c r="CM165" s="74">
        <f>CM164-CL164</f>
        <v>0.58999700000000033</v>
      </c>
      <c r="CN165" s="733">
        <f>CN164-CI164</f>
        <v>-8.0002000000000351E-2</v>
      </c>
      <c r="CO165" s="74">
        <f>CO164-CM164</f>
        <v>0.55849992499999956</v>
      </c>
      <c r="CP165" s="74">
        <f t="shared" ref="CP165:CR165" si="704">CP164-CO164</f>
        <v>0.57246242312499973</v>
      </c>
      <c r="CQ165" s="74">
        <f t="shared" si="704"/>
        <v>0.58677398370312162</v>
      </c>
      <c r="CR165" s="74">
        <f t="shared" si="704"/>
        <v>0.60144333329570188</v>
      </c>
      <c r="CS165" s="733">
        <f>CS164-CN164</f>
        <v>2.3191796651238228</v>
      </c>
      <c r="CT165" s="117"/>
      <c r="CU165" s="117"/>
      <c r="CV165" s="117"/>
      <c r="CW165" s="117"/>
      <c r="CX165" s="733">
        <f>CX164-CS164</f>
        <v>2.4659176665123859</v>
      </c>
      <c r="CY165" s="117"/>
      <c r="CZ165" s="117"/>
      <c r="DA165" s="117"/>
      <c r="DB165" s="117"/>
      <c r="DC165" s="733">
        <f>DC164-CX164</f>
        <v>2.7125094331636248</v>
      </c>
      <c r="DD165" s="372"/>
      <c r="DE165" s="461"/>
      <c r="DJ165" s="439"/>
      <c r="DK165" s="401"/>
      <c r="DL165" s="401"/>
      <c r="DM165" s="410"/>
      <c r="DN165" s="398"/>
      <c r="DO165" s="398"/>
      <c r="DP165" s="398"/>
      <c r="DQ165" s="401"/>
      <c r="DR165" s="498"/>
      <c r="DS165" s="372"/>
    </row>
    <row r="166" spans="1:143" x14ac:dyDescent="0.2">
      <c r="A166" s="734" t="s">
        <v>436</v>
      </c>
      <c r="B166" s="289"/>
      <c r="C166" s="118"/>
      <c r="D166" s="118"/>
      <c r="E166" s="118"/>
      <c r="F166" s="118"/>
      <c r="G166" s="289"/>
      <c r="H166" s="118"/>
      <c r="I166" s="118"/>
      <c r="J166" s="118"/>
      <c r="K166" s="118"/>
      <c r="L166" s="289"/>
      <c r="M166" s="740"/>
      <c r="N166" s="522"/>
      <c r="O166" s="522"/>
      <c r="P166" s="741"/>
      <c r="Q166" s="289"/>
      <c r="R166" s="740"/>
      <c r="S166" s="522"/>
      <c r="T166" s="522"/>
      <c r="U166" s="741"/>
      <c r="V166" s="289"/>
      <c r="W166" s="740"/>
      <c r="X166" s="522"/>
      <c r="Y166" s="522"/>
      <c r="Z166" s="741"/>
      <c r="AA166" s="289"/>
      <c r="AB166" s="740"/>
      <c r="AC166" s="522"/>
      <c r="AD166" s="522"/>
      <c r="AE166" s="741"/>
      <c r="AF166" s="289"/>
      <c r="AG166" s="740"/>
      <c r="AH166" s="522">
        <f>AH164/AG164-1</f>
        <v>0.13246269892375917</v>
      </c>
      <c r="AI166" s="522">
        <f>AI164/AH164-1</f>
        <v>-0.23887967371331742</v>
      </c>
      <c r="AJ166" s="741">
        <f>AJ164/AI164-1</f>
        <v>0.53679653679653661</v>
      </c>
      <c r="AK166" s="742"/>
      <c r="AL166" s="740">
        <f>AL164/AK164-1</f>
        <v>-0.18943661971830983</v>
      </c>
      <c r="AM166" s="522">
        <f>AM164/AL164-1</f>
        <v>2.0851433536055675E-2</v>
      </c>
      <c r="AN166" s="522">
        <f>AN164/AM164-1</f>
        <v>-0.21531919999999993</v>
      </c>
      <c r="AO166" s="741">
        <f>AO164/AN164-1</f>
        <v>-0.36008675879089536</v>
      </c>
      <c r="AP166" s="742">
        <f>AP164/AK164-1</f>
        <v>-0.58450706338028158</v>
      </c>
      <c r="AQ166" s="740">
        <f>AQ164/AP164-1</f>
        <v>-1.6949221200807996E-2</v>
      </c>
      <c r="AR166" s="522">
        <f>AR164/AQ164-1</f>
        <v>-0.35689654307372065</v>
      </c>
      <c r="AS166" s="522">
        <f>AS164/AR164-1</f>
        <v>0.32707786349360446</v>
      </c>
      <c r="AT166" s="741">
        <f>AT164/AS164-1</f>
        <v>0.43434336230996684</v>
      </c>
      <c r="AU166" s="742">
        <f>AU164/AP164-1</f>
        <v>0.20338980695202391</v>
      </c>
      <c r="AV166" s="740">
        <f>AV164/AU164-1</f>
        <v>-0.48591549900813369</v>
      </c>
      <c r="AW166" s="522">
        <f>AW164/AV164-1</f>
        <v>0.16986300026271239</v>
      </c>
      <c r="AX166" s="522">
        <f>AX164/AW164-1</f>
        <v>0.40046842158954776</v>
      </c>
      <c r="AY166" s="741">
        <f>AY164/AX164-1</f>
        <v>-8.8628718302924403E-2</v>
      </c>
      <c r="AZ166" s="742">
        <f>AZ164/AU164-1</f>
        <v>-0.2323943262249526</v>
      </c>
      <c r="BA166" s="740">
        <f>BA164/AZ164-1</f>
        <v>2.3853229795472108E-2</v>
      </c>
      <c r="BB166" s="522">
        <f>BB164/BA164-1</f>
        <v>-1.6129068100358523E-2</v>
      </c>
      <c r="BC166" s="522">
        <f>BC164/BB164-1</f>
        <v>0.2185792065056178</v>
      </c>
      <c r="BD166" s="741">
        <f>BD164/BC164-1</f>
        <v>-1.1958132254596854E-2</v>
      </c>
      <c r="BE166" s="742">
        <f>BE164/AZ164-1</f>
        <v>0.21284400390539471</v>
      </c>
      <c r="BF166" s="740">
        <f>BF164/BE164-1</f>
        <v>-5.1437233801992499E-2</v>
      </c>
      <c r="BG166" s="522">
        <f>BG164/BF164-1</f>
        <v>-2.7113255318230056E-2</v>
      </c>
      <c r="BH166" s="522">
        <f>BH164/BG164-1</f>
        <v>-0.3295082729105141</v>
      </c>
      <c r="BI166" s="741">
        <f>BI164/BH164-1</f>
        <v>0.27139386726530401</v>
      </c>
      <c r="BJ166" s="742">
        <f>BJ164/BE164-1</f>
        <v>-0.21331314130014267</v>
      </c>
      <c r="BK166" s="740">
        <f>BK164/BJ164-1</f>
        <v>-5.9615481915682333E-2</v>
      </c>
      <c r="BL166" s="522">
        <f>BL164/BK164-1</f>
        <v>8.3844570614875824E-2</v>
      </c>
      <c r="BM166" s="522">
        <f>BM164/BL164-1</f>
        <v>-9.528305032040274E-2</v>
      </c>
      <c r="BN166" s="741">
        <f>BN164/BM164-1</f>
        <v>0.19290935439572121</v>
      </c>
      <c r="BO166" s="742">
        <f>BO164/BJ164-1</f>
        <v>9.9999905769228903E-2</v>
      </c>
      <c r="BP166" s="740">
        <f>BP164/BO164-1</f>
        <v>0.20629378038046653</v>
      </c>
      <c r="BQ166" s="522">
        <f>BQ164/BP164-1</f>
        <v>-8.8405757466917034E-2</v>
      </c>
      <c r="BR166" s="522">
        <f>BR164/BQ164-1</f>
        <v>5.9618441971383218E-2</v>
      </c>
      <c r="BS166" s="741">
        <f>BS164/BR164-1</f>
        <v>0.28132033008252044</v>
      </c>
      <c r="BT166" s="742">
        <f>BT164/BO164-1</f>
        <v>0.49300714961613457</v>
      </c>
      <c r="BU166" s="740">
        <f>BU164/BT164-1</f>
        <v>1.7564355971896983E-2</v>
      </c>
      <c r="BV166" s="522">
        <f>BV164/BU164-1</f>
        <v>0.24856162248845215</v>
      </c>
      <c r="BW166" s="522">
        <f>BW164/BV164-1</f>
        <v>-2.1198156682027736E-2</v>
      </c>
      <c r="BX166" s="741">
        <f>BX164/BW164-1</f>
        <v>0.49340866290018837</v>
      </c>
      <c r="BY166" s="742">
        <f>BY164/BT164-1</f>
        <v>0.85714285714285721</v>
      </c>
      <c r="BZ166" s="740">
        <f>BZ164/BY164-1</f>
        <v>0.21374527112232045</v>
      </c>
      <c r="CA166" s="522">
        <f>CA164/BZ164-1</f>
        <v>7.8441298701298789E-2</v>
      </c>
      <c r="CB166" s="522">
        <f>CB164/CA164-1</f>
        <v>0.24133001958815514</v>
      </c>
      <c r="CC166" s="741">
        <f>CC164/CB164-1</f>
        <v>-0.12107141616775008</v>
      </c>
      <c r="CD166" s="742">
        <f>CD164/BY164-1</f>
        <v>0.42812068095838596</v>
      </c>
      <c r="CE166" s="740">
        <f>CE164/CD164-1</f>
        <v>-6.7549598467884775E-2</v>
      </c>
      <c r="CF166" s="522">
        <f>CF164/CE164-1</f>
        <v>-0.21590903710398435</v>
      </c>
      <c r="CG166" s="522">
        <f>CG164/CF164-1</f>
        <v>4.1063289983489071E-2</v>
      </c>
      <c r="CH166" s="741">
        <f>CH164/CG164-1</f>
        <v>0.30046352652081443</v>
      </c>
      <c r="CI166" s="742">
        <f>CI164/CD164-1</f>
        <v>-1.0154307325644263E-2</v>
      </c>
      <c r="CJ166" s="740">
        <f>CJ164/CI164-1</f>
        <v>-8.0731404136101914E-2</v>
      </c>
      <c r="CK166" s="522">
        <f>CK164/CJ164-1</f>
        <v>0.10771474489496624</v>
      </c>
      <c r="CL166" s="522">
        <f>CL164/CK164-1</f>
        <v>-4.7306259543910656E-2</v>
      </c>
      <c r="CM166" s="741">
        <f>CM164/CL164-1</f>
        <v>2.7126298850574715E-2</v>
      </c>
      <c r="CN166" s="742">
        <f>CN164/CI164-1</f>
        <v>-3.5683320057240397E-3</v>
      </c>
      <c r="CO166" s="806">
        <v>2.5000000000000001E-2</v>
      </c>
      <c r="CP166" s="806">
        <v>2.5000000000000001E-2</v>
      </c>
      <c r="CQ166" s="806">
        <v>2.5000000000000001E-2</v>
      </c>
      <c r="CR166" s="743">
        <v>2.5000000000000001E-2</v>
      </c>
      <c r="CS166" s="742">
        <f>CS164/CN164-1</f>
        <v>0.10381289062499977</v>
      </c>
      <c r="CT166" s="119"/>
      <c r="CU166" s="119"/>
      <c r="CV166" s="118"/>
      <c r="CW166" s="118"/>
      <c r="CX166" s="744">
        <v>0.1</v>
      </c>
      <c r="CY166" s="119"/>
      <c r="CZ166" s="119"/>
      <c r="DA166" s="118"/>
      <c r="DB166" s="118"/>
      <c r="DC166" s="744">
        <v>0.1</v>
      </c>
      <c r="DD166" s="372"/>
      <c r="DE166" s="461"/>
      <c r="DJ166" s="439"/>
      <c r="DK166" s="401"/>
      <c r="DL166" s="401"/>
      <c r="DM166" s="410"/>
      <c r="DN166" s="398"/>
      <c r="DO166" s="398"/>
      <c r="DP166" s="398"/>
      <c r="DQ166" s="401"/>
      <c r="DR166" s="498"/>
      <c r="DS166" s="525"/>
    </row>
    <row r="167" spans="1:143" x14ac:dyDescent="0.2">
      <c r="A167" s="120" t="s">
        <v>244</v>
      </c>
      <c r="B167" s="290"/>
      <c r="C167" s="121"/>
      <c r="D167" s="121"/>
      <c r="E167" s="121"/>
      <c r="F167" s="121"/>
      <c r="G167" s="290"/>
      <c r="H167" s="121"/>
      <c r="I167" s="121"/>
      <c r="J167" s="121"/>
      <c r="K167" s="121"/>
      <c r="L167" s="290"/>
      <c r="M167" s="121"/>
      <c r="N167" s="121"/>
      <c r="O167" s="121"/>
      <c r="P167" s="121"/>
      <c r="Q167" s="290"/>
      <c r="R167" s="121"/>
      <c r="S167" s="121"/>
      <c r="T167" s="121"/>
      <c r="U167" s="121"/>
      <c r="V167" s="290"/>
      <c r="W167" s="121"/>
      <c r="X167" s="121"/>
      <c r="Y167" s="121"/>
      <c r="Z167" s="121"/>
      <c r="AA167" s="290"/>
      <c r="AB167" s="121"/>
      <c r="AC167" s="121"/>
      <c r="AD167" s="121"/>
      <c r="AE167" s="121"/>
      <c r="AF167" s="290"/>
      <c r="AG167" s="121"/>
      <c r="AH167" s="121"/>
      <c r="AI167" s="121"/>
      <c r="AJ167" s="121"/>
      <c r="AK167" s="290"/>
      <c r="AL167" s="121"/>
      <c r="AM167" s="121"/>
      <c r="AN167" s="121"/>
      <c r="AO167" s="121"/>
      <c r="AP167" s="290"/>
      <c r="AQ167" s="121"/>
      <c r="AR167" s="121"/>
      <c r="AS167" s="121"/>
      <c r="AT167" s="121"/>
      <c r="AU167" s="290"/>
      <c r="AV167" s="121"/>
      <c r="AW167" s="121"/>
      <c r="AX167" s="121"/>
      <c r="AY167" s="121"/>
      <c r="AZ167" s="290"/>
      <c r="BA167" s="121"/>
      <c r="BB167" s="121"/>
      <c r="BC167" s="121"/>
      <c r="BD167" s="121"/>
      <c r="BE167" s="290"/>
      <c r="BF167" s="121"/>
      <c r="BG167" s="121"/>
      <c r="BH167" s="121"/>
      <c r="BI167" s="121"/>
      <c r="BJ167" s="290"/>
      <c r="BK167" s="121"/>
      <c r="BL167" s="121"/>
      <c r="BM167" s="121"/>
      <c r="BN167" s="121"/>
      <c r="BO167" s="290"/>
      <c r="BP167" s="121"/>
      <c r="BQ167" s="121"/>
      <c r="BR167" s="121"/>
      <c r="BS167" s="121"/>
      <c r="BT167" s="583"/>
      <c r="BU167" s="121"/>
      <c r="BV167" s="121"/>
      <c r="BW167" s="121"/>
      <c r="BX167" s="121"/>
      <c r="BY167" s="583"/>
      <c r="BZ167" s="121"/>
      <c r="CA167" s="121"/>
      <c r="CB167" s="121"/>
      <c r="CC167" s="121"/>
      <c r="CD167" s="583"/>
      <c r="CE167" s="121"/>
      <c r="CF167" s="121"/>
      <c r="CG167" s="121"/>
      <c r="CH167" s="121"/>
      <c r="CI167" s="583"/>
      <c r="CJ167" s="121"/>
      <c r="CK167" s="121"/>
      <c r="CL167" s="121"/>
      <c r="CM167" s="121"/>
      <c r="CN167" s="583"/>
      <c r="CO167" s="121"/>
      <c r="CP167" s="121"/>
      <c r="CQ167" s="121"/>
      <c r="CR167" s="121"/>
      <c r="CS167" s="290"/>
      <c r="CT167" s="121"/>
      <c r="CU167" s="121"/>
      <c r="CV167" s="121"/>
      <c r="CW167" s="121"/>
      <c r="CX167" s="290"/>
      <c r="CY167" s="121"/>
      <c r="CZ167" s="121"/>
      <c r="DA167" s="121"/>
      <c r="DB167" s="121"/>
      <c r="DC167" s="290"/>
      <c r="DD167" s="25"/>
      <c r="DE167" s="178"/>
      <c r="DJ167" s="430"/>
      <c r="DK167" s="389"/>
      <c r="DL167" s="389"/>
      <c r="DM167" s="389"/>
      <c r="DN167" s="389"/>
      <c r="DO167" s="389"/>
      <c r="DP167" s="389"/>
      <c r="DQ167" s="389"/>
      <c r="DR167" s="487"/>
      <c r="DS167" s="25"/>
    </row>
    <row r="168" spans="1:143" s="579" customFormat="1" x14ac:dyDescent="0.2">
      <c r="A168" s="571" t="s">
        <v>12</v>
      </c>
      <c r="B168" s="572"/>
      <c r="C168" s="92"/>
      <c r="D168" s="92"/>
      <c r="E168" s="92"/>
      <c r="F168" s="92"/>
      <c r="G168" s="572"/>
      <c r="H168" s="92"/>
      <c r="I168" s="92"/>
      <c r="J168" s="92"/>
      <c r="K168" s="92"/>
      <c r="L168" s="572"/>
      <c r="M168" s="92"/>
      <c r="N168" s="92"/>
      <c r="O168" s="92"/>
      <c r="P168" s="92"/>
      <c r="Q168" s="572">
        <v>0.4</v>
      </c>
      <c r="R168" s="92">
        <f>Q168</f>
        <v>0.4</v>
      </c>
      <c r="S168" s="92">
        <f>R168</f>
        <v>0.4</v>
      </c>
      <c r="T168" s="92">
        <f>S168</f>
        <v>0.4</v>
      </c>
      <c r="U168" s="92">
        <f>T168</f>
        <v>0.4</v>
      </c>
      <c r="V168" s="572">
        <v>0.41</v>
      </c>
      <c r="W168" s="92">
        <f>V168</f>
        <v>0.41</v>
      </c>
      <c r="X168" s="92">
        <f>W168</f>
        <v>0.41</v>
      </c>
      <c r="Y168" s="92">
        <f>X168</f>
        <v>0.41</v>
      </c>
      <c r="Z168" s="92">
        <f>Y168</f>
        <v>0.41</v>
      </c>
      <c r="AA168" s="572">
        <f>V168</f>
        <v>0.41</v>
      </c>
      <c r="AB168" s="92">
        <f>AA168</f>
        <v>0.41</v>
      </c>
      <c r="AC168" s="92">
        <f>AB168</f>
        <v>0.41</v>
      </c>
      <c r="AD168" s="92">
        <f>AC168</f>
        <v>0.41</v>
      </c>
      <c r="AE168" s="92">
        <f>AD168</f>
        <v>0.41</v>
      </c>
      <c r="AF168" s="572">
        <f>AA168</f>
        <v>0.41</v>
      </c>
      <c r="AG168" s="92">
        <f>AF168</f>
        <v>0.41</v>
      </c>
      <c r="AH168" s="92">
        <f>AG168</f>
        <v>0.41</v>
      </c>
      <c r="AI168" s="92">
        <f>AH168</f>
        <v>0.41</v>
      </c>
      <c r="AJ168" s="92">
        <f>AI168</f>
        <v>0.41</v>
      </c>
      <c r="AK168" s="572">
        <f>AF168</f>
        <v>0.41</v>
      </c>
      <c r="AL168" s="92">
        <f>AK168</f>
        <v>0.41</v>
      </c>
      <c r="AM168" s="92">
        <f>AL168</f>
        <v>0.41</v>
      </c>
      <c r="AN168" s="92">
        <f>AM168</f>
        <v>0.41</v>
      </c>
      <c r="AO168" s="92">
        <f>AN168</f>
        <v>0.41</v>
      </c>
      <c r="AP168" s="572">
        <f>AK168</f>
        <v>0.41</v>
      </c>
      <c r="AQ168" s="92">
        <f>AP168</f>
        <v>0.41</v>
      </c>
      <c r="AR168" s="92">
        <f>AQ168</f>
        <v>0.41</v>
      </c>
      <c r="AS168" s="92">
        <f>AR168</f>
        <v>0.41</v>
      </c>
      <c r="AT168" s="92">
        <f>AS168</f>
        <v>0.41</v>
      </c>
      <c r="AU168" s="572">
        <f>AP168</f>
        <v>0.41</v>
      </c>
      <c r="AV168" s="92">
        <f>AU168</f>
        <v>0.41</v>
      </c>
      <c r="AW168" s="92">
        <f>AV168</f>
        <v>0.41</v>
      </c>
      <c r="AX168" s="92">
        <f>AW168</f>
        <v>0.41</v>
      </c>
      <c r="AY168" s="92">
        <f>AX168</f>
        <v>0.41</v>
      </c>
      <c r="AZ168" s="572">
        <f>AU168</f>
        <v>0.41</v>
      </c>
      <c r="BA168" s="92">
        <f>AZ168</f>
        <v>0.41</v>
      </c>
      <c r="BB168" s="92">
        <f>BA168</f>
        <v>0.41</v>
      </c>
      <c r="BC168" s="92">
        <f>BB168</f>
        <v>0.41</v>
      </c>
      <c r="BD168" s="92">
        <f>BC168</f>
        <v>0.41</v>
      </c>
      <c r="BE168" s="572">
        <f>AZ168</f>
        <v>0.41</v>
      </c>
      <c r="BF168" s="92">
        <f>BE168</f>
        <v>0.41</v>
      </c>
      <c r="BG168" s="92">
        <f>BF168</f>
        <v>0.41</v>
      </c>
      <c r="BH168" s="92">
        <f>BG168</f>
        <v>0.41</v>
      </c>
      <c r="BI168" s="92">
        <f>BH168</f>
        <v>0.41</v>
      </c>
      <c r="BJ168" s="572">
        <f>BE168</f>
        <v>0.41</v>
      </c>
      <c r="BK168" s="92">
        <f>BJ168</f>
        <v>0.41</v>
      </c>
      <c r="BL168" s="92">
        <f>BK168</f>
        <v>0.41</v>
      </c>
      <c r="BM168" s="92">
        <f>BL168</f>
        <v>0.41</v>
      </c>
      <c r="BN168" s="92">
        <f>BM168</f>
        <v>0.41</v>
      </c>
      <c r="BO168" s="572">
        <f>BJ168</f>
        <v>0.41</v>
      </c>
      <c r="BP168" s="92">
        <f>BO168</f>
        <v>0.41</v>
      </c>
      <c r="BQ168" s="92">
        <f>BP168</f>
        <v>0.41</v>
      </c>
      <c r="BR168" s="92">
        <f>BQ168</f>
        <v>0.41</v>
      </c>
      <c r="BS168" s="92">
        <f>BR168</f>
        <v>0.41</v>
      </c>
      <c r="BT168" s="572">
        <f>BO168</f>
        <v>0.41</v>
      </c>
      <c r="BU168" s="92">
        <f>BT168</f>
        <v>0.41</v>
      </c>
      <c r="BV168" s="92">
        <f>BU168</f>
        <v>0.41</v>
      </c>
      <c r="BW168" s="92">
        <f>BV168</f>
        <v>0.41</v>
      </c>
      <c r="BX168" s="92">
        <f>BW168</f>
        <v>0.41</v>
      </c>
      <c r="BY168" s="572">
        <f>BT168</f>
        <v>0.41</v>
      </c>
      <c r="BZ168" s="92">
        <f>BY168</f>
        <v>0.41</v>
      </c>
      <c r="CA168" s="92">
        <f>BZ168</f>
        <v>0.41</v>
      </c>
      <c r="CB168" s="92">
        <f>CA168</f>
        <v>0.41</v>
      </c>
      <c r="CC168" s="92">
        <f>CB168</f>
        <v>0.41</v>
      </c>
      <c r="CD168" s="572">
        <f>BY168</f>
        <v>0.41</v>
      </c>
      <c r="CE168" s="92">
        <f>CD168</f>
        <v>0.41</v>
      </c>
      <c r="CF168" s="92">
        <f>CE168</f>
        <v>0.41</v>
      </c>
      <c r="CG168" s="92">
        <f>CF168</f>
        <v>0.41</v>
      </c>
      <c r="CH168" s="92">
        <f>CG168</f>
        <v>0.41</v>
      </c>
      <c r="CI168" s="572">
        <f>CD168</f>
        <v>0.41</v>
      </c>
      <c r="CJ168" s="92">
        <f>CI168</f>
        <v>0.41</v>
      </c>
      <c r="CK168" s="92">
        <f>CJ168</f>
        <v>0.41</v>
      </c>
      <c r="CL168" s="92">
        <f>CK168</f>
        <v>0.41</v>
      </c>
      <c r="CM168" s="92">
        <f>CL168</f>
        <v>0.41</v>
      </c>
      <c r="CN168" s="572">
        <f>CI168</f>
        <v>0.41</v>
      </c>
      <c r="CO168" s="92">
        <f t="shared" ref="CO168:CR168" si="705">CN168</f>
        <v>0.41</v>
      </c>
      <c r="CP168" s="92">
        <f t="shared" si="705"/>
        <v>0.41</v>
      </c>
      <c r="CQ168" s="92">
        <f t="shared" si="705"/>
        <v>0.41</v>
      </c>
      <c r="CR168" s="92">
        <f t="shared" si="705"/>
        <v>0.41</v>
      </c>
      <c r="CS168" s="572">
        <f>CN168</f>
        <v>0.41</v>
      </c>
      <c r="CT168" s="92"/>
      <c r="CU168" s="92"/>
      <c r="CV168" s="92"/>
      <c r="CW168" s="92"/>
      <c r="CX168" s="572">
        <f>CS168</f>
        <v>0.41</v>
      </c>
      <c r="CY168" s="92"/>
      <c r="CZ168" s="92"/>
      <c r="DA168" s="92"/>
      <c r="DB168" s="92"/>
      <c r="DC168" s="572">
        <f>CX168</f>
        <v>0.41</v>
      </c>
      <c r="DD168" s="573"/>
      <c r="DE168" s="574"/>
      <c r="DF168" s="575"/>
      <c r="DG168" s="575"/>
      <c r="DH168" s="575"/>
      <c r="DI168" s="575"/>
      <c r="DJ168" s="576"/>
      <c r="DK168" s="577"/>
      <c r="DL168" s="577"/>
      <c r="DM168" s="577"/>
      <c r="DN168" s="577"/>
      <c r="DO168" s="577"/>
      <c r="DP168" s="577"/>
      <c r="DQ168" s="577"/>
      <c r="DR168" s="578"/>
      <c r="DS168" s="573"/>
      <c r="DT168"/>
      <c r="DU168"/>
      <c r="DV168"/>
      <c r="DW168"/>
      <c r="DX168"/>
      <c r="DY168"/>
      <c r="EB168" s="580"/>
      <c r="EC168" s="580"/>
      <c r="ED168" s="580"/>
      <c r="EE168" s="580"/>
      <c r="EF168" s="580"/>
      <c r="EG168" s="580"/>
      <c r="EH168" s="580"/>
      <c r="EI168" s="580"/>
      <c r="EJ168" s="580"/>
      <c r="EK168" s="580"/>
      <c r="EL168" s="580"/>
      <c r="EM168" s="580"/>
    </row>
    <row r="169" spans="1:143" x14ac:dyDescent="0.2">
      <c r="A169" s="81" t="s">
        <v>256</v>
      </c>
      <c r="B169" s="291"/>
      <c r="C169" s="20"/>
      <c r="D169" s="20"/>
      <c r="E169" s="20"/>
      <c r="F169" s="20"/>
      <c r="G169" s="291"/>
      <c r="H169" s="20"/>
      <c r="I169" s="20"/>
      <c r="J169" s="20"/>
      <c r="K169" s="20"/>
      <c r="L169" s="291"/>
      <c r="M169" s="20"/>
      <c r="N169" s="20"/>
      <c r="O169" s="20"/>
      <c r="P169" s="20"/>
      <c r="Q169" s="291"/>
      <c r="R169" s="20"/>
      <c r="S169" s="20"/>
      <c r="T169" s="20"/>
      <c r="U169" s="20"/>
      <c r="V169" s="291"/>
      <c r="W169" s="20"/>
      <c r="X169" s="20"/>
      <c r="Y169" s="20"/>
      <c r="Z169" s="20"/>
      <c r="AA169" s="291"/>
      <c r="AB169" s="20"/>
      <c r="AC169" s="20"/>
      <c r="AD169" s="20"/>
      <c r="AE169" s="20"/>
      <c r="AF169" s="291"/>
      <c r="AG169" s="20"/>
      <c r="AH169" s="20"/>
      <c r="AI169" s="20"/>
      <c r="AJ169" s="20"/>
      <c r="AK169" s="291"/>
      <c r="AL169" s="20"/>
      <c r="AM169" s="20"/>
      <c r="AN169" s="20"/>
      <c r="AO169" s="20"/>
      <c r="AP169" s="291"/>
      <c r="AQ169" s="20"/>
      <c r="AR169" s="20"/>
      <c r="AS169" s="20"/>
      <c r="AT169" s="20"/>
      <c r="AU169" s="291"/>
      <c r="AV169" s="20"/>
      <c r="AW169" s="20"/>
      <c r="AX169" s="20"/>
      <c r="AY169" s="20"/>
      <c r="AZ169" s="291"/>
      <c r="BA169" s="20"/>
      <c r="BB169" s="20"/>
      <c r="BC169" s="20"/>
      <c r="BD169" s="20"/>
      <c r="BE169" s="291"/>
      <c r="BF169" s="20"/>
      <c r="BG169" s="20"/>
      <c r="BH169" s="20"/>
      <c r="BI169" s="20"/>
      <c r="BJ169" s="291"/>
      <c r="BK169" s="20"/>
      <c r="BL169" s="20"/>
      <c r="BM169" s="20"/>
      <c r="BN169" s="20"/>
      <c r="BO169" s="291"/>
      <c r="BP169" s="20"/>
      <c r="BQ169" s="20"/>
      <c r="BR169" s="20"/>
      <c r="BS169" s="20"/>
      <c r="BT169" s="291"/>
      <c r="BU169" s="20"/>
      <c r="BV169" s="20"/>
      <c r="BW169" s="20"/>
      <c r="BX169" s="20"/>
      <c r="BY169" s="291"/>
      <c r="BZ169" s="20"/>
      <c r="CA169" s="20"/>
      <c r="CB169" s="20"/>
      <c r="CC169" s="20"/>
      <c r="CD169" s="291"/>
      <c r="CE169" s="20"/>
      <c r="CF169" s="20"/>
      <c r="CG169" s="20"/>
      <c r="CH169" s="20"/>
      <c r="CI169" s="291"/>
      <c r="CJ169" s="20"/>
      <c r="CK169" s="20"/>
      <c r="CL169" s="20"/>
      <c r="CM169" s="20"/>
      <c r="CN169" s="291"/>
      <c r="CO169" s="20"/>
      <c r="CP169" s="20"/>
      <c r="CQ169" s="20"/>
      <c r="CR169" s="20"/>
      <c r="CS169" s="291"/>
      <c r="CT169" s="20"/>
      <c r="CU169" s="20"/>
      <c r="CV169" s="20"/>
      <c r="CW169" s="20"/>
      <c r="CX169" s="291"/>
      <c r="CY169" s="20"/>
      <c r="CZ169" s="20"/>
      <c r="DA169" s="20"/>
      <c r="DB169" s="20"/>
      <c r="DC169" s="291"/>
      <c r="DD169" s="25"/>
      <c r="DE169" s="178"/>
      <c r="DJ169" s="430"/>
      <c r="DK169" s="389"/>
      <c r="DL169" s="389"/>
      <c r="DM169" s="389"/>
      <c r="DN169" s="389"/>
      <c r="DO169" s="389"/>
      <c r="DP169" s="389"/>
      <c r="DQ169" s="389"/>
      <c r="DR169" s="487"/>
      <c r="DS169" s="25"/>
    </row>
    <row r="170" spans="1:143" x14ac:dyDescent="0.2">
      <c r="A170" s="110" t="s">
        <v>257</v>
      </c>
      <c r="B170" s="292"/>
      <c r="C170" s="111"/>
      <c r="D170" s="111"/>
      <c r="E170" s="111"/>
      <c r="F170" s="111"/>
      <c r="G170" s="292"/>
      <c r="H170" s="111"/>
      <c r="I170" s="111"/>
      <c r="J170" s="111"/>
      <c r="K170" s="111"/>
      <c r="L170" s="292"/>
      <c r="M170" s="831"/>
      <c r="N170" s="831"/>
      <c r="O170" s="831"/>
      <c r="P170" s="831"/>
      <c r="Q170" s="292"/>
      <c r="R170" s="831"/>
      <c r="S170" s="831"/>
      <c r="T170" s="831"/>
      <c r="U170" s="831"/>
      <c r="V170" s="292">
        <f>SUM(R170:U170)</f>
        <v>0</v>
      </c>
      <c r="W170" s="831">
        <v>0</v>
      </c>
      <c r="X170" s="831">
        <v>0</v>
      </c>
      <c r="Y170" s="831">
        <v>0</v>
      </c>
      <c r="Z170" s="831">
        <v>0</v>
      </c>
      <c r="AA170" s="292">
        <f>SUM(W170:Z170)</f>
        <v>0</v>
      </c>
      <c r="AB170" s="831">
        <v>0</v>
      </c>
      <c r="AC170" s="831">
        <v>0</v>
      </c>
      <c r="AD170" s="831">
        <v>0</v>
      </c>
      <c r="AE170" s="831">
        <v>0</v>
      </c>
      <c r="AF170" s="292">
        <f>SUM(AB170:AE170)</f>
        <v>0</v>
      </c>
      <c r="AG170" s="831">
        <v>0</v>
      </c>
      <c r="AH170" s="831">
        <v>0</v>
      </c>
      <c r="AI170" s="831">
        <v>0</v>
      </c>
      <c r="AJ170" s="831">
        <v>0</v>
      </c>
      <c r="AK170" s="292">
        <f>SUM(AG170:AJ170)</f>
        <v>0</v>
      </c>
      <c r="AL170" s="831">
        <v>0</v>
      </c>
      <c r="AM170" s="831">
        <v>0</v>
      </c>
      <c r="AN170" s="831">
        <v>0</v>
      </c>
      <c r="AO170" s="831">
        <v>0</v>
      </c>
      <c r="AP170" s="292">
        <f>SUM(AL170:AO170)</f>
        <v>0</v>
      </c>
      <c r="AQ170" s="831">
        <v>0</v>
      </c>
      <c r="AR170" s="831">
        <v>0</v>
      </c>
      <c r="AS170" s="831">
        <v>0</v>
      </c>
      <c r="AT170" s="831">
        <f>-67+14</f>
        <v>-53</v>
      </c>
      <c r="AU170" s="292">
        <f>SUM(AQ170:AT170)</f>
        <v>-53</v>
      </c>
      <c r="AV170" s="831">
        <v>0</v>
      </c>
      <c r="AW170" s="831">
        <v>0</v>
      </c>
      <c r="AX170" s="831">
        <v>0</v>
      </c>
      <c r="AY170" s="831">
        <v>0</v>
      </c>
      <c r="AZ170" s="292">
        <f>SUM(AV170:AY170)</f>
        <v>0</v>
      </c>
      <c r="BA170" s="831">
        <v>0</v>
      </c>
      <c r="BB170" s="831">
        <v>0</v>
      </c>
      <c r="BC170" s="831">
        <v>0</v>
      </c>
      <c r="BD170" s="831">
        <v>0</v>
      </c>
      <c r="BE170" s="292">
        <v>0</v>
      </c>
      <c r="BF170" s="831">
        <v>0</v>
      </c>
      <c r="BG170" s="831">
        <v>0</v>
      </c>
      <c r="BH170" s="831">
        <v>0</v>
      </c>
      <c r="BI170" s="831">
        <v>0</v>
      </c>
      <c r="BJ170" s="292">
        <v>0</v>
      </c>
      <c r="BK170" s="831">
        <v>0</v>
      </c>
      <c r="BL170" s="831">
        <v>0</v>
      </c>
      <c r="BM170" s="831">
        <v>0</v>
      </c>
      <c r="BN170" s="831">
        <v>0</v>
      </c>
      <c r="BO170" s="292">
        <v>0</v>
      </c>
      <c r="BP170" s="831">
        <v>0</v>
      </c>
      <c r="BQ170" s="831">
        <v>0</v>
      </c>
      <c r="BR170" s="831">
        <v>0</v>
      </c>
      <c r="BS170" s="831">
        <v>0</v>
      </c>
      <c r="BT170" s="292">
        <v>0</v>
      </c>
      <c r="BU170" s="831">
        <v>0</v>
      </c>
      <c r="BV170" s="831">
        <v>0</v>
      </c>
      <c r="BW170" s="831">
        <v>0</v>
      </c>
      <c r="BX170" s="831">
        <v>0</v>
      </c>
      <c r="BY170" s="292">
        <v>0</v>
      </c>
      <c r="BZ170" s="831">
        <v>0</v>
      </c>
      <c r="CA170" s="831">
        <v>0</v>
      </c>
      <c r="CB170" s="831">
        <v>0</v>
      </c>
      <c r="CC170" s="831">
        <v>0</v>
      </c>
      <c r="CD170" s="292">
        <v>0</v>
      </c>
      <c r="CE170" s="831">
        <v>0</v>
      </c>
      <c r="CF170" s="831">
        <v>0</v>
      </c>
      <c r="CG170" s="831">
        <v>0</v>
      </c>
      <c r="CH170" s="831">
        <v>0</v>
      </c>
      <c r="CI170" s="292">
        <v>0</v>
      </c>
      <c r="CJ170" s="831">
        <v>0</v>
      </c>
      <c r="CK170" s="831">
        <v>0</v>
      </c>
      <c r="CL170" s="831">
        <v>0</v>
      </c>
      <c r="CM170" s="831">
        <v>0</v>
      </c>
      <c r="CN170" s="292">
        <v>0</v>
      </c>
      <c r="CO170" s="123">
        <v>0</v>
      </c>
      <c r="CP170" s="123">
        <v>0</v>
      </c>
      <c r="CQ170" s="123">
        <v>0</v>
      </c>
      <c r="CR170" s="123">
        <v>0</v>
      </c>
      <c r="CS170" s="292">
        <f>SUM(CO170:CR170)</f>
        <v>0</v>
      </c>
      <c r="CT170" s="111"/>
      <c r="CU170" s="111"/>
      <c r="CV170" s="123"/>
      <c r="CW170" s="123"/>
      <c r="CX170" s="425">
        <v>0</v>
      </c>
      <c r="CY170" s="111"/>
      <c r="CZ170" s="111"/>
      <c r="DA170" s="123"/>
      <c r="DB170" s="123"/>
      <c r="DC170" s="425">
        <v>0</v>
      </c>
      <c r="DD170" s="132"/>
      <c r="DE170" s="471"/>
      <c r="DJ170" s="413"/>
      <c r="DK170" s="411"/>
      <c r="DL170" s="411"/>
      <c r="DM170" s="411"/>
      <c r="DN170" s="411"/>
      <c r="DO170" s="411"/>
      <c r="DP170" s="411"/>
      <c r="DQ170" s="411"/>
      <c r="DR170" s="508"/>
      <c r="DS170" s="132"/>
    </row>
    <row r="171" spans="1:143" x14ac:dyDescent="0.2">
      <c r="A171" s="110" t="s">
        <v>238</v>
      </c>
      <c r="B171" s="292"/>
      <c r="C171" s="111"/>
      <c r="D171" s="111"/>
      <c r="E171" s="111"/>
      <c r="F171" s="111"/>
      <c r="G171" s="292"/>
      <c r="H171" s="111"/>
      <c r="I171" s="111"/>
      <c r="J171" s="111"/>
      <c r="K171" s="111"/>
      <c r="L171" s="292"/>
      <c r="M171" s="831"/>
      <c r="N171" s="831"/>
      <c r="O171" s="831"/>
      <c r="P171" s="831"/>
      <c r="Q171" s="292"/>
      <c r="R171" s="831"/>
      <c r="S171" s="831"/>
      <c r="T171" s="831"/>
      <c r="U171" s="831"/>
      <c r="V171" s="292">
        <f>SUM(R171:U171)</f>
        <v>0</v>
      </c>
      <c r="W171" s="831">
        <v>0</v>
      </c>
      <c r="X171" s="831">
        <v>0</v>
      </c>
      <c r="Y171" s="831">
        <v>0</v>
      </c>
      <c r="Z171" s="831">
        <v>0</v>
      </c>
      <c r="AA171" s="292">
        <f>SUM(W171:Z171)</f>
        <v>0</v>
      </c>
      <c r="AB171" s="831">
        <v>0</v>
      </c>
      <c r="AC171" s="831">
        <v>0</v>
      </c>
      <c r="AD171" s="831">
        <v>0</v>
      </c>
      <c r="AE171" s="831">
        <v>0</v>
      </c>
      <c r="AF171" s="292">
        <f>SUM(AB171:AE171)</f>
        <v>0</v>
      </c>
      <c r="AG171" s="831">
        <v>0</v>
      </c>
      <c r="AH171" s="831">
        <v>0</v>
      </c>
      <c r="AI171" s="831">
        <f>(7*(1-AI145))</f>
        <v>5.6000000000000005</v>
      </c>
      <c r="AJ171" s="831">
        <v>0</v>
      </c>
      <c r="AK171" s="292">
        <f>SUM(AG171:AJ171)</f>
        <v>5.6000000000000005</v>
      </c>
      <c r="AL171" s="831">
        <v>0</v>
      </c>
      <c r="AM171" s="831">
        <v>0</v>
      </c>
      <c r="AN171" s="831">
        <v>0</v>
      </c>
      <c r="AO171" s="831">
        <v>0</v>
      </c>
      <c r="AP171" s="292">
        <f>SUM(AL171:AO171)</f>
        <v>0</v>
      </c>
      <c r="AQ171" s="831">
        <v>0</v>
      </c>
      <c r="AR171" s="831">
        <v>0</v>
      </c>
      <c r="AS171" s="831">
        <v>0</v>
      </c>
      <c r="AT171" s="831">
        <v>0</v>
      </c>
      <c r="AU171" s="292">
        <f>SUM(AQ171:AT171)</f>
        <v>0</v>
      </c>
      <c r="AV171" s="831">
        <v>0</v>
      </c>
      <c r="AW171" s="831">
        <v>0</v>
      </c>
      <c r="AX171" s="831">
        <v>0</v>
      </c>
      <c r="AY171" s="831">
        <v>0</v>
      </c>
      <c r="AZ171" s="292">
        <f>SUM(AV171:AY171)</f>
        <v>0</v>
      </c>
      <c r="BA171" s="831">
        <v>0</v>
      </c>
      <c r="BB171" s="831">
        <v>0</v>
      </c>
      <c r="BC171" s="831">
        <v>0</v>
      </c>
      <c r="BD171" s="831">
        <v>0</v>
      </c>
      <c r="BE171" s="292">
        <v>0</v>
      </c>
      <c r="BF171" s="831">
        <v>0</v>
      </c>
      <c r="BG171" s="831">
        <v>0</v>
      </c>
      <c r="BH171" s="831">
        <v>0</v>
      </c>
      <c r="BI171" s="831">
        <v>0</v>
      </c>
      <c r="BJ171" s="292">
        <v>0</v>
      </c>
      <c r="BK171" s="831">
        <v>0</v>
      </c>
      <c r="BL171" s="831">
        <v>0</v>
      </c>
      <c r="BM171" s="831">
        <v>0</v>
      </c>
      <c r="BN171" s="831">
        <v>0</v>
      </c>
      <c r="BO171" s="292">
        <v>0</v>
      </c>
      <c r="BP171" s="831">
        <v>0</v>
      </c>
      <c r="BQ171" s="831">
        <v>0</v>
      </c>
      <c r="BR171" s="831">
        <v>0</v>
      </c>
      <c r="BS171" s="831">
        <v>0</v>
      </c>
      <c r="BT171" s="292">
        <v>0</v>
      </c>
      <c r="BU171" s="831">
        <v>0</v>
      </c>
      <c r="BV171" s="831">
        <v>0</v>
      </c>
      <c r="BW171" s="831">
        <v>0</v>
      </c>
      <c r="BX171" s="831">
        <v>0</v>
      </c>
      <c r="BY171" s="292">
        <v>0</v>
      </c>
      <c r="BZ171" s="831">
        <v>0</v>
      </c>
      <c r="CA171" s="831">
        <v>0</v>
      </c>
      <c r="CB171" s="831">
        <v>0</v>
      </c>
      <c r="CC171" s="831">
        <v>0</v>
      </c>
      <c r="CD171" s="292">
        <v>0</v>
      </c>
      <c r="CE171" s="831">
        <v>0</v>
      </c>
      <c r="CF171" s="831">
        <v>0</v>
      </c>
      <c r="CG171" s="831">
        <v>0</v>
      </c>
      <c r="CH171" s="831">
        <v>0</v>
      </c>
      <c r="CI171" s="292">
        <v>0</v>
      </c>
      <c r="CJ171" s="831">
        <v>0</v>
      </c>
      <c r="CK171" s="831">
        <v>0</v>
      </c>
      <c r="CL171" s="831">
        <v>0</v>
      </c>
      <c r="CM171" s="831">
        <v>0</v>
      </c>
      <c r="CN171" s="292">
        <v>0</v>
      </c>
      <c r="CO171" s="123">
        <v>0</v>
      </c>
      <c r="CP171" s="123">
        <v>0</v>
      </c>
      <c r="CQ171" s="123">
        <v>0</v>
      </c>
      <c r="CR171" s="123">
        <v>0</v>
      </c>
      <c r="CS171" s="292">
        <f>SUM(CO171:CR171)</f>
        <v>0</v>
      </c>
      <c r="CT171" s="111"/>
      <c r="CU171" s="111"/>
      <c r="CV171" s="123"/>
      <c r="CW171" s="123"/>
      <c r="CX171" s="425">
        <v>0</v>
      </c>
      <c r="CY171" s="111"/>
      <c r="CZ171" s="111"/>
      <c r="DA171" s="123"/>
      <c r="DB171" s="123"/>
      <c r="DC171" s="425">
        <v>0</v>
      </c>
      <c r="DD171" s="132"/>
      <c r="DE171" s="471"/>
      <c r="DJ171" s="413"/>
      <c r="DK171" s="411"/>
      <c r="DL171" s="411"/>
      <c r="DM171" s="411"/>
      <c r="DN171" s="411"/>
      <c r="DO171" s="411"/>
      <c r="DP171" s="411"/>
      <c r="DQ171" s="411"/>
      <c r="DR171" s="508"/>
      <c r="DS171" s="132"/>
    </row>
    <row r="172" spans="1:143" x14ac:dyDescent="0.2">
      <c r="A172" s="110" t="s">
        <v>239</v>
      </c>
      <c r="B172" s="292"/>
      <c r="C172" s="111"/>
      <c r="D172" s="111"/>
      <c r="E172" s="111"/>
      <c r="F172" s="111"/>
      <c r="G172" s="292"/>
      <c r="H172" s="111"/>
      <c r="I172" s="111"/>
      <c r="J172" s="111"/>
      <c r="K172" s="111"/>
      <c r="L172" s="292"/>
      <c r="M172" s="831"/>
      <c r="N172" s="831"/>
      <c r="O172" s="831"/>
      <c r="P172" s="831"/>
      <c r="Q172" s="292"/>
      <c r="R172" s="831"/>
      <c r="S172" s="831"/>
      <c r="T172" s="831"/>
      <c r="U172" s="831"/>
      <c r="V172" s="292">
        <f>SUM(R172:U172)</f>
        <v>0</v>
      </c>
      <c r="W172" s="831">
        <v>0</v>
      </c>
      <c r="X172" s="831">
        <v>0</v>
      </c>
      <c r="Y172" s="831">
        <v>0</v>
      </c>
      <c r="Z172" s="831">
        <v>0</v>
      </c>
      <c r="AA172" s="292">
        <f>SUM(W172:Z172)</f>
        <v>0</v>
      </c>
      <c r="AB172" s="831">
        <v>0</v>
      </c>
      <c r="AC172" s="831">
        <v>0</v>
      </c>
      <c r="AD172" s="831">
        <v>0</v>
      </c>
      <c r="AE172" s="831">
        <f>(-6.9-6.1)*(1-0.2)</f>
        <v>-10.4</v>
      </c>
      <c r="AF172" s="292">
        <f>SUM(AB172:AE172)</f>
        <v>-10.4</v>
      </c>
      <c r="AG172" s="831">
        <v>0</v>
      </c>
      <c r="AH172" s="831">
        <v>0</v>
      </c>
      <c r="AI172" s="831">
        <v>0</v>
      </c>
      <c r="AJ172" s="831"/>
      <c r="AK172" s="292">
        <f>SUM(AG172:AJ172)</f>
        <v>0</v>
      </c>
      <c r="AL172" s="831">
        <v>0</v>
      </c>
      <c r="AM172" s="831">
        <v>0</v>
      </c>
      <c r="AN172" s="831">
        <v>0</v>
      </c>
      <c r="AO172" s="831">
        <v>0</v>
      </c>
      <c r="AP172" s="292">
        <f>SUM(AL172:AO172)</f>
        <v>0</v>
      </c>
      <c r="AQ172" s="831">
        <v>0</v>
      </c>
      <c r="AR172" s="831">
        <v>0</v>
      </c>
      <c r="AS172" s="831">
        <v>0</v>
      </c>
      <c r="AT172" s="831">
        <v>0</v>
      </c>
      <c r="AU172" s="292">
        <f>SUM(AQ172:AT172)</f>
        <v>0</v>
      </c>
      <c r="AV172" s="831">
        <v>0</v>
      </c>
      <c r="AW172" s="831">
        <v>0</v>
      </c>
      <c r="AX172" s="831">
        <v>0</v>
      </c>
      <c r="AY172" s="831">
        <v>0</v>
      </c>
      <c r="AZ172" s="292">
        <f>SUM(AV172:AY172)</f>
        <v>0</v>
      </c>
      <c r="BA172" s="831">
        <v>0</v>
      </c>
      <c r="BB172" s="831">
        <v>0</v>
      </c>
      <c r="BC172" s="831">
        <v>0</v>
      </c>
      <c r="BD172" s="831">
        <v>0</v>
      </c>
      <c r="BE172" s="292">
        <v>0</v>
      </c>
      <c r="BF172" s="831">
        <v>0</v>
      </c>
      <c r="BG172" s="831">
        <v>0</v>
      </c>
      <c r="BH172" s="831">
        <v>0</v>
      </c>
      <c r="BI172" s="831">
        <v>0</v>
      </c>
      <c r="BJ172" s="292">
        <v>0</v>
      </c>
      <c r="BK172" s="831">
        <v>0</v>
      </c>
      <c r="BL172" s="831">
        <v>0</v>
      </c>
      <c r="BM172" s="831">
        <v>0</v>
      </c>
      <c r="BN172" s="831">
        <v>0</v>
      </c>
      <c r="BO172" s="292">
        <v>0</v>
      </c>
      <c r="BP172" s="831">
        <v>0</v>
      </c>
      <c r="BQ172" s="831">
        <v>0</v>
      </c>
      <c r="BR172" s="831">
        <v>0</v>
      </c>
      <c r="BS172" s="831">
        <v>0</v>
      </c>
      <c r="BT172" s="292">
        <v>0</v>
      </c>
      <c r="BU172" s="831">
        <v>0</v>
      </c>
      <c r="BV172" s="831">
        <v>0</v>
      </c>
      <c r="BW172" s="831">
        <v>0</v>
      </c>
      <c r="BX172" s="831">
        <v>0</v>
      </c>
      <c r="BY172" s="292">
        <v>0</v>
      </c>
      <c r="BZ172" s="831">
        <v>0</v>
      </c>
      <c r="CA172" s="831">
        <v>0</v>
      </c>
      <c r="CB172" s="831">
        <v>0</v>
      </c>
      <c r="CC172" s="831">
        <v>0</v>
      </c>
      <c r="CD172" s="292">
        <v>0</v>
      </c>
      <c r="CE172" s="831">
        <v>0</v>
      </c>
      <c r="CF172" s="831">
        <v>0</v>
      </c>
      <c r="CG172" s="831">
        <v>0</v>
      </c>
      <c r="CH172" s="831">
        <v>0</v>
      </c>
      <c r="CI172" s="292">
        <v>0</v>
      </c>
      <c r="CJ172" s="831">
        <v>0</v>
      </c>
      <c r="CK172" s="831">
        <v>0</v>
      </c>
      <c r="CL172" s="831">
        <v>0</v>
      </c>
      <c r="CM172" s="831">
        <v>0</v>
      </c>
      <c r="CN172" s="292">
        <v>0</v>
      </c>
      <c r="CO172" s="123">
        <v>0</v>
      </c>
      <c r="CP172" s="123">
        <v>0</v>
      </c>
      <c r="CQ172" s="123">
        <v>0</v>
      </c>
      <c r="CR172" s="123">
        <v>0</v>
      </c>
      <c r="CS172" s="292">
        <f>SUM(CO172:CR172)</f>
        <v>0</v>
      </c>
      <c r="CT172" s="111"/>
      <c r="CU172" s="111"/>
      <c r="CV172" s="123"/>
      <c r="CW172" s="123"/>
      <c r="CX172" s="425">
        <v>0</v>
      </c>
      <c r="CY172" s="111"/>
      <c r="CZ172" s="111"/>
      <c r="DA172" s="123"/>
      <c r="DB172" s="123"/>
      <c r="DC172" s="425">
        <v>0</v>
      </c>
      <c r="DD172" s="132"/>
      <c r="DE172" s="471"/>
      <c r="DJ172" s="413"/>
      <c r="DK172" s="411"/>
      <c r="DL172" s="411"/>
      <c r="DM172" s="411"/>
      <c r="DN172" s="411"/>
      <c r="DO172" s="411"/>
      <c r="DP172" s="411"/>
      <c r="DQ172" s="411"/>
      <c r="DR172" s="508"/>
      <c r="DS172" s="132"/>
    </row>
    <row r="173" spans="1:143" x14ac:dyDescent="0.2">
      <c r="A173" s="110" t="s">
        <v>240</v>
      </c>
      <c r="B173" s="292"/>
      <c r="C173" s="111"/>
      <c r="D173" s="111"/>
      <c r="E173" s="111"/>
      <c r="F173" s="111"/>
      <c r="G173" s="292"/>
      <c r="H173" s="111"/>
      <c r="I173" s="111"/>
      <c r="J173" s="111"/>
      <c r="K173" s="111"/>
      <c r="L173" s="292"/>
      <c r="M173" s="831"/>
      <c r="N173" s="831"/>
      <c r="O173" s="831"/>
      <c r="P173" s="831"/>
      <c r="Q173" s="292"/>
      <c r="R173" s="831"/>
      <c r="S173" s="831">
        <v>11.3</v>
      </c>
      <c r="T173" s="831"/>
      <c r="U173" s="831"/>
      <c r="V173" s="292">
        <f>SUM(R173:U173)</f>
        <v>11.3</v>
      </c>
      <c r="W173" s="831">
        <v>0</v>
      </c>
      <c r="X173" s="831">
        <v>0</v>
      </c>
      <c r="Y173" s="831">
        <v>0</v>
      </c>
      <c r="Z173" s="831">
        <v>0</v>
      </c>
      <c r="AA173" s="292">
        <f>SUM(W173:Z173)</f>
        <v>0</v>
      </c>
      <c r="AB173" s="831">
        <v>0</v>
      </c>
      <c r="AC173" s="831">
        <v>0</v>
      </c>
      <c r="AD173" s="831">
        <v>0</v>
      </c>
      <c r="AE173" s="831">
        <v>0</v>
      </c>
      <c r="AF173" s="292">
        <f>SUM(AB173:AE173)</f>
        <v>0</v>
      </c>
      <c r="AG173" s="831">
        <v>0</v>
      </c>
      <c r="AH173" s="831">
        <v>0</v>
      </c>
      <c r="AI173" s="831">
        <v>0</v>
      </c>
      <c r="AJ173" s="831">
        <v>0</v>
      </c>
      <c r="AK173" s="292">
        <f>SUM(AG173:AJ173)</f>
        <v>0</v>
      </c>
      <c r="AL173" s="831">
        <v>0</v>
      </c>
      <c r="AM173" s="831">
        <v>0</v>
      </c>
      <c r="AN173" s="831">
        <v>0</v>
      </c>
      <c r="AO173" s="831">
        <v>0</v>
      </c>
      <c r="AP173" s="292">
        <f>SUM(AL173:AO173)</f>
        <v>0</v>
      </c>
      <c r="AQ173" s="831">
        <v>0</v>
      </c>
      <c r="AR173" s="831">
        <v>0</v>
      </c>
      <c r="AS173" s="831">
        <v>0</v>
      </c>
      <c r="AT173" s="831">
        <v>0</v>
      </c>
      <c r="AU173" s="292">
        <f>SUM(AQ173:AT173)</f>
        <v>0</v>
      </c>
      <c r="AV173" s="831">
        <v>-8</v>
      </c>
      <c r="AW173" s="831">
        <v>5</v>
      </c>
      <c r="AX173" s="831">
        <v>3</v>
      </c>
      <c r="AY173" s="831">
        <v>0</v>
      </c>
      <c r="AZ173" s="292">
        <f>SUM(AV173:AY173)</f>
        <v>0</v>
      </c>
      <c r="BA173" s="831">
        <v>0</v>
      </c>
      <c r="BB173" s="831">
        <v>0</v>
      </c>
      <c r="BC173" s="831">
        <v>0</v>
      </c>
      <c r="BD173" s="831">
        <v>0</v>
      </c>
      <c r="BE173" s="292">
        <v>0</v>
      </c>
      <c r="BF173" s="831">
        <v>0</v>
      </c>
      <c r="BG173" s="831">
        <v>0</v>
      </c>
      <c r="BH173" s="831">
        <v>-3</v>
      </c>
      <c r="BI173" s="831">
        <v>0</v>
      </c>
      <c r="BJ173" s="292">
        <f>SUM(BF173:BI173)</f>
        <v>-3</v>
      </c>
      <c r="BK173" s="831">
        <v>0</v>
      </c>
      <c r="BL173" s="831">
        <v>0</v>
      </c>
      <c r="BM173" s="831">
        <v>0</v>
      </c>
      <c r="BN173" s="831">
        <v>0</v>
      </c>
      <c r="BO173" s="292">
        <f>SUM(BK173:BN173)</f>
        <v>0</v>
      </c>
      <c r="BP173" s="831">
        <v>0</v>
      </c>
      <c r="BQ173" s="831">
        <v>0</v>
      </c>
      <c r="BR173" s="831">
        <v>0</v>
      </c>
      <c r="BS173" s="831">
        <v>0</v>
      </c>
      <c r="BT173" s="292">
        <f>SUM(BP173:BS173)</f>
        <v>0</v>
      </c>
      <c r="BU173" s="831">
        <v>0</v>
      </c>
      <c r="BV173" s="831">
        <v>0</v>
      </c>
      <c r="BW173" s="831">
        <v>0</v>
      </c>
      <c r="BX173" s="831">
        <v>1</v>
      </c>
      <c r="BY173" s="292">
        <f>SUM(BU173:BX173)</f>
        <v>1</v>
      </c>
      <c r="BZ173" s="831">
        <v>0</v>
      </c>
      <c r="CA173" s="831">
        <v>0</v>
      </c>
      <c r="CB173" s="831">
        <v>0</v>
      </c>
      <c r="CC173" s="831">
        <v>0</v>
      </c>
      <c r="CD173" s="292">
        <f>SUM(BZ173:CC173)</f>
        <v>0</v>
      </c>
      <c r="CE173" s="831">
        <v>0</v>
      </c>
      <c r="CF173" s="831">
        <v>0</v>
      </c>
      <c r="CG173" s="831">
        <v>0</v>
      </c>
      <c r="CH173" s="831">
        <v>0</v>
      </c>
      <c r="CI173" s="292">
        <f>SUM(CE173:CH173)</f>
        <v>0</v>
      </c>
      <c r="CJ173" s="831">
        <v>0</v>
      </c>
      <c r="CK173" s="831">
        <v>0</v>
      </c>
      <c r="CL173" s="831">
        <v>0</v>
      </c>
      <c r="CM173" s="831">
        <v>0</v>
      </c>
      <c r="CN173" s="292">
        <f>SUM(CJ173:CM173)</f>
        <v>0</v>
      </c>
      <c r="CO173" s="123">
        <v>0</v>
      </c>
      <c r="CP173" s="123">
        <v>0</v>
      </c>
      <c r="CQ173" s="123">
        <v>0</v>
      </c>
      <c r="CR173" s="123">
        <v>0</v>
      </c>
      <c r="CS173" s="292">
        <f>SUM(CO173:CR173)</f>
        <v>0</v>
      </c>
      <c r="CT173" s="111"/>
      <c r="CU173" s="111"/>
      <c r="CV173" s="123"/>
      <c r="CW173" s="123"/>
      <c r="CX173" s="425">
        <v>0</v>
      </c>
      <c r="CY173" s="111"/>
      <c r="CZ173" s="111"/>
      <c r="DA173" s="123"/>
      <c r="DB173" s="123"/>
      <c r="DC173" s="425">
        <v>0</v>
      </c>
      <c r="DD173" s="132"/>
      <c r="DE173" s="471"/>
      <c r="DJ173" s="413"/>
      <c r="DK173" s="411"/>
      <c r="DL173" s="411"/>
      <c r="DM173" s="411"/>
      <c r="DN173" s="411"/>
      <c r="DO173" s="411"/>
      <c r="DP173" s="411"/>
      <c r="DQ173" s="411"/>
      <c r="DR173" s="508"/>
      <c r="DS173" s="132"/>
    </row>
    <row r="174" spans="1:143" x14ac:dyDescent="0.2">
      <c r="A174" s="105" t="s">
        <v>241</v>
      </c>
      <c r="B174" s="293"/>
      <c r="C174" s="106"/>
      <c r="D174" s="106"/>
      <c r="E174" s="106"/>
      <c r="F174" s="106"/>
      <c r="G174" s="293"/>
      <c r="H174" s="106"/>
      <c r="I174" s="106"/>
      <c r="J174" s="106"/>
      <c r="K174" s="106"/>
      <c r="L174" s="293"/>
      <c r="M174" s="106"/>
      <c r="N174" s="106"/>
      <c r="O174" s="106"/>
      <c r="P174" s="106"/>
      <c r="Q174" s="293"/>
      <c r="R174" s="106">
        <f>+R173+R172+R171+R170</f>
        <v>0</v>
      </c>
      <c r="S174" s="106">
        <f>+S173+S172+S171+S170</f>
        <v>11.3</v>
      </c>
      <c r="T174" s="106">
        <f>+T173+T172+T171+T170</f>
        <v>0</v>
      </c>
      <c r="U174" s="106">
        <f>+U173+U172+U171+U170</f>
        <v>0</v>
      </c>
      <c r="V174" s="293">
        <f>SUM(R174:U174)</f>
        <v>11.3</v>
      </c>
      <c r="W174" s="106">
        <f>SUM(W170:W173)</f>
        <v>0</v>
      </c>
      <c r="X174" s="106">
        <f>SUM(X170:X173)</f>
        <v>0</v>
      </c>
      <c r="Y174" s="106">
        <f>SUM(Y170:Y173)</f>
        <v>0</v>
      </c>
      <c r="Z174" s="106">
        <f>SUM(Z170:Z173)</f>
        <v>0</v>
      </c>
      <c r="AA174" s="293">
        <f>SUM(W174:Z174)</f>
        <v>0</v>
      </c>
      <c r="AB174" s="106">
        <f>SUM(AB170:AB173)</f>
        <v>0</v>
      </c>
      <c r="AC174" s="106">
        <f>SUM(AC170:AC173)</f>
        <v>0</v>
      </c>
      <c r="AD174" s="106">
        <f>SUM(AD170:AD173)</f>
        <v>0</v>
      </c>
      <c r="AE174" s="106">
        <f>SUM(AE170:AE173)</f>
        <v>-10.4</v>
      </c>
      <c r="AF174" s="293">
        <f>SUM(AB174:AE174)</f>
        <v>-10.4</v>
      </c>
      <c r="AG174" s="106">
        <f>SUM(AG170:AG173)</f>
        <v>0</v>
      </c>
      <c r="AH174" s="106">
        <f>SUM(AH170:AH173)</f>
        <v>0</v>
      </c>
      <c r="AI174" s="106">
        <f>SUM(AI170:AI173)</f>
        <v>5.6000000000000005</v>
      </c>
      <c r="AJ174" s="106">
        <v>1</v>
      </c>
      <c r="AK174" s="293">
        <f>SUM(AG174:AJ174)</f>
        <v>6.6000000000000005</v>
      </c>
      <c r="AL174" s="106">
        <f>SUM(AL170:AL173)</f>
        <v>0</v>
      </c>
      <c r="AM174" s="106">
        <f>SUM(AM170:AM173)</f>
        <v>0</v>
      </c>
      <c r="AN174" s="106">
        <f>SUM(AN170:AN173)</f>
        <v>0</v>
      </c>
      <c r="AO174" s="106">
        <f>SUM(AO170:AO173)</f>
        <v>0</v>
      </c>
      <c r="AP174" s="293">
        <f>SUM(AL174:AO174)</f>
        <v>0</v>
      </c>
      <c r="AQ174" s="106">
        <f>SUM(AQ170:AQ173)</f>
        <v>0</v>
      </c>
      <c r="AR174" s="106">
        <f>SUM(AR170:AR173)</f>
        <v>0</v>
      </c>
      <c r="AS174" s="106">
        <f>SUM(AS170:AS173)</f>
        <v>0</v>
      </c>
      <c r="AT174" s="106">
        <f>SUM(AT170:AT173)</f>
        <v>-53</v>
      </c>
      <c r="AU174" s="293">
        <f>SUM(AQ174:AT174)</f>
        <v>-53</v>
      </c>
      <c r="AV174" s="106">
        <f>SUM(AV170:AV173)</f>
        <v>-8</v>
      </c>
      <c r="AW174" s="106">
        <f>SUM(AW170:AW173)</f>
        <v>5</v>
      </c>
      <c r="AX174" s="106">
        <f>SUM(AX170:AX173)</f>
        <v>3</v>
      </c>
      <c r="AY174" s="106">
        <f>SUM(AY170:AY173)</f>
        <v>0</v>
      </c>
      <c r="AZ174" s="293">
        <f>SUM(AV174:AY174)</f>
        <v>0</v>
      </c>
      <c r="BA174" s="106">
        <f>SUM(BA170:BA173)</f>
        <v>0</v>
      </c>
      <c r="BB174" s="106">
        <f>SUM(BB170:BB173)</f>
        <v>0</v>
      </c>
      <c r="BC174" s="106">
        <f>SUM(BC170:BC173)</f>
        <v>0</v>
      </c>
      <c r="BD174" s="106">
        <f>SUM(BD170:BD173)</f>
        <v>0</v>
      </c>
      <c r="BE174" s="293">
        <v>0</v>
      </c>
      <c r="BF174" s="106">
        <f t="shared" ref="BF174:BQ174" si="706">SUM(BF170:BF173)</f>
        <v>0</v>
      </c>
      <c r="BG174" s="106">
        <f t="shared" si="706"/>
        <v>0</v>
      </c>
      <c r="BH174" s="106">
        <f t="shared" si="706"/>
        <v>-3</v>
      </c>
      <c r="BI174" s="106">
        <f t="shared" si="706"/>
        <v>0</v>
      </c>
      <c r="BJ174" s="293">
        <f t="shared" si="706"/>
        <v>-3</v>
      </c>
      <c r="BK174" s="106">
        <f t="shared" si="706"/>
        <v>0</v>
      </c>
      <c r="BL174" s="106">
        <f t="shared" si="706"/>
        <v>0</v>
      </c>
      <c r="BM174" s="106">
        <f t="shared" si="706"/>
        <v>0</v>
      </c>
      <c r="BN174" s="106">
        <f t="shared" si="706"/>
        <v>0</v>
      </c>
      <c r="BO174" s="293">
        <f t="shared" si="706"/>
        <v>0</v>
      </c>
      <c r="BP174" s="106">
        <f t="shared" si="706"/>
        <v>0</v>
      </c>
      <c r="BQ174" s="106">
        <f t="shared" si="706"/>
        <v>0</v>
      </c>
      <c r="BR174" s="106">
        <f t="shared" ref="BR174:BZ174" si="707">SUM(BR170:BR173)</f>
        <v>0</v>
      </c>
      <c r="BS174" s="106">
        <f t="shared" si="707"/>
        <v>0</v>
      </c>
      <c r="BT174" s="293">
        <f t="shared" si="707"/>
        <v>0</v>
      </c>
      <c r="BU174" s="106">
        <f t="shared" si="707"/>
        <v>0</v>
      </c>
      <c r="BV174" s="106">
        <f t="shared" si="707"/>
        <v>0</v>
      </c>
      <c r="BW174" s="106">
        <f t="shared" si="707"/>
        <v>0</v>
      </c>
      <c r="BX174" s="106">
        <f t="shared" si="707"/>
        <v>1</v>
      </c>
      <c r="BY174" s="293">
        <f t="shared" si="707"/>
        <v>1</v>
      </c>
      <c r="BZ174" s="106">
        <f t="shared" si="707"/>
        <v>0</v>
      </c>
      <c r="CA174" s="106">
        <f t="shared" ref="CA174:CE174" si="708">SUM(CA170:CA173)</f>
        <v>0</v>
      </c>
      <c r="CB174" s="106">
        <f t="shared" si="708"/>
        <v>0</v>
      </c>
      <c r="CC174" s="106">
        <f t="shared" si="708"/>
        <v>0</v>
      </c>
      <c r="CD174" s="293">
        <f t="shared" si="708"/>
        <v>0</v>
      </c>
      <c r="CE174" s="106">
        <f t="shared" si="708"/>
        <v>0</v>
      </c>
      <c r="CF174" s="106">
        <f t="shared" ref="CF174:CJ174" si="709">SUM(CF170:CF173)</f>
        <v>0</v>
      </c>
      <c r="CG174" s="106">
        <f t="shared" si="709"/>
        <v>0</v>
      </c>
      <c r="CH174" s="106">
        <f t="shared" si="709"/>
        <v>0</v>
      </c>
      <c r="CI174" s="293">
        <f t="shared" si="709"/>
        <v>0</v>
      </c>
      <c r="CJ174" s="106">
        <f t="shared" si="709"/>
        <v>0</v>
      </c>
      <c r="CK174" s="106">
        <f t="shared" ref="CK174:CN174" si="710">SUM(CK170:CK173)</f>
        <v>0</v>
      </c>
      <c r="CL174" s="106">
        <f t="shared" si="710"/>
        <v>0</v>
      </c>
      <c r="CM174" s="106">
        <f t="shared" si="710"/>
        <v>0</v>
      </c>
      <c r="CN174" s="293">
        <f t="shared" si="710"/>
        <v>0</v>
      </c>
      <c r="CO174" s="106">
        <f t="shared" ref="CO174:CR174" si="711">SUM(CO170:CO173)</f>
        <v>0</v>
      </c>
      <c r="CP174" s="106">
        <f t="shared" si="711"/>
        <v>0</v>
      </c>
      <c r="CQ174" s="106">
        <f t="shared" si="711"/>
        <v>0</v>
      </c>
      <c r="CR174" s="106">
        <f t="shared" si="711"/>
        <v>0</v>
      </c>
      <c r="CS174" s="293">
        <f t="shared" ref="CS174" si="712">SUM(CS170:CS173)</f>
        <v>0</v>
      </c>
      <c r="CT174" s="106"/>
      <c r="CU174" s="106"/>
      <c r="CV174" s="106"/>
      <c r="CW174" s="106"/>
      <c r="CX174" s="426">
        <v>0</v>
      </c>
      <c r="CY174" s="106"/>
      <c r="CZ174" s="106"/>
      <c r="DA174" s="106"/>
      <c r="DB174" s="106"/>
      <c r="DC174" s="426">
        <v>0</v>
      </c>
      <c r="DD174" s="132"/>
      <c r="DE174" s="471"/>
      <c r="DJ174" s="413"/>
      <c r="DK174" s="411"/>
      <c r="DL174" s="411"/>
      <c r="DM174" s="411"/>
      <c r="DN174" s="411"/>
      <c r="DO174" s="411"/>
      <c r="DP174" s="411"/>
      <c r="DQ174" s="411"/>
      <c r="DR174" s="508"/>
      <c r="DS174" s="125"/>
    </row>
    <row r="175" spans="1:143" x14ac:dyDescent="0.2">
      <c r="A175" s="124" t="s">
        <v>1</v>
      </c>
      <c r="B175" s="292"/>
      <c r="C175" s="111"/>
      <c r="D175" s="111"/>
      <c r="E175" s="111"/>
      <c r="F175" s="111"/>
      <c r="G175" s="292"/>
      <c r="H175" s="111"/>
      <c r="I175" s="111"/>
      <c r="J175" s="111"/>
      <c r="K175" s="111"/>
      <c r="L175" s="292"/>
      <c r="M175" s="111"/>
      <c r="N175" s="111"/>
      <c r="O175" s="111"/>
      <c r="P175" s="111"/>
      <c r="Q175" s="292"/>
      <c r="R175" s="111"/>
      <c r="S175" s="111"/>
      <c r="T175" s="111"/>
      <c r="U175" s="111"/>
      <c r="V175" s="292"/>
      <c r="W175" s="111"/>
      <c r="X175" s="111"/>
      <c r="Y175" s="111"/>
      <c r="Z175" s="111"/>
      <c r="AA175" s="292"/>
      <c r="AB175" s="111"/>
      <c r="AC175" s="111"/>
      <c r="AD175" s="111"/>
      <c r="AE175" s="111"/>
      <c r="AF175" s="292"/>
      <c r="AG175" s="111"/>
      <c r="AH175" s="111"/>
      <c r="AI175" s="111"/>
      <c r="AJ175" s="111"/>
      <c r="AK175" s="292"/>
      <c r="AL175" s="111"/>
      <c r="AM175" s="111"/>
      <c r="AN175" s="111"/>
      <c r="AO175" s="111"/>
      <c r="AP175" s="292"/>
      <c r="AQ175" s="111"/>
      <c r="AR175" s="111"/>
      <c r="AS175" s="111"/>
      <c r="AT175" s="111"/>
      <c r="AU175" s="292"/>
      <c r="AV175" s="111"/>
      <c r="AW175" s="111"/>
      <c r="AX175" s="111"/>
      <c r="AY175" s="111"/>
      <c r="AZ175" s="292"/>
      <c r="BA175" s="111"/>
      <c r="BB175" s="111"/>
      <c r="BC175" s="111"/>
      <c r="BD175" s="111"/>
      <c r="BE175" s="292"/>
      <c r="BF175" s="111"/>
      <c r="BG175" s="111"/>
      <c r="BH175" s="111"/>
      <c r="BI175" s="111"/>
      <c r="BJ175" s="292"/>
      <c r="BK175" s="111"/>
      <c r="BL175" s="111"/>
      <c r="BM175" s="111"/>
      <c r="BN175" s="111"/>
      <c r="BO175" s="292"/>
      <c r="BP175" s="111"/>
      <c r="BQ175" s="111"/>
      <c r="BR175" s="111"/>
      <c r="BS175" s="111"/>
      <c r="BT175" s="292"/>
      <c r="BU175" s="111"/>
      <c r="BV175" s="111"/>
      <c r="BW175" s="111"/>
      <c r="BX175" s="111"/>
      <c r="BY175" s="292"/>
      <c r="BZ175" s="111"/>
      <c r="CA175" s="111"/>
      <c r="CB175" s="111"/>
      <c r="CC175" s="111"/>
      <c r="CD175" s="292"/>
      <c r="CE175" s="111"/>
      <c r="CF175" s="111"/>
      <c r="CG175" s="111"/>
      <c r="CH175" s="111"/>
      <c r="CI175" s="292"/>
      <c r="CJ175" s="111"/>
      <c r="CK175" s="111"/>
      <c r="CL175" s="111"/>
      <c r="CM175" s="111"/>
      <c r="CN175" s="292"/>
      <c r="CO175" s="111"/>
      <c r="CP175" s="111"/>
      <c r="CQ175" s="111"/>
      <c r="CR175" s="111"/>
      <c r="CS175" s="292"/>
      <c r="CT175" s="111"/>
      <c r="CU175" s="111"/>
      <c r="CV175" s="111"/>
      <c r="CW175" s="111"/>
      <c r="CX175" s="292"/>
      <c r="CY175" s="111"/>
      <c r="CZ175" s="111"/>
      <c r="DA175" s="111"/>
      <c r="DB175" s="111"/>
      <c r="DC175" s="292"/>
      <c r="DD175" s="132"/>
      <c r="DE175" s="471"/>
      <c r="DJ175" s="413"/>
      <c r="DK175" s="411"/>
      <c r="DL175" s="411"/>
      <c r="DM175" s="411"/>
      <c r="DN175" s="411"/>
      <c r="DO175" s="411"/>
      <c r="DP175" s="411"/>
      <c r="DQ175" s="411"/>
      <c r="DR175" s="508"/>
      <c r="DS175" s="132"/>
    </row>
    <row r="176" spans="1:143" x14ac:dyDescent="0.2">
      <c r="A176" s="110" t="s">
        <v>242</v>
      </c>
      <c r="B176" s="292"/>
      <c r="C176" s="111"/>
      <c r="D176" s="111"/>
      <c r="E176" s="111"/>
      <c r="F176" s="111"/>
      <c r="G176" s="292"/>
      <c r="H176" s="111"/>
      <c r="I176" s="111"/>
      <c r="J176" s="111"/>
      <c r="K176" s="111"/>
      <c r="L176" s="292"/>
      <c r="M176" s="111">
        <f t="shared" ref="M176:AR176" si="713">+M174+M147</f>
        <v>13.004733199999999</v>
      </c>
      <c r="N176" s="111">
        <f t="shared" si="713"/>
        <v>14.586422800000005</v>
      </c>
      <c r="O176" s="111">
        <f t="shared" si="713"/>
        <v>12.149889235999996</v>
      </c>
      <c r="P176" s="111">
        <f t="shared" si="713"/>
        <v>15.162978399999979</v>
      </c>
      <c r="Q176" s="292">
        <f t="shared" si="713"/>
        <v>54.904023636000048</v>
      </c>
      <c r="R176" s="111">
        <f t="shared" si="713"/>
        <v>17.357999999999976</v>
      </c>
      <c r="S176" s="111">
        <f t="shared" si="713"/>
        <v>38.032199999999996</v>
      </c>
      <c r="T176" s="111">
        <f t="shared" si="713"/>
        <v>29.04299999999996</v>
      </c>
      <c r="U176" s="111">
        <f t="shared" si="713"/>
        <v>19.540000000000028</v>
      </c>
      <c r="V176" s="292">
        <f t="shared" si="713"/>
        <v>103.97320000000006</v>
      </c>
      <c r="W176" s="111">
        <f t="shared" si="713"/>
        <v>15.192999999999932</v>
      </c>
      <c r="X176" s="111">
        <f t="shared" si="713"/>
        <v>21.458000000000027</v>
      </c>
      <c r="Y176" s="111">
        <f t="shared" si="713"/>
        <v>8.4229999999999556</v>
      </c>
      <c r="Z176" s="111">
        <f t="shared" si="713"/>
        <v>0.89299999999995916</v>
      </c>
      <c r="AA176" s="292">
        <f t="shared" si="713"/>
        <v>45.966999999999757</v>
      </c>
      <c r="AB176" s="111">
        <f t="shared" si="713"/>
        <v>6.9670000000000343</v>
      </c>
      <c r="AC176" s="111">
        <f t="shared" si="713"/>
        <v>13.060000000000059</v>
      </c>
      <c r="AD176" s="111">
        <f t="shared" si="713"/>
        <v>2.6859999999999999</v>
      </c>
      <c r="AE176" s="111">
        <f t="shared" si="713"/>
        <v>-42.4</v>
      </c>
      <c r="AF176" s="292">
        <f t="shared" si="713"/>
        <v>-19.686999999999976</v>
      </c>
      <c r="AG176" s="111">
        <f t="shared" si="713"/>
        <v>-31.600000000000023</v>
      </c>
      <c r="AH176" s="111">
        <f t="shared" si="713"/>
        <v>14</v>
      </c>
      <c r="AI176" s="111">
        <f t="shared" si="713"/>
        <v>0.80000000000000071</v>
      </c>
      <c r="AJ176" s="111">
        <f t="shared" si="713"/>
        <v>17</v>
      </c>
      <c r="AK176" s="292">
        <f t="shared" si="713"/>
        <v>0.20000000000009166</v>
      </c>
      <c r="AL176" s="111">
        <f t="shared" si="713"/>
        <v>-22</v>
      </c>
      <c r="AM176" s="111">
        <f t="shared" si="713"/>
        <v>21</v>
      </c>
      <c r="AN176" s="111">
        <f t="shared" si="713"/>
        <v>23</v>
      </c>
      <c r="AO176" s="111">
        <f t="shared" si="713"/>
        <v>-4</v>
      </c>
      <c r="AP176" s="292">
        <f t="shared" si="713"/>
        <v>18</v>
      </c>
      <c r="AQ176" s="111">
        <f t="shared" si="713"/>
        <v>-7.7999999999999545</v>
      </c>
      <c r="AR176" s="111">
        <f t="shared" si="713"/>
        <v>-7</v>
      </c>
      <c r="AS176" s="111">
        <f t="shared" ref="AS176:BX176" si="714">+AS174+AS147</f>
        <v>-4</v>
      </c>
      <c r="AT176" s="111">
        <f t="shared" si="714"/>
        <v>-57</v>
      </c>
      <c r="AU176" s="292">
        <f t="shared" si="714"/>
        <v>-75.800000000000182</v>
      </c>
      <c r="AV176" s="111">
        <f t="shared" si="714"/>
        <v>14.7</v>
      </c>
      <c r="AW176" s="111">
        <f t="shared" si="714"/>
        <v>21.700000000000003</v>
      </c>
      <c r="AX176" s="111">
        <f t="shared" si="714"/>
        <v>16.05</v>
      </c>
      <c r="AY176" s="111">
        <f t="shared" si="714"/>
        <v>11</v>
      </c>
      <c r="AZ176" s="292">
        <f t="shared" si="714"/>
        <v>63.449999999999996</v>
      </c>
      <c r="BA176" s="111">
        <f t="shared" si="714"/>
        <v>-1.5</v>
      </c>
      <c r="BB176" s="111">
        <f t="shared" si="714"/>
        <v>30</v>
      </c>
      <c r="BC176" s="111">
        <f t="shared" si="714"/>
        <v>58.799999999999955</v>
      </c>
      <c r="BD176" s="111">
        <f t="shared" si="714"/>
        <v>9.1000000000000227</v>
      </c>
      <c r="BE176" s="292">
        <f t="shared" si="714"/>
        <v>96.399999999999636</v>
      </c>
      <c r="BF176" s="111">
        <f t="shared" si="714"/>
        <v>3</v>
      </c>
      <c r="BG176" s="111">
        <f t="shared" si="714"/>
        <v>25</v>
      </c>
      <c r="BH176" s="111">
        <f t="shared" si="714"/>
        <v>34.5</v>
      </c>
      <c r="BI176" s="111">
        <f t="shared" si="714"/>
        <v>23</v>
      </c>
      <c r="BJ176" s="292">
        <f t="shared" si="714"/>
        <v>85.5</v>
      </c>
      <c r="BK176" s="111">
        <f t="shared" si="714"/>
        <v>30</v>
      </c>
      <c r="BL176" s="111">
        <f t="shared" si="714"/>
        <v>52</v>
      </c>
      <c r="BM176" s="111">
        <f t="shared" si="714"/>
        <v>45</v>
      </c>
      <c r="BN176" s="111">
        <f t="shared" si="714"/>
        <v>1</v>
      </c>
      <c r="BO176" s="292">
        <f t="shared" si="714"/>
        <v>128</v>
      </c>
      <c r="BP176" s="111">
        <f t="shared" si="714"/>
        <v>14</v>
      </c>
      <c r="BQ176" s="111">
        <f t="shared" si="714"/>
        <v>36</v>
      </c>
      <c r="BR176" s="111">
        <f t="shared" si="714"/>
        <v>71</v>
      </c>
      <c r="BS176" s="111">
        <f t="shared" si="714"/>
        <v>47</v>
      </c>
      <c r="BT176" s="292">
        <f t="shared" si="714"/>
        <v>168</v>
      </c>
      <c r="BU176" s="111">
        <f t="shared" si="714"/>
        <v>4</v>
      </c>
      <c r="BV176" s="111">
        <f t="shared" si="714"/>
        <v>61</v>
      </c>
      <c r="BW176" s="111">
        <f t="shared" si="714"/>
        <v>79</v>
      </c>
      <c r="BX176" s="111">
        <f t="shared" si="714"/>
        <v>88</v>
      </c>
      <c r="BY176" s="292">
        <f t="shared" ref="BY176:CD176" si="715">+BY174+BY147</f>
        <v>232</v>
      </c>
      <c r="BZ176" s="111">
        <f t="shared" si="715"/>
        <v>137</v>
      </c>
      <c r="CA176" s="111">
        <f t="shared" si="715"/>
        <v>152</v>
      </c>
      <c r="CB176" s="111">
        <f t="shared" si="715"/>
        <v>198</v>
      </c>
      <c r="CC176" s="111">
        <f t="shared" si="715"/>
        <v>190</v>
      </c>
      <c r="CD176" s="292">
        <f t="shared" si="715"/>
        <v>677</v>
      </c>
      <c r="CE176" s="111">
        <f>+CE174+CE147</f>
        <v>199</v>
      </c>
      <c r="CF176" s="111">
        <f t="shared" ref="CF176:CI176" si="716">+CF174+CF147</f>
        <v>180</v>
      </c>
      <c r="CG176" s="111">
        <f t="shared" si="716"/>
        <v>199</v>
      </c>
      <c r="CH176" s="111">
        <f t="shared" si="716"/>
        <v>172</v>
      </c>
      <c r="CI176" s="292">
        <f t="shared" si="716"/>
        <v>750</v>
      </c>
      <c r="CJ176" s="111">
        <f>+CJ174+CJ147</f>
        <v>85</v>
      </c>
      <c r="CK176" s="111">
        <f t="shared" ref="CK176:CN176" si="717">+CK174+CK147</f>
        <v>211</v>
      </c>
      <c r="CL176" s="111">
        <f t="shared" si="717"/>
        <v>179</v>
      </c>
      <c r="CM176" s="111">
        <f t="shared" si="717"/>
        <v>103.16800000000001</v>
      </c>
      <c r="CN176" s="292">
        <f t="shared" si="717"/>
        <v>578.16800000000001</v>
      </c>
      <c r="CO176" s="111">
        <f t="shared" ref="CO176:CR176" si="718">+CO174+CO147</f>
        <v>69.420376118776232</v>
      </c>
      <c r="CP176" s="111">
        <f t="shared" si="718"/>
        <v>127.27316701943846</v>
      </c>
      <c r="CQ176" s="111">
        <f t="shared" si="718"/>
        <v>211.62179432302776</v>
      </c>
      <c r="CR176" s="111">
        <f t="shared" si="718"/>
        <v>163.76550559322038</v>
      </c>
      <c r="CS176" s="292">
        <f t="shared" ref="CS176" si="719">+CS174+CS147</f>
        <v>572.080843054463</v>
      </c>
      <c r="CT176" s="111"/>
      <c r="CU176" s="111"/>
      <c r="CV176" s="111"/>
      <c r="CW176" s="111"/>
      <c r="CX176" s="292">
        <f>+CX174+CX147</f>
        <v>684.54836716091631</v>
      </c>
      <c r="CY176" s="111"/>
      <c r="CZ176" s="111"/>
      <c r="DA176" s="111"/>
      <c r="DB176" s="111"/>
      <c r="DC176" s="292">
        <f>+DC174+DC147</f>
        <v>837.63277973523736</v>
      </c>
      <c r="DD176" s="132"/>
      <c r="DE176" s="471"/>
      <c r="DJ176" s="413"/>
      <c r="DK176" s="411"/>
      <c r="DL176" s="411"/>
      <c r="DM176" s="411"/>
      <c r="DN176" s="411"/>
      <c r="DO176" s="411"/>
      <c r="DP176" s="411"/>
      <c r="DQ176" s="411"/>
      <c r="DR176" s="508"/>
      <c r="DS176" s="132"/>
    </row>
    <row r="177" spans="1:129" x14ac:dyDescent="0.2">
      <c r="A177" s="127" t="s">
        <v>243</v>
      </c>
      <c r="B177" s="294"/>
      <c r="C177" s="128"/>
      <c r="D177" s="128"/>
      <c r="E177" s="128"/>
      <c r="F177" s="128"/>
      <c r="G177" s="294"/>
      <c r="H177" s="128"/>
      <c r="I177" s="128"/>
      <c r="J177" s="128"/>
      <c r="K177" s="128"/>
      <c r="L177" s="294"/>
      <c r="M177" s="128">
        <f t="shared" ref="M177:BG177" si="720">M176/M155</f>
        <v>0.10060716139638333</v>
      </c>
      <c r="N177" s="128">
        <f t="shared" si="720"/>
        <v>9.7480671505139241E-2</v>
      </c>
      <c r="O177" s="128">
        <f t="shared" si="720"/>
        <v>7.9313648263610925E-2</v>
      </c>
      <c r="P177" s="128">
        <f t="shared" si="720"/>
        <v>9.882684681425849E-2</v>
      </c>
      <c r="Q177" s="294">
        <f t="shared" si="720"/>
        <v>0.37508248762401797</v>
      </c>
      <c r="R177" s="128">
        <f t="shared" si="720"/>
        <v>0.1125850687603674</v>
      </c>
      <c r="S177" s="128">
        <f t="shared" si="720"/>
        <v>0.24313454733753337</v>
      </c>
      <c r="T177" s="128">
        <f t="shared" si="720"/>
        <v>0.17475123536180848</v>
      </c>
      <c r="U177" s="128">
        <f t="shared" si="720"/>
        <v>0.11622546789078153</v>
      </c>
      <c r="V177" s="294">
        <f t="shared" si="720"/>
        <v>0.64487602319050963</v>
      </c>
      <c r="W177" s="128">
        <f t="shared" si="720"/>
        <v>9.1884160520593838E-2</v>
      </c>
      <c r="X177" s="128">
        <f t="shared" si="720"/>
        <v>0.12834845127119293</v>
      </c>
      <c r="Y177" s="128">
        <f t="shared" si="720"/>
        <v>5.0672129125795717E-2</v>
      </c>
      <c r="Z177" s="128">
        <f t="shared" si="720"/>
        <v>5.376052785252633E-3</v>
      </c>
      <c r="AA177" s="294">
        <f t="shared" si="720"/>
        <v>0.27648741229507806</v>
      </c>
      <c r="AB177" s="128">
        <f t="shared" si="720"/>
        <v>4.2213497170417433E-2</v>
      </c>
      <c r="AC177" s="128">
        <f t="shared" si="720"/>
        <v>7.2194183558963509E-2</v>
      </c>
      <c r="AD177" s="128">
        <f t="shared" si="720"/>
        <v>1.6157460042468978E-2</v>
      </c>
      <c r="AE177" s="128">
        <f t="shared" si="720"/>
        <v>-0.25308597760427853</v>
      </c>
      <c r="AF177" s="294">
        <f t="shared" si="720"/>
        <v>-0.11531252562565636</v>
      </c>
      <c r="AG177" s="128">
        <f t="shared" si="720"/>
        <v>-0.18239959364141176</v>
      </c>
      <c r="AH177" s="128">
        <f t="shared" si="720"/>
        <v>7.74160726826328E-2</v>
      </c>
      <c r="AI177" s="128">
        <f t="shared" si="720"/>
        <v>4.5566130695054406E-3</v>
      </c>
      <c r="AJ177" s="128">
        <f t="shared" si="720"/>
        <v>8.6205147968601042E-2</v>
      </c>
      <c r="AK177" s="294">
        <f t="shared" si="720"/>
        <v>1.1328107299837537E-3</v>
      </c>
      <c r="AL177" s="128">
        <f t="shared" si="720"/>
        <v>-0.12345401898947274</v>
      </c>
      <c r="AM177" s="128">
        <f t="shared" si="720"/>
        <v>0.10574816829065639</v>
      </c>
      <c r="AN177" s="128">
        <f t="shared" si="720"/>
        <v>0.1157081337787258</v>
      </c>
      <c r="AO177" s="128">
        <f t="shared" si="720"/>
        <v>-2.208041687827066E-2</v>
      </c>
      <c r="AP177" s="294">
        <f t="shared" si="720"/>
        <v>9.514735285527956E-2</v>
      </c>
      <c r="AQ177" s="128">
        <f t="shared" si="720"/>
        <v>-3.6377882247593252E-2</v>
      </c>
      <c r="AR177" s="128">
        <f t="shared" si="720"/>
        <v>-3.107202940301754E-2</v>
      </c>
      <c r="AS177" s="128">
        <f t="shared" si="720"/>
        <v>-1.7704833862265245E-2</v>
      </c>
      <c r="AT177" s="128">
        <f t="shared" si="720"/>
        <v>-0.23007249301709803</v>
      </c>
      <c r="AU177" s="294">
        <f t="shared" si="720"/>
        <v>-0.33500985583085174</v>
      </c>
      <c r="AV177" s="128">
        <f t="shared" si="720"/>
        <v>5.3541379837846112E-2</v>
      </c>
      <c r="AW177" s="128">
        <f t="shared" si="720"/>
        <v>6.7128211791054937E-2</v>
      </c>
      <c r="AX177" s="128">
        <f t="shared" si="720"/>
        <v>4.66340664034239E-2</v>
      </c>
      <c r="AY177" s="128">
        <f t="shared" si="720"/>
        <v>3.6240001054254581E-2</v>
      </c>
      <c r="AZ177" s="294">
        <f t="shared" si="720"/>
        <v>0.19107819901645171</v>
      </c>
      <c r="BA177" s="128">
        <f t="shared" si="720"/>
        <v>-5.4733938325798297E-3</v>
      </c>
      <c r="BB177" s="128">
        <f t="shared" si="720"/>
        <v>8.6595831276682342E-2</v>
      </c>
      <c r="BC177" s="128">
        <f t="shared" si="720"/>
        <v>0.16948468584802859</v>
      </c>
      <c r="BD177" s="128">
        <f t="shared" si="720"/>
        <v>2.9673300225321508E-2</v>
      </c>
      <c r="BE177" s="294">
        <f t="shared" si="720"/>
        <v>0.27813040969417091</v>
      </c>
      <c r="BF177" s="128">
        <f t="shared" si="720"/>
        <v>1.0739523594733338E-2</v>
      </c>
      <c r="BG177" s="128">
        <f t="shared" si="720"/>
        <v>7.1662190168520809E-2</v>
      </c>
      <c r="BH177" s="128">
        <f>(BH176+BH151)/BH155</f>
        <v>0.10830231073810191</v>
      </c>
      <c r="BI177" s="128">
        <f t="shared" ref="BI177:CD177" si="721">BI176/BI155</f>
        <v>6.7080817802665726E-2</v>
      </c>
      <c r="BJ177" s="294">
        <f t="shared" si="721"/>
        <v>0.24668205424120021</v>
      </c>
      <c r="BK177" s="128">
        <f t="shared" si="721"/>
        <v>8.750820389411508E-2</v>
      </c>
      <c r="BL177" s="128">
        <f t="shared" si="721"/>
        <v>0.15125688655151751</v>
      </c>
      <c r="BM177" s="128">
        <f t="shared" si="721"/>
        <v>0.13051346898999977</v>
      </c>
      <c r="BN177" s="128">
        <f t="shared" si="721"/>
        <v>3.5146790570819023E-3</v>
      </c>
      <c r="BO177" s="294">
        <f t="shared" si="721"/>
        <v>0.37195354067805964</v>
      </c>
      <c r="BP177" s="128">
        <f t="shared" si="721"/>
        <v>4.5328273834577701E-2</v>
      </c>
      <c r="BQ177" s="128">
        <f t="shared" si="721"/>
        <v>0.10495841022994638</v>
      </c>
      <c r="BR177" s="128">
        <f t="shared" si="721"/>
        <v>0.20654845888667472</v>
      </c>
      <c r="BS177" s="128">
        <f t="shared" si="721"/>
        <v>0.13626150612451982</v>
      </c>
      <c r="BT177" s="294">
        <f t="shared" si="721"/>
        <v>0.48918977942782266</v>
      </c>
      <c r="BU177" s="128">
        <f t="shared" si="721"/>
        <v>1.3458361511777747E-2</v>
      </c>
      <c r="BV177" s="128">
        <f t="shared" si="721"/>
        <v>0.17739468281249091</v>
      </c>
      <c r="BW177" s="128">
        <f t="shared" si="721"/>
        <v>0.23159820350153029</v>
      </c>
      <c r="BX177" s="128">
        <f t="shared" si="721"/>
        <v>0.25679110335550104</v>
      </c>
      <c r="BY177" s="294">
        <f t="shared" si="721"/>
        <v>0.65703766638346073</v>
      </c>
      <c r="BZ177" s="128">
        <f t="shared" si="721"/>
        <v>0.39567358373406114</v>
      </c>
      <c r="CA177" s="128">
        <f t="shared" si="721"/>
        <v>0.43718235969178648</v>
      </c>
      <c r="CB177" s="128">
        <f t="shared" si="721"/>
        <v>0.57638733228729711</v>
      </c>
      <c r="CC177" s="128">
        <f t="shared" si="721"/>
        <v>0.55493409427454055</v>
      </c>
      <c r="CD177" s="294">
        <f t="shared" si="721"/>
        <v>1.9755406474053887</v>
      </c>
      <c r="CE177" s="128">
        <f>CE176/CE155</f>
        <v>0.58272327964860904</v>
      </c>
      <c r="CF177" s="128">
        <f t="shared" ref="CF177:CI177" si="722">CF176/CF155</f>
        <v>0.52539404553415059</v>
      </c>
      <c r="CG177" s="128">
        <f t="shared" si="722"/>
        <v>0.58000582920431354</v>
      </c>
      <c r="CH177" s="128">
        <f t="shared" si="722"/>
        <v>0.50351288056206089</v>
      </c>
      <c r="CI177" s="294">
        <f t="shared" si="722"/>
        <v>2.191700759789597</v>
      </c>
      <c r="CJ177" s="128">
        <f>CJ176/CJ155</f>
        <v>0.25133057362507394</v>
      </c>
      <c r="CK177" s="128">
        <f t="shared" ref="CK177:CN177" si="723">CK176/CK155</f>
        <v>0.63650075414781293</v>
      </c>
      <c r="CL177" s="128">
        <f t="shared" si="723"/>
        <v>0.54606467358145205</v>
      </c>
      <c r="CM177" s="128">
        <f t="shared" si="723"/>
        <v>0.31920792079207921</v>
      </c>
      <c r="CN177" s="294">
        <f t="shared" si="723"/>
        <v>1.7510956311047172</v>
      </c>
      <c r="CO177" s="128">
        <f t="shared" ref="CO177:CR177" si="724">CO176/CO155</f>
        <v>0.21723465759214505</v>
      </c>
      <c r="CP177" s="128">
        <f t="shared" si="724"/>
        <v>0.40280282333300638</v>
      </c>
      <c r="CQ177" s="128">
        <f t="shared" si="724"/>
        <v>0.67737560325409008</v>
      </c>
      <c r="CR177" s="128">
        <f t="shared" si="724"/>
        <v>0.53015772287990903</v>
      </c>
      <c r="CS177" s="294">
        <f t="shared" ref="CS177" si="725">CS176/CS155</f>
        <v>1.8206860656974178</v>
      </c>
      <c r="CT177" s="128"/>
      <c r="CU177" s="128"/>
      <c r="CV177" s="128"/>
      <c r="CW177" s="128"/>
      <c r="CX177" s="294">
        <f>CX176/CX155</f>
        <v>2.2693974849983634</v>
      </c>
      <c r="CY177" s="128"/>
      <c r="CZ177" s="128"/>
      <c r="DA177" s="128"/>
      <c r="DB177" s="128"/>
      <c r="DC177" s="294">
        <f>DC176/DC155</f>
        <v>2.8776156158902735</v>
      </c>
      <c r="DD177" s="136"/>
      <c r="DE177" s="131"/>
      <c r="DJ177" s="448"/>
      <c r="DK177" s="412"/>
      <c r="DL177" s="412"/>
      <c r="DM177" s="412"/>
      <c r="DN177" s="412"/>
      <c r="DO177" s="412"/>
      <c r="DP177" s="412"/>
      <c r="DQ177" s="412"/>
      <c r="DR177" s="509"/>
      <c r="DS177" s="526"/>
    </row>
    <row r="178" spans="1:129" x14ac:dyDescent="0.2">
      <c r="A178" s="6" t="s">
        <v>161</v>
      </c>
      <c r="B178" s="296"/>
      <c r="C178" s="130"/>
      <c r="D178" s="130"/>
      <c r="E178" s="130"/>
      <c r="F178" s="130"/>
      <c r="G178" s="296"/>
      <c r="H178" s="130"/>
      <c r="I178" s="130"/>
      <c r="J178" s="130"/>
      <c r="K178" s="130"/>
      <c r="L178" s="296"/>
      <c r="M178" s="130"/>
      <c r="N178" s="130"/>
      <c r="O178" s="130"/>
      <c r="P178" s="130"/>
      <c r="Q178" s="296"/>
      <c r="R178" s="130"/>
      <c r="S178" s="130"/>
      <c r="T178" s="130"/>
      <c r="U178" s="130"/>
      <c r="V178" s="296"/>
      <c r="W178" s="130"/>
      <c r="X178" s="130"/>
      <c r="Y178" s="130"/>
      <c r="Z178" s="130"/>
      <c r="AA178" s="296"/>
      <c r="AB178" s="130"/>
      <c r="AC178" s="130"/>
      <c r="AD178" s="130"/>
      <c r="AE178" s="130"/>
      <c r="AF178" s="296"/>
      <c r="AG178" s="130"/>
      <c r="AH178" s="130"/>
      <c r="AI178" s="130"/>
      <c r="AJ178" s="130"/>
      <c r="AK178" s="296"/>
      <c r="AL178" s="130"/>
      <c r="AM178" s="130"/>
      <c r="AN178" s="130"/>
      <c r="AO178" s="130"/>
      <c r="AP178" s="296"/>
      <c r="AQ178" s="130"/>
      <c r="AR178" s="130"/>
      <c r="AS178" s="130"/>
      <c r="AT178" s="130"/>
      <c r="AU178" s="296"/>
      <c r="AV178" s="130"/>
      <c r="AW178" s="130"/>
      <c r="AX178" s="130"/>
      <c r="AY178" s="130"/>
      <c r="AZ178" s="296"/>
      <c r="BA178" s="130"/>
      <c r="BB178" s="130"/>
      <c r="BC178" s="130"/>
      <c r="BD178" s="130"/>
      <c r="BE178" s="296"/>
      <c r="BF178" s="130"/>
      <c r="BG178" s="130"/>
      <c r="BH178" s="130"/>
      <c r="BI178" s="130"/>
      <c r="BJ178" s="296"/>
      <c r="BK178" s="130"/>
      <c r="BL178" s="130"/>
      <c r="BM178" s="130"/>
      <c r="BN178" s="130"/>
      <c r="BO178" s="296"/>
      <c r="BP178" s="130"/>
      <c r="BQ178" s="130"/>
      <c r="BR178" s="130"/>
      <c r="BS178" s="130"/>
      <c r="BT178" s="296"/>
      <c r="BU178" s="130"/>
      <c r="BV178" s="130"/>
      <c r="BW178" s="130"/>
      <c r="BX178" s="130"/>
      <c r="BY178" s="296"/>
      <c r="BZ178" s="130"/>
      <c r="CA178" s="130"/>
      <c r="CB178" s="130"/>
      <c r="CC178" s="130"/>
      <c r="CD178" s="296"/>
      <c r="CE178" s="130"/>
      <c r="CF178" s="130"/>
      <c r="CG178" s="130"/>
      <c r="CH178" s="130"/>
      <c r="CI178" s="296"/>
      <c r="CJ178" s="130"/>
      <c r="CK178" s="130"/>
      <c r="CL178" s="130"/>
      <c r="CM178" s="130"/>
      <c r="CN178" s="296"/>
      <c r="CO178" s="130"/>
      <c r="CP178" s="130"/>
      <c r="CQ178" s="130"/>
      <c r="CR178" s="130"/>
      <c r="CS178" s="296"/>
      <c r="CT178" s="130"/>
      <c r="CU178" s="130"/>
      <c r="CV178" s="130"/>
      <c r="CW178" s="130"/>
      <c r="CX178" s="296"/>
      <c r="CY178" s="130"/>
      <c r="CZ178" s="130"/>
      <c r="DA178" s="130"/>
      <c r="DB178" s="130"/>
      <c r="DC178" s="296"/>
      <c r="DD178" s="136"/>
      <c r="DE178" s="131"/>
      <c r="DJ178" s="448"/>
      <c r="DK178" s="412"/>
      <c r="DL178" s="412"/>
      <c r="DM178" s="412"/>
      <c r="DN178" s="412"/>
      <c r="DO178" s="412"/>
      <c r="DP178" s="412"/>
      <c r="DQ178" s="412"/>
      <c r="DR178" s="509"/>
      <c r="DS178" s="136"/>
    </row>
    <row r="179" spans="1:129" s="7" customFormat="1" x14ac:dyDescent="0.2">
      <c r="A179" s="7" t="s">
        <v>162</v>
      </c>
      <c r="B179" s="260"/>
      <c r="G179" s="260"/>
      <c r="L179" s="260"/>
      <c r="Q179" s="260"/>
      <c r="V179" s="260"/>
      <c r="AA179" s="260"/>
      <c r="AF179" s="260"/>
      <c r="AK179" s="260"/>
      <c r="AP179" s="260"/>
      <c r="AU179" s="260"/>
      <c r="AZ179" s="260"/>
      <c r="BE179" s="260"/>
      <c r="BJ179" s="260"/>
      <c r="BO179" s="260"/>
      <c r="BT179" s="260"/>
      <c r="BY179" s="260"/>
      <c r="CD179" s="260"/>
      <c r="CI179" s="260"/>
      <c r="CN179" s="260"/>
      <c r="CS179" s="260"/>
      <c r="CX179" s="260"/>
      <c r="DC179" s="260"/>
      <c r="DD179" s="363"/>
      <c r="DE179" s="6"/>
      <c r="DF179" s="363"/>
      <c r="DG179" s="363"/>
      <c r="DH179" s="363"/>
      <c r="DI179" s="363"/>
      <c r="DJ179" s="435"/>
      <c r="DK179" s="393"/>
      <c r="DL179" s="393"/>
      <c r="DM179" s="412"/>
      <c r="DN179" s="412"/>
      <c r="DO179" s="412"/>
      <c r="DP179" s="412"/>
      <c r="DQ179" s="393"/>
      <c r="DR179" s="6"/>
      <c r="DS179" s="363"/>
      <c r="DT179"/>
      <c r="DU179"/>
      <c r="DV179"/>
      <c r="DW179"/>
      <c r="DX179"/>
      <c r="DY179"/>
    </row>
    <row r="180" spans="1:129" s="8" customFormat="1" hidden="1" x14ac:dyDescent="0.2">
      <c r="A180" s="8" t="s">
        <v>41</v>
      </c>
      <c r="B180" s="297"/>
      <c r="G180" s="297"/>
      <c r="L180" s="297"/>
      <c r="Q180" s="297"/>
      <c r="V180" s="297"/>
      <c r="AA180" s="297"/>
      <c r="AF180" s="297"/>
      <c r="AK180" s="297"/>
      <c r="AP180" s="297"/>
      <c r="AU180" s="297"/>
      <c r="AZ180" s="297"/>
      <c r="BE180" s="297"/>
      <c r="BJ180" s="297"/>
      <c r="BO180" s="297"/>
      <c r="BT180" s="297"/>
      <c r="BY180" s="297"/>
      <c r="CD180" s="297"/>
      <c r="CI180" s="297"/>
      <c r="CN180" s="297"/>
      <c r="CS180" s="297"/>
      <c r="CX180" s="297"/>
      <c r="DC180" s="297"/>
      <c r="DD180" s="373"/>
      <c r="DE180" s="474"/>
      <c r="DF180" s="373"/>
      <c r="DG180" s="373"/>
      <c r="DH180" s="373"/>
      <c r="DI180" s="373"/>
      <c r="DJ180" s="438"/>
      <c r="DM180" s="412"/>
      <c r="DN180" s="412"/>
      <c r="DO180" s="412"/>
      <c r="DP180" s="412"/>
      <c r="DR180" s="474"/>
      <c r="DS180" s="373"/>
      <c r="DT180"/>
      <c r="DU180"/>
      <c r="DV180"/>
      <c r="DW180"/>
      <c r="DX180"/>
      <c r="DY180"/>
    </row>
    <row r="181" spans="1:129" hidden="1" x14ac:dyDescent="0.2">
      <c r="A181" s="132" t="s">
        <v>42</v>
      </c>
      <c r="B181" s="295"/>
      <c r="C181" s="129"/>
      <c r="D181" s="129"/>
      <c r="E181" s="129"/>
      <c r="F181" s="129"/>
      <c r="G181" s="295"/>
      <c r="H181" s="129"/>
      <c r="I181" s="129"/>
      <c r="J181" s="129"/>
      <c r="K181" s="129"/>
      <c r="L181" s="319">
        <f>L115</f>
        <v>320.41400000000004</v>
      </c>
      <c r="M181" s="133">
        <f>M115+K115+J115+I115</f>
        <v>389.93299999999999</v>
      </c>
      <c r="N181" s="133">
        <f>N115+M115+K115+J115</f>
        <v>460.83800000000002</v>
      </c>
      <c r="O181" s="133">
        <f>O115+M115+N115+K115</f>
        <v>543.49099999999999</v>
      </c>
      <c r="P181" s="133">
        <f>P115+N115+M115+O115</f>
        <v>635.19099999999992</v>
      </c>
      <c r="Q181" s="319">
        <f>Q115</f>
        <v>635.19100000000003</v>
      </c>
      <c r="R181" s="133">
        <f>R115+P115+O115+N115</f>
        <v>718.952</v>
      </c>
      <c r="S181" s="133">
        <f>S115+R115+P115+O115</f>
        <v>814.34999999999991</v>
      </c>
      <c r="T181" s="133">
        <f>T115+R115+S115+P115</f>
        <v>922.66499999999996</v>
      </c>
      <c r="U181" s="133">
        <f>U115+S115+R115+T115</f>
        <v>998.35099999999989</v>
      </c>
      <c r="V181" s="319">
        <f>V115</f>
        <v>998.351</v>
      </c>
      <c r="W181" s="133">
        <f>W115+U115+T115+S115</f>
        <v>1070.2239999999999</v>
      </c>
      <c r="X181" s="133">
        <f>X115+W115+U115+T115</f>
        <v>1145.241</v>
      </c>
      <c r="Y181" s="133">
        <f>Y115+W115+X115+U115</f>
        <v>1194.8799999999999</v>
      </c>
      <c r="Z181" s="133">
        <f>Z115+X115+W115+Y115</f>
        <v>1262.472</v>
      </c>
      <c r="AA181" s="319">
        <f>AA115</f>
        <v>1262.4719999999998</v>
      </c>
      <c r="AB181" s="133">
        <f>AB115+Z115+Y115+X115</f>
        <v>1347.691</v>
      </c>
      <c r="AC181" s="133">
        <f>AC115+AB115+Z115+Y115</f>
        <v>1456.973</v>
      </c>
      <c r="AD181" s="133">
        <f>AD115+AB115+AC115+Z115</f>
        <v>1586.6730000000002</v>
      </c>
      <c r="AE181" s="133">
        <f>AE115+AC115+AB115+AD115</f>
        <v>1702.1289999999999</v>
      </c>
      <c r="AF181" s="319">
        <f>AF115</f>
        <v>1702.1290000000001</v>
      </c>
      <c r="AG181" s="133">
        <f>AG115+AE115+AD115+AC115</f>
        <v>1818.307</v>
      </c>
      <c r="AH181" s="133">
        <f>AH115+AG115+AE115+AD115</f>
        <v>2001.307</v>
      </c>
      <c r="AI181" s="133">
        <f>AI115+AG115+AH115+AE115</f>
        <v>2176.3920000000003</v>
      </c>
      <c r="AJ181" s="133">
        <f>AJ115+AH115+AG115+AI115</f>
        <v>2363.4</v>
      </c>
      <c r="AK181" s="319">
        <f>AK115</f>
        <v>2363.4</v>
      </c>
      <c r="AL181" s="133">
        <f>AL115+AJ115+AI115+AH115</f>
        <v>2481</v>
      </c>
      <c r="AM181" s="133">
        <f>AM115+AL115+AJ115+AI115</f>
        <v>2599</v>
      </c>
      <c r="AN181" s="133">
        <f>AN115+AL115+AM115+AJ115</f>
        <v>2736</v>
      </c>
      <c r="AO181" s="133">
        <f>AO115+AM115+AL115+AN115</f>
        <v>2842</v>
      </c>
      <c r="AP181" s="319">
        <f>AP115</f>
        <v>2842</v>
      </c>
      <c r="AQ181" s="133">
        <f>AQ115+AO115+AN115+AM115</f>
        <v>3050</v>
      </c>
      <c r="AR181" s="133">
        <f>AR115+AQ115+AO115+AN115</f>
        <v>3179</v>
      </c>
      <c r="AS181" s="133">
        <f>AS115+AQ115+AR115+AO115</f>
        <v>3316</v>
      </c>
      <c r="AT181" s="133">
        <f>AT115+AR115+AQ115+AS115</f>
        <v>3388</v>
      </c>
      <c r="AU181" s="319">
        <f>AU115</f>
        <v>3388</v>
      </c>
      <c r="AV181" s="133">
        <f>AV115+AT115+AS115+AR115</f>
        <v>3367</v>
      </c>
      <c r="AW181" s="133">
        <f>AW115+AV115+AT115+AS115</f>
        <v>3317</v>
      </c>
      <c r="AX181" s="133">
        <f>AX115+AV115+AW115+AT115</f>
        <v>3270</v>
      </c>
      <c r="AY181" s="133">
        <f>AY115+AW115+AV115+AX115</f>
        <v>3291</v>
      </c>
      <c r="AZ181" s="319">
        <f>AZ115</f>
        <v>3291</v>
      </c>
      <c r="BA181" s="133">
        <f>BA115+AY115+AX115+AW115</f>
        <v>3366</v>
      </c>
      <c r="BB181" s="133">
        <f>BB115+BA115+AY115+AX115</f>
        <v>3496</v>
      </c>
      <c r="BC181" s="133">
        <f>BC115+BA115+BB115+AY115</f>
        <v>3671</v>
      </c>
      <c r="BD181" s="133">
        <f>BD115+BB115+BA115+BC115</f>
        <v>3779</v>
      </c>
      <c r="BE181" s="300">
        <f>BE115</f>
        <v>3779</v>
      </c>
      <c r="BF181" s="133">
        <f>BF115+BD115+BC115+BB115</f>
        <v>3921</v>
      </c>
      <c r="BG181" s="133">
        <f>BG115+BF115+BD115+BC115</f>
        <v>4133</v>
      </c>
      <c r="BH181" s="133">
        <f>BH115+BF115+BG115+BD115</f>
        <v>4298</v>
      </c>
      <c r="BI181" s="133">
        <f>BI115+BG115+BF115+BH115</f>
        <v>4504</v>
      </c>
      <c r="BJ181" s="300">
        <f>BJ115</f>
        <v>4504</v>
      </c>
      <c r="BK181" s="133">
        <f>BK115+BI115+BH115+BG115</f>
        <v>4695</v>
      </c>
      <c r="BL181" s="133">
        <f>BL115+BK115+BI115+BH115</f>
        <v>4821</v>
      </c>
      <c r="BM181" s="133">
        <f>BM115+BK115+BL115+BI115</f>
        <v>4934</v>
      </c>
      <c r="BN181" s="133">
        <f>BN115+BL115+BK115+BM115</f>
        <v>4982</v>
      </c>
      <c r="BO181" s="300">
        <f>BO115</f>
        <v>4982</v>
      </c>
      <c r="BP181" s="133">
        <f>BP115+BN115+BM115+BL115</f>
        <v>5078</v>
      </c>
      <c r="BQ181" s="133">
        <f>BQ115+BP115+BN115+BM115</f>
        <v>5136</v>
      </c>
      <c r="BR181" s="133">
        <f>BR115+BP115+BQ115+BN115</f>
        <v>5270</v>
      </c>
      <c r="BS181" s="133">
        <f>BS115+BQ115+BP115+BR115</f>
        <v>5441</v>
      </c>
      <c r="BT181" s="300">
        <f>BT115</f>
        <v>5441</v>
      </c>
      <c r="BU181" s="133">
        <f>BU115+BS115+BR115+BQ115</f>
        <v>5491</v>
      </c>
      <c r="BV181" s="133">
        <f>BV115+BU115+BS115+BR115</f>
        <v>5649</v>
      </c>
      <c r="BW181" s="133">
        <f>BW115+BU115+BV115+BS115</f>
        <v>5736</v>
      </c>
      <c r="BX181" s="133">
        <f>BX115+BV115+BU115+BW115</f>
        <v>5817</v>
      </c>
      <c r="BY181" s="300">
        <f>BY115</f>
        <v>5817</v>
      </c>
      <c r="BZ181" s="133">
        <f>BZ115+BX115+BW115+BV115</f>
        <v>5991</v>
      </c>
      <c r="CA181" s="133">
        <f>CA115+BZ115+BX115+BW115</f>
        <v>6110</v>
      </c>
      <c r="CB181" s="133">
        <f>CB115+BZ115+CA115+BX115</f>
        <v>6268</v>
      </c>
      <c r="CC181" s="133">
        <f>CC115+CA115+BZ115+CB115</f>
        <v>6416</v>
      </c>
      <c r="CD181" s="300">
        <f>CD115</f>
        <v>6416</v>
      </c>
      <c r="CE181" s="133">
        <f>CE115+CC115+CB115+CA115</f>
        <v>6509</v>
      </c>
      <c r="CF181" s="133">
        <f>CF115+CE115+CC115+CB115</f>
        <v>6540</v>
      </c>
      <c r="CG181" s="133">
        <f>CG115+CE115+CF115+CC115</f>
        <v>6585</v>
      </c>
      <c r="CH181" s="133">
        <f>CH115+CF115+CE115+CG115</f>
        <v>6632</v>
      </c>
      <c r="CI181" s="300">
        <f>CI115</f>
        <v>6632</v>
      </c>
      <c r="CJ181" s="133">
        <f>CJ115+CH115+CG115+CF115</f>
        <v>6620</v>
      </c>
      <c r="CK181" s="133">
        <f>CK115+CJ115+CH115+CG115</f>
        <v>6819</v>
      </c>
      <c r="CL181" s="133">
        <f>CL115+CJ115+CK115+CH115</f>
        <v>6900</v>
      </c>
      <c r="CM181" s="133">
        <f t="shared" ref="CM181:CR181" si="726">CM115+CK115+CJ115+CL115</f>
        <v>7015</v>
      </c>
      <c r="CN181" s="300">
        <f>CN115</f>
        <v>7015</v>
      </c>
      <c r="CO181" s="133">
        <f>CO115+CM115+CL115+CK115</f>
        <v>7168.3960329999991</v>
      </c>
      <c r="CP181" s="133">
        <f>CP115+CL115+CM115+CO115</f>
        <v>7230.5560329999989</v>
      </c>
      <c r="CQ181" s="133">
        <f>CQ115+CO115+CM115+CP115</f>
        <v>7453.8355329999995</v>
      </c>
      <c r="CR181" s="133">
        <f t="shared" si="726"/>
        <v>7624.6467329999987</v>
      </c>
      <c r="CS181" s="300">
        <f>CS115</f>
        <v>7624.6467329999996</v>
      </c>
      <c r="CT181" s="133"/>
      <c r="CU181" s="133"/>
      <c r="CV181" s="133"/>
      <c r="CW181" s="133"/>
      <c r="CX181" s="300">
        <f>CX115</f>
        <v>8244.8703918315496</v>
      </c>
      <c r="CY181" s="133"/>
      <c r="CZ181" s="133"/>
      <c r="DA181" s="133"/>
      <c r="DB181" s="133"/>
      <c r="DC181" s="300">
        <f>DC115</f>
        <v>8894.1428644310563</v>
      </c>
      <c r="DD181" s="136"/>
      <c r="DE181" s="131"/>
      <c r="DJ181" s="448"/>
      <c r="DK181" s="412"/>
      <c r="DL181" s="412"/>
      <c r="DM181" s="412"/>
      <c r="DN181" s="412"/>
      <c r="DO181" s="412"/>
      <c r="DP181" s="412"/>
      <c r="DQ181" s="412"/>
      <c r="DR181" s="509"/>
      <c r="DS181" s="136"/>
    </row>
    <row r="182" spans="1:129" hidden="1" x14ac:dyDescent="0.2">
      <c r="A182" s="132" t="s">
        <v>43</v>
      </c>
      <c r="B182" s="295"/>
      <c r="C182" s="129"/>
      <c r="D182" s="129"/>
      <c r="E182" s="129"/>
      <c r="F182" s="129"/>
      <c r="G182" s="295"/>
      <c r="H182" s="129"/>
      <c r="I182" s="129"/>
      <c r="J182" s="129"/>
      <c r="K182" s="129"/>
      <c r="L182" s="319">
        <f>L28</f>
        <v>310.49800000000005</v>
      </c>
      <c r="M182" s="133">
        <f>M28+K28+J28+I28</f>
        <v>377.62799999999999</v>
      </c>
      <c r="N182" s="133">
        <f>N28+M28+K28+J28</f>
        <v>445.76699999999994</v>
      </c>
      <c r="O182" s="133">
        <f>O28+M28+N28+K28</f>
        <v>525.73199999999997</v>
      </c>
      <c r="P182" s="133">
        <f>P28+N28+M28+O28</f>
        <v>615.17100000000005</v>
      </c>
      <c r="Q182" s="319">
        <f>Q28</f>
        <v>615.17100000000005</v>
      </c>
      <c r="R182" s="133">
        <f>R28+P28+O28+N28</f>
        <v>695.98299999999995</v>
      </c>
      <c r="S182" s="133">
        <f>S28+R28+P28+O28</f>
        <v>788.72500000000002</v>
      </c>
      <c r="T182" s="133">
        <f>T28+R28+S28+P28</f>
        <v>892.91699999999992</v>
      </c>
      <c r="U182" s="133">
        <f>U28+S28+R28+T28</f>
        <v>965.09099999999989</v>
      </c>
      <c r="V182" s="319">
        <f>V28</f>
        <v>965.09100000000001</v>
      </c>
      <c r="W182" s="133">
        <f>W28+U28+T28+S28</f>
        <v>1034.8040000000001</v>
      </c>
      <c r="X182" s="133">
        <f>X28+W28+U28+T28</f>
        <v>1106.942</v>
      </c>
      <c r="Y182" s="133">
        <f>Y28+W28+X28+U28</f>
        <v>1154.1130000000001</v>
      </c>
      <c r="Z182" s="133">
        <f>Z28+X28+W28+Y28</f>
        <v>1217.2579999999998</v>
      </c>
      <c r="AA182" s="319">
        <f>AA28</f>
        <v>1217.2579999999998</v>
      </c>
      <c r="AB182" s="133">
        <f>AB28+Z28+Y28+X28</f>
        <v>1295.5260000000001</v>
      </c>
      <c r="AC182" s="133">
        <f>AC28+AB28+Z28+Y28</f>
        <v>1397.3510000000001</v>
      </c>
      <c r="AD182" s="133">
        <f>AD28+AB28+AC28+Z28</f>
        <v>1517.278</v>
      </c>
      <c r="AE182" s="133">
        <f>AE28+AC28+AB28+AD28</f>
        <v>1621.3710000000001</v>
      </c>
      <c r="AF182" s="319">
        <f>AF28</f>
        <v>1621.3710000000001</v>
      </c>
      <c r="AG182" s="133">
        <f>AG28+AE28+AD28+AC28</f>
        <v>1726.8869999999999</v>
      </c>
      <c r="AH182" s="133">
        <f>AH28+AG28+AE28+AD28</f>
        <v>1894.8870000000002</v>
      </c>
      <c r="AI182" s="133">
        <f>AI28+AG28+AH28+AE28</f>
        <v>2052.3580000000002</v>
      </c>
      <c r="AJ182" s="133">
        <f>AJ28+AH28+AG28+AI28</f>
        <v>2223.4</v>
      </c>
      <c r="AK182" s="319">
        <f>AK28</f>
        <v>2223.4</v>
      </c>
      <c r="AL182" s="133">
        <f>AL28+AJ28+AI28+AH28</f>
        <v>2324</v>
      </c>
      <c r="AM182" s="133">
        <f>AM28+AL28+AJ28+AI28</f>
        <v>2428</v>
      </c>
      <c r="AN182" s="133">
        <f>AN28+AL28+AM28+AJ28</f>
        <v>2551</v>
      </c>
      <c r="AO182" s="133">
        <f>AO28+AM28+AL28+AN28</f>
        <v>2636</v>
      </c>
      <c r="AP182" s="319">
        <f>AP28</f>
        <v>2636</v>
      </c>
      <c r="AQ182" s="133">
        <f>AQ28+AO28+AN28+AM28</f>
        <v>2820</v>
      </c>
      <c r="AR182" s="133">
        <f>AR28+AQ28+AO28+AN28</f>
        <v>2916</v>
      </c>
      <c r="AS182" s="133">
        <f>AS28+AQ28+AR28+AO28</f>
        <v>3011</v>
      </c>
      <c r="AT182" s="133">
        <f>AT28+AR28+AQ28+AS28</f>
        <v>3056</v>
      </c>
      <c r="AU182" s="319">
        <f>AU28</f>
        <v>3056</v>
      </c>
      <c r="AV182" s="133">
        <f>AV28+AT28+AS28+AR28</f>
        <v>3016</v>
      </c>
      <c r="AW182" s="133">
        <f>AW28+AV28+AT28+AS28</f>
        <v>2960</v>
      </c>
      <c r="AX182" s="133">
        <f>AX28+AV28+AW28+AT28</f>
        <v>2918</v>
      </c>
      <c r="AY182" s="133">
        <f>AY28+AW28+AV28+AX28</f>
        <v>2933</v>
      </c>
      <c r="AZ182" s="319">
        <f>AZ28</f>
        <v>2933</v>
      </c>
      <c r="BA182" s="133">
        <f>BA28+AY28+AX28+AW28</f>
        <v>3010</v>
      </c>
      <c r="BB182" s="133">
        <f>BB28+BA28+AY28+AX28</f>
        <v>3137</v>
      </c>
      <c r="BC182" s="133">
        <f>BC28+BA28+BB28+AY28</f>
        <v>3304</v>
      </c>
      <c r="BD182" s="133">
        <f>BD28+BB28+BA28+BC28</f>
        <v>3412</v>
      </c>
      <c r="BE182" s="300">
        <f>BE28</f>
        <v>3412</v>
      </c>
      <c r="BF182" s="133">
        <f>BF28+BD28+BC28+BB28</f>
        <v>3533</v>
      </c>
      <c r="BG182" s="133">
        <f>BG28+BF28+BD28+BC28</f>
        <v>3729</v>
      </c>
      <c r="BH182" s="133">
        <f>BH28+BF28+BG28+BD28</f>
        <v>3884</v>
      </c>
      <c r="BI182" s="133">
        <f>BI28+BG28+BF28+BH28</f>
        <v>4080</v>
      </c>
      <c r="BJ182" s="300">
        <f>BJ28</f>
        <v>4080</v>
      </c>
      <c r="BK182" s="133">
        <f>BK28+BI28+BH28+BG28</f>
        <v>4270</v>
      </c>
      <c r="BL182" s="133">
        <f>BL28+BK28+BI28+BH28</f>
        <v>4395</v>
      </c>
      <c r="BM182" s="133">
        <f>BM28+BK28+BL28+BI28</f>
        <v>4502</v>
      </c>
      <c r="BN182" s="133">
        <f>BN28+BL28+BK28+BM28</f>
        <v>4550</v>
      </c>
      <c r="BO182" s="300">
        <f>BO28</f>
        <v>4550</v>
      </c>
      <c r="BP182" s="133">
        <f>BP28+BN28+BM28+BL28</f>
        <v>4640</v>
      </c>
      <c r="BQ182" s="133">
        <f>BQ28+BP28+BN28+BM28</f>
        <v>4691</v>
      </c>
      <c r="BR182" s="133">
        <f>BR28+BP28+BQ28+BN28</f>
        <v>4818</v>
      </c>
      <c r="BS182" s="133">
        <f>BS28+BQ28+BP28+BR28</f>
        <v>4971</v>
      </c>
      <c r="BT182" s="300">
        <f>BT28</f>
        <v>4971</v>
      </c>
      <c r="BU182" s="133">
        <f>BU28+BS28+BR28+BQ28</f>
        <v>5015</v>
      </c>
      <c r="BV182" s="133">
        <f>BV28+BU28+BS28+BR28</f>
        <v>5165</v>
      </c>
      <c r="BW182" s="133">
        <f>BW28+BU28+BV28+BS28</f>
        <v>5258</v>
      </c>
      <c r="BX182" s="133">
        <f>BX28+BV28+BU28+BW28</f>
        <v>5343</v>
      </c>
      <c r="BY182" s="300">
        <f>BY28</f>
        <v>5343</v>
      </c>
      <c r="BZ182" s="133">
        <f>BZ28+BX28+BW28+BV28</f>
        <v>5521</v>
      </c>
      <c r="CA182" s="133">
        <f>CA28+BZ28+BX28+BW28</f>
        <v>5645</v>
      </c>
      <c r="CB182" s="133">
        <f>CB28+BZ28+CA28+BX28</f>
        <v>5782</v>
      </c>
      <c r="CC182" s="133">
        <f>CC28+CA28+BZ28+CB28</f>
        <v>5893</v>
      </c>
      <c r="CD182" s="300">
        <f>CD28</f>
        <v>5893</v>
      </c>
      <c r="CE182" s="133">
        <f>CE28+CC28+CB28+CA28</f>
        <v>5963</v>
      </c>
      <c r="CF182" s="133">
        <f>CF28+CE28+CC28+CB28</f>
        <v>5954</v>
      </c>
      <c r="CG182" s="133">
        <f>CG28+CE28+CF28+CC28</f>
        <v>5974</v>
      </c>
      <c r="CH182" s="133">
        <f>CH28+CF28+CE28+CG28</f>
        <v>6013</v>
      </c>
      <c r="CI182" s="300">
        <f>CI28</f>
        <v>6013</v>
      </c>
      <c r="CJ182" s="133">
        <f>CJ28+CH28+CG28+CF28</f>
        <v>5986</v>
      </c>
      <c r="CK182" s="133">
        <f>CK28+CJ28+CH28+CG28</f>
        <v>6149</v>
      </c>
      <c r="CL182" s="133">
        <f>CL28+CJ28+CK28+CH28</f>
        <v>6201</v>
      </c>
      <c r="CM182" s="133">
        <f t="shared" ref="CM182:CR182" si="727">CM28+CK28+CJ28+CL28</f>
        <v>6288</v>
      </c>
      <c r="CN182" s="300">
        <f>CN28</f>
        <v>6288</v>
      </c>
      <c r="CO182" s="133">
        <f>CO28+CM28+CL28+CK28</f>
        <v>6412.3260329999994</v>
      </c>
      <c r="CP182" s="133">
        <f>CP28+CL28+CM28+CO28</f>
        <v>6457.2060329999995</v>
      </c>
      <c r="CQ182" s="133">
        <f>CQ28+CO28+CM28+CP28</f>
        <v>6646.2855329999993</v>
      </c>
      <c r="CR182" s="133">
        <f t="shared" si="727"/>
        <v>6788.2967329999992</v>
      </c>
      <c r="CS182" s="300">
        <f>CS28</f>
        <v>6788.2967329999992</v>
      </c>
      <c r="CT182" s="133"/>
      <c r="CU182" s="133"/>
      <c r="CV182" s="133"/>
      <c r="CW182" s="133"/>
      <c r="CX182" s="300">
        <f>CX28</f>
        <v>7299.7948918315496</v>
      </c>
      <c r="CY182" s="133"/>
      <c r="CZ182" s="133"/>
      <c r="DA182" s="133"/>
      <c r="DB182" s="133"/>
      <c r="DC182" s="300">
        <f>DC28</f>
        <v>7849.8344369310562</v>
      </c>
      <c r="DD182" s="136"/>
      <c r="DE182" s="131"/>
      <c r="DJ182" s="448"/>
      <c r="DK182" s="412"/>
      <c r="DL182" s="412"/>
      <c r="DM182" s="412"/>
      <c r="DN182" s="412"/>
      <c r="DO182" s="412"/>
      <c r="DP182" s="412"/>
      <c r="DQ182" s="412"/>
      <c r="DR182" s="509"/>
      <c r="DS182" s="136"/>
    </row>
    <row r="183" spans="1:129" hidden="1" x14ac:dyDescent="0.2">
      <c r="A183" s="132" t="s">
        <v>44</v>
      </c>
      <c r="B183" s="295"/>
      <c r="C183" s="129"/>
      <c r="D183" s="129"/>
      <c r="E183" s="129"/>
      <c r="F183" s="129"/>
      <c r="G183" s="295"/>
      <c r="H183" s="129"/>
      <c r="I183" s="129"/>
      <c r="J183" s="129"/>
      <c r="K183" s="129"/>
      <c r="L183" s="319">
        <f>L117</f>
        <v>294.03721619999999</v>
      </c>
      <c r="M183" s="133">
        <f>M117+K117+J117+I117</f>
        <v>347.71588789999998</v>
      </c>
      <c r="N183" s="133">
        <f>N117+M117+K117+J117</f>
        <v>401.9034375</v>
      </c>
      <c r="O183" s="133">
        <f>O117+M117+N117+K117</f>
        <v>466.73248810000001</v>
      </c>
      <c r="P183" s="133">
        <f>P117+N117+M117+O117</f>
        <v>530.2020136000001</v>
      </c>
      <c r="Q183" s="319">
        <f>Q117</f>
        <v>530.20201359999999</v>
      </c>
      <c r="R183" s="133">
        <f>R117+P117+O117+N117</f>
        <v>602.88874680000004</v>
      </c>
      <c r="S183" s="133">
        <f>S117+R117+P117+O117</f>
        <v>677.05016960000012</v>
      </c>
      <c r="T183" s="133">
        <f>T117+R117+S117+P117</f>
        <v>753.99102159999995</v>
      </c>
      <c r="U183" s="133">
        <f>U117+S117+R117+T117</f>
        <v>826.11800000000005</v>
      </c>
      <c r="V183" s="319">
        <f>V117</f>
        <v>826.11799999999994</v>
      </c>
      <c r="W183" s="133">
        <f>W117+U117+T117+S117</f>
        <v>899.78</v>
      </c>
      <c r="X183" s="133">
        <f>X117+W117+U117+T117</f>
        <v>978.65300000000002</v>
      </c>
      <c r="Y183" s="133">
        <f>Y117+W117+X117+U117</f>
        <v>1059.143</v>
      </c>
      <c r="Z183" s="133">
        <f>Z117+X117+W117+Y117</f>
        <v>1151.029</v>
      </c>
      <c r="AA183" s="319">
        <f>AA117</f>
        <v>1151.029</v>
      </c>
      <c r="AB183" s="133">
        <f>AB117+Z117+Y117+X117</f>
        <v>1243.25</v>
      </c>
      <c r="AC183" s="133">
        <f>AC117+AB117+Z117+Y117</f>
        <v>1357.56</v>
      </c>
      <c r="AD183" s="133">
        <f>AD117+AB117+AC117+Z117</f>
        <v>1496.3989999999999</v>
      </c>
      <c r="AE183" s="133">
        <f>AE117+AC117+AB117+AD117</f>
        <v>1641.0759999999998</v>
      </c>
      <c r="AF183" s="319">
        <f>AF117</f>
        <v>1641.076</v>
      </c>
      <c r="AG183" s="133">
        <f>AG117+AE117+AD117+AC117</f>
        <v>1807.5160000000001</v>
      </c>
      <c r="AH183" s="133">
        <f>AH117+AG117+AE117+AD117</f>
        <v>1983.576</v>
      </c>
      <c r="AI183" s="133">
        <f>AI117+AG117+AH117+AE117</f>
        <v>2138.5070000000001</v>
      </c>
      <c r="AJ183" s="133">
        <f>AJ117+AH117+AG117+AI117</f>
        <v>2243</v>
      </c>
      <c r="AK183" s="319">
        <f>AK117</f>
        <v>2243</v>
      </c>
      <c r="AL183" s="133">
        <f>AL117+AJ117+AI117+AH117</f>
        <v>2349</v>
      </c>
      <c r="AM183" s="133">
        <f>AM117+AL117+AJ117+AI117</f>
        <v>2441</v>
      </c>
      <c r="AN183" s="133">
        <f>AN117+AL117+AM117+AJ117</f>
        <v>2533</v>
      </c>
      <c r="AO183" s="133">
        <f>AO117+AM117+AL117+AN117</f>
        <v>2673</v>
      </c>
      <c r="AP183" s="319">
        <f>AP117</f>
        <v>2673</v>
      </c>
      <c r="AQ183" s="133">
        <f>AQ117+AO117+AN117+AM117</f>
        <v>2850.8</v>
      </c>
      <c r="AR183" s="133">
        <f>AR117+AQ117+AO117+AN117</f>
        <v>3031.8</v>
      </c>
      <c r="AS183" s="133">
        <f>AS117+AQ117+AR117+AO117</f>
        <v>3225.8</v>
      </c>
      <c r="AT183" s="133">
        <f>AT117+AR117+AQ117+AS117</f>
        <v>3278.8</v>
      </c>
      <c r="AU183" s="319">
        <f>AU117</f>
        <v>3278.8</v>
      </c>
      <c r="AV183" s="133">
        <f>AV117+AT117+AS117+AR117</f>
        <v>3199.5</v>
      </c>
      <c r="AW183" s="133">
        <f>AW117+AV117+AT117+AS117</f>
        <v>3092.5</v>
      </c>
      <c r="AX183" s="133">
        <f>AX117+AV117+AW117+AT117</f>
        <v>3000.5</v>
      </c>
      <c r="AY183" s="133">
        <f>AY117+AW117+AV117+AX117</f>
        <v>3006.5</v>
      </c>
      <c r="AZ183" s="319">
        <f>AZ117</f>
        <v>3006.5</v>
      </c>
      <c r="BA183" s="133">
        <f>BA117+AY117+AX117+AW117</f>
        <v>3115</v>
      </c>
      <c r="BB183" s="133">
        <f>BB117+BA117+AY117+AX117</f>
        <v>3229</v>
      </c>
      <c r="BC183" s="133">
        <f>BC117+BA117+BB117+AY117</f>
        <v>3331.2</v>
      </c>
      <c r="BD183" s="133">
        <f>BD117+BB117+BA117+BC117</f>
        <v>3446.1000000000004</v>
      </c>
      <c r="BE183" s="300">
        <f>BE117</f>
        <v>3446.1000000000004</v>
      </c>
      <c r="BF183" s="133">
        <f>BF117+BD117+BC117+BB117</f>
        <v>3585.1000000000004</v>
      </c>
      <c r="BG183" s="133">
        <f>BG117+BF117+BD117+BC117</f>
        <v>3805.1000000000004</v>
      </c>
      <c r="BH183" s="133">
        <f>BH117+BF117+BG117+BD117</f>
        <v>4001.9</v>
      </c>
      <c r="BI183" s="133">
        <f>BI117+BG117+BF117+BH117</f>
        <v>4182</v>
      </c>
      <c r="BJ183" s="300">
        <f>BJ117</f>
        <v>4182</v>
      </c>
      <c r="BK183" s="133">
        <f>BK117+BI117+BH117+BG117</f>
        <v>4329</v>
      </c>
      <c r="BL183" s="133">
        <f>BL117+BK117+BI117+BH117</f>
        <v>4411</v>
      </c>
      <c r="BM183" s="133">
        <f>BM117+BK117+BL117+BI117</f>
        <v>4519</v>
      </c>
      <c r="BN183" s="133">
        <f>BN117+BL117+BK117+BM117</f>
        <v>4606</v>
      </c>
      <c r="BO183" s="300">
        <f>BO117</f>
        <v>4606</v>
      </c>
      <c r="BP183" s="133">
        <f>BP117+BN117+BM117+BL117</f>
        <v>4732</v>
      </c>
      <c r="BQ183" s="133">
        <f>BQ117+BP117+BN117+BM117</f>
        <v>4818</v>
      </c>
      <c r="BR183" s="133">
        <f>BR117+BP117+BQ117+BN117</f>
        <v>4913</v>
      </c>
      <c r="BS183" s="133">
        <f>BS117+BQ117+BP117+BR117</f>
        <v>5013</v>
      </c>
      <c r="BT183" s="300">
        <f>BT117</f>
        <v>5013</v>
      </c>
      <c r="BU183" s="133">
        <f>BU117+BS117+BR117+BQ117</f>
        <v>5081</v>
      </c>
      <c r="BV183" s="133">
        <f>BV117+BU117+BS117+BR117</f>
        <v>5200</v>
      </c>
      <c r="BW183" s="133">
        <f>BW117+BU117+BV117+BS117</f>
        <v>5275</v>
      </c>
      <c r="BX183" s="133">
        <f>BX117+BV117+BU117+BW117</f>
        <v>5302</v>
      </c>
      <c r="BY183" s="300">
        <f>BY117</f>
        <v>5302</v>
      </c>
      <c r="BZ183" s="133">
        <f>BZ117+BX117+BW117+BV117</f>
        <v>5264</v>
      </c>
      <c r="CA183" s="133">
        <f>CA117+BZ117+BX117+BW117</f>
        <v>5242</v>
      </c>
      <c r="CB183" s="133">
        <f>CB117+BZ117+CA117+BX117</f>
        <v>5213</v>
      </c>
      <c r="CC183" s="133">
        <f>CC117+CA117+BZ117+CB117</f>
        <v>5200</v>
      </c>
      <c r="CD183" s="300">
        <f>CD117</f>
        <v>5200</v>
      </c>
      <c r="CE183" s="133">
        <f>CE117+CC117+CB117+CA117</f>
        <v>5197</v>
      </c>
      <c r="CF183" s="133">
        <f>CF117+CE117+CC117+CB117</f>
        <v>5197</v>
      </c>
      <c r="CG183" s="133">
        <f>CG117+CE117+CF117+CC117</f>
        <v>5239</v>
      </c>
      <c r="CH183" s="133">
        <f>CH117+CF117+CE117+CG117</f>
        <v>5320</v>
      </c>
      <c r="CI183" s="300">
        <f>CI117</f>
        <v>5320</v>
      </c>
      <c r="CJ183" s="133">
        <f>CJ117+CH117+CG117+CF117</f>
        <v>5510</v>
      </c>
      <c r="CK183" s="133">
        <f>CK117+CJ117+CH117+CG117</f>
        <v>5668</v>
      </c>
      <c r="CL183" s="133">
        <f>CL117+CJ117+CK117+CH117</f>
        <v>5793</v>
      </c>
      <c r="CM183" s="133">
        <f t="shared" ref="CM183:CR183" si="728">CM117+CK117+CJ117+CL117</f>
        <v>6015</v>
      </c>
      <c r="CN183" s="300">
        <f>CN117</f>
        <v>6015</v>
      </c>
      <c r="CO183" s="133">
        <f>CO117+CM117+CL117+CK117</f>
        <v>6201.8355315082981</v>
      </c>
      <c r="CP183" s="133">
        <f>CP117+CL117+CM117+CO117</f>
        <v>6425.29797548238</v>
      </c>
      <c r="CQ183" s="133">
        <f>CQ117+CO117+CM117+CP117</f>
        <v>6653.4150830516755</v>
      </c>
      <c r="CR183" s="133">
        <f t="shared" si="728"/>
        <v>6771.8722755940498</v>
      </c>
      <c r="CS183" s="300">
        <f>CS117</f>
        <v>6771.8722755940489</v>
      </c>
      <c r="CT183" s="133"/>
      <c r="CU183" s="133"/>
      <c r="CV183" s="133"/>
      <c r="CW183" s="133"/>
      <c r="CX183" s="300">
        <f>CX117</f>
        <v>7247.1392356169945</v>
      </c>
      <c r="CY183" s="133"/>
      <c r="CZ183" s="133"/>
      <c r="DA183" s="133"/>
      <c r="DB183" s="133"/>
      <c r="DC183" s="300">
        <f>DC117</f>
        <v>7693.2991581174065</v>
      </c>
      <c r="DD183" s="136"/>
      <c r="DE183" s="131"/>
      <c r="DJ183" s="448"/>
      <c r="DK183" s="412"/>
      <c r="DL183" s="412"/>
      <c r="DM183" s="412"/>
      <c r="DN183" s="412"/>
      <c r="DO183" s="412"/>
      <c r="DP183" s="412"/>
      <c r="DQ183" s="412"/>
      <c r="DR183" s="509"/>
      <c r="DS183" s="136"/>
    </row>
    <row r="184" spans="1:129" hidden="1" x14ac:dyDescent="0.2">
      <c r="A184" s="132" t="s">
        <v>45</v>
      </c>
      <c r="B184" s="295"/>
      <c r="C184" s="129"/>
      <c r="D184" s="129"/>
      <c r="E184" s="129"/>
      <c r="F184" s="129"/>
      <c r="G184" s="295"/>
      <c r="H184" s="129"/>
      <c r="I184" s="129"/>
      <c r="J184" s="129"/>
      <c r="K184" s="129"/>
      <c r="L184" s="319">
        <f>L60</f>
        <v>41.659216200000003</v>
      </c>
      <c r="M184" s="133">
        <f>M60+K60+J60+I60</f>
        <v>46.110887900000002</v>
      </c>
      <c r="N184" s="133">
        <f>N60+M60+K60+J60</f>
        <v>52.564437499999997</v>
      </c>
      <c r="O184" s="133">
        <f>O60+M60+N60+K60</f>
        <v>61.837488100000002</v>
      </c>
      <c r="P184" s="133">
        <f>P60+N60+M60+O60</f>
        <v>76.269013599999994</v>
      </c>
      <c r="Q184" s="319">
        <f>Q60</f>
        <v>76.269013599999994</v>
      </c>
      <c r="R184" s="133">
        <f>R60+P60+O60+N60</f>
        <v>99.251746799999992</v>
      </c>
      <c r="S184" s="133">
        <f>S60+R60+P60+O60</f>
        <v>114.72616959999999</v>
      </c>
      <c r="T184" s="133">
        <f>T60+R60+S60+P60</f>
        <v>131.85302160000001</v>
      </c>
      <c r="U184" s="133">
        <f>U60+S60+R60+T60</f>
        <v>147.316</v>
      </c>
      <c r="V184" s="319">
        <f>V60</f>
        <v>147.316</v>
      </c>
      <c r="W184" s="133">
        <f>W60+U60+T60+S60</f>
        <v>160.595</v>
      </c>
      <c r="X184" s="133">
        <f>X60+W60+U60+T60</f>
        <v>185.56799999999998</v>
      </c>
      <c r="Y184" s="133">
        <f>Y60+W60+X60+U60</f>
        <v>215.77100000000002</v>
      </c>
      <c r="Z184" s="133">
        <f>Z60+X60+W60+Y60</f>
        <v>255.36599999999999</v>
      </c>
      <c r="AA184" s="319">
        <f>AA60</f>
        <v>255.36599999999999</v>
      </c>
      <c r="AB184" s="133">
        <f>AB60+Z60+Y60+X60</f>
        <v>292.74099999999999</v>
      </c>
      <c r="AC184" s="133">
        <f>AC60+AB60+Z60+Y60</f>
        <v>346.61800000000005</v>
      </c>
      <c r="AD184" s="133">
        <f>AD60+AB60+AC60+Z60</f>
        <v>416.14500000000004</v>
      </c>
      <c r="AE184" s="133">
        <f>AE60+AC60+AB60+AD60</f>
        <v>487.935</v>
      </c>
      <c r="AF184" s="319">
        <f>AF60</f>
        <v>487.93500000000006</v>
      </c>
      <c r="AG184" s="133">
        <f>AG60+AE60+AD60+AC60</f>
        <v>561.31499999999994</v>
      </c>
      <c r="AH184" s="133">
        <f>AH60+AG60+AE60+AD60</f>
        <v>642.00800000000004</v>
      </c>
      <c r="AI184" s="133">
        <f>AI60+AG60+AH60+AE60</f>
        <v>715.98199999999997</v>
      </c>
      <c r="AJ184" s="133">
        <f>AJ60+AH60+AG60+AI60</f>
        <v>752</v>
      </c>
      <c r="AK184" s="319">
        <f>AK60</f>
        <v>752</v>
      </c>
      <c r="AL184" s="133">
        <f>AL60+AJ60+AI60+AH60</f>
        <v>782</v>
      </c>
      <c r="AM184" s="133">
        <f>AM60+AL60+AJ60+AI60</f>
        <v>816</v>
      </c>
      <c r="AN184" s="133">
        <f>AN60+AL60+AM60+AJ60</f>
        <v>853</v>
      </c>
      <c r="AO184" s="133">
        <f>AO60+AM60+AL60+AN60</f>
        <v>929</v>
      </c>
      <c r="AP184" s="319">
        <f>AP60</f>
        <v>929</v>
      </c>
      <c r="AQ184" s="133">
        <f>AQ60+AO60+AN60+AM60</f>
        <v>1047</v>
      </c>
      <c r="AR184" s="133">
        <f>AR60+AQ60+AO60+AN60</f>
        <v>1191</v>
      </c>
      <c r="AS184" s="133">
        <f>AS60+AQ60+AR60+AO60</f>
        <v>1336</v>
      </c>
      <c r="AT184" s="133">
        <f>AT60+AR60+AQ60+AS60</f>
        <v>1360.4</v>
      </c>
      <c r="AU184" s="319">
        <f>AU60</f>
        <v>1360.4</v>
      </c>
      <c r="AV184" s="133">
        <f>AV60+AT60+AS60+AR60</f>
        <v>1275.5</v>
      </c>
      <c r="AW184" s="133">
        <f>AW60+AV60+AT60+AS60</f>
        <v>1140.5999999999999</v>
      </c>
      <c r="AX184" s="133">
        <f>AX60+AV60+AW60+AT60</f>
        <v>1000.9</v>
      </c>
      <c r="AY184" s="133">
        <f>AY60+AW60+AV60+AX60</f>
        <v>944.5</v>
      </c>
      <c r="AZ184" s="319">
        <f>AZ60</f>
        <v>944.5</v>
      </c>
      <c r="BA184" s="133">
        <f>BA60+AY60+AX60+AW60</f>
        <v>975.4</v>
      </c>
      <c r="BB184" s="133">
        <f>BB60+BA60+AY60+AX60</f>
        <v>1019.3</v>
      </c>
      <c r="BC184" s="133">
        <f>BC60+BA60+BB60+AY60</f>
        <v>1057.2</v>
      </c>
      <c r="BD184" s="133">
        <f>BD60+BB60+BA60+BC60</f>
        <v>1114.7</v>
      </c>
      <c r="BE184" s="300">
        <f>BE60</f>
        <v>1114.7</v>
      </c>
      <c r="BF184" s="133">
        <f>BF60+BD60+BC60+BB60</f>
        <v>1213.7</v>
      </c>
      <c r="BG184" s="133">
        <f>BG60+BF60+BD60+BC60</f>
        <v>1373.7</v>
      </c>
      <c r="BH184" s="133">
        <f>BH60+BF60+BG60+BD60</f>
        <v>1535.5</v>
      </c>
      <c r="BI184" s="133">
        <f>BI60+BG60+BF60+BH60</f>
        <v>1664</v>
      </c>
      <c r="BJ184" s="300">
        <f>BJ60</f>
        <v>1664</v>
      </c>
      <c r="BK184" s="133">
        <f>BK60+BI60+BH60+BG60</f>
        <v>1744</v>
      </c>
      <c r="BL184" s="133">
        <f>BL60+BK60+BI60+BH60</f>
        <v>1755</v>
      </c>
      <c r="BM184" s="133">
        <f>BM60+BK60+BL60+BI60</f>
        <v>1782</v>
      </c>
      <c r="BN184" s="133">
        <f>BN60+BL60+BK60+BM60</f>
        <v>1806</v>
      </c>
      <c r="BO184" s="300">
        <f>BO60</f>
        <v>1806</v>
      </c>
      <c r="BP184" s="133">
        <f>BP60+BN60+BM60+BL60</f>
        <v>1840</v>
      </c>
      <c r="BQ184" s="133">
        <f>BQ60+BP60+BN60+BM60</f>
        <v>1855</v>
      </c>
      <c r="BR184" s="133">
        <f>BR60+BP60+BQ60+BN60</f>
        <v>1875</v>
      </c>
      <c r="BS184" s="133">
        <f>BS60+BQ60+BP60+BR60</f>
        <v>1899</v>
      </c>
      <c r="BT184" s="300">
        <f>BT60</f>
        <v>1899</v>
      </c>
      <c r="BU184" s="133">
        <f>BU60+BS60+BR60+BQ60</f>
        <v>1896</v>
      </c>
      <c r="BV184" s="133">
        <f>BV60+BU60+BS60+BR60</f>
        <v>1928</v>
      </c>
      <c r="BW184" s="133">
        <f>BW60+BU60+BV60+BS60</f>
        <v>1942</v>
      </c>
      <c r="BX184" s="133">
        <f>BX60+BV60+BU60+BW60</f>
        <v>1912</v>
      </c>
      <c r="BY184" s="300">
        <f>BY60</f>
        <v>1912</v>
      </c>
      <c r="BZ184" s="133">
        <f>BZ60+BX60+BW60+BV60</f>
        <v>1783</v>
      </c>
      <c r="CA184" s="133">
        <f>CA60+BZ60+BX60+BW60</f>
        <v>1657</v>
      </c>
      <c r="CB184" s="133">
        <f>CB60+BZ60+CA60+BX60</f>
        <v>1484</v>
      </c>
      <c r="CC184" s="133">
        <f>CC60+CA60+BZ60+CB60</f>
        <v>1348</v>
      </c>
      <c r="CD184" s="300">
        <f>CD60</f>
        <v>1348</v>
      </c>
      <c r="CE184" s="133">
        <f>CE60+CC60+CB60+CA60</f>
        <v>1228</v>
      </c>
      <c r="CF184" s="133">
        <f>CF60+CE60+CC60+CB60</f>
        <v>1131</v>
      </c>
      <c r="CG184" s="133">
        <f>CG60+CE60+CF60+CC60</f>
        <v>1082</v>
      </c>
      <c r="CH184" s="133">
        <f>CH60+CF60+CE60+CG60</f>
        <v>1073</v>
      </c>
      <c r="CI184" s="300">
        <f>CI60</f>
        <v>1073</v>
      </c>
      <c r="CJ184" s="133">
        <f>CJ60+CH60+CG60+CF60</f>
        <v>1181</v>
      </c>
      <c r="CK184" s="133">
        <f>CK60+CJ60+CH60+CG60</f>
        <v>1232</v>
      </c>
      <c r="CL184" s="133">
        <f>CL60+CJ60+CK60+CH60</f>
        <v>1286</v>
      </c>
      <c r="CM184" s="133">
        <f t="shared" ref="CM184:CR184" si="729">CM60+CK60+CJ60+CL60</f>
        <v>1363</v>
      </c>
      <c r="CN184" s="300">
        <f>CN60</f>
        <v>1363</v>
      </c>
      <c r="CO184" s="133">
        <f>CO60+CM60+CL60+CK60</f>
        <v>1470.4362248</v>
      </c>
      <c r="CP184" s="133">
        <f>CP60+CL60+CM60+CO60</f>
        <v>1590.2523447999999</v>
      </c>
      <c r="CQ184" s="133">
        <f>CQ60+CO60+CM60+CP60</f>
        <v>1709.6990948</v>
      </c>
      <c r="CR184" s="133">
        <f t="shared" si="729"/>
        <v>1779.4911348000001</v>
      </c>
      <c r="CS184" s="300">
        <f>CS60</f>
        <v>1779.4911348000001</v>
      </c>
      <c r="CT184" s="133"/>
      <c r="CU184" s="133"/>
      <c r="CV184" s="133"/>
      <c r="CW184" s="133"/>
      <c r="CX184" s="300">
        <f>CX60</f>
        <v>1792.1958887090002</v>
      </c>
      <c r="CY184" s="133"/>
      <c r="CZ184" s="133"/>
      <c r="DA184" s="133"/>
      <c r="DB184" s="133"/>
      <c r="DC184" s="300">
        <f>DC60</f>
        <v>1812.6582852683355</v>
      </c>
      <c r="DD184" s="136"/>
      <c r="DE184" s="131"/>
      <c r="DJ184" s="448"/>
      <c r="DK184" s="412"/>
      <c r="DL184" s="412"/>
      <c r="DM184" s="412"/>
      <c r="DN184" s="412"/>
      <c r="DO184" s="412"/>
      <c r="DP184" s="412"/>
      <c r="DQ184" s="412"/>
      <c r="DR184" s="509"/>
      <c r="DS184" s="136"/>
    </row>
    <row r="185" spans="1:129" hidden="1" x14ac:dyDescent="0.2">
      <c r="A185" s="132" t="s">
        <v>46</v>
      </c>
      <c r="B185" s="295"/>
      <c r="C185" s="129"/>
      <c r="D185" s="129"/>
      <c r="E185" s="129"/>
      <c r="F185" s="129"/>
      <c r="G185" s="295"/>
      <c r="H185" s="129"/>
      <c r="I185" s="129"/>
      <c r="J185" s="129"/>
      <c r="K185" s="129"/>
      <c r="L185" s="319">
        <f t="shared" ref="L185:BT185" si="730">L183-L184</f>
        <v>252.37799999999999</v>
      </c>
      <c r="M185" s="133">
        <f t="shared" si="730"/>
        <v>301.60499999999996</v>
      </c>
      <c r="N185" s="133">
        <f t="shared" si="730"/>
        <v>349.339</v>
      </c>
      <c r="O185" s="133">
        <f t="shared" si="730"/>
        <v>404.89499999999998</v>
      </c>
      <c r="P185" s="133">
        <f t="shared" si="730"/>
        <v>453.93300000000011</v>
      </c>
      <c r="Q185" s="319">
        <f t="shared" si="730"/>
        <v>453.93299999999999</v>
      </c>
      <c r="R185" s="133">
        <f t="shared" si="730"/>
        <v>503.63700000000006</v>
      </c>
      <c r="S185" s="133">
        <f t="shared" si="730"/>
        <v>562.32400000000007</v>
      </c>
      <c r="T185" s="133">
        <f t="shared" si="730"/>
        <v>622.13799999999992</v>
      </c>
      <c r="U185" s="133">
        <f t="shared" si="730"/>
        <v>678.80200000000002</v>
      </c>
      <c r="V185" s="319">
        <f t="shared" si="730"/>
        <v>678.80199999999991</v>
      </c>
      <c r="W185" s="133">
        <f t="shared" si="730"/>
        <v>739.18499999999995</v>
      </c>
      <c r="X185" s="133">
        <f t="shared" si="730"/>
        <v>793.08500000000004</v>
      </c>
      <c r="Y185" s="133">
        <f t="shared" si="730"/>
        <v>843.37200000000007</v>
      </c>
      <c r="Z185" s="133">
        <f t="shared" si="730"/>
        <v>895.66300000000001</v>
      </c>
      <c r="AA185" s="319">
        <f t="shared" si="730"/>
        <v>895.66300000000001</v>
      </c>
      <c r="AB185" s="133">
        <f t="shared" si="730"/>
        <v>950.50900000000001</v>
      </c>
      <c r="AC185" s="133">
        <f t="shared" si="730"/>
        <v>1010.9419999999999</v>
      </c>
      <c r="AD185" s="133">
        <f t="shared" si="730"/>
        <v>1080.2539999999999</v>
      </c>
      <c r="AE185" s="133">
        <f t="shared" si="730"/>
        <v>1153.1409999999998</v>
      </c>
      <c r="AF185" s="319">
        <f t="shared" si="730"/>
        <v>1153.1410000000001</v>
      </c>
      <c r="AG185" s="133">
        <f t="shared" si="730"/>
        <v>1246.201</v>
      </c>
      <c r="AH185" s="133">
        <f t="shared" si="730"/>
        <v>1341.568</v>
      </c>
      <c r="AI185" s="133">
        <f t="shared" si="730"/>
        <v>1422.5250000000001</v>
      </c>
      <c r="AJ185" s="133">
        <f t="shared" si="730"/>
        <v>1491</v>
      </c>
      <c r="AK185" s="319">
        <f t="shared" si="730"/>
        <v>1491</v>
      </c>
      <c r="AL185" s="133">
        <f t="shared" si="730"/>
        <v>1567</v>
      </c>
      <c r="AM185" s="133">
        <f t="shared" si="730"/>
        <v>1625</v>
      </c>
      <c r="AN185" s="133">
        <f t="shared" si="730"/>
        <v>1680</v>
      </c>
      <c r="AO185" s="133">
        <f t="shared" si="730"/>
        <v>1744</v>
      </c>
      <c r="AP185" s="319">
        <f t="shared" si="730"/>
        <v>1744</v>
      </c>
      <c r="AQ185" s="133">
        <f t="shared" si="730"/>
        <v>1803.8000000000002</v>
      </c>
      <c r="AR185" s="133">
        <f t="shared" si="730"/>
        <v>1840.8000000000002</v>
      </c>
      <c r="AS185" s="133">
        <f t="shared" si="730"/>
        <v>1889.8000000000002</v>
      </c>
      <c r="AT185" s="133">
        <f t="shared" si="730"/>
        <v>1918.4</v>
      </c>
      <c r="AU185" s="319">
        <f t="shared" si="730"/>
        <v>1918.4</v>
      </c>
      <c r="AV185" s="133">
        <f t="shared" si="730"/>
        <v>1924</v>
      </c>
      <c r="AW185" s="133">
        <f t="shared" si="730"/>
        <v>1951.9</v>
      </c>
      <c r="AX185" s="133">
        <f t="shared" si="730"/>
        <v>1999.6</v>
      </c>
      <c r="AY185" s="133">
        <f t="shared" si="730"/>
        <v>2062</v>
      </c>
      <c r="AZ185" s="319">
        <f t="shared" si="730"/>
        <v>2062</v>
      </c>
      <c r="BA185" s="133">
        <f>BA183-BA184</f>
        <v>2139.6</v>
      </c>
      <c r="BB185" s="133">
        <f>BB183-BB184</f>
        <v>2209.6999999999998</v>
      </c>
      <c r="BC185" s="133">
        <f>BC183-BC184</f>
        <v>2274</v>
      </c>
      <c r="BD185" s="133">
        <f>BD183-BD184</f>
        <v>2331.4000000000005</v>
      </c>
      <c r="BE185" s="300">
        <f t="shared" si="730"/>
        <v>2331.4000000000005</v>
      </c>
      <c r="BF185" s="133">
        <f t="shared" ref="BF185:BO185" si="731">BF183-BF184</f>
        <v>2371.4000000000005</v>
      </c>
      <c r="BG185" s="133">
        <f t="shared" si="731"/>
        <v>2431.4000000000005</v>
      </c>
      <c r="BH185" s="133">
        <f t="shared" si="731"/>
        <v>2466.4</v>
      </c>
      <c r="BI185" s="133">
        <f t="shared" si="731"/>
        <v>2518</v>
      </c>
      <c r="BJ185" s="300">
        <f t="shared" si="731"/>
        <v>2518</v>
      </c>
      <c r="BK185" s="133">
        <f t="shared" si="731"/>
        <v>2585</v>
      </c>
      <c r="BL185" s="133">
        <f t="shared" si="731"/>
        <v>2656</v>
      </c>
      <c r="BM185" s="133">
        <f t="shared" si="731"/>
        <v>2737</v>
      </c>
      <c r="BN185" s="133">
        <f t="shared" si="731"/>
        <v>2800</v>
      </c>
      <c r="BO185" s="300">
        <f t="shared" si="731"/>
        <v>2800</v>
      </c>
      <c r="BP185" s="133">
        <f>BP183-BP184</f>
        <v>2892</v>
      </c>
      <c r="BQ185" s="133">
        <f>BQ183-BQ184</f>
        <v>2963</v>
      </c>
      <c r="BR185" s="133">
        <f>BR183-BR184</f>
        <v>3038</v>
      </c>
      <c r="BS185" s="133">
        <f>BS183-BS184</f>
        <v>3114</v>
      </c>
      <c r="BT185" s="300">
        <f t="shared" si="730"/>
        <v>3114</v>
      </c>
      <c r="BU185" s="133">
        <f t="shared" ref="BU185:CD185" si="732">BU183-BU184</f>
        <v>3185</v>
      </c>
      <c r="BV185" s="133">
        <f t="shared" si="732"/>
        <v>3272</v>
      </c>
      <c r="BW185" s="133">
        <f t="shared" si="732"/>
        <v>3333</v>
      </c>
      <c r="BX185" s="133">
        <f t="shared" si="732"/>
        <v>3390</v>
      </c>
      <c r="BY185" s="300">
        <f t="shared" si="732"/>
        <v>3390</v>
      </c>
      <c r="BZ185" s="133">
        <f t="shared" si="732"/>
        <v>3481</v>
      </c>
      <c r="CA185" s="133">
        <f t="shared" si="732"/>
        <v>3585</v>
      </c>
      <c r="CB185" s="133">
        <f t="shared" si="732"/>
        <v>3729</v>
      </c>
      <c r="CC185" s="133">
        <f t="shared" si="732"/>
        <v>3852</v>
      </c>
      <c r="CD185" s="300">
        <f t="shared" si="732"/>
        <v>3852</v>
      </c>
      <c r="CE185" s="133">
        <f t="shared" ref="CE185:CM185" si="733">CE183-CE184</f>
        <v>3969</v>
      </c>
      <c r="CF185" s="133">
        <f t="shared" si="733"/>
        <v>4066</v>
      </c>
      <c r="CG185" s="133">
        <f t="shared" si="733"/>
        <v>4157</v>
      </c>
      <c r="CH185" s="133">
        <f t="shared" si="733"/>
        <v>4247</v>
      </c>
      <c r="CI185" s="300">
        <f t="shared" si="733"/>
        <v>4247</v>
      </c>
      <c r="CJ185" s="133">
        <f t="shared" si="733"/>
        <v>4329</v>
      </c>
      <c r="CK185" s="133">
        <f t="shared" si="733"/>
        <v>4436</v>
      </c>
      <c r="CL185" s="133">
        <f t="shared" si="733"/>
        <v>4507</v>
      </c>
      <c r="CM185" s="133">
        <f t="shared" si="733"/>
        <v>4652</v>
      </c>
      <c r="CN185" s="300">
        <f>CN183-CN184</f>
        <v>4652</v>
      </c>
      <c r="CO185" s="133">
        <f t="shared" ref="CO185:CR185" si="734">CO183-CO184</f>
        <v>4731.3993067082984</v>
      </c>
      <c r="CP185" s="133">
        <f t="shared" si="734"/>
        <v>4835.0456306823799</v>
      </c>
      <c r="CQ185" s="133">
        <f t="shared" si="734"/>
        <v>4943.7159882516753</v>
      </c>
      <c r="CR185" s="133">
        <f t="shared" si="734"/>
        <v>4992.3811407940502</v>
      </c>
      <c r="CS185" s="300">
        <f>CS183-CS184</f>
        <v>4992.3811407940484</v>
      </c>
      <c r="CT185" s="133"/>
      <c r="CU185" s="133"/>
      <c r="CV185" s="133"/>
      <c r="CW185" s="133"/>
      <c r="CX185" s="300">
        <f>CX183-CX184</f>
        <v>5454.9433469079941</v>
      </c>
      <c r="CY185" s="133"/>
      <c r="CZ185" s="133"/>
      <c r="DA185" s="133"/>
      <c r="DB185" s="133"/>
      <c r="DC185" s="300">
        <f>DC183-DC184</f>
        <v>5880.6408728490715</v>
      </c>
      <c r="DD185" s="136"/>
      <c r="DE185" s="131"/>
      <c r="DJ185" s="448"/>
      <c r="DK185" s="412"/>
      <c r="DL185" s="412"/>
      <c r="DM185" s="412"/>
      <c r="DN185" s="412"/>
      <c r="DO185" s="412"/>
      <c r="DP185" s="412"/>
      <c r="DQ185" s="412"/>
      <c r="DR185" s="509"/>
      <c r="DS185" s="136"/>
    </row>
    <row r="186" spans="1:129" hidden="1" x14ac:dyDescent="0.2">
      <c r="A186" s="132" t="s">
        <v>47</v>
      </c>
      <c r="B186" s="295"/>
      <c r="C186" s="129"/>
      <c r="D186" s="129"/>
      <c r="E186" s="129"/>
      <c r="F186" s="129"/>
      <c r="G186" s="295"/>
      <c r="H186" s="129"/>
      <c r="I186" s="129"/>
      <c r="J186" s="129"/>
      <c r="K186" s="129"/>
      <c r="L186" s="319">
        <f>L81</f>
        <v>32.927000000000007</v>
      </c>
      <c r="M186" s="133">
        <f>M81+K81+J81+I81</f>
        <v>36.808000000000007</v>
      </c>
      <c r="N186" s="133">
        <f>N81+M81+K81+J81</f>
        <v>38.979000000000006</v>
      </c>
      <c r="O186" s="133">
        <f>O81+M81+N81+K81</f>
        <v>39.730000000000004</v>
      </c>
      <c r="P186" s="133">
        <f>P81+N81+M81+O81</f>
        <v>40.844999999999999</v>
      </c>
      <c r="Q186" s="319">
        <f>Q81</f>
        <v>40.844999999999999</v>
      </c>
      <c r="R186" s="133">
        <f>R81+P81+O81+N81</f>
        <v>44.433</v>
      </c>
      <c r="S186" s="133">
        <f>S81+R81+P81+O81</f>
        <v>49.042000000000002</v>
      </c>
      <c r="T186" s="133">
        <f>T81+R81+S81+P81</f>
        <v>54.654000000000003</v>
      </c>
      <c r="U186" s="133">
        <f>U81+S81+R81+T81</f>
        <v>59.963000000000001</v>
      </c>
      <c r="V186" s="319">
        <f>V81</f>
        <v>59.962999999999994</v>
      </c>
      <c r="W186" s="133">
        <f>W81+U81+T81+S81</f>
        <v>64.138999999999996</v>
      </c>
      <c r="X186" s="133">
        <f>X81+W81+U81+T81</f>
        <v>66.971999999999994</v>
      </c>
      <c r="Y186" s="133">
        <f>Y81+W81+X81+U81</f>
        <v>68.852000000000004</v>
      </c>
      <c r="Z186" s="133">
        <f>Z81+X81+W81+Y81</f>
        <v>70.215999999999994</v>
      </c>
      <c r="AA186" s="319">
        <f>AA81</f>
        <v>70.216000000000008</v>
      </c>
      <c r="AB186" s="133">
        <f>AB81+Z81+Y81+X81</f>
        <v>70.773999999999987</v>
      </c>
      <c r="AC186" s="133">
        <f>AC81+AB81+Z81+Y81</f>
        <v>71.11</v>
      </c>
      <c r="AD186" s="133">
        <f>AD81+AB81+AC81+Z81</f>
        <v>71.822000000000003</v>
      </c>
      <c r="AE186" s="133">
        <f>AE81+AC81+AB81+AD81</f>
        <v>74.236000000000004</v>
      </c>
      <c r="AF186" s="319">
        <f>AF81</f>
        <v>74.23599999999999</v>
      </c>
      <c r="AG186" s="133">
        <f>AG81+AE81+AD81+AC81</f>
        <v>78.423000000000002</v>
      </c>
      <c r="AH186" s="133">
        <f>AH81+AG81+AE81+AD81</f>
        <v>85.346999999999994</v>
      </c>
      <c r="AI186" s="133">
        <f>AI81+AG81+AH81+AE81</f>
        <v>94.081999999999994</v>
      </c>
      <c r="AJ186" s="133">
        <f>AJ81+AH81+AG81+AI81</f>
        <v>103</v>
      </c>
      <c r="AK186" s="319">
        <f>AK81</f>
        <v>103</v>
      </c>
      <c r="AL186" s="133">
        <f>AL81+AJ81+AI81+AH81</f>
        <v>111</v>
      </c>
      <c r="AM186" s="133">
        <f>AM81+AL81+AJ81+AI81</f>
        <v>116</v>
      </c>
      <c r="AN186" s="133">
        <f>AN81+AL81+AM81+AJ81</f>
        <v>121</v>
      </c>
      <c r="AO186" s="133">
        <f>AO81+AM81+AL81+AN81</f>
        <v>124</v>
      </c>
      <c r="AP186" s="319">
        <f>AP81</f>
        <v>124</v>
      </c>
      <c r="AQ186" s="133">
        <f>AQ81+AO81+AN81+AM81</f>
        <v>126</v>
      </c>
      <c r="AR186" s="133">
        <f>AR81+AQ81+AO81+AN81</f>
        <v>128</v>
      </c>
      <c r="AS186" s="133">
        <f>AS81+AQ81+AR81+AO81</f>
        <v>129</v>
      </c>
      <c r="AT186" s="133">
        <f>AT81+AR81+AQ81+AS81</f>
        <v>129</v>
      </c>
      <c r="AU186" s="319">
        <f>AU81</f>
        <v>129</v>
      </c>
      <c r="AV186" s="133">
        <f>AV81+AT81+AS81+AR81</f>
        <v>129</v>
      </c>
      <c r="AW186" s="133">
        <f>AW81+AV81+AT81+AS81</f>
        <v>129</v>
      </c>
      <c r="AX186" s="133">
        <f>AX81+AV81+AW81+AT81</f>
        <v>127</v>
      </c>
      <c r="AY186" s="133">
        <f>AY81+AW81+AV81+AX81</f>
        <v>126</v>
      </c>
      <c r="AZ186" s="319">
        <f>AZ81</f>
        <v>126</v>
      </c>
      <c r="BA186" s="133">
        <f>BA81+AY81+AX81+AW81</f>
        <v>125</v>
      </c>
      <c r="BB186" s="133">
        <f>BB81+BA81+AY81+AX81</f>
        <v>124</v>
      </c>
      <c r="BC186" s="133">
        <f>BC81+BA81+BB81+AY81</f>
        <v>124</v>
      </c>
      <c r="BD186" s="133">
        <f>BD81+BB81+BA81+BC81</f>
        <v>126</v>
      </c>
      <c r="BE186" s="300">
        <f>BE81</f>
        <v>126</v>
      </c>
      <c r="BF186" s="133">
        <f>BF81+BD81+BC81+BB81</f>
        <v>129</v>
      </c>
      <c r="BG186" s="133">
        <f>BG81+BF81+BD81+BC81</f>
        <v>134</v>
      </c>
      <c r="BH186" s="133">
        <f>BH81+BF81+BG81+BD81</f>
        <v>135</v>
      </c>
      <c r="BI186" s="133">
        <f>BI81+BG81+BF81+BH81</f>
        <v>135</v>
      </c>
      <c r="BJ186" s="300">
        <f>BJ81</f>
        <v>135</v>
      </c>
      <c r="BK186" s="133">
        <f>BK81+BI81+BH81+BG81</f>
        <v>134</v>
      </c>
      <c r="BL186" s="133">
        <f>BL81+BK81+BI81+BH81</f>
        <v>131</v>
      </c>
      <c r="BM186" s="133">
        <f>BM81+BK81+BL81+BI81</f>
        <v>131</v>
      </c>
      <c r="BN186" s="133">
        <f>BN81+BL81+BK81+BM81</f>
        <v>130</v>
      </c>
      <c r="BO186" s="300">
        <f>BO81</f>
        <v>130</v>
      </c>
      <c r="BP186" s="133">
        <f>BP81+BN81+BM81+BL81</f>
        <v>129</v>
      </c>
      <c r="BQ186" s="133">
        <f>BQ81+BP81+BN81+BM81</f>
        <v>129</v>
      </c>
      <c r="BR186" s="133">
        <f>BR81+BP81+BQ81+BN81</f>
        <v>129</v>
      </c>
      <c r="BS186" s="133">
        <f>BS81+BQ81+BP81+BR81</f>
        <v>128</v>
      </c>
      <c r="BT186" s="300">
        <f>BT81</f>
        <v>128</v>
      </c>
      <c r="BU186" s="133">
        <f>BU81+BS81+BR81+BQ81</f>
        <v>127</v>
      </c>
      <c r="BV186" s="133">
        <f>BV81+BU81+BS81+BR81</f>
        <v>125</v>
      </c>
      <c r="BW186" s="133">
        <f>BW81+BU81+BV81+BS81</f>
        <v>124</v>
      </c>
      <c r="BX186" s="133">
        <f>BX81+BV81+BU81+BW81</f>
        <v>124</v>
      </c>
      <c r="BY186" s="300">
        <f>BY81</f>
        <v>124</v>
      </c>
      <c r="BZ186" s="133">
        <f>BZ81+BX81+BW81+BV81</f>
        <v>124</v>
      </c>
      <c r="CA186" s="133">
        <f>CA81+BZ81+BX81+BW81</f>
        <v>124</v>
      </c>
      <c r="CB186" s="133">
        <f>CB81+BZ81+CA81+BX81</f>
        <v>123</v>
      </c>
      <c r="CC186" s="133">
        <f>CC81+CA81+BZ81+CB81</f>
        <v>122</v>
      </c>
      <c r="CD186" s="300">
        <f>CD81</f>
        <v>122</v>
      </c>
      <c r="CE186" s="133">
        <f>CE81+CC81+CB81+CA81</f>
        <v>119</v>
      </c>
      <c r="CF186" s="133">
        <f>CF81+CE81+CC81+CB81</f>
        <v>116</v>
      </c>
      <c r="CG186" s="133">
        <f>CG81+CE81+CF81+CC81</f>
        <v>114</v>
      </c>
      <c r="CH186" s="133">
        <f>CH81+CF81+CE81+CG81</f>
        <v>111</v>
      </c>
      <c r="CI186" s="300">
        <f>CI81</f>
        <v>111</v>
      </c>
      <c r="CJ186" s="133">
        <f>CJ81+CH81+CG81+CF81</f>
        <v>109</v>
      </c>
      <c r="CK186" s="133">
        <f>CK81+CJ81+CH81+CG81</f>
        <v>105</v>
      </c>
      <c r="CL186" s="133">
        <f>CL81+CJ81+CK81+CH81</f>
        <v>103</v>
      </c>
      <c r="CM186" s="133">
        <f t="shared" ref="CM186:CR186" si="735">CM81+CK81+CJ81+CL81</f>
        <v>101</v>
      </c>
      <c r="CN186" s="300">
        <f>CN81</f>
        <v>101</v>
      </c>
      <c r="CO186" s="133">
        <f>CO81+CM81+CL81+CK81</f>
        <v>99.000787746170687</v>
      </c>
      <c r="CP186" s="133">
        <f>CP81+CL81+CM81+CO81</f>
        <v>98.787224031267868</v>
      </c>
      <c r="CQ186" s="133">
        <f>CQ81+CO81+CM81+CP81</f>
        <v>96.301424457707114</v>
      </c>
      <c r="CR186" s="133">
        <f t="shared" si="735"/>
        <v>94.047187169571515</v>
      </c>
      <c r="CS186" s="300">
        <f>CS81</f>
        <v>94.047187169571515</v>
      </c>
      <c r="CT186" s="133"/>
      <c r="CU186" s="133"/>
      <c r="CV186" s="133"/>
      <c r="CW186" s="133"/>
      <c r="CX186" s="300">
        <f>CX81</f>
        <v>89.666773576299988</v>
      </c>
      <c r="CY186" s="133"/>
      <c r="CZ186" s="133"/>
      <c r="DA186" s="133"/>
      <c r="DB186" s="133"/>
      <c r="DC186" s="300">
        <f>DC81</f>
        <v>88.374151573061454</v>
      </c>
      <c r="DD186" s="136"/>
      <c r="DE186" s="131"/>
      <c r="DJ186" s="448"/>
      <c r="DK186" s="412"/>
      <c r="DL186" s="412"/>
      <c r="DM186" s="412"/>
      <c r="DN186" s="412"/>
      <c r="DO186" s="412"/>
      <c r="DP186" s="412"/>
      <c r="DQ186" s="412"/>
      <c r="DR186" s="509"/>
      <c r="DS186" s="136"/>
    </row>
    <row r="187" spans="1:129" hidden="1" x14ac:dyDescent="0.2">
      <c r="A187" s="132" t="s">
        <v>48</v>
      </c>
      <c r="B187" s="295"/>
      <c r="C187" s="129"/>
      <c r="D187" s="129"/>
      <c r="E187" s="129"/>
      <c r="F187" s="129"/>
      <c r="G187" s="295"/>
      <c r="H187" s="129"/>
      <c r="I187" s="129"/>
      <c r="J187" s="129"/>
      <c r="K187" s="129"/>
      <c r="L187" s="319">
        <v>0</v>
      </c>
      <c r="M187" s="133">
        <v>0</v>
      </c>
      <c r="N187" s="133">
        <v>0</v>
      </c>
      <c r="O187" s="133">
        <v>0</v>
      </c>
      <c r="P187" s="133">
        <v>0</v>
      </c>
      <c r="Q187" s="319">
        <v>0</v>
      </c>
      <c r="R187" s="133">
        <v>0</v>
      </c>
      <c r="S187" s="133">
        <v>0</v>
      </c>
      <c r="T187" s="133">
        <v>0</v>
      </c>
      <c r="U187" s="133">
        <v>0</v>
      </c>
      <c r="V187" s="319">
        <v>0</v>
      </c>
      <c r="W187" s="133">
        <v>0</v>
      </c>
      <c r="X187" s="133">
        <v>0</v>
      </c>
      <c r="Y187" s="133">
        <v>0</v>
      </c>
      <c r="Z187" s="133">
        <v>0</v>
      </c>
      <c r="AA187" s="319">
        <v>0</v>
      </c>
      <c r="AB187" s="133">
        <v>0</v>
      </c>
      <c r="AC187" s="133">
        <v>0</v>
      </c>
      <c r="AD187" s="133">
        <v>0</v>
      </c>
      <c r="AE187" s="133">
        <v>0</v>
      </c>
      <c r="AF187" s="319">
        <v>0</v>
      </c>
      <c r="AG187" s="133">
        <v>0</v>
      </c>
      <c r="AH187" s="133">
        <v>0</v>
      </c>
      <c r="AI187" s="133">
        <v>0</v>
      </c>
      <c r="AJ187" s="133">
        <v>0</v>
      </c>
      <c r="AK187" s="319">
        <v>0</v>
      </c>
      <c r="AL187" s="133">
        <v>0</v>
      </c>
      <c r="AM187" s="133">
        <v>0</v>
      </c>
      <c r="AN187" s="133">
        <v>0</v>
      </c>
      <c r="AO187" s="133">
        <v>0</v>
      </c>
      <c r="AP187" s="319">
        <v>0</v>
      </c>
      <c r="AQ187" s="133">
        <v>0</v>
      </c>
      <c r="AR187" s="133">
        <v>0</v>
      </c>
      <c r="AS187" s="133">
        <v>0</v>
      </c>
      <c r="AT187" s="133">
        <v>0</v>
      </c>
      <c r="AU187" s="319">
        <v>0</v>
      </c>
      <c r="AV187" s="133">
        <v>0</v>
      </c>
      <c r="AW187" s="133">
        <v>0</v>
      </c>
      <c r="AX187" s="133">
        <v>0</v>
      </c>
      <c r="AY187" s="133">
        <v>0</v>
      </c>
      <c r="AZ187" s="319">
        <v>0</v>
      </c>
      <c r="BA187" s="133">
        <v>0</v>
      </c>
      <c r="BB187" s="133">
        <v>0</v>
      </c>
      <c r="BC187" s="133">
        <v>0</v>
      </c>
      <c r="BD187" s="133">
        <v>0</v>
      </c>
      <c r="BE187" s="300">
        <v>0</v>
      </c>
      <c r="BF187" s="133">
        <v>0</v>
      </c>
      <c r="BG187" s="133">
        <v>0</v>
      </c>
      <c r="BH187" s="133">
        <v>0</v>
      </c>
      <c r="BI187" s="133">
        <v>0</v>
      </c>
      <c r="BJ187" s="330">
        <v>0</v>
      </c>
      <c r="BK187" s="133">
        <v>0</v>
      </c>
      <c r="BL187" s="133">
        <v>0</v>
      </c>
      <c r="BM187" s="133">
        <v>0</v>
      </c>
      <c r="BN187" s="133">
        <v>0</v>
      </c>
      <c r="BO187" s="330">
        <v>0</v>
      </c>
      <c r="BP187" s="133">
        <v>0</v>
      </c>
      <c r="BQ187" s="133">
        <v>0</v>
      </c>
      <c r="BR187" s="133">
        <v>0</v>
      </c>
      <c r="BS187" s="133">
        <v>0</v>
      </c>
      <c r="BT187" s="330">
        <v>0</v>
      </c>
      <c r="BU187" s="133">
        <v>0</v>
      </c>
      <c r="BV187" s="133">
        <v>0</v>
      </c>
      <c r="BW187" s="133">
        <v>0</v>
      </c>
      <c r="BX187" s="133">
        <v>0</v>
      </c>
      <c r="BY187" s="330">
        <v>0</v>
      </c>
      <c r="BZ187" s="133">
        <v>0</v>
      </c>
      <c r="CA187" s="133">
        <v>0</v>
      </c>
      <c r="CB187" s="133">
        <v>0</v>
      </c>
      <c r="CC187" s="133">
        <v>0</v>
      </c>
      <c r="CD187" s="330">
        <v>0</v>
      </c>
      <c r="CE187" s="133">
        <v>0</v>
      </c>
      <c r="CF187" s="133">
        <v>0</v>
      </c>
      <c r="CG187" s="133">
        <v>0</v>
      </c>
      <c r="CH187" s="133">
        <v>0</v>
      </c>
      <c r="CI187" s="330">
        <v>0</v>
      </c>
      <c r="CJ187" s="133">
        <v>0</v>
      </c>
      <c r="CK187" s="133">
        <v>0</v>
      </c>
      <c r="CL187" s="133">
        <v>0</v>
      </c>
      <c r="CM187" s="798">
        <v>0</v>
      </c>
      <c r="CN187" s="330">
        <v>0</v>
      </c>
      <c r="CO187" s="798">
        <v>0</v>
      </c>
      <c r="CP187" s="798">
        <v>0</v>
      </c>
      <c r="CQ187" s="798">
        <v>0</v>
      </c>
      <c r="CR187" s="798">
        <v>0</v>
      </c>
      <c r="CS187" s="330">
        <v>0</v>
      </c>
      <c r="CT187" s="133"/>
      <c r="CU187" s="133"/>
      <c r="CV187" s="133"/>
      <c r="CW187" s="133"/>
      <c r="CX187" s="330">
        <v>0</v>
      </c>
      <c r="CY187" s="133"/>
      <c r="CZ187" s="133"/>
      <c r="DA187" s="133"/>
      <c r="DB187" s="133"/>
      <c r="DC187" s="330">
        <v>0</v>
      </c>
      <c r="DD187" s="136"/>
      <c r="DE187" s="131"/>
      <c r="DJ187" s="448"/>
      <c r="DK187" s="412"/>
      <c r="DL187" s="412"/>
      <c r="DM187" s="412"/>
      <c r="DN187" s="412"/>
      <c r="DO187" s="412"/>
      <c r="DP187" s="412"/>
      <c r="DQ187" s="412"/>
      <c r="DR187" s="509"/>
      <c r="DS187" s="136"/>
    </row>
    <row r="188" spans="1:129" hidden="1" x14ac:dyDescent="0.2">
      <c r="A188" s="132" t="s">
        <v>252</v>
      </c>
      <c r="B188" s="295"/>
      <c r="C188" s="129"/>
      <c r="D188" s="129"/>
      <c r="E188" s="129"/>
      <c r="F188" s="129"/>
      <c r="G188" s="295"/>
      <c r="H188" s="129"/>
      <c r="I188" s="129"/>
      <c r="J188" s="129"/>
      <c r="K188" s="129"/>
      <c r="L188" s="319">
        <f>L86</f>
        <v>10.417</v>
      </c>
      <c r="M188" s="133">
        <f>M86+K86+J86+I86</f>
        <v>12.999000000000001</v>
      </c>
      <c r="N188" s="133">
        <f>N86+M86+K86+J86</f>
        <v>16.413</v>
      </c>
      <c r="O188" s="133">
        <f>O86+M86+N86+K86</f>
        <v>20.613999999999997</v>
      </c>
      <c r="P188" s="133">
        <f>P86+N86+M86+O86</f>
        <v>26.922000000000004</v>
      </c>
      <c r="Q188" s="319">
        <f>Q86</f>
        <v>26.921999999999997</v>
      </c>
      <c r="R188" s="133">
        <f>R86+P86+O86+N86</f>
        <v>32.532000000000004</v>
      </c>
      <c r="S188" s="133">
        <f>S86+R86+P86+O86</f>
        <v>38.308</v>
      </c>
      <c r="T188" s="133">
        <f>T86+R86+S86+P86</f>
        <v>45.081999999999994</v>
      </c>
      <c r="U188" s="133">
        <f>U86+S86+R86+T86</f>
        <v>50.397000000000006</v>
      </c>
      <c r="V188" s="319">
        <f>V86</f>
        <v>50.396999999999991</v>
      </c>
      <c r="W188" s="133">
        <f>W86+U86+T86+S86</f>
        <v>56.391000000000005</v>
      </c>
      <c r="X188" s="133">
        <f>X86+W86+U86+T86</f>
        <v>62.361000000000004</v>
      </c>
      <c r="Y188" s="133">
        <f>Y86+W86+X86+U86</f>
        <v>68.210999999999999</v>
      </c>
      <c r="Z188" s="133">
        <f>Z86+X86+W86+Y86</f>
        <v>76.539999999999992</v>
      </c>
      <c r="AA188" s="319">
        <f>AA86</f>
        <v>76.540000000000006</v>
      </c>
      <c r="AB188" s="133">
        <f>AB86+Z86+Y86+X86</f>
        <v>84.546999999999997</v>
      </c>
      <c r="AC188" s="133">
        <f>AC86+AB86+Z86+Y86</f>
        <v>94.105999999999995</v>
      </c>
      <c r="AD188" s="133">
        <f>AD86+AB86+AC86+Z86</f>
        <v>104.06700000000001</v>
      </c>
      <c r="AE188" s="133">
        <f>AE86+AC86+AB86+AD86</f>
        <v>114.94199999999999</v>
      </c>
      <c r="AF188" s="319">
        <f>AF86</f>
        <v>114.94200000000001</v>
      </c>
      <c r="AG188" s="133">
        <f>AG86+AE86+AD86+AC86</f>
        <v>124.619</v>
      </c>
      <c r="AH188" s="133">
        <f>AH86+AG86+AE86+AD86</f>
        <v>134.619</v>
      </c>
      <c r="AI188" s="133">
        <f>AI86+AG86+AH86+AE86</f>
        <v>144.108</v>
      </c>
      <c r="AJ188" s="133">
        <f>AJ86+AH86+AG86+AI86</f>
        <v>151</v>
      </c>
      <c r="AK188" s="319">
        <f>AK86</f>
        <v>151</v>
      </c>
      <c r="AL188" s="133">
        <f>AL86+AJ86+AI86+AH86</f>
        <v>159</v>
      </c>
      <c r="AM188" s="133">
        <f>AM86+AL86+AJ86+AI86</f>
        <v>165</v>
      </c>
      <c r="AN188" s="133">
        <f>AN86+AL86+AM86+AJ86</f>
        <v>170</v>
      </c>
      <c r="AO188" s="133">
        <f>AO86+AM86+AL86+AN86</f>
        <v>176</v>
      </c>
      <c r="AP188" s="319">
        <f>AP86</f>
        <v>176</v>
      </c>
      <c r="AQ188" s="133">
        <f>AQ86+AO86+AN86+AM86</f>
        <v>179</v>
      </c>
      <c r="AR188" s="133">
        <f>AR86+AQ86+AO86+AN86</f>
        <v>182</v>
      </c>
      <c r="AS188" s="133">
        <f>AS86+AQ86+AR86+AO86</f>
        <v>192</v>
      </c>
      <c r="AT188" s="133">
        <f>AT86+AR86+AQ86+AS86</f>
        <v>205</v>
      </c>
      <c r="AU188" s="319">
        <f>AU86</f>
        <v>205</v>
      </c>
      <c r="AV188" s="133">
        <f>AV86+AT86+AS86+AR86</f>
        <v>215</v>
      </c>
      <c r="AW188" s="133">
        <f>AW86+AV86+AT86+AS86</f>
        <v>225</v>
      </c>
      <c r="AX188" s="133">
        <f>AX86+AV86+AW86+AT86</f>
        <v>230</v>
      </c>
      <c r="AY188" s="133">
        <f>AY86+AW86+AV86+AX86</f>
        <v>228</v>
      </c>
      <c r="AZ188" s="319">
        <f>AZ86</f>
        <v>228</v>
      </c>
      <c r="BA188" s="133">
        <f>BA86+AY86+AX86+AW86</f>
        <v>230</v>
      </c>
      <c r="BB188" s="133">
        <f>BB86+BA86+AY86+AX86</f>
        <v>228</v>
      </c>
      <c r="BC188" s="133">
        <f>BC86+BA86+BB86+AY86</f>
        <v>223</v>
      </c>
      <c r="BD188" s="133">
        <f>BD86+BB86+BA86+BC86</f>
        <v>220</v>
      </c>
      <c r="BE188" s="300">
        <f>BE86</f>
        <v>220</v>
      </c>
      <c r="BF188" s="133">
        <f>BF86+BD86+BC86+BB86</f>
        <v>219</v>
      </c>
      <c r="BG188" s="133">
        <f>BG86+BF86+BD86+BC86</f>
        <v>223</v>
      </c>
      <c r="BH188" s="133">
        <f>BH86+BF86+BG86+BD86</f>
        <v>226</v>
      </c>
      <c r="BI188" s="133">
        <f>BI86+BG86+BF86+BH86</f>
        <v>233</v>
      </c>
      <c r="BJ188" s="300">
        <f>BJ86</f>
        <v>233</v>
      </c>
      <c r="BK188" s="133">
        <f>BK86+BI86+BH86+BG86</f>
        <v>238</v>
      </c>
      <c r="BL188" s="133">
        <f>BL86+BK86+BI86+BH86</f>
        <v>243</v>
      </c>
      <c r="BM188" s="133">
        <f>BM86+BK86+BL86+BI86</f>
        <v>252</v>
      </c>
      <c r="BN188" s="133">
        <f>BN86+BL86+BK86+BM86</f>
        <v>258</v>
      </c>
      <c r="BO188" s="300">
        <f>BO86</f>
        <v>258</v>
      </c>
      <c r="BP188" s="133">
        <f>BP86+BN86+BM86+BL86</f>
        <v>265</v>
      </c>
      <c r="BQ188" s="133">
        <f>BQ86+BP86+BN86+BM86</f>
        <v>273</v>
      </c>
      <c r="BR188" s="133">
        <f>BR86+BP86+BQ86+BN86</f>
        <v>280</v>
      </c>
      <c r="BS188" s="133">
        <f>BS86+BQ86+BP86+BR86</f>
        <v>290</v>
      </c>
      <c r="BT188" s="300">
        <f>BT86</f>
        <v>290</v>
      </c>
      <c r="BU188" s="133">
        <f>BU86+BS86+BR86+BQ86</f>
        <v>300</v>
      </c>
      <c r="BV188" s="133">
        <f>BV86+BU86+BS86+BR86</f>
        <v>306</v>
      </c>
      <c r="BW188" s="133">
        <f>BW86+BU86+BV86+BS86</f>
        <v>312</v>
      </c>
      <c r="BX188" s="133">
        <f>BX86+BV86+BU86+BW86</f>
        <v>320</v>
      </c>
      <c r="BY188" s="300">
        <f>BY86</f>
        <v>320</v>
      </c>
      <c r="BZ188" s="133">
        <f>BZ86+BX86+BW86+BV86</f>
        <v>329</v>
      </c>
      <c r="CA188" s="133">
        <f>CA86+BZ86+BX86+BW86</f>
        <v>333</v>
      </c>
      <c r="CB188" s="133">
        <f>CB86+BZ86+CA86+BX86</f>
        <v>338</v>
      </c>
      <c r="CC188" s="133">
        <f>CC86+CA86+BZ86+CB86</f>
        <v>345</v>
      </c>
      <c r="CD188" s="300">
        <f>CD86</f>
        <v>345</v>
      </c>
      <c r="CE188" s="133">
        <f>CE86+CC86+CB86+CA86</f>
        <v>349</v>
      </c>
      <c r="CF188" s="133">
        <f>CF86+CE86+CC86+CB86</f>
        <v>364</v>
      </c>
      <c r="CG188" s="133">
        <f>CG86+CE86+CF86+CC86</f>
        <v>382</v>
      </c>
      <c r="CH188" s="133">
        <f>CH86+CF86+CE86+CG86</f>
        <v>392</v>
      </c>
      <c r="CI188" s="300">
        <f>CI86</f>
        <v>392</v>
      </c>
      <c r="CJ188" s="133">
        <f>CJ86+CH86+CG86+CF86</f>
        <v>406</v>
      </c>
      <c r="CK188" s="133">
        <f>CK86+CJ86+CH86+CG86</f>
        <v>419</v>
      </c>
      <c r="CL188" s="133">
        <f>CL86+CJ86+CK86+CH86</f>
        <v>431</v>
      </c>
      <c r="CM188" s="133">
        <f t="shared" ref="CM188:CR188" si="736">CM86+CK86+CJ86+CL86</f>
        <v>447</v>
      </c>
      <c r="CN188" s="300">
        <f>CN86</f>
        <v>447</v>
      </c>
      <c r="CO188" s="133">
        <f>CO86+CM86+CL86+CK86</f>
        <v>456.97500000000002</v>
      </c>
      <c r="CP188" s="133">
        <f>CP86+CL86+CM86+CO86</f>
        <v>465.15</v>
      </c>
      <c r="CQ188" s="133">
        <f>CQ86+CO86+CM86+CP86</f>
        <v>472.56</v>
      </c>
      <c r="CR188" s="133">
        <f t="shared" si="736"/>
        <v>480.89</v>
      </c>
      <c r="CS188" s="300">
        <f>CS86</f>
        <v>480.89</v>
      </c>
      <c r="CT188" s="133"/>
      <c r="CU188" s="133"/>
      <c r="CV188" s="133"/>
      <c r="CW188" s="133"/>
      <c r="CX188" s="300">
        <f>CX86</f>
        <v>512.14784999999995</v>
      </c>
      <c r="CY188" s="133"/>
      <c r="CZ188" s="133"/>
      <c r="DA188" s="133"/>
      <c r="DB188" s="133"/>
      <c r="DC188" s="300">
        <f>DC86</f>
        <v>553.11967800000002</v>
      </c>
      <c r="DD188" s="136"/>
      <c r="DE188" s="131"/>
      <c r="DJ188" s="448"/>
      <c r="DK188" s="412"/>
      <c r="DL188" s="412"/>
      <c r="DM188" s="412"/>
      <c r="DN188" s="412"/>
      <c r="DO188" s="412"/>
      <c r="DP188" s="412"/>
      <c r="DQ188" s="412"/>
      <c r="DR188" s="509"/>
      <c r="DS188" s="136"/>
    </row>
    <row r="189" spans="1:129" hidden="1" x14ac:dyDescent="0.2">
      <c r="A189" s="132" t="s">
        <v>49</v>
      </c>
      <c r="B189" s="295"/>
      <c r="C189" s="129"/>
      <c r="D189" s="129"/>
      <c r="E189" s="129"/>
      <c r="F189" s="129"/>
      <c r="G189" s="295"/>
      <c r="H189" s="129"/>
      <c r="I189" s="129"/>
      <c r="J189" s="129"/>
      <c r="K189" s="129"/>
      <c r="L189" s="319">
        <f>L119</f>
        <v>26.376783800000055</v>
      </c>
      <c r="M189" s="133">
        <f>M119+K119+J119+I119</f>
        <v>42.217112099999994</v>
      </c>
      <c r="N189" s="133">
        <f>N119+M119+K119+J119</f>
        <v>58.934562499999984</v>
      </c>
      <c r="O189" s="133">
        <f>O119+M119+N119+K119</f>
        <v>76.758511899999988</v>
      </c>
      <c r="P189" s="133">
        <f>P119+N119+M119+O119</f>
        <v>104.98898639999997</v>
      </c>
      <c r="Q189" s="319">
        <f>Q119</f>
        <v>104.98898640000004</v>
      </c>
      <c r="R189" s="133">
        <f>R119+P119+O119+N119</f>
        <v>116.06325319999995</v>
      </c>
      <c r="S189" s="133">
        <f>S119+R119+P119+O119</f>
        <v>137.29983039999993</v>
      </c>
      <c r="T189" s="133">
        <f>T119+R119+S119+P119</f>
        <v>168.6739783999999</v>
      </c>
      <c r="U189" s="133">
        <f>U119+S119+R119+T119</f>
        <v>172.23299999999995</v>
      </c>
      <c r="V189" s="319">
        <f>V119</f>
        <v>172.23300000000006</v>
      </c>
      <c r="W189" s="133">
        <f>W119+U119+T119+S119</f>
        <v>170.4439999999999</v>
      </c>
      <c r="X189" s="133">
        <f>X119+W119+U119+T119</f>
        <v>166.58799999999994</v>
      </c>
      <c r="Y189" s="133">
        <f>Y119+W119+X119+U119</f>
        <v>135.73699999999994</v>
      </c>
      <c r="Z189" s="133">
        <f>Z119+X119+W119+Y119</f>
        <v>111.44299999999987</v>
      </c>
      <c r="AA189" s="319">
        <f>AA119</f>
        <v>111.44299999999976</v>
      </c>
      <c r="AB189" s="133">
        <f>AB119+Z119+Y119+X119</f>
        <v>104.44099999999997</v>
      </c>
      <c r="AC189" s="133">
        <f>AC119+AB119+Z119+Y119</f>
        <v>99.413000000000011</v>
      </c>
      <c r="AD189" s="133">
        <f>AD119+AB119+AC119+Z119</f>
        <v>90.274000000000058</v>
      </c>
      <c r="AE189" s="133">
        <f>AE119+AC119+AB119+AD119</f>
        <v>61.053000000000168</v>
      </c>
      <c r="AF189" s="319">
        <f>AF119</f>
        <v>61.053000000000111</v>
      </c>
      <c r="AG189" s="133">
        <f>AG119+AE119+AD119+AC119</f>
        <v>10.791000000000111</v>
      </c>
      <c r="AH189" s="133">
        <f>AH119+AG119+AE119+AD119</f>
        <v>17.731000000000051</v>
      </c>
      <c r="AI189" s="133">
        <f>AI119+AG119+AH119+AE119</f>
        <v>37.885000000000048</v>
      </c>
      <c r="AJ189" s="133">
        <f>AJ119+AH119+AG119+AI119</f>
        <v>120.39999999999998</v>
      </c>
      <c r="AK189" s="319">
        <f>AK119</f>
        <v>120.40000000000009</v>
      </c>
      <c r="AL189" s="133">
        <f>AL119+AJ119+AI119+AH119</f>
        <v>132</v>
      </c>
      <c r="AM189" s="133">
        <f>AM119+AL119+AJ119+AI119</f>
        <v>158</v>
      </c>
      <c r="AN189" s="133">
        <f>AN119+AL119+AM119+AJ119</f>
        <v>203</v>
      </c>
      <c r="AO189" s="133">
        <f>AO119+AM119+AL119+AN119</f>
        <v>169</v>
      </c>
      <c r="AP189" s="319">
        <f>AP119</f>
        <v>169</v>
      </c>
      <c r="AQ189" s="133">
        <f>AQ119+AO119+AN119+AM119</f>
        <v>199.20000000000005</v>
      </c>
      <c r="AR189" s="133">
        <f>AR119+AQ119+AO119+AN119</f>
        <v>147.20000000000005</v>
      </c>
      <c r="AS189" s="133">
        <f>AS119+AQ119+AR119+AO119</f>
        <v>90.200000000000045</v>
      </c>
      <c r="AT189" s="133">
        <f>AT119+AR119+AQ119+AS119</f>
        <v>109.20000000000005</v>
      </c>
      <c r="AU189" s="319">
        <f>AU119</f>
        <v>109.19999999999982</v>
      </c>
      <c r="AV189" s="133">
        <f>AV119+AT119+AS119+AR119</f>
        <v>167.5</v>
      </c>
      <c r="AW189" s="133">
        <f>AW119+AV119+AT119+AS119</f>
        <v>224.5</v>
      </c>
      <c r="AX189" s="133">
        <f>AX119+AV119+AW119+AT119</f>
        <v>269.5</v>
      </c>
      <c r="AY189" s="133">
        <f>AY119+AW119+AV119+AX119</f>
        <v>284.5</v>
      </c>
      <c r="AZ189" s="319">
        <f>AZ119</f>
        <v>284.5</v>
      </c>
      <c r="BA189" s="133">
        <f>BA119+AY119+AX119+AW119</f>
        <v>251</v>
      </c>
      <c r="BB189" s="133">
        <f>BB119+BA119+AY119+AX119</f>
        <v>267</v>
      </c>
      <c r="BC189" s="133">
        <f>BC119+BA119+BB119+AY119</f>
        <v>339.79999999999995</v>
      </c>
      <c r="BD189" s="133">
        <f>BD119+BB119+BA119+BC119</f>
        <v>332.9</v>
      </c>
      <c r="BE189" s="300">
        <f>BE119</f>
        <v>332.89999999999964</v>
      </c>
      <c r="BF189" s="133">
        <f>BF119+BD119+BC119+BB119</f>
        <v>335.9</v>
      </c>
      <c r="BG189" s="133">
        <f>BG119+BF119+BD119+BC119</f>
        <v>327.9</v>
      </c>
      <c r="BH189" s="133">
        <f>BH119+BF119+BG119+BD119</f>
        <v>296.10000000000002</v>
      </c>
      <c r="BI189" s="133">
        <f>BI119+BG119+BF119+BH119</f>
        <v>322</v>
      </c>
      <c r="BJ189" s="300">
        <f>BJ119</f>
        <v>322</v>
      </c>
      <c r="BK189" s="133">
        <f>BK119+BI119+BH119+BG119</f>
        <v>366</v>
      </c>
      <c r="BL189" s="133">
        <f>BL119+BK119+BI119+BH119</f>
        <v>410</v>
      </c>
      <c r="BM189" s="133">
        <f>BM119+BK119+BL119+BI119</f>
        <v>415</v>
      </c>
      <c r="BN189" s="133">
        <f>BN119+BL119+BK119+BM119</f>
        <v>376</v>
      </c>
      <c r="BO189" s="300">
        <f>BO119</f>
        <v>376</v>
      </c>
      <c r="BP189" s="133">
        <f>BP119+BN119+BM119+BL119</f>
        <v>346</v>
      </c>
      <c r="BQ189" s="133">
        <f>BQ119+BP119+BN119+BM119</f>
        <v>318</v>
      </c>
      <c r="BR189" s="133">
        <f>BR119+BP119+BQ119+BN119</f>
        <v>357</v>
      </c>
      <c r="BS189" s="133">
        <f>BS119+BQ119+BP119+BR119</f>
        <v>428</v>
      </c>
      <c r="BT189" s="300">
        <f>BT119</f>
        <v>428</v>
      </c>
      <c r="BU189" s="133">
        <f>BU119+BS119+BR119+BQ119</f>
        <v>410</v>
      </c>
      <c r="BV189" s="133">
        <f>BV119+BU119+BS119+BR119</f>
        <v>449</v>
      </c>
      <c r="BW189" s="133">
        <f>BW119+BU119+BV119+BS119</f>
        <v>461</v>
      </c>
      <c r="BX189" s="133">
        <f>BX119+BV119+BU119+BW119</f>
        <v>515</v>
      </c>
      <c r="BY189" s="300">
        <f>BY119</f>
        <v>515</v>
      </c>
      <c r="BZ189" s="133">
        <f>BZ119+BX119+BW119+BV119</f>
        <v>727</v>
      </c>
      <c r="CA189" s="133">
        <f>CA119+BZ119+BX119+BW119</f>
        <v>868</v>
      </c>
      <c r="CB189" s="133">
        <f>CB119+BZ119+CA119+BX119</f>
        <v>1055</v>
      </c>
      <c r="CC189" s="133">
        <f>CC119+CA119+BZ119+CB119</f>
        <v>1216</v>
      </c>
      <c r="CD189" s="300">
        <f>CD119</f>
        <v>1216</v>
      </c>
      <c r="CE189" s="133">
        <f>CE119+CC119+CB119+CA119</f>
        <v>1312</v>
      </c>
      <c r="CF189" s="133">
        <f>CF119+CE119+CC119+CB119</f>
        <v>1343</v>
      </c>
      <c r="CG189" s="133">
        <f>CG119+CE119+CF119+CC119</f>
        <v>1346</v>
      </c>
      <c r="CH189" s="133">
        <f>CH119+CF119+CE119+CG119</f>
        <v>1312</v>
      </c>
      <c r="CI189" s="300">
        <f>CI119</f>
        <v>1312</v>
      </c>
      <c r="CJ189" s="133">
        <f>CJ119+CH119+CG119+CF119</f>
        <v>1110</v>
      </c>
      <c r="CK189" s="133">
        <f>CK119+CJ119+CH119+CG119</f>
        <v>1151</v>
      </c>
      <c r="CL189" s="133">
        <f>CL119+CJ119+CK119+CH119</f>
        <v>1107</v>
      </c>
      <c r="CM189" s="133">
        <f t="shared" ref="CM189:CR189" si="737">CM119+CK119+CJ119+CL119</f>
        <v>1000</v>
      </c>
      <c r="CN189" s="300">
        <f>CN119</f>
        <v>1000</v>
      </c>
      <c r="CO189" s="133">
        <f>CO119+CM119+CL119+CK119</f>
        <v>966.56050149170164</v>
      </c>
      <c r="CP189" s="133">
        <f>CP119+CL119+CM119+CO119</f>
        <v>805.25805751761959</v>
      </c>
      <c r="CQ189" s="133">
        <f>CQ119+CO119+CM119+CP119</f>
        <v>800.42044994832327</v>
      </c>
      <c r="CR189" s="133">
        <f t="shared" si="737"/>
        <v>852.77445740595044</v>
      </c>
      <c r="CS189" s="300">
        <f>CS119</f>
        <v>852.77445740595067</v>
      </c>
      <c r="CT189" s="133"/>
      <c r="CU189" s="133"/>
      <c r="CV189" s="133"/>
      <c r="CW189" s="133"/>
      <c r="CX189" s="300">
        <f>CX119</f>
        <v>997.73115621455509</v>
      </c>
      <c r="CY189" s="133"/>
      <c r="CZ189" s="133"/>
      <c r="DA189" s="133"/>
      <c r="DB189" s="133"/>
      <c r="DC189" s="300">
        <f>DC119</f>
        <v>1200.8437063136498</v>
      </c>
      <c r="DD189" s="136"/>
      <c r="DE189" s="131"/>
      <c r="DJ189" s="448"/>
      <c r="DK189" s="412"/>
      <c r="DL189" s="412"/>
      <c r="DM189" s="412"/>
      <c r="DN189" s="412"/>
      <c r="DO189" s="412"/>
      <c r="DP189" s="412"/>
      <c r="DQ189" s="412"/>
      <c r="DR189" s="509"/>
      <c r="DS189" s="136"/>
    </row>
    <row r="190" spans="1:129" hidden="1" x14ac:dyDescent="0.2">
      <c r="A190" s="132" t="s">
        <v>50</v>
      </c>
      <c r="B190" s="295"/>
      <c r="C190" s="129"/>
      <c r="D190" s="129"/>
      <c r="E190" s="129"/>
      <c r="F190" s="129"/>
      <c r="G190" s="295"/>
      <c r="H190" s="129"/>
      <c r="I190" s="129"/>
      <c r="J190" s="129"/>
      <c r="K190" s="129"/>
      <c r="L190" s="319">
        <f t="shared" ref="L190" si="738">+L188+L189</f>
        <v>36.793783800000057</v>
      </c>
      <c r="M190" s="133">
        <f t="shared" ref="M190" si="739">+M188+M189</f>
        <v>55.216112099999997</v>
      </c>
      <c r="N190" s="133">
        <f t="shared" ref="N190" si="740">+N188+N189</f>
        <v>75.347562499999981</v>
      </c>
      <c r="O190" s="133">
        <f t="shared" ref="O190" si="741">+O188+O189</f>
        <v>97.372511899999978</v>
      </c>
      <c r="P190" s="133">
        <f t="shared" ref="P190" si="742">+P188+P189</f>
        <v>131.91098639999998</v>
      </c>
      <c r="Q190" s="319">
        <f t="shared" ref="Q190" si="743">+Q188+Q189</f>
        <v>131.91098640000004</v>
      </c>
      <c r="R190" s="133">
        <f t="shared" ref="R190" si="744">+R188+R189</f>
        <v>148.59525319999995</v>
      </c>
      <c r="S190" s="133">
        <f t="shared" ref="S190" si="745">+S188+S189</f>
        <v>175.60783039999993</v>
      </c>
      <c r="T190" s="133">
        <f t="shared" ref="T190" si="746">+T188+T189</f>
        <v>213.75597839999989</v>
      </c>
      <c r="U190" s="133">
        <f t="shared" ref="U190" si="747">+U188+U189</f>
        <v>222.62999999999994</v>
      </c>
      <c r="V190" s="319">
        <f t="shared" ref="V190" si="748">+V188+V189</f>
        <v>222.63000000000005</v>
      </c>
      <c r="W190" s="133">
        <f t="shared" ref="W190" si="749">+W188+W189</f>
        <v>226.83499999999992</v>
      </c>
      <c r="X190" s="133">
        <f t="shared" ref="X190" si="750">+X188+X189</f>
        <v>228.94899999999996</v>
      </c>
      <c r="Y190" s="133">
        <f t="shared" ref="Y190" si="751">+Y188+Y189</f>
        <v>203.94799999999992</v>
      </c>
      <c r="Z190" s="133">
        <f t="shared" ref="Z190" si="752">+Z188+Z189</f>
        <v>187.98299999999986</v>
      </c>
      <c r="AA190" s="319">
        <f t="shared" ref="AA190" si="753">+AA188+AA189</f>
        <v>187.98299999999978</v>
      </c>
      <c r="AB190" s="133">
        <f t="shared" ref="AB190" si="754">+AB188+AB189</f>
        <v>188.98799999999997</v>
      </c>
      <c r="AC190" s="133">
        <f t="shared" ref="AC190" si="755">+AC188+AC189</f>
        <v>193.51900000000001</v>
      </c>
      <c r="AD190" s="133">
        <f t="shared" ref="AD190" si="756">+AD188+AD189</f>
        <v>194.34100000000007</v>
      </c>
      <c r="AE190" s="133">
        <f t="shared" ref="AE190" si="757">+AE188+AE189</f>
        <v>175.99500000000018</v>
      </c>
      <c r="AF190" s="319">
        <f t="shared" ref="AF190" si="758">+AF188+AF189</f>
        <v>175.99500000000012</v>
      </c>
      <c r="AG190" s="133">
        <f t="shared" ref="AG190" si="759">+AG188+AG189</f>
        <v>135.41000000000011</v>
      </c>
      <c r="AH190" s="133">
        <f t="shared" ref="AH190" si="760">+AH188+AH189</f>
        <v>152.35000000000005</v>
      </c>
      <c r="AI190" s="133">
        <f t="shared" ref="AI190" si="761">+AI188+AI189</f>
        <v>181.99300000000005</v>
      </c>
      <c r="AJ190" s="133">
        <f t="shared" ref="AJ190" si="762">+AJ188+AJ189</f>
        <v>271.39999999999998</v>
      </c>
      <c r="AK190" s="319">
        <f t="shared" ref="AK190" si="763">+AK188+AK189</f>
        <v>271.40000000000009</v>
      </c>
      <c r="AL190" s="133">
        <f t="shared" ref="AL190" si="764">+AL188+AL189</f>
        <v>291</v>
      </c>
      <c r="AM190" s="133">
        <f t="shared" ref="AM190" si="765">+AM188+AM189</f>
        <v>323</v>
      </c>
      <c r="AN190" s="133">
        <f t="shared" ref="AN190" si="766">+AN188+AN189</f>
        <v>373</v>
      </c>
      <c r="AO190" s="133">
        <f t="shared" ref="AO190" si="767">+AO188+AO189</f>
        <v>345</v>
      </c>
      <c r="AP190" s="319">
        <f t="shared" ref="AP190" si="768">+AP188+AP189</f>
        <v>345</v>
      </c>
      <c r="AQ190" s="133">
        <f t="shared" ref="AQ190" si="769">+AQ188+AQ189</f>
        <v>378.20000000000005</v>
      </c>
      <c r="AR190" s="133">
        <f t="shared" ref="AR190" si="770">+AR188+AR189</f>
        <v>329.20000000000005</v>
      </c>
      <c r="AS190" s="133">
        <f t="shared" ref="AS190" si="771">+AS188+AS189</f>
        <v>282.20000000000005</v>
      </c>
      <c r="AT190" s="133">
        <f t="shared" ref="AT190" si="772">+AT188+AT189</f>
        <v>314.20000000000005</v>
      </c>
      <c r="AU190" s="319">
        <f t="shared" ref="AU190:CR190" si="773">+AU188+AU189</f>
        <v>314.19999999999982</v>
      </c>
      <c r="AV190" s="133">
        <f t="shared" si="773"/>
        <v>382.5</v>
      </c>
      <c r="AW190" s="133">
        <f t="shared" si="773"/>
        <v>449.5</v>
      </c>
      <c r="AX190" s="133">
        <f t="shared" si="773"/>
        <v>499.5</v>
      </c>
      <c r="AY190" s="133">
        <f t="shared" si="773"/>
        <v>512.5</v>
      </c>
      <c r="AZ190" s="319">
        <f t="shared" si="773"/>
        <v>512.5</v>
      </c>
      <c r="BA190" s="133">
        <f t="shared" si="773"/>
        <v>481</v>
      </c>
      <c r="BB190" s="133">
        <f t="shared" si="773"/>
        <v>495</v>
      </c>
      <c r="BC190" s="133">
        <f t="shared" si="773"/>
        <v>562.79999999999995</v>
      </c>
      <c r="BD190" s="133">
        <f t="shared" si="773"/>
        <v>552.9</v>
      </c>
      <c r="BE190" s="300">
        <f t="shared" si="773"/>
        <v>552.89999999999964</v>
      </c>
      <c r="BF190" s="133">
        <f t="shared" si="773"/>
        <v>554.9</v>
      </c>
      <c r="BG190" s="133">
        <f t="shared" si="773"/>
        <v>550.9</v>
      </c>
      <c r="BH190" s="133">
        <f t="shared" si="773"/>
        <v>522.1</v>
      </c>
      <c r="BI190" s="133">
        <f t="shared" si="773"/>
        <v>555</v>
      </c>
      <c r="BJ190" s="300">
        <f t="shared" si="773"/>
        <v>555</v>
      </c>
      <c r="BK190" s="133">
        <f t="shared" si="773"/>
        <v>604</v>
      </c>
      <c r="BL190" s="133">
        <f t="shared" si="773"/>
        <v>653</v>
      </c>
      <c r="BM190" s="133">
        <f t="shared" si="773"/>
        <v>667</v>
      </c>
      <c r="BN190" s="133">
        <f t="shared" si="773"/>
        <v>634</v>
      </c>
      <c r="BO190" s="300">
        <f t="shared" si="773"/>
        <v>634</v>
      </c>
      <c r="BP190" s="133">
        <f t="shared" si="773"/>
        <v>611</v>
      </c>
      <c r="BQ190" s="133">
        <f t="shared" si="773"/>
        <v>591</v>
      </c>
      <c r="BR190" s="133">
        <f t="shared" si="773"/>
        <v>637</v>
      </c>
      <c r="BS190" s="133">
        <f t="shared" si="773"/>
        <v>718</v>
      </c>
      <c r="BT190" s="300">
        <f t="shared" si="773"/>
        <v>718</v>
      </c>
      <c r="BU190" s="133">
        <f t="shared" si="773"/>
        <v>710</v>
      </c>
      <c r="BV190" s="133">
        <f t="shared" si="773"/>
        <v>755</v>
      </c>
      <c r="BW190" s="133">
        <f t="shared" si="773"/>
        <v>773</v>
      </c>
      <c r="BX190" s="133">
        <f t="shared" si="773"/>
        <v>835</v>
      </c>
      <c r="BY190" s="300">
        <f t="shared" si="773"/>
        <v>835</v>
      </c>
      <c r="BZ190" s="133">
        <f t="shared" si="773"/>
        <v>1056</v>
      </c>
      <c r="CA190" s="133">
        <f t="shared" si="773"/>
        <v>1201</v>
      </c>
      <c r="CB190" s="133">
        <f t="shared" si="773"/>
        <v>1393</v>
      </c>
      <c r="CC190" s="133">
        <f t="shared" si="773"/>
        <v>1561</v>
      </c>
      <c r="CD190" s="300">
        <f t="shared" si="773"/>
        <v>1561</v>
      </c>
      <c r="CE190" s="133">
        <f t="shared" si="773"/>
        <v>1661</v>
      </c>
      <c r="CF190" s="133">
        <f t="shared" si="773"/>
        <v>1707</v>
      </c>
      <c r="CG190" s="133">
        <f t="shared" si="773"/>
        <v>1728</v>
      </c>
      <c r="CH190" s="133">
        <f t="shared" si="773"/>
        <v>1704</v>
      </c>
      <c r="CI190" s="300">
        <f t="shared" si="773"/>
        <v>1704</v>
      </c>
      <c r="CJ190" s="133">
        <f t="shared" si="773"/>
        <v>1516</v>
      </c>
      <c r="CK190" s="133">
        <f t="shared" si="773"/>
        <v>1570</v>
      </c>
      <c r="CL190" s="133">
        <f t="shared" si="773"/>
        <v>1538</v>
      </c>
      <c r="CM190" s="133">
        <f t="shared" si="773"/>
        <v>1447</v>
      </c>
      <c r="CN190" s="300">
        <f t="shared" si="773"/>
        <v>1447</v>
      </c>
      <c r="CO190" s="133">
        <f t="shared" si="773"/>
        <v>1423.5355014917018</v>
      </c>
      <c r="CP190" s="133">
        <f t="shared" si="773"/>
        <v>1270.4080575176195</v>
      </c>
      <c r="CQ190" s="133">
        <f t="shared" si="773"/>
        <v>1272.9804499483232</v>
      </c>
      <c r="CR190" s="133">
        <f t="shared" si="773"/>
        <v>1333.6644574059505</v>
      </c>
      <c r="CS190" s="300">
        <f>+CS188+CS189</f>
        <v>1333.6644574059505</v>
      </c>
      <c r="CT190" s="133"/>
      <c r="CU190" s="133"/>
      <c r="CV190" s="133"/>
      <c r="CW190" s="133"/>
      <c r="CX190" s="300">
        <f>+CX188+CX189</f>
        <v>1509.8790062145549</v>
      </c>
      <c r="CY190" s="133"/>
      <c r="CZ190" s="133"/>
      <c r="DA190" s="133"/>
      <c r="DB190" s="133"/>
      <c r="DC190" s="300">
        <f>+DC188+DC189</f>
        <v>1753.9633843136498</v>
      </c>
      <c r="DD190" s="136"/>
      <c r="DE190" s="131"/>
      <c r="DJ190" s="448"/>
      <c r="DK190" s="412"/>
      <c r="DL190" s="412"/>
      <c r="DM190" s="412"/>
      <c r="DN190" s="412"/>
      <c r="DO190" s="412"/>
      <c r="DP190" s="412"/>
      <c r="DQ190" s="412"/>
      <c r="DR190" s="509"/>
      <c r="DS190" s="136"/>
    </row>
    <row r="191" spans="1:129" hidden="1" x14ac:dyDescent="0.2">
      <c r="A191" s="132" t="s">
        <v>51</v>
      </c>
      <c r="B191" s="295"/>
      <c r="C191" s="129"/>
      <c r="D191" s="129"/>
      <c r="E191" s="129"/>
      <c r="F191" s="129"/>
      <c r="G191" s="295"/>
      <c r="H191" s="129"/>
      <c r="I191" s="129"/>
      <c r="J191" s="129"/>
      <c r="K191" s="129"/>
      <c r="L191" s="319">
        <f>L120</f>
        <v>69.720783800000063</v>
      </c>
      <c r="M191" s="133">
        <f>M120+K120+J120+I120</f>
        <v>92.024112099999996</v>
      </c>
      <c r="N191" s="133">
        <f>N120+M120+K120+J120</f>
        <v>114.32656249999999</v>
      </c>
      <c r="O191" s="133">
        <f>O120+M120+N120+K120</f>
        <v>137.1025119</v>
      </c>
      <c r="P191" s="133">
        <f>P120+N120+M120+O120</f>
        <v>172.75598639999998</v>
      </c>
      <c r="Q191" s="319">
        <f>Q120</f>
        <v>172.75598640000004</v>
      </c>
      <c r="R191" s="133">
        <f>R120+P120+O120+N120</f>
        <v>193.02825319999997</v>
      </c>
      <c r="S191" s="133">
        <f>S120+R120+P120+O120</f>
        <v>224.64983039999993</v>
      </c>
      <c r="T191" s="133">
        <f>T120+R120+S120+P120</f>
        <v>268.40997839999989</v>
      </c>
      <c r="U191" s="133">
        <f>U120+S120+R120+T120</f>
        <v>282.59299999999996</v>
      </c>
      <c r="V191" s="319">
        <f>V120</f>
        <v>282.59300000000007</v>
      </c>
      <c r="W191" s="133">
        <f>W120+U120+T120+S120</f>
        <v>290.97399999999993</v>
      </c>
      <c r="X191" s="133">
        <f>X120+W120+U120+T120</f>
        <v>295.92099999999994</v>
      </c>
      <c r="Y191" s="133">
        <f>Y120+W120+X120+U120</f>
        <v>272.79999999999995</v>
      </c>
      <c r="Z191" s="133">
        <f>Z120+X120+W120+Y120</f>
        <v>258.19899999999984</v>
      </c>
      <c r="AA191" s="319">
        <f>AA120</f>
        <v>258.19899999999978</v>
      </c>
      <c r="AB191" s="133">
        <f>AB120+Z120+Y120+X120</f>
        <v>259.76199999999994</v>
      </c>
      <c r="AC191" s="133">
        <f>AC120+AB120+Z120+Y120</f>
        <v>264.62900000000002</v>
      </c>
      <c r="AD191" s="133">
        <f>AD120+AB120+AC120+Z120</f>
        <v>266.16300000000001</v>
      </c>
      <c r="AE191" s="133">
        <f>AE120+AC120+AB120+AD120</f>
        <v>250.23100000000017</v>
      </c>
      <c r="AF191" s="319">
        <f>AF120</f>
        <v>250.23100000000011</v>
      </c>
      <c r="AG191" s="133">
        <f>AG120+AE120+AD120+AC120</f>
        <v>213.83300000000011</v>
      </c>
      <c r="AH191" s="133">
        <f>AH120+AG120+AE120+AD120</f>
        <v>237.69700000000006</v>
      </c>
      <c r="AI191" s="133">
        <f>AI120+AG120+AH120+AE120</f>
        <v>276.07500000000005</v>
      </c>
      <c r="AJ191" s="133">
        <f>AJ120+AH120+AG120+AI120</f>
        <v>374.4</v>
      </c>
      <c r="AK191" s="319">
        <f>AK120</f>
        <v>374.40000000000009</v>
      </c>
      <c r="AL191" s="133">
        <f>AL120+AJ120+AI120+AH120</f>
        <v>402</v>
      </c>
      <c r="AM191" s="133">
        <f>AM120+AL120+AJ120+AI120</f>
        <v>439</v>
      </c>
      <c r="AN191" s="133">
        <f>AN120+AL120+AM120+AJ120</f>
        <v>494</v>
      </c>
      <c r="AO191" s="133">
        <f>AO120+AM120+AL120+AN120</f>
        <v>469</v>
      </c>
      <c r="AP191" s="319">
        <f>AP120</f>
        <v>469</v>
      </c>
      <c r="AQ191" s="133">
        <f>AQ120+AO120+AN120+AM120</f>
        <v>504.20000000000005</v>
      </c>
      <c r="AR191" s="133">
        <f>AR120+AQ120+AO120+AN120</f>
        <v>457.20000000000005</v>
      </c>
      <c r="AS191" s="133">
        <f>AS120+AQ120+AR120+AO120</f>
        <v>411.20000000000005</v>
      </c>
      <c r="AT191" s="133">
        <f>AT120+AR120+AQ120+AS120</f>
        <v>443.20000000000005</v>
      </c>
      <c r="AU191" s="319">
        <f>AU120</f>
        <v>443.19999999999982</v>
      </c>
      <c r="AV191" s="133">
        <f>AV120+AT120+AS120+AR120</f>
        <v>511.5</v>
      </c>
      <c r="AW191" s="133">
        <f>AW120+AV120+AT120+AS120</f>
        <v>578.5</v>
      </c>
      <c r="AX191" s="133">
        <f>AX120+AV120+AW120+AT120</f>
        <v>626.5</v>
      </c>
      <c r="AY191" s="133">
        <f>AY120+AW120+AV120+AX120</f>
        <v>638.5</v>
      </c>
      <c r="AZ191" s="319">
        <f>AZ120</f>
        <v>638.5</v>
      </c>
      <c r="BA191" s="133">
        <f>BA120+AY120+AX120+AW120</f>
        <v>606</v>
      </c>
      <c r="BB191" s="133">
        <f>BB120+BA120+AY120+AX120</f>
        <v>619</v>
      </c>
      <c r="BC191" s="133">
        <f>BC120+BA120+BB120+AY120</f>
        <v>686.8</v>
      </c>
      <c r="BD191" s="133">
        <f>BD120+BB120+BA120+BC120</f>
        <v>678.9</v>
      </c>
      <c r="BE191" s="300">
        <f>BE120</f>
        <v>678.89999999999964</v>
      </c>
      <c r="BF191" s="133">
        <f>BF120+BD120+BC120+BB120</f>
        <v>683.9</v>
      </c>
      <c r="BG191" s="133">
        <f>BG120+BF120+BD120+BC120</f>
        <v>684.9</v>
      </c>
      <c r="BH191" s="133">
        <f>BH120+BF120+BG120+BD120</f>
        <v>657.1</v>
      </c>
      <c r="BI191" s="133">
        <f>BI120+BG120+BF120+BH120</f>
        <v>690</v>
      </c>
      <c r="BJ191" s="300">
        <f>BJ120</f>
        <v>690</v>
      </c>
      <c r="BK191" s="133">
        <f>BK120+BI120+BH120+BG120</f>
        <v>738</v>
      </c>
      <c r="BL191" s="133">
        <f>BL120+BK120+BI120+BH120</f>
        <v>784</v>
      </c>
      <c r="BM191" s="133">
        <f>BM120+BK120+BL120+BI120</f>
        <v>798</v>
      </c>
      <c r="BN191" s="133">
        <f>BN120+BL120+BK120+BM120</f>
        <v>764</v>
      </c>
      <c r="BO191" s="300">
        <f>BO120</f>
        <v>764</v>
      </c>
      <c r="BP191" s="133">
        <f>BP120+BN120+BM120+BL120</f>
        <v>740</v>
      </c>
      <c r="BQ191" s="133">
        <f>BQ120+BP120+BN120+BM120</f>
        <v>720</v>
      </c>
      <c r="BR191" s="133">
        <f>BR120+BP120+BQ120+BN120</f>
        <v>766</v>
      </c>
      <c r="BS191" s="133">
        <f>BS120+BQ120+BP120+BR120</f>
        <v>846</v>
      </c>
      <c r="BT191" s="300">
        <f>BT120</f>
        <v>846</v>
      </c>
      <c r="BU191" s="133">
        <f>BU120+BS120+BR120+BQ120</f>
        <v>837</v>
      </c>
      <c r="BV191" s="133">
        <f>BV120+BU120+BS120+BR120</f>
        <v>880</v>
      </c>
      <c r="BW191" s="133">
        <f>BW120+BU120+BV120+BS120</f>
        <v>897</v>
      </c>
      <c r="BX191" s="133">
        <f>BX120+BV120+BU120+BW120</f>
        <v>959</v>
      </c>
      <c r="BY191" s="300">
        <f>BY120</f>
        <v>959</v>
      </c>
      <c r="BZ191" s="133">
        <f>BZ120+BX120+BW120+BV120</f>
        <v>1180</v>
      </c>
      <c r="CA191" s="133">
        <f>CA120+BZ120+BX120+BW120</f>
        <v>1325</v>
      </c>
      <c r="CB191" s="133">
        <f>CB120+BZ120+CA120+BX120</f>
        <v>1516</v>
      </c>
      <c r="CC191" s="133">
        <f>CC120+CA120+BZ120+CB120</f>
        <v>1683</v>
      </c>
      <c r="CD191" s="300">
        <f>CD120</f>
        <v>1683</v>
      </c>
      <c r="CE191" s="133">
        <f>CE120+CC120+CB120+CA120</f>
        <v>1780</v>
      </c>
      <c r="CF191" s="133">
        <f>CF120+CE120+CC120+CB120</f>
        <v>1823</v>
      </c>
      <c r="CG191" s="133">
        <f>CG120+CE120+CF120+CC120</f>
        <v>1842</v>
      </c>
      <c r="CH191" s="133">
        <f>CH120+CF120+CE120+CG120</f>
        <v>1815</v>
      </c>
      <c r="CI191" s="300">
        <f>CI120</f>
        <v>1815</v>
      </c>
      <c r="CJ191" s="133">
        <f>CJ120+CH120+CG120+CF120</f>
        <v>1625</v>
      </c>
      <c r="CK191" s="133">
        <f>CK120+CJ120+CH120+CG120</f>
        <v>1675</v>
      </c>
      <c r="CL191" s="133">
        <f>CL120+CJ120+CK120+CH120</f>
        <v>1641</v>
      </c>
      <c r="CM191" s="133">
        <f t="shared" ref="CM191:CR191" si="774">CM120+CK120+CJ120+CL120</f>
        <v>1548</v>
      </c>
      <c r="CN191" s="300">
        <f>CN120</f>
        <v>1548</v>
      </c>
      <c r="CO191" s="133">
        <f>CO120+CM120+CL120+CK120</f>
        <v>1522.5362892378723</v>
      </c>
      <c r="CP191" s="133">
        <f>CP120+CL120+CM120+CO120</f>
        <v>1369.1952815488874</v>
      </c>
      <c r="CQ191" s="133">
        <f>CQ120+CO120+CM120+CP120</f>
        <v>1369.2818744060305</v>
      </c>
      <c r="CR191" s="133">
        <f t="shared" si="774"/>
        <v>1427.7116445755221</v>
      </c>
      <c r="CS191" s="300">
        <f>CS120</f>
        <v>1427.7116445755221</v>
      </c>
      <c r="CT191" s="133"/>
      <c r="CU191" s="133"/>
      <c r="CV191" s="133"/>
      <c r="CW191" s="133"/>
      <c r="CX191" s="300">
        <f>CX120</f>
        <v>1599.5457797908548</v>
      </c>
      <c r="CY191" s="133"/>
      <c r="CZ191" s="133"/>
      <c r="DA191" s="133"/>
      <c r="DB191" s="133"/>
      <c r="DC191" s="300">
        <f>DC120</f>
        <v>1842.3375358867113</v>
      </c>
      <c r="DD191" s="136"/>
      <c r="DE191" s="131"/>
      <c r="DJ191" s="448"/>
      <c r="DK191" s="412"/>
      <c r="DL191" s="412"/>
      <c r="DM191" s="412"/>
      <c r="DN191" s="412"/>
      <c r="DO191" s="412"/>
      <c r="DP191" s="412"/>
      <c r="DQ191" s="412"/>
      <c r="DR191" s="509"/>
      <c r="DS191" s="136"/>
    </row>
    <row r="192" spans="1:129" hidden="1" x14ac:dyDescent="0.2">
      <c r="A192" s="132" t="s">
        <v>52</v>
      </c>
      <c r="B192" s="295"/>
      <c r="C192" s="129"/>
      <c r="D192" s="129"/>
      <c r="E192" s="129"/>
      <c r="F192" s="129"/>
      <c r="G192" s="295"/>
      <c r="H192" s="129"/>
      <c r="I192" s="129"/>
      <c r="J192" s="129"/>
      <c r="K192" s="129"/>
      <c r="L192" s="319">
        <f t="shared" ref="L192:BT192" si="775">L191+L187</f>
        <v>69.720783800000063</v>
      </c>
      <c r="M192" s="133">
        <f t="shared" si="775"/>
        <v>92.024112099999996</v>
      </c>
      <c r="N192" s="133">
        <f t="shared" si="775"/>
        <v>114.32656249999999</v>
      </c>
      <c r="O192" s="133">
        <f t="shared" si="775"/>
        <v>137.1025119</v>
      </c>
      <c r="P192" s="133">
        <f t="shared" si="775"/>
        <v>172.75598639999998</v>
      </c>
      <c r="Q192" s="319">
        <f t="shared" si="775"/>
        <v>172.75598640000004</v>
      </c>
      <c r="R192" s="133">
        <f t="shared" si="775"/>
        <v>193.02825319999997</v>
      </c>
      <c r="S192" s="133">
        <f t="shared" si="775"/>
        <v>224.64983039999993</v>
      </c>
      <c r="T192" s="133">
        <f t="shared" si="775"/>
        <v>268.40997839999989</v>
      </c>
      <c r="U192" s="133">
        <f t="shared" si="775"/>
        <v>282.59299999999996</v>
      </c>
      <c r="V192" s="319">
        <f t="shared" si="775"/>
        <v>282.59300000000007</v>
      </c>
      <c r="W192" s="133">
        <f t="shared" si="775"/>
        <v>290.97399999999993</v>
      </c>
      <c r="X192" s="133">
        <f t="shared" si="775"/>
        <v>295.92099999999994</v>
      </c>
      <c r="Y192" s="133">
        <f t="shared" si="775"/>
        <v>272.79999999999995</v>
      </c>
      <c r="Z192" s="133">
        <f t="shared" si="775"/>
        <v>258.19899999999984</v>
      </c>
      <c r="AA192" s="319">
        <f t="shared" si="775"/>
        <v>258.19899999999978</v>
      </c>
      <c r="AB192" s="133">
        <f t="shared" si="775"/>
        <v>259.76199999999994</v>
      </c>
      <c r="AC192" s="133">
        <f t="shared" si="775"/>
        <v>264.62900000000002</v>
      </c>
      <c r="AD192" s="133">
        <f t="shared" si="775"/>
        <v>266.16300000000001</v>
      </c>
      <c r="AE192" s="133">
        <f t="shared" si="775"/>
        <v>250.23100000000017</v>
      </c>
      <c r="AF192" s="319">
        <f t="shared" si="775"/>
        <v>250.23100000000011</v>
      </c>
      <c r="AG192" s="133">
        <f t="shared" si="775"/>
        <v>213.83300000000011</v>
      </c>
      <c r="AH192" s="133">
        <f t="shared" si="775"/>
        <v>237.69700000000006</v>
      </c>
      <c r="AI192" s="133">
        <f t="shared" si="775"/>
        <v>276.07500000000005</v>
      </c>
      <c r="AJ192" s="133">
        <f t="shared" si="775"/>
        <v>374.4</v>
      </c>
      <c r="AK192" s="319">
        <f t="shared" si="775"/>
        <v>374.40000000000009</v>
      </c>
      <c r="AL192" s="133">
        <f t="shared" si="775"/>
        <v>402</v>
      </c>
      <c r="AM192" s="133">
        <f t="shared" si="775"/>
        <v>439</v>
      </c>
      <c r="AN192" s="133">
        <f t="shared" si="775"/>
        <v>494</v>
      </c>
      <c r="AO192" s="133">
        <f t="shared" si="775"/>
        <v>469</v>
      </c>
      <c r="AP192" s="319">
        <f t="shared" si="775"/>
        <v>469</v>
      </c>
      <c r="AQ192" s="133">
        <f t="shared" si="775"/>
        <v>504.20000000000005</v>
      </c>
      <c r="AR192" s="133">
        <f t="shared" si="775"/>
        <v>457.20000000000005</v>
      </c>
      <c r="AS192" s="133">
        <f t="shared" si="775"/>
        <v>411.20000000000005</v>
      </c>
      <c r="AT192" s="133">
        <f t="shared" si="775"/>
        <v>443.20000000000005</v>
      </c>
      <c r="AU192" s="319">
        <f t="shared" si="775"/>
        <v>443.19999999999982</v>
      </c>
      <c r="AV192" s="133">
        <f t="shared" si="775"/>
        <v>511.5</v>
      </c>
      <c r="AW192" s="133">
        <f t="shared" si="775"/>
        <v>578.5</v>
      </c>
      <c r="AX192" s="133">
        <f t="shared" si="775"/>
        <v>626.5</v>
      </c>
      <c r="AY192" s="133">
        <f t="shared" si="775"/>
        <v>638.5</v>
      </c>
      <c r="AZ192" s="319">
        <f t="shared" si="775"/>
        <v>638.5</v>
      </c>
      <c r="BA192" s="133">
        <f>BA191+BA187</f>
        <v>606</v>
      </c>
      <c r="BB192" s="133">
        <f>BB191+BB187</f>
        <v>619</v>
      </c>
      <c r="BC192" s="133">
        <f>BC191+BC187</f>
        <v>686.8</v>
      </c>
      <c r="BD192" s="133">
        <f>BD191+BD187</f>
        <v>678.9</v>
      </c>
      <c r="BE192" s="300">
        <f t="shared" si="775"/>
        <v>678.89999999999964</v>
      </c>
      <c r="BF192" s="133">
        <f t="shared" ref="BF192:BO192" si="776">BF191+BF187</f>
        <v>683.9</v>
      </c>
      <c r="BG192" s="133">
        <f t="shared" si="776"/>
        <v>684.9</v>
      </c>
      <c r="BH192" s="133">
        <f t="shared" si="776"/>
        <v>657.1</v>
      </c>
      <c r="BI192" s="133">
        <f t="shared" si="776"/>
        <v>690</v>
      </c>
      <c r="BJ192" s="300">
        <f t="shared" si="776"/>
        <v>690</v>
      </c>
      <c r="BK192" s="133">
        <f t="shared" si="776"/>
        <v>738</v>
      </c>
      <c r="BL192" s="133">
        <f t="shared" si="776"/>
        <v>784</v>
      </c>
      <c r="BM192" s="133">
        <f t="shared" si="776"/>
        <v>798</v>
      </c>
      <c r="BN192" s="133">
        <f t="shared" si="776"/>
        <v>764</v>
      </c>
      <c r="BO192" s="300">
        <f t="shared" si="776"/>
        <v>764</v>
      </c>
      <c r="BP192" s="133">
        <f>BP191+BP187</f>
        <v>740</v>
      </c>
      <c r="BQ192" s="133">
        <f>BQ191+BQ187</f>
        <v>720</v>
      </c>
      <c r="BR192" s="133">
        <f>BR191+BR187</f>
        <v>766</v>
      </c>
      <c r="BS192" s="133">
        <f>BS191+BS187</f>
        <v>846</v>
      </c>
      <c r="BT192" s="300">
        <f t="shared" si="775"/>
        <v>846</v>
      </c>
      <c r="BU192" s="133">
        <f t="shared" ref="BU192:CD192" si="777">BU191+BU187</f>
        <v>837</v>
      </c>
      <c r="BV192" s="133">
        <f t="shared" si="777"/>
        <v>880</v>
      </c>
      <c r="BW192" s="133">
        <f t="shared" si="777"/>
        <v>897</v>
      </c>
      <c r="BX192" s="133">
        <f t="shared" si="777"/>
        <v>959</v>
      </c>
      <c r="BY192" s="300">
        <f t="shared" si="777"/>
        <v>959</v>
      </c>
      <c r="BZ192" s="133">
        <f t="shared" si="777"/>
        <v>1180</v>
      </c>
      <c r="CA192" s="133">
        <f t="shared" si="777"/>
        <v>1325</v>
      </c>
      <c r="CB192" s="133">
        <f t="shared" si="777"/>
        <v>1516</v>
      </c>
      <c r="CC192" s="133">
        <f t="shared" si="777"/>
        <v>1683</v>
      </c>
      <c r="CD192" s="300">
        <f t="shared" si="777"/>
        <v>1683</v>
      </c>
      <c r="CE192" s="133">
        <f t="shared" ref="CE192:CM192" si="778">CE191+CE187</f>
        <v>1780</v>
      </c>
      <c r="CF192" s="133">
        <f t="shared" si="778"/>
        <v>1823</v>
      </c>
      <c r="CG192" s="133">
        <f t="shared" si="778"/>
        <v>1842</v>
      </c>
      <c r="CH192" s="133">
        <f t="shared" si="778"/>
        <v>1815</v>
      </c>
      <c r="CI192" s="300">
        <f t="shared" si="778"/>
        <v>1815</v>
      </c>
      <c r="CJ192" s="133">
        <f t="shared" si="778"/>
        <v>1625</v>
      </c>
      <c r="CK192" s="133">
        <f t="shared" si="778"/>
        <v>1675</v>
      </c>
      <c r="CL192" s="133">
        <f t="shared" si="778"/>
        <v>1641</v>
      </c>
      <c r="CM192" s="133">
        <f t="shared" si="778"/>
        <v>1548</v>
      </c>
      <c r="CN192" s="300">
        <f>CN191+CN187</f>
        <v>1548</v>
      </c>
      <c r="CO192" s="133">
        <f t="shared" ref="CO192:CR192" si="779">CO191+CO187</f>
        <v>1522.5362892378723</v>
      </c>
      <c r="CP192" s="133">
        <f t="shared" si="779"/>
        <v>1369.1952815488874</v>
      </c>
      <c r="CQ192" s="133">
        <f t="shared" si="779"/>
        <v>1369.2818744060305</v>
      </c>
      <c r="CR192" s="133">
        <f t="shared" si="779"/>
        <v>1427.7116445755221</v>
      </c>
      <c r="CS192" s="300">
        <f>CS191+CS187</f>
        <v>1427.7116445755221</v>
      </c>
      <c r="CT192" s="133"/>
      <c r="CU192" s="133"/>
      <c r="CV192" s="133"/>
      <c r="CW192" s="133"/>
      <c r="CX192" s="300">
        <f>CX191+CX187</f>
        <v>1599.5457797908548</v>
      </c>
      <c r="CY192" s="133"/>
      <c r="CZ192" s="133"/>
      <c r="DA192" s="133"/>
      <c r="DB192" s="133"/>
      <c r="DC192" s="300">
        <f>DC191+DC187</f>
        <v>1842.3375358867113</v>
      </c>
      <c r="DD192" s="136"/>
      <c r="DE192" s="131"/>
      <c r="DJ192" s="448"/>
      <c r="DK192" s="412"/>
      <c r="DL192" s="412"/>
      <c r="DM192" s="412"/>
      <c r="DN192" s="412"/>
      <c r="DO192" s="412"/>
      <c r="DP192" s="412"/>
      <c r="DQ192" s="412"/>
      <c r="DR192" s="509"/>
      <c r="DS192" s="136"/>
    </row>
    <row r="193" spans="1:129" hidden="1" x14ac:dyDescent="0.2">
      <c r="A193" s="132" t="s">
        <v>53</v>
      </c>
      <c r="B193" s="295"/>
      <c r="C193" s="129"/>
      <c r="D193" s="129"/>
      <c r="E193" s="129"/>
      <c r="F193" s="129"/>
      <c r="G193" s="295"/>
      <c r="H193" s="129"/>
      <c r="I193" s="129"/>
      <c r="J193" s="129"/>
      <c r="K193" s="129"/>
      <c r="L193" s="319">
        <f>L136</f>
        <v>14.132</v>
      </c>
      <c r="M193" s="133">
        <f>M136+K136+J136+I136</f>
        <v>14.691999999999998</v>
      </c>
      <c r="N193" s="133">
        <f>N136+M136+K136+J136</f>
        <v>16.041</v>
      </c>
      <c r="O193" s="133">
        <f>O136+M136+N136+K136</f>
        <v>18.614000000000001</v>
      </c>
      <c r="P193" s="133">
        <f>P136+N136+M136+O136</f>
        <v>21.009</v>
      </c>
      <c r="Q193" s="319">
        <f>Q136</f>
        <v>21.009</v>
      </c>
      <c r="R193" s="133">
        <f>R136+P136+O136+N136</f>
        <v>23.015999999999998</v>
      </c>
      <c r="S193" s="133">
        <f>S136+R136+P136+O136</f>
        <v>24.314</v>
      </c>
      <c r="T193" s="133">
        <f>T136+R136+S136+P136</f>
        <v>26.433</v>
      </c>
      <c r="U193" s="133">
        <f>U136+S136+R136+T136</f>
        <v>28.896999999999998</v>
      </c>
      <c r="V193" s="319">
        <f>V136</f>
        <v>28.896999999999998</v>
      </c>
      <c r="W193" s="133">
        <f>W136+U136+T136+S136</f>
        <v>32.524000000000001</v>
      </c>
      <c r="X193" s="133">
        <f>X136+W136+U136+T136</f>
        <v>39.020000000000003</v>
      </c>
      <c r="Y193" s="133">
        <f>Y136+W136+X136+U136</f>
        <v>45.335000000000001</v>
      </c>
      <c r="Z193" s="133">
        <f>Z136+X136+W136+Y136</f>
        <v>53.477999999999994</v>
      </c>
      <c r="AA193" s="319">
        <f>AA136</f>
        <v>53.478000000000002</v>
      </c>
      <c r="AB193" s="133">
        <f>AB136+Z136+Y136+X136</f>
        <v>64.315000000000012</v>
      </c>
      <c r="AC193" s="133">
        <f>AC136+AB136+Z136+Y136</f>
        <v>76.796000000000006</v>
      </c>
      <c r="AD193" s="133">
        <f>AD136+AB136+AC136+Z136</f>
        <v>90.985000000000014</v>
      </c>
      <c r="AE193" s="133">
        <f>AE136+AC136+AB136+AD136</f>
        <v>106.145</v>
      </c>
      <c r="AF193" s="319">
        <f>AF136</f>
        <v>106.14500000000001</v>
      </c>
      <c r="AG193" s="133">
        <f>AG136+AE136+AD136+AC136</f>
        <v>122.48700000000001</v>
      </c>
      <c r="AH193" s="133">
        <f>AH136+AG136+AE136+AD136</f>
        <v>139.48699999999999</v>
      </c>
      <c r="AI193" s="133">
        <f>AI136+AG136+AH136+AE136</f>
        <v>156.126</v>
      </c>
      <c r="AJ193" s="133">
        <f>AJ136+AH136+AG136+AI136</f>
        <v>173</v>
      </c>
      <c r="AK193" s="319">
        <f>AK136</f>
        <v>173</v>
      </c>
      <c r="AL193" s="133">
        <f>AL136+AJ136+AI136+AH136</f>
        <v>188</v>
      </c>
      <c r="AM193" s="133">
        <f>AM136+AL136+AJ136+AI136</f>
        <v>202</v>
      </c>
      <c r="AN193" s="133">
        <f>AN136+AL136+AM136+AJ136</f>
        <v>215</v>
      </c>
      <c r="AO193" s="133">
        <f>AO136+AM136+AL136+AN136</f>
        <v>225</v>
      </c>
      <c r="AP193" s="319">
        <f>AP136</f>
        <v>225</v>
      </c>
      <c r="AQ193" s="133">
        <f>AQ136+AO136+AN136+AM136</f>
        <v>229</v>
      </c>
      <c r="AR193" s="133">
        <f>AR136+AQ136+AO136+AN136</f>
        <v>226</v>
      </c>
      <c r="AS193" s="133">
        <f>AS136+AQ136+AR136+AO136</f>
        <v>232</v>
      </c>
      <c r="AT193" s="133">
        <f>AT136+AR136+AQ136+AS136</f>
        <v>232</v>
      </c>
      <c r="AU193" s="319">
        <f>AU136</f>
        <v>232</v>
      </c>
      <c r="AV193" s="133">
        <f>AV136+AT136+AS136+AR136</f>
        <v>225.1</v>
      </c>
      <c r="AW193" s="133">
        <f>AW136+AV136+AT136+AS136</f>
        <v>221</v>
      </c>
      <c r="AX193" s="133">
        <f>AX136+AV136+AW136+AT136</f>
        <v>207</v>
      </c>
      <c r="AY193" s="133">
        <f>AY136+AW136+AV136+AX136</f>
        <v>197</v>
      </c>
      <c r="AZ193" s="319">
        <f>AZ136</f>
        <v>197</v>
      </c>
      <c r="BA193" s="133">
        <f>BA136+AY136+AX136+AW136</f>
        <v>194.9</v>
      </c>
      <c r="BB193" s="133">
        <f>BB136+BA136+AY136+AX136</f>
        <v>189</v>
      </c>
      <c r="BC193" s="133">
        <f>BC136+BA136+BB136+AY136</f>
        <v>184</v>
      </c>
      <c r="BD193" s="133">
        <f>BD136+BB136+BA136+BC136</f>
        <v>181</v>
      </c>
      <c r="BE193" s="300">
        <f>BE136</f>
        <v>181</v>
      </c>
      <c r="BF193" s="133">
        <f>BF136+BD136+BC136+BB136</f>
        <v>178</v>
      </c>
      <c r="BG193" s="133">
        <f>BG136+BF136+BD136+BC136</f>
        <v>179</v>
      </c>
      <c r="BH193" s="133">
        <f>BH136+BF136+BG136+BD136</f>
        <v>179</v>
      </c>
      <c r="BI193" s="133">
        <f>BI136+BG136+BF136+BH136</f>
        <v>179</v>
      </c>
      <c r="BJ193" s="300">
        <f>BJ136</f>
        <v>179</v>
      </c>
      <c r="BK193" s="133">
        <f>BK136+BI136+BH136+BG136</f>
        <v>180</v>
      </c>
      <c r="BL193" s="133">
        <f>BL136+BK136+BI136+BH136</f>
        <v>180</v>
      </c>
      <c r="BM193" s="133">
        <f>BM136+BK136+BL136+BI136</f>
        <v>179</v>
      </c>
      <c r="BN193" s="133">
        <f>BN136+BL136+BK136+BM136</f>
        <v>176</v>
      </c>
      <c r="BO193" s="300">
        <f>BO136</f>
        <v>176</v>
      </c>
      <c r="BP193" s="133">
        <f>BP136+BN136+BM136+BL136</f>
        <v>172</v>
      </c>
      <c r="BQ193" s="133">
        <f>BQ136+BP136+BN136+BM136</f>
        <v>170</v>
      </c>
      <c r="BR193" s="133">
        <f>BR136+BP136+BQ136+BN136</f>
        <v>166</v>
      </c>
      <c r="BS193" s="133">
        <f>BS136+BQ136+BP136+BR136</f>
        <v>161</v>
      </c>
      <c r="BT193" s="300">
        <f>BT136</f>
        <v>161</v>
      </c>
      <c r="BU193" s="133">
        <f>BU136+BS136+BR136+BQ136</f>
        <v>157</v>
      </c>
      <c r="BV193" s="133">
        <f>BV136+BU136+BS136+BR136</f>
        <v>154</v>
      </c>
      <c r="BW193" s="133">
        <f>BW136+BU136+BV136+BS136</f>
        <v>151</v>
      </c>
      <c r="BX193" s="133">
        <f>BX136+BV136+BU136+BW136</f>
        <v>148</v>
      </c>
      <c r="BY193" s="300">
        <f>BY136</f>
        <v>148</v>
      </c>
      <c r="BZ193" s="133">
        <f>BZ136+BX136+BW136+BV136</f>
        <v>145</v>
      </c>
      <c r="CA193" s="133">
        <f>CA136+BZ136+BX136+BW136</f>
        <v>138</v>
      </c>
      <c r="CB193" s="133">
        <f>CB136+BZ136+CA136+BX136</f>
        <v>133</v>
      </c>
      <c r="CC193" s="133">
        <f>CC136+CA136+BZ136+CB136</f>
        <v>128</v>
      </c>
      <c r="CD193" s="300">
        <f>CD136</f>
        <v>128</v>
      </c>
      <c r="CE193" s="133">
        <f>CE136+CC136+CB136+CA136</f>
        <v>123</v>
      </c>
      <c r="CF193" s="133">
        <f>CF136+CE136+CC136+CB136</f>
        <v>119</v>
      </c>
      <c r="CG193" s="133">
        <f>CG136+CE136+CF136+CC136</f>
        <v>115</v>
      </c>
      <c r="CH193" s="133">
        <f>CH136+CF136+CE136+CG136</f>
        <v>111</v>
      </c>
      <c r="CI193" s="300">
        <f>CI136</f>
        <v>111</v>
      </c>
      <c r="CJ193" s="133">
        <f>CJ136+CH136+CG136+CF136</f>
        <v>107</v>
      </c>
      <c r="CK193" s="133">
        <f>CK136+CJ136+CH136+CG136</f>
        <v>103</v>
      </c>
      <c r="CL193" s="133">
        <f>CL136+CJ136+CK136+CH136</f>
        <v>98</v>
      </c>
      <c r="CM193" s="133">
        <f t="shared" ref="CM193:CR194" si="780">CM136+CK136+CJ136+CL136</f>
        <v>94</v>
      </c>
      <c r="CN193" s="300">
        <f>CN136</f>
        <v>94</v>
      </c>
      <c r="CO193" s="133">
        <f>CO136+CM136+CL136+CK136</f>
        <v>93</v>
      </c>
      <c r="CP193" s="133">
        <f>CP136+CL136+CM136+CO136</f>
        <v>95</v>
      </c>
      <c r="CQ193" s="133">
        <f>CQ136+CO136+CM136+CP136</f>
        <v>98</v>
      </c>
      <c r="CR193" s="133">
        <f t="shared" si="780"/>
        <v>102</v>
      </c>
      <c r="CS193" s="300">
        <f>CS136</f>
        <v>102</v>
      </c>
      <c r="CT193" s="133"/>
      <c r="CU193" s="133"/>
      <c r="CV193" s="133"/>
      <c r="CW193" s="133"/>
      <c r="CX193" s="300">
        <f>CX136</f>
        <v>97</v>
      </c>
      <c r="CY193" s="133"/>
      <c r="CZ193" s="133"/>
      <c r="DA193" s="133"/>
      <c r="DB193" s="133"/>
      <c r="DC193" s="300">
        <f>DC136</f>
        <v>96</v>
      </c>
      <c r="DD193" s="136"/>
      <c r="DE193" s="131"/>
      <c r="DJ193" s="448"/>
      <c r="DK193" s="412"/>
      <c r="DL193" s="412"/>
      <c r="DM193" s="412"/>
      <c r="DN193" s="412"/>
      <c r="DO193" s="412"/>
      <c r="DP193" s="412"/>
      <c r="DQ193" s="412"/>
      <c r="DR193" s="509"/>
      <c r="DS193" s="136"/>
    </row>
    <row r="194" spans="1:129" hidden="1" x14ac:dyDescent="0.2">
      <c r="A194" s="132" t="s">
        <v>54</v>
      </c>
      <c r="B194" s="295"/>
      <c r="C194" s="129"/>
      <c r="D194" s="129"/>
      <c r="E194" s="129"/>
      <c r="F194" s="129"/>
      <c r="G194" s="295"/>
      <c r="H194" s="129"/>
      <c r="I194" s="129"/>
      <c r="J194" s="129"/>
      <c r="K194" s="129"/>
      <c r="L194" s="319">
        <f>L137</f>
        <v>6.0889999999999986</v>
      </c>
      <c r="M194" s="133">
        <f>M137+K137+J137+I137</f>
        <v>7.4150000000000009</v>
      </c>
      <c r="N194" s="133">
        <f>N137+M137+K137+J137</f>
        <v>9.7489999999999988</v>
      </c>
      <c r="O194" s="133">
        <f>O137+M137+N137+K137</f>
        <v>12.943999999999999</v>
      </c>
      <c r="P194" s="133">
        <f>P137+N137+M137+O137</f>
        <v>15.684000000000001</v>
      </c>
      <c r="Q194" s="319">
        <f>Q137</f>
        <v>15.684000000000001</v>
      </c>
      <c r="R194" s="133">
        <f>R137+P137+O137+N137</f>
        <v>17.966999999999999</v>
      </c>
      <c r="S194" s="133">
        <f>S137+R137+P137+O137</f>
        <v>19.478999999999999</v>
      </c>
      <c r="T194" s="133">
        <f>T137+R137+S137+P137</f>
        <v>21.608000000000001</v>
      </c>
      <c r="U194" s="133">
        <f>U137+S137+R137+T137</f>
        <v>23.693999999999996</v>
      </c>
      <c r="V194" s="319">
        <f>V137</f>
        <v>23.693999999999999</v>
      </c>
      <c r="W194" s="133">
        <f>W137+U137+T137+S137</f>
        <v>26.765999999999998</v>
      </c>
      <c r="X194" s="133">
        <f>X137+W137+U137+T137</f>
        <v>32.673000000000002</v>
      </c>
      <c r="Y194" s="133">
        <f>Y137+W137+X137+U137</f>
        <v>37.915999999999997</v>
      </c>
      <c r="Z194" s="133">
        <f>Z137+X137+W137+Y137</f>
        <v>44.603999999999999</v>
      </c>
      <c r="AA194" s="319">
        <f>AA137</f>
        <v>44.603999999999999</v>
      </c>
      <c r="AB194" s="133">
        <f>AB137+Z137+Y137+X137</f>
        <v>53.219000000000008</v>
      </c>
      <c r="AC194" s="133">
        <f>AC137+AB137+Z137+Y137</f>
        <v>63.51</v>
      </c>
      <c r="AD194" s="133">
        <f>AD137+AB137+AC137+Z137</f>
        <v>76.320999999999998</v>
      </c>
      <c r="AE194" s="133">
        <f>AE137+AC137+AB137+AD137</f>
        <v>90.105999999999995</v>
      </c>
      <c r="AF194" s="319">
        <f>AF137</f>
        <v>90.106000000000009</v>
      </c>
      <c r="AG194" s="133">
        <f>AG137+AE137+AD137+AC137</f>
        <v>105.246</v>
      </c>
      <c r="AH194" s="133">
        <f>AH137+AG137+AE137+AD137</f>
        <v>119.246</v>
      </c>
      <c r="AI194" s="133">
        <f>AI137+AG137+AH137+AE137</f>
        <v>132.74</v>
      </c>
      <c r="AJ194" s="133">
        <f>AJ137+AH137+AG137+AI137</f>
        <v>146</v>
      </c>
      <c r="AK194" s="319">
        <f>AK137</f>
        <v>146</v>
      </c>
      <c r="AL194" s="133">
        <f>AL137+AJ137+AI137+AH137</f>
        <v>158</v>
      </c>
      <c r="AM194" s="133">
        <f>AM137+AL137+AJ137+AI137</f>
        <v>168</v>
      </c>
      <c r="AN194" s="133">
        <f>AN137+AL137+AM137+AJ137</f>
        <v>177</v>
      </c>
      <c r="AO194" s="133">
        <f>AO137+AM137+AL137+AN137</f>
        <v>182</v>
      </c>
      <c r="AP194" s="319">
        <f>AP137</f>
        <v>182</v>
      </c>
      <c r="AQ194" s="133">
        <f>AQ137+AO137+AN137+AM137</f>
        <v>180</v>
      </c>
      <c r="AR194" s="133">
        <f>AR137+AQ137+AO137+AN137</f>
        <v>174</v>
      </c>
      <c r="AS194" s="133">
        <f>AS137+AQ137+AR137+AO137</f>
        <v>176</v>
      </c>
      <c r="AT194" s="133">
        <f>AT137+AR137+AQ137+AS137</f>
        <v>184</v>
      </c>
      <c r="AU194" s="319">
        <f>AU137</f>
        <v>184</v>
      </c>
      <c r="AV194" s="133">
        <f>AV137+AT137+AS137+AR137</f>
        <v>189.1</v>
      </c>
      <c r="AW194" s="133">
        <f>AW137+AV137+AT137+AS137</f>
        <v>196.9</v>
      </c>
      <c r="AX194" s="133">
        <f>AX137+AV137+AW137+AT137</f>
        <v>195.89999999999998</v>
      </c>
      <c r="AY194" s="133">
        <f>AY137+AW137+AV137+AX137</f>
        <v>189.9</v>
      </c>
      <c r="AZ194" s="319">
        <f>AZ137</f>
        <v>189.9</v>
      </c>
      <c r="BA194" s="133">
        <f>BA137+AY137+AX137+AW137</f>
        <v>188.8</v>
      </c>
      <c r="BB194" s="133">
        <f>BB137+BA137+AY137+AX137</f>
        <v>184</v>
      </c>
      <c r="BC194" s="133">
        <f>BC137+BA137+BB137+AY137</f>
        <v>180</v>
      </c>
      <c r="BD194" s="133">
        <f>BD137+BB137+BA137+BC137</f>
        <v>177</v>
      </c>
      <c r="BE194" s="300">
        <f>BE137</f>
        <v>177</v>
      </c>
      <c r="BF194" s="133">
        <f>BF137+BD137+BC137+BB137</f>
        <v>174</v>
      </c>
      <c r="BG194" s="133">
        <f>BG137+BF137+BD137+BC137</f>
        <v>175</v>
      </c>
      <c r="BH194" s="133">
        <f>BH137+BF137+BG137+BD137</f>
        <v>175</v>
      </c>
      <c r="BI194" s="133">
        <f>BI137+BG137+BF137+BH137</f>
        <v>174</v>
      </c>
      <c r="BJ194" s="300">
        <f>BJ137</f>
        <v>174</v>
      </c>
      <c r="BK194" s="133">
        <f>BK137+BI137+BH137+BG137</f>
        <v>174</v>
      </c>
      <c r="BL194" s="133">
        <f>BL137+BK137+BI137+BH137</f>
        <v>173</v>
      </c>
      <c r="BM194" s="133">
        <f>BM137+BK137+BL137+BI137</f>
        <v>171</v>
      </c>
      <c r="BN194" s="133">
        <f>BN137+BL137+BK137+BM137</f>
        <v>168</v>
      </c>
      <c r="BO194" s="300">
        <f>BO137</f>
        <v>168</v>
      </c>
      <c r="BP194" s="133">
        <f>BP137+BN137+BM137+BL137</f>
        <v>163</v>
      </c>
      <c r="BQ194" s="133">
        <f>BQ137+BP137+BN137+BM137</f>
        <v>159</v>
      </c>
      <c r="BR194" s="133">
        <f>BR137+BP137+BQ137+BN137</f>
        <v>153</v>
      </c>
      <c r="BS194" s="133">
        <f>BS137+BQ137+BP137+BR137</f>
        <v>148</v>
      </c>
      <c r="BT194" s="300">
        <f>BT137</f>
        <v>148</v>
      </c>
      <c r="BU194" s="133">
        <f>BU137+BS137+BR137+BQ137</f>
        <v>144</v>
      </c>
      <c r="BV194" s="133">
        <f>BV137+BU137+BS137+BR137</f>
        <v>141</v>
      </c>
      <c r="BW194" s="133">
        <f>BW137+BU137+BV137+BS137</f>
        <v>138</v>
      </c>
      <c r="BX194" s="133">
        <f>BX137+BV137+BU137+BW137</f>
        <v>134</v>
      </c>
      <c r="BY194" s="300">
        <f>BY137</f>
        <v>134</v>
      </c>
      <c r="BZ194" s="133">
        <f>BZ137+BX137+BW137+BV137</f>
        <v>132</v>
      </c>
      <c r="CA194" s="133">
        <f>CA137+BZ137+BX137+BW137</f>
        <v>127</v>
      </c>
      <c r="CB194" s="133">
        <f>CB137+BZ137+CA137+BX137</f>
        <v>124</v>
      </c>
      <c r="CC194" s="133">
        <f>CC137+CA137+BZ137+CB137</f>
        <v>120</v>
      </c>
      <c r="CD194" s="300">
        <f>CD137</f>
        <v>120</v>
      </c>
      <c r="CE194" s="133">
        <f>CE137+CC137+CB137+CA137</f>
        <v>115</v>
      </c>
      <c r="CF194" s="133">
        <f>CF137+CE137+CC137+CB137</f>
        <v>111</v>
      </c>
      <c r="CG194" s="133">
        <f>CG137+CE137+CF137+CC137</f>
        <v>107</v>
      </c>
      <c r="CH194" s="133">
        <f>CH137+CF137+CE137+CG137</f>
        <v>103</v>
      </c>
      <c r="CI194" s="300">
        <f>CI137</f>
        <v>103</v>
      </c>
      <c r="CJ194" s="133">
        <f>CJ137+CH137+CG137+CF137</f>
        <v>99</v>
      </c>
      <c r="CK194" s="133">
        <f>CK137+CJ137+CH137+CG137</f>
        <v>95</v>
      </c>
      <c r="CL194" s="133">
        <f>CL137+CJ137+CK137+CH137</f>
        <v>89</v>
      </c>
      <c r="CM194" s="133">
        <f t="shared" si="780"/>
        <v>85</v>
      </c>
      <c r="CN194" s="300">
        <f>CN137</f>
        <v>85</v>
      </c>
      <c r="CO194" s="133">
        <f>CO137+CM137+CL137+CK137</f>
        <v>84</v>
      </c>
      <c r="CP194" s="133">
        <f>CP137+CL137+CM137+CO137</f>
        <v>86</v>
      </c>
      <c r="CQ194" s="133">
        <f>CQ137+CO137+CM137+CP137</f>
        <v>90</v>
      </c>
      <c r="CR194" s="133">
        <f t="shared" si="780"/>
        <v>94</v>
      </c>
      <c r="CS194" s="300">
        <f>CS137</f>
        <v>94</v>
      </c>
      <c r="CT194" s="133"/>
      <c r="CU194" s="133"/>
      <c r="CV194" s="133"/>
      <c r="CW194" s="133"/>
      <c r="CX194" s="300">
        <f>CX137</f>
        <v>89</v>
      </c>
      <c r="CY194" s="133"/>
      <c r="CZ194" s="133"/>
      <c r="DA194" s="133"/>
      <c r="DB194" s="133"/>
      <c r="DC194" s="300">
        <f>DC137</f>
        <v>88</v>
      </c>
      <c r="DD194" s="136"/>
      <c r="DE194" s="131"/>
      <c r="DJ194" s="448"/>
      <c r="DK194" s="412"/>
      <c r="DL194" s="412"/>
      <c r="DM194" s="412"/>
      <c r="DN194" s="412"/>
      <c r="DO194" s="412"/>
      <c r="DP194" s="412"/>
      <c r="DQ194" s="412"/>
      <c r="DR194" s="509"/>
      <c r="DS194" s="136"/>
    </row>
    <row r="195" spans="1:129" hidden="1" x14ac:dyDescent="0.2">
      <c r="A195" s="132" t="s">
        <v>55</v>
      </c>
      <c r="B195" s="295"/>
      <c r="C195" s="129"/>
      <c r="D195" s="129"/>
      <c r="E195" s="129"/>
      <c r="F195" s="129"/>
      <c r="G195" s="295"/>
      <c r="H195" s="129"/>
      <c r="I195" s="129"/>
      <c r="J195" s="129"/>
      <c r="K195" s="129"/>
      <c r="L195" s="319">
        <f>L143</f>
        <v>41.488783800000057</v>
      </c>
      <c r="M195" s="133">
        <f>M143+K143+J143+I143</f>
        <v>57.03011209999999</v>
      </c>
      <c r="N195" s="133">
        <f>N143+M143+K143+J143</f>
        <v>71.451562499999994</v>
      </c>
      <c r="O195" s="133">
        <f>O143+M143+N143+K143</f>
        <v>81.4425119</v>
      </c>
      <c r="P195" s="133">
        <f>P143+N143+M143+O143</f>
        <v>95.025986399999979</v>
      </c>
      <c r="Q195" s="319">
        <f>Q143</f>
        <v>95.02598640000005</v>
      </c>
      <c r="R195" s="133">
        <f>R143+P143+O143+N143</f>
        <v>102.78725319999995</v>
      </c>
      <c r="S195" s="133">
        <f>S143+R143+P143+O143</f>
        <v>123.84283039999994</v>
      </c>
      <c r="T195" s="133">
        <f>T143+R143+S143+P143</f>
        <v>152.7709783999999</v>
      </c>
      <c r="U195" s="133">
        <f>U143+S143+R143+T143</f>
        <v>156.07799999999995</v>
      </c>
      <c r="V195" s="319">
        <f>V143</f>
        <v>156.07800000000006</v>
      </c>
      <c r="W195" s="133">
        <f>W143+U143+T143+S143</f>
        <v>151.78999999999991</v>
      </c>
      <c r="X195" s="133">
        <f>X143+W143+U143+T143</f>
        <v>142.21399999999994</v>
      </c>
      <c r="Y195" s="133">
        <f>Y143+W143+X143+U143</f>
        <v>106.60699999999994</v>
      </c>
      <c r="Z195" s="133">
        <f>Z143+X143+W143+Y143</f>
        <v>75.321999999999875</v>
      </c>
      <c r="AA195" s="319">
        <f>AA143</f>
        <v>75.321999999999761</v>
      </c>
      <c r="AB195" s="133">
        <f>AB143+Z143+Y143+X143</f>
        <v>61.363999999999976</v>
      </c>
      <c r="AC195" s="133">
        <f>AC143+AB143+Z143+Y143</f>
        <v>48.910000000000011</v>
      </c>
      <c r="AD195" s="133">
        <f>AD143+AB143+AC143+Z143</f>
        <v>31.403000000000056</v>
      </c>
      <c r="AE195" s="133">
        <f>AE143+AC143+AB143+AD143</f>
        <v>-9.9779999999998292</v>
      </c>
      <c r="AF195" s="319">
        <f>AF143</f>
        <v>-9.977999999999895</v>
      </c>
      <c r="AG195" s="133">
        <f>AG143+AE143+AD143+AC143</f>
        <v>-68.383999999999901</v>
      </c>
      <c r="AH195" s="133">
        <f>AH143+AG143+AE143+AD143</f>
        <v>-67.443999999999946</v>
      </c>
      <c r="AI195" s="133">
        <f>AI143+AG143+AH143+AE143</f>
        <v>-69.746999999999957</v>
      </c>
      <c r="AJ195" s="133">
        <f>AJ143+AH143+AG143+AI143</f>
        <v>1.3999999999999773</v>
      </c>
      <c r="AK195" s="319">
        <f>AK143</f>
        <v>1.4000000000000909</v>
      </c>
      <c r="AL195" s="133">
        <f>AL143+AJ143+AI143+AH143</f>
        <v>3</v>
      </c>
      <c r="AM195" s="133">
        <f>AM143+AL143+AJ143+AI143</f>
        <v>21</v>
      </c>
      <c r="AN195" s="133">
        <f>AN143+AL143+AM143+AJ143</f>
        <v>73</v>
      </c>
      <c r="AO195" s="133">
        <f>AO143+AM143+AL143+AN143</f>
        <v>41</v>
      </c>
      <c r="AP195" s="319">
        <f>AP143</f>
        <v>41</v>
      </c>
      <c r="AQ195" s="133">
        <f>AQ143+AO143+AN143+AM143</f>
        <v>73.200000000000045</v>
      </c>
      <c r="AR195" s="133">
        <f>AR143+AQ143+AO143+AN143</f>
        <v>20.200000000000045</v>
      </c>
      <c r="AS195" s="133">
        <f>AS143+AQ143+AR143+AO143</f>
        <v>-29.799999999999955</v>
      </c>
      <c r="AT195" s="133">
        <f>AT143+AR143+AQ143+AS143</f>
        <v>-22.799999999999955</v>
      </c>
      <c r="AU195" s="319">
        <f>AU143</f>
        <v>-22.800000000000182</v>
      </c>
      <c r="AV195" s="133">
        <f>AV143+AT143+AS143+AR143</f>
        <v>20.399999999999999</v>
      </c>
      <c r="AW195" s="133">
        <f>AW143+AV143+AT143+AS143</f>
        <v>62.599999999999994</v>
      </c>
      <c r="AX195" s="133">
        <f>AX143+AV143+AW143+AT143</f>
        <v>87.6</v>
      </c>
      <c r="AY195" s="133">
        <f>AY143+AW143+AV143+AX143</f>
        <v>103.6</v>
      </c>
      <c r="AZ195" s="319">
        <f>AZ143</f>
        <v>103.6</v>
      </c>
      <c r="BA195" s="133">
        <f>BA143+AY143+AX143+AW143</f>
        <v>71.2</v>
      </c>
      <c r="BB195" s="133">
        <f>BB143+BA143+AY143+AX143</f>
        <v>90</v>
      </c>
      <c r="BC195" s="133">
        <f>BC143+BA143+BB143+AY143</f>
        <v>165.79999999999995</v>
      </c>
      <c r="BD195" s="133">
        <f>BD143+BB143+BA143+BC143</f>
        <v>160.89999999999998</v>
      </c>
      <c r="BE195" s="300">
        <f>BE143</f>
        <v>160.89999999999964</v>
      </c>
      <c r="BF195" s="133">
        <f>BF143+BD143+BC143+BB143</f>
        <v>168.89999999999998</v>
      </c>
      <c r="BG195" s="133">
        <f>BG143+BF143+BD143+BC143</f>
        <v>160.89999999999998</v>
      </c>
      <c r="BH195" s="133">
        <f>BH143+BF143+BG143+BD143</f>
        <v>125.10000000000002</v>
      </c>
      <c r="BI195" s="133">
        <f>BI143+BG143+BF143+BH143</f>
        <v>150</v>
      </c>
      <c r="BJ195" s="300">
        <f>BJ143</f>
        <v>150</v>
      </c>
      <c r="BK195" s="133">
        <f>BK143+BI143+BH143+BG143</f>
        <v>193</v>
      </c>
      <c r="BL195" s="133">
        <f>BL143+BK143+BI143+BH143</f>
        <v>236</v>
      </c>
      <c r="BM195" s="133">
        <f>BM143+BK143+BL143+BI143</f>
        <v>248</v>
      </c>
      <c r="BN195" s="133">
        <f>BN143+BL143+BK143+BM143</f>
        <v>209</v>
      </c>
      <c r="BO195" s="300">
        <f>BO143</f>
        <v>209</v>
      </c>
      <c r="BP195" s="133">
        <f>BP143+BN143+BM143+BL143</f>
        <v>183</v>
      </c>
      <c r="BQ195" s="133">
        <f>BQ143+BP143+BN143+BM143</f>
        <v>157</v>
      </c>
      <c r="BR195" s="133">
        <f>BR143+BP143+BQ143+BN143</f>
        <v>203</v>
      </c>
      <c r="BS195" s="133">
        <f>BS143+BQ143+BP143+BR143</f>
        <v>279</v>
      </c>
      <c r="BT195" s="300">
        <f>BT143</f>
        <v>279</v>
      </c>
      <c r="BU195" s="133">
        <f>BU143+BS143+BR143+BQ143</f>
        <v>262</v>
      </c>
      <c r="BV195" s="133">
        <f>BV143+BU143+BS143+BR143</f>
        <v>305</v>
      </c>
      <c r="BW195" s="133">
        <f>BW143+BU143+BV143+BS143</f>
        <v>318</v>
      </c>
      <c r="BX195" s="133">
        <f>BX143+BV143+BU143+BW143</f>
        <v>381</v>
      </c>
      <c r="BY195" s="300">
        <f>BY143</f>
        <v>381</v>
      </c>
      <c r="BZ195" s="133">
        <f>BZ143+BX143+BW143+BV143</f>
        <v>597</v>
      </c>
      <c r="CA195" s="133">
        <f>CA143+BZ143+BX143+BW143</f>
        <v>744</v>
      </c>
      <c r="CB195" s="133">
        <f>CB143+BZ143+CA143+BX143</f>
        <v>934</v>
      </c>
      <c r="CC195" s="133">
        <f>CC143+CA143+BZ143+CB143</f>
        <v>1097</v>
      </c>
      <c r="CD195" s="300">
        <f>CD143</f>
        <v>1097</v>
      </c>
      <c r="CE195" s="133">
        <f>CE143+CC143+CB143+CA143</f>
        <v>1198</v>
      </c>
      <c r="CF195" s="133">
        <f>CF143+CE143+CC143+CB143</f>
        <v>1237</v>
      </c>
      <c r="CG195" s="133">
        <f>CG143+CE143+CF143+CC143</f>
        <v>1245</v>
      </c>
      <c r="CH195" s="133">
        <f>CH143+CF143+CE143+CG143</f>
        <v>1216</v>
      </c>
      <c r="CI195" s="300">
        <f>CI143</f>
        <v>1216</v>
      </c>
      <c r="CJ195" s="133">
        <f>CJ143+CH143+CG143+CF143</f>
        <v>1019</v>
      </c>
      <c r="CK195" s="133">
        <f>CK143+CJ143+CH143+CG143</f>
        <v>1062</v>
      </c>
      <c r="CL195" s="133">
        <f>CL143+CJ143+CK143+CH143</f>
        <v>1025</v>
      </c>
      <c r="CM195" s="133">
        <f t="shared" ref="CM195:CR195" si="781">CM143+CK143+CJ143+CL143</f>
        <v>921</v>
      </c>
      <c r="CN195" s="300">
        <f>CN143</f>
        <v>921</v>
      </c>
      <c r="CO195" s="133">
        <f>CO143+CM143+CL143+CK143</f>
        <v>887.56050149170164</v>
      </c>
      <c r="CP195" s="133">
        <f>CP143+CL143+CM143+CO143</f>
        <v>725.25805751761959</v>
      </c>
      <c r="CQ195" s="133">
        <f>CQ143+CO143+CM143+CP143</f>
        <v>714.42044994832327</v>
      </c>
      <c r="CR195" s="133">
        <f t="shared" si="781"/>
        <v>762.77445740595044</v>
      </c>
      <c r="CS195" s="300">
        <f>CS143</f>
        <v>762.77445740595067</v>
      </c>
      <c r="CT195" s="133"/>
      <c r="CU195" s="133"/>
      <c r="CV195" s="133"/>
      <c r="CW195" s="133"/>
      <c r="CX195" s="300">
        <f>CX143</f>
        <v>912.73115621455509</v>
      </c>
      <c r="CY195" s="133"/>
      <c r="CZ195" s="133"/>
      <c r="DA195" s="133"/>
      <c r="DB195" s="133"/>
      <c r="DC195" s="300">
        <f>DC143</f>
        <v>1116.8437063136498</v>
      </c>
      <c r="DD195" s="136"/>
      <c r="DE195" s="131"/>
      <c r="DJ195" s="448"/>
      <c r="DK195" s="412"/>
      <c r="DL195" s="412"/>
      <c r="DM195" s="412"/>
      <c r="DN195" s="412"/>
      <c r="DO195" s="412"/>
      <c r="DP195" s="412"/>
      <c r="DQ195" s="412"/>
      <c r="DR195" s="509"/>
      <c r="DS195" s="136"/>
    </row>
    <row r="196" spans="1:129" hidden="1" x14ac:dyDescent="0.2">
      <c r="A196" s="132" t="s">
        <v>56</v>
      </c>
      <c r="B196" s="295"/>
      <c r="C196" s="129"/>
      <c r="D196" s="129"/>
      <c r="E196" s="129"/>
      <c r="F196" s="129"/>
      <c r="G196" s="295"/>
      <c r="H196" s="129"/>
      <c r="I196" s="129"/>
      <c r="J196" s="129"/>
      <c r="K196" s="129"/>
      <c r="L196" s="319">
        <f>L147</f>
        <v>38.110783800000057</v>
      </c>
      <c r="M196" s="133">
        <f>M147+K147+J147+I147</f>
        <v>44.366112099999988</v>
      </c>
      <c r="N196" s="133">
        <f>N147+M147+K147+J147</f>
        <v>48.339562499999985</v>
      </c>
      <c r="O196" s="133">
        <f>O147+M147+N147+K147</f>
        <v>49.991549135999996</v>
      </c>
      <c r="P196" s="133">
        <f>P147+N147+M147+O147</f>
        <v>54.904023635999977</v>
      </c>
      <c r="Q196" s="319">
        <f>Q147</f>
        <v>54.904023636000048</v>
      </c>
      <c r="R196" s="133">
        <f>R147+P147+O147+N147</f>
        <v>59.257290435999963</v>
      </c>
      <c r="S196" s="133">
        <f>S147+R147+P147+O147</f>
        <v>71.403067635999946</v>
      </c>
      <c r="T196" s="133">
        <f>T147+R147+S147+P147</f>
        <v>88.296178399999917</v>
      </c>
      <c r="U196" s="133">
        <f>U147+S147+R147+T147</f>
        <v>92.673199999999966</v>
      </c>
      <c r="V196" s="319">
        <f>V147</f>
        <v>92.673200000000065</v>
      </c>
      <c r="W196" s="133">
        <f>W147+U147+T147+S147</f>
        <v>90.508199999999917</v>
      </c>
      <c r="X196" s="133">
        <f>X147+W147+U147+T147</f>
        <v>85.233999999999952</v>
      </c>
      <c r="Y196" s="133">
        <f>Y147+W147+X147+U147</f>
        <v>64.613999999999947</v>
      </c>
      <c r="Z196" s="133">
        <f>Z147+X147+W147+Y147</f>
        <v>45.966999999999871</v>
      </c>
      <c r="AA196" s="319">
        <f>AA147</f>
        <v>45.966999999999757</v>
      </c>
      <c r="AB196" s="133">
        <f>AB147+Z147+Y147+X147</f>
        <v>37.740999999999971</v>
      </c>
      <c r="AC196" s="133">
        <f>AC147+AB147+Z147+Y147</f>
        <v>29.343000000000007</v>
      </c>
      <c r="AD196" s="133">
        <f>AD147+AB147+AC147+Z147</f>
        <v>23.606000000000051</v>
      </c>
      <c r="AE196" s="133">
        <f>AE147+AC147+AB147+AD147</f>
        <v>-9.2869999999999067</v>
      </c>
      <c r="AF196" s="319">
        <f>AF147</f>
        <v>-9.2869999999999759</v>
      </c>
      <c r="AG196" s="133">
        <f>AG147+AE147+AD147+AC147</f>
        <v>-47.853999999999964</v>
      </c>
      <c r="AH196" s="133">
        <f>AH147+AG147+AE147+AD147</f>
        <v>-46.914000000000023</v>
      </c>
      <c r="AI196" s="133">
        <f>AI147+AG147+AH147+AE147</f>
        <v>-54.40000000000002</v>
      </c>
      <c r="AJ196" s="133">
        <f>AJ147+AH147+AG147+AI147</f>
        <v>-6.4000000000000226</v>
      </c>
      <c r="AK196" s="319">
        <f>AK147</f>
        <v>-6.3999999999999089</v>
      </c>
      <c r="AL196" s="133">
        <f>AL147+AJ147+AI147+AH147</f>
        <v>3.1999999999999993</v>
      </c>
      <c r="AM196" s="133">
        <f>AM147+AL147+AJ147+AI147</f>
        <v>10.199999999999999</v>
      </c>
      <c r="AN196" s="133">
        <f>AN147+AL147+AM147+AJ147</f>
        <v>38</v>
      </c>
      <c r="AO196" s="133">
        <f>AO147+AM147+AL147+AN147</f>
        <v>18</v>
      </c>
      <c r="AP196" s="319">
        <f>AP147</f>
        <v>18</v>
      </c>
      <c r="AQ196" s="133">
        <f>AQ147+AO147+AN147+AM147</f>
        <v>32.200000000000045</v>
      </c>
      <c r="AR196" s="133">
        <f>AR147+AQ147+AO147+AN147</f>
        <v>4.2000000000000455</v>
      </c>
      <c r="AS196" s="133">
        <f>AS147+AQ147+AR147+AO147</f>
        <v>-22.799999999999955</v>
      </c>
      <c r="AT196" s="133">
        <f>AT147+AR147+AQ147+AS147</f>
        <v>-22.799999999999955</v>
      </c>
      <c r="AU196" s="319">
        <f>AU147</f>
        <v>-22.800000000000182</v>
      </c>
      <c r="AV196" s="133">
        <f>AV147+AT147+AS147+AR147</f>
        <v>7.6999999999999993</v>
      </c>
      <c r="AW196" s="133">
        <f>AW147+AV147+AT147+AS147</f>
        <v>31.400000000000006</v>
      </c>
      <c r="AX196" s="133">
        <f>AX147+AV147+AW147+AT147</f>
        <v>48.45</v>
      </c>
      <c r="AY196" s="133">
        <f>AY147+AW147+AV147+AX147</f>
        <v>63.45</v>
      </c>
      <c r="AZ196" s="319">
        <f>AZ147</f>
        <v>63.449999999999996</v>
      </c>
      <c r="BA196" s="133">
        <f>BA147+AY147+AX147+AW147</f>
        <v>39.25</v>
      </c>
      <c r="BB196" s="133">
        <f>BB147+BA147+AY147+AX147</f>
        <v>52.55</v>
      </c>
      <c r="BC196" s="133">
        <f>BC147+BA147+BB147+AY147</f>
        <v>98.299999999999955</v>
      </c>
      <c r="BD196" s="133">
        <f>BD147+BB147+BA147+BC147</f>
        <v>96.399999999999977</v>
      </c>
      <c r="BE196" s="300">
        <f>BE147</f>
        <v>96.399999999999636</v>
      </c>
      <c r="BF196" s="133">
        <f>BF147+BD147+BC147+BB147</f>
        <v>100.89999999999998</v>
      </c>
      <c r="BG196" s="133">
        <f>BG147+BF147+BD147+BC147</f>
        <v>95.899999999999977</v>
      </c>
      <c r="BH196" s="133">
        <f>BH147+BF147+BG147+BD147</f>
        <v>74.600000000000023</v>
      </c>
      <c r="BI196" s="133">
        <f>BI147+BG147+BF147+BH147</f>
        <v>88.5</v>
      </c>
      <c r="BJ196" s="300">
        <f>BJ147</f>
        <v>88.5</v>
      </c>
      <c r="BK196" s="133">
        <f>BK147+BI147+BH147+BG147</f>
        <v>115.5</v>
      </c>
      <c r="BL196" s="133">
        <f>BL147+BK147+BI147+BH147</f>
        <v>142.5</v>
      </c>
      <c r="BM196" s="133">
        <f>BM147+BK147+BL147+BI147</f>
        <v>150</v>
      </c>
      <c r="BN196" s="133">
        <f>BN147+BL147+BK147+BM147</f>
        <v>128</v>
      </c>
      <c r="BO196" s="300">
        <f>BO147</f>
        <v>128</v>
      </c>
      <c r="BP196" s="133">
        <f>BP147+BN147+BM147+BL147</f>
        <v>112</v>
      </c>
      <c r="BQ196" s="133">
        <f>BQ147+BP147+BN147+BM147</f>
        <v>96</v>
      </c>
      <c r="BR196" s="133">
        <f>BR147+BP147+BQ147+BN147</f>
        <v>122</v>
      </c>
      <c r="BS196" s="133">
        <f>BS147+BQ147+BP147+BR147</f>
        <v>168</v>
      </c>
      <c r="BT196" s="300">
        <f>BT147</f>
        <v>168</v>
      </c>
      <c r="BU196" s="133">
        <f>BU147+BS147+BR147+BQ147</f>
        <v>158</v>
      </c>
      <c r="BV196" s="133">
        <f>BV147+BU147+BS147+BR147</f>
        <v>183</v>
      </c>
      <c r="BW196" s="133">
        <f>BW147+BU147+BV147+BS147</f>
        <v>191</v>
      </c>
      <c r="BX196" s="133">
        <f>BX147+BV147+BU147+BW147</f>
        <v>231</v>
      </c>
      <c r="BY196" s="300">
        <f>BY147</f>
        <v>231</v>
      </c>
      <c r="BZ196" s="133">
        <f>BZ147+BX147+BW147+BV147</f>
        <v>364</v>
      </c>
      <c r="CA196" s="133">
        <f>CA147+BZ147+BX147+BW147</f>
        <v>455</v>
      </c>
      <c r="CB196" s="133">
        <f>CB147+BZ147+CA147+BX147</f>
        <v>574</v>
      </c>
      <c r="CC196" s="133">
        <f>CC147+CA147+BZ147+CB147</f>
        <v>677</v>
      </c>
      <c r="CD196" s="300">
        <f>CD147</f>
        <v>677</v>
      </c>
      <c r="CE196" s="133">
        <f>CE147+CC147+CB147+CA147</f>
        <v>739</v>
      </c>
      <c r="CF196" s="133">
        <f>CF147+CE147+CC147+CB147</f>
        <v>767</v>
      </c>
      <c r="CG196" s="133">
        <f>CG147+CE147+CF147+CC147</f>
        <v>768</v>
      </c>
      <c r="CH196" s="133">
        <f>CH147+CF147+CE147+CG147</f>
        <v>750</v>
      </c>
      <c r="CI196" s="300">
        <f>CI147</f>
        <v>750</v>
      </c>
      <c r="CJ196" s="133">
        <f>CJ147+CH147+CG147+CF147</f>
        <v>636</v>
      </c>
      <c r="CK196" s="133">
        <f>CK147+CJ147+CH147+CG147</f>
        <v>667</v>
      </c>
      <c r="CL196" s="133">
        <f>CL147+CJ147+CK147+CH147</f>
        <v>647</v>
      </c>
      <c r="CM196" s="133">
        <f t="shared" ref="CM196:CR196" si="782">CM147+CK147+CJ147+CL147</f>
        <v>578.16800000000001</v>
      </c>
      <c r="CN196" s="300">
        <f>CN147</f>
        <v>578.16800000000001</v>
      </c>
      <c r="CO196" s="133">
        <f>CO147+CM147+CL147+CK147</f>
        <v>562.5883761187763</v>
      </c>
      <c r="CP196" s="133">
        <f>CP147+CL147+CM147+CO147</f>
        <v>478.8615431382147</v>
      </c>
      <c r="CQ196" s="133">
        <f>CQ147+CO147+CM147+CP147</f>
        <v>511.48333746124246</v>
      </c>
      <c r="CR196" s="133">
        <f t="shared" si="782"/>
        <v>572.08084305446278</v>
      </c>
      <c r="CS196" s="300">
        <f>CS147</f>
        <v>572.080843054463</v>
      </c>
      <c r="CT196" s="133"/>
      <c r="CU196" s="133"/>
      <c r="CV196" s="133"/>
      <c r="CW196" s="133"/>
      <c r="CX196" s="300">
        <f>CX147</f>
        <v>684.54836716091631</v>
      </c>
      <c r="CY196" s="133"/>
      <c r="CZ196" s="133"/>
      <c r="DA196" s="133"/>
      <c r="DB196" s="133"/>
      <c r="DC196" s="300">
        <f>DC147</f>
        <v>837.63277973523736</v>
      </c>
      <c r="DD196" s="136"/>
      <c r="DE196" s="131"/>
      <c r="DJ196" s="448"/>
      <c r="DK196" s="412"/>
      <c r="DL196" s="412"/>
      <c r="DM196" s="412"/>
      <c r="DN196" s="412"/>
      <c r="DO196" s="412"/>
      <c r="DP196" s="412"/>
      <c r="DQ196" s="412"/>
      <c r="DR196" s="509"/>
      <c r="DS196" s="136"/>
    </row>
    <row r="197" spans="1:129" s="8" customFormat="1" hidden="1" x14ac:dyDescent="0.2">
      <c r="A197" s="8" t="s">
        <v>57</v>
      </c>
      <c r="B197" s="297"/>
      <c r="G197" s="297"/>
      <c r="L197" s="297"/>
      <c r="Q197" s="297"/>
      <c r="V197" s="297"/>
      <c r="AA197" s="297"/>
      <c r="AF197" s="297"/>
      <c r="AK197" s="297"/>
      <c r="AP197" s="297"/>
      <c r="AU197" s="297"/>
      <c r="AZ197" s="297"/>
      <c r="BE197" s="297"/>
      <c r="BJ197" s="297"/>
      <c r="BO197" s="297"/>
      <c r="BT197" s="297"/>
      <c r="BY197" s="297"/>
      <c r="CD197" s="297"/>
      <c r="CI197" s="297"/>
      <c r="CN197" s="297"/>
      <c r="CS197" s="297"/>
      <c r="CX197" s="297"/>
      <c r="DC197" s="297"/>
      <c r="DD197" s="373"/>
      <c r="DE197" s="474"/>
      <c r="DF197" s="373"/>
      <c r="DG197" s="373"/>
      <c r="DH197" s="373"/>
      <c r="DI197" s="373"/>
      <c r="DJ197" s="438"/>
      <c r="DM197" s="412"/>
      <c r="DN197" s="412"/>
      <c r="DO197" s="412"/>
      <c r="DP197" s="412"/>
      <c r="DR197" s="474"/>
      <c r="DS197" s="373"/>
      <c r="DT197"/>
      <c r="DU197"/>
      <c r="DV197"/>
      <c r="DW197"/>
      <c r="DX197"/>
      <c r="DY197"/>
    </row>
    <row r="198" spans="1:129" hidden="1" x14ac:dyDescent="0.2">
      <c r="A198" s="100" t="s">
        <v>42</v>
      </c>
      <c r="B198" s="295"/>
      <c r="C198" s="129"/>
      <c r="D198" s="129"/>
      <c r="E198" s="129"/>
      <c r="F198" s="129"/>
      <c r="G198" s="295"/>
      <c r="H198" s="129"/>
      <c r="I198" s="129"/>
      <c r="J198" s="129"/>
      <c r="K198" s="129"/>
      <c r="L198" s="320">
        <f t="shared" ref="L198:BI198" si="783">L181/L$181</f>
        <v>1</v>
      </c>
      <c r="M198" s="135">
        <f t="shared" si="783"/>
        <v>1</v>
      </c>
      <c r="N198" s="135">
        <f t="shared" si="783"/>
        <v>1</v>
      </c>
      <c r="O198" s="135">
        <f t="shared" si="783"/>
        <v>1</v>
      </c>
      <c r="P198" s="135">
        <f t="shared" si="783"/>
        <v>1</v>
      </c>
      <c r="Q198" s="320">
        <f t="shared" si="783"/>
        <v>1</v>
      </c>
      <c r="R198" s="135">
        <f t="shared" si="783"/>
        <v>1</v>
      </c>
      <c r="S198" s="135">
        <f t="shared" si="783"/>
        <v>1</v>
      </c>
      <c r="T198" s="135">
        <f t="shared" si="783"/>
        <v>1</v>
      </c>
      <c r="U198" s="135">
        <f t="shared" si="783"/>
        <v>1</v>
      </c>
      <c r="V198" s="320">
        <f t="shared" si="783"/>
        <v>1</v>
      </c>
      <c r="W198" s="135">
        <f t="shared" si="783"/>
        <v>1</v>
      </c>
      <c r="X198" s="135">
        <f t="shared" si="783"/>
        <v>1</v>
      </c>
      <c r="Y198" s="135">
        <f t="shared" si="783"/>
        <v>1</v>
      </c>
      <c r="Z198" s="135">
        <f t="shared" si="783"/>
        <v>1</v>
      </c>
      <c r="AA198" s="320">
        <f t="shared" si="783"/>
        <v>1</v>
      </c>
      <c r="AB198" s="135">
        <f t="shared" si="783"/>
        <v>1</v>
      </c>
      <c r="AC198" s="135">
        <f t="shared" si="783"/>
        <v>1</v>
      </c>
      <c r="AD198" s="135">
        <f t="shared" si="783"/>
        <v>1</v>
      </c>
      <c r="AE198" s="135">
        <f t="shared" si="783"/>
        <v>1</v>
      </c>
      <c r="AF198" s="320">
        <f t="shared" si="783"/>
        <v>1</v>
      </c>
      <c r="AG198" s="135">
        <f t="shared" si="783"/>
        <v>1</v>
      </c>
      <c r="AH198" s="135">
        <f t="shared" si="783"/>
        <v>1</v>
      </c>
      <c r="AI198" s="135">
        <f t="shared" si="783"/>
        <v>1</v>
      </c>
      <c r="AJ198" s="135">
        <f t="shared" si="783"/>
        <v>1</v>
      </c>
      <c r="AK198" s="320">
        <f t="shared" si="783"/>
        <v>1</v>
      </c>
      <c r="AL198" s="135">
        <f t="shared" si="783"/>
        <v>1</v>
      </c>
      <c r="AM198" s="135">
        <f t="shared" si="783"/>
        <v>1</v>
      </c>
      <c r="AN198" s="135">
        <f t="shared" si="783"/>
        <v>1</v>
      </c>
      <c r="AO198" s="135">
        <f t="shared" si="783"/>
        <v>1</v>
      </c>
      <c r="AP198" s="320">
        <f t="shared" si="783"/>
        <v>1</v>
      </c>
      <c r="AQ198" s="135">
        <f t="shared" si="783"/>
        <v>1</v>
      </c>
      <c r="AR198" s="135">
        <f t="shared" si="783"/>
        <v>1</v>
      </c>
      <c r="AS198" s="135">
        <f t="shared" si="783"/>
        <v>1</v>
      </c>
      <c r="AT198" s="135">
        <f t="shared" si="783"/>
        <v>1</v>
      </c>
      <c r="AU198" s="302">
        <f t="shared" si="783"/>
        <v>1</v>
      </c>
      <c r="AV198" s="135">
        <f t="shared" si="783"/>
        <v>1</v>
      </c>
      <c r="AW198" s="135">
        <f t="shared" si="783"/>
        <v>1</v>
      </c>
      <c r="AX198" s="135">
        <f t="shared" si="783"/>
        <v>1</v>
      </c>
      <c r="AY198" s="135">
        <f t="shared" si="783"/>
        <v>1</v>
      </c>
      <c r="AZ198" s="302">
        <f t="shared" si="783"/>
        <v>1</v>
      </c>
      <c r="BA198" s="135">
        <f t="shared" ref="BA198:BD205" si="784">BA181/BA$181</f>
        <v>1</v>
      </c>
      <c r="BB198" s="135">
        <f t="shared" si="784"/>
        <v>1</v>
      </c>
      <c r="BC198" s="135">
        <f t="shared" si="784"/>
        <v>1</v>
      </c>
      <c r="BD198" s="135">
        <f t="shared" si="784"/>
        <v>1</v>
      </c>
      <c r="BE198" s="302">
        <f t="shared" si="783"/>
        <v>1</v>
      </c>
      <c r="BF198" s="135">
        <f t="shared" ref="BF198:BF213" si="785">BF181/BF$181</f>
        <v>1</v>
      </c>
      <c r="BG198" s="135">
        <f t="shared" si="783"/>
        <v>1</v>
      </c>
      <c r="BH198" s="135">
        <f t="shared" si="783"/>
        <v>1</v>
      </c>
      <c r="BI198" s="135">
        <f t="shared" si="783"/>
        <v>1</v>
      </c>
      <c r="BJ198" s="302">
        <f t="shared" ref="BJ198:BT198" si="786">BJ181/BJ$181</f>
        <v>1</v>
      </c>
      <c r="BK198" s="135">
        <f t="shared" si="786"/>
        <v>1</v>
      </c>
      <c r="BL198" s="135">
        <f t="shared" si="786"/>
        <v>1</v>
      </c>
      <c r="BM198" s="135">
        <f t="shared" si="786"/>
        <v>1</v>
      </c>
      <c r="BN198" s="135">
        <f t="shared" si="786"/>
        <v>1</v>
      </c>
      <c r="BO198" s="302">
        <f t="shared" si="786"/>
        <v>1</v>
      </c>
      <c r="BP198" s="135">
        <f t="shared" si="786"/>
        <v>1</v>
      </c>
      <c r="BQ198" s="135">
        <f t="shared" si="786"/>
        <v>1</v>
      </c>
      <c r="BR198" s="135">
        <f t="shared" si="786"/>
        <v>1</v>
      </c>
      <c r="BS198" s="135">
        <f t="shared" si="786"/>
        <v>1</v>
      </c>
      <c r="BT198" s="302">
        <f t="shared" si="786"/>
        <v>1</v>
      </c>
      <c r="BU198" s="135">
        <f t="shared" ref="BU198:BX205" si="787">BU181/BU$181</f>
        <v>1</v>
      </c>
      <c r="BV198" s="135">
        <f t="shared" si="787"/>
        <v>1</v>
      </c>
      <c r="BW198" s="135">
        <f t="shared" si="787"/>
        <v>1</v>
      </c>
      <c r="BX198" s="135">
        <f t="shared" si="787"/>
        <v>1</v>
      </c>
      <c r="BY198" s="302">
        <f t="shared" ref="BY198:CC205" si="788">BY181/BY$181</f>
        <v>1</v>
      </c>
      <c r="BZ198" s="135">
        <f t="shared" si="788"/>
        <v>1</v>
      </c>
      <c r="CA198" s="135">
        <f t="shared" si="788"/>
        <v>1</v>
      </c>
      <c r="CB198" s="135">
        <f t="shared" si="788"/>
        <v>1</v>
      </c>
      <c r="CC198" s="135">
        <f t="shared" si="788"/>
        <v>1</v>
      </c>
      <c r="CD198" s="302">
        <f t="shared" ref="CD198:CH213" si="789">CD181/CD$181</f>
        <v>1</v>
      </c>
      <c r="CE198" s="135">
        <f t="shared" si="789"/>
        <v>1</v>
      </c>
      <c r="CF198" s="135">
        <f t="shared" si="789"/>
        <v>1</v>
      </c>
      <c r="CG198" s="135">
        <f t="shared" si="789"/>
        <v>1</v>
      </c>
      <c r="CH198" s="135">
        <f t="shared" si="789"/>
        <v>1</v>
      </c>
      <c r="CI198" s="302">
        <f t="shared" ref="CI198:CM213" si="790">CI181/CI$181</f>
        <v>1</v>
      </c>
      <c r="CJ198" s="135">
        <f t="shared" si="790"/>
        <v>1</v>
      </c>
      <c r="CK198" s="135">
        <f t="shared" si="790"/>
        <v>1</v>
      </c>
      <c r="CL198" s="135">
        <f t="shared" si="790"/>
        <v>1</v>
      </c>
      <c r="CM198" s="135">
        <f t="shared" si="790"/>
        <v>1</v>
      </c>
      <c r="CN198" s="302">
        <f t="shared" ref="CN198:CR213" si="791">CN181/CN$181</f>
        <v>1</v>
      </c>
      <c r="CO198" s="135">
        <f t="shared" si="791"/>
        <v>1</v>
      </c>
      <c r="CP198" s="135">
        <f t="shared" si="791"/>
        <v>1</v>
      </c>
      <c r="CQ198" s="135">
        <f t="shared" si="791"/>
        <v>1</v>
      </c>
      <c r="CR198" s="135">
        <f t="shared" si="791"/>
        <v>1</v>
      </c>
      <c r="CS198" s="302">
        <f t="shared" ref="CS198:CS213" si="792">CS181/CS$181</f>
        <v>1</v>
      </c>
      <c r="CT198" s="134"/>
      <c r="CU198" s="134"/>
      <c r="CV198" s="134"/>
      <c r="CW198" s="135"/>
      <c r="CX198" s="302">
        <f t="shared" ref="CX198:CX213" si="793">CX181/CX$181</f>
        <v>1</v>
      </c>
      <c r="CY198" s="134"/>
      <c r="CZ198" s="134"/>
      <c r="DA198" s="134"/>
      <c r="DB198" s="135"/>
      <c r="DC198" s="302">
        <f t="shared" ref="DC198:DC213" si="794">DC181/DC$181</f>
        <v>1</v>
      </c>
      <c r="DD198" s="136"/>
      <c r="DE198" s="131"/>
      <c r="DJ198" s="448"/>
      <c r="DK198" s="412"/>
      <c r="DL198" s="412"/>
      <c r="DM198" s="412"/>
      <c r="DN198" s="412"/>
      <c r="DO198" s="412"/>
      <c r="DP198" s="412"/>
      <c r="DQ198" s="412"/>
      <c r="DR198" s="509"/>
      <c r="DS198" s="136"/>
    </row>
    <row r="199" spans="1:129" hidden="1" x14ac:dyDescent="0.2">
      <c r="A199" s="100" t="s">
        <v>43</v>
      </c>
      <c r="B199" s="295"/>
      <c r="C199" s="129"/>
      <c r="D199" s="129"/>
      <c r="E199" s="129"/>
      <c r="F199" s="129"/>
      <c r="G199" s="295"/>
      <c r="H199" s="129"/>
      <c r="I199" s="129"/>
      <c r="J199" s="129"/>
      <c r="K199" s="129"/>
      <c r="L199" s="320">
        <f t="shared" ref="L199:BI199" si="795">L182/L$181</f>
        <v>0.96905253827860205</v>
      </c>
      <c r="M199" s="135">
        <f t="shared" si="795"/>
        <v>0.96844329666891493</v>
      </c>
      <c r="N199" s="135">
        <f t="shared" si="795"/>
        <v>0.96729653370598756</v>
      </c>
      <c r="O199" s="135">
        <f t="shared" si="795"/>
        <v>0.96732420592061319</v>
      </c>
      <c r="P199" s="135">
        <f t="shared" si="795"/>
        <v>0.96848192118591125</v>
      </c>
      <c r="Q199" s="320">
        <f t="shared" si="795"/>
        <v>0.96848192118591103</v>
      </c>
      <c r="R199" s="135">
        <f t="shared" si="795"/>
        <v>0.96805210918114137</v>
      </c>
      <c r="S199" s="135">
        <f t="shared" si="795"/>
        <v>0.96853318597654581</v>
      </c>
      <c r="T199" s="135">
        <f t="shared" si="795"/>
        <v>0.96775861228073023</v>
      </c>
      <c r="U199" s="135">
        <f t="shared" si="795"/>
        <v>0.96668506366999185</v>
      </c>
      <c r="V199" s="320">
        <f t="shared" si="795"/>
        <v>0.96668506366999185</v>
      </c>
      <c r="W199" s="135">
        <f t="shared" si="795"/>
        <v>0.96690412474397902</v>
      </c>
      <c r="X199" s="135">
        <f t="shared" si="795"/>
        <v>0.96655813055941942</v>
      </c>
      <c r="Y199" s="135">
        <f t="shared" si="795"/>
        <v>0.96588192956614904</v>
      </c>
      <c r="Z199" s="135">
        <f t="shared" si="795"/>
        <v>0.9641861364054013</v>
      </c>
      <c r="AA199" s="320">
        <f t="shared" si="795"/>
        <v>0.96418613640540152</v>
      </c>
      <c r="AB199" s="135">
        <f t="shared" si="795"/>
        <v>0.96129305604919824</v>
      </c>
      <c r="AC199" s="135">
        <f t="shared" si="795"/>
        <v>0.95907817097502845</v>
      </c>
      <c r="AD199" s="135">
        <f t="shared" si="795"/>
        <v>0.9562638300393338</v>
      </c>
      <c r="AE199" s="135">
        <f t="shared" si="795"/>
        <v>0.95255471236316414</v>
      </c>
      <c r="AF199" s="320">
        <f t="shared" si="795"/>
        <v>0.95255471236316402</v>
      </c>
      <c r="AG199" s="135">
        <f t="shared" si="795"/>
        <v>0.94972246160851825</v>
      </c>
      <c r="AH199" s="135">
        <f t="shared" si="795"/>
        <v>0.9468247500258582</v>
      </c>
      <c r="AI199" s="135">
        <f t="shared" si="795"/>
        <v>0.94300934758076671</v>
      </c>
      <c r="AJ199" s="135">
        <f t="shared" si="795"/>
        <v>0.94076330709994072</v>
      </c>
      <c r="AK199" s="320">
        <f t="shared" si="795"/>
        <v>0.94076330709994072</v>
      </c>
      <c r="AL199" s="135">
        <f t="shared" si="795"/>
        <v>0.93671906489318824</v>
      </c>
      <c r="AM199" s="135">
        <f t="shared" si="795"/>
        <v>0.93420546363986146</v>
      </c>
      <c r="AN199" s="135">
        <f t="shared" si="795"/>
        <v>0.93238304093567248</v>
      </c>
      <c r="AO199" s="135">
        <f t="shared" si="795"/>
        <v>0.92751583391977477</v>
      </c>
      <c r="AP199" s="320">
        <f t="shared" si="795"/>
        <v>0.92751583391977477</v>
      </c>
      <c r="AQ199" s="135">
        <f t="shared" si="795"/>
        <v>0.92459016393442628</v>
      </c>
      <c r="AR199" s="135">
        <f t="shared" si="795"/>
        <v>0.91726958162944328</v>
      </c>
      <c r="AS199" s="135">
        <f t="shared" si="795"/>
        <v>0.90802171290711697</v>
      </c>
      <c r="AT199" s="135">
        <f t="shared" si="795"/>
        <v>0.90200708382526562</v>
      </c>
      <c r="AU199" s="302">
        <f t="shared" si="795"/>
        <v>0.90200708382526562</v>
      </c>
      <c r="AV199" s="135">
        <f t="shared" si="795"/>
        <v>0.89575289575289574</v>
      </c>
      <c r="AW199" s="135">
        <f t="shared" si="795"/>
        <v>0.89237262586674704</v>
      </c>
      <c r="AX199" s="135">
        <f t="shared" si="795"/>
        <v>0.89235474006116211</v>
      </c>
      <c r="AY199" s="135">
        <f t="shared" si="795"/>
        <v>0.89121847462777271</v>
      </c>
      <c r="AZ199" s="302">
        <f t="shared" si="795"/>
        <v>0.89121847462777271</v>
      </c>
      <c r="BA199" s="135">
        <f t="shared" si="784"/>
        <v>0.89423648247177656</v>
      </c>
      <c r="BB199" s="135">
        <f t="shared" si="784"/>
        <v>0.89731121281464532</v>
      </c>
      <c r="BC199" s="135">
        <f t="shared" si="784"/>
        <v>0.90002724053391447</v>
      </c>
      <c r="BD199" s="135">
        <f t="shared" si="784"/>
        <v>0.90288436094204816</v>
      </c>
      <c r="BE199" s="302">
        <f t="shared" si="795"/>
        <v>0.90288436094204816</v>
      </c>
      <c r="BF199" s="135">
        <f t="shared" si="785"/>
        <v>0.9010456516194848</v>
      </c>
      <c r="BG199" s="135">
        <f t="shared" si="795"/>
        <v>0.90225018146624725</v>
      </c>
      <c r="BH199" s="135">
        <f t="shared" si="795"/>
        <v>0.90367612843182876</v>
      </c>
      <c r="BI199" s="135">
        <f t="shared" si="795"/>
        <v>0.9058614564831261</v>
      </c>
      <c r="BJ199" s="302">
        <f t="shared" ref="BJ199:BT199" si="796">BJ182/BJ$181</f>
        <v>0.9058614564831261</v>
      </c>
      <c r="BK199" s="135">
        <f t="shared" si="796"/>
        <v>0.90947816826411076</v>
      </c>
      <c r="BL199" s="135">
        <f t="shared" si="796"/>
        <v>0.9116365899191039</v>
      </c>
      <c r="BM199" s="135">
        <f t="shared" si="796"/>
        <v>0.9124442642886097</v>
      </c>
      <c r="BN199" s="135">
        <f t="shared" si="796"/>
        <v>0.91328783621035725</v>
      </c>
      <c r="BO199" s="302">
        <f t="shared" si="796"/>
        <v>0.91328783621035725</v>
      </c>
      <c r="BP199" s="135">
        <f t="shared" si="796"/>
        <v>0.91374556912170146</v>
      </c>
      <c r="BQ199" s="135">
        <f t="shared" si="796"/>
        <v>0.91335669781931461</v>
      </c>
      <c r="BR199" s="135">
        <f t="shared" si="796"/>
        <v>0.91423149905123335</v>
      </c>
      <c r="BS199" s="135">
        <f t="shared" si="796"/>
        <v>0.91361882006984008</v>
      </c>
      <c r="BT199" s="302">
        <f t="shared" si="796"/>
        <v>0.91361882006984008</v>
      </c>
      <c r="BU199" s="135">
        <f t="shared" si="787"/>
        <v>0.91331269349845201</v>
      </c>
      <c r="BV199" s="135">
        <f t="shared" si="787"/>
        <v>0.91432111878208533</v>
      </c>
      <c r="BW199" s="135">
        <f t="shared" si="787"/>
        <v>0.91666666666666663</v>
      </c>
      <c r="BX199" s="135">
        <f t="shared" si="787"/>
        <v>0.91851469829809185</v>
      </c>
      <c r="BY199" s="302">
        <f t="shared" si="788"/>
        <v>0.91851469829809185</v>
      </c>
      <c r="BZ199" s="135">
        <f t="shared" si="788"/>
        <v>0.92154899015189451</v>
      </c>
      <c r="CA199" s="135">
        <f t="shared" si="788"/>
        <v>0.9238952536824877</v>
      </c>
      <c r="CB199" s="135">
        <f t="shared" si="788"/>
        <v>0.92246330567964263</v>
      </c>
      <c r="CC199" s="135">
        <f t="shared" si="788"/>
        <v>0.9184850374064838</v>
      </c>
      <c r="CD199" s="302">
        <f t="shared" si="789"/>
        <v>0.9184850374064838</v>
      </c>
      <c r="CE199" s="135">
        <f t="shared" si="789"/>
        <v>0.91611614687355969</v>
      </c>
      <c r="CF199" s="135">
        <f t="shared" si="789"/>
        <v>0.91039755351681961</v>
      </c>
      <c r="CG199" s="135">
        <f t="shared" si="789"/>
        <v>0.90721336370539107</v>
      </c>
      <c r="CH199" s="135">
        <f t="shared" si="789"/>
        <v>0.90666465621230397</v>
      </c>
      <c r="CI199" s="302">
        <f t="shared" si="790"/>
        <v>0.90666465621230397</v>
      </c>
      <c r="CJ199" s="135">
        <f t="shared" si="790"/>
        <v>0.9042296072507553</v>
      </c>
      <c r="CK199" s="135">
        <f t="shared" si="790"/>
        <v>0.90174512391846307</v>
      </c>
      <c r="CL199" s="135">
        <f t="shared" si="790"/>
        <v>0.89869565217391301</v>
      </c>
      <c r="CM199" s="135">
        <f t="shared" si="790"/>
        <v>0.89636493228795433</v>
      </c>
      <c r="CN199" s="302">
        <f t="shared" si="791"/>
        <v>0.89636493228795433</v>
      </c>
      <c r="CO199" s="135">
        <f t="shared" si="791"/>
        <v>0.89452731175573985</v>
      </c>
      <c r="CP199" s="135">
        <f t="shared" si="791"/>
        <v>0.89304418685500009</v>
      </c>
      <c r="CQ199" s="135">
        <f t="shared" si="791"/>
        <v>0.89165980434840908</v>
      </c>
      <c r="CR199" s="135">
        <f t="shared" si="791"/>
        <v>0.89030967213468148</v>
      </c>
      <c r="CS199" s="302">
        <f t="shared" si="792"/>
        <v>0.89030967213468137</v>
      </c>
      <c r="CT199" s="134"/>
      <c r="CU199" s="134"/>
      <c r="CV199" s="134"/>
      <c r="CW199" s="135"/>
      <c r="CX199" s="302">
        <f t="shared" si="793"/>
        <v>0.88537412292904982</v>
      </c>
      <c r="CY199" s="134"/>
      <c r="CZ199" s="134"/>
      <c r="DA199" s="134"/>
      <c r="DB199" s="135"/>
      <c r="DC199" s="302">
        <f t="shared" si="794"/>
        <v>0.88258470282995583</v>
      </c>
      <c r="DD199" s="136"/>
      <c r="DE199" s="131"/>
      <c r="DJ199" s="448"/>
      <c r="DK199" s="412"/>
      <c r="DL199" s="412"/>
      <c r="DM199" s="412"/>
      <c r="DN199" s="412"/>
      <c r="DO199" s="412"/>
      <c r="DP199" s="412"/>
      <c r="DQ199" s="412"/>
      <c r="DR199" s="509"/>
      <c r="DS199" s="136"/>
    </row>
    <row r="200" spans="1:129" hidden="1" x14ac:dyDescent="0.2">
      <c r="A200" s="100" t="s">
        <v>44</v>
      </c>
      <c r="B200" s="295"/>
      <c r="C200" s="129"/>
      <c r="D200" s="129"/>
      <c r="E200" s="129"/>
      <c r="F200" s="129"/>
      <c r="G200" s="295"/>
      <c r="H200" s="129"/>
      <c r="I200" s="129"/>
      <c r="J200" s="129"/>
      <c r="K200" s="129"/>
      <c r="L200" s="320">
        <f t="shared" ref="L200:BI200" si="797">L183/L$181</f>
        <v>0.91767905334972866</v>
      </c>
      <c r="M200" s="135">
        <f t="shared" si="797"/>
        <v>0.89173239479602906</v>
      </c>
      <c r="N200" s="135">
        <f t="shared" si="797"/>
        <v>0.87211436014391164</v>
      </c>
      <c r="O200" s="135">
        <f t="shared" si="797"/>
        <v>0.85876764859031707</v>
      </c>
      <c r="P200" s="135">
        <f t="shared" si="797"/>
        <v>0.83471272987180256</v>
      </c>
      <c r="Q200" s="320">
        <f t="shared" si="797"/>
        <v>0.83471272987180223</v>
      </c>
      <c r="R200" s="135">
        <f t="shared" si="797"/>
        <v>0.83856606115568222</v>
      </c>
      <c r="S200" s="135">
        <f t="shared" si="797"/>
        <v>0.83139948376005424</v>
      </c>
      <c r="T200" s="135">
        <f t="shared" si="797"/>
        <v>0.81718827700194541</v>
      </c>
      <c r="U200" s="135">
        <f t="shared" si="797"/>
        <v>0.82748251867329237</v>
      </c>
      <c r="V200" s="320">
        <f t="shared" si="797"/>
        <v>0.82748251867329214</v>
      </c>
      <c r="W200" s="135">
        <f t="shared" si="797"/>
        <v>0.84073988249188958</v>
      </c>
      <c r="X200" s="135">
        <f t="shared" si="797"/>
        <v>0.85453891364350387</v>
      </c>
      <c r="Y200" s="135">
        <f t="shared" si="797"/>
        <v>0.88640114488484212</v>
      </c>
      <c r="Z200" s="135">
        <f t="shared" si="797"/>
        <v>0.91172635907964694</v>
      </c>
      <c r="AA200" s="320">
        <f t="shared" si="797"/>
        <v>0.91172635907964705</v>
      </c>
      <c r="AB200" s="135">
        <f t="shared" si="797"/>
        <v>0.92250374900477927</v>
      </c>
      <c r="AC200" s="135">
        <f t="shared" si="797"/>
        <v>0.93176743838080733</v>
      </c>
      <c r="AD200" s="135">
        <f t="shared" si="797"/>
        <v>0.94310484895123292</v>
      </c>
      <c r="AE200" s="135">
        <f t="shared" si="797"/>
        <v>0.96413139074652976</v>
      </c>
      <c r="AF200" s="320">
        <f t="shared" si="797"/>
        <v>0.96413139074652976</v>
      </c>
      <c r="AG200" s="135">
        <f t="shared" si="797"/>
        <v>0.9940653586000604</v>
      </c>
      <c r="AH200" s="135">
        <f t="shared" si="797"/>
        <v>0.9911402898206022</v>
      </c>
      <c r="AI200" s="135">
        <f t="shared" si="797"/>
        <v>0.98259274983550748</v>
      </c>
      <c r="AJ200" s="135">
        <f t="shared" si="797"/>
        <v>0.94905644410594903</v>
      </c>
      <c r="AK200" s="320">
        <f t="shared" si="797"/>
        <v>0.94905644410594903</v>
      </c>
      <c r="AL200" s="135">
        <f t="shared" si="797"/>
        <v>0.94679564691656593</v>
      </c>
      <c r="AM200" s="135">
        <f t="shared" si="797"/>
        <v>0.93920738745671417</v>
      </c>
      <c r="AN200" s="135">
        <f t="shared" si="797"/>
        <v>0.92580409356725146</v>
      </c>
      <c r="AO200" s="135">
        <f t="shared" si="797"/>
        <v>0.94053483462350462</v>
      </c>
      <c r="AP200" s="320">
        <f t="shared" si="797"/>
        <v>0.94053483462350462</v>
      </c>
      <c r="AQ200" s="135">
        <f t="shared" si="797"/>
        <v>0.93468852459016405</v>
      </c>
      <c r="AR200" s="135">
        <f t="shared" si="797"/>
        <v>0.9536961308587607</v>
      </c>
      <c r="AS200" s="135">
        <f t="shared" si="797"/>
        <v>0.97279855247285896</v>
      </c>
      <c r="AT200" s="135">
        <f t="shared" si="797"/>
        <v>0.9677685950413224</v>
      </c>
      <c r="AU200" s="302">
        <f t="shared" si="797"/>
        <v>0.9677685950413224</v>
      </c>
      <c r="AV200" s="135">
        <f t="shared" si="797"/>
        <v>0.9502524502524502</v>
      </c>
      <c r="AW200" s="135">
        <f t="shared" si="797"/>
        <v>0.93231835996382273</v>
      </c>
      <c r="AX200" s="135">
        <f t="shared" si="797"/>
        <v>0.91758409785932726</v>
      </c>
      <c r="AY200" s="135">
        <f t="shared" si="797"/>
        <v>0.91355211182011542</v>
      </c>
      <c r="AZ200" s="302">
        <f t="shared" si="797"/>
        <v>0.91355211182011542</v>
      </c>
      <c r="BA200" s="135">
        <f t="shared" si="784"/>
        <v>0.92543077837195487</v>
      </c>
      <c r="BB200" s="135">
        <f t="shared" si="784"/>
        <v>0.9236270022883295</v>
      </c>
      <c r="BC200" s="135">
        <f t="shared" si="784"/>
        <v>0.90743666575864879</v>
      </c>
      <c r="BD200" s="135">
        <f t="shared" si="784"/>
        <v>0.91190791214607048</v>
      </c>
      <c r="BE200" s="302">
        <f t="shared" si="797"/>
        <v>0.91190791214607048</v>
      </c>
      <c r="BF200" s="135">
        <f t="shared" si="785"/>
        <v>0.91433307829635302</v>
      </c>
      <c r="BG200" s="135">
        <f t="shared" si="797"/>
        <v>0.92066295669005571</v>
      </c>
      <c r="BH200" s="135">
        <f t="shared" si="797"/>
        <v>0.93110749185667752</v>
      </c>
      <c r="BI200" s="135">
        <f t="shared" si="797"/>
        <v>0.92850799289520425</v>
      </c>
      <c r="BJ200" s="302">
        <f t="shared" ref="BJ200:BT200" si="798">BJ183/BJ$181</f>
        <v>0.92850799289520425</v>
      </c>
      <c r="BK200" s="135">
        <f t="shared" si="798"/>
        <v>0.9220447284345048</v>
      </c>
      <c r="BL200" s="135">
        <f t="shared" si="798"/>
        <v>0.91495540344326898</v>
      </c>
      <c r="BM200" s="135">
        <f t="shared" si="798"/>
        <v>0.91588974462910422</v>
      </c>
      <c r="BN200" s="135">
        <f t="shared" si="798"/>
        <v>0.92452830188679247</v>
      </c>
      <c r="BO200" s="302">
        <f t="shared" si="798"/>
        <v>0.92452830188679247</v>
      </c>
      <c r="BP200" s="135">
        <f t="shared" si="798"/>
        <v>0.93186293816463173</v>
      </c>
      <c r="BQ200" s="135">
        <f t="shared" si="798"/>
        <v>0.93808411214953269</v>
      </c>
      <c r="BR200" s="135">
        <f t="shared" si="798"/>
        <v>0.93225806451612903</v>
      </c>
      <c r="BS200" s="135">
        <f t="shared" si="798"/>
        <v>0.92133798934019484</v>
      </c>
      <c r="BT200" s="302">
        <f t="shared" si="798"/>
        <v>0.92133798934019484</v>
      </c>
      <c r="BU200" s="135">
        <f t="shared" si="787"/>
        <v>0.92533236204698599</v>
      </c>
      <c r="BV200" s="135">
        <f t="shared" si="787"/>
        <v>0.92051690564701716</v>
      </c>
      <c r="BW200" s="135">
        <f t="shared" si="787"/>
        <v>0.91963040446304045</v>
      </c>
      <c r="BX200" s="135">
        <f t="shared" si="787"/>
        <v>0.9114663916107959</v>
      </c>
      <c r="BY200" s="302">
        <f t="shared" si="788"/>
        <v>0.9114663916107959</v>
      </c>
      <c r="BZ200" s="135">
        <f t="shared" si="788"/>
        <v>0.87865131029878152</v>
      </c>
      <c r="CA200" s="135">
        <f t="shared" si="788"/>
        <v>0.85793780687397714</v>
      </c>
      <c r="CB200" s="135">
        <f t="shared" si="788"/>
        <v>0.83168474792597324</v>
      </c>
      <c r="CC200" s="135">
        <f t="shared" si="788"/>
        <v>0.81047381546134667</v>
      </c>
      <c r="CD200" s="302">
        <f t="shared" si="789"/>
        <v>0.81047381546134667</v>
      </c>
      <c r="CE200" s="135">
        <f t="shared" si="789"/>
        <v>0.79843293900752799</v>
      </c>
      <c r="CF200" s="135">
        <f t="shared" si="789"/>
        <v>0.79464831804281344</v>
      </c>
      <c r="CG200" s="135">
        <f t="shared" si="789"/>
        <v>0.79559605163249814</v>
      </c>
      <c r="CH200" s="135">
        <f t="shared" si="789"/>
        <v>0.80217129071170079</v>
      </c>
      <c r="CI200" s="302">
        <f t="shared" si="790"/>
        <v>0.80217129071170079</v>
      </c>
      <c r="CJ200" s="135">
        <f t="shared" si="790"/>
        <v>0.83232628398791542</v>
      </c>
      <c r="CK200" s="135">
        <f t="shared" si="790"/>
        <v>0.83120692183604639</v>
      </c>
      <c r="CL200" s="135">
        <f t="shared" si="790"/>
        <v>0.8395652173913043</v>
      </c>
      <c r="CM200" s="135">
        <f t="shared" si="790"/>
        <v>0.85744832501781898</v>
      </c>
      <c r="CN200" s="302">
        <f t="shared" si="791"/>
        <v>0.85744832501781898</v>
      </c>
      <c r="CO200" s="135">
        <f t="shared" si="791"/>
        <v>0.86516362976569638</v>
      </c>
      <c r="CP200" s="135">
        <f t="shared" si="791"/>
        <v>0.88863124027495954</v>
      </c>
      <c r="CQ200" s="135">
        <f t="shared" si="791"/>
        <v>0.89261629849429036</v>
      </c>
      <c r="CR200" s="135">
        <f t="shared" si="791"/>
        <v>0.88815554513298534</v>
      </c>
      <c r="CS200" s="302">
        <f t="shared" si="792"/>
        <v>0.88815554513298511</v>
      </c>
      <c r="CT200" s="134"/>
      <c r="CU200" s="134"/>
      <c r="CV200" s="134"/>
      <c r="CW200" s="135"/>
      <c r="CX200" s="302">
        <f t="shared" si="793"/>
        <v>0.87898764822270115</v>
      </c>
      <c r="CY200" s="134"/>
      <c r="CZ200" s="134"/>
      <c r="DA200" s="134"/>
      <c r="DB200" s="135"/>
      <c r="DC200" s="302">
        <f t="shared" si="794"/>
        <v>0.8649848867262977</v>
      </c>
      <c r="DD200" s="136"/>
      <c r="DE200" s="131"/>
      <c r="DJ200" s="448"/>
      <c r="DK200" s="412"/>
      <c r="DL200" s="412"/>
      <c r="DM200" s="412"/>
      <c r="DN200" s="412"/>
      <c r="DO200" s="412"/>
      <c r="DP200" s="412"/>
      <c r="DQ200" s="412"/>
      <c r="DR200" s="509"/>
      <c r="DS200" s="136"/>
    </row>
    <row r="201" spans="1:129" hidden="1" x14ac:dyDescent="0.2">
      <c r="A201" s="100" t="s">
        <v>45</v>
      </c>
      <c r="B201" s="295"/>
      <c r="C201" s="129"/>
      <c r="D201" s="129"/>
      <c r="E201" s="129"/>
      <c r="F201" s="129"/>
      <c r="G201" s="295"/>
      <c r="H201" s="129"/>
      <c r="I201" s="129"/>
      <c r="J201" s="129"/>
      <c r="K201" s="129"/>
      <c r="L201" s="320">
        <f t="shared" ref="L201:BI201" si="799">L184/L$181</f>
        <v>0.13001684133652086</v>
      </c>
      <c r="M201" s="135">
        <f t="shared" si="799"/>
        <v>0.11825336121846575</v>
      </c>
      <c r="N201" s="135">
        <f t="shared" si="799"/>
        <v>0.11406272377711907</v>
      </c>
      <c r="O201" s="135">
        <f t="shared" si="799"/>
        <v>0.11377831114038688</v>
      </c>
      <c r="P201" s="135">
        <f t="shared" si="799"/>
        <v>0.12007256651936189</v>
      </c>
      <c r="Q201" s="320">
        <f t="shared" si="799"/>
        <v>0.12007256651936188</v>
      </c>
      <c r="R201" s="135">
        <f t="shared" si="799"/>
        <v>0.13805058863456809</v>
      </c>
      <c r="S201" s="135">
        <f t="shared" si="799"/>
        <v>0.14088066507030148</v>
      </c>
      <c r="T201" s="135">
        <f t="shared" si="799"/>
        <v>0.1429045445530068</v>
      </c>
      <c r="U201" s="135">
        <f t="shared" si="799"/>
        <v>0.14755932532746502</v>
      </c>
      <c r="V201" s="320">
        <f t="shared" si="799"/>
        <v>0.14755932532746499</v>
      </c>
      <c r="W201" s="135">
        <f t="shared" si="799"/>
        <v>0.15005737116715753</v>
      </c>
      <c r="X201" s="135">
        <f t="shared" si="799"/>
        <v>0.16203401729417649</v>
      </c>
      <c r="Y201" s="135">
        <f t="shared" si="799"/>
        <v>0.18057963979646494</v>
      </c>
      <c r="Z201" s="135">
        <f t="shared" si="799"/>
        <v>0.20227458509970914</v>
      </c>
      <c r="AA201" s="320">
        <f t="shared" si="799"/>
        <v>0.20227458509970916</v>
      </c>
      <c r="AB201" s="135">
        <f t="shared" si="799"/>
        <v>0.21721670620342495</v>
      </c>
      <c r="AC201" s="135">
        <f t="shared" si="799"/>
        <v>0.23790283004558085</v>
      </c>
      <c r="AD201" s="135">
        <f t="shared" si="799"/>
        <v>0.26227521360734063</v>
      </c>
      <c r="AE201" s="135">
        <f t="shared" si="799"/>
        <v>0.28666158675400044</v>
      </c>
      <c r="AF201" s="320">
        <f t="shared" si="799"/>
        <v>0.28666158675400044</v>
      </c>
      <c r="AG201" s="135">
        <f t="shared" si="799"/>
        <v>0.30870199586758446</v>
      </c>
      <c r="AH201" s="135">
        <f t="shared" si="799"/>
        <v>0.32079436088516156</v>
      </c>
      <c r="AI201" s="135">
        <f t="shared" si="799"/>
        <v>0.32897658142466979</v>
      </c>
      <c r="AJ201" s="135">
        <f t="shared" si="799"/>
        <v>0.31818566472031817</v>
      </c>
      <c r="AK201" s="320">
        <f t="shared" si="799"/>
        <v>0.31818566472031817</v>
      </c>
      <c r="AL201" s="135">
        <f t="shared" si="799"/>
        <v>0.31519548569125355</v>
      </c>
      <c r="AM201" s="135">
        <f t="shared" si="799"/>
        <v>0.31396691035013469</v>
      </c>
      <c r="AN201" s="135">
        <f t="shared" si="799"/>
        <v>0.3117690058479532</v>
      </c>
      <c r="AO201" s="135">
        <f t="shared" si="799"/>
        <v>0.32688247712878254</v>
      </c>
      <c r="AP201" s="320">
        <f t="shared" si="799"/>
        <v>0.32688247712878254</v>
      </c>
      <c r="AQ201" s="135">
        <f t="shared" si="799"/>
        <v>0.34327868852459015</v>
      </c>
      <c r="AR201" s="135">
        <f t="shared" si="799"/>
        <v>0.37464611513054419</v>
      </c>
      <c r="AS201" s="135">
        <f t="shared" si="799"/>
        <v>0.40289505428226779</v>
      </c>
      <c r="AT201" s="135">
        <f t="shared" si="799"/>
        <v>0.40153482880755609</v>
      </c>
      <c r="AU201" s="302">
        <f t="shared" si="799"/>
        <v>0.40153482880755609</v>
      </c>
      <c r="AV201" s="135">
        <f t="shared" si="799"/>
        <v>0.3788238788238788</v>
      </c>
      <c r="AW201" s="135">
        <f t="shared" si="799"/>
        <v>0.34386493819716607</v>
      </c>
      <c r="AX201" s="135">
        <f t="shared" si="799"/>
        <v>0.30608562691131497</v>
      </c>
      <c r="AY201" s="135">
        <f t="shared" si="799"/>
        <v>0.28699483439683987</v>
      </c>
      <c r="AZ201" s="302">
        <f t="shared" si="799"/>
        <v>0.28699483439683987</v>
      </c>
      <c r="BA201" s="135">
        <f t="shared" si="784"/>
        <v>0.28978015448603683</v>
      </c>
      <c r="BB201" s="135">
        <f t="shared" si="784"/>
        <v>0.29156178489702517</v>
      </c>
      <c r="BC201" s="135">
        <f t="shared" si="784"/>
        <v>0.28798692454372105</v>
      </c>
      <c r="BD201" s="135">
        <f t="shared" si="784"/>
        <v>0.2949722148716592</v>
      </c>
      <c r="BE201" s="302">
        <f t="shared" si="799"/>
        <v>0.2949722148716592</v>
      </c>
      <c r="BF201" s="135">
        <f t="shared" si="785"/>
        <v>0.30953838306554454</v>
      </c>
      <c r="BG201" s="135">
        <f t="shared" si="799"/>
        <v>0.33237357851439631</v>
      </c>
      <c r="BH201" s="135">
        <f t="shared" si="799"/>
        <v>0.35725919032107956</v>
      </c>
      <c r="BI201" s="135">
        <f t="shared" si="799"/>
        <v>0.369449378330373</v>
      </c>
      <c r="BJ201" s="302">
        <f t="shared" ref="BJ201:BT201" si="800">BJ184/BJ$181</f>
        <v>0.369449378330373</v>
      </c>
      <c r="BK201" s="135">
        <f t="shared" si="800"/>
        <v>0.37145899893503725</v>
      </c>
      <c r="BL201" s="135">
        <f t="shared" si="800"/>
        <v>0.3640323584318606</v>
      </c>
      <c r="BM201" s="135">
        <f t="shared" si="800"/>
        <v>0.3611674098094852</v>
      </c>
      <c r="BN201" s="135">
        <f t="shared" si="800"/>
        <v>0.3625050180650341</v>
      </c>
      <c r="BO201" s="302">
        <f t="shared" si="800"/>
        <v>0.3625050180650341</v>
      </c>
      <c r="BP201" s="135">
        <f t="shared" si="800"/>
        <v>0.36234738085860574</v>
      </c>
      <c r="BQ201" s="135">
        <f t="shared" si="800"/>
        <v>0.36117601246105918</v>
      </c>
      <c r="BR201" s="135">
        <f t="shared" si="800"/>
        <v>0.3557874762808349</v>
      </c>
      <c r="BS201" s="135">
        <f t="shared" si="800"/>
        <v>0.34901672486675245</v>
      </c>
      <c r="BT201" s="302">
        <f t="shared" si="800"/>
        <v>0.34901672486675245</v>
      </c>
      <c r="BU201" s="135">
        <f t="shared" si="787"/>
        <v>0.34529229648515752</v>
      </c>
      <c r="BV201" s="135">
        <f t="shared" si="787"/>
        <v>0.34129934501681713</v>
      </c>
      <c r="BW201" s="135">
        <f t="shared" si="787"/>
        <v>0.33856345885634587</v>
      </c>
      <c r="BX201" s="135">
        <f t="shared" si="787"/>
        <v>0.32869176551487023</v>
      </c>
      <c r="BY201" s="302">
        <f t="shared" si="788"/>
        <v>0.32869176551487023</v>
      </c>
      <c r="BZ201" s="135">
        <f t="shared" si="788"/>
        <v>0.29761308629611083</v>
      </c>
      <c r="CA201" s="135">
        <f t="shared" si="788"/>
        <v>0.2711947626841244</v>
      </c>
      <c r="CB201" s="135">
        <f t="shared" si="788"/>
        <v>0.23675813656668793</v>
      </c>
      <c r="CC201" s="135">
        <f t="shared" si="788"/>
        <v>0.21009975062344138</v>
      </c>
      <c r="CD201" s="302">
        <f t="shared" si="789"/>
        <v>0.21009975062344138</v>
      </c>
      <c r="CE201" s="135">
        <f t="shared" si="789"/>
        <v>0.18866185281917344</v>
      </c>
      <c r="CF201" s="135">
        <f t="shared" si="789"/>
        <v>0.17293577981651376</v>
      </c>
      <c r="CG201" s="135">
        <f t="shared" si="789"/>
        <v>0.16431283219438117</v>
      </c>
      <c r="CH201" s="135">
        <f t="shared" si="789"/>
        <v>0.1617913148371532</v>
      </c>
      <c r="CI201" s="302">
        <f t="shared" si="790"/>
        <v>0.1617913148371532</v>
      </c>
      <c r="CJ201" s="135">
        <f t="shared" si="790"/>
        <v>0.1783987915407855</v>
      </c>
      <c r="CK201" s="135">
        <f t="shared" si="790"/>
        <v>0.18067165273500513</v>
      </c>
      <c r="CL201" s="135">
        <f t="shared" si="790"/>
        <v>0.18637681159420288</v>
      </c>
      <c r="CM201" s="135">
        <f t="shared" si="790"/>
        <v>0.19429793300071277</v>
      </c>
      <c r="CN201" s="302">
        <f t="shared" si="791"/>
        <v>0.19429793300071277</v>
      </c>
      <c r="CO201" s="135">
        <f t="shared" si="791"/>
        <v>0.20512764892324417</v>
      </c>
      <c r="CP201" s="135">
        <f t="shared" si="791"/>
        <v>0.21993500050924786</v>
      </c>
      <c r="CQ201" s="135">
        <f t="shared" si="791"/>
        <v>0.22937172241468615</v>
      </c>
      <c r="CR201" s="135">
        <f t="shared" si="791"/>
        <v>0.23338669935988501</v>
      </c>
      <c r="CS201" s="302">
        <f t="shared" si="792"/>
        <v>0.23338669935988499</v>
      </c>
      <c r="CT201" s="134"/>
      <c r="CU201" s="134"/>
      <c r="CV201" s="134"/>
      <c r="CW201" s="135"/>
      <c r="CX201" s="302">
        <f t="shared" si="793"/>
        <v>0.2173710202266593</v>
      </c>
      <c r="CY201" s="134"/>
      <c r="CZ201" s="134"/>
      <c r="DA201" s="134"/>
      <c r="DB201" s="135"/>
      <c r="DC201" s="302">
        <f t="shared" si="794"/>
        <v>0.20380359444386867</v>
      </c>
      <c r="DD201" s="136"/>
      <c r="DE201" s="131"/>
      <c r="DJ201" s="448"/>
      <c r="DK201" s="412"/>
      <c r="DL201" s="412"/>
      <c r="DM201" s="412"/>
      <c r="DN201" s="412"/>
      <c r="DO201" s="412"/>
      <c r="DP201" s="412"/>
      <c r="DQ201" s="412"/>
      <c r="DR201" s="509"/>
      <c r="DS201" s="136"/>
    </row>
    <row r="202" spans="1:129" hidden="1" x14ac:dyDescent="0.2">
      <c r="A202" s="100" t="s">
        <v>46</v>
      </c>
      <c r="B202" s="295"/>
      <c r="C202" s="129"/>
      <c r="D202" s="129"/>
      <c r="E202" s="129"/>
      <c r="F202" s="129"/>
      <c r="G202" s="295"/>
      <c r="H202" s="129"/>
      <c r="I202" s="129"/>
      <c r="J202" s="129"/>
      <c r="K202" s="129"/>
      <c r="L202" s="320">
        <f t="shared" ref="L202:BI202" si="801">L185/L$181</f>
        <v>0.78766221201320774</v>
      </c>
      <c r="M202" s="135">
        <f t="shared" si="801"/>
        <v>0.7734790335775632</v>
      </c>
      <c r="N202" s="135">
        <f t="shared" si="801"/>
        <v>0.75805163636679262</v>
      </c>
      <c r="O202" s="135">
        <f t="shared" si="801"/>
        <v>0.74498933744993012</v>
      </c>
      <c r="P202" s="135">
        <f t="shared" si="801"/>
        <v>0.71464016335244074</v>
      </c>
      <c r="Q202" s="320">
        <f t="shared" si="801"/>
        <v>0.71464016335244041</v>
      </c>
      <c r="R202" s="135">
        <f t="shared" si="801"/>
        <v>0.70051547252111412</v>
      </c>
      <c r="S202" s="135">
        <f t="shared" si="801"/>
        <v>0.69051881868975273</v>
      </c>
      <c r="T202" s="135">
        <f t="shared" si="801"/>
        <v>0.67428373244893858</v>
      </c>
      <c r="U202" s="135">
        <f t="shared" si="801"/>
        <v>0.6799231933458274</v>
      </c>
      <c r="V202" s="320">
        <f t="shared" si="801"/>
        <v>0.67992319334582718</v>
      </c>
      <c r="W202" s="135">
        <f t="shared" si="801"/>
        <v>0.69068251132473202</v>
      </c>
      <c r="X202" s="135">
        <f t="shared" si="801"/>
        <v>0.69250489634932744</v>
      </c>
      <c r="Y202" s="135">
        <f t="shared" si="801"/>
        <v>0.70582150508837715</v>
      </c>
      <c r="Z202" s="135">
        <f t="shared" si="801"/>
        <v>0.70945177397993775</v>
      </c>
      <c r="AA202" s="320">
        <f t="shared" si="801"/>
        <v>0.70945177397993797</v>
      </c>
      <c r="AB202" s="135">
        <f t="shared" si="801"/>
        <v>0.70528704280135435</v>
      </c>
      <c r="AC202" s="135">
        <f t="shared" si="801"/>
        <v>0.69386460833522645</v>
      </c>
      <c r="AD202" s="135">
        <f t="shared" si="801"/>
        <v>0.6808296353438924</v>
      </c>
      <c r="AE202" s="135">
        <f t="shared" si="801"/>
        <v>0.67746980399252932</v>
      </c>
      <c r="AF202" s="320">
        <f t="shared" si="801"/>
        <v>0.67746980399252932</v>
      </c>
      <c r="AG202" s="135">
        <f t="shared" si="801"/>
        <v>0.68536336273247589</v>
      </c>
      <c r="AH202" s="135">
        <f t="shared" si="801"/>
        <v>0.67034592893544065</v>
      </c>
      <c r="AI202" s="135">
        <f t="shared" si="801"/>
        <v>0.65361616841083769</v>
      </c>
      <c r="AJ202" s="135">
        <f t="shared" si="801"/>
        <v>0.63087077938563085</v>
      </c>
      <c r="AK202" s="320">
        <f t="shared" si="801"/>
        <v>0.63087077938563085</v>
      </c>
      <c r="AL202" s="135">
        <f t="shared" si="801"/>
        <v>0.63160016122531237</v>
      </c>
      <c r="AM202" s="135">
        <f t="shared" si="801"/>
        <v>0.62524047710657948</v>
      </c>
      <c r="AN202" s="135">
        <f t="shared" si="801"/>
        <v>0.61403508771929827</v>
      </c>
      <c r="AO202" s="135">
        <f t="shared" si="801"/>
        <v>0.61365235749472202</v>
      </c>
      <c r="AP202" s="320">
        <f t="shared" si="801"/>
        <v>0.61365235749472202</v>
      </c>
      <c r="AQ202" s="135">
        <f t="shared" si="801"/>
        <v>0.59140983606557385</v>
      </c>
      <c r="AR202" s="135">
        <f t="shared" si="801"/>
        <v>0.57905001572821646</v>
      </c>
      <c r="AS202" s="135">
        <f t="shared" si="801"/>
        <v>0.56990349819059116</v>
      </c>
      <c r="AT202" s="135">
        <f t="shared" si="801"/>
        <v>0.56623376623376631</v>
      </c>
      <c r="AU202" s="302">
        <f t="shared" si="801"/>
        <v>0.56623376623376631</v>
      </c>
      <c r="AV202" s="135">
        <f t="shared" si="801"/>
        <v>0.5714285714285714</v>
      </c>
      <c r="AW202" s="135">
        <f t="shared" si="801"/>
        <v>0.5884534217666566</v>
      </c>
      <c r="AX202" s="135">
        <f t="shared" si="801"/>
        <v>0.61149847094801224</v>
      </c>
      <c r="AY202" s="135">
        <f t="shared" si="801"/>
        <v>0.6265572774232756</v>
      </c>
      <c r="AZ202" s="302">
        <f t="shared" si="801"/>
        <v>0.6265572774232756</v>
      </c>
      <c r="BA202" s="135">
        <f t="shared" si="784"/>
        <v>0.63565062388591798</v>
      </c>
      <c r="BB202" s="135">
        <f t="shared" si="784"/>
        <v>0.63206521739130428</v>
      </c>
      <c r="BC202" s="135">
        <f t="shared" si="784"/>
        <v>0.6194497412149278</v>
      </c>
      <c r="BD202" s="135">
        <f t="shared" si="784"/>
        <v>0.61693569727441133</v>
      </c>
      <c r="BE202" s="302">
        <f t="shared" si="801"/>
        <v>0.61693569727441133</v>
      </c>
      <c r="BF202" s="135">
        <f t="shared" si="785"/>
        <v>0.60479469523080864</v>
      </c>
      <c r="BG202" s="135">
        <f t="shared" si="801"/>
        <v>0.58828937817565941</v>
      </c>
      <c r="BH202" s="135">
        <f t="shared" si="801"/>
        <v>0.57384830153559796</v>
      </c>
      <c r="BI202" s="135">
        <f t="shared" si="801"/>
        <v>0.5590586145648313</v>
      </c>
      <c r="BJ202" s="302">
        <f t="shared" ref="BJ202:BT202" si="802">BJ185/BJ$181</f>
        <v>0.5590586145648313</v>
      </c>
      <c r="BK202" s="135">
        <f t="shared" si="802"/>
        <v>0.55058572949946749</v>
      </c>
      <c r="BL202" s="135">
        <f t="shared" si="802"/>
        <v>0.55092304501140843</v>
      </c>
      <c r="BM202" s="135">
        <f t="shared" si="802"/>
        <v>0.55472233481961897</v>
      </c>
      <c r="BN202" s="135">
        <f t="shared" si="802"/>
        <v>0.56202328382175837</v>
      </c>
      <c r="BO202" s="302">
        <f t="shared" si="802"/>
        <v>0.56202328382175837</v>
      </c>
      <c r="BP202" s="135">
        <f t="shared" si="802"/>
        <v>0.56951555730602599</v>
      </c>
      <c r="BQ202" s="135">
        <f t="shared" si="802"/>
        <v>0.57690809968847356</v>
      </c>
      <c r="BR202" s="135">
        <f t="shared" si="802"/>
        <v>0.57647058823529407</v>
      </c>
      <c r="BS202" s="135">
        <f t="shared" si="802"/>
        <v>0.57232126447344234</v>
      </c>
      <c r="BT202" s="302">
        <f t="shared" si="802"/>
        <v>0.57232126447344234</v>
      </c>
      <c r="BU202" s="135">
        <f t="shared" si="787"/>
        <v>0.58004006556182841</v>
      </c>
      <c r="BV202" s="135">
        <f t="shared" si="787"/>
        <v>0.57921756063020002</v>
      </c>
      <c r="BW202" s="135">
        <f t="shared" si="787"/>
        <v>0.58106694560669458</v>
      </c>
      <c r="BX202" s="135">
        <f t="shared" si="787"/>
        <v>0.58277462609592579</v>
      </c>
      <c r="BY202" s="302">
        <f t="shared" si="788"/>
        <v>0.58277462609592579</v>
      </c>
      <c r="BZ202" s="135">
        <f t="shared" si="788"/>
        <v>0.58103822400267069</v>
      </c>
      <c r="CA202" s="135">
        <f t="shared" si="788"/>
        <v>0.58674304418985268</v>
      </c>
      <c r="CB202" s="135">
        <f t="shared" si="788"/>
        <v>0.59492661135928526</v>
      </c>
      <c r="CC202" s="135">
        <f t="shared" si="788"/>
        <v>0.60037406483790523</v>
      </c>
      <c r="CD202" s="302">
        <f t="shared" si="789"/>
        <v>0.60037406483790523</v>
      </c>
      <c r="CE202" s="135">
        <f t="shared" si="789"/>
        <v>0.60977108618835463</v>
      </c>
      <c r="CF202" s="135">
        <f t="shared" si="789"/>
        <v>0.62171253822629968</v>
      </c>
      <c r="CG202" s="135">
        <f t="shared" si="789"/>
        <v>0.63128321943811694</v>
      </c>
      <c r="CH202" s="135">
        <f t="shared" si="789"/>
        <v>0.64037997587454765</v>
      </c>
      <c r="CI202" s="302">
        <f t="shared" si="790"/>
        <v>0.64037997587454765</v>
      </c>
      <c r="CJ202" s="135">
        <f t="shared" si="790"/>
        <v>0.65392749244712989</v>
      </c>
      <c r="CK202" s="135">
        <f t="shared" si="790"/>
        <v>0.6505352691010412</v>
      </c>
      <c r="CL202" s="135">
        <f t="shared" si="790"/>
        <v>0.65318840579710147</v>
      </c>
      <c r="CM202" s="135">
        <f t="shared" si="790"/>
        <v>0.66315039201710624</v>
      </c>
      <c r="CN202" s="302">
        <f t="shared" si="791"/>
        <v>0.66315039201710624</v>
      </c>
      <c r="CO202" s="135">
        <f t="shared" si="791"/>
        <v>0.6600359808424523</v>
      </c>
      <c r="CP202" s="135">
        <f t="shared" si="791"/>
        <v>0.66869623976571158</v>
      </c>
      <c r="CQ202" s="135">
        <f t="shared" si="791"/>
        <v>0.66324457607960419</v>
      </c>
      <c r="CR202" s="135">
        <f t="shared" si="791"/>
        <v>0.65476884577310046</v>
      </c>
      <c r="CS202" s="302">
        <f t="shared" si="792"/>
        <v>0.65476884577310013</v>
      </c>
      <c r="CT202" s="134"/>
      <c r="CU202" s="134"/>
      <c r="CV202" s="134"/>
      <c r="CW202" s="135"/>
      <c r="CX202" s="302">
        <f t="shared" si="793"/>
        <v>0.66161662799604182</v>
      </c>
      <c r="CY202" s="134"/>
      <c r="CZ202" s="134"/>
      <c r="DA202" s="134"/>
      <c r="DB202" s="135"/>
      <c r="DC202" s="302">
        <f t="shared" si="794"/>
        <v>0.66118129228242906</v>
      </c>
      <c r="DD202" s="136"/>
      <c r="DE202" s="131"/>
      <c r="DJ202" s="448"/>
      <c r="DK202" s="412"/>
      <c r="DL202" s="412"/>
      <c r="DM202" s="412"/>
      <c r="DN202" s="412"/>
      <c r="DO202" s="412"/>
      <c r="DP202" s="412"/>
      <c r="DQ202" s="412"/>
      <c r="DR202" s="509"/>
      <c r="DS202" s="136"/>
    </row>
    <row r="203" spans="1:129" hidden="1" x14ac:dyDescent="0.2">
      <c r="A203" s="100" t="s">
        <v>47</v>
      </c>
      <c r="B203" s="295"/>
      <c r="C203" s="129"/>
      <c r="D203" s="129"/>
      <c r="E203" s="129"/>
      <c r="F203" s="129"/>
      <c r="G203" s="295"/>
      <c r="H203" s="129"/>
      <c r="I203" s="129"/>
      <c r="J203" s="129"/>
      <c r="K203" s="129"/>
      <c r="L203" s="320">
        <f t="shared" ref="L203:BI203" si="803">L186/L$181</f>
        <v>0.10276392417310105</v>
      </c>
      <c r="M203" s="135">
        <f t="shared" si="803"/>
        <v>9.4395703877332787E-2</v>
      </c>
      <c r="N203" s="135">
        <f t="shared" si="803"/>
        <v>8.458286860024565E-2</v>
      </c>
      <c r="O203" s="135">
        <f t="shared" si="803"/>
        <v>7.3101486501156429E-2</v>
      </c>
      <c r="P203" s="135">
        <f t="shared" si="803"/>
        <v>6.4303492965108136E-2</v>
      </c>
      <c r="Q203" s="320">
        <f t="shared" si="803"/>
        <v>6.4303492965108122E-2</v>
      </c>
      <c r="R203" s="135">
        <f t="shared" si="803"/>
        <v>6.1802456909501605E-2</v>
      </c>
      <c r="S203" s="135">
        <f t="shared" si="803"/>
        <v>6.0222263154663239E-2</v>
      </c>
      <c r="T203" s="135">
        <f t="shared" si="803"/>
        <v>5.923493358911415E-2</v>
      </c>
      <c r="U203" s="135">
        <f t="shared" si="803"/>
        <v>6.0062042307765511E-2</v>
      </c>
      <c r="V203" s="320">
        <f t="shared" si="803"/>
        <v>6.0062042307765497E-2</v>
      </c>
      <c r="W203" s="135">
        <f t="shared" si="803"/>
        <v>5.9930444467700218E-2</v>
      </c>
      <c r="X203" s="135">
        <f t="shared" si="803"/>
        <v>5.8478521114769727E-2</v>
      </c>
      <c r="Y203" s="135">
        <f t="shared" si="803"/>
        <v>5.7622522763792192E-2</v>
      </c>
      <c r="Z203" s="135">
        <f t="shared" si="803"/>
        <v>5.5617867168539177E-2</v>
      </c>
      <c r="AA203" s="320">
        <f t="shared" si="803"/>
        <v>5.5617867168539198E-2</v>
      </c>
      <c r="AB203" s="135">
        <f t="shared" si="803"/>
        <v>5.2515005294240288E-2</v>
      </c>
      <c r="AC203" s="135">
        <f t="shared" si="803"/>
        <v>4.8806669718656423E-2</v>
      </c>
      <c r="AD203" s="135">
        <f t="shared" si="803"/>
        <v>4.5265785703796559E-2</v>
      </c>
      <c r="AE203" s="135">
        <f t="shared" si="803"/>
        <v>4.3613615654277675E-2</v>
      </c>
      <c r="AF203" s="320">
        <f t="shared" si="803"/>
        <v>4.3613615654277661E-2</v>
      </c>
      <c r="AG203" s="135">
        <f t="shared" si="803"/>
        <v>4.3129680521496093E-2</v>
      </c>
      <c r="AH203" s="135">
        <f t="shared" si="803"/>
        <v>4.2645631080089161E-2</v>
      </c>
      <c r="AI203" s="135">
        <f t="shared" si="803"/>
        <v>4.3228425761535599E-2</v>
      </c>
      <c r="AJ203" s="135">
        <f t="shared" si="803"/>
        <v>4.3581281205043579E-2</v>
      </c>
      <c r="AK203" s="320">
        <f t="shared" si="803"/>
        <v>4.3581281205043579E-2</v>
      </c>
      <c r="AL203" s="135">
        <f t="shared" si="803"/>
        <v>4.4740024183796856E-2</v>
      </c>
      <c r="AM203" s="135">
        <f t="shared" si="803"/>
        <v>4.4632550981146595E-2</v>
      </c>
      <c r="AN203" s="135">
        <f t="shared" si="803"/>
        <v>4.422514619883041E-2</v>
      </c>
      <c r="AO203" s="135">
        <f t="shared" si="803"/>
        <v>4.3631245601688955E-2</v>
      </c>
      <c r="AP203" s="320">
        <f t="shared" si="803"/>
        <v>4.3631245601688955E-2</v>
      </c>
      <c r="AQ203" s="135">
        <f t="shared" si="803"/>
        <v>4.1311475409836068E-2</v>
      </c>
      <c r="AR203" s="135">
        <f t="shared" si="803"/>
        <v>4.0264234035860332E-2</v>
      </c>
      <c r="AS203" s="135">
        <f t="shared" si="803"/>
        <v>3.890229191797346E-2</v>
      </c>
      <c r="AT203" s="135">
        <f t="shared" si="803"/>
        <v>3.807556080283353E-2</v>
      </c>
      <c r="AU203" s="302">
        <f t="shared" si="803"/>
        <v>3.807556080283353E-2</v>
      </c>
      <c r="AV203" s="135">
        <f t="shared" si="803"/>
        <v>3.8313038313038311E-2</v>
      </c>
      <c r="AW203" s="135">
        <f t="shared" si="803"/>
        <v>3.8890563762435937E-2</v>
      </c>
      <c r="AX203" s="135">
        <f t="shared" si="803"/>
        <v>3.8837920489296636E-2</v>
      </c>
      <c r="AY203" s="135">
        <f t="shared" si="803"/>
        <v>3.8286235186873289E-2</v>
      </c>
      <c r="AZ203" s="302">
        <f t="shared" si="803"/>
        <v>3.8286235186873289E-2</v>
      </c>
      <c r="BA203" s="135">
        <f t="shared" si="784"/>
        <v>3.7136066547831255E-2</v>
      </c>
      <c r="BB203" s="135">
        <f t="shared" si="784"/>
        <v>3.5469107551487411E-2</v>
      </c>
      <c r="BC203" s="135">
        <f t="shared" si="784"/>
        <v>3.3778262053936255E-2</v>
      </c>
      <c r="BD203" s="135">
        <f t="shared" si="784"/>
        <v>3.3342154008997087E-2</v>
      </c>
      <c r="BE203" s="302">
        <f t="shared" si="803"/>
        <v>3.3342154008997087E-2</v>
      </c>
      <c r="BF203" s="135">
        <f t="shared" si="785"/>
        <v>3.2899770466717673E-2</v>
      </c>
      <c r="BG203" s="135">
        <f t="shared" si="803"/>
        <v>3.2421969513670455E-2</v>
      </c>
      <c r="BH203" s="135">
        <f t="shared" si="803"/>
        <v>3.1409958120055842E-2</v>
      </c>
      <c r="BI203" s="135">
        <f t="shared" si="803"/>
        <v>2.9973357015985792E-2</v>
      </c>
      <c r="BJ203" s="302">
        <f t="shared" ref="BJ203:BT203" si="804">BJ186/BJ$181</f>
        <v>2.9973357015985792E-2</v>
      </c>
      <c r="BK203" s="135">
        <f t="shared" si="804"/>
        <v>2.8541001064962726E-2</v>
      </c>
      <c r="BL203" s="135">
        <f t="shared" si="804"/>
        <v>2.7172785729101846E-2</v>
      </c>
      <c r="BM203" s="135">
        <f t="shared" si="804"/>
        <v>2.6550466153222537E-2</v>
      </c>
      <c r="BN203" s="135">
        <f t="shared" si="804"/>
        <v>2.6093938177438779E-2</v>
      </c>
      <c r="BO203" s="302">
        <f t="shared" si="804"/>
        <v>2.6093938177438779E-2</v>
      </c>
      <c r="BP203" s="135">
        <f t="shared" si="804"/>
        <v>2.5403702244978336E-2</v>
      </c>
      <c r="BQ203" s="135">
        <f t="shared" si="804"/>
        <v>2.5116822429906541E-2</v>
      </c>
      <c r="BR203" s="135">
        <f t="shared" si="804"/>
        <v>2.4478178368121443E-2</v>
      </c>
      <c r="BS203" s="135">
        <f t="shared" si="804"/>
        <v>2.3525087300128651E-2</v>
      </c>
      <c r="BT203" s="302">
        <f t="shared" si="804"/>
        <v>2.3525087300128651E-2</v>
      </c>
      <c r="BU203" s="135">
        <f t="shared" si="787"/>
        <v>2.3128756146421417E-2</v>
      </c>
      <c r="BV203" s="135">
        <f t="shared" si="787"/>
        <v>2.2127810231899452E-2</v>
      </c>
      <c r="BW203" s="135">
        <f t="shared" si="787"/>
        <v>2.1617852161785217E-2</v>
      </c>
      <c r="BX203" s="135">
        <f t="shared" si="787"/>
        <v>2.131682998108991E-2</v>
      </c>
      <c r="BY203" s="302">
        <f t="shared" si="788"/>
        <v>2.131682998108991E-2</v>
      </c>
      <c r="BZ203" s="135">
        <f t="shared" si="788"/>
        <v>2.0697713236521448E-2</v>
      </c>
      <c r="CA203" s="135">
        <f t="shared" si="788"/>
        <v>2.0294599018003272E-2</v>
      </c>
      <c r="CB203" s="135">
        <f t="shared" si="788"/>
        <v>1.9623484365028716E-2</v>
      </c>
      <c r="CC203" s="135">
        <f t="shared" si="788"/>
        <v>1.9014962593516208E-2</v>
      </c>
      <c r="CD203" s="302">
        <f t="shared" si="789"/>
        <v>1.9014962593516208E-2</v>
      </c>
      <c r="CE203" s="135">
        <f t="shared" si="789"/>
        <v>1.8282378245506221E-2</v>
      </c>
      <c r="CF203" s="135">
        <f t="shared" si="789"/>
        <v>1.7737003058103974E-2</v>
      </c>
      <c r="CG203" s="135">
        <f t="shared" si="789"/>
        <v>1.7312072892938495E-2</v>
      </c>
      <c r="CH203" s="135">
        <f t="shared" si="789"/>
        <v>1.6737032569360676E-2</v>
      </c>
      <c r="CI203" s="302">
        <f t="shared" si="790"/>
        <v>1.6737032569360676E-2</v>
      </c>
      <c r="CJ203" s="135">
        <f t="shared" si="790"/>
        <v>1.646525679758308E-2</v>
      </c>
      <c r="CK203" s="135">
        <f t="shared" si="790"/>
        <v>1.5398152221733392E-2</v>
      </c>
      <c r="CL203" s="135">
        <f t="shared" si="790"/>
        <v>1.4927536231884059E-2</v>
      </c>
      <c r="CM203" s="135">
        <f t="shared" si="790"/>
        <v>1.4397719173200286E-2</v>
      </c>
      <c r="CN203" s="302">
        <f t="shared" si="791"/>
        <v>1.4397719173200286E-2</v>
      </c>
      <c r="CO203" s="135">
        <f t="shared" si="791"/>
        <v>1.3810730781393298E-2</v>
      </c>
      <c r="CP203" s="135">
        <f t="shared" si="791"/>
        <v>1.3662465732981877E-2</v>
      </c>
      <c r="CQ203" s="135">
        <f t="shared" si="791"/>
        <v>1.2919714156739379E-2</v>
      </c>
      <c r="CR203" s="135">
        <f t="shared" si="791"/>
        <v>1.2334628798279765E-2</v>
      </c>
      <c r="CS203" s="302">
        <f t="shared" si="792"/>
        <v>1.2334628798279764E-2</v>
      </c>
      <c r="CT203" s="134"/>
      <c r="CU203" s="134"/>
      <c r="CV203" s="134"/>
      <c r="CW203" s="135"/>
      <c r="CX203" s="302">
        <f t="shared" si="793"/>
        <v>1.0875461870830093E-2</v>
      </c>
      <c r="CY203" s="134"/>
      <c r="CZ203" s="134"/>
      <c r="DA203" s="134"/>
      <c r="DB203" s="135"/>
      <c r="DC203" s="302">
        <f t="shared" si="794"/>
        <v>9.9362190286466246E-3</v>
      </c>
      <c r="DD203" s="136"/>
      <c r="DE203" s="131"/>
      <c r="DJ203" s="448"/>
      <c r="DK203" s="412"/>
      <c r="DL203" s="412"/>
      <c r="DM203" s="412"/>
      <c r="DN203" s="412"/>
      <c r="DO203" s="412"/>
      <c r="DP203" s="412"/>
      <c r="DQ203" s="412"/>
      <c r="DR203" s="509"/>
      <c r="DS203" s="136"/>
    </row>
    <row r="204" spans="1:129" hidden="1" x14ac:dyDescent="0.2">
      <c r="A204" s="100" t="s">
        <v>48</v>
      </c>
      <c r="B204" s="295"/>
      <c r="C204" s="129"/>
      <c r="D204" s="129"/>
      <c r="E204" s="129"/>
      <c r="F204" s="129"/>
      <c r="G204" s="295"/>
      <c r="H204" s="129"/>
      <c r="I204" s="129"/>
      <c r="J204" s="129"/>
      <c r="K204" s="129"/>
      <c r="L204" s="320">
        <f t="shared" ref="L204:BI205" si="805">L187/L$181</f>
        <v>0</v>
      </c>
      <c r="M204" s="135">
        <f t="shared" si="805"/>
        <v>0</v>
      </c>
      <c r="N204" s="135">
        <f t="shared" si="805"/>
        <v>0</v>
      </c>
      <c r="O204" s="135">
        <f t="shared" si="805"/>
        <v>0</v>
      </c>
      <c r="P204" s="135">
        <f t="shared" si="805"/>
        <v>0</v>
      </c>
      <c r="Q204" s="320">
        <f t="shared" si="805"/>
        <v>0</v>
      </c>
      <c r="R204" s="135">
        <f t="shared" si="805"/>
        <v>0</v>
      </c>
      <c r="S204" s="135">
        <f t="shared" si="805"/>
        <v>0</v>
      </c>
      <c r="T204" s="135">
        <f t="shared" si="805"/>
        <v>0</v>
      </c>
      <c r="U204" s="135">
        <f t="shared" si="805"/>
        <v>0</v>
      </c>
      <c r="V204" s="320">
        <f t="shared" si="805"/>
        <v>0</v>
      </c>
      <c r="W204" s="135">
        <f t="shared" si="805"/>
        <v>0</v>
      </c>
      <c r="X204" s="135">
        <f t="shared" si="805"/>
        <v>0</v>
      </c>
      <c r="Y204" s="135">
        <f t="shared" si="805"/>
        <v>0</v>
      </c>
      <c r="Z204" s="135">
        <f t="shared" si="805"/>
        <v>0</v>
      </c>
      <c r="AA204" s="320">
        <f t="shared" si="805"/>
        <v>0</v>
      </c>
      <c r="AB204" s="135">
        <f t="shared" si="805"/>
        <v>0</v>
      </c>
      <c r="AC204" s="135">
        <f t="shared" si="805"/>
        <v>0</v>
      </c>
      <c r="AD204" s="135">
        <f t="shared" si="805"/>
        <v>0</v>
      </c>
      <c r="AE204" s="135">
        <f t="shared" si="805"/>
        <v>0</v>
      </c>
      <c r="AF204" s="320">
        <f t="shared" si="805"/>
        <v>0</v>
      </c>
      <c r="AG204" s="135">
        <f t="shared" si="805"/>
        <v>0</v>
      </c>
      <c r="AH204" s="135">
        <f t="shared" si="805"/>
        <v>0</v>
      </c>
      <c r="AI204" s="135">
        <f t="shared" si="805"/>
        <v>0</v>
      </c>
      <c r="AJ204" s="135">
        <f t="shared" si="805"/>
        <v>0</v>
      </c>
      <c r="AK204" s="320">
        <f t="shared" si="805"/>
        <v>0</v>
      </c>
      <c r="AL204" s="135">
        <f t="shared" si="805"/>
        <v>0</v>
      </c>
      <c r="AM204" s="135">
        <f t="shared" si="805"/>
        <v>0</v>
      </c>
      <c r="AN204" s="135">
        <f t="shared" si="805"/>
        <v>0</v>
      </c>
      <c r="AO204" s="135">
        <f t="shared" si="805"/>
        <v>0</v>
      </c>
      <c r="AP204" s="320">
        <f t="shared" si="805"/>
        <v>0</v>
      </c>
      <c r="AQ204" s="135">
        <f t="shared" si="805"/>
        <v>0</v>
      </c>
      <c r="AR204" s="135">
        <f t="shared" si="805"/>
        <v>0</v>
      </c>
      <c r="AS204" s="135">
        <f t="shared" si="805"/>
        <v>0</v>
      </c>
      <c r="AT204" s="135">
        <f t="shared" si="805"/>
        <v>0</v>
      </c>
      <c r="AU204" s="302">
        <f t="shared" si="805"/>
        <v>0</v>
      </c>
      <c r="AV204" s="135">
        <f t="shared" si="805"/>
        <v>0</v>
      </c>
      <c r="AW204" s="135">
        <f t="shared" si="805"/>
        <v>0</v>
      </c>
      <c r="AX204" s="135">
        <f t="shared" si="805"/>
        <v>0</v>
      </c>
      <c r="AY204" s="135">
        <f t="shared" si="805"/>
        <v>0</v>
      </c>
      <c r="AZ204" s="302">
        <f t="shared" si="805"/>
        <v>0</v>
      </c>
      <c r="BA204" s="135">
        <f t="shared" si="784"/>
        <v>0</v>
      </c>
      <c r="BB204" s="135">
        <f t="shared" si="784"/>
        <v>0</v>
      </c>
      <c r="BC204" s="135">
        <f t="shared" si="784"/>
        <v>0</v>
      </c>
      <c r="BD204" s="135">
        <f t="shared" si="784"/>
        <v>0</v>
      </c>
      <c r="BE204" s="302">
        <f t="shared" si="805"/>
        <v>0</v>
      </c>
      <c r="BF204" s="135">
        <f t="shared" si="785"/>
        <v>0</v>
      </c>
      <c r="BG204" s="135">
        <f t="shared" si="805"/>
        <v>0</v>
      </c>
      <c r="BH204" s="135">
        <f t="shared" si="805"/>
        <v>0</v>
      </c>
      <c r="BI204" s="135">
        <f t="shared" si="805"/>
        <v>0</v>
      </c>
      <c r="BJ204" s="302">
        <f t="shared" ref="BJ204:BT204" si="806">BJ187/BJ$181</f>
        <v>0</v>
      </c>
      <c r="BK204" s="135">
        <f t="shared" si="806"/>
        <v>0</v>
      </c>
      <c r="BL204" s="135">
        <f t="shared" si="806"/>
        <v>0</v>
      </c>
      <c r="BM204" s="135">
        <f t="shared" si="806"/>
        <v>0</v>
      </c>
      <c r="BN204" s="135">
        <f t="shared" si="806"/>
        <v>0</v>
      </c>
      <c r="BO204" s="302">
        <f t="shared" si="806"/>
        <v>0</v>
      </c>
      <c r="BP204" s="135">
        <f t="shared" si="806"/>
        <v>0</v>
      </c>
      <c r="BQ204" s="135">
        <f t="shared" si="806"/>
        <v>0</v>
      </c>
      <c r="BR204" s="135">
        <f t="shared" si="806"/>
        <v>0</v>
      </c>
      <c r="BS204" s="135">
        <f t="shared" si="806"/>
        <v>0</v>
      </c>
      <c r="BT204" s="302">
        <f t="shared" si="806"/>
        <v>0</v>
      </c>
      <c r="BU204" s="135">
        <f t="shared" si="787"/>
        <v>0</v>
      </c>
      <c r="BV204" s="135">
        <f t="shared" si="787"/>
        <v>0</v>
      </c>
      <c r="BW204" s="135">
        <f t="shared" si="787"/>
        <v>0</v>
      </c>
      <c r="BX204" s="135">
        <f t="shared" si="787"/>
        <v>0</v>
      </c>
      <c r="BY204" s="302">
        <f t="shared" si="788"/>
        <v>0</v>
      </c>
      <c r="BZ204" s="135">
        <f t="shared" si="788"/>
        <v>0</v>
      </c>
      <c r="CA204" s="135">
        <f t="shared" si="788"/>
        <v>0</v>
      </c>
      <c r="CB204" s="135">
        <f t="shared" si="788"/>
        <v>0</v>
      </c>
      <c r="CC204" s="135">
        <f t="shared" si="788"/>
        <v>0</v>
      </c>
      <c r="CD204" s="302">
        <f t="shared" si="789"/>
        <v>0</v>
      </c>
      <c r="CE204" s="135">
        <f t="shared" si="789"/>
        <v>0</v>
      </c>
      <c r="CF204" s="135">
        <f t="shared" si="789"/>
        <v>0</v>
      </c>
      <c r="CG204" s="135">
        <f t="shared" si="789"/>
        <v>0</v>
      </c>
      <c r="CH204" s="135">
        <f t="shared" si="789"/>
        <v>0</v>
      </c>
      <c r="CI204" s="302">
        <f t="shared" si="790"/>
        <v>0</v>
      </c>
      <c r="CJ204" s="135">
        <f t="shared" si="790"/>
        <v>0</v>
      </c>
      <c r="CK204" s="135">
        <f t="shared" si="790"/>
        <v>0</v>
      </c>
      <c r="CL204" s="135">
        <f t="shared" si="790"/>
        <v>0</v>
      </c>
      <c r="CM204" s="135">
        <f t="shared" si="790"/>
        <v>0</v>
      </c>
      <c r="CN204" s="302">
        <f t="shared" si="791"/>
        <v>0</v>
      </c>
      <c r="CO204" s="135">
        <f t="shared" si="791"/>
        <v>0</v>
      </c>
      <c r="CP204" s="135">
        <f t="shared" si="791"/>
        <v>0</v>
      </c>
      <c r="CQ204" s="135">
        <f t="shared" si="791"/>
        <v>0</v>
      </c>
      <c r="CR204" s="135">
        <f t="shared" si="791"/>
        <v>0</v>
      </c>
      <c r="CS204" s="302">
        <f t="shared" si="792"/>
        <v>0</v>
      </c>
      <c r="CT204" s="134"/>
      <c r="CU204" s="134"/>
      <c r="CV204" s="134"/>
      <c r="CW204" s="135"/>
      <c r="CX204" s="302">
        <f t="shared" si="793"/>
        <v>0</v>
      </c>
      <c r="CY204" s="134"/>
      <c r="CZ204" s="134"/>
      <c r="DA204" s="134"/>
      <c r="DB204" s="135"/>
      <c r="DC204" s="302">
        <f t="shared" si="794"/>
        <v>0</v>
      </c>
      <c r="DD204" s="136"/>
      <c r="DE204" s="131"/>
      <c r="DJ204" s="448"/>
      <c r="DK204" s="412"/>
      <c r="DL204" s="412"/>
      <c r="DM204" s="412"/>
      <c r="DN204" s="412"/>
      <c r="DO204" s="412"/>
      <c r="DP204" s="412"/>
      <c r="DQ204" s="412"/>
      <c r="DR204" s="509"/>
      <c r="DS204" s="136"/>
    </row>
    <row r="205" spans="1:129" hidden="1" x14ac:dyDescent="0.2">
      <c r="A205" s="100" t="s">
        <v>252</v>
      </c>
      <c r="B205" s="295"/>
      <c r="C205" s="129"/>
      <c r="D205" s="129"/>
      <c r="E205" s="129"/>
      <c r="F205" s="129"/>
      <c r="G205" s="295"/>
      <c r="H205" s="129"/>
      <c r="I205" s="129"/>
      <c r="J205" s="129"/>
      <c r="K205" s="129"/>
      <c r="L205" s="320">
        <f t="shared" si="805"/>
        <v>3.2511063811194264E-2</v>
      </c>
      <c r="M205" s="135">
        <f t="shared" si="805"/>
        <v>3.3336496269872007E-2</v>
      </c>
      <c r="N205" s="135">
        <f t="shared" si="805"/>
        <v>3.5615552536900165E-2</v>
      </c>
      <c r="O205" s="135">
        <f t="shared" si="805"/>
        <v>3.7928870947264992E-2</v>
      </c>
      <c r="P205" s="135">
        <f t="shared" si="805"/>
        <v>4.2384101789855348E-2</v>
      </c>
      <c r="Q205" s="320">
        <f t="shared" si="805"/>
        <v>4.2384101789855327E-2</v>
      </c>
      <c r="R205" s="135">
        <f t="shared" si="805"/>
        <v>4.5249196052031294E-2</v>
      </c>
      <c r="S205" s="135">
        <f t="shared" si="805"/>
        <v>4.7041198501872661E-2</v>
      </c>
      <c r="T205" s="135">
        <f t="shared" si="805"/>
        <v>4.886063739276985E-2</v>
      </c>
      <c r="U205" s="135">
        <f t="shared" si="805"/>
        <v>5.0480241918924321E-2</v>
      </c>
      <c r="V205" s="320">
        <f t="shared" si="805"/>
        <v>5.04802419189243E-2</v>
      </c>
      <c r="W205" s="135">
        <f t="shared" si="805"/>
        <v>5.2690838553424338E-2</v>
      </c>
      <c r="X205" s="135">
        <f t="shared" si="805"/>
        <v>5.4452294320584058E-2</v>
      </c>
      <c r="Y205" s="135">
        <f t="shared" si="805"/>
        <v>5.7086067220139265E-2</v>
      </c>
      <c r="Z205" s="135">
        <f t="shared" si="805"/>
        <v>6.0627087175002689E-2</v>
      </c>
      <c r="AA205" s="320">
        <f t="shared" si="805"/>
        <v>6.062708717500271E-2</v>
      </c>
      <c r="AB205" s="135">
        <f t="shared" si="805"/>
        <v>6.2734706991439432E-2</v>
      </c>
      <c r="AC205" s="135">
        <f t="shared" si="805"/>
        <v>6.4590078196370138E-2</v>
      </c>
      <c r="AD205" s="135">
        <f t="shared" si="805"/>
        <v>6.5588183576578155E-2</v>
      </c>
      <c r="AE205" s="135">
        <f t="shared" si="805"/>
        <v>6.7528371821407196E-2</v>
      </c>
      <c r="AF205" s="320">
        <f t="shared" si="805"/>
        <v>6.7528371821407196E-2</v>
      </c>
      <c r="AG205" s="135">
        <f t="shared" si="805"/>
        <v>6.8535731314898971E-2</v>
      </c>
      <c r="AH205" s="135">
        <f t="shared" si="805"/>
        <v>6.7265541968323697E-2</v>
      </c>
      <c r="AI205" s="135">
        <f t="shared" si="805"/>
        <v>6.6214174652360416E-2</v>
      </c>
      <c r="AJ205" s="135">
        <f t="shared" si="805"/>
        <v>6.3891004485063893E-2</v>
      </c>
      <c r="AK205" s="320">
        <f t="shared" si="805"/>
        <v>6.3891004485063893E-2</v>
      </c>
      <c r="AL205" s="135">
        <f t="shared" si="805"/>
        <v>6.4087061668681986E-2</v>
      </c>
      <c r="AM205" s="135">
        <f t="shared" si="805"/>
        <v>6.348595613697576E-2</v>
      </c>
      <c r="AN205" s="135">
        <f t="shared" si="805"/>
        <v>6.2134502923976605E-2</v>
      </c>
      <c r="AO205" s="135">
        <f t="shared" si="805"/>
        <v>6.1928219563687541E-2</v>
      </c>
      <c r="AP205" s="320">
        <f t="shared" si="805"/>
        <v>6.1928219563687541E-2</v>
      </c>
      <c r="AQ205" s="135">
        <f t="shared" si="805"/>
        <v>5.8688524590163937E-2</v>
      </c>
      <c r="AR205" s="135">
        <f t="shared" si="805"/>
        <v>5.7250707769738909E-2</v>
      </c>
      <c r="AS205" s="135">
        <f t="shared" si="805"/>
        <v>5.790108564535585E-2</v>
      </c>
      <c r="AT205" s="135">
        <f t="shared" si="805"/>
        <v>6.0507674144037779E-2</v>
      </c>
      <c r="AU205" s="302">
        <f t="shared" si="805"/>
        <v>6.0507674144037779E-2</v>
      </c>
      <c r="AV205" s="135">
        <f t="shared" si="805"/>
        <v>6.3855063855063857E-2</v>
      </c>
      <c r="AW205" s="135">
        <f t="shared" si="805"/>
        <v>6.7832378655411515E-2</v>
      </c>
      <c r="AX205" s="135">
        <f t="shared" si="805"/>
        <v>7.0336391437308868E-2</v>
      </c>
      <c r="AY205" s="135">
        <f t="shared" si="805"/>
        <v>6.9279854147675485E-2</v>
      </c>
      <c r="AZ205" s="302">
        <f t="shared" si="805"/>
        <v>6.9279854147675485E-2</v>
      </c>
      <c r="BA205" s="135">
        <f t="shared" si="784"/>
        <v>6.833036244800951E-2</v>
      </c>
      <c r="BB205" s="135">
        <f t="shared" si="784"/>
        <v>6.5217391304347824E-2</v>
      </c>
      <c r="BC205" s="135">
        <f t="shared" si="784"/>
        <v>6.0746390629256332E-2</v>
      </c>
      <c r="BD205" s="135">
        <f t="shared" si="784"/>
        <v>5.8216459380788566E-2</v>
      </c>
      <c r="BE205" s="302">
        <f t="shared" si="805"/>
        <v>5.8216459380788566E-2</v>
      </c>
      <c r="BF205" s="135">
        <f t="shared" si="785"/>
        <v>5.5853098699311397E-2</v>
      </c>
      <c r="BG205" s="135">
        <f t="shared" si="805"/>
        <v>5.3955964190660538E-2</v>
      </c>
      <c r="BH205" s="135">
        <f t="shared" si="805"/>
        <v>5.2582596556537922E-2</v>
      </c>
      <c r="BI205" s="135">
        <f t="shared" si="805"/>
        <v>5.1731793960923624E-2</v>
      </c>
      <c r="BJ205" s="302">
        <f t="shared" ref="BJ205:BT205" si="807">BJ188/BJ$181</f>
        <v>5.1731793960923624E-2</v>
      </c>
      <c r="BK205" s="135">
        <f t="shared" si="807"/>
        <v>5.0692225772097976E-2</v>
      </c>
      <c r="BL205" s="135">
        <f t="shared" si="807"/>
        <v>5.0404480398257623E-2</v>
      </c>
      <c r="BM205" s="135">
        <f t="shared" si="807"/>
        <v>5.1074179164977702E-2</v>
      </c>
      <c r="BN205" s="135">
        <f t="shared" si="807"/>
        <v>5.1786431152147733E-2</v>
      </c>
      <c r="BO205" s="302">
        <f t="shared" si="807"/>
        <v>5.1786431152147733E-2</v>
      </c>
      <c r="BP205" s="135">
        <f t="shared" si="807"/>
        <v>5.2185899960614415E-2</v>
      </c>
      <c r="BQ205" s="135">
        <f t="shared" si="807"/>
        <v>5.3154205607476634E-2</v>
      </c>
      <c r="BR205" s="135">
        <f t="shared" si="807"/>
        <v>5.3130929791271347E-2</v>
      </c>
      <c r="BS205" s="135">
        <f t="shared" si="807"/>
        <v>5.3299025914353981E-2</v>
      </c>
      <c r="BT205" s="302">
        <f t="shared" si="807"/>
        <v>5.3299025914353981E-2</v>
      </c>
      <c r="BU205" s="135">
        <f t="shared" si="787"/>
        <v>5.463485703879075E-2</v>
      </c>
      <c r="BV205" s="135">
        <f t="shared" si="787"/>
        <v>5.4168879447689854E-2</v>
      </c>
      <c r="BW205" s="135">
        <f t="shared" si="787"/>
        <v>5.4393305439330547E-2</v>
      </c>
      <c r="BX205" s="135">
        <f t="shared" si="787"/>
        <v>5.5011174144748154E-2</v>
      </c>
      <c r="BY205" s="302">
        <f t="shared" si="788"/>
        <v>5.5011174144748154E-2</v>
      </c>
      <c r="BZ205" s="135">
        <f t="shared" si="788"/>
        <v>5.4915706893673845E-2</v>
      </c>
      <c r="CA205" s="135">
        <f t="shared" si="788"/>
        <v>5.4500818330605563E-2</v>
      </c>
      <c r="CB205" s="135">
        <f t="shared" si="788"/>
        <v>5.3924696873005745E-2</v>
      </c>
      <c r="CC205" s="135">
        <f t="shared" si="788"/>
        <v>5.3771820448877808E-2</v>
      </c>
      <c r="CD205" s="302">
        <f t="shared" si="789"/>
        <v>5.3771820448877808E-2</v>
      </c>
      <c r="CE205" s="135">
        <f t="shared" si="789"/>
        <v>5.3618067291442618E-2</v>
      </c>
      <c r="CF205" s="135">
        <f t="shared" si="789"/>
        <v>5.565749235474006E-2</v>
      </c>
      <c r="CG205" s="135">
        <f t="shared" si="789"/>
        <v>5.8010630220197416E-2</v>
      </c>
      <c r="CH205" s="135">
        <f t="shared" si="789"/>
        <v>5.9107358262967431E-2</v>
      </c>
      <c r="CI205" s="302">
        <f t="shared" si="790"/>
        <v>5.9107358262967431E-2</v>
      </c>
      <c r="CJ205" s="135">
        <f t="shared" si="790"/>
        <v>6.132930513595166E-2</v>
      </c>
      <c r="CK205" s="135">
        <f t="shared" si="790"/>
        <v>6.1445959818155156E-2</v>
      </c>
      <c r="CL205" s="135">
        <f t="shared" si="790"/>
        <v>6.246376811594203E-2</v>
      </c>
      <c r="CM205" s="135">
        <f t="shared" si="790"/>
        <v>6.3720598717034921E-2</v>
      </c>
      <c r="CN205" s="302">
        <f t="shared" si="791"/>
        <v>6.3720598717034921E-2</v>
      </c>
      <c r="CO205" s="135">
        <f t="shared" si="791"/>
        <v>6.3748570516514044E-2</v>
      </c>
      <c r="CP205" s="135">
        <f t="shared" si="791"/>
        <v>6.433115211016581E-2</v>
      </c>
      <c r="CQ205" s="135">
        <f t="shared" si="791"/>
        <v>6.3398232749818317E-2</v>
      </c>
      <c r="CR205" s="135">
        <f t="shared" si="791"/>
        <v>6.3070463044363062E-2</v>
      </c>
      <c r="CS205" s="302">
        <f t="shared" si="792"/>
        <v>6.3070463044363062E-2</v>
      </c>
      <c r="CT205" s="134"/>
      <c r="CU205" s="134"/>
      <c r="CV205" s="134"/>
      <c r="CW205" s="135"/>
      <c r="CX205" s="302">
        <f t="shared" si="793"/>
        <v>6.2117149895697672E-2</v>
      </c>
      <c r="CY205" s="134"/>
      <c r="CZ205" s="134"/>
      <c r="DA205" s="134"/>
      <c r="DB205" s="135"/>
      <c r="DC205" s="302">
        <f t="shared" si="794"/>
        <v>6.2189205461495832E-2</v>
      </c>
      <c r="DD205" s="136"/>
      <c r="DE205" s="131"/>
      <c r="DJ205" s="448"/>
      <c r="DK205" s="412"/>
      <c r="DL205" s="412"/>
      <c r="DM205" s="412"/>
      <c r="DN205" s="412"/>
      <c r="DO205" s="412"/>
      <c r="DP205" s="412"/>
      <c r="DQ205" s="412"/>
      <c r="DR205" s="509"/>
      <c r="DS205" s="136"/>
    </row>
    <row r="206" spans="1:129" hidden="1" x14ac:dyDescent="0.2">
      <c r="A206" s="100" t="s">
        <v>49</v>
      </c>
      <c r="B206" s="295"/>
      <c r="C206" s="129"/>
      <c r="D206" s="129"/>
      <c r="E206" s="129"/>
      <c r="F206" s="129"/>
      <c r="G206" s="295"/>
      <c r="H206" s="129"/>
      <c r="I206" s="129"/>
      <c r="J206" s="129"/>
      <c r="K206" s="129"/>
      <c r="L206" s="320">
        <f t="shared" ref="L206:BI206" si="808">L189/L$181</f>
        <v>8.232094665027137E-2</v>
      </c>
      <c r="M206" s="135">
        <f t="shared" si="808"/>
        <v>0.10826760520397093</v>
      </c>
      <c r="N206" s="135">
        <f t="shared" si="808"/>
        <v>0.12788563985608822</v>
      </c>
      <c r="O206" s="135">
        <f t="shared" si="808"/>
        <v>0.14123235140968293</v>
      </c>
      <c r="P206" s="135">
        <f t="shared" si="808"/>
        <v>0.16528727012819763</v>
      </c>
      <c r="Q206" s="320">
        <f t="shared" si="808"/>
        <v>0.16528727012819772</v>
      </c>
      <c r="R206" s="135">
        <f t="shared" si="808"/>
        <v>0.16143393884431778</v>
      </c>
      <c r="S206" s="135">
        <f t="shared" si="808"/>
        <v>0.1686005162399459</v>
      </c>
      <c r="T206" s="135">
        <f t="shared" si="808"/>
        <v>0.18281172299805445</v>
      </c>
      <c r="U206" s="135">
        <f t="shared" si="808"/>
        <v>0.17251748132670772</v>
      </c>
      <c r="V206" s="320">
        <f t="shared" si="808"/>
        <v>0.1725174813267078</v>
      </c>
      <c r="W206" s="135">
        <f t="shared" si="808"/>
        <v>0.15926011750811037</v>
      </c>
      <c r="X206" s="135">
        <f t="shared" si="808"/>
        <v>0.1454610863564961</v>
      </c>
      <c r="Y206" s="135">
        <f t="shared" si="808"/>
        <v>0.11359885511515797</v>
      </c>
      <c r="Z206" s="135">
        <f t="shared" si="808"/>
        <v>8.8273640920352989E-2</v>
      </c>
      <c r="AA206" s="320">
        <f t="shared" si="808"/>
        <v>8.8273640920352905E-2</v>
      </c>
      <c r="AB206" s="135">
        <f t="shared" si="808"/>
        <v>7.74962509952207E-2</v>
      </c>
      <c r="AC206" s="135">
        <f t="shared" si="808"/>
        <v>6.823256161919268E-2</v>
      </c>
      <c r="AD206" s="135">
        <f t="shared" si="808"/>
        <v>5.689515104876685E-2</v>
      </c>
      <c r="AE206" s="135">
        <f t="shared" si="808"/>
        <v>3.5868609253470317E-2</v>
      </c>
      <c r="AF206" s="320">
        <f t="shared" si="808"/>
        <v>3.5868609253470275E-2</v>
      </c>
      <c r="AG206" s="135">
        <f t="shared" si="808"/>
        <v>5.9346413999396752E-3</v>
      </c>
      <c r="AH206" s="135">
        <f t="shared" si="808"/>
        <v>8.8597101793977898E-3</v>
      </c>
      <c r="AI206" s="135">
        <f t="shared" si="808"/>
        <v>1.7407250164492447E-2</v>
      </c>
      <c r="AJ206" s="135">
        <f t="shared" si="808"/>
        <v>5.0943555894050932E-2</v>
      </c>
      <c r="AK206" s="320">
        <f t="shared" si="808"/>
        <v>5.0943555894050981E-2</v>
      </c>
      <c r="AL206" s="135">
        <f t="shared" si="808"/>
        <v>5.3204353083434096E-2</v>
      </c>
      <c r="AM206" s="135">
        <f t="shared" si="808"/>
        <v>6.0792612543285877E-2</v>
      </c>
      <c r="AN206" s="135">
        <f t="shared" si="808"/>
        <v>7.4195906432748537E-2</v>
      </c>
      <c r="AO206" s="135">
        <f t="shared" si="808"/>
        <v>5.9465165376495425E-2</v>
      </c>
      <c r="AP206" s="320">
        <f t="shared" si="808"/>
        <v>5.9465165376495425E-2</v>
      </c>
      <c r="AQ206" s="135">
        <f t="shared" si="808"/>
        <v>6.5311475409836076E-2</v>
      </c>
      <c r="AR206" s="135">
        <f t="shared" si="808"/>
        <v>4.63038691412394E-2</v>
      </c>
      <c r="AS206" s="135">
        <f t="shared" si="808"/>
        <v>2.7201447527141147E-2</v>
      </c>
      <c r="AT206" s="135">
        <f t="shared" si="808"/>
        <v>3.2231404958677698E-2</v>
      </c>
      <c r="AU206" s="302">
        <f t="shared" si="808"/>
        <v>3.2231404958677635E-2</v>
      </c>
      <c r="AV206" s="135">
        <f t="shared" si="808"/>
        <v>4.9747549747549746E-2</v>
      </c>
      <c r="AW206" s="135">
        <f t="shared" si="808"/>
        <v>6.7681640036177271E-2</v>
      </c>
      <c r="AX206" s="135">
        <f t="shared" si="808"/>
        <v>8.2415902140672778E-2</v>
      </c>
      <c r="AY206" s="135">
        <f t="shared" si="808"/>
        <v>8.6447888179884538E-2</v>
      </c>
      <c r="AZ206" s="302">
        <f t="shared" si="808"/>
        <v>8.6447888179884538E-2</v>
      </c>
      <c r="BA206" s="135">
        <f t="shared" ref="BA206:BD209" si="809">BA189/BA$181</f>
        <v>7.4569221628045163E-2</v>
      </c>
      <c r="BB206" s="135">
        <f t="shared" si="809"/>
        <v>7.6372997711670484E-2</v>
      </c>
      <c r="BC206" s="135">
        <f t="shared" si="809"/>
        <v>9.2563334241351117E-2</v>
      </c>
      <c r="BD206" s="135">
        <f t="shared" si="809"/>
        <v>8.8092087853929607E-2</v>
      </c>
      <c r="BE206" s="302">
        <f t="shared" si="808"/>
        <v>8.809208785392951E-2</v>
      </c>
      <c r="BF206" s="135">
        <f t="shared" si="785"/>
        <v>8.5666921703647023E-2</v>
      </c>
      <c r="BG206" s="135">
        <f t="shared" si="808"/>
        <v>7.9337043309944344E-2</v>
      </c>
      <c r="BH206" s="135">
        <f t="shared" si="808"/>
        <v>6.8892508143322484E-2</v>
      </c>
      <c r="BI206" s="135">
        <f t="shared" si="808"/>
        <v>7.1492007104795738E-2</v>
      </c>
      <c r="BJ206" s="302">
        <f t="shared" ref="BJ206:BN213" si="810">BJ189/BJ$181</f>
        <v>7.1492007104795738E-2</v>
      </c>
      <c r="BK206" s="135">
        <f t="shared" si="810"/>
        <v>7.7955271565495213E-2</v>
      </c>
      <c r="BL206" s="135">
        <f t="shared" si="810"/>
        <v>8.5044596556730967E-2</v>
      </c>
      <c r="BM206" s="135">
        <f t="shared" si="810"/>
        <v>8.4110255370895823E-2</v>
      </c>
      <c r="BN206" s="135">
        <f t="shared" si="810"/>
        <v>7.5471698113207544E-2</v>
      </c>
      <c r="BO206" s="302">
        <f t="shared" ref="BO206:BP213" si="811">BO189/BO$181</f>
        <v>7.5471698113207544E-2</v>
      </c>
      <c r="BP206" s="135">
        <f t="shared" si="811"/>
        <v>6.8137061835368259E-2</v>
      </c>
      <c r="BQ206" s="135">
        <f t="shared" ref="BQ206:BS213" si="812">BQ189/BQ$181</f>
        <v>6.191588785046729E-2</v>
      </c>
      <c r="BR206" s="135">
        <f t="shared" si="812"/>
        <v>6.7741935483870974E-2</v>
      </c>
      <c r="BS206" s="135">
        <f t="shared" si="812"/>
        <v>7.8662010659805187E-2</v>
      </c>
      <c r="BT206" s="302">
        <f t="shared" ref="BT206:BX213" si="813">BT189/BT$181</f>
        <v>7.8662010659805187E-2</v>
      </c>
      <c r="BU206" s="135">
        <f t="shared" si="813"/>
        <v>7.4667637953014024E-2</v>
      </c>
      <c r="BV206" s="135">
        <f t="shared" si="813"/>
        <v>7.9483094352982828E-2</v>
      </c>
      <c r="BW206" s="135">
        <f t="shared" si="813"/>
        <v>8.0369595536959548E-2</v>
      </c>
      <c r="BX206" s="135">
        <f t="shared" si="813"/>
        <v>8.8533608389204058E-2</v>
      </c>
      <c r="BY206" s="302">
        <f t="shared" ref="BY206:CC213" si="814">BY189/BY$181</f>
        <v>8.8533608389204058E-2</v>
      </c>
      <c r="BZ206" s="135">
        <f t="shared" si="814"/>
        <v>0.1213486897012185</v>
      </c>
      <c r="CA206" s="135">
        <f t="shared" si="814"/>
        <v>0.14206219312602292</v>
      </c>
      <c r="CB206" s="135">
        <f t="shared" si="814"/>
        <v>0.16831525207402681</v>
      </c>
      <c r="CC206" s="135">
        <f t="shared" si="814"/>
        <v>0.18952618453865336</v>
      </c>
      <c r="CD206" s="302">
        <f t="shared" si="789"/>
        <v>0.18952618453865336</v>
      </c>
      <c r="CE206" s="135">
        <f t="shared" si="789"/>
        <v>0.20156706099247196</v>
      </c>
      <c r="CF206" s="135">
        <f t="shared" si="789"/>
        <v>0.20535168195718653</v>
      </c>
      <c r="CG206" s="135">
        <f t="shared" si="789"/>
        <v>0.20440394836750189</v>
      </c>
      <c r="CH206" s="135">
        <f t="shared" si="789"/>
        <v>0.19782870928829915</v>
      </c>
      <c r="CI206" s="302">
        <f t="shared" si="790"/>
        <v>0.19782870928829915</v>
      </c>
      <c r="CJ206" s="135">
        <f t="shared" si="790"/>
        <v>0.16767371601208458</v>
      </c>
      <c r="CK206" s="135">
        <f t="shared" si="790"/>
        <v>0.16879307816395367</v>
      </c>
      <c r="CL206" s="135">
        <f t="shared" si="790"/>
        <v>0.16043478260869565</v>
      </c>
      <c r="CM206" s="135">
        <f t="shared" si="790"/>
        <v>0.14255167498218105</v>
      </c>
      <c r="CN206" s="302">
        <f t="shared" si="791"/>
        <v>0.14255167498218105</v>
      </c>
      <c r="CO206" s="135">
        <f t="shared" si="791"/>
        <v>0.13483637023430367</v>
      </c>
      <c r="CP206" s="135">
        <f t="shared" si="791"/>
        <v>0.11136875972504059</v>
      </c>
      <c r="CQ206" s="135">
        <f t="shared" si="791"/>
        <v>0.10738370150570953</v>
      </c>
      <c r="CR206" s="135">
        <f t="shared" si="791"/>
        <v>0.11184445486701483</v>
      </c>
      <c r="CS206" s="302">
        <f t="shared" si="792"/>
        <v>0.11184445486701484</v>
      </c>
      <c r="CT206" s="134"/>
      <c r="CU206" s="134"/>
      <c r="CV206" s="134"/>
      <c r="CW206" s="135"/>
      <c r="CX206" s="302">
        <f t="shared" si="793"/>
        <v>0.12101235177729883</v>
      </c>
      <c r="CY206" s="134"/>
      <c r="CZ206" s="134"/>
      <c r="DA206" s="134"/>
      <c r="DB206" s="135"/>
      <c r="DC206" s="302">
        <f t="shared" si="794"/>
        <v>0.13501511327370228</v>
      </c>
      <c r="DD206" s="136"/>
      <c r="DE206" s="131"/>
      <c r="DJ206" s="448"/>
      <c r="DK206" s="412"/>
      <c r="DL206" s="412"/>
      <c r="DM206" s="412"/>
      <c r="DN206" s="412"/>
      <c r="DO206" s="412"/>
      <c r="DP206" s="412"/>
      <c r="DQ206" s="412"/>
      <c r="DR206" s="509"/>
      <c r="DS206" s="136"/>
    </row>
    <row r="207" spans="1:129" hidden="1" x14ac:dyDescent="0.2">
      <c r="A207" s="100" t="s">
        <v>50</v>
      </c>
      <c r="B207" s="295"/>
      <c r="C207" s="129"/>
      <c r="D207" s="129"/>
      <c r="E207" s="129"/>
      <c r="F207" s="129"/>
      <c r="G207" s="295"/>
      <c r="H207" s="129"/>
      <c r="I207" s="129"/>
      <c r="J207" s="129"/>
      <c r="K207" s="129"/>
      <c r="L207" s="320">
        <f t="shared" ref="L207:BI207" si="815">L190/L$181</f>
        <v>0.11483201046146564</v>
      </c>
      <c r="M207" s="135">
        <f t="shared" si="815"/>
        <v>0.14160410147384295</v>
      </c>
      <c r="N207" s="135">
        <f t="shared" si="815"/>
        <v>0.16350119239298838</v>
      </c>
      <c r="O207" s="135">
        <f t="shared" si="815"/>
        <v>0.17916122235694792</v>
      </c>
      <c r="P207" s="135">
        <f t="shared" si="815"/>
        <v>0.20767137191805299</v>
      </c>
      <c r="Q207" s="320">
        <f t="shared" si="815"/>
        <v>0.20767137191805304</v>
      </c>
      <c r="R207" s="135">
        <f t="shared" si="815"/>
        <v>0.20668313489634904</v>
      </c>
      <c r="S207" s="135">
        <f t="shared" si="815"/>
        <v>0.21564171474181856</v>
      </c>
      <c r="T207" s="135">
        <f t="shared" si="815"/>
        <v>0.23167236039082428</v>
      </c>
      <c r="U207" s="135">
        <f t="shared" si="815"/>
        <v>0.22299772324563202</v>
      </c>
      <c r="V207" s="320">
        <f t="shared" si="815"/>
        <v>0.22299772324563211</v>
      </c>
      <c r="W207" s="135">
        <f t="shared" si="815"/>
        <v>0.21195095606153472</v>
      </c>
      <c r="X207" s="135">
        <f t="shared" si="815"/>
        <v>0.19991338067708017</v>
      </c>
      <c r="Y207" s="135">
        <f t="shared" si="815"/>
        <v>0.17068492233529722</v>
      </c>
      <c r="Z207" s="135">
        <f t="shared" si="815"/>
        <v>0.14890072809535568</v>
      </c>
      <c r="AA207" s="320">
        <f t="shared" si="815"/>
        <v>0.14890072809535562</v>
      </c>
      <c r="AB207" s="135">
        <f t="shared" si="815"/>
        <v>0.14023095798666013</v>
      </c>
      <c r="AC207" s="135">
        <f t="shared" si="815"/>
        <v>0.13282263981556283</v>
      </c>
      <c r="AD207" s="135">
        <f t="shared" si="815"/>
        <v>0.12248333462534501</v>
      </c>
      <c r="AE207" s="135">
        <f t="shared" si="815"/>
        <v>0.10339698107487751</v>
      </c>
      <c r="AF207" s="320">
        <f t="shared" si="815"/>
        <v>0.10339698107487746</v>
      </c>
      <c r="AG207" s="135">
        <f t="shared" si="815"/>
        <v>7.447037271483864E-2</v>
      </c>
      <c r="AH207" s="135">
        <f t="shared" si="815"/>
        <v>7.6125252147721492E-2</v>
      </c>
      <c r="AI207" s="135">
        <f t="shared" si="815"/>
        <v>8.3621424816852863E-2</v>
      </c>
      <c r="AJ207" s="135">
        <f t="shared" si="815"/>
        <v>0.11483456037911483</v>
      </c>
      <c r="AK207" s="320">
        <f t="shared" si="815"/>
        <v>0.11483456037911487</v>
      </c>
      <c r="AL207" s="135">
        <f t="shared" si="815"/>
        <v>0.11729141475211609</v>
      </c>
      <c r="AM207" s="135">
        <f t="shared" si="815"/>
        <v>0.12427856868026164</v>
      </c>
      <c r="AN207" s="135">
        <f t="shared" si="815"/>
        <v>0.13633040935672514</v>
      </c>
      <c r="AO207" s="135">
        <f t="shared" si="815"/>
        <v>0.12139338494018297</v>
      </c>
      <c r="AP207" s="320">
        <f t="shared" si="815"/>
        <v>0.12139338494018297</v>
      </c>
      <c r="AQ207" s="135">
        <f t="shared" si="815"/>
        <v>0.12400000000000001</v>
      </c>
      <c r="AR207" s="135">
        <f t="shared" si="815"/>
        <v>0.10355457691097832</v>
      </c>
      <c r="AS207" s="135">
        <f t="shared" si="815"/>
        <v>8.5102533172496997E-2</v>
      </c>
      <c r="AT207" s="135">
        <f t="shared" si="815"/>
        <v>9.2739079102715477E-2</v>
      </c>
      <c r="AU207" s="302">
        <f t="shared" si="815"/>
        <v>9.2739079102715408E-2</v>
      </c>
      <c r="AV207" s="135">
        <f t="shared" si="815"/>
        <v>0.1136026136026136</v>
      </c>
      <c r="AW207" s="135">
        <f t="shared" si="815"/>
        <v>0.13551401869158877</v>
      </c>
      <c r="AX207" s="135">
        <f t="shared" si="815"/>
        <v>0.15275229357798165</v>
      </c>
      <c r="AY207" s="135">
        <f t="shared" si="815"/>
        <v>0.15572774232756001</v>
      </c>
      <c r="AZ207" s="302">
        <f t="shared" si="815"/>
        <v>0.15572774232756001</v>
      </c>
      <c r="BA207" s="135">
        <f t="shared" si="809"/>
        <v>0.14289958407605466</v>
      </c>
      <c r="BB207" s="135">
        <f t="shared" si="809"/>
        <v>0.14159038901601831</v>
      </c>
      <c r="BC207" s="135">
        <f t="shared" si="809"/>
        <v>0.15330972487060746</v>
      </c>
      <c r="BD207" s="135">
        <f t="shared" si="809"/>
        <v>0.14630854723471817</v>
      </c>
      <c r="BE207" s="302">
        <f t="shared" si="815"/>
        <v>0.14630854723471809</v>
      </c>
      <c r="BF207" s="135">
        <f t="shared" si="785"/>
        <v>0.14152002040295841</v>
      </c>
      <c r="BG207" s="135">
        <f t="shared" si="815"/>
        <v>0.13329300750060488</v>
      </c>
      <c r="BH207" s="135">
        <f t="shared" si="815"/>
        <v>0.12147510469986041</v>
      </c>
      <c r="BI207" s="135">
        <f t="shared" si="815"/>
        <v>0.12322380106571935</v>
      </c>
      <c r="BJ207" s="302">
        <f t="shared" si="810"/>
        <v>0.12322380106571935</v>
      </c>
      <c r="BK207" s="135">
        <f t="shared" si="810"/>
        <v>0.12864749733759318</v>
      </c>
      <c r="BL207" s="135">
        <f t="shared" si="810"/>
        <v>0.13544907695498859</v>
      </c>
      <c r="BM207" s="135">
        <f t="shared" si="810"/>
        <v>0.13518443453587353</v>
      </c>
      <c r="BN207" s="135">
        <f t="shared" si="810"/>
        <v>0.12725812926535529</v>
      </c>
      <c r="BO207" s="302">
        <f t="shared" si="811"/>
        <v>0.12725812926535529</v>
      </c>
      <c r="BP207" s="135">
        <f t="shared" si="811"/>
        <v>0.12032296179598267</v>
      </c>
      <c r="BQ207" s="135">
        <f t="shared" si="812"/>
        <v>0.11507009345794393</v>
      </c>
      <c r="BR207" s="135">
        <f t="shared" si="812"/>
        <v>0.12087286527514232</v>
      </c>
      <c r="BS207" s="135">
        <f t="shared" si="812"/>
        <v>0.13196103657415917</v>
      </c>
      <c r="BT207" s="302">
        <f t="shared" si="813"/>
        <v>0.13196103657415917</v>
      </c>
      <c r="BU207" s="135">
        <f t="shared" si="813"/>
        <v>0.12930249499180477</v>
      </c>
      <c r="BV207" s="135">
        <f t="shared" si="813"/>
        <v>0.13365197380067267</v>
      </c>
      <c r="BW207" s="135">
        <f t="shared" si="813"/>
        <v>0.1347629009762901</v>
      </c>
      <c r="BX207" s="135">
        <f t="shared" si="813"/>
        <v>0.1435447825339522</v>
      </c>
      <c r="BY207" s="302">
        <f t="shared" si="814"/>
        <v>0.1435447825339522</v>
      </c>
      <c r="BZ207" s="135">
        <f t="shared" si="814"/>
        <v>0.17626439659489235</v>
      </c>
      <c r="CA207" s="135">
        <f t="shared" si="814"/>
        <v>0.19656301145662847</v>
      </c>
      <c r="CB207" s="135">
        <f t="shared" si="814"/>
        <v>0.22223994894703256</v>
      </c>
      <c r="CC207" s="135">
        <f t="shared" si="814"/>
        <v>0.24329800498753118</v>
      </c>
      <c r="CD207" s="302">
        <f t="shared" si="789"/>
        <v>0.24329800498753118</v>
      </c>
      <c r="CE207" s="135">
        <f t="shared" si="789"/>
        <v>0.2551851282839146</v>
      </c>
      <c r="CF207" s="135">
        <f t="shared" si="789"/>
        <v>0.26100917431192661</v>
      </c>
      <c r="CG207" s="135">
        <f t="shared" si="789"/>
        <v>0.26241457858769934</v>
      </c>
      <c r="CH207" s="135">
        <f t="shared" si="789"/>
        <v>0.25693606755126658</v>
      </c>
      <c r="CI207" s="302">
        <f t="shared" si="790"/>
        <v>0.25693606755126658</v>
      </c>
      <c r="CJ207" s="135">
        <f t="shared" si="790"/>
        <v>0.22900302114803625</v>
      </c>
      <c r="CK207" s="135">
        <f t="shared" si="790"/>
        <v>0.23023903798210882</v>
      </c>
      <c r="CL207" s="135">
        <f t="shared" si="790"/>
        <v>0.22289855072463768</v>
      </c>
      <c r="CM207" s="135">
        <f t="shared" si="790"/>
        <v>0.20627227369921597</v>
      </c>
      <c r="CN207" s="302">
        <f t="shared" si="791"/>
        <v>0.20627227369921597</v>
      </c>
      <c r="CO207" s="135">
        <f t="shared" si="791"/>
        <v>0.19858494075081776</v>
      </c>
      <c r="CP207" s="135">
        <f t="shared" si="791"/>
        <v>0.17569991183520639</v>
      </c>
      <c r="CQ207" s="135">
        <f t="shared" si="791"/>
        <v>0.17078193425552785</v>
      </c>
      <c r="CR207" s="135">
        <f t="shared" si="791"/>
        <v>0.17491491791137792</v>
      </c>
      <c r="CS207" s="302">
        <f t="shared" si="792"/>
        <v>0.17491491791137789</v>
      </c>
      <c r="CT207" s="134"/>
      <c r="CU207" s="134"/>
      <c r="CV207" s="134"/>
      <c r="CW207" s="135"/>
      <c r="CX207" s="302">
        <f t="shared" si="793"/>
        <v>0.18312950167299649</v>
      </c>
      <c r="CY207" s="134"/>
      <c r="CZ207" s="134"/>
      <c r="DA207" s="134"/>
      <c r="DB207" s="135"/>
      <c r="DC207" s="302">
        <f t="shared" si="794"/>
        <v>0.19720431873519809</v>
      </c>
      <c r="DD207" s="136"/>
      <c r="DE207" s="131"/>
      <c r="DJ207" s="448"/>
      <c r="DK207" s="412"/>
      <c r="DL207" s="412"/>
      <c r="DM207" s="412"/>
      <c r="DN207" s="412"/>
      <c r="DO207" s="412"/>
      <c r="DP207" s="412"/>
      <c r="DQ207" s="412"/>
      <c r="DR207" s="509"/>
      <c r="DS207" s="136"/>
    </row>
    <row r="208" spans="1:129" hidden="1" x14ac:dyDescent="0.2">
      <c r="A208" s="100" t="s">
        <v>51</v>
      </c>
      <c r="B208" s="295"/>
      <c r="C208" s="129"/>
      <c r="D208" s="129"/>
      <c r="E208" s="129"/>
      <c r="F208" s="129"/>
      <c r="G208" s="295"/>
      <c r="H208" s="129"/>
      <c r="I208" s="129"/>
      <c r="J208" s="129"/>
      <c r="K208" s="129"/>
      <c r="L208" s="320">
        <f t="shared" ref="L208:BI208" si="816">L191/L$181</f>
        <v>0.2175959346345667</v>
      </c>
      <c r="M208" s="135">
        <f t="shared" si="816"/>
        <v>0.23599980535117571</v>
      </c>
      <c r="N208" s="135">
        <f t="shared" si="816"/>
        <v>0.24808406099323405</v>
      </c>
      <c r="O208" s="135">
        <f t="shared" si="816"/>
        <v>0.25226270885810437</v>
      </c>
      <c r="P208" s="135">
        <f t="shared" si="816"/>
        <v>0.27197486488316114</v>
      </c>
      <c r="Q208" s="320">
        <f t="shared" si="816"/>
        <v>0.27197486488316119</v>
      </c>
      <c r="R208" s="135">
        <f t="shared" si="816"/>
        <v>0.26848559180585069</v>
      </c>
      <c r="S208" s="135">
        <f t="shared" si="816"/>
        <v>0.27586397789648182</v>
      </c>
      <c r="T208" s="135">
        <f t="shared" si="816"/>
        <v>0.29090729397993842</v>
      </c>
      <c r="U208" s="135">
        <f t="shared" si="816"/>
        <v>0.28305976555339757</v>
      </c>
      <c r="V208" s="320">
        <f t="shared" si="816"/>
        <v>0.28305976555339762</v>
      </c>
      <c r="W208" s="135">
        <f t="shared" si="816"/>
        <v>0.27188140052923493</v>
      </c>
      <c r="X208" s="135">
        <f t="shared" si="816"/>
        <v>0.2583919017918499</v>
      </c>
      <c r="Y208" s="135">
        <f t="shared" si="816"/>
        <v>0.22830744509908943</v>
      </c>
      <c r="Z208" s="135">
        <f t="shared" si="816"/>
        <v>0.20451859526389485</v>
      </c>
      <c r="AA208" s="320">
        <f t="shared" si="816"/>
        <v>0.20451859526389482</v>
      </c>
      <c r="AB208" s="135">
        <f t="shared" si="816"/>
        <v>0.19274596328090041</v>
      </c>
      <c r="AC208" s="135">
        <f t="shared" si="816"/>
        <v>0.18162930953421924</v>
      </c>
      <c r="AD208" s="135">
        <f t="shared" si="816"/>
        <v>0.16774912032914152</v>
      </c>
      <c r="AE208" s="135">
        <f t="shared" si="816"/>
        <v>0.14701059672915517</v>
      </c>
      <c r="AF208" s="320">
        <f t="shared" si="816"/>
        <v>0.14701059672915512</v>
      </c>
      <c r="AG208" s="135">
        <f t="shared" si="816"/>
        <v>0.11760005323633474</v>
      </c>
      <c r="AH208" s="135">
        <f t="shared" si="816"/>
        <v>0.11877088322781065</v>
      </c>
      <c r="AI208" s="135">
        <f t="shared" si="816"/>
        <v>0.12684985057838846</v>
      </c>
      <c r="AJ208" s="135">
        <f t="shared" si="816"/>
        <v>0.15841584158415839</v>
      </c>
      <c r="AK208" s="320">
        <f t="shared" si="816"/>
        <v>0.15841584158415845</v>
      </c>
      <c r="AL208" s="135">
        <f t="shared" si="816"/>
        <v>0.16203143893591293</v>
      </c>
      <c r="AM208" s="135">
        <f t="shared" si="816"/>
        <v>0.16891111966140823</v>
      </c>
      <c r="AN208" s="135">
        <f t="shared" si="816"/>
        <v>0.18055555555555555</v>
      </c>
      <c r="AO208" s="135">
        <f t="shared" si="816"/>
        <v>0.16502463054187191</v>
      </c>
      <c r="AP208" s="320">
        <f t="shared" si="816"/>
        <v>0.16502463054187191</v>
      </c>
      <c r="AQ208" s="135">
        <f t="shared" si="816"/>
        <v>0.16531147540983607</v>
      </c>
      <c r="AR208" s="135">
        <f t="shared" si="816"/>
        <v>0.14381881094683865</v>
      </c>
      <c r="AS208" s="135">
        <f t="shared" si="816"/>
        <v>0.12400482509047046</v>
      </c>
      <c r="AT208" s="135">
        <f t="shared" si="816"/>
        <v>0.13081463990554901</v>
      </c>
      <c r="AU208" s="302">
        <f t="shared" si="816"/>
        <v>0.13081463990554895</v>
      </c>
      <c r="AV208" s="135">
        <f t="shared" si="816"/>
        <v>0.15191565191565193</v>
      </c>
      <c r="AW208" s="135">
        <f t="shared" si="816"/>
        <v>0.17440458245402471</v>
      </c>
      <c r="AX208" s="135">
        <f t="shared" si="816"/>
        <v>0.19159021406727827</v>
      </c>
      <c r="AY208" s="135">
        <f t="shared" si="816"/>
        <v>0.19401397751443331</v>
      </c>
      <c r="AZ208" s="302">
        <f t="shared" si="816"/>
        <v>0.19401397751443331</v>
      </c>
      <c r="BA208" s="135">
        <f t="shared" si="809"/>
        <v>0.18003565062388591</v>
      </c>
      <c r="BB208" s="135">
        <f t="shared" si="809"/>
        <v>0.17705949656750572</v>
      </c>
      <c r="BC208" s="135">
        <f t="shared" si="809"/>
        <v>0.1870879869245437</v>
      </c>
      <c r="BD208" s="135">
        <f t="shared" si="809"/>
        <v>0.17965070124371527</v>
      </c>
      <c r="BE208" s="302">
        <f t="shared" si="816"/>
        <v>0.17965070124371518</v>
      </c>
      <c r="BF208" s="135">
        <f t="shared" si="785"/>
        <v>0.1744197908696761</v>
      </c>
      <c r="BG208" s="135">
        <f t="shared" si="816"/>
        <v>0.16571497701427534</v>
      </c>
      <c r="BH208" s="135">
        <f t="shared" si="816"/>
        <v>0.15288506281991623</v>
      </c>
      <c r="BI208" s="135">
        <f t="shared" si="816"/>
        <v>0.15319715808170514</v>
      </c>
      <c r="BJ208" s="302">
        <f t="shared" si="810"/>
        <v>0.15319715808170514</v>
      </c>
      <c r="BK208" s="135">
        <f t="shared" si="810"/>
        <v>0.15718849840255592</v>
      </c>
      <c r="BL208" s="135">
        <f t="shared" si="810"/>
        <v>0.16262186268409043</v>
      </c>
      <c r="BM208" s="135">
        <f t="shared" si="810"/>
        <v>0.16173490068909607</v>
      </c>
      <c r="BN208" s="135">
        <f t="shared" si="810"/>
        <v>0.15335206744279406</v>
      </c>
      <c r="BO208" s="302">
        <f t="shared" si="811"/>
        <v>0.15335206744279406</v>
      </c>
      <c r="BP208" s="135">
        <f t="shared" si="811"/>
        <v>0.14572666404096102</v>
      </c>
      <c r="BQ208" s="135">
        <f t="shared" si="812"/>
        <v>0.14018691588785046</v>
      </c>
      <c r="BR208" s="135">
        <f t="shared" si="812"/>
        <v>0.14535104364326376</v>
      </c>
      <c r="BS208" s="135">
        <f t="shared" si="812"/>
        <v>0.15548612387428781</v>
      </c>
      <c r="BT208" s="302">
        <f t="shared" si="813"/>
        <v>0.15548612387428781</v>
      </c>
      <c r="BU208" s="135">
        <f t="shared" si="813"/>
        <v>0.1524312511382262</v>
      </c>
      <c r="BV208" s="135">
        <f t="shared" si="813"/>
        <v>0.15577978403257214</v>
      </c>
      <c r="BW208" s="135">
        <f t="shared" si="813"/>
        <v>0.15638075313807531</v>
      </c>
      <c r="BX208" s="135">
        <f t="shared" si="813"/>
        <v>0.16486161251504211</v>
      </c>
      <c r="BY208" s="302">
        <f t="shared" si="814"/>
        <v>0.16486161251504211</v>
      </c>
      <c r="BZ208" s="135">
        <f t="shared" si="814"/>
        <v>0.1969621098314138</v>
      </c>
      <c r="CA208" s="135">
        <f t="shared" si="814"/>
        <v>0.21685761047463176</v>
      </c>
      <c r="CB208" s="135">
        <f t="shared" si="814"/>
        <v>0.24186343331206125</v>
      </c>
      <c r="CC208" s="135">
        <f t="shared" si="814"/>
        <v>0.26231296758104738</v>
      </c>
      <c r="CD208" s="302">
        <f t="shared" si="789"/>
        <v>0.26231296758104738</v>
      </c>
      <c r="CE208" s="135">
        <f t="shared" si="789"/>
        <v>0.27346750652942081</v>
      </c>
      <c r="CF208" s="135">
        <f t="shared" si="789"/>
        <v>0.2787461773700306</v>
      </c>
      <c r="CG208" s="135">
        <f t="shared" si="789"/>
        <v>0.2797266514806378</v>
      </c>
      <c r="CH208" s="135">
        <f t="shared" si="789"/>
        <v>0.27367310012062729</v>
      </c>
      <c r="CI208" s="302">
        <f t="shared" si="790"/>
        <v>0.27367310012062729</v>
      </c>
      <c r="CJ208" s="135">
        <f t="shared" si="790"/>
        <v>0.24546827794561935</v>
      </c>
      <c r="CK208" s="135">
        <f t="shared" si="790"/>
        <v>0.2456371902038422</v>
      </c>
      <c r="CL208" s="135">
        <f t="shared" si="790"/>
        <v>0.23782608695652174</v>
      </c>
      <c r="CM208" s="135">
        <f t="shared" si="790"/>
        <v>0.22066999287241626</v>
      </c>
      <c r="CN208" s="302">
        <f t="shared" si="791"/>
        <v>0.22066999287241626</v>
      </c>
      <c r="CO208" s="135">
        <f t="shared" si="791"/>
        <v>0.21239567153221103</v>
      </c>
      <c r="CP208" s="135">
        <f t="shared" si="791"/>
        <v>0.18936237756818827</v>
      </c>
      <c r="CQ208" s="135">
        <f t="shared" si="791"/>
        <v>0.18370164841226724</v>
      </c>
      <c r="CR208" s="135">
        <f t="shared" si="791"/>
        <v>0.18724954670965768</v>
      </c>
      <c r="CS208" s="302">
        <f t="shared" si="792"/>
        <v>0.18724954670965765</v>
      </c>
      <c r="CT208" s="134"/>
      <c r="CU208" s="134"/>
      <c r="CV208" s="134"/>
      <c r="CW208" s="135"/>
      <c r="CX208" s="302">
        <f t="shared" si="793"/>
        <v>0.19400496354382657</v>
      </c>
      <c r="CY208" s="134"/>
      <c r="CZ208" s="134"/>
      <c r="DA208" s="134"/>
      <c r="DB208" s="135"/>
      <c r="DC208" s="302">
        <f t="shared" si="794"/>
        <v>0.20714053776384472</v>
      </c>
      <c r="DD208" s="136"/>
      <c r="DE208" s="131"/>
      <c r="DJ208" s="448"/>
      <c r="DK208" s="412"/>
      <c r="DL208" s="412"/>
      <c r="DM208" s="412"/>
      <c r="DN208" s="412"/>
      <c r="DO208" s="412"/>
      <c r="DP208" s="412"/>
      <c r="DQ208" s="412"/>
      <c r="DR208" s="509"/>
      <c r="DS208" s="136"/>
    </row>
    <row r="209" spans="1:131" hidden="1" x14ac:dyDescent="0.2">
      <c r="A209" s="100" t="s">
        <v>52</v>
      </c>
      <c r="B209" s="295"/>
      <c r="C209" s="129"/>
      <c r="D209" s="129"/>
      <c r="E209" s="129"/>
      <c r="F209" s="129"/>
      <c r="G209" s="295"/>
      <c r="H209" s="129"/>
      <c r="I209" s="129"/>
      <c r="J209" s="129"/>
      <c r="K209" s="129"/>
      <c r="L209" s="320">
        <f t="shared" ref="L209:BI209" si="817">L192/L$181</f>
        <v>0.2175959346345667</v>
      </c>
      <c r="M209" s="135">
        <f t="shared" si="817"/>
        <v>0.23599980535117571</v>
      </c>
      <c r="N209" s="135">
        <f t="shared" si="817"/>
        <v>0.24808406099323405</v>
      </c>
      <c r="O209" s="135">
        <f t="shared" si="817"/>
        <v>0.25226270885810437</v>
      </c>
      <c r="P209" s="135">
        <f t="shared" si="817"/>
        <v>0.27197486488316114</v>
      </c>
      <c r="Q209" s="320">
        <f t="shared" si="817"/>
        <v>0.27197486488316119</v>
      </c>
      <c r="R209" s="135">
        <f t="shared" si="817"/>
        <v>0.26848559180585069</v>
      </c>
      <c r="S209" s="135">
        <f t="shared" si="817"/>
        <v>0.27586397789648182</v>
      </c>
      <c r="T209" s="135">
        <f t="shared" si="817"/>
        <v>0.29090729397993842</v>
      </c>
      <c r="U209" s="135">
        <f t="shared" si="817"/>
        <v>0.28305976555339757</v>
      </c>
      <c r="V209" s="320">
        <f t="shared" si="817"/>
        <v>0.28305976555339762</v>
      </c>
      <c r="W209" s="135">
        <f t="shared" si="817"/>
        <v>0.27188140052923493</v>
      </c>
      <c r="X209" s="135">
        <f t="shared" si="817"/>
        <v>0.2583919017918499</v>
      </c>
      <c r="Y209" s="135">
        <f t="shared" si="817"/>
        <v>0.22830744509908943</v>
      </c>
      <c r="Z209" s="135">
        <f t="shared" si="817"/>
        <v>0.20451859526389485</v>
      </c>
      <c r="AA209" s="320">
        <f t="shared" si="817"/>
        <v>0.20451859526389482</v>
      </c>
      <c r="AB209" s="135">
        <f t="shared" si="817"/>
        <v>0.19274596328090041</v>
      </c>
      <c r="AC209" s="135">
        <f t="shared" si="817"/>
        <v>0.18162930953421924</v>
      </c>
      <c r="AD209" s="135">
        <f t="shared" si="817"/>
        <v>0.16774912032914152</v>
      </c>
      <c r="AE209" s="135">
        <f t="shared" si="817"/>
        <v>0.14701059672915517</v>
      </c>
      <c r="AF209" s="320">
        <f t="shared" si="817"/>
        <v>0.14701059672915512</v>
      </c>
      <c r="AG209" s="135">
        <f t="shared" si="817"/>
        <v>0.11760005323633474</v>
      </c>
      <c r="AH209" s="135">
        <f t="shared" si="817"/>
        <v>0.11877088322781065</v>
      </c>
      <c r="AI209" s="135">
        <f t="shared" si="817"/>
        <v>0.12684985057838846</v>
      </c>
      <c r="AJ209" s="135">
        <f t="shared" si="817"/>
        <v>0.15841584158415839</v>
      </c>
      <c r="AK209" s="320">
        <f t="shared" si="817"/>
        <v>0.15841584158415845</v>
      </c>
      <c r="AL209" s="135">
        <f t="shared" si="817"/>
        <v>0.16203143893591293</v>
      </c>
      <c r="AM209" s="135">
        <f t="shared" si="817"/>
        <v>0.16891111966140823</v>
      </c>
      <c r="AN209" s="135">
        <f t="shared" si="817"/>
        <v>0.18055555555555555</v>
      </c>
      <c r="AO209" s="135">
        <f t="shared" si="817"/>
        <v>0.16502463054187191</v>
      </c>
      <c r="AP209" s="320">
        <f t="shared" si="817"/>
        <v>0.16502463054187191</v>
      </c>
      <c r="AQ209" s="135">
        <f t="shared" si="817"/>
        <v>0.16531147540983607</v>
      </c>
      <c r="AR209" s="135">
        <f t="shared" si="817"/>
        <v>0.14381881094683865</v>
      </c>
      <c r="AS209" s="135">
        <f t="shared" si="817"/>
        <v>0.12400482509047046</v>
      </c>
      <c r="AT209" s="135">
        <f t="shared" si="817"/>
        <v>0.13081463990554901</v>
      </c>
      <c r="AU209" s="302">
        <f t="shared" si="817"/>
        <v>0.13081463990554895</v>
      </c>
      <c r="AV209" s="135">
        <f t="shared" si="817"/>
        <v>0.15191565191565193</v>
      </c>
      <c r="AW209" s="135">
        <f t="shared" si="817"/>
        <v>0.17440458245402471</v>
      </c>
      <c r="AX209" s="135">
        <f t="shared" si="817"/>
        <v>0.19159021406727827</v>
      </c>
      <c r="AY209" s="135">
        <f t="shared" si="817"/>
        <v>0.19401397751443331</v>
      </c>
      <c r="AZ209" s="302">
        <f t="shared" si="817"/>
        <v>0.19401397751443331</v>
      </c>
      <c r="BA209" s="135">
        <f t="shared" si="809"/>
        <v>0.18003565062388591</v>
      </c>
      <c r="BB209" s="135">
        <f t="shared" si="809"/>
        <v>0.17705949656750572</v>
      </c>
      <c r="BC209" s="135">
        <f t="shared" si="809"/>
        <v>0.1870879869245437</v>
      </c>
      <c r="BD209" s="135">
        <f t="shared" si="809"/>
        <v>0.17965070124371527</v>
      </c>
      <c r="BE209" s="302">
        <f t="shared" si="817"/>
        <v>0.17965070124371518</v>
      </c>
      <c r="BF209" s="135">
        <f t="shared" si="785"/>
        <v>0.1744197908696761</v>
      </c>
      <c r="BG209" s="135">
        <f t="shared" si="817"/>
        <v>0.16571497701427534</v>
      </c>
      <c r="BH209" s="135">
        <f t="shared" si="817"/>
        <v>0.15288506281991623</v>
      </c>
      <c r="BI209" s="135">
        <f t="shared" si="817"/>
        <v>0.15319715808170514</v>
      </c>
      <c r="BJ209" s="302">
        <f t="shared" si="810"/>
        <v>0.15319715808170514</v>
      </c>
      <c r="BK209" s="135">
        <f t="shared" si="810"/>
        <v>0.15718849840255592</v>
      </c>
      <c r="BL209" s="135">
        <f t="shared" si="810"/>
        <v>0.16262186268409043</v>
      </c>
      <c r="BM209" s="135">
        <f t="shared" si="810"/>
        <v>0.16173490068909607</v>
      </c>
      <c r="BN209" s="135">
        <f t="shared" si="810"/>
        <v>0.15335206744279406</v>
      </c>
      <c r="BO209" s="302">
        <f t="shared" si="811"/>
        <v>0.15335206744279406</v>
      </c>
      <c r="BP209" s="135">
        <f t="shared" si="811"/>
        <v>0.14572666404096102</v>
      </c>
      <c r="BQ209" s="135">
        <f t="shared" si="812"/>
        <v>0.14018691588785046</v>
      </c>
      <c r="BR209" s="135">
        <f t="shared" si="812"/>
        <v>0.14535104364326376</v>
      </c>
      <c r="BS209" s="135">
        <f t="shared" si="812"/>
        <v>0.15548612387428781</v>
      </c>
      <c r="BT209" s="302">
        <f t="shared" si="813"/>
        <v>0.15548612387428781</v>
      </c>
      <c r="BU209" s="135">
        <f t="shared" si="813"/>
        <v>0.1524312511382262</v>
      </c>
      <c r="BV209" s="135">
        <f t="shared" si="813"/>
        <v>0.15577978403257214</v>
      </c>
      <c r="BW209" s="135">
        <f t="shared" si="813"/>
        <v>0.15638075313807531</v>
      </c>
      <c r="BX209" s="135">
        <f t="shared" si="813"/>
        <v>0.16486161251504211</v>
      </c>
      <c r="BY209" s="302">
        <f t="shared" si="814"/>
        <v>0.16486161251504211</v>
      </c>
      <c r="BZ209" s="135">
        <f t="shared" si="814"/>
        <v>0.1969621098314138</v>
      </c>
      <c r="CA209" s="135">
        <f t="shared" si="814"/>
        <v>0.21685761047463176</v>
      </c>
      <c r="CB209" s="135">
        <f t="shared" si="814"/>
        <v>0.24186343331206125</v>
      </c>
      <c r="CC209" s="135">
        <f t="shared" si="814"/>
        <v>0.26231296758104738</v>
      </c>
      <c r="CD209" s="302">
        <f t="shared" si="789"/>
        <v>0.26231296758104738</v>
      </c>
      <c r="CE209" s="135">
        <f t="shared" si="789"/>
        <v>0.27346750652942081</v>
      </c>
      <c r="CF209" s="135">
        <f t="shared" si="789"/>
        <v>0.2787461773700306</v>
      </c>
      <c r="CG209" s="135">
        <f t="shared" si="789"/>
        <v>0.2797266514806378</v>
      </c>
      <c r="CH209" s="135">
        <f t="shared" si="789"/>
        <v>0.27367310012062729</v>
      </c>
      <c r="CI209" s="302">
        <f t="shared" si="790"/>
        <v>0.27367310012062729</v>
      </c>
      <c r="CJ209" s="135">
        <f t="shared" si="790"/>
        <v>0.24546827794561935</v>
      </c>
      <c r="CK209" s="135">
        <f t="shared" si="790"/>
        <v>0.2456371902038422</v>
      </c>
      <c r="CL209" s="135">
        <f t="shared" si="790"/>
        <v>0.23782608695652174</v>
      </c>
      <c r="CM209" s="135">
        <f t="shared" si="790"/>
        <v>0.22066999287241626</v>
      </c>
      <c r="CN209" s="302">
        <f t="shared" si="791"/>
        <v>0.22066999287241626</v>
      </c>
      <c r="CO209" s="135">
        <f t="shared" si="791"/>
        <v>0.21239567153221103</v>
      </c>
      <c r="CP209" s="135">
        <f t="shared" si="791"/>
        <v>0.18936237756818827</v>
      </c>
      <c r="CQ209" s="135">
        <f t="shared" si="791"/>
        <v>0.18370164841226724</v>
      </c>
      <c r="CR209" s="135">
        <f t="shared" si="791"/>
        <v>0.18724954670965768</v>
      </c>
      <c r="CS209" s="302">
        <f t="shared" si="792"/>
        <v>0.18724954670965765</v>
      </c>
      <c r="CT209" s="134"/>
      <c r="CU209" s="134"/>
      <c r="CV209" s="134"/>
      <c r="CW209" s="135"/>
      <c r="CX209" s="302">
        <f t="shared" si="793"/>
        <v>0.19400496354382657</v>
      </c>
      <c r="CY209" s="134"/>
      <c r="CZ209" s="134"/>
      <c r="DA209" s="134"/>
      <c r="DB209" s="135"/>
      <c r="DC209" s="302">
        <f t="shared" si="794"/>
        <v>0.20714053776384472</v>
      </c>
      <c r="DD209" s="136"/>
      <c r="DE209" s="131"/>
      <c r="DJ209" s="448"/>
      <c r="DK209" s="412"/>
      <c r="DL209" s="412"/>
      <c r="DM209" s="412"/>
      <c r="DN209" s="412"/>
      <c r="DO209" s="412"/>
      <c r="DP209" s="412"/>
      <c r="DQ209" s="412"/>
      <c r="DR209" s="509"/>
      <c r="DS209" s="136"/>
    </row>
    <row r="210" spans="1:131" hidden="1" x14ac:dyDescent="0.2">
      <c r="A210" s="100" t="s">
        <v>53</v>
      </c>
      <c r="B210" s="295"/>
      <c r="C210" s="129"/>
      <c r="D210" s="129"/>
      <c r="E210" s="129"/>
      <c r="F210" s="129"/>
      <c r="G210" s="295"/>
      <c r="H210" s="129"/>
      <c r="I210" s="129"/>
      <c r="J210" s="129"/>
      <c r="K210" s="129"/>
      <c r="L210" s="320">
        <f t="shared" ref="L210:BI210" si="818">L193/L$181</f>
        <v>4.41054385888257E-2</v>
      </c>
      <c r="M210" s="135">
        <f t="shared" si="818"/>
        <v>3.7678267804981881E-2</v>
      </c>
      <c r="N210" s="135">
        <f t="shared" si="818"/>
        <v>3.4808327438275485E-2</v>
      </c>
      <c r="O210" s="135">
        <f t="shared" si="818"/>
        <v>3.4248957204443133E-2</v>
      </c>
      <c r="P210" s="135">
        <f t="shared" si="818"/>
        <v>3.3075090799460326E-2</v>
      </c>
      <c r="Q210" s="320">
        <f t="shared" si="818"/>
        <v>3.3075090799460319E-2</v>
      </c>
      <c r="R210" s="135">
        <f t="shared" si="818"/>
        <v>3.2013263750570273E-2</v>
      </c>
      <c r="S210" s="135">
        <f t="shared" si="818"/>
        <v>2.9856941118683616E-2</v>
      </c>
      <c r="T210" s="135">
        <f t="shared" si="818"/>
        <v>2.8648534408479785E-2</v>
      </c>
      <c r="U210" s="135">
        <f t="shared" si="818"/>
        <v>2.894472985953838E-2</v>
      </c>
      <c r="V210" s="320">
        <f t="shared" si="818"/>
        <v>2.8944729859538377E-2</v>
      </c>
      <c r="W210" s="135">
        <f t="shared" si="818"/>
        <v>3.0389899684552021E-2</v>
      </c>
      <c r="X210" s="135">
        <f t="shared" si="818"/>
        <v>3.4071431253334457E-2</v>
      </c>
      <c r="Y210" s="135">
        <f t="shared" si="818"/>
        <v>3.794104847348688E-2</v>
      </c>
      <c r="Z210" s="135">
        <f t="shared" si="818"/>
        <v>4.2359751344980323E-2</v>
      </c>
      <c r="AA210" s="320">
        <f t="shared" si="818"/>
        <v>4.2359751344980337E-2</v>
      </c>
      <c r="AB210" s="135">
        <f t="shared" si="818"/>
        <v>4.7722363657544654E-2</v>
      </c>
      <c r="AC210" s="135">
        <f t="shared" si="818"/>
        <v>5.2709281503500759E-2</v>
      </c>
      <c r="AD210" s="135">
        <f t="shared" si="818"/>
        <v>5.7343258503800093E-2</v>
      </c>
      <c r="AE210" s="135">
        <f t="shared" si="818"/>
        <v>6.2360138391391019E-2</v>
      </c>
      <c r="AF210" s="320">
        <f t="shared" si="818"/>
        <v>6.2360138391391019E-2</v>
      </c>
      <c r="AG210" s="135">
        <f t="shared" si="818"/>
        <v>6.7363212042850854E-2</v>
      </c>
      <c r="AH210" s="135">
        <f t="shared" si="818"/>
        <v>6.9697952388114368E-2</v>
      </c>
      <c r="AI210" s="135">
        <f t="shared" si="818"/>
        <v>7.1736157824509553E-2</v>
      </c>
      <c r="AJ210" s="135">
        <f t="shared" si="818"/>
        <v>7.3199627655073193E-2</v>
      </c>
      <c r="AK210" s="320">
        <f t="shared" si="818"/>
        <v>7.3199627655073193E-2</v>
      </c>
      <c r="AL210" s="135">
        <f t="shared" si="818"/>
        <v>7.5775896815800076E-2</v>
      </c>
      <c r="AM210" s="135">
        <f t="shared" si="818"/>
        <v>7.772220084647942E-2</v>
      </c>
      <c r="AN210" s="135">
        <f t="shared" si="818"/>
        <v>7.8581871345029239E-2</v>
      </c>
      <c r="AO210" s="135">
        <f t="shared" si="818"/>
        <v>7.9169598874032368E-2</v>
      </c>
      <c r="AP210" s="320">
        <f t="shared" si="818"/>
        <v>7.9169598874032368E-2</v>
      </c>
      <c r="AQ210" s="135">
        <f t="shared" si="818"/>
        <v>7.5081967213114748E-2</v>
      </c>
      <c r="AR210" s="135">
        <f t="shared" si="818"/>
        <v>7.1091538219565903E-2</v>
      </c>
      <c r="AS210" s="135">
        <f t="shared" si="818"/>
        <v>6.9963811821471655E-2</v>
      </c>
      <c r="AT210" s="135">
        <f t="shared" si="818"/>
        <v>6.8476977567886663E-2</v>
      </c>
      <c r="AU210" s="302">
        <f t="shared" si="818"/>
        <v>6.8476977567886663E-2</v>
      </c>
      <c r="AV210" s="135">
        <f t="shared" si="818"/>
        <v>6.6854766854766851E-2</v>
      </c>
      <c r="AW210" s="135">
        <f t="shared" si="818"/>
        <v>6.662646970153753E-2</v>
      </c>
      <c r="AX210" s="135">
        <f t="shared" si="818"/>
        <v>6.3302752293577985E-2</v>
      </c>
      <c r="AY210" s="135">
        <f t="shared" si="818"/>
        <v>5.9860224855666971E-2</v>
      </c>
      <c r="AZ210" s="302">
        <f t="shared" si="818"/>
        <v>5.9860224855666971E-2</v>
      </c>
      <c r="BA210" s="135">
        <f t="shared" ref="BA210:BD213" si="819">BA193/BA$181</f>
        <v>5.7902554961378493E-2</v>
      </c>
      <c r="BB210" s="135">
        <f t="shared" si="819"/>
        <v>5.4061784897025171E-2</v>
      </c>
      <c r="BC210" s="135">
        <f t="shared" si="819"/>
        <v>5.0122582402615093E-2</v>
      </c>
      <c r="BD210" s="135">
        <f t="shared" si="819"/>
        <v>4.7896268854194228E-2</v>
      </c>
      <c r="BE210" s="302">
        <f t="shared" si="818"/>
        <v>4.7896268854194228E-2</v>
      </c>
      <c r="BF210" s="135">
        <f t="shared" si="785"/>
        <v>4.539658250446315E-2</v>
      </c>
      <c r="BG210" s="135">
        <f t="shared" si="818"/>
        <v>4.3309944350350835E-2</v>
      </c>
      <c r="BH210" s="135">
        <f t="shared" si="818"/>
        <v>4.1647277803629597E-2</v>
      </c>
      <c r="BI210" s="135">
        <f t="shared" si="818"/>
        <v>3.9742451154529304E-2</v>
      </c>
      <c r="BJ210" s="302">
        <f t="shared" si="810"/>
        <v>3.9742451154529304E-2</v>
      </c>
      <c r="BK210" s="135">
        <f t="shared" si="810"/>
        <v>3.8338658146964855E-2</v>
      </c>
      <c r="BL210" s="135">
        <f t="shared" si="810"/>
        <v>3.7336652146857496E-2</v>
      </c>
      <c r="BM210" s="135">
        <f t="shared" si="810"/>
        <v>3.6278881232265907E-2</v>
      </c>
      <c r="BN210" s="135">
        <f t="shared" si="810"/>
        <v>3.5327177840224808E-2</v>
      </c>
      <c r="BO210" s="302">
        <f t="shared" si="811"/>
        <v>3.5327177840224808E-2</v>
      </c>
      <c r="BP210" s="135">
        <f t="shared" si="811"/>
        <v>3.3871602993304453E-2</v>
      </c>
      <c r="BQ210" s="135">
        <f t="shared" si="812"/>
        <v>3.3099688473520246E-2</v>
      </c>
      <c r="BR210" s="135">
        <f t="shared" si="812"/>
        <v>3.1499051233396587E-2</v>
      </c>
      <c r="BS210" s="135">
        <f t="shared" si="812"/>
        <v>2.9590148869693071E-2</v>
      </c>
      <c r="BT210" s="302">
        <f t="shared" si="813"/>
        <v>2.9590148869693071E-2</v>
      </c>
      <c r="BU210" s="135">
        <f t="shared" si="813"/>
        <v>2.8592241850300491E-2</v>
      </c>
      <c r="BV210" s="135">
        <f t="shared" si="813"/>
        <v>2.7261462205700124E-2</v>
      </c>
      <c r="BW210" s="135">
        <f t="shared" si="813"/>
        <v>2.6324965132496513E-2</v>
      </c>
      <c r="BX210" s="135">
        <f t="shared" si="813"/>
        <v>2.5442668041946021E-2</v>
      </c>
      <c r="BY210" s="302">
        <f t="shared" si="814"/>
        <v>2.5442668041946021E-2</v>
      </c>
      <c r="BZ210" s="135">
        <f t="shared" si="814"/>
        <v>2.4202971123351694E-2</v>
      </c>
      <c r="CA210" s="135">
        <f t="shared" si="814"/>
        <v>2.2585924713584289E-2</v>
      </c>
      <c r="CB210" s="135">
        <f t="shared" si="814"/>
        <v>2.1218889597957882E-2</v>
      </c>
      <c r="CC210" s="135">
        <f t="shared" si="814"/>
        <v>1.9950124688279301E-2</v>
      </c>
      <c r="CD210" s="302">
        <f t="shared" si="789"/>
        <v>1.9950124688279301E-2</v>
      </c>
      <c r="CE210" s="135">
        <f t="shared" si="789"/>
        <v>1.8896911968044248E-2</v>
      </c>
      <c r="CF210" s="135">
        <f t="shared" si="789"/>
        <v>1.8195718654434249E-2</v>
      </c>
      <c r="CG210" s="135">
        <f t="shared" si="789"/>
        <v>1.7463933181473046E-2</v>
      </c>
      <c r="CH210" s="135">
        <f t="shared" si="789"/>
        <v>1.6737032569360676E-2</v>
      </c>
      <c r="CI210" s="302">
        <f t="shared" si="790"/>
        <v>1.6737032569360676E-2</v>
      </c>
      <c r="CJ210" s="135">
        <f t="shared" si="790"/>
        <v>1.6163141993957703E-2</v>
      </c>
      <c r="CK210" s="135">
        <f t="shared" si="790"/>
        <v>1.5104854084176566E-2</v>
      </c>
      <c r="CL210" s="135">
        <f t="shared" si="790"/>
        <v>1.4202898550724638E-2</v>
      </c>
      <c r="CM210" s="135">
        <f t="shared" si="790"/>
        <v>1.3399857448325017E-2</v>
      </c>
      <c r="CN210" s="302">
        <f t="shared" si="791"/>
        <v>1.3399857448325017E-2</v>
      </c>
      <c r="CO210" s="135">
        <f t="shared" si="791"/>
        <v>1.2973613563183557E-2</v>
      </c>
      <c r="CP210" s="135">
        <f t="shared" si="791"/>
        <v>1.3138685263819739E-2</v>
      </c>
      <c r="CQ210" s="135">
        <f t="shared" si="791"/>
        <v>1.3147593553161915E-2</v>
      </c>
      <c r="CR210" s="135">
        <f t="shared" si="791"/>
        <v>1.3377668969047043E-2</v>
      </c>
      <c r="CS210" s="302">
        <f t="shared" si="792"/>
        <v>1.3377668969047041E-2</v>
      </c>
      <c r="CT210" s="134"/>
      <c r="CU210" s="134"/>
      <c r="CV210" s="134"/>
      <c r="CW210" s="135"/>
      <c r="CX210" s="302">
        <f t="shared" si="793"/>
        <v>1.1764890821825523E-2</v>
      </c>
      <c r="CY210" s="134"/>
      <c r="CZ210" s="134"/>
      <c r="DA210" s="134"/>
      <c r="DB210" s="135"/>
      <c r="DC210" s="302">
        <f t="shared" si="794"/>
        <v>1.0793620190644527E-2</v>
      </c>
      <c r="DD210" s="136"/>
      <c r="DE210" s="131"/>
      <c r="DJ210" s="448"/>
      <c r="DK210" s="412"/>
      <c r="DL210" s="412"/>
      <c r="DM210" s="412"/>
      <c r="DN210" s="412"/>
      <c r="DO210" s="412"/>
      <c r="DP210" s="412"/>
      <c r="DQ210" s="412"/>
      <c r="DR210" s="509"/>
      <c r="DS210" s="136"/>
    </row>
    <row r="211" spans="1:131" hidden="1" x14ac:dyDescent="0.2">
      <c r="A211" s="100" t="s">
        <v>54</v>
      </c>
      <c r="B211" s="295"/>
      <c r="C211" s="129"/>
      <c r="D211" s="129"/>
      <c r="E211" s="129"/>
      <c r="F211" s="129"/>
      <c r="G211" s="295"/>
      <c r="H211" s="129"/>
      <c r="I211" s="129"/>
      <c r="J211" s="129"/>
      <c r="K211" s="129"/>
      <c r="L211" s="320">
        <f t="shared" ref="L211:BI211" si="820">L194/L$181</f>
        <v>1.9003539171197258E-2</v>
      </c>
      <c r="M211" s="135">
        <f t="shared" si="820"/>
        <v>1.9016087379113849E-2</v>
      </c>
      <c r="N211" s="135">
        <f t="shared" si="820"/>
        <v>2.1154939479817197E-2</v>
      </c>
      <c r="O211" s="135">
        <f t="shared" si="820"/>
        <v>2.3816401743543131E-2</v>
      </c>
      <c r="P211" s="135">
        <f t="shared" si="820"/>
        <v>2.4691785620388203E-2</v>
      </c>
      <c r="Q211" s="320">
        <f t="shared" si="820"/>
        <v>2.46917856203882E-2</v>
      </c>
      <c r="R211" s="135">
        <f t="shared" si="820"/>
        <v>2.499054178860341E-2</v>
      </c>
      <c r="S211" s="135">
        <f t="shared" si="820"/>
        <v>2.3919690550745994E-2</v>
      </c>
      <c r="T211" s="135">
        <f t="shared" si="820"/>
        <v>2.3419117447827761E-2</v>
      </c>
      <c r="U211" s="135">
        <f t="shared" si="820"/>
        <v>2.3733135941166984E-2</v>
      </c>
      <c r="V211" s="320">
        <f t="shared" si="820"/>
        <v>2.3733135941166984E-2</v>
      </c>
      <c r="W211" s="135">
        <f t="shared" si="820"/>
        <v>2.5009717591831241E-2</v>
      </c>
      <c r="X211" s="135">
        <f t="shared" si="820"/>
        <v>2.8529366308052195E-2</v>
      </c>
      <c r="Y211" s="135">
        <f t="shared" si="820"/>
        <v>3.1732056775575793E-2</v>
      </c>
      <c r="Z211" s="135">
        <f t="shared" si="820"/>
        <v>3.5330684561717014E-2</v>
      </c>
      <c r="AA211" s="320">
        <f t="shared" si="820"/>
        <v>3.5330684561717021E-2</v>
      </c>
      <c r="AB211" s="135">
        <f t="shared" si="820"/>
        <v>3.9489022335238572E-2</v>
      </c>
      <c r="AC211" s="135">
        <f t="shared" si="820"/>
        <v>4.35903753878761E-2</v>
      </c>
      <c r="AD211" s="135">
        <f t="shared" si="820"/>
        <v>4.810127858733336E-2</v>
      </c>
      <c r="AE211" s="135">
        <f t="shared" si="820"/>
        <v>5.2937233311928768E-2</v>
      </c>
      <c r="AF211" s="320">
        <f t="shared" si="820"/>
        <v>5.2937233311928768E-2</v>
      </c>
      <c r="AG211" s="135">
        <f t="shared" si="820"/>
        <v>5.7881314871471093E-2</v>
      </c>
      <c r="AH211" s="135">
        <f t="shared" si="820"/>
        <v>5.9584061815603502E-2</v>
      </c>
      <c r="AI211" s="135">
        <f t="shared" si="820"/>
        <v>6.0990850912887015E-2</v>
      </c>
      <c r="AJ211" s="135">
        <f t="shared" si="820"/>
        <v>6.1775408310061772E-2</v>
      </c>
      <c r="AK211" s="320">
        <f t="shared" si="820"/>
        <v>6.1775408310061772E-2</v>
      </c>
      <c r="AL211" s="135">
        <f t="shared" si="820"/>
        <v>6.3683998387746882E-2</v>
      </c>
      <c r="AM211" s="135">
        <f t="shared" si="820"/>
        <v>6.4640246248557132E-2</v>
      </c>
      <c r="AN211" s="135">
        <f t="shared" si="820"/>
        <v>6.4692982456140358E-2</v>
      </c>
      <c r="AO211" s="135">
        <f t="shared" si="820"/>
        <v>6.4039408866995079E-2</v>
      </c>
      <c r="AP211" s="320">
        <f t="shared" si="820"/>
        <v>6.4039408866995079E-2</v>
      </c>
      <c r="AQ211" s="135">
        <f t="shared" si="820"/>
        <v>5.9016393442622953E-2</v>
      </c>
      <c r="AR211" s="135">
        <f t="shared" si="820"/>
        <v>5.4734193142497639E-2</v>
      </c>
      <c r="AS211" s="135">
        <f t="shared" si="820"/>
        <v>5.3075995174909532E-2</v>
      </c>
      <c r="AT211" s="135">
        <f t="shared" si="820"/>
        <v>5.4309327036599762E-2</v>
      </c>
      <c r="AU211" s="302">
        <f t="shared" si="820"/>
        <v>5.4309327036599762E-2</v>
      </c>
      <c r="AV211" s="135">
        <f t="shared" si="820"/>
        <v>5.6162756162756164E-2</v>
      </c>
      <c r="AW211" s="135">
        <f t="shared" si="820"/>
        <v>5.9360868254446794E-2</v>
      </c>
      <c r="AX211" s="135">
        <f t="shared" si="820"/>
        <v>5.9908256880733937E-2</v>
      </c>
      <c r="AY211" s="135">
        <f t="shared" si="820"/>
        <v>5.7702825888787605E-2</v>
      </c>
      <c r="AZ211" s="302">
        <f t="shared" si="820"/>
        <v>5.7702825888787605E-2</v>
      </c>
      <c r="BA211" s="135">
        <f t="shared" si="819"/>
        <v>5.6090314913844329E-2</v>
      </c>
      <c r="BB211" s="135">
        <f t="shared" si="819"/>
        <v>5.2631578947368418E-2</v>
      </c>
      <c r="BC211" s="135">
        <f t="shared" si="819"/>
        <v>4.9032961046036501E-2</v>
      </c>
      <c r="BD211" s="135">
        <f t="shared" si="819"/>
        <v>4.6837787774543532E-2</v>
      </c>
      <c r="BE211" s="302">
        <f t="shared" si="820"/>
        <v>4.6837787774543532E-2</v>
      </c>
      <c r="BF211" s="135">
        <f t="shared" si="785"/>
        <v>4.4376434583014539E-2</v>
      </c>
      <c r="BG211" s="135">
        <f t="shared" si="820"/>
        <v>4.2342124364868138E-2</v>
      </c>
      <c r="BH211" s="135">
        <f t="shared" si="820"/>
        <v>4.071661237785016E-2</v>
      </c>
      <c r="BI211" s="135">
        <f t="shared" si="820"/>
        <v>3.8632326820603906E-2</v>
      </c>
      <c r="BJ211" s="302">
        <f t="shared" si="810"/>
        <v>3.8632326820603906E-2</v>
      </c>
      <c r="BK211" s="135">
        <f t="shared" si="810"/>
        <v>3.7060702875399358E-2</v>
      </c>
      <c r="BL211" s="135">
        <f t="shared" si="810"/>
        <v>3.5884671230035262E-2</v>
      </c>
      <c r="BM211" s="135">
        <f t="shared" si="810"/>
        <v>3.4657478719092014E-2</v>
      </c>
      <c r="BN211" s="135">
        <f t="shared" si="810"/>
        <v>3.3721397029305503E-2</v>
      </c>
      <c r="BO211" s="302">
        <f t="shared" si="811"/>
        <v>3.3721397029305503E-2</v>
      </c>
      <c r="BP211" s="135">
        <f t="shared" si="811"/>
        <v>3.2099251673887358E-2</v>
      </c>
      <c r="BQ211" s="135">
        <f t="shared" si="812"/>
        <v>3.0957943925233645E-2</v>
      </c>
      <c r="BR211" s="135">
        <f t="shared" si="812"/>
        <v>2.903225806451613E-2</v>
      </c>
      <c r="BS211" s="135">
        <f t="shared" si="812"/>
        <v>2.7200882190773754E-2</v>
      </c>
      <c r="BT211" s="302">
        <f t="shared" si="813"/>
        <v>2.7200882190773754E-2</v>
      </c>
      <c r="BU211" s="135">
        <f t="shared" si="813"/>
        <v>2.622473137861956E-2</v>
      </c>
      <c r="BV211" s="135">
        <f t="shared" si="813"/>
        <v>2.496016994158258E-2</v>
      </c>
      <c r="BW211" s="135">
        <f t="shared" si="813"/>
        <v>2.4058577405857741E-2</v>
      </c>
      <c r="BX211" s="135">
        <f t="shared" si="813"/>
        <v>2.3035929173113288E-2</v>
      </c>
      <c r="BY211" s="302">
        <f t="shared" si="814"/>
        <v>2.3035929173113288E-2</v>
      </c>
      <c r="BZ211" s="135">
        <f t="shared" si="814"/>
        <v>2.2033049574361543E-2</v>
      </c>
      <c r="CA211" s="135">
        <f t="shared" si="814"/>
        <v>2.0785597381342062E-2</v>
      </c>
      <c r="CB211" s="135">
        <f t="shared" si="814"/>
        <v>1.9783024888321635E-2</v>
      </c>
      <c r="CC211" s="135">
        <f t="shared" si="814"/>
        <v>1.8703241895261846E-2</v>
      </c>
      <c r="CD211" s="302">
        <f t="shared" si="789"/>
        <v>1.8703241895261846E-2</v>
      </c>
      <c r="CE211" s="135">
        <f t="shared" si="789"/>
        <v>1.7667844522968199E-2</v>
      </c>
      <c r="CF211" s="135">
        <f t="shared" si="789"/>
        <v>1.6972477064220184E-2</v>
      </c>
      <c r="CG211" s="135">
        <f t="shared" si="789"/>
        <v>1.6249050873196658E-2</v>
      </c>
      <c r="CH211" s="135">
        <f t="shared" si="789"/>
        <v>1.5530759951749096E-2</v>
      </c>
      <c r="CI211" s="302">
        <f t="shared" si="790"/>
        <v>1.5530759951749096E-2</v>
      </c>
      <c r="CJ211" s="135">
        <f t="shared" si="790"/>
        <v>1.4954682779456193E-2</v>
      </c>
      <c r="CK211" s="135">
        <f t="shared" si="790"/>
        <v>1.393166153394926E-2</v>
      </c>
      <c r="CL211" s="135">
        <f t="shared" si="790"/>
        <v>1.2898550724637681E-2</v>
      </c>
      <c r="CM211" s="135">
        <f t="shared" si="790"/>
        <v>1.2116892373485389E-2</v>
      </c>
      <c r="CN211" s="302">
        <f t="shared" si="791"/>
        <v>1.2116892373485389E-2</v>
      </c>
      <c r="CO211" s="135">
        <f t="shared" si="791"/>
        <v>1.1718102573198053E-2</v>
      </c>
      <c r="CP211" s="135">
        <f t="shared" si="791"/>
        <v>1.18939677125105E-2</v>
      </c>
      <c r="CQ211" s="135">
        <f t="shared" si="791"/>
        <v>1.2074320610046657E-2</v>
      </c>
      <c r="CR211" s="135">
        <f t="shared" si="791"/>
        <v>1.2328440030298256E-2</v>
      </c>
      <c r="CS211" s="302">
        <f t="shared" si="792"/>
        <v>1.2328440030298255E-2</v>
      </c>
      <c r="CT211" s="134"/>
      <c r="CU211" s="134"/>
      <c r="CV211" s="134"/>
      <c r="CW211" s="135"/>
      <c r="CX211" s="302">
        <f t="shared" si="793"/>
        <v>1.0794590547860531E-2</v>
      </c>
      <c r="CY211" s="134"/>
      <c r="CZ211" s="134"/>
      <c r="DA211" s="134"/>
      <c r="DB211" s="135"/>
      <c r="DC211" s="302">
        <f t="shared" si="794"/>
        <v>9.8941518414241494E-3</v>
      </c>
      <c r="DD211" s="136"/>
      <c r="DE211" s="131"/>
      <c r="DJ211" s="448"/>
      <c r="DK211" s="412"/>
      <c r="DL211" s="412"/>
      <c r="DM211" s="412"/>
      <c r="DN211" s="412"/>
      <c r="DO211" s="412"/>
      <c r="DP211" s="412"/>
      <c r="DQ211" s="412"/>
      <c r="DR211" s="509"/>
      <c r="DS211" s="136"/>
    </row>
    <row r="212" spans="1:131" hidden="1" x14ac:dyDescent="0.2">
      <c r="A212" s="100" t="s">
        <v>55</v>
      </c>
      <c r="B212" s="295"/>
      <c r="C212" s="129"/>
      <c r="D212" s="129"/>
      <c r="E212" s="129"/>
      <c r="F212" s="129"/>
      <c r="G212" s="295"/>
      <c r="H212" s="129"/>
      <c r="I212" s="129"/>
      <c r="J212" s="129"/>
      <c r="K212" s="129"/>
      <c r="L212" s="320">
        <f t="shared" ref="L212:BI212" si="821">L195/L$181</f>
        <v>0.12948492824907792</v>
      </c>
      <c r="M212" s="135">
        <f t="shared" si="821"/>
        <v>0.14625618272882776</v>
      </c>
      <c r="N212" s="135">
        <f t="shared" si="821"/>
        <v>0.15504702845685467</v>
      </c>
      <c r="O212" s="135">
        <f t="shared" si="821"/>
        <v>0.14985070939537179</v>
      </c>
      <c r="P212" s="135">
        <f t="shared" si="821"/>
        <v>0.14960222421287453</v>
      </c>
      <c r="Q212" s="320">
        <f t="shared" si="821"/>
        <v>0.14960222421287461</v>
      </c>
      <c r="R212" s="135">
        <f t="shared" si="821"/>
        <v>0.14296817200591966</v>
      </c>
      <c r="S212" s="135">
        <f t="shared" si="821"/>
        <v>0.15207568048136544</v>
      </c>
      <c r="T212" s="135">
        <f t="shared" si="821"/>
        <v>0.1655757814591427</v>
      </c>
      <c r="U212" s="135">
        <f t="shared" si="821"/>
        <v>0.1563357977304575</v>
      </c>
      <c r="V212" s="320">
        <f t="shared" si="821"/>
        <v>0.15633579773045758</v>
      </c>
      <c r="W212" s="135">
        <f t="shared" si="821"/>
        <v>0.14183012154464852</v>
      </c>
      <c r="X212" s="135">
        <f t="shared" si="821"/>
        <v>0.12417822973505135</v>
      </c>
      <c r="Y212" s="135">
        <f t="shared" si="821"/>
        <v>8.921983797536151E-2</v>
      </c>
      <c r="Z212" s="135">
        <f t="shared" si="821"/>
        <v>5.9662313302789982E-2</v>
      </c>
      <c r="AA212" s="320">
        <f t="shared" si="821"/>
        <v>5.9662313302789906E-2</v>
      </c>
      <c r="AB212" s="135">
        <f t="shared" si="821"/>
        <v>4.5532692583092102E-2</v>
      </c>
      <c r="AC212" s="135">
        <f t="shared" si="821"/>
        <v>3.3569599436640223E-2</v>
      </c>
      <c r="AD212" s="135">
        <f t="shared" si="821"/>
        <v>1.9791727722095261E-2</v>
      </c>
      <c r="AE212" s="135">
        <f t="shared" si="821"/>
        <v>-5.8620703836194726E-3</v>
      </c>
      <c r="AF212" s="320">
        <f t="shared" si="821"/>
        <v>-5.8620703836195108E-3</v>
      </c>
      <c r="AG212" s="135">
        <f t="shared" si="821"/>
        <v>-3.7608610647156891E-2</v>
      </c>
      <c r="AH212" s="135">
        <f t="shared" si="821"/>
        <v>-3.3699977064988E-2</v>
      </c>
      <c r="AI212" s="135">
        <f t="shared" si="821"/>
        <v>-3.2047076078206477E-2</v>
      </c>
      <c r="AJ212" s="135">
        <f t="shared" si="821"/>
        <v>5.9236692900058272E-4</v>
      </c>
      <c r="AK212" s="320">
        <f t="shared" si="821"/>
        <v>5.9236692900063086E-4</v>
      </c>
      <c r="AL212" s="135">
        <f t="shared" si="821"/>
        <v>1.2091898428053204E-3</v>
      </c>
      <c r="AM212" s="135">
        <f t="shared" si="821"/>
        <v>8.0800307810696415E-3</v>
      </c>
      <c r="AN212" s="135">
        <f t="shared" si="821"/>
        <v>2.6681286549707601E-2</v>
      </c>
      <c r="AO212" s="135">
        <f t="shared" si="821"/>
        <v>1.4426460239268121E-2</v>
      </c>
      <c r="AP212" s="320">
        <f t="shared" si="821"/>
        <v>1.4426460239268121E-2</v>
      </c>
      <c r="AQ212" s="135">
        <f t="shared" si="821"/>
        <v>2.4000000000000014E-2</v>
      </c>
      <c r="AR212" s="135">
        <f t="shared" si="821"/>
        <v>6.3541994337842234E-3</v>
      </c>
      <c r="AS212" s="135">
        <f t="shared" si="821"/>
        <v>-8.9867310012062586E-3</v>
      </c>
      <c r="AT212" s="135">
        <f t="shared" si="821"/>
        <v>-6.7296340023612613E-3</v>
      </c>
      <c r="AU212" s="302">
        <f t="shared" si="821"/>
        <v>-6.729634002361329E-3</v>
      </c>
      <c r="AV212" s="135">
        <f t="shared" si="821"/>
        <v>6.058806058806058E-3</v>
      </c>
      <c r="AW212" s="135">
        <f t="shared" si="821"/>
        <v>1.8872475128127824E-2</v>
      </c>
      <c r="AX212" s="135">
        <f t="shared" si="821"/>
        <v>2.6788990825688072E-2</v>
      </c>
      <c r="AY212" s="135">
        <f t="shared" si="821"/>
        <v>3.1479793375873595E-2</v>
      </c>
      <c r="AZ212" s="302">
        <f t="shared" si="821"/>
        <v>3.1479793375873595E-2</v>
      </c>
      <c r="BA212" s="135">
        <f t="shared" si="819"/>
        <v>2.1152703505644684E-2</v>
      </c>
      <c r="BB212" s="135">
        <f t="shared" si="819"/>
        <v>2.5743707093821511E-2</v>
      </c>
      <c r="BC212" s="135">
        <f t="shared" si="819"/>
        <v>4.51648052301825E-2</v>
      </c>
      <c r="BD212" s="135">
        <f t="shared" si="819"/>
        <v>4.2577401428949453E-2</v>
      </c>
      <c r="BE212" s="302">
        <f t="shared" si="821"/>
        <v>4.2577401428949363E-2</v>
      </c>
      <c r="BF212" s="135">
        <f t="shared" si="785"/>
        <v>4.3075745983167553E-2</v>
      </c>
      <c r="BG212" s="135">
        <f t="shared" si="821"/>
        <v>3.8930558916041608E-2</v>
      </c>
      <c r="BH212" s="135">
        <f t="shared" si="821"/>
        <v>2.910656119125175E-2</v>
      </c>
      <c r="BI212" s="135">
        <f t="shared" si="821"/>
        <v>3.330373001776199E-2</v>
      </c>
      <c r="BJ212" s="302">
        <f t="shared" si="810"/>
        <v>3.330373001776199E-2</v>
      </c>
      <c r="BK212" s="135">
        <f t="shared" si="810"/>
        <v>4.1107561235356763E-2</v>
      </c>
      <c r="BL212" s="135">
        <f t="shared" si="810"/>
        <v>4.8952499481435388E-2</v>
      </c>
      <c r="BM212" s="135">
        <f t="shared" si="810"/>
        <v>5.0263477908390759E-2</v>
      </c>
      <c r="BN212" s="135">
        <f t="shared" si="810"/>
        <v>4.1951023685266958E-2</v>
      </c>
      <c r="BO212" s="302">
        <f t="shared" si="811"/>
        <v>4.1951023685266958E-2</v>
      </c>
      <c r="BP212" s="135">
        <f t="shared" si="811"/>
        <v>3.6037810161480895E-2</v>
      </c>
      <c r="BQ212" s="135">
        <f t="shared" si="812"/>
        <v>3.0568535825545171E-2</v>
      </c>
      <c r="BR212" s="135">
        <f t="shared" si="812"/>
        <v>3.8519924098671728E-2</v>
      </c>
      <c r="BS212" s="135">
        <f t="shared" si="812"/>
        <v>5.1277338724499175E-2</v>
      </c>
      <c r="BT212" s="302">
        <f t="shared" si="813"/>
        <v>5.1277338724499175E-2</v>
      </c>
      <c r="BU212" s="135">
        <f t="shared" si="813"/>
        <v>4.7714441813877254E-2</v>
      </c>
      <c r="BV212" s="135">
        <f t="shared" si="813"/>
        <v>5.399185696583466E-2</v>
      </c>
      <c r="BW212" s="135">
        <f t="shared" si="813"/>
        <v>5.5439330543933053E-2</v>
      </c>
      <c r="BX212" s="135">
        <f t="shared" si="813"/>
        <v>6.5497679216090773E-2</v>
      </c>
      <c r="BY212" s="302">
        <f t="shared" si="814"/>
        <v>6.5497679216090773E-2</v>
      </c>
      <c r="BZ212" s="135">
        <f t="shared" si="814"/>
        <v>9.964947421131698E-2</v>
      </c>
      <c r="CA212" s="135">
        <f t="shared" si="814"/>
        <v>0.12176759410801964</v>
      </c>
      <c r="CB212" s="135">
        <f t="shared" si="814"/>
        <v>0.14901084875558393</v>
      </c>
      <c r="CC212" s="135">
        <f t="shared" si="814"/>
        <v>0.17097880299251869</v>
      </c>
      <c r="CD212" s="302">
        <f t="shared" si="789"/>
        <v>0.17097880299251869</v>
      </c>
      <c r="CE212" s="135">
        <f t="shared" si="789"/>
        <v>0.18405284990013826</v>
      </c>
      <c r="CF212" s="135">
        <f t="shared" si="789"/>
        <v>0.18914373088685016</v>
      </c>
      <c r="CG212" s="135">
        <f t="shared" si="789"/>
        <v>0.18906605922551253</v>
      </c>
      <c r="CH212" s="135">
        <f t="shared" si="789"/>
        <v>0.18335343787696018</v>
      </c>
      <c r="CI212" s="302">
        <f t="shared" si="790"/>
        <v>0.18335343787696018</v>
      </c>
      <c r="CJ212" s="135">
        <f t="shared" si="790"/>
        <v>0.15392749244712992</v>
      </c>
      <c r="CK212" s="135">
        <f t="shared" si="790"/>
        <v>0.15574131104267488</v>
      </c>
      <c r="CL212" s="135">
        <f t="shared" si="790"/>
        <v>0.14855072463768115</v>
      </c>
      <c r="CM212" s="135">
        <f t="shared" si="790"/>
        <v>0.13129009265858874</v>
      </c>
      <c r="CN212" s="302">
        <f t="shared" si="791"/>
        <v>0.13129009265858874</v>
      </c>
      <c r="CO212" s="135">
        <f t="shared" si="791"/>
        <v>0.12381577376665313</v>
      </c>
      <c r="CP212" s="135">
        <f t="shared" si="791"/>
        <v>0.10030460371340293</v>
      </c>
      <c r="CQ212" s="135">
        <f t="shared" si="791"/>
        <v>9.584601736722051E-2</v>
      </c>
      <c r="CR212" s="135">
        <f t="shared" si="791"/>
        <v>0.10004062930609096</v>
      </c>
      <c r="CS212" s="302">
        <f t="shared" si="792"/>
        <v>0.10004062930609099</v>
      </c>
      <c r="CT212" s="134"/>
      <c r="CU212" s="134"/>
      <c r="CV212" s="134"/>
      <c r="CW212" s="135"/>
      <c r="CX212" s="302">
        <f t="shared" si="793"/>
        <v>0.11070291136642078</v>
      </c>
      <c r="CY212" s="134"/>
      <c r="CZ212" s="134"/>
      <c r="DA212" s="134"/>
      <c r="DB212" s="135"/>
      <c r="DC212" s="302">
        <f t="shared" si="794"/>
        <v>0.1255706956068883</v>
      </c>
      <c r="DD212" s="136"/>
      <c r="DE212" s="131"/>
      <c r="DJ212" s="448"/>
      <c r="DK212" s="412"/>
      <c r="DL212" s="412"/>
      <c r="DM212" s="412"/>
      <c r="DN212" s="412"/>
      <c r="DO212" s="412"/>
      <c r="DP212" s="412"/>
      <c r="DQ212" s="412"/>
      <c r="DR212" s="509"/>
      <c r="DS212" s="136"/>
    </row>
    <row r="213" spans="1:131" hidden="1" x14ac:dyDescent="0.2">
      <c r="A213" s="100" t="s">
        <v>56</v>
      </c>
      <c r="B213" s="295"/>
      <c r="C213" s="129"/>
      <c r="D213" s="129"/>
      <c r="E213" s="129"/>
      <c r="F213" s="129"/>
      <c r="G213" s="295"/>
      <c r="H213" s="129"/>
      <c r="I213" s="129"/>
      <c r="J213" s="129"/>
      <c r="K213" s="129"/>
      <c r="L213" s="320">
        <f t="shared" ref="L213:BI213" si="822">L196/L$181</f>
        <v>0.11894231775140927</v>
      </c>
      <c r="M213" s="135">
        <f t="shared" si="822"/>
        <v>0.11377880841067566</v>
      </c>
      <c r="N213" s="135">
        <f t="shared" si="822"/>
        <v>0.10489491426488264</v>
      </c>
      <c r="O213" s="135">
        <f t="shared" si="822"/>
        <v>9.1982294345260548E-2</v>
      </c>
      <c r="P213" s="135">
        <f t="shared" si="822"/>
        <v>8.6437030178324284E-2</v>
      </c>
      <c r="Q213" s="320">
        <f t="shared" si="822"/>
        <v>8.6437030178324381E-2</v>
      </c>
      <c r="R213" s="135">
        <f t="shared" si="822"/>
        <v>8.242176172540025E-2</v>
      </c>
      <c r="S213" s="135">
        <f t="shared" si="822"/>
        <v>8.7681055609995645E-2</v>
      </c>
      <c r="T213" s="135">
        <f t="shared" si="822"/>
        <v>9.5696898007402387E-2</v>
      </c>
      <c r="U213" s="135">
        <f t="shared" si="822"/>
        <v>9.28262705200876E-2</v>
      </c>
      <c r="V213" s="320">
        <f t="shared" si="822"/>
        <v>9.2826270520087684E-2</v>
      </c>
      <c r="W213" s="135">
        <f t="shared" si="822"/>
        <v>8.4569398555816286E-2</v>
      </c>
      <c r="X213" s="135">
        <f t="shared" si="822"/>
        <v>7.4424509775671624E-2</v>
      </c>
      <c r="Y213" s="135">
        <f t="shared" si="822"/>
        <v>5.4075723085163327E-2</v>
      </c>
      <c r="Z213" s="135">
        <f t="shared" si="822"/>
        <v>3.6410312466335783E-2</v>
      </c>
      <c r="AA213" s="320">
        <f t="shared" si="822"/>
        <v>3.6410312466335699E-2</v>
      </c>
      <c r="AB213" s="135">
        <f t="shared" si="822"/>
        <v>2.8004193839685783E-2</v>
      </c>
      <c r="AC213" s="135">
        <f t="shared" si="822"/>
        <v>2.0139700598432508E-2</v>
      </c>
      <c r="AD213" s="135">
        <f t="shared" si="822"/>
        <v>1.4877671706772629E-2</v>
      </c>
      <c r="AE213" s="135">
        <f t="shared" si="822"/>
        <v>-5.4561082033147352E-3</v>
      </c>
      <c r="AF213" s="320">
        <f t="shared" si="822"/>
        <v>-5.4561082033147751E-3</v>
      </c>
      <c r="AG213" s="135">
        <f t="shared" si="822"/>
        <v>-2.6317888013410257E-2</v>
      </c>
      <c r="AH213" s="135">
        <f t="shared" si="822"/>
        <v>-2.3441680861556985E-2</v>
      </c>
      <c r="AI213" s="135">
        <f t="shared" si="822"/>
        <v>-2.4995497134707355E-2</v>
      </c>
      <c r="AJ213" s="135">
        <f t="shared" si="822"/>
        <v>-2.7079631040027173E-3</v>
      </c>
      <c r="AK213" s="320">
        <f t="shared" si="822"/>
        <v>-2.7079631040026692E-3</v>
      </c>
      <c r="AL213" s="135">
        <f t="shared" si="822"/>
        <v>1.2898024989923414E-3</v>
      </c>
      <c r="AM213" s="135">
        <f t="shared" si="822"/>
        <v>3.9245863793766827E-3</v>
      </c>
      <c r="AN213" s="135">
        <f t="shared" si="822"/>
        <v>1.3888888888888888E-2</v>
      </c>
      <c r="AO213" s="135">
        <f t="shared" si="822"/>
        <v>6.3335679099225895E-3</v>
      </c>
      <c r="AP213" s="320">
        <f t="shared" si="822"/>
        <v>6.3335679099225895E-3</v>
      </c>
      <c r="AQ213" s="135">
        <f t="shared" si="822"/>
        <v>1.0557377049180344E-2</v>
      </c>
      <c r="AR213" s="135">
        <f t="shared" si="822"/>
        <v>1.3211701793016816E-3</v>
      </c>
      <c r="AS213" s="135">
        <f t="shared" si="822"/>
        <v>-6.8757539203859932E-3</v>
      </c>
      <c r="AT213" s="135">
        <f t="shared" si="822"/>
        <v>-6.7296340023612613E-3</v>
      </c>
      <c r="AU213" s="302">
        <f t="shared" si="822"/>
        <v>-6.729634002361329E-3</v>
      </c>
      <c r="AV213" s="135">
        <f t="shared" si="822"/>
        <v>2.2869022869022866E-3</v>
      </c>
      <c r="AW213" s="135">
        <f t="shared" si="822"/>
        <v>9.4663852879107637E-3</v>
      </c>
      <c r="AX213" s="135">
        <f t="shared" si="822"/>
        <v>1.481651376146789E-2</v>
      </c>
      <c r="AY213" s="135">
        <f t="shared" si="822"/>
        <v>1.9279854147675479E-2</v>
      </c>
      <c r="AZ213" s="302">
        <f t="shared" si="822"/>
        <v>1.9279854147675479E-2</v>
      </c>
      <c r="BA213" s="135">
        <f t="shared" si="819"/>
        <v>1.1660724896019013E-2</v>
      </c>
      <c r="BB213" s="135">
        <f t="shared" si="819"/>
        <v>1.5031464530892448E-2</v>
      </c>
      <c r="BC213" s="135">
        <f t="shared" si="819"/>
        <v>2.6777444837918812E-2</v>
      </c>
      <c r="BD213" s="135">
        <f t="shared" si="819"/>
        <v>2.5509394019581893E-2</v>
      </c>
      <c r="BE213" s="302">
        <f t="shared" si="822"/>
        <v>2.5509394019581803E-2</v>
      </c>
      <c r="BF213" s="135">
        <f t="shared" si="785"/>
        <v>2.5733231318541182E-2</v>
      </c>
      <c r="BG213" s="135">
        <f t="shared" si="822"/>
        <v>2.3203484151947732E-2</v>
      </c>
      <c r="BH213" s="135">
        <f t="shared" si="822"/>
        <v>1.7356910190786418E-2</v>
      </c>
      <c r="BI213" s="135">
        <f t="shared" si="822"/>
        <v>1.9649200710479573E-2</v>
      </c>
      <c r="BJ213" s="302">
        <f t="shared" si="810"/>
        <v>1.9649200710479573E-2</v>
      </c>
      <c r="BK213" s="135">
        <f t="shared" si="810"/>
        <v>2.4600638977635782E-2</v>
      </c>
      <c r="BL213" s="135">
        <f t="shared" si="810"/>
        <v>2.9558182949595519E-2</v>
      </c>
      <c r="BM213" s="135">
        <f t="shared" si="810"/>
        <v>3.0401297122010538E-2</v>
      </c>
      <c r="BN213" s="135">
        <f t="shared" si="810"/>
        <v>2.5692492974708953E-2</v>
      </c>
      <c r="BO213" s="302">
        <f t="shared" si="811"/>
        <v>2.5692492974708953E-2</v>
      </c>
      <c r="BP213" s="135">
        <f t="shared" si="811"/>
        <v>2.2055927530523829E-2</v>
      </c>
      <c r="BQ213" s="135">
        <f t="shared" si="812"/>
        <v>1.8691588785046728E-2</v>
      </c>
      <c r="BR213" s="135">
        <f t="shared" si="812"/>
        <v>2.314990512333966E-2</v>
      </c>
      <c r="BS213" s="135">
        <f t="shared" si="812"/>
        <v>3.0876677081418856E-2</v>
      </c>
      <c r="BT213" s="302">
        <f t="shared" si="813"/>
        <v>3.0876677081418856E-2</v>
      </c>
      <c r="BU213" s="135">
        <f t="shared" si="813"/>
        <v>2.8774358040429795E-2</v>
      </c>
      <c r="BV213" s="135">
        <f t="shared" si="813"/>
        <v>3.2395114179500799E-2</v>
      </c>
      <c r="BW213" s="135">
        <f t="shared" si="813"/>
        <v>3.329846582984658E-2</v>
      </c>
      <c r="BX213" s="135">
        <f t="shared" si="813"/>
        <v>3.9711191335740074E-2</v>
      </c>
      <c r="BY213" s="302">
        <f t="shared" si="814"/>
        <v>3.9711191335740074E-2</v>
      </c>
      <c r="BZ213" s="135">
        <f t="shared" si="814"/>
        <v>6.0757803371724255E-2</v>
      </c>
      <c r="CA213" s="135">
        <f t="shared" si="814"/>
        <v>7.4468085106382975E-2</v>
      </c>
      <c r="CB213" s="135">
        <f t="shared" si="814"/>
        <v>9.1576260370134013E-2</v>
      </c>
      <c r="CC213" s="135">
        <f t="shared" si="814"/>
        <v>0.10551745635910224</v>
      </c>
      <c r="CD213" s="302">
        <f t="shared" si="789"/>
        <v>0.10551745635910224</v>
      </c>
      <c r="CE213" s="135">
        <f t="shared" si="789"/>
        <v>0.11353510523889998</v>
      </c>
      <c r="CF213" s="135">
        <f t="shared" si="789"/>
        <v>0.1172782874617737</v>
      </c>
      <c r="CG213" s="135">
        <f t="shared" si="789"/>
        <v>0.11662870159453304</v>
      </c>
      <c r="CH213" s="135">
        <f t="shared" si="789"/>
        <v>0.11308805790108564</v>
      </c>
      <c r="CI213" s="302">
        <f t="shared" si="790"/>
        <v>0.11308805790108564</v>
      </c>
      <c r="CJ213" s="135">
        <f t="shared" si="790"/>
        <v>9.6072507552870084E-2</v>
      </c>
      <c r="CK213" s="135">
        <f t="shared" si="790"/>
        <v>9.7814928875201643E-2</v>
      </c>
      <c r="CL213" s="135">
        <f t="shared" si="790"/>
        <v>9.3768115942028982E-2</v>
      </c>
      <c r="CM213" s="135">
        <f t="shared" si="790"/>
        <v>8.2418816821097654E-2</v>
      </c>
      <c r="CN213" s="302">
        <f t="shared" si="791"/>
        <v>8.2418816821097654E-2</v>
      </c>
      <c r="CO213" s="135">
        <f t="shared" si="791"/>
        <v>7.8481765450580318E-2</v>
      </c>
      <c r="CP213" s="135">
        <f t="shared" si="791"/>
        <v>6.6227485265684657E-2</v>
      </c>
      <c r="CQ213" s="135">
        <f t="shared" si="791"/>
        <v>6.862015336893032E-2</v>
      </c>
      <c r="CR213" s="135">
        <f t="shared" si="791"/>
        <v>7.503047197956822E-2</v>
      </c>
      <c r="CS213" s="302">
        <f t="shared" si="792"/>
        <v>7.5030471979568247E-2</v>
      </c>
      <c r="CT213" s="134"/>
      <c r="CU213" s="134"/>
      <c r="CV213" s="134"/>
      <c r="CW213" s="135"/>
      <c r="CX213" s="302">
        <f t="shared" si="793"/>
        <v>8.3027183524815598E-2</v>
      </c>
      <c r="CY213" s="134"/>
      <c r="CZ213" s="134"/>
      <c r="DA213" s="134"/>
      <c r="DB213" s="135"/>
      <c r="DC213" s="302">
        <f t="shared" si="794"/>
        <v>9.4178021705166232E-2</v>
      </c>
      <c r="DD213" s="136"/>
      <c r="DE213" s="131"/>
      <c r="DJ213" s="448"/>
      <c r="DK213" s="412"/>
      <c r="DL213" s="412"/>
      <c r="DM213" s="412"/>
      <c r="DN213" s="412"/>
      <c r="DO213" s="412"/>
      <c r="DP213" s="412"/>
      <c r="DQ213" s="412"/>
      <c r="DR213" s="509"/>
      <c r="DS213" s="136"/>
    </row>
    <row r="214" spans="1:131" x14ac:dyDescent="0.2">
      <c r="A214" s="6" t="s">
        <v>163</v>
      </c>
      <c r="B214" s="298"/>
      <c r="C214" s="139"/>
      <c r="D214" s="139"/>
      <c r="E214" s="139"/>
      <c r="F214" s="139"/>
      <c r="G214" s="298"/>
      <c r="H214" s="139"/>
      <c r="I214" s="139"/>
      <c r="J214" s="139"/>
      <c r="K214" s="139"/>
      <c r="L214" s="298"/>
      <c r="M214" s="139"/>
      <c r="N214" s="139"/>
      <c r="O214" s="139"/>
      <c r="P214" s="139"/>
      <c r="Q214" s="298"/>
      <c r="R214" s="139"/>
      <c r="S214" s="139"/>
      <c r="T214" s="139"/>
      <c r="U214" s="139"/>
      <c r="V214" s="298"/>
      <c r="W214" s="139"/>
      <c r="X214" s="139"/>
      <c r="Y214" s="139"/>
      <c r="Z214" s="139"/>
      <c r="AA214" s="298"/>
      <c r="AB214" s="139"/>
      <c r="AC214" s="139"/>
      <c r="AD214" s="139"/>
      <c r="AE214" s="139"/>
      <c r="AF214" s="298"/>
      <c r="AG214" s="139"/>
      <c r="AH214" s="139"/>
      <c r="AI214" s="139"/>
      <c r="AJ214" s="139"/>
      <c r="AK214" s="298"/>
      <c r="AL214" s="139"/>
      <c r="AM214" s="139"/>
      <c r="AN214" s="139"/>
      <c r="AO214" s="139"/>
      <c r="AP214" s="298"/>
      <c r="AQ214" s="139"/>
      <c r="AR214" s="139"/>
      <c r="AS214" s="139"/>
      <c r="AT214" s="139"/>
      <c r="AU214" s="298"/>
      <c r="AV214" s="139"/>
      <c r="AW214" s="139"/>
      <c r="AX214" s="139"/>
      <c r="AY214" s="139"/>
      <c r="AZ214" s="298"/>
      <c r="BA214" s="139"/>
      <c r="BB214" s="139"/>
      <c r="BC214" s="139"/>
      <c r="BD214" s="139"/>
      <c r="BE214" s="298"/>
      <c r="BF214" s="139"/>
      <c r="BG214" s="139"/>
      <c r="BH214" s="139"/>
      <c r="BI214" s="139"/>
      <c r="BJ214" s="298"/>
      <c r="BK214" s="139"/>
      <c r="BL214" s="139"/>
      <c r="BM214" s="139"/>
      <c r="BN214" s="139"/>
      <c r="BO214" s="298"/>
      <c r="BP214" s="139"/>
      <c r="BQ214" s="139"/>
      <c r="BR214" s="139"/>
      <c r="BS214" s="139"/>
      <c r="BT214" s="298"/>
      <c r="BU214" s="139"/>
      <c r="BV214" s="139"/>
      <c r="BW214" s="139"/>
      <c r="BX214" s="139"/>
      <c r="BY214" s="298"/>
      <c r="BZ214" s="139"/>
      <c r="CA214" s="139"/>
      <c r="CB214" s="139"/>
      <c r="CC214" s="139"/>
      <c r="CD214" s="298"/>
      <c r="CE214" s="139"/>
      <c r="CF214" s="139"/>
      <c r="CG214" s="139"/>
      <c r="CH214" s="139"/>
      <c r="CI214" s="298"/>
      <c r="CJ214" s="139"/>
      <c r="CK214" s="139"/>
      <c r="CL214" s="139"/>
      <c r="CM214" s="139"/>
      <c r="CN214" s="298"/>
      <c r="CO214" s="139"/>
      <c r="CP214" s="139"/>
      <c r="CQ214" s="139"/>
      <c r="CR214" s="139"/>
      <c r="CS214" s="298"/>
      <c r="CT214" s="139"/>
      <c r="CU214" s="139"/>
      <c r="CV214" s="139"/>
      <c r="CW214" s="139"/>
      <c r="CX214" s="298"/>
      <c r="CY214" s="139"/>
      <c r="CZ214" s="139"/>
      <c r="DA214" s="139"/>
      <c r="DB214" s="139"/>
      <c r="DC214" s="298"/>
      <c r="DD214" s="136"/>
      <c r="DE214" s="131"/>
      <c r="DJ214" s="448"/>
      <c r="DK214" s="412"/>
      <c r="DL214" s="412"/>
      <c r="DM214" s="412"/>
      <c r="DN214" s="412"/>
      <c r="DO214" s="412"/>
      <c r="DP214" s="412"/>
      <c r="DQ214" s="412"/>
      <c r="DR214" s="509"/>
      <c r="DS214" s="527"/>
    </row>
    <row r="215" spans="1:131" s="7" customFormat="1" x14ac:dyDescent="0.2">
      <c r="A215" s="7" t="s">
        <v>164</v>
      </c>
      <c r="B215" s="260"/>
      <c r="G215" s="260"/>
      <c r="L215" s="260"/>
      <c r="Q215" s="260"/>
      <c r="V215" s="260"/>
      <c r="AA215" s="260"/>
      <c r="AF215" s="260"/>
      <c r="AK215" s="260"/>
      <c r="AP215" s="260"/>
      <c r="AU215" s="260"/>
      <c r="AZ215" s="260"/>
      <c r="BE215" s="260"/>
      <c r="BJ215" s="260"/>
      <c r="BO215" s="260"/>
      <c r="BT215" s="260"/>
      <c r="BY215" s="260"/>
      <c r="CD215" s="260"/>
      <c r="CI215" s="260"/>
      <c r="CM215" s="807"/>
      <c r="CN215" s="260"/>
      <c r="CS215" s="260"/>
      <c r="CX215" s="260"/>
      <c r="DC215" s="260"/>
      <c r="DD215" s="363"/>
      <c r="DE215" s="6"/>
      <c r="DF215" s="363"/>
      <c r="DG215" s="363"/>
      <c r="DH215" s="363"/>
      <c r="DI215" s="363"/>
      <c r="DJ215" s="435"/>
      <c r="DK215" s="393"/>
      <c r="DL215" s="393"/>
      <c r="DM215" s="412"/>
      <c r="DN215" s="412"/>
      <c r="DO215" s="412"/>
      <c r="DP215" s="412"/>
      <c r="DQ215" s="393"/>
      <c r="DR215" s="6"/>
      <c r="DS215" s="363"/>
      <c r="DT215"/>
      <c r="DU215"/>
      <c r="DV215"/>
      <c r="DW215"/>
      <c r="DX215"/>
      <c r="DY215"/>
    </row>
    <row r="216" spans="1:131" x14ac:dyDescent="0.2">
      <c r="A216" s="231" t="s">
        <v>325</v>
      </c>
      <c r="B216" s="299">
        <f>Model!B147</f>
        <v>-14.449</v>
      </c>
      <c r="C216" s="140"/>
      <c r="D216" s="140"/>
      <c r="E216" s="140"/>
      <c r="F216" s="140"/>
      <c r="G216" s="299">
        <f>Model!G147</f>
        <v>-21.329999999999973</v>
      </c>
      <c r="H216" s="140"/>
      <c r="I216" s="140"/>
      <c r="J216" s="140"/>
      <c r="K216" s="140"/>
      <c r="L216" s="299">
        <f>Model!L147</f>
        <v>38.110783800000057</v>
      </c>
      <c r="M216" s="140"/>
      <c r="N216" s="140"/>
      <c r="O216" s="140"/>
      <c r="P216" s="140"/>
      <c r="Q216" s="299">
        <f>Model!Q176</f>
        <v>54.904023636000048</v>
      </c>
      <c r="R216" s="140"/>
      <c r="S216" s="140"/>
      <c r="T216" s="140"/>
      <c r="U216" s="140"/>
      <c r="V216" s="299">
        <f>Model!V176</f>
        <v>103.97320000000006</v>
      </c>
      <c r="W216" s="140"/>
      <c r="X216" s="140"/>
      <c r="Y216" s="140"/>
      <c r="Z216" s="140"/>
      <c r="AA216" s="299">
        <f>Model!AA176</f>
        <v>45.966999999999757</v>
      </c>
      <c r="AB216" s="140"/>
      <c r="AC216" s="140"/>
      <c r="AD216" s="140"/>
      <c r="AE216" s="140"/>
      <c r="AF216" s="299">
        <f>Model!AF176</f>
        <v>-19.686999999999976</v>
      </c>
      <c r="AG216" s="140">
        <f>Model!AG176</f>
        <v>-31.600000000000023</v>
      </c>
      <c r="AH216" s="140">
        <f>Model!AH176</f>
        <v>14</v>
      </c>
      <c r="AI216" s="140">
        <f>Model!AI176</f>
        <v>0.80000000000000071</v>
      </c>
      <c r="AJ216" s="140">
        <f>Model!AJ176</f>
        <v>17</v>
      </c>
      <c r="AK216" s="299">
        <f>Model!AK176</f>
        <v>0.20000000000009166</v>
      </c>
      <c r="AL216" s="140">
        <f>Model!AL176</f>
        <v>-22</v>
      </c>
      <c r="AM216" s="140">
        <f>Model!AM176</f>
        <v>21</v>
      </c>
      <c r="AN216" s="140">
        <f>Model!AN176</f>
        <v>23</v>
      </c>
      <c r="AO216" s="140">
        <f>Model!AO176</f>
        <v>-4</v>
      </c>
      <c r="AP216" s="299">
        <f>Model!AP176</f>
        <v>18</v>
      </c>
      <c r="AQ216" s="140">
        <f>Model!AQ176</f>
        <v>-7.7999999999999545</v>
      </c>
      <c r="AR216" s="140">
        <f>Model!AR176</f>
        <v>-7</v>
      </c>
      <c r="AS216" s="140">
        <f>Model!AS176</f>
        <v>-4</v>
      </c>
      <c r="AT216" s="140">
        <f>Model!AT176</f>
        <v>-57</v>
      </c>
      <c r="AU216" s="299">
        <f>Model!AU176</f>
        <v>-75.800000000000182</v>
      </c>
      <c r="AV216" s="140">
        <f>Model!AV176</f>
        <v>14.7</v>
      </c>
      <c r="AW216" s="140">
        <f>Model!AW176</f>
        <v>21.700000000000003</v>
      </c>
      <c r="AX216" s="140">
        <f>Model!AX176</f>
        <v>16.05</v>
      </c>
      <c r="AY216" s="140">
        <f>Model!AY176</f>
        <v>11</v>
      </c>
      <c r="AZ216" s="299">
        <f>Model!AZ176</f>
        <v>63.449999999999996</v>
      </c>
      <c r="BA216" s="140">
        <f>Model!BA176</f>
        <v>-1.5</v>
      </c>
      <c r="BB216" s="140">
        <f>Model!BB176</f>
        <v>30</v>
      </c>
      <c r="BC216" s="140">
        <f>Model!BC176</f>
        <v>58.799999999999955</v>
      </c>
      <c r="BD216" s="140">
        <f>Model!BD176</f>
        <v>9.1000000000000227</v>
      </c>
      <c r="BE216" s="299">
        <f>Model!BE176</f>
        <v>96.399999999999636</v>
      </c>
      <c r="BF216" s="140">
        <f>Model!BF176</f>
        <v>3</v>
      </c>
      <c r="BG216" s="140">
        <f>Model!BG176</f>
        <v>25</v>
      </c>
      <c r="BH216" s="140">
        <f>Model!BH176</f>
        <v>34.5</v>
      </c>
      <c r="BI216" s="140">
        <f>Model!BI176</f>
        <v>23</v>
      </c>
      <c r="BJ216" s="299">
        <f>Model!BJ176</f>
        <v>85.5</v>
      </c>
      <c r="BK216" s="140">
        <f>Model!BK176</f>
        <v>30</v>
      </c>
      <c r="BL216" s="140">
        <f>Model!BL176</f>
        <v>52</v>
      </c>
      <c r="BM216" s="140">
        <f>Model!BM176</f>
        <v>45</v>
      </c>
      <c r="BN216" s="140">
        <f>Model!BN176</f>
        <v>1</v>
      </c>
      <c r="BO216" s="299">
        <f>Model!BO176</f>
        <v>128</v>
      </c>
      <c r="BP216" s="140">
        <f>Model!BP176</f>
        <v>14</v>
      </c>
      <c r="BQ216" s="140">
        <f>Model!BQ176</f>
        <v>36</v>
      </c>
      <c r="BR216" s="140">
        <f>Model!BR176</f>
        <v>71</v>
      </c>
      <c r="BS216" s="140">
        <f>Model!BS176</f>
        <v>47</v>
      </c>
      <c r="BT216" s="299">
        <f>Model!BT176</f>
        <v>168</v>
      </c>
      <c r="BU216" s="140">
        <f>Model!BU176</f>
        <v>4</v>
      </c>
      <c r="BV216" s="140">
        <f>Model!BV176</f>
        <v>61</v>
      </c>
      <c r="BW216" s="140">
        <f>Model!BW176</f>
        <v>79</v>
      </c>
      <c r="BX216" s="140">
        <f>Model!BX176</f>
        <v>88</v>
      </c>
      <c r="BY216" s="299">
        <f>Model!BY176</f>
        <v>232</v>
      </c>
      <c r="BZ216" s="140">
        <f>Model!BZ176</f>
        <v>137</v>
      </c>
      <c r="CA216" s="140">
        <f>Model!CA176</f>
        <v>152</v>
      </c>
      <c r="CB216" s="140">
        <f>Model!CB176</f>
        <v>198</v>
      </c>
      <c r="CC216" s="140">
        <f>Model!CC176</f>
        <v>190</v>
      </c>
      <c r="CD216" s="299">
        <f>Model!CD176</f>
        <v>677</v>
      </c>
      <c r="CE216" s="140">
        <f>Model!CE176</f>
        <v>199</v>
      </c>
      <c r="CF216" s="140">
        <f>Model!CF176</f>
        <v>180</v>
      </c>
      <c r="CG216" s="140">
        <f>Model!CG176</f>
        <v>199</v>
      </c>
      <c r="CH216" s="140">
        <f>Model!CH176</f>
        <v>172</v>
      </c>
      <c r="CI216" s="299">
        <f>Model!CI176</f>
        <v>750</v>
      </c>
      <c r="CJ216" s="140">
        <f>+CJ176</f>
        <v>85</v>
      </c>
      <c r="CK216" s="140">
        <f t="shared" ref="CK216:CM216" si="823">+CK176</f>
        <v>211</v>
      </c>
      <c r="CL216" s="140">
        <f t="shared" si="823"/>
        <v>179</v>
      </c>
      <c r="CM216" s="140">
        <f t="shared" si="823"/>
        <v>103.16800000000001</v>
      </c>
      <c r="CN216" s="299">
        <f>Model!CN176</f>
        <v>578.16800000000001</v>
      </c>
      <c r="CO216" s="140">
        <f t="shared" ref="CO216:CR216" si="824">+CO176</f>
        <v>69.420376118776232</v>
      </c>
      <c r="CP216" s="140">
        <f t="shared" si="824"/>
        <v>127.27316701943846</v>
      </c>
      <c r="CQ216" s="140">
        <f t="shared" si="824"/>
        <v>211.62179432302776</v>
      </c>
      <c r="CR216" s="140">
        <f t="shared" si="824"/>
        <v>163.76550559322038</v>
      </c>
      <c r="CS216" s="299">
        <f>Model!CS176</f>
        <v>572.080843054463</v>
      </c>
      <c r="CT216" s="140"/>
      <c r="CU216" s="140"/>
      <c r="CV216" s="140"/>
      <c r="CW216" s="140"/>
      <c r="CX216" s="299">
        <f>Model!CX176</f>
        <v>684.54836716091631</v>
      </c>
      <c r="CY216" s="140"/>
      <c r="CZ216" s="140"/>
      <c r="DA216" s="140"/>
      <c r="DB216" s="140"/>
      <c r="DC216" s="299">
        <f>Model!DC176</f>
        <v>837.63277973523736</v>
      </c>
      <c r="DD216" s="149"/>
      <c r="DE216" s="475"/>
      <c r="DJ216" s="413"/>
      <c r="DK216" s="411"/>
      <c r="DL216" s="411"/>
      <c r="DM216" s="412"/>
      <c r="DN216" s="412"/>
      <c r="DO216" s="412"/>
      <c r="DP216" s="412"/>
      <c r="DQ216" s="411"/>
      <c r="DR216" s="508"/>
      <c r="DS216" s="140"/>
    </row>
    <row r="217" spans="1:131" x14ac:dyDescent="0.2">
      <c r="A217" s="232" t="s">
        <v>330</v>
      </c>
      <c r="B217" s="300">
        <v>0.111</v>
      </c>
      <c r="C217" s="141"/>
      <c r="D217" s="141"/>
      <c r="E217" s="141"/>
      <c r="F217" s="141"/>
      <c r="G217" s="300">
        <v>3.8889999999999998</v>
      </c>
      <c r="H217" s="141"/>
      <c r="I217" s="141"/>
      <c r="J217" s="141"/>
      <c r="K217" s="141"/>
      <c r="L217" s="300">
        <v>9.9719999999999995</v>
      </c>
      <c r="M217" s="832"/>
      <c r="N217" s="832"/>
      <c r="O217" s="832"/>
      <c r="P217" s="832"/>
      <c r="Q217" s="300">
        <v>24.73</v>
      </c>
      <c r="R217" s="832"/>
      <c r="S217" s="832"/>
      <c r="T217" s="832"/>
      <c r="U217" s="832"/>
      <c r="V217" s="300">
        <v>44.133000000000003</v>
      </c>
      <c r="W217" s="832"/>
      <c r="X217" s="832"/>
      <c r="Y217" s="832"/>
      <c r="Z217" s="832"/>
      <c r="AA217" s="300">
        <v>66.492999999999995</v>
      </c>
      <c r="AB217" s="832"/>
      <c r="AC217" s="832"/>
      <c r="AD217" s="832"/>
      <c r="AE217" s="832"/>
      <c r="AF217" s="300">
        <v>101</v>
      </c>
      <c r="AG217" s="832">
        <v>30</v>
      </c>
      <c r="AH217" s="832">
        <v>33</v>
      </c>
      <c r="AI217" s="832">
        <v>36</v>
      </c>
      <c r="AJ217" s="832">
        <v>37</v>
      </c>
      <c r="AK217" s="300">
        <v>136</v>
      </c>
      <c r="AL217" s="832">
        <v>39</v>
      </c>
      <c r="AM217" s="832">
        <v>38</v>
      </c>
      <c r="AN217" s="832">
        <v>41</v>
      </c>
      <c r="AO217" s="832">
        <v>43</v>
      </c>
      <c r="AP217" s="300">
        <v>161</v>
      </c>
      <c r="AQ217" s="832">
        <v>41</v>
      </c>
      <c r="AR217" s="832">
        <v>43</v>
      </c>
      <c r="AS217" s="832">
        <v>50</v>
      </c>
      <c r="AT217" s="832">
        <v>55</v>
      </c>
      <c r="AU217" s="300">
        <v>189</v>
      </c>
      <c r="AV217" s="832">
        <v>44</v>
      </c>
      <c r="AW217" s="832">
        <f>90-AV217</f>
        <v>46</v>
      </c>
      <c r="AX217" s="832">
        <f>139-AW217-AV217</f>
        <v>49</v>
      </c>
      <c r="AY217" s="832">
        <f>190-AX217-AW217-AV217</f>
        <v>51</v>
      </c>
      <c r="AZ217" s="300">
        <f>SUM(AV217:AY217)</f>
        <v>190</v>
      </c>
      <c r="BA217" s="832">
        <v>48</v>
      </c>
      <c r="BB217" s="832">
        <f>96-BA217</f>
        <v>48</v>
      </c>
      <c r="BC217" s="832">
        <f>145-BB217-BA217</f>
        <v>49</v>
      </c>
      <c r="BD217" s="832">
        <f>194-BC217-BB217-BA217</f>
        <v>49</v>
      </c>
      <c r="BE217" s="300">
        <f>SUM(BA217:BD217)</f>
        <v>194</v>
      </c>
      <c r="BF217" s="832">
        <v>51</v>
      </c>
      <c r="BG217" s="832">
        <f>105-BF217</f>
        <v>54</v>
      </c>
      <c r="BH217" s="832">
        <f>156-BG217-BF217</f>
        <v>51</v>
      </c>
      <c r="BI217" s="832">
        <v>57</v>
      </c>
      <c r="BJ217" s="300">
        <f>SUM(BF217:BI217)</f>
        <v>213</v>
      </c>
      <c r="BK217" s="832">
        <v>55</v>
      </c>
      <c r="BL217" s="832">
        <f>112-BK217</f>
        <v>57</v>
      </c>
      <c r="BM217" s="832">
        <f>170-BL217-BK217</f>
        <v>58</v>
      </c>
      <c r="BN217" s="832">
        <f>230-BM217-BL217-BK217</f>
        <v>60</v>
      </c>
      <c r="BO217" s="300">
        <f>SUM(BK217:BN217)</f>
        <v>230</v>
      </c>
      <c r="BP217" s="832">
        <v>61</v>
      </c>
      <c r="BQ217" s="832">
        <f>123-BP217</f>
        <v>62</v>
      </c>
      <c r="BR217" s="832">
        <f>188-BQ217-BP217</f>
        <v>65</v>
      </c>
      <c r="BS217" s="832">
        <f>258-BR217-BQ217-BP217</f>
        <v>70</v>
      </c>
      <c r="BT217" s="300">
        <f>SUM(BP217:BS217)</f>
        <v>258</v>
      </c>
      <c r="BU217" s="832">
        <v>68</v>
      </c>
      <c r="BV217" s="832">
        <f>133-BU217</f>
        <v>65</v>
      </c>
      <c r="BW217" s="832">
        <f>197-BV217-BU217</f>
        <v>64</v>
      </c>
      <c r="BX217" s="832">
        <f>263-SUM(BU217:BW217)</f>
        <v>66</v>
      </c>
      <c r="BY217" s="300">
        <f>SUM(BU217:BX217)</f>
        <v>263</v>
      </c>
      <c r="BZ217" s="832">
        <v>67</v>
      </c>
      <c r="CA217" s="832">
        <f>138-BZ217</f>
        <v>71</v>
      </c>
      <c r="CB217" s="832">
        <f>210-CA217-BZ217</f>
        <v>72</v>
      </c>
      <c r="CC217" s="832">
        <f>288-CB217-CA217-BZ217</f>
        <v>78</v>
      </c>
      <c r="CD217" s="300">
        <f>SUM(BZ217:CC217)</f>
        <v>288</v>
      </c>
      <c r="CE217" s="832">
        <v>79</v>
      </c>
      <c r="CF217" s="832">
        <f>162-CE217</f>
        <v>83</v>
      </c>
      <c r="CG217" s="832">
        <f>248-CF217-CE217</f>
        <v>86</v>
      </c>
      <c r="CH217" s="832">
        <f>337-CG217-CF217-CE217</f>
        <v>89</v>
      </c>
      <c r="CI217" s="300">
        <f>SUM(CE217:CH217)</f>
        <v>337</v>
      </c>
      <c r="CJ217" s="832">
        <v>90</v>
      </c>
      <c r="CK217" s="832">
        <f>184-CJ217</f>
        <v>94</v>
      </c>
      <c r="CL217" s="832">
        <f>283-CK217-CJ217</f>
        <v>99</v>
      </c>
      <c r="CM217" s="141">
        <f t="shared" ref="CM217:CR217" si="825">CM219*(CL217/CL219)</f>
        <v>103.3421052631579</v>
      </c>
      <c r="CN217" s="300">
        <f>SUM(CJ217:CM217)</f>
        <v>386.34210526315792</v>
      </c>
      <c r="CO217" s="141">
        <f t="shared" si="825"/>
        <v>99.372893853761923</v>
      </c>
      <c r="CP217" s="141">
        <f t="shared" si="825"/>
        <v>101.27435387966561</v>
      </c>
      <c r="CQ217" s="141">
        <f t="shared" si="825"/>
        <v>104.9346644295302</v>
      </c>
      <c r="CR217" s="141">
        <f t="shared" si="825"/>
        <v>110.05132049923468</v>
      </c>
      <c r="CS217" s="300">
        <f>SUM(CO217:CR217)</f>
        <v>415.63323266219243</v>
      </c>
      <c r="CT217" s="141"/>
      <c r="CU217" s="141"/>
      <c r="CV217" s="141"/>
      <c r="CW217" s="141"/>
      <c r="CX217" s="300">
        <f>CX219-CX218</f>
        <v>446.89108266219239</v>
      </c>
      <c r="CY217" s="141"/>
      <c r="CZ217" s="141"/>
      <c r="DA217" s="141"/>
      <c r="DB217" s="141"/>
      <c r="DC217" s="300">
        <f>DC219-DC218</f>
        <v>487.86291066219246</v>
      </c>
      <c r="DD217" s="132"/>
      <c r="DE217" s="471"/>
      <c r="DJ217" s="413"/>
      <c r="DK217" s="411"/>
      <c r="DL217" s="411"/>
      <c r="DM217" s="412"/>
      <c r="DN217" s="412"/>
      <c r="DO217" s="412"/>
      <c r="DP217" s="412"/>
      <c r="DQ217" s="411"/>
      <c r="DR217" s="508"/>
      <c r="DS217" s="141"/>
    </row>
    <row r="218" spans="1:131" x14ac:dyDescent="0.2">
      <c r="A218" s="232" t="s">
        <v>168</v>
      </c>
      <c r="B218" s="853">
        <v>0</v>
      </c>
      <c r="C218" s="141"/>
      <c r="D218" s="141"/>
      <c r="E218" s="141"/>
      <c r="F218" s="141"/>
      <c r="G218" s="853">
        <v>0.106</v>
      </c>
      <c r="H218" s="141"/>
      <c r="I218" s="141"/>
      <c r="J218" s="141"/>
      <c r="K218" s="141"/>
      <c r="L218" s="853">
        <v>0.44500000000000001</v>
      </c>
      <c r="M218" s="832"/>
      <c r="N218" s="832"/>
      <c r="O218" s="832"/>
      <c r="P218" s="832"/>
      <c r="Q218" s="853">
        <f>Q219-Q217</f>
        <v>2.1919999999999966</v>
      </c>
      <c r="R218" s="832"/>
      <c r="S218" s="832"/>
      <c r="T218" s="832"/>
      <c r="U218" s="832"/>
      <c r="V218" s="853">
        <f>V219-V217</f>
        <v>6.2639999999999887</v>
      </c>
      <c r="W218" s="832"/>
      <c r="X218" s="832"/>
      <c r="Y218" s="832"/>
      <c r="Z218" s="832"/>
      <c r="AA218" s="853">
        <f>AA219-AA217</f>
        <v>10.047000000000011</v>
      </c>
      <c r="AB218" s="832"/>
      <c r="AC218" s="832"/>
      <c r="AD218" s="832"/>
      <c r="AE218" s="832"/>
      <c r="AF218" s="853">
        <f>AF219-AF217</f>
        <v>13.942000000000007</v>
      </c>
      <c r="AG218" s="832">
        <v>4</v>
      </c>
      <c r="AH218" s="832">
        <v>6</v>
      </c>
      <c r="AI218" s="832">
        <v>4</v>
      </c>
      <c r="AJ218" s="832">
        <v>4</v>
      </c>
      <c r="AK218" s="300">
        <f>AK219-AK217</f>
        <v>18</v>
      </c>
      <c r="AL218" s="832">
        <v>5</v>
      </c>
      <c r="AM218" s="832">
        <v>5</v>
      </c>
      <c r="AN218" s="832">
        <v>5</v>
      </c>
      <c r="AO218" s="832">
        <v>4</v>
      </c>
      <c r="AP218" s="300">
        <f>AP219-AP217</f>
        <v>19</v>
      </c>
      <c r="AQ218" s="832">
        <v>5</v>
      </c>
      <c r="AR218" s="832">
        <v>5</v>
      </c>
      <c r="AS218" s="832">
        <v>5</v>
      </c>
      <c r="AT218" s="832">
        <v>6</v>
      </c>
      <c r="AU218" s="300">
        <f>AU219-AU217</f>
        <v>21</v>
      </c>
      <c r="AV218" s="832">
        <v>12</v>
      </c>
      <c r="AW218" s="832">
        <f>24-AV218</f>
        <v>12</v>
      </c>
      <c r="AX218" s="832">
        <f>35-AW218-AV218</f>
        <v>11</v>
      </c>
      <c r="AY218" s="832">
        <f>44-AX218-AW218-AV218</f>
        <v>9</v>
      </c>
      <c r="AZ218" s="300">
        <f>SUM(AV218:AY218)</f>
        <v>44</v>
      </c>
      <c r="BA218" s="832">
        <v>11</v>
      </c>
      <c r="BB218" s="832">
        <f>20-BA218</f>
        <v>9</v>
      </c>
      <c r="BC218" s="832">
        <f>28-BB218-BA218</f>
        <v>8</v>
      </c>
      <c r="BD218" s="832">
        <f>36-BC218-BB218-BA218</f>
        <v>8</v>
      </c>
      <c r="BE218" s="300">
        <f>SUM(BA218:BD218)</f>
        <v>36</v>
      </c>
      <c r="BF218" s="832">
        <v>8</v>
      </c>
      <c r="BG218" s="832">
        <f>16-BF218</f>
        <v>8</v>
      </c>
      <c r="BH218" s="832">
        <f>25-BG218-BF218</f>
        <v>9</v>
      </c>
      <c r="BI218" s="832">
        <v>9</v>
      </c>
      <c r="BJ218" s="300">
        <f>SUM(BF218:BI218)</f>
        <v>34</v>
      </c>
      <c r="BK218" s="832">
        <v>9</v>
      </c>
      <c r="BL218" s="832">
        <f>18-BK218</f>
        <v>9</v>
      </c>
      <c r="BM218" s="832">
        <f>28-BL218-BK218</f>
        <v>10</v>
      </c>
      <c r="BN218" s="832">
        <f>39-BM218-BL218-BK218</f>
        <v>11</v>
      </c>
      <c r="BO218" s="300">
        <f>SUM(BK218:BN218)</f>
        <v>39</v>
      </c>
      <c r="BP218" s="832">
        <v>11</v>
      </c>
      <c r="BQ218" s="832">
        <f>23-BP218</f>
        <v>12</v>
      </c>
      <c r="BR218" s="832">
        <f>35-BQ218-BP218</f>
        <v>12</v>
      </c>
      <c r="BS218" s="832">
        <f>48-BR218-BQ218-BP218</f>
        <v>13</v>
      </c>
      <c r="BT218" s="300">
        <f>SUM(BP218:BS218)</f>
        <v>48</v>
      </c>
      <c r="BU218" s="832">
        <v>14</v>
      </c>
      <c r="BV218" s="832">
        <f>28-BU218</f>
        <v>14</v>
      </c>
      <c r="BW218" s="832">
        <f>43-BV218-BU218</f>
        <v>15</v>
      </c>
      <c r="BX218" s="832">
        <f>62-SUM(BU218:BW218)</f>
        <v>19</v>
      </c>
      <c r="BY218" s="300">
        <f>SUM(BU218:BX218)</f>
        <v>62</v>
      </c>
      <c r="BZ218" s="832">
        <v>20</v>
      </c>
      <c r="CA218" s="832">
        <f>30-BZ218</f>
        <v>10</v>
      </c>
      <c r="CB218" s="832">
        <f>42-CA218-BZ218</f>
        <v>12</v>
      </c>
      <c r="CC218" s="832">
        <f>57-CB218-CA218-BZ218</f>
        <v>15</v>
      </c>
      <c r="CD218" s="300">
        <f>SUM(BZ218:CC218)</f>
        <v>57</v>
      </c>
      <c r="CE218" s="832">
        <v>12</v>
      </c>
      <c r="CF218" s="832">
        <f>26-CE218</f>
        <v>14</v>
      </c>
      <c r="CG218" s="832">
        <f>41-CF218-CE218</f>
        <v>15</v>
      </c>
      <c r="CH218" s="832">
        <f>56-CG218-CF218-CE218</f>
        <v>15</v>
      </c>
      <c r="CI218" s="300">
        <f>SUM(CE218:CH218)</f>
        <v>56</v>
      </c>
      <c r="CJ218" s="832">
        <v>15</v>
      </c>
      <c r="CK218" s="832">
        <f>30-CJ218</f>
        <v>15</v>
      </c>
      <c r="CL218" s="832">
        <f>45-CK218-CJ218</f>
        <v>15</v>
      </c>
      <c r="CM218" s="143">
        <f t="shared" ref="CM218" si="826">CM219-CM217</f>
        <v>15.657894736842096</v>
      </c>
      <c r="CN218" s="300">
        <f>SUM(CJ218:CM218)</f>
        <v>60.657894736842096</v>
      </c>
      <c r="CO218" s="143">
        <f t="shared" ref="CO218:CR218" si="827">CO219-CO217</f>
        <v>15.602106146238071</v>
      </c>
      <c r="CP218" s="143">
        <f t="shared" si="827"/>
        <v>15.900646120334386</v>
      </c>
      <c r="CQ218" s="143">
        <f t="shared" si="827"/>
        <v>16.475335570469795</v>
      </c>
      <c r="CR218" s="143">
        <f t="shared" si="827"/>
        <v>17.278679500765335</v>
      </c>
      <c r="CS218" s="300">
        <f>SUM(CO218:CR218)</f>
        <v>65.256767337807588</v>
      </c>
      <c r="CT218" s="141"/>
      <c r="CU218" s="143"/>
      <c r="CV218" s="143"/>
      <c r="CW218" s="143"/>
      <c r="CX218" s="330">
        <f>CS218</f>
        <v>65.256767337807588</v>
      </c>
      <c r="CY218" s="141"/>
      <c r="CZ218" s="143"/>
      <c r="DA218" s="143"/>
      <c r="DB218" s="143"/>
      <c r="DC218" s="330">
        <f>CX218</f>
        <v>65.256767337807588</v>
      </c>
      <c r="DD218" s="132"/>
      <c r="DE218" s="471"/>
      <c r="DJ218" s="413"/>
      <c r="DK218" s="411"/>
      <c r="DL218" s="411"/>
      <c r="DM218" s="411"/>
      <c r="DN218" s="412"/>
      <c r="DO218" s="412"/>
      <c r="DP218" s="412"/>
      <c r="DQ218" s="411"/>
      <c r="DR218" s="508"/>
      <c r="DS218" s="141"/>
    </row>
    <row r="219" spans="1:131" x14ac:dyDescent="0.2">
      <c r="A219" s="165" t="s">
        <v>169</v>
      </c>
      <c r="B219" s="301">
        <f>B218+B217</f>
        <v>0.111</v>
      </c>
      <c r="C219" s="145"/>
      <c r="D219" s="145"/>
      <c r="E219" s="145"/>
      <c r="F219" s="145"/>
      <c r="G219" s="301">
        <f>G218+G217</f>
        <v>3.9949999999999997</v>
      </c>
      <c r="H219" s="145"/>
      <c r="I219" s="145"/>
      <c r="J219" s="145"/>
      <c r="K219" s="145"/>
      <c r="L219" s="301">
        <f>L218+L217</f>
        <v>10.417</v>
      </c>
      <c r="M219" s="145"/>
      <c r="N219" s="145"/>
      <c r="O219" s="145"/>
      <c r="P219" s="145"/>
      <c r="Q219" s="301">
        <f>Model!Q86</f>
        <v>26.921999999999997</v>
      </c>
      <c r="R219" s="145"/>
      <c r="S219" s="145"/>
      <c r="T219" s="145"/>
      <c r="U219" s="145"/>
      <c r="V219" s="301">
        <f>Model!V86</f>
        <v>50.396999999999991</v>
      </c>
      <c r="W219" s="145"/>
      <c r="X219" s="145"/>
      <c r="Y219" s="145"/>
      <c r="Z219" s="145"/>
      <c r="AA219" s="301">
        <f>Model!AA86</f>
        <v>76.540000000000006</v>
      </c>
      <c r="AB219" s="145"/>
      <c r="AC219" s="145"/>
      <c r="AD219" s="145"/>
      <c r="AE219" s="145"/>
      <c r="AF219" s="301">
        <f>Model!AF86</f>
        <v>114.94200000000001</v>
      </c>
      <c r="AG219" s="145">
        <f>AG218+AG217</f>
        <v>34</v>
      </c>
      <c r="AH219" s="145">
        <f>AH218+AH217</f>
        <v>39</v>
      </c>
      <c r="AI219" s="145">
        <f>AI218+AI217</f>
        <v>40</v>
      </c>
      <c r="AJ219" s="145">
        <f>AJ218+AJ217</f>
        <v>41</v>
      </c>
      <c r="AK219" s="301">
        <f>SUM(AG219:AJ219)</f>
        <v>154</v>
      </c>
      <c r="AL219" s="145">
        <f>AL218+AL217</f>
        <v>44</v>
      </c>
      <c r="AM219" s="145">
        <f>AM218+AM217</f>
        <v>43</v>
      </c>
      <c r="AN219" s="145">
        <f>AN218+AN217</f>
        <v>46</v>
      </c>
      <c r="AO219" s="145">
        <f>AO218+AO217</f>
        <v>47</v>
      </c>
      <c r="AP219" s="301">
        <f>SUM(AL219:AO219)</f>
        <v>180</v>
      </c>
      <c r="AQ219" s="145">
        <f>AQ218+AQ217</f>
        <v>46</v>
      </c>
      <c r="AR219" s="145">
        <f>AR218+AR217</f>
        <v>48</v>
      </c>
      <c r="AS219" s="145">
        <f>AS218+AS217</f>
        <v>55</v>
      </c>
      <c r="AT219" s="145">
        <f>AT218+AT217</f>
        <v>61</v>
      </c>
      <c r="AU219" s="301">
        <f>SUM(AQ219:AT219)</f>
        <v>210</v>
      </c>
      <c r="AV219" s="145">
        <f>AV218+AV217</f>
        <v>56</v>
      </c>
      <c r="AW219" s="145">
        <f>+AW218+AW217</f>
        <v>58</v>
      </c>
      <c r="AX219" s="145">
        <f>+AX218+AX217</f>
        <v>60</v>
      </c>
      <c r="AY219" s="145">
        <f>+AY218+AY217</f>
        <v>60</v>
      </c>
      <c r="AZ219" s="301">
        <f>+AZ218+AZ217</f>
        <v>234</v>
      </c>
      <c r="BA219" s="145">
        <f>BA218+BA217</f>
        <v>59</v>
      </c>
      <c r="BB219" s="145">
        <f>+BB218+BB217</f>
        <v>57</v>
      </c>
      <c r="BC219" s="145">
        <f>+BC218+BC217</f>
        <v>57</v>
      </c>
      <c r="BD219" s="145">
        <f>+BD218+BD217</f>
        <v>57</v>
      </c>
      <c r="BE219" s="301">
        <f>+BE218+BE217</f>
        <v>230</v>
      </c>
      <c r="BF219" s="145">
        <f>BF218+BF217</f>
        <v>59</v>
      </c>
      <c r="BG219" s="145">
        <f>+BG218+BG217</f>
        <v>62</v>
      </c>
      <c r="BH219" s="145">
        <f>+BH218+BH217</f>
        <v>60</v>
      </c>
      <c r="BI219" s="145">
        <f>SUM(BI217:BI218)</f>
        <v>66</v>
      </c>
      <c r="BJ219" s="301">
        <f>+BJ218+BJ217</f>
        <v>247</v>
      </c>
      <c r="BK219" s="145">
        <f>SUM(BK217:BK218)</f>
        <v>64</v>
      </c>
      <c r="BL219" s="145">
        <f>SUM(BL217:BL218)</f>
        <v>66</v>
      </c>
      <c r="BM219" s="145">
        <f>SUM(BM217:BM218)</f>
        <v>68</v>
      </c>
      <c r="BN219" s="145">
        <f>SUM(BN217:BN218)</f>
        <v>71</v>
      </c>
      <c r="BO219" s="301">
        <f>+BO218+BO217</f>
        <v>269</v>
      </c>
      <c r="BP219" s="145">
        <f>SUM(BP217:BP218)</f>
        <v>72</v>
      </c>
      <c r="BQ219" s="145">
        <f>SUM(BQ217:BQ218)</f>
        <v>74</v>
      </c>
      <c r="BR219" s="145">
        <f>SUM(BR217:BR218)</f>
        <v>77</v>
      </c>
      <c r="BS219" s="145">
        <f>SUM(BS217:BS218)</f>
        <v>83</v>
      </c>
      <c r="BT219" s="301">
        <f>+BT218+BT217</f>
        <v>306</v>
      </c>
      <c r="BU219" s="145">
        <f>SUM(BU217:BU218)</f>
        <v>82</v>
      </c>
      <c r="BV219" s="145">
        <f>SUM(BV217:BV218)</f>
        <v>79</v>
      </c>
      <c r="BW219" s="145">
        <f>SUM(BW217:BW218)</f>
        <v>79</v>
      </c>
      <c r="BX219" s="145">
        <f>SUM(BX217:BX218)</f>
        <v>85</v>
      </c>
      <c r="BY219" s="301">
        <f>+BY218+BY217</f>
        <v>325</v>
      </c>
      <c r="BZ219" s="145">
        <f>SUM(BZ217:BZ218)</f>
        <v>87</v>
      </c>
      <c r="CA219" s="145">
        <f>SUM(CA217:CA218)</f>
        <v>81</v>
      </c>
      <c r="CB219" s="145">
        <f>SUM(CB217:CB218)</f>
        <v>84</v>
      </c>
      <c r="CC219" s="145">
        <f>SUM(CC217:CC218)</f>
        <v>93</v>
      </c>
      <c r="CD219" s="301">
        <f>+CD218+CD217</f>
        <v>345</v>
      </c>
      <c r="CE219" s="145">
        <f>SUM(CE217:CE218)</f>
        <v>91</v>
      </c>
      <c r="CF219" s="145">
        <f>SUM(CF217:CF218)</f>
        <v>97</v>
      </c>
      <c r="CG219" s="145">
        <f>SUM(CG217:CG218)</f>
        <v>101</v>
      </c>
      <c r="CH219" s="145">
        <f>SUM(CH217:CH218)</f>
        <v>104</v>
      </c>
      <c r="CI219" s="301">
        <f>+CI218+CI217</f>
        <v>393</v>
      </c>
      <c r="CJ219" s="145">
        <f>SUM(CJ217:CJ218)</f>
        <v>105</v>
      </c>
      <c r="CK219" s="145">
        <f>SUM(CK217:CK218)</f>
        <v>109</v>
      </c>
      <c r="CL219" s="145">
        <f t="shared" ref="CL219:CM219" si="828">CL86</f>
        <v>114</v>
      </c>
      <c r="CM219" s="145">
        <f t="shared" si="828"/>
        <v>119</v>
      </c>
      <c r="CN219" s="301">
        <f>+CN218+CN217</f>
        <v>447</v>
      </c>
      <c r="CO219" s="145">
        <f t="shared" ref="CO219:CR219" si="829">CO86</f>
        <v>114.97499999999999</v>
      </c>
      <c r="CP219" s="145">
        <f t="shared" si="829"/>
        <v>117.175</v>
      </c>
      <c r="CQ219" s="145">
        <f t="shared" si="829"/>
        <v>121.41</v>
      </c>
      <c r="CR219" s="145">
        <f t="shared" si="829"/>
        <v>127.33000000000001</v>
      </c>
      <c r="CS219" s="301">
        <f>+CS218+CS217</f>
        <v>480.89</v>
      </c>
      <c r="CT219" s="146"/>
      <c r="CU219" s="145"/>
      <c r="CV219" s="145"/>
      <c r="CW219" s="145"/>
      <c r="CX219" s="301">
        <f>CX86</f>
        <v>512.14784999999995</v>
      </c>
      <c r="CY219" s="146"/>
      <c r="CZ219" s="145"/>
      <c r="DA219" s="145"/>
      <c r="DB219" s="145"/>
      <c r="DC219" s="301">
        <f>DC86</f>
        <v>553.11967800000002</v>
      </c>
      <c r="DD219" s="152"/>
      <c r="DE219" s="476"/>
      <c r="DJ219" s="413"/>
      <c r="DK219" s="411"/>
      <c r="DL219" s="411"/>
      <c r="DM219" s="411"/>
      <c r="DN219" s="411"/>
      <c r="DO219" s="411"/>
      <c r="DP219" s="411"/>
      <c r="DQ219" s="411"/>
      <c r="DR219" s="508"/>
      <c r="DS219" s="145"/>
    </row>
    <row r="220" spans="1:131" x14ac:dyDescent="0.2">
      <c r="A220" s="231" t="s">
        <v>170</v>
      </c>
      <c r="B220" s="854">
        <v>0</v>
      </c>
      <c r="C220" s="140"/>
      <c r="D220" s="140"/>
      <c r="E220" s="140"/>
      <c r="F220" s="140"/>
      <c r="G220" s="854">
        <v>0</v>
      </c>
      <c r="H220" s="140"/>
      <c r="I220" s="140"/>
      <c r="J220" s="140"/>
      <c r="K220" s="140"/>
      <c r="L220" s="854">
        <v>3.3730000000000002</v>
      </c>
      <c r="M220" s="833"/>
      <c r="N220" s="833"/>
      <c r="O220" s="833"/>
      <c r="P220" s="833"/>
      <c r="Q220" s="854">
        <v>39.658999999999999</v>
      </c>
      <c r="R220" s="833"/>
      <c r="S220" s="833"/>
      <c r="T220" s="833"/>
      <c r="U220" s="833"/>
      <c r="V220" s="854">
        <v>69.753</v>
      </c>
      <c r="W220" s="833"/>
      <c r="X220" s="833"/>
      <c r="Y220" s="833"/>
      <c r="Z220" s="833"/>
      <c r="AA220" s="854">
        <v>29.736999999999998</v>
      </c>
      <c r="AB220" s="833"/>
      <c r="AC220" s="833"/>
      <c r="AD220" s="833"/>
      <c r="AE220" s="833"/>
      <c r="AF220" s="854">
        <v>-4</v>
      </c>
      <c r="AG220" s="833">
        <v>-15</v>
      </c>
      <c r="AH220" s="833">
        <v>11</v>
      </c>
      <c r="AI220" s="833">
        <v>1</v>
      </c>
      <c r="AJ220" s="833">
        <v>13</v>
      </c>
      <c r="AK220" s="299">
        <v>10</v>
      </c>
      <c r="AL220" s="833">
        <v>-23</v>
      </c>
      <c r="AM220" s="833">
        <v>22</v>
      </c>
      <c r="AN220" s="833">
        <v>23</v>
      </c>
      <c r="AO220" s="833">
        <v>1</v>
      </c>
      <c r="AP220" s="299">
        <v>23</v>
      </c>
      <c r="AQ220" s="833">
        <v>-5</v>
      </c>
      <c r="AR220" s="833">
        <v>-3</v>
      </c>
      <c r="AS220" s="833">
        <v>0</v>
      </c>
      <c r="AT220" s="833">
        <v>7</v>
      </c>
      <c r="AU220" s="299">
        <v>-1</v>
      </c>
      <c r="AV220" s="833">
        <v>8</v>
      </c>
      <c r="AW220" s="833">
        <f>24-AV220</f>
        <v>16</v>
      </c>
      <c r="AX220" s="833">
        <f>32-AW220-AV220</f>
        <v>8</v>
      </c>
      <c r="AY220" s="833">
        <f>40-AX220-AW220-AV220</f>
        <v>8</v>
      </c>
      <c r="AZ220" s="299">
        <f>SUM(AV220:AY220)</f>
        <v>40</v>
      </c>
      <c r="BA220" s="833">
        <v>-1</v>
      </c>
      <c r="BB220" s="833">
        <f>19-BA220</f>
        <v>20</v>
      </c>
      <c r="BC220" s="833">
        <f>58-BB220-BA220</f>
        <v>39</v>
      </c>
      <c r="BD220" s="833">
        <f>62-BC220-BB220-BA220</f>
        <v>4</v>
      </c>
      <c r="BE220" s="299">
        <f>SUM(BA220:BD220)</f>
        <v>62</v>
      </c>
      <c r="BF220" s="833">
        <v>2</v>
      </c>
      <c r="BG220" s="833">
        <f>21-BF220</f>
        <v>19</v>
      </c>
      <c r="BH220" s="833">
        <f>42-BG220-BF220</f>
        <v>21</v>
      </c>
      <c r="BI220" s="833">
        <v>16</v>
      </c>
      <c r="BJ220" s="299">
        <f>SUM(BF220:BI220)</f>
        <v>58</v>
      </c>
      <c r="BK220" s="833">
        <v>17</v>
      </c>
      <c r="BL220" s="833">
        <f>50-BK220</f>
        <v>33</v>
      </c>
      <c r="BM220" s="833">
        <f>79-BL220-BK220</f>
        <v>29</v>
      </c>
      <c r="BN220" s="833">
        <f>76-BM220-BL220-BK220</f>
        <v>-3</v>
      </c>
      <c r="BO220" s="299">
        <f>SUM(BK220:BN220)</f>
        <v>76</v>
      </c>
      <c r="BP220" s="833">
        <v>9</v>
      </c>
      <c r="BQ220" s="833">
        <f>31-BP220</f>
        <v>22</v>
      </c>
      <c r="BR220" s="833">
        <f>78-BQ220-BP220</f>
        <v>47</v>
      </c>
      <c r="BS220" s="833">
        <f>107-BR220-BQ220-BP220</f>
        <v>29</v>
      </c>
      <c r="BT220" s="299">
        <f>SUM(BP220:BS220)</f>
        <v>107</v>
      </c>
      <c r="BU220" s="833">
        <v>2</v>
      </c>
      <c r="BV220" s="833">
        <f>107-BU220</f>
        <v>105</v>
      </c>
      <c r="BW220" s="833">
        <f>157-BV220-BU220</f>
        <v>50</v>
      </c>
      <c r="BX220" s="833">
        <f>212-SUM(BU220:BW220)</f>
        <v>55</v>
      </c>
      <c r="BY220" s="299">
        <f>SUM(BU220:BX220)</f>
        <v>212</v>
      </c>
      <c r="BZ220" s="833">
        <v>62</v>
      </c>
      <c r="CA220" s="833">
        <f>131-BZ220</f>
        <v>69</v>
      </c>
      <c r="CB220" s="833">
        <f>201-CA220-BZ220</f>
        <v>70</v>
      </c>
      <c r="CC220" s="833">
        <f>377-CB220-CA220-BZ220</f>
        <v>176</v>
      </c>
      <c r="CD220" s="299">
        <f>SUM(BZ220:CC220)</f>
        <v>377</v>
      </c>
      <c r="CE220" s="833">
        <v>57</v>
      </c>
      <c r="CF220" s="833">
        <f>122-CE220</f>
        <v>65</v>
      </c>
      <c r="CG220" s="833">
        <f>204-CF220-CE220</f>
        <v>82</v>
      </c>
      <c r="CH220" s="833">
        <f>270-CG220-CF220-CE220</f>
        <v>66</v>
      </c>
      <c r="CI220" s="299">
        <f>SUM(CE220:CH220)</f>
        <v>270</v>
      </c>
      <c r="CJ220" s="833">
        <v>30</v>
      </c>
      <c r="CK220" s="833">
        <f>111-CJ220</f>
        <v>81</v>
      </c>
      <c r="CL220" s="833">
        <f>207-CK220-CJ220</f>
        <v>96</v>
      </c>
      <c r="CM220" s="140">
        <f>IF(Model!CM146&gt;0,Model!CM146*CM221,0)</f>
        <v>50.123999999999995</v>
      </c>
      <c r="CN220" s="299">
        <f>SUM(CJ220:CM220)</f>
        <v>257.12400000000002</v>
      </c>
      <c r="CO220" s="140">
        <f>IF(Model!CO146&gt;0,Model!CO146*CO221,0)</f>
        <v>23.140125372925411</v>
      </c>
      <c r="CP220" s="140">
        <f>IF(Model!CP146&gt;0,Model!CP146*CP221,0)</f>
        <v>42.424389006479487</v>
      </c>
      <c r="CQ220" s="140">
        <f>IF(Model!CQ146&gt;0,Model!CQ146*CQ221,0)</f>
        <v>70.540598107675919</v>
      </c>
      <c r="CR220" s="140">
        <f>IF(Model!CR146&gt;0,Model!CR146*CR221,0)</f>
        <v>54.588501864406794</v>
      </c>
      <c r="CS220" s="299">
        <f>SUM(CO220:CR220)</f>
        <v>190.69361435148761</v>
      </c>
      <c r="CT220" s="140"/>
      <c r="CU220" s="140"/>
      <c r="CV220" s="140"/>
      <c r="CW220" s="140"/>
      <c r="CX220" s="299">
        <f>IF(Model!CX146&gt;0,Model!CX146*CX221,0)</f>
        <v>228.18278905363877</v>
      </c>
      <c r="CY220" s="140"/>
      <c r="CZ220" s="140"/>
      <c r="DA220" s="140"/>
      <c r="DB220" s="140"/>
      <c r="DC220" s="299">
        <f>IF(Model!DC146&gt;0,Model!DC146*DC221,0)</f>
        <v>279.21092657841245</v>
      </c>
      <c r="DD220" s="149"/>
      <c r="DE220" s="475"/>
      <c r="DJ220" s="413"/>
      <c r="DK220" s="411"/>
      <c r="DL220" s="411"/>
      <c r="DM220" s="411"/>
      <c r="DN220" s="411"/>
      <c r="DO220" s="411"/>
      <c r="DP220" s="411"/>
      <c r="DQ220" s="784"/>
      <c r="DR220" s="508"/>
      <c r="DS220" s="140"/>
    </row>
    <row r="221" spans="1:131" x14ac:dyDescent="0.2">
      <c r="A221" s="233" t="s">
        <v>171</v>
      </c>
      <c r="B221" s="302"/>
      <c r="C221" s="100"/>
      <c r="D221" s="100"/>
      <c r="E221" s="100"/>
      <c r="F221" s="100"/>
      <c r="G221" s="302">
        <f>G220/Model!G146</f>
        <v>0</v>
      </c>
      <c r="H221" s="100"/>
      <c r="I221" s="100"/>
      <c r="J221" s="100"/>
      <c r="K221" s="100"/>
      <c r="L221" s="302">
        <f>L220/Model!L146</f>
        <v>0.99851983422143287</v>
      </c>
      <c r="M221" s="100"/>
      <c r="N221" s="100"/>
      <c r="O221" s="100"/>
      <c r="P221" s="100"/>
      <c r="Q221" s="302">
        <f>Q220/Model!Q146</f>
        <v>0.98846111376147816</v>
      </c>
      <c r="R221" s="100"/>
      <c r="S221" s="100"/>
      <c r="T221" s="100"/>
      <c r="U221" s="100"/>
      <c r="V221" s="302">
        <f>V220/Model!V146</f>
        <v>1.1001217573432926</v>
      </c>
      <c r="W221" s="100"/>
      <c r="X221" s="100"/>
      <c r="Y221" s="100"/>
      <c r="Z221" s="100"/>
      <c r="AA221" s="302">
        <f>AA220/Model!AA146</f>
        <v>1.0130131153125532</v>
      </c>
      <c r="AB221" s="100"/>
      <c r="AC221" s="100"/>
      <c r="AD221" s="100"/>
      <c r="AE221" s="100"/>
      <c r="AF221" s="302">
        <f>AF220/Model!AF146</f>
        <v>5.7887120115781023</v>
      </c>
      <c r="AG221" s="100">
        <f>AG220/Model!AG146</f>
        <v>1</v>
      </c>
      <c r="AH221" s="100">
        <f>AH220/Model!AH146</f>
        <v>1</v>
      </c>
      <c r="AI221" s="100">
        <f>AI220/Model!AI146</f>
        <v>-0.83333333333333326</v>
      </c>
      <c r="AJ221" s="100">
        <f>AJ220/Model!AJ146</f>
        <v>1</v>
      </c>
      <c r="AK221" s="302">
        <f>AK220/Model!AK146</f>
        <v>1.2820512820512822</v>
      </c>
      <c r="AL221" s="100">
        <f>AL220/Model!AL146</f>
        <v>1</v>
      </c>
      <c r="AM221" s="100">
        <f>AM220/Model!AM146</f>
        <v>1</v>
      </c>
      <c r="AN221" s="100">
        <f>AN220/Model!AN146</f>
        <v>1</v>
      </c>
      <c r="AO221" s="100">
        <f>AO220/Model!AO146</f>
        <v>1</v>
      </c>
      <c r="AP221" s="302">
        <f>AP220/Model!AP146</f>
        <v>1</v>
      </c>
      <c r="AQ221" s="100">
        <f>AQ220/Model!AQ146</f>
        <v>1</v>
      </c>
      <c r="AR221" s="100">
        <f>AR220/Model!AR146</f>
        <v>1</v>
      </c>
      <c r="AS221" s="100">
        <v>1</v>
      </c>
      <c r="AT221" s="100">
        <f>AT220/Model!AT146</f>
        <v>0.875</v>
      </c>
      <c r="AU221" s="302">
        <v>1</v>
      </c>
      <c r="AV221" s="100">
        <f>AV220/Model!AV146</f>
        <v>1.0389610389610389</v>
      </c>
      <c r="AW221" s="100">
        <f>AW220/Model!AW146</f>
        <v>1.032258064516129</v>
      </c>
      <c r="AX221" s="100">
        <f>AX220/Model!AX146</f>
        <v>1.0062893081761006</v>
      </c>
      <c r="AY221" s="100">
        <f>AY220/Model!AY146</f>
        <v>0.88888888888888884</v>
      </c>
      <c r="AZ221" s="302">
        <f>AZ220/Model!AZ146</f>
        <v>0.99626400996264008</v>
      </c>
      <c r="BA221" s="100">
        <f>BA220/Model!BA146</f>
        <v>2</v>
      </c>
      <c r="BB221" s="100">
        <f>BB220/Model!BB146</f>
        <v>0.95238095238095233</v>
      </c>
      <c r="BC221" s="100">
        <f>BC220/Model!BC146</f>
        <v>1.0263157894736843</v>
      </c>
      <c r="BD221" s="100">
        <f>BD220/Model!BD146</f>
        <v>0.66666666666666663</v>
      </c>
      <c r="BE221" s="302">
        <f>BE220/Model!BE146</f>
        <v>0.96124031007751942</v>
      </c>
      <c r="BF221" s="100">
        <f>BF220/Model!BF146</f>
        <v>0.66666666666666663</v>
      </c>
      <c r="BG221" s="100">
        <f>BG220/Model!BG146</f>
        <v>1.0555555555555556</v>
      </c>
      <c r="BH221" s="100">
        <f>BH220/Model!BH146</f>
        <v>0.8936170212765957</v>
      </c>
      <c r="BI221" s="100">
        <f>BI220/Model!BI146</f>
        <v>0.94117647058823528</v>
      </c>
      <c r="BJ221" s="302">
        <f>BJ220/Model!BJ146</f>
        <v>0.94308943089430897</v>
      </c>
      <c r="BK221" s="100">
        <f>BK220/Model!BK146</f>
        <v>0.89473684210526316</v>
      </c>
      <c r="BL221" s="100">
        <f>BL220/Model!BL146</f>
        <v>0.97058823529411764</v>
      </c>
      <c r="BM221" s="100">
        <f>BM220/Model!BM146</f>
        <v>1.0357142857142858</v>
      </c>
      <c r="BN221" s="100" t="s">
        <v>316</v>
      </c>
      <c r="BO221" s="302">
        <f>BO220/Model!BO146</f>
        <v>0.93827160493827155</v>
      </c>
      <c r="BP221" s="100">
        <f>BP220/Model!BP146</f>
        <v>1</v>
      </c>
      <c r="BQ221" s="100">
        <f>BQ220/Model!BQ146</f>
        <v>0.91666666666666663</v>
      </c>
      <c r="BR221" s="100">
        <f>BR220/Model!BR146</f>
        <v>0.97916666666666663</v>
      </c>
      <c r="BS221" s="100">
        <f>BS220/Model!BS146</f>
        <v>0.96666666666666667</v>
      </c>
      <c r="BT221" s="302">
        <f>BT220/Model!BT146</f>
        <v>0.963963963963964</v>
      </c>
      <c r="BU221" s="100">
        <f>BU220/Model!BU146</f>
        <v>1</v>
      </c>
      <c r="BV221" s="100">
        <f>BV220/Model!BV146</f>
        <v>2.5</v>
      </c>
      <c r="BW221" s="100">
        <f>BW220/Model!BW146</f>
        <v>0.94339622641509435</v>
      </c>
      <c r="BX221" s="100">
        <f>BX220/Model!BX146</f>
        <v>1.0377358490566038</v>
      </c>
      <c r="BY221" s="302">
        <f>BY220/Model!BY146</f>
        <v>1.4133333333333333</v>
      </c>
      <c r="BZ221" s="100">
        <f>BZ220/Model!BZ146</f>
        <v>0.72941176470588232</v>
      </c>
      <c r="CA221" s="100">
        <f>CA220/Model!CA146</f>
        <v>0.70408163265306123</v>
      </c>
      <c r="CB221" s="100">
        <f>CB220/Model!CB146</f>
        <v>0.56451612903225812</v>
      </c>
      <c r="CC221" s="100">
        <f>CC220/Model!CC146</f>
        <v>1.5575221238938053</v>
      </c>
      <c r="CD221" s="302">
        <f>CD220/Model!CD146</f>
        <v>0.89761904761904765</v>
      </c>
      <c r="CE221" s="100">
        <f>CE220/Model!CE146</f>
        <v>0.45967741935483869</v>
      </c>
      <c r="CF221" s="100">
        <f>CF220/Model!CF146</f>
        <v>0.59633027522935778</v>
      </c>
      <c r="CG221" s="100">
        <f>CG220/Model!CG146</f>
        <v>0.62595419847328249</v>
      </c>
      <c r="CH221" s="100">
        <f>CH220/Model!CH146</f>
        <v>0.6470588235294118</v>
      </c>
      <c r="CI221" s="302">
        <f>CI220/Model!CI146</f>
        <v>0.57939914163090134</v>
      </c>
      <c r="CJ221" s="100">
        <f>CJ220/Model!CJ146</f>
        <v>0.73170731707317072</v>
      </c>
      <c r="CK221" s="100">
        <f>CK220/Model!CK146</f>
        <v>0.66942148760330578</v>
      </c>
      <c r="CL221" s="100">
        <f>CL220/Model!CL146</f>
        <v>0.84210526315789469</v>
      </c>
      <c r="CM221" s="147">
        <v>0.75</v>
      </c>
      <c r="CN221" s="302">
        <f>CN220/Model!CN146</f>
        <v>0.75000000000000011</v>
      </c>
      <c r="CO221" s="147">
        <v>1</v>
      </c>
      <c r="CP221" s="147">
        <v>1</v>
      </c>
      <c r="CQ221" s="147">
        <v>1</v>
      </c>
      <c r="CR221" s="147">
        <v>1</v>
      </c>
      <c r="CS221" s="302">
        <f>CS220/Model!CS146</f>
        <v>1</v>
      </c>
      <c r="CT221" s="100"/>
      <c r="CU221" s="147"/>
      <c r="CV221" s="147"/>
      <c r="CW221" s="147"/>
      <c r="CX221" s="335">
        <v>1</v>
      </c>
      <c r="CY221" s="100"/>
      <c r="CZ221" s="147"/>
      <c r="DA221" s="147"/>
      <c r="DB221" s="147"/>
      <c r="DC221" s="335">
        <v>1</v>
      </c>
      <c r="DD221" s="100"/>
      <c r="DE221" s="457"/>
      <c r="DJ221" s="399"/>
      <c r="DK221" s="396"/>
      <c r="DL221" s="411"/>
      <c r="DM221" s="411"/>
      <c r="DN221" s="411"/>
      <c r="DO221" s="411"/>
      <c r="DP221" s="411"/>
      <c r="DQ221" s="396"/>
      <c r="DR221" s="493"/>
      <c r="DS221" s="100"/>
    </row>
    <row r="222" spans="1:131" x14ac:dyDescent="0.2">
      <c r="A222" s="148" t="s">
        <v>172</v>
      </c>
      <c r="B222" s="854">
        <f>0-0.34+0+6.818+0.619</f>
        <v>7.0969999999999995</v>
      </c>
      <c r="C222" s="149"/>
      <c r="D222" s="149"/>
      <c r="E222" s="149"/>
      <c r="F222" s="149"/>
      <c r="G222" s="854">
        <f>-21.622-3.354+26.173+15.07+3.892</f>
        <v>20.158999999999999</v>
      </c>
      <c r="H222" s="145"/>
      <c r="I222" s="145"/>
      <c r="J222" s="145"/>
      <c r="K222" s="145"/>
      <c r="L222" s="854">
        <f>L223-L220-L219-L216</f>
        <v>59.378216199999933</v>
      </c>
      <c r="M222" s="149"/>
      <c r="N222" s="149"/>
      <c r="O222" s="149"/>
      <c r="P222" s="149"/>
      <c r="Q222" s="854">
        <f>Q223-Q220-Q219-Q216</f>
        <v>94.991976363999967</v>
      </c>
      <c r="R222" s="149"/>
      <c r="S222" s="149"/>
      <c r="T222" s="149"/>
      <c r="U222" s="149"/>
      <c r="V222" s="854">
        <f>V223-V220-V219-V216</f>
        <v>62.213799999999949</v>
      </c>
      <c r="W222" s="149"/>
      <c r="X222" s="149"/>
      <c r="Y222" s="149"/>
      <c r="Z222" s="149"/>
      <c r="AA222" s="854">
        <f>AA223-AA220-AA219-AA216</f>
        <v>46.176000000000229</v>
      </c>
      <c r="AB222" s="149"/>
      <c r="AC222" s="149"/>
      <c r="AD222" s="149"/>
      <c r="AE222" s="149"/>
      <c r="AF222" s="854">
        <f t="shared" ref="AF222:BA222" si="830">AF223-AF220-AF219-AF216</f>
        <v>78.744999999999976</v>
      </c>
      <c r="AG222" s="149">
        <f t="shared" si="830"/>
        <v>99.600000000000023</v>
      </c>
      <c r="AH222" s="149">
        <f t="shared" si="830"/>
        <v>-22</v>
      </c>
      <c r="AI222" s="149">
        <f t="shared" si="830"/>
        <v>38.200000000000003</v>
      </c>
      <c r="AJ222" s="149">
        <f t="shared" si="830"/>
        <v>-6</v>
      </c>
      <c r="AK222" s="299">
        <f t="shared" si="830"/>
        <v>109.79999999999991</v>
      </c>
      <c r="AL222" s="149">
        <f t="shared" si="830"/>
        <v>148</v>
      </c>
      <c r="AM222" s="149">
        <f t="shared" si="830"/>
        <v>-14</v>
      </c>
      <c r="AN222" s="149">
        <f t="shared" si="830"/>
        <v>-24</v>
      </c>
      <c r="AO222" s="149">
        <f t="shared" si="830"/>
        <v>27</v>
      </c>
      <c r="AP222" s="299">
        <f t="shared" si="830"/>
        <v>137</v>
      </c>
      <c r="AQ222" s="149">
        <f t="shared" si="830"/>
        <v>15.799999999999955</v>
      </c>
      <c r="AR222" s="149">
        <f t="shared" si="830"/>
        <v>18</v>
      </c>
      <c r="AS222" s="149">
        <f t="shared" si="830"/>
        <v>-47</v>
      </c>
      <c r="AT222" s="149">
        <f t="shared" si="830"/>
        <v>-137</v>
      </c>
      <c r="AU222" s="299">
        <f t="shared" si="830"/>
        <v>-150.19999999999982</v>
      </c>
      <c r="AV222" s="149">
        <f t="shared" si="830"/>
        <v>45.3</v>
      </c>
      <c r="AW222" s="149">
        <f>AW223-AW220-AW219-AW216</f>
        <v>5.2999999999999972</v>
      </c>
      <c r="AX222" s="149">
        <f t="shared" si="830"/>
        <v>47.95</v>
      </c>
      <c r="AY222" s="149">
        <f t="shared" si="830"/>
        <v>50</v>
      </c>
      <c r="AZ222" s="329">
        <f>SUM(AV222:AY222)</f>
        <v>148.55000000000001</v>
      </c>
      <c r="BA222" s="149">
        <f t="shared" si="830"/>
        <v>172.5</v>
      </c>
      <c r="BB222" s="149">
        <f>BB223-BB220-BB219-BB216</f>
        <v>20</v>
      </c>
      <c r="BC222" s="149">
        <f>BC223-BC220-BC219-BC216</f>
        <v>-20.799999999999955</v>
      </c>
      <c r="BD222" s="149">
        <f>BD223-BD220-BD219-BD216</f>
        <v>-37.100000000000023</v>
      </c>
      <c r="BE222" s="329">
        <f>SUM(BA222:BD222)</f>
        <v>134.60000000000002</v>
      </c>
      <c r="BF222" s="149">
        <f>BF223-BF220-BF219-BF216</f>
        <v>167</v>
      </c>
      <c r="BG222" s="149">
        <f>BG223-BG220-BG219-BG216</f>
        <v>69</v>
      </c>
      <c r="BH222" s="149">
        <f>BH223-BH220-BH219-BH216</f>
        <v>-21.5</v>
      </c>
      <c r="BI222" s="149">
        <f>BI223-BI220-BI219-BI216</f>
        <v>9</v>
      </c>
      <c r="BJ222" s="329">
        <f>SUM(BF222:BI222)</f>
        <v>223.5</v>
      </c>
      <c r="BK222" s="149">
        <f>BK223-BK220-BK219-BK216</f>
        <v>181</v>
      </c>
      <c r="BL222" s="149">
        <f>BL223-BL220-BL219-BL216</f>
        <v>47</v>
      </c>
      <c r="BM222" s="149">
        <f>BM223-BM220-BM219-BM216</f>
        <v>-91</v>
      </c>
      <c r="BN222" s="149">
        <f>BN223-BN220-BN219-BN216</f>
        <v>88</v>
      </c>
      <c r="BO222" s="329">
        <f>SUM(BK222:BN222)</f>
        <v>225</v>
      </c>
      <c r="BP222" s="149">
        <f>BP223-BP220-BP219-BP216</f>
        <v>110</v>
      </c>
      <c r="BQ222" s="149">
        <f>BQ223-BQ220-BQ219-BQ216</f>
        <v>65</v>
      </c>
      <c r="BR222" s="149">
        <f>BR223-BR220-BR219-BR216</f>
        <v>-32</v>
      </c>
      <c r="BS222" s="149">
        <f>BS223-BS220-BS219-BS216</f>
        <v>34</v>
      </c>
      <c r="BT222" s="329">
        <f>SUM(BP222:BS222)</f>
        <v>177</v>
      </c>
      <c r="BU222" s="149">
        <f>BU223-BU220-BU219-BU216</f>
        <v>234</v>
      </c>
      <c r="BV222" s="149">
        <f>BV223-BV220-BV219-BV216</f>
        <v>-26</v>
      </c>
      <c r="BW222" s="149">
        <f>BW223-BW220-BW219-BW216</f>
        <v>-25</v>
      </c>
      <c r="BX222" s="149">
        <f>BX223-BX220-BX219-BX216</f>
        <v>-40</v>
      </c>
      <c r="BY222" s="329">
        <f>SUM(BU222:BX222)</f>
        <v>143</v>
      </c>
      <c r="BZ222" s="149">
        <f>BZ223-BZ220-BZ219-BZ216</f>
        <v>242</v>
      </c>
      <c r="CA222" s="149">
        <f>CA223-CA220-CA219-CA216</f>
        <v>60</v>
      </c>
      <c r="CB222" s="149">
        <f>CB223-CB220-CB219-CB216</f>
        <v>52</v>
      </c>
      <c r="CC222" s="149">
        <f>CC223-CC220-CC219-CC216</f>
        <v>-155</v>
      </c>
      <c r="CD222" s="329">
        <f>SUM(BZ222:CC222)</f>
        <v>199</v>
      </c>
      <c r="CE222" s="149">
        <f>CE223-CE220-CE219-CE216</f>
        <v>238</v>
      </c>
      <c r="CF222" s="149">
        <f>CF223-CF220-CF219-CF216</f>
        <v>80</v>
      </c>
      <c r="CG222" s="149">
        <f>CG223-CG220-CG219-CG216</f>
        <v>-72</v>
      </c>
      <c r="CH222" s="149">
        <f>CH223-CH220-CH219-CH216</f>
        <v>-27</v>
      </c>
      <c r="CI222" s="329">
        <f>SUM(CE222:CH222)</f>
        <v>219</v>
      </c>
      <c r="CJ222" s="149">
        <f>CJ223-CJ220-CJ219-CJ216</f>
        <v>212</v>
      </c>
      <c r="CK222" s="149">
        <f>CK223-CK220-CK219-CK216</f>
        <v>39</v>
      </c>
      <c r="CL222" s="149">
        <f>CL223-CL220-CL219-CL216</f>
        <v>-195</v>
      </c>
      <c r="CM222" s="149">
        <f t="shared" ref="CM222:CR222" si="831">(CL267-CM267)+(CM281-CL281)+(CM278-CL278)-(CM262-CL262)-CM218</f>
        <v>-3.6846238084688281</v>
      </c>
      <c r="CN222" s="329">
        <f>SUM(CJ222:CM222)</f>
        <v>52.315376191531172</v>
      </c>
      <c r="CO222" s="149">
        <f t="shared" si="831"/>
        <v>245.52863062221272</v>
      </c>
      <c r="CP222" s="149">
        <f t="shared" si="831"/>
        <v>-5.0649427108492091</v>
      </c>
      <c r="CQ222" s="149">
        <f>(CP267-CQ267)+(CQ281-CP281)+(CQ278-CP278)-(CQ262-CP262)-CQ218</f>
        <v>-229.07018538078813</v>
      </c>
      <c r="CR222" s="149">
        <f t="shared" si="831"/>
        <v>-3.8674950804816461</v>
      </c>
      <c r="CS222" s="329">
        <f>SUM(CO222:CR222)</f>
        <v>7.5260074500937293</v>
      </c>
      <c r="CT222" s="149"/>
      <c r="CU222" s="149"/>
      <c r="CV222" s="149"/>
      <c r="CW222" s="149"/>
      <c r="CX222" s="329">
        <f>(CS267-CX267)+(CX281-CS281)+(CX278-CS278)-(CX262-CS262)-CX218</f>
        <v>63.981122228040107</v>
      </c>
      <c r="CY222" s="149"/>
      <c r="CZ222" s="149"/>
      <c r="DA222" s="149"/>
      <c r="DB222" s="149"/>
      <c r="DC222" s="329">
        <f>(CX267-DC267)+(DC281-CX281)+(DC278-CX278)-(DC262-CX262)-DC218</f>
        <v>69.171685179669652</v>
      </c>
      <c r="DD222" s="149"/>
      <c r="DE222" s="475"/>
      <c r="DJ222" s="413"/>
      <c r="DK222" s="411"/>
      <c r="DL222" s="411"/>
      <c r="DM222" s="411"/>
      <c r="DN222" s="411"/>
      <c r="DO222" s="411"/>
      <c r="DP222" s="411"/>
      <c r="DQ222" s="411"/>
      <c r="DR222" s="508"/>
      <c r="DS222" s="149"/>
    </row>
    <row r="223" spans="1:131" x14ac:dyDescent="0.2">
      <c r="A223" s="219" t="s">
        <v>278</v>
      </c>
      <c r="B223" s="303">
        <f>B222+B220+B219+B216</f>
        <v>-7.2410000000000005</v>
      </c>
      <c r="C223" s="224"/>
      <c r="D223" s="224"/>
      <c r="E223" s="224"/>
      <c r="F223" s="224"/>
      <c r="G223" s="303">
        <f>G222+G220+G219+G216</f>
        <v>2.8240000000000265</v>
      </c>
      <c r="H223" s="224"/>
      <c r="I223" s="224"/>
      <c r="J223" s="224"/>
      <c r="K223" s="224"/>
      <c r="L223" s="303">
        <v>111.279</v>
      </c>
      <c r="M223" s="834"/>
      <c r="N223" s="834"/>
      <c r="O223" s="834"/>
      <c r="P223" s="834"/>
      <c r="Q223" s="303">
        <v>216.477</v>
      </c>
      <c r="R223" s="834"/>
      <c r="S223" s="834"/>
      <c r="T223" s="834"/>
      <c r="U223" s="834"/>
      <c r="V223" s="303">
        <v>286.33699999999999</v>
      </c>
      <c r="W223" s="834"/>
      <c r="X223" s="834"/>
      <c r="Y223" s="834"/>
      <c r="Z223" s="834"/>
      <c r="AA223" s="303">
        <v>198.42</v>
      </c>
      <c r="AB223" s="834"/>
      <c r="AC223" s="834"/>
      <c r="AD223" s="834"/>
      <c r="AE223" s="834"/>
      <c r="AF223" s="303">
        <v>170</v>
      </c>
      <c r="AG223" s="834">
        <v>87</v>
      </c>
      <c r="AH223" s="834">
        <v>42</v>
      </c>
      <c r="AI223" s="834">
        <v>80</v>
      </c>
      <c r="AJ223" s="834">
        <v>65</v>
      </c>
      <c r="AK223" s="303">
        <v>274</v>
      </c>
      <c r="AL223" s="834">
        <v>147</v>
      </c>
      <c r="AM223" s="834">
        <v>72</v>
      </c>
      <c r="AN223" s="834">
        <v>68</v>
      </c>
      <c r="AO223" s="834">
        <v>71</v>
      </c>
      <c r="AP223" s="303">
        <v>358</v>
      </c>
      <c r="AQ223" s="834">
        <v>49</v>
      </c>
      <c r="AR223" s="834">
        <v>56</v>
      </c>
      <c r="AS223" s="834">
        <v>4</v>
      </c>
      <c r="AT223" s="834">
        <v>-126</v>
      </c>
      <c r="AU223" s="303">
        <v>-17</v>
      </c>
      <c r="AV223" s="834">
        <v>124</v>
      </c>
      <c r="AW223" s="834">
        <f>225-AV223</f>
        <v>101</v>
      </c>
      <c r="AX223" s="834">
        <f>357-AW223-AV223</f>
        <v>132</v>
      </c>
      <c r="AY223" s="834">
        <f>486-AX223-AW223-AV223</f>
        <v>129</v>
      </c>
      <c r="AZ223" s="303">
        <f>AZ222+AZ220+AZ219+AZ216</f>
        <v>486</v>
      </c>
      <c r="BA223" s="834">
        <v>229</v>
      </c>
      <c r="BB223" s="834">
        <f>356-BA223</f>
        <v>127</v>
      </c>
      <c r="BC223" s="834">
        <f>490-BB223-BA223</f>
        <v>134</v>
      </c>
      <c r="BD223" s="834">
        <f>523-BC223-BB223-BA223</f>
        <v>33</v>
      </c>
      <c r="BE223" s="303">
        <f>BE222+BE220+BE219+BE216</f>
        <v>522.99999999999966</v>
      </c>
      <c r="BF223" s="834">
        <v>231</v>
      </c>
      <c r="BG223" s="834">
        <f>406-BF223</f>
        <v>175</v>
      </c>
      <c r="BH223" s="834">
        <f>500-BG223-BF223</f>
        <v>94</v>
      </c>
      <c r="BI223" s="834">
        <v>114</v>
      </c>
      <c r="BJ223" s="303">
        <f>BJ222+BJ220+BJ219+BJ216</f>
        <v>614</v>
      </c>
      <c r="BK223" s="834">
        <v>292</v>
      </c>
      <c r="BL223" s="834">
        <f>490-BK223</f>
        <v>198</v>
      </c>
      <c r="BM223" s="834">
        <f>541-BL223-BK223</f>
        <v>51</v>
      </c>
      <c r="BN223" s="834">
        <f>698-BM223-BL223-BK223</f>
        <v>157</v>
      </c>
      <c r="BO223" s="303">
        <f>BO222+BO220+BO219+BO216</f>
        <v>698</v>
      </c>
      <c r="BP223" s="834">
        <v>205</v>
      </c>
      <c r="BQ223" s="834">
        <f>402-BP223</f>
        <v>197</v>
      </c>
      <c r="BR223" s="834">
        <f>565-BQ223-BP223</f>
        <v>163</v>
      </c>
      <c r="BS223" s="834">
        <f>758-BR223-BQ223-BP223</f>
        <v>193</v>
      </c>
      <c r="BT223" s="303">
        <f>BT222+BT220+BT219+BT216</f>
        <v>758</v>
      </c>
      <c r="BU223" s="834">
        <v>322</v>
      </c>
      <c r="BV223" s="834">
        <f>541-BU223</f>
        <v>219</v>
      </c>
      <c r="BW223" s="834">
        <f>724-BV223-BU223</f>
        <v>183</v>
      </c>
      <c r="BX223" s="834">
        <f>912-SUM(BU223:BW223)</f>
        <v>188</v>
      </c>
      <c r="BY223" s="303">
        <f>BY222+BY220+BY219+BY216</f>
        <v>912</v>
      </c>
      <c r="BZ223" s="834">
        <v>528</v>
      </c>
      <c r="CA223" s="834">
        <f>890-BZ223</f>
        <v>362</v>
      </c>
      <c r="CB223" s="834">
        <f>1294-CA223-BZ223</f>
        <v>404</v>
      </c>
      <c r="CC223" s="834">
        <f>1598-CB223-CA223-BZ223</f>
        <v>304</v>
      </c>
      <c r="CD223" s="303">
        <f t="shared" ref="CD223:CM223" si="832">CD222+CD220+CD219+CD216</f>
        <v>1598</v>
      </c>
      <c r="CE223" s="834">
        <v>585</v>
      </c>
      <c r="CF223" s="834">
        <f>1007-CE223</f>
        <v>422</v>
      </c>
      <c r="CG223" s="834">
        <f>1317-CF223-CE223</f>
        <v>310</v>
      </c>
      <c r="CH223" s="834">
        <f>1632-CG223-CF223-CE223</f>
        <v>315</v>
      </c>
      <c r="CI223" s="303">
        <f t="shared" si="832"/>
        <v>1632</v>
      </c>
      <c r="CJ223" s="834">
        <v>432</v>
      </c>
      <c r="CK223" s="834">
        <f>872-CJ223</f>
        <v>440</v>
      </c>
      <c r="CL223" s="834">
        <f>1066-CK223-CJ223</f>
        <v>194</v>
      </c>
      <c r="CM223" s="224">
        <f t="shared" si="832"/>
        <v>268.60737619153116</v>
      </c>
      <c r="CN223" s="303">
        <f t="shared" ref="CN223:CR223" si="833">CN222+CN220+CN219+CN216</f>
        <v>1334.6073761915313</v>
      </c>
      <c r="CO223" s="224">
        <f t="shared" si="833"/>
        <v>453.06413211391435</v>
      </c>
      <c r="CP223" s="224">
        <f t="shared" si="833"/>
        <v>281.80761331506875</v>
      </c>
      <c r="CQ223" s="224">
        <f t="shared" si="833"/>
        <v>174.50220704991554</v>
      </c>
      <c r="CR223" s="224">
        <f t="shared" si="833"/>
        <v>341.81651237714556</v>
      </c>
      <c r="CS223" s="303">
        <f>CS222+CS220+CS219+CS216</f>
        <v>1251.1904648560444</v>
      </c>
      <c r="CT223" s="224"/>
      <c r="CU223" s="224"/>
      <c r="CV223" s="224"/>
      <c r="CW223" s="224"/>
      <c r="CX223" s="303">
        <f>CX222+CX220+CX219+CX216</f>
        <v>1488.8601284425952</v>
      </c>
      <c r="CY223" s="224"/>
      <c r="CZ223" s="224"/>
      <c r="DA223" s="224"/>
      <c r="DB223" s="224"/>
      <c r="DC223" s="303">
        <f>DC222+DC220+DC219+DC216</f>
        <v>1739.1350694933194</v>
      </c>
      <c r="DD223" s="152"/>
      <c r="DE223" s="476"/>
      <c r="DJ223" s="413"/>
      <c r="DK223" s="411"/>
      <c r="DL223" s="411"/>
      <c r="DM223" s="411"/>
      <c r="DN223" s="411"/>
      <c r="DO223" s="411"/>
      <c r="DP223" s="411"/>
      <c r="DQ223" s="411"/>
      <c r="DR223" s="508"/>
      <c r="DS223" s="528"/>
      <c r="DZ223" s="225"/>
      <c r="EA223" s="225"/>
    </row>
    <row r="224" spans="1:131" s="7" customFormat="1" x14ac:dyDescent="0.2">
      <c r="A224" s="7" t="s">
        <v>165</v>
      </c>
      <c r="B224" s="260"/>
      <c r="G224" s="260"/>
      <c r="L224" s="260"/>
      <c r="Q224" s="260"/>
      <c r="V224" s="260"/>
      <c r="AA224" s="260"/>
      <c r="AF224" s="260"/>
      <c r="AK224" s="260"/>
      <c r="AP224" s="260"/>
      <c r="AU224" s="260"/>
      <c r="AZ224" s="260"/>
      <c r="BE224" s="260"/>
      <c r="BJ224" s="260"/>
      <c r="BO224" s="260"/>
      <c r="BT224" s="260"/>
      <c r="BY224" s="260"/>
      <c r="CD224" s="260"/>
      <c r="CI224" s="260"/>
      <c r="CM224" s="807"/>
      <c r="CN224" s="260"/>
      <c r="CS224" s="260"/>
      <c r="CX224" s="260"/>
      <c r="DC224" s="260"/>
      <c r="DD224" s="363"/>
      <c r="DE224" s="6"/>
      <c r="DF224" s="363"/>
      <c r="DG224" s="363"/>
      <c r="DH224" s="363"/>
      <c r="DI224" s="363"/>
      <c r="DJ224" s="413"/>
      <c r="DK224" s="393"/>
      <c r="DL224" s="411"/>
      <c r="DM224" s="411"/>
      <c r="DN224" s="411"/>
      <c r="DO224" s="411"/>
      <c r="DP224" s="411"/>
      <c r="DQ224" s="393"/>
      <c r="DR224" s="6"/>
      <c r="DS224" s="363"/>
      <c r="DT224"/>
      <c r="DU224"/>
      <c r="DV224"/>
      <c r="DW224"/>
      <c r="DX224"/>
      <c r="DY224"/>
    </row>
    <row r="225" spans="1:143" x14ac:dyDescent="0.2">
      <c r="A225" s="150" t="s">
        <v>173</v>
      </c>
      <c r="B225" s="855">
        <f>-12.463-50.713</f>
        <v>-63.176000000000002</v>
      </c>
      <c r="C225" s="145"/>
      <c r="D225" s="145"/>
      <c r="E225" s="145"/>
      <c r="F225" s="145"/>
      <c r="G225" s="855">
        <f>-205.759-27.881</f>
        <v>-233.64</v>
      </c>
      <c r="H225" s="145"/>
      <c r="I225" s="145"/>
      <c r="J225" s="145"/>
      <c r="K225" s="145"/>
      <c r="L225" s="855">
        <f>-233.775-54.128</f>
        <v>-287.90300000000002</v>
      </c>
      <c r="M225" s="835"/>
      <c r="N225" s="835"/>
      <c r="O225" s="835"/>
      <c r="P225" s="835"/>
      <c r="Q225" s="855">
        <f>-544.065-109.95</f>
        <v>-654.0150000000001</v>
      </c>
      <c r="R225" s="835"/>
      <c r="S225" s="835"/>
      <c r="T225" s="835"/>
      <c r="U225" s="835"/>
      <c r="V225" s="855">
        <f>-572.572-160.381</f>
        <v>-732.95299999999997</v>
      </c>
      <c r="W225" s="835"/>
      <c r="X225" s="835"/>
      <c r="Y225" s="835"/>
      <c r="Z225" s="835"/>
      <c r="AA225" s="855">
        <f>-616.62-180.685</f>
        <v>-797.30500000000006</v>
      </c>
      <c r="AB225" s="835"/>
      <c r="AC225" s="835"/>
      <c r="AD225" s="835"/>
      <c r="AE225" s="835"/>
      <c r="AF225" s="855">
        <f>-941-183</f>
        <v>-1124</v>
      </c>
      <c r="AG225" s="835">
        <v>-321</v>
      </c>
      <c r="AH225" s="835">
        <v>-361</v>
      </c>
      <c r="AI225" s="835">
        <v>-286</v>
      </c>
      <c r="AJ225" s="835">
        <v>-264</v>
      </c>
      <c r="AK225" s="301">
        <f>-996-106-149+19</f>
        <v>-1232</v>
      </c>
      <c r="AL225" s="835">
        <v>-320</v>
      </c>
      <c r="AM225" s="835">
        <v>-262</v>
      </c>
      <c r="AN225" s="835">
        <v>-223</v>
      </c>
      <c r="AO225" s="835">
        <v>-170</v>
      </c>
      <c r="AP225" s="301">
        <f>-617-128-242+12</f>
        <v>-975</v>
      </c>
      <c r="AQ225" s="835">
        <v>-274</v>
      </c>
      <c r="AR225" s="835">
        <v>-218</v>
      </c>
      <c r="AS225" s="835">
        <v>-159</v>
      </c>
      <c r="AT225" s="835">
        <v>-194</v>
      </c>
      <c r="AU225" s="301">
        <f>-654-49-142</f>
        <v>-845</v>
      </c>
      <c r="AV225" s="835">
        <f>-207+-7+-15</f>
        <v>-229</v>
      </c>
      <c r="AW225" s="835">
        <f>-342+-15+-22-AV225</f>
        <v>-150</v>
      </c>
      <c r="AX225" s="835">
        <f>-372+-19+-38-AW225-AV225</f>
        <v>-50</v>
      </c>
      <c r="AY225" s="835">
        <f>-434-32-47-AX225-AW225-AV225</f>
        <v>-84</v>
      </c>
      <c r="AZ225" s="301">
        <f>SUM(AV225:AY225)</f>
        <v>-513</v>
      </c>
      <c r="BA225" s="835">
        <f>-40+-5</f>
        <v>-45</v>
      </c>
      <c r="BB225" s="835">
        <f>-131+-20-BA225</f>
        <v>-106</v>
      </c>
      <c r="BC225" s="835">
        <f>-198-35-BB225-BA225</f>
        <v>-82</v>
      </c>
      <c r="BD225" s="835">
        <f>-249-50-BC225-BB225-BA225</f>
        <v>-66</v>
      </c>
      <c r="BE225" s="301">
        <f>SUM(BA225:BD225)</f>
        <v>-299</v>
      </c>
      <c r="BF225" s="835">
        <f>-116+-7</f>
        <v>-123</v>
      </c>
      <c r="BG225" s="835">
        <f>-204-24-BF225</f>
        <v>-105</v>
      </c>
      <c r="BH225" s="835">
        <f>-312-43-BG225-BF225</f>
        <v>-127</v>
      </c>
      <c r="BI225" s="835">
        <f>BJ225-BH225-BG225-BF225</f>
        <v>-170</v>
      </c>
      <c r="BJ225" s="301">
        <f>-480-45</f>
        <v>-525</v>
      </c>
      <c r="BK225" s="835">
        <f>-169-15</f>
        <v>-184</v>
      </c>
      <c r="BL225" s="835">
        <f>-314-BK225-32</f>
        <v>-162</v>
      </c>
      <c r="BM225" s="835">
        <f>-356-61-BK225-BL225</f>
        <v>-71</v>
      </c>
      <c r="BN225" s="835">
        <f>-542-284-BL225-BM225-BK225</f>
        <v>-409</v>
      </c>
      <c r="BO225" s="563">
        <f>SUM(BK225:BN225)</f>
        <v>-826</v>
      </c>
      <c r="BP225" s="835">
        <f>-74-9</f>
        <v>-83</v>
      </c>
      <c r="BQ225" s="835">
        <f>-267-10-BP225</f>
        <v>-194</v>
      </c>
      <c r="BR225" s="835">
        <f>-342-13-BQ225-BP225</f>
        <v>-78</v>
      </c>
      <c r="BS225" s="835">
        <f>-615-22-BQ225-BR225-BP225</f>
        <v>-282</v>
      </c>
      <c r="BT225" s="563">
        <f>SUM(BP225:BS225)</f>
        <v>-637</v>
      </c>
      <c r="BU225" s="835">
        <f>-158-32</f>
        <v>-190</v>
      </c>
      <c r="BV225" s="835">
        <f>-310-70-BU225</f>
        <v>-190</v>
      </c>
      <c r="BW225" s="835">
        <f>-498-99-BV225-BU225</f>
        <v>-217</v>
      </c>
      <c r="BX225" s="835">
        <f>-730-127-SUM(BU225:BW225)</f>
        <v>-260</v>
      </c>
      <c r="BY225" s="329">
        <f>SUM(BU225:BX225)</f>
        <v>-857</v>
      </c>
      <c r="BZ225" s="835">
        <v>-148</v>
      </c>
      <c r="CA225" s="835">
        <f>-372-BZ225</f>
        <v>-224</v>
      </c>
      <c r="CB225" s="835">
        <f>-493-CA225-BZ225</f>
        <v>-121</v>
      </c>
      <c r="CC225" s="835">
        <f>-837-CB225-CA225-BZ225</f>
        <v>-344</v>
      </c>
      <c r="CD225" s="329">
        <f>SUM(BZ225:CC225)</f>
        <v>-837</v>
      </c>
      <c r="CE225" s="835">
        <v>-143</v>
      </c>
      <c r="CF225" s="835">
        <f>-276-CE225</f>
        <v>-133</v>
      </c>
      <c r="CG225" s="835">
        <f>-480-CF225-CE225</f>
        <v>-204</v>
      </c>
      <c r="CH225" s="835">
        <f>-850-CG225-CF225-CE225</f>
        <v>-370</v>
      </c>
      <c r="CI225" s="329">
        <f>SUM(CE225:CH225)</f>
        <v>-850</v>
      </c>
      <c r="CJ225" s="835">
        <v>-245</v>
      </c>
      <c r="CK225" s="835">
        <f>-519-CJ225</f>
        <v>-274</v>
      </c>
      <c r="CL225" s="835">
        <f>-705-CK225-CJ225</f>
        <v>-186</v>
      </c>
      <c r="CM225" s="151">
        <f>-DL227-DM227</f>
        <v>-250</v>
      </c>
      <c r="CN225" s="427">
        <f>+SUM(CJ225:CM225)</f>
        <v>-955</v>
      </c>
      <c r="CO225" s="151">
        <f>-208-43</f>
        <v>-251</v>
      </c>
      <c r="CP225" s="151">
        <f>+$CS$225/4</f>
        <v>-250</v>
      </c>
      <c r="CQ225" s="151">
        <f>+$CS$225/4</f>
        <v>-250</v>
      </c>
      <c r="CR225" s="152">
        <f>+CS225-SUM(CO225:CQ225)</f>
        <v>-249</v>
      </c>
      <c r="CS225" s="427">
        <f>-825-175</f>
        <v>-1000</v>
      </c>
      <c r="CT225" s="145"/>
      <c r="CU225" s="151"/>
      <c r="CV225" s="152"/>
      <c r="CW225" s="152"/>
      <c r="CX225" s="427">
        <f>-1000-175</f>
        <v>-1175</v>
      </c>
      <c r="CY225" s="145"/>
      <c r="CZ225" s="151"/>
      <c r="DA225" s="152"/>
      <c r="DB225" s="152"/>
      <c r="DC225" s="427">
        <f>-1400-175+300</f>
        <v>-1275</v>
      </c>
      <c r="DD225" s="152"/>
      <c r="DE225" s="476"/>
      <c r="DJ225" s="722"/>
      <c r="DK225" s="393"/>
      <c r="DL225" s="904" t="s">
        <v>348</v>
      </c>
      <c r="DM225" s="904"/>
      <c r="DN225" s="905">
        <v>2017</v>
      </c>
      <c r="DO225" s="905"/>
      <c r="DP225" s="411"/>
      <c r="DQ225" s="411"/>
      <c r="DR225" s="508"/>
      <c r="DS225" s="145"/>
    </row>
    <row r="226" spans="1:143" x14ac:dyDescent="0.2">
      <c r="A226" s="234" t="s">
        <v>174</v>
      </c>
      <c r="B226" s="300"/>
      <c r="C226" s="141"/>
      <c r="D226" s="141"/>
      <c r="E226" s="141"/>
      <c r="F226" s="141"/>
      <c r="G226" s="300"/>
      <c r="H226" s="141"/>
      <c r="I226" s="141"/>
      <c r="J226" s="141"/>
      <c r="K226" s="141"/>
      <c r="L226" s="300"/>
      <c r="M226" s="153"/>
      <c r="N226" s="153"/>
      <c r="O226" s="153"/>
      <c r="P226" s="153"/>
      <c r="Q226" s="300"/>
      <c r="R226" s="153"/>
      <c r="S226" s="153"/>
      <c r="T226" s="153"/>
      <c r="U226" s="153"/>
      <c r="V226" s="300"/>
      <c r="W226" s="153"/>
      <c r="X226" s="153"/>
      <c r="Y226" s="153"/>
      <c r="Z226" s="153"/>
      <c r="AA226" s="300"/>
      <c r="AB226" s="153"/>
      <c r="AC226" s="153"/>
      <c r="AD226" s="153"/>
      <c r="AE226" s="153"/>
      <c r="AF226" s="300"/>
      <c r="AG226" s="153"/>
      <c r="AH226" s="153"/>
      <c r="AI226" s="153"/>
      <c r="AJ226" s="153"/>
      <c r="AK226" s="300"/>
      <c r="AL226" s="153"/>
      <c r="AM226" s="153"/>
      <c r="AN226" s="153"/>
      <c r="AO226" s="153"/>
      <c r="AP226" s="300"/>
      <c r="AQ226" s="153"/>
      <c r="AR226" s="153"/>
      <c r="AS226" s="153"/>
      <c r="AT226" s="153"/>
      <c r="AU226" s="300"/>
      <c r="AV226" s="153"/>
      <c r="AW226" s="153"/>
      <c r="AX226" s="153"/>
      <c r="AY226" s="153"/>
      <c r="AZ226" s="300"/>
      <c r="BA226" s="153"/>
      <c r="BB226" s="153"/>
      <c r="BC226" s="153"/>
      <c r="BD226" s="153"/>
      <c r="BE226" s="300"/>
      <c r="BF226" s="153"/>
      <c r="BG226" s="153"/>
      <c r="BH226" s="153"/>
      <c r="BI226" s="153"/>
      <c r="BJ226" s="300"/>
      <c r="BK226" s="153"/>
      <c r="BL226" s="153"/>
      <c r="BM226" s="153"/>
      <c r="BN226" s="153"/>
      <c r="BO226" s="330"/>
      <c r="BP226" s="153"/>
      <c r="BQ226" s="153"/>
      <c r="BR226" s="153"/>
      <c r="BS226" s="153"/>
      <c r="BT226" s="330"/>
      <c r="BU226" s="153"/>
      <c r="BV226" s="153"/>
      <c r="BW226" s="153"/>
      <c r="BX226" s="153"/>
      <c r="BY226" s="330"/>
      <c r="BZ226" s="153"/>
      <c r="CA226" s="153"/>
      <c r="CB226" s="153"/>
      <c r="CC226" s="153"/>
      <c r="CD226" s="330"/>
      <c r="CE226" s="153"/>
      <c r="CF226" s="153"/>
      <c r="CG226" s="153"/>
      <c r="CH226" s="153"/>
      <c r="CI226" s="330"/>
      <c r="CJ226" s="153"/>
      <c r="CK226" s="153"/>
      <c r="CL226" s="153"/>
      <c r="CM226" s="153"/>
      <c r="CN226" s="330">
        <f>-(1125)*0.3</f>
        <v>-337.5</v>
      </c>
      <c r="CO226" s="153">
        <f>+$CS$226/4</f>
        <v>-40.700000000000003</v>
      </c>
      <c r="CP226" s="153">
        <f>+$CS$226/4</f>
        <v>-40.700000000000003</v>
      </c>
      <c r="CQ226" s="153">
        <f>+$CS$226/4</f>
        <v>-40.700000000000003</v>
      </c>
      <c r="CR226" s="153">
        <f>+$CS$226/4</f>
        <v>-40.700000000000003</v>
      </c>
      <c r="CS226" s="330">
        <f>-(814)*0.2</f>
        <v>-162.80000000000001</v>
      </c>
      <c r="CT226" s="153"/>
      <c r="CU226" s="153"/>
      <c r="CV226" s="153"/>
      <c r="CW226" s="153"/>
      <c r="CX226" s="330">
        <f>-(1000)*0.2</f>
        <v>-200</v>
      </c>
      <c r="CY226" s="153"/>
      <c r="CZ226" s="153"/>
      <c r="DA226" s="153"/>
      <c r="DB226" s="153"/>
      <c r="DC226" s="330">
        <f>-(1275)*0.2</f>
        <v>-255</v>
      </c>
      <c r="DD226" s="132"/>
      <c r="DE226" s="471"/>
      <c r="DJ226" s="413"/>
      <c r="DK226" s="393"/>
      <c r="DL226" s="613" t="s">
        <v>469</v>
      </c>
      <c r="DM226" s="613" t="s">
        <v>470</v>
      </c>
      <c r="DN226" s="613" t="s">
        <v>469</v>
      </c>
      <c r="DO226" s="613" t="s">
        <v>470</v>
      </c>
      <c r="DP226" s="624"/>
      <c r="DQ226" s="411"/>
      <c r="DR226" s="508"/>
      <c r="DS226" s="141"/>
    </row>
    <row r="227" spans="1:143" x14ac:dyDescent="0.2">
      <c r="A227" s="183" t="s">
        <v>175</v>
      </c>
      <c r="B227" s="302"/>
      <c r="C227" s="154"/>
      <c r="D227" s="154"/>
      <c r="E227" s="154"/>
      <c r="F227" s="154"/>
      <c r="G227" s="302"/>
      <c r="H227" s="154"/>
      <c r="I227" s="154"/>
      <c r="J227" s="154"/>
      <c r="K227" s="154"/>
      <c r="L227" s="302"/>
      <c r="M227" s="100"/>
      <c r="N227" s="100"/>
      <c r="O227" s="100"/>
      <c r="P227" s="100"/>
      <c r="Q227" s="302"/>
      <c r="R227" s="100"/>
      <c r="S227" s="100"/>
      <c r="T227" s="100"/>
      <c r="U227" s="100"/>
      <c r="V227" s="302"/>
      <c r="W227" s="100"/>
      <c r="X227" s="100"/>
      <c r="Y227" s="100"/>
      <c r="Z227" s="100"/>
      <c r="AA227" s="302"/>
      <c r="AB227" s="100"/>
      <c r="AC227" s="100"/>
      <c r="AD227" s="100"/>
      <c r="AE227" s="100"/>
      <c r="AF227" s="302"/>
      <c r="AG227" s="100"/>
      <c r="AH227" s="100"/>
      <c r="AI227" s="100"/>
      <c r="AJ227" s="100"/>
      <c r="AK227" s="302"/>
      <c r="AL227" s="100"/>
      <c r="AM227" s="100"/>
      <c r="AN227" s="100"/>
      <c r="AO227" s="100"/>
      <c r="AP227" s="302"/>
      <c r="AQ227" s="100"/>
      <c r="AR227" s="100"/>
      <c r="AS227" s="100"/>
      <c r="AT227" s="100"/>
      <c r="AU227" s="302"/>
      <c r="AV227" s="100"/>
      <c r="AW227" s="100"/>
      <c r="AX227" s="100"/>
      <c r="AY227" s="100"/>
      <c r="AZ227" s="302"/>
      <c r="BA227" s="100"/>
      <c r="BB227" s="100"/>
      <c r="BC227" s="100"/>
      <c r="BD227" s="100"/>
      <c r="BE227" s="302"/>
      <c r="BF227" s="100"/>
      <c r="BG227" s="100"/>
      <c r="BH227" s="100"/>
      <c r="BI227" s="100"/>
      <c r="BJ227" s="302"/>
      <c r="BK227" s="100"/>
      <c r="BL227" s="100"/>
      <c r="BM227" s="100"/>
      <c r="BN227" s="100"/>
      <c r="BO227" s="302">
        <f>BO226/BO225</f>
        <v>0</v>
      </c>
      <c r="BP227" s="100"/>
      <c r="BQ227" s="100"/>
      <c r="BR227" s="100"/>
      <c r="BS227" s="100"/>
      <c r="BT227" s="302">
        <f>BT226/BT225</f>
        <v>0</v>
      </c>
      <c r="BU227" s="100"/>
      <c r="BV227" s="100"/>
      <c r="BW227" s="100"/>
      <c r="BX227" s="100"/>
      <c r="BY227" s="302">
        <f>BY226/BY225</f>
        <v>0</v>
      </c>
      <c r="BZ227" s="100"/>
      <c r="CA227" s="100"/>
      <c r="CB227" s="100"/>
      <c r="CC227" s="100"/>
      <c r="CD227" s="302">
        <f>CD226/CD225</f>
        <v>0</v>
      </c>
      <c r="CE227" s="100"/>
      <c r="CF227" s="100"/>
      <c r="CG227" s="100"/>
      <c r="CH227" s="100"/>
      <c r="CI227" s="302">
        <f>CI226/CI225</f>
        <v>0</v>
      </c>
      <c r="CJ227" s="100"/>
      <c r="CK227" s="100"/>
      <c r="CL227" s="100"/>
      <c r="CM227" s="100"/>
      <c r="CN227" s="302">
        <f>CN226/CN225</f>
        <v>0.35340314136125656</v>
      </c>
      <c r="CO227" s="100">
        <f t="shared" ref="CO227:CR227" si="834">CO226/CO225</f>
        <v>0.16215139442231077</v>
      </c>
      <c r="CP227" s="100">
        <f t="shared" si="834"/>
        <v>0.1628</v>
      </c>
      <c r="CQ227" s="100">
        <f t="shared" si="834"/>
        <v>0.1628</v>
      </c>
      <c r="CR227" s="100">
        <f t="shared" si="834"/>
        <v>0.16345381526104419</v>
      </c>
      <c r="CS227" s="302">
        <f>CS226/CS225</f>
        <v>0.1628</v>
      </c>
      <c r="CT227" s="100"/>
      <c r="CU227" s="100"/>
      <c r="CV227" s="100"/>
      <c r="CW227" s="100"/>
      <c r="CX227" s="302">
        <f>CX226/CX225</f>
        <v>0.1702127659574468</v>
      </c>
      <c r="CY227" s="100"/>
      <c r="CZ227" s="100"/>
      <c r="DA227" s="100"/>
      <c r="DB227" s="100"/>
      <c r="DC227" s="302">
        <f>DC226/DC225</f>
        <v>0.2</v>
      </c>
      <c r="DD227" s="100"/>
      <c r="DE227" s="457"/>
      <c r="DJ227" s="413"/>
      <c r="DK227" s="624"/>
      <c r="DL227" s="783">
        <f>+AVERAGE(190,225)</f>
        <v>207.5</v>
      </c>
      <c r="DM227" s="783">
        <f>+AVERAGE(35,50)</f>
        <v>42.5</v>
      </c>
      <c r="DN227" s="783">
        <f>+AVERAGE(750,900)</f>
        <v>825</v>
      </c>
      <c r="DO227" s="783">
        <f>+AVERAGE(150,200)</f>
        <v>175</v>
      </c>
      <c r="DP227" s="396"/>
      <c r="DQ227" s="396"/>
      <c r="DR227" s="493"/>
      <c r="DS227" s="154"/>
    </row>
    <row r="228" spans="1:143" x14ac:dyDescent="0.2">
      <c r="A228" s="184" t="s">
        <v>176</v>
      </c>
      <c r="B228" s="302"/>
      <c r="C228" s="154"/>
      <c r="D228" s="154"/>
      <c r="E228" s="154"/>
      <c r="F228" s="154"/>
      <c r="G228" s="302">
        <f>-G225/G115</f>
        <v>2.2332676977193215</v>
      </c>
      <c r="H228" s="154"/>
      <c r="I228" s="154"/>
      <c r="J228" s="154"/>
      <c r="K228" s="154"/>
      <c r="L228" s="302">
        <f>-L225/L115</f>
        <v>0.89853439612501318</v>
      </c>
      <c r="M228" s="154"/>
      <c r="N228" s="154"/>
      <c r="O228" s="154"/>
      <c r="P228" s="154"/>
      <c r="Q228" s="302">
        <f>-Q225/Q115</f>
        <v>1.0296351805992214</v>
      </c>
      <c r="R228" s="154"/>
      <c r="S228" s="154"/>
      <c r="T228" s="154"/>
      <c r="U228" s="154"/>
      <c r="V228" s="302">
        <f>-V225/V115</f>
        <v>0.73416363583549271</v>
      </c>
      <c r="W228" s="154"/>
      <c r="X228" s="154"/>
      <c r="Y228" s="154"/>
      <c r="Z228" s="154"/>
      <c r="AA228" s="302">
        <f>-AA225/AA115</f>
        <v>0.6315427193632811</v>
      </c>
      <c r="AB228" s="154"/>
      <c r="AC228" s="154"/>
      <c r="AD228" s="154"/>
      <c r="AE228" s="154"/>
      <c r="AF228" s="302">
        <f t="shared" ref="AF228:BK228" si="835">-AF225/AF115</f>
        <v>0.66034947997478444</v>
      </c>
      <c r="AG228" s="154">
        <f t="shared" si="835"/>
        <v>0.65456769983686791</v>
      </c>
      <c r="AH228" s="154">
        <f t="shared" si="835"/>
        <v>0.58986928104575165</v>
      </c>
      <c r="AI228" s="154">
        <f t="shared" si="835"/>
        <v>0.45541401273885351</v>
      </c>
      <c r="AJ228" s="154">
        <f t="shared" si="835"/>
        <v>0.41706161137440756</v>
      </c>
      <c r="AK228" s="302">
        <f t="shared" si="835"/>
        <v>0.52128289752052126</v>
      </c>
      <c r="AL228" s="154">
        <f t="shared" si="835"/>
        <v>0.52631578947368418</v>
      </c>
      <c r="AM228" s="154">
        <f t="shared" si="835"/>
        <v>0.35890410958904112</v>
      </c>
      <c r="AN228" s="154">
        <f t="shared" si="835"/>
        <v>0.29150326797385623</v>
      </c>
      <c r="AO228" s="154">
        <f t="shared" si="835"/>
        <v>0.23004059539918809</v>
      </c>
      <c r="AP228" s="302">
        <f t="shared" si="835"/>
        <v>0.34306826178747363</v>
      </c>
      <c r="AQ228" s="154">
        <f t="shared" si="835"/>
        <v>0.33578431372549017</v>
      </c>
      <c r="AR228" s="154">
        <f t="shared" si="835"/>
        <v>0.25378346915017463</v>
      </c>
      <c r="AS228" s="154">
        <f t="shared" si="835"/>
        <v>0.17627494456762749</v>
      </c>
      <c r="AT228" s="154">
        <f t="shared" si="835"/>
        <v>0.23921085080147966</v>
      </c>
      <c r="AU228" s="302">
        <f t="shared" si="835"/>
        <v>0.24940968122786306</v>
      </c>
      <c r="AV228" s="154">
        <f t="shared" si="835"/>
        <v>0.2880503144654088</v>
      </c>
      <c r="AW228" s="154">
        <f t="shared" si="835"/>
        <v>0.18541409147095178</v>
      </c>
      <c r="AX228" s="154">
        <f t="shared" si="835"/>
        <v>5.8479532163742687E-2</v>
      </c>
      <c r="AY228" s="154">
        <f t="shared" si="835"/>
        <v>0.10096153846153846</v>
      </c>
      <c r="AZ228" s="302">
        <f t="shared" si="835"/>
        <v>0.15587967183226983</v>
      </c>
      <c r="BA228" s="154">
        <f t="shared" si="835"/>
        <v>5.1724137931034482E-2</v>
      </c>
      <c r="BB228" s="154">
        <f t="shared" si="835"/>
        <v>0.11288604898828541</v>
      </c>
      <c r="BC228" s="154">
        <f t="shared" si="835"/>
        <v>7.9611650485436891E-2</v>
      </c>
      <c r="BD228" s="154">
        <f t="shared" si="835"/>
        <v>7.0212765957446813E-2</v>
      </c>
      <c r="BE228" s="302">
        <f t="shared" si="835"/>
        <v>7.9121460703889923E-2</v>
      </c>
      <c r="BF228" s="154">
        <f t="shared" si="835"/>
        <v>0.12154150197628459</v>
      </c>
      <c r="BG228" s="154">
        <f t="shared" si="835"/>
        <v>9.1225021720243271E-2</v>
      </c>
      <c r="BH228" s="154">
        <f t="shared" si="835"/>
        <v>0.10627615062761506</v>
      </c>
      <c r="BI228" s="154">
        <f t="shared" si="835"/>
        <v>0.14834205933682373</v>
      </c>
      <c r="BJ228" s="302">
        <f t="shared" si="835"/>
        <v>0.11656305506216696</v>
      </c>
      <c r="BK228" s="154">
        <f t="shared" si="835"/>
        <v>0.15295095594347466</v>
      </c>
      <c r="BL228" s="154">
        <f t="shared" ref="BL228:CM228" si="836">-BL225/BL115</f>
        <v>0.12685982772122162</v>
      </c>
      <c r="BM228" s="154">
        <f t="shared" si="836"/>
        <v>5.4281345565749234E-2</v>
      </c>
      <c r="BN228" s="154">
        <f t="shared" si="836"/>
        <v>0.34254606365159129</v>
      </c>
      <c r="BO228" s="302">
        <f t="shared" si="836"/>
        <v>0.16579686872741869</v>
      </c>
      <c r="BP228" s="154">
        <f t="shared" si="836"/>
        <v>6.3895304080061582E-2</v>
      </c>
      <c r="BQ228" s="154">
        <f t="shared" si="836"/>
        <v>0.1453183520599251</v>
      </c>
      <c r="BR228" s="154">
        <f t="shared" si="836"/>
        <v>5.4091539528432729E-2</v>
      </c>
      <c r="BS228" s="154">
        <f t="shared" si="836"/>
        <v>0.20659340659340658</v>
      </c>
      <c r="BT228" s="302">
        <f t="shared" si="836"/>
        <v>0.1170740672670465</v>
      </c>
      <c r="BU228" s="154">
        <f t="shared" si="836"/>
        <v>0.14084507042253522</v>
      </c>
      <c r="BV228" s="154">
        <f t="shared" si="836"/>
        <v>0.12726054922973878</v>
      </c>
      <c r="BW228" s="154">
        <f t="shared" si="836"/>
        <v>0.14192282537606279</v>
      </c>
      <c r="BX228" s="154">
        <f t="shared" si="836"/>
        <v>0.17980636237897649</v>
      </c>
      <c r="BY228" s="302">
        <f t="shared" si="836"/>
        <v>0.14732680075640364</v>
      </c>
      <c r="BZ228" s="154">
        <f t="shared" si="836"/>
        <v>9.717662508207485E-2</v>
      </c>
      <c r="CA228" s="154">
        <f t="shared" si="836"/>
        <v>0.13895781637717122</v>
      </c>
      <c r="CB228" s="154">
        <f t="shared" si="836"/>
        <v>7.1724955542382923E-2</v>
      </c>
      <c r="CC228" s="154">
        <f t="shared" si="836"/>
        <v>0.21580928481806774</v>
      </c>
      <c r="CD228" s="302">
        <f t="shared" si="836"/>
        <v>0.13045511221945136</v>
      </c>
      <c r="CE228" s="154">
        <f t="shared" si="836"/>
        <v>8.8490099009900985E-2</v>
      </c>
      <c r="CF228" s="154">
        <f t="shared" si="836"/>
        <v>8.0949482653682292E-2</v>
      </c>
      <c r="CG228" s="154">
        <f t="shared" si="836"/>
        <v>0.11778290993071594</v>
      </c>
      <c r="CH228" s="154">
        <f t="shared" si="836"/>
        <v>0.2254722730042657</v>
      </c>
      <c r="CI228" s="302">
        <f t="shared" si="836"/>
        <v>0.12816646562123041</v>
      </c>
      <c r="CJ228" s="154">
        <f t="shared" si="836"/>
        <v>0.15274314214463841</v>
      </c>
      <c r="CK228" s="154">
        <f t="shared" si="836"/>
        <v>0.14875135722041261</v>
      </c>
      <c r="CL228" s="154">
        <f t="shared" si="836"/>
        <v>0.10259238830667403</v>
      </c>
      <c r="CM228" s="154">
        <f t="shared" si="836"/>
        <v>0.14236902050113895</v>
      </c>
      <c r="CN228" s="302">
        <f>-CN225/CN115</f>
        <v>0.13613684960798289</v>
      </c>
      <c r="CO228" s="154">
        <f t="shared" ref="CO228:CR228" si="837">-CO225/CO115</f>
        <v>0.14282494969077927</v>
      </c>
      <c r="CP228" s="154">
        <f t="shared" si="837"/>
        <v>0.13129148811024283</v>
      </c>
      <c r="CQ228" s="154">
        <f t="shared" si="837"/>
        <v>0.12277292974761078</v>
      </c>
      <c r="CR228" s="154">
        <f t="shared" si="837"/>
        <v>0.12922905990996938</v>
      </c>
      <c r="CS228" s="302">
        <f>-CS225/CS115</f>
        <v>0.13115361734359846</v>
      </c>
      <c r="CT228" s="154"/>
      <c r="CU228" s="154"/>
      <c r="CV228" s="154"/>
      <c r="CW228" s="154"/>
      <c r="CX228" s="302">
        <f>-CX225/CX115</f>
        <v>0.14251285273860814</v>
      </c>
      <c r="CY228" s="154"/>
      <c r="CZ228" s="154"/>
      <c r="DA228" s="154"/>
      <c r="DB228" s="154"/>
      <c r="DC228" s="302">
        <f>-DC225/DC115</f>
        <v>0.14335276815699763</v>
      </c>
      <c r="DD228" s="100"/>
      <c r="DE228" s="457"/>
      <c r="DJ228" s="413"/>
      <c r="DK228" s="413" t="s">
        <v>488</v>
      </c>
      <c r="DL228" s="396"/>
      <c r="DM228" s="396"/>
      <c r="DN228" s="396"/>
      <c r="DO228" s="396"/>
      <c r="DP228" s="396"/>
      <c r="DQ228" s="396"/>
      <c r="DR228" s="493"/>
      <c r="DS228" s="154"/>
    </row>
    <row r="229" spans="1:143" x14ac:dyDescent="0.2">
      <c r="A229" s="184" t="s">
        <v>177</v>
      </c>
      <c r="B229" s="302"/>
      <c r="C229" s="100"/>
      <c r="D229" s="100"/>
      <c r="E229" s="100"/>
      <c r="F229" s="100"/>
      <c r="G229" s="302"/>
      <c r="H229" s="100"/>
      <c r="I229" s="100"/>
      <c r="J229" s="100"/>
      <c r="K229" s="100"/>
      <c r="L229" s="302">
        <f>-L225/L217</f>
        <v>28.871139189731252</v>
      </c>
      <c r="M229" s="100"/>
      <c r="N229" s="100"/>
      <c r="O229" s="100"/>
      <c r="P229" s="100"/>
      <c r="Q229" s="302">
        <f>-Q225/Q217</f>
        <v>26.446219167003644</v>
      </c>
      <c r="R229" s="100"/>
      <c r="S229" s="100"/>
      <c r="T229" s="100"/>
      <c r="U229" s="100"/>
      <c r="V229" s="302">
        <f>-V225/V217</f>
        <v>16.607821811342983</v>
      </c>
      <c r="W229" s="100"/>
      <c r="X229" s="100"/>
      <c r="Y229" s="100"/>
      <c r="Z229" s="100"/>
      <c r="AA229" s="302">
        <f>-AA225/AA217</f>
        <v>11.990811062818645</v>
      </c>
      <c r="AB229" s="100"/>
      <c r="AC229" s="100"/>
      <c r="AD229" s="100"/>
      <c r="AE229" s="100"/>
      <c r="AF229" s="302">
        <f>-AF225/AF217</f>
        <v>11.128712871287128</v>
      </c>
      <c r="AG229" s="100">
        <f t="shared" ref="AG229:BE229" si="838">-AG225/AG217</f>
        <v>10.7</v>
      </c>
      <c r="AH229" s="100">
        <f t="shared" si="838"/>
        <v>10.939393939393939</v>
      </c>
      <c r="AI229" s="100">
        <f t="shared" si="838"/>
        <v>7.9444444444444446</v>
      </c>
      <c r="AJ229" s="100">
        <f t="shared" si="838"/>
        <v>7.1351351351351351</v>
      </c>
      <c r="AK229" s="302">
        <f t="shared" si="838"/>
        <v>9.0588235294117645</v>
      </c>
      <c r="AL229" s="100">
        <f t="shared" si="838"/>
        <v>8.2051282051282044</v>
      </c>
      <c r="AM229" s="100">
        <f t="shared" si="838"/>
        <v>6.8947368421052628</v>
      </c>
      <c r="AN229" s="100">
        <f t="shared" si="838"/>
        <v>5.4390243902439028</v>
      </c>
      <c r="AO229" s="100">
        <f t="shared" si="838"/>
        <v>3.9534883720930232</v>
      </c>
      <c r="AP229" s="302">
        <f t="shared" si="838"/>
        <v>6.0559006211180124</v>
      </c>
      <c r="AQ229" s="100">
        <f t="shared" si="838"/>
        <v>6.6829268292682924</v>
      </c>
      <c r="AR229" s="100">
        <f t="shared" si="838"/>
        <v>5.0697674418604652</v>
      </c>
      <c r="AS229" s="100">
        <f t="shared" si="838"/>
        <v>3.18</v>
      </c>
      <c r="AT229" s="100">
        <f t="shared" si="838"/>
        <v>3.5272727272727273</v>
      </c>
      <c r="AU229" s="302">
        <f t="shared" si="838"/>
        <v>4.4708994708994707</v>
      </c>
      <c r="AV229" s="100">
        <f t="shared" si="838"/>
        <v>5.2045454545454541</v>
      </c>
      <c r="AW229" s="100">
        <f t="shared" si="838"/>
        <v>3.2608695652173911</v>
      </c>
      <c r="AX229" s="100">
        <f t="shared" si="838"/>
        <v>1.0204081632653061</v>
      </c>
      <c r="AY229" s="100">
        <f t="shared" si="838"/>
        <v>1.6470588235294117</v>
      </c>
      <c r="AZ229" s="302">
        <f>-AZ225/AZ217</f>
        <v>2.7</v>
      </c>
      <c r="BA229" s="100">
        <f>-BA225/BA217</f>
        <v>0.9375</v>
      </c>
      <c r="BB229" s="100">
        <f>-BB225/BB217</f>
        <v>2.2083333333333335</v>
      </c>
      <c r="BC229" s="100">
        <f>-BC225/BC217</f>
        <v>1.6734693877551021</v>
      </c>
      <c r="BD229" s="100">
        <f>-BD225/BD217</f>
        <v>1.346938775510204</v>
      </c>
      <c r="BE229" s="302">
        <f t="shared" si="838"/>
        <v>1.5412371134020619</v>
      </c>
      <c r="BF229" s="100">
        <f t="shared" ref="BF229:BO229" si="839">-BF225/BF217</f>
        <v>2.4117647058823528</v>
      </c>
      <c r="BG229" s="100">
        <f t="shared" si="839"/>
        <v>1.9444444444444444</v>
      </c>
      <c r="BH229" s="100">
        <f t="shared" si="839"/>
        <v>2.4901960784313726</v>
      </c>
      <c r="BI229" s="100">
        <f t="shared" si="839"/>
        <v>2.9824561403508771</v>
      </c>
      <c r="BJ229" s="302">
        <f t="shared" si="839"/>
        <v>2.464788732394366</v>
      </c>
      <c r="BK229" s="100">
        <f>-BK225/BK217</f>
        <v>3.3454545454545452</v>
      </c>
      <c r="BL229" s="100">
        <f>-BL225/BL217</f>
        <v>2.8421052631578947</v>
      </c>
      <c r="BM229" s="100">
        <f>-BM225/BM217</f>
        <v>1.2241379310344827</v>
      </c>
      <c r="BN229" s="100">
        <f>-BN225/BN217</f>
        <v>6.8166666666666664</v>
      </c>
      <c r="BO229" s="302">
        <f t="shared" si="839"/>
        <v>3.5913043478260871</v>
      </c>
      <c r="BP229" s="100">
        <f t="shared" ref="BP229:BZ229" si="840">-BP225/BP217</f>
        <v>1.360655737704918</v>
      </c>
      <c r="BQ229" s="100">
        <f t="shared" si="840"/>
        <v>3.129032258064516</v>
      </c>
      <c r="BR229" s="100">
        <f t="shared" si="840"/>
        <v>1.2</v>
      </c>
      <c r="BS229" s="100">
        <f>-BS225/BS217</f>
        <v>4.0285714285714285</v>
      </c>
      <c r="BT229" s="302">
        <f>-BT225/BT217</f>
        <v>2.4689922480620154</v>
      </c>
      <c r="BU229" s="100">
        <f>-BU225/BU217</f>
        <v>2.7941176470588234</v>
      </c>
      <c r="BV229" s="100">
        <f>-BV225/BV217</f>
        <v>2.9230769230769229</v>
      </c>
      <c r="BW229" s="100">
        <f>-BW225/BW217</f>
        <v>3.390625</v>
      </c>
      <c r="BX229" s="100">
        <f t="shared" si="840"/>
        <v>3.9393939393939394</v>
      </c>
      <c r="BY229" s="302">
        <f t="shared" si="840"/>
        <v>3.2585551330798479</v>
      </c>
      <c r="BZ229" s="100">
        <f t="shared" si="840"/>
        <v>2.2089552238805972</v>
      </c>
      <c r="CA229" s="100">
        <f t="shared" ref="CA229:CM229" si="841">-CA225/CA217</f>
        <v>3.1549295774647885</v>
      </c>
      <c r="CB229" s="100">
        <f t="shared" si="841"/>
        <v>1.6805555555555556</v>
      </c>
      <c r="CC229" s="100">
        <f t="shared" si="841"/>
        <v>4.4102564102564106</v>
      </c>
      <c r="CD229" s="302">
        <f t="shared" si="841"/>
        <v>2.90625</v>
      </c>
      <c r="CE229" s="100">
        <f t="shared" si="841"/>
        <v>1.8101265822784811</v>
      </c>
      <c r="CF229" s="100">
        <f t="shared" si="841"/>
        <v>1.6024096385542168</v>
      </c>
      <c r="CG229" s="100">
        <f t="shared" si="841"/>
        <v>2.3720930232558142</v>
      </c>
      <c r="CH229" s="100">
        <f t="shared" si="841"/>
        <v>4.1573033707865168</v>
      </c>
      <c r="CI229" s="302">
        <f t="shared" si="841"/>
        <v>2.5222551928783381</v>
      </c>
      <c r="CJ229" s="100">
        <f t="shared" si="841"/>
        <v>2.7222222222222223</v>
      </c>
      <c r="CK229" s="100">
        <f t="shared" si="841"/>
        <v>2.9148936170212765</v>
      </c>
      <c r="CL229" s="100">
        <f t="shared" si="841"/>
        <v>1.8787878787878789</v>
      </c>
      <c r="CM229" s="100">
        <f t="shared" si="841"/>
        <v>2.4191494779730069</v>
      </c>
      <c r="CN229" s="302">
        <f>-CN225/CN217</f>
        <v>2.4719024589605612</v>
      </c>
      <c r="CO229" s="100">
        <f t="shared" ref="CO229:CR229" si="842">-CO225/CO217</f>
        <v>2.5258396959775968</v>
      </c>
      <c r="CP229" s="100">
        <f t="shared" si="842"/>
        <v>2.4685420387579118</v>
      </c>
      <c r="CQ229" s="100">
        <f t="shared" si="842"/>
        <v>2.3824348356103973</v>
      </c>
      <c r="CR229" s="100">
        <f t="shared" si="842"/>
        <v>2.2625807566001139</v>
      </c>
      <c r="CS229" s="302">
        <f>-CS225/CS217</f>
        <v>2.4059673804109742</v>
      </c>
      <c r="CT229" s="100"/>
      <c r="CU229" s="100"/>
      <c r="CV229" s="100"/>
      <c r="CW229" s="100"/>
      <c r="CX229" s="302">
        <f>-CX225/CX217</f>
        <v>2.6292760038986711</v>
      </c>
      <c r="CY229" s="100"/>
      <c r="CZ229" s="100"/>
      <c r="DA229" s="100"/>
      <c r="DB229" s="100"/>
      <c r="DC229" s="302">
        <f>-DC225/DC217</f>
        <v>2.6134390873645228</v>
      </c>
      <c r="DD229" s="100"/>
      <c r="DE229" s="457"/>
      <c r="DJ229" s="413"/>
      <c r="DK229" s="413" t="s">
        <v>471</v>
      </c>
      <c r="DL229" s="396"/>
      <c r="DM229" s="396"/>
      <c r="DN229" s="396"/>
      <c r="DO229" s="396"/>
      <c r="DP229" s="396"/>
      <c r="DQ229" s="396"/>
      <c r="DR229" s="493"/>
      <c r="DS229" s="100"/>
    </row>
    <row r="230" spans="1:143" x14ac:dyDescent="0.2">
      <c r="A230" s="235" t="s">
        <v>121</v>
      </c>
      <c r="B230" s="304">
        <f>B223+B225</f>
        <v>-70.417000000000002</v>
      </c>
      <c r="C230" s="236"/>
      <c r="D230" s="236"/>
      <c r="E230" s="236"/>
      <c r="F230" s="236"/>
      <c r="G230" s="304">
        <f>G223+G225</f>
        <v>-230.81599999999997</v>
      </c>
      <c r="H230" s="236"/>
      <c r="I230" s="236"/>
      <c r="J230" s="236"/>
      <c r="K230" s="236"/>
      <c r="L230" s="304">
        <f>L223+L225</f>
        <v>-176.62400000000002</v>
      </c>
      <c r="M230" s="236"/>
      <c r="N230" s="236"/>
      <c r="O230" s="236"/>
      <c r="P230" s="236"/>
      <c r="Q230" s="304">
        <f>Q223+Q225</f>
        <v>-437.53800000000012</v>
      </c>
      <c r="R230" s="236"/>
      <c r="S230" s="236"/>
      <c r="T230" s="236"/>
      <c r="U230" s="236"/>
      <c r="V230" s="304">
        <f>V223+V225</f>
        <v>-446.61599999999999</v>
      </c>
      <c r="W230" s="236"/>
      <c r="X230" s="236"/>
      <c r="Y230" s="236"/>
      <c r="Z230" s="236"/>
      <c r="AA230" s="304">
        <f>AA223+AA225</f>
        <v>-598.8850000000001</v>
      </c>
      <c r="AB230" s="236"/>
      <c r="AC230" s="236"/>
      <c r="AD230" s="236"/>
      <c r="AE230" s="236"/>
      <c r="AF230" s="304">
        <f>AF223+AF225</f>
        <v>-954</v>
      </c>
      <c r="AG230" s="236">
        <f t="shared" ref="AG230:BD230" si="843">AG223+AG225</f>
        <v>-234</v>
      </c>
      <c r="AH230" s="236">
        <f t="shared" si="843"/>
        <v>-319</v>
      </c>
      <c r="AI230" s="236">
        <f t="shared" si="843"/>
        <v>-206</v>
      </c>
      <c r="AJ230" s="236">
        <f t="shared" si="843"/>
        <v>-199</v>
      </c>
      <c r="AK230" s="304">
        <f t="shared" si="843"/>
        <v>-958</v>
      </c>
      <c r="AL230" s="236">
        <f t="shared" si="843"/>
        <v>-173</v>
      </c>
      <c r="AM230" s="236">
        <f t="shared" si="843"/>
        <v>-190</v>
      </c>
      <c r="AN230" s="236">
        <f t="shared" si="843"/>
        <v>-155</v>
      </c>
      <c r="AO230" s="236">
        <f t="shared" si="843"/>
        <v>-99</v>
      </c>
      <c r="AP230" s="304">
        <f t="shared" si="843"/>
        <v>-617</v>
      </c>
      <c r="AQ230" s="236">
        <f t="shared" si="843"/>
        <v>-225</v>
      </c>
      <c r="AR230" s="236">
        <f t="shared" si="843"/>
        <v>-162</v>
      </c>
      <c r="AS230" s="236">
        <f t="shared" si="843"/>
        <v>-155</v>
      </c>
      <c r="AT230" s="236">
        <f t="shared" si="843"/>
        <v>-320</v>
      </c>
      <c r="AU230" s="304">
        <f t="shared" si="843"/>
        <v>-862</v>
      </c>
      <c r="AV230" s="236">
        <f t="shared" si="843"/>
        <v>-105</v>
      </c>
      <c r="AW230" s="236">
        <f t="shared" si="843"/>
        <v>-49</v>
      </c>
      <c r="AX230" s="236">
        <f t="shared" si="843"/>
        <v>82</v>
      </c>
      <c r="AY230" s="236">
        <f t="shared" si="843"/>
        <v>45</v>
      </c>
      <c r="AZ230" s="304">
        <f>AZ223+AZ225</f>
        <v>-27</v>
      </c>
      <c r="BA230" s="236">
        <f t="shared" si="843"/>
        <v>184</v>
      </c>
      <c r="BB230" s="236">
        <f t="shared" si="843"/>
        <v>21</v>
      </c>
      <c r="BC230" s="236">
        <f t="shared" si="843"/>
        <v>52</v>
      </c>
      <c r="BD230" s="236">
        <f t="shared" si="843"/>
        <v>-33</v>
      </c>
      <c r="BE230" s="304">
        <f t="shared" ref="BE230:BO230" si="844">BE223+BE225</f>
        <v>223.99999999999966</v>
      </c>
      <c r="BF230" s="236">
        <f t="shared" si="844"/>
        <v>108</v>
      </c>
      <c r="BG230" s="236">
        <f t="shared" si="844"/>
        <v>70</v>
      </c>
      <c r="BH230" s="236">
        <f t="shared" si="844"/>
        <v>-33</v>
      </c>
      <c r="BI230" s="236">
        <f t="shared" si="844"/>
        <v>-56</v>
      </c>
      <c r="BJ230" s="304">
        <f t="shared" si="844"/>
        <v>89</v>
      </c>
      <c r="BK230" s="236">
        <f>BK223+BK225</f>
        <v>108</v>
      </c>
      <c r="BL230" s="236">
        <f>BL223+BL225</f>
        <v>36</v>
      </c>
      <c r="BM230" s="236">
        <f>BM223+BM225</f>
        <v>-20</v>
      </c>
      <c r="BN230" s="236">
        <f>BN223+BN225</f>
        <v>-252</v>
      </c>
      <c r="BO230" s="304">
        <f t="shared" si="844"/>
        <v>-128</v>
      </c>
      <c r="BP230" s="236">
        <f t="shared" ref="BP230:BX230" si="845">BP223+BP225</f>
        <v>122</v>
      </c>
      <c r="BQ230" s="236">
        <f t="shared" si="845"/>
        <v>3</v>
      </c>
      <c r="BR230" s="236">
        <f t="shared" si="845"/>
        <v>85</v>
      </c>
      <c r="BS230" s="236">
        <f>BS223+BS225</f>
        <v>-89</v>
      </c>
      <c r="BT230" s="304">
        <f>BT223+BT225</f>
        <v>121</v>
      </c>
      <c r="BU230" s="236">
        <f>BU223+BU225</f>
        <v>132</v>
      </c>
      <c r="BV230" s="236">
        <f>BV223+BV225</f>
        <v>29</v>
      </c>
      <c r="BW230" s="236">
        <f>BW223+BW225</f>
        <v>-34</v>
      </c>
      <c r="BX230" s="236">
        <f t="shared" si="845"/>
        <v>-72</v>
      </c>
      <c r="BY230" s="304">
        <f t="shared" ref="BY230:CD230" si="846">BY223+BY225</f>
        <v>55</v>
      </c>
      <c r="BZ230" s="236">
        <f t="shared" si="846"/>
        <v>380</v>
      </c>
      <c r="CA230" s="236">
        <f t="shared" si="846"/>
        <v>138</v>
      </c>
      <c r="CB230" s="236">
        <f t="shared" si="846"/>
        <v>283</v>
      </c>
      <c r="CC230" s="236">
        <f t="shared" si="846"/>
        <v>-40</v>
      </c>
      <c r="CD230" s="304">
        <f t="shared" si="846"/>
        <v>761</v>
      </c>
      <c r="CE230" s="236">
        <f>CE223+CE225</f>
        <v>442</v>
      </c>
      <c r="CF230" s="236">
        <f>CF223+CF225</f>
        <v>289</v>
      </c>
      <c r="CG230" s="236">
        <f>CG223+CG225</f>
        <v>106</v>
      </c>
      <c r="CH230" s="236">
        <f>CH223+CH225</f>
        <v>-55</v>
      </c>
      <c r="CI230" s="304">
        <f>CI223+CI225</f>
        <v>782</v>
      </c>
      <c r="CJ230" s="236">
        <f t="shared" ref="CJ230:CM230" si="847">CJ223+CJ225</f>
        <v>187</v>
      </c>
      <c r="CK230" s="236">
        <f t="shared" si="847"/>
        <v>166</v>
      </c>
      <c r="CL230" s="236">
        <f t="shared" si="847"/>
        <v>8</v>
      </c>
      <c r="CM230" s="236">
        <f t="shared" si="847"/>
        <v>18.607376191531159</v>
      </c>
      <c r="CN230" s="304">
        <f>CN223+CN225</f>
        <v>379.60737619153133</v>
      </c>
      <c r="CO230" s="236">
        <f t="shared" ref="CO230:CR230" si="848">CO223+CO225</f>
        <v>202.06413211391435</v>
      </c>
      <c r="CP230" s="236">
        <f t="shared" si="848"/>
        <v>31.80761331506875</v>
      </c>
      <c r="CQ230" s="236">
        <f t="shared" si="848"/>
        <v>-75.49779295008446</v>
      </c>
      <c r="CR230" s="236">
        <f t="shared" si="848"/>
        <v>92.816512377145557</v>
      </c>
      <c r="CS230" s="304">
        <f>CS223+CS225</f>
        <v>251.1904648560444</v>
      </c>
      <c r="CT230" s="236"/>
      <c r="CU230" s="236"/>
      <c r="CV230" s="236"/>
      <c r="CW230" s="236"/>
      <c r="CX230" s="304">
        <f>CX223+CX225</f>
        <v>313.86012844259517</v>
      </c>
      <c r="CY230" s="236"/>
      <c r="CZ230" s="236"/>
      <c r="DA230" s="236"/>
      <c r="DB230" s="236"/>
      <c r="DC230" s="304">
        <f>DC223+DC225</f>
        <v>464.13506949331941</v>
      </c>
      <c r="DD230" s="152"/>
      <c r="DE230" s="476"/>
      <c r="DJ230" s="413"/>
      <c r="DK230" s="413"/>
      <c r="DL230" s="396"/>
      <c r="DM230" s="800"/>
      <c r="DO230" s="800"/>
      <c r="DP230" s="800"/>
      <c r="DQ230" s="411"/>
      <c r="DR230" s="508"/>
      <c r="DS230" s="161"/>
      <c r="DZ230" s="223"/>
      <c r="EA230" s="223"/>
    </row>
    <row r="231" spans="1:143" x14ac:dyDescent="0.2">
      <c r="A231" s="141" t="s">
        <v>178</v>
      </c>
      <c r="B231" s="853">
        <v>0</v>
      </c>
      <c r="C231" s="141"/>
      <c r="D231" s="141"/>
      <c r="E231" s="141"/>
      <c r="F231" s="141"/>
      <c r="G231" s="853">
        <v>0</v>
      </c>
      <c r="H231" s="141"/>
      <c r="I231" s="141"/>
      <c r="J231" s="141"/>
      <c r="K231" s="141"/>
      <c r="L231" s="853">
        <v>0</v>
      </c>
      <c r="M231" s="832"/>
      <c r="N231" s="832"/>
      <c r="O231" s="832"/>
      <c r="P231" s="832"/>
      <c r="Q231" s="853">
        <v>-80.447999999999993</v>
      </c>
      <c r="R231" s="832"/>
      <c r="S231" s="832"/>
      <c r="T231" s="832"/>
      <c r="U231" s="832"/>
      <c r="V231" s="853">
        <v>0</v>
      </c>
      <c r="W231" s="832"/>
      <c r="X231" s="832"/>
      <c r="Y231" s="832"/>
      <c r="Z231" s="832"/>
      <c r="AA231" s="853">
        <v>0</v>
      </c>
      <c r="AB231" s="832"/>
      <c r="AC231" s="832"/>
      <c r="AD231" s="832"/>
      <c r="AE231" s="832"/>
      <c r="AF231" s="853">
        <v>0</v>
      </c>
      <c r="AG231" s="832">
        <v>0</v>
      </c>
      <c r="AH231" s="832">
        <v>0</v>
      </c>
      <c r="AI231" s="832">
        <v>62</v>
      </c>
      <c r="AJ231" s="832">
        <v>92</v>
      </c>
      <c r="AK231" s="300">
        <v>154</v>
      </c>
      <c r="AL231" s="832">
        <v>0</v>
      </c>
      <c r="AM231" s="832">
        <v>0</v>
      </c>
      <c r="AN231" s="832">
        <v>33</v>
      </c>
      <c r="AO231" s="832">
        <v>67</v>
      </c>
      <c r="AP231" s="300">
        <v>100</v>
      </c>
      <c r="AQ231" s="832">
        <v>0</v>
      </c>
      <c r="AR231" s="832">
        <v>133</v>
      </c>
      <c r="AS231" s="832">
        <v>31</v>
      </c>
      <c r="AT231" s="832">
        <v>135</v>
      </c>
      <c r="AU231" s="300">
        <v>299</v>
      </c>
      <c r="AV231" s="832">
        <v>58</v>
      </c>
      <c r="AW231" s="832">
        <f>58-AV231</f>
        <v>0</v>
      </c>
      <c r="AX231" s="832">
        <f>58-AW231-AV231</f>
        <v>0</v>
      </c>
      <c r="AY231" s="832">
        <f>58-AX231-AW231-AV231</f>
        <v>0</v>
      </c>
      <c r="AZ231" s="300">
        <f>SUM(AV231:AY231)</f>
        <v>58</v>
      </c>
      <c r="BA231" s="832">
        <v>0</v>
      </c>
      <c r="BB231" s="832">
        <f>36-BA231</f>
        <v>36</v>
      </c>
      <c r="BC231" s="832">
        <f>85-BB231-BA231</f>
        <v>49</v>
      </c>
      <c r="BD231" s="832">
        <f>85-BC231-BB231-BA231</f>
        <v>0</v>
      </c>
      <c r="BE231" s="300">
        <f>SUM(BA231:BD231)</f>
        <v>85</v>
      </c>
      <c r="BF231" s="832">
        <v>0</v>
      </c>
      <c r="BG231" s="832">
        <v>0</v>
      </c>
      <c r="BH231" s="832">
        <v>0</v>
      </c>
      <c r="BI231" s="832">
        <v>0</v>
      </c>
      <c r="BJ231" s="300">
        <f>SUM(BF231:BI231)</f>
        <v>0</v>
      </c>
      <c r="BK231" s="832">
        <v>0</v>
      </c>
      <c r="BL231" s="832">
        <v>0</v>
      </c>
      <c r="BM231" s="832">
        <v>0</v>
      </c>
      <c r="BN231" s="832">
        <v>0</v>
      </c>
      <c r="BO231" s="300">
        <f>SUM(BK231:BN231)</f>
        <v>0</v>
      </c>
      <c r="BP231" s="832">
        <v>0</v>
      </c>
      <c r="BQ231" s="832">
        <v>0</v>
      </c>
      <c r="BR231" s="832">
        <v>0</v>
      </c>
      <c r="BS231" s="832">
        <v>0</v>
      </c>
      <c r="BT231" s="300">
        <f>SUM(BP231:BS231)</f>
        <v>0</v>
      </c>
      <c r="BU231" s="832">
        <v>0</v>
      </c>
      <c r="BV231" s="832">
        <v>0</v>
      </c>
      <c r="BW231" s="832">
        <v>0</v>
      </c>
      <c r="BX231" s="832">
        <v>0</v>
      </c>
      <c r="BY231" s="300">
        <f>SUM(BU231:BX231)</f>
        <v>0</v>
      </c>
      <c r="BZ231" s="832">
        <v>0</v>
      </c>
      <c r="CA231" s="832">
        <v>0</v>
      </c>
      <c r="CB231" s="832">
        <v>0</v>
      </c>
      <c r="CC231" s="832">
        <v>0</v>
      </c>
      <c r="CD231" s="300">
        <f>SUM(BZ231:CC231)</f>
        <v>0</v>
      </c>
      <c r="CE231" s="832">
        <v>0</v>
      </c>
      <c r="CF231" s="832">
        <v>0</v>
      </c>
      <c r="CG231" s="832">
        <v>0</v>
      </c>
      <c r="CH231" s="832">
        <v>0</v>
      </c>
      <c r="CI231" s="300">
        <f>SUM(CE231:CH231)</f>
        <v>0</v>
      </c>
      <c r="CJ231" s="832">
        <v>0</v>
      </c>
      <c r="CK231" s="832">
        <v>0</v>
      </c>
      <c r="CL231" s="832">
        <v>0</v>
      </c>
      <c r="CM231" s="143">
        <v>0</v>
      </c>
      <c r="CN231" s="300">
        <f>SUM(CJ231:CM231)</f>
        <v>0</v>
      </c>
      <c r="CO231" s="143">
        <v>0</v>
      </c>
      <c r="CP231" s="143">
        <v>0</v>
      </c>
      <c r="CQ231" s="143">
        <v>0</v>
      </c>
      <c r="CR231" s="143">
        <v>0</v>
      </c>
      <c r="CS231" s="300">
        <f>SUM(CO231:CR231)</f>
        <v>0</v>
      </c>
      <c r="CT231" s="141"/>
      <c r="CU231" s="143"/>
      <c r="CV231" s="143"/>
      <c r="CW231" s="143"/>
      <c r="CX231" s="330">
        <v>0</v>
      </c>
      <c r="CY231" s="141"/>
      <c r="CZ231" s="143"/>
      <c r="DA231" s="143"/>
      <c r="DB231" s="143"/>
      <c r="DC231" s="330">
        <v>0</v>
      </c>
      <c r="DD231" s="132"/>
      <c r="DE231" s="471"/>
      <c r="DJ231" s="413"/>
      <c r="DK231" s="413" t="s">
        <v>497</v>
      </c>
      <c r="DL231" s="411"/>
      <c r="DM231" s="803"/>
      <c r="DN231" s="411"/>
      <c r="DO231" s="803"/>
      <c r="DP231" s="803"/>
      <c r="DQ231" s="413"/>
      <c r="DR231" s="510"/>
      <c r="DS231" s="141"/>
      <c r="EB231" s="387"/>
      <c r="EC231" s="387"/>
      <c r="ED231" s="387"/>
      <c r="EE231" s="387"/>
      <c r="EF231" s="387"/>
      <c r="EG231" s="387"/>
      <c r="EH231" s="387"/>
      <c r="EI231" s="387"/>
      <c r="EJ231" s="387"/>
      <c r="EK231" s="387"/>
      <c r="EL231" s="387"/>
      <c r="EM231" s="387"/>
    </row>
    <row r="232" spans="1:143" x14ac:dyDescent="0.2">
      <c r="A232" s="140" t="s">
        <v>253</v>
      </c>
      <c r="B232" s="855">
        <f>-5.302+1.026</f>
        <v>-4.2759999999999998</v>
      </c>
      <c r="C232" s="152"/>
      <c r="D232" s="152"/>
      <c r="E232" s="152"/>
      <c r="F232" s="152"/>
      <c r="G232" s="855">
        <f>-7.939-20.923+21.392-0.02</f>
        <v>-7.4899999999999984</v>
      </c>
      <c r="H232" s="152"/>
      <c r="I232" s="152"/>
      <c r="J232" s="152"/>
      <c r="K232" s="152"/>
      <c r="L232" s="855">
        <f>-1.952</f>
        <v>-1.952</v>
      </c>
      <c r="M232" s="152"/>
      <c r="N232" s="152"/>
      <c r="O232" s="152"/>
      <c r="P232" s="152"/>
      <c r="Q232" s="855">
        <f>-11.395+2-0.603-135.2-97.15</f>
        <v>-242.34799999999998</v>
      </c>
      <c r="R232" s="152"/>
      <c r="S232" s="152"/>
      <c r="T232" s="152"/>
      <c r="U232" s="152"/>
      <c r="V232" s="855">
        <f>+-25.87+9.185-1.892-235.55</f>
        <v>-254.12700000000001</v>
      </c>
      <c r="W232" s="152"/>
      <c r="X232" s="152"/>
      <c r="Y232" s="152"/>
      <c r="Z232" s="152"/>
      <c r="AA232" s="855">
        <f>-18.729+25.31-5.224+76.2</f>
        <v>77.557000000000002</v>
      </c>
      <c r="AB232" s="152"/>
      <c r="AC232" s="152"/>
      <c r="AD232" s="152"/>
      <c r="AE232" s="152"/>
      <c r="AF232" s="855">
        <f>-5+18-79-86</f>
        <v>-152</v>
      </c>
      <c r="AG232" s="152">
        <f>AG233-AG231-AG225</f>
        <v>68</v>
      </c>
      <c r="AH232" s="152">
        <f>AH233-AH231-AH225</f>
        <v>-50</v>
      </c>
      <c r="AI232" s="152">
        <f>AI233-AI231-AI225</f>
        <v>1</v>
      </c>
      <c r="AJ232" s="152">
        <f>AJ233-AJ231-AJ225</f>
        <v>-248</v>
      </c>
      <c r="AK232" s="301">
        <f>AK233-AK225-AK231</f>
        <v>-229</v>
      </c>
      <c r="AL232" s="152">
        <f>AL233-AL231-AL225</f>
        <v>-10</v>
      </c>
      <c r="AM232" s="152">
        <f>AM233-AM231-AM225</f>
        <v>151</v>
      </c>
      <c r="AN232" s="152">
        <f>AN233-AN231-AN225</f>
        <v>41</v>
      </c>
      <c r="AO232" s="152">
        <f>AO233-AO231-AO225</f>
        <v>-41</v>
      </c>
      <c r="AP232" s="301">
        <f>AP233-AP225-AP231</f>
        <v>141</v>
      </c>
      <c r="AQ232" s="152">
        <f>AQ233-AQ231-AQ225</f>
        <v>331</v>
      </c>
      <c r="AR232" s="152">
        <f>AR233-AR231-AR225</f>
        <v>-71</v>
      </c>
      <c r="AS232" s="152">
        <f>AS233-AS231-AS225</f>
        <v>0</v>
      </c>
      <c r="AT232" s="152">
        <f>AT233-AT231-AT225</f>
        <v>39</v>
      </c>
      <c r="AU232" s="301">
        <f>AU233-AU225-AU231</f>
        <v>299</v>
      </c>
      <c r="AV232" s="152">
        <f>AV233-AV231-AV225</f>
        <v>25</v>
      </c>
      <c r="AW232" s="152">
        <f>AW233-AW231-AW225</f>
        <v>0</v>
      </c>
      <c r="AX232" s="152">
        <f>AX233-AX231-AX225</f>
        <v>25</v>
      </c>
      <c r="AY232" s="152">
        <f>AY233-AY231-AY225</f>
        <v>-52</v>
      </c>
      <c r="AZ232" s="301">
        <f>SUM(AV232:AY232)</f>
        <v>-2</v>
      </c>
      <c r="BA232" s="152">
        <f>BA233-BA231-BA225</f>
        <v>-67</v>
      </c>
      <c r="BB232" s="152">
        <f>BB233-BB231-BB225</f>
        <v>-414</v>
      </c>
      <c r="BC232" s="152">
        <f>BC233-BC231-BC225</f>
        <v>-30</v>
      </c>
      <c r="BD232" s="152">
        <f>BD233-BD231-BD225</f>
        <v>29</v>
      </c>
      <c r="BE232" s="301">
        <f>SUM(BA232:BD232)</f>
        <v>-482</v>
      </c>
      <c r="BF232" s="152">
        <f>BF233-BF231-BF225</f>
        <v>-62</v>
      </c>
      <c r="BG232" s="152">
        <f>BG233-BG231-BG225</f>
        <v>-49</v>
      </c>
      <c r="BH232" s="152">
        <f>BH233-BH231-BH225</f>
        <v>121</v>
      </c>
      <c r="BI232" s="152">
        <f>BI233-BI231-BI225</f>
        <v>13</v>
      </c>
      <c r="BJ232" s="301">
        <f>SUM(BF232:BI232)</f>
        <v>23</v>
      </c>
      <c r="BK232" s="152">
        <f>BK233-BK231-BK225</f>
        <v>13</v>
      </c>
      <c r="BL232" s="152">
        <f>BL233-BL231-BL225</f>
        <v>70</v>
      </c>
      <c r="BM232" s="152">
        <f>BM233-BM231-BM225</f>
        <v>-114</v>
      </c>
      <c r="BN232" s="152">
        <f>BN233-BN231-BN225</f>
        <v>-10</v>
      </c>
      <c r="BO232" s="301">
        <f>SUM(BK232:BN232)</f>
        <v>-41</v>
      </c>
      <c r="BP232" s="152">
        <f>BP233-BP231-BP225</f>
        <v>81</v>
      </c>
      <c r="BQ232" s="152">
        <f>BQ233-BQ231-BQ225</f>
        <v>-5</v>
      </c>
      <c r="BR232" s="152">
        <f>BR233-BR231-BR225</f>
        <v>-61</v>
      </c>
      <c r="BS232" s="152">
        <f>BS233-BS231-BS225</f>
        <v>146</v>
      </c>
      <c r="BT232" s="301">
        <f>SUM(BP232:BS232)</f>
        <v>161</v>
      </c>
      <c r="BU232" s="152">
        <f>BU233-BU231-BU225</f>
        <v>144</v>
      </c>
      <c r="BV232" s="152">
        <f>BV233-BV231-BV225</f>
        <v>285</v>
      </c>
      <c r="BW232" s="152">
        <f>BW233-BW231-BW225</f>
        <v>55</v>
      </c>
      <c r="BX232" s="152">
        <f>BX233-BX231-BX225</f>
        <v>-6</v>
      </c>
      <c r="BY232" s="301">
        <f>SUM(BU232:BX232)</f>
        <v>478</v>
      </c>
      <c r="BZ232" s="152">
        <f>BZ233-BZ231-BZ225</f>
        <v>-89</v>
      </c>
      <c r="CA232" s="152">
        <f>CA233-CA231-CA225</f>
        <v>-69</v>
      </c>
      <c r="CB232" s="152">
        <f>CB233-CB231-CB225</f>
        <v>-112</v>
      </c>
      <c r="CC232" s="152">
        <f>CC233-CC231-CC225</f>
        <v>-27</v>
      </c>
      <c r="CD232" s="301">
        <f>SUM(BZ232:CC232)</f>
        <v>-297</v>
      </c>
      <c r="CE232" s="152">
        <f>CE233-CE231-CE225</f>
        <v>53</v>
      </c>
      <c r="CF232" s="152">
        <f>CF233-CF231-CF225</f>
        <v>-96</v>
      </c>
      <c r="CG232" s="152">
        <f>CG233-CG231-CG225</f>
        <v>-107</v>
      </c>
      <c r="CH232" s="152">
        <f>CH233-CH231-CH225</f>
        <v>-45</v>
      </c>
      <c r="CI232" s="301">
        <f>SUM(CE232:CH232)</f>
        <v>-195</v>
      </c>
      <c r="CJ232" s="152">
        <f>CJ233-CJ231-CJ225</f>
        <v>-22</v>
      </c>
      <c r="CK232" s="152">
        <f>CK233-CK231-CK225</f>
        <v>110</v>
      </c>
      <c r="CL232" s="152">
        <f>CL233-CL231-CL225</f>
        <v>24</v>
      </c>
      <c r="CM232" s="151">
        <f t="shared" ref="CM232:CR232" si="849">IF(CL252=0,0,IF(CM230&gt;0,0,IF(CL252&gt;-(CM230+CM238+CM242+CM231),IF(-(CM230+CM238+CM242+CM231)&lt;0,0,IF(-(CM230+CM238+CM242+CM231)&gt;0,-(CM230+CM238+CM242+CM231))),CL252)))</f>
        <v>0</v>
      </c>
      <c r="CN232" s="301">
        <f>SUM(CJ232:CM232)</f>
        <v>112</v>
      </c>
      <c r="CO232" s="151">
        <f t="shared" si="849"/>
        <v>0</v>
      </c>
      <c r="CP232" s="151">
        <f t="shared" si="849"/>
        <v>0</v>
      </c>
      <c r="CQ232" s="151">
        <f t="shared" si="849"/>
        <v>167.77173097476992</v>
      </c>
      <c r="CR232" s="151">
        <f t="shared" si="849"/>
        <v>0</v>
      </c>
      <c r="CS232" s="301">
        <f>SUM(CO232:CR232)</f>
        <v>167.77173097476992</v>
      </c>
      <c r="CT232" s="151"/>
      <c r="CU232" s="151"/>
      <c r="CV232" s="151"/>
      <c r="CW232" s="151"/>
      <c r="CX232" s="427">
        <f>IF(CS252=0,0,IF(CX230&gt;0,0,IF(CS252&gt;-(CX230+CX239+CX238+CX240+CX231),IF(-(CX230+CX239+CX238+CX240+CX231)&lt;0,0,IF(-(CX230+CX239+CX238+CX240+CX231)&gt;0,-(CX230+CX239+CX238+CX240+CX231))),CS252)))</f>
        <v>0</v>
      </c>
      <c r="CY232" s="151"/>
      <c r="CZ232" s="151"/>
      <c r="DA232" s="151"/>
      <c r="DB232" s="151"/>
      <c r="DC232" s="427">
        <f>IF(CX252=0,0,IF(DC230&gt;0,0,IF(CX252&gt;-(DC230+DC239+DC238+DC240+DC231),IF(-(DC230+DC239+DC238+DC240+DC231)&lt;0,0,IF(-(DC230+DC239+DC238+DC240+DC231)&gt;0,-(DC230+DC239+DC238+DC240+DC231))),CX252)))</f>
        <v>0</v>
      </c>
      <c r="DD232" s="152"/>
      <c r="DE232" s="476"/>
      <c r="DJ232" s="413"/>
      <c r="DK232" s="413"/>
      <c r="DL232" s="411"/>
      <c r="DM232" s="804"/>
      <c r="DN232" s="411"/>
      <c r="DO232" s="804"/>
      <c r="DP232" s="804"/>
      <c r="DQ232" s="411"/>
      <c r="DR232" s="508"/>
      <c r="DS232" s="152"/>
    </row>
    <row r="233" spans="1:143" x14ac:dyDescent="0.2">
      <c r="A233" s="219" t="s">
        <v>280</v>
      </c>
      <c r="B233" s="303">
        <f>B232+B231+B225</f>
        <v>-67.451999999999998</v>
      </c>
      <c r="C233" s="224"/>
      <c r="D233" s="224"/>
      <c r="E233" s="224"/>
      <c r="F233" s="224"/>
      <c r="G233" s="303">
        <f>G232+G231+G225</f>
        <v>-241.13</v>
      </c>
      <c r="H233" s="224"/>
      <c r="I233" s="224"/>
      <c r="J233" s="224"/>
      <c r="K233" s="224"/>
      <c r="L233" s="303">
        <f>L232+L231+L225</f>
        <v>-289.85500000000002</v>
      </c>
      <c r="M233" s="834"/>
      <c r="N233" s="834"/>
      <c r="O233" s="834"/>
      <c r="P233" s="834"/>
      <c r="Q233" s="303">
        <f>Q232+Q231+Q225</f>
        <v>-976.81100000000015</v>
      </c>
      <c r="R233" s="834"/>
      <c r="S233" s="834"/>
      <c r="T233" s="834"/>
      <c r="U233" s="834"/>
      <c r="V233" s="303">
        <f>V232+V231+V225</f>
        <v>-987.07999999999993</v>
      </c>
      <c r="W233" s="834"/>
      <c r="X233" s="834"/>
      <c r="Y233" s="834"/>
      <c r="Z233" s="834"/>
      <c r="AA233" s="303">
        <f>AA232+AA231+AA225</f>
        <v>-719.74800000000005</v>
      </c>
      <c r="AB233" s="834"/>
      <c r="AC233" s="834"/>
      <c r="AD233" s="834"/>
      <c r="AE233" s="834"/>
      <c r="AF233" s="303">
        <f>AF232+AF231+AF225</f>
        <v>-1276</v>
      </c>
      <c r="AG233" s="834">
        <v>-253</v>
      </c>
      <c r="AH233" s="834">
        <v>-411</v>
      </c>
      <c r="AI233" s="834">
        <v>-223</v>
      </c>
      <c r="AJ233" s="834">
        <v>-420</v>
      </c>
      <c r="AK233" s="303">
        <v>-1307</v>
      </c>
      <c r="AL233" s="834">
        <v>-330</v>
      </c>
      <c r="AM233" s="834">
        <v>-111</v>
      </c>
      <c r="AN233" s="834">
        <v>-149</v>
      </c>
      <c r="AO233" s="834">
        <v>-144</v>
      </c>
      <c r="AP233" s="303">
        <v>-734</v>
      </c>
      <c r="AQ233" s="834">
        <v>57</v>
      </c>
      <c r="AR233" s="834">
        <v>-156</v>
      </c>
      <c r="AS233" s="834">
        <v>-128</v>
      </c>
      <c r="AT233" s="834">
        <v>-20</v>
      </c>
      <c r="AU233" s="303">
        <v>-247</v>
      </c>
      <c r="AV233" s="834">
        <v>-146</v>
      </c>
      <c r="AW233" s="834">
        <f>-296-AV233</f>
        <v>-150</v>
      </c>
      <c r="AX233" s="834">
        <f>-321-AW233-AV233</f>
        <v>-25</v>
      </c>
      <c r="AY233" s="834">
        <f>-457-AX233-AW233-AV233</f>
        <v>-136</v>
      </c>
      <c r="AZ233" s="303">
        <f>AZ232+AZ231+AZ225</f>
        <v>-457</v>
      </c>
      <c r="BA233" s="834">
        <v>-112</v>
      </c>
      <c r="BB233" s="834">
        <f>-596-BA233</f>
        <v>-484</v>
      </c>
      <c r="BC233" s="834">
        <f>-659-BB233-BA233</f>
        <v>-63</v>
      </c>
      <c r="BD233" s="834">
        <f>-696-BC233-BB233-BA233</f>
        <v>-37</v>
      </c>
      <c r="BE233" s="303">
        <f>BE232+BE231+BE225</f>
        <v>-696</v>
      </c>
      <c r="BF233" s="834">
        <v>-185</v>
      </c>
      <c r="BG233" s="834">
        <f>-339-BF233</f>
        <v>-154</v>
      </c>
      <c r="BH233" s="834">
        <f>-345-BG233-BF233</f>
        <v>-6</v>
      </c>
      <c r="BI233" s="834">
        <v>-157</v>
      </c>
      <c r="BJ233" s="303">
        <f>BJ232+BJ231+BJ225</f>
        <v>-502</v>
      </c>
      <c r="BK233" s="834">
        <v>-171</v>
      </c>
      <c r="BL233" s="834">
        <f>-263-BK233</f>
        <v>-92</v>
      </c>
      <c r="BM233" s="834">
        <f>-448-BL233-BK233</f>
        <v>-185</v>
      </c>
      <c r="BN233" s="834">
        <f>-867-BM233-BL233-BK233</f>
        <v>-419</v>
      </c>
      <c r="BO233" s="303">
        <f>BO232+BO231+BO225</f>
        <v>-867</v>
      </c>
      <c r="BP233" s="834">
        <v>-2</v>
      </c>
      <c r="BQ233" s="834">
        <f>-201-BP233</f>
        <v>-199</v>
      </c>
      <c r="BR233" s="834">
        <f>-340-BQ233-BP233</f>
        <v>-139</v>
      </c>
      <c r="BS233" s="834">
        <f>-476-BR233-BQ233-BP233</f>
        <v>-136</v>
      </c>
      <c r="BT233" s="303">
        <f>BT232+BT231+BT225</f>
        <v>-476</v>
      </c>
      <c r="BU233" s="834">
        <v>-46</v>
      </c>
      <c r="BV233" s="834">
        <f>49-BU233</f>
        <v>95</v>
      </c>
      <c r="BW233" s="834">
        <f>-113-BV233-BU233</f>
        <v>-162</v>
      </c>
      <c r="BX233" s="834">
        <f>-379-SUM(BU233:BW233)</f>
        <v>-266</v>
      </c>
      <c r="BY233" s="303">
        <f>BY232+BY231+BY225</f>
        <v>-379</v>
      </c>
      <c r="BZ233" s="834">
        <v>-237</v>
      </c>
      <c r="CA233" s="834">
        <f>-530-BZ233</f>
        <v>-293</v>
      </c>
      <c r="CB233" s="834">
        <f>-763-CA233-BZ233</f>
        <v>-233</v>
      </c>
      <c r="CC233" s="834">
        <f>-1134-CB233-CA233-BZ233</f>
        <v>-371</v>
      </c>
      <c r="CD233" s="303">
        <f t="shared" ref="CD233:CM233" si="850">CD232+CD231+CD225</f>
        <v>-1134</v>
      </c>
      <c r="CE233" s="834">
        <v>-90</v>
      </c>
      <c r="CF233" s="834">
        <f>-319-CE233</f>
        <v>-229</v>
      </c>
      <c r="CG233" s="834">
        <f>-630-CF233-CE233</f>
        <v>-311</v>
      </c>
      <c r="CH233" s="834">
        <f>-1045-CG233-CF233-CE233</f>
        <v>-415</v>
      </c>
      <c r="CI233" s="303">
        <f t="shared" si="850"/>
        <v>-1045</v>
      </c>
      <c r="CJ233" s="834">
        <v>-267</v>
      </c>
      <c r="CK233" s="834">
        <f>-431-CJ233</f>
        <v>-164</v>
      </c>
      <c r="CL233" s="834">
        <f>-593-CK233-CJ233</f>
        <v>-162</v>
      </c>
      <c r="CM233" s="224">
        <f t="shared" si="850"/>
        <v>-250</v>
      </c>
      <c r="CN233" s="303">
        <f t="shared" ref="CN233:CR233" si="851">CN232+CN231+CN225</f>
        <v>-843</v>
      </c>
      <c r="CO233" s="224">
        <f t="shared" si="851"/>
        <v>-251</v>
      </c>
      <c r="CP233" s="224">
        <f t="shared" si="851"/>
        <v>-250</v>
      </c>
      <c r="CQ233" s="224">
        <f t="shared" si="851"/>
        <v>-82.228269025230077</v>
      </c>
      <c r="CR233" s="224">
        <f t="shared" si="851"/>
        <v>-249</v>
      </c>
      <c r="CS233" s="303">
        <f t="shared" ref="CS233" si="852">CS232+CS231+CS225</f>
        <v>-832.22826902523002</v>
      </c>
      <c r="CT233" s="224"/>
      <c r="CU233" s="224"/>
      <c r="CV233" s="224"/>
      <c r="CW233" s="224"/>
      <c r="CX233" s="303">
        <f>CX232+CX231+CX225</f>
        <v>-1175</v>
      </c>
      <c r="CY233" s="224"/>
      <c r="CZ233" s="224"/>
      <c r="DA233" s="224"/>
      <c r="DB233" s="224"/>
      <c r="DC233" s="303">
        <f>DC232+DC231+DC225</f>
        <v>-1275</v>
      </c>
      <c r="DD233" s="152"/>
      <c r="DE233" s="476"/>
      <c r="DJ233" s="399"/>
      <c r="DK233" s="413"/>
      <c r="DL233" s="411"/>
      <c r="DM233" s="799"/>
      <c r="DO233" s="799"/>
      <c r="DP233" s="799"/>
      <c r="DQ233" s="411"/>
      <c r="DR233" s="508"/>
      <c r="DS233" s="528"/>
      <c r="DZ233" s="225"/>
      <c r="EA233" s="225"/>
    </row>
    <row r="234" spans="1:143" s="7" customFormat="1" x14ac:dyDescent="0.2">
      <c r="A234" s="7" t="s">
        <v>167</v>
      </c>
      <c r="B234" s="260"/>
      <c r="G234" s="260"/>
      <c r="L234" s="260"/>
      <c r="Q234" s="260"/>
      <c r="V234" s="260"/>
      <c r="AA234" s="260"/>
      <c r="AF234" s="260"/>
      <c r="AK234" s="260"/>
      <c r="AP234" s="260"/>
      <c r="AU234" s="260"/>
      <c r="AZ234" s="260"/>
      <c r="BE234" s="260"/>
      <c r="BJ234" s="260"/>
      <c r="BO234" s="260"/>
      <c r="BT234" s="260"/>
      <c r="BY234" s="260"/>
      <c r="CD234" s="260"/>
      <c r="CI234" s="260"/>
      <c r="CM234" s="807"/>
      <c r="CN234" s="260"/>
      <c r="CS234" s="260"/>
      <c r="CX234" s="260"/>
      <c r="DC234" s="260"/>
      <c r="DD234" s="363"/>
      <c r="DE234" s="6"/>
      <c r="DF234" s="363"/>
      <c r="DG234" s="363"/>
      <c r="DH234" s="363"/>
      <c r="DI234" s="363"/>
      <c r="DJ234" s="435"/>
      <c r="DK234" s="413"/>
      <c r="DL234" s="785" t="s">
        <v>472</v>
      </c>
      <c r="DM234" s="393"/>
      <c r="DN234" s="393"/>
      <c r="DO234" s="393"/>
      <c r="DP234" s="393"/>
      <c r="DQ234" s="393"/>
      <c r="DR234" s="6"/>
      <c r="DS234" s="363"/>
      <c r="DT234"/>
      <c r="DU234"/>
      <c r="DV234"/>
      <c r="DW234"/>
      <c r="DX234"/>
      <c r="DY234"/>
    </row>
    <row r="235" spans="1:143" x14ac:dyDescent="0.2">
      <c r="A235" s="25" t="s">
        <v>179</v>
      </c>
      <c r="B235" s="853">
        <v>0</v>
      </c>
      <c r="C235" s="141"/>
      <c r="D235" s="141"/>
      <c r="E235" s="141"/>
      <c r="F235" s="141"/>
      <c r="G235" s="853">
        <v>0</v>
      </c>
      <c r="H235" s="141"/>
      <c r="I235" s="141"/>
      <c r="J235" s="141"/>
      <c r="K235" s="141"/>
      <c r="L235" s="853">
        <v>0</v>
      </c>
      <c r="M235" s="832"/>
      <c r="N235" s="832"/>
      <c r="O235" s="832"/>
      <c r="P235" s="832"/>
      <c r="Q235" s="853">
        <v>0</v>
      </c>
      <c r="R235" s="832"/>
      <c r="S235" s="832"/>
      <c r="T235" s="832"/>
      <c r="U235" s="832"/>
      <c r="V235" s="853">
        <v>0</v>
      </c>
      <c r="W235" s="832"/>
      <c r="X235" s="832"/>
      <c r="Y235" s="832"/>
      <c r="Z235" s="832"/>
      <c r="AA235" s="853">
        <v>0</v>
      </c>
      <c r="AB235" s="832"/>
      <c r="AC235" s="832"/>
      <c r="AD235" s="832"/>
      <c r="AE235" s="832"/>
      <c r="AF235" s="853">
        <v>0</v>
      </c>
      <c r="AG235" s="832">
        <v>0</v>
      </c>
      <c r="AH235" s="832">
        <v>0</v>
      </c>
      <c r="AI235" s="832">
        <v>0</v>
      </c>
      <c r="AJ235" s="832">
        <v>0</v>
      </c>
      <c r="AK235" s="300">
        <v>0</v>
      </c>
      <c r="AL235" s="832">
        <v>0</v>
      </c>
      <c r="AM235" s="832">
        <v>0</v>
      </c>
      <c r="AN235" s="832">
        <v>0</v>
      </c>
      <c r="AO235" s="832">
        <v>0</v>
      </c>
      <c r="AP235" s="300">
        <v>0</v>
      </c>
      <c r="AQ235" s="832">
        <v>0</v>
      </c>
      <c r="AR235" s="832">
        <v>0</v>
      </c>
      <c r="AS235" s="832">
        <v>0</v>
      </c>
      <c r="AT235" s="832">
        <v>0</v>
      </c>
      <c r="AU235" s="300">
        <v>0</v>
      </c>
      <c r="AV235" s="832">
        <v>0</v>
      </c>
      <c r="AW235" s="832">
        <v>0</v>
      </c>
      <c r="AX235" s="832">
        <v>0</v>
      </c>
      <c r="AY235" s="832">
        <v>0</v>
      </c>
      <c r="AZ235" s="300">
        <f>SUM(AV235:AY235)</f>
        <v>0</v>
      </c>
      <c r="BA235" s="832">
        <v>0</v>
      </c>
      <c r="BB235" s="832">
        <v>0</v>
      </c>
      <c r="BC235" s="832">
        <v>0</v>
      </c>
      <c r="BD235" s="832">
        <v>0</v>
      </c>
      <c r="BE235" s="300">
        <f>SUM(BA235:BD235)</f>
        <v>0</v>
      </c>
      <c r="BF235" s="832">
        <v>0</v>
      </c>
      <c r="BG235" s="832">
        <v>0</v>
      </c>
      <c r="BH235" s="832">
        <v>0</v>
      </c>
      <c r="BI235" s="832">
        <v>0</v>
      </c>
      <c r="BJ235" s="300">
        <f>SUM(BF235:BI235)</f>
        <v>0</v>
      </c>
      <c r="BK235" s="832">
        <v>0</v>
      </c>
      <c r="BL235" s="832">
        <v>0</v>
      </c>
      <c r="BM235" s="832">
        <v>0</v>
      </c>
      <c r="BN235" s="832">
        <v>0</v>
      </c>
      <c r="BO235" s="300">
        <f>SUM(BK235:BN235)</f>
        <v>0</v>
      </c>
      <c r="BP235" s="832">
        <v>0</v>
      </c>
      <c r="BQ235" s="832">
        <v>0</v>
      </c>
      <c r="BR235" s="832">
        <v>0</v>
      </c>
      <c r="BS235" s="832">
        <v>0</v>
      </c>
      <c r="BT235" s="300">
        <f>SUM(BP235:BS235)</f>
        <v>0</v>
      </c>
      <c r="BU235" s="832">
        <v>0</v>
      </c>
      <c r="BV235" s="832">
        <v>0</v>
      </c>
      <c r="BW235" s="832">
        <v>0</v>
      </c>
      <c r="BX235" s="832">
        <v>0</v>
      </c>
      <c r="BY235" s="300">
        <f>SUM(BU235:BX235)</f>
        <v>0</v>
      </c>
      <c r="BZ235" s="832">
        <v>0</v>
      </c>
      <c r="CA235" s="832">
        <v>0</v>
      </c>
      <c r="CB235" s="832">
        <v>0</v>
      </c>
      <c r="CC235" s="832">
        <v>0</v>
      </c>
      <c r="CD235" s="300">
        <f>SUM(BZ235:CC235)</f>
        <v>0</v>
      </c>
      <c r="CE235" s="832">
        <v>0</v>
      </c>
      <c r="CF235" s="832">
        <v>0</v>
      </c>
      <c r="CG235" s="832">
        <v>0</v>
      </c>
      <c r="CH235" s="832">
        <v>0</v>
      </c>
      <c r="CI235" s="300">
        <f>SUM(CE235:CH235)</f>
        <v>0</v>
      </c>
      <c r="CJ235" s="832">
        <v>0</v>
      </c>
      <c r="CK235" s="832">
        <v>0</v>
      </c>
      <c r="CL235" s="832">
        <v>0</v>
      </c>
      <c r="CM235" s="143">
        <v>0</v>
      </c>
      <c r="CN235" s="300">
        <f>SUM(CJ235:CM235)</f>
        <v>0</v>
      </c>
      <c r="CO235" s="143">
        <v>0</v>
      </c>
      <c r="CP235" s="143">
        <v>0</v>
      </c>
      <c r="CQ235" s="143">
        <v>0</v>
      </c>
      <c r="CR235" s="143">
        <v>0</v>
      </c>
      <c r="CS235" s="300">
        <f>SUM(CO235:CR235)</f>
        <v>0</v>
      </c>
      <c r="CT235" s="141"/>
      <c r="CU235" s="143"/>
      <c r="CV235" s="143"/>
      <c r="CW235" s="143"/>
      <c r="CX235" s="330">
        <v>0</v>
      </c>
      <c r="CY235" s="141"/>
      <c r="CZ235" s="143"/>
      <c r="DA235" s="143"/>
      <c r="DB235" s="143"/>
      <c r="DC235" s="330">
        <v>0</v>
      </c>
      <c r="DD235" s="132"/>
      <c r="DE235" s="471"/>
      <c r="DJ235" s="413"/>
      <c r="DK235" s="411"/>
      <c r="DL235" s="786" t="s">
        <v>473</v>
      </c>
      <c r="DM235" s="411"/>
      <c r="DN235" s="610"/>
      <c r="DO235" s="411"/>
      <c r="DP235" s="411"/>
      <c r="DQ235" s="411"/>
      <c r="DR235" s="508"/>
      <c r="DS235" s="141"/>
    </row>
    <row r="236" spans="1:143" x14ac:dyDescent="0.2">
      <c r="A236" s="25" t="s">
        <v>180</v>
      </c>
      <c r="B236" s="853">
        <v>0</v>
      </c>
      <c r="C236" s="141"/>
      <c r="D236" s="141"/>
      <c r="E236" s="141"/>
      <c r="F236" s="141"/>
      <c r="G236" s="853">
        <v>0</v>
      </c>
      <c r="H236" s="141"/>
      <c r="I236" s="141"/>
      <c r="J236" s="141"/>
      <c r="K236" s="141"/>
      <c r="L236" s="853">
        <v>0</v>
      </c>
      <c r="M236" s="832"/>
      <c r="N236" s="832"/>
      <c r="O236" s="832"/>
      <c r="P236" s="832"/>
      <c r="Q236" s="853">
        <v>0</v>
      </c>
      <c r="R236" s="832"/>
      <c r="S236" s="832"/>
      <c r="T236" s="832"/>
      <c r="U236" s="832"/>
      <c r="V236" s="853">
        <v>0</v>
      </c>
      <c r="W236" s="832"/>
      <c r="X236" s="832"/>
      <c r="Y236" s="832"/>
      <c r="Z236" s="832"/>
      <c r="AA236" s="853">
        <v>0</v>
      </c>
      <c r="AB236" s="832"/>
      <c r="AC236" s="832"/>
      <c r="AD236" s="832"/>
      <c r="AE236" s="832"/>
      <c r="AF236" s="853">
        <v>0</v>
      </c>
      <c r="AG236" s="832">
        <v>0</v>
      </c>
      <c r="AH236" s="832">
        <v>0</v>
      </c>
      <c r="AI236" s="832">
        <v>0</v>
      </c>
      <c r="AJ236" s="832">
        <v>0</v>
      </c>
      <c r="AK236" s="300">
        <v>0</v>
      </c>
      <c r="AL236" s="832">
        <v>0</v>
      </c>
      <c r="AM236" s="832">
        <v>0</v>
      </c>
      <c r="AN236" s="832">
        <v>0</v>
      </c>
      <c r="AO236" s="832">
        <v>0</v>
      </c>
      <c r="AP236" s="300">
        <v>0</v>
      </c>
      <c r="AQ236" s="832">
        <v>0</v>
      </c>
      <c r="AR236" s="832">
        <v>0</v>
      </c>
      <c r="AS236" s="832">
        <v>0</v>
      </c>
      <c r="AT236" s="832">
        <v>0</v>
      </c>
      <c r="AU236" s="300">
        <v>0</v>
      </c>
      <c r="AV236" s="832">
        <v>0</v>
      </c>
      <c r="AW236" s="832">
        <v>0</v>
      </c>
      <c r="AX236" s="832">
        <v>0</v>
      </c>
      <c r="AY236" s="832">
        <v>0</v>
      </c>
      <c r="AZ236" s="300">
        <f>SUM(AV236:AY236)</f>
        <v>0</v>
      </c>
      <c r="BA236" s="832">
        <v>0</v>
      </c>
      <c r="BB236" s="832">
        <v>0</v>
      </c>
      <c r="BC236" s="832">
        <v>0</v>
      </c>
      <c r="BD236" s="832">
        <v>0</v>
      </c>
      <c r="BE236" s="300">
        <f>SUM(BA236:BD236)</f>
        <v>0</v>
      </c>
      <c r="BF236" s="832">
        <v>0</v>
      </c>
      <c r="BG236" s="832">
        <v>0</v>
      </c>
      <c r="BH236" s="832">
        <v>0</v>
      </c>
      <c r="BI236" s="832">
        <v>0</v>
      </c>
      <c r="BJ236" s="300">
        <f>SUM(BF236:BI236)</f>
        <v>0</v>
      </c>
      <c r="BK236" s="832">
        <v>0</v>
      </c>
      <c r="BL236" s="832">
        <v>0</v>
      </c>
      <c r="BM236" s="832">
        <v>0</v>
      </c>
      <c r="BN236" s="832">
        <v>0</v>
      </c>
      <c r="BO236" s="300">
        <f>SUM(BK236:BN236)</f>
        <v>0</v>
      </c>
      <c r="BP236" s="832">
        <v>0</v>
      </c>
      <c r="BQ236" s="832">
        <v>0</v>
      </c>
      <c r="BR236" s="832">
        <v>0</v>
      </c>
      <c r="BS236" s="832">
        <v>0</v>
      </c>
      <c r="BT236" s="300">
        <f>SUM(BP236:BS236)</f>
        <v>0</v>
      </c>
      <c r="BU236" s="832">
        <v>0</v>
      </c>
      <c r="BV236" s="832">
        <v>0</v>
      </c>
      <c r="BW236" s="832">
        <v>0</v>
      </c>
      <c r="BX236" s="832">
        <v>0</v>
      </c>
      <c r="BY236" s="300">
        <f>SUM(BU236:BX236)</f>
        <v>0</v>
      </c>
      <c r="BZ236" s="832">
        <v>0</v>
      </c>
      <c r="CA236" s="832">
        <f>-163-BZ236</f>
        <v>-163</v>
      </c>
      <c r="CB236" s="832">
        <f>-164-CA236-BZ236</f>
        <v>-1</v>
      </c>
      <c r="CC236" s="832">
        <f>-241-CB236-CA236-BZ236</f>
        <v>-77</v>
      </c>
      <c r="CD236" s="300">
        <f>SUM(BZ236:CC236)</f>
        <v>-241</v>
      </c>
      <c r="CE236" s="832">
        <v>-13</v>
      </c>
      <c r="CF236" s="832">
        <f>-14-CE236</f>
        <v>-1</v>
      </c>
      <c r="CG236" s="832">
        <f>-14-CF236-CE236</f>
        <v>0</v>
      </c>
      <c r="CH236" s="832">
        <f>-134-CG236-CF236-CE236</f>
        <v>-120</v>
      </c>
      <c r="CI236" s="300">
        <f>SUM(CE236:CH236)</f>
        <v>-134</v>
      </c>
      <c r="CJ236" s="832">
        <v>-109</v>
      </c>
      <c r="CK236" s="832">
        <f>-260-CJ236</f>
        <v>-151</v>
      </c>
      <c r="CL236" s="832">
        <f>-390-CK236-CJ236</f>
        <v>-130</v>
      </c>
      <c r="CM236" s="143">
        <f t="shared" ref="CM236" si="853">CM157*CM161</f>
        <v>0</v>
      </c>
      <c r="CN236" s="300">
        <f>SUM(CJ236:CM236)</f>
        <v>-390</v>
      </c>
      <c r="CO236" s="143">
        <f t="shared" ref="CO236:CR236" si="854">CO157*CO161</f>
        <v>-82.243581955649987</v>
      </c>
      <c r="CP236" s="143">
        <f t="shared" si="854"/>
        <v>-83.351300200115134</v>
      </c>
      <c r="CQ236" s="143">
        <f t="shared" si="854"/>
        <v>-84.473938024685438</v>
      </c>
      <c r="CR236" s="143">
        <f t="shared" si="854"/>
        <v>-85.611696377455402</v>
      </c>
      <c r="CS236" s="300">
        <f>SUM(CO236:CR236)</f>
        <v>-335.68051655790595</v>
      </c>
      <c r="CT236" s="141"/>
      <c r="CU236" s="143"/>
      <c r="CV236" s="143"/>
      <c r="CW236" s="143"/>
      <c r="CX236" s="330">
        <f>CX157*CX161</f>
        <v>-325.424464622784</v>
      </c>
      <c r="CY236" s="141"/>
      <c r="CZ236" s="143"/>
      <c r="DA236" s="143"/>
      <c r="DB236" s="143"/>
      <c r="DC236" s="330">
        <f>DC157*DC161</f>
        <v>-300.69220531145254</v>
      </c>
      <c r="DD236" s="132"/>
      <c r="DE236" s="471"/>
      <c r="DJ236" s="413"/>
      <c r="DK236" s="411"/>
      <c r="DL236" s="786" t="s">
        <v>474</v>
      </c>
      <c r="DM236" s="411"/>
      <c r="DN236" s="411"/>
      <c r="DO236" s="411"/>
      <c r="DP236" s="411"/>
      <c r="DQ236" s="411"/>
      <c r="DR236" s="508"/>
      <c r="DS236" s="141"/>
    </row>
    <row r="237" spans="1:143" x14ac:dyDescent="0.2">
      <c r="A237" s="25" t="s">
        <v>181</v>
      </c>
      <c r="B237" s="853">
        <v>6.9000000000000006E-2</v>
      </c>
      <c r="C237" s="141"/>
      <c r="D237" s="141"/>
      <c r="E237" s="141"/>
      <c r="F237" s="141"/>
      <c r="G237" s="853">
        <f>0.13</f>
        <v>0.13</v>
      </c>
      <c r="H237" s="141"/>
      <c r="I237" s="141"/>
      <c r="J237" s="141"/>
      <c r="K237" s="141"/>
      <c r="L237" s="853">
        <v>2.5000000000000001E-2</v>
      </c>
      <c r="M237" s="832"/>
      <c r="N237" s="832"/>
      <c r="O237" s="832"/>
      <c r="P237" s="832"/>
      <c r="Q237" s="853">
        <v>174.01400000000001</v>
      </c>
      <c r="R237" s="832"/>
      <c r="S237" s="832"/>
      <c r="T237" s="832"/>
      <c r="U237" s="832"/>
      <c r="V237" s="853">
        <v>136.02199999999999</v>
      </c>
      <c r="W237" s="832"/>
      <c r="X237" s="832"/>
      <c r="Y237" s="832"/>
      <c r="Z237" s="832"/>
      <c r="AA237" s="853">
        <v>20.148</v>
      </c>
      <c r="AB237" s="832"/>
      <c r="AC237" s="832"/>
      <c r="AD237" s="832"/>
      <c r="AE237" s="832"/>
      <c r="AF237" s="853">
        <v>178</v>
      </c>
      <c r="AG237" s="832">
        <v>2</v>
      </c>
      <c r="AH237" s="832">
        <v>10</v>
      </c>
      <c r="AI237" s="832">
        <v>1</v>
      </c>
      <c r="AJ237" s="832">
        <v>15</v>
      </c>
      <c r="AK237" s="300">
        <v>28</v>
      </c>
      <c r="AL237" s="832">
        <v>6</v>
      </c>
      <c r="AM237" s="832">
        <v>10</v>
      </c>
      <c r="AN237" s="832">
        <v>0</v>
      </c>
      <c r="AO237" s="832">
        <v>10</v>
      </c>
      <c r="AP237" s="300">
        <v>26</v>
      </c>
      <c r="AQ237" s="832">
        <v>310</v>
      </c>
      <c r="AR237" s="832">
        <v>6</v>
      </c>
      <c r="AS237" s="832">
        <v>1</v>
      </c>
      <c r="AT237" s="832">
        <v>3</v>
      </c>
      <c r="AU237" s="300">
        <v>320</v>
      </c>
      <c r="AV237" s="832">
        <v>0</v>
      </c>
      <c r="AW237" s="832">
        <v>116</v>
      </c>
      <c r="AX237" s="832">
        <f>116-AW237-AV237</f>
        <v>0</v>
      </c>
      <c r="AY237" s="832">
        <f>120-AX237-AW237-AV237</f>
        <v>4</v>
      </c>
      <c r="AZ237" s="300">
        <f>SUM(AV237:AY237)</f>
        <v>120</v>
      </c>
      <c r="BA237" s="832">
        <v>1</v>
      </c>
      <c r="BB237" s="832">
        <f>5-BA237</f>
        <v>4</v>
      </c>
      <c r="BC237" s="832">
        <f>5-BB237-BA237</f>
        <v>0</v>
      </c>
      <c r="BD237" s="832">
        <f>9-BC237-BB237-BA237</f>
        <v>4</v>
      </c>
      <c r="BE237" s="300">
        <f>SUM(BA237:BD237)</f>
        <v>9</v>
      </c>
      <c r="BF237" s="832">
        <v>0</v>
      </c>
      <c r="BG237" s="832">
        <f>5-BF237</f>
        <v>5</v>
      </c>
      <c r="BH237" s="832">
        <f>5-BG237-BF237</f>
        <v>0</v>
      </c>
      <c r="BI237" s="832">
        <v>5</v>
      </c>
      <c r="BJ237" s="300">
        <f>SUM(BF237:BI237)</f>
        <v>10</v>
      </c>
      <c r="BK237" s="832">
        <v>2</v>
      </c>
      <c r="BL237" s="832">
        <f>6-BK237</f>
        <v>4</v>
      </c>
      <c r="BM237" s="832">
        <f>6-BL237-BK237</f>
        <v>0</v>
      </c>
      <c r="BN237" s="832">
        <f>9-BM237-BL237-BK237</f>
        <v>3</v>
      </c>
      <c r="BO237" s="300">
        <f>SUM(BK237:BN237)</f>
        <v>9</v>
      </c>
      <c r="BP237" s="832">
        <v>0</v>
      </c>
      <c r="BQ237" s="832">
        <f>4-BP237</f>
        <v>4</v>
      </c>
      <c r="BR237" s="832">
        <f>4-BQ237-BP237</f>
        <v>0</v>
      </c>
      <c r="BS237" s="832">
        <f>10-BR237-BQ237-BP237</f>
        <v>6</v>
      </c>
      <c r="BT237" s="300">
        <f>SUM(BP237:BS237)</f>
        <v>10</v>
      </c>
      <c r="BU237" s="832">
        <v>0</v>
      </c>
      <c r="BV237" s="832">
        <f>9-BU237</f>
        <v>9</v>
      </c>
      <c r="BW237" s="832">
        <f>13-BV237-BU237</f>
        <v>4</v>
      </c>
      <c r="BX237" s="832">
        <f>41-SUM(BU237:BW237)</f>
        <v>28</v>
      </c>
      <c r="BY237" s="300">
        <f>SUM(BU237:BX237)</f>
        <v>41</v>
      </c>
      <c r="BZ237" s="832">
        <v>0</v>
      </c>
      <c r="CA237" s="832">
        <f>57-BZ237</f>
        <v>57</v>
      </c>
      <c r="CB237" s="832">
        <f>68-CA237-BZ237</f>
        <v>11</v>
      </c>
      <c r="CC237" s="832">
        <f>84-CB237-CA237-BZ237</f>
        <v>16</v>
      </c>
      <c r="CD237" s="300">
        <f>SUM(BZ237:CC237)</f>
        <v>84</v>
      </c>
      <c r="CE237" s="832">
        <v>2</v>
      </c>
      <c r="CF237" s="832">
        <f>25-CE237</f>
        <v>23</v>
      </c>
      <c r="CG237" s="832">
        <f>26-CF237-CE237</f>
        <v>1</v>
      </c>
      <c r="CH237" s="832">
        <f>45-CG237-CF237-CE237</f>
        <v>19</v>
      </c>
      <c r="CI237" s="300">
        <f>SUM(CE237:CH237)</f>
        <v>45</v>
      </c>
      <c r="CJ237" s="832">
        <v>2</v>
      </c>
      <c r="CK237" s="832">
        <f>28-CJ237</f>
        <v>26</v>
      </c>
      <c r="CL237" s="832">
        <f>28-CK237-CJ237</f>
        <v>0</v>
      </c>
      <c r="CM237" s="143">
        <v>0</v>
      </c>
      <c r="CN237" s="300">
        <f>SUM(CJ237:CM237)</f>
        <v>28</v>
      </c>
      <c r="CO237" s="143">
        <v>0</v>
      </c>
      <c r="CP237" s="143">
        <v>0</v>
      </c>
      <c r="CQ237" s="143">
        <v>0</v>
      </c>
      <c r="CR237" s="143">
        <v>0</v>
      </c>
      <c r="CS237" s="300">
        <f>SUM(CO237:CR237)</f>
        <v>0</v>
      </c>
      <c r="CT237" s="141"/>
      <c r="CU237" s="143"/>
      <c r="CV237" s="143"/>
      <c r="CW237" s="143"/>
      <c r="CX237" s="330">
        <v>0</v>
      </c>
      <c r="CY237" s="141"/>
      <c r="CZ237" s="143"/>
      <c r="DA237" s="143"/>
      <c r="DB237" s="143"/>
      <c r="DC237" s="330">
        <v>0</v>
      </c>
      <c r="DD237" s="132"/>
      <c r="DE237" s="471"/>
      <c r="DJ237" s="413"/>
      <c r="DK237" s="411"/>
      <c r="DL237" s="786" t="s">
        <v>475</v>
      </c>
      <c r="DM237" s="411"/>
      <c r="DN237" s="411"/>
      <c r="DO237" s="411"/>
      <c r="DP237" s="411"/>
      <c r="DQ237" s="411"/>
      <c r="DR237" s="508"/>
      <c r="DS237" s="141"/>
    </row>
    <row r="238" spans="1:143" x14ac:dyDescent="0.2">
      <c r="A238" s="237" t="s">
        <v>182</v>
      </c>
      <c r="B238" s="301">
        <f>SUM(B235:B237)</f>
        <v>6.9000000000000006E-2</v>
      </c>
      <c r="C238" s="145"/>
      <c r="D238" s="145"/>
      <c r="E238" s="145"/>
      <c r="F238" s="145"/>
      <c r="G238" s="301">
        <f>SUM(G235:G237)</f>
        <v>0.13</v>
      </c>
      <c r="H238" s="145"/>
      <c r="I238" s="145"/>
      <c r="J238" s="145"/>
      <c r="K238" s="145"/>
      <c r="L238" s="301">
        <f>SUM(L235:L237)</f>
        <v>2.5000000000000001E-2</v>
      </c>
      <c r="M238" s="145"/>
      <c r="N238" s="145"/>
      <c r="O238" s="145"/>
      <c r="P238" s="145"/>
      <c r="Q238" s="301">
        <f>SUM(Q235:Q237)</f>
        <v>174.01400000000001</v>
      </c>
      <c r="R238" s="145"/>
      <c r="S238" s="145"/>
      <c r="T238" s="145"/>
      <c r="U238" s="145"/>
      <c r="V238" s="301">
        <f>SUM(V235:V237)</f>
        <v>136.02199999999999</v>
      </c>
      <c r="W238" s="145"/>
      <c r="X238" s="145"/>
      <c r="Y238" s="145"/>
      <c r="Z238" s="145"/>
      <c r="AA238" s="301">
        <f>SUM(AA235:AA237)</f>
        <v>20.148</v>
      </c>
      <c r="AB238" s="145"/>
      <c r="AC238" s="145"/>
      <c r="AD238" s="145"/>
      <c r="AE238" s="145"/>
      <c r="AF238" s="301">
        <f t="shared" ref="AF238:BO238" si="855">SUM(AF235:AF237)</f>
        <v>178</v>
      </c>
      <c r="AG238" s="145">
        <f t="shared" si="855"/>
        <v>2</v>
      </c>
      <c r="AH238" s="145">
        <f t="shared" si="855"/>
        <v>10</v>
      </c>
      <c r="AI238" s="145">
        <f t="shared" si="855"/>
        <v>1</v>
      </c>
      <c r="AJ238" s="145">
        <f t="shared" si="855"/>
        <v>15</v>
      </c>
      <c r="AK238" s="301">
        <f t="shared" si="855"/>
        <v>28</v>
      </c>
      <c r="AL238" s="145">
        <f t="shared" si="855"/>
        <v>6</v>
      </c>
      <c r="AM238" s="145">
        <f t="shared" si="855"/>
        <v>10</v>
      </c>
      <c r="AN238" s="145">
        <f t="shared" si="855"/>
        <v>0</v>
      </c>
      <c r="AO238" s="145">
        <f t="shared" si="855"/>
        <v>10</v>
      </c>
      <c r="AP238" s="301">
        <f t="shared" si="855"/>
        <v>26</v>
      </c>
      <c r="AQ238" s="145">
        <f t="shared" si="855"/>
        <v>310</v>
      </c>
      <c r="AR238" s="145">
        <f t="shared" si="855"/>
        <v>6</v>
      </c>
      <c r="AS238" s="145">
        <f t="shared" si="855"/>
        <v>1</v>
      </c>
      <c r="AT238" s="145">
        <f t="shared" si="855"/>
        <v>3</v>
      </c>
      <c r="AU238" s="301">
        <f t="shared" si="855"/>
        <v>320</v>
      </c>
      <c r="AV238" s="145">
        <f t="shared" si="855"/>
        <v>0</v>
      </c>
      <c r="AW238" s="145">
        <f t="shared" si="855"/>
        <v>116</v>
      </c>
      <c r="AX238" s="145">
        <f t="shared" si="855"/>
        <v>0</v>
      </c>
      <c r="AY238" s="145">
        <f t="shared" si="855"/>
        <v>4</v>
      </c>
      <c r="AZ238" s="301">
        <f t="shared" si="855"/>
        <v>120</v>
      </c>
      <c r="BA238" s="145">
        <f t="shared" si="855"/>
        <v>1</v>
      </c>
      <c r="BB238" s="145">
        <f>SUM(BB235:BB237)</f>
        <v>4</v>
      </c>
      <c r="BC238" s="145">
        <f>SUM(BC235:BC237)</f>
        <v>0</v>
      </c>
      <c r="BD238" s="145">
        <f>SUM(BD235:BD237)</f>
        <v>4</v>
      </c>
      <c r="BE238" s="301">
        <f t="shared" si="855"/>
        <v>9</v>
      </c>
      <c r="BF238" s="145">
        <f>SUM(BF235:BF237)</f>
        <v>0</v>
      </c>
      <c r="BG238" s="145">
        <f>SUM(BG235:BG237)</f>
        <v>5</v>
      </c>
      <c r="BH238" s="145">
        <f>SUM(BH235:BH237)</f>
        <v>0</v>
      </c>
      <c r="BI238" s="145">
        <f>SUM(BI235:BI237)</f>
        <v>5</v>
      </c>
      <c r="BJ238" s="301">
        <f t="shared" si="855"/>
        <v>10</v>
      </c>
      <c r="BK238" s="145">
        <f>SUM(BK235:BK237)</f>
        <v>2</v>
      </c>
      <c r="BL238" s="145">
        <f>SUM(BL235:BL237)</f>
        <v>4</v>
      </c>
      <c r="BM238" s="145">
        <f>SUM(BM235:BM237)</f>
        <v>0</v>
      </c>
      <c r="BN238" s="145">
        <f>SUM(BN235:BN237)</f>
        <v>3</v>
      </c>
      <c r="BO238" s="301">
        <f t="shared" si="855"/>
        <v>9</v>
      </c>
      <c r="BP238" s="145">
        <f t="shared" ref="BP238:BU238" si="856">SUM(BP235:BP237)</f>
        <v>0</v>
      </c>
      <c r="BQ238" s="145">
        <f t="shared" si="856"/>
        <v>4</v>
      </c>
      <c r="BR238" s="145">
        <f t="shared" si="856"/>
        <v>0</v>
      </c>
      <c r="BS238" s="145">
        <f t="shared" si="856"/>
        <v>6</v>
      </c>
      <c r="BT238" s="301">
        <f t="shared" si="856"/>
        <v>10</v>
      </c>
      <c r="BU238" s="145">
        <f t="shared" si="856"/>
        <v>0</v>
      </c>
      <c r="BV238" s="145">
        <f t="shared" ref="BV238:CD238" si="857">SUM(BV235:BV237)</f>
        <v>9</v>
      </c>
      <c r="BW238" s="145">
        <f t="shared" si="857"/>
        <v>4</v>
      </c>
      <c r="BX238" s="145">
        <f t="shared" si="857"/>
        <v>28</v>
      </c>
      <c r="BY238" s="301">
        <f t="shared" si="857"/>
        <v>41</v>
      </c>
      <c r="BZ238" s="145">
        <f t="shared" si="857"/>
        <v>0</v>
      </c>
      <c r="CA238" s="145">
        <f t="shared" si="857"/>
        <v>-106</v>
      </c>
      <c r="CB238" s="145">
        <f t="shared" si="857"/>
        <v>10</v>
      </c>
      <c r="CC238" s="145">
        <f t="shared" si="857"/>
        <v>-61</v>
      </c>
      <c r="CD238" s="301">
        <f t="shared" si="857"/>
        <v>-157</v>
      </c>
      <c r="CE238" s="145">
        <f t="shared" ref="CE238:CJ238" si="858">SUM(CE235:CE237)</f>
        <v>-11</v>
      </c>
      <c r="CF238" s="145">
        <f t="shared" si="858"/>
        <v>22</v>
      </c>
      <c r="CG238" s="145">
        <f t="shared" si="858"/>
        <v>1</v>
      </c>
      <c r="CH238" s="145">
        <f t="shared" si="858"/>
        <v>-101</v>
      </c>
      <c r="CI238" s="301">
        <f t="shared" si="858"/>
        <v>-89</v>
      </c>
      <c r="CJ238" s="145">
        <f t="shared" si="858"/>
        <v>-107</v>
      </c>
      <c r="CK238" s="145">
        <f t="shared" ref="CK238:CL238" si="859">SUM(CK235:CK237)</f>
        <v>-125</v>
      </c>
      <c r="CL238" s="145">
        <f t="shared" si="859"/>
        <v>-130</v>
      </c>
      <c r="CM238" s="145">
        <f t="shared" ref="CM238" si="860">SUM(CM235:CM237)</f>
        <v>0</v>
      </c>
      <c r="CN238" s="301">
        <f>SUM(CN235:CN237)</f>
        <v>-362</v>
      </c>
      <c r="CO238" s="145">
        <f t="shared" ref="CO238:CR238" si="861">SUM(CO235:CO237)</f>
        <v>-82.243581955649987</v>
      </c>
      <c r="CP238" s="145">
        <f t="shared" si="861"/>
        <v>-83.351300200115134</v>
      </c>
      <c r="CQ238" s="145">
        <f t="shared" si="861"/>
        <v>-84.473938024685438</v>
      </c>
      <c r="CR238" s="145">
        <f t="shared" si="861"/>
        <v>-85.611696377455402</v>
      </c>
      <c r="CS238" s="301">
        <f>SUM(CS235:CS237)</f>
        <v>-335.68051655790595</v>
      </c>
      <c r="CT238" s="145"/>
      <c r="CU238" s="145"/>
      <c r="CV238" s="145"/>
      <c r="CW238" s="145"/>
      <c r="CX238" s="301">
        <f>SUM(CX235:CX237)</f>
        <v>-325.424464622784</v>
      </c>
      <c r="CY238" s="145"/>
      <c r="CZ238" s="145"/>
      <c r="DA238" s="145"/>
      <c r="DB238" s="145"/>
      <c r="DC238" s="301">
        <f>SUM(DC235:DC237)</f>
        <v>-300.69220531145254</v>
      </c>
      <c r="DD238" s="152"/>
      <c r="DE238" s="476"/>
      <c r="DJ238" s="413"/>
      <c r="DK238" s="411"/>
      <c r="DL238" s="786" t="s">
        <v>481</v>
      </c>
      <c r="DM238" s="411"/>
      <c r="DN238" s="411"/>
      <c r="DO238" s="411"/>
      <c r="DP238" s="411"/>
      <c r="DQ238" s="411"/>
      <c r="DR238" s="508"/>
      <c r="DS238" s="145"/>
    </row>
    <row r="239" spans="1:143" x14ac:dyDescent="0.2">
      <c r="A239" s="25" t="s">
        <v>183</v>
      </c>
      <c r="B239" s="853">
        <v>0</v>
      </c>
      <c r="C239" s="141"/>
      <c r="D239" s="141"/>
      <c r="E239" s="141"/>
      <c r="F239" s="141"/>
      <c r="G239" s="853">
        <v>0</v>
      </c>
      <c r="H239" s="141"/>
      <c r="I239" s="141"/>
      <c r="J239" s="141"/>
      <c r="K239" s="141"/>
      <c r="L239" s="853">
        <v>0</v>
      </c>
      <c r="M239" s="141"/>
      <c r="N239" s="141"/>
      <c r="O239" s="141"/>
      <c r="P239" s="141"/>
      <c r="Q239" s="853">
        <v>0</v>
      </c>
      <c r="R239" s="141"/>
      <c r="S239" s="141"/>
      <c r="T239" s="141"/>
      <c r="U239" s="141"/>
      <c r="V239" s="853">
        <v>0</v>
      </c>
      <c r="W239" s="141"/>
      <c r="X239" s="141"/>
      <c r="Y239" s="141"/>
      <c r="Z239" s="141"/>
      <c r="AA239" s="853">
        <v>0</v>
      </c>
      <c r="AB239" s="141"/>
      <c r="AC239" s="141"/>
      <c r="AD239" s="141"/>
      <c r="AE239" s="141"/>
      <c r="AF239" s="853">
        <v>0</v>
      </c>
      <c r="AG239" s="141"/>
      <c r="AH239" s="141"/>
      <c r="AI239" s="141"/>
      <c r="AJ239" s="141"/>
      <c r="AK239" s="300">
        <v>0</v>
      </c>
      <c r="AL239" s="141"/>
      <c r="AM239" s="141"/>
      <c r="AN239" s="141"/>
      <c r="AO239" s="141"/>
      <c r="AP239" s="300">
        <v>0</v>
      </c>
      <c r="AQ239" s="141"/>
      <c r="AR239" s="141"/>
      <c r="AS239" s="141"/>
      <c r="AT239" s="141"/>
      <c r="AU239" s="300">
        <v>0</v>
      </c>
      <c r="AV239" s="141"/>
      <c r="AW239" s="141"/>
      <c r="AX239" s="141"/>
      <c r="AY239" s="141"/>
      <c r="AZ239" s="330"/>
      <c r="BA239" s="141"/>
      <c r="BB239" s="141"/>
      <c r="BC239" s="141"/>
      <c r="BD239" s="141"/>
      <c r="BE239" s="330"/>
      <c r="BF239" s="141"/>
      <c r="BG239" s="141"/>
      <c r="BH239" s="141"/>
      <c r="BI239" s="141"/>
      <c r="BJ239" s="330"/>
      <c r="BK239" s="141"/>
      <c r="BL239" s="141"/>
      <c r="BM239" s="141"/>
      <c r="BN239" s="141"/>
      <c r="BO239" s="330"/>
      <c r="BP239" s="141"/>
      <c r="BQ239" s="141"/>
      <c r="BR239" s="141"/>
      <c r="BS239" s="141"/>
      <c r="BT239" s="330"/>
      <c r="BU239" s="141"/>
      <c r="BV239" s="141"/>
      <c r="BW239" s="141"/>
      <c r="BX239" s="141"/>
      <c r="BY239" s="330"/>
      <c r="BZ239" s="141"/>
      <c r="CA239" s="141"/>
      <c r="CB239" s="141"/>
      <c r="CC239" s="141"/>
      <c r="CD239" s="330"/>
      <c r="CE239" s="141"/>
      <c r="CF239" s="141"/>
      <c r="CG239" s="141"/>
      <c r="CH239" s="141"/>
      <c r="CI239" s="330"/>
      <c r="CJ239" s="141"/>
      <c r="CK239" s="141"/>
      <c r="CL239" s="141"/>
      <c r="CM239" s="141"/>
      <c r="CN239" s="330">
        <f>-CN226</f>
        <v>337.5</v>
      </c>
      <c r="CO239" s="141">
        <f>+$CS$239/4</f>
        <v>40.700000000000003</v>
      </c>
      <c r="CP239" s="141">
        <f>+$CS$239/4</f>
        <v>40.700000000000003</v>
      </c>
      <c r="CQ239" s="141">
        <f>+$CS$239/4</f>
        <v>40.700000000000003</v>
      </c>
      <c r="CR239" s="141">
        <f>+$CS$239/4</f>
        <v>40.700000000000003</v>
      </c>
      <c r="CS239" s="330">
        <f>-CS226</f>
        <v>162.80000000000001</v>
      </c>
      <c r="CT239" s="141"/>
      <c r="CU239" s="141"/>
      <c r="CV239" s="141"/>
      <c r="CW239" s="141"/>
      <c r="CX239" s="330">
        <f>-CX226</f>
        <v>200</v>
      </c>
      <c r="CY239" s="141"/>
      <c r="CZ239" s="141"/>
      <c r="DA239" s="141"/>
      <c r="DB239" s="141"/>
      <c r="DC239" s="330">
        <f>-DC226</f>
        <v>255</v>
      </c>
      <c r="DD239" s="132"/>
      <c r="DE239" s="471"/>
      <c r="DJ239" s="413"/>
      <c r="DK239" s="411"/>
      <c r="DL239" s="786" t="s">
        <v>483</v>
      </c>
      <c r="DM239" s="411"/>
      <c r="DN239" s="411"/>
      <c r="DO239" s="411"/>
      <c r="DP239" s="411"/>
      <c r="DQ239" s="411"/>
      <c r="DR239" s="508"/>
      <c r="DS239" s="141"/>
    </row>
    <row r="240" spans="1:143" x14ac:dyDescent="0.2">
      <c r="A240" s="25" t="s">
        <v>184</v>
      </c>
      <c r="B240" s="853">
        <v>0</v>
      </c>
      <c r="C240" s="141"/>
      <c r="D240" s="141"/>
      <c r="E240" s="141"/>
      <c r="F240" s="141"/>
      <c r="G240" s="853">
        <v>0</v>
      </c>
      <c r="H240" s="141"/>
      <c r="I240" s="141"/>
      <c r="J240" s="141"/>
      <c r="K240" s="141"/>
      <c r="L240" s="853">
        <v>0</v>
      </c>
      <c r="M240" s="141"/>
      <c r="N240" s="141"/>
      <c r="O240" s="141"/>
      <c r="P240" s="141"/>
      <c r="Q240" s="853">
        <v>0</v>
      </c>
      <c r="R240" s="141"/>
      <c r="S240" s="141"/>
      <c r="T240" s="141"/>
      <c r="U240" s="141"/>
      <c r="V240" s="853">
        <v>0</v>
      </c>
      <c r="W240" s="141"/>
      <c r="X240" s="141"/>
      <c r="Y240" s="141"/>
      <c r="Z240" s="141"/>
      <c r="AA240" s="853">
        <v>0</v>
      </c>
      <c r="AB240" s="141"/>
      <c r="AC240" s="141"/>
      <c r="AD240" s="141"/>
      <c r="AE240" s="141"/>
      <c r="AF240" s="853">
        <v>0</v>
      </c>
      <c r="AG240" s="141"/>
      <c r="AH240" s="141"/>
      <c r="AI240" s="141"/>
      <c r="AJ240" s="141"/>
      <c r="AK240" s="300">
        <v>0</v>
      </c>
      <c r="AL240" s="141"/>
      <c r="AM240" s="141"/>
      <c r="AN240" s="141"/>
      <c r="AO240" s="141"/>
      <c r="AP240" s="300">
        <v>0</v>
      </c>
      <c r="AQ240" s="141"/>
      <c r="AR240" s="141"/>
      <c r="AS240" s="141"/>
      <c r="AT240" s="141"/>
      <c r="AU240" s="300">
        <v>0</v>
      </c>
      <c r="AV240" s="141"/>
      <c r="AW240" s="141"/>
      <c r="AX240" s="141"/>
      <c r="AY240" s="141"/>
      <c r="AZ240" s="331"/>
      <c r="BA240" s="141"/>
      <c r="BB240" s="141"/>
      <c r="BC240" s="141"/>
      <c r="BD240" s="141"/>
      <c r="BE240" s="331"/>
      <c r="BF240" s="141"/>
      <c r="BG240" s="141"/>
      <c r="BH240" s="141"/>
      <c r="BI240" s="141"/>
      <c r="BJ240" s="331"/>
      <c r="BK240" s="141"/>
      <c r="BL240" s="141"/>
      <c r="BM240" s="141"/>
      <c r="BN240" s="141"/>
      <c r="BO240" s="331"/>
      <c r="BP240" s="141"/>
      <c r="BQ240" s="141"/>
      <c r="BR240" s="141"/>
      <c r="BS240" s="141"/>
      <c r="BT240" s="331"/>
      <c r="BU240" s="141"/>
      <c r="BV240" s="141"/>
      <c r="BW240" s="141"/>
      <c r="BX240" s="141"/>
      <c r="BY240" s="331"/>
      <c r="BZ240" s="141"/>
      <c r="CA240" s="141"/>
      <c r="CB240" s="141"/>
      <c r="CC240" s="141"/>
      <c r="CD240" s="331"/>
      <c r="CE240" s="141"/>
      <c r="CF240" s="141"/>
      <c r="CG240" s="141"/>
      <c r="CH240" s="141"/>
      <c r="CI240" s="331"/>
      <c r="CJ240" s="141"/>
      <c r="CK240" s="141"/>
      <c r="CL240" s="141"/>
      <c r="CM240" s="141"/>
      <c r="CN240" s="331">
        <f>-55+CJ242+CK242+CL242</f>
        <v>-193</v>
      </c>
      <c r="CO240" s="141">
        <f>+$CS$240/4</f>
        <v>-48.5</v>
      </c>
      <c r="CP240" s="141">
        <f>+$CS$240/4</f>
        <v>-48.5</v>
      </c>
      <c r="CQ240" s="141">
        <f>+$CS$240/4</f>
        <v>-48.5</v>
      </c>
      <c r="CR240" s="141">
        <f>+$CS$240/4</f>
        <v>-48.5</v>
      </c>
      <c r="CS240" s="331">
        <v>-194</v>
      </c>
      <c r="CT240" s="141"/>
      <c r="CU240" s="141"/>
      <c r="CV240" s="141"/>
      <c r="CW240" s="141"/>
      <c r="CX240" s="331">
        <f>-215-50</f>
        <v>-265</v>
      </c>
      <c r="CY240" s="141"/>
      <c r="CZ240" s="141"/>
      <c r="DA240" s="141"/>
      <c r="DB240" s="141"/>
      <c r="DC240" s="331">
        <f>-179-50</f>
        <v>-229</v>
      </c>
      <c r="DD240" s="132"/>
      <c r="DE240" s="471"/>
      <c r="DJ240" s="413"/>
      <c r="DK240" s="411"/>
      <c r="DL240" s="786" t="s">
        <v>482</v>
      </c>
      <c r="DM240" s="411"/>
      <c r="DN240" s="411"/>
      <c r="DO240" s="411"/>
      <c r="DP240" s="411"/>
      <c r="DQ240" s="411"/>
      <c r="DR240" s="508"/>
      <c r="DS240" s="141"/>
    </row>
    <row r="241" spans="1:131" x14ac:dyDescent="0.2">
      <c r="A241" s="25" t="s">
        <v>185</v>
      </c>
      <c r="B241" s="300"/>
      <c r="C241" s="141"/>
      <c r="D241" s="141"/>
      <c r="E241" s="141"/>
      <c r="F241" s="141"/>
      <c r="G241" s="300"/>
      <c r="H241" s="141"/>
      <c r="I241" s="141"/>
      <c r="J241" s="141"/>
      <c r="K241" s="141"/>
      <c r="L241" s="300"/>
      <c r="M241" s="141"/>
      <c r="N241" s="141"/>
      <c r="O241" s="141"/>
      <c r="P241" s="141"/>
      <c r="Q241" s="300"/>
      <c r="R241" s="141"/>
      <c r="S241" s="141"/>
      <c r="T241" s="141"/>
      <c r="U241" s="141"/>
      <c r="V241" s="300"/>
      <c r="W241" s="141"/>
      <c r="X241" s="141"/>
      <c r="Y241" s="141"/>
      <c r="Z241" s="141"/>
      <c r="AA241" s="300"/>
      <c r="AB241" s="141"/>
      <c r="AC241" s="141"/>
      <c r="AD241" s="141"/>
      <c r="AE241" s="141"/>
      <c r="AF241" s="300"/>
      <c r="AG241" s="141"/>
      <c r="AH241" s="141"/>
      <c r="AI241" s="141"/>
      <c r="AJ241" s="141"/>
      <c r="AK241" s="300"/>
      <c r="AL241" s="141"/>
      <c r="AM241" s="141"/>
      <c r="AN241" s="141"/>
      <c r="AO241" s="141"/>
      <c r="AP241" s="300"/>
      <c r="AQ241" s="141"/>
      <c r="AR241" s="141"/>
      <c r="AS241" s="141"/>
      <c r="AT241" s="141"/>
      <c r="AU241" s="300"/>
      <c r="AV241" s="141"/>
      <c r="AW241" s="141"/>
      <c r="AX241" s="141"/>
      <c r="AY241" s="141"/>
      <c r="AZ241" s="331"/>
      <c r="BA241" s="141"/>
      <c r="BB241" s="141"/>
      <c r="BC241" s="141"/>
      <c r="BD241" s="141"/>
      <c r="BE241" s="331"/>
      <c r="BF241" s="141"/>
      <c r="BG241" s="141"/>
      <c r="BH241" s="141"/>
      <c r="BI241" s="141"/>
      <c r="BJ241" s="331"/>
      <c r="BK241" s="141"/>
      <c r="BL241" s="141"/>
      <c r="BM241" s="141"/>
      <c r="BN241" s="141"/>
      <c r="BO241" s="331"/>
      <c r="BP241" s="141"/>
      <c r="BQ241" s="141"/>
      <c r="BR241" s="141"/>
      <c r="BS241" s="141"/>
      <c r="BT241" s="331"/>
      <c r="BU241" s="141"/>
      <c r="BV241" s="141"/>
      <c r="BW241" s="141"/>
      <c r="BX241" s="141"/>
      <c r="BY241" s="331"/>
      <c r="BZ241" s="141"/>
      <c r="CA241" s="141"/>
      <c r="CB241" s="141"/>
      <c r="CC241" s="141"/>
      <c r="CD241" s="331"/>
      <c r="CE241" s="141"/>
      <c r="CF241" s="141"/>
      <c r="CG241" s="141"/>
      <c r="CH241" s="141"/>
      <c r="CI241" s="331"/>
      <c r="CJ241" s="141"/>
      <c r="CK241" s="141"/>
      <c r="CL241" s="141"/>
      <c r="CM241" s="141"/>
      <c r="CN241" s="331">
        <v>0</v>
      </c>
      <c r="CO241" s="153">
        <v>0</v>
      </c>
      <c r="CP241" s="153">
        <v>0</v>
      </c>
      <c r="CQ241" s="153">
        <v>0</v>
      </c>
      <c r="CR241" s="153">
        <v>0</v>
      </c>
      <c r="CS241" s="331">
        <v>0</v>
      </c>
      <c r="CT241" s="141"/>
      <c r="CU241" s="141"/>
      <c r="CV241" s="141"/>
      <c r="CW241" s="141"/>
      <c r="CX241" s="331">
        <v>0</v>
      </c>
      <c r="CY241" s="141"/>
      <c r="CZ241" s="141"/>
      <c r="DA241" s="141"/>
      <c r="DB241" s="141"/>
      <c r="DC241" s="331">
        <v>0</v>
      </c>
      <c r="DD241" s="132"/>
      <c r="DE241" s="471"/>
      <c r="DJ241" s="413" t="s">
        <v>489</v>
      </c>
      <c r="DK241" s="413"/>
      <c r="DL241" s="411"/>
      <c r="DM241" s="411"/>
      <c r="DN241" s="411"/>
      <c r="DO241" s="411"/>
      <c r="DP241" s="411"/>
      <c r="DQ241" s="411"/>
      <c r="DR241" s="508"/>
      <c r="DS241" s="141"/>
    </row>
    <row r="242" spans="1:131" x14ac:dyDescent="0.2">
      <c r="A242" s="237" t="s">
        <v>186</v>
      </c>
      <c r="B242" s="855">
        <v>80.671000000000006</v>
      </c>
      <c r="C242" s="145"/>
      <c r="D242" s="145"/>
      <c r="E242" s="145"/>
      <c r="F242" s="145"/>
      <c r="G242" s="855">
        <f>51.322+137.75+15.138-18.577-0</f>
        <v>185.63300000000001</v>
      </c>
      <c r="H242" s="145"/>
      <c r="I242" s="145"/>
      <c r="J242" s="145"/>
      <c r="K242" s="145"/>
      <c r="L242" s="855">
        <f>29.731+185+28.781-35.254-15.138</f>
        <v>193.12</v>
      </c>
      <c r="M242" s="835"/>
      <c r="N242" s="835"/>
      <c r="O242" s="835"/>
      <c r="P242" s="835"/>
      <c r="Q242" s="855">
        <f>416+27.098+0.389-71.398-34.2</f>
        <v>337.88900000000007</v>
      </c>
      <c r="R242" s="835"/>
      <c r="S242" s="835"/>
      <c r="T242" s="835"/>
      <c r="U242" s="835"/>
      <c r="V242" s="855">
        <f>445.5+32.688-57.041-24.483</f>
        <v>396.66399999999999</v>
      </c>
      <c r="W242" s="835"/>
      <c r="X242" s="835"/>
      <c r="Y242" s="835"/>
      <c r="Z242" s="835"/>
      <c r="AA242" s="855">
        <f>499.004+43.578+-76.481-29.884</f>
        <v>436.21699999999998</v>
      </c>
      <c r="AB242" s="835"/>
      <c r="AC242" s="835"/>
      <c r="AD242" s="835"/>
      <c r="AE242" s="835"/>
      <c r="AF242" s="855">
        <f>872+152+68-117-47</f>
        <v>928</v>
      </c>
      <c r="AG242" s="835">
        <v>157</v>
      </c>
      <c r="AH242" s="835">
        <v>368</v>
      </c>
      <c r="AI242" s="835">
        <v>146</v>
      </c>
      <c r="AJ242" s="835">
        <v>353</v>
      </c>
      <c r="AK242" s="301">
        <f>855+406+45+179-390-71</f>
        <v>1024</v>
      </c>
      <c r="AL242" s="835">
        <v>226</v>
      </c>
      <c r="AM242" s="835">
        <v>173</v>
      </c>
      <c r="AN242" s="835">
        <v>118</v>
      </c>
      <c r="AO242" s="835">
        <v>23</v>
      </c>
      <c r="AP242" s="301">
        <f>376+183+48+242-265-44</f>
        <v>540</v>
      </c>
      <c r="AQ242" s="835">
        <v>116</v>
      </c>
      <c r="AR242" s="835">
        <v>236</v>
      </c>
      <c r="AS242" s="835">
        <v>-154</v>
      </c>
      <c r="AT242" s="835">
        <v>137</v>
      </c>
      <c r="AU242" s="301">
        <f>716+26+17+163+138-673-52</f>
        <v>335</v>
      </c>
      <c r="AV242" s="835">
        <v>94</v>
      </c>
      <c r="AW242" s="835">
        <f>446+13-77-120-AV242</f>
        <v>168</v>
      </c>
      <c r="AX242" s="835">
        <f>446+43-130-120-AW242-AV242</f>
        <v>-23</v>
      </c>
      <c r="AY242" s="835">
        <f>446+10-180-20-AX242-AW242-AV242</f>
        <v>17</v>
      </c>
      <c r="AZ242" s="301">
        <f>SUM(AV242:AY242)</f>
        <v>256</v>
      </c>
      <c r="BA242" s="835">
        <f>20+-194+-13</f>
        <v>-187</v>
      </c>
      <c r="BB242" s="835">
        <f>66+20-239-37-BA242</f>
        <v>-3</v>
      </c>
      <c r="BC242" s="835">
        <f>93+20-279-76-BB242-BA242</f>
        <v>-52</v>
      </c>
      <c r="BD242" s="835">
        <f>116-333-76+20-BC242-BB242-BA242</f>
        <v>-31</v>
      </c>
      <c r="BE242" s="301">
        <f>SUM(BA242:BD242)</f>
        <v>-273</v>
      </c>
      <c r="BF242" s="835">
        <f>86-42</f>
        <v>44</v>
      </c>
      <c r="BG242" s="835">
        <f>141-92-BF242</f>
        <v>5</v>
      </c>
      <c r="BH242" s="835">
        <f>190-173-BG242-BF242</f>
        <v>-32</v>
      </c>
      <c r="BI242" s="835">
        <f>BJ242-BH242-BG242-BF242</f>
        <v>78</v>
      </c>
      <c r="BJ242" s="301">
        <f>245+128-238-40</f>
        <v>95</v>
      </c>
      <c r="BK242" s="835">
        <f>-47-88</f>
        <v>-135</v>
      </c>
      <c r="BL242" s="835">
        <f>108-266-88-BK242</f>
        <v>-111</v>
      </c>
      <c r="BM242" s="835">
        <f>131+175-311-211-BL242-BK242</f>
        <v>30</v>
      </c>
      <c r="BN242" s="835">
        <f>215+375-418-463-BM242-BL242-BK242</f>
        <v>-75</v>
      </c>
      <c r="BO242" s="301">
        <f>SUM(BK242:BN242)</f>
        <v>-291</v>
      </c>
      <c r="BP242" s="835">
        <f>24+190-52-190</f>
        <v>-28</v>
      </c>
      <c r="BQ242" s="835">
        <f>163+190-199-190-BP242</f>
        <v>-8</v>
      </c>
      <c r="BR242" s="835">
        <f>254+190-270-190-BQ242-BP242</f>
        <v>20</v>
      </c>
      <c r="BS242" s="835">
        <f>393+190-612-190-BR242-BQ242-BP242</f>
        <v>-203</v>
      </c>
      <c r="BT242" s="301">
        <f>SUM(BP242:BS242)</f>
        <v>-219</v>
      </c>
      <c r="BU242" s="835">
        <f>248-237</f>
        <v>11</v>
      </c>
      <c r="BV242" s="835">
        <f>307-587-BU242</f>
        <v>-291</v>
      </c>
      <c r="BW242" s="835">
        <f>342-648-BV242-BU242</f>
        <v>-26</v>
      </c>
      <c r="BX242" s="835">
        <f>342-702-SUM(BU242:BW242)</f>
        <v>-54</v>
      </c>
      <c r="BY242" s="301">
        <f>SUM(BU242:BX242)</f>
        <v>-360</v>
      </c>
      <c r="BZ242" s="835">
        <v>-55</v>
      </c>
      <c r="CA242" s="835">
        <f>-178-BZ242</f>
        <v>-123</v>
      </c>
      <c r="CB242" s="835">
        <f>-232-CA242-BZ242</f>
        <v>-54</v>
      </c>
      <c r="CC242" s="835">
        <f>-328-CB242-CA242-BZ242</f>
        <v>-96</v>
      </c>
      <c r="CD242" s="301">
        <f>SUM(BZ242:CC242)</f>
        <v>-328</v>
      </c>
      <c r="CE242" s="835">
        <v>-51</v>
      </c>
      <c r="CF242" s="835">
        <f>-87-CE242</f>
        <v>-36</v>
      </c>
      <c r="CG242" s="835">
        <f>-148-CF242-CE242</f>
        <v>-61</v>
      </c>
      <c r="CH242" s="835">
        <f>-368-CG242-CF242-CE242</f>
        <v>-220</v>
      </c>
      <c r="CI242" s="301">
        <f>SUM(CE242:CH242)</f>
        <v>-368</v>
      </c>
      <c r="CJ242" s="835">
        <v>-49</v>
      </c>
      <c r="CK242" s="835">
        <f>-84-CJ242</f>
        <v>-35</v>
      </c>
      <c r="CL242" s="835">
        <f>-138-CK242-CJ242</f>
        <v>-54</v>
      </c>
      <c r="CM242" s="152">
        <f>+CN242-SUM(CJ242:CL242)</f>
        <v>282.5</v>
      </c>
      <c r="CN242" s="301">
        <f>SUM(CN239:CN241)</f>
        <v>144.5</v>
      </c>
      <c r="CO242" s="152">
        <f t="shared" ref="CO242:CR242" si="862">SUM(CO239:CO241)</f>
        <v>-7.7999999999999972</v>
      </c>
      <c r="CP242" s="152">
        <f t="shared" si="862"/>
        <v>-7.7999999999999972</v>
      </c>
      <c r="CQ242" s="152">
        <f t="shared" si="862"/>
        <v>-7.7999999999999972</v>
      </c>
      <c r="CR242" s="152">
        <f t="shared" si="862"/>
        <v>-7.7999999999999972</v>
      </c>
      <c r="CS242" s="301">
        <f>SUM(CS239:CS241)</f>
        <v>-31.199999999999989</v>
      </c>
      <c r="CT242" s="145"/>
      <c r="CU242" s="151"/>
      <c r="CV242" s="151"/>
      <c r="CW242" s="151"/>
      <c r="CX242" s="301">
        <f>SUM(CX239:CX241)</f>
        <v>-65</v>
      </c>
      <c r="CY242" s="145"/>
      <c r="CZ242" s="151"/>
      <c r="DA242" s="151"/>
      <c r="DB242" s="151"/>
      <c r="DC242" s="301">
        <f>SUM(DC239:DC241)</f>
        <v>26</v>
      </c>
      <c r="DD242" s="152"/>
      <c r="DE242" s="476"/>
      <c r="DJ242" s="413"/>
      <c r="DL242" s="411"/>
      <c r="DM242" s="411"/>
      <c r="DN242" s="411"/>
      <c r="DO242" s="411"/>
      <c r="DP242" s="411"/>
      <c r="DQ242" s="411"/>
      <c r="DR242" s="508"/>
      <c r="DS242" s="145"/>
    </row>
    <row r="243" spans="1:131" x14ac:dyDescent="0.2">
      <c r="A243" s="150" t="s">
        <v>187</v>
      </c>
      <c r="B243" s="855">
        <v>0</v>
      </c>
      <c r="C243" s="152"/>
      <c r="D243" s="152"/>
      <c r="E243" s="152"/>
      <c r="F243" s="152"/>
      <c r="G243" s="855">
        <f>70-1.3</f>
        <v>68.7</v>
      </c>
      <c r="H243" s="152"/>
      <c r="I243" s="152"/>
      <c r="J243" s="152"/>
      <c r="K243" s="152"/>
      <c r="L243" s="855">
        <f>72-3.45</f>
        <v>68.55</v>
      </c>
      <c r="M243" s="152"/>
      <c r="N243" s="152"/>
      <c r="O243" s="152"/>
      <c r="P243" s="152"/>
      <c r="Q243" s="855">
        <f>150-4.689</f>
        <v>145.31100000000001</v>
      </c>
      <c r="R243" s="152"/>
      <c r="S243" s="152"/>
      <c r="T243" s="152"/>
      <c r="U243" s="152"/>
      <c r="V243" s="855">
        <f>265.2-8.75</f>
        <v>256.45</v>
      </c>
      <c r="W243" s="152"/>
      <c r="X243" s="152"/>
      <c r="Y243" s="152"/>
      <c r="Z243" s="152"/>
      <c r="AA243" s="855">
        <v>-19.114999999999998</v>
      </c>
      <c r="AB243" s="152"/>
      <c r="AC243" s="152"/>
      <c r="AD243" s="152"/>
      <c r="AE243" s="152"/>
      <c r="AF243" s="855">
        <v>-13</v>
      </c>
      <c r="AG243" s="152">
        <f>AG244-AG242-AG238</f>
        <v>3</v>
      </c>
      <c r="AH243" s="152">
        <f>AH244-AH242-AH238</f>
        <v>-5</v>
      </c>
      <c r="AI243" s="152">
        <f>AI244-AI242-AI238</f>
        <v>-2</v>
      </c>
      <c r="AJ243" s="152">
        <f>AJ244-AJ242-AJ238</f>
        <v>-11</v>
      </c>
      <c r="AK243" s="301">
        <v>-15</v>
      </c>
      <c r="AL243" s="152">
        <f>AL244-AL242-AL238</f>
        <v>-3</v>
      </c>
      <c r="AM243" s="152">
        <f>AM244-AM242-AM238</f>
        <v>-2</v>
      </c>
      <c r="AN243" s="152">
        <f>AN244-AN242-AN238</f>
        <v>0</v>
      </c>
      <c r="AO243" s="152">
        <f>AO244-AO242-AO238</f>
        <v>-5</v>
      </c>
      <c r="AP243" s="301">
        <v>-10</v>
      </c>
      <c r="AQ243" s="152">
        <f>AQ244-AQ242-AQ238</f>
        <v>-9</v>
      </c>
      <c r="AR243" s="152">
        <f>AR244-AR242-AR238</f>
        <v>-9</v>
      </c>
      <c r="AS243" s="152">
        <f>AS244-AS242-AS238</f>
        <v>-4</v>
      </c>
      <c r="AT243" s="152">
        <f>AT244-AT242-AT238</f>
        <v>2</v>
      </c>
      <c r="AU243" s="301">
        <v>-20</v>
      </c>
      <c r="AV243" s="152">
        <f>AV244-AV242-AV238</f>
        <v>1</v>
      </c>
      <c r="AW243" s="152">
        <f>AW244-AW242-AW238</f>
        <v>11</v>
      </c>
      <c r="AX243" s="152">
        <f>AX244-AX242-AX238</f>
        <v>-13</v>
      </c>
      <c r="AY243" s="152">
        <f>AY244-AY242-AY238</f>
        <v>-69</v>
      </c>
      <c r="AZ243" s="301">
        <f>SUM(AV243:AY243)</f>
        <v>-70</v>
      </c>
      <c r="BA243" s="152">
        <f>BA244-BA242-BA238</f>
        <v>2</v>
      </c>
      <c r="BB243" s="152">
        <f>BB244-BB242-BB238</f>
        <v>4</v>
      </c>
      <c r="BC243" s="152">
        <f>BC244-BC242-BC238</f>
        <v>2</v>
      </c>
      <c r="BD243" s="152">
        <f>BD244-BD242-BD238</f>
        <v>-2</v>
      </c>
      <c r="BE243" s="301">
        <f>SUM(BA243:BD243)</f>
        <v>6</v>
      </c>
      <c r="BF243" s="152">
        <f>BF244-BF242-BF238</f>
        <v>-5</v>
      </c>
      <c r="BG243" s="152">
        <f>BG244-BG242-BG238</f>
        <v>-6</v>
      </c>
      <c r="BH243" s="152">
        <f>BH244-BH242-BH238</f>
        <v>1</v>
      </c>
      <c r="BI243" s="152">
        <f>BI244-BI242-BI238</f>
        <v>1</v>
      </c>
      <c r="BJ243" s="301">
        <f>SUM(BF243:BI243)</f>
        <v>-9</v>
      </c>
      <c r="BK243" s="152">
        <f>BK244-BK242-BK238</f>
        <v>-9</v>
      </c>
      <c r="BL243" s="152">
        <f>BL244-BL242-BL238</f>
        <v>1</v>
      </c>
      <c r="BM243" s="152">
        <f>BM244-BM242-BM238</f>
        <v>-6</v>
      </c>
      <c r="BN243" s="152">
        <f>BN244-BN242-BN238</f>
        <v>-26</v>
      </c>
      <c r="BO243" s="301">
        <f>SUM(BK243:BN243)</f>
        <v>-40</v>
      </c>
      <c r="BP243" s="152">
        <f>BP244-BP242-BP238</f>
        <v>-11</v>
      </c>
      <c r="BQ243" s="152">
        <f>BQ244-BQ242-BQ238</f>
        <v>-7</v>
      </c>
      <c r="BR243" s="152">
        <f>BR244-BR242-BR238</f>
        <v>-4</v>
      </c>
      <c r="BS243" s="152">
        <f>BS244-BS242-BS238</f>
        <v>-8</v>
      </c>
      <c r="BT243" s="301">
        <f>SUM(BP243:BS243)</f>
        <v>-30</v>
      </c>
      <c r="BU243" s="152">
        <f>BU244-BU242-BU238</f>
        <v>-11</v>
      </c>
      <c r="BV243" s="152">
        <f>BV244-BV242-BV238</f>
        <v>-79</v>
      </c>
      <c r="BW243" s="152">
        <f>BW244-BW242-BW238</f>
        <v>-4</v>
      </c>
      <c r="BX243" s="152">
        <f>BX244-BX242-BX238</f>
        <v>-4</v>
      </c>
      <c r="BY243" s="301">
        <f>SUM(BU243:BX243)</f>
        <v>-98</v>
      </c>
      <c r="BZ243" s="152">
        <f>BZ244-BZ242-BZ238</f>
        <v>22</v>
      </c>
      <c r="CA243" s="152">
        <f>CA244-CA242-CA238</f>
        <v>-17</v>
      </c>
      <c r="CB243" s="152">
        <f>CB244-CB242-CB238</f>
        <v>-5</v>
      </c>
      <c r="CC243" s="152">
        <f>CC244-CC242-CC238</f>
        <v>-2</v>
      </c>
      <c r="CD243" s="301">
        <f>SUM(BZ243:CC243)</f>
        <v>-2</v>
      </c>
      <c r="CE243" s="152">
        <f>CE244-CE242-CE238</f>
        <v>6</v>
      </c>
      <c r="CF243" s="152">
        <f>CF244-CF242-CF238</f>
        <v>-1</v>
      </c>
      <c r="CG243" s="152">
        <f>CG244-CG242-CG238</f>
        <v>-1</v>
      </c>
      <c r="CH243" s="152">
        <f>CH244-CH242-CH238</f>
        <v>-19</v>
      </c>
      <c r="CI243" s="301">
        <f>SUM(CE243:CH243)</f>
        <v>-15</v>
      </c>
      <c r="CJ243" s="152">
        <f>CJ244-CJ242-CJ238</f>
        <v>-4</v>
      </c>
      <c r="CK243" s="152">
        <f>CK244-CK242-CK238</f>
        <v>-4</v>
      </c>
      <c r="CL243" s="152">
        <f>CL244-CL242-CL238</f>
        <v>-4</v>
      </c>
      <c r="CM243" s="151">
        <v>0</v>
      </c>
      <c r="CN243" s="301">
        <f>SUM(CJ243:CM243)</f>
        <v>-12</v>
      </c>
      <c r="CO243" s="151">
        <v>0</v>
      </c>
      <c r="CP243" s="151">
        <v>0</v>
      </c>
      <c r="CQ243" s="151">
        <v>0</v>
      </c>
      <c r="CR243" s="151">
        <v>0</v>
      </c>
      <c r="CS243" s="301">
        <f>SUM(CO243:CR243)</f>
        <v>0</v>
      </c>
      <c r="CT243" s="152"/>
      <c r="CU243" s="151"/>
      <c r="CV243" s="151"/>
      <c r="CW243" s="151"/>
      <c r="CX243" s="427">
        <v>0</v>
      </c>
      <c r="CY243" s="152"/>
      <c r="CZ243" s="151"/>
      <c r="DA243" s="151"/>
      <c r="DB243" s="151"/>
      <c r="DC243" s="427">
        <v>0</v>
      </c>
      <c r="DD243" s="152"/>
      <c r="DE243" s="476"/>
      <c r="DJ243" s="413"/>
      <c r="DK243" s="413"/>
      <c r="DL243" s="411"/>
      <c r="DM243" s="411"/>
      <c r="DN243" s="411"/>
      <c r="DO243" s="411"/>
      <c r="DP243" s="411"/>
      <c r="DQ243" s="411"/>
      <c r="DR243" s="508"/>
      <c r="DS243" s="152"/>
    </row>
    <row r="244" spans="1:131" x14ac:dyDescent="0.2">
      <c r="A244" s="219" t="s">
        <v>262</v>
      </c>
      <c r="B244" s="303">
        <f>B243+B242+B238</f>
        <v>80.740000000000009</v>
      </c>
      <c r="C244" s="224"/>
      <c r="D244" s="224"/>
      <c r="E244" s="224"/>
      <c r="F244" s="224"/>
      <c r="G244" s="303">
        <f>G243+G242+G238</f>
        <v>254.46300000000002</v>
      </c>
      <c r="H244" s="224"/>
      <c r="I244" s="224"/>
      <c r="J244" s="224"/>
      <c r="K244" s="224"/>
      <c r="L244" s="303">
        <f>L243+L242+L238</f>
        <v>261.69499999999999</v>
      </c>
      <c r="M244" s="834"/>
      <c r="N244" s="834"/>
      <c r="O244" s="834"/>
      <c r="P244" s="834"/>
      <c r="Q244" s="303">
        <f>Q243+Q242+Q238</f>
        <v>657.21400000000006</v>
      </c>
      <c r="R244" s="834"/>
      <c r="S244" s="834"/>
      <c r="T244" s="834"/>
      <c r="U244" s="834"/>
      <c r="V244" s="303">
        <f>V243+V242+V238</f>
        <v>789.13599999999997</v>
      </c>
      <c r="W244" s="834"/>
      <c r="X244" s="834"/>
      <c r="Y244" s="834"/>
      <c r="Z244" s="834"/>
      <c r="AA244" s="303">
        <f>AA243+AA242+AA238</f>
        <v>437.25</v>
      </c>
      <c r="AB244" s="834"/>
      <c r="AC244" s="834"/>
      <c r="AD244" s="834"/>
      <c r="AE244" s="834"/>
      <c r="AF244" s="303">
        <f>AF243+AF242+AF238</f>
        <v>1093</v>
      </c>
      <c r="AG244" s="834">
        <v>162</v>
      </c>
      <c r="AH244" s="834">
        <v>373</v>
      </c>
      <c r="AI244" s="834">
        <v>145</v>
      </c>
      <c r="AJ244" s="834">
        <v>357</v>
      </c>
      <c r="AK244" s="303">
        <f>AK243+AK242+AK238</f>
        <v>1037</v>
      </c>
      <c r="AL244" s="834">
        <v>229</v>
      </c>
      <c r="AM244" s="834">
        <v>181</v>
      </c>
      <c r="AN244" s="834">
        <v>118</v>
      </c>
      <c r="AO244" s="834">
        <v>28</v>
      </c>
      <c r="AP244" s="303">
        <f>AP243+AP242+AP238</f>
        <v>556</v>
      </c>
      <c r="AQ244" s="834">
        <v>417</v>
      </c>
      <c r="AR244" s="834">
        <v>233</v>
      </c>
      <c r="AS244" s="834">
        <v>-157</v>
      </c>
      <c r="AT244" s="834">
        <v>142</v>
      </c>
      <c r="AU244" s="303">
        <f>AU243+AU242+AU238</f>
        <v>635</v>
      </c>
      <c r="AV244" s="834">
        <v>95</v>
      </c>
      <c r="AW244" s="834">
        <f>390-AV244</f>
        <v>295</v>
      </c>
      <c r="AX244" s="834">
        <f>354-AW244-AV244</f>
        <v>-36</v>
      </c>
      <c r="AY244" s="834">
        <f>306-AX244-AW244-AV244</f>
        <v>-48</v>
      </c>
      <c r="AZ244" s="303">
        <f>AZ243+AZ242+AZ237+AZ236+AZ235</f>
        <v>306</v>
      </c>
      <c r="BA244" s="834">
        <v>-184</v>
      </c>
      <c r="BB244" s="834">
        <f>-179-BA244</f>
        <v>5</v>
      </c>
      <c r="BC244" s="834">
        <f>-229-BB244-BA244</f>
        <v>-50</v>
      </c>
      <c r="BD244" s="834">
        <f>-258-BC244-BB244-BA244</f>
        <v>-29</v>
      </c>
      <c r="BE244" s="303">
        <f>BE243+BE242+BE237+BE236+BE235</f>
        <v>-258</v>
      </c>
      <c r="BF244" s="834">
        <v>39</v>
      </c>
      <c r="BG244" s="834">
        <f>43-BF244</f>
        <v>4</v>
      </c>
      <c r="BH244" s="834">
        <f>12-BG244-BF244</f>
        <v>-31</v>
      </c>
      <c r="BI244" s="834">
        <v>84</v>
      </c>
      <c r="BJ244" s="303">
        <f>BJ243+BJ242+BJ237+BJ236+BJ235</f>
        <v>96</v>
      </c>
      <c r="BK244" s="834">
        <v>-142</v>
      </c>
      <c r="BL244" s="834">
        <f>-248-BK244</f>
        <v>-106</v>
      </c>
      <c r="BM244" s="834">
        <f>-224-BL244-BK244</f>
        <v>24</v>
      </c>
      <c r="BN244" s="834">
        <f>-322-BM244-BL244-BK244</f>
        <v>-98</v>
      </c>
      <c r="BO244" s="303">
        <f>BO243+BO242+BO237+BO236+BO235</f>
        <v>-322</v>
      </c>
      <c r="BP244" s="834">
        <v>-39</v>
      </c>
      <c r="BQ244" s="834">
        <f>-50-BP244</f>
        <v>-11</v>
      </c>
      <c r="BR244" s="834">
        <f>-34-BQ244-BP244</f>
        <v>16</v>
      </c>
      <c r="BS244" s="834">
        <f>-239-BR244-BQ244-BP244</f>
        <v>-205</v>
      </c>
      <c r="BT244" s="303">
        <f>BT243+BT242+BT237+BT236+BT235</f>
        <v>-239</v>
      </c>
      <c r="BU244" s="834">
        <v>0</v>
      </c>
      <c r="BV244" s="834">
        <f>-361-BU244</f>
        <v>-361</v>
      </c>
      <c r="BW244" s="834">
        <f>-387-BV244-BU244</f>
        <v>-26</v>
      </c>
      <c r="BX244" s="834">
        <f>-417-SUM(BU244:BW244)</f>
        <v>-30</v>
      </c>
      <c r="BY244" s="303">
        <f>BY243+BY242+BY237+BY236+BY235</f>
        <v>-417</v>
      </c>
      <c r="BZ244" s="834">
        <v>-33</v>
      </c>
      <c r="CA244" s="834">
        <f>-279-BZ244</f>
        <v>-246</v>
      </c>
      <c r="CB244" s="834">
        <f>-328-CA244-BZ244</f>
        <v>-49</v>
      </c>
      <c r="CC244" s="834">
        <f>-487-CB244-CA244-BZ244</f>
        <v>-159</v>
      </c>
      <c r="CD244" s="303">
        <f t="shared" ref="CD244:CM244" si="863">CD243+CD242+CD237+CD236+CD235</f>
        <v>-487</v>
      </c>
      <c r="CE244" s="834">
        <v>-56</v>
      </c>
      <c r="CF244" s="834">
        <f>-71-CE244</f>
        <v>-15</v>
      </c>
      <c r="CG244" s="834">
        <f>-132-CF244-CE244</f>
        <v>-61</v>
      </c>
      <c r="CH244" s="834">
        <f>-472-CG244-CF244-CE244</f>
        <v>-340</v>
      </c>
      <c r="CI244" s="303">
        <f t="shared" si="863"/>
        <v>-472</v>
      </c>
      <c r="CJ244" s="834">
        <v>-160</v>
      </c>
      <c r="CK244" s="834">
        <f>-324-CJ244</f>
        <v>-164</v>
      </c>
      <c r="CL244" s="834">
        <f>-512-CK244-CJ244</f>
        <v>-188</v>
      </c>
      <c r="CM244" s="224">
        <f t="shared" si="863"/>
        <v>282.5</v>
      </c>
      <c r="CN244" s="303">
        <f>CN243+CN242+CN237+CN236+CN235</f>
        <v>-229.5</v>
      </c>
      <c r="CO244" s="224">
        <f t="shared" ref="CO244:CR244" si="864">CO243+CO242+CO237+CO236+CO235</f>
        <v>-90.043581955649984</v>
      </c>
      <c r="CP244" s="224">
        <f t="shared" si="864"/>
        <v>-91.151300200115131</v>
      </c>
      <c r="CQ244" s="224">
        <f t="shared" si="864"/>
        <v>-92.273938024685435</v>
      </c>
      <c r="CR244" s="224">
        <f t="shared" si="864"/>
        <v>-93.411696377455399</v>
      </c>
      <c r="CS244" s="303">
        <f>CS243+CS242+CS237+CS236+CS235</f>
        <v>-366.88051655790593</v>
      </c>
      <c r="CT244" s="224"/>
      <c r="CU244" s="224"/>
      <c r="CV244" s="224"/>
      <c r="CW244" s="224"/>
      <c r="CX244" s="303">
        <f>CX243+CX242+CX237+CX236+CX235</f>
        <v>-390.424464622784</v>
      </c>
      <c r="CY244" s="224"/>
      <c r="CZ244" s="224"/>
      <c r="DA244" s="224"/>
      <c r="DB244" s="224"/>
      <c r="DC244" s="303">
        <f>DC243+DC242+DC237+DC236+DC235</f>
        <v>-274.69220531145254</v>
      </c>
      <c r="DD244" s="152"/>
      <c r="DE244" s="476"/>
      <c r="DJ244" s="413"/>
      <c r="DK244" s="413"/>
      <c r="DL244" s="411"/>
      <c r="DM244" s="411"/>
      <c r="DN244" s="411"/>
      <c r="DO244" s="411"/>
      <c r="DP244" s="411"/>
      <c r="DQ244" s="411"/>
      <c r="DR244" s="508"/>
      <c r="DS244" s="528"/>
      <c r="DZ244" s="225"/>
      <c r="EA244" s="225"/>
    </row>
    <row r="245" spans="1:131" x14ac:dyDescent="0.2">
      <c r="A245" s="220" t="s">
        <v>263</v>
      </c>
      <c r="B245" s="300">
        <f>B244+B233+B223</f>
        <v>6.0470000000000104</v>
      </c>
      <c r="C245" s="141"/>
      <c r="D245" s="141"/>
      <c r="E245" s="141"/>
      <c r="F245" s="141"/>
      <c r="G245" s="300">
        <f>G244+G233+G223</f>
        <v>16.157000000000053</v>
      </c>
      <c r="H245" s="141"/>
      <c r="I245" s="141"/>
      <c r="J245" s="141"/>
      <c r="K245" s="141"/>
      <c r="L245" s="300">
        <f>L244+L233+L223</f>
        <v>83.118999999999971</v>
      </c>
      <c r="M245" s="141"/>
      <c r="N245" s="141"/>
      <c r="O245" s="141"/>
      <c r="P245" s="141"/>
      <c r="Q245" s="300">
        <f>Q244+Q233+Q223</f>
        <v>-103.12000000000009</v>
      </c>
      <c r="R245" s="141"/>
      <c r="S245" s="141"/>
      <c r="T245" s="141"/>
      <c r="U245" s="141"/>
      <c r="V245" s="300">
        <f>V244+V233+V223</f>
        <v>88.393000000000029</v>
      </c>
      <c r="W245" s="141"/>
      <c r="X245" s="141"/>
      <c r="Y245" s="141"/>
      <c r="Z245" s="141"/>
      <c r="AA245" s="300">
        <f>AA244+AA233+AA223</f>
        <v>-84.07800000000006</v>
      </c>
      <c r="AB245" s="141"/>
      <c r="AC245" s="141"/>
      <c r="AD245" s="141"/>
      <c r="AE245" s="141"/>
      <c r="AF245" s="300">
        <f t="shared" ref="AF245:BR245" si="865">AF244+AF233+AF223</f>
        <v>-13</v>
      </c>
      <c r="AG245" s="141">
        <f t="shared" si="865"/>
        <v>-4</v>
      </c>
      <c r="AH245" s="141">
        <f t="shared" si="865"/>
        <v>4</v>
      </c>
      <c r="AI245" s="141">
        <f t="shared" si="865"/>
        <v>2</v>
      </c>
      <c r="AJ245" s="141">
        <f t="shared" si="865"/>
        <v>2</v>
      </c>
      <c r="AK245" s="300">
        <f t="shared" si="865"/>
        <v>4</v>
      </c>
      <c r="AL245" s="141">
        <f t="shared" si="865"/>
        <v>46</v>
      </c>
      <c r="AM245" s="141">
        <f t="shared" si="865"/>
        <v>142</v>
      </c>
      <c r="AN245" s="141">
        <f t="shared" si="865"/>
        <v>37</v>
      </c>
      <c r="AO245" s="141">
        <f t="shared" si="865"/>
        <v>-45</v>
      </c>
      <c r="AP245" s="300">
        <f t="shared" si="865"/>
        <v>180</v>
      </c>
      <c r="AQ245" s="141">
        <f t="shared" si="865"/>
        <v>523</v>
      </c>
      <c r="AR245" s="141">
        <f t="shared" si="865"/>
        <v>133</v>
      </c>
      <c r="AS245" s="141">
        <f t="shared" si="865"/>
        <v>-281</v>
      </c>
      <c r="AT245" s="141">
        <f t="shared" si="865"/>
        <v>-4</v>
      </c>
      <c r="AU245" s="300">
        <f t="shared" si="865"/>
        <v>371</v>
      </c>
      <c r="AV245" s="141">
        <f t="shared" si="865"/>
        <v>73</v>
      </c>
      <c r="AW245" s="141">
        <f t="shared" si="865"/>
        <v>246</v>
      </c>
      <c r="AX245" s="141">
        <f t="shared" si="865"/>
        <v>71</v>
      </c>
      <c r="AY245" s="141">
        <f t="shared" si="865"/>
        <v>-55</v>
      </c>
      <c r="AZ245" s="300">
        <f t="shared" si="865"/>
        <v>335</v>
      </c>
      <c r="BA245" s="141">
        <f t="shared" si="865"/>
        <v>-67</v>
      </c>
      <c r="BB245" s="141">
        <f t="shared" si="865"/>
        <v>-352</v>
      </c>
      <c r="BC245" s="141">
        <f t="shared" si="865"/>
        <v>21</v>
      </c>
      <c r="BD245" s="141">
        <f t="shared" si="865"/>
        <v>-33</v>
      </c>
      <c r="BE245" s="300">
        <f t="shared" si="865"/>
        <v>-431.00000000000034</v>
      </c>
      <c r="BF245" s="141">
        <f t="shared" si="865"/>
        <v>85</v>
      </c>
      <c r="BG245" s="141">
        <f t="shared" si="865"/>
        <v>25</v>
      </c>
      <c r="BH245" s="141">
        <f t="shared" si="865"/>
        <v>57</v>
      </c>
      <c r="BI245" s="141">
        <f t="shared" si="865"/>
        <v>41</v>
      </c>
      <c r="BJ245" s="300">
        <f t="shared" si="865"/>
        <v>208</v>
      </c>
      <c r="BK245" s="141">
        <f t="shared" si="865"/>
        <v>-21</v>
      </c>
      <c r="BL245" s="141">
        <f t="shared" si="865"/>
        <v>0</v>
      </c>
      <c r="BM245" s="141">
        <f t="shared" si="865"/>
        <v>-110</v>
      </c>
      <c r="BN245" s="141">
        <f t="shared" si="865"/>
        <v>-360</v>
      </c>
      <c r="BO245" s="300">
        <f t="shared" si="865"/>
        <v>-491</v>
      </c>
      <c r="BP245" s="141">
        <f t="shared" si="865"/>
        <v>164</v>
      </c>
      <c r="BQ245" s="141">
        <f t="shared" si="865"/>
        <v>-13</v>
      </c>
      <c r="BR245" s="141">
        <f t="shared" si="865"/>
        <v>40</v>
      </c>
      <c r="BS245" s="141">
        <f t="shared" ref="BS245:BZ245" si="866">BS244+BS233+BS223</f>
        <v>-148</v>
      </c>
      <c r="BT245" s="300">
        <f t="shared" si="866"/>
        <v>43</v>
      </c>
      <c r="BU245" s="141">
        <f t="shared" si="866"/>
        <v>276</v>
      </c>
      <c r="BV245" s="141">
        <f t="shared" si="866"/>
        <v>-47</v>
      </c>
      <c r="BW245" s="141">
        <f t="shared" si="866"/>
        <v>-5</v>
      </c>
      <c r="BX245" s="141">
        <f t="shared" si="866"/>
        <v>-108</v>
      </c>
      <c r="BY245" s="300">
        <f t="shared" si="866"/>
        <v>116</v>
      </c>
      <c r="BZ245" s="141">
        <f t="shared" si="866"/>
        <v>258</v>
      </c>
      <c r="CA245" s="141">
        <f t="shared" ref="CA245:CM245" si="867">CA244+CA233+CA223</f>
        <v>-177</v>
      </c>
      <c r="CB245" s="141">
        <f t="shared" si="867"/>
        <v>122</v>
      </c>
      <c r="CC245" s="141">
        <f t="shared" si="867"/>
        <v>-226</v>
      </c>
      <c r="CD245" s="300">
        <f t="shared" si="867"/>
        <v>-23</v>
      </c>
      <c r="CE245" s="141">
        <f t="shared" si="867"/>
        <v>439</v>
      </c>
      <c r="CF245" s="141">
        <f t="shared" si="867"/>
        <v>178</v>
      </c>
      <c r="CG245" s="141">
        <f t="shared" si="867"/>
        <v>-62</v>
      </c>
      <c r="CH245" s="141">
        <f t="shared" si="867"/>
        <v>-440</v>
      </c>
      <c r="CI245" s="300">
        <f t="shared" si="867"/>
        <v>115</v>
      </c>
      <c r="CJ245" s="141">
        <f t="shared" si="867"/>
        <v>5</v>
      </c>
      <c r="CK245" s="141">
        <f t="shared" si="867"/>
        <v>112</v>
      </c>
      <c r="CL245" s="141">
        <f t="shared" ref="CL245" si="868">CL244+CL233+CL223</f>
        <v>-156</v>
      </c>
      <c r="CM245" s="141">
        <f t="shared" si="867"/>
        <v>301.10737619153116</v>
      </c>
      <c r="CN245" s="300">
        <f>CN244+CN233+CN223</f>
        <v>262.10737619153133</v>
      </c>
      <c r="CO245" s="141">
        <f t="shared" ref="CO245:CR245" si="869">CO244+CO233+CO223</f>
        <v>112.02055015826437</v>
      </c>
      <c r="CP245" s="141">
        <f t="shared" si="869"/>
        <v>-59.343686885046395</v>
      </c>
      <c r="CQ245" s="141">
        <f t="shared" si="869"/>
        <v>0</v>
      </c>
      <c r="CR245" s="141">
        <f t="shared" si="869"/>
        <v>-0.59518400030987095</v>
      </c>
      <c r="CS245" s="300">
        <f>CS244+CS233+CS223</f>
        <v>52.081679272908332</v>
      </c>
      <c r="CT245" s="141"/>
      <c r="CU245" s="141"/>
      <c r="CV245" s="141"/>
      <c r="CW245" s="141"/>
      <c r="CX245" s="300">
        <f>CX244+CX233+CX223</f>
        <v>-76.564336180188775</v>
      </c>
      <c r="CY245" s="141"/>
      <c r="CZ245" s="141"/>
      <c r="DA245" s="141"/>
      <c r="DB245" s="141"/>
      <c r="DC245" s="300">
        <f>DC244+DC233+DC223</f>
        <v>189.44286418186675</v>
      </c>
      <c r="DD245" s="132"/>
      <c r="DE245" s="471"/>
      <c r="DJ245" s="413"/>
      <c r="DK245" s="413"/>
      <c r="DL245" s="411"/>
      <c r="DM245" s="411"/>
      <c r="DN245" s="411"/>
      <c r="DO245" s="411"/>
      <c r="DP245" s="411"/>
      <c r="DQ245" s="411"/>
      <c r="DR245" s="508"/>
      <c r="DS245" s="141"/>
    </row>
    <row r="246" spans="1:131" x14ac:dyDescent="0.2">
      <c r="A246" s="220" t="s">
        <v>264</v>
      </c>
      <c r="B246" s="853">
        <v>0</v>
      </c>
      <c r="C246" s="141"/>
      <c r="D246" s="141"/>
      <c r="E246" s="141"/>
      <c r="F246" s="141"/>
      <c r="G246" s="853">
        <v>0</v>
      </c>
      <c r="H246" s="141"/>
      <c r="I246" s="141"/>
      <c r="J246" s="141"/>
      <c r="K246" s="141"/>
      <c r="L246" s="853">
        <v>0</v>
      </c>
      <c r="M246" s="832"/>
      <c r="N246" s="832"/>
      <c r="O246" s="832"/>
      <c r="P246" s="832"/>
      <c r="Q246" s="853">
        <v>0</v>
      </c>
      <c r="R246" s="832"/>
      <c r="S246" s="832"/>
      <c r="T246" s="832"/>
      <c r="U246" s="832"/>
      <c r="V246" s="853">
        <v>0</v>
      </c>
      <c r="W246" s="832"/>
      <c r="X246" s="832"/>
      <c r="Y246" s="832"/>
      <c r="Z246" s="832"/>
      <c r="AA246" s="853">
        <v>0</v>
      </c>
      <c r="AB246" s="832"/>
      <c r="AC246" s="832"/>
      <c r="AD246" s="832"/>
      <c r="AE246" s="832"/>
      <c r="AF246" s="853">
        <v>0</v>
      </c>
      <c r="AG246" s="832">
        <v>0</v>
      </c>
      <c r="AH246" s="832">
        <v>0</v>
      </c>
      <c r="AI246" s="832">
        <v>0</v>
      </c>
      <c r="AJ246" s="832">
        <v>0</v>
      </c>
      <c r="AK246" s="300">
        <v>0</v>
      </c>
      <c r="AL246" s="832">
        <v>0</v>
      </c>
      <c r="AM246" s="832">
        <v>0</v>
      </c>
      <c r="AN246" s="832">
        <v>0</v>
      </c>
      <c r="AO246" s="832">
        <v>0</v>
      </c>
      <c r="AP246" s="300">
        <v>0</v>
      </c>
      <c r="AQ246" s="832">
        <v>0</v>
      </c>
      <c r="AR246" s="832">
        <v>0</v>
      </c>
      <c r="AS246" s="832">
        <v>0</v>
      </c>
      <c r="AT246" s="832">
        <v>0</v>
      </c>
      <c r="AU246" s="300">
        <v>0</v>
      </c>
      <c r="AV246" s="832">
        <v>0</v>
      </c>
      <c r="AW246" s="832">
        <v>0</v>
      </c>
      <c r="AX246" s="832">
        <v>0</v>
      </c>
      <c r="AY246" s="832">
        <v>0</v>
      </c>
      <c r="AZ246" s="300">
        <v>0</v>
      </c>
      <c r="BA246" s="832">
        <v>0</v>
      </c>
      <c r="BB246" s="832">
        <v>0</v>
      </c>
      <c r="BC246" s="832">
        <v>0</v>
      </c>
      <c r="BD246" s="832">
        <v>0</v>
      </c>
      <c r="BE246" s="300">
        <v>0</v>
      </c>
      <c r="BF246" s="832">
        <v>0</v>
      </c>
      <c r="BG246" s="832">
        <v>0</v>
      </c>
      <c r="BH246" s="832">
        <v>0</v>
      </c>
      <c r="BI246" s="832">
        <v>0</v>
      </c>
      <c r="BJ246" s="300">
        <v>0</v>
      </c>
      <c r="BK246" s="832">
        <v>0</v>
      </c>
      <c r="BL246" s="832">
        <v>0</v>
      </c>
      <c r="BM246" s="832">
        <v>0</v>
      </c>
      <c r="BN246" s="832">
        <v>0</v>
      </c>
      <c r="BO246" s="300">
        <v>0</v>
      </c>
      <c r="BP246" s="832">
        <v>0</v>
      </c>
      <c r="BQ246" s="832">
        <v>0</v>
      </c>
      <c r="BR246" s="832">
        <v>0</v>
      </c>
      <c r="BS246" s="832">
        <v>0</v>
      </c>
      <c r="BT246" s="300">
        <v>0</v>
      </c>
      <c r="BU246" s="832">
        <v>0</v>
      </c>
      <c r="BV246" s="832">
        <v>0</v>
      </c>
      <c r="BW246" s="832">
        <v>0</v>
      </c>
      <c r="BX246" s="832">
        <v>0</v>
      </c>
      <c r="BY246" s="300">
        <f>SUM(BU246:BX246)</f>
        <v>0</v>
      </c>
      <c r="BZ246" s="832">
        <v>0</v>
      </c>
      <c r="CA246" s="832">
        <v>0</v>
      </c>
      <c r="CB246" s="832">
        <v>0</v>
      </c>
      <c r="CC246" s="832">
        <v>0</v>
      </c>
      <c r="CD246" s="300">
        <f>SUM(BZ246:CC246)</f>
        <v>0</v>
      </c>
      <c r="CE246" s="832">
        <v>0</v>
      </c>
      <c r="CF246" s="832">
        <v>0</v>
      </c>
      <c r="CG246" s="832">
        <v>0</v>
      </c>
      <c r="CH246" s="832">
        <v>0</v>
      </c>
      <c r="CI246" s="300">
        <f>SUM(CE246:CH246)</f>
        <v>0</v>
      </c>
      <c r="CJ246" s="832">
        <v>0</v>
      </c>
      <c r="CK246" s="832">
        <v>0</v>
      </c>
      <c r="CL246" s="832">
        <v>0</v>
      </c>
      <c r="CM246" s="143">
        <v>0</v>
      </c>
      <c r="CN246" s="330">
        <v>0</v>
      </c>
      <c r="CO246" s="143">
        <v>0</v>
      </c>
      <c r="CP246" s="143">
        <v>0</v>
      </c>
      <c r="CQ246" s="143">
        <v>0</v>
      </c>
      <c r="CR246" s="143">
        <v>0</v>
      </c>
      <c r="CS246" s="330">
        <v>0</v>
      </c>
      <c r="CT246" s="141"/>
      <c r="CU246" s="143"/>
      <c r="CV246" s="143"/>
      <c r="CW246" s="143"/>
      <c r="CX246" s="330">
        <v>0</v>
      </c>
      <c r="CY246" s="141"/>
      <c r="CZ246" s="143"/>
      <c r="DA246" s="143"/>
      <c r="DB246" s="143"/>
      <c r="DC246" s="330">
        <v>0</v>
      </c>
      <c r="DD246" s="132"/>
      <c r="DE246" s="471"/>
      <c r="DJ246" s="413"/>
      <c r="DK246" s="411"/>
      <c r="DL246" s="411"/>
      <c r="DM246" s="411"/>
      <c r="DN246" s="411"/>
      <c r="DO246" s="411"/>
      <c r="DP246" s="411"/>
      <c r="DQ246" s="411"/>
      <c r="DR246" s="508"/>
      <c r="DS246" s="141"/>
    </row>
    <row r="247" spans="1:131" s="201" customFormat="1" x14ac:dyDescent="0.2">
      <c r="A247" s="221" t="s">
        <v>265</v>
      </c>
      <c r="B247" s="305">
        <v>11.513999999999999</v>
      </c>
      <c r="C247" s="227"/>
      <c r="D247" s="227"/>
      <c r="E247" s="227"/>
      <c r="F247" s="227"/>
      <c r="G247" s="305">
        <f>B248</f>
        <v>18.245999999999999</v>
      </c>
      <c r="H247" s="227"/>
      <c r="I247" s="227"/>
      <c r="J247" s="227"/>
      <c r="K247" s="227"/>
      <c r="L247" s="305">
        <f>G248</f>
        <v>34.403000000000048</v>
      </c>
      <c r="M247" s="227"/>
      <c r="N247" s="227"/>
      <c r="O247" s="227"/>
      <c r="P247" s="227"/>
      <c r="Q247" s="305">
        <f>L248</f>
        <v>117.52200000000002</v>
      </c>
      <c r="R247" s="227"/>
      <c r="S247" s="227"/>
      <c r="T247" s="227"/>
      <c r="U247" s="227"/>
      <c r="V247" s="305">
        <f>Q248</f>
        <v>14.40199999999993</v>
      </c>
      <c r="W247" s="227"/>
      <c r="X247" s="227"/>
      <c r="Y247" s="227"/>
      <c r="Z247" s="227"/>
      <c r="AA247" s="305">
        <f>V248</f>
        <v>102.79499999999996</v>
      </c>
      <c r="AB247" s="227"/>
      <c r="AC247" s="227"/>
      <c r="AD247" s="227"/>
      <c r="AE247" s="227"/>
      <c r="AF247" s="305">
        <f>AA248</f>
        <v>18.716999999999899</v>
      </c>
      <c r="AG247" s="227">
        <f>AF248</f>
        <v>5.7169999999998993</v>
      </c>
      <c r="AH247" s="227">
        <f>AG248</f>
        <v>1.7169999999998993</v>
      </c>
      <c r="AI247" s="227">
        <f>AH248</f>
        <v>5.7169999999998993</v>
      </c>
      <c r="AJ247" s="227">
        <f>AI248</f>
        <v>7.7169999999998993</v>
      </c>
      <c r="AK247" s="305">
        <f>AF248</f>
        <v>5.7169999999998993</v>
      </c>
      <c r="AL247" s="227">
        <f>AK248</f>
        <v>9.7169999999998993</v>
      </c>
      <c r="AM247" s="227">
        <f>AL248</f>
        <v>55.716999999999899</v>
      </c>
      <c r="AN247" s="227">
        <f>AM248</f>
        <v>197.7169999999999</v>
      </c>
      <c r="AO247" s="227">
        <f>AN248</f>
        <v>234.7169999999999</v>
      </c>
      <c r="AP247" s="305">
        <f>AK248</f>
        <v>9.7169999999998993</v>
      </c>
      <c r="AQ247" s="227">
        <f>AP248</f>
        <v>189.7169999999999</v>
      </c>
      <c r="AR247" s="227">
        <f>AQ248</f>
        <v>712.71699999999987</v>
      </c>
      <c r="AS247" s="227">
        <f>AR248</f>
        <v>845.71699999999987</v>
      </c>
      <c r="AT247" s="227">
        <f>AS248</f>
        <v>564.71699999999987</v>
      </c>
      <c r="AU247" s="305">
        <f>AP248</f>
        <v>189.7169999999999</v>
      </c>
      <c r="AV247" s="227">
        <f>AU248</f>
        <v>560.71699999999987</v>
      </c>
      <c r="AW247" s="227">
        <f>AV248</f>
        <v>633.71699999999987</v>
      </c>
      <c r="AX247" s="227">
        <f>AW248</f>
        <v>879.71699999999987</v>
      </c>
      <c r="AY247" s="227">
        <f>AX248</f>
        <v>950.71699999999987</v>
      </c>
      <c r="AZ247" s="305">
        <f>AU248</f>
        <v>560.71699999999987</v>
      </c>
      <c r="BA247" s="227">
        <f>AZ248</f>
        <v>895.71699999999987</v>
      </c>
      <c r="BB247" s="227">
        <f>BA248</f>
        <v>828.71699999999987</v>
      </c>
      <c r="BC247" s="227">
        <f>BB248</f>
        <v>476.71699999999987</v>
      </c>
      <c r="BD247" s="227">
        <f>BC248</f>
        <v>497.71699999999987</v>
      </c>
      <c r="BE247" s="305">
        <f>AZ248</f>
        <v>895.71699999999987</v>
      </c>
      <c r="BF247" s="227">
        <f>BE248</f>
        <v>464.71699999999953</v>
      </c>
      <c r="BG247" s="227">
        <f>BF248</f>
        <v>549.71699999999953</v>
      </c>
      <c r="BH247" s="227">
        <f>BG248</f>
        <v>574.71699999999953</v>
      </c>
      <c r="BI247" s="227">
        <f>BH248</f>
        <v>631.71699999999953</v>
      </c>
      <c r="BJ247" s="305">
        <f>BE248</f>
        <v>464.71699999999953</v>
      </c>
      <c r="BK247" s="227">
        <f>BJ248</f>
        <v>672.71699999999953</v>
      </c>
      <c r="BL247" s="227">
        <f>BK248</f>
        <v>651.71699999999953</v>
      </c>
      <c r="BM247" s="227">
        <f>BL248</f>
        <v>651.71699999999953</v>
      </c>
      <c r="BN247" s="227">
        <f>BM248</f>
        <v>541.71699999999953</v>
      </c>
      <c r="BO247" s="305">
        <f>BJ248</f>
        <v>672.71699999999953</v>
      </c>
      <c r="BP247" s="227">
        <f>BO248</f>
        <v>181.71699999999953</v>
      </c>
      <c r="BQ247" s="227">
        <f>BP248</f>
        <v>345.71699999999953</v>
      </c>
      <c r="BR247" s="227">
        <f>BQ248</f>
        <v>332.71699999999953</v>
      </c>
      <c r="BS247" s="227">
        <f>BR248</f>
        <v>372.71699999999953</v>
      </c>
      <c r="BT247" s="305">
        <f>BO248</f>
        <v>181.71699999999953</v>
      </c>
      <c r="BU247" s="227">
        <f>BT248</f>
        <v>224.71699999999953</v>
      </c>
      <c r="BV247" s="227">
        <f>BU248</f>
        <v>500.71699999999953</v>
      </c>
      <c r="BW247" s="227">
        <f>BV248</f>
        <v>453.71699999999953</v>
      </c>
      <c r="BX247" s="227">
        <f>BW248</f>
        <v>448.71699999999953</v>
      </c>
      <c r="BY247" s="305">
        <f>BT248</f>
        <v>224.71699999999953</v>
      </c>
      <c r="BZ247" s="227">
        <f>BY248</f>
        <v>340.71699999999953</v>
      </c>
      <c r="CA247" s="227">
        <f>BZ248</f>
        <v>598.71699999999953</v>
      </c>
      <c r="CB247" s="227">
        <f>CA248</f>
        <v>421.71699999999953</v>
      </c>
      <c r="CC247" s="227">
        <f>CB248</f>
        <v>543.71699999999953</v>
      </c>
      <c r="CD247" s="305">
        <f>BY248</f>
        <v>340.71699999999953</v>
      </c>
      <c r="CE247" s="227">
        <f>CD248</f>
        <v>317.71699999999953</v>
      </c>
      <c r="CF247" s="227">
        <f>CE248</f>
        <v>756.71699999999953</v>
      </c>
      <c r="CG247" s="227">
        <f>CF248</f>
        <v>934.71699999999953</v>
      </c>
      <c r="CH247" s="227">
        <f>CG248</f>
        <v>872.71699999999953</v>
      </c>
      <c r="CI247" s="305">
        <f>CD248</f>
        <v>317.71699999999953</v>
      </c>
      <c r="CJ247" s="227">
        <f t="shared" ref="CJ247:CR247" si="870">CI248</f>
        <v>432.71699999999953</v>
      </c>
      <c r="CK247" s="227">
        <f t="shared" si="870"/>
        <v>437.71699999999953</v>
      </c>
      <c r="CL247" s="227">
        <f t="shared" si="870"/>
        <v>549.71699999999953</v>
      </c>
      <c r="CM247" s="227">
        <f t="shared" si="870"/>
        <v>393.71699999999953</v>
      </c>
      <c r="CN247" s="305">
        <f>CI248</f>
        <v>432.71699999999953</v>
      </c>
      <c r="CO247" s="227">
        <f t="shared" si="870"/>
        <v>694.82437619153086</v>
      </c>
      <c r="CP247" s="227">
        <f t="shared" si="870"/>
        <v>806.84492634979529</v>
      </c>
      <c r="CQ247" s="227">
        <f t="shared" si="870"/>
        <v>747.50123946474889</v>
      </c>
      <c r="CR247" s="227">
        <f t="shared" si="870"/>
        <v>747.50123946474889</v>
      </c>
      <c r="CS247" s="305">
        <f>CN248</f>
        <v>694.82437619153086</v>
      </c>
      <c r="CT247" s="227"/>
      <c r="CU247" s="227"/>
      <c r="CV247" s="227"/>
      <c r="CW247" s="227"/>
      <c r="CX247" s="305">
        <f>CS248</f>
        <v>746.90605546443919</v>
      </c>
      <c r="CY247" s="227"/>
      <c r="CZ247" s="227"/>
      <c r="DA247" s="227"/>
      <c r="DB247" s="227"/>
      <c r="DC247" s="305">
        <f>CX248</f>
        <v>670.34171928425042</v>
      </c>
      <c r="DD247" s="132"/>
      <c r="DE247" s="471"/>
      <c r="DF247" s="379"/>
      <c r="DG247" s="379"/>
      <c r="DH247" s="379"/>
      <c r="DI247" s="379"/>
      <c r="DJ247" s="413"/>
      <c r="DK247" s="413"/>
      <c r="DL247" s="413"/>
      <c r="DM247" s="413"/>
      <c r="DN247" s="413"/>
      <c r="DO247" s="413"/>
      <c r="DP247" s="413"/>
      <c r="DQ247" s="413"/>
      <c r="DR247" s="510"/>
      <c r="DS247" s="529"/>
      <c r="DT247"/>
      <c r="DU247"/>
      <c r="DV247"/>
      <c r="DW247"/>
      <c r="DX247"/>
      <c r="DY247"/>
      <c r="DZ247" s="226"/>
      <c r="EA247" s="226"/>
    </row>
    <row r="248" spans="1:131" s="230" customFormat="1" x14ac:dyDescent="0.2">
      <c r="A248" s="222" t="s">
        <v>266</v>
      </c>
      <c r="B248" s="306">
        <v>18.245999999999999</v>
      </c>
      <c r="C248" s="228"/>
      <c r="D248" s="228"/>
      <c r="E248" s="228"/>
      <c r="F248" s="228"/>
      <c r="G248" s="306">
        <f>G247+G246+G245</f>
        <v>34.403000000000048</v>
      </c>
      <c r="H248" s="228"/>
      <c r="I248" s="228"/>
      <c r="J248" s="228"/>
      <c r="K248" s="228"/>
      <c r="L248" s="306">
        <f>L247+L246+L245</f>
        <v>117.52200000000002</v>
      </c>
      <c r="M248" s="228"/>
      <c r="N248" s="228"/>
      <c r="O248" s="228"/>
      <c r="P248" s="228"/>
      <c r="Q248" s="306">
        <f>Q247+Q246+Q245</f>
        <v>14.40199999999993</v>
      </c>
      <c r="R248" s="228"/>
      <c r="S248" s="228"/>
      <c r="T248" s="228"/>
      <c r="U248" s="228"/>
      <c r="V248" s="306">
        <f>V247+V246+V245</f>
        <v>102.79499999999996</v>
      </c>
      <c r="W248" s="228"/>
      <c r="X248" s="228"/>
      <c r="Y248" s="228"/>
      <c r="Z248" s="228"/>
      <c r="AA248" s="306">
        <f>AA247+AA246+AA245</f>
        <v>18.716999999999899</v>
      </c>
      <c r="AB248" s="228"/>
      <c r="AC248" s="228"/>
      <c r="AD248" s="228"/>
      <c r="AE248" s="228"/>
      <c r="AF248" s="306">
        <f t="shared" ref="AF248:BO248" si="871">AF247+AF246+AF245</f>
        <v>5.7169999999998993</v>
      </c>
      <c r="AG248" s="228">
        <f t="shared" si="871"/>
        <v>1.7169999999998993</v>
      </c>
      <c r="AH248" s="228">
        <f t="shared" si="871"/>
        <v>5.7169999999998993</v>
      </c>
      <c r="AI248" s="228">
        <f t="shared" si="871"/>
        <v>7.7169999999998993</v>
      </c>
      <c r="AJ248" s="228">
        <f t="shared" si="871"/>
        <v>9.7169999999998993</v>
      </c>
      <c r="AK248" s="306">
        <f t="shared" si="871"/>
        <v>9.7169999999998993</v>
      </c>
      <c r="AL248" s="228">
        <f t="shared" si="871"/>
        <v>55.716999999999899</v>
      </c>
      <c r="AM248" s="228">
        <f t="shared" si="871"/>
        <v>197.7169999999999</v>
      </c>
      <c r="AN248" s="228">
        <f t="shared" si="871"/>
        <v>234.7169999999999</v>
      </c>
      <c r="AO248" s="228">
        <f t="shared" si="871"/>
        <v>189.7169999999999</v>
      </c>
      <c r="AP248" s="306">
        <f t="shared" si="871"/>
        <v>189.7169999999999</v>
      </c>
      <c r="AQ248" s="228">
        <f t="shared" si="871"/>
        <v>712.71699999999987</v>
      </c>
      <c r="AR248" s="228">
        <f t="shared" si="871"/>
        <v>845.71699999999987</v>
      </c>
      <c r="AS248" s="228">
        <f t="shared" si="871"/>
        <v>564.71699999999987</v>
      </c>
      <c r="AT248" s="228">
        <f t="shared" si="871"/>
        <v>560.71699999999987</v>
      </c>
      <c r="AU248" s="306">
        <f t="shared" si="871"/>
        <v>560.71699999999987</v>
      </c>
      <c r="AV248" s="228">
        <f t="shared" si="871"/>
        <v>633.71699999999987</v>
      </c>
      <c r="AW248" s="228">
        <f t="shared" si="871"/>
        <v>879.71699999999987</v>
      </c>
      <c r="AX248" s="228">
        <f t="shared" si="871"/>
        <v>950.71699999999987</v>
      </c>
      <c r="AY248" s="228">
        <f t="shared" si="871"/>
        <v>895.71699999999987</v>
      </c>
      <c r="AZ248" s="306">
        <f t="shared" si="871"/>
        <v>895.71699999999987</v>
      </c>
      <c r="BA248" s="228">
        <f>BA247+BA246+BA245</f>
        <v>828.71699999999987</v>
      </c>
      <c r="BB248" s="228">
        <f>BB247+BB246+BB245</f>
        <v>476.71699999999987</v>
      </c>
      <c r="BC248" s="228">
        <f>BC247+BC246+BC245</f>
        <v>497.71699999999987</v>
      </c>
      <c r="BD248" s="228">
        <f>BD247+BD246+BD245</f>
        <v>464.71699999999987</v>
      </c>
      <c r="BE248" s="306">
        <f t="shared" si="871"/>
        <v>464.71699999999953</v>
      </c>
      <c r="BF248" s="228">
        <f>BF247+BF246+BF245</f>
        <v>549.71699999999953</v>
      </c>
      <c r="BG248" s="228">
        <f>BG247+BG246+BG245</f>
        <v>574.71699999999953</v>
      </c>
      <c r="BH248" s="228">
        <f>BH247+BH246+BH245</f>
        <v>631.71699999999953</v>
      </c>
      <c r="BI248" s="228">
        <f>BI247+BI246+BI245</f>
        <v>672.71699999999953</v>
      </c>
      <c r="BJ248" s="306">
        <f t="shared" si="871"/>
        <v>672.71699999999953</v>
      </c>
      <c r="BK248" s="228">
        <f>BK247+BK246+BK245</f>
        <v>651.71699999999953</v>
      </c>
      <c r="BL248" s="228">
        <f>BL247+BL246+BL245</f>
        <v>651.71699999999953</v>
      </c>
      <c r="BM248" s="228">
        <f>BM247+BM246+BM245</f>
        <v>541.71699999999953</v>
      </c>
      <c r="BN248" s="228">
        <f>BN247+BN246+BN245</f>
        <v>181.71699999999953</v>
      </c>
      <c r="BO248" s="306">
        <f t="shared" si="871"/>
        <v>181.71699999999953</v>
      </c>
      <c r="BP248" s="228">
        <f t="shared" ref="BP248:BU248" si="872">BP247+BP246+BP245</f>
        <v>345.71699999999953</v>
      </c>
      <c r="BQ248" s="228">
        <f t="shared" si="872"/>
        <v>332.71699999999953</v>
      </c>
      <c r="BR248" s="228">
        <f t="shared" si="872"/>
        <v>372.71699999999953</v>
      </c>
      <c r="BS248" s="228">
        <f t="shared" si="872"/>
        <v>224.71699999999953</v>
      </c>
      <c r="BT248" s="306">
        <f t="shared" si="872"/>
        <v>224.71699999999953</v>
      </c>
      <c r="BU248" s="228">
        <f t="shared" si="872"/>
        <v>500.71699999999953</v>
      </c>
      <c r="BV248" s="228">
        <f t="shared" ref="BV248:CD248" si="873">BV247+BV246+BV245</f>
        <v>453.71699999999953</v>
      </c>
      <c r="BW248" s="228">
        <f t="shared" si="873"/>
        <v>448.71699999999953</v>
      </c>
      <c r="BX248" s="228">
        <f t="shared" si="873"/>
        <v>340.71699999999953</v>
      </c>
      <c r="BY248" s="306">
        <f t="shared" si="873"/>
        <v>340.71699999999953</v>
      </c>
      <c r="BZ248" s="228">
        <f t="shared" si="873"/>
        <v>598.71699999999953</v>
      </c>
      <c r="CA248" s="228">
        <f t="shared" si="873"/>
        <v>421.71699999999953</v>
      </c>
      <c r="CB248" s="228">
        <f t="shared" si="873"/>
        <v>543.71699999999953</v>
      </c>
      <c r="CC248" s="228">
        <f t="shared" si="873"/>
        <v>317.71699999999953</v>
      </c>
      <c r="CD248" s="306">
        <f t="shared" si="873"/>
        <v>317.71699999999953</v>
      </c>
      <c r="CE248" s="228">
        <f>CE247+CE246+CE245</f>
        <v>756.71699999999953</v>
      </c>
      <c r="CF248" s="228">
        <f>CF247+CF246+CF245</f>
        <v>934.71699999999953</v>
      </c>
      <c r="CG248" s="228">
        <f>CG247+CG246+CG245</f>
        <v>872.71699999999953</v>
      </c>
      <c r="CH248" s="228">
        <f>CH247+CH246+CH245</f>
        <v>432.71699999999953</v>
      </c>
      <c r="CI248" s="306">
        <f>CI247+CI246+CI245</f>
        <v>432.71699999999953</v>
      </c>
      <c r="CJ248" s="228">
        <f t="shared" ref="CJ248:CM248" si="874">CJ247+CJ246+CJ245</f>
        <v>437.71699999999953</v>
      </c>
      <c r="CK248" s="228">
        <f t="shared" si="874"/>
        <v>549.71699999999953</v>
      </c>
      <c r="CL248" s="228">
        <f t="shared" ref="CL248" si="875">CL247+CL246+CL245</f>
        <v>393.71699999999953</v>
      </c>
      <c r="CM248" s="228">
        <f t="shared" si="874"/>
        <v>694.82437619153075</v>
      </c>
      <c r="CN248" s="306">
        <f>CN247+CN246+CN245</f>
        <v>694.82437619153086</v>
      </c>
      <c r="CO248" s="228">
        <f t="shared" ref="CO248:CR248" si="876">CO247+CO246+CO245</f>
        <v>806.84492634979529</v>
      </c>
      <c r="CP248" s="228">
        <f t="shared" si="876"/>
        <v>747.50123946474889</v>
      </c>
      <c r="CQ248" s="228">
        <f t="shared" si="876"/>
        <v>747.50123946474889</v>
      </c>
      <c r="CR248" s="228">
        <f t="shared" si="876"/>
        <v>746.90605546443908</v>
      </c>
      <c r="CS248" s="306">
        <f>CS247+CS246+CS245</f>
        <v>746.90605546443919</v>
      </c>
      <c r="CT248" s="228"/>
      <c r="CU248" s="228"/>
      <c r="CV248" s="228"/>
      <c r="CW248" s="228"/>
      <c r="CX248" s="306">
        <f>CX247+CX246+CX245</f>
        <v>670.34171928425042</v>
      </c>
      <c r="CY248" s="228"/>
      <c r="CZ248" s="228"/>
      <c r="DA248" s="228"/>
      <c r="DB248" s="228"/>
      <c r="DC248" s="306">
        <f>DC247+DC246+DC245</f>
        <v>859.78458346611717</v>
      </c>
      <c r="DD248" s="191"/>
      <c r="DE248" s="477"/>
      <c r="DF248" s="383"/>
      <c r="DG248" s="383"/>
      <c r="DH248" s="383"/>
      <c r="DI248" s="383"/>
      <c r="DJ248" s="436"/>
      <c r="DK248" s="397"/>
      <c r="DL248" s="397"/>
      <c r="DM248" s="410"/>
      <c r="DN248" s="397"/>
      <c r="DO248" s="397"/>
      <c r="DP248" s="397"/>
      <c r="DQ248" s="397"/>
      <c r="DR248" s="494"/>
      <c r="DS248" s="530"/>
      <c r="DT248"/>
      <c r="DU248"/>
      <c r="DV248"/>
      <c r="DW248"/>
      <c r="DX248"/>
      <c r="DY248"/>
      <c r="DZ248" s="229"/>
      <c r="EA248" s="229"/>
    </row>
    <row r="249" spans="1:131" s="6" customFormat="1" x14ac:dyDescent="0.2">
      <c r="A249" s="6" t="s">
        <v>196</v>
      </c>
      <c r="B249" s="279"/>
      <c r="G249" s="279"/>
      <c r="L249" s="279"/>
      <c r="Q249" s="279"/>
      <c r="V249" s="279"/>
      <c r="AA249" s="279"/>
      <c r="AF249" s="279"/>
      <c r="AK249" s="279"/>
      <c r="AP249" s="279"/>
      <c r="AU249" s="279"/>
      <c r="AZ249" s="279"/>
      <c r="BE249" s="279"/>
      <c r="BJ249" s="279"/>
      <c r="BO249" s="279"/>
      <c r="BT249" s="279"/>
      <c r="BY249" s="279"/>
      <c r="CD249" s="279"/>
      <c r="CI249" s="279"/>
      <c r="CN249" s="279"/>
      <c r="CS249" s="279"/>
      <c r="CX249" s="279"/>
      <c r="DC249" s="279"/>
      <c r="DD249" s="363"/>
      <c r="DF249" s="363"/>
      <c r="DG249" s="363"/>
      <c r="DH249" s="363"/>
      <c r="DI249" s="363"/>
      <c r="DJ249" s="435"/>
      <c r="DK249" s="393"/>
      <c r="DL249" s="393"/>
      <c r="DM249" s="393"/>
      <c r="DN249" s="393"/>
      <c r="DO249" s="393"/>
      <c r="DP249" s="393"/>
      <c r="DQ249" s="393"/>
      <c r="DS249" s="363"/>
      <c r="DT249"/>
      <c r="DU249"/>
      <c r="DV249"/>
      <c r="DW249"/>
      <c r="DX249"/>
      <c r="DY249"/>
    </row>
    <row r="250" spans="1:131" s="7" customFormat="1" ht="12" customHeight="1" x14ac:dyDescent="0.2">
      <c r="A250" s="7" t="s">
        <v>197</v>
      </c>
      <c r="B250" s="260"/>
      <c r="G250" s="260"/>
      <c r="L250" s="260"/>
      <c r="Q250" s="260"/>
      <c r="V250" s="260"/>
      <c r="AA250" s="260"/>
      <c r="AF250" s="260"/>
      <c r="AK250" s="260"/>
      <c r="AP250" s="260"/>
      <c r="AU250" s="260"/>
      <c r="AZ250" s="260"/>
      <c r="BE250" s="260"/>
      <c r="BJ250" s="260"/>
      <c r="BO250" s="260"/>
      <c r="BT250" s="260"/>
      <c r="BY250" s="260"/>
      <c r="CD250" s="260"/>
      <c r="CI250" s="260"/>
      <c r="CM250" s="808"/>
      <c r="CN250" s="260"/>
      <c r="CS250" s="260"/>
      <c r="CX250" s="260"/>
      <c r="DC250" s="260"/>
      <c r="DD250" s="363"/>
      <c r="DE250" s="6"/>
      <c r="DF250" s="363"/>
      <c r="DG250" s="363"/>
      <c r="DH250" s="363"/>
      <c r="DI250" s="363"/>
      <c r="DJ250" s="435"/>
      <c r="DK250" s="393"/>
      <c r="DL250" s="745"/>
      <c r="DM250" s="393"/>
      <c r="DN250" s="393"/>
      <c r="DO250" s="393"/>
      <c r="DP250" s="393"/>
      <c r="DQ250" s="393"/>
      <c r="DR250" s="6"/>
      <c r="DS250" s="363"/>
      <c r="DT250"/>
      <c r="DU250"/>
      <c r="DV250"/>
      <c r="DW250"/>
      <c r="DX250"/>
      <c r="DY250"/>
    </row>
    <row r="251" spans="1:131" x14ac:dyDescent="0.2">
      <c r="A251" s="141" t="s">
        <v>188</v>
      </c>
      <c r="B251" s="300"/>
      <c r="C251" s="141"/>
      <c r="D251" s="141"/>
      <c r="E251" s="141"/>
      <c r="F251" s="141"/>
      <c r="G251" s="300">
        <f>G248</f>
        <v>34.403000000000048</v>
      </c>
      <c r="H251" s="141"/>
      <c r="I251" s="141"/>
      <c r="J251" s="141"/>
      <c r="K251" s="141"/>
      <c r="L251" s="300">
        <f>L248</f>
        <v>117.52200000000002</v>
      </c>
      <c r="M251" s="141"/>
      <c r="N251" s="141"/>
      <c r="O251" s="141"/>
      <c r="P251" s="141"/>
      <c r="Q251" s="300">
        <f>Q248</f>
        <v>14.40199999999993</v>
      </c>
      <c r="R251" s="141"/>
      <c r="S251" s="141"/>
      <c r="T251" s="141"/>
      <c r="U251" s="141"/>
      <c r="V251" s="300">
        <f>V248</f>
        <v>102.79499999999996</v>
      </c>
      <c r="W251" s="141"/>
      <c r="X251" s="141"/>
      <c r="Y251" s="141"/>
      <c r="Z251" s="141"/>
      <c r="AA251" s="300">
        <f>AA248</f>
        <v>18.716999999999899</v>
      </c>
      <c r="AB251" s="141"/>
      <c r="AC251" s="141"/>
      <c r="AD251" s="141"/>
      <c r="AE251" s="141"/>
      <c r="AF251" s="300">
        <f>AF248</f>
        <v>5.7169999999998993</v>
      </c>
      <c r="AG251" s="141">
        <f t="shared" ref="AG251:AY251" si="877">AG248</f>
        <v>1.7169999999998993</v>
      </c>
      <c r="AH251" s="141">
        <f t="shared" si="877"/>
        <v>5.7169999999998993</v>
      </c>
      <c r="AI251" s="141">
        <f t="shared" si="877"/>
        <v>7.7169999999998993</v>
      </c>
      <c r="AJ251" s="141">
        <f t="shared" si="877"/>
        <v>9.7169999999998993</v>
      </c>
      <c r="AK251" s="300">
        <f t="shared" si="877"/>
        <v>9.7169999999998993</v>
      </c>
      <c r="AL251" s="141">
        <f t="shared" si="877"/>
        <v>55.716999999999899</v>
      </c>
      <c r="AM251" s="141">
        <f t="shared" si="877"/>
        <v>197.7169999999999</v>
      </c>
      <c r="AN251" s="141">
        <f t="shared" si="877"/>
        <v>234.7169999999999</v>
      </c>
      <c r="AO251" s="141">
        <f t="shared" si="877"/>
        <v>189.7169999999999</v>
      </c>
      <c r="AP251" s="300">
        <f t="shared" si="877"/>
        <v>189.7169999999999</v>
      </c>
      <c r="AQ251" s="141">
        <f t="shared" si="877"/>
        <v>712.71699999999987</v>
      </c>
      <c r="AR251" s="141">
        <f t="shared" si="877"/>
        <v>845.71699999999987</v>
      </c>
      <c r="AS251" s="141">
        <f t="shared" si="877"/>
        <v>564.71699999999987</v>
      </c>
      <c r="AT251" s="141">
        <f t="shared" si="877"/>
        <v>560.71699999999987</v>
      </c>
      <c r="AU251" s="300">
        <f t="shared" si="877"/>
        <v>560.71699999999987</v>
      </c>
      <c r="AV251" s="141">
        <f t="shared" si="877"/>
        <v>633.71699999999987</v>
      </c>
      <c r="AW251" s="141">
        <f>AW248</f>
        <v>879.71699999999987</v>
      </c>
      <c r="AX251" s="141">
        <f t="shared" si="877"/>
        <v>950.71699999999987</v>
      </c>
      <c r="AY251" s="141">
        <f t="shared" si="877"/>
        <v>895.71699999999987</v>
      </c>
      <c r="AZ251" s="300">
        <f t="shared" ref="AZ251:BJ251" si="878">AZ248</f>
        <v>895.71699999999987</v>
      </c>
      <c r="BA251" s="141">
        <f t="shared" si="878"/>
        <v>828.71699999999987</v>
      </c>
      <c r="BB251" s="141">
        <f t="shared" si="878"/>
        <v>476.71699999999987</v>
      </c>
      <c r="BC251" s="141">
        <f t="shared" si="878"/>
        <v>497.71699999999987</v>
      </c>
      <c r="BD251" s="141">
        <f t="shared" si="878"/>
        <v>464.71699999999987</v>
      </c>
      <c r="BE251" s="300">
        <f t="shared" si="878"/>
        <v>464.71699999999953</v>
      </c>
      <c r="BF251" s="141">
        <f t="shared" si="878"/>
        <v>549.71699999999953</v>
      </c>
      <c r="BG251" s="141">
        <f t="shared" si="878"/>
        <v>574.71699999999953</v>
      </c>
      <c r="BH251" s="141">
        <f t="shared" si="878"/>
        <v>631.71699999999953</v>
      </c>
      <c r="BI251" s="141">
        <f t="shared" si="878"/>
        <v>672.71699999999953</v>
      </c>
      <c r="BJ251" s="300">
        <f t="shared" si="878"/>
        <v>672.71699999999953</v>
      </c>
      <c r="BK251" s="141">
        <f>BK248</f>
        <v>651.71699999999953</v>
      </c>
      <c r="BL251" s="141">
        <f>BL248</f>
        <v>651.71699999999953</v>
      </c>
      <c r="BM251" s="141">
        <f t="shared" ref="BM251:BR251" si="879">BM248</f>
        <v>541.71699999999953</v>
      </c>
      <c r="BN251" s="141">
        <f t="shared" si="879"/>
        <v>181.71699999999953</v>
      </c>
      <c r="BO251" s="300">
        <f t="shared" si="879"/>
        <v>181.71699999999953</v>
      </c>
      <c r="BP251" s="141">
        <f t="shared" si="879"/>
        <v>345.71699999999953</v>
      </c>
      <c r="BQ251" s="141">
        <f t="shared" si="879"/>
        <v>332.71699999999953</v>
      </c>
      <c r="BR251" s="141">
        <f t="shared" si="879"/>
        <v>372.71699999999953</v>
      </c>
      <c r="BS251" s="141">
        <f t="shared" ref="BS251:BZ251" si="880">BS248</f>
        <v>224.71699999999953</v>
      </c>
      <c r="BT251" s="300">
        <f t="shared" si="880"/>
        <v>224.71699999999953</v>
      </c>
      <c r="BU251" s="141">
        <f>BU248</f>
        <v>500.71699999999953</v>
      </c>
      <c r="BV251" s="141">
        <f>BV248</f>
        <v>453.71699999999953</v>
      </c>
      <c r="BW251" s="141">
        <f>BW248</f>
        <v>448.71699999999953</v>
      </c>
      <c r="BX251" s="141">
        <f t="shared" si="880"/>
        <v>340.71699999999953</v>
      </c>
      <c r="BY251" s="300">
        <f t="shared" si="880"/>
        <v>340.71699999999953</v>
      </c>
      <c r="BZ251" s="141">
        <f t="shared" si="880"/>
        <v>598.71699999999953</v>
      </c>
      <c r="CA251" s="141">
        <f t="shared" ref="CA251:CM251" si="881">CA248</f>
        <v>421.71699999999953</v>
      </c>
      <c r="CB251" s="141">
        <f t="shared" si="881"/>
        <v>543.71699999999953</v>
      </c>
      <c r="CC251" s="141">
        <f t="shared" si="881"/>
        <v>317.71699999999953</v>
      </c>
      <c r="CD251" s="300">
        <f t="shared" si="881"/>
        <v>317.71699999999953</v>
      </c>
      <c r="CE251" s="141">
        <f t="shared" si="881"/>
        <v>756.71699999999953</v>
      </c>
      <c r="CF251" s="141">
        <f t="shared" si="881"/>
        <v>934.71699999999953</v>
      </c>
      <c r="CG251" s="141">
        <f t="shared" si="881"/>
        <v>872.71699999999953</v>
      </c>
      <c r="CH251" s="141">
        <f t="shared" si="881"/>
        <v>432.71699999999953</v>
      </c>
      <c r="CI251" s="300">
        <f t="shared" si="881"/>
        <v>432.71699999999953</v>
      </c>
      <c r="CJ251" s="141">
        <f t="shared" si="881"/>
        <v>437.71699999999953</v>
      </c>
      <c r="CK251" s="141">
        <f t="shared" si="881"/>
        <v>549.71699999999953</v>
      </c>
      <c r="CL251" s="141">
        <f t="shared" si="881"/>
        <v>393.71699999999953</v>
      </c>
      <c r="CM251" s="141">
        <f t="shared" si="881"/>
        <v>694.82437619153075</v>
      </c>
      <c r="CN251" s="300">
        <f t="shared" ref="CN251:CR251" si="882">CN248</f>
        <v>694.82437619153086</v>
      </c>
      <c r="CO251" s="141">
        <f t="shared" si="882"/>
        <v>806.84492634979529</v>
      </c>
      <c r="CP251" s="141">
        <f t="shared" si="882"/>
        <v>747.50123946474889</v>
      </c>
      <c r="CQ251" s="141">
        <f t="shared" si="882"/>
        <v>747.50123946474889</v>
      </c>
      <c r="CR251" s="141">
        <f t="shared" si="882"/>
        <v>746.90605546443908</v>
      </c>
      <c r="CS251" s="300">
        <f t="shared" ref="CS251" si="883">CS248</f>
        <v>746.90605546443919</v>
      </c>
      <c r="CT251" s="141"/>
      <c r="CU251" s="141"/>
      <c r="CV251" s="141"/>
      <c r="CW251" s="141"/>
      <c r="CX251" s="300">
        <f>CX248</f>
        <v>670.34171928425042</v>
      </c>
      <c r="CY251" s="141"/>
      <c r="CZ251" s="141"/>
      <c r="DA251" s="141"/>
      <c r="DB251" s="141"/>
      <c r="DC251" s="300">
        <f>DC248</f>
        <v>859.78458346611717</v>
      </c>
      <c r="DD251" s="132"/>
      <c r="DE251" s="471"/>
      <c r="DJ251" s="413"/>
      <c r="DK251" s="411"/>
      <c r="DL251" s="411"/>
      <c r="DM251" s="411"/>
      <c r="DN251" s="411"/>
      <c r="DO251" s="411"/>
      <c r="DP251" s="411"/>
      <c r="DQ251" s="411"/>
      <c r="DR251" s="508"/>
      <c r="DS251" s="141"/>
    </row>
    <row r="252" spans="1:131" x14ac:dyDescent="0.2">
      <c r="A252" s="141" t="s">
        <v>189</v>
      </c>
      <c r="B252" s="300"/>
      <c r="C252" s="141"/>
      <c r="D252" s="141"/>
      <c r="E252" s="141"/>
      <c r="F252" s="141"/>
      <c r="G252" s="853">
        <v>0</v>
      </c>
      <c r="H252" s="141"/>
      <c r="I252" s="141"/>
      <c r="J252" s="141"/>
      <c r="K252" s="141"/>
      <c r="L252" s="853">
        <v>0</v>
      </c>
      <c r="M252" s="832"/>
      <c r="N252" s="832"/>
      <c r="O252" s="832"/>
      <c r="P252" s="832"/>
      <c r="Q252" s="853">
        <f>11.101+97.15</f>
        <v>108.251</v>
      </c>
      <c r="R252" s="832"/>
      <c r="S252" s="832"/>
      <c r="T252" s="832"/>
      <c r="U252" s="832"/>
      <c r="V252" s="853">
        <v>504.51</v>
      </c>
      <c r="W252" s="832"/>
      <c r="X252" s="832"/>
      <c r="Y252" s="832"/>
      <c r="Z252" s="832"/>
      <c r="AA252" s="853">
        <v>430.44499999999999</v>
      </c>
      <c r="AB252" s="832"/>
      <c r="AC252" s="832"/>
      <c r="AD252" s="832"/>
      <c r="AE252" s="832"/>
      <c r="AF252" s="853">
        <v>478</v>
      </c>
      <c r="AG252" s="832">
        <v>418</v>
      </c>
      <c r="AH252" s="832">
        <v>462</v>
      </c>
      <c r="AI252" s="832">
        <v>448</v>
      </c>
      <c r="AJ252" s="832">
        <v>689</v>
      </c>
      <c r="AK252" s="300">
        <v>689</v>
      </c>
      <c r="AL252" s="832">
        <v>718</v>
      </c>
      <c r="AM252" s="832">
        <v>574</v>
      </c>
      <c r="AN252" s="832">
        <v>609</v>
      </c>
      <c r="AO252" s="832">
        <v>644</v>
      </c>
      <c r="AP252" s="300">
        <v>644</v>
      </c>
      <c r="AQ252" s="832">
        <v>40</v>
      </c>
      <c r="AR252" s="832">
        <v>118</v>
      </c>
      <c r="AS252" s="832">
        <v>0</v>
      </c>
      <c r="AT252" s="832">
        <v>10</v>
      </c>
      <c r="AU252" s="300">
        <f>10</f>
        <v>10</v>
      </c>
      <c r="AV252" s="832">
        <v>2</v>
      </c>
      <c r="AW252" s="832">
        <v>11</v>
      </c>
      <c r="AX252" s="832">
        <f>214+5</f>
        <v>219</v>
      </c>
      <c r="AY252" s="832">
        <f>240+6</f>
        <v>246</v>
      </c>
      <c r="AZ252" s="300">
        <f>AY252</f>
        <v>246</v>
      </c>
      <c r="BA252" s="832">
        <f>234+74</f>
        <v>308</v>
      </c>
      <c r="BB252" s="832">
        <f>513+169</f>
        <v>682</v>
      </c>
      <c r="BC252" s="832">
        <f>447+219</f>
        <v>666</v>
      </c>
      <c r="BD252" s="832">
        <f>495+133</f>
        <v>628</v>
      </c>
      <c r="BE252" s="300">
        <f>BD252</f>
        <v>628</v>
      </c>
      <c r="BF252" s="832">
        <f>559+126</f>
        <v>685</v>
      </c>
      <c r="BG252" s="832">
        <f>598+133</f>
        <v>731</v>
      </c>
      <c r="BH252" s="832">
        <f>578+29</f>
        <v>607</v>
      </c>
      <c r="BI252" s="832">
        <f>553+38</f>
        <v>591</v>
      </c>
      <c r="BJ252" s="300">
        <f>BI252</f>
        <v>591</v>
      </c>
      <c r="BK252" s="832">
        <v>573</v>
      </c>
      <c r="BL252" s="832">
        <v>560</v>
      </c>
      <c r="BM252" s="832">
        <f>522</f>
        <v>522</v>
      </c>
      <c r="BN252" s="832">
        <f>549+136</f>
        <v>685</v>
      </c>
      <c r="BO252" s="300">
        <f>BN252</f>
        <v>685</v>
      </c>
      <c r="BP252" s="832">
        <f>503+98</f>
        <v>601</v>
      </c>
      <c r="BQ252" s="832">
        <f>534+76</f>
        <v>610</v>
      </c>
      <c r="BR252" s="832">
        <f>581+86</f>
        <v>667</v>
      </c>
      <c r="BS252" s="832">
        <f>402+114</f>
        <v>516</v>
      </c>
      <c r="BT252" s="300">
        <f>BS252</f>
        <v>516</v>
      </c>
      <c r="BU252" s="832">
        <f>270+97</f>
        <v>367</v>
      </c>
      <c r="BV252" s="832">
        <f>343+127</f>
        <v>470</v>
      </c>
      <c r="BW252" s="832">
        <f>293+122</f>
        <v>415</v>
      </c>
      <c r="BX252" s="832">
        <f>367+60</f>
        <v>427</v>
      </c>
      <c r="BY252" s="300">
        <f>BX252</f>
        <v>427</v>
      </c>
      <c r="BZ252" s="832">
        <f>399+98</f>
        <v>497</v>
      </c>
      <c r="CA252" s="832">
        <f>493+56</f>
        <v>549</v>
      </c>
      <c r="CB252" s="832">
        <f>588+47</f>
        <v>635</v>
      </c>
      <c r="CC252" s="832">
        <f>558+49</f>
        <v>607</v>
      </c>
      <c r="CD252" s="300">
        <f>CC252</f>
        <v>607</v>
      </c>
      <c r="CE252" s="832">
        <f>530+0</f>
        <v>530</v>
      </c>
      <c r="CF252" s="832">
        <v>575</v>
      </c>
      <c r="CG252" s="832">
        <v>581</v>
      </c>
      <c r="CH252" s="832">
        <v>538</v>
      </c>
      <c r="CI252" s="300">
        <f>CH252</f>
        <v>538</v>
      </c>
      <c r="CJ252" s="832">
        <v>608</v>
      </c>
      <c r="CK252" s="832">
        <v>470</v>
      </c>
      <c r="CL252" s="832">
        <v>420</v>
      </c>
      <c r="CM252" s="141">
        <f t="shared" ref="CM252:CR252" si="884">CL252-CM232</f>
        <v>420</v>
      </c>
      <c r="CN252" s="300">
        <f>CM252</f>
        <v>420</v>
      </c>
      <c r="CO252" s="141">
        <f t="shared" si="884"/>
        <v>420</v>
      </c>
      <c r="CP252" s="141">
        <f t="shared" si="884"/>
        <v>420</v>
      </c>
      <c r="CQ252" s="141">
        <f t="shared" si="884"/>
        <v>252.22826902523008</v>
      </c>
      <c r="CR252" s="141">
        <f t="shared" si="884"/>
        <v>252.22826902523008</v>
      </c>
      <c r="CS252" s="300">
        <f>CR252</f>
        <v>252.22826902523008</v>
      </c>
      <c r="CT252" s="141"/>
      <c r="CU252" s="143"/>
      <c r="CV252" s="143"/>
      <c r="CW252" s="143"/>
      <c r="CX252" s="300">
        <f>CS252-CX232</f>
        <v>252.22826902523008</v>
      </c>
      <c r="CY252" s="141"/>
      <c r="CZ252" s="143"/>
      <c r="DA252" s="143"/>
      <c r="DB252" s="143"/>
      <c r="DC252" s="300">
        <f>CX252-DC232</f>
        <v>252.22826902523008</v>
      </c>
      <c r="DD252" s="132"/>
      <c r="DE252" s="471"/>
      <c r="DJ252" s="413"/>
      <c r="DK252" s="411"/>
      <c r="DL252" s="411"/>
      <c r="DM252" s="411"/>
      <c r="DN252" s="411"/>
      <c r="DO252" s="411"/>
      <c r="DP252" s="411"/>
      <c r="DQ252" s="411"/>
      <c r="DR252" s="508"/>
      <c r="DS252" s="141"/>
    </row>
    <row r="253" spans="1:131" x14ac:dyDescent="0.2">
      <c r="A253" s="156" t="s">
        <v>190</v>
      </c>
      <c r="B253" s="301"/>
      <c r="C253" s="145"/>
      <c r="D253" s="145"/>
      <c r="E253" s="145"/>
      <c r="F253" s="145"/>
      <c r="G253" s="301">
        <f>G252+G251</f>
        <v>34.403000000000048</v>
      </c>
      <c r="H253" s="145"/>
      <c r="I253" s="145"/>
      <c r="J253" s="145"/>
      <c r="K253" s="145"/>
      <c r="L253" s="301">
        <f>L252+L251</f>
        <v>117.52200000000002</v>
      </c>
      <c r="M253" s="145"/>
      <c r="N253" s="145"/>
      <c r="O253" s="145"/>
      <c r="P253" s="145"/>
      <c r="Q253" s="301">
        <f>Q252+Q251</f>
        <v>122.65299999999993</v>
      </c>
      <c r="R253" s="145"/>
      <c r="S253" s="145"/>
      <c r="T253" s="145"/>
      <c r="U253" s="145"/>
      <c r="V253" s="301">
        <f>V252+V251</f>
        <v>607.30499999999995</v>
      </c>
      <c r="W253" s="145"/>
      <c r="X253" s="145"/>
      <c r="Y253" s="145"/>
      <c r="Z253" s="145"/>
      <c r="AA253" s="301">
        <f>AA252+AA251</f>
        <v>449.16199999999992</v>
      </c>
      <c r="AB253" s="145"/>
      <c r="AC253" s="145"/>
      <c r="AD253" s="145"/>
      <c r="AE253" s="145"/>
      <c r="AF253" s="301">
        <f t="shared" ref="AF253:BO253" si="885">AF252+AF251</f>
        <v>483.71699999999987</v>
      </c>
      <c r="AG253" s="145">
        <f t="shared" si="885"/>
        <v>419.71699999999987</v>
      </c>
      <c r="AH253" s="145">
        <f t="shared" si="885"/>
        <v>467.71699999999987</v>
      </c>
      <c r="AI253" s="145">
        <f t="shared" si="885"/>
        <v>455.71699999999987</v>
      </c>
      <c r="AJ253" s="145">
        <f t="shared" si="885"/>
        <v>698.71699999999987</v>
      </c>
      <c r="AK253" s="301">
        <f t="shared" si="885"/>
        <v>698.71699999999987</v>
      </c>
      <c r="AL253" s="145">
        <f t="shared" si="885"/>
        <v>773.71699999999987</v>
      </c>
      <c r="AM253" s="145">
        <f t="shared" si="885"/>
        <v>771.71699999999987</v>
      </c>
      <c r="AN253" s="145">
        <f t="shared" si="885"/>
        <v>843.71699999999987</v>
      </c>
      <c r="AO253" s="145">
        <f t="shared" si="885"/>
        <v>833.71699999999987</v>
      </c>
      <c r="AP253" s="301">
        <f t="shared" si="885"/>
        <v>833.71699999999987</v>
      </c>
      <c r="AQ253" s="145">
        <f t="shared" si="885"/>
        <v>752.71699999999987</v>
      </c>
      <c r="AR253" s="145">
        <f t="shared" si="885"/>
        <v>963.71699999999987</v>
      </c>
      <c r="AS253" s="145">
        <f t="shared" si="885"/>
        <v>564.71699999999987</v>
      </c>
      <c r="AT253" s="145">
        <f t="shared" si="885"/>
        <v>570.71699999999987</v>
      </c>
      <c r="AU253" s="301">
        <f t="shared" si="885"/>
        <v>570.71699999999987</v>
      </c>
      <c r="AV253" s="145">
        <f t="shared" si="885"/>
        <v>635.71699999999987</v>
      </c>
      <c r="AW253" s="145">
        <f t="shared" si="885"/>
        <v>890.71699999999987</v>
      </c>
      <c r="AX253" s="145">
        <f t="shared" si="885"/>
        <v>1169.7169999999999</v>
      </c>
      <c r="AY253" s="145">
        <f t="shared" si="885"/>
        <v>1141.7169999999999</v>
      </c>
      <c r="AZ253" s="301">
        <f t="shared" si="885"/>
        <v>1141.7169999999999</v>
      </c>
      <c r="BA253" s="145">
        <f>BA252+BA251</f>
        <v>1136.7169999999999</v>
      </c>
      <c r="BB253" s="145">
        <f>BB252+BB251</f>
        <v>1158.7169999999999</v>
      </c>
      <c r="BC253" s="145">
        <f>BC252+BC251</f>
        <v>1163.7169999999999</v>
      </c>
      <c r="BD253" s="145">
        <f>BD252+BD251</f>
        <v>1092.7169999999999</v>
      </c>
      <c r="BE253" s="301">
        <f t="shared" si="885"/>
        <v>1092.7169999999996</v>
      </c>
      <c r="BF253" s="145">
        <f>BF252+BF251</f>
        <v>1234.7169999999996</v>
      </c>
      <c r="BG253" s="145">
        <f>BG252+BG251</f>
        <v>1305.7169999999996</v>
      </c>
      <c r="BH253" s="145">
        <f>BH252+BH251</f>
        <v>1238.7169999999996</v>
      </c>
      <c r="BI253" s="145">
        <f>BI252+BI251</f>
        <v>1263.7169999999996</v>
      </c>
      <c r="BJ253" s="301">
        <f t="shared" si="885"/>
        <v>1263.7169999999996</v>
      </c>
      <c r="BK253" s="145">
        <f>BK252+BK251</f>
        <v>1224.7169999999996</v>
      </c>
      <c r="BL253" s="145">
        <f>BL252+BL251</f>
        <v>1211.7169999999996</v>
      </c>
      <c r="BM253" s="145">
        <f>BM252+BM251</f>
        <v>1063.7169999999996</v>
      </c>
      <c r="BN253" s="145">
        <f>BN252+BN251</f>
        <v>866.71699999999953</v>
      </c>
      <c r="BO253" s="301">
        <f t="shared" si="885"/>
        <v>866.71699999999953</v>
      </c>
      <c r="BP253" s="145">
        <f t="shared" ref="BP253:BU253" si="886">BP252+BP251</f>
        <v>946.71699999999953</v>
      </c>
      <c r="BQ253" s="145">
        <f t="shared" si="886"/>
        <v>942.71699999999953</v>
      </c>
      <c r="BR253" s="145">
        <f t="shared" si="886"/>
        <v>1039.7169999999996</v>
      </c>
      <c r="BS253" s="145">
        <f t="shared" si="886"/>
        <v>740.71699999999953</v>
      </c>
      <c r="BT253" s="301">
        <f t="shared" si="886"/>
        <v>740.71699999999953</v>
      </c>
      <c r="BU253" s="145">
        <f t="shared" si="886"/>
        <v>867.71699999999953</v>
      </c>
      <c r="BV253" s="145">
        <f t="shared" ref="BV253:CD253" si="887">BV252+BV251</f>
        <v>923.71699999999953</v>
      </c>
      <c r="BW253" s="145">
        <f t="shared" si="887"/>
        <v>863.71699999999953</v>
      </c>
      <c r="BX253" s="145">
        <f t="shared" si="887"/>
        <v>767.71699999999953</v>
      </c>
      <c r="BY253" s="301">
        <f t="shared" si="887"/>
        <v>767.71699999999953</v>
      </c>
      <c r="BZ253" s="145">
        <f t="shared" si="887"/>
        <v>1095.7169999999996</v>
      </c>
      <c r="CA253" s="145">
        <f t="shared" si="887"/>
        <v>970.71699999999953</v>
      </c>
      <c r="CB253" s="145">
        <f t="shared" si="887"/>
        <v>1178.7169999999996</v>
      </c>
      <c r="CC253" s="145">
        <f t="shared" si="887"/>
        <v>924.71699999999953</v>
      </c>
      <c r="CD253" s="301">
        <f t="shared" si="887"/>
        <v>924.71699999999953</v>
      </c>
      <c r="CE253" s="145">
        <f>CE252+CE251</f>
        <v>1286.7169999999996</v>
      </c>
      <c r="CF253" s="145">
        <f>CF252+CF251</f>
        <v>1509.7169999999996</v>
      </c>
      <c r="CG253" s="145">
        <f>CG252+CG251</f>
        <v>1453.7169999999996</v>
      </c>
      <c r="CH253" s="145">
        <f>CH252+CH251</f>
        <v>970.71699999999953</v>
      </c>
      <c r="CI253" s="301">
        <f>CI252+CI251</f>
        <v>970.71699999999953</v>
      </c>
      <c r="CJ253" s="145">
        <f t="shared" ref="CJ253:CM253" si="888">CJ252+CJ251</f>
        <v>1045.7169999999996</v>
      </c>
      <c r="CK253" s="145">
        <f t="shared" si="888"/>
        <v>1019.7169999999995</v>
      </c>
      <c r="CL253" s="145">
        <f t="shared" si="888"/>
        <v>813.71699999999953</v>
      </c>
      <c r="CM253" s="145">
        <f t="shared" si="888"/>
        <v>1114.8243761915307</v>
      </c>
      <c r="CN253" s="301">
        <f>CN252+CN251</f>
        <v>1114.824376191531</v>
      </c>
      <c r="CO253" s="145">
        <f t="shared" ref="CO253:CR253" si="889">CO252+CO251</f>
        <v>1226.8449263497953</v>
      </c>
      <c r="CP253" s="145">
        <f t="shared" si="889"/>
        <v>1167.5012394647488</v>
      </c>
      <c r="CQ253" s="145">
        <f t="shared" si="889"/>
        <v>999.72950848997903</v>
      </c>
      <c r="CR253" s="145">
        <f t="shared" si="889"/>
        <v>999.1343244896691</v>
      </c>
      <c r="CS253" s="301">
        <f>CS252+CS251</f>
        <v>999.13432448966932</v>
      </c>
      <c r="CT253" s="145"/>
      <c r="CU253" s="145"/>
      <c r="CV253" s="145"/>
      <c r="CW253" s="145"/>
      <c r="CX253" s="301">
        <f>CX252+CX251</f>
        <v>922.56998830948055</v>
      </c>
      <c r="CY253" s="145"/>
      <c r="CZ253" s="145"/>
      <c r="DA253" s="145"/>
      <c r="DB253" s="145"/>
      <c r="DC253" s="301">
        <f>DC252+DC251</f>
        <v>1112.0128524913473</v>
      </c>
      <c r="DD253" s="152"/>
      <c r="DE253" s="476"/>
      <c r="DJ253" s="413"/>
      <c r="DK253" s="411"/>
      <c r="DL253" s="411"/>
      <c r="DM253" s="411"/>
      <c r="DN253" s="411"/>
      <c r="DO253" s="411"/>
      <c r="DP253" s="411"/>
      <c r="DQ253" s="411"/>
      <c r="DR253" s="508"/>
      <c r="DS253" s="145"/>
    </row>
    <row r="254" spans="1:131" x14ac:dyDescent="0.2">
      <c r="A254" s="238" t="s">
        <v>191</v>
      </c>
      <c r="B254" s="307"/>
      <c r="C254" s="157"/>
      <c r="D254" s="157"/>
      <c r="E254" s="157"/>
      <c r="F254" s="157"/>
      <c r="G254" s="307"/>
      <c r="H254" s="157"/>
      <c r="I254" s="157"/>
      <c r="J254" s="157"/>
      <c r="K254" s="157"/>
      <c r="L254" s="307">
        <f>L253/L181</f>
        <v>0.36678172614180404</v>
      </c>
      <c r="M254" s="157"/>
      <c r="N254" s="157"/>
      <c r="O254" s="157"/>
      <c r="P254" s="157"/>
      <c r="Q254" s="307">
        <f>Q253/Q181</f>
        <v>0.19309624978943329</v>
      </c>
      <c r="R254" s="157"/>
      <c r="S254" s="157"/>
      <c r="T254" s="157"/>
      <c r="U254" s="157"/>
      <c r="V254" s="307">
        <f>V253/V181</f>
        <v>0.60830810005699398</v>
      </c>
      <c r="W254" s="157"/>
      <c r="X254" s="157"/>
      <c r="Y254" s="157"/>
      <c r="Z254" s="157"/>
      <c r="AA254" s="307">
        <f>AA253/AA181</f>
        <v>0.35577977174939324</v>
      </c>
      <c r="AB254" s="157"/>
      <c r="AC254" s="157"/>
      <c r="AD254" s="157"/>
      <c r="AE254" s="157"/>
      <c r="AF254" s="307">
        <f t="shared" ref="AF254:BR254" si="890">AF253/AF181</f>
        <v>0.28418351370548284</v>
      </c>
      <c r="AG254" s="157">
        <f t="shared" si="890"/>
        <v>0.23082845746070377</v>
      </c>
      <c r="AH254" s="157">
        <f t="shared" si="890"/>
        <v>0.2337057732771633</v>
      </c>
      <c r="AI254" s="157">
        <f t="shared" si="890"/>
        <v>0.20939104720105561</v>
      </c>
      <c r="AJ254" s="157">
        <f t="shared" si="890"/>
        <v>0.29564060252179059</v>
      </c>
      <c r="AK254" s="307">
        <f t="shared" si="890"/>
        <v>0.29564060252179059</v>
      </c>
      <c r="AL254" s="157">
        <f t="shared" si="890"/>
        <v>0.31185691253526798</v>
      </c>
      <c r="AM254" s="157">
        <f t="shared" si="890"/>
        <v>0.29692843401308189</v>
      </c>
      <c r="AN254" s="157">
        <f t="shared" si="890"/>
        <v>0.30837609649122805</v>
      </c>
      <c r="AO254" s="157">
        <f t="shared" si="890"/>
        <v>0.29335573539760729</v>
      </c>
      <c r="AP254" s="307">
        <f t="shared" si="890"/>
        <v>0.29335573539760729</v>
      </c>
      <c r="AQ254" s="157">
        <f t="shared" si="890"/>
        <v>0.24679245901639341</v>
      </c>
      <c r="AR254" s="157">
        <f t="shared" si="890"/>
        <v>0.30315099087763442</v>
      </c>
      <c r="AS254" s="157">
        <f t="shared" si="890"/>
        <v>0.17030066344993966</v>
      </c>
      <c r="AT254" s="157">
        <f t="shared" si="890"/>
        <v>0.16845247933884294</v>
      </c>
      <c r="AU254" s="307">
        <f t="shared" si="890"/>
        <v>0.16845247933884294</v>
      </c>
      <c r="AV254" s="157">
        <f t="shared" si="890"/>
        <v>0.18880813780813777</v>
      </c>
      <c r="AW254" s="157">
        <f t="shared" si="890"/>
        <v>0.26853090141694297</v>
      </c>
      <c r="AX254" s="157">
        <f t="shared" si="890"/>
        <v>0.35771162079510699</v>
      </c>
      <c r="AY254" s="157">
        <f t="shared" si="890"/>
        <v>0.34692099665755088</v>
      </c>
      <c r="AZ254" s="307">
        <f t="shared" si="890"/>
        <v>0.34692099665755088</v>
      </c>
      <c r="BA254" s="157">
        <f t="shared" si="890"/>
        <v>0.33770558526440875</v>
      </c>
      <c r="BB254" s="157">
        <f t="shared" si="890"/>
        <v>0.33144078947368416</v>
      </c>
      <c r="BC254" s="157">
        <f t="shared" si="890"/>
        <v>0.31700272405339142</v>
      </c>
      <c r="BD254" s="157">
        <f t="shared" si="890"/>
        <v>0.28915506747816877</v>
      </c>
      <c r="BE254" s="307">
        <f t="shared" si="890"/>
        <v>0.28915506747816871</v>
      </c>
      <c r="BF254" s="157">
        <f t="shared" si="890"/>
        <v>0.31489849528181579</v>
      </c>
      <c r="BG254" s="157">
        <f t="shared" si="890"/>
        <v>0.31592475199612863</v>
      </c>
      <c r="BH254" s="157">
        <f t="shared" si="890"/>
        <v>0.28820777105630518</v>
      </c>
      <c r="BI254" s="157">
        <f t="shared" si="890"/>
        <v>0.28057659857904077</v>
      </c>
      <c r="BJ254" s="307">
        <f t="shared" si="890"/>
        <v>0.28057659857904077</v>
      </c>
      <c r="BK254" s="157">
        <f t="shared" si="890"/>
        <v>0.260855591054313</v>
      </c>
      <c r="BL254" s="157">
        <f t="shared" si="890"/>
        <v>0.25134142294129841</v>
      </c>
      <c r="BM254" s="157">
        <f t="shared" si="890"/>
        <v>0.21558917713822448</v>
      </c>
      <c r="BN254" s="157">
        <f t="shared" si="890"/>
        <v>0.1739696908871938</v>
      </c>
      <c r="BO254" s="307">
        <f t="shared" si="890"/>
        <v>0.1739696908871938</v>
      </c>
      <c r="BP254" s="157">
        <f t="shared" si="890"/>
        <v>0.18643501378495461</v>
      </c>
      <c r="BQ254" s="157">
        <f t="shared" si="890"/>
        <v>0.18355081775700927</v>
      </c>
      <c r="BR254" s="157">
        <f t="shared" si="890"/>
        <v>0.19728975332068305</v>
      </c>
      <c r="BS254" s="157">
        <f t="shared" ref="BS254:BZ254" si="891">BS253/BS181</f>
        <v>0.13613618820069831</v>
      </c>
      <c r="BT254" s="307">
        <f t="shared" si="891"/>
        <v>0.13613618820069831</v>
      </c>
      <c r="BU254" s="157">
        <f t="shared" si="891"/>
        <v>0.15802531415042789</v>
      </c>
      <c r="BV254" s="157">
        <f>BV253/BV181</f>
        <v>0.16351867587183563</v>
      </c>
      <c r="BW254" s="157">
        <f>BW253/BW181</f>
        <v>0.15057827754532768</v>
      </c>
      <c r="BX254" s="157">
        <f t="shared" si="891"/>
        <v>0.13197816744026122</v>
      </c>
      <c r="BY254" s="307">
        <f t="shared" si="891"/>
        <v>0.13197816744026122</v>
      </c>
      <c r="BZ254" s="157">
        <f t="shared" si="891"/>
        <v>0.18289384076114165</v>
      </c>
      <c r="CA254" s="157">
        <f t="shared" ref="CA254:CM254" si="892">CA253/CA181</f>
        <v>0.15887348608837962</v>
      </c>
      <c r="CB254" s="157">
        <f t="shared" si="892"/>
        <v>0.1880531269942565</v>
      </c>
      <c r="CC254" s="157">
        <f t="shared" si="892"/>
        <v>0.14412671446384032</v>
      </c>
      <c r="CD254" s="307">
        <f t="shared" si="892"/>
        <v>0.14412671446384032</v>
      </c>
      <c r="CE254" s="157">
        <f t="shared" si="892"/>
        <v>0.1976827469657397</v>
      </c>
      <c r="CF254" s="157">
        <f t="shared" si="892"/>
        <v>0.23084357798165131</v>
      </c>
      <c r="CG254" s="157">
        <f t="shared" si="892"/>
        <v>0.22076188306757777</v>
      </c>
      <c r="CH254" s="157">
        <f t="shared" si="892"/>
        <v>0.14636866706875748</v>
      </c>
      <c r="CI254" s="307">
        <f t="shared" si="892"/>
        <v>0.14636866706875748</v>
      </c>
      <c r="CJ254" s="157">
        <f t="shared" si="892"/>
        <v>0.15796329305135945</v>
      </c>
      <c r="CK254" s="157">
        <f t="shared" si="892"/>
        <v>0.14954054846751716</v>
      </c>
      <c r="CL254" s="157">
        <f t="shared" si="892"/>
        <v>0.11792999999999994</v>
      </c>
      <c r="CM254" s="157">
        <f t="shared" si="892"/>
        <v>0.15892008213706782</v>
      </c>
      <c r="CN254" s="307">
        <f t="shared" ref="CN254:CR254" si="893">CN253/CN181</f>
        <v>0.15892008213706785</v>
      </c>
      <c r="CO254" s="157">
        <f t="shared" si="893"/>
        <v>0.17114636533779179</v>
      </c>
      <c r="CP254" s="157">
        <f t="shared" si="893"/>
        <v>0.16146769821522922</v>
      </c>
      <c r="CQ254" s="157">
        <f t="shared" si="893"/>
        <v>0.13412282898702632</v>
      </c>
      <c r="CR254" s="157">
        <f t="shared" si="893"/>
        <v>0.13104008086897281</v>
      </c>
      <c r="CS254" s="307">
        <f t="shared" ref="CS254" si="894">CS253/CS181</f>
        <v>0.13104008086897281</v>
      </c>
      <c r="CT254" s="157"/>
      <c r="CU254" s="157"/>
      <c r="CV254" s="157"/>
      <c r="CW254" s="157"/>
      <c r="CX254" s="307">
        <f>CX253/CX181</f>
        <v>0.111896239051071</v>
      </c>
      <c r="CY254" s="157"/>
      <c r="CZ254" s="157"/>
      <c r="DA254" s="157"/>
      <c r="DB254" s="157"/>
      <c r="DC254" s="307">
        <f>DC253/DC181</f>
        <v>0.12502754559277937</v>
      </c>
      <c r="DD254" s="157"/>
      <c r="DE254" s="478"/>
      <c r="DJ254" s="399"/>
      <c r="DK254" s="396"/>
      <c r="DL254" s="396"/>
      <c r="DM254" s="396"/>
      <c r="DN254" s="396"/>
      <c r="DO254" s="396"/>
      <c r="DP254" s="396"/>
      <c r="DQ254" s="396"/>
      <c r="DR254" s="493"/>
      <c r="DS254" s="157"/>
    </row>
    <row r="255" spans="1:131" x14ac:dyDescent="0.2">
      <c r="A255" s="141" t="s">
        <v>192</v>
      </c>
      <c r="B255" s="300"/>
      <c r="C255" s="141"/>
      <c r="D255" s="141"/>
      <c r="E255" s="141"/>
      <c r="F255" s="141"/>
      <c r="G255" s="853">
        <v>0</v>
      </c>
      <c r="H255" s="141"/>
      <c r="I255" s="141"/>
      <c r="J255" s="141"/>
      <c r="K255" s="141"/>
      <c r="L255" s="853">
        <v>0</v>
      </c>
      <c r="M255" s="832"/>
      <c r="N255" s="832"/>
      <c r="O255" s="832"/>
      <c r="P255" s="832"/>
      <c r="Q255" s="853">
        <v>0</v>
      </c>
      <c r="R255" s="832"/>
      <c r="S255" s="832"/>
      <c r="T255" s="832"/>
      <c r="U255" s="832"/>
      <c r="V255" s="853">
        <v>0</v>
      </c>
      <c r="W255" s="832"/>
      <c r="X255" s="832"/>
      <c r="Y255" s="832"/>
      <c r="Z255" s="832"/>
      <c r="AA255" s="853">
        <v>0</v>
      </c>
      <c r="AB255" s="832"/>
      <c r="AC255" s="832"/>
      <c r="AD255" s="832"/>
      <c r="AE255" s="832"/>
      <c r="AF255" s="853">
        <v>111</v>
      </c>
      <c r="AG255" s="832">
        <v>115</v>
      </c>
      <c r="AH255" s="832">
        <v>115</v>
      </c>
      <c r="AI255" s="832">
        <v>115</v>
      </c>
      <c r="AJ255" s="832">
        <v>120</v>
      </c>
      <c r="AK255" s="300">
        <v>120</v>
      </c>
      <c r="AL255" s="832">
        <v>122</v>
      </c>
      <c r="AM255" s="832">
        <v>100</v>
      </c>
      <c r="AN255" s="832">
        <v>70</v>
      </c>
      <c r="AO255" s="832">
        <v>53</v>
      </c>
      <c r="AP255" s="300">
        <v>53</v>
      </c>
      <c r="AQ255" s="832">
        <f>54</f>
        <v>54</v>
      </c>
      <c r="AR255" s="832">
        <f>129</f>
        <v>129</v>
      </c>
      <c r="AS255" s="832">
        <f>138+73</f>
        <v>211</v>
      </c>
      <c r="AT255" s="832">
        <f>78+69+117</f>
        <v>264</v>
      </c>
      <c r="AU255" s="300">
        <f>78+69+117</f>
        <v>264</v>
      </c>
      <c r="AV255" s="832">
        <f>78+69+63</f>
        <v>210</v>
      </c>
      <c r="AW255" s="832">
        <f>78+62+26</f>
        <v>166</v>
      </c>
      <c r="AX255" s="832">
        <f>48+65</f>
        <v>113</v>
      </c>
      <c r="AY255" s="832">
        <f>64+13</f>
        <v>77</v>
      </c>
      <c r="AZ255" s="300">
        <f>AY255</f>
        <v>77</v>
      </c>
      <c r="BA255" s="832">
        <f>9+62</f>
        <v>71</v>
      </c>
      <c r="BB255" s="832">
        <f>9+61</f>
        <v>70</v>
      </c>
      <c r="BC255" s="832">
        <f>7+62</f>
        <v>69</v>
      </c>
      <c r="BD255" s="832">
        <f>3+65</f>
        <v>68</v>
      </c>
      <c r="BE255" s="300">
        <f>BD255</f>
        <v>68</v>
      </c>
      <c r="BF255" s="832">
        <f>3+63</f>
        <v>66</v>
      </c>
      <c r="BG255" s="832">
        <v>65</v>
      </c>
      <c r="BH255" s="832">
        <v>64</v>
      </c>
      <c r="BI255" s="832">
        <v>67</v>
      </c>
      <c r="BJ255" s="300">
        <f>BI255</f>
        <v>67</v>
      </c>
      <c r="BK255" s="832">
        <v>65</v>
      </c>
      <c r="BL255" s="832">
        <v>55</v>
      </c>
      <c r="BM255" s="832">
        <v>55</v>
      </c>
      <c r="BN255" s="832">
        <v>51</v>
      </c>
      <c r="BO255" s="300">
        <f>BN255</f>
        <v>51</v>
      </c>
      <c r="BP255" s="832">
        <v>51</v>
      </c>
      <c r="BQ255" s="832">
        <v>50</v>
      </c>
      <c r="BR255" s="832">
        <v>53</v>
      </c>
      <c r="BS255" s="832">
        <v>57</v>
      </c>
      <c r="BT255" s="300">
        <f>BS255</f>
        <v>57</v>
      </c>
      <c r="BU255" s="832">
        <v>60</v>
      </c>
      <c r="BV255" s="832">
        <v>62</v>
      </c>
      <c r="BW255" s="832">
        <v>64</v>
      </c>
      <c r="BX255" s="832">
        <v>61</v>
      </c>
      <c r="BY255" s="300">
        <f>BX255</f>
        <v>61</v>
      </c>
      <c r="BZ255" s="832">
        <v>62</v>
      </c>
      <c r="CA255" s="832">
        <v>62</v>
      </c>
      <c r="CB255" s="832">
        <v>66</v>
      </c>
      <c r="CC255" s="832">
        <v>63</v>
      </c>
      <c r="CD255" s="300">
        <f>CC255</f>
        <v>63</v>
      </c>
      <c r="CE255" s="832">
        <v>66</v>
      </c>
      <c r="CF255" s="832">
        <v>66</v>
      </c>
      <c r="CG255" s="832">
        <v>68</v>
      </c>
      <c r="CH255" s="832">
        <v>62</v>
      </c>
      <c r="CI255" s="300">
        <f>CH255</f>
        <v>62</v>
      </c>
      <c r="CJ255" s="832">
        <v>61</v>
      </c>
      <c r="CK255" s="832">
        <v>60</v>
      </c>
      <c r="CL255" s="832">
        <v>60</v>
      </c>
      <c r="CM255" s="141">
        <f t="shared" ref="CM255" si="895">CM256*CM182</f>
        <v>60.841799709724242</v>
      </c>
      <c r="CN255" s="300">
        <f>CM255</f>
        <v>60.841799709724242</v>
      </c>
      <c r="CO255" s="141">
        <f t="shared" ref="CO255:CR255" si="896">CO256*CO182</f>
        <v>62.044760841799707</v>
      </c>
      <c r="CP255" s="141">
        <f t="shared" si="896"/>
        <v>62.479013381712626</v>
      </c>
      <c r="CQ255" s="141">
        <f t="shared" si="896"/>
        <v>64.308519912917262</v>
      </c>
      <c r="CR255" s="141">
        <f t="shared" si="896"/>
        <v>65.68260022254475</v>
      </c>
      <c r="CS255" s="300">
        <f>CR255</f>
        <v>65.68260022254475</v>
      </c>
      <c r="CT255" s="141"/>
      <c r="CU255" s="141"/>
      <c r="CV255" s="141"/>
      <c r="CW255" s="141"/>
      <c r="CX255" s="300">
        <f>CX256*CX182</f>
        <v>70.631784149313489</v>
      </c>
      <c r="CY255" s="141"/>
      <c r="CZ255" s="141"/>
      <c r="DA255" s="141"/>
      <c r="DB255" s="141"/>
      <c r="DC255" s="300">
        <f>DC256*DC182</f>
        <v>75.95388908496426</v>
      </c>
      <c r="DD255" s="132"/>
      <c r="DE255" s="471"/>
      <c r="DJ255" s="413"/>
      <c r="DK255" s="411"/>
      <c r="DL255" s="411"/>
      <c r="DM255" s="411"/>
      <c r="DN255" s="411"/>
      <c r="DO255" s="411"/>
      <c r="DP255" s="411"/>
      <c r="DQ255" s="411"/>
      <c r="DR255" s="508"/>
      <c r="DS255" s="141"/>
    </row>
    <row r="256" spans="1:131" x14ac:dyDescent="0.2">
      <c r="A256" s="239" t="s">
        <v>195</v>
      </c>
      <c r="B256" s="302"/>
      <c r="C256" s="154"/>
      <c r="D256" s="154"/>
      <c r="E256" s="154"/>
      <c r="F256" s="154"/>
      <c r="G256" s="302"/>
      <c r="H256" s="158"/>
      <c r="I256" s="158"/>
      <c r="J256" s="158"/>
      <c r="K256" s="158"/>
      <c r="L256" s="302">
        <f>L255/L182</f>
        <v>0</v>
      </c>
      <c r="M256" s="158"/>
      <c r="N256" s="158"/>
      <c r="O256" s="158"/>
      <c r="P256" s="158"/>
      <c r="Q256" s="302">
        <f>Q255/Q182</f>
        <v>0</v>
      </c>
      <c r="R256" s="158"/>
      <c r="S256" s="158"/>
      <c r="T256" s="158"/>
      <c r="U256" s="158"/>
      <c r="V256" s="302">
        <f>V255/V182</f>
        <v>0</v>
      </c>
      <c r="W256" s="158"/>
      <c r="X256" s="158"/>
      <c r="Y256" s="158"/>
      <c r="Z256" s="158"/>
      <c r="AA256" s="302">
        <f>AA255/AA182</f>
        <v>0</v>
      </c>
      <c r="AB256" s="158"/>
      <c r="AC256" s="158"/>
      <c r="AD256" s="158"/>
      <c r="AE256" s="158"/>
      <c r="AF256" s="302">
        <f t="shared" ref="AF256:BR256" si="897">AF255/AF182</f>
        <v>6.8460580582729053E-2</v>
      </c>
      <c r="AG256" s="158">
        <f t="shared" si="897"/>
        <v>6.6593818819644837E-2</v>
      </c>
      <c r="AH256" s="158">
        <f t="shared" si="897"/>
        <v>6.0689634790887258E-2</v>
      </c>
      <c r="AI256" s="158">
        <f t="shared" si="897"/>
        <v>5.6033109233379355E-2</v>
      </c>
      <c r="AJ256" s="158">
        <f t="shared" si="897"/>
        <v>5.39713951605649E-2</v>
      </c>
      <c r="AK256" s="302">
        <f t="shared" si="897"/>
        <v>5.39713951605649E-2</v>
      </c>
      <c r="AL256" s="158">
        <f t="shared" si="897"/>
        <v>5.2495697074010327E-2</v>
      </c>
      <c r="AM256" s="158">
        <f t="shared" si="897"/>
        <v>4.118616144975288E-2</v>
      </c>
      <c r="AN256" s="158">
        <f t="shared" si="897"/>
        <v>2.7440219521756175E-2</v>
      </c>
      <c r="AO256" s="158">
        <f t="shared" si="897"/>
        <v>2.0106221547799695E-2</v>
      </c>
      <c r="AP256" s="302">
        <f t="shared" si="897"/>
        <v>2.0106221547799695E-2</v>
      </c>
      <c r="AQ256" s="158">
        <f t="shared" si="897"/>
        <v>1.9148936170212766E-2</v>
      </c>
      <c r="AR256" s="158">
        <f t="shared" si="897"/>
        <v>4.4238683127572016E-2</v>
      </c>
      <c r="AS256" s="158">
        <f t="shared" si="897"/>
        <v>7.0076386582530723E-2</v>
      </c>
      <c r="AT256" s="158">
        <f t="shared" si="897"/>
        <v>8.6387434554973816E-2</v>
      </c>
      <c r="AU256" s="302">
        <f t="shared" si="897"/>
        <v>8.6387434554973816E-2</v>
      </c>
      <c r="AV256" s="158">
        <f t="shared" si="897"/>
        <v>6.9628647214854109E-2</v>
      </c>
      <c r="AW256" s="158">
        <f t="shared" si="897"/>
        <v>5.6081081081081084E-2</v>
      </c>
      <c r="AX256" s="158">
        <f t="shared" si="897"/>
        <v>3.8725154215215898E-2</v>
      </c>
      <c r="AY256" s="158">
        <f t="shared" si="897"/>
        <v>2.6252983293556086E-2</v>
      </c>
      <c r="AZ256" s="302">
        <f t="shared" si="897"/>
        <v>2.6252983293556086E-2</v>
      </c>
      <c r="BA256" s="158">
        <f t="shared" si="897"/>
        <v>2.3588039867109636E-2</v>
      </c>
      <c r="BB256" s="158">
        <f t="shared" si="897"/>
        <v>2.2314313037934332E-2</v>
      </c>
      <c r="BC256" s="158">
        <f t="shared" si="897"/>
        <v>2.0883777239709442E-2</v>
      </c>
      <c r="BD256" s="158">
        <f t="shared" si="897"/>
        <v>1.992966002344666E-2</v>
      </c>
      <c r="BE256" s="302">
        <f t="shared" si="897"/>
        <v>1.992966002344666E-2</v>
      </c>
      <c r="BF256" s="158">
        <f t="shared" si="897"/>
        <v>1.86810076422304E-2</v>
      </c>
      <c r="BG256" s="158">
        <f t="shared" si="897"/>
        <v>1.7430946634486459E-2</v>
      </c>
      <c r="BH256" s="158">
        <f t="shared" si="897"/>
        <v>1.6477857878475798E-2</v>
      </c>
      <c r="BI256" s="158">
        <f t="shared" si="897"/>
        <v>1.6421568627450981E-2</v>
      </c>
      <c r="BJ256" s="302">
        <f>BJ255/BJ182</f>
        <v>1.6421568627450981E-2</v>
      </c>
      <c r="BK256" s="158">
        <f t="shared" si="897"/>
        <v>1.5222482435597189E-2</v>
      </c>
      <c r="BL256" s="158">
        <f t="shared" si="897"/>
        <v>1.2514220705346985E-2</v>
      </c>
      <c r="BM256" s="158">
        <f t="shared" si="897"/>
        <v>1.2216792536650378E-2</v>
      </c>
      <c r="BN256" s="158">
        <f t="shared" si="897"/>
        <v>1.1208791208791209E-2</v>
      </c>
      <c r="BO256" s="302">
        <f>BO255/BO182</f>
        <v>1.1208791208791209E-2</v>
      </c>
      <c r="BP256" s="158">
        <f t="shared" si="897"/>
        <v>1.0991379310344827E-2</v>
      </c>
      <c r="BQ256" s="158">
        <f t="shared" si="897"/>
        <v>1.0658708164570454E-2</v>
      </c>
      <c r="BR256" s="158">
        <f t="shared" si="897"/>
        <v>1.1000415110004151E-2</v>
      </c>
      <c r="BS256" s="158">
        <f t="shared" ref="BS256:CL256" si="898">BS255/BS182</f>
        <v>1.1466505733252867E-2</v>
      </c>
      <c r="BT256" s="302">
        <f t="shared" si="898"/>
        <v>1.1466505733252867E-2</v>
      </c>
      <c r="BU256" s="158">
        <f t="shared" si="898"/>
        <v>1.1964107676969093E-2</v>
      </c>
      <c r="BV256" s="158">
        <f t="shared" si="898"/>
        <v>1.2003872216844144E-2</v>
      </c>
      <c r="BW256" s="158">
        <f t="shared" si="898"/>
        <v>1.2171928489920122E-2</v>
      </c>
      <c r="BX256" s="158">
        <f t="shared" si="898"/>
        <v>1.1416807037244993E-2</v>
      </c>
      <c r="BY256" s="302">
        <f t="shared" si="898"/>
        <v>1.1416807037244993E-2</v>
      </c>
      <c r="BZ256" s="158">
        <f t="shared" si="898"/>
        <v>1.1229849664915775E-2</v>
      </c>
      <c r="CA256" s="158">
        <f t="shared" si="898"/>
        <v>1.0983170947741363E-2</v>
      </c>
      <c r="CB256" s="158">
        <f t="shared" si="898"/>
        <v>1.1414735385679695E-2</v>
      </c>
      <c r="CC256" s="158">
        <f t="shared" si="898"/>
        <v>1.0690649923638215E-2</v>
      </c>
      <c r="CD256" s="302">
        <f>CD255/CD182</f>
        <v>1.0690649923638215E-2</v>
      </c>
      <c r="CE256" s="158">
        <f t="shared" si="898"/>
        <v>1.1068254234445749E-2</v>
      </c>
      <c r="CF256" s="158">
        <f t="shared" si="898"/>
        <v>1.1084984884111521E-2</v>
      </c>
      <c r="CG256" s="158">
        <f t="shared" si="898"/>
        <v>1.1382658185470372E-2</v>
      </c>
      <c r="CH256" s="158">
        <f t="shared" si="898"/>
        <v>1.0310992848827541E-2</v>
      </c>
      <c r="CI256" s="302">
        <f>CI255/CI182</f>
        <v>1.0310992848827541E-2</v>
      </c>
      <c r="CJ256" s="158">
        <f t="shared" si="898"/>
        <v>1.0190444370197126E-2</v>
      </c>
      <c r="CK256" s="158">
        <f t="shared" si="898"/>
        <v>9.7576841762888281E-3</v>
      </c>
      <c r="CL256" s="158">
        <f t="shared" si="898"/>
        <v>9.6758587324625063E-3</v>
      </c>
      <c r="CM256" s="159">
        <f>+CL256</f>
        <v>9.6758587324625063E-3</v>
      </c>
      <c r="CN256" s="302">
        <f>CN255/CN182</f>
        <v>9.6758587324625063E-3</v>
      </c>
      <c r="CO256" s="159">
        <f>+CN256</f>
        <v>9.6758587324625063E-3</v>
      </c>
      <c r="CP256" s="159">
        <f>+CO256</f>
        <v>9.6758587324625063E-3</v>
      </c>
      <c r="CQ256" s="159">
        <f>+CP256</f>
        <v>9.6758587324625063E-3</v>
      </c>
      <c r="CR256" s="159">
        <f>+CQ256</f>
        <v>9.6758587324625063E-3</v>
      </c>
      <c r="CS256" s="302">
        <f>CS255/CS182</f>
        <v>9.6758587324625063E-3</v>
      </c>
      <c r="CT256" s="158"/>
      <c r="CU256" s="159"/>
      <c r="CV256" s="159"/>
      <c r="CW256" s="159"/>
      <c r="CX256" s="335">
        <f>CS256</f>
        <v>9.6758587324625063E-3</v>
      </c>
      <c r="CY256" s="158"/>
      <c r="CZ256" s="159"/>
      <c r="DA256" s="159"/>
      <c r="DB256" s="159"/>
      <c r="DC256" s="335">
        <f>CX256</f>
        <v>9.6758587324625063E-3</v>
      </c>
      <c r="DD256" s="100"/>
      <c r="DE256" s="457"/>
      <c r="DJ256" s="399"/>
      <c r="DK256" s="396"/>
      <c r="DL256" s="396"/>
      <c r="DM256" s="396"/>
      <c r="DN256" s="396"/>
      <c r="DO256" s="396"/>
      <c r="DP256" s="396"/>
      <c r="DQ256" s="396"/>
      <c r="DR256" s="493"/>
      <c r="DS256" s="154"/>
    </row>
    <row r="257" spans="1:131" x14ac:dyDescent="0.2">
      <c r="A257" s="145" t="s">
        <v>193</v>
      </c>
      <c r="B257" s="301"/>
      <c r="C257" s="145"/>
      <c r="D257" s="145"/>
      <c r="E257" s="145"/>
      <c r="F257" s="145"/>
      <c r="G257" s="301">
        <f>G255+G253</f>
        <v>34.403000000000048</v>
      </c>
      <c r="H257" s="145"/>
      <c r="I257" s="145"/>
      <c r="J257" s="145"/>
      <c r="K257" s="145"/>
      <c r="L257" s="301">
        <f>L255+L253</f>
        <v>117.52200000000002</v>
      </c>
      <c r="M257" s="145"/>
      <c r="N257" s="145"/>
      <c r="O257" s="145"/>
      <c r="P257" s="145"/>
      <c r="Q257" s="301">
        <f>Q255+Q253</f>
        <v>122.65299999999993</v>
      </c>
      <c r="R257" s="145"/>
      <c r="S257" s="145"/>
      <c r="T257" s="145"/>
      <c r="U257" s="145"/>
      <c r="V257" s="301">
        <f>V255+V253</f>
        <v>607.30499999999995</v>
      </c>
      <c r="W257" s="145"/>
      <c r="X257" s="145"/>
      <c r="Y257" s="145"/>
      <c r="Z257" s="145"/>
      <c r="AA257" s="301">
        <f>AA255+AA253</f>
        <v>449.16199999999992</v>
      </c>
      <c r="AB257" s="145"/>
      <c r="AC257" s="145"/>
      <c r="AD257" s="145"/>
      <c r="AE257" s="145"/>
      <c r="AF257" s="301">
        <f t="shared" ref="AF257:AZ257" si="899">AF255+AF253</f>
        <v>594.71699999999987</v>
      </c>
      <c r="AG257" s="145">
        <f t="shared" si="899"/>
        <v>534.71699999999987</v>
      </c>
      <c r="AH257" s="145">
        <f t="shared" si="899"/>
        <v>582.71699999999987</v>
      </c>
      <c r="AI257" s="145">
        <f t="shared" si="899"/>
        <v>570.71699999999987</v>
      </c>
      <c r="AJ257" s="145">
        <f t="shared" si="899"/>
        <v>818.71699999999987</v>
      </c>
      <c r="AK257" s="301">
        <f t="shared" si="899"/>
        <v>818.71699999999987</v>
      </c>
      <c r="AL257" s="145">
        <f t="shared" si="899"/>
        <v>895.71699999999987</v>
      </c>
      <c r="AM257" s="145">
        <f t="shared" si="899"/>
        <v>871.71699999999987</v>
      </c>
      <c r="AN257" s="145">
        <f t="shared" si="899"/>
        <v>913.71699999999987</v>
      </c>
      <c r="AO257" s="145">
        <f t="shared" si="899"/>
        <v>886.71699999999987</v>
      </c>
      <c r="AP257" s="301">
        <f t="shared" si="899"/>
        <v>886.71699999999987</v>
      </c>
      <c r="AQ257" s="145">
        <f t="shared" si="899"/>
        <v>806.71699999999987</v>
      </c>
      <c r="AR257" s="145">
        <f t="shared" si="899"/>
        <v>1092.7169999999999</v>
      </c>
      <c r="AS257" s="145">
        <f t="shared" si="899"/>
        <v>775.71699999999987</v>
      </c>
      <c r="AT257" s="145">
        <f t="shared" si="899"/>
        <v>834.71699999999987</v>
      </c>
      <c r="AU257" s="301">
        <f t="shared" si="899"/>
        <v>834.71699999999987</v>
      </c>
      <c r="AV257" s="145">
        <f t="shared" si="899"/>
        <v>845.71699999999987</v>
      </c>
      <c r="AW257" s="145">
        <f>AW255+AW253</f>
        <v>1056.7169999999999</v>
      </c>
      <c r="AX257" s="145">
        <f t="shared" si="899"/>
        <v>1282.7169999999999</v>
      </c>
      <c r="AY257" s="145">
        <f t="shared" si="899"/>
        <v>1218.7169999999999</v>
      </c>
      <c r="AZ257" s="301">
        <f t="shared" si="899"/>
        <v>1218.7169999999999</v>
      </c>
      <c r="BA257" s="145">
        <f t="shared" ref="BA257:BJ257" si="900">BA255+BA253</f>
        <v>1207.7169999999999</v>
      </c>
      <c r="BB257" s="145">
        <f t="shared" si="900"/>
        <v>1228.7169999999999</v>
      </c>
      <c r="BC257" s="145">
        <f t="shared" si="900"/>
        <v>1232.7169999999999</v>
      </c>
      <c r="BD257" s="145">
        <f t="shared" si="900"/>
        <v>1160.7169999999999</v>
      </c>
      <c r="BE257" s="301">
        <f t="shared" si="900"/>
        <v>1160.7169999999996</v>
      </c>
      <c r="BF257" s="145">
        <f t="shared" si="900"/>
        <v>1300.7169999999996</v>
      </c>
      <c r="BG257" s="145">
        <f t="shared" si="900"/>
        <v>1370.7169999999996</v>
      </c>
      <c r="BH257" s="145">
        <f t="shared" si="900"/>
        <v>1302.7169999999996</v>
      </c>
      <c r="BI257" s="145">
        <f t="shared" si="900"/>
        <v>1330.7169999999996</v>
      </c>
      <c r="BJ257" s="301">
        <f t="shared" si="900"/>
        <v>1330.7169999999996</v>
      </c>
      <c r="BK257" s="145">
        <f>BK255+BK253</f>
        <v>1289.7169999999996</v>
      </c>
      <c r="BL257" s="145">
        <f>BL255+BL253</f>
        <v>1266.7169999999996</v>
      </c>
      <c r="BM257" s="145">
        <f t="shared" ref="BM257:BR257" si="901">BM255+BM253</f>
        <v>1118.7169999999996</v>
      </c>
      <c r="BN257" s="145">
        <f t="shared" si="901"/>
        <v>917.71699999999953</v>
      </c>
      <c r="BO257" s="301">
        <f t="shared" si="901"/>
        <v>917.71699999999953</v>
      </c>
      <c r="BP257" s="145">
        <f t="shared" si="901"/>
        <v>997.71699999999953</v>
      </c>
      <c r="BQ257" s="145">
        <f t="shared" si="901"/>
        <v>992.71699999999953</v>
      </c>
      <c r="BR257" s="145">
        <f t="shared" si="901"/>
        <v>1092.7169999999996</v>
      </c>
      <c r="BS257" s="145">
        <f t="shared" ref="BS257:BZ257" si="902">BS255+BS253</f>
        <v>797.71699999999953</v>
      </c>
      <c r="BT257" s="301">
        <f t="shared" si="902"/>
        <v>797.71699999999953</v>
      </c>
      <c r="BU257" s="145">
        <f>BU255+BU253</f>
        <v>927.71699999999953</v>
      </c>
      <c r="BV257" s="145">
        <f>BV255+BV253</f>
        <v>985.71699999999953</v>
      </c>
      <c r="BW257" s="145">
        <f>BW255+BW253</f>
        <v>927.71699999999953</v>
      </c>
      <c r="BX257" s="145">
        <f t="shared" si="902"/>
        <v>828.71699999999953</v>
      </c>
      <c r="BY257" s="301">
        <f t="shared" si="902"/>
        <v>828.71699999999953</v>
      </c>
      <c r="BZ257" s="145">
        <f t="shared" si="902"/>
        <v>1157.7169999999996</v>
      </c>
      <c r="CA257" s="145">
        <f t="shared" ref="CA257:CM257" si="903">CA255+CA253</f>
        <v>1032.7169999999996</v>
      </c>
      <c r="CB257" s="145">
        <f t="shared" si="903"/>
        <v>1244.7169999999996</v>
      </c>
      <c r="CC257" s="145">
        <f t="shared" si="903"/>
        <v>987.71699999999953</v>
      </c>
      <c r="CD257" s="301">
        <f t="shared" si="903"/>
        <v>987.71699999999953</v>
      </c>
      <c r="CE257" s="145">
        <f t="shared" si="903"/>
        <v>1352.7169999999996</v>
      </c>
      <c r="CF257" s="145">
        <f t="shared" si="903"/>
        <v>1575.7169999999996</v>
      </c>
      <c r="CG257" s="145">
        <f t="shared" si="903"/>
        <v>1521.7169999999996</v>
      </c>
      <c r="CH257" s="145">
        <f t="shared" si="903"/>
        <v>1032.7169999999996</v>
      </c>
      <c r="CI257" s="301">
        <f t="shared" si="903"/>
        <v>1032.7169999999996</v>
      </c>
      <c r="CJ257" s="145">
        <f t="shared" si="903"/>
        <v>1106.7169999999996</v>
      </c>
      <c r="CK257" s="145">
        <f t="shared" si="903"/>
        <v>1079.7169999999996</v>
      </c>
      <c r="CL257" s="145">
        <f t="shared" si="903"/>
        <v>873.71699999999953</v>
      </c>
      <c r="CM257" s="145">
        <f t="shared" si="903"/>
        <v>1175.666175901255</v>
      </c>
      <c r="CN257" s="301">
        <f t="shared" ref="CN257:CR257" si="904">CN255+CN253</f>
        <v>1175.6661759012552</v>
      </c>
      <c r="CO257" s="145">
        <f t="shared" si="904"/>
        <v>1288.8896871915949</v>
      </c>
      <c r="CP257" s="145">
        <f t="shared" si="904"/>
        <v>1229.9802528464613</v>
      </c>
      <c r="CQ257" s="145">
        <f t="shared" si="904"/>
        <v>1064.0380284028963</v>
      </c>
      <c r="CR257" s="145">
        <f t="shared" si="904"/>
        <v>1064.8169247122139</v>
      </c>
      <c r="CS257" s="301">
        <f t="shared" ref="CS257" si="905">CS255+CS253</f>
        <v>1064.8169247122141</v>
      </c>
      <c r="CT257" s="145"/>
      <c r="CU257" s="145"/>
      <c r="CV257" s="145"/>
      <c r="CW257" s="145"/>
      <c r="CX257" s="301">
        <f>CX255+CX253</f>
        <v>993.20177245879404</v>
      </c>
      <c r="CY257" s="145"/>
      <c r="CZ257" s="145"/>
      <c r="DA257" s="145"/>
      <c r="DB257" s="145"/>
      <c r="DC257" s="301">
        <f>DC255+DC253</f>
        <v>1187.9667415763115</v>
      </c>
      <c r="DD257" s="152"/>
      <c r="DE257" s="476"/>
      <c r="DJ257" s="413"/>
      <c r="DK257" s="411"/>
      <c r="DL257" s="411"/>
      <c r="DM257" s="411"/>
      <c r="DN257" s="411"/>
      <c r="DO257" s="411"/>
      <c r="DP257" s="411"/>
      <c r="DQ257" s="411"/>
      <c r="DR257" s="508"/>
      <c r="DS257" s="145"/>
    </row>
    <row r="258" spans="1:131" x14ac:dyDescent="0.2">
      <c r="A258" s="137" t="s">
        <v>198</v>
      </c>
      <c r="B258" s="300"/>
      <c r="C258" s="141"/>
      <c r="D258" s="141"/>
      <c r="E258" s="141"/>
      <c r="F258" s="141"/>
      <c r="G258" s="853">
        <v>0</v>
      </c>
      <c r="H258" s="141"/>
      <c r="I258" s="141"/>
      <c r="J258" s="141"/>
      <c r="K258" s="141"/>
      <c r="L258" s="853">
        <v>0</v>
      </c>
      <c r="M258" s="832"/>
      <c r="N258" s="832"/>
      <c r="O258" s="832"/>
      <c r="P258" s="832"/>
      <c r="Q258" s="853">
        <v>2.8460000000000001</v>
      </c>
      <c r="R258" s="832"/>
      <c r="S258" s="832"/>
      <c r="T258" s="832"/>
      <c r="U258" s="832"/>
      <c r="V258" s="853">
        <v>0</v>
      </c>
      <c r="W258" s="832"/>
      <c r="X258" s="832"/>
      <c r="Y258" s="832"/>
      <c r="Z258" s="832"/>
      <c r="AA258" s="853">
        <v>0</v>
      </c>
      <c r="AB258" s="832"/>
      <c r="AC258" s="832"/>
      <c r="AD258" s="832"/>
      <c r="AE258" s="832"/>
      <c r="AF258" s="853">
        <v>0</v>
      </c>
      <c r="AG258" s="832">
        <v>0</v>
      </c>
      <c r="AH258" s="832">
        <v>0</v>
      </c>
      <c r="AI258" s="832">
        <v>0</v>
      </c>
      <c r="AJ258" s="832">
        <v>0</v>
      </c>
      <c r="AK258" s="300">
        <v>0</v>
      </c>
      <c r="AL258" s="832">
        <v>0</v>
      </c>
      <c r="AM258" s="832">
        <v>0</v>
      </c>
      <c r="AN258" s="832">
        <v>0</v>
      </c>
      <c r="AO258" s="832">
        <v>0</v>
      </c>
      <c r="AP258" s="300">
        <v>0</v>
      </c>
      <c r="AQ258" s="832">
        <v>0</v>
      </c>
      <c r="AR258" s="832">
        <v>0</v>
      </c>
      <c r="AS258" s="832">
        <v>0</v>
      </c>
      <c r="AT258" s="832">
        <v>0</v>
      </c>
      <c r="AU258" s="300">
        <v>0</v>
      </c>
      <c r="AV258" s="832">
        <v>0</v>
      </c>
      <c r="AW258" s="832">
        <v>0</v>
      </c>
      <c r="AX258" s="832">
        <v>0</v>
      </c>
      <c r="AY258" s="832">
        <v>0</v>
      </c>
      <c r="AZ258" s="300">
        <f>AY258</f>
        <v>0</v>
      </c>
      <c r="BA258" s="832">
        <v>0</v>
      </c>
      <c r="BB258" s="832">
        <v>0</v>
      </c>
      <c r="BC258" s="832">
        <v>0</v>
      </c>
      <c r="BD258" s="832">
        <v>0</v>
      </c>
      <c r="BE258" s="300">
        <f>BD258</f>
        <v>0</v>
      </c>
      <c r="BF258" s="832">
        <v>0</v>
      </c>
      <c r="BG258" s="832">
        <v>0</v>
      </c>
      <c r="BH258" s="832">
        <v>0</v>
      </c>
      <c r="BI258" s="832">
        <v>0</v>
      </c>
      <c r="BJ258" s="300">
        <f>BI258</f>
        <v>0</v>
      </c>
      <c r="BK258" s="832">
        <v>0</v>
      </c>
      <c r="BL258" s="832">
        <v>0</v>
      </c>
      <c r="BM258" s="832">
        <v>0</v>
      </c>
      <c r="BN258" s="832">
        <v>0</v>
      </c>
      <c r="BO258" s="300">
        <f>BN258</f>
        <v>0</v>
      </c>
      <c r="BP258" s="832">
        <v>0</v>
      </c>
      <c r="BQ258" s="832">
        <v>0</v>
      </c>
      <c r="BR258" s="832">
        <v>0</v>
      </c>
      <c r="BS258" s="832">
        <v>0</v>
      </c>
      <c r="BT258" s="300">
        <f>BS258</f>
        <v>0</v>
      </c>
      <c r="BU258" s="832">
        <v>0</v>
      </c>
      <c r="BV258" s="832">
        <v>0</v>
      </c>
      <c r="BW258" s="832">
        <v>0</v>
      </c>
      <c r="BX258" s="832">
        <v>0</v>
      </c>
      <c r="BY258" s="300">
        <f>BX258</f>
        <v>0</v>
      </c>
      <c r="BZ258" s="832">
        <v>0</v>
      </c>
      <c r="CA258" s="832">
        <v>0</v>
      </c>
      <c r="CB258" s="832">
        <v>0</v>
      </c>
      <c r="CC258" s="832">
        <v>0</v>
      </c>
      <c r="CD258" s="300">
        <f>CC258</f>
        <v>0</v>
      </c>
      <c r="CE258" s="832">
        <v>0</v>
      </c>
      <c r="CF258" s="832">
        <v>0</v>
      </c>
      <c r="CG258" s="832">
        <v>0</v>
      </c>
      <c r="CH258" s="832">
        <v>0</v>
      </c>
      <c r="CI258" s="300">
        <f>CH258</f>
        <v>0</v>
      </c>
      <c r="CJ258" s="832">
        <v>0</v>
      </c>
      <c r="CK258" s="832">
        <v>0</v>
      </c>
      <c r="CL258" s="832">
        <v>0</v>
      </c>
      <c r="CM258" s="141">
        <f t="shared" ref="CM258:CR258" si="906">CL258</f>
        <v>0</v>
      </c>
      <c r="CN258" s="300">
        <f>CM258</f>
        <v>0</v>
      </c>
      <c r="CO258" s="141">
        <f t="shared" si="906"/>
        <v>0</v>
      </c>
      <c r="CP258" s="141">
        <f t="shared" si="906"/>
        <v>0</v>
      </c>
      <c r="CQ258" s="141">
        <f t="shared" si="906"/>
        <v>0</v>
      </c>
      <c r="CR258" s="141">
        <f t="shared" si="906"/>
        <v>0</v>
      </c>
      <c r="CS258" s="300">
        <f>CR258</f>
        <v>0</v>
      </c>
      <c r="CT258" s="141"/>
      <c r="CU258" s="141"/>
      <c r="CV258" s="141"/>
      <c r="CW258" s="141"/>
      <c r="CX258" s="300">
        <f>CS258</f>
        <v>0</v>
      </c>
      <c r="CY258" s="141"/>
      <c r="CZ258" s="141"/>
      <c r="DA258" s="141"/>
      <c r="DB258" s="141"/>
      <c r="DC258" s="300">
        <f>CX258</f>
        <v>0</v>
      </c>
      <c r="DD258" s="132"/>
      <c r="DE258" s="471"/>
      <c r="DJ258" s="413"/>
      <c r="DK258" s="413"/>
      <c r="DL258" s="413"/>
      <c r="DM258" s="413"/>
      <c r="DN258" s="413"/>
      <c r="DO258" s="413"/>
      <c r="DP258" s="413"/>
      <c r="DQ258" s="413"/>
      <c r="DR258" s="510"/>
      <c r="DS258" s="141"/>
    </row>
    <row r="259" spans="1:131" x14ac:dyDescent="0.2">
      <c r="A259" s="145" t="s">
        <v>199</v>
      </c>
      <c r="B259" s="301"/>
      <c r="C259" s="145"/>
      <c r="D259" s="145"/>
      <c r="E259" s="145"/>
      <c r="F259" s="145"/>
      <c r="G259" s="301">
        <f>G261-G257-G258</f>
        <v>25.509999999999984</v>
      </c>
      <c r="H259" s="145"/>
      <c r="I259" s="145"/>
      <c r="J259" s="145"/>
      <c r="K259" s="145"/>
      <c r="L259" s="301">
        <f>L261-L257-L258</f>
        <v>26.742999999999967</v>
      </c>
      <c r="M259" s="145"/>
      <c r="N259" s="145"/>
      <c r="O259" s="145"/>
      <c r="P259" s="145"/>
      <c r="Q259" s="301">
        <f>Q261-Q257-Q258</f>
        <v>157.56000000000009</v>
      </c>
      <c r="R259" s="145"/>
      <c r="S259" s="145"/>
      <c r="T259" s="145"/>
      <c r="U259" s="145"/>
      <c r="V259" s="301">
        <f>V261-V258-V257</f>
        <v>38.435000000000059</v>
      </c>
      <c r="W259" s="145"/>
      <c r="X259" s="145"/>
      <c r="Y259" s="145"/>
      <c r="Z259" s="145"/>
      <c r="AA259" s="301">
        <f>AA261-AA258-AA257</f>
        <v>65.91800000000012</v>
      </c>
      <c r="AB259" s="145"/>
      <c r="AC259" s="145"/>
      <c r="AD259" s="145"/>
      <c r="AE259" s="145"/>
      <c r="AF259" s="301">
        <f t="shared" ref="AF259:AY259" si="907">AF261-AF258-AF257</f>
        <v>151.28300000000013</v>
      </c>
      <c r="AG259" s="145">
        <f t="shared" si="907"/>
        <v>191.28300000000013</v>
      </c>
      <c r="AH259" s="145">
        <f t="shared" si="907"/>
        <v>153.28300000000013</v>
      </c>
      <c r="AI259" s="145">
        <f t="shared" si="907"/>
        <v>164.28300000000013</v>
      </c>
      <c r="AJ259" s="145">
        <f t="shared" si="907"/>
        <v>228.28300000000013</v>
      </c>
      <c r="AK259" s="301">
        <f t="shared" si="907"/>
        <v>228.28300000000013</v>
      </c>
      <c r="AL259" s="145">
        <f t="shared" si="907"/>
        <v>226.28300000000013</v>
      </c>
      <c r="AM259" s="145">
        <f t="shared" si="907"/>
        <v>325.28300000000013</v>
      </c>
      <c r="AN259" s="145">
        <f t="shared" si="907"/>
        <v>262.28300000000013</v>
      </c>
      <c r="AO259" s="145">
        <f t="shared" si="907"/>
        <v>282.28300000000013</v>
      </c>
      <c r="AP259" s="301">
        <f t="shared" si="907"/>
        <v>282.28300000000013</v>
      </c>
      <c r="AQ259" s="145">
        <f t="shared" si="907"/>
        <v>595.28300000000013</v>
      </c>
      <c r="AR259" s="145">
        <f t="shared" si="907"/>
        <v>637.28300000000013</v>
      </c>
      <c r="AS259" s="145">
        <f t="shared" si="907"/>
        <v>572.28300000000013</v>
      </c>
      <c r="AT259" s="145">
        <f t="shared" si="907"/>
        <v>313.28300000000013</v>
      </c>
      <c r="AU259" s="301">
        <f t="shared" si="907"/>
        <v>313.28300000000013</v>
      </c>
      <c r="AV259" s="145">
        <f t="shared" si="907"/>
        <v>310.28300000000013</v>
      </c>
      <c r="AW259" s="145">
        <f t="shared" si="907"/>
        <v>292.28300000000013</v>
      </c>
      <c r="AX259" s="145">
        <f t="shared" si="907"/>
        <v>309.28300000000013</v>
      </c>
      <c r="AY259" s="145">
        <f t="shared" si="907"/>
        <v>389.28300000000013</v>
      </c>
      <c r="AZ259" s="301">
        <f>AY259</f>
        <v>389.28300000000013</v>
      </c>
      <c r="BA259" s="145">
        <f>BA261-BA258-BA257</f>
        <v>363.28300000000013</v>
      </c>
      <c r="BB259" s="145">
        <f>BB261-BB258-BB257</f>
        <v>360.28300000000013</v>
      </c>
      <c r="BC259" s="145">
        <f>BC261-BC258-BC257</f>
        <v>360.28300000000013</v>
      </c>
      <c r="BD259" s="145">
        <f>BD261-BD258-BD257</f>
        <v>397.28300000000013</v>
      </c>
      <c r="BE259" s="301">
        <f>BD259</f>
        <v>397.28300000000013</v>
      </c>
      <c r="BF259" s="145">
        <f>BF261-BF258-BF257</f>
        <v>437.28300000000036</v>
      </c>
      <c r="BG259" s="145">
        <f>BG261-BG258-BG257</f>
        <v>389.28300000000036</v>
      </c>
      <c r="BH259" s="145">
        <f>BH261-BH258-BH257</f>
        <v>402.28300000000036</v>
      </c>
      <c r="BI259" s="145">
        <f>BI261-BI258-BI257</f>
        <v>402.28300000000036</v>
      </c>
      <c r="BJ259" s="301">
        <f>BI259</f>
        <v>402.28300000000036</v>
      </c>
      <c r="BK259" s="145">
        <f>BK261-BK258-BK257</f>
        <v>439.28300000000036</v>
      </c>
      <c r="BL259" s="145">
        <f>BL261-BL258-BL257</f>
        <v>413.28300000000036</v>
      </c>
      <c r="BM259" s="145">
        <f>BM261-BM258-BM257</f>
        <v>423.28300000000036</v>
      </c>
      <c r="BN259" s="145">
        <f>BN261-BN258-BN257</f>
        <v>369.28300000000047</v>
      </c>
      <c r="BO259" s="301">
        <f>BN259</f>
        <v>369.28300000000047</v>
      </c>
      <c r="BP259" s="145">
        <f>BP261-BP258-BP257</f>
        <v>437.28300000000047</v>
      </c>
      <c r="BQ259" s="145">
        <f>BQ261-BQ258-BQ257</f>
        <v>458.28300000000047</v>
      </c>
      <c r="BR259" s="145">
        <f>BR261-BR258-BR257</f>
        <v>428.28300000000036</v>
      </c>
      <c r="BS259" s="145">
        <f>BS261-BS258-BS257</f>
        <v>429.28300000000047</v>
      </c>
      <c r="BT259" s="301">
        <f>BS259</f>
        <v>429.28300000000047</v>
      </c>
      <c r="BU259" s="145">
        <f>BU261-BU258-BU257</f>
        <v>585.28300000000047</v>
      </c>
      <c r="BV259" s="145">
        <f>BV261-BV258-BV257</f>
        <v>468.28300000000047</v>
      </c>
      <c r="BW259" s="145">
        <f>BW261-BW258-BW257</f>
        <v>473.28300000000047</v>
      </c>
      <c r="BX259" s="145">
        <f>BX261-BX258-BX257</f>
        <v>492.28300000000047</v>
      </c>
      <c r="BY259" s="301">
        <f>BX259</f>
        <v>492.28300000000047</v>
      </c>
      <c r="BZ259" s="145">
        <f>BZ261-BZ258-BZ257</f>
        <v>513.28300000000036</v>
      </c>
      <c r="CA259" s="145">
        <f>CA261-CA258-CA257</f>
        <v>490.28300000000036</v>
      </c>
      <c r="CB259" s="145">
        <f>CB261-CB258-CB257</f>
        <v>494.28300000000036</v>
      </c>
      <c r="CC259" s="145">
        <f>CC261-CC258-CC257</f>
        <v>497.28300000000047</v>
      </c>
      <c r="CD259" s="301">
        <f>CC259</f>
        <v>497.28300000000047</v>
      </c>
      <c r="CE259" s="145">
        <f>CE261-CE258-CE257</f>
        <v>487.28300000000036</v>
      </c>
      <c r="CF259" s="145">
        <f>CF261-CF258-CF257</f>
        <v>598.28300000000036</v>
      </c>
      <c r="CG259" s="145">
        <f>CG261-CG258-CG257</f>
        <v>609.28300000000036</v>
      </c>
      <c r="CH259" s="145">
        <f>CH261-CH258-CH257</f>
        <v>686.28300000000036</v>
      </c>
      <c r="CI259" s="301">
        <f>CH259</f>
        <v>686.28300000000036</v>
      </c>
      <c r="CJ259" s="145">
        <f>CJ261-CJ258-CJ257</f>
        <v>423.28300000000036</v>
      </c>
      <c r="CK259" s="145">
        <f>CK261-CK258-CK257</f>
        <v>429.28300000000036</v>
      </c>
      <c r="CL259" s="145">
        <f>CL261-CL258-CL257</f>
        <v>509.28300000000047</v>
      </c>
      <c r="CM259" s="145">
        <f>CM260*CM185</f>
        <v>565.64792936190281</v>
      </c>
      <c r="CN259" s="301">
        <f>CM259</f>
        <v>565.64792936190281</v>
      </c>
      <c r="CO259" s="145">
        <f>CO260*CO185</f>
        <v>462.62898885225468</v>
      </c>
      <c r="CP259" s="145">
        <f>CP260*CP185</f>
        <v>467.8996603868859</v>
      </c>
      <c r="CQ259" s="145">
        <f>CQ260*CQ185</f>
        <v>558.63113149429341</v>
      </c>
      <c r="CR259" s="145">
        <f>CR260*CR185</f>
        <v>607.03569537308022</v>
      </c>
      <c r="CS259" s="301">
        <f>CR259</f>
        <v>607.03569537308022</v>
      </c>
      <c r="CT259" s="145"/>
      <c r="CU259" s="145"/>
      <c r="CV259" s="145"/>
      <c r="CW259" s="145"/>
      <c r="CX259" s="301">
        <f>CX260*CX185</f>
        <v>663.27975257201126</v>
      </c>
      <c r="CY259" s="145"/>
      <c r="CZ259" s="145"/>
      <c r="DA259" s="145"/>
      <c r="DB259" s="145"/>
      <c r="DC259" s="301">
        <f>DC260*DC185</f>
        <v>715.04134416338172</v>
      </c>
      <c r="DD259" s="152"/>
      <c r="DE259" s="476"/>
      <c r="DJ259" s="413"/>
      <c r="DK259" s="411"/>
      <c r="DL259" s="411"/>
      <c r="DM259" s="411"/>
      <c r="DN259" s="411"/>
      <c r="DO259" s="411"/>
      <c r="DP259" s="411"/>
      <c r="DQ259" s="411"/>
      <c r="DR259" s="508"/>
      <c r="DS259" s="145"/>
    </row>
    <row r="260" spans="1:131" x14ac:dyDescent="0.2">
      <c r="A260" s="238" t="s">
        <v>200</v>
      </c>
      <c r="B260" s="309"/>
      <c r="C260" s="158"/>
      <c r="D260" s="158"/>
      <c r="E260" s="158"/>
      <c r="F260" s="158"/>
      <c r="G260" s="309"/>
      <c r="H260" s="158"/>
      <c r="I260" s="158"/>
      <c r="J260" s="158"/>
      <c r="K260" s="158"/>
      <c r="L260" s="309">
        <f>L259/L185</f>
        <v>0.1059640697683632</v>
      </c>
      <c r="M260" s="158"/>
      <c r="N260" s="158"/>
      <c r="O260" s="158"/>
      <c r="P260" s="158"/>
      <c r="Q260" s="309">
        <f>Q259/Q185</f>
        <v>0.34709968211167747</v>
      </c>
      <c r="R260" s="158"/>
      <c r="S260" s="158"/>
      <c r="T260" s="158"/>
      <c r="U260" s="158"/>
      <c r="V260" s="309">
        <f>V259/V185</f>
        <v>5.6621813135494685E-2</v>
      </c>
      <c r="W260" s="158"/>
      <c r="X260" s="158"/>
      <c r="Y260" s="158"/>
      <c r="Z260" s="158"/>
      <c r="AA260" s="309">
        <f>AA259/AA185</f>
        <v>7.3596877396967519E-2</v>
      </c>
      <c r="AB260" s="158"/>
      <c r="AC260" s="158"/>
      <c r="AD260" s="158"/>
      <c r="AE260" s="158"/>
      <c r="AF260" s="309">
        <f t="shared" ref="AF260:BR260" si="908">AF259/AF185</f>
        <v>0.13119210920433852</v>
      </c>
      <c r="AG260" s="158">
        <f t="shared" si="908"/>
        <v>0.15349289560833296</v>
      </c>
      <c r="AH260" s="158">
        <f t="shared" si="908"/>
        <v>0.11425660123079869</v>
      </c>
      <c r="AI260" s="158">
        <f t="shared" si="908"/>
        <v>0.11548689829704231</v>
      </c>
      <c r="AJ260" s="158">
        <f t="shared" si="908"/>
        <v>0.15310731052984583</v>
      </c>
      <c r="AK260" s="309">
        <f t="shared" si="908"/>
        <v>0.15310731052984583</v>
      </c>
      <c r="AL260" s="158">
        <f t="shared" si="908"/>
        <v>0.1444052329291641</v>
      </c>
      <c r="AM260" s="158">
        <f t="shared" si="908"/>
        <v>0.20017415384615392</v>
      </c>
      <c r="AN260" s="158">
        <f t="shared" si="908"/>
        <v>0.1561208333333334</v>
      </c>
      <c r="AO260" s="158">
        <f t="shared" si="908"/>
        <v>0.16185951834862392</v>
      </c>
      <c r="AP260" s="309">
        <f t="shared" si="908"/>
        <v>0.16185951834862392</v>
      </c>
      <c r="AQ260" s="158">
        <f t="shared" si="908"/>
        <v>0.33001607717041803</v>
      </c>
      <c r="AR260" s="158">
        <f t="shared" si="908"/>
        <v>0.34619893524554546</v>
      </c>
      <c r="AS260" s="158">
        <f t="shared" si="908"/>
        <v>0.30282728331040326</v>
      </c>
      <c r="AT260" s="158">
        <f t="shared" si="908"/>
        <v>0.16330431609674734</v>
      </c>
      <c r="AU260" s="309">
        <f t="shared" si="908"/>
        <v>0.16330431609674734</v>
      </c>
      <c r="AV260" s="158">
        <f t="shared" si="908"/>
        <v>0.16126975051975059</v>
      </c>
      <c r="AW260" s="158">
        <f t="shared" si="908"/>
        <v>0.14974281469337575</v>
      </c>
      <c r="AX260" s="158">
        <f t="shared" si="908"/>
        <v>0.15467243448689746</v>
      </c>
      <c r="AY260" s="158">
        <f t="shared" si="908"/>
        <v>0.18878903976721637</v>
      </c>
      <c r="AZ260" s="309">
        <f t="shared" si="908"/>
        <v>0.18878903976721637</v>
      </c>
      <c r="BA260" s="158">
        <f t="shared" si="908"/>
        <v>0.1697901476911573</v>
      </c>
      <c r="BB260" s="158">
        <f t="shared" si="908"/>
        <v>0.16304611485722051</v>
      </c>
      <c r="BC260" s="158">
        <f t="shared" si="908"/>
        <v>0.15843579595426566</v>
      </c>
      <c r="BD260" s="158">
        <f t="shared" si="908"/>
        <v>0.17040533584970405</v>
      </c>
      <c r="BE260" s="309">
        <f t="shared" si="908"/>
        <v>0.17040533584970405</v>
      </c>
      <c r="BF260" s="158">
        <f t="shared" si="908"/>
        <v>0.18439866745382485</v>
      </c>
      <c r="BG260" s="158">
        <f t="shared" si="908"/>
        <v>0.16010652299086958</v>
      </c>
      <c r="BH260" s="158">
        <f t="shared" si="908"/>
        <v>0.163105335711969</v>
      </c>
      <c r="BI260" s="158">
        <f t="shared" si="908"/>
        <v>0.15976290706910259</v>
      </c>
      <c r="BJ260" s="309">
        <f>BJ259/BJ185</f>
        <v>0.15976290706910259</v>
      </c>
      <c r="BK260" s="158">
        <f t="shared" si="908"/>
        <v>0.16993539651837539</v>
      </c>
      <c r="BL260" s="158">
        <f t="shared" si="908"/>
        <v>0.15560353915662664</v>
      </c>
      <c r="BM260" s="158">
        <f t="shared" si="908"/>
        <v>0.15465217391304362</v>
      </c>
      <c r="BN260" s="158">
        <f t="shared" si="908"/>
        <v>0.13188678571428589</v>
      </c>
      <c r="BO260" s="309">
        <f>BO259/BO185</f>
        <v>0.13188678571428589</v>
      </c>
      <c r="BP260" s="158">
        <f t="shared" si="908"/>
        <v>0.15120435684647318</v>
      </c>
      <c r="BQ260" s="158">
        <f t="shared" si="908"/>
        <v>0.15466857914276089</v>
      </c>
      <c r="BR260" s="158">
        <f t="shared" si="908"/>
        <v>0.14097531270572758</v>
      </c>
      <c r="BS260" s="158">
        <f t="shared" ref="BS260:CL260" si="909">BS259/BS185</f>
        <v>0.13785581245985887</v>
      </c>
      <c r="BT260" s="309">
        <f t="shared" si="909"/>
        <v>0.13785581245985887</v>
      </c>
      <c r="BU260" s="158">
        <f t="shared" si="909"/>
        <v>0.18376232339089496</v>
      </c>
      <c r="BV260" s="158">
        <f t="shared" si="909"/>
        <v>0.14311827628361873</v>
      </c>
      <c r="BW260" s="158">
        <f t="shared" si="909"/>
        <v>0.14199909990999113</v>
      </c>
      <c r="BX260" s="158">
        <f t="shared" si="909"/>
        <v>0.14521622418879071</v>
      </c>
      <c r="BY260" s="309">
        <f t="shared" si="909"/>
        <v>0.14521622418879071</v>
      </c>
      <c r="BZ260" s="158">
        <f t="shared" si="909"/>
        <v>0.14745274346452178</v>
      </c>
      <c r="CA260" s="158">
        <f t="shared" si="909"/>
        <v>0.13675955369595547</v>
      </c>
      <c r="CB260" s="158">
        <f t="shared" si="909"/>
        <v>0.13255108608205962</v>
      </c>
      <c r="CC260" s="158">
        <f t="shared" si="909"/>
        <v>0.12909735202492223</v>
      </c>
      <c r="CD260" s="309">
        <f>CD259/CD185</f>
        <v>0.12909735202492223</v>
      </c>
      <c r="CE260" s="158">
        <f t="shared" si="909"/>
        <v>0.12277223481985396</v>
      </c>
      <c r="CF260" s="158">
        <f t="shared" si="909"/>
        <v>0.14714289227742261</v>
      </c>
      <c r="CG260" s="158">
        <f t="shared" si="909"/>
        <v>0.14656795766177541</v>
      </c>
      <c r="CH260" s="158">
        <f t="shared" si="909"/>
        <v>0.16159241817753717</v>
      </c>
      <c r="CI260" s="309">
        <f>CI259/CI185</f>
        <v>0.16159241817753717</v>
      </c>
      <c r="CJ260" s="158">
        <f t="shared" si="909"/>
        <v>9.7778470778470863E-2</v>
      </c>
      <c r="CK260" s="158">
        <f t="shared" si="909"/>
        <v>9.6772542831379704E-2</v>
      </c>
      <c r="CL260" s="158">
        <f t="shared" si="909"/>
        <v>0.11299822498335932</v>
      </c>
      <c r="CM260" s="159">
        <f>CH260-4%</f>
        <v>0.12159241817753716</v>
      </c>
      <c r="CN260" s="309">
        <f>CN259/CN185</f>
        <v>0.12159241817753715</v>
      </c>
      <c r="CO260" s="159">
        <f>CJ260</f>
        <v>9.7778470778470863E-2</v>
      </c>
      <c r="CP260" s="159">
        <f>CK260</f>
        <v>9.6772542831379704E-2</v>
      </c>
      <c r="CQ260" s="159">
        <f>CL260</f>
        <v>0.11299822498335932</v>
      </c>
      <c r="CR260" s="159">
        <f>CM260</f>
        <v>0.12159241817753716</v>
      </c>
      <c r="CS260" s="309">
        <f>CS259/CS185</f>
        <v>0.12159241817753721</v>
      </c>
      <c r="CT260" s="159"/>
      <c r="CU260" s="159"/>
      <c r="CV260" s="159"/>
      <c r="CW260" s="159"/>
      <c r="CX260" s="428">
        <f>CS260</f>
        <v>0.12159241817753721</v>
      </c>
      <c r="CY260" s="159"/>
      <c r="CZ260" s="159"/>
      <c r="DA260" s="159"/>
      <c r="DB260" s="159"/>
      <c r="DC260" s="428">
        <f>CX260</f>
        <v>0.12159241817753721</v>
      </c>
      <c r="DD260" s="158"/>
      <c r="DE260" s="470"/>
      <c r="DJ260" s="446"/>
      <c r="DK260" s="410"/>
      <c r="DL260" s="410"/>
      <c r="DM260" s="410"/>
      <c r="DN260" s="410"/>
      <c r="DO260" s="410"/>
      <c r="DP260" s="410"/>
      <c r="DQ260" s="410"/>
      <c r="DR260" s="507"/>
      <c r="DS260" s="158"/>
    </row>
    <row r="261" spans="1:131" x14ac:dyDescent="0.2">
      <c r="A261" s="161" t="s">
        <v>333</v>
      </c>
      <c r="B261" s="310"/>
      <c r="C261" s="161"/>
      <c r="D261" s="161"/>
      <c r="E261" s="161"/>
      <c r="F261" s="161"/>
      <c r="G261" s="856">
        <v>59.913000000000032</v>
      </c>
      <c r="H261" s="161"/>
      <c r="I261" s="161"/>
      <c r="J261" s="161"/>
      <c r="K261" s="161"/>
      <c r="L261" s="856">
        <v>144.26499999999999</v>
      </c>
      <c r="M261" s="836"/>
      <c r="N261" s="836"/>
      <c r="O261" s="836"/>
      <c r="P261" s="836"/>
      <c r="Q261" s="856">
        <v>283.05900000000003</v>
      </c>
      <c r="R261" s="836"/>
      <c r="S261" s="836"/>
      <c r="T261" s="836"/>
      <c r="U261" s="836"/>
      <c r="V261" s="856">
        <v>645.74</v>
      </c>
      <c r="W261" s="836"/>
      <c r="X261" s="836"/>
      <c r="Y261" s="836"/>
      <c r="Z261" s="836"/>
      <c r="AA261" s="856">
        <v>515.08000000000004</v>
      </c>
      <c r="AB261" s="836"/>
      <c r="AC261" s="836"/>
      <c r="AD261" s="836"/>
      <c r="AE261" s="836"/>
      <c r="AF261" s="856">
        <f>635+111</f>
        <v>746</v>
      </c>
      <c r="AG261" s="836">
        <f>611+115</f>
        <v>726</v>
      </c>
      <c r="AH261" s="836">
        <f>621+115</f>
        <v>736</v>
      </c>
      <c r="AI261" s="836">
        <f>620+115</f>
        <v>735</v>
      </c>
      <c r="AJ261" s="836">
        <f>927+120</f>
        <v>1047</v>
      </c>
      <c r="AK261" s="310">
        <f>927+120</f>
        <v>1047</v>
      </c>
      <c r="AL261" s="836">
        <f>1000+122</f>
        <v>1122</v>
      </c>
      <c r="AM261" s="836">
        <f>1097+100</f>
        <v>1197</v>
      </c>
      <c r="AN261" s="836">
        <f>1106+70</f>
        <v>1176</v>
      </c>
      <c r="AO261" s="836">
        <f>1116+53</f>
        <v>1169</v>
      </c>
      <c r="AP261" s="310">
        <f>1116+53</f>
        <v>1169</v>
      </c>
      <c r="AQ261" s="836">
        <f>1064+54+284</f>
        <v>1402</v>
      </c>
      <c r="AR261" s="836">
        <f>1322+129+279</f>
        <v>1730</v>
      </c>
      <c r="AS261" s="836">
        <f>970+73+305</f>
        <v>1348</v>
      </c>
      <c r="AT261" s="836">
        <f>962+69+117</f>
        <v>1148</v>
      </c>
      <c r="AU261" s="310">
        <f>962+117+69</f>
        <v>1148</v>
      </c>
      <c r="AV261" s="836">
        <f>1024+63+69</f>
        <v>1156</v>
      </c>
      <c r="AW261" s="836">
        <f>1261+62+26</f>
        <v>1349</v>
      </c>
      <c r="AX261" s="836">
        <f>1522+5+65</f>
        <v>1592</v>
      </c>
      <c r="AY261" s="836">
        <f>1538+6+64</f>
        <v>1608</v>
      </c>
      <c r="AZ261" s="343">
        <f>AZ259+AZ258+AZ257</f>
        <v>1608</v>
      </c>
      <c r="BA261" s="836">
        <f>1435+74+62</f>
        <v>1571</v>
      </c>
      <c r="BB261" s="836">
        <f>1359+169+61</f>
        <v>1589</v>
      </c>
      <c r="BC261" s="836">
        <f>1312+219+62</f>
        <v>1593</v>
      </c>
      <c r="BD261" s="836">
        <f>1360+133+65</f>
        <v>1558</v>
      </c>
      <c r="BE261" s="310">
        <f>BE259+BE258+BE257</f>
        <v>1557.9999999999998</v>
      </c>
      <c r="BF261" s="836">
        <f>1549+126+63</f>
        <v>1738</v>
      </c>
      <c r="BG261" s="836">
        <f>1562+133+65</f>
        <v>1760</v>
      </c>
      <c r="BH261" s="836">
        <f>1612+64+29</f>
        <v>1705</v>
      </c>
      <c r="BI261" s="836">
        <f>1628+38+67</f>
        <v>1733</v>
      </c>
      <c r="BJ261" s="310">
        <f>BJ259+BJ258+BJ257</f>
        <v>1733</v>
      </c>
      <c r="BK261" s="836">
        <f>1664+65</f>
        <v>1729</v>
      </c>
      <c r="BL261" s="836">
        <f>1625+55</f>
        <v>1680</v>
      </c>
      <c r="BM261" s="836">
        <f>1487+55</f>
        <v>1542</v>
      </c>
      <c r="BN261" s="836">
        <f>1100+136+51</f>
        <v>1287</v>
      </c>
      <c r="BO261" s="310">
        <f>BO259+BO258+BO257</f>
        <v>1287</v>
      </c>
      <c r="BP261" s="836">
        <f>1286+98+51</f>
        <v>1435</v>
      </c>
      <c r="BQ261" s="836">
        <f>1325+76+50</f>
        <v>1451</v>
      </c>
      <c r="BR261" s="836">
        <f>1382+86+53</f>
        <v>1521</v>
      </c>
      <c r="BS261" s="836">
        <f>1056+114+57</f>
        <v>1227</v>
      </c>
      <c r="BT261" s="310">
        <f>BT259+BT258+BT257</f>
        <v>1227</v>
      </c>
      <c r="BU261" s="836">
        <f>1356+97+60</f>
        <v>1513</v>
      </c>
      <c r="BV261" s="836">
        <f>1265+127+62</f>
        <v>1454</v>
      </c>
      <c r="BW261" s="836">
        <f>1215+122+64</f>
        <v>1401</v>
      </c>
      <c r="BX261" s="836">
        <f>1200+60+61</f>
        <v>1321</v>
      </c>
      <c r="BY261" s="310">
        <f>BY259+BY258+BY257</f>
        <v>1321</v>
      </c>
      <c r="BZ261" s="836">
        <f>1511+98+62</f>
        <v>1671</v>
      </c>
      <c r="CA261" s="836">
        <f>1405+56+62</f>
        <v>1523</v>
      </c>
      <c r="CB261" s="836">
        <f>1626+47+66</f>
        <v>1739</v>
      </c>
      <c r="CC261" s="836">
        <f>1373+49+63</f>
        <v>1485</v>
      </c>
      <c r="CD261" s="310">
        <f t="shared" ref="CD261:CM261" si="910">CD259+CD258+CD257</f>
        <v>1485</v>
      </c>
      <c r="CE261" s="836">
        <f>1774+66</f>
        <v>1840</v>
      </c>
      <c r="CF261" s="836">
        <f>2078+66+30</f>
        <v>2174</v>
      </c>
      <c r="CG261" s="836">
        <f>2008+68+55</f>
        <v>2131</v>
      </c>
      <c r="CH261" s="836">
        <f>90+62+1567</f>
        <v>1719</v>
      </c>
      <c r="CI261" s="310">
        <f t="shared" si="910"/>
        <v>1719</v>
      </c>
      <c r="CJ261" s="836">
        <f>1469+61</f>
        <v>1530</v>
      </c>
      <c r="CK261" s="836">
        <f>60+1449</f>
        <v>1509</v>
      </c>
      <c r="CL261" s="836">
        <f>1323+60</f>
        <v>1383</v>
      </c>
      <c r="CM261" s="161">
        <f t="shared" si="910"/>
        <v>1741.3141052631577</v>
      </c>
      <c r="CN261" s="310">
        <f t="shared" ref="CN261:CR261" si="911">CN259+CN258+CN257</f>
        <v>1741.3141052631581</v>
      </c>
      <c r="CO261" s="161">
        <f t="shared" si="911"/>
        <v>1751.5186760438496</v>
      </c>
      <c r="CP261" s="161">
        <f t="shared" si="911"/>
        <v>1697.8799132333472</v>
      </c>
      <c r="CQ261" s="161">
        <f t="shared" si="911"/>
        <v>1622.6691598971897</v>
      </c>
      <c r="CR261" s="161">
        <f t="shared" si="911"/>
        <v>1671.8526200852941</v>
      </c>
      <c r="CS261" s="310">
        <f t="shared" ref="CS261" si="912">CS259+CS258+CS257</f>
        <v>1671.8526200852943</v>
      </c>
      <c r="CT261" s="161">
        <f t="shared" ref="CT261:CX261" si="913">CT259+CT258+CT257</f>
        <v>0</v>
      </c>
      <c r="CU261" s="161">
        <f t="shared" si="913"/>
        <v>0</v>
      </c>
      <c r="CV261" s="161">
        <f t="shared" si="913"/>
        <v>0</v>
      </c>
      <c r="CW261" s="161">
        <f t="shared" si="913"/>
        <v>0</v>
      </c>
      <c r="CX261" s="310">
        <f t="shared" si="913"/>
        <v>1656.4815250308052</v>
      </c>
      <c r="CY261" s="161">
        <f t="shared" ref="CY261:DC261" si="914">CY259+CY258+CY257</f>
        <v>0</v>
      </c>
      <c r="CZ261" s="161">
        <f t="shared" si="914"/>
        <v>0</v>
      </c>
      <c r="DA261" s="161">
        <f t="shared" si="914"/>
        <v>0</v>
      </c>
      <c r="DB261" s="161">
        <f t="shared" si="914"/>
        <v>0</v>
      </c>
      <c r="DC261" s="310">
        <f t="shared" si="914"/>
        <v>1903.0080857396933</v>
      </c>
      <c r="DD261" s="152"/>
      <c r="DE261" s="476"/>
      <c r="DJ261" s="413"/>
      <c r="DK261" s="411"/>
      <c r="DL261" s="411"/>
      <c r="DM261" s="411"/>
      <c r="DN261" s="411"/>
      <c r="DO261" s="411"/>
      <c r="DP261" s="411"/>
      <c r="DQ261" s="411"/>
      <c r="DR261" s="508"/>
      <c r="DS261" s="161"/>
    </row>
    <row r="262" spans="1:131" x14ac:dyDescent="0.2">
      <c r="A262" s="240" t="s">
        <v>201</v>
      </c>
      <c r="B262" s="300"/>
      <c r="C262" s="132"/>
      <c r="D262" s="132"/>
      <c r="E262" s="132"/>
      <c r="F262" s="132"/>
      <c r="G262" s="300">
        <f>G255+G258+G259</f>
        <v>25.509999999999984</v>
      </c>
      <c r="H262" s="132"/>
      <c r="I262" s="132"/>
      <c r="J262" s="132"/>
      <c r="K262" s="132"/>
      <c r="L262" s="300">
        <f>L255+L259</f>
        <v>26.742999999999967</v>
      </c>
      <c r="M262" s="132"/>
      <c r="N262" s="132"/>
      <c r="O262" s="132"/>
      <c r="P262" s="132"/>
      <c r="Q262" s="300">
        <f>Q255+Q259</f>
        <v>157.56000000000009</v>
      </c>
      <c r="R262" s="132"/>
      <c r="S262" s="132"/>
      <c r="T262" s="132"/>
      <c r="U262" s="132"/>
      <c r="V262" s="300">
        <f>V255+V259</f>
        <v>38.435000000000059</v>
      </c>
      <c r="W262" s="132"/>
      <c r="X262" s="132"/>
      <c r="Y262" s="132"/>
      <c r="Z262" s="132"/>
      <c r="AA262" s="300">
        <f>AA255+AA259</f>
        <v>65.91800000000012</v>
      </c>
      <c r="AB262" s="132"/>
      <c r="AC262" s="132"/>
      <c r="AD262" s="132"/>
      <c r="AE262" s="132"/>
      <c r="AF262" s="300">
        <f>AF255+AF259</f>
        <v>262.28300000000013</v>
      </c>
      <c r="AG262" s="132">
        <f>AG255+AG259</f>
        <v>306.28300000000013</v>
      </c>
      <c r="AH262" s="132">
        <f t="shared" ref="AH262:BJ262" si="915">AH255+AH259</f>
        <v>268.28300000000013</v>
      </c>
      <c r="AI262" s="132">
        <f t="shared" si="915"/>
        <v>279.28300000000013</v>
      </c>
      <c r="AJ262" s="132">
        <f t="shared" si="915"/>
        <v>348.28300000000013</v>
      </c>
      <c r="AK262" s="300">
        <f t="shared" si="915"/>
        <v>348.28300000000013</v>
      </c>
      <c r="AL262" s="132">
        <f t="shared" si="915"/>
        <v>348.28300000000013</v>
      </c>
      <c r="AM262" s="132">
        <f t="shared" si="915"/>
        <v>425.28300000000013</v>
      </c>
      <c r="AN262" s="132">
        <f t="shared" si="915"/>
        <v>332.28300000000013</v>
      </c>
      <c r="AO262" s="132">
        <f t="shared" si="915"/>
        <v>335.28300000000013</v>
      </c>
      <c r="AP262" s="300">
        <f t="shared" si="915"/>
        <v>335.28300000000013</v>
      </c>
      <c r="AQ262" s="132">
        <f t="shared" si="915"/>
        <v>649.28300000000013</v>
      </c>
      <c r="AR262" s="132">
        <f t="shared" si="915"/>
        <v>766.28300000000013</v>
      </c>
      <c r="AS262" s="132">
        <f t="shared" si="915"/>
        <v>783.28300000000013</v>
      </c>
      <c r="AT262" s="132">
        <f t="shared" si="915"/>
        <v>577.28300000000013</v>
      </c>
      <c r="AU262" s="300">
        <f t="shared" si="915"/>
        <v>577.28300000000013</v>
      </c>
      <c r="AV262" s="132">
        <f t="shared" si="915"/>
        <v>520.28300000000013</v>
      </c>
      <c r="AW262" s="132">
        <f t="shared" si="915"/>
        <v>458.28300000000013</v>
      </c>
      <c r="AX262" s="132">
        <f t="shared" si="915"/>
        <v>422.28300000000013</v>
      </c>
      <c r="AY262" s="132">
        <f t="shared" si="915"/>
        <v>466.28300000000013</v>
      </c>
      <c r="AZ262" s="300">
        <f t="shared" si="915"/>
        <v>466.28300000000013</v>
      </c>
      <c r="BA262" s="132">
        <f t="shared" si="915"/>
        <v>434.28300000000013</v>
      </c>
      <c r="BB262" s="132">
        <f t="shared" si="915"/>
        <v>430.28300000000013</v>
      </c>
      <c r="BC262" s="132">
        <f t="shared" si="915"/>
        <v>429.28300000000013</v>
      </c>
      <c r="BD262" s="132">
        <f t="shared" si="915"/>
        <v>465.28300000000013</v>
      </c>
      <c r="BE262" s="300">
        <f t="shared" si="915"/>
        <v>465.28300000000013</v>
      </c>
      <c r="BF262" s="132">
        <f t="shared" si="915"/>
        <v>503.28300000000036</v>
      </c>
      <c r="BG262" s="132">
        <f t="shared" si="915"/>
        <v>454.28300000000036</v>
      </c>
      <c r="BH262" s="132">
        <f t="shared" si="915"/>
        <v>466.28300000000036</v>
      </c>
      <c r="BI262" s="132">
        <f t="shared" si="915"/>
        <v>469.28300000000036</v>
      </c>
      <c r="BJ262" s="300">
        <f t="shared" si="915"/>
        <v>469.28300000000036</v>
      </c>
      <c r="BK262" s="132">
        <f>BK255+BK259</f>
        <v>504.28300000000036</v>
      </c>
      <c r="BL262" s="132">
        <f>BL255+BL259</f>
        <v>468.28300000000036</v>
      </c>
      <c r="BM262" s="132">
        <f t="shared" ref="BM262:BR262" si="916">BM255+BM259</f>
        <v>478.28300000000036</v>
      </c>
      <c r="BN262" s="132">
        <f t="shared" si="916"/>
        <v>420.28300000000047</v>
      </c>
      <c r="BO262" s="300">
        <f t="shared" si="916"/>
        <v>420.28300000000047</v>
      </c>
      <c r="BP262" s="132">
        <f t="shared" si="916"/>
        <v>488.28300000000047</v>
      </c>
      <c r="BQ262" s="132">
        <f t="shared" si="916"/>
        <v>508.28300000000047</v>
      </c>
      <c r="BR262" s="132">
        <f t="shared" si="916"/>
        <v>481.28300000000036</v>
      </c>
      <c r="BS262" s="132">
        <f t="shared" ref="BS262:BX262" si="917">BS255+BS259</f>
        <v>486.28300000000047</v>
      </c>
      <c r="BT262" s="300">
        <f t="shared" si="917"/>
        <v>486.28300000000047</v>
      </c>
      <c r="BU262" s="132">
        <f>BU255+BU259</f>
        <v>645.28300000000047</v>
      </c>
      <c r="BV262" s="132">
        <f>BV255+BV259</f>
        <v>530.28300000000047</v>
      </c>
      <c r="BW262" s="132">
        <f>BW255+BW259</f>
        <v>537.28300000000047</v>
      </c>
      <c r="BX262" s="132">
        <f t="shared" si="917"/>
        <v>553.28300000000047</v>
      </c>
      <c r="BY262" s="300">
        <f t="shared" ref="BY262:CM262" si="918">BY255+BY259</f>
        <v>553.28300000000047</v>
      </c>
      <c r="BZ262" s="132">
        <f t="shared" si="918"/>
        <v>575.28300000000036</v>
      </c>
      <c r="CA262" s="132">
        <f t="shared" si="918"/>
        <v>552.28300000000036</v>
      </c>
      <c r="CB262" s="132">
        <f t="shared" si="918"/>
        <v>560.28300000000036</v>
      </c>
      <c r="CC262" s="132">
        <f t="shared" si="918"/>
        <v>560.28300000000047</v>
      </c>
      <c r="CD262" s="300">
        <f t="shared" si="918"/>
        <v>560.28300000000047</v>
      </c>
      <c r="CE262" s="132">
        <f t="shared" si="918"/>
        <v>553.28300000000036</v>
      </c>
      <c r="CF262" s="132">
        <f t="shared" si="918"/>
        <v>664.28300000000036</v>
      </c>
      <c r="CG262" s="132">
        <f t="shared" si="918"/>
        <v>677.28300000000036</v>
      </c>
      <c r="CH262" s="132">
        <f t="shared" si="918"/>
        <v>748.28300000000036</v>
      </c>
      <c r="CI262" s="300">
        <f t="shared" si="918"/>
        <v>748.28300000000036</v>
      </c>
      <c r="CJ262" s="132">
        <f t="shared" si="918"/>
        <v>484.28300000000036</v>
      </c>
      <c r="CK262" s="132">
        <f t="shared" si="918"/>
        <v>489.28300000000036</v>
      </c>
      <c r="CL262" s="132">
        <f t="shared" si="918"/>
        <v>569.28300000000047</v>
      </c>
      <c r="CM262" s="132">
        <f t="shared" si="918"/>
        <v>626.48972907162704</v>
      </c>
      <c r="CN262" s="300">
        <f t="shared" ref="CN262:CR262" si="919">CN255+CN259</f>
        <v>626.48972907162704</v>
      </c>
      <c r="CO262" s="132">
        <f t="shared" si="919"/>
        <v>524.67374969405444</v>
      </c>
      <c r="CP262" s="132">
        <f t="shared" si="919"/>
        <v>530.37867376859856</v>
      </c>
      <c r="CQ262" s="132">
        <f t="shared" si="919"/>
        <v>622.9396514072107</v>
      </c>
      <c r="CR262" s="132">
        <f t="shared" si="919"/>
        <v>672.71829559562502</v>
      </c>
      <c r="CS262" s="300">
        <f t="shared" ref="CS262" si="920">CS255+CS259</f>
        <v>672.71829559562502</v>
      </c>
      <c r="CT262" s="132">
        <f t="shared" ref="CT262:CX262" si="921">CT255+CT259</f>
        <v>0</v>
      </c>
      <c r="CU262" s="132">
        <f t="shared" si="921"/>
        <v>0</v>
      </c>
      <c r="CV262" s="132">
        <f t="shared" si="921"/>
        <v>0</v>
      </c>
      <c r="CW262" s="132">
        <f t="shared" si="921"/>
        <v>0</v>
      </c>
      <c r="CX262" s="300">
        <f t="shared" si="921"/>
        <v>733.91153672132475</v>
      </c>
      <c r="CY262" s="132">
        <f t="shared" ref="CY262:DC262" si="922">CY255+CY259</f>
        <v>0</v>
      </c>
      <c r="CZ262" s="132">
        <f t="shared" si="922"/>
        <v>0</v>
      </c>
      <c r="DA262" s="132">
        <f t="shared" si="922"/>
        <v>0</v>
      </c>
      <c r="DB262" s="132">
        <f t="shared" si="922"/>
        <v>0</v>
      </c>
      <c r="DC262" s="300">
        <f t="shared" si="922"/>
        <v>790.99523324834604</v>
      </c>
      <c r="DD262" s="132"/>
      <c r="DE262" s="471"/>
      <c r="DJ262" s="413"/>
      <c r="DK262" s="411"/>
      <c r="DL262" s="411"/>
      <c r="DM262" s="411"/>
      <c r="DN262" s="411"/>
      <c r="DO262" s="411"/>
      <c r="DP262" s="411"/>
      <c r="DQ262" s="411"/>
      <c r="DR262" s="508"/>
      <c r="DS262" s="132"/>
    </row>
    <row r="263" spans="1:131" x14ac:dyDescent="0.2">
      <c r="A263" s="241" t="s">
        <v>202</v>
      </c>
      <c r="B263" s="300"/>
      <c r="C263" s="141"/>
      <c r="D263" s="141"/>
      <c r="E263" s="141"/>
      <c r="F263" s="141"/>
      <c r="G263" s="853">
        <v>272.97000000000003</v>
      </c>
      <c r="H263" s="141"/>
      <c r="I263" s="141"/>
      <c r="J263" s="141"/>
      <c r="K263" s="141"/>
      <c r="L263" s="853">
        <v>518.71400000000006</v>
      </c>
      <c r="M263" s="832"/>
      <c r="N263" s="832"/>
      <c r="O263" s="832"/>
      <c r="P263" s="832"/>
      <c r="Q263" s="853">
        <v>1035.133</v>
      </c>
      <c r="R263" s="832"/>
      <c r="S263" s="832"/>
      <c r="T263" s="832"/>
      <c r="U263" s="832"/>
      <c r="V263" s="853">
        <v>1502.0239999999999</v>
      </c>
      <c r="W263" s="832"/>
      <c r="X263" s="832"/>
      <c r="Y263" s="832"/>
      <c r="Z263" s="832"/>
      <c r="AA263" s="853">
        <v>2280.9050000000002</v>
      </c>
      <c r="AB263" s="832"/>
      <c r="AC263" s="832"/>
      <c r="AD263" s="832"/>
      <c r="AE263" s="832"/>
      <c r="AF263" s="853">
        <v>3217</v>
      </c>
      <c r="AG263" s="832">
        <v>3464</v>
      </c>
      <c r="AH263" s="832">
        <v>3719</v>
      </c>
      <c r="AI263" s="832">
        <v>3858</v>
      </c>
      <c r="AJ263" s="832">
        <v>3962</v>
      </c>
      <c r="AK263" s="300">
        <f>AJ263</f>
        <v>3962</v>
      </c>
      <c r="AL263" s="832">
        <v>4226</v>
      </c>
      <c r="AM263" s="832">
        <v>4439</v>
      </c>
      <c r="AN263" s="832">
        <v>4567</v>
      </c>
      <c r="AO263" s="832">
        <v>4712</v>
      </c>
      <c r="AP263" s="300">
        <f>3547+238+475+452</f>
        <v>4712</v>
      </c>
      <c r="AQ263" s="832">
        <v>4919</v>
      </c>
      <c r="AR263" s="832">
        <v>5033</v>
      </c>
      <c r="AS263" s="832">
        <v>5063</v>
      </c>
      <c r="AT263" s="832">
        <v>5015</v>
      </c>
      <c r="AU263" s="300">
        <f>3832+163+487+533</f>
        <v>5015</v>
      </c>
      <c r="AV263" s="832">
        <v>5181</v>
      </c>
      <c r="AW263" s="832">
        <f>4290+494+538</f>
        <v>5322</v>
      </c>
      <c r="AX263" s="832">
        <f>4296+503+544</f>
        <v>5343</v>
      </c>
      <c r="AY263" s="832">
        <f>4170+139+515+549</f>
        <v>5373</v>
      </c>
      <c r="AZ263" s="300">
        <f>AY263</f>
        <v>5373</v>
      </c>
      <c r="BA263" s="832">
        <f>4324+518+551</f>
        <v>5393</v>
      </c>
      <c r="BB263" s="832">
        <f>4399+500+554</f>
        <v>5453</v>
      </c>
      <c r="BC263" s="832">
        <f>4459+484+557</f>
        <v>5500</v>
      </c>
      <c r="BD263" s="832">
        <f>4320+178+491+558</f>
        <v>5547</v>
      </c>
      <c r="BE263" s="300">
        <f>BD263</f>
        <v>5547</v>
      </c>
      <c r="BF263" s="832">
        <f>4442+162+491+558</f>
        <v>5653</v>
      </c>
      <c r="BG263" s="832">
        <f>4517+166+500+559</f>
        <v>5742</v>
      </c>
      <c r="BH263" s="832">
        <f>4783+510+559</f>
        <v>5852</v>
      </c>
      <c r="BI263" s="832">
        <f>4873+531+561</f>
        <v>5965</v>
      </c>
      <c r="BJ263" s="300">
        <f>BI263</f>
        <v>5965</v>
      </c>
      <c r="BK263" s="832">
        <f>4976+551+561</f>
        <v>6088</v>
      </c>
      <c r="BL263" s="832">
        <f>5109+577+561</f>
        <v>6247</v>
      </c>
      <c r="BM263" s="832">
        <f>5146+591+561</f>
        <v>6298</v>
      </c>
      <c r="BN263" s="832">
        <f>5168+585+561</f>
        <v>6314</v>
      </c>
      <c r="BO263" s="300">
        <f>BN263</f>
        <v>6314</v>
      </c>
      <c r="BP263" s="832">
        <f>5217+595+561</f>
        <v>6373</v>
      </c>
      <c r="BQ263" s="832">
        <f>5388+615+561</f>
        <v>6564</v>
      </c>
      <c r="BR263" s="832">
        <f>5532+661+561</f>
        <v>6754</v>
      </c>
      <c r="BS263" s="832">
        <f>5778+688+561</f>
        <v>7027</v>
      </c>
      <c r="BT263" s="300">
        <f>BS263</f>
        <v>7027</v>
      </c>
      <c r="BU263" s="832">
        <f>5752+717+561</f>
        <v>7030</v>
      </c>
      <c r="BV263" s="832">
        <f>5873+771+561</f>
        <v>7205</v>
      </c>
      <c r="BW263" s="832">
        <f>6019+794+561</f>
        <v>7374</v>
      </c>
      <c r="BX263" s="832">
        <f>6233+816+561</f>
        <v>7610</v>
      </c>
      <c r="BY263" s="300">
        <f>BX263</f>
        <v>7610</v>
      </c>
      <c r="BZ263" s="832">
        <f>6360+848+561</f>
        <v>7769</v>
      </c>
      <c r="CA263" s="832">
        <f>6597+859+561</f>
        <v>8017</v>
      </c>
      <c r="CB263" s="832">
        <f>6719+857+561</f>
        <v>8137</v>
      </c>
      <c r="CC263" s="832">
        <f>7079+868+561</f>
        <v>8508</v>
      </c>
      <c r="CD263" s="300">
        <f>CC263</f>
        <v>8508</v>
      </c>
      <c r="CE263" s="832">
        <f>7204+895+561</f>
        <v>8660</v>
      </c>
      <c r="CF263" s="832">
        <f>7334+916+561</f>
        <v>8811</v>
      </c>
      <c r="CG263" s="832">
        <f>7522+940+561</f>
        <v>9023</v>
      </c>
      <c r="CH263" s="832">
        <f>7868+972+561</f>
        <v>9401</v>
      </c>
      <c r="CI263" s="300">
        <f>CH263</f>
        <v>9401</v>
      </c>
      <c r="CJ263" s="832">
        <f>8115+992+561</f>
        <v>9668</v>
      </c>
      <c r="CK263" s="832">
        <f>8393+999+561</f>
        <v>9953</v>
      </c>
      <c r="CL263" s="832">
        <f>8569+1017+561</f>
        <v>10147</v>
      </c>
      <c r="CM263" s="141">
        <f t="shared" ref="CM263:CR263" si="923">CL263-CM225</f>
        <v>10397</v>
      </c>
      <c r="CN263" s="300">
        <f>CM263</f>
        <v>10397</v>
      </c>
      <c r="CO263" s="141">
        <f t="shared" si="923"/>
        <v>10648</v>
      </c>
      <c r="CP263" s="141">
        <f t="shared" si="923"/>
        <v>10898</v>
      </c>
      <c r="CQ263" s="141">
        <f t="shared" si="923"/>
        <v>11148</v>
      </c>
      <c r="CR263" s="141">
        <f t="shared" si="923"/>
        <v>11397</v>
      </c>
      <c r="CS263" s="300">
        <f>CR263</f>
        <v>11397</v>
      </c>
      <c r="CT263" s="141"/>
      <c r="CU263" s="141"/>
      <c r="CV263" s="141"/>
      <c r="CW263" s="141"/>
      <c r="CX263" s="300">
        <f>CS263-CX225</f>
        <v>12572</v>
      </c>
      <c r="CY263" s="141"/>
      <c r="CZ263" s="141"/>
      <c r="DA263" s="141"/>
      <c r="DB263" s="141"/>
      <c r="DC263" s="300">
        <f>CX263-DC225</f>
        <v>13847</v>
      </c>
      <c r="DD263" s="132"/>
      <c r="DE263" s="471"/>
      <c r="DJ263" s="413"/>
      <c r="DK263" s="411"/>
      <c r="DL263" s="411"/>
      <c r="DM263" s="411"/>
      <c r="DN263" s="411"/>
      <c r="DO263" s="411"/>
      <c r="DP263" s="411"/>
      <c r="DQ263" s="411"/>
      <c r="DR263" s="508"/>
      <c r="DS263" s="141"/>
    </row>
    <row r="264" spans="1:131" x14ac:dyDescent="0.2">
      <c r="A264" s="241" t="s">
        <v>203</v>
      </c>
      <c r="B264" s="300"/>
      <c r="C264" s="141"/>
      <c r="D264" s="141"/>
      <c r="E264" s="141"/>
      <c r="F264" s="141"/>
      <c r="G264" s="853">
        <f>-2.334-1.632</f>
        <v>-3.9660000000000002</v>
      </c>
      <c r="H264" s="141"/>
      <c r="I264" s="141"/>
      <c r="J264" s="141"/>
      <c r="K264" s="141"/>
      <c r="L264" s="853">
        <v>-13.835999999999999</v>
      </c>
      <c r="M264" s="832"/>
      <c r="N264" s="832"/>
      <c r="O264" s="832"/>
      <c r="P264" s="832"/>
      <c r="Q264" s="853">
        <v>-37.972000000000001</v>
      </c>
      <c r="R264" s="832"/>
      <c r="S264" s="832"/>
      <c r="T264" s="832"/>
      <c r="U264" s="832"/>
      <c r="V264" s="853">
        <v>-81.033999999999992</v>
      </c>
      <c r="W264" s="832"/>
      <c r="X264" s="832"/>
      <c r="Y264" s="832"/>
      <c r="Z264" s="832"/>
      <c r="AA264" s="853">
        <v>-143.05000000000001</v>
      </c>
      <c r="AB264" s="832"/>
      <c r="AC264" s="832"/>
      <c r="AD264" s="832"/>
      <c r="AE264" s="832"/>
      <c r="AF264" s="853">
        <v>-239</v>
      </c>
      <c r="AG264" s="832">
        <v>-267</v>
      </c>
      <c r="AH264" s="832">
        <v>-299</v>
      </c>
      <c r="AI264" s="832">
        <v>-320</v>
      </c>
      <c r="AJ264" s="832">
        <v>-338</v>
      </c>
      <c r="AK264" s="300">
        <v>-338</v>
      </c>
      <c r="AL264" s="832">
        <v>-373</v>
      </c>
      <c r="AM264" s="832">
        <v>-409</v>
      </c>
      <c r="AN264" s="832">
        <v>-440</v>
      </c>
      <c r="AO264" s="832">
        <v>-466</v>
      </c>
      <c r="AP264" s="300">
        <f>-336-130</f>
        <v>-466</v>
      </c>
      <c r="AQ264" s="832">
        <v>-497</v>
      </c>
      <c r="AR264" s="832">
        <v>-516</v>
      </c>
      <c r="AS264" s="832">
        <v>-535</v>
      </c>
      <c r="AT264" s="832">
        <f>AU264</f>
        <v>-545</v>
      </c>
      <c r="AU264" s="300">
        <f>-406+-134+-5</f>
        <v>-545</v>
      </c>
      <c r="AV264" s="832">
        <v>-591</v>
      </c>
      <c r="AW264" s="832">
        <f>AW265-AW263</f>
        <v>-635</v>
      </c>
      <c r="AX264" s="832">
        <f>AX265-AX263</f>
        <v>-687</v>
      </c>
      <c r="AY264" s="832">
        <f>-540+-169+-26</f>
        <v>-735</v>
      </c>
      <c r="AZ264" s="300">
        <f>AY264</f>
        <v>-735</v>
      </c>
      <c r="BA264" s="832">
        <f>-574+-176+-32</f>
        <v>-782</v>
      </c>
      <c r="BB264" s="832">
        <f>-608+-164+-38</f>
        <v>-810</v>
      </c>
      <c r="BC264" s="832">
        <f>-643+-172-43</f>
        <v>-858</v>
      </c>
      <c r="BD264" s="832">
        <f>-679-178-49</f>
        <v>-906</v>
      </c>
      <c r="BE264" s="300">
        <f>BD264</f>
        <v>-906</v>
      </c>
      <c r="BF264" s="832">
        <f>-715+-185-54</f>
        <v>-954</v>
      </c>
      <c r="BG264" s="832">
        <f>-753-192-60</f>
        <v>-1005</v>
      </c>
      <c r="BH264" s="832">
        <f>-788-200-65</f>
        <v>-1053</v>
      </c>
      <c r="BI264" s="832">
        <f>-827-207-71</f>
        <v>-1105</v>
      </c>
      <c r="BJ264" s="300">
        <f>BI264</f>
        <v>-1105</v>
      </c>
      <c r="BK264" s="832">
        <f>-864-214-77</f>
        <v>-1155</v>
      </c>
      <c r="BL264" s="832">
        <f>-909-223-82</f>
        <v>-1214</v>
      </c>
      <c r="BM264" s="832">
        <f>-952-232-88</f>
        <v>-1272</v>
      </c>
      <c r="BN264" s="832">
        <f>-995-221-93</f>
        <v>-1309</v>
      </c>
      <c r="BO264" s="300">
        <f>BN264</f>
        <v>-1309</v>
      </c>
      <c r="BP264" s="832">
        <f>-1040-229-99</f>
        <v>-1368</v>
      </c>
      <c r="BQ264" s="832">
        <f>-1086-234-105</f>
        <v>-1425</v>
      </c>
      <c r="BR264" s="832">
        <f>-1135-244-110</f>
        <v>-1489</v>
      </c>
      <c r="BS264" s="832">
        <f>-1185-251-116</f>
        <v>-1552</v>
      </c>
      <c r="BT264" s="300">
        <f>BS264</f>
        <v>-1552</v>
      </c>
      <c r="BU264" s="832">
        <f>-1203-250-122</f>
        <v>-1575</v>
      </c>
      <c r="BV264" s="832">
        <f>-1252-260-127</f>
        <v>-1639</v>
      </c>
      <c r="BW264" s="832">
        <f>-1303-252-133</f>
        <v>-1688</v>
      </c>
      <c r="BX264" s="832">
        <f>-1354-252-139</f>
        <v>-1745</v>
      </c>
      <c r="BY264" s="300">
        <f>BX264</f>
        <v>-1745</v>
      </c>
      <c r="BZ264" s="832">
        <f>-1406-263-144</f>
        <v>-1813</v>
      </c>
      <c r="CA264" s="832">
        <f>-1459-276-150</f>
        <v>-1885</v>
      </c>
      <c r="CB264" s="832">
        <f>-1516-286-155</f>
        <v>-1957</v>
      </c>
      <c r="CC264" s="832">
        <f>-1573-293-161</f>
        <v>-2027</v>
      </c>
      <c r="CD264" s="300">
        <f>CC264</f>
        <v>-2027</v>
      </c>
      <c r="CE264" s="832">
        <f>-1637-306-167</f>
        <v>-2110</v>
      </c>
      <c r="CF264" s="832">
        <f>-1700-319-173</f>
        <v>-2192</v>
      </c>
      <c r="CG264" s="832">
        <f>-1768-335-179</f>
        <v>-2282</v>
      </c>
      <c r="CH264" s="832">
        <f>-1823-345-185</f>
        <v>-2353</v>
      </c>
      <c r="CI264" s="300">
        <f>CH264</f>
        <v>-2353</v>
      </c>
      <c r="CJ264" s="832">
        <f>-1896-360-190</f>
        <v>-2446</v>
      </c>
      <c r="CK264" s="832">
        <f>-1971-369-196</f>
        <v>-2536</v>
      </c>
      <c r="CL264" s="832">
        <f>-2047-387-201</f>
        <v>-2635</v>
      </c>
      <c r="CM264" s="141">
        <f t="shared" ref="CM264:CR264" si="924">CL264-CM217</f>
        <v>-2738.3421052631579</v>
      </c>
      <c r="CN264" s="300">
        <f>CM264</f>
        <v>-2738.3421052631579</v>
      </c>
      <c r="CO264" s="141">
        <f t="shared" si="924"/>
        <v>-2837.7149991169199</v>
      </c>
      <c r="CP264" s="141">
        <f t="shared" si="924"/>
        <v>-2938.9893529965857</v>
      </c>
      <c r="CQ264" s="141">
        <f t="shared" si="924"/>
        <v>-3043.9240174261158</v>
      </c>
      <c r="CR264" s="141">
        <f t="shared" si="924"/>
        <v>-3153.9753379253507</v>
      </c>
      <c r="CS264" s="300">
        <f>CR264</f>
        <v>-3153.9753379253507</v>
      </c>
      <c r="CT264" s="141"/>
      <c r="CU264" s="141"/>
      <c r="CV264" s="141"/>
      <c r="CW264" s="141"/>
      <c r="CX264" s="300">
        <f>CS264-CX217</f>
        <v>-3600.866420587543</v>
      </c>
      <c r="CY264" s="141"/>
      <c r="CZ264" s="141"/>
      <c r="DA264" s="141"/>
      <c r="DB264" s="141"/>
      <c r="DC264" s="300">
        <f>CX264-DC217</f>
        <v>-4088.7293312497354</v>
      </c>
      <c r="DD264" s="132"/>
      <c r="DE264" s="471"/>
      <c r="DJ264" s="413"/>
      <c r="DK264" s="411"/>
      <c r="DL264" s="411"/>
      <c r="DM264" s="411"/>
      <c r="DN264" s="411"/>
      <c r="DO264" s="411"/>
      <c r="DP264" s="411"/>
      <c r="DQ264" s="411"/>
      <c r="DR264" s="508"/>
      <c r="DS264" s="141"/>
    </row>
    <row r="265" spans="1:131" x14ac:dyDescent="0.2">
      <c r="A265" s="145" t="s">
        <v>204</v>
      </c>
      <c r="B265" s="301"/>
      <c r="C265" s="145"/>
      <c r="D265" s="145"/>
      <c r="E265" s="145"/>
      <c r="F265" s="145"/>
      <c r="G265" s="301">
        <f>SUM(G263:G264)</f>
        <v>269.00400000000002</v>
      </c>
      <c r="H265" s="145"/>
      <c r="I265" s="145"/>
      <c r="J265" s="145"/>
      <c r="K265" s="145"/>
      <c r="L265" s="301">
        <f>SUM(L263:L264)</f>
        <v>504.87800000000004</v>
      </c>
      <c r="M265" s="145"/>
      <c r="N265" s="145"/>
      <c r="O265" s="145"/>
      <c r="P265" s="145"/>
      <c r="Q265" s="301">
        <f>SUM(Q263:Q264)</f>
        <v>997.16100000000006</v>
      </c>
      <c r="R265" s="145"/>
      <c r="S265" s="145"/>
      <c r="T265" s="145"/>
      <c r="U265" s="145"/>
      <c r="V265" s="301">
        <f>SUM(V263:V264)</f>
        <v>1420.9899999999998</v>
      </c>
      <c r="W265" s="145"/>
      <c r="X265" s="145"/>
      <c r="Y265" s="145"/>
      <c r="Z265" s="145"/>
      <c r="AA265" s="301">
        <f>SUM(AA263:AA264)</f>
        <v>2137.855</v>
      </c>
      <c r="AB265" s="145"/>
      <c r="AC265" s="145"/>
      <c r="AD265" s="145"/>
      <c r="AE265" s="145"/>
      <c r="AF265" s="301">
        <f t="shared" ref="AF265:BO265" si="925">SUM(AF263:AF264)</f>
        <v>2978</v>
      </c>
      <c r="AG265" s="145">
        <f t="shared" si="925"/>
        <v>3197</v>
      </c>
      <c r="AH265" s="145">
        <f t="shared" si="925"/>
        <v>3420</v>
      </c>
      <c r="AI265" s="145">
        <f t="shared" si="925"/>
        <v>3538</v>
      </c>
      <c r="AJ265" s="145">
        <f t="shared" si="925"/>
        <v>3624</v>
      </c>
      <c r="AK265" s="301">
        <f t="shared" si="925"/>
        <v>3624</v>
      </c>
      <c r="AL265" s="145">
        <f t="shared" si="925"/>
        <v>3853</v>
      </c>
      <c r="AM265" s="145">
        <f t="shared" si="925"/>
        <v>4030</v>
      </c>
      <c r="AN265" s="145">
        <f t="shared" si="925"/>
        <v>4127</v>
      </c>
      <c r="AO265" s="145">
        <f t="shared" si="925"/>
        <v>4246</v>
      </c>
      <c r="AP265" s="301">
        <f t="shared" si="925"/>
        <v>4246</v>
      </c>
      <c r="AQ265" s="145">
        <f t="shared" si="925"/>
        <v>4422</v>
      </c>
      <c r="AR265" s="145">
        <f t="shared" si="925"/>
        <v>4517</v>
      </c>
      <c r="AS265" s="145">
        <f t="shared" si="925"/>
        <v>4528</v>
      </c>
      <c r="AT265" s="145">
        <f t="shared" si="925"/>
        <v>4470</v>
      </c>
      <c r="AU265" s="301">
        <f t="shared" si="925"/>
        <v>4470</v>
      </c>
      <c r="AV265" s="145">
        <f t="shared" si="925"/>
        <v>4590</v>
      </c>
      <c r="AW265" s="145">
        <v>4687</v>
      </c>
      <c r="AX265" s="145">
        <v>4656</v>
      </c>
      <c r="AY265" s="145">
        <f t="shared" si="925"/>
        <v>4638</v>
      </c>
      <c r="AZ265" s="301">
        <f t="shared" si="925"/>
        <v>4638</v>
      </c>
      <c r="BA265" s="145">
        <f>SUM(BA263:BA264)</f>
        <v>4611</v>
      </c>
      <c r="BB265" s="145">
        <f>SUM(BB263:BB264)</f>
        <v>4643</v>
      </c>
      <c r="BC265" s="145">
        <f>SUM(BC263:BC264)</f>
        <v>4642</v>
      </c>
      <c r="BD265" s="145">
        <f>SUM(BD263:BD264)</f>
        <v>4641</v>
      </c>
      <c r="BE265" s="301">
        <f t="shared" si="925"/>
        <v>4641</v>
      </c>
      <c r="BF265" s="145">
        <f>SUM(BF263:BF264)</f>
        <v>4699</v>
      </c>
      <c r="BG265" s="145">
        <f>SUM(BG263:BG264)</f>
        <v>4737</v>
      </c>
      <c r="BH265" s="145">
        <f>SUM(BH263:BH264)</f>
        <v>4799</v>
      </c>
      <c r="BI265" s="145">
        <f>SUM(BI263:BI264)</f>
        <v>4860</v>
      </c>
      <c r="BJ265" s="301">
        <f t="shared" si="925"/>
        <v>4860</v>
      </c>
      <c r="BK265" s="145">
        <f>SUM(BK263:BK264)</f>
        <v>4933</v>
      </c>
      <c r="BL265" s="145">
        <f>SUM(BL263:BL264)</f>
        <v>5033</v>
      </c>
      <c r="BM265" s="145">
        <f>SUM(BM263:BM264)</f>
        <v>5026</v>
      </c>
      <c r="BN265" s="145">
        <f>SUM(BN263:BN264)</f>
        <v>5005</v>
      </c>
      <c r="BO265" s="301">
        <f t="shared" si="925"/>
        <v>5005</v>
      </c>
      <c r="BP265" s="145">
        <f t="shared" ref="BP265:BU265" si="926">SUM(BP263:BP264)</f>
        <v>5005</v>
      </c>
      <c r="BQ265" s="145">
        <f t="shared" si="926"/>
        <v>5139</v>
      </c>
      <c r="BR265" s="145">
        <f t="shared" si="926"/>
        <v>5265</v>
      </c>
      <c r="BS265" s="145">
        <f t="shared" si="926"/>
        <v>5475</v>
      </c>
      <c r="BT265" s="301">
        <f t="shared" si="926"/>
        <v>5475</v>
      </c>
      <c r="BU265" s="145">
        <f t="shared" si="926"/>
        <v>5455</v>
      </c>
      <c r="BV265" s="145">
        <f t="shared" ref="BV265:CD265" si="927">SUM(BV263:BV264)</f>
        <v>5566</v>
      </c>
      <c r="BW265" s="145">
        <f t="shared" si="927"/>
        <v>5686</v>
      </c>
      <c r="BX265" s="145">
        <f t="shared" si="927"/>
        <v>5865</v>
      </c>
      <c r="BY265" s="301">
        <f t="shared" si="927"/>
        <v>5865</v>
      </c>
      <c r="BZ265" s="145">
        <f t="shared" si="927"/>
        <v>5956</v>
      </c>
      <c r="CA265" s="145">
        <f t="shared" si="927"/>
        <v>6132</v>
      </c>
      <c r="CB265" s="145">
        <f t="shared" si="927"/>
        <v>6180</v>
      </c>
      <c r="CC265" s="145">
        <f t="shared" si="927"/>
        <v>6481</v>
      </c>
      <c r="CD265" s="301">
        <f t="shared" si="927"/>
        <v>6481</v>
      </c>
      <c r="CE265" s="145">
        <f>SUM(CE263:CE264)</f>
        <v>6550</v>
      </c>
      <c r="CF265" s="145">
        <f>SUM(CF263:CF264)</f>
        <v>6619</v>
      </c>
      <c r="CG265" s="145">
        <f>SUM(CG263:CG264)</f>
        <v>6741</v>
      </c>
      <c r="CH265" s="145">
        <f>SUM(CH263:CH264)</f>
        <v>7048</v>
      </c>
      <c r="CI265" s="301">
        <f>SUM(CI263:CI264)</f>
        <v>7048</v>
      </c>
      <c r="CJ265" s="145">
        <f t="shared" ref="CJ265:CM265" si="928">SUM(CJ263:CJ264)</f>
        <v>7222</v>
      </c>
      <c r="CK265" s="145">
        <f>SUM(CK263:CK264)</f>
        <v>7417</v>
      </c>
      <c r="CL265" s="145">
        <f t="shared" si="928"/>
        <v>7512</v>
      </c>
      <c r="CM265" s="145">
        <f t="shared" si="928"/>
        <v>7658.6578947368416</v>
      </c>
      <c r="CN265" s="301">
        <f>SUM(CN263:CN264)</f>
        <v>7658.6578947368416</v>
      </c>
      <c r="CO265" s="145">
        <f t="shared" ref="CO265:CR265" si="929">SUM(CO263:CO264)</f>
        <v>7810.2850008830801</v>
      </c>
      <c r="CP265" s="145">
        <f t="shared" si="929"/>
        <v>7959.0106470034143</v>
      </c>
      <c r="CQ265" s="145">
        <f t="shared" si="929"/>
        <v>8104.0759825738842</v>
      </c>
      <c r="CR265" s="145">
        <f t="shared" si="929"/>
        <v>8243.0246620746493</v>
      </c>
      <c r="CS265" s="301">
        <f>SUM(CS263:CS264)</f>
        <v>8243.0246620746493</v>
      </c>
      <c r="CT265" s="145"/>
      <c r="CU265" s="145"/>
      <c r="CV265" s="145"/>
      <c r="CW265" s="145"/>
      <c r="CX265" s="301">
        <f>SUM(CX263:CX264)</f>
        <v>8971.133579412457</v>
      </c>
      <c r="CY265" s="145"/>
      <c r="CZ265" s="145"/>
      <c r="DA265" s="145"/>
      <c r="DB265" s="145"/>
      <c r="DC265" s="301">
        <f>SUM(DC263:DC264)</f>
        <v>9758.270668750265</v>
      </c>
      <c r="DD265" s="152"/>
      <c r="DE265" s="476"/>
      <c r="DJ265" s="413"/>
      <c r="DK265" s="411"/>
      <c r="DL265" s="411"/>
      <c r="DM265" s="411"/>
      <c r="DN265" s="411"/>
      <c r="DO265" s="411"/>
      <c r="DP265" s="411"/>
      <c r="DQ265" s="411"/>
      <c r="DR265" s="508"/>
      <c r="DS265" s="145"/>
    </row>
    <row r="266" spans="1:131" x14ac:dyDescent="0.2">
      <c r="A266" s="141" t="s">
        <v>205</v>
      </c>
      <c r="B266" s="300"/>
      <c r="C266" s="141"/>
      <c r="D266" s="141"/>
      <c r="E266" s="141"/>
      <c r="F266" s="141"/>
      <c r="G266" s="853">
        <v>0</v>
      </c>
      <c r="H266" s="141"/>
      <c r="I266" s="141"/>
      <c r="J266" s="141"/>
      <c r="K266" s="141"/>
      <c r="L266" s="853">
        <v>3.5</v>
      </c>
      <c r="M266" s="837"/>
      <c r="N266" s="837"/>
      <c r="O266" s="837"/>
      <c r="P266" s="837"/>
      <c r="Q266" s="853">
        <v>68.278000000000006</v>
      </c>
      <c r="R266" s="837"/>
      <c r="S266" s="837"/>
      <c r="T266" s="837"/>
      <c r="U266" s="837"/>
      <c r="V266" s="853">
        <v>62.256</v>
      </c>
      <c r="W266" s="837"/>
      <c r="X266" s="837"/>
      <c r="Y266" s="837"/>
      <c r="Z266" s="837"/>
      <c r="AA266" s="853">
        <v>54.258000000000003</v>
      </c>
      <c r="AB266" s="837"/>
      <c r="AC266" s="837"/>
      <c r="AD266" s="837"/>
      <c r="AE266" s="837"/>
      <c r="AF266" s="853">
        <v>43</v>
      </c>
      <c r="AG266" s="837">
        <v>40</v>
      </c>
      <c r="AH266" s="837">
        <v>37</v>
      </c>
      <c r="AI266" s="837">
        <v>35</v>
      </c>
      <c r="AJ266" s="837">
        <v>32</v>
      </c>
      <c r="AK266" s="300">
        <v>32</v>
      </c>
      <c r="AL266" s="837">
        <v>30</v>
      </c>
      <c r="AM266" s="837">
        <v>27</v>
      </c>
      <c r="AN266" s="837">
        <v>24</v>
      </c>
      <c r="AO266" s="837">
        <v>21</v>
      </c>
      <c r="AP266" s="300">
        <v>21</v>
      </c>
      <c r="AQ266" s="837">
        <v>18</v>
      </c>
      <c r="AR266" s="837">
        <v>15</v>
      </c>
      <c r="AS266" s="837">
        <v>12</v>
      </c>
      <c r="AT266" s="837">
        <v>8</v>
      </c>
      <c r="AU266" s="300">
        <v>8</v>
      </c>
      <c r="AV266" s="837">
        <v>0</v>
      </c>
      <c r="AW266" s="837">
        <v>0</v>
      </c>
      <c r="AX266" s="837">
        <v>0</v>
      </c>
      <c r="AY266" s="837">
        <v>0</v>
      </c>
      <c r="AZ266" s="332">
        <f>AY266</f>
        <v>0</v>
      </c>
      <c r="BA266" s="837">
        <v>0</v>
      </c>
      <c r="BB266" s="837">
        <v>0</v>
      </c>
      <c r="BC266" s="837">
        <v>0</v>
      </c>
      <c r="BD266" s="837">
        <v>0</v>
      </c>
      <c r="BE266" s="332">
        <f>BD266</f>
        <v>0</v>
      </c>
      <c r="BF266" s="837">
        <v>0</v>
      </c>
      <c r="BG266" s="837">
        <v>0</v>
      </c>
      <c r="BH266" s="837">
        <v>0</v>
      </c>
      <c r="BI266" s="837">
        <v>0</v>
      </c>
      <c r="BJ266" s="332">
        <f>BI266</f>
        <v>0</v>
      </c>
      <c r="BK266" s="837">
        <v>0</v>
      </c>
      <c r="BL266" s="837">
        <v>0</v>
      </c>
      <c r="BM266" s="837">
        <v>0</v>
      </c>
      <c r="BN266" s="837">
        <v>0</v>
      </c>
      <c r="BO266" s="332">
        <f>BN266</f>
        <v>0</v>
      </c>
      <c r="BP266" s="837">
        <v>0</v>
      </c>
      <c r="BQ266" s="837">
        <v>0</v>
      </c>
      <c r="BR266" s="837">
        <v>0</v>
      </c>
      <c r="BS266" s="837">
        <v>0</v>
      </c>
      <c r="BT266" s="332">
        <f>BS266</f>
        <v>0</v>
      </c>
      <c r="BU266" s="837">
        <v>0</v>
      </c>
      <c r="BV266" s="837">
        <v>0</v>
      </c>
      <c r="BW266" s="837">
        <v>0</v>
      </c>
      <c r="BX266" s="837">
        <v>0</v>
      </c>
      <c r="BY266" s="332">
        <f>BX266</f>
        <v>0</v>
      </c>
      <c r="BZ266" s="837">
        <v>0</v>
      </c>
      <c r="CA266" s="837">
        <v>0</v>
      </c>
      <c r="CB266" s="837">
        <v>0</v>
      </c>
      <c r="CC266" s="837">
        <v>0</v>
      </c>
      <c r="CD266" s="332">
        <f>CC266</f>
        <v>0</v>
      </c>
      <c r="CE266" s="837">
        <v>0</v>
      </c>
      <c r="CF266" s="837">
        <v>0</v>
      </c>
      <c r="CG266" s="837">
        <v>0</v>
      </c>
      <c r="CH266" s="837">
        <v>0</v>
      </c>
      <c r="CI266" s="332">
        <f>CH266</f>
        <v>0</v>
      </c>
      <c r="CJ266" s="837">
        <v>0</v>
      </c>
      <c r="CK266" s="837">
        <v>0</v>
      </c>
      <c r="CL266" s="837">
        <v>0</v>
      </c>
      <c r="CM266" s="142">
        <v>0</v>
      </c>
      <c r="CN266" s="332">
        <f>CM266</f>
        <v>0</v>
      </c>
      <c r="CO266" s="142">
        <v>0</v>
      </c>
      <c r="CP266" s="142">
        <v>0</v>
      </c>
      <c r="CQ266" s="142">
        <v>0</v>
      </c>
      <c r="CR266" s="142">
        <v>0</v>
      </c>
      <c r="CS266" s="332">
        <f>CR266</f>
        <v>0</v>
      </c>
      <c r="CT266" s="142"/>
      <c r="CU266" s="142"/>
      <c r="CV266" s="142"/>
      <c r="CW266" s="142"/>
      <c r="CX266" s="332">
        <v>0</v>
      </c>
      <c r="CY266" s="142"/>
      <c r="CZ266" s="142"/>
      <c r="DA266" s="142"/>
      <c r="DB266" s="142"/>
      <c r="DC266" s="332">
        <v>0</v>
      </c>
      <c r="DD266" s="132"/>
      <c r="DE266" s="471"/>
      <c r="DJ266" s="413"/>
      <c r="DK266" s="413"/>
      <c r="DL266" s="413"/>
      <c r="DM266" s="413"/>
      <c r="DN266" s="413"/>
      <c r="DO266" s="413"/>
      <c r="DP266" s="413"/>
      <c r="DQ266" s="413"/>
      <c r="DR266" s="510"/>
      <c r="DS266" s="141"/>
    </row>
    <row r="267" spans="1:131" s="211" customFormat="1" x14ac:dyDescent="0.2">
      <c r="A267" s="145" t="s">
        <v>206</v>
      </c>
      <c r="B267" s="301"/>
      <c r="C267" s="145"/>
      <c r="D267" s="145"/>
      <c r="E267" s="145"/>
      <c r="F267" s="145"/>
      <c r="G267" s="855">
        <v>15.211</v>
      </c>
      <c r="H267" s="145"/>
      <c r="I267" s="145"/>
      <c r="J267" s="145"/>
      <c r="K267" s="145"/>
      <c r="L267" s="855">
        <v>21.13</v>
      </c>
      <c r="M267" s="145"/>
      <c r="N267" s="145"/>
      <c r="O267" s="145"/>
      <c r="P267" s="145"/>
      <c r="Q267" s="855">
        <v>30.425000000000001</v>
      </c>
      <c r="R267" s="145"/>
      <c r="S267" s="145"/>
      <c r="T267" s="145"/>
      <c r="U267" s="145"/>
      <c r="V267" s="855">
        <v>56.771000000000001</v>
      </c>
      <c r="W267" s="145"/>
      <c r="X267" s="145"/>
      <c r="Y267" s="145"/>
      <c r="Z267" s="145"/>
      <c r="AA267" s="855">
        <v>91.450999999999993</v>
      </c>
      <c r="AB267" s="145"/>
      <c r="AC267" s="145"/>
      <c r="AD267" s="145"/>
      <c r="AE267" s="145"/>
      <c r="AF267" s="855">
        <f>30+95</f>
        <v>125</v>
      </c>
      <c r="AG267" s="145">
        <f>AG270-AG261-AG266-AG265</f>
        <v>105</v>
      </c>
      <c r="AH267" s="145">
        <f>AH270-AH261-AH266-AH265</f>
        <v>113</v>
      </c>
      <c r="AI267" s="145">
        <f>AI270-AI261-AI266-AI265</f>
        <v>121</v>
      </c>
      <c r="AJ267" s="145">
        <f>AJ270-AJ261-AJ266-AJ265</f>
        <v>140</v>
      </c>
      <c r="AK267" s="301">
        <f>AJ267</f>
        <v>140</v>
      </c>
      <c r="AL267" s="145">
        <f>AL270-AL261-AL266-AL265</f>
        <v>140</v>
      </c>
      <c r="AM267" s="145">
        <f>AM270-AM261-AM266-AM265</f>
        <v>102</v>
      </c>
      <c r="AN267" s="145">
        <f>AN270-AN261-AN266-AN265</f>
        <v>134</v>
      </c>
      <c r="AO267" s="145">
        <f>AO270-AO261-AO266-AO265</f>
        <v>162</v>
      </c>
      <c r="AP267" s="301">
        <f>162</f>
        <v>162</v>
      </c>
      <c r="AQ267" s="145">
        <f>AQ270-AQ261-AQ266-AQ265</f>
        <v>208</v>
      </c>
      <c r="AR267" s="145">
        <f>AR270-AR261-AR266-AR265</f>
        <v>206</v>
      </c>
      <c r="AS267" s="145">
        <f>AS270-AS261-AS266-AS265</f>
        <v>196</v>
      </c>
      <c r="AT267" s="145">
        <f>AU267</f>
        <v>397</v>
      </c>
      <c r="AU267" s="301">
        <v>397</v>
      </c>
      <c r="AV267" s="145">
        <f>AV270-AV261-AV266-AV265</f>
        <v>412</v>
      </c>
      <c r="AW267" s="145">
        <f>AW270-AW261-AW266-AW265</f>
        <v>474</v>
      </c>
      <c r="AX267" s="145">
        <f>AX270-AX261-AX266-AX265</f>
        <v>285</v>
      </c>
      <c r="AY267" s="145">
        <f>AY270-AY261-AY266-AY265</f>
        <v>308</v>
      </c>
      <c r="AZ267" s="301">
        <f>AY267</f>
        <v>308</v>
      </c>
      <c r="BA267" s="145">
        <f>BA270-BA261-BA266-BA265</f>
        <v>331</v>
      </c>
      <c r="BB267" s="145">
        <f>BB270-BB261-BB266-BB265</f>
        <v>358</v>
      </c>
      <c r="BC267" s="145">
        <f>BC270-BC261-BC266-BC265</f>
        <v>383</v>
      </c>
      <c r="BD267" s="145">
        <f>BD270-BD261-BD266-BD265</f>
        <v>394</v>
      </c>
      <c r="BE267" s="301">
        <f>BD267</f>
        <v>394</v>
      </c>
      <c r="BF267" s="145">
        <f>BF270-BF261-BF266-BF265</f>
        <v>406</v>
      </c>
      <c r="BG267" s="145">
        <f>BG270-BG261-BG266-BG265</f>
        <v>411</v>
      </c>
      <c r="BH267" s="145">
        <f>BH270-BH261-BH266-BH265</f>
        <v>407</v>
      </c>
      <c r="BI267" s="145">
        <f>BI270-BI261-BI266-BI265</f>
        <v>478</v>
      </c>
      <c r="BJ267" s="301">
        <f>BI267</f>
        <v>478</v>
      </c>
      <c r="BK267" s="145">
        <f>BK270-BK261-BK266-BK265</f>
        <v>481</v>
      </c>
      <c r="BL267" s="145">
        <f>BL270-BL261-BL266-BL265</f>
        <v>419</v>
      </c>
      <c r="BM267" s="145">
        <f>BM270-BM261-BM266-BM265</f>
        <v>573</v>
      </c>
      <c r="BN267" s="145">
        <f>BN270-BN261-BN266-BN265</f>
        <v>778</v>
      </c>
      <c r="BO267" s="301">
        <f>BN267</f>
        <v>778</v>
      </c>
      <c r="BP267" s="145">
        <f>BP270-BP261-BP266-BP265</f>
        <v>794</v>
      </c>
      <c r="BQ267" s="145">
        <f>BQ270-BQ261-BQ266-BQ265</f>
        <v>778</v>
      </c>
      <c r="BR267" s="145">
        <f>BR270-BR261-BR266-BR265</f>
        <v>658</v>
      </c>
      <c r="BS267" s="145">
        <f>BS270-BS261-BS266-BS265</f>
        <v>648</v>
      </c>
      <c r="BT267" s="301">
        <f>BS267</f>
        <v>648</v>
      </c>
      <c r="BU267" s="145">
        <f>BU270-BU261-BU266-BU265</f>
        <v>677</v>
      </c>
      <c r="BV267" s="145">
        <f>BV270-BV261-BV266-BV265</f>
        <v>637</v>
      </c>
      <c r="BW267" s="145">
        <f>BW270-BW261-BW266-BW265</f>
        <v>654</v>
      </c>
      <c r="BX267" s="145">
        <f>BX270-BX261-BX266-BX265</f>
        <v>653</v>
      </c>
      <c r="BY267" s="301">
        <f>BX267</f>
        <v>653</v>
      </c>
      <c r="BZ267" s="145">
        <f>BZ270-BZ261-BZ266-BZ265</f>
        <v>677</v>
      </c>
      <c r="CA267" s="145">
        <f>CA270-CA261-CA266-CA265</f>
        <v>662</v>
      </c>
      <c r="CB267" s="145">
        <f>CB270-CB261-CB266-CB265</f>
        <v>675</v>
      </c>
      <c r="CC267" s="145">
        <f>CC270-CC261-CC266-CC265</f>
        <v>694</v>
      </c>
      <c r="CD267" s="301">
        <f>CC267</f>
        <v>694</v>
      </c>
      <c r="CE267" s="145">
        <f>CE270-CE261-CE266-CE265</f>
        <v>672</v>
      </c>
      <c r="CF267" s="145">
        <f>CF270-CF261-CF266-CF265</f>
        <v>665</v>
      </c>
      <c r="CG267" s="145">
        <f>CG270-CG261-CG266-CG265</f>
        <v>707</v>
      </c>
      <c r="CH267" s="145">
        <f>CH270-CH261-CH266-CH265</f>
        <v>720</v>
      </c>
      <c r="CI267" s="301">
        <f>CH267</f>
        <v>720</v>
      </c>
      <c r="CJ267" s="145">
        <f>CJ270-CJ261-CJ266-CJ265</f>
        <v>721</v>
      </c>
      <c r="CK267" s="145">
        <f>CK270-CK261-CK266-CK265</f>
        <v>718</v>
      </c>
      <c r="CL267" s="145">
        <f>CL270-CL261-CL266-CL265</f>
        <v>701</v>
      </c>
      <c r="CM267" s="145">
        <f t="shared" ref="CM267:CR267" si="930">CL267</f>
        <v>701</v>
      </c>
      <c r="CN267" s="301">
        <f>CM267</f>
        <v>701</v>
      </c>
      <c r="CO267" s="145">
        <f t="shared" si="930"/>
        <v>701</v>
      </c>
      <c r="CP267" s="145">
        <f t="shared" si="930"/>
        <v>701</v>
      </c>
      <c r="CQ267" s="145">
        <f t="shared" si="930"/>
        <v>701</v>
      </c>
      <c r="CR267" s="145">
        <f t="shared" si="930"/>
        <v>701</v>
      </c>
      <c r="CS267" s="301">
        <f>CR267</f>
        <v>701</v>
      </c>
      <c r="CT267" s="145"/>
      <c r="CU267" s="145"/>
      <c r="CV267" s="145"/>
      <c r="CW267" s="145"/>
      <c r="CX267" s="301">
        <f>CS267</f>
        <v>701</v>
      </c>
      <c r="CY267" s="145"/>
      <c r="CZ267" s="145"/>
      <c r="DA267" s="145"/>
      <c r="DB267" s="145"/>
      <c r="DC267" s="301">
        <f>CX267</f>
        <v>701</v>
      </c>
      <c r="DD267" s="152"/>
      <c r="DE267" s="476"/>
      <c r="DF267" s="382"/>
      <c r="DG267" s="382"/>
      <c r="DH267" s="382"/>
      <c r="DI267" s="382"/>
      <c r="DJ267" s="413"/>
      <c r="DK267" s="411"/>
      <c r="DL267" s="411"/>
      <c r="DM267" s="411"/>
      <c r="DN267" s="411"/>
      <c r="DO267" s="411"/>
      <c r="DP267" s="411"/>
      <c r="DQ267" s="411"/>
      <c r="DR267" s="508"/>
      <c r="DS267" s="145"/>
      <c r="DT267"/>
      <c r="DU267"/>
      <c r="DV267"/>
      <c r="DW267"/>
      <c r="DX267"/>
      <c r="DY267"/>
    </row>
    <row r="268" spans="1:131" x14ac:dyDescent="0.2">
      <c r="A268" s="238" t="s">
        <v>200</v>
      </c>
      <c r="B268" s="309"/>
      <c r="C268" s="160"/>
      <c r="D268" s="160"/>
      <c r="E268" s="160"/>
      <c r="F268" s="160"/>
      <c r="G268" s="309"/>
      <c r="H268" s="160"/>
      <c r="I268" s="160"/>
      <c r="J268" s="160"/>
      <c r="K268" s="160"/>
      <c r="L268" s="309">
        <f>L267/L185</f>
        <v>8.3723620917829603E-2</v>
      </c>
      <c r="M268" s="160"/>
      <c r="N268" s="160"/>
      <c r="O268" s="160"/>
      <c r="P268" s="160"/>
      <c r="Q268" s="309">
        <f>Q267/Q185</f>
        <v>6.702530990256271E-2</v>
      </c>
      <c r="R268" s="160"/>
      <c r="S268" s="160"/>
      <c r="T268" s="160"/>
      <c r="U268" s="160"/>
      <c r="V268" s="309">
        <f>V267/V185</f>
        <v>8.3634108326139295E-2</v>
      </c>
      <c r="W268" s="160"/>
      <c r="X268" s="160"/>
      <c r="Y268" s="160"/>
      <c r="Z268" s="160"/>
      <c r="AA268" s="309">
        <f>AA267/AA185</f>
        <v>0.10210425126414734</v>
      </c>
      <c r="AB268" s="160"/>
      <c r="AC268" s="160"/>
      <c r="AD268" s="160"/>
      <c r="AE268" s="160"/>
      <c r="AF268" s="309">
        <f t="shared" ref="AF268:BI268" si="931">AF267/AF185</f>
        <v>0.10839957992994785</v>
      </c>
      <c r="AG268" s="160">
        <f t="shared" si="931"/>
        <v>8.4256071051138623E-2</v>
      </c>
      <c r="AH268" s="160">
        <f t="shared" si="931"/>
        <v>8.4229796775116883E-2</v>
      </c>
      <c r="AI268" s="160">
        <f t="shared" si="931"/>
        <v>8.5060016519920553E-2</v>
      </c>
      <c r="AJ268" s="160">
        <f t="shared" si="931"/>
        <v>9.3896713615023469E-2</v>
      </c>
      <c r="AK268" s="309">
        <f t="shared" si="931"/>
        <v>9.3896713615023469E-2</v>
      </c>
      <c r="AL268" s="160">
        <f t="shared" si="931"/>
        <v>8.9342693044033181E-2</v>
      </c>
      <c r="AM268" s="160">
        <f t="shared" si="931"/>
        <v>6.2769230769230772E-2</v>
      </c>
      <c r="AN268" s="160">
        <f t="shared" si="931"/>
        <v>7.9761904761904756E-2</v>
      </c>
      <c r="AO268" s="160">
        <f t="shared" si="931"/>
        <v>9.2889908256880732E-2</v>
      </c>
      <c r="AP268" s="309">
        <f t="shared" si="931"/>
        <v>9.2889908256880732E-2</v>
      </c>
      <c r="AQ268" s="160">
        <f t="shared" si="931"/>
        <v>0.11531211886018404</v>
      </c>
      <c r="AR268" s="160">
        <f t="shared" si="931"/>
        <v>0.11190786614515427</v>
      </c>
      <c r="AS268" s="160">
        <f t="shared" si="931"/>
        <v>0.10371467880198962</v>
      </c>
      <c r="AT268" s="160">
        <f t="shared" si="931"/>
        <v>0.20694328607172643</v>
      </c>
      <c r="AU268" s="309">
        <f t="shared" si="931"/>
        <v>0.20694328607172643</v>
      </c>
      <c r="AV268" s="160">
        <f t="shared" si="931"/>
        <v>0.21413721413721415</v>
      </c>
      <c r="AW268" s="160">
        <f t="shared" si="931"/>
        <v>0.24284030944208207</v>
      </c>
      <c r="AX268" s="160">
        <f t="shared" si="931"/>
        <v>0.14252850570114023</v>
      </c>
      <c r="AY268" s="160">
        <f t="shared" si="931"/>
        <v>0.14936954413191075</v>
      </c>
      <c r="AZ268" s="309">
        <f t="shared" si="931"/>
        <v>0.14936954413191075</v>
      </c>
      <c r="BA268" s="160">
        <f t="shared" si="931"/>
        <v>0.15470181342306974</v>
      </c>
      <c r="BB268" s="160">
        <f t="shared" si="931"/>
        <v>0.16201294293342988</v>
      </c>
      <c r="BC268" s="160">
        <f t="shared" si="931"/>
        <v>0.16842568161829374</v>
      </c>
      <c r="BD268" s="160">
        <f t="shared" si="931"/>
        <v>0.1689971690829544</v>
      </c>
      <c r="BE268" s="309">
        <f t="shared" si="931"/>
        <v>0.1689971690829544</v>
      </c>
      <c r="BF268" s="160">
        <f t="shared" si="931"/>
        <v>0.17120688201062659</v>
      </c>
      <c r="BG268" s="160">
        <f t="shared" si="931"/>
        <v>0.16903841408242162</v>
      </c>
      <c r="BH268" s="160">
        <f t="shared" si="931"/>
        <v>0.16501783976646123</v>
      </c>
      <c r="BI268" s="160">
        <f t="shared" si="931"/>
        <v>0.18983320095313741</v>
      </c>
      <c r="BJ268" s="309">
        <f t="shared" ref="BJ268:BR268" si="932">BJ267/BJ185</f>
        <v>0.18983320095313741</v>
      </c>
      <c r="BK268" s="160">
        <f t="shared" si="932"/>
        <v>0.186073500967118</v>
      </c>
      <c r="BL268" s="160">
        <f t="shared" si="932"/>
        <v>0.15775602409638553</v>
      </c>
      <c r="BM268" s="160">
        <f t="shared" si="932"/>
        <v>0.20935330654000731</v>
      </c>
      <c r="BN268" s="160">
        <f t="shared" si="932"/>
        <v>0.27785714285714286</v>
      </c>
      <c r="BO268" s="309">
        <f t="shared" si="932"/>
        <v>0.27785714285714286</v>
      </c>
      <c r="BP268" s="160">
        <f t="shared" si="932"/>
        <v>0.27455048409405258</v>
      </c>
      <c r="BQ268" s="160">
        <f t="shared" si="932"/>
        <v>0.26257171785352684</v>
      </c>
      <c r="BR268" s="160">
        <f t="shared" si="932"/>
        <v>0.21658986175115208</v>
      </c>
      <c r="BS268" s="160">
        <f t="shared" ref="BS268:BZ268" si="933">BS267/BS185</f>
        <v>0.20809248554913296</v>
      </c>
      <c r="BT268" s="309">
        <f t="shared" si="933"/>
        <v>0.20809248554913296</v>
      </c>
      <c r="BU268" s="160">
        <f t="shared" si="933"/>
        <v>0.21255886970172685</v>
      </c>
      <c r="BV268" s="160">
        <f>BV267/BV185</f>
        <v>0.19468215158924204</v>
      </c>
      <c r="BW268" s="160">
        <f>BW267/BW185</f>
        <v>0.19621962196219622</v>
      </c>
      <c r="BX268" s="160">
        <f t="shared" si="933"/>
        <v>0.19262536873156341</v>
      </c>
      <c r="BY268" s="309">
        <f t="shared" si="933"/>
        <v>0.19262536873156341</v>
      </c>
      <c r="BZ268" s="160">
        <f t="shared" si="933"/>
        <v>0.1944843435794312</v>
      </c>
      <c r="CA268" s="160">
        <f t="shared" ref="CA268:CM268" si="934">CA267/CA185</f>
        <v>0.18465829846582985</v>
      </c>
      <c r="CB268" s="160">
        <f t="shared" si="934"/>
        <v>0.18101367658889783</v>
      </c>
      <c r="CC268" s="160">
        <f t="shared" si="934"/>
        <v>0.18016614745586709</v>
      </c>
      <c r="CD268" s="309">
        <f t="shared" si="934"/>
        <v>0.18016614745586709</v>
      </c>
      <c r="CE268" s="160">
        <f t="shared" si="934"/>
        <v>0.1693121693121693</v>
      </c>
      <c r="CF268" s="160">
        <f t="shared" si="934"/>
        <v>0.16355140186915887</v>
      </c>
      <c r="CG268" s="160">
        <f t="shared" si="934"/>
        <v>0.17007457300938175</v>
      </c>
      <c r="CH268" s="160">
        <f t="shared" si="934"/>
        <v>0.16953143395337886</v>
      </c>
      <c r="CI268" s="309">
        <f t="shared" si="934"/>
        <v>0.16953143395337886</v>
      </c>
      <c r="CJ268" s="160">
        <f t="shared" si="934"/>
        <v>0.16655116655116656</v>
      </c>
      <c r="CK268" s="160">
        <f t="shared" si="934"/>
        <v>0.16185752930568079</v>
      </c>
      <c r="CL268" s="160">
        <f t="shared" ref="CL268" si="935">CL267/CL185</f>
        <v>0.15553583314843578</v>
      </c>
      <c r="CM268" s="160">
        <f t="shared" si="934"/>
        <v>0.15068787618228718</v>
      </c>
      <c r="CN268" s="309">
        <f t="shared" ref="CN268:CR268" si="936">CN267/CN185</f>
        <v>0.15068787618228718</v>
      </c>
      <c r="CO268" s="160">
        <f t="shared" si="936"/>
        <v>0.14815912895073227</v>
      </c>
      <c r="CP268" s="160">
        <f t="shared" si="936"/>
        <v>0.14498311981826456</v>
      </c>
      <c r="CQ268" s="160">
        <f t="shared" si="936"/>
        <v>0.14179617147624732</v>
      </c>
      <c r="CR268" s="160">
        <f t="shared" si="936"/>
        <v>0.1404139588365852</v>
      </c>
      <c r="CS268" s="309">
        <f t="shared" ref="CS268" si="937">CS267/CS185</f>
        <v>0.14041395883658525</v>
      </c>
      <c r="CT268" s="163"/>
      <c r="CU268" s="163"/>
      <c r="CV268" s="163"/>
      <c r="CW268" s="163"/>
      <c r="CX268" s="309">
        <f>CX267/CX185</f>
        <v>0.12850729245379702</v>
      </c>
      <c r="CY268" s="163"/>
      <c r="CZ268" s="163"/>
      <c r="DA268" s="163"/>
      <c r="DB268" s="163"/>
      <c r="DC268" s="309">
        <f>DC267/DC185</f>
        <v>0.11920469471899196</v>
      </c>
      <c r="DD268" s="158"/>
      <c r="DE268" s="470"/>
      <c r="DJ268" s="446"/>
      <c r="DK268" s="410"/>
      <c r="DL268" s="410"/>
      <c r="DM268" s="410"/>
      <c r="DN268" s="410"/>
      <c r="DO268" s="410"/>
      <c r="DP268" s="410"/>
      <c r="DQ268" s="410"/>
      <c r="DR268" s="507"/>
      <c r="DS268" s="160"/>
    </row>
    <row r="269" spans="1:131" x14ac:dyDescent="0.2">
      <c r="A269" s="161" t="s">
        <v>59</v>
      </c>
      <c r="B269" s="311"/>
      <c r="C269" s="164"/>
      <c r="D269" s="164"/>
      <c r="E269" s="164"/>
      <c r="F269" s="164"/>
      <c r="G269" s="311">
        <f>G267+G266+G265</f>
        <v>284.21500000000003</v>
      </c>
      <c r="H269" s="164"/>
      <c r="I269" s="164"/>
      <c r="J269" s="164"/>
      <c r="K269" s="164"/>
      <c r="L269" s="311">
        <f>L267+L266+L265</f>
        <v>529.50800000000004</v>
      </c>
      <c r="M269" s="164"/>
      <c r="N269" s="164"/>
      <c r="O269" s="164"/>
      <c r="P269" s="164"/>
      <c r="Q269" s="311">
        <f>Q267+Q266+Q265</f>
        <v>1095.864</v>
      </c>
      <c r="R269" s="164"/>
      <c r="S269" s="164"/>
      <c r="T269" s="164"/>
      <c r="U269" s="164"/>
      <c r="V269" s="311">
        <f>V267+V266+V265</f>
        <v>1540.0169999999998</v>
      </c>
      <c r="W269" s="164"/>
      <c r="X269" s="164"/>
      <c r="Y269" s="164"/>
      <c r="Z269" s="164"/>
      <c r="AA269" s="311">
        <f>AA267+AA266+AA265</f>
        <v>2283.5639999999999</v>
      </c>
      <c r="AB269" s="164"/>
      <c r="AC269" s="164"/>
      <c r="AD269" s="164"/>
      <c r="AE269" s="164"/>
      <c r="AF269" s="311">
        <f t="shared" ref="AF269:BJ269" si="938">AF267+AF266+AF265</f>
        <v>3146</v>
      </c>
      <c r="AG269" s="164">
        <f t="shared" si="938"/>
        <v>3342</v>
      </c>
      <c r="AH269" s="164">
        <f t="shared" si="938"/>
        <v>3570</v>
      </c>
      <c r="AI269" s="164">
        <f t="shared" si="938"/>
        <v>3694</v>
      </c>
      <c r="AJ269" s="164">
        <f t="shared" si="938"/>
        <v>3796</v>
      </c>
      <c r="AK269" s="311">
        <f t="shared" si="938"/>
        <v>3796</v>
      </c>
      <c r="AL269" s="164">
        <f t="shared" si="938"/>
        <v>4023</v>
      </c>
      <c r="AM269" s="164">
        <f t="shared" si="938"/>
        <v>4159</v>
      </c>
      <c r="AN269" s="164">
        <f t="shared" si="938"/>
        <v>4285</v>
      </c>
      <c r="AO269" s="164">
        <f t="shared" si="938"/>
        <v>4429</v>
      </c>
      <c r="AP269" s="311">
        <f t="shared" si="938"/>
        <v>4429</v>
      </c>
      <c r="AQ269" s="164">
        <f t="shared" si="938"/>
        <v>4648</v>
      </c>
      <c r="AR269" s="164">
        <f t="shared" si="938"/>
        <v>4738</v>
      </c>
      <c r="AS269" s="164">
        <f t="shared" si="938"/>
        <v>4736</v>
      </c>
      <c r="AT269" s="164">
        <f t="shared" si="938"/>
        <v>4875</v>
      </c>
      <c r="AU269" s="311">
        <f t="shared" si="938"/>
        <v>4875</v>
      </c>
      <c r="AV269" s="164">
        <f t="shared" si="938"/>
        <v>5002</v>
      </c>
      <c r="AW269" s="164">
        <f t="shared" si="938"/>
        <v>5161</v>
      </c>
      <c r="AX269" s="164">
        <f t="shared" si="938"/>
        <v>4941</v>
      </c>
      <c r="AY269" s="164">
        <f t="shared" si="938"/>
        <v>4946</v>
      </c>
      <c r="AZ269" s="310">
        <f t="shared" si="938"/>
        <v>4946</v>
      </c>
      <c r="BA269" s="164">
        <f t="shared" si="938"/>
        <v>4942</v>
      </c>
      <c r="BB269" s="164">
        <f t="shared" si="938"/>
        <v>5001</v>
      </c>
      <c r="BC269" s="164">
        <f t="shared" si="938"/>
        <v>5025</v>
      </c>
      <c r="BD269" s="164">
        <f t="shared" si="938"/>
        <v>5035</v>
      </c>
      <c r="BE269" s="310">
        <f t="shared" si="938"/>
        <v>5035</v>
      </c>
      <c r="BF269" s="164">
        <f t="shared" si="938"/>
        <v>5105</v>
      </c>
      <c r="BG269" s="164">
        <f t="shared" si="938"/>
        <v>5148</v>
      </c>
      <c r="BH269" s="164">
        <f t="shared" si="938"/>
        <v>5206</v>
      </c>
      <c r="BI269" s="164">
        <f>BI267+BI266+BI265</f>
        <v>5338</v>
      </c>
      <c r="BJ269" s="310">
        <f t="shared" si="938"/>
        <v>5338</v>
      </c>
      <c r="BK269" s="164">
        <f>BK267+BK266+BK265</f>
        <v>5414</v>
      </c>
      <c r="BL269" s="164">
        <f>BL267+BL266+BL265</f>
        <v>5452</v>
      </c>
      <c r="BM269" s="164">
        <f t="shared" ref="BM269:BR269" si="939">BM267+BM266+BM265</f>
        <v>5599</v>
      </c>
      <c r="BN269" s="164">
        <f t="shared" si="939"/>
        <v>5783</v>
      </c>
      <c r="BO269" s="310">
        <f t="shared" si="939"/>
        <v>5783</v>
      </c>
      <c r="BP269" s="164">
        <f t="shared" si="939"/>
        <v>5799</v>
      </c>
      <c r="BQ269" s="164">
        <f t="shared" si="939"/>
        <v>5917</v>
      </c>
      <c r="BR269" s="164">
        <f t="shared" si="939"/>
        <v>5923</v>
      </c>
      <c r="BS269" s="164">
        <f t="shared" ref="BS269:BZ269" si="940">BS267+BS266+BS265</f>
        <v>6123</v>
      </c>
      <c r="BT269" s="310">
        <f t="shared" si="940"/>
        <v>6123</v>
      </c>
      <c r="BU269" s="164">
        <f>BU267+BU266+BU265</f>
        <v>6132</v>
      </c>
      <c r="BV269" s="164">
        <f>BV267+BV266+BV265</f>
        <v>6203</v>
      </c>
      <c r="BW269" s="164">
        <f>BW267+BW266+BW265</f>
        <v>6340</v>
      </c>
      <c r="BX269" s="164">
        <f t="shared" si="940"/>
        <v>6518</v>
      </c>
      <c r="BY269" s="310">
        <f t="shared" si="940"/>
        <v>6518</v>
      </c>
      <c r="BZ269" s="164">
        <f t="shared" si="940"/>
        <v>6633</v>
      </c>
      <c r="CA269" s="164">
        <f t="shared" ref="CA269:CM269" si="941">CA267+CA266+CA265</f>
        <v>6794</v>
      </c>
      <c r="CB269" s="164">
        <f t="shared" si="941"/>
        <v>6855</v>
      </c>
      <c r="CC269" s="164">
        <f t="shared" si="941"/>
        <v>7175</v>
      </c>
      <c r="CD269" s="310">
        <f t="shared" si="941"/>
        <v>7175</v>
      </c>
      <c r="CE269" s="164">
        <f t="shared" si="941"/>
        <v>7222</v>
      </c>
      <c r="CF269" s="164">
        <f t="shared" si="941"/>
        <v>7284</v>
      </c>
      <c r="CG269" s="164">
        <f t="shared" si="941"/>
        <v>7448</v>
      </c>
      <c r="CH269" s="164">
        <f t="shared" si="941"/>
        <v>7768</v>
      </c>
      <c r="CI269" s="310">
        <f t="shared" si="941"/>
        <v>7768</v>
      </c>
      <c r="CJ269" s="164">
        <f t="shared" si="941"/>
        <v>7943</v>
      </c>
      <c r="CK269" s="164">
        <f t="shared" si="941"/>
        <v>8135</v>
      </c>
      <c r="CL269" s="164">
        <f t="shared" ref="CL269" si="942">CL267+CL266+CL265</f>
        <v>8213</v>
      </c>
      <c r="CM269" s="164">
        <f t="shared" si="941"/>
        <v>8359.6578947368416</v>
      </c>
      <c r="CN269" s="310">
        <f t="shared" ref="CN269:CR269" si="943">CN267+CN266+CN265</f>
        <v>8359.6578947368416</v>
      </c>
      <c r="CO269" s="164">
        <f t="shared" si="943"/>
        <v>8511.2850008830792</v>
      </c>
      <c r="CP269" s="164">
        <f t="shared" si="943"/>
        <v>8660.0106470034152</v>
      </c>
      <c r="CQ269" s="164">
        <f t="shared" si="943"/>
        <v>8805.0759825738842</v>
      </c>
      <c r="CR269" s="164">
        <f t="shared" si="943"/>
        <v>8944.0246620746493</v>
      </c>
      <c r="CS269" s="310">
        <f t="shared" ref="CS269" si="944">CS267+CS266+CS265</f>
        <v>8944.0246620746493</v>
      </c>
      <c r="CT269" s="164"/>
      <c r="CU269" s="164"/>
      <c r="CV269" s="164"/>
      <c r="CW269" s="164"/>
      <c r="CX269" s="310">
        <f>CX267+CX266+CX265</f>
        <v>9672.133579412457</v>
      </c>
      <c r="CY269" s="164"/>
      <c r="CZ269" s="164"/>
      <c r="DA269" s="164"/>
      <c r="DB269" s="164"/>
      <c r="DC269" s="310">
        <f>DC267+DC266+DC265</f>
        <v>10459.270668750265</v>
      </c>
      <c r="DD269" s="378"/>
      <c r="DE269" s="479"/>
      <c r="DJ269" s="449"/>
      <c r="DK269" s="414"/>
      <c r="DL269" s="414"/>
      <c r="DM269" s="414"/>
      <c r="DN269" s="414"/>
      <c r="DO269" s="414"/>
      <c r="DP269" s="414"/>
      <c r="DQ269" s="414"/>
      <c r="DR269" s="511"/>
      <c r="DS269" s="164"/>
    </row>
    <row r="270" spans="1:131" x14ac:dyDescent="0.2">
      <c r="A270" s="219" t="s">
        <v>277</v>
      </c>
      <c r="B270" s="303"/>
      <c r="C270" s="224"/>
      <c r="D270" s="224"/>
      <c r="E270" s="224"/>
      <c r="F270" s="224"/>
      <c r="G270" s="303">
        <f>G261+G265+G266+G267</f>
        <v>344.12800000000004</v>
      </c>
      <c r="H270" s="224"/>
      <c r="I270" s="224"/>
      <c r="J270" s="224"/>
      <c r="K270" s="224"/>
      <c r="L270" s="303">
        <f>L261+L265+L266+L267</f>
        <v>673.77300000000002</v>
      </c>
      <c r="M270" s="834"/>
      <c r="N270" s="834"/>
      <c r="O270" s="834"/>
      <c r="P270" s="834"/>
      <c r="Q270" s="303">
        <f>Q261+Q265+Q266+Q267</f>
        <v>1378.923</v>
      </c>
      <c r="R270" s="834"/>
      <c r="S270" s="834"/>
      <c r="T270" s="834"/>
      <c r="U270" s="834"/>
      <c r="V270" s="303">
        <f>V261+V265+V266+V267</f>
        <v>2185.7569999999996</v>
      </c>
      <c r="W270" s="834"/>
      <c r="X270" s="834"/>
      <c r="Y270" s="834"/>
      <c r="Z270" s="834"/>
      <c r="AA270" s="303">
        <f>AA261+AA265+AA266+AA267</f>
        <v>2798.6439999999998</v>
      </c>
      <c r="AB270" s="834"/>
      <c r="AC270" s="834"/>
      <c r="AD270" s="834"/>
      <c r="AE270" s="834"/>
      <c r="AF270" s="303">
        <f>AF261+AF265+AF266+AF267</f>
        <v>3892</v>
      </c>
      <c r="AG270" s="834">
        <v>4068</v>
      </c>
      <c r="AH270" s="834">
        <v>4306</v>
      </c>
      <c r="AI270" s="834">
        <v>4429</v>
      </c>
      <c r="AJ270" s="834">
        <v>4843</v>
      </c>
      <c r="AK270" s="303">
        <f>AJ270</f>
        <v>4843</v>
      </c>
      <c r="AL270" s="834">
        <v>5145</v>
      </c>
      <c r="AM270" s="834">
        <v>5356</v>
      </c>
      <c r="AN270" s="834">
        <v>5461</v>
      </c>
      <c r="AO270" s="834">
        <v>5598</v>
      </c>
      <c r="AP270" s="303">
        <f>AP261+AP265+AP266+AP267</f>
        <v>5598</v>
      </c>
      <c r="AQ270" s="834">
        <v>6050</v>
      </c>
      <c r="AR270" s="834">
        <v>6468</v>
      </c>
      <c r="AS270" s="834">
        <v>6084</v>
      </c>
      <c r="AT270" s="834">
        <f>AU270</f>
        <v>6023</v>
      </c>
      <c r="AU270" s="303">
        <f>AU261+AU265+AU266+AU267</f>
        <v>6023</v>
      </c>
      <c r="AV270" s="834">
        <v>6158</v>
      </c>
      <c r="AW270" s="834">
        <v>6510</v>
      </c>
      <c r="AX270" s="834">
        <v>6533</v>
      </c>
      <c r="AY270" s="834">
        <v>6554</v>
      </c>
      <c r="AZ270" s="303">
        <f>AZ261+AZ265+AZ266+AZ267</f>
        <v>6554</v>
      </c>
      <c r="BA270" s="834">
        <v>6513</v>
      </c>
      <c r="BB270" s="834">
        <v>6590</v>
      </c>
      <c r="BC270" s="834">
        <v>6618</v>
      </c>
      <c r="BD270" s="834">
        <v>6593</v>
      </c>
      <c r="BE270" s="303">
        <f>BE261+BE265+BE266+BE267</f>
        <v>6593</v>
      </c>
      <c r="BF270" s="834">
        <v>6843</v>
      </c>
      <c r="BG270" s="834">
        <v>6908</v>
      </c>
      <c r="BH270" s="834">
        <v>6911</v>
      </c>
      <c r="BI270" s="834">
        <v>7071</v>
      </c>
      <c r="BJ270" s="303">
        <f>BJ261+BJ265+BJ266+BJ267</f>
        <v>7071</v>
      </c>
      <c r="BK270" s="834">
        <v>7143</v>
      </c>
      <c r="BL270" s="834">
        <v>7132</v>
      </c>
      <c r="BM270" s="834">
        <v>7141</v>
      </c>
      <c r="BN270" s="834">
        <v>7070</v>
      </c>
      <c r="BO270" s="303">
        <f>BO261+BO265+BO266+BO267</f>
        <v>7070</v>
      </c>
      <c r="BP270" s="834">
        <v>7234</v>
      </c>
      <c r="BQ270" s="834">
        <v>7368</v>
      </c>
      <c r="BR270" s="834">
        <v>7444</v>
      </c>
      <c r="BS270" s="834">
        <v>7350</v>
      </c>
      <c r="BT270" s="303">
        <f>BT261+BT265+BT266+BT267</f>
        <v>7350</v>
      </c>
      <c r="BU270" s="834">
        <v>7645</v>
      </c>
      <c r="BV270" s="834">
        <v>7657</v>
      </c>
      <c r="BW270" s="834">
        <v>7741</v>
      </c>
      <c r="BX270" s="834">
        <v>7839</v>
      </c>
      <c r="BY270" s="303">
        <f>BY261+BY265+BY266+BY267</f>
        <v>7839</v>
      </c>
      <c r="BZ270" s="834">
        <v>8304</v>
      </c>
      <c r="CA270" s="834">
        <v>8317</v>
      </c>
      <c r="CB270" s="834">
        <v>8594</v>
      </c>
      <c r="CC270" s="834">
        <v>8660</v>
      </c>
      <c r="CD270" s="303">
        <f t="shared" ref="CD270:CI270" si="945">CD261+CD265+CD266+CD267</f>
        <v>8660</v>
      </c>
      <c r="CE270" s="834">
        <v>9062</v>
      </c>
      <c r="CF270" s="834">
        <v>9458</v>
      </c>
      <c r="CG270" s="834">
        <v>9579</v>
      </c>
      <c r="CH270" s="834">
        <v>9487</v>
      </c>
      <c r="CI270" s="303">
        <f t="shared" si="945"/>
        <v>9487</v>
      </c>
      <c r="CJ270" s="834">
        <v>9473</v>
      </c>
      <c r="CK270" s="834">
        <v>9644</v>
      </c>
      <c r="CL270" s="834">
        <v>9596</v>
      </c>
      <c r="CM270" s="224">
        <f>CM261+CM265+CM266+CM267</f>
        <v>10100.972</v>
      </c>
      <c r="CN270" s="303">
        <f t="shared" ref="CN270" si="946">CN261+CN265+CN266+CN267</f>
        <v>10100.972</v>
      </c>
      <c r="CO270" s="224">
        <f>CO261+CO265+CO266+CO267</f>
        <v>10262.803676926929</v>
      </c>
      <c r="CP270" s="224">
        <f>CP261+CP265+CP266+CP267</f>
        <v>10357.890560236761</v>
      </c>
      <c r="CQ270" s="224">
        <f>CQ261+CQ265+CQ266+CQ267</f>
        <v>10427.745142471074</v>
      </c>
      <c r="CR270" s="224">
        <f>CR261+CR265+CR266+CR267</f>
        <v>10615.877282159943</v>
      </c>
      <c r="CS270" s="303">
        <f t="shared" ref="CS270" si="947">CS261+CS265+CS266+CS267</f>
        <v>10615.877282159943</v>
      </c>
      <c r="CT270" s="224"/>
      <c r="CU270" s="224"/>
      <c r="CV270" s="224"/>
      <c r="CW270" s="224"/>
      <c r="CX270" s="303">
        <f>CX261+CX265+CX266+CX267</f>
        <v>11328.615104443263</v>
      </c>
      <c r="CY270" s="224"/>
      <c r="CZ270" s="224"/>
      <c r="DA270" s="224"/>
      <c r="DB270" s="224"/>
      <c r="DC270" s="303">
        <f>DC261+DC265+DC266+DC267</f>
        <v>12362.278754489958</v>
      </c>
      <c r="DD270" s="152"/>
      <c r="DE270" s="476"/>
      <c r="DJ270" s="413"/>
      <c r="DK270" s="411"/>
      <c r="DL270" s="411"/>
      <c r="DM270" s="411"/>
      <c r="DN270" s="411"/>
      <c r="DO270" s="411"/>
      <c r="DP270" s="411"/>
      <c r="DQ270" s="411"/>
      <c r="DR270" s="508"/>
      <c r="DS270" s="528"/>
      <c r="DZ270" s="225"/>
      <c r="EA270" s="225"/>
    </row>
    <row r="271" spans="1:131" s="7" customFormat="1" x14ac:dyDescent="0.2">
      <c r="A271" s="7" t="s">
        <v>207</v>
      </c>
      <c r="B271" s="260"/>
      <c r="G271" s="260"/>
      <c r="L271" s="260"/>
      <c r="Q271" s="260"/>
      <c r="V271" s="260"/>
      <c r="AA271" s="260"/>
      <c r="AF271" s="260"/>
      <c r="AK271" s="260"/>
      <c r="AP271" s="260"/>
      <c r="AU271" s="260"/>
      <c r="AZ271" s="260"/>
      <c r="BE271" s="260"/>
      <c r="BJ271" s="260"/>
      <c r="BO271" s="260"/>
      <c r="BT271" s="260"/>
      <c r="BY271" s="260"/>
      <c r="CD271" s="260"/>
      <c r="CI271" s="260"/>
      <c r="CN271" s="260"/>
      <c r="CS271" s="260"/>
      <c r="CX271" s="260"/>
      <c r="DC271" s="260"/>
      <c r="DD271" s="363"/>
      <c r="DE271" s="6"/>
      <c r="DF271" s="363"/>
      <c r="DG271" s="363"/>
      <c r="DH271" s="363"/>
      <c r="DI271" s="363"/>
      <c r="DJ271" s="435"/>
      <c r="DK271" s="393"/>
      <c r="DL271" s="393"/>
      <c r="DM271" s="393"/>
      <c r="DN271" s="393"/>
      <c r="DO271" s="393"/>
      <c r="DP271" s="393"/>
      <c r="DQ271" s="393"/>
      <c r="DR271" s="6"/>
      <c r="DS271" s="363"/>
      <c r="DT271"/>
      <c r="DU271"/>
      <c r="DV271"/>
      <c r="DW271"/>
      <c r="DX271"/>
      <c r="DY271"/>
    </row>
    <row r="272" spans="1:131" x14ac:dyDescent="0.2">
      <c r="A272" s="162" t="s">
        <v>208</v>
      </c>
      <c r="B272" s="300"/>
      <c r="C272" s="141"/>
      <c r="D272" s="141"/>
      <c r="E272" s="141"/>
      <c r="F272" s="141"/>
      <c r="G272" s="853">
        <v>15.138</v>
      </c>
      <c r="H272" s="141"/>
      <c r="I272" s="141"/>
      <c r="J272" s="141"/>
      <c r="K272" s="141"/>
      <c r="L272" s="853">
        <v>28.780999999999999</v>
      </c>
      <c r="M272" s="832"/>
      <c r="N272" s="832"/>
      <c r="O272" s="832"/>
      <c r="P272" s="832"/>
      <c r="Q272" s="853">
        <v>21.678999999999998</v>
      </c>
      <c r="R272" s="832"/>
      <c r="S272" s="832"/>
      <c r="T272" s="832"/>
      <c r="U272" s="832"/>
      <c r="V272" s="853">
        <v>29.884</v>
      </c>
      <c r="W272" s="832"/>
      <c r="X272" s="832"/>
      <c r="Y272" s="832"/>
      <c r="Z272" s="832"/>
      <c r="AA272" s="853">
        <v>43.578000000000003</v>
      </c>
      <c r="AB272" s="832"/>
      <c r="AC272" s="832"/>
      <c r="AD272" s="832"/>
      <c r="AE272" s="832"/>
      <c r="AF272" s="853">
        <v>65</v>
      </c>
      <c r="AG272" s="832">
        <v>68</v>
      </c>
      <c r="AH272" s="832">
        <v>62</v>
      </c>
      <c r="AI272" s="832">
        <v>52</v>
      </c>
      <c r="AJ272" s="832">
        <v>39</v>
      </c>
      <c r="AK272" s="300">
        <v>39</v>
      </c>
      <c r="AL272" s="832">
        <v>27</v>
      </c>
      <c r="AM272" s="832">
        <v>22</v>
      </c>
      <c r="AN272" s="832">
        <v>33</v>
      </c>
      <c r="AO272" s="832">
        <v>43</v>
      </c>
      <c r="AP272" s="300">
        <v>43</v>
      </c>
      <c r="AQ272" s="832">
        <v>23</v>
      </c>
      <c r="AR272" s="832">
        <v>30</v>
      </c>
      <c r="AS272" s="832">
        <v>20</v>
      </c>
      <c r="AT272" s="832">
        <v>120</v>
      </c>
      <c r="AU272" s="300">
        <v>120</v>
      </c>
      <c r="AV272" s="832">
        <v>84</v>
      </c>
      <c r="AW272" s="832">
        <v>10</v>
      </c>
      <c r="AX272" s="832">
        <v>10</v>
      </c>
      <c r="AY272" s="832">
        <v>0</v>
      </c>
      <c r="AZ272" s="300">
        <f>AY272</f>
        <v>0</v>
      </c>
      <c r="BA272" s="832">
        <v>0</v>
      </c>
      <c r="BB272" s="832">
        <v>0</v>
      </c>
      <c r="BC272" s="832">
        <v>0</v>
      </c>
      <c r="BD272" s="832">
        <v>0</v>
      </c>
      <c r="BE272" s="300">
        <f>BD272</f>
        <v>0</v>
      </c>
      <c r="BF272" s="832">
        <v>0</v>
      </c>
      <c r="BG272" s="832">
        <f>BF272</f>
        <v>0</v>
      </c>
      <c r="BH272" s="832">
        <f>BG272</f>
        <v>0</v>
      </c>
      <c r="BI272" s="832">
        <v>88</v>
      </c>
      <c r="BJ272" s="300">
        <f>BI272</f>
        <v>88</v>
      </c>
      <c r="BK272" s="832">
        <v>0</v>
      </c>
      <c r="BL272" s="832">
        <v>0</v>
      </c>
      <c r="BM272" s="832">
        <v>0</v>
      </c>
      <c r="BN272" s="832">
        <v>0</v>
      </c>
      <c r="BO272" s="300">
        <f>BN272</f>
        <v>0</v>
      </c>
      <c r="BP272" s="832">
        <v>0</v>
      </c>
      <c r="BQ272" s="832">
        <v>0</v>
      </c>
      <c r="BR272" s="832">
        <v>0</v>
      </c>
      <c r="BS272" s="832">
        <v>0</v>
      </c>
      <c r="BT272" s="300">
        <f>BS272</f>
        <v>0</v>
      </c>
      <c r="BU272" s="832">
        <v>0</v>
      </c>
      <c r="BV272" s="832">
        <v>0</v>
      </c>
      <c r="BW272" s="832">
        <v>0</v>
      </c>
      <c r="BX272" s="832">
        <f>BW272</f>
        <v>0</v>
      </c>
      <c r="BY272" s="300">
        <f>BX272</f>
        <v>0</v>
      </c>
      <c r="BZ272" s="832">
        <v>0</v>
      </c>
      <c r="CA272" s="832">
        <f t="shared" ref="CA272:CD273" si="948">BZ272</f>
        <v>0</v>
      </c>
      <c r="CB272" s="832">
        <f t="shared" si="948"/>
        <v>0</v>
      </c>
      <c r="CC272" s="832">
        <v>0</v>
      </c>
      <c r="CD272" s="300">
        <f t="shared" si="948"/>
        <v>0</v>
      </c>
      <c r="CE272" s="832">
        <v>0</v>
      </c>
      <c r="CF272" s="832">
        <v>0</v>
      </c>
      <c r="CG272" s="832">
        <v>0</v>
      </c>
      <c r="CH272" s="832">
        <v>0</v>
      </c>
      <c r="CI272" s="300">
        <f t="shared" ref="CI272:CS273" si="949">CH272</f>
        <v>0</v>
      </c>
      <c r="CJ272" s="832">
        <v>0</v>
      </c>
      <c r="CK272" s="832">
        <v>0</v>
      </c>
      <c r="CL272" s="832">
        <v>0</v>
      </c>
      <c r="CM272" s="143">
        <f t="shared" si="949"/>
        <v>0</v>
      </c>
      <c r="CN272" s="300">
        <f t="shared" ref="CN272:CN273" si="950">CM272</f>
        <v>0</v>
      </c>
      <c r="CO272" s="143">
        <f t="shared" si="949"/>
        <v>0</v>
      </c>
      <c r="CP272" s="143">
        <f t="shared" si="949"/>
        <v>0</v>
      </c>
      <c r="CQ272" s="143">
        <f t="shared" si="949"/>
        <v>0</v>
      </c>
      <c r="CR272" s="143">
        <f t="shared" si="949"/>
        <v>0</v>
      </c>
      <c r="CS272" s="300">
        <f t="shared" si="949"/>
        <v>0</v>
      </c>
      <c r="CT272" s="141"/>
      <c r="CU272" s="143"/>
      <c r="CV272" s="143"/>
      <c r="CW272" s="143"/>
      <c r="CX272" s="300">
        <f>CS272</f>
        <v>0</v>
      </c>
      <c r="CY272" s="141"/>
      <c r="CZ272" s="143"/>
      <c r="DA272" s="143"/>
      <c r="DB272" s="143"/>
      <c r="DC272" s="300">
        <f>CX272</f>
        <v>0</v>
      </c>
      <c r="DD272" s="132"/>
      <c r="DE272" s="471"/>
      <c r="DJ272" s="413"/>
      <c r="DK272" s="413"/>
      <c r="DL272" s="413"/>
      <c r="DM272" s="413"/>
      <c r="DN272" s="413"/>
      <c r="DO272" s="413"/>
      <c r="DP272" s="413"/>
      <c r="DQ272" s="413"/>
      <c r="DR272" s="510"/>
      <c r="DS272" s="141"/>
    </row>
    <row r="273" spans="1:143" x14ac:dyDescent="0.2">
      <c r="A273" s="162" t="s">
        <v>209</v>
      </c>
      <c r="B273" s="300"/>
      <c r="C273" s="141"/>
      <c r="D273" s="141"/>
      <c r="E273" s="141"/>
      <c r="F273" s="141"/>
      <c r="G273" s="853">
        <v>24.8</v>
      </c>
      <c r="H273" s="141"/>
      <c r="I273" s="141"/>
      <c r="J273" s="141"/>
      <c r="K273" s="141"/>
      <c r="L273" s="853">
        <v>54.984999999999999</v>
      </c>
      <c r="M273" s="832"/>
      <c r="N273" s="832"/>
      <c r="O273" s="832"/>
      <c r="P273" s="832"/>
      <c r="Q273" s="853">
        <v>50.753999999999998</v>
      </c>
      <c r="R273" s="832"/>
      <c r="S273" s="832"/>
      <c r="T273" s="832"/>
      <c r="U273" s="832"/>
      <c r="V273" s="853">
        <v>67.100999999999999</v>
      </c>
      <c r="W273" s="832"/>
      <c r="X273" s="832"/>
      <c r="Y273" s="832"/>
      <c r="Z273" s="832"/>
      <c r="AA273" s="853">
        <v>105.295</v>
      </c>
      <c r="AB273" s="832"/>
      <c r="AC273" s="832"/>
      <c r="AD273" s="832"/>
      <c r="AE273" s="832"/>
      <c r="AF273" s="853">
        <v>158</v>
      </c>
      <c r="AG273" s="832">
        <v>160</v>
      </c>
      <c r="AH273" s="832">
        <v>169</v>
      </c>
      <c r="AI273" s="832">
        <v>170</v>
      </c>
      <c r="AJ273" s="832">
        <v>175</v>
      </c>
      <c r="AK273" s="300">
        <v>175</v>
      </c>
      <c r="AL273" s="832">
        <v>226</v>
      </c>
      <c r="AM273" s="832">
        <v>227</v>
      </c>
      <c r="AN273" s="832">
        <v>395</v>
      </c>
      <c r="AO273" s="832">
        <v>417</v>
      </c>
      <c r="AP273" s="300">
        <v>417</v>
      </c>
      <c r="AQ273" s="832">
        <v>377</v>
      </c>
      <c r="AR273" s="832">
        <v>369</v>
      </c>
      <c r="AS273" s="832">
        <v>186</v>
      </c>
      <c r="AT273" s="832">
        <v>152</v>
      </c>
      <c r="AU273" s="300">
        <v>152</v>
      </c>
      <c r="AV273" s="832">
        <v>160</v>
      </c>
      <c r="AW273" s="832">
        <v>335</v>
      </c>
      <c r="AX273" s="832">
        <v>380</v>
      </c>
      <c r="AY273" s="832">
        <v>384</v>
      </c>
      <c r="AZ273" s="300">
        <f>AY273</f>
        <v>384</v>
      </c>
      <c r="BA273" s="832">
        <v>237</v>
      </c>
      <c r="BB273" s="832">
        <v>220</v>
      </c>
      <c r="BC273" s="832">
        <v>184</v>
      </c>
      <c r="BD273" s="832">
        <v>183</v>
      </c>
      <c r="BE273" s="300">
        <f>BD273</f>
        <v>183</v>
      </c>
      <c r="BF273" s="832">
        <v>188</v>
      </c>
      <c r="BG273" s="832">
        <v>190</v>
      </c>
      <c r="BH273" s="832">
        <v>193</v>
      </c>
      <c r="BI273" s="832">
        <v>198</v>
      </c>
      <c r="BJ273" s="300">
        <f>BI273</f>
        <v>198</v>
      </c>
      <c r="BK273" s="832">
        <v>205</v>
      </c>
      <c r="BL273" s="832">
        <v>265</v>
      </c>
      <c r="BM273" s="832">
        <v>268</v>
      </c>
      <c r="BN273" s="832">
        <v>394</v>
      </c>
      <c r="BO273" s="300">
        <f>BN273</f>
        <v>394</v>
      </c>
      <c r="BP273" s="832">
        <v>575</v>
      </c>
      <c r="BQ273" s="832">
        <v>647</v>
      </c>
      <c r="BR273" s="832">
        <v>636</v>
      </c>
      <c r="BS273" s="832">
        <v>469</v>
      </c>
      <c r="BT273" s="300">
        <f>BS273</f>
        <v>469</v>
      </c>
      <c r="BU273" s="832">
        <v>307</v>
      </c>
      <c r="BV273" s="832">
        <v>278</v>
      </c>
      <c r="BW273" s="832">
        <v>274</v>
      </c>
      <c r="BX273" s="832">
        <v>265</v>
      </c>
      <c r="BY273" s="300">
        <f>BX273</f>
        <v>265</v>
      </c>
      <c r="BZ273" s="832">
        <v>264</v>
      </c>
      <c r="CA273" s="832">
        <v>266</v>
      </c>
      <c r="CB273" s="832">
        <v>238</v>
      </c>
      <c r="CC273" s="832">
        <v>448</v>
      </c>
      <c r="CD273" s="300">
        <f t="shared" si="948"/>
        <v>448</v>
      </c>
      <c r="CE273" s="832">
        <v>448</v>
      </c>
      <c r="CF273" s="832">
        <v>446</v>
      </c>
      <c r="CG273" s="832">
        <v>439</v>
      </c>
      <c r="CH273" s="832">
        <v>189</v>
      </c>
      <c r="CI273" s="300">
        <f t="shared" si="949"/>
        <v>189</v>
      </c>
      <c r="CJ273" s="832">
        <v>197</v>
      </c>
      <c r="CK273" s="832">
        <v>228</v>
      </c>
      <c r="CL273" s="832">
        <v>224</v>
      </c>
      <c r="CM273" s="143">
        <f t="shared" si="949"/>
        <v>224</v>
      </c>
      <c r="CN273" s="300">
        <f t="shared" si="950"/>
        <v>224</v>
      </c>
      <c r="CO273" s="143">
        <f t="shared" si="949"/>
        <v>224</v>
      </c>
      <c r="CP273" s="143">
        <f t="shared" si="949"/>
        <v>224</v>
      </c>
      <c r="CQ273" s="143">
        <f t="shared" si="949"/>
        <v>224</v>
      </c>
      <c r="CR273" s="143">
        <f t="shared" si="949"/>
        <v>224</v>
      </c>
      <c r="CS273" s="300">
        <f t="shared" si="949"/>
        <v>224</v>
      </c>
      <c r="CT273" s="141"/>
      <c r="CU273" s="143"/>
      <c r="CV273" s="143"/>
      <c r="CW273" s="143"/>
      <c r="CX273" s="300">
        <f>CS273</f>
        <v>224</v>
      </c>
      <c r="CY273" s="141"/>
      <c r="CZ273" s="143"/>
      <c r="DA273" s="143"/>
      <c r="DB273" s="143"/>
      <c r="DC273" s="300">
        <f>CX273</f>
        <v>224</v>
      </c>
      <c r="DD273" s="132"/>
      <c r="DE273" s="471"/>
      <c r="DJ273" s="413"/>
      <c r="DK273" s="413"/>
      <c r="DL273" s="413"/>
      <c r="DM273" s="413"/>
      <c r="DN273" s="413"/>
      <c r="DO273" s="413"/>
      <c r="DP273" s="413"/>
      <c r="DQ273" s="413"/>
      <c r="DR273" s="510"/>
      <c r="DS273" s="141"/>
    </row>
    <row r="274" spans="1:143" x14ac:dyDescent="0.2">
      <c r="A274" s="162" t="s">
        <v>211</v>
      </c>
      <c r="B274" s="300"/>
      <c r="C274" s="141"/>
      <c r="D274" s="141"/>
      <c r="E274" s="141"/>
      <c r="F274" s="141"/>
      <c r="G274" s="853">
        <v>27.364999999999998</v>
      </c>
      <c r="H274" s="141"/>
      <c r="I274" s="141"/>
      <c r="J274" s="141"/>
      <c r="K274" s="141"/>
      <c r="L274" s="853">
        <v>51.566000000000003</v>
      </c>
      <c r="M274" s="832"/>
      <c r="N274" s="832"/>
      <c r="O274" s="832"/>
      <c r="P274" s="832"/>
      <c r="Q274" s="853">
        <v>97.534000000000006</v>
      </c>
      <c r="R274" s="832"/>
      <c r="S274" s="832"/>
      <c r="T274" s="832"/>
      <c r="U274" s="832"/>
      <c r="V274" s="853">
        <v>134.71899999999999</v>
      </c>
      <c r="W274" s="832"/>
      <c r="X274" s="832"/>
      <c r="Y274" s="832"/>
      <c r="Z274" s="832"/>
      <c r="AA274" s="853">
        <v>174.06200000000001</v>
      </c>
      <c r="AB274" s="832"/>
      <c r="AC274" s="832"/>
      <c r="AD274" s="832"/>
      <c r="AE274" s="832"/>
      <c r="AF274" s="853">
        <v>243</v>
      </c>
      <c r="AG274" s="832">
        <v>316</v>
      </c>
      <c r="AH274" s="832">
        <v>331</v>
      </c>
      <c r="AI274" s="832">
        <v>362</v>
      </c>
      <c r="AJ274" s="832">
        <v>340</v>
      </c>
      <c r="AK274" s="300">
        <v>340</v>
      </c>
      <c r="AL274" s="832">
        <v>438</v>
      </c>
      <c r="AM274" s="832">
        <v>439</v>
      </c>
      <c r="AN274" s="832">
        <v>416</v>
      </c>
      <c r="AO274" s="832">
        <v>426</v>
      </c>
      <c r="AP274" s="300">
        <v>426</v>
      </c>
      <c r="AQ274" s="832">
        <v>480</v>
      </c>
      <c r="AR274" s="832">
        <v>561</v>
      </c>
      <c r="AS274" s="832">
        <v>525</v>
      </c>
      <c r="AT274" s="832">
        <v>445</v>
      </c>
      <c r="AU274" s="300">
        <v>445</v>
      </c>
      <c r="AV274" s="832">
        <v>469</v>
      </c>
      <c r="AW274" s="832">
        <v>460</v>
      </c>
      <c r="AX274" s="832">
        <v>457</v>
      </c>
      <c r="AY274" s="832">
        <v>443</v>
      </c>
      <c r="AZ274" s="300">
        <f>AY274</f>
        <v>443</v>
      </c>
      <c r="BA274" s="832">
        <v>557</v>
      </c>
      <c r="BB274" s="832">
        <v>593</v>
      </c>
      <c r="BC274" s="832">
        <v>546</v>
      </c>
      <c r="BD274" s="832">
        <v>514</v>
      </c>
      <c r="BE274" s="300">
        <f>BD274</f>
        <v>514</v>
      </c>
      <c r="BF274" s="832">
        <v>668</v>
      </c>
      <c r="BG274" s="832">
        <v>705</v>
      </c>
      <c r="BH274" s="832">
        <v>677</v>
      </c>
      <c r="BI274" s="832">
        <v>627</v>
      </c>
      <c r="BJ274" s="300">
        <f>BI274</f>
        <v>627</v>
      </c>
      <c r="BK274" s="832">
        <v>794</v>
      </c>
      <c r="BL274" s="832">
        <v>773</v>
      </c>
      <c r="BM274" s="832">
        <v>719</v>
      </c>
      <c r="BN274" s="832">
        <v>693</v>
      </c>
      <c r="BO274" s="300">
        <f>BN274</f>
        <v>693</v>
      </c>
      <c r="BP274" s="832">
        <v>833</v>
      </c>
      <c r="BQ274" s="832">
        <v>902</v>
      </c>
      <c r="BR274" s="832">
        <v>851</v>
      </c>
      <c r="BS274" s="832">
        <v>825</v>
      </c>
      <c r="BT274" s="300">
        <f>BS274</f>
        <v>825</v>
      </c>
      <c r="BU274" s="832">
        <v>1007</v>
      </c>
      <c r="BV274" s="832">
        <v>1028</v>
      </c>
      <c r="BW274" s="832">
        <v>1021</v>
      </c>
      <c r="BX274" s="832">
        <v>973</v>
      </c>
      <c r="BY274" s="300">
        <f>BX274</f>
        <v>973</v>
      </c>
      <c r="BZ274" s="832">
        <v>1139</v>
      </c>
      <c r="CA274" s="832">
        <v>1136</v>
      </c>
      <c r="CB274" s="832">
        <v>1101</v>
      </c>
      <c r="CC274" s="832">
        <v>1053</v>
      </c>
      <c r="CD274" s="300">
        <f>CC274</f>
        <v>1053</v>
      </c>
      <c r="CE274" s="832">
        <v>1157</v>
      </c>
      <c r="CF274" s="832">
        <v>1193</v>
      </c>
      <c r="CG274" s="832">
        <v>1141</v>
      </c>
      <c r="CH274" s="832">
        <v>1120</v>
      </c>
      <c r="CI274" s="300">
        <f>CH274</f>
        <v>1120</v>
      </c>
      <c r="CJ274" s="832">
        <v>1335</v>
      </c>
      <c r="CK274" s="832">
        <v>1351</v>
      </c>
      <c r="CL274" s="832">
        <v>1262</v>
      </c>
      <c r="CM274" s="141">
        <f t="shared" ref="CM274" si="951">CM275*CM182</f>
        <v>1289.04</v>
      </c>
      <c r="CN274" s="300">
        <f>CM274</f>
        <v>1289.04</v>
      </c>
      <c r="CO274" s="141">
        <f t="shared" ref="CO274:CR274" si="952">CO275*CO182</f>
        <v>1430.0793942624457</v>
      </c>
      <c r="CP274" s="141">
        <f t="shared" si="952"/>
        <v>1418.7161084051065</v>
      </c>
      <c r="CQ274" s="141">
        <f t="shared" si="952"/>
        <v>1352.6225355016932</v>
      </c>
      <c r="CR274" s="141">
        <f t="shared" si="952"/>
        <v>1391.6008302649998</v>
      </c>
      <c r="CS274" s="300">
        <f>CR274</f>
        <v>1391.6008302649998</v>
      </c>
      <c r="CT274" s="141"/>
      <c r="CU274" s="141"/>
      <c r="CV274" s="141"/>
      <c r="CW274" s="141"/>
      <c r="CX274" s="300">
        <f>CX275*CX182</f>
        <v>1496.4579528254676</v>
      </c>
      <c r="CY274" s="141"/>
      <c r="CZ274" s="141"/>
      <c r="DA274" s="141"/>
      <c r="DB274" s="141"/>
      <c r="DC274" s="300">
        <f>DC275*DC182</f>
        <v>1609.2160595708665</v>
      </c>
      <c r="DD274" s="132"/>
      <c r="DE274" s="471"/>
      <c r="DJ274" s="413"/>
      <c r="DK274" s="413"/>
      <c r="DL274" s="413"/>
      <c r="DM274" s="413"/>
      <c r="DN274" s="413"/>
      <c r="DO274" s="413"/>
      <c r="DP274" s="413"/>
      <c r="DQ274" s="413"/>
      <c r="DR274" s="510"/>
      <c r="DS274" s="141"/>
    </row>
    <row r="275" spans="1:143" x14ac:dyDescent="0.2">
      <c r="A275" s="239" t="s">
        <v>195</v>
      </c>
      <c r="B275" s="302"/>
      <c r="C275" s="154"/>
      <c r="D275" s="154"/>
      <c r="E275" s="154"/>
      <c r="F275" s="154"/>
      <c r="G275" s="302"/>
      <c r="H275" s="160"/>
      <c r="I275" s="160"/>
      <c r="J275" s="160"/>
      <c r="K275" s="160"/>
      <c r="L275" s="302">
        <f>L274/L182</f>
        <v>0.1660751438012483</v>
      </c>
      <c r="M275" s="160"/>
      <c r="N275" s="160"/>
      <c r="O275" s="160"/>
      <c r="P275" s="160"/>
      <c r="Q275" s="302">
        <f>Q274/Q182</f>
        <v>0.15854778590018059</v>
      </c>
      <c r="R275" s="160"/>
      <c r="S275" s="160"/>
      <c r="T275" s="160"/>
      <c r="U275" s="160"/>
      <c r="V275" s="302">
        <f>V274/V182</f>
        <v>0.13959201774754917</v>
      </c>
      <c r="W275" s="160"/>
      <c r="X275" s="160"/>
      <c r="Y275" s="160"/>
      <c r="Z275" s="160"/>
      <c r="AA275" s="302">
        <f>AA274/AA182</f>
        <v>0.14299515796979773</v>
      </c>
      <c r="AB275" s="160"/>
      <c r="AC275" s="160"/>
      <c r="AD275" s="160"/>
      <c r="AE275" s="160"/>
      <c r="AF275" s="302">
        <f t="shared" ref="AF275:BR275" si="953">AF274/AF182</f>
        <v>0.14987316289732577</v>
      </c>
      <c r="AG275" s="160">
        <f t="shared" si="953"/>
        <v>0.18298823258267624</v>
      </c>
      <c r="AH275" s="160">
        <f t="shared" si="953"/>
        <v>0.17468060100681465</v>
      </c>
      <c r="AI275" s="160">
        <f t="shared" si="953"/>
        <v>0.1763824829781159</v>
      </c>
      <c r="AJ275" s="160">
        <f t="shared" si="953"/>
        <v>0.15291895295493388</v>
      </c>
      <c r="AK275" s="302">
        <f t="shared" si="953"/>
        <v>0.15291895295493388</v>
      </c>
      <c r="AL275" s="160">
        <f t="shared" si="953"/>
        <v>0.18846815834767641</v>
      </c>
      <c r="AM275" s="160">
        <f t="shared" si="953"/>
        <v>0.18080724876441515</v>
      </c>
      <c r="AN275" s="160">
        <f t="shared" si="953"/>
        <v>0.16307330458643668</v>
      </c>
      <c r="AO275" s="160">
        <f t="shared" si="953"/>
        <v>0.16160849772382396</v>
      </c>
      <c r="AP275" s="302">
        <f t="shared" si="953"/>
        <v>0.16160849772382396</v>
      </c>
      <c r="AQ275" s="160">
        <f t="shared" si="953"/>
        <v>0.1702127659574468</v>
      </c>
      <c r="AR275" s="160">
        <f t="shared" si="953"/>
        <v>0.19238683127572018</v>
      </c>
      <c r="AS275" s="160">
        <f t="shared" si="953"/>
        <v>0.1743606775157755</v>
      </c>
      <c r="AT275" s="160">
        <f t="shared" si="953"/>
        <v>0.14561518324607331</v>
      </c>
      <c r="AU275" s="302">
        <f t="shared" si="953"/>
        <v>0.14561518324607331</v>
      </c>
      <c r="AV275" s="160">
        <f t="shared" si="953"/>
        <v>0.15550397877984085</v>
      </c>
      <c r="AW275" s="160">
        <f t="shared" si="953"/>
        <v>0.1554054054054054</v>
      </c>
      <c r="AX275" s="160">
        <f t="shared" si="953"/>
        <v>0.15661411925976695</v>
      </c>
      <c r="AY275" s="160">
        <f t="shared" si="953"/>
        <v>0.15103989089669281</v>
      </c>
      <c r="AZ275" s="302">
        <f t="shared" si="953"/>
        <v>0.15103989089669281</v>
      </c>
      <c r="BA275" s="160">
        <f t="shared" si="953"/>
        <v>0.18504983388704319</v>
      </c>
      <c r="BB275" s="160">
        <f t="shared" si="953"/>
        <v>0.18903410902135798</v>
      </c>
      <c r="BC275" s="160">
        <f t="shared" si="953"/>
        <v>0.1652542372881356</v>
      </c>
      <c r="BD275" s="160">
        <f t="shared" si="953"/>
        <v>0.15064478311840562</v>
      </c>
      <c r="BE275" s="302">
        <f t="shared" si="953"/>
        <v>0.15064478311840562</v>
      </c>
      <c r="BF275" s="160">
        <f t="shared" si="953"/>
        <v>0.18907444098499859</v>
      </c>
      <c r="BG275" s="160">
        <f t="shared" si="953"/>
        <v>0.18905872888173772</v>
      </c>
      <c r="BH275" s="160">
        <f t="shared" si="953"/>
        <v>0.17430484037075181</v>
      </c>
      <c r="BI275" s="160">
        <f t="shared" si="953"/>
        <v>0.1536764705882353</v>
      </c>
      <c r="BJ275" s="302">
        <f>BJ274/BJ182</f>
        <v>0.1536764705882353</v>
      </c>
      <c r="BK275" s="160">
        <f t="shared" si="953"/>
        <v>0.18594847775175644</v>
      </c>
      <c r="BL275" s="160">
        <f t="shared" si="953"/>
        <v>0.17588168373151308</v>
      </c>
      <c r="BM275" s="160">
        <f t="shared" si="953"/>
        <v>0.15970679697912038</v>
      </c>
      <c r="BN275" s="160">
        <f t="shared" si="953"/>
        <v>0.15230769230769231</v>
      </c>
      <c r="BO275" s="302">
        <f>BO274/BO182</f>
        <v>0.15230769230769231</v>
      </c>
      <c r="BP275" s="160">
        <f t="shared" si="953"/>
        <v>0.17952586206896551</v>
      </c>
      <c r="BQ275" s="160">
        <f t="shared" si="953"/>
        <v>0.19228309528885099</v>
      </c>
      <c r="BR275" s="160">
        <f t="shared" si="953"/>
        <v>0.17662930676629307</v>
      </c>
      <c r="BS275" s="160">
        <f t="shared" ref="BS275:CG275" si="954">BS274/BS182</f>
        <v>0.16596258298129149</v>
      </c>
      <c r="BT275" s="302">
        <f t="shared" si="954"/>
        <v>0.16596258298129149</v>
      </c>
      <c r="BU275" s="160">
        <f t="shared" si="954"/>
        <v>0.20079760717846459</v>
      </c>
      <c r="BV275" s="160">
        <f t="shared" si="954"/>
        <v>0.19903194578896419</v>
      </c>
      <c r="BW275" s="160">
        <f t="shared" si="954"/>
        <v>0.19418029669075695</v>
      </c>
      <c r="BX275" s="160">
        <f t="shared" si="954"/>
        <v>0.18210743028261275</v>
      </c>
      <c r="BY275" s="302">
        <f t="shared" si="954"/>
        <v>0.18210743028261275</v>
      </c>
      <c r="BZ275" s="160">
        <f t="shared" si="954"/>
        <v>0.20630320594095272</v>
      </c>
      <c r="CA275" s="160">
        <f t="shared" si="954"/>
        <v>0.20124003542958371</v>
      </c>
      <c r="CB275" s="160">
        <f t="shared" si="954"/>
        <v>0.19041854029747493</v>
      </c>
      <c r="CC275" s="160">
        <f t="shared" si="954"/>
        <v>0.17868657729509588</v>
      </c>
      <c r="CD275" s="302">
        <f>CD274/CD182</f>
        <v>0.17868657729509588</v>
      </c>
      <c r="CE275" s="160">
        <f t="shared" si="954"/>
        <v>0.19402985074626866</v>
      </c>
      <c r="CF275" s="160">
        <f t="shared" si="954"/>
        <v>0.20036949949613705</v>
      </c>
      <c r="CG275" s="160">
        <f t="shared" si="954"/>
        <v>0.19099430867090728</v>
      </c>
      <c r="CH275" s="160">
        <v>0.18</v>
      </c>
      <c r="CI275" s="302">
        <f>CI274/CI182</f>
        <v>0.18626309662398138</v>
      </c>
      <c r="CJ275" s="160">
        <f t="shared" ref="CJ275:CL275" si="955">CJ274/CJ182</f>
        <v>0.2230203808887404</v>
      </c>
      <c r="CK275" s="160">
        <f t="shared" si="955"/>
        <v>0.21971052203610344</v>
      </c>
      <c r="CL275" s="160">
        <f t="shared" si="955"/>
        <v>0.20351556200612805</v>
      </c>
      <c r="CM275" s="159">
        <f t="shared" ref="CM275" si="956">CH275+2.5%</f>
        <v>0.20499999999999999</v>
      </c>
      <c r="CN275" s="302">
        <f>CN274/CN182</f>
        <v>0.20499999999999999</v>
      </c>
      <c r="CO275" s="159">
        <f>CJ275</f>
        <v>0.2230203808887404</v>
      </c>
      <c r="CP275" s="159">
        <f>CK275</f>
        <v>0.21971052203610344</v>
      </c>
      <c r="CQ275" s="159">
        <f>CL275</f>
        <v>0.20351556200612805</v>
      </c>
      <c r="CR275" s="159">
        <f>CM275</f>
        <v>0.20499999999999999</v>
      </c>
      <c r="CS275" s="302">
        <f>CS274/CS182</f>
        <v>0.20499999999999999</v>
      </c>
      <c r="CT275" s="160"/>
      <c r="CU275" s="163"/>
      <c r="CV275" s="163"/>
      <c r="CW275" s="163"/>
      <c r="CX275" s="335">
        <f>CS275</f>
        <v>0.20499999999999999</v>
      </c>
      <c r="CY275" s="160"/>
      <c r="CZ275" s="163"/>
      <c r="DA275" s="163"/>
      <c r="DB275" s="163"/>
      <c r="DC275" s="335">
        <f>CX275</f>
        <v>0.20499999999999999</v>
      </c>
      <c r="DD275" s="100"/>
      <c r="DE275" s="457"/>
      <c r="DJ275" s="399"/>
      <c r="DK275" s="399"/>
      <c r="DL275" s="399"/>
      <c r="DM275" s="399"/>
      <c r="DN275" s="399"/>
      <c r="DO275" s="399"/>
      <c r="DP275" s="399"/>
      <c r="DQ275" s="399"/>
      <c r="DR275" s="496"/>
      <c r="DS275" s="154"/>
    </row>
    <row r="276" spans="1:143" s="211" customFormat="1" x14ac:dyDescent="0.2">
      <c r="A276" s="145" t="s">
        <v>213</v>
      </c>
      <c r="B276" s="301"/>
      <c r="C276" s="145"/>
      <c r="D276" s="145"/>
      <c r="E276" s="145"/>
      <c r="F276" s="145"/>
      <c r="G276" s="855">
        <v>5.2549999999999999</v>
      </c>
      <c r="H276" s="145"/>
      <c r="I276" s="145"/>
      <c r="J276" s="145"/>
      <c r="K276" s="145"/>
      <c r="L276" s="855">
        <v>15.98</v>
      </c>
      <c r="M276" s="145"/>
      <c r="N276" s="145"/>
      <c r="O276" s="145"/>
      <c r="P276" s="145"/>
      <c r="Q276" s="855">
        <f>Q278-Q274-Q273-Q272</f>
        <v>99.697000000000003</v>
      </c>
      <c r="R276" s="145"/>
      <c r="S276" s="145"/>
      <c r="T276" s="145"/>
      <c r="U276" s="145"/>
      <c r="V276" s="855">
        <f>V278-V274-V273-V272</f>
        <v>137.91500000000002</v>
      </c>
      <c r="W276" s="145"/>
      <c r="X276" s="145"/>
      <c r="Y276" s="145"/>
      <c r="Z276" s="145"/>
      <c r="AA276" s="855">
        <f>AA278-AA274-AA273-AA272</f>
        <v>163.06299999999996</v>
      </c>
      <c r="AB276" s="145"/>
      <c r="AC276" s="145"/>
      <c r="AD276" s="145"/>
      <c r="AE276" s="145"/>
      <c r="AF276" s="855">
        <f t="shared" ref="AF276:AY276" si="957">AF278-AF274-AF273-AF272</f>
        <v>210</v>
      </c>
      <c r="AG276" s="145">
        <f t="shared" si="957"/>
        <v>253</v>
      </c>
      <c r="AH276" s="145">
        <f t="shared" si="957"/>
        <v>280</v>
      </c>
      <c r="AI276" s="145">
        <f t="shared" si="957"/>
        <v>283</v>
      </c>
      <c r="AJ276" s="145">
        <f t="shared" si="957"/>
        <v>300</v>
      </c>
      <c r="AK276" s="301">
        <f t="shared" si="957"/>
        <v>300</v>
      </c>
      <c r="AL276" s="145">
        <f t="shared" si="957"/>
        <v>333</v>
      </c>
      <c r="AM276" s="145">
        <f t="shared" si="957"/>
        <v>361</v>
      </c>
      <c r="AN276" s="145">
        <f t="shared" si="957"/>
        <v>380</v>
      </c>
      <c r="AO276" s="145">
        <f t="shared" si="957"/>
        <v>370</v>
      </c>
      <c r="AP276" s="301">
        <f t="shared" si="957"/>
        <v>370</v>
      </c>
      <c r="AQ276" s="145">
        <f t="shared" si="957"/>
        <v>387</v>
      </c>
      <c r="AR276" s="145">
        <f t="shared" si="957"/>
        <v>400</v>
      </c>
      <c r="AS276" s="145">
        <f t="shared" si="957"/>
        <v>372</v>
      </c>
      <c r="AT276" s="145">
        <f t="shared" si="957"/>
        <v>364</v>
      </c>
      <c r="AU276" s="301">
        <f t="shared" si="957"/>
        <v>364</v>
      </c>
      <c r="AV276" s="145">
        <f t="shared" si="957"/>
        <v>346</v>
      </c>
      <c r="AW276" s="145">
        <f t="shared" si="957"/>
        <v>323</v>
      </c>
      <c r="AX276" s="145">
        <f t="shared" si="957"/>
        <v>354</v>
      </c>
      <c r="AY276" s="145">
        <f t="shared" si="957"/>
        <v>342</v>
      </c>
      <c r="AZ276" s="301">
        <f>AY276</f>
        <v>342</v>
      </c>
      <c r="BA276" s="145">
        <f>BA278-BA274-BA273-BA272</f>
        <v>378</v>
      </c>
      <c r="BB276" s="145">
        <f>BB278-BB274-BB273-BB272</f>
        <v>377</v>
      </c>
      <c r="BC276" s="145">
        <f>BC278-BC274-BC273-BC272</f>
        <v>396</v>
      </c>
      <c r="BD276" s="145">
        <f>BD278-BD274-BD273-BD272</f>
        <v>388</v>
      </c>
      <c r="BE276" s="301">
        <f>BD276</f>
        <v>388</v>
      </c>
      <c r="BF276" s="145">
        <f>BF278-BF274-BF273-BF272</f>
        <v>415</v>
      </c>
      <c r="BG276" s="145">
        <f>BG278-BG274-BG273-BG272</f>
        <v>415</v>
      </c>
      <c r="BH276" s="145">
        <f>BH278-BH274-BH273-BH272</f>
        <v>426</v>
      </c>
      <c r="BI276" s="145">
        <f>BI278-BI274-BI273-BI272</f>
        <v>499</v>
      </c>
      <c r="BJ276" s="301">
        <f>BI276</f>
        <v>499</v>
      </c>
      <c r="BK276" s="145">
        <f>BK278-BK274-BK273-BK272</f>
        <v>480</v>
      </c>
      <c r="BL276" s="145">
        <f>BL278-BL274-BL273-BL272</f>
        <v>540</v>
      </c>
      <c r="BM276" s="145">
        <f>BM278-BM274-BM273-BM272</f>
        <v>538</v>
      </c>
      <c r="BN276" s="145">
        <f>BN278-BN274-BN273-BN272</f>
        <v>521</v>
      </c>
      <c r="BO276" s="301">
        <f>BN276</f>
        <v>521</v>
      </c>
      <c r="BP276" s="145">
        <f>BP278-BP274-BP273-BP272</f>
        <v>554</v>
      </c>
      <c r="BQ276" s="145">
        <f>BQ278-BQ274-BQ273-BQ272</f>
        <v>573</v>
      </c>
      <c r="BR276" s="145">
        <f>BR278-BR274-BR273-BR272</f>
        <v>546</v>
      </c>
      <c r="BS276" s="145">
        <f>BS278-BS274-BS273-BS272</f>
        <v>580</v>
      </c>
      <c r="BT276" s="301">
        <f>BS276</f>
        <v>580</v>
      </c>
      <c r="BU276" s="145">
        <f>BU278-BU274-BU273-BU272</f>
        <v>661</v>
      </c>
      <c r="BV276" s="145">
        <f>BV278-BV274-BV273-BV272</f>
        <v>628</v>
      </c>
      <c r="BW276" s="145">
        <f>BW278-BW274-BW273-BW272</f>
        <v>620</v>
      </c>
      <c r="BX276" s="145">
        <f>BX278-BX274-BX273-BX272</f>
        <v>698</v>
      </c>
      <c r="BY276" s="301">
        <f>BX276</f>
        <v>698</v>
      </c>
      <c r="BZ276" s="145">
        <f>BZ278-BZ274-BZ273-BZ272</f>
        <v>800</v>
      </c>
      <c r="CA276" s="145">
        <f>CA278-CA274-CA273-CA272</f>
        <v>784</v>
      </c>
      <c r="CB276" s="145">
        <f>CB278-CB274-CB273-CB272</f>
        <v>886</v>
      </c>
      <c r="CC276" s="145">
        <f>CC278-CC274-CC273-CC272</f>
        <v>774</v>
      </c>
      <c r="CD276" s="301">
        <f>CC276</f>
        <v>774</v>
      </c>
      <c r="CE276" s="145">
        <f>CE278-CE274-CE273-CE272</f>
        <v>869</v>
      </c>
      <c r="CF276" s="145">
        <f>CF278-CF274-CF273-CF272</f>
        <v>974</v>
      </c>
      <c r="CG276" s="145">
        <f>CG278-CG274-CG273-CG272</f>
        <v>925</v>
      </c>
      <c r="CH276" s="145">
        <f>CH278-CH274-CH273-CH272</f>
        <v>914</v>
      </c>
      <c r="CI276" s="301">
        <f>CH276</f>
        <v>914</v>
      </c>
      <c r="CJ276" s="145">
        <f>CJ278-CJ274-CJ273-CJ272</f>
        <v>890</v>
      </c>
      <c r="CK276" s="145">
        <f>CK278-CK274-CK273-CK272</f>
        <v>919</v>
      </c>
      <c r="CL276" s="145">
        <f>CL278-CL274-CL273-CL272</f>
        <v>865</v>
      </c>
      <c r="CM276" s="145">
        <f t="shared" ref="CM276" si="958">CM277*CM185</f>
        <v>907.13999999999987</v>
      </c>
      <c r="CN276" s="301">
        <f>CM276</f>
        <v>907.13999999999987</v>
      </c>
      <c r="CO276" s="145">
        <f t="shared" ref="CO276:CR276" si="959">CO277*CO185</f>
        <v>925.4153631284322</v>
      </c>
      <c r="CP276" s="145">
        <f t="shared" si="959"/>
        <v>953.3192764698008</v>
      </c>
      <c r="CQ276" s="145">
        <f t="shared" si="959"/>
        <v>899.37897720150795</v>
      </c>
      <c r="CR276" s="145">
        <f t="shared" si="959"/>
        <v>923.59051104689911</v>
      </c>
      <c r="CS276" s="301">
        <f>CR276</f>
        <v>923.59051104689911</v>
      </c>
      <c r="CT276" s="145"/>
      <c r="CU276" s="145"/>
      <c r="CV276" s="145"/>
      <c r="CW276" s="145"/>
      <c r="CX276" s="301">
        <f>CX277*CX185</f>
        <v>1009.1645191779791</v>
      </c>
      <c r="CY276" s="145"/>
      <c r="CZ276" s="145"/>
      <c r="DA276" s="145"/>
      <c r="DB276" s="145"/>
      <c r="DC276" s="301">
        <f>DC277*DC185</f>
        <v>1087.9185614770784</v>
      </c>
      <c r="DD276" s="152"/>
      <c r="DE276" s="476"/>
      <c r="DF276" s="382"/>
      <c r="DG276" s="382"/>
      <c r="DH276" s="382"/>
      <c r="DI276" s="382"/>
      <c r="DJ276" s="413"/>
      <c r="DK276" s="411"/>
      <c r="DL276" s="411"/>
      <c r="DM276" s="411"/>
      <c r="DN276" s="411"/>
      <c r="DO276" s="411"/>
      <c r="DP276" s="411"/>
      <c r="DQ276" s="411"/>
      <c r="DR276" s="508"/>
      <c r="DS276" s="145"/>
      <c r="DT276"/>
      <c r="DU276"/>
      <c r="DV276"/>
      <c r="DW276"/>
      <c r="DX276"/>
      <c r="DY276"/>
    </row>
    <row r="277" spans="1:143" x14ac:dyDescent="0.2">
      <c r="A277" s="238" t="s">
        <v>200</v>
      </c>
      <c r="B277" s="302"/>
      <c r="C277" s="154"/>
      <c r="D277" s="154"/>
      <c r="E277" s="154"/>
      <c r="F277" s="154"/>
      <c r="G277" s="302"/>
      <c r="H277" s="160"/>
      <c r="I277" s="160"/>
      <c r="J277" s="160"/>
      <c r="K277" s="160"/>
      <c r="L277" s="302">
        <f>L276/L185</f>
        <v>6.3317721829953488E-2</v>
      </c>
      <c r="M277" s="160"/>
      <c r="N277" s="160"/>
      <c r="O277" s="160"/>
      <c r="P277" s="160"/>
      <c r="Q277" s="302">
        <f>Q276/Q185</f>
        <v>0.21962932855729811</v>
      </c>
      <c r="R277" s="160"/>
      <c r="S277" s="160"/>
      <c r="T277" s="160"/>
      <c r="U277" s="160"/>
      <c r="V277" s="302">
        <f>V276/V185</f>
        <v>0.20317412146693739</v>
      </c>
      <c r="W277" s="160"/>
      <c r="X277" s="160"/>
      <c r="Y277" s="160"/>
      <c r="Z277" s="160"/>
      <c r="AA277" s="302">
        <f>AA276/AA185</f>
        <v>0.18205843045877743</v>
      </c>
      <c r="AB277" s="160"/>
      <c r="AC277" s="160"/>
      <c r="AD277" s="160"/>
      <c r="AE277" s="160"/>
      <c r="AF277" s="302">
        <f t="shared" ref="AF277:BR277" si="960">AF276/AF185</f>
        <v>0.18211129428231237</v>
      </c>
      <c r="AG277" s="160">
        <f t="shared" si="960"/>
        <v>0.2030170092946483</v>
      </c>
      <c r="AH277" s="160">
        <f t="shared" si="960"/>
        <v>0.2087110008586967</v>
      </c>
      <c r="AI277" s="160">
        <f t="shared" si="960"/>
        <v>0.19894202210857453</v>
      </c>
      <c r="AJ277" s="160">
        <f t="shared" si="960"/>
        <v>0.2012072434607646</v>
      </c>
      <c r="AK277" s="302">
        <f t="shared" si="960"/>
        <v>0.2012072434607646</v>
      </c>
      <c r="AL277" s="160">
        <f t="shared" si="960"/>
        <v>0.21250797702616464</v>
      </c>
      <c r="AM277" s="160">
        <f t="shared" si="960"/>
        <v>0.22215384615384615</v>
      </c>
      <c r="AN277" s="160">
        <f t="shared" si="960"/>
        <v>0.22619047619047619</v>
      </c>
      <c r="AO277" s="160">
        <f t="shared" si="960"/>
        <v>0.2121559633027523</v>
      </c>
      <c r="AP277" s="302">
        <f t="shared" si="960"/>
        <v>0.2121559633027523</v>
      </c>
      <c r="AQ277" s="160">
        <f t="shared" si="960"/>
        <v>0.21454706730236167</v>
      </c>
      <c r="AR277" s="160">
        <f t="shared" si="960"/>
        <v>0.21729682746631898</v>
      </c>
      <c r="AS277" s="160">
        <f t="shared" si="960"/>
        <v>0.19684622711398031</v>
      </c>
      <c r="AT277" s="160">
        <f t="shared" si="960"/>
        <v>0.18974145120934111</v>
      </c>
      <c r="AU277" s="302">
        <f t="shared" si="960"/>
        <v>0.18974145120934111</v>
      </c>
      <c r="AV277" s="160">
        <f t="shared" si="960"/>
        <v>0.17983367983367984</v>
      </c>
      <c r="AW277" s="160">
        <f t="shared" si="960"/>
        <v>0.16547978892361287</v>
      </c>
      <c r="AX277" s="160">
        <f t="shared" si="960"/>
        <v>0.1770354070814163</v>
      </c>
      <c r="AY277" s="160">
        <f t="shared" si="960"/>
        <v>0.1658583899127061</v>
      </c>
      <c r="AZ277" s="302">
        <f t="shared" si="960"/>
        <v>0.1658583899127061</v>
      </c>
      <c r="BA277" s="160">
        <f t="shared" si="960"/>
        <v>0.17666853617498599</v>
      </c>
      <c r="BB277" s="160">
        <f t="shared" si="960"/>
        <v>0.17061139521201973</v>
      </c>
      <c r="BC277" s="160">
        <f t="shared" si="960"/>
        <v>0.17414248021108181</v>
      </c>
      <c r="BD277" s="160">
        <f t="shared" si="960"/>
        <v>0.16642360813245258</v>
      </c>
      <c r="BE277" s="302">
        <f t="shared" si="960"/>
        <v>0.16642360813245258</v>
      </c>
      <c r="BF277" s="160">
        <f t="shared" si="960"/>
        <v>0.17500210845913802</v>
      </c>
      <c r="BG277" s="160">
        <f t="shared" si="960"/>
        <v>0.17068355679855224</v>
      </c>
      <c r="BH277" s="160">
        <f t="shared" si="960"/>
        <v>0.17272137528381445</v>
      </c>
      <c r="BI277" s="160">
        <f t="shared" si="960"/>
        <v>0.19817315329626689</v>
      </c>
      <c r="BJ277" s="302">
        <f>BJ276/BJ185</f>
        <v>0.19817315329626689</v>
      </c>
      <c r="BK277" s="160">
        <f t="shared" si="960"/>
        <v>0.18568665377176016</v>
      </c>
      <c r="BL277" s="160">
        <f t="shared" si="960"/>
        <v>0.2033132530120482</v>
      </c>
      <c r="BM277" s="160">
        <f t="shared" si="960"/>
        <v>0.19656558275484107</v>
      </c>
      <c r="BN277" s="160">
        <f t="shared" si="960"/>
        <v>0.18607142857142858</v>
      </c>
      <c r="BO277" s="302">
        <f>BO276/BO185</f>
        <v>0.18607142857142858</v>
      </c>
      <c r="BP277" s="160">
        <f t="shared" si="960"/>
        <v>0.19156293222683266</v>
      </c>
      <c r="BQ277" s="160">
        <f t="shared" si="960"/>
        <v>0.19338508268646643</v>
      </c>
      <c r="BR277" s="160">
        <f t="shared" si="960"/>
        <v>0.17972350230414746</v>
      </c>
      <c r="BS277" s="160">
        <f t="shared" ref="BS277:CG277" si="961">BS276/BS185</f>
        <v>0.18625561978163135</v>
      </c>
      <c r="BT277" s="302">
        <f t="shared" si="961"/>
        <v>0.18625561978163135</v>
      </c>
      <c r="BU277" s="160">
        <f t="shared" si="961"/>
        <v>0.2075353218210361</v>
      </c>
      <c r="BV277" s="160">
        <f t="shared" si="961"/>
        <v>0.19193154034229828</v>
      </c>
      <c r="BW277" s="160">
        <f t="shared" si="961"/>
        <v>0.18601860186018601</v>
      </c>
      <c r="BX277" s="160">
        <f t="shared" si="961"/>
        <v>0.20589970501474927</v>
      </c>
      <c r="BY277" s="302">
        <f t="shared" si="961"/>
        <v>0.20589970501474927</v>
      </c>
      <c r="BZ277" s="160">
        <f t="shared" si="961"/>
        <v>0.2298190175237001</v>
      </c>
      <c r="CA277" s="160">
        <f t="shared" si="961"/>
        <v>0.21868898186889818</v>
      </c>
      <c r="CB277" s="160">
        <f t="shared" si="961"/>
        <v>0.23759721104853848</v>
      </c>
      <c r="CC277" s="160">
        <f t="shared" si="961"/>
        <v>0.20093457943925233</v>
      </c>
      <c r="CD277" s="302">
        <f>CD276/CD185</f>
        <v>0.20093457943925233</v>
      </c>
      <c r="CE277" s="160">
        <f t="shared" si="961"/>
        <v>0.21894683799445705</v>
      </c>
      <c r="CF277" s="160">
        <f t="shared" si="961"/>
        <v>0.2395474667978357</v>
      </c>
      <c r="CG277" s="160">
        <f t="shared" si="961"/>
        <v>0.22251623767139764</v>
      </c>
      <c r="CH277" s="160">
        <v>0.20499999999999999</v>
      </c>
      <c r="CI277" s="302">
        <f>CI276/CI185</f>
        <v>0.21521073699081705</v>
      </c>
      <c r="CJ277" s="160">
        <f t="shared" ref="CJ277:CL277" si="962">CJ276/CJ185</f>
        <v>0.20559020559020558</v>
      </c>
      <c r="CK277" s="160">
        <f t="shared" si="962"/>
        <v>0.20716862037871955</v>
      </c>
      <c r="CL277" s="160">
        <f t="shared" si="962"/>
        <v>0.19192367428444643</v>
      </c>
      <c r="CM277" s="159">
        <f t="shared" ref="CM277:CR277" si="963">CH277-1%</f>
        <v>0.19499999999999998</v>
      </c>
      <c r="CN277" s="302">
        <f>CN276/CN185</f>
        <v>0.19499999999999998</v>
      </c>
      <c r="CO277" s="159">
        <f t="shared" si="963"/>
        <v>0.19559020559020557</v>
      </c>
      <c r="CP277" s="159">
        <f t="shared" si="963"/>
        <v>0.19716862037871954</v>
      </c>
      <c r="CQ277" s="159">
        <f t="shared" si="963"/>
        <v>0.18192367428444642</v>
      </c>
      <c r="CR277" s="159">
        <f t="shared" si="963"/>
        <v>0.18499999999999997</v>
      </c>
      <c r="CS277" s="302">
        <f>CS276/CS185</f>
        <v>0.18500000000000003</v>
      </c>
      <c r="CT277" s="163"/>
      <c r="CU277" s="163"/>
      <c r="CV277" s="163"/>
      <c r="CW277" s="163"/>
      <c r="CX277" s="335">
        <f>CS277</f>
        <v>0.18500000000000003</v>
      </c>
      <c r="CY277" s="163"/>
      <c r="CZ277" s="163"/>
      <c r="DA277" s="163"/>
      <c r="DB277" s="163"/>
      <c r="DC277" s="335">
        <f>CX277</f>
        <v>0.18500000000000003</v>
      </c>
      <c r="DD277" s="100"/>
      <c r="DE277" s="457"/>
      <c r="DJ277" s="399"/>
      <c r="DK277" s="411"/>
      <c r="DL277" s="411"/>
      <c r="DM277" s="411"/>
      <c r="DN277" s="411"/>
      <c r="DO277" s="411"/>
      <c r="DP277" s="411"/>
      <c r="DQ277" s="396"/>
      <c r="DR277" s="493"/>
      <c r="DS277" s="154"/>
    </row>
    <row r="278" spans="1:143" x14ac:dyDescent="0.2">
      <c r="A278" s="161" t="s">
        <v>251</v>
      </c>
      <c r="B278" s="310"/>
      <c r="C278" s="161"/>
      <c r="D278" s="161"/>
      <c r="E278" s="161"/>
      <c r="F278" s="161"/>
      <c r="G278" s="310">
        <f>G276+G296+G274+G295+G273+G272</f>
        <v>91.024000000000001</v>
      </c>
      <c r="H278" s="161"/>
      <c r="I278" s="161"/>
      <c r="J278" s="161"/>
      <c r="K278" s="161"/>
      <c r="L278" s="310">
        <f>L276+L296+L274+L295+L273+L272</f>
        <v>151.31200000000001</v>
      </c>
      <c r="M278" s="836"/>
      <c r="N278" s="836"/>
      <c r="O278" s="836"/>
      <c r="P278" s="836"/>
      <c r="Q278" s="310">
        <v>269.66399999999999</v>
      </c>
      <c r="R278" s="836"/>
      <c r="S278" s="836"/>
      <c r="T278" s="836"/>
      <c r="U278" s="836"/>
      <c r="V278" s="310">
        <v>369.61900000000003</v>
      </c>
      <c r="W278" s="836"/>
      <c r="X278" s="836"/>
      <c r="Y278" s="836"/>
      <c r="Z278" s="836"/>
      <c r="AA278" s="310">
        <v>485.99799999999999</v>
      </c>
      <c r="AB278" s="836"/>
      <c r="AC278" s="836"/>
      <c r="AD278" s="836"/>
      <c r="AE278" s="836"/>
      <c r="AF278" s="310">
        <v>676</v>
      </c>
      <c r="AG278" s="836">
        <v>797</v>
      </c>
      <c r="AH278" s="836">
        <v>842</v>
      </c>
      <c r="AI278" s="836">
        <v>867</v>
      </c>
      <c r="AJ278" s="836">
        <v>854</v>
      </c>
      <c r="AK278" s="310">
        <v>854</v>
      </c>
      <c r="AL278" s="836">
        <v>1024</v>
      </c>
      <c r="AM278" s="836">
        <v>1049</v>
      </c>
      <c r="AN278" s="836">
        <v>1224</v>
      </c>
      <c r="AO278" s="836">
        <v>1256</v>
      </c>
      <c r="AP278" s="310">
        <v>1256</v>
      </c>
      <c r="AQ278" s="836">
        <v>1267</v>
      </c>
      <c r="AR278" s="836">
        <v>1360</v>
      </c>
      <c r="AS278" s="836">
        <v>1103</v>
      </c>
      <c r="AT278" s="836">
        <v>1081</v>
      </c>
      <c r="AU278" s="310">
        <v>1081</v>
      </c>
      <c r="AV278" s="836">
        <v>1059</v>
      </c>
      <c r="AW278" s="836">
        <v>1128</v>
      </c>
      <c r="AX278" s="836">
        <v>1201</v>
      </c>
      <c r="AY278" s="836">
        <v>1169</v>
      </c>
      <c r="AZ278" s="310">
        <f>AZ276+AZ274+AZ273+AZ272</f>
        <v>1169</v>
      </c>
      <c r="BA278" s="836">
        <v>1172</v>
      </c>
      <c r="BB278" s="836">
        <v>1190</v>
      </c>
      <c r="BC278" s="836">
        <v>1126</v>
      </c>
      <c r="BD278" s="836">
        <v>1085</v>
      </c>
      <c r="BE278" s="310">
        <f>BE276+BE274+BE273+BE272</f>
        <v>1085</v>
      </c>
      <c r="BF278" s="836">
        <v>1271</v>
      </c>
      <c r="BG278" s="836">
        <v>1310</v>
      </c>
      <c r="BH278" s="836">
        <v>1296</v>
      </c>
      <c r="BI278" s="836">
        <v>1412</v>
      </c>
      <c r="BJ278" s="310">
        <f>BJ276+BJ274+BJ273+BJ272</f>
        <v>1412</v>
      </c>
      <c r="BK278" s="836">
        <v>1479</v>
      </c>
      <c r="BL278" s="836">
        <v>1578</v>
      </c>
      <c r="BM278" s="836">
        <v>1525</v>
      </c>
      <c r="BN278" s="836">
        <v>1608</v>
      </c>
      <c r="BO278" s="310">
        <f>BO276+BO274+BO273+BO272</f>
        <v>1608</v>
      </c>
      <c r="BP278" s="836">
        <v>1962</v>
      </c>
      <c r="BQ278" s="836">
        <v>2122</v>
      </c>
      <c r="BR278" s="836">
        <v>2033</v>
      </c>
      <c r="BS278" s="836">
        <v>1874</v>
      </c>
      <c r="BT278" s="310">
        <f>BT276+BT274+BT273+BT272</f>
        <v>1874</v>
      </c>
      <c r="BU278" s="836">
        <v>1975</v>
      </c>
      <c r="BV278" s="836">
        <v>1934</v>
      </c>
      <c r="BW278" s="836">
        <v>1915</v>
      </c>
      <c r="BX278" s="836">
        <v>1936</v>
      </c>
      <c r="BY278" s="310">
        <f>BY276+BY274+BY273+BY272</f>
        <v>1936</v>
      </c>
      <c r="BZ278" s="836">
        <v>2203</v>
      </c>
      <c r="CA278" s="836">
        <v>2186</v>
      </c>
      <c r="CB278" s="836">
        <v>2225</v>
      </c>
      <c r="CC278" s="836">
        <v>2275</v>
      </c>
      <c r="CD278" s="310">
        <f t="shared" ref="CD278:CM278" si="964">CD276+CD274+CD273+CD272</f>
        <v>2275</v>
      </c>
      <c r="CE278" s="836">
        <v>2474</v>
      </c>
      <c r="CF278" s="836">
        <v>2613</v>
      </c>
      <c r="CG278" s="836">
        <v>2505</v>
      </c>
      <c r="CH278" s="836">
        <v>2223</v>
      </c>
      <c r="CI278" s="310">
        <f t="shared" si="964"/>
        <v>2223</v>
      </c>
      <c r="CJ278" s="836">
        <v>2422</v>
      </c>
      <c r="CK278" s="836">
        <v>2498</v>
      </c>
      <c r="CL278" s="836">
        <v>2351</v>
      </c>
      <c r="CM278" s="161">
        <f t="shared" si="964"/>
        <v>2420.1799999999998</v>
      </c>
      <c r="CN278" s="310">
        <f t="shared" ref="CN278:CR278" si="965">CN276+CN274+CN273+CN272</f>
        <v>2420.1799999999998</v>
      </c>
      <c r="CO278" s="161">
        <f t="shared" si="965"/>
        <v>2579.494757390878</v>
      </c>
      <c r="CP278" s="161">
        <f t="shared" si="965"/>
        <v>2596.0353848749073</v>
      </c>
      <c r="CQ278" s="161">
        <f t="shared" si="965"/>
        <v>2476.0015127032011</v>
      </c>
      <c r="CR278" s="161">
        <f t="shared" si="965"/>
        <v>2539.1913413118991</v>
      </c>
      <c r="CS278" s="310">
        <f t="shared" ref="CS278" si="966">CS276+CS274+CS273+CS272</f>
        <v>2539.1913413118991</v>
      </c>
      <c r="CT278" s="161">
        <f t="shared" ref="CT278:CX278" si="967">CT276+CT274+CT273+CT272</f>
        <v>0</v>
      </c>
      <c r="CU278" s="161">
        <f t="shared" si="967"/>
        <v>0</v>
      </c>
      <c r="CV278" s="161">
        <f t="shared" si="967"/>
        <v>0</v>
      </c>
      <c r="CW278" s="161">
        <f t="shared" si="967"/>
        <v>0</v>
      </c>
      <c r="CX278" s="310">
        <f t="shared" si="967"/>
        <v>2729.6224720034465</v>
      </c>
      <c r="CY278" s="161">
        <f t="shared" ref="CY278:DC278" si="968">CY276+CY274+CY273+CY272</f>
        <v>0</v>
      </c>
      <c r="CZ278" s="161">
        <f t="shared" si="968"/>
        <v>0</v>
      </c>
      <c r="DA278" s="161">
        <f t="shared" si="968"/>
        <v>0</v>
      </c>
      <c r="DB278" s="161">
        <f t="shared" si="968"/>
        <v>0</v>
      </c>
      <c r="DC278" s="310">
        <f t="shared" si="968"/>
        <v>2921.1346210479451</v>
      </c>
      <c r="DD278" s="152"/>
      <c r="DE278" s="476"/>
      <c r="DJ278" s="413"/>
      <c r="DK278" s="411"/>
      <c r="DL278" s="411"/>
      <c r="DM278" s="411"/>
      <c r="DN278" s="411"/>
      <c r="DO278" s="411"/>
      <c r="DP278" s="411"/>
      <c r="DQ278" s="411"/>
      <c r="DR278" s="508"/>
      <c r="DS278" s="161"/>
    </row>
    <row r="279" spans="1:143" x14ac:dyDescent="0.2">
      <c r="A279" s="144" t="s">
        <v>214</v>
      </c>
      <c r="B279" s="300"/>
      <c r="C279" s="141"/>
      <c r="D279" s="141"/>
      <c r="E279" s="141"/>
      <c r="F279" s="141"/>
      <c r="G279" s="853">
        <v>137.11000000000001</v>
      </c>
      <c r="H279" s="141"/>
      <c r="I279" s="141"/>
      <c r="J279" s="141"/>
      <c r="K279" s="141"/>
      <c r="L279" s="853">
        <v>290.66500000000002</v>
      </c>
      <c r="M279" s="832"/>
      <c r="N279" s="832"/>
      <c r="O279" s="832"/>
      <c r="P279" s="832"/>
      <c r="Q279" s="853">
        <v>639.49800000000005</v>
      </c>
      <c r="R279" s="832"/>
      <c r="S279" s="832"/>
      <c r="T279" s="832"/>
      <c r="U279" s="832"/>
      <c r="V279" s="853">
        <v>1011.61</v>
      </c>
      <c r="W279" s="832"/>
      <c r="X279" s="832"/>
      <c r="Y279" s="832"/>
      <c r="Z279" s="832"/>
      <c r="AA279" s="853">
        <v>1395.9390000000001</v>
      </c>
      <c r="AB279" s="832"/>
      <c r="AC279" s="832"/>
      <c r="AD279" s="832"/>
      <c r="AE279" s="832"/>
      <c r="AF279" s="853">
        <v>2103</v>
      </c>
      <c r="AG279" s="832">
        <v>2154</v>
      </c>
      <c r="AH279" s="832">
        <v>2287</v>
      </c>
      <c r="AI279" s="832">
        <v>2338</v>
      </c>
      <c r="AJ279" s="832">
        <v>2626</v>
      </c>
      <c r="AK279" s="300">
        <v>2626</v>
      </c>
      <c r="AL279" s="832">
        <v>2685</v>
      </c>
      <c r="AM279" s="832">
        <v>2756</v>
      </c>
      <c r="AN279" s="832">
        <v>2589</v>
      </c>
      <c r="AO279" s="832">
        <v>2588</v>
      </c>
      <c r="AP279" s="300">
        <v>2588</v>
      </c>
      <c r="AQ279" s="832">
        <v>2697</v>
      </c>
      <c r="AR279" s="832">
        <v>2936</v>
      </c>
      <c r="AS279" s="832">
        <v>2929</v>
      </c>
      <c r="AT279" s="832">
        <v>2883</v>
      </c>
      <c r="AU279" s="300">
        <v>2883</v>
      </c>
      <c r="AV279" s="832">
        <v>2980</v>
      </c>
      <c r="AW279" s="832">
        <v>3063</v>
      </c>
      <c r="AX279" s="832">
        <v>2972</v>
      </c>
      <c r="AY279" s="832">
        <v>2920</v>
      </c>
      <c r="AZ279" s="300">
        <f>AY279</f>
        <v>2920</v>
      </c>
      <c r="BA279" s="832">
        <v>2882</v>
      </c>
      <c r="BB279" s="832">
        <v>2896</v>
      </c>
      <c r="BC279" s="832">
        <v>2880</v>
      </c>
      <c r="BD279" s="832">
        <f>2850</f>
        <v>2850</v>
      </c>
      <c r="BE279" s="300">
        <f>BD279</f>
        <v>2850</v>
      </c>
      <c r="BF279" s="832">
        <v>2890</v>
      </c>
      <c r="BG279" s="832">
        <v>2893</v>
      </c>
      <c r="BH279" s="832">
        <v>2864</v>
      </c>
      <c r="BI279" s="832">
        <v>2850</v>
      </c>
      <c r="BJ279" s="300">
        <f>BI279</f>
        <v>2850</v>
      </c>
      <c r="BK279" s="832">
        <v>2798</v>
      </c>
      <c r="BL279" s="832">
        <v>2626</v>
      </c>
      <c r="BM279" s="832">
        <v>2603</v>
      </c>
      <c r="BN279" s="832">
        <v>2457</v>
      </c>
      <c r="BO279" s="300">
        <f>BN279</f>
        <v>2457</v>
      </c>
      <c r="BP279" s="832">
        <v>2251</v>
      </c>
      <c r="BQ279" s="832">
        <v>2173</v>
      </c>
      <c r="BR279" s="832">
        <v>2206</v>
      </c>
      <c r="BS279" s="832">
        <v>2116</v>
      </c>
      <c r="BT279" s="300">
        <f>BS279</f>
        <v>2116</v>
      </c>
      <c r="BU279" s="832">
        <v>2332</v>
      </c>
      <c r="BV279" s="832">
        <v>2108</v>
      </c>
      <c r="BW279" s="832">
        <v>2088</v>
      </c>
      <c r="BX279" s="832">
        <v>1968</v>
      </c>
      <c r="BY279" s="300">
        <f>BX279</f>
        <v>1968</v>
      </c>
      <c r="BZ279" s="832">
        <v>1917</v>
      </c>
      <c r="CA279" s="832">
        <v>1803</v>
      </c>
      <c r="CB279" s="832">
        <v>1744</v>
      </c>
      <c r="CC279" s="832">
        <v>1379</v>
      </c>
      <c r="CD279" s="300">
        <f>CC279</f>
        <v>1379</v>
      </c>
      <c r="CE279" s="832">
        <v>1332</v>
      </c>
      <c r="CF279" s="832">
        <v>1300</v>
      </c>
      <c r="CG279" s="832">
        <v>1250</v>
      </c>
      <c r="CH279" s="832">
        <v>1195</v>
      </c>
      <c r="CI279" s="300">
        <f>CH279</f>
        <v>1195</v>
      </c>
      <c r="CJ279" s="832">
        <v>1140</v>
      </c>
      <c r="CK279" s="832">
        <v>1077</v>
      </c>
      <c r="CL279" s="832">
        <v>1031</v>
      </c>
      <c r="CM279" s="141">
        <f t="shared" ref="CM279:CR279" si="969">CL279+CM242</f>
        <v>1313.5</v>
      </c>
      <c r="CN279" s="300">
        <f>CM279</f>
        <v>1313.5</v>
      </c>
      <c r="CO279" s="141">
        <f t="shared" si="969"/>
        <v>1305.7</v>
      </c>
      <c r="CP279" s="141">
        <f t="shared" si="969"/>
        <v>1297.9000000000001</v>
      </c>
      <c r="CQ279" s="141">
        <f t="shared" si="969"/>
        <v>1290.1000000000001</v>
      </c>
      <c r="CR279" s="141">
        <f t="shared" si="969"/>
        <v>1282.3000000000002</v>
      </c>
      <c r="CS279" s="300">
        <f>CR279</f>
        <v>1282.3000000000002</v>
      </c>
      <c r="CT279" s="141"/>
      <c r="CU279" s="141"/>
      <c r="CV279" s="141"/>
      <c r="CW279" s="141"/>
      <c r="CX279" s="300">
        <f>CS279+CX242</f>
        <v>1217.3000000000002</v>
      </c>
      <c r="CY279" s="141"/>
      <c r="CZ279" s="141"/>
      <c r="DA279" s="141"/>
      <c r="DB279" s="141"/>
      <c r="DC279" s="300">
        <f>CX279+DC242</f>
        <v>1243.3000000000002</v>
      </c>
      <c r="DD279" s="132"/>
      <c r="DE279" s="471"/>
      <c r="DJ279" s="413"/>
      <c r="DK279" s="411"/>
      <c r="DL279" s="411"/>
      <c r="DM279" s="411"/>
      <c r="DN279" s="411"/>
      <c r="DO279" s="411"/>
      <c r="DP279" s="411"/>
      <c r="DQ279" s="413"/>
      <c r="DR279" s="510"/>
      <c r="DS279" s="141"/>
    </row>
    <row r="280" spans="1:143" x14ac:dyDescent="0.2">
      <c r="A280" s="242" t="s">
        <v>198</v>
      </c>
      <c r="B280" s="300"/>
      <c r="C280" s="141"/>
      <c r="D280" s="141"/>
      <c r="E280" s="141"/>
      <c r="F280" s="141"/>
      <c r="G280" s="853">
        <v>0</v>
      </c>
      <c r="H280" s="141"/>
      <c r="I280" s="141"/>
      <c r="J280" s="141"/>
      <c r="K280" s="141"/>
      <c r="L280" s="853">
        <v>3.3730000000000002</v>
      </c>
      <c r="M280" s="832"/>
      <c r="N280" s="832"/>
      <c r="O280" s="832"/>
      <c r="P280" s="832"/>
      <c r="Q280" s="853">
        <v>38.545000000000002</v>
      </c>
      <c r="R280" s="832"/>
      <c r="S280" s="832"/>
      <c r="T280" s="832"/>
      <c r="U280" s="832"/>
      <c r="V280" s="853">
        <v>99.03</v>
      </c>
      <c r="W280" s="832"/>
      <c r="X280" s="832"/>
      <c r="Y280" s="832"/>
      <c r="Z280" s="832"/>
      <c r="AA280" s="853">
        <v>122.75700000000001</v>
      </c>
      <c r="AB280" s="832"/>
      <c r="AC280" s="832"/>
      <c r="AD280" s="832"/>
      <c r="AE280" s="832"/>
      <c r="AF280" s="853">
        <v>116</v>
      </c>
      <c r="AG280" s="832">
        <v>140</v>
      </c>
      <c r="AH280" s="832">
        <v>175</v>
      </c>
      <c r="AI280" s="832">
        <v>184</v>
      </c>
      <c r="AJ280" s="832">
        <v>136</v>
      </c>
      <c r="AK280" s="300">
        <v>136</v>
      </c>
      <c r="AL280" s="832">
        <v>114</v>
      </c>
      <c r="AM280" s="832">
        <v>136</v>
      </c>
      <c r="AN280" s="832">
        <v>159</v>
      </c>
      <c r="AO280" s="832">
        <v>192</v>
      </c>
      <c r="AP280" s="300">
        <v>192</v>
      </c>
      <c r="AQ280" s="832">
        <v>187</v>
      </c>
      <c r="AR280" s="832">
        <v>183</v>
      </c>
      <c r="AS280" s="832">
        <v>183</v>
      </c>
      <c r="AT280" s="832">
        <v>197</v>
      </c>
      <c r="AU280" s="300">
        <v>194</v>
      </c>
      <c r="AV280" s="832">
        <v>206</v>
      </c>
      <c r="AW280" s="832">
        <v>221</v>
      </c>
      <c r="AX280" s="832">
        <v>229</v>
      </c>
      <c r="AY280" s="832">
        <v>259</v>
      </c>
      <c r="AZ280" s="300">
        <f>AY280</f>
        <v>259</v>
      </c>
      <c r="BA280" s="832">
        <v>259</v>
      </c>
      <c r="BB280" s="832">
        <v>280</v>
      </c>
      <c r="BC280" s="832">
        <v>318</v>
      </c>
      <c r="BD280" s="832">
        <v>327</v>
      </c>
      <c r="BE280" s="300">
        <f>BD280</f>
        <v>327</v>
      </c>
      <c r="BF280" s="832">
        <v>329</v>
      </c>
      <c r="BG280" s="832">
        <v>348</v>
      </c>
      <c r="BH280" s="832">
        <v>368</v>
      </c>
      <c r="BI280" s="832">
        <v>392</v>
      </c>
      <c r="BJ280" s="300">
        <f>BI280</f>
        <v>392</v>
      </c>
      <c r="BK280" s="832">
        <v>409</v>
      </c>
      <c r="BL280" s="832">
        <v>442</v>
      </c>
      <c r="BM280" s="832">
        <v>471</v>
      </c>
      <c r="BN280" s="832">
        <v>481</v>
      </c>
      <c r="BO280" s="300">
        <f>BN280</f>
        <v>481</v>
      </c>
      <c r="BP280" s="832">
        <v>489</v>
      </c>
      <c r="BQ280" s="832">
        <v>512</v>
      </c>
      <c r="BR280" s="832">
        <v>559</v>
      </c>
      <c r="BS280" s="832">
        <v>605</v>
      </c>
      <c r="BT280" s="300">
        <f>BS280</f>
        <v>605</v>
      </c>
      <c r="BU280" s="832">
        <v>607</v>
      </c>
      <c r="BV280" s="832">
        <v>712</v>
      </c>
      <c r="BW280" s="832">
        <v>769</v>
      </c>
      <c r="BX280" s="832">
        <v>832</v>
      </c>
      <c r="BY280" s="300">
        <f>BX280</f>
        <v>832</v>
      </c>
      <c r="BZ280" s="832">
        <v>897</v>
      </c>
      <c r="CA280" s="832">
        <v>961</v>
      </c>
      <c r="CB280" s="832">
        <v>1040</v>
      </c>
      <c r="CC280" s="832">
        <v>1218</v>
      </c>
      <c r="CD280" s="300">
        <f>CC280</f>
        <v>1218</v>
      </c>
      <c r="CE280" s="832">
        <v>1276</v>
      </c>
      <c r="CF280" s="832">
        <v>1341</v>
      </c>
      <c r="CG280" s="832">
        <v>1423</v>
      </c>
      <c r="CH280" s="832">
        <v>1509</v>
      </c>
      <c r="CI280" s="300">
        <f>CH280</f>
        <v>1509</v>
      </c>
      <c r="CJ280" s="832">
        <v>1466</v>
      </c>
      <c r="CK280" s="832">
        <v>1457</v>
      </c>
      <c r="CL280" s="832">
        <v>1555</v>
      </c>
      <c r="CM280" s="141">
        <f t="shared" ref="CM280:CR280" si="970">CL280+CM220</f>
        <v>1605.124</v>
      </c>
      <c r="CN280" s="300">
        <f>CM280</f>
        <v>1605.124</v>
      </c>
      <c r="CO280" s="141">
        <f t="shared" si="970"/>
        <v>1628.2641253729255</v>
      </c>
      <c r="CP280" s="141">
        <f t="shared" si="970"/>
        <v>1670.688514379405</v>
      </c>
      <c r="CQ280" s="141">
        <f t="shared" si="970"/>
        <v>1741.2291124870808</v>
      </c>
      <c r="CR280" s="141">
        <f t="shared" si="970"/>
        <v>1795.8176143514875</v>
      </c>
      <c r="CS280" s="300">
        <f>CR280</f>
        <v>1795.8176143514875</v>
      </c>
      <c r="CT280" s="141"/>
      <c r="CU280" s="141"/>
      <c r="CV280" s="141"/>
      <c r="CW280" s="141"/>
      <c r="CX280" s="300">
        <f>CS280+CX220</f>
        <v>2024.0004034051262</v>
      </c>
      <c r="CY280" s="141"/>
      <c r="CZ280" s="141"/>
      <c r="DA280" s="141"/>
      <c r="DB280" s="141"/>
      <c r="DC280" s="300">
        <f>CX280+DC220</f>
        <v>2303.2113299835387</v>
      </c>
      <c r="DD280" s="132"/>
      <c r="DE280" s="471"/>
      <c r="DJ280" s="413"/>
      <c r="DK280" s="411"/>
      <c r="DL280" s="411"/>
      <c r="DM280" s="411"/>
      <c r="DN280" s="411"/>
      <c r="DO280" s="411"/>
      <c r="DP280" s="411"/>
      <c r="DQ280" s="413"/>
      <c r="DR280" s="510"/>
      <c r="DS280" s="141"/>
    </row>
    <row r="281" spans="1:143" s="211" customFormat="1" x14ac:dyDescent="0.2">
      <c r="A281" s="353" t="s">
        <v>215</v>
      </c>
      <c r="B281" s="301"/>
      <c r="C281" s="145"/>
      <c r="D281" s="145"/>
      <c r="E281" s="145"/>
      <c r="F281" s="145"/>
      <c r="G281" s="855">
        <f>6.595+163.552</f>
        <v>170.14699999999999</v>
      </c>
      <c r="H281" s="145"/>
      <c r="I281" s="145"/>
      <c r="J281" s="145"/>
      <c r="K281" s="145"/>
      <c r="L281" s="855">
        <f>7.335+210.441</f>
        <v>217.77600000000001</v>
      </c>
      <c r="M281" s="145"/>
      <c r="N281" s="145"/>
      <c r="O281" s="145"/>
      <c r="P281" s="145"/>
      <c r="Q281" s="855">
        <f>16.543+0</f>
        <v>16.542999999999999</v>
      </c>
      <c r="R281" s="145"/>
      <c r="S281" s="145"/>
      <c r="T281" s="145"/>
      <c r="U281" s="145"/>
      <c r="V281" s="855">
        <v>34.362000000000002</v>
      </c>
      <c r="W281" s="145"/>
      <c r="X281" s="145"/>
      <c r="Y281" s="145"/>
      <c r="Z281" s="145"/>
      <c r="AA281" s="855">
        <v>37.75</v>
      </c>
      <c r="AB281" s="145"/>
      <c r="AC281" s="145"/>
      <c r="AD281" s="145"/>
      <c r="AE281" s="145"/>
      <c r="AF281" s="855">
        <v>86</v>
      </c>
      <c r="AG281" s="145">
        <f>AG284-AG278-AG279-AG280</f>
        <v>88</v>
      </c>
      <c r="AH281" s="145">
        <f>AH284-AH278-AH279-AH280</f>
        <v>84</v>
      </c>
      <c r="AI281" s="145">
        <f>AI284-AI278-AI279-AI280</f>
        <v>123</v>
      </c>
      <c r="AJ281" s="145">
        <f>AJ284-AJ278-AJ279-AJ280</f>
        <v>275</v>
      </c>
      <c r="AK281" s="301">
        <f>89+186</f>
        <v>275</v>
      </c>
      <c r="AL281" s="145">
        <f>AL284-AL278-AL279-AL280</f>
        <v>362</v>
      </c>
      <c r="AM281" s="145">
        <f>AM284-AM278-AM279-AM280</f>
        <v>422</v>
      </c>
      <c r="AN281" s="145">
        <f>AN284-AN278-AN279-AN280</f>
        <v>465</v>
      </c>
      <c r="AO281" s="145">
        <f>AO284-AO278-AO279-AO280</f>
        <v>526</v>
      </c>
      <c r="AP281" s="301">
        <f>438+88</f>
        <v>526</v>
      </c>
      <c r="AQ281" s="145">
        <f>AQ284-AQ278-AQ279-AQ280</f>
        <v>570</v>
      </c>
      <c r="AR281" s="145">
        <f>AR284-AR278-AR279-AR280</f>
        <v>611</v>
      </c>
      <c r="AS281" s="145">
        <f>AS284-AS278-AS279-AS280</f>
        <v>588</v>
      </c>
      <c r="AT281" s="145">
        <f>AT284-AT278-AT279-AT280</f>
        <v>601</v>
      </c>
      <c r="AU281" s="301">
        <f>512+92</f>
        <v>604</v>
      </c>
      <c r="AV281" s="145">
        <f>AV284-AV278-AV279-AV280</f>
        <v>601</v>
      </c>
      <c r="AW281" s="145">
        <f>AW284-AW278-AW279-AW280</f>
        <v>614</v>
      </c>
      <c r="AX281" s="145">
        <f>AX284-AX278-AX279-AX280</f>
        <v>620</v>
      </c>
      <c r="AY281" s="145">
        <f>AY284-AY278-AY279-AY280</f>
        <v>667</v>
      </c>
      <c r="AZ281" s="301">
        <f>AY281</f>
        <v>667</v>
      </c>
      <c r="BA281" s="145">
        <f>BA284-BA278-BA279-BA280</f>
        <v>666</v>
      </c>
      <c r="BB281" s="145">
        <f>BB284-BB278-BB279-BB280</f>
        <v>668</v>
      </c>
      <c r="BC281" s="145">
        <f>BC284-BC278-BC279-BC280</f>
        <v>671</v>
      </c>
      <c r="BD281" s="145">
        <f>BD284-BD278-BD279-BD280</f>
        <v>677</v>
      </c>
      <c r="BE281" s="301">
        <f>BD281</f>
        <v>677</v>
      </c>
      <c r="BF281" s="145">
        <f>BF284-BF278-BF279-BF280</f>
        <v>676</v>
      </c>
      <c r="BG281" s="145">
        <f>BG284-BG278-BG279-BG280</f>
        <v>667</v>
      </c>
      <c r="BH281" s="145">
        <f>BH284-BH278-BH279-BH280</f>
        <v>676</v>
      </c>
      <c r="BI281" s="145">
        <f>BI284-BI278-BI279-BI280</f>
        <v>660</v>
      </c>
      <c r="BJ281" s="301">
        <f>BI281</f>
        <v>660</v>
      </c>
      <c r="BK281" s="145">
        <f>BK284-BK278-BK279-BK280</f>
        <v>656</v>
      </c>
      <c r="BL281" s="145">
        <f>BL284-BL278-BL279-BL280</f>
        <v>645</v>
      </c>
      <c r="BM281" s="145">
        <f>BM284-BM278-BM279-BM280</f>
        <v>639</v>
      </c>
      <c r="BN281" s="145">
        <f>BN284-BN278-BN279-BN280</f>
        <v>636</v>
      </c>
      <c r="BO281" s="301">
        <f>BN281</f>
        <v>636</v>
      </c>
      <c r="BP281" s="145">
        <f>BP284-BP278-BP279-BP280</f>
        <v>635</v>
      </c>
      <c r="BQ281" s="145">
        <f>BQ284-BQ278-BQ279-BQ280</f>
        <v>629</v>
      </c>
      <c r="BR281" s="145">
        <f>BR284-BR278-BR279-BR280</f>
        <v>628</v>
      </c>
      <c r="BS281" s="145">
        <f>BS284-BS278-BS279-BS280</f>
        <v>621</v>
      </c>
      <c r="BT281" s="301">
        <f>BS281</f>
        <v>621</v>
      </c>
      <c r="BU281" s="145">
        <f>BU284-BU278-BU279-BU280</f>
        <v>595</v>
      </c>
      <c r="BV281" s="145">
        <f>BV284-BV278-BV279-BV280</f>
        <v>588</v>
      </c>
      <c r="BW281" s="145">
        <f>BW284-BW278-BW279-BW280</f>
        <v>583</v>
      </c>
      <c r="BX281" s="145">
        <f>BX284-BX278-BX279-BX280</f>
        <v>574</v>
      </c>
      <c r="BY281" s="301">
        <f>BX281</f>
        <v>574</v>
      </c>
      <c r="BZ281" s="145">
        <f>BZ284-BZ278-BZ279-BZ280</f>
        <v>578</v>
      </c>
      <c r="CA281" s="145">
        <f>CA284-CA278-CA279-CA280</f>
        <v>574</v>
      </c>
      <c r="CB281" s="145">
        <f>CB284-CB278-CB279-CB280</f>
        <v>568</v>
      </c>
      <c r="CC281" s="145">
        <f>CC284-CC278-CC279-CC280</f>
        <v>578</v>
      </c>
      <c r="CD281" s="301">
        <f>CC281</f>
        <v>578</v>
      </c>
      <c r="CE281" s="145">
        <f>CE284-CE278-CE279-CE280</f>
        <v>566</v>
      </c>
      <c r="CF281" s="145">
        <f>CF284-CF278-CF279-CF280</f>
        <v>560</v>
      </c>
      <c r="CG281" s="145">
        <f>CG284-CG278-CG279-CG280</f>
        <v>555</v>
      </c>
      <c r="CH281" s="145">
        <f>CH284-CH278-CH279-CH280</f>
        <v>547</v>
      </c>
      <c r="CI281" s="301">
        <f>CH281</f>
        <v>547</v>
      </c>
      <c r="CJ281" s="145">
        <f>CJ284-CJ278-CJ279-CJ280</f>
        <v>453</v>
      </c>
      <c r="CK281" s="145">
        <f>CK284-CK278-CK279-CK280</f>
        <v>532</v>
      </c>
      <c r="CL281" s="145">
        <f>CL284-CL278-CL279-CL280</f>
        <v>520</v>
      </c>
      <c r="CM281" s="145">
        <f t="shared" ref="CM281:CR281" si="971">CL281</f>
        <v>520</v>
      </c>
      <c r="CN281" s="301">
        <f>CM281</f>
        <v>520</v>
      </c>
      <c r="CO281" s="145">
        <f t="shared" si="971"/>
        <v>520</v>
      </c>
      <c r="CP281" s="145">
        <f t="shared" si="971"/>
        <v>520</v>
      </c>
      <c r="CQ281" s="145">
        <f t="shared" si="971"/>
        <v>520</v>
      </c>
      <c r="CR281" s="145">
        <f t="shared" si="971"/>
        <v>520</v>
      </c>
      <c r="CS281" s="301">
        <f>CR281</f>
        <v>520</v>
      </c>
      <c r="CT281" s="145"/>
      <c r="CU281" s="145"/>
      <c r="CV281" s="145"/>
      <c r="CW281" s="145"/>
      <c r="CX281" s="301">
        <f>CS281</f>
        <v>520</v>
      </c>
      <c r="CY281" s="145"/>
      <c r="CZ281" s="145"/>
      <c r="DA281" s="145"/>
      <c r="DB281" s="145"/>
      <c r="DC281" s="301">
        <f>CX281</f>
        <v>520</v>
      </c>
      <c r="DD281" s="152"/>
      <c r="DE281" s="476"/>
      <c r="DF281" s="382"/>
      <c r="DG281" s="382"/>
      <c r="DH281" s="382"/>
      <c r="DI281" s="382"/>
      <c r="DJ281" s="413"/>
      <c r="DK281" s="411"/>
      <c r="DL281" s="411"/>
      <c r="DM281" s="411"/>
      <c r="DN281" s="411"/>
      <c r="DO281" s="411"/>
      <c r="DP281" s="411"/>
      <c r="DQ281" s="411"/>
      <c r="DR281" s="508"/>
      <c r="DS281" s="145"/>
      <c r="DT281"/>
      <c r="DU281"/>
      <c r="DV281"/>
      <c r="DW281"/>
      <c r="DX281"/>
      <c r="DY281"/>
    </row>
    <row r="282" spans="1:143" x14ac:dyDescent="0.2">
      <c r="A282" s="238" t="s">
        <v>200</v>
      </c>
      <c r="B282" s="302"/>
      <c r="C282" s="154"/>
      <c r="D282" s="154"/>
      <c r="E282" s="154"/>
      <c r="F282" s="154"/>
      <c r="G282" s="302"/>
      <c r="H282" s="166"/>
      <c r="I282" s="166"/>
      <c r="J282" s="166"/>
      <c r="K282" s="166"/>
      <c r="L282" s="302">
        <f>L281/L185</f>
        <v>0.8628961319924876</v>
      </c>
      <c r="M282" s="166"/>
      <c r="N282" s="166"/>
      <c r="O282" s="166"/>
      <c r="P282" s="166"/>
      <c r="Q282" s="302">
        <f>Q281/Q185</f>
        <v>3.6443704247102547E-2</v>
      </c>
      <c r="R282" s="166"/>
      <c r="S282" s="166"/>
      <c r="T282" s="166"/>
      <c r="U282" s="166"/>
      <c r="V282" s="302">
        <f>V281/V185</f>
        <v>5.0621536176970613E-2</v>
      </c>
      <c r="W282" s="166"/>
      <c r="X282" s="166"/>
      <c r="Y282" s="166"/>
      <c r="Z282" s="166"/>
      <c r="AA282" s="302">
        <f>AA281/AA185</f>
        <v>4.2147548799046072E-2</v>
      </c>
      <c r="AB282" s="166"/>
      <c r="AC282" s="166"/>
      <c r="AD282" s="166"/>
      <c r="AE282" s="166"/>
      <c r="AF282" s="302">
        <f t="shared" ref="AF282:BI282" si="972">AF281/AF185</f>
        <v>7.4578910991804123E-2</v>
      </c>
      <c r="AG282" s="166">
        <f t="shared" si="972"/>
        <v>7.0614611928573323E-2</v>
      </c>
      <c r="AH282" s="166">
        <f t="shared" si="972"/>
        <v>6.2613300257609014E-2</v>
      </c>
      <c r="AI282" s="166">
        <f t="shared" si="972"/>
        <v>8.6465967206200242E-2</v>
      </c>
      <c r="AJ282" s="166">
        <f t="shared" si="972"/>
        <v>0.18443997317236754</v>
      </c>
      <c r="AK282" s="302">
        <f t="shared" si="972"/>
        <v>0.18443997317236754</v>
      </c>
      <c r="AL282" s="166">
        <f t="shared" si="972"/>
        <v>0.23101467772814294</v>
      </c>
      <c r="AM282" s="166">
        <f t="shared" si="972"/>
        <v>0.25969230769230767</v>
      </c>
      <c r="AN282" s="166">
        <f t="shared" si="972"/>
        <v>0.2767857142857143</v>
      </c>
      <c r="AO282" s="166">
        <f t="shared" si="972"/>
        <v>0.30160550458715596</v>
      </c>
      <c r="AP282" s="302">
        <f t="shared" si="972"/>
        <v>0.30160550458715596</v>
      </c>
      <c r="AQ282" s="166">
        <f t="shared" si="972"/>
        <v>0.31599955649185052</v>
      </c>
      <c r="AR282" s="166">
        <f t="shared" si="972"/>
        <v>0.33192090395480223</v>
      </c>
      <c r="AS282" s="166">
        <f t="shared" si="972"/>
        <v>0.31114403640596888</v>
      </c>
      <c r="AT282" s="166">
        <f t="shared" si="972"/>
        <v>0.31328190158465385</v>
      </c>
      <c r="AU282" s="302">
        <f t="shared" si="972"/>
        <v>0.31484570475396162</v>
      </c>
      <c r="AV282" s="166">
        <f t="shared" si="972"/>
        <v>0.31237006237006237</v>
      </c>
      <c r="AW282" s="166">
        <f t="shared" si="972"/>
        <v>0.31456529535324557</v>
      </c>
      <c r="AX282" s="166">
        <f t="shared" si="972"/>
        <v>0.31006201240248049</v>
      </c>
      <c r="AY282" s="166">
        <f t="shared" si="972"/>
        <v>0.32347235693501453</v>
      </c>
      <c r="AZ282" s="302">
        <f t="shared" si="972"/>
        <v>0.32347235693501453</v>
      </c>
      <c r="BA282" s="166">
        <f t="shared" si="972"/>
        <v>0.31127313516545152</v>
      </c>
      <c r="BB282" s="166">
        <f t="shared" si="972"/>
        <v>0.30230348011042224</v>
      </c>
      <c r="BC282" s="166">
        <f t="shared" si="972"/>
        <v>0.29507475813544415</v>
      </c>
      <c r="BD282" s="166">
        <f t="shared" si="972"/>
        <v>0.29038346058162473</v>
      </c>
      <c r="BE282" s="302">
        <f t="shared" si="972"/>
        <v>0.29038346058162473</v>
      </c>
      <c r="BF282" s="166">
        <f t="shared" si="972"/>
        <v>0.28506367546596939</v>
      </c>
      <c r="BG282" s="166">
        <f t="shared" si="972"/>
        <v>0.27432754791478153</v>
      </c>
      <c r="BH282" s="166">
        <f t="shared" si="972"/>
        <v>0.27408368472267269</v>
      </c>
      <c r="BI282" s="166">
        <f t="shared" si="972"/>
        <v>0.26211278792692611</v>
      </c>
      <c r="BJ282" s="302">
        <f t="shared" ref="BJ282:BR282" si="973">BJ281/BJ185</f>
        <v>0.26211278792692611</v>
      </c>
      <c r="BK282" s="166">
        <f t="shared" si="973"/>
        <v>0.2537717601547389</v>
      </c>
      <c r="BL282" s="166">
        <f t="shared" si="973"/>
        <v>0.24284638554216867</v>
      </c>
      <c r="BM282" s="166">
        <f t="shared" si="973"/>
        <v>0.23346729996346366</v>
      </c>
      <c r="BN282" s="166">
        <f t="shared" si="973"/>
        <v>0.22714285714285715</v>
      </c>
      <c r="BO282" s="302">
        <f t="shared" si="973"/>
        <v>0.22714285714285715</v>
      </c>
      <c r="BP282" s="166">
        <f t="shared" si="973"/>
        <v>0.21957123098201936</v>
      </c>
      <c r="BQ282" s="166">
        <f t="shared" si="973"/>
        <v>0.2122848464394195</v>
      </c>
      <c r="BR282" s="166">
        <f t="shared" si="973"/>
        <v>0.20671494404213298</v>
      </c>
      <c r="BS282" s="166">
        <f t="shared" ref="BS282:BZ282" si="974">BS281/BS185</f>
        <v>0.19942196531791909</v>
      </c>
      <c r="BT282" s="302">
        <f t="shared" si="974"/>
        <v>0.19942196531791909</v>
      </c>
      <c r="BU282" s="166">
        <f t="shared" si="974"/>
        <v>0.18681318681318682</v>
      </c>
      <c r="BV282" s="166">
        <f>BV281/BV185</f>
        <v>0.17970660146699266</v>
      </c>
      <c r="BW282" s="166">
        <f>BW281/BW185</f>
        <v>0.17491749174917492</v>
      </c>
      <c r="BX282" s="166">
        <f t="shared" si="974"/>
        <v>0.16932153392330385</v>
      </c>
      <c r="BY282" s="302">
        <f t="shared" si="974"/>
        <v>0.16932153392330385</v>
      </c>
      <c r="BZ282" s="166">
        <f t="shared" si="974"/>
        <v>0.16604424016087332</v>
      </c>
      <c r="CA282" s="166">
        <f t="shared" ref="CA282:CM282" si="975">CA281/CA185</f>
        <v>0.16011157601115761</v>
      </c>
      <c r="CB282" s="166">
        <f t="shared" si="975"/>
        <v>0.15231965674443551</v>
      </c>
      <c r="CC282" s="166">
        <f t="shared" si="975"/>
        <v>0.15005192107995846</v>
      </c>
      <c r="CD282" s="302">
        <f t="shared" si="975"/>
        <v>0.15005192107995846</v>
      </c>
      <c r="CE282" s="166">
        <f t="shared" si="975"/>
        <v>0.14260519022423784</v>
      </c>
      <c r="CF282" s="166">
        <f t="shared" si="975"/>
        <v>0.13772749631087064</v>
      </c>
      <c r="CG282" s="166">
        <f t="shared" si="975"/>
        <v>0.1335097426028386</v>
      </c>
      <c r="CH282" s="166">
        <f t="shared" si="975"/>
        <v>0.12879679773958089</v>
      </c>
      <c r="CI282" s="302">
        <f t="shared" si="975"/>
        <v>0.12879679773958089</v>
      </c>
      <c r="CJ282" s="166">
        <f t="shared" si="975"/>
        <v>0.10464310464310464</v>
      </c>
      <c r="CK282" s="166">
        <f t="shared" si="975"/>
        <v>0.11992786293958521</v>
      </c>
      <c r="CL282" s="166">
        <f t="shared" si="975"/>
        <v>0.11537608165076547</v>
      </c>
      <c r="CM282" s="166">
        <f t="shared" si="975"/>
        <v>0.1117798796216681</v>
      </c>
      <c r="CN282" s="302">
        <f t="shared" ref="CN282:CR282" si="976">CN281/CN185</f>
        <v>0.1117798796216681</v>
      </c>
      <c r="CO282" s="166">
        <f t="shared" si="976"/>
        <v>0.10990406141851751</v>
      </c>
      <c r="CP282" s="166">
        <f t="shared" si="976"/>
        <v>0.10754810599928327</v>
      </c>
      <c r="CQ282" s="166">
        <f t="shared" si="976"/>
        <v>0.10518403590249444</v>
      </c>
      <c r="CR282" s="166">
        <f t="shared" si="976"/>
        <v>0.10415871411558388</v>
      </c>
      <c r="CS282" s="302">
        <f t="shared" ref="CS282" si="977">CS281/CS185</f>
        <v>0.10415871411558392</v>
      </c>
      <c r="CT282" s="167"/>
      <c r="CU282" s="167"/>
      <c r="CV282" s="167"/>
      <c r="CW282" s="167"/>
      <c r="CX282" s="302">
        <f>CX281/CX185</f>
        <v>9.5326379566297373E-2</v>
      </c>
      <c r="CY282" s="167"/>
      <c r="CZ282" s="167"/>
      <c r="DA282" s="167"/>
      <c r="DB282" s="167"/>
      <c r="DC282" s="302">
        <f>DC281/DC185</f>
        <v>8.842573645346051E-2</v>
      </c>
      <c r="DD282" s="100"/>
      <c r="DE282" s="457"/>
      <c r="DJ282" s="399"/>
      <c r="DK282" s="411"/>
      <c r="DL282" s="411"/>
      <c r="DM282" s="411"/>
      <c r="DN282" s="411"/>
      <c r="DO282" s="411"/>
      <c r="DP282" s="411"/>
      <c r="DQ282" s="396"/>
      <c r="DR282" s="493"/>
      <c r="DS282" s="154"/>
    </row>
    <row r="283" spans="1:143" x14ac:dyDescent="0.2">
      <c r="A283" s="161" t="s">
        <v>60</v>
      </c>
      <c r="B283" s="310"/>
      <c r="C283" s="161"/>
      <c r="D283" s="161"/>
      <c r="E283" s="161"/>
      <c r="F283" s="161"/>
      <c r="G283" s="310">
        <f>G281+G280+G279</f>
        <v>307.25700000000001</v>
      </c>
      <c r="H283" s="168"/>
      <c r="I283" s="168"/>
      <c r="J283" s="168"/>
      <c r="K283" s="168"/>
      <c r="L283" s="310">
        <f>L281+L280+L279</f>
        <v>511.81400000000002</v>
      </c>
      <c r="M283" s="168"/>
      <c r="N283" s="168"/>
      <c r="O283" s="168"/>
      <c r="P283" s="168"/>
      <c r="Q283" s="310">
        <f>Q281+Q280+Q279</f>
        <v>694.58600000000001</v>
      </c>
      <c r="R283" s="168"/>
      <c r="S283" s="168"/>
      <c r="T283" s="168"/>
      <c r="U283" s="168"/>
      <c r="V283" s="310">
        <f>V281+V280+V279</f>
        <v>1145.002</v>
      </c>
      <c r="W283" s="168"/>
      <c r="X283" s="168"/>
      <c r="Y283" s="168"/>
      <c r="Z283" s="168"/>
      <c r="AA283" s="310">
        <f>AA281+AA280+AA279</f>
        <v>1556.4460000000001</v>
      </c>
      <c r="AB283" s="168"/>
      <c r="AC283" s="168"/>
      <c r="AD283" s="168"/>
      <c r="AE283" s="168"/>
      <c r="AF283" s="310">
        <f>AF281+AF280+AF279</f>
        <v>2305</v>
      </c>
      <c r="AG283" s="168">
        <f t="shared" ref="AG283:AZ283" si="978">AG281+AG280+AG279</f>
        <v>2382</v>
      </c>
      <c r="AH283" s="168">
        <f t="shared" si="978"/>
        <v>2546</v>
      </c>
      <c r="AI283" s="168">
        <f t="shared" si="978"/>
        <v>2645</v>
      </c>
      <c r="AJ283" s="168">
        <f t="shared" si="978"/>
        <v>3037</v>
      </c>
      <c r="AK283" s="310">
        <f t="shared" si="978"/>
        <v>3037</v>
      </c>
      <c r="AL283" s="168">
        <f t="shared" si="978"/>
        <v>3161</v>
      </c>
      <c r="AM283" s="168">
        <f t="shared" si="978"/>
        <v>3314</v>
      </c>
      <c r="AN283" s="168">
        <f t="shared" si="978"/>
        <v>3213</v>
      </c>
      <c r="AO283" s="168">
        <f t="shared" si="978"/>
        <v>3306</v>
      </c>
      <c r="AP283" s="310">
        <f t="shared" si="978"/>
        <v>3306</v>
      </c>
      <c r="AQ283" s="168">
        <f t="shared" si="978"/>
        <v>3454</v>
      </c>
      <c r="AR283" s="168">
        <f t="shared" si="978"/>
        <v>3730</v>
      </c>
      <c r="AS283" s="168">
        <f t="shared" si="978"/>
        <v>3700</v>
      </c>
      <c r="AT283" s="168">
        <f t="shared" si="978"/>
        <v>3681</v>
      </c>
      <c r="AU283" s="310">
        <f t="shared" si="978"/>
        <v>3681</v>
      </c>
      <c r="AV283" s="168">
        <f t="shared" si="978"/>
        <v>3787</v>
      </c>
      <c r="AW283" s="168">
        <f>AW281+AW280+AW279</f>
        <v>3898</v>
      </c>
      <c r="AX283" s="168">
        <f t="shared" si="978"/>
        <v>3821</v>
      </c>
      <c r="AY283" s="168">
        <f t="shared" si="978"/>
        <v>3846</v>
      </c>
      <c r="AZ283" s="311">
        <f t="shared" si="978"/>
        <v>3846</v>
      </c>
      <c r="BA283" s="168">
        <f t="shared" ref="BA283:BJ283" si="979">BA281+BA280+BA279</f>
        <v>3807</v>
      </c>
      <c r="BB283" s="168">
        <f t="shared" si="979"/>
        <v>3844</v>
      </c>
      <c r="BC283" s="168">
        <f t="shared" si="979"/>
        <v>3869</v>
      </c>
      <c r="BD283" s="168">
        <f t="shared" si="979"/>
        <v>3854</v>
      </c>
      <c r="BE283" s="311">
        <f t="shared" si="979"/>
        <v>3854</v>
      </c>
      <c r="BF283" s="168">
        <f t="shared" si="979"/>
        <v>3895</v>
      </c>
      <c r="BG283" s="168">
        <f t="shared" si="979"/>
        <v>3908</v>
      </c>
      <c r="BH283" s="168">
        <f t="shared" si="979"/>
        <v>3908</v>
      </c>
      <c r="BI283" s="168">
        <f>BI281+BI280+BI279</f>
        <v>3902</v>
      </c>
      <c r="BJ283" s="311">
        <f t="shared" si="979"/>
        <v>3902</v>
      </c>
      <c r="BK283" s="168">
        <f>BK281+BK280+BK279</f>
        <v>3863</v>
      </c>
      <c r="BL283" s="168">
        <f>BL281+BL280+BL279</f>
        <v>3713</v>
      </c>
      <c r="BM283" s="168">
        <f t="shared" ref="BM283:BR283" si="980">BM281+BM280+BM279</f>
        <v>3713</v>
      </c>
      <c r="BN283" s="168">
        <f t="shared" si="980"/>
        <v>3574</v>
      </c>
      <c r="BO283" s="311">
        <f t="shared" si="980"/>
        <v>3574</v>
      </c>
      <c r="BP283" s="168">
        <f t="shared" si="980"/>
        <v>3375</v>
      </c>
      <c r="BQ283" s="168">
        <f t="shared" si="980"/>
        <v>3314</v>
      </c>
      <c r="BR283" s="168">
        <f t="shared" si="980"/>
        <v>3393</v>
      </c>
      <c r="BS283" s="168">
        <f t="shared" ref="BS283:BZ283" si="981">BS281+BS280+BS279</f>
        <v>3342</v>
      </c>
      <c r="BT283" s="311">
        <f t="shared" si="981"/>
        <v>3342</v>
      </c>
      <c r="BU283" s="168">
        <f>BU281+BU280+BU279</f>
        <v>3534</v>
      </c>
      <c r="BV283" s="168">
        <f>BV281+BV280+BV279</f>
        <v>3408</v>
      </c>
      <c r="BW283" s="168">
        <f>BW281+BW280+BW279</f>
        <v>3440</v>
      </c>
      <c r="BX283" s="168">
        <f t="shared" si="981"/>
        <v>3374</v>
      </c>
      <c r="BY283" s="311">
        <f t="shared" si="981"/>
        <v>3374</v>
      </c>
      <c r="BZ283" s="168">
        <f t="shared" si="981"/>
        <v>3392</v>
      </c>
      <c r="CA283" s="168">
        <f t="shared" ref="CA283:CM283" si="982">CA281+CA280+CA279</f>
        <v>3338</v>
      </c>
      <c r="CB283" s="168">
        <f t="shared" si="982"/>
        <v>3352</v>
      </c>
      <c r="CC283" s="168">
        <f t="shared" si="982"/>
        <v>3175</v>
      </c>
      <c r="CD283" s="311">
        <f t="shared" si="982"/>
        <v>3175</v>
      </c>
      <c r="CE283" s="168">
        <f t="shared" si="982"/>
        <v>3174</v>
      </c>
      <c r="CF283" s="168">
        <f t="shared" si="982"/>
        <v>3201</v>
      </c>
      <c r="CG283" s="168">
        <f t="shared" si="982"/>
        <v>3228</v>
      </c>
      <c r="CH283" s="168">
        <f t="shared" si="982"/>
        <v>3251</v>
      </c>
      <c r="CI283" s="311">
        <f t="shared" si="982"/>
        <v>3251</v>
      </c>
      <c r="CJ283" s="168">
        <f t="shared" si="982"/>
        <v>3059</v>
      </c>
      <c r="CK283" s="168">
        <f t="shared" si="982"/>
        <v>3066</v>
      </c>
      <c r="CL283" s="168">
        <f t="shared" si="982"/>
        <v>3106</v>
      </c>
      <c r="CM283" s="168">
        <f t="shared" si="982"/>
        <v>3438.6239999999998</v>
      </c>
      <c r="CN283" s="311">
        <f t="shared" ref="CN283:CR283" si="983">CN281+CN280+CN279</f>
        <v>3438.6239999999998</v>
      </c>
      <c r="CO283" s="168">
        <f t="shared" si="983"/>
        <v>3453.9641253729251</v>
      </c>
      <c r="CP283" s="168">
        <f t="shared" si="983"/>
        <v>3488.5885143794053</v>
      </c>
      <c r="CQ283" s="168">
        <f t="shared" si="983"/>
        <v>3551.3291124870811</v>
      </c>
      <c r="CR283" s="168">
        <f t="shared" si="983"/>
        <v>3598.1176143514876</v>
      </c>
      <c r="CS283" s="311">
        <f t="shared" ref="CS283" si="984">CS281+CS280+CS279</f>
        <v>3598.1176143514876</v>
      </c>
      <c r="CT283" s="168"/>
      <c r="CU283" s="168"/>
      <c r="CV283" s="168"/>
      <c r="CW283" s="168"/>
      <c r="CX283" s="311">
        <f>CX281+CX280+CX279</f>
        <v>3761.3004034051264</v>
      </c>
      <c r="CY283" s="168"/>
      <c r="CZ283" s="168"/>
      <c r="DA283" s="168"/>
      <c r="DB283" s="168"/>
      <c r="DC283" s="311">
        <f>DC281+DC280+DC279</f>
        <v>4066.5113299835389</v>
      </c>
      <c r="DD283" s="152"/>
      <c r="DE283" s="476"/>
      <c r="DJ283" s="413"/>
      <c r="DK283" s="411"/>
      <c r="DL283" s="411"/>
      <c r="DM283" s="411"/>
      <c r="DN283" s="411"/>
      <c r="DO283" s="411"/>
      <c r="DP283" s="411"/>
      <c r="DQ283" s="411"/>
      <c r="DR283" s="508"/>
      <c r="DS283" s="161"/>
    </row>
    <row r="284" spans="1:143" x14ac:dyDescent="0.2">
      <c r="A284" s="219" t="s">
        <v>13</v>
      </c>
      <c r="B284" s="303"/>
      <c r="C284" s="224"/>
      <c r="D284" s="224"/>
      <c r="E284" s="224"/>
      <c r="F284" s="224"/>
      <c r="G284" s="303">
        <f>G281+G280+G279+G278</f>
        <v>398.28100000000001</v>
      </c>
      <c r="H284" s="224"/>
      <c r="I284" s="224"/>
      <c r="J284" s="224"/>
      <c r="K284" s="224"/>
      <c r="L284" s="303">
        <f>L281+L280+L279+L278</f>
        <v>663.12599999999998</v>
      </c>
      <c r="M284" s="834"/>
      <c r="N284" s="834"/>
      <c r="O284" s="834"/>
      <c r="P284" s="834"/>
      <c r="Q284" s="303">
        <f>Q281+Q280+Q279+Q278</f>
        <v>964.25</v>
      </c>
      <c r="R284" s="834"/>
      <c r="S284" s="834"/>
      <c r="T284" s="834"/>
      <c r="U284" s="834"/>
      <c r="V284" s="303">
        <f>V281+V280+V279+V278</f>
        <v>1514.6210000000001</v>
      </c>
      <c r="W284" s="834"/>
      <c r="X284" s="834"/>
      <c r="Y284" s="834"/>
      <c r="Z284" s="834"/>
      <c r="AA284" s="303">
        <f>AA281+AA280+AA279+AA278</f>
        <v>2042.4440000000002</v>
      </c>
      <c r="AB284" s="834"/>
      <c r="AC284" s="834"/>
      <c r="AD284" s="834"/>
      <c r="AE284" s="834"/>
      <c r="AF284" s="303">
        <f>AF281+AF280+AF279+AF278</f>
        <v>2981</v>
      </c>
      <c r="AG284" s="834">
        <v>3179</v>
      </c>
      <c r="AH284" s="834">
        <v>3388</v>
      </c>
      <c r="AI284" s="834">
        <v>3512</v>
      </c>
      <c r="AJ284" s="834">
        <v>3891</v>
      </c>
      <c r="AK284" s="303">
        <f>AK281+AK280+AK279+AK278</f>
        <v>3891</v>
      </c>
      <c r="AL284" s="834">
        <v>4185</v>
      </c>
      <c r="AM284" s="834">
        <v>4363</v>
      </c>
      <c r="AN284" s="834">
        <v>4437</v>
      </c>
      <c r="AO284" s="834">
        <v>4562</v>
      </c>
      <c r="AP284" s="303">
        <f>AP281+AP280+AP279+AP278</f>
        <v>4562</v>
      </c>
      <c r="AQ284" s="834">
        <v>4721</v>
      </c>
      <c r="AR284" s="834">
        <v>5090</v>
      </c>
      <c r="AS284" s="834">
        <v>4803</v>
      </c>
      <c r="AT284" s="834">
        <f>AU284</f>
        <v>4762</v>
      </c>
      <c r="AU284" s="303">
        <f>AU281+AU280+AU279+AU278</f>
        <v>4762</v>
      </c>
      <c r="AV284" s="834">
        <v>4846</v>
      </c>
      <c r="AW284" s="834">
        <f>1128+517+318+3063</f>
        <v>5026</v>
      </c>
      <c r="AX284" s="834">
        <f>1201+2972+523+326</f>
        <v>5022</v>
      </c>
      <c r="AY284" s="834">
        <f>1169+2920+529+397</f>
        <v>5015</v>
      </c>
      <c r="AZ284" s="303">
        <f>AZ281+AZ280+AZ279+AZ278</f>
        <v>5015</v>
      </c>
      <c r="BA284" s="834">
        <f>1172+2882+528+397</f>
        <v>4979</v>
      </c>
      <c r="BB284" s="834">
        <f>1190+2896+530+418</f>
        <v>5034</v>
      </c>
      <c r="BC284" s="834">
        <f>1126+2880+531+458</f>
        <v>4995</v>
      </c>
      <c r="BD284" s="834">
        <f>1085+2850+533+471</f>
        <v>4939</v>
      </c>
      <c r="BE284" s="303">
        <f>BE281+BE280+BE279+BE278</f>
        <v>4939</v>
      </c>
      <c r="BF284" s="834">
        <f>1271+2890+531+329+145</f>
        <v>5166</v>
      </c>
      <c r="BG284" s="834">
        <v>5218</v>
      </c>
      <c r="BH284" s="834">
        <f>1296+2864+527+517</f>
        <v>5204</v>
      </c>
      <c r="BI284" s="834">
        <f>7071-1757</f>
        <v>5314</v>
      </c>
      <c r="BJ284" s="303">
        <f>BJ281+BJ280+BJ279+BJ278</f>
        <v>5314</v>
      </c>
      <c r="BK284" s="834">
        <f>7143-1801</f>
        <v>5342</v>
      </c>
      <c r="BL284" s="834">
        <f>7132-1841</f>
        <v>5291</v>
      </c>
      <c r="BM284" s="834">
        <f>7141-1903</f>
        <v>5238</v>
      </c>
      <c r="BN284" s="834">
        <f>7070-1888</f>
        <v>5182</v>
      </c>
      <c r="BO284" s="303">
        <f>BO281+BO280+BO279+BO278</f>
        <v>5182</v>
      </c>
      <c r="BP284" s="834">
        <f>7234-1897</f>
        <v>5337</v>
      </c>
      <c r="BQ284" s="834">
        <f>7368-1932</f>
        <v>5436</v>
      </c>
      <c r="BR284" s="834">
        <f>7444-2018</f>
        <v>5426</v>
      </c>
      <c r="BS284" s="834">
        <f>7350-2134</f>
        <v>5216</v>
      </c>
      <c r="BT284" s="303">
        <f>BT281+BT280+BT279+BT278</f>
        <v>5216</v>
      </c>
      <c r="BU284" s="834">
        <f>7645-2136</f>
        <v>5509</v>
      </c>
      <c r="BV284" s="834">
        <f>7657-2315</f>
        <v>5342</v>
      </c>
      <c r="BW284" s="834">
        <f>7741-2386</f>
        <v>5355</v>
      </c>
      <c r="BX284" s="834">
        <f>7839-2529</f>
        <v>5310</v>
      </c>
      <c r="BY284" s="303">
        <f>BY281+BY280+BY279+BY278</f>
        <v>5310</v>
      </c>
      <c r="BZ284" s="834">
        <f>8304-2709</f>
        <v>5595</v>
      </c>
      <c r="CA284" s="834">
        <f>8317-2793</f>
        <v>5524</v>
      </c>
      <c r="CB284" s="834">
        <f>8594-3017</f>
        <v>5577</v>
      </c>
      <c r="CC284" s="834">
        <f>8660-3210</f>
        <v>5450</v>
      </c>
      <c r="CD284" s="303">
        <f t="shared" ref="CD284:CM284" si="985">CD281+CD280+CD279+CD278</f>
        <v>5450</v>
      </c>
      <c r="CE284" s="834">
        <f>9062-3414</f>
        <v>5648</v>
      </c>
      <c r="CF284" s="834">
        <f>9458-3644</f>
        <v>5814</v>
      </c>
      <c r="CG284" s="834">
        <f>9579-3846</f>
        <v>5733</v>
      </c>
      <c r="CH284" s="834">
        <f>9487-4013</f>
        <v>5474</v>
      </c>
      <c r="CI284" s="303">
        <f t="shared" si="985"/>
        <v>5474</v>
      </c>
      <c r="CJ284" s="834">
        <f>9473-3992</f>
        <v>5481</v>
      </c>
      <c r="CK284" s="834">
        <f>9644-4080</f>
        <v>5564</v>
      </c>
      <c r="CL284" s="834">
        <f>9596-4139</f>
        <v>5457</v>
      </c>
      <c r="CM284" s="224">
        <f t="shared" si="985"/>
        <v>5858.8040000000001</v>
      </c>
      <c r="CN284" s="303">
        <f t="shared" ref="CN284:CR284" si="986">CN281+CN280+CN279+CN278</f>
        <v>5858.8040000000001</v>
      </c>
      <c r="CO284" s="224">
        <f t="shared" si="986"/>
        <v>6033.4588827638036</v>
      </c>
      <c r="CP284" s="224">
        <f t="shared" si="986"/>
        <v>6084.6238992543131</v>
      </c>
      <c r="CQ284" s="224">
        <f t="shared" si="986"/>
        <v>6027.3306251902823</v>
      </c>
      <c r="CR284" s="224">
        <f t="shared" si="986"/>
        <v>6137.3089556633868</v>
      </c>
      <c r="CS284" s="303">
        <f t="shared" ref="CS284" si="987">CS281+CS280+CS279+CS278</f>
        <v>6137.3089556633868</v>
      </c>
      <c r="CT284" s="224"/>
      <c r="CU284" s="224"/>
      <c r="CV284" s="224"/>
      <c r="CW284" s="224"/>
      <c r="CX284" s="303">
        <f>CX281+CX280+CX279+CX278</f>
        <v>6490.9228754085725</v>
      </c>
      <c r="CY284" s="224"/>
      <c r="CZ284" s="224"/>
      <c r="DA284" s="224"/>
      <c r="DB284" s="224"/>
      <c r="DC284" s="303">
        <f>DC281+DC280+DC279+DC278</f>
        <v>6987.6459510314835</v>
      </c>
      <c r="DD284" s="152"/>
      <c r="DE284" s="476"/>
      <c r="DJ284" s="413"/>
      <c r="DK284" s="411"/>
      <c r="DL284" s="411"/>
      <c r="DM284" s="410"/>
      <c r="DN284" s="411"/>
      <c r="DO284" s="411"/>
      <c r="DP284" s="411"/>
      <c r="DQ284" s="411"/>
      <c r="DR284" s="508"/>
      <c r="DS284" s="528"/>
      <c r="DZ284" s="225"/>
      <c r="EA284" s="225"/>
    </row>
    <row r="285" spans="1:143" s="7" customFormat="1" x14ac:dyDescent="0.2">
      <c r="A285" s="7" t="s">
        <v>216</v>
      </c>
      <c r="B285" s="260"/>
      <c r="G285" s="260"/>
      <c r="L285" s="260"/>
      <c r="Q285" s="260"/>
      <c r="V285" s="260"/>
      <c r="AA285" s="260"/>
      <c r="AF285" s="260"/>
      <c r="AK285" s="260"/>
      <c r="AP285" s="260"/>
      <c r="AU285" s="260"/>
      <c r="AZ285" s="260"/>
      <c r="BE285" s="260"/>
      <c r="BJ285" s="260"/>
      <c r="BO285" s="260"/>
      <c r="BT285" s="260"/>
      <c r="BY285" s="260"/>
      <c r="CD285" s="260"/>
      <c r="CI285" s="260"/>
      <c r="CN285" s="260"/>
      <c r="CS285" s="260"/>
      <c r="CX285" s="260"/>
      <c r="DC285" s="260"/>
      <c r="DD285" s="363"/>
      <c r="DE285" s="6"/>
      <c r="DF285" s="363"/>
      <c r="DG285" s="363"/>
      <c r="DH285" s="363"/>
      <c r="DI285" s="363"/>
      <c r="DJ285" s="435"/>
      <c r="DK285" s="393"/>
      <c r="DL285" s="393"/>
      <c r="DM285" s="393"/>
      <c r="DN285" s="393"/>
      <c r="DO285" s="393"/>
      <c r="DP285" s="393"/>
      <c r="DQ285" s="393"/>
      <c r="DR285" s="6"/>
      <c r="DS285" s="363"/>
      <c r="DT285"/>
      <c r="DU285"/>
      <c r="DV285"/>
      <c r="DW285"/>
      <c r="DX285"/>
      <c r="DY285"/>
    </row>
    <row r="286" spans="1:143" x14ac:dyDescent="0.2">
      <c r="A286" s="162" t="s">
        <v>312</v>
      </c>
      <c r="B286" s="300"/>
      <c r="C286" s="141"/>
      <c r="D286" s="141"/>
      <c r="E286" s="141"/>
      <c r="F286" s="141"/>
      <c r="G286" s="853">
        <f>0.044</f>
        <v>4.3999999999999997E-2</v>
      </c>
      <c r="H286" s="141"/>
      <c r="I286" s="141"/>
      <c r="J286" s="141"/>
      <c r="K286" s="141"/>
      <c r="L286" s="853">
        <v>6.5000000000000002E-2</v>
      </c>
      <c r="M286" s="832"/>
      <c r="N286" s="832"/>
      <c r="O286" s="832"/>
      <c r="P286" s="832"/>
      <c r="Q286" s="853">
        <v>0.95599999999999996</v>
      </c>
      <c r="R286" s="832"/>
      <c r="S286" s="832"/>
      <c r="T286" s="832"/>
      <c r="U286" s="832"/>
      <c r="V286" s="853">
        <v>1.0209999999999999</v>
      </c>
      <c r="W286" s="832"/>
      <c r="X286" s="832"/>
      <c r="Y286" s="832"/>
      <c r="Z286" s="832"/>
      <c r="AA286" s="853">
        <v>1.042</v>
      </c>
      <c r="AB286" s="832"/>
      <c r="AC286" s="832"/>
      <c r="AD286" s="832"/>
      <c r="AE286" s="832"/>
      <c r="AF286" s="853">
        <v>2</v>
      </c>
      <c r="AG286" s="832">
        <v>2</v>
      </c>
      <c r="AH286" s="832">
        <v>2</v>
      </c>
      <c r="AI286" s="832">
        <v>2</v>
      </c>
      <c r="AJ286" s="832">
        <v>2</v>
      </c>
      <c r="AK286" s="300">
        <v>2</v>
      </c>
      <c r="AL286" s="832">
        <v>2</v>
      </c>
      <c r="AM286" s="832">
        <v>2</v>
      </c>
      <c r="AN286" s="832">
        <v>2</v>
      </c>
      <c r="AO286" s="832">
        <v>2</v>
      </c>
      <c r="AP286" s="300">
        <v>2</v>
      </c>
      <c r="AQ286" s="832">
        <v>2</v>
      </c>
      <c r="AR286" s="832">
        <v>3</v>
      </c>
      <c r="AS286" s="832">
        <v>3</v>
      </c>
      <c r="AT286" s="832">
        <v>3</v>
      </c>
      <c r="AU286" s="300">
        <v>3</v>
      </c>
      <c r="AV286" s="832">
        <v>3</v>
      </c>
      <c r="AW286" s="832">
        <v>3</v>
      </c>
      <c r="AX286" s="832">
        <v>3</v>
      </c>
      <c r="AY286" s="832">
        <v>3</v>
      </c>
      <c r="AZ286" s="300">
        <f>AY286</f>
        <v>3</v>
      </c>
      <c r="BA286" s="832">
        <v>3</v>
      </c>
      <c r="BB286" s="832">
        <v>3</v>
      </c>
      <c r="BC286" s="832">
        <v>3</v>
      </c>
      <c r="BD286" s="832">
        <v>3</v>
      </c>
      <c r="BE286" s="300">
        <f>BD286</f>
        <v>3</v>
      </c>
      <c r="BF286" s="832">
        <v>3</v>
      </c>
      <c r="BG286" s="832">
        <v>3</v>
      </c>
      <c r="BH286" s="832">
        <v>3</v>
      </c>
      <c r="BI286" s="832">
        <v>3</v>
      </c>
      <c r="BJ286" s="300">
        <f>BI286</f>
        <v>3</v>
      </c>
      <c r="BK286" s="832">
        <v>3</v>
      </c>
      <c r="BL286" s="832">
        <v>3</v>
      </c>
      <c r="BM286" s="832">
        <v>3</v>
      </c>
      <c r="BN286" s="832">
        <v>3</v>
      </c>
      <c r="BO286" s="300">
        <f>BN286</f>
        <v>3</v>
      </c>
      <c r="BP286" s="832">
        <v>3</v>
      </c>
      <c r="BQ286" s="832">
        <v>3</v>
      </c>
      <c r="BR286" s="832">
        <v>3</v>
      </c>
      <c r="BS286" s="832">
        <v>3</v>
      </c>
      <c r="BT286" s="300">
        <f>BS286</f>
        <v>3</v>
      </c>
      <c r="BU286" s="832">
        <v>3</v>
      </c>
      <c r="BV286" s="832">
        <v>4</v>
      </c>
      <c r="BW286" s="832">
        <v>4</v>
      </c>
      <c r="BX286" s="832">
        <v>4</v>
      </c>
      <c r="BY286" s="300">
        <f>BX286</f>
        <v>4</v>
      </c>
      <c r="BZ286" s="832">
        <v>4</v>
      </c>
      <c r="CA286" s="832">
        <v>4</v>
      </c>
      <c r="CB286" s="832">
        <v>4</v>
      </c>
      <c r="CC286" s="832">
        <v>4</v>
      </c>
      <c r="CD286" s="300">
        <f t="shared" ref="CD286:CS286" si="988">CC286</f>
        <v>4</v>
      </c>
      <c r="CE286" s="832">
        <v>4</v>
      </c>
      <c r="CF286" s="832">
        <v>4</v>
      </c>
      <c r="CG286" s="832">
        <v>4</v>
      </c>
      <c r="CH286" s="832">
        <v>4</v>
      </c>
      <c r="CI286" s="300">
        <f t="shared" si="988"/>
        <v>4</v>
      </c>
      <c r="CJ286" s="832">
        <v>4</v>
      </c>
      <c r="CK286" s="832">
        <v>4</v>
      </c>
      <c r="CL286" s="832">
        <v>4</v>
      </c>
      <c r="CM286" s="141">
        <f t="shared" si="988"/>
        <v>4</v>
      </c>
      <c r="CN286" s="300">
        <f t="shared" ref="CN286" si="989">CM286</f>
        <v>4</v>
      </c>
      <c r="CO286" s="141">
        <f t="shared" si="988"/>
        <v>4</v>
      </c>
      <c r="CP286" s="141">
        <f t="shared" si="988"/>
        <v>4</v>
      </c>
      <c r="CQ286" s="141">
        <f t="shared" si="988"/>
        <v>4</v>
      </c>
      <c r="CR286" s="141">
        <f t="shared" si="988"/>
        <v>4</v>
      </c>
      <c r="CS286" s="300">
        <f t="shared" si="988"/>
        <v>4</v>
      </c>
      <c r="CT286" s="141"/>
      <c r="CU286" s="141"/>
      <c r="CV286" s="141"/>
      <c r="CW286" s="141"/>
      <c r="CX286" s="300">
        <f>CS286</f>
        <v>4</v>
      </c>
      <c r="CY286" s="141"/>
      <c r="CZ286" s="141"/>
      <c r="DA286" s="141"/>
      <c r="DB286" s="141"/>
      <c r="DC286" s="300">
        <f>CX286</f>
        <v>4</v>
      </c>
      <c r="DD286" s="132"/>
      <c r="DE286" s="471"/>
      <c r="DJ286" s="413"/>
      <c r="DK286" s="413"/>
      <c r="DL286" s="413"/>
      <c r="DM286" s="413"/>
      <c r="DN286" s="413"/>
      <c r="DO286" s="413"/>
      <c r="DP286" s="413"/>
      <c r="DQ286" s="413"/>
      <c r="DR286" s="510"/>
      <c r="DS286" s="141"/>
      <c r="EB286" s="387"/>
      <c r="EC286" s="387"/>
      <c r="ED286" s="387"/>
      <c r="EE286" s="387"/>
      <c r="EF286" s="387"/>
      <c r="EG286" s="387"/>
      <c r="EH286" s="387"/>
      <c r="EI286" s="387"/>
      <c r="EJ286" s="387"/>
      <c r="EK286" s="387"/>
      <c r="EL286" s="387"/>
      <c r="EM286" s="387"/>
    </row>
    <row r="287" spans="1:143" x14ac:dyDescent="0.2">
      <c r="A287" s="162" t="s">
        <v>14</v>
      </c>
      <c r="B287" s="300"/>
      <c r="C287" s="141"/>
      <c r="D287" s="141"/>
      <c r="E287" s="141"/>
      <c r="F287" s="141"/>
      <c r="G287" s="853">
        <v>0.48699999999999999</v>
      </c>
      <c r="H287" s="141"/>
      <c r="I287" s="141"/>
      <c r="J287" s="141"/>
      <c r="K287" s="141"/>
      <c r="L287" s="853">
        <v>3.8679999999999999</v>
      </c>
      <c r="M287" s="832"/>
      <c r="N287" s="832"/>
      <c r="O287" s="832"/>
      <c r="P287" s="832"/>
      <c r="Q287" s="853">
        <v>407.15300000000002</v>
      </c>
      <c r="R287" s="832"/>
      <c r="S287" s="832"/>
      <c r="T287" s="832"/>
      <c r="U287" s="832"/>
      <c r="V287" s="853">
        <v>552.375</v>
      </c>
      <c r="W287" s="832"/>
      <c r="X287" s="832"/>
      <c r="Y287" s="832"/>
      <c r="Z287" s="832"/>
      <c r="AA287" s="853">
        <v>581.05600000000004</v>
      </c>
      <c r="AB287" s="832"/>
      <c r="AC287" s="832"/>
      <c r="AD287" s="832"/>
      <c r="AE287" s="832"/>
      <c r="AF287" s="853">
        <v>764</v>
      </c>
      <c r="AG287" s="832">
        <v>772</v>
      </c>
      <c r="AH287" s="832">
        <v>787</v>
      </c>
      <c r="AI287" s="832">
        <v>793</v>
      </c>
      <c r="AJ287" s="832">
        <v>813</v>
      </c>
      <c r="AK287" s="300">
        <v>813</v>
      </c>
      <c r="AL287" s="832">
        <v>823</v>
      </c>
      <c r="AM287" s="832">
        <v>837</v>
      </c>
      <c r="AN287" s="832">
        <v>842</v>
      </c>
      <c r="AO287" s="832">
        <v>853</v>
      </c>
      <c r="AP287" s="300">
        <v>853</v>
      </c>
      <c r="AQ287" s="832">
        <v>1158</v>
      </c>
      <c r="AR287" s="832">
        <v>1165</v>
      </c>
      <c r="AS287" s="832">
        <v>1173</v>
      </c>
      <c r="AT287" s="832">
        <v>1256</v>
      </c>
      <c r="AU287" s="300">
        <v>1256</v>
      </c>
      <c r="AV287" s="832">
        <v>1293</v>
      </c>
      <c r="AW287" s="832">
        <v>1409</v>
      </c>
      <c r="AX287" s="832">
        <v>1412</v>
      </c>
      <c r="AY287" s="832">
        <v>1419</v>
      </c>
      <c r="AZ287" s="300">
        <f>AY287</f>
        <v>1419</v>
      </c>
      <c r="BA287" s="832">
        <v>1426</v>
      </c>
      <c r="BB287" s="832">
        <v>1434</v>
      </c>
      <c r="BC287" s="832">
        <v>1438</v>
      </c>
      <c r="BD287" s="832">
        <v>1446</v>
      </c>
      <c r="BE287" s="300">
        <f>BD287</f>
        <v>1446</v>
      </c>
      <c r="BF287" s="832">
        <v>1450</v>
      </c>
      <c r="BG287" s="832">
        <v>1460</v>
      </c>
      <c r="BH287" s="832">
        <v>1464</v>
      </c>
      <c r="BI287" s="832">
        <v>1472</v>
      </c>
      <c r="BJ287" s="300">
        <f>BI287</f>
        <v>1472</v>
      </c>
      <c r="BK287" s="832">
        <v>1477</v>
      </c>
      <c r="BL287" s="832">
        <v>1485</v>
      </c>
      <c r="BM287" s="832">
        <v>1488</v>
      </c>
      <c r="BN287" s="832">
        <v>1495</v>
      </c>
      <c r="BO287" s="300">
        <f>BN287</f>
        <v>1495</v>
      </c>
      <c r="BP287" s="832">
        <v>1497</v>
      </c>
      <c r="BQ287" s="832">
        <v>1504</v>
      </c>
      <c r="BR287" s="832">
        <v>1508</v>
      </c>
      <c r="BS287" s="832">
        <v>1573</v>
      </c>
      <c r="BT287" s="300">
        <f>BS287</f>
        <v>1573</v>
      </c>
      <c r="BU287" s="832">
        <v>1580</v>
      </c>
      <c r="BV287" s="832">
        <v>1585</v>
      </c>
      <c r="BW287" s="832">
        <v>1605</v>
      </c>
      <c r="BX287" s="832">
        <v>1711</v>
      </c>
      <c r="BY287" s="300">
        <f>BX287</f>
        <v>1711</v>
      </c>
      <c r="BZ287" s="832">
        <v>1754</v>
      </c>
      <c r="CA287" s="832">
        <v>1781</v>
      </c>
      <c r="CB287" s="832">
        <v>1831</v>
      </c>
      <c r="CC287" s="832">
        <v>1896</v>
      </c>
      <c r="CD287" s="300">
        <f>CC287</f>
        <v>1896</v>
      </c>
      <c r="CE287" s="832">
        <v>1914</v>
      </c>
      <c r="CF287" s="832">
        <v>1946</v>
      </c>
      <c r="CG287" s="832">
        <v>1955</v>
      </c>
      <c r="CH287" s="832">
        <v>2050</v>
      </c>
      <c r="CI287" s="300">
        <f>CH287</f>
        <v>2050</v>
      </c>
      <c r="CJ287" s="832">
        <v>2041</v>
      </c>
      <c r="CK287" s="832">
        <v>2063</v>
      </c>
      <c r="CL287" s="832">
        <v>2100</v>
      </c>
      <c r="CM287" s="141">
        <f t="shared" ref="CM287:CR287" si="990">CL287+CM237</f>
        <v>2100</v>
      </c>
      <c r="CN287" s="300">
        <f>CM287</f>
        <v>2100</v>
      </c>
      <c r="CO287" s="141">
        <f t="shared" si="990"/>
        <v>2100</v>
      </c>
      <c r="CP287" s="141">
        <f t="shared" si="990"/>
        <v>2100</v>
      </c>
      <c r="CQ287" s="141">
        <f t="shared" si="990"/>
        <v>2100</v>
      </c>
      <c r="CR287" s="141">
        <f t="shared" si="990"/>
        <v>2100</v>
      </c>
      <c r="CS287" s="300">
        <f>CR287</f>
        <v>2100</v>
      </c>
      <c r="CT287" s="141"/>
      <c r="CU287" s="141"/>
      <c r="CV287" s="141"/>
      <c r="CW287" s="141"/>
      <c r="CX287" s="300">
        <f>CS287+CX237</f>
        <v>2100</v>
      </c>
      <c r="CY287" s="141"/>
      <c r="CZ287" s="141"/>
      <c r="DA287" s="141"/>
      <c r="DB287" s="141"/>
      <c r="DC287" s="300">
        <f>CX287+DC237</f>
        <v>2100</v>
      </c>
      <c r="DD287" s="132"/>
      <c r="DE287" s="471"/>
      <c r="DJ287" s="413"/>
      <c r="DK287" s="413"/>
      <c r="DL287" s="413"/>
      <c r="DM287" s="413"/>
      <c r="DN287" s="413"/>
      <c r="DO287" s="413"/>
      <c r="DP287" s="413"/>
      <c r="DQ287" s="413"/>
      <c r="DR287" s="510"/>
      <c r="DS287" s="141"/>
      <c r="EB287" s="387"/>
      <c r="EC287" s="387"/>
      <c r="ED287" s="387"/>
      <c r="EE287" s="387"/>
      <c r="EF287" s="387"/>
      <c r="EG287" s="387"/>
      <c r="EH287" s="387"/>
      <c r="EI287" s="387"/>
      <c r="EJ287" s="387"/>
      <c r="EK287" s="387"/>
      <c r="EL287" s="387"/>
      <c r="EM287" s="387"/>
    </row>
    <row r="288" spans="1:143" x14ac:dyDescent="0.2">
      <c r="A288" s="162" t="s">
        <v>313</v>
      </c>
      <c r="B288" s="300"/>
      <c r="C288" s="141"/>
      <c r="D288" s="141"/>
      <c r="E288" s="141"/>
      <c r="F288" s="141"/>
      <c r="G288" s="853">
        <v>-54.683999999999997</v>
      </c>
      <c r="H288" s="141"/>
      <c r="I288" s="141"/>
      <c r="J288" s="141"/>
      <c r="K288" s="141"/>
      <c r="L288" s="853">
        <v>-33.116999999999997</v>
      </c>
      <c r="M288" s="837"/>
      <c r="N288" s="837"/>
      <c r="O288" s="837"/>
      <c r="P288" s="837"/>
      <c r="Q288" s="853">
        <v>15.791</v>
      </c>
      <c r="R288" s="837"/>
      <c r="S288" s="837"/>
      <c r="T288" s="837"/>
      <c r="U288" s="837"/>
      <c r="V288" s="853">
        <v>119.68899999999999</v>
      </c>
      <c r="W288" s="837"/>
      <c r="X288" s="837"/>
      <c r="Y288" s="837"/>
      <c r="Z288" s="837"/>
      <c r="AA288" s="853">
        <v>167.15600000000001</v>
      </c>
      <c r="AB288" s="837"/>
      <c r="AC288" s="837"/>
      <c r="AD288" s="837"/>
      <c r="AE288" s="837"/>
      <c r="AF288" s="853">
        <v>145</v>
      </c>
      <c r="AG288" s="837">
        <v>113</v>
      </c>
      <c r="AH288" s="837">
        <v>127</v>
      </c>
      <c r="AI288" s="837">
        <v>127</v>
      </c>
      <c r="AJ288" s="837">
        <v>144</v>
      </c>
      <c r="AK288" s="300">
        <v>144</v>
      </c>
      <c r="AL288" s="837">
        <v>122</v>
      </c>
      <c r="AM288" s="837">
        <v>143</v>
      </c>
      <c r="AN288" s="837">
        <v>166</v>
      </c>
      <c r="AO288" s="837">
        <v>162</v>
      </c>
      <c r="AP288" s="300">
        <v>162</v>
      </c>
      <c r="AQ288" s="837">
        <v>154</v>
      </c>
      <c r="AR288" s="837">
        <v>148</v>
      </c>
      <c r="AS288" s="837">
        <v>143</v>
      </c>
      <c r="AT288" s="837">
        <v>86</v>
      </c>
      <c r="AU288" s="300">
        <v>86</v>
      </c>
      <c r="AV288" s="837">
        <v>72</v>
      </c>
      <c r="AW288" s="837">
        <v>92</v>
      </c>
      <c r="AX288" s="837">
        <v>107</v>
      </c>
      <c r="AY288" s="837">
        <v>118</v>
      </c>
      <c r="AZ288" s="332">
        <f>AY288</f>
        <v>118</v>
      </c>
      <c r="BA288" s="837">
        <v>116</v>
      </c>
      <c r="BB288" s="837">
        <v>146</v>
      </c>
      <c r="BC288" s="837">
        <v>205</v>
      </c>
      <c r="BD288" s="837">
        <v>219</v>
      </c>
      <c r="BE288" s="332">
        <f>BD288</f>
        <v>219</v>
      </c>
      <c r="BF288" s="837">
        <v>222</v>
      </c>
      <c r="BG288" s="837">
        <v>247</v>
      </c>
      <c r="BH288" s="837">
        <v>282</v>
      </c>
      <c r="BI288" s="837">
        <v>305</v>
      </c>
      <c r="BJ288" s="332">
        <f>BI288</f>
        <v>305</v>
      </c>
      <c r="BK288" s="837">
        <v>335</v>
      </c>
      <c r="BL288" s="837">
        <v>387</v>
      </c>
      <c r="BM288" s="837">
        <v>432</v>
      </c>
      <c r="BN288" s="837">
        <v>433</v>
      </c>
      <c r="BO288" s="332">
        <f>BN288</f>
        <v>433</v>
      </c>
      <c r="BP288" s="837">
        <v>447</v>
      </c>
      <c r="BQ288" s="837">
        <v>483</v>
      </c>
      <c r="BR288" s="837">
        <v>554</v>
      </c>
      <c r="BS288" s="837">
        <v>601</v>
      </c>
      <c r="BT288" s="332">
        <f>BS288</f>
        <v>601</v>
      </c>
      <c r="BU288" s="837">
        <v>605</v>
      </c>
      <c r="BV288" s="837">
        <v>835</v>
      </c>
      <c r="BW288" s="837">
        <v>914</v>
      </c>
      <c r="BX288" s="837">
        <v>1002</v>
      </c>
      <c r="BY288" s="332">
        <f>BX288</f>
        <v>1002</v>
      </c>
      <c r="BZ288" s="837">
        <v>1139</v>
      </c>
      <c r="CA288" s="837">
        <v>1291</v>
      </c>
      <c r="CB288" s="837">
        <v>1489</v>
      </c>
      <c r="CC288" s="837">
        <v>1679</v>
      </c>
      <c r="CD288" s="332">
        <f>CC288</f>
        <v>1679</v>
      </c>
      <c r="CE288" s="837">
        <v>1878</v>
      </c>
      <c r="CF288" s="837">
        <v>2058</v>
      </c>
      <c r="CG288" s="837">
        <v>2257</v>
      </c>
      <c r="CH288" s="837">
        <v>2446</v>
      </c>
      <c r="CI288" s="332">
        <f>CH288</f>
        <v>2446</v>
      </c>
      <c r="CJ288" s="837">
        <v>2532</v>
      </c>
      <c r="CK288" s="837">
        <v>2742</v>
      </c>
      <c r="CL288" s="837">
        <v>2921</v>
      </c>
      <c r="CM288" s="142">
        <f t="shared" ref="CM288:CR288" si="991">CL288+CM216+CM235</f>
        <v>3024.1680000000001</v>
      </c>
      <c r="CN288" s="332">
        <f>CM288</f>
        <v>3024.1680000000001</v>
      </c>
      <c r="CO288" s="142">
        <f t="shared" si="991"/>
        <v>3093.5883761187765</v>
      </c>
      <c r="CP288" s="142">
        <f t="shared" si="991"/>
        <v>3220.861543138215</v>
      </c>
      <c r="CQ288" s="142">
        <f t="shared" si="991"/>
        <v>3432.4833374612426</v>
      </c>
      <c r="CR288" s="142">
        <f t="shared" si="991"/>
        <v>3596.2488430544631</v>
      </c>
      <c r="CS288" s="332">
        <f>CR288</f>
        <v>3596.2488430544631</v>
      </c>
      <c r="CT288" s="142"/>
      <c r="CU288" s="142"/>
      <c r="CV288" s="142"/>
      <c r="CW288" s="142"/>
      <c r="CX288" s="332">
        <f>CS288+CX216+CX235</f>
        <v>4280.7972102153799</v>
      </c>
      <c r="CY288" s="142"/>
      <c r="CZ288" s="142"/>
      <c r="DA288" s="142"/>
      <c r="DB288" s="142"/>
      <c r="DC288" s="332">
        <f>CX288+DC216+DC235</f>
        <v>5118.4299899506168</v>
      </c>
      <c r="DD288" s="132"/>
      <c r="DE288" s="471"/>
      <c r="DJ288" s="413"/>
      <c r="DK288" s="413"/>
      <c r="DL288" s="413"/>
      <c r="DM288" s="413"/>
      <c r="DN288" s="413"/>
      <c r="DO288" s="413"/>
      <c r="DP288" s="413"/>
      <c r="DQ288" s="413"/>
      <c r="DR288" s="510"/>
      <c r="DS288" s="141"/>
      <c r="EB288" s="387"/>
      <c r="EC288" s="387"/>
      <c r="ED288" s="387"/>
      <c r="EE288" s="387"/>
      <c r="EF288" s="387"/>
      <c r="EG288" s="387"/>
      <c r="EH288" s="387"/>
      <c r="EI288" s="387"/>
      <c r="EJ288" s="387"/>
      <c r="EK288" s="387"/>
      <c r="EL288" s="387"/>
      <c r="EM288" s="387"/>
    </row>
    <row r="289" spans="1:143" x14ac:dyDescent="0.2">
      <c r="A289" s="162" t="s">
        <v>217</v>
      </c>
      <c r="B289" s="300"/>
      <c r="C289" s="141"/>
      <c r="D289" s="141"/>
      <c r="E289" s="141"/>
      <c r="F289" s="141"/>
      <c r="G289" s="853">
        <v>0</v>
      </c>
      <c r="H289" s="141"/>
      <c r="I289" s="141"/>
      <c r="J289" s="141"/>
      <c r="K289" s="141"/>
      <c r="L289" s="853">
        <v>-2.9830000000000001</v>
      </c>
      <c r="M289" s="832"/>
      <c r="N289" s="832"/>
      <c r="O289" s="832"/>
      <c r="P289" s="832"/>
      <c r="Q289" s="853">
        <f>-9.414+0.187</f>
        <v>-9.2270000000000003</v>
      </c>
      <c r="R289" s="832"/>
      <c r="S289" s="832"/>
      <c r="T289" s="832"/>
      <c r="U289" s="832"/>
      <c r="V289" s="853">
        <f>-7.544+5.595</f>
        <v>-1.9489999999999998</v>
      </c>
      <c r="W289" s="832"/>
      <c r="X289" s="832"/>
      <c r="Y289" s="832"/>
      <c r="Z289" s="832"/>
      <c r="AA289" s="853">
        <f>-5.713+12.659</f>
        <v>6.9460000000000006</v>
      </c>
      <c r="AB289" s="832"/>
      <c r="AC289" s="832"/>
      <c r="AD289" s="832"/>
      <c r="AE289" s="832"/>
      <c r="AF289" s="853">
        <v>0</v>
      </c>
      <c r="AG289" s="832">
        <v>2</v>
      </c>
      <c r="AH289" s="832">
        <v>2</v>
      </c>
      <c r="AI289" s="832">
        <v>-5</v>
      </c>
      <c r="AJ289" s="832">
        <v>-7</v>
      </c>
      <c r="AK289" s="300">
        <v>-7</v>
      </c>
      <c r="AL289" s="832">
        <v>13</v>
      </c>
      <c r="AM289" s="832">
        <v>11</v>
      </c>
      <c r="AN289" s="832">
        <v>14</v>
      </c>
      <c r="AO289" s="832">
        <v>19</v>
      </c>
      <c r="AP289" s="300">
        <v>19</v>
      </c>
      <c r="AQ289" s="832">
        <v>15</v>
      </c>
      <c r="AR289" s="832">
        <v>62</v>
      </c>
      <c r="AS289" s="832">
        <v>-38</v>
      </c>
      <c r="AT289" s="832">
        <v>-84</v>
      </c>
      <c r="AU289" s="300">
        <v>-84</v>
      </c>
      <c r="AV289" s="832">
        <v>-55</v>
      </c>
      <c r="AW289" s="832">
        <v>-19</v>
      </c>
      <c r="AX289" s="832">
        <v>-10</v>
      </c>
      <c r="AY289" s="832">
        <v>1</v>
      </c>
      <c r="AZ289" s="300">
        <f>AY289</f>
        <v>1</v>
      </c>
      <c r="BA289" s="832">
        <v>-7</v>
      </c>
      <c r="BB289" s="832">
        <v>-23</v>
      </c>
      <c r="BC289" s="832">
        <v>-19</v>
      </c>
      <c r="BD289" s="832">
        <v>-10</v>
      </c>
      <c r="BE289" s="300">
        <f>BD289</f>
        <v>-10</v>
      </c>
      <c r="BF289" s="832">
        <v>9</v>
      </c>
      <c r="BG289" s="832">
        <v>-13</v>
      </c>
      <c r="BH289" s="832">
        <v>-34</v>
      </c>
      <c r="BI289" s="832">
        <v>-15</v>
      </c>
      <c r="BJ289" s="300">
        <f>BI289</f>
        <v>-15</v>
      </c>
      <c r="BK289" s="832">
        <v>-3</v>
      </c>
      <c r="BL289" s="832">
        <v>-23</v>
      </c>
      <c r="BM289" s="832">
        <v>-8</v>
      </c>
      <c r="BN289" s="832">
        <v>-8</v>
      </c>
      <c r="BO289" s="300">
        <f>BN289</f>
        <v>-8</v>
      </c>
      <c r="BP289" s="832">
        <v>-8</v>
      </c>
      <c r="BQ289" s="832">
        <v>-16</v>
      </c>
      <c r="BR289" s="832">
        <v>-5</v>
      </c>
      <c r="BS289" s="832">
        <v>0</v>
      </c>
      <c r="BT289" s="300">
        <f>BS289</f>
        <v>0</v>
      </c>
      <c r="BU289" s="832">
        <v>-2</v>
      </c>
      <c r="BV289" s="832">
        <v>4</v>
      </c>
      <c r="BW289" s="832">
        <v>-12</v>
      </c>
      <c r="BX289" s="832">
        <v>-63</v>
      </c>
      <c r="BY289" s="300">
        <f>BX289</f>
        <v>-63</v>
      </c>
      <c r="BZ289" s="832">
        <v>-50</v>
      </c>
      <c r="CA289" s="832">
        <v>-24</v>
      </c>
      <c r="CB289" s="832">
        <v>-18</v>
      </c>
      <c r="CC289" s="832">
        <v>-3</v>
      </c>
      <c r="CD289" s="300">
        <f>CC289</f>
        <v>-3</v>
      </c>
      <c r="CE289" s="832">
        <v>-3</v>
      </c>
      <c r="CF289" s="832">
        <v>16</v>
      </c>
      <c r="CG289" s="832">
        <v>10</v>
      </c>
      <c r="CH289" s="832">
        <v>13</v>
      </c>
      <c r="CI289" s="300">
        <f>CH289</f>
        <v>13</v>
      </c>
      <c r="CJ289" s="832">
        <v>5</v>
      </c>
      <c r="CK289" s="832">
        <v>0</v>
      </c>
      <c r="CL289" s="832">
        <v>4</v>
      </c>
      <c r="CM289" s="141">
        <f t="shared" ref="CM289:CR289" si="992">CL289</f>
        <v>4</v>
      </c>
      <c r="CN289" s="300">
        <f>CM289</f>
        <v>4</v>
      </c>
      <c r="CO289" s="141">
        <f t="shared" si="992"/>
        <v>4</v>
      </c>
      <c r="CP289" s="141">
        <f t="shared" si="992"/>
        <v>4</v>
      </c>
      <c r="CQ289" s="141">
        <f t="shared" si="992"/>
        <v>4</v>
      </c>
      <c r="CR289" s="141">
        <f t="shared" si="992"/>
        <v>4</v>
      </c>
      <c r="CS289" s="300">
        <f>CR289</f>
        <v>4</v>
      </c>
      <c r="CT289" s="141"/>
      <c r="CU289" s="141"/>
      <c r="CV289" s="141"/>
      <c r="CW289" s="141"/>
      <c r="CX289" s="300">
        <f>CS289</f>
        <v>4</v>
      </c>
      <c r="CY289" s="141"/>
      <c r="CZ289" s="141"/>
      <c r="DA289" s="141"/>
      <c r="DB289" s="141"/>
      <c r="DC289" s="300">
        <f>CX289</f>
        <v>4</v>
      </c>
      <c r="DD289" s="132"/>
      <c r="DE289" s="471"/>
      <c r="DJ289" s="413"/>
      <c r="DK289" s="413"/>
      <c r="DL289" s="413"/>
      <c r="DM289" s="413"/>
      <c r="DN289" s="413"/>
      <c r="DO289" s="413"/>
      <c r="DP289" s="413"/>
      <c r="DQ289" s="413"/>
      <c r="DR289" s="510"/>
      <c r="DS289" s="141"/>
      <c r="EB289" s="387"/>
      <c r="EC289" s="387"/>
      <c r="ED289" s="387"/>
      <c r="EE289" s="387"/>
      <c r="EF289" s="387"/>
      <c r="EG289" s="387"/>
      <c r="EH289" s="387"/>
      <c r="EI289" s="387"/>
      <c r="EJ289" s="387"/>
      <c r="EK289" s="387"/>
      <c r="EL289" s="387"/>
      <c r="EM289" s="387"/>
    </row>
    <row r="290" spans="1:143" x14ac:dyDescent="0.2">
      <c r="A290" s="162" t="s">
        <v>15</v>
      </c>
      <c r="B290" s="300"/>
      <c r="C290" s="141"/>
      <c r="D290" s="141"/>
      <c r="E290" s="141"/>
      <c r="F290" s="141"/>
      <c r="G290" s="853">
        <v>0</v>
      </c>
      <c r="H290" s="141"/>
      <c r="I290" s="141"/>
      <c r="J290" s="141"/>
      <c r="K290" s="141"/>
      <c r="L290" s="853">
        <v>0</v>
      </c>
      <c r="M290" s="832"/>
      <c r="N290" s="832"/>
      <c r="O290" s="832"/>
      <c r="P290" s="832"/>
      <c r="Q290" s="853">
        <v>0</v>
      </c>
      <c r="R290" s="832"/>
      <c r="S290" s="832"/>
      <c r="T290" s="832"/>
      <c r="U290" s="832"/>
      <c r="V290" s="853">
        <v>0</v>
      </c>
      <c r="W290" s="832"/>
      <c r="X290" s="832"/>
      <c r="Y290" s="832"/>
      <c r="Z290" s="832"/>
      <c r="AA290" s="853">
        <v>0</v>
      </c>
      <c r="AB290" s="832"/>
      <c r="AC290" s="832"/>
      <c r="AD290" s="832"/>
      <c r="AE290" s="832"/>
      <c r="AF290" s="853">
        <v>0</v>
      </c>
      <c r="AG290" s="832">
        <v>0</v>
      </c>
      <c r="AH290" s="832">
        <v>0</v>
      </c>
      <c r="AI290" s="832">
        <v>0</v>
      </c>
      <c r="AJ290" s="832">
        <v>0</v>
      </c>
      <c r="AK290" s="300">
        <v>0</v>
      </c>
      <c r="AL290" s="832">
        <v>0</v>
      </c>
      <c r="AM290" s="832">
        <v>0</v>
      </c>
      <c r="AN290" s="832">
        <v>0</v>
      </c>
      <c r="AO290" s="832">
        <v>0</v>
      </c>
      <c r="AP290" s="300">
        <v>0</v>
      </c>
      <c r="AQ290" s="832">
        <v>0</v>
      </c>
      <c r="AR290" s="832">
        <v>0</v>
      </c>
      <c r="AS290" s="832">
        <v>0</v>
      </c>
      <c r="AT290" s="832">
        <v>0</v>
      </c>
      <c r="AU290" s="300">
        <v>0</v>
      </c>
      <c r="AV290" s="832">
        <v>-1</v>
      </c>
      <c r="AW290" s="832">
        <v>-1</v>
      </c>
      <c r="AX290" s="832">
        <v>-1</v>
      </c>
      <c r="AY290" s="832">
        <v>-2</v>
      </c>
      <c r="AZ290" s="300">
        <f>AY290</f>
        <v>-2</v>
      </c>
      <c r="BA290" s="832">
        <v>-4</v>
      </c>
      <c r="BB290" s="832">
        <v>-4</v>
      </c>
      <c r="BC290" s="832">
        <v>-4</v>
      </c>
      <c r="BD290" s="832">
        <v>-4</v>
      </c>
      <c r="BE290" s="300">
        <f>BD290</f>
        <v>-4</v>
      </c>
      <c r="BF290" s="832">
        <v>-7</v>
      </c>
      <c r="BG290" s="832">
        <v>-7</v>
      </c>
      <c r="BH290" s="832">
        <v>-8</v>
      </c>
      <c r="BI290" s="832">
        <v>-8</v>
      </c>
      <c r="BJ290" s="300">
        <f>BI290</f>
        <v>-8</v>
      </c>
      <c r="BK290" s="832">
        <v>-11</v>
      </c>
      <c r="BL290" s="832">
        <v>-11</v>
      </c>
      <c r="BM290" s="832">
        <v>-12</v>
      </c>
      <c r="BN290" s="832">
        <v>-35</v>
      </c>
      <c r="BO290" s="300">
        <f>BN290</f>
        <v>-35</v>
      </c>
      <c r="BP290" s="832">
        <v>-42</v>
      </c>
      <c r="BQ290" s="832">
        <v>-42</v>
      </c>
      <c r="BR290" s="832">
        <v>-42</v>
      </c>
      <c r="BS290" s="832">
        <v>-43</v>
      </c>
      <c r="BT290" s="300">
        <f>BS290</f>
        <v>-43</v>
      </c>
      <c r="BU290" s="832">
        <v>-50</v>
      </c>
      <c r="BV290" s="832">
        <v>-113</v>
      </c>
      <c r="BW290" s="832">
        <v>-125</v>
      </c>
      <c r="BX290" s="832">
        <v>-125</v>
      </c>
      <c r="BY290" s="300">
        <f>BX290</f>
        <v>-125</v>
      </c>
      <c r="BZ290" s="832">
        <v>-138</v>
      </c>
      <c r="CA290" s="832">
        <v>-259</v>
      </c>
      <c r="CB290" s="832">
        <v>-289</v>
      </c>
      <c r="CC290" s="832">
        <v>-366</v>
      </c>
      <c r="CD290" s="300">
        <f>CC290</f>
        <v>-366</v>
      </c>
      <c r="CE290" s="832">
        <v>-379</v>
      </c>
      <c r="CF290" s="832">
        <v>-380</v>
      </c>
      <c r="CG290" s="832">
        <v>-380</v>
      </c>
      <c r="CH290" s="832">
        <v>-500</v>
      </c>
      <c r="CI290" s="300">
        <f>CH290</f>
        <v>-500</v>
      </c>
      <c r="CJ290" s="832">
        <v>-590</v>
      </c>
      <c r="CK290" s="832">
        <v>-729</v>
      </c>
      <c r="CL290" s="832">
        <v>-890</v>
      </c>
      <c r="CM290" s="141">
        <f t="shared" ref="CM290:CR290" si="993">CL290+CM236</f>
        <v>-890</v>
      </c>
      <c r="CN290" s="300">
        <f>CM290</f>
        <v>-890</v>
      </c>
      <c r="CO290" s="141">
        <f t="shared" si="993"/>
        <v>-972.24358195565003</v>
      </c>
      <c r="CP290" s="141">
        <f t="shared" si="993"/>
        <v>-1055.5948821557652</v>
      </c>
      <c r="CQ290" s="141">
        <f t="shared" si="993"/>
        <v>-1140.0688201804505</v>
      </c>
      <c r="CR290" s="141">
        <f t="shared" si="993"/>
        <v>-1225.680516557906</v>
      </c>
      <c r="CS290" s="300">
        <f>CR290</f>
        <v>-1225.680516557906</v>
      </c>
      <c r="CT290" s="141"/>
      <c r="CU290" s="141"/>
      <c r="CV290" s="141"/>
      <c r="CW290" s="141"/>
      <c r="CX290" s="300">
        <f>CS290+CX236</f>
        <v>-1551.1049811806899</v>
      </c>
      <c r="CY290" s="141"/>
      <c r="CZ290" s="141"/>
      <c r="DA290" s="141"/>
      <c r="DB290" s="141"/>
      <c r="DC290" s="300">
        <f>CX290+DC236</f>
        <v>-1851.7971864921424</v>
      </c>
      <c r="DD290" s="132"/>
      <c r="DE290" s="471"/>
      <c r="DJ290" s="413"/>
      <c r="DK290" s="413"/>
      <c r="DL290" s="413"/>
      <c r="DM290" s="413"/>
      <c r="DN290" s="413"/>
      <c r="DO290" s="413"/>
      <c r="DP290" s="413"/>
      <c r="DQ290" s="413"/>
      <c r="DR290" s="510"/>
      <c r="DS290" s="141"/>
      <c r="EB290" s="387"/>
      <c r="EC290" s="387"/>
      <c r="ED290" s="387"/>
      <c r="EE290" s="387"/>
      <c r="EF290" s="387"/>
      <c r="EG290" s="387"/>
      <c r="EH290" s="387"/>
      <c r="EI290" s="387"/>
      <c r="EJ290" s="387"/>
      <c r="EK290" s="387"/>
      <c r="EL290" s="387"/>
      <c r="EM290" s="387"/>
    </row>
    <row r="291" spans="1:143" x14ac:dyDescent="0.2">
      <c r="A291" s="219" t="s">
        <v>17</v>
      </c>
      <c r="B291" s="303"/>
      <c r="C291" s="224"/>
      <c r="D291" s="224"/>
      <c r="E291" s="224"/>
      <c r="F291" s="224"/>
      <c r="G291" s="303">
        <f>SUM(G286:G290)</f>
        <v>-54.152999999999999</v>
      </c>
      <c r="H291" s="224"/>
      <c r="I291" s="224"/>
      <c r="J291" s="224"/>
      <c r="K291" s="224"/>
      <c r="L291" s="303">
        <f>SUM(L286:L290)</f>
        <v>-32.166999999999994</v>
      </c>
      <c r="M291" s="224"/>
      <c r="N291" s="224"/>
      <c r="O291" s="224"/>
      <c r="P291" s="224"/>
      <c r="Q291" s="303">
        <f>SUM(Q286:Q290)</f>
        <v>414.67300000000006</v>
      </c>
      <c r="R291" s="224"/>
      <c r="S291" s="224"/>
      <c r="T291" s="224"/>
      <c r="U291" s="224"/>
      <c r="V291" s="303">
        <f>SUM(V286:V290)</f>
        <v>671.13599999999997</v>
      </c>
      <c r="W291" s="224"/>
      <c r="X291" s="224"/>
      <c r="Y291" s="224"/>
      <c r="Z291" s="224"/>
      <c r="AA291" s="303">
        <f>SUM(AA286:AA290)</f>
        <v>756.20000000000016</v>
      </c>
      <c r="AB291" s="224"/>
      <c r="AC291" s="224"/>
      <c r="AD291" s="224"/>
      <c r="AE291" s="224"/>
      <c r="AF291" s="303">
        <f t="shared" ref="AF291:BO291" si="994">SUM(AF286:AF290)</f>
        <v>911</v>
      </c>
      <c r="AG291" s="224">
        <f t="shared" si="994"/>
        <v>889</v>
      </c>
      <c r="AH291" s="224">
        <f t="shared" si="994"/>
        <v>918</v>
      </c>
      <c r="AI291" s="224">
        <f t="shared" si="994"/>
        <v>917</v>
      </c>
      <c r="AJ291" s="224">
        <f t="shared" si="994"/>
        <v>952</v>
      </c>
      <c r="AK291" s="303">
        <f t="shared" si="994"/>
        <v>952</v>
      </c>
      <c r="AL291" s="224">
        <f t="shared" si="994"/>
        <v>960</v>
      </c>
      <c r="AM291" s="224">
        <f t="shared" si="994"/>
        <v>993</v>
      </c>
      <c r="AN291" s="224">
        <f t="shared" si="994"/>
        <v>1024</v>
      </c>
      <c r="AO291" s="224">
        <f t="shared" si="994"/>
        <v>1036</v>
      </c>
      <c r="AP291" s="303">
        <f t="shared" si="994"/>
        <v>1036</v>
      </c>
      <c r="AQ291" s="224">
        <f t="shared" si="994"/>
        <v>1329</v>
      </c>
      <c r="AR291" s="224">
        <f t="shared" si="994"/>
        <v>1378</v>
      </c>
      <c r="AS291" s="224">
        <f t="shared" si="994"/>
        <v>1281</v>
      </c>
      <c r="AT291" s="224">
        <f t="shared" si="994"/>
        <v>1261</v>
      </c>
      <c r="AU291" s="303">
        <f t="shared" si="994"/>
        <v>1261</v>
      </c>
      <c r="AV291" s="224">
        <f t="shared" si="994"/>
        <v>1312</v>
      </c>
      <c r="AW291" s="224">
        <f t="shared" si="994"/>
        <v>1484</v>
      </c>
      <c r="AX291" s="224">
        <f t="shared" si="994"/>
        <v>1511</v>
      </c>
      <c r="AY291" s="224">
        <f t="shared" si="994"/>
        <v>1539</v>
      </c>
      <c r="AZ291" s="303">
        <f t="shared" si="994"/>
        <v>1539</v>
      </c>
      <c r="BA291" s="224">
        <f>SUM(BA286:BA290)</f>
        <v>1534</v>
      </c>
      <c r="BB291" s="224">
        <f>SUM(BB286:BB290)</f>
        <v>1556</v>
      </c>
      <c r="BC291" s="224">
        <f>SUM(BC286:BC290)</f>
        <v>1623</v>
      </c>
      <c r="BD291" s="224">
        <f>SUM(BD286:BD290)</f>
        <v>1654</v>
      </c>
      <c r="BE291" s="303">
        <f t="shared" si="994"/>
        <v>1654</v>
      </c>
      <c r="BF291" s="224">
        <f>SUM(BF286:BF290)</f>
        <v>1677</v>
      </c>
      <c r="BG291" s="224">
        <f>SUM(BG286:BG290)</f>
        <v>1690</v>
      </c>
      <c r="BH291" s="224">
        <f>SUM(BH286:BH290)</f>
        <v>1707</v>
      </c>
      <c r="BI291" s="224">
        <f>SUM(BI286:BI290)</f>
        <v>1757</v>
      </c>
      <c r="BJ291" s="303">
        <f t="shared" si="994"/>
        <v>1757</v>
      </c>
      <c r="BK291" s="224">
        <f>SUM(BK286:BK290)</f>
        <v>1801</v>
      </c>
      <c r="BL291" s="224">
        <f>SUM(BL286:BL290)</f>
        <v>1841</v>
      </c>
      <c r="BM291" s="224">
        <f>SUM(BM286:BM290)</f>
        <v>1903</v>
      </c>
      <c r="BN291" s="224">
        <f>SUM(BN286:BN290)</f>
        <v>1888</v>
      </c>
      <c r="BO291" s="303">
        <f t="shared" si="994"/>
        <v>1888</v>
      </c>
      <c r="BP291" s="224">
        <f t="shared" ref="BP291:BU291" si="995">SUM(BP286:BP290)</f>
        <v>1897</v>
      </c>
      <c r="BQ291" s="224">
        <f t="shared" si="995"/>
        <v>1932</v>
      </c>
      <c r="BR291" s="224">
        <f t="shared" si="995"/>
        <v>2018</v>
      </c>
      <c r="BS291" s="224">
        <f t="shared" si="995"/>
        <v>2134</v>
      </c>
      <c r="BT291" s="303">
        <f t="shared" si="995"/>
        <v>2134</v>
      </c>
      <c r="BU291" s="224">
        <f t="shared" si="995"/>
        <v>2136</v>
      </c>
      <c r="BV291" s="224">
        <f t="shared" ref="BV291:CD291" si="996">SUM(BV286:BV290)</f>
        <v>2315</v>
      </c>
      <c r="BW291" s="224">
        <f t="shared" si="996"/>
        <v>2386</v>
      </c>
      <c r="BX291" s="224">
        <f t="shared" si="996"/>
        <v>2529</v>
      </c>
      <c r="BY291" s="303">
        <f t="shared" si="996"/>
        <v>2529</v>
      </c>
      <c r="BZ291" s="224">
        <f t="shared" si="996"/>
        <v>2709</v>
      </c>
      <c r="CA291" s="224">
        <f t="shared" si="996"/>
        <v>2793</v>
      </c>
      <c r="CB291" s="224">
        <f t="shared" si="996"/>
        <v>3017</v>
      </c>
      <c r="CC291" s="224">
        <f t="shared" si="996"/>
        <v>3210</v>
      </c>
      <c r="CD291" s="303">
        <f t="shared" si="996"/>
        <v>3210</v>
      </c>
      <c r="CE291" s="224">
        <f>SUM(CE286:CE290)</f>
        <v>3414</v>
      </c>
      <c r="CF291" s="224">
        <f>SUM(CF286:CF290)</f>
        <v>3644</v>
      </c>
      <c r="CG291" s="224">
        <f>SUM(CG286:CG290)</f>
        <v>3846</v>
      </c>
      <c r="CH291" s="224">
        <f>SUM(CH286:CH290)</f>
        <v>4013</v>
      </c>
      <c r="CI291" s="303">
        <f>SUM(CI286:CI290)</f>
        <v>4013</v>
      </c>
      <c r="CJ291" s="224">
        <f t="shared" ref="CJ291:CM291" si="997">SUM(CJ286:CJ290)</f>
        <v>3992</v>
      </c>
      <c r="CK291" s="224">
        <f t="shared" si="997"/>
        <v>4080</v>
      </c>
      <c r="CL291" s="224">
        <f t="shared" si="997"/>
        <v>4139</v>
      </c>
      <c r="CM291" s="224">
        <f t="shared" si="997"/>
        <v>4242.1679999999997</v>
      </c>
      <c r="CN291" s="303">
        <f>SUM(CN286:CN290)</f>
        <v>4242.1679999999997</v>
      </c>
      <c r="CO291" s="224">
        <f t="shared" ref="CO291:CR291" si="998">SUM(CO286:CO290)</f>
        <v>4229.3447941631257</v>
      </c>
      <c r="CP291" s="224">
        <f t="shared" si="998"/>
        <v>4273.26666098245</v>
      </c>
      <c r="CQ291" s="224">
        <f t="shared" si="998"/>
        <v>4400.4145172807921</v>
      </c>
      <c r="CR291" s="224">
        <f t="shared" si="998"/>
        <v>4478.5683264965573</v>
      </c>
      <c r="CS291" s="303">
        <f>SUM(CS286:CS290)</f>
        <v>4478.5683264965573</v>
      </c>
      <c r="CT291" s="224"/>
      <c r="CU291" s="224"/>
      <c r="CV291" s="224"/>
      <c r="CW291" s="224"/>
      <c r="CX291" s="303">
        <f>SUM(CX286:CX290)</f>
        <v>4837.6922290346902</v>
      </c>
      <c r="CY291" s="224"/>
      <c r="CZ291" s="224"/>
      <c r="DA291" s="224"/>
      <c r="DB291" s="224"/>
      <c r="DC291" s="303">
        <f>SUM(DC286:DC290)</f>
        <v>5374.6328034584749</v>
      </c>
      <c r="DD291" s="152"/>
      <c r="DE291" s="476"/>
      <c r="DJ291" s="413"/>
      <c r="DK291" s="411"/>
      <c r="DL291" s="411"/>
      <c r="DM291" s="411"/>
      <c r="DN291" s="411"/>
      <c r="DO291" s="411"/>
      <c r="DP291" s="411"/>
      <c r="DQ291" s="411"/>
      <c r="DR291" s="508"/>
      <c r="DS291" s="528"/>
      <c r="DZ291" s="225"/>
      <c r="EA291" s="225"/>
    </row>
    <row r="292" spans="1:143" x14ac:dyDescent="0.2">
      <c r="A292" s="219" t="s">
        <v>18</v>
      </c>
      <c r="B292" s="303"/>
      <c r="C292" s="224"/>
      <c r="D292" s="224"/>
      <c r="E292" s="224"/>
      <c r="F292" s="224"/>
      <c r="G292" s="303">
        <f>G291+G284</f>
        <v>344.12799999999999</v>
      </c>
      <c r="H292" s="224"/>
      <c r="I292" s="224"/>
      <c r="J292" s="224"/>
      <c r="K292" s="224"/>
      <c r="L292" s="303">
        <f>L291+L284</f>
        <v>630.95899999999995</v>
      </c>
      <c r="M292" s="224"/>
      <c r="N292" s="224"/>
      <c r="O292" s="224"/>
      <c r="P292" s="224"/>
      <c r="Q292" s="303">
        <f>Q291+Q284</f>
        <v>1378.923</v>
      </c>
      <c r="R292" s="224"/>
      <c r="S292" s="224"/>
      <c r="T292" s="224"/>
      <c r="U292" s="224"/>
      <c r="V292" s="303">
        <f>V291+V284</f>
        <v>2185.7570000000001</v>
      </c>
      <c r="W292" s="224"/>
      <c r="X292" s="224"/>
      <c r="Y292" s="224"/>
      <c r="Z292" s="224"/>
      <c r="AA292" s="303">
        <f>AA291+AA284</f>
        <v>2798.6440000000002</v>
      </c>
      <c r="AB292" s="224"/>
      <c r="AC292" s="224"/>
      <c r="AD292" s="224"/>
      <c r="AE292" s="224"/>
      <c r="AF292" s="303">
        <f t="shared" ref="AF292:BO292" si="999">AF291+AF284</f>
        <v>3892</v>
      </c>
      <c r="AG292" s="224">
        <f t="shared" si="999"/>
        <v>4068</v>
      </c>
      <c r="AH292" s="224">
        <f t="shared" si="999"/>
        <v>4306</v>
      </c>
      <c r="AI292" s="224">
        <f t="shared" si="999"/>
        <v>4429</v>
      </c>
      <c r="AJ292" s="224">
        <f t="shared" si="999"/>
        <v>4843</v>
      </c>
      <c r="AK292" s="303">
        <f t="shared" si="999"/>
        <v>4843</v>
      </c>
      <c r="AL292" s="224">
        <f t="shared" si="999"/>
        <v>5145</v>
      </c>
      <c r="AM292" s="224">
        <f t="shared" si="999"/>
        <v>5356</v>
      </c>
      <c r="AN292" s="224">
        <f t="shared" si="999"/>
        <v>5461</v>
      </c>
      <c r="AO292" s="224">
        <f t="shared" si="999"/>
        <v>5598</v>
      </c>
      <c r="AP292" s="303">
        <f t="shared" si="999"/>
        <v>5598</v>
      </c>
      <c r="AQ292" s="224">
        <f t="shared" si="999"/>
        <v>6050</v>
      </c>
      <c r="AR292" s="224">
        <f t="shared" si="999"/>
        <v>6468</v>
      </c>
      <c r="AS292" s="224">
        <f t="shared" si="999"/>
        <v>6084</v>
      </c>
      <c r="AT292" s="224">
        <f t="shared" si="999"/>
        <v>6023</v>
      </c>
      <c r="AU292" s="303">
        <f t="shared" si="999"/>
        <v>6023</v>
      </c>
      <c r="AV292" s="224">
        <f t="shared" si="999"/>
        <v>6158</v>
      </c>
      <c r="AW292" s="224">
        <f t="shared" si="999"/>
        <v>6510</v>
      </c>
      <c r="AX292" s="224">
        <f t="shared" si="999"/>
        <v>6533</v>
      </c>
      <c r="AY292" s="224">
        <f t="shared" si="999"/>
        <v>6554</v>
      </c>
      <c r="AZ292" s="303">
        <f t="shared" si="999"/>
        <v>6554</v>
      </c>
      <c r="BA292" s="224">
        <f>BA291+BA284</f>
        <v>6513</v>
      </c>
      <c r="BB292" s="224">
        <f>BB291+BB284</f>
        <v>6590</v>
      </c>
      <c r="BC292" s="224">
        <f>BC291+BC284</f>
        <v>6618</v>
      </c>
      <c r="BD292" s="224">
        <f>BD291+BD284</f>
        <v>6593</v>
      </c>
      <c r="BE292" s="303">
        <f t="shared" si="999"/>
        <v>6593</v>
      </c>
      <c r="BF292" s="224">
        <f>BF291+BF284</f>
        <v>6843</v>
      </c>
      <c r="BG292" s="224">
        <v>6908</v>
      </c>
      <c r="BH292" s="224">
        <f>BH291+BH284</f>
        <v>6911</v>
      </c>
      <c r="BI292" s="224">
        <f>BI291+BI284</f>
        <v>7071</v>
      </c>
      <c r="BJ292" s="303">
        <f t="shared" si="999"/>
        <v>7071</v>
      </c>
      <c r="BK292" s="224">
        <f>BK291+BK284</f>
        <v>7143</v>
      </c>
      <c r="BL292" s="224">
        <f>BL291+BL284</f>
        <v>7132</v>
      </c>
      <c r="BM292" s="224">
        <f>BM291+BM284</f>
        <v>7141</v>
      </c>
      <c r="BN292" s="224">
        <f>BN291+BN284</f>
        <v>7070</v>
      </c>
      <c r="BO292" s="303">
        <f t="shared" si="999"/>
        <v>7070</v>
      </c>
      <c r="BP292" s="224">
        <f t="shared" ref="BP292:BU292" si="1000">BP291+BP284</f>
        <v>7234</v>
      </c>
      <c r="BQ292" s="224">
        <f t="shared" si="1000"/>
        <v>7368</v>
      </c>
      <c r="BR292" s="224">
        <f t="shared" si="1000"/>
        <v>7444</v>
      </c>
      <c r="BS292" s="224">
        <f t="shared" si="1000"/>
        <v>7350</v>
      </c>
      <c r="BT292" s="303">
        <f t="shared" si="1000"/>
        <v>7350</v>
      </c>
      <c r="BU292" s="224">
        <f t="shared" si="1000"/>
        <v>7645</v>
      </c>
      <c r="BV292" s="224">
        <f t="shared" ref="BV292:CD292" si="1001">BV291+BV284</f>
        <v>7657</v>
      </c>
      <c r="BW292" s="224">
        <f t="shared" si="1001"/>
        <v>7741</v>
      </c>
      <c r="BX292" s="224">
        <f t="shared" si="1001"/>
        <v>7839</v>
      </c>
      <c r="BY292" s="303">
        <f t="shared" si="1001"/>
        <v>7839</v>
      </c>
      <c r="BZ292" s="224">
        <f t="shared" si="1001"/>
        <v>8304</v>
      </c>
      <c r="CA292" s="224">
        <f t="shared" si="1001"/>
        <v>8317</v>
      </c>
      <c r="CB292" s="224">
        <f t="shared" si="1001"/>
        <v>8594</v>
      </c>
      <c r="CC292" s="224">
        <f t="shared" si="1001"/>
        <v>8660</v>
      </c>
      <c r="CD292" s="303">
        <f t="shared" si="1001"/>
        <v>8660</v>
      </c>
      <c r="CE292" s="224">
        <f>CE291+CE284</f>
        <v>9062</v>
      </c>
      <c r="CF292" s="224">
        <f>CF291+CF284</f>
        <v>9458</v>
      </c>
      <c r="CG292" s="224">
        <f>CG291+CG284</f>
        <v>9579</v>
      </c>
      <c r="CH292" s="224">
        <f>CH291+CH284</f>
        <v>9487</v>
      </c>
      <c r="CI292" s="303">
        <f>CI291+CI284</f>
        <v>9487</v>
      </c>
      <c r="CJ292" s="224">
        <f t="shared" ref="CJ292:CM292" si="1002">CJ291+CJ284</f>
        <v>9473</v>
      </c>
      <c r="CK292" s="224">
        <f t="shared" si="1002"/>
        <v>9644</v>
      </c>
      <c r="CL292" s="224">
        <f t="shared" si="1002"/>
        <v>9596</v>
      </c>
      <c r="CM292" s="224">
        <f t="shared" si="1002"/>
        <v>10100.972</v>
      </c>
      <c r="CN292" s="303">
        <f>CN291+CN284</f>
        <v>10100.972</v>
      </c>
      <c r="CO292" s="224">
        <f t="shared" ref="CO292:CR292" si="1003">CO291+CO284</f>
        <v>10262.803676926929</v>
      </c>
      <c r="CP292" s="224">
        <f t="shared" si="1003"/>
        <v>10357.890560236763</v>
      </c>
      <c r="CQ292" s="224">
        <f t="shared" si="1003"/>
        <v>10427.745142471074</v>
      </c>
      <c r="CR292" s="224">
        <f t="shared" si="1003"/>
        <v>10615.877282159945</v>
      </c>
      <c r="CS292" s="303">
        <f>CS291+CS284</f>
        <v>10615.877282159945</v>
      </c>
      <c r="CT292" s="224"/>
      <c r="CU292" s="224"/>
      <c r="CV292" s="224"/>
      <c r="CW292" s="224"/>
      <c r="CX292" s="303">
        <f>CX291+CX284</f>
        <v>11328.615104443263</v>
      </c>
      <c r="CY292" s="224"/>
      <c r="CZ292" s="224"/>
      <c r="DA292" s="224"/>
      <c r="DB292" s="224"/>
      <c r="DC292" s="303">
        <f>DC291+DC284</f>
        <v>12362.278754489958</v>
      </c>
      <c r="DD292" s="152"/>
      <c r="DE292" s="476"/>
      <c r="DJ292" s="413"/>
      <c r="DK292" s="411"/>
      <c r="DL292" s="411"/>
      <c r="DM292" s="411"/>
      <c r="DN292" s="411"/>
      <c r="DO292" s="411"/>
      <c r="DP292" s="411"/>
      <c r="DQ292" s="411"/>
      <c r="DR292" s="508"/>
      <c r="DS292" s="528"/>
      <c r="DZ292" s="225"/>
      <c r="EA292" s="225"/>
    </row>
    <row r="293" spans="1:143" x14ac:dyDescent="0.2">
      <c r="A293" s="169" t="s">
        <v>11</v>
      </c>
      <c r="B293" s="312"/>
      <c r="C293" s="169"/>
      <c r="D293" s="169"/>
      <c r="E293" s="169"/>
      <c r="F293" s="169"/>
      <c r="G293" s="312">
        <f>G270-G292</f>
        <v>0</v>
      </c>
      <c r="H293" s="169"/>
      <c r="I293" s="169"/>
      <c r="J293" s="169"/>
      <c r="K293" s="169"/>
      <c r="L293" s="312">
        <f>L270-L292</f>
        <v>42.814000000000078</v>
      </c>
      <c r="M293" s="169"/>
      <c r="N293" s="169"/>
      <c r="O293" s="169"/>
      <c r="P293" s="169"/>
      <c r="Q293" s="312">
        <f>Q270-Q292</f>
        <v>0</v>
      </c>
      <c r="R293" s="169"/>
      <c r="S293" s="169"/>
      <c r="T293" s="169"/>
      <c r="U293" s="169"/>
      <c r="V293" s="312">
        <f>V270-V292</f>
        <v>0</v>
      </c>
      <c r="W293" s="169"/>
      <c r="X293" s="169"/>
      <c r="Y293" s="169"/>
      <c r="Z293" s="169"/>
      <c r="AA293" s="312">
        <f>AA270-AA292</f>
        <v>0</v>
      </c>
      <c r="AB293" s="169"/>
      <c r="AC293" s="169"/>
      <c r="AD293" s="169"/>
      <c r="AE293" s="169"/>
      <c r="AF293" s="312">
        <f t="shared" ref="AF293:BJ293" si="1004">AF270-AF292</f>
        <v>0</v>
      </c>
      <c r="AG293" s="169">
        <f t="shared" si="1004"/>
        <v>0</v>
      </c>
      <c r="AH293" s="169">
        <f t="shared" si="1004"/>
        <v>0</v>
      </c>
      <c r="AI293" s="169">
        <f t="shared" si="1004"/>
        <v>0</v>
      </c>
      <c r="AJ293" s="169">
        <f t="shared" si="1004"/>
        <v>0</v>
      </c>
      <c r="AK293" s="312">
        <f t="shared" si="1004"/>
        <v>0</v>
      </c>
      <c r="AL293" s="169">
        <f t="shared" si="1004"/>
        <v>0</v>
      </c>
      <c r="AM293" s="169">
        <f t="shared" si="1004"/>
        <v>0</v>
      </c>
      <c r="AN293" s="169">
        <f t="shared" si="1004"/>
        <v>0</v>
      </c>
      <c r="AO293" s="169">
        <f t="shared" si="1004"/>
        <v>0</v>
      </c>
      <c r="AP293" s="312">
        <f t="shared" si="1004"/>
        <v>0</v>
      </c>
      <c r="AQ293" s="169">
        <f t="shared" si="1004"/>
        <v>0</v>
      </c>
      <c r="AR293" s="169">
        <f t="shared" si="1004"/>
        <v>0</v>
      </c>
      <c r="AS293" s="169">
        <f t="shared" si="1004"/>
        <v>0</v>
      </c>
      <c r="AT293" s="169">
        <f t="shared" si="1004"/>
        <v>0</v>
      </c>
      <c r="AU293" s="312">
        <f t="shared" si="1004"/>
        <v>0</v>
      </c>
      <c r="AV293" s="169">
        <f t="shared" si="1004"/>
        <v>0</v>
      </c>
      <c r="AW293" s="169">
        <f t="shared" si="1004"/>
        <v>0</v>
      </c>
      <c r="AX293" s="169">
        <f t="shared" si="1004"/>
        <v>0</v>
      </c>
      <c r="AY293" s="169">
        <f t="shared" si="1004"/>
        <v>0</v>
      </c>
      <c r="AZ293" s="312">
        <f t="shared" si="1004"/>
        <v>0</v>
      </c>
      <c r="BA293" s="169">
        <f t="shared" si="1004"/>
        <v>0</v>
      </c>
      <c r="BB293" s="169">
        <f t="shared" si="1004"/>
        <v>0</v>
      </c>
      <c r="BC293" s="169">
        <f t="shared" si="1004"/>
        <v>0</v>
      </c>
      <c r="BD293" s="169">
        <f t="shared" si="1004"/>
        <v>0</v>
      </c>
      <c r="BE293" s="312">
        <f t="shared" si="1004"/>
        <v>0</v>
      </c>
      <c r="BF293" s="169">
        <f t="shared" si="1004"/>
        <v>0</v>
      </c>
      <c r="BG293" s="169">
        <f t="shared" si="1004"/>
        <v>0</v>
      </c>
      <c r="BH293" s="169">
        <f t="shared" si="1004"/>
        <v>0</v>
      </c>
      <c r="BI293" s="169">
        <f t="shared" si="1004"/>
        <v>0</v>
      </c>
      <c r="BJ293" s="312">
        <f t="shared" si="1004"/>
        <v>0</v>
      </c>
      <c r="BK293" s="169">
        <f t="shared" ref="BK293:BU293" si="1005">BK270-BK292</f>
        <v>0</v>
      </c>
      <c r="BL293" s="169">
        <f t="shared" si="1005"/>
        <v>0</v>
      </c>
      <c r="BM293" s="169">
        <f t="shared" si="1005"/>
        <v>0</v>
      </c>
      <c r="BN293" s="169">
        <f t="shared" si="1005"/>
        <v>0</v>
      </c>
      <c r="BO293" s="312">
        <f t="shared" si="1005"/>
        <v>0</v>
      </c>
      <c r="BP293" s="169">
        <f t="shared" si="1005"/>
        <v>0</v>
      </c>
      <c r="BQ293" s="169">
        <f t="shared" si="1005"/>
        <v>0</v>
      </c>
      <c r="BR293" s="169">
        <f t="shared" si="1005"/>
        <v>0</v>
      </c>
      <c r="BS293" s="169">
        <f>BS270-BS292</f>
        <v>0</v>
      </c>
      <c r="BT293" s="312">
        <f>BT270-BT292</f>
        <v>0</v>
      </c>
      <c r="BU293" s="169">
        <f t="shared" si="1005"/>
        <v>0</v>
      </c>
      <c r="BV293" s="169">
        <f t="shared" ref="BV293:CD293" si="1006">BV270-BV292</f>
        <v>0</v>
      </c>
      <c r="BW293" s="169">
        <f>BW270-BW292</f>
        <v>0</v>
      </c>
      <c r="BX293" s="169">
        <f t="shared" si="1006"/>
        <v>0</v>
      </c>
      <c r="BY293" s="312">
        <f t="shared" si="1006"/>
        <v>0</v>
      </c>
      <c r="BZ293" s="169">
        <f t="shared" si="1006"/>
        <v>0</v>
      </c>
      <c r="CA293" s="169">
        <f t="shared" si="1006"/>
        <v>0</v>
      </c>
      <c r="CB293" s="169">
        <f t="shared" si="1006"/>
        <v>0</v>
      </c>
      <c r="CC293" s="169">
        <f t="shared" si="1006"/>
        <v>0</v>
      </c>
      <c r="CD293" s="312">
        <f t="shared" si="1006"/>
        <v>0</v>
      </c>
      <c r="CE293" s="169">
        <f>CE270-CE292</f>
        <v>0</v>
      </c>
      <c r="CF293" s="169">
        <f>CF270-CF292</f>
        <v>0</v>
      </c>
      <c r="CG293" s="169">
        <f>CG270-CG292</f>
        <v>0</v>
      </c>
      <c r="CH293" s="169">
        <f>CH270-CH292</f>
        <v>0</v>
      </c>
      <c r="CI293" s="312">
        <f>CI270-CI292</f>
        <v>0</v>
      </c>
      <c r="CJ293" s="169">
        <f t="shared" ref="CJ293:CM293" si="1007">CJ270-CJ292</f>
        <v>0</v>
      </c>
      <c r="CK293" s="169">
        <f t="shared" si="1007"/>
        <v>0</v>
      </c>
      <c r="CL293" s="169">
        <f t="shared" si="1007"/>
        <v>0</v>
      </c>
      <c r="CM293" s="169">
        <f t="shared" si="1007"/>
        <v>0</v>
      </c>
      <c r="CN293" s="312">
        <f>CN270-CN292</f>
        <v>0</v>
      </c>
      <c r="CO293" s="169">
        <f t="shared" ref="CO293:CR293" si="1008">CO270-CO292</f>
        <v>0</v>
      </c>
      <c r="CP293" s="169">
        <f t="shared" si="1008"/>
        <v>0</v>
      </c>
      <c r="CQ293" s="169">
        <f t="shared" si="1008"/>
        <v>0</v>
      </c>
      <c r="CR293" s="169">
        <f t="shared" si="1008"/>
        <v>0</v>
      </c>
      <c r="CS293" s="312">
        <f>CS270-CS292</f>
        <v>0</v>
      </c>
      <c r="CT293" s="169"/>
      <c r="CU293" s="169"/>
      <c r="CV293" s="169"/>
      <c r="CW293" s="169"/>
      <c r="CX293" s="312">
        <f>CX270-CX292</f>
        <v>0</v>
      </c>
      <c r="CY293" s="169"/>
      <c r="CZ293" s="169"/>
      <c r="DA293" s="169"/>
      <c r="DB293" s="169"/>
      <c r="DC293" s="312">
        <f>DC270-DC292</f>
        <v>0</v>
      </c>
      <c r="DD293" s="162"/>
      <c r="DE293" s="480"/>
      <c r="DJ293" s="450"/>
      <c r="DK293" s="415"/>
      <c r="DL293" s="415"/>
      <c r="DM293" s="415"/>
      <c r="DN293" s="415"/>
      <c r="DO293" s="415"/>
      <c r="DP293" s="415"/>
      <c r="DQ293" s="415"/>
      <c r="DR293" s="512"/>
      <c r="DS293" s="169"/>
    </row>
    <row r="294" spans="1:143" x14ac:dyDescent="0.2">
      <c r="A294" s="170" t="s">
        <v>244</v>
      </c>
      <c r="B294" s="313"/>
      <c r="C294" s="171"/>
      <c r="D294" s="171"/>
      <c r="E294" s="171"/>
      <c r="F294" s="171"/>
      <c r="G294" s="313"/>
      <c r="H294" s="171"/>
      <c r="I294" s="171"/>
      <c r="J294" s="171"/>
      <c r="K294" s="171"/>
      <c r="L294" s="313"/>
      <c r="M294" s="172"/>
      <c r="N294" s="172"/>
      <c r="O294" s="172"/>
      <c r="P294" s="172"/>
      <c r="Q294" s="313"/>
      <c r="R294" s="172"/>
      <c r="S294" s="172"/>
      <c r="T294" s="172"/>
      <c r="U294" s="172"/>
      <c r="V294" s="313"/>
      <c r="W294" s="172"/>
      <c r="X294" s="172"/>
      <c r="Y294" s="172"/>
      <c r="Z294" s="172"/>
      <c r="AA294" s="313"/>
      <c r="AB294" s="172"/>
      <c r="AC294" s="172"/>
      <c r="AD294" s="172"/>
      <c r="AE294" s="172"/>
      <c r="AF294" s="313"/>
      <c r="AG294" s="172"/>
      <c r="AH294" s="172"/>
      <c r="AI294" s="172"/>
      <c r="AJ294" s="172"/>
      <c r="AK294" s="313"/>
      <c r="AL294" s="172"/>
      <c r="AM294" s="172"/>
      <c r="AN294" s="172"/>
      <c r="AO294" s="172"/>
      <c r="AP294" s="313"/>
      <c r="AQ294" s="172"/>
      <c r="AR294" s="172"/>
      <c r="AS294" s="172"/>
      <c r="AT294" s="172"/>
      <c r="AU294" s="313"/>
      <c r="AV294" s="172"/>
      <c r="AW294" s="172"/>
      <c r="AX294" s="172"/>
      <c r="AY294" s="172"/>
      <c r="AZ294" s="313"/>
      <c r="BA294" s="172"/>
      <c r="BB294" s="172"/>
      <c r="BC294" s="172"/>
      <c r="BD294" s="172"/>
      <c r="BE294" s="313"/>
      <c r="BF294" s="172"/>
      <c r="BG294" s="172"/>
      <c r="BH294" s="172"/>
      <c r="BI294" s="172"/>
      <c r="BJ294" s="313"/>
      <c r="BK294" s="172"/>
      <c r="BL294" s="172"/>
      <c r="BM294" s="172"/>
      <c r="BN294" s="172"/>
      <c r="BO294" s="313"/>
      <c r="BP294" s="172"/>
      <c r="BQ294" s="172"/>
      <c r="BR294" s="172"/>
      <c r="BS294" s="172"/>
      <c r="BT294" s="313"/>
      <c r="BU294" s="172"/>
      <c r="BV294" s="172"/>
      <c r="BW294" s="172"/>
      <c r="BX294" s="172"/>
      <c r="BY294" s="313"/>
      <c r="BZ294" s="172"/>
      <c r="CA294" s="172"/>
      <c r="CB294" s="172"/>
      <c r="CC294" s="172"/>
      <c r="CD294" s="313"/>
      <c r="CE294" s="172"/>
      <c r="CF294" s="172"/>
      <c r="CG294" s="172"/>
      <c r="CH294" s="172"/>
      <c r="CI294" s="313"/>
      <c r="CJ294" s="172"/>
      <c r="CK294" s="172"/>
      <c r="CL294" s="172"/>
      <c r="CM294" s="172"/>
      <c r="CN294" s="313"/>
      <c r="CO294" s="172"/>
      <c r="CP294" s="172"/>
      <c r="CQ294" s="172"/>
      <c r="CR294" s="172"/>
      <c r="CS294" s="313"/>
      <c r="CT294" s="172"/>
      <c r="CU294" s="172"/>
      <c r="CV294" s="172"/>
      <c r="CW294" s="172"/>
      <c r="CX294" s="313"/>
      <c r="CY294" s="172"/>
      <c r="CZ294" s="172"/>
      <c r="DA294" s="172"/>
      <c r="DB294" s="172"/>
      <c r="DC294" s="313"/>
      <c r="DD294" s="162"/>
      <c r="DE294" s="480"/>
      <c r="DJ294" s="450"/>
      <c r="DK294" s="415"/>
      <c r="DL294" s="415"/>
      <c r="DM294" s="415"/>
      <c r="DN294" s="415"/>
      <c r="DO294" s="415"/>
      <c r="DP294" s="415"/>
      <c r="DQ294" s="415"/>
      <c r="DR294" s="512"/>
      <c r="DS294" s="169"/>
    </row>
    <row r="295" spans="1:143" x14ac:dyDescent="0.2">
      <c r="A295" s="162" t="s">
        <v>210</v>
      </c>
      <c r="B295" s="300"/>
      <c r="C295" s="141"/>
      <c r="D295" s="141"/>
      <c r="E295" s="141"/>
      <c r="F295" s="141"/>
      <c r="G295" s="300">
        <v>12.867000000000001</v>
      </c>
      <c r="H295" s="141"/>
      <c r="I295" s="141"/>
      <c r="J295" s="141"/>
      <c r="K295" s="141"/>
      <c r="L295" s="300">
        <v>0</v>
      </c>
      <c r="M295" s="141"/>
      <c r="N295" s="141"/>
      <c r="O295" s="141"/>
      <c r="P295" s="141"/>
      <c r="Q295" s="300">
        <v>0</v>
      </c>
      <c r="R295" s="141"/>
      <c r="S295" s="141"/>
      <c r="T295" s="141"/>
      <c r="U295" s="141"/>
      <c r="V295" s="300">
        <v>0</v>
      </c>
      <c r="W295" s="141"/>
      <c r="X295" s="141"/>
      <c r="Y295" s="141"/>
      <c r="Z295" s="141"/>
      <c r="AA295" s="300">
        <v>0</v>
      </c>
      <c r="AB295" s="141"/>
      <c r="AC295" s="141"/>
      <c r="AD295" s="141"/>
      <c r="AE295" s="141"/>
      <c r="AF295" s="300">
        <v>0</v>
      </c>
      <c r="AG295" s="141">
        <v>0</v>
      </c>
      <c r="AH295" s="141">
        <v>0</v>
      </c>
      <c r="AI295" s="141">
        <v>0</v>
      </c>
      <c r="AJ295" s="141">
        <v>0</v>
      </c>
      <c r="AK295" s="300">
        <v>0</v>
      </c>
      <c r="AL295" s="141">
        <v>0</v>
      </c>
      <c r="AM295" s="141">
        <v>0</v>
      </c>
      <c r="AN295" s="141">
        <v>0</v>
      </c>
      <c r="AO295" s="141">
        <v>0</v>
      </c>
      <c r="AP295" s="300">
        <v>0</v>
      </c>
      <c r="AQ295" s="141">
        <v>0</v>
      </c>
      <c r="AR295" s="141">
        <v>0</v>
      </c>
      <c r="AS295" s="141">
        <v>0</v>
      </c>
      <c r="AT295" s="141">
        <v>0</v>
      </c>
      <c r="AU295" s="300">
        <v>0</v>
      </c>
      <c r="AV295" s="141">
        <v>0</v>
      </c>
      <c r="AW295" s="141">
        <v>0</v>
      </c>
      <c r="AX295" s="141">
        <v>0</v>
      </c>
      <c r="AY295" s="141">
        <v>0</v>
      </c>
      <c r="AZ295" s="300">
        <v>0</v>
      </c>
      <c r="BA295" s="141">
        <v>0</v>
      </c>
      <c r="BB295" s="141">
        <v>0</v>
      </c>
      <c r="BC295" s="141">
        <v>0</v>
      </c>
      <c r="BD295" s="141">
        <v>0</v>
      </c>
      <c r="BE295" s="300">
        <v>0</v>
      </c>
      <c r="BF295" s="141">
        <v>0</v>
      </c>
      <c r="BG295" s="141">
        <v>0</v>
      </c>
      <c r="BH295" s="141">
        <v>0</v>
      </c>
      <c r="BI295" s="141">
        <v>0</v>
      </c>
      <c r="BJ295" s="330">
        <v>0</v>
      </c>
      <c r="BK295" s="141">
        <v>0</v>
      </c>
      <c r="BL295" s="141">
        <v>0</v>
      </c>
      <c r="BM295" s="141">
        <v>0</v>
      </c>
      <c r="BN295" s="141">
        <v>0</v>
      </c>
      <c r="BO295" s="330">
        <v>0</v>
      </c>
      <c r="BP295" s="141">
        <v>0</v>
      </c>
      <c r="BQ295" s="141">
        <v>0</v>
      </c>
      <c r="BR295" s="141">
        <v>0</v>
      </c>
      <c r="BS295" s="141">
        <v>0</v>
      </c>
      <c r="BT295" s="330">
        <v>0</v>
      </c>
      <c r="BU295" s="141">
        <v>0</v>
      </c>
      <c r="BV295" s="141">
        <v>0</v>
      </c>
      <c r="BW295" s="141">
        <v>0</v>
      </c>
      <c r="BX295" s="141">
        <v>0</v>
      </c>
      <c r="BY295" s="330">
        <v>0</v>
      </c>
      <c r="BZ295" s="141">
        <v>0</v>
      </c>
      <c r="CA295" s="141">
        <v>0</v>
      </c>
      <c r="CB295" s="141">
        <v>0</v>
      </c>
      <c r="CC295" s="141">
        <v>0</v>
      </c>
      <c r="CD295" s="330">
        <v>0</v>
      </c>
      <c r="CE295" s="141">
        <v>0</v>
      </c>
      <c r="CF295" s="141">
        <v>0</v>
      </c>
      <c r="CG295" s="141">
        <v>0</v>
      </c>
      <c r="CH295" s="141">
        <v>0</v>
      </c>
      <c r="CI295" s="330">
        <v>0</v>
      </c>
      <c r="CJ295" s="141">
        <v>0</v>
      </c>
      <c r="CK295" s="141">
        <v>0</v>
      </c>
      <c r="CL295" s="141">
        <v>0</v>
      </c>
      <c r="CM295" s="143">
        <v>0</v>
      </c>
      <c r="CN295" s="330">
        <v>0</v>
      </c>
      <c r="CO295" s="143">
        <v>0</v>
      </c>
      <c r="CP295" s="143">
        <v>0</v>
      </c>
      <c r="CQ295" s="143">
        <v>0</v>
      </c>
      <c r="CR295" s="143">
        <v>0</v>
      </c>
      <c r="CS295" s="330">
        <v>0</v>
      </c>
      <c r="CT295" s="143">
        <v>0</v>
      </c>
      <c r="CU295" s="143">
        <v>0</v>
      </c>
      <c r="CV295" s="143">
        <v>0</v>
      </c>
      <c r="CW295" s="143">
        <v>0</v>
      </c>
      <c r="CX295" s="330">
        <v>0</v>
      </c>
      <c r="CY295" s="143">
        <v>0</v>
      </c>
      <c r="CZ295" s="143">
        <v>0</v>
      </c>
      <c r="DA295" s="143">
        <v>0</v>
      </c>
      <c r="DB295" s="143">
        <v>0</v>
      </c>
      <c r="DC295" s="330">
        <v>0</v>
      </c>
      <c r="DD295" s="132"/>
      <c r="DE295" s="471"/>
      <c r="DJ295" s="413"/>
      <c r="DK295" s="413"/>
      <c r="DL295" s="413"/>
      <c r="DM295" s="413"/>
      <c r="DN295" s="413"/>
      <c r="DO295" s="413"/>
      <c r="DP295" s="413"/>
      <c r="DQ295" s="413"/>
      <c r="DR295" s="510"/>
      <c r="DS295" s="141"/>
    </row>
    <row r="296" spans="1:143" x14ac:dyDescent="0.2">
      <c r="A296" s="141" t="s">
        <v>212</v>
      </c>
      <c r="B296" s="300"/>
      <c r="C296" s="141"/>
      <c r="D296" s="141"/>
      <c r="E296" s="141"/>
      <c r="F296" s="141"/>
      <c r="G296" s="300">
        <v>5.5990000000000002</v>
      </c>
      <c r="H296" s="141"/>
      <c r="I296" s="141"/>
      <c r="J296" s="141"/>
      <c r="K296" s="141"/>
      <c r="L296" s="300">
        <v>0</v>
      </c>
      <c r="M296" s="141"/>
      <c r="N296" s="141"/>
      <c r="O296" s="141"/>
      <c r="P296" s="141"/>
      <c r="Q296" s="300">
        <v>0</v>
      </c>
      <c r="R296" s="141"/>
      <c r="S296" s="141"/>
      <c r="T296" s="141"/>
      <c r="U296" s="141"/>
      <c r="V296" s="300">
        <v>0</v>
      </c>
      <c r="W296" s="141"/>
      <c r="X296" s="141"/>
      <c r="Y296" s="141"/>
      <c r="Z296" s="141"/>
      <c r="AA296" s="300">
        <v>0</v>
      </c>
      <c r="AB296" s="141"/>
      <c r="AC296" s="141"/>
      <c r="AD296" s="141"/>
      <c r="AE296" s="141"/>
      <c r="AF296" s="300">
        <v>0</v>
      </c>
      <c r="AG296" s="141">
        <v>0</v>
      </c>
      <c r="AH296" s="141">
        <v>0</v>
      </c>
      <c r="AI296" s="141">
        <v>0</v>
      </c>
      <c r="AJ296" s="141">
        <v>0</v>
      </c>
      <c r="AK296" s="300">
        <v>0</v>
      </c>
      <c r="AL296" s="141">
        <v>0</v>
      </c>
      <c r="AM296" s="141">
        <v>0</v>
      </c>
      <c r="AN296" s="141">
        <v>0</v>
      </c>
      <c r="AO296" s="141">
        <v>0</v>
      </c>
      <c r="AP296" s="300">
        <v>0</v>
      </c>
      <c r="AQ296" s="141">
        <v>0</v>
      </c>
      <c r="AR296" s="141">
        <v>0</v>
      </c>
      <c r="AS296" s="141">
        <v>0</v>
      </c>
      <c r="AT296" s="141">
        <v>0</v>
      </c>
      <c r="AU296" s="300">
        <v>0</v>
      </c>
      <c r="AV296" s="141">
        <v>0</v>
      </c>
      <c r="AW296" s="141">
        <v>0</v>
      </c>
      <c r="AX296" s="141">
        <v>0</v>
      </c>
      <c r="AY296" s="141">
        <v>0</v>
      </c>
      <c r="AZ296" s="300">
        <v>0</v>
      </c>
      <c r="BA296" s="141">
        <v>0</v>
      </c>
      <c r="BB296" s="141">
        <v>0</v>
      </c>
      <c r="BC296" s="141">
        <v>0</v>
      </c>
      <c r="BD296" s="141">
        <v>0</v>
      </c>
      <c r="BE296" s="300">
        <v>0</v>
      </c>
      <c r="BF296" s="141">
        <v>0</v>
      </c>
      <c r="BG296" s="141">
        <v>0</v>
      </c>
      <c r="BH296" s="141">
        <v>0</v>
      </c>
      <c r="BI296" s="141">
        <v>0</v>
      </c>
      <c r="BJ296" s="330">
        <v>0</v>
      </c>
      <c r="BK296" s="141">
        <v>0</v>
      </c>
      <c r="BL296" s="141">
        <v>0</v>
      </c>
      <c r="BM296" s="141">
        <v>0</v>
      </c>
      <c r="BN296" s="141">
        <v>0</v>
      </c>
      <c r="BO296" s="330">
        <v>0</v>
      </c>
      <c r="BP296" s="141">
        <v>0</v>
      </c>
      <c r="BQ296" s="141">
        <v>0</v>
      </c>
      <c r="BR296" s="141">
        <v>0</v>
      </c>
      <c r="BS296" s="141">
        <v>0</v>
      </c>
      <c r="BT296" s="330">
        <v>0</v>
      </c>
      <c r="BU296" s="141">
        <v>0</v>
      </c>
      <c r="BV296" s="141">
        <v>0</v>
      </c>
      <c r="BW296" s="141">
        <v>0</v>
      </c>
      <c r="BX296" s="141">
        <v>0</v>
      </c>
      <c r="BY296" s="330">
        <v>0</v>
      </c>
      <c r="BZ296" s="141">
        <v>0</v>
      </c>
      <c r="CA296" s="141">
        <v>0</v>
      </c>
      <c r="CB296" s="141">
        <v>0</v>
      </c>
      <c r="CC296" s="141">
        <v>0</v>
      </c>
      <c r="CD296" s="330">
        <v>0</v>
      </c>
      <c r="CE296" s="141">
        <v>0</v>
      </c>
      <c r="CF296" s="141">
        <v>0</v>
      </c>
      <c r="CG296" s="141">
        <v>0</v>
      </c>
      <c r="CH296" s="141">
        <v>0</v>
      </c>
      <c r="CI296" s="330">
        <v>0</v>
      </c>
      <c r="CJ296" s="141">
        <v>0</v>
      </c>
      <c r="CK296" s="141">
        <v>0</v>
      </c>
      <c r="CL296" s="141">
        <v>0</v>
      </c>
      <c r="CM296" s="143">
        <v>0</v>
      </c>
      <c r="CN296" s="330">
        <v>0</v>
      </c>
      <c r="CO296" s="143">
        <v>0</v>
      </c>
      <c r="CP296" s="143">
        <v>0</v>
      </c>
      <c r="CQ296" s="143">
        <v>0</v>
      </c>
      <c r="CR296" s="143">
        <v>0</v>
      </c>
      <c r="CS296" s="330">
        <v>0</v>
      </c>
      <c r="CT296" s="143">
        <v>0</v>
      </c>
      <c r="CU296" s="143">
        <v>0</v>
      </c>
      <c r="CV296" s="143">
        <v>0</v>
      </c>
      <c r="CW296" s="143">
        <v>0</v>
      </c>
      <c r="CX296" s="330">
        <v>0</v>
      </c>
      <c r="CY296" s="143">
        <v>0</v>
      </c>
      <c r="CZ296" s="143">
        <v>0</v>
      </c>
      <c r="DA296" s="143">
        <v>0</v>
      </c>
      <c r="DB296" s="143">
        <v>0</v>
      </c>
      <c r="DC296" s="330">
        <v>0</v>
      </c>
      <c r="DD296" s="132"/>
      <c r="DE296" s="471"/>
      <c r="DJ296" s="413"/>
      <c r="DK296" s="413"/>
      <c r="DL296" s="413"/>
      <c r="DM296" s="413"/>
      <c r="DN296" s="413"/>
      <c r="DO296" s="413"/>
      <c r="DP296" s="413"/>
      <c r="DQ296" s="413"/>
      <c r="DR296" s="510"/>
      <c r="DS296" s="141"/>
    </row>
    <row r="297" spans="1:143" x14ac:dyDescent="0.2">
      <c r="A297" s="141" t="s">
        <v>4</v>
      </c>
      <c r="B297" s="300"/>
      <c r="C297" s="141"/>
      <c r="D297" s="141"/>
      <c r="E297" s="141"/>
      <c r="F297" s="141"/>
      <c r="G297" s="300">
        <v>1</v>
      </c>
      <c r="H297" s="141"/>
      <c r="I297" s="141"/>
      <c r="J297" s="141"/>
      <c r="K297" s="141"/>
      <c r="L297" s="300">
        <v>0</v>
      </c>
      <c r="M297" s="141"/>
      <c r="N297" s="141"/>
      <c r="O297" s="141"/>
      <c r="P297" s="141"/>
      <c r="Q297" s="300">
        <v>0</v>
      </c>
      <c r="R297" s="141"/>
      <c r="S297" s="141"/>
      <c r="T297" s="141"/>
      <c r="U297" s="141"/>
      <c r="V297" s="300">
        <v>0</v>
      </c>
      <c r="W297" s="141"/>
      <c r="X297" s="141"/>
      <c r="Y297" s="141"/>
      <c r="Z297" s="141"/>
      <c r="AA297" s="300">
        <v>0</v>
      </c>
      <c r="AB297" s="141"/>
      <c r="AC297" s="141"/>
      <c r="AD297" s="141"/>
      <c r="AE297" s="141"/>
      <c r="AF297" s="300">
        <v>0</v>
      </c>
      <c r="AG297" s="141">
        <v>0</v>
      </c>
      <c r="AH297" s="141">
        <v>0</v>
      </c>
      <c r="AI297" s="141">
        <v>0</v>
      </c>
      <c r="AJ297" s="141">
        <v>0</v>
      </c>
      <c r="AK297" s="300">
        <v>0</v>
      </c>
      <c r="AL297" s="141">
        <v>0</v>
      </c>
      <c r="AM297" s="141">
        <v>0</v>
      </c>
      <c r="AN297" s="141">
        <v>0</v>
      </c>
      <c r="AO297" s="141">
        <v>0</v>
      </c>
      <c r="AP297" s="300">
        <v>0</v>
      </c>
      <c r="AQ297" s="141">
        <v>0</v>
      </c>
      <c r="AR297" s="141">
        <v>0</v>
      </c>
      <c r="AS297" s="141">
        <v>0</v>
      </c>
      <c r="AT297" s="141">
        <v>0</v>
      </c>
      <c r="AU297" s="300">
        <v>0</v>
      </c>
      <c r="AV297" s="141">
        <v>0</v>
      </c>
      <c r="AW297" s="141">
        <v>0</v>
      </c>
      <c r="AX297" s="141">
        <v>0</v>
      </c>
      <c r="AY297" s="141">
        <v>0</v>
      </c>
      <c r="AZ297" s="300">
        <v>0</v>
      </c>
      <c r="BA297" s="141">
        <v>0</v>
      </c>
      <c r="BB297" s="141">
        <v>0</v>
      </c>
      <c r="BC297" s="141">
        <v>0</v>
      </c>
      <c r="BD297" s="141">
        <v>0</v>
      </c>
      <c r="BE297" s="300">
        <v>0</v>
      </c>
      <c r="BF297" s="141">
        <v>0</v>
      </c>
      <c r="BG297" s="141">
        <v>0</v>
      </c>
      <c r="BH297" s="141">
        <v>0</v>
      </c>
      <c r="BI297" s="141">
        <v>0</v>
      </c>
      <c r="BJ297" s="330">
        <v>0</v>
      </c>
      <c r="BK297" s="141">
        <v>0</v>
      </c>
      <c r="BL297" s="141">
        <v>0</v>
      </c>
      <c r="BM297" s="141">
        <v>0</v>
      </c>
      <c r="BN297" s="141">
        <v>0</v>
      </c>
      <c r="BO297" s="330">
        <v>0</v>
      </c>
      <c r="BP297" s="141">
        <v>0</v>
      </c>
      <c r="BQ297" s="141">
        <v>0</v>
      </c>
      <c r="BR297" s="141">
        <v>0</v>
      </c>
      <c r="BS297" s="141">
        <v>0</v>
      </c>
      <c r="BT297" s="330">
        <v>0</v>
      </c>
      <c r="BU297" s="141">
        <v>0</v>
      </c>
      <c r="BV297" s="141">
        <v>0</v>
      </c>
      <c r="BW297" s="141">
        <v>0</v>
      </c>
      <c r="BX297" s="141">
        <v>0</v>
      </c>
      <c r="BY297" s="330">
        <v>0</v>
      </c>
      <c r="BZ297" s="141">
        <v>0</v>
      </c>
      <c r="CA297" s="141">
        <v>0</v>
      </c>
      <c r="CB297" s="141">
        <v>0</v>
      </c>
      <c r="CC297" s="141">
        <v>0</v>
      </c>
      <c r="CD297" s="330">
        <v>0</v>
      </c>
      <c r="CE297" s="141">
        <v>0</v>
      </c>
      <c r="CF297" s="141">
        <v>0</v>
      </c>
      <c r="CG297" s="141">
        <v>0</v>
      </c>
      <c r="CH297" s="141">
        <v>0</v>
      </c>
      <c r="CI297" s="330">
        <v>0</v>
      </c>
      <c r="CJ297" s="141">
        <v>0</v>
      </c>
      <c r="CK297" s="141">
        <v>0</v>
      </c>
      <c r="CL297" s="141">
        <v>0</v>
      </c>
      <c r="CM297" s="143">
        <v>0</v>
      </c>
      <c r="CN297" s="330">
        <v>0</v>
      </c>
      <c r="CO297" s="143">
        <v>0</v>
      </c>
      <c r="CP297" s="143">
        <v>0</v>
      </c>
      <c r="CQ297" s="143">
        <v>0</v>
      </c>
      <c r="CR297" s="143">
        <v>0</v>
      </c>
      <c r="CS297" s="330">
        <v>0</v>
      </c>
      <c r="CT297" s="143">
        <v>0</v>
      </c>
      <c r="CU297" s="143">
        <v>0</v>
      </c>
      <c r="CV297" s="143">
        <v>0</v>
      </c>
      <c r="CW297" s="143">
        <v>0</v>
      </c>
      <c r="CX297" s="330">
        <v>0</v>
      </c>
      <c r="CY297" s="143">
        <v>0</v>
      </c>
      <c r="CZ297" s="143">
        <v>0</v>
      </c>
      <c r="DA297" s="143">
        <v>0</v>
      </c>
      <c r="DB297" s="143">
        <v>0</v>
      </c>
      <c r="DC297" s="330">
        <v>0</v>
      </c>
      <c r="DD297" s="132"/>
      <c r="DE297" s="471"/>
      <c r="DJ297" s="413"/>
      <c r="DK297" s="413"/>
      <c r="DL297" s="413"/>
      <c r="DM297" s="413"/>
      <c r="DN297" s="413"/>
      <c r="DO297" s="413"/>
      <c r="DP297" s="413"/>
      <c r="DQ297" s="413"/>
      <c r="DR297" s="510"/>
      <c r="DS297" s="141"/>
    </row>
    <row r="298" spans="1:143" x14ac:dyDescent="0.2">
      <c r="A298" s="162" t="s">
        <v>194</v>
      </c>
      <c r="B298" s="301"/>
      <c r="C298" s="145"/>
      <c r="D298" s="145"/>
      <c r="E298" s="145"/>
      <c r="F298" s="145"/>
      <c r="G298" s="301">
        <v>21.632999999999999</v>
      </c>
      <c r="H298" s="145"/>
      <c r="I298" s="145"/>
      <c r="J298" s="145"/>
      <c r="K298" s="145"/>
      <c r="L298" s="301">
        <v>0</v>
      </c>
      <c r="M298" s="145"/>
      <c r="N298" s="145"/>
      <c r="O298" s="145"/>
      <c r="P298" s="145"/>
      <c r="Q298" s="301">
        <v>0</v>
      </c>
      <c r="R298" s="145"/>
      <c r="S298" s="145"/>
      <c r="T298" s="145"/>
      <c r="U298" s="145"/>
      <c r="V298" s="301">
        <v>0</v>
      </c>
      <c r="W298" s="145"/>
      <c r="X298" s="145"/>
      <c r="Y298" s="145"/>
      <c r="Z298" s="145"/>
      <c r="AA298" s="301">
        <v>0</v>
      </c>
      <c r="AB298" s="145"/>
      <c r="AC298" s="145"/>
      <c r="AD298" s="145"/>
      <c r="AE298" s="145"/>
      <c r="AF298" s="301">
        <v>0</v>
      </c>
      <c r="AG298" s="145">
        <v>0</v>
      </c>
      <c r="AH298" s="145">
        <v>0</v>
      </c>
      <c r="AI298" s="145">
        <v>0</v>
      </c>
      <c r="AJ298" s="145">
        <v>0</v>
      </c>
      <c r="AK298" s="301">
        <v>0</v>
      </c>
      <c r="AL298" s="145">
        <v>0</v>
      </c>
      <c r="AM298" s="145">
        <v>0</v>
      </c>
      <c r="AN298" s="145">
        <v>0</v>
      </c>
      <c r="AO298" s="145">
        <v>0</v>
      </c>
      <c r="AP298" s="301">
        <v>0</v>
      </c>
      <c r="AQ298" s="145">
        <v>0</v>
      </c>
      <c r="AR298" s="145">
        <v>0</v>
      </c>
      <c r="AS298" s="145">
        <v>0</v>
      </c>
      <c r="AT298" s="145">
        <v>0</v>
      </c>
      <c r="AU298" s="301">
        <v>0</v>
      </c>
      <c r="AV298" s="145">
        <v>0</v>
      </c>
      <c r="AW298" s="145">
        <v>0</v>
      </c>
      <c r="AX298" s="145">
        <v>0</v>
      </c>
      <c r="AY298" s="145">
        <v>0</v>
      </c>
      <c r="AZ298" s="301">
        <v>0</v>
      </c>
      <c r="BA298" s="145">
        <v>0</v>
      </c>
      <c r="BB298" s="145">
        <v>0</v>
      </c>
      <c r="BC298" s="145">
        <v>0</v>
      </c>
      <c r="BD298" s="145">
        <v>0</v>
      </c>
      <c r="BE298" s="301">
        <v>0</v>
      </c>
      <c r="BF298" s="145">
        <v>0</v>
      </c>
      <c r="BG298" s="145">
        <v>0</v>
      </c>
      <c r="BH298" s="145">
        <v>0</v>
      </c>
      <c r="BI298" s="145">
        <v>0</v>
      </c>
      <c r="BJ298" s="427">
        <v>0</v>
      </c>
      <c r="BK298" s="145">
        <v>0</v>
      </c>
      <c r="BL298" s="145">
        <v>0</v>
      </c>
      <c r="BM298" s="145">
        <v>0</v>
      </c>
      <c r="BN298" s="145">
        <v>0</v>
      </c>
      <c r="BO298" s="427">
        <v>0</v>
      </c>
      <c r="BP298" s="145">
        <v>0</v>
      </c>
      <c r="BQ298" s="145">
        <v>0</v>
      </c>
      <c r="BR298" s="145">
        <v>0</v>
      </c>
      <c r="BS298" s="145">
        <v>0</v>
      </c>
      <c r="BT298" s="427">
        <v>0</v>
      </c>
      <c r="BU298" s="145">
        <v>0</v>
      </c>
      <c r="BV298" s="145">
        <v>0</v>
      </c>
      <c r="BW298" s="145">
        <v>0</v>
      </c>
      <c r="BX298" s="145">
        <v>0</v>
      </c>
      <c r="BY298" s="427">
        <v>0</v>
      </c>
      <c r="BZ298" s="145">
        <v>0</v>
      </c>
      <c r="CA298" s="145">
        <v>0</v>
      </c>
      <c r="CB298" s="145">
        <v>0</v>
      </c>
      <c r="CC298" s="145">
        <v>0</v>
      </c>
      <c r="CD298" s="427">
        <v>0</v>
      </c>
      <c r="CE298" s="145">
        <v>0</v>
      </c>
      <c r="CF298" s="145">
        <v>0</v>
      </c>
      <c r="CG298" s="145">
        <v>0</v>
      </c>
      <c r="CH298" s="145">
        <v>0</v>
      </c>
      <c r="CI298" s="427">
        <v>0</v>
      </c>
      <c r="CJ298" s="145">
        <v>0</v>
      </c>
      <c r="CK298" s="145">
        <v>0</v>
      </c>
      <c r="CL298" s="145">
        <v>0</v>
      </c>
      <c r="CM298" s="155">
        <v>0</v>
      </c>
      <c r="CN298" s="427">
        <v>0</v>
      </c>
      <c r="CO298" s="155">
        <v>0</v>
      </c>
      <c r="CP298" s="155">
        <v>0</v>
      </c>
      <c r="CQ298" s="155">
        <v>0</v>
      </c>
      <c r="CR298" s="155">
        <v>0</v>
      </c>
      <c r="CS298" s="427">
        <v>0</v>
      </c>
      <c r="CT298" s="155">
        <v>0</v>
      </c>
      <c r="CU298" s="155">
        <v>0</v>
      </c>
      <c r="CV298" s="155">
        <v>0</v>
      </c>
      <c r="CW298" s="155">
        <v>0</v>
      </c>
      <c r="CX298" s="427">
        <v>0</v>
      </c>
      <c r="CY298" s="155">
        <v>0</v>
      </c>
      <c r="CZ298" s="155">
        <v>0</v>
      </c>
      <c r="DA298" s="155">
        <v>0</v>
      </c>
      <c r="DB298" s="155">
        <v>0</v>
      </c>
      <c r="DC298" s="427">
        <v>0</v>
      </c>
      <c r="DD298" s="152"/>
      <c r="DE298" s="476"/>
      <c r="DJ298" s="413"/>
      <c r="DK298" s="411"/>
      <c r="DL298" s="411"/>
      <c r="DM298" s="411"/>
      <c r="DN298" s="411"/>
      <c r="DO298" s="411"/>
      <c r="DP298" s="411"/>
      <c r="DQ298" s="411"/>
      <c r="DR298" s="508"/>
      <c r="DS298" s="145"/>
    </row>
    <row r="299" spans="1:143" x14ac:dyDescent="0.2">
      <c r="A299" s="141" t="s">
        <v>19</v>
      </c>
      <c r="B299" s="300"/>
      <c r="C299" s="141"/>
      <c r="D299" s="141"/>
      <c r="E299" s="141"/>
      <c r="F299" s="141"/>
      <c r="G299" s="300">
        <f>0.001+0.137+0.024</f>
        <v>0.16200000000000001</v>
      </c>
      <c r="H299" s="141"/>
      <c r="I299" s="141"/>
      <c r="J299" s="141"/>
      <c r="K299" s="141"/>
      <c r="L299" s="300">
        <f>0.025+3.183+0.194</f>
        <v>3.4019999999999997</v>
      </c>
      <c r="M299" s="132"/>
      <c r="N299" s="132"/>
      <c r="O299" s="132"/>
      <c r="P299" s="132"/>
      <c r="Q299" s="300">
        <f>0.152+0.691+0.012+0.004+-0.001+168.126+215.703+1.054+6.568+8.144+3.71+0.013</f>
        <v>404.17599999999993</v>
      </c>
      <c r="R299" s="132"/>
      <c r="S299" s="132"/>
      <c r="T299" s="132"/>
      <c r="U299" s="132"/>
      <c r="V299" s="300">
        <f>0.045+0.011+0.009+122.423+4.13+9.38+9.479-0.22</f>
        <v>145.25699999999998</v>
      </c>
      <c r="W299" s="132"/>
      <c r="X299" s="132"/>
      <c r="Y299" s="132"/>
      <c r="Z299" s="132"/>
      <c r="AA299" s="300">
        <f>0.011+0.01+4.371+8.676+15.756-0.122</f>
        <v>28.702000000000002</v>
      </c>
      <c r="AB299" s="132"/>
      <c r="AC299" s="132"/>
      <c r="AD299" s="132"/>
      <c r="AE299" s="132"/>
      <c r="AF299" s="300">
        <f>1+152+6+5+17+3</f>
        <v>184</v>
      </c>
      <c r="AG299" s="132"/>
      <c r="AH299" s="132"/>
      <c r="AI299" s="132"/>
      <c r="AJ299" s="132"/>
      <c r="AK299" s="300">
        <f>11+21+17</f>
        <v>49</v>
      </c>
      <c r="AL299" s="132"/>
      <c r="AM299" s="132"/>
      <c r="AN299" s="132"/>
      <c r="AO299" s="132"/>
      <c r="AP299" s="300">
        <v>40</v>
      </c>
      <c r="AQ299" s="132"/>
      <c r="AR299" s="132"/>
      <c r="AS299" s="132"/>
      <c r="AT299" s="132"/>
      <c r="AU299" s="300">
        <f>AU286-AP286+AU287-AP287+AU290-AP290+(182-289)</f>
        <v>297</v>
      </c>
      <c r="AV299" s="132"/>
      <c r="AW299" s="132"/>
      <c r="AX299" s="132"/>
      <c r="AY299" s="132"/>
      <c r="AZ299" s="300">
        <f>AZ237</f>
        <v>120</v>
      </c>
      <c r="BA299" s="132"/>
      <c r="BB299" s="132"/>
      <c r="BC299" s="132"/>
      <c r="BD299" s="132"/>
      <c r="BE299" s="300">
        <f>BE237</f>
        <v>9</v>
      </c>
      <c r="BF299" s="132"/>
      <c r="BG299" s="132"/>
      <c r="BH299" s="132"/>
      <c r="BI299" s="132"/>
      <c r="BJ299" s="300">
        <f>BJ237</f>
        <v>10</v>
      </c>
      <c r="BK299" s="132"/>
      <c r="BL299" s="132"/>
      <c r="BM299" s="132"/>
      <c r="BN299" s="132"/>
      <c r="BO299" s="300">
        <f>BO237</f>
        <v>9</v>
      </c>
      <c r="BP299" s="132"/>
      <c r="BQ299" s="132"/>
      <c r="BR299" s="132"/>
      <c r="BS299" s="132"/>
      <c r="BT299" s="300">
        <f>BT237</f>
        <v>10</v>
      </c>
      <c r="BU299" s="132"/>
      <c r="BV299" s="132"/>
      <c r="BW299" s="132"/>
      <c r="BX299" s="132"/>
      <c r="BY299" s="300">
        <f>BY237</f>
        <v>41</v>
      </c>
      <c r="BZ299" s="132"/>
      <c r="CA299" s="132"/>
      <c r="CB299" s="132"/>
      <c r="CC299" s="132"/>
      <c r="CD299" s="300">
        <f>CD237</f>
        <v>84</v>
      </c>
      <c r="CE299" s="132"/>
      <c r="CF299" s="132"/>
      <c r="CG299" s="132"/>
      <c r="CH299" s="132"/>
      <c r="CI299" s="300">
        <f>CI237</f>
        <v>45</v>
      </c>
      <c r="CJ299" s="132"/>
      <c r="CK299" s="132"/>
      <c r="CL299" s="132"/>
      <c r="CM299" s="132"/>
      <c r="CN299" s="300">
        <f>CN237</f>
        <v>28</v>
      </c>
      <c r="CO299" s="132"/>
      <c r="CP299" s="132"/>
      <c r="CQ299" s="132"/>
      <c r="CR299" s="132"/>
      <c r="CS299" s="300">
        <f>CS237</f>
        <v>0</v>
      </c>
      <c r="CT299" s="132"/>
      <c r="CU299" s="132"/>
      <c r="CV299" s="132"/>
      <c r="CW299" s="132"/>
      <c r="CX299" s="300">
        <f>CX237</f>
        <v>0</v>
      </c>
      <c r="CY299" s="132"/>
      <c r="CZ299" s="132"/>
      <c r="DA299" s="132"/>
      <c r="DB299" s="132"/>
      <c r="DC299" s="300">
        <f>DC237</f>
        <v>0</v>
      </c>
      <c r="DD299" s="132"/>
      <c r="DE299" s="471"/>
      <c r="DJ299" s="413"/>
      <c r="DK299" s="411"/>
      <c r="DL299" s="411"/>
      <c r="DM299" s="411"/>
      <c r="DN299" s="411"/>
      <c r="DO299" s="411"/>
      <c r="DP299" s="411"/>
      <c r="DQ299" s="411"/>
      <c r="DR299" s="508"/>
      <c r="DS299" s="141"/>
    </row>
    <row r="300" spans="1:143" x14ac:dyDescent="0.2">
      <c r="A300" s="141" t="s">
        <v>20</v>
      </c>
      <c r="B300" s="300"/>
      <c r="C300" s="141"/>
      <c r="D300" s="141"/>
      <c r="E300" s="141"/>
      <c r="F300" s="141"/>
      <c r="G300" s="300">
        <f>+-14.092</f>
        <v>-14.092000000000001</v>
      </c>
      <c r="H300" s="141"/>
      <c r="I300" s="141"/>
      <c r="J300" s="141"/>
      <c r="K300" s="141"/>
      <c r="L300" s="300">
        <f>+-16.97</f>
        <v>-16.97</v>
      </c>
      <c r="M300" s="132"/>
      <c r="N300" s="132"/>
      <c r="O300" s="132"/>
      <c r="P300" s="132"/>
      <c r="Q300" s="300">
        <f>-5.955-0.045</f>
        <v>-6</v>
      </c>
      <c r="R300" s="132"/>
      <c r="S300" s="132"/>
      <c r="T300" s="132"/>
      <c r="U300" s="132"/>
      <c r="V300" s="300">
        <v>0</v>
      </c>
      <c r="W300" s="132"/>
      <c r="X300" s="132"/>
      <c r="Y300" s="132"/>
      <c r="Z300" s="132"/>
      <c r="AA300" s="300">
        <v>0</v>
      </c>
      <c r="AB300" s="132"/>
      <c r="AC300" s="132"/>
      <c r="AD300" s="132"/>
      <c r="AE300" s="132"/>
      <c r="AF300" s="300">
        <f>AF235</f>
        <v>0</v>
      </c>
      <c r="AG300" s="132"/>
      <c r="AH300" s="132"/>
      <c r="AI300" s="132"/>
      <c r="AJ300" s="132"/>
      <c r="AK300" s="300">
        <f>AK235</f>
        <v>0</v>
      </c>
      <c r="AL300" s="132"/>
      <c r="AM300" s="132"/>
      <c r="AN300" s="132"/>
      <c r="AO300" s="132"/>
      <c r="AP300" s="300">
        <f>AP235</f>
        <v>0</v>
      </c>
      <c r="AQ300" s="132"/>
      <c r="AR300" s="132"/>
      <c r="AS300" s="132"/>
      <c r="AT300" s="132"/>
      <c r="AU300" s="300">
        <f>AU235</f>
        <v>0</v>
      </c>
      <c r="AV300" s="132"/>
      <c r="AW300" s="132"/>
      <c r="AX300" s="132"/>
      <c r="AY300" s="132"/>
      <c r="AZ300" s="300">
        <f>AZ235</f>
        <v>0</v>
      </c>
      <c r="BA300" s="132"/>
      <c r="BB300" s="132"/>
      <c r="BC300" s="132"/>
      <c r="BD300" s="132"/>
      <c r="BE300" s="300">
        <f>BE235</f>
        <v>0</v>
      </c>
      <c r="BF300" s="132"/>
      <c r="BG300" s="132"/>
      <c r="BH300" s="132"/>
      <c r="BI300" s="132"/>
      <c r="BJ300" s="300">
        <f>BJ235</f>
        <v>0</v>
      </c>
      <c r="BK300" s="132"/>
      <c r="BL300" s="132"/>
      <c r="BM300" s="132"/>
      <c r="BN300" s="132"/>
      <c r="BO300" s="300">
        <f>BO235</f>
        <v>0</v>
      </c>
      <c r="BP300" s="132"/>
      <c r="BQ300" s="132"/>
      <c r="BR300" s="132"/>
      <c r="BS300" s="132"/>
      <c r="BT300" s="300">
        <f>BT235</f>
        <v>0</v>
      </c>
      <c r="BU300" s="132"/>
      <c r="BV300" s="132"/>
      <c r="BW300" s="132"/>
      <c r="BX300" s="132"/>
      <c r="BY300" s="300">
        <f>BY235</f>
        <v>0</v>
      </c>
      <c r="BZ300" s="132"/>
      <c r="CA300" s="132"/>
      <c r="CB300" s="132"/>
      <c r="CC300" s="132"/>
      <c r="CD300" s="300">
        <f>CD235</f>
        <v>0</v>
      </c>
      <c r="CE300" s="132"/>
      <c r="CF300" s="132"/>
      <c r="CG300" s="132"/>
      <c r="CH300" s="132"/>
      <c r="CI300" s="300">
        <f>CI235</f>
        <v>0</v>
      </c>
      <c r="CJ300" s="132"/>
      <c r="CK300" s="132"/>
      <c r="CL300" s="132"/>
      <c r="CM300" s="132"/>
      <c r="CN300" s="300">
        <f>CN235</f>
        <v>0</v>
      </c>
      <c r="CO300" s="132"/>
      <c r="CP300" s="132"/>
      <c r="CQ300" s="132"/>
      <c r="CR300" s="132"/>
      <c r="CS300" s="300">
        <f>CS235</f>
        <v>0</v>
      </c>
      <c r="CT300" s="132"/>
      <c r="CU300" s="132"/>
      <c r="CV300" s="132"/>
      <c r="CW300" s="132"/>
      <c r="CX300" s="300">
        <f>CX235</f>
        <v>0</v>
      </c>
      <c r="CY300" s="132"/>
      <c r="CZ300" s="132"/>
      <c r="DA300" s="132"/>
      <c r="DB300" s="132"/>
      <c r="DC300" s="300">
        <f>DC235</f>
        <v>0</v>
      </c>
      <c r="DD300" s="132"/>
      <c r="DE300" s="471"/>
      <c r="DJ300" s="413"/>
      <c r="DK300" s="411"/>
      <c r="DL300" s="411"/>
      <c r="DM300" s="411"/>
      <c r="DN300" s="411"/>
      <c r="DO300" s="411"/>
      <c r="DP300" s="411"/>
      <c r="DQ300" s="411"/>
      <c r="DR300" s="508"/>
      <c r="DS300" s="141"/>
    </row>
    <row r="301" spans="1:143" x14ac:dyDescent="0.2">
      <c r="A301" s="141" t="s">
        <v>21</v>
      </c>
      <c r="B301" s="314"/>
      <c r="C301" s="141"/>
      <c r="D301" s="141"/>
      <c r="E301" s="141"/>
      <c r="F301" s="141"/>
      <c r="G301" s="314"/>
      <c r="H301" s="141"/>
      <c r="I301" s="141"/>
      <c r="J301" s="141"/>
      <c r="K301" s="141"/>
      <c r="L301" s="314"/>
      <c r="M301" s="173"/>
      <c r="N301" s="173"/>
      <c r="O301" s="173"/>
      <c r="P301" s="173"/>
      <c r="Q301" s="314">
        <v>0</v>
      </c>
      <c r="R301" s="173"/>
      <c r="S301" s="173"/>
      <c r="T301" s="173"/>
      <c r="U301" s="173"/>
      <c r="V301" s="314">
        <v>0</v>
      </c>
      <c r="W301" s="173"/>
      <c r="X301" s="173"/>
      <c r="Y301" s="173"/>
      <c r="Z301" s="173"/>
      <c r="AA301" s="314">
        <v>0</v>
      </c>
      <c r="AB301" s="173"/>
      <c r="AC301" s="173"/>
      <c r="AD301" s="173"/>
      <c r="AE301" s="173"/>
      <c r="AF301" s="314">
        <v>0</v>
      </c>
      <c r="AG301" s="173"/>
      <c r="AH301" s="173"/>
      <c r="AI301" s="173"/>
      <c r="AJ301" s="173"/>
      <c r="AK301" s="314">
        <v>0</v>
      </c>
      <c r="AL301" s="173"/>
      <c r="AM301" s="173"/>
      <c r="AN301" s="173"/>
      <c r="AO301" s="173"/>
      <c r="AP301" s="314">
        <v>0</v>
      </c>
      <c r="AQ301" s="173"/>
      <c r="AR301" s="173"/>
      <c r="AS301" s="173"/>
      <c r="AT301" s="173"/>
      <c r="AU301" s="314">
        <v>0</v>
      </c>
      <c r="AV301" s="173"/>
      <c r="AW301" s="173"/>
      <c r="AX301" s="173"/>
      <c r="AY301" s="173"/>
      <c r="AZ301" s="333">
        <v>0</v>
      </c>
      <c r="BA301" s="173"/>
      <c r="BB301" s="173"/>
      <c r="BC301" s="173"/>
      <c r="BD301" s="173"/>
      <c r="BE301" s="333">
        <v>0</v>
      </c>
      <c r="BF301" s="173"/>
      <c r="BG301" s="173"/>
      <c r="BH301" s="173"/>
      <c r="BI301" s="173"/>
      <c r="BJ301" s="333">
        <v>0</v>
      </c>
      <c r="BK301" s="173"/>
      <c r="BL301" s="173"/>
      <c r="BM301" s="173"/>
      <c r="BN301" s="173"/>
      <c r="BO301" s="333">
        <v>0</v>
      </c>
      <c r="BP301" s="173"/>
      <c r="BQ301" s="173"/>
      <c r="BR301" s="173"/>
      <c r="BS301" s="173"/>
      <c r="BT301" s="333">
        <v>0</v>
      </c>
      <c r="BU301" s="173"/>
      <c r="BV301" s="173"/>
      <c r="BW301" s="173"/>
      <c r="BX301" s="173"/>
      <c r="BY301" s="333">
        <v>0</v>
      </c>
      <c r="BZ301" s="173"/>
      <c r="CA301" s="173"/>
      <c r="CB301" s="173"/>
      <c r="CC301" s="173"/>
      <c r="CD301" s="333">
        <v>0</v>
      </c>
      <c r="CE301" s="173"/>
      <c r="CF301" s="173"/>
      <c r="CG301" s="173"/>
      <c r="CH301" s="173"/>
      <c r="CI301" s="333">
        <v>0</v>
      </c>
      <c r="CJ301" s="173"/>
      <c r="CK301" s="173"/>
      <c r="CL301" s="173"/>
      <c r="CM301" s="173"/>
      <c r="CN301" s="333">
        <v>0</v>
      </c>
      <c r="CO301" s="173"/>
      <c r="CP301" s="173"/>
      <c r="CQ301" s="173"/>
      <c r="CR301" s="173"/>
      <c r="CS301" s="333">
        <v>0</v>
      </c>
      <c r="CT301" s="173"/>
      <c r="CU301" s="173"/>
      <c r="CV301" s="173"/>
      <c r="CW301" s="173"/>
      <c r="CX301" s="333">
        <v>0</v>
      </c>
      <c r="CY301" s="173"/>
      <c r="CZ301" s="173"/>
      <c r="DA301" s="173"/>
      <c r="DB301" s="173"/>
      <c r="DC301" s="333">
        <v>0</v>
      </c>
      <c r="DD301" s="132"/>
      <c r="DE301" s="471"/>
      <c r="DJ301" s="413"/>
      <c r="DK301" s="411"/>
      <c r="DL301" s="411"/>
      <c r="DM301" s="411"/>
      <c r="DN301" s="411"/>
      <c r="DO301" s="411"/>
      <c r="DP301" s="411"/>
      <c r="DQ301" s="411"/>
      <c r="DR301" s="508"/>
      <c r="DS301" s="141"/>
    </row>
    <row r="302" spans="1:143" customFormat="1" x14ac:dyDescent="0.2"/>
    <row r="303" spans="1:143" x14ac:dyDescent="0.2">
      <c r="A303" s="182" t="s">
        <v>218</v>
      </c>
      <c r="B303" s="315"/>
      <c r="C303" s="175"/>
      <c r="D303" s="175"/>
      <c r="E303" s="175"/>
      <c r="F303" s="175"/>
      <c r="G303" s="315"/>
      <c r="H303" s="175"/>
      <c r="I303" s="175"/>
      <c r="J303" s="175"/>
      <c r="K303" s="175"/>
      <c r="L303" s="315"/>
      <c r="M303" s="175"/>
      <c r="N303" s="175"/>
      <c r="O303" s="175"/>
      <c r="P303" s="175"/>
      <c r="Q303" s="315"/>
      <c r="R303" s="176"/>
      <c r="S303" s="176"/>
      <c r="T303" s="176"/>
      <c r="U303" s="176"/>
      <c r="V303" s="315"/>
      <c r="W303" s="176"/>
      <c r="X303" s="176"/>
      <c r="Y303" s="176"/>
      <c r="Z303" s="176"/>
      <c r="AA303" s="315"/>
      <c r="AB303" s="176"/>
      <c r="AC303" s="176"/>
      <c r="AD303" s="176"/>
      <c r="AE303" s="176"/>
      <c r="AF303" s="315"/>
      <c r="AG303" s="176"/>
      <c r="AH303" s="176"/>
      <c r="AI303" s="177"/>
      <c r="AJ303" s="176"/>
      <c r="AK303" s="315"/>
      <c r="AL303" s="176"/>
      <c r="AM303" s="176"/>
      <c r="AN303" s="176"/>
      <c r="AO303" s="176"/>
      <c r="AP303" s="315"/>
      <c r="AQ303" s="176"/>
      <c r="AR303" s="176"/>
      <c r="AS303" s="176"/>
      <c r="AT303" s="176"/>
      <c r="AU303" s="315"/>
      <c r="AV303" s="176"/>
      <c r="AW303" s="176"/>
      <c r="AX303" s="176"/>
      <c r="AY303" s="176"/>
      <c r="AZ303" s="315"/>
      <c r="BA303" s="174"/>
      <c r="BB303" s="174"/>
      <c r="BC303" s="174"/>
      <c r="BD303" s="174"/>
      <c r="BE303" s="334"/>
      <c r="BF303" s="174"/>
      <c r="BG303" s="174"/>
      <c r="BH303" s="174"/>
      <c r="BI303" s="174"/>
      <c r="BJ303" s="334"/>
      <c r="BK303" s="174"/>
      <c r="BL303" s="174"/>
      <c r="BM303" s="174"/>
      <c r="BN303" s="174"/>
      <c r="BO303" s="334"/>
      <c r="BP303" s="174"/>
      <c r="BQ303" s="174"/>
      <c r="BR303" s="174"/>
      <c r="BS303" s="174"/>
      <c r="BT303" s="334"/>
      <c r="BU303" s="174"/>
      <c r="BV303" s="174"/>
      <c r="BW303" s="174"/>
      <c r="BX303" s="174"/>
      <c r="BY303" s="334"/>
      <c r="BZ303" s="174"/>
      <c r="CA303" s="174"/>
      <c r="CB303" s="174"/>
      <c r="CC303" s="174"/>
      <c r="CD303" s="334"/>
      <c r="CE303" s="174"/>
      <c r="CF303" s="174"/>
      <c r="CG303" s="174"/>
      <c r="CH303" s="174"/>
      <c r="CI303" s="334"/>
      <c r="CJ303" s="174"/>
      <c r="CK303" s="174"/>
      <c r="CL303" s="174"/>
      <c r="CM303" s="174"/>
      <c r="CN303" s="334"/>
      <c r="CO303" s="174"/>
      <c r="CP303" s="174"/>
      <c r="CQ303" s="174"/>
      <c r="CR303" s="174"/>
      <c r="CS303" s="334"/>
      <c r="CT303" s="174"/>
      <c r="CU303" s="174"/>
      <c r="CV303" s="174"/>
      <c r="CW303" s="174"/>
      <c r="CX303" s="334"/>
      <c r="CY303" s="174"/>
      <c r="CZ303" s="174"/>
      <c r="DA303" s="174"/>
      <c r="DB303" s="174"/>
      <c r="DC303" s="334"/>
      <c r="DD303" s="25"/>
      <c r="DE303" s="178"/>
      <c r="DJ303" s="430"/>
      <c r="DK303" s="389"/>
      <c r="DL303" s="389"/>
      <c r="DM303" s="389"/>
      <c r="DN303" s="389"/>
      <c r="DO303" s="389"/>
      <c r="DP303" s="389"/>
      <c r="DQ303" s="389"/>
      <c r="DR303" s="487"/>
      <c r="DS303" s="25"/>
    </row>
    <row r="304" spans="1:143" s="7" customFormat="1" x14ac:dyDescent="0.2">
      <c r="A304" s="7" t="s">
        <v>219</v>
      </c>
      <c r="B304" s="260"/>
      <c r="G304" s="260"/>
      <c r="L304" s="260"/>
      <c r="Q304" s="260"/>
      <c r="V304" s="260"/>
      <c r="AA304" s="260"/>
      <c r="AF304" s="260"/>
      <c r="AK304" s="260"/>
      <c r="AP304" s="260"/>
      <c r="AU304" s="260"/>
      <c r="AZ304" s="260"/>
      <c r="BE304" s="260"/>
      <c r="BJ304" s="260"/>
      <c r="BO304" s="260"/>
      <c r="BT304" s="260"/>
      <c r="BY304" s="260"/>
      <c r="CD304" s="260"/>
      <c r="CI304" s="260"/>
      <c r="CN304" s="260"/>
      <c r="CS304" s="260"/>
      <c r="CX304" s="260"/>
      <c r="DC304" s="260"/>
      <c r="DD304" s="363"/>
      <c r="DE304" s="6"/>
      <c r="DF304" s="363"/>
      <c r="DG304" s="363"/>
      <c r="DH304" s="363"/>
      <c r="DI304" s="363"/>
      <c r="DJ304" s="435"/>
      <c r="DK304" s="393"/>
      <c r="DL304" s="393"/>
      <c r="DM304" s="393"/>
      <c r="DN304" s="393"/>
      <c r="DO304" s="393"/>
      <c r="DP304" s="393"/>
      <c r="DQ304" s="393"/>
      <c r="DR304" s="6"/>
      <c r="DS304" s="363"/>
      <c r="DT304"/>
      <c r="DU304"/>
      <c r="DV304"/>
      <c r="DW304"/>
      <c r="DX304"/>
      <c r="DY304"/>
    </row>
    <row r="305" spans="1:129" hidden="1" x14ac:dyDescent="0.2">
      <c r="A305" s="132" t="s">
        <v>61</v>
      </c>
      <c r="B305" s="316"/>
      <c r="C305" s="41"/>
      <c r="D305" s="41"/>
      <c r="E305" s="41"/>
      <c r="F305" s="41"/>
      <c r="G305" s="316"/>
      <c r="H305" s="41"/>
      <c r="I305" s="41"/>
      <c r="J305" s="41"/>
      <c r="K305" s="41"/>
      <c r="L305" s="316"/>
      <c r="M305" s="41"/>
      <c r="N305" s="41"/>
      <c r="O305" s="41"/>
      <c r="P305" s="41"/>
      <c r="Q305" s="316"/>
      <c r="R305" s="179"/>
      <c r="S305" s="179"/>
      <c r="T305" s="179"/>
      <c r="U305" s="179"/>
      <c r="V305" s="316"/>
      <c r="W305" s="179"/>
      <c r="X305" s="179"/>
      <c r="Y305" s="179"/>
      <c r="Z305" s="179"/>
      <c r="AA305" s="316"/>
      <c r="AB305" s="179"/>
      <c r="AC305" s="179"/>
      <c r="AD305" s="179"/>
      <c r="AE305" s="179"/>
      <c r="AF305" s="316"/>
      <c r="AG305" s="179"/>
      <c r="AH305" s="179"/>
      <c r="AI305" s="180"/>
      <c r="AJ305" s="179"/>
      <c r="AK305" s="300">
        <f>AK253</f>
        <v>698.71699999999987</v>
      </c>
      <c r="AL305" s="132">
        <f t="shared" ref="AL305:BE305" si="1009">AL253</f>
        <v>773.71699999999987</v>
      </c>
      <c r="AM305" s="132">
        <f t="shared" si="1009"/>
        <v>771.71699999999987</v>
      </c>
      <c r="AN305" s="132">
        <f t="shared" si="1009"/>
        <v>843.71699999999987</v>
      </c>
      <c r="AO305" s="132">
        <f t="shared" si="1009"/>
        <v>833.71699999999987</v>
      </c>
      <c r="AP305" s="300">
        <f t="shared" si="1009"/>
        <v>833.71699999999987</v>
      </c>
      <c r="AQ305" s="132">
        <f t="shared" si="1009"/>
        <v>752.71699999999987</v>
      </c>
      <c r="AR305" s="132">
        <f t="shared" si="1009"/>
        <v>963.71699999999987</v>
      </c>
      <c r="AS305" s="132">
        <f t="shared" si="1009"/>
        <v>564.71699999999987</v>
      </c>
      <c r="AT305" s="132">
        <f t="shared" si="1009"/>
        <v>570.71699999999987</v>
      </c>
      <c r="AU305" s="300">
        <f t="shared" si="1009"/>
        <v>570.71699999999987</v>
      </c>
      <c r="AV305" s="132">
        <f t="shared" si="1009"/>
        <v>635.71699999999987</v>
      </c>
      <c r="AW305" s="132">
        <f t="shared" si="1009"/>
        <v>890.71699999999987</v>
      </c>
      <c r="AX305" s="132">
        <f t="shared" si="1009"/>
        <v>1169.7169999999999</v>
      </c>
      <c r="AY305" s="132">
        <f t="shared" si="1009"/>
        <v>1141.7169999999999</v>
      </c>
      <c r="AZ305" s="300">
        <f t="shared" si="1009"/>
        <v>1141.7169999999999</v>
      </c>
      <c r="BA305" s="132">
        <f>BA253</f>
        <v>1136.7169999999999</v>
      </c>
      <c r="BB305" s="132">
        <f>BB253</f>
        <v>1158.7169999999999</v>
      </c>
      <c r="BC305" s="132">
        <f>BC253</f>
        <v>1163.7169999999999</v>
      </c>
      <c r="BD305" s="132">
        <f>BD253</f>
        <v>1092.7169999999999</v>
      </c>
      <c r="BE305" s="300">
        <f t="shared" si="1009"/>
        <v>1092.7169999999996</v>
      </c>
      <c r="BF305" s="132">
        <f t="shared" ref="BF305:BT305" si="1010">BF253</f>
        <v>1234.7169999999996</v>
      </c>
      <c r="BG305" s="132">
        <f t="shared" si="1010"/>
        <v>1305.7169999999996</v>
      </c>
      <c r="BH305" s="132">
        <f t="shared" si="1010"/>
        <v>1238.7169999999996</v>
      </c>
      <c r="BI305" s="132">
        <f t="shared" si="1010"/>
        <v>1263.7169999999996</v>
      </c>
      <c r="BJ305" s="300">
        <f t="shared" si="1010"/>
        <v>1263.7169999999996</v>
      </c>
      <c r="BK305" s="132">
        <f>BK253</f>
        <v>1224.7169999999996</v>
      </c>
      <c r="BL305" s="132">
        <f>BL253</f>
        <v>1211.7169999999996</v>
      </c>
      <c r="BM305" s="132">
        <f>BM253</f>
        <v>1063.7169999999996</v>
      </c>
      <c r="BN305" s="132">
        <f>BN253</f>
        <v>866.71699999999953</v>
      </c>
      <c r="BO305" s="300">
        <f t="shared" si="1010"/>
        <v>866.71699999999953</v>
      </c>
      <c r="BP305" s="132"/>
      <c r="BQ305" s="132"/>
      <c r="BR305" s="132"/>
      <c r="BS305" s="132"/>
      <c r="BT305" s="300">
        <f t="shared" si="1010"/>
        <v>740.71699999999953</v>
      </c>
      <c r="BU305" s="132"/>
      <c r="BV305" s="132"/>
      <c r="BW305" s="132"/>
      <c r="BX305" s="132"/>
      <c r="BY305" s="300">
        <f>BY253</f>
        <v>767.71699999999953</v>
      </c>
      <c r="BZ305" s="132"/>
      <c r="CA305" s="132"/>
      <c r="CB305" s="132"/>
      <c r="CC305" s="132"/>
      <c r="CD305" s="300">
        <f>CD253</f>
        <v>924.71699999999953</v>
      </c>
      <c r="CE305" s="132"/>
      <c r="CF305" s="132"/>
      <c r="CG305" s="132"/>
      <c r="CH305" s="132"/>
      <c r="CI305" s="300">
        <f>CI253</f>
        <v>970.71699999999953</v>
      </c>
      <c r="CJ305" s="132"/>
      <c r="CK305" s="132"/>
      <c r="CL305" s="132"/>
      <c r="CM305" s="132"/>
      <c r="CN305" s="300">
        <f>CN253</f>
        <v>1114.824376191531</v>
      </c>
      <c r="CO305" s="132"/>
      <c r="CP305" s="132"/>
      <c r="CQ305" s="132"/>
      <c r="CR305" s="132"/>
      <c r="CS305" s="300">
        <f>CS253</f>
        <v>999.13432448966932</v>
      </c>
      <c r="CT305" s="132"/>
      <c r="CU305" s="132"/>
      <c r="CV305" s="132"/>
      <c r="CW305" s="132"/>
      <c r="CX305" s="300">
        <f>CX253</f>
        <v>922.56998830948055</v>
      </c>
      <c r="CY305" s="132"/>
      <c r="CZ305" s="132"/>
      <c r="DA305" s="132"/>
      <c r="DB305" s="132"/>
      <c r="DC305" s="300">
        <f>DC253</f>
        <v>1112.0128524913473</v>
      </c>
      <c r="DD305" s="25"/>
      <c r="DE305" s="178"/>
      <c r="DJ305" s="430"/>
      <c r="DK305" s="389"/>
      <c r="DL305" s="389"/>
      <c r="DM305" s="389"/>
      <c r="DN305" s="389"/>
      <c r="DO305" s="389"/>
      <c r="DP305" s="389"/>
      <c r="DQ305" s="389"/>
      <c r="DR305" s="487"/>
      <c r="DS305" s="25"/>
    </row>
    <row r="306" spans="1:129" hidden="1" x14ac:dyDescent="0.2">
      <c r="A306" s="132" t="s">
        <v>62</v>
      </c>
      <c r="B306" s="316"/>
      <c r="C306" s="41"/>
      <c r="D306" s="41"/>
      <c r="E306" s="41"/>
      <c r="F306" s="41"/>
      <c r="G306" s="316"/>
      <c r="H306" s="41"/>
      <c r="I306" s="41"/>
      <c r="J306" s="41"/>
      <c r="K306" s="41"/>
      <c r="L306" s="316"/>
      <c r="M306" s="41"/>
      <c r="N306" s="41"/>
      <c r="O306" s="41"/>
      <c r="P306" s="41"/>
      <c r="Q306" s="316"/>
      <c r="R306" s="179"/>
      <c r="S306" s="179"/>
      <c r="T306" s="179"/>
      <c r="U306" s="179"/>
      <c r="V306" s="316"/>
      <c r="W306" s="179"/>
      <c r="X306" s="179"/>
      <c r="Y306" s="179"/>
      <c r="Z306" s="179"/>
      <c r="AA306" s="316"/>
      <c r="AB306" s="179"/>
      <c r="AC306" s="179"/>
      <c r="AD306" s="179"/>
      <c r="AE306" s="179"/>
      <c r="AF306" s="316"/>
      <c r="AG306" s="179"/>
      <c r="AH306" s="179"/>
      <c r="AI306" s="180"/>
      <c r="AJ306" s="179"/>
      <c r="AK306" s="300">
        <f>AK255</f>
        <v>120</v>
      </c>
      <c r="AL306" s="132">
        <f t="shared" ref="AL306:BE306" si="1011">AL255</f>
        <v>122</v>
      </c>
      <c r="AM306" s="132">
        <f t="shared" si="1011"/>
        <v>100</v>
      </c>
      <c r="AN306" s="132">
        <f t="shared" si="1011"/>
        <v>70</v>
      </c>
      <c r="AO306" s="132">
        <f t="shared" si="1011"/>
        <v>53</v>
      </c>
      <c r="AP306" s="300">
        <f t="shared" si="1011"/>
        <v>53</v>
      </c>
      <c r="AQ306" s="132">
        <f t="shared" si="1011"/>
        <v>54</v>
      </c>
      <c r="AR306" s="132">
        <f t="shared" si="1011"/>
        <v>129</v>
      </c>
      <c r="AS306" s="132">
        <f t="shared" si="1011"/>
        <v>211</v>
      </c>
      <c r="AT306" s="132">
        <f t="shared" si="1011"/>
        <v>264</v>
      </c>
      <c r="AU306" s="300">
        <f t="shared" si="1011"/>
        <v>264</v>
      </c>
      <c r="AV306" s="132">
        <f t="shared" si="1011"/>
        <v>210</v>
      </c>
      <c r="AW306" s="132">
        <f t="shared" si="1011"/>
        <v>166</v>
      </c>
      <c r="AX306" s="132">
        <f t="shared" si="1011"/>
        <v>113</v>
      </c>
      <c r="AY306" s="132">
        <f t="shared" si="1011"/>
        <v>77</v>
      </c>
      <c r="AZ306" s="300">
        <f t="shared" si="1011"/>
        <v>77</v>
      </c>
      <c r="BA306" s="132">
        <f>BA255</f>
        <v>71</v>
      </c>
      <c r="BB306" s="132">
        <f>BB255</f>
        <v>70</v>
      </c>
      <c r="BC306" s="132">
        <f>BC255</f>
        <v>69</v>
      </c>
      <c r="BD306" s="132">
        <f>BD255</f>
        <v>68</v>
      </c>
      <c r="BE306" s="300">
        <f t="shared" si="1011"/>
        <v>68</v>
      </c>
      <c r="BF306" s="132">
        <f t="shared" ref="BF306:BT306" si="1012">BF255</f>
        <v>66</v>
      </c>
      <c r="BG306" s="132">
        <f t="shared" si="1012"/>
        <v>65</v>
      </c>
      <c r="BH306" s="132">
        <f t="shared" si="1012"/>
        <v>64</v>
      </c>
      <c r="BI306" s="132">
        <f t="shared" si="1012"/>
        <v>67</v>
      </c>
      <c r="BJ306" s="300">
        <f t="shared" si="1012"/>
        <v>67</v>
      </c>
      <c r="BK306" s="132">
        <f>BK255</f>
        <v>65</v>
      </c>
      <c r="BL306" s="132">
        <f>BL255</f>
        <v>55</v>
      </c>
      <c r="BM306" s="132">
        <f>BM255</f>
        <v>55</v>
      </c>
      <c r="BN306" s="132">
        <f>BN255</f>
        <v>51</v>
      </c>
      <c r="BO306" s="300">
        <f t="shared" si="1012"/>
        <v>51</v>
      </c>
      <c r="BP306" s="132"/>
      <c r="BQ306" s="132"/>
      <c r="BR306" s="132"/>
      <c r="BS306" s="132"/>
      <c r="BT306" s="300">
        <f t="shared" si="1012"/>
        <v>57</v>
      </c>
      <c r="BU306" s="132"/>
      <c r="BV306" s="132"/>
      <c r="BW306" s="132"/>
      <c r="BX306" s="132"/>
      <c r="BY306" s="300">
        <f>BY255</f>
        <v>61</v>
      </c>
      <c r="BZ306" s="132"/>
      <c r="CA306" s="132"/>
      <c r="CB306" s="132"/>
      <c r="CC306" s="132"/>
      <c r="CD306" s="300">
        <f>CD255</f>
        <v>63</v>
      </c>
      <c r="CE306" s="132"/>
      <c r="CF306" s="132"/>
      <c r="CG306" s="132"/>
      <c r="CH306" s="132"/>
      <c r="CI306" s="300">
        <f>CI255</f>
        <v>62</v>
      </c>
      <c r="CJ306" s="132"/>
      <c r="CK306" s="132"/>
      <c r="CL306" s="132"/>
      <c r="CM306" s="132"/>
      <c r="CN306" s="300">
        <f>CN255</f>
        <v>60.841799709724242</v>
      </c>
      <c r="CO306" s="132"/>
      <c r="CP306" s="132"/>
      <c r="CQ306" s="132"/>
      <c r="CR306" s="132"/>
      <c r="CS306" s="300">
        <f>CS255</f>
        <v>65.68260022254475</v>
      </c>
      <c r="CT306" s="132"/>
      <c r="CU306" s="132"/>
      <c r="CV306" s="132"/>
      <c r="CW306" s="132"/>
      <c r="CX306" s="300">
        <f>CX255</f>
        <v>70.631784149313489</v>
      </c>
      <c r="CY306" s="132"/>
      <c r="CZ306" s="132"/>
      <c r="DA306" s="132"/>
      <c r="DB306" s="132"/>
      <c r="DC306" s="300">
        <f>DC255</f>
        <v>75.95388908496426</v>
      </c>
      <c r="DD306" s="25"/>
      <c r="DE306" s="178"/>
      <c r="DJ306" s="430"/>
      <c r="DK306" s="389"/>
      <c r="DL306" s="389"/>
      <c r="DM306" s="389"/>
      <c r="DN306" s="389"/>
      <c r="DO306" s="389"/>
      <c r="DP306" s="389"/>
      <c r="DQ306" s="389"/>
      <c r="DR306" s="487"/>
      <c r="DS306" s="25"/>
    </row>
    <row r="307" spans="1:129" hidden="1" x14ac:dyDescent="0.2">
      <c r="A307" s="132" t="s">
        <v>63</v>
      </c>
      <c r="B307" s="316"/>
      <c r="C307" s="41"/>
      <c r="D307" s="41"/>
      <c r="E307" s="41"/>
      <c r="F307" s="41"/>
      <c r="G307" s="316"/>
      <c r="H307" s="41"/>
      <c r="I307" s="41"/>
      <c r="J307" s="41"/>
      <c r="K307" s="41"/>
      <c r="L307" s="316"/>
      <c r="M307" s="41"/>
      <c r="N307" s="41"/>
      <c r="O307" s="41"/>
      <c r="P307" s="41"/>
      <c r="Q307" s="316"/>
      <c r="R307" s="179"/>
      <c r="S307" s="179"/>
      <c r="T307" s="179"/>
      <c r="U307" s="179"/>
      <c r="V307" s="316"/>
      <c r="W307" s="179"/>
      <c r="X307" s="179"/>
      <c r="Y307" s="179"/>
      <c r="Z307" s="179"/>
      <c r="AA307" s="316"/>
      <c r="AB307" s="179"/>
      <c r="AC307" s="179"/>
      <c r="AD307" s="179"/>
      <c r="AE307" s="179"/>
      <c r="AF307" s="316"/>
      <c r="AG307" s="179"/>
      <c r="AH307" s="179"/>
      <c r="AI307" s="180"/>
      <c r="AJ307" s="179"/>
      <c r="AK307" s="300"/>
      <c r="AL307" s="132"/>
      <c r="AM307" s="132"/>
      <c r="AN307" s="132"/>
      <c r="AO307" s="132"/>
      <c r="AP307" s="300"/>
      <c r="AQ307" s="132"/>
      <c r="AR307" s="132"/>
      <c r="AS307" s="132"/>
      <c r="AT307" s="132"/>
      <c r="AU307" s="300"/>
      <c r="AV307" s="132"/>
      <c r="AW307" s="153">
        <v>227</v>
      </c>
      <c r="AX307" s="153">
        <f t="shared" ref="AX307:BD308" si="1013">AW307</f>
        <v>227</v>
      </c>
      <c r="AY307" s="153">
        <f t="shared" si="1013"/>
        <v>227</v>
      </c>
      <c r="AZ307" s="330">
        <f t="shared" si="1013"/>
        <v>227</v>
      </c>
      <c r="BA307" s="153">
        <v>0</v>
      </c>
      <c r="BB307" s="153">
        <v>0</v>
      </c>
      <c r="BC307" s="153">
        <f t="shared" si="1013"/>
        <v>0</v>
      </c>
      <c r="BD307" s="153">
        <f t="shared" si="1013"/>
        <v>0</v>
      </c>
      <c r="BE307" s="330">
        <v>0</v>
      </c>
      <c r="BF307" s="153">
        <f t="shared" ref="BF307:BI308" si="1014">BE307</f>
        <v>0</v>
      </c>
      <c r="BG307" s="153">
        <f t="shared" si="1014"/>
        <v>0</v>
      </c>
      <c r="BH307" s="153">
        <f t="shared" si="1014"/>
        <v>0</v>
      </c>
      <c r="BI307" s="153">
        <f t="shared" si="1014"/>
        <v>0</v>
      </c>
      <c r="BJ307" s="330">
        <f>BE307</f>
        <v>0</v>
      </c>
      <c r="BK307" s="153">
        <f t="shared" ref="BK307:BN308" si="1015">BJ307</f>
        <v>0</v>
      </c>
      <c r="BL307" s="153">
        <f t="shared" si="1015"/>
        <v>0</v>
      </c>
      <c r="BM307" s="153">
        <f t="shared" si="1015"/>
        <v>0</v>
      </c>
      <c r="BN307" s="153">
        <f t="shared" si="1015"/>
        <v>0</v>
      </c>
      <c r="BO307" s="330">
        <f>BJ307</f>
        <v>0</v>
      </c>
      <c r="BP307" s="153"/>
      <c r="BQ307" s="153"/>
      <c r="BR307" s="153"/>
      <c r="BS307" s="153"/>
      <c r="BT307" s="330">
        <f>BO307</f>
        <v>0</v>
      </c>
      <c r="BU307" s="153"/>
      <c r="BV307" s="153"/>
      <c r="BW307" s="153"/>
      <c r="BX307" s="153"/>
      <c r="BY307" s="330">
        <f>BT307</f>
        <v>0</v>
      </c>
      <c r="BZ307" s="153"/>
      <c r="CA307" s="153"/>
      <c r="CB307" s="153"/>
      <c r="CC307" s="153"/>
      <c r="CD307" s="330">
        <f>BY307</f>
        <v>0</v>
      </c>
      <c r="CE307" s="153"/>
      <c r="CF307" s="153"/>
      <c r="CG307" s="153"/>
      <c r="CH307" s="153"/>
      <c r="CI307" s="330">
        <f>CD307</f>
        <v>0</v>
      </c>
      <c r="CJ307" s="153"/>
      <c r="CK307" s="153"/>
      <c r="CL307" s="153"/>
      <c r="CM307" s="153"/>
      <c r="CN307" s="330">
        <f>CI307</f>
        <v>0</v>
      </c>
      <c r="CO307" s="153"/>
      <c r="CP307" s="153"/>
      <c r="CQ307" s="153"/>
      <c r="CR307" s="153"/>
      <c r="CS307" s="330">
        <f>CN307</f>
        <v>0</v>
      </c>
      <c r="CT307" s="153"/>
      <c r="CU307" s="153"/>
      <c r="CV307" s="153"/>
      <c r="CW307" s="153"/>
      <c r="CX307" s="330">
        <f>CS307</f>
        <v>0</v>
      </c>
      <c r="CY307" s="153"/>
      <c r="CZ307" s="153"/>
      <c r="DA307" s="153"/>
      <c r="DB307" s="153"/>
      <c r="DC307" s="330">
        <f>CX307</f>
        <v>0</v>
      </c>
      <c r="DD307" s="25"/>
      <c r="DE307" s="178"/>
      <c r="DJ307" s="430"/>
      <c r="DK307" s="389"/>
      <c r="DL307" s="389"/>
      <c r="DM307" s="389"/>
      <c r="DN307" s="389"/>
      <c r="DO307" s="389"/>
      <c r="DP307" s="389"/>
      <c r="DQ307" s="389"/>
      <c r="DR307" s="487"/>
      <c r="DS307" s="25"/>
    </row>
    <row r="308" spans="1:129" hidden="1" x14ac:dyDescent="0.2">
      <c r="A308" s="132" t="s">
        <v>64</v>
      </c>
      <c r="B308" s="316"/>
      <c r="C308" s="41"/>
      <c r="D308" s="41"/>
      <c r="E308" s="41"/>
      <c r="F308" s="41"/>
      <c r="G308" s="316"/>
      <c r="H308" s="41"/>
      <c r="I308" s="41"/>
      <c r="J308" s="41"/>
      <c r="K308" s="41"/>
      <c r="L308" s="316"/>
      <c r="M308" s="41"/>
      <c r="N308" s="41"/>
      <c r="O308" s="41"/>
      <c r="P308" s="41"/>
      <c r="Q308" s="316"/>
      <c r="R308" s="179"/>
      <c r="S308" s="179"/>
      <c r="T308" s="179"/>
      <c r="U308" s="179"/>
      <c r="V308" s="316"/>
      <c r="W308" s="179"/>
      <c r="X308" s="179"/>
      <c r="Y308" s="179"/>
      <c r="Z308" s="179"/>
      <c r="AA308" s="316"/>
      <c r="AB308" s="179"/>
      <c r="AC308" s="179"/>
      <c r="AD308" s="179"/>
      <c r="AE308" s="179"/>
      <c r="AF308" s="316"/>
      <c r="AG308" s="179"/>
      <c r="AH308" s="179"/>
      <c r="AI308" s="180"/>
      <c r="AJ308" s="179"/>
      <c r="AK308" s="300"/>
      <c r="AL308" s="132"/>
      <c r="AM308" s="132"/>
      <c r="AN308" s="132"/>
      <c r="AO308" s="132"/>
      <c r="AP308" s="300"/>
      <c r="AQ308" s="132"/>
      <c r="AR308" s="132"/>
      <c r="AS308" s="132"/>
      <c r="AT308" s="132"/>
      <c r="AU308" s="300"/>
      <c r="AV308" s="132"/>
      <c r="AW308" s="153">
        <v>84</v>
      </c>
      <c r="AX308" s="153">
        <v>60</v>
      </c>
      <c r="AY308" s="153">
        <f t="shared" si="1013"/>
        <v>60</v>
      </c>
      <c r="AZ308" s="330">
        <f t="shared" si="1013"/>
        <v>60</v>
      </c>
      <c r="BA308" s="153">
        <v>63</v>
      </c>
      <c r="BB308" s="153">
        <f t="shared" si="1013"/>
        <v>63</v>
      </c>
      <c r="BC308" s="153">
        <v>0</v>
      </c>
      <c r="BD308" s="153">
        <v>0</v>
      </c>
      <c r="BE308" s="330">
        <f>BD308</f>
        <v>0</v>
      </c>
      <c r="BF308" s="153">
        <f t="shared" si="1014"/>
        <v>0</v>
      </c>
      <c r="BG308" s="153">
        <f t="shared" si="1014"/>
        <v>0</v>
      </c>
      <c r="BH308" s="153">
        <f t="shared" si="1014"/>
        <v>0</v>
      </c>
      <c r="BI308" s="153">
        <f t="shared" si="1014"/>
        <v>0</v>
      </c>
      <c r="BJ308" s="330">
        <f>BI308</f>
        <v>0</v>
      </c>
      <c r="BK308" s="153">
        <f t="shared" si="1015"/>
        <v>0</v>
      </c>
      <c r="BL308" s="153">
        <f t="shared" si="1015"/>
        <v>0</v>
      </c>
      <c r="BM308" s="153">
        <f t="shared" si="1015"/>
        <v>0</v>
      </c>
      <c r="BN308" s="153">
        <f t="shared" si="1015"/>
        <v>0</v>
      </c>
      <c r="BO308" s="330">
        <f>BJ308</f>
        <v>0</v>
      </c>
      <c r="BP308" s="153"/>
      <c r="BQ308" s="153"/>
      <c r="BR308" s="153"/>
      <c r="BS308" s="153"/>
      <c r="BT308" s="330">
        <f>BO308</f>
        <v>0</v>
      </c>
      <c r="BU308" s="153"/>
      <c r="BV308" s="153"/>
      <c r="BW308" s="153"/>
      <c r="BX308" s="153"/>
      <c r="BY308" s="330">
        <f>BT308</f>
        <v>0</v>
      </c>
      <c r="BZ308" s="153"/>
      <c r="CA308" s="153"/>
      <c r="CB308" s="153"/>
      <c r="CC308" s="153"/>
      <c r="CD308" s="330">
        <f>BY308</f>
        <v>0</v>
      </c>
      <c r="CE308" s="153"/>
      <c r="CF308" s="153"/>
      <c r="CG308" s="153"/>
      <c r="CH308" s="153"/>
      <c r="CI308" s="330">
        <f>CD308</f>
        <v>0</v>
      </c>
      <c r="CJ308" s="153"/>
      <c r="CK308" s="153"/>
      <c r="CL308" s="153"/>
      <c r="CM308" s="153"/>
      <c r="CN308" s="330">
        <f>CI308</f>
        <v>0</v>
      </c>
      <c r="CO308" s="153"/>
      <c r="CP308" s="153"/>
      <c r="CQ308" s="153"/>
      <c r="CR308" s="153"/>
      <c r="CS308" s="330">
        <f>CN308</f>
        <v>0</v>
      </c>
      <c r="CT308" s="153"/>
      <c r="CU308" s="153"/>
      <c r="CV308" s="153"/>
      <c r="CW308" s="153"/>
      <c r="CX308" s="330">
        <f>CS308</f>
        <v>0</v>
      </c>
      <c r="CY308" s="153"/>
      <c r="CZ308" s="153"/>
      <c r="DA308" s="153"/>
      <c r="DB308" s="153"/>
      <c r="DC308" s="330">
        <f>CX308</f>
        <v>0</v>
      </c>
      <c r="DD308" s="25"/>
      <c r="DE308" s="178"/>
      <c r="DJ308" s="430"/>
      <c r="DK308" s="389"/>
      <c r="DL308" s="389"/>
      <c r="DM308" s="389"/>
      <c r="DN308" s="389"/>
      <c r="DO308" s="389"/>
      <c r="DP308" s="389"/>
      <c r="DQ308" s="389"/>
      <c r="DR308" s="487"/>
      <c r="DS308" s="25"/>
    </row>
    <row r="309" spans="1:129" hidden="1" x14ac:dyDescent="0.2">
      <c r="A309" s="132" t="s">
        <v>65</v>
      </c>
      <c r="B309" s="316"/>
      <c r="C309" s="41"/>
      <c r="D309" s="41"/>
      <c r="E309" s="41"/>
      <c r="F309" s="41"/>
      <c r="G309" s="316"/>
      <c r="H309" s="41"/>
      <c r="I309" s="41"/>
      <c r="J309" s="41"/>
      <c r="K309" s="41"/>
      <c r="L309" s="316"/>
      <c r="M309" s="41"/>
      <c r="N309" s="41"/>
      <c r="O309" s="41"/>
      <c r="P309" s="41"/>
      <c r="Q309" s="316"/>
      <c r="R309" s="179"/>
      <c r="S309" s="179"/>
      <c r="T309" s="179"/>
      <c r="U309" s="179"/>
      <c r="V309" s="316"/>
      <c r="W309" s="179"/>
      <c r="X309" s="179"/>
      <c r="Y309" s="179"/>
      <c r="Z309" s="179"/>
      <c r="AA309" s="316"/>
      <c r="AB309" s="179"/>
      <c r="AC309" s="179"/>
      <c r="AD309" s="179"/>
      <c r="AE309" s="179"/>
      <c r="AF309" s="316"/>
      <c r="AG309" s="179"/>
      <c r="AH309" s="179"/>
      <c r="AI309" s="180"/>
      <c r="AJ309" s="179"/>
      <c r="AK309" s="300"/>
      <c r="AL309" s="132"/>
      <c r="AM309" s="132"/>
      <c r="AN309" s="132"/>
      <c r="AO309" s="132"/>
      <c r="AP309" s="300"/>
      <c r="AQ309" s="132"/>
      <c r="AR309" s="132"/>
      <c r="AS309" s="132"/>
      <c r="AT309" s="132"/>
      <c r="AU309" s="300"/>
      <c r="AV309" s="132"/>
      <c r="AW309" s="153">
        <v>0</v>
      </c>
      <c r="AX309" s="153">
        <v>0</v>
      </c>
      <c r="AY309" s="153">
        <v>0</v>
      </c>
      <c r="AZ309" s="330">
        <v>0</v>
      </c>
      <c r="BA309" s="153">
        <v>0</v>
      </c>
      <c r="BB309" s="153">
        <v>0</v>
      </c>
      <c r="BC309" s="153">
        <v>0</v>
      </c>
      <c r="BD309" s="153">
        <v>0</v>
      </c>
      <c r="BE309" s="330">
        <v>0</v>
      </c>
      <c r="BF309" s="153">
        <v>0</v>
      </c>
      <c r="BG309" s="153">
        <v>0</v>
      </c>
      <c r="BH309" s="153">
        <v>0</v>
      </c>
      <c r="BI309" s="153">
        <v>0</v>
      </c>
      <c r="BJ309" s="330">
        <v>0</v>
      </c>
      <c r="BK309" s="153">
        <v>0</v>
      </c>
      <c r="BL309" s="153">
        <v>0</v>
      </c>
      <c r="BM309" s="153">
        <v>0</v>
      </c>
      <c r="BN309" s="153">
        <v>0</v>
      </c>
      <c r="BO309" s="330">
        <v>0</v>
      </c>
      <c r="BP309" s="153"/>
      <c r="BQ309" s="153"/>
      <c r="BR309" s="153"/>
      <c r="BS309" s="153"/>
      <c r="BT309" s="330">
        <v>0</v>
      </c>
      <c r="BU309" s="153"/>
      <c r="BV309" s="153"/>
      <c r="BW309" s="153"/>
      <c r="BX309" s="153"/>
      <c r="BY309" s="330">
        <v>0</v>
      </c>
      <c r="BZ309" s="153"/>
      <c r="CA309" s="153"/>
      <c r="CB309" s="153"/>
      <c r="CC309" s="153"/>
      <c r="CD309" s="330">
        <v>0</v>
      </c>
      <c r="CE309" s="153"/>
      <c r="CF309" s="153"/>
      <c r="CG309" s="153"/>
      <c r="CH309" s="153"/>
      <c r="CI309" s="330">
        <v>0</v>
      </c>
      <c r="CJ309" s="153"/>
      <c r="CK309" s="153"/>
      <c r="CL309" s="153"/>
      <c r="CM309" s="153"/>
      <c r="CN309" s="330">
        <v>0</v>
      </c>
      <c r="CO309" s="153"/>
      <c r="CP309" s="153"/>
      <c r="CQ309" s="153"/>
      <c r="CR309" s="153"/>
      <c r="CS309" s="330">
        <v>0</v>
      </c>
      <c r="CT309" s="153"/>
      <c r="CU309" s="153"/>
      <c r="CV309" s="153"/>
      <c r="CW309" s="153"/>
      <c r="CX309" s="330">
        <v>0</v>
      </c>
      <c r="CY309" s="153"/>
      <c r="CZ309" s="153"/>
      <c r="DA309" s="153"/>
      <c r="DB309" s="153"/>
      <c r="DC309" s="330">
        <v>0</v>
      </c>
      <c r="DD309" s="25"/>
      <c r="DE309" s="178"/>
      <c r="DJ309" s="430"/>
      <c r="DK309" s="389"/>
      <c r="DL309" s="389"/>
      <c r="DM309" s="389"/>
      <c r="DN309" s="389"/>
      <c r="DO309" s="389"/>
      <c r="DP309" s="389"/>
      <c r="DQ309" s="389"/>
      <c r="DR309" s="487"/>
      <c r="DS309" s="25"/>
    </row>
    <row r="310" spans="1:129" hidden="1" x14ac:dyDescent="0.2">
      <c r="A310" s="183" t="s">
        <v>66</v>
      </c>
      <c r="B310" s="316"/>
      <c r="C310" s="41"/>
      <c r="D310" s="41"/>
      <c r="E310" s="41"/>
      <c r="F310" s="41"/>
      <c r="G310" s="316"/>
      <c r="H310" s="41"/>
      <c r="I310" s="41"/>
      <c r="J310" s="41"/>
      <c r="K310" s="41"/>
      <c r="L310" s="316"/>
      <c r="M310" s="41"/>
      <c r="N310" s="41"/>
      <c r="O310" s="41"/>
      <c r="P310" s="41"/>
      <c r="Q310" s="316"/>
      <c r="R310" s="179"/>
      <c r="S310" s="179"/>
      <c r="T310" s="179"/>
      <c r="U310" s="179"/>
      <c r="V310" s="316"/>
      <c r="W310" s="179"/>
      <c r="X310" s="179"/>
      <c r="Y310" s="179"/>
      <c r="Z310" s="179"/>
      <c r="AA310" s="316"/>
      <c r="AB310" s="179"/>
      <c r="AC310" s="179"/>
      <c r="AD310" s="179"/>
      <c r="AE310" s="179"/>
      <c r="AF310" s="316"/>
      <c r="AG310" s="179"/>
      <c r="AH310" s="179"/>
      <c r="AI310" s="180"/>
      <c r="AJ310" s="179"/>
      <c r="AK310" s="302"/>
      <c r="AL310" s="100"/>
      <c r="AM310" s="100"/>
      <c r="AN310" s="100"/>
      <c r="AO310" s="100"/>
      <c r="AP310" s="302"/>
      <c r="AQ310" s="100"/>
      <c r="AR310" s="100"/>
      <c r="AS310" s="100"/>
      <c r="AT310" s="100"/>
      <c r="AU310" s="302"/>
      <c r="AV310" s="100"/>
      <c r="AW310" s="147">
        <v>0.3</v>
      </c>
      <c r="AX310" s="147">
        <v>0.3</v>
      </c>
      <c r="AY310" s="147">
        <v>0.3</v>
      </c>
      <c r="AZ310" s="335">
        <v>0.3</v>
      </c>
      <c r="BA310" s="147">
        <v>0.3</v>
      </c>
      <c r="BB310" s="147">
        <v>0.3</v>
      </c>
      <c r="BC310" s="147">
        <v>0.3</v>
      </c>
      <c r="BD310" s="147">
        <v>0.3</v>
      </c>
      <c r="BE310" s="335">
        <v>0.3</v>
      </c>
      <c r="BF310" s="147">
        <v>0.3</v>
      </c>
      <c r="BG310" s="147">
        <v>0.3</v>
      </c>
      <c r="BH310" s="147">
        <v>0.3</v>
      </c>
      <c r="BI310" s="147">
        <v>0.3</v>
      </c>
      <c r="BJ310" s="335">
        <v>0.3</v>
      </c>
      <c r="BK310" s="147">
        <v>0.3</v>
      </c>
      <c r="BL310" s="147">
        <v>0.3</v>
      </c>
      <c r="BM310" s="147">
        <v>0.3</v>
      </c>
      <c r="BN310" s="147">
        <v>0.3</v>
      </c>
      <c r="BO310" s="335">
        <v>0.3</v>
      </c>
      <c r="BP310" s="147"/>
      <c r="BQ310" s="147"/>
      <c r="BR310" s="147"/>
      <c r="BS310" s="147"/>
      <c r="BT310" s="335">
        <v>0.3</v>
      </c>
      <c r="BU310" s="147"/>
      <c r="BV310" s="147"/>
      <c r="BW310" s="147"/>
      <c r="BX310" s="147"/>
      <c r="BY310" s="335">
        <v>0.3</v>
      </c>
      <c r="BZ310" s="147"/>
      <c r="CA310" s="147"/>
      <c r="CB310" s="147"/>
      <c r="CC310" s="147"/>
      <c r="CD310" s="335">
        <v>0.3</v>
      </c>
      <c r="CE310" s="147"/>
      <c r="CF310" s="147"/>
      <c r="CG310" s="147"/>
      <c r="CH310" s="147"/>
      <c r="CI310" s="335">
        <v>0.3</v>
      </c>
      <c r="CJ310" s="147"/>
      <c r="CK310" s="147"/>
      <c r="CL310" s="147"/>
      <c r="CM310" s="147"/>
      <c r="CN310" s="335">
        <v>0.3</v>
      </c>
      <c r="CO310" s="147"/>
      <c r="CP310" s="147"/>
      <c r="CQ310" s="147"/>
      <c r="CR310" s="147"/>
      <c r="CS310" s="335">
        <v>0.3</v>
      </c>
      <c r="CT310" s="147"/>
      <c r="CU310" s="147"/>
      <c r="CV310" s="147"/>
      <c r="CW310" s="147"/>
      <c r="CX310" s="335">
        <v>0.3</v>
      </c>
      <c r="CY310" s="147"/>
      <c r="CZ310" s="147"/>
      <c r="DA310" s="147"/>
      <c r="DB310" s="147"/>
      <c r="DC310" s="335">
        <v>0.3</v>
      </c>
      <c r="DD310" s="25"/>
      <c r="DE310" s="178"/>
      <c r="DJ310" s="430"/>
      <c r="DK310" s="389"/>
      <c r="DL310" s="389"/>
      <c r="DM310" s="389"/>
      <c r="DN310" s="389"/>
      <c r="DO310" s="389"/>
      <c r="DP310" s="389"/>
      <c r="DQ310" s="389"/>
      <c r="DR310" s="487"/>
      <c r="DS310" s="25"/>
    </row>
    <row r="311" spans="1:129" hidden="1" x14ac:dyDescent="0.2">
      <c r="A311" s="184"/>
      <c r="B311" s="316"/>
      <c r="C311" s="41"/>
      <c r="D311" s="41"/>
      <c r="E311" s="41"/>
      <c r="F311" s="41"/>
      <c r="G311" s="316"/>
      <c r="H311" s="41"/>
      <c r="I311" s="41"/>
      <c r="J311" s="41"/>
      <c r="K311" s="41"/>
      <c r="L311" s="316"/>
      <c r="M311" s="41"/>
      <c r="N311" s="41"/>
      <c r="O311" s="41"/>
      <c r="P311" s="41"/>
      <c r="Q311" s="316"/>
      <c r="R311" s="179"/>
      <c r="S311" s="179"/>
      <c r="T311" s="179"/>
      <c r="U311" s="179"/>
      <c r="V311" s="316"/>
      <c r="W311" s="179"/>
      <c r="X311" s="179"/>
      <c r="Y311" s="179"/>
      <c r="Z311" s="179"/>
      <c r="AA311" s="316"/>
      <c r="AB311" s="179"/>
      <c r="AC311" s="179"/>
      <c r="AD311" s="179"/>
      <c r="AE311" s="179"/>
      <c r="AF311" s="316"/>
      <c r="AG311" s="179"/>
      <c r="AH311" s="179"/>
      <c r="AI311" s="180"/>
      <c r="AJ311" s="179"/>
      <c r="AK311" s="323"/>
      <c r="AL311" s="136"/>
      <c r="AM311" s="136"/>
      <c r="AN311" s="136"/>
      <c r="AO311" s="136"/>
      <c r="AP311" s="323"/>
      <c r="AQ311" s="136"/>
      <c r="AR311" s="136"/>
      <c r="AS311" s="136"/>
      <c r="AT311" s="136"/>
      <c r="AU311" s="323"/>
      <c r="AV311" s="136"/>
      <c r="AW311" s="136"/>
      <c r="AX311" s="136"/>
      <c r="AY311" s="136"/>
      <c r="AZ311" s="323"/>
      <c r="BA311" s="136"/>
      <c r="BB311" s="136"/>
      <c r="BC311" s="136"/>
      <c r="BD311" s="136"/>
      <c r="BE311" s="323"/>
      <c r="BF311" s="136"/>
      <c r="BG311" s="136"/>
      <c r="BH311" s="136"/>
      <c r="BI311" s="136"/>
      <c r="BJ311" s="323"/>
      <c r="BK311" s="136"/>
      <c r="BL311" s="136"/>
      <c r="BM311" s="136"/>
      <c r="BN311" s="136"/>
      <c r="BO311" s="323"/>
      <c r="BP311" s="136"/>
      <c r="BQ311" s="136"/>
      <c r="BR311" s="136"/>
      <c r="BS311" s="136"/>
      <c r="BT311" s="323"/>
      <c r="BU311" s="136"/>
      <c r="BV311" s="136"/>
      <c r="BW311" s="136"/>
      <c r="BX311" s="136"/>
      <c r="BY311" s="323"/>
      <c r="BZ311" s="136"/>
      <c r="CA311" s="136"/>
      <c r="CB311" s="136"/>
      <c r="CC311" s="136"/>
      <c r="CD311" s="323"/>
      <c r="CE311" s="136"/>
      <c r="CF311" s="136"/>
      <c r="CG311" s="136"/>
      <c r="CH311" s="136"/>
      <c r="CI311" s="323"/>
      <c r="CJ311" s="136"/>
      <c r="CK311" s="136"/>
      <c r="CL311" s="136"/>
      <c r="CM311" s="136"/>
      <c r="CN311" s="323"/>
      <c r="CO311" s="136"/>
      <c r="CP311" s="136"/>
      <c r="CQ311" s="136"/>
      <c r="CR311" s="136"/>
      <c r="CS311" s="323"/>
      <c r="CT311" s="136"/>
      <c r="CU311" s="136"/>
      <c r="CV311" s="136"/>
      <c r="CW311" s="136"/>
      <c r="CX311" s="323"/>
      <c r="CY311" s="136"/>
      <c r="CZ311" s="136"/>
      <c r="DA311" s="136"/>
      <c r="DB311" s="136"/>
      <c r="DC311" s="323"/>
      <c r="DD311" s="25"/>
      <c r="DE311" s="178"/>
      <c r="DJ311" s="430"/>
      <c r="DK311" s="389"/>
      <c r="DL311" s="389"/>
      <c r="DM311" s="389"/>
      <c r="DN311" s="389"/>
      <c r="DO311" s="389"/>
      <c r="DP311" s="389"/>
      <c r="DQ311" s="389"/>
      <c r="DR311" s="487"/>
      <c r="DS311" s="25"/>
    </row>
    <row r="312" spans="1:129" hidden="1" x14ac:dyDescent="0.2">
      <c r="A312" s="152" t="s">
        <v>67</v>
      </c>
      <c r="B312" s="316"/>
      <c r="C312" s="41"/>
      <c r="D312" s="41"/>
      <c r="E312" s="41"/>
      <c r="F312" s="41"/>
      <c r="G312" s="316"/>
      <c r="H312" s="41"/>
      <c r="I312" s="41"/>
      <c r="J312" s="41"/>
      <c r="K312" s="41"/>
      <c r="L312" s="316"/>
      <c r="M312" s="41"/>
      <c r="N312" s="41"/>
      <c r="O312" s="41"/>
      <c r="P312" s="41"/>
      <c r="Q312" s="316"/>
      <c r="R312" s="179"/>
      <c r="S312" s="179"/>
      <c r="T312" s="179"/>
      <c r="U312" s="179"/>
      <c r="V312" s="316"/>
      <c r="W312" s="179"/>
      <c r="X312" s="179"/>
      <c r="Y312" s="179"/>
      <c r="Z312" s="179"/>
      <c r="AA312" s="316"/>
      <c r="AB312" s="179"/>
      <c r="AC312" s="179"/>
      <c r="AD312" s="179"/>
      <c r="AE312" s="179"/>
      <c r="AF312" s="316"/>
      <c r="AG312" s="179"/>
      <c r="AH312" s="179"/>
      <c r="AI312" s="180"/>
      <c r="AJ312" s="179"/>
      <c r="AK312" s="323"/>
      <c r="AL312" s="136"/>
      <c r="AM312" s="136"/>
      <c r="AN312" s="136"/>
      <c r="AO312" s="136"/>
      <c r="AP312" s="323"/>
      <c r="AQ312" s="136"/>
      <c r="AR312" s="136"/>
      <c r="AS312" s="136"/>
      <c r="AT312" s="136"/>
      <c r="AU312" s="323"/>
      <c r="AV312" s="136"/>
      <c r="AW312" s="132">
        <f t="shared" ref="AW312:BT312" si="1016">AW305+AW306+AW307+AW308+(AW309*AW310)</f>
        <v>1367.7169999999999</v>
      </c>
      <c r="AX312" s="132">
        <f t="shared" si="1016"/>
        <v>1569.7169999999999</v>
      </c>
      <c r="AY312" s="132">
        <f t="shared" si="1016"/>
        <v>1505.7169999999999</v>
      </c>
      <c r="AZ312" s="300">
        <f t="shared" si="1016"/>
        <v>1505.7169999999999</v>
      </c>
      <c r="BA312" s="132">
        <f t="shared" si="1016"/>
        <v>1270.7169999999999</v>
      </c>
      <c r="BB312" s="132">
        <f t="shared" si="1016"/>
        <v>1291.7169999999999</v>
      </c>
      <c r="BC312" s="132">
        <f t="shared" si="1016"/>
        <v>1232.7169999999999</v>
      </c>
      <c r="BD312" s="132">
        <f t="shared" si="1016"/>
        <v>1160.7169999999999</v>
      </c>
      <c r="BE312" s="300">
        <f t="shared" si="1016"/>
        <v>1160.7169999999996</v>
      </c>
      <c r="BF312" s="132">
        <f t="shared" si="1016"/>
        <v>1300.7169999999996</v>
      </c>
      <c r="BG312" s="132">
        <f t="shared" si="1016"/>
        <v>1370.7169999999996</v>
      </c>
      <c r="BH312" s="132">
        <f t="shared" si="1016"/>
        <v>1302.7169999999996</v>
      </c>
      <c r="BI312" s="132">
        <f t="shared" si="1016"/>
        <v>1330.7169999999996</v>
      </c>
      <c r="BJ312" s="300">
        <f t="shared" si="1016"/>
        <v>1330.7169999999996</v>
      </c>
      <c r="BK312" s="132">
        <f>BK305+BK306+BK307+BK308+(BK309*BK310)</f>
        <v>1289.7169999999996</v>
      </c>
      <c r="BL312" s="132">
        <f>BL305+BL306+BL307+BL308+(BL309*BL310)</f>
        <v>1266.7169999999996</v>
      </c>
      <c r="BM312" s="132">
        <f>BM305+BM306+BM307+BM308+(BM309*BM310)</f>
        <v>1118.7169999999996</v>
      </c>
      <c r="BN312" s="132">
        <f>BN305+BN306+BN307+BN308+(BN309*BN310)</f>
        <v>917.71699999999953</v>
      </c>
      <c r="BO312" s="300">
        <f t="shared" si="1016"/>
        <v>917.71699999999953</v>
      </c>
      <c r="BP312" s="132"/>
      <c r="BQ312" s="132"/>
      <c r="BR312" s="132"/>
      <c r="BS312" s="132"/>
      <c r="BT312" s="300">
        <f t="shared" si="1016"/>
        <v>797.71699999999953</v>
      </c>
      <c r="BU312" s="132"/>
      <c r="BV312" s="132"/>
      <c r="BW312" s="132"/>
      <c r="BX312" s="132"/>
      <c r="BY312" s="300">
        <f>BY305+BY306+BY307+BY308+(BY309*BY310)</f>
        <v>828.71699999999953</v>
      </c>
      <c r="BZ312" s="132"/>
      <c r="CA312" s="132"/>
      <c r="CB312" s="132"/>
      <c r="CC312" s="132"/>
      <c r="CD312" s="300">
        <f>CD305+CD306+CD307+CD308+(CD309*CD310)</f>
        <v>987.71699999999953</v>
      </c>
      <c r="CE312" s="132"/>
      <c r="CF312" s="132"/>
      <c r="CG312" s="132"/>
      <c r="CH312" s="132"/>
      <c r="CI312" s="300">
        <f>CI305+CI306+CI307+CI308+(CI309*CI310)</f>
        <v>1032.7169999999996</v>
      </c>
      <c r="CJ312" s="132"/>
      <c r="CK312" s="132"/>
      <c r="CL312" s="132"/>
      <c r="CM312" s="132"/>
      <c r="CN312" s="300">
        <f>CN305+CN306+CN307+CN308+(CN309*CN310)</f>
        <v>1175.6661759012552</v>
      </c>
      <c r="CO312" s="132"/>
      <c r="CP312" s="132"/>
      <c r="CQ312" s="132"/>
      <c r="CR312" s="132"/>
      <c r="CS312" s="300">
        <f>CS305+CS306+CS307+CS308+(CS309*CS310)</f>
        <v>1064.8169247122141</v>
      </c>
      <c r="CT312" s="132"/>
      <c r="CU312" s="132"/>
      <c r="CV312" s="132"/>
      <c r="CW312" s="132"/>
      <c r="CX312" s="300">
        <f>CX305+CX306+CX307+CX308+(CX309*CX310)</f>
        <v>993.20177245879404</v>
      </c>
      <c r="CY312" s="132"/>
      <c r="CZ312" s="132"/>
      <c r="DA312" s="132"/>
      <c r="DB312" s="132"/>
      <c r="DC312" s="300">
        <f>DC305+DC306+DC307+DC308+(DC309*DC310)</f>
        <v>1187.9667415763115</v>
      </c>
      <c r="DD312" s="25"/>
      <c r="DE312" s="178"/>
      <c r="DJ312" s="430"/>
      <c r="DK312" s="389"/>
      <c r="DL312" s="389"/>
      <c r="DM312" s="389"/>
      <c r="DN312" s="389"/>
      <c r="DO312" s="389"/>
      <c r="DP312" s="389"/>
      <c r="DQ312" s="389"/>
      <c r="DR312" s="487"/>
      <c r="DS312" s="25"/>
    </row>
    <row r="313" spans="1:129" hidden="1" x14ac:dyDescent="0.2">
      <c r="A313" s="183" t="s">
        <v>68</v>
      </c>
      <c r="B313" s="316"/>
      <c r="C313" s="41"/>
      <c r="D313" s="41"/>
      <c r="E313" s="41"/>
      <c r="F313" s="41"/>
      <c r="G313" s="316"/>
      <c r="H313" s="41"/>
      <c r="I313" s="41"/>
      <c r="J313" s="41"/>
      <c r="K313" s="41"/>
      <c r="L313" s="316"/>
      <c r="M313" s="41"/>
      <c r="N313" s="41"/>
      <c r="O313" s="41"/>
      <c r="P313" s="41"/>
      <c r="Q313" s="316"/>
      <c r="R313" s="179"/>
      <c r="S313" s="179"/>
      <c r="T313" s="179"/>
      <c r="U313" s="179"/>
      <c r="V313" s="316"/>
      <c r="W313" s="179"/>
      <c r="X313" s="179"/>
      <c r="Y313" s="179"/>
      <c r="Z313" s="179"/>
      <c r="AA313" s="316"/>
      <c r="AB313" s="179"/>
      <c r="AC313" s="179"/>
      <c r="AD313" s="179"/>
      <c r="AE313" s="179"/>
      <c r="AF313" s="316"/>
      <c r="AG313" s="179"/>
      <c r="AH313" s="179"/>
      <c r="AI313" s="180"/>
      <c r="AJ313" s="179"/>
      <c r="AK313" s="323"/>
      <c r="AL313" s="136"/>
      <c r="AM313" s="136"/>
      <c r="AN313" s="136"/>
      <c r="AO313" s="136"/>
      <c r="AP313" s="323"/>
      <c r="AQ313" s="136"/>
      <c r="AR313" s="136"/>
      <c r="AS313" s="136"/>
      <c r="AT313" s="136"/>
      <c r="AU313" s="323"/>
      <c r="AV313" s="136"/>
      <c r="AW313" s="100">
        <f t="shared" ref="AW313:BJ313" si="1017">AW312/AW181</f>
        <v>0.41233554416641538</v>
      </c>
      <c r="AX313" s="100">
        <f t="shared" si="1017"/>
        <v>0.48003577981651374</v>
      </c>
      <c r="AY313" s="100">
        <f t="shared" si="1017"/>
        <v>0.45752567608629591</v>
      </c>
      <c r="AZ313" s="302">
        <f t="shared" si="1017"/>
        <v>0.45752567608629591</v>
      </c>
      <c r="BA313" s="100">
        <f t="shared" si="1017"/>
        <v>0.37751544860368386</v>
      </c>
      <c r="BB313" s="100">
        <f t="shared" si="1017"/>
        <v>0.36948426773455373</v>
      </c>
      <c r="BC313" s="100">
        <f t="shared" si="1017"/>
        <v>0.33579869245437205</v>
      </c>
      <c r="BD313" s="100">
        <f t="shared" si="1017"/>
        <v>0.30714924583223069</v>
      </c>
      <c r="BE313" s="302">
        <f t="shared" si="1017"/>
        <v>0.30714924583223063</v>
      </c>
      <c r="BF313" s="100">
        <f t="shared" si="1017"/>
        <v>0.33173093598571785</v>
      </c>
      <c r="BG313" s="100">
        <f t="shared" si="1017"/>
        <v>0.33165182676022253</v>
      </c>
      <c r="BH313" s="100">
        <f t="shared" si="1017"/>
        <v>0.30309841786877612</v>
      </c>
      <c r="BI313" s="100">
        <f t="shared" si="1017"/>
        <v>0.29545226465364111</v>
      </c>
      <c r="BJ313" s="302">
        <f t="shared" si="1017"/>
        <v>0.29545226465364111</v>
      </c>
      <c r="BK313" s="100">
        <f>BK312/BK181</f>
        <v>0.27470010649627258</v>
      </c>
      <c r="BL313" s="100">
        <f>BL312/BL181</f>
        <v>0.262749844430616</v>
      </c>
      <c r="BM313" s="100">
        <f>BM312/BM181</f>
        <v>0.22673631941629502</v>
      </c>
      <c r="BN313" s="100">
        <f>BN312/BN181</f>
        <v>0.18420654355680441</v>
      </c>
      <c r="BO313" s="302">
        <f>BO312/BO181</f>
        <v>0.18420654355680441</v>
      </c>
      <c r="BP313" s="100"/>
      <c r="BQ313" s="100"/>
      <c r="BR313" s="100"/>
      <c r="BS313" s="100"/>
      <c r="BT313" s="302">
        <f>BT312/BT181</f>
        <v>0.14661220363903685</v>
      </c>
      <c r="BU313" s="100"/>
      <c r="BV313" s="100"/>
      <c r="BW313" s="100"/>
      <c r="BX313" s="100"/>
      <c r="BY313" s="302">
        <f>BY312/BY181</f>
        <v>0.14246467251160383</v>
      </c>
      <c r="BZ313" s="100"/>
      <c r="CA313" s="100"/>
      <c r="CB313" s="100"/>
      <c r="CC313" s="100"/>
      <c r="CD313" s="302">
        <f>CD312/CD181</f>
        <v>0.15394591645885281</v>
      </c>
      <c r="CE313" s="100"/>
      <c r="CF313" s="100"/>
      <c r="CG313" s="100"/>
      <c r="CH313" s="100"/>
      <c r="CI313" s="302">
        <f>CI312/CI181</f>
        <v>0.15571727985524722</v>
      </c>
      <c r="CJ313" s="100"/>
      <c r="CK313" s="100"/>
      <c r="CL313" s="100"/>
      <c r="CM313" s="100"/>
      <c r="CN313" s="302">
        <f>CN312/CN181</f>
        <v>0.16759318259461942</v>
      </c>
      <c r="CO313" s="100"/>
      <c r="CP313" s="100"/>
      <c r="CQ313" s="100"/>
      <c r="CR313" s="100"/>
      <c r="CS313" s="302">
        <f>CS312/CS181</f>
        <v>0.139654591484693</v>
      </c>
      <c r="CT313" s="100"/>
      <c r="CU313" s="100"/>
      <c r="CV313" s="100"/>
      <c r="CW313" s="100"/>
      <c r="CX313" s="302">
        <f>CX312/CX181</f>
        <v>0.12046299398991038</v>
      </c>
      <c r="CY313" s="100"/>
      <c r="CZ313" s="100"/>
      <c r="DA313" s="100"/>
      <c r="DB313" s="100"/>
      <c r="DC313" s="302">
        <f>DC312/DC181</f>
        <v>0.13356731049679443</v>
      </c>
      <c r="DD313" s="25"/>
      <c r="DE313" s="178"/>
      <c r="DJ313" s="430"/>
      <c r="DK313" s="389"/>
      <c r="DL313" s="389"/>
      <c r="DM313" s="389"/>
      <c r="DN313" s="389"/>
      <c r="DO313" s="389"/>
      <c r="DP313" s="389"/>
      <c r="DQ313" s="389"/>
      <c r="DR313" s="487"/>
      <c r="DS313" s="25"/>
    </row>
    <row r="314" spans="1:129" hidden="1" x14ac:dyDescent="0.2">
      <c r="A314" s="183" t="s">
        <v>69</v>
      </c>
      <c r="B314" s="316"/>
      <c r="C314" s="41"/>
      <c r="D314" s="41"/>
      <c r="E314" s="41"/>
      <c r="F314" s="41"/>
      <c r="G314" s="316"/>
      <c r="H314" s="41"/>
      <c r="I314" s="41"/>
      <c r="J314" s="41"/>
      <c r="K314" s="41"/>
      <c r="L314" s="316"/>
      <c r="M314" s="41"/>
      <c r="N314" s="41"/>
      <c r="O314" s="41"/>
      <c r="P314" s="41"/>
      <c r="Q314" s="316"/>
      <c r="R314" s="179"/>
      <c r="S314" s="179"/>
      <c r="T314" s="179"/>
      <c r="U314" s="179"/>
      <c r="V314" s="316"/>
      <c r="W314" s="179"/>
      <c r="X314" s="179"/>
      <c r="Y314" s="179"/>
      <c r="Z314" s="179"/>
      <c r="AA314" s="316"/>
      <c r="AB314" s="179"/>
      <c r="AC314" s="179"/>
      <c r="AD314" s="179"/>
      <c r="AE314" s="179"/>
      <c r="AF314" s="316"/>
      <c r="AG314" s="179"/>
      <c r="AH314" s="179"/>
      <c r="AI314" s="180"/>
      <c r="AJ314" s="179"/>
      <c r="AK314" s="323"/>
      <c r="AL314" s="136"/>
      <c r="AM314" s="136"/>
      <c r="AN314" s="136"/>
      <c r="AO314" s="136"/>
      <c r="AP314" s="323"/>
      <c r="AQ314" s="136"/>
      <c r="AR314" s="136"/>
      <c r="AS314" s="136"/>
      <c r="AT314" s="136"/>
      <c r="AU314" s="323"/>
      <c r="AV314" s="136"/>
      <c r="AW314" s="100">
        <f t="shared" ref="AW314:BJ314" si="1018">AW312/AW270</f>
        <v>0.21009477726574499</v>
      </c>
      <c r="AX314" s="100">
        <f t="shared" si="1018"/>
        <v>0.24027506505433949</v>
      </c>
      <c r="AY314" s="100">
        <f t="shared" si="1018"/>
        <v>0.22974015868172107</v>
      </c>
      <c r="AZ314" s="302">
        <f t="shared" si="1018"/>
        <v>0.22974015868172107</v>
      </c>
      <c r="BA314" s="100">
        <f t="shared" si="1018"/>
        <v>0.19510471364962381</v>
      </c>
      <c r="BB314" s="100">
        <f t="shared" si="1018"/>
        <v>0.19601168437025795</v>
      </c>
      <c r="BC314" s="100">
        <f t="shared" si="1018"/>
        <v>0.18626730129948624</v>
      </c>
      <c r="BD314" s="100">
        <f t="shared" si="1018"/>
        <v>0.17605293493098739</v>
      </c>
      <c r="BE314" s="302">
        <f t="shared" si="1018"/>
        <v>0.17605293493098736</v>
      </c>
      <c r="BF314" s="100">
        <f t="shared" si="1018"/>
        <v>0.19007993570071602</v>
      </c>
      <c r="BG314" s="100">
        <f t="shared" si="1018"/>
        <v>0.19842458019687315</v>
      </c>
      <c r="BH314" s="100">
        <f t="shared" si="1018"/>
        <v>0.18849905947040943</v>
      </c>
      <c r="BI314" s="100">
        <f t="shared" si="1018"/>
        <v>0.18819360769339552</v>
      </c>
      <c r="BJ314" s="302">
        <f t="shared" si="1018"/>
        <v>0.18819360769339552</v>
      </c>
      <c r="BK314" s="100">
        <f>BK312/BK270</f>
        <v>0.18055676886462266</v>
      </c>
      <c r="BL314" s="100">
        <f>BL312/BL270</f>
        <v>0.17761034772854734</v>
      </c>
      <c r="BM314" s="100">
        <f>BM312/BM270</f>
        <v>0.15666111188909113</v>
      </c>
      <c r="BN314" s="100">
        <f>BN312/BN270</f>
        <v>0.12980438472418665</v>
      </c>
      <c r="BO314" s="302">
        <f>BO312/BO270</f>
        <v>0.12980438472418665</v>
      </c>
      <c r="BP314" s="100"/>
      <c r="BQ314" s="100"/>
      <c r="BR314" s="100"/>
      <c r="BS314" s="100"/>
      <c r="BT314" s="302">
        <f>BT312/BT270</f>
        <v>0.10853292517006796</v>
      </c>
      <c r="BU314" s="100"/>
      <c r="BV314" s="100"/>
      <c r="BW314" s="100"/>
      <c r="BX314" s="100"/>
      <c r="BY314" s="302">
        <f>BY312/BY270</f>
        <v>0.10571718331419817</v>
      </c>
      <c r="BZ314" s="100"/>
      <c r="CA314" s="100"/>
      <c r="CB314" s="100"/>
      <c r="CC314" s="100"/>
      <c r="CD314" s="302">
        <f>CD312/CD270</f>
        <v>0.11405508083140872</v>
      </c>
      <c r="CE314" s="100"/>
      <c r="CF314" s="100"/>
      <c r="CG314" s="100"/>
      <c r="CH314" s="100"/>
      <c r="CI314" s="302">
        <f>CI312/CI270</f>
        <v>0.10885601349214712</v>
      </c>
      <c r="CJ314" s="100"/>
      <c r="CK314" s="100"/>
      <c r="CL314" s="100"/>
      <c r="CM314" s="100"/>
      <c r="CN314" s="302">
        <f>CN312/CN270</f>
        <v>0.11639139044254902</v>
      </c>
      <c r="CO314" s="100"/>
      <c r="CP314" s="100"/>
      <c r="CQ314" s="100"/>
      <c r="CR314" s="100"/>
      <c r="CS314" s="302">
        <f>CS312/CS270</f>
        <v>0.10030418555248811</v>
      </c>
      <c r="CT314" s="100"/>
      <c r="CU314" s="100"/>
      <c r="CV314" s="100"/>
      <c r="CW314" s="100"/>
      <c r="CX314" s="302">
        <f>CX312/CX270</f>
        <v>8.7671949598609328E-2</v>
      </c>
      <c r="CY314" s="100"/>
      <c r="CZ314" s="100"/>
      <c r="DA314" s="100"/>
      <c r="DB314" s="100"/>
      <c r="DC314" s="302">
        <f>DC312/DC270</f>
        <v>9.6096097262395416E-2</v>
      </c>
      <c r="DD314" s="25"/>
      <c r="DE314" s="178"/>
      <c r="DJ314" s="430"/>
      <c r="DK314" s="389"/>
      <c r="DL314" s="389"/>
      <c r="DM314" s="389"/>
      <c r="DN314" s="389"/>
      <c r="DO314" s="389"/>
      <c r="DP314" s="389"/>
      <c r="DQ314" s="389"/>
      <c r="DR314" s="487"/>
      <c r="DS314" s="25"/>
    </row>
    <row r="315" spans="1:129" hidden="1" x14ac:dyDescent="0.2">
      <c r="A315" s="152" t="s">
        <v>70</v>
      </c>
      <c r="B315" s="316"/>
      <c r="C315" s="41"/>
      <c r="D315" s="41"/>
      <c r="E315" s="41"/>
      <c r="F315" s="41"/>
      <c r="G315" s="316"/>
      <c r="H315" s="41"/>
      <c r="I315" s="41"/>
      <c r="J315" s="41"/>
      <c r="K315" s="41"/>
      <c r="L315" s="316"/>
      <c r="M315" s="41"/>
      <c r="N315" s="41"/>
      <c r="O315" s="41"/>
      <c r="P315" s="41"/>
      <c r="Q315" s="316"/>
      <c r="R315" s="179"/>
      <c r="S315" s="179"/>
      <c r="T315" s="179"/>
      <c r="U315" s="179"/>
      <c r="V315" s="316"/>
      <c r="W315" s="179"/>
      <c r="X315" s="179"/>
      <c r="Y315" s="179"/>
      <c r="Z315" s="179"/>
      <c r="AA315" s="316"/>
      <c r="AB315" s="179"/>
      <c r="AC315" s="179"/>
      <c r="AD315" s="179"/>
      <c r="AE315" s="179"/>
      <c r="AF315" s="316"/>
      <c r="AG315" s="179"/>
      <c r="AH315" s="179"/>
      <c r="AI315" s="180"/>
      <c r="AJ315" s="179"/>
      <c r="AK315" s="323"/>
      <c r="AL315" s="136"/>
      <c r="AM315" s="136"/>
      <c r="AN315" s="136"/>
      <c r="AO315" s="136"/>
      <c r="AP315" s="323"/>
      <c r="AQ315" s="136"/>
      <c r="AR315" s="136"/>
      <c r="AS315" s="136"/>
      <c r="AT315" s="136"/>
      <c r="AU315" s="323"/>
      <c r="AV315" s="136"/>
      <c r="AW315" s="132">
        <f t="shared" ref="AW315:BT315" si="1019">AW312-AW306-AW307</f>
        <v>974.71699999999987</v>
      </c>
      <c r="AX315" s="132">
        <f t="shared" si="1019"/>
        <v>1229.7169999999999</v>
      </c>
      <c r="AY315" s="132">
        <f t="shared" si="1019"/>
        <v>1201.7169999999999</v>
      </c>
      <c r="AZ315" s="300">
        <f t="shared" si="1019"/>
        <v>1201.7169999999999</v>
      </c>
      <c r="BA315" s="132">
        <f t="shared" si="1019"/>
        <v>1199.7169999999999</v>
      </c>
      <c r="BB315" s="132">
        <f t="shared" si="1019"/>
        <v>1221.7169999999999</v>
      </c>
      <c r="BC315" s="132">
        <f t="shared" si="1019"/>
        <v>1163.7169999999999</v>
      </c>
      <c r="BD315" s="132">
        <f t="shared" si="1019"/>
        <v>1092.7169999999999</v>
      </c>
      <c r="BE315" s="300">
        <f t="shared" si="1019"/>
        <v>1092.7169999999996</v>
      </c>
      <c r="BF315" s="132">
        <f t="shared" si="1019"/>
        <v>1234.7169999999996</v>
      </c>
      <c r="BG315" s="132">
        <f t="shared" si="1019"/>
        <v>1305.7169999999996</v>
      </c>
      <c r="BH315" s="132">
        <f t="shared" si="1019"/>
        <v>1238.7169999999996</v>
      </c>
      <c r="BI315" s="132">
        <f t="shared" si="1019"/>
        <v>1263.7169999999996</v>
      </c>
      <c r="BJ315" s="300">
        <f t="shared" si="1019"/>
        <v>1263.7169999999996</v>
      </c>
      <c r="BK315" s="132">
        <f>BK312-BK306-BK307</f>
        <v>1224.7169999999996</v>
      </c>
      <c r="BL315" s="132">
        <f>BL312-BL306-BL307</f>
        <v>1211.7169999999996</v>
      </c>
      <c r="BM315" s="132">
        <f>BM312-BM306-BM307</f>
        <v>1063.7169999999996</v>
      </c>
      <c r="BN315" s="132">
        <f>BN312-BN306-BN307</f>
        <v>866.71699999999953</v>
      </c>
      <c r="BO315" s="300">
        <f t="shared" si="1019"/>
        <v>866.71699999999953</v>
      </c>
      <c r="BP315" s="132"/>
      <c r="BQ315" s="132"/>
      <c r="BR315" s="132"/>
      <c r="BS315" s="132"/>
      <c r="BT315" s="300">
        <f t="shared" si="1019"/>
        <v>740.71699999999953</v>
      </c>
      <c r="BU315" s="132"/>
      <c r="BV315" s="132"/>
      <c r="BW315" s="132"/>
      <c r="BX315" s="132"/>
      <c r="BY315" s="300">
        <f>BY312-BY306-BY307</f>
        <v>767.71699999999953</v>
      </c>
      <c r="BZ315" s="132"/>
      <c r="CA315" s="132"/>
      <c r="CB315" s="132"/>
      <c r="CC315" s="132"/>
      <c r="CD315" s="300">
        <f>CD312-CD306-CD307</f>
        <v>924.71699999999953</v>
      </c>
      <c r="CE315" s="132"/>
      <c r="CF315" s="132"/>
      <c r="CG315" s="132"/>
      <c r="CH315" s="132"/>
      <c r="CI315" s="300">
        <f>CI312-CI306-CI307</f>
        <v>970.71699999999964</v>
      </c>
      <c r="CJ315" s="132"/>
      <c r="CK315" s="132"/>
      <c r="CL315" s="132"/>
      <c r="CM315" s="132"/>
      <c r="CN315" s="300">
        <f>CN312-CN306-CN307</f>
        <v>1114.824376191531</v>
      </c>
      <c r="CO315" s="132"/>
      <c r="CP315" s="132"/>
      <c r="CQ315" s="132"/>
      <c r="CR315" s="132"/>
      <c r="CS315" s="300">
        <f>CS312-CS306-CS307</f>
        <v>999.13432448966932</v>
      </c>
      <c r="CT315" s="132"/>
      <c r="CU315" s="132"/>
      <c r="CV315" s="132"/>
      <c r="CW315" s="132"/>
      <c r="CX315" s="300">
        <f>CX312-CX306-CX307</f>
        <v>922.56998830948055</v>
      </c>
      <c r="CY315" s="132"/>
      <c r="CZ315" s="132"/>
      <c r="DA315" s="132"/>
      <c r="DB315" s="132"/>
      <c r="DC315" s="300">
        <f>DC312-DC306-DC307</f>
        <v>1112.0128524913473</v>
      </c>
      <c r="DD315" s="25"/>
      <c r="DE315" s="178"/>
      <c r="DJ315" s="430"/>
      <c r="DK315" s="389"/>
      <c r="DL315" s="389"/>
      <c r="DM315" s="389"/>
      <c r="DN315" s="389"/>
      <c r="DO315" s="389"/>
      <c r="DP315" s="389"/>
      <c r="DQ315" s="389"/>
      <c r="DR315" s="487"/>
      <c r="DS315" s="25"/>
    </row>
    <row r="316" spans="1:129" hidden="1" x14ac:dyDescent="0.2">
      <c r="A316" s="183" t="s">
        <v>68</v>
      </c>
      <c r="B316" s="316"/>
      <c r="C316" s="41"/>
      <c r="D316" s="41"/>
      <c r="E316" s="41"/>
      <c r="F316" s="41"/>
      <c r="G316" s="316"/>
      <c r="H316" s="41"/>
      <c r="I316" s="41"/>
      <c r="J316" s="41"/>
      <c r="K316" s="41"/>
      <c r="L316" s="316"/>
      <c r="M316" s="41"/>
      <c r="N316" s="41"/>
      <c r="O316" s="41"/>
      <c r="P316" s="41"/>
      <c r="Q316" s="316"/>
      <c r="R316" s="179"/>
      <c r="S316" s="179"/>
      <c r="T316" s="179"/>
      <c r="U316" s="179"/>
      <c r="V316" s="316"/>
      <c r="W316" s="179"/>
      <c r="X316" s="179"/>
      <c r="Y316" s="179"/>
      <c r="Z316" s="179"/>
      <c r="AA316" s="316"/>
      <c r="AB316" s="179"/>
      <c r="AC316" s="179"/>
      <c r="AD316" s="179"/>
      <c r="AE316" s="179"/>
      <c r="AF316" s="316"/>
      <c r="AG316" s="179"/>
      <c r="AH316" s="179"/>
      <c r="AI316" s="180"/>
      <c r="AJ316" s="179"/>
      <c r="AK316" s="323"/>
      <c r="AL316" s="136"/>
      <c r="AM316" s="136"/>
      <c r="AN316" s="136"/>
      <c r="AO316" s="136"/>
      <c r="AP316" s="323"/>
      <c r="AQ316" s="136"/>
      <c r="AR316" s="136"/>
      <c r="AS316" s="136"/>
      <c r="AT316" s="136"/>
      <c r="AU316" s="323"/>
      <c r="AV316" s="136"/>
      <c r="AW316" s="100">
        <f t="shared" ref="AW316:BJ316" si="1020">AW315/AW181</f>
        <v>0.29385498944829663</v>
      </c>
      <c r="AX316" s="100">
        <f t="shared" si="1020"/>
        <v>0.376060244648318</v>
      </c>
      <c r="AY316" s="100">
        <f t="shared" si="1020"/>
        <v>0.36515253722272861</v>
      </c>
      <c r="AZ316" s="302">
        <f t="shared" si="1020"/>
        <v>0.36515253722272861</v>
      </c>
      <c r="BA316" s="100">
        <f t="shared" si="1020"/>
        <v>0.35642216280451572</v>
      </c>
      <c r="BB316" s="100">
        <f t="shared" si="1020"/>
        <v>0.34946138443935926</v>
      </c>
      <c r="BC316" s="100">
        <f t="shared" si="1020"/>
        <v>0.31700272405339142</v>
      </c>
      <c r="BD316" s="100">
        <f t="shared" si="1020"/>
        <v>0.28915506747816877</v>
      </c>
      <c r="BE316" s="302">
        <f t="shared" si="1020"/>
        <v>0.28915506747816871</v>
      </c>
      <c r="BF316" s="100">
        <f t="shared" si="1020"/>
        <v>0.31489849528181579</v>
      </c>
      <c r="BG316" s="100">
        <f t="shared" si="1020"/>
        <v>0.31592475199612863</v>
      </c>
      <c r="BH316" s="100">
        <f t="shared" si="1020"/>
        <v>0.28820777105630518</v>
      </c>
      <c r="BI316" s="100">
        <f t="shared" si="1020"/>
        <v>0.28057659857904077</v>
      </c>
      <c r="BJ316" s="302">
        <f t="shared" si="1020"/>
        <v>0.28057659857904077</v>
      </c>
      <c r="BK316" s="100">
        <f>BK315/BK181</f>
        <v>0.260855591054313</v>
      </c>
      <c r="BL316" s="100">
        <f>BL315/BL181</f>
        <v>0.25134142294129841</v>
      </c>
      <c r="BM316" s="100">
        <f>BM315/BM181</f>
        <v>0.21558917713822448</v>
      </c>
      <c r="BN316" s="100">
        <f>BN315/BN181</f>
        <v>0.1739696908871938</v>
      </c>
      <c r="BO316" s="302">
        <f>BO315/BO181</f>
        <v>0.1739696908871938</v>
      </c>
      <c r="BP316" s="100"/>
      <c r="BQ316" s="100"/>
      <c r="BR316" s="100"/>
      <c r="BS316" s="100"/>
      <c r="BT316" s="302">
        <f>BT315/BT181</f>
        <v>0.13613618820069831</v>
      </c>
      <c r="BU316" s="100"/>
      <c r="BV316" s="100"/>
      <c r="BW316" s="100"/>
      <c r="BX316" s="100"/>
      <c r="BY316" s="302">
        <f>BY315/BY181</f>
        <v>0.13197816744026122</v>
      </c>
      <c r="BZ316" s="100"/>
      <c r="CA316" s="100"/>
      <c r="CB316" s="100"/>
      <c r="CC316" s="100"/>
      <c r="CD316" s="302">
        <f>CD315/CD181</f>
        <v>0.14412671446384032</v>
      </c>
      <c r="CE316" s="100"/>
      <c r="CF316" s="100"/>
      <c r="CG316" s="100"/>
      <c r="CH316" s="100"/>
      <c r="CI316" s="302">
        <f>CI315/CI181</f>
        <v>0.14636866706875748</v>
      </c>
      <c r="CJ316" s="100"/>
      <c r="CK316" s="100"/>
      <c r="CL316" s="100"/>
      <c r="CM316" s="100"/>
      <c r="CN316" s="302">
        <f>CN315/CN181</f>
        <v>0.15892008213706785</v>
      </c>
      <c r="CO316" s="100"/>
      <c r="CP316" s="100"/>
      <c r="CQ316" s="100"/>
      <c r="CR316" s="100"/>
      <c r="CS316" s="302">
        <f>CS315/CS181</f>
        <v>0.13104008086897281</v>
      </c>
      <c r="CT316" s="100"/>
      <c r="CU316" s="100"/>
      <c r="CV316" s="100"/>
      <c r="CW316" s="100"/>
      <c r="CX316" s="302">
        <f>CX315/CX181</f>
        <v>0.111896239051071</v>
      </c>
      <c r="CY316" s="100"/>
      <c r="CZ316" s="100"/>
      <c r="DA316" s="100"/>
      <c r="DB316" s="100"/>
      <c r="DC316" s="302">
        <f>DC315/DC181</f>
        <v>0.12502754559277937</v>
      </c>
      <c r="DD316" s="25"/>
      <c r="DE316" s="178"/>
      <c r="DJ316" s="430"/>
      <c r="DK316" s="389"/>
      <c r="DL316" s="389"/>
      <c r="DM316" s="389"/>
      <c r="DN316" s="389"/>
      <c r="DO316" s="389"/>
      <c r="DP316" s="389"/>
      <c r="DQ316" s="389"/>
      <c r="DR316" s="487"/>
      <c r="DS316" s="25"/>
    </row>
    <row r="317" spans="1:129" hidden="1" x14ac:dyDescent="0.2">
      <c r="A317" s="183" t="s">
        <v>69</v>
      </c>
      <c r="B317" s="316"/>
      <c r="C317" s="41"/>
      <c r="D317" s="41"/>
      <c r="E317" s="41"/>
      <c r="F317" s="41"/>
      <c r="G317" s="316"/>
      <c r="H317" s="41"/>
      <c r="I317" s="41"/>
      <c r="J317" s="41"/>
      <c r="K317" s="41"/>
      <c r="L317" s="316"/>
      <c r="M317" s="41"/>
      <c r="N317" s="41"/>
      <c r="O317" s="41"/>
      <c r="P317" s="41"/>
      <c r="Q317" s="316"/>
      <c r="R317" s="179"/>
      <c r="S317" s="179"/>
      <c r="T317" s="179"/>
      <c r="U317" s="179"/>
      <c r="V317" s="316"/>
      <c r="W317" s="179"/>
      <c r="X317" s="179"/>
      <c r="Y317" s="179"/>
      <c r="Z317" s="179"/>
      <c r="AA317" s="316"/>
      <c r="AB317" s="179"/>
      <c r="AC317" s="179"/>
      <c r="AD317" s="179"/>
      <c r="AE317" s="179"/>
      <c r="AF317" s="316"/>
      <c r="AG317" s="179"/>
      <c r="AH317" s="179"/>
      <c r="AI317" s="180"/>
      <c r="AJ317" s="179"/>
      <c r="AK317" s="323"/>
      <c r="AL317" s="136"/>
      <c r="AM317" s="136"/>
      <c r="AN317" s="136"/>
      <c r="AO317" s="136"/>
      <c r="AP317" s="323"/>
      <c r="AQ317" s="136"/>
      <c r="AR317" s="136"/>
      <c r="AS317" s="136"/>
      <c r="AT317" s="136"/>
      <c r="AU317" s="323"/>
      <c r="AV317" s="136"/>
      <c r="AW317" s="100">
        <f t="shared" ref="AW317:BJ317" si="1021">AW315/AW270</f>
        <v>0.14972611367127495</v>
      </c>
      <c r="AX317" s="100">
        <f t="shared" si="1021"/>
        <v>0.18823159344864532</v>
      </c>
      <c r="AY317" s="100">
        <f t="shared" si="1021"/>
        <v>0.18335627097955445</v>
      </c>
      <c r="AZ317" s="302">
        <f t="shared" si="1021"/>
        <v>0.18335627097955445</v>
      </c>
      <c r="BA317" s="100">
        <f t="shared" si="1021"/>
        <v>0.18420343927529553</v>
      </c>
      <c r="BB317" s="100">
        <f t="shared" si="1021"/>
        <v>0.18538952959028829</v>
      </c>
      <c r="BC317" s="100">
        <f t="shared" si="1021"/>
        <v>0.17584119069205195</v>
      </c>
      <c r="BD317" s="100">
        <f t="shared" si="1021"/>
        <v>0.16573896556954343</v>
      </c>
      <c r="BE317" s="302">
        <f t="shared" si="1021"/>
        <v>0.1657389655695434</v>
      </c>
      <c r="BF317" s="100">
        <f t="shared" si="1021"/>
        <v>0.18043504310974715</v>
      </c>
      <c r="BG317" s="100">
        <f t="shared" si="1021"/>
        <v>0.18901519976838443</v>
      </c>
      <c r="BH317" s="100">
        <f t="shared" si="1021"/>
        <v>0.17923846042540872</v>
      </c>
      <c r="BI317" s="100">
        <f t="shared" si="1021"/>
        <v>0.17871828595672459</v>
      </c>
      <c r="BJ317" s="302">
        <f t="shared" si="1021"/>
        <v>0.17871828595672459</v>
      </c>
      <c r="BK317" s="100">
        <f>BK315/BK270</f>
        <v>0.17145695086098273</v>
      </c>
      <c r="BL317" s="100">
        <f>BL315/BL270</f>
        <v>0.16989862591138524</v>
      </c>
      <c r="BM317" s="100">
        <f>BM315/BM270</f>
        <v>0.14895910936843573</v>
      </c>
      <c r="BN317" s="100">
        <f>BN315/BN270</f>
        <v>0.12259080622347943</v>
      </c>
      <c r="BO317" s="302">
        <f>BO315/BO270</f>
        <v>0.12259080622347943</v>
      </c>
      <c r="BP317" s="100"/>
      <c r="BQ317" s="100"/>
      <c r="BR317" s="100"/>
      <c r="BS317" s="100"/>
      <c r="BT317" s="302">
        <f>BT315/BT270</f>
        <v>0.10077782312925164</v>
      </c>
      <c r="BU317" s="100"/>
      <c r="BV317" s="100"/>
      <c r="BW317" s="100"/>
      <c r="BX317" s="100"/>
      <c r="BY317" s="302">
        <f>BY315/BY270</f>
        <v>9.7935578517668015E-2</v>
      </c>
      <c r="BZ317" s="100"/>
      <c r="CA317" s="100"/>
      <c r="CB317" s="100"/>
      <c r="CC317" s="100"/>
      <c r="CD317" s="302">
        <f>CD315/CD270</f>
        <v>0.10678025404157039</v>
      </c>
      <c r="CE317" s="100"/>
      <c r="CF317" s="100"/>
      <c r="CG317" s="100"/>
      <c r="CH317" s="100"/>
      <c r="CI317" s="302">
        <f>CI315/CI270</f>
        <v>0.1023207547169811</v>
      </c>
      <c r="CJ317" s="100"/>
      <c r="CK317" s="100"/>
      <c r="CL317" s="100"/>
      <c r="CM317" s="100"/>
      <c r="CN317" s="302">
        <f>CN315/CN270</f>
        <v>0.11036802955116903</v>
      </c>
      <c r="CO317" s="100"/>
      <c r="CP317" s="100"/>
      <c r="CQ317" s="100"/>
      <c r="CR317" s="100"/>
      <c r="CS317" s="302">
        <f>CS315/CS270</f>
        <v>9.4116981379270617E-2</v>
      </c>
      <c r="CT317" s="100"/>
      <c r="CU317" s="100"/>
      <c r="CV317" s="100"/>
      <c r="CW317" s="100"/>
      <c r="CX317" s="302">
        <f>CX315/CX270</f>
        <v>8.1437137708706683E-2</v>
      </c>
      <c r="CY317" s="100"/>
      <c r="CZ317" s="100"/>
      <c r="DA317" s="100"/>
      <c r="DB317" s="100"/>
      <c r="DC317" s="302">
        <f>DC315/DC270</f>
        <v>8.9952093345853912E-2</v>
      </c>
      <c r="DD317" s="25"/>
      <c r="DE317" s="178"/>
      <c r="DJ317" s="430"/>
      <c r="DK317" s="389"/>
      <c r="DL317" s="389"/>
      <c r="DM317" s="389"/>
      <c r="DN317" s="389"/>
      <c r="DO317" s="389"/>
      <c r="DP317" s="389"/>
      <c r="DQ317" s="389"/>
      <c r="DR317" s="487"/>
      <c r="DS317" s="25"/>
    </row>
    <row r="318" spans="1:129" s="7" customFormat="1" hidden="1" collapsed="1" x14ac:dyDescent="0.2">
      <c r="A318" s="7" t="s">
        <v>220</v>
      </c>
      <c r="B318" s="260"/>
      <c r="G318" s="260"/>
      <c r="L318" s="260"/>
      <c r="Q318" s="260"/>
      <c r="V318" s="260"/>
      <c r="AA318" s="260"/>
      <c r="AF318" s="260"/>
      <c r="AK318" s="260"/>
      <c r="AP318" s="260"/>
      <c r="AU318" s="260"/>
      <c r="AZ318" s="260"/>
      <c r="BE318" s="260"/>
      <c r="BJ318" s="260"/>
      <c r="BO318" s="260"/>
      <c r="BT318" s="260"/>
      <c r="BY318" s="260"/>
      <c r="CD318" s="260"/>
      <c r="CI318" s="260"/>
      <c r="CN318" s="260"/>
      <c r="CS318" s="260"/>
      <c r="CX318" s="260"/>
      <c r="DC318" s="260"/>
      <c r="DD318" s="363"/>
      <c r="DE318" s="6"/>
      <c r="DF318" s="363"/>
      <c r="DG318" s="363"/>
      <c r="DH318" s="363"/>
      <c r="DI318" s="363"/>
      <c r="DJ318" s="435"/>
      <c r="DK318" s="393"/>
      <c r="DL318" s="393"/>
      <c r="DM318" s="393"/>
      <c r="DN318" s="393"/>
      <c r="DO318" s="393"/>
      <c r="DP318" s="393"/>
      <c r="DQ318" s="393"/>
      <c r="DR318" s="6"/>
      <c r="DS318" s="363"/>
      <c r="DT318"/>
      <c r="DU318"/>
      <c r="DV318"/>
      <c r="DW318"/>
      <c r="DX318"/>
      <c r="DY318"/>
    </row>
    <row r="319" spans="1:129" hidden="1" x14ac:dyDescent="0.2">
      <c r="A319" s="98" t="s">
        <v>287</v>
      </c>
      <c r="B319" s="316"/>
      <c r="C319" s="41"/>
      <c r="D319" s="41"/>
      <c r="E319" s="41"/>
      <c r="F319" s="41"/>
      <c r="G319" s="316"/>
      <c r="H319" s="41"/>
      <c r="I319" s="41"/>
      <c r="J319" s="41"/>
      <c r="K319" s="41"/>
      <c r="L319" s="316"/>
      <c r="M319" s="41"/>
      <c r="N319" s="41"/>
      <c r="O319" s="41"/>
      <c r="P319" s="41"/>
      <c r="Q319" s="316"/>
      <c r="R319" s="179"/>
      <c r="S319" s="179"/>
      <c r="T319" s="179"/>
      <c r="U319" s="179"/>
      <c r="V319" s="316"/>
      <c r="W319" s="179"/>
      <c r="X319" s="179"/>
      <c r="Y319" s="179"/>
      <c r="Z319" s="179"/>
      <c r="AA319" s="316"/>
      <c r="AB319" s="179"/>
      <c r="AC319" s="179"/>
      <c r="AD319" s="179"/>
      <c r="AE319" s="179"/>
      <c r="AF319" s="316"/>
      <c r="AG319" s="179"/>
      <c r="AH319" s="179"/>
      <c r="AI319" s="180"/>
      <c r="AJ319" s="179"/>
      <c r="AK319" s="308">
        <f t="shared" ref="AK319:BJ319" si="1022">AK189/AK$194</f>
        <v>0.82465753424657595</v>
      </c>
      <c r="AL319" s="98">
        <f t="shared" si="1022"/>
        <v>0.83544303797468356</v>
      </c>
      <c r="AM319" s="98">
        <f t="shared" si="1022"/>
        <v>0.94047619047619047</v>
      </c>
      <c r="AN319" s="98">
        <f t="shared" si="1022"/>
        <v>1.1468926553672316</v>
      </c>
      <c r="AO319" s="98">
        <f t="shared" si="1022"/>
        <v>0.9285714285714286</v>
      </c>
      <c r="AP319" s="308">
        <f t="shared" si="1022"/>
        <v>0.9285714285714286</v>
      </c>
      <c r="AQ319" s="98">
        <f t="shared" si="1022"/>
        <v>1.1066666666666669</v>
      </c>
      <c r="AR319" s="98">
        <f t="shared" si="1022"/>
        <v>0.84597701149425308</v>
      </c>
      <c r="AS319" s="98">
        <f t="shared" si="1022"/>
        <v>0.51250000000000029</v>
      </c>
      <c r="AT319" s="98">
        <f t="shared" si="1022"/>
        <v>0.59347826086956545</v>
      </c>
      <c r="AU319" s="308">
        <f t="shared" si="1022"/>
        <v>0.59347826086956423</v>
      </c>
      <c r="AV319" s="98">
        <f t="shared" si="1022"/>
        <v>0.88577472236911692</v>
      </c>
      <c r="AW319" s="98">
        <f t="shared" si="1022"/>
        <v>1.1401726764855256</v>
      </c>
      <c r="AX319" s="98">
        <f t="shared" si="1022"/>
        <v>1.3757018887187342</v>
      </c>
      <c r="AY319" s="98">
        <f t="shared" si="1022"/>
        <v>1.4981569246972091</v>
      </c>
      <c r="AZ319" s="308">
        <f t="shared" si="1022"/>
        <v>1.4981569246972091</v>
      </c>
      <c r="BA319" s="98">
        <f t="shared" si="1022"/>
        <v>1.3294491525423728</v>
      </c>
      <c r="BB319" s="98">
        <f t="shared" si="1022"/>
        <v>1.451086956521739</v>
      </c>
      <c r="BC319" s="98">
        <f t="shared" si="1022"/>
        <v>1.8877777777777776</v>
      </c>
      <c r="BD319" s="98">
        <f t="shared" si="1022"/>
        <v>1.8807909604519772</v>
      </c>
      <c r="BE319" s="308">
        <f t="shared" si="1022"/>
        <v>1.8807909604519752</v>
      </c>
      <c r="BF319" s="98">
        <f>BF189/BF$194</f>
        <v>1.9304597701149424</v>
      </c>
      <c r="BG319" s="98">
        <f t="shared" si="1022"/>
        <v>1.8737142857142857</v>
      </c>
      <c r="BH319" s="98">
        <f t="shared" si="1022"/>
        <v>1.6920000000000002</v>
      </c>
      <c r="BI319" s="98">
        <f t="shared" si="1022"/>
        <v>1.8505747126436782</v>
      </c>
      <c r="BJ319" s="308">
        <f t="shared" si="1022"/>
        <v>1.8505747126436782</v>
      </c>
      <c r="BK319" s="98">
        <f t="shared" ref="BK319:BO321" si="1023">BK189/BK$194</f>
        <v>2.103448275862069</v>
      </c>
      <c r="BL319" s="98">
        <f t="shared" si="1023"/>
        <v>2.3699421965317917</v>
      </c>
      <c r="BM319" s="98">
        <f t="shared" si="1023"/>
        <v>2.4269005847953218</v>
      </c>
      <c r="BN319" s="98">
        <f t="shared" si="1023"/>
        <v>2.2380952380952381</v>
      </c>
      <c r="BO319" s="308">
        <f t="shared" si="1023"/>
        <v>2.2380952380952381</v>
      </c>
      <c r="BP319" s="98"/>
      <c r="BQ319" s="98"/>
      <c r="BR319" s="98"/>
      <c r="BS319" s="98"/>
      <c r="BT319" s="308">
        <f>BT189/BT$194</f>
        <v>2.8918918918918921</v>
      </c>
      <c r="BU319" s="98"/>
      <c r="BV319" s="98"/>
      <c r="BW319" s="98"/>
      <c r="BX319" s="98"/>
      <c r="BY319" s="308">
        <f>BY189/BY$194</f>
        <v>3.8432835820895521</v>
      </c>
      <c r="BZ319" s="98"/>
      <c r="CA319" s="98"/>
      <c r="CB319" s="98"/>
      <c r="CC319" s="98"/>
      <c r="CD319" s="308">
        <f>CD189/CD$194</f>
        <v>10.133333333333333</v>
      </c>
      <c r="CE319" s="98"/>
      <c r="CF319" s="98"/>
      <c r="CG319" s="98"/>
      <c r="CH319" s="98"/>
      <c r="CI319" s="308">
        <f>CI189/CI$194</f>
        <v>12.737864077669903</v>
      </c>
      <c r="CJ319" s="98"/>
      <c r="CK319" s="98"/>
      <c r="CL319" s="98"/>
      <c r="CM319" s="98"/>
      <c r="CN319" s="308">
        <f>CN189/CN$194</f>
        <v>11.764705882352942</v>
      </c>
      <c r="CO319" s="98"/>
      <c r="CP319" s="98"/>
      <c r="CQ319" s="98"/>
      <c r="CR319" s="98"/>
      <c r="CS319" s="308">
        <f>CS189/CS$194</f>
        <v>9.0720686958079853</v>
      </c>
      <c r="CT319" s="98"/>
      <c r="CU319" s="98"/>
      <c r="CV319" s="98"/>
      <c r="CW319" s="98"/>
      <c r="CX319" s="308">
        <f>CX189/CX$194</f>
        <v>11.210462429377024</v>
      </c>
      <c r="CY319" s="98"/>
      <c r="CZ319" s="98"/>
      <c r="DA319" s="98"/>
      <c r="DB319" s="98"/>
      <c r="DC319" s="308">
        <f>DC189/DC$194</f>
        <v>13.645951208109658</v>
      </c>
      <c r="DD319" s="25"/>
      <c r="DE319" s="178"/>
      <c r="DJ319" s="430"/>
      <c r="DK319" s="389"/>
      <c r="DL319" s="389"/>
      <c r="DM319" s="389"/>
      <c r="DN319" s="389"/>
      <c r="DO319" s="389"/>
      <c r="DP319" s="389"/>
      <c r="DQ319" s="389"/>
      <c r="DR319" s="487"/>
      <c r="DS319" s="25"/>
    </row>
    <row r="320" spans="1:129" hidden="1" x14ac:dyDescent="0.2">
      <c r="A320" s="98" t="s">
        <v>288</v>
      </c>
      <c r="B320" s="316"/>
      <c r="C320" s="41"/>
      <c r="D320" s="41"/>
      <c r="E320" s="41"/>
      <c r="F320" s="41"/>
      <c r="G320" s="316"/>
      <c r="H320" s="41"/>
      <c r="I320" s="41"/>
      <c r="J320" s="41"/>
      <c r="K320" s="41"/>
      <c r="L320" s="316"/>
      <c r="M320" s="41"/>
      <c r="N320" s="41"/>
      <c r="O320" s="41"/>
      <c r="P320" s="41"/>
      <c r="Q320" s="316"/>
      <c r="R320" s="179"/>
      <c r="S320" s="179"/>
      <c r="T320" s="179"/>
      <c r="U320" s="179"/>
      <c r="V320" s="316"/>
      <c r="W320" s="179"/>
      <c r="X320" s="179"/>
      <c r="Y320" s="179"/>
      <c r="Z320" s="179"/>
      <c r="AA320" s="316"/>
      <c r="AB320" s="179"/>
      <c r="AC320" s="179"/>
      <c r="AD320" s="179"/>
      <c r="AE320" s="179"/>
      <c r="AF320" s="316"/>
      <c r="AG320" s="179"/>
      <c r="AH320" s="179"/>
      <c r="AI320" s="180"/>
      <c r="AJ320" s="179"/>
      <c r="AK320" s="308">
        <f t="shared" ref="AK320:BJ320" si="1024">AK190/AK$194</f>
        <v>1.8589041095890417</v>
      </c>
      <c r="AL320" s="98">
        <f t="shared" si="1024"/>
        <v>1.8417721518987342</v>
      </c>
      <c r="AM320" s="98">
        <f t="shared" si="1024"/>
        <v>1.9226190476190477</v>
      </c>
      <c r="AN320" s="98">
        <f t="shared" si="1024"/>
        <v>2.1073446327683616</v>
      </c>
      <c r="AO320" s="98">
        <f t="shared" si="1024"/>
        <v>1.8956043956043955</v>
      </c>
      <c r="AP320" s="308">
        <f t="shared" si="1024"/>
        <v>1.8956043956043955</v>
      </c>
      <c r="AQ320" s="98">
        <f t="shared" si="1024"/>
        <v>2.1011111111111114</v>
      </c>
      <c r="AR320" s="98">
        <f t="shared" si="1024"/>
        <v>1.8919540229885059</v>
      </c>
      <c r="AS320" s="98">
        <f t="shared" si="1024"/>
        <v>1.6034090909090912</v>
      </c>
      <c r="AT320" s="98">
        <f t="shared" si="1024"/>
        <v>1.7076086956521741</v>
      </c>
      <c r="AU320" s="308">
        <f t="shared" si="1024"/>
        <v>1.707608695652173</v>
      </c>
      <c r="AV320" s="98">
        <f t="shared" si="1024"/>
        <v>2.0227392913802222</v>
      </c>
      <c r="AW320" s="98">
        <f t="shared" si="1024"/>
        <v>2.2828847130523107</v>
      </c>
      <c r="AX320" s="98">
        <f t="shared" si="1024"/>
        <v>2.5497702909647781</v>
      </c>
      <c r="AY320" s="98">
        <f t="shared" si="1024"/>
        <v>2.6987888362295944</v>
      </c>
      <c r="AZ320" s="308">
        <f t="shared" si="1024"/>
        <v>2.6987888362295944</v>
      </c>
      <c r="BA320" s="98">
        <f t="shared" si="1024"/>
        <v>2.5476694915254234</v>
      </c>
      <c r="BB320" s="98">
        <f t="shared" si="1024"/>
        <v>2.6902173913043477</v>
      </c>
      <c r="BC320" s="98">
        <f t="shared" si="1024"/>
        <v>3.1266666666666665</v>
      </c>
      <c r="BD320" s="98">
        <f t="shared" si="1024"/>
        <v>3.123728813559322</v>
      </c>
      <c r="BE320" s="308">
        <f t="shared" si="1024"/>
        <v>3.1237288135593202</v>
      </c>
      <c r="BF320" s="98">
        <f>BF190/BF$194</f>
        <v>3.189080459770115</v>
      </c>
      <c r="BG320" s="98">
        <f t="shared" si="1024"/>
        <v>3.1479999999999997</v>
      </c>
      <c r="BH320" s="98">
        <f t="shared" si="1024"/>
        <v>2.9834285714285715</v>
      </c>
      <c r="BI320" s="98">
        <f t="shared" si="1024"/>
        <v>3.1896551724137931</v>
      </c>
      <c r="BJ320" s="308">
        <f t="shared" si="1024"/>
        <v>3.1896551724137931</v>
      </c>
      <c r="BK320" s="98">
        <f t="shared" si="1023"/>
        <v>3.4712643678160919</v>
      </c>
      <c r="BL320" s="98">
        <f t="shared" si="1023"/>
        <v>3.7745664739884393</v>
      </c>
      <c r="BM320" s="98">
        <f t="shared" si="1023"/>
        <v>3.9005847953216373</v>
      </c>
      <c r="BN320" s="98">
        <f t="shared" si="1023"/>
        <v>3.7738095238095237</v>
      </c>
      <c r="BO320" s="308">
        <f t="shared" si="1023"/>
        <v>3.7738095238095237</v>
      </c>
      <c r="BP320" s="98"/>
      <c r="BQ320" s="98"/>
      <c r="BR320" s="98"/>
      <c r="BS320" s="98"/>
      <c r="BT320" s="308">
        <f>BT190/BT$194</f>
        <v>4.8513513513513518</v>
      </c>
      <c r="BU320" s="98"/>
      <c r="BV320" s="98"/>
      <c r="BW320" s="98"/>
      <c r="BX320" s="98"/>
      <c r="BY320" s="308">
        <f>BY190/BY$194</f>
        <v>6.2313432835820892</v>
      </c>
      <c r="BZ320" s="98"/>
      <c r="CA320" s="98"/>
      <c r="CB320" s="98"/>
      <c r="CC320" s="98"/>
      <c r="CD320" s="308">
        <f>CD190/CD$194</f>
        <v>13.008333333333333</v>
      </c>
      <c r="CE320" s="98"/>
      <c r="CF320" s="98"/>
      <c r="CG320" s="98"/>
      <c r="CH320" s="98"/>
      <c r="CI320" s="308">
        <f>CI190/CI$194</f>
        <v>16.543689320388349</v>
      </c>
      <c r="CJ320" s="98"/>
      <c r="CK320" s="98"/>
      <c r="CL320" s="98"/>
      <c r="CM320" s="98"/>
      <c r="CN320" s="308">
        <f>CN190/CN$194</f>
        <v>17.023529411764706</v>
      </c>
      <c r="CO320" s="98"/>
      <c r="CP320" s="98"/>
      <c r="CQ320" s="98"/>
      <c r="CR320" s="98"/>
      <c r="CS320" s="308">
        <f>CS190/CS$194</f>
        <v>14.187919759637772</v>
      </c>
      <c r="CT320" s="98"/>
      <c r="CU320" s="98"/>
      <c r="CV320" s="98"/>
      <c r="CW320" s="98"/>
      <c r="CX320" s="308">
        <f>CX190/CX$194</f>
        <v>16.964932654096124</v>
      </c>
      <c r="CY320" s="98"/>
      <c r="CZ320" s="98"/>
      <c r="DA320" s="98"/>
      <c r="DB320" s="98"/>
      <c r="DC320" s="308">
        <f>DC190/DC$194</f>
        <v>19.931402094473295</v>
      </c>
      <c r="DD320" s="25"/>
      <c r="DE320" s="178"/>
      <c r="DJ320" s="430"/>
      <c r="DK320" s="389"/>
      <c r="DL320" s="389"/>
      <c r="DM320" s="389"/>
      <c r="DN320" s="389"/>
      <c r="DO320" s="389"/>
      <c r="DP320" s="389"/>
      <c r="DQ320" s="389"/>
      <c r="DR320" s="487"/>
      <c r="DS320" s="25"/>
    </row>
    <row r="321" spans="1:123" hidden="1" x14ac:dyDescent="0.2">
      <c r="A321" s="98" t="s">
        <v>289</v>
      </c>
      <c r="B321" s="316"/>
      <c r="C321" s="41"/>
      <c r="D321" s="41"/>
      <c r="E321" s="41"/>
      <c r="F321" s="41"/>
      <c r="G321" s="316"/>
      <c r="H321" s="41"/>
      <c r="I321" s="41"/>
      <c r="J321" s="41"/>
      <c r="K321" s="41"/>
      <c r="L321" s="316"/>
      <c r="M321" s="41"/>
      <c r="N321" s="41"/>
      <c r="O321" s="41"/>
      <c r="P321" s="41"/>
      <c r="Q321" s="316"/>
      <c r="R321" s="179"/>
      <c r="S321" s="179"/>
      <c r="T321" s="179"/>
      <c r="U321" s="179"/>
      <c r="V321" s="316"/>
      <c r="W321" s="179"/>
      <c r="X321" s="179"/>
      <c r="Y321" s="179"/>
      <c r="Z321" s="179"/>
      <c r="AA321" s="316"/>
      <c r="AB321" s="179"/>
      <c r="AC321" s="179"/>
      <c r="AD321" s="179"/>
      <c r="AE321" s="179"/>
      <c r="AF321" s="316"/>
      <c r="AG321" s="179"/>
      <c r="AH321" s="179"/>
      <c r="AI321" s="180"/>
      <c r="AJ321" s="179"/>
      <c r="AK321" s="308">
        <f t="shared" ref="AK321:BJ321" si="1025">AK191/AK$194</f>
        <v>2.5643835616438362</v>
      </c>
      <c r="AL321" s="98">
        <f t="shared" si="1025"/>
        <v>2.5443037974683542</v>
      </c>
      <c r="AM321" s="98">
        <f t="shared" si="1025"/>
        <v>2.6130952380952381</v>
      </c>
      <c r="AN321" s="98">
        <f t="shared" si="1025"/>
        <v>2.7909604519774009</v>
      </c>
      <c r="AO321" s="98">
        <f t="shared" si="1025"/>
        <v>2.5769230769230771</v>
      </c>
      <c r="AP321" s="308">
        <f t="shared" si="1025"/>
        <v>2.5769230769230771</v>
      </c>
      <c r="AQ321" s="98">
        <f t="shared" si="1025"/>
        <v>2.8011111111111116</v>
      </c>
      <c r="AR321" s="98">
        <f t="shared" si="1025"/>
        <v>2.6275862068965519</v>
      </c>
      <c r="AS321" s="98">
        <f t="shared" si="1025"/>
        <v>2.3363636363636364</v>
      </c>
      <c r="AT321" s="98">
        <f t="shared" si="1025"/>
        <v>2.4086956521739133</v>
      </c>
      <c r="AU321" s="308">
        <f t="shared" si="1025"/>
        <v>2.408695652173912</v>
      </c>
      <c r="AV321" s="98">
        <f t="shared" si="1025"/>
        <v>2.7049180327868854</v>
      </c>
      <c r="AW321" s="98">
        <f t="shared" si="1025"/>
        <v>2.9380396140172675</v>
      </c>
      <c r="AX321" s="98">
        <f t="shared" si="1025"/>
        <v>3.1980602348136808</v>
      </c>
      <c r="AY321" s="98">
        <f t="shared" si="1025"/>
        <v>3.3622959452343339</v>
      </c>
      <c r="AZ321" s="308">
        <f t="shared" si="1025"/>
        <v>3.3622959452343339</v>
      </c>
      <c r="BA321" s="98">
        <f t="shared" si="1025"/>
        <v>3.2097457627118642</v>
      </c>
      <c r="BB321" s="98">
        <f t="shared" si="1025"/>
        <v>3.3641304347826089</v>
      </c>
      <c r="BC321" s="98">
        <f t="shared" si="1025"/>
        <v>3.8155555555555551</v>
      </c>
      <c r="BD321" s="98">
        <f t="shared" si="1025"/>
        <v>3.8355932203389829</v>
      </c>
      <c r="BE321" s="308">
        <f t="shared" si="1025"/>
        <v>3.8355932203389811</v>
      </c>
      <c r="BF321" s="98">
        <f>BF191/BF$194</f>
        <v>3.9304597701149424</v>
      </c>
      <c r="BG321" s="98">
        <f t="shared" si="1025"/>
        <v>3.9137142857142857</v>
      </c>
      <c r="BH321" s="98">
        <f t="shared" si="1025"/>
        <v>3.7548571428571429</v>
      </c>
      <c r="BI321" s="98">
        <f t="shared" si="1025"/>
        <v>3.9655172413793105</v>
      </c>
      <c r="BJ321" s="308">
        <f t="shared" si="1025"/>
        <v>3.9655172413793105</v>
      </c>
      <c r="BK321" s="98">
        <f t="shared" si="1023"/>
        <v>4.2413793103448274</v>
      </c>
      <c r="BL321" s="98">
        <f t="shared" si="1023"/>
        <v>4.5317919075144513</v>
      </c>
      <c r="BM321" s="98">
        <f t="shared" si="1023"/>
        <v>4.666666666666667</v>
      </c>
      <c r="BN321" s="98">
        <f t="shared" si="1023"/>
        <v>4.5476190476190474</v>
      </c>
      <c r="BO321" s="308">
        <f t="shared" si="1023"/>
        <v>4.5476190476190474</v>
      </c>
      <c r="BP321" s="98"/>
      <c r="BQ321" s="98"/>
      <c r="BR321" s="98"/>
      <c r="BS321" s="98"/>
      <c r="BT321" s="308">
        <f>BT191/BT$194</f>
        <v>5.7162162162162158</v>
      </c>
      <c r="BU321" s="98"/>
      <c r="BV321" s="98"/>
      <c r="BW321" s="98"/>
      <c r="BX321" s="98"/>
      <c r="BY321" s="308">
        <f>BY191/BY$194</f>
        <v>7.1567164179104479</v>
      </c>
      <c r="BZ321" s="98"/>
      <c r="CA321" s="98"/>
      <c r="CB321" s="98"/>
      <c r="CC321" s="98"/>
      <c r="CD321" s="308">
        <f>CD191/CD$194</f>
        <v>14.025</v>
      </c>
      <c r="CE321" s="98"/>
      <c r="CF321" s="98"/>
      <c r="CG321" s="98"/>
      <c r="CH321" s="98"/>
      <c r="CI321" s="308">
        <f>CI191/CI$194</f>
        <v>17.621359223300971</v>
      </c>
      <c r="CJ321" s="98"/>
      <c r="CK321" s="98"/>
      <c r="CL321" s="98"/>
      <c r="CM321" s="98"/>
      <c r="CN321" s="308">
        <f>CN191/CN$194</f>
        <v>18.211764705882352</v>
      </c>
      <c r="CO321" s="98"/>
      <c r="CP321" s="98"/>
      <c r="CQ321" s="98"/>
      <c r="CR321" s="98"/>
      <c r="CS321" s="308">
        <f>CS191/CS$194</f>
        <v>15.188421750803426</v>
      </c>
      <c r="CT321" s="98"/>
      <c r="CU321" s="98"/>
      <c r="CV321" s="98"/>
      <c r="CW321" s="98"/>
      <c r="CX321" s="308">
        <f>CX191/CX$194</f>
        <v>17.972424492032076</v>
      </c>
      <c r="CY321" s="98"/>
      <c r="CZ321" s="98"/>
      <c r="DA321" s="98"/>
      <c r="DB321" s="98"/>
      <c r="DC321" s="308">
        <f>DC191/DC$194</f>
        <v>20.935653816894447</v>
      </c>
      <c r="DD321" s="25"/>
      <c r="DE321" s="178"/>
      <c r="DJ321" s="430"/>
      <c r="DK321" s="389"/>
      <c r="DL321" s="389"/>
      <c r="DM321" s="389"/>
      <c r="DN321" s="389"/>
      <c r="DO321" s="389"/>
      <c r="DP321" s="389"/>
      <c r="DQ321" s="389"/>
      <c r="DR321" s="487"/>
      <c r="DS321" s="25"/>
    </row>
    <row r="322" spans="1:123" hidden="1" x14ac:dyDescent="0.2">
      <c r="A322" s="98"/>
      <c r="B322" s="316"/>
      <c r="C322" s="41"/>
      <c r="D322" s="41"/>
      <c r="E322" s="41"/>
      <c r="F322" s="41"/>
      <c r="G322" s="316"/>
      <c r="H322" s="41"/>
      <c r="I322" s="41"/>
      <c r="J322" s="41"/>
      <c r="K322" s="41"/>
      <c r="L322" s="316"/>
      <c r="M322" s="41"/>
      <c r="N322" s="41"/>
      <c r="O322" s="41"/>
      <c r="P322" s="41"/>
      <c r="Q322" s="316"/>
      <c r="R322" s="179"/>
      <c r="S322" s="179"/>
      <c r="T322" s="179"/>
      <c r="U322" s="179"/>
      <c r="V322" s="316"/>
      <c r="W322" s="179"/>
      <c r="X322" s="179"/>
      <c r="Y322" s="179"/>
      <c r="Z322" s="179"/>
      <c r="AA322" s="316"/>
      <c r="AB322" s="179"/>
      <c r="AC322" s="179"/>
      <c r="AD322" s="179"/>
      <c r="AE322" s="179"/>
      <c r="AF322" s="316"/>
      <c r="AG322" s="179"/>
      <c r="AH322" s="179"/>
      <c r="AI322" s="180"/>
      <c r="AJ322" s="179"/>
      <c r="AK322" s="323"/>
      <c r="AL322" s="136"/>
      <c r="AM322" s="136"/>
      <c r="AN322" s="136"/>
      <c r="AO322" s="136"/>
      <c r="AP322" s="323"/>
      <c r="AQ322" s="136"/>
      <c r="AR322" s="136"/>
      <c r="AS322" s="136"/>
      <c r="AT322" s="136"/>
      <c r="AU322" s="323"/>
      <c r="AV322" s="136"/>
      <c r="AW322" s="136"/>
      <c r="AX322" s="136"/>
      <c r="AY322" s="136"/>
      <c r="AZ322" s="323"/>
      <c r="BA322" s="136"/>
      <c r="BB322" s="136"/>
      <c r="BC322" s="136"/>
      <c r="BD322" s="136"/>
      <c r="BE322" s="323"/>
      <c r="BF322" s="136"/>
      <c r="BG322" s="136"/>
      <c r="BH322" s="136"/>
      <c r="BI322" s="136"/>
      <c r="BJ322" s="323"/>
      <c r="BK322" s="136"/>
      <c r="BL322" s="136"/>
      <c r="BM322" s="136"/>
      <c r="BN322" s="136"/>
      <c r="BO322" s="323"/>
      <c r="BP322" s="136"/>
      <c r="BQ322" s="136"/>
      <c r="BR322" s="136"/>
      <c r="BS322" s="136"/>
      <c r="BT322" s="323"/>
      <c r="BU322" s="136"/>
      <c r="BV322" s="136"/>
      <c r="BW322" s="136"/>
      <c r="BX322" s="136"/>
      <c r="BY322" s="323"/>
      <c r="BZ322" s="136"/>
      <c r="CA322" s="136"/>
      <c r="CB322" s="136"/>
      <c r="CC322" s="136"/>
      <c r="CD322" s="323"/>
      <c r="CE322" s="136"/>
      <c r="CF322" s="136"/>
      <c r="CG322" s="136"/>
      <c r="CH322" s="136"/>
      <c r="CI322" s="323"/>
      <c r="CJ322" s="136"/>
      <c r="CK322" s="136"/>
      <c r="CL322" s="136"/>
      <c r="CM322" s="136"/>
      <c r="CN322" s="323"/>
      <c r="CO322" s="136"/>
      <c r="CP322" s="136"/>
      <c r="CQ322" s="136"/>
      <c r="CR322" s="136"/>
      <c r="CS322" s="323"/>
      <c r="CT322" s="136"/>
      <c r="CU322" s="136"/>
      <c r="CV322" s="136"/>
      <c r="CW322" s="136"/>
      <c r="CX322" s="323"/>
      <c r="CY322" s="136"/>
      <c r="CZ322" s="136"/>
      <c r="DA322" s="136"/>
      <c r="DB322" s="136"/>
      <c r="DC322" s="323"/>
      <c r="DD322" s="25"/>
      <c r="DE322" s="178"/>
      <c r="DJ322" s="430"/>
      <c r="DK322" s="389"/>
      <c r="DL322" s="389"/>
      <c r="DM322" s="389"/>
      <c r="DN322" s="389"/>
      <c r="DO322" s="389"/>
      <c r="DP322" s="389"/>
      <c r="DQ322" s="389"/>
      <c r="DR322" s="487"/>
      <c r="DS322" s="25"/>
    </row>
    <row r="323" spans="1:123" hidden="1" x14ac:dyDescent="0.2">
      <c r="A323" s="98" t="s">
        <v>290</v>
      </c>
      <c r="B323" s="316"/>
      <c r="C323" s="41"/>
      <c r="D323" s="41"/>
      <c r="E323" s="41"/>
      <c r="F323" s="41"/>
      <c r="G323" s="316"/>
      <c r="H323" s="41"/>
      <c r="I323" s="41"/>
      <c r="J323" s="41"/>
      <c r="K323" s="41"/>
      <c r="L323" s="316"/>
      <c r="M323" s="41"/>
      <c r="N323" s="41"/>
      <c r="O323" s="41"/>
      <c r="P323" s="41"/>
      <c r="Q323" s="316"/>
      <c r="R323" s="179"/>
      <c r="S323" s="179"/>
      <c r="T323" s="179"/>
      <c r="U323" s="179"/>
      <c r="V323" s="316"/>
      <c r="W323" s="179"/>
      <c r="X323" s="179"/>
      <c r="Y323" s="179"/>
      <c r="Z323" s="179"/>
      <c r="AA323" s="316"/>
      <c r="AB323" s="179"/>
      <c r="AC323" s="179"/>
      <c r="AD323" s="179"/>
      <c r="AE323" s="179"/>
      <c r="AF323" s="316"/>
      <c r="AG323" s="179"/>
      <c r="AH323" s="179"/>
      <c r="AI323" s="180"/>
      <c r="AJ323" s="179"/>
      <c r="AK323" s="308">
        <f t="shared" ref="AK323:BJ323" si="1026">AK189/AK$193</f>
        <v>0.69595375722543407</v>
      </c>
      <c r="AL323" s="98">
        <f t="shared" si="1026"/>
        <v>0.7021276595744681</v>
      </c>
      <c r="AM323" s="98">
        <f t="shared" si="1026"/>
        <v>0.78217821782178221</v>
      </c>
      <c r="AN323" s="98">
        <f t="shared" si="1026"/>
        <v>0.94418604651162785</v>
      </c>
      <c r="AO323" s="98">
        <f t="shared" si="1026"/>
        <v>0.75111111111111106</v>
      </c>
      <c r="AP323" s="308">
        <f t="shared" si="1026"/>
        <v>0.75111111111111106</v>
      </c>
      <c r="AQ323" s="98">
        <f t="shared" si="1026"/>
        <v>0.86986899563318798</v>
      </c>
      <c r="AR323" s="98">
        <f t="shared" si="1026"/>
        <v>0.6513274336283188</v>
      </c>
      <c r="AS323" s="98">
        <f t="shared" si="1026"/>
        <v>0.38879310344827606</v>
      </c>
      <c r="AT323" s="98">
        <f t="shared" si="1026"/>
        <v>0.47068965517241401</v>
      </c>
      <c r="AU323" s="308">
        <f t="shared" si="1026"/>
        <v>0.47068965517241301</v>
      </c>
      <c r="AV323" s="98">
        <f t="shared" si="1026"/>
        <v>0.74411372723234115</v>
      </c>
      <c r="AW323" s="98">
        <f t="shared" si="1026"/>
        <v>1.0158371040723981</v>
      </c>
      <c r="AX323" s="98">
        <f t="shared" si="1026"/>
        <v>1.3019323671497585</v>
      </c>
      <c r="AY323" s="98">
        <f t="shared" si="1026"/>
        <v>1.4441624365482233</v>
      </c>
      <c r="AZ323" s="308">
        <f t="shared" si="1026"/>
        <v>1.4441624365482233</v>
      </c>
      <c r="BA323" s="98">
        <f t="shared" si="1026"/>
        <v>1.2878399179066187</v>
      </c>
      <c r="BB323" s="98">
        <f t="shared" si="1026"/>
        <v>1.4126984126984128</v>
      </c>
      <c r="BC323" s="98">
        <f t="shared" si="1026"/>
        <v>1.8467391304347824</v>
      </c>
      <c r="BD323" s="98">
        <f t="shared" si="1026"/>
        <v>1.8392265193370165</v>
      </c>
      <c r="BE323" s="308">
        <f t="shared" si="1026"/>
        <v>1.8392265193370145</v>
      </c>
      <c r="BF323" s="98">
        <f>BF189/BF$193</f>
        <v>1.8870786516853932</v>
      </c>
      <c r="BG323" s="98">
        <f t="shared" si="1026"/>
        <v>1.8318435754189943</v>
      </c>
      <c r="BH323" s="98">
        <f t="shared" si="1026"/>
        <v>1.6541899441340784</v>
      </c>
      <c r="BI323" s="98">
        <f t="shared" si="1026"/>
        <v>1.7988826815642458</v>
      </c>
      <c r="BJ323" s="308">
        <f t="shared" si="1026"/>
        <v>1.7988826815642458</v>
      </c>
      <c r="BK323" s="98">
        <f t="shared" ref="BK323:BO325" si="1027">BK189/BK$193</f>
        <v>2.0333333333333332</v>
      </c>
      <c r="BL323" s="98">
        <f t="shared" si="1027"/>
        <v>2.2777777777777777</v>
      </c>
      <c r="BM323" s="98">
        <f t="shared" si="1027"/>
        <v>2.3184357541899443</v>
      </c>
      <c r="BN323" s="98">
        <f t="shared" si="1027"/>
        <v>2.1363636363636362</v>
      </c>
      <c r="BO323" s="308">
        <f t="shared" si="1027"/>
        <v>2.1363636363636362</v>
      </c>
      <c r="BP323" s="98"/>
      <c r="BQ323" s="98"/>
      <c r="BR323" s="98"/>
      <c r="BS323" s="98"/>
      <c r="BT323" s="308">
        <f>BT189/BT$193</f>
        <v>2.658385093167702</v>
      </c>
      <c r="BU323" s="98"/>
      <c r="BV323" s="98"/>
      <c r="BW323" s="98"/>
      <c r="BX323" s="98"/>
      <c r="BY323" s="308">
        <f>BY189/BY$193</f>
        <v>3.4797297297297298</v>
      </c>
      <c r="BZ323" s="98"/>
      <c r="CA323" s="98"/>
      <c r="CB323" s="98"/>
      <c r="CC323" s="98"/>
      <c r="CD323" s="308">
        <f>CD189/CD$193</f>
        <v>9.5</v>
      </c>
      <c r="CE323" s="98"/>
      <c r="CF323" s="98"/>
      <c r="CG323" s="98"/>
      <c r="CH323" s="98"/>
      <c r="CI323" s="308">
        <f>CI189/CI$193</f>
        <v>11.81981981981982</v>
      </c>
      <c r="CJ323" s="98"/>
      <c r="CK323" s="98"/>
      <c r="CL323" s="98"/>
      <c r="CM323" s="98"/>
      <c r="CN323" s="308">
        <f>CN189/CN$193</f>
        <v>10.638297872340425</v>
      </c>
      <c r="CO323" s="98"/>
      <c r="CP323" s="98"/>
      <c r="CQ323" s="98"/>
      <c r="CR323" s="98"/>
      <c r="CS323" s="308">
        <f>CS189/CS$193</f>
        <v>8.3605338961367721</v>
      </c>
      <c r="CT323" s="98"/>
      <c r="CU323" s="98"/>
      <c r="CV323" s="98"/>
      <c r="CW323" s="98"/>
      <c r="CX323" s="308">
        <f>CX189/CX$193</f>
        <v>10.285888208397475</v>
      </c>
      <c r="CY323" s="98"/>
      <c r="CZ323" s="98"/>
      <c r="DA323" s="98"/>
      <c r="DB323" s="98"/>
      <c r="DC323" s="308">
        <f>DC189/DC$193</f>
        <v>12.508788607433852</v>
      </c>
      <c r="DD323" s="25"/>
      <c r="DE323" s="178"/>
      <c r="DJ323" s="430"/>
      <c r="DK323" s="389"/>
      <c r="DL323" s="389"/>
      <c r="DM323" s="389"/>
      <c r="DN323" s="389"/>
      <c r="DO323" s="389"/>
      <c r="DP323" s="389"/>
      <c r="DQ323" s="389"/>
      <c r="DR323" s="487"/>
      <c r="DS323" s="25"/>
    </row>
    <row r="324" spans="1:123" hidden="1" x14ac:dyDescent="0.2">
      <c r="A324" s="98" t="s">
        <v>291</v>
      </c>
      <c r="B324" s="316"/>
      <c r="C324" s="41"/>
      <c r="D324" s="41"/>
      <c r="E324" s="41"/>
      <c r="F324" s="41"/>
      <c r="G324" s="316"/>
      <c r="H324" s="41"/>
      <c r="I324" s="41"/>
      <c r="J324" s="41"/>
      <c r="K324" s="41"/>
      <c r="L324" s="316"/>
      <c r="M324" s="41"/>
      <c r="N324" s="41"/>
      <c r="O324" s="41"/>
      <c r="P324" s="41"/>
      <c r="Q324" s="316"/>
      <c r="R324" s="179"/>
      <c r="S324" s="179"/>
      <c r="T324" s="179"/>
      <c r="U324" s="179"/>
      <c r="V324" s="316"/>
      <c r="W324" s="179"/>
      <c r="X324" s="179"/>
      <c r="Y324" s="179"/>
      <c r="Z324" s="179"/>
      <c r="AA324" s="316"/>
      <c r="AB324" s="179"/>
      <c r="AC324" s="179"/>
      <c r="AD324" s="179"/>
      <c r="AE324" s="179"/>
      <c r="AF324" s="316"/>
      <c r="AG324" s="179"/>
      <c r="AH324" s="179"/>
      <c r="AI324" s="180"/>
      <c r="AJ324" s="179"/>
      <c r="AK324" s="308">
        <f t="shared" ref="AK324:BJ324" si="1028">AK190/AK$193</f>
        <v>1.5687861271676307</v>
      </c>
      <c r="AL324" s="98">
        <f t="shared" si="1028"/>
        <v>1.5478723404255319</v>
      </c>
      <c r="AM324" s="98">
        <f t="shared" si="1028"/>
        <v>1.5990099009900991</v>
      </c>
      <c r="AN324" s="98">
        <f t="shared" si="1028"/>
        <v>1.7348837209302326</v>
      </c>
      <c r="AO324" s="98">
        <f t="shared" si="1028"/>
        <v>1.5333333333333334</v>
      </c>
      <c r="AP324" s="308">
        <f t="shared" si="1028"/>
        <v>1.5333333333333334</v>
      </c>
      <c r="AQ324" s="98">
        <f t="shared" si="1028"/>
        <v>1.6515283842794761</v>
      </c>
      <c r="AR324" s="98">
        <f t="shared" si="1028"/>
        <v>1.4566371681415931</v>
      </c>
      <c r="AS324" s="98">
        <f t="shared" si="1028"/>
        <v>1.2163793103448277</v>
      </c>
      <c r="AT324" s="98">
        <f t="shared" si="1028"/>
        <v>1.3543103448275864</v>
      </c>
      <c r="AU324" s="308">
        <f t="shared" si="1028"/>
        <v>1.3543103448275855</v>
      </c>
      <c r="AV324" s="98">
        <f t="shared" si="1028"/>
        <v>1.6992447800977344</v>
      </c>
      <c r="AW324" s="98">
        <f t="shared" si="1028"/>
        <v>2.0339366515837103</v>
      </c>
      <c r="AX324" s="98">
        <f t="shared" si="1028"/>
        <v>2.4130434782608696</v>
      </c>
      <c r="AY324" s="98">
        <f t="shared" si="1028"/>
        <v>2.6015228426395938</v>
      </c>
      <c r="AZ324" s="308">
        <f t="shared" si="1028"/>
        <v>2.6015228426395938</v>
      </c>
      <c r="BA324" s="98">
        <f t="shared" si="1028"/>
        <v>2.4679322729604927</v>
      </c>
      <c r="BB324" s="98">
        <f t="shared" si="1028"/>
        <v>2.6190476190476191</v>
      </c>
      <c r="BC324" s="98">
        <f t="shared" si="1028"/>
        <v>3.0586956521739128</v>
      </c>
      <c r="BD324" s="98">
        <f t="shared" si="1028"/>
        <v>3.054696132596685</v>
      </c>
      <c r="BE324" s="308">
        <f t="shared" si="1028"/>
        <v>3.0546961325966833</v>
      </c>
      <c r="BF324" s="98">
        <f>BF190/BF$193</f>
        <v>3.1174157303370786</v>
      </c>
      <c r="BG324" s="98">
        <f t="shared" si="1028"/>
        <v>3.0776536312849161</v>
      </c>
      <c r="BH324" s="98">
        <f t="shared" si="1028"/>
        <v>2.9167597765363129</v>
      </c>
      <c r="BI324" s="98">
        <f t="shared" si="1028"/>
        <v>3.1005586592178771</v>
      </c>
      <c r="BJ324" s="308">
        <f t="shared" si="1028"/>
        <v>3.1005586592178771</v>
      </c>
      <c r="BK324" s="98">
        <f t="shared" si="1027"/>
        <v>3.3555555555555556</v>
      </c>
      <c r="BL324" s="98">
        <f t="shared" si="1027"/>
        <v>3.6277777777777778</v>
      </c>
      <c r="BM324" s="98">
        <f t="shared" si="1027"/>
        <v>3.7262569832402233</v>
      </c>
      <c r="BN324" s="98">
        <f t="shared" si="1027"/>
        <v>3.6022727272727271</v>
      </c>
      <c r="BO324" s="308">
        <f t="shared" si="1027"/>
        <v>3.6022727272727271</v>
      </c>
      <c r="BP324" s="98"/>
      <c r="BQ324" s="98"/>
      <c r="BR324" s="98"/>
      <c r="BS324" s="98"/>
      <c r="BT324" s="308">
        <f>BT190/BT$193</f>
        <v>4.4596273291925463</v>
      </c>
      <c r="BU324" s="98"/>
      <c r="BV324" s="98"/>
      <c r="BW324" s="98"/>
      <c r="BX324" s="98"/>
      <c r="BY324" s="308">
        <f>BY190/BY$193</f>
        <v>5.6418918918918921</v>
      </c>
      <c r="BZ324" s="98"/>
      <c r="CA324" s="98"/>
      <c r="CB324" s="98"/>
      <c r="CC324" s="98"/>
      <c r="CD324" s="308">
        <f>CD190/CD$193</f>
        <v>12.1953125</v>
      </c>
      <c r="CE324" s="98"/>
      <c r="CF324" s="98"/>
      <c r="CG324" s="98"/>
      <c r="CH324" s="98"/>
      <c r="CI324" s="308">
        <f>CI190/CI$193</f>
        <v>15.351351351351351</v>
      </c>
      <c r="CJ324" s="98"/>
      <c r="CK324" s="98"/>
      <c r="CL324" s="98"/>
      <c r="CM324" s="98"/>
      <c r="CN324" s="308">
        <f>CN190/CN$193</f>
        <v>15.393617021276595</v>
      </c>
      <c r="CO324" s="98"/>
      <c r="CP324" s="98"/>
      <c r="CQ324" s="98"/>
      <c r="CR324" s="98"/>
      <c r="CS324" s="308">
        <f>CS190/CS$193</f>
        <v>13.075141739274025</v>
      </c>
      <c r="CT324" s="98"/>
      <c r="CU324" s="98"/>
      <c r="CV324" s="98"/>
      <c r="CW324" s="98"/>
      <c r="CX324" s="308">
        <f>CX190/CX$193</f>
        <v>15.565762950665516</v>
      </c>
      <c r="CY324" s="98"/>
      <c r="CZ324" s="98"/>
      <c r="DA324" s="98"/>
      <c r="DB324" s="98"/>
      <c r="DC324" s="308">
        <f>DC190/DC$193</f>
        <v>18.270451919933851</v>
      </c>
      <c r="DD324" s="25"/>
      <c r="DE324" s="178"/>
      <c r="DJ324" s="430"/>
      <c r="DK324" s="389"/>
      <c r="DL324" s="389"/>
      <c r="DM324" s="389"/>
      <c r="DN324" s="389"/>
      <c r="DO324" s="389"/>
      <c r="DP324" s="389"/>
      <c r="DQ324" s="389"/>
      <c r="DR324" s="487"/>
      <c r="DS324" s="25"/>
    </row>
    <row r="325" spans="1:123" hidden="1" x14ac:dyDescent="0.2">
      <c r="A325" s="98" t="s">
        <v>292</v>
      </c>
      <c r="B325" s="316"/>
      <c r="C325" s="41"/>
      <c r="D325" s="41"/>
      <c r="E325" s="41"/>
      <c r="F325" s="41"/>
      <c r="G325" s="316"/>
      <c r="H325" s="41"/>
      <c r="I325" s="41"/>
      <c r="J325" s="41"/>
      <c r="K325" s="41"/>
      <c r="L325" s="316"/>
      <c r="M325" s="41"/>
      <c r="N325" s="41"/>
      <c r="O325" s="41"/>
      <c r="P325" s="41"/>
      <c r="Q325" s="316"/>
      <c r="R325" s="179"/>
      <c r="S325" s="179"/>
      <c r="T325" s="179"/>
      <c r="U325" s="179"/>
      <c r="V325" s="316"/>
      <c r="W325" s="179"/>
      <c r="X325" s="179"/>
      <c r="Y325" s="179"/>
      <c r="Z325" s="179"/>
      <c r="AA325" s="316"/>
      <c r="AB325" s="179"/>
      <c r="AC325" s="179"/>
      <c r="AD325" s="179"/>
      <c r="AE325" s="179"/>
      <c r="AF325" s="316"/>
      <c r="AG325" s="179"/>
      <c r="AH325" s="179"/>
      <c r="AI325" s="180"/>
      <c r="AJ325" s="179"/>
      <c r="AK325" s="308">
        <f t="shared" ref="AK325:BJ325" si="1029">AK191/AK$193</f>
        <v>2.1641618497109834</v>
      </c>
      <c r="AL325" s="98">
        <f t="shared" si="1029"/>
        <v>2.1382978723404253</v>
      </c>
      <c r="AM325" s="98">
        <f t="shared" si="1029"/>
        <v>2.1732673267326734</v>
      </c>
      <c r="AN325" s="98">
        <f t="shared" si="1029"/>
        <v>2.2976744186046512</v>
      </c>
      <c r="AO325" s="98">
        <f t="shared" si="1029"/>
        <v>2.0844444444444443</v>
      </c>
      <c r="AP325" s="308">
        <f t="shared" si="1029"/>
        <v>2.0844444444444443</v>
      </c>
      <c r="AQ325" s="98">
        <f t="shared" si="1029"/>
        <v>2.20174672489083</v>
      </c>
      <c r="AR325" s="98">
        <f t="shared" si="1029"/>
        <v>2.0230088495575225</v>
      </c>
      <c r="AS325" s="98">
        <f t="shared" si="1029"/>
        <v>1.7724137931034485</v>
      </c>
      <c r="AT325" s="98">
        <f t="shared" si="1029"/>
        <v>1.9103448275862072</v>
      </c>
      <c r="AU325" s="308">
        <f t="shared" si="1029"/>
        <v>1.9103448275862061</v>
      </c>
      <c r="AV325" s="98">
        <f t="shared" si="1029"/>
        <v>2.2723234118169704</v>
      </c>
      <c r="AW325" s="98">
        <f t="shared" si="1029"/>
        <v>2.6176470588235294</v>
      </c>
      <c r="AX325" s="98">
        <f t="shared" si="1029"/>
        <v>3.0265700483091789</v>
      </c>
      <c r="AY325" s="98">
        <f t="shared" si="1029"/>
        <v>3.2411167512690353</v>
      </c>
      <c r="AZ325" s="308">
        <f t="shared" si="1029"/>
        <v>3.2411167512690353</v>
      </c>
      <c r="BA325" s="98">
        <f t="shared" si="1029"/>
        <v>3.1092868137506411</v>
      </c>
      <c r="BB325" s="98">
        <f t="shared" si="1029"/>
        <v>3.2751322751322753</v>
      </c>
      <c r="BC325" s="98">
        <f t="shared" si="1029"/>
        <v>3.7326086956521736</v>
      </c>
      <c r="BD325" s="98">
        <f t="shared" si="1029"/>
        <v>3.7508287292817677</v>
      </c>
      <c r="BE325" s="308">
        <f t="shared" si="1029"/>
        <v>3.7508287292817659</v>
      </c>
      <c r="BF325" s="98">
        <f>BF191/BF$193</f>
        <v>3.8421348314606742</v>
      </c>
      <c r="BG325" s="98">
        <f t="shared" si="1029"/>
        <v>3.8262569832402233</v>
      </c>
      <c r="BH325" s="98">
        <f t="shared" si="1029"/>
        <v>3.6709497206703912</v>
      </c>
      <c r="BI325" s="98">
        <f t="shared" si="1029"/>
        <v>3.8547486033519553</v>
      </c>
      <c r="BJ325" s="308">
        <f t="shared" si="1029"/>
        <v>3.8547486033519553</v>
      </c>
      <c r="BK325" s="98">
        <f t="shared" si="1027"/>
        <v>4.0999999999999996</v>
      </c>
      <c r="BL325" s="98">
        <f t="shared" si="1027"/>
        <v>4.3555555555555552</v>
      </c>
      <c r="BM325" s="98">
        <f t="shared" si="1027"/>
        <v>4.4581005586592175</v>
      </c>
      <c r="BN325" s="98">
        <f t="shared" si="1027"/>
        <v>4.3409090909090908</v>
      </c>
      <c r="BO325" s="308">
        <f t="shared" si="1027"/>
        <v>4.3409090909090908</v>
      </c>
      <c r="BP325" s="98"/>
      <c r="BQ325" s="98"/>
      <c r="BR325" s="98"/>
      <c r="BS325" s="98"/>
      <c r="BT325" s="308">
        <f>BT191/BT$193</f>
        <v>5.2546583850931681</v>
      </c>
      <c r="BU325" s="98"/>
      <c r="BV325" s="98"/>
      <c r="BW325" s="98"/>
      <c r="BX325" s="98"/>
      <c r="BY325" s="308">
        <f>BY191/BY$193</f>
        <v>6.4797297297297298</v>
      </c>
      <c r="BZ325" s="98"/>
      <c r="CA325" s="98"/>
      <c r="CB325" s="98"/>
      <c r="CC325" s="98"/>
      <c r="CD325" s="308">
        <f>CD191/CD$193</f>
        <v>13.1484375</v>
      </c>
      <c r="CE325" s="98"/>
      <c r="CF325" s="98"/>
      <c r="CG325" s="98"/>
      <c r="CH325" s="98"/>
      <c r="CI325" s="308">
        <f>CI191/CI$193</f>
        <v>16.351351351351351</v>
      </c>
      <c r="CJ325" s="98"/>
      <c r="CK325" s="98"/>
      <c r="CL325" s="98"/>
      <c r="CM325" s="98"/>
      <c r="CN325" s="308">
        <f>CN191/CN$193</f>
        <v>16.468085106382979</v>
      </c>
      <c r="CO325" s="98"/>
      <c r="CP325" s="98"/>
      <c r="CQ325" s="98"/>
      <c r="CR325" s="98"/>
      <c r="CS325" s="308">
        <f>CS191/CS$193</f>
        <v>13.99717298603453</v>
      </c>
      <c r="CT325" s="98"/>
      <c r="CU325" s="98"/>
      <c r="CV325" s="98"/>
      <c r="CW325" s="98"/>
      <c r="CX325" s="308">
        <f>CX191/CX$193</f>
        <v>16.490162678256237</v>
      </c>
      <c r="CY325" s="98"/>
      <c r="CZ325" s="98"/>
      <c r="DA325" s="98"/>
      <c r="DB325" s="98"/>
      <c r="DC325" s="308">
        <f>DC191/DC$193</f>
        <v>19.19101599881991</v>
      </c>
      <c r="DD325" s="25"/>
      <c r="DE325" s="178"/>
      <c r="DJ325" s="430"/>
      <c r="DK325" s="389"/>
      <c r="DL325" s="389"/>
      <c r="DM325" s="389"/>
      <c r="DN325" s="389"/>
      <c r="DO325" s="389"/>
      <c r="DP325" s="389"/>
      <c r="DQ325" s="389"/>
      <c r="DR325" s="487"/>
      <c r="DS325" s="25"/>
    </row>
    <row r="326" spans="1:123" hidden="1" x14ac:dyDescent="0.2">
      <c r="A326" s="98"/>
      <c r="B326" s="316"/>
      <c r="C326" s="41"/>
      <c r="D326" s="41"/>
      <c r="E326" s="41"/>
      <c r="F326" s="41"/>
      <c r="G326" s="316"/>
      <c r="H326" s="41"/>
      <c r="I326" s="41"/>
      <c r="J326" s="41"/>
      <c r="K326" s="41"/>
      <c r="L326" s="316"/>
      <c r="M326" s="41"/>
      <c r="N326" s="41"/>
      <c r="O326" s="41"/>
      <c r="P326" s="41"/>
      <c r="Q326" s="316"/>
      <c r="R326" s="179"/>
      <c r="S326" s="179"/>
      <c r="T326" s="179"/>
      <c r="U326" s="179"/>
      <c r="V326" s="316"/>
      <c r="W326" s="179"/>
      <c r="X326" s="179"/>
      <c r="Y326" s="179"/>
      <c r="Z326" s="179"/>
      <c r="AA326" s="316"/>
      <c r="AB326" s="179"/>
      <c r="AC326" s="179"/>
      <c r="AD326" s="179"/>
      <c r="AE326" s="179"/>
      <c r="AF326" s="316"/>
      <c r="AG326" s="179"/>
      <c r="AH326" s="179"/>
      <c r="AI326" s="180"/>
      <c r="AJ326" s="179"/>
      <c r="AK326" s="323"/>
      <c r="AL326" s="136"/>
      <c r="AM326" s="136"/>
      <c r="AN326" s="136"/>
      <c r="AO326" s="136"/>
      <c r="AP326" s="323"/>
      <c r="AQ326" s="136"/>
      <c r="AR326" s="136"/>
      <c r="AS326" s="136"/>
      <c r="AT326" s="136"/>
      <c r="AU326" s="323"/>
      <c r="AV326" s="136"/>
      <c r="AW326" s="136"/>
      <c r="AX326" s="136"/>
      <c r="AY326" s="136"/>
      <c r="AZ326" s="323"/>
      <c r="BA326" s="136"/>
      <c r="BB326" s="136"/>
      <c r="BC326" s="136"/>
      <c r="BD326" s="136"/>
      <c r="BE326" s="323"/>
      <c r="BF326" s="136"/>
      <c r="BG326" s="136"/>
      <c r="BH326" s="136"/>
      <c r="BI326" s="136"/>
      <c r="BJ326" s="323"/>
      <c r="BK326" s="136"/>
      <c r="BL326" s="136"/>
      <c r="BM326" s="136"/>
      <c r="BN326" s="136"/>
      <c r="BO326" s="323"/>
      <c r="BP326" s="136"/>
      <c r="BQ326" s="136"/>
      <c r="BR326" s="136"/>
      <c r="BS326" s="136"/>
      <c r="BT326" s="323"/>
      <c r="BU326" s="136"/>
      <c r="BV326" s="136"/>
      <c r="BW326" s="136"/>
      <c r="BX326" s="136"/>
      <c r="BY326" s="323"/>
      <c r="BZ326" s="136"/>
      <c r="CA326" s="136"/>
      <c r="CB326" s="136"/>
      <c r="CC326" s="136"/>
      <c r="CD326" s="323"/>
      <c r="CE326" s="136"/>
      <c r="CF326" s="136"/>
      <c r="CG326" s="136"/>
      <c r="CH326" s="136"/>
      <c r="CI326" s="323"/>
      <c r="CJ326" s="136"/>
      <c r="CK326" s="136"/>
      <c r="CL326" s="136"/>
      <c r="CM326" s="136"/>
      <c r="CN326" s="323"/>
      <c r="CO326" s="136"/>
      <c r="CP326" s="136"/>
      <c r="CQ326" s="136"/>
      <c r="CR326" s="136"/>
      <c r="CS326" s="323"/>
      <c r="CT326" s="136"/>
      <c r="CU326" s="136"/>
      <c r="CV326" s="136"/>
      <c r="CW326" s="136"/>
      <c r="CX326" s="323"/>
      <c r="CY326" s="136"/>
      <c r="CZ326" s="136"/>
      <c r="DA326" s="136"/>
      <c r="DB326" s="136"/>
      <c r="DC326" s="323"/>
      <c r="DD326" s="25"/>
      <c r="DE326" s="178"/>
      <c r="DJ326" s="430"/>
      <c r="DK326" s="389"/>
      <c r="DL326" s="389"/>
      <c r="DM326" s="389"/>
      <c r="DN326" s="389"/>
      <c r="DO326" s="389"/>
      <c r="DP326" s="389"/>
      <c r="DQ326" s="389"/>
      <c r="DR326" s="487"/>
      <c r="DS326" s="25"/>
    </row>
    <row r="327" spans="1:123" hidden="1" x14ac:dyDescent="0.2">
      <c r="A327" s="98" t="s">
        <v>293</v>
      </c>
      <c r="B327" s="316"/>
      <c r="C327" s="41"/>
      <c r="D327" s="41"/>
      <c r="E327" s="41"/>
      <c r="F327" s="41"/>
      <c r="G327" s="316"/>
      <c r="H327" s="41"/>
      <c r="I327" s="41"/>
      <c r="J327" s="41"/>
      <c r="K327" s="41"/>
      <c r="L327" s="316"/>
      <c r="M327" s="41"/>
      <c r="N327" s="41"/>
      <c r="O327" s="41"/>
      <c r="P327" s="41"/>
      <c r="Q327" s="316"/>
      <c r="R327" s="179"/>
      <c r="S327" s="179"/>
      <c r="T327" s="179"/>
      <c r="U327" s="179"/>
      <c r="V327" s="316"/>
      <c r="W327" s="179"/>
      <c r="X327" s="179"/>
      <c r="Y327" s="179"/>
      <c r="Z327" s="179"/>
      <c r="AA327" s="316"/>
      <c r="AB327" s="179"/>
      <c r="AC327" s="179"/>
      <c r="AD327" s="179"/>
      <c r="AE327" s="179"/>
      <c r="AF327" s="316"/>
      <c r="AG327" s="179"/>
      <c r="AH327" s="179"/>
      <c r="AI327" s="180"/>
      <c r="AJ327" s="179"/>
      <c r="AK327" s="308">
        <f t="shared" ref="AK327:BJ327" si="1030">AK189/(AK$186+AK$193)</f>
        <v>0.43623188405797136</v>
      </c>
      <c r="AL327" s="98">
        <f t="shared" si="1030"/>
        <v>0.4414715719063545</v>
      </c>
      <c r="AM327" s="98">
        <f t="shared" si="1030"/>
        <v>0.49685534591194969</v>
      </c>
      <c r="AN327" s="98">
        <f t="shared" si="1030"/>
        <v>0.60416666666666663</v>
      </c>
      <c r="AO327" s="98">
        <f t="shared" si="1030"/>
        <v>0.48424068767908307</v>
      </c>
      <c r="AP327" s="308">
        <f t="shared" si="1030"/>
        <v>0.48424068767908307</v>
      </c>
      <c r="AQ327" s="98">
        <f t="shared" si="1030"/>
        <v>0.5611267605633804</v>
      </c>
      <c r="AR327" s="98">
        <f t="shared" si="1030"/>
        <v>0.41581920903954817</v>
      </c>
      <c r="AS327" s="98">
        <f t="shared" si="1030"/>
        <v>0.24986149584487546</v>
      </c>
      <c r="AT327" s="98">
        <f t="shared" si="1030"/>
        <v>0.30249307479224391</v>
      </c>
      <c r="AU327" s="308">
        <f t="shared" si="1030"/>
        <v>0.30249307479224324</v>
      </c>
      <c r="AV327" s="98">
        <f t="shared" si="1030"/>
        <v>0.47303021745269697</v>
      </c>
      <c r="AW327" s="98">
        <f t="shared" si="1030"/>
        <v>0.64142857142857146</v>
      </c>
      <c r="AX327" s="98">
        <f t="shared" si="1030"/>
        <v>0.80688622754491013</v>
      </c>
      <c r="AY327" s="98">
        <f t="shared" si="1030"/>
        <v>0.88080495356037147</v>
      </c>
      <c r="AZ327" s="308">
        <f t="shared" si="1030"/>
        <v>0.88080495356037147</v>
      </c>
      <c r="BA327" s="98">
        <f t="shared" si="1030"/>
        <v>0.7846201938105658</v>
      </c>
      <c r="BB327" s="98">
        <f t="shared" si="1030"/>
        <v>0.85303514376996803</v>
      </c>
      <c r="BC327" s="98">
        <f t="shared" si="1030"/>
        <v>1.1032467532467531</v>
      </c>
      <c r="BD327" s="98">
        <f t="shared" si="1030"/>
        <v>1.0843648208469054</v>
      </c>
      <c r="BE327" s="308">
        <f t="shared" si="1030"/>
        <v>1.0843648208469043</v>
      </c>
      <c r="BF327" s="98">
        <f>BF189/(BF$186+BF$193)</f>
        <v>1.0941368078175895</v>
      </c>
      <c r="BG327" s="98">
        <f t="shared" si="1030"/>
        <v>1.0476038338658147</v>
      </c>
      <c r="BH327" s="98">
        <f t="shared" si="1030"/>
        <v>0.94299363057324848</v>
      </c>
      <c r="BI327" s="98">
        <f t="shared" si="1030"/>
        <v>1.0254777070063694</v>
      </c>
      <c r="BJ327" s="308">
        <f t="shared" si="1030"/>
        <v>1.0254777070063694</v>
      </c>
      <c r="BK327" s="98">
        <f t="shared" ref="BK327:BO329" si="1031">BK189/(BK$186+BK$193)</f>
        <v>1.1656050955414012</v>
      </c>
      <c r="BL327" s="98">
        <f t="shared" si="1031"/>
        <v>1.3183279742765273</v>
      </c>
      <c r="BM327" s="98">
        <f t="shared" si="1031"/>
        <v>1.3387096774193548</v>
      </c>
      <c r="BN327" s="98">
        <f t="shared" si="1031"/>
        <v>1.2287581699346406</v>
      </c>
      <c r="BO327" s="308">
        <f t="shared" si="1031"/>
        <v>1.2287581699346406</v>
      </c>
      <c r="BP327" s="98"/>
      <c r="BQ327" s="98"/>
      <c r="BR327" s="98"/>
      <c r="BS327" s="98"/>
      <c r="BT327" s="308">
        <f>BT189/(BT$186+BT$193)</f>
        <v>1.4809688581314879</v>
      </c>
      <c r="BU327" s="98"/>
      <c r="BV327" s="98"/>
      <c r="BW327" s="98"/>
      <c r="BX327" s="98"/>
      <c r="BY327" s="308">
        <f>BY189/(BY$186+BY$193)</f>
        <v>1.8933823529411764</v>
      </c>
      <c r="BZ327" s="98"/>
      <c r="CA327" s="98"/>
      <c r="CB327" s="98"/>
      <c r="CC327" s="98"/>
      <c r="CD327" s="308">
        <f>CD189/(CD$186+CD$193)</f>
        <v>4.8639999999999999</v>
      </c>
      <c r="CE327" s="98"/>
      <c r="CF327" s="98"/>
      <c r="CG327" s="98"/>
      <c r="CH327" s="98"/>
      <c r="CI327" s="308">
        <f>CI189/(CI$186+CI$193)</f>
        <v>5.9099099099099099</v>
      </c>
      <c r="CJ327" s="98"/>
      <c r="CK327" s="98"/>
      <c r="CL327" s="98"/>
      <c r="CM327" s="98"/>
      <c r="CN327" s="308">
        <f>CN189/(CN$186+CN$193)</f>
        <v>5.1282051282051286</v>
      </c>
      <c r="CO327" s="98"/>
      <c r="CP327" s="98"/>
      <c r="CQ327" s="98"/>
      <c r="CR327" s="98"/>
      <c r="CS327" s="308">
        <f>CS189/(CS$186+CS$193)</f>
        <v>4.3498428603739221</v>
      </c>
      <c r="CT327" s="98"/>
      <c r="CU327" s="98"/>
      <c r="CV327" s="98"/>
      <c r="CW327" s="98"/>
      <c r="CX327" s="308">
        <f>CX189/(CX$186+CX$193)</f>
        <v>5.344985275629317</v>
      </c>
      <c r="CY327" s="98"/>
      <c r="CZ327" s="98"/>
      <c r="DA327" s="98"/>
      <c r="DB327" s="98"/>
      <c r="DC327" s="308">
        <f>DC189/(DC$186+DC$193)</f>
        <v>6.5130805813514199</v>
      </c>
      <c r="DD327" s="25"/>
      <c r="DE327" s="178"/>
      <c r="DJ327" s="430"/>
      <c r="DK327" s="389"/>
      <c r="DL327" s="389"/>
      <c r="DM327" s="389"/>
      <c r="DN327" s="389"/>
      <c r="DO327" s="389"/>
      <c r="DP327" s="389"/>
      <c r="DQ327" s="389"/>
      <c r="DR327" s="487"/>
      <c r="DS327" s="25"/>
    </row>
    <row r="328" spans="1:123" hidden="1" x14ac:dyDescent="0.2">
      <c r="A328" s="98" t="s">
        <v>295</v>
      </c>
      <c r="B328" s="316"/>
      <c r="C328" s="41"/>
      <c r="D328" s="41"/>
      <c r="E328" s="41"/>
      <c r="F328" s="41"/>
      <c r="G328" s="316"/>
      <c r="H328" s="41"/>
      <c r="I328" s="41"/>
      <c r="J328" s="41"/>
      <c r="K328" s="41"/>
      <c r="L328" s="316"/>
      <c r="M328" s="41"/>
      <c r="N328" s="41"/>
      <c r="O328" s="41"/>
      <c r="P328" s="41"/>
      <c r="Q328" s="316"/>
      <c r="R328" s="179"/>
      <c r="S328" s="179"/>
      <c r="T328" s="179"/>
      <c r="U328" s="179"/>
      <c r="V328" s="316"/>
      <c r="W328" s="179"/>
      <c r="X328" s="179"/>
      <c r="Y328" s="179"/>
      <c r="Z328" s="179"/>
      <c r="AA328" s="316"/>
      <c r="AB328" s="179"/>
      <c r="AC328" s="179"/>
      <c r="AD328" s="179"/>
      <c r="AE328" s="179"/>
      <c r="AF328" s="316"/>
      <c r="AG328" s="179"/>
      <c r="AH328" s="179"/>
      <c r="AI328" s="180"/>
      <c r="AJ328" s="179"/>
      <c r="AK328" s="308">
        <f t="shared" ref="AK328:BJ328" si="1032">AK190/(AK$186+AK$193)</f>
        <v>0.98333333333333361</v>
      </c>
      <c r="AL328" s="98">
        <f t="shared" si="1032"/>
        <v>0.97324414715719065</v>
      </c>
      <c r="AM328" s="98">
        <f t="shared" si="1032"/>
        <v>1.0157232704402517</v>
      </c>
      <c r="AN328" s="98">
        <f t="shared" si="1032"/>
        <v>1.1101190476190477</v>
      </c>
      <c r="AO328" s="98">
        <f t="shared" si="1032"/>
        <v>0.98853868194842409</v>
      </c>
      <c r="AP328" s="308">
        <f t="shared" si="1032"/>
        <v>0.98853868194842409</v>
      </c>
      <c r="AQ328" s="98">
        <f t="shared" si="1032"/>
        <v>1.0653521126760566</v>
      </c>
      <c r="AR328" s="98">
        <f t="shared" si="1032"/>
        <v>0.92994350282485894</v>
      </c>
      <c r="AS328" s="98">
        <f t="shared" si="1032"/>
        <v>0.78171745152354588</v>
      </c>
      <c r="AT328" s="98">
        <f t="shared" si="1032"/>
        <v>0.87036011080332421</v>
      </c>
      <c r="AU328" s="308">
        <f t="shared" si="1032"/>
        <v>0.87036011080332365</v>
      </c>
      <c r="AV328" s="98">
        <f t="shared" si="1032"/>
        <v>1.0802033323919795</v>
      </c>
      <c r="AW328" s="98">
        <f t="shared" si="1032"/>
        <v>1.2842857142857143</v>
      </c>
      <c r="AX328" s="98">
        <f t="shared" si="1032"/>
        <v>1.4955089820359282</v>
      </c>
      <c r="AY328" s="98">
        <f t="shared" si="1032"/>
        <v>1.5866873065015479</v>
      </c>
      <c r="AZ328" s="308">
        <f t="shared" si="1032"/>
        <v>1.5866873065015479</v>
      </c>
      <c r="BA328" s="98">
        <f t="shared" si="1032"/>
        <v>1.503594873397937</v>
      </c>
      <c r="BB328" s="98">
        <f t="shared" si="1032"/>
        <v>1.5814696485623003</v>
      </c>
      <c r="BC328" s="98">
        <f t="shared" si="1032"/>
        <v>1.8272727272727272</v>
      </c>
      <c r="BD328" s="98">
        <f t="shared" si="1032"/>
        <v>1.8009771986970684</v>
      </c>
      <c r="BE328" s="308">
        <f t="shared" si="1032"/>
        <v>1.8009771986970673</v>
      </c>
      <c r="BF328" s="98">
        <f>BF190/(BF$186+BF$193)</f>
        <v>1.8074918566775244</v>
      </c>
      <c r="BG328" s="98">
        <f t="shared" si="1032"/>
        <v>1.7600638977635783</v>
      </c>
      <c r="BH328" s="98">
        <f t="shared" si="1032"/>
        <v>1.6627388535031848</v>
      </c>
      <c r="BI328" s="98">
        <f t="shared" si="1032"/>
        <v>1.7675159235668789</v>
      </c>
      <c r="BJ328" s="308">
        <f t="shared" si="1032"/>
        <v>1.7675159235668789</v>
      </c>
      <c r="BK328" s="98">
        <f t="shared" si="1031"/>
        <v>1.9235668789808917</v>
      </c>
      <c r="BL328" s="98">
        <f t="shared" si="1031"/>
        <v>2.09967845659164</v>
      </c>
      <c r="BM328" s="98">
        <f t="shared" si="1031"/>
        <v>2.1516129032258067</v>
      </c>
      <c r="BN328" s="98">
        <f t="shared" si="1031"/>
        <v>2.0718954248366015</v>
      </c>
      <c r="BO328" s="308">
        <f t="shared" si="1031"/>
        <v>2.0718954248366015</v>
      </c>
      <c r="BP328" s="98"/>
      <c r="BQ328" s="98"/>
      <c r="BR328" s="98"/>
      <c r="BS328" s="98"/>
      <c r="BT328" s="308">
        <f>BT190/(BT$186+BT$193)</f>
        <v>2.4844290657439445</v>
      </c>
      <c r="BU328" s="98"/>
      <c r="BV328" s="98"/>
      <c r="BW328" s="98"/>
      <c r="BX328" s="98"/>
      <c r="BY328" s="308">
        <f>BY190/(BY$186+BY$193)</f>
        <v>3.0698529411764706</v>
      </c>
      <c r="BZ328" s="98"/>
      <c r="CA328" s="98"/>
      <c r="CB328" s="98"/>
      <c r="CC328" s="98"/>
      <c r="CD328" s="308">
        <f>CD190/(CD$186+CD$193)</f>
        <v>6.2439999999999998</v>
      </c>
      <c r="CE328" s="98"/>
      <c r="CF328" s="98"/>
      <c r="CG328" s="98"/>
      <c r="CH328" s="98"/>
      <c r="CI328" s="308">
        <f>CI190/(CI$186+CI$193)</f>
        <v>7.6756756756756754</v>
      </c>
      <c r="CJ328" s="98"/>
      <c r="CK328" s="98"/>
      <c r="CL328" s="98"/>
      <c r="CM328" s="98"/>
      <c r="CN328" s="308">
        <f>CN190/(CN$186+CN$193)</f>
        <v>7.4205128205128208</v>
      </c>
      <c r="CO328" s="98"/>
      <c r="CP328" s="98"/>
      <c r="CQ328" s="98"/>
      <c r="CR328" s="98"/>
      <c r="CS328" s="308">
        <f>CS190/(CS$186+CS$193)</f>
        <v>6.802772723550448</v>
      </c>
      <c r="CT328" s="98"/>
      <c r="CU328" s="98"/>
      <c r="CV328" s="98"/>
      <c r="CW328" s="98"/>
      <c r="CX328" s="308">
        <f>CX190/(CX$186+CX$193)</f>
        <v>8.0886329006880935</v>
      </c>
      <c r="CY328" s="98"/>
      <c r="CZ328" s="98"/>
      <c r="DA328" s="98"/>
      <c r="DB328" s="98"/>
      <c r="DC328" s="308">
        <f>DC190/(DC$186+DC$193)</f>
        <v>9.5130655211102706</v>
      </c>
      <c r="DD328" s="25"/>
      <c r="DE328" s="178"/>
      <c r="DJ328" s="430"/>
      <c r="DK328" s="389"/>
      <c r="DL328" s="389"/>
      <c r="DM328" s="389"/>
      <c r="DN328" s="389"/>
      <c r="DO328" s="389"/>
      <c r="DP328" s="389"/>
      <c r="DQ328" s="389"/>
      <c r="DR328" s="487"/>
      <c r="DS328" s="25"/>
    </row>
    <row r="329" spans="1:123" hidden="1" x14ac:dyDescent="0.2">
      <c r="A329" s="98" t="s">
        <v>296</v>
      </c>
      <c r="B329" s="316"/>
      <c r="C329" s="41"/>
      <c r="D329" s="41"/>
      <c r="E329" s="41"/>
      <c r="F329" s="41"/>
      <c r="G329" s="316"/>
      <c r="H329" s="41"/>
      <c r="I329" s="41"/>
      <c r="J329" s="41"/>
      <c r="K329" s="41"/>
      <c r="L329" s="316"/>
      <c r="M329" s="41"/>
      <c r="N329" s="41"/>
      <c r="O329" s="41"/>
      <c r="P329" s="41"/>
      <c r="Q329" s="316"/>
      <c r="R329" s="179"/>
      <c r="S329" s="179"/>
      <c r="T329" s="179"/>
      <c r="U329" s="179"/>
      <c r="V329" s="316"/>
      <c r="W329" s="179"/>
      <c r="X329" s="179"/>
      <c r="Y329" s="179"/>
      <c r="Z329" s="179"/>
      <c r="AA329" s="316"/>
      <c r="AB329" s="179"/>
      <c r="AC329" s="179"/>
      <c r="AD329" s="179"/>
      <c r="AE329" s="179"/>
      <c r="AF329" s="316"/>
      <c r="AG329" s="179"/>
      <c r="AH329" s="179"/>
      <c r="AI329" s="180"/>
      <c r="AJ329" s="179"/>
      <c r="AK329" s="308">
        <f t="shared" ref="AK329:BJ329" si="1033">AK191/(AK$186+AK$193)</f>
        <v>1.3565217391304352</v>
      </c>
      <c r="AL329" s="98">
        <f t="shared" si="1033"/>
        <v>1.3444816053511706</v>
      </c>
      <c r="AM329" s="98">
        <f t="shared" si="1033"/>
        <v>1.3805031446540881</v>
      </c>
      <c r="AN329" s="98">
        <f t="shared" si="1033"/>
        <v>1.4702380952380953</v>
      </c>
      <c r="AO329" s="98">
        <f t="shared" si="1033"/>
        <v>1.3438395415472779</v>
      </c>
      <c r="AP329" s="308">
        <f t="shared" si="1033"/>
        <v>1.3438395415472779</v>
      </c>
      <c r="AQ329" s="98">
        <f t="shared" si="1033"/>
        <v>1.4202816901408453</v>
      </c>
      <c r="AR329" s="98">
        <f t="shared" si="1033"/>
        <v>1.2915254237288136</v>
      </c>
      <c r="AS329" s="98">
        <f t="shared" si="1033"/>
        <v>1.1390581717451524</v>
      </c>
      <c r="AT329" s="98">
        <f t="shared" si="1033"/>
        <v>1.2277008310249309</v>
      </c>
      <c r="AU329" s="308">
        <f t="shared" si="1033"/>
        <v>1.2277008310249302</v>
      </c>
      <c r="AV329" s="98">
        <f t="shared" si="1033"/>
        <v>1.4445072013555491</v>
      </c>
      <c r="AW329" s="98">
        <f t="shared" si="1033"/>
        <v>1.6528571428571428</v>
      </c>
      <c r="AX329" s="98">
        <f t="shared" si="1033"/>
        <v>1.875748502994012</v>
      </c>
      <c r="AY329" s="98">
        <f t="shared" si="1033"/>
        <v>1.9767801857585139</v>
      </c>
      <c r="AZ329" s="308">
        <f t="shared" si="1033"/>
        <v>1.9767801857585139</v>
      </c>
      <c r="BA329" s="98">
        <f t="shared" si="1033"/>
        <v>1.8943419818693343</v>
      </c>
      <c r="BB329" s="98">
        <f t="shared" si="1033"/>
        <v>1.9776357827476039</v>
      </c>
      <c r="BC329" s="98">
        <f t="shared" si="1033"/>
        <v>2.2298701298701298</v>
      </c>
      <c r="BD329" s="98">
        <f t="shared" si="1033"/>
        <v>2.211400651465798</v>
      </c>
      <c r="BE329" s="308">
        <f t="shared" si="1033"/>
        <v>2.2114006514657967</v>
      </c>
      <c r="BF329" s="98">
        <f>BF191/(BF$186+BF$193)</f>
        <v>2.2276872964169381</v>
      </c>
      <c r="BG329" s="98">
        <f t="shared" si="1033"/>
        <v>2.1881789137380192</v>
      </c>
      <c r="BH329" s="98">
        <f t="shared" si="1033"/>
        <v>2.0926751592356689</v>
      </c>
      <c r="BI329" s="98">
        <f t="shared" si="1033"/>
        <v>2.1974522292993632</v>
      </c>
      <c r="BJ329" s="308">
        <f t="shared" si="1033"/>
        <v>2.1974522292993632</v>
      </c>
      <c r="BK329" s="98">
        <f t="shared" si="1031"/>
        <v>2.3503184713375798</v>
      </c>
      <c r="BL329" s="98">
        <f t="shared" si="1031"/>
        <v>2.5209003215434085</v>
      </c>
      <c r="BM329" s="98">
        <f t="shared" si="1031"/>
        <v>2.5741935483870968</v>
      </c>
      <c r="BN329" s="98">
        <f t="shared" si="1031"/>
        <v>2.4967320261437909</v>
      </c>
      <c r="BO329" s="308">
        <f t="shared" si="1031"/>
        <v>2.4967320261437909</v>
      </c>
      <c r="BP329" s="98"/>
      <c r="BQ329" s="98"/>
      <c r="BR329" s="98"/>
      <c r="BS329" s="98"/>
      <c r="BT329" s="308">
        <f>BT191/(BT$186+BT$193)</f>
        <v>2.9273356401384083</v>
      </c>
      <c r="BU329" s="98"/>
      <c r="BV329" s="98"/>
      <c r="BW329" s="98"/>
      <c r="BX329" s="98"/>
      <c r="BY329" s="308">
        <f>BY191/(BY$186+BY$193)</f>
        <v>3.5257352941176472</v>
      </c>
      <c r="BZ329" s="98"/>
      <c r="CA329" s="98"/>
      <c r="CB329" s="98"/>
      <c r="CC329" s="98"/>
      <c r="CD329" s="308">
        <f>CD191/(CD$186+CD$193)</f>
        <v>6.7320000000000002</v>
      </c>
      <c r="CE329" s="98"/>
      <c r="CF329" s="98"/>
      <c r="CG329" s="98"/>
      <c r="CH329" s="98"/>
      <c r="CI329" s="308">
        <f>CI191/(CI$186+CI$193)</f>
        <v>8.1756756756756754</v>
      </c>
      <c r="CJ329" s="98"/>
      <c r="CK329" s="98"/>
      <c r="CL329" s="98"/>
      <c r="CM329" s="98"/>
      <c r="CN329" s="308">
        <f>CN191/(CN$186+CN$193)</f>
        <v>7.9384615384615387</v>
      </c>
      <c r="CO329" s="98"/>
      <c r="CP329" s="98"/>
      <c r="CQ329" s="98"/>
      <c r="CR329" s="98"/>
      <c r="CS329" s="308">
        <f>CS191/(CS$186+CS$193)</f>
        <v>7.2824898188445788</v>
      </c>
      <c r="CT329" s="98"/>
      <c r="CU329" s="98"/>
      <c r="CV329" s="98"/>
      <c r="CW329" s="98"/>
      <c r="CX329" s="308">
        <f>CX191/(CX$186+CX$193)</f>
        <v>8.5689903411602124</v>
      </c>
      <c r="CY329" s="98"/>
      <c r="CZ329" s="98"/>
      <c r="DA329" s="98"/>
      <c r="DB329" s="98"/>
      <c r="DC329" s="308">
        <f>DC191/(DC$186+DC$193)</f>
        <v>9.9923851590262274</v>
      </c>
      <c r="DD329" s="25"/>
      <c r="DE329" s="178"/>
      <c r="DJ329" s="430"/>
      <c r="DK329" s="389"/>
      <c r="DL329" s="389"/>
      <c r="DM329" s="389"/>
      <c r="DN329" s="389"/>
      <c r="DO329" s="389"/>
      <c r="DP329" s="389"/>
      <c r="DQ329" s="389"/>
      <c r="DR329" s="487"/>
      <c r="DS329" s="25"/>
    </row>
    <row r="330" spans="1:123" hidden="1" x14ac:dyDescent="0.2">
      <c r="A330" s="98"/>
      <c r="B330" s="316"/>
      <c r="C330" s="41"/>
      <c r="D330" s="41"/>
      <c r="E330" s="41"/>
      <c r="F330" s="41"/>
      <c r="G330" s="316"/>
      <c r="H330" s="41"/>
      <c r="I330" s="41"/>
      <c r="J330" s="41"/>
      <c r="K330" s="41"/>
      <c r="L330" s="316"/>
      <c r="M330" s="41"/>
      <c r="N330" s="41"/>
      <c r="O330" s="41"/>
      <c r="P330" s="41"/>
      <c r="Q330" s="316"/>
      <c r="R330" s="179"/>
      <c r="S330" s="179"/>
      <c r="T330" s="179"/>
      <c r="U330" s="179"/>
      <c r="V330" s="316"/>
      <c r="W330" s="179"/>
      <c r="X330" s="179"/>
      <c r="Y330" s="179"/>
      <c r="Z330" s="179"/>
      <c r="AA330" s="316"/>
      <c r="AB330" s="179"/>
      <c r="AC330" s="179"/>
      <c r="AD330" s="179"/>
      <c r="AE330" s="179"/>
      <c r="AF330" s="316"/>
      <c r="AG330" s="179"/>
      <c r="AH330" s="179"/>
      <c r="AI330" s="180"/>
      <c r="AJ330" s="179"/>
      <c r="AK330" s="323"/>
      <c r="AL330" s="136"/>
      <c r="AM330" s="136"/>
      <c r="AN330" s="136"/>
      <c r="AO330" s="136"/>
      <c r="AP330" s="323"/>
      <c r="AQ330" s="136"/>
      <c r="AR330" s="136"/>
      <c r="AS330" s="136"/>
      <c r="AT330" s="136"/>
      <c r="AU330" s="323"/>
      <c r="AV330" s="136"/>
      <c r="AW330" s="136"/>
      <c r="AX330" s="136"/>
      <c r="AY330" s="136"/>
      <c r="AZ330" s="323"/>
      <c r="BA330" s="136"/>
      <c r="BB330" s="136"/>
      <c r="BC330" s="136"/>
      <c r="BD330" s="136"/>
      <c r="BE330" s="323"/>
      <c r="BF330" s="136"/>
      <c r="BG330" s="136"/>
      <c r="BH330" s="136"/>
      <c r="BI330" s="136"/>
      <c r="BJ330" s="323"/>
      <c r="BK330" s="136"/>
      <c r="BL330" s="136"/>
      <c r="BM330" s="136"/>
      <c r="BN330" s="136"/>
      <c r="BO330" s="323"/>
      <c r="BP330" s="136"/>
      <c r="BQ330" s="136"/>
      <c r="BR330" s="136"/>
      <c r="BS330" s="136"/>
      <c r="BT330" s="323"/>
      <c r="BU330" s="136"/>
      <c r="BV330" s="136"/>
      <c r="BW330" s="136"/>
      <c r="BX330" s="136"/>
      <c r="BY330" s="323"/>
      <c r="BZ330" s="136"/>
      <c r="CA330" s="136"/>
      <c r="CB330" s="136"/>
      <c r="CC330" s="136"/>
      <c r="CD330" s="323"/>
      <c r="CE330" s="136"/>
      <c r="CF330" s="136"/>
      <c r="CG330" s="136"/>
      <c r="CH330" s="136"/>
      <c r="CI330" s="323"/>
      <c r="CJ330" s="136"/>
      <c r="CK330" s="136"/>
      <c r="CL330" s="136"/>
      <c r="CM330" s="136"/>
      <c r="CN330" s="323"/>
      <c r="CO330" s="136"/>
      <c r="CP330" s="136"/>
      <c r="CQ330" s="136"/>
      <c r="CR330" s="136"/>
      <c r="CS330" s="323"/>
      <c r="CT330" s="136"/>
      <c r="CU330" s="136"/>
      <c r="CV330" s="136"/>
      <c r="CW330" s="136"/>
      <c r="CX330" s="323"/>
      <c r="CY330" s="136"/>
      <c r="CZ330" s="136"/>
      <c r="DA330" s="136"/>
      <c r="DB330" s="136"/>
      <c r="DC330" s="323"/>
      <c r="DD330" s="25"/>
      <c r="DE330" s="178"/>
      <c r="DJ330" s="430"/>
      <c r="DK330" s="389"/>
      <c r="DL330" s="389"/>
      <c r="DM330" s="389"/>
      <c r="DN330" s="389"/>
      <c r="DO330" s="389"/>
      <c r="DP330" s="389"/>
      <c r="DQ330" s="389"/>
      <c r="DR330" s="487"/>
      <c r="DS330" s="25"/>
    </row>
    <row r="331" spans="1:123" hidden="1" x14ac:dyDescent="0.2">
      <c r="A331" s="98" t="s">
        <v>71</v>
      </c>
      <c r="B331" s="316"/>
      <c r="C331" s="41"/>
      <c r="D331" s="41"/>
      <c r="E331" s="41"/>
      <c r="F331" s="41"/>
      <c r="G331" s="316"/>
      <c r="H331" s="41"/>
      <c r="I331" s="41"/>
      <c r="J331" s="41"/>
      <c r="K331" s="41"/>
      <c r="L331" s="316"/>
      <c r="M331" s="41"/>
      <c r="N331" s="41"/>
      <c r="O331" s="41"/>
      <c r="P331" s="41"/>
      <c r="Q331" s="316"/>
      <c r="R331" s="179"/>
      <c r="S331" s="179"/>
      <c r="T331" s="179"/>
      <c r="U331" s="179"/>
      <c r="V331" s="316"/>
      <c r="W331" s="179"/>
      <c r="X331" s="179"/>
      <c r="Y331" s="179"/>
      <c r="Z331" s="179"/>
      <c r="AA331" s="316"/>
      <c r="AB331" s="179"/>
      <c r="AC331" s="179"/>
      <c r="AD331" s="179"/>
      <c r="AE331" s="179"/>
      <c r="AF331" s="316"/>
      <c r="AG331" s="179"/>
      <c r="AH331" s="179"/>
      <c r="AI331" s="180"/>
      <c r="AJ331" s="179"/>
      <c r="AK331" s="308">
        <f t="shared" ref="AK331:BJ331" si="1034">(AK$279+AK$272+AK$273)/AK189</f>
        <v>23.588039867109618</v>
      </c>
      <c r="AL331" s="98">
        <f t="shared" si="1034"/>
        <v>22.257575757575758</v>
      </c>
      <c r="AM331" s="98">
        <f t="shared" si="1034"/>
        <v>19.018987341772153</v>
      </c>
      <c r="AN331" s="98">
        <f t="shared" si="1034"/>
        <v>14.862068965517242</v>
      </c>
      <c r="AO331" s="98">
        <f t="shared" si="1034"/>
        <v>18.035502958579883</v>
      </c>
      <c r="AP331" s="308">
        <f t="shared" si="1034"/>
        <v>18.035502958579883</v>
      </c>
      <c r="AQ331" s="98">
        <f t="shared" si="1034"/>
        <v>15.547188755020077</v>
      </c>
      <c r="AR331" s="98">
        <f t="shared" si="1034"/>
        <v>22.656249999999993</v>
      </c>
      <c r="AS331" s="98">
        <f t="shared" si="1034"/>
        <v>34.75609756097559</v>
      </c>
      <c r="AT331" s="98">
        <f t="shared" si="1034"/>
        <v>28.89194139194138</v>
      </c>
      <c r="AU331" s="308">
        <f t="shared" si="1034"/>
        <v>28.89194139194144</v>
      </c>
      <c r="AV331" s="98">
        <f t="shared" si="1034"/>
        <v>19.247761194029852</v>
      </c>
      <c r="AW331" s="98">
        <f t="shared" si="1034"/>
        <v>15.180400890868597</v>
      </c>
      <c r="AX331" s="98">
        <f t="shared" si="1034"/>
        <v>12.47495361781076</v>
      </c>
      <c r="AY331" s="98">
        <f t="shared" si="1034"/>
        <v>11.61335676625659</v>
      </c>
      <c r="AZ331" s="308">
        <f t="shared" si="1034"/>
        <v>11.61335676625659</v>
      </c>
      <c r="BA331" s="98">
        <f t="shared" si="1034"/>
        <v>12.426294820717132</v>
      </c>
      <c r="BB331" s="98">
        <f t="shared" si="1034"/>
        <v>11.670411985018726</v>
      </c>
      <c r="BC331" s="98">
        <f t="shared" si="1034"/>
        <v>9.0170688640376699</v>
      </c>
      <c r="BD331" s="98">
        <f t="shared" si="1034"/>
        <v>9.1108440973265257</v>
      </c>
      <c r="BE331" s="308">
        <f t="shared" si="1034"/>
        <v>9.1108440973265346</v>
      </c>
      <c r="BF331" s="98">
        <f>(BF$279+BF$272+BF$273)/BF189</f>
        <v>9.1634415004465612</v>
      </c>
      <c r="BG331" s="98">
        <f t="shared" si="1034"/>
        <v>9.4022567856053687</v>
      </c>
      <c r="BH331" s="98">
        <f t="shared" si="1034"/>
        <v>10.324214792299898</v>
      </c>
      <c r="BI331" s="98">
        <f t="shared" si="1034"/>
        <v>9.7391304347826093</v>
      </c>
      <c r="BJ331" s="308">
        <f t="shared" si="1034"/>
        <v>9.7391304347826093</v>
      </c>
      <c r="BK331" s="98">
        <f t="shared" ref="BK331:BO333" si="1035">(BK$279+BK$272+BK$273)/BK189</f>
        <v>8.2049180327868854</v>
      </c>
      <c r="BL331" s="98">
        <f t="shared" si="1035"/>
        <v>7.0512195121951216</v>
      </c>
      <c r="BM331" s="98">
        <f t="shared" si="1035"/>
        <v>6.9180722891566262</v>
      </c>
      <c r="BN331" s="98">
        <f t="shared" si="1035"/>
        <v>7.582446808510638</v>
      </c>
      <c r="BO331" s="308">
        <f t="shared" si="1035"/>
        <v>7.582446808510638</v>
      </c>
      <c r="BP331" s="98"/>
      <c r="BQ331" s="98"/>
      <c r="BR331" s="98"/>
      <c r="BS331" s="98"/>
      <c r="BT331" s="308">
        <f>(BT$279+BT$272+BT$273)/BT189</f>
        <v>6.0397196261682247</v>
      </c>
      <c r="BU331" s="98"/>
      <c r="BV331" s="98"/>
      <c r="BW331" s="98"/>
      <c r="BX331" s="98"/>
      <c r="BY331" s="308">
        <f>(BY$279+BY$272+BY$273)/BY189</f>
        <v>4.3359223300970875</v>
      </c>
      <c r="BZ331" s="98"/>
      <c r="CA331" s="98"/>
      <c r="CB331" s="98"/>
      <c r="CC331" s="98"/>
      <c r="CD331" s="308">
        <f>(CD$279+CD$272+CD$273)/CD189</f>
        <v>1.502467105263158</v>
      </c>
      <c r="CE331" s="98"/>
      <c r="CF331" s="98"/>
      <c r="CG331" s="98"/>
      <c r="CH331" s="98"/>
      <c r="CI331" s="308">
        <f>(CI$279+CI$272+CI$273)/CI189</f>
        <v>1.0548780487804879</v>
      </c>
      <c r="CJ331" s="98"/>
      <c r="CK331" s="98"/>
      <c r="CL331" s="98"/>
      <c r="CM331" s="98"/>
      <c r="CN331" s="308">
        <f>(CN$279+CN$272+CN$273)/CN189</f>
        <v>1.5375000000000001</v>
      </c>
      <c r="CO331" s="98"/>
      <c r="CP331" s="98"/>
      <c r="CQ331" s="98"/>
      <c r="CR331" s="98"/>
      <c r="CS331" s="308">
        <f>(CS$279+CS$272+CS$273)/CS189</f>
        <v>1.7663521543339897</v>
      </c>
      <c r="CT331" s="98"/>
      <c r="CU331" s="98"/>
      <c r="CV331" s="98"/>
      <c r="CW331" s="98"/>
      <c r="CX331" s="308">
        <f>(CX$279+CX$272+CX$273)/CX189</f>
        <v>1.4445775207305029</v>
      </c>
      <c r="CY331" s="98"/>
      <c r="CZ331" s="98"/>
      <c r="DA331" s="98"/>
      <c r="DB331" s="98"/>
      <c r="DC331" s="308">
        <f>(DC$279+DC$272+DC$273)/DC189</f>
        <v>1.2218909024425151</v>
      </c>
      <c r="DD331" s="25"/>
      <c r="DE331" s="178"/>
      <c r="DJ331" s="430"/>
      <c r="DK331" s="389"/>
      <c r="DL331" s="389"/>
      <c r="DM331" s="389"/>
      <c r="DN331" s="389"/>
      <c r="DO331" s="389"/>
      <c r="DP331" s="389"/>
      <c r="DQ331" s="389"/>
      <c r="DR331" s="487"/>
      <c r="DS331" s="25"/>
    </row>
    <row r="332" spans="1:123" hidden="1" x14ac:dyDescent="0.2">
      <c r="A332" s="98" t="s">
        <v>72</v>
      </c>
      <c r="B332" s="316"/>
      <c r="C332" s="41"/>
      <c r="D332" s="41"/>
      <c r="E332" s="41"/>
      <c r="F332" s="41"/>
      <c r="G332" s="316"/>
      <c r="H332" s="41"/>
      <c r="I332" s="41"/>
      <c r="J332" s="41"/>
      <c r="K332" s="41"/>
      <c r="L332" s="316"/>
      <c r="M332" s="41"/>
      <c r="N332" s="41"/>
      <c r="O332" s="41"/>
      <c r="P332" s="41"/>
      <c r="Q332" s="316"/>
      <c r="R332" s="179"/>
      <c r="S332" s="179"/>
      <c r="T332" s="179"/>
      <c r="U332" s="179"/>
      <c r="V332" s="316"/>
      <c r="W332" s="179"/>
      <c r="X332" s="179"/>
      <c r="Y332" s="179"/>
      <c r="Z332" s="179"/>
      <c r="AA332" s="316"/>
      <c r="AB332" s="179"/>
      <c r="AC332" s="179"/>
      <c r="AD332" s="179"/>
      <c r="AE332" s="179"/>
      <c r="AF332" s="316"/>
      <c r="AG332" s="179"/>
      <c r="AH332" s="179"/>
      <c r="AI332" s="180"/>
      <c r="AJ332" s="179"/>
      <c r="AK332" s="308">
        <f t="shared" ref="AK332:BJ332" si="1036">(AK$279+AK$272+AK$273)/AK190</f>
        <v>10.464259395725863</v>
      </c>
      <c r="AL332" s="98">
        <f t="shared" si="1036"/>
        <v>10.096219931271477</v>
      </c>
      <c r="AM332" s="98">
        <f t="shared" si="1036"/>
        <v>9.3034055727554179</v>
      </c>
      <c r="AN332" s="98">
        <f t="shared" si="1036"/>
        <v>8.088471849865952</v>
      </c>
      <c r="AO332" s="98">
        <f t="shared" si="1036"/>
        <v>8.8347826086956527</v>
      </c>
      <c r="AP332" s="308">
        <f t="shared" si="1036"/>
        <v>8.8347826086956527</v>
      </c>
      <c r="AQ332" s="98">
        <f t="shared" si="1036"/>
        <v>8.1887890005288195</v>
      </c>
      <c r="AR332" s="98">
        <f t="shared" si="1036"/>
        <v>10.130619684082623</v>
      </c>
      <c r="AS332" s="98">
        <f t="shared" si="1036"/>
        <v>11.109142452161585</v>
      </c>
      <c r="AT332" s="98">
        <f t="shared" si="1036"/>
        <v>10.041374920432844</v>
      </c>
      <c r="AU332" s="308">
        <f t="shared" si="1036"/>
        <v>10.041374920432851</v>
      </c>
      <c r="AV332" s="98">
        <f t="shared" si="1036"/>
        <v>8.4287581699346408</v>
      </c>
      <c r="AW332" s="98">
        <f t="shared" si="1036"/>
        <v>7.5817575083426032</v>
      </c>
      <c r="AX332" s="98">
        <f t="shared" si="1036"/>
        <v>6.7307307307307305</v>
      </c>
      <c r="AY332" s="98">
        <f t="shared" si="1036"/>
        <v>6.4468292682926833</v>
      </c>
      <c r="AZ332" s="308">
        <f t="shared" si="1036"/>
        <v>6.4468292682926833</v>
      </c>
      <c r="BA332" s="98">
        <f t="shared" si="1036"/>
        <v>6.4844074844074848</v>
      </c>
      <c r="BB332" s="98">
        <f t="shared" si="1036"/>
        <v>6.2949494949494946</v>
      </c>
      <c r="BC332" s="98">
        <f t="shared" si="1036"/>
        <v>5.4442075337597728</v>
      </c>
      <c r="BD332" s="98">
        <f t="shared" si="1036"/>
        <v>5.4856212696690179</v>
      </c>
      <c r="BE332" s="308">
        <f t="shared" si="1036"/>
        <v>5.4856212696690214</v>
      </c>
      <c r="BF332" s="98">
        <f>(BF$279+BF$272+BF$273)/BF190</f>
        <v>5.5469453955667687</v>
      </c>
      <c r="BG332" s="98">
        <f t="shared" si="1036"/>
        <v>5.5962969685968416</v>
      </c>
      <c r="BH332" s="98">
        <f t="shared" si="1036"/>
        <v>5.8552001532273508</v>
      </c>
      <c r="BI332" s="98">
        <f t="shared" si="1036"/>
        <v>5.6504504504504505</v>
      </c>
      <c r="BJ332" s="308">
        <f t="shared" si="1036"/>
        <v>5.6504504504504505</v>
      </c>
      <c r="BK332" s="98">
        <f t="shared" si="1035"/>
        <v>4.9718543046357615</v>
      </c>
      <c r="BL332" s="98">
        <f t="shared" si="1035"/>
        <v>4.4272588055130164</v>
      </c>
      <c r="BM332" s="98">
        <f t="shared" si="1035"/>
        <v>4.3043478260869561</v>
      </c>
      <c r="BN332" s="98">
        <f t="shared" si="1035"/>
        <v>4.4968454258675079</v>
      </c>
      <c r="BO332" s="308">
        <f t="shared" si="1035"/>
        <v>4.4968454258675079</v>
      </c>
      <c r="BP332" s="98"/>
      <c r="BQ332" s="98"/>
      <c r="BR332" s="98"/>
      <c r="BS332" s="98"/>
      <c r="BT332" s="308">
        <f>(BT$279+BT$272+BT$273)/BT190</f>
        <v>3.6002785515320332</v>
      </c>
      <c r="BU332" s="98"/>
      <c r="BV332" s="98"/>
      <c r="BW332" s="98"/>
      <c r="BX332" s="98"/>
      <c r="BY332" s="308">
        <f>(BY$279+BY$272+BY$273)/BY190</f>
        <v>2.6742514970059879</v>
      </c>
      <c r="BZ332" s="98"/>
      <c r="CA332" s="98"/>
      <c r="CB332" s="98"/>
      <c r="CC332" s="98"/>
      <c r="CD332" s="308">
        <f>(CD$279+CD$272+CD$273)/CD190</f>
        <v>1.1704035874439462</v>
      </c>
      <c r="CE332" s="98"/>
      <c r="CF332" s="98"/>
      <c r="CG332" s="98"/>
      <c r="CH332" s="98"/>
      <c r="CI332" s="308">
        <f>(CI$279+CI$272+CI$273)/CI190</f>
        <v>0.81220657276995301</v>
      </c>
      <c r="CJ332" s="98"/>
      <c r="CK332" s="98"/>
      <c r="CL332" s="98"/>
      <c r="CM332" s="98"/>
      <c r="CN332" s="308">
        <f>(CN$279+CN$272+CN$273)/CN190</f>
        <v>1.062543192812716</v>
      </c>
      <c r="CO332" s="98"/>
      <c r="CP332" s="98"/>
      <c r="CQ332" s="98"/>
      <c r="CR332" s="98"/>
      <c r="CS332" s="308">
        <f>(CS$279+CS$272+CS$273)/CS190</f>
        <v>1.1294445103004658</v>
      </c>
      <c r="CT332" s="98"/>
      <c r="CU332" s="98"/>
      <c r="CV332" s="98"/>
      <c r="CW332" s="98"/>
      <c r="CX332" s="308">
        <f>(CX$279+CX$272+CX$273)/CX190</f>
        <v>0.95457980014803279</v>
      </c>
      <c r="CY332" s="98"/>
      <c r="CZ332" s="98"/>
      <c r="DA332" s="98"/>
      <c r="DB332" s="98"/>
      <c r="DC332" s="308">
        <f>(DC$279+DC$272+DC$273)/DC190</f>
        <v>0.83656250359763074</v>
      </c>
      <c r="DD332" s="25"/>
      <c r="DE332" s="178"/>
      <c r="DJ332" s="430"/>
      <c r="DK332" s="389"/>
      <c r="DL332" s="389"/>
      <c r="DM332" s="389"/>
      <c r="DN332" s="389"/>
      <c r="DO332" s="389"/>
      <c r="DP332" s="389"/>
      <c r="DQ332" s="389"/>
      <c r="DR332" s="487"/>
      <c r="DS332" s="25"/>
    </row>
    <row r="333" spans="1:123" hidden="1" x14ac:dyDescent="0.2">
      <c r="A333" s="98" t="s">
        <v>73</v>
      </c>
      <c r="B333" s="316"/>
      <c r="C333" s="41"/>
      <c r="D333" s="41"/>
      <c r="E333" s="41"/>
      <c r="F333" s="41"/>
      <c r="G333" s="316"/>
      <c r="H333" s="41"/>
      <c r="I333" s="41"/>
      <c r="J333" s="41"/>
      <c r="K333" s="41"/>
      <c r="L333" s="316"/>
      <c r="M333" s="41"/>
      <c r="N333" s="41"/>
      <c r="O333" s="41"/>
      <c r="P333" s="41"/>
      <c r="Q333" s="316"/>
      <c r="R333" s="179"/>
      <c r="S333" s="179"/>
      <c r="T333" s="179"/>
      <c r="U333" s="179"/>
      <c r="V333" s="316"/>
      <c r="W333" s="179"/>
      <c r="X333" s="179"/>
      <c r="Y333" s="179"/>
      <c r="Z333" s="179"/>
      <c r="AA333" s="316"/>
      <c r="AB333" s="179"/>
      <c r="AC333" s="179"/>
      <c r="AD333" s="179"/>
      <c r="AE333" s="179"/>
      <c r="AF333" s="316"/>
      <c r="AG333" s="179"/>
      <c r="AH333" s="179"/>
      <c r="AI333" s="180"/>
      <c r="AJ333" s="179"/>
      <c r="AK333" s="308">
        <f t="shared" ref="AK333:BJ333" si="1037">(AK$279+AK$272+AK$273)/AK191</f>
        <v>7.5854700854700834</v>
      </c>
      <c r="AL333" s="98">
        <f t="shared" si="1037"/>
        <v>7.3084577114427862</v>
      </c>
      <c r="AM333" s="98">
        <f t="shared" si="1037"/>
        <v>6.8451025056947605</v>
      </c>
      <c r="AN333" s="98">
        <f t="shared" si="1037"/>
        <v>6.1072874493927127</v>
      </c>
      <c r="AO333" s="98">
        <f t="shared" si="1037"/>
        <v>6.4989339019189769</v>
      </c>
      <c r="AP333" s="308">
        <f t="shared" si="1037"/>
        <v>6.4989339019189769</v>
      </c>
      <c r="AQ333" s="98">
        <f t="shared" si="1037"/>
        <v>6.142403808012693</v>
      </c>
      <c r="AR333" s="98">
        <f t="shared" si="1037"/>
        <v>7.2944006999125106</v>
      </c>
      <c r="AS333" s="98">
        <f t="shared" si="1037"/>
        <v>7.6240272373540847</v>
      </c>
      <c r="AT333" s="98">
        <f t="shared" si="1037"/>
        <v>7.1186823104693131</v>
      </c>
      <c r="AU333" s="308">
        <f t="shared" si="1037"/>
        <v>7.1186823104693167</v>
      </c>
      <c r="AV333" s="98">
        <f t="shared" si="1037"/>
        <v>6.3030303030303028</v>
      </c>
      <c r="AW333" s="98">
        <f t="shared" si="1037"/>
        <v>5.891097666378565</v>
      </c>
      <c r="AX333" s="98">
        <f t="shared" si="1037"/>
        <v>5.3663208300079805</v>
      </c>
      <c r="AY333" s="98">
        <f t="shared" si="1037"/>
        <v>5.1746280344557558</v>
      </c>
      <c r="AZ333" s="308">
        <f t="shared" si="1037"/>
        <v>5.1746280344557558</v>
      </c>
      <c r="BA333" s="98">
        <f t="shared" si="1037"/>
        <v>5.1468646864686471</v>
      </c>
      <c r="BB333" s="98">
        <f t="shared" si="1037"/>
        <v>5.0339256865912763</v>
      </c>
      <c r="BC333" s="98">
        <f t="shared" si="1037"/>
        <v>4.4612696563774028</v>
      </c>
      <c r="BD333" s="98">
        <f t="shared" si="1037"/>
        <v>4.4675209898365003</v>
      </c>
      <c r="BE333" s="308">
        <f t="shared" si="1037"/>
        <v>4.4675209898365029</v>
      </c>
      <c r="BF333" s="98">
        <f>(BF$279+BF$272+BF$273)/BF191</f>
        <v>4.5006579909343474</v>
      </c>
      <c r="BG333" s="98">
        <f t="shared" si="1037"/>
        <v>4.5013870638049349</v>
      </c>
      <c r="BH333" s="98">
        <f t="shared" si="1037"/>
        <v>4.6522599299954344</v>
      </c>
      <c r="BI333" s="98">
        <f t="shared" si="1037"/>
        <v>4.5449275362318842</v>
      </c>
      <c r="BJ333" s="308">
        <f t="shared" si="1037"/>
        <v>4.5449275362318842</v>
      </c>
      <c r="BK333" s="98">
        <f t="shared" si="1035"/>
        <v>4.0691056910569108</v>
      </c>
      <c r="BL333" s="98">
        <f t="shared" si="1035"/>
        <v>3.6875</v>
      </c>
      <c r="BM333" s="98">
        <f t="shared" si="1035"/>
        <v>3.5977443609022557</v>
      </c>
      <c r="BN333" s="98">
        <f t="shared" si="1035"/>
        <v>3.7316753926701569</v>
      </c>
      <c r="BO333" s="308">
        <f t="shared" si="1035"/>
        <v>3.7316753926701569</v>
      </c>
      <c r="BP333" s="98"/>
      <c r="BQ333" s="98"/>
      <c r="BR333" s="98"/>
      <c r="BS333" s="98"/>
      <c r="BT333" s="308">
        <f>(BT$279+BT$272+BT$273)/BT191</f>
        <v>3.0555555555555554</v>
      </c>
      <c r="BU333" s="98"/>
      <c r="BV333" s="98"/>
      <c r="BW333" s="98"/>
      <c r="BX333" s="98"/>
      <c r="BY333" s="308">
        <f>(BY$279+BY$272+BY$273)/BY191</f>
        <v>2.3284671532846715</v>
      </c>
      <c r="BZ333" s="98"/>
      <c r="CA333" s="98"/>
      <c r="CB333" s="98"/>
      <c r="CC333" s="98"/>
      <c r="CD333" s="308">
        <f>(CD$279+CD$272+CD$273)/CD191</f>
        <v>1.0855614973262031</v>
      </c>
      <c r="CE333" s="98"/>
      <c r="CF333" s="98"/>
      <c r="CG333" s="98"/>
      <c r="CH333" s="98"/>
      <c r="CI333" s="308">
        <f>(CI$279+CI$272+CI$273)/CI191</f>
        <v>0.76253443526170794</v>
      </c>
      <c r="CJ333" s="98"/>
      <c r="CK333" s="98"/>
      <c r="CL333" s="98"/>
      <c r="CM333" s="98"/>
      <c r="CN333" s="308">
        <f>(CN$279+CN$272+CN$273)/CN191</f>
        <v>0.99321705426356588</v>
      </c>
      <c r="CO333" s="98"/>
      <c r="CP333" s="98"/>
      <c r="CQ333" s="98"/>
      <c r="CR333" s="98"/>
      <c r="CS333" s="308">
        <f>(CS$279+CS$272+CS$273)/CS191</f>
        <v>1.0550449775506618</v>
      </c>
      <c r="CT333" s="98"/>
      <c r="CU333" s="98"/>
      <c r="CV333" s="98"/>
      <c r="CW333" s="98"/>
      <c r="CX333" s="308">
        <f>(CX$279+CX$272+CX$273)/CX191</f>
        <v>0.90106830214540923</v>
      </c>
      <c r="CY333" s="98"/>
      <c r="CZ333" s="98"/>
      <c r="DA333" s="98"/>
      <c r="DB333" s="98"/>
      <c r="DC333" s="308">
        <f>(DC$279+DC$272+DC$273)/DC191</f>
        <v>0.79643386264384675</v>
      </c>
      <c r="DD333" s="25"/>
      <c r="DE333" s="178"/>
      <c r="DJ333" s="430"/>
      <c r="DK333" s="389"/>
      <c r="DL333" s="389"/>
      <c r="DM333" s="389"/>
      <c r="DN333" s="389"/>
      <c r="DO333" s="389"/>
      <c r="DP333" s="389"/>
      <c r="DQ333" s="389"/>
      <c r="DR333" s="487"/>
      <c r="DS333" s="25"/>
    </row>
    <row r="334" spans="1:123" hidden="1" x14ac:dyDescent="0.2">
      <c r="A334" s="98"/>
      <c r="B334" s="316"/>
      <c r="C334" s="41"/>
      <c r="D334" s="41"/>
      <c r="E334" s="41"/>
      <c r="F334" s="41"/>
      <c r="G334" s="316"/>
      <c r="H334" s="41"/>
      <c r="I334" s="41"/>
      <c r="J334" s="41"/>
      <c r="K334" s="41"/>
      <c r="L334" s="316"/>
      <c r="M334" s="41"/>
      <c r="N334" s="41"/>
      <c r="O334" s="41"/>
      <c r="P334" s="41"/>
      <c r="Q334" s="316"/>
      <c r="R334" s="179"/>
      <c r="S334" s="179"/>
      <c r="T334" s="179"/>
      <c r="U334" s="179"/>
      <c r="V334" s="316"/>
      <c r="W334" s="179"/>
      <c r="X334" s="179"/>
      <c r="Y334" s="179"/>
      <c r="Z334" s="179"/>
      <c r="AA334" s="316"/>
      <c r="AB334" s="179"/>
      <c r="AC334" s="179"/>
      <c r="AD334" s="179"/>
      <c r="AE334" s="179"/>
      <c r="AF334" s="316"/>
      <c r="AG334" s="179"/>
      <c r="AH334" s="179"/>
      <c r="AI334" s="180"/>
      <c r="AJ334" s="179"/>
      <c r="AK334" s="323"/>
      <c r="AL334" s="136"/>
      <c r="AM334" s="136"/>
      <c r="AN334" s="136"/>
      <c r="AO334" s="136"/>
      <c r="AP334" s="323"/>
      <c r="AQ334" s="136"/>
      <c r="AR334" s="136"/>
      <c r="AS334" s="136"/>
      <c r="AT334" s="136"/>
      <c r="AU334" s="323"/>
      <c r="AV334" s="136"/>
      <c r="AW334" s="136"/>
      <c r="AX334" s="136"/>
      <c r="AY334" s="136"/>
      <c r="AZ334" s="323"/>
      <c r="BA334" s="136"/>
      <c r="BB334" s="136"/>
      <c r="BC334" s="136"/>
      <c r="BD334" s="136"/>
      <c r="BE334" s="323"/>
      <c r="BF334" s="136"/>
      <c r="BG334" s="136"/>
      <c r="BH334" s="136"/>
      <c r="BI334" s="136"/>
      <c r="BJ334" s="323"/>
      <c r="BK334" s="136"/>
      <c r="BL334" s="136"/>
      <c r="BM334" s="136"/>
      <c r="BN334" s="136"/>
      <c r="BO334" s="323"/>
      <c r="BP334" s="136"/>
      <c r="BQ334" s="136"/>
      <c r="BR334" s="136"/>
      <c r="BS334" s="136"/>
      <c r="BT334" s="323"/>
      <c r="BU334" s="136"/>
      <c r="BV334" s="136"/>
      <c r="BW334" s="136"/>
      <c r="BX334" s="136"/>
      <c r="BY334" s="323"/>
      <c r="BZ334" s="136"/>
      <c r="CA334" s="136"/>
      <c r="CB334" s="136"/>
      <c r="CC334" s="136"/>
      <c r="CD334" s="323"/>
      <c r="CE334" s="136"/>
      <c r="CF334" s="136"/>
      <c r="CG334" s="136"/>
      <c r="CH334" s="136"/>
      <c r="CI334" s="323"/>
      <c r="CJ334" s="136"/>
      <c r="CK334" s="136"/>
      <c r="CL334" s="136"/>
      <c r="CM334" s="136"/>
      <c r="CN334" s="323"/>
      <c r="CO334" s="136"/>
      <c r="CP334" s="136"/>
      <c r="CQ334" s="136"/>
      <c r="CR334" s="136"/>
      <c r="CS334" s="323"/>
      <c r="CT334" s="136"/>
      <c r="CU334" s="136"/>
      <c r="CV334" s="136"/>
      <c r="CW334" s="136"/>
      <c r="CX334" s="323"/>
      <c r="CY334" s="136"/>
      <c r="CZ334" s="136"/>
      <c r="DA334" s="136"/>
      <c r="DB334" s="136"/>
      <c r="DC334" s="323"/>
      <c r="DD334" s="25"/>
      <c r="DE334" s="178"/>
      <c r="DJ334" s="430"/>
      <c r="DK334" s="389"/>
      <c r="DL334" s="389"/>
      <c r="DM334" s="389"/>
      <c r="DN334" s="389"/>
      <c r="DO334" s="389"/>
      <c r="DP334" s="389"/>
      <c r="DQ334" s="389"/>
      <c r="DR334" s="487"/>
      <c r="DS334" s="25"/>
    </row>
    <row r="335" spans="1:123" hidden="1" x14ac:dyDescent="0.2">
      <c r="A335" s="98" t="s">
        <v>74</v>
      </c>
      <c r="B335" s="316"/>
      <c r="C335" s="41"/>
      <c r="D335" s="41"/>
      <c r="E335" s="41"/>
      <c r="F335" s="41"/>
      <c r="G335" s="316"/>
      <c r="H335" s="41"/>
      <c r="I335" s="41"/>
      <c r="J335" s="41"/>
      <c r="K335" s="41"/>
      <c r="L335" s="316"/>
      <c r="M335" s="41"/>
      <c r="N335" s="41"/>
      <c r="O335" s="41"/>
      <c r="P335" s="41"/>
      <c r="Q335" s="316"/>
      <c r="R335" s="179"/>
      <c r="S335" s="179"/>
      <c r="T335" s="179"/>
      <c r="U335" s="179"/>
      <c r="V335" s="316"/>
      <c r="W335" s="179"/>
      <c r="X335" s="179"/>
      <c r="Y335" s="179"/>
      <c r="Z335" s="179"/>
      <c r="AA335" s="316"/>
      <c r="AB335" s="179"/>
      <c r="AC335" s="179"/>
      <c r="AD335" s="179"/>
      <c r="AE335" s="179"/>
      <c r="AF335" s="316"/>
      <c r="AG335" s="179"/>
      <c r="AH335" s="179"/>
      <c r="AI335" s="180"/>
      <c r="AJ335" s="179"/>
      <c r="AK335" s="308">
        <f t="shared" ref="AK335:BJ335" si="1038">(AK$272+AK$273+AK$279-AK$253)/AK189</f>
        <v>17.784742524916933</v>
      </c>
      <c r="AL335" s="98">
        <f t="shared" si="1038"/>
        <v>16.396083333333337</v>
      </c>
      <c r="AM335" s="98">
        <f t="shared" si="1038"/>
        <v>14.134702531645571</v>
      </c>
      <c r="AN335" s="98">
        <f t="shared" si="1038"/>
        <v>10.705827586206897</v>
      </c>
      <c r="AO335" s="98">
        <f t="shared" si="1038"/>
        <v>13.10226627218935</v>
      </c>
      <c r="AP335" s="308">
        <f t="shared" si="1038"/>
        <v>13.10226627218935</v>
      </c>
      <c r="AQ335" s="98">
        <f t="shared" si="1038"/>
        <v>11.768488955823292</v>
      </c>
      <c r="AR335" s="98">
        <f t="shared" si="1038"/>
        <v>16.109259510869563</v>
      </c>
      <c r="AS335" s="98">
        <f t="shared" si="1038"/>
        <v>28.495376940133028</v>
      </c>
      <c r="AT335" s="98">
        <f t="shared" si="1038"/>
        <v>23.665595238095232</v>
      </c>
      <c r="AU335" s="308">
        <f t="shared" si="1038"/>
        <v>23.665595238095282</v>
      </c>
      <c r="AV335" s="98">
        <f t="shared" si="1038"/>
        <v>15.452435820895525</v>
      </c>
      <c r="AW335" s="98">
        <f t="shared" si="1038"/>
        <v>11.212841870824056</v>
      </c>
      <c r="AX335" s="98">
        <f t="shared" si="1038"/>
        <v>8.1346307977736565</v>
      </c>
      <c r="AY335" s="98">
        <f t="shared" si="1038"/>
        <v>7.6002917398945531</v>
      </c>
      <c r="AZ335" s="308">
        <f t="shared" si="1038"/>
        <v>7.6002917398945531</v>
      </c>
      <c r="BA335" s="98">
        <f t="shared" si="1038"/>
        <v>7.8975418326693232</v>
      </c>
      <c r="BB335" s="98">
        <f t="shared" si="1038"/>
        <v>7.3306479400749067</v>
      </c>
      <c r="BC335" s="98">
        <f t="shared" si="1038"/>
        <v>5.5923572689817549</v>
      </c>
      <c r="BD335" s="98">
        <f t="shared" si="1038"/>
        <v>5.8284259537398624</v>
      </c>
      <c r="BE335" s="308">
        <f t="shared" si="1038"/>
        <v>5.8284259537398695</v>
      </c>
      <c r="BF335" s="98">
        <f>(BF$272+BF$273+BF$279-BF$253)/BF189</f>
        <v>5.4875945221792213</v>
      </c>
      <c r="BG335" s="98">
        <f t="shared" si="1038"/>
        <v>5.4201982311680403</v>
      </c>
      <c r="BH335" s="98">
        <f t="shared" si="1038"/>
        <v>6.1407733873691326</v>
      </c>
      <c r="BI335" s="98">
        <f t="shared" si="1038"/>
        <v>5.8145434782608705</v>
      </c>
      <c r="BJ335" s="308">
        <f t="shared" si="1038"/>
        <v>5.8145434782608705</v>
      </c>
      <c r="BK335" s="98">
        <f t="shared" ref="BK335:BO337" si="1039">(BK$272+BK$273+BK$279-BK$253)/BK189</f>
        <v>4.8586967213114765</v>
      </c>
      <c r="BL335" s="98">
        <f t="shared" si="1039"/>
        <v>4.0958121951219519</v>
      </c>
      <c r="BM335" s="98">
        <f t="shared" si="1039"/>
        <v>4.3548987951807234</v>
      </c>
      <c r="BN335" s="98">
        <f t="shared" si="1039"/>
        <v>5.2773484042553198</v>
      </c>
      <c r="BO335" s="308">
        <f t="shared" si="1039"/>
        <v>5.2773484042553198</v>
      </c>
      <c r="BP335" s="98"/>
      <c r="BQ335" s="98"/>
      <c r="BR335" s="98"/>
      <c r="BS335" s="98"/>
      <c r="BT335" s="308">
        <f>(BT$272+BT$273+BT$279-BT$253)/BT189</f>
        <v>4.3090724299065428</v>
      </c>
      <c r="BU335" s="98"/>
      <c r="BV335" s="98"/>
      <c r="BW335" s="98"/>
      <c r="BX335" s="98"/>
      <c r="BY335" s="308">
        <f>(BY$272+BY$273+BY$279-BY$253)/BY189</f>
        <v>2.8452097087378649</v>
      </c>
      <c r="BZ335" s="98"/>
      <c r="CA335" s="98"/>
      <c r="CB335" s="98"/>
      <c r="CC335" s="98"/>
      <c r="CD335" s="308">
        <f>(CD$272+CD$273+CD$279-CD$253)/CD189</f>
        <v>0.74200904605263196</v>
      </c>
      <c r="CE335" s="98"/>
      <c r="CF335" s="98"/>
      <c r="CG335" s="98"/>
      <c r="CH335" s="98"/>
      <c r="CI335" s="308">
        <f>(CI$272+CI$273+CI$279-CI$253)/CI189</f>
        <v>0.31500228658536622</v>
      </c>
      <c r="CJ335" s="98"/>
      <c r="CK335" s="98"/>
      <c r="CL335" s="98"/>
      <c r="CM335" s="98"/>
      <c r="CN335" s="308">
        <f>(CN$272+CN$273+CN$279-CN$253)/CN189</f>
        <v>0.42267562380846901</v>
      </c>
      <c r="CO335" s="98"/>
      <c r="CP335" s="98"/>
      <c r="CQ335" s="98"/>
      <c r="CR335" s="98"/>
      <c r="CS335" s="308">
        <f>(CS$272+CS$273+CS$279-CS$253)/CS189</f>
        <v>0.59472428038367253</v>
      </c>
      <c r="CT335" s="98"/>
      <c r="CU335" s="98"/>
      <c r="CV335" s="98"/>
      <c r="CW335" s="98"/>
      <c r="CX335" s="308">
        <f>(CX$272+CX$273+CX$279-CX$253)/CX189</f>
        <v>0.51990960536765118</v>
      </c>
      <c r="CY335" s="98"/>
      <c r="CZ335" s="98"/>
      <c r="DA335" s="98"/>
      <c r="DB335" s="98"/>
      <c r="DC335" s="308">
        <f>(DC$272+DC$273+DC$279-DC$253)/DC189</f>
        <v>0.29586460389530078</v>
      </c>
      <c r="DD335" s="25"/>
      <c r="DE335" s="178"/>
      <c r="DJ335" s="430"/>
      <c r="DK335" s="389"/>
      <c r="DL335" s="389"/>
      <c r="DM335" s="389"/>
      <c r="DN335" s="389"/>
      <c r="DO335" s="389"/>
      <c r="DP335" s="389"/>
      <c r="DQ335" s="389"/>
      <c r="DR335" s="487"/>
      <c r="DS335" s="25"/>
    </row>
    <row r="336" spans="1:123" hidden="1" x14ac:dyDescent="0.2">
      <c r="A336" s="98" t="s">
        <v>75</v>
      </c>
      <c r="B336" s="316"/>
      <c r="C336" s="41"/>
      <c r="D336" s="41"/>
      <c r="E336" s="41"/>
      <c r="F336" s="41"/>
      <c r="G336" s="316"/>
      <c r="H336" s="41"/>
      <c r="I336" s="41"/>
      <c r="J336" s="41"/>
      <c r="K336" s="41"/>
      <c r="L336" s="316"/>
      <c r="M336" s="41"/>
      <c r="N336" s="41"/>
      <c r="O336" s="41"/>
      <c r="P336" s="41"/>
      <c r="Q336" s="316"/>
      <c r="R336" s="179"/>
      <c r="S336" s="179"/>
      <c r="T336" s="179"/>
      <c r="U336" s="179"/>
      <c r="V336" s="316"/>
      <c r="W336" s="179"/>
      <c r="X336" s="179"/>
      <c r="Y336" s="179"/>
      <c r="Z336" s="179"/>
      <c r="AA336" s="316"/>
      <c r="AB336" s="179"/>
      <c r="AC336" s="179"/>
      <c r="AD336" s="179"/>
      <c r="AE336" s="179"/>
      <c r="AF336" s="316"/>
      <c r="AG336" s="179"/>
      <c r="AH336" s="179"/>
      <c r="AI336" s="180"/>
      <c r="AJ336" s="179"/>
      <c r="AK336" s="308">
        <f t="shared" ref="AK336:BJ336" si="1040">(AK$272+AK$273+AK$279-AK$253)/AK190</f>
        <v>7.8897678703021361</v>
      </c>
      <c r="AL336" s="98">
        <f t="shared" si="1040"/>
        <v>7.4373986254295543</v>
      </c>
      <c r="AM336" s="98">
        <f t="shared" si="1040"/>
        <v>6.914188854489165</v>
      </c>
      <c r="AN336" s="98">
        <f t="shared" si="1040"/>
        <v>5.8264959785522796</v>
      </c>
      <c r="AO336" s="98">
        <f t="shared" si="1040"/>
        <v>6.4182115942028997</v>
      </c>
      <c r="AP336" s="308">
        <f t="shared" si="1040"/>
        <v>6.4182115942028997</v>
      </c>
      <c r="AQ336" s="98">
        <f t="shared" si="1040"/>
        <v>6.1985272342675835</v>
      </c>
      <c r="AR336" s="98">
        <f t="shared" si="1040"/>
        <v>7.2031682867557718</v>
      </c>
      <c r="AS336" s="98">
        <f t="shared" si="1040"/>
        <v>9.1080191353649891</v>
      </c>
      <c r="AT336" s="98">
        <f t="shared" si="1040"/>
        <v>8.2249618077657534</v>
      </c>
      <c r="AU336" s="308">
        <f t="shared" si="1040"/>
        <v>8.2249618077657605</v>
      </c>
      <c r="AV336" s="98">
        <f t="shared" si="1040"/>
        <v>6.7667529411764713</v>
      </c>
      <c r="AW336" s="98">
        <f t="shared" si="1040"/>
        <v>5.6001846496106795</v>
      </c>
      <c r="AX336" s="98">
        <f t="shared" si="1040"/>
        <v>4.388954954954956</v>
      </c>
      <c r="AY336" s="98">
        <f t="shared" si="1040"/>
        <v>4.2190887804878052</v>
      </c>
      <c r="AZ336" s="308">
        <f t="shared" si="1040"/>
        <v>4.2190887804878052</v>
      </c>
      <c r="BA336" s="98">
        <f t="shared" si="1040"/>
        <v>4.1211704781704785</v>
      </c>
      <c r="BB336" s="98">
        <f t="shared" si="1040"/>
        <v>3.9541070707070709</v>
      </c>
      <c r="BC336" s="98">
        <f t="shared" si="1040"/>
        <v>3.376480099502488</v>
      </c>
      <c r="BD336" s="98">
        <f t="shared" si="1040"/>
        <v>3.5092837764514382</v>
      </c>
      <c r="BE336" s="308">
        <f t="shared" si="1040"/>
        <v>3.5092837764514409</v>
      </c>
      <c r="BF336" s="98">
        <f>(BF$272+BF$273+BF$279-BF$253)/BF190</f>
        <v>3.3218291584069211</v>
      </c>
      <c r="BG336" s="98">
        <f t="shared" si="1040"/>
        <v>3.2261444908331827</v>
      </c>
      <c r="BH336" s="98">
        <f t="shared" si="1040"/>
        <v>3.4826335950967251</v>
      </c>
      <c r="BI336" s="98">
        <f t="shared" si="1040"/>
        <v>3.3734828828828833</v>
      </c>
      <c r="BJ336" s="308">
        <f t="shared" si="1040"/>
        <v>3.3734828828828833</v>
      </c>
      <c r="BK336" s="98">
        <f t="shared" si="1039"/>
        <v>2.9441771523178812</v>
      </c>
      <c r="BL336" s="98">
        <f t="shared" si="1039"/>
        <v>2.5716431852986221</v>
      </c>
      <c r="BM336" s="98">
        <f t="shared" si="1039"/>
        <v>2.7095697151424294</v>
      </c>
      <c r="BN336" s="98">
        <f t="shared" si="1039"/>
        <v>3.1297839116719248</v>
      </c>
      <c r="BO336" s="308">
        <f t="shared" si="1039"/>
        <v>3.1297839116719248</v>
      </c>
      <c r="BP336" s="98"/>
      <c r="BQ336" s="98"/>
      <c r="BR336" s="98"/>
      <c r="BS336" s="98"/>
      <c r="BT336" s="308">
        <f>(BT$272+BT$273+BT$279-BT$253)/BT190</f>
        <v>2.5686392757660172</v>
      </c>
      <c r="BU336" s="98"/>
      <c r="BV336" s="98"/>
      <c r="BW336" s="98"/>
      <c r="BX336" s="98"/>
      <c r="BY336" s="308">
        <f>(BY$272+BY$273+BY$279-BY$253)/BY190</f>
        <v>1.7548299401197609</v>
      </c>
      <c r="BZ336" s="98"/>
      <c r="CA336" s="98"/>
      <c r="CB336" s="98"/>
      <c r="CC336" s="98"/>
      <c r="CD336" s="308">
        <f>(CD$272+CD$273+CD$279-CD$253)/CD190</f>
        <v>0.57801601537476011</v>
      </c>
      <c r="CE336" s="98"/>
      <c r="CF336" s="98"/>
      <c r="CG336" s="98"/>
      <c r="CH336" s="98"/>
      <c r="CI336" s="308">
        <f>(CI$272+CI$273+CI$279-CI$253)/CI190</f>
        <v>0.24253697183098619</v>
      </c>
      <c r="CJ336" s="98"/>
      <c r="CK336" s="98"/>
      <c r="CL336" s="98"/>
      <c r="CM336" s="98"/>
      <c r="CN336" s="308">
        <f>(CN$272+CN$273+CN$279-CN$253)/CN190</f>
        <v>0.29210478494019976</v>
      </c>
      <c r="CO336" s="98"/>
      <c r="CP336" s="98"/>
      <c r="CQ336" s="98"/>
      <c r="CR336" s="98"/>
      <c r="CS336" s="308">
        <f>(CS$272+CS$273+CS$279-CS$253)/CS190</f>
        <v>0.38027981678149803</v>
      </c>
      <c r="CT336" s="98"/>
      <c r="CU336" s="98"/>
      <c r="CV336" s="98"/>
      <c r="CW336" s="98"/>
      <c r="CX336" s="308">
        <f>(CX$272+CX$273+CX$279-CX$253)/CX190</f>
        <v>0.3435573377439276</v>
      </c>
      <c r="CY336" s="98"/>
      <c r="CZ336" s="98"/>
      <c r="DA336" s="98"/>
      <c r="DB336" s="98"/>
      <c r="DC336" s="308">
        <f>(DC$272+DC$273+DC$279-DC$253)/DC190</f>
        <v>0.20256246549165088</v>
      </c>
      <c r="DD336" s="25"/>
      <c r="DE336" s="178"/>
      <c r="DJ336" s="430"/>
      <c r="DK336" s="389"/>
      <c r="DL336" s="389"/>
      <c r="DM336" s="389"/>
      <c r="DN336" s="389"/>
      <c r="DO336" s="389"/>
      <c r="DP336" s="389"/>
      <c r="DQ336" s="389"/>
      <c r="DR336" s="487"/>
      <c r="DS336" s="25"/>
    </row>
    <row r="337" spans="1:129" hidden="1" x14ac:dyDescent="0.2">
      <c r="A337" s="98" t="s">
        <v>76</v>
      </c>
      <c r="B337" s="316"/>
      <c r="C337" s="41"/>
      <c r="D337" s="41"/>
      <c r="E337" s="41"/>
      <c r="F337" s="41"/>
      <c r="G337" s="316"/>
      <c r="H337" s="41"/>
      <c r="I337" s="41"/>
      <c r="J337" s="41"/>
      <c r="K337" s="41"/>
      <c r="L337" s="316"/>
      <c r="M337" s="41"/>
      <c r="N337" s="41"/>
      <c r="O337" s="41"/>
      <c r="P337" s="41"/>
      <c r="Q337" s="316"/>
      <c r="R337" s="179"/>
      <c r="S337" s="179"/>
      <c r="T337" s="179"/>
      <c r="U337" s="179"/>
      <c r="V337" s="316"/>
      <c r="W337" s="179"/>
      <c r="X337" s="179"/>
      <c r="Y337" s="179"/>
      <c r="Z337" s="179"/>
      <c r="AA337" s="316"/>
      <c r="AB337" s="179"/>
      <c r="AC337" s="179"/>
      <c r="AD337" s="179"/>
      <c r="AE337" s="179"/>
      <c r="AF337" s="316"/>
      <c r="AG337" s="179"/>
      <c r="AH337" s="179"/>
      <c r="AI337" s="180"/>
      <c r="AJ337" s="179"/>
      <c r="AK337" s="308">
        <f t="shared" ref="AK337:BJ337" si="1041">(AK$272+AK$273+AK$279-AK$253)/AK191</f>
        <v>5.7192387820512813</v>
      </c>
      <c r="AL337" s="98">
        <f t="shared" si="1041"/>
        <v>5.383788557213931</v>
      </c>
      <c r="AM337" s="98">
        <f t="shared" si="1041"/>
        <v>5.0872050113895222</v>
      </c>
      <c r="AN337" s="98">
        <f t="shared" si="1041"/>
        <v>4.3993582995951428</v>
      </c>
      <c r="AO337" s="98">
        <f t="shared" si="1041"/>
        <v>4.721285714285715</v>
      </c>
      <c r="AP337" s="308">
        <f t="shared" si="1041"/>
        <v>4.721285714285715</v>
      </c>
      <c r="AQ337" s="98">
        <f t="shared" si="1041"/>
        <v>4.649510115033717</v>
      </c>
      <c r="AR337" s="98">
        <f t="shared" si="1041"/>
        <v>5.1865332458442701</v>
      </c>
      <c r="AS337" s="98">
        <f t="shared" si="1041"/>
        <v>6.2506882295719848</v>
      </c>
      <c r="AT337" s="98">
        <f t="shared" si="1041"/>
        <v>5.8309634476534296</v>
      </c>
      <c r="AU337" s="308">
        <f t="shared" si="1041"/>
        <v>5.8309634476534331</v>
      </c>
      <c r="AV337" s="98">
        <f t="shared" si="1041"/>
        <v>5.0601818181818192</v>
      </c>
      <c r="AW337" s="98">
        <f t="shared" si="1041"/>
        <v>4.3513967156439071</v>
      </c>
      <c r="AX337" s="98">
        <f t="shared" si="1041"/>
        <v>3.499254588986433</v>
      </c>
      <c r="AY337" s="98">
        <f t="shared" si="1041"/>
        <v>3.38650430696946</v>
      </c>
      <c r="AZ337" s="308">
        <f t="shared" si="1041"/>
        <v>3.38650430696946</v>
      </c>
      <c r="BA337" s="98">
        <f t="shared" si="1041"/>
        <v>3.2710940594059408</v>
      </c>
      <c r="BB337" s="98">
        <f t="shared" si="1041"/>
        <v>3.1620080775444266</v>
      </c>
      <c r="BC337" s="98">
        <f t="shared" si="1041"/>
        <v>2.7668651718112991</v>
      </c>
      <c r="BD337" s="98">
        <f t="shared" si="1041"/>
        <v>2.8579805567830316</v>
      </c>
      <c r="BE337" s="308">
        <f t="shared" si="1041"/>
        <v>2.8579805567830334</v>
      </c>
      <c r="BF337" s="98">
        <f>(BF$272+BF$273+BF$279-BF$253)/BF191</f>
        <v>2.6952522298581671</v>
      </c>
      <c r="BG337" s="98">
        <f t="shared" si="1041"/>
        <v>2.5949525478172002</v>
      </c>
      <c r="BH337" s="98">
        <f t="shared" si="1041"/>
        <v>2.7671328564906412</v>
      </c>
      <c r="BI337" s="98">
        <f t="shared" si="1041"/>
        <v>2.7134536231884061</v>
      </c>
      <c r="BJ337" s="308">
        <f t="shared" si="1041"/>
        <v>2.7134536231884061</v>
      </c>
      <c r="BK337" s="98">
        <f t="shared" si="1039"/>
        <v>2.4095975609756102</v>
      </c>
      <c r="BL337" s="98">
        <f t="shared" si="1039"/>
        <v>2.141942602040817</v>
      </c>
      <c r="BM337" s="98">
        <f t="shared" si="1039"/>
        <v>2.2647656641604015</v>
      </c>
      <c r="BN337" s="98">
        <f t="shared" si="1039"/>
        <v>2.5972290575916235</v>
      </c>
      <c r="BO337" s="308">
        <f t="shared" si="1039"/>
        <v>2.5972290575916235</v>
      </c>
      <c r="BP337" s="98"/>
      <c r="BQ337" s="98"/>
      <c r="BR337" s="98"/>
      <c r="BS337" s="98"/>
      <c r="BT337" s="308">
        <f>(BT$272+BT$273+BT$279-BT$253)/BT191</f>
        <v>2.1800035460992913</v>
      </c>
      <c r="BU337" s="98"/>
      <c r="BV337" s="98"/>
      <c r="BW337" s="98"/>
      <c r="BX337" s="98"/>
      <c r="BY337" s="308">
        <f>(BY$272+BY$273+BY$279-BY$253)/BY191</f>
        <v>1.5279280500521379</v>
      </c>
      <c r="BZ337" s="98"/>
      <c r="CA337" s="98"/>
      <c r="CB337" s="98"/>
      <c r="CC337" s="98"/>
      <c r="CD337" s="308">
        <f>(CD$272+CD$273+CD$279-CD$253)/CD191</f>
        <v>0.53611586452762949</v>
      </c>
      <c r="CE337" s="98"/>
      <c r="CF337" s="98"/>
      <c r="CG337" s="98"/>
      <c r="CH337" s="98"/>
      <c r="CI337" s="308">
        <f>(CI$272+CI$273+CI$279-CI$253)/CI191</f>
        <v>0.2277041322314052</v>
      </c>
      <c r="CJ337" s="98"/>
      <c r="CK337" s="98"/>
      <c r="CL337" s="98"/>
      <c r="CM337" s="98"/>
      <c r="CN337" s="308">
        <f>(CN$272+CN$273+CN$279-CN$253)/CN191</f>
        <v>0.2730462686101221</v>
      </c>
      <c r="CO337" s="98"/>
      <c r="CP337" s="98"/>
      <c r="CQ337" s="98"/>
      <c r="CR337" s="98"/>
      <c r="CS337" s="308">
        <f>(CS$272+CS$273+CS$279-CS$253)/CS191</f>
        <v>0.35522976746548707</v>
      </c>
      <c r="CT337" s="98"/>
      <c r="CU337" s="98"/>
      <c r="CV337" s="98"/>
      <c r="CW337" s="98"/>
      <c r="CX337" s="308">
        <f>(CX$272+CX$273+CX$279-CX$253)/CX191</f>
        <v>0.32429832158873567</v>
      </c>
      <c r="CY337" s="98"/>
      <c r="CZ337" s="98"/>
      <c r="DA337" s="98"/>
      <c r="DB337" s="98"/>
      <c r="DC337" s="308">
        <f>(DC$272+DC$273+DC$279-DC$253)/DC191</f>
        <v>0.19284584968174917</v>
      </c>
      <c r="DD337" s="25"/>
      <c r="DE337" s="178"/>
      <c r="DJ337" s="430"/>
      <c r="DK337" s="389"/>
      <c r="DL337" s="389"/>
      <c r="DM337" s="389"/>
      <c r="DN337" s="389"/>
      <c r="DO337" s="389"/>
      <c r="DP337" s="389"/>
      <c r="DQ337" s="389"/>
      <c r="DR337" s="487"/>
      <c r="DS337" s="25"/>
    </row>
    <row r="338" spans="1:129" s="7" customFormat="1" hidden="1" collapsed="1" x14ac:dyDescent="0.2">
      <c r="A338" s="7" t="s">
        <v>221</v>
      </c>
      <c r="B338" s="260"/>
      <c r="G338" s="260"/>
      <c r="L338" s="260"/>
      <c r="Q338" s="260"/>
      <c r="V338" s="260"/>
      <c r="AA338" s="260"/>
      <c r="AF338" s="260"/>
      <c r="AK338" s="260"/>
      <c r="AP338" s="260"/>
      <c r="AU338" s="260"/>
      <c r="AZ338" s="260"/>
      <c r="BE338" s="260"/>
      <c r="BJ338" s="260"/>
      <c r="BO338" s="260"/>
      <c r="BT338" s="260"/>
      <c r="BY338" s="260"/>
      <c r="CD338" s="260"/>
      <c r="CI338" s="260"/>
      <c r="CN338" s="260"/>
      <c r="CS338" s="260"/>
      <c r="CX338" s="260"/>
      <c r="DC338" s="260"/>
      <c r="DD338" s="363"/>
      <c r="DE338" s="6"/>
      <c r="DF338" s="363"/>
      <c r="DG338" s="363"/>
      <c r="DH338" s="363"/>
      <c r="DI338" s="363"/>
      <c r="DJ338" s="435"/>
      <c r="DK338" s="393"/>
      <c r="DL338" s="393"/>
      <c r="DM338" s="393"/>
      <c r="DN338" s="393"/>
      <c r="DO338" s="393"/>
      <c r="DP338" s="393"/>
      <c r="DQ338" s="393"/>
      <c r="DR338" s="6"/>
      <c r="DS338" s="363"/>
      <c r="DT338"/>
      <c r="DU338"/>
      <c r="DV338"/>
      <c r="DW338"/>
      <c r="DX338"/>
      <c r="DY338"/>
    </row>
    <row r="339" spans="1:129" hidden="1" x14ac:dyDescent="0.2">
      <c r="A339" s="132" t="s">
        <v>78</v>
      </c>
      <c r="B339" s="316"/>
      <c r="C339" s="41"/>
      <c r="D339" s="41"/>
      <c r="E339" s="41"/>
      <c r="F339" s="41"/>
      <c r="G339" s="316"/>
      <c r="H339" s="41"/>
      <c r="I339" s="41"/>
      <c r="J339" s="41"/>
      <c r="K339" s="41"/>
      <c r="L339" s="316"/>
      <c r="M339" s="41"/>
      <c r="N339" s="41"/>
      <c r="O339" s="41"/>
      <c r="P339" s="41"/>
      <c r="Q339" s="316"/>
      <c r="R339" s="179"/>
      <c r="S339" s="179"/>
      <c r="T339" s="179"/>
      <c r="U339" s="179"/>
      <c r="V339" s="316"/>
      <c r="W339" s="179"/>
      <c r="X339" s="179"/>
      <c r="Y339" s="179"/>
      <c r="Z339" s="179"/>
      <c r="AA339" s="316"/>
      <c r="AB339" s="179"/>
      <c r="AC339" s="179"/>
      <c r="AD339" s="179"/>
      <c r="AE339" s="179"/>
      <c r="AF339" s="316"/>
      <c r="AG339" s="179"/>
      <c r="AH339" s="179"/>
      <c r="AI339" s="180"/>
      <c r="AJ339" s="179"/>
      <c r="AK339" s="323"/>
      <c r="AL339" s="136"/>
      <c r="AM339" s="136"/>
      <c r="AN339" s="136"/>
      <c r="AO339" s="136"/>
      <c r="AP339" s="323"/>
      <c r="AQ339" s="136"/>
      <c r="AR339" s="136"/>
      <c r="AS339" s="136"/>
      <c r="AT339" s="136"/>
      <c r="AU339" s="323"/>
      <c r="AV339" s="136"/>
      <c r="AW339" s="136"/>
      <c r="AX339" s="136"/>
      <c r="AY339" s="136"/>
      <c r="AZ339" s="323"/>
      <c r="BA339" s="136"/>
      <c r="BB339" s="136"/>
      <c r="BC339" s="136"/>
      <c r="BD339" s="136"/>
      <c r="BE339" s="323"/>
      <c r="BF339" s="136"/>
      <c r="BG339" s="136"/>
      <c r="BH339" s="136"/>
      <c r="BI339" s="136"/>
      <c r="BJ339" s="323"/>
      <c r="BK339" s="136"/>
      <c r="BL339" s="136"/>
      <c r="BM339" s="136"/>
      <c r="BN339" s="136"/>
      <c r="BO339" s="323"/>
      <c r="BP339" s="136"/>
      <c r="BQ339" s="136"/>
      <c r="BR339" s="136"/>
      <c r="BS339" s="136"/>
      <c r="BT339" s="323"/>
      <c r="BU339" s="136"/>
      <c r="BV339" s="136"/>
      <c r="BW339" s="136"/>
      <c r="BX339" s="136"/>
      <c r="BY339" s="323"/>
      <c r="BZ339" s="136"/>
      <c r="CA339" s="136"/>
      <c r="CB339" s="136"/>
      <c r="CC339" s="136"/>
      <c r="CD339" s="323"/>
      <c r="CE339" s="136"/>
      <c r="CF339" s="136"/>
      <c r="CG339" s="136"/>
      <c r="CH339" s="136"/>
      <c r="CI339" s="323"/>
      <c r="CJ339" s="136"/>
      <c r="CK339" s="136"/>
      <c r="CL339" s="136"/>
      <c r="CM339" s="136"/>
      <c r="CN339" s="323"/>
      <c r="CO339" s="136"/>
      <c r="CP339" s="136"/>
      <c r="CQ339" s="136"/>
      <c r="CR339" s="136"/>
      <c r="CS339" s="323"/>
      <c r="CT339" s="136"/>
      <c r="CU339" s="136"/>
      <c r="CV339" s="136"/>
      <c r="CW339" s="136"/>
      <c r="CX339" s="323"/>
      <c r="CY339" s="136"/>
      <c r="CZ339" s="136"/>
      <c r="DA339" s="136"/>
      <c r="DB339" s="136"/>
      <c r="DC339" s="323"/>
      <c r="DD339" s="25"/>
      <c r="DE339" s="178"/>
      <c r="DJ339" s="430"/>
      <c r="DK339" s="389"/>
      <c r="DL339" s="389"/>
      <c r="DM339" s="389"/>
      <c r="DN339" s="389"/>
      <c r="DO339" s="389"/>
      <c r="DP339" s="389"/>
      <c r="DQ339" s="389"/>
      <c r="DR339" s="487"/>
      <c r="DS339" s="25"/>
    </row>
    <row r="340" spans="1:129" hidden="1" x14ac:dyDescent="0.2">
      <c r="A340" s="132" t="s">
        <v>79</v>
      </c>
      <c r="B340" s="316"/>
      <c r="C340" s="41"/>
      <c r="D340" s="41"/>
      <c r="E340" s="41"/>
      <c r="F340" s="41"/>
      <c r="G340" s="316"/>
      <c r="H340" s="41"/>
      <c r="I340" s="41"/>
      <c r="J340" s="41"/>
      <c r="K340" s="41"/>
      <c r="L340" s="316"/>
      <c r="M340" s="41"/>
      <c r="N340" s="41"/>
      <c r="O340" s="41"/>
      <c r="P340" s="41"/>
      <c r="Q340" s="316"/>
      <c r="R340" s="179"/>
      <c r="S340" s="179"/>
      <c r="T340" s="179"/>
      <c r="U340" s="179"/>
      <c r="V340" s="316"/>
      <c r="W340" s="179"/>
      <c r="X340" s="179"/>
      <c r="Y340" s="179"/>
      <c r="Z340" s="179"/>
      <c r="AA340" s="316"/>
      <c r="AB340" s="179"/>
      <c r="AC340" s="179"/>
      <c r="AD340" s="179"/>
      <c r="AE340" s="179"/>
      <c r="AF340" s="316"/>
      <c r="AG340" s="179"/>
      <c r="AH340" s="179"/>
      <c r="AI340" s="180"/>
      <c r="AJ340" s="179"/>
      <c r="AK340" s="323"/>
      <c r="AL340" s="136"/>
      <c r="AM340" s="136"/>
      <c r="AN340" s="136"/>
      <c r="AO340" s="136"/>
      <c r="AP340" s="323"/>
      <c r="AQ340" s="136"/>
      <c r="AR340" s="136"/>
      <c r="AS340" s="136"/>
      <c r="AT340" s="136"/>
      <c r="AU340" s="323"/>
      <c r="AV340" s="136"/>
      <c r="AW340" s="136"/>
      <c r="AX340" s="136"/>
      <c r="AY340" s="136"/>
      <c r="AZ340" s="323"/>
      <c r="BA340" s="136"/>
      <c r="BB340" s="136"/>
      <c r="BC340" s="136"/>
      <c r="BD340" s="136"/>
      <c r="BE340" s="323"/>
      <c r="BF340" s="136"/>
      <c r="BG340" s="136"/>
      <c r="BH340" s="136"/>
      <c r="BI340" s="136"/>
      <c r="BJ340" s="323"/>
      <c r="BK340" s="136"/>
      <c r="BL340" s="136"/>
      <c r="BM340" s="136"/>
      <c r="BN340" s="136"/>
      <c r="BO340" s="323"/>
      <c r="BP340" s="136"/>
      <c r="BQ340" s="136"/>
      <c r="BR340" s="136"/>
      <c r="BS340" s="136"/>
      <c r="BT340" s="323"/>
      <c r="BU340" s="136"/>
      <c r="BV340" s="136"/>
      <c r="BW340" s="136"/>
      <c r="BX340" s="136"/>
      <c r="BY340" s="323"/>
      <c r="BZ340" s="136"/>
      <c r="CA340" s="136"/>
      <c r="CB340" s="136"/>
      <c r="CC340" s="136"/>
      <c r="CD340" s="323"/>
      <c r="CE340" s="136"/>
      <c r="CF340" s="136"/>
      <c r="CG340" s="136"/>
      <c r="CH340" s="136"/>
      <c r="CI340" s="323"/>
      <c r="CJ340" s="136"/>
      <c r="CK340" s="136"/>
      <c r="CL340" s="136"/>
      <c r="CM340" s="136"/>
      <c r="CN340" s="323"/>
      <c r="CO340" s="136"/>
      <c r="CP340" s="136"/>
      <c r="CQ340" s="136"/>
      <c r="CR340" s="136"/>
      <c r="CS340" s="323"/>
      <c r="CT340" s="136"/>
      <c r="CU340" s="136"/>
      <c r="CV340" s="136"/>
      <c r="CW340" s="136"/>
      <c r="CX340" s="323"/>
      <c r="CY340" s="136"/>
      <c r="CZ340" s="136"/>
      <c r="DA340" s="136"/>
      <c r="DB340" s="136"/>
      <c r="DC340" s="323"/>
      <c r="DD340" s="25"/>
      <c r="DE340" s="178"/>
      <c r="DJ340" s="430"/>
      <c r="DK340" s="389"/>
      <c r="DL340" s="389"/>
      <c r="DM340" s="389"/>
      <c r="DN340" s="389"/>
      <c r="DO340" s="389"/>
      <c r="DP340" s="389"/>
      <c r="DQ340" s="389"/>
      <c r="DR340" s="487"/>
      <c r="DS340" s="25"/>
    </row>
    <row r="341" spans="1:129" hidden="1" x14ac:dyDescent="0.2">
      <c r="A341" s="152" t="s">
        <v>77</v>
      </c>
      <c r="B341" s="316"/>
      <c r="C341" s="41"/>
      <c r="D341" s="41"/>
      <c r="E341" s="41"/>
      <c r="F341" s="41"/>
      <c r="G341" s="316"/>
      <c r="H341" s="41"/>
      <c r="I341" s="41"/>
      <c r="J341" s="41"/>
      <c r="K341" s="41"/>
      <c r="L341" s="316"/>
      <c r="M341" s="41"/>
      <c r="N341" s="41"/>
      <c r="O341" s="41"/>
      <c r="P341" s="41"/>
      <c r="Q341" s="316"/>
      <c r="R341" s="179"/>
      <c r="S341" s="179"/>
      <c r="T341" s="179"/>
      <c r="U341" s="179"/>
      <c r="V341" s="316"/>
      <c r="W341" s="179"/>
      <c r="X341" s="179"/>
      <c r="Y341" s="179"/>
      <c r="Z341" s="179"/>
      <c r="AA341" s="316"/>
      <c r="AB341" s="179"/>
      <c r="AC341" s="179"/>
      <c r="AD341" s="179"/>
      <c r="AE341" s="179"/>
      <c r="AF341" s="316"/>
      <c r="AG341" s="179"/>
      <c r="AH341" s="179"/>
      <c r="AI341" s="180"/>
      <c r="AJ341" s="179"/>
      <c r="AK341" s="323"/>
      <c r="AL341" s="136"/>
      <c r="AM341" s="136"/>
      <c r="AN341" s="136"/>
      <c r="AO341" s="136"/>
      <c r="AP341" s="323"/>
      <c r="AQ341" s="136"/>
      <c r="AR341" s="136"/>
      <c r="AS341" s="136"/>
      <c r="AT341" s="136"/>
      <c r="AU341" s="323"/>
      <c r="AV341" s="136"/>
      <c r="AW341" s="136"/>
      <c r="AX341" s="136"/>
      <c r="AY341" s="136"/>
      <c r="AZ341" s="323"/>
      <c r="BA341" s="136"/>
      <c r="BB341" s="136"/>
      <c r="BC341" s="136"/>
      <c r="BD341" s="136"/>
      <c r="BE341" s="323"/>
      <c r="BF341" s="136"/>
      <c r="BG341" s="136"/>
      <c r="BH341" s="136"/>
      <c r="BI341" s="136"/>
      <c r="BJ341" s="323"/>
      <c r="BK341" s="136"/>
      <c r="BL341" s="136"/>
      <c r="BM341" s="136"/>
      <c r="BN341" s="136"/>
      <c r="BO341" s="323"/>
      <c r="BP341" s="136"/>
      <c r="BQ341" s="136"/>
      <c r="BR341" s="136"/>
      <c r="BS341" s="136"/>
      <c r="BT341" s="323"/>
      <c r="BU341" s="136"/>
      <c r="BV341" s="136"/>
      <c r="BW341" s="136"/>
      <c r="BX341" s="136"/>
      <c r="BY341" s="323"/>
      <c r="BZ341" s="136"/>
      <c r="CA341" s="136"/>
      <c r="CB341" s="136"/>
      <c r="CC341" s="136"/>
      <c r="CD341" s="323"/>
      <c r="CE341" s="136"/>
      <c r="CF341" s="136"/>
      <c r="CG341" s="136"/>
      <c r="CH341" s="136"/>
      <c r="CI341" s="323"/>
      <c r="CJ341" s="136"/>
      <c r="CK341" s="136"/>
      <c r="CL341" s="136"/>
      <c r="CM341" s="136"/>
      <c r="CN341" s="323"/>
      <c r="CO341" s="136"/>
      <c r="CP341" s="136"/>
      <c r="CQ341" s="136"/>
      <c r="CR341" s="136"/>
      <c r="CS341" s="323"/>
      <c r="CT341" s="136"/>
      <c r="CU341" s="136"/>
      <c r="CV341" s="136"/>
      <c r="CW341" s="136"/>
      <c r="CX341" s="323"/>
      <c r="CY341" s="136"/>
      <c r="CZ341" s="136"/>
      <c r="DA341" s="136"/>
      <c r="DB341" s="136"/>
      <c r="DC341" s="323"/>
      <c r="DD341" s="25"/>
      <c r="DE341" s="178"/>
      <c r="DJ341" s="430"/>
      <c r="DK341" s="389"/>
      <c r="DL341" s="389"/>
      <c r="DM341" s="389"/>
      <c r="DN341" s="389"/>
      <c r="DO341" s="389"/>
      <c r="DP341" s="389"/>
      <c r="DQ341" s="389"/>
      <c r="DR341" s="487"/>
      <c r="DS341" s="25"/>
    </row>
    <row r="342" spans="1:129" hidden="1" x14ac:dyDescent="0.2">
      <c r="A342" s="132"/>
      <c r="B342" s="316"/>
      <c r="C342" s="41"/>
      <c r="D342" s="41"/>
      <c r="E342" s="41"/>
      <c r="F342" s="41"/>
      <c r="G342" s="316"/>
      <c r="H342" s="41"/>
      <c r="I342" s="41"/>
      <c r="J342" s="41"/>
      <c r="K342" s="41"/>
      <c r="L342" s="316"/>
      <c r="M342" s="41"/>
      <c r="N342" s="41"/>
      <c r="O342" s="41"/>
      <c r="P342" s="41"/>
      <c r="Q342" s="316"/>
      <c r="R342" s="179"/>
      <c r="S342" s="179"/>
      <c r="T342" s="179"/>
      <c r="U342" s="179"/>
      <c r="V342" s="316"/>
      <c r="W342" s="179"/>
      <c r="X342" s="179"/>
      <c r="Y342" s="179"/>
      <c r="Z342" s="179"/>
      <c r="AA342" s="316"/>
      <c r="AB342" s="179"/>
      <c r="AC342" s="179"/>
      <c r="AD342" s="179"/>
      <c r="AE342" s="179"/>
      <c r="AF342" s="316"/>
      <c r="AG342" s="179"/>
      <c r="AH342" s="179"/>
      <c r="AI342" s="180"/>
      <c r="AJ342" s="179"/>
      <c r="AK342" s="323"/>
      <c r="AL342" s="136"/>
      <c r="AM342" s="136"/>
      <c r="AN342" s="136"/>
      <c r="AO342" s="136"/>
      <c r="AP342" s="323"/>
      <c r="AQ342" s="136"/>
      <c r="AR342" s="136"/>
      <c r="AS342" s="136"/>
      <c r="AT342" s="136"/>
      <c r="AU342" s="323"/>
      <c r="AV342" s="136"/>
      <c r="AW342" s="136"/>
      <c r="AX342" s="136"/>
      <c r="AY342" s="136"/>
      <c r="AZ342" s="323"/>
      <c r="BA342" s="136"/>
      <c r="BB342" s="136"/>
      <c r="BC342" s="136"/>
      <c r="BD342" s="136"/>
      <c r="BE342" s="323"/>
      <c r="BF342" s="136"/>
      <c r="BG342" s="136"/>
      <c r="BH342" s="136"/>
      <c r="BI342" s="136"/>
      <c r="BJ342" s="323"/>
      <c r="BK342" s="136"/>
      <c r="BL342" s="136"/>
      <c r="BM342" s="136"/>
      <c r="BN342" s="136"/>
      <c r="BO342" s="323"/>
      <c r="BP342" s="136"/>
      <c r="BQ342" s="136"/>
      <c r="BR342" s="136"/>
      <c r="BS342" s="136"/>
      <c r="BT342" s="323"/>
      <c r="BU342" s="136"/>
      <c r="BV342" s="136"/>
      <c r="BW342" s="136"/>
      <c r="BX342" s="136"/>
      <c r="BY342" s="323"/>
      <c r="BZ342" s="136"/>
      <c r="CA342" s="136"/>
      <c r="CB342" s="136"/>
      <c r="CC342" s="136"/>
      <c r="CD342" s="323"/>
      <c r="CE342" s="136"/>
      <c r="CF342" s="136"/>
      <c r="CG342" s="136"/>
      <c r="CH342" s="136"/>
      <c r="CI342" s="323"/>
      <c r="CJ342" s="136"/>
      <c r="CK342" s="136"/>
      <c r="CL342" s="136"/>
      <c r="CM342" s="136"/>
      <c r="CN342" s="323"/>
      <c r="CO342" s="136"/>
      <c r="CP342" s="136"/>
      <c r="CQ342" s="136"/>
      <c r="CR342" s="136"/>
      <c r="CS342" s="323"/>
      <c r="CT342" s="136"/>
      <c r="CU342" s="136"/>
      <c r="CV342" s="136"/>
      <c r="CW342" s="136"/>
      <c r="CX342" s="323"/>
      <c r="CY342" s="136"/>
      <c r="CZ342" s="136"/>
      <c r="DA342" s="136"/>
      <c r="DB342" s="136"/>
      <c r="DC342" s="323"/>
      <c r="DD342" s="25"/>
      <c r="DE342" s="178"/>
      <c r="DJ342" s="430"/>
      <c r="DK342" s="389"/>
      <c r="DL342" s="389"/>
      <c r="DM342" s="389"/>
      <c r="DN342" s="389"/>
      <c r="DO342" s="389"/>
      <c r="DP342" s="389"/>
      <c r="DQ342" s="389"/>
      <c r="DR342" s="487"/>
      <c r="DS342" s="25"/>
    </row>
    <row r="343" spans="1:129" hidden="1" x14ac:dyDescent="0.2">
      <c r="A343" s="98" t="s">
        <v>80</v>
      </c>
      <c r="B343" s="316"/>
      <c r="C343" s="41"/>
      <c r="D343" s="41"/>
      <c r="E343" s="41"/>
      <c r="F343" s="41"/>
      <c r="G343" s="316"/>
      <c r="H343" s="41"/>
      <c r="I343" s="41"/>
      <c r="J343" s="41"/>
      <c r="K343" s="41"/>
      <c r="L343" s="316"/>
      <c r="M343" s="41"/>
      <c r="N343" s="41"/>
      <c r="O343" s="41"/>
      <c r="P343" s="41"/>
      <c r="Q343" s="316"/>
      <c r="R343" s="179"/>
      <c r="S343" s="179"/>
      <c r="T343" s="179"/>
      <c r="U343" s="179"/>
      <c r="V343" s="316"/>
      <c r="W343" s="179"/>
      <c r="X343" s="179"/>
      <c r="Y343" s="179"/>
      <c r="Z343" s="179"/>
      <c r="AA343" s="316"/>
      <c r="AB343" s="179"/>
      <c r="AC343" s="179"/>
      <c r="AD343" s="179"/>
      <c r="AE343" s="179"/>
      <c r="AF343" s="316"/>
      <c r="AG343" s="179"/>
      <c r="AH343" s="179"/>
      <c r="AI343" s="180"/>
      <c r="AJ343" s="179"/>
      <c r="AK343" s="323"/>
      <c r="AL343" s="136"/>
      <c r="AM343" s="136"/>
      <c r="AN343" s="136"/>
      <c r="AO343" s="136"/>
      <c r="AP343" s="323"/>
      <c r="AQ343" s="136"/>
      <c r="AR343" s="136"/>
      <c r="AS343" s="136"/>
      <c r="AT343" s="136"/>
      <c r="AU343" s="323"/>
      <c r="AV343" s="136"/>
      <c r="AW343" s="136"/>
      <c r="AX343" s="136"/>
      <c r="AY343" s="136"/>
      <c r="AZ343" s="323"/>
      <c r="BA343" s="136"/>
      <c r="BB343" s="136"/>
      <c r="BC343" s="136"/>
      <c r="BD343" s="136"/>
      <c r="BE343" s="323"/>
      <c r="BF343" s="136"/>
      <c r="BG343" s="136"/>
      <c r="BH343" s="136"/>
      <c r="BI343" s="136"/>
      <c r="BJ343" s="323"/>
      <c r="BK343" s="136"/>
      <c r="BL343" s="136"/>
      <c r="BM343" s="136"/>
      <c r="BN343" s="136"/>
      <c r="BO343" s="323"/>
      <c r="BP343" s="136"/>
      <c r="BQ343" s="136"/>
      <c r="BR343" s="136"/>
      <c r="BS343" s="136"/>
      <c r="BT343" s="323"/>
      <c r="BU343" s="136"/>
      <c r="BV343" s="136"/>
      <c r="BW343" s="136"/>
      <c r="BX343" s="136"/>
      <c r="BY343" s="323"/>
      <c r="BZ343" s="136"/>
      <c r="CA343" s="136"/>
      <c r="CB343" s="136"/>
      <c r="CC343" s="136"/>
      <c r="CD343" s="323"/>
      <c r="CE343" s="136"/>
      <c r="CF343" s="136"/>
      <c r="CG343" s="136"/>
      <c r="CH343" s="136"/>
      <c r="CI343" s="323"/>
      <c r="CJ343" s="136"/>
      <c r="CK343" s="136"/>
      <c r="CL343" s="136"/>
      <c r="CM343" s="136"/>
      <c r="CN343" s="323"/>
      <c r="CO343" s="136"/>
      <c r="CP343" s="136"/>
      <c r="CQ343" s="136"/>
      <c r="CR343" s="136"/>
      <c r="CS343" s="323"/>
      <c r="CT343" s="136"/>
      <c r="CU343" s="136"/>
      <c r="CV343" s="136"/>
      <c r="CW343" s="136"/>
      <c r="CX343" s="323"/>
      <c r="CY343" s="136"/>
      <c r="CZ343" s="136"/>
      <c r="DA343" s="136"/>
      <c r="DB343" s="136"/>
      <c r="DC343" s="323"/>
      <c r="DD343" s="25"/>
      <c r="DE343" s="178"/>
      <c r="DJ343" s="430"/>
      <c r="DK343" s="389"/>
      <c r="DL343" s="389"/>
      <c r="DM343" s="389"/>
      <c r="DN343" s="389"/>
      <c r="DO343" s="389"/>
      <c r="DP343" s="389"/>
      <c r="DQ343" s="389"/>
      <c r="DR343" s="487"/>
      <c r="DS343" s="25"/>
    </row>
    <row r="344" spans="1:129" hidden="1" x14ac:dyDescent="0.2">
      <c r="A344" s="98" t="s">
        <v>81</v>
      </c>
      <c r="B344" s="316"/>
      <c r="C344" s="41"/>
      <c r="D344" s="41"/>
      <c r="E344" s="41"/>
      <c r="F344" s="41"/>
      <c r="G344" s="316"/>
      <c r="H344" s="41"/>
      <c r="I344" s="41"/>
      <c r="J344" s="41"/>
      <c r="K344" s="41"/>
      <c r="L344" s="316"/>
      <c r="M344" s="41"/>
      <c r="N344" s="41"/>
      <c r="O344" s="41"/>
      <c r="P344" s="41"/>
      <c r="Q344" s="316"/>
      <c r="R344" s="179"/>
      <c r="S344" s="179"/>
      <c r="T344" s="179"/>
      <c r="U344" s="179"/>
      <c r="V344" s="316"/>
      <c r="W344" s="179"/>
      <c r="X344" s="179"/>
      <c r="Y344" s="179"/>
      <c r="Z344" s="179"/>
      <c r="AA344" s="316"/>
      <c r="AB344" s="179"/>
      <c r="AC344" s="179"/>
      <c r="AD344" s="179"/>
      <c r="AE344" s="179"/>
      <c r="AF344" s="316"/>
      <c r="AG344" s="179"/>
      <c r="AH344" s="179"/>
      <c r="AI344" s="180"/>
      <c r="AJ344" s="179"/>
      <c r="AK344" s="323"/>
      <c r="AL344" s="136"/>
      <c r="AM344" s="136"/>
      <c r="AN344" s="136"/>
      <c r="AO344" s="136"/>
      <c r="AP344" s="323"/>
      <c r="AQ344" s="136"/>
      <c r="AR344" s="136"/>
      <c r="AS344" s="136"/>
      <c r="AT344" s="136"/>
      <c r="AU344" s="323"/>
      <c r="AV344" s="136"/>
      <c r="AW344" s="136"/>
      <c r="AX344" s="136"/>
      <c r="AY344" s="136"/>
      <c r="AZ344" s="323"/>
      <c r="BA344" s="136"/>
      <c r="BB344" s="136"/>
      <c r="BC344" s="136"/>
      <c r="BD344" s="136"/>
      <c r="BE344" s="323"/>
      <c r="BF344" s="136"/>
      <c r="BG344" s="136"/>
      <c r="BH344" s="136"/>
      <c r="BI344" s="136"/>
      <c r="BJ344" s="323"/>
      <c r="BK344" s="136"/>
      <c r="BL344" s="136"/>
      <c r="BM344" s="136"/>
      <c r="BN344" s="136"/>
      <c r="BO344" s="323"/>
      <c r="BP344" s="136"/>
      <c r="BQ344" s="136"/>
      <c r="BR344" s="136"/>
      <c r="BS344" s="136"/>
      <c r="BT344" s="323"/>
      <c r="BU344" s="136"/>
      <c r="BV344" s="136"/>
      <c r="BW344" s="136"/>
      <c r="BX344" s="136"/>
      <c r="BY344" s="323"/>
      <c r="BZ344" s="136"/>
      <c r="CA344" s="136"/>
      <c r="CB344" s="136"/>
      <c r="CC344" s="136"/>
      <c r="CD344" s="323"/>
      <c r="CE344" s="136"/>
      <c r="CF344" s="136"/>
      <c r="CG344" s="136"/>
      <c r="CH344" s="136"/>
      <c r="CI344" s="323"/>
      <c r="CJ344" s="136"/>
      <c r="CK344" s="136"/>
      <c r="CL344" s="136"/>
      <c r="CM344" s="136"/>
      <c r="CN344" s="323"/>
      <c r="CO344" s="136"/>
      <c r="CP344" s="136"/>
      <c r="CQ344" s="136"/>
      <c r="CR344" s="136"/>
      <c r="CS344" s="323"/>
      <c r="CT344" s="136"/>
      <c r="CU344" s="136"/>
      <c r="CV344" s="136"/>
      <c r="CW344" s="136"/>
      <c r="CX344" s="323"/>
      <c r="CY344" s="136"/>
      <c r="CZ344" s="136"/>
      <c r="DA344" s="136"/>
      <c r="DB344" s="136"/>
      <c r="DC344" s="323"/>
      <c r="DD344" s="25"/>
      <c r="DE344" s="178"/>
      <c r="DJ344" s="430"/>
      <c r="DK344" s="389"/>
      <c r="DL344" s="389"/>
      <c r="DM344" s="389"/>
      <c r="DN344" s="389"/>
      <c r="DO344" s="389"/>
      <c r="DP344" s="389"/>
      <c r="DQ344" s="389"/>
      <c r="DR344" s="487"/>
      <c r="DS344" s="25"/>
    </row>
    <row r="345" spans="1:129" hidden="1" x14ac:dyDescent="0.2">
      <c r="A345" s="152" t="s">
        <v>77</v>
      </c>
      <c r="B345" s="316"/>
      <c r="C345" s="41"/>
      <c r="D345" s="41"/>
      <c r="E345" s="41"/>
      <c r="F345" s="41"/>
      <c r="G345" s="316"/>
      <c r="H345" s="41"/>
      <c r="I345" s="41"/>
      <c r="J345" s="41"/>
      <c r="K345" s="41"/>
      <c r="L345" s="316"/>
      <c r="M345" s="41"/>
      <c r="N345" s="41"/>
      <c r="O345" s="41"/>
      <c r="P345" s="41"/>
      <c r="Q345" s="316"/>
      <c r="R345" s="179"/>
      <c r="S345" s="179"/>
      <c r="T345" s="179"/>
      <c r="U345" s="179"/>
      <c r="V345" s="316"/>
      <c r="W345" s="179"/>
      <c r="X345" s="179"/>
      <c r="Y345" s="179"/>
      <c r="Z345" s="179"/>
      <c r="AA345" s="316"/>
      <c r="AB345" s="179"/>
      <c r="AC345" s="179"/>
      <c r="AD345" s="179"/>
      <c r="AE345" s="179"/>
      <c r="AF345" s="316"/>
      <c r="AG345" s="179"/>
      <c r="AH345" s="179"/>
      <c r="AI345" s="180"/>
      <c r="AJ345" s="179"/>
      <c r="AK345" s="323"/>
      <c r="AL345" s="136"/>
      <c r="AM345" s="136"/>
      <c r="AN345" s="136"/>
      <c r="AO345" s="136"/>
      <c r="AP345" s="323"/>
      <c r="AQ345" s="136"/>
      <c r="AR345" s="136"/>
      <c r="AS345" s="136"/>
      <c r="AT345" s="136"/>
      <c r="AU345" s="323"/>
      <c r="AV345" s="136"/>
      <c r="AW345" s="136"/>
      <c r="AX345" s="136"/>
      <c r="AY345" s="136"/>
      <c r="AZ345" s="323"/>
      <c r="BA345" s="136"/>
      <c r="BB345" s="136"/>
      <c r="BC345" s="136"/>
      <c r="BD345" s="136"/>
      <c r="BE345" s="323"/>
      <c r="BF345" s="136"/>
      <c r="BG345" s="136"/>
      <c r="BH345" s="136"/>
      <c r="BI345" s="136"/>
      <c r="BJ345" s="323"/>
      <c r="BK345" s="136"/>
      <c r="BL345" s="136"/>
      <c r="BM345" s="136"/>
      <c r="BN345" s="136"/>
      <c r="BO345" s="323"/>
      <c r="BP345" s="136"/>
      <c r="BQ345" s="136"/>
      <c r="BR345" s="136"/>
      <c r="BS345" s="136"/>
      <c r="BT345" s="323"/>
      <c r="BU345" s="136"/>
      <c r="BV345" s="136"/>
      <c r="BW345" s="136"/>
      <c r="BX345" s="136"/>
      <c r="BY345" s="323"/>
      <c r="BZ345" s="136"/>
      <c r="CA345" s="136"/>
      <c r="CB345" s="136"/>
      <c r="CC345" s="136"/>
      <c r="CD345" s="323"/>
      <c r="CE345" s="136"/>
      <c r="CF345" s="136"/>
      <c r="CG345" s="136"/>
      <c r="CH345" s="136"/>
      <c r="CI345" s="323"/>
      <c r="CJ345" s="136"/>
      <c r="CK345" s="136"/>
      <c r="CL345" s="136"/>
      <c r="CM345" s="136"/>
      <c r="CN345" s="323"/>
      <c r="CO345" s="136"/>
      <c r="CP345" s="136"/>
      <c r="CQ345" s="136"/>
      <c r="CR345" s="136"/>
      <c r="CS345" s="323"/>
      <c r="CT345" s="136"/>
      <c r="CU345" s="136"/>
      <c r="CV345" s="136"/>
      <c r="CW345" s="136"/>
      <c r="CX345" s="323"/>
      <c r="CY345" s="136"/>
      <c r="CZ345" s="136"/>
      <c r="DA345" s="136"/>
      <c r="DB345" s="136"/>
      <c r="DC345" s="323"/>
      <c r="DD345" s="25"/>
      <c r="DE345" s="178"/>
      <c r="DJ345" s="430"/>
      <c r="DK345" s="389"/>
      <c r="DL345" s="389"/>
      <c r="DM345" s="389"/>
      <c r="DN345" s="389"/>
      <c r="DO345" s="389"/>
      <c r="DP345" s="389"/>
      <c r="DQ345" s="389"/>
      <c r="DR345" s="487"/>
      <c r="DS345" s="25"/>
    </row>
    <row r="346" spans="1:129" collapsed="1" x14ac:dyDescent="0.2">
      <c r="A346" s="185" t="s">
        <v>222</v>
      </c>
      <c r="B346" s="315"/>
      <c r="C346" s="175"/>
      <c r="D346" s="175"/>
      <c r="E346" s="175"/>
      <c r="F346" s="175"/>
      <c r="G346" s="315"/>
      <c r="H346" s="175"/>
      <c r="I346" s="175"/>
      <c r="J346" s="175"/>
      <c r="K346" s="175"/>
      <c r="L346" s="315"/>
      <c r="M346" s="175"/>
      <c r="N346" s="175"/>
      <c r="O346" s="175"/>
      <c r="P346" s="175"/>
      <c r="Q346" s="315"/>
      <c r="R346" s="176"/>
      <c r="S346" s="176"/>
      <c r="T346" s="176"/>
      <c r="U346" s="176"/>
      <c r="V346" s="315"/>
      <c r="W346" s="176"/>
      <c r="X346" s="176"/>
      <c r="Y346" s="176"/>
      <c r="Z346" s="176"/>
      <c r="AA346" s="315"/>
      <c r="AB346" s="176"/>
      <c r="AC346" s="176"/>
      <c r="AD346" s="176"/>
      <c r="AE346" s="176"/>
      <c r="AF346" s="315"/>
      <c r="AG346" s="176"/>
      <c r="AH346" s="176"/>
      <c r="AI346" s="177"/>
      <c r="AJ346" s="176"/>
      <c r="AK346" s="324"/>
      <c r="AL346" s="131"/>
      <c r="AM346" s="131"/>
      <c r="AN346" s="131"/>
      <c r="AO346" s="131"/>
      <c r="AP346" s="324"/>
      <c r="AQ346" s="131"/>
      <c r="AR346" s="131"/>
      <c r="AS346" s="131"/>
      <c r="AT346" s="131"/>
      <c r="AU346" s="324"/>
      <c r="AV346" s="131"/>
      <c r="AW346" s="131"/>
      <c r="AX346" s="131"/>
      <c r="AY346" s="131"/>
      <c r="AZ346" s="324"/>
      <c r="BA346" s="131"/>
      <c r="BB346" s="131"/>
      <c r="BC346" s="131"/>
      <c r="BD346" s="131"/>
      <c r="BE346" s="324"/>
      <c r="BF346" s="131"/>
      <c r="BG346" s="131"/>
      <c r="BH346" s="131"/>
      <c r="BI346" s="131"/>
      <c r="BJ346" s="324"/>
      <c r="BK346" s="131"/>
      <c r="BL346" s="131"/>
      <c r="BM346" s="131"/>
      <c r="BN346" s="131"/>
      <c r="BO346" s="324"/>
      <c r="BP346" s="131"/>
      <c r="BQ346" s="131"/>
      <c r="BR346" s="131"/>
      <c r="BS346" s="131"/>
      <c r="BT346" s="324"/>
      <c r="BU346" s="131"/>
      <c r="BV346" s="131"/>
      <c r="BW346" s="131"/>
      <c r="BX346" s="131"/>
      <c r="BY346" s="324"/>
      <c r="BZ346" s="131"/>
      <c r="CA346" s="131"/>
      <c r="CB346" s="131"/>
      <c r="CC346" s="131"/>
      <c r="CD346" s="324"/>
      <c r="CE346" s="131"/>
      <c r="CF346" s="131"/>
      <c r="CG346" s="131"/>
      <c r="CH346" s="131"/>
      <c r="CI346" s="324"/>
      <c r="CJ346" s="131"/>
      <c r="CK346" s="131"/>
      <c r="CL346" s="131"/>
      <c r="CM346" s="131"/>
      <c r="CN346" s="324"/>
      <c r="CO346" s="131"/>
      <c r="CP346" s="131"/>
      <c r="CQ346" s="131"/>
      <c r="CR346" s="131"/>
      <c r="CS346" s="324"/>
      <c r="CT346" s="131"/>
      <c r="CU346" s="131"/>
      <c r="CV346" s="131"/>
      <c r="CW346" s="131"/>
      <c r="CX346" s="324"/>
      <c r="CY346" s="131"/>
      <c r="CZ346" s="131"/>
      <c r="DA346" s="131"/>
      <c r="DB346" s="131"/>
      <c r="DC346" s="324"/>
      <c r="DD346" s="25"/>
      <c r="DE346" s="178"/>
      <c r="DJ346" s="430"/>
      <c r="DK346" s="389"/>
      <c r="DL346" s="389"/>
      <c r="DM346" s="389"/>
      <c r="DN346" s="389"/>
      <c r="DO346" s="389"/>
      <c r="DP346" s="389"/>
      <c r="DQ346" s="389"/>
      <c r="DR346" s="487"/>
      <c r="DS346" s="25"/>
    </row>
    <row r="347" spans="1:129" s="7" customFormat="1" x14ac:dyDescent="0.2">
      <c r="A347" s="7" t="s">
        <v>223</v>
      </c>
      <c r="B347" s="260"/>
      <c r="G347" s="260"/>
      <c r="L347" s="260"/>
      <c r="Q347" s="260"/>
      <c r="V347" s="260"/>
      <c r="AA347" s="260"/>
      <c r="AF347" s="260"/>
      <c r="AK347" s="260"/>
      <c r="AP347" s="260"/>
      <c r="AU347" s="260"/>
      <c r="AZ347" s="260"/>
      <c r="BE347" s="260"/>
      <c r="BJ347" s="260"/>
      <c r="BO347" s="260"/>
      <c r="BT347" s="260"/>
      <c r="BY347" s="260"/>
      <c r="CD347" s="260"/>
      <c r="CI347" s="260"/>
      <c r="CN347" s="260"/>
      <c r="CS347" s="260"/>
      <c r="CX347" s="260"/>
      <c r="DC347" s="260"/>
      <c r="DD347" s="363"/>
      <c r="DE347" s="6"/>
      <c r="DF347" s="363"/>
      <c r="DG347" s="363"/>
      <c r="DH347" s="363"/>
      <c r="DI347" s="363"/>
      <c r="DJ347" s="435"/>
      <c r="DK347" s="393"/>
      <c r="DL347" s="393"/>
      <c r="DM347" s="393"/>
      <c r="DN347" s="393"/>
      <c r="DO347" s="393"/>
      <c r="DP347" s="393"/>
      <c r="DQ347" s="393"/>
      <c r="DR347" s="6"/>
      <c r="DS347" s="363"/>
      <c r="DT347"/>
      <c r="DU347"/>
      <c r="DV347"/>
      <c r="DW347"/>
      <c r="DX347"/>
      <c r="DY347"/>
    </row>
    <row r="348" spans="1:129" hidden="1" x14ac:dyDescent="0.2">
      <c r="A348" s="186" t="s">
        <v>283</v>
      </c>
      <c r="B348" s="316"/>
      <c r="C348" s="41"/>
      <c r="D348" s="41"/>
      <c r="E348" s="41"/>
      <c r="F348" s="41"/>
      <c r="G348" s="316"/>
      <c r="H348" s="41"/>
      <c r="I348" s="41"/>
      <c r="J348" s="41"/>
      <c r="K348" s="41"/>
      <c r="L348" s="316"/>
      <c r="M348" s="41"/>
      <c r="N348" s="41"/>
      <c r="O348" s="41"/>
      <c r="P348" s="41"/>
      <c r="Q348" s="316"/>
      <c r="R348" s="179"/>
      <c r="S348" s="179"/>
      <c r="T348" s="179"/>
      <c r="U348" s="179"/>
      <c r="V348" s="316"/>
      <c r="W348" s="179"/>
      <c r="X348" s="179"/>
      <c r="Y348" s="179"/>
      <c r="Z348" s="179"/>
      <c r="AA348" s="316"/>
      <c r="AB348" s="179"/>
      <c r="AC348" s="179"/>
      <c r="AD348" s="179"/>
      <c r="AE348" s="179"/>
      <c r="AF348" s="316"/>
      <c r="AG348" s="179"/>
      <c r="AH348" s="179"/>
      <c r="AI348" s="180"/>
      <c r="AJ348" s="179"/>
      <c r="AK348" s="323"/>
      <c r="AL348" s="136"/>
      <c r="AM348" s="136"/>
      <c r="AN348" s="136"/>
      <c r="AO348" s="136"/>
      <c r="AP348" s="323"/>
      <c r="AQ348" s="136"/>
      <c r="AR348" s="136"/>
      <c r="AS348" s="136"/>
      <c r="AT348" s="136"/>
      <c r="AU348" s="323"/>
      <c r="AV348" s="186">
        <v>39903</v>
      </c>
      <c r="AW348" s="186">
        <f>EOMONTH(AV348,3)</f>
        <v>39994</v>
      </c>
      <c r="AX348" s="186">
        <f>EOMONTH(AW348,3)</f>
        <v>40086</v>
      </c>
      <c r="AY348" s="186">
        <f>EOMONTH(AX348,3)</f>
        <v>40178</v>
      </c>
      <c r="AZ348" s="336">
        <f>AY348</f>
        <v>40178</v>
      </c>
      <c r="BA348" s="186">
        <v>40268</v>
      </c>
      <c r="BB348" s="186">
        <f>EOMONTH(BA348,3)</f>
        <v>40359</v>
      </c>
      <c r="BC348" s="186">
        <f>EOMONTH(BB348,3)</f>
        <v>40451</v>
      </c>
      <c r="BD348" s="186">
        <f>EOMONTH(BC348,3)</f>
        <v>40543</v>
      </c>
      <c r="BE348" s="336">
        <f>EOMONTH(AZ348,12)</f>
        <v>40543</v>
      </c>
      <c r="BF348" s="186">
        <v>40268</v>
      </c>
      <c r="BG348" s="186">
        <f>EOMONTH(BF348,3)</f>
        <v>40359</v>
      </c>
      <c r="BH348" s="186">
        <f>EOMONTH(BG348,3)</f>
        <v>40451</v>
      </c>
      <c r="BI348" s="186">
        <f>EOMONTH(BH348,3)</f>
        <v>40543</v>
      </c>
      <c r="BJ348" s="336">
        <f>EOMONTH(BE348,12)</f>
        <v>40908</v>
      </c>
      <c r="BK348" s="186">
        <f>EOMONTH(BJ348,3)</f>
        <v>40999</v>
      </c>
      <c r="BL348" s="186">
        <f>EOMONTH(BK348,3)</f>
        <v>41090</v>
      </c>
      <c r="BM348" s="186">
        <f>EOMONTH(BL348,3)</f>
        <v>41182</v>
      </c>
      <c r="BN348" s="186">
        <f>EOMONTH(BM348,3)</f>
        <v>41274</v>
      </c>
      <c r="BO348" s="336">
        <f>EOMONTH(BJ348,12)</f>
        <v>41274</v>
      </c>
      <c r="BP348" s="186"/>
      <c r="BQ348" s="186"/>
      <c r="BR348" s="186"/>
      <c r="BS348" s="186"/>
      <c r="BT348" s="336">
        <f>EOMONTH(BO348,12)</f>
        <v>41639</v>
      </c>
      <c r="BU348" s="186"/>
      <c r="BV348" s="186"/>
      <c r="BW348" s="186"/>
      <c r="BX348" s="186"/>
      <c r="BY348" s="336">
        <f>EOMONTH(BT348,12)</f>
        <v>42004</v>
      </c>
      <c r="BZ348" s="186"/>
      <c r="CA348" s="186"/>
      <c r="CB348" s="186"/>
      <c r="CC348" s="186"/>
      <c r="CD348" s="336">
        <f>EOMONTH(BY348,12)</f>
        <v>42369</v>
      </c>
      <c r="CE348" s="186"/>
      <c r="CF348" s="186"/>
      <c r="CG348" s="186"/>
      <c r="CH348" s="186"/>
      <c r="CI348" s="336">
        <f>EOMONTH(CD348,12)</f>
        <v>42735</v>
      </c>
      <c r="CJ348" s="186"/>
      <c r="CK348" s="186"/>
      <c r="CL348" s="186"/>
      <c r="CM348" s="186"/>
      <c r="CN348" s="336">
        <f>EOMONTH(CI348,12)</f>
        <v>43100</v>
      </c>
      <c r="CO348" s="186"/>
      <c r="CP348" s="186"/>
      <c r="CQ348" s="186"/>
      <c r="CR348" s="186"/>
      <c r="CS348" s="336">
        <f>EOMONTH(CN348,12)</f>
        <v>43465</v>
      </c>
      <c r="CT348" s="186"/>
      <c r="CU348" s="186"/>
      <c r="CV348" s="186"/>
      <c r="CW348" s="186"/>
      <c r="CX348" s="336">
        <f>EOMONTH(CS348,12)</f>
        <v>43830</v>
      </c>
      <c r="CY348" s="186"/>
      <c r="CZ348" s="186"/>
      <c r="DA348" s="186"/>
      <c r="DB348" s="186"/>
      <c r="DC348" s="336">
        <f>EOMONTH(CX348,12)</f>
        <v>44196</v>
      </c>
      <c r="DD348" s="25"/>
      <c r="DE348" s="178"/>
      <c r="DJ348" s="430"/>
      <c r="DK348" s="389"/>
      <c r="DL348" s="389"/>
      <c r="DM348" s="389"/>
      <c r="DN348" s="389"/>
      <c r="DO348" s="389"/>
      <c r="DP348" s="389"/>
      <c r="DQ348" s="389"/>
      <c r="DR348" s="487"/>
      <c r="DS348" s="25"/>
    </row>
    <row r="349" spans="1:129" hidden="1" x14ac:dyDescent="0.2">
      <c r="A349" s="186" t="s">
        <v>83</v>
      </c>
      <c r="B349" s="316"/>
      <c r="C349" s="41"/>
      <c r="D349" s="41"/>
      <c r="E349" s="41"/>
      <c r="F349" s="41"/>
      <c r="G349" s="316"/>
      <c r="H349" s="41"/>
      <c r="I349" s="41"/>
      <c r="J349" s="41"/>
      <c r="K349" s="41"/>
      <c r="L349" s="316"/>
      <c r="M349" s="41"/>
      <c r="N349" s="41"/>
      <c r="O349" s="41"/>
      <c r="P349" s="41"/>
      <c r="Q349" s="316"/>
      <c r="R349" s="179"/>
      <c r="S349" s="179"/>
      <c r="T349" s="179"/>
      <c r="U349" s="179"/>
      <c r="V349" s="316"/>
      <c r="W349" s="179"/>
      <c r="X349" s="179"/>
      <c r="Y349" s="179"/>
      <c r="Z349" s="179"/>
      <c r="AA349" s="316"/>
      <c r="AB349" s="179"/>
      <c r="AC349" s="179"/>
      <c r="AD349" s="179"/>
      <c r="AE349" s="179"/>
      <c r="AF349" s="316"/>
      <c r="AG349" s="179"/>
      <c r="AH349" s="179"/>
      <c r="AI349" s="180"/>
      <c r="AJ349" s="179"/>
      <c r="AK349" s="323"/>
      <c r="AL349" s="136"/>
      <c r="AM349" s="136"/>
      <c r="AN349" s="136"/>
      <c r="AO349" s="136"/>
      <c r="AP349" s="323"/>
      <c r="AQ349" s="136"/>
      <c r="AR349" s="136"/>
      <c r="AS349" s="136"/>
      <c r="AT349" s="136"/>
      <c r="AU349" s="323"/>
      <c r="AV349" s="136"/>
      <c r="AW349" s="136"/>
      <c r="AX349" s="136"/>
      <c r="AY349" s="136"/>
      <c r="AZ349" s="323"/>
      <c r="BA349" s="136"/>
      <c r="BB349" s="136"/>
      <c r="BC349" s="136"/>
      <c r="BD349" s="136"/>
      <c r="BE349" s="323"/>
      <c r="BF349" s="136"/>
      <c r="BG349" s="136"/>
      <c r="BH349" s="136"/>
      <c r="BI349" s="136"/>
      <c r="BJ349" s="323"/>
      <c r="BK349" s="136"/>
      <c r="BL349" s="136"/>
      <c r="BM349" s="136"/>
      <c r="BN349" s="136"/>
      <c r="BO349" s="323"/>
      <c r="BP349" s="136"/>
      <c r="BQ349" s="136"/>
      <c r="BR349" s="136"/>
      <c r="BS349" s="136"/>
      <c r="BT349" s="323"/>
      <c r="BU349" s="136"/>
      <c r="BV349" s="136"/>
      <c r="BW349" s="136"/>
      <c r="BX349" s="136"/>
      <c r="BY349" s="323"/>
      <c r="BZ349" s="136"/>
      <c r="CA349" s="136"/>
      <c r="CB349" s="136"/>
      <c r="CC349" s="136"/>
      <c r="CD349" s="323"/>
      <c r="CE349" s="136"/>
      <c r="CF349" s="136"/>
      <c r="CG349" s="136"/>
      <c r="CH349" s="136"/>
      <c r="CI349" s="323"/>
      <c r="CJ349" s="136"/>
      <c r="CK349" s="136"/>
      <c r="CL349" s="136"/>
      <c r="CM349" s="136"/>
      <c r="CN349" s="323"/>
      <c r="CO349" s="136"/>
      <c r="CP349" s="136"/>
      <c r="CQ349" s="136"/>
      <c r="CR349" s="136"/>
      <c r="CS349" s="323"/>
      <c r="CT349" s="136"/>
      <c r="CU349" s="136"/>
      <c r="CV349" s="136"/>
      <c r="CW349" s="136"/>
      <c r="CX349" s="323"/>
      <c r="CY349" s="136"/>
      <c r="CZ349" s="136"/>
      <c r="DA349" s="136"/>
      <c r="DB349" s="136"/>
      <c r="DC349" s="323"/>
      <c r="DD349" s="25"/>
      <c r="DE349" s="178"/>
      <c r="DJ349" s="430"/>
      <c r="DK349" s="389"/>
      <c r="DL349" s="389"/>
      <c r="DM349" s="389"/>
      <c r="DN349" s="389"/>
      <c r="DO349" s="389"/>
      <c r="DP349" s="389"/>
      <c r="DQ349" s="389"/>
      <c r="DR349" s="487"/>
      <c r="DS349" s="25"/>
    </row>
    <row r="350" spans="1:129" hidden="1" x14ac:dyDescent="0.2">
      <c r="A350" s="132" t="s">
        <v>84</v>
      </c>
      <c r="B350" s="316"/>
      <c r="C350" s="41"/>
      <c r="D350" s="41"/>
      <c r="E350" s="41"/>
      <c r="F350" s="41"/>
      <c r="G350" s="316"/>
      <c r="H350" s="41"/>
      <c r="I350" s="41"/>
      <c r="J350" s="41"/>
      <c r="K350" s="41"/>
      <c r="L350" s="316"/>
      <c r="M350" s="41"/>
      <c r="N350" s="41"/>
      <c r="O350" s="41"/>
      <c r="P350" s="41"/>
      <c r="Q350" s="316"/>
      <c r="R350" s="179"/>
      <c r="S350" s="179"/>
      <c r="T350" s="179"/>
      <c r="U350" s="179"/>
      <c r="V350" s="316"/>
      <c r="W350" s="179"/>
      <c r="X350" s="179"/>
      <c r="Y350" s="179"/>
      <c r="Z350" s="179"/>
      <c r="AA350" s="316"/>
      <c r="AB350" s="179"/>
      <c r="AC350" s="179"/>
      <c r="AD350" s="179"/>
      <c r="AE350" s="179"/>
      <c r="AF350" s="316"/>
      <c r="AG350" s="179"/>
      <c r="AH350" s="179"/>
      <c r="AI350" s="180"/>
      <c r="AJ350" s="179"/>
      <c r="AK350" s="323"/>
      <c r="AL350" s="136"/>
      <c r="AM350" s="136"/>
      <c r="AN350" s="136"/>
      <c r="AO350" s="136"/>
      <c r="AP350" s="323"/>
      <c r="AQ350" s="136"/>
      <c r="AR350" s="136"/>
      <c r="AS350" s="136"/>
      <c r="AT350" s="136"/>
      <c r="AU350" s="323"/>
      <c r="AV350" s="132">
        <f t="shared" ref="AV350:BT350" si="1042">AV253</f>
        <v>635.71699999999987</v>
      </c>
      <c r="AW350" s="132">
        <f t="shared" si="1042"/>
        <v>890.71699999999987</v>
      </c>
      <c r="AX350" s="132">
        <f t="shared" si="1042"/>
        <v>1169.7169999999999</v>
      </c>
      <c r="AY350" s="132">
        <f t="shared" si="1042"/>
        <v>1141.7169999999999</v>
      </c>
      <c r="AZ350" s="300">
        <f t="shared" si="1042"/>
        <v>1141.7169999999999</v>
      </c>
      <c r="BA350" s="132">
        <f t="shared" si="1042"/>
        <v>1136.7169999999999</v>
      </c>
      <c r="BB350" s="132">
        <f t="shared" si="1042"/>
        <v>1158.7169999999999</v>
      </c>
      <c r="BC350" s="132">
        <f t="shared" si="1042"/>
        <v>1163.7169999999999</v>
      </c>
      <c r="BD350" s="132">
        <f t="shared" si="1042"/>
        <v>1092.7169999999999</v>
      </c>
      <c r="BE350" s="300">
        <f t="shared" si="1042"/>
        <v>1092.7169999999996</v>
      </c>
      <c r="BF350" s="132">
        <f t="shared" si="1042"/>
        <v>1234.7169999999996</v>
      </c>
      <c r="BG350" s="132">
        <f t="shared" si="1042"/>
        <v>1305.7169999999996</v>
      </c>
      <c r="BH350" s="132">
        <f t="shared" si="1042"/>
        <v>1238.7169999999996</v>
      </c>
      <c r="BI350" s="132">
        <f t="shared" si="1042"/>
        <v>1263.7169999999996</v>
      </c>
      <c r="BJ350" s="300">
        <f t="shared" si="1042"/>
        <v>1263.7169999999996</v>
      </c>
      <c r="BK350" s="132">
        <f>BK253</f>
        <v>1224.7169999999996</v>
      </c>
      <c r="BL350" s="132">
        <f>BL253</f>
        <v>1211.7169999999996</v>
      </c>
      <c r="BM350" s="132">
        <f>BM253</f>
        <v>1063.7169999999996</v>
      </c>
      <c r="BN350" s="132">
        <f>BN253</f>
        <v>866.71699999999953</v>
      </c>
      <c r="BO350" s="300">
        <f t="shared" si="1042"/>
        <v>866.71699999999953</v>
      </c>
      <c r="BP350" s="132"/>
      <c r="BQ350" s="132"/>
      <c r="BR350" s="132"/>
      <c r="BS350" s="132"/>
      <c r="BT350" s="300">
        <f t="shared" si="1042"/>
        <v>740.71699999999953</v>
      </c>
      <c r="BU350" s="132"/>
      <c r="BV350" s="132"/>
      <c r="BW350" s="132"/>
      <c r="BX350" s="132"/>
      <c r="BY350" s="300">
        <f>BY253</f>
        <v>767.71699999999953</v>
      </c>
      <c r="BZ350" s="132"/>
      <c r="CA350" s="132"/>
      <c r="CB350" s="132"/>
      <c r="CC350" s="132"/>
      <c r="CD350" s="300">
        <f>CD253</f>
        <v>924.71699999999953</v>
      </c>
      <c r="CE350" s="132"/>
      <c r="CF350" s="132"/>
      <c r="CG350" s="132"/>
      <c r="CH350" s="132"/>
      <c r="CI350" s="300">
        <f>CI253</f>
        <v>970.71699999999953</v>
      </c>
      <c r="CJ350" s="132"/>
      <c r="CK350" s="132"/>
      <c r="CL350" s="132"/>
      <c r="CM350" s="132"/>
      <c r="CN350" s="300">
        <f>CN253</f>
        <v>1114.824376191531</v>
      </c>
      <c r="CO350" s="132"/>
      <c r="CP350" s="132"/>
      <c r="CQ350" s="132"/>
      <c r="CR350" s="132"/>
      <c r="CS350" s="300">
        <f>CS253</f>
        <v>999.13432448966932</v>
      </c>
      <c r="CT350" s="132"/>
      <c r="CU350" s="132"/>
      <c r="CV350" s="132"/>
      <c r="CW350" s="132"/>
      <c r="CX350" s="300">
        <f>CX253</f>
        <v>922.56998830948055</v>
      </c>
      <c r="CY350" s="132"/>
      <c r="CZ350" s="132"/>
      <c r="DA350" s="132"/>
      <c r="DB350" s="132"/>
      <c r="DC350" s="300">
        <f>DC253</f>
        <v>1112.0128524913473</v>
      </c>
      <c r="DD350" s="25"/>
      <c r="DE350" s="178"/>
      <c r="DJ350" s="430"/>
      <c r="DK350" s="389"/>
      <c r="DL350" s="389"/>
      <c r="DM350" s="389"/>
      <c r="DN350" s="389"/>
      <c r="DO350" s="389"/>
      <c r="DP350" s="389"/>
      <c r="DQ350" s="389"/>
      <c r="DR350" s="487"/>
      <c r="DS350" s="25"/>
    </row>
    <row r="351" spans="1:129" hidden="1" x14ac:dyDescent="0.2">
      <c r="A351" s="141" t="s">
        <v>85</v>
      </c>
      <c r="B351" s="316"/>
      <c r="C351" s="41"/>
      <c r="D351" s="41"/>
      <c r="E351" s="41"/>
      <c r="F351" s="41"/>
      <c r="G351" s="316"/>
      <c r="H351" s="41"/>
      <c r="I351" s="41"/>
      <c r="J351" s="41"/>
      <c r="K351" s="41"/>
      <c r="L351" s="316"/>
      <c r="M351" s="41"/>
      <c r="N351" s="41"/>
      <c r="O351" s="41"/>
      <c r="P351" s="41"/>
      <c r="Q351" s="316"/>
      <c r="R351" s="179"/>
      <c r="S351" s="179"/>
      <c r="T351" s="179"/>
      <c r="U351" s="179"/>
      <c r="V351" s="316"/>
      <c r="W351" s="179"/>
      <c r="X351" s="179"/>
      <c r="Y351" s="179"/>
      <c r="Z351" s="179"/>
      <c r="AA351" s="316"/>
      <c r="AB351" s="179"/>
      <c r="AC351" s="179"/>
      <c r="AD351" s="179"/>
      <c r="AE351" s="179"/>
      <c r="AF351" s="316"/>
      <c r="AG351" s="179"/>
      <c r="AH351" s="179"/>
      <c r="AI351" s="180"/>
      <c r="AJ351" s="179"/>
      <c r="AK351" s="323"/>
      <c r="AL351" s="136"/>
      <c r="AM351" s="136"/>
      <c r="AN351" s="136"/>
      <c r="AO351" s="136"/>
      <c r="AP351" s="323"/>
      <c r="AQ351" s="136"/>
      <c r="AR351" s="136"/>
      <c r="AS351" s="136"/>
      <c r="AT351" s="136"/>
      <c r="AU351" s="323"/>
      <c r="AV351" s="132">
        <f t="shared" ref="AV351:BT351" si="1043">AV257</f>
        <v>845.71699999999987</v>
      </c>
      <c r="AW351" s="132">
        <f t="shared" si="1043"/>
        <v>1056.7169999999999</v>
      </c>
      <c r="AX351" s="132">
        <f t="shared" si="1043"/>
        <v>1282.7169999999999</v>
      </c>
      <c r="AY351" s="132">
        <f t="shared" si="1043"/>
        <v>1218.7169999999999</v>
      </c>
      <c r="AZ351" s="300">
        <f t="shared" si="1043"/>
        <v>1218.7169999999999</v>
      </c>
      <c r="BA351" s="132">
        <f t="shared" si="1043"/>
        <v>1207.7169999999999</v>
      </c>
      <c r="BB351" s="132">
        <f t="shared" si="1043"/>
        <v>1228.7169999999999</v>
      </c>
      <c r="BC351" s="132">
        <f t="shared" si="1043"/>
        <v>1232.7169999999999</v>
      </c>
      <c r="BD351" s="132">
        <f t="shared" si="1043"/>
        <v>1160.7169999999999</v>
      </c>
      <c r="BE351" s="300">
        <f t="shared" si="1043"/>
        <v>1160.7169999999996</v>
      </c>
      <c r="BF351" s="132">
        <f t="shared" si="1043"/>
        <v>1300.7169999999996</v>
      </c>
      <c r="BG351" s="132">
        <f t="shared" si="1043"/>
        <v>1370.7169999999996</v>
      </c>
      <c r="BH351" s="132">
        <f t="shared" si="1043"/>
        <v>1302.7169999999996</v>
      </c>
      <c r="BI351" s="132">
        <f t="shared" si="1043"/>
        <v>1330.7169999999996</v>
      </c>
      <c r="BJ351" s="300">
        <f t="shared" si="1043"/>
        <v>1330.7169999999996</v>
      </c>
      <c r="BK351" s="132">
        <f>BK257</f>
        <v>1289.7169999999996</v>
      </c>
      <c r="BL351" s="132">
        <f>BL257</f>
        <v>1266.7169999999996</v>
      </c>
      <c r="BM351" s="132">
        <f>BM257</f>
        <v>1118.7169999999996</v>
      </c>
      <c r="BN351" s="132">
        <f>BN257</f>
        <v>917.71699999999953</v>
      </c>
      <c r="BO351" s="300">
        <f t="shared" si="1043"/>
        <v>917.71699999999953</v>
      </c>
      <c r="BP351" s="132"/>
      <c r="BQ351" s="132"/>
      <c r="BR351" s="132"/>
      <c r="BS351" s="132"/>
      <c r="BT351" s="300">
        <f t="shared" si="1043"/>
        <v>797.71699999999953</v>
      </c>
      <c r="BU351" s="132"/>
      <c r="BV351" s="132"/>
      <c r="BW351" s="132"/>
      <c r="BX351" s="132"/>
      <c r="BY351" s="300">
        <f>BY257</f>
        <v>828.71699999999953</v>
      </c>
      <c r="BZ351" s="132"/>
      <c r="CA351" s="132"/>
      <c r="CB351" s="132"/>
      <c r="CC351" s="132"/>
      <c r="CD351" s="300">
        <f>CD257</f>
        <v>987.71699999999953</v>
      </c>
      <c r="CE351" s="132"/>
      <c r="CF351" s="132"/>
      <c r="CG351" s="132"/>
      <c r="CH351" s="132"/>
      <c r="CI351" s="300">
        <f>CI257</f>
        <v>1032.7169999999996</v>
      </c>
      <c r="CJ351" s="132"/>
      <c r="CK351" s="132"/>
      <c r="CL351" s="132"/>
      <c r="CM351" s="132"/>
      <c r="CN351" s="300">
        <f>CN257</f>
        <v>1175.6661759012552</v>
      </c>
      <c r="CO351" s="132"/>
      <c r="CP351" s="132"/>
      <c r="CQ351" s="132"/>
      <c r="CR351" s="132"/>
      <c r="CS351" s="300">
        <f>CS257</f>
        <v>1064.8169247122141</v>
      </c>
      <c r="CT351" s="132"/>
      <c r="CU351" s="132"/>
      <c r="CV351" s="132"/>
      <c r="CW351" s="132"/>
      <c r="CX351" s="300">
        <f>CX257</f>
        <v>993.20177245879404</v>
      </c>
      <c r="CY351" s="132"/>
      <c r="CZ351" s="132"/>
      <c r="DA351" s="132"/>
      <c r="DB351" s="132"/>
      <c r="DC351" s="300">
        <f>DC257</f>
        <v>1187.9667415763115</v>
      </c>
      <c r="DD351" s="25"/>
      <c r="DE351" s="178"/>
      <c r="DJ351" s="430"/>
      <c r="DK351" s="389"/>
      <c r="DL351" s="389"/>
      <c r="DM351" s="389"/>
      <c r="DN351" s="389"/>
      <c r="DO351" s="389"/>
      <c r="DP351" s="389"/>
      <c r="DQ351" s="389"/>
      <c r="DR351" s="487"/>
      <c r="DS351" s="25"/>
    </row>
    <row r="352" spans="1:129" hidden="1" x14ac:dyDescent="0.2">
      <c r="A352" s="141" t="s">
        <v>86</v>
      </c>
      <c r="B352" s="316"/>
      <c r="C352" s="41"/>
      <c r="D352" s="41"/>
      <c r="E352" s="41"/>
      <c r="F352" s="41"/>
      <c r="G352" s="316"/>
      <c r="H352" s="41"/>
      <c r="I352" s="41"/>
      <c r="J352" s="41"/>
      <c r="K352" s="41"/>
      <c r="L352" s="316"/>
      <c r="M352" s="41"/>
      <c r="N352" s="41"/>
      <c r="O352" s="41"/>
      <c r="P352" s="41"/>
      <c r="Q352" s="316"/>
      <c r="R352" s="179"/>
      <c r="S352" s="179"/>
      <c r="T352" s="179"/>
      <c r="U352" s="179"/>
      <c r="V352" s="316"/>
      <c r="W352" s="179"/>
      <c r="X352" s="179"/>
      <c r="Y352" s="179"/>
      <c r="Z352" s="179"/>
      <c r="AA352" s="316"/>
      <c r="AB352" s="179"/>
      <c r="AC352" s="179"/>
      <c r="AD352" s="179"/>
      <c r="AE352" s="179"/>
      <c r="AF352" s="316"/>
      <c r="AG352" s="179"/>
      <c r="AH352" s="179"/>
      <c r="AI352" s="180"/>
      <c r="AJ352" s="179"/>
      <c r="AK352" s="323"/>
      <c r="AL352" s="136"/>
      <c r="AM352" s="136"/>
      <c r="AN352" s="136"/>
      <c r="AO352" s="136"/>
      <c r="AP352" s="323"/>
      <c r="AQ352" s="136"/>
      <c r="AR352" s="136"/>
      <c r="AS352" s="136"/>
      <c r="AT352" s="136"/>
      <c r="AU352" s="323"/>
      <c r="AV352" s="132">
        <f t="shared" ref="AV352:BJ352" si="1044">AV272+AV273+AV279</f>
        <v>3224</v>
      </c>
      <c r="AW352" s="132">
        <f t="shared" si="1044"/>
        <v>3408</v>
      </c>
      <c r="AX352" s="132">
        <f t="shared" si="1044"/>
        <v>3362</v>
      </c>
      <c r="AY352" s="132">
        <f t="shared" si="1044"/>
        <v>3304</v>
      </c>
      <c r="AZ352" s="300">
        <f t="shared" si="1044"/>
        <v>3304</v>
      </c>
      <c r="BA352" s="132">
        <f t="shared" si="1044"/>
        <v>3119</v>
      </c>
      <c r="BB352" s="132">
        <f t="shared" si="1044"/>
        <v>3116</v>
      </c>
      <c r="BC352" s="132">
        <f t="shared" si="1044"/>
        <v>3064</v>
      </c>
      <c r="BD352" s="132">
        <f t="shared" si="1044"/>
        <v>3033</v>
      </c>
      <c r="BE352" s="300">
        <f t="shared" si="1044"/>
        <v>3033</v>
      </c>
      <c r="BF352" s="132">
        <f t="shared" si="1044"/>
        <v>3078</v>
      </c>
      <c r="BG352" s="132">
        <f t="shared" si="1044"/>
        <v>3083</v>
      </c>
      <c r="BH352" s="132">
        <f t="shared" si="1044"/>
        <v>3057</v>
      </c>
      <c r="BI352" s="132">
        <f t="shared" si="1044"/>
        <v>3136</v>
      </c>
      <c r="BJ352" s="300">
        <f t="shared" si="1044"/>
        <v>3136</v>
      </c>
      <c r="BK352" s="132">
        <f>BK272+BK273+BK279</f>
        <v>3003</v>
      </c>
      <c r="BL352" s="132">
        <f>BL272+BL273+BL279</f>
        <v>2891</v>
      </c>
      <c r="BM352" s="132">
        <f>BM272+BM273+BM279</f>
        <v>2871</v>
      </c>
      <c r="BN352" s="132">
        <f>BN272+BN273+BN279</f>
        <v>2851</v>
      </c>
      <c r="BO352" s="300">
        <f>BO272+BO273+BO279</f>
        <v>2851</v>
      </c>
      <c r="BP352" s="132"/>
      <c r="BQ352" s="132"/>
      <c r="BR352" s="132"/>
      <c r="BS352" s="132"/>
      <c r="BT352" s="300">
        <f>BT272+BT273+BT279</f>
        <v>2585</v>
      </c>
      <c r="BU352" s="132"/>
      <c r="BV352" s="132"/>
      <c r="BW352" s="132"/>
      <c r="BX352" s="132"/>
      <c r="BY352" s="300">
        <f>BY272+BY273+BY279</f>
        <v>2233</v>
      </c>
      <c r="BZ352" s="132"/>
      <c r="CA352" s="132"/>
      <c r="CB352" s="132"/>
      <c r="CC352" s="132"/>
      <c r="CD352" s="300">
        <f>CD272+CD273+CD279</f>
        <v>1827</v>
      </c>
      <c r="CE352" s="132"/>
      <c r="CF352" s="132"/>
      <c r="CG352" s="132"/>
      <c r="CH352" s="132"/>
      <c r="CI352" s="300">
        <f>CI272+CI273+CI279</f>
        <v>1384</v>
      </c>
      <c r="CJ352" s="132"/>
      <c r="CK352" s="132"/>
      <c r="CL352" s="132"/>
      <c r="CM352" s="132"/>
      <c r="CN352" s="300">
        <f>CN272+CN273+CN279</f>
        <v>1537.5</v>
      </c>
      <c r="CO352" s="132"/>
      <c r="CP352" s="132"/>
      <c r="CQ352" s="132"/>
      <c r="CR352" s="132"/>
      <c r="CS352" s="300">
        <f>CS272+CS273+CS279</f>
        <v>1506.3000000000002</v>
      </c>
      <c r="CT352" s="132"/>
      <c r="CU352" s="132"/>
      <c r="CV352" s="132"/>
      <c r="CW352" s="132"/>
      <c r="CX352" s="300">
        <f>CX272+CX273+CX279</f>
        <v>1441.3000000000002</v>
      </c>
      <c r="CY352" s="132"/>
      <c r="CZ352" s="132"/>
      <c r="DA352" s="132"/>
      <c r="DB352" s="132"/>
      <c r="DC352" s="300">
        <f>DC272+DC273+DC279</f>
        <v>1467.3000000000002</v>
      </c>
      <c r="DD352" s="25"/>
      <c r="DE352" s="178"/>
      <c r="DJ352" s="430"/>
      <c r="DK352" s="389"/>
      <c r="DL352" s="389"/>
      <c r="DM352" s="389"/>
      <c r="DN352" s="389"/>
      <c r="DO352" s="389"/>
      <c r="DP352" s="389"/>
      <c r="DQ352" s="389"/>
      <c r="DR352" s="487"/>
      <c r="DS352" s="25"/>
    </row>
    <row r="353" spans="1:123" hidden="1" x14ac:dyDescent="0.2">
      <c r="A353" s="141" t="s">
        <v>87</v>
      </c>
      <c r="B353" s="316"/>
      <c r="C353" s="41"/>
      <c r="D353" s="41"/>
      <c r="E353" s="41"/>
      <c r="F353" s="41"/>
      <c r="G353" s="316"/>
      <c r="H353" s="41"/>
      <c r="I353" s="41"/>
      <c r="J353" s="41"/>
      <c r="K353" s="41"/>
      <c r="L353" s="316"/>
      <c r="M353" s="41"/>
      <c r="N353" s="41"/>
      <c r="O353" s="41"/>
      <c r="P353" s="41"/>
      <c r="Q353" s="316"/>
      <c r="R353" s="179"/>
      <c r="S353" s="179"/>
      <c r="T353" s="179"/>
      <c r="U353" s="179"/>
      <c r="V353" s="316"/>
      <c r="W353" s="179"/>
      <c r="X353" s="179"/>
      <c r="Y353" s="179"/>
      <c r="Z353" s="179"/>
      <c r="AA353" s="316"/>
      <c r="AB353" s="179"/>
      <c r="AC353" s="179"/>
      <c r="AD353" s="179"/>
      <c r="AE353" s="179"/>
      <c r="AF353" s="316"/>
      <c r="AG353" s="179"/>
      <c r="AH353" s="179"/>
      <c r="AI353" s="180"/>
      <c r="AJ353" s="179"/>
      <c r="AK353" s="323"/>
      <c r="AL353" s="136"/>
      <c r="AM353" s="136"/>
      <c r="AN353" s="136"/>
      <c r="AO353" s="136"/>
      <c r="AP353" s="323"/>
      <c r="AQ353" s="136"/>
      <c r="AR353" s="136"/>
      <c r="AS353" s="136"/>
      <c r="AT353" s="136"/>
      <c r="AU353" s="323"/>
      <c r="AV353" s="153">
        <f>250</f>
        <v>250</v>
      </c>
      <c r="AW353" s="153">
        <f>AV353</f>
        <v>250</v>
      </c>
      <c r="AX353" s="153">
        <f>250+201</f>
        <v>451</v>
      </c>
      <c r="AY353" s="153">
        <f t="shared" ref="AY353:BE353" si="1045">AX353</f>
        <v>451</v>
      </c>
      <c r="AZ353" s="330">
        <f t="shared" si="1045"/>
        <v>451</v>
      </c>
      <c r="BA353" s="153">
        <f t="shared" si="1045"/>
        <v>451</v>
      </c>
      <c r="BB353" s="153">
        <f t="shared" si="1045"/>
        <v>451</v>
      </c>
      <c r="BC353" s="153">
        <f t="shared" si="1045"/>
        <v>451</v>
      </c>
      <c r="BD353" s="153">
        <f t="shared" si="1045"/>
        <v>451</v>
      </c>
      <c r="BE353" s="330">
        <f t="shared" si="1045"/>
        <v>451</v>
      </c>
      <c r="BF353" s="153">
        <f>BE353</f>
        <v>451</v>
      </c>
      <c r="BG353" s="153">
        <f>BF353</f>
        <v>451</v>
      </c>
      <c r="BH353" s="153">
        <f t="shared" ref="BH353:BN353" si="1046">BG353</f>
        <v>451</v>
      </c>
      <c r="BI353" s="153">
        <f t="shared" si="1046"/>
        <v>451</v>
      </c>
      <c r="BJ353" s="330">
        <f t="shared" si="1046"/>
        <v>451</v>
      </c>
      <c r="BK353" s="153">
        <f t="shared" si="1046"/>
        <v>451</v>
      </c>
      <c r="BL353" s="153">
        <f t="shared" si="1046"/>
        <v>451</v>
      </c>
      <c r="BM353" s="153">
        <f t="shared" si="1046"/>
        <v>451</v>
      </c>
      <c r="BN353" s="153">
        <f t="shared" si="1046"/>
        <v>451</v>
      </c>
      <c r="BO353" s="330">
        <f>BJ353</f>
        <v>451</v>
      </c>
      <c r="BP353" s="153"/>
      <c r="BQ353" s="153"/>
      <c r="BR353" s="153"/>
      <c r="BS353" s="153"/>
      <c r="BT353" s="330">
        <f>BO353</f>
        <v>451</v>
      </c>
      <c r="BU353" s="153"/>
      <c r="BV353" s="153"/>
      <c r="BW353" s="153"/>
      <c r="BX353" s="153"/>
      <c r="BY353" s="330">
        <f>BT353</f>
        <v>451</v>
      </c>
      <c r="BZ353" s="153"/>
      <c r="CA353" s="153"/>
      <c r="CB353" s="153"/>
      <c r="CC353" s="153"/>
      <c r="CD353" s="330">
        <f>BY353</f>
        <v>451</v>
      </c>
      <c r="CE353" s="153"/>
      <c r="CF353" s="153"/>
      <c r="CG353" s="153"/>
      <c r="CH353" s="153"/>
      <c r="CI353" s="330">
        <f>CD353</f>
        <v>451</v>
      </c>
      <c r="CJ353" s="153"/>
      <c r="CK353" s="153"/>
      <c r="CL353" s="153"/>
      <c r="CM353" s="153"/>
      <c r="CN353" s="330">
        <f>CI353</f>
        <v>451</v>
      </c>
      <c r="CO353" s="153"/>
      <c r="CP353" s="153"/>
      <c r="CQ353" s="153"/>
      <c r="CR353" s="153"/>
      <c r="CS353" s="330">
        <f>CN353</f>
        <v>451</v>
      </c>
      <c r="CT353" s="153"/>
      <c r="CU353" s="153"/>
      <c r="CV353" s="153"/>
      <c r="CW353" s="153"/>
      <c r="CX353" s="330">
        <f>CS353</f>
        <v>451</v>
      </c>
      <c r="CY353" s="153"/>
      <c r="CZ353" s="153"/>
      <c r="DA353" s="153"/>
      <c r="DB353" s="153"/>
      <c r="DC353" s="330">
        <f>CX353</f>
        <v>451</v>
      </c>
      <c r="DD353" s="25"/>
      <c r="DE353" s="178"/>
      <c r="DJ353" s="430"/>
      <c r="DK353" s="389"/>
      <c r="DL353" s="389"/>
      <c r="DM353" s="389"/>
      <c r="DN353" s="389"/>
      <c r="DO353" s="389"/>
      <c r="DP353" s="389"/>
      <c r="DQ353" s="389"/>
      <c r="DR353" s="487"/>
      <c r="DS353" s="25"/>
    </row>
    <row r="354" spans="1:123" hidden="1" x14ac:dyDescent="0.2">
      <c r="A354" s="19"/>
      <c r="B354" s="316"/>
      <c r="C354" s="41"/>
      <c r="D354" s="41"/>
      <c r="E354" s="41"/>
      <c r="F354" s="41"/>
      <c r="G354" s="316"/>
      <c r="H354" s="41"/>
      <c r="I354" s="41"/>
      <c r="J354" s="41"/>
      <c r="K354" s="41"/>
      <c r="L354" s="316"/>
      <c r="M354" s="41"/>
      <c r="N354" s="41"/>
      <c r="O354" s="41"/>
      <c r="P354" s="41"/>
      <c r="Q354" s="316"/>
      <c r="R354" s="179"/>
      <c r="S354" s="179"/>
      <c r="T354" s="179"/>
      <c r="U354" s="179"/>
      <c r="V354" s="316"/>
      <c r="W354" s="179"/>
      <c r="X354" s="179"/>
      <c r="Y354" s="179"/>
      <c r="Z354" s="179"/>
      <c r="AA354" s="316"/>
      <c r="AB354" s="179"/>
      <c r="AC354" s="179"/>
      <c r="AD354" s="179"/>
      <c r="AE354" s="179"/>
      <c r="AF354" s="316"/>
      <c r="AG354" s="179"/>
      <c r="AH354" s="179"/>
      <c r="AI354" s="180"/>
      <c r="AJ354" s="179"/>
      <c r="AK354" s="323"/>
      <c r="AL354" s="136"/>
      <c r="AM354" s="136"/>
      <c r="AN354" s="136"/>
      <c r="AO354" s="136"/>
      <c r="AP354" s="323"/>
      <c r="AQ354" s="136"/>
      <c r="AR354" s="136"/>
      <c r="AS354" s="136"/>
      <c r="AT354" s="136"/>
      <c r="AU354" s="323"/>
      <c r="AV354" s="136"/>
      <c r="AW354" s="136"/>
      <c r="AX354" s="136"/>
      <c r="AY354" s="136"/>
      <c r="AZ354" s="323"/>
      <c r="BA354" s="136"/>
      <c r="BB354" s="136"/>
      <c r="BC354" s="136"/>
      <c r="BD354" s="136"/>
      <c r="BE354" s="323"/>
      <c r="BF354" s="136"/>
      <c r="BG354" s="136"/>
      <c r="BH354" s="136"/>
      <c r="BI354" s="136"/>
      <c r="BJ354" s="323"/>
      <c r="BK354" s="136"/>
      <c r="BL354" s="136"/>
      <c r="BM354" s="136"/>
      <c r="BN354" s="136"/>
      <c r="BO354" s="323"/>
      <c r="BP354" s="136"/>
      <c r="BQ354" s="136"/>
      <c r="BR354" s="136"/>
      <c r="BS354" s="136"/>
      <c r="BT354" s="323"/>
      <c r="BU354" s="136"/>
      <c r="BV354" s="136"/>
      <c r="BW354" s="136"/>
      <c r="BX354" s="136"/>
      <c r="BY354" s="323"/>
      <c r="BZ354" s="136"/>
      <c r="CA354" s="136"/>
      <c r="CB354" s="136"/>
      <c r="CC354" s="136"/>
      <c r="CD354" s="323"/>
      <c r="CE354" s="136"/>
      <c r="CF354" s="136"/>
      <c r="CG354" s="136"/>
      <c r="CH354" s="136"/>
      <c r="CI354" s="323"/>
      <c r="CJ354" s="136"/>
      <c r="CK354" s="136"/>
      <c r="CL354" s="136"/>
      <c r="CM354" s="136"/>
      <c r="CN354" s="323"/>
      <c r="CO354" s="136"/>
      <c r="CP354" s="136"/>
      <c r="CQ354" s="136"/>
      <c r="CR354" s="136"/>
      <c r="CS354" s="323"/>
      <c r="CT354" s="136"/>
      <c r="CU354" s="136"/>
      <c r="CV354" s="136"/>
      <c r="CW354" s="136"/>
      <c r="CX354" s="323"/>
      <c r="CY354" s="136"/>
      <c r="CZ354" s="136"/>
      <c r="DA354" s="136"/>
      <c r="DB354" s="136"/>
      <c r="DC354" s="323"/>
      <c r="DD354" s="25"/>
      <c r="DE354" s="178"/>
      <c r="DJ354" s="430"/>
      <c r="DK354" s="389"/>
      <c r="DL354" s="389"/>
      <c r="DM354" s="389"/>
      <c r="DN354" s="389"/>
      <c r="DO354" s="389"/>
      <c r="DP354" s="389"/>
      <c r="DQ354" s="389"/>
      <c r="DR354" s="487"/>
      <c r="DS354" s="25"/>
    </row>
    <row r="355" spans="1:123" hidden="1" x14ac:dyDescent="0.2">
      <c r="A355" s="141" t="s">
        <v>88</v>
      </c>
      <c r="B355" s="316"/>
      <c r="C355" s="41"/>
      <c r="D355" s="41"/>
      <c r="E355" s="41"/>
      <c r="F355" s="41"/>
      <c r="G355" s="316"/>
      <c r="H355" s="41"/>
      <c r="I355" s="41"/>
      <c r="J355" s="41"/>
      <c r="K355" s="41"/>
      <c r="L355" s="316"/>
      <c r="M355" s="41"/>
      <c r="N355" s="41"/>
      <c r="O355" s="41"/>
      <c r="P355" s="41"/>
      <c r="Q355" s="316"/>
      <c r="R355" s="179"/>
      <c r="S355" s="179"/>
      <c r="T355" s="179"/>
      <c r="U355" s="179"/>
      <c r="V355" s="316"/>
      <c r="W355" s="179"/>
      <c r="X355" s="179"/>
      <c r="Y355" s="179"/>
      <c r="Z355" s="179"/>
      <c r="AA355" s="316"/>
      <c r="AB355" s="179"/>
      <c r="AC355" s="179"/>
      <c r="AD355" s="179"/>
      <c r="AE355" s="179"/>
      <c r="AF355" s="316"/>
      <c r="AG355" s="179"/>
      <c r="AH355" s="179"/>
      <c r="AI355" s="180"/>
      <c r="AJ355" s="179"/>
      <c r="AK355" s="323"/>
      <c r="AL355" s="136"/>
      <c r="AM355" s="136"/>
      <c r="AN355" s="136"/>
      <c r="AO355" s="136"/>
      <c r="AP355" s="323"/>
      <c r="AQ355" s="136"/>
      <c r="AR355" s="136"/>
      <c r="AS355" s="136"/>
      <c r="AT355" s="136"/>
      <c r="AU355" s="323"/>
      <c r="AV355" s="132">
        <f t="shared" ref="AV355:BT355" si="1047">AV352-AV351-AV353</f>
        <v>2128.2830000000004</v>
      </c>
      <c r="AW355" s="132">
        <f t="shared" si="1047"/>
        <v>2101.2830000000004</v>
      </c>
      <c r="AX355" s="132">
        <f t="shared" si="1047"/>
        <v>1628.2830000000004</v>
      </c>
      <c r="AY355" s="132">
        <f t="shared" si="1047"/>
        <v>1634.2830000000004</v>
      </c>
      <c r="AZ355" s="300">
        <f t="shared" si="1047"/>
        <v>1634.2830000000004</v>
      </c>
      <c r="BA355" s="132">
        <f t="shared" si="1047"/>
        <v>1460.2830000000001</v>
      </c>
      <c r="BB355" s="132">
        <f t="shared" si="1047"/>
        <v>1436.2830000000001</v>
      </c>
      <c r="BC355" s="132">
        <f t="shared" si="1047"/>
        <v>1380.2830000000001</v>
      </c>
      <c r="BD355" s="132">
        <f t="shared" si="1047"/>
        <v>1421.2830000000001</v>
      </c>
      <c r="BE355" s="300">
        <f t="shared" si="1047"/>
        <v>1421.2830000000004</v>
      </c>
      <c r="BF355" s="132">
        <f t="shared" si="1047"/>
        <v>1326.2830000000004</v>
      </c>
      <c r="BG355" s="132">
        <f t="shared" si="1047"/>
        <v>1261.2830000000004</v>
      </c>
      <c r="BH355" s="132">
        <f t="shared" si="1047"/>
        <v>1303.2830000000004</v>
      </c>
      <c r="BI355" s="132">
        <f t="shared" si="1047"/>
        <v>1354.2830000000004</v>
      </c>
      <c r="BJ355" s="300">
        <f t="shared" si="1047"/>
        <v>1354.2830000000004</v>
      </c>
      <c r="BK355" s="132">
        <f>BK352-BK351-BK353</f>
        <v>1262.2830000000004</v>
      </c>
      <c r="BL355" s="132">
        <f>BL352-BL351-BL353</f>
        <v>1173.2830000000004</v>
      </c>
      <c r="BM355" s="132">
        <f>BM352-BM351-BM353</f>
        <v>1301.2830000000004</v>
      </c>
      <c r="BN355" s="132">
        <f>BN352-BN351-BN353</f>
        <v>1482.2830000000004</v>
      </c>
      <c r="BO355" s="300">
        <f t="shared" si="1047"/>
        <v>1482.2830000000004</v>
      </c>
      <c r="BP355" s="132"/>
      <c r="BQ355" s="132"/>
      <c r="BR355" s="132"/>
      <c r="BS355" s="132"/>
      <c r="BT355" s="300">
        <f t="shared" si="1047"/>
        <v>1336.2830000000004</v>
      </c>
      <c r="BU355" s="132"/>
      <c r="BV355" s="132"/>
      <c r="BW355" s="132"/>
      <c r="BX355" s="132"/>
      <c r="BY355" s="300">
        <f>BY352-BY351-BY353</f>
        <v>953.28300000000036</v>
      </c>
      <c r="BZ355" s="132"/>
      <c r="CA355" s="132"/>
      <c r="CB355" s="132"/>
      <c r="CC355" s="132"/>
      <c r="CD355" s="300">
        <f>CD352-CD351-CD353</f>
        <v>388.28300000000047</v>
      </c>
      <c r="CE355" s="132"/>
      <c r="CF355" s="132"/>
      <c r="CG355" s="132"/>
      <c r="CH355" s="132"/>
      <c r="CI355" s="300">
        <f>CI352-CI351-CI353</f>
        <v>-99.716999999999643</v>
      </c>
      <c r="CJ355" s="132"/>
      <c r="CK355" s="132"/>
      <c r="CL355" s="132"/>
      <c r="CM355" s="132"/>
      <c r="CN355" s="300">
        <f>CN352-CN351-CN353</f>
        <v>-89.166175901255201</v>
      </c>
      <c r="CO355" s="132"/>
      <c r="CP355" s="132"/>
      <c r="CQ355" s="132"/>
      <c r="CR355" s="132"/>
      <c r="CS355" s="300">
        <f>CS352-CS351-CS353</f>
        <v>-9.5169247122139495</v>
      </c>
      <c r="CT355" s="132"/>
      <c r="CU355" s="132"/>
      <c r="CV355" s="132"/>
      <c r="CW355" s="132"/>
      <c r="CX355" s="300">
        <f>CX352-CX351-CX353</f>
        <v>-2.9017724587938574</v>
      </c>
      <c r="CY355" s="132"/>
      <c r="CZ355" s="132"/>
      <c r="DA355" s="132"/>
      <c r="DB355" s="132"/>
      <c r="DC355" s="300">
        <f>DC352-DC351-DC353</f>
        <v>-171.66674157631132</v>
      </c>
      <c r="DD355" s="25"/>
      <c r="DE355" s="178"/>
      <c r="DJ355" s="430"/>
      <c r="DK355" s="389"/>
      <c r="DL355" s="389"/>
      <c r="DM355" s="389"/>
      <c r="DN355" s="389"/>
      <c r="DO355" s="389"/>
      <c r="DP355" s="389"/>
      <c r="DQ355" s="389"/>
      <c r="DR355" s="487"/>
      <c r="DS355" s="25"/>
    </row>
    <row r="356" spans="1:123" hidden="1" x14ac:dyDescent="0.2">
      <c r="A356" s="141" t="s">
        <v>89</v>
      </c>
      <c r="B356" s="316"/>
      <c r="C356" s="41"/>
      <c r="D356" s="41"/>
      <c r="E356" s="41"/>
      <c r="F356" s="41"/>
      <c r="G356" s="316"/>
      <c r="H356" s="41"/>
      <c r="I356" s="41"/>
      <c r="J356" s="41"/>
      <c r="K356" s="41"/>
      <c r="L356" s="316"/>
      <c r="M356" s="41"/>
      <c r="N356" s="41"/>
      <c r="O356" s="41"/>
      <c r="P356" s="41"/>
      <c r="Q356" s="316"/>
      <c r="R356" s="179"/>
      <c r="S356" s="179"/>
      <c r="T356" s="179"/>
      <c r="U356" s="179"/>
      <c r="V356" s="316"/>
      <c r="W356" s="179"/>
      <c r="X356" s="179"/>
      <c r="Y356" s="179"/>
      <c r="Z356" s="179"/>
      <c r="AA356" s="316"/>
      <c r="AB356" s="179"/>
      <c r="AC356" s="179"/>
      <c r="AD356" s="179"/>
      <c r="AE356" s="179"/>
      <c r="AF356" s="316"/>
      <c r="AG356" s="179"/>
      <c r="AH356" s="179"/>
      <c r="AI356" s="180"/>
      <c r="AJ356" s="179"/>
      <c r="AK356" s="323"/>
      <c r="AL356" s="136"/>
      <c r="AM356" s="136"/>
      <c r="AN356" s="136"/>
      <c r="AO356" s="136"/>
      <c r="AP356" s="323"/>
      <c r="AQ356" s="136"/>
      <c r="AR356" s="136"/>
      <c r="AS356" s="136"/>
      <c r="AT356" s="136"/>
      <c r="AU356" s="323"/>
      <c r="AV356" s="132">
        <f t="shared" ref="AV356:BT356" si="1048">AV352-AV350-AV353</f>
        <v>2338.2830000000004</v>
      </c>
      <c r="AW356" s="132">
        <f t="shared" si="1048"/>
        <v>2267.2830000000004</v>
      </c>
      <c r="AX356" s="132">
        <f t="shared" si="1048"/>
        <v>1741.2830000000004</v>
      </c>
      <c r="AY356" s="132">
        <f t="shared" si="1048"/>
        <v>1711.2830000000004</v>
      </c>
      <c r="AZ356" s="300">
        <f t="shared" si="1048"/>
        <v>1711.2830000000004</v>
      </c>
      <c r="BA356" s="132">
        <f t="shared" si="1048"/>
        <v>1531.2830000000001</v>
      </c>
      <c r="BB356" s="132">
        <f t="shared" si="1048"/>
        <v>1506.2830000000001</v>
      </c>
      <c r="BC356" s="132">
        <f t="shared" si="1048"/>
        <v>1449.2830000000001</v>
      </c>
      <c r="BD356" s="132">
        <f t="shared" si="1048"/>
        <v>1489.2830000000001</v>
      </c>
      <c r="BE356" s="300">
        <f t="shared" si="1048"/>
        <v>1489.2830000000004</v>
      </c>
      <c r="BF356" s="132">
        <f t="shared" si="1048"/>
        <v>1392.2830000000004</v>
      </c>
      <c r="BG356" s="132">
        <f t="shared" si="1048"/>
        <v>1326.2830000000004</v>
      </c>
      <c r="BH356" s="132">
        <f t="shared" si="1048"/>
        <v>1367.2830000000004</v>
      </c>
      <c r="BI356" s="132">
        <f t="shared" si="1048"/>
        <v>1421.2830000000004</v>
      </c>
      <c r="BJ356" s="300">
        <f t="shared" si="1048"/>
        <v>1421.2830000000004</v>
      </c>
      <c r="BK356" s="132">
        <f>BK352-BK350-BK353</f>
        <v>1327.2830000000004</v>
      </c>
      <c r="BL356" s="132">
        <f>BL352-BL350-BL353</f>
        <v>1228.2830000000004</v>
      </c>
      <c r="BM356" s="132">
        <f>BM352-BM350-BM353</f>
        <v>1356.2830000000004</v>
      </c>
      <c r="BN356" s="132">
        <f>BN352-BN350-BN353</f>
        <v>1533.2830000000004</v>
      </c>
      <c r="BO356" s="300">
        <f t="shared" si="1048"/>
        <v>1533.2830000000004</v>
      </c>
      <c r="BP356" s="132"/>
      <c r="BQ356" s="132"/>
      <c r="BR356" s="132"/>
      <c r="BS356" s="132"/>
      <c r="BT356" s="300">
        <f t="shared" si="1048"/>
        <v>1393.2830000000004</v>
      </c>
      <c r="BU356" s="132"/>
      <c r="BV356" s="132"/>
      <c r="BW356" s="132"/>
      <c r="BX356" s="132"/>
      <c r="BY356" s="300">
        <f>BY352-BY350-BY353</f>
        <v>1014.2830000000004</v>
      </c>
      <c r="BZ356" s="132"/>
      <c r="CA356" s="132"/>
      <c r="CB356" s="132"/>
      <c r="CC356" s="132"/>
      <c r="CD356" s="300">
        <f>CD352-CD350-CD353</f>
        <v>451.28300000000047</v>
      </c>
      <c r="CE356" s="132"/>
      <c r="CF356" s="132"/>
      <c r="CG356" s="132"/>
      <c r="CH356" s="132"/>
      <c r="CI356" s="300">
        <f>CI352-CI350-CI353</f>
        <v>-37.71699999999953</v>
      </c>
      <c r="CJ356" s="132"/>
      <c r="CK356" s="132"/>
      <c r="CL356" s="132"/>
      <c r="CM356" s="132"/>
      <c r="CN356" s="300">
        <f>CN352-CN350-CN353</f>
        <v>-28.324376191530973</v>
      </c>
      <c r="CO356" s="132"/>
      <c r="CP356" s="132"/>
      <c r="CQ356" s="132"/>
      <c r="CR356" s="132"/>
      <c r="CS356" s="300">
        <f>CS352-CS350-CS353</f>
        <v>56.165675510330857</v>
      </c>
      <c r="CT356" s="132"/>
      <c r="CU356" s="132"/>
      <c r="CV356" s="132"/>
      <c r="CW356" s="132"/>
      <c r="CX356" s="300">
        <f>CX352-CX350-CX353</f>
        <v>67.730011690519632</v>
      </c>
      <c r="CY356" s="132"/>
      <c r="CZ356" s="132"/>
      <c r="DA356" s="132"/>
      <c r="DB356" s="132"/>
      <c r="DC356" s="300">
        <f>DC352-DC350-DC353</f>
        <v>-95.712852491347121</v>
      </c>
      <c r="DD356" s="25"/>
      <c r="DE356" s="178"/>
      <c r="DJ356" s="430"/>
      <c r="DK356" s="389"/>
      <c r="DL356" s="389"/>
      <c r="DM356" s="389"/>
      <c r="DN356" s="389"/>
      <c r="DO356" s="389"/>
      <c r="DP356" s="389"/>
      <c r="DQ356" s="389"/>
      <c r="DR356" s="487"/>
      <c r="DS356" s="25"/>
    </row>
    <row r="357" spans="1:123" hidden="1" x14ac:dyDescent="0.2">
      <c r="A357" s="19"/>
      <c r="B357" s="316"/>
      <c r="C357" s="41"/>
      <c r="D357" s="41"/>
      <c r="E357" s="41"/>
      <c r="F357" s="41"/>
      <c r="G357" s="316"/>
      <c r="H357" s="41"/>
      <c r="I357" s="41"/>
      <c r="J357" s="41"/>
      <c r="K357" s="41"/>
      <c r="L357" s="316"/>
      <c r="M357" s="41"/>
      <c r="N357" s="41"/>
      <c r="O357" s="41"/>
      <c r="P357" s="41"/>
      <c r="Q357" s="316"/>
      <c r="R357" s="179"/>
      <c r="S357" s="179"/>
      <c r="T357" s="179"/>
      <c r="U357" s="179"/>
      <c r="V357" s="316"/>
      <c r="W357" s="179"/>
      <c r="X357" s="179"/>
      <c r="Y357" s="179"/>
      <c r="Z357" s="179"/>
      <c r="AA357" s="316"/>
      <c r="AB357" s="179"/>
      <c r="AC357" s="179"/>
      <c r="AD357" s="179"/>
      <c r="AE357" s="179"/>
      <c r="AF357" s="316"/>
      <c r="AG357" s="179"/>
      <c r="AH357" s="179"/>
      <c r="AI357" s="180"/>
      <c r="AJ357" s="179"/>
      <c r="AK357" s="323"/>
      <c r="AL357" s="136"/>
      <c r="AM357" s="136"/>
      <c r="AN357" s="136"/>
      <c r="AO357" s="136"/>
      <c r="AP357" s="323"/>
      <c r="AQ357" s="136"/>
      <c r="AR357" s="136"/>
      <c r="AS357" s="136"/>
      <c r="AT357" s="136"/>
      <c r="AU357" s="323"/>
      <c r="AV357" s="136"/>
      <c r="AW357" s="136"/>
      <c r="AX357" s="136"/>
      <c r="AY357" s="136"/>
      <c r="AZ357" s="323"/>
      <c r="BA357" s="136"/>
      <c r="BB357" s="136"/>
      <c r="BC357" s="136"/>
      <c r="BD357" s="136"/>
      <c r="BE357" s="323"/>
      <c r="BF357" s="136"/>
      <c r="BG357" s="136"/>
      <c r="BH357" s="136"/>
      <c r="BI357" s="136"/>
      <c r="BJ357" s="323"/>
      <c r="BK357" s="136"/>
      <c r="BL357" s="136"/>
      <c r="BM357" s="136"/>
      <c r="BN357" s="136"/>
      <c r="BO357" s="323"/>
      <c r="BP357" s="136"/>
      <c r="BQ357" s="136"/>
      <c r="BR357" s="136"/>
      <c r="BS357" s="136"/>
      <c r="BT357" s="323"/>
      <c r="BU357" s="136"/>
      <c r="BV357" s="136"/>
      <c r="BW357" s="136"/>
      <c r="BX357" s="136"/>
      <c r="BY357" s="323"/>
      <c r="BZ357" s="136"/>
      <c r="CA357" s="136"/>
      <c r="CB357" s="136"/>
      <c r="CC357" s="136"/>
      <c r="CD357" s="323"/>
      <c r="CE357" s="136"/>
      <c r="CF357" s="136"/>
      <c r="CG357" s="136"/>
      <c r="CH357" s="136"/>
      <c r="CI357" s="323"/>
      <c r="CJ357" s="136"/>
      <c r="CK357" s="136"/>
      <c r="CL357" s="136"/>
      <c r="CM357" s="136"/>
      <c r="CN357" s="323"/>
      <c r="CO357" s="136"/>
      <c r="CP357" s="136"/>
      <c r="CQ357" s="136"/>
      <c r="CR357" s="136"/>
      <c r="CS357" s="323"/>
      <c r="CT357" s="136"/>
      <c r="CU357" s="136"/>
      <c r="CV357" s="136"/>
      <c r="CW357" s="136"/>
      <c r="CX357" s="323"/>
      <c r="CY357" s="136"/>
      <c r="CZ357" s="136"/>
      <c r="DA357" s="136"/>
      <c r="DB357" s="136"/>
      <c r="DC357" s="323"/>
      <c r="DD357" s="25"/>
      <c r="DE357" s="178"/>
      <c r="DJ357" s="430"/>
      <c r="DK357" s="389"/>
      <c r="DL357" s="389"/>
      <c r="DM357" s="389"/>
      <c r="DN357" s="389"/>
      <c r="DO357" s="389"/>
      <c r="DP357" s="389"/>
      <c r="DQ357" s="389"/>
      <c r="DR357" s="487"/>
      <c r="DS357" s="25"/>
    </row>
    <row r="358" spans="1:123" hidden="1" x14ac:dyDescent="0.2">
      <c r="A358" s="141" t="s">
        <v>90</v>
      </c>
      <c r="B358" s="316"/>
      <c r="C358" s="41"/>
      <c r="D358" s="41"/>
      <c r="E358" s="41"/>
      <c r="F358" s="41"/>
      <c r="G358" s="316"/>
      <c r="H358" s="41"/>
      <c r="I358" s="41"/>
      <c r="J358" s="41"/>
      <c r="K358" s="41"/>
      <c r="L358" s="316"/>
      <c r="M358" s="41"/>
      <c r="N358" s="41"/>
      <c r="O358" s="41"/>
      <c r="P358" s="41"/>
      <c r="Q358" s="316"/>
      <c r="R358" s="179"/>
      <c r="S358" s="179"/>
      <c r="T358" s="179"/>
      <c r="U358" s="179"/>
      <c r="V358" s="316"/>
      <c r="W358" s="179"/>
      <c r="X358" s="179"/>
      <c r="Y358" s="179"/>
      <c r="Z358" s="179"/>
      <c r="AA358" s="316"/>
      <c r="AB358" s="179"/>
      <c r="AC358" s="179"/>
      <c r="AD358" s="179"/>
      <c r="AE358" s="179"/>
      <c r="AF358" s="316"/>
      <c r="AG358" s="179"/>
      <c r="AH358" s="179"/>
      <c r="AI358" s="180"/>
      <c r="AJ358" s="179"/>
      <c r="AK358" s="323"/>
      <c r="AL358" s="136"/>
      <c r="AM358" s="136"/>
      <c r="AN358" s="136"/>
      <c r="AO358" s="136"/>
      <c r="AP358" s="323"/>
      <c r="AQ358" s="136"/>
      <c r="AR358" s="136"/>
      <c r="AS358" s="136"/>
      <c r="AT358" s="136"/>
      <c r="AU358" s="323"/>
      <c r="AV358" s="132">
        <f>AV81*4</f>
        <v>128</v>
      </c>
      <c r="AW358" s="132">
        <f>AW81*4</f>
        <v>128</v>
      </c>
      <c r="AX358" s="132">
        <f>AX81*4</f>
        <v>124</v>
      </c>
      <c r="AY358" s="132">
        <f>AY81*4</f>
        <v>124</v>
      </c>
      <c r="AZ358" s="300">
        <f>AZ81</f>
        <v>126</v>
      </c>
      <c r="BA358" s="132">
        <f>BA81*4</f>
        <v>124</v>
      </c>
      <c r="BB358" s="132">
        <f>BB81*4</f>
        <v>124</v>
      </c>
      <c r="BC358" s="132">
        <f>BC81*4</f>
        <v>124</v>
      </c>
      <c r="BD358" s="132">
        <f>BD81*4</f>
        <v>132</v>
      </c>
      <c r="BE358" s="300">
        <f>BE81</f>
        <v>126</v>
      </c>
      <c r="BF358" s="132">
        <f>BF81*4</f>
        <v>136</v>
      </c>
      <c r="BG358" s="132">
        <f>BG81*4</f>
        <v>144</v>
      </c>
      <c r="BH358" s="132">
        <f>BH81*4</f>
        <v>128</v>
      </c>
      <c r="BI358" s="132">
        <f>BI81*4</f>
        <v>132</v>
      </c>
      <c r="BJ358" s="300">
        <f>BJ81</f>
        <v>135</v>
      </c>
      <c r="BK358" s="132">
        <f>BK81*4</f>
        <v>132</v>
      </c>
      <c r="BL358" s="132">
        <f>BL81*4</f>
        <v>132</v>
      </c>
      <c r="BM358" s="132">
        <f>BM81*4</f>
        <v>128</v>
      </c>
      <c r="BN358" s="132">
        <f>BN81*4</f>
        <v>128</v>
      </c>
      <c r="BO358" s="300">
        <f>BO81</f>
        <v>130</v>
      </c>
      <c r="BP358" s="132"/>
      <c r="BQ358" s="132"/>
      <c r="BR358" s="132"/>
      <c r="BS358" s="132"/>
      <c r="BT358" s="300">
        <f>BT81</f>
        <v>128</v>
      </c>
      <c r="BU358" s="132"/>
      <c r="BV358" s="132"/>
      <c r="BW358" s="132"/>
      <c r="BX358" s="132"/>
      <c r="BY358" s="300">
        <f>BY81</f>
        <v>124</v>
      </c>
      <c r="BZ358" s="132"/>
      <c r="CA358" s="132"/>
      <c r="CB358" s="132"/>
      <c r="CC358" s="132"/>
      <c r="CD358" s="300">
        <f>CD81</f>
        <v>122</v>
      </c>
      <c r="CE358" s="132"/>
      <c r="CF358" s="132"/>
      <c r="CG358" s="132"/>
      <c r="CH358" s="132"/>
      <c r="CI358" s="300">
        <f>CI81</f>
        <v>111</v>
      </c>
      <c r="CJ358" s="132"/>
      <c r="CK358" s="132"/>
      <c r="CL358" s="132"/>
      <c r="CM358" s="132"/>
      <c r="CN358" s="300">
        <f>CN81</f>
        <v>101</v>
      </c>
      <c r="CO358" s="132"/>
      <c r="CP358" s="132"/>
      <c r="CQ358" s="132"/>
      <c r="CR358" s="132"/>
      <c r="CS358" s="300">
        <f>CS81</f>
        <v>94.047187169571515</v>
      </c>
      <c r="CT358" s="132"/>
      <c r="CU358" s="132"/>
      <c r="CV358" s="132"/>
      <c r="CW358" s="132"/>
      <c r="CX358" s="300">
        <f>CX81</f>
        <v>89.666773576299988</v>
      </c>
      <c r="CY358" s="132"/>
      <c r="CZ358" s="132"/>
      <c r="DA358" s="132"/>
      <c r="DB358" s="132"/>
      <c r="DC358" s="300">
        <f>DC81</f>
        <v>88.374151573061454</v>
      </c>
      <c r="DD358" s="25"/>
      <c r="DE358" s="178"/>
      <c r="DJ358" s="430"/>
      <c r="DK358" s="389"/>
      <c r="DL358" s="389"/>
      <c r="DM358" s="389"/>
      <c r="DN358" s="389"/>
      <c r="DO358" s="389"/>
      <c r="DP358" s="389"/>
      <c r="DQ358" s="389"/>
      <c r="DR358" s="487"/>
      <c r="DS358" s="25"/>
    </row>
    <row r="359" spans="1:123" hidden="1" x14ac:dyDescent="0.2">
      <c r="A359" s="141" t="s">
        <v>91</v>
      </c>
      <c r="B359" s="316"/>
      <c r="C359" s="41"/>
      <c r="D359" s="41"/>
      <c r="E359" s="41"/>
      <c r="F359" s="41"/>
      <c r="G359" s="316"/>
      <c r="H359" s="41"/>
      <c r="I359" s="41"/>
      <c r="J359" s="41"/>
      <c r="K359" s="41"/>
      <c r="L359" s="316"/>
      <c r="M359" s="41"/>
      <c r="N359" s="41"/>
      <c r="O359" s="41"/>
      <c r="P359" s="41"/>
      <c r="Q359" s="316"/>
      <c r="R359" s="179"/>
      <c r="S359" s="179"/>
      <c r="T359" s="179"/>
      <c r="U359" s="179"/>
      <c r="V359" s="316"/>
      <c r="W359" s="179"/>
      <c r="X359" s="179"/>
      <c r="Y359" s="179"/>
      <c r="Z359" s="179"/>
      <c r="AA359" s="316"/>
      <c r="AB359" s="179"/>
      <c r="AC359" s="179"/>
      <c r="AD359" s="179"/>
      <c r="AE359" s="179"/>
      <c r="AF359" s="316"/>
      <c r="AG359" s="179"/>
      <c r="AH359" s="179"/>
      <c r="AI359" s="180"/>
      <c r="AJ359" s="179"/>
      <c r="AK359" s="323"/>
      <c r="AL359" s="136"/>
      <c r="AM359" s="136"/>
      <c r="AN359" s="136"/>
      <c r="AO359" s="136"/>
      <c r="AP359" s="323"/>
      <c r="AQ359" s="136"/>
      <c r="AR359" s="136"/>
      <c r="AS359" s="136"/>
      <c r="AT359" s="136"/>
      <c r="AU359" s="323"/>
      <c r="AV359" s="132">
        <v>0</v>
      </c>
      <c r="AW359" s="132">
        <v>0</v>
      </c>
      <c r="AX359" s="132">
        <v>0</v>
      </c>
      <c r="AY359" s="132">
        <v>0</v>
      </c>
      <c r="AZ359" s="300">
        <v>0</v>
      </c>
      <c r="BA359" s="132">
        <v>0</v>
      </c>
      <c r="BB359" s="132">
        <v>0</v>
      </c>
      <c r="BC359" s="132">
        <v>0</v>
      </c>
      <c r="BD359" s="132">
        <v>0</v>
      </c>
      <c r="BE359" s="300">
        <v>0</v>
      </c>
      <c r="BF359" s="132">
        <v>0</v>
      </c>
      <c r="BG359" s="132">
        <v>0</v>
      </c>
      <c r="BH359" s="153">
        <v>0</v>
      </c>
      <c r="BI359" s="153">
        <v>0</v>
      </c>
      <c r="BJ359" s="330">
        <v>0</v>
      </c>
      <c r="BK359" s="153">
        <v>0</v>
      </c>
      <c r="BL359" s="153">
        <v>0</v>
      </c>
      <c r="BM359" s="153">
        <v>0</v>
      </c>
      <c r="BN359" s="153">
        <v>0</v>
      </c>
      <c r="BO359" s="330">
        <v>0</v>
      </c>
      <c r="BP359" s="132"/>
      <c r="BQ359" s="132"/>
      <c r="BR359" s="132"/>
      <c r="BS359" s="132"/>
      <c r="BT359" s="330">
        <v>0</v>
      </c>
      <c r="BU359" s="132"/>
      <c r="BV359" s="132"/>
      <c r="BW359" s="132"/>
      <c r="BX359" s="132"/>
      <c r="BY359" s="330">
        <v>0</v>
      </c>
      <c r="BZ359" s="132"/>
      <c r="CA359" s="132"/>
      <c r="CB359" s="132"/>
      <c r="CC359" s="132"/>
      <c r="CD359" s="330">
        <v>0</v>
      </c>
      <c r="CE359" s="132"/>
      <c r="CF359" s="132"/>
      <c r="CG359" s="132"/>
      <c r="CH359" s="132"/>
      <c r="CI359" s="330">
        <v>0</v>
      </c>
      <c r="CJ359" s="132"/>
      <c r="CK359" s="132"/>
      <c r="CL359" s="132"/>
      <c r="CM359" s="132"/>
      <c r="CN359" s="330">
        <v>0</v>
      </c>
      <c r="CO359" s="132"/>
      <c r="CP359" s="132"/>
      <c r="CQ359" s="132"/>
      <c r="CR359" s="132"/>
      <c r="CS359" s="330">
        <v>0</v>
      </c>
      <c r="CT359" s="132"/>
      <c r="CU359" s="132"/>
      <c r="CV359" s="132"/>
      <c r="CW359" s="132"/>
      <c r="CX359" s="330">
        <v>0</v>
      </c>
      <c r="CY359" s="132"/>
      <c r="CZ359" s="132"/>
      <c r="DA359" s="132"/>
      <c r="DB359" s="132"/>
      <c r="DC359" s="330">
        <v>0</v>
      </c>
      <c r="DD359" s="25"/>
      <c r="DE359" s="178"/>
      <c r="DJ359" s="430"/>
      <c r="DK359" s="389"/>
      <c r="DL359" s="389"/>
      <c r="DM359" s="389"/>
      <c r="DN359" s="389"/>
      <c r="DO359" s="389"/>
      <c r="DP359" s="389"/>
      <c r="DQ359" s="389"/>
      <c r="DR359" s="487"/>
      <c r="DS359" s="25"/>
    </row>
    <row r="360" spans="1:123" hidden="1" x14ac:dyDescent="0.2">
      <c r="A360" s="141" t="s">
        <v>92</v>
      </c>
      <c r="B360" s="316"/>
      <c r="C360" s="41"/>
      <c r="D360" s="41"/>
      <c r="E360" s="41"/>
      <c r="F360" s="41"/>
      <c r="G360" s="316"/>
      <c r="H360" s="41"/>
      <c r="I360" s="41"/>
      <c r="J360" s="41"/>
      <c r="K360" s="41"/>
      <c r="L360" s="316"/>
      <c r="M360" s="41"/>
      <c r="N360" s="41"/>
      <c r="O360" s="41"/>
      <c r="P360" s="41"/>
      <c r="Q360" s="316"/>
      <c r="R360" s="179"/>
      <c r="S360" s="179"/>
      <c r="T360" s="179"/>
      <c r="U360" s="179"/>
      <c r="V360" s="316"/>
      <c r="W360" s="179"/>
      <c r="X360" s="179"/>
      <c r="Y360" s="179"/>
      <c r="Z360" s="179"/>
      <c r="AA360" s="316"/>
      <c r="AB360" s="179"/>
      <c r="AC360" s="179"/>
      <c r="AD360" s="179"/>
      <c r="AE360" s="179"/>
      <c r="AF360" s="316"/>
      <c r="AG360" s="179"/>
      <c r="AH360" s="179"/>
      <c r="AI360" s="180"/>
      <c r="AJ360" s="179"/>
      <c r="AK360" s="323"/>
      <c r="AL360" s="136"/>
      <c r="AM360" s="136"/>
      <c r="AN360" s="136"/>
      <c r="AO360" s="136"/>
      <c r="AP360" s="323"/>
      <c r="AQ360" s="136"/>
      <c r="AR360" s="136"/>
      <c r="AS360" s="136"/>
      <c r="AT360" s="136"/>
      <c r="AU360" s="323"/>
      <c r="AV360" s="132">
        <f t="shared" ref="AV360:BJ360" si="1049">AV359+AV358</f>
        <v>128</v>
      </c>
      <c r="AW360" s="132">
        <f t="shared" si="1049"/>
        <v>128</v>
      </c>
      <c r="AX360" s="132">
        <f t="shared" si="1049"/>
        <v>124</v>
      </c>
      <c r="AY360" s="132">
        <f t="shared" si="1049"/>
        <v>124</v>
      </c>
      <c r="AZ360" s="300">
        <f t="shared" si="1049"/>
        <v>126</v>
      </c>
      <c r="BA360" s="132">
        <f t="shared" si="1049"/>
        <v>124</v>
      </c>
      <c r="BB360" s="132">
        <f t="shared" si="1049"/>
        <v>124</v>
      </c>
      <c r="BC360" s="132">
        <f t="shared" si="1049"/>
        <v>124</v>
      </c>
      <c r="BD360" s="132">
        <f t="shared" si="1049"/>
        <v>132</v>
      </c>
      <c r="BE360" s="300">
        <f t="shared" si="1049"/>
        <v>126</v>
      </c>
      <c r="BF360" s="132">
        <f t="shared" si="1049"/>
        <v>136</v>
      </c>
      <c r="BG360" s="132">
        <f t="shared" si="1049"/>
        <v>144</v>
      </c>
      <c r="BH360" s="132">
        <f t="shared" si="1049"/>
        <v>128</v>
      </c>
      <c r="BI360" s="132">
        <f t="shared" si="1049"/>
        <v>132</v>
      </c>
      <c r="BJ360" s="300">
        <f t="shared" si="1049"/>
        <v>135</v>
      </c>
      <c r="BK360" s="132">
        <f>BK359+BK358</f>
        <v>132</v>
      </c>
      <c r="BL360" s="132">
        <f>BL359+BL358</f>
        <v>132</v>
      </c>
      <c r="BM360" s="132">
        <f>BM359+BM358</f>
        <v>128</v>
      </c>
      <c r="BN360" s="132">
        <f>BN359+BN358</f>
        <v>128</v>
      </c>
      <c r="BO360" s="300">
        <f>BO359+BO358</f>
        <v>130</v>
      </c>
      <c r="BP360" s="132"/>
      <c r="BQ360" s="132"/>
      <c r="BR360" s="132"/>
      <c r="BS360" s="132"/>
      <c r="BT360" s="300">
        <f>BT359+BT358</f>
        <v>128</v>
      </c>
      <c r="BU360" s="132"/>
      <c r="BV360" s="132"/>
      <c r="BW360" s="132"/>
      <c r="BX360" s="132"/>
      <c r="BY360" s="300">
        <f>BY359+BY358</f>
        <v>124</v>
      </c>
      <c r="BZ360" s="132"/>
      <c r="CA360" s="132"/>
      <c r="CB360" s="132"/>
      <c r="CC360" s="132"/>
      <c r="CD360" s="300">
        <f>CD359+CD358</f>
        <v>122</v>
      </c>
      <c r="CE360" s="132"/>
      <c r="CF360" s="132"/>
      <c r="CG360" s="132"/>
      <c r="CH360" s="132"/>
      <c r="CI360" s="300">
        <f>CI359+CI358</f>
        <v>111</v>
      </c>
      <c r="CJ360" s="132"/>
      <c r="CK360" s="132"/>
      <c r="CL360" s="132"/>
      <c r="CM360" s="132"/>
      <c r="CN360" s="300">
        <f>CN359+CN358</f>
        <v>101</v>
      </c>
      <c r="CO360" s="132"/>
      <c r="CP360" s="132"/>
      <c r="CQ360" s="132"/>
      <c r="CR360" s="132"/>
      <c r="CS360" s="300">
        <f>CS359+CS358</f>
        <v>94.047187169571515</v>
      </c>
      <c r="CT360" s="132"/>
      <c r="CU360" s="132"/>
      <c r="CV360" s="132"/>
      <c r="CW360" s="132"/>
      <c r="CX360" s="300">
        <f>CX359+CX358</f>
        <v>89.666773576299988</v>
      </c>
      <c r="CY360" s="132"/>
      <c r="CZ360" s="132"/>
      <c r="DA360" s="132"/>
      <c r="DB360" s="132"/>
      <c r="DC360" s="300">
        <f>DC359+DC358</f>
        <v>88.374151573061454</v>
      </c>
      <c r="DD360" s="25"/>
      <c r="DE360" s="178"/>
      <c r="DJ360" s="430"/>
      <c r="DK360" s="389"/>
      <c r="DL360" s="389"/>
      <c r="DM360" s="389"/>
      <c r="DN360" s="389"/>
      <c r="DO360" s="389"/>
      <c r="DP360" s="389"/>
      <c r="DQ360" s="389"/>
      <c r="DR360" s="487"/>
      <c r="DS360" s="25"/>
    </row>
    <row r="361" spans="1:123" hidden="1" x14ac:dyDescent="0.2">
      <c r="A361" s="141"/>
      <c r="B361" s="316"/>
      <c r="C361" s="41"/>
      <c r="D361" s="41"/>
      <c r="E361" s="41"/>
      <c r="F361" s="41"/>
      <c r="G361" s="316"/>
      <c r="H361" s="41"/>
      <c r="I361" s="41"/>
      <c r="J361" s="41"/>
      <c r="K361" s="41"/>
      <c r="L361" s="316"/>
      <c r="M361" s="41"/>
      <c r="N361" s="41"/>
      <c r="O361" s="41"/>
      <c r="P361" s="41"/>
      <c r="Q361" s="316"/>
      <c r="R361" s="179"/>
      <c r="S361" s="179"/>
      <c r="T361" s="179"/>
      <c r="U361" s="179"/>
      <c r="V361" s="316"/>
      <c r="W361" s="179"/>
      <c r="X361" s="179"/>
      <c r="Y361" s="179"/>
      <c r="Z361" s="179"/>
      <c r="AA361" s="316"/>
      <c r="AB361" s="179"/>
      <c r="AC361" s="179"/>
      <c r="AD361" s="179"/>
      <c r="AE361" s="179"/>
      <c r="AF361" s="316"/>
      <c r="AG361" s="179"/>
      <c r="AH361" s="179"/>
      <c r="AI361" s="180"/>
      <c r="AJ361" s="179"/>
      <c r="AK361" s="323"/>
      <c r="AL361" s="136"/>
      <c r="AM361" s="136"/>
      <c r="AN361" s="136"/>
      <c r="AO361" s="136"/>
      <c r="AP361" s="323"/>
      <c r="AQ361" s="136"/>
      <c r="AR361" s="136"/>
      <c r="AS361" s="136"/>
      <c r="AT361" s="136"/>
      <c r="AU361" s="323"/>
      <c r="AV361" s="132"/>
      <c r="AW361" s="132"/>
      <c r="AX361" s="132"/>
      <c r="AY361" s="132"/>
      <c r="AZ361" s="300"/>
      <c r="BA361" s="132"/>
      <c r="BB361" s="132"/>
      <c r="BC361" s="132"/>
      <c r="BD361" s="132"/>
      <c r="BE361" s="300"/>
      <c r="BF361" s="132"/>
      <c r="BG361" s="132"/>
      <c r="BH361" s="132"/>
      <c r="BI361" s="132"/>
      <c r="BJ361" s="300"/>
      <c r="BK361" s="132"/>
      <c r="BL361" s="132"/>
      <c r="BM361" s="132"/>
      <c r="BN361" s="132"/>
      <c r="BO361" s="300"/>
      <c r="BP361" s="132"/>
      <c r="BQ361" s="132"/>
      <c r="BR361" s="132"/>
      <c r="BS361" s="132"/>
      <c r="BT361" s="300"/>
      <c r="BU361" s="132"/>
      <c r="BV361" s="132"/>
      <c r="BW361" s="132"/>
      <c r="BX361" s="132"/>
      <c r="BY361" s="300"/>
      <c r="BZ361" s="132"/>
      <c r="CA361" s="132"/>
      <c r="CB361" s="132"/>
      <c r="CC361" s="132"/>
      <c r="CD361" s="300"/>
      <c r="CE361" s="132"/>
      <c r="CF361" s="132"/>
      <c r="CG361" s="132"/>
      <c r="CH361" s="132"/>
      <c r="CI361" s="300"/>
      <c r="CJ361" s="132"/>
      <c r="CK361" s="132"/>
      <c r="CL361" s="132"/>
      <c r="CM361" s="132"/>
      <c r="CN361" s="300"/>
      <c r="CO361" s="132"/>
      <c r="CP361" s="132"/>
      <c r="CQ361" s="132"/>
      <c r="CR361" s="132"/>
      <c r="CS361" s="300"/>
      <c r="CT361" s="132"/>
      <c r="CU361" s="132"/>
      <c r="CV361" s="132"/>
      <c r="CW361" s="132"/>
      <c r="CX361" s="300"/>
      <c r="CY361" s="132"/>
      <c r="CZ361" s="132"/>
      <c r="DA361" s="132"/>
      <c r="DB361" s="132"/>
      <c r="DC361" s="300"/>
      <c r="DD361" s="25"/>
      <c r="DE361" s="178"/>
      <c r="DJ361" s="430"/>
      <c r="DK361" s="389"/>
      <c r="DL361" s="389"/>
      <c r="DM361" s="389"/>
      <c r="DN361" s="389"/>
      <c r="DO361" s="389"/>
      <c r="DP361" s="389"/>
      <c r="DQ361" s="389"/>
      <c r="DR361" s="487"/>
      <c r="DS361" s="25"/>
    </row>
    <row r="362" spans="1:123" hidden="1" x14ac:dyDescent="0.2">
      <c r="A362" s="141" t="s">
        <v>93</v>
      </c>
      <c r="B362" s="316"/>
      <c r="C362" s="41"/>
      <c r="D362" s="41"/>
      <c r="E362" s="41"/>
      <c r="F362" s="41"/>
      <c r="G362" s="316"/>
      <c r="H362" s="41"/>
      <c r="I362" s="41"/>
      <c r="J362" s="41"/>
      <c r="K362" s="41"/>
      <c r="L362" s="316"/>
      <c r="M362" s="41"/>
      <c r="N362" s="41"/>
      <c r="O362" s="41"/>
      <c r="P362" s="41"/>
      <c r="Q362" s="316"/>
      <c r="R362" s="179"/>
      <c r="S362" s="179"/>
      <c r="T362" s="179"/>
      <c r="U362" s="179"/>
      <c r="V362" s="316"/>
      <c r="W362" s="179"/>
      <c r="X362" s="179"/>
      <c r="Y362" s="179"/>
      <c r="Z362" s="179"/>
      <c r="AA362" s="316"/>
      <c r="AB362" s="179"/>
      <c r="AC362" s="179"/>
      <c r="AD362" s="179"/>
      <c r="AE362" s="179"/>
      <c r="AF362" s="316"/>
      <c r="AG362" s="179"/>
      <c r="AH362" s="179"/>
      <c r="AI362" s="180"/>
      <c r="AJ362" s="179"/>
      <c r="AK362" s="323"/>
      <c r="AL362" s="136"/>
      <c r="AM362" s="136"/>
      <c r="AN362" s="136"/>
      <c r="AO362" s="136"/>
      <c r="AP362" s="323"/>
      <c r="AQ362" s="136"/>
      <c r="AR362" s="136"/>
      <c r="AS362" s="136"/>
      <c r="AT362" s="136"/>
      <c r="AU362" s="323"/>
      <c r="AV362" s="132">
        <f t="shared" ref="AV362:BT362" si="1050">AV355+AV358*7</f>
        <v>3024.2830000000004</v>
      </c>
      <c r="AW362" s="132">
        <f t="shared" si="1050"/>
        <v>2997.2830000000004</v>
      </c>
      <c r="AX362" s="132">
        <f t="shared" si="1050"/>
        <v>2496.2830000000004</v>
      </c>
      <c r="AY362" s="132">
        <f t="shared" si="1050"/>
        <v>2502.2830000000004</v>
      </c>
      <c r="AZ362" s="300">
        <f t="shared" si="1050"/>
        <v>2516.2830000000004</v>
      </c>
      <c r="BA362" s="132">
        <f t="shared" si="1050"/>
        <v>2328.2830000000004</v>
      </c>
      <c r="BB362" s="132">
        <f t="shared" si="1050"/>
        <v>2304.2830000000004</v>
      </c>
      <c r="BC362" s="132">
        <f t="shared" si="1050"/>
        <v>2248.2830000000004</v>
      </c>
      <c r="BD362" s="132">
        <f t="shared" si="1050"/>
        <v>2345.2830000000004</v>
      </c>
      <c r="BE362" s="300">
        <f t="shared" si="1050"/>
        <v>2303.2830000000004</v>
      </c>
      <c r="BF362" s="132">
        <f t="shared" si="1050"/>
        <v>2278.2830000000004</v>
      </c>
      <c r="BG362" s="132">
        <f t="shared" si="1050"/>
        <v>2269.2830000000004</v>
      </c>
      <c r="BH362" s="132">
        <f t="shared" si="1050"/>
        <v>2199.2830000000004</v>
      </c>
      <c r="BI362" s="132">
        <f t="shared" si="1050"/>
        <v>2278.2830000000004</v>
      </c>
      <c r="BJ362" s="300">
        <f t="shared" si="1050"/>
        <v>2299.2830000000004</v>
      </c>
      <c r="BK362" s="132">
        <f>BK355+BK358*7</f>
        <v>2186.2830000000004</v>
      </c>
      <c r="BL362" s="132">
        <f>BL355+BL358*7</f>
        <v>2097.2830000000004</v>
      </c>
      <c r="BM362" s="132">
        <f>BM355+BM358*7</f>
        <v>2197.2830000000004</v>
      </c>
      <c r="BN362" s="132">
        <f>BN355+BN358*7</f>
        <v>2378.2830000000004</v>
      </c>
      <c r="BO362" s="300">
        <f t="shared" si="1050"/>
        <v>2392.2830000000004</v>
      </c>
      <c r="BP362" s="132"/>
      <c r="BQ362" s="132"/>
      <c r="BR362" s="132"/>
      <c r="BS362" s="132"/>
      <c r="BT362" s="300">
        <f t="shared" si="1050"/>
        <v>2232.2830000000004</v>
      </c>
      <c r="BU362" s="132"/>
      <c r="BV362" s="132"/>
      <c r="BW362" s="132"/>
      <c r="BX362" s="132"/>
      <c r="BY362" s="300">
        <f>BY355+BY358*7</f>
        <v>1821.2830000000004</v>
      </c>
      <c r="BZ362" s="132"/>
      <c r="CA362" s="132"/>
      <c r="CB362" s="132"/>
      <c r="CC362" s="132"/>
      <c r="CD362" s="300">
        <f>CD355+CD358*7</f>
        <v>1242.2830000000004</v>
      </c>
      <c r="CE362" s="132"/>
      <c r="CF362" s="132"/>
      <c r="CG362" s="132"/>
      <c r="CH362" s="132"/>
      <c r="CI362" s="300">
        <f>CI355+CI358*7</f>
        <v>677.28300000000036</v>
      </c>
      <c r="CJ362" s="132"/>
      <c r="CK362" s="132"/>
      <c r="CL362" s="132"/>
      <c r="CM362" s="132"/>
      <c r="CN362" s="300">
        <f>CN355+CN358*7</f>
        <v>617.8338240987448</v>
      </c>
      <c r="CO362" s="132"/>
      <c r="CP362" s="132"/>
      <c r="CQ362" s="132"/>
      <c r="CR362" s="132"/>
      <c r="CS362" s="300">
        <f>CS355+CS358*7</f>
        <v>648.81338547478663</v>
      </c>
      <c r="CT362" s="132"/>
      <c r="CU362" s="132"/>
      <c r="CV362" s="132"/>
      <c r="CW362" s="132"/>
      <c r="CX362" s="300">
        <f>CX355+CX358*7</f>
        <v>624.76564257530606</v>
      </c>
      <c r="CY362" s="132"/>
      <c r="CZ362" s="132"/>
      <c r="DA362" s="132"/>
      <c r="DB362" s="132"/>
      <c r="DC362" s="300">
        <f>DC355+DC358*7</f>
        <v>446.95231943511885</v>
      </c>
      <c r="DD362" s="25"/>
      <c r="DE362" s="178"/>
      <c r="DJ362" s="430"/>
      <c r="DK362" s="389"/>
      <c r="DL362" s="389"/>
      <c r="DM362" s="389"/>
      <c r="DN362" s="389"/>
      <c r="DO362" s="389"/>
      <c r="DP362" s="389"/>
      <c r="DQ362" s="389"/>
      <c r="DR362" s="487"/>
      <c r="DS362" s="25"/>
    </row>
    <row r="363" spans="1:123" hidden="1" x14ac:dyDescent="0.2">
      <c r="A363" s="141" t="s">
        <v>94</v>
      </c>
      <c r="B363" s="316"/>
      <c r="C363" s="41"/>
      <c r="D363" s="41"/>
      <c r="E363" s="41"/>
      <c r="F363" s="41"/>
      <c r="G363" s="316"/>
      <c r="H363" s="41"/>
      <c r="I363" s="41"/>
      <c r="J363" s="41"/>
      <c r="K363" s="41"/>
      <c r="L363" s="316"/>
      <c r="M363" s="41"/>
      <c r="N363" s="41"/>
      <c r="O363" s="41"/>
      <c r="P363" s="41"/>
      <c r="Q363" s="316"/>
      <c r="R363" s="179"/>
      <c r="S363" s="179"/>
      <c r="T363" s="179"/>
      <c r="U363" s="179"/>
      <c r="V363" s="316"/>
      <c r="W363" s="179"/>
      <c r="X363" s="179"/>
      <c r="Y363" s="179"/>
      <c r="Z363" s="179"/>
      <c r="AA363" s="316"/>
      <c r="AB363" s="179"/>
      <c r="AC363" s="179"/>
      <c r="AD363" s="179"/>
      <c r="AE363" s="179"/>
      <c r="AF363" s="316"/>
      <c r="AG363" s="179"/>
      <c r="AH363" s="179"/>
      <c r="AI363" s="180"/>
      <c r="AJ363" s="179"/>
      <c r="AK363" s="323"/>
      <c r="AL363" s="136"/>
      <c r="AM363" s="136"/>
      <c r="AN363" s="136"/>
      <c r="AO363" s="136"/>
      <c r="AP363" s="323"/>
      <c r="AQ363" s="136"/>
      <c r="AR363" s="136"/>
      <c r="AS363" s="136"/>
      <c r="AT363" s="136"/>
      <c r="AU363" s="323"/>
      <c r="AV363" s="132">
        <f t="shared" ref="AV363:BT363" si="1051">AV356+AV358*7</f>
        <v>3234.2830000000004</v>
      </c>
      <c r="AW363" s="132">
        <f t="shared" si="1051"/>
        <v>3163.2830000000004</v>
      </c>
      <c r="AX363" s="132">
        <f t="shared" si="1051"/>
        <v>2609.2830000000004</v>
      </c>
      <c r="AY363" s="132">
        <f t="shared" si="1051"/>
        <v>2579.2830000000004</v>
      </c>
      <c r="AZ363" s="300">
        <f t="shared" si="1051"/>
        <v>2593.2830000000004</v>
      </c>
      <c r="BA363" s="132">
        <f t="shared" si="1051"/>
        <v>2399.2830000000004</v>
      </c>
      <c r="BB363" s="132">
        <f t="shared" si="1051"/>
        <v>2374.2830000000004</v>
      </c>
      <c r="BC363" s="132">
        <f t="shared" si="1051"/>
        <v>2317.2830000000004</v>
      </c>
      <c r="BD363" s="132">
        <f t="shared" si="1051"/>
        <v>2413.2830000000004</v>
      </c>
      <c r="BE363" s="300">
        <f t="shared" si="1051"/>
        <v>2371.2830000000004</v>
      </c>
      <c r="BF363" s="132">
        <f t="shared" si="1051"/>
        <v>2344.2830000000004</v>
      </c>
      <c r="BG363" s="132">
        <f t="shared" si="1051"/>
        <v>2334.2830000000004</v>
      </c>
      <c r="BH363" s="132">
        <f t="shared" si="1051"/>
        <v>2263.2830000000004</v>
      </c>
      <c r="BI363" s="132">
        <f t="shared" si="1051"/>
        <v>2345.2830000000004</v>
      </c>
      <c r="BJ363" s="300">
        <f t="shared" si="1051"/>
        <v>2366.2830000000004</v>
      </c>
      <c r="BK363" s="132">
        <f>BK356+BK358*7</f>
        <v>2251.2830000000004</v>
      </c>
      <c r="BL363" s="132">
        <f>BL356+BL358*7</f>
        <v>2152.2830000000004</v>
      </c>
      <c r="BM363" s="132">
        <f>BM356+BM358*7</f>
        <v>2252.2830000000004</v>
      </c>
      <c r="BN363" s="132">
        <f>BN356+BN358*7</f>
        <v>2429.2830000000004</v>
      </c>
      <c r="BO363" s="300">
        <f t="shared" si="1051"/>
        <v>2443.2830000000004</v>
      </c>
      <c r="BP363" s="132"/>
      <c r="BQ363" s="132"/>
      <c r="BR363" s="132"/>
      <c r="BS363" s="132"/>
      <c r="BT363" s="300">
        <f t="shared" si="1051"/>
        <v>2289.2830000000004</v>
      </c>
      <c r="BU363" s="132"/>
      <c r="BV363" s="132"/>
      <c r="BW363" s="132"/>
      <c r="BX363" s="132"/>
      <c r="BY363" s="300">
        <f>BY356+BY358*7</f>
        <v>1882.2830000000004</v>
      </c>
      <c r="BZ363" s="132"/>
      <c r="CA363" s="132"/>
      <c r="CB363" s="132"/>
      <c r="CC363" s="132"/>
      <c r="CD363" s="300">
        <f>CD356+CD358*7</f>
        <v>1305.2830000000004</v>
      </c>
      <c r="CE363" s="132"/>
      <c r="CF363" s="132"/>
      <c r="CG363" s="132"/>
      <c r="CH363" s="132"/>
      <c r="CI363" s="300">
        <f>CI356+CI358*7</f>
        <v>739.28300000000047</v>
      </c>
      <c r="CJ363" s="132"/>
      <c r="CK363" s="132"/>
      <c r="CL363" s="132"/>
      <c r="CM363" s="132"/>
      <c r="CN363" s="300">
        <f>CN356+CN358*7</f>
        <v>678.67562380846903</v>
      </c>
      <c r="CO363" s="132"/>
      <c r="CP363" s="132"/>
      <c r="CQ363" s="132"/>
      <c r="CR363" s="132"/>
      <c r="CS363" s="300">
        <f>CS356+CS358*7</f>
        <v>714.49598569733143</v>
      </c>
      <c r="CT363" s="132"/>
      <c r="CU363" s="132"/>
      <c r="CV363" s="132"/>
      <c r="CW363" s="132"/>
      <c r="CX363" s="300">
        <f>CX356+CX358*7</f>
        <v>695.39742672461955</v>
      </c>
      <c r="CY363" s="132"/>
      <c r="CZ363" s="132"/>
      <c r="DA363" s="132"/>
      <c r="DB363" s="132"/>
      <c r="DC363" s="300">
        <f>DC356+DC358*7</f>
        <v>522.90620852008306</v>
      </c>
      <c r="DD363" s="25"/>
      <c r="DE363" s="178"/>
      <c r="DJ363" s="430"/>
      <c r="DK363" s="389"/>
      <c r="DL363" s="389"/>
      <c r="DM363" s="389"/>
      <c r="DN363" s="389"/>
      <c r="DO363" s="389"/>
      <c r="DP363" s="389"/>
      <c r="DQ363" s="389"/>
      <c r="DR363" s="487"/>
      <c r="DS363" s="25"/>
    </row>
    <row r="364" spans="1:123" hidden="1" x14ac:dyDescent="0.2">
      <c r="A364" s="141"/>
      <c r="B364" s="316"/>
      <c r="C364" s="41"/>
      <c r="D364" s="41"/>
      <c r="E364" s="41"/>
      <c r="F364" s="41"/>
      <c r="G364" s="316"/>
      <c r="H364" s="41"/>
      <c r="I364" s="41"/>
      <c r="J364" s="41"/>
      <c r="K364" s="41"/>
      <c r="L364" s="316"/>
      <c r="M364" s="41"/>
      <c r="N364" s="41"/>
      <c r="O364" s="41"/>
      <c r="P364" s="41"/>
      <c r="Q364" s="316"/>
      <c r="R364" s="179"/>
      <c r="S364" s="179"/>
      <c r="T364" s="179"/>
      <c r="U364" s="179"/>
      <c r="V364" s="316"/>
      <c r="W364" s="179"/>
      <c r="X364" s="179"/>
      <c r="Y364" s="179"/>
      <c r="Z364" s="179"/>
      <c r="AA364" s="316"/>
      <c r="AB364" s="179"/>
      <c r="AC364" s="179"/>
      <c r="AD364" s="179"/>
      <c r="AE364" s="179"/>
      <c r="AF364" s="316"/>
      <c r="AG364" s="179"/>
      <c r="AH364" s="179"/>
      <c r="AI364" s="180"/>
      <c r="AJ364" s="179"/>
      <c r="AK364" s="323"/>
      <c r="AL364" s="136"/>
      <c r="AM364" s="136"/>
      <c r="AN364" s="136"/>
      <c r="AO364" s="136"/>
      <c r="AP364" s="323"/>
      <c r="AQ364" s="136"/>
      <c r="AR364" s="136"/>
      <c r="AS364" s="136"/>
      <c r="AT364" s="136"/>
      <c r="AU364" s="323"/>
      <c r="AV364" s="132"/>
      <c r="AW364" s="132"/>
      <c r="AX364" s="132"/>
      <c r="AY364" s="132"/>
      <c r="AZ364" s="300"/>
      <c r="BA364" s="132"/>
      <c r="BB364" s="132"/>
      <c r="BC364" s="132"/>
      <c r="BD364" s="132"/>
      <c r="BE364" s="300"/>
      <c r="BF364" s="132"/>
      <c r="BG364" s="132"/>
      <c r="BH364" s="132"/>
      <c r="BI364" s="132"/>
      <c r="BJ364" s="300"/>
      <c r="BK364" s="132"/>
      <c r="BL364" s="132"/>
      <c r="BM364" s="132"/>
      <c r="BN364" s="132"/>
      <c r="BO364" s="300"/>
      <c r="BP364" s="132"/>
      <c r="BQ364" s="132"/>
      <c r="BR364" s="132"/>
      <c r="BS364" s="132"/>
      <c r="BT364" s="300"/>
      <c r="BU364" s="132"/>
      <c r="BV364" s="132"/>
      <c r="BW364" s="132"/>
      <c r="BX364" s="132"/>
      <c r="BY364" s="300"/>
      <c r="BZ364" s="132"/>
      <c r="CA364" s="132"/>
      <c r="CB364" s="132"/>
      <c r="CC364" s="132"/>
      <c r="CD364" s="300"/>
      <c r="CE364" s="132"/>
      <c r="CF364" s="132"/>
      <c r="CG364" s="132"/>
      <c r="CH364" s="132"/>
      <c r="CI364" s="300"/>
      <c r="CJ364" s="132"/>
      <c r="CK364" s="132"/>
      <c r="CL364" s="132"/>
      <c r="CM364" s="132"/>
      <c r="CN364" s="300"/>
      <c r="CO364" s="132"/>
      <c r="CP364" s="132"/>
      <c r="CQ364" s="132"/>
      <c r="CR364" s="132"/>
      <c r="CS364" s="300"/>
      <c r="CT364" s="132"/>
      <c r="CU364" s="132"/>
      <c r="CV364" s="132"/>
      <c r="CW364" s="132"/>
      <c r="CX364" s="300"/>
      <c r="CY364" s="132"/>
      <c r="CZ364" s="132"/>
      <c r="DA364" s="132"/>
      <c r="DB364" s="132"/>
      <c r="DC364" s="300"/>
      <c r="DD364" s="25"/>
      <c r="DE364" s="178"/>
      <c r="DJ364" s="430"/>
      <c r="DK364" s="389"/>
      <c r="DL364" s="389"/>
      <c r="DM364" s="389"/>
      <c r="DN364" s="389"/>
      <c r="DO364" s="389"/>
      <c r="DP364" s="389"/>
      <c r="DQ364" s="389"/>
      <c r="DR364" s="487"/>
      <c r="DS364" s="25"/>
    </row>
    <row r="365" spans="1:123" hidden="1" x14ac:dyDescent="0.2">
      <c r="A365" s="141" t="s">
        <v>95</v>
      </c>
      <c r="B365" s="316"/>
      <c r="C365" s="41"/>
      <c r="D365" s="41"/>
      <c r="E365" s="41"/>
      <c r="F365" s="41"/>
      <c r="G365" s="316"/>
      <c r="H365" s="41"/>
      <c r="I365" s="41"/>
      <c r="J365" s="41"/>
      <c r="K365" s="41"/>
      <c r="L365" s="316"/>
      <c r="M365" s="41"/>
      <c r="N365" s="41"/>
      <c r="O365" s="41"/>
      <c r="P365" s="41"/>
      <c r="Q365" s="316"/>
      <c r="R365" s="179"/>
      <c r="S365" s="179"/>
      <c r="T365" s="179"/>
      <c r="U365" s="179"/>
      <c r="V365" s="316"/>
      <c r="W365" s="179"/>
      <c r="X365" s="179"/>
      <c r="Y365" s="179"/>
      <c r="Z365" s="179"/>
      <c r="AA365" s="316"/>
      <c r="AB365" s="179"/>
      <c r="AC365" s="179"/>
      <c r="AD365" s="179"/>
      <c r="AE365" s="179"/>
      <c r="AF365" s="316"/>
      <c r="AG365" s="179"/>
      <c r="AH365" s="179"/>
      <c r="AI365" s="180"/>
      <c r="AJ365" s="179"/>
      <c r="AK365" s="323"/>
      <c r="AL365" s="136"/>
      <c r="AM365" s="136"/>
      <c r="AN365" s="136"/>
      <c r="AO365" s="136"/>
      <c r="AP365" s="323"/>
      <c r="AQ365" s="136"/>
      <c r="AR365" s="136"/>
      <c r="AS365" s="136"/>
      <c r="AT365" s="136"/>
      <c r="AU365" s="323"/>
      <c r="AV365" s="132">
        <f t="shared" ref="AV365:BT365" si="1052">AV355+AV360*7</f>
        <v>3024.2830000000004</v>
      </c>
      <c r="AW365" s="132">
        <f t="shared" si="1052"/>
        <v>2997.2830000000004</v>
      </c>
      <c r="AX365" s="132">
        <f t="shared" si="1052"/>
        <v>2496.2830000000004</v>
      </c>
      <c r="AY365" s="132">
        <f t="shared" si="1052"/>
        <v>2502.2830000000004</v>
      </c>
      <c r="AZ365" s="300">
        <f t="shared" si="1052"/>
        <v>2516.2830000000004</v>
      </c>
      <c r="BA365" s="132">
        <f t="shared" si="1052"/>
        <v>2328.2830000000004</v>
      </c>
      <c r="BB365" s="132">
        <f t="shared" si="1052"/>
        <v>2304.2830000000004</v>
      </c>
      <c r="BC365" s="132">
        <f t="shared" si="1052"/>
        <v>2248.2830000000004</v>
      </c>
      <c r="BD365" s="132">
        <f t="shared" si="1052"/>
        <v>2345.2830000000004</v>
      </c>
      <c r="BE365" s="300">
        <f t="shared" si="1052"/>
        <v>2303.2830000000004</v>
      </c>
      <c r="BF365" s="132">
        <f t="shared" si="1052"/>
        <v>2278.2830000000004</v>
      </c>
      <c r="BG365" s="132">
        <f t="shared" si="1052"/>
        <v>2269.2830000000004</v>
      </c>
      <c r="BH365" s="132">
        <f t="shared" si="1052"/>
        <v>2199.2830000000004</v>
      </c>
      <c r="BI365" s="132">
        <f t="shared" si="1052"/>
        <v>2278.2830000000004</v>
      </c>
      <c r="BJ365" s="300">
        <f t="shared" si="1052"/>
        <v>2299.2830000000004</v>
      </c>
      <c r="BK365" s="132">
        <f>BK355+BK360*7</f>
        <v>2186.2830000000004</v>
      </c>
      <c r="BL365" s="132">
        <f>BL355+BL360*7</f>
        <v>2097.2830000000004</v>
      </c>
      <c r="BM365" s="132">
        <f>BM355+BM360*7</f>
        <v>2197.2830000000004</v>
      </c>
      <c r="BN365" s="132">
        <f>BN355+BN360*7</f>
        <v>2378.2830000000004</v>
      </c>
      <c r="BO365" s="300">
        <f t="shared" si="1052"/>
        <v>2392.2830000000004</v>
      </c>
      <c r="BP365" s="132"/>
      <c r="BQ365" s="132"/>
      <c r="BR365" s="132"/>
      <c r="BS365" s="132"/>
      <c r="BT365" s="300">
        <f t="shared" si="1052"/>
        <v>2232.2830000000004</v>
      </c>
      <c r="BU365" s="132"/>
      <c r="BV365" s="132"/>
      <c r="BW365" s="132"/>
      <c r="BX365" s="132"/>
      <c r="BY365" s="300">
        <f>BY355+BY360*7</f>
        <v>1821.2830000000004</v>
      </c>
      <c r="BZ365" s="132"/>
      <c r="CA365" s="132"/>
      <c r="CB365" s="132"/>
      <c r="CC365" s="132"/>
      <c r="CD365" s="300">
        <f>CD355+CD360*7</f>
        <v>1242.2830000000004</v>
      </c>
      <c r="CE365" s="132"/>
      <c r="CF365" s="132"/>
      <c r="CG365" s="132"/>
      <c r="CH365" s="132"/>
      <c r="CI365" s="300">
        <f>CI355+CI360*7</f>
        <v>677.28300000000036</v>
      </c>
      <c r="CJ365" s="132"/>
      <c r="CK365" s="132"/>
      <c r="CL365" s="132"/>
      <c r="CM365" s="132"/>
      <c r="CN365" s="300">
        <f>CN355+CN360*7</f>
        <v>617.8338240987448</v>
      </c>
      <c r="CO365" s="132"/>
      <c r="CP365" s="132"/>
      <c r="CQ365" s="132"/>
      <c r="CR365" s="132"/>
      <c r="CS365" s="300">
        <f>CS355+CS360*7</f>
        <v>648.81338547478663</v>
      </c>
      <c r="CT365" s="132"/>
      <c r="CU365" s="132"/>
      <c r="CV365" s="132"/>
      <c r="CW365" s="132"/>
      <c r="CX365" s="300">
        <f>CX355+CX360*7</f>
        <v>624.76564257530606</v>
      </c>
      <c r="CY365" s="132"/>
      <c r="CZ365" s="132"/>
      <c r="DA365" s="132"/>
      <c r="DB365" s="132"/>
      <c r="DC365" s="300">
        <f>DC355+DC360*7</f>
        <v>446.95231943511885</v>
      </c>
      <c r="DD365" s="25"/>
      <c r="DE365" s="178"/>
      <c r="DJ365" s="430"/>
      <c r="DK365" s="389"/>
      <c r="DL365" s="389"/>
      <c r="DM365" s="389"/>
      <c r="DN365" s="389"/>
      <c r="DO365" s="389"/>
      <c r="DP365" s="389"/>
      <c r="DQ365" s="389"/>
      <c r="DR365" s="487"/>
      <c r="DS365" s="25"/>
    </row>
    <row r="366" spans="1:123" hidden="1" x14ac:dyDescent="0.2">
      <c r="A366" s="141" t="s">
        <v>96</v>
      </c>
      <c r="B366" s="316"/>
      <c r="C366" s="41"/>
      <c r="D366" s="41"/>
      <c r="E366" s="41"/>
      <c r="F366" s="41"/>
      <c r="G366" s="316"/>
      <c r="H366" s="41"/>
      <c r="I366" s="41"/>
      <c r="J366" s="41"/>
      <c r="K366" s="41"/>
      <c r="L366" s="316"/>
      <c r="M366" s="41"/>
      <c r="N366" s="41"/>
      <c r="O366" s="41"/>
      <c r="P366" s="41"/>
      <c r="Q366" s="316"/>
      <c r="R366" s="179"/>
      <c r="S366" s="179"/>
      <c r="T366" s="179"/>
      <c r="U366" s="179"/>
      <c r="V366" s="316"/>
      <c r="W366" s="179"/>
      <c r="X366" s="179"/>
      <c r="Y366" s="179"/>
      <c r="Z366" s="179"/>
      <c r="AA366" s="316"/>
      <c r="AB366" s="179"/>
      <c r="AC366" s="179"/>
      <c r="AD366" s="179"/>
      <c r="AE366" s="179"/>
      <c r="AF366" s="316"/>
      <c r="AG366" s="179"/>
      <c r="AH366" s="179"/>
      <c r="AI366" s="180"/>
      <c r="AJ366" s="179"/>
      <c r="AK366" s="323"/>
      <c r="AL366" s="136"/>
      <c r="AM366" s="136"/>
      <c r="AN366" s="136"/>
      <c r="AO366" s="136"/>
      <c r="AP366" s="323"/>
      <c r="AQ366" s="136"/>
      <c r="AR366" s="136"/>
      <c r="AS366" s="136"/>
      <c r="AT366" s="136"/>
      <c r="AU366" s="323"/>
      <c r="AV366" s="132">
        <f t="shared" ref="AV366:BT366" si="1053">AV356+AV360*7</f>
        <v>3234.2830000000004</v>
      </c>
      <c r="AW366" s="132">
        <f t="shared" si="1053"/>
        <v>3163.2830000000004</v>
      </c>
      <c r="AX366" s="132">
        <f t="shared" si="1053"/>
        <v>2609.2830000000004</v>
      </c>
      <c r="AY366" s="132">
        <f t="shared" si="1053"/>
        <v>2579.2830000000004</v>
      </c>
      <c r="AZ366" s="300">
        <f t="shared" si="1053"/>
        <v>2593.2830000000004</v>
      </c>
      <c r="BA366" s="132">
        <f t="shared" si="1053"/>
        <v>2399.2830000000004</v>
      </c>
      <c r="BB366" s="132">
        <f t="shared" si="1053"/>
        <v>2374.2830000000004</v>
      </c>
      <c r="BC366" s="132">
        <f t="shared" si="1053"/>
        <v>2317.2830000000004</v>
      </c>
      <c r="BD366" s="132">
        <f t="shared" si="1053"/>
        <v>2413.2830000000004</v>
      </c>
      <c r="BE366" s="300">
        <f t="shared" si="1053"/>
        <v>2371.2830000000004</v>
      </c>
      <c r="BF366" s="132">
        <f t="shared" si="1053"/>
        <v>2344.2830000000004</v>
      </c>
      <c r="BG366" s="132">
        <f t="shared" si="1053"/>
        <v>2334.2830000000004</v>
      </c>
      <c r="BH366" s="132">
        <f t="shared" si="1053"/>
        <v>2263.2830000000004</v>
      </c>
      <c r="BI366" s="132">
        <f t="shared" si="1053"/>
        <v>2345.2830000000004</v>
      </c>
      <c r="BJ366" s="300">
        <f t="shared" si="1053"/>
        <v>2366.2830000000004</v>
      </c>
      <c r="BK366" s="132">
        <f>BK356+BK360*7</f>
        <v>2251.2830000000004</v>
      </c>
      <c r="BL366" s="132">
        <f>BL356+BL360*7</f>
        <v>2152.2830000000004</v>
      </c>
      <c r="BM366" s="132">
        <f>BM356+BM360*7</f>
        <v>2252.2830000000004</v>
      </c>
      <c r="BN366" s="132">
        <f>BN356+BN360*7</f>
        <v>2429.2830000000004</v>
      </c>
      <c r="BO366" s="300">
        <f t="shared" si="1053"/>
        <v>2443.2830000000004</v>
      </c>
      <c r="BP366" s="132"/>
      <c r="BQ366" s="132"/>
      <c r="BR366" s="132"/>
      <c r="BS366" s="132"/>
      <c r="BT366" s="300">
        <f t="shared" si="1053"/>
        <v>2289.2830000000004</v>
      </c>
      <c r="BU366" s="132"/>
      <c r="BV366" s="132"/>
      <c r="BW366" s="132"/>
      <c r="BX366" s="132"/>
      <c r="BY366" s="300">
        <f>BY356+BY360*7</f>
        <v>1882.2830000000004</v>
      </c>
      <c r="BZ366" s="132"/>
      <c r="CA366" s="132"/>
      <c r="CB366" s="132"/>
      <c r="CC366" s="132"/>
      <c r="CD366" s="300">
        <f>CD356+CD360*7</f>
        <v>1305.2830000000004</v>
      </c>
      <c r="CE366" s="132"/>
      <c r="CF366" s="132"/>
      <c r="CG366" s="132"/>
      <c r="CH366" s="132"/>
      <c r="CI366" s="300">
        <f>CI356+CI360*7</f>
        <v>739.28300000000047</v>
      </c>
      <c r="CJ366" s="132"/>
      <c r="CK366" s="132"/>
      <c r="CL366" s="132"/>
      <c r="CM366" s="132"/>
      <c r="CN366" s="300">
        <f>CN356+CN360*7</f>
        <v>678.67562380846903</v>
      </c>
      <c r="CO366" s="132"/>
      <c r="CP366" s="132"/>
      <c r="CQ366" s="132"/>
      <c r="CR366" s="132"/>
      <c r="CS366" s="300">
        <f>CS356+CS360*7</f>
        <v>714.49598569733143</v>
      </c>
      <c r="CT366" s="132"/>
      <c r="CU366" s="132"/>
      <c r="CV366" s="132"/>
      <c r="CW366" s="132"/>
      <c r="CX366" s="300">
        <f>CX356+CX360*7</f>
        <v>695.39742672461955</v>
      </c>
      <c r="CY366" s="132"/>
      <c r="CZ366" s="132"/>
      <c r="DA366" s="132"/>
      <c r="DB366" s="132"/>
      <c r="DC366" s="300">
        <f>DC356+DC360*7</f>
        <v>522.90620852008306</v>
      </c>
      <c r="DD366" s="25"/>
      <c r="DE366" s="178"/>
      <c r="DJ366" s="430"/>
      <c r="DK366" s="389"/>
      <c r="DL366" s="389"/>
      <c r="DM366" s="389"/>
      <c r="DN366" s="389"/>
      <c r="DO366" s="389"/>
      <c r="DP366" s="389"/>
      <c r="DQ366" s="389"/>
      <c r="DR366" s="487"/>
      <c r="DS366" s="25"/>
    </row>
    <row r="367" spans="1:123" hidden="1" x14ac:dyDescent="0.2">
      <c r="A367" s="152" t="s">
        <v>97</v>
      </c>
      <c r="B367" s="316"/>
      <c r="C367" s="41"/>
      <c r="D367" s="41"/>
      <c r="E367" s="41"/>
      <c r="F367" s="41"/>
      <c r="G367" s="316"/>
      <c r="H367" s="41"/>
      <c r="I367" s="41"/>
      <c r="J367" s="41"/>
      <c r="K367" s="41"/>
      <c r="L367" s="316"/>
      <c r="M367" s="41"/>
      <c r="N367" s="41"/>
      <c r="O367" s="41"/>
      <c r="P367" s="41"/>
      <c r="Q367" s="316"/>
      <c r="R367" s="179"/>
      <c r="S367" s="179"/>
      <c r="T367" s="179"/>
      <c r="U367" s="179"/>
      <c r="V367" s="316"/>
      <c r="W367" s="179"/>
      <c r="X367" s="179"/>
      <c r="Y367" s="179"/>
      <c r="Z367" s="179"/>
      <c r="AA367" s="316"/>
      <c r="AB367" s="179"/>
      <c r="AC367" s="179"/>
      <c r="AD367" s="179"/>
      <c r="AE367" s="179"/>
      <c r="AF367" s="316"/>
      <c r="AG367" s="179"/>
      <c r="AH367" s="179"/>
      <c r="AI367" s="180"/>
      <c r="AJ367" s="179"/>
      <c r="AK367" s="323"/>
      <c r="AL367" s="136"/>
      <c r="AM367" s="136"/>
      <c r="AN367" s="136"/>
      <c r="AO367" s="136"/>
      <c r="AP367" s="323"/>
      <c r="AQ367" s="136"/>
      <c r="AR367" s="136"/>
      <c r="AS367" s="136"/>
      <c r="AT367" s="136"/>
      <c r="AU367" s="323"/>
      <c r="AV367" s="136"/>
      <c r="AW367" s="136"/>
      <c r="AX367" s="136"/>
      <c r="AY367" s="136"/>
      <c r="AZ367" s="323"/>
      <c r="BA367" s="136"/>
      <c r="BB367" s="136"/>
      <c r="BC367" s="136"/>
      <c r="BD367" s="136"/>
      <c r="BE367" s="323"/>
      <c r="BF367" s="136"/>
      <c r="BG367" s="136"/>
      <c r="BH367" s="136"/>
      <c r="BI367" s="136"/>
      <c r="BJ367" s="323"/>
      <c r="BK367" s="136"/>
      <c r="BL367" s="136"/>
      <c r="BM367" s="136"/>
      <c r="BN367" s="136"/>
      <c r="BO367" s="323"/>
      <c r="BP367" s="136"/>
      <c r="BQ367" s="136"/>
      <c r="BR367" s="136"/>
      <c r="BS367" s="136"/>
      <c r="BT367" s="323"/>
      <c r="BU367" s="136"/>
      <c r="BV367" s="136"/>
      <c r="BW367" s="136"/>
      <c r="BX367" s="136"/>
      <c r="BY367" s="323"/>
      <c r="BZ367" s="136"/>
      <c r="CA367" s="136"/>
      <c r="CB367" s="136"/>
      <c r="CC367" s="136"/>
      <c r="CD367" s="323"/>
      <c r="CE367" s="136"/>
      <c r="CF367" s="136"/>
      <c r="CG367" s="136"/>
      <c r="CH367" s="136"/>
      <c r="CI367" s="323"/>
      <c r="CJ367" s="136"/>
      <c r="CK367" s="136"/>
      <c r="CL367" s="136"/>
      <c r="CM367" s="136"/>
      <c r="CN367" s="323"/>
      <c r="CO367" s="136"/>
      <c r="CP367" s="136"/>
      <c r="CQ367" s="136"/>
      <c r="CR367" s="136"/>
      <c r="CS367" s="323"/>
      <c r="CT367" s="136"/>
      <c r="CU367" s="136"/>
      <c r="CV367" s="136"/>
      <c r="CW367" s="136"/>
      <c r="CX367" s="323"/>
      <c r="CY367" s="136"/>
      <c r="CZ367" s="136"/>
      <c r="DA367" s="136"/>
      <c r="DB367" s="136"/>
      <c r="DC367" s="323"/>
      <c r="DD367" s="25"/>
      <c r="DE367" s="178"/>
      <c r="DJ367" s="430"/>
      <c r="DK367" s="389"/>
      <c r="DL367" s="389"/>
      <c r="DM367" s="389"/>
      <c r="DN367" s="389"/>
      <c r="DO367" s="389"/>
      <c r="DP367" s="389"/>
      <c r="DQ367" s="389"/>
      <c r="DR367" s="487"/>
      <c r="DS367" s="25"/>
    </row>
    <row r="368" spans="1:123" hidden="1" x14ac:dyDescent="0.2">
      <c r="A368" s="187" t="s">
        <v>336</v>
      </c>
      <c r="B368" s="316"/>
      <c r="C368" s="41"/>
      <c r="D368" s="41"/>
      <c r="E368" s="41"/>
      <c r="F368" s="41"/>
      <c r="G368" s="316"/>
      <c r="H368" s="41"/>
      <c r="I368" s="41"/>
      <c r="J368" s="41"/>
      <c r="K368" s="41"/>
      <c r="L368" s="316"/>
      <c r="M368" s="41"/>
      <c r="N368" s="41"/>
      <c r="O368" s="41"/>
      <c r="P368" s="41"/>
      <c r="Q368" s="316"/>
      <c r="R368" s="179"/>
      <c r="S368" s="179"/>
      <c r="T368" s="179"/>
      <c r="U368" s="179"/>
      <c r="V368" s="316"/>
      <c r="W368" s="179"/>
      <c r="X368" s="179"/>
      <c r="Y368" s="179"/>
      <c r="Z368" s="179"/>
      <c r="AA368" s="316"/>
      <c r="AB368" s="179"/>
      <c r="AC368" s="179"/>
      <c r="AD368" s="179"/>
      <c r="AE368" s="179"/>
      <c r="AF368" s="316"/>
      <c r="AG368" s="179"/>
      <c r="AH368" s="179"/>
      <c r="AI368" s="180"/>
      <c r="AJ368" s="179"/>
      <c r="AK368" s="323"/>
      <c r="AL368" s="136"/>
      <c r="AM368" s="136"/>
      <c r="AN368" s="136"/>
      <c r="AO368" s="136"/>
      <c r="AP368" s="323"/>
      <c r="AQ368" s="136"/>
      <c r="AR368" s="136"/>
      <c r="AS368" s="136"/>
      <c r="AT368" s="136"/>
      <c r="AU368" s="323"/>
      <c r="AV368" s="188">
        <v>316</v>
      </c>
      <c r="AW368" s="188">
        <v>323</v>
      </c>
      <c r="AX368" s="188">
        <v>332</v>
      </c>
      <c r="AY368" s="188">
        <f>AX368</f>
        <v>332</v>
      </c>
      <c r="AZ368" s="337">
        <f>AY368</f>
        <v>332</v>
      </c>
      <c r="BA368" s="188">
        <f>AZ368</f>
        <v>332</v>
      </c>
      <c r="BB368" s="188">
        <v>346</v>
      </c>
      <c r="BC368" s="188">
        <v>347</v>
      </c>
      <c r="BD368" s="188">
        <v>348</v>
      </c>
      <c r="BE368" s="337">
        <f>BD368</f>
        <v>348</v>
      </c>
      <c r="BF368" s="188">
        <f>BE368</f>
        <v>348</v>
      </c>
      <c r="BG368" s="188">
        <f>BF368</f>
        <v>348</v>
      </c>
      <c r="BH368" s="188">
        <f>BG368</f>
        <v>348</v>
      </c>
      <c r="BI368" s="188">
        <f>BH368</f>
        <v>348</v>
      </c>
      <c r="BJ368" s="337">
        <f>BE368</f>
        <v>348</v>
      </c>
      <c r="BK368" s="188">
        <f t="shared" ref="BK368:BN369" si="1054">BJ368</f>
        <v>348</v>
      </c>
      <c r="BL368" s="188">
        <f t="shared" si="1054"/>
        <v>348</v>
      </c>
      <c r="BM368" s="188">
        <f t="shared" si="1054"/>
        <v>348</v>
      </c>
      <c r="BN368" s="188">
        <f t="shared" si="1054"/>
        <v>348</v>
      </c>
      <c r="BO368" s="337">
        <f>BJ368</f>
        <v>348</v>
      </c>
      <c r="BP368" s="188"/>
      <c r="BQ368" s="188"/>
      <c r="BR368" s="188"/>
      <c r="BS368" s="188"/>
      <c r="BT368" s="337">
        <f>BO368</f>
        <v>348</v>
      </c>
      <c r="BU368" s="188"/>
      <c r="BV368" s="188"/>
      <c r="BW368" s="188"/>
      <c r="BX368" s="188"/>
      <c r="BY368" s="337">
        <f>BT368</f>
        <v>348</v>
      </c>
      <c r="BZ368" s="188"/>
      <c r="CA368" s="188"/>
      <c r="CB368" s="188"/>
      <c r="CC368" s="188"/>
      <c r="CD368" s="337">
        <f>BY368</f>
        <v>348</v>
      </c>
      <c r="CE368" s="188"/>
      <c r="CF368" s="188"/>
      <c r="CG368" s="188"/>
      <c r="CH368" s="188"/>
      <c r="CI368" s="337">
        <f>CD368</f>
        <v>348</v>
      </c>
      <c r="CJ368" s="188"/>
      <c r="CK368" s="188"/>
      <c r="CL368" s="188"/>
      <c r="CM368" s="188"/>
      <c r="CN368" s="337">
        <f>CI368</f>
        <v>348</v>
      </c>
      <c r="CO368" s="188"/>
      <c r="CP368" s="188"/>
      <c r="CQ368" s="188"/>
      <c r="CR368" s="188"/>
      <c r="CS368" s="337">
        <f>CN368</f>
        <v>348</v>
      </c>
      <c r="CT368" s="188"/>
      <c r="CU368" s="188"/>
      <c r="CV368" s="188"/>
      <c r="CW368" s="188"/>
      <c r="CX368" s="337">
        <f>CS368</f>
        <v>348</v>
      </c>
      <c r="CY368" s="188"/>
      <c r="CZ368" s="188"/>
      <c r="DA368" s="188"/>
      <c r="DB368" s="188"/>
      <c r="DC368" s="337">
        <f>CX368</f>
        <v>348</v>
      </c>
      <c r="DD368" s="25"/>
      <c r="DE368" s="178"/>
      <c r="DJ368" s="430"/>
      <c r="DK368" s="389"/>
      <c r="DL368" s="389"/>
      <c r="DM368" s="389"/>
      <c r="DN368" s="389"/>
      <c r="DO368" s="389"/>
      <c r="DP368" s="389"/>
      <c r="DQ368" s="389"/>
      <c r="DR368" s="487"/>
      <c r="DS368" s="25"/>
    </row>
    <row r="369" spans="1:123" hidden="1" x14ac:dyDescent="0.2">
      <c r="A369" s="189" t="s">
        <v>98</v>
      </c>
      <c r="B369" s="316"/>
      <c r="C369" s="41"/>
      <c r="D369" s="41"/>
      <c r="E369" s="41"/>
      <c r="F369" s="41"/>
      <c r="G369" s="316"/>
      <c r="H369" s="41"/>
      <c r="I369" s="41"/>
      <c r="J369" s="41"/>
      <c r="K369" s="41"/>
      <c r="L369" s="316"/>
      <c r="M369" s="41"/>
      <c r="N369" s="41"/>
      <c r="O369" s="41"/>
      <c r="P369" s="41"/>
      <c r="Q369" s="316"/>
      <c r="R369" s="179"/>
      <c r="S369" s="179"/>
      <c r="T369" s="179"/>
      <c r="U369" s="179"/>
      <c r="V369" s="316"/>
      <c r="W369" s="179"/>
      <c r="X369" s="179"/>
      <c r="Y369" s="179"/>
      <c r="Z369" s="179"/>
      <c r="AA369" s="316"/>
      <c r="AB369" s="179"/>
      <c r="AC369" s="179"/>
      <c r="AD369" s="179"/>
      <c r="AE369" s="179"/>
      <c r="AF369" s="316"/>
      <c r="AG369" s="179"/>
      <c r="AH369" s="179"/>
      <c r="AI369" s="180"/>
      <c r="AJ369" s="179"/>
      <c r="AK369" s="323"/>
      <c r="AL369" s="136"/>
      <c r="AM369" s="136"/>
      <c r="AN369" s="136"/>
      <c r="AO369" s="136"/>
      <c r="AP369" s="323"/>
      <c r="AQ369" s="136"/>
      <c r="AR369" s="136"/>
      <c r="AS369" s="136"/>
      <c r="AT369" s="136"/>
      <c r="AU369" s="323"/>
      <c r="AV369" s="136">
        <v>3.65</v>
      </c>
      <c r="AW369" s="136">
        <v>4.2699999999999996</v>
      </c>
      <c r="AX369" s="136">
        <v>5.98</v>
      </c>
      <c r="AY369" s="136">
        <v>5.45</v>
      </c>
      <c r="AZ369" s="323">
        <v>5.45</v>
      </c>
      <c r="BA369" s="136">
        <v>5.58</v>
      </c>
      <c r="BB369" s="136">
        <v>5.49</v>
      </c>
      <c r="BC369" s="136">
        <v>6.69</v>
      </c>
      <c r="BD369" s="136">
        <v>6.61</v>
      </c>
      <c r="BE369" s="323">
        <v>6.61</v>
      </c>
      <c r="BF369" s="136">
        <v>6.27</v>
      </c>
      <c r="BG369" s="190">
        <v>6.05</v>
      </c>
      <c r="BH369" s="190">
        <f>BG369</f>
        <v>6.05</v>
      </c>
      <c r="BI369" s="190">
        <f>BH369</f>
        <v>6.05</v>
      </c>
      <c r="BJ369" s="429">
        <f>BI369</f>
        <v>6.05</v>
      </c>
      <c r="BK369" s="190">
        <f t="shared" si="1054"/>
        <v>6.05</v>
      </c>
      <c r="BL369" s="190">
        <f t="shared" si="1054"/>
        <v>6.05</v>
      </c>
      <c r="BM369" s="190">
        <f t="shared" si="1054"/>
        <v>6.05</v>
      </c>
      <c r="BN369" s="190">
        <f t="shared" si="1054"/>
        <v>6.05</v>
      </c>
      <c r="BO369" s="429">
        <f>BJ369</f>
        <v>6.05</v>
      </c>
      <c r="BP369" s="136"/>
      <c r="BQ369" s="190"/>
      <c r="BR369" s="190"/>
      <c r="BS369" s="190"/>
      <c r="BT369" s="429">
        <f>BO369</f>
        <v>6.05</v>
      </c>
      <c r="BU369" s="136"/>
      <c r="BV369" s="190"/>
      <c r="BW369" s="190"/>
      <c r="BX369" s="190"/>
      <c r="BY369" s="429">
        <f>BT369</f>
        <v>6.05</v>
      </c>
      <c r="BZ369" s="136"/>
      <c r="CA369" s="190"/>
      <c r="CB369" s="190"/>
      <c r="CC369" s="190"/>
      <c r="CD369" s="429">
        <f>BY369</f>
        <v>6.05</v>
      </c>
      <c r="CE369" s="136"/>
      <c r="CF369" s="136"/>
      <c r="CG369" s="136"/>
      <c r="CH369" s="136"/>
      <c r="CI369" s="429">
        <f>CD369</f>
        <v>6.05</v>
      </c>
      <c r="CJ369" s="190"/>
      <c r="CK369" s="190"/>
      <c r="CL369" s="190"/>
      <c r="CM369" s="190"/>
      <c r="CN369" s="429">
        <f>CI369</f>
        <v>6.05</v>
      </c>
      <c r="CO369" s="190"/>
      <c r="CP369" s="190"/>
      <c r="CQ369" s="190"/>
      <c r="CR369" s="190"/>
      <c r="CS369" s="429">
        <f>CN369</f>
        <v>6.05</v>
      </c>
      <c r="CT369" s="136"/>
      <c r="CU369" s="190"/>
      <c r="CV369" s="190"/>
      <c r="CW369" s="190"/>
      <c r="CX369" s="429">
        <f>CS369</f>
        <v>6.05</v>
      </c>
      <c r="CY369" s="136"/>
      <c r="CZ369" s="190"/>
      <c r="DA369" s="190"/>
      <c r="DB369" s="190"/>
      <c r="DC369" s="429">
        <f>CX369</f>
        <v>6.05</v>
      </c>
      <c r="DD369" s="25"/>
      <c r="DE369" s="178"/>
      <c r="DJ369" s="430"/>
      <c r="DK369" s="389"/>
      <c r="DL369" s="389"/>
      <c r="DM369" s="389"/>
      <c r="DN369" s="389"/>
      <c r="DO369" s="389"/>
      <c r="DP369" s="389"/>
      <c r="DQ369" s="389"/>
      <c r="DR369" s="487"/>
      <c r="DS369" s="25"/>
    </row>
    <row r="370" spans="1:123" hidden="1" x14ac:dyDescent="0.2">
      <c r="A370" s="191" t="s">
        <v>99</v>
      </c>
      <c r="B370" s="316"/>
      <c r="C370" s="41"/>
      <c r="D370" s="41"/>
      <c r="E370" s="41"/>
      <c r="F370" s="41"/>
      <c r="G370" s="316"/>
      <c r="H370" s="41"/>
      <c r="I370" s="41"/>
      <c r="J370" s="41"/>
      <c r="K370" s="41"/>
      <c r="L370" s="316"/>
      <c r="M370" s="41"/>
      <c r="N370" s="41"/>
      <c r="O370" s="41"/>
      <c r="P370" s="41"/>
      <c r="Q370" s="316"/>
      <c r="R370" s="179"/>
      <c r="S370" s="179"/>
      <c r="T370" s="179"/>
      <c r="U370" s="179"/>
      <c r="V370" s="316"/>
      <c r="W370" s="179"/>
      <c r="X370" s="179"/>
      <c r="Y370" s="179"/>
      <c r="Z370" s="179"/>
      <c r="AA370" s="316"/>
      <c r="AB370" s="179"/>
      <c r="AC370" s="179"/>
      <c r="AD370" s="179"/>
      <c r="AE370" s="179"/>
      <c r="AF370" s="316"/>
      <c r="AG370" s="179"/>
      <c r="AH370" s="179"/>
      <c r="AI370" s="180"/>
      <c r="AJ370" s="179"/>
      <c r="AK370" s="323"/>
      <c r="AL370" s="136"/>
      <c r="AM370" s="136"/>
      <c r="AN370" s="136"/>
      <c r="AO370" s="136"/>
      <c r="AP370" s="323"/>
      <c r="AQ370" s="136"/>
      <c r="AR370" s="136"/>
      <c r="AS370" s="136"/>
      <c r="AT370" s="136"/>
      <c r="AU370" s="323"/>
      <c r="AV370" s="136"/>
      <c r="AW370" s="136"/>
      <c r="AX370" s="136"/>
      <c r="AY370" s="136"/>
      <c r="AZ370" s="323"/>
      <c r="BA370" s="136"/>
      <c r="BB370" s="136"/>
      <c r="BC370" s="136"/>
      <c r="BD370" s="136"/>
      <c r="BE370" s="323"/>
      <c r="BF370" s="136"/>
      <c r="BG370" s="136"/>
      <c r="BH370" s="136"/>
      <c r="BI370" s="136"/>
      <c r="BJ370" s="323"/>
      <c r="BK370" s="136"/>
      <c r="BL370" s="136"/>
      <c r="BM370" s="136"/>
      <c r="BN370" s="136"/>
      <c r="BO370" s="323"/>
      <c r="BP370" s="136"/>
      <c r="BQ370" s="136"/>
      <c r="BR370" s="136"/>
      <c r="BS370" s="136"/>
      <c r="BT370" s="323"/>
      <c r="BU370" s="136"/>
      <c r="BV370" s="136"/>
      <c r="BW370" s="136"/>
      <c r="BX370" s="136"/>
      <c r="BY370" s="323"/>
      <c r="BZ370" s="136"/>
      <c r="CA370" s="136"/>
      <c r="CB370" s="136"/>
      <c r="CC370" s="136"/>
      <c r="CD370" s="323"/>
      <c r="CE370" s="136"/>
      <c r="CF370" s="136"/>
      <c r="CG370" s="136"/>
      <c r="CH370" s="136"/>
      <c r="CI370" s="323"/>
      <c r="CJ370" s="136"/>
      <c r="CK370" s="136"/>
      <c r="CL370" s="136"/>
      <c r="CM370" s="136"/>
      <c r="CN370" s="323"/>
      <c r="CO370" s="136"/>
      <c r="CP370" s="136"/>
      <c r="CQ370" s="136"/>
      <c r="CR370" s="136"/>
      <c r="CS370" s="323"/>
      <c r="CT370" s="136"/>
      <c r="CU370" s="136"/>
      <c r="CV370" s="136"/>
      <c r="CW370" s="136"/>
      <c r="CX370" s="323"/>
      <c r="CY370" s="136"/>
      <c r="CZ370" s="136"/>
      <c r="DA370" s="136"/>
      <c r="DB370" s="136"/>
      <c r="DC370" s="323"/>
      <c r="DD370" s="25"/>
      <c r="DE370" s="178"/>
      <c r="DJ370" s="430"/>
      <c r="DK370" s="389"/>
      <c r="DL370" s="389"/>
      <c r="DM370" s="389"/>
      <c r="DN370" s="389"/>
      <c r="DO370" s="389"/>
      <c r="DP370" s="389"/>
      <c r="DQ370" s="389"/>
      <c r="DR370" s="487"/>
      <c r="DS370" s="25"/>
    </row>
    <row r="371" spans="1:123" hidden="1" x14ac:dyDescent="0.2">
      <c r="A371" s="141" t="s">
        <v>100</v>
      </c>
      <c r="B371" s="316"/>
      <c r="C371" s="41"/>
      <c r="D371" s="41"/>
      <c r="E371" s="41"/>
      <c r="F371" s="41"/>
      <c r="G371" s="316"/>
      <c r="H371" s="41"/>
      <c r="I371" s="41"/>
      <c r="J371" s="41"/>
      <c r="K371" s="41"/>
      <c r="L371" s="316"/>
      <c r="M371" s="41"/>
      <c r="N371" s="41"/>
      <c r="O371" s="41"/>
      <c r="P371" s="41"/>
      <c r="Q371" s="316"/>
      <c r="R371" s="179"/>
      <c r="S371" s="179"/>
      <c r="T371" s="179"/>
      <c r="U371" s="179"/>
      <c r="V371" s="316"/>
      <c r="W371" s="179"/>
      <c r="X371" s="179"/>
      <c r="Y371" s="179"/>
      <c r="Z371" s="179"/>
      <c r="AA371" s="316"/>
      <c r="AB371" s="179"/>
      <c r="AC371" s="179"/>
      <c r="AD371" s="179"/>
      <c r="AE371" s="179"/>
      <c r="AF371" s="316"/>
      <c r="AG371" s="179"/>
      <c r="AH371" s="179"/>
      <c r="AI371" s="180"/>
      <c r="AJ371" s="179"/>
      <c r="AK371" s="323"/>
      <c r="AL371" s="136"/>
      <c r="AM371" s="136"/>
      <c r="AN371" s="136"/>
      <c r="AO371" s="136"/>
      <c r="AP371" s="323"/>
      <c r="AQ371" s="136"/>
      <c r="AR371" s="136"/>
      <c r="AS371" s="136"/>
      <c r="AT371" s="136"/>
      <c r="AU371" s="323"/>
      <c r="AV371" s="132">
        <f t="shared" ref="AV371:BT371" si="1055">AV368*AV369+AV355</f>
        <v>3281.683</v>
      </c>
      <c r="AW371" s="132">
        <f t="shared" si="1055"/>
        <v>3480.4930000000004</v>
      </c>
      <c r="AX371" s="132">
        <f t="shared" si="1055"/>
        <v>3613.6430000000005</v>
      </c>
      <c r="AY371" s="132">
        <f t="shared" si="1055"/>
        <v>3443.6830000000004</v>
      </c>
      <c r="AZ371" s="300">
        <f t="shared" si="1055"/>
        <v>3443.6830000000004</v>
      </c>
      <c r="BA371" s="132">
        <f t="shared" si="1055"/>
        <v>3312.8429999999998</v>
      </c>
      <c r="BB371" s="132">
        <f t="shared" si="1055"/>
        <v>3335.8230000000003</v>
      </c>
      <c r="BC371" s="132">
        <f t="shared" si="1055"/>
        <v>3701.7130000000006</v>
      </c>
      <c r="BD371" s="132">
        <f t="shared" si="1055"/>
        <v>3721.5630000000001</v>
      </c>
      <c r="BE371" s="300">
        <f t="shared" si="1055"/>
        <v>3721.5630000000006</v>
      </c>
      <c r="BF371" s="132">
        <f t="shared" si="1055"/>
        <v>3508.2430000000004</v>
      </c>
      <c r="BG371" s="132">
        <f t="shared" si="1055"/>
        <v>3366.6830000000004</v>
      </c>
      <c r="BH371" s="132">
        <f t="shared" si="1055"/>
        <v>3408.6830000000004</v>
      </c>
      <c r="BI371" s="132">
        <f t="shared" si="1055"/>
        <v>3459.6830000000004</v>
      </c>
      <c r="BJ371" s="300">
        <f t="shared" si="1055"/>
        <v>3459.6830000000004</v>
      </c>
      <c r="BK371" s="132">
        <f>BK368*BK369+BK355</f>
        <v>3367.6830000000004</v>
      </c>
      <c r="BL371" s="132">
        <f>BL368*BL369+BL355</f>
        <v>3278.6830000000004</v>
      </c>
      <c r="BM371" s="132">
        <f>BM368*BM369+BM355</f>
        <v>3406.6830000000004</v>
      </c>
      <c r="BN371" s="132">
        <f>BN368*BN369+BN355</f>
        <v>3587.6830000000004</v>
      </c>
      <c r="BO371" s="300">
        <f t="shared" si="1055"/>
        <v>3587.6830000000004</v>
      </c>
      <c r="BP371" s="132"/>
      <c r="BQ371" s="132"/>
      <c r="BR371" s="132"/>
      <c r="BS371" s="132"/>
      <c r="BT371" s="300">
        <f t="shared" si="1055"/>
        <v>3441.6830000000004</v>
      </c>
      <c r="BU371" s="132"/>
      <c r="BV371" s="132"/>
      <c r="BW371" s="132"/>
      <c r="BX371" s="132"/>
      <c r="BY371" s="300">
        <f>BY368*BY369+BY355</f>
        <v>3058.6830000000004</v>
      </c>
      <c r="BZ371" s="132"/>
      <c r="CA371" s="132"/>
      <c r="CB371" s="132"/>
      <c r="CC371" s="132"/>
      <c r="CD371" s="300">
        <f>CD368*CD369+CD355</f>
        <v>2493.6830000000004</v>
      </c>
      <c r="CE371" s="132"/>
      <c r="CF371" s="132"/>
      <c r="CG371" s="132"/>
      <c r="CH371" s="132"/>
      <c r="CI371" s="300">
        <f>CI368*CI369+CI355</f>
        <v>2005.6830000000004</v>
      </c>
      <c r="CJ371" s="132"/>
      <c r="CK371" s="132"/>
      <c r="CL371" s="132"/>
      <c r="CM371" s="132"/>
      <c r="CN371" s="300">
        <f>CN368*CN369+CN355</f>
        <v>2016.2338240987449</v>
      </c>
      <c r="CO371" s="132"/>
      <c r="CP371" s="132"/>
      <c r="CQ371" s="132"/>
      <c r="CR371" s="132"/>
      <c r="CS371" s="300">
        <f>CS368*CS369+CS355</f>
        <v>2095.8830752877861</v>
      </c>
      <c r="CT371" s="132"/>
      <c r="CU371" s="132"/>
      <c r="CV371" s="132"/>
      <c r="CW371" s="132"/>
      <c r="CX371" s="300">
        <f>CX368*CX369+CX355</f>
        <v>2102.4982275412062</v>
      </c>
      <c r="CY371" s="132"/>
      <c r="CZ371" s="132"/>
      <c r="DA371" s="132"/>
      <c r="DB371" s="132"/>
      <c r="DC371" s="300">
        <f>DC368*DC369+DC355</f>
        <v>1933.7332584236888</v>
      </c>
      <c r="DD371" s="25"/>
      <c r="DE371" s="178"/>
      <c r="DJ371" s="430"/>
      <c r="DK371" s="389"/>
      <c r="DL371" s="389"/>
      <c r="DM371" s="389"/>
      <c r="DN371" s="389"/>
      <c r="DO371" s="389"/>
      <c r="DP371" s="389"/>
      <c r="DQ371" s="389"/>
      <c r="DR371" s="487"/>
      <c r="DS371" s="25"/>
    </row>
    <row r="372" spans="1:123" hidden="1" x14ac:dyDescent="0.2">
      <c r="A372" s="141" t="s">
        <v>101</v>
      </c>
      <c r="B372" s="316"/>
      <c r="C372" s="41"/>
      <c r="D372" s="41"/>
      <c r="E372" s="41"/>
      <c r="F372" s="41"/>
      <c r="G372" s="316"/>
      <c r="H372" s="41"/>
      <c r="I372" s="41"/>
      <c r="J372" s="41"/>
      <c r="K372" s="41"/>
      <c r="L372" s="316"/>
      <c r="M372" s="41"/>
      <c r="N372" s="41"/>
      <c r="O372" s="41"/>
      <c r="P372" s="41"/>
      <c r="Q372" s="316"/>
      <c r="R372" s="179"/>
      <c r="S372" s="179"/>
      <c r="T372" s="179"/>
      <c r="U372" s="179"/>
      <c r="V372" s="316"/>
      <c r="W372" s="179"/>
      <c r="X372" s="179"/>
      <c r="Y372" s="179"/>
      <c r="Z372" s="179"/>
      <c r="AA372" s="316"/>
      <c r="AB372" s="179"/>
      <c r="AC372" s="179"/>
      <c r="AD372" s="179"/>
      <c r="AE372" s="179"/>
      <c r="AF372" s="316"/>
      <c r="AG372" s="179"/>
      <c r="AH372" s="179"/>
      <c r="AI372" s="180"/>
      <c r="AJ372" s="179"/>
      <c r="AK372" s="323"/>
      <c r="AL372" s="136"/>
      <c r="AM372" s="136"/>
      <c r="AN372" s="136"/>
      <c r="AO372" s="136"/>
      <c r="AP372" s="323"/>
      <c r="AQ372" s="136"/>
      <c r="AR372" s="136"/>
      <c r="AS372" s="136"/>
      <c r="AT372" s="136"/>
      <c r="AU372" s="323"/>
      <c r="AV372" s="132">
        <f t="shared" ref="AV372:BT372" si="1056">AV368*AV369+AV356</f>
        <v>3491.683</v>
      </c>
      <c r="AW372" s="132">
        <f t="shared" si="1056"/>
        <v>3646.4930000000004</v>
      </c>
      <c r="AX372" s="132">
        <f t="shared" si="1056"/>
        <v>3726.6430000000005</v>
      </c>
      <c r="AY372" s="132">
        <f t="shared" si="1056"/>
        <v>3520.6830000000004</v>
      </c>
      <c r="AZ372" s="300">
        <f t="shared" si="1056"/>
        <v>3520.6830000000004</v>
      </c>
      <c r="BA372" s="132">
        <f t="shared" si="1056"/>
        <v>3383.8429999999998</v>
      </c>
      <c r="BB372" s="132">
        <f t="shared" si="1056"/>
        <v>3405.8230000000003</v>
      </c>
      <c r="BC372" s="132">
        <f t="shared" si="1056"/>
        <v>3770.7130000000006</v>
      </c>
      <c r="BD372" s="132">
        <f t="shared" si="1056"/>
        <v>3789.5630000000001</v>
      </c>
      <c r="BE372" s="300">
        <f t="shared" si="1056"/>
        <v>3789.5630000000006</v>
      </c>
      <c r="BF372" s="132">
        <f t="shared" si="1056"/>
        <v>3574.2430000000004</v>
      </c>
      <c r="BG372" s="132">
        <f t="shared" si="1056"/>
        <v>3431.6830000000004</v>
      </c>
      <c r="BH372" s="132">
        <f t="shared" si="1056"/>
        <v>3472.6830000000004</v>
      </c>
      <c r="BI372" s="132">
        <f t="shared" si="1056"/>
        <v>3526.6830000000004</v>
      </c>
      <c r="BJ372" s="300">
        <f t="shared" si="1056"/>
        <v>3526.6830000000004</v>
      </c>
      <c r="BK372" s="132">
        <f>BK368*BK369+BK356</f>
        <v>3432.6830000000004</v>
      </c>
      <c r="BL372" s="132">
        <f>BL368*BL369+BL356</f>
        <v>3333.6830000000004</v>
      </c>
      <c r="BM372" s="132">
        <f>BM368*BM369+BM356</f>
        <v>3461.6830000000004</v>
      </c>
      <c r="BN372" s="132">
        <f>BN368*BN369+BN356</f>
        <v>3638.6830000000004</v>
      </c>
      <c r="BO372" s="300">
        <f t="shared" si="1056"/>
        <v>3638.6830000000004</v>
      </c>
      <c r="BP372" s="132"/>
      <c r="BQ372" s="132"/>
      <c r="BR372" s="132"/>
      <c r="BS372" s="132"/>
      <c r="BT372" s="300">
        <f t="shared" si="1056"/>
        <v>3498.6830000000004</v>
      </c>
      <c r="BU372" s="132"/>
      <c r="BV372" s="132"/>
      <c r="BW372" s="132"/>
      <c r="BX372" s="132"/>
      <c r="BY372" s="300">
        <f>BY368*BY369+BY356</f>
        <v>3119.6830000000004</v>
      </c>
      <c r="BZ372" s="132"/>
      <c r="CA372" s="132"/>
      <c r="CB372" s="132"/>
      <c r="CC372" s="132"/>
      <c r="CD372" s="300">
        <f>CD368*CD369+CD356</f>
        <v>2556.6830000000004</v>
      </c>
      <c r="CE372" s="132"/>
      <c r="CF372" s="132"/>
      <c r="CG372" s="132"/>
      <c r="CH372" s="132"/>
      <c r="CI372" s="300">
        <f>CI368*CI369+CI356</f>
        <v>2067.6830000000004</v>
      </c>
      <c r="CJ372" s="132"/>
      <c r="CK372" s="132"/>
      <c r="CL372" s="132"/>
      <c r="CM372" s="132"/>
      <c r="CN372" s="300">
        <f>CN368*CN369+CN356</f>
        <v>2077.0756238084691</v>
      </c>
      <c r="CO372" s="132"/>
      <c r="CP372" s="132"/>
      <c r="CQ372" s="132"/>
      <c r="CR372" s="132"/>
      <c r="CS372" s="300">
        <f>CS368*CS369+CS356</f>
        <v>2161.5656755103309</v>
      </c>
      <c r="CT372" s="132"/>
      <c r="CU372" s="132"/>
      <c r="CV372" s="132"/>
      <c r="CW372" s="132"/>
      <c r="CX372" s="300">
        <f>CX368*CX369+CX356</f>
        <v>2173.1300116905195</v>
      </c>
      <c r="CY372" s="132"/>
      <c r="CZ372" s="132"/>
      <c r="DA372" s="132"/>
      <c r="DB372" s="132"/>
      <c r="DC372" s="300">
        <f>DC368*DC369+DC356</f>
        <v>2009.687147508653</v>
      </c>
      <c r="DD372" s="25"/>
      <c r="DE372" s="178"/>
      <c r="DJ372" s="430"/>
      <c r="DK372" s="389"/>
      <c r="DL372" s="389"/>
      <c r="DM372" s="389"/>
      <c r="DN372" s="389"/>
      <c r="DO372" s="389"/>
      <c r="DP372" s="389"/>
      <c r="DQ372" s="389"/>
      <c r="DR372" s="487"/>
      <c r="DS372" s="25"/>
    </row>
    <row r="373" spans="1:123" hidden="1" x14ac:dyDescent="0.2">
      <c r="A373" s="141"/>
      <c r="B373" s="316"/>
      <c r="C373" s="41"/>
      <c r="D373" s="41"/>
      <c r="E373" s="41"/>
      <c r="F373" s="41"/>
      <c r="G373" s="316"/>
      <c r="H373" s="41"/>
      <c r="I373" s="41"/>
      <c r="J373" s="41"/>
      <c r="K373" s="41"/>
      <c r="L373" s="316"/>
      <c r="M373" s="41"/>
      <c r="N373" s="41"/>
      <c r="O373" s="41"/>
      <c r="P373" s="41"/>
      <c r="Q373" s="316"/>
      <c r="R373" s="179"/>
      <c r="S373" s="179"/>
      <c r="T373" s="179"/>
      <c r="U373" s="179"/>
      <c r="V373" s="316"/>
      <c r="W373" s="179"/>
      <c r="X373" s="179"/>
      <c r="Y373" s="179"/>
      <c r="Z373" s="179"/>
      <c r="AA373" s="316"/>
      <c r="AB373" s="179"/>
      <c r="AC373" s="179"/>
      <c r="AD373" s="179"/>
      <c r="AE373" s="179"/>
      <c r="AF373" s="316"/>
      <c r="AG373" s="179"/>
      <c r="AH373" s="179"/>
      <c r="AI373" s="180"/>
      <c r="AJ373" s="179"/>
      <c r="AK373" s="323"/>
      <c r="AL373" s="136"/>
      <c r="AM373" s="136"/>
      <c r="AN373" s="136"/>
      <c r="AO373" s="136"/>
      <c r="AP373" s="323"/>
      <c r="AQ373" s="136"/>
      <c r="AR373" s="136"/>
      <c r="AS373" s="136"/>
      <c r="AT373" s="136"/>
      <c r="AU373" s="323"/>
      <c r="AV373" s="132"/>
      <c r="AW373" s="132"/>
      <c r="AX373" s="132"/>
      <c r="AY373" s="132"/>
      <c r="AZ373" s="300"/>
      <c r="BA373" s="132"/>
      <c r="BB373" s="132"/>
      <c r="BC373" s="132"/>
      <c r="BD373" s="132"/>
      <c r="BE373" s="300"/>
      <c r="BF373" s="132"/>
      <c r="BG373" s="132"/>
      <c r="BH373" s="132"/>
      <c r="BI373" s="132"/>
      <c r="BJ373" s="300"/>
      <c r="BK373" s="132"/>
      <c r="BL373" s="132"/>
      <c r="BM373" s="132"/>
      <c r="BN373" s="132"/>
      <c r="BO373" s="300"/>
      <c r="BP373" s="132"/>
      <c r="BQ373" s="132"/>
      <c r="BR373" s="132"/>
      <c r="BS373" s="132"/>
      <c r="BT373" s="300"/>
      <c r="BU373" s="132"/>
      <c r="BV373" s="132"/>
      <c r="BW373" s="132"/>
      <c r="BX373" s="132"/>
      <c r="BY373" s="300"/>
      <c r="BZ373" s="132"/>
      <c r="CA373" s="132"/>
      <c r="CB373" s="132"/>
      <c r="CC373" s="132"/>
      <c r="CD373" s="300"/>
      <c r="CE373" s="132"/>
      <c r="CF373" s="132"/>
      <c r="CG373" s="132"/>
      <c r="CH373" s="132"/>
      <c r="CI373" s="300"/>
      <c r="CJ373" s="132"/>
      <c r="CK373" s="132"/>
      <c r="CL373" s="132"/>
      <c r="CM373" s="132"/>
      <c r="CN373" s="300"/>
      <c r="CO373" s="132"/>
      <c r="CP373" s="132"/>
      <c r="CQ373" s="132"/>
      <c r="CR373" s="132"/>
      <c r="CS373" s="300"/>
      <c r="CT373" s="132"/>
      <c r="CU373" s="132"/>
      <c r="CV373" s="132"/>
      <c r="CW373" s="132"/>
      <c r="CX373" s="300"/>
      <c r="CY373" s="132"/>
      <c r="CZ373" s="132"/>
      <c r="DA373" s="132"/>
      <c r="DB373" s="132"/>
      <c r="DC373" s="300"/>
      <c r="DD373" s="25"/>
      <c r="DE373" s="178"/>
      <c r="DJ373" s="430"/>
      <c r="DK373" s="389"/>
      <c r="DL373" s="389"/>
      <c r="DM373" s="389"/>
      <c r="DN373" s="389"/>
      <c r="DO373" s="389"/>
      <c r="DP373" s="389"/>
      <c r="DQ373" s="389"/>
      <c r="DR373" s="487"/>
      <c r="DS373" s="25"/>
    </row>
    <row r="374" spans="1:123" hidden="1" x14ac:dyDescent="0.2">
      <c r="A374" s="141" t="s">
        <v>102</v>
      </c>
      <c r="B374" s="316"/>
      <c r="C374" s="41"/>
      <c r="D374" s="41"/>
      <c r="E374" s="41"/>
      <c r="F374" s="41"/>
      <c r="G374" s="316"/>
      <c r="H374" s="41"/>
      <c r="I374" s="41"/>
      <c r="J374" s="41"/>
      <c r="K374" s="41"/>
      <c r="L374" s="316"/>
      <c r="M374" s="41"/>
      <c r="N374" s="41"/>
      <c r="O374" s="41"/>
      <c r="P374" s="41"/>
      <c r="Q374" s="316"/>
      <c r="R374" s="179"/>
      <c r="S374" s="179"/>
      <c r="T374" s="179"/>
      <c r="U374" s="179"/>
      <c r="V374" s="316"/>
      <c r="W374" s="179"/>
      <c r="X374" s="179"/>
      <c r="Y374" s="179"/>
      <c r="Z374" s="179"/>
      <c r="AA374" s="316"/>
      <c r="AB374" s="179"/>
      <c r="AC374" s="179"/>
      <c r="AD374" s="179"/>
      <c r="AE374" s="179"/>
      <c r="AF374" s="316"/>
      <c r="AG374" s="179"/>
      <c r="AH374" s="179"/>
      <c r="AI374" s="180"/>
      <c r="AJ374" s="179"/>
      <c r="AK374" s="323"/>
      <c r="AL374" s="136"/>
      <c r="AM374" s="136"/>
      <c r="AN374" s="136"/>
      <c r="AO374" s="136"/>
      <c r="AP374" s="323"/>
      <c r="AQ374" s="136"/>
      <c r="AR374" s="136"/>
      <c r="AS374" s="136"/>
      <c r="AT374" s="136"/>
      <c r="AU374" s="323"/>
      <c r="AV374" s="132">
        <f t="shared" ref="AV374:BT374" si="1057">AV368*AV369+AV362</f>
        <v>4177.683</v>
      </c>
      <c r="AW374" s="132">
        <f t="shared" si="1057"/>
        <v>4376.4930000000004</v>
      </c>
      <c r="AX374" s="132">
        <f t="shared" si="1057"/>
        <v>4481.643</v>
      </c>
      <c r="AY374" s="132">
        <f t="shared" si="1057"/>
        <v>4311.6830000000009</v>
      </c>
      <c r="AZ374" s="300">
        <f t="shared" si="1057"/>
        <v>4325.6830000000009</v>
      </c>
      <c r="BA374" s="132">
        <f t="shared" si="1057"/>
        <v>4180.8430000000008</v>
      </c>
      <c r="BB374" s="132">
        <f t="shared" si="1057"/>
        <v>4203.8230000000003</v>
      </c>
      <c r="BC374" s="132">
        <f t="shared" si="1057"/>
        <v>4569.7130000000006</v>
      </c>
      <c r="BD374" s="132">
        <f t="shared" si="1057"/>
        <v>4645.5630000000001</v>
      </c>
      <c r="BE374" s="300">
        <f t="shared" si="1057"/>
        <v>4603.5630000000001</v>
      </c>
      <c r="BF374" s="132">
        <f t="shared" si="1057"/>
        <v>4460.2430000000004</v>
      </c>
      <c r="BG374" s="132">
        <f t="shared" si="1057"/>
        <v>4374.6830000000009</v>
      </c>
      <c r="BH374" s="132">
        <f t="shared" si="1057"/>
        <v>4304.6830000000009</v>
      </c>
      <c r="BI374" s="132">
        <f t="shared" si="1057"/>
        <v>4383.6830000000009</v>
      </c>
      <c r="BJ374" s="300">
        <f t="shared" si="1057"/>
        <v>4404.6830000000009</v>
      </c>
      <c r="BK374" s="132">
        <f>BK368*BK369+BK362</f>
        <v>4291.6830000000009</v>
      </c>
      <c r="BL374" s="132">
        <f>BL368*BL369+BL362</f>
        <v>4202.6830000000009</v>
      </c>
      <c r="BM374" s="132">
        <f>BM368*BM369+BM362</f>
        <v>4302.6830000000009</v>
      </c>
      <c r="BN374" s="132">
        <f>BN368*BN369+BN362</f>
        <v>4483.6830000000009</v>
      </c>
      <c r="BO374" s="300">
        <f t="shared" si="1057"/>
        <v>4497.6830000000009</v>
      </c>
      <c r="BP374" s="132"/>
      <c r="BQ374" s="132"/>
      <c r="BR374" s="132"/>
      <c r="BS374" s="132"/>
      <c r="BT374" s="300">
        <f t="shared" si="1057"/>
        <v>4337.6830000000009</v>
      </c>
      <c r="BU374" s="132"/>
      <c r="BV374" s="132"/>
      <c r="BW374" s="132"/>
      <c r="BX374" s="132"/>
      <c r="BY374" s="300">
        <f>BY368*BY369+BY362</f>
        <v>3926.6830000000004</v>
      </c>
      <c r="BZ374" s="132"/>
      <c r="CA374" s="132"/>
      <c r="CB374" s="132"/>
      <c r="CC374" s="132"/>
      <c r="CD374" s="300">
        <f>CD368*CD369+CD362</f>
        <v>3347.6830000000004</v>
      </c>
      <c r="CE374" s="132"/>
      <c r="CF374" s="132"/>
      <c r="CG374" s="132"/>
      <c r="CH374" s="132"/>
      <c r="CI374" s="300">
        <f>CI368*CI369+CI362</f>
        <v>2782.6830000000004</v>
      </c>
      <c r="CJ374" s="132"/>
      <c r="CK374" s="132"/>
      <c r="CL374" s="132"/>
      <c r="CM374" s="132"/>
      <c r="CN374" s="300">
        <f>CN368*CN369+CN362</f>
        <v>2723.2338240987447</v>
      </c>
      <c r="CO374" s="132"/>
      <c r="CP374" s="132"/>
      <c r="CQ374" s="132"/>
      <c r="CR374" s="132"/>
      <c r="CS374" s="300">
        <f>CS368*CS369+CS362</f>
        <v>2754.2133854747867</v>
      </c>
      <c r="CT374" s="132"/>
      <c r="CU374" s="132"/>
      <c r="CV374" s="132"/>
      <c r="CW374" s="132"/>
      <c r="CX374" s="300">
        <f>CX368*CX369+CX362</f>
        <v>2730.1656425753063</v>
      </c>
      <c r="CY374" s="132"/>
      <c r="CZ374" s="132"/>
      <c r="DA374" s="132"/>
      <c r="DB374" s="132"/>
      <c r="DC374" s="300">
        <f>DC368*DC369+DC362</f>
        <v>2552.3523194351192</v>
      </c>
      <c r="DD374" s="25"/>
      <c r="DE374" s="178"/>
      <c r="DJ374" s="430"/>
      <c r="DK374" s="389"/>
      <c r="DL374" s="389"/>
      <c r="DM374" s="389"/>
      <c r="DN374" s="389"/>
      <c r="DO374" s="389"/>
      <c r="DP374" s="389"/>
      <c r="DQ374" s="389"/>
      <c r="DR374" s="487"/>
      <c r="DS374" s="25"/>
    </row>
    <row r="375" spans="1:123" hidden="1" x14ac:dyDescent="0.2">
      <c r="A375" s="141" t="s">
        <v>103</v>
      </c>
      <c r="B375" s="316"/>
      <c r="C375" s="41"/>
      <c r="D375" s="41"/>
      <c r="E375" s="41"/>
      <c r="F375" s="41"/>
      <c r="G375" s="316"/>
      <c r="H375" s="41"/>
      <c r="I375" s="41"/>
      <c r="J375" s="41"/>
      <c r="K375" s="41"/>
      <c r="L375" s="316"/>
      <c r="M375" s="41"/>
      <c r="N375" s="41"/>
      <c r="O375" s="41"/>
      <c r="P375" s="41"/>
      <c r="Q375" s="316"/>
      <c r="R375" s="179"/>
      <c r="S375" s="179"/>
      <c r="T375" s="179"/>
      <c r="U375" s="179"/>
      <c r="V375" s="316"/>
      <c r="W375" s="179"/>
      <c r="X375" s="179"/>
      <c r="Y375" s="179"/>
      <c r="Z375" s="179"/>
      <c r="AA375" s="316"/>
      <c r="AB375" s="179"/>
      <c r="AC375" s="179"/>
      <c r="AD375" s="179"/>
      <c r="AE375" s="179"/>
      <c r="AF375" s="316"/>
      <c r="AG375" s="179"/>
      <c r="AH375" s="179"/>
      <c r="AI375" s="180"/>
      <c r="AJ375" s="179"/>
      <c r="AK375" s="323"/>
      <c r="AL375" s="136"/>
      <c r="AM375" s="136"/>
      <c r="AN375" s="136"/>
      <c r="AO375" s="136"/>
      <c r="AP375" s="323"/>
      <c r="AQ375" s="136"/>
      <c r="AR375" s="136"/>
      <c r="AS375" s="136"/>
      <c r="AT375" s="136"/>
      <c r="AU375" s="323"/>
      <c r="AV375" s="132">
        <f t="shared" ref="AV375:BT375" si="1058">AV368*AV369+AV363</f>
        <v>4387.683</v>
      </c>
      <c r="AW375" s="132">
        <f t="shared" si="1058"/>
        <v>4542.4930000000004</v>
      </c>
      <c r="AX375" s="132">
        <f t="shared" si="1058"/>
        <v>4594.643</v>
      </c>
      <c r="AY375" s="132">
        <f t="shared" si="1058"/>
        <v>4388.6830000000009</v>
      </c>
      <c r="AZ375" s="300">
        <f t="shared" si="1058"/>
        <v>4402.6830000000009</v>
      </c>
      <c r="BA375" s="132">
        <f t="shared" si="1058"/>
        <v>4251.8430000000008</v>
      </c>
      <c r="BB375" s="132">
        <f t="shared" si="1058"/>
        <v>4273.8230000000003</v>
      </c>
      <c r="BC375" s="132">
        <f t="shared" si="1058"/>
        <v>4638.7130000000006</v>
      </c>
      <c r="BD375" s="132">
        <f t="shared" si="1058"/>
        <v>4713.5630000000001</v>
      </c>
      <c r="BE375" s="300">
        <f t="shared" si="1058"/>
        <v>4671.5630000000001</v>
      </c>
      <c r="BF375" s="132">
        <f t="shared" si="1058"/>
        <v>4526.2430000000004</v>
      </c>
      <c r="BG375" s="132">
        <f t="shared" si="1058"/>
        <v>4439.6830000000009</v>
      </c>
      <c r="BH375" s="132">
        <f t="shared" si="1058"/>
        <v>4368.6830000000009</v>
      </c>
      <c r="BI375" s="132">
        <f t="shared" si="1058"/>
        <v>4450.6830000000009</v>
      </c>
      <c r="BJ375" s="300">
        <f t="shared" si="1058"/>
        <v>4471.6830000000009</v>
      </c>
      <c r="BK375" s="132">
        <f>BK368*BK369+BK363</f>
        <v>4356.6830000000009</v>
      </c>
      <c r="BL375" s="132">
        <f>BL368*BL369+BL363</f>
        <v>4257.6830000000009</v>
      </c>
      <c r="BM375" s="132">
        <f>BM368*BM369+BM363</f>
        <v>4357.6830000000009</v>
      </c>
      <c r="BN375" s="132">
        <f>BN368*BN369+BN363</f>
        <v>4534.6830000000009</v>
      </c>
      <c r="BO375" s="300">
        <f t="shared" si="1058"/>
        <v>4548.6830000000009</v>
      </c>
      <c r="BP375" s="132"/>
      <c r="BQ375" s="132"/>
      <c r="BR375" s="132"/>
      <c r="BS375" s="132"/>
      <c r="BT375" s="300">
        <f t="shared" si="1058"/>
        <v>4394.6830000000009</v>
      </c>
      <c r="BU375" s="132"/>
      <c r="BV375" s="132"/>
      <c r="BW375" s="132"/>
      <c r="BX375" s="132"/>
      <c r="BY375" s="300">
        <f>BY368*BY369+BY363</f>
        <v>3987.6830000000004</v>
      </c>
      <c r="BZ375" s="132"/>
      <c r="CA375" s="132"/>
      <c r="CB375" s="132"/>
      <c r="CC375" s="132"/>
      <c r="CD375" s="300">
        <f>CD368*CD369+CD363</f>
        <v>3410.6830000000004</v>
      </c>
      <c r="CE375" s="132"/>
      <c r="CF375" s="132"/>
      <c r="CG375" s="132"/>
      <c r="CH375" s="132"/>
      <c r="CI375" s="300">
        <f>CI368*CI369+CI363</f>
        <v>2844.6830000000004</v>
      </c>
      <c r="CJ375" s="132"/>
      <c r="CK375" s="132"/>
      <c r="CL375" s="132"/>
      <c r="CM375" s="132"/>
      <c r="CN375" s="300">
        <f>CN368*CN369+CN363</f>
        <v>2784.0756238084691</v>
      </c>
      <c r="CO375" s="132"/>
      <c r="CP375" s="132"/>
      <c r="CQ375" s="132"/>
      <c r="CR375" s="132"/>
      <c r="CS375" s="300">
        <f>CS368*CS369+CS363</f>
        <v>2819.8959856973315</v>
      </c>
      <c r="CT375" s="132"/>
      <c r="CU375" s="132"/>
      <c r="CV375" s="132"/>
      <c r="CW375" s="132"/>
      <c r="CX375" s="300">
        <f>CX368*CX369+CX363</f>
        <v>2800.7974267246195</v>
      </c>
      <c r="CY375" s="132"/>
      <c r="CZ375" s="132"/>
      <c r="DA375" s="132"/>
      <c r="DB375" s="132"/>
      <c r="DC375" s="300">
        <f>DC368*DC369+DC363</f>
        <v>2628.3062085200831</v>
      </c>
      <c r="DD375" s="25"/>
      <c r="DE375" s="178"/>
      <c r="DJ375" s="430"/>
      <c r="DK375" s="389"/>
      <c r="DL375" s="389"/>
      <c r="DM375" s="389"/>
      <c r="DN375" s="389"/>
      <c r="DO375" s="389"/>
      <c r="DP375" s="389"/>
      <c r="DQ375" s="389"/>
      <c r="DR375" s="487"/>
      <c r="DS375" s="25"/>
    </row>
    <row r="376" spans="1:123" hidden="1" x14ac:dyDescent="0.2">
      <c r="A376" s="141"/>
      <c r="B376" s="316"/>
      <c r="C376" s="41"/>
      <c r="D376" s="41"/>
      <c r="E376" s="41"/>
      <c r="F376" s="41"/>
      <c r="G376" s="316"/>
      <c r="H376" s="41"/>
      <c r="I376" s="41"/>
      <c r="J376" s="41"/>
      <c r="K376" s="41"/>
      <c r="L376" s="316"/>
      <c r="M376" s="41"/>
      <c r="N376" s="41"/>
      <c r="O376" s="41"/>
      <c r="P376" s="41"/>
      <c r="Q376" s="316"/>
      <c r="R376" s="179"/>
      <c r="S376" s="179"/>
      <c r="T376" s="179"/>
      <c r="U376" s="179"/>
      <c r="V376" s="316"/>
      <c r="W376" s="179"/>
      <c r="X376" s="179"/>
      <c r="Y376" s="179"/>
      <c r="Z376" s="179"/>
      <c r="AA376" s="316"/>
      <c r="AB376" s="179"/>
      <c r="AC376" s="179"/>
      <c r="AD376" s="179"/>
      <c r="AE376" s="179"/>
      <c r="AF376" s="316"/>
      <c r="AG376" s="179"/>
      <c r="AH376" s="179"/>
      <c r="AI376" s="180"/>
      <c r="AJ376" s="179"/>
      <c r="AK376" s="323"/>
      <c r="AL376" s="136"/>
      <c r="AM376" s="136"/>
      <c r="AN376" s="136"/>
      <c r="AO376" s="136"/>
      <c r="AP376" s="323"/>
      <c r="AQ376" s="136"/>
      <c r="AR376" s="136"/>
      <c r="AS376" s="136"/>
      <c r="AT376" s="136"/>
      <c r="AU376" s="323"/>
      <c r="AV376" s="132"/>
      <c r="AW376" s="132"/>
      <c r="AX376" s="132"/>
      <c r="AY376" s="132"/>
      <c r="AZ376" s="300"/>
      <c r="BA376" s="132"/>
      <c r="BB376" s="132"/>
      <c r="BC376" s="132"/>
      <c r="BD376" s="132"/>
      <c r="BE376" s="300"/>
      <c r="BF376" s="132"/>
      <c r="BG376" s="132"/>
      <c r="BH376" s="132"/>
      <c r="BI376" s="132"/>
      <c r="BJ376" s="300"/>
      <c r="BK376" s="132"/>
      <c r="BL376" s="132"/>
      <c r="BM376" s="132"/>
      <c r="BN376" s="132"/>
      <c r="BO376" s="300"/>
      <c r="BP376" s="132"/>
      <c r="BQ376" s="132"/>
      <c r="BR376" s="132"/>
      <c r="BS376" s="132"/>
      <c r="BT376" s="300"/>
      <c r="BU376" s="132"/>
      <c r="BV376" s="132"/>
      <c r="BW376" s="132"/>
      <c r="BX376" s="132"/>
      <c r="BY376" s="300"/>
      <c r="BZ376" s="132"/>
      <c r="CA376" s="132"/>
      <c r="CB376" s="132"/>
      <c r="CC376" s="132"/>
      <c r="CD376" s="300"/>
      <c r="CE376" s="132"/>
      <c r="CF376" s="132"/>
      <c r="CG376" s="132"/>
      <c r="CH376" s="132"/>
      <c r="CI376" s="300"/>
      <c r="CJ376" s="132"/>
      <c r="CK376" s="132"/>
      <c r="CL376" s="132"/>
      <c r="CM376" s="132"/>
      <c r="CN376" s="300"/>
      <c r="CO376" s="132"/>
      <c r="CP376" s="132"/>
      <c r="CQ376" s="132"/>
      <c r="CR376" s="132"/>
      <c r="CS376" s="300"/>
      <c r="CT376" s="132"/>
      <c r="CU376" s="132"/>
      <c r="CV376" s="132"/>
      <c r="CW376" s="132"/>
      <c r="CX376" s="300"/>
      <c r="CY376" s="132"/>
      <c r="CZ376" s="132"/>
      <c r="DA376" s="132"/>
      <c r="DB376" s="132"/>
      <c r="DC376" s="300"/>
      <c r="DD376" s="25"/>
      <c r="DE376" s="178"/>
      <c r="DJ376" s="430"/>
      <c r="DK376" s="389"/>
      <c r="DL376" s="389"/>
      <c r="DM376" s="389"/>
      <c r="DN376" s="389"/>
      <c r="DO376" s="389"/>
      <c r="DP376" s="389"/>
      <c r="DQ376" s="389"/>
      <c r="DR376" s="487"/>
      <c r="DS376" s="25"/>
    </row>
    <row r="377" spans="1:123" hidden="1" x14ac:dyDescent="0.2">
      <c r="A377" s="141" t="s">
        <v>104</v>
      </c>
      <c r="B377" s="316"/>
      <c r="C377" s="41"/>
      <c r="D377" s="41"/>
      <c r="E377" s="41"/>
      <c r="F377" s="41"/>
      <c r="G377" s="316"/>
      <c r="H377" s="41"/>
      <c r="I377" s="41"/>
      <c r="J377" s="41"/>
      <c r="K377" s="41"/>
      <c r="L377" s="316"/>
      <c r="M377" s="41"/>
      <c r="N377" s="41"/>
      <c r="O377" s="41"/>
      <c r="P377" s="41"/>
      <c r="Q377" s="316"/>
      <c r="R377" s="179"/>
      <c r="S377" s="179"/>
      <c r="T377" s="179"/>
      <c r="U377" s="179"/>
      <c r="V377" s="316"/>
      <c r="W377" s="179"/>
      <c r="X377" s="179"/>
      <c r="Y377" s="179"/>
      <c r="Z377" s="179"/>
      <c r="AA377" s="316"/>
      <c r="AB377" s="179"/>
      <c r="AC377" s="179"/>
      <c r="AD377" s="179"/>
      <c r="AE377" s="179"/>
      <c r="AF377" s="316"/>
      <c r="AG377" s="179"/>
      <c r="AH377" s="179"/>
      <c r="AI377" s="180"/>
      <c r="AJ377" s="179"/>
      <c r="AK377" s="323"/>
      <c r="AL377" s="136"/>
      <c r="AM377" s="136"/>
      <c r="AN377" s="136"/>
      <c r="AO377" s="136"/>
      <c r="AP377" s="323"/>
      <c r="AQ377" s="136"/>
      <c r="AR377" s="136"/>
      <c r="AS377" s="136"/>
      <c r="AT377" s="136"/>
      <c r="AU377" s="323"/>
      <c r="AV377" s="132">
        <f t="shared" ref="AV377:BT377" si="1059">AV368*AV369+AV365</f>
        <v>4177.683</v>
      </c>
      <c r="AW377" s="132">
        <f t="shared" si="1059"/>
        <v>4376.4930000000004</v>
      </c>
      <c r="AX377" s="132">
        <f t="shared" si="1059"/>
        <v>4481.643</v>
      </c>
      <c r="AY377" s="132">
        <f t="shared" si="1059"/>
        <v>4311.6830000000009</v>
      </c>
      <c r="AZ377" s="300">
        <f t="shared" si="1059"/>
        <v>4325.6830000000009</v>
      </c>
      <c r="BA377" s="132">
        <f t="shared" si="1059"/>
        <v>4180.8430000000008</v>
      </c>
      <c r="BB377" s="132">
        <f t="shared" si="1059"/>
        <v>4203.8230000000003</v>
      </c>
      <c r="BC377" s="132">
        <f t="shared" si="1059"/>
        <v>4569.7130000000006</v>
      </c>
      <c r="BD377" s="132">
        <f t="shared" si="1059"/>
        <v>4645.5630000000001</v>
      </c>
      <c r="BE377" s="300">
        <f t="shared" si="1059"/>
        <v>4603.5630000000001</v>
      </c>
      <c r="BF377" s="132">
        <f t="shared" si="1059"/>
        <v>4460.2430000000004</v>
      </c>
      <c r="BG377" s="132">
        <f t="shared" si="1059"/>
        <v>4374.6830000000009</v>
      </c>
      <c r="BH377" s="132">
        <f t="shared" si="1059"/>
        <v>4304.6830000000009</v>
      </c>
      <c r="BI377" s="132">
        <f t="shared" si="1059"/>
        <v>4383.6830000000009</v>
      </c>
      <c r="BJ377" s="300">
        <f t="shared" si="1059"/>
        <v>4404.6830000000009</v>
      </c>
      <c r="BK377" s="132">
        <f>BK368*BK369+BK365</f>
        <v>4291.6830000000009</v>
      </c>
      <c r="BL377" s="132">
        <f>BL368*BL369+BL365</f>
        <v>4202.6830000000009</v>
      </c>
      <c r="BM377" s="132">
        <f>BM368*BM369+BM365</f>
        <v>4302.6830000000009</v>
      </c>
      <c r="BN377" s="132">
        <f>BN368*BN369+BN365</f>
        <v>4483.6830000000009</v>
      </c>
      <c r="BO377" s="300">
        <f t="shared" si="1059"/>
        <v>4497.6830000000009</v>
      </c>
      <c r="BP377" s="132"/>
      <c r="BQ377" s="132"/>
      <c r="BR377" s="132"/>
      <c r="BS377" s="132"/>
      <c r="BT377" s="300">
        <f t="shared" si="1059"/>
        <v>4337.6830000000009</v>
      </c>
      <c r="BU377" s="132"/>
      <c r="BV377" s="132"/>
      <c r="BW377" s="132"/>
      <c r="BX377" s="132"/>
      <c r="BY377" s="300">
        <f>BY368*BY369+BY365</f>
        <v>3926.6830000000004</v>
      </c>
      <c r="BZ377" s="132"/>
      <c r="CA377" s="132"/>
      <c r="CB377" s="132"/>
      <c r="CC377" s="132"/>
      <c r="CD377" s="300">
        <f>CD368*CD369+CD365</f>
        <v>3347.6830000000004</v>
      </c>
      <c r="CE377" s="132"/>
      <c r="CF377" s="132"/>
      <c r="CG377" s="132"/>
      <c r="CH377" s="132"/>
      <c r="CI377" s="300">
        <f>CI368*CI369+CI365</f>
        <v>2782.6830000000004</v>
      </c>
      <c r="CJ377" s="132"/>
      <c r="CK377" s="132"/>
      <c r="CL377" s="132"/>
      <c r="CM377" s="132"/>
      <c r="CN377" s="300">
        <f>CN368*CN369+CN365</f>
        <v>2723.2338240987447</v>
      </c>
      <c r="CO377" s="132"/>
      <c r="CP377" s="132"/>
      <c r="CQ377" s="132"/>
      <c r="CR377" s="132"/>
      <c r="CS377" s="300">
        <f>CS368*CS369+CS365</f>
        <v>2754.2133854747867</v>
      </c>
      <c r="CT377" s="132"/>
      <c r="CU377" s="132"/>
      <c r="CV377" s="132"/>
      <c r="CW377" s="132"/>
      <c r="CX377" s="300">
        <f>CX368*CX369+CX365</f>
        <v>2730.1656425753063</v>
      </c>
      <c r="CY377" s="132"/>
      <c r="CZ377" s="132"/>
      <c r="DA377" s="132"/>
      <c r="DB377" s="132"/>
      <c r="DC377" s="300">
        <f>DC368*DC369+DC365</f>
        <v>2552.3523194351192</v>
      </c>
      <c r="DD377" s="25"/>
      <c r="DE377" s="178"/>
      <c r="DJ377" s="430"/>
      <c r="DK377" s="389"/>
      <c r="DL377" s="389"/>
      <c r="DM377" s="389"/>
      <c r="DN377" s="389"/>
      <c r="DO377" s="389"/>
      <c r="DP377" s="389"/>
      <c r="DQ377" s="389"/>
      <c r="DR377" s="487"/>
      <c r="DS377" s="25"/>
    </row>
    <row r="378" spans="1:123" hidden="1" x14ac:dyDescent="0.2">
      <c r="A378" s="141" t="s">
        <v>105</v>
      </c>
      <c r="B378" s="316"/>
      <c r="C378" s="41"/>
      <c r="D378" s="41"/>
      <c r="E378" s="41"/>
      <c r="F378" s="41"/>
      <c r="G378" s="316"/>
      <c r="H378" s="41"/>
      <c r="I378" s="41"/>
      <c r="J378" s="41"/>
      <c r="K378" s="41"/>
      <c r="L378" s="316"/>
      <c r="M378" s="41"/>
      <c r="N378" s="41"/>
      <c r="O378" s="41"/>
      <c r="P378" s="41"/>
      <c r="Q378" s="316"/>
      <c r="R378" s="179"/>
      <c r="S378" s="179"/>
      <c r="T378" s="179"/>
      <c r="U378" s="179"/>
      <c r="V378" s="316"/>
      <c r="W378" s="179"/>
      <c r="X378" s="179"/>
      <c r="Y378" s="179"/>
      <c r="Z378" s="179"/>
      <c r="AA378" s="316"/>
      <c r="AB378" s="179"/>
      <c r="AC378" s="179"/>
      <c r="AD378" s="179"/>
      <c r="AE378" s="179"/>
      <c r="AF378" s="316"/>
      <c r="AG378" s="179"/>
      <c r="AH378" s="179"/>
      <c r="AI378" s="180"/>
      <c r="AJ378" s="179"/>
      <c r="AK378" s="323"/>
      <c r="AL378" s="136"/>
      <c r="AM378" s="136"/>
      <c r="AN378" s="136"/>
      <c r="AO378" s="136"/>
      <c r="AP378" s="323"/>
      <c r="AQ378" s="136"/>
      <c r="AR378" s="136"/>
      <c r="AS378" s="136"/>
      <c r="AT378" s="136"/>
      <c r="AU378" s="323"/>
      <c r="AV378" s="132">
        <f t="shared" ref="AV378:BT378" si="1060">AV368*AV369+AV366</f>
        <v>4387.683</v>
      </c>
      <c r="AW378" s="132">
        <f t="shared" si="1060"/>
        <v>4542.4930000000004</v>
      </c>
      <c r="AX378" s="132">
        <f t="shared" si="1060"/>
        <v>4594.643</v>
      </c>
      <c r="AY378" s="132">
        <f t="shared" si="1060"/>
        <v>4388.6830000000009</v>
      </c>
      <c r="AZ378" s="300">
        <f t="shared" si="1060"/>
        <v>4402.6830000000009</v>
      </c>
      <c r="BA378" s="132">
        <f t="shared" si="1060"/>
        <v>4251.8430000000008</v>
      </c>
      <c r="BB378" s="132">
        <f t="shared" si="1060"/>
        <v>4273.8230000000003</v>
      </c>
      <c r="BC378" s="132">
        <f t="shared" si="1060"/>
        <v>4638.7130000000006</v>
      </c>
      <c r="BD378" s="132">
        <f t="shared" si="1060"/>
        <v>4713.5630000000001</v>
      </c>
      <c r="BE378" s="300">
        <f t="shared" si="1060"/>
        <v>4671.5630000000001</v>
      </c>
      <c r="BF378" s="132">
        <f t="shared" si="1060"/>
        <v>4526.2430000000004</v>
      </c>
      <c r="BG378" s="132">
        <f t="shared" si="1060"/>
        <v>4439.6830000000009</v>
      </c>
      <c r="BH378" s="132">
        <f t="shared" si="1060"/>
        <v>4368.6830000000009</v>
      </c>
      <c r="BI378" s="132">
        <f t="shared" si="1060"/>
        <v>4450.6830000000009</v>
      </c>
      <c r="BJ378" s="300">
        <f t="shared" si="1060"/>
        <v>4471.6830000000009</v>
      </c>
      <c r="BK378" s="132">
        <f>BK368*BK369+BK366</f>
        <v>4356.6830000000009</v>
      </c>
      <c r="BL378" s="132">
        <f>BL368*BL369+BL366</f>
        <v>4257.6830000000009</v>
      </c>
      <c r="BM378" s="132">
        <f>BM368*BM369+BM366</f>
        <v>4357.6830000000009</v>
      </c>
      <c r="BN378" s="132">
        <f>BN368*BN369+BN366</f>
        <v>4534.6830000000009</v>
      </c>
      <c r="BO378" s="300">
        <f t="shared" si="1060"/>
        <v>4548.6830000000009</v>
      </c>
      <c r="BP378" s="132"/>
      <c r="BQ378" s="132"/>
      <c r="BR378" s="132"/>
      <c r="BS378" s="132"/>
      <c r="BT378" s="300">
        <f t="shared" si="1060"/>
        <v>4394.6830000000009</v>
      </c>
      <c r="BU378" s="132"/>
      <c r="BV378" s="132"/>
      <c r="BW378" s="132"/>
      <c r="BX378" s="132"/>
      <c r="BY378" s="300">
        <f>BY368*BY369+BY366</f>
        <v>3987.6830000000004</v>
      </c>
      <c r="BZ378" s="132"/>
      <c r="CA378" s="132"/>
      <c r="CB378" s="132"/>
      <c r="CC378" s="132"/>
      <c r="CD378" s="300">
        <f>CD368*CD369+CD366</f>
        <v>3410.6830000000004</v>
      </c>
      <c r="CE378" s="132"/>
      <c r="CF378" s="132"/>
      <c r="CG378" s="132"/>
      <c r="CH378" s="132"/>
      <c r="CI378" s="300">
        <f>CI368*CI369+CI366</f>
        <v>2844.6830000000004</v>
      </c>
      <c r="CJ378" s="132"/>
      <c r="CK378" s="132"/>
      <c r="CL378" s="132"/>
      <c r="CM378" s="132"/>
      <c r="CN378" s="300">
        <f>CN368*CN369+CN366</f>
        <v>2784.0756238084691</v>
      </c>
      <c r="CO378" s="132"/>
      <c r="CP378" s="132"/>
      <c r="CQ378" s="132"/>
      <c r="CR378" s="132"/>
      <c r="CS378" s="300">
        <f>CS368*CS369+CS366</f>
        <v>2819.8959856973315</v>
      </c>
      <c r="CT378" s="132"/>
      <c r="CU378" s="132"/>
      <c r="CV378" s="132"/>
      <c r="CW378" s="132"/>
      <c r="CX378" s="300">
        <f>CX368*CX369+CX366</f>
        <v>2800.7974267246195</v>
      </c>
      <c r="CY378" s="132"/>
      <c r="CZ378" s="132"/>
      <c r="DA378" s="132"/>
      <c r="DB378" s="132"/>
      <c r="DC378" s="300">
        <f>DC368*DC369+DC366</f>
        <v>2628.3062085200831</v>
      </c>
      <c r="DD378" s="25"/>
      <c r="DE378" s="178"/>
      <c r="DJ378" s="430"/>
      <c r="DK378" s="389"/>
      <c r="DL378" s="389"/>
      <c r="DM378" s="389"/>
      <c r="DN378" s="389"/>
      <c r="DO378" s="389"/>
      <c r="DP378" s="389"/>
      <c r="DQ378" s="389"/>
      <c r="DR378" s="487"/>
      <c r="DS378" s="25"/>
    </row>
    <row r="379" spans="1:123" hidden="1" x14ac:dyDescent="0.2">
      <c r="A379" s="152" t="s">
        <v>106</v>
      </c>
      <c r="B379" s="316"/>
      <c r="C379" s="41"/>
      <c r="D379" s="41"/>
      <c r="E379" s="41"/>
      <c r="F379" s="41"/>
      <c r="G379" s="316"/>
      <c r="H379" s="41"/>
      <c r="I379" s="41"/>
      <c r="J379" s="41"/>
      <c r="K379" s="41"/>
      <c r="L379" s="316"/>
      <c r="M379" s="41"/>
      <c r="N379" s="41"/>
      <c r="O379" s="41"/>
      <c r="P379" s="41"/>
      <c r="Q379" s="316"/>
      <c r="R379" s="179"/>
      <c r="S379" s="179"/>
      <c r="T379" s="179"/>
      <c r="U379" s="179"/>
      <c r="V379" s="316"/>
      <c r="W379" s="179"/>
      <c r="X379" s="179"/>
      <c r="Y379" s="179"/>
      <c r="Z379" s="179"/>
      <c r="AA379" s="316"/>
      <c r="AB379" s="179"/>
      <c r="AC379" s="179"/>
      <c r="AD379" s="179"/>
      <c r="AE379" s="179"/>
      <c r="AF379" s="316"/>
      <c r="AG379" s="179"/>
      <c r="AH379" s="179"/>
      <c r="AI379" s="180"/>
      <c r="AJ379" s="179"/>
      <c r="AK379" s="323"/>
      <c r="AL379" s="136"/>
      <c r="AM379" s="136"/>
      <c r="AN379" s="136"/>
      <c r="AO379" s="136"/>
      <c r="AP379" s="323"/>
      <c r="AQ379" s="136"/>
      <c r="AR379" s="136"/>
      <c r="AS379" s="136"/>
      <c r="AT379" s="136"/>
      <c r="AU379" s="323"/>
      <c r="AV379" s="136"/>
      <c r="AW379" s="136"/>
      <c r="AX379" s="136"/>
      <c r="AY379" s="136"/>
      <c r="AZ379" s="323"/>
      <c r="BA379" s="136"/>
      <c r="BB379" s="136"/>
      <c r="BC379" s="136"/>
      <c r="BD379" s="136"/>
      <c r="BE379" s="323"/>
      <c r="BF379" s="136"/>
      <c r="BG379" s="136"/>
      <c r="BH379" s="136"/>
      <c r="BI379" s="136"/>
      <c r="BJ379" s="323"/>
      <c r="BK379" s="136"/>
      <c r="BL379" s="136"/>
      <c r="BM379" s="136"/>
      <c r="BN379" s="136"/>
      <c r="BO379" s="323"/>
      <c r="BP379" s="136"/>
      <c r="BQ379" s="136"/>
      <c r="BR379" s="136"/>
      <c r="BS379" s="136"/>
      <c r="BT379" s="323"/>
      <c r="BU379" s="136"/>
      <c r="BV379" s="136"/>
      <c r="BW379" s="136"/>
      <c r="BX379" s="136"/>
      <c r="BY379" s="323"/>
      <c r="BZ379" s="136"/>
      <c r="CA379" s="136"/>
      <c r="CB379" s="136"/>
      <c r="CC379" s="136"/>
      <c r="CD379" s="323"/>
      <c r="CE379" s="136"/>
      <c r="CF379" s="136"/>
      <c r="CG379" s="136"/>
      <c r="CH379" s="136"/>
      <c r="CI379" s="323"/>
      <c r="CJ379" s="136"/>
      <c r="CK379" s="136"/>
      <c r="CL379" s="136"/>
      <c r="CM379" s="136"/>
      <c r="CN379" s="323"/>
      <c r="CO379" s="136"/>
      <c r="CP379" s="136"/>
      <c r="CQ379" s="136"/>
      <c r="CR379" s="136"/>
      <c r="CS379" s="323"/>
      <c r="CT379" s="136"/>
      <c r="CU379" s="136"/>
      <c r="CV379" s="136"/>
      <c r="CW379" s="136"/>
      <c r="CX379" s="323"/>
      <c r="CY379" s="136"/>
      <c r="CZ379" s="136"/>
      <c r="DA379" s="136"/>
      <c r="DB379" s="136"/>
      <c r="DC379" s="323"/>
      <c r="DD379" s="25"/>
      <c r="DE379" s="178"/>
      <c r="DJ379" s="430"/>
      <c r="DK379" s="389"/>
      <c r="DL379" s="389"/>
      <c r="DM379" s="389"/>
      <c r="DN379" s="389"/>
      <c r="DO379" s="389"/>
      <c r="DP379" s="389"/>
      <c r="DQ379" s="389"/>
      <c r="DR379" s="487"/>
      <c r="DS379" s="25"/>
    </row>
    <row r="380" spans="1:123" hidden="1" x14ac:dyDescent="0.2">
      <c r="A380" s="132" t="s">
        <v>42</v>
      </c>
      <c r="B380" s="316"/>
      <c r="C380" s="41"/>
      <c r="D380" s="41"/>
      <c r="E380" s="41"/>
      <c r="F380" s="41"/>
      <c r="G380" s="316"/>
      <c r="H380" s="41"/>
      <c r="I380" s="41"/>
      <c r="J380" s="41"/>
      <c r="K380" s="41"/>
      <c r="L380" s="316"/>
      <c r="M380" s="41"/>
      <c r="N380" s="41"/>
      <c r="O380" s="41"/>
      <c r="P380" s="41"/>
      <c r="Q380" s="316"/>
      <c r="R380" s="179"/>
      <c r="S380" s="179"/>
      <c r="T380" s="179"/>
      <c r="U380" s="179"/>
      <c r="V380" s="316"/>
      <c r="W380" s="179"/>
      <c r="X380" s="179"/>
      <c r="Y380" s="179"/>
      <c r="Z380" s="179"/>
      <c r="AA380" s="316"/>
      <c r="AB380" s="179"/>
      <c r="AC380" s="179"/>
      <c r="AD380" s="179"/>
      <c r="AE380" s="179"/>
      <c r="AF380" s="316"/>
      <c r="AG380" s="179"/>
      <c r="AH380" s="179"/>
      <c r="AI380" s="180"/>
      <c r="AJ380" s="179"/>
      <c r="AK380" s="323"/>
      <c r="AL380" s="136"/>
      <c r="AM380" s="136"/>
      <c r="AN380" s="136"/>
      <c r="AO380" s="136"/>
      <c r="AP380" s="323"/>
      <c r="AQ380" s="136"/>
      <c r="AR380" s="136"/>
      <c r="AS380" s="136"/>
      <c r="AT380" s="136"/>
      <c r="AU380" s="323"/>
      <c r="AV380" s="132">
        <f t="shared" ref="AV380:BT380" si="1061">AV181</f>
        <v>3367</v>
      </c>
      <c r="AW380" s="132">
        <f t="shared" si="1061"/>
        <v>3317</v>
      </c>
      <c r="AX380" s="132">
        <f t="shared" si="1061"/>
        <v>3270</v>
      </c>
      <c r="AY380" s="132">
        <f t="shared" si="1061"/>
        <v>3291</v>
      </c>
      <c r="AZ380" s="300">
        <f t="shared" si="1061"/>
        <v>3291</v>
      </c>
      <c r="BA380" s="132">
        <f t="shared" si="1061"/>
        <v>3366</v>
      </c>
      <c r="BB380" s="132">
        <f t="shared" si="1061"/>
        <v>3496</v>
      </c>
      <c r="BC380" s="132">
        <f t="shared" si="1061"/>
        <v>3671</v>
      </c>
      <c r="BD380" s="132">
        <f t="shared" si="1061"/>
        <v>3779</v>
      </c>
      <c r="BE380" s="300">
        <f t="shared" si="1061"/>
        <v>3779</v>
      </c>
      <c r="BF380" s="132">
        <f t="shared" si="1061"/>
        <v>3921</v>
      </c>
      <c r="BG380" s="132">
        <f t="shared" si="1061"/>
        <v>4133</v>
      </c>
      <c r="BH380" s="132">
        <f t="shared" si="1061"/>
        <v>4298</v>
      </c>
      <c r="BI380" s="132">
        <f t="shared" si="1061"/>
        <v>4504</v>
      </c>
      <c r="BJ380" s="300">
        <f t="shared" si="1061"/>
        <v>4504</v>
      </c>
      <c r="BK380" s="132">
        <f>BK181</f>
        <v>4695</v>
      </c>
      <c r="BL380" s="132">
        <f>BL181</f>
        <v>4821</v>
      </c>
      <c r="BM380" s="132">
        <f>BM181</f>
        <v>4934</v>
      </c>
      <c r="BN380" s="132">
        <f>BN181</f>
        <v>4982</v>
      </c>
      <c r="BO380" s="300">
        <f t="shared" si="1061"/>
        <v>4982</v>
      </c>
      <c r="BP380" s="132"/>
      <c r="BQ380" s="132"/>
      <c r="BR380" s="132"/>
      <c r="BS380" s="132"/>
      <c r="BT380" s="300">
        <f t="shared" si="1061"/>
        <v>5441</v>
      </c>
      <c r="BU380" s="132"/>
      <c r="BV380" s="132"/>
      <c r="BW380" s="132"/>
      <c r="BX380" s="132"/>
      <c r="BY380" s="300">
        <f>BY181</f>
        <v>5817</v>
      </c>
      <c r="BZ380" s="132"/>
      <c r="CA380" s="132"/>
      <c r="CB380" s="132"/>
      <c r="CC380" s="132"/>
      <c r="CD380" s="300">
        <f>CD181</f>
        <v>6416</v>
      </c>
      <c r="CE380" s="132"/>
      <c r="CF380" s="132"/>
      <c r="CG380" s="132"/>
      <c r="CH380" s="132"/>
      <c r="CI380" s="300">
        <f>CI181</f>
        <v>6632</v>
      </c>
      <c r="CJ380" s="132"/>
      <c r="CK380" s="132"/>
      <c r="CL380" s="132"/>
      <c r="CM380" s="132"/>
      <c r="CN380" s="300">
        <f>CN181</f>
        <v>7015</v>
      </c>
      <c r="CO380" s="132"/>
      <c r="CP380" s="132"/>
      <c r="CQ380" s="132"/>
      <c r="CR380" s="132"/>
      <c r="CS380" s="300">
        <f>CS181</f>
        <v>7624.6467329999996</v>
      </c>
      <c r="CT380" s="132"/>
      <c r="CU380" s="132"/>
      <c r="CV380" s="132"/>
      <c r="CW380" s="132"/>
      <c r="CX380" s="300">
        <f>CX181</f>
        <v>8244.8703918315496</v>
      </c>
      <c r="CY380" s="132"/>
      <c r="CZ380" s="132"/>
      <c r="DA380" s="132"/>
      <c r="DB380" s="132"/>
      <c r="DC380" s="300">
        <f>DC181</f>
        <v>8894.1428644310563</v>
      </c>
      <c r="DD380" s="25"/>
      <c r="DE380" s="178"/>
      <c r="DJ380" s="430"/>
      <c r="DK380" s="389"/>
      <c r="DL380" s="389"/>
      <c r="DM380" s="389"/>
      <c r="DN380" s="389"/>
      <c r="DO380" s="389"/>
      <c r="DP380" s="389"/>
      <c r="DQ380" s="389"/>
      <c r="DR380" s="487"/>
      <c r="DS380" s="25"/>
    </row>
    <row r="381" spans="1:123" hidden="1" x14ac:dyDescent="0.2">
      <c r="A381" s="132" t="s">
        <v>49</v>
      </c>
      <c r="B381" s="316"/>
      <c r="C381" s="41"/>
      <c r="D381" s="41"/>
      <c r="E381" s="41"/>
      <c r="F381" s="41"/>
      <c r="G381" s="316"/>
      <c r="H381" s="41"/>
      <c r="I381" s="41"/>
      <c r="J381" s="41"/>
      <c r="K381" s="41"/>
      <c r="L381" s="316"/>
      <c r="M381" s="41"/>
      <c r="N381" s="41"/>
      <c r="O381" s="41"/>
      <c r="P381" s="41"/>
      <c r="Q381" s="316"/>
      <c r="R381" s="179"/>
      <c r="S381" s="179"/>
      <c r="T381" s="179"/>
      <c r="U381" s="179"/>
      <c r="V381" s="316"/>
      <c r="W381" s="179"/>
      <c r="X381" s="179"/>
      <c r="Y381" s="179"/>
      <c r="Z381" s="179"/>
      <c r="AA381" s="316"/>
      <c r="AB381" s="179"/>
      <c r="AC381" s="179"/>
      <c r="AD381" s="179"/>
      <c r="AE381" s="179"/>
      <c r="AF381" s="316"/>
      <c r="AG381" s="179"/>
      <c r="AH381" s="179"/>
      <c r="AI381" s="180"/>
      <c r="AJ381" s="179"/>
      <c r="AK381" s="323"/>
      <c r="AL381" s="136"/>
      <c r="AM381" s="136"/>
      <c r="AN381" s="136"/>
      <c r="AO381" s="136"/>
      <c r="AP381" s="323"/>
      <c r="AQ381" s="136"/>
      <c r="AR381" s="136"/>
      <c r="AS381" s="136"/>
      <c r="AT381" s="136"/>
      <c r="AU381" s="323"/>
      <c r="AV381" s="132">
        <f>AV189</f>
        <v>167.5</v>
      </c>
      <c r="AW381" s="132">
        <f>AW189</f>
        <v>224.5</v>
      </c>
      <c r="AX381" s="132">
        <f>AX189</f>
        <v>269.5</v>
      </c>
      <c r="AY381" s="132">
        <f>AY189</f>
        <v>284.5</v>
      </c>
      <c r="AZ381" s="300">
        <f>AZ189</f>
        <v>284.5</v>
      </c>
      <c r="BA381" s="132">
        <f t="shared" ref="BA381:BD382" si="1062">BA189</f>
        <v>251</v>
      </c>
      <c r="BB381" s="132">
        <f t="shared" si="1062"/>
        <v>267</v>
      </c>
      <c r="BC381" s="132">
        <f t="shared" si="1062"/>
        <v>339.79999999999995</v>
      </c>
      <c r="BD381" s="132">
        <f t="shared" si="1062"/>
        <v>332.9</v>
      </c>
      <c r="BE381" s="300">
        <f t="shared" ref="BE381:BJ381" si="1063">BE189</f>
        <v>332.89999999999964</v>
      </c>
      <c r="BF381" s="132">
        <f t="shared" si="1063"/>
        <v>335.9</v>
      </c>
      <c r="BG381" s="132">
        <f t="shared" si="1063"/>
        <v>327.9</v>
      </c>
      <c r="BH381" s="132">
        <f t="shared" si="1063"/>
        <v>296.10000000000002</v>
      </c>
      <c r="BI381" s="132">
        <f t="shared" si="1063"/>
        <v>322</v>
      </c>
      <c r="BJ381" s="300">
        <f t="shared" si="1063"/>
        <v>322</v>
      </c>
      <c r="BK381" s="132">
        <f t="shared" ref="BK381:BO382" si="1064">BK189</f>
        <v>366</v>
      </c>
      <c r="BL381" s="132">
        <f t="shared" si="1064"/>
        <v>410</v>
      </c>
      <c r="BM381" s="132">
        <f t="shared" si="1064"/>
        <v>415</v>
      </c>
      <c r="BN381" s="132">
        <f t="shared" si="1064"/>
        <v>376</v>
      </c>
      <c r="BO381" s="300">
        <f t="shared" si="1064"/>
        <v>376</v>
      </c>
      <c r="BP381" s="132"/>
      <c r="BQ381" s="132"/>
      <c r="BR381" s="132"/>
      <c r="BS381" s="132"/>
      <c r="BT381" s="300">
        <f>BT189</f>
        <v>428</v>
      </c>
      <c r="BU381" s="132"/>
      <c r="BV381" s="132"/>
      <c r="BW381" s="132"/>
      <c r="BX381" s="132"/>
      <c r="BY381" s="300">
        <f>BY189</f>
        <v>515</v>
      </c>
      <c r="BZ381" s="132"/>
      <c r="CA381" s="132"/>
      <c r="CB381" s="132"/>
      <c r="CC381" s="132"/>
      <c r="CD381" s="300">
        <f>CD189</f>
        <v>1216</v>
      </c>
      <c r="CE381" s="132"/>
      <c r="CF381" s="132"/>
      <c r="CG381" s="132"/>
      <c r="CH381" s="132"/>
      <c r="CI381" s="300">
        <f>CI189</f>
        <v>1312</v>
      </c>
      <c r="CJ381" s="132"/>
      <c r="CK381" s="132"/>
      <c r="CL381" s="132"/>
      <c r="CM381" s="132"/>
      <c r="CN381" s="300">
        <f>CN189</f>
        <v>1000</v>
      </c>
      <c r="CO381" s="132"/>
      <c r="CP381" s="132"/>
      <c r="CQ381" s="132"/>
      <c r="CR381" s="132"/>
      <c r="CS381" s="300">
        <f>CS189</f>
        <v>852.77445740595067</v>
      </c>
      <c r="CT381" s="132"/>
      <c r="CU381" s="132"/>
      <c r="CV381" s="132"/>
      <c r="CW381" s="132"/>
      <c r="CX381" s="300">
        <f>CX189</f>
        <v>997.73115621455509</v>
      </c>
      <c r="CY381" s="132"/>
      <c r="CZ381" s="132"/>
      <c r="DA381" s="132"/>
      <c r="DB381" s="132"/>
      <c r="DC381" s="300">
        <f>DC189</f>
        <v>1200.8437063136498</v>
      </c>
      <c r="DD381" s="25"/>
      <c r="DE381" s="178"/>
      <c r="DJ381" s="430"/>
      <c r="DK381" s="389"/>
      <c r="DL381" s="389"/>
      <c r="DM381" s="389"/>
      <c r="DN381" s="389"/>
      <c r="DO381" s="389"/>
      <c r="DP381" s="389"/>
      <c r="DQ381" s="389"/>
      <c r="DR381" s="487"/>
      <c r="DS381" s="25"/>
    </row>
    <row r="382" spans="1:123" hidden="1" x14ac:dyDescent="0.2">
      <c r="A382" s="132" t="s">
        <v>50</v>
      </c>
      <c r="B382" s="316"/>
      <c r="C382" s="41"/>
      <c r="D382" s="41"/>
      <c r="E382" s="41"/>
      <c r="F382" s="41"/>
      <c r="G382" s="316"/>
      <c r="H382" s="41"/>
      <c r="I382" s="41"/>
      <c r="J382" s="41"/>
      <c r="K382" s="41"/>
      <c r="L382" s="316"/>
      <c r="M382" s="41"/>
      <c r="N382" s="41"/>
      <c r="O382" s="41"/>
      <c r="P382" s="41"/>
      <c r="Q382" s="316"/>
      <c r="R382" s="179"/>
      <c r="S382" s="179"/>
      <c r="T382" s="179"/>
      <c r="U382" s="179"/>
      <c r="V382" s="316"/>
      <c r="W382" s="179"/>
      <c r="X382" s="179"/>
      <c r="Y382" s="179"/>
      <c r="Z382" s="179"/>
      <c r="AA382" s="316"/>
      <c r="AB382" s="179"/>
      <c r="AC382" s="179"/>
      <c r="AD382" s="179"/>
      <c r="AE382" s="179"/>
      <c r="AF382" s="316"/>
      <c r="AG382" s="179"/>
      <c r="AH382" s="179"/>
      <c r="AI382" s="180"/>
      <c r="AJ382" s="179"/>
      <c r="AK382" s="323"/>
      <c r="AL382" s="136"/>
      <c r="AM382" s="136"/>
      <c r="AN382" s="136"/>
      <c r="AO382" s="136"/>
      <c r="AP382" s="323"/>
      <c r="AQ382" s="136"/>
      <c r="AR382" s="136"/>
      <c r="AS382" s="136"/>
      <c r="AT382" s="136"/>
      <c r="AU382" s="323"/>
      <c r="AV382" s="132">
        <f>AV190</f>
        <v>382.5</v>
      </c>
      <c r="AW382" s="132">
        <f t="shared" ref="AW382:BI382" si="1065">AW190</f>
        <v>449.5</v>
      </c>
      <c r="AX382" s="132">
        <f t="shared" si="1065"/>
        <v>499.5</v>
      </c>
      <c r="AY382" s="132">
        <f t="shared" si="1065"/>
        <v>512.5</v>
      </c>
      <c r="AZ382" s="300">
        <f t="shared" si="1065"/>
        <v>512.5</v>
      </c>
      <c r="BA382" s="132">
        <f t="shared" si="1062"/>
        <v>481</v>
      </c>
      <c r="BB382" s="132">
        <f t="shared" si="1062"/>
        <v>495</v>
      </c>
      <c r="BC382" s="132">
        <f t="shared" si="1062"/>
        <v>562.79999999999995</v>
      </c>
      <c r="BD382" s="132">
        <f t="shared" si="1062"/>
        <v>552.9</v>
      </c>
      <c r="BE382" s="300">
        <f t="shared" si="1065"/>
        <v>552.89999999999964</v>
      </c>
      <c r="BF382" s="132">
        <f t="shared" si="1065"/>
        <v>554.9</v>
      </c>
      <c r="BG382" s="132">
        <f>BG190</f>
        <v>550.9</v>
      </c>
      <c r="BH382" s="132">
        <f t="shared" si="1065"/>
        <v>522.1</v>
      </c>
      <c r="BI382" s="132">
        <f t="shared" si="1065"/>
        <v>555</v>
      </c>
      <c r="BJ382" s="300">
        <f>BJ190</f>
        <v>555</v>
      </c>
      <c r="BK382" s="132">
        <f t="shared" si="1064"/>
        <v>604</v>
      </c>
      <c r="BL382" s="132">
        <f t="shared" si="1064"/>
        <v>653</v>
      </c>
      <c r="BM382" s="132">
        <f t="shared" si="1064"/>
        <v>667</v>
      </c>
      <c r="BN382" s="132">
        <f t="shared" si="1064"/>
        <v>634</v>
      </c>
      <c r="BO382" s="300">
        <f t="shared" si="1064"/>
        <v>634</v>
      </c>
      <c r="BP382" s="132"/>
      <c r="BQ382" s="132"/>
      <c r="BR382" s="132"/>
      <c r="BS382" s="132"/>
      <c r="BT382" s="300">
        <f>BT190</f>
        <v>718</v>
      </c>
      <c r="BU382" s="132"/>
      <c r="BV382" s="132"/>
      <c r="BW382" s="132"/>
      <c r="BX382" s="132"/>
      <c r="BY382" s="300">
        <f>BY190</f>
        <v>835</v>
      </c>
      <c r="BZ382" s="132"/>
      <c r="CA382" s="132"/>
      <c r="CB382" s="132"/>
      <c r="CC382" s="132"/>
      <c r="CD382" s="300">
        <f>CD190</f>
        <v>1561</v>
      </c>
      <c r="CE382" s="132"/>
      <c r="CF382" s="132"/>
      <c r="CG382" s="132"/>
      <c r="CH382" s="132"/>
      <c r="CI382" s="300">
        <f>CI190</f>
        <v>1704</v>
      </c>
      <c r="CJ382" s="132"/>
      <c r="CK382" s="132"/>
      <c r="CL382" s="132"/>
      <c r="CM382" s="132"/>
      <c r="CN382" s="300">
        <f>CN190</f>
        <v>1447</v>
      </c>
      <c r="CO382" s="132"/>
      <c r="CP382" s="132"/>
      <c r="CQ382" s="132"/>
      <c r="CR382" s="132"/>
      <c r="CS382" s="300">
        <f>CS190</f>
        <v>1333.6644574059505</v>
      </c>
      <c r="CT382" s="132"/>
      <c r="CU382" s="132"/>
      <c r="CV382" s="132"/>
      <c r="CW382" s="132"/>
      <c r="CX382" s="300">
        <f>CX190</f>
        <v>1509.8790062145549</v>
      </c>
      <c r="CY382" s="132"/>
      <c r="CZ382" s="132"/>
      <c r="DA382" s="132"/>
      <c r="DB382" s="132"/>
      <c r="DC382" s="300">
        <f>DC190</f>
        <v>1753.9633843136498</v>
      </c>
      <c r="DD382" s="25"/>
      <c r="DE382" s="178"/>
      <c r="DJ382" s="430"/>
      <c r="DK382" s="389"/>
      <c r="DL382" s="389"/>
      <c r="DM382" s="389"/>
      <c r="DN382" s="389"/>
      <c r="DO382" s="389"/>
      <c r="DP382" s="389"/>
      <c r="DQ382" s="389"/>
      <c r="DR382" s="487"/>
      <c r="DS382" s="25"/>
    </row>
    <row r="383" spans="1:123" hidden="1" x14ac:dyDescent="0.2">
      <c r="A383" s="132" t="s">
        <v>55</v>
      </c>
      <c r="B383" s="316"/>
      <c r="C383" s="41"/>
      <c r="D383" s="41"/>
      <c r="E383" s="41"/>
      <c r="F383" s="41"/>
      <c r="G383" s="316"/>
      <c r="H383" s="41"/>
      <c r="I383" s="41"/>
      <c r="J383" s="41"/>
      <c r="K383" s="41"/>
      <c r="L383" s="316"/>
      <c r="M383" s="41"/>
      <c r="N383" s="41"/>
      <c r="O383" s="41"/>
      <c r="P383" s="41"/>
      <c r="Q383" s="316"/>
      <c r="R383" s="179"/>
      <c r="S383" s="179"/>
      <c r="T383" s="179"/>
      <c r="U383" s="179"/>
      <c r="V383" s="316"/>
      <c r="W383" s="179"/>
      <c r="X383" s="179"/>
      <c r="Y383" s="179"/>
      <c r="Z383" s="179"/>
      <c r="AA383" s="316"/>
      <c r="AB383" s="179"/>
      <c r="AC383" s="179"/>
      <c r="AD383" s="179"/>
      <c r="AE383" s="179"/>
      <c r="AF383" s="316"/>
      <c r="AG383" s="179"/>
      <c r="AH383" s="179"/>
      <c r="AI383" s="180"/>
      <c r="AJ383" s="179"/>
      <c r="AK383" s="323"/>
      <c r="AL383" s="136"/>
      <c r="AM383" s="136"/>
      <c r="AN383" s="136"/>
      <c r="AO383" s="136"/>
      <c r="AP383" s="323"/>
      <c r="AQ383" s="136"/>
      <c r="AR383" s="136"/>
      <c r="AS383" s="136"/>
      <c r="AT383" s="136"/>
      <c r="AU383" s="323"/>
      <c r="AV383" s="132">
        <f>AV195</f>
        <v>20.399999999999999</v>
      </c>
      <c r="AW383" s="132">
        <f>AW195</f>
        <v>62.599999999999994</v>
      </c>
      <c r="AX383" s="132">
        <f>AX195</f>
        <v>87.6</v>
      </c>
      <c r="AY383" s="132">
        <f>AY195</f>
        <v>103.6</v>
      </c>
      <c r="AZ383" s="300">
        <f>AZ195</f>
        <v>103.6</v>
      </c>
      <c r="BA383" s="132">
        <f t="shared" ref="BA383:BD384" si="1066">BA195</f>
        <v>71.2</v>
      </c>
      <c r="BB383" s="132">
        <f t="shared" si="1066"/>
        <v>90</v>
      </c>
      <c r="BC383" s="132">
        <f t="shared" si="1066"/>
        <v>165.79999999999995</v>
      </c>
      <c r="BD383" s="132">
        <f t="shared" si="1066"/>
        <v>160.89999999999998</v>
      </c>
      <c r="BE383" s="300">
        <f t="shared" ref="BE383:BJ383" si="1067">BE195</f>
        <v>160.89999999999964</v>
      </c>
      <c r="BF383" s="132">
        <f t="shared" si="1067"/>
        <v>168.89999999999998</v>
      </c>
      <c r="BG383" s="132">
        <f t="shared" si="1067"/>
        <v>160.89999999999998</v>
      </c>
      <c r="BH383" s="132">
        <f t="shared" si="1067"/>
        <v>125.10000000000002</v>
      </c>
      <c r="BI383" s="132">
        <f t="shared" si="1067"/>
        <v>150</v>
      </c>
      <c r="BJ383" s="300">
        <f t="shared" si="1067"/>
        <v>150</v>
      </c>
      <c r="BK383" s="132">
        <f t="shared" ref="BK383:BO384" si="1068">BK195</f>
        <v>193</v>
      </c>
      <c r="BL383" s="132">
        <f t="shared" si="1068"/>
        <v>236</v>
      </c>
      <c r="BM383" s="132">
        <f t="shared" si="1068"/>
        <v>248</v>
      </c>
      <c r="BN383" s="132">
        <f t="shared" si="1068"/>
        <v>209</v>
      </c>
      <c r="BO383" s="300">
        <f t="shared" si="1068"/>
        <v>209</v>
      </c>
      <c r="BP383" s="132"/>
      <c r="BQ383" s="132"/>
      <c r="BR383" s="132"/>
      <c r="BS383" s="132"/>
      <c r="BT383" s="300">
        <f>BT195</f>
        <v>279</v>
      </c>
      <c r="BU383" s="132"/>
      <c r="BV383" s="132"/>
      <c r="BW383" s="132"/>
      <c r="BX383" s="132"/>
      <c r="BY383" s="300">
        <f>BY195</f>
        <v>381</v>
      </c>
      <c r="BZ383" s="132"/>
      <c r="CA383" s="132"/>
      <c r="CB383" s="132"/>
      <c r="CC383" s="132"/>
      <c r="CD383" s="300">
        <f>CD195</f>
        <v>1097</v>
      </c>
      <c r="CE383" s="132"/>
      <c r="CF383" s="132"/>
      <c r="CG383" s="132"/>
      <c r="CH383" s="132"/>
      <c r="CI383" s="300">
        <f>CI195</f>
        <v>1216</v>
      </c>
      <c r="CJ383" s="132"/>
      <c r="CK383" s="132"/>
      <c r="CL383" s="132"/>
      <c r="CM383" s="132"/>
      <c r="CN383" s="300">
        <f>CN195</f>
        <v>921</v>
      </c>
      <c r="CO383" s="132"/>
      <c r="CP383" s="132"/>
      <c r="CQ383" s="132"/>
      <c r="CR383" s="132"/>
      <c r="CS383" s="300">
        <f>CS195</f>
        <v>762.77445740595067</v>
      </c>
      <c r="CT383" s="132"/>
      <c r="CU383" s="132"/>
      <c r="CV383" s="132"/>
      <c r="CW383" s="132"/>
      <c r="CX383" s="300">
        <f>CX195</f>
        <v>912.73115621455509</v>
      </c>
      <c r="CY383" s="132"/>
      <c r="CZ383" s="132"/>
      <c r="DA383" s="132"/>
      <c r="DB383" s="132"/>
      <c r="DC383" s="300">
        <f>DC195</f>
        <v>1116.8437063136498</v>
      </c>
      <c r="DD383" s="25"/>
      <c r="DE383" s="178"/>
      <c r="DJ383" s="430"/>
      <c r="DK383" s="389"/>
      <c r="DL383" s="389"/>
      <c r="DM383" s="389"/>
      <c r="DN383" s="389"/>
      <c r="DO383" s="389"/>
      <c r="DP383" s="389"/>
      <c r="DQ383" s="389"/>
      <c r="DR383" s="487"/>
      <c r="DS383" s="25"/>
    </row>
    <row r="384" spans="1:123" hidden="1" x14ac:dyDescent="0.2">
      <c r="A384" s="132" t="s">
        <v>56</v>
      </c>
      <c r="B384" s="316"/>
      <c r="C384" s="41"/>
      <c r="D384" s="41"/>
      <c r="E384" s="41"/>
      <c r="F384" s="41"/>
      <c r="G384" s="316"/>
      <c r="H384" s="41"/>
      <c r="I384" s="41"/>
      <c r="J384" s="41"/>
      <c r="K384" s="41"/>
      <c r="L384" s="316"/>
      <c r="M384" s="41"/>
      <c r="N384" s="41"/>
      <c r="O384" s="41"/>
      <c r="P384" s="41"/>
      <c r="Q384" s="316"/>
      <c r="R384" s="179"/>
      <c r="S384" s="179"/>
      <c r="T384" s="179"/>
      <c r="U384" s="179"/>
      <c r="V384" s="316"/>
      <c r="W384" s="179"/>
      <c r="X384" s="179"/>
      <c r="Y384" s="179"/>
      <c r="Z384" s="179"/>
      <c r="AA384" s="316"/>
      <c r="AB384" s="179"/>
      <c r="AC384" s="179"/>
      <c r="AD384" s="179"/>
      <c r="AE384" s="179"/>
      <c r="AF384" s="316"/>
      <c r="AG384" s="179"/>
      <c r="AH384" s="179"/>
      <c r="AI384" s="180"/>
      <c r="AJ384" s="179"/>
      <c r="AK384" s="323"/>
      <c r="AL384" s="136"/>
      <c r="AM384" s="136"/>
      <c r="AN384" s="136"/>
      <c r="AO384" s="136"/>
      <c r="AP384" s="323"/>
      <c r="AQ384" s="136"/>
      <c r="AR384" s="136"/>
      <c r="AS384" s="136"/>
      <c r="AT384" s="136"/>
      <c r="AU384" s="323"/>
      <c r="AV384" s="132">
        <f>AV196</f>
        <v>7.6999999999999993</v>
      </c>
      <c r="AW384" s="132">
        <f t="shared" ref="AW384:BI384" si="1069">AW196</f>
        <v>31.400000000000006</v>
      </c>
      <c r="AX384" s="132">
        <f t="shared" si="1069"/>
        <v>48.45</v>
      </c>
      <c r="AY384" s="132">
        <f t="shared" si="1069"/>
        <v>63.45</v>
      </c>
      <c r="AZ384" s="300">
        <f t="shared" si="1069"/>
        <v>63.449999999999996</v>
      </c>
      <c r="BA384" s="132">
        <f t="shared" si="1066"/>
        <v>39.25</v>
      </c>
      <c r="BB384" s="132">
        <f t="shared" si="1066"/>
        <v>52.55</v>
      </c>
      <c r="BC384" s="132">
        <f t="shared" si="1066"/>
        <v>98.299999999999955</v>
      </c>
      <c r="BD384" s="132">
        <f t="shared" si="1066"/>
        <v>96.399999999999977</v>
      </c>
      <c r="BE384" s="300">
        <f t="shared" si="1069"/>
        <v>96.399999999999636</v>
      </c>
      <c r="BF384" s="132">
        <f t="shared" si="1069"/>
        <v>100.89999999999998</v>
      </c>
      <c r="BG384" s="132">
        <f>BG196</f>
        <v>95.899999999999977</v>
      </c>
      <c r="BH384" s="132">
        <f t="shared" si="1069"/>
        <v>74.600000000000023</v>
      </c>
      <c r="BI384" s="132">
        <f t="shared" si="1069"/>
        <v>88.5</v>
      </c>
      <c r="BJ384" s="300">
        <f>BJ196</f>
        <v>88.5</v>
      </c>
      <c r="BK384" s="132">
        <f t="shared" si="1068"/>
        <v>115.5</v>
      </c>
      <c r="BL384" s="132">
        <f t="shared" si="1068"/>
        <v>142.5</v>
      </c>
      <c r="BM384" s="132">
        <f t="shared" si="1068"/>
        <v>150</v>
      </c>
      <c r="BN384" s="132">
        <f t="shared" si="1068"/>
        <v>128</v>
      </c>
      <c r="BO384" s="300">
        <f t="shared" si="1068"/>
        <v>128</v>
      </c>
      <c r="BP384" s="132"/>
      <c r="BQ384" s="132"/>
      <c r="BR384" s="132"/>
      <c r="BS384" s="132"/>
      <c r="BT384" s="300">
        <f>BT196</f>
        <v>168</v>
      </c>
      <c r="BU384" s="132"/>
      <c r="BV384" s="132"/>
      <c r="BW384" s="132"/>
      <c r="BX384" s="132"/>
      <c r="BY384" s="300">
        <f>BY196</f>
        <v>231</v>
      </c>
      <c r="BZ384" s="132"/>
      <c r="CA384" s="132"/>
      <c r="CB384" s="132"/>
      <c r="CC384" s="132"/>
      <c r="CD384" s="300">
        <f>CD196</f>
        <v>677</v>
      </c>
      <c r="CE384" s="132"/>
      <c r="CF384" s="132"/>
      <c r="CG384" s="132"/>
      <c r="CH384" s="132"/>
      <c r="CI384" s="300">
        <f>CI196</f>
        <v>750</v>
      </c>
      <c r="CJ384" s="132"/>
      <c r="CK384" s="132"/>
      <c r="CL384" s="132"/>
      <c r="CM384" s="132"/>
      <c r="CN384" s="300">
        <f>CN196</f>
        <v>578.16800000000001</v>
      </c>
      <c r="CO384" s="132"/>
      <c r="CP384" s="132"/>
      <c r="CQ384" s="132"/>
      <c r="CR384" s="132"/>
      <c r="CS384" s="300">
        <f>CS196</f>
        <v>572.080843054463</v>
      </c>
      <c r="CT384" s="132"/>
      <c r="CU384" s="132"/>
      <c r="CV384" s="132"/>
      <c r="CW384" s="132"/>
      <c r="CX384" s="300">
        <f>CX196</f>
        <v>684.54836716091631</v>
      </c>
      <c r="CY384" s="132"/>
      <c r="CZ384" s="132"/>
      <c r="DA384" s="132"/>
      <c r="DB384" s="132"/>
      <c r="DC384" s="300">
        <f>DC196</f>
        <v>837.63277973523736</v>
      </c>
      <c r="DD384" s="25"/>
      <c r="DE384" s="178"/>
      <c r="DJ384" s="430"/>
      <c r="DK384" s="389"/>
      <c r="DL384" s="389"/>
      <c r="DM384" s="389"/>
      <c r="DN384" s="389"/>
      <c r="DO384" s="389"/>
      <c r="DP384" s="389"/>
      <c r="DQ384" s="389"/>
      <c r="DR384" s="487"/>
      <c r="DS384" s="25"/>
    </row>
    <row r="385" spans="1:123" hidden="1" x14ac:dyDescent="0.2">
      <c r="A385" s="136" t="s">
        <v>230</v>
      </c>
      <c r="B385" s="316"/>
      <c r="C385" s="41"/>
      <c r="D385" s="41"/>
      <c r="E385" s="41"/>
      <c r="F385" s="41"/>
      <c r="G385" s="316"/>
      <c r="H385" s="41"/>
      <c r="I385" s="41"/>
      <c r="J385" s="41"/>
      <c r="K385" s="41"/>
      <c r="L385" s="316"/>
      <c r="M385" s="41"/>
      <c r="N385" s="41"/>
      <c r="O385" s="41"/>
      <c r="P385" s="41"/>
      <c r="Q385" s="316"/>
      <c r="R385" s="179"/>
      <c r="S385" s="179"/>
      <c r="T385" s="179"/>
      <c r="U385" s="179"/>
      <c r="V385" s="316"/>
      <c r="W385" s="179"/>
      <c r="X385" s="179"/>
      <c r="Y385" s="179"/>
      <c r="Z385" s="179"/>
      <c r="AA385" s="316"/>
      <c r="AB385" s="179"/>
      <c r="AC385" s="179"/>
      <c r="AD385" s="179"/>
      <c r="AE385" s="179"/>
      <c r="AF385" s="316"/>
      <c r="AG385" s="179"/>
      <c r="AH385" s="179"/>
      <c r="AI385" s="180"/>
      <c r="AJ385" s="179"/>
      <c r="AK385" s="323"/>
      <c r="AL385" s="136"/>
      <c r="AM385" s="136"/>
      <c r="AN385" s="136"/>
      <c r="AO385" s="136"/>
      <c r="AP385" s="323"/>
      <c r="AQ385" s="136"/>
      <c r="AR385" s="136"/>
      <c r="AS385" s="136"/>
      <c r="AT385" s="136"/>
      <c r="AU385" s="323"/>
      <c r="AV385" s="136">
        <f t="shared" ref="AV385:BO385" si="1070">AV152</f>
        <v>8.2679545735993648E-2</v>
      </c>
      <c r="AW385" s="136">
        <f t="shared" si="1070"/>
        <v>5.1660881885281916E-2</v>
      </c>
      <c r="AX385" s="136">
        <f t="shared" si="1070"/>
        <v>3.7917418477550278E-2</v>
      </c>
      <c r="AY385" s="136">
        <f t="shared" si="1070"/>
        <v>3.6240001054254581E-2</v>
      </c>
      <c r="AZ385" s="323">
        <f t="shared" si="1070"/>
        <v>0.19107819901645171</v>
      </c>
      <c r="BA385" s="136">
        <f t="shared" si="1070"/>
        <v>-5.4733938325798297E-3</v>
      </c>
      <c r="BB385" s="136">
        <f t="shared" si="1070"/>
        <v>9.5255414404350577E-2</v>
      </c>
      <c r="BC385" s="136">
        <f t="shared" si="1070"/>
        <v>0.17813186369741782</v>
      </c>
      <c r="BD385" s="136">
        <f t="shared" si="1070"/>
        <v>2.9673300225321508E-2</v>
      </c>
      <c r="BE385" s="323">
        <f t="shared" si="1070"/>
        <v>0.31275245239469024</v>
      </c>
      <c r="BF385" s="136">
        <f t="shared" si="1070"/>
        <v>1.0739523594733338E-2</v>
      </c>
      <c r="BG385" s="136">
        <f t="shared" si="1070"/>
        <v>0.08</v>
      </c>
      <c r="BH385" s="136">
        <f t="shared" si="1070"/>
        <v>0.11696649559715007</v>
      </c>
      <c r="BI385" s="136">
        <f t="shared" si="1070"/>
        <v>7.5830489689969957E-2</v>
      </c>
      <c r="BJ385" s="323">
        <f t="shared" si="1070"/>
        <v>0.28104073860357759</v>
      </c>
      <c r="BK385" s="136">
        <f t="shared" si="1070"/>
        <v>8.750820389411508E-2</v>
      </c>
      <c r="BL385" s="136">
        <f t="shared" si="1070"/>
        <v>0.15998324539102815</v>
      </c>
      <c r="BM385" s="136">
        <f t="shared" si="1070"/>
        <v>0.13921436692266642</v>
      </c>
      <c r="BN385" s="136">
        <f t="shared" si="1070"/>
        <v>3.5146790570819023E-3</v>
      </c>
      <c r="BO385" s="323">
        <f t="shared" si="1070"/>
        <v>0.3893888628973437</v>
      </c>
      <c r="BP385" s="136"/>
      <c r="BQ385" s="136"/>
      <c r="BR385" s="136"/>
      <c r="BS385" s="136"/>
      <c r="BT385" s="323">
        <f>BT152</f>
        <v>0.51597874353934625</v>
      </c>
      <c r="BU385" s="136"/>
      <c r="BV385" s="136"/>
      <c r="BW385" s="136"/>
      <c r="BX385" s="136"/>
      <c r="BY385" s="323">
        <f>BY152</f>
        <v>0.67403001982441235</v>
      </c>
      <c r="BZ385" s="136"/>
      <c r="CA385" s="136"/>
      <c r="CB385" s="136"/>
      <c r="CC385" s="136"/>
      <c r="CD385" s="323">
        <f>CD152</f>
        <v>1.9872129702851842</v>
      </c>
      <c r="CE385" s="136"/>
      <c r="CF385" s="136"/>
      <c r="CG385" s="136"/>
      <c r="CH385" s="136"/>
      <c r="CI385" s="323">
        <f>CI152</f>
        <v>2.191700759789597</v>
      </c>
      <c r="CJ385" s="136"/>
      <c r="CK385" s="136"/>
      <c r="CL385" s="136"/>
      <c r="CM385" s="136"/>
      <c r="CN385" s="323">
        <f>CN152</f>
        <v>1.7510956311047172</v>
      </c>
      <c r="CO385" s="136"/>
      <c r="CP385" s="136"/>
      <c r="CQ385" s="136"/>
      <c r="CR385" s="136"/>
      <c r="CS385" s="323">
        <f>CS152</f>
        <v>1.8206860656974178</v>
      </c>
      <c r="CT385" s="136"/>
      <c r="CU385" s="136"/>
      <c r="CV385" s="136"/>
      <c r="CW385" s="136"/>
      <c r="CX385" s="323">
        <f>CX152</f>
        <v>2.2693974849983634</v>
      </c>
      <c r="CY385" s="136"/>
      <c r="CZ385" s="136"/>
      <c r="DA385" s="136"/>
      <c r="DB385" s="136"/>
      <c r="DC385" s="323">
        <f>DC152</f>
        <v>2.8776156158902735</v>
      </c>
      <c r="DD385" s="25"/>
      <c r="DE385" s="178"/>
      <c r="DJ385" s="430"/>
      <c r="DK385" s="389"/>
      <c r="DL385" s="389"/>
      <c r="DM385" s="389"/>
      <c r="DN385" s="389"/>
      <c r="DO385" s="389"/>
      <c r="DP385" s="389"/>
      <c r="DQ385" s="389"/>
      <c r="DR385" s="487"/>
      <c r="DS385" s="25"/>
    </row>
    <row r="386" spans="1:123" hidden="1" x14ac:dyDescent="0.2">
      <c r="A386" s="132" t="s">
        <v>3</v>
      </c>
      <c r="B386" s="316"/>
      <c r="C386" s="41"/>
      <c r="D386" s="41"/>
      <c r="E386" s="41"/>
      <c r="F386" s="41"/>
      <c r="G386" s="316"/>
      <c r="H386" s="41"/>
      <c r="I386" s="41"/>
      <c r="J386" s="41"/>
      <c r="K386" s="41"/>
      <c r="L386" s="316"/>
      <c r="M386" s="41"/>
      <c r="N386" s="41"/>
      <c r="O386" s="41"/>
      <c r="P386" s="41"/>
      <c r="Q386" s="316"/>
      <c r="R386" s="179"/>
      <c r="S386" s="179"/>
      <c r="T386" s="179"/>
      <c r="U386" s="179"/>
      <c r="V386" s="316"/>
      <c r="W386" s="179"/>
      <c r="X386" s="179"/>
      <c r="Y386" s="179"/>
      <c r="Z386" s="179"/>
      <c r="AA386" s="316"/>
      <c r="AB386" s="179"/>
      <c r="AC386" s="179"/>
      <c r="AD386" s="179"/>
      <c r="AE386" s="179"/>
      <c r="AF386" s="316"/>
      <c r="AG386" s="179"/>
      <c r="AH386" s="179"/>
      <c r="AI386" s="180"/>
      <c r="AJ386" s="179"/>
      <c r="AK386" s="323"/>
      <c r="AL386" s="136"/>
      <c r="AM386" s="136"/>
      <c r="AN386" s="136"/>
      <c r="AO386" s="136"/>
      <c r="AP386" s="323"/>
      <c r="AQ386" s="136"/>
      <c r="AR386" s="136"/>
      <c r="AS386" s="136"/>
      <c r="AT386" s="136"/>
      <c r="AU386" s="323"/>
      <c r="AV386" s="132">
        <f t="shared" ref="AV386:BT386" si="1071">AV191</f>
        <v>511.5</v>
      </c>
      <c r="AW386" s="132">
        <f t="shared" si="1071"/>
        <v>578.5</v>
      </c>
      <c r="AX386" s="132">
        <f t="shared" si="1071"/>
        <v>626.5</v>
      </c>
      <c r="AY386" s="132">
        <f t="shared" si="1071"/>
        <v>638.5</v>
      </c>
      <c r="AZ386" s="300">
        <f t="shared" si="1071"/>
        <v>638.5</v>
      </c>
      <c r="BA386" s="132">
        <f t="shared" si="1071"/>
        <v>606</v>
      </c>
      <c r="BB386" s="132">
        <f t="shared" si="1071"/>
        <v>619</v>
      </c>
      <c r="BC386" s="132">
        <f t="shared" si="1071"/>
        <v>686.8</v>
      </c>
      <c r="BD386" s="132">
        <f t="shared" si="1071"/>
        <v>678.9</v>
      </c>
      <c r="BE386" s="300">
        <f t="shared" si="1071"/>
        <v>678.89999999999964</v>
      </c>
      <c r="BF386" s="132">
        <f t="shared" si="1071"/>
        <v>683.9</v>
      </c>
      <c r="BG386" s="132">
        <f t="shared" si="1071"/>
        <v>684.9</v>
      </c>
      <c r="BH386" s="132">
        <f t="shared" si="1071"/>
        <v>657.1</v>
      </c>
      <c r="BI386" s="132">
        <f t="shared" si="1071"/>
        <v>690</v>
      </c>
      <c r="BJ386" s="300">
        <f t="shared" si="1071"/>
        <v>690</v>
      </c>
      <c r="BK386" s="132">
        <f>BK191</f>
        <v>738</v>
      </c>
      <c r="BL386" s="132">
        <f>BL191</f>
        <v>784</v>
      </c>
      <c r="BM386" s="132">
        <f>BM191</f>
        <v>798</v>
      </c>
      <c r="BN386" s="132">
        <f>BN191</f>
        <v>764</v>
      </c>
      <c r="BO386" s="300">
        <f t="shared" si="1071"/>
        <v>764</v>
      </c>
      <c r="BP386" s="132"/>
      <c r="BQ386" s="132"/>
      <c r="BR386" s="132"/>
      <c r="BS386" s="132"/>
      <c r="BT386" s="300">
        <f t="shared" si="1071"/>
        <v>846</v>
      </c>
      <c r="BU386" s="132"/>
      <c r="BV386" s="132"/>
      <c r="BW386" s="132"/>
      <c r="BX386" s="132"/>
      <c r="BY386" s="300">
        <f>BY191</f>
        <v>959</v>
      </c>
      <c r="BZ386" s="132"/>
      <c r="CA386" s="132"/>
      <c r="CB386" s="132"/>
      <c r="CC386" s="132"/>
      <c r="CD386" s="300">
        <f>CD191</f>
        <v>1683</v>
      </c>
      <c r="CE386" s="132"/>
      <c r="CF386" s="132"/>
      <c r="CG386" s="132"/>
      <c r="CH386" s="132"/>
      <c r="CI386" s="300">
        <f>CI191</f>
        <v>1815</v>
      </c>
      <c r="CJ386" s="132"/>
      <c r="CK386" s="132"/>
      <c r="CL386" s="132"/>
      <c r="CM386" s="132"/>
      <c r="CN386" s="300">
        <f>CN191</f>
        <v>1548</v>
      </c>
      <c r="CO386" s="132"/>
      <c r="CP386" s="132"/>
      <c r="CQ386" s="132"/>
      <c r="CR386" s="132"/>
      <c r="CS386" s="300">
        <f>CS191</f>
        <v>1427.7116445755221</v>
      </c>
      <c r="CT386" s="132"/>
      <c r="CU386" s="132"/>
      <c r="CV386" s="132"/>
      <c r="CW386" s="132"/>
      <c r="CX386" s="300">
        <f>CX191</f>
        <v>1599.5457797908548</v>
      </c>
      <c r="CY386" s="132"/>
      <c r="CZ386" s="132"/>
      <c r="DA386" s="132"/>
      <c r="DB386" s="132"/>
      <c r="DC386" s="300">
        <f>DC191</f>
        <v>1842.3375358867113</v>
      </c>
      <c r="DD386" s="25"/>
      <c r="DE386" s="178"/>
      <c r="DJ386" s="430"/>
      <c r="DK386" s="389"/>
      <c r="DL386" s="389"/>
      <c r="DM386" s="389"/>
      <c r="DN386" s="389"/>
      <c r="DO386" s="389"/>
      <c r="DP386" s="389"/>
      <c r="DQ386" s="389"/>
      <c r="DR386" s="487"/>
      <c r="DS386" s="25"/>
    </row>
    <row r="387" spans="1:123" hidden="1" x14ac:dyDescent="0.2">
      <c r="A387" s="132" t="s">
        <v>107</v>
      </c>
      <c r="B387" s="316"/>
      <c r="C387" s="41"/>
      <c r="D387" s="41"/>
      <c r="E387" s="41"/>
      <c r="F387" s="41"/>
      <c r="G387" s="316"/>
      <c r="H387" s="41"/>
      <c r="I387" s="41"/>
      <c r="J387" s="41"/>
      <c r="K387" s="41"/>
      <c r="L387" s="316"/>
      <c r="M387" s="41"/>
      <c r="N387" s="41"/>
      <c r="O387" s="41"/>
      <c r="P387" s="41"/>
      <c r="Q387" s="316"/>
      <c r="R387" s="179"/>
      <c r="S387" s="179"/>
      <c r="T387" s="179"/>
      <c r="U387" s="179"/>
      <c r="V387" s="316"/>
      <c r="W387" s="179"/>
      <c r="X387" s="179"/>
      <c r="Y387" s="179"/>
      <c r="Z387" s="179"/>
      <c r="AA387" s="316"/>
      <c r="AB387" s="179"/>
      <c r="AC387" s="179"/>
      <c r="AD387" s="179"/>
      <c r="AE387" s="179"/>
      <c r="AF387" s="316"/>
      <c r="AG387" s="179"/>
      <c r="AH387" s="179"/>
      <c r="AI387" s="180"/>
      <c r="AJ387" s="179"/>
      <c r="AK387" s="323"/>
      <c r="AL387" s="136"/>
      <c r="AM387" s="136"/>
      <c r="AN387" s="136"/>
      <c r="AO387" s="136"/>
      <c r="AP387" s="323"/>
      <c r="AQ387" s="136"/>
      <c r="AR387" s="136"/>
      <c r="AS387" s="136"/>
      <c r="AT387" s="136"/>
      <c r="AU387" s="323"/>
      <c r="AV387" s="132">
        <f t="shared" ref="AV387:BT387" si="1072">AV386+AV359</f>
        <v>511.5</v>
      </c>
      <c r="AW387" s="132">
        <f t="shared" si="1072"/>
        <v>578.5</v>
      </c>
      <c r="AX387" s="132">
        <f t="shared" si="1072"/>
        <v>626.5</v>
      </c>
      <c r="AY387" s="132">
        <f t="shared" si="1072"/>
        <v>638.5</v>
      </c>
      <c r="AZ387" s="300">
        <f t="shared" si="1072"/>
        <v>638.5</v>
      </c>
      <c r="BA387" s="132">
        <f t="shared" si="1072"/>
        <v>606</v>
      </c>
      <c r="BB387" s="132">
        <f t="shared" si="1072"/>
        <v>619</v>
      </c>
      <c r="BC387" s="132">
        <f t="shared" si="1072"/>
        <v>686.8</v>
      </c>
      <c r="BD387" s="132">
        <f t="shared" si="1072"/>
        <v>678.9</v>
      </c>
      <c r="BE387" s="300">
        <f t="shared" si="1072"/>
        <v>678.89999999999964</v>
      </c>
      <c r="BF387" s="132">
        <f t="shared" si="1072"/>
        <v>683.9</v>
      </c>
      <c r="BG387" s="132">
        <f t="shared" si="1072"/>
        <v>684.9</v>
      </c>
      <c r="BH387" s="132">
        <f t="shared" si="1072"/>
        <v>657.1</v>
      </c>
      <c r="BI387" s="132">
        <f t="shared" si="1072"/>
        <v>690</v>
      </c>
      <c r="BJ387" s="300">
        <f t="shared" si="1072"/>
        <v>690</v>
      </c>
      <c r="BK387" s="132">
        <f>BK386+BK359</f>
        <v>738</v>
      </c>
      <c r="BL387" s="132">
        <f>BL386+BL359</f>
        <v>784</v>
      </c>
      <c r="BM387" s="132">
        <f>BM386+BM359</f>
        <v>798</v>
      </c>
      <c r="BN387" s="132">
        <f>BN386+BN359</f>
        <v>764</v>
      </c>
      <c r="BO387" s="300">
        <f t="shared" si="1072"/>
        <v>764</v>
      </c>
      <c r="BP387" s="132"/>
      <c r="BQ387" s="132"/>
      <c r="BR387" s="132"/>
      <c r="BS387" s="132"/>
      <c r="BT387" s="300">
        <f t="shared" si="1072"/>
        <v>846</v>
      </c>
      <c r="BU387" s="132"/>
      <c r="BV387" s="132"/>
      <c r="BW387" s="132"/>
      <c r="BX387" s="132"/>
      <c r="BY387" s="300">
        <f>BY386+BY359</f>
        <v>959</v>
      </c>
      <c r="BZ387" s="132"/>
      <c r="CA387" s="132"/>
      <c r="CB387" s="132"/>
      <c r="CC387" s="132"/>
      <c r="CD387" s="300">
        <f>CD386+CD359</f>
        <v>1683</v>
      </c>
      <c r="CE387" s="132"/>
      <c r="CF387" s="132"/>
      <c r="CG387" s="132"/>
      <c r="CH387" s="132"/>
      <c r="CI387" s="300">
        <f>CI386+CI359</f>
        <v>1815</v>
      </c>
      <c r="CJ387" s="132"/>
      <c r="CK387" s="132"/>
      <c r="CL387" s="132"/>
      <c r="CM387" s="132"/>
      <c r="CN387" s="300">
        <f>CN386+CN359</f>
        <v>1548</v>
      </c>
      <c r="CO387" s="132"/>
      <c r="CP387" s="132"/>
      <c r="CQ387" s="132"/>
      <c r="CR387" s="132"/>
      <c r="CS387" s="300">
        <f>CS386+CS359</f>
        <v>1427.7116445755221</v>
      </c>
      <c r="CT387" s="132"/>
      <c r="CU387" s="132"/>
      <c r="CV387" s="132"/>
      <c r="CW387" s="132"/>
      <c r="CX387" s="300">
        <f>CX386+CX359</f>
        <v>1599.5457797908548</v>
      </c>
      <c r="CY387" s="132"/>
      <c r="CZ387" s="132"/>
      <c r="DA387" s="132"/>
      <c r="DB387" s="132"/>
      <c r="DC387" s="300">
        <f>DC386+DC359</f>
        <v>1842.3375358867113</v>
      </c>
      <c r="DD387" s="25"/>
      <c r="DE387" s="178"/>
      <c r="DJ387" s="430"/>
      <c r="DK387" s="389"/>
      <c r="DL387" s="389"/>
      <c r="DM387" s="389"/>
      <c r="DN387" s="389"/>
      <c r="DO387" s="389"/>
      <c r="DP387" s="389"/>
      <c r="DQ387" s="389"/>
      <c r="DR387" s="487"/>
      <c r="DS387" s="25"/>
    </row>
    <row r="388" spans="1:123" hidden="1" x14ac:dyDescent="0.2">
      <c r="A388" s="152" t="s">
        <v>82</v>
      </c>
      <c r="B388" s="316"/>
      <c r="C388" s="41"/>
      <c r="D388" s="41"/>
      <c r="E388" s="41"/>
      <c r="F388" s="41"/>
      <c r="G388" s="316"/>
      <c r="H388" s="41"/>
      <c r="I388" s="41"/>
      <c r="J388" s="41"/>
      <c r="K388" s="41"/>
      <c r="L388" s="316"/>
      <c r="M388" s="41"/>
      <c r="N388" s="41"/>
      <c r="O388" s="41"/>
      <c r="P388" s="41"/>
      <c r="Q388" s="316"/>
      <c r="R388" s="179"/>
      <c r="S388" s="179"/>
      <c r="T388" s="179"/>
      <c r="U388" s="179"/>
      <c r="V388" s="316"/>
      <c r="W388" s="179"/>
      <c r="X388" s="179"/>
      <c r="Y388" s="179"/>
      <c r="Z388" s="179"/>
      <c r="AA388" s="316"/>
      <c r="AB388" s="179"/>
      <c r="AC388" s="179"/>
      <c r="AD388" s="179"/>
      <c r="AE388" s="179"/>
      <c r="AF388" s="316"/>
      <c r="AG388" s="179"/>
      <c r="AH388" s="179"/>
      <c r="AI388" s="180"/>
      <c r="AJ388" s="179"/>
      <c r="AK388" s="323"/>
      <c r="AL388" s="136"/>
      <c r="AM388" s="136"/>
      <c r="AN388" s="136"/>
      <c r="AO388" s="136"/>
      <c r="AP388" s="323"/>
      <c r="AQ388" s="136"/>
      <c r="AR388" s="136"/>
      <c r="AS388" s="136"/>
      <c r="AT388" s="136"/>
      <c r="AU388" s="323"/>
      <c r="AV388" s="136"/>
      <c r="AW388" s="136"/>
      <c r="AX388" s="136"/>
      <c r="AY388" s="136"/>
      <c r="AZ388" s="323"/>
      <c r="BA388" s="136"/>
      <c r="BB388" s="136"/>
      <c r="BC388" s="136"/>
      <c r="BD388" s="136"/>
      <c r="BE388" s="323"/>
      <c r="BF388" s="136"/>
      <c r="BG388" s="136"/>
      <c r="BH388" s="136"/>
      <c r="BI388" s="136"/>
      <c r="BJ388" s="323"/>
      <c r="BK388" s="136"/>
      <c r="BL388" s="136"/>
      <c r="BM388" s="136"/>
      <c r="BN388" s="136"/>
      <c r="BO388" s="323"/>
      <c r="BP388" s="136"/>
      <c r="BQ388" s="136"/>
      <c r="BR388" s="136"/>
      <c r="BS388" s="136"/>
      <c r="BT388" s="323"/>
      <c r="BU388" s="136"/>
      <c r="BV388" s="136"/>
      <c r="BW388" s="136"/>
      <c r="BX388" s="136"/>
      <c r="BY388" s="323"/>
      <c r="BZ388" s="136"/>
      <c r="CA388" s="136"/>
      <c r="CB388" s="136"/>
      <c r="CC388" s="136"/>
      <c r="CD388" s="323"/>
      <c r="CE388" s="136"/>
      <c r="CF388" s="136"/>
      <c r="CG388" s="136"/>
      <c r="CH388" s="136"/>
      <c r="CI388" s="323"/>
      <c r="CJ388" s="136"/>
      <c r="CK388" s="136"/>
      <c r="CL388" s="136"/>
      <c r="CM388" s="136"/>
      <c r="CN388" s="323"/>
      <c r="CO388" s="136"/>
      <c r="CP388" s="136"/>
      <c r="CQ388" s="136"/>
      <c r="CR388" s="136"/>
      <c r="CS388" s="323"/>
      <c r="CT388" s="136"/>
      <c r="CU388" s="136"/>
      <c r="CV388" s="136"/>
      <c r="CW388" s="136"/>
      <c r="CX388" s="323"/>
      <c r="CY388" s="136"/>
      <c r="CZ388" s="136"/>
      <c r="DA388" s="136"/>
      <c r="DB388" s="136"/>
      <c r="DC388" s="323"/>
      <c r="DD388" s="25"/>
      <c r="DE388" s="178"/>
      <c r="DJ388" s="430"/>
      <c r="DK388" s="389"/>
      <c r="DL388" s="389"/>
      <c r="DM388" s="389"/>
      <c r="DN388" s="389"/>
      <c r="DO388" s="389"/>
      <c r="DP388" s="389"/>
      <c r="DQ388" s="389"/>
      <c r="DR388" s="487"/>
      <c r="DS388" s="25"/>
    </row>
    <row r="389" spans="1:123" hidden="1" x14ac:dyDescent="0.2">
      <c r="A389" s="192" t="s">
        <v>16</v>
      </c>
      <c r="B389" s="316"/>
      <c r="C389" s="41"/>
      <c r="D389" s="41"/>
      <c r="E389" s="41"/>
      <c r="F389" s="41"/>
      <c r="G389" s="316"/>
      <c r="H389" s="41"/>
      <c r="I389" s="41"/>
      <c r="J389" s="41"/>
      <c r="K389" s="41"/>
      <c r="L389" s="316"/>
      <c r="M389" s="41"/>
      <c r="N389" s="41"/>
      <c r="O389" s="41"/>
      <c r="P389" s="41"/>
      <c r="Q389" s="316"/>
      <c r="R389" s="179"/>
      <c r="S389" s="179"/>
      <c r="T389" s="179"/>
      <c r="U389" s="179"/>
      <c r="V389" s="316"/>
      <c r="W389" s="179"/>
      <c r="X389" s="179"/>
      <c r="Y389" s="179"/>
      <c r="Z389" s="179"/>
      <c r="AA389" s="316"/>
      <c r="AB389" s="179"/>
      <c r="AC389" s="179"/>
      <c r="AD389" s="179"/>
      <c r="AE389" s="179"/>
      <c r="AF389" s="316"/>
      <c r="AG389" s="179"/>
      <c r="AH389" s="179"/>
      <c r="AI389" s="180"/>
      <c r="AJ389" s="179"/>
      <c r="AK389" s="323"/>
      <c r="AL389" s="136"/>
      <c r="AM389" s="136"/>
      <c r="AN389" s="136"/>
      <c r="AO389" s="136"/>
      <c r="AP389" s="323"/>
      <c r="AQ389" s="136"/>
      <c r="AR389" s="136"/>
      <c r="AS389" s="136"/>
      <c r="AT389" s="136"/>
      <c r="AU389" s="323"/>
      <c r="AV389" s="136"/>
      <c r="AW389" s="136"/>
      <c r="AX389" s="136"/>
      <c r="AY389" s="136"/>
      <c r="AZ389" s="323"/>
      <c r="BA389" s="136"/>
      <c r="BB389" s="136"/>
      <c r="BC389" s="136"/>
      <c r="BD389" s="136"/>
      <c r="BE389" s="323"/>
      <c r="BF389" s="136"/>
      <c r="BG389" s="136"/>
      <c r="BH389" s="136"/>
      <c r="BI389" s="136"/>
      <c r="BJ389" s="323"/>
      <c r="BK389" s="136"/>
      <c r="BL389" s="136"/>
      <c r="BM389" s="136"/>
      <c r="BN389" s="136"/>
      <c r="BO389" s="323"/>
      <c r="BP389" s="136"/>
      <c r="BQ389" s="136"/>
      <c r="BR389" s="136"/>
      <c r="BS389" s="136"/>
      <c r="BT389" s="323"/>
      <c r="BU389" s="136"/>
      <c r="BV389" s="136"/>
      <c r="BW389" s="136"/>
      <c r="BX389" s="136"/>
      <c r="BY389" s="323"/>
      <c r="BZ389" s="136"/>
      <c r="CA389" s="136"/>
      <c r="CB389" s="136"/>
      <c r="CC389" s="136"/>
      <c r="CD389" s="323"/>
      <c r="CE389" s="136"/>
      <c r="CF389" s="136"/>
      <c r="CG389" s="136"/>
      <c r="CH389" s="136"/>
      <c r="CI389" s="323"/>
      <c r="CJ389" s="136"/>
      <c r="CK389" s="136"/>
      <c r="CL389" s="136"/>
      <c r="CM389" s="136"/>
      <c r="CN389" s="323"/>
      <c r="CO389" s="136"/>
      <c r="CP389" s="136"/>
      <c r="CQ389" s="136"/>
      <c r="CR389" s="136"/>
      <c r="CS389" s="323"/>
      <c r="CT389" s="136"/>
      <c r="CU389" s="136"/>
      <c r="CV389" s="136"/>
      <c r="CW389" s="136"/>
      <c r="CX389" s="323"/>
      <c r="CY389" s="136"/>
      <c r="CZ389" s="136"/>
      <c r="DA389" s="136"/>
      <c r="DB389" s="136"/>
      <c r="DC389" s="323"/>
      <c r="DD389" s="25"/>
      <c r="DE389" s="178"/>
      <c r="DJ389" s="430"/>
      <c r="DK389" s="389"/>
      <c r="DL389" s="389"/>
      <c r="DM389" s="389"/>
      <c r="DN389" s="389"/>
      <c r="DO389" s="389"/>
      <c r="DP389" s="389"/>
      <c r="DQ389" s="389"/>
      <c r="DR389" s="487"/>
      <c r="DS389" s="25"/>
    </row>
    <row r="390" spans="1:123" hidden="1" x14ac:dyDescent="0.2">
      <c r="A390" s="98" t="s">
        <v>108</v>
      </c>
      <c r="B390" s="316"/>
      <c r="C390" s="41"/>
      <c r="D390" s="41"/>
      <c r="E390" s="41"/>
      <c r="F390" s="41"/>
      <c r="G390" s="316"/>
      <c r="H390" s="41"/>
      <c r="I390" s="41"/>
      <c r="J390" s="41"/>
      <c r="K390" s="41"/>
      <c r="L390" s="316"/>
      <c r="M390" s="41"/>
      <c r="N390" s="41"/>
      <c r="O390" s="41"/>
      <c r="P390" s="41"/>
      <c r="Q390" s="316"/>
      <c r="R390" s="179"/>
      <c r="S390" s="179"/>
      <c r="T390" s="179"/>
      <c r="U390" s="179"/>
      <c r="V390" s="316"/>
      <c r="W390" s="179"/>
      <c r="X390" s="179"/>
      <c r="Y390" s="179"/>
      <c r="Z390" s="179"/>
      <c r="AA390" s="316"/>
      <c r="AB390" s="179"/>
      <c r="AC390" s="179"/>
      <c r="AD390" s="179"/>
      <c r="AE390" s="179"/>
      <c r="AF390" s="316"/>
      <c r="AG390" s="179"/>
      <c r="AH390" s="179"/>
      <c r="AI390" s="180"/>
      <c r="AJ390" s="179"/>
      <c r="AK390" s="323"/>
      <c r="AL390" s="136"/>
      <c r="AM390" s="136"/>
      <c r="AN390" s="136"/>
      <c r="AO390" s="136"/>
      <c r="AP390" s="323"/>
      <c r="AQ390" s="136"/>
      <c r="AR390" s="136"/>
      <c r="AS390" s="136"/>
      <c r="AT390" s="136"/>
      <c r="AU390" s="323"/>
      <c r="AV390" s="98">
        <f>AV369/AZ381</f>
        <v>1.2829525483304042E-2</v>
      </c>
      <c r="AW390" s="98">
        <f>AW369/AZ381</f>
        <v>1.500878734622144E-2</v>
      </c>
      <c r="AX390" s="98">
        <f>AX369/BE381</f>
        <v>1.7963352358065506E-2</v>
      </c>
      <c r="AY390" s="98">
        <f>AY369/BE381</f>
        <v>1.6371282667467728E-2</v>
      </c>
      <c r="AZ390" s="308">
        <f>AZ369/BE381</f>
        <v>1.6371282667467728E-2</v>
      </c>
      <c r="BA390" s="98">
        <f>BA369/BE381</f>
        <v>1.6761790327425672E-2</v>
      </c>
      <c r="BB390" s="98">
        <f>BB369/BE381</f>
        <v>1.649143887053171E-2</v>
      </c>
      <c r="BC390" s="98">
        <f>BC369/BJ381</f>
        <v>2.0776397515527952E-2</v>
      </c>
      <c r="BD390" s="98">
        <f>BD369/BJ381</f>
        <v>2.0527950310559009E-2</v>
      </c>
      <c r="BE390" s="308">
        <f>BE369/BJ381</f>
        <v>2.0527950310559009E-2</v>
      </c>
      <c r="BF390" s="98">
        <f>BF369/BJ381</f>
        <v>1.9472049689440992E-2</v>
      </c>
      <c r="BG390" s="98">
        <f>BG369/BJ381</f>
        <v>1.8788819875776398E-2</v>
      </c>
      <c r="BH390" s="98">
        <f>BH369/BO381</f>
        <v>1.6090425531914893E-2</v>
      </c>
      <c r="BI390" s="98">
        <f>BI369/BO381</f>
        <v>1.6090425531914893E-2</v>
      </c>
      <c r="BJ390" s="308">
        <f>BJ369/BO381</f>
        <v>1.6090425531914893E-2</v>
      </c>
      <c r="BK390" s="98" t="e">
        <f>BK369/BQ381</f>
        <v>#DIV/0!</v>
      </c>
      <c r="BL390" s="98" t="e">
        <f>BL369/BR381</f>
        <v>#DIV/0!</v>
      </c>
      <c r="BM390" s="98" t="e">
        <f>BM369/BS381</f>
        <v>#DIV/0!</v>
      </c>
      <c r="BN390" s="98">
        <f>BN369/BT381</f>
        <v>1.4135514018691588E-2</v>
      </c>
      <c r="BO390" s="308"/>
      <c r="BP390" s="98"/>
      <c r="BQ390" s="98"/>
      <c r="BR390" s="98"/>
      <c r="BS390" s="98"/>
      <c r="BT390" s="308"/>
      <c r="BU390" s="98"/>
      <c r="BV390" s="98"/>
      <c r="BW390" s="98"/>
      <c r="BX390" s="98"/>
      <c r="BY390" s="308"/>
      <c r="BZ390" s="98"/>
      <c r="CA390" s="98"/>
      <c r="CB390" s="98"/>
      <c r="CC390" s="98"/>
      <c r="CD390" s="308"/>
      <c r="CE390" s="98"/>
      <c r="CF390" s="98"/>
      <c r="CG390" s="98"/>
      <c r="CH390" s="98"/>
      <c r="CI390" s="308"/>
      <c r="CJ390" s="98"/>
      <c r="CK390" s="98"/>
      <c r="CL390" s="98"/>
      <c r="CM390" s="98"/>
      <c r="CN390" s="308"/>
      <c r="CO390" s="98"/>
      <c r="CP390" s="98"/>
      <c r="CQ390" s="98"/>
      <c r="CR390" s="98"/>
      <c r="CS390" s="308"/>
      <c r="CT390" s="98"/>
      <c r="CU390" s="98"/>
      <c r="CV390" s="98"/>
      <c r="CW390" s="98"/>
      <c r="CX390" s="308"/>
      <c r="CY390" s="98"/>
      <c r="CZ390" s="98"/>
      <c r="DA390" s="98"/>
      <c r="DB390" s="98"/>
      <c r="DC390" s="308"/>
      <c r="DD390" s="25"/>
      <c r="DE390" s="178"/>
      <c r="DJ390" s="430"/>
      <c r="DK390" s="389"/>
      <c r="DL390" s="389"/>
      <c r="DM390" s="389"/>
      <c r="DN390" s="389"/>
      <c r="DO390" s="389"/>
      <c r="DP390" s="389"/>
      <c r="DQ390" s="389"/>
      <c r="DR390" s="487"/>
      <c r="DS390" s="25"/>
    </row>
    <row r="391" spans="1:123" hidden="1" x14ac:dyDescent="0.2">
      <c r="A391" s="98" t="s">
        <v>109</v>
      </c>
      <c r="B391" s="316"/>
      <c r="C391" s="41"/>
      <c r="D391" s="41"/>
      <c r="E391" s="41"/>
      <c r="F391" s="41"/>
      <c r="G391" s="316"/>
      <c r="H391" s="41"/>
      <c r="I391" s="41"/>
      <c r="J391" s="41"/>
      <c r="K391" s="41"/>
      <c r="L391" s="316"/>
      <c r="M391" s="41"/>
      <c r="N391" s="41"/>
      <c r="O391" s="41"/>
      <c r="P391" s="41"/>
      <c r="Q391" s="316"/>
      <c r="R391" s="179"/>
      <c r="S391" s="179"/>
      <c r="T391" s="179"/>
      <c r="U391" s="179"/>
      <c r="V391" s="316"/>
      <c r="W391" s="179"/>
      <c r="X391" s="179"/>
      <c r="Y391" s="179"/>
      <c r="Z391" s="179"/>
      <c r="AA391" s="316"/>
      <c r="AB391" s="179"/>
      <c r="AC391" s="179"/>
      <c r="AD391" s="179"/>
      <c r="AE391" s="179"/>
      <c r="AF391" s="316"/>
      <c r="AG391" s="179"/>
      <c r="AH391" s="179"/>
      <c r="AI391" s="180"/>
      <c r="AJ391" s="179"/>
      <c r="AK391" s="323"/>
      <c r="AL391" s="136"/>
      <c r="AM391" s="136"/>
      <c r="AN391" s="136"/>
      <c r="AO391" s="136"/>
      <c r="AP391" s="323"/>
      <c r="AQ391" s="136"/>
      <c r="AR391" s="136"/>
      <c r="AS391" s="136"/>
      <c r="AT391" s="136"/>
      <c r="AU391" s="323"/>
      <c r="AV391" s="98">
        <f>AV369/AZ383</f>
        <v>3.5231660231660231E-2</v>
      </c>
      <c r="AW391" s="98">
        <f>AW369/AZ383</f>
        <v>4.1216216216216212E-2</v>
      </c>
      <c r="AX391" s="98">
        <f>AX369/BE383</f>
        <v>3.7165941578620347E-2</v>
      </c>
      <c r="AY391" s="98">
        <f>AY369/BE383</f>
        <v>3.3871970167806166E-2</v>
      </c>
      <c r="AZ391" s="308">
        <f>AZ369/BE383</f>
        <v>3.3871970167806166E-2</v>
      </c>
      <c r="BA391" s="98">
        <f>BA369/BE383</f>
        <v>3.4679925419515305E-2</v>
      </c>
      <c r="BB391" s="98">
        <f>BB369/BE383</f>
        <v>3.412057178371667E-2</v>
      </c>
      <c r="BC391" s="98">
        <f>BC369/BJ383</f>
        <v>4.4600000000000001E-2</v>
      </c>
      <c r="BD391" s="98">
        <f>BD369/BJ383</f>
        <v>4.4066666666666671E-2</v>
      </c>
      <c r="BE391" s="308">
        <f>BE369/BJ383</f>
        <v>4.4066666666666671E-2</v>
      </c>
      <c r="BF391" s="98">
        <f>BF369/BJ383</f>
        <v>4.1799999999999997E-2</v>
      </c>
      <c r="BG391" s="98">
        <f>BG369/BJ383</f>
        <v>4.0333333333333332E-2</v>
      </c>
      <c r="BH391" s="98">
        <f>BH369/BO383</f>
        <v>2.8947368421052631E-2</v>
      </c>
      <c r="BI391" s="98">
        <f>BI369/BO383</f>
        <v>2.8947368421052631E-2</v>
      </c>
      <c r="BJ391" s="308">
        <f>BJ369/BO383</f>
        <v>2.8947368421052631E-2</v>
      </c>
      <c r="BK391" s="98" t="e">
        <f>BK369/BQ383</f>
        <v>#DIV/0!</v>
      </c>
      <c r="BL391" s="98" t="e">
        <f>BL369/BR383</f>
        <v>#DIV/0!</v>
      </c>
      <c r="BM391" s="98" t="e">
        <f>BM369/BS383</f>
        <v>#DIV/0!</v>
      </c>
      <c r="BN391" s="98">
        <f>BN369/BT383</f>
        <v>2.1684587813620072E-2</v>
      </c>
      <c r="BO391" s="308"/>
      <c r="BP391" s="98"/>
      <c r="BQ391" s="98"/>
      <c r="BR391" s="98"/>
      <c r="BS391" s="98"/>
      <c r="BT391" s="308"/>
      <c r="BU391" s="98"/>
      <c r="BV391" s="98"/>
      <c r="BW391" s="98"/>
      <c r="BX391" s="98"/>
      <c r="BY391" s="308"/>
      <c r="BZ391" s="98"/>
      <c r="CA391" s="98"/>
      <c r="CB391" s="98"/>
      <c r="CC391" s="98"/>
      <c r="CD391" s="308"/>
      <c r="CE391" s="98"/>
      <c r="CF391" s="98"/>
      <c r="CG391" s="98"/>
      <c r="CH391" s="98"/>
      <c r="CI391" s="308"/>
      <c r="CJ391" s="98"/>
      <c r="CK391" s="98"/>
      <c r="CL391" s="98"/>
      <c r="CM391" s="98"/>
      <c r="CN391" s="308"/>
      <c r="CO391" s="98"/>
      <c r="CP391" s="98"/>
      <c r="CQ391" s="98"/>
      <c r="CR391" s="98"/>
      <c r="CS391" s="308"/>
      <c r="CT391" s="98"/>
      <c r="CU391" s="98"/>
      <c r="CV391" s="98"/>
      <c r="CW391" s="98"/>
      <c r="CX391" s="308"/>
      <c r="CY391" s="98"/>
      <c r="CZ391" s="98"/>
      <c r="DA391" s="98"/>
      <c r="DB391" s="98"/>
      <c r="DC391" s="308"/>
      <c r="DD391" s="25"/>
      <c r="DE391" s="178"/>
      <c r="DJ391" s="430"/>
      <c r="DK391" s="389"/>
      <c r="DL391" s="389"/>
      <c r="DM391" s="389"/>
      <c r="DN391" s="389"/>
      <c r="DO391" s="389"/>
      <c r="DP391" s="389"/>
      <c r="DQ391" s="389"/>
      <c r="DR391" s="487"/>
      <c r="DS391" s="25"/>
    </row>
    <row r="392" spans="1:123" hidden="1" x14ac:dyDescent="0.2">
      <c r="A392" s="98" t="s">
        <v>110</v>
      </c>
      <c r="B392" s="316"/>
      <c r="C392" s="41"/>
      <c r="D392" s="41"/>
      <c r="E392" s="41"/>
      <c r="F392" s="41"/>
      <c r="G392" s="316"/>
      <c r="H392" s="41"/>
      <c r="I392" s="41"/>
      <c r="J392" s="41"/>
      <c r="K392" s="41"/>
      <c r="L392" s="316"/>
      <c r="M392" s="41"/>
      <c r="N392" s="41"/>
      <c r="O392" s="41"/>
      <c r="P392" s="41"/>
      <c r="Q392" s="316"/>
      <c r="R392" s="179"/>
      <c r="S392" s="179"/>
      <c r="T392" s="179"/>
      <c r="U392" s="179"/>
      <c r="V392" s="316"/>
      <c r="W392" s="179"/>
      <c r="X392" s="179"/>
      <c r="Y392" s="179"/>
      <c r="Z392" s="179"/>
      <c r="AA392" s="316"/>
      <c r="AB392" s="179"/>
      <c r="AC392" s="179"/>
      <c r="AD392" s="179"/>
      <c r="AE392" s="179"/>
      <c r="AF392" s="316"/>
      <c r="AG392" s="179"/>
      <c r="AH392" s="179"/>
      <c r="AI392" s="180"/>
      <c r="AJ392" s="179"/>
      <c r="AK392" s="323"/>
      <c r="AL392" s="136"/>
      <c r="AM392" s="136"/>
      <c r="AN392" s="136"/>
      <c r="AO392" s="136"/>
      <c r="AP392" s="323"/>
      <c r="AQ392" s="136"/>
      <c r="AR392" s="136"/>
      <c r="AS392" s="136"/>
      <c r="AT392" s="136"/>
      <c r="AU392" s="323"/>
      <c r="AV392" s="98">
        <f>AV369/AZ385</f>
        <v>19.102126871552404</v>
      </c>
      <c r="AW392" s="98">
        <f>AW369/AZ385</f>
        <v>22.346871710007878</v>
      </c>
      <c r="AX392" s="98">
        <f>AX369/BE385</f>
        <v>19.120553505535121</v>
      </c>
      <c r="AY392" s="98">
        <f>AY369/BE385</f>
        <v>17.425922509225153</v>
      </c>
      <c r="AZ392" s="308">
        <f>AZ369/BE385</f>
        <v>17.425922509225153</v>
      </c>
      <c r="BA392" s="98">
        <f>BA369/BE385</f>
        <v>17.841586715867219</v>
      </c>
      <c r="BB392" s="98">
        <f>BB369/BE385</f>
        <v>17.553819188191941</v>
      </c>
      <c r="BC392" s="98">
        <f>BC369/BJ385</f>
        <v>23.80437808853253</v>
      </c>
      <c r="BD392" s="98">
        <f>BD369/BJ385</f>
        <v>23.519721848310915</v>
      </c>
      <c r="BE392" s="308">
        <f>BE369/BJ385</f>
        <v>23.519721848310915</v>
      </c>
      <c r="BF392" s="98">
        <f>BF369/BJ385</f>
        <v>22.30993282736905</v>
      </c>
      <c r="BG392" s="98">
        <f>BG369/BJ385</f>
        <v>21.52712816675961</v>
      </c>
      <c r="BH392" s="98">
        <f>BH369/BO385</f>
        <v>15.537167537313433</v>
      </c>
      <c r="BI392" s="98">
        <f>BI369/BO385</f>
        <v>15.537167537313433</v>
      </c>
      <c r="BJ392" s="308">
        <f>BJ369/BO385</f>
        <v>15.537167537313433</v>
      </c>
      <c r="BK392" s="98" t="e">
        <f>BK369/BQ385</f>
        <v>#DIV/0!</v>
      </c>
      <c r="BL392" s="98" t="e">
        <f>BL369/BR385</f>
        <v>#DIV/0!</v>
      </c>
      <c r="BM392" s="98" t="e">
        <f>BM369/BS385</f>
        <v>#DIV/0!</v>
      </c>
      <c r="BN392" s="98">
        <f>BN369/BT385</f>
        <v>11.725289221218961</v>
      </c>
      <c r="BO392" s="308"/>
      <c r="BP392" s="98"/>
      <c r="BQ392" s="98"/>
      <c r="BR392" s="98"/>
      <c r="BS392" s="98"/>
      <c r="BT392" s="308"/>
      <c r="BU392" s="98"/>
      <c r="BV392" s="98"/>
      <c r="BW392" s="98"/>
      <c r="BX392" s="98"/>
      <c r="BY392" s="308"/>
      <c r="BZ392" s="98"/>
      <c r="CA392" s="98"/>
      <c r="CB392" s="98"/>
      <c r="CC392" s="98"/>
      <c r="CD392" s="308"/>
      <c r="CE392" s="98"/>
      <c r="CF392" s="98"/>
      <c r="CG392" s="98"/>
      <c r="CH392" s="98"/>
      <c r="CI392" s="308"/>
      <c r="CJ392" s="98"/>
      <c r="CK392" s="98"/>
      <c r="CL392" s="98"/>
      <c r="CM392" s="98"/>
      <c r="CN392" s="308"/>
      <c r="CO392" s="98"/>
      <c r="CP392" s="98"/>
      <c r="CQ392" s="98"/>
      <c r="CR392" s="98"/>
      <c r="CS392" s="308"/>
      <c r="CT392" s="98"/>
      <c r="CU392" s="98"/>
      <c r="CV392" s="98"/>
      <c r="CW392" s="98"/>
      <c r="CX392" s="308"/>
      <c r="CY392" s="98"/>
      <c r="CZ392" s="98"/>
      <c r="DA392" s="98"/>
      <c r="DB392" s="98"/>
      <c r="DC392" s="308"/>
      <c r="DD392" s="25"/>
      <c r="DE392" s="178"/>
      <c r="DJ392" s="430"/>
      <c r="DK392" s="389"/>
      <c r="DL392" s="389"/>
      <c r="DM392" s="389"/>
      <c r="DN392" s="389"/>
      <c r="DO392" s="389"/>
      <c r="DP392" s="389"/>
      <c r="DQ392" s="389"/>
      <c r="DR392" s="487"/>
      <c r="DS392" s="25"/>
    </row>
    <row r="393" spans="1:123" hidden="1" x14ac:dyDescent="0.2">
      <c r="A393" s="192" t="s">
        <v>88</v>
      </c>
      <c r="B393" s="316"/>
      <c r="C393" s="41"/>
      <c r="D393" s="41"/>
      <c r="E393" s="41"/>
      <c r="F393" s="41"/>
      <c r="G393" s="316"/>
      <c r="H393" s="41"/>
      <c r="I393" s="41"/>
      <c r="J393" s="41"/>
      <c r="K393" s="41"/>
      <c r="L393" s="316"/>
      <c r="M393" s="41"/>
      <c r="N393" s="41"/>
      <c r="O393" s="41"/>
      <c r="P393" s="41"/>
      <c r="Q393" s="316"/>
      <c r="R393" s="179"/>
      <c r="S393" s="179"/>
      <c r="T393" s="179"/>
      <c r="U393" s="179"/>
      <c r="V393" s="316"/>
      <c r="W393" s="179"/>
      <c r="X393" s="179"/>
      <c r="Y393" s="179"/>
      <c r="Z393" s="179"/>
      <c r="AA393" s="316"/>
      <c r="AB393" s="179"/>
      <c r="AC393" s="179"/>
      <c r="AD393" s="179"/>
      <c r="AE393" s="179"/>
      <c r="AF393" s="316"/>
      <c r="AG393" s="179"/>
      <c r="AH393" s="179"/>
      <c r="AI393" s="180"/>
      <c r="AJ393" s="179"/>
      <c r="AK393" s="323"/>
      <c r="AL393" s="136"/>
      <c r="AM393" s="136"/>
      <c r="AN393" s="136"/>
      <c r="AO393" s="136"/>
      <c r="AP393" s="323"/>
      <c r="AQ393" s="136"/>
      <c r="AR393" s="136"/>
      <c r="AS393" s="136"/>
      <c r="AT393" s="136"/>
      <c r="AU393" s="323"/>
      <c r="AV393" s="98"/>
      <c r="AW393" s="98"/>
      <c r="AX393" s="98"/>
      <c r="AY393" s="98"/>
      <c r="AZ393" s="308"/>
      <c r="BA393" s="98"/>
      <c r="BB393" s="98"/>
      <c r="BC393" s="98"/>
      <c r="BD393" s="98"/>
      <c r="BE393" s="308"/>
      <c r="BF393" s="98"/>
      <c r="BG393" s="98"/>
      <c r="BH393" s="98"/>
      <c r="BI393" s="98"/>
      <c r="BJ393" s="308"/>
      <c r="BK393" s="98"/>
      <c r="BL393" s="98"/>
      <c r="BM393" s="98"/>
      <c r="BN393" s="98"/>
      <c r="BO393" s="308"/>
      <c r="BP393" s="98"/>
      <c r="BQ393" s="98"/>
      <c r="BR393" s="98"/>
      <c r="BS393" s="98"/>
      <c r="BT393" s="308"/>
      <c r="BU393" s="98"/>
      <c r="BV393" s="98"/>
      <c r="BW393" s="98"/>
      <c r="BX393" s="98"/>
      <c r="BY393" s="308"/>
      <c r="BZ393" s="98"/>
      <c r="CA393" s="98"/>
      <c r="CB393" s="98"/>
      <c r="CC393" s="98"/>
      <c r="CD393" s="308"/>
      <c r="CE393" s="98"/>
      <c r="CF393" s="98"/>
      <c r="CG393" s="98"/>
      <c r="CH393" s="98"/>
      <c r="CI393" s="308"/>
      <c r="CJ393" s="98"/>
      <c r="CK393" s="98"/>
      <c r="CL393" s="98"/>
      <c r="CM393" s="98"/>
      <c r="CN393" s="308"/>
      <c r="CO393" s="98"/>
      <c r="CP393" s="98"/>
      <c r="CQ393" s="98"/>
      <c r="CR393" s="98"/>
      <c r="CS393" s="308"/>
      <c r="CT393" s="98"/>
      <c r="CU393" s="98"/>
      <c r="CV393" s="98"/>
      <c r="CW393" s="98"/>
      <c r="CX393" s="308"/>
      <c r="CY393" s="98"/>
      <c r="CZ393" s="98"/>
      <c r="DA393" s="98"/>
      <c r="DB393" s="98"/>
      <c r="DC393" s="308"/>
      <c r="DD393" s="25"/>
      <c r="DE393" s="178"/>
      <c r="DJ393" s="430"/>
      <c r="DK393" s="389"/>
      <c r="DL393" s="389"/>
      <c r="DM393" s="389"/>
      <c r="DN393" s="389"/>
      <c r="DO393" s="389"/>
      <c r="DP393" s="389"/>
      <c r="DQ393" s="389"/>
      <c r="DR393" s="487"/>
      <c r="DS393" s="25"/>
    </row>
    <row r="394" spans="1:123" hidden="1" x14ac:dyDescent="0.2">
      <c r="A394" s="98" t="s">
        <v>111</v>
      </c>
      <c r="B394" s="316"/>
      <c r="C394" s="41"/>
      <c r="D394" s="41"/>
      <c r="E394" s="41"/>
      <c r="F394" s="41"/>
      <c r="G394" s="316"/>
      <c r="H394" s="41"/>
      <c r="I394" s="41"/>
      <c r="J394" s="41"/>
      <c r="K394" s="41"/>
      <c r="L394" s="316"/>
      <c r="M394" s="41"/>
      <c r="N394" s="41"/>
      <c r="O394" s="41"/>
      <c r="P394" s="41"/>
      <c r="Q394" s="316"/>
      <c r="R394" s="179"/>
      <c r="S394" s="179"/>
      <c r="T394" s="179"/>
      <c r="U394" s="179"/>
      <c r="V394" s="316"/>
      <c r="W394" s="179"/>
      <c r="X394" s="179"/>
      <c r="Y394" s="179"/>
      <c r="Z394" s="179"/>
      <c r="AA394" s="316"/>
      <c r="AB394" s="179"/>
      <c r="AC394" s="179"/>
      <c r="AD394" s="179"/>
      <c r="AE394" s="179"/>
      <c r="AF394" s="316"/>
      <c r="AG394" s="179"/>
      <c r="AH394" s="179"/>
      <c r="AI394" s="180"/>
      <c r="AJ394" s="179"/>
      <c r="AK394" s="323"/>
      <c r="AL394" s="136"/>
      <c r="AM394" s="136"/>
      <c r="AN394" s="136"/>
      <c r="AO394" s="136"/>
      <c r="AP394" s="323"/>
      <c r="AQ394" s="136"/>
      <c r="AR394" s="136"/>
      <c r="AS394" s="136"/>
      <c r="AT394" s="136"/>
      <c r="AU394" s="323"/>
      <c r="AV394" s="98">
        <f>AV371/AZ381</f>
        <v>11.534913884007031</v>
      </c>
      <c r="AW394" s="98">
        <f>AW371/AZ381</f>
        <v>12.233718804920915</v>
      </c>
      <c r="AX394" s="98">
        <f>AX371/BE381</f>
        <v>10.855040552718547</v>
      </c>
      <c r="AY394" s="98">
        <f>AY371/BE381</f>
        <v>10.344496845899682</v>
      </c>
      <c r="AZ394" s="308">
        <f>AZ371/BE381</f>
        <v>10.344496845899682</v>
      </c>
      <c r="BA394" s="98">
        <f>BA371/BE381</f>
        <v>9.9514659056773915</v>
      </c>
      <c r="BB394" s="98">
        <f>BB371/BE381</f>
        <v>10.02049564433765</v>
      </c>
      <c r="BC394" s="98">
        <f>BC371/BJ381</f>
        <v>11.496003105590065</v>
      </c>
      <c r="BD394" s="98">
        <f>BD371/BJ381</f>
        <v>11.557649068322982</v>
      </c>
      <c r="BE394" s="308">
        <f>BE371/BJ381</f>
        <v>11.557649068322982</v>
      </c>
      <c r="BF394" s="98">
        <f>BF371/BJ381</f>
        <v>10.895164596273293</v>
      </c>
      <c r="BG394" s="98">
        <f>BG371/BJ381</f>
        <v>10.455537267080746</v>
      </c>
      <c r="BH394" s="98">
        <f>BH371/BO381</f>
        <v>9.0656462765957464</v>
      </c>
      <c r="BI394" s="98">
        <f>BI371/BO381</f>
        <v>9.2012845744680867</v>
      </c>
      <c r="BJ394" s="308">
        <f>BJ371/BO381</f>
        <v>9.2012845744680867</v>
      </c>
      <c r="BK394" s="98" t="e">
        <f>BK371/BQ381</f>
        <v>#DIV/0!</v>
      </c>
      <c r="BL394" s="98" t="e">
        <f>BL371/BR381</f>
        <v>#DIV/0!</v>
      </c>
      <c r="BM394" s="98" t="e">
        <f>BM371/BS381</f>
        <v>#DIV/0!</v>
      </c>
      <c r="BN394" s="98">
        <f>BN371/BT381</f>
        <v>8.3824369158878511</v>
      </c>
      <c r="BO394" s="308"/>
      <c r="BP394" s="98"/>
      <c r="BQ394" s="98"/>
      <c r="BR394" s="98"/>
      <c r="BS394" s="98"/>
      <c r="BT394" s="308"/>
      <c r="BU394" s="98"/>
      <c r="BV394" s="98"/>
      <c r="BW394" s="98"/>
      <c r="BX394" s="98"/>
      <c r="BY394" s="308"/>
      <c r="BZ394" s="98"/>
      <c r="CA394" s="98"/>
      <c r="CB394" s="98"/>
      <c r="CC394" s="98"/>
      <c r="CD394" s="308"/>
      <c r="CE394" s="98"/>
      <c r="CF394" s="98"/>
      <c r="CG394" s="98"/>
      <c r="CH394" s="98"/>
      <c r="CI394" s="308"/>
      <c r="CJ394" s="98"/>
      <c r="CK394" s="98"/>
      <c r="CL394" s="98"/>
      <c r="CM394" s="98"/>
      <c r="CN394" s="308"/>
      <c r="CO394" s="98"/>
      <c r="CP394" s="98"/>
      <c r="CQ394" s="98"/>
      <c r="CR394" s="98"/>
      <c r="CS394" s="308"/>
      <c r="CT394" s="98"/>
      <c r="CU394" s="98"/>
      <c r="CV394" s="98"/>
      <c r="CW394" s="98"/>
      <c r="CX394" s="308"/>
      <c r="CY394" s="98"/>
      <c r="CZ394" s="98"/>
      <c r="DA394" s="98"/>
      <c r="DB394" s="98"/>
      <c r="DC394" s="308"/>
      <c r="DD394" s="25"/>
      <c r="DE394" s="178"/>
      <c r="DJ394" s="430"/>
      <c r="DK394" s="389"/>
      <c r="DL394" s="389"/>
      <c r="DM394" s="389"/>
      <c r="DN394" s="389"/>
      <c r="DO394" s="389"/>
      <c r="DP394" s="389"/>
      <c r="DQ394" s="389"/>
      <c r="DR394" s="487"/>
      <c r="DS394" s="25"/>
    </row>
    <row r="395" spans="1:123" hidden="1" x14ac:dyDescent="0.2">
      <c r="A395" s="98" t="s">
        <v>112</v>
      </c>
      <c r="B395" s="316"/>
      <c r="C395" s="41"/>
      <c r="D395" s="41"/>
      <c r="E395" s="41"/>
      <c r="F395" s="41"/>
      <c r="G395" s="316"/>
      <c r="H395" s="41"/>
      <c r="I395" s="41"/>
      <c r="J395" s="41"/>
      <c r="K395" s="41"/>
      <c r="L395" s="316"/>
      <c r="M395" s="41"/>
      <c r="N395" s="41"/>
      <c r="O395" s="41"/>
      <c r="P395" s="41"/>
      <c r="Q395" s="316"/>
      <c r="R395" s="179"/>
      <c r="S395" s="179"/>
      <c r="T395" s="179"/>
      <c r="U395" s="179"/>
      <c r="V395" s="316"/>
      <c r="W395" s="179"/>
      <c r="X395" s="179"/>
      <c r="Y395" s="179"/>
      <c r="Z395" s="179"/>
      <c r="AA395" s="316"/>
      <c r="AB395" s="179"/>
      <c r="AC395" s="179"/>
      <c r="AD395" s="179"/>
      <c r="AE395" s="179"/>
      <c r="AF395" s="316"/>
      <c r="AG395" s="179"/>
      <c r="AH395" s="179"/>
      <c r="AI395" s="180"/>
      <c r="AJ395" s="179"/>
      <c r="AK395" s="323"/>
      <c r="AL395" s="136"/>
      <c r="AM395" s="136"/>
      <c r="AN395" s="136"/>
      <c r="AO395" s="136"/>
      <c r="AP395" s="323"/>
      <c r="AQ395" s="136"/>
      <c r="AR395" s="136"/>
      <c r="AS395" s="136"/>
      <c r="AT395" s="136"/>
      <c r="AU395" s="323"/>
      <c r="AV395" s="98">
        <f>AV371/AZ382</f>
        <v>6.403283902439024</v>
      </c>
      <c r="AW395" s="98">
        <f>AW371/AZ382</f>
        <v>6.7912058536585374</v>
      </c>
      <c r="AX395" s="98">
        <f>AX371/BE382</f>
        <v>6.5357985169108392</v>
      </c>
      <c r="AY395" s="98">
        <f>AY371/BE382</f>
        <v>6.2284011575330123</v>
      </c>
      <c r="AZ395" s="308">
        <f>AZ371/BE382</f>
        <v>6.2284011575330123</v>
      </c>
      <c r="BA395" s="98">
        <f>BA371/BE382</f>
        <v>5.9917580032555655</v>
      </c>
      <c r="BB395" s="98">
        <f>BB371/BE382</f>
        <v>6.0333206728160649</v>
      </c>
      <c r="BC395" s="98">
        <f>BC371/BJ382</f>
        <v>6.6697531531531542</v>
      </c>
      <c r="BD395" s="98">
        <f>BD371/BJ382</f>
        <v>6.7055189189189193</v>
      </c>
      <c r="BE395" s="308">
        <f>BE371/BJ382</f>
        <v>6.7055189189189202</v>
      </c>
      <c r="BF395" s="98">
        <f>BF371/BJ382</f>
        <v>6.321158558558559</v>
      </c>
      <c r="BG395" s="98">
        <f>BG371/BJ382</f>
        <v>6.066095495495496</v>
      </c>
      <c r="BH395" s="98">
        <f>BH371/BO382</f>
        <v>5.3764716088328086</v>
      </c>
      <c r="BI395" s="98">
        <f>BI371/BO382</f>
        <v>5.4569132492113575</v>
      </c>
      <c r="BJ395" s="308">
        <f>BJ371/BO382</f>
        <v>5.4569132492113575</v>
      </c>
      <c r="BK395" s="98" t="e">
        <f>BK371/BQ382</f>
        <v>#DIV/0!</v>
      </c>
      <c r="BL395" s="98" t="e">
        <f>BL371/BR382</f>
        <v>#DIV/0!</v>
      </c>
      <c r="BM395" s="98" t="e">
        <f>BM371/BS382</f>
        <v>#DIV/0!</v>
      </c>
      <c r="BN395" s="98">
        <f>BN371/BT382</f>
        <v>4.996772980501393</v>
      </c>
      <c r="BO395" s="308"/>
      <c r="BP395" s="98"/>
      <c r="BQ395" s="98"/>
      <c r="BR395" s="98"/>
      <c r="BS395" s="98"/>
      <c r="BT395" s="308"/>
      <c r="BU395" s="98"/>
      <c r="BV395" s="98"/>
      <c r="BW395" s="98"/>
      <c r="BX395" s="98"/>
      <c r="BY395" s="308"/>
      <c r="BZ395" s="98"/>
      <c r="CA395" s="98"/>
      <c r="CB395" s="98"/>
      <c r="CC395" s="98"/>
      <c r="CD395" s="308"/>
      <c r="CE395" s="98"/>
      <c r="CF395" s="98"/>
      <c r="CG395" s="98"/>
      <c r="CH395" s="98"/>
      <c r="CI395" s="308"/>
      <c r="CJ395" s="98"/>
      <c r="CK395" s="98"/>
      <c r="CL395" s="98"/>
      <c r="CM395" s="98"/>
      <c r="CN395" s="308"/>
      <c r="CO395" s="98"/>
      <c r="CP395" s="98"/>
      <c r="CQ395" s="98"/>
      <c r="CR395" s="98"/>
      <c r="CS395" s="308"/>
      <c r="CT395" s="98"/>
      <c r="CU395" s="98"/>
      <c r="CV395" s="98"/>
      <c r="CW395" s="98"/>
      <c r="CX395" s="308"/>
      <c r="CY395" s="98"/>
      <c r="CZ395" s="98"/>
      <c r="DA395" s="98"/>
      <c r="DB395" s="98"/>
      <c r="DC395" s="308"/>
      <c r="DD395" s="25"/>
      <c r="DE395" s="178"/>
      <c r="DJ395" s="430"/>
      <c r="DK395" s="389"/>
      <c r="DL395" s="389"/>
      <c r="DM395" s="389"/>
      <c r="DN395" s="389"/>
      <c r="DO395" s="389"/>
      <c r="DP395" s="389"/>
      <c r="DQ395" s="389"/>
      <c r="DR395" s="487"/>
      <c r="DS395" s="25"/>
    </row>
    <row r="396" spans="1:123" hidden="1" x14ac:dyDescent="0.2">
      <c r="A396" s="192" t="s">
        <v>89</v>
      </c>
      <c r="B396" s="316"/>
      <c r="C396" s="41"/>
      <c r="D396" s="41"/>
      <c r="E396" s="41"/>
      <c r="F396" s="41"/>
      <c r="G396" s="316"/>
      <c r="H396" s="41"/>
      <c r="I396" s="41"/>
      <c r="J396" s="41"/>
      <c r="K396" s="41"/>
      <c r="L396" s="316"/>
      <c r="M396" s="41"/>
      <c r="N396" s="41"/>
      <c r="O396" s="41"/>
      <c r="P396" s="41"/>
      <c r="Q396" s="316"/>
      <c r="R396" s="179"/>
      <c r="S396" s="179"/>
      <c r="T396" s="179"/>
      <c r="U396" s="179"/>
      <c r="V396" s="316"/>
      <c r="W396" s="179"/>
      <c r="X396" s="179"/>
      <c r="Y396" s="179"/>
      <c r="Z396" s="179"/>
      <c r="AA396" s="316"/>
      <c r="AB396" s="179"/>
      <c r="AC396" s="179"/>
      <c r="AD396" s="179"/>
      <c r="AE396" s="179"/>
      <c r="AF396" s="316"/>
      <c r="AG396" s="179"/>
      <c r="AH396" s="179"/>
      <c r="AI396" s="180"/>
      <c r="AJ396" s="179"/>
      <c r="AK396" s="323"/>
      <c r="AL396" s="136"/>
      <c r="AM396" s="136"/>
      <c r="AN396" s="136"/>
      <c r="AO396" s="136"/>
      <c r="AP396" s="323"/>
      <c r="AQ396" s="136"/>
      <c r="AR396" s="136"/>
      <c r="AS396" s="136"/>
      <c r="AT396" s="136"/>
      <c r="AU396" s="323"/>
      <c r="AV396" s="98"/>
      <c r="AW396" s="98"/>
      <c r="AX396" s="98"/>
      <c r="AY396" s="98"/>
      <c r="AZ396" s="308"/>
      <c r="BA396" s="98"/>
      <c r="BB396" s="98"/>
      <c r="BC396" s="98"/>
      <c r="BD396" s="98"/>
      <c r="BE396" s="308"/>
      <c r="BF396" s="98"/>
      <c r="BG396" s="98"/>
      <c r="BH396" s="98"/>
      <c r="BI396" s="98"/>
      <c r="BJ396" s="308"/>
      <c r="BK396" s="98"/>
      <c r="BL396" s="98"/>
      <c r="BM396" s="98"/>
      <c r="BN396" s="98"/>
      <c r="BO396" s="308"/>
      <c r="BP396" s="98"/>
      <c r="BQ396" s="98"/>
      <c r="BR396" s="98"/>
      <c r="BS396" s="98"/>
      <c r="BT396" s="308"/>
      <c r="BU396" s="98"/>
      <c r="BV396" s="98"/>
      <c r="BW396" s="98"/>
      <c r="BX396" s="98"/>
      <c r="BY396" s="308"/>
      <c r="BZ396" s="98"/>
      <c r="CA396" s="98"/>
      <c r="CB396" s="98"/>
      <c r="CC396" s="98"/>
      <c r="CD396" s="308"/>
      <c r="CE396" s="98"/>
      <c r="CF396" s="98"/>
      <c r="CG396" s="98"/>
      <c r="CH396" s="98"/>
      <c r="CI396" s="308"/>
      <c r="CJ396" s="98"/>
      <c r="CK396" s="98"/>
      <c r="CL396" s="98"/>
      <c r="CM396" s="98"/>
      <c r="CN396" s="308"/>
      <c r="CO396" s="98"/>
      <c r="CP396" s="98"/>
      <c r="CQ396" s="98"/>
      <c r="CR396" s="98"/>
      <c r="CS396" s="308"/>
      <c r="CT396" s="98"/>
      <c r="CU396" s="98"/>
      <c r="CV396" s="98"/>
      <c r="CW396" s="98"/>
      <c r="CX396" s="308"/>
      <c r="CY396" s="98"/>
      <c r="CZ396" s="98"/>
      <c r="DA396" s="98"/>
      <c r="DB396" s="98"/>
      <c r="DC396" s="308"/>
      <c r="DD396" s="25"/>
      <c r="DE396" s="178"/>
      <c r="DJ396" s="430"/>
      <c r="DK396" s="389"/>
      <c r="DL396" s="389"/>
      <c r="DM396" s="389"/>
      <c r="DN396" s="389"/>
      <c r="DO396" s="389"/>
      <c r="DP396" s="389"/>
      <c r="DQ396" s="389"/>
      <c r="DR396" s="487"/>
      <c r="DS396" s="25"/>
    </row>
    <row r="397" spans="1:123" hidden="1" x14ac:dyDescent="0.2">
      <c r="A397" s="98" t="s">
        <v>111</v>
      </c>
      <c r="B397" s="316"/>
      <c r="C397" s="41"/>
      <c r="D397" s="41"/>
      <c r="E397" s="41"/>
      <c r="F397" s="41"/>
      <c r="G397" s="316"/>
      <c r="H397" s="41"/>
      <c r="I397" s="41"/>
      <c r="J397" s="41"/>
      <c r="K397" s="41"/>
      <c r="L397" s="316"/>
      <c r="M397" s="41"/>
      <c r="N397" s="41"/>
      <c r="O397" s="41"/>
      <c r="P397" s="41"/>
      <c r="Q397" s="316"/>
      <c r="R397" s="179"/>
      <c r="S397" s="179"/>
      <c r="T397" s="179"/>
      <c r="U397" s="179"/>
      <c r="V397" s="316"/>
      <c r="W397" s="179"/>
      <c r="X397" s="179"/>
      <c r="Y397" s="179"/>
      <c r="Z397" s="179"/>
      <c r="AA397" s="316"/>
      <c r="AB397" s="179"/>
      <c r="AC397" s="179"/>
      <c r="AD397" s="179"/>
      <c r="AE397" s="179"/>
      <c r="AF397" s="316"/>
      <c r="AG397" s="179"/>
      <c r="AH397" s="179"/>
      <c r="AI397" s="180"/>
      <c r="AJ397" s="179"/>
      <c r="AK397" s="323"/>
      <c r="AL397" s="136"/>
      <c r="AM397" s="136"/>
      <c r="AN397" s="136"/>
      <c r="AO397" s="136"/>
      <c r="AP397" s="323"/>
      <c r="AQ397" s="136"/>
      <c r="AR397" s="136"/>
      <c r="AS397" s="136"/>
      <c r="AT397" s="136"/>
      <c r="AU397" s="323"/>
      <c r="AV397" s="98">
        <f>AV372/AZ381</f>
        <v>12.273050966608084</v>
      </c>
      <c r="AW397" s="98">
        <f>AW372/AZ381</f>
        <v>12.817198594024607</v>
      </c>
      <c r="AX397" s="98">
        <f>AX372/BE381</f>
        <v>11.1944818263743</v>
      </c>
      <c r="AY397" s="98">
        <f>AY372/BE381</f>
        <v>10.57579753679785</v>
      </c>
      <c r="AZ397" s="308">
        <f>AZ372/BE381</f>
        <v>10.57579753679785</v>
      </c>
      <c r="BA397" s="98">
        <f>BA372/BE381</f>
        <v>10.164743166115962</v>
      </c>
      <c r="BB397" s="98">
        <f>BB372/BE381</f>
        <v>10.230768999699622</v>
      </c>
      <c r="BC397" s="98">
        <f>BC372/BJ381</f>
        <v>11.710288819875778</v>
      </c>
      <c r="BD397" s="98">
        <f>BD372/BJ381</f>
        <v>11.768829192546583</v>
      </c>
      <c r="BE397" s="308">
        <f>BE372/BJ381</f>
        <v>11.768829192546585</v>
      </c>
      <c r="BF397" s="98">
        <f>BF372/BJ381</f>
        <v>11.100133540372672</v>
      </c>
      <c r="BG397" s="98">
        <f>BG372/BJ381</f>
        <v>10.657400621118013</v>
      </c>
      <c r="BH397" s="98">
        <f>BH372/BO381</f>
        <v>9.2358590425531926</v>
      </c>
      <c r="BI397" s="98">
        <f>BI372/BO381</f>
        <v>9.379476063829788</v>
      </c>
      <c r="BJ397" s="308">
        <f>BJ372/BO381</f>
        <v>9.379476063829788</v>
      </c>
      <c r="BK397" s="98" t="e">
        <f>BK372/BQ381</f>
        <v>#DIV/0!</v>
      </c>
      <c r="BL397" s="98" t="e">
        <f>BL372/BR381</f>
        <v>#DIV/0!</v>
      </c>
      <c r="BM397" s="98" t="e">
        <f>BM372/BS381</f>
        <v>#DIV/0!</v>
      </c>
      <c r="BN397" s="98">
        <f>BN372/BT381</f>
        <v>8.5015957943925251</v>
      </c>
      <c r="BO397" s="308"/>
      <c r="BP397" s="98"/>
      <c r="BQ397" s="98"/>
      <c r="BR397" s="98"/>
      <c r="BS397" s="98"/>
      <c r="BT397" s="308"/>
      <c r="BU397" s="98"/>
      <c r="BV397" s="98"/>
      <c r="BW397" s="98"/>
      <c r="BX397" s="98"/>
      <c r="BY397" s="308"/>
      <c r="BZ397" s="98"/>
      <c r="CA397" s="98"/>
      <c r="CB397" s="98"/>
      <c r="CC397" s="98"/>
      <c r="CD397" s="308"/>
      <c r="CE397" s="98"/>
      <c r="CF397" s="98"/>
      <c r="CG397" s="98"/>
      <c r="CH397" s="98"/>
      <c r="CI397" s="308"/>
      <c r="CJ397" s="98"/>
      <c r="CK397" s="98"/>
      <c r="CL397" s="98"/>
      <c r="CM397" s="98"/>
      <c r="CN397" s="308"/>
      <c r="CO397" s="98"/>
      <c r="CP397" s="98"/>
      <c r="CQ397" s="98"/>
      <c r="CR397" s="98"/>
      <c r="CS397" s="308"/>
      <c r="CT397" s="98"/>
      <c r="CU397" s="98"/>
      <c r="CV397" s="98"/>
      <c r="CW397" s="98"/>
      <c r="CX397" s="308"/>
      <c r="CY397" s="98"/>
      <c r="CZ397" s="98"/>
      <c r="DA397" s="98"/>
      <c r="DB397" s="98"/>
      <c r="DC397" s="308"/>
      <c r="DD397" s="25"/>
      <c r="DE397" s="178"/>
      <c r="DJ397" s="430"/>
      <c r="DK397" s="389"/>
      <c r="DL397" s="389"/>
      <c r="DM397" s="389"/>
      <c r="DN397" s="389"/>
      <c r="DO397" s="389"/>
      <c r="DP397" s="389"/>
      <c r="DQ397" s="389"/>
      <c r="DR397" s="487"/>
      <c r="DS397" s="25"/>
    </row>
    <row r="398" spans="1:123" hidden="1" x14ac:dyDescent="0.2">
      <c r="A398" s="98" t="s">
        <v>112</v>
      </c>
      <c r="B398" s="316"/>
      <c r="C398" s="41"/>
      <c r="D398" s="41"/>
      <c r="E398" s="41"/>
      <c r="F398" s="41"/>
      <c r="G398" s="316"/>
      <c r="H398" s="41"/>
      <c r="I398" s="41"/>
      <c r="J398" s="41"/>
      <c r="K398" s="41"/>
      <c r="L398" s="316"/>
      <c r="M398" s="41"/>
      <c r="N398" s="41"/>
      <c r="O398" s="41"/>
      <c r="P398" s="41"/>
      <c r="Q398" s="316"/>
      <c r="R398" s="179"/>
      <c r="S398" s="179"/>
      <c r="T398" s="179"/>
      <c r="U398" s="179"/>
      <c r="V398" s="316"/>
      <c r="W398" s="179"/>
      <c r="X398" s="179"/>
      <c r="Y398" s="179"/>
      <c r="Z398" s="179"/>
      <c r="AA398" s="316"/>
      <c r="AB398" s="179"/>
      <c r="AC398" s="179"/>
      <c r="AD398" s="179"/>
      <c r="AE398" s="179"/>
      <c r="AF398" s="316"/>
      <c r="AG398" s="179"/>
      <c r="AH398" s="179"/>
      <c r="AI398" s="180"/>
      <c r="AJ398" s="179"/>
      <c r="AK398" s="323"/>
      <c r="AL398" s="136"/>
      <c r="AM398" s="136"/>
      <c r="AN398" s="136"/>
      <c r="AO398" s="136"/>
      <c r="AP398" s="323"/>
      <c r="AQ398" s="136"/>
      <c r="AR398" s="136"/>
      <c r="AS398" s="136"/>
      <c r="AT398" s="136"/>
      <c r="AU398" s="323"/>
      <c r="AV398" s="98">
        <f>AV372/AZ382</f>
        <v>6.81304</v>
      </c>
      <c r="AW398" s="98">
        <f>AW372/AZ382</f>
        <v>7.1151082926829279</v>
      </c>
      <c r="AX398" s="98">
        <f>AX372/BE382</f>
        <v>6.7401754385964967</v>
      </c>
      <c r="AY398" s="98">
        <f>AY372/BE382</f>
        <v>6.3676668475312042</v>
      </c>
      <c r="AZ398" s="308">
        <f>AZ372/BE382</f>
        <v>6.3676668475312042</v>
      </c>
      <c r="BA398" s="98">
        <f>BA372/BE382</f>
        <v>6.1201718213058456</v>
      </c>
      <c r="BB398" s="98">
        <f>BB372/BE382</f>
        <v>6.1599258455416939</v>
      </c>
      <c r="BC398" s="98">
        <f>BC372/BJ382</f>
        <v>6.7940774774774786</v>
      </c>
      <c r="BD398" s="98">
        <f>BD372/BJ382</f>
        <v>6.8280414414414414</v>
      </c>
      <c r="BE398" s="308">
        <f>BE372/BJ382</f>
        <v>6.8280414414414423</v>
      </c>
      <c r="BF398" s="98">
        <f>BF372/BJ382</f>
        <v>6.4400774774774785</v>
      </c>
      <c r="BG398" s="98">
        <f>BG372/BJ382</f>
        <v>6.1832126126126132</v>
      </c>
      <c r="BH398" s="98">
        <f>BH372/BO382</f>
        <v>5.4774179810725556</v>
      </c>
      <c r="BI398" s="98">
        <f>BI372/BO382</f>
        <v>5.562591482649843</v>
      </c>
      <c r="BJ398" s="308">
        <f>BJ372/BO382</f>
        <v>5.562591482649843</v>
      </c>
      <c r="BK398" s="98" t="e">
        <f>BK372/BQ382</f>
        <v>#DIV/0!</v>
      </c>
      <c r="BL398" s="98" t="e">
        <f>BL372/BR382</f>
        <v>#DIV/0!</v>
      </c>
      <c r="BM398" s="98" t="e">
        <f>BM372/BS382</f>
        <v>#DIV/0!</v>
      </c>
      <c r="BN398" s="98">
        <f>BN372/BT382</f>
        <v>5.0678036211699169</v>
      </c>
      <c r="BO398" s="308"/>
      <c r="BP398" s="98"/>
      <c r="BQ398" s="98"/>
      <c r="BR398" s="98"/>
      <c r="BS398" s="98"/>
      <c r="BT398" s="308"/>
      <c r="BU398" s="98"/>
      <c r="BV398" s="98"/>
      <c r="BW398" s="98"/>
      <c r="BX398" s="98"/>
      <c r="BY398" s="308"/>
      <c r="BZ398" s="98"/>
      <c r="CA398" s="98"/>
      <c r="CB398" s="98"/>
      <c r="CC398" s="98"/>
      <c r="CD398" s="308"/>
      <c r="CE398" s="98"/>
      <c r="CF398" s="98"/>
      <c r="CG398" s="98"/>
      <c r="CH398" s="98"/>
      <c r="CI398" s="308"/>
      <c r="CJ398" s="98"/>
      <c r="CK398" s="98"/>
      <c r="CL398" s="98"/>
      <c r="CM398" s="98"/>
      <c r="CN398" s="308"/>
      <c r="CO398" s="98"/>
      <c r="CP398" s="98"/>
      <c r="CQ398" s="98"/>
      <c r="CR398" s="98"/>
      <c r="CS398" s="308"/>
      <c r="CT398" s="98"/>
      <c r="CU398" s="98"/>
      <c r="CV398" s="98"/>
      <c r="CW398" s="98"/>
      <c r="CX398" s="308"/>
      <c r="CY398" s="98"/>
      <c r="CZ398" s="98"/>
      <c r="DA398" s="98"/>
      <c r="DB398" s="98"/>
      <c r="DC398" s="308"/>
      <c r="DD398" s="25"/>
      <c r="DE398" s="178"/>
      <c r="DJ398" s="430"/>
      <c r="DK398" s="389"/>
      <c r="DL398" s="389"/>
      <c r="DM398" s="389"/>
      <c r="DN398" s="389"/>
      <c r="DO398" s="389"/>
      <c r="DP398" s="389"/>
      <c r="DQ398" s="389"/>
      <c r="DR398" s="487"/>
      <c r="DS398" s="25"/>
    </row>
    <row r="399" spans="1:123" hidden="1" x14ac:dyDescent="0.2">
      <c r="A399" s="192" t="s">
        <v>93</v>
      </c>
      <c r="B399" s="316"/>
      <c r="C399" s="41"/>
      <c r="D399" s="41"/>
      <c r="E399" s="41"/>
      <c r="F399" s="41"/>
      <c r="G399" s="316"/>
      <c r="H399" s="41"/>
      <c r="I399" s="41"/>
      <c r="J399" s="41"/>
      <c r="K399" s="41"/>
      <c r="L399" s="316"/>
      <c r="M399" s="41"/>
      <c r="N399" s="41"/>
      <c r="O399" s="41"/>
      <c r="P399" s="41"/>
      <c r="Q399" s="316"/>
      <c r="R399" s="179"/>
      <c r="S399" s="179"/>
      <c r="T399" s="179"/>
      <c r="U399" s="179"/>
      <c r="V399" s="316"/>
      <c r="W399" s="179"/>
      <c r="X399" s="179"/>
      <c r="Y399" s="179"/>
      <c r="Z399" s="179"/>
      <c r="AA399" s="316"/>
      <c r="AB399" s="179"/>
      <c r="AC399" s="179"/>
      <c r="AD399" s="179"/>
      <c r="AE399" s="179"/>
      <c r="AF399" s="316"/>
      <c r="AG399" s="179"/>
      <c r="AH399" s="179"/>
      <c r="AI399" s="180"/>
      <c r="AJ399" s="179"/>
      <c r="AK399" s="323"/>
      <c r="AL399" s="136"/>
      <c r="AM399" s="136"/>
      <c r="AN399" s="136"/>
      <c r="AO399" s="136"/>
      <c r="AP399" s="323"/>
      <c r="AQ399" s="136"/>
      <c r="AR399" s="136"/>
      <c r="AS399" s="136"/>
      <c r="AT399" s="136"/>
      <c r="AU399" s="323"/>
      <c r="AV399" s="98"/>
      <c r="AW399" s="98"/>
      <c r="AX399" s="98"/>
      <c r="AY399" s="98"/>
      <c r="AZ399" s="308"/>
      <c r="BA399" s="98"/>
      <c r="BB399" s="98"/>
      <c r="BC399" s="98"/>
      <c r="BD399" s="98"/>
      <c r="BE399" s="308"/>
      <c r="BF399" s="98"/>
      <c r="BG399" s="98"/>
      <c r="BH399" s="98"/>
      <c r="BI399" s="98"/>
      <c r="BJ399" s="308"/>
      <c r="BK399" s="98"/>
      <c r="BL399" s="98"/>
      <c r="BM399" s="98"/>
      <c r="BN399" s="98"/>
      <c r="BO399" s="308"/>
      <c r="BP399" s="98"/>
      <c r="BQ399" s="98"/>
      <c r="BR399" s="98"/>
      <c r="BS399" s="98"/>
      <c r="BT399" s="308"/>
      <c r="BU399" s="98"/>
      <c r="BV399" s="98"/>
      <c r="BW399" s="98"/>
      <c r="BX399" s="98"/>
      <c r="BY399" s="308"/>
      <c r="BZ399" s="98"/>
      <c r="CA399" s="98"/>
      <c r="CB399" s="98"/>
      <c r="CC399" s="98"/>
      <c r="CD399" s="308"/>
      <c r="CE399" s="98"/>
      <c r="CF399" s="98"/>
      <c r="CG399" s="98"/>
      <c r="CH399" s="98"/>
      <c r="CI399" s="308"/>
      <c r="CJ399" s="98"/>
      <c r="CK399" s="98"/>
      <c r="CL399" s="98"/>
      <c r="CM399" s="98"/>
      <c r="CN399" s="308"/>
      <c r="CO399" s="98"/>
      <c r="CP399" s="98"/>
      <c r="CQ399" s="98"/>
      <c r="CR399" s="98"/>
      <c r="CS399" s="308"/>
      <c r="CT399" s="98"/>
      <c r="CU399" s="98"/>
      <c r="CV399" s="98"/>
      <c r="CW399" s="98"/>
      <c r="CX399" s="308"/>
      <c r="CY399" s="98"/>
      <c r="CZ399" s="98"/>
      <c r="DA399" s="98"/>
      <c r="DB399" s="98"/>
      <c r="DC399" s="308"/>
      <c r="DD399" s="25"/>
      <c r="DE399" s="178"/>
      <c r="DJ399" s="430"/>
      <c r="DK399" s="389"/>
      <c r="DL399" s="389"/>
      <c r="DM399" s="389"/>
      <c r="DN399" s="389"/>
      <c r="DO399" s="389"/>
      <c r="DP399" s="389"/>
      <c r="DQ399" s="389"/>
      <c r="DR399" s="487"/>
      <c r="DS399" s="25"/>
    </row>
    <row r="400" spans="1:123" hidden="1" x14ac:dyDescent="0.2">
      <c r="A400" s="98" t="s">
        <v>113</v>
      </c>
      <c r="B400" s="316"/>
      <c r="C400" s="41"/>
      <c r="D400" s="41"/>
      <c r="E400" s="41"/>
      <c r="F400" s="41"/>
      <c r="G400" s="316"/>
      <c r="H400" s="41"/>
      <c r="I400" s="41"/>
      <c r="J400" s="41"/>
      <c r="K400" s="41"/>
      <c r="L400" s="316"/>
      <c r="M400" s="41"/>
      <c r="N400" s="41"/>
      <c r="O400" s="41"/>
      <c r="P400" s="41"/>
      <c r="Q400" s="316"/>
      <c r="R400" s="179"/>
      <c r="S400" s="179"/>
      <c r="T400" s="179"/>
      <c r="U400" s="179"/>
      <c r="V400" s="316"/>
      <c r="W400" s="179"/>
      <c r="X400" s="179"/>
      <c r="Y400" s="179"/>
      <c r="Z400" s="179"/>
      <c r="AA400" s="316"/>
      <c r="AB400" s="179"/>
      <c r="AC400" s="179"/>
      <c r="AD400" s="179"/>
      <c r="AE400" s="179"/>
      <c r="AF400" s="316"/>
      <c r="AG400" s="179"/>
      <c r="AH400" s="179"/>
      <c r="AI400" s="180"/>
      <c r="AJ400" s="179"/>
      <c r="AK400" s="323"/>
      <c r="AL400" s="136"/>
      <c r="AM400" s="136"/>
      <c r="AN400" s="136"/>
      <c r="AO400" s="136"/>
      <c r="AP400" s="323"/>
      <c r="AQ400" s="136"/>
      <c r="AR400" s="136"/>
      <c r="AS400" s="136"/>
      <c r="AT400" s="136"/>
      <c r="AU400" s="323"/>
      <c r="AV400" s="98">
        <f>AV374/AZ380</f>
        <v>1.2694266180492251</v>
      </c>
      <c r="AW400" s="98">
        <f>AW374/AZ380</f>
        <v>1.3298368277119417</v>
      </c>
      <c r="AX400" s="98">
        <f>AX374/BE380</f>
        <v>1.1859335803122519</v>
      </c>
      <c r="AY400" s="98">
        <f>AY374/BE380</f>
        <v>1.1409587192378938</v>
      </c>
      <c r="AZ400" s="308">
        <f>AZ374/BE380</f>
        <v>1.1446634030166714</v>
      </c>
      <c r="BA400" s="98">
        <f>BA374/BE380</f>
        <v>1.1063358031225194</v>
      </c>
      <c r="BB400" s="98">
        <f>BB374/BE380</f>
        <v>1.1124167769251125</v>
      </c>
      <c r="BC400" s="98">
        <f>BC374/BJ380</f>
        <v>1.0145899200710482</v>
      </c>
      <c r="BD400" s="98">
        <f>BD374/BJ380</f>
        <v>1.0314305062166962</v>
      </c>
      <c r="BE400" s="308">
        <f>BE374/BJ380</f>
        <v>1.0221054618117229</v>
      </c>
      <c r="BF400" s="98">
        <f>BF374/BJ380</f>
        <v>0.99028485790408538</v>
      </c>
      <c r="BG400" s="98">
        <f>BG374/BJ380</f>
        <v>0.97128841030195401</v>
      </c>
      <c r="BH400" s="98">
        <f>BH374/BO380</f>
        <v>0.8640471698113209</v>
      </c>
      <c r="BI400" s="98">
        <f>BI374/BO380</f>
        <v>0.87990425531914906</v>
      </c>
      <c r="BJ400" s="308">
        <f>BJ374/BO380</f>
        <v>0.88411942994781234</v>
      </c>
      <c r="BK400" s="98" t="e">
        <f>BK374/BQ380</f>
        <v>#DIV/0!</v>
      </c>
      <c r="BL400" s="98" t="e">
        <f>BL374/BR380</f>
        <v>#DIV/0!</v>
      </c>
      <c r="BM400" s="98" t="e">
        <f>BM374/BS380</f>
        <v>#DIV/0!</v>
      </c>
      <c r="BN400" s="98">
        <f>BN374/BT380</f>
        <v>0.82405495313361532</v>
      </c>
      <c r="BO400" s="308"/>
      <c r="BP400" s="98"/>
      <c r="BQ400" s="98"/>
      <c r="BR400" s="98"/>
      <c r="BS400" s="98"/>
      <c r="BT400" s="308"/>
      <c r="BU400" s="98"/>
      <c r="BV400" s="98"/>
      <c r="BW400" s="98"/>
      <c r="BX400" s="98"/>
      <c r="BY400" s="308"/>
      <c r="BZ400" s="98"/>
      <c r="CA400" s="98"/>
      <c r="CB400" s="98"/>
      <c r="CC400" s="98"/>
      <c r="CD400" s="308"/>
      <c r="CE400" s="98"/>
      <c r="CF400" s="98"/>
      <c r="CG400" s="98"/>
      <c r="CH400" s="98"/>
      <c r="CI400" s="308"/>
      <c r="CJ400" s="98"/>
      <c r="CK400" s="98"/>
      <c r="CL400" s="98"/>
      <c r="CM400" s="98"/>
      <c r="CN400" s="308"/>
      <c r="CO400" s="98"/>
      <c r="CP400" s="98"/>
      <c r="CQ400" s="98"/>
      <c r="CR400" s="98"/>
      <c r="CS400" s="308"/>
      <c r="CT400" s="98"/>
      <c r="CU400" s="98"/>
      <c r="CV400" s="98"/>
      <c r="CW400" s="98"/>
      <c r="CX400" s="308"/>
      <c r="CY400" s="98"/>
      <c r="CZ400" s="98"/>
      <c r="DA400" s="98"/>
      <c r="DB400" s="98"/>
      <c r="DC400" s="308"/>
      <c r="DD400" s="25"/>
      <c r="DE400" s="178"/>
      <c r="DJ400" s="430"/>
      <c r="DK400" s="389"/>
      <c r="DL400" s="389"/>
      <c r="DM400" s="389"/>
      <c r="DN400" s="389"/>
      <c r="DO400" s="389"/>
      <c r="DP400" s="389"/>
      <c r="DQ400" s="389"/>
      <c r="DR400" s="487"/>
      <c r="DS400" s="25"/>
    </row>
    <row r="401" spans="1:131" hidden="1" x14ac:dyDescent="0.2">
      <c r="A401" s="98" t="s">
        <v>114</v>
      </c>
      <c r="B401" s="316"/>
      <c r="C401" s="41"/>
      <c r="D401" s="41"/>
      <c r="E401" s="41"/>
      <c r="F401" s="41"/>
      <c r="G401" s="316"/>
      <c r="H401" s="41"/>
      <c r="I401" s="41"/>
      <c r="J401" s="41"/>
      <c r="K401" s="41"/>
      <c r="L401" s="316"/>
      <c r="M401" s="41"/>
      <c r="N401" s="41"/>
      <c r="O401" s="41"/>
      <c r="P401" s="41"/>
      <c r="Q401" s="316"/>
      <c r="R401" s="179"/>
      <c r="S401" s="179"/>
      <c r="T401" s="179"/>
      <c r="U401" s="179"/>
      <c r="V401" s="316"/>
      <c r="W401" s="179"/>
      <c r="X401" s="179"/>
      <c r="Y401" s="179"/>
      <c r="Z401" s="179"/>
      <c r="AA401" s="316"/>
      <c r="AB401" s="179"/>
      <c r="AC401" s="179"/>
      <c r="AD401" s="179"/>
      <c r="AE401" s="179"/>
      <c r="AF401" s="316"/>
      <c r="AG401" s="179"/>
      <c r="AH401" s="179"/>
      <c r="AI401" s="180"/>
      <c r="AJ401" s="179"/>
      <c r="AK401" s="323"/>
      <c r="AL401" s="136"/>
      <c r="AM401" s="136"/>
      <c r="AN401" s="136"/>
      <c r="AO401" s="136"/>
      <c r="AP401" s="323"/>
      <c r="AQ401" s="136"/>
      <c r="AR401" s="136"/>
      <c r="AS401" s="136"/>
      <c r="AT401" s="136"/>
      <c r="AU401" s="323"/>
      <c r="AV401" s="98">
        <f>AV374/AZ386</f>
        <v>6.5429647611589665</v>
      </c>
      <c r="AW401" s="98">
        <f>AW374/AZ386</f>
        <v>6.8543351605324983</v>
      </c>
      <c r="AX401" s="98">
        <f>AX374/BE386</f>
        <v>6.6013300927971752</v>
      </c>
      <c r="AY401" s="98">
        <f>AY374/BE386</f>
        <v>6.3509839446162957</v>
      </c>
      <c r="AZ401" s="308">
        <f>AZ374/BE386</f>
        <v>6.3716055383708987</v>
      </c>
      <c r="BA401" s="98">
        <f>BA374/BE386</f>
        <v>6.1582604212697056</v>
      </c>
      <c r="BB401" s="98">
        <f>BB374/BE386</f>
        <v>6.1921092944469036</v>
      </c>
      <c r="BC401" s="98">
        <f>BC374/BJ386</f>
        <v>6.6227724637681167</v>
      </c>
      <c r="BD401" s="98">
        <f>BD374/BJ386</f>
        <v>6.7327000000000004</v>
      </c>
      <c r="BE401" s="308">
        <f>BE374/BJ386</f>
        <v>6.671830434782609</v>
      </c>
      <c r="BF401" s="98">
        <f>BF374/BJ386</f>
        <v>6.4641202898550727</v>
      </c>
      <c r="BG401" s="98">
        <f>BG374/BJ386</f>
        <v>6.3401202898550739</v>
      </c>
      <c r="BH401" s="98">
        <f>BH374/BO386</f>
        <v>5.6344018324607346</v>
      </c>
      <c r="BI401" s="98">
        <f>BI374/BO386</f>
        <v>5.7378049738219907</v>
      </c>
      <c r="BJ401" s="308">
        <f>BJ374/BO386</f>
        <v>5.7652918848167554</v>
      </c>
      <c r="BK401" s="98" t="e">
        <f>BK374/BQ386</f>
        <v>#DIV/0!</v>
      </c>
      <c r="BL401" s="98" t="e">
        <f>BL374/BR386</f>
        <v>#DIV/0!</v>
      </c>
      <c r="BM401" s="98" t="e">
        <f>BM374/BS386</f>
        <v>#DIV/0!</v>
      </c>
      <c r="BN401" s="98">
        <f>BN374/BT386</f>
        <v>5.2998617021276608</v>
      </c>
      <c r="BO401" s="308"/>
      <c r="BP401" s="98"/>
      <c r="BQ401" s="98"/>
      <c r="BR401" s="98"/>
      <c r="BS401" s="98"/>
      <c r="BT401" s="308"/>
      <c r="BU401" s="98"/>
      <c r="BV401" s="98"/>
      <c r="BW401" s="98"/>
      <c r="BX401" s="98"/>
      <c r="BY401" s="308"/>
      <c r="BZ401" s="98"/>
      <c r="CA401" s="98"/>
      <c r="CB401" s="98"/>
      <c r="CC401" s="98"/>
      <c r="CD401" s="308"/>
      <c r="CE401" s="98"/>
      <c r="CF401" s="98"/>
      <c r="CG401" s="98"/>
      <c r="CH401" s="98"/>
      <c r="CI401" s="308"/>
      <c r="CJ401" s="98"/>
      <c r="CK401" s="98"/>
      <c r="CL401" s="98"/>
      <c r="CM401" s="98"/>
      <c r="CN401" s="308"/>
      <c r="CO401" s="98"/>
      <c r="CP401" s="98"/>
      <c r="CQ401" s="98"/>
      <c r="CR401" s="98"/>
      <c r="CS401" s="308"/>
      <c r="CT401" s="98"/>
      <c r="CU401" s="98"/>
      <c r="CV401" s="98"/>
      <c r="CW401" s="98"/>
      <c r="CX401" s="308"/>
      <c r="CY401" s="98"/>
      <c r="CZ401" s="98"/>
      <c r="DA401" s="98"/>
      <c r="DB401" s="98"/>
      <c r="DC401" s="308"/>
      <c r="DD401" s="25"/>
      <c r="DE401" s="178"/>
      <c r="DJ401" s="430"/>
      <c r="DK401" s="389"/>
      <c r="DL401" s="389"/>
      <c r="DM401" s="389"/>
      <c r="DN401" s="389"/>
      <c r="DO401" s="389"/>
      <c r="DP401" s="389"/>
      <c r="DQ401" s="389"/>
      <c r="DR401" s="487"/>
      <c r="DS401" s="25"/>
    </row>
    <row r="402" spans="1:131" hidden="1" x14ac:dyDescent="0.2">
      <c r="A402" s="193" t="s">
        <v>94</v>
      </c>
      <c r="B402" s="316"/>
      <c r="C402" s="41"/>
      <c r="D402" s="41"/>
      <c r="E402" s="41"/>
      <c r="F402" s="41"/>
      <c r="G402" s="316"/>
      <c r="H402" s="41"/>
      <c r="I402" s="41"/>
      <c r="J402" s="41"/>
      <c r="K402" s="41"/>
      <c r="L402" s="316"/>
      <c r="M402" s="41"/>
      <c r="N402" s="41"/>
      <c r="O402" s="41"/>
      <c r="P402" s="41"/>
      <c r="Q402" s="316"/>
      <c r="R402" s="179"/>
      <c r="S402" s="179"/>
      <c r="T402" s="179"/>
      <c r="U402" s="179"/>
      <c r="V402" s="316"/>
      <c r="W402" s="179"/>
      <c r="X402" s="179"/>
      <c r="Y402" s="179"/>
      <c r="Z402" s="179"/>
      <c r="AA402" s="316"/>
      <c r="AB402" s="179"/>
      <c r="AC402" s="179"/>
      <c r="AD402" s="179"/>
      <c r="AE402" s="179"/>
      <c r="AF402" s="316"/>
      <c r="AG402" s="179"/>
      <c r="AH402" s="179"/>
      <c r="AI402" s="180"/>
      <c r="AJ402" s="179"/>
      <c r="AK402" s="323"/>
      <c r="AL402" s="136"/>
      <c r="AM402" s="136"/>
      <c r="AN402" s="136"/>
      <c r="AO402" s="136"/>
      <c r="AP402" s="323"/>
      <c r="AQ402" s="136"/>
      <c r="AR402" s="136"/>
      <c r="AS402" s="136"/>
      <c r="AT402" s="136"/>
      <c r="AU402" s="323"/>
      <c r="AV402" s="98"/>
      <c r="AW402" s="98"/>
      <c r="AX402" s="98"/>
      <c r="AY402" s="98"/>
      <c r="AZ402" s="308"/>
      <c r="BA402" s="98"/>
      <c r="BB402" s="98"/>
      <c r="BC402" s="98"/>
      <c r="BD402" s="98"/>
      <c r="BE402" s="308"/>
      <c r="BF402" s="98"/>
      <c r="BG402" s="98"/>
      <c r="BH402" s="98"/>
      <c r="BI402" s="98"/>
      <c r="BJ402" s="308"/>
      <c r="BK402" s="98"/>
      <c r="BL402" s="98"/>
      <c r="BM402" s="98"/>
      <c r="BN402" s="98"/>
      <c r="BO402" s="308"/>
      <c r="BP402" s="98"/>
      <c r="BQ402" s="98"/>
      <c r="BR402" s="98"/>
      <c r="BS402" s="98"/>
      <c r="BT402" s="308"/>
      <c r="BU402" s="98"/>
      <c r="BV402" s="98"/>
      <c r="BW402" s="98"/>
      <c r="BX402" s="98"/>
      <c r="BY402" s="308"/>
      <c r="BZ402" s="98"/>
      <c r="CA402" s="98"/>
      <c r="CB402" s="98"/>
      <c r="CC402" s="98"/>
      <c r="CD402" s="308"/>
      <c r="CE402" s="98"/>
      <c r="CF402" s="98"/>
      <c r="CG402" s="98"/>
      <c r="CH402" s="98"/>
      <c r="CI402" s="308"/>
      <c r="CJ402" s="98"/>
      <c r="CK402" s="98"/>
      <c r="CL402" s="98"/>
      <c r="CM402" s="98"/>
      <c r="CN402" s="308"/>
      <c r="CO402" s="98"/>
      <c r="CP402" s="98"/>
      <c r="CQ402" s="98"/>
      <c r="CR402" s="98"/>
      <c r="CS402" s="308"/>
      <c r="CT402" s="98"/>
      <c r="CU402" s="98"/>
      <c r="CV402" s="98"/>
      <c r="CW402" s="98"/>
      <c r="CX402" s="308"/>
      <c r="CY402" s="98"/>
      <c r="CZ402" s="98"/>
      <c r="DA402" s="98"/>
      <c r="DB402" s="98"/>
      <c r="DC402" s="308"/>
      <c r="DD402" s="25"/>
      <c r="DE402" s="178"/>
      <c r="DJ402" s="430"/>
      <c r="DK402" s="389"/>
      <c r="DL402" s="389"/>
      <c r="DM402" s="389"/>
      <c r="DN402" s="389"/>
      <c r="DO402" s="389"/>
      <c r="DP402" s="389"/>
      <c r="DQ402" s="389"/>
      <c r="DR402" s="487"/>
      <c r="DS402" s="25"/>
    </row>
    <row r="403" spans="1:131" hidden="1" x14ac:dyDescent="0.2">
      <c r="A403" s="98" t="s">
        <v>113</v>
      </c>
      <c r="B403" s="316"/>
      <c r="C403" s="41"/>
      <c r="D403" s="41"/>
      <c r="E403" s="41"/>
      <c r="F403" s="41"/>
      <c r="G403" s="316"/>
      <c r="H403" s="41"/>
      <c r="I403" s="41"/>
      <c r="J403" s="41"/>
      <c r="K403" s="41"/>
      <c r="L403" s="316"/>
      <c r="M403" s="41"/>
      <c r="N403" s="41"/>
      <c r="O403" s="41"/>
      <c r="P403" s="41"/>
      <c r="Q403" s="316"/>
      <c r="R403" s="179"/>
      <c r="S403" s="179"/>
      <c r="T403" s="179"/>
      <c r="U403" s="179"/>
      <c r="V403" s="316"/>
      <c r="W403" s="179"/>
      <c r="X403" s="179"/>
      <c r="Y403" s="179"/>
      <c r="Z403" s="179"/>
      <c r="AA403" s="316"/>
      <c r="AB403" s="179"/>
      <c r="AC403" s="179"/>
      <c r="AD403" s="179"/>
      <c r="AE403" s="179"/>
      <c r="AF403" s="316"/>
      <c r="AG403" s="179"/>
      <c r="AH403" s="179"/>
      <c r="AI403" s="180"/>
      <c r="AJ403" s="179"/>
      <c r="AK403" s="323"/>
      <c r="AL403" s="136"/>
      <c r="AM403" s="136"/>
      <c r="AN403" s="136"/>
      <c r="AO403" s="136"/>
      <c r="AP403" s="323"/>
      <c r="AQ403" s="136"/>
      <c r="AR403" s="136"/>
      <c r="AS403" s="136"/>
      <c r="AT403" s="136"/>
      <c r="AU403" s="323"/>
      <c r="AV403" s="98">
        <f>AV375/AZ380</f>
        <v>1.3332370100273474</v>
      </c>
      <c r="AW403" s="98">
        <f>AW375/AZ380</f>
        <v>1.3802774232756003</v>
      </c>
      <c r="AX403" s="98">
        <f>AX375/BE380</f>
        <v>1.2158356708123843</v>
      </c>
      <c r="AY403" s="98">
        <f>AY375/BE380</f>
        <v>1.1613344800211698</v>
      </c>
      <c r="AZ403" s="308">
        <f>AZ375/BE380</f>
        <v>1.1650391637999473</v>
      </c>
      <c r="BA403" s="98">
        <f>BA375/BE380</f>
        <v>1.1251238422863192</v>
      </c>
      <c r="BB403" s="98">
        <f>BB375/BE380</f>
        <v>1.1309401958189997</v>
      </c>
      <c r="BC403" s="98">
        <f>BC375/BJ380</f>
        <v>1.0299096358792186</v>
      </c>
      <c r="BD403" s="98">
        <f>BD375/BJ380</f>
        <v>1.0465281971580818</v>
      </c>
      <c r="BE403" s="308">
        <f>BE375/BJ380</f>
        <v>1.0372031527531085</v>
      </c>
      <c r="BF403" s="98">
        <f>BF375/BJ380</f>
        <v>1.0049384991119006</v>
      </c>
      <c r="BG403" s="98">
        <f>BG375/BJ380</f>
        <v>0.98572002664298419</v>
      </c>
      <c r="BH403" s="98">
        <f>BH375/BO380</f>
        <v>0.87689341629867545</v>
      </c>
      <c r="BI403" s="98">
        <f>BI375/BO380</f>
        <v>0.89335266961059834</v>
      </c>
      <c r="BJ403" s="308">
        <f>BJ375/BO380</f>
        <v>0.8975678442392615</v>
      </c>
      <c r="BK403" s="98" t="e">
        <f>BK375/BQ380</f>
        <v>#DIV/0!</v>
      </c>
      <c r="BL403" s="98" t="e">
        <f>BL375/BR380</f>
        <v>#DIV/0!</v>
      </c>
      <c r="BM403" s="98" t="e">
        <f>BM375/BS380</f>
        <v>#DIV/0!</v>
      </c>
      <c r="BN403" s="98">
        <f>BN375/BT380</f>
        <v>0.8334282301047603</v>
      </c>
      <c r="BO403" s="308"/>
      <c r="BP403" s="98"/>
      <c r="BQ403" s="98"/>
      <c r="BR403" s="98"/>
      <c r="BS403" s="98"/>
      <c r="BT403" s="308"/>
      <c r="BU403" s="98"/>
      <c r="BV403" s="98"/>
      <c r="BW403" s="98"/>
      <c r="BX403" s="98"/>
      <c r="BY403" s="308"/>
      <c r="BZ403" s="98"/>
      <c r="CA403" s="98"/>
      <c r="CB403" s="98"/>
      <c r="CC403" s="98"/>
      <c r="CD403" s="308"/>
      <c r="CE403" s="98"/>
      <c r="CF403" s="98"/>
      <c r="CG403" s="98"/>
      <c r="CH403" s="98"/>
      <c r="CI403" s="308"/>
      <c r="CJ403" s="98"/>
      <c r="CK403" s="98"/>
      <c r="CL403" s="98"/>
      <c r="CM403" s="98"/>
      <c r="CN403" s="308"/>
      <c r="CO403" s="98"/>
      <c r="CP403" s="98"/>
      <c r="CQ403" s="98"/>
      <c r="CR403" s="98"/>
      <c r="CS403" s="308"/>
      <c r="CT403" s="98"/>
      <c r="CU403" s="98"/>
      <c r="CV403" s="98"/>
      <c r="CW403" s="98"/>
      <c r="CX403" s="308"/>
      <c r="CY403" s="98"/>
      <c r="CZ403" s="98"/>
      <c r="DA403" s="98"/>
      <c r="DB403" s="98"/>
      <c r="DC403" s="308"/>
      <c r="DD403" s="25"/>
      <c r="DE403" s="178"/>
      <c r="DJ403" s="430"/>
      <c r="DK403" s="389"/>
      <c r="DL403" s="389"/>
      <c r="DM403" s="389"/>
      <c r="DN403" s="389"/>
      <c r="DO403" s="389"/>
      <c r="DP403" s="389"/>
      <c r="DQ403" s="389"/>
      <c r="DR403" s="487"/>
      <c r="DS403" s="25"/>
    </row>
    <row r="404" spans="1:131" hidden="1" x14ac:dyDescent="0.2">
      <c r="A404" s="98" t="s">
        <v>114</v>
      </c>
      <c r="B404" s="316"/>
      <c r="C404" s="41"/>
      <c r="D404" s="41"/>
      <c r="E404" s="41"/>
      <c r="F404" s="41"/>
      <c r="G404" s="316"/>
      <c r="H404" s="41"/>
      <c r="I404" s="41"/>
      <c r="J404" s="41"/>
      <c r="K404" s="41"/>
      <c r="L404" s="316"/>
      <c r="M404" s="41"/>
      <c r="N404" s="41"/>
      <c r="O404" s="41"/>
      <c r="P404" s="41"/>
      <c r="Q404" s="316"/>
      <c r="R404" s="179"/>
      <c r="S404" s="179"/>
      <c r="T404" s="179"/>
      <c r="U404" s="179"/>
      <c r="V404" s="316"/>
      <c r="W404" s="179"/>
      <c r="X404" s="179"/>
      <c r="Y404" s="179"/>
      <c r="Z404" s="179"/>
      <c r="AA404" s="316"/>
      <c r="AB404" s="179"/>
      <c r="AC404" s="179"/>
      <c r="AD404" s="179"/>
      <c r="AE404" s="179"/>
      <c r="AF404" s="316"/>
      <c r="AG404" s="179"/>
      <c r="AH404" s="179"/>
      <c r="AI404" s="180"/>
      <c r="AJ404" s="179"/>
      <c r="AK404" s="323"/>
      <c r="AL404" s="136"/>
      <c r="AM404" s="136"/>
      <c r="AN404" s="136"/>
      <c r="AO404" s="136"/>
      <c r="AP404" s="323"/>
      <c r="AQ404" s="136"/>
      <c r="AR404" s="136"/>
      <c r="AS404" s="136"/>
      <c r="AT404" s="136"/>
      <c r="AU404" s="323"/>
      <c r="AV404" s="98">
        <f>AV375/AZ386</f>
        <v>6.8718606108065776</v>
      </c>
      <c r="AW404" s="98">
        <f>AW375/AZ386</f>
        <v>7.1143194988253722</v>
      </c>
      <c r="AX404" s="98">
        <f>AX375/BE386</f>
        <v>6.7677758138164714</v>
      </c>
      <c r="AY404" s="98">
        <f>AY375/BE386</f>
        <v>6.4644027102666124</v>
      </c>
      <c r="AZ404" s="308">
        <f>AZ375/BE386</f>
        <v>6.4850243040212154</v>
      </c>
      <c r="BA404" s="98">
        <f>BA375/BE386</f>
        <v>6.2628413610251918</v>
      </c>
      <c r="BB404" s="98">
        <f>BB375/BE386</f>
        <v>6.2952172632199188</v>
      </c>
      <c r="BC404" s="98">
        <f>BC375/BJ386</f>
        <v>6.7227724637681172</v>
      </c>
      <c r="BD404" s="98">
        <f>BD375/BJ386</f>
        <v>6.8312507246376812</v>
      </c>
      <c r="BE404" s="308">
        <f>BE375/BJ386</f>
        <v>6.7703811594202898</v>
      </c>
      <c r="BF404" s="98">
        <f>BF375/BJ386</f>
        <v>6.5597724637681161</v>
      </c>
      <c r="BG404" s="98">
        <f>BG375/BJ386</f>
        <v>6.4343231884057985</v>
      </c>
      <c r="BH404" s="98">
        <f>BH375/BO386</f>
        <v>5.7181714659685872</v>
      </c>
      <c r="BI404" s="98">
        <f>BI375/BO386</f>
        <v>5.8255013089005248</v>
      </c>
      <c r="BJ404" s="308">
        <f>BJ375/BO386</f>
        <v>5.8529882198952894</v>
      </c>
      <c r="BK404" s="98" t="e">
        <f>BK375/BQ386</f>
        <v>#DIV/0!</v>
      </c>
      <c r="BL404" s="98" t="e">
        <f>BL375/BR386</f>
        <v>#DIV/0!</v>
      </c>
      <c r="BM404" s="98" t="e">
        <f>BM375/BS386</f>
        <v>#DIV/0!</v>
      </c>
      <c r="BN404" s="98">
        <f>BN375/BT386</f>
        <v>5.3601453900709233</v>
      </c>
      <c r="BO404" s="308"/>
      <c r="BP404" s="98"/>
      <c r="BQ404" s="98"/>
      <c r="BR404" s="98"/>
      <c r="BS404" s="98"/>
      <c r="BT404" s="308"/>
      <c r="BU404" s="98"/>
      <c r="BV404" s="98"/>
      <c r="BW404" s="98"/>
      <c r="BX404" s="98"/>
      <c r="BY404" s="308"/>
      <c r="BZ404" s="98"/>
      <c r="CA404" s="98"/>
      <c r="CB404" s="98"/>
      <c r="CC404" s="98"/>
      <c r="CD404" s="308"/>
      <c r="CE404" s="98"/>
      <c r="CF404" s="98"/>
      <c r="CG404" s="98"/>
      <c r="CH404" s="98"/>
      <c r="CI404" s="308"/>
      <c r="CJ404" s="98"/>
      <c r="CK404" s="98"/>
      <c r="CL404" s="98"/>
      <c r="CM404" s="98"/>
      <c r="CN404" s="308"/>
      <c r="CO404" s="98"/>
      <c r="CP404" s="98"/>
      <c r="CQ404" s="98"/>
      <c r="CR404" s="98"/>
      <c r="CS404" s="308"/>
      <c r="CT404" s="98"/>
      <c r="CU404" s="98"/>
      <c r="CV404" s="98"/>
      <c r="CW404" s="98"/>
      <c r="CX404" s="308"/>
      <c r="CY404" s="98"/>
      <c r="CZ404" s="98"/>
      <c r="DA404" s="98"/>
      <c r="DB404" s="98"/>
      <c r="DC404" s="308"/>
      <c r="DD404" s="25"/>
      <c r="DE404" s="178"/>
      <c r="DJ404" s="430"/>
      <c r="DK404" s="389"/>
      <c r="DL404" s="389"/>
      <c r="DM404" s="389"/>
      <c r="DN404" s="389"/>
      <c r="DO404" s="389"/>
      <c r="DP404" s="389"/>
      <c r="DQ404" s="389"/>
      <c r="DR404" s="487"/>
      <c r="DS404" s="25"/>
    </row>
    <row r="405" spans="1:131" hidden="1" x14ac:dyDescent="0.2">
      <c r="A405" s="193" t="s">
        <v>95</v>
      </c>
      <c r="B405" s="316"/>
      <c r="C405" s="41"/>
      <c r="D405" s="41"/>
      <c r="E405" s="41"/>
      <c r="F405" s="41"/>
      <c r="G405" s="316"/>
      <c r="H405" s="41"/>
      <c r="I405" s="41"/>
      <c r="J405" s="41"/>
      <c r="K405" s="41"/>
      <c r="L405" s="316"/>
      <c r="M405" s="41"/>
      <c r="N405" s="41"/>
      <c r="O405" s="41"/>
      <c r="P405" s="41"/>
      <c r="Q405" s="316"/>
      <c r="R405" s="179"/>
      <c r="S405" s="179"/>
      <c r="T405" s="179"/>
      <c r="U405" s="179"/>
      <c r="V405" s="316"/>
      <c r="W405" s="179"/>
      <c r="X405" s="179"/>
      <c r="Y405" s="179"/>
      <c r="Z405" s="179"/>
      <c r="AA405" s="316"/>
      <c r="AB405" s="179"/>
      <c r="AC405" s="179"/>
      <c r="AD405" s="179"/>
      <c r="AE405" s="179"/>
      <c r="AF405" s="316"/>
      <c r="AG405" s="179"/>
      <c r="AH405" s="179"/>
      <c r="AI405" s="180"/>
      <c r="AJ405" s="179"/>
      <c r="AK405" s="323"/>
      <c r="AL405" s="136"/>
      <c r="AM405" s="136"/>
      <c r="AN405" s="136"/>
      <c r="AO405" s="136"/>
      <c r="AP405" s="323"/>
      <c r="AQ405" s="136"/>
      <c r="AR405" s="136"/>
      <c r="AS405" s="136"/>
      <c r="AT405" s="136"/>
      <c r="AU405" s="323"/>
      <c r="AV405" s="98"/>
      <c r="AW405" s="98"/>
      <c r="AX405" s="98"/>
      <c r="AY405" s="98"/>
      <c r="AZ405" s="308"/>
      <c r="BA405" s="98"/>
      <c r="BB405" s="98"/>
      <c r="BC405" s="98"/>
      <c r="BD405" s="98"/>
      <c r="BE405" s="308"/>
      <c r="BF405" s="98"/>
      <c r="BG405" s="98"/>
      <c r="BH405" s="98"/>
      <c r="BI405" s="98"/>
      <c r="BJ405" s="308"/>
      <c r="BK405" s="98"/>
      <c r="BL405" s="98"/>
      <c r="BM405" s="98"/>
      <c r="BN405" s="98"/>
      <c r="BO405" s="308"/>
      <c r="BP405" s="98"/>
      <c r="BQ405" s="98"/>
      <c r="BR405" s="98"/>
      <c r="BS405" s="98"/>
      <c r="BT405" s="308"/>
      <c r="BU405" s="98"/>
      <c r="BV405" s="98"/>
      <c r="BW405" s="98"/>
      <c r="BX405" s="98"/>
      <c r="BY405" s="308"/>
      <c r="BZ405" s="98"/>
      <c r="CA405" s="98"/>
      <c r="CB405" s="98"/>
      <c r="CC405" s="98"/>
      <c r="CD405" s="308"/>
      <c r="CE405" s="98"/>
      <c r="CF405" s="98"/>
      <c r="CG405" s="98"/>
      <c r="CH405" s="98"/>
      <c r="CI405" s="308"/>
      <c r="CJ405" s="98"/>
      <c r="CK405" s="98"/>
      <c r="CL405" s="98"/>
      <c r="CM405" s="98"/>
      <c r="CN405" s="308"/>
      <c r="CO405" s="98"/>
      <c r="CP405" s="98"/>
      <c r="CQ405" s="98"/>
      <c r="CR405" s="98"/>
      <c r="CS405" s="308"/>
      <c r="CT405" s="98"/>
      <c r="CU405" s="98"/>
      <c r="CV405" s="98"/>
      <c r="CW405" s="98"/>
      <c r="CX405" s="308"/>
      <c r="CY405" s="98"/>
      <c r="CZ405" s="98"/>
      <c r="DA405" s="98"/>
      <c r="DB405" s="98"/>
      <c r="DC405" s="308"/>
      <c r="DD405" s="25"/>
      <c r="DE405" s="178"/>
      <c r="DJ405" s="430"/>
      <c r="DK405" s="389"/>
      <c r="DL405" s="389"/>
      <c r="DM405" s="389"/>
      <c r="DN405" s="389"/>
      <c r="DO405" s="389"/>
      <c r="DP405" s="389"/>
      <c r="DQ405" s="389"/>
      <c r="DR405" s="487"/>
      <c r="DS405" s="25"/>
    </row>
    <row r="406" spans="1:131" hidden="1" x14ac:dyDescent="0.2">
      <c r="A406" s="98" t="s">
        <v>113</v>
      </c>
      <c r="B406" s="316"/>
      <c r="C406" s="41"/>
      <c r="D406" s="41"/>
      <c r="E406" s="41"/>
      <c r="F406" s="41"/>
      <c r="G406" s="316"/>
      <c r="H406" s="41"/>
      <c r="I406" s="41"/>
      <c r="J406" s="41"/>
      <c r="K406" s="41"/>
      <c r="L406" s="316"/>
      <c r="M406" s="41"/>
      <c r="N406" s="41"/>
      <c r="O406" s="41"/>
      <c r="P406" s="41"/>
      <c r="Q406" s="316"/>
      <c r="R406" s="179"/>
      <c r="S406" s="179"/>
      <c r="T406" s="179"/>
      <c r="U406" s="179"/>
      <c r="V406" s="316"/>
      <c r="W406" s="179"/>
      <c r="X406" s="179"/>
      <c r="Y406" s="179"/>
      <c r="Z406" s="179"/>
      <c r="AA406" s="316"/>
      <c r="AB406" s="179"/>
      <c r="AC406" s="179"/>
      <c r="AD406" s="179"/>
      <c r="AE406" s="179"/>
      <c r="AF406" s="316"/>
      <c r="AG406" s="179"/>
      <c r="AH406" s="179"/>
      <c r="AI406" s="180"/>
      <c r="AJ406" s="179"/>
      <c r="AK406" s="323"/>
      <c r="AL406" s="136"/>
      <c r="AM406" s="136"/>
      <c r="AN406" s="136"/>
      <c r="AO406" s="136"/>
      <c r="AP406" s="323"/>
      <c r="AQ406" s="136"/>
      <c r="AR406" s="136"/>
      <c r="AS406" s="136"/>
      <c r="AT406" s="136"/>
      <c r="AU406" s="323"/>
      <c r="AV406" s="98">
        <f>AV377/AZ380</f>
        <v>1.2694266180492251</v>
      </c>
      <c r="AW406" s="98">
        <f>AW377/AZ380</f>
        <v>1.3298368277119417</v>
      </c>
      <c r="AX406" s="98">
        <f>AX377/BE380</f>
        <v>1.1859335803122519</v>
      </c>
      <c r="AY406" s="98">
        <f>AY377/BE380</f>
        <v>1.1409587192378938</v>
      </c>
      <c r="AZ406" s="308">
        <f>AZ377/BE380</f>
        <v>1.1446634030166714</v>
      </c>
      <c r="BA406" s="98">
        <f>BA377/BE380</f>
        <v>1.1063358031225194</v>
      </c>
      <c r="BB406" s="98">
        <f>BB377/BE380</f>
        <v>1.1124167769251125</v>
      </c>
      <c r="BC406" s="98">
        <f>BC377/BJ380</f>
        <v>1.0145899200710482</v>
      </c>
      <c r="BD406" s="98">
        <f>BD377/BJ380</f>
        <v>1.0314305062166962</v>
      </c>
      <c r="BE406" s="308">
        <f>BE377/BJ380</f>
        <v>1.0221054618117229</v>
      </c>
      <c r="BF406" s="98">
        <f>BF377/BJ380</f>
        <v>0.99028485790408538</v>
      </c>
      <c r="BG406" s="98">
        <f>BG377/BJ380</f>
        <v>0.97128841030195401</v>
      </c>
      <c r="BH406" s="98">
        <f>BH377/BO380</f>
        <v>0.8640471698113209</v>
      </c>
      <c r="BI406" s="98">
        <f>BI377/BO380</f>
        <v>0.87990425531914906</v>
      </c>
      <c r="BJ406" s="308">
        <f>BJ377/BO380</f>
        <v>0.88411942994781234</v>
      </c>
      <c r="BK406" s="98" t="e">
        <f>BK377/BQ380</f>
        <v>#DIV/0!</v>
      </c>
      <c r="BL406" s="98" t="e">
        <f>BL377/BR380</f>
        <v>#DIV/0!</v>
      </c>
      <c r="BM406" s="98" t="e">
        <f>BM377/BS380</f>
        <v>#DIV/0!</v>
      </c>
      <c r="BN406" s="98">
        <f>BN377/BT380</f>
        <v>0.82405495313361532</v>
      </c>
      <c r="BO406" s="308"/>
      <c r="BP406" s="98"/>
      <c r="BQ406" s="98"/>
      <c r="BR406" s="98"/>
      <c r="BS406" s="98"/>
      <c r="BT406" s="308"/>
      <c r="BU406" s="98"/>
      <c r="BV406" s="98"/>
      <c r="BW406" s="98"/>
      <c r="BX406" s="98"/>
      <c r="BY406" s="308"/>
      <c r="BZ406" s="98"/>
      <c r="CA406" s="98"/>
      <c r="CB406" s="98"/>
      <c r="CC406" s="98"/>
      <c r="CD406" s="308"/>
      <c r="CE406" s="98"/>
      <c r="CF406" s="98"/>
      <c r="CG406" s="98"/>
      <c r="CH406" s="98"/>
      <c r="CI406" s="308"/>
      <c r="CJ406" s="98"/>
      <c r="CK406" s="98"/>
      <c r="CL406" s="98"/>
      <c r="CM406" s="98"/>
      <c r="CN406" s="308"/>
      <c r="CO406" s="98"/>
      <c r="CP406" s="98"/>
      <c r="CQ406" s="98"/>
      <c r="CR406" s="98"/>
      <c r="CS406" s="308"/>
      <c r="CT406" s="98"/>
      <c r="CU406" s="98"/>
      <c r="CV406" s="98"/>
      <c r="CW406" s="98"/>
      <c r="CX406" s="308"/>
      <c r="CY406" s="98"/>
      <c r="CZ406" s="98"/>
      <c r="DA406" s="98"/>
      <c r="DB406" s="98"/>
      <c r="DC406" s="308"/>
      <c r="DD406" s="25"/>
      <c r="DE406" s="178"/>
      <c r="DJ406" s="430"/>
      <c r="DK406" s="389"/>
      <c r="DL406" s="389"/>
      <c r="DM406" s="389"/>
      <c r="DN406" s="389"/>
      <c r="DO406" s="389"/>
      <c r="DP406" s="389"/>
      <c r="DQ406" s="389"/>
      <c r="DR406" s="487"/>
      <c r="DS406" s="25"/>
    </row>
    <row r="407" spans="1:131" hidden="1" x14ac:dyDescent="0.2">
      <c r="A407" s="98" t="s">
        <v>114</v>
      </c>
      <c r="B407" s="316"/>
      <c r="C407" s="41"/>
      <c r="D407" s="41"/>
      <c r="E407" s="41"/>
      <c r="F407" s="41"/>
      <c r="G407" s="316"/>
      <c r="H407" s="41"/>
      <c r="I407" s="41"/>
      <c r="J407" s="41"/>
      <c r="K407" s="41"/>
      <c r="L407" s="316"/>
      <c r="M407" s="41"/>
      <c r="N407" s="41"/>
      <c r="O407" s="41"/>
      <c r="P407" s="41"/>
      <c r="Q407" s="316"/>
      <c r="R407" s="179"/>
      <c r="S407" s="179"/>
      <c r="T407" s="179"/>
      <c r="U407" s="179"/>
      <c r="V407" s="316"/>
      <c r="W407" s="179"/>
      <c r="X407" s="179"/>
      <c r="Y407" s="179"/>
      <c r="Z407" s="179"/>
      <c r="AA407" s="316"/>
      <c r="AB407" s="179"/>
      <c r="AC407" s="179"/>
      <c r="AD407" s="179"/>
      <c r="AE407" s="179"/>
      <c r="AF407" s="316"/>
      <c r="AG407" s="179"/>
      <c r="AH407" s="179"/>
      <c r="AI407" s="180"/>
      <c r="AJ407" s="179"/>
      <c r="AK407" s="323"/>
      <c r="AL407" s="136"/>
      <c r="AM407" s="136"/>
      <c r="AN407" s="136"/>
      <c r="AO407" s="136"/>
      <c r="AP407" s="323"/>
      <c r="AQ407" s="136"/>
      <c r="AR407" s="136"/>
      <c r="AS407" s="136"/>
      <c r="AT407" s="136"/>
      <c r="AU407" s="323"/>
      <c r="AV407" s="98">
        <f>AV377/AZ387</f>
        <v>6.5429647611589665</v>
      </c>
      <c r="AW407" s="98">
        <f>AW377/AZ387</f>
        <v>6.8543351605324983</v>
      </c>
      <c r="AX407" s="98">
        <f>AX377/BE387</f>
        <v>6.6013300927971752</v>
      </c>
      <c r="AY407" s="98">
        <f>AY377/BE387</f>
        <v>6.3509839446162957</v>
      </c>
      <c r="AZ407" s="308">
        <f>AZ377/BE387</f>
        <v>6.3716055383708987</v>
      </c>
      <c r="BA407" s="98">
        <f>BA377/BE387</f>
        <v>6.1582604212697056</v>
      </c>
      <c r="BB407" s="98">
        <f>BB377/BE387</f>
        <v>6.1921092944469036</v>
      </c>
      <c r="BC407" s="98">
        <f>BC377/BJ387</f>
        <v>6.6227724637681167</v>
      </c>
      <c r="BD407" s="98">
        <f>BD377/BJ387</f>
        <v>6.7327000000000004</v>
      </c>
      <c r="BE407" s="308">
        <f>BE377/BJ387</f>
        <v>6.671830434782609</v>
      </c>
      <c r="BF407" s="98">
        <f>BF377/BJ387</f>
        <v>6.4641202898550727</v>
      </c>
      <c r="BG407" s="98">
        <f>BG377/BJ387</f>
        <v>6.3401202898550739</v>
      </c>
      <c r="BH407" s="98">
        <f>BH377/BO387</f>
        <v>5.6344018324607346</v>
      </c>
      <c r="BI407" s="98">
        <f>BI377/BO387</f>
        <v>5.7378049738219907</v>
      </c>
      <c r="BJ407" s="308">
        <f>BJ377/BO387</f>
        <v>5.7652918848167554</v>
      </c>
      <c r="BK407" s="98" t="e">
        <f>BK377/BQ387</f>
        <v>#DIV/0!</v>
      </c>
      <c r="BL407" s="98" t="e">
        <f>BL377/BR387</f>
        <v>#DIV/0!</v>
      </c>
      <c r="BM407" s="98" t="e">
        <f>BM377/BS387</f>
        <v>#DIV/0!</v>
      </c>
      <c r="BN407" s="98">
        <f>BN377/BT387</f>
        <v>5.2998617021276608</v>
      </c>
      <c r="BO407" s="308"/>
      <c r="BP407" s="98"/>
      <c r="BQ407" s="98"/>
      <c r="BR407" s="98"/>
      <c r="BS407" s="98"/>
      <c r="BT407" s="308"/>
      <c r="BU407" s="98"/>
      <c r="BV407" s="98"/>
      <c r="BW407" s="98"/>
      <c r="BX407" s="98"/>
      <c r="BY407" s="308"/>
      <c r="BZ407" s="98"/>
      <c r="CA407" s="98"/>
      <c r="CB407" s="98"/>
      <c r="CC407" s="98"/>
      <c r="CD407" s="308"/>
      <c r="CE407" s="98"/>
      <c r="CF407" s="98"/>
      <c r="CG407" s="98"/>
      <c r="CH407" s="98"/>
      <c r="CI407" s="308"/>
      <c r="CJ407" s="98"/>
      <c r="CK407" s="98"/>
      <c r="CL407" s="98"/>
      <c r="CM407" s="98"/>
      <c r="CN407" s="308"/>
      <c r="CO407" s="98"/>
      <c r="CP407" s="98"/>
      <c r="CQ407" s="98"/>
      <c r="CR407" s="98"/>
      <c r="CS407" s="308"/>
      <c r="CT407" s="98"/>
      <c r="CU407" s="98"/>
      <c r="CV407" s="98"/>
      <c r="CW407" s="98"/>
      <c r="CX407" s="308"/>
      <c r="CY407" s="98"/>
      <c r="CZ407" s="98"/>
      <c r="DA407" s="98"/>
      <c r="DB407" s="98"/>
      <c r="DC407" s="308"/>
      <c r="DD407" s="25"/>
      <c r="DE407" s="178"/>
      <c r="DJ407" s="430"/>
      <c r="DK407" s="389"/>
      <c r="DL407" s="389"/>
      <c r="DM407" s="389"/>
      <c r="DN407" s="389"/>
      <c r="DO407" s="389"/>
      <c r="DP407" s="389"/>
      <c r="DQ407" s="389"/>
      <c r="DR407" s="487"/>
      <c r="DS407" s="25"/>
    </row>
    <row r="408" spans="1:131" hidden="1" x14ac:dyDescent="0.2">
      <c r="A408" s="193" t="s">
        <v>96</v>
      </c>
      <c r="B408" s="316"/>
      <c r="C408" s="41"/>
      <c r="D408" s="41"/>
      <c r="E408" s="41"/>
      <c r="F408" s="41"/>
      <c r="G408" s="316"/>
      <c r="H408" s="41"/>
      <c r="I408" s="41"/>
      <c r="J408" s="41"/>
      <c r="K408" s="41"/>
      <c r="L408" s="316"/>
      <c r="M408" s="41"/>
      <c r="N408" s="41"/>
      <c r="O408" s="41"/>
      <c r="P408" s="41"/>
      <c r="Q408" s="316"/>
      <c r="R408" s="179"/>
      <c r="S408" s="179"/>
      <c r="T408" s="179"/>
      <c r="U408" s="179"/>
      <c r="V408" s="316"/>
      <c r="W408" s="179"/>
      <c r="X408" s="179"/>
      <c r="Y408" s="179"/>
      <c r="Z408" s="179"/>
      <c r="AA408" s="316"/>
      <c r="AB408" s="179"/>
      <c r="AC408" s="179"/>
      <c r="AD408" s="179"/>
      <c r="AE408" s="179"/>
      <c r="AF408" s="316"/>
      <c r="AG408" s="179"/>
      <c r="AH408" s="179"/>
      <c r="AI408" s="180"/>
      <c r="AJ408" s="179"/>
      <c r="AK408" s="323"/>
      <c r="AL408" s="136"/>
      <c r="AM408" s="136"/>
      <c r="AN408" s="136"/>
      <c r="AO408" s="136"/>
      <c r="AP408" s="323"/>
      <c r="AQ408" s="136"/>
      <c r="AR408" s="136"/>
      <c r="AS408" s="136"/>
      <c r="AT408" s="136"/>
      <c r="AU408" s="323"/>
      <c r="AV408" s="98"/>
      <c r="AW408" s="98"/>
      <c r="AX408" s="98"/>
      <c r="AY408" s="98"/>
      <c r="AZ408" s="308"/>
      <c r="BA408" s="98"/>
      <c r="BB408" s="98"/>
      <c r="BC408" s="98"/>
      <c r="BD408" s="98"/>
      <c r="BE408" s="308"/>
      <c r="BF408" s="98"/>
      <c r="BG408" s="98"/>
      <c r="BH408" s="98"/>
      <c r="BI408" s="98"/>
      <c r="BJ408" s="308"/>
      <c r="BK408" s="98"/>
      <c r="BL408" s="98"/>
      <c r="BM408" s="98"/>
      <c r="BN408" s="98"/>
      <c r="BO408" s="308"/>
      <c r="BP408" s="98"/>
      <c r="BQ408" s="98"/>
      <c r="BR408" s="98"/>
      <c r="BS408" s="98"/>
      <c r="BT408" s="308"/>
      <c r="BU408" s="98"/>
      <c r="BV408" s="98"/>
      <c r="BW408" s="98"/>
      <c r="BX408" s="98"/>
      <c r="BY408" s="308"/>
      <c r="BZ408" s="98"/>
      <c r="CA408" s="98"/>
      <c r="CB408" s="98"/>
      <c r="CC408" s="98"/>
      <c r="CD408" s="308"/>
      <c r="CE408" s="98"/>
      <c r="CF408" s="98"/>
      <c r="CG408" s="98"/>
      <c r="CH408" s="98"/>
      <c r="CI408" s="308"/>
      <c r="CJ408" s="98"/>
      <c r="CK408" s="98"/>
      <c r="CL408" s="98"/>
      <c r="CM408" s="98"/>
      <c r="CN408" s="308"/>
      <c r="CO408" s="98"/>
      <c r="CP408" s="98"/>
      <c r="CQ408" s="98"/>
      <c r="CR408" s="98"/>
      <c r="CS408" s="308"/>
      <c r="CT408" s="98"/>
      <c r="CU408" s="98"/>
      <c r="CV408" s="98"/>
      <c r="CW408" s="98"/>
      <c r="CX408" s="308"/>
      <c r="CY408" s="98"/>
      <c r="CZ408" s="98"/>
      <c r="DA408" s="98"/>
      <c r="DB408" s="98"/>
      <c r="DC408" s="308"/>
      <c r="DD408" s="25"/>
      <c r="DE408" s="178"/>
      <c r="DJ408" s="430"/>
      <c r="DK408" s="389"/>
      <c r="DL408" s="389"/>
      <c r="DM408" s="389"/>
      <c r="DN408" s="389"/>
      <c r="DO408" s="389"/>
      <c r="DP408" s="389"/>
      <c r="DQ408" s="389"/>
      <c r="DR408" s="487"/>
      <c r="DS408" s="25"/>
    </row>
    <row r="409" spans="1:131" hidden="1" x14ac:dyDescent="0.2">
      <c r="A409" s="98" t="s">
        <v>113</v>
      </c>
      <c r="B409" s="316"/>
      <c r="C409" s="41"/>
      <c r="D409" s="41"/>
      <c r="E409" s="41"/>
      <c r="F409" s="41"/>
      <c r="G409" s="316"/>
      <c r="H409" s="41"/>
      <c r="I409" s="41"/>
      <c r="J409" s="41"/>
      <c r="K409" s="41"/>
      <c r="L409" s="316"/>
      <c r="M409" s="41"/>
      <c r="N409" s="41"/>
      <c r="O409" s="41"/>
      <c r="P409" s="41"/>
      <c r="Q409" s="316"/>
      <c r="R409" s="179"/>
      <c r="S409" s="179"/>
      <c r="T409" s="179"/>
      <c r="U409" s="179"/>
      <c r="V409" s="316"/>
      <c r="W409" s="179"/>
      <c r="X409" s="179"/>
      <c r="Y409" s="179"/>
      <c r="Z409" s="179"/>
      <c r="AA409" s="316"/>
      <c r="AB409" s="179"/>
      <c r="AC409" s="179"/>
      <c r="AD409" s="179"/>
      <c r="AE409" s="179"/>
      <c r="AF409" s="316"/>
      <c r="AG409" s="179"/>
      <c r="AH409" s="179"/>
      <c r="AI409" s="180"/>
      <c r="AJ409" s="179"/>
      <c r="AK409" s="323"/>
      <c r="AL409" s="136"/>
      <c r="AM409" s="136"/>
      <c r="AN409" s="136"/>
      <c r="AO409" s="136"/>
      <c r="AP409" s="323"/>
      <c r="AQ409" s="136"/>
      <c r="AR409" s="136"/>
      <c r="AS409" s="136"/>
      <c r="AT409" s="136"/>
      <c r="AU409" s="323"/>
      <c r="AV409" s="98">
        <f>AV378/AZ380</f>
        <v>1.3332370100273474</v>
      </c>
      <c r="AW409" s="98">
        <f>AW378/AZ380</f>
        <v>1.3802774232756003</v>
      </c>
      <c r="AX409" s="98">
        <f>AX378/BE380</f>
        <v>1.2158356708123843</v>
      </c>
      <c r="AY409" s="98">
        <f>AY378/BE380</f>
        <v>1.1613344800211698</v>
      </c>
      <c r="AZ409" s="308">
        <f>AZ378/BE380</f>
        <v>1.1650391637999473</v>
      </c>
      <c r="BA409" s="98">
        <f>BA378/BE380</f>
        <v>1.1251238422863192</v>
      </c>
      <c r="BB409" s="98">
        <f>BB378/BE380</f>
        <v>1.1309401958189997</v>
      </c>
      <c r="BC409" s="98">
        <f>BC378/BJ380</f>
        <v>1.0299096358792186</v>
      </c>
      <c r="BD409" s="98">
        <f>BD378/BJ380</f>
        <v>1.0465281971580818</v>
      </c>
      <c r="BE409" s="308">
        <f>BE378/BJ380</f>
        <v>1.0372031527531085</v>
      </c>
      <c r="BF409" s="98">
        <f>BF378/BJ380</f>
        <v>1.0049384991119006</v>
      </c>
      <c r="BG409" s="98">
        <f>BG378/BJ380</f>
        <v>0.98572002664298419</v>
      </c>
      <c r="BH409" s="98">
        <f>BH378/BO380</f>
        <v>0.87689341629867545</v>
      </c>
      <c r="BI409" s="98">
        <f>BI378/BO380</f>
        <v>0.89335266961059834</v>
      </c>
      <c r="BJ409" s="308">
        <f>BJ378/BO380</f>
        <v>0.8975678442392615</v>
      </c>
      <c r="BK409" s="98" t="e">
        <f>BK378/BQ380</f>
        <v>#DIV/0!</v>
      </c>
      <c r="BL409" s="98" t="e">
        <f>BL378/BR380</f>
        <v>#DIV/0!</v>
      </c>
      <c r="BM409" s="98" t="e">
        <f>BM378/BS380</f>
        <v>#DIV/0!</v>
      </c>
      <c r="BN409" s="98">
        <f>BN378/BT380</f>
        <v>0.8334282301047603</v>
      </c>
      <c r="BO409" s="308"/>
      <c r="BP409" s="98"/>
      <c r="BQ409" s="98"/>
      <c r="BR409" s="98"/>
      <c r="BS409" s="98"/>
      <c r="BT409" s="308"/>
      <c r="BU409" s="98"/>
      <c r="BV409" s="98"/>
      <c r="BW409" s="98"/>
      <c r="BX409" s="98"/>
      <c r="BY409" s="308"/>
      <c r="BZ409" s="98"/>
      <c r="CA409" s="98"/>
      <c r="CB409" s="98"/>
      <c r="CC409" s="98"/>
      <c r="CD409" s="308"/>
      <c r="CE409" s="98"/>
      <c r="CF409" s="98"/>
      <c r="CG409" s="98"/>
      <c r="CH409" s="98"/>
      <c r="CI409" s="308"/>
      <c r="CJ409" s="98"/>
      <c r="CK409" s="98"/>
      <c r="CL409" s="98"/>
      <c r="CM409" s="98"/>
      <c r="CN409" s="308"/>
      <c r="CO409" s="98"/>
      <c r="CP409" s="98"/>
      <c r="CQ409" s="98"/>
      <c r="CR409" s="98"/>
      <c r="CS409" s="308"/>
      <c r="CT409" s="98"/>
      <c r="CU409" s="98"/>
      <c r="CV409" s="98"/>
      <c r="CW409" s="98"/>
      <c r="CX409" s="308"/>
      <c r="CY409" s="98"/>
      <c r="CZ409" s="98"/>
      <c r="DA409" s="98"/>
      <c r="DB409" s="98"/>
      <c r="DC409" s="308"/>
      <c r="DD409" s="25"/>
      <c r="DE409" s="178"/>
      <c r="DJ409" s="430"/>
      <c r="DK409" s="389"/>
      <c r="DL409" s="389"/>
      <c r="DM409" s="389"/>
      <c r="DN409" s="389"/>
      <c r="DO409" s="389"/>
      <c r="DP409" s="389"/>
      <c r="DQ409" s="389"/>
      <c r="DR409" s="487"/>
      <c r="DS409" s="25"/>
    </row>
    <row r="410" spans="1:131" hidden="1" x14ac:dyDescent="0.2">
      <c r="A410" s="98" t="s">
        <v>114</v>
      </c>
      <c r="B410" s="316"/>
      <c r="C410" s="41"/>
      <c r="D410" s="41"/>
      <c r="E410" s="41"/>
      <c r="F410" s="41"/>
      <c r="G410" s="316"/>
      <c r="H410" s="41"/>
      <c r="I410" s="41"/>
      <c r="J410" s="41"/>
      <c r="K410" s="41"/>
      <c r="L410" s="316"/>
      <c r="M410" s="41"/>
      <c r="N410" s="41"/>
      <c r="O410" s="41"/>
      <c r="P410" s="41"/>
      <c r="Q410" s="316"/>
      <c r="R410" s="179"/>
      <c r="S410" s="179"/>
      <c r="T410" s="179"/>
      <c r="U410" s="179"/>
      <c r="V410" s="316"/>
      <c r="W410" s="179"/>
      <c r="X410" s="179"/>
      <c r="Y410" s="179"/>
      <c r="Z410" s="179"/>
      <c r="AA410" s="316"/>
      <c r="AB410" s="179"/>
      <c r="AC410" s="179"/>
      <c r="AD410" s="179"/>
      <c r="AE410" s="179"/>
      <c r="AF410" s="316"/>
      <c r="AG410" s="179"/>
      <c r="AH410" s="179"/>
      <c r="AI410" s="180"/>
      <c r="AJ410" s="179"/>
      <c r="AK410" s="323"/>
      <c r="AL410" s="136"/>
      <c r="AM410" s="136"/>
      <c r="AN410" s="136"/>
      <c r="AO410" s="136"/>
      <c r="AP410" s="323"/>
      <c r="AQ410" s="136"/>
      <c r="AR410" s="136"/>
      <c r="AS410" s="136"/>
      <c r="AT410" s="136"/>
      <c r="AU410" s="323"/>
      <c r="AV410" s="98">
        <f>AV378/AZ387</f>
        <v>6.8718606108065776</v>
      </c>
      <c r="AW410" s="98">
        <f>AW378/AZ387</f>
        <v>7.1143194988253722</v>
      </c>
      <c r="AX410" s="98">
        <f>AX378/BE387</f>
        <v>6.7677758138164714</v>
      </c>
      <c r="AY410" s="98">
        <f>AY378/BE387</f>
        <v>6.4644027102666124</v>
      </c>
      <c r="AZ410" s="308">
        <f>AZ378/BE387</f>
        <v>6.4850243040212154</v>
      </c>
      <c r="BA410" s="98">
        <f>BA378/BE387</f>
        <v>6.2628413610251918</v>
      </c>
      <c r="BB410" s="98">
        <f>BB378/BE387</f>
        <v>6.2952172632199188</v>
      </c>
      <c r="BC410" s="98">
        <f>BC378/BJ387</f>
        <v>6.7227724637681172</v>
      </c>
      <c r="BD410" s="98">
        <f>BD378/BJ387</f>
        <v>6.8312507246376812</v>
      </c>
      <c r="BE410" s="308">
        <f>BE378/BJ387</f>
        <v>6.7703811594202898</v>
      </c>
      <c r="BF410" s="98">
        <f>BF378/BJ387</f>
        <v>6.5597724637681161</v>
      </c>
      <c r="BG410" s="98">
        <f>BG378/BJ387</f>
        <v>6.4343231884057985</v>
      </c>
      <c r="BH410" s="98">
        <f>BH378/BO387</f>
        <v>5.7181714659685872</v>
      </c>
      <c r="BI410" s="98">
        <f>BI378/BO387</f>
        <v>5.8255013089005248</v>
      </c>
      <c r="BJ410" s="308">
        <f>BJ378/BO387</f>
        <v>5.8529882198952894</v>
      </c>
      <c r="BK410" s="98" t="e">
        <f>BK378/BQ387</f>
        <v>#DIV/0!</v>
      </c>
      <c r="BL410" s="98" t="e">
        <f>BL378/BR387</f>
        <v>#DIV/0!</v>
      </c>
      <c r="BM410" s="98" t="e">
        <f>BM378/BS387</f>
        <v>#DIV/0!</v>
      </c>
      <c r="BN410" s="98">
        <f>BN378/BT387</f>
        <v>5.3601453900709233</v>
      </c>
      <c r="BO410" s="308"/>
      <c r="BP410" s="98"/>
      <c r="BQ410" s="98"/>
      <c r="BR410" s="98"/>
      <c r="BS410" s="98"/>
      <c r="BT410" s="308"/>
      <c r="BU410" s="98"/>
      <c r="BV410" s="98"/>
      <c r="BW410" s="98"/>
      <c r="BX410" s="98"/>
      <c r="BY410" s="308"/>
      <c r="BZ410" s="98"/>
      <c r="CA410" s="98"/>
      <c r="CB410" s="98"/>
      <c r="CC410" s="98"/>
      <c r="CD410" s="308"/>
      <c r="CE410" s="98"/>
      <c r="CF410" s="98"/>
      <c r="CG410" s="98"/>
      <c r="CH410" s="98"/>
      <c r="CI410" s="308"/>
      <c r="CJ410" s="98"/>
      <c r="CK410" s="98"/>
      <c r="CL410" s="98"/>
      <c r="CM410" s="98"/>
      <c r="CN410" s="308"/>
      <c r="CO410" s="98"/>
      <c r="CP410" s="98"/>
      <c r="CQ410" s="98"/>
      <c r="CR410" s="98"/>
      <c r="CS410" s="308"/>
      <c r="CT410" s="98"/>
      <c r="CU410" s="98"/>
      <c r="CV410" s="98"/>
      <c r="CW410" s="98"/>
      <c r="CX410" s="308"/>
      <c r="CY410" s="98"/>
      <c r="CZ410" s="98"/>
      <c r="DA410" s="98"/>
      <c r="DB410" s="98"/>
      <c r="DC410" s="308"/>
      <c r="DD410" s="25"/>
      <c r="DE410" s="178"/>
      <c r="DJ410" s="430"/>
      <c r="DK410" s="389"/>
      <c r="DL410" s="389"/>
      <c r="DM410" s="389"/>
      <c r="DN410" s="389"/>
      <c r="DO410" s="389"/>
      <c r="DP410" s="389"/>
      <c r="DQ410" s="389"/>
      <c r="DR410" s="487"/>
      <c r="DS410" s="25"/>
    </row>
    <row r="411" spans="1:131" collapsed="1" x14ac:dyDescent="0.2">
      <c r="A411" s="194" t="s">
        <v>224</v>
      </c>
      <c r="B411" s="315"/>
      <c r="C411" s="175"/>
      <c r="D411" s="175"/>
      <c r="E411" s="175"/>
      <c r="F411" s="175"/>
      <c r="G411" s="315"/>
      <c r="H411" s="175"/>
      <c r="I411" s="175"/>
      <c r="J411" s="175"/>
      <c r="K411" s="175"/>
      <c r="L411" s="315"/>
      <c r="M411" s="175"/>
      <c r="N411" s="175"/>
      <c r="O411" s="175"/>
      <c r="P411" s="175"/>
      <c r="Q411" s="315"/>
      <c r="R411" s="176"/>
      <c r="S411" s="176"/>
      <c r="T411" s="176"/>
      <c r="U411" s="176"/>
      <c r="V411" s="315"/>
      <c r="W411" s="176"/>
      <c r="X411" s="176"/>
      <c r="Y411" s="176"/>
      <c r="Z411" s="176"/>
      <c r="AA411" s="315"/>
      <c r="AB411" s="176"/>
      <c r="AC411" s="176"/>
      <c r="AD411" s="176"/>
      <c r="AE411" s="176"/>
      <c r="AF411" s="315"/>
      <c r="AG411" s="176"/>
      <c r="AH411" s="176"/>
      <c r="AI411" s="177"/>
      <c r="AJ411" s="176"/>
      <c r="AK411" s="325"/>
      <c r="AL411" s="196"/>
      <c r="AM411" s="196"/>
      <c r="AN411" s="196"/>
      <c r="AO411" s="196"/>
      <c r="AP411" s="325"/>
      <c r="AQ411" s="196"/>
      <c r="AR411" s="196"/>
      <c r="AS411" s="196"/>
      <c r="AT411" s="196"/>
      <c r="AU411" s="325"/>
      <c r="AV411" s="196"/>
      <c r="AW411" s="196"/>
      <c r="AX411" s="196"/>
      <c r="AY411" s="196"/>
      <c r="AZ411" s="325"/>
      <c r="BA411" s="195"/>
      <c r="BB411" s="195"/>
      <c r="BC411" s="178"/>
      <c r="BD411" s="178"/>
      <c r="BE411" s="340"/>
      <c r="BF411" s="178"/>
      <c r="BG411" s="178"/>
      <c r="BH411" s="178"/>
      <c r="BI411" s="178"/>
      <c r="BJ411" s="340"/>
      <c r="BK411" s="178"/>
      <c r="BL411" s="178"/>
      <c r="BM411" s="178"/>
      <c r="BN411" s="178"/>
      <c r="BO411" s="340"/>
      <c r="BP411" s="178"/>
      <c r="BQ411" s="178"/>
      <c r="BR411" s="178"/>
      <c r="BS411" s="178"/>
      <c r="BT411" s="340"/>
      <c r="BU411" s="178"/>
      <c r="BV411" s="178"/>
      <c r="BW411" s="178"/>
      <c r="BX411" s="178"/>
      <c r="BY411" s="340"/>
      <c r="BZ411" s="178"/>
      <c r="CA411" s="178"/>
      <c r="CB411" s="178"/>
      <c r="CC411" s="178"/>
      <c r="CD411" s="340"/>
      <c r="CE411" s="178"/>
      <c r="CF411" s="178"/>
      <c r="CG411" s="178"/>
      <c r="CH411" s="178"/>
      <c r="CI411" s="340"/>
      <c r="CJ411" s="178"/>
      <c r="CK411" s="178"/>
      <c r="CL411" s="178"/>
      <c r="CM411" s="178"/>
      <c r="CN411" s="340"/>
      <c r="CO411" s="178"/>
      <c r="CP411" s="178"/>
      <c r="CQ411" s="178"/>
      <c r="CR411" s="178"/>
      <c r="CS411" s="340"/>
      <c r="CT411" s="178"/>
      <c r="CU411" s="178"/>
      <c r="CV411" s="178"/>
      <c r="CW411" s="178"/>
      <c r="CX411" s="340"/>
      <c r="CY411" s="178"/>
      <c r="CZ411" s="178"/>
      <c r="DA411" s="178"/>
      <c r="DB411" s="178"/>
      <c r="DC411" s="340"/>
      <c r="DD411" s="25"/>
      <c r="DE411" s="178"/>
      <c r="DJ411" s="430"/>
      <c r="DK411" s="389"/>
      <c r="DL411" s="389"/>
      <c r="DM411" s="389"/>
      <c r="DN411" s="389"/>
      <c r="DO411" s="389"/>
      <c r="DP411" s="389"/>
      <c r="DQ411" s="389"/>
      <c r="DR411" s="487"/>
      <c r="DS411" s="25"/>
    </row>
    <row r="412" spans="1:131" s="7" customFormat="1" x14ac:dyDescent="0.2">
      <c r="A412" s="7" t="s">
        <v>225</v>
      </c>
      <c r="B412" s="260"/>
      <c r="G412" s="260"/>
      <c r="L412" s="260"/>
      <c r="Q412" s="260"/>
      <c r="V412" s="260"/>
      <c r="AA412" s="260"/>
      <c r="AF412" s="260"/>
      <c r="AK412" s="260"/>
      <c r="AP412" s="260"/>
      <c r="AU412" s="260"/>
      <c r="AZ412" s="260"/>
      <c r="BD412" s="7" t="s">
        <v>0</v>
      </c>
      <c r="BE412" s="260"/>
      <c r="BJ412" s="260"/>
      <c r="BO412" s="260"/>
      <c r="BQ412" s="341"/>
      <c r="BR412" s="341"/>
      <c r="BS412" s="341"/>
      <c r="BT412" s="260"/>
      <c r="BU412" s="341"/>
      <c r="BV412" s="341"/>
      <c r="BW412" s="341"/>
      <c r="BX412" s="341"/>
      <c r="BY412" s="260"/>
      <c r="BZ412" s="341"/>
      <c r="CA412" s="341"/>
      <c r="CB412" s="341"/>
      <c r="CC412" s="341"/>
      <c r="CD412" s="260"/>
      <c r="CE412" s="341"/>
      <c r="CF412" s="341"/>
      <c r="CG412" s="341"/>
      <c r="CH412" s="341"/>
      <c r="CI412" s="260"/>
      <c r="CJ412" s="341"/>
      <c r="CK412" s="341"/>
      <c r="CL412" s="341"/>
      <c r="CM412" s="341"/>
      <c r="CN412" s="260"/>
      <c r="CO412" s="341"/>
      <c r="CP412" s="341"/>
      <c r="CQ412" s="341"/>
      <c r="CR412" s="341"/>
      <c r="CS412" s="260"/>
      <c r="CT412" s="341"/>
      <c r="CU412" s="341"/>
      <c r="CV412" s="341"/>
      <c r="CW412" s="341"/>
      <c r="CX412" s="260"/>
      <c r="CY412" s="341"/>
      <c r="CZ412" s="341"/>
      <c r="DA412" s="341"/>
      <c r="DB412" s="341"/>
      <c r="DC412" s="260"/>
      <c r="DD412" s="363"/>
      <c r="DE412" s="6"/>
      <c r="DF412" s="363"/>
      <c r="DG412" s="363"/>
      <c r="DH412" s="363"/>
      <c r="DI412" s="363"/>
      <c r="DJ412" s="435"/>
      <c r="DK412" s="393"/>
      <c r="DL412" s="393"/>
      <c r="DM412" s="393"/>
      <c r="DN412" s="393"/>
      <c r="DO412" s="393"/>
      <c r="DP412" s="393"/>
      <c r="DQ412" s="393"/>
      <c r="DR412" s="6"/>
      <c r="DS412" s="363"/>
      <c r="DT412"/>
      <c r="DU412"/>
      <c r="DV412"/>
      <c r="DW412"/>
      <c r="DX412"/>
      <c r="DY412"/>
    </row>
    <row r="413" spans="1:131" x14ac:dyDescent="0.2">
      <c r="A413" s="81"/>
      <c r="B413" s="197"/>
      <c r="C413" s="20"/>
      <c r="D413" s="20"/>
      <c r="E413" s="20"/>
      <c r="F413" s="20"/>
      <c r="G413" s="197"/>
      <c r="H413" s="20"/>
      <c r="I413" s="20"/>
      <c r="J413" s="20"/>
      <c r="K413" s="20"/>
      <c r="L413" s="197"/>
      <c r="M413" s="20"/>
      <c r="N413" s="20"/>
      <c r="O413" s="20"/>
      <c r="P413" s="20"/>
      <c r="Q413" s="197"/>
      <c r="R413" s="20"/>
      <c r="S413" s="20"/>
      <c r="T413" s="20"/>
      <c r="U413" s="20"/>
      <c r="V413" s="197"/>
      <c r="W413" s="20"/>
      <c r="X413" s="20"/>
      <c r="Y413" s="20"/>
      <c r="Z413" s="20"/>
      <c r="AA413" s="197"/>
      <c r="AB413" s="20"/>
      <c r="AC413" s="20"/>
      <c r="AD413" s="20"/>
      <c r="AE413" s="20"/>
      <c r="AF413" s="197"/>
      <c r="AG413" s="20"/>
      <c r="AH413" s="197"/>
      <c r="AI413" s="198"/>
      <c r="AJ413" s="20"/>
      <c r="AK413" s="197"/>
      <c r="AL413" s="20"/>
      <c r="AM413" s="197"/>
      <c r="AN413" s="197"/>
      <c r="AO413" s="197"/>
      <c r="AP413" s="197"/>
      <c r="AQ413" s="197"/>
      <c r="AR413" s="197"/>
      <c r="AS413" s="197"/>
      <c r="AT413" s="197"/>
      <c r="AU413" s="197"/>
      <c r="AV413" s="197"/>
      <c r="AW413" s="20"/>
      <c r="AX413" s="20"/>
      <c r="AY413" s="20"/>
      <c r="AZ413" s="20"/>
      <c r="BA413" s="20"/>
      <c r="BB413" s="20"/>
      <c r="BC413" s="20"/>
      <c r="BD413" s="52"/>
      <c r="BE413" s="52"/>
      <c r="BF413" s="52"/>
      <c r="BG413" s="52"/>
      <c r="BH413" s="52"/>
      <c r="BI413" s="52"/>
      <c r="BJ413" s="52"/>
      <c r="BK413" s="52"/>
      <c r="BL413" s="52"/>
      <c r="BM413" s="52"/>
      <c r="BN413" s="52"/>
      <c r="BO413" s="52"/>
      <c r="BP413" s="52"/>
      <c r="BQ413" s="52"/>
      <c r="BR413" s="52"/>
      <c r="BS413" s="52"/>
      <c r="BT413" s="52"/>
      <c r="BU413" s="52"/>
      <c r="BV413" s="52"/>
      <c r="BW413" s="52"/>
      <c r="BX413" s="52"/>
      <c r="BY413" s="52"/>
      <c r="BZ413" s="52"/>
      <c r="CA413" s="52"/>
      <c r="CB413" s="52"/>
      <c r="CC413" s="52"/>
      <c r="CD413" s="52"/>
      <c r="CE413" s="52"/>
      <c r="CF413" s="52"/>
      <c r="CG413" s="52"/>
      <c r="CH413" s="52"/>
      <c r="CI413" s="52"/>
      <c r="CJ413" s="52"/>
      <c r="CK413" s="52"/>
      <c r="CL413" s="52"/>
      <c r="CM413" s="52"/>
      <c r="CN413" s="52"/>
      <c r="CO413" s="52"/>
      <c r="CP413" s="52"/>
      <c r="CQ413" s="52"/>
      <c r="CR413" s="52"/>
      <c r="CS413" s="52"/>
      <c r="CT413" s="52"/>
      <c r="CU413" s="52"/>
      <c r="CV413" s="52"/>
      <c r="CW413" s="52"/>
      <c r="CX413" s="52"/>
      <c r="CY413" s="52"/>
      <c r="CZ413" s="344"/>
      <c r="DA413" s="344"/>
      <c r="DB413" s="344"/>
      <c r="DC413" s="52"/>
      <c r="DD413" s="25"/>
      <c r="DE413" s="178"/>
      <c r="DF413" s="25"/>
      <c r="DG413" s="25"/>
      <c r="DJ413" s="430"/>
      <c r="DK413" s="389"/>
      <c r="DL413" s="389"/>
      <c r="DM413" s="389"/>
      <c r="DN413" s="389"/>
      <c r="DO413" s="389"/>
      <c r="DP413" s="389"/>
      <c r="DQ413" s="389"/>
      <c r="DR413" s="487"/>
      <c r="DS413" s="25"/>
      <c r="DZ413" s="52"/>
      <c r="EA413" s="52"/>
    </row>
    <row r="414" spans="1:131" x14ac:dyDescent="0.2">
      <c r="A414" s="81"/>
      <c r="B414" s="197"/>
      <c r="C414" s="20"/>
      <c r="D414" s="20"/>
      <c r="E414" s="20"/>
      <c r="F414" s="20"/>
      <c r="G414" s="197"/>
      <c r="H414" s="20"/>
      <c r="I414" s="20"/>
      <c r="J414" s="20"/>
      <c r="K414" s="20"/>
      <c r="L414" s="197"/>
      <c r="M414" s="20"/>
      <c r="N414" s="20"/>
      <c r="O414" s="20"/>
      <c r="P414" s="20"/>
      <c r="Q414" s="197"/>
      <c r="R414" s="20"/>
      <c r="S414" s="20"/>
      <c r="T414" s="20"/>
      <c r="U414" s="20"/>
      <c r="V414" s="197"/>
      <c r="W414" s="20"/>
      <c r="X414" s="20"/>
      <c r="Y414" s="20"/>
      <c r="Z414" s="20"/>
      <c r="AA414" s="197"/>
      <c r="AB414" s="20"/>
      <c r="AC414" s="20"/>
      <c r="AD414" s="20"/>
      <c r="AE414" s="20"/>
      <c r="AF414" s="197"/>
      <c r="AG414" s="20"/>
      <c r="AH414" s="197"/>
      <c r="AI414" s="198"/>
      <c r="AJ414" s="20"/>
      <c r="AK414" s="197"/>
      <c r="AL414" s="20"/>
      <c r="AM414" s="197"/>
      <c r="AN414" s="197"/>
      <c r="AO414" s="197"/>
      <c r="AP414" s="197"/>
      <c r="AQ414" s="197"/>
      <c r="AR414" s="197"/>
      <c r="AS414" s="197"/>
      <c r="AT414" s="197"/>
      <c r="AU414" s="197"/>
      <c r="AV414" s="197"/>
      <c r="AW414" s="20"/>
      <c r="AX414" s="20"/>
      <c r="AY414" s="20"/>
      <c r="AZ414" s="20"/>
      <c r="BJ414" s="201"/>
      <c r="BK414" s="52"/>
      <c r="BL414" s="52"/>
      <c r="BM414" s="52"/>
      <c r="BN414" s="52"/>
      <c r="BO414" s="52"/>
      <c r="BP414" s="52"/>
      <c r="BQ414" s="52"/>
      <c r="BR414" s="52"/>
      <c r="BS414" s="52"/>
      <c r="CZ414" s="345"/>
      <c r="DA414" s="345"/>
      <c r="DB414" s="345"/>
      <c r="DD414" s="25"/>
      <c r="DE414" s="178"/>
      <c r="DF414" s="25"/>
      <c r="DG414" s="25"/>
      <c r="DJ414" s="430"/>
      <c r="DK414" s="389"/>
      <c r="DL414" s="389"/>
      <c r="DM414" s="389"/>
      <c r="DN414" s="389"/>
      <c r="DO414" s="389"/>
      <c r="DP414" s="389"/>
      <c r="DQ414" s="389"/>
      <c r="DR414" s="487"/>
      <c r="DS414" s="25"/>
      <c r="DZ414" s="52"/>
      <c r="EA414" s="52"/>
    </row>
    <row r="415" spans="1:131" x14ac:dyDescent="0.2">
      <c r="A415" s="81"/>
      <c r="B415" s="197"/>
      <c r="C415" s="20"/>
      <c r="D415" s="20"/>
      <c r="E415" s="20"/>
      <c r="F415" s="20"/>
      <c r="G415" s="197"/>
      <c r="H415" s="20"/>
      <c r="I415" s="20"/>
      <c r="J415" s="20"/>
      <c r="K415" s="20"/>
      <c r="L415" s="197"/>
      <c r="M415" s="20"/>
      <c r="N415" s="20"/>
      <c r="O415" s="20"/>
      <c r="P415" s="20"/>
      <c r="Q415" s="197"/>
      <c r="R415" s="20"/>
      <c r="S415" s="20"/>
      <c r="T415" s="20"/>
      <c r="U415" s="20"/>
      <c r="V415" s="197"/>
      <c r="W415" s="20"/>
      <c r="X415" s="20"/>
      <c r="Y415" s="20"/>
      <c r="Z415" s="20"/>
      <c r="AA415" s="197"/>
      <c r="AB415" s="20"/>
      <c r="AC415" s="20"/>
      <c r="AD415" s="20"/>
      <c r="AE415" s="20"/>
      <c r="AF415" s="197"/>
      <c r="AG415" s="20"/>
      <c r="AH415" s="197"/>
      <c r="AI415" s="198"/>
      <c r="AJ415" s="20"/>
      <c r="AK415" s="197"/>
      <c r="AL415" s="20"/>
      <c r="AM415" s="197"/>
      <c r="AN415" s="197"/>
      <c r="AO415" s="197"/>
      <c r="AP415" s="197"/>
      <c r="AQ415" s="197"/>
      <c r="AR415" s="197"/>
      <c r="AS415" s="197"/>
      <c r="AT415" s="197"/>
      <c r="AU415" s="197"/>
      <c r="AV415" s="197"/>
      <c r="AW415" s="20"/>
      <c r="AX415" s="20"/>
      <c r="AY415" s="20"/>
      <c r="AZ415" s="20"/>
      <c r="BJ415" s="201"/>
      <c r="BK415" s="52"/>
      <c r="BL415" s="52"/>
      <c r="BM415" s="52"/>
      <c r="BN415" s="52"/>
      <c r="BO415" s="52"/>
      <c r="BP415" s="52"/>
      <c r="BQ415" s="52"/>
      <c r="BR415" s="52"/>
      <c r="BS415" s="52"/>
      <c r="CZ415" s="345"/>
      <c r="DA415" s="345"/>
      <c r="DB415" s="345"/>
      <c r="DD415" s="25"/>
      <c r="DE415" s="178"/>
      <c r="DF415" s="25"/>
      <c r="DG415" s="25"/>
      <c r="DJ415" s="430"/>
      <c r="DK415" s="389"/>
      <c r="DL415" s="389"/>
      <c r="DM415" s="389"/>
      <c r="DN415" s="389"/>
      <c r="DO415" s="389"/>
      <c r="DP415" s="389"/>
      <c r="DQ415" s="389"/>
      <c r="DR415" s="487"/>
      <c r="DS415" s="25"/>
      <c r="DZ415" s="52"/>
      <c r="EA415" s="52"/>
    </row>
    <row r="416" spans="1:131" x14ac:dyDescent="0.2">
      <c r="A416" s="81"/>
      <c r="B416" s="197"/>
      <c r="C416" s="20"/>
      <c r="D416" s="20"/>
      <c r="E416" s="20"/>
      <c r="F416" s="20"/>
      <c r="G416" s="197"/>
      <c r="H416" s="20"/>
      <c r="I416" s="20"/>
      <c r="J416" s="20"/>
      <c r="K416" s="20"/>
      <c r="L416" s="197"/>
      <c r="M416" s="20"/>
      <c r="N416" s="20"/>
      <c r="O416" s="20"/>
      <c r="P416" s="20"/>
      <c r="Q416" s="197"/>
      <c r="R416" s="20"/>
      <c r="S416" s="20"/>
      <c r="T416" s="20"/>
      <c r="U416" s="20"/>
      <c r="V416" s="197"/>
      <c r="W416" s="20"/>
      <c r="X416" s="20"/>
      <c r="Y416" s="20"/>
      <c r="Z416" s="20"/>
      <c r="AA416" s="197"/>
      <c r="AB416" s="20"/>
      <c r="AC416" s="20"/>
      <c r="AD416" s="20"/>
      <c r="AE416" s="20"/>
      <c r="AF416" s="197"/>
      <c r="AG416" s="20"/>
      <c r="AH416" s="197"/>
      <c r="AI416" s="198"/>
      <c r="AJ416" s="20"/>
      <c r="AK416" s="197"/>
      <c r="AL416" s="20"/>
      <c r="AM416" s="197"/>
      <c r="AN416" s="197"/>
      <c r="AO416" s="197"/>
      <c r="AP416" s="197"/>
      <c r="AQ416" s="197"/>
      <c r="AR416" s="197"/>
      <c r="AS416" s="197"/>
      <c r="AT416" s="197"/>
      <c r="AU416" s="197"/>
      <c r="AV416" s="197"/>
      <c r="AW416" s="20"/>
      <c r="AX416" s="20"/>
      <c r="AY416" s="20"/>
      <c r="AZ416" s="20"/>
      <c r="BJ416" s="201"/>
      <c r="BK416" s="52"/>
      <c r="BL416" s="52"/>
      <c r="BM416" s="52"/>
      <c r="BN416" s="52"/>
      <c r="BO416" s="52"/>
      <c r="BP416" s="52"/>
      <c r="BQ416" s="52"/>
      <c r="BR416" s="52"/>
      <c r="BS416" s="52"/>
      <c r="CZ416" s="345"/>
      <c r="DA416" s="345"/>
      <c r="DB416" s="345"/>
      <c r="DD416" s="25"/>
      <c r="DE416" s="178"/>
      <c r="DF416" s="25"/>
      <c r="DG416" s="25"/>
      <c r="DJ416" s="430"/>
      <c r="DK416" s="389"/>
      <c r="DL416" s="389"/>
      <c r="DM416" s="389"/>
      <c r="DN416" s="389"/>
      <c r="DO416" s="389"/>
      <c r="DP416" s="389"/>
      <c r="DQ416" s="389"/>
      <c r="DR416" s="487"/>
      <c r="DS416" s="25"/>
      <c r="DZ416" s="52"/>
      <c r="EA416" s="52"/>
    </row>
    <row r="417" spans="1:131" x14ac:dyDescent="0.2">
      <c r="A417" s="81"/>
      <c r="B417" s="197"/>
      <c r="C417" s="20"/>
      <c r="D417" s="20"/>
      <c r="E417" s="20"/>
      <c r="F417" s="20"/>
      <c r="G417" s="197"/>
      <c r="H417" s="20"/>
      <c r="I417" s="20"/>
      <c r="J417" s="20"/>
      <c r="K417" s="20"/>
      <c r="L417" s="197"/>
      <c r="M417" s="20"/>
      <c r="N417" s="20"/>
      <c r="O417" s="20"/>
      <c r="P417" s="20"/>
      <c r="Q417" s="197"/>
      <c r="R417" s="20"/>
      <c r="S417" s="20"/>
      <c r="T417" s="20"/>
      <c r="U417" s="20"/>
      <c r="V417" s="197"/>
      <c r="W417" s="20"/>
      <c r="X417" s="20"/>
      <c r="Y417" s="20"/>
      <c r="Z417" s="20"/>
      <c r="AA417" s="197"/>
      <c r="AB417" s="20"/>
      <c r="AC417" s="20"/>
      <c r="AD417" s="20"/>
      <c r="AE417" s="20"/>
      <c r="AF417" s="197"/>
      <c r="AG417" s="20"/>
      <c r="AH417" s="197"/>
      <c r="AI417" s="198"/>
      <c r="AJ417" s="20"/>
      <c r="AK417" s="197"/>
      <c r="AL417" s="20"/>
      <c r="AM417" s="197"/>
      <c r="AN417" s="197"/>
      <c r="AO417" s="197"/>
      <c r="AP417" s="197"/>
      <c r="AQ417" s="197"/>
      <c r="AR417" s="197"/>
      <c r="AS417" s="197"/>
      <c r="AT417" s="197"/>
      <c r="AU417" s="197"/>
      <c r="AV417" s="197"/>
      <c r="AW417" s="20"/>
      <c r="AX417" s="20"/>
      <c r="AY417" s="20"/>
      <c r="AZ417" s="20"/>
      <c r="BJ417" s="201"/>
      <c r="BK417" s="52"/>
      <c r="BL417" s="52"/>
      <c r="BM417" s="52"/>
      <c r="BN417" s="52"/>
      <c r="BO417" s="52"/>
      <c r="BP417" s="52"/>
      <c r="BQ417" s="52"/>
      <c r="BR417" s="52"/>
      <c r="BS417" s="52"/>
      <c r="CZ417" s="345"/>
      <c r="DA417" s="345"/>
      <c r="DB417" s="345"/>
      <c r="DD417" s="25"/>
      <c r="DE417" s="178"/>
      <c r="DF417" s="25"/>
      <c r="DG417" s="25"/>
      <c r="DJ417" s="430"/>
      <c r="DK417" s="389"/>
      <c r="DL417" s="389"/>
      <c r="DM417" s="389"/>
      <c r="DN417" s="389"/>
      <c r="DO417" s="389"/>
      <c r="DP417" s="389"/>
      <c r="DQ417" s="389"/>
      <c r="DR417" s="487"/>
      <c r="DS417" s="25"/>
      <c r="DZ417" s="52"/>
      <c r="EA417" s="52"/>
    </row>
    <row r="418" spans="1:131" x14ac:dyDescent="0.2">
      <c r="A418" s="81"/>
      <c r="B418" s="197"/>
      <c r="C418" s="20"/>
      <c r="D418" s="20"/>
      <c r="E418" s="20"/>
      <c r="F418" s="20"/>
      <c r="G418" s="197"/>
      <c r="H418" s="20"/>
      <c r="I418" s="20"/>
      <c r="J418" s="20"/>
      <c r="K418" s="20"/>
      <c r="L418" s="197"/>
      <c r="M418" s="20"/>
      <c r="N418" s="20"/>
      <c r="O418" s="20"/>
      <c r="P418" s="20"/>
      <c r="Q418" s="197"/>
      <c r="R418" s="20"/>
      <c r="S418" s="20"/>
      <c r="T418" s="20"/>
      <c r="U418" s="20"/>
      <c r="V418" s="197"/>
      <c r="W418" s="20"/>
      <c r="X418" s="20"/>
      <c r="Y418" s="20"/>
      <c r="Z418" s="20"/>
      <c r="AA418" s="197"/>
      <c r="AB418" s="20"/>
      <c r="AC418" s="20"/>
      <c r="AD418" s="20"/>
      <c r="AE418" s="20"/>
      <c r="AF418" s="197"/>
      <c r="AG418" s="20"/>
      <c r="AH418" s="197"/>
      <c r="AI418" s="198"/>
      <c r="AJ418" s="20"/>
      <c r="AK418" s="197"/>
      <c r="AL418" s="20"/>
      <c r="AM418" s="197"/>
      <c r="AN418" s="197"/>
      <c r="AO418" s="197"/>
      <c r="AP418" s="197"/>
      <c r="AQ418" s="197"/>
      <c r="AR418" s="197"/>
      <c r="AS418" s="197"/>
      <c r="AT418" s="197"/>
      <c r="AU418" s="197"/>
      <c r="AV418" s="197"/>
      <c r="AW418" s="20"/>
      <c r="AX418" s="20"/>
      <c r="AY418" s="20"/>
      <c r="AZ418" s="20"/>
      <c r="BJ418" s="201"/>
      <c r="BK418" s="52"/>
      <c r="BL418" s="52"/>
      <c r="BM418" s="52"/>
      <c r="BN418" s="52"/>
      <c r="BO418" s="52"/>
      <c r="BP418" s="52"/>
      <c r="BQ418" s="52"/>
      <c r="BR418" s="52"/>
      <c r="BS418" s="52"/>
      <c r="CZ418" s="345"/>
      <c r="DA418" s="345"/>
      <c r="DB418" s="345"/>
      <c r="DD418" s="25"/>
      <c r="DE418" s="178"/>
      <c r="DF418" s="25"/>
      <c r="DG418" s="25"/>
      <c r="DJ418" s="430"/>
      <c r="DK418" s="389"/>
      <c r="DL418" s="389"/>
      <c r="DM418" s="389"/>
      <c r="DN418" s="389"/>
      <c r="DO418" s="389"/>
      <c r="DP418" s="389"/>
      <c r="DQ418" s="389"/>
      <c r="DR418" s="487"/>
      <c r="DS418" s="25"/>
      <c r="DZ418" s="52"/>
      <c r="EA418" s="52"/>
    </row>
    <row r="419" spans="1:131" x14ac:dyDescent="0.2">
      <c r="A419" s="81"/>
      <c r="B419" s="197"/>
      <c r="C419" s="20"/>
      <c r="D419" s="20"/>
      <c r="E419" s="20"/>
      <c r="F419" s="20"/>
      <c r="G419" s="197"/>
      <c r="H419" s="20"/>
      <c r="I419" s="20"/>
      <c r="J419" s="20"/>
      <c r="K419" s="20"/>
      <c r="L419" s="197"/>
      <c r="M419" s="20"/>
      <c r="N419" s="20"/>
      <c r="O419" s="20"/>
      <c r="P419" s="20"/>
      <c r="Q419" s="197"/>
      <c r="R419" s="20"/>
      <c r="S419" s="20"/>
      <c r="T419" s="20"/>
      <c r="U419" s="20"/>
      <c r="V419" s="197"/>
      <c r="W419" s="20"/>
      <c r="X419" s="20"/>
      <c r="Y419" s="20"/>
      <c r="Z419" s="20"/>
      <c r="AA419" s="197"/>
      <c r="AB419" s="20"/>
      <c r="AC419" s="20"/>
      <c r="AD419" s="20"/>
      <c r="AE419" s="20"/>
      <c r="AF419" s="197"/>
      <c r="AG419" s="20"/>
      <c r="AH419" s="197"/>
      <c r="AI419" s="198"/>
      <c r="AJ419" s="20"/>
      <c r="AK419" s="197"/>
      <c r="AL419" s="20"/>
      <c r="AM419" s="197"/>
      <c r="AN419" s="197"/>
      <c r="AO419" s="197"/>
      <c r="AP419" s="197"/>
      <c r="AQ419" s="197"/>
      <c r="AR419" s="197"/>
      <c r="AS419" s="197"/>
      <c r="AT419" s="197"/>
      <c r="AU419" s="197"/>
      <c r="AV419" s="197"/>
      <c r="AW419" s="20"/>
      <c r="AX419" s="20"/>
      <c r="AY419" s="20"/>
      <c r="AZ419" s="20"/>
      <c r="BJ419" s="201"/>
      <c r="BK419" s="52"/>
      <c r="BL419" s="52"/>
      <c r="BM419" s="52"/>
      <c r="BN419" s="52"/>
      <c r="BO419" s="52"/>
      <c r="BP419" s="52"/>
      <c r="BQ419" s="52"/>
      <c r="BR419" s="52"/>
      <c r="BS419" s="52"/>
      <c r="CZ419" s="345"/>
      <c r="DA419" s="345"/>
      <c r="DB419" s="345"/>
      <c r="DD419" s="25"/>
      <c r="DE419" s="178"/>
      <c r="DF419" s="25"/>
      <c r="DG419" s="25"/>
      <c r="DJ419" s="430"/>
      <c r="DK419" s="389"/>
      <c r="DL419" s="389"/>
      <c r="DM419" s="389"/>
      <c r="DN419" s="389"/>
      <c r="DO419" s="389"/>
      <c r="DP419" s="389"/>
      <c r="DQ419" s="389"/>
      <c r="DR419" s="487"/>
      <c r="DS419" s="25"/>
      <c r="DZ419" s="52"/>
      <c r="EA419" s="52"/>
    </row>
    <row r="420" spans="1:131" x14ac:dyDescent="0.2">
      <c r="A420" s="81"/>
      <c r="B420" s="197"/>
      <c r="C420" s="20"/>
      <c r="D420" s="20"/>
      <c r="E420" s="20"/>
      <c r="F420" s="20"/>
      <c r="G420" s="197"/>
      <c r="H420" s="20"/>
      <c r="I420" s="20"/>
      <c r="J420" s="20"/>
      <c r="K420" s="20"/>
      <c r="L420" s="197"/>
      <c r="M420" s="20"/>
      <c r="N420" s="20"/>
      <c r="O420" s="20"/>
      <c r="P420" s="20"/>
      <c r="Q420" s="197"/>
      <c r="R420" s="20"/>
      <c r="S420" s="20"/>
      <c r="T420" s="20"/>
      <c r="U420" s="20"/>
      <c r="V420" s="197"/>
      <c r="W420" s="20"/>
      <c r="X420" s="20"/>
      <c r="Y420" s="20"/>
      <c r="Z420" s="20"/>
      <c r="AA420" s="197"/>
      <c r="AB420" s="20"/>
      <c r="AC420" s="20"/>
      <c r="AD420" s="20"/>
      <c r="AE420" s="20"/>
      <c r="AF420" s="197"/>
      <c r="AG420" s="20"/>
      <c r="AH420" s="197"/>
      <c r="AI420" s="198"/>
      <c r="AJ420" s="20"/>
      <c r="AK420" s="197"/>
      <c r="AL420" s="20"/>
      <c r="AM420" s="197"/>
      <c r="AN420" s="197"/>
      <c r="AO420" s="197"/>
      <c r="AP420" s="197"/>
      <c r="AQ420" s="197"/>
      <c r="AR420" s="197"/>
      <c r="AS420" s="197"/>
      <c r="AT420" s="197"/>
      <c r="AU420" s="197"/>
      <c r="AV420" s="197"/>
      <c r="AW420" s="20"/>
      <c r="AX420" s="20"/>
      <c r="AY420" s="20"/>
      <c r="AZ420" s="20"/>
      <c r="BJ420" s="201"/>
      <c r="BK420" s="52"/>
      <c r="BL420" s="52"/>
      <c r="BM420" s="52"/>
      <c r="BN420" s="52"/>
      <c r="BO420" s="52"/>
      <c r="BP420" s="52"/>
      <c r="BQ420" s="52"/>
      <c r="BR420" s="52"/>
      <c r="BS420" s="52"/>
      <c r="CZ420" s="345"/>
      <c r="DA420" s="345"/>
      <c r="DB420" s="345"/>
      <c r="DD420" s="25"/>
      <c r="DE420" s="178"/>
      <c r="DF420" s="25"/>
      <c r="DG420" s="25"/>
      <c r="DJ420" s="430"/>
      <c r="DK420" s="389"/>
      <c r="DL420" s="389"/>
      <c r="DM420" s="389"/>
      <c r="DN420" s="389"/>
      <c r="DO420" s="389"/>
      <c r="DP420" s="389"/>
      <c r="DQ420" s="389"/>
      <c r="DR420" s="487"/>
      <c r="DS420" s="25"/>
      <c r="DZ420" s="52"/>
      <c r="EA420" s="52"/>
    </row>
    <row r="421" spans="1:131" x14ac:dyDescent="0.2">
      <c r="A421" s="81"/>
      <c r="B421" s="197"/>
      <c r="C421" s="20"/>
      <c r="D421" s="20"/>
      <c r="E421" s="20"/>
      <c r="F421" s="20"/>
      <c r="G421" s="197"/>
      <c r="H421" s="20"/>
      <c r="I421" s="20"/>
      <c r="J421" s="20"/>
      <c r="K421" s="20"/>
      <c r="L421" s="197"/>
      <c r="M421" s="20"/>
      <c r="N421" s="20"/>
      <c r="O421" s="20"/>
      <c r="P421" s="20"/>
      <c r="Q421" s="197"/>
      <c r="R421" s="20"/>
      <c r="S421" s="20"/>
      <c r="T421" s="20"/>
      <c r="U421" s="20"/>
      <c r="V421" s="197"/>
      <c r="W421" s="20"/>
      <c r="X421" s="20"/>
      <c r="Y421" s="20"/>
      <c r="Z421" s="20"/>
      <c r="AA421" s="197"/>
      <c r="AB421" s="20"/>
      <c r="AC421" s="20"/>
      <c r="AD421" s="20"/>
      <c r="AE421" s="20"/>
      <c r="AF421" s="197"/>
      <c r="AG421" s="20"/>
      <c r="AH421" s="197"/>
      <c r="AI421" s="198"/>
      <c r="AJ421" s="20"/>
      <c r="AK421" s="197"/>
      <c r="AL421" s="20"/>
      <c r="AM421" s="197"/>
      <c r="AN421" s="197"/>
      <c r="AO421" s="197"/>
      <c r="AP421" s="197"/>
      <c r="AQ421" s="197"/>
      <c r="AR421" s="197"/>
      <c r="AS421" s="197"/>
      <c r="AT421" s="197"/>
      <c r="AU421" s="197"/>
      <c r="AV421" s="197"/>
      <c r="AW421" s="20"/>
      <c r="AX421" s="20"/>
      <c r="AY421" s="20"/>
      <c r="AZ421" s="20"/>
      <c r="BJ421" s="201"/>
      <c r="BK421" s="52"/>
      <c r="BL421" s="52"/>
      <c r="BM421" s="52"/>
      <c r="BN421" s="52"/>
      <c r="BO421" s="52"/>
      <c r="BP421" s="52"/>
      <c r="BQ421" s="52"/>
      <c r="BR421" s="52"/>
      <c r="BS421" s="52"/>
      <c r="CZ421" s="345"/>
      <c r="DA421" s="345"/>
      <c r="DB421" s="345"/>
      <c r="DD421" s="25"/>
      <c r="DE421" s="178"/>
      <c r="DF421" s="25"/>
      <c r="DG421" s="25"/>
      <c r="DJ421" s="430"/>
      <c r="DK421" s="389"/>
      <c r="DL421" s="389"/>
      <c r="DM421" s="389"/>
      <c r="DN421" s="389"/>
      <c r="DO421" s="389"/>
      <c r="DP421" s="389"/>
      <c r="DQ421" s="389"/>
      <c r="DR421" s="487"/>
      <c r="DS421" s="25"/>
      <c r="DZ421" s="52"/>
      <c r="EA421" s="52"/>
    </row>
    <row r="422" spans="1:131" x14ac:dyDescent="0.2">
      <c r="A422" s="81"/>
      <c r="B422" s="197"/>
      <c r="C422" s="20"/>
      <c r="D422" s="20"/>
      <c r="E422" s="20"/>
      <c r="F422" s="20"/>
      <c r="G422" s="197"/>
      <c r="H422" s="20"/>
      <c r="I422" s="20"/>
      <c r="J422" s="20"/>
      <c r="K422" s="20"/>
      <c r="L422" s="197"/>
      <c r="M422" s="20"/>
      <c r="N422" s="20"/>
      <c r="O422" s="20"/>
      <c r="P422" s="20"/>
      <c r="Q422" s="197"/>
      <c r="R422" s="20"/>
      <c r="S422" s="20"/>
      <c r="T422" s="20"/>
      <c r="U422" s="20"/>
      <c r="V422" s="197"/>
      <c r="W422" s="20"/>
      <c r="X422" s="20"/>
      <c r="Y422" s="20"/>
      <c r="Z422" s="20"/>
      <c r="AA422" s="197"/>
      <c r="AB422" s="20"/>
      <c r="AC422" s="20"/>
      <c r="AD422" s="20"/>
      <c r="AE422" s="20"/>
      <c r="AF422" s="197"/>
      <c r="AG422" s="20"/>
      <c r="AH422" s="197"/>
      <c r="AI422" s="198"/>
      <c r="AJ422" s="20"/>
      <c r="AK422" s="197"/>
      <c r="AL422" s="20"/>
      <c r="AM422" s="197"/>
      <c r="AN422" s="197"/>
      <c r="AO422" s="197"/>
      <c r="AP422" s="197"/>
      <c r="AQ422" s="197"/>
      <c r="AR422" s="197"/>
      <c r="AS422" s="197"/>
      <c r="AT422" s="197"/>
      <c r="AU422" s="197"/>
      <c r="AV422" s="197"/>
      <c r="AW422" s="20"/>
      <c r="AX422" s="20"/>
      <c r="AY422" s="20"/>
      <c r="AZ422" s="20"/>
      <c r="BJ422" s="201"/>
      <c r="BK422" s="52"/>
      <c r="BL422" s="52"/>
      <c r="BM422" s="52"/>
      <c r="BN422" s="52"/>
      <c r="BO422" s="52"/>
      <c r="BP422" s="52"/>
      <c r="BQ422" s="52"/>
      <c r="BR422" s="52"/>
      <c r="BS422" s="52"/>
      <c r="CZ422" s="345"/>
      <c r="DA422" s="345"/>
      <c r="DB422" s="345"/>
      <c r="DD422" s="25"/>
      <c r="DE422" s="178"/>
      <c r="DF422" s="25"/>
      <c r="DG422" s="25"/>
      <c r="DJ422" s="430"/>
      <c r="DK422" s="389"/>
      <c r="DL422" s="389"/>
      <c r="DM422" s="389"/>
      <c r="DN422" s="389"/>
      <c r="DO422" s="389"/>
      <c r="DP422" s="389"/>
      <c r="DQ422" s="389"/>
      <c r="DR422" s="487"/>
      <c r="DS422" s="25"/>
      <c r="DZ422" s="52"/>
      <c r="EA422" s="52"/>
    </row>
    <row r="423" spans="1:131" x14ac:dyDescent="0.2">
      <c r="A423" s="81"/>
      <c r="B423" s="197"/>
      <c r="C423" s="20"/>
      <c r="D423" s="20"/>
      <c r="E423" s="20"/>
      <c r="F423" s="20"/>
      <c r="G423" s="197"/>
      <c r="H423" s="20"/>
      <c r="I423" s="20"/>
      <c r="J423" s="20"/>
      <c r="K423" s="20"/>
      <c r="L423" s="197"/>
      <c r="M423" s="20"/>
      <c r="N423" s="20"/>
      <c r="O423" s="20"/>
      <c r="P423" s="20"/>
      <c r="Q423" s="197"/>
      <c r="R423" s="20"/>
      <c r="S423" s="20"/>
      <c r="T423" s="20"/>
      <c r="U423" s="20"/>
      <c r="V423" s="197"/>
      <c r="W423" s="20"/>
      <c r="X423" s="20"/>
      <c r="Y423" s="20"/>
      <c r="Z423" s="20"/>
      <c r="AA423" s="197"/>
      <c r="AB423" s="20"/>
      <c r="AC423" s="20"/>
      <c r="AD423" s="20"/>
      <c r="AE423" s="20"/>
      <c r="AF423" s="197"/>
      <c r="AG423" s="20"/>
      <c r="AH423" s="197"/>
      <c r="AI423" s="198"/>
      <c r="AJ423" s="20"/>
      <c r="AK423" s="197"/>
      <c r="AL423" s="20"/>
      <c r="AM423" s="197"/>
      <c r="AN423" s="197"/>
      <c r="AO423" s="197"/>
      <c r="AP423" s="197"/>
      <c r="AQ423" s="197"/>
      <c r="AR423" s="197"/>
      <c r="AS423" s="197"/>
      <c r="AT423" s="197"/>
      <c r="AU423" s="197"/>
      <c r="AV423" s="197"/>
      <c r="AW423" s="20"/>
      <c r="AX423" s="20"/>
      <c r="AY423" s="20"/>
      <c r="AZ423" s="20"/>
      <c r="BJ423" s="201"/>
      <c r="BK423" s="52"/>
      <c r="BL423" s="52"/>
      <c r="BM423" s="52"/>
      <c r="BN423" s="52"/>
      <c r="BO423" s="52"/>
      <c r="BP423" s="52"/>
      <c r="BQ423" s="52"/>
      <c r="BR423" s="52"/>
      <c r="BS423" s="52"/>
      <c r="CZ423" s="345"/>
      <c r="DA423" s="345"/>
      <c r="DB423" s="345"/>
      <c r="DD423" s="25"/>
      <c r="DE423" s="178"/>
      <c r="DF423" s="25"/>
      <c r="DG423" s="25"/>
      <c r="DJ423" s="430"/>
      <c r="DK423" s="389"/>
      <c r="DL423" s="389"/>
      <c r="DM423" s="389"/>
      <c r="DN423" s="389"/>
      <c r="DO423" s="389"/>
      <c r="DP423" s="389"/>
      <c r="DQ423" s="389"/>
      <c r="DR423" s="487"/>
      <c r="DS423" s="25"/>
      <c r="DZ423" s="52"/>
      <c r="EA423" s="52"/>
    </row>
    <row r="424" spans="1:131" x14ac:dyDescent="0.2">
      <c r="A424" s="81"/>
      <c r="B424" s="197"/>
      <c r="C424" s="20"/>
      <c r="D424" s="20"/>
      <c r="E424" s="20"/>
      <c r="F424" s="20"/>
      <c r="G424" s="197"/>
      <c r="H424" s="20"/>
      <c r="I424" s="20"/>
      <c r="J424" s="20"/>
      <c r="K424" s="20"/>
      <c r="L424" s="197"/>
      <c r="M424" s="20"/>
      <c r="N424" s="20"/>
      <c r="O424" s="20"/>
      <c r="P424" s="20"/>
      <c r="Q424" s="197"/>
      <c r="R424" s="20"/>
      <c r="S424" s="20"/>
      <c r="T424" s="20"/>
      <c r="U424" s="20"/>
      <c r="V424" s="197"/>
      <c r="W424" s="20"/>
      <c r="X424" s="20"/>
      <c r="Y424" s="20"/>
      <c r="Z424" s="20"/>
      <c r="AA424" s="197"/>
      <c r="AB424" s="20"/>
      <c r="AC424" s="20"/>
      <c r="AD424" s="20"/>
      <c r="AE424" s="20"/>
      <c r="AF424" s="197"/>
      <c r="AG424" s="20"/>
      <c r="AH424" s="197"/>
      <c r="AI424" s="198"/>
      <c r="AJ424" s="20"/>
      <c r="AK424" s="197"/>
      <c r="AL424" s="20"/>
      <c r="AM424" s="197"/>
      <c r="AN424" s="197"/>
      <c r="AO424" s="197"/>
      <c r="AP424" s="197"/>
      <c r="AQ424" s="197"/>
      <c r="AR424" s="197"/>
      <c r="AS424" s="197"/>
      <c r="AT424" s="197"/>
      <c r="AU424" s="197"/>
      <c r="AV424" s="197"/>
      <c r="AW424" s="20"/>
      <c r="AX424" s="20"/>
      <c r="AY424" s="20"/>
      <c r="AZ424" s="20"/>
      <c r="BJ424" s="201"/>
      <c r="BK424" s="52"/>
      <c r="BL424" s="52"/>
      <c r="BM424" s="52"/>
      <c r="BN424" s="52"/>
      <c r="BO424" s="52"/>
      <c r="BP424" s="52"/>
      <c r="BQ424" s="52"/>
      <c r="BR424" s="52"/>
      <c r="BS424" s="52"/>
      <c r="CZ424" s="345"/>
      <c r="DA424" s="345"/>
      <c r="DB424" s="345"/>
      <c r="DD424" s="25"/>
      <c r="DE424" s="178"/>
      <c r="DF424" s="25"/>
      <c r="DG424" s="25"/>
      <c r="DJ424" s="430"/>
      <c r="DK424" s="389"/>
      <c r="DL424" s="389"/>
      <c r="DM424" s="389"/>
      <c r="DN424" s="389"/>
      <c r="DO424" s="389"/>
      <c r="DP424" s="389"/>
      <c r="DQ424" s="389"/>
      <c r="DR424" s="487"/>
      <c r="DS424" s="25"/>
      <c r="DZ424" s="52"/>
      <c r="EA424" s="52"/>
    </row>
    <row r="425" spans="1:131" x14ac:dyDescent="0.2">
      <c r="A425" s="81"/>
      <c r="B425" s="197"/>
      <c r="C425" s="20"/>
      <c r="D425" s="20"/>
      <c r="E425" s="20"/>
      <c r="F425" s="20"/>
      <c r="G425" s="197"/>
      <c r="H425" s="20"/>
      <c r="I425" s="20"/>
      <c r="J425" s="20"/>
      <c r="K425" s="20"/>
      <c r="L425" s="197"/>
      <c r="M425" s="20"/>
      <c r="N425" s="20"/>
      <c r="O425" s="20"/>
      <c r="P425" s="20"/>
      <c r="Q425" s="197"/>
      <c r="R425" s="20"/>
      <c r="S425" s="20"/>
      <c r="T425" s="20"/>
      <c r="U425" s="20"/>
      <c r="V425" s="197"/>
      <c r="W425" s="20"/>
      <c r="X425" s="20"/>
      <c r="Y425" s="20"/>
      <c r="Z425" s="20"/>
      <c r="AA425" s="197"/>
      <c r="AB425" s="20"/>
      <c r="AC425" s="20"/>
      <c r="AD425" s="20"/>
      <c r="AE425" s="20"/>
      <c r="AF425" s="197"/>
      <c r="AG425" s="20"/>
      <c r="AH425" s="197"/>
      <c r="AI425" s="198"/>
      <c r="AJ425" s="20"/>
      <c r="AK425" s="197"/>
      <c r="AL425" s="20"/>
      <c r="AM425" s="197"/>
      <c r="AN425" s="197"/>
      <c r="AO425" s="197"/>
      <c r="AP425" s="197"/>
      <c r="AQ425" s="197"/>
      <c r="AR425" s="197"/>
      <c r="AS425" s="197"/>
      <c r="AT425" s="197"/>
      <c r="AU425" s="197"/>
      <c r="AV425" s="197"/>
      <c r="AW425" s="20"/>
      <c r="AX425" s="20"/>
      <c r="AY425" s="20"/>
      <c r="AZ425" s="20"/>
      <c r="BJ425" s="201"/>
      <c r="BK425" s="52"/>
      <c r="BL425" s="52"/>
      <c r="BM425" s="52"/>
      <c r="BN425" s="52"/>
      <c r="BO425" s="52"/>
      <c r="BP425" s="52"/>
      <c r="BQ425" s="52"/>
      <c r="BR425" s="52"/>
      <c r="BS425" s="52"/>
      <c r="CZ425" s="345"/>
      <c r="DA425" s="345"/>
      <c r="DB425" s="345"/>
      <c r="DD425" s="25"/>
      <c r="DE425" s="178"/>
      <c r="DF425" s="25"/>
      <c r="DG425" s="25"/>
      <c r="DJ425" s="430"/>
      <c r="DK425" s="389"/>
      <c r="DL425" s="389"/>
      <c r="DM425" s="389"/>
      <c r="DN425" s="389"/>
      <c r="DO425" s="389"/>
      <c r="DP425" s="389"/>
      <c r="DQ425" s="389"/>
      <c r="DR425" s="487"/>
      <c r="DS425" s="25"/>
      <c r="DZ425" s="52"/>
      <c r="EA425" s="52"/>
    </row>
    <row r="426" spans="1:131" s="7" customFormat="1" x14ac:dyDescent="0.2">
      <c r="A426" s="7" t="s">
        <v>226</v>
      </c>
      <c r="BJ426" s="537"/>
      <c r="BK426" s="7" t="s">
        <v>0</v>
      </c>
      <c r="DD426" s="363"/>
      <c r="DE426" s="6"/>
      <c r="DF426" s="363"/>
      <c r="DG426" s="363"/>
      <c r="DH426" s="363"/>
      <c r="DI426" s="363"/>
      <c r="DJ426" s="435"/>
      <c r="DK426" s="393"/>
      <c r="DL426" s="393"/>
      <c r="DM426" s="393"/>
      <c r="DN426" s="393"/>
      <c r="DO426" s="393"/>
      <c r="DP426" s="393"/>
      <c r="DQ426" s="393"/>
      <c r="DR426" s="6"/>
      <c r="DS426" s="363"/>
      <c r="DT426"/>
      <c r="DU426"/>
      <c r="DV426"/>
      <c r="DW426"/>
      <c r="DX426"/>
      <c r="DY426"/>
    </row>
    <row r="427" spans="1:131" x14ac:dyDescent="0.2">
      <c r="A427" s="81"/>
      <c r="B427" s="197"/>
      <c r="C427" s="20"/>
      <c r="D427" s="20"/>
      <c r="E427" s="20"/>
      <c r="F427" s="20"/>
      <c r="G427" s="197"/>
      <c r="H427" s="20"/>
      <c r="I427" s="20"/>
      <c r="J427" s="20"/>
      <c r="K427" s="20"/>
      <c r="L427" s="197"/>
      <c r="M427" s="20"/>
      <c r="N427" s="20"/>
      <c r="O427" s="20"/>
      <c r="P427" s="20"/>
      <c r="Q427" s="197"/>
      <c r="R427" s="20"/>
      <c r="S427" s="20"/>
      <c r="T427" s="20"/>
      <c r="U427" s="20"/>
      <c r="V427" s="197"/>
      <c r="W427" s="20"/>
      <c r="X427" s="20"/>
      <c r="Y427" s="20"/>
      <c r="Z427" s="20"/>
      <c r="AA427" s="197"/>
      <c r="AB427" s="20"/>
      <c r="AC427" s="20"/>
      <c r="AD427" s="20"/>
      <c r="AE427" s="20"/>
      <c r="AF427" s="197"/>
      <c r="AG427" s="20"/>
      <c r="AH427" s="197"/>
      <c r="AI427" s="198"/>
      <c r="AJ427" s="20"/>
      <c r="AK427" s="197"/>
      <c r="AL427" s="20"/>
      <c r="AM427" s="197"/>
      <c r="AN427" s="197"/>
      <c r="AO427" s="197"/>
      <c r="AP427" s="197"/>
      <c r="AQ427" s="197"/>
      <c r="AR427" s="197"/>
      <c r="AS427" s="197"/>
      <c r="AT427" s="197"/>
      <c r="AU427" s="197"/>
      <c r="AV427" s="197"/>
      <c r="AW427" s="20"/>
      <c r="AX427" s="20"/>
      <c r="AY427" s="20"/>
      <c r="AZ427" s="20"/>
      <c r="BJ427" s="201"/>
      <c r="BK427" s="52"/>
      <c r="BL427" s="52"/>
      <c r="BM427" s="52"/>
      <c r="BN427" s="52"/>
      <c r="BO427" s="52"/>
      <c r="BP427" s="52"/>
      <c r="BQ427" s="52"/>
      <c r="BR427" s="52"/>
      <c r="BS427" s="52"/>
      <c r="CZ427" s="345"/>
      <c r="DA427" s="345"/>
      <c r="DB427" s="345"/>
      <c r="DD427" s="25"/>
      <c r="DE427" s="178"/>
      <c r="DF427" s="25"/>
      <c r="DG427" s="25"/>
      <c r="DJ427" s="430"/>
      <c r="DK427" s="389"/>
      <c r="DL427" s="389"/>
      <c r="DM427" s="389"/>
      <c r="DN427" s="389"/>
      <c r="DO427" s="389"/>
      <c r="DP427" s="389"/>
      <c r="DQ427" s="389"/>
      <c r="DR427" s="487"/>
      <c r="DS427" s="25"/>
      <c r="DZ427" s="52"/>
      <c r="EA427" s="52"/>
    </row>
    <row r="428" spans="1:131" x14ac:dyDescent="0.2">
      <c r="A428" s="81"/>
      <c r="B428" s="197"/>
      <c r="C428" s="20"/>
      <c r="D428" s="20"/>
      <c r="E428" s="20"/>
      <c r="F428" s="20"/>
      <c r="G428" s="197"/>
      <c r="H428" s="20"/>
      <c r="I428" s="20"/>
      <c r="J428" s="20"/>
      <c r="K428" s="20"/>
      <c r="L428" s="197"/>
      <c r="M428" s="20"/>
      <c r="N428" s="20"/>
      <c r="O428" s="20"/>
      <c r="P428" s="20"/>
      <c r="Q428" s="197"/>
      <c r="R428" s="20"/>
      <c r="S428" s="20"/>
      <c r="T428" s="20"/>
      <c r="U428" s="20"/>
      <c r="V428" s="197"/>
      <c r="W428" s="20"/>
      <c r="X428" s="20"/>
      <c r="Y428" s="20"/>
      <c r="Z428" s="20"/>
      <c r="AA428" s="197"/>
      <c r="AB428" s="20"/>
      <c r="AC428" s="20"/>
      <c r="AD428" s="20"/>
      <c r="AE428" s="20"/>
      <c r="AF428" s="197"/>
      <c r="AG428" s="20"/>
      <c r="AH428" s="197"/>
      <c r="AI428" s="198"/>
      <c r="AJ428" s="20"/>
      <c r="AK428" s="197"/>
      <c r="AL428" s="20"/>
      <c r="AM428" s="197"/>
      <c r="AN428" s="197"/>
      <c r="AO428" s="197"/>
      <c r="AP428" s="197"/>
      <c r="AQ428" s="197"/>
      <c r="AR428" s="197"/>
      <c r="AS428" s="197"/>
      <c r="AT428" s="197"/>
      <c r="AU428" s="197"/>
      <c r="AV428" s="197"/>
      <c r="AW428" s="20"/>
      <c r="AX428" s="20"/>
      <c r="AY428" s="20"/>
      <c r="AZ428" s="20"/>
      <c r="BJ428" s="201"/>
      <c r="BK428" s="52"/>
      <c r="BL428" s="52"/>
      <c r="BM428" s="52"/>
      <c r="BN428" s="52"/>
      <c r="BO428" s="52"/>
      <c r="BP428" s="52"/>
      <c r="BQ428" s="52"/>
      <c r="BR428" s="52"/>
      <c r="CZ428" s="345"/>
      <c r="DA428" s="345"/>
      <c r="DB428" s="345"/>
      <c r="DD428" s="199"/>
      <c r="DE428" s="481"/>
      <c r="DF428" s="25"/>
      <c r="DG428" s="25"/>
      <c r="DJ428" s="430"/>
      <c r="DK428" s="389"/>
      <c r="DL428" s="389"/>
      <c r="DM428" s="389"/>
      <c r="DN428" s="389"/>
      <c r="DO428" s="389"/>
      <c r="DP428" s="389"/>
      <c r="DQ428" s="389"/>
      <c r="DR428" s="487"/>
      <c r="DS428" s="199"/>
      <c r="DZ428" s="52"/>
      <c r="EA428" s="52"/>
    </row>
    <row r="429" spans="1:131" x14ac:dyDescent="0.2">
      <c r="A429" s="81"/>
      <c r="B429" s="197"/>
      <c r="C429" s="20"/>
      <c r="D429" s="20"/>
      <c r="E429" s="20"/>
      <c r="F429" s="20"/>
      <c r="G429" s="197"/>
      <c r="H429" s="20"/>
      <c r="I429" s="20"/>
      <c r="J429" s="20"/>
      <c r="K429" s="20"/>
      <c r="L429" s="197"/>
      <c r="M429" s="20"/>
      <c r="N429" s="20"/>
      <c r="O429" s="20"/>
      <c r="P429" s="20"/>
      <c r="Q429" s="197"/>
      <c r="R429" s="20"/>
      <c r="S429" s="20"/>
      <c r="T429" s="20"/>
      <c r="U429" s="20"/>
      <c r="V429" s="197"/>
      <c r="W429" s="20"/>
      <c r="X429" s="20"/>
      <c r="Y429" s="20"/>
      <c r="Z429" s="20"/>
      <c r="AA429" s="197"/>
      <c r="AB429" s="20"/>
      <c r="AC429" s="20"/>
      <c r="AD429" s="20"/>
      <c r="AE429" s="20"/>
      <c r="AF429" s="197"/>
      <c r="AG429" s="20"/>
      <c r="AH429" s="197"/>
      <c r="AI429" s="198"/>
      <c r="AJ429" s="20"/>
      <c r="AK429" s="197"/>
      <c r="AL429" s="20"/>
      <c r="AM429" s="197"/>
      <c r="AN429" s="197"/>
      <c r="AO429" s="197"/>
      <c r="AP429" s="197"/>
      <c r="AQ429" s="197"/>
      <c r="AR429" s="197"/>
      <c r="AS429" s="197"/>
      <c r="AT429" s="197"/>
      <c r="AU429" s="197"/>
      <c r="AV429" s="197"/>
      <c r="AW429" s="20"/>
      <c r="AX429" s="20"/>
      <c r="AY429" s="20"/>
      <c r="AZ429" s="20"/>
      <c r="BJ429" s="201"/>
      <c r="BK429" s="52"/>
      <c r="BL429" s="52"/>
      <c r="BM429" s="52"/>
      <c r="BN429" s="52"/>
      <c r="BO429" s="52"/>
      <c r="BP429" s="52"/>
      <c r="BQ429" s="52"/>
      <c r="BR429" s="52"/>
      <c r="CZ429" s="345"/>
      <c r="DA429" s="345"/>
      <c r="DB429" s="345"/>
      <c r="DD429" s="200"/>
      <c r="DE429" s="482"/>
      <c r="DF429" s="25"/>
      <c r="DG429" s="25"/>
      <c r="DJ429" s="445"/>
      <c r="DK429" s="409"/>
      <c r="DL429" s="409"/>
      <c r="DM429" s="409"/>
      <c r="DN429" s="409"/>
      <c r="DO429" s="409"/>
      <c r="DP429" s="409"/>
      <c r="DQ429" s="409"/>
      <c r="DR429" s="506"/>
      <c r="DS429" s="200"/>
      <c r="DZ429" s="52"/>
      <c r="EA429" s="52"/>
    </row>
    <row r="430" spans="1:131" x14ac:dyDescent="0.2">
      <c r="A430" s="81"/>
      <c r="B430" s="197"/>
      <c r="C430" s="20"/>
      <c r="D430" s="20"/>
      <c r="E430" s="20"/>
      <c r="F430" s="20"/>
      <c r="G430" s="197"/>
      <c r="H430" s="20"/>
      <c r="I430" s="20"/>
      <c r="J430" s="20"/>
      <c r="K430" s="20"/>
      <c r="L430" s="197"/>
      <c r="M430" s="20"/>
      <c r="N430" s="20"/>
      <c r="O430" s="20"/>
      <c r="P430" s="20"/>
      <c r="Q430" s="197"/>
      <c r="R430" s="20"/>
      <c r="S430" s="20"/>
      <c r="T430" s="20"/>
      <c r="U430" s="20"/>
      <c r="V430" s="197"/>
      <c r="W430" s="20"/>
      <c r="X430" s="20"/>
      <c r="Y430" s="20"/>
      <c r="Z430" s="20"/>
      <c r="AA430" s="197"/>
      <c r="AB430" s="20"/>
      <c r="AC430" s="20"/>
      <c r="AD430" s="20"/>
      <c r="AE430" s="20"/>
      <c r="AF430" s="197"/>
      <c r="AG430" s="20"/>
      <c r="AH430" s="197"/>
      <c r="AI430" s="198"/>
      <c r="AJ430" s="20"/>
      <c r="AK430" s="197"/>
      <c r="AL430" s="20"/>
      <c r="AM430" s="197"/>
      <c r="AN430" s="197"/>
      <c r="AO430" s="197"/>
      <c r="AP430" s="197"/>
      <c r="AQ430" s="197"/>
      <c r="AR430" s="197"/>
      <c r="AS430" s="197"/>
      <c r="AT430" s="197"/>
      <c r="AU430" s="197"/>
      <c r="AV430" s="197"/>
      <c r="AW430" s="20"/>
      <c r="AX430" s="20"/>
      <c r="AY430" s="20"/>
      <c r="AZ430" s="20"/>
      <c r="BJ430" s="201"/>
      <c r="CZ430" s="345"/>
      <c r="DA430" s="345"/>
      <c r="DB430" s="345"/>
      <c r="DD430" s="200"/>
      <c r="DE430" s="482"/>
      <c r="DF430" s="25"/>
      <c r="DG430" s="25"/>
      <c r="DJ430" s="445"/>
      <c r="DK430" s="409"/>
      <c r="DL430" s="409"/>
      <c r="DM430" s="409"/>
      <c r="DN430" s="409"/>
      <c r="DO430" s="409"/>
      <c r="DP430" s="409"/>
      <c r="DQ430" s="409"/>
      <c r="DR430" s="506"/>
      <c r="DS430" s="200"/>
      <c r="DZ430" s="52"/>
      <c r="EA430" s="52"/>
    </row>
    <row r="431" spans="1:131" x14ac:dyDescent="0.2">
      <c r="A431" s="81"/>
      <c r="B431" s="197"/>
      <c r="C431" s="20"/>
      <c r="D431" s="20"/>
      <c r="E431" s="20"/>
      <c r="F431" s="20"/>
      <c r="G431" s="197"/>
      <c r="H431" s="20"/>
      <c r="I431" s="20"/>
      <c r="J431" s="20"/>
      <c r="K431" s="20"/>
      <c r="L431" s="197"/>
      <c r="M431" s="20"/>
      <c r="N431" s="20"/>
      <c r="O431" s="20"/>
      <c r="P431" s="20"/>
      <c r="Q431" s="197"/>
      <c r="R431" s="20"/>
      <c r="S431" s="20"/>
      <c r="T431" s="20"/>
      <c r="U431" s="20"/>
      <c r="V431" s="197"/>
      <c r="W431" s="20"/>
      <c r="X431" s="20"/>
      <c r="Y431" s="20"/>
      <c r="Z431" s="20"/>
      <c r="AA431" s="197"/>
      <c r="AB431" s="20"/>
      <c r="AC431" s="20"/>
      <c r="AD431" s="20"/>
      <c r="AE431" s="20"/>
      <c r="AF431" s="197"/>
      <c r="AG431" s="20"/>
      <c r="AH431" s="197"/>
      <c r="AI431" s="198"/>
      <c r="AJ431" s="20"/>
      <c r="AK431" s="197"/>
      <c r="AL431" s="20"/>
      <c r="AM431" s="197"/>
      <c r="AN431" s="197"/>
      <c r="AO431" s="197"/>
      <c r="AP431" s="197"/>
      <c r="AQ431" s="197"/>
      <c r="AR431" s="197"/>
      <c r="AS431" s="197"/>
      <c r="AT431" s="197"/>
      <c r="AU431" s="197"/>
      <c r="AV431" s="197"/>
      <c r="AW431" s="20"/>
      <c r="AX431" s="20"/>
      <c r="AY431" s="20"/>
      <c r="AZ431" s="20"/>
      <c r="BJ431" s="201"/>
      <c r="CZ431" s="345"/>
      <c r="DA431" s="345"/>
      <c r="DB431" s="345"/>
      <c r="DD431" s="200"/>
      <c r="DE431" s="482"/>
      <c r="DF431" s="25"/>
      <c r="DG431" s="25"/>
      <c r="DJ431" s="445"/>
      <c r="DK431" s="409"/>
      <c r="DL431" s="409"/>
      <c r="DM431" s="409"/>
      <c r="DN431" s="409"/>
      <c r="DO431" s="409"/>
      <c r="DP431" s="409"/>
      <c r="DQ431" s="409"/>
      <c r="DR431" s="506"/>
      <c r="DS431" s="200"/>
      <c r="DZ431" s="52"/>
      <c r="EA431" s="52"/>
    </row>
    <row r="432" spans="1:131" x14ac:dyDescent="0.2">
      <c r="A432" s="81"/>
      <c r="B432" s="197"/>
      <c r="C432" s="20"/>
      <c r="D432" s="20"/>
      <c r="E432" s="20"/>
      <c r="F432" s="20"/>
      <c r="G432" s="197"/>
      <c r="H432" s="20"/>
      <c r="I432" s="20"/>
      <c r="J432" s="20"/>
      <c r="K432" s="20"/>
      <c r="L432" s="197"/>
      <c r="M432" s="20"/>
      <c r="N432" s="20"/>
      <c r="O432" s="20"/>
      <c r="P432" s="20"/>
      <c r="Q432" s="197"/>
      <c r="R432" s="20"/>
      <c r="S432" s="20"/>
      <c r="T432" s="20"/>
      <c r="U432" s="20"/>
      <c r="V432" s="197"/>
      <c r="W432" s="20"/>
      <c r="X432" s="20"/>
      <c r="Y432" s="20"/>
      <c r="Z432" s="20"/>
      <c r="AA432" s="197"/>
      <c r="AB432" s="20"/>
      <c r="AC432" s="20"/>
      <c r="AD432" s="20"/>
      <c r="AE432" s="20"/>
      <c r="AF432" s="197"/>
      <c r="AG432" s="20"/>
      <c r="AH432" s="197"/>
      <c r="AI432" s="198"/>
      <c r="AJ432" s="20"/>
      <c r="AK432" s="197"/>
      <c r="AL432" s="20"/>
      <c r="AM432" s="197"/>
      <c r="AN432" s="197"/>
      <c r="AO432" s="197"/>
      <c r="AP432" s="197"/>
      <c r="AQ432" s="197"/>
      <c r="AR432" s="197"/>
      <c r="AS432" s="197"/>
      <c r="AT432" s="197"/>
      <c r="AU432" s="197"/>
      <c r="AV432" s="197"/>
      <c r="AW432" s="20"/>
      <c r="AX432" s="20"/>
      <c r="AY432" s="20"/>
      <c r="AZ432" s="20"/>
      <c r="BJ432" s="201"/>
      <c r="CZ432" s="345"/>
      <c r="DA432" s="345"/>
      <c r="DB432" s="345"/>
      <c r="DD432" s="203"/>
      <c r="DE432" s="483"/>
      <c r="DF432" s="25"/>
      <c r="DG432" s="25"/>
      <c r="DJ432" s="436"/>
      <c r="DK432" s="397"/>
      <c r="DL432" s="397"/>
      <c r="DM432" s="397"/>
      <c r="DN432" s="397"/>
      <c r="DO432" s="397"/>
      <c r="DP432" s="397"/>
      <c r="DQ432" s="397"/>
      <c r="DR432" s="494"/>
      <c r="DS432" s="203"/>
      <c r="DZ432" s="52"/>
      <c r="EA432" s="52"/>
    </row>
    <row r="433" spans="1:131" x14ac:dyDescent="0.2">
      <c r="A433" s="81"/>
      <c r="B433" s="197"/>
      <c r="C433" s="20"/>
      <c r="D433" s="20"/>
      <c r="E433" s="20"/>
      <c r="F433" s="20"/>
      <c r="G433" s="197"/>
      <c r="H433" s="20"/>
      <c r="I433" s="20"/>
      <c r="J433" s="20"/>
      <c r="K433" s="20"/>
      <c r="L433" s="197"/>
      <c r="M433" s="20"/>
      <c r="N433" s="20"/>
      <c r="O433" s="20"/>
      <c r="P433" s="20"/>
      <c r="Q433" s="197"/>
      <c r="R433" s="20"/>
      <c r="S433" s="20"/>
      <c r="T433" s="20"/>
      <c r="U433" s="20"/>
      <c r="V433" s="197"/>
      <c r="W433" s="20"/>
      <c r="X433" s="20"/>
      <c r="Y433" s="20"/>
      <c r="Z433" s="20"/>
      <c r="AA433" s="197"/>
      <c r="AB433" s="20"/>
      <c r="AC433" s="20"/>
      <c r="AD433" s="20"/>
      <c r="AE433" s="20"/>
      <c r="AF433" s="197"/>
      <c r="AG433" s="20"/>
      <c r="AH433" s="197"/>
      <c r="AI433" s="198"/>
      <c r="AJ433" s="20"/>
      <c r="AK433" s="197"/>
      <c r="AL433" s="20"/>
      <c r="AM433" s="197"/>
      <c r="AN433" s="197"/>
      <c r="AO433" s="197"/>
      <c r="AP433" s="197"/>
      <c r="AQ433" s="197"/>
      <c r="AR433" s="197"/>
      <c r="AS433" s="197"/>
      <c r="AT433" s="197"/>
      <c r="AU433" s="197"/>
      <c r="AV433" s="197"/>
      <c r="AW433" s="20"/>
      <c r="AX433" s="20"/>
      <c r="AY433" s="20"/>
      <c r="AZ433" s="20"/>
      <c r="BJ433" s="201"/>
      <c r="CZ433" s="345"/>
      <c r="DA433" s="345"/>
      <c r="DB433" s="345"/>
      <c r="DD433" s="203"/>
      <c r="DE433" s="483"/>
      <c r="DF433" s="25"/>
      <c r="DG433" s="25"/>
      <c r="DJ433" s="436"/>
      <c r="DK433" s="397"/>
      <c r="DL433" s="397"/>
      <c r="DM433" s="397"/>
      <c r="DN433" s="397"/>
      <c r="DO433" s="397"/>
      <c r="DP433" s="397"/>
      <c r="DQ433" s="397"/>
      <c r="DR433" s="494"/>
      <c r="DS433" s="203"/>
      <c r="DZ433" s="52"/>
      <c r="EA433" s="52"/>
    </row>
    <row r="434" spans="1:131" x14ac:dyDescent="0.2">
      <c r="A434" s="81"/>
      <c r="B434" s="197"/>
      <c r="C434" s="20"/>
      <c r="D434" s="20"/>
      <c r="E434" s="20"/>
      <c r="F434" s="20"/>
      <c r="G434" s="197"/>
      <c r="H434" s="20"/>
      <c r="I434" s="20"/>
      <c r="J434" s="20"/>
      <c r="K434" s="20"/>
      <c r="L434" s="197"/>
      <c r="M434" s="20"/>
      <c r="N434" s="20"/>
      <c r="O434" s="20"/>
      <c r="P434" s="20"/>
      <c r="Q434" s="197"/>
      <c r="R434" s="20"/>
      <c r="S434" s="20"/>
      <c r="T434" s="20"/>
      <c r="U434" s="20"/>
      <c r="V434" s="197"/>
      <c r="W434" s="20"/>
      <c r="X434" s="20"/>
      <c r="Y434" s="20"/>
      <c r="Z434" s="20"/>
      <c r="AA434" s="197"/>
      <c r="AB434" s="20"/>
      <c r="AC434" s="20"/>
      <c r="AD434" s="20"/>
      <c r="AE434" s="20"/>
      <c r="AF434" s="197"/>
      <c r="AG434" s="20"/>
      <c r="AH434" s="197"/>
      <c r="AI434" s="198"/>
      <c r="AJ434" s="20"/>
      <c r="AK434" s="197"/>
      <c r="AL434" s="20"/>
      <c r="AM434" s="197"/>
      <c r="AN434" s="197"/>
      <c r="AO434" s="197"/>
      <c r="AP434" s="197"/>
      <c r="AQ434" s="197"/>
      <c r="AR434" s="197"/>
      <c r="AS434" s="197"/>
      <c r="AT434" s="197"/>
      <c r="AU434" s="197"/>
      <c r="AV434" s="197"/>
      <c r="AW434" s="20"/>
      <c r="AX434" s="20"/>
      <c r="AY434" s="20"/>
      <c r="AZ434" s="20"/>
      <c r="BJ434" s="201"/>
      <c r="CZ434" s="345"/>
      <c r="DA434" s="345"/>
      <c r="DB434" s="345"/>
      <c r="DD434" s="203"/>
      <c r="DE434" s="483"/>
      <c r="DF434" s="25"/>
      <c r="DG434" s="25"/>
      <c r="DJ434" s="436"/>
      <c r="DK434" s="397"/>
      <c r="DL434" s="397"/>
      <c r="DM434" s="397"/>
      <c r="DN434" s="397"/>
      <c r="DO434" s="397"/>
      <c r="DP434" s="397"/>
      <c r="DQ434" s="397"/>
      <c r="DR434" s="494"/>
      <c r="DS434" s="203"/>
      <c r="DZ434" s="52"/>
      <c r="EA434" s="52"/>
    </row>
    <row r="435" spans="1:131" x14ac:dyDescent="0.2">
      <c r="A435" s="81"/>
      <c r="B435" s="197"/>
      <c r="C435" s="20"/>
      <c r="D435" s="20"/>
      <c r="E435" s="20"/>
      <c r="F435" s="20"/>
      <c r="G435" s="197"/>
      <c r="H435" s="20"/>
      <c r="I435" s="20"/>
      <c r="J435" s="20"/>
      <c r="K435" s="20"/>
      <c r="L435" s="197"/>
      <c r="M435" s="20"/>
      <c r="N435" s="20"/>
      <c r="O435" s="20"/>
      <c r="P435" s="20"/>
      <c r="Q435" s="197"/>
      <c r="R435" s="20"/>
      <c r="S435" s="20"/>
      <c r="T435" s="20"/>
      <c r="U435" s="20"/>
      <c r="V435" s="197"/>
      <c r="W435" s="20"/>
      <c r="X435" s="20"/>
      <c r="Y435" s="20"/>
      <c r="Z435" s="20"/>
      <c r="AA435" s="197"/>
      <c r="AB435" s="20"/>
      <c r="AC435" s="20"/>
      <c r="AD435" s="20"/>
      <c r="AE435" s="20"/>
      <c r="AF435" s="197"/>
      <c r="AG435" s="20"/>
      <c r="AH435" s="197"/>
      <c r="AI435" s="198"/>
      <c r="AJ435" s="20"/>
      <c r="AK435" s="197"/>
      <c r="AL435" s="20"/>
      <c r="AM435" s="197"/>
      <c r="AN435" s="197"/>
      <c r="AO435" s="197"/>
      <c r="AP435" s="197"/>
      <c r="AQ435" s="197"/>
      <c r="AR435" s="197"/>
      <c r="AS435" s="197"/>
      <c r="AT435" s="197"/>
      <c r="AU435" s="197"/>
      <c r="AV435" s="197"/>
      <c r="AW435" s="20"/>
      <c r="AX435" s="20"/>
      <c r="AY435" s="20"/>
      <c r="AZ435" s="20"/>
      <c r="BJ435" s="201"/>
      <c r="CZ435" s="345"/>
      <c r="DA435" s="345"/>
      <c r="DB435" s="345"/>
      <c r="DD435" s="203"/>
      <c r="DE435" s="483"/>
      <c r="DF435" s="25"/>
      <c r="DG435" s="25"/>
      <c r="DJ435" s="436"/>
      <c r="DK435" s="397"/>
      <c r="DL435" s="397"/>
      <c r="DM435" s="397"/>
      <c r="DN435" s="397"/>
      <c r="DO435" s="397"/>
      <c r="DP435" s="397"/>
      <c r="DQ435" s="397"/>
      <c r="DR435" s="494"/>
      <c r="DS435" s="203"/>
      <c r="DZ435" s="52"/>
      <c r="EA435" s="52"/>
    </row>
    <row r="436" spans="1:131" x14ac:dyDescent="0.2">
      <c r="A436" s="81"/>
      <c r="B436" s="197"/>
      <c r="C436" s="20"/>
      <c r="D436" s="20"/>
      <c r="E436" s="20"/>
      <c r="F436" s="20"/>
      <c r="G436" s="197"/>
      <c r="H436" s="20"/>
      <c r="I436" s="20"/>
      <c r="J436" s="20"/>
      <c r="K436" s="20"/>
      <c r="L436" s="197"/>
      <c r="M436" s="20"/>
      <c r="N436" s="20"/>
      <c r="O436" s="20"/>
      <c r="P436" s="20"/>
      <c r="Q436" s="197"/>
      <c r="R436" s="20"/>
      <c r="S436" s="20"/>
      <c r="T436" s="20"/>
      <c r="U436" s="20"/>
      <c r="V436" s="197"/>
      <c r="W436" s="20"/>
      <c r="X436" s="20"/>
      <c r="Y436" s="20"/>
      <c r="Z436" s="20"/>
      <c r="AA436" s="197"/>
      <c r="AB436" s="20"/>
      <c r="AC436" s="20"/>
      <c r="AD436" s="20"/>
      <c r="AE436" s="20"/>
      <c r="AF436" s="197"/>
      <c r="AG436" s="20"/>
      <c r="AH436" s="197"/>
      <c r="AI436" s="198"/>
      <c r="AJ436" s="20"/>
      <c r="AK436" s="197"/>
      <c r="AL436" s="20"/>
      <c r="AM436" s="197"/>
      <c r="AN436" s="197"/>
      <c r="AO436" s="197"/>
      <c r="AP436" s="197"/>
      <c r="AQ436" s="197"/>
      <c r="AR436" s="197"/>
      <c r="AS436" s="197"/>
      <c r="AT436" s="197"/>
      <c r="AU436" s="197"/>
      <c r="AV436" s="197"/>
      <c r="AW436" s="20"/>
      <c r="AX436" s="20"/>
      <c r="AY436" s="20"/>
      <c r="AZ436" s="20"/>
      <c r="BJ436" s="201"/>
      <c r="CZ436" s="345"/>
      <c r="DA436" s="345"/>
      <c r="DB436" s="345"/>
      <c r="DD436" s="203"/>
      <c r="DE436" s="483"/>
      <c r="DF436" s="25"/>
      <c r="DG436" s="25"/>
      <c r="DJ436" s="436"/>
      <c r="DK436" s="397"/>
      <c r="DL436" s="397"/>
      <c r="DM436" s="397"/>
      <c r="DN436" s="397"/>
      <c r="DO436" s="397"/>
      <c r="DP436" s="397"/>
      <c r="DQ436" s="397"/>
      <c r="DR436" s="494"/>
      <c r="DS436" s="203"/>
      <c r="DZ436" s="52"/>
      <c r="EA436" s="52"/>
    </row>
    <row r="437" spans="1:131" x14ac:dyDescent="0.2">
      <c r="A437" s="81"/>
      <c r="B437" s="197"/>
      <c r="C437" s="20"/>
      <c r="D437" s="20"/>
      <c r="E437" s="20"/>
      <c r="F437" s="20"/>
      <c r="G437" s="197"/>
      <c r="H437" s="20"/>
      <c r="I437" s="20"/>
      <c r="J437" s="20"/>
      <c r="K437" s="20"/>
      <c r="L437" s="197"/>
      <c r="M437" s="20"/>
      <c r="N437" s="20"/>
      <c r="O437" s="20"/>
      <c r="P437" s="20"/>
      <c r="Q437" s="197"/>
      <c r="R437" s="20"/>
      <c r="S437" s="20"/>
      <c r="T437" s="20"/>
      <c r="U437" s="20"/>
      <c r="V437" s="197"/>
      <c r="W437" s="20"/>
      <c r="X437" s="20"/>
      <c r="Y437" s="20"/>
      <c r="Z437" s="20"/>
      <c r="AA437" s="197"/>
      <c r="AB437" s="20"/>
      <c r="AC437" s="20"/>
      <c r="AD437" s="20"/>
      <c r="AE437" s="20"/>
      <c r="AF437" s="197"/>
      <c r="AG437" s="20"/>
      <c r="AH437" s="197"/>
      <c r="AI437" s="198"/>
      <c r="AJ437" s="20"/>
      <c r="AK437" s="197"/>
      <c r="AL437" s="20"/>
      <c r="AM437" s="197"/>
      <c r="AN437" s="197"/>
      <c r="AO437" s="197"/>
      <c r="AP437" s="197"/>
      <c r="AQ437" s="197"/>
      <c r="AR437" s="197"/>
      <c r="AS437" s="197"/>
      <c r="AT437" s="197"/>
      <c r="AU437" s="197"/>
      <c r="AV437" s="197"/>
      <c r="AW437" s="20"/>
      <c r="AX437" s="20"/>
      <c r="AY437" s="20"/>
      <c r="AZ437" s="20"/>
      <c r="BJ437" s="201"/>
      <c r="CZ437" s="345"/>
      <c r="DA437" s="345"/>
      <c r="DB437" s="345"/>
      <c r="DD437" s="203"/>
      <c r="DE437" s="483"/>
      <c r="DF437" s="25"/>
      <c r="DG437" s="25"/>
      <c r="DJ437" s="436"/>
      <c r="DK437" s="397"/>
      <c r="DL437" s="397"/>
      <c r="DM437" s="397"/>
      <c r="DN437" s="397"/>
      <c r="DO437" s="397"/>
      <c r="DP437" s="397"/>
      <c r="DQ437" s="397"/>
      <c r="DR437" s="494"/>
      <c r="DS437" s="203"/>
      <c r="DZ437" s="52"/>
      <c r="EA437" s="52"/>
    </row>
    <row r="438" spans="1:131" x14ac:dyDescent="0.2">
      <c r="A438" s="81"/>
      <c r="B438" s="197"/>
      <c r="C438" s="20"/>
      <c r="D438" s="20"/>
      <c r="E438" s="20"/>
      <c r="F438" s="20"/>
      <c r="G438" s="197"/>
      <c r="H438" s="20"/>
      <c r="I438" s="20"/>
      <c r="J438" s="20"/>
      <c r="K438" s="20"/>
      <c r="L438" s="197"/>
      <c r="M438" s="20"/>
      <c r="N438" s="20"/>
      <c r="O438" s="20"/>
      <c r="P438" s="20"/>
      <c r="Q438" s="197"/>
      <c r="R438" s="20"/>
      <c r="S438" s="20"/>
      <c r="T438" s="20"/>
      <c r="U438" s="20"/>
      <c r="V438" s="197"/>
      <c r="W438" s="20"/>
      <c r="X438" s="20"/>
      <c r="Y438" s="20"/>
      <c r="Z438" s="20"/>
      <c r="AA438" s="197"/>
      <c r="AB438" s="20"/>
      <c r="AC438" s="20"/>
      <c r="AD438" s="20"/>
      <c r="AE438" s="20"/>
      <c r="AF438" s="197"/>
      <c r="AG438" s="20"/>
      <c r="AH438" s="197"/>
      <c r="AI438" s="198"/>
      <c r="AJ438" s="20"/>
      <c r="AK438" s="197"/>
      <c r="AL438" s="20"/>
      <c r="AM438" s="197"/>
      <c r="AN438" s="197"/>
      <c r="AO438" s="197"/>
      <c r="AP438" s="197"/>
      <c r="AQ438" s="197"/>
      <c r="AR438" s="197"/>
      <c r="AS438" s="197"/>
      <c r="AT438" s="197"/>
      <c r="AU438" s="197"/>
      <c r="AV438" s="197"/>
      <c r="AW438" s="20"/>
      <c r="AX438" s="20"/>
      <c r="AY438" s="20"/>
      <c r="AZ438" s="20"/>
      <c r="BJ438" s="201"/>
      <c r="CZ438" s="345"/>
      <c r="DA438" s="345"/>
      <c r="DB438" s="345"/>
      <c r="DD438" s="203"/>
      <c r="DE438" s="483"/>
      <c r="DF438" s="25"/>
      <c r="DG438" s="25"/>
      <c r="DJ438" s="436"/>
      <c r="DK438" s="397"/>
      <c r="DL438" s="397"/>
      <c r="DM438" s="397"/>
      <c r="DN438" s="397"/>
      <c r="DO438" s="397"/>
      <c r="DP438" s="397"/>
      <c r="DQ438" s="397"/>
      <c r="DR438" s="494"/>
      <c r="DS438" s="203"/>
      <c r="DZ438" s="52"/>
      <c r="EA438" s="52"/>
    </row>
    <row r="439" spans="1:131" collapsed="1" x14ac:dyDescent="0.2">
      <c r="A439" s="81"/>
      <c r="B439" s="197"/>
      <c r="C439" s="20"/>
      <c r="D439" s="20"/>
      <c r="E439" s="20"/>
      <c r="F439" s="20"/>
      <c r="G439" s="197"/>
      <c r="H439" s="20"/>
      <c r="I439" s="20"/>
      <c r="J439" s="20"/>
      <c r="K439" s="20"/>
      <c r="L439" s="197"/>
      <c r="M439" s="20"/>
      <c r="N439" s="20"/>
      <c r="O439" s="20"/>
      <c r="P439" s="20"/>
      <c r="Q439" s="197"/>
      <c r="R439" s="20"/>
      <c r="S439" s="20"/>
      <c r="T439" s="20"/>
      <c r="U439" s="20"/>
      <c r="V439" s="197"/>
      <c r="W439" s="20"/>
      <c r="X439" s="20"/>
      <c r="Y439" s="20"/>
      <c r="Z439" s="20"/>
      <c r="AA439" s="197"/>
      <c r="AB439" s="20"/>
      <c r="AC439" s="20"/>
      <c r="AD439" s="20"/>
      <c r="AE439" s="20"/>
      <c r="AF439" s="197"/>
      <c r="AG439" s="20"/>
      <c r="AH439" s="197"/>
      <c r="AI439" s="198"/>
      <c r="AJ439" s="20"/>
      <c r="AK439" s="197"/>
      <c r="AL439" s="20"/>
      <c r="AM439" s="197"/>
      <c r="AN439" s="197"/>
      <c r="AO439" s="197"/>
      <c r="AP439" s="197"/>
      <c r="AQ439" s="197"/>
      <c r="AR439" s="197"/>
      <c r="AS439" s="197"/>
      <c r="AT439" s="197"/>
      <c r="AU439" s="197"/>
      <c r="AV439" s="197"/>
      <c r="AW439" s="20"/>
      <c r="AX439" s="20"/>
      <c r="AY439" s="20"/>
      <c r="AZ439" s="20"/>
      <c r="BJ439" s="201"/>
      <c r="CZ439" s="345"/>
      <c r="DA439" s="345"/>
      <c r="DB439" s="345"/>
      <c r="DD439" s="204"/>
      <c r="DE439" s="484"/>
      <c r="DF439" s="25"/>
      <c r="DG439" s="25"/>
      <c r="DJ439" s="399"/>
      <c r="DK439" s="396"/>
      <c r="DL439" s="396"/>
      <c r="DM439" s="396"/>
      <c r="DN439" s="396"/>
      <c r="DO439" s="396"/>
      <c r="DP439" s="396"/>
      <c r="DQ439" s="396"/>
      <c r="DR439" s="493"/>
      <c r="DS439" s="204"/>
      <c r="DZ439" s="52"/>
      <c r="EA439" s="52"/>
    </row>
    <row r="440" spans="1:131" x14ac:dyDescent="0.2">
      <c r="A440" s="81"/>
      <c r="B440" s="197"/>
      <c r="C440" s="20"/>
      <c r="D440" s="20"/>
      <c r="E440" s="20"/>
      <c r="F440" s="20"/>
      <c r="G440" s="197"/>
      <c r="H440" s="20"/>
      <c r="I440" s="20"/>
      <c r="J440" s="20"/>
      <c r="K440" s="20"/>
      <c r="L440" s="197"/>
      <c r="M440" s="20"/>
      <c r="N440" s="20"/>
      <c r="O440" s="20"/>
      <c r="P440" s="20"/>
      <c r="Q440" s="197"/>
      <c r="R440" s="20"/>
      <c r="S440" s="20"/>
      <c r="T440" s="20"/>
      <c r="U440" s="20"/>
      <c r="V440" s="197"/>
      <c r="W440" s="20"/>
      <c r="X440" s="20"/>
      <c r="Y440" s="20"/>
      <c r="Z440" s="20"/>
      <c r="AA440" s="197"/>
      <c r="AB440" s="20"/>
      <c r="AC440" s="20"/>
      <c r="AD440" s="20"/>
      <c r="AE440" s="20"/>
      <c r="AF440" s="197"/>
      <c r="AG440" s="20"/>
      <c r="AH440" s="197"/>
      <c r="AI440" s="198"/>
      <c r="AJ440" s="20"/>
      <c r="AK440" s="197"/>
      <c r="AL440" s="20"/>
      <c r="AM440" s="197"/>
      <c r="AN440" s="197"/>
      <c r="AO440" s="197"/>
      <c r="AP440" s="197"/>
      <c r="AQ440" s="197"/>
      <c r="AR440" s="197"/>
      <c r="AS440" s="197"/>
      <c r="AT440" s="197"/>
      <c r="AU440" s="197"/>
      <c r="AV440" s="197"/>
      <c r="AW440" s="20"/>
      <c r="AX440" s="20"/>
      <c r="AY440" s="20"/>
      <c r="AZ440" s="20"/>
      <c r="BJ440" s="201"/>
      <c r="CZ440" s="345"/>
      <c r="DA440" s="345"/>
      <c r="DB440" s="345"/>
      <c r="DD440" s="202"/>
      <c r="DE440" s="485"/>
      <c r="DF440" s="25"/>
      <c r="DG440" s="25"/>
      <c r="DJ440" s="399"/>
      <c r="DK440" s="396"/>
      <c r="DL440" s="396"/>
      <c r="DM440" s="396"/>
      <c r="DN440" s="396"/>
      <c r="DO440" s="396"/>
      <c r="DP440" s="396"/>
      <c r="DQ440" s="396"/>
      <c r="DR440" s="493"/>
      <c r="DS440" s="202"/>
      <c r="DZ440" s="52"/>
      <c r="EA440" s="52"/>
    </row>
    <row r="441" spans="1:131" collapsed="1" x14ac:dyDescent="0.2">
      <c r="A441" s="81"/>
      <c r="B441" s="197"/>
      <c r="C441" s="20"/>
      <c r="D441" s="20"/>
      <c r="E441" s="20"/>
      <c r="F441" s="20"/>
      <c r="G441" s="197"/>
      <c r="H441" s="20"/>
      <c r="I441" s="20"/>
      <c r="J441" s="20"/>
      <c r="K441" s="20"/>
      <c r="L441" s="197"/>
      <c r="M441" s="20"/>
      <c r="N441" s="20"/>
      <c r="O441" s="20"/>
      <c r="P441" s="20"/>
      <c r="Q441" s="197"/>
      <c r="R441" s="20"/>
      <c r="S441" s="20"/>
      <c r="T441" s="20"/>
      <c r="U441" s="20"/>
      <c r="V441" s="197"/>
      <c r="W441" s="20"/>
      <c r="X441" s="20"/>
      <c r="Y441" s="20"/>
      <c r="Z441" s="20"/>
      <c r="AA441" s="197"/>
      <c r="AB441" s="20"/>
      <c r="AC441" s="20"/>
      <c r="AD441" s="20"/>
      <c r="AE441" s="20"/>
      <c r="AF441" s="197"/>
      <c r="AG441" s="20"/>
      <c r="AH441" s="197"/>
      <c r="AI441" s="198"/>
      <c r="AJ441" s="20"/>
      <c r="AK441" s="197"/>
      <c r="AL441" s="20"/>
      <c r="AM441" s="197"/>
      <c r="AN441" s="197"/>
      <c r="AO441" s="197"/>
      <c r="AP441" s="197"/>
      <c r="AQ441" s="197"/>
      <c r="AR441" s="197"/>
      <c r="AS441" s="197"/>
      <c r="AT441" s="197"/>
      <c r="AU441" s="197"/>
      <c r="AV441" s="197"/>
      <c r="AW441" s="20"/>
      <c r="AX441" s="20"/>
      <c r="AY441" s="20"/>
      <c r="AZ441" s="20"/>
      <c r="BJ441" s="201"/>
      <c r="CZ441" s="345"/>
      <c r="DA441" s="345"/>
      <c r="DB441" s="345"/>
      <c r="DD441" s="203"/>
      <c r="DE441" s="483"/>
      <c r="DF441" s="25"/>
      <c r="DG441" s="25"/>
      <c r="DJ441" s="436"/>
      <c r="DK441" s="397"/>
      <c r="DL441" s="397"/>
      <c r="DM441" s="397"/>
      <c r="DN441" s="397"/>
      <c r="DO441" s="397"/>
      <c r="DP441" s="397"/>
      <c r="DQ441" s="397"/>
      <c r="DR441" s="494"/>
      <c r="DS441" s="203"/>
      <c r="DZ441" s="52"/>
      <c r="EA441" s="52"/>
    </row>
    <row r="442" spans="1:131" x14ac:dyDescent="0.2">
      <c r="A442" s="81"/>
      <c r="B442" s="197"/>
      <c r="C442" s="20"/>
      <c r="D442" s="20"/>
      <c r="E442" s="20"/>
      <c r="F442" s="20"/>
      <c r="G442" s="197"/>
      <c r="H442" s="20"/>
      <c r="I442" s="20"/>
      <c r="J442" s="20"/>
      <c r="K442" s="20"/>
      <c r="L442" s="197"/>
      <c r="M442" s="20"/>
      <c r="N442" s="20"/>
      <c r="O442" s="20"/>
      <c r="P442" s="20"/>
      <c r="Q442" s="197"/>
      <c r="R442" s="20"/>
      <c r="S442" s="20"/>
      <c r="T442" s="20"/>
      <c r="U442" s="20"/>
      <c r="V442" s="197"/>
      <c r="W442" s="20"/>
      <c r="X442" s="20"/>
      <c r="Y442" s="20"/>
      <c r="Z442" s="20"/>
      <c r="AA442" s="197"/>
      <c r="AB442" s="20"/>
      <c r="AC442" s="20"/>
      <c r="AD442" s="20"/>
      <c r="AE442" s="20"/>
      <c r="AF442" s="197"/>
      <c r="AG442" s="20"/>
      <c r="AH442" s="197"/>
      <c r="AI442" s="198"/>
      <c r="AJ442" s="20"/>
      <c r="AK442" s="197"/>
      <c r="AL442" s="20"/>
      <c r="AM442" s="197"/>
      <c r="AN442" s="197"/>
      <c r="AO442" s="197"/>
      <c r="AP442" s="197"/>
      <c r="AQ442" s="197"/>
      <c r="AR442" s="197"/>
      <c r="AS442" s="197"/>
      <c r="AT442" s="197"/>
      <c r="AU442" s="197"/>
      <c r="AV442" s="197"/>
      <c r="AW442" s="20"/>
      <c r="AX442" s="20"/>
      <c r="AY442" s="20"/>
      <c r="AZ442" s="20"/>
      <c r="BJ442" s="201"/>
      <c r="CZ442" s="345"/>
      <c r="DA442" s="345"/>
      <c r="DB442" s="345"/>
      <c r="DD442" s="203"/>
      <c r="DE442" s="483"/>
      <c r="DF442" s="25"/>
      <c r="DG442" s="25"/>
      <c r="DJ442" s="436"/>
      <c r="DK442" s="397"/>
      <c r="DL442" s="397"/>
      <c r="DM442" s="397"/>
      <c r="DN442" s="397"/>
      <c r="DO442" s="397"/>
      <c r="DP442" s="397"/>
      <c r="DQ442" s="397"/>
      <c r="DR442" s="494"/>
      <c r="DS442" s="203"/>
      <c r="DZ442" s="52"/>
      <c r="EA442" s="52"/>
    </row>
    <row r="443" spans="1:131" x14ac:dyDescent="0.2">
      <c r="A443" s="81"/>
      <c r="B443" s="197"/>
      <c r="C443" s="20"/>
      <c r="D443" s="20"/>
      <c r="E443" s="20"/>
      <c r="F443" s="20"/>
      <c r="G443" s="197"/>
      <c r="H443" s="20"/>
      <c r="I443" s="20"/>
      <c r="J443" s="20"/>
      <c r="K443" s="20"/>
      <c r="L443" s="197"/>
      <c r="M443" s="20"/>
      <c r="N443" s="20"/>
      <c r="O443" s="20"/>
      <c r="P443" s="20"/>
      <c r="Q443" s="197"/>
      <c r="R443" s="20"/>
      <c r="S443" s="20"/>
      <c r="T443" s="20"/>
      <c r="U443" s="20"/>
      <c r="V443" s="197"/>
      <c r="W443" s="20"/>
      <c r="X443" s="20"/>
      <c r="Y443" s="20"/>
      <c r="Z443" s="20"/>
      <c r="AA443" s="197"/>
      <c r="AB443" s="20"/>
      <c r="AC443" s="20"/>
      <c r="AD443" s="20"/>
      <c r="AE443" s="20"/>
      <c r="AF443" s="197"/>
      <c r="AG443" s="20"/>
      <c r="AH443" s="197"/>
      <c r="AI443" s="198"/>
      <c r="AJ443" s="20"/>
      <c r="AK443" s="197"/>
      <c r="AL443" s="20"/>
      <c r="AM443" s="197"/>
      <c r="AN443" s="197"/>
      <c r="AO443" s="197"/>
      <c r="AP443" s="197"/>
      <c r="AQ443" s="197"/>
      <c r="AR443" s="197"/>
      <c r="AS443" s="197"/>
      <c r="AT443" s="197"/>
      <c r="AU443" s="197"/>
      <c r="AV443" s="197"/>
      <c r="AW443" s="20"/>
      <c r="AX443" s="20"/>
      <c r="AY443" s="20"/>
      <c r="AZ443" s="20"/>
      <c r="BJ443" s="201"/>
      <c r="CZ443" s="345"/>
      <c r="DA443" s="345"/>
      <c r="DB443" s="345"/>
      <c r="DD443" s="203"/>
      <c r="DE443" s="483"/>
      <c r="DF443" s="25"/>
      <c r="DG443" s="25"/>
      <c r="DJ443" s="436"/>
      <c r="DK443" s="397"/>
      <c r="DL443" s="397"/>
      <c r="DM443" s="397"/>
      <c r="DN443" s="397"/>
      <c r="DO443" s="397"/>
      <c r="DP443" s="397"/>
      <c r="DQ443" s="397"/>
      <c r="DR443" s="494"/>
      <c r="DS443" s="203"/>
      <c r="DZ443" s="52"/>
      <c r="EA443" s="52"/>
    </row>
    <row r="444" spans="1:131" x14ac:dyDescent="0.2">
      <c r="A444" s="81"/>
      <c r="B444" s="197"/>
      <c r="C444" s="20"/>
      <c r="D444" s="20"/>
      <c r="E444" s="20"/>
      <c r="F444" s="20"/>
      <c r="G444" s="197"/>
      <c r="H444" s="20"/>
      <c r="I444" s="20"/>
      <c r="J444" s="20"/>
      <c r="K444" s="20"/>
      <c r="L444" s="197"/>
      <c r="M444" s="20"/>
      <c r="N444" s="20"/>
      <c r="O444" s="20"/>
      <c r="P444" s="20"/>
      <c r="Q444" s="197"/>
      <c r="R444" s="20"/>
      <c r="S444" s="20"/>
      <c r="T444" s="20"/>
      <c r="U444" s="20"/>
      <c r="V444" s="197"/>
      <c r="W444" s="20"/>
      <c r="X444" s="20"/>
      <c r="Y444" s="20"/>
      <c r="Z444" s="20"/>
      <c r="AA444" s="197"/>
      <c r="AB444" s="20"/>
      <c r="AC444" s="20"/>
      <c r="AD444" s="20"/>
      <c r="AE444" s="20"/>
      <c r="AF444" s="197"/>
      <c r="AG444" s="20"/>
      <c r="AH444" s="197"/>
      <c r="AI444" s="198"/>
      <c r="AJ444" s="20"/>
      <c r="AK444" s="197"/>
      <c r="AL444" s="20"/>
      <c r="AM444" s="197"/>
      <c r="AN444" s="197"/>
      <c r="AO444" s="197"/>
      <c r="AP444" s="197"/>
      <c r="AQ444" s="197"/>
      <c r="AR444" s="197"/>
      <c r="AS444" s="197"/>
      <c r="AT444" s="197"/>
      <c r="AU444" s="197"/>
      <c r="AV444" s="197"/>
      <c r="AW444" s="20"/>
      <c r="AX444" s="20"/>
      <c r="AY444" s="20"/>
      <c r="AZ444" s="20"/>
      <c r="BJ444" s="201"/>
      <c r="CZ444" s="345"/>
      <c r="DA444" s="345"/>
      <c r="DB444" s="345"/>
      <c r="DD444" s="203"/>
      <c r="DE444" s="483"/>
      <c r="DF444" s="25"/>
      <c r="DG444" s="25"/>
      <c r="DJ444" s="436"/>
      <c r="DK444" s="397"/>
      <c r="DL444" s="397"/>
      <c r="DM444" s="397"/>
      <c r="DN444" s="397"/>
      <c r="DO444" s="397"/>
      <c r="DP444" s="397"/>
      <c r="DQ444" s="397"/>
      <c r="DR444" s="494"/>
      <c r="DS444" s="203"/>
      <c r="DZ444" s="52"/>
      <c r="EA444" s="52"/>
    </row>
    <row r="445" spans="1:131" x14ac:dyDescent="0.2">
      <c r="A445" s="81"/>
      <c r="B445" s="197"/>
      <c r="C445" s="20"/>
      <c r="D445" s="20"/>
      <c r="E445" s="20"/>
      <c r="F445" s="20"/>
      <c r="G445" s="197"/>
      <c r="H445" s="20"/>
      <c r="I445" s="20"/>
      <c r="J445" s="20"/>
      <c r="K445" s="20"/>
      <c r="L445" s="197"/>
      <c r="M445" s="20"/>
      <c r="N445" s="20"/>
      <c r="O445" s="20"/>
      <c r="P445" s="20"/>
      <c r="Q445" s="197"/>
      <c r="R445" s="20"/>
      <c r="S445" s="20"/>
      <c r="T445" s="20"/>
      <c r="U445" s="20"/>
      <c r="V445" s="197"/>
      <c r="W445" s="20"/>
      <c r="X445" s="20"/>
      <c r="Y445" s="20"/>
      <c r="Z445" s="20"/>
      <c r="AA445" s="197"/>
      <c r="AB445" s="20"/>
      <c r="AC445" s="20"/>
      <c r="AD445" s="20"/>
      <c r="AE445" s="20"/>
      <c r="AF445" s="197"/>
      <c r="AG445" s="20"/>
      <c r="AH445" s="197"/>
      <c r="AI445" s="198"/>
      <c r="AJ445" s="20"/>
      <c r="AK445" s="197"/>
      <c r="AL445" s="20"/>
      <c r="AM445" s="197"/>
      <c r="AN445" s="197"/>
      <c r="AO445" s="197"/>
      <c r="AP445" s="197"/>
      <c r="AQ445" s="197"/>
      <c r="AR445" s="197"/>
      <c r="AS445" s="197"/>
      <c r="AT445" s="197"/>
      <c r="AU445" s="197"/>
      <c r="AV445" s="197"/>
      <c r="AW445" s="20"/>
      <c r="AX445" s="20"/>
      <c r="AY445" s="20"/>
      <c r="AZ445" s="20"/>
      <c r="BJ445" s="201"/>
      <c r="CZ445" s="345"/>
      <c r="DA445" s="345"/>
      <c r="DB445" s="345"/>
      <c r="DD445" s="203"/>
      <c r="DE445" s="483"/>
      <c r="DF445" s="25"/>
      <c r="DG445" s="25"/>
      <c r="DJ445" s="436"/>
      <c r="DK445" s="397"/>
      <c r="DL445" s="397"/>
      <c r="DM445" s="397"/>
      <c r="DN445" s="397"/>
      <c r="DO445" s="397"/>
      <c r="DP445" s="397"/>
      <c r="DQ445" s="397"/>
      <c r="DR445" s="494"/>
      <c r="DS445" s="203"/>
      <c r="DZ445" s="52"/>
      <c r="EA445" s="52"/>
    </row>
    <row r="446" spans="1:131" x14ac:dyDescent="0.2">
      <c r="A446" s="81"/>
      <c r="B446" s="197"/>
      <c r="C446" s="20"/>
      <c r="D446" s="20"/>
      <c r="E446" s="20"/>
      <c r="F446" s="20"/>
      <c r="G446" s="197"/>
      <c r="H446" s="20"/>
      <c r="I446" s="20"/>
      <c r="J446" s="20"/>
      <c r="K446" s="20"/>
      <c r="L446" s="197"/>
      <c r="M446" s="20"/>
      <c r="N446" s="20"/>
      <c r="O446" s="20"/>
      <c r="P446" s="20"/>
      <c r="Q446" s="197"/>
      <c r="R446" s="20"/>
      <c r="S446" s="20"/>
      <c r="T446" s="20"/>
      <c r="U446" s="20"/>
      <c r="V446" s="197"/>
      <c r="W446" s="20"/>
      <c r="X446" s="20"/>
      <c r="Y446" s="20"/>
      <c r="Z446" s="20"/>
      <c r="AA446" s="197"/>
      <c r="AB446" s="20"/>
      <c r="AC446" s="20"/>
      <c r="AD446" s="20"/>
      <c r="AE446" s="20"/>
      <c r="AF446" s="197"/>
      <c r="AG446" s="20"/>
      <c r="AH446" s="197"/>
      <c r="AI446" s="198"/>
      <c r="AJ446" s="20"/>
      <c r="AK446" s="197"/>
      <c r="AL446" s="20"/>
      <c r="AM446" s="197"/>
      <c r="AN446" s="197"/>
      <c r="AO446" s="197"/>
      <c r="AP446" s="197"/>
      <c r="AQ446" s="197"/>
      <c r="AR446" s="197"/>
      <c r="AS446" s="197"/>
      <c r="AT446" s="197"/>
      <c r="AU446" s="197"/>
      <c r="AV446" s="197"/>
      <c r="AW446" s="20"/>
      <c r="AX446" s="20"/>
      <c r="AY446" s="20"/>
      <c r="AZ446" s="20"/>
      <c r="BJ446" s="201"/>
      <c r="CZ446" s="345"/>
      <c r="DA446" s="345"/>
      <c r="DB446" s="345"/>
      <c r="DD446" s="203"/>
      <c r="DE446" s="483"/>
      <c r="DF446" s="25"/>
      <c r="DG446" s="25"/>
      <c r="DJ446" s="436"/>
      <c r="DK446" s="397"/>
      <c r="DL446" s="397"/>
      <c r="DM446" s="397"/>
      <c r="DN446" s="397"/>
      <c r="DO446" s="397"/>
      <c r="DP446" s="397"/>
      <c r="DQ446" s="397"/>
      <c r="DR446" s="494"/>
      <c r="DS446" s="203"/>
      <c r="DZ446" s="52"/>
      <c r="EA446" s="52"/>
    </row>
    <row r="447" spans="1:131" x14ac:dyDescent="0.2">
      <c r="A447" s="81"/>
      <c r="B447" s="197"/>
      <c r="C447" s="20"/>
      <c r="D447" s="20"/>
      <c r="E447" s="20"/>
      <c r="F447" s="20"/>
      <c r="G447" s="197"/>
      <c r="H447" s="20"/>
      <c r="I447" s="20"/>
      <c r="J447" s="20"/>
      <c r="K447" s="20"/>
      <c r="L447" s="197"/>
      <c r="M447" s="20"/>
      <c r="N447" s="20"/>
      <c r="O447" s="20"/>
      <c r="P447" s="20"/>
      <c r="Q447" s="197"/>
      <c r="R447" s="20"/>
      <c r="S447" s="20"/>
      <c r="T447" s="20"/>
      <c r="U447" s="20"/>
      <c r="V447" s="197"/>
      <c r="W447" s="20"/>
      <c r="X447" s="20"/>
      <c r="Y447" s="20"/>
      <c r="Z447" s="20"/>
      <c r="AA447" s="197"/>
      <c r="AB447" s="20"/>
      <c r="AC447" s="20"/>
      <c r="AD447" s="20"/>
      <c r="AE447" s="20"/>
      <c r="AF447" s="197"/>
      <c r="AG447" s="20"/>
      <c r="AH447" s="197"/>
      <c r="AI447" s="198"/>
      <c r="AJ447" s="20"/>
      <c r="AK447" s="197"/>
      <c r="AL447" s="20"/>
      <c r="AM447" s="197"/>
      <c r="AN447" s="197"/>
      <c r="AO447" s="197"/>
      <c r="AP447" s="197"/>
      <c r="AQ447" s="197"/>
      <c r="AR447" s="197"/>
      <c r="AS447" s="197"/>
      <c r="AT447" s="197"/>
      <c r="AU447" s="197"/>
      <c r="AV447" s="197"/>
      <c r="AW447" s="20"/>
      <c r="AX447" s="20"/>
      <c r="AY447" s="20"/>
      <c r="AZ447" s="20"/>
      <c r="BJ447" s="201"/>
      <c r="CZ447" s="345"/>
      <c r="DA447" s="345"/>
      <c r="DB447" s="345"/>
      <c r="DD447" s="203"/>
      <c r="DE447" s="483"/>
      <c r="DF447" s="25"/>
      <c r="DG447" s="25"/>
      <c r="DJ447" s="436"/>
      <c r="DK447" s="397"/>
      <c r="DL447" s="397"/>
      <c r="DM447" s="397"/>
      <c r="DN447" s="397"/>
      <c r="DO447" s="397"/>
      <c r="DP447" s="397"/>
      <c r="DQ447" s="397"/>
      <c r="DR447" s="494"/>
      <c r="DS447" s="203"/>
      <c r="DZ447" s="52"/>
      <c r="EA447" s="52"/>
    </row>
    <row r="448" spans="1:131" x14ac:dyDescent="0.2">
      <c r="A448" s="81"/>
      <c r="B448" s="197"/>
      <c r="C448" s="20"/>
      <c r="D448" s="20"/>
      <c r="E448" s="20"/>
      <c r="F448" s="20"/>
      <c r="G448" s="197"/>
      <c r="H448" s="20"/>
      <c r="I448" s="20"/>
      <c r="J448" s="20"/>
      <c r="K448" s="20"/>
      <c r="L448" s="197"/>
      <c r="M448" s="20"/>
      <c r="N448" s="20"/>
      <c r="O448" s="20"/>
      <c r="P448" s="20"/>
      <c r="Q448" s="197"/>
      <c r="R448" s="20"/>
      <c r="S448" s="20"/>
      <c r="T448" s="20"/>
      <c r="U448" s="20"/>
      <c r="V448" s="197"/>
      <c r="W448" s="20"/>
      <c r="X448" s="20"/>
      <c r="Y448" s="20"/>
      <c r="Z448" s="20"/>
      <c r="AA448" s="197"/>
      <c r="AB448" s="20"/>
      <c r="AC448" s="20"/>
      <c r="AD448" s="20"/>
      <c r="AE448" s="20"/>
      <c r="AF448" s="197"/>
      <c r="AG448" s="20"/>
      <c r="AH448" s="197"/>
      <c r="AI448" s="198"/>
      <c r="AJ448" s="20"/>
      <c r="AK448" s="197"/>
      <c r="AL448" s="20"/>
      <c r="AM448" s="197"/>
      <c r="AN448" s="197"/>
      <c r="AO448" s="197"/>
      <c r="AP448" s="197"/>
      <c r="AQ448" s="197"/>
      <c r="AR448" s="197"/>
      <c r="AS448" s="197"/>
      <c r="AT448" s="197"/>
      <c r="AU448" s="197"/>
      <c r="AV448" s="197"/>
      <c r="AW448" s="20"/>
      <c r="AX448" s="20"/>
      <c r="AY448" s="20"/>
      <c r="AZ448" s="20"/>
      <c r="BJ448" s="201"/>
      <c r="CZ448" s="345"/>
      <c r="DA448" s="345"/>
      <c r="DB448" s="345"/>
      <c r="DD448" s="25"/>
      <c r="DE448" s="178"/>
      <c r="DF448" s="25"/>
      <c r="DG448" s="25"/>
      <c r="DJ448" s="430"/>
      <c r="DK448" s="389"/>
      <c r="DL448" s="389"/>
      <c r="DM448" s="389"/>
      <c r="DN448" s="389"/>
      <c r="DO448" s="389"/>
      <c r="DP448" s="389"/>
      <c r="DQ448" s="389"/>
      <c r="DR448" s="487"/>
      <c r="DS448" s="25"/>
      <c r="DZ448" s="52"/>
      <c r="EA448" s="52"/>
    </row>
    <row r="449" spans="1:131" x14ac:dyDescent="0.2">
      <c r="A449" s="81"/>
      <c r="B449" s="197"/>
      <c r="C449" s="20"/>
      <c r="D449" s="20"/>
      <c r="E449" s="20"/>
      <c r="F449" s="20"/>
      <c r="G449" s="197"/>
      <c r="H449" s="20"/>
      <c r="I449" s="20"/>
      <c r="J449" s="20"/>
      <c r="K449" s="20"/>
      <c r="L449" s="197"/>
      <c r="M449" s="20"/>
      <c r="N449" s="20"/>
      <c r="O449" s="20"/>
      <c r="P449" s="20"/>
      <c r="Q449" s="197"/>
      <c r="R449" s="20"/>
      <c r="S449" s="20"/>
      <c r="T449" s="20"/>
      <c r="U449" s="20"/>
      <c r="V449" s="197"/>
      <c r="W449" s="20"/>
      <c r="X449" s="20"/>
      <c r="Y449" s="20"/>
      <c r="Z449" s="20"/>
      <c r="AA449" s="197"/>
      <c r="AB449" s="20"/>
      <c r="AC449" s="20"/>
      <c r="AD449" s="20"/>
      <c r="AE449" s="20"/>
      <c r="AF449" s="197"/>
      <c r="AG449" s="20"/>
      <c r="AH449" s="197"/>
      <c r="AI449" s="198"/>
      <c r="AJ449" s="20"/>
      <c r="AK449" s="197"/>
      <c r="AL449" s="20"/>
      <c r="AM449" s="197"/>
      <c r="AN449" s="197"/>
      <c r="AO449" s="197"/>
      <c r="AP449" s="197"/>
      <c r="AQ449" s="197"/>
      <c r="AR449" s="197"/>
      <c r="AS449" s="197"/>
      <c r="AT449" s="197"/>
      <c r="AU449" s="197"/>
      <c r="AV449" s="197"/>
      <c r="AW449" s="20"/>
      <c r="AX449" s="20"/>
      <c r="AY449" s="20"/>
      <c r="AZ449" s="20"/>
      <c r="BJ449" s="201"/>
      <c r="CZ449" s="345"/>
      <c r="DA449" s="345"/>
      <c r="DB449" s="345"/>
      <c r="DD449" s="25"/>
      <c r="DE449" s="178"/>
      <c r="DF449" s="25"/>
      <c r="DG449" s="25"/>
      <c r="DJ449" s="430"/>
      <c r="DK449" s="389"/>
      <c r="DL449" s="389"/>
      <c r="DM449" s="389"/>
      <c r="DN449" s="389"/>
      <c r="DO449" s="389"/>
      <c r="DP449" s="389"/>
      <c r="DQ449" s="389"/>
      <c r="DR449" s="487"/>
      <c r="DS449" s="25"/>
      <c r="DZ449" s="52"/>
      <c r="EA449" s="52"/>
    </row>
    <row r="450" spans="1:131" x14ac:dyDescent="0.2">
      <c r="A450" s="81"/>
      <c r="B450" s="197"/>
      <c r="C450" s="20"/>
      <c r="D450" s="20"/>
      <c r="E450" s="20"/>
      <c r="F450" s="20"/>
      <c r="G450" s="197"/>
      <c r="H450" s="20"/>
      <c r="I450" s="20"/>
      <c r="J450" s="20"/>
      <c r="K450" s="20"/>
      <c r="L450" s="197"/>
      <c r="M450" s="20"/>
      <c r="N450" s="20"/>
      <c r="O450" s="20"/>
      <c r="P450" s="20"/>
      <c r="Q450" s="197"/>
      <c r="R450" s="20"/>
      <c r="S450" s="20"/>
      <c r="T450" s="20"/>
      <c r="U450" s="20"/>
      <c r="V450" s="197"/>
      <c r="W450" s="20"/>
      <c r="X450" s="20"/>
      <c r="Y450" s="20"/>
      <c r="Z450" s="20"/>
      <c r="AA450" s="197"/>
      <c r="AB450" s="20"/>
      <c r="AC450" s="20"/>
      <c r="AD450" s="20"/>
      <c r="AE450" s="20"/>
      <c r="AF450" s="197"/>
      <c r="AG450" s="20"/>
      <c r="AH450" s="197"/>
      <c r="AI450" s="198"/>
      <c r="AJ450" s="20"/>
      <c r="AK450" s="197"/>
      <c r="AL450" s="20"/>
      <c r="AM450" s="197"/>
      <c r="AN450" s="197"/>
      <c r="AO450" s="197"/>
      <c r="AP450" s="197"/>
      <c r="AQ450" s="197"/>
      <c r="AR450" s="197"/>
      <c r="AS450" s="197"/>
      <c r="AT450" s="197"/>
      <c r="AU450" s="197"/>
      <c r="AV450" s="197"/>
      <c r="AW450" s="20"/>
      <c r="AX450" s="20"/>
      <c r="AY450" s="20"/>
      <c r="AZ450" s="20"/>
      <c r="BJ450" s="201"/>
      <c r="CZ450" s="345"/>
      <c r="DA450" s="345"/>
      <c r="DB450" s="345"/>
      <c r="DD450" s="199"/>
      <c r="DE450" s="481"/>
      <c r="DF450" s="25"/>
      <c r="DG450" s="25"/>
      <c r="DJ450" s="430"/>
      <c r="DK450" s="389"/>
      <c r="DL450" s="389"/>
      <c r="DM450" s="389"/>
      <c r="DN450" s="389"/>
      <c r="DO450" s="389"/>
      <c r="DP450" s="389"/>
      <c r="DQ450" s="389"/>
      <c r="DR450" s="487"/>
      <c r="DS450" s="199"/>
      <c r="DZ450" s="52"/>
      <c r="EA450" s="52"/>
    </row>
    <row r="451" spans="1:131" x14ac:dyDescent="0.2">
      <c r="A451" s="81"/>
      <c r="B451" s="197"/>
      <c r="C451" s="20"/>
      <c r="D451" s="20"/>
      <c r="E451" s="20"/>
      <c r="F451" s="20"/>
      <c r="G451" s="197"/>
      <c r="H451" s="20"/>
      <c r="I451" s="20"/>
      <c r="J451" s="20"/>
      <c r="K451" s="20"/>
      <c r="L451" s="197"/>
      <c r="M451" s="20"/>
      <c r="N451" s="20"/>
      <c r="O451" s="20"/>
      <c r="P451" s="20"/>
      <c r="Q451" s="197"/>
      <c r="R451" s="20"/>
      <c r="S451" s="20"/>
      <c r="T451" s="20"/>
      <c r="U451" s="20"/>
      <c r="V451" s="197"/>
      <c r="W451" s="20"/>
      <c r="X451" s="20"/>
      <c r="Y451" s="20"/>
      <c r="Z451" s="20"/>
      <c r="AA451" s="197"/>
      <c r="AB451" s="20"/>
      <c r="AC451" s="20"/>
      <c r="AD451" s="20"/>
      <c r="AE451" s="20"/>
      <c r="AF451" s="197"/>
      <c r="AG451" s="20"/>
      <c r="AH451" s="197"/>
      <c r="AI451" s="198"/>
      <c r="AJ451" s="20"/>
      <c r="AK451" s="197"/>
      <c r="AL451" s="20"/>
      <c r="AM451" s="197"/>
      <c r="AN451" s="197"/>
      <c r="AO451" s="197"/>
      <c r="AP451" s="197"/>
      <c r="AQ451" s="197"/>
      <c r="AR451" s="197"/>
      <c r="AS451" s="197"/>
      <c r="AT451" s="197"/>
      <c r="AU451" s="197"/>
      <c r="AV451" s="197"/>
      <c r="AW451" s="20"/>
      <c r="AX451" s="20"/>
      <c r="AY451" s="20"/>
      <c r="AZ451" s="20"/>
      <c r="BJ451" s="201"/>
      <c r="CZ451" s="345"/>
      <c r="DA451" s="345"/>
      <c r="DB451" s="345"/>
      <c r="DD451" s="200"/>
      <c r="DE451" s="482"/>
      <c r="DF451" s="25"/>
      <c r="DG451" s="25"/>
      <c r="DJ451" s="445"/>
      <c r="DK451" s="409"/>
      <c r="DL451" s="409"/>
      <c r="DM451" s="409"/>
      <c r="DN451" s="409"/>
      <c r="DO451" s="409"/>
      <c r="DP451" s="409"/>
      <c r="DQ451" s="409"/>
      <c r="DR451" s="506"/>
      <c r="DS451" s="200"/>
      <c r="DZ451" s="52"/>
      <c r="EA451" s="52"/>
    </row>
    <row r="452" spans="1:131" collapsed="1" x14ac:dyDescent="0.2">
      <c r="A452" s="81"/>
      <c r="B452" s="197"/>
      <c r="C452" s="20"/>
      <c r="D452" s="20"/>
      <c r="E452" s="20"/>
      <c r="F452" s="20"/>
      <c r="G452" s="197"/>
      <c r="H452" s="20"/>
      <c r="I452" s="20"/>
      <c r="J452" s="20"/>
      <c r="K452" s="20"/>
      <c r="L452" s="197"/>
      <c r="M452" s="20"/>
      <c r="N452" s="20"/>
      <c r="O452" s="20"/>
      <c r="P452" s="20"/>
      <c r="Q452" s="197"/>
      <c r="R452" s="20"/>
      <c r="S452" s="20"/>
      <c r="T452" s="20"/>
      <c r="U452" s="20"/>
      <c r="V452" s="197"/>
      <c r="W452" s="20"/>
      <c r="X452" s="20"/>
      <c r="Y452" s="20"/>
      <c r="Z452" s="20"/>
      <c r="AA452" s="197"/>
      <c r="AB452" s="20"/>
      <c r="AC452" s="20"/>
      <c r="AD452" s="20"/>
      <c r="AE452" s="20"/>
      <c r="AF452" s="197"/>
      <c r="AG452" s="20"/>
      <c r="AH452" s="197"/>
      <c r="AI452" s="198"/>
      <c r="AJ452" s="20"/>
      <c r="AK452" s="197"/>
      <c r="AL452" s="20"/>
      <c r="AM452" s="197"/>
      <c r="AN452" s="197"/>
      <c r="AO452" s="197"/>
      <c r="AP452" s="197"/>
      <c r="AQ452" s="197"/>
      <c r="AR452" s="197"/>
      <c r="AS452" s="197"/>
      <c r="AT452" s="197"/>
      <c r="AU452" s="197"/>
      <c r="AV452" s="197"/>
      <c r="AW452" s="20"/>
      <c r="AX452" s="20"/>
      <c r="AY452" s="20"/>
      <c r="AZ452" s="20"/>
      <c r="BJ452" s="201"/>
      <c r="CZ452" s="345"/>
      <c r="DA452" s="345"/>
      <c r="DB452" s="345"/>
      <c r="DD452" s="204"/>
      <c r="DE452" s="484"/>
      <c r="DF452" s="25"/>
      <c r="DG452" s="25"/>
      <c r="DJ452" s="399"/>
      <c r="DK452" s="396"/>
      <c r="DL452" s="396"/>
      <c r="DM452" s="396"/>
      <c r="DN452" s="396"/>
      <c r="DO452" s="396"/>
      <c r="DP452" s="396"/>
      <c r="DQ452" s="396"/>
      <c r="DR452" s="493"/>
      <c r="DS452" s="204"/>
      <c r="DZ452" s="52"/>
      <c r="EA452" s="52"/>
    </row>
    <row r="453" spans="1:131" x14ac:dyDescent="0.2">
      <c r="A453" s="81"/>
      <c r="B453" s="197"/>
      <c r="C453" s="20"/>
      <c r="D453" s="20"/>
      <c r="E453" s="20"/>
      <c r="F453" s="20"/>
      <c r="G453" s="197"/>
      <c r="H453" s="20"/>
      <c r="I453" s="20"/>
      <c r="J453" s="20"/>
      <c r="K453" s="20"/>
      <c r="L453" s="197"/>
      <c r="M453" s="20"/>
      <c r="N453" s="20"/>
      <c r="O453" s="20"/>
      <c r="P453" s="20"/>
      <c r="Q453" s="197"/>
      <c r="R453" s="20"/>
      <c r="S453" s="20"/>
      <c r="T453" s="20"/>
      <c r="U453" s="20"/>
      <c r="V453" s="197"/>
      <c r="W453" s="20"/>
      <c r="X453" s="20"/>
      <c r="Y453" s="20"/>
      <c r="Z453" s="20"/>
      <c r="AA453" s="197"/>
      <c r="AB453" s="20"/>
      <c r="AC453" s="20"/>
      <c r="AD453" s="20"/>
      <c r="AE453" s="20"/>
      <c r="AF453" s="197"/>
      <c r="AG453" s="20"/>
      <c r="AH453" s="197"/>
      <c r="AI453" s="198"/>
      <c r="AJ453" s="20"/>
      <c r="AK453" s="197"/>
      <c r="AL453" s="20"/>
      <c r="AM453" s="197"/>
      <c r="AN453" s="197"/>
      <c r="AO453" s="197"/>
      <c r="AP453" s="197"/>
      <c r="AQ453" s="197"/>
      <c r="AR453" s="197"/>
      <c r="AS453" s="197"/>
      <c r="AT453" s="197"/>
      <c r="AU453" s="197"/>
      <c r="AV453" s="197"/>
      <c r="AW453" s="20"/>
      <c r="AX453" s="20"/>
      <c r="AY453" s="20"/>
      <c r="AZ453" s="20"/>
      <c r="BJ453" s="201"/>
      <c r="CZ453" s="345"/>
      <c r="DA453" s="345"/>
      <c r="DB453" s="345"/>
      <c r="DD453" s="202"/>
      <c r="DE453" s="485"/>
      <c r="DF453" s="25"/>
      <c r="DG453" s="25"/>
      <c r="DJ453" s="399"/>
      <c r="DK453" s="396"/>
      <c r="DL453" s="396"/>
      <c r="DM453" s="396"/>
      <c r="DN453" s="396"/>
      <c r="DO453" s="396"/>
      <c r="DP453" s="396"/>
      <c r="DQ453" s="396"/>
      <c r="DR453" s="493"/>
      <c r="DS453" s="202"/>
      <c r="DZ453" s="52"/>
      <c r="EA453" s="52"/>
    </row>
    <row r="454" spans="1:131" collapsed="1" x14ac:dyDescent="0.2">
      <c r="A454" s="81"/>
      <c r="B454" s="197"/>
      <c r="C454" s="20"/>
      <c r="D454" s="20"/>
      <c r="E454" s="20"/>
      <c r="F454" s="20"/>
      <c r="G454" s="197"/>
      <c r="H454" s="20"/>
      <c r="I454" s="20"/>
      <c r="J454" s="20"/>
      <c r="K454" s="20"/>
      <c r="L454" s="197"/>
      <c r="M454" s="20"/>
      <c r="N454" s="20"/>
      <c r="O454" s="20"/>
      <c r="P454" s="20"/>
      <c r="Q454" s="197"/>
      <c r="R454" s="20"/>
      <c r="S454" s="20"/>
      <c r="T454" s="20"/>
      <c r="U454" s="20"/>
      <c r="V454" s="197"/>
      <c r="W454" s="20"/>
      <c r="X454" s="20"/>
      <c r="Y454" s="20"/>
      <c r="Z454" s="20"/>
      <c r="AA454" s="197"/>
      <c r="AB454" s="20"/>
      <c r="AC454" s="20"/>
      <c r="AD454" s="20"/>
      <c r="AE454" s="20"/>
      <c r="AF454" s="197"/>
      <c r="AG454" s="20"/>
      <c r="AH454" s="197"/>
      <c r="AI454" s="198"/>
      <c r="AJ454" s="20"/>
      <c r="AK454" s="197"/>
      <c r="AL454" s="20"/>
      <c r="AM454" s="197"/>
      <c r="AN454" s="197"/>
      <c r="AO454" s="197"/>
      <c r="AP454" s="197"/>
      <c r="AQ454" s="197"/>
      <c r="AR454" s="197"/>
      <c r="AS454" s="197"/>
      <c r="AT454" s="197"/>
      <c r="AU454" s="197"/>
      <c r="AV454" s="197"/>
      <c r="AW454" s="20"/>
      <c r="AX454" s="20"/>
      <c r="AY454" s="20"/>
      <c r="AZ454" s="20"/>
      <c r="BJ454" s="201"/>
      <c r="CZ454" s="345"/>
      <c r="DA454" s="345"/>
      <c r="DB454" s="345"/>
      <c r="DD454" s="203"/>
      <c r="DE454" s="483"/>
      <c r="DF454" s="25"/>
      <c r="DG454" s="25"/>
      <c r="DJ454" s="436"/>
      <c r="DK454" s="397"/>
      <c r="DL454" s="397"/>
      <c r="DM454" s="397"/>
      <c r="DN454" s="397"/>
      <c r="DO454" s="397"/>
      <c r="DP454" s="397"/>
      <c r="DQ454" s="397"/>
      <c r="DR454" s="494"/>
      <c r="DS454" s="203"/>
      <c r="DZ454" s="52"/>
      <c r="EA454" s="52"/>
    </row>
    <row r="455" spans="1:131" x14ac:dyDescent="0.2">
      <c r="A455" s="81"/>
      <c r="B455" s="197"/>
      <c r="C455" s="20"/>
      <c r="D455" s="20"/>
      <c r="E455" s="20"/>
      <c r="F455" s="20"/>
      <c r="G455" s="197"/>
      <c r="H455" s="20"/>
      <c r="I455" s="20"/>
      <c r="J455" s="20"/>
      <c r="K455" s="20"/>
      <c r="L455" s="197"/>
      <c r="M455" s="20"/>
      <c r="N455" s="20"/>
      <c r="O455" s="20"/>
      <c r="P455" s="20"/>
      <c r="Q455" s="197"/>
      <c r="R455" s="20"/>
      <c r="S455" s="20"/>
      <c r="T455" s="20"/>
      <c r="U455" s="20"/>
      <c r="V455" s="197"/>
      <c r="W455" s="20"/>
      <c r="X455" s="20"/>
      <c r="Y455" s="20"/>
      <c r="Z455" s="20"/>
      <c r="AA455" s="197"/>
      <c r="AB455" s="20"/>
      <c r="AC455" s="20"/>
      <c r="AD455" s="20"/>
      <c r="AE455" s="20"/>
      <c r="AF455" s="197"/>
      <c r="AG455" s="20"/>
      <c r="AH455" s="197"/>
      <c r="AI455" s="198"/>
      <c r="AJ455" s="20"/>
      <c r="AK455" s="197"/>
      <c r="AL455" s="20"/>
      <c r="AM455" s="197"/>
      <c r="AN455" s="197"/>
      <c r="AO455" s="197"/>
      <c r="AP455" s="197"/>
      <c r="AQ455" s="197"/>
      <c r="AR455" s="197"/>
      <c r="AS455" s="197"/>
      <c r="AT455" s="197"/>
      <c r="AU455" s="197"/>
      <c r="AV455" s="197"/>
      <c r="AW455" s="20"/>
      <c r="AX455" s="20"/>
      <c r="AY455" s="20"/>
      <c r="AZ455" s="20"/>
      <c r="BJ455" s="201"/>
      <c r="CZ455" s="345"/>
      <c r="DA455" s="345"/>
      <c r="DB455" s="345"/>
      <c r="DD455" s="203"/>
      <c r="DE455" s="483"/>
      <c r="DF455" s="25"/>
      <c r="DG455" s="25"/>
      <c r="DJ455" s="436"/>
      <c r="DK455" s="397"/>
      <c r="DL455" s="397"/>
      <c r="DM455" s="397"/>
      <c r="DN455" s="397"/>
      <c r="DO455" s="397"/>
      <c r="DP455" s="397"/>
      <c r="DQ455" s="397"/>
      <c r="DR455" s="494"/>
      <c r="DS455" s="203"/>
      <c r="DZ455" s="52"/>
      <c r="EA455" s="52"/>
    </row>
    <row r="456" spans="1:131" x14ac:dyDescent="0.2">
      <c r="A456" s="81"/>
      <c r="B456" s="197"/>
      <c r="C456" s="20"/>
      <c r="D456" s="20"/>
      <c r="E456" s="20"/>
      <c r="F456" s="20"/>
      <c r="G456" s="197"/>
      <c r="H456" s="20"/>
      <c r="I456" s="20"/>
      <c r="J456" s="20"/>
      <c r="K456" s="20"/>
      <c r="L456" s="197"/>
      <c r="M456" s="20"/>
      <c r="N456" s="20"/>
      <c r="O456" s="20"/>
      <c r="P456" s="20"/>
      <c r="Q456" s="197"/>
      <c r="R456" s="20"/>
      <c r="S456" s="20"/>
      <c r="T456" s="20"/>
      <c r="U456" s="20"/>
      <c r="V456" s="197"/>
      <c r="W456" s="20"/>
      <c r="X456" s="20"/>
      <c r="Y456" s="20"/>
      <c r="Z456" s="20"/>
      <c r="AA456" s="197"/>
      <c r="AB456" s="20"/>
      <c r="AC456" s="20"/>
      <c r="AD456" s="20"/>
      <c r="AE456" s="20"/>
      <c r="AF456" s="197"/>
      <c r="AG456" s="20"/>
      <c r="AH456" s="197"/>
      <c r="AI456" s="198"/>
      <c r="AJ456" s="20"/>
      <c r="AK456" s="197"/>
      <c r="AL456" s="20"/>
      <c r="AM456" s="197"/>
      <c r="AN456" s="197"/>
      <c r="AO456" s="197"/>
      <c r="AP456" s="197"/>
      <c r="AQ456" s="197"/>
      <c r="AR456" s="197"/>
      <c r="AS456" s="197"/>
      <c r="AT456" s="197"/>
      <c r="AU456" s="197"/>
      <c r="AV456" s="197"/>
      <c r="AW456" s="20"/>
      <c r="AX456" s="20"/>
      <c r="AY456" s="20"/>
      <c r="AZ456" s="20"/>
      <c r="BJ456" s="201"/>
      <c r="CZ456" s="345"/>
      <c r="DA456" s="345"/>
      <c r="DB456" s="345"/>
      <c r="DD456" s="203"/>
      <c r="DE456" s="483"/>
      <c r="DF456" s="25"/>
      <c r="DG456" s="25"/>
      <c r="DJ456" s="436"/>
      <c r="DK456" s="397"/>
      <c r="DL456" s="397"/>
      <c r="DM456" s="397"/>
      <c r="DN456" s="397"/>
      <c r="DO456" s="397"/>
      <c r="DP456" s="397"/>
      <c r="DQ456" s="397"/>
      <c r="DR456" s="494"/>
      <c r="DS456" s="203"/>
      <c r="DZ456" s="52"/>
      <c r="EA456" s="52"/>
    </row>
    <row r="457" spans="1:131" x14ac:dyDescent="0.2">
      <c r="A457" s="81"/>
      <c r="B457" s="197"/>
      <c r="C457" s="20"/>
      <c r="D457" s="20"/>
      <c r="E457" s="20"/>
      <c r="F457" s="20"/>
      <c r="G457" s="197"/>
      <c r="H457" s="20"/>
      <c r="I457" s="20"/>
      <c r="J457" s="20"/>
      <c r="K457" s="20"/>
      <c r="L457" s="197"/>
      <c r="M457" s="20"/>
      <c r="N457" s="20"/>
      <c r="O457" s="20"/>
      <c r="P457" s="20"/>
      <c r="Q457" s="197"/>
      <c r="R457" s="20"/>
      <c r="S457" s="20"/>
      <c r="T457" s="20"/>
      <c r="U457" s="20"/>
      <c r="V457" s="197"/>
      <c r="W457" s="20"/>
      <c r="X457" s="20"/>
      <c r="Y457" s="20"/>
      <c r="Z457" s="20"/>
      <c r="AA457" s="197"/>
      <c r="AB457" s="20"/>
      <c r="AC457" s="20"/>
      <c r="AD457" s="20"/>
      <c r="AE457" s="20"/>
      <c r="AF457" s="197"/>
      <c r="AG457" s="20"/>
      <c r="AH457" s="197"/>
      <c r="AI457" s="198"/>
      <c r="AJ457" s="20"/>
      <c r="AK457" s="197"/>
      <c r="AL457" s="20"/>
      <c r="AM457" s="197"/>
      <c r="AN457" s="197"/>
      <c r="AO457" s="197"/>
      <c r="AP457" s="197"/>
      <c r="AQ457" s="197"/>
      <c r="AR457" s="197"/>
      <c r="AS457" s="197"/>
      <c r="AT457" s="197"/>
      <c r="AU457" s="197"/>
      <c r="AV457" s="197"/>
      <c r="AW457" s="20"/>
      <c r="AX457" s="20"/>
      <c r="AY457" s="20"/>
      <c r="AZ457" s="20"/>
      <c r="BJ457" s="201"/>
      <c r="CZ457" s="345"/>
      <c r="DA457" s="345"/>
      <c r="DB457" s="345"/>
      <c r="DD457" s="203"/>
      <c r="DE457" s="483"/>
      <c r="DF457" s="25"/>
      <c r="DG457" s="25"/>
      <c r="DJ457" s="436"/>
      <c r="DK457" s="397"/>
      <c r="DL457" s="397"/>
      <c r="DM457" s="397"/>
      <c r="DN457" s="397"/>
      <c r="DO457" s="397"/>
      <c r="DP457" s="397"/>
      <c r="DQ457" s="397"/>
      <c r="DR457" s="494"/>
      <c r="DS457" s="203"/>
      <c r="DZ457" s="52"/>
      <c r="EA457" s="52"/>
    </row>
    <row r="458" spans="1:131" x14ac:dyDescent="0.2">
      <c r="A458" s="81"/>
      <c r="B458" s="197"/>
      <c r="C458" s="20"/>
      <c r="D458" s="20"/>
      <c r="E458" s="20"/>
      <c r="F458" s="20"/>
      <c r="G458" s="197"/>
      <c r="H458" s="20"/>
      <c r="I458" s="20"/>
      <c r="J458" s="20"/>
      <c r="K458" s="20"/>
      <c r="L458" s="197"/>
      <c r="M458" s="20"/>
      <c r="N458" s="20"/>
      <c r="O458" s="20"/>
      <c r="P458" s="20"/>
      <c r="Q458" s="197"/>
      <c r="R458" s="20"/>
      <c r="S458" s="20"/>
      <c r="T458" s="20"/>
      <c r="U458" s="20"/>
      <c r="V458" s="197"/>
      <c r="W458" s="20"/>
      <c r="X458" s="20"/>
      <c r="Y458" s="20"/>
      <c r="Z458" s="20"/>
      <c r="AA458" s="197"/>
      <c r="AB458" s="20"/>
      <c r="AC458" s="20"/>
      <c r="AD458" s="20"/>
      <c r="AE458" s="20"/>
      <c r="AF458" s="197"/>
      <c r="AG458" s="20"/>
      <c r="AH458" s="197"/>
      <c r="AI458" s="198"/>
      <c r="AJ458" s="20"/>
      <c r="AK458" s="197"/>
      <c r="AL458" s="20"/>
      <c r="AM458" s="197"/>
      <c r="AN458" s="197"/>
      <c r="AO458" s="197"/>
      <c r="AP458" s="197"/>
      <c r="AQ458" s="197"/>
      <c r="AR458" s="197"/>
      <c r="AS458" s="197"/>
      <c r="AT458" s="197"/>
      <c r="AU458" s="197"/>
      <c r="AV458" s="197"/>
      <c r="AW458" s="20"/>
      <c r="AX458" s="20"/>
      <c r="AY458" s="20"/>
      <c r="AZ458" s="20"/>
      <c r="BJ458" s="201"/>
      <c r="CZ458" s="345"/>
      <c r="DA458" s="345"/>
      <c r="DB458" s="345"/>
      <c r="DD458" s="203"/>
      <c r="DE458" s="483"/>
      <c r="DF458" s="25"/>
      <c r="DG458" s="25"/>
      <c r="DJ458" s="436"/>
      <c r="DK458" s="397"/>
      <c r="DL458" s="397"/>
      <c r="DM458" s="397"/>
      <c r="DN458" s="397"/>
      <c r="DO458" s="397"/>
      <c r="DP458" s="397"/>
      <c r="DQ458" s="397"/>
      <c r="DR458" s="494"/>
      <c r="DS458" s="203"/>
      <c r="DZ458" s="52"/>
      <c r="EA458" s="52"/>
    </row>
    <row r="459" spans="1:131" x14ac:dyDescent="0.2">
      <c r="A459" s="81"/>
      <c r="B459" s="197"/>
      <c r="C459" s="20"/>
      <c r="D459" s="20"/>
      <c r="E459" s="20"/>
      <c r="F459" s="20"/>
      <c r="G459" s="197"/>
      <c r="H459" s="20"/>
      <c r="I459" s="20"/>
      <c r="J459" s="20"/>
      <c r="K459" s="20"/>
      <c r="L459" s="197"/>
      <c r="M459" s="20"/>
      <c r="N459" s="20"/>
      <c r="O459" s="20"/>
      <c r="P459" s="20"/>
      <c r="Q459" s="197"/>
      <c r="R459" s="20"/>
      <c r="S459" s="20"/>
      <c r="T459" s="20"/>
      <c r="U459" s="20"/>
      <c r="V459" s="197"/>
      <c r="W459" s="20"/>
      <c r="X459" s="20"/>
      <c r="Y459" s="20"/>
      <c r="Z459" s="20"/>
      <c r="AA459" s="197"/>
      <c r="AB459" s="20"/>
      <c r="AC459" s="20"/>
      <c r="AD459" s="20"/>
      <c r="AE459" s="20"/>
      <c r="AF459" s="197"/>
      <c r="AG459" s="20"/>
      <c r="AH459" s="197"/>
      <c r="AI459" s="198"/>
      <c r="AJ459" s="20"/>
      <c r="AK459" s="197"/>
      <c r="AL459" s="20"/>
      <c r="AM459" s="197"/>
      <c r="AN459" s="197"/>
      <c r="AO459" s="197"/>
      <c r="AP459" s="197"/>
      <c r="AQ459" s="197"/>
      <c r="AR459" s="197"/>
      <c r="AS459" s="197"/>
      <c r="AT459" s="197"/>
      <c r="AU459" s="197"/>
      <c r="AV459" s="197"/>
      <c r="AW459" s="20"/>
      <c r="AX459" s="20"/>
      <c r="AY459" s="20"/>
      <c r="AZ459" s="20"/>
      <c r="BJ459" s="201"/>
      <c r="CZ459" s="345"/>
      <c r="DA459" s="345"/>
      <c r="DB459" s="345"/>
      <c r="DD459" s="203"/>
      <c r="DE459" s="483"/>
      <c r="DF459" s="25"/>
      <c r="DG459" s="25"/>
      <c r="DJ459" s="436"/>
      <c r="DK459" s="397"/>
      <c r="DL459" s="397"/>
      <c r="DM459" s="397"/>
      <c r="DN459" s="397"/>
      <c r="DO459" s="397"/>
      <c r="DP459" s="397"/>
      <c r="DQ459" s="397"/>
      <c r="DR459" s="494"/>
      <c r="DS459" s="203"/>
      <c r="DZ459" s="52"/>
      <c r="EA459" s="52"/>
    </row>
    <row r="460" spans="1:131" x14ac:dyDescent="0.2">
      <c r="A460" s="81"/>
      <c r="B460" s="197"/>
      <c r="C460" s="20"/>
      <c r="D460" s="20"/>
      <c r="E460" s="20"/>
      <c r="F460" s="20"/>
      <c r="G460" s="197"/>
      <c r="H460" s="20"/>
      <c r="I460" s="20"/>
      <c r="J460" s="20"/>
      <c r="K460" s="20"/>
      <c r="L460" s="197"/>
      <c r="M460" s="20"/>
      <c r="N460" s="20"/>
      <c r="O460" s="20"/>
      <c r="P460" s="20"/>
      <c r="Q460" s="197"/>
      <c r="R460" s="20"/>
      <c r="S460" s="20"/>
      <c r="T460" s="20"/>
      <c r="U460" s="20"/>
      <c r="V460" s="197"/>
      <c r="W460" s="20"/>
      <c r="X460" s="20"/>
      <c r="Y460" s="20"/>
      <c r="Z460" s="20"/>
      <c r="AA460" s="197"/>
      <c r="AB460" s="20"/>
      <c r="AC460" s="20"/>
      <c r="AD460" s="20"/>
      <c r="AE460" s="20"/>
      <c r="AF460" s="197"/>
      <c r="AG460" s="20"/>
      <c r="AH460" s="197"/>
      <c r="AI460" s="198"/>
      <c r="AJ460" s="20"/>
      <c r="AK460" s="197"/>
      <c r="AL460" s="20"/>
      <c r="AM460" s="197"/>
      <c r="AN460" s="197"/>
      <c r="AO460" s="197"/>
      <c r="AP460" s="197"/>
      <c r="AQ460" s="197"/>
      <c r="AR460" s="197"/>
      <c r="AS460" s="197"/>
      <c r="AT460" s="197"/>
      <c r="AU460" s="197"/>
      <c r="AV460" s="197"/>
      <c r="AW460" s="20"/>
      <c r="AX460" s="20"/>
      <c r="AY460" s="20"/>
      <c r="AZ460" s="20"/>
      <c r="BJ460" s="201"/>
      <c r="CZ460" s="345"/>
      <c r="DA460" s="345"/>
      <c r="DB460" s="345"/>
      <c r="DD460" s="203"/>
      <c r="DE460" s="483"/>
      <c r="DF460" s="25"/>
      <c r="DG460" s="25"/>
      <c r="DJ460" s="436"/>
      <c r="DK460" s="397"/>
      <c r="DL460" s="397"/>
      <c r="DM460" s="397"/>
      <c r="DN460" s="397"/>
      <c r="DO460" s="397"/>
      <c r="DP460" s="397"/>
      <c r="DQ460" s="397"/>
      <c r="DR460" s="494"/>
      <c r="DS460" s="203"/>
      <c r="DZ460" s="52"/>
      <c r="EA460" s="52"/>
    </row>
    <row r="461" spans="1:131" x14ac:dyDescent="0.2">
      <c r="A461" s="81"/>
      <c r="B461" s="197"/>
      <c r="C461" s="20"/>
      <c r="D461" s="20"/>
      <c r="E461" s="20"/>
      <c r="F461" s="20"/>
      <c r="G461" s="197"/>
      <c r="H461" s="20"/>
      <c r="I461" s="20"/>
      <c r="J461" s="20"/>
      <c r="K461" s="20"/>
      <c r="L461" s="197"/>
      <c r="M461" s="20"/>
      <c r="N461" s="20"/>
      <c r="O461" s="20"/>
      <c r="P461" s="20"/>
      <c r="Q461" s="197"/>
      <c r="R461" s="20"/>
      <c r="S461" s="20"/>
      <c r="T461" s="20"/>
      <c r="U461" s="20"/>
      <c r="V461" s="197"/>
      <c r="W461" s="20"/>
      <c r="X461" s="20"/>
      <c r="Y461" s="20"/>
      <c r="Z461" s="20"/>
      <c r="AA461" s="197"/>
      <c r="AB461" s="20"/>
      <c r="AC461" s="20"/>
      <c r="AD461" s="20"/>
      <c r="AE461" s="20"/>
      <c r="AF461" s="197"/>
      <c r="AG461" s="20"/>
      <c r="AH461" s="197"/>
      <c r="AI461" s="198"/>
      <c r="AJ461" s="20"/>
      <c r="AK461" s="197"/>
      <c r="AL461" s="20"/>
      <c r="AM461" s="197"/>
      <c r="AN461" s="197"/>
      <c r="AO461" s="197"/>
      <c r="AP461" s="197"/>
      <c r="AQ461" s="197"/>
      <c r="AR461" s="197"/>
      <c r="AS461" s="197"/>
      <c r="AT461" s="197"/>
      <c r="AU461" s="197"/>
      <c r="AV461" s="197"/>
      <c r="AW461" s="20"/>
      <c r="AX461" s="20"/>
      <c r="AY461" s="20"/>
      <c r="AZ461" s="20"/>
      <c r="BJ461" s="201"/>
      <c r="CZ461" s="345"/>
      <c r="DA461" s="345"/>
      <c r="DB461" s="345"/>
      <c r="DD461" s="25"/>
      <c r="DE461" s="178"/>
      <c r="DF461" s="25"/>
      <c r="DG461" s="25"/>
      <c r="DJ461" s="430"/>
      <c r="DK461" s="389"/>
      <c r="DL461" s="389"/>
      <c r="DM461" s="389"/>
      <c r="DN461" s="389"/>
      <c r="DO461" s="389"/>
      <c r="DP461" s="389"/>
      <c r="DQ461" s="389"/>
      <c r="DR461" s="487"/>
      <c r="DS461" s="25"/>
      <c r="DZ461" s="52"/>
      <c r="EA461" s="52"/>
    </row>
    <row r="462" spans="1:131" x14ac:dyDescent="0.2">
      <c r="A462" s="81"/>
      <c r="B462" s="197"/>
      <c r="C462" s="20"/>
      <c r="D462" s="20"/>
      <c r="E462" s="20"/>
      <c r="F462" s="20"/>
      <c r="G462" s="197"/>
      <c r="H462" s="20"/>
      <c r="I462" s="20"/>
      <c r="J462" s="20"/>
      <c r="K462" s="20"/>
      <c r="L462" s="197"/>
      <c r="M462" s="20"/>
      <c r="N462" s="20"/>
      <c r="O462" s="20"/>
      <c r="P462" s="20"/>
      <c r="Q462" s="197"/>
      <c r="R462" s="20"/>
      <c r="S462" s="20"/>
      <c r="T462" s="20"/>
      <c r="U462" s="20"/>
      <c r="V462" s="197"/>
      <c r="W462" s="20"/>
      <c r="X462" s="20"/>
      <c r="Y462" s="20"/>
      <c r="Z462" s="20"/>
      <c r="AA462" s="197"/>
      <c r="AB462" s="20"/>
      <c r="AC462" s="20"/>
      <c r="AD462" s="20"/>
      <c r="AE462" s="20"/>
      <c r="AF462" s="197"/>
      <c r="AG462" s="20"/>
      <c r="AH462" s="197"/>
      <c r="AI462" s="198"/>
      <c r="AJ462" s="20"/>
      <c r="AK462" s="197"/>
      <c r="AL462" s="20"/>
      <c r="AM462" s="197"/>
      <c r="AN462" s="197"/>
      <c r="AO462" s="197"/>
      <c r="AP462" s="197"/>
      <c r="AQ462" s="197"/>
      <c r="AR462" s="197"/>
      <c r="AS462" s="197"/>
      <c r="AT462" s="197"/>
      <c r="AU462" s="197"/>
      <c r="AV462" s="197"/>
      <c r="AW462" s="20"/>
      <c r="AX462" s="20"/>
      <c r="AY462" s="20"/>
      <c r="AZ462" s="20"/>
      <c r="BJ462" s="201"/>
      <c r="CZ462" s="345"/>
      <c r="DA462" s="345"/>
      <c r="DB462" s="345"/>
      <c r="DD462" s="25"/>
      <c r="DE462" s="178"/>
      <c r="DF462" s="25"/>
      <c r="DG462" s="25"/>
      <c r="DJ462" s="430"/>
      <c r="DK462" s="389"/>
      <c r="DL462" s="389"/>
      <c r="DM462" s="389"/>
      <c r="DN462" s="389"/>
      <c r="DO462" s="389"/>
      <c r="DP462" s="389"/>
      <c r="DQ462" s="389"/>
      <c r="DR462" s="487"/>
      <c r="DS462" s="25"/>
      <c r="DZ462" s="52"/>
      <c r="EA462" s="52"/>
    </row>
    <row r="463" spans="1:131" x14ac:dyDescent="0.2">
      <c r="A463" s="81"/>
      <c r="B463" s="197"/>
      <c r="C463" s="20"/>
      <c r="D463" s="20"/>
      <c r="E463" s="20"/>
      <c r="F463" s="20"/>
      <c r="G463" s="197"/>
      <c r="H463" s="20"/>
      <c r="I463" s="20"/>
      <c r="J463" s="20"/>
      <c r="K463" s="20"/>
      <c r="L463" s="197"/>
      <c r="M463" s="20"/>
      <c r="N463" s="20"/>
      <c r="O463" s="20"/>
      <c r="P463" s="20"/>
      <c r="Q463" s="197"/>
      <c r="R463" s="20"/>
      <c r="S463" s="20"/>
      <c r="T463" s="20"/>
      <c r="U463" s="20"/>
      <c r="V463" s="197"/>
      <c r="W463" s="20"/>
      <c r="X463" s="20"/>
      <c r="Y463" s="20"/>
      <c r="Z463" s="20"/>
      <c r="AA463" s="197"/>
      <c r="AB463" s="20"/>
      <c r="AC463" s="20"/>
      <c r="AD463" s="20"/>
      <c r="AE463" s="20"/>
      <c r="AF463" s="197"/>
      <c r="AG463" s="20"/>
      <c r="AH463" s="197"/>
      <c r="AI463" s="198"/>
      <c r="AJ463" s="20"/>
      <c r="AK463" s="197"/>
      <c r="AL463" s="20"/>
      <c r="AM463" s="197"/>
      <c r="AN463" s="197"/>
      <c r="AO463" s="197"/>
      <c r="AP463" s="197"/>
      <c r="AQ463" s="197"/>
      <c r="AR463" s="197"/>
      <c r="AS463" s="197"/>
      <c r="AT463" s="197"/>
      <c r="AU463" s="197"/>
      <c r="AV463" s="197"/>
      <c r="AW463" s="20"/>
      <c r="AX463" s="20"/>
      <c r="AY463" s="20"/>
      <c r="AZ463" s="20"/>
      <c r="BJ463" s="201"/>
      <c r="CZ463" s="345"/>
      <c r="DA463" s="345"/>
      <c r="DB463" s="345"/>
      <c r="DD463" s="199"/>
      <c r="DE463" s="481"/>
      <c r="DF463" s="25"/>
      <c r="DG463" s="25"/>
      <c r="DJ463" s="430"/>
      <c r="DK463" s="389"/>
      <c r="DL463" s="389"/>
      <c r="DM463" s="389"/>
      <c r="DN463" s="389"/>
      <c r="DO463" s="389"/>
      <c r="DP463" s="389"/>
      <c r="DQ463" s="389"/>
      <c r="DR463" s="487"/>
      <c r="DS463" s="199"/>
      <c r="DZ463" s="52"/>
      <c r="EA463" s="52"/>
    </row>
    <row r="464" spans="1:131" x14ac:dyDescent="0.2">
      <c r="A464" s="81"/>
      <c r="B464" s="197"/>
      <c r="C464" s="20"/>
      <c r="D464" s="20"/>
      <c r="E464" s="20"/>
      <c r="F464" s="20"/>
      <c r="G464" s="197"/>
      <c r="H464" s="20"/>
      <c r="I464" s="20"/>
      <c r="J464" s="20"/>
      <c r="K464" s="20"/>
      <c r="L464" s="197"/>
      <c r="M464" s="20"/>
      <c r="N464" s="20"/>
      <c r="O464" s="20"/>
      <c r="P464" s="20"/>
      <c r="Q464" s="197"/>
      <c r="R464" s="20"/>
      <c r="S464" s="20"/>
      <c r="T464" s="20"/>
      <c r="U464" s="20"/>
      <c r="V464" s="197"/>
      <c r="W464" s="20"/>
      <c r="X464" s="20"/>
      <c r="Y464" s="20"/>
      <c r="Z464" s="20"/>
      <c r="AA464" s="197"/>
      <c r="AB464" s="20"/>
      <c r="AC464" s="20"/>
      <c r="AD464" s="20"/>
      <c r="AE464" s="20"/>
      <c r="AF464" s="197"/>
      <c r="AG464" s="20"/>
      <c r="AH464" s="197"/>
      <c r="AI464" s="198"/>
      <c r="AJ464" s="20"/>
      <c r="AK464" s="197"/>
      <c r="AL464" s="20"/>
      <c r="AM464" s="197"/>
      <c r="AN464" s="197"/>
      <c r="AO464" s="197"/>
      <c r="AP464" s="197"/>
      <c r="AQ464" s="197"/>
      <c r="AR464" s="197"/>
      <c r="AS464" s="197"/>
      <c r="AT464" s="197"/>
      <c r="AU464" s="197"/>
      <c r="AV464" s="197"/>
      <c r="AW464" s="20"/>
      <c r="AX464" s="20"/>
      <c r="AY464" s="20"/>
      <c r="AZ464" s="20"/>
      <c r="BJ464" s="201"/>
      <c r="CZ464" s="345"/>
      <c r="DA464" s="345"/>
      <c r="DB464" s="345"/>
      <c r="DD464" s="200"/>
      <c r="DE464" s="482"/>
      <c r="DF464" s="25"/>
      <c r="DG464" s="25"/>
      <c r="DJ464" s="445"/>
      <c r="DK464" s="409"/>
      <c r="DL464" s="409"/>
      <c r="DM464" s="409"/>
      <c r="DN464" s="409"/>
      <c r="DO464" s="409"/>
      <c r="DP464" s="409"/>
      <c r="DQ464" s="409"/>
      <c r="DR464" s="506"/>
      <c r="DS464" s="200"/>
      <c r="DZ464" s="52"/>
      <c r="EA464" s="52"/>
    </row>
    <row r="465" spans="1:131" collapsed="1" x14ac:dyDescent="0.2">
      <c r="A465" s="52"/>
      <c r="B465" s="20"/>
      <c r="C465" s="20"/>
      <c r="D465" s="20"/>
      <c r="E465" s="20"/>
      <c r="F465" s="20"/>
      <c r="G465" s="20"/>
      <c r="H465" s="20"/>
      <c r="I465" s="20"/>
      <c r="J465" s="20"/>
      <c r="K465" s="20"/>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0"/>
      <c r="AI465" s="122"/>
      <c r="AJ465" s="20"/>
      <c r="AK465" s="20"/>
      <c r="AL465" s="20"/>
      <c r="AM465" s="20"/>
      <c r="AN465" s="20"/>
      <c r="AO465" s="20"/>
      <c r="AP465" s="20"/>
      <c r="AQ465" s="20"/>
      <c r="AR465" s="20"/>
      <c r="AS465" s="20"/>
      <c r="AT465" s="20"/>
      <c r="AU465" s="20"/>
      <c r="AV465" s="20"/>
      <c r="AW465" s="20"/>
      <c r="AX465" s="20"/>
      <c r="AY465" s="20"/>
      <c r="AZ465" s="20"/>
      <c r="BJ465" s="201"/>
      <c r="CZ465" s="345"/>
      <c r="DA465" s="345"/>
      <c r="DB465" s="345"/>
      <c r="DD465" s="204"/>
      <c r="DE465" s="484"/>
      <c r="DF465" s="25"/>
      <c r="DG465" s="25"/>
      <c r="DJ465" s="399"/>
      <c r="DK465" s="396"/>
      <c r="DL465" s="396"/>
      <c r="DM465" s="396"/>
      <c r="DN465" s="396"/>
      <c r="DO465" s="396"/>
      <c r="DP465" s="396"/>
      <c r="DQ465" s="396"/>
      <c r="DR465" s="493"/>
      <c r="DS465" s="204"/>
      <c r="DZ465" s="52"/>
      <c r="EA465" s="52"/>
    </row>
    <row r="466" spans="1:131" x14ac:dyDescent="0.2">
      <c r="A466" s="52"/>
      <c r="B466" s="20"/>
      <c r="C466" s="20"/>
      <c r="D466" s="20"/>
      <c r="E466" s="20"/>
      <c r="F466" s="20"/>
      <c r="G466" s="20"/>
      <c r="H466" s="20"/>
      <c r="I466" s="20"/>
      <c r="J466" s="20"/>
      <c r="K466" s="20"/>
      <c r="L466" s="20"/>
      <c r="M466" s="20"/>
      <c r="N466" s="20"/>
      <c r="O466" s="20"/>
      <c r="P466" s="20"/>
      <c r="Q466" s="20"/>
      <c r="R466" s="20"/>
      <c r="S466" s="20"/>
      <c r="T466" s="20"/>
      <c r="U466" s="20"/>
      <c r="V466" s="20"/>
      <c r="W466" s="20"/>
      <c r="X466" s="20"/>
      <c r="Y466" s="20"/>
      <c r="Z466" s="20"/>
      <c r="AA466" s="20"/>
      <c r="AB466" s="20"/>
      <c r="AC466" s="20"/>
      <c r="AD466" s="20"/>
      <c r="AE466" s="20"/>
      <c r="AF466" s="20"/>
      <c r="AG466" s="20"/>
      <c r="AH466" s="20"/>
      <c r="AI466" s="122"/>
      <c r="AJ466" s="20"/>
      <c r="AK466" s="20"/>
      <c r="AL466" s="20"/>
      <c r="AM466" s="20"/>
      <c r="AN466" s="20"/>
      <c r="AO466" s="20"/>
      <c r="AP466" s="20"/>
      <c r="AQ466" s="20"/>
      <c r="AR466" s="20"/>
      <c r="AS466" s="20"/>
      <c r="AT466" s="20"/>
      <c r="AU466" s="20"/>
      <c r="AV466" s="20"/>
      <c r="AW466" s="20"/>
      <c r="AX466" s="20"/>
      <c r="AY466" s="20"/>
      <c r="AZ466" s="20"/>
      <c r="BJ466" s="201"/>
      <c r="CZ466" s="345"/>
      <c r="DA466" s="345"/>
      <c r="DB466" s="345"/>
      <c r="DD466" s="202"/>
      <c r="DE466" s="485"/>
      <c r="DF466" s="25"/>
      <c r="DG466" s="25"/>
      <c r="DJ466" s="399"/>
      <c r="DK466" s="396"/>
      <c r="DL466" s="396"/>
      <c r="DM466" s="396"/>
      <c r="DN466" s="396"/>
      <c r="DO466" s="396"/>
      <c r="DP466" s="396"/>
      <c r="DQ466" s="396"/>
      <c r="DR466" s="493"/>
      <c r="DS466" s="202"/>
      <c r="DZ466" s="52"/>
      <c r="EA466" s="52"/>
    </row>
    <row r="467" spans="1:131" collapsed="1" x14ac:dyDescent="0.2">
      <c r="A467" s="52"/>
      <c r="B467" s="20"/>
      <c r="C467" s="20"/>
      <c r="D467" s="20"/>
      <c r="E467" s="20"/>
      <c r="F467" s="20"/>
      <c r="G467" s="20"/>
      <c r="H467" s="20"/>
      <c r="I467" s="20"/>
      <c r="J467" s="20"/>
      <c r="K467" s="20"/>
      <c r="L467" s="20"/>
      <c r="M467" s="20"/>
      <c r="N467" s="20"/>
      <c r="O467" s="20"/>
      <c r="P467" s="20"/>
      <c r="Q467" s="20"/>
      <c r="R467" s="20"/>
      <c r="S467" s="20"/>
      <c r="T467" s="20"/>
      <c r="U467" s="20"/>
      <c r="V467" s="20"/>
      <c r="W467" s="20"/>
      <c r="X467" s="20"/>
      <c r="Y467" s="20"/>
      <c r="Z467" s="20"/>
      <c r="AA467" s="20"/>
      <c r="AB467" s="20"/>
      <c r="AC467" s="20"/>
      <c r="AD467" s="20"/>
      <c r="AE467" s="20"/>
      <c r="AF467" s="20"/>
      <c r="AG467" s="20"/>
      <c r="AH467" s="20"/>
      <c r="AI467" s="122"/>
      <c r="AJ467" s="20"/>
      <c r="AK467" s="20"/>
      <c r="AL467" s="20"/>
      <c r="AM467" s="20"/>
      <c r="AN467" s="20"/>
      <c r="AO467" s="20"/>
      <c r="AP467" s="20"/>
      <c r="AQ467" s="20"/>
      <c r="AR467" s="20"/>
      <c r="AS467" s="20"/>
      <c r="AT467" s="20"/>
      <c r="AU467" s="20"/>
      <c r="AV467" s="20"/>
      <c r="AW467" s="20"/>
      <c r="AX467" s="20"/>
      <c r="AY467" s="20"/>
      <c r="AZ467" s="20"/>
      <c r="BJ467" s="201"/>
      <c r="CZ467" s="345"/>
      <c r="DA467" s="345"/>
      <c r="DB467" s="345"/>
      <c r="DD467" s="203"/>
      <c r="DE467" s="483"/>
      <c r="DF467" s="25"/>
      <c r="DG467" s="25"/>
      <c r="DJ467" s="436"/>
      <c r="DK467" s="397"/>
      <c r="DL467" s="397"/>
      <c r="DM467" s="397"/>
      <c r="DN467" s="397"/>
      <c r="DO467" s="397"/>
      <c r="DP467" s="397"/>
      <c r="DQ467" s="397"/>
      <c r="DR467" s="494"/>
      <c r="DS467" s="203"/>
      <c r="DZ467" s="52"/>
      <c r="EA467" s="52"/>
    </row>
    <row r="468" spans="1:131" x14ac:dyDescent="0.2">
      <c r="A468" s="52"/>
      <c r="B468" s="20"/>
      <c r="C468" s="20"/>
      <c r="D468" s="20"/>
      <c r="E468" s="20"/>
      <c r="F468" s="20"/>
      <c r="G468" s="20"/>
      <c r="H468" s="20"/>
      <c r="I468" s="20"/>
      <c r="J468" s="20"/>
      <c r="K468" s="20"/>
      <c r="L468" s="20"/>
      <c r="M468" s="20"/>
      <c r="N468" s="20"/>
      <c r="O468" s="20"/>
      <c r="P468" s="20"/>
      <c r="Q468" s="20"/>
      <c r="R468" s="20"/>
      <c r="S468" s="20"/>
      <c r="T468" s="20"/>
      <c r="U468" s="20"/>
      <c r="V468" s="20"/>
      <c r="W468" s="20"/>
      <c r="X468" s="20"/>
      <c r="Y468" s="20"/>
      <c r="Z468" s="20"/>
      <c r="AA468" s="20"/>
      <c r="AB468" s="20"/>
      <c r="AC468" s="20"/>
      <c r="AD468" s="20"/>
      <c r="AE468" s="20"/>
      <c r="AF468" s="20"/>
      <c r="AG468" s="20"/>
      <c r="AH468" s="20"/>
      <c r="AI468" s="122"/>
      <c r="AJ468" s="20"/>
      <c r="AK468" s="20"/>
      <c r="AL468" s="20"/>
      <c r="AM468" s="20"/>
      <c r="AN468" s="20"/>
      <c r="AO468" s="20"/>
      <c r="AP468" s="20"/>
      <c r="AQ468" s="20"/>
      <c r="AR468" s="20"/>
      <c r="AS468" s="20"/>
      <c r="AT468" s="20"/>
      <c r="AU468" s="20"/>
      <c r="AV468" s="20"/>
      <c r="AW468" s="20"/>
      <c r="AX468" s="20"/>
      <c r="AY468" s="20"/>
      <c r="AZ468" s="20"/>
      <c r="BJ468" s="201"/>
      <c r="CZ468" s="345"/>
      <c r="DA468" s="345"/>
      <c r="DB468" s="345"/>
      <c r="DD468" s="203"/>
      <c r="DE468" s="483"/>
      <c r="DF468" s="25"/>
      <c r="DG468" s="25"/>
      <c r="DJ468" s="436"/>
      <c r="DK468" s="397"/>
      <c r="DL468" s="397"/>
      <c r="DM468" s="397"/>
      <c r="DN468" s="397"/>
      <c r="DO468" s="397"/>
      <c r="DP468" s="397"/>
      <c r="DQ468" s="397"/>
      <c r="DR468" s="494"/>
      <c r="DS468" s="203"/>
      <c r="DZ468" s="52"/>
      <c r="EA468" s="52"/>
    </row>
    <row r="469" spans="1:131" x14ac:dyDescent="0.2">
      <c r="A469" s="52"/>
      <c r="B469" s="20"/>
      <c r="C469" s="20"/>
      <c r="D469" s="20"/>
      <c r="E469" s="20"/>
      <c r="F469" s="20"/>
      <c r="G469" s="20"/>
      <c r="H469" s="20"/>
      <c r="I469" s="20"/>
      <c r="J469" s="20"/>
      <c r="K469" s="20"/>
      <c r="L469" s="20"/>
      <c r="M469" s="20"/>
      <c r="N469" s="20"/>
      <c r="O469" s="20"/>
      <c r="P469" s="20"/>
      <c r="Q469" s="20"/>
      <c r="R469" s="20"/>
      <c r="S469" s="20"/>
      <c r="T469" s="20"/>
      <c r="U469" s="20"/>
      <c r="V469" s="20"/>
      <c r="W469" s="20"/>
      <c r="X469" s="20"/>
      <c r="Y469" s="20"/>
      <c r="Z469" s="20"/>
      <c r="AA469" s="20"/>
      <c r="AB469" s="20"/>
      <c r="AC469" s="20"/>
      <c r="AD469" s="20"/>
      <c r="AE469" s="20"/>
      <c r="AF469" s="20"/>
      <c r="AG469" s="20"/>
      <c r="AH469" s="20"/>
      <c r="AI469" s="122"/>
      <c r="AJ469" s="20"/>
      <c r="AK469" s="20"/>
      <c r="AL469" s="20"/>
      <c r="AM469" s="20"/>
      <c r="AN469" s="20"/>
      <c r="AO469" s="20"/>
      <c r="AP469" s="20"/>
      <c r="AQ469" s="20"/>
      <c r="AR469" s="20"/>
      <c r="AS469" s="20"/>
      <c r="AT469" s="20"/>
      <c r="AU469" s="20"/>
      <c r="AV469" s="20"/>
      <c r="AW469" s="20"/>
      <c r="AX469" s="20"/>
      <c r="AY469" s="20"/>
      <c r="AZ469" s="20"/>
      <c r="BJ469" s="201"/>
      <c r="CZ469" s="345"/>
      <c r="DA469" s="345"/>
      <c r="DB469" s="345"/>
      <c r="DD469" s="203"/>
      <c r="DE469" s="483"/>
      <c r="DF469" s="25"/>
      <c r="DG469" s="25"/>
      <c r="DJ469" s="436"/>
      <c r="DK469" s="397"/>
      <c r="DL469" s="397"/>
      <c r="DM469" s="397"/>
      <c r="DN469" s="397"/>
      <c r="DO469" s="397"/>
      <c r="DP469" s="397"/>
      <c r="DQ469" s="397"/>
      <c r="DR469" s="494"/>
      <c r="DS469" s="203"/>
      <c r="DZ469" s="52"/>
      <c r="EA469" s="52"/>
    </row>
    <row r="470" spans="1:131" x14ac:dyDescent="0.2">
      <c r="A470" s="52"/>
      <c r="B470" s="20"/>
      <c r="C470" s="20"/>
      <c r="D470" s="20"/>
      <c r="E470" s="20"/>
      <c r="F470" s="20"/>
      <c r="G470" s="20"/>
      <c r="H470" s="20"/>
      <c r="I470" s="20"/>
      <c r="J470" s="20"/>
      <c r="K470" s="20"/>
      <c r="L470" s="20"/>
      <c r="M470" s="20"/>
      <c r="N470" s="20"/>
      <c r="O470" s="20"/>
      <c r="P470" s="20"/>
      <c r="Q470" s="20"/>
      <c r="R470" s="20"/>
      <c r="S470" s="20"/>
      <c r="T470" s="20"/>
      <c r="U470" s="20"/>
      <c r="V470" s="20"/>
      <c r="W470" s="20"/>
      <c r="X470" s="20"/>
      <c r="Y470" s="20"/>
      <c r="Z470" s="20"/>
      <c r="AA470" s="20"/>
      <c r="AB470" s="20"/>
      <c r="AC470" s="20"/>
      <c r="AD470" s="20"/>
      <c r="AE470" s="20"/>
      <c r="AF470" s="20"/>
      <c r="AG470" s="20"/>
      <c r="AH470" s="20"/>
      <c r="AI470" s="122"/>
      <c r="AJ470" s="20"/>
      <c r="AK470" s="20"/>
      <c r="AL470" s="20"/>
      <c r="AM470" s="20"/>
      <c r="AN470" s="20"/>
      <c r="AO470" s="20"/>
      <c r="AP470" s="20"/>
      <c r="AQ470" s="20"/>
      <c r="AR470" s="20"/>
      <c r="AS470" s="20"/>
      <c r="AT470" s="20"/>
      <c r="AU470" s="20"/>
      <c r="AV470" s="20"/>
      <c r="AW470" s="20"/>
      <c r="AX470" s="20"/>
      <c r="AY470" s="20"/>
      <c r="AZ470" s="20"/>
      <c r="BJ470" s="201"/>
      <c r="CZ470" s="345"/>
      <c r="DA470" s="345"/>
      <c r="DB470" s="345"/>
      <c r="DD470" s="203"/>
      <c r="DE470" s="483"/>
      <c r="DF470" s="25"/>
      <c r="DG470" s="25"/>
      <c r="DJ470" s="436"/>
      <c r="DK470" s="397"/>
      <c r="DL470" s="397"/>
      <c r="DM470" s="397"/>
      <c r="DN470" s="397"/>
      <c r="DO470" s="397"/>
      <c r="DP470" s="397"/>
      <c r="DQ470" s="397"/>
      <c r="DR470" s="494"/>
      <c r="DS470" s="203"/>
      <c r="DZ470" s="52"/>
      <c r="EA470" s="52"/>
    </row>
    <row r="471" spans="1:131" x14ac:dyDescent="0.2">
      <c r="A471" s="52"/>
      <c r="B471" s="20"/>
      <c r="C471" s="20"/>
      <c r="D471" s="20"/>
      <c r="E471" s="20"/>
      <c r="F471" s="20"/>
      <c r="G471" s="20"/>
      <c r="H471" s="20"/>
      <c r="I471" s="20"/>
      <c r="J471" s="20"/>
      <c r="K471" s="20"/>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0"/>
      <c r="AI471" s="122"/>
      <c r="AJ471" s="20"/>
      <c r="AK471" s="20"/>
      <c r="AL471" s="20"/>
      <c r="AM471" s="20"/>
      <c r="AN471" s="20"/>
      <c r="AO471" s="20"/>
      <c r="AP471" s="20"/>
      <c r="AQ471" s="20"/>
      <c r="AR471" s="20"/>
      <c r="AS471" s="20"/>
      <c r="AT471" s="20"/>
      <c r="AU471" s="20"/>
      <c r="AV471" s="20"/>
      <c r="AW471" s="20"/>
      <c r="AX471" s="20"/>
      <c r="AY471" s="20"/>
      <c r="AZ471" s="20"/>
      <c r="BJ471" s="201"/>
      <c r="CZ471" s="345"/>
      <c r="DA471" s="345"/>
      <c r="DB471" s="345"/>
      <c r="DD471" s="203"/>
      <c r="DE471" s="483"/>
      <c r="DF471" s="25"/>
      <c r="DG471" s="25"/>
      <c r="DJ471" s="436"/>
      <c r="DK471" s="397"/>
      <c r="DL471" s="397"/>
      <c r="DM471" s="397"/>
      <c r="DN471" s="397"/>
      <c r="DO471" s="397"/>
      <c r="DP471" s="397"/>
      <c r="DQ471" s="397"/>
      <c r="DR471" s="494"/>
      <c r="DS471" s="203"/>
      <c r="DZ471" s="52"/>
      <c r="EA471" s="52"/>
    </row>
    <row r="472" spans="1:131" x14ac:dyDescent="0.2">
      <c r="A472" s="52"/>
      <c r="B472" s="20"/>
      <c r="C472" s="20"/>
      <c r="D472" s="20"/>
      <c r="E472" s="20"/>
      <c r="F472" s="20"/>
      <c r="G472" s="20"/>
      <c r="H472" s="20"/>
      <c r="I472" s="20"/>
      <c r="J472" s="20"/>
      <c r="K472" s="20"/>
      <c r="L472" s="20"/>
      <c r="M472" s="20"/>
      <c r="N472" s="20"/>
      <c r="O472" s="20"/>
      <c r="P472" s="20"/>
      <c r="Q472" s="20"/>
      <c r="R472" s="20"/>
      <c r="S472" s="20"/>
      <c r="T472" s="20"/>
      <c r="U472" s="20"/>
      <c r="V472" s="20"/>
      <c r="W472" s="20"/>
      <c r="X472" s="20"/>
      <c r="Y472" s="20"/>
      <c r="Z472" s="20"/>
      <c r="AA472" s="20"/>
      <c r="AB472" s="20"/>
      <c r="AC472" s="20"/>
      <c r="AD472" s="20"/>
      <c r="AE472" s="20"/>
      <c r="AF472" s="20"/>
      <c r="AG472" s="20"/>
      <c r="AH472" s="20"/>
      <c r="AI472" s="122"/>
      <c r="AJ472" s="20"/>
      <c r="AK472" s="20"/>
      <c r="AL472" s="20"/>
      <c r="AM472" s="20"/>
      <c r="AN472" s="20"/>
      <c r="AO472" s="20"/>
      <c r="AP472" s="20"/>
      <c r="AQ472" s="20"/>
      <c r="AR472" s="20"/>
      <c r="AS472" s="20"/>
      <c r="AT472" s="20"/>
      <c r="AU472" s="20"/>
      <c r="AV472" s="20"/>
      <c r="AW472" s="20"/>
      <c r="AX472" s="20"/>
      <c r="AY472" s="20"/>
      <c r="AZ472" s="20"/>
      <c r="BJ472" s="201"/>
      <c r="CZ472" s="345"/>
      <c r="DA472" s="345"/>
      <c r="DB472" s="345"/>
      <c r="DD472" s="203"/>
      <c r="DE472" s="483"/>
      <c r="DF472" s="25"/>
      <c r="DG472" s="25"/>
      <c r="DJ472" s="436"/>
      <c r="DK472" s="397"/>
      <c r="DL472" s="397"/>
      <c r="DM472" s="397"/>
      <c r="DN472" s="397"/>
      <c r="DO472" s="397"/>
      <c r="DP472" s="397"/>
      <c r="DQ472" s="397"/>
      <c r="DR472" s="494"/>
      <c r="DS472" s="203"/>
      <c r="DZ472" s="52"/>
      <c r="EA472" s="52"/>
    </row>
    <row r="473" spans="1:131" x14ac:dyDescent="0.2">
      <c r="A473" s="52"/>
      <c r="B473" s="20"/>
      <c r="C473" s="20"/>
      <c r="D473" s="20"/>
      <c r="E473" s="20"/>
      <c r="F473" s="20"/>
      <c r="G473" s="20"/>
      <c r="H473" s="20"/>
      <c r="I473" s="20"/>
      <c r="J473" s="20"/>
      <c r="K473" s="20"/>
      <c r="L473" s="20"/>
      <c r="M473" s="20"/>
      <c r="N473" s="20"/>
      <c r="O473" s="20"/>
      <c r="P473" s="20"/>
      <c r="Q473" s="20"/>
      <c r="R473" s="20"/>
      <c r="S473" s="20"/>
      <c r="T473" s="20"/>
      <c r="U473" s="20"/>
      <c r="V473" s="20"/>
      <c r="W473" s="20"/>
      <c r="X473" s="20"/>
      <c r="Y473" s="20"/>
      <c r="Z473" s="20"/>
      <c r="AA473" s="20"/>
      <c r="AB473" s="20"/>
      <c r="AC473" s="20"/>
      <c r="AD473" s="20"/>
      <c r="AE473" s="20"/>
      <c r="AF473" s="20"/>
      <c r="AG473" s="20"/>
      <c r="AH473" s="20"/>
      <c r="AI473" s="122"/>
      <c r="AJ473" s="20"/>
      <c r="AK473" s="20"/>
      <c r="AL473" s="20"/>
      <c r="AM473" s="20"/>
      <c r="AN473" s="20"/>
      <c r="AO473" s="20"/>
      <c r="AP473" s="20"/>
      <c r="AQ473" s="20"/>
      <c r="AR473" s="20"/>
      <c r="AS473" s="20"/>
      <c r="AT473" s="20"/>
      <c r="AU473" s="20"/>
      <c r="AV473" s="20"/>
      <c r="AW473" s="20"/>
      <c r="AX473" s="20"/>
      <c r="AY473" s="20"/>
      <c r="AZ473" s="20"/>
      <c r="BJ473" s="201"/>
      <c r="CZ473" s="345"/>
      <c r="DA473" s="345"/>
      <c r="DB473" s="345"/>
      <c r="DD473" s="203"/>
      <c r="DE473" s="483"/>
      <c r="DF473" s="25"/>
      <c r="DG473" s="25"/>
      <c r="DJ473" s="436"/>
      <c r="DK473" s="397"/>
      <c r="DL473" s="397"/>
      <c r="DM473" s="397"/>
      <c r="DN473" s="397"/>
      <c r="DO473" s="397"/>
      <c r="DP473" s="397"/>
      <c r="DQ473" s="397"/>
      <c r="DR473" s="494"/>
      <c r="DS473" s="203"/>
      <c r="DZ473" s="52"/>
      <c r="EA473" s="52"/>
    </row>
    <row r="474" spans="1:131" x14ac:dyDescent="0.2">
      <c r="A474" s="52"/>
      <c r="B474" s="20"/>
      <c r="C474" s="20"/>
      <c r="D474" s="20"/>
      <c r="E474" s="20"/>
      <c r="F474" s="20"/>
      <c r="G474" s="20"/>
      <c r="H474" s="20"/>
      <c r="I474" s="20"/>
      <c r="J474" s="20"/>
      <c r="K474" s="20"/>
      <c r="L474" s="20"/>
      <c r="M474" s="20"/>
      <c r="N474" s="20"/>
      <c r="O474" s="20"/>
      <c r="P474" s="20"/>
      <c r="Q474" s="20"/>
      <c r="R474" s="20"/>
      <c r="S474" s="20"/>
      <c r="T474" s="20"/>
      <c r="U474" s="20"/>
      <c r="V474" s="20"/>
      <c r="W474" s="20"/>
      <c r="X474" s="20"/>
      <c r="Y474" s="20"/>
      <c r="Z474" s="20"/>
      <c r="AA474" s="20"/>
      <c r="AB474" s="20"/>
      <c r="AC474" s="20"/>
      <c r="AD474" s="20"/>
      <c r="AE474" s="20"/>
      <c r="AF474" s="20"/>
      <c r="AG474" s="20"/>
      <c r="AH474" s="20"/>
      <c r="AI474" s="122"/>
      <c r="AJ474" s="20"/>
      <c r="AK474" s="20"/>
      <c r="AL474" s="20"/>
      <c r="AM474" s="20"/>
      <c r="AN474" s="20"/>
      <c r="AO474" s="20"/>
      <c r="AP474" s="20"/>
      <c r="AQ474" s="20"/>
      <c r="AR474" s="20"/>
      <c r="AS474" s="20"/>
      <c r="AT474" s="20"/>
      <c r="AU474" s="20"/>
      <c r="AV474" s="20"/>
      <c r="AW474" s="20"/>
      <c r="AX474" s="20"/>
      <c r="AY474" s="20"/>
      <c r="AZ474" s="20"/>
      <c r="BA474" s="20"/>
      <c r="BB474" s="20"/>
      <c r="BC474" s="20"/>
      <c r="BD474" s="25"/>
      <c r="BE474" s="100"/>
      <c r="BF474" s="100"/>
      <c r="BG474" s="25"/>
      <c r="BH474" s="25"/>
      <c r="BI474" s="25"/>
      <c r="BJ474" s="25"/>
      <c r="BK474" s="25"/>
      <c r="BL474" s="100"/>
      <c r="BM474" s="25"/>
      <c r="BN474" s="25"/>
      <c r="BO474" s="25"/>
      <c r="BP474" s="25"/>
      <c r="BQ474" s="25"/>
      <c r="BR474" s="25"/>
      <c r="BS474" s="25"/>
      <c r="BT474" s="25"/>
      <c r="CD474" s="25"/>
      <c r="CE474" s="25"/>
      <c r="CF474" s="25"/>
      <c r="CG474" s="25"/>
      <c r="CH474" s="25"/>
      <c r="CI474" s="25"/>
      <c r="CJ474" s="25"/>
      <c r="CK474" s="25"/>
      <c r="CL474" s="25"/>
      <c r="CM474" s="25"/>
      <c r="CN474" s="25"/>
      <c r="CO474" s="25"/>
      <c r="CP474" s="25"/>
      <c r="CQ474" s="25"/>
      <c r="CR474" s="25"/>
      <c r="CS474" s="25"/>
      <c r="CT474" s="25"/>
      <c r="CU474" s="25"/>
      <c r="CV474" s="25"/>
      <c r="CW474" s="25"/>
      <c r="CX474" s="25"/>
      <c r="CY474" s="25"/>
      <c r="CZ474" s="25"/>
      <c r="DA474" s="25"/>
      <c r="DB474" s="25"/>
      <c r="DC474" s="25"/>
      <c r="DD474" s="25"/>
      <c r="DE474" s="178"/>
      <c r="DF474" s="25"/>
      <c r="DG474" s="25"/>
      <c r="DJ474" s="430"/>
      <c r="DK474" s="389"/>
      <c r="DL474" s="389"/>
      <c r="DM474" s="389"/>
      <c r="DN474" s="389"/>
      <c r="DO474" s="389"/>
      <c r="DP474" s="389"/>
      <c r="DQ474" s="389"/>
      <c r="DR474" s="487"/>
      <c r="DS474" s="25"/>
      <c r="DZ474" s="52"/>
      <c r="EA474" s="52"/>
    </row>
    <row r="475" spans="1:131" x14ac:dyDescent="0.2">
      <c r="BJ475" s="201"/>
    </row>
    <row r="476" spans="1:131" x14ac:dyDescent="0.2">
      <c r="BJ476" s="201"/>
    </row>
    <row r="477" spans="1:131" x14ac:dyDescent="0.2">
      <c r="BJ477" s="201"/>
    </row>
    <row r="478" spans="1:131" x14ac:dyDescent="0.2">
      <c r="BJ478" s="201"/>
    </row>
    <row r="479" spans="1:131" x14ac:dyDescent="0.2">
      <c r="BJ479" s="201"/>
    </row>
    <row r="480" spans="1:131" x14ac:dyDescent="0.2">
      <c r="BJ480" s="201"/>
    </row>
    <row r="481" spans="62:62" x14ac:dyDescent="0.2">
      <c r="BJ481" s="201"/>
    </row>
    <row r="482" spans="62:62" x14ac:dyDescent="0.2">
      <c r="BJ482" s="201"/>
    </row>
    <row r="483" spans="62:62" x14ac:dyDescent="0.2">
      <c r="BJ483" s="201"/>
    </row>
    <row r="484" spans="62:62" x14ac:dyDescent="0.2">
      <c r="BJ484" s="201"/>
    </row>
    <row r="485" spans="62:62" x14ac:dyDescent="0.2">
      <c r="BJ485" s="201"/>
    </row>
    <row r="486" spans="62:62" x14ac:dyDescent="0.2">
      <c r="BJ486" s="201"/>
    </row>
    <row r="487" spans="62:62" x14ac:dyDescent="0.2">
      <c r="BJ487" s="201"/>
    </row>
    <row r="488" spans="62:62" x14ac:dyDescent="0.2">
      <c r="BJ488" s="201"/>
    </row>
    <row r="489" spans="62:62" x14ac:dyDescent="0.2">
      <c r="BJ489" s="201"/>
    </row>
    <row r="490" spans="62:62" x14ac:dyDescent="0.2">
      <c r="BJ490" s="201"/>
    </row>
    <row r="491" spans="62:62" x14ac:dyDescent="0.2">
      <c r="BJ491" s="201"/>
    </row>
    <row r="492" spans="62:62" x14ac:dyDescent="0.2">
      <c r="BJ492" s="201"/>
    </row>
    <row r="493" spans="62:62" x14ac:dyDescent="0.2">
      <c r="BJ493" s="201"/>
    </row>
    <row r="494" spans="62:62" x14ac:dyDescent="0.2">
      <c r="BJ494" s="201"/>
    </row>
    <row r="495" spans="62:62" x14ac:dyDescent="0.2">
      <c r="BJ495" s="201"/>
    </row>
    <row r="496" spans="62:62" x14ac:dyDescent="0.2">
      <c r="BJ496" s="201"/>
    </row>
    <row r="497" spans="62:62" x14ac:dyDescent="0.2">
      <c r="BJ497" s="201"/>
    </row>
    <row r="498" spans="62:62" x14ac:dyDescent="0.2">
      <c r="BJ498" s="201"/>
    </row>
    <row r="499" spans="62:62" x14ac:dyDescent="0.2">
      <c r="BJ499" s="201"/>
    </row>
    <row r="500" spans="62:62" x14ac:dyDescent="0.2">
      <c r="BJ500" s="201"/>
    </row>
    <row r="501" spans="62:62" x14ac:dyDescent="0.2">
      <c r="BJ501" s="201"/>
    </row>
    <row r="502" spans="62:62" x14ac:dyDescent="0.2">
      <c r="BJ502" s="201"/>
    </row>
    <row r="503" spans="62:62" x14ac:dyDescent="0.2">
      <c r="BJ503" s="201"/>
    </row>
    <row r="504" spans="62:62" x14ac:dyDescent="0.2">
      <c r="BJ504" s="201"/>
    </row>
    <row r="505" spans="62:62" x14ac:dyDescent="0.2">
      <c r="BJ505" s="201"/>
    </row>
    <row r="506" spans="62:62" x14ac:dyDescent="0.2">
      <c r="BJ506" s="201"/>
    </row>
    <row r="507" spans="62:62" x14ac:dyDescent="0.2">
      <c r="BJ507" s="201"/>
    </row>
    <row r="508" spans="62:62" x14ac:dyDescent="0.2">
      <c r="BJ508" s="201"/>
    </row>
    <row r="509" spans="62:62" x14ac:dyDescent="0.2">
      <c r="BJ509" s="201"/>
    </row>
    <row r="510" spans="62:62" x14ac:dyDescent="0.2">
      <c r="BJ510" s="201"/>
    </row>
    <row r="511" spans="62:62" x14ac:dyDescent="0.2">
      <c r="BJ511" s="201"/>
    </row>
    <row r="512" spans="62:62" x14ac:dyDescent="0.2">
      <c r="BJ512" s="201"/>
    </row>
    <row r="513" spans="62:62" x14ac:dyDescent="0.2">
      <c r="BJ513" s="201"/>
    </row>
    <row r="514" spans="62:62" x14ac:dyDescent="0.2">
      <c r="BJ514" s="201"/>
    </row>
    <row r="515" spans="62:62" x14ac:dyDescent="0.2">
      <c r="BJ515" s="201"/>
    </row>
    <row r="516" spans="62:62" x14ac:dyDescent="0.2">
      <c r="BJ516" s="201"/>
    </row>
    <row r="517" spans="62:62" x14ac:dyDescent="0.2">
      <c r="BJ517" s="201"/>
    </row>
    <row r="518" spans="62:62" x14ac:dyDescent="0.2">
      <c r="BJ518" s="201"/>
    </row>
    <row r="519" spans="62:62" x14ac:dyDescent="0.2">
      <c r="BJ519" s="201"/>
    </row>
    <row r="520" spans="62:62" x14ac:dyDescent="0.2">
      <c r="BJ520" s="201"/>
    </row>
    <row r="521" spans="62:62" x14ac:dyDescent="0.2">
      <c r="BJ521" s="201"/>
    </row>
    <row r="522" spans="62:62" x14ac:dyDescent="0.2">
      <c r="BJ522" s="201"/>
    </row>
    <row r="523" spans="62:62" x14ac:dyDescent="0.2">
      <c r="BJ523" s="201"/>
    </row>
    <row r="524" spans="62:62" x14ac:dyDescent="0.2">
      <c r="BJ524" s="201"/>
    </row>
    <row r="525" spans="62:62" x14ac:dyDescent="0.2">
      <c r="BJ525" s="201"/>
    </row>
    <row r="526" spans="62:62" x14ac:dyDescent="0.2">
      <c r="BJ526" s="201"/>
    </row>
    <row r="527" spans="62:62" x14ac:dyDescent="0.2">
      <c r="BJ527" s="201"/>
    </row>
    <row r="528" spans="62:62" x14ac:dyDescent="0.2">
      <c r="BJ528" s="201"/>
    </row>
    <row r="529" spans="62:62" x14ac:dyDescent="0.2">
      <c r="BJ529" s="201"/>
    </row>
    <row r="530" spans="62:62" x14ac:dyDescent="0.2">
      <c r="BJ530" s="201"/>
    </row>
    <row r="531" spans="62:62" x14ac:dyDescent="0.2">
      <c r="BJ531" s="201"/>
    </row>
    <row r="532" spans="62:62" x14ac:dyDescent="0.2">
      <c r="BJ532" s="201"/>
    </row>
    <row r="533" spans="62:62" x14ac:dyDescent="0.2">
      <c r="BJ533" s="201"/>
    </row>
    <row r="534" spans="62:62" x14ac:dyDescent="0.2">
      <c r="BJ534" s="201"/>
    </row>
    <row r="535" spans="62:62" x14ac:dyDescent="0.2">
      <c r="BJ535" s="201"/>
    </row>
    <row r="536" spans="62:62" x14ac:dyDescent="0.2">
      <c r="BJ536" s="201"/>
    </row>
    <row r="537" spans="62:62" x14ac:dyDescent="0.2">
      <c r="BJ537" s="201"/>
    </row>
    <row r="538" spans="62:62" x14ac:dyDescent="0.2">
      <c r="BJ538" s="201"/>
    </row>
    <row r="539" spans="62:62" x14ac:dyDescent="0.2">
      <c r="BJ539" s="201"/>
    </row>
    <row r="540" spans="62:62" x14ac:dyDescent="0.2">
      <c r="BJ540" s="201"/>
    </row>
    <row r="541" spans="62:62" x14ac:dyDescent="0.2">
      <c r="BJ541" s="201"/>
    </row>
    <row r="542" spans="62:62" x14ac:dyDescent="0.2">
      <c r="BJ542" s="201"/>
    </row>
    <row r="543" spans="62:62" x14ac:dyDescent="0.2">
      <c r="BJ543" s="201"/>
    </row>
    <row r="544" spans="62:62" x14ac:dyDescent="0.2">
      <c r="BJ544" s="201"/>
    </row>
    <row r="545" spans="62:62" x14ac:dyDescent="0.2">
      <c r="BJ545" s="201"/>
    </row>
    <row r="546" spans="62:62" x14ac:dyDescent="0.2">
      <c r="BJ546" s="201"/>
    </row>
    <row r="547" spans="62:62" x14ac:dyDescent="0.2">
      <c r="BJ547" s="201"/>
    </row>
    <row r="548" spans="62:62" x14ac:dyDescent="0.2">
      <c r="BJ548" s="201"/>
    </row>
    <row r="549" spans="62:62" x14ac:dyDescent="0.2">
      <c r="BJ549" s="201"/>
    </row>
    <row r="550" spans="62:62" x14ac:dyDescent="0.2">
      <c r="BJ550" s="201"/>
    </row>
    <row r="551" spans="62:62" x14ac:dyDescent="0.2">
      <c r="BJ551" s="201"/>
    </row>
    <row r="552" spans="62:62" x14ac:dyDescent="0.2">
      <c r="BJ552" s="201"/>
    </row>
    <row r="553" spans="62:62" x14ac:dyDescent="0.2">
      <c r="BJ553" s="201"/>
    </row>
    <row r="554" spans="62:62" x14ac:dyDescent="0.2">
      <c r="BJ554" s="201"/>
    </row>
    <row r="555" spans="62:62" x14ac:dyDescent="0.2">
      <c r="BJ555" s="201"/>
    </row>
    <row r="556" spans="62:62" x14ac:dyDescent="0.2">
      <c r="BJ556" s="201"/>
    </row>
    <row r="557" spans="62:62" x14ac:dyDescent="0.2">
      <c r="BJ557" s="201"/>
    </row>
    <row r="558" spans="62:62" x14ac:dyDescent="0.2">
      <c r="BJ558" s="201"/>
    </row>
    <row r="559" spans="62:62" x14ac:dyDescent="0.2">
      <c r="BJ559" s="201"/>
    </row>
    <row r="560" spans="62:62" x14ac:dyDescent="0.2">
      <c r="BJ560" s="201"/>
    </row>
    <row r="561" spans="62:62" x14ac:dyDescent="0.2">
      <c r="BJ561" s="201"/>
    </row>
    <row r="562" spans="62:62" x14ac:dyDescent="0.2">
      <c r="BJ562" s="201"/>
    </row>
    <row r="563" spans="62:62" x14ac:dyDescent="0.2">
      <c r="BJ563" s="201"/>
    </row>
    <row r="564" spans="62:62" x14ac:dyDescent="0.2">
      <c r="BJ564" s="201"/>
    </row>
    <row r="565" spans="62:62" x14ac:dyDescent="0.2">
      <c r="BJ565" s="201"/>
    </row>
    <row r="566" spans="62:62" x14ac:dyDescent="0.2">
      <c r="BJ566" s="201"/>
    </row>
    <row r="567" spans="62:62" x14ac:dyDescent="0.2">
      <c r="BJ567" s="201"/>
    </row>
    <row r="568" spans="62:62" x14ac:dyDescent="0.2">
      <c r="BJ568" s="201"/>
    </row>
    <row r="569" spans="62:62" x14ac:dyDescent="0.2">
      <c r="BJ569" s="201"/>
    </row>
    <row r="570" spans="62:62" x14ac:dyDescent="0.2">
      <c r="BJ570" s="201"/>
    </row>
    <row r="571" spans="62:62" x14ac:dyDescent="0.2">
      <c r="BJ571" s="201"/>
    </row>
    <row r="572" spans="62:62" x14ac:dyDescent="0.2">
      <c r="BJ572" s="201"/>
    </row>
    <row r="573" spans="62:62" x14ac:dyDescent="0.2">
      <c r="BJ573" s="201"/>
    </row>
    <row r="574" spans="62:62" x14ac:dyDescent="0.2">
      <c r="BJ574" s="201"/>
    </row>
    <row r="575" spans="62:62" x14ac:dyDescent="0.2">
      <c r="BJ575" s="201"/>
    </row>
    <row r="576" spans="62:62" x14ac:dyDescent="0.2">
      <c r="BJ576" s="201"/>
    </row>
    <row r="577" spans="62:62" x14ac:dyDescent="0.2">
      <c r="BJ577" s="201"/>
    </row>
    <row r="578" spans="62:62" x14ac:dyDescent="0.2">
      <c r="BJ578" s="201"/>
    </row>
    <row r="579" spans="62:62" x14ac:dyDescent="0.2">
      <c r="BJ579" s="201"/>
    </row>
    <row r="580" spans="62:62" x14ac:dyDescent="0.2">
      <c r="BJ580" s="201"/>
    </row>
    <row r="581" spans="62:62" x14ac:dyDescent="0.2">
      <c r="BJ581" s="201"/>
    </row>
    <row r="582" spans="62:62" x14ac:dyDescent="0.2">
      <c r="BJ582" s="201"/>
    </row>
    <row r="583" spans="62:62" x14ac:dyDescent="0.2">
      <c r="BJ583" s="201"/>
    </row>
    <row r="584" spans="62:62" x14ac:dyDescent="0.2">
      <c r="BJ584" s="201"/>
    </row>
    <row r="585" spans="62:62" x14ac:dyDescent="0.2">
      <c r="BJ585" s="201"/>
    </row>
    <row r="586" spans="62:62" x14ac:dyDescent="0.2">
      <c r="BJ586" s="201"/>
    </row>
    <row r="587" spans="62:62" x14ac:dyDescent="0.2">
      <c r="BJ587" s="201"/>
    </row>
    <row r="588" spans="62:62" x14ac:dyDescent="0.2">
      <c r="BJ588" s="201"/>
    </row>
    <row r="589" spans="62:62" x14ac:dyDescent="0.2">
      <c r="BJ589" s="201"/>
    </row>
    <row r="590" spans="62:62" x14ac:dyDescent="0.2">
      <c r="BJ590" s="201"/>
    </row>
    <row r="591" spans="62:62" x14ac:dyDescent="0.2">
      <c r="BJ591" s="201"/>
    </row>
    <row r="592" spans="62:62" x14ac:dyDescent="0.2">
      <c r="BJ592" s="201"/>
    </row>
    <row r="593" spans="62:62" x14ac:dyDescent="0.2">
      <c r="BJ593" s="201"/>
    </row>
    <row r="594" spans="62:62" x14ac:dyDescent="0.2">
      <c r="BJ594" s="201"/>
    </row>
    <row r="595" spans="62:62" x14ac:dyDescent="0.2">
      <c r="BJ595" s="201"/>
    </row>
    <row r="596" spans="62:62" x14ac:dyDescent="0.2">
      <c r="BJ596" s="201"/>
    </row>
    <row r="597" spans="62:62" x14ac:dyDescent="0.2">
      <c r="BJ597" s="201"/>
    </row>
    <row r="598" spans="62:62" x14ac:dyDescent="0.2">
      <c r="BJ598" s="201"/>
    </row>
    <row r="599" spans="62:62" x14ac:dyDescent="0.2">
      <c r="BJ599" s="201"/>
    </row>
    <row r="600" spans="62:62" x14ac:dyDescent="0.2">
      <c r="BJ600" s="201"/>
    </row>
    <row r="601" spans="62:62" x14ac:dyDescent="0.2">
      <c r="BJ601" s="201"/>
    </row>
    <row r="602" spans="62:62" x14ac:dyDescent="0.2">
      <c r="BJ602" s="201"/>
    </row>
    <row r="603" spans="62:62" x14ac:dyDescent="0.2">
      <c r="BJ603" s="201"/>
    </row>
    <row r="604" spans="62:62" x14ac:dyDescent="0.2">
      <c r="BJ604" s="201"/>
    </row>
    <row r="605" spans="62:62" x14ac:dyDescent="0.2">
      <c r="BJ605" s="201"/>
    </row>
    <row r="606" spans="62:62" x14ac:dyDescent="0.2">
      <c r="BJ606" s="201"/>
    </row>
    <row r="607" spans="62:62" x14ac:dyDescent="0.2">
      <c r="BJ607" s="201"/>
    </row>
    <row r="608" spans="62:62" x14ac:dyDescent="0.2">
      <c r="BJ608" s="201"/>
    </row>
    <row r="609" spans="62:62" x14ac:dyDescent="0.2">
      <c r="BJ609" s="201"/>
    </row>
    <row r="610" spans="62:62" x14ac:dyDescent="0.2">
      <c r="BJ610" s="201"/>
    </row>
    <row r="611" spans="62:62" x14ac:dyDescent="0.2">
      <c r="BJ611" s="201"/>
    </row>
    <row r="612" spans="62:62" x14ac:dyDescent="0.2">
      <c r="BJ612" s="201"/>
    </row>
    <row r="613" spans="62:62" x14ac:dyDescent="0.2">
      <c r="BJ613" s="201"/>
    </row>
    <row r="614" spans="62:62" x14ac:dyDescent="0.2">
      <c r="BJ614" s="201"/>
    </row>
    <row r="615" spans="62:62" x14ac:dyDescent="0.2">
      <c r="BJ615" s="201"/>
    </row>
    <row r="616" spans="62:62" x14ac:dyDescent="0.2">
      <c r="BJ616" s="201"/>
    </row>
    <row r="617" spans="62:62" x14ac:dyDescent="0.2">
      <c r="BJ617" s="201"/>
    </row>
    <row r="618" spans="62:62" x14ac:dyDescent="0.2">
      <c r="BJ618" s="201"/>
    </row>
    <row r="619" spans="62:62" x14ac:dyDescent="0.2">
      <c r="BJ619" s="201"/>
    </row>
    <row r="620" spans="62:62" x14ac:dyDescent="0.2">
      <c r="BJ620" s="201"/>
    </row>
    <row r="621" spans="62:62" x14ac:dyDescent="0.2">
      <c r="BJ621" s="201"/>
    </row>
    <row r="622" spans="62:62" x14ac:dyDescent="0.2">
      <c r="BJ622" s="201"/>
    </row>
    <row r="623" spans="62:62" x14ac:dyDescent="0.2">
      <c r="BJ623" s="201"/>
    </row>
    <row r="624" spans="62:62" x14ac:dyDescent="0.2">
      <c r="BJ624" s="201"/>
    </row>
    <row r="625" spans="62:62" x14ac:dyDescent="0.2">
      <c r="BJ625" s="201"/>
    </row>
    <row r="626" spans="62:62" x14ac:dyDescent="0.2">
      <c r="BJ626" s="201"/>
    </row>
    <row r="627" spans="62:62" x14ac:dyDescent="0.2">
      <c r="BJ627" s="201"/>
    </row>
    <row r="628" spans="62:62" x14ac:dyDescent="0.2">
      <c r="BJ628" s="201"/>
    </row>
    <row r="629" spans="62:62" x14ac:dyDescent="0.2">
      <c r="BJ629" s="201"/>
    </row>
    <row r="630" spans="62:62" x14ac:dyDescent="0.2">
      <c r="BJ630" s="201"/>
    </row>
    <row r="631" spans="62:62" x14ac:dyDescent="0.2">
      <c r="BJ631" s="201"/>
    </row>
    <row r="632" spans="62:62" x14ac:dyDescent="0.2">
      <c r="BJ632" s="201"/>
    </row>
    <row r="633" spans="62:62" x14ac:dyDescent="0.2">
      <c r="BJ633" s="201"/>
    </row>
    <row r="634" spans="62:62" x14ac:dyDescent="0.2">
      <c r="BJ634" s="201"/>
    </row>
    <row r="635" spans="62:62" x14ac:dyDescent="0.2">
      <c r="BJ635" s="201"/>
    </row>
    <row r="636" spans="62:62" x14ac:dyDescent="0.2">
      <c r="BJ636" s="201"/>
    </row>
    <row r="637" spans="62:62" x14ac:dyDescent="0.2">
      <c r="BJ637" s="201"/>
    </row>
    <row r="638" spans="62:62" x14ac:dyDescent="0.2">
      <c r="BJ638" s="201"/>
    </row>
    <row r="639" spans="62:62" x14ac:dyDescent="0.2">
      <c r="BJ639" s="201"/>
    </row>
    <row r="640" spans="62:62" x14ac:dyDescent="0.2">
      <c r="BJ640" s="201"/>
    </row>
    <row r="641" spans="62:62" x14ac:dyDescent="0.2">
      <c r="BJ641" s="201"/>
    </row>
    <row r="642" spans="62:62" x14ac:dyDescent="0.2">
      <c r="BJ642" s="201"/>
    </row>
    <row r="643" spans="62:62" x14ac:dyDescent="0.2">
      <c r="BJ643" s="201"/>
    </row>
    <row r="644" spans="62:62" x14ac:dyDescent="0.2">
      <c r="BJ644" s="201"/>
    </row>
    <row r="645" spans="62:62" x14ac:dyDescent="0.2">
      <c r="BJ645" s="201"/>
    </row>
    <row r="646" spans="62:62" x14ac:dyDescent="0.2">
      <c r="BJ646" s="201"/>
    </row>
    <row r="647" spans="62:62" x14ac:dyDescent="0.2">
      <c r="BJ647" s="201"/>
    </row>
    <row r="648" spans="62:62" x14ac:dyDescent="0.2">
      <c r="BJ648" s="201"/>
    </row>
    <row r="649" spans="62:62" x14ac:dyDescent="0.2">
      <c r="BJ649" s="201"/>
    </row>
    <row r="650" spans="62:62" x14ac:dyDescent="0.2">
      <c r="BJ650" s="201"/>
    </row>
    <row r="651" spans="62:62" x14ac:dyDescent="0.2">
      <c r="BJ651" s="201"/>
    </row>
    <row r="652" spans="62:62" x14ac:dyDescent="0.2">
      <c r="BJ652" s="201"/>
    </row>
    <row r="653" spans="62:62" x14ac:dyDescent="0.2">
      <c r="BJ653" s="201"/>
    </row>
    <row r="654" spans="62:62" x14ac:dyDescent="0.2">
      <c r="BJ654" s="201"/>
    </row>
    <row r="655" spans="62:62" x14ac:dyDescent="0.2">
      <c r="BJ655" s="201"/>
    </row>
    <row r="656" spans="62:62" x14ac:dyDescent="0.2">
      <c r="BJ656" s="201"/>
    </row>
    <row r="657" spans="62:62" x14ac:dyDescent="0.2">
      <c r="BJ657" s="201"/>
    </row>
    <row r="658" spans="62:62" x14ac:dyDescent="0.2">
      <c r="BJ658" s="201"/>
    </row>
    <row r="659" spans="62:62" x14ac:dyDescent="0.2">
      <c r="BJ659" s="201"/>
    </row>
    <row r="660" spans="62:62" x14ac:dyDescent="0.2">
      <c r="BJ660" s="201"/>
    </row>
    <row r="661" spans="62:62" x14ac:dyDescent="0.2">
      <c r="BJ661" s="201"/>
    </row>
    <row r="662" spans="62:62" x14ac:dyDescent="0.2">
      <c r="BJ662" s="201"/>
    </row>
    <row r="663" spans="62:62" x14ac:dyDescent="0.2">
      <c r="BJ663" s="201"/>
    </row>
    <row r="664" spans="62:62" x14ac:dyDescent="0.2">
      <c r="BJ664" s="201"/>
    </row>
    <row r="665" spans="62:62" x14ac:dyDescent="0.2">
      <c r="BJ665" s="201"/>
    </row>
    <row r="666" spans="62:62" x14ac:dyDescent="0.2">
      <c r="BJ666" s="201"/>
    </row>
    <row r="667" spans="62:62" x14ac:dyDescent="0.2">
      <c r="BJ667" s="201"/>
    </row>
    <row r="668" spans="62:62" x14ac:dyDescent="0.2">
      <c r="BJ668" s="201"/>
    </row>
    <row r="669" spans="62:62" x14ac:dyDescent="0.2">
      <c r="BJ669" s="201"/>
    </row>
    <row r="670" spans="62:62" x14ac:dyDescent="0.2">
      <c r="BJ670" s="201"/>
    </row>
    <row r="671" spans="62:62" x14ac:dyDescent="0.2">
      <c r="BJ671" s="201"/>
    </row>
    <row r="672" spans="62:62" x14ac:dyDescent="0.2">
      <c r="BJ672" s="201"/>
    </row>
    <row r="673" spans="62:62" x14ac:dyDescent="0.2">
      <c r="BJ673" s="201"/>
    </row>
    <row r="674" spans="62:62" x14ac:dyDescent="0.2">
      <c r="BJ674" s="201"/>
    </row>
    <row r="675" spans="62:62" x14ac:dyDescent="0.2">
      <c r="BJ675" s="201"/>
    </row>
    <row r="676" spans="62:62" x14ac:dyDescent="0.2">
      <c r="BJ676" s="201"/>
    </row>
    <row r="677" spans="62:62" x14ac:dyDescent="0.2">
      <c r="BJ677" s="201"/>
    </row>
    <row r="678" spans="62:62" x14ac:dyDescent="0.2">
      <c r="BJ678" s="201"/>
    </row>
    <row r="679" spans="62:62" x14ac:dyDescent="0.2">
      <c r="BJ679" s="201"/>
    </row>
    <row r="680" spans="62:62" x14ac:dyDescent="0.2">
      <c r="BJ680" s="201"/>
    </row>
    <row r="681" spans="62:62" x14ac:dyDescent="0.2">
      <c r="BJ681" s="201"/>
    </row>
    <row r="682" spans="62:62" x14ac:dyDescent="0.2">
      <c r="BJ682" s="201"/>
    </row>
    <row r="683" spans="62:62" x14ac:dyDescent="0.2">
      <c r="BJ683" s="201"/>
    </row>
    <row r="684" spans="62:62" x14ac:dyDescent="0.2">
      <c r="BJ684" s="201"/>
    </row>
    <row r="685" spans="62:62" x14ac:dyDescent="0.2">
      <c r="BJ685" s="201"/>
    </row>
    <row r="686" spans="62:62" x14ac:dyDescent="0.2">
      <c r="BJ686" s="201"/>
    </row>
    <row r="687" spans="62:62" x14ac:dyDescent="0.2">
      <c r="BJ687" s="201"/>
    </row>
    <row r="688" spans="62:62" x14ac:dyDescent="0.2">
      <c r="BJ688" s="201"/>
    </row>
    <row r="689" spans="62:62" x14ac:dyDescent="0.2">
      <c r="BJ689" s="201"/>
    </row>
    <row r="690" spans="62:62" x14ac:dyDescent="0.2">
      <c r="BJ690" s="201"/>
    </row>
    <row r="691" spans="62:62" x14ac:dyDescent="0.2">
      <c r="BJ691" s="201"/>
    </row>
    <row r="692" spans="62:62" x14ac:dyDescent="0.2">
      <c r="BJ692" s="201"/>
    </row>
    <row r="693" spans="62:62" x14ac:dyDescent="0.2">
      <c r="BJ693" s="201"/>
    </row>
    <row r="694" spans="62:62" x14ac:dyDescent="0.2">
      <c r="BJ694" s="201"/>
    </row>
    <row r="695" spans="62:62" x14ac:dyDescent="0.2">
      <c r="BJ695" s="201"/>
    </row>
    <row r="696" spans="62:62" x14ac:dyDescent="0.2">
      <c r="BJ696" s="201"/>
    </row>
    <row r="697" spans="62:62" x14ac:dyDescent="0.2">
      <c r="BJ697" s="201"/>
    </row>
    <row r="698" spans="62:62" x14ac:dyDescent="0.2">
      <c r="BJ698" s="201"/>
    </row>
    <row r="699" spans="62:62" x14ac:dyDescent="0.2">
      <c r="BJ699" s="201"/>
    </row>
    <row r="700" spans="62:62" x14ac:dyDescent="0.2">
      <c r="BJ700" s="201"/>
    </row>
    <row r="701" spans="62:62" x14ac:dyDescent="0.2">
      <c r="BJ701" s="201"/>
    </row>
    <row r="702" spans="62:62" x14ac:dyDescent="0.2">
      <c r="BJ702" s="201"/>
    </row>
    <row r="703" spans="62:62" x14ac:dyDescent="0.2">
      <c r="BJ703" s="201"/>
    </row>
    <row r="704" spans="62:62" x14ac:dyDescent="0.2">
      <c r="BJ704" s="201"/>
    </row>
    <row r="705" spans="62:62" x14ac:dyDescent="0.2">
      <c r="BJ705" s="201"/>
    </row>
    <row r="706" spans="62:62" x14ac:dyDescent="0.2">
      <c r="BJ706" s="201"/>
    </row>
    <row r="707" spans="62:62" x14ac:dyDescent="0.2">
      <c r="BJ707" s="201"/>
    </row>
    <row r="708" spans="62:62" x14ac:dyDescent="0.2">
      <c r="BJ708" s="201"/>
    </row>
    <row r="709" spans="62:62" x14ac:dyDescent="0.2">
      <c r="BJ709" s="201"/>
    </row>
    <row r="710" spans="62:62" x14ac:dyDescent="0.2">
      <c r="BJ710" s="201"/>
    </row>
    <row r="711" spans="62:62" x14ac:dyDescent="0.2">
      <c r="BJ711" s="201"/>
    </row>
    <row r="712" spans="62:62" x14ac:dyDescent="0.2">
      <c r="BJ712" s="201"/>
    </row>
    <row r="713" spans="62:62" x14ac:dyDescent="0.2">
      <c r="BJ713" s="201"/>
    </row>
    <row r="714" spans="62:62" x14ac:dyDescent="0.2">
      <c r="BJ714" s="201"/>
    </row>
    <row r="715" spans="62:62" x14ac:dyDescent="0.2">
      <c r="BJ715" s="201"/>
    </row>
    <row r="716" spans="62:62" x14ac:dyDescent="0.2">
      <c r="BJ716" s="201"/>
    </row>
    <row r="717" spans="62:62" x14ac:dyDescent="0.2">
      <c r="BJ717" s="201"/>
    </row>
    <row r="718" spans="62:62" x14ac:dyDescent="0.2">
      <c r="BJ718" s="201"/>
    </row>
    <row r="719" spans="62:62" x14ac:dyDescent="0.2">
      <c r="BJ719" s="201"/>
    </row>
    <row r="720" spans="62:62" x14ac:dyDescent="0.2">
      <c r="BJ720" s="201"/>
    </row>
    <row r="721" spans="62:62" x14ac:dyDescent="0.2">
      <c r="BJ721" s="201"/>
    </row>
    <row r="722" spans="62:62" x14ac:dyDescent="0.2">
      <c r="BJ722" s="201"/>
    </row>
    <row r="723" spans="62:62" x14ac:dyDescent="0.2">
      <c r="BJ723" s="201"/>
    </row>
    <row r="724" spans="62:62" x14ac:dyDescent="0.2">
      <c r="BJ724" s="201"/>
    </row>
    <row r="725" spans="62:62" x14ac:dyDescent="0.2">
      <c r="BJ725" s="201"/>
    </row>
    <row r="726" spans="62:62" x14ac:dyDescent="0.2">
      <c r="BJ726" s="201"/>
    </row>
    <row r="727" spans="62:62" x14ac:dyDescent="0.2">
      <c r="BJ727" s="201"/>
    </row>
    <row r="728" spans="62:62" x14ac:dyDescent="0.2">
      <c r="BJ728" s="201"/>
    </row>
    <row r="729" spans="62:62" x14ac:dyDescent="0.2">
      <c r="BJ729" s="201"/>
    </row>
    <row r="730" spans="62:62" x14ac:dyDescent="0.2">
      <c r="BJ730" s="201"/>
    </row>
    <row r="731" spans="62:62" x14ac:dyDescent="0.2">
      <c r="BJ731" s="201"/>
    </row>
    <row r="732" spans="62:62" x14ac:dyDescent="0.2">
      <c r="BJ732" s="201"/>
    </row>
    <row r="733" spans="62:62" x14ac:dyDescent="0.2">
      <c r="BJ733" s="201"/>
    </row>
    <row r="734" spans="62:62" x14ac:dyDescent="0.2">
      <c r="BJ734" s="201"/>
    </row>
    <row r="735" spans="62:62" x14ac:dyDescent="0.2">
      <c r="BJ735" s="201"/>
    </row>
    <row r="736" spans="62:62" x14ac:dyDescent="0.2">
      <c r="BJ736" s="201"/>
    </row>
    <row r="737" spans="62:62" x14ac:dyDescent="0.2">
      <c r="BJ737" s="201"/>
    </row>
    <row r="738" spans="62:62" x14ac:dyDescent="0.2">
      <c r="BJ738" s="201"/>
    </row>
    <row r="739" spans="62:62" x14ac:dyDescent="0.2">
      <c r="BJ739" s="201"/>
    </row>
    <row r="740" spans="62:62" x14ac:dyDescent="0.2">
      <c r="BJ740" s="201"/>
    </row>
    <row r="741" spans="62:62" x14ac:dyDescent="0.2">
      <c r="BJ741" s="201"/>
    </row>
    <row r="742" spans="62:62" x14ac:dyDescent="0.2">
      <c r="BJ742" s="201"/>
    </row>
    <row r="743" spans="62:62" x14ac:dyDescent="0.2">
      <c r="BJ743" s="201"/>
    </row>
    <row r="744" spans="62:62" x14ac:dyDescent="0.2">
      <c r="BJ744" s="201"/>
    </row>
    <row r="745" spans="62:62" x14ac:dyDescent="0.2">
      <c r="BJ745" s="201"/>
    </row>
    <row r="746" spans="62:62" x14ac:dyDescent="0.2">
      <c r="BJ746" s="201"/>
    </row>
    <row r="747" spans="62:62" x14ac:dyDescent="0.2">
      <c r="BJ747" s="201"/>
    </row>
    <row r="748" spans="62:62" x14ac:dyDescent="0.2">
      <c r="BJ748" s="201"/>
    </row>
    <row r="749" spans="62:62" x14ac:dyDescent="0.2">
      <c r="BJ749" s="201"/>
    </row>
    <row r="750" spans="62:62" x14ac:dyDescent="0.2">
      <c r="BJ750" s="201"/>
    </row>
    <row r="751" spans="62:62" x14ac:dyDescent="0.2">
      <c r="BJ751" s="201"/>
    </row>
    <row r="752" spans="62:62" x14ac:dyDescent="0.2">
      <c r="BJ752" s="201"/>
    </row>
    <row r="753" spans="62:62" x14ac:dyDescent="0.2">
      <c r="BJ753" s="201"/>
    </row>
    <row r="754" spans="62:62" x14ac:dyDescent="0.2">
      <c r="BJ754" s="201"/>
    </row>
    <row r="755" spans="62:62" x14ac:dyDescent="0.2">
      <c r="BJ755" s="201"/>
    </row>
    <row r="756" spans="62:62" x14ac:dyDescent="0.2">
      <c r="BJ756" s="201"/>
    </row>
    <row r="757" spans="62:62" x14ac:dyDescent="0.2">
      <c r="BJ757" s="201"/>
    </row>
    <row r="758" spans="62:62" x14ac:dyDescent="0.2">
      <c r="BJ758" s="201"/>
    </row>
    <row r="759" spans="62:62" x14ac:dyDescent="0.2">
      <c r="BJ759" s="201"/>
    </row>
    <row r="760" spans="62:62" x14ac:dyDescent="0.2">
      <c r="BJ760" s="201"/>
    </row>
    <row r="761" spans="62:62" x14ac:dyDescent="0.2">
      <c r="BJ761" s="201"/>
    </row>
    <row r="762" spans="62:62" x14ac:dyDescent="0.2">
      <c r="BJ762" s="201"/>
    </row>
    <row r="763" spans="62:62" x14ac:dyDescent="0.2">
      <c r="BJ763" s="201"/>
    </row>
    <row r="764" spans="62:62" x14ac:dyDescent="0.2">
      <c r="BJ764" s="201"/>
    </row>
    <row r="765" spans="62:62" x14ac:dyDescent="0.2">
      <c r="BJ765" s="201"/>
    </row>
    <row r="766" spans="62:62" x14ac:dyDescent="0.2">
      <c r="BJ766" s="201"/>
    </row>
    <row r="767" spans="62:62" x14ac:dyDescent="0.2">
      <c r="BJ767" s="201"/>
    </row>
    <row r="768" spans="62:62" x14ac:dyDescent="0.2">
      <c r="BJ768" s="201"/>
    </row>
    <row r="769" spans="62:62" x14ac:dyDescent="0.2">
      <c r="BJ769" s="201"/>
    </row>
    <row r="770" spans="62:62" x14ac:dyDescent="0.2">
      <c r="BJ770" s="201"/>
    </row>
    <row r="771" spans="62:62" x14ac:dyDescent="0.2">
      <c r="BJ771" s="201"/>
    </row>
    <row r="772" spans="62:62" x14ac:dyDescent="0.2">
      <c r="BJ772" s="201"/>
    </row>
    <row r="773" spans="62:62" x14ac:dyDescent="0.2">
      <c r="BJ773" s="201"/>
    </row>
    <row r="774" spans="62:62" x14ac:dyDescent="0.2">
      <c r="BJ774" s="201"/>
    </row>
    <row r="775" spans="62:62" x14ac:dyDescent="0.2">
      <c r="BJ775" s="201"/>
    </row>
    <row r="776" spans="62:62" x14ac:dyDescent="0.2">
      <c r="BJ776" s="201"/>
    </row>
    <row r="777" spans="62:62" x14ac:dyDescent="0.2">
      <c r="BJ777" s="201"/>
    </row>
    <row r="778" spans="62:62" x14ac:dyDescent="0.2">
      <c r="BJ778" s="201"/>
    </row>
    <row r="779" spans="62:62" x14ac:dyDescent="0.2">
      <c r="BJ779" s="201"/>
    </row>
    <row r="780" spans="62:62" x14ac:dyDescent="0.2">
      <c r="BJ780" s="201"/>
    </row>
    <row r="781" spans="62:62" x14ac:dyDescent="0.2">
      <c r="BJ781" s="201"/>
    </row>
    <row r="782" spans="62:62" x14ac:dyDescent="0.2">
      <c r="BJ782" s="201"/>
    </row>
    <row r="783" spans="62:62" x14ac:dyDescent="0.2">
      <c r="BJ783" s="201"/>
    </row>
    <row r="784" spans="62:62" x14ac:dyDescent="0.2">
      <c r="BJ784" s="201"/>
    </row>
    <row r="785" spans="62:62" x14ac:dyDescent="0.2">
      <c r="BJ785" s="201"/>
    </row>
    <row r="786" spans="62:62" x14ac:dyDescent="0.2">
      <c r="BJ786" s="201"/>
    </row>
    <row r="787" spans="62:62" x14ac:dyDescent="0.2">
      <c r="BJ787" s="201"/>
    </row>
    <row r="788" spans="62:62" x14ac:dyDescent="0.2">
      <c r="BJ788" s="201"/>
    </row>
    <row r="789" spans="62:62" x14ac:dyDescent="0.2">
      <c r="BJ789" s="201"/>
    </row>
    <row r="790" spans="62:62" x14ac:dyDescent="0.2">
      <c r="BJ790" s="201"/>
    </row>
    <row r="791" spans="62:62" x14ac:dyDescent="0.2">
      <c r="BJ791" s="201"/>
    </row>
    <row r="792" spans="62:62" x14ac:dyDescent="0.2">
      <c r="BJ792" s="201"/>
    </row>
    <row r="793" spans="62:62" x14ac:dyDescent="0.2">
      <c r="BJ793" s="201"/>
    </row>
    <row r="794" spans="62:62" x14ac:dyDescent="0.2">
      <c r="BJ794" s="201"/>
    </row>
    <row r="795" spans="62:62" x14ac:dyDescent="0.2">
      <c r="BJ795" s="201"/>
    </row>
    <row r="796" spans="62:62" x14ac:dyDescent="0.2">
      <c r="BJ796" s="201"/>
    </row>
    <row r="797" spans="62:62" x14ac:dyDescent="0.2">
      <c r="BJ797" s="201"/>
    </row>
    <row r="798" spans="62:62" x14ac:dyDescent="0.2">
      <c r="BJ798" s="201"/>
    </row>
    <row r="799" spans="62:62" x14ac:dyDescent="0.2">
      <c r="BJ799" s="201"/>
    </row>
    <row r="800" spans="62:62" x14ac:dyDescent="0.2">
      <c r="BJ800" s="201"/>
    </row>
    <row r="801" spans="62:62" x14ac:dyDescent="0.2">
      <c r="BJ801" s="201"/>
    </row>
    <row r="802" spans="62:62" x14ac:dyDescent="0.2">
      <c r="BJ802" s="201"/>
    </row>
    <row r="803" spans="62:62" x14ac:dyDescent="0.2">
      <c r="BJ803" s="201"/>
    </row>
    <row r="804" spans="62:62" x14ac:dyDescent="0.2">
      <c r="BJ804" s="201"/>
    </row>
    <row r="805" spans="62:62" x14ac:dyDescent="0.2">
      <c r="BJ805" s="201"/>
    </row>
    <row r="806" spans="62:62" x14ac:dyDescent="0.2">
      <c r="BJ806" s="201"/>
    </row>
    <row r="807" spans="62:62" x14ac:dyDescent="0.2">
      <c r="BJ807" s="201"/>
    </row>
    <row r="808" spans="62:62" x14ac:dyDescent="0.2">
      <c r="BJ808" s="201"/>
    </row>
    <row r="809" spans="62:62" x14ac:dyDescent="0.2">
      <c r="BJ809" s="201"/>
    </row>
    <row r="810" spans="62:62" x14ac:dyDescent="0.2">
      <c r="BJ810" s="201"/>
    </row>
    <row r="811" spans="62:62" x14ac:dyDescent="0.2">
      <c r="BJ811" s="201"/>
    </row>
    <row r="812" spans="62:62" x14ac:dyDescent="0.2">
      <c r="BJ812" s="201"/>
    </row>
    <row r="813" spans="62:62" x14ac:dyDescent="0.2">
      <c r="BJ813" s="201"/>
    </row>
    <row r="814" spans="62:62" x14ac:dyDescent="0.2">
      <c r="BJ814" s="201"/>
    </row>
    <row r="815" spans="62:62" x14ac:dyDescent="0.2">
      <c r="BJ815" s="201"/>
    </row>
    <row r="816" spans="62:62" x14ac:dyDescent="0.2">
      <c r="BJ816" s="201"/>
    </row>
    <row r="817" spans="62:62" x14ac:dyDescent="0.2">
      <c r="BJ817" s="201"/>
    </row>
    <row r="818" spans="62:62" x14ac:dyDescent="0.2">
      <c r="BJ818" s="201"/>
    </row>
    <row r="819" spans="62:62" x14ac:dyDescent="0.2">
      <c r="BJ819" s="201"/>
    </row>
    <row r="820" spans="62:62" x14ac:dyDescent="0.2">
      <c r="BJ820" s="201"/>
    </row>
    <row r="821" spans="62:62" x14ac:dyDescent="0.2">
      <c r="BJ821" s="201"/>
    </row>
    <row r="822" spans="62:62" x14ac:dyDescent="0.2">
      <c r="BJ822" s="201"/>
    </row>
    <row r="823" spans="62:62" x14ac:dyDescent="0.2">
      <c r="BJ823" s="201"/>
    </row>
    <row r="824" spans="62:62" x14ac:dyDescent="0.2">
      <c r="BJ824" s="201"/>
    </row>
    <row r="825" spans="62:62" x14ac:dyDescent="0.2">
      <c r="BJ825" s="201"/>
    </row>
    <row r="826" spans="62:62" x14ac:dyDescent="0.2">
      <c r="BJ826" s="201"/>
    </row>
    <row r="827" spans="62:62" x14ac:dyDescent="0.2">
      <c r="BJ827" s="201"/>
    </row>
    <row r="828" spans="62:62" x14ac:dyDescent="0.2">
      <c r="BJ828" s="201"/>
    </row>
    <row r="829" spans="62:62" x14ac:dyDescent="0.2">
      <c r="BJ829" s="201"/>
    </row>
    <row r="830" spans="62:62" x14ac:dyDescent="0.2">
      <c r="BJ830" s="201"/>
    </row>
    <row r="831" spans="62:62" x14ac:dyDescent="0.2">
      <c r="BJ831" s="201"/>
    </row>
    <row r="832" spans="62:62" x14ac:dyDescent="0.2">
      <c r="BJ832" s="201"/>
    </row>
    <row r="833" spans="62:62" x14ac:dyDescent="0.2">
      <c r="BJ833" s="201"/>
    </row>
    <row r="834" spans="62:62" x14ac:dyDescent="0.2">
      <c r="BJ834" s="201"/>
    </row>
    <row r="835" spans="62:62" x14ac:dyDescent="0.2">
      <c r="BJ835" s="201"/>
    </row>
    <row r="836" spans="62:62" x14ac:dyDescent="0.2">
      <c r="BJ836" s="201"/>
    </row>
    <row r="837" spans="62:62" x14ac:dyDescent="0.2">
      <c r="BJ837" s="201"/>
    </row>
    <row r="838" spans="62:62" x14ac:dyDescent="0.2">
      <c r="BJ838" s="201"/>
    </row>
    <row r="839" spans="62:62" x14ac:dyDescent="0.2">
      <c r="BJ839" s="201"/>
    </row>
    <row r="840" spans="62:62" x14ac:dyDescent="0.2">
      <c r="BJ840" s="201"/>
    </row>
    <row r="841" spans="62:62" x14ac:dyDescent="0.2">
      <c r="BJ841" s="201"/>
    </row>
    <row r="842" spans="62:62" x14ac:dyDescent="0.2">
      <c r="BJ842" s="201"/>
    </row>
    <row r="843" spans="62:62" x14ac:dyDescent="0.2">
      <c r="BJ843" s="201"/>
    </row>
    <row r="844" spans="62:62" x14ac:dyDescent="0.2">
      <c r="BJ844" s="201"/>
    </row>
    <row r="845" spans="62:62" x14ac:dyDescent="0.2">
      <c r="BJ845" s="201"/>
    </row>
    <row r="846" spans="62:62" x14ac:dyDescent="0.2">
      <c r="BJ846" s="201"/>
    </row>
    <row r="847" spans="62:62" x14ac:dyDescent="0.2">
      <c r="BJ847" s="201"/>
    </row>
    <row r="848" spans="62:62" x14ac:dyDescent="0.2">
      <c r="BJ848" s="201"/>
    </row>
    <row r="849" spans="62:62" x14ac:dyDescent="0.2">
      <c r="BJ849" s="201"/>
    </row>
    <row r="850" spans="62:62" x14ac:dyDescent="0.2">
      <c r="BJ850" s="201"/>
    </row>
    <row r="851" spans="62:62" x14ac:dyDescent="0.2">
      <c r="BJ851" s="201"/>
    </row>
    <row r="852" spans="62:62" x14ac:dyDescent="0.2">
      <c r="BJ852" s="201"/>
    </row>
    <row r="853" spans="62:62" x14ac:dyDescent="0.2">
      <c r="BJ853" s="201"/>
    </row>
    <row r="854" spans="62:62" x14ac:dyDescent="0.2">
      <c r="BJ854" s="201"/>
    </row>
    <row r="855" spans="62:62" x14ac:dyDescent="0.2">
      <c r="BJ855" s="201"/>
    </row>
    <row r="856" spans="62:62" x14ac:dyDescent="0.2">
      <c r="BJ856" s="201"/>
    </row>
    <row r="857" spans="62:62" x14ac:dyDescent="0.2">
      <c r="BJ857" s="201"/>
    </row>
    <row r="858" spans="62:62" x14ac:dyDescent="0.2">
      <c r="BJ858" s="201"/>
    </row>
    <row r="859" spans="62:62" x14ac:dyDescent="0.2">
      <c r="BJ859" s="201"/>
    </row>
    <row r="860" spans="62:62" x14ac:dyDescent="0.2">
      <c r="BJ860" s="201"/>
    </row>
    <row r="861" spans="62:62" x14ac:dyDescent="0.2">
      <c r="BJ861" s="201"/>
    </row>
    <row r="862" spans="62:62" x14ac:dyDescent="0.2">
      <c r="BJ862" s="201"/>
    </row>
    <row r="863" spans="62:62" x14ac:dyDescent="0.2">
      <c r="BJ863" s="201"/>
    </row>
    <row r="864" spans="62:62" x14ac:dyDescent="0.2">
      <c r="BJ864" s="201"/>
    </row>
    <row r="865" spans="62:62" x14ac:dyDescent="0.2">
      <c r="BJ865" s="201"/>
    </row>
    <row r="866" spans="62:62" x14ac:dyDescent="0.2">
      <c r="BJ866" s="201"/>
    </row>
    <row r="867" spans="62:62" x14ac:dyDescent="0.2">
      <c r="BJ867" s="201"/>
    </row>
    <row r="868" spans="62:62" x14ac:dyDescent="0.2">
      <c r="BJ868" s="201"/>
    </row>
    <row r="869" spans="62:62" x14ac:dyDescent="0.2">
      <c r="BJ869" s="201"/>
    </row>
    <row r="870" spans="62:62" x14ac:dyDescent="0.2">
      <c r="BJ870" s="201"/>
    </row>
    <row r="871" spans="62:62" x14ac:dyDescent="0.2">
      <c r="BJ871" s="201"/>
    </row>
    <row r="872" spans="62:62" x14ac:dyDescent="0.2">
      <c r="BJ872" s="201"/>
    </row>
    <row r="873" spans="62:62" x14ac:dyDescent="0.2">
      <c r="BJ873" s="201"/>
    </row>
    <row r="874" spans="62:62" x14ac:dyDescent="0.2">
      <c r="BJ874" s="201"/>
    </row>
    <row r="875" spans="62:62" x14ac:dyDescent="0.2">
      <c r="BJ875" s="201"/>
    </row>
    <row r="876" spans="62:62" x14ac:dyDescent="0.2">
      <c r="BJ876" s="201"/>
    </row>
    <row r="877" spans="62:62" x14ac:dyDescent="0.2">
      <c r="BJ877" s="201"/>
    </row>
    <row r="878" spans="62:62" x14ac:dyDescent="0.2">
      <c r="BJ878" s="201"/>
    </row>
    <row r="879" spans="62:62" x14ac:dyDescent="0.2">
      <c r="BJ879" s="201"/>
    </row>
    <row r="880" spans="62:62" x14ac:dyDescent="0.2">
      <c r="BJ880" s="201"/>
    </row>
    <row r="881" spans="62:62" x14ac:dyDescent="0.2">
      <c r="BJ881" s="201"/>
    </row>
    <row r="882" spans="62:62" x14ac:dyDescent="0.2">
      <c r="BJ882" s="201"/>
    </row>
    <row r="883" spans="62:62" x14ac:dyDescent="0.2">
      <c r="BJ883" s="201"/>
    </row>
    <row r="884" spans="62:62" x14ac:dyDescent="0.2">
      <c r="BJ884" s="201"/>
    </row>
    <row r="885" spans="62:62" x14ac:dyDescent="0.2">
      <c r="BJ885" s="201"/>
    </row>
    <row r="886" spans="62:62" x14ac:dyDescent="0.2">
      <c r="BJ886" s="201"/>
    </row>
    <row r="887" spans="62:62" x14ac:dyDescent="0.2">
      <c r="BJ887" s="201"/>
    </row>
    <row r="888" spans="62:62" x14ac:dyDescent="0.2">
      <c r="BJ888" s="201"/>
    </row>
    <row r="889" spans="62:62" x14ac:dyDescent="0.2">
      <c r="BJ889" s="201"/>
    </row>
    <row r="890" spans="62:62" x14ac:dyDescent="0.2">
      <c r="BJ890" s="201"/>
    </row>
    <row r="891" spans="62:62" x14ac:dyDescent="0.2">
      <c r="BJ891" s="201"/>
    </row>
    <row r="892" spans="62:62" x14ac:dyDescent="0.2">
      <c r="BJ892" s="201"/>
    </row>
    <row r="893" spans="62:62" x14ac:dyDescent="0.2">
      <c r="BJ893" s="201"/>
    </row>
    <row r="894" spans="62:62" x14ac:dyDescent="0.2">
      <c r="BJ894" s="201"/>
    </row>
    <row r="895" spans="62:62" x14ac:dyDescent="0.2">
      <c r="BJ895" s="201"/>
    </row>
    <row r="896" spans="62:62" x14ac:dyDescent="0.2">
      <c r="BJ896" s="201"/>
    </row>
    <row r="897" spans="62:62" x14ac:dyDescent="0.2">
      <c r="BJ897" s="201"/>
    </row>
    <row r="898" spans="62:62" x14ac:dyDescent="0.2">
      <c r="BJ898" s="201"/>
    </row>
    <row r="899" spans="62:62" x14ac:dyDescent="0.2">
      <c r="BJ899" s="201"/>
    </row>
    <row r="900" spans="62:62" x14ac:dyDescent="0.2">
      <c r="BJ900" s="201"/>
    </row>
    <row r="901" spans="62:62" x14ac:dyDescent="0.2">
      <c r="BJ901" s="201"/>
    </row>
    <row r="902" spans="62:62" x14ac:dyDescent="0.2">
      <c r="BJ902" s="201"/>
    </row>
    <row r="903" spans="62:62" x14ac:dyDescent="0.2">
      <c r="BJ903" s="201"/>
    </row>
    <row r="904" spans="62:62" x14ac:dyDescent="0.2">
      <c r="BJ904" s="201"/>
    </row>
    <row r="905" spans="62:62" x14ac:dyDescent="0.2">
      <c r="BJ905" s="201"/>
    </row>
    <row r="906" spans="62:62" x14ac:dyDescent="0.2">
      <c r="BJ906" s="201"/>
    </row>
    <row r="907" spans="62:62" x14ac:dyDescent="0.2">
      <c r="BJ907" s="201"/>
    </row>
    <row r="908" spans="62:62" x14ac:dyDescent="0.2">
      <c r="BJ908" s="201"/>
    </row>
    <row r="909" spans="62:62" x14ac:dyDescent="0.2">
      <c r="BJ909" s="201"/>
    </row>
    <row r="910" spans="62:62" x14ac:dyDescent="0.2">
      <c r="BJ910" s="201"/>
    </row>
    <row r="911" spans="62:62" x14ac:dyDescent="0.2">
      <c r="BJ911" s="201"/>
    </row>
    <row r="912" spans="62:62" x14ac:dyDescent="0.2">
      <c r="BJ912" s="201"/>
    </row>
    <row r="913" spans="62:62" x14ac:dyDescent="0.2">
      <c r="BJ913" s="201"/>
    </row>
    <row r="914" spans="62:62" x14ac:dyDescent="0.2">
      <c r="BJ914" s="201"/>
    </row>
    <row r="915" spans="62:62" x14ac:dyDescent="0.2">
      <c r="BJ915" s="201"/>
    </row>
    <row r="916" spans="62:62" x14ac:dyDescent="0.2">
      <c r="BJ916" s="201"/>
    </row>
    <row r="917" spans="62:62" x14ac:dyDescent="0.2">
      <c r="BJ917" s="201"/>
    </row>
    <row r="918" spans="62:62" x14ac:dyDescent="0.2">
      <c r="BJ918" s="201"/>
    </row>
    <row r="919" spans="62:62" x14ac:dyDescent="0.2">
      <c r="BJ919" s="201"/>
    </row>
    <row r="920" spans="62:62" x14ac:dyDescent="0.2">
      <c r="BJ920" s="201"/>
    </row>
    <row r="921" spans="62:62" x14ac:dyDescent="0.2">
      <c r="BJ921" s="201"/>
    </row>
    <row r="922" spans="62:62" x14ac:dyDescent="0.2">
      <c r="BJ922" s="201"/>
    </row>
    <row r="923" spans="62:62" x14ac:dyDescent="0.2">
      <c r="BJ923" s="201"/>
    </row>
    <row r="924" spans="62:62" x14ac:dyDescent="0.2">
      <c r="BJ924" s="201"/>
    </row>
    <row r="925" spans="62:62" x14ac:dyDescent="0.2">
      <c r="BJ925" s="201"/>
    </row>
    <row r="926" spans="62:62" x14ac:dyDescent="0.2">
      <c r="BJ926" s="201"/>
    </row>
    <row r="927" spans="62:62" x14ac:dyDescent="0.2">
      <c r="BJ927" s="201"/>
    </row>
    <row r="928" spans="62:62" x14ac:dyDescent="0.2">
      <c r="BJ928" s="201"/>
    </row>
    <row r="929" spans="62:62" x14ac:dyDescent="0.2">
      <c r="BJ929" s="201"/>
    </row>
    <row r="930" spans="62:62" x14ac:dyDescent="0.2">
      <c r="BJ930" s="201"/>
    </row>
    <row r="931" spans="62:62" x14ac:dyDescent="0.2">
      <c r="BJ931" s="201"/>
    </row>
    <row r="932" spans="62:62" x14ac:dyDescent="0.2">
      <c r="BJ932" s="201"/>
    </row>
    <row r="933" spans="62:62" x14ac:dyDescent="0.2">
      <c r="BJ933" s="201"/>
    </row>
    <row r="934" spans="62:62" x14ac:dyDescent="0.2">
      <c r="BJ934" s="201"/>
    </row>
    <row r="935" spans="62:62" x14ac:dyDescent="0.2">
      <c r="BJ935" s="201"/>
    </row>
    <row r="936" spans="62:62" x14ac:dyDescent="0.2">
      <c r="BJ936" s="201"/>
    </row>
    <row r="937" spans="62:62" x14ac:dyDescent="0.2">
      <c r="BJ937" s="201"/>
    </row>
    <row r="938" spans="62:62" x14ac:dyDescent="0.2">
      <c r="BJ938" s="201"/>
    </row>
    <row r="939" spans="62:62" x14ac:dyDescent="0.2">
      <c r="BJ939" s="201"/>
    </row>
    <row r="940" spans="62:62" x14ac:dyDescent="0.2">
      <c r="BJ940" s="201"/>
    </row>
    <row r="941" spans="62:62" x14ac:dyDescent="0.2">
      <c r="BJ941" s="201"/>
    </row>
    <row r="942" spans="62:62" x14ac:dyDescent="0.2">
      <c r="BJ942" s="201"/>
    </row>
    <row r="943" spans="62:62" x14ac:dyDescent="0.2">
      <c r="BJ943" s="201"/>
    </row>
    <row r="944" spans="62:62" x14ac:dyDescent="0.2">
      <c r="BJ944" s="201"/>
    </row>
    <row r="945" spans="62:62" x14ac:dyDescent="0.2">
      <c r="BJ945" s="201"/>
    </row>
    <row r="946" spans="62:62" x14ac:dyDescent="0.2">
      <c r="BJ946" s="201"/>
    </row>
    <row r="947" spans="62:62" x14ac:dyDescent="0.2">
      <c r="BJ947" s="201"/>
    </row>
    <row r="948" spans="62:62" x14ac:dyDescent="0.2">
      <c r="BJ948" s="201"/>
    </row>
    <row r="949" spans="62:62" x14ac:dyDescent="0.2">
      <c r="BJ949" s="201"/>
    </row>
    <row r="950" spans="62:62" x14ac:dyDescent="0.2">
      <c r="BJ950" s="201"/>
    </row>
    <row r="951" spans="62:62" x14ac:dyDescent="0.2">
      <c r="BJ951" s="201"/>
    </row>
    <row r="952" spans="62:62" x14ac:dyDescent="0.2">
      <c r="BJ952" s="201"/>
    </row>
    <row r="953" spans="62:62" x14ac:dyDescent="0.2">
      <c r="BJ953" s="201"/>
    </row>
    <row r="954" spans="62:62" x14ac:dyDescent="0.2">
      <c r="BJ954" s="201"/>
    </row>
    <row r="955" spans="62:62" x14ac:dyDescent="0.2">
      <c r="BJ955" s="201"/>
    </row>
    <row r="956" spans="62:62" x14ac:dyDescent="0.2">
      <c r="BJ956" s="201"/>
    </row>
    <row r="957" spans="62:62" x14ac:dyDescent="0.2">
      <c r="BJ957" s="201"/>
    </row>
    <row r="958" spans="62:62" x14ac:dyDescent="0.2">
      <c r="BJ958" s="201"/>
    </row>
    <row r="959" spans="62:62" x14ac:dyDescent="0.2">
      <c r="BJ959" s="201"/>
    </row>
    <row r="960" spans="62:62" x14ac:dyDescent="0.2">
      <c r="BJ960" s="201"/>
    </row>
    <row r="961" spans="62:62" x14ac:dyDescent="0.2">
      <c r="BJ961" s="201"/>
    </row>
    <row r="962" spans="62:62" x14ac:dyDescent="0.2">
      <c r="BJ962" s="201"/>
    </row>
    <row r="963" spans="62:62" x14ac:dyDescent="0.2">
      <c r="BJ963" s="201"/>
    </row>
    <row r="964" spans="62:62" x14ac:dyDescent="0.2">
      <c r="BJ964" s="201"/>
    </row>
    <row r="965" spans="62:62" x14ac:dyDescent="0.2">
      <c r="BJ965" s="201"/>
    </row>
    <row r="966" spans="62:62" x14ac:dyDescent="0.2">
      <c r="BJ966" s="201"/>
    </row>
    <row r="967" spans="62:62" x14ac:dyDescent="0.2">
      <c r="BJ967" s="201"/>
    </row>
    <row r="968" spans="62:62" x14ac:dyDescent="0.2">
      <c r="BJ968" s="201"/>
    </row>
    <row r="969" spans="62:62" x14ac:dyDescent="0.2">
      <c r="BJ969" s="201"/>
    </row>
    <row r="970" spans="62:62" x14ac:dyDescent="0.2">
      <c r="BJ970" s="201"/>
    </row>
    <row r="971" spans="62:62" x14ac:dyDescent="0.2">
      <c r="BJ971" s="201"/>
    </row>
    <row r="972" spans="62:62" x14ac:dyDescent="0.2">
      <c r="BJ972" s="201"/>
    </row>
    <row r="973" spans="62:62" x14ac:dyDescent="0.2">
      <c r="BJ973" s="201"/>
    </row>
    <row r="974" spans="62:62" x14ac:dyDescent="0.2">
      <c r="BJ974" s="201"/>
    </row>
    <row r="975" spans="62:62" x14ac:dyDescent="0.2">
      <c r="BJ975" s="201"/>
    </row>
    <row r="976" spans="62:62" x14ac:dyDescent="0.2">
      <c r="BJ976" s="201"/>
    </row>
    <row r="977" spans="62:62" x14ac:dyDescent="0.2">
      <c r="BJ977" s="201"/>
    </row>
    <row r="978" spans="62:62" x14ac:dyDescent="0.2">
      <c r="BJ978" s="201"/>
    </row>
    <row r="979" spans="62:62" x14ac:dyDescent="0.2">
      <c r="BJ979" s="201"/>
    </row>
    <row r="980" spans="62:62" x14ac:dyDescent="0.2">
      <c r="BJ980" s="201"/>
    </row>
    <row r="981" spans="62:62" x14ac:dyDescent="0.2">
      <c r="BJ981" s="201"/>
    </row>
    <row r="982" spans="62:62" x14ac:dyDescent="0.2">
      <c r="BJ982" s="201"/>
    </row>
    <row r="983" spans="62:62" x14ac:dyDescent="0.2">
      <c r="BJ983" s="201"/>
    </row>
    <row r="984" spans="62:62" x14ac:dyDescent="0.2">
      <c r="BJ984" s="201"/>
    </row>
    <row r="985" spans="62:62" x14ac:dyDescent="0.2">
      <c r="BJ985" s="201"/>
    </row>
    <row r="986" spans="62:62" x14ac:dyDescent="0.2">
      <c r="BJ986" s="201"/>
    </row>
    <row r="987" spans="62:62" x14ac:dyDescent="0.2">
      <c r="BJ987" s="201"/>
    </row>
    <row r="988" spans="62:62" x14ac:dyDescent="0.2">
      <c r="BJ988" s="201"/>
    </row>
    <row r="989" spans="62:62" x14ac:dyDescent="0.2">
      <c r="BJ989" s="201"/>
    </row>
    <row r="990" spans="62:62" x14ac:dyDescent="0.2">
      <c r="BJ990" s="201"/>
    </row>
    <row r="991" spans="62:62" x14ac:dyDescent="0.2">
      <c r="BJ991" s="201"/>
    </row>
    <row r="992" spans="62:62" x14ac:dyDescent="0.2">
      <c r="BJ992" s="201"/>
    </row>
    <row r="993" spans="62:62" x14ac:dyDescent="0.2">
      <c r="BJ993" s="201"/>
    </row>
    <row r="994" spans="62:62" x14ac:dyDescent="0.2">
      <c r="BJ994" s="201"/>
    </row>
    <row r="995" spans="62:62" x14ac:dyDescent="0.2">
      <c r="BJ995" s="201"/>
    </row>
    <row r="996" spans="62:62" x14ac:dyDescent="0.2">
      <c r="BJ996" s="201"/>
    </row>
    <row r="997" spans="62:62" x14ac:dyDescent="0.2">
      <c r="BJ997" s="201"/>
    </row>
    <row r="998" spans="62:62" x14ac:dyDescent="0.2">
      <c r="BJ998" s="201"/>
    </row>
    <row r="999" spans="62:62" x14ac:dyDescent="0.2">
      <c r="BJ999" s="201"/>
    </row>
    <row r="1000" spans="62:62" x14ac:dyDescent="0.2">
      <c r="BJ1000" s="201"/>
    </row>
    <row r="1001" spans="62:62" x14ac:dyDescent="0.2">
      <c r="BJ1001" s="201"/>
    </row>
    <row r="1002" spans="62:62" x14ac:dyDescent="0.2">
      <c r="BJ1002" s="201"/>
    </row>
    <row r="1003" spans="62:62" x14ac:dyDescent="0.2">
      <c r="BJ1003" s="201"/>
    </row>
    <row r="1004" spans="62:62" x14ac:dyDescent="0.2">
      <c r="BJ1004" s="201"/>
    </row>
    <row r="1005" spans="62:62" x14ac:dyDescent="0.2">
      <c r="BJ1005" s="201"/>
    </row>
    <row r="1006" spans="62:62" x14ac:dyDescent="0.2">
      <c r="BJ1006" s="201"/>
    </row>
    <row r="1007" spans="62:62" x14ac:dyDescent="0.2">
      <c r="BJ1007" s="201"/>
    </row>
    <row r="1008" spans="62:62" x14ac:dyDescent="0.2">
      <c r="BJ1008" s="201"/>
    </row>
    <row r="1009" spans="62:62" x14ac:dyDescent="0.2">
      <c r="BJ1009" s="201"/>
    </row>
    <row r="1010" spans="62:62" x14ac:dyDescent="0.2">
      <c r="BJ1010" s="201"/>
    </row>
    <row r="1011" spans="62:62" x14ac:dyDescent="0.2">
      <c r="BJ1011" s="201"/>
    </row>
    <row r="1012" spans="62:62" x14ac:dyDescent="0.2">
      <c r="BJ1012" s="201"/>
    </row>
    <row r="1013" spans="62:62" x14ac:dyDescent="0.2">
      <c r="BJ1013" s="201"/>
    </row>
    <row r="1014" spans="62:62" x14ac:dyDescent="0.2">
      <c r="BJ1014" s="201"/>
    </row>
    <row r="1015" spans="62:62" x14ac:dyDescent="0.2">
      <c r="BJ1015" s="201"/>
    </row>
    <row r="1016" spans="62:62" x14ac:dyDescent="0.2">
      <c r="BJ1016" s="201"/>
    </row>
    <row r="1017" spans="62:62" x14ac:dyDescent="0.2">
      <c r="BJ1017" s="201"/>
    </row>
    <row r="1018" spans="62:62" x14ac:dyDescent="0.2">
      <c r="BJ1018" s="201"/>
    </row>
    <row r="1019" spans="62:62" x14ac:dyDescent="0.2">
      <c r="BJ1019" s="201"/>
    </row>
    <row r="1020" spans="62:62" x14ac:dyDescent="0.2">
      <c r="BJ1020" s="201"/>
    </row>
    <row r="1021" spans="62:62" x14ac:dyDescent="0.2">
      <c r="BJ1021" s="201"/>
    </row>
    <row r="1022" spans="62:62" x14ac:dyDescent="0.2">
      <c r="BJ1022" s="201"/>
    </row>
    <row r="1023" spans="62:62" x14ac:dyDescent="0.2">
      <c r="BJ1023" s="201"/>
    </row>
    <row r="1024" spans="62:62" x14ac:dyDescent="0.2">
      <c r="BJ1024" s="201"/>
    </row>
    <row r="1025" spans="62:62" x14ac:dyDescent="0.2">
      <c r="BJ1025" s="201"/>
    </row>
    <row r="1026" spans="62:62" x14ac:dyDescent="0.2">
      <c r="BJ1026" s="201"/>
    </row>
    <row r="1027" spans="62:62" x14ac:dyDescent="0.2">
      <c r="BJ1027" s="201"/>
    </row>
    <row r="1028" spans="62:62" x14ac:dyDescent="0.2">
      <c r="BJ1028" s="201"/>
    </row>
    <row r="1029" spans="62:62" x14ac:dyDescent="0.2">
      <c r="BJ1029" s="201"/>
    </row>
    <row r="1030" spans="62:62" x14ac:dyDescent="0.2">
      <c r="BJ1030" s="201"/>
    </row>
    <row r="1031" spans="62:62" x14ac:dyDescent="0.2">
      <c r="BJ1031" s="201"/>
    </row>
    <row r="1032" spans="62:62" x14ac:dyDescent="0.2">
      <c r="BJ1032" s="201"/>
    </row>
    <row r="1033" spans="62:62" x14ac:dyDescent="0.2">
      <c r="BJ1033" s="201"/>
    </row>
    <row r="1034" spans="62:62" x14ac:dyDescent="0.2">
      <c r="BJ1034" s="201"/>
    </row>
    <row r="1035" spans="62:62" x14ac:dyDescent="0.2">
      <c r="BJ1035" s="201"/>
    </row>
    <row r="1036" spans="62:62" x14ac:dyDescent="0.2">
      <c r="BJ1036" s="201"/>
    </row>
    <row r="1037" spans="62:62" x14ac:dyDescent="0.2">
      <c r="BJ1037" s="201"/>
    </row>
    <row r="1038" spans="62:62" x14ac:dyDescent="0.2">
      <c r="BJ1038" s="201"/>
    </row>
    <row r="1039" spans="62:62" x14ac:dyDescent="0.2">
      <c r="BJ1039" s="201"/>
    </row>
    <row r="1040" spans="62:62" x14ac:dyDescent="0.2">
      <c r="BJ1040" s="201"/>
    </row>
    <row r="1041" spans="62:62" x14ac:dyDescent="0.2">
      <c r="BJ1041" s="201"/>
    </row>
    <row r="1042" spans="62:62" x14ac:dyDescent="0.2">
      <c r="BJ1042" s="201"/>
    </row>
    <row r="1043" spans="62:62" x14ac:dyDescent="0.2">
      <c r="BJ1043" s="201"/>
    </row>
    <row r="1044" spans="62:62" x14ac:dyDescent="0.2">
      <c r="BJ1044" s="201"/>
    </row>
    <row r="1045" spans="62:62" x14ac:dyDescent="0.2">
      <c r="BJ1045" s="201"/>
    </row>
    <row r="1046" spans="62:62" x14ac:dyDescent="0.2">
      <c r="BJ1046" s="201"/>
    </row>
    <row r="1047" spans="62:62" x14ac:dyDescent="0.2">
      <c r="BJ1047" s="201"/>
    </row>
    <row r="1048" spans="62:62" x14ac:dyDescent="0.2">
      <c r="BJ1048" s="201"/>
    </row>
    <row r="1049" spans="62:62" x14ac:dyDescent="0.2">
      <c r="BJ1049" s="201"/>
    </row>
    <row r="1050" spans="62:62" x14ac:dyDescent="0.2">
      <c r="BJ1050" s="201"/>
    </row>
    <row r="1051" spans="62:62" x14ac:dyDescent="0.2">
      <c r="BJ1051" s="201"/>
    </row>
    <row r="1052" spans="62:62" x14ac:dyDescent="0.2">
      <c r="BJ1052" s="201"/>
    </row>
    <row r="1053" spans="62:62" x14ac:dyDescent="0.2">
      <c r="BJ1053" s="201"/>
    </row>
    <row r="1054" spans="62:62" x14ac:dyDescent="0.2">
      <c r="BJ1054" s="201"/>
    </row>
    <row r="1055" spans="62:62" x14ac:dyDescent="0.2">
      <c r="BJ1055" s="201"/>
    </row>
    <row r="1056" spans="62:62" x14ac:dyDescent="0.2">
      <c r="BJ1056" s="201"/>
    </row>
    <row r="1057" spans="62:62" x14ac:dyDescent="0.2">
      <c r="BJ1057" s="201"/>
    </row>
    <row r="1058" spans="62:62" x14ac:dyDescent="0.2">
      <c r="BJ1058" s="201"/>
    </row>
    <row r="1059" spans="62:62" x14ac:dyDescent="0.2">
      <c r="BJ1059" s="201"/>
    </row>
    <row r="1060" spans="62:62" x14ac:dyDescent="0.2">
      <c r="BJ1060" s="201"/>
    </row>
    <row r="1061" spans="62:62" x14ac:dyDescent="0.2">
      <c r="BJ1061" s="201"/>
    </row>
    <row r="1062" spans="62:62" x14ac:dyDescent="0.2">
      <c r="BJ1062" s="201"/>
    </row>
    <row r="1063" spans="62:62" x14ac:dyDescent="0.2">
      <c r="BJ1063" s="201"/>
    </row>
    <row r="1064" spans="62:62" x14ac:dyDescent="0.2">
      <c r="BJ1064" s="201"/>
    </row>
    <row r="1065" spans="62:62" x14ac:dyDescent="0.2">
      <c r="BJ1065" s="201"/>
    </row>
    <row r="1066" spans="62:62" x14ac:dyDescent="0.2">
      <c r="BJ1066" s="201"/>
    </row>
    <row r="1067" spans="62:62" x14ac:dyDescent="0.2">
      <c r="BJ1067" s="201"/>
    </row>
    <row r="1068" spans="62:62" x14ac:dyDescent="0.2">
      <c r="BJ1068" s="201"/>
    </row>
    <row r="1069" spans="62:62" x14ac:dyDescent="0.2">
      <c r="BJ1069" s="201"/>
    </row>
    <row r="1070" spans="62:62" x14ac:dyDescent="0.2">
      <c r="BJ1070" s="201"/>
    </row>
    <row r="1071" spans="62:62" x14ac:dyDescent="0.2">
      <c r="BJ1071" s="201"/>
    </row>
    <row r="1072" spans="62:62" x14ac:dyDescent="0.2">
      <c r="BJ1072" s="201"/>
    </row>
    <row r="1073" spans="62:62" x14ac:dyDescent="0.2">
      <c r="BJ1073" s="201"/>
    </row>
    <row r="1074" spans="62:62" x14ac:dyDescent="0.2">
      <c r="BJ1074" s="201"/>
    </row>
    <row r="1075" spans="62:62" x14ac:dyDescent="0.2">
      <c r="BJ1075" s="201"/>
    </row>
    <row r="1076" spans="62:62" x14ac:dyDescent="0.2">
      <c r="BJ1076" s="201"/>
    </row>
    <row r="1077" spans="62:62" x14ac:dyDescent="0.2">
      <c r="BJ1077" s="201"/>
    </row>
    <row r="1078" spans="62:62" x14ac:dyDescent="0.2">
      <c r="BJ1078" s="201"/>
    </row>
    <row r="1079" spans="62:62" x14ac:dyDescent="0.2">
      <c r="BJ1079" s="201"/>
    </row>
    <row r="1080" spans="62:62" x14ac:dyDescent="0.2">
      <c r="BJ1080" s="201"/>
    </row>
    <row r="1081" spans="62:62" x14ac:dyDescent="0.2">
      <c r="BJ1081" s="201"/>
    </row>
    <row r="1082" spans="62:62" x14ac:dyDescent="0.2">
      <c r="BJ1082" s="201"/>
    </row>
    <row r="1083" spans="62:62" x14ac:dyDescent="0.2">
      <c r="BJ1083" s="201"/>
    </row>
    <row r="1084" spans="62:62" x14ac:dyDescent="0.2">
      <c r="BJ1084" s="201"/>
    </row>
    <row r="1085" spans="62:62" x14ac:dyDescent="0.2">
      <c r="BJ1085" s="201"/>
    </row>
    <row r="1086" spans="62:62" x14ac:dyDescent="0.2">
      <c r="BJ1086" s="201"/>
    </row>
    <row r="1087" spans="62:62" x14ac:dyDescent="0.2">
      <c r="BJ1087" s="201"/>
    </row>
    <row r="1088" spans="62:62" x14ac:dyDescent="0.2">
      <c r="BJ1088" s="201"/>
    </row>
    <row r="1089" spans="62:62" x14ac:dyDescent="0.2">
      <c r="BJ1089" s="201"/>
    </row>
    <row r="1090" spans="62:62" x14ac:dyDescent="0.2">
      <c r="BJ1090" s="201"/>
    </row>
    <row r="1091" spans="62:62" x14ac:dyDescent="0.2">
      <c r="BJ1091" s="201"/>
    </row>
    <row r="1092" spans="62:62" x14ac:dyDescent="0.2">
      <c r="BJ1092" s="201"/>
    </row>
    <row r="1093" spans="62:62" x14ac:dyDescent="0.2">
      <c r="BJ1093" s="201"/>
    </row>
    <row r="1094" spans="62:62" x14ac:dyDescent="0.2">
      <c r="BJ1094" s="201"/>
    </row>
    <row r="1095" spans="62:62" x14ac:dyDescent="0.2">
      <c r="BJ1095" s="201"/>
    </row>
    <row r="1096" spans="62:62" x14ac:dyDescent="0.2">
      <c r="BJ1096" s="201"/>
    </row>
    <row r="1097" spans="62:62" x14ac:dyDescent="0.2">
      <c r="BJ1097" s="201"/>
    </row>
    <row r="1098" spans="62:62" x14ac:dyDescent="0.2">
      <c r="BJ1098" s="201"/>
    </row>
    <row r="1099" spans="62:62" x14ac:dyDescent="0.2">
      <c r="BJ1099" s="201"/>
    </row>
    <row r="1100" spans="62:62" x14ac:dyDescent="0.2">
      <c r="BJ1100" s="201"/>
    </row>
    <row r="1101" spans="62:62" x14ac:dyDescent="0.2">
      <c r="BJ1101" s="201"/>
    </row>
    <row r="1102" spans="62:62" x14ac:dyDescent="0.2">
      <c r="BJ1102" s="201"/>
    </row>
    <row r="1103" spans="62:62" x14ac:dyDescent="0.2">
      <c r="BJ1103" s="201"/>
    </row>
    <row r="1104" spans="62:62" x14ac:dyDescent="0.2">
      <c r="BJ1104" s="201"/>
    </row>
    <row r="1105" spans="62:62" x14ac:dyDescent="0.2">
      <c r="BJ1105" s="201"/>
    </row>
    <row r="1106" spans="62:62" x14ac:dyDescent="0.2">
      <c r="BJ1106" s="201"/>
    </row>
    <row r="1107" spans="62:62" x14ac:dyDescent="0.2">
      <c r="BJ1107" s="201"/>
    </row>
    <row r="1108" spans="62:62" x14ac:dyDescent="0.2">
      <c r="BJ1108" s="201"/>
    </row>
    <row r="1109" spans="62:62" x14ac:dyDescent="0.2">
      <c r="BJ1109" s="201"/>
    </row>
    <row r="1110" spans="62:62" x14ac:dyDescent="0.2">
      <c r="BJ1110" s="201"/>
    </row>
    <row r="1111" spans="62:62" x14ac:dyDescent="0.2">
      <c r="BJ1111" s="201"/>
    </row>
    <row r="1112" spans="62:62" x14ac:dyDescent="0.2">
      <c r="BJ1112" s="201"/>
    </row>
    <row r="1113" spans="62:62" x14ac:dyDescent="0.2">
      <c r="BJ1113" s="201"/>
    </row>
    <row r="1114" spans="62:62" x14ac:dyDescent="0.2">
      <c r="BJ1114" s="201"/>
    </row>
    <row r="1115" spans="62:62" x14ac:dyDescent="0.2">
      <c r="BJ1115" s="201"/>
    </row>
    <row r="1116" spans="62:62" x14ac:dyDescent="0.2">
      <c r="BJ1116" s="201"/>
    </row>
    <row r="1117" spans="62:62" x14ac:dyDescent="0.2">
      <c r="BJ1117" s="201"/>
    </row>
    <row r="1118" spans="62:62" x14ac:dyDescent="0.2">
      <c r="BJ1118" s="201"/>
    </row>
    <row r="1119" spans="62:62" x14ac:dyDescent="0.2">
      <c r="BJ1119" s="201"/>
    </row>
    <row r="1120" spans="62:62" x14ac:dyDescent="0.2">
      <c r="BJ1120" s="201"/>
    </row>
    <row r="1121" spans="62:62" x14ac:dyDescent="0.2">
      <c r="BJ1121" s="201"/>
    </row>
    <row r="1122" spans="62:62" x14ac:dyDescent="0.2">
      <c r="BJ1122" s="201"/>
    </row>
    <row r="1123" spans="62:62" x14ac:dyDescent="0.2">
      <c r="BJ1123" s="201"/>
    </row>
    <row r="1124" spans="62:62" x14ac:dyDescent="0.2">
      <c r="BJ1124" s="201"/>
    </row>
    <row r="1125" spans="62:62" x14ac:dyDescent="0.2">
      <c r="BJ1125" s="201"/>
    </row>
    <row r="1126" spans="62:62" x14ac:dyDescent="0.2">
      <c r="BJ1126" s="201"/>
    </row>
    <row r="1127" spans="62:62" x14ac:dyDescent="0.2">
      <c r="BJ1127" s="201"/>
    </row>
    <row r="1128" spans="62:62" x14ac:dyDescent="0.2">
      <c r="BJ1128" s="201"/>
    </row>
    <row r="1129" spans="62:62" x14ac:dyDescent="0.2">
      <c r="BJ1129" s="201"/>
    </row>
    <row r="1130" spans="62:62" x14ac:dyDescent="0.2">
      <c r="BJ1130" s="201"/>
    </row>
    <row r="1131" spans="62:62" x14ac:dyDescent="0.2">
      <c r="BJ1131" s="201"/>
    </row>
    <row r="1132" spans="62:62" x14ac:dyDescent="0.2">
      <c r="BJ1132" s="201"/>
    </row>
    <row r="1133" spans="62:62" x14ac:dyDescent="0.2">
      <c r="BJ1133" s="201"/>
    </row>
    <row r="1134" spans="62:62" x14ac:dyDescent="0.2">
      <c r="BJ1134" s="201"/>
    </row>
    <row r="1135" spans="62:62" x14ac:dyDescent="0.2">
      <c r="BJ1135" s="201"/>
    </row>
    <row r="1136" spans="62:62" x14ac:dyDescent="0.2">
      <c r="BJ1136" s="201"/>
    </row>
    <row r="1137" spans="62:62" x14ac:dyDescent="0.2">
      <c r="BJ1137" s="201"/>
    </row>
    <row r="1138" spans="62:62" x14ac:dyDescent="0.2">
      <c r="BJ1138" s="201"/>
    </row>
    <row r="1139" spans="62:62" x14ac:dyDescent="0.2">
      <c r="BJ1139" s="201"/>
    </row>
    <row r="1140" spans="62:62" x14ac:dyDescent="0.2">
      <c r="BJ1140" s="201"/>
    </row>
    <row r="1141" spans="62:62" x14ac:dyDescent="0.2">
      <c r="BJ1141" s="201"/>
    </row>
    <row r="1142" spans="62:62" x14ac:dyDescent="0.2">
      <c r="BJ1142" s="201"/>
    </row>
    <row r="1143" spans="62:62" x14ac:dyDescent="0.2">
      <c r="BJ1143" s="201"/>
    </row>
    <row r="1144" spans="62:62" x14ac:dyDescent="0.2">
      <c r="BJ1144" s="201"/>
    </row>
    <row r="1145" spans="62:62" x14ac:dyDescent="0.2">
      <c r="BJ1145" s="201"/>
    </row>
    <row r="1146" spans="62:62" x14ac:dyDescent="0.2">
      <c r="BJ1146" s="201"/>
    </row>
    <row r="1147" spans="62:62" x14ac:dyDescent="0.2">
      <c r="BJ1147" s="201"/>
    </row>
    <row r="1148" spans="62:62" x14ac:dyDescent="0.2">
      <c r="BJ1148" s="201"/>
    </row>
    <row r="1149" spans="62:62" x14ac:dyDescent="0.2">
      <c r="BJ1149" s="201"/>
    </row>
    <row r="1150" spans="62:62" x14ac:dyDescent="0.2">
      <c r="BJ1150" s="201"/>
    </row>
    <row r="1151" spans="62:62" x14ac:dyDescent="0.2">
      <c r="BJ1151" s="201"/>
    </row>
    <row r="1152" spans="62:62" x14ac:dyDescent="0.2">
      <c r="BJ1152" s="201"/>
    </row>
    <row r="1153" spans="62:62" x14ac:dyDescent="0.2">
      <c r="BJ1153" s="201"/>
    </row>
    <row r="1154" spans="62:62" x14ac:dyDescent="0.2">
      <c r="BJ1154" s="201"/>
    </row>
    <row r="1155" spans="62:62" x14ac:dyDescent="0.2">
      <c r="BJ1155" s="201"/>
    </row>
    <row r="1156" spans="62:62" x14ac:dyDescent="0.2">
      <c r="BJ1156" s="201"/>
    </row>
    <row r="1157" spans="62:62" x14ac:dyDescent="0.2">
      <c r="BJ1157" s="201"/>
    </row>
    <row r="1158" spans="62:62" x14ac:dyDescent="0.2">
      <c r="BJ1158" s="201"/>
    </row>
    <row r="1159" spans="62:62" x14ac:dyDescent="0.2">
      <c r="BJ1159" s="201"/>
    </row>
    <row r="1160" spans="62:62" x14ac:dyDescent="0.2">
      <c r="BJ1160" s="201"/>
    </row>
    <row r="1161" spans="62:62" x14ac:dyDescent="0.2">
      <c r="BJ1161" s="201"/>
    </row>
    <row r="1162" spans="62:62" x14ac:dyDescent="0.2">
      <c r="BJ1162" s="201"/>
    </row>
    <row r="1163" spans="62:62" x14ac:dyDescent="0.2">
      <c r="BJ1163" s="201"/>
    </row>
    <row r="1164" spans="62:62" x14ac:dyDescent="0.2">
      <c r="BJ1164" s="201"/>
    </row>
    <row r="1165" spans="62:62" x14ac:dyDescent="0.2">
      <c r="BJ1165" s="201"/>
    </row>
    <row r="1166" spans="62:62" x14ac:dyDescent="0.2">
      <c r="BJ1166" s="201"/>
    </row>
    <row r="1167" spans="62:62" x14ac:dyDescent="0.2">
      <c r="BJ1167" s="201"/>
    </row>
    <row r="1168" spans="62:62" x14ac:dyDescent="0.2">
      <c r="BJ1168" s="201"/>
    </row>
    <row r="1169" spans="62:62" x14ac:dyDescent="0.2">
      <c r="BJ1169" s="201"/>
    </row>
    <row r="1170" spans="62:62" x14ac:dyDescent="0.2">
      <c r="BJ1170" s="201"/>
    </row>
    <row r="1171" spans="62:62" x14ac:dyDescent="0.2">
      <c r="BJ1171" s="201"/>
    </row>
    <row r="1172" spans="62:62" x14ac:dyDescent="0.2">
      <c r="BJ1172" s="201"/>
    </row>
    <row r="1173" spans="62:62" x14ac:dyDescent="0.2">
      <c r="BJ1173" s="201"/>
    </row>
    <row r="1174" spans="62:62" x14ac:dyDescent="0.2">
      <c r="BJ1174" s="201"/>
    </row>
    <row r="1175" spans="62:62" x14ac:dyDescent="0.2">
      <c r="BJ1175" s="201"/>
    </row>
    <row r="1176" spans="62:62" x14ac:dyDescent="0.2">
      <c r="BJ1176" s="201"/>
    </row>
    <row r="1177" spans="62:62" x14ac:dyDescent="0.2">
      <c r="BJ1177" s="201"/>
    </row>
    <row r="1178" spans="62:62" x14ac:dyDescent="0.2">
      <c r="BJ1178" s="201"/>
    </row>
    <row r="1179" spans="62:62" x14ac:dyDescent="0.2">
      <c r="BJ1179" s="201"/>
    </row>
    <row r="1180" spans="62:62" x14ac:dyDescent="0.2">
      <c r="BJ1180" s="201"/>
    </row>
    <row r="1181" spans="62:62" x14ac:dyDescent="0.2">
      <c r="BJ1181" s="201"/>
    </row>
    <row r="1182" spans="62:62" x14ac:dyDescent="0.2">
      <c r="BJ1182" s="201"/>
    </row>
    <row r="1183" spans="62:62" x14ac:dyDescent="0.2">
      <c r="BJ1183" s="201"/>
    </row>
    <row r="1184" spans="62:62" x14ac:dyDescent="0.2">
      <c r="BJ1184" s="201"/>
    </row>
    <row r="1185" spans="62:62" x14ac:dyDescent="0.2">
      <c r="BJ1185" s="201"/>
    </row>
    <row r="1186" spans="62:62" x14ac:dyDescent="0.2">
      <c r="BJ1186" s="201"/>
    </row>
    <row r="1187" spans="62:62" x14ac:dyDescent="0.2">
      <c r="BJ1187" s="201"/>
    </row>
    <row r="1188" spans="62:62" x14ac:dyDescent="0.2">
      <c r="BJ1188" s="201"/>
    </row>
    <row r="1189" spans="62:62" x14ac:dyDescent="0.2">
      <c r="BJ1189" s="201"/>
    </row>
    <row r="1190" spans="62:62" x14ac:dyDescent="0.2">
      <c r="BJ1190" s="201"/>
    </row>
    <row r="1191" spans="62:62" x14ac:dyDescent="0.2">
      <c r="BJ1191" s="201"/>
    </row>
    <row r="1192" spans="62:62" x14ac:dyDescent="0.2">
      <c r="BJ1192" s="201"/>
    </row>
    <row r="1193" spans="62:62" x14ac:dyDescent="0.2">
      <c r="BJ1193" s="201"/>
    </row>
    <row r="1194" spans="62:62" x14ac:dyDescent="0.2">
      <c r="BJ1194" s="201"/>
    </row>
    <row r="1195" spans="62:62" x14ac:dyDescent="0.2">
      <c r="BJ1195" s="201"/>
    </row>
    <row r="1196" spans="62:62" x14ac:dyDescent="0.2">
      <c r="BJ1196" s="201"/>
    </row>
    <row r="1197" spans="62:62" x14ac:dyDescent="0.2">
      <c r="BJ1197" s="201"/>
    </row>
    <row r="1198" spans="62:62" x14ac:dyDescent="0.2">
      <c r="BJ1198" s="201"/>
    </row>
    <row r="1199" spans="62:62" x14ac:dyDescent="0.2">
      <c r="BJ1199" s="201"/>
    </row>
    <row r="1200" spans="62:62" x14ac:dyDescent="0.2">
      <c r="BJ1200" s="201"/>
    </row>
    <row r="1201" spans="62:62" x14ac:dyDescent="0.2">
      <c r="BJ1201" s="201"/>
    </row>
    <row r="1202" spans="62:62" x14ac:dyDescent="0.2">
      <c r="BJ1202" s="201"/>
    </row>
    <row r="1203" spans="62:62" x14ac:dyDescent="0.2">
      <c r="BJ1203" s="201"/>
    </row>
    <row r="1204" spans="62:62" x14ac:dyDescent="0.2">
      <c r="BJ1204" s="201"/>
    </row>
    <row r="1205" spans="62:62" x14ac:dyDescent="0.2">
      <c r="BJ1205" s="201"/>
    </row>
    <row r="1206" spans="62:62" x14ac:dyDescent="0.2">
      <c r="BJ1206" s="201"/>
    </row>
    <row r="1207" spans="62:62" x14ac:dyDescent="0.2">
      <c r="BJ1207" s="201"/>
    </row>
    <row r="1208" spans="62:62" x14ac:dyDescent="0.2">
      <c r="BJ1208" s="201"/>
    </row>
    <row r="1209" spans="62:62" x14ac:dyDescent="0.2">
      <c r="BJ1209" s="201"/>
    </row>
    <row r="1210" spans="62:62" x14ac:dyDescent="0.2">
      <c r="BJ1210" s="201"/>
    </row>
    <row r="1211" spans="62:62" x14ac:dyDescent="0.2">
      <c r="BJ1211" s="201"/>
    </row>
    <row r="1212" spans="62:62" x14ac:dyDescent="0.2">
      <c r="BJ1212" s="201"/>
    </row>
    <row r="1213" spans="62:62" x14ac:dyDescent="0.2">
      <c r="BJ1213" s="201"/>
    </row>
    <row r="1214" spans="62:62" x14ac:dyDescent="0.2">
      <c r="BJ1214" s="201"/>
    </row>
    <row r="1215" spans="62:62" x14ac:dyDescent="0.2">
      <c r="BJ1215" s="201"/>
    </row>
    <row r="1216" spans="62:62" x14ac:dyDescent="0.2">
      <c r="BJ1216" s="201"/>
    </row>
    <row r="1217" spans="62:62" x14ac:dyDescent="0.2">
      <c r="BJ1217" s="201"/>
    </row>
    <row r="1218" spans="62:62" x14ac:dyDescent="0.2">
      <c r="BJ1218" s="201"/>
    </row>
    <row r="1219" spans="62:62" x14ac:dyDescent="0.2">
      <c r="BJ1219" s="201"/>
    </row>
    <row r="1220" spans="62:62" x14ac:dyDescent="0.2">
      <c r="BJ1220" s="201"/>
    </row>
    <row r="1221" spans="62:62" x14ac:dyDescent="0.2">
      <c r="BJ1221" s="201"/>
    </row>
    <row r="1222" spans="62:62" x14ac:dyDescent="0.2">
      <c r="BJ1222" s="201"/>
    </row>
    <row r="1223" spans="62:62" x14ac:dyDescent="0.2">
      <c r="BJ1223" s="201"/>
    </row>
    <row r="1224" spans="62:62" x14ac:dyDescent="0.2">
      <c r="BJ1224" s="201"/>
    </row>
    <row r="1225" spans="62:62" x14ac:dyDescent="0.2">
      <c r="BJ1225" s="201"/>
    </row>
    <row r="1226" spans="62:62" x14ac:dyDescent="0.2">
      <c r="BJ1226" s="201"/>
    </row>
    <row r="1227" spans="62:62" x14ac:dyDescent="0.2">
      <c r="BJ1227" s="201"/>
    </row>
    <row r="1228" spans="62:62" x14ac:dyDescent="0.2">
      <c r="BJ1228" s="201"/>
    </row>
    <row r="1229" spans="62:62" x14ac:dyDescent="0.2">
      <c r="BJ1229" s="201"/>
    </row>
    <row r="1230" spans="62:62" x14ac:dyDescent="0.2">
      <c r="BJ1230" s="201"/>
    </row>
    <row r="1231" spans="62:62" x14ac:dyDescent="0.2">
      <c r="BJ1231" s="201"/>
    </row>
    <row r="1232" spans="62:62" x14ac:dyDescent="0.2">
      <c r="BJ1232" s="201"/>
    </row>
    <row r="1233" spans="62:62" x14ac:dyDescent="0.2">
      <c r="BJ1233" s="201"/>
    </row>
    <row r="1234" spans="62:62" x14ac:dyDescent="0.2">
      <c r="BJ1234" s="201"/>
    </row>
    <row r="1235" spans="62:62" x14ac:dyDescent="0.2">
      <c r="BJ1235" s="201"/>
    </row>
    <row r="1236" spans="62:62" x14ac:dyDescent="0.2">
      <c r="BJ1236" s="201"/>
    </row>
    <row r="1237" spans="62:62" x14ac:dyDescent="0.2">
      <c r="BJ1237" s="201"/>
    </row>
    <row r="1238" spans="62:62" x14ac:dyDescent="0.2">
      <c r="BJ1238" s="201"/>
    </row>
    <row r="1239" spans="62:62" x14ac:dyDescent="0.2">
      <c r="BJ1239" s="201"/>
    </row>
    <row r="1240" spans="62:62" x14ac:dyDescent="0.2">
      <c r="BJ1240" s="201"/>
    </row>
    <row r="1241" spans="62:62" x14ac:dyDescent="0.2">
      <c r="BJ1241" s="201"/>
    </row>
    <row r="1242" spans="62:62" x14ac:dyDescent="0.2">
      <c r="BJ1242" s="201"/>
    </row>
    <row r="1243" spans="62:62" x14ac:dyDescent="0.2">
      <c r="BJ1243" s="201"/>
    </row>
    <row r="1244" spans="62:62" x14ac:dyDescent="0.2">
      <c r="BJ1244" s="201"/>
    </row>
    <row r="1245" spans="62:62" x14ac:dyDescent="0.2">
      <c r="BJ1245" s="201"/>
    </row>
    <row r="1246" spans="62:62" x14ac:dyDescent="0.2">
      <c r="BJ1246" s="201"/>
    </row>
    <row r="1247" spans="62:62" x14ac:dyDescent="0.2">
      <c r="BJ1247" s="201"/>
    </row>
    <row r="1248" spans="62:62" x14ac:dyDescent="0.2">
      <c r="BJ1248" s="201"/>
    </row>
    <row r="1249" spans="62:62" x14ac:dyDescent="0.2">
      <c r="BJ1249" s="201"/>
    </row>
    <row r="1250" spans="62:62" x14ac:dyDescent="0.2">
      <c r="BJ1250" s="201"/>
    </row>
    <row r="1251" spans="62:62" x14ac:dyDescent="0.2">
      <c r="BJ1251" s="201"/>
    </row>
    <row r="1252" spans="62:62" x14ac:dyDescent="0.2">
      <c r="BJ1252" s="201"/>
    </row>
    <row r="1253" spans="62:62" x14ac:dyDescent="0.2">
      <c r="BJ1253" s="201"/>
    </row>
    <row r="1254" spans="62:62" x14ac:dyDescent="0.2">
      <c r="BJ1254" s="201"/>
    </row>
    <row r="1255" spans="62:62" x14ac:dyDescent="0.2">
      <c r="BJ1255" s="201"/>
    </row>
    <row r="1256" spans="62:62" x14ac:dyDescent="0.2">
      <c r="BJ1256" s="201"/>
    </row>
    <row r="1257" spans="62:62" x14ac:dyDescent="0.2">
      <c r="BJ1257" s="201"/>
    </row>
    <row r="1258" spans="62:62" x14ac:dyDescent="0.2">
      <c r="BJ1258" s="201"/>
    </row>
    <row r="1259" spans="62:62" x14ac:dyDescent="0.2">
      <c r="BJ1259" s="201"/>
    </row>
    <row r="1260" spans="62:62" x14ac:dyDescent="0.2">
      <c r="BJ1260" s="201"/>
    </row>
    <row r="1261" spans="62:62" x14ac:dyDescent="0.2">
      <c r="BJ1261" s="201"/>
    </row>
    <row r="1262" spans="62:62" x14ac:dyDescent="0.2">
      <c r="BJ1262" s="201"/>
    </row>
    <row r="1263" spans="62:62" x14ac:dyDescent="0.2">
      <c r="BJ1263" s="201"/>
    </row>
    <row r="1264" spans="62:62" x14ac:dyDescent="0.2">
      <c r="BJ1264" s="201"/>
    </row>
    <row r="1265" spans="62:62" x14ac:dyDescent="0.2">
      <c r="BJ1265" s="201"/>
    </row>
    <row r="1266" spans="62:62" x14ac:dyDescent="0.2">
      <c r="BJ1266" s="201"/>
    </row>
    <row r="1267" spans="62:62" x14ac:dyDescent="0.2">
      <c r="BJ1267" s="201"/>
    </row>
    <row r="1268" spans="62:62" x14ac:dyDescent="0.2">
      <c r="BJ1268" s="201"/>
    </row>
    <row r="1269" spans="62:62" x14ac:dyDescent="0.2">
      <c r="BJ1269" s="201"/>
    </row>
    <row r="1270" spans="62:62" x14ac:dyDescent="0.2">
      <c r="BJ1270" s="201"/>
    </row>
    <row r="1271" spans="62:62" x14ac:dyDescent="0.2">
      <c r="BJ1271" s="201"/>
    </row>
    <row r="1272" spans="62:62" x14ac:dyDescent="0.2">
      <c r="BJ1272" s="201"/>
    </row>
    <row r="1273" spans="62:62" x14ac:dyDescent="0.2">
      <c r="BJ1273" s="201"/>
    </row>
    <row r="1274" spans="62:62" x14ac:dyDescent="0.2">
      <c r="BJ1274" s="201"/>
    </row>
    <row r="1275" spans="62:62" x14ac:dyDescent="0.2">
      <c r="BJ1275" s="201"/>
    </row>
    <row r="1276" spans="62:62" x14ac:dyDescent="0.2">
      <c r="BJ1276" s="201"/>
    </row>
    <row r="1277" spans="62:62" x14ac:dyDescent="0.2">
      <c r="BJ1277" s="201"/>
    </row>
    <row r="1278" spans="62:62" x14ac:dyDescent="0.2">
      <c r="BJ1278" s="201"/>
    </row>
    <row r="1279" spans="62:62" x14ac:dyDescent="0.2">
      <c r="BJ1279" s="201"/>
    </row>
    <row r="1280" spans="62:62" x14ac:dyDescent="0.2">
      <c r="BJ1280" s="201"/>
    </row>
    <row r="1281" spans="62:62" x14ac:dyDescent="0.2">
      <c r="BJ1281" s="201"/>
    </row>
    <row r="1282" spans="62:62" x14ac:dyDescent="0.2">
      <c r="BJ1282" s="201"/>
    </row>
    <row r="1283" spans="62:62" x14ac:dyDescent="0.2">
      <c r="BJ1283" s="201"/>
    </row>
    <row r="1284" spans="62:62" x14ac:dyDescent="0.2">
      <c r="BJ1284" s="201"/>
    </row>
    <row r="1285" spans="62:62" x14ac:dyDescent="0.2">
      <c r="BJ1285" s="201"/>
    </row>
    <row r="1286" spans="62:62" x14ac:dyDescent="0.2">
      <c r="BJ1286" s="201"/>
    </row>
    <row r="1287" spans="62:62" x14ac:dyDescent="0.2">
      <c r="BJ1287" s="201"/>
    </row>
    <row r="1288" spans="62:62" x14ac:dyDescent="0.2">
      <c r="BJ1288" s="201"/>
    </row>
    <row r="1289" spans="62:62" x14ac:dyDescent="0.2">
      <c r="BJ1289" s="201"/>
    </row>
    <row r="1290" spans="62:62" x14ac:dyDescent="0.2">
      <c r="BJ1290" s="201"/>
    </row>
    <row r="1291" spans="62:62" x14ac:dyDescent="0.2">
      <c r="BJ1291" s="201"/>
    </row>
    <row r="1292" spans="62:62" x14ac:dyDescent="0.2">
      <c r="BJ1292" s="201"/>
    </row>
    <row r="1293" spans="62:62" x14ac:dyDescent="0.2">
      <c r="BJ1293" s="201"/>
    </row>
    <row r="1294" spans="62:62" x14ac:dyDescent="0.2">
      <c r="BJ1294" s="201"/>
    </row>
    <row r="1295" spans="62:62" x14ac:dyDescent="0.2">
      <c r="BJ1295" s="201"/>
    </row>
    <row r="1296" spans="62:62" x14ac:dyDescent="0.2">
      <c r="BJ1296" s="201"/>
    </row>
    <row r="1297" spans="62:62" x14ac:dyDescent="0.2">
      <c r="BJ1297" s="201"/>
    </row>
    <row r="1298" spans="62:62" x14ac:dyDescent="0.2">
      <c r="BJ1298" s="201"/>
    </row>
    <row r="1299" spans="62:62" x14ac:dyDescent="0.2">
      <c r="BJ1299" s="201"/>
    </row>
    <row r="1300" spans="62:62" x14ac:dyDescent="0.2">
      <c r="BJ1300" s="201"/>
    </row>
    <row r="1301" spans="62:62" x14ac:dyDescent="0.2">
      <c r="BJ1301" s="201"/>
    </row>
    <row r="1302" spans="62:62" x14ac:dyDescent="0.2">
      <c r="BJ1302" s="201"/>
    </row>
    <row r="1303" spans="62:62" x14ac:dyDescent="0.2">
      <c r="BJ1303" s="201"/>
    </row>
    <row r="1304" spans="62:62" x14ac:dyDescent="0.2">
      <c r="BJ1304" s="201"/>
    </row>
    <row r="1305" spans="62:62" x14ac:dyDescent="0.2">
      <c r="BJ1305" s="201"/>
    </row>
    <row r="1306" spans="62:62" x14ac:dyDescent="0.2">
      <c r="BJ1306" s="201"/>
    </row>
    <row r="1307" spans="62:62" x14ac:dyDescent="0.2">
      <c r="BJ1307" s="201"/>
    </row>
    <row r="1308" spans="62:62" x14ac:dyDescent="0.2">
      <c r="BJ1308" s="201"/>
    </row>
    <row r="1309" spans="62:62" x14ac:dyDescent="0.2">
      <c r="BJ1309" s="201"/>
    </row>
    <row r="1310" spans="62:62" x14ac:dyDescent="0.2">
      <c r="BJ1310" s="201"/>
    </row>
    <row r="1311" spans="62:62" x14ac:dyDescent="0.2">
      <c r="BJ1311" s="201"/>
    </row>
    <row r="1312" spans="62:62" x14ac:dyDescent="0.2">
      <c r="BJ1312" s="201"/>
    </row>
    <row r="1313" spans="62:62" x14ac:dyDescent="0.2">
      <c r="BJ1313" s="201"/>
    </row>
    <row r="1314" spans="62:62" x14ac:dyDescent="0.2">
      <c r="BJ1314" s="201"/>
    </row>
    <row r="1315" spans="62:62" x14ac:dyDescent="0.2">
      <c r="BJ1315" s="201"/>
    </row>
    <row r="1316" spans="62:62" x14ac:dyDescent="0.2">
      <c r="BJ1316" s="201"/>
    </row>
    <row r="1317" spans="62:62" x14ac:dyDescent="0.2">
      <c r="BJ1317" s="201"/>
    </row>
    <row r="1318" spans="62:62" x14ac:dyDescent="0.2">
      <c r="BJ1318" s="201"/>
    </row>
    <row r="1319" spans="62:62" x14ac:dyDescent="0.2">
      <c r="BJ1319" s="201"/>
    </row>
    <row r="1320" spans="62:62" x14ac:dyDescent="0.2">
      <c r="BJ1320" s="201"/>
    </row>
    <row r="1321" spans="62:62" x14ac:dyDescent="0.2">
      <c r="BJ1321" s="201"/>
    </row>
    <row r="1322" spans="62:62" x14ac:dyDescent="0.2">
      <c r="BJ1322" s="201"/>
    </row>
    <row r="1323" spans="62:62" x14ac:dyDescent="0.2">
      <c r="BJ1323" s="201"/>
    </row>
    <row r="1324" spans="62:62" x14ac:dyDescent="0.2">
      <c r="BJ1324" s="201"/>
    </row>
    <row r="1325" spans="62:62" x14ac:dyDescent="0.2">
      <c r="BJ1325" s="201"/>
    </row>
    <row r="1326" spans="62:62" x14ac:dyDescent="0.2">
      <c r="BJ1326" s="201"/>
    </row>
    <row r="1327" spans="62:62" x14ac:dyDescent="0.2">
      <c r="BJ1327" s="201"/>
    </row>
    <row r="1328" spans="62:62" x14ac:dyDescent="0.2">
      <c r="BJ1328" s="201"/>
    </row>
    <row r="1329" spans="62:62" x14ac:dyDescent="0.2">
      <c r="BJ1329" s="201"/>
    </row>
    <row r="1330" spans="62:62" x14ac:dyDescent="0.2">
      <c r="BJ1330" s="201"/>
    </row>
    <row r="1331" spans="62:62" x14ac:dyDescent="0.2">
      <c r="BJ1331" s="201"/>
    </row>
    <row r="1332" spans="62:62" x14ac:dyDescent="0.2">
      <c r="BJ1332" s="201"/>
    </row>
    <row r="1333" spans="62:62" x14ac:dyDescent="0.2">
      <c r="BJ1333" s="201"/>
    </row>
    <row r="1334" spans="62:62" x14ac:dyDescent="0.2">
      <c r="BJ1334" s="201"/>
    </row>
    <row r="1335" spans="62:62" x14ac:dyDescent="0.2">
      <c r="BJ1335" s="201"/>
    </row>
    <row r="1336" spans="62:62" x14ac:dyDescent="0.2">
      <c r="BJ1336" s="201"/>
    </row>
    <row r="1337" spans="62:62" x14ac:dyDescent="0.2">
      <c r="BJ1337" s="201"/>
    </row>
    <row r="1338" spans="62:62" x14ac:dyDescent="0.2">
      <c r="BJ1338" s="201"/>
    </row>
    <row r="1339" spans="62:62" x14ac:dyDescent="0.2">
      <c r="BJ1339" s="201"/>
    </row>
    <row r="1340" spans="62:62" x14ac:dyDescent="0.2">
      <c r="BJ1340" s="201"/>
    </row>
    <row r="1341" spans="62:62" x14ac:dyDescent="0.2">
      <c r="BJ1341" s="201"/>
    </row>
    <row r="1342" spans="62:62" x14ac:dyDescent="0.2">
      <c r="BJ1342" s="201"/>
    </row>
    <row r="1343" spans="62:62" x14ac:dyDescent="0.2">
      <c r="BJ1343" s="201"/>
    </row>
    <row r="1344" spans="62:62" x14ac:dyDescent="0.2">
      <c r="BJ1344" s="201"/>
    </row>
    <row r="1345" spans="62:62" x14ac:dyDescent="0.2">
      <c r="BJ1345" s="201"/>
    </row>
    <row r="1346" spans="62:62" x14ac:dyDescent="0.2">
      <c r="BJ1346" s="201"/>
    </row>
    <row r="1347" spans="62:62" x14ac:dyDescent="0.2">
      <c r="BJ1347" s="201"/>
    </row>
    <row r="1348" spans="62:62" x14ac:dyDescent="0.2">
      <c r="BJ1348" s="201"/>
    </row>
    <row r="1349" spans="62:62" x14ac:dyDescent="0.2">
      <c r="BJ1349" s="201"/>
    </row>
    <row r="1350" spans="62:62" x14ac:dyDescent="0.2">
      <c r="BJ1350" s="201"/>
    </row>
    <row r="1351" spans="62:62" x14ac:dyDescent="0.2">
      <c r="BJ1351" s="201"/>
    </row>
    <row r="1352" spans="62:62" x14ac:dyDescent="0.2">
      <c r="BJ1352" s="201"/>
    </row>
    <row r="1353" spans="62:62" x14ac:dyDescent="0.2">
      <c r="BJ1353" s="201"/>
    </row>
    <row r="1354" spans="62:62" x14ac:dyDescent="0.2">
      <c r="BJ1354" s="201"/>
    </row>
    <row r="1355" spans="62:62" x14ac:dyDescent="0.2">
      <c r="BJ1355" s="201"/>
    </row>
    <row r="1356" spans="62:62" x14ac:dyDescent="0.2">
      <c r="BJ1356" s="201"/>
    </row>
    <row r="1357" spans="62:62" x14ac:dyDescent="0.2">
      <c r="BJ1357" s="201"/>
    </row>
    <row r="1358" spans="62:62" x14ac:dyDescent="0.2">
      <c r="BJ1358" s="201"/>
    </row>
    <row r="1359" spans="62:62" x14ac:dyDescent="0.2">
      <c r="BJ1359" s="201"/>
    </row>
    <row r="1360" spans="62:62" x14ac:dyDescent="0.2">
      <c r="BJ1360" s="201"/>
    </row>
    <row r="1361" spans="62:62" x14ac:dyDescent="0.2">
      <c r="BJ1361" s="201"/>
    </row>
    <row r="1362" spans="62:62" x14ac:dyDescent="0.2">
      <c r="BJ1362" s="201"/>
    </row>
    <row r="1363" spans="62:62" x14ac:dyDescent="0.2">
      <c r="BJ1363" s="201"/>
    </row>
    <row r="1364" spans="62:62" x14ac:dyDescent="0.2">
      <c r="BJ1364" s="201"/>
    </row>
    <row r="1365" spans="62:62" x14ac:dyDescent="0.2">
      <c r="BJ1365" s="201"/>
    </row>
    <row r="1366" spans="62:62" x14ac:dyDescent="0.2">
      <c r="BJ1366" s="201"/>
    </row>
    <row r="1367" spans="62:62" x14ac:dyDescent="0.2">
      <c r="BJ1367" s="201"/>
    </row>
    <row r="1368" spans="62:62" x14ac:dyDescent="0.2">
      <c r="BJ1368" s="201"/>
    </row>
    <row r="1369" spans="62:62" x14ac:dyDescent="0.2">
      <c r="BJ1369" s="201"/>
    </row>
    <row r="1370" spans="62:62" x14ac:dyDescent="0.2">
      <c r="BJ1370" s="201"/>
    </row>
    <row r="1371" spans="62:62" x14ac:dyDescent="0.2">
      <c r="BJ1371" s="201"/>
    </row>
    <row r="1372" spans="62:62" x14ac:dyDescent="0.2">
      <c r="BJ1372" s="201"/>
    </row>
    <row r="1373" spans="62:62" x14ac:dyDescent="0.2">
      <c r="BJ1373" s="201"/>
    </row>
    <row r="1374" spans="62:62" x14ac:dyDescent="0.2">
      <c r="BJ1374" s="201"/>
    </row>
    <row r="1375" spans="62:62" x14ac:dyDescent="0.2">
      <c r="BJ1375" s="201"/>
    </row>
    <row r="1376" spans="62:62" x14ac:dyDescent="0.2">
      <c r="BJ1376" s="201"/>
    </row>
    <row r="1377" spans="62:62" x14ac:dyDescent="0.2">
      <c r="BJ1377" s="201"/>
    </row>
    <row r="1378" spans="62:62" x14ac:dyDescent="0.2">
      <c r="BJ1378" s="201"/>
    </row>
    <row r="1379" spans="62:62" x14ac:dyDescent="0.2">
      <c r="BJ1379" s="201"/>
    </row>
    <row r="1380" spans="62:62" x14ac:dyDescent="0.2">
      <c r="BJ1380" s="201"/>
    </row>
    <row r="1381" spans="62:62" x14ac:dyDescent="0.2">
      <c r="BJ1381" s="201"/>
    </row>
    <row r="1382" spans="62:62" x14ac:dyDescent="0.2">
      <c r="BJ1382" s="201"/>
    </row>
    <row r="1383" spans="62:62" x14ac:dyDescent="0.2">
      <c r="BJ1383" s="201"/>
    </row>
    <row r="1384" spans="62:62" x14ac:dyDescent="0.2">
      <c r="BJ1384" s="201"/>
    </row>
    <row r="1385" spans="62:62" x14ac:dyDescent="0.2">
      <c r="BJ1385" s="201"/>
    </row>
    <row r="1386" spans="62:62" x14ac:dyDescent="0.2">
      <c r="BJ1386" s="201"/>
    </row>
    <row r="1387" spans="62:62" x14ac:dyDescent="0.2">
      <c r="BJ1387" s="201"/>
    </row>
    <row r="1388" spans="62:62" x14ac:dyDescent="0.2">
      <c r="BJ1388" s="201"/>
    </row>
    <row r="1389" spans="62:62" x14ac:dyDescent="0.2">
      <c r="BJ1389" s="201"/>
    </row>
    <row r="1390" spans="62:62" x14ac:dyDescent="0.2">
      <c r="BJ1390" s="201"/>
    </row>
    <row r="1391" spans="62:62" x14ac:dyDescent="0.2">
      <c r="BJ1391" s="201"/>
    </row>
    <row r="1392" spans="62:62" x14ac:dyDescent="0.2">
      <c r="BJ1392" s="201"/>
    </row>
    <row r="1393" spans="62:62" x14ac:dyDescent="0.2">
      <c r="BJ1393" s="201"/>
    </row>
    <row r="1394" spans="62:62" x14ac:dyDescent="0.2">
      <c r="BJ1394" s="201"/>
    </row>
    <row r="1395" spans="62:62" x14ac:dyDescent="0.2">
      <c r="BJ1395" s="201"/>
    </row>
    <row r="1396" spans="62:62" x14ac:dyDescent="0.2">
      <c r="BJ1396" s="201"/>
    </row>
    <row r="1397" spans="62:62" x14ac:dyDescent="0.2">
      <c r="BJ1397" s="201"/>
    </row>
    <row r="1398" spans="62:62" x14ac:dyDescent="0.2">
      <c r="BJ1398" s="201"/>
    </row>
    <row r="1399" spans="62:62" x14ac:dyDescent="0.2">
      <c r="BJ1399" s="201"/>
    </row>
    <row r="1400" spans="62:62" x14ac:dyDescent="0.2">
      <c r="BJ1400" s="201"/>
    </row>
    <row r="1401" spans="62:62" x14ac:dyDescent="0.2">
      <c r="BJ1401" s="201"/>
    </row>
    <row r="1402" spans="62:62" x14ac:dyDescent="0.2">
      <c r="BJ1402" s="201"/>
    </row>
    <row r="1403" spans="62:62" x14ac:dyDescent="0.2">
      <c r="BJ1403" s="201"/>
    </row>
    <row r="1404" spans="62:62" x14ac:dyDescent="0.2">
      <c r="BJ1404" s="201"/>
    </row>
    <row r="1405" spans="62:62" x14ac:dyDescent="0.2">
      <c r="BJ1405" s="201"/>
    </row>
    <row r="1406" spans="62:62" x14ac:dyDescent="0.2">
      <c r="BJ1406" s="201"/>
    </row>
    <row r="1407" spans="62:62" x14ac:dyDescent="0.2">
      <c r="BJ1407" s="201"/>
    </row>
    <row r="1408" spans="62:62" x14ac:dyDescent="0.2">
      <c r="BJ1408" s="201"/>
    </row>
    <row r="1409" spans="62:62" x14ac:dyDescent="0.2">
      <c r="BJ1409" s="201"/>
    </row>
    <row r="1410" spans="62:62" x14ac:dyDescent="0.2">
      <c r="BJ1410" s="201"/>
    </row>
    <row r="1411" spans="62:62" x14ac:dyDescent="0.2">
      <c r="BJ1411" s="201"/>
    </row>
    <row r="1412" spans="62:62" x14ac:dyDescent="0.2">
      <c r="BJ1412" s="201"/>
    </row>
    <row r="1413" spans="62:62" x14ac:dyDescent="0.2">
      <c r="BJ1413" s="201"/>
    </row>
    <row r="1414" spans="62:62" x14ac:dyDescent="0.2">
      <c r="BJ1414" s="201"/>
    </row>
    <row r="1415" spans="62:62" x14ac:dyDescent="0.2">
      <c r="BJ1415" s="201"/>
    </row>
    <row r="1416" spans="62:62" x14ac:dyDescent="0.2">
      <c r="BJ1416" s="201"/>
    </row>
    <row r="1417" spans="62:62" x14ac:dyDescent="0.2">
      <c r="BJ1417" s="201"/>
    </row>
    <row r="1418" spans="62:62" x14ac:dyDescent="0.2">
      <c r="BJ1418" s="201"/>
    </row>
    <row r="1419" spans="62:62" x14ac:dyDescent="0.2">
      <c r="BJ1419" s="201"/>
    </row>
    <row r="1420" spans="62:62" x14ac:dyDescent="0.2">
      <c r="BJ1420" s="201"/>
    </row>
    <row r="1421" spans="62:62" x14ac:dyDescent="0.2">
      <c r="BJ1421" s="201"/>
    </row>
    <row r="1422" spans="62:62" x14ac:dyDescent="0.2">
      <c r="BJ1422" s="201"/>
    </row>
    <row r="1423" spans="62:62" x14ac:dyDescent="0.2">
      <c r="BJ1423" s="201"/>
    </row>
    <row r="1424" spans="62:62" x14ac:dyDescent="0.2">
      <c r="BJ1424" s="201"/>
    </row>
    <row r="1425" spans="62:62" x14ac:dyDescent="0.2">
      <c r="BJ1425" s="201"/>
    </row>
    <row r="1426" spans="62:62" x14ac:dyDescent="0.2">
      <c r="BJ1426" s="201"/>
    </row>
    <row r="1427" spans="62:62" x14ac:dyDescent="0.2">
      <c r="BJ1427" s="201"/>
    </row>
    <row r="1428" spans="62:62" x14ac:dyDescent="0.2">
      <c r="BJ1428" s="201"/>
    </row>
    <row r="1429" spans="62:62" x14ac:dyDescent="0.2">
      <c r="BJ1429" s="201"/>
    </row>
    <row r="1430" spans="62:62" x14ac:dyDescent="0.2">
      <c r="BJ1430" s="201"/>
    </row>
    <row r="1431" spans="62:62" x14ac:dyDescent="0.2">
      <c r="BJ1431" s="201"/>
    </row>
    <row r="1432" spans="62:62" x14ac:dyDescent="0.2">
      <c r="BJ1432" s="201"/>
    </row>
    <row r="1433" spans="62:62" x14ac:dyDescent="0.2">
      <c r="BJ1433" s="201"/>
    </row>
    <row r="1434" spans="62:62" x14ac:dyDescent="0.2">
      <c r="BJ1434" s="201"/>
    </row>
    <row r="1435" spans="62:62" x14ac:dyDescent="0.2">
      <c r="BJ1435" s="201"/>
    </row>
    <row r="1436" spans="62:62" x14ac:dyDescent="0.2">
      <c r="BJ1436" s="201"/>
    </row>
    <row r="1437" spans="62:62" x14ac:dyDescent="0.2">
      <c r="BJ1437" s="201"/>
    </row>
    <row r="1438" spans="62:62" x14ac:dyDescent="0.2">
      <c r="BJ1438" s="201"/>
    </row>
    <row r="1439" spans="62:62" x14ac:dyDescent="0.2">
      <c r="BJ1439" s="201"/>
    </row>
    <row r="1440" spans="62:62" x14ac:dyDescent="0.2">
      <c r="BJ1440" s="201"/>
    </row>
    <row r="1441" spans="62:62" x14ac:dyDescent="0.2">
      <c r="BJ1441" s="201"/>
    </row>
    <row r="1442" spans="62:62" x14ac:dyDescent="0.2">
      <c r="BJ1442" s="201"/>
    </row>
    <row r="1443" spans="62:62" x14ac:dyDescent="0.2">
      <c r="BJ1443" s="201"/>
    </row>
    <row r="1444" spans="62:62" x14ac:dyDescent="0.2">
      <c r="BJ1444" s="201"/>
    </row>
    <row r="1445" spans="62:62" x14ac:dyDescent="0.2">
      <c r="BJ1445" s="201"/>
    </row>
    <row r="1446" spans="62:62" x14ac:dyDescent="0.2">
      <c r="BJ1446" s="201"/>
    </row>
    <row r="1447" spans="62:62" x14ac:dyDescent="0.2">
      <c r="BJ1447" s="201"/>
    </row>
    <row r="1448" spans="62:62" x14ac:dyDescent="0.2">
      <c r="BJ1448" s="201"/>
    </row>
    <row r="1449" spans="62:62" x14ac:dyDescent="0.2">
      <c r="BJ1449" s="201"/>
    </row>
    <row r="1450" spans="62:62" x14ac:dyDescent="0.2">
      <c r="BJ1450" s="201"/>
    </row>
    <row r="1451" spans="62:62" x14ac:dyDescent="0.2">
      <c r="BJ1451" s="201"/>
    </row>
    <row r="1452" spans="62:62" x14ac:dyDescent="0.2">
      <c r="BJ1452" s="201"/>
    </row>
    <row r="1453" spans="62:62" x14ac:dyDescent="0.2">
      <c r="BJ1453" s="201"/>
    </row>
    <row r="1454" spans="62:62" x14ac:dyDescent="0.2">
      <c r="BJ1454" s="201"/>
    </row>
    <row r="1455" spans="62:62" x14ac:dyDescent="0.2">
      <c r="BJ1455" s="201"/>
    </row>
    <row r="1456" spans="62:62" x14ac:dyDescent="0.2">
      <c r="BJ1456" s="201"/>
    </row>
    <row r="1457" spans="62:62" x14ac:dyDescent="0.2">
      <c r="BJ1457" s="201"/>
    </row>
    <row r="1458" spans="62:62" x14ac:dyDescent="0.2">
      <c r="BJ1458" s="201"/>
    </row>
    <row r="1459" spans="62:62" x14ac:dyDescent="0.2">
      <c r="BJ1459" s="201"/>
    </row>
    <row r="1460" spans="62:62" x14ac:dyDescent="0.2">
      <c r="BJ1460" s="201"/>
    </row>
    <row r="1461" spans="62:62" x14ac:dyDescent="0.2">
      <c r="BJ1461" s="201"/>
    </row>
    <row r="1462" spans="62:62" x14ac:dyDescent="0.2">
      <c r="BJ1462" s="201"/>
    </row>
    <row r="1463" spans="62:62" x14ac:dyDescent="0.2">
      <c r="BJ1463" s="201"/>
    </row>
    <row r="1464" spans="62:62" x14ac:dyDescent="0.2">
      <c r="BJ1464" s="201"/>
    </row>
    <row r="1465" spans="62:62" x14ac:dyDescent="0.2">
      <c r="BJ1465" s="201"/>
    </row>
    <row r="1466" spans="62:62" x14ac:dyDescent="0.2">
      <c r="BJ1466" s="201"/>
    </row>
    <row r="1467" spans="62:62" x14ac:dyDescent="0.2">
      <c r="BJ1467" s="201"/>
    </row>
    <row r="1468" spans="62:62" x14ac:dyDescent="0.2">
      <c r="BJ1468" s="201"/>
    </row>
    <row r="1469" spans="62:62" x14ac:dyDescent="0.2">
      <c r="BJ1469" s="201"/>
    </row>
    <row r="1470" spans="62:62" x14ac:dyDescent="0.2">
      <c r="BJ1470" s="201"/>
    </row>
    <row r="1471" spans="62:62" x14ac:dyDescent="0.2">
      <c r="BJ1471" s="201"/>
    </row>
    <row r="1472" spans="62:62" x14ac:dyDescent="0.2">
      <c r="BJ1472" s="201"/>
    </row>
    <row r="1473" spans="62:62" x14ac:dyDescent="0.2">
      <c r="BJ1473" s="201"/>
    </row>
    <row r="1474" spans="62:62" x14ac:dyDescent="0.2">
      <c r="BJ1474" s="201"/>
    </row>
    <row r="1475" spans="62:62" x14ac:dyDescent="0.2">
      <c r="BJ1475" s="201"/>
    </row>
    <row r="1476" spans="62:62" x14ac:dyDescent="0.2">
      <c r="BJ1476" s="201"/>
    </row>
    <row r="1477" spans="62:62" x14ac:dyDescent="0.2">
      <c r="BJ1477" s="201"/>
    </row>
    <row r="1478" spans="62:62" x14ac:dyDescent="0.2">
      <c r="BJ1478" s="201"/>
    </row>
    <row r="1479" spans="62:62" x14ac:dyDescent="0.2">
      <c r="BJ1479" s="201"/>
    </row>
    <row r="1480" spans="62:62" x14ac:dyDescent="0.2">
      <c r="BJ1480" s="201"/>
    </row>
    <row r="1481" spans="62:62" x14ac:dyDescent="0.2">
      <c r="BJ1481" s="201"/>
    </row>
    <row r="1482" spans="62:62" x14ac:dyDescent="0.2">
      <c r="BJ1482" s="201"/>
    </row>
    <row r="1483" spans="62:62" x14ac:dyDescent="0.2">
      <c r="BJ1483" s="201"/>
    </row>
    <row r="1484" spans="62:62" x14ac:dyDescent="0.2">
      <c r="BJ1484" s="201"/>
    </row>
    <row r="1485" spans="62:62" x14ac:dyDescent="0.2">
      <c r="BJ1485" s="201"/>
    </row>
    <row r="1486" spans="62:62" x14ac:dyDescent="0.2">
      <c r="BJ1486" s="201"/>
    </row>
    <row r="1487" spans="62:62" x14ac:dyDescent="0.2">
      <c r="BJ1487" s="201"/>
    </row>
    <row r="1488" spans="62:62" x14ac:dyDescent="0.2">
      <c r="BJ1488" s="201"/>
    </row>
    <row r="1489" spans="62:62" x14ac:dyDescent="0.2">
      <c r="BJ1489" s="201"/>
    </row>
    <row r="1490" spans="62:62" x14ac:dyDescent="0.2">
      <c r="BJ1490" s="201"/>
    </row>
    <row r="1491" spans="62:62" x14ac:dyDescent="0.2">
      <c r="BJ1491" s="201"/>
    </row>
    <row r="1492" spans="62:62" x14ac:dyDescent="0.2">
      <c r="BJ1492" s="201"/>
    </row>
    <row r="1493" spans="62:62" x14ac:dyDescent="0.2">
      <c r="BJ1493" s="201"/>
    </row>
    <row r="1494" spans="62:62" x14ac:dyDescent="0.2">
      <c r="BJ1494" s="201"/>
    </row>
    <row r="1495" spans="62:62" x14ac:dyDescent="0.2">
      <c r="BJ1495" s="201"/>
    </row>
    <row r="1496" spans="62:62" x14ac:dyDescent="0.2">
      <c r="BJ1496" s="201"/>
    </row>
    <row r="1497" spans="62:62" x14ac:dyDescent="0.2">
      <c r="BJ1497" s="201"/>
    </row>
    <row r="1498" spans="62:62" x14ac:dyDescent="0.2">
      <c r="BJ1498" s="201"/>
    </row>
    <row r="1499" spans="62:62" x14ac:dyDescent="0.2">
      <c r="BJ1499" s="201"/>
    </row>
    <row r="1500" spans="62:62" x14ac:dyDescent="0.2">
      <c r="BJ1500" s="201"/>
    </row>
    <row r="1501" spans="62:62" x14ac:dyDescent="0.2">
      <c r="BJ1501" s="201"/>
    </row>
    <row r="1502" spans="62:62" x14ac:dyDescent="0.2">
      <c r="BJ1502" s="201"/>
    </row>
    <row r="1503" spans="62:62" x14ac:dyDescent="0.2">
      <c r="BJ1503" s="201"/>
    </row>
    <row r="1504" spans="62:62" x14ac:dyDescent="0.2">
      <c r="BJ1504" s="201"/>
    </row>
    <row r="1505" spans="62:62" x14ac:dyDescent="0.2">
      <c r="BJ1505" s="201"/>
    </row>
    <row r="1506" spans="62:62" x14ac:dyDescent="0.2">
      <c r="BJ1506" s="201"/>
    </row>
    <row r="1507" spans="62:62" x14ac:dyDescent="0.2">
      <c r="BJ1507" s="201"/>
    </row>
    <row r="1508" spans="62:62" x14ac:dyDescent="0.2">
      <c r="BJ1508" s="201"/>
    </row>
    <row r="1509" spans="62:62" x14ac:dyDescent="0.2">
      <c r="BJ1509" s="201"/>
    </row>
    <row r="1510" spans="62:62" x14ac:dyDescent="0.2">
      <c r="BJ1510" s="201"/>
    </row>
    <row r="1511" spans="62:62" x14ac:dyDescent="0.2">
      <c r="BJ1511" s="201"/>
    </row>
    <row r="1512" spans="62:62" x14ac:dyDescent="0.2">
      <c r="BJ1512" s="201"/>
    </row>
    <row r="1513" spans="62:62" x14ac:dyDescent="0.2">
      <c r="BJ1513" s="201"/>
    </row>
    <row r="1514" spans="62:62" x14ac:dyDescent="0.2">
      <c r="BJ1514" s="201"/>
    </row>
    <row r="1515" spans="62:62" x14ac:dyDescent="0.2">
      <c r="BJ1515" s="201"/>
    </row>
    <row r="1516" spans="62:62" x14ac:dyDescent="0.2">
      <c r="BJ1516" s="201"/>
    </row>
    <row r="1517" spans="62:62" x14ac:dyDescent="0.2">
      <c r="BJ1517" s="201"/>
    </row>
    <row r="1518" spans="62:62" x14ac:dyDescent="0.2">
      <c r="BJ1518" s="201"/>
    </row>
    <row r="1519" spans="62:62" x14ac:dyDescent="0.2">
      <c r="BJ1519" s="201"/>
    </row>
    <row r="1520" spans="62:62" x14ac:dyDescent="0.2">
      <c r="BJ1520" s="201"/>
    </row>
    <row r="1521" spans="62:62" x14ac:dyDescent="0.2">
      <c r="BJ1521" s="201"/>
    </row>
    <row r="1522" spans="62:62" x14ac:dyDescent="0.2">
      <c r="BJ1522" s="201"/>
    </row>
    <row r="1523" spans="62:62" x14ac:dyDescent="0.2">
      <c r="BJ1523" s="201"/>
    </row>
    <row r="1524" spans="62:62" x14ac:dyDescent="0.2">
      <c r="BJ1524" s="201"/>
    </row>
    <row r="1525" spans="62:62" x14ac:dyDescent="0.2">
      <c r="BJ1525" s="201"/>
    </row>
    <row r="1526" spans="62:62" x14ac:dyDescent="0.2">
      <c r="BJ1526" s="201"/>
    </row>
    <row r="1527" spans="62:62" x14ac:dyDescent="0.2">
      <c r="BJ1527" s="201"/>
    </row>
    <row r="1528" spans="62:62" x14ac:dyDescent="0.2">
      <c r="BJ1528" s="201"/>
    </row>
    <row r="1529" spans="62:62" x14ac:dyDescent="0.2">
      <c r="BJ1529" s="201"/>
    </row>
    <row r="1530" spans="62:62" x14ac:dyDescent="0.2">
      <c r="BJ1530" s="201"/>
    </row>
    <row r="1531" spans="62:62" x14ac:dyDescent="0.2">
      <c r="BJ1531" s="201"/>
    </row>
    <row r="1532" spans="62:62" x14ac:dyDescent="0.2">
      <c r="BJ1532" s="201"/>
    </row>
    <row r="1533" spans="62:62" x14ac:dyDescent="0.2">
      <c r="BJ1533" s="201"/>
    </row>
    <row r="1534" spans="62:62" x14ac:dyDescent="0.2">
      <c r="BJ1534" s="201"/>
    </row>
    <row r="1535" spans="62:62" x14ac:dyDescent="0.2">
      <c r="BJ1535" s="201"/>
    </row>
    <row r="1536" spans="62:62" x14ac:dyDescent="0.2">
      <c r="BJ1536" s="201"/>
    </row>
    <row r="1537" spans="62:62" x14ac:dyDescent="0.2">
      <c r="BJ1537" s="201"/>
    </row>
    <row r="1538" spans="62:62" x14ac:dyDescent="0.2">
      <c r="BJ1538" s="201"/>
    </row>
    <row r="1539" spans="62:62" x14ac:dyDescent="0.2">
      <c r="BJ1539" s="201"/>
    </row>
    <row r="1540" spans="62:62" x14ac:dyDescent="0.2">
      <c r="BJ1540" s="201"/>
    </row>
    <row r="1541" spans="62:62" x14ac:dyDescent="0.2">
      <c r="BJ1541" s="201"/>
    </row>
    <row r="1542" spans="62:62" x14ac:dyDescent="0.2">
      <c r="BJ1542" s="201"/>
    </row>
    <row r="1543" spans="62:62" x14ac:dyDescent="0.2">
      <c r="BJ1543" s="201"/>
    </row>
    <row r="1544" spans="62:62" x14ac:dyDescent="0.2">
      <c r="BJ1544" s="201"/>
    </row>
    <row r="1545" spans="62:62" x14ac:dyDescent="0.2">
      <c r="BJ1545" s="201"/>
    </row>
    <row r="1546" spans="62:62" x14ac:dyDescent="0.2">
      <c r="BJ1546" s="201"/>
    </row>
    <row r="1547" spans="62:62" x14ac:dyDescent="0.2">
      <c r="BJ1547" s="201"/>
    </row>
    <row r="1548" spans="62:62" x14ac:dyDescent="0.2">
      <c r="BJ1548" s="201"/>
    </row>
    <row r="1549" spans="62:62" x14ac:dyDescent="0.2">
      <c r="BJ1549" s="201"/>
    </row>
    <row r="1550" spans="62:62" x14ac:dyDescent="0.2">
      <c r="BJ1550" s="201"/>
    </row>
    <row r="1551" spans="62:62" x14ac:dyDescent="0.2">
      <c r="BJ1551" s="201"/>
    </row>
    <row r="1552" spans="62:62" x14ac:dyDescent="0.2">
      <c r="BJ1552" s="201"/>
    </row>
    <row r="1553" spans="62:62" x14ac:dyDescent="0.2">
      <c r="BJ1553" s="201"/>
    </row>
    <row r="1554" spans="62:62" x14ac:dyDescent="0.2">
      <c r="BJ1554" s="201"/>
    </row>
    <row r="1555" spans="62:62" x14ac:dyDescent="0.2">
      <c r="BJ1555" s="201"/>
    </row>
    <row r="1556" spans="62:62" x14ac:dyDescent="0.2">
      <c r="BJ1556" s="201"/>
    </row>
    <row r="1557" spans="62:62" x14ac:dyDescent="0.2">
      <c r="BJ1557" s="201"/>
    </row>
    <row r="1558" spans="62:62" x14ac:dyDescent="0.2">
      <c r="BJ1558" s="201"/>
    </row>
    <row r="1559" spans="62:62" x14ac:dyDescent="0.2">
      <c r="BJ1559" s="201"/>
    </row>
    <row r="1560" spans="62:62" x14ac:dyDescent="0.2">
      <c r="BJ1560" s="201"/>
    </row>
    <row r="1561" spans="62:62" x14ac:dyDescent="0.2">
      <c r="BJ1561" s="201"/>
    </row>
    <row r="1562" spans="62:62" x14ac:dyDescent="0.2">
      <c r="BJ1562" s="201"/>
    </row>
    <row r="1563" spans="62:62" x14ac:dyDescent="0.2">
      <c r="BJ1563" s="201"/>
    </row>
    <row r="1564" spans="62:62" x14ac:dyDescent="0.2">
      <c r="BJ1564" s="201"/>
    </row>
    <row r="1565" spans="62:62" x14ac:dyDescent="0.2">
      <c r="BJ1565" s="201"/>
    </row>
    <row r="1566" spans="62:62" x14ac:dyDescent="0.2">
      <c r="BJ1566" s="201"/>
    </row>
    <row r="1567" spans="62:62" x14ac:dyDescent="0.2">
      <c r="BJ1567" s="201"/>
    </row>
    <row r="1568" spans="62:62" x14ac:dyDescent="0.2">
      <c r="BJ1568" s="201"/>
    </row>
    <row r="1569" spans="62:62" x14ac:dyDescent="0.2">
      <c r="BJ1569" s="201"/>
    </row>
    <row r="1570" spans="62:62" x14ac:dyDescent="0.2">
      <c r="BJ1570" s="201"/>
    </row>
    <row r="1571" spans="62:62" x14ac:dyDescent="0.2">
      <c r="BJ1571" s="201"/>
    </row>
    <row r="1572" spans="62:62" x14ac:dyDescent="0.2">
      <c r="BJ1572" s="201"/>
    </row>
    <row r="1573" spans="62:62" x14ac:dyDescent="0.2">
      <c r="BJ1573" s="201"/>
    </row>
    <row r="1574" spans="62:62" x14ac:dyDescent="0.2">
      <c r="BJ1574" s="201"/>
    </row>
    <row r="1575" spans="62:62" x14ac:dyDescent="0.2">
      <c r="BJ1575" s="201"/>
    </row>
    <row r="1576" spans="62:62" x14ac:dyDescent="0.2">
      <c r="BJ1576" s="201"/>
    </row>
    <row r="1577" spans="62:62" x14ac:dyDescent="0.2">
      <c r="BJ1577" s="201"/>
    </row>
    <row r="1578" spans="62:62" x14ac:dyDescent="0.2">
      <c r="BJ1578" s="201"/>
    </row>
    <row r="1579" spans="62:62" x14ac:dyDescent="0.2">
      <c r="BJ1579" s="201"/>
    </row>
    <row r="1580" spans="62:62" x14ac:dyDescent="0.2">
      <c r="BJ1580" s="201"/>
    </row>
    <row r="1581" spans="62:62" x14ac:dyDescent="0.2">
      <c r="BJ1581" s="201"/>
    </row>
    <row r="1582" spans="62:62" x14ac:dyDescent="0.2">
      <c r="BJ1582" s="201"/>
    </row>
    <row r="1583" spans="62:62" x14ac:dyDescent="0.2">
      <c r="BJ1583" s="201"/>
    </row>
    <row r="1584" spans="62:62" x14ac:dyDescent="0.2">
      <c r="BJ1584" s="201"/>
    </row>
    <row r="1585" spans="62:62" x14ac:dyDescent="0.2">
      <c r="BJ1585" s="201"/>
    </row>
    <row r="1586" spans="62:62" x14ac:dyDescent="0.2">
      <c r="BJ1586" s="201"/>
    </row>
    <row r="1587" spans="62:62" x14ac:dyDescent="0.2">
      <c r="BJ1587" s="201"/>
    </row>
    <row r="1588" spans="62:62" x14ac:dyDescent="0.2">
      <c r="BJ1588" s="201"/>
    </row>
    <row r="1589" spans="62:62" x14ac:dyDescent="0.2">
      <c r="BJ1589" s="201"/>
    </row>
    <row r="1590" spans="62:62" x14ac:dyDescent="0.2">
      <c r="BJ1590" s="201"/>
    </row>
    <row r="1591" spans="62:62" x14ac:dyDescent="0.2">
      <c r="BJ1591" s="201"/>
    </row>
    <row r="1592" spans="62:62" x14ac:dyDescent="0.2">
      <c r="BJ1592" s="201"/>
    </row>
    <row r="1593" spans="62:62" x14ac:dyDescent="0.2">
      <c r="BJ1593" s="201"/>
    </row>
    <row r="1594" spans="62:62" x14ac:dyDescent="0.2">
      <c r="BJ1594" s="201"/>
    </row>
    <row r="1595" spans="62:62" x14ac:dyDescent="0.2">
      <c r="BJ1595" s="201"/>
    </row>
    <row r="1596" spans="62:62" x14ac:dyDescent="0.2">
      <c r="BJ1596" s="201"/>
    </row>
    <row r="1597" spans="62:62" x14ac:dyDescent="0.2">
      <c r="BJ1597" s="201"/>
    </row>
    <row r="1598" spans="62:62" x14ac:dyDescent="0.2">
      <c r="BJ1598" s="201"/>
    </row>
    <row r="1599" spans="62:62" x14ac:dyDescent="0.2">
      <c r="BJ1599" s="201"/>
    </row>
    <row r="1600" spans="62:62" x14ac:dyDescent="0.2">
      <c r="BJ1600" s="201"/>
    </row>
    <row r="1601" spans="62:62" x14ac:dyDescent="0.2">
      <c r="BJ1601" s="201"/>
    </row>
    <row r="1602" spans="62:62" x14ac:dyDescent="0.2">
      <c r="BJ1602" s="201"/>
    </row>
    <row r="1603" spans="62:62" x14ac:dyDescent="0.2">
      <c r="BJ1603" s="201"/>
    </row>
    <row r="1604" spans="62:62" x14ac:dyDescent="0.2">
      <c r="BJ1604" s="201"/>
    </row>
    <row r="1605" spans="62:62" x14ac:dyDescent="0.2">
      <c r="BJ1605" s="201"/>
    </row>
    <row r="1606" spans="62:62" x14ac:dyDescent="0.2">
      <c r="BJ1606" s="201"/>
    </row>
    <row r="1607" spans="62:62" x14ac:dyDescent="0.2">
      <c r="BJ1607" s="201"/>
    </row>
    <row r="1608" spans="62:62" x14ac:dyDescent="0.2">
      <c r="BJ1608" s="201"/>
    </row>
    <row r="1609" spans="62:62" x14ac:dyDescent="0.2">
      <c r="BJ1609" s="201"/>
    </row>
    <row r="1610" spans="62:62" x14ac:dyDescent="0.2">
      <c r="BJ1610" s="201"/>
    </row>
    <row r="1611" spans="62:62" x14ac:dyDescent="0.2">
      <c r="BJ1611" s="201"/>
    </row>
    <row r="1612" spans="62:62" x14ac:dyDescent="0.2">
      <c r="BJ1612" s="201"/>
    </row>
    <row r="1613" spans="62:62" x14ac:dyDescent="0.2">
      <c r="BJ1613" s="201"/>
    </row>
    <row r="1614" spans="62:62" x14ac:dyDescent="0.2">
      <c r="BJ1614" s="201"/>
    </row>
    <row r="1615" spans="62:62" x14ac:dyDescent="0.2">
      <c r="BJ1615" s="201"/>
    </row>
    <row r="1616" spans="62:62" x14ac:dyDescent="0.2">
      <c r="BJ1616" s="201"/>
    </row>
    <row r="1617" spans="62:62" x14ac:dyDescent="0.2">
      <c r="BJ1617" s="201"/>
    </row>
    <row r="1618" spans="62:62" x14ac:dyDescent="0.2">
      <c r="BJ1618" s="201"/>
    </row>
    <row r="1619" spans="62:62" x14ac:dyDescent="0.2">
      <c r="BJ1619" s="201"/>
    </row>
    <row r="1620" spans="62:62" x14ac:dyDescent="0.2">
      <c r="BJ1620" s="201"/>
    </row>
    <row r="1621" spans="62:62" x14ac:dyDescent="0.2">
      <c r="BJ1621" s="201"/>
    </row>
    <row r="1622" spans="62:62" x14ac:dyDescent="0.2">
      <c r="BJ1622" s="201"/>
    </row>
    <row r="1623" spans="62:62" x14ac:dyDescent="0.2">
      <c r="BJ1623" s="201"/>
    </row>
    <row r="1624" spans="62:62" x14ac:dyDescent="0.2">
      <c r="BJ1624" s="201"/>
    </row>
    <row r="1625" spans="62:62" x14ac:dyDescent="0.2">
      <c r="BJ1625" s="201"/>
    </row>
    <row r="1626" spans="62:62" x14ac:dyDescent="0.2">
      <c r="BJ1626" s="201"/>
    </row>
    <row r="1627" spans="62:62" x14ac:dyDescent="0.2">
      <c r="BJ1627" s="201"/>
    </row>
    <row r="1628" spans="62:62" x14ac:dyDescent="0.2">
      <c r="BJ1628" s="201"/>
    </row>
    <row r="1629" spans="62:62" x14ac:dyDescent="0.2">
      <c r="BJ1629" s="201"/>
    </row>
    <row r="1630" spans="62:62" x14ac:dyDescent="0.2">
      <c r="BJ1630" s="201"/>
    </row>
    <row r="1631" spans="62:62" x14ac:dyDescent="0.2">
      <c r="BJ1631" s="201"/>
    </row>
    <row r="1632" spans="62:62" x14ac:dyDescent="0.2">
      <c r="BJ1632" s="201"/>
    </row>
    <row r="1633" spans="62:62" x14ac:dyDescent="0.2">
      <c r="BJ1633" s="201"/>
    </row>
    <row r="1634" spans="62:62" x14ac:dyDescent="0.2">
      <c r="BJ1634" s="201"/>
    </row>
    <row r="1635" spans="62:62" x14ac:dyDescent="0.2">
      <c r="BJ1635" s="201"/>
    </row>
    <row r="1636" spans="62:62" x14ac:dyDescent="0.2">
      <c r="BJ1636" s="201"/>
    </row>
    <row r="1637" spans="62:62" x14ac:dyDescent="0.2">
      <c r="BJ1637" s="201"/>
    </row>
    <row r="1638" spans="62:62" x14ac:dyDescent="0.2">
      <c r="BJ1638" s="201"/>
    </row>
    <row r="1639" spans="62:62" x14ac:dyDescent="0.2">
      <c r="BJ1639" s="201"/>
    </row>
    <row r="1640" spans="62:62" x14ac:dyDescent="0.2">
      <c r="BJ1640" s="201"/>
    </row>
    <row r="1641" spans="62:62" x14ac:dyDescent="0.2">
      <c r="BJ1641" s="201"/>
    </row>
    <row r="1642" spans="62:62" x14ac:dyDescent="0.2">
      <c r="BJ1642" s="201"/>
    </row>
    <row r="1643" spans="62:62" x14ac:dyDescent="0.2">
      <c r="BJ1643" s="201"/>
    </row>
    <row r="1644" spans="62:62" x14ac:dyDescent="0.2">
      <c r="BJ1644" s="201"/>
    </row>
    <row r="1645" spans="62:62" x14ac:dyDescent="0.2">
      <c r="BJ1645" s="201"/>
    </row>
    <row r="1646" spans="62:62" x14ac:dyDescent="0.2">
      <c r="BJ1646" s="201"/>
    </row>
    <row r="1647" spans="62:62" x14ac:dyDescent="0.2">
      <c r="BJ1647" s="201"/>
    </row>
    <row r="1648" spans="62:62" x14ac:dyDescent="0.2">
      <c r="BJ1648" s="201"/>
    </row>
    <row r="1649" spans="62:62" x14ac:dyDescent="0.2">
      <c r="BJ1649" s="201"/>
    </row>
    <row r="1650" spans="62:62" x14ac:dyDescent="0.2">
      <c r="BJ1650" s="201"/>
    </row>
    <row r="1651" spans="62:62" x14ac:dyDescent="0.2">
      <c r="BJ1651" s="201"/>
    </row>
    <row r="1652" spans="62:62" x14ac:dyDescent="0.2">
      <c r="BJ1652" s="201"/>
    </row>
    <row r="1653" spans="62:62" x14ac:dyDescent="0.2">
      <c r="BJ1653" s="201"/>
    </row>
    <row r="1654" spans="62:62" x14ac:dyDescent="0.2">
      <c r="BJ1654" s="201"/>
    </row>
    <row r="1655" spans="62:62" x14ac:dyDescent="0.2">
      <c r="BJ1655" s="201"/>
    </row>
    <row r="1656" spans="62:62" x14ac:dyDescent="0.2">
      <c r="BJ1656" s="201"/>
    </row>
    <row r="1657" spans="62:62" x14ac:dyDescent="0.2">
      <c r="BJ1657" s="201"/>
    </row>
    <row r="1658" spans="62:62" x14ac:dyDescent="0.2">
      <c r="BJ1658" s="201"/>
    </row>
    <row r="1659" spans="62:62" x14ac:dyDescent="0.2">
      <c r="BJ1659" s="201"/>
    </row>
    <row r="1660" spans="62:62" x14ac:dyDescent="0.2">
      <c r="BJ1660" s="201"/>
    </row>
    <row r="1661" spans="62:62" x14ac:dyDescent="0.2">
      <c r="BJ1661" s="201"/>
    </row>
    <row r="1662" spans="62:62" x14ac:dyDescent="0.2">
      <c r="BJ1662" s="201"/>
    </row>
    <row r="1663" spans="62:62" x14ac:dyDescent="0.2">
      <c r="BJ1663" s="201"/>
    </row>
    <row r="1664" spans="62:62" x14ac:dyDescent="0.2">
      <c r="BJ1664" s="201"/>
    </row>
    <row r="1665" spans="62:62" x14ac:dyDescent="0.2">
      <c r="BJ1665" s="201"/>
    </row>
    <row r="1666" spans="62:62" x14ac:dyDescent="0.2">
      <c r="BJ1666" s="201"/>
    </row>
    <row r="1667" spans="62:62" x14ac:dyDescent="0.2">
      <c r="BJ1667" s="201"/>
    </row>
    <row r="1668" spans="62:62" x14ac:dyDescent="0.2">
      <c r="BJ1668" s="201"/>
    </row>
    <row r="1669" spans="62:62" x14ac:dyDescent="0.2">
      <c r="BJ1669" s="201"/>
    </row>
    <row r="1670" spans="62:62" x14ac:dyDescent="0.2">
      <c r="BJ1670" s="201"/>
    </row>
    <row r="1671" spans="62:62" x14ac:dyDescent="0.2">
      <c r="BJ1671" s="201"/>
    </row>
    <row r="1672" spans="62:62" x14ac:dyDescent="0.2">
      <c r="BJ1672" s="201"/>
    </row>
    <row r="1673" spans="62:62" x14ac:dyDescent="0.2">
      <c r="BJ1673" s="201"/>
    </row>
    <row r="1674" spans="62:62" x14ac:dyDescent="0.2">
      <c r="BJ1674" s="201"/>
    </row>
    <row r="1675" spans="62:62" x14ac:dyDescent="0.2">
      <c r="BJ1675" s="201"/>
    </row>
    <row r="1676" spans="62:62" x14ac:dyDescent="0.2">
      <c r="BJ1676" s="201"/>
    </row>
    <row r="1677" spans="62:62" x14ac:dyDescent="0.2">
      <c r="BJ1677" s="201"/>
    </row>
    <row r="1678" spans="62:62" x14ac:dyDescent="0.2">
      <c r="BJ1678" s="201"/>
    </row>
    <row r="1679" spans="62:62" x14ac:dyDescent="0.2">
      <c r="BJ1679" s="201"/>
    </row>
    <row r="1680" spans="62:62" x14ac:dyDescent="0.2">
      <c r="BJ1680" s="201"/>
    </row>
    <row r="1681" spans="62:62" x14ac:dyDescent="0.2">
      <c r="BJ1681" s="201"/>
    </row>
    <row r="1682" spans="62:62" x14ac:dyDescent="0.2">
      <c r="BJ1682" s="201"/>
    </row>
    <row r="1683" spans="62:62" x14ac:dyDescent="0.2">
      <c r="BJ1683" s="201"/>
    </row>
    <row r="1684" spans="62:62" x14ac:dyDescent="0.2">
      <c r="BJ1684" s="201"/>
    </row>
    <row r="1685" spans="62:62" x14ac:dyDescent="0.2">
      <c r="BJ1685" s="201"/>
    </row>
    <row r="1686" spans="62:62" x14ac:dyDescent="0.2">
      <c r="BJ1686" s="201"/>
    </row>
    <row r="1687" spans="62:62" x14ac:dyDescent="0.2">
      <c r="BJ1687" s="201"/>
    </row>
    <row r="1688" spans="62:62" x14ac:dyDescent="0.2">
      <c r="BJ1688" s="201"/>
    </row>
    <row r="1689" spans="62:62" x14ac:dyDescent="0.2">
      <c r="BJ1689" s="201"/>
    </row>
    <row r="1690" spans="62:62" x14ac:dyDescent="0.2">
      <c r="BJ1690" s="201"/>
    </row>
    <row r="1691" spans="62:62" x14ac:dyDescent="0.2">
      <c r="BJ1691" s="201"/>
    </row>
    <row r="1692" spans="62:62" x14ac:dyDescent="0.2">
      <c r="BJ1692" s="201"/>
    </row>
    <row r="1693" spans="62:62" x14ac:dyDescent="0.2">
      <c r="BJ1693" s="201"/>
    </row>
    <row r="1694" spans="62:62" x14ac:dyDescent="0.2">
      <c r="BJ1694" s="201"/>
    </row>
    <row r="1695" spans="62:62" x14ac:dyDescent="0.2">
      <c r="BJ1695" s="201"/>
    </row>
    <row r="1696" spans="62:62" x14ac:dyDescent="0.2">
      <c r="BJ1696" s="201"/>
    </row>
    <row r="1697" spans="62:62" x14ac:dyDescent="0.2">
      <c r="BJ1697" s="201"/>
    </row>
    <row r="1698" spans="62:62" x14ac:dyDescent="0.2">
      <c r="BJ1698" s="201"/>
    </row>
    <row r="1699" spans="62:62" x14ac:dyDescent="0.2">
      <c r="BJ1699" s="201"/>
    </row>
    <row r="1700" spans="62:62" x14ac:dyDescent="0.2">
      <c r="BJ1700" s="201"/>
    </row>
    <row r="1701" spans="62:62" x14ac:dyDescent="0.2">
      <c r="BJ1701" s="201"/>
    </row>
    <row r="1702" spans="62:62" x14ac:dyDescent="0.2">
      <c r="BJ1702" s="201"/>
    </row>
    <row r="1703" spans="62:62" x14ac:dyDescent="0.2">
      <c r="BJ1703" s="201"/>
    </row>
    <row r="1704" spans="62:62" x14ac:dyDescent="0.2">
      <c r="BJ1704" s="201"/>
    </row>
    <row r="1705" spans="62:62" x14ac:dyDescent="0.2">
      <c r="BJ1705" s="201"/>
    </row>
    <row r="1706" spans="62:62" x14ac:dyDescent="0.2">
      <c r="BJ1706" s="201"/>
    </row>
    <row r="1707" spans="62:62" x14ac:dyDescent="0.2">
      <c r="BJ1707" s="201"/>
    </row>
    <row r="1708" spans="62:62" x14ac:dyDescent="0.2">
      <c r="BJ1708" s="201"/>
    </row>
    <row r="1709" spans="62:62" x14ac:dyDescent="0.2">
      <c r="BJ1709" s="201"/>
    </row>
    <row r="1710" spans="62:62" x14ac:dyDescent="0.2">
      <c r="BJ1710" s="201"/>
    </row>
    <row r="1711" spans="62:62" x14ac:dyDescent="0.2">
      <c r="BJ1711" s="201"/>
    </row>
    <row r="1712" spans="62:62" x14ac:dyDescent="0.2">
      <c r="BJ1712" s="201"/>
    </row>
    <row r="1713" spans="62:62" x14ac:dyDescent="0.2">
      <c r="BJ1713" s="201"/>
    </row>
    <row r="1714" spans="62:62" x14ac:dyDescent="0.2">
      <c r="BJ1714" s="201"/>
    </row>
    <row r="1715" spans="62:62" x14ac:dyDescent="0.2">
      <c r="BJ1715" s="201"/>
    </row>
    <row r="1716" spans="62:62" x14ac:dyDescent="0.2">
      <c r="BJ1716" s="201"/>
    </row>
    <row r="1717" spans="62:62" x14ac:dyDescent="0.2">
      <c r="BJ1717" s="201"/>
    </row>
    <row r="1718" spans="62:62" x14ac:dyDescent="0.2">
      <c r="BJ1718" s="201"/>
    </row>
    <row r="1719" spans="62:62" x14ac:dyDescent="0.2">
      <c r="BJ1719" s="201"/>
    </row>
    <row r="1720" spans="62:62" x14ac:dyDescent="0.2">
      <c r="BJ1720" s="201"/>
    </row>
    <row r="1721" spans="62:62" x14ac:dyDescent="0.2">
      <c r="BJ1721" s="201"/>
    </row>
    <row r="1722" spans="62:62" x14ac:dyDescent="0.2">
      <c r="BJ1722" s="201"/>
    </row>
    <row r="1723" spans="62:62" x14ac:dyDescent="0.2">
      <c r="BJ1723" s="201"/>
    </row>
    <row r="1724" spans="62:62" x14ac:dyDescent="0.2">
      <c r="BJ1724" s="201"/>
    </row>
    <row r="1725" spans="62:62" x14ac:dyDescent="0.2">
      <c r="BJ1725" s="201"/>
    </row>
    <row r="1726" spans="62:62" x14ac:dyDescent="0.2">
      <c r="BJ1726" s="201"/>
    </row>
    <row r="1727" spans="62:62" x14ac:dyDescent="0.2">
      <c r="BJ1727" s="201"/>
    </row>
    <row r="1728" spans="62:62" x14ac:dyDescent="0.2">
      <c r="BJ1728" s="201"/>
    </row>
    <row r="1729" spans="62:62" x14ac:dyDescent="0.2">
      <c r="BJ1729" s="201"/>
    </row>
    <row r="1730" spans="62:62" x14ac:dyDescent="0.2">
      <c r="BJ1730" s="201"/>
    </row>
    <row r="1731" spans="62:62" x14ac:dyDescent="0.2">
      <c r="BJ1731" s="201"/>
    </row>
    <row r="1732" spans="62:62" x14ac:dyDescent="0.2">
      <c r="BJ1732" s="201"/>
    </row>
    <row r="1733" spans="62:62" x14ac:dyDescent="0.2">
      <c r="BJ1733" s="201"/>
    </row>
    <row r="1734" spans="62:62" x14ac:dyDescent="0.2">
      <c r="BJ1734" s="201"/>
    </row>
    <row r="1735" spans="62:62" x14ac:dyDescent="0.2">
      <c r="BJ1735" s="201"/>
    </row>
    <row r="1736" spans="62:62" x14ac:dyDescent="0.2">
      <c r="BJ1736" s="201"/>
    </row>
    <row r="1737" spans="62:62" x14ac:dyDescent="0.2">
      <c r="BJ1737" s="201"/>
    </row>
    <row r="1738" spans="62:62" x14ac:dyDescent="0.2">
      <c r="BJ1738" s="201"/>
    </row>
    <row r="1739" spans="62:62" x14ac:dyDescent="0.2">
      <c r="BJ1739" s="201"/>
    </row>
    <row r="1740" spans="62:62" x14ac:dyDescent="0.2">
      <c r="BJ1740" s="201"/>
    </row>
    <row r="1741" spans="62:62" x14ac:dyDescent="0.2">
      <c r="BJ1741" s="201"/>
    </row>
    <row r="1742" spans="62:62" x14ac:dyDescent="0.2">
      <c r="BJ1742" s="201"/>
    </row>
    <row r="1743" spans="62:62" x14ac:dyDescent="0.2">
      <c r="BJ1743" s="201"/>
    </row>
    <row r="1744" spans="62:62" x14ac:dyDescent="0.2">
      <c r="BJ1744" s="201"/>
    </row>
    <row r="1745" spans="62:62" x14ac:dyDescent="0.2">
      <c r="BJ1745" s="201"/>
    </row>
    <row r="1746" spans="62:62" x14ac:dyDescent="0.2">
      <c r="BJ1746" s="201"/>
    </row>
    <row r="1747" spans="62:62" x14ac:dyDescent="0.2">
      <c r="BJ1747" s="201"/>
    </row>
    <row r="1748" spans="62:62" x14ac:dyDescent="0.2">
      <c r="BJ1748" s="201"/>
    </row>
    <row r="1749" spans="62:62" x14ac:dyDescent="0.2">
      <c r="BJ1749" s="201"/>
    </row>
    <row r="1750" spans="62:62" x14ac:dyDescent="0.2">
      <c r="BJ1750" s="201"/>
    </row>
    <row r="1751" spans="62:62" x14ac:dyDescent="0.2">
      <c r="BJ1751" s="201"/>
    </row>
    <row r="1752" spans="62:62" x14ac:dyDescent="0.2">
      <c r="BJ1752" s="201"/>
    </row>
    <row r="1753" spans="62:62" x14ac:dyDescent="0.2">
      <c r="BJ1753" s="201"/>
    </row>
    <row r="1754" spans="62:62" x14ac:dyDescent="0.2">
      <c r="BJ1754" s="201"/>
    </row>
    <row r="1755" spans="62:62" x14ac:dyDescent="0.2">
      <c r="BJ1755" s="201"/>
    </row>
    <row r="1756" spans="62:62" x14ac:dyDescent="0.2">
      <c r="BJ1756" s="201"/>
    </row>
    <row r="1757" spans="62:62" x14ac:dyDescent="0.2">
      <c r="BJ1757" s="201"/>
    </row>
    <row r="1758" spans="62:62" x14ac:dyDescent="0.2">
      <c r="BJ1758" s="201"/>
    </row>
    <row r="1759" spans="62:62" x14ac:dyDescent="0.2">
      <c r="BJ1759" s="201"/>
    </row>
    <row r="1760" spans="62:62" x14ac:dyDescent="0.2">
      <c r="BJ1760" s="201"/>
    </row>
    <row r="1761" spans="62:62" x14ac:dyDescent="0.2">
      <c r="BJ1761" s="201"/>
    </row>
    <row r="1762" spans="62:62" x14ac:dyDescent="0.2">
      <c r="BJ1762" s="201"/>
    </row>
    <row r="1763" spans="62:62" x14ac:dyDescent="0.2">
      <c r="BJ1763" s="201"/>
    </row>
    <row r="1764" spans="62:62" x14ac:dyDescent="0.2">
      <c r="BJ1764" s="201"/>
    </row>
    <row r="1765" spans="62:62" x14ac:dyDescent="0.2">
      <c r="BJ1765" s="201"/>
    </row>
    <row r="1766" spans="62:62" x14ac:dyDescent="0.2">
      <c r="BJ1766" s="201"/>
    </row>
    <row r="1767" spans="62:62" x14ac:dyDescent="0.2">
      <c r="BJ1767" s="201"/>
    </row>
    <row r="1768" spans="62:62" x14ac:dyDescent="0.2">
      <c r="BJ1768" s="201"/>
    </row>
    <row r="1769" spans="62:62" x14ac:dyDescent="0.2">
      <c r="BJ1769" s="201"/>
    </row>
    <row r="1770" spans="62:62" x14ac:dyDescent="0.2">
      <c r="BJ1770" s="201"/>
    </row>
    <row r="1771" spans="62:62" x14ac:dyDescent="0.2">
      <c r="BJ1771" s="201"/>
    </row>
    <row r="1772" spans="62:62" x14ac:dyDescent="0.2">
      <c r="BJ1772" s="201"/>
    </row>
    <row r="1773" spans="62:62" x14ac:dyDescent="0.2">
      <c r="BJ1773" s="201"/>
    </row>
    <row r="1774" spans="62:62" x14ac:dyDescent="0.2">
      <c r="BJ1774" s="201"/>
    </row>
    <row r="1775" spans="62:62" x14ac:dyDescent="0.2">
      <c r="BJ1775" s="201"/>
    </row>
    <row r="1776" spans="62:62" x14ac:dyDescent="0.2">
      <c r="BJ1776" s="201"/>
    </row>
    <row r="1777" spans="62:62" x14ac:dyDescent="0.2">
      <c r="BJ1777" s="201"/>
    </row>
    <row r="1778" spans="62:62" x14ac:dyDescent="0.2">
      <c r="BJ1778" s="201"/>
    </row>
    <row r="1779" spans="62:62" x14ac:dyDescent="0.2">
      <c r="BJ1779" s="201"/>
    </row>
    <row r="1780" spans="62:62" x14ac:dyDescent="0.2">
      <c r="BJ1780" s="201"/>
    </row>
    <row r="1781" spans="62:62" x14ac:dyDescent="0.2">
      <c r="BJ1781" s="201"/>
    </row>
    <row r="1782" spans="62:62" x14ac:dyDescent="0.2">
      <c r="BJ1782" s="201"/>
    </row>
    <row r="1783" spans="62:62" x14ac:dyDescent="0.2">
      <c r="BJ1783" s="201"/>
    </row>
    <row r="1784" spans="62:62" x14ac:dyDescent="0.2">
      <c r="BJ1784" s="201"/>
    </row>
    <row r="1785" spans="62:62" x14ac:dyDescent="0.2">
      <c r="BJ1785" s="201"/>
    </row>
    <row r="1786" spans="62:62" x14ac:dyDescent="0.2">
      <c r="BJ1786" s="201"/>
    </row>
    <row r="1787" spans="62:62" x14ac:dyDescent="0.2">
      <c r="BJ1787" s="201"/>
    </row>
    <row r="1788" spans="62:62" x14ac:dyDescent="0.2">
      <c r="BJ1788" s="201"/>
    </row>
    <row r="1789" spans="62:62" x14ac:dyDescent="0.2">
      <c r="BJ1789" s="201"/>
    </row>
    <row r="1790" spans="62:62" x14ac:dyDescent="0.2">
      <c r="BJ1790" s="201"/>
    </row>
    <row r="1791" spans="62:62" x14ac:dyDescent="0.2">
      <c r="BJ1791" s="201"/>
    </row>
    <row r="1792" spans="62:62" x14ac:dyDescent="0.2">
      <c r="BJ1792" s="201"/>
    </row>
    <row r="1793" spans="62:62" x14ac:dyDescent="0.2">
      <c r="BJ1793" s="201"/>
    </row>
    <row r="1794" spans="62:62" x14ac:dyDescent="0.2">
      <c r="BJ1794" s="201"/>
    </row>
    <row r="1795" spans="62:62" x14ac:dyDescent="0.2">
      <c r="BJ1795" s="201"/>
    </row>
    <row r="1796" spans="62:62" x14ac:dyDescent="0.2">
      <c r="BJ1796" s="201"/>
    </row>
    <row r="1797" spans="62:62" x14ac:dyDescent="0.2">
      <c r="BJ1797" s="201"/>
    </row>
    <row r="1798" spans="62:62" x14ac:dyDescent="0.2">
      <c r="BJ1798" s="201"/>
    </row>
    <row r="1799" spans="62:62" x14ac:dyDescent="0.2">
      <c r="BJ1799" s="201"/>
    </row>
    <row r="1800" spans="62:62" x14ac:dyDescent="0.2">
      <c r="BJ1800" s="201"/>
    </row>
    <row r="1801" spans="62:62" x14ac:dyDescent="0.2">
      <c r="BJ1801" s="201"/>
    </row>
    <row r="1802" spans="62:62" x14ac:dyDescent="0.2">
      <c r="BJ1802" s="201"/>
    </row>
    <row r="1803" spans="62:62" x14ac:dyDescent="0.2">
      <c r="BJ1803" s="201"/>
    </row>
    <row r="1804" spans="62:62" x14ac:dyDescent="0.2">
      <c r="BJ1804" s="201"/>
    </row>
    <row r="1805" spans="62:62" x14ac:dyDescent="0.2">
      <c r="BJ1805" s="201"/>
    </row>
    <row r="1806" spans="62:62" x14ac:dyDescent="0.2">
      <c r="BJ1806" s="201"/>
    </row>
    <row r="1807" spans="62:62" x14ac:dyDescent="0.2">
      <c r="BJ1807" s="201"/>
    </row>
    <row r="1808" spans="62:62" x14ac:dyDescent="0.2">
      <c r="BJ1808" s="201"/>
    </row>
    <row r="1809" spans="62:62" x14ac:dyDescent="0.2">
      <c r="BJ1809" s="201"/>
    </row>
    <row r="1810" spans="62:62" x14ac:dyDescent="0.2">
      <c r="BJ1810" s="201"/>
    </row>
    <row r="1811" spans="62:62" x14ac:dyDescent="0.2">
      <c r="BJ1811" s="201"/>
    </row>
    <row r="1812" spans="62:62" x14ac:dyDescent="0.2">
      <c r="BJ1812" s="201"/>
    </row>
    <row r="1813" spans="62:62" x14ac:dyDescent="0.2">
      <c r="BJ1813" s="201"/>
    </row>
    <row r="1814" spans="62:62" x14ac:dyDescent="0.2">
      <c r="BJ1814" s="201"/>
    </row>
    <row r="1815" spans="62:62" x14ac:dyDescent="0.2">
      <c r="BJ1815" s="201"/>
    </row>
    <row r="1816" spans="62:62" x14ac:dyDescent="0.2">
      <c r="BJ1816" s="201"/>
    </row>
    <row r="1817" spans="62:62" x14ac:dyDescent="0.2">
      <c r="BJ1817" s="201"/>
    </row>
    <row r="1818" spans="62:62" x14ac:dyDescent="0.2">
      <c r="BJ1818" s="201"/>
    </row>
    <row r="1819" spans="62:62" x14ac:dyDescent="0.2">
      <c r="BJ1819" s="201"/>
    </row>
    <row r="1820" spans="62:62" x14ac:dyDescent="0.2">
      <c r="BJ1820" s="201"/>
    </row>
    <row r="1821" spans="62:62" x14ac:dyDescent="0.2">
      <c r="BJ1821" s="201"/>
    </row>
    <row r="1822" spans="62:62" x14ac:dyDescent="0.2">
      <c r="BJ1822" s="201"/>
    </row>
    <row r="1823" spans="62:62" x14ac:dyDescent="0.2">
      <c r="BJ1823" s="201"/>
    </row>
    <row r="1824" spans="62:62" x14ac:dyDescent="0.2">
      <c r="BJ1824" s="201"/>
    </row>
    <row r="1825" spans="62:62" x14ac:dyDescent="0.2">
      <c r="BJ1825" s="201"/>
    </row>
    <row r="1826" spans="62:62" x14ac:dyDescent="0.2">
      <c r="BJ1826" s="201"/>
    </row>
    <row r="1827" spans="62:62" x14ac:dyDescent="0.2">
      <c r="BJ1827" s="201"/>
    </row>
    <row r="1828" spans="62:62" x14ac:dyDescent="0.2">
      <c r="BJ1828" s="201"/>
    </row>
    <row r="1829" spans="62:62" x14ac:dyDescent="0.2">
      <c r="BJ1829" s="201"/>
    </row>
    <row r="1830" spans="62:62" x14ac:dyDescent="0.2">
      <c r="BJ1830" s="201"/>
    </row>
    <row r="1831" spans="62:62" x14ac:dyDescent="0.2">
      <c r="BJ1831" s="201"/>
    </row>
    <row r="1832" spans="62:62" x14ac:dyDescent="0.2">
      <c r="BJ1832" s="201"/>
    </row>
    <row r="1833" spans="62:62" x14ac:dyDescent="0.2">
      <c r="BJ1833" s="201"/>
    </row>
    <row r="1834" spans="62:62" x14ac:dyDescent="0.2">
      <c r="BJ1834" s="201"/>
    </row>
    <row r="1835" spans="62:62" x14ac:dyDescent="0.2">
      <c r="BJ1835" s="201"/>
    </row>
    <row r="1836" spans="62:62" x14ac:dyDescent="0.2">
      <c r="BJ1836" s="201"/>
    </row>
    <row r="1837" spans="62:62" x14ac:dyDescent="0.2">
      <c r="BJ1837" s="201"/>
    </row>
    <row r="1838" spans="62:62" x14ac:dyDescent="0.2">
      <c r="BJ1838" s="201"/>
    </row>
    <row r="1839" spans="62:62" x14ac:dyDescent="0.2">
      <c r="BJ1839" s="201"/>
    </row>
    <row r="1840" spans="62:62" x14ac:dyDescent="0.2">
      <c r="BJ1840" s="201"/>
    </row>
    <row r="1841" spans="62:62" x14ac:dyDescent="0.2">
      <c r="BJ1841" s="201"/>
    </row>
    <row r="1842" spans="62:62" x14ac:dyDescent="0.2">
      <c r="BJ1842" s="201"/>
    </row>
    <row r="1843" spans="62:62" x14ac:dyDescent="0.2">
      <c r="BJ1843" s="201"/>
    </row>
    <row r="1844" spans="62:62" x14ac:dyDescent="0.2">
      <c r="BJ1844" s="201"/>
    </row>
    <row r="1845" spans="62:62" x14ac:dyDescent="0.2">
      <c r="BJ1845" s="201"/>
    </row>
    <row r="1846" spans="62:62" x14ac:dyDescent="0.2">
      <c r="BJ1846" s="201"/>
    </row>
    <row r="1847" spans="62:62" x14ac:dyDescent="0.2">
      <c r="BJ1847" s="201"/>
    </row>
    <row r="1848" spans="62:62" x14ac:dyDescent="0.2">
      <c r="BJ1848" s="201"/>
    </row>
    <row r="1849" spans="62:62" x14ac:dyDescent="0.2">
      <c r="BJ1849" s="201"/>
    </row>
    <row r="1850" spans="62:62" x14ac:dyDescent="0.2">
      <c r="BJ1850" s="201"/>
    </row>
    <row r="1851" spans="62:62" x14ac:dyDescent="0.2">
      <c r="BJ1851" s="201"/>
    </row>
    <row r="1852" spans="62:62" x14ac:dyDescent="0.2">
      <c r="BJ1852" s="201"/>
    </row>
    <row r="1853" spans="62:62" x14ac:dyDescent="0.2">
      <c r="BJ1853" s="201"/>
    </row>
    <row r="1854" spans="62:62" x14ac:dyDescent="0.2">
      <c r="BJ1854" s="201"/>
    </row>
    <row r="1855" spans="62:62" x14ac:dyDescent="0.2">
      <c r="BJ1855" s="201"/>
    </row>
    <row r="1856" spans="62:62" x14ac:dyDescent="0.2">
      <c r="BJ1856" s="201"/>
    </row>
    <row r="1857" spans="62:62" x14ac:dyDescent="0.2">
      <c r="BJ1857" s="201"/>
    </row>
    <row r="1858" spans="62:62" x14ac:dyDescent="0.2">
      <c r="BJ1858" s="201"/>
    </row>
    <row r="1859" spans="62:62" x14ac:dyDescent="0.2">
      <c r="BJ1859" s="201"/>
    </row>
    <row r="1860" spans="62:62" x14ac:dyDescent="0.2">
      <c r="BJ1860" s="201"/>
    </row>
    <row r="1861" spans="62:62" x14ac:dyDescent="0.2">
      <c r="BJ1861" s="201"/>
    </row>
    <row r="1862" spans="62:62" x14ac:dyDescent="0.2">
      <c r="BJ1862" s="201"/>
    </row>
    <row r="1863" spans="62:62" x14ac:dyDescent="0.2">
      <c r="BJ1863" s="201"/>
    </row>
    <row r="1864" spans="62:62" x14ac:dyDescent="0.2">
      <c r="BJ1864" s="201"/>
    </row>
    <row r="1865" spans="62:62" x14ac:dyDescent="0.2">
      <c r="BJ1865" s="201"/>
    </row>
    <row r="1866" spans="62:62" x14ac:dyDescent="0.2">
      <c r="BJ1866" s="201"/>
    </row>
    <row r="1867" spans="62:62" x14ac:dyDescent="0.2">
      <c r="BJ1867" s="201"/>
    </row>
    <row r="1868" spans="62:62" x14ac:dyDescent="0.2">
      <c r="BJ1868" s="201"/>
    </row>
    <row r="1869" spans="62:62" x14ac:dyDescent="0.2">
      <c r="BJ1869" s="201"/>
    </row>
    <row r="1870" spans="62:62" x14ac:dyDescent="0.2">
      <c r="BJ1870" s="201"/>
    </row>
    <row r="1871" spans="62:62" x14ac:dyDescent="0.2">
      <c r="BJ1871" s="201"/>
    </row>
    <row r="1872" spans="62:62" x14ac:dyDescent="0.2">
      <c r="BJ1872" s="201"/>
    </row>
    <row r="1873" spans="62:62" x14ac:dyDescent="0.2">
      <c r="BJ1873" s="201"/>
    </row>
    <row r="1874" spans="62:62" x14ac:dyDescent="0.2">
      <c r="BJ1874" s="201"/>
    </row>
    <row r="1875" spans="62:62" x14ac:dyDescent="0.2">
      <c r="BJ1875" s="201"/>
    </row>
    <row r="1876" spans="62:62" x14ac:dyDescent="0.2">
      <c r="BJ1876" s="201"/>
    </row>
    <row r="1877" spans="62:62" x14ac:dyDescent="0.2">
      <c r="BJ1877" s="201"/>
    </row>
    <row r="1878" spans="62:62" x14ac:dyDescent="0.2">
      <c r="BJ1878" s="201"/>
    </row>
    <row r="1879" spans="62:62" x14ac:dyDescent="0.2">
      <c r="BJ1879" s="201"/>
    </row>
    <row r="1880" spans="62:62" x14ac:dyDescent="0.2">
      <c r="BJ1880" s="201"/>
    </row>
    <row r="1881" spans="62:62" x14ac:dyDescent="0.2">
      <c r="BJ1881" s="201"/>
    </row>
    <row r="1882" spans="62:62" x14ac:dyDescent="0.2">
      <c r="BJ1882" s="201"/>
    </row>
    <row r="1883" spans="62:62" x14ac:dyDescent="0.2">
      <c r="BJ1883" s="201"/>
    </row>
    <row r="1884" spans="62:62" x14ac:dyDescent="0.2">
      <c r="BJ1884" s="201"/>
    </row>
    <row r="1885" spans="62:62" x14ac:dyDescent="0.2">
      <c r="BJ1885" s="201"/>
    </row>
    <row r="1886" spans="62:62" x14ac:dyDescent="0.2">
      <c r="BJ1886" s="201"/>
    </row>
    <row r="1887" spans="62:62" x14ac:dyDescent="0.2">
      <c r="BJ1887" s="201"/>
    </row>
    <row r="1888" spans="62:62" x14ac:dyDescent="0.2">
      <c r="BJ1888" s="201"/>
    </row>
    <row r="1889" spans="62:62" x14ac:dyDescent="0.2">
      <c r="BJ1889" s="201"/>
    </row>
    <row r="1890" spans="62:62" x14ac:dyDescent="0.2">
      <c r="BJ1890" s="201"/>
    </row>
    <row r="1891" spans="62:62" x14ac:dyDescent="0.2">
      <c r="BJ1891" s="201"/>
    </row>
    <row r="1892" spans="62:62" x14ac:dyDescent="0.2">
      <c r="BJ1892" s="201"/>
    </row>
    <row r="1893" spans="62:62" x14ac:dyDescent="0.2">
      <c r="BJ1893" s="201"/>
    </row>
    <row r="1894" spans="62:62" x14ac:dyDescent="0.2">
      <c r="BJ1894" s="201"/>
    </row>
    <row r="1895" spans="62:62" x14ac:dyDescent="0.2">
      <c r="BJ1895" s="201"/>
    </row>
    <row r="1896" spans="62:62" x14ac:dyDescent="0.2">
      <c r="BJ1896" s="201"/>
    </row>
    <row r="1897" spans="62:62" x14ac:dyDescent="0.2">
      <c r="BJ1897" s="201"/>
    </row>
    <row r="1898" spans="62:62" x14ac:dyDescent="0.2">
      <c r="BJ1898" s="201"/>
    </row>
    <row r="1899" spans="62:62" x14ac:dyDescent="0.2">
      <c r="BJ1899" s="201"/>
    </row>
    <row r="1900" spans="62:62" x14ac:dyDescent="0.2">
      <c r="BJ1900" s="201"/>
    </row>
    <row r="1901" spans="62:62" x14ac:dyDescent="0.2">
      <c r="BJ1901" s="201"/>
    </row>
    <row r="1902" spans="62:62" x14ac:dyDescent="0.2">
      <c r="BJ1902" s="201"/>
    </row>
    <row r="1903" spans="62:62" x14ac:dyDescent="0.2">
      <c r="BJ1903" s="201"/>
    </row>
    <row r="1904" spans="62:62" x14ac:dyDescent="0.2">
      <c r="BJ1904" s="201"/>
    </row>
    <row r="1905" spans="62:62" x14ac:dyDescent="0.2">
      <c r="BJ1905" s="201"/>
    </row>
    <row r="1906" spans="62:62" x14ac:dyDescent="0.2">
      <c r="BJ1906" s="201"/>
    </row>
    <row r="1907" spans="62:62" x14ac:dyDescent="0.2">
      <c r="BJ1907" s="201"/>
    </row>
    <row r="1908" spans="62:62" x14ac:dyDescent="0.2">
      <c r="BJ1908" s="201"/>
    </row>
    <row r="1909" spans="62:62" x14ac:dyDescent="0.2">
      <c r="BJ1909" s="201"/>
    </row>
    <row r="1910" spans="62:62" x14ac:dyDescent="0.2">
      <c r="BJ1910" s="201"/>
    </row>
    <row r="1911" spans="62:62" x14ac:dyDescent="0.2">
      <c r="BJ1911" s="201"/>
    </row>
    <row r="1912" spans="62:62" x14ac:dyDescent="0.2">
      <c r="BJ1912" s="201"/>
    </row>
    <row r="1913" spans="62:62" x14ac:dyDescent="0.2">
      <c r="BJ1913" s="201"/>
    </row>
    <row r="1914" spans="62:62" x14ac:dyDescent="0.2">
      <c r="BJ1914" s="201"/>
    </row>
    <row r="1915" spans="62:62" x14ac:dyDescent="0.2">
      <c r="BJ1915" s="201"/>
    </row>
    <row r="1916" spans="62:62" x14ac:dyDescent="0.2">
      <c r="BJ1916" s="201"/>
    </row>
    <row r="1917" spans="62:62" x14ac:dyDescent="0.2">
      <c r="BJ1917" s="201"/>
    </row>
    <row r="1918" spans="62:62" x14ac:dyDescent="0.2">
      <c r="BJ1918" s="201"/>
    </row>
    <row r="1919" spans="62:62" x14ac:dyDescent="0.2">
      <c r="BJ1919" s="201"/>
    </row>
    <row r="1920" spans="62:62" x14ac:dyDescent="0.2">
      <c r="BJ1920" s="201"/>
    </row>
    <row r="1921" spans="62:62" x14ac:dyDescent="0.2">
      <c r="BJ1921" s="201"/>
    </row>
    <row r="1922" spans="62:62" x14ac:dyDescent="0.2">
      <c r="BJ1922" s="201"/>
    </row>
    <row r="1923" spans="62:62" x14ac:dyDescent="0.2">
      <c r="BJ1923" s="201"/>
    </row>
    <row r="1924" spans="62:62" x14ac:dyDescent="0.2">
      <c r="BJ1924" s="201"/>
    </row>
    <row r="1925" spans="62:62" x14ac:dyDescent="0.2">
      <c r="BJ1925" s="201"/>
    </row>
    <row r="1926" spans="62:62" x14ac:dyDescent="0.2">
      <c r="BJ1926" s="201"/>
    </row>
    <row r="1927" spans="62:62" x14ac:dyDescent="0.2">
      <c r="BJ1927" s="201"/>
    </row>
    <row r="1928" spans="62:62" x14ac:dyDescent="0.2">
      <c r="BJ1928" s="201"/>
    </row>
    <row r="1929" spans="62:62" x14ac:dyDescent="0.2">
      <c r="BJ1929" s="201"/>
    </row>
    <row r="1930" spans="62:62" x14ac:dyDescent="0.2">
      <c r="BJ1930" s="201"/>
    </row>
    <row r="1931" spans="62:62" x14ac:dyDescent="0.2">
      <c r="BJ1931" s="201"/>
    </row>
    <row r="1932" spans="62:62" x14ac:dyDescent="0.2">
      <c r="BJ1932" s="201"/>
    </row>
    <row r="1933" spans="62:62" x14ac:dyDescent="0.2">
      <c r="BJ1933" s="201"/>
    </row>
    <row r="1934" spans="62:62" x14ac:dyDescent="0.2">
      <c r="BJ1934" s="201"/>
    </row>
    <row r="1935" spans="62:62" x14ac:dyDescent="0.2">
      <c r="BJ1935" s="201"/>
    </row>
    <row r="1936" spans="62:62" x14ac:dyDescent="0.2">
      <c r="BJ1936" s="201"/>
    </row>
    <row r="1937" spans="62:62" x14ac:dyDescent="0.2">
      <c r="BJ1937" s="201"/>
    </row>
    <row r="1938" spans="62:62" x14ac:dyDescent="0.2">
      <c r="BJ1938" s="201"/>
    </row>
    <row r="1939" spans="62:62" x14ac:dyDescent="0.2">
      <c r="BJ1939" s="201"/>
    </row>
    <row r="1940" spans="62:62" x14ac:dyDescent="0.2">
      <c r="BJ1940" s="201"/>
    </row>
    <row r="1941" spans="62:62" x14ac:dyDescent="0.2">
      <c r="BJ1941" s="201"/>
    </row>
    <row r="1942" spans="62:62" x14ac:dyDescent="0.2">
      <c r="BJ1942" s="201"/>
    </row>
    <row r="1943" spans="62:62" x14ac:dyDescent="0.2">
      <c r="BJ1943" s="201"/>
    </row>
    <row r="1944" spans="62:62" x14ac:dyDescent="0.2">
      <c r="BJ1944" s="201"/>
    </row>
    <row r="1945" spans="62:62" x14ac:dyDescent="0.2">
      <c r="BJ1945" s="201"/>
    </row>
    <row r="1946" spans="62:62" x14ac:dyDescent="0.2">
      <c r="BJ1946" s="201"/>
    </row>
    <row r="1947" spans="62:62" x14ac:dyDescent="0.2">
      <c r="BJ1947" s="201"/>
    </row>
    <row r="1948" spans="62:62" x14ac:dyDescent="0.2">
      <c r="BJ1948" s="201"/>
    </row>
    <row r="1949" spans="62:62" x14ac:dyDescent="0.2">
      <c r="BJ1949" s="201"/>
    </row>
    <row r="1950" spans="62:62" x14ac:dyDescent="0.2">
      <c r="BJ1950" s="201"/>
    </row>
    <row r="1951" spans="62:62" x14ac:dyDescent="0.2">
      <c r="BJ1951" s="201"/>
    </row>
    <row r="1952" spans="62:62" x14ac:dyDescent="0.2">
      <c r="BJ1952" s="201"/>
    </row>
    <row r="1953" spans="62:62" x14ac:dyDescent="0.2">
      <c r="BJ1953" s="201"/>
    </row>
    <row r="1954" spans="62:62" x14ac:dyDescent="0.2">
      <c r="BJ1954" s="201"/>
    </row>
    <row r="1955" spans="62:62" x14ac:dyDescent="0.2">
      <c r="BJ1955" s="201"/>
    </row>
    <row r="1956" spans="62:62" x14ac:dyDescent="0.2">
      <c r="BJ1956" s="201"/>
    </row>
    <row r="1957" spans="62:62" x14ac:dyDescent="0.2">
      <c r="BJ1957" s="201"/>
    </row>
    <row r="1958" spans="62:62" x14ac:dyDescent="0.2">
      <c r="BJ1958" s="201"/>
    </row>
    <row r="1959" spans="62:62" x14ac:dyDescent="0.2">
      <c r="BJ1959" s="201"/>
    </row>
    <row r="1960" spans="62:62" x14ac:dyDescent="0.2">
      <c r="BJ1960" s="201"/>
    </row>
    <row r="1961" spans="62:62" x14ac:dyDescent="0.2">
      <c r="BJ1961" s="201"/>
    </row>
    <row r="1962" spans="62:62" x14ac:dyDescent="0.2">
      <c r="BJ1962" s="201"/>
    </row>
    <row r="1963" spans="62:62" x14ac:dyDescent="0.2">
      <c r="BJ1963" s="201"/>
    </row>
    <row r="1964" spans="62:62" x14ac:dyDescent="0.2">
      <c r="BJ1964" s="201"/>
    </row>
    <row r="1965" spans="62:62" x14ac:dyDescent="0.2">
      <c r="BJ1965" s="201"/>
    </row>
    <row r="1966" spans="62:62" x14ac:dyDescent="0.2">
      <c r="BJ1966" s="201"/>
    </row>
    <row r="1967" spans="62:62" x14ac:dyDescent="0.2">
      <c r="BJ1967" s="201"/>
    </row>
    <row r="1968" spans="62:62" x14ac:dyDescent="0.2">
      <c r="BJ1968" s="201"/>
    </row>
    <row r="1969" spans="62:62" x14ac:dyDescent="0.2">
      <c r="BJ1969" s="201"/>
    </row>
    <row r="1970" spans="62:62" x14ac:dyDescent="0.2">
      <c r="BJ1970" s="201"/>
    </row>
    <row r="1971" spans="62:62" x14ac:dyDescent="0.2">
      <c r="BJ1971" s="201"/>
    </row>
    <row r="1972" spans="62:62" x14ac:dyDescent="0.2">
      <c r="BJ1972" s="201"/>
    </row>
    <row r="1973" spans="62:62" x14ac:dyDescent="0.2">
      <c r="BJ1973" s="201"/>
    </row>
    <row r="1974" spans="62:62" x14ac:dyDescent="0.2">
      <c r="BJ1974" s="201"/>
    </row>
    <row r="1975" spans="62:62" x14ac:dyDescent="0.2">
      <c r="BJ1975" s="201"/>
    </row>
    <row r="1976" spans="62:62" x14ac:dyDescent="0.2">
      <c r="BJ1976" s="201"/>
    </row>
    <row r="1977" spans="62:62" x14ac:dyDescent="0.2">
      <c r="BJ1977" s="201"/>
    </row>
    <row r="1978" spans="62:62" x14ac:dyDescent="0.2">
      <c r="BJ1978" s="201"/>
    </row>
    <row r="1979" spans="62:62" x14ac:dyDescent="0.2">
      <c r="BJ1979" s="201"/>
    </row>
    <row r="1980" spans="62:62" x14ac:dyDescent="0.2">
      <c r="BJ1980" s="201"/>
    </row>
    <row r="1981" spans="62:62" x14ac:dyDescent="0.2">
      <c r="BJ1981" s="201"/>
    </row>
    <row r="1982" spans="62:62" x14ac:dyDescent="0.2">
      <c r="BJ1982" s="201"/>
    </row>
    <row r="1983" spans="62:62" x14ac:dyDescent="0.2">
      <c r="BJ1983" s="201"/>
    </row>
    <row r="1984" spans="62:62" x14ac:dyDescent="0.2">
      <c r="BJ1984" s="201"/>
    </row>
    <row r="1985" spans="62:62" x14ac:dyDescent="0.2">
      <c r="BJ1985" s="201"/>
    </row>
    <row r="1986" spans="62:62" x14ac:dyDescent="0.2">
      <c r="BJ1986" s="201"/>
    </row>
    <row r="1987" spans="62:62" x14ac:dyDescent="0.2">
      <c r="BJ1987" s="201"/>
    </row>
    <row r="1988" spans="62:62" x14ac:dyDescent="0.2">
      <c r="BJ1988" s="201"/>
    </row>
    <row r="1989" spans="62:62" x14ac:dyDescent="0.2">
      <c r="BJ1989" s="201"/>
    </row>
    <row r="1990" spans="62:62" x14ac:dyDescent="0.2">
      <c r="BJ1990" s="201"/>
    </row>
    <row r="1991" spans="62:62" x14ac:dyDescent="0.2">
      <c r="BJ1991" s="201"/>
    </row>
    <row r="1992" spans="62:62" x14ac:dyDescent="0.2">
      <c r="BJ1992" s="201"/>
    </row>
    <row r="1993" spans="62:62" x14ac:dyDescent="0.2">
      <c r="BJ1993" s="201"/>
    </row>
    <row r="1994" spans="62:62" x14ac:dyDescent="0.2">
      <c r="BJ1994" s="201"/>
    </row>
    <row r="1995" spans="62:62" x14ac:dyDescent="0.2">
      <c r="BJ1995" s="201"/>
    </row>
    <row r="1996" spans="62:62" x14ac:dyDescent="0.2">
      <c r="BJ1996" s="201"/>
    </row>
    <row r="1997" spans="62:62" x14ac:dyDescent="0.2">
      <c r="BJ1997" s="201"/>
    </row>
    <row r="1998" spans="62:62" x14ac:dyDescent="0.2">
      <c r="BJ1998" s="201"/>
    </row>
    <row r="1999" spans="62:62" x14ac:dyDescent="0.2">
      <c r="BJ1999" s="201"/>
    </row>
    <row r="2000" spans="62:62" x14ac:dyDescent="0.2">
      <c r="BJ2000" s="201"/>
    </row>
    <row r="2001" spans="62:62" x14ac:dyDescent="0.2">
      <c r="BJ2001" s="201"/>
    </row>
    <row r="2002" spans="62:62" x14ac:dyDescent="0.2">
      <c r="BJ2002" s="201"/>
    </row>
    <row r="2003" spans="62:62" x14ac:dyDescent="0.2">
      <c r="BJ2003" s="201"/>
    </row>
    <row r="2004" spans="62:62" x14ac:dyDescent="0.2">
      <c r="BJ2004" s="201"/>
    </row>
    <row r="2005" spans="62:62" x14ac:dyDescent="0.2">
      <c r="BJ2005" s="201"/>
    </row>
    <row r="2006" spans="62:62" x14ac:dyDescent="0.2">
      <c r="BJ2006" s="201"/>
    </row>
    <row r="2007" spans="62:62" x14ac:dyDescent="0.2">
      <c r="BJ2007" s="201"/>
    </row>
    <row r="2008" spans="62:62" x14ac:dyDescent="0.2">
      <c r="BJ2008" s="201"/>
    </row>
    <row r="2009" spans="62:62" x14ac:dyDescent="0.2">
      <c r="BJ2009" s="201"/>
    </row>
    <row r="2010" spans="62:62" x14ac:dyDescent="0.2">
      <c r="BJ2010" s="201"/>
    </row>
    <row r="2011" spans="62:62" x14ac:dyDescent="0.2">
      <c r="BJ2011" s="201"/>
    </row>
    <row r="2012" spans="62:62" x14ac:dyDescent="0.2">
      <c r="BJ2012" s="201"/>
    </row>
    <row r="2013" spans="62:62" x14ac:dyDescent="0.2">
      <c r="BJ2013" s="201"/>
    </row>
    <row r="2014" spans="62:62" x14ac:dyDescent="0.2">
      <c r="BJ2014" s="201"/>
    </row>
    <row r="2015" spans="62:62" x14ac:dyDescent="0.2">
      <c r="BJ2015" s="201"/>
    </row>
    <row r="2016" spans="62:62" x14ac:dyDescent="0.2">
      <c r="BJ2016" s="201"/>
    </row>
    <row r="2017" spans="62:62" x14ac:dyDescent="0.2">
      <c r="BJ2017" s="201"/>
    </row>
    <row r="2018" spans="62:62" x14ac:dyDescent="0.2">
      <c r="BJ2018" s="201"/>
    </row>
    <row r="2019" spans="62:62" x14ac:dyDescent="0.2">
      <c r="BJ2019" s="201"/>
    </row>
    <row r="2020" spans="62:62" x14ac:dyDescent="0.2">
      <c r="BJ2020" s="201"/>
    </row>
    <row r="2021" spans="62:62" x14ac:dyDescent="0.2">
      <c r="BJ2021" s="201"/>
    </row>
    <row r="2022" spans="62:62" x14ac:dyDescent="0.2">
      <c r="BJ2022" s="201"/>
    </row>
    <row r="2023" spans="62:62" x14ac:dyDescent="0.2">
      <c r="BJ2023" s="201"/>
    </row>
    <row r="2024" spans="62:62" x14ac:dyDescent="0.2">
      <c r="BJ2024" s="201"/>
    </row>
    <row r="2025" spans="62:62" x14ac:dyDescent="0.2">
      <c r="BJ2025" s="201"/>
    </row>
    <row r="2026" spans="62:62" x14ac:dyDescent="0.2">
      <c r="BJ2026" s="201"/>
    </row>
    <row r="2027" spans="62:62" x14ac:dyDescent="0.2">
      <c r="BJ2027" s="201"/>
    </row>
    <row r="2028" spans="62:62" x14ac:dyDescent="0.2">
      <c r="BJ2028" s="201"/>
    </row>
    <row r="2029" spans="62:62" x14ac:dyDescent="0.2">
      <c r="BJ2029" s="201"/>
    </row>
    <row r="2030" spans="62:62" x14ac:dyDescent="0.2">
      <c r="BJ2030" s="201"/>
    </row>
    <row r="2031" spans="62:62" x14ac:dyDescent="0.2">
      <c r="BJ2031" s="201"/>
    </row>
    <row r="2032" spans="62:62" x14ac:dyDescent="0.2">
      <c r="BJ2032" s="201"/>
    </row>
    <row r="2033" spans="62:62" x14ac:dyDescent="0.2">
      <c r="BJ2033" s="201"/>
    </row>
    <row r="2034" spans="62:62" x14ac:dyDescent="0.2">
      <c r="BJ2034" s="201"/>
    </row>
    <row r="2035" spans="62:62" x14ac:dyDescent="0.2">
      <c r="BJ2035" s="201"/>
    </row>
    <row r="2036" spans="62:62" x14ac:dyDescent="0.2">
      <c r="BJ2036" s="201"/>
    </row>
    <row r="2037" spans="62:62" x14ac:dyDescent="0.2">
      <c r="BJ2037" s="201"/>
    </row>
    <row r="2038" spans="62:62" x14ac:dyDescent="0.2">
      <c r="BJ2038" s="201"/>
    </row>
    <row r="2039" spans="62:62" x14ac:dyDescent="0.2">
      <c r="BJ2039" s="201"/>
    </row>
    <row r="2040" spans="62:62" x14ac:dyDescent="0.2">
      <c r="BJ2040" s="201"/>
    </row>
    <row r="2041" spans="62:62" x14ac:dyDescent="0.2">
      <c r="BJ2041" s="201"/>
    </row>
    <row r="2042" spans="62:62" x14ac:dyDescent="0.2">
      <c r="BJ2042" s="201"/>
    </row>
    <row r="2043" spans="62:62" x14ac:dyDescent="0.2">
      <c r="BJ2043" s="201"/>
    </row>
    <row r="2044" spans="62:62" x14ac:dyDescent="0.2">
      <c r="BJ2044" s="201"/>
    </row>
    <row r="2045" spans="62:62" x14ac:dyDescent="0.2">
      <c r="BJ2045" s="201"/>
    </row>
    <row r="2046" spans="62:62" x14ac:dyDescent="0.2">
      <c r="BJ2046" s="201"/>
    </row>
    <row r="2047" spans="62:62" x14ac:dyDescent="0.2">
      <c r="BJ2047" s="201"/>
    </row>
    <row r="2048" spans="62:62" x14ac:dyDescent="0.2">
      <c r="BJ2048" s="201"/>
    </row>
    <row r="2049" spans="62:62" x14ac:dyDescent="0.2">
      <c r="BJ2049" s="201"/>
    </row>
    <row r="2050" spans="62:62" x14ac:dyDescent="0.2">
      <c r="BJ2050" s="201"/>
    </row>
    <row r="2051" spans="62:62" x14ac:dyDescent="0.2">
      <c r="BJ2051" s="201"/>
    </row>
    <row r="2052" spans="62:62" x14ac:dyDescent="0.2">
      <c r="BJ2052" s="201"/>
    </row>
    <row r="2053" spans="62:62" x14ac:dyDescent="0.2">
      <c r="BJ2053" s="201"/>
    </row>
    <row r="2054" spans="62:62" x14ac:dyDescent="0.2">
      <c r="BJ2054" s="201"/>
    </row>
    <row r="2055" spans="62:62" x14ac:dyDescent="0.2">
      <c r="BJ2055" s="201"/>
    </row>
    <row r="2056" spans="62:62" x14ac:dyDescent="0.2">
      <c r="BJ2056" s="201"/>
    </row>
    <row r="2057" spans="62:62" x14ac:dyDescent="0.2">
      <c r="BJ2057" s="201"/>
    </row>
    <row r="2058" spans="62:62" x14ac:dyDescent="0.2">
      <c r="BJ2058" s="201"/>
    </row>
    <row r="2059" spans="62:62" x14ac:dyDescent="0.2">
      <c r="BJ2059" s="201"/>
    </row>
    <row r="2060" spans="62:62" x14ac:dyDescent="0.2">
      <c r="BJ2060" s="201"/>
    </row>
    <row r="2061" spans="62:62" x14ac:dyDescent="0.2">
      <c r="BJ2061" s="201"/>
    </row>
    <row r="2062" spans="62:62" x14ac:dyDescent="0.2">
      <c r="BJ2062" s="201"/>
    </row>
    <row r="2063" spans="62:62" x14ac:dyDescent="0.2">
      <c r="BJ2063" s="201"/>
    </row>
    <row r="2064" spans="62:62" x14ac:dyDescent="0.2">
      <c r="BJ2064" s="201"/>
    </row>
    <row r="2065" spans="62:62" x14ac:dyDescent="0.2">
      <c r="BJ2065" s="201"/>
    </row>
    <row r="2066" spans="62:62" x14ac:dyDescent="0.2">
      <c r="BJ2066" s="201"/>
    </row>
    <row r="2067" spans="62:62" x14ac:dyDescent="0.2">
      <c r="BJ2067" s="201"/>
    </row>
    <row r="2068" spans="62:62" x14ac:dyDescent="0.2">
      <c r="BJ2068" s="201"/>
    </row>
    <row r="2069" spans="62:62" x14ac:dyDescent="0.2">
      <c r="BJ2069" s="201"/>
    </row>
    <row r="2070" spans="62:62" x14ac:dyDescent="0.2">
      <c r="BJ2070" s="201"/>
    </row>
    <row r="2071" spans="62:62" x14ac:dyDescent="0.2">
      <c r="BJ2071" s="201"/>
    </row>
    <row r="2072" spans="62:62" x14ac:dyDescent="0.2">
      <c r="BJ2072" s="201"/>
    </row>
    <row r="2073" spans="62:62" x14ac:dyDescent="0.2">
      <c r="BJ2073" s="201"/>
    </row>
    <row r="2074" spans="62:62" x14ac:dyDescent="0.2">
      <c r="BJ2074" s="201"/>
    </row>
    <row r="2075" spans="62:62" x14ac:dyDescent="0.2">
      <c r="BJ2075" s="201"/>
    </row>
    <row r="2076" spans="62:62" x14ac:dyDescent="0.2">
      <c r="BJ2076" s="201"/>
    </row>
    <row r="2077" spans="62:62" x14ac:dyDescent="0.2">
      <c r="BJ2077" s="201"/>
    </row>
    <row r="2078" spans="62:62" x14ac:dyDescent="0.2">
      <c r="BJ2078" s="201"/>
    </row>
    <row r="2079" spans="62:62" x14ac:dyDescent="0.2">
      <c r="BJ2079" s="201"/>
    </row>
    <row r="2080" spans="62:62" x14ac:dyDescent="0.2">
      <c r="BJ2080" s="201"/>
    </row>
    <row r="2081" spans="62:62" x14ac:dyDescent="0.2">
      <c r="BJ2081" s="201"/>
    </row>
    <row r="2082" spans="62:62" x14ac:dyDescent="0.2">
      <c r="BJ2082" s="201"/>
    </row>
    <row r="2083" spans="62:62" x14ac:dyDescent="0.2">
      <c r="BJ2083" s="201"/>
    </row>
    <row r="2084" spans="62:62" x14ac:dyDescent="0.2">
      <c r="BJ2084" s="201"/>
    </row>
    <row r="2085" spans="62:62" x14ac:dyDescent="0.2">
      <c r="BJ2085" s="201"/>
    </row>
    <row r="2086" spans="62:62" x14ac:dyDescent="0.2">
      <c r="BJ2086" s="201"/>
    </row>
    <row r="2087" spans="62:62" x14ac:dyDescent="0.2">
      <c r="BJ2087" s="201"/>
    </row>
    <row r="2088" spans="62:62" x14ac:dyDescent="0.2">
      <c r="BJ2088" s="201"/>
    </row>
    <row r="2089" spans="62:62" x14ac:dyDescent="0.2">
      <c r="BJ2089" s="201"/>
    </row>
    <row r="2090" spans="62:62" x14ac:dyDescent="0.2">
      <c r="BJ2090" s="201"/>
    </row>
    <row r="2091" spans="62:62" x14ac:dyDescent="0.2">
      <c r="BJ2091" s="201"/>
    </row>
    <row r="2092" spans="62:62" x14ac:dyDescent="0.2">
      <c r="BJ2092" s="201"/>
    </row>
    <row r="2093" spans="62:62" x14ac:dyDescent="0.2">
      <c r="BJ2093" s="201"/>
    </row>
    <row r="2094" spans="62:62" x14ac:dyDescent="0.2">
      <c r="BJ2094" s="201"/>
    </row>
    <row r="2095" spans="62:62" x14ac:dyDescent="0.2">
      <c r="BJ2095" s="201"/>
    </row>
    <row r="2096" spans="62:62" x14ac:dyDescent="0.2">
      <c r="BJ2096" s="201"/>
    </row>
    <row r="2097" spans="62:62" x14ac:dyDescent="0.2">
      <c r="BJ2097" s="201"/>
    </row>
    <row r="2098" spans="62:62" x14ac:dyDescent="0.2">
      <c r="BJ2098" s="201"/>
    </row>
    <row r="2099" spans="62:62" x14ac:dyDescent="0.2">
      <c r="BJ2099" s="201"/>
    </row>
    <row r="2100" spans="62:62" x14ac:dyDescent="0.2">
      <c r="BJ2100" s="201"/>
    </row>
    <row r="2101" spans="62:62" x14ac:dyDescent="0.2">
      <c r="BJ2101" s="201"/>
    </row>
    <row r="2102" spans="62:62" x14ac:dyDescent="0.2">
      <c r="BJ2102" s="201"/>
    </row>
    <row r="2103" spans="62:62" x14ac:dyDescent="0.2">
      <c r="BJ2103" s="201"/>
    </row>
    <row r="2104" spans="62:62" x14ac:dyDescent="0.2">
      <c r="BJ2104" s="201"/>
    </row>
    <row r="2105" spans="62:62" x14ac:dyDescent="0.2">
      <c r="BJ2105" s="201"/>
    </row>
    <row r="2106" spans="62:62" x14ac:dyDescent="0.2">
      <c r="BJ2106" s="201"/>
    </row>
    <row r="2107" spans="62:62" x14ac:dyDescent="0.2">
      <c r="BJ2107" s="201"/>
    </row>
    <row r="2108" spans="62:62" x14ac:dyDescent="0.2">
      <c r="BJ2108" s="201"/>
    </row>
    <row r="2109" spans="62:62" x14ac:dyDescent="0.2">
      <c r="BJ2109" s="201"/>
    </row>
    <row r="2110" spans="62:62" x14ac:dyDescent="0.2">
      <c r="BJ2110" s="201"/>
    </row>
    <row r="2111" spans="62:62" x14ac:dyDescent="0.2">
      <c r="BJ2111" s="201"/>
    </row>
    <row r="2112" spans="62:62" x14ac:dyDescent="0.2">
      <c r="BJ2112" s="201"/>
    </row>
    <row r="2113" spans="62:62" x14ac:dyDescent="0.2">
      <c r="BJ2113" s="201"/>
    </row>
    <row r="2114" spans="62:62" x14ac:dyDescent="0.2">
      <c r="BJ2114" s="201"/>
    </row>
    <row r="2115" spans="62:62" x14ac:dyDescent="0.2">
      <c r="BJ2115" s="201"/>
    </row>
    <row r="2116" spans="62:62" x14ac:dyDescent="0.2">
      <c r="BJ2116" s="201"/>
    </row>
    <row r="2117" spans="62:62" x14ac:dyDescent="0.2">
      <c r="BJ2117" s="201"/>
    </row>
    <row r="2118" spans="62:62" x14ac:dyDescent="0.2">
      <c r="BJ2118" s="201"/>
    </row>
    <row r="2119" spans="62:62" x14ac:dyDescent="0.2">
      <c r="BJ2119" s="201"/>
    </row>
    <row r="2120" spans="62:62" x14ac:dyDescent="0.2">
      <c r="BJ2120" s="201"/>
    </row>
    <row r="2121" spans="62:62" x14ac:dyDescent="0.2">
      <c r="BJ2121" s="201"/>
    </row>
    <row r="2122" spans="62:62" x14ac:dyDescent="0.2">
      <c r="BJ2122" s="201"/>
    </row>
    <row r="2123" spans="62:62" x14ac:dyDescent="0.2">
      <c r="BJ2123" s="201"/>
    </row>
    <row r="2124" spans="62:62" x14ac:dyDescent="0.2">
      <c r="BJ2124" s="201"/>
    </row>
    <row r="2125" spans="62:62" x14ac:dyDescent="0.2">
      <c r="BJ2125" s="201"/>
    </row>
    <row r="2126" spans="62:62" x14ac:dyDescent="0.2">
      <c r="BJ2126" s="201"/>
    </row>
    <row r="2127" spans="62:62" x14ac:dyDescent="0.2">
      <c r="BJ2127" s="201"/>
    </row>
    <row r="2128" spans="62:62" x14ac:dyDescent="0.2">
      <c r="BJ2128" s="201"/>
    </row>
    <row r="2129" spans="62:62" x14ac:dyDescent="0.2">
      <c r="BJ2129" s="201"/>
    </row>
    <row r="2130" spans="62:62" x14ac:dyDescent="0.2">
      <c r="BJ2130" s="201"/>
    </row>
    <row r="2131" spans="62:62" x14ac:dyDescent="0.2">
      <c r="BJ2131" s="201"/>
    </row>
    <row r="2132" spans="62:62" x14ac:dyDescent="0.2">
      <c r="BJ2132" s="201"/>
    </row>
    <row r="2133" spans="62:62" x14ac:dyDescent="0.2">
      <c r="BJ2133" s="201"/>
    </row>
    <row r="2134" spans="62:62" x14ac:dyDescent="0.2">
      <c r="BJ2134" s="201"/>
    </row>
    <row r="2135" spans="62:62" x14ac:dyDescent="0.2">
      <c r="BJ2135" s="201"/>
    </row>
    <row r="2136" spans="62:62" x14ac:dyDescent="0.2">
      <c r="BJ2136" s="201"/>
    </row>
    <row r="2137" spans="62:62" x14ac:dyDescent="0.2">
      <c r="BJ2137" s="201"/>
    </row>
    <row r="2138" spans="62:62" x14ac:dyDescent="0.2">
      <c r="BJ2138" s="201"/>
    </row>
    <row r="2139" spans="62:62" x14ac:dyDescent="0.2">
      <c r="BJ2139" s="201"/>
    </row>
    <row r="2140" spans="62:62" x14ac:dyDescent="0.2">
      <c r="BJ2140" s="201"/>
    </row>
    <row r="2141" spans="62:62" x14ac:dyDescent="0.2">
      <c r="BJ2141" s="201"/>
    </row>
    <row r="2142" spans="62:62" x14ac:dyDescent="0.2">
      <c r="BJ2142" s="201"/>
    </row>
    <row r="2143" spans="62:62" x14ac:dyDescent="0.2">
      <c r="BJ2143" s="201"/>
    </row>
    <row r="2144" spans="62:62" x14ac:dyDescent="0.2">
      <c r="BJ2144" s="201"/>
    </row>
    <row r="2145" spans="62:62" x14ac:dyDescent="0.2">
      <c r="BJ2145" s="201"/>
    </row>
    <row r="2146" spans="62:62" x14ac:dyDescent="0.2">
      <c r="BJ2146" s="201"/>
    </row>
    <row r="2147" spans="62:62" x14ac:dyDescent="0.2">
      <c r="BJ2147" s="201"/>
    </row>
    <row r="2148" spans="62:62" x14ac:dyDescent="0.2">
      <c r="BJ2148" s="201"/>
    </row>
    <row r="2149" spans="62:62" x14ac:dyDescent="0.2">
      <c r="BJ2149" s="201"/>
    </row>
    <row r="2150" spans="62:62" x14ac:dyDescent="0.2">
      <c r="BJ2150" s="201"/>
    </row>
    <row r="2151" spans="62:62" x14ac:dyDescent="0.2">
      <c r="BJ2151" s="201"/>
    </row>
    <row r="2152" spans="62:62" x14ac:dyDescent="0.2">
      <c r="BJ2152" s="201"/>
    </row>
    <row r="2153" spans="62:62" x14ac:dyDescent="0.2">
      <c r="BJ2153" s="201"/>
    </row>
    <row r="2154" spans="62:62" x14ac:dyDescent="0.2">
      <c r="BJ2154" s="201"/>
    </row>
    <row r="2155" spans="62:62" x14ac:dyDescent="0.2">
      <c r="BJ2155" s="201"/>
    </row>
    <row r="2156" spans="62:62" x14ac:dyDescent="0.2">
      <c r="BJ2156" s="201"/>
    </row>
    <row r="2157" spans="62:62" x14ac:dyDescent="0.2">
      <c r="BJ2157" s="201"/>
    </row>
    <row r="2158" spans="62:62" x14ac:dyDescent="0.2">
      <c r="BJ2158" s="201"/>
    </row>
    <row r="2159" spans="62:62" x14ac:dyDescent="0.2">
      <c r="BJ2159" s="201"/>
    </row>
    <row r="2160" spans="62:62" x14ac:dyDescent="0.2">
      <c r="BJ2160" s="201"/>
    </row>
    <row r="2161" spans="62:62" x14ac:dyDescent="0.2">
      <c r="BJ2161" s="201"/>
    </row>
    <row r="2162" spans="62:62" x14ac:dyDescent="0.2">
      <c r="BJ2162" s="201"/>
    </row>
    <row r="2163" spans="62:62" x14ac:dyDescent="0.2">
      <c r="BJ2163" s="201"/>
    </row>
    <row r="2164" spans="62:62" x14ac:dyDescent="0.2">
      <c r="BJ2164" s="201"/>
    </row>
    <row r="2165" spans="62:62" x14ac:dyDescent="0.2">
      <c r="BJ2165" s="201"/>
    </row>
    <row r="2166" spans="62:62" x14ac:dyDescent="0.2">
      <c r="BJ2166" s="201"/>
    </row>
    <row r="2167" spans="62:62" x14ac:dyDescent="0.2">
      <c r="BJ2167" s="201"/>
    </row>
    <row r="2168" spans="62:62" x14ac:dyDescent="0.2">
      <c r="BJ2168" s="201"/>
    </row>
    <row r="2169" spans="62:62" x14ac:dyDescent="0.2">
      <c r="BJ2169" s="201"/>
    </row>
    <row r="2170" spans="62:62" x14ac:dyDescent="0.2">
      <c r="BJ2170" s="201"/>
    </row>
    <row r="2171" spans="62:62" x14ac:dyDescent="0.2">
      <c r="BJ2171" s="201"/>
    </row>
    <row r="2172" spans="62:62" x14ac:dyDescent="0.2">
      <c r="BJ2172" s="201"/>
    </row>
    <row r="2173" spans="62:62" x14ac:dyDescent="0.2">
      <c r="BJ2173" s="201"/>
    </row>
    <row r="2174" spans="62:62" x14ac:dyDescent="0.2">
      <c r="BJ2174" s="201"/>
    </row>
    <row r="2175" spans="62:62" x14ac:dyDescent="0.2">
      <c r="BJ2175" s="201"/>
    </row>
    <row r="2176" spans="62:62" x14ac:dyDescent="0.2">
      <c r="BJ2176" s="201"/>
    </row>
    <row r="2177" spans="62:62" x14ac:dyDescent="0.2">
      <c r="BJ2177" s="201"/>
    </row>
    <row r="2178" spans="62:62" x14ac:dyDescent="0.2">
      <c r="BJ2178" s="201"/>
    </row>
    <row r="2179" spans="62:62" x14ac:dyDescent="0.2">
      <c r="BJ2179" s="201"/>
    </row>
    <row r="2180" spans="62:62" x14ac:dyDescent="0.2">
      <c r="BJ2180" s="201"/>
    </row>
    <row r="2181" spans="62:62" x14ac:dyDescent="0.2">
      <c r="BJ2181" s="201"/>
    </row>
    <row r="2182" spans="62:62" x14ac:dyDescent="0.2">
      <c r="BJ2182" s="201"/>
    </row>
    <row r="2183" spans="62:62" x14ac:dyDescent="0.2">
      <c r="BJ2183" s="201"/>
    </row>
    <row r="2184" spans="62:62" x14ac:dyDescent="0.2">
      <c r="BJ2184" s="201"/>
    </row>
    <row r="2185" spans="62:62" x14ac:dyDescent="0.2">
      <c r="BJ2185" s="201"/>
    </row>
    <row r="2186" spans="62:62" x14ac:dyDescent="0.2">
      <c r="BJ2186" s="201"/>
    </row>
    <row r="2187" spans="62:62" x14ac:dyDescent="0.2">
      <c r="BJ2187" s="201"/>
    </row>
    <row r="2188" spans="62:62" x14ac:dyDescent="0.2">
      <c r="BJ2188" s="201"/>
    </row>
    <row r="2189" spans="62:62" x14ac:dyDescent="0.2">
      <c r="BJ2189" s="201"/>
    </row>
    <row r="2190" spans="62:62" x14ac:dyDescent="0.2">
      <c r="BJ2190" s="201"/>
    </row>
    <row r="2191" spans="62:62" x14ac:dyDescent="0.2">
      <c r="BJ2191" s="201"/>
    </row>
    <row r="2192" spans="62:62" x14ac:dyDescent="0.2">
      <c r="BJ2192" s="201"/>
    </row>
    <row r="2193" spans="62:62" x14ac:dyDescent="0.2">
      <c r="BJ2193" s="201"/>
    </row>
    <row r="2194" spans="62:62" x14ac:dyDescent="0.2">
      <c r="BJ2194" s="201"/>
    </row>
    <row r="2195" spans="62:62" x14ac:dyDescent="0.2">
      <c r="BJ2195" s="201"/>
    </row>
    <row r="2196" spans="62:62" x14ac:dyDescent="0.2">
      <c r="BJ2196" s="201"/>
    </row>
    <row r="2197" spans="62:62" x14ac:dyDescent="0.2">
      <c r="BJ2197" s="201"/>
    </row>
    <row r="2198" spans="62:62" x14ac:dyDescent="0.2">
      <c r="BJ2198" s="201"/>
    </row>
    <row r="2199" spans="62:62" x14ac:dyDescent="0.2">
      <c r="BJ2199" s="201"/>
    </row>
    <row r="2200" spans="62:62" x14ac:dyDescent="0.2">
      <c r="BJ2200" s="201"/>
    </row>
    <row r="2201" spans="62:62" x14ac:dyDescent="0.2">
      <c r="BJ2201" s="201"/>
    </row>
    <row r="2202" spans="62:62" x14ac:dyDescent="0.2">
      <c r="BJ2202" s="201"/>
    </row>
    <row r="2203" spans="62:62" x14ac:dyDescent="0.2">
      <c r="BJ2203" s="201"/>
    </row>
    <row r="2204" spans="62:62" x14ac:dyDescent="0.2">
      <c r="BJ2204" s="201"/>
    </row>
    <row r="2205" spans="62:62" x14ac:dyDescent="0.2">
      <c r="BJ2205" s="201"/>
    </row>
    <row r="2206" spans="62:62" x14ac:dyDescent="0.2">
      <c r="BJ2206" s="201"/>
    </row>
    <row r="2207" spans="62:62" x14ac:dyDescent="0.2">
      <c r="BJ2207" s="201"/>
    </row>
    <row r="2208" spans="62:62" x14ac:dyDescent="0.2">
      <c r="BJ2208" s="201"/>
    </row>
    <row r="2209" spans="62:62" x14ac:dyDescent="0.2">
      <c r="BJ2209" s="201"/>
    </row>
    <row r="2210" spans="62:62" x14ac:dyDescent="0.2">
      <c r="BJ2210" s="201"/>
    </row>
    <row r="2211" spans="62:62" x14ac:dyDescent="0.2">
      <c r="BJ2211" s="201"/>
    </row>
    <row r="2212" spans="62:62" x14ac:dyDescent="0.2">
      <c r="BJ2212" s="201"/>
    </row>
    <row r="2213" spans="62:62" x14ac:dyDescent="0.2">
      <c r="BJ2213" s="201"/>
    </row>
    <row r="2214" spans="62:62" x14ac:dyDescent="0.2">
      <c r="BJ2214" s="201"/>
    </row>
    <row r="2215" spans="62:62" x14ac:dyDescent="0.2">
      <c r="BJ2215" s="201"/>
    </row>
    <row r="2216" spans="62:62" x14ac:dyDescent="0.2">
      <c r="BJ2216" s="201"/>
    </row>
    <row r="2217" spans="62:62" x14ac:dyDescent="0.2">
      <c r="BJ2217" s="201"/>
    </row>
    <row r="2218" spans="62:62" x14ac:dyDescent="0.2">
      <c r="BJ2218" s="201"/>
    </row>
    <row r="2219" spans="62:62" x14ac:dyDescent="0.2">
      <c r="BJ2219" s="201"/>
    </row>
    <row r="2220" spans="62:62" x14ac:dyDescent="0.2">
      <c r="BJ2220" s="201"/>
    </row>
    <row r="2221" spans="62:62" x14ac:dyDescent="0.2">
      <c r="BJ2221" s="201"/>
    </row>
    <row r="2222" spans="62:62" x14ac:dyDescent="0.2">
      <c r="BJ2222" s="201"/>
    </row>
    <row r="2223" spans="62:62" x14ac:dyDescent="0.2">
      <c r="BJ2223" s="201"/>
    </row>
    <row r="2224" spans="62:62" x14ac:dyDescent="0.2">
      <c r="BJ2224" s="201"/>
    </row>
    <row r="2225" spans="62:62" x14ac:dyDescent="0.2">
      <c r="BJ2225" s="201"/>
    </row>
    <row r="2226" spans="62:62" x14ac:dyDescent="0.2">
      <c r="BJ2226" s="201"/>
    </row>
    <row r="2227" spans="62:62" x14ac:dyDescent="0.2">
      <c r="BJ2227" s="201"/>
    </row>
    <row r="2228" spans="62:62" x14ac:dyDescent="0.2">
      <c r="BJ2228" s="201"/>
    </row>
    <row r="2229" spans="62:62" x14ac:dyDescent="0.2">
      <c r="BJ2229" s="201"/>
    </row>
    <row r="2230" spans="62:62" x14ac:dyDescent="0.2">
      <c r="BJ2230" s="201"/>
    </row>
    <row r="2231" spans="62:62" x14ac:dyDescent="0.2">
      <c r="BJ2231" s="201"/>
    </row>
    <row r="2232" spans="62:62" x14ac:dyDescent="0.2">
      <c r="BJ2232" s="201"/>
    </row>
    <row r="2233" spans="62:62" x14ac:dyDescent="0.2">
      <c r="BJ2233" s="201"/>
    </row>
    <row r="2234" spans="62:62" x14ac:dyDescent="0.2">
      <c r="BJ2234" s="201"/>
    </row>
    <row r="2235" spans="62:62" x14ac:dyDescent="0.2">
      <c r="BJ2235" s="201"/>
    </row>
    <row r="2236" spans="62:62" x14ac:dyDescent="0.2">
      <c r="BJ2236" s="201"/>
    </row>
    <row r="2237" spans="62:62" x14ac:dyDescent="0.2">
      <c r="BJ2237" s="201"/>
    </row>
    <row r="2238" spans="62:62" x14ac:dyDescent="0.2">
      <c r="BJ2238" s="201"/>
    </row>
    <row r="2239" spans="62:62" x14ac:dyDescent="0.2">
      <c r="BJ2239" s="201"/>
    </row>
    <row r="2240" spans="62:62" x14ac:dyDescent="0.2">
      <c r="BJ2240" s="201"/>
    </row>
    <row r="2241" spans="62:62" x14ac:dyDescent="0.2">
      <c r="BJ2241" s="201"/>
    </row>
    <row r="2242" spans="62:62" x14ac:dyDescent="0.2">
      <c r="BJ2242" s="201"/>
    </row>
    <row r="2243" spans="62:62" x14ac:dyDescent="0.2">
      <c r="BJ2243" s="201"/>
    </row>
    <row r="2244" spans="62:62" x14ac:dyDescent="0.2">
      <c r="BJ2244" s="201"/>
    </row>
    <row r="2245" spans="62:62" x14ac:dyDescent="0.2">
      <c r="BJ2245" s="201"/>
    </row>
    <row r="2246" spans="62:62" x14ac:dyDescent="0.2">
      <c r="BJ2246" s="201"/>
    </row>
    <row r="2247" spans="62:62" x14ac:dyDescent="0.2">
      <c r="BJ2247" s="201"/>
    </row>
    <row r="2248" spans="62:62" x14ac:dyDescent="0.2">
      <c r="BJ2248" s="201"/>
    </row>
    <row r="2249" spans="62:62" x14ac:dyDescent="0.2">
      <c r="BJ2249" s="201"/>
    </row>
    <row r="2250" spans="62:62" x14ac:dyDescent="0.2">
      <c r="BJ2250" s="201"/>
    </row>
    <row r="2251" spans="62:62" x14ac:dyDescent="0.2">
      <c r="BJ2251" s="201"/>
    </row>
    <row r="2252" spans="62:62" x14ac:dyDescent="0.2">
      <c r="BJ2252" s="201"/>
    </row>
    <row r="2253" spans="62:62" x14ac:dyDescent="0.2">
      <c r="BJ2253" s="201"/>
    </row>
    <row r="2254" spans="62:62" x14ac:dyDescent="0.2">
      <c r="BJ2254" s="201"/>
    </row>
    <row r="2255" spans="62:62" x14ac:dyDescent="0.2">
      <c r="BJ2255" s="201"/>
    </row>
    <row r="2256" spans="62:62" x14ac:dyDescent="0.2">
      <c r="BJ2256" s="201"/>
    </row>
    <row r="2257" spans="62:62" x14ac:dyDescent="0.2">
      <c r="BJ2257" s="201"/>
    </row>
    <row r="2258" spans="62:62" x14ac:dyDescent="0.2">
      <c r="BJ2258" s="201"/>
    </row>
    <row r="2259" spans="62:62" x14ac:dyDescent="0.2">
      <c r="BJ2259" s="201"/>
    </row>
    <row r="2260" spans="62:62" x14ac:dyDescent="0.2">
      <c r="BJ2260" s="201"/>
    </row>
    <row r="2261" spans="62:62" x14ac:dyDescent="0.2">
      <c r="BJ2261" s="201"/>
    </row>
    <row r="2262" spans="62:62" x14ac:dyDescent="0.2">
      <c r="BJ2262" s="201"/>
    </row>
    <row r="2263" spans="62:62" x14ac:dyDescent="0.2">
      <c r="BJ2263" s="201"/>
    </row>
    <row r="2264" spans="62:62" x14ac:dyDescent="0.2">
      <c r="BJ2264" s="201"/>
    </row>
    <row r="2265" spans="62:62" x14ac:dyDescent="0.2">
      <c r="BJ2265" s="201"/>
    </row>
    <row r="2266" spans="62:62" x14ac:dyDescent="0.2">
      <c r="BJ2266" s="201"/>
    </row>
    <row r="2267" spans="62:62" x14ac:dyDescent="0.2">
      <c r="BJ2267" s="201"/>
    </row>
    <row r="2268" spans="62:62" x14ac:dyDescent="0.2">
      <c r="BJ2268" s="201"/>
    </row>
    <row r="2269" spans="62:62" x14ac:dyDescent="0.2">
      <c r="BJ2269" s="201"/>
    </row>
    <row r="2270" spans="62:62" x14ac:dyDescent="0.2">
      <c r="BJ2270" s="201"/>
    </row>
    <row r="2271" spans="62:62" x14ac:dyDescent="0.2">
      <c r="BJ2271" s="201"/>
    </row>
    <row r="2272" spans="62:62" x14ac:dyDescent="0.2">
      <c r="BJ2272" s="201"/>
    </row>
    <row r="2273" spans="62:62" x14ac:dyDescent="0.2">
      <c r="BJ2273" s="201"/>
    </row>
    <row r="2274" spans="62:62" x14ac:dyDescent="0.2">
      <c r="BJ2274" s="201"/>
    </row>
    <row r="2275" spans="62:62" x14ac:dyDescent="0.2">
      <c r="BJ2275" s="201"/>
    </row>
    <row r="2276" spans="62:62" x14ac:dyDescent="0.2">
      <c r="BJ2276" s="201"/>
    </row>
    <row r="2277" spans="62:62" x14ac:dyDescent="0.2">
      <c r="BJ2277" s="201"/>
    </row>
    <row r="2278" spans="62:62" x14ac:dyDescent="0.2">
      <c r="BJ2278" s="201"/>
    </row>
    <row r="2279" spans="62:62" x14ac:dyDescent="0.2">
      <c r="BJ2279" s="201"/>
    </row>
    <row r="2280" spans="62:62" x14ac:dyDescent="0.2">
      <c r="BJ2280" s="201"/>
    </row>
    <row r="2281" spans="62:62" x14ac:dyDescent="0.2">
      <c r="BJ2281" s="201"/>
    </row>
    <row r="2282" spans="62:62" x14ac:dyDescent="0.2">
      <c r="BJ2282" s="201"/>
    </row>
    <row r="2283" spans="62:62" x14ac:dyDescent="0.2">
      <c r="BJ2283" s="201"/>
    </row>
    <row r="2284" spans="62:62" x14ac:dyDescent="0.2">
      <c r="BJ2284" s="201"/>
    </row>
    <row r="2285" spans="62:62" x14ac:dyDescent="0.2">
      <c r="BJ2285" s="201"/>
    </row>
    <row r="2286" spans="62:62" x14ac:dyDescent="0.2">
      <c r="BJ2286" s="201"/>
    </row>
    <row r="2287" spans="62:62" x14ac:dyDescent="0.2">
      <c r="BJ2287" s="201"/>
    </row>
    <row r="2288" spans="62:62" x14ac:dyDescent="0.2">
      <c r="BJ2288" s="201"/>
    </row>
    <row r="2289" spans="62:62" x14ac:dyDescent="0.2">
      <c r="BJ2289" s="201"/>
    </row>
    <row r="2290" spans="62:62" x14ac:dyDescent="0.2">
      <c r="BJ2290" s="201"/>
    </row>
    <row r="2291" spans="62:62" x14ac:dyDescent="0.2">
      <c r="BJ2291" s="201"/>
    </row>
    <row r="2292" spans="62:62" x14ac:dyDescent="0.2">
      <c r="BJ2292" s="201"/>
    </row>
    <row r="2293" spans="62:62" x14ac:dyDescent="0.2">
      <c r="BJ2293" s="201"/>
    </row>
    <row r="2294" spans="62:62" x14ac:dyDescent="0.2">
      <c r="BJ2294" s="201"/>
    </row>
    <row r="2295" spans="62:62" x14ac:dyDescent="0.2">
      <c r="BJ2295" s="201"/>
    </row>
    <row r="2296" spans="62:62" x14ac:dyDescent="0.2">
      <c r="BJ2296" s="201"/>
    </row>
    <row r="2297" spans="62:62" x14ac:dyDescent="0.2">
      <c r="BJ2297" s="201"/>
    </row>
    <row r="2298" spans="62:62" x14ac:dyDescent="0.2">
      <c r="BJ2298" s="201"/>
    </row>
    <row r="2299" spans="62:62" x14ac:dyDescent="0.2">
      <c r="BJ2299" s="201"/>
    </row>
    <row r="2300" spans="62:62" x14ac:dyDescent="0.2">
      <c r="BJ2300" s="201"/>
    </row>
    <row r="2301" spans="62:62" x14ac:dyDescent="0.2">
      <c r="BJ2301" s="201"/>
    </row>
    <row r="2302" spans="62:62" x14ac:dyDescent="0.2">
      <c r="BJ2302" s="201"/>
    </row>
    <row r="2303" spans="62:62" x14ac:dyDescent="0.2">
      <c r="BJ2303" s="201"/>
    </row>
    <row r="2304" spans="62:62" x14ac:dyDescent="0.2">
      <c r="BJ2304" s="201"/>
    </row>
    <row r="2305" spans="62:62" x14ac:dyDescent="0.2">
      <c r="BJ2305" s="201"/>
    </row>
    <row r="2306" spans="62:62" x14ac:dyDescent="0.2">
      <c r="BJ2306" s="201"/>
    </row>
    <row r="2307" spans="62:62" x14ac:dyDescent="0.2">
      <c r="BJ2307" s="201"/>
    </row>
    <row r="2308" spans="62:62" x14ac:dyDescent="0.2">
      <c r="BJ2308" s="201"/>
    </row>
    <row r="2309" spans="62:62" x14ac:dyDescent="0.2">
      <c r="BJ2309" s="201"/>
    </row>
    <row r="2310" spans="62:62" x14ac:dyDescent="0.2">
      <c r="BJ2310" s="201"/>
    </row>
    <row r="2311" spans="62:62" x14ac:dyDescent="0.2">
      <c r="BJ2311" s="201"/>
    </row>
    <row r="2312" spans="62:62" x14ac:dyDescent="0.2">
      <c r="BJ2312" s="201"/>
    </row>
    <row r="2313" spans="62:62" x14ac:dyDescent="0.2">
      <c r="BJ2313" s="201"/>
    </row>
    <row r="2314" spans="62:62" x14ac:dyDescent="0.2">
      <c r="BJ2314" s="201"/>
    </row>
    <row r="2315" spans="62:62" x14ac:dyDescent="0.2">
      <c r="BJ2315" s="201"/>
    </row>
    <row r="2316" spans="62:62" x14ac:dyDescent="0.2">
      <c r="BJ2316" s="201"/>
    </row>
    <row r="2317" spans="62:62" x14ac:dyDescent="0.2">
      <c r="BJ2317" s="201"/>
    </row>
    <row r="2318" spans="62:62" x14ac:dyDescent="0.2">
      <c r="BJ2318" s="201"/>
    </row>
    <row r="2319" spans="62:62" x14ac:dyDescent="0.2">
      <c r="BJ2319" s="201"/>
    </row>
    <row r="2320" spans="62:62" x14ac:dyDescent="0.2">
      <c r="BJ2320" s="201"/>
    </row>
    <row r="2321" spans="62:62" x14ac:dyDescent="0.2">
      <c r="BJ2321" s="201"/>
    </row>
    <row r="2322" spans="62:62" x14ac:dyDescent="0.2">
      <c r="BJ2322" s="201"/>
    </row>
    <row r="2323" spans="62:62" x14ac:dyDescent="0.2">
      <c r="BJ2323" s="201"/>
    </row>
    <row r="2324" spans="62:62" x14ac:dyDescent="0.2">
      <c r="BJ2324" s="201"/>
    </row>
    <row r="2325" spans="62:62" x14ac:dyDescent="0.2">
      <c r="BJ2325" s="201"/>
    </row>
    <row r="2326" spans="62:62" x14ac:dyDescent="0.2">
      <c r="BJ2326" s="201"/>
    </row>
    <row r="2327" spans="62:62" x14ac:dyDescent="0.2">
      <c r="BJ2327" s="201"/>
    </row>
    <row r="2328" spans="62:62" x14ac:dyDescent="0.2">
      <c r="BJ2328" s="201"/>
    </row>
    <row r="2329" spans="62:62" x14ac:dyDescent="0.2">
      <c r="BJ2329" s="201"/>
    </row>
    <row r="2330" spans="62:62" x14ac:dyDescent="0.2">
      <c r="BJ2330" s="201"/>
    </row>
    <row r="2331" spans="62:62" x14ac:dyDescent="0.2">
      <c r="BJ2331" s="201"/>
    </row>
    <row r="2332" spans="62:62" x14ac:dyDescent="0.2">
      <c r="BJ2332" s="201"/>
    </row>
    <row r="2333" spans="62:62" x14ac:dyDescent="0.2">
      <c r="BJ2333" s="201"/>
    </row>
    <row r="2334" spans="62:62" x14ac:dyDescent="0.2">
      <c r="BJ2334" s="201"/>
    </row>
    <row r="2335" spans="62:62" x14ac:dyDescent="0.2">
      <c r="BJ2335" s="201"/>
    </row>
    <row r="2336" spans="62:62" x14ac:dyDescent="0.2">
      <c r="BJ2336" s="201"/>
    </row>
    <row r="2337" spans="62:62" x14ac:dyDescent="0.2">
      <c r="BJ2337" s="201"/>
    </row>
    <row r="2338" spans="62:62" x14ac:dyDescent="0.2">
      <c r="BJ2338" s="201"/>
    </row>
    <row r="2339" spans="62:62" x14ac:dyDescent="0.2">
      <c r="BJ2339" s="201"/>
    </row>
    <row r="2340" spans="62:62" x14ac:dyDescent="0.2">
      <c r="BJ2340" s="201"/>
    </row>
    <row r="2341" spans="62:62" x14ac:dyDescent="0.2">
      <c r="BJ2341" s="201"/>
    </row>
    <row r="2342" spans="62:62" x14ac:dyDescent="0.2">
      <c r="BJ2342" s="201"/>
    </row>
    <row r="2343" spans="62:62" x14ac:dyDescent="0.2">
      <c r="BJ2343" s="201"/>
    </row>
    <row r="2344" spans="62:62" x14ac:dyDescent="0.2">
      <c r="BJ2344" s="201"/>
    </row>
    <row r="2345" spans="62:62" x14ac:dyDescent="0.2">
      <c r="BJ2345" s="201"/>
    </row>
    <row r="2346" spans="62:62" x14ac:dyDescent="0.2">
      <c r="BJ2346" s="201"/>
    </row>
    <row r="2347" spans="62:62" x14ac:dyDescent="0.2">
      <c r="BJ2347" s="201"/>
    </row>
    <row r="2348" spans="62:62" x14ac:dyDescent="0.2">
      <c r="BJ2348" s="201"/>
    </row>
    <row r="2349" spans="62:62" x14ac:dyDescent="0.2">
      <c r="BJ2349" s="201"/>
    </row>
    <row r="2350" spans="62:62" x14ac:dyDescent="0.2">
      <c r="BJ2350" s="201"/>
    </row>
    <row r="2351" spans="62:62" x14ac:dyDescent="0.2">
      <c r="BJ2351" s="201"/>
    </row>
    <row r="2352" spans="62:62" x14ac:dyDescent="0.2">
      <c r="BJ2352" s="201"/>
    </row>
    <row r="2353" spans="62:62" x14ac:dyDescent="0.2">
      <c r="BJ2353" s="201"/>
    </row>
    <row r="2354" spans="62:62" x14ac:dyDescent="0.2">
      <c r="BJ2354" s="201"/>
    </row>
    <row r="2355" spans="62:62" x14ac:dyDescent="0.2">
      <c r="BJ2355" s="201"/>
    </row>
    <row r="2356" spans="62:62" x14ac:dyDescent="0.2">
      <c r="BJ2356" s="201"/>
    </row>
    <row r="2357" spans="62:62" x14ac:dyDescent="0.2">
      <c r="BJ2357" s="201"/>
    </row>
    <row r="2358" spans="62:62" x14ac:dyDescent="0.2">
      <c r="BJ2358" s="201"/>
    </row>
    <row r="2359" spans="62:62" x14ac:dyDescent="0.2">
      <c r="BJ2359" s="201"/>
    </row>
    <row r="2360" spans="62:62" x14ac:dyDescent="0.2">
      <c r="BJ2360" s="201"/>
    </row>
    <row r="2361" spans="62:62" x14ac:dyDescent="0.2">
      <c r="BJ2361" s="201"/>
    </row>
    <row r="2362" spans="62:62" x14ac:dyDescent="0.2">
      <c r="BJ2362" s="201"/>
    </row>
    <row r="2363" spans="62:62" x14ac:dyDescent="0.2">
      <c r="BJ2363" s="201"/>
    </row>
    <row r="2364" spans="62:62" x14ac:dyDescent="0.2">
      <c r="BJ2364" s="201"/>
    </row>
    <row r="2365" spans="62:62" x14ac:dyDescent="0.2">
      <c r="BJ2365" s="201"/>
    </row>
    <row r="2366" spans="62:62" x14ac:dyDescent="0.2">
      <c r="BJ2366" s="201"/>
    </row>
    <row r="2367" spans="62:62" x14ac:dyDescent="0.2">
      <c r="BJ2367" s="201"/>
    </row>
    <row r="2368" spans="62:62" x14ac:dyDescent="0.2">
      <c r="BJ2368" s="201"/>
    </row>
    <row r="2369" spans="62:62" x14ac:dyDescent="0.2">
      <c r="BJ2369" s="201"/>
    </row>
    <row r="2370" spans="62:62" x14ac:dyDescent="0.2">
      <c r="BJ2370" s="201"/>
    </row>
    <row r="2371" spans="62:62" x14ac:dyDescent="0.2">
      <c r="BJ2371" s="201"/>
    </row>
    <row r="2372" spans="62:62" x14ac:dyDescent="0.2">
      <c r="BJ2372" s="201"/>
    </row>
    <row r="2373" spans="62:62" x14ac:dyDescent="0.2">
      <c r="BJ2373" s="201"/>
    </row>
    <row r="2374" spans="62:62" x14ac:dyDescent="0.2">
      <c r="BJ2374" s="201"/>
    </row>
    <row r="2375" spans="62:62" x14ac:dyDescent="0.2">
      <c r="BJ2375" s="201"/>
    </row>
    <row r="2376" spans="62:62" x14ac:dyDescent="0.2">
      <c r="BJ2376" s="201"/>
    </row>
    <row r="2377" spans="62:62" x14ac:dyDescent="0.2">
      <c r="BJ2377" s="201"/>
    </row>
    <row r="2378" spans="62:62" x14ac:dyDescent="0.2">
      <c r="BJ2378" s="201"/>
    </row>
    <row r="2379" spans="62:62" x14ac:dyDescent="0.2">
      <c r="BJ2379" s="201"/>
    </row>
    <row r="2380" spans="62:62" x14ac:dyDescent="0.2">
      <c r="BJ2380" s="201"/>
    </row>
    <row r="2381" spans="62:62" x14ac:dyDescent="0.2">
      <c r="BJ2381" s="201"/>
    </row>
    <row r="2382" spans="62:62" x14ac:dyDescent="0.2">
      <c r="BJ2382" s="201"/>
    </row>
    <row r="2383" spans="62:62" x14ac:dyDescent="0.2">
      <c r="BJ2383" s="201"/>
    </row>
    <row r="2384" spans="62:62" x14ac:dyDescent="0.2">
      <c r="BJ2384" s="201"/>
    </row>
    <row r="2385" spans="62:62" x14ac:dyDescent="0.2">
      <c r="BJ2385" s="201"/>
    </row>
    <row r="2386" spans="62:62" x14ac:dyDescent="0.2">
      <c r="BJ2386" s="201"/>
    </row>
    <row r="2387" spans="62:62" x14ac:dyDescent="0.2">
      <c r="BJ2387" s="201"/>
    </row>
    <row r="2388" spans="62:62" x14ac:dyDescent="0.2">
      <c r="BJ2388" s="201"/>
    </row>
    <row r="2389" spans="62:62" x14ac:dyDescent="0.2">
      <c r="BJ2389" s="201"/>
    </row>
    <row r="2390" spans="62:62" x14ac:dyDescent="0.2">
      <c r="BJ2390" s="201"/>
    </row>
    <row r="2391" spans="62:62" x14ac:dyDescent="0.2">
      <c r="BJ2391" s="201"/>
    </row>
    <row r="2392" spans="62:62" x14ac:dyDescent="0.2">
      <c r="BJ2392" s="201"/>
    </row>
    <row r="2393" spans="62:62" x14ac:dyDescent="0.2">
      <c r="BJ2393" s="201"/>
    </row>
    <row r="2394" spans="62:62" x14ac:dyDescent="0.2">
      <c r="BJ2394" s="201"/>
    </row>
    <row r="2395" spans="62:62" x14ac:dyDescent="0.2">
      <c r="BJ2395" s="201"/>
    </row>
    <row r="2396" spans="62:62" x14ac:dyDescent="0.2">
      <c r="BJ2396" s="201"/>
    </row>
    <row r="2397" spans="62:62" x14ac:dyDescent="0.2">
      <c r="BJ2397" s="201"/>
    </row>
    <row r="2398" spans="62:62" x14ac:dyDescent="0.2">
      <c r="BJ2398" s="201"/>
    </row>
    <row r="2399" spans="62:62" x14ac:dyDescent="0.2">
      <c r="BJ2399" s="201"/>
    </row>
    <row r="2400" spans="62:62" x14ac:dyDescent="0.2">
      <c r="BJ2400" s="201"/>
    </row>
    <row r="2401" spans="62:62" x14ac:dyDescent="0.2">
      <c r="BJ2401" s="201"/>
    </row>
    <row r="2402" spans="62:62" x14ac:dyDescent="0.2">
      <c r="BJ2402" s="201"/>
    </row>
    <row r="2403" spans="62:62" x14ac:dyDescent="0.2">
      <c r="BJ2403" s="201"/>
    </row>
    <row r="2404" spans="62:62" x14ac:dyDescent="0.2">
      <c r="BJ2404" s="201"/>
    </row>
    <row r="2405" spans="62:62" x14ac:dyDescent="0.2">
      <c r="BJ2405" s="201"/>
    </row>
    <row r="2406" spans="62:62" x14ac:dyDescent="0.2">
      <c r="BJ2406" s="201"/>
    </row>
    <row r="2407" spans="62:62" x14ac:dyDescent="0.2">
      <c r="BJ2407" s="201"/>
    </row>
    <row r="2408" spans="62:62" x14ac:dyDescent="0.2">
      <c r="BJ2408" s="201"/>
    </row>
    <row r="2409" spans="62:62" x14ac:dyDescent="0.2">
      <c r="BJ2409" s="201"/>
    </row>
    <row r="2410" spans="62:62" x14ac:dyDescent="0.2">
      <c r="BJ2410" s="201"/>
    </row>
    <row r="2411" spans="62:62" x14ac:dyDescent="0.2">
      <c r="BJ2411" s="201"/>
    </row>
    <row r="2412" spans="62:62" x14ac:dyDescent="0.2">
      <c r="BJ2412" s="201"/>
    </row>
    <row r="2413" spans="62:62" x14ac:dyDescent="0.2">
      <c r="BJ2413" s="201"/>
    </row>
    <row r="2414" spans="62:62" x14ac:dyDescent="0.2">
      <c r="BJ2414" s="201"/>
    </row>
    <row r="2415" spans="62:62" x14ac:dyDescent="0.2">
      <c r="BJ2415" s="201"/>
    </row>
    <row r="2416" spans="62:62" x14ac:dyDescent="0.2">
      <c r="BJ2416" s="201"/>
    </row>
    <row r="2417" spans="62:62" x14ac:dyDescent="0.2">
      <c r="BJ2417" s="201"/>
    </row>
    <row r="2418" spans="62:62" x14ac:dyDescent="0.2">
      <c r="BJ2418" s="201"/>
    </row>
    <row r="2419" spans="62:62" x14ac:dyDescent="0.2">
      <c r="BJ2419" s="201"/>
    </row>
    <row r="2420" spans="62:62" x14ac:dyDescent="0.2">
      <c r="BJ2420" s="201"/>
    </row>
    <row r="2421" spans="62:62" x14ac:dyDescent="0.2">
      <c r="BJ2421" s="201"/>
    </row>
    <row r="2422" spans="62:62" x14ac:dyDescent="0.2">
      <c r="BJ2422" s="201"/>
    </row>
    <row r="2423" spans="62:62" x14ac:dyDescent="0.2">
      <c r="BJ2423" s="201"/>
    </row>
    <row r="2424" spans="62:62" x14ac:dyDescent="0.2">
      <c r="BJ2424" s="201"/>
    </row>
    <row r="2425" spans="62:62" x14ac:dyDescent="0.2">
      <c r="BJ2425" s="201"/>
    </row>
    <row r="2426" spans="62:62" x14ac:dyDescent="0.2">
      <c r="BJ2426" s="201"/>
    </row>
    <row r="2427" spans="62:62" x14ac:dyDescent="0.2">
      <c r="BJ2427" s="201"/>
    </row>
    <row r="2428" spans="62:62" x14ac:dyDescent="0.2">
      <c r="BJ2428" s="201"/>
    </row>
    <row r="2429" spans="62:62" x14ac:dyDescent="0.2">
      <c r="BJ2429" s="201"/>
    </row>
    <row r="2430" spans="62:62" x14ac:dyDescent="0.2">
      <c r="BJ2430" s="201"/>
    </row>
    <row r="2431" spans="62:62" x14ac:dyDescent="0.2">
      <c r="BJ2431" s="201"/>
    </row>
    <row r="2432" spans="62:62" x14ac:dyDescent="0.2">
      <c r="BJ2432" s="201"/>
    </row>
    <row r="2433" spans="62:62" x14ac:dyDescent="0.2">
      <c r="BJ2433" s="201"/>
    </row>
    <row r="2434" spans="62:62" x14ac:dyDescent="0.2">
      <c r="BJ2434" s="201"/>
    </row>
    <row r="2435" spans="62:62" x14ac:dyDescent="0.2">
      <c r="BJ2435" s="201"/>
    </row>
    <row r="2436" spans="62:62" x14ac:dyDescent="0.2">
      <c r="BJ2436" s="201"/>
    </row>
    <row r="2437" spans="62:62" x14ac:dyDescent="0.2">
      <c r="BJ2437" s="201"/>
    </row>
    <row r="2438" spans="62:62" x14ac:dyDescent="0.2">
      <c r="BJ2438" s="201"/>
    </row>
    <row r="2439" spans="62:62" x14ac:dyDescent="0.2">
      <c r="BJ2439" s="201"/>
    </row>
    <row r="2440" spans="62:62" x14ac:dyDescent="0.2">
      <c r="BJ2440" s="201"/>
    </row>
    <row r="2441" spans="62:62" x14ac:dyDescent="0.2">
      <c r="BJ2441" s="201"/>
    </row>
    <row r="2442" spans="62:62" x14ac:dyDescent="0.2">
      <c r="BJ2442" s="201"/>
    </row>
    <row r="2443" spans="62:62" x14ac:dyDescent="0.2">
      <c r="BJ2443" s="201"/>
    </row>
    <row r="2444" spans="62:62" x14ac:dyDescent="0.2">
      <c r="BJ2444" s="201"/>
    </row>
    <row r="2445" spans="62:62" x14ac:dyDescent="0.2">
      <c r="BJ2445" s="201"/>
    </row>
    <row r="2446" spans="62:62" x14ac:dyDescent="0.2">
      <c r="BJ2446" s="201"/>
    </row>
    <row r="2447" spans="62:62" x14ac:dyDescent="0.2">
      <c r="BJ2447" s="201"/>
    </row>
    <row r="2448" spans="62:62" x14ac:dyDescent="0.2">
      <c r="BJ2448" s="201"/>
    </row>
    <row r="2449" spans="62:62" x14ac:dyDescent="0.2">
      <c r="BJ2449" s="201"/>
    </row>
    <row r="2450" spans="62:62" x14ac:dyDescent="0.2">
      <c r="BJ2450" s="201"/>
    </row>
    <row r="2451" spans="62:62" x14ac:dyDescent="0.2">
      <c r="BJ2451" s="201"/>
    </row>
    <row r="2452" spans="62:62" x14ac:dyDescent="0.2">
      <c r="BJ2452" s="201"/>
    </row>
    <row r="2453" spans="62:62" x14ac:dyDescent="0.2">
      <c r="BJ2453" s="201"/>
    </row>
    <row r="2454" spans="62:62" x14ac:dyDescent="0.2">
      <c r="BJ2454" s="201"/>
    </row>
    <row r="2455" spans="62:62" x14ac:dyDescent="0.2">
      <c r="BJ2455" s="201"/>
    </row>
    <row r="2456" spans="62:62" x14ac:dyDescent="0.2">
      <c r="BJ2456" s="201"/>
    </row>
    <row r="2457" spans="62:62" x14ac:dyDescent="0.2">
      <c r="BJ2457" s="201"/>
    </row>
    <row r="2458" spans="62:62" x14ac:dyDescent="0.2">
      <c r="BJ2458" s="201"/>
    </row>
    <row r="2459" spans="62:62" x14ac:dyDescent="0.2">
      <c r="BJ2459" s="201"/>
    </row>
    <row r="2460" spans="62:62" x14ac:dyDescent="0.2">
      <c r="BJ2460" s="201"/>
    </row>
    <row r="2461" spans="62:62" x14ac:dyDescent="0.2">
      <c r="BJ2461" s="201"/>
    </row>
    <row r="2462" spans="62:62" x14ac:dyDescent="0.2">
      <c r="BJ2462" s="201"/>
    </row>
    <row r="2463" spans="62:62" x14ac:dyDescent="0.2">
      <c r="BJ2463" s="201"/>
    </row>
    <row r="2464" spans="62:62" x14ac:dyDescent="0.2">
      <c r="BJ2464" s="201"/>
    </row>
    <row r="2465" spans="62:62" x14ac:dyDescent="0.2">
      <c r="BJ2465" s="201"/>
    </row>
    <row r="2466" spans="62:62" x14ac:dyDescent="0.2">
      <c r="BJ2466" s="201"/>
    </row>
    <row r="2467" spans="62:62" x14ac:dyDescent="0.2">
      <c r="BJ2467" s="201"/>
    </row>
    <row r="2468" spans="62:62" x14ac:dyDescent="0.2">
      <c r="BJ2468" s="201"/>
    </row>
    <row r="2469" spans="62:62" x14ac:dyDescent="0.2">
      <c r="BJ2469" s="201"/>
    </row>
    <row r="2470" spans="62:62" x14ac:dyDescent="0.2">
      <c r="BJ2470" s="201"/>
    </row>
    <row r="2471" spans="62:62" x14ac:dyDescent="0.2">
      <c r="BJ2471" s="201"/>
    </row>
    <row r="2472" spans="62:62" x14ac:dyDescent="0.2">
      <c r="BJ2472" s="201"/>
    </row>
    <row r="2473" spans="62:62" x14ac:dyDescent="0.2">
      <c r="BJ2473" s="201"/>
    </row>
    <row r="2474" spans="62:62" x14ac:dyDescent="0.2">
      <c r="BJ2474" s="201"/>
    </row>
    <row r="2475" spans="62:62" x14ac:dyDescent="0.2">
      <c r="BJ2475" s="201"/>
    </row>
    <row r="2476" spans="62:62" x14ac:dyDescent="0.2">
      <c r="BJ2476" s="201"/>
    </row>
    <row r="2477" spans="62:62" x14ac:dyDescent="0.2">
      <c r="BJ2477" s="201"/>
    </row>
    <row r="2478" spans="62:62" x14ac:dyDescent="0.2">
      <c r="BJ2478" s="201"/>
    </row>
    <row r="2479" spans="62:62" x14ac:dyDescent="0.2">
      <c r="BJ2479" s="201"/>
    </row>
    <row r="2480" spans="62:62" x14ac:dyDescent="0.2">
      <c r="BJ2480" s="201"/>
    </row>
    <row r="2481" spans="62:62" x14ac:dyDescent="0.2">
      <c r="BJ2481" s="201"/>
    </row>
    <row r="2482" spans="62:62" x14ac:dyDescent="0.2">
      <c r="BJ2482" s="201"/>
    </row>
    <row r="2483" spans="62:62" x14ac:dyDescent="0.2">
      <c r="BJ2483" s="201"/>
    </row>
    <row r="2484" spans="62:62" x14ac:dyDescent="0.2">
      <c r="BJ2484" s="201"/>
    </row>
    <row r="2485" spans="62:62" x14ac:dyDescent="0.2">
      <c r="BJ2485" s="201"/>
    </row>
    <row r="2486" spans="62:62" x14ac:dyDescent="0.2">
      <c r="BJ2486" s="201"/>
    </row>
    <row r="2487" spans="62:62" x14ac:dyDescent="0.2">
      <c r="BJ2487" s="201"/>
    </row>
    <row r="2488" spans="62:62" x14ac:dyDescent="0.2">
      <c r="BJ2488" s="201"/>
    </row>
    <row r="2489" spans="62:62" x14ac:dyDescent="0.2">
      <c r="BJ2489" s="201"/>
    </row>
    <row r="2490" spans="62:62" x14ac:dyDescent="0.2">
      <c r="BJ2490" s="201"/>
    </row>
    <row r="2491" spans="62:62" x14ac:dyDescent="0.2">
      <c r="BJ2491" s="201"/>
    </row>
    <row r="2492" spans="62:62" x14ac:dyDescent="0.2">
      <c r="BJ2492" s="201"/>
    </row>
    <row r="2493" spans="62:62" x14ac:dyDescent="0.2">
      <c r="BJ2493" s="201"/>
    </row>
    <row r="2494" spans="62:62" x14ac:dyDescent="0.2">
      <c r="BJ2494" s="201"/>
    </row>
    <row r="2495" spans="62:62" x14ac:dyDescent="0.2">
      <c r="BJ2495" s="201"/>
    </row>
    <row r="2496" spans="62:62" x14ac:dyDescent="0.2">
      <c r="BJ2496" s="201"/>
    </row>
    <row r="2497" spans="62:62" x14ac:dyDescent="0.2">
      <c r="BJ2497" s="201"/>
    </row>
    <row r="2498" spans="62:62" x14ac:dyDescent="0.2">
      <c r="BJ2498" s="201"/>
    </row>
    <row r="2499" spans="62:62" x14ac:dyDescent="0.2">
      <c r="BJ2499" s="201"/>
    </row>
    <row r="2500" spans="62:62" x14ac:dyDescent="0.2">
      <c r="BJ2500" s="201"/>
    </row>
    <row r="2501" spans="62:62" x14ac:dyDescent="0.2">
      <c r="BJ2501" s="201"/>
    </row>
    <row r="2502" spans="62:62" x14ac:dyDescent="0.2">
      <c r="BJ2502" s="201"/>
    </row>
    <row r="2503" spans="62:62" x14ac:dyDescent="0.2">
      <c r="BJ2503" s="201"/>
    </row>
    <row r="2504" spans="62:62" x14ac:dyDescent="0.2">
      <c r="BJ2504" s="201"/>
    </row>
    <row r="2505" spans="62:62" x14ac:dyDescent="0.2">
      <c r="BJ2505" s="201"/>
    </row>
    <row r="2506" spans="62:62" x14ac:dyDescent="0.2">
      <c r="BJ2506" s="201"/>
    </row>
    <row r="2507" spans="62:62" x14ac:dyDescent="0.2">
      <c r="BJ2507" s="201"/>
    </row>
    <row r="2508" spans="62:62" x14ac:dyDescent="0.2">
      <c r="BJ2508" s="201"/>
    </row>
    <row r="2509" spans="62:62" x14ac:dyDescent="0.2">
      <c r="BJ2509" s="201"/>
    </row>
    <row r="2510" spans="62:62" x14ac:dyDescent="0.2">
      <c r="BJ2510" s="201"/>
    </row>
    <row r="2511" spans="62:62" x14ac:dyDescent="0.2">
      <c r="BJ2511" s="201"/>
    </row>
    <row r="2512" spans="62:62" x14ac:dyDescent="0.2">
      <c r="BJ2512" s="201"/>
    </row>
    <row r="2513" spans="62:62" x14ac:dyDescent="0.2">
      <c r="BJ2513" s="201"/>
    </row>
    <row r="2514" spans="62:62" x14ac:dyDescent="0.2">
      <c r="BJ2514" s="201"/>
    </row>
    <row r="2515" spans="62:62" x14ac:dyDescent="0.2">
      <c r="BJ2515" s="201"/>
    </row>
    <row r="2516" spans="62:62" x14ac:dyDescent="0.2">
      <c r="BJ2516" s="201"/>
    </row>
    <row r="2517" spans="62:62" x14ac:dyDescent="0.2">
      <c r="BJ2517" s="201"/>
    </row>
    <row r="2518" spans="62:62" x14ac:dyDescent="0.2">
      <c r="BJ2518" s="201"/>
    </row>
    <row r="2519" spans="62:62" x14ac:dyDescent="0.2">
      <c r="BJ2519" s="201"/>
    </row>
    <row r="2520" spans="62:62" x14ac:dyDescent="0.2">
      <c r="BJ2520" s="201"/>
    </row>
    <row r="2521" spans="62:62" x14ac:dyDescent="0.2">
      <c r="BJ2521" s="201"/>
    </row>
    <row r="2522" spans="62:62" x14ac:dyDescent="0.2">
      <c r="BJ2522" s="201"/>
    </row>
    <row r="2523" spans="62:62" x14ac:dyDescent="0.2">
      <c r="BJ2523" s="201"/>
    </row>
    <row r="2524" spans="62:62" x14ac:dyDescent="0.2">
      <c r="BJ2524" s="201"/>
    </row>
    <row r="2525" spans="62:62" x14ac:dyDescent="0.2">
      <c r="BJ2525" s="201"/>
    </row>
    <row r="2526" spans="62:62" x14ac:dyDescent="0.2">
      <c r="BJ2526" s="201"/>
    </row>
    <row r="2527" spans="62:62" x14ac:dyDescent="0.2">
      <c r="BJ2527" s="201"/>
    </row>
    <row r="2528" spans="62:62" x14ac:dyDescent="0.2">
      <c r="BJ2528" s="201"/>
    </row>
    <row r="2529" spans="62:62" x14ac:dyDescent="0.2">
      <c r="BJ2529" s="201"/>
    </row>
    <row r="2530" spans="62:62" x14ac:dyDescent="0.2">
      <c r="BJ2530" s="201"/>
    </row>
    <row r="2531" spans="62:62" x14ac:dyDescent="0.2">
      <c r="BJ2531" s="201"/>
    </row>
    <row r="2532" spans="62:62" x14ac:dyDescent="0.2">
      <c r="BJ2532" s="201"/>
    </row>
    <row r="2533" spans="62:62" x14ac:dyDescent="0.2">
      <c r="BJ2533" s="201"/>
    </row>
    <row r="2534" spans="62:62" x14ac:dyDescent="0.2">
      <c r="BJ2534" s="201"/>
    </row>
    <row r="2535" spans="62:62" x14ac:dyDescent="0.2">
      <c r="BJ2535" s="201"/>
    </row>
    <row r="2536" spans="62:62" x14ac:dyDescent="0.2">
      <c r="BJ2536" s="201"/>
    </row>
    <row r="2537" spans="62:62" x14ac:dyDescent="0.2">
      <c r="BJ2537" s="201"/>
    </row>
    <row r="2538" spans="62:62" x14ac:dyDescent="0.2">
      <c r="BJ2538" s="201"/>
    </row>
    <row r="2539" spans="62:62" x14ac:dyDescent="0.2">
      <c r="BJ2539" s="201"/>
    </row>
    <row r="2540" spans="62:62" x14ac:dyDescent="0.2">
      <c r="BJ2540" s="201"/>
    </row>
    <row r="2541" spans="62:62" x14ac:dyDescent="0.2">
      <c r="BJ2541" s="201"/>
    </row>
    <row r="2542" spans="62:62" x14ac:dyDescent="0.2">
      <c r="BJ2542" s="201"/>
    </row>
    <row r="2543" spans="62:62" x14ac:dyDescent="0.2">
      <c r="BJ2543" s="201"/>
    </row>
    <row r="2544" spans="62:62" x14ac:dyDescent="0.2">
      <c r="BJ2544" s="201"/>
    </row>
    <row r="2545" spans="62:62" x14ac:dyDescent="0.2">
      <c r="BJ2545" s="201"/>
    </row>
    <row r="2546" spans="62:62" x14ac:dyDescent="0.2">
      <c r="BJ2546" s="201"/>
    </row>
    <row r="2547" spans="62:62" x14ac:dyDescent="0.2">
      <c r="BJ2547" s="201"/>
    </row>
    <row r="2548" spans="62:62" x14ac:dyDescent="0.2">
      <c r="BJ2548" s="201"/>
    </row>
    <row r="2549" spans="62:62" x14ac:dyDescent="0.2">
      <c r="BJ2549" s="201"/>
    </row>
    <row r="2550" spans="62:62" x14ac:dyDescent="0.2">
      <c r="BJ2550" s="201"/>
    </row>
    <row r="2551" spans="62:62" x14ac:dyDescent="0.2">
      <c r="BJ2551" s="201"/>
    </row>
    <row r="2552" spans="62:62" x14ac:dyDescent="0.2">
      <c r="BJ2552" s="201"/>
    </row>
    <row r="2553" spans="62:62" x14ac:dyDescent="0.2">
      <c r="BJ2553" s="201"/>
    </row>
    <row r="2554" spans="62:62" x14ac:dyDescent="0.2">
      <c r="BJ2554" s="201"/>
    </row>
    <row r="2555" spans="62:62" x14ac:dyDescent="0.2">
      <c r="BJ2555" s="201"/>
    </row>
    <row r="2556" spans="62:62" x14ac:dyDescent="0.2">
      <c r="BJ2556" s="201"/>
    </row>
    <row r="2557" spans="62:62" x14ac:dyDescent="0.2">
      <c r="BJ2557" s="201"/>
    </row>
    <row r="2558" spans="62:62" x14ac:dyDescent="0.2">
      <c r="BJ2558" s="201"/>
    </row>
    <row r="2559" spans="62:62" x14ac:dyDescent="0.2">
      <c r="BJ2559" s="201"/>
    </row>
    <row r="2560" spans="62:62" x14ac:dyDescent="0.2">
      <c r="BJ2560" s="201"/>
    </row>
    <row r="2561" spans="62:62" x14ac:dyDescent="0.2">
      <c r="BJ2561" s="201"/>
    </row>
    <row r="2562" spans="62:62" x14ac:dyDescent="0.2">
      <c r="BJ2562" s="201"/>
    </row>
    <row r="2563" spans="62:62" x14ac:dyDescent="0.2">
      <c r="BJ2563" s="201"/>
    </row>
    <row r="2564" spans="62:62" x14ac:dyDescent="0.2">
      <c r="BJ2564" s="201"/>
    </row>
    <row r="2565" spans="62:62" x14ac:dyDescent="0.2">
      <c r="BJ2565" s="201"/>
    </row>
    <row r="2566" spans="62:62" x14ac:dyDescent="0.2">
      <c r="BJ2566" s="201"/>
    </row>
    <row r="2567" spans="62:62" x14ac:dyDescent="0.2">
      <c r="BJ2567" s="201"/>
    </row>
    <row r="2568" spans="62:62" x14ac:dyDescent="0.2">
      <c r="BJ2568" s="201"/>
    </row>
    <row r="2569" spans="62:62" x14ac:dyDescent="0.2">
      <c r="BJ2569" s="201"/>
    </row>
    <row r="2570" spans="62:62" x14ac:dyDescent="0.2">
      <c r="BJ2570" s="201"/>
    </row>
    <row r="2571" spans="62:62" x14ac:dyDescent="0.2">
      <c r="BJ2571" s="201"/>
    </row>
    <row r="2572" spans="62:62" x14ac:dyDescent="0.2">
      <c r="BJ2572" s="201"/>
    </row>
    <row r="2573" spans="62:62" x14ac:dyDescent="0.2">
      <c r="BJ2573" s="201"/>
    </row>
    <row r="2574" spans="62:62" x14ac:dyDescent="0.2">
      <c r="BJ2574" s="201"/>
    </row>
    <row r="2575" spans="62:62" x14ac:dyDescent="0.2">
      <c r="BJ2575" s="201"/>
    </row>
    <row r="2576" spans="62:62" x14ac:dyDescent="0.2">
      <c r="BJ2576" s="201"/>
    </row>
    <row r="2577" spans="62:62" x14ac:dyDescent="0.2">
      <c r="BJ2577" s="201"/>
    </row>
    <row r="2578" spans="62:62" x14ac:dyDescent="0.2">
      <c r="BJ2578" s="201"/>
    </row>
    <row r="2579" spans="62:62" x14ac:dyDescent="0.2">
      <c r="BJ2579" s="201"/>
    </row>
    <row r="2580" spans="62:62" x14ac:dyDescent="0.2">
      <c r="BJ2580" s="201"/>
    </row>
    <row r="2581" spans="62:62" x14ac:dyDescent="0.2">
      <c r="BJ2581" s="201"/>
    </row>
    <row r="2582" spans="62:62" x14ac:dyDescent="0.2">
      <c r="BJ2582" s="201"/>
    </row>
    <row r="2583" spans="62:62" x14ac:dyDescent="0.2">
      <c r="BJ2583" s="201"/>
    </row>
    <row r="2584" spans="62:62" x14ac:dyDescent="0.2">
      <c r="BJ2584" s="201"/>
    </row>
    <row r="2585" spans="62:62" x14ac:dyDescent="0.2">
      <c r="BJ2585" s="201"/>
    </row>
    <row r="2586" spans="62:62" x14ac:dyDescent="0.2">
      <c r="BJ2586" s="201"/>
    </row>
    <row r="2587" spans="62:62" x14ac:dyDescent="0.2">
      <c r="BJ2587" s="201"/>
    </row>
    <row r="2588" spans="62:62" x14ac:dyDescent="0.2">
      <c r="BJ2588" s="201"/>
    </row>
    <row r="2589" spans="62:62" x14ac:dyDescent="0.2">
      <c r="BJ2589" s="201"/>
    </row>
    <row r="2590" spans="62:62" x14ac:dyDescent="0.2">
      <c r="BJ2590" s="201"/>
    </row>
    <row r="2591" spans="62:62" x14ac:dyDescent="0.2">
      <c r="BJ2591" s="201"/>
    </row>
    <row r="2592" spans="62:62" x14ac:dyDescent="0.2">
      <c r="BJ2592" s="201"/>
    </row>
    <row r="2593" spans="62:62" x14ac:dyDescent="0.2">
      <c r="BJ2593" s="201"/>
    </row>
    <row r="2594" spans="62:62" x14ac:dyDescent="0.2">
      <c r="BJ2594" s="201"/>
    </row>
    <row r="2595" spans="62:62" x14ac:dyDescent="0.2">
      <c r="BJ2595" s="201"/>
    </row>
    <row r="2596" spans="62:62" x14ac:dyDescent="0.2">
      <c r="BJ2596" s="201"/>
    </row>
    <row r="2597" spans="62:62" x14ac:dyDescent="0.2">
      <c r="BJ2597" s="201"/>
    </row>
    <row r="2598" spans="62:62" x14ac:dyDescent="0.2">
      <c r="BJ2598" s="201"/>
    </row>
    <row r="2599" spans="62:62" x14ac:dyDescent="0.2">
      <c r="BJ2599" s="201"/>
    </row>
    <row r="2600" spans="62:62" x14ac:dyDescent="0.2">
      <c r="BJ2600" s="201"/>
    </row>
    <row r="2601" spans="62:62" x14ac:dyDescent="0.2">
      <c r="BJ2601" s="201"/>
    </row>
    <row r="2602" spans="62:62" x14ac:dyDescent="0.2">
      <c r="BJ2602" s="201"/>
    </row>
    <row r="2603" spans="62:62" x14ac:dyDescent="0.2">
      <c r="BJ2603" s="201"/>
    </row>
    <row r="2604" spans="62:62" x14ac:dyDescent="0.2">
      <c r="BJ2604" s="201"/>
    </row>
    <row r="2605" spans="62:62" x14ac:dyDescent="0.2">
      <c r="BJ2605" s="201"/>
    </row>
    <row r="2606" spans="62:62" x14ac:dyDescent="0.2">
      <c r="BJ2606" s="201"/>
    </row>
    <row r="2607" spans="62:62" x14ac:dyDescent="0.2">
      <c r="BJ2607" s="201"/>
    </row>
    <row r="2608" spans="62:62" x14ac:dyDescent="0.2">
      <c r="BJ2608" s="201"/>
    </row>
    <row r="2609" spans="62:62" x14ac:dyDescent="0.2">
      <c r="BJ2609" s="201"/>
    </row>
    <row r="2610" spans="62:62" x14ac:dyDescent="0.2">
      <c r="BJ2610" s="201"/>
    </row>
    <row r="2611" spans="62:62" x14ac:dyDescent="0.2">
      <c r="BJ2611" s="201"/>
    </row>
    <row r="2612" spans="62:62" x14ac:dyDescent="0.2">
      <c r="BJ2612" s="201"/>
    </row>
    <row r="2613" spans="62:62" x14ac:dyDescent="0.2">
      <c r="BJ2613" s="201"/>
    </row>
    <row r="2614" spans="62:62" x14ac:dyDescent="0.2">
      <c r="BJ2614" s="201"/>
    </row>
    <row r="2615" spans="62:62" x14ac:dyDescent="0.2">
      <c r="BJ2615" s="201"/>
    </row>
    <row r="2616" spans="62:62" x14ac:dyDescent="0.2">
      <c r="BJ2616" s="201"/>
    </row>
    <row r="2617" spans="62:62" x14ac:dyDescent="0.2">
      <c r="BJ2617" s="201"/>
    </row>
    <row r="2618" spans="62:62" x14ac:dyDescent="0.2">
      <c r="BJ2618" s="201"/>
    </row>
    <row r="2619" spans="62:62" x14ac:dyDescent="0.2">
      <c r="BJ2619" s="201"/>
    </row>
    <row r="2620" spans="62:62" x14ac:dyDescent="0.2">
      <c r="BJ2620" s="201"/>
    </row>
    <row r="2621" spans="62:62" x14ac:dyDescent="0.2">
      <c r="BJ2621" s="201"/>
    </row>
    <row r="2622" spans="62:62" x14ac:dyDescent="0.2">
      <c r="BJ2622" s="201"/>
    </row>
    <row r="2623" spans="62:62" x14ac:dyDescent="0.2">
      <c r="BJ2623" s="201"/>
    </row>
    <row r="2624" spans="62:62" x14ac:dyDescent="0.2">
      <c r="BJ2624" s="201"/>
    </row>
    <row r="2625" spans="62:62" x14ac:dyDescent="0.2">
      <c r="BJ2625" s="201"/>
    </row>
    <row r="2626" spans="62:62" x14ac:dyDescent="0.2">
      <c r="BJ2626" s="201"/>
    </row>
    <row r="2627" spans="62:62" x14ac:dyDescent="0.2">
      <c r="BJ2627" s="201"/>
    </row>
    <row r="2628" spans="62:62" x14ac:dyDescent="0.2">
      <c r="BJ2628" s="201"/>
    </row>
    <row r="2629" spans="62:62" x14ac:dyDescent="0.2">
      <c r="BJ2629" s="201"/>
    </row>
    <row r="2630" spans="62:62" x14ac:dyDescent="0.2">
      <c r="BJ2630" s="201"/>
    </row>
    <row r="2631" spans="62:62" x14ac:dyDescent="0.2">
      <c r="BJ2631" s="201"/>
    </row>
    <row r="2632" spans="62:62" x14ac:dyDescent="0.2">
      <c r="BJ2632" s="201"/>
    </row>
    <row r="2633" spans="62:62" x14ac:dyDescent="0.2">
      <c r="BJ2633" s="201"/>
    </row>
    <row r="2634" spans="62:62" x14ac:dyDescent="0.2">
      <c r="BJ2634" s="201"/>
    </row>
    <row r="2635" spans="62:62" x14ac:dyDescent="0.2">
      <c r="BJ2635" s="201"/>
    </row>
    <row r="2636" spans="62:62" x14ac:dyDescent="0.2">
      <c r="BJ2636" s="201"/>
    </row>
    <row r="2637" spans="62:62" x14ac:dyDescent="0.2">
      <c r="BJ2637" s="201"/>
    </row>
    <row r="2638" spans="62:62" x14ac:dyDescent="0.2">
      <c r="BJ2638" s="201"/>
    </row>
    <row r="2639" spans="62:62" x14ac:dyDescent="0.2">
      <c r="BJ2639" s="201"/>
    </row>
    <row r="2640" spans="62:62" x14ac:dyDescent="0.2">
      <c r="BJ2640" s="201"/>
    </row>
    <row r="2641" spans="62:62" x14ac:dyDescent="0.2">
      <c r="BJ2641" s="201"/>
    </row>
    <row r="2642" spans="62:62" x14ac:dyDescent="0.2">
      <c r="BJ2642" s="201"/>
    </row>
    <row r="2643" spans="62:62" x14ac:dyDescent="0.2">
      <c r="BJ2643" s="201"/>
    </row>
    <row r="2644" spans="62:62" x14ac:dyDescent="0.2">
      <c r="BJ2644" s="201"/>
    </row>
    <row r="2645" spans="62:62" x14ac:dyDescent="0.2">
      <c r="BJ2645" s="201"/>
    </row>
    <row r="2646" spans="62:62" x14ac:dyDescent="0.2">
      <c r="BJ2646" s="201"/>
    </row>
    <row r="2647" spans="62:62" x14ac:dyDescent="0.2">
      <c r="BJ2647" s="201"/>
    </row>
    <row r="2648" spans="62:62" x14ac:dyDescent="0.2">
      <c r="BJ2648" s="201"/>
    </row>
    <row r="2649" spans="62:62" x14ac:dyDescent="0.2">
      <c r="BJ2649" s="201"/>
    </row>
    <row r="2650" spans="62:62" x14ac:dyDescent="0.2">
      <c r="BJ2650" s="201"/>
    </row>
    <row r="2651" spans="62:62" x14ac:dyDescent="0.2">
      <c r="BJ2651" s="201"/>
    </row>
    <row r="2652" spans="62:62" x14ac:dyDescent="0.2">
      <c r="BJ2652" s="201"/>
    </row>
    <row r="2653" spans="62:62" x14ac:dyDescent="0.2">
      <c r="BJ2653" s="201"/>
    </row>
    <row r="2654" spans="62:62" x14ac:dyDescent="0.2">
      <c r="BJ2654" s="201"/>
    </row>
    <row r="2655" spans="62:62" x14ac:dyDescent="0.2">
      <c r="BJ2655" s="201"/>
    </row>
    <row r="2656" spans="62:62" x14ac:dyDescent="0.2">
      <c r="BJ2656" s="201"/>
    </row>
    <row r="2657" spans="62:62" x14ac:dyDescent="0.2">
      <c r="BJ2657" s="201"/>
    </row>
    <row r="2658" spans="62:62" x14ac:dyDescent="0.2">
      <c r="BJ2658" s="201"/>
    </row>
    <row r="2659" spans="62:62" x14ac:dyDescent="0.2">
      <c r="BJ2659" s="201"/>
    </row>
    <row r="2660" spans="62:62" x14ac:dyDescent="0.2">
      <c r="BJ2660" s="201"/>
    </row>
    <row r="2661" spans="62:62" x14ac:dyDescent="0.2">
      <c r="BJ2661" s="201"/>
    </row>
    <row r="2662" spans="62:62" x14ac:dyDescent="0.2">
      <c r="BJ2662" s="201"/>
    </row>
    <row r="2663" spans="62:62" x14ac:dyDescent="0.2">
      <c r="BJ2663" s="201"/>
    </row>
    <row r="2664" spans="62:62" x14ac:dyDescent="0.2">
      <c r="BJ2664" s="201"/>
    </row>
    <row r="2665" spans="62:62" x14ac:dyDescent="0.2">
      <c r="BJ2665" s="201"/>
    </row>
    <row r="2666" spans="62:62" x14ac:dyDescent="0.2">
      <c r="BJ2666" s="201"/>
    </row>
    <row r="2667" spans="62:62" x14ac:dyDescent="0.2">
      <c r="BJ2667" s="201"/>
    </row>
    <row r="2668" spans="62:62" x14ac:dyDescent="0.2">
      <c r="BJ2668" s="201"/>
    </row>
    <row r="2669" spans="62:62" x14ac:dyDescent="0.2">
      <c r="BJ2669" s="201"/>
    </row>
    <row r="2670" spans="62:62" x14ac:dyDescent="0.2">
      <c r="BJ2670" s="201"/>
    </row>
    <row r="2671" spans="62:62" x14ac:dyDescent="0.2">
      <c r="BJ2671" s="201"/>
    </row>
    <row r="2672" spans="62:62" x14ac:dyDescent="0.2">
      <c r="BJ2672" s="201"/>
    </row>
    <row r="2673" spans="62:62" x14ac:dyDescent="0.2">
      <c r="BJ2673" s="201"/>
    </row>
    <row r="2674" spans="62:62" x14ac:dyDescent="0.2">
      <c r="BJ2674" s="201"/>
    </row>
    <row r="2675" spans="62:62" x14ac:dyDescent="0.2">
      <c r="BJ2675" s="201"/>
    </row>
    <row r="2676" spans="62:62" x14ac:dyDescent="0.2">
      <c r="BJ2676" s="201"/>
    </row>
    <row r="2677" spans="62:62" x14ac:dyDescent="0.2">
      <c r="BJ2677" s="201"/>
    </row>
    <row r="2678" spans="62:62" x14ac:dyDescent="0.2">
      <c r="BJ2678" s="201"/>
    </row>
    <row r="2679" spans="62:62" x14ac:dyDescent="0.2">
      <c r="BJ2679" s="201"/>
    </row>
    <row r="2680" spans="62:62" x14ac:dyDescent="0.2">
      <c r="BJ2680" s="201"/>
    </row>
    <row r="2681" spans="62:62" x14ac:dyDescent="0.2">
      <c r="BJ2681" s="201"/>
    </row>
    <row r="2682" spans="62:62" x14ac:dyDescent="0.2">
      <c r="BJ2682" s="201"/>
    </row>
    <row r="2683" spans="62:62" x14ac:dyDescent="0.2">
      <c r="BJ2683" s="201"/>
    </row>
    <row r="2684" spans="62:62" x14ac:dyDescent="0.2">
      <c r="BJ2684" s="201"/>
    </row>
    <row r="2685" spans="62:62" x14ac:dyDescent="0.2">
      <c r="BJ2685" s="201"/>
    </row>
    <row r="2686" spans="62:62" x14ac:dyDescent="0.2">
      <c r="BJ2686" s="201"/>
    </row>
    <row r="2687" spans="62:62" x14ac:dyDescent="0.2">
      <c r="BJ2687" s="201"/>
    </row>
    <row r="2688" spans="62:62" x14ac:dyDescent="0.2">
      <c r="BJ2688" s="201"/>
    </row>
    <row r="2689" spans="62:62" x14ac:dyDescent="0.2">
      <c r="BJ2689" s="201"/>
    </row>
    <row r="2690" spans="62:62" x14ac:dyDescent="0.2">
      <c r="BJ2690" s="201"/>
    </row>
    <row r="2691" spans="62:62" x14ac:dyDescent="0.2">
      <c r="BJ2691" s="201"/>
    </row>
    <row r="2692" spans="62:62" x14ac:dyDescent="0.2">
      <c r="BJ2692" s="201"/>
    </row>
    <row r="2693" spans="62:62" x14ac:dyDescent="0.2">
      <c r="BJ2693" s="201"/>
    </row>
    <row r="2694" spans="62:62" x14ac:dyDescent="0.2">
      <c r="BJ2694" s="201"/>
    </row>
    <row r="2695" spans="62:62" x14ac:dyDescent="0.2">
      <c r="BJ2695" s="201"/>
    </row>
    <row r="2696" spans="62:62" x14ac:dyDescent="0.2">
      <c r="BJ2696" s="201"/>
    </row>
    <row r="2697" spans="62:62" x14ac:dyDescent="0.2">
      <c r="BJ2697" s="201"/>
    </row>
    <row r="2698" spans="62:62" x14ac:dyDescent="0.2">
      <c r="BJ2698" s="201"/>
    </row>
    <row r="2699" spans="62:62" x14ac:dyDescent="0.2">
      <c r="BJ2699" s="201"/>
    </row>
    <row r="2700" spans="62:62" x14ac:dyDescent="0.2">
      <c r="BJ2700" s="201"/>
    </row>
    <row r="2701" spans="62:62" x14ac:dyDescent="0.2">
      <c r="BJ2701" s="201"/>
    </row>
    <row r="2702" spans="62:62" x14ac:dyDescent="0.2">
      <c r="BJ2702" s="201"/>
    </row>
    <row r="2703" spans="62:62" x14ac:dyDescent="0.2">
      <c r="BJ2703" s="201"/>
    </row>
    <row r="2704" spans="62:62" x14ac:dyDescent="0.2">
      <c r="BJ2704" s="201"/>
    </row>
    <row r="2705" spans="62:62" x14ac:dyDescent="0.2">
      <c r="BJ2705" s="201"/>
    </row>
    <row r="2706" spans="62:62" x14ac:dyDescent="0.2">
      <c r="BJ2706" s="201"/>
    </row>
    <row r="2707" spans="62:62" x14ac:dyDescent="0.2">
      <c r="BJ2707" s="201"/>
    </row>
    <row r="2708" spans="62:62" x14ac:dyDescent="0.2">
      <c r="BJ2708" s="201"/>
    </row>
    <row r="2709" spans="62:62" x14ac:dyDescent="0.2">
      <c r="BJ2709" s="201"/>
    </row>
    <row r="2710" spans="62:62" x14ac:dyDescent="0.2">
      <c r="BJ2710" s="201"/>
    </row>
    <row r="2711" spans="62:62" x14ac:dyDescent="0.2">
      <c r="BJ2711" s="201"/>
    </row>
    <row r="2712" spans="62:62" x14ac:dyDescent="0.2">
      <c r="BJ2712" s="201"/>
    </row>
    <row r="2713" spans="62:62" x14ac:dyDescent="0.2">
      <c r="BJ2713" s="201"/>
    </row>
    <row r="2714" spans="62:62" x14ac:dyDescent="0.2">
      <c r="BJ2714" s="201"/>
    </row>
    <row r="2715" spans="62:62" x14ac:dyDescent="0.2">
      <c r="BJ2715" s="201"/>
    </row>
    <row r="2716" spans="62:62" x14ac:dyDescent="0.2">
      <c r="BJ2716" s="201"/>
    </row>
    <row r="2717" spans="62:62" x14ac:dyDescent="0.2">
      <c r="BJ2717" s="201"/>
    </row>
    <row r="2718" spans="62:62" x14ac:dyDescent="0.2">
      <c r="BJ2718" s="201"/>
    </row>
    <row r="2719" spans="62:62" x14ac:dyDescent="0.2">
      <c r="BJ2719" s="201"/>
    </row>
    <row r="2720" spans="62:62" x14ac:dyDescent="0.2">
      <c r="BJ2720" s="201"/>
    </row>
    <row r="2721" spans="62:62" x14ac:dyDescent="0.2">
      <c r="BJ2721" s="201"/>
    </row>
    <row r="2722" spans="62:62" x14ac:dyDescent="0.2">
      <c r="BJ2722" s="201"/>
    </row>
    <row r="2723" spans="62:62" x14ac:dyDescent="0.2">
      <c r="BJ2723" s="201"/>
    </row>
    <row r="2724" spans="62:62" x14ac:dyDescent="0.2">
      <c r="BJ2724" s="201"/>
    </row>
    <row r="2725" spans="62:62" x14ac:dyDescent="0.2">
      <c r="BJ2725" s="201"/>
    </row>
    <row r="2726" spans="62:62" x14ac:dyDescent="0.2">
      <c r="BJ2726" s="201"/>
    </row>
    <row r="2727" spans="62:62" x14ac:dyDescent="0.2">
      <c r="BJ2727" s="201"/>
    </row>
    <row r="2728" spans="62:62" x14ac:dyDescent="0.2">
      <c r="BJ2728" s="201"/>
    </row>
    <row r="2729" spans="62:62" x14ac:dyDescent="0.2">
      <c r="BJ2729" s="201"/>
    </row>
    <row r="2730" spans="62:62" x14ac:dyDescent="0.2">
      <c r="BJ2730" s="201"/>
    </row>
    <row r="2731" spans="62:62" x14ac:dyDescent="0.2">
      <c r="BJ2731" s="201"/>
    </row>
    <row r="2732" spans="62:62" x14ac:dyDescent="0.2">
      <c r="BJ2732" s="201"/>
    </row>
    <row r="2733" spans="62:62" x14ac:dyDescent="0.2">
      <c r="BJ2733" s="201"/>
    </row>
    <row r="2734" spans="62:62" x14ac:dyDescent="0.2">
      <c r="BJ2734" s="201"/>
    </row>
    <row r="2735" spans="62:62" x14ac:dyDescent="0.2">
      <c r="BJ2735" s="201"/>
    </row>
    <row r="2736" spans="62:62" x14ac:dyDescent="0.2">
      <c r="BJ2736" s="201"/>
    </row>
    <row r="2737" spans="62:62" x14ac:dyDescent="0.2">
      <c r="BJ2737" s="201"/>
    </row>
    <row r="2738" spans="62:62" x14ac:dyDescent="0.2">
      <c r="BJ2738" s="201"/>
    </row>
    <row r="2739" spans="62:62" x14ac:dyDescent="0.2">
      <c r="BJ2739" s="201"/>
    </row>
    <row r="2740" spans="62:62" x14ac:dyDescent="0.2">
      <c r="BJ2740" s="201"/>
    </row>
    <row r="2741" spans="62:62" x14ac:dyDescent="0.2">
      <c r="BJ2741" s="201"/>
    </row>
    <row r="2742" spans="62:62" x14ac:dyDescent="0.2">
      <c r="BJ2742" s="201"/>
    </row>
    <row r="2743" spans="62:62" x14ac:dyDescent="0.2">
      <c r="BJ2743" s="201"/>
    </row>
    <row r="2744" spans="62:62" x14ac:dyDescent="0.2">
      <c r="BJ2744" s="201"/>
    </row>
    <row r="2745" spans="62:62" x14ac:dyDescent="0.2">
      <c r="BJ2745" s="201"/>
    </row>
    <row r="2746" spans="62:62" x14ac:dyDescent="0.2">
      <c r="BJ2746" s="201"/>
    </row>
    <row r="2747" spans="62:62" x14ac:dyDescent="0.2">
      <c r="BJ2747" s="201"/>
    </row>
    <row r="2748" spans="62:62" x14ac:dyDescent="0.2">
      <c r="BJ2748" s="201"/>
    </row>
    <row r="2749" spans="62:62" x14ac:dyDescent="0.2">
      <c r="BJ2749" s="201"/>
    </row>
    <row r="2750" spans="62:62" x14ac:dyDescent="0.2">
      <c r="BJ2750" s="201"/>
    </row>
    <row r="2751" spans="62:62" x14ac:dyDescent="0.2">
      <c r="BJ2751" s="201"/>
    </row>
    <row r="2752" spans="62:62" x14ac:dyDescent="0.2">
      <c r="BJ2752" s="201"/>
    </row>
    <row r="2753" spans="62:62" x14ac:dyDescent="0.2">
      <c r="BJ2753" s="201"/>
    </row>
    <row r="2754" spans="62:62" x14ac:dyDescent="0.2">
      <c r="BJ2754" s="201"/>
    </row>
    <row r="2755" spans="62:62" x14ac:dyDescent="0.2">
      <c r="BJ2755" s="201"/>
    </row>
    <row r="2756" spans="62:62" x14ac:dyDescent="0.2">
      <c r="BJ2756" s="201"/>
    </row>
    <row r="2757" spans="62:62" x14ac:dyDescent="0.2">
      <c r="BJ2757" s="201"/>
    </row>
    <row r="2758" spans="62:62" x14ac:dyDescent="0.2">
      <c r="BJ2758" s="201"/>
    </row>
    <row r="2759" spans="62:62" x14ac:dyDescent="0.2">
      <c r="BJ2759" s="201"/>
    </row>
    <row r="2760" spans="62:62" x14ac:dyDescent="0.2">
      <c r="BJ2760" s="201"/>
    </row>
    <row r="2761" spans="62:62" x14ac:dyDescent="0.2">
      <c r="BJ2761" s="201"/>
    </row>
    <row r="2762" spans="62:62" x14ac:dyDescent="0.2">
      <c r="BJ2762" s="201"/>
    </row>
    <row r="2763" spans="62:62" x14ac:dyDescent="0.2">
      <c r="BJ2763" s="201"/>
    </row>
    <row r="2764" spans="62:62" x14ac:dyDescent="0.2">
      <c r="BJ2764" s="201"/>
    </row>
    <row r="2765" spans="62:62" x14ac:dyDescent="0.2">
      <c r="BJ2765" s="201"/>
    </row>
    <row r="2766" spans="62:62" x14ac:dyDescent="0.2">
      <c r="BJ2766" s="201"/>
    </row>
    <row r="2767" spans="62:62" x14ac:dyDescent="0.2">
      <c r="BJ2767" s="201"/>
    </row>
    <row r="2768" spans="62:62" x14ac:dyDescent="0.2">
      <c r="BJ2768" s="201"/>
    </row>
    <row r="2769" spans="62:62" x14ac:dyDescent="0.2">
      <c r="BJ2769" s="201"/>
    </row>
    <row r="2770" spans="62:62" x14ac:dyDescent="0.2">
      <c r="BJ2770" s="201"/>
    </row>
    <row r="2771" spans="62:62" x14ac:dyDescent="0.2">
      <c r="BJ2771" s="201"/>
    </row>
    <row r="2772" spans="62:62" x14ac:dyDescent="0.2">
      <c r="BJ2772" s="201"/>
    </row>
    <row r="2773" spans="62:62" x14ac:dyDescent="0.2">
      <c r="BJ2773" s="201"/>
    </row>
    <row r="2774" spans="62:62" x14ac:dyDescent="0.2">
      <c r="BJ2774" s="201"/>
    </row>
    <row r="2775" spans="62:62" x14ac:dyDescent="0.2">
      <c r="BJ2775" s="201"/>
    </row>
    <row r="2776" spans="62:62" x14ac:dyDescent="0.2">
      <c r="BJ2776" s="201"/>
    </row>
    <row r="2777" spans="62:62" x14ac:dyDescent="0.2">
      <c r="BJ2777" s="201"/>
    </row>
    <row r="2778" spans="62:62" x14ac:dyDescent="0.2">
      <c r="BJ2778" s="201"/>
    </row>
    <row r="2779" spans="62:62" x14ac:dyDescent="0.2">
      <c r="BJ2779" s="201"/>
    </row>
    <row r="2780" spans="62:62" x14ac:dyDescent="0.2">
      <c r="BJ2780" s="201"/>
    </row>
    <row r="2781" spans="62:62" x14ac:dyDescent="0.2">
      <c r="BJ2781" s="201"/>
    </row>
    <row r="2782" spans="62:62" x14ac:dyDescent="0.2">
      <c r="BJ2782" s="201"/>
    </row>
    <row r="2783" spans="62:62" x14ac:dyDescent="0.2">
      <c r="BJ2783" s="201"/>
    </row>
    <row r="2784" spans="62:62" x14ac:dyDescent="0.2">
      <c r="BJ2784" s="201"/>
    </row>
    <row r="2785" spans="62:62" x14ac:dyDescent="0.2">
      <c r="BJ2785" s="201"/>
    </row>
    <row r="2786" spans="62:62" x14ac:dyDescent="0.2">
      <c r="BJ2786" s="201"/>
    </row>
    <row r="2787" spans="62:62" x14ac:dyDescent="0.2">
      <c r="BJ2787" s="201"/>
    </row>
    <row r="2788" spans="62:62" x14ac:dyDescent="0.2">
      <c r="BJ2788" s="201"/>
    </row>
    <row r="2789" spans="62:62" x14ac:dyDescent="0.2">
      <c r="BJ2789" s="201"/>
    </row>
    <row r="2790" spans="62:62" x14ac:dyDescent="0.2">
      <c r="BJ2790" s="201"/>
    </row>
    <row r="2791" spans="62:62" x14ac:dyDescent="0.2">
      <c r="BJ2791" s="201"/>
    </row>
    <row r="2792" spans="62:62" x14ac:dyDescent="0.2">
      <c r="BJ2792" s="201"/>
    </row>
    <row r="2793" spans="62:62" x14ac:dyDescent="0.2">
      <c r="BJ2793" s="201"/>
    </row>
    <row r="2794" spans="62:62" x14ac:dyDescent="0.2">
      <c r="BJ2794" s="201"/>
    </row>
    <row r="2795" spans="62:62" x14ac:dyDescent="0.2">
      <c r="BJ2795" s="201"/>
    </row>
    <row r="2796" spans="62:62" x14ac:dyDescent="0.2">
      <c r="BJ2796" s="201"/>
    </row>
    <row r="2797" spans="62:62" x14ac:dyDescent="0.2">
      <c r="BJ2797" s="201"/>
    </row>
    <row r="2798" spans="62:62" x14ac:dyDescent="0.2">
      <c r="BJ2798" s="201"/>
    </row>
    <row r="2799" spans="62:62" x14ac:dyDescent="0.2">
      <c r="BJ2799" s="201"/>
    </row>
    <row r="2800" spans="62:62" x14ac:dyDescent="0.2">
      <c r="BJ2800" s="201"/>
    </row>
    <row r="2801" spans="62:62" x14ac:dyDescent="0.2">
      <c r="BJ2801" s="201"/>
    </row>
    <row r="2802" spans="62:62" x14ac:dyDescent="0.2">
      <c r="BJ2802" s="201"/>
    </row>
    <row r="2803" spans="62:62" x14ac:dyDescent="0.2">
      <c r="BJ2803" s="201"/>
    </row>
    <row r="2804" spans="62:62" x14ac:dyDescent="0.2">
      <c r="BJ2804" s="201"/>
    </row>
    <row r="2805" spans="62:62" x14ac:dyDescent="0.2">
      <c r="BJ2805" s="201"/>
    </row>
    <row r="2806" spans="62:62" x14ac:dyDescent="0.2">
      <c r="BJ2806" s="201"/>
    </row>
    <row r="2807" spans="62:62" x14ac:dyDescent="0.2">
      <c r="BJ2807" s="201"/>
    </row>
    <row r="2808" spans="62:62" x14ac:dyDescent="0.2">
      <c r="BJ2808" s="201"/>
    </row>
    <row r="2809" spans="62:62" x14ac:dyDescent="0.2">
      <c r="BJ2809" s="201"/>
    </row>
    <row r="2810" spans="62:62" x14ac:dyDescent="0.2">
      <c r="BJ2810" s="201"/>
    </row>
    <row r="2811" spans="62:62" x14ac:dyDescent="0.2">
      <c r="BJ2811" s="201"/>
    </row>
    <row r="2812" spans="62:62" x14ac:dyDescent="0.2">
      <c r="BJ2812" s="201"/>
    </row>
    <row r="2813" spans="62:62" x14ac:dyDescent="0.2">
      <c r="BJ2813" s="201"/>
    </row>
    <row r="2814" spans="62:62" x14ac:dyDescent="0.2">
      <c r="BJ2814" s="201"/>
    </row>
    <row r="2815" spans="62:62" x14ac:dyDescent="0.2">
      <c r="BJ2815" s="201"/>
    </row>
    <row r="2816" spans="62:62" x14ac:dyDescent="0.2">
      <c r="BJ2816" s="201"/>
    </row>
    <row r="2817" spans="62:62" x14ac:dyDescent="0.2">
      <c r="BJ2817" s="201"/>
    </row>
    <row r="2818" spans="62:62" x14ac:dyDescent="0.2">
      <c r="BJ2818" s="201"/>
    </row>
    <row r="2819" spans="62:62" x14ac:dyDescent="0.2">
      <c r="BJ2819" s="201"/>
    </row>
    <row r="2820" spans="62:62" x14ac:dyDescent="0.2">
      <c r="BJ2820" s="201"/>
    </row>
    <row r="2821" spans="62:62" x14ac:dyDescent="0.2">
      <c r="BJ2821" s="201"/>
    </row>
    <row r="2822" spans="62:62" x14ac:dyDescent="0.2">
      <c r="BJ2822" s="201"/>
    </row>
    <row r="2823" spans="62:62" x14ac:dyDescent="0.2">
      <c r="BJ2823" s="201"/>
    </row>
    <row r="2824" spans="62:62" x14ac:dyDescent="0.2">
      <c r="BJ2824" s="201"/>
    </row>
    <row r="2825" spans="62:62" x14ac:dyDescent="0.2">
      <c r="BJ2825" s="201"/>
    </row>
    <row r="2826" spans="62:62" x14ac:dyDescent="0.2">
      <c r="BJ2826" s="201"/>
    </row>
    <row r="2827" spans="62:62" x14ac:dyDescent="0.2">
      <c r="BJ2827" s="201"/>
    </row>
    <row r="2828" spans="62:62" x14ac:dyDescent="0.2">
      <c r="BJ2828" s="201"/>
    </row>
    <row r="2829" spans="62:62" x14ac:dyDescent="0.2">
      <c r="BJ2829" s="201"/>
    </row>
    <row r="2830" spans="62:62" x14ac:dyDescent="0.2">
      <c r="BJ2830" s="201"/>
    </row>
    <row r="2831" spans="62:62" x14ac:dyDescent="0.2">
      <c r="BJ2831" s="201"/>
    </row>
    <row r="2832" spans="62:62" x14ac:dyDescent="0.2">
      <c r="BJ2832" s="201"/>
    </row>
    <row r="2833" spans="62:62" x14ac:dyDescent="0.2">
      <c r="BJ2833" s="201"/>
    </row>
    <row r="2834" spans="62:62" x14ac:dyDescent="0.2">
      <c r="BJ2834" s="201"/>
    </row>
    <row r="2835" spans="62:62" x14ac:dyDescent="0.2">
      <c r="BJ2835" s="201"/>
    </row>
    <row r="2836" spans="62:62" x14ac:dyDescent="0.2">
      <c r="BJ2836" s="201"/>
    </row>
    <row r="2837" spans="62:62" x14ac:dyDescent="0.2">
      <c r="BJ2837" s="201"/>
    </row>
    <row r="2838" spans="62:62" x14ac:dyDescent="0.2">
      <c r="BJ2838" s="201"/>
    </row>
    <row r="2839" spans="62:62" x14ac:dyDescent="0.2">
      <c r="BJ2839" s="201"/>
    </row>
    <row r="2840" spans="62:62" x14ac:dyDescent="0.2">
      <c r="BJ2840" s="201"/>
    </row>
    <row r="2841" spans="62:62" x14ac:dyDescent="0.2">
      <c r="BJ2841" s="201"/>
    </row>
    <row r="2842" spans="62:62" x14ac:dyDescent="0.2">
      <c r="BJ2842" s="201"/>
    </row>
    <row r="2843" spans="62:62" x14ac:dyDescent="0.2">
      <c r="BJ2843" s="201"/>
    </row>
    <row r="2844" spans="62:62" x14ac:dyDescent="0.2">
      <c r="BJ2844" s="201"/>
    </row>
    <row r="2845" spans="62:62" x14ac:dyDescent="0.2">
      <c r="BJ2845" s="201"/>
    </row>
    <row r="2846" spans="62:62" x14ac:dyDescent="0.2">
      <c r="BJ2846" s="201"/>
    </row>
    <row r="2847" spans="62:62" x14ac:dyDescent="0.2">
      <c r="BJ2847" s="201"/>
    </row>
    <row r="2848" spans="62:62" x14ac:dyDescent="0.2">
      <c r="BJ2848" s="201"/>
    </row>
    <row r="2849" spans="62:62" x14ac:dyDescent="0.2">
      <c r="BJ2849" s="201"/>
    </row>
    <row r="2850" spans="62:62" x14ac:dyDescent="0.2">
      <c r="BJ2850" s="201"/>
    </row>
    <row r="2851" spans="62:62" x14ac:dyDescent="0.2">
      <c r="BJ2851" s="201"/>
    </row>
    <row r="2852" spans="62:62" x14ac:dyDescent="0.2">
      <c r="BJ2852" s="201"/>
    </row>
    <row r="2853" spans="62:62" x14ac:dyDescent="0.2">
      <c r="BJ2853" s="201"/>
    </row>
    <row r="2854" spans="62:62" x14ac:dyDescent="0.2">
      <c r="BJ2854" s="201"/>
    </row>
    <row r="2855" spans="62:62" x14ac:dyDescent="0.2">
      <c r="BJ2855" s="201"/>
    </row>
    <row r="2856" spans="62:62" x14ac:dyDescent="0.2">
      <c r="BJ2856" s="201"/>
    </row>
    <row r="2857" spans="62:62" x14ac:dyDescent="0.2">
      <c r="BJ2857" s="201"/>
    </row>
    <row r="2858" spans="62:62" x14ac:dyDescent="0.2">
      <c r="BJ2858" s="201"/>
    </row>
    <row r="2859" spans="62:62" x14ac:dyDescent="0.2">
      <c r="BJ2859" s="201"/>
    </row>
    <row r="2860" spans="62:62" x14ac:dyDescent="0.2">
      <c r="BJ2860" s="201"/>
    </row>
    <row r="2861" spans="62:62" x14ac:dyDescent="0.2">
      <c r="BJ2861" s="201"/>
    </row>
    <row r="2862" spans="62:62" x14ac:dyDescent="0.2">
      <c r="BJ2862" s="201"/>
    </row>
    <row r="2863" spans="62:62" x14ac:dyDescent="0.2">
      <c r="BJ2863" s="201"/>
    </row>
    <row r="2864" spans="62:62" x14ac:dyDescent="0.2">
      <c r="BJ2864" s="201"/>
    </row>
    <row r="2865" spans="62:62" x14ac:dyDescent="0.2">
      <c r="BJ2865" s="201"/>
    </row>
    <row r="2866" spans="62:62" x14ac:dyDescent="0.2">
      <c r="BJ2866" s="201"/>
    </row>
    <row r="2867" spans="62:62" x14ac:dyDescent="0.2">
      <c r="BJ2867" s="201"/>
    </row>
    <row r="2868" spans="62:62" x14ac:dyDescent="0.2">
      <c r="BJ2868" s="201"/>
    </row>
    <row r="2869" spans="62:62" x14ac:dyDescent="0.2">
      <c r="BJ2869" s="201"/>
    </row>
    <row r="2870" spans="62:62" x14ac:dyDescent="0.2">
      <c r="BJ2870" s="201"/>
    </row>
    <row r="2871" spans="62:62" x14ac:dyDescent="0.2">
      <c r="BJ2871" s="201"/>
    </row>
    <row r="2872" spans="62:62" x14ac:dyDescent="0.2">
      <c r="BJ2872" s="201"/>
    </row>
    <row r="2873" spans="62:62" x14ac:dyDescent="0.2">
      <c r="BJ2873" s="201"/>
    </row>
    <row r="2874" spans="62:62" x14ac:dyDescent="0.2">
      <c r="BJ2874" s="201"/>
    </row>
    <row r="2875" spans="62:62" x14ac:dyDescent="0.2">
      <c r="BJ2875" s="201"/>
    </row>
    <row r="2876" spans="62:62" x14ac:dyDescent="0.2">
      <c r="BJ2876" s="201"/>
    </row>
    <row r="2877" spans="62:62" x14ac:dyDescent="0.2">
      <c r="BJ2877" s="201"/>
    </row>
    <row r="2878" spans="62:62" x14ac:dyDescent="0.2">
      <c r="BJ2878" s="201"/>
    </row>
    <row r="2879" spans="62:62" x14ac:dyDescent="0.2">
      <c r="BJ2879" s="201"/>
    </row>
    <row r="2880" spans="62:62" x14ac:dyDescent="0.2">
      <c r="BJ2880" s="201"/>
    </row>
    <row r="2881" spans="62:62" x14ac:dyDescent="0.2">
      <c r="BJ2881" s="201"/>
    </row>
    <row r="2882" spans="62:62" x14ac:dyDescent="0.2">
      <c r="BJ2882" s="201"/>
    </row>
    <row r="2883" spans="62:62" x14ac:dyDescent="0.2">
      <c r="BJ2883" s="201"/>
    </row>
    <row r="2884" spans="62:62" x14ac:dyDescent="0.2">
      <c r="BJ2884" s="201"/>
    </row>
    <row r="2885" spans="62:62" x14ac:dyDescent="0.2">
      <c r="BJ2885" s="201"/>
    </row>
    <row r="2886" spans="62:62" x14ac:dyDescent="0.2">
      <c r="BJ2886" s="201"/>
    </row>
    <row r="2887" spans="62:62" x14ac:dyDescent="0.2">
      <c r="BJ2887" s="201"/>
    </row>
    <row r="2888" spans="62:62" x14ac:dyDescent="0.2">
      <c r="BJ2888" s="201"/>
    </row>
    <row r="2889" spans="62:62" x14ac:dyDescent="0.2">
      <c r="BJ2889" s="201"/>
    </row>
    <row r="2890" spans="62:62" x14ac:dyDescent="0.2">
      <c r="BJ2890" s="201"/>
    </row>
    <row r="2891" spans="62:62" x14ac:dyDescent="0.2">
      <c r="BJ2891" s="201"/>
    </row>
    <row r="2892" spans="62:62" x14ac:dyDescent="0.2">
      <c r="BJ2892" s="201"/>
    </row>
    <row r="2893" spans="62:62" x14ac:dyDescent="0.2">
      <c r="BJ2893" s="201"/>
    </row>
    <row r="2894" spans="62:62" x14ac:dyDescent="0.2">
      <c r="BJ2894" s="201"/>
    </row>
    <row r="2895" spans="62:62" x14ac:dyDescent="0.2">
      <c r="BJ2895" s="201"/>
    </row>
    <row r="2896" spans="62:62" x14ac:dyDescent="0.2">
      <c r="BJ2896" s="201"/>
    </row>
    <row r="2897" spans="62:62" x14ac:dyDescent="0.2">
      <c r="BJ2897" s="201"/>
    </row>
    <row r="2898" spans="62:62" x14ac:dyDescent="0.2">
      <c r="BJ2898" s="201"/>
    </row>
    <row r="2899" spans="62:62" x14ac:dyDescent="0.2">
      <c r="BJ2899" s="201"/>
    </row>
    <row r="2900" spans="62:62" x14ac:dyDescent="0.2">
      <c r="BJ2900" s="201"/>
    </row>
    <row r="2901" spans="62:62" x14ac:dyDescent="0.2">
      <c r="BJ2901" s="201"/>
    </row>
    <row r="2902" spans="62:62" x14ac:dyDescent="0.2">
      <c r="BJ2902" s="201"/>
    </row>
    <row r="2903" spans="62:62" x14ac:dyDescent="0.2">
      <c r="BJ2903" s="201"/>
    </row>
    <row r="2904" spans="62:62" x14ac:dyDescent="0.2">
      <c r="BJ2904" s="201"/>
    </row>
    <row r="2905" spans="62:62" x14ac:dyDescent="0.2">
      <c r="BJ2905" s="201"/>
    </row>
    <row r="2906" spans="62:62" x14ac:dyDescent="0.2">
      <c r="BJ2906" s="201"/>
    </row>
    <row r="2907" spans="62:62" x14ac:dyDescent="0.2">
      <c r="BJ2907" s="201"/>
    </row>
    <row r="2908" spans="62:62" x14ac:dyDescent="0.2">
      <c r="BJ2908" s="201"/>
    </row>
    <row r="2909" spans="62:62" x14ac:dyDescent="0.2">
      <c r="BJ2909" s="201"/>
    </row>
    <row r="2910" spans="62:62" x14ac:dyDescent="0.2">
      <c r="BJ2910" s="201"/>
    </row>
    <row r="2911" spans="62:62" x14ac:dyDescent="0.2">
      <c r="BJ2911" s="201"/>
    </row>
    <row r="2912" spans="62:62" x14ac:dyDescent="0.2">
      <c r="BJ2912" s="201"/>
    </row>
    <row r="2913" spans="62:62" x14ac:dyDescent="0.2">
      <c r="BJ2913" s="201"/>
    </row>
    <row r="2914" spans="62:62" x14ac:dyDescent="0.2">
      <c r="BJ2914" s="201"/>
    </row>
    <row r="2915" spans="62:62" x14ac:dyDescent="0.2">
      <c r="BJ2915" s="201"/>
    </row>
    <row r="2916" spans="62:62" x14ac:dyDescent="0.2">
      <c r="BJ2916" s="201"/>
    </row>
    <row r="2917" spans="62:62" x14ac:dyDescent="0.2">
      <c r="BJ2917" s="201"/>
    </row>
    <row r="2918" spans="62:62" x14ac:dyDescent="0.2">
      <c r="BJ2918" s="201"/>
    </row>
    <row r="2919" spans="62:62" x14ac:dyDescent="0.2">
      <c r="BJ2919" s="201"/>
    </row>
    <row r="2920" spans="62:62" x14ac:dyDescent="0.2">
      <c r="BJ2920" s="201"/>
    </row>
    <row r="2921" spans="62:62" x14ac:dyDescent="0.2">
      <c r="BJ2921" s="201"/>
    </row>
    <row r="2922" spans="62:62" x14ac:dyDescent="0.2">
      <c r="BJ2922" s="201"/>
    </row>
    <row r="2923" spans="62:62" x14ac:dyDescent="0.2">
      <c r="BJ2923" s="201"/>
    </row>
    <row r="2924" spans="62:62" x14ac:dyDescent="0.2">
      <c r="BJ2924" s="201"/>
    </row>
    <row r="2925" spans="62:62" x14ac:dyDescent="0.2">
      <c r="BJ2925" s="201"/>
    </row>
    <row r="2926" spans="62:62" x14ac:dyDescent="0.2">
      <c r="BJ2926" s="201"/>
    </row>
    <row r="2927" spans="62:62" x14ac:dyDescent="0.2">
      <c r="BJ2927" s="201"/>
    </row>
    <row r="2928" spans="62:62" x14ac:dyDescent="0.2">
      <c r="BJ2928" s="201"/>
    </row>
    <row r="2929" spans="62:62" x14ac:dyDescent="0.2">
      <c r="BJ2929" s="201"/>
    </row>
    <row r="2930" spans="62:62" x14ac:dyDescent="0.2">
      <c r="BJ2930" s="201"/>
    </row>
    <row r="2931" spans="62:62" x14ac:dyDescent="0.2">
      <c r="BJ2931" s="201"/>
    </row>
    <row r="2932" spans="62:62" x14ac:dyDescent="0.2">
      <c r="BJ2932" s="201"/>
    </row>
    <row r="2933" spans="62:62" x14ac:dyDescent="0.2">
      <c r="BJ2933" s="201"/>
    </row>
    <row r="2934" spans="62:62" x14ac:dyDescent="0.2">
      <c r="BJ2934" s="201"/>
    </row>
    <row r="2935" spans="62:62" x14ac:dyDescent="0.2">
      <c r="BJ2935" s="201"/>
    </row>
    <row r="2936" spans="62:62" x14ac:dyDescent="0.2">
      <c r="BJ2936" s="201"/>
    </row>
    <row r="2937" spans="62:62" x14ac:dyDescent="0.2">
      <c r="BJ2937" s="201"/>
    </row>
    <row r="2938" spans="62:62" x14ac:dyDescent="0.2">
      <c r="BJ2938" s="201"/>
    </row>
    <row r="2939" spans="62:62" x14ac:dyDescent="0.2">
      <c r="BJ2939" s="201"/>
    </row>
    <row r="2940" spans="62:62" x14ac:dyDescent="0.2">
      <c r="BJ2940" s="201"/>
    </row>
    <row r="2941" spans="62:62" x14ac:dyDescent="0.2">
      <c r="BJ2941" s="201"/>
    </row>
    <row r="2942" spans="62:62" x14ac:dyDescent="0.2">
      <c r="BJ2942" s="201"/>
    </row>
    <row r="2943" spans="62:62" x14ac:dyDescent="0.2">
      <c r="BJ2943" s="201"/>
    </row>
    <row r="2944" spans="62:62" x14ac:dyDescent="0.2">
      <c r="BJ2944" s="201"/>
    </row>
    <row r="2945" spans="62:62" x14ac:dyDescent="0.2">
      <c r="BJ2945" s="201"/>
    </row>
    <row r="2946" spans="62:62" x14ac:dyDescent="0.2">
      <c r="BJ2946" s="201"/>
    </row>
    <row r="2947" spans="62:62" x14ac:dyDescent="0.2">
      <c r="BJ2947" s="201"/>
    </row>
    <row r="2948" spans="62:62" x14ac:dyDescent="0.2">
      <c r="BJ2948" s="201"/>
    </row>
    <row r="2949" spans="62:62" x14ac:dyDescent="0.2">
      <c r="BJ2949" s="201"/>
    </row>
    <row r="2950" spans="62:62" x14ac:dyDescent="0.2">
      <c r="BJ2950" s="201"/>
    </row>
    <row r="2951" spans="62:62" x14ac:dyDescent="0.2">
      <c r="BJ2951" s="201"/>
    </row>
    <row r="2952" spans="62:62" x14ac:dyDescent="0.2">
      <c r="BJ2952" s="201"/>
    </row>
    <row r="2953" spans="62:62" x14ac:dyDescent="0.2">
      <c r="BJ2953" s="201"/>
    </row>
    <row r="2954" spans="62:62" x14ac:dyDescent="0.2">
      <c r="BJ2954" s="201"/>
    </row>
    <row r="2955" spans="62:62" x14ac:dyDescent="0.2">
      <c r="BJ2955" s="201"/>
    </row>
    <row r="2956" spans="62:62" x14ac:dyDescent="0.2">
      <c r="BJ2956" s="201"/>
    </row>
    <row r="2957" spans="62:62" x14ac:dyDescent="0.2">
      <c r="BJ2957" s="201"/>
    </row>
    <row r="2958" spans="62:62" x14ac:dyDescent="0.2">
      <c r="BJ2958" s="201"/>
    </row>
    <row r="2959" spans="62:62" x14ac:dyDescent="0.2">
      <c r="BJ2959" s="201"/>
    </row>
    <row r="2960" spans="62:62" x14ac:dyDescent="0.2">
      <c r="BJ2960" s="201"/>
    </row>
    <row r="2961" spans="62:62" x14ac:dyDescent="0.2">
      <c r="BJ2961" s="201"/>
    </row>
    <row r="2962" spans="62:62" x14ac:dyDescent="0.2">
      <c r="BJ2962" s="201"/>
    </row>
    <row r="2963" spans="62:62" x14ac:dyDescent="0.2">
      <c r="BJ2963" s="201"/>
    </row>
    <row r="2964" spans="62:62" x14ac:dyDescent="0.2">
      <c r="BJ2964" s="201"/>
    </row>
    <row r="2965" spans="62:62" x14ac:dyDescent="0.2">
      <c r="BJ2965" s="201"/>
    </row>
    <row r="2966" spans="62:62" x14ac:dyDescent="0.2">
      <c r="BJ2966" s="201"/>
    </row>
    <row r="2967" spans="62:62" x14ac:dyDescent="0.2">
      <c r="BJ2967" s="201"/>
    </row>
    <row r="2968" spans="62:62" x14ac:dyDescent="0.2">
      <c r="BJ2968" s="201"/>
    </row>
    <row r="2969" spans="62:62" x14ac:dyDescent="0.2">
      <c r="BJ2969" s="201"/>
    </row>
    <row r="2970" spans="62:62" x14ac:dyDescent="0.2">
      <c r="BJ2970" s="201"/>
    </row>
    <row r="2971" spans="62:62" x14ac:dyDescent="0.2">
      <c r="BJ2971" s="201"/>
    </row>
    <row r="2972" spans="62:62" x14ac:dyDescent="0.2">
      <c r="BJ2972" s="201"/>
    </row>
    <row r="2973" spans="62:62" x14ac:dyDescent="0.2">
      <c r="BJ2973" s="201"/>
    </row>
    <row r="2974" spans="62:62" x14ac:dyDescent="0.2">
      <c r="BJ2974" s="201"/>
    </row>
    <row r="2975" spans="62:62" x14ac:dyDescent="0.2">
      <c r="BJ2975" s="201"/>
    </row>
    <row r="2976" spans="62:62" x14ac:dyDescent="0.2">
      <c r="BJ2976" s="201"/>
    </row>
    <row r="2977" spans="62:62" x14ac:dyDescent="0.2">
      <c r="BJ2977" s="201"/>
    </row>
    <row r="2978" spans="62:62" x14ac:dyDescent="0.2">
      <c r="BJ2978" s="201"/>
    </row>
    <row r="2979" spans="62:62" x14ac:dyDescent="0.2">
      <c r="BJ2979" s="201"/>
    </row>
    <row r="2980" spans="62:62" x14ac:dyDescent="0.2">
      <c r="BJ2980" s="201"/>
    </row>
    <row r="2981" spans="62:62" x14ac:dyDescent="0.2">
      <c r="BJ2981" s="201"/>
    </row>
    <row r="2982" spans="62:62" x14ac:dyDescent="0.2">
      <c r="BJ2982" s="201"/>
    </row>
    <row r="2983" spans="62:62" x14ac:dyDescent="0.2">
      <c r="BJ2983" s="201"/>
    </row>
    <row r="2984" spans="62:62" x14ac:dyDescent="0.2">
      <c r="BJ2984" s="201"/>
    </row>
    <row r="2985" spans="62:62" x14ac:dyDescent="0.2">
      <c r="BJ2985" s="201"/>
    </row>
    <row r="2986" spans="62:62" x14ac:dyDescent="0.2">
      <c r="BJ2986" s="201"/>
    </row>
    <row r="2987" spans="62:62" x14ac:dyDescent="0.2">
      <c r="BJ2987" s="201"/>
    </row>
    <row r="2988" spans="62:62" x14ac:dyDescent="0.2">
      <c r="BJ2988" s="201"/>
    </row>
    <row r="2989" spans="62:62" x14ac:dyDescent="0.2">
      <c r="BJ2989" s="201"/>
    </row>
    <row r="2990" spans="62:62" x14ac:dyDescent="0.2">
      <c r="BJ2990" s="201"/>
    </row>
    <row r="2991" spans="62:62" x14ac:dyDescent="0.2">
      <c r="BJ2991" s="201"/>
    </row>
    <row r="2992" spans="62:62" x14ac:dyDescent="0.2">
      <c r="BJ2992" s="201"/>
    </row>
    <row r="2993" spans="62:62" x14ac:dyDescent="0.2">
      <c r="BJ2993" s="201"/>
    </row>
    <row r="2994" spans="62:62" x14ac:dyDescent="0.2">
      <c r="BJ2994" s="201"/>
    </row>
    <row r="2995" spans="62:62" x14ac:dyDescent="0.2">
      <c r="BJ2995" s="201"/>
    </row>
    <row r="2996" spans="62:62" x14ac:dyDescent="0.2">
      <c r="BJ2996" s="201"/>
    </row>
    <row r="2997" spans="62:62" x14ac:dyDescent="0.2">
      <c r="BJ2997" s="201"/>
    </row>
    <row r="2998" spans="62:62" x14ac:dyDescent="0.2">
      <c r="BJ2998" s="201"/>
    </row>
    <row r="2999" spans="62:62" x14ac:dyDescent="0.2">
      <c r="BJ2999" s="201"/>
    </row>
    <row r="3000" spans="62:62" x14ac:dyDescent="0.2">
      <c r="BJ3000" s="201"/>
    </row>
    <row r="3001" spans="62:62" x14ac:dyDescent="0.2">
      <c r="BJ3001" s="201"/>
    </row>
    <row r="3002" spans="62:62" x14ac:dyDescent="0.2">
      <c r="BJ3002" s="201"/>
    </row>
    <row r="3003" spans="62:62" x14ac:dyDescent="0.2">
      <c r="BJ3003" s="201"/>
    </row>
    <row r="3004" spans="62:62" x14ac:dyDescent="0.2">
      <c r="BJ3004" s="201"/>
    </row>
    <row r="3005" spans="62:62" x14ac:dyDescent="0.2">
      <c r="BJ3005" s="201"/>
    </row>
    <row r="3006" spans="62:62" x14ac:dyDescent="0.2">
      <c r="BJ3006" s="201"/>
    </row>
    <row r="3007" spans="62:62" x14ac:dyDescent="0.2">
      <c r="BJ3007" s="201"/>
    </row>
    <row r="3008" spans="62:62" x14ac:dyDescent="0.2">
      <c r="BJ3008" s="201"/>
    </row>
    <row r="3009" spans="62:62" x14ac:dyDescent="0.2">
      <c r="BJ3009" s="201"/>
    </row>
    <row r="3010" spans="62:62" x14ac:dyDescent="0.2">
      <c r="BJ3010" s="201"/>
    </row>
    <row r="3011" spans="62:62" x14ac:dyDescent="0.2">
      <c r="BJ3011" s="201"/>
    </row>
    <row r="3012" spans="62:62" x14ac:dyDescent="0.2">
      <c r="BJ3012" s="201"/>
    </row>
    <row r="3013" spans="62:62" x14ac:dyDescent="0.2">
      <c r="BJ3013" s="201"/>
    </row>
    <row r="3014" spans="62:62" x14ac:dyDescent="0.2">
      <c r="BJ3014" s="201"/>
    </row>
    <row r="3015" spans="62:62" x14ac:dyDescent="0.2">
      <c r="BJ3015" s="201"/>
    </row>
    <row r="3016" spans="62:62" x14ac:dyDescent="0.2">
      <c r="BJ3016" s="201"/>
    </row>
    <row r="3017" spans="62:62" x14ac:dyDescent="0.2">
      <c r="BJ3017" s="201"/>
    </row>
    <row r="3018" spans="62:62" x14ac:dyDescent="0.2">
      <c r="BJ3018" s="201"/>
    </row>
    <row r="3019" spans="62:62" x14ac:dyDescent="0.2">
      <c r="BJ3019" s="201"/>
    </row>
    <row r="3020" spans="62:62" x14ac:dyDescent="0.2">
      <c r="BJ3020" s="201"/>
    </row>
    <row r="3021" spans="62:62" x14ac:dyDescent="0.2">
      <c r="BJ3021" s="201"/>
    </row>
    <row r="3022" spans="62:62" x14ac:dyDescent="0.2">
      <c r="BJ3022" s="201"/>
    </row>
    <row r="3023" spans="62:62" x14ac:dyDescent="0.2">
      <c r="BJ3023" s="201"/>
    </row>
    <row r="3024" spans="62:62" x14ac:dyDescent="0.2">
      <c r="BJ3024" s="201"/>
    </row>
    <row r="3025" spans="62:62" x14ac:dyDescent="0.2">
      <c r="BJ3025" s="201"/>
    </row>
    <row r="3026" spans="62:62" x14ac:dyDescent="0.2">
      <c r="BJ3026" s="201"/>
    </row>
    <row r="3027" spans="62:62" x14ac:dyDescent="0.2">
      <c r="BJ3027" s="201"/>
    </row>
    <row r="3028" spans="62:62" x14ac:dyDescent="0.2">
      <c r="BJ3028" s="201"/>
    </row>
    <row r="3029" spans="62:62" x14ac:dyDescent="0.2">
      <c r="BJ3029" s="201"/>
    </row>
    <row r="3030" spans="62:62" x14ac:dyDescent="0.2">
      <c r="BJ3030" s="201"/>
    </row>
    <row r="3031" spans="62:62" x14ac:dyDescent="0.2">
      <c r="BJ3031" s="201"/>
    </row>
    <row r="3032" spans="62:62" x14ac:dyDescent="0.2">
      <c r="BJ3032" s="201"/>
    </row>
    <row r="3033" spans="62:62" x14ac:dyDescent="0.2">
      <c r="BJ3033" s="201"/>
    </row>
    <row r="3034" spans="62:62" x14ac:dyDescent="0.2">
      <c r="BJ3034" s="201"/>
    </row>
    <row r="3035" spans="62:62" x14ac:dyDescent="0.2">
      <c r="BJ3035" s="201"/>
    </row>
    <row r="3036" spans="62:62" x14ac:dyDescent="0.2">
      <c r="BJ3036" s="201"/>
    </row>
    <row r="3037" spans="62:62" x14ac:dyDescent="0.2">
      <c r="BJ3037" s="201"/>
    </row>
    <row r="3038" spans="62:62" x14ac:dyDescent="0.2">
      <c r="BJ3038" s="201"/>
    </row>
    <row r="3039" spans="62:62" x14ac:dyDescent="0.2">
      <c r="BJ3039" s="201"/>
    </row>
    <row r="3040" spans="62:62" x14ac:dyDescent="0.2">
      <c r="BJ3040" s="201"/>
    </row>
    <row r="3041" spans="62:62" x14ac:dyDescent="0.2">
      <c r="BJ3041" s="201"/>
    </row>
    <row r="3042" spans="62:62" x14ac:dyDescent="0.2">
      <c r="BJ3042" s="201"/>
    </row>
    <row r="3043" spans="62:62" x14ac:dyDescent="0.2">
      <c r="BJ3043" s="201"/>
    </row>
    <row r="3044" spans="62:62" x14ac:dyDescent="0.2">
      <c r="BJ3044" s="201"/>
    </row>
    <row r="3045" spans="62:62" x14ac:dyDescent="0.2">
      <c r="BJ3045" s="201"/>
    </row>
    <row r="3046" spans="62:62" x14ac:dyDescent="0.2">
      <c r="BJ3046" s="201"/>
    </row>
    <row r="3047" spans="62:62" x14ac:dyDescent="0.2">
      <c r="BJ3047" s="201"/>
    </row>
    <row r="3048" spans="62:62" x14ac:dyDescent="0.2">
      <c r="BJ3048" s="201"/>
    </row>
    <row r="3049" spans="62:62" x14ac:dyDescent="0.2">
      <c r="BJ3049" s="201"/>
    </row>
    <row r="3050" spans="62:62" x14ac:dyDescent="0.2">
      <c r="BJ3050" s="201"/>
    </row>
    <row r="3051" spans="62:62" x14ac:dyDescent="0.2">
      <c r="BJ3051" s="201"/>
    </row>
    <row r="3052" spans="62:62" x14ac:dyDescent="0.2">
      <c r="BJ3052" s="201"/>
    </row>
    <row r="3053" spans="62:62" x14ac:dyDescent="0.2">
      <c r="BJ3053" s="201"/>
    </row>
    <row r="3054" spans="62:62" x14ac:dyDescent="0.2">
      <c r="BJ3054" s="201"/>
    </row>
    <row r="3055" spans="62:62" x14ac:dyDescent="0.2">
      <c r="BJ3055" s="201"/>
    </row>
    <row r="3056" spans="62:62" x14ac:dyDescent="0.2">
      <c r="BJ3056" s="201"/>
    </row>
    <row r="3057" spans="62:62" x14ac:dyDescent="0.2">
      <c r="BJ3057" s="201"/>
    </row>
    <row r="3058" spans="62:62" x14ac:dyDescent="0.2">
      <c r="BJ3058" s="201"/>
    </row>
    <row r="3059" spans="62:62" x14ac:dyDescent="0.2">
      <c r="BJ3059" s="201"/>
    </row>
    <row r="3060" spans="62:62" x14ac:dyDescent="0.2">
      <c r="BJ3060" s="201"/>
    </row>
    <row r="3061" spans="62:62" x14ac:dyDescent="0.2">
      <c r="BJ3061" s="201"/>
    </row>
    <row r="3062" spans="62:62" x14ac:dyDescent="0.2">
      <c r="BJ3062" s="201"/>
    </row>
    <row r="3063" spans="62:62" x14ac:dyDescent="0.2">
      <c r="BJ3063" s="201"/>
    </row>
    <row r="3064" spans="62:62" x14ac:dyDescent="0.2">
      <c r="BJ3064" s="201"/>
    </row>
    <row r="3065" spans="62:62" x14ac:dyDescent="0.2">
      <c r="BJ3065" s="201"/>
    </row>
    <row r="3066" spans="62:62" x14ac:dyDescent="0.2">
      <c r="BJ3066" s="201"/>
    </row>
    <row r="3067" spans="62:62" x14ac:dyDescent="0.2">
      <c r="BJ3067" s="201"/>
    </row>
    <row r="3068" spans="62:62" x14ac:dyDescent="0.2">
      <c r="BJ3068" s="201"/>
    </row>
    <row r="3069" spans="62:62" x14ac:dyDescent="0.2">
      <c r="BJ3069" s="201"/>
    </row>
    <row r="3070" spans="62:62" x14ac:dyDescent="0.2">
      <c r="BJ3070" s="201"/>
    </row>
    <row r="3071" spans="62:62" x14ac:dyDescent="0.2">
      <c r="BJ3071" s="201"/>
    </row>
    <row r="3072" spans="62:62" x14ac:dyDescent="0.2">
      <c r="BJ3072" s="201"/>
    </row>
    <row r="3073" spans="62:62" x14ac:dyDescent="0.2">
      <c r="BJ3073" s="201"/>
    </row>
    <row r="3074" spans="62:62" x14ac:dyDescent="0.2">
      <c r="BJ3074" s="201"/>
    </row>
    <row r="3075" spans="62:62" x14ac:dyDescent="0.2">
      <c r="BJ3075" s="201"/>
    </row>
    <row r="3076" spans="62:62" x14ac:dyDescent="0.2">
      <c r="BJ3076" s="201"/>
    </row>
    <row r="3077" spans="62:62" x14ac:dyDescent="0.2">
      <c r="BJ3077" s="201"/>
    </row>
    <row r="3078" spans="62:62" x14ac:dyDescent="0.2">
      <c r="BJ3078" s="201"/>
    </row>
    <row r="3079" spans="62:62" x14ac:dyDescent="0.2">
      <c r="BJ3079" s="201"/>
    </row>
    <row r="3080" spans="62:62" x14ac:dyDescent="0.2">
      <c r="BJ3080" s="201"/>
    </row>
    <row r="3081" spans="62:62" x14ac:dyDescent="0.2">
      <c r="BJ3081" s="201"/>
    </row>
    <row r="3082" spans="62:62" x14ac:dyDescent="0.2">
      <c r="BJ3082" s="201"/>
    </row>
    <row r="3083" spans="62:62" x14ac:dyDescent="0.2">
      <c r="BJ3083" s="201"/>
    </row>
    <row r="3084" spans="62:62" x14ac:dyDescent="0.2">
      <c r="BJ3084" s="201"/>
    </row>
    <row r="3085" spans="62:62" x14ac:dyDescent="0.2">
      <c r="BJ3085" s="201"/>
    </row>
    <row r="3086" spans="62:62" x14ac:dyDescent="0.2">
      <c r="BJ3086" s="201"/>
    </row>
    <row r="3087" spans="62:62" x14ac:dyDescent="0.2">
      <c r="BJ3087" s="201"/>
    </row>
    <row r="3088" spans="62:62" x14ac:dyDescent="0.2">
      <c r="BJ3088" s="201"/>
    </row>
    <row r="3089" spans="62:62" x14ac:dyDescent="0.2">
      <c r="BJ3089" s="201"/>
    </row>
    <row r="3090" spans="62:62" x14ac:dyDescent="0.2">
      <c r="BJ3090" s="201"/>
    </row>
    <row r="3091" spans="62:62" x14ac:dyDescent="0.2">
      <c r="BJ3091" s="201"/>
    </row>
    <row r="3092" spans="62:62" x14ac:dyDescent="0.2">
      <c r="BJ3092" s="201"/>
    </row>
    <row r="3093" spans="62:62" x14ac:dyDescent="0.2">
      <c r="BJ3093" s="201"/>
    </row>
    <row r="3094" spans="62:62" x14ac:dyDescent="0.2">
      <c r="BJ3094" s="201"/>
    </row>
    <row r="3095" spans="62:62" x14ac:dyDescent="0.2">
      <c r="BJ3095" s="201"/>
    </row>
    <row r="3096" spans="62:62" x14ac:dyDescent="0.2">
      <c r="BJ3096" s="201"/>
    </row>
    <row r="3097" spans="62:62" x14ac:dyDescent="0.2">
      <c r="BJ3097" s="201"/>
    </row>
    <row r="3098" spans="62:62" x14ac:dyDescent="0.2">
      <c r="BJ3098" s="201"/>
    </row>
    <row r="3099" spans="62:62" x14ac:dyDescent="0.2">
      <c r="BJ3099" s="201"/>
    </row>
    <row r="3100" spans="62:62" x14ac:dyDescent="0.2">
      <c r="BJ3100" s="201"/>
    </row>
    <row r="3101" spans="62:62" x14ac:dyDescent="0.2">
      <c r="BJ3101" s="201"/>
    </row>
    <row r="3102" spans="62:62" x14ac:dyDescent="0.2">
      <c r="BJ3102" s="201"/>
    </row>
    <row r="3103" spans="62:62" x14ac:dyDescent="0.2">
      <c r="BJ3103" s="201"/>
    </row>
    <row r="3104" spans="62:62" x14ac:dyDescent="0.2">
      <c r="BJ3104" s="201"/>
    </row>
    <row r="3105" spans="62:62" x14ac:dyDescent="0.2">
      <c r="BJ3105" s="201"/>
    </row>
    <row r="3106" spans="62:62" x14ac:dyDescent="0.2">
      <c r="BJ3106" s="201"/>
    </row>
    <row r="3107" spans="62:62" x14ac:dyDescent="0.2">
      <c r="BJ3107" s="201"/>
    </row>
    <row r="3108" spans="62:62" x14ac:dyDescent="0.2">
      <c r="BJ3108" s="201"/>
    </row>
    <row r="3109" spans="62:62" x14ac:dyDescent="0.2">
      <c r="BJ3109" s="201"/>
    </row>
    <row r="3110" spans="62:62" x14ac:dyDescent="0.2">
      <c r="BJ3110" s="201"/>
    </row>
    <row r="3111" spans="62:62" x14ac:dyDescent="0.2">
      <c r="BJ3111" s="201"/>
    </row>
    <row r="3112" spans="62:62" x14ac:dyDescent="0.2">
      <c r="BJ3112" s="201"/>
    </row>
    <row r="3113" spans="62:62" x14ac:dyDescent="0.2">
      <c r="BJ3113" s="201"/>
    </row>
    <row r="3114" spans="62:62" x14ac:dyDescent="0.2">
      <c r="BJ3114" s="201"/>
    </row>
    <row r="3115" spans="62:62" x14ac:dyDescent="0.2">
      <c r="BJ3115" s="201"/>
    </row>
    <row r="3116" spans="62:62" x14ac:dyDescent="0.2">
      <c r="BJ3116" s="201"/>
    </row>
    <row r="3117" spans="62:62" x14ac:dyDescent="0.2">
      <c r="BJ3117" s="201"/>
    </row>
    <row r="3118" spans="62:62" x14ac:dyDescent="0.2">
      <c r="BJ3118" s="201"/>
    </row>
    <row r="3119" spans="62:62" x14ac:dyDescent="0.2">
      <c r="BJ3119" s="201"/>
    </row>
    <row r="3120" spans="62:62" x14ac:dyDescent="0.2">
      <c r="BJ3120" s="201"/>
    </row>
    <row r="3121" spans="62:62" x14ac:dyDescent="0.2">
      <c r="BJ3121" s="201"/>
    </row>
    <row r="3122" spans="62:62" x14ac:dyDescent="0.2">
      <c r="BJ3122" s="201"/>
    </row>
    <row r="3123" spans="62:62" x14ac:dyDescent="0.2">
      <c r="BJ3123" s="201"/>
    </row>
    <row r="3124" spans="62:62" x14ac:dyDescent="0.2">
      <c r="BJ3124" s="201"/>
    </row>
    <row r="3125" spans="62:62" x14ac:dyDescent="0.2">
      <c r="BJ3125" s="201"/>
    </row>
    <row r="3126" spans="62:62" x14ac:dyDescent="0.2">
      <c r="BJ3126" s="201"/>
    </row>
    <row r="3127" spans="62:62" x14ac:dyDescent="0.2">
      <c r="BJ3127" s="201"/>
    </row>
    <row r="3128" spans="62:62" x14ac:dyDescent="0.2">
      <c r="BJ3128" s="201"/>
    </row>
    <row r="3129" spans="62:62" x14ac:dyDescent="0.2">
      <c r="BJ3129" s="201"/>
    </row>
    <row r="3130" spans="62:62" x14ac:dyDescent="0.2">
      <c r="BJ3130" s="201"/>
    </row>
    <row r="3131" spans="62:62" x14ac:dyDescent="0.2">
      <c r="BJ3131" s="201"/>
    </row>
    <row r="3132" spans="62:62" x14ac:dyDescent="0.2">
      <c r="BJ3132" s="201"/>
    </row>
    <row r="3133" spans="62:62" x14ac:dyDescent="0.2">
      <c r="BJ3133" s="201"/>
    </row>
    <row r="3134" spans="62:62" x14ac:dyDescent="0.2">
      <c r="BJ3134" s="201"/>
    </row>
    <row r="3135" spans="62:62" x14ac:dyDescent="0.2">
      <c r="BJ3135" s="201"/>
    </row>
    <row r="3136" spans="62:62" x14ac:dyDescent="0.2">
      <c r="BJ3136" s="201"/>
    </row>
    <row r="3137" spans="62:62" x14ac:dyDescent="0.2">
      <c r="BJ3137" s="201"/>
    </row>
    <row r="3138" spans="62:62" x14ac:dyDescent="0.2">
      <c r="BJ3138" s="201"/>
    </row>
    <row r="3139" spans="62:62" x14ac:dyDescent="0.2">
      <c r="BJ3139" s="201"/>
    </row>
    <row r="3140" spans="62:62" x14ac:dyDescent="0.2">
      <c r="BJ3140" s="201"/>
    </row>
    <row r="3141" spans="62:62" x14ac:dyDescent="0.2">
      <c r="BJ3141" s="201"/>
    </row>
    <row r="3142" spans="62:62" x14ac:dyDescent="0.2">
      <c r="BJ3142" s="201"/>
    </row>
    <row r="3143" spans="62:62" x14ac:dyDescent="0.2">
      <c r="BJ3143" s="201"/>
    </row>
    <row r="3144" spans="62:62" x14ac:dyDescent="0.2">
      <c r="BJ3144" s="201"/>
    </row>
    <row r="3145" spans="62:62" x14ac:dyDescent="0.2">
      <c r="BJ3145" s="201"/>
    </row>
    <row r="3146" spans="62:62" x14ac:dyDescent="0.2">
      <c r="BJ3146" s="201"/>
    </row>
    <row r="3147" spans="62:62" x14ac:dyDescent="0.2">
      <c r="BJ3147" s="201"/>
    </row>
    <row r="3148" spans="62:62" x14ac:dyDescent="0.2">
      <c r="BJ3148" s="201"/>
    </row>
    <row r="3149" spans="62:62" x14ac:dyDescent="0.2">
      <c r="BJ3149" s="201"/>
    </row>
    <row r="3150" spans="62:62" x14ac:dyDescent="0.2">
      <c r="BJ3150" s="201"/>
    </row>
    <row r="3151" spans="62:62" x14ac:dyDescent="0.2">
      <c r="BJ3151" s="201"/>
    </row>
    <row r="3152" spans="62:62" x14ac:dyDescent="0.2">
      <c r="BJ3152" s="201"/>
    </row>
    <row r="3153" spans="62:62" x14ac:dyDescent="0.2">
      <c r="BJ3153" s="201"/>
    </row>
    <row r="3154" spans="62:62" x14ac:dyDescent="0.2">
      <c r="BJ3154" s="201"/>
    </row>
    <row r="3155" spans="62:62" x14ac:dyDescent="0.2">
      <c r="BJ3155" s="201"/>
    </row>
    <row r="3156" spans="62:62" x14ac:dyDescent="0.2">
      <c r="BJ3156" s="201"/>
    </row>
    <row r="3157" spans="62:62" x14ac:dyDescent="0.2">
      <c r="BJ3157" s="201"/>
    </row>
    <row r="3158" spans="62:62" x14ac:dyDescent="0.2">
      <c r="BJ3158" s="201"/>
    </row>
    <row r="3159" spans="62:62" x14ac:dyDescent="0.2">
      <c r="BJ3159" s="201"/>
    </row>
    <row r="3160" spans="62:62" x14ac:dyDescent="0.2">
      <c r="BJ3160" s="201"/>
    </row>
    <row r="3161" spans="62:62" x14ac:dyDescent="0.2">
      <c r="BJ3161" s="201"/>
    </row>
    <row r="3162" spans="62:62" x14ac:dyDescent="0.2">
      <c r="BJ3162" s="201"/>
    </row>
    <row r="3163" spans="62:62" x14ac:dyDescent="0.2">
      <c r="BJ3163" s="201"/>
    </row>
    <row r="3164" spans="62:62" x14ac:dyDescent="0.2">
      <c r="BJ3164" s="201"/>
    </row>
    <row r="3165" spans="62:62" x14ac:dyDescent="0.2">
      <c r="BJ3165" s="201"/>
    </row>
    <row r="3166" spans="62:62" x14ac:dyDescent="0.2">
      <c r="BJ3166" s="201"/>
    </row>
    <row r="3167" spans="62:62" x14ac:dyDescent="0.2">
      <c r="BJ3167" s="201"/>
    </row>
    <row r="3168" spans="62:62" x14ac:dyDescent="0.2">
      <c r="BJ3168" s="201"/>
    </row>
    <row r="3169" spans="62:62" x14ac:dyDescent="0.2">
      <c r="BJ3169" s="201"/>
    </row>
    <row r="3170" spans="62:62" x14ac:dyDescent="0.2">
      <c r="BJ3170" s="201"/>
    </row>
    <row r="3171" spans="62:62" x14ac:dyDescent="0.2">
      <c r="BJ3171" s="201"/>
    </row>
    <row r="3172" spans="62:62" x14ac:dyDescent="0.2">
      <c r="BJ3172" s="201"/>
    </row>
    <row r="3173" spans="62:62" x14ac:dyDescent="0.2">
      <c r="BJ3173" s="201"/>
    </row>
    <row r="3174" spans="62:62" x14ac:dyDescent="0.2">
      <c r="BJ3174" s="201"/>
    </row>
    <row r="3175" spans="62:62" x14ac:dyDescent="0.2">
      <c r="BJ3175" s="201"/>
    </row>
    <row r="3176" spans="62:62" x14ac:dyDescent="0.2">
      <c r="BJ3176" s="201"/>
    </row>
    <row r="3177" spans="62:62" x14ac:dyDescent="0.2">
      <c r="BJ3177" s="201"/>
    </row>
    <row r="3178" spans="62:62" x14ac:dyDescent="0.2">
      <c r="BJ3178" s="201"/>
    </row>
    <row r="3179" spans="62:62" x14ac:dyDescent="0.2">
      <c r="BJ3179" s="201"/>
    </row>
    <row r="3180" spans="62:62" x14ac:dyDescent="0.2">
      <c r="BJ3180" s="201"/>
    </row>
    <row r="3181" spans="62:62" x14ac:dyDescent="0.2">
      <c r="BJ3181" s="201"/>
    </row>
    <row r="3182" spans="62:62" x14ac:dyDescent="0.2">
      <c r="BJ3182" s="201"/>
    </row>
    <row r="3183" spans="62:62" x14ac:dyDescent="0.2">
      <c r="BJ3183" s="201"/>
    </row>
    <row r="3184" spans="62:62" x14ac:dyDescent="0.2">
      <c r="BJ3184" s="201"/>
    </row>
    <row r="3185" spans="62:62" x14ac:dyDescent="0.2">
      <c r="BJ3185" s="201"/>
    </row>
    <row r="3186" spans="62:62" x14ac:dyDescent="0.2">
      <c r="BJ3186" s="201"/>
    </row>
    <row r="3187" spans="62:62" x14ac:dyDescent="0.2">
      <c r="BJ3187" s="201"/>
    </row>
    <row r="3188" spans="62:62" x14ac:dyDescent="0.2">
      <c r="BJ3188" s="201"/>
    </row>
    <row r="3189" spans="62:62" x14ac:dyDescent="0.2">
      <c r="BJ3189" s="201"/>
    </row>
    <row r="3190" spans="62:62" x14ac:dyDescent="0.2">
      <c r="BJ3190" s="201"/>
    </row>
    <row r="3191" spans="62:62" x14ac:dyDescent="0.2">
      <c r="BJ3191" s="201"/>
    </row>
    <row r="3192" spans="62:62" x14ac:dyDescent="0.2">
      <c r="BJ3192" s="201"/>
    </row>
    <row r="3193" spans="62:62" x14ac:dyDescent="0.2">
      <c r="BJ3193" s="201"/>
    </row>
    <row r="3194" spans="62:62" x14ac:dyDescent="0.2">
      <c r="BJ3194" s="201"/>
    </row>
    <row r="3195" spans="62:62" x14ac:dyDescent="0.2">
      <c r="BJ3195" s="201"/>
    </row>
    <row r="3196" spans="62:62" x14ac:dyDescent="0.2">
      <c r="BJ3196" s="201"/>
    </row>
    <row r="3197" spans="62:62" x14ac:dyDescent="0.2">
      <c r="BJ3197" s="201"/>
    </row>
    <row r="3198" spans="62:62" x14ac:dyDescent="0.2">
      <c r="BJ3198" s="201"/>
    </row>
    <row r="3199" spans="62:62" x14ac:dyDescent="0.2">
      <c r="BJ3199" s="201"/>
    </row>
    <row r="3200" spans="62:62" x14ac:dyDescent="0.2">
      <c r="BJ3200" s="201"/>
    </row>
    <row r="3201" spans="62:62" x14ac:dyDescent="0.2">
      <c r="BJ3201" s="201"/>
    </row>
    <row r="3202" spans="62:62" x14ac:dyDescent="0.2">
      <c r="BJ3202" s="201"/>
    </row>
    <row r="3203" spans="62:62" x14ac:dyDescent="0.2">
      <c r="BJ3203" s="201"/>
    </row>
    <row r="3204" spans="62:62" x14ac:dyDescent="0.2">
      <c r="BJ3204" s="201"/>
    </row>
    <row r="3205" spans="62:62" x14ac:dyDescent="0.2">
      <c r="BJ3205" s="201"/>
    </row>
    <row r="3206" spans="62:62" x14ac:dyDescent="0.2">
      <c r="BJ3206" s="201"/>
    </row>
    <row r="3207" spans="62:62" x14ac:dyDescent="0.2">
      <c r="BJ3207" s="201"/>
    </row>
    <row r="3208" spans="62:62" x14ac:dyDescent="0.2">
      <c r="BJ3208" s="201"/>
    </row>
    <row r="3209" spans="62:62" x14ac:dyDescent="0.2">
      <c r="BJ3209" s="201"/>
    </row>
    <row r="3210" spans="62:62" x14ac:dyDescent="0.2">
      <c r="BJ3210" s="201"/>
    </row>
    <row r="3211" spans="62:62" x14ac:dyDescent="0.2">
      <c r="BJ3211" s="201"/>
    </row>
    <row r="3212" spans="62:62" x14ac:dyDescent="0.2">
      <c r="BJ3212" s="201"/>
    </row>
    <row r="3213" spans="62:62" x14ac:dyDescent="0.2">
      <c r="BJ3213" s="201"/>
    </row>
    <row r="3214" spans="62:62" x14ac:dyDescent="0.2">
      <c r="BJ3214" s="201"/>
    </row>
    <row r="3215" spans="62:62" x14ac:dyDescent="0.2">
      <c r="BJ3215" s="201"/>
    </row>
    <row r="3216" spans="62:62" x14ac:dyDescent="0.2">
      <c r="BJ3216" s="201"/>
    </row>
    <row r="3217" spans="62:62" x14ac:dyDescent="0.2">
      <c r="BJ3217" s="201"/>
    </row>
    <row r="3218" spans="62:62" x14ac:dyDescent="0.2">
      <c r="BJ3218" s="201"/>
    </row>
    <row r="3219" spans="62:62" x14ac:dyDescent="0.2">
      <c r="BJ3219" s="201"/>
    </row>
    <row r="3220" spans="62:62" x14ac:dyDescent="0.2">
      <c r="BJ3220" s="201"/>
    </row>
    <row r="3221" spans="62:62" x14ac:dyDescent="0.2">
      <c r="BJ3221" s="201"/>
    </row>
    <row r="3222" spans="62:62" x14ac:dyDescent="0.2">
      <c r="BJ3222" s="201"/>
    </row>
    <row r="3223" spans="62:62" x14ac:dyDescent="0.2">
      <c r="BJ3223" s="201"/>
    </row>
    <row r="3224" spans="62:62" x14ac:dyDescent="0.2">
      <c r="BJ3224" s="201"/>
    </row>
    <row r="3225" spans="62:62" x14ac:dyDescent="0.2">
      <c r="BJ3225" s="201"/>
    </row>
    <row r="3226" spans="62:62" x14ac:dyDescent="0.2">
      <c r="BJ3226" s="201"/>
    </row>
    <row r="3227" spans="62:62" x14ac:dyDescent="0.2">
      <c r="BJ3227" s="201"/>
    </row>
    <row r="3228" spans="62:62" x14ac:dyDescent="0.2">
      <c r="BJ3228" s="201"/>
    </row>
    <row r="3229" spans="62:62" x14ac:dyDescent="0.2">
      <c r="BJ3229" s="201"/>
    </row>
    <row r="3230" spans="62:62" x14ac:dyDescent="0.2">
      <c r="BJ3230" s="201"/>
    </row>
    <row r="3231" spans="62:62" x14ac:dyDescent="0.2">
      <c r="BJ3231" s="201"/>
    </row>
    <row r="3232" spans="62:62" x14ac:dyDescent="0.2">
      <c r="BJ3232" s="201"/>
    </row>
    <row r="3233" spans="62:62" x14ac:dyDescent="0.2">
      <c r="BJ3233" s="201"/>
    </row>
    <row r="3234" spans="62:62" x14ac:dyDescent="0.2">
      <c r="BJ3234" s="201"/>
    </row>
    <row r="3235" spans="62:62" x14ac:dyDescent="0.2">
      <c r="BJ3235" s="201"/>
    </row>
    <row r="3236" spans="62:62" x14ac:dyDescent="0.2">
      <c r="BJ3236" s="201"/>
    </row>
    <row r="3237" spans="62:62" x14ac:dyDescent="0.2">
      <c r="BJ3237" s="201"/>
    </row>
    <row r="3238" spans="62:62" x14ac:dyDescent="0.2">
      <c r="BJ3238" s="201"/>
    </row>
    <row r="3239" spans="62:62" x14ac:dyDescent="0.2">
      <c r="BJ3239" s="201"/>
    </row>
    <row r="3240" spans="62:62" x14ac:dyDescent="0.2">
      <c r="BJ3240" s="201"/>
    </row>
    <row r="3241" spans="62:62" x14ac:dyDescent="0.2">
      <c r="BJ3241" s="201"/>
    </row>
    <row r="3242" spans="62:62" x14ac:dyDescent="0.2">
      <c r="BJ3242" s="201"/>
    </row>
    <row r="3243" spans="62:62" x14ac:dyDescent="0.2">
      <c r="BJ3243" s="201"/>
    </row>
    <row r="3244" spans="62:62" x14ac:dyDescent="0.2">
      <c r="BJ3244" s="201"/>
    </row>
    <row r="3245" spans="62:62" x14ac:dyDescent="0.2">
      <c r="BJ3245" s="201"/>
    </row>
    <row r="3246" spans="62:62" x14ac:dyDescent="0.2">
      <c r="BJ3246" s="201"/>
    </row>
    <row r="3247" spans="62:62" x14ac:dyDescent="0.2">
      <c r="BJ3247" s="201"/>
    </row>
    <row r="3248" spans="62:62" x14ac:dyDescent="0.2">
      <c r="BJ3248" s="201"/>
    </row>
    <row r="3249" spans="62:62" x14ac:dyDescent="0.2">
      <c r="BJ3249" s="201"/>
    </row>
    <row r="3250" spans="62:62" x14ac:dyDescent="0.2">
      <c r="BJ3250" s="201"/>
    </row>
    <row r="3251" spans="62:62" x14ac:dyDescent="0.2">
      <c r="BJ3251" s="201"/>
    </row>
    <row r="3252" spans="62:62" x14ac:dyDescent="0.2">
      <c r="BJ3252" s="201"/>
    </row>
    <row r="3253" spans="62:62" x14ac:dyDescent="0.2">
      <c r="BJ3253" s="201"/>
    </row>
    <row r="3254" spans="62:62" x14ac:dyDescent="0.2">
      <c r="BJ3254" s="201"/>
    </row>
    <row r="3255" spans="62:62" x14ac:dyDescent="0.2">
      <c r="BJ3255" s="201"/>
    </row>
    <row r="3256" spans="62:62" x14ac:dyDescent="0.2">
      <c r="BJ3256" s="201"/>
    </row>
    <row r="3257" spans="62:62" x14ac:dyDescent="0.2">
      <c r="BJ3257" s="201"/>
    </row>
    <row r="3258" spans="62:62" x14ac:dyDescent="0.2">
      <c r="BJ3258" s="201"/>
    </row>
    <row r="3259" spans="62:62" x14ac:dyDescent="0.2">
      <c r="BJ3259" s="201"/>
    </row>
    <row r="3260" spans="62:62" x14ac:dyDescent="0.2">
      <c r="BJ3260" s="201"/>
    </row>
    <row r="3261" spans="62:62" x14ac:dyDescent="0.2">
      <c r="BJ3261" s="201"/>
    </row>
    <row r="3262" spans="62:62" x14ac:dyDescent="0.2">
      <c r="BJ3262" s="201"/>
    </row>
    <row r="3263" spans="62:62" x14ac:dyDescent="0.2">
      <c r="BJ3263" s="201"/>
    </row>
    <row r="3264" spans="62:62" x14ac:dyDescent="0.2">
      <c r="BJ3264" s="201"/>
    </row>
    <row r="3265" spans="62:62" x14ac:dyDescent="0.2">
      <c r="BJ3265" s="201"/>
    </row>
    <row r="3266" spans="62:62" x14ac:dyDescent="0.2">
      <c r="BJ3266" s="201"/>
    </row>
    <row r="3267" spans="62:62" x14ac:dyDescent="0.2">
      <c r="BJ3267" s="201"/>
    </row>
    <row r="3268" spans="62:62" x14ac:dyDescent="0.2">
      <c r="BJ3268" s="201"/>
    </row>
    <row r="3269" spans="62:62" x14ac:dyDescent="0.2">
      <c r="BJ3269" s="201"/>
    </row>
    <row r="3270" spans="62:62" x14ac:dyDescent="0.2">
      <c r="BJ3270" s="201"/>
    </row>
    <row r="3271" spans="62:62" x14ac:dyDescent="0.2">
      <c r="BJ3271" s="201"/>
    </row>
    <row r="3272" spans="62:62" x14ac:dyDescent="0.2">
      <c r="BJ3272" s="201"/>
    </row>
    <row r="3273" spans="62:62" x14ac:dyDescent="0.2">
      <c r="BJ3273" s="201"/>
    </row>
    <row r="3274" spans="62:62" x14ac:dyDescent="0.2">
      <c r="BJ3274" s="201"/>
    </row>
    <row r="3275" spans="62:62" x14ac:dyDescent="0.2">
      <c r="BJ3275" s="201"/>
    </row>
    <row r="3276" spans="62:62" x14ac:dyDescent="0.2">
      <c r="BJ3276" s="201"/>
    </row>
    <row r="3277" spans="62:62" x14ac:dyDescent="0.2">
      <c r="BJ3277" s="201"/>
    </row>
    <row r="3278" spans="62:62" x14ac:dyDescent="0.2">
      <c r="BJ3278" s="201"/>
    </row>
    <row r="3279" spans="62:62" x14ac:dyDescent="0.2">
      <c r="BJ3279" s="201"/>
    </row>
    <row r="3280" spans="62:62" x14ac:dyDescent="0.2">
      <c r="BJ3280" s="201"/>
    </row>
    <row r="3281" spans="62:62" x14ac:dyDescent="0.2">
      <c r="BJ3281" s="201"/>
    </row>
    <row r="3282" spans="62:62" x14ac:dyDescent="0.2">
      <c r="BJ3282" s="201"/>
    </row>
    <row r="3283" spans="62:62" x14ac:dyDescent="0.2">
      <c r="BJ3283" s="201"/>
    </row>
    <row r="3284" spans="62:62" x14ac:dyDescent="0.2">
      <c r="BJ3284" s="201"/>
    </row>
    <row r="3285" spans="62:62" x14ac:dyDescent="0.2">
      <c r="BJ3285" s="201"/>
    </row>
    <row r="3286" spans="62:62" x14ac:dyDescent="0.2">
      <c r="BJ3286" s="201"/>
    </row>
    <row r="3287" spans="62:62" x14ac:dyDescent="0.2">
      <c r="BJ3287" s="201"/>
    </row>
    <row r="3288" spans="62:62" x14ac:dyDescent="0.2">
      <c r="BJ3288" s="201"/>
    </row>
    <row r="3289" spans="62:62" x14ac:dyDescent="0.2">
      <c r="BJ3289" s="201"/>
    </row>
    <row r="3290" spans="62:62" x14ac:dyDescent="0.2">
      <c r="BJ3290" s="201"/>
    </row>
    <row r="3291" spans="62:62" x14ac:dyDescent="0.2">
      <c r="BJ3291" s="201"/>
    </row>
    <row r="3292" spans="62:62" x14ac:dyDescent="0.2">
      <c r="BJ3292" s="201"/>
    </row>
    <row r="3293" spans="62:62" x14ac:dyDescent="0.2">
      <c r="BJ3293" s="201"/>
    </row>
    <row r="3294" spans="62:62" x14ac:dyDescent="0.2">
      <c r="BJ3294" s="201"/>
    </row>
    <row r="3295" spans="62:62" x14ac:dyDescent="0.2">
      <c r="BJ3295" s="201"/>
    </row>
    <row r="3296" spans="62:62" x14ac:dyDescent="0.2">
      <c r="BJ3296" s="201"/>
    </row>
    <row r="3297" spans="62:62" x14ac:dyDescent="0.2">
      <c r="BJ3297" s="201"/>
    </row>
    <row r="3298" spans="62:62" x14ac:dyDescent="0.2">
      <c r="BJ3298" s="201"/>
    </row>
    <row r="3299" spans="62:62" x14ac:dyDescent="0.2">
      <c r="BJ3299" s="201"/>
    </row>
    <row r="3300" spans="62:62" x14ac:dyDescent="0.2">
      <c r="BJ3300" s="201"/>
    </row>
    <row r="3301" spans="62:62" x14ac:dyDescent="0.2">
      <c r="BJ3301" s="201"/>
    </row>
    <row r="3302" spans="62:62" x14ac:dyDescent="0.2">
      <c r="BJ3302" s="201"/>
    </row>
    <row r="3303" spans="62:62" x14ac:dyDescent="0.2">
      <c r="BJ3303" s="201"/>
    </row>
    <row r="3304" spans="62:62" x14ac:dyDescent="0.2">
      <c r="BJ3304" s="201"/>
    </row>
    <row r="3305" spans="62:62" x14ac:dyDescent="0.2">
      <c r="BJ3305" s="201"/>
    </row>
    <row r="3306" spans="62:62" x14ac:dyDescent="0.2">
      <c r="BJ3306" s="201"/>
    </row>
    <row r="3307" spans="62:62" x14ac:dyDescent="0.2">
      <c r="BJ3307" s="201"/>
    </row>
    <row r="3308" spans="62:62" x14ac:dyDescent="0.2">
      <c r="BJ3308" s="201"/>
    </row>
    <row r="3309" spans="62:62" x14ac:dyDescent="0.2">
      <c r="BJ3309" s="201"/>
    </row>
    <row r="3310" spans="62:62" x14ac:dyDescent="0.2">
      <c r="BJ3310" s="201"/>
    </row>
    <row r="3311" spans="62:62" x14ac:dyDescent="0.2">
      <c r="BJ3311" s="201"/>
    </row>
    <row r="3312" spans="62:62" x14ac:dyDescent="0.2">
      <c r="BJ3312" s="201"/>
    </row>
    <row r="3313" spans="62:62" x14ac:dyDescent="0.2">
      <c r="BJ3313" s="201"/>
    </row>
    <row r="3314" spans="62:62" x14ac:dyDescent="0.2">
      <c r="BJ3314" s="201"/>
    </row>
    <row r="3315" spans="62:62" x14ac:dyDescent="0.2">
      <c r="BJ3315" s="201"/>
    </row>
    <row r="3316" spans="62:62" x14ac:dyDescent="0.2">
      <c r="BJ3316" s="201"/>
    </row>
    <row r="3317" spans="62:62" x14ac:dyDescent="0.2">
      <c r="BJ3317" s="201"/>
    </row>
    <row r="3318" spans="62:62" x14ac:dyDescent="0.2">
      <c r="BJ3318" s="201"/>
    </row>
    <row r="3319" spans="62:62" x14ac:dyDescent="0.2">
      <c r="BJ3319" s="201"/>
    </row>
    <row r="3320" spans="62:62" x14ac:dyDescent="0.2">
      <c r="BJ3320" s="201"/>
    </row>
    <row r="3321" spans="62:62" x14ac:dyDescent="0.2">
      <c r="BJ3321" s="201"/>
    </row>
    <row r="3322" spans="62:62" x14ac:dyDescent="0.2">
      <c r="BJ3322" s="201"/>
    </row>
    <row r="3323" spans="62:62" x14ac:dyDescent="0.2">
      <c r="BJ3323" s="201"/>
    </row>
    <row r="3324" spans="62:62" x14ac:dyDescent="0.2">
      <c r="BJ3324" s="201"/>
    </row>
    <row r="3325" spans="62:62" x14ac:dyDescent="0.2">
      <c r="BJ3325" s="201"/>
    </row>
    <row r="3326" spans="62:62" x14ac:dyDescent="0.2">
      <c r="BJ3326" s="201"/>
    </row>
    <row r="3327" spans="62:62" x14ac:dyDescent="0.2">
      <c r="BJ3327" s="201"/>
    </row>
    <row r="3328" spans="62:62" x14ac:dyDescent="0.2">
      <c r="BJ3328" s="201"/>
    </row>
    <row r="3329" spans="62:62" x14ac:dyDescent="0.2">
      <c r="BJ3329" s="201"/>
    </row>
    <row r="3330" spans="62:62" x14ac:dyDescent="0.2">
      <c r="BJ3330" s="201"/>
    </row>
    <row r="3331" spans="62:62" x14ac:dyDescent="0.2">
      <c r="BJ3331" s="201"/>
    </row>
    <row r="3332" spans="62:62" x14ac:dyDescent="0.2">
      <c r="BJ3332" s="201"/>
    </row>
    <row r="3333" spans="62:62" x14ac:dyDescent="0.2">
      <c r="BJ3333" s="201"/>
    </row>
    <row r="3334" spans="62:62" x14ac:dyDescent="0.2">
      <c r="BJ3334" s="201"/>
    </row>
    <row r="3335" spans="62:62" x14ac:dyDescent="0.2">
      <c r="BJ3335" s="201"/>
    </row>
    <row r="3336" spans="62:62" x14ac:dyDescent="0.2">
      <c r="BJ3336" s="201"/>
    </row>
    <row r="3337" spans="62:62" x14ac:dyDescent="0.2">
      <c r="BJ3337" s="201"/>
    </row>
    <row r="3338" spans="62:62" x14ac:dyDescent="0.2">
      <c r="BJ3338" s="201"/>
    </row>
    <row r="3339" spans="62:62" x14ac:dyDescent="0.2">
      <c r="BJ3339" s="201"/>
    </row>
    <row r="3340" spans="62:62" x14ac:dyDescent="0.2">
      <c r="BJ3340" s="201"/>
    </row>
    <row r="3341" spans="62:62" x14ac:dyDescent="0.2">
      <c r="BJ3341" s="201"/>
    </row>
    <row r="3342" spans="62:62" x14ac:dyDescent="0.2">
      <c r="BJ3342" s="201"/>
    </row>
    <row r="3343" spans="62:62" x14ac:dyDescent="0.2">
      <c r="BJ3343" s="201"/>
    </row>
    <row r="3344" spans="62:62" x14ac:dyDescent="0.2">
      <c r="BJ3344" s="201"/>
    </row>
    <row r="3345" spans="62:62" x14ac:dyDescent="0.2">
      <c r="BJ3345" s="201"/>
    </row>
    <row r="3346" spans="62:62" x14ac:dyDescent="0.2">
      <c r="BJ3346" s="201"/>
    </row>
    <row r="3347" spans="62:62" x14ac:dyDescent="0.2">
      <c r="BJ3347" s="201"/>
    </row>
    <row r="3348" spans="62:62" x14ac:dyDescent="0.2">
      <c r="BJ3348" s="201"/>
    </row>
    <row r="3349" spans="62:62" x14ac:dyDescent="0.2">
      <c r="BJ3349" s="201"/>
    </row>
    <row r="3350" spans="62:62" x14ac:dyDescent="0.2">
      <c r="BJ3350" s="201"/>
    </row>
    <row r="3351" spans="62:62" x14ac:dyDescent="0.2">
      <c r="BJ3351" s="201"/>
    </row>
    <row r="3352" spans="62:62" x14ac:dyDescent="0.2">
      <c r="BJ3352" s="201"/>
    </row>
    <row r="3353" spans="62:62" x14ac:dyDescent="0.2">
      <c r="BJ3353" s="201"/>
    </row>
    <row r="3354" spans="62:62" x14ac:dyDescent="0.2">
      <c r="BJ3354" s="201"/>
    </row>
    <row r="3355" spans="62:62" x14ac:dyDescent="0.2">
      <c r="BJ3355" s="201"/>
    </row>
    <row r="3356" spans="62:62" x14ac:dyDescent="0.2">
      <c r="BJ3356" s="201"/>
    </row>
    <row r="3357" spans="62:62" x14ac:dyDescent="0.2">
      <c r="BJ3357" s="201"/>
    </row>
    <row r="3358" spans="62:62" x14ac:dyDescent="0.2">
      <c r="BJ3358" s="201"/>
    </row>
    <row r="3359" spans="62:62" x14ac:dyDescent="0.2">
      <c r="BJ3359" s="201"/>
    </row>
    <row r="3360" spans="62:62" x14ac:dyDescent="0.2">
      <c r="BJ3360" s="201"/>
    </row>
    <row r="3361" spans="62:62" x14ac:dyDescent="0.2">
      <c r="BJ3361" s="201"/>
    </row>
    <row r="3362" spans="62:62" x14ac:dyDescent="0.2">
      <c r="BJ3362" s="201"/>
    </row>
    <row r="3363" spans="62:62" x14ac:dyDescent="0.2">
      <c r="BJ3363" s="201"/>
    </row>
    <row r="3364" spans="62:62" x14ac:dyDescent="0.2">
      <c r="BJ3364" s="201"/>
    </row>
    <row r="3365" spans="62:62" x14ac:dyDescent="0.2">
      <c r="BJ3365" s="201"/>
    </row>
    <row r="3366" spans="62:62" x14ac:dyDescent="0.2">
      <c r="BJ3366" s="201"/>
    </row>
    <row r="3367" spans="62:62" x14ac:dyDescent="0.2">
      <c r="BJ3367" s="201"/>
    </row>
    <row r="3368" spans="62:62" x14ac:dyDescent="0.2">
      <c r="BJ3368" s="201"/>
    </row>
    <row r="3369" spans="62:62" x14ac:dyDescent="0.2">
      <c r="BJ3369" s="201"/>
    </row>
    <row r="3370" spans="62:62" x14ac:dyDescent="0.2">
      <c r="BJ3370" s="201"/>
    </row>
    <row r="3371" spans="62:62" x14ac:dyDescent="0.2">
      <c r="BJ3371" s="201"/>
    </row>
    <row r="3372" spans="62:62" x14ac:dyDescent="0.2">
      <c r="BJ3372" s="201"/>
    </row>
    <row r="3373" spans="62:62" x14ac:dyDescent="0.2">
      <c r="BJ3373" s="201"/>
    </row>
    <row r="3374" spans="62:62" x14ac:dyDescent="0.2">
      <c r="BJ3374" s="201"/>
    </row>
    <row r="3375" spans="62:62" x14ac:dyDescent="0.2">
      <c r="BJ3375" s="201"/>
    </row>
    <row r="3376" spans="62:62" x14ac:dyDescent="0.2">
      <c r="BJ3376" s="201"/>
    </row>
    <row r="3377" spans="62:62" x14ac:dyDescent="0.2">
      <c r="BJ3377" s="201"/>
    </row>
    <row r="3378" spans="62:62" x14ac:dyDescent="0.2">
      <c r="BJ3378" s="201"/>
    </row>
    <row r="3379" spans="62:62" x14ac:dyDescent="0.2">
      <c r="BJ3379" s="201"/>
    </row>
    <row r="3380" spans="62:62" x14ac:dyDescent="0.2">
      <c r="BJ3380" s="201"/>
    </row>
    <row r="3381" spans="62:62" x14ac:dyDescent="0.2">
      <c r="BJ3381" s="201"/>
    </row>
    <row r="3382" spans="62:62" x14ac:dyDescent="0.2">
      <c r="BJ3382" s="201"/>
    </row>
    <row r="3383" spans="62:62" x14ac:dyDescent="0.2">
      <c r="BJ3383" s="201"/>
    </row>
    <row r="3384" spans="62:62" x14ac:dyDescent="0.2">
      <c r="BJ3384" s="201"/>
    </row>
    <row r="3385" spans="62:62" x14ac:dyDescent="0.2">
      <c r="BJ3385" s="201"/>
    </row>
    <row r="3386" spans="62:62" x14ac:dyDescent="0.2">
      <c r="BJ3386" s="201"/>
    </row>
    <row r="3387" spans="62:62" x14ac:dyDescent="0.2">
      <c r="BJ3387" s="201"/>
    </row>
    <row r="3388" spans="62:62" x14ac:dyDescent="0.2">
      <c r="BJ3388" s="201"/>
    </row>
    <row r="3389" spans="62:62" x14ac:dyDescent="0.2">
      <c r="BJ3389" s="201"/>
    </row>
    <row r="3390" spans="62:62" x14ac:dyDescent="0.2">
      <c r="BJ3390" s="201"/>
    </row>
    <row r="3391" spans="62:62" x14ac:dyDescent="0.2">
      <c r="BJ3391" s="201"/>
    </row>
    <row r="3392" spans="62:62" x14ac:dyDescent="0.2">
      <c r="BJ3392" s="201"/>
    </row>
    <row r="3393" spans="62:62" x14ac:dyDescent="0.2">
      <c r="BJ3393" s="201"/>
    </row>
    <row r="3394" spans="62:62" x14ac:dyDescent="0.2">
      <c r="BJ3394" s="201"/>
    </row>
    <row r="3395" spans="62:62" x14ac:dyDescent="0.2">
      <c r="BJ3395" s="201"/>
    </row>
    <row r="3396" spans="62:62" x14ac:dyDescent="0.2">
      <c r="BJ3396" s="201"/>
    </row>
    <row r="3397" spans="62:62" x14ac:dyDescent="0.2">
      <c r="BJ3397" s="201"/>
    </row>
    <row r="3398" spans="62:62" x14ac:dyDescent="0.2">
      <c r="BJ3398" s="201"/>
    </row>
    <row r="3399" spans="62:62" x14ac:dyDescent="0.2">
      <c r="BJ3399" s="201"/>
    </row>
    <row r="3400" spans="62:62" x14ac:dyDescent="0.2">
      <c r="BJ3400" s="201"/>
    </row>
    <row r="3401" spans="62:62" x14ac:dyDescent="0.2">
      <c r="BJ3401" s="201"/>
    </row>
    <row r="3402" spans="62:62" x14ac:dyDescent="0.2">
      <c r="BJ3402" s="201"/>
    </row>
    <row r="3403" spans="62:62" x14ac:dyDescent="0.2">
      <c r="BJ3403" s="201"/>
    </row>
    <row r="3404" spans="62:62" x14ac:dyDescent="0.2">
      <c r="BJ3404" s="201"/>
    </row>
    <row r="3405" spans="62:62" x14ac:dyDescent="0.2">
      <c r="BJ3405" s="201"/>
    </row>
    <row r="3406" spans="62:62" x14ac:dyDescent="0.2">
      <c r="BJ3406" s="201"/>
    </row>
    <row r="3407" spans="62:62" x14ac:dyDescent="0.2">
      <c r="BJ3407" s="201"/>
    </row>
    <row r="3408" spans="62:62" x14ac:dyDescent="0.2">
      <c r="BJ3408" s="201"/>
    </row>
    <row r="3409" spans="62:62" x14ac:dyDescent="0.2">
      <c r="BJ3409" s="201"/>
    </row>
    <row r="3410" spans="62:62" x14ac:dyDescent="0.2">
      <c r="BJ3410" s="201"/>
    </row>
    <row r="3411" spans="62:62" x14ac:dyDescent="0.2">
      <c r="BJ3411" s="201"/>
    </row>
    <row r="3412" spans="62:62" x14ac:dyDescent="0.2">
      <c r="BJ3412" s="201"/>
    </row>
    <row r="3413" spans="62:62" x14ac:dyDescent="0.2">
      <c r="BJ3413" s="201"/>
    </row>
    <row r="3414" spans="62:62" x14ac:dyDescent="0.2">
      <c r="BJ3414" s="201"/>
    </row>
    <row r="3415" spans="62:62" x14ac:dyDescent="0.2">
      <c r="BJ3415" s="201"/>
    </row>
    <row r="3416" spans="62:62" x14ac:dyDescent="0.2">
      <c r="BJ3416" s="201"/>
    </row>
    <row r="3417" spans="62:62" x14ac:dyDescent="0.2">
      <c r="BJ3417" s="201"/>
    </row>
    <row r="3418" spans="62:62" x14ac:dyDescent="0.2">
      <c r="BJ3418" s="201"/>
    </row>
    <row r="3419" spans="62:62" x14ac:dyDescent="0.2">
      <c r="BJ3419" s="201"/>
    </row>
    <row r="3420" spans="62:62" x14ac:dyDescent="0.2">
      <c r="BJ3420" s="201"/>
    </row>
    <row r="3421" spans="62:62" x14ac:dyDescent="0.2">
      <c r="BJ3421" s="201"/>
    </row>
    <row r="3422" spans="62:62" x14ac:dyDescent="0.2">
      <c r="BJ3422" s="201"/>
    </row>
    <row r="3423" spans="62:62" x14ac:dyDescent="0.2">
      <c r="BJ3423" s="201"/>
    </row>
    <row r="3424" spans="62:62" x14ac:dyDescent="0.2">
      <c r="BJ3424" s="201"/>
    </row>
    <row r="3425" spans="62:62" x14ac:dyDescent="0.2">
      <c r="BJ3425" s="201"/>
    </row>
    <row r="3426" spans="62:62" x14ac:dyDescent="0.2">
      <c r="BJ3426" s="201"/>
    </row>
    <row r="3427" spans="62:62" x14ac:dyDescent="0.2">
      <c r="BJ3427" s="201"/>
    </row>
    <row r="3428" spans="62:62" x14ac:dyDescent="0.2">
      <c r="BJ3428" s="201"/>
    </row>
    <row r="3429" spans="62:62" x14ac:dyDescent="0.2">
      <c r="BJ3429" s="201"/>
    </row>
    <row r="3430" spans="62:62" x14ac:dyDescent="0.2">
      <c r="BJ3430" s="201"/>
    </row>
    <row r="3431" spans="62:62" x14ac:dyDescent="0.2">
      <c r="BJ3431" s="201"/>
    </row>
    <row r="3432" spans="62:62" x14ac:dyDescent="0.2">
      <c r="BJ3432" s="201"/>
    </row>
    <row r="3433" spans="62:62" x14ac:dyDescent="0.2">
      <c r="BJ3433" s="201"/>
    </row>
    <row r="3434" spans="62:62" x14ac:dyDescent="0.2">
      <c r="BJ3434" s="201"/>
    </row>
    <row r="3435" spans="62:62" x14ac:dyDescent="0.2">
      <c r="BJ3435" s="201"/>
    </row>
    <row r="3436" spans="62:62" x14ac:dyDescent="0.2">
      <c r="BJ3436" s="201"/>
    </row>
    <row r="3437" spans="62:62" x14ac:dyDescent="0.2">
      <c r="BJ3437" s="201"/>
    </row>
    <row r="3438" spans="62:62" x14ac:dyDescent="0.2">
      <c r="BJ3438" s="201"/>
    </row>
    <row r="3439" spans="62:62" x14ac:dyDescent="0.2">
      <c r="BJ3439" s="201"/>
    </row>
    <row r="3440" spans="62:62" x14ac:dyDescent="0.2">
      <c r="BJ3440" s="201"/>
    </row>
    <row r="3441" spans="62:62" x14ac:dyDescent="0.2">
      <c r="BJ3441" s="201"/>
    </row>
    <row r="3442" spans="62:62" x14ac:dyDescent="0.2">
      <c r="BJ3442" s="201"/>
    </row>
    <row r="3443" spans="62:62" x14ac:dyDescent="0.2">
      <c r="BJ3443" s="201"/>
    </row>
    <row r="3444" spans="62:62" x14ac:dyDescent="0.2">
      <c r="BJ3444" s="201"/>
    </row>
    <row r="3445" spans="62:62" x14ac:dyDescent="0.2">
      <c r="BJ3445" s="201"/>
    </row>
    <row r="3446" spans="62:62" x14ac:dyDescent="0.2">
      <c r="BJ3446" s="201"/>
    </row>
    <row r="3447" spans="62:62" x14ac:dyDescent="0.2">
      <c r="BJ3447" s="201"/>
    </row>
    <row r="3448" spans="62:62" x14ac:dyDescent="0.2">
      <c r="BJ3448" s="201"/>
    </row>
    <row r="3449" spans="62:62" x14ac:dyDescent="0.2">
      <c r="BJ3449" s="201"/>
    </row>
    <row r="3450" spans="62:62" x14ac:dyDescent="0.2">
      <c r="BJ3450" s="201"/>
    </row>
    <row r="3451" spans="62:62" x14ac:dyDescent="0.2">
      <c r="BJ3451" s="201"/>
    </row>
    <row r="3452" spans="62:62" x14ac:dyDescent="0.2">
      <c r="BJ3452" s="201"/>
    </row>
    <row r="3453" spans="62:62" x14ac:dyDescent="0.2">
      <c r="BJ3453" s="201"/>
    </row>
    <row r="3454" spans="62:62" x14ac:dyDescent="0.2">
      <c r="BJ3454" s="201"/>
    </row>
    <row r="3455" spans="62:62" x14ac:dyDescent="0.2">
      <c r="BJ3455" s="201"/>
    </row>
    <row r="3456" spans="62:62" x14ac:dyDescent="0.2">
      <c r="BJ3456" s="201"/>
    </row>
    <row r="3457" spans="62:62" x14ac:dyDescent="0.2">
      <c r="BJ3457" s="201"/>
    </row>
    <row r="3458" spans="62:62" x14ac:dyDescent="0.2">
      <c r="BJ3458" s="201"/>
    </row>
    <row r="3459" spans="62:62" x14ac:dyDescent="0.2">
      <c r="BJ3459" s="201"/>
    </row>
    <row r="3460" spans="62:62" x14ac:dyDescent="0.2">
      <c r="BJ3460" s="201"/>
    </row>
    <row r="3461" spans="62:62" x14ac:dyDescent="0.2">
      <c r="BJ3461" s="201"/>
    </row>
    <row r="3462" spans="62:62" x14ac:dyDescent="0.2">
      <c r="BJ3462" s="201"/>
    </row>
    <row r="3463" spans="62:62" x14ac:dyDescent="0.2">
      <c r="BJ3463" s="201"/>
    </row>
    <row r="3464" spans="62:62" x14ac:dyDescent="0.2">
      <c r="BJ3464" s="201"/>
    </row>
    <row r="3465" spans="62:62" x14ac:dyDescent="0.2">
      <c r="BJ3465" s="201"/>
    </row>
    <row r="3466" spans="62:62" x14ac:dyDescent="0.2">
      <c r="BJ3466" s="201"/>
    </row>
    <row r="3467" spans="62:62" x14ac:dyDescent="0.2">
      <c r="BJ3467" s="201"/>
    </row>
    <row r="3468" spans="62:62" x14ac:dyDescent="0.2">
      <c r="BJ3468" s="201"/>
    </row>
    <row r="3469" spans="62:62" x14ac:dyDescent="0.2">
      <c r="BJ3469" s="201"/>
    </row>
    <row r="3470" spans="62:62" x14ac:dyDescent="0.2">
      <c r="BJ3470" s="201"/>
    </row>
    <row r="3471" spans="62:62" x14ac:dyDescent="0.2">
      <c r="BJ3471" s="201"/>
    </row>
    <row r="3472" spans="62:62" x14ac:dyDescent="0.2">
      <c r="BJ3472" s="201"/>
    </row>
    <row r="3473" spans="62:62" x14ac:dyDescent="0.2">
      <c r="BJ3473" s="201"/>
    </row>
    <row r="3474" spans="62:62" x14ac:dyDescent="0.2">
      <c r="BJ3474" s="201"/>
    </row>
    <row r="3475" spans="62:62" x14ac:dyDescent="0.2">
      <c r="BJ3475" s="201"/>
    </row>
    <row r="3476" spans="62:62" x14ac:dyDescent="0.2">
      <c r="BJ3476" s="201"/>
    </row>
    <row r="3477" spans="62:62" x14ac:dyDescent="0.2">
      <c r="BJ3477" s="201"/>
    </row>
    <row r="3478" spans="62:62" x14ac:dyDescent="0.2">
      <c r="BJ3478" s="201"/>
    </row>
    <row r="3479" spans="62:62" x14ac:dyDescent="0.2">
      <c r="BJ3479" s="201"/>
    </row>
    <row r="3480" spans="62:62" x14ac:dyDescent="0.2">
      <c r="BJ3480" s="201"/>
    </row>
    <row r="3481" spans="62:62" x14ac:dyDescent="0.2">
      <c r="BJ3481" s="201"/>
    </row>
    <row r="3482" spans="62:62" x14ac:dyDescent="0.2">
      <c r="BJ3482" s="201"/>
    </row>
    <row r="3483" spans="62:62" x14ac:dyDescent="0.2">
      <c r="BJ3483" s="201"/>
    </row>
    <row r="3484" spans="62:62" x14ac:dyDescent="0.2">
      <c r="BJ3484" s="201"/>
    </row>
    <row r="3485" spans="62:62" x14ac:dyDescent="0.2">
      <c r="BJ3485" s="201"/>
    </row>
    <row r="3486" spans="62:62" x14ac:dyDescent="0.2">
      <c r="BJ3486" s="201"/>
    </row>
    <row r="3487" spans="62:62" x14ac:dyDescent="0.2">
      <c r="BJ3487" s="201"/>
    </row>
    <row r="3488" spans="62:62" x14ac:dyDescent="0.2">
      <c r="BJ3488" s="201"/>
    </row>
    <row r="3489" spans="62:62" x14ac:dyDescent="0.2">
      <c r="BJ3489" s="201"/>
    </row>
    <row r="3490" spans="62:62" x14ac:dyDescent="0.2">
      <c r="BJ3490" s="201"/>
    </row>
    <row r="3491" spans="62:62" x14ac:dyDescent="0.2">
      <c r="BJ3491" s="201"/>
    </row>
    <row r="3492" spans="62:62" x14ac:dyDescent="0.2">
      <c r="BJ3492" s="201"/>
    </row>
    <row r="3493" spans="62:62" x14ac:dyDescent="0.2">
      <c r="BJ3493" s="201"/>
    </row>
    <row r="3494" spans="62:62" x14ac:dyDescent="0.2">
      <c r="BJ3494" s="201"/>
    </row>
    <row r="3495" spans="62:62" x14ac:dyDescent="0.2">
      <c r="BJ3495" s="201"/>
    </row>
    <row r="3496" spans="62:62" x14ac:dyDescent="0.2">
      <c r="BJ3496" s="201"/>
    </row>
    <row r="3497" spans="62:62" x14ac:dyDescent="0.2">
      <c r="BJ3497" s="201"/>
    </row>
    <row r="3498" spans="62:62" x14ac:dyDescent="0.2">
      <c r="BJ3498" s="201"/>
    </row>
    <row r="3499" spans="62:62" x14ac:dyDescent="0.2">
      <c r="BJ3499" s="201"/>
    </row>
    <row r="3500" spans="62:62" x14ac:dyDescent="0.2">
      <c r="BJ3500" s="201"/>
    </row>
    <row r="3501" spans="62:62" x14ac:dyDescent="0.2">
      <c r="BJ3501" s="201"/>
    </row>
    <row r="3502" spans="62:62" x14ac:dyDescent="0.2">
      <c r="BJ3502" s="201"/>
    </row>
    <row r="3503" spans="62:62" x14ac:dyDescent="0.2">
      <c r="BJ3503" s="201"/>
    </row>
    <row r="3504" spans="62:62" x14ac:dyDescent="0.2">
      <c r="BJ3504" s="201"/>
    </row>
    <row r="3505" spans="62:62" x14ac:dyDescent="0.2">
      <c r="BJ3505" s="201"/>
    </row>
    <row r="3506" spans="62:62" x14ac:dyDescent="0.2">
      <c r="BJ3506" s="201"/>
    </row>
    <row r="3507" spans="62:62" x14ac:dyDescent="0.2">
      <c r="BJ3507" s="201"/>
    </row>
    <row r="3508" spans="62:62" x14ac:dyDescent="0.2">
      <c r="BJ3508" s="201"/>
    </row>
    <row r="3509" spans="62:62" x14ac:dyDescent="0.2">
      <c r="BJ3509" s="201"/>
    </row>
    <row r="3510" spans="62:62" x14ac:dyDescent="0.2">
      <c r="BJ3510" s="201"/>
    </row>
    <row r="3511" spans="62:62" x14ac:dyDescent="0.2">
      <c r="BJ3511" s="201"/>
    </row>
    <row r="3512" spans="62:62" x14ac:dyDescent="0.2">
      <c r="BJ3512" s="201"/>
    </row>
    <row r="3513" spans="62:62" x14ac:dyDescent="0.2">
      <c r="BJ3513" s="201"/>
    </row>
    <row r="3514" spans="62:62" x14ac:dyDescent="0.2">
      <c r="BJ3514" s="201"/>
    </row>
    <row r="3515" spans="62:62" x14ac:dyDescent="0.2">
      <c r="BJ3515" s="201"/>
    </row>
    <row r="3516" spans="62:62" x14ac:dyDescent="0.2">
      <c r="BJ3516" s="201"/>
    </row>
    <row r="3517" spans="62:62" x14ac:dyDescent="0.2">
      <c r="BJ3517" s="201"/>
    </row>
    <row r="3518" spans="62:62" x14ac:dyDescent="0.2">
      <c r="BJ3518" s="201"/>
    </row>
    <row r="3519" spans="62:62" x14ac:dyDescent="0.2">
      <c r="BJ3519" s="201"/>
    </row>
    <row r="3520" spans="62:62" x14ac:dyDescent="0.2">
      <c r="BJ3520" s="201"/>
    </row>
    <row r="3521" spans="62:62" x14ac:dyDescent="0.2">
      <c r="BJ3521" s="201"/>
    </row>
    <row r="3522" spans="62:62" x14ac:dyDescent="0.2">
      <c r="BJ3522" s="201"/>
    </row>
    <row r="3523" spans="62:62" x14ac:dyDescent="0.2">
      <c r="BJ3523" s="201"/>
    </row>
    <row r="3524" spans="62:62" x14ac:dyDescent="0.2">
      <c r="BJ3524" s="201"/>
    </row>
    <row r="3525" spans="62:62" x14ac:dyDescent="0.2">
      <c r="BJ3525" s="201"/>
    </row>
    <row r="3526" spans="62:62" x14ac:dyDescent="0.2">
      <c r="BJ3526" s="201"/>
    </row>
    <row r="3527" spans="62:62" x14ac:dyDescent="0.2">
      <c r="BJ3527" s="201"/>
    </row>
    <row r="3528" spans="62:62" x14ac:dyDescent="0.2">
      <c r="BJ3528" s="201"/>
    </row>
    <row r="3529" spans="62:62" x14ac:dyDescent="0.2">
      <c r="BJ3529" s="201"/>
    </row>
    <row r="3530" spans="62:62" x14ac:dyDescent="0.2">
      <c r="BJ3530" s="201"/>
    </row>
    <row r="3531" spans="62:62" x14ac:dyDescent="0.2">
      <c r="BJ3531" s="201"/>
    </row>
    <row r="3532" spans="62:62" x14ac:dyDescent="0.2">
      <c r="BJ3532" s="201"/>
    </row>
    <row r="3533" spans="62:62" x14ac:dyDescent="0.2">
      <c r="BJ3533" s="201"/>
    </row>
    <row r="3534" spans="62:62" x14ac:dyDescent="0.2">
      <c r="BJ3534" s="201"/>
    </row>
    <row r="3535" spans="62:62" x14ac:dyDescent="0.2">
      <c r="BJ3535" s="201"/>
    </row>
    <row r="3536" spans="62:62" x14ac:dyDescent="0.2">
      <c r="BJ3536" s="201"/>
    </row>
    <row r="3537" spans="62:62" x14ac:dyDescent="0.2">
      <c r="BJ3537" s="201"/>
    </row>
    <row r="3538" spans="62:62" x14ac:dyDescent="0.2">
      <c r="BJ3538" s="201"/>
    </row>
    <row r="3539" spans="62:62" x14ac:dyDescent="0.2">
      <c r="BJ3539" s="201"/>
    </row>
    <row r="3540" spans="62:62" x14ac:dyDescent="0.2">
      <c r="BJ3540" s="201"/>
    </row>
    <row r="3541" spans="62:62" x14ac:dyDescent="0.2">
      <c r="BJ3541" s="201"/>
    </row>
    <row r="3542" spans="62:62" x14ac:dyDescent="0.2">
      <c r="BJ3542" s="201"/>
    </row>
    <row r="3543" spans="62:62" x14ac:dyDescent="0.2">
      <c r="BJ3543" s="201"/>
    </row>
    <row r="3544" spans="62:62" x14ac:dyDescent="0.2">
      <c r="BJ3544" s="201"/>
    </row>
    <row r="3545" spans="62:62" x14ac:dyDescent="0.2">
      <c r="BJ3545" s="201"/>
    </row>
    <row r="3546" spans="62:62" x14ac:dyDescent="0.2">
      <c r="BJ3546" s="201"/>
    </row>
    <row r="3547" spans="62:62" x14ac:dyDescent="0.2">
      <c r="BJ3547" s="201"/>
    </row>
    <row r="3548" spans="62:62" x14ac:dyDescent="0.2">
      <c r="BJ3548" s="201"/>
    </row>
    <row r="3549" spans="62:62" x14ac:dyDescent="0.2">
      <c r="BJ3549" s="201"/>
    </row>
    <row r="3550" spans="62:62" x14ac:dyDescent="0.2">
      <c r="BJ3550" s="201"/>
    </row>
    <row r="3551" spans="62:62" x14ac:dyDescent="0.2">
      <c r="BJ3551" s="201"/>
    </row>
    <row r="3552" spans="62:62" x14ac:dyDescent="0.2">
      <c r="BJ3552" s="201"/>
    </row>
    <row r="3553" spans="62:62" x14ac:dyDescent="0.2">
      <c r="BJ3553" s="201"/>
    </row>
    <row r="3554" spans="62:62" x14ac:dyDescent="0.2">
      <c r="BJ3554" s="201"/>
    </row>
    <row r="3555" spans="62:62" x14ac:dyDescent="0.2">
      <c r="BJ3555" s="201"/>
    </row>
    <row r="3556" spans="62:62" x14ac:dyDescent="0.2">
      <c r="BJ3556" s="201"/>
    </row>
    <row r="3557" spans="62:62" x14ac:dyDescent="0.2">
      <c r="BJ3557" s="201"/>
    </row>
    <row r="3558" spans="62:62" x14ac:dyDescent="0.2">
      <c r="BJ3558" s="201"/>
    </row>
    <row r="3559" spans="62:62" x14ac:dyDescent="0.2">
      <c r="BJ3559" s="201"/>
    </row>
    <row r="3560" spans="62:62" x14ac:dyDescent="0.2">
      <c r="BJ3560" s="201"/>
    </row>
    <row r="3561" spans="62:62" x14ac:dyDescent="0.2">
      <c r="BJ3561" s="201"/>
    </row>
    <row r="3562" spans="62:62" x14ac:dyDescent="0.2">
      <c r="BJ3562" s="201"/>
    </row>
    <row r="3563" spans="62:62" x14ac:dyDescent="0.2">
      <c r="BJ3563" s="201"/>
    </row>
    <row r="3564" spans="62:62" x14ac:dyDescent="0.2">
      <c r="BJ3564" s="201"/>
    </row>
    <row r="3565" spans="62:62" x14ac:dyDescent="0.2">
      <c r="BJ3565" s="201"/>
    </row>
    <row r="3566" spans="62:62" x14ac:dyDescent="0.2">
      <c r="BJ3566" s="201"/>
    </row>
    <row r="3567" spans="62:62" x14ac:dyDescent="0.2">
      <c r="BJ3567" s="201"/>
    </row>
    <row r="3568" spans="62:62" x14ac:dyDescent="0.2">
      <c r="BJ3568" s="201"/>
    </row>
    <row r="3569" spans="62:62" x14ac:dyDescent="0.2">
      <c r="BJ3569" s="201"/>
    </row>
    <row r="3570" spans="62:62" x14ac:dyDescent="0.2">
      <c r="BJ3570" s="201"/>
    </row>
    <row r="3571" spans="62:62" x14ac:dyDescent="0.2">
      <c r="BJ3571" s="201"/>
    </row>
    <row r="3572" spans="62:62" x14ac:dyDescent="0.2">
      <c r="BJ3572" s="201"/>
    </row>
    <row r="3573" spans="62:62" x14ac:dyDescent="0.2">
      <c r="BJ3573" s="201"/>
    </row>
    <row r="3574" spans="62:62" x14ac:dyDescent="0.2">
      <c r="BJ3574" s="201"/>
    </row>
    <row r="3575" spans="62:62" x14ac:dyDescent="0.2">
      <c r="BJ3575" s="201"/>
    </row>
    <row r="3576" spans="62:62" x14ac:dyDescent="0.2">
      <c r="BJ3576" s="201"/>
    </row>
    <row r="3577" spans="62:62" x14ac:dyDescent="0.2">
      <c r="BJ3577" s="201"/>
    </row>
    <row r="3578" spans="62:62" x14ac:dyDescent="0.2">
      <c r="BJ3578" s="201"/>
    </row>
    <row r="3579" spans="62:62" x14ac:dyDescent="0.2">
      <c r="BJ3579" s="201"/>
    </row>
    <row r="3580" spans="62:62" x14ac:dyDescent="0.2">
      <c r="BJ3580" s="201"/>
    </row>
    <row r="3581" spans="62:62" x14ac:dyDescent="0.2">
      <c r="BJ3581" s="201"/>
    </row>
    <row r="3582" spans="62:62" x14ac:dyDescent="0.2">
      <c r="BJ3582" s="201"/>
    </row>
    <row r="3583" spans="62:62" x14ac:dyDescent="0.2">
      <c r="BJ3583" s="201"/>
    </row>
    <row r="3584" spans="62:62" x14ac:dyDescent="0.2">
      <c r="BJ3584" s="201"/>
    </row>
    <row r="3585" spans="62:62" x14ac:dyDescent="0.2">
      <c r="BJ3585" s="201"/>
    </row>
    <row r="3586" spans="62:62" x14ac:dyDescent="0.2">
      <c r="BJ3586" s="201"/>
    </row>
    <row r="3587" spans="62:62" x14ac:dyDescent="0.2">
      <c r="BJ3587" s="201"/>
    </row>
    <row r="3588" spans="62:62" x14ac:dyDescent="0.2">
      <c r="BJ3588" s="201"/>
    </row>
    <row r="3589" spans="62:62" x14ac:dyDescent="0.2">
      <c r="BJ3589" s="201"/>
    </row>
    <row r="3590" spans="62:62" x14ac:dyDescent="0.2">
      <c r="BJ3590" s="201"/>
    </row>
    <row r="3591" spans="62:62" x14ac:dyDescent="0.2">
      <c r="BJ3591" s="201"/>
    </row>
    <row r="3592" spans="62:62" x14ac:dyDescent="0.2">
      <c r="BJ3592" s="201"/>
    </row>
    <row r="3593" spans="62:62" x14ac:dyDescent="0.2">
      <c r="BJ3593" s="201"/>
    </row>
    <row r="3594" spans="62:62" x14ac:dyDescent="0.2">
      <c r="BJ3594" s="201"/>
    </row>
    <row r="3595" spans="62:62" x14ac:dyDescent="0.2">
      <c r="BJ3595" s="201"/>
    </row>
    <row r="3596" spans="62:62" x14ac:dyDescent="0.2">
      <c r="BJ3596" s="201"/>
    </row>
    <row r="3597" spans="62:62" x14ac:dyDescent="0.2">
      <c r="BJ3597" s="201"/>
    </row>
    <row r="3598" spans="62:62" x14ac:dyDescent="0.2">
      <c r="BJ3598" s="201"/>
    </row>
    <row r="3599" spans="62:62" x14ac:dyDescent="0.2">
      <c r="BJ3599" s="201"/>
    </row>
    <row r="3600" spans="62:62" x14ac:dyDescent="0.2">
      <c r="BJ3600" s="201"/>
    </row>
    <row r="3601" spans="62:62" x14ac:dyDescent="0.2">
      <c r="BJ3601" s="201"/>
    </row>
    <row r="3602" spans="62:62" x14ac:dyDescent="0.2">
      <c r="BJ3602" s="201"/>
    </row>
    <row r="3603" spans="62:62" x14ac:dyDescent="0.2">
      <c r="BJ3603" s="201"/>
    </row>
    <row r="3604" spans="62:62" x14ac:dyDescent="0.2">
      <c r="BJ3604" s="201"/>
    </row>
    <row r="3605" spans="62:62" x14ac:dyDescent="0.2">
      <c r="BJ3605" s="201"/>
    </row>
    <row r="3606" spans="62:62" x14ac:dyDescent="0.2">
      <c r="BJ3606" s="201"/>
    </row>
    <row r="3607" spans="62:62" x14ac:dyDescent="0.2">
      <c r="BJ3607" s="201"/>
    </row>
    <row r="3608" spans="62:62" x14ac:dyDescent="0.2">
      <c r="BJ3608" s="201"/>
    </row>
    <row r="3609" spans="62:62" x14ac:dyDescent="0.2">
      <c r="BJ3609" s="201"/>
    </row>
    <row r="3610" spans="62:62" x14ac:dyDescent="0.2">
      <c r="BJ3610" s="201"/>
    </row>
    <row r="3611" spans="62:62" x14ac:dyDescent="0.2">
      <c r="BJ3611" s="201"/>
    </row>
    <row r="3612" spans="62:62" x14ac:dyDescent="0.2">
      <c r="BJ3612" s="201"/>
    </row>
    <row r="3613" spans="62:62" x14ac:dyDescent="0.2">
      <c r="BJ3613" s="201"/>
    </row>
    <row r="3614" spans="62:62" x14ac:dyDescent="0.2">
      <c r="BJ3614" s="201"/>
    </row>
    <row r="3615" spans="62:62" x14ac:dyDescent="0.2">
      <c r="BJ3615" s="201"/>
    </row>
    <row r="3616" spans="62:62" x14ac:dyDescent="0.2">
      <c r="BJ3616" s="201"/>
    </row>
    <row r="3617" spans="62:62" x14ac:dyDescent="0.2">
      <c r="BJ3617" s="201"/>
    </row>
    <row r="3618" spans="62:62" x14ac:dyDescent="0.2">
      <c r="BJ3618" s="201"/>
    </row>
    <row r="3619" spans="62:62" x14ac:dyDescent="0.2">
      <c r="BJ3619" s="201"/>
    </row>
    <row r="3620" spans="62:62" x14ac:dyDescent="0.2">
      <c r="BJ3620" s="201"/>
    </row>
    <row r="3621" spans="62:62" x14ac:dyDescent="0.2">
      <c r="BJ3621" s="201"/>
    </row>
    <row r="3622" spans="62:62" x14ac:dyDescent="0.2">
      <c r="BJ3622" s="201"/>
    </row>
    <row r="3623" spans="62:62" x14ac:dyDescent="0.2">
      <c r="BJ3623" s="201"/>
    </row>
    <row r="3624" spans="62:62" x14ac:dyDescent="0.2">
      <c r="BJ3624" s="201"/>
    </row>
    <row r="3625" spans="62:62" x14ac:dyDescent="0.2">
      <c r="BJ3625" s="201"/>
    </row>
    <row r="3626" spans="62:62" x14ac:dyDescent="0.2">
      <c r="BJ3626" s="201"/>
    </row>
    <row r="3627" spans="62:62" x14ac:dyDescent="0.2">
      <c r="BJ3627" s="201"/>
    </row>
    <row r="3628" spans="62:62" x14ac:dyDescent="0.2">
      <c r="BJ3628" s="201"/>
    </row>
    <row r="3629" spans="62:62" x14ac:dyDescent="0.2">
      <c r="BJ3629" s="201"/>
    </row>
    <row r="3630" spans="62:62" x14ac:dyDescent="0.2">
      <c r="BJ3630" s="201"/>
    </row>
    <row r="3631" spans="62:62" x14ac:dyDescent="0.2">
      <c r="BJ3631" s="201"/>
    </row>
    <row r="3632" spans="62:62" x14ac:dyDescent="0.2">
      <c r="BJ3632" s="201"/>
    </row>
    <row r="3633" spans="62:62" x14ac:dyDescent="0.2">
      <c r="BJ3633" s="201"/>
    </row>
    <row r="3634" spans="62:62" x14ac:dyDescent="0.2">
      <c r="BJ3634" s="201"/>
    </row>
    <row r="3635" spans="62:62" x14ac:dyDescent="0.2">
      <c r="BJ3635" s="201"/>
    </row>
    <row r="3636" spans="62:62" x14ac:dyDescent="0.2">
      <c r="BJ3636" s="201"/>
    </row>
    <row r="3637" spans="62:62" x14ac:dyDescent="0.2">
      <c r="BJ3637" s="201"/>
    </row>
    <row r="3638" spans="62:62" x14ac:dyDescent="0.2">
      <c r="BJ3638" s="201"/>
    </row>
    <row r="3639" spans="62:62" x14ac:dyDescent="0.2">
      <c r="BJ3639" s="201"/>
    </row>
    <row r="3640" spans="62:62" x14ac:dyDescent="0.2">
      <c r="BJ3640" s="201"/>
    </row>
    <row r="3641" spans="62:62" x14ac:dyDescent="0.2">
      <c r="BJ3641" s="201"/>
    </row>
    <row r="3642" spans="62:62" x14ac:dyDescent="0.2">
      <c r="BJ3642" s="201"/>
    </row>
    <row r="3643" spans="62:62" x14ac:dyDescent="0.2">
      <c r="BJ3643" s="201"/>
    </row>
    <row r="3644" spans="62:62" x14ac:dyDescent="0.2">
      <c r="BJ3644" s="201"/>
    </row>
    <row r="3645" spans="62:62" x14ac:dyDescent="0.2">
      <c r="BJ3645" s="201"/>
    </row>
    <row r="3646" spans="62:62" x14ac:dyDescent="0.2">
      <c r="BJ3646" s="201"/>
    </row>
    <row r="3647" spans="62:62" x14ac:dyDescent="0.2">
      <c r="BJ3647" s="201"/>
    </row>
    <row r="3648" spans="62:62" x14ac:dyDescent="0.2">
      <c r="BJ3648" s="201"/>
    </row>
    <row r="3649" spans="62:62" x14ac:dyDescent="0.2">
      <c r="BJ3649" s="201"/>
    </row>
    <row r="3650" spans="62:62" x14ac:dyDescent="0.2">
      <c r="BJ3650" s="201"/>
    </row>
    <row r="3651" spans="62:62" x14ac:dyDescent="0.2">
      <c r="BJ3651" s="201"/>
    </row>
    <row r="3652" spans="62:62" x14ac:dyDescent="0.2">
      <c r="BJ3652" s="201"/>
    </row>
    <row r="3653" spans="62:62" x14ac:dyDescent="0.2">
      <c r="BJ3653" s="201"/>
    </row>
    <row r="3654" spans="62:62" x14ac:dyDescent="0.2">
      <c r="BJ3654" s="201"/>
    </row>
    <row r="3655" spans="62:62" x14ac:dyDescent="0.2">
      <c r="BJ3655" s="201"/>
    </row>
    <row r="3656" spans="62:62" x14ac:dyDescent="0.2">
      <c r="BJ3656" s="201"/>
    </row>
    <row r="3657" spans="62:62" x14ac:dyDescent="0.2">
      <c r="BJ3657" s="201"/>
    </row>
    <row r="3658" spans="62:62" x14ac:dyDescent="0.2">
      <c r="BJ3658" s="201"/>
    </row>
    <row r="3659" spans="62:62" x14ac:dyDescent="0.2">
      <c r="BJ3659" s="201"/>
    </row>
    <row r="3660" spans="62:62" x14ac:dyDescent="0.2">
      <c r="BJ3660" s="201"/>
    </row>
    <row r="3661" spans="62:62" x14ac:dyDescent="0.2">
      <c r="BJ3661" s="201"/>
    </row>
    <row r="3662" spans="62:62" x14ac:dyDescent="0.2">
      <c r="BJ3662" s="201"/>
    </row>
    <row r="3663" spans="62:62" x14ac:dyDescent="0.2">
      <c r="BJ3663" s="201"/>
    </row>
    <row r="3664" spans="62:62" x14ac:dyDescent="0.2">
      <c r="BJ3664" s="201"/>
    </row>
    <row r="3665" spans="62:62" x14ac:dyDescent="0.2">
      <c r="BJ3665" s="201"/>
    </row>
    <row r="3666" spans="62:62" x14ac:dyDescent="0.2">
      <c r="BJ3666" s="201"/>
    </row>
    <row r="3667" spans="62:62" x14ac:dyDescent="0.2">
      <c r="BJ3667" s="201"/>
    </row>
    <row r="3668" spans="62:62" x14ac:dyDescent="0.2">
      <c r="BJ3668" s="201"/>
    </row>
    <row r="3669" spans="62:62" x14ac:dyDescent="0.2">
      <c r="BJ3669" s="201"/>
    </row>
    <row r="3670" spans="62:62" x14ac:dyDescent="0.2">
      <c r="BJ3670" s="201"/>
    </row>
    <row r="3671" spans="62:62" x14ac:dyDescent="0.2">
      <c r="BJ3671" s="201"/>
    </row>
    <row r="3672" spans="62:62" x14ac:dyDescent="0.2">
      <c r="BJ3672" s="201"/>
    </row>
    <row r="3673" spans="62:62" x14ac:dyDescent="0.2">
      <c r="BJ3673" s="201"/>
    </row>
    <row r="3674" spans="62:62" x14ac:dyDescent="0.2">
      <c r="BJ3674" s="201"/>
    </row>
    <row r="3675" spans="62:62" x14ac:dyDescent="0.2">
      <c r="BJ3675" s="201"/>
    </row>
    <row r="3676" spans="62:62" x14ac:dyDescent="0.2">
      <c r="BJ3676" s="201"/>
    </row>
    <row r="3677" spans="62:62" x14ac:dyDescent="0.2">
      <c r="BJ3677" s="201"/>
    </row>
    <row r="3678" spans="62:62" x14ac:dyDescent="0.2">
      <c r="BJ3678" s="201"/>
    </row>
    <row r="3679" spans="62:62" x14ac:dyDescent="0.2">
      <c r="BJ3679" s="201"/>
    </row>
    <row r="3680" spans="62:62" x14ac:dyDescent="0.2">
      <c r="BJ3680" s="201"/>
    </row>
    <row r="3681" spans="62:62" x14ac:dyDescent="0.2">
      <c r="BJ3681" s="201"/>
    </row>
    <row r="3682" spans="62:62" x14ac:dyDescent="0.2">
      <c r="BJ3682" s="201"/>
    </row>
    <row r="3683" spans="62:62" x14ac:dyDescent="0.2">
      <c r="BJ3683" s="201"/>
    </row>
    <row r="3684" spans="62:62" x14ac:dyDescent="0.2">
      <c r="BJ3684" s="201"/>
    </row>
    <row r="3685" spans="62:62" x14ac:dyDescent="0.2">
      <c r="BJ3685" s="201"/>
    </row>
    <row r="3686" spans="62:62" x14ac:dyDescent="0.2">
      <c r="BJ3686" s="201"/>
    </row>
    <row r="3687" spans="62:62" x14ac:dyDescent="0.2">
      <c r="BJ3687" s="201"/>
    </row>
    <row r="3688" spans="62:62" x14ac:dyDescent="0.2">
      <c r="BJ3688" s="201"/>
    </row>
    <row r="3689" spans="62:62" x14ac:dyDescent="0.2">
      <c r="BJ3689" s="201"/>
    </row>
    <row r="3690" spans="62:62" x14ac:dyDescent="0.2">
      <c r="BJ3690" s="201"/>
    </row>
    <row r="3691" spans="62:62" x14ac:dyDescent="0.2">
      <c r="BJ3691" s="201"/>
    </row>
    <row r="3692" spans="62:62" x14ac:dyDescent="0.2">
      <c r="BJ3692" s="201"/>
    </row>
    <row r="3693" spans="62:62" x14ac:dyDescent="0.2">
      <c r="BJ3693" s="201"/>
    </row>
    <row r="3694" spans="62:62" x14ac:dyDescent="0.2">
      <c r="BJ3694" s="201"/>
    </row>
    <row r="3695" spans="62:62" x14ac:dyDescent="0.2">
      <c r="BJ3695" s="201"/>
    </row>
    <row r="3696" spans="62:62" x14ac:dyDescent="0.2">
      <c r="BJ3696" s="201"/>
    </row>
    <row r="3697" spans="62:62" x14ac:dyDescent="0.2">
      <c r="BJ3697" s="201"/>
    </row>
    <row r="3698" spans="62:62" x14ac:dyDescent="0.2">
      <c r="BJ3698" s="201"/>
    </row>
    <row r="3699" spans="62:62" x14ac:dyDescent="0.2">
      <c r="BJ3699" s="201"/>
    </row>
    <row r="3700" spans="62:62" x14ac:dyDescent="0.2">
      <c r="BJ3700" s="201"/>
    </row>
    <row r="3701" spans="62:62" x14ac:dyDescent="0.2">
      <c r="BJ3701" s="201"/>
    </row>
    <row r="3702" spans="62:62" x14ac:dyDescent="0.2">
      <c r="BJ3702" s="201"/>
    </row>
    <row r="3703" spans="62:62" x14ac:dyDescent="0.2">
      <c r="BJ3703" s="201"/>
    </row>
    <row r="3704" spans="62:62" x14ac:dyDescent="0.2">
      <c r="BJ3704" s="201"/>
    </row>
    <row r="3705" spans="62:62" x14ac:dyDescent="0.2">
      <c r="BJ3705" s="201"/>
    </row>
    <row r="3706" spans="62:62" x14ac:dyDescent="0.2">
      <c r="BJ3706" s="201"/>
    </row>
    <row r="3707" spans="62:62" x14ac:dyDescent="0.2">
      <c r="BJ3707" s="201"/>
    </row>
    <row r="3708" spans="62:62" x14ac:dyDescent="0.2">
      <c r="BJ3708" s="201"/>
    </row>
    <row r="3709" spans="62:62" x14ac:dyDescent="0.2">
      <c r="BJ3709" s="201"/>
    </row>
    <row r="3710" spans="62:62" x14ac:dyDescent="0.2">
      <c r="BJ3710" s="201"/>
    </row>
    <row r="3711" spans="62:62" x14ac:dyDescent="0.2">
      <c r="BJ3711" s="201"/>
    </row>
    <row r="3712" spans="62:62" x14ac:dyDescent="0.2">
      <c r="BJ3712" s="201"/>
    </row>
    <row r="3713" spans="62:62" x14ac:dyDescent="0.2">
      <c r="BJ3713" s="201"/>
    </row>
    <row r="3714" spans="62:62" x14ac:dyDescent="0.2">
      <c r="BJ3714" s="201"/>
    </row>
    <row r="3715" spans="62:62" x14ac:dyDescent="0.2">
      <c r="BJ3715" s="201"/>
    </row>
    <row r="3716" spans="62:62" x14ac:dyDescent="0.2">
      <c r="BJ3716" s="201"/>
    </row>
    <row r="3717" spans="62:62" x14ac:dyDescent="0.2">
      <c r="BJ3717" s="201"/>
    </row>
    <row r="3718" spans="62:62" x14ac:dyDescent="0.2">
      <c r="BJ3718" s="201"/>
    </row>
    <row r="3719" spans="62:62" x14ac:dyDescent="0.2">
      <c r="BJ3719" s="201"/>
    </row>
    <row r="3720" spans="62:62" x14ac:dyDescent="0.2">
      <c r="BJ3720" s="201"/>
    </row>
    <row r="3721" spans="62:62" x14ac:dyDescent="0.2">
      <c r="BJ3721" s="201"/>
    </row>
    <row r="3722" spans="62:62" x14ac:dyDescent="0.2">
      <c r="BJ3722" s="201"/>
    </row>
    <row r="3723" spans="62:62" x14ac:dyDescent="0.2">
      <c r="BJ3723" s="201"/>
    </row>
    <row r="3724" spans="62:62" x14ac:dyDescent="0.2">
      <c r="BJ3724" s="201"/>
    </row>
    <row r="3725" spans="62:62" x14ac:dyDescent="0.2">
      <c r="BJ3725" s="201"/>
    </row>
    <row r="3726" spans="62:62" x14ac:dyDescent="0.2">
      <c r="BJ3726" s="201"/>
    </row>
    <row r="3727" spans="62:62" x14ac:dyDescent="0.2">
      <c r="BJ3727" s="201"/>
    </row>
    <row r="3728" spans="62:62" x14ac:dyDescent="0.2">
      <c r="BJ3728" s="201"/>
    </row>
    <row r="3729" spans="62:62" x14ac:dyDescent="0.2">
      <c r="BJ3729" s="201"/>
    </row>
    <row r="3730" spans="62:62" x14ac:dyDescent="0.2">
      <c r="BJ3730" s="201"/>
    </row>
    <row r="3731" spans="62:62" x14ac:dyDescent="0.2">
      <c r="BJ3731" s="201"/>
    </row>
    <row r="3732" spans="62:62" x14ac:dyDescent="0.2">
      <c r="BJ3732" s="201"/>
    </row>
    <row r="3733" spans="62:62" x14ac:dyDescent="0.2">
      <c r="BJ3733" s="201"/>
    </row>
    <row r="3734" spans="62:62" x14ac:dyDescent="0.2">
      <c r="BJ3734" s="201"/>
    </row>
    <row r="3735" spans="62:62" x14ac:dyDescent="0.2">
      <c r="BJ3735" s="201"/>
    </row>
    <row r="3736" spans="62:62" x14ac:dyDescent="0.2">
      <c r="BJ3736" s="201"/>
    </row>
    <row r="3737" spans="62:62" x14ac:dyDescent="0.2">
      <c r="BJ3737" s="201"/>
    </row>
    <row r="3738" spans="62:62" x14ac:dyDescent="0.2">
      <c r="BJ3738" s="201"/>
    </row>
    <row r="3739" spans="62:62" x14ac:dyDescent="0.2">
      <c r="BJ3739" s="201"/>
    </row>
    <row r="3740" spans="62:62" x14ac:dyDescent="0.2">
      <c r="BJ3740" s="201"/>
    </row>
    <row r="3741" spans="62:62" x14ac:dyDescent="0.2">
      <c r="BJ3741" s="201"/>
    </row>
    <row r="3742" spans="62:62" x14ac:dyDescent="0.2">
      <c r="BJ3742" s="201"/>
    </row>
    <row r="3743" spans="62:62" x14ac:dyDescent="0.2">
      <c r="BJ3743" s="201"/>
    </row>
    <row r="3744" spans="62:62" x14ac:dyDescent="0.2">
      <c r="BJ3744" s="201"/>
    </row>
    <row r="3745" spans="62:62" x14ac:dyDescent="0.2">
      <c r="BJ3745" s="201"/>
    </row>
    <row r="3746" spans="62:62" x14ac:dyDescent="0.2">
      <c r="BJ3746" s="201"/>
    </row>
    <row r="3747" spans="62:62" x14ac:dyDescent="0.2">
      <c r="BJ3747" s="201"/>
    </row>
    <row r="3748" spans="62:62" x14ac:dyDescent="0.2">
      <c r="BJ3748" s="201"/>
    </row>
    <row r="3749" spans="62:62" x14ac:dyDescent="0.2">
      <c r="BJ3749" s="201"/>
    </row>
    <row r="3750" spans="62:62" x14ac:dyDescent="0.2">
      <c r="BJ3750" s="201"/>
    </row>
    <row r="3751" spans="62:62" x14ac:dyDescent="0.2">
      <c r="BJ3751" s="201"/>
    </row>
    <row r="3752" spans="62:62" x14ac:dyDescent="0.2">
      <c r="BJ3752" s="201"/>
    </row>
    <row r="3753" spans="62:62" x14ac:dyDescent="0.2">
      <c r="BJ3753" s="201"/>
    </row>
    <row r="3754" spans="62:62" x14ac:dyDescent="0.2">
      <c r="BJ3754" s="201"/>
    </row>
    <row r="3755" spans="62:62" x14ac:dyDescent="0.2">
      <c r="BJ3755" s="201"/>
    </row>
    <row r="3756" spans="62:62" x14ac:dyDescent="0.2">
      <c r="BJ3756" s="201"/>
    </row>
    <row r="3757" spans="62:62" x14ac:dyDescent="0.2">
      <c r="BJ3757" s="201"/>
    </row>
    <row r="3758" spans="62:62" x14ac:dyDescent="0.2">
      <c r="BJ3758" s="201"/>
    </row>
    <row r="3759" spans="62:62" x14ac:dyDescent="0.2">
      <c r="BJ3759" s="201"/>
    </row>
    <row r="3760" spans="62:62" x14ac:dyDescent="0.2">
      <c r="BJ3760" s="201"/>
    </row>
    <row r="3761" spans="62:62" x14ac:dyDescent="0.2">
      <c r="BJ3761" s="201"/>
    </row>
    <row r="3762" spans="62:62" x14ac:dyDescent="0.2">
      <c r="BJ3762" s="201"/>
    </row>
    <row r="3763" spans="62:62" x14ac:dyDescent="0.2">
      <c r="BJ3763" s="201"/>
    </row>
    <row r="3764" spans="62:62" x14ac:dyDescent="0.2">
      <c r="BJ3764" s="201"/>
    </row>
    <row r="3765" spans="62:62" x14ac:dyDescent="0.2">
      <c r="BJ3765" s="201"/>
    </row>
    <row r="3766" spans="62:62" x14ac:dyDescent="0.2">
      <c r="BJ3766" s="201"/>
    </row>
    <row r="3767" spans="62:62" x14ac:dyDescent="0.2">
      <c r="BJ3767" s="201"/>
    </row>
    <row r="3768" spans="62:62" x14ac:dyDescent="0.2">
      <c r="BJ3768" s="201"/>
    </row>
    <row r="3769" spans="62:62" x14ac:dyDescent="0.2">
      <c r="BJ3769" s="201"/>
    </row>
    <row r="3770" spans="62:62" x14ac:dyDescent="0.2">
      <c r="BJ3770" s="201"/>
    </row>
    <row r="3771" spans="62:62" x14ac:dyDescent="0.2">
      <c r="BJ3771" s="201"/>
    </row>
    <row r="3772" spans="62:62" x14ac:dyDescent="0.2">
      <c r="BJ3772" s="201"/>
    </row>
    <row r="3773" spans="62:62" x14ac:dyDescent="0.2">
      <c r="BJ3773" s="201"/>
    </row>
    <row r="3774" spans="62:62" x14ac:dyDescent="0.2">
      <c r="BJ3774" s="201"/>
    </row>
    <row r="3775" spans="62:62" x14ac:dyDescent="0.2">
      <c r="BJ3775" s="201"/>
    </row>
    <row r="3776" spans="62:62" x14ac:dyDescent="0.2">
      <c r="BJ3776" s="201"/>
    </row>
    <row r="3777" spans="62:62" x14ac:dyDescent="0.2">
      <c r="BJ3777" s="201"/>
    </row>
    <row r="3778" spans="62:62" x14ac:dyDescent="0.2">
      <c r="BJ3778" s="201"/>
    </row>
    <row r="3779" spans="62:62" x14ac:dyDescent="0.2">
      <c r="BJ3779" s="201"/>
    </row>
    <row r="3780" spans="62:62" x14ac:dyDescent="0.2">
      <c r="BJ3780" s="201"/>
    </row>
    <row r="3781" spans="62:62" x14ac:dyDescent="0.2">
      <c r="BJ3781" s="201"/>
    </row>
    <row r="3782" spans="62:62" x14ac:dyDescent="0.2">
      <c r="BJ3782" s="201"/>
    </row>
    <row r="3783" spans="62:62" x14ac:dyDescent="0.2">
      <c r="BJ3783" s="201"/>
    </row>
    <row r="3784" spans="62:62" x14ac:dyDescent="0.2">
      <c r="BJ3784" s="201"/>
    </row>
    <row r="3785" spans="62:62" x14ac:dyDescent="0.2">
      <c r="BJ3785" s="201"/>
    </row>
    <row r="3786" spans="62:62" x14ac:dyDescent="0.2">
      <c r="BJ3786" s="201"/>
    </row>
    <row r="3787" spans="62:62" x14ac:dyDescent="0.2">
      <c r="BJ3787" s="201"/>
    </row>
    <row r="3788" spans="62:62" x14ac:dyDescent="0.2">
      <c r="BJ3788" s="201"/>
    </row>
    <row r="3789" spans="62:62" x14ac:dyDescent="0.2">
      <c r="BJ3789" s="201"/>
    </row>
    <row r="3790" spans="62:62" x14ac:dyDescent="0.2">
      <c r="BJ3790" s="201"/>
    </row>
    <row r="3791" spans="62:62" x14ac:dyDescent="0.2">
      <c r="BJ3791" s="201"/>
    </row>
    <row r="3792" spans="62:62" x14ac:dyDescent="0.2">
      <c r="BJ3792" s="201"/>
    </row>
    <row r="3793" spans="62:62" x14ac:dyDescent="0.2">
      <c r="BJ3793" s="201"/>
    </row>
    <row r="3794" spans="62:62" x14ac:dyDescent="0.2">
      <c r="BJ3794" s="201"/>
    </row>
    <row r="3795" spans="62:62" x14ac:dyDescent="0.2">
      <c r="BJ3795" s="201"/>
    </row>
    <row r="3796" spans="62:62" x14ac:dyDescent="0.2">
      <c r="BJ3796" s="201"/>
    </row>
    <row r="3797" spans="62:62" x14ac:dyDescent="0.2">
      <c r="BJ3797" s="201"/>
    </row>
    <row r="3798" spans="62:62" x14ac:dyDescent="0.2">
      <c r="BJ3798" s="201"/>
    </row>
    <row r="3799" spans="62:62" x14ac:dyDescent="0.2">
      <c r="BJ3799" s="201"/>
    </row>
    <row r="3800" spans="62:62" x14ac:dyDescent="0.2">
      <c r="BJ3800" s="201"/>
    </row>
    <row r="3801" spans="62:62" x14ac:dyDescent="0.2">
      <c r="BJ3801" s="201"/>
    </row>
    <row r="3802" spans="62:62" x14ac:dyDescent="0.2">
      <c r="BJ3802" s="201"/>
    </row>
    <row r="3803" spans="62:62" x14ac:dyDescent="0.2">
      <c r="BJ3803" s="201"/>
    </row>
    <row r="3804" spans="62:62" x14ac:dyDescent="0.2">
      <c r="BJ3804" s="201"/>
    </row>
    <row r="3805" spans="62:62" x14ac:dyDescent="0.2">
      <c r="BJ3805" s="201"/>
    </row>
    <row r="3806" spans="62:62" x14ac:dyDescent="0.2">
      <c r="BJ3806" s="201"/>
    </row>
    <row r="3807" spans="62:62" x14ac:dyDescent="0.2">
      <c r="BJ3807" s="201"/>
    </row>
    <row r="3808" spans="62:62" x14ac:dyDescent="0.2">
      <c r="BJ3808" s="201"/>
    </row>
    <row r="3809" spans="62:62" x14ac:dyDescent="0.2">
      <c r="BJ3809" s="201"/>
    </row>
    <row r="3810" spans="62:62" x14ac:dyDescent="0.2">
      <c r="BJ3810" s="201"/>
    </row>
    <row r="3811" spans="62:62" x14ac:dyDescent="0.2">
      <c r="BJ3811" s="201"/>
    </row>
    <row r="3812" spans="62:62" x14ac:dyDescent="0.2">
      <c r="BJ3812" s="201"/>
    </row>
    <row r="3813" spans="62:62" x14ac:dyDescent="0.2">
      <c r="BJ3813" s="201"/>
    </row>
    <row r="3814" spans="62:62" x14ac:dyDescent="0.2">
      <c r="BJ3814" s="201"/>
    </row>
    <row r="3815" spans="62:62" x14ac:dyDescent="0.2">
      <c r="BJ3815" s="201"/>
    </row>
    <row r="3816" spans="62:62" x14ac:dyDescent="0.2">
      <c r="BJ3816" s="201"/>
    </row>
    <row r="3817" spans="62:62" x14ac:dyDescent="0.2">
      <c r="BJ3817" s="201"/>
    </row>
    <row r="3818" spans="62:62" x14ac:dyDescent="0.2">
      <c r="BJ3818" s="201"/>
    </row>
    <row r="3819" spans="62:62" x14ac:dyDescent="0.2">
      <c r="BJ3819" s="201"/>
    </row>
    <row r="3820" spans="62:62" x14ac:dyDescent="0.2">
      <c r="BJ3820" s="201"/>
    </row>
    <row r="3821" spans="62:62" x14ac:dyDescent="0.2">
      <c r="BJ3821" s="201"/>
    </row>
    <row r="3822" spans="62:62" x14ac:dyDescent="0.2">
      <c r="BJ3822" s="201"/>
    </row>
    <row r="3823" spans="62:62" x14ac:dyDescent="0.2">
      <c r="BJ3823" s="201"/>
    </row>
    <row r="3824" spans="62:62" x14ac:dyDescent="0.2">
      <c r="BJ3824" s="201"/>
    </row>
    <row r="3825" spans="62:62" x14ac:dyDescent="0.2">
      <c r="BJ3825" s="201"/>
    </row>
    <row r="3826" spans="62:62" x14ac:dyDescent="0.2">
      <c r="BJ3826" s="201"/>
    </row>
    <row r="3827" spans="62:62" x14ac:dyDescent="0.2">
      <c r="BJ3827" s="201"/>
    </row>
    <row r="3828" spans="62:62" x14ac:dyDescent="0.2">
      <c r="BJ3828" s="201"/>
    </row>
    <row r="3829" spans="62:62" x14ac:dyDescent="0.2">
      <c r="BJ3829" s="201"/>
    </row>
    <row r="3830" spans="62:62" x14ac:dyDescent="0.2">
      <c r="BJ3830" s="201"/>
    </row>
    <row r="3831" spans="62:62" x14ac:dyDescent="0.2">
      <c r="BJ3831" s="201"/>
    </row>
    <row r="3832" spans="62:62" x14ac:dyDescent="0.2">
      <c r="BJ3832" s="201"/>
    </row>
    <row r="3833" spans="62:62" x14ac:dyDescent="0.2">
      <c r="BJ3833" s="201"/>
    </row>
    <row r="3834" spans="62:62" x14ac:dyDescent="0.2">
      <c r="BJ3834" s="201"/>
    </row>
    <row r="3835" spans="62:62" x14ac:dyDescent="0.2">
      <c r="BJ3835" s="201"/>
    </row>
    <row r="3836" spans="62:62" x14ac:dyDescent="0.2">
      <c r="BJ3836" s="201"/>
    </row>
    <row r="3837" spans="62:62" x14ac:dyDescent="0.2">
      <c r="BJ3837" s="201"/>
    </row>
    <row r="3838" spans="62:62" x14ac:dyDescent="0.2">
      <c r="BJ3838" s="201"/>
    </row>
    <row r="3839" spans="62:62" x14ac:dyDescent="0.2">
      <c r="BJ3839" s="201"/>
    </row>
    <row r="3840" spans="62:62" x14ac:dyDescent="0.2">
      <c r="BJ3840" s="201"/>
    </row>
    <row r="3841" spans="62:62" x14ac:dyDescent="0.2">
      <c r="BJ3841" s="201"/>
    </row>
    <row r="3842" spans="62:62" x14ac:dyDescent="0.2">
      <c r="BJ3842" s="201"/>
    </row>
    <row r="3843" spans="62:62" x14ac:dyDescent="0.2">
      <c r="BJ3843" s="201"/>
    </row>
    <row r="3844" spans="62:62" x14ac:dyDescent="0.2">
      <c r="BJ3844" s="201"/>
    </row>
    <row r="3845" spans="62:62" x14ac:dyDescent="0.2">
      <c r="BJ3845" s="201"/>
    </row>
    <row r="3846" spans="62:62" x14ac:dyDescent="0.2">
      <c r="BJ3846" s="201"/>
    </row>
    <row r="3847" spans="62:62" x14ac:dyDescent="0.2">
      <c r="BJ3847" s="201"/>
    </row>
    <row r="3848" spans="62:62" x14ac:dyDescent="0.2">
      <c r="BJ3848" s="201"/>
    </row>
    <row r="3849" spans="62:62" x14ac:dyDescent="0.2">
      <c r="BJ3849" s="201"/>
    </row>
    <row r="3850" spans="62:62" x14ac:dyDescent="0.2">
      <c r="BJ3850" s="201"/>
    </row>
    <row r="3851" spans="62:62" x14ac:dyDescent="0.2">
      <c r="BJ3851" s="201"/>
    </row>
    <row r="3852" spans="62:62" x14ac:dyDescent="0.2">
      <c r="BJ3852" s="201"/>
    </row>
    <row r="3853" spans="62:62" x14ac:dyDescent="0.2">
      <c r="BJ3853" s="201"/>
    </row>
    <row r="3854" spans="62:62" x14ac:dyDescent="0.2">
      <c r="BJ3854" s="201"/>
    </row>
    <row r="3855" spans="62:62" x14ac:dyDescent="0.2">
      <c r="BJ3855" s="201"/>
    </row>
    <row r="3856" spans="62:62" x14ac:dyDescent="0.2">
      <c r="BJ3856" s="201"/>
    </row>
    <row r="3857" spans="62:62" x14ac:dyDescent="0.2">
      <c r="BJ3857" s="201"/>
    </row>
    <row r="3858" spans="62:62" x14ac:dyDescent="0.2">
      <c r="BJ3858" s="201"/>
    </row>
    <row r="3859" spans="62:62" x14ac:dyDescent="0.2">
      <c r="BJ3859" s="201"/>
    </row>
    <row r="3860" spans="62:62" x14ac:dyDescent="0.2">
      <c r="BJ3860" s="201"/>
    </row>
    <row r="3861" spans="62:62" x14ac:dyDescent="0.2">
      <c r="BJ3861" s="201"/>
    </row>
    <row r="3862" spans="62:62" x14ac:dyDescent="0.2">
      <c r="BJ3862" s="201"/>
    </row>
    <row r="3863" spans="62:62" x14ac:dyDescent="0.2">
      <c r="BJ3863" s="201"/>
    </row>
    <row r="3864" spans="62:62" x14ac:dyDescent="0.2">
      <c r="BJ3864" s="201"/>
    </row>
    <row r="3865" spans="62:62" x14ac:dyDescent="0.2">
      <c r="BJ3865" s="201"/>
    </row>
    <row r="3866" spans="62:62" x14ac:dyDescent="0.2">
      <c r="BJ3866" s="201"/>
    </row>
    <row r="3867" spans="62:62" x14ac:dyDescent="0.2">
      <c r="BJ3867" s="201"/>
    </row>
    <row r="3868" spans="62:62" x14ac:dyDescent="0.2">
      <c r="BJ3868" s="201"/>
    </row>
    <row r="3869" spans="62:62" x14ac:dyDescent="0.2">
      <c r="BJ3869" s="201"/>
    </row>
    <row r="3870" spans="62:62" x14ac:dyDescent="0.2">
      <c r="BJ3870" s="201"/>
    </row>
    <row r="3871" spans="62:62" x14ac:dyDescent="0.2">
      <c r="BJ3871" s="201"/>
    </row>
    <row r="3872" spans="62:62" x14ac:dyDescent="0.2">
      <c r="BJ3872" s="201"/>
    </row>
    <row r="3873" spans="62:62" x14ac:dyDescent="0.2">
      <c r="BJ3873" s="201"/>
    </row>
    <row r="3874" spans="62:62" x14ac:dyDescent="0.2">
      <c r="BJ3874" s="201"/>
    </row>
    <row r="3875" spans="62:62" x14ac:dyDescent="0.2">
      <c r="BJ3875" s="201"/>
    </row>
    <row r="3876" spans="62:62" x14ac:dyDescent="0.2">
      <c r="BJ3876" s="201"/>
    </row>
    <row r="3877" spans="62:62" x14ac:dyDescent="0.2">
      <c r="BJ3877" s="201"/>
    </row>
    <row r="3878" spans="62:62" x14ac:dyDescent="0.2">
      <c r="BJ3878" s="201"/>
    </row>
    <row r="3879" spans="62:62" x14ac:dyDescent="0.2">
      <c r="BJ3879" s="201"/>
    </row>
    <row r="3880" spans="62:62" x14ac:dyDescent="0.2">
      <c r="BJ3880" s="201"/>
    </row>
    <row r="3881" spans="62:62" x14ac:dyDescent="0.2">
      <c r="BJ3881" s="201"/>
    </row>
    <row r="3882" spans="62:62" x14ac:dyDescent="0.2">
      <c r="BJ3882" s="201"/>
    </row>
    <row r="3883" spans="62:62" x14ac:dyDescent="0.2">
      <c r="BJ3883" s="201"/>
    </row>
    <row r="3884" spans="62:62" x14ac:dyDescent="0.2">
      <c r="BJ3884" s="201"/>
    </row>
    <row r="3885" spans="62:62" x14ac:dyDescent="0.2">
      <c r="BJ3885" s="201"/>
    </row>
    <row r="3886" spans="62:62" x14ac:dyDescent="0.2">
      <c r="BJ3886" s="201"/>
    </row>
    <row r="3887" spans="62:62" x14ac:dyDescent="0.2">
      <c r="BJ3887" s="201"/>
    </row>
    <row r="3888" spans="62:62" x14ac:dyDescent="0.2">
      <c r="BJ3888" s="201"/>
    </row>
    <row r="3889" spans="62:62" x14ac:dyDescent="0.2">
      <c r="BJ3889" s="201"/>
    </row>
    <row r="3890" spans="62:62" x14ac:dyDescent="0.2">
      <c r="BJ3890" s="201"/>
    </row>
    <row r="3891" spans="62:62" x14ac:dyDescent="0.2">
      <c r="BJ3891" s="201"/>
    </row>
    <row r="3892" spans="62:62" x14ac:dyDescent="0.2">
      <c r="BJ3892" s="201"/>
    </row>
    <row r="3893" spans="62:62" x14ac:dyDescent="0.2">
      <c r="BJ3893" s="201"/>
    </row>
    <row r="3894" spans="62:62" x14ac:dyDescent="0.2">
      <c r="BJ3894" s="201"/>
    </row>
    <row r="3895" spans="62:62" x14ac:dyDescent="0.2">
      <c r="BJ3895" s="201"/>
    </row>
    <row r="3896" spans="62:62" x14ac:dyDescent="0.2">
      <c r="BJ3896" s="201"/>
    </row>
    <row r="3897" spans="62:62" x14ac:dyDescent="0.2">
      <c r="BJ3897" s="201"/>
    </row>
    <row r="3898" spans="62:62" x14ac:dyDescent="0.2">
      <c r="BJ3898" s="201"/>
    </row>
    <row r="3899" spans="62:62" x14ac:dyDescent="0.2">
      <c r="BJ3899" s="201"/>
    </row>
    <row r="3900" spans="62:62" x14ac:dyDescent="0.2">
      <c r="BJ3900" s="201"/>
    </row>
    <row r="3901" spans="62:62" x14ac:dyDescent="0.2">
      <c r="BJ3901" s="201"/>
    </row>
    <row r="3902" spans="62:62" x14ac:dyDescent="0.2">
      <c r="BJ3902" s="201"/>
    </row>
    <row r="3903" spans="62:62" x14ac:dyDescent="0.2">
      <c r="BJ3903" s="201"/>
    </row>
    <row r="3904" spans="62:62" x14ac:dyDescent="0.2">
      <c r="BJ3904" s="201"/>
    </row>
    <row r="3905" spans="62:62" x14ac:dyDescent="0.2">
      <c r="BJ3905" s="201"/>
    </row>
    <row r="3906" spans="62:62" x14ac:dyDescent="0.2">
      <c r="BJ3906" s="201"/>
    </row>
    <row r="3907" spans="62:62" x14ac:dyDescent="0.2">
      <c r="BJ3907" s="201"/>
    </row>
    <row r="3908" spans="62:62" x14ac:dyDescent="0.2">
      <c r="BJ3908" s="201"/>
    </row>
    <row r="3909" spans="62:62" x14ac:dyDescent="0.2">
      <c r="BJ3909" s="201"/>
    </row>
    <row r="3910" spans="62:62" x14ac:dyDescent="0.2">
      <c r="BJ3910" s="201"/>
    </row>
    <row r="3911" spans="62:62" x14ac:dyDescent="0.2">
      <c r="BJ3911" s="201"/>
    </row>
    <row r="3912" spans="62:62" x14ac:dyDescent="0.2">
      <c r="BJ3912" s="201"/>
    </row>
    <row r="3913" spans="62:62" x14ac:dyDescent="0.2">
      <c r="BJ3913" s="201"/>
    </row>
    <row r="3914" spans="62:62" x14ac:dyDescent="0.2">
      <c r="BJ3914" s="201"/>
    </row>
    <row r="3915" spans="62:62" x14ac:dyDescent="0.2">
      <c r="BJ3915" s="201"/>
    </row>
    <row r="3916" spans="62:62" x14ac:dyDescent="0.2">
      <c r="BJ3916" s="201"/>
    </row>
    <row r="3917" spans="62:62" x14ac:dyDescent="0.2">
      <c r="BJ3917" s="201"/>
    </row>
    <row r="3918" spans="62:62" x14ac:dyDescent="0.2">
      <c r="BJ3918" s="201"/>
    </row>
    <row r="3919" spans="62:62" x14ac:dyDescent="0.2">
      <c r="BJ3919" s="201"/>
    </row>
    <row r="3920" spans="62:62" x14ac:dyDescent="0.2">
      <c r="BJ3920" s="201"/>
    </row>
    <row r="3921" spans="62:62" x14ac:dyDescent="0.2">
      <c r="BJ3921" s="201"/>
    </row>
    <row r="3922" spans="62:62" x14ac:dyDescent="0.2">
      <c r="BJ3922" s="201"/>
    </row>
    <row r="3923" spans="62:62" x14ac:dyDescent="0.2">
      <c r="BJ3923" s="201"/>
    </row>
    <row r="3924" spans="62:62" x14ac:dyDescent="0.2">
      <c r="BJ3924" s="201"/>
    </row>
    <row r="3925" spans="62:62" x14ac:dyDescent="0.2">
      <c r="BJ3925" s="201"/>
    </row>
    <row r="3926" spans="62:62" x14ac:dyDescent="0.2">
      <c r="BJ3926" s="201"/>
    </row>
    <row r="3927" spans="62:62" x14ac:dyDescent="0.2">
      <c r="BJ3927" s="201"/>
    </row>
    <row r="3928" spans="62:62" x14ac:dyDescent="0.2">
      <c r="BJ3928" s="201"/>
    </row>
    <row r="3929" spans="62:62" x14ac:dyDescent="0.2">
      <c r="BJ3929" s="201"/>
    </row>
    <row r="3930" spans="62:62" x14ac:dyDescent="0.2">
      <c r="BJ3930" s="201"/>
    </row>
    <row r="3931" spans="62:62" x14ac:dyDescent="0.2">
      <c r="BJ3931" s="201"/>
    </row>
    <row r="3932" spans="62:62" x14ac:dyDescent="0.2">
      <c r="BJ3932" s="201"/>
    </row>
    <row r="3933" spans="62:62" x14ac:dyDescent="0.2">
      <c r="BJ3933" s="201"/>
    </row>
    <row r="3934" spans="62:62" x14ac:dyDescent="0.2">
      <c r="BJ3934" s="201"/>
    </row>
    <row r="3935" spans="62:62" x14ac:dyDescent="0.2">
      <c r="BJ3935" s="201"/>
    </row>
    <row r="3936" spans="62:62" x14ac:dyDescent="0.2">
      <c r="BJ3936" s="201"/>
    </row>
    <row r="3937" spans="62:62" x14ac:dyDescent="0.2">
      <c r="BJ3937" s="201"/>
    </row>
    <row r="3938" spans="62:62" x14ac:dyDescent="0.2">
      <c r="BJ3938" s="201"/>
    </row>
    <row r="3939" spans="62:62" x14ac:dyDescent="0.2">
      <c r="BJ3939" s="201"/>
    </row>
    <row r="3940" spans="62:62" x14ac:dyDescent="0.2">
      <c r="BJ3940" s="201"/>
    </row>
    <row r="3941" spans="62:62" x14ac:dyDescent="0.2">
      <c r="BJ3941" s="201"/>
    </row>
    <row r="3942" spans="62:62" x14ac:dyDescent="0.2">
      <c r="BJ3942" s="201"/>
    </row>
    <row r="3943" spans="62:62" x14ac:dyDescent="0.2">
      <c r="BJ3943" s="201"/>
    </row>
    <row r="3944" spans="62:62" x14ac:dyDescent="0.2">
      <c r="BJ3944" s="201"/>
    </row>
    <row r="3945" spans="62:62" x14ac:dyDescent="0.2">
      <c r="BJ3945" s="201"/>
    </row>
    <row r="3946" spans="62:62" x14ac:dyDescent="0.2">
      <c r="BJ3946" s="201"/>
    </row>
    <row r="3947" spans="62:62" x14ac:dyDescent="0.2">
      <c r="BJ3947" s="201"/>
    </row>
    <row r="3948" spans="62:62" x14ac:dyDescent="0.2">
      <c r="BJ3948" s="201"/>
    </row>
    <row r="3949" spans="62:62" x14ac:dyDescent="0.2">
      <c r="BJ3949" s="201"/>
    </row>
    <row r="3950" spans="62:62" x14ac:dyDescent="0.2">
      <c r="BJ3950" s="201"/>
    </row>
    <row r="3951" spans="62:62" x14ac:dyDescent="0.2">
      <c r="BJ3951" s="201"/>
    </row>
    <row r="3952" spans="62:62" x14ac:dyDescent="0.2">
      <c r="BJ3952" s="201"/>
    </row>
    <row r="3953" spans="62:62" x14ac:dyDescent="0.2">
      <c r="BJ3953" s="201"/>
    </row>
    <row r="3954" spans="62:62" x14ac:dyDescent="0.2">
      <c r="BJ3954" s="201"/>
    </row>
    <row r="3955" spans="62:62" x14ac:dyDescent="0.2">
      <c r="BJ3955" s="201"/>
    </row>
    <row r="3956" spans="62:62" x14ac:dyDescent="0.2">
      <c r="BJ3956" s="201"/>
    </row>
    <row r="3957" spans="62:62" x14ac:dyDescent="0.2">
      <c r="BJ3957" s="201"/>
    </row>
    <row r="3958" spans="62:62" x14ac:dyDescent="0.2">
      <c r="BJ3958" s="201"/>
    </row>
    <row r="3959" spans="62:62" x14ac:dyDescent="0.2">
      <c r="BJ3959" s="201"/>
    </row>
    <row r="3960" spans="62:62" x14ac:dyDescent="0.2">
      <c r="BJ3960" s="201"/>
    </row>
    <row r="3961" spans="62:62" x14ac:dyDescent="0.2">
      <c r="BJ3961" s="201"/>
    </row>
    <row r="3962" spans="62:62" x14ac:dyDescent="0.2">
      <c r="BJ3962" s="201"/>
    </row>
    <row r="3963" spans="62:62" x14ac:dyDescent="0.2">
      <c r="BJ3963" s="201"/>
    </row>
    <row r="3964" spans="62:62" x14ac:dyDescent="0.2">
      <c r="BJ3964" s="201"/>
    </row>
    <row r="3965" spans="62:62" x14ac:dyDescent="0.2">
      <c r="BJ3965" s="201"/>
    </row>
    <row r="3966" spans="62:62" x14ac:dyDescent="0.2">
      <c r="BJ3966" s="201"/>
    </row>
    <row r="3967" spans="62:62" x14ac:dyDescent="0.2">
      <c r="BJ3967" s="201"/>
    </row>
    <row r="3968" spans="62:62" x14ac:dyDescent="0.2">
      <c r="BJ3968" s="201"/>
    </row>
    <row r="3969" spans="62:62" x14ac:dyDescent="0.2">
      <c r="BJ3969" s="201"/>
    </row>
    <row r="3970" spans="62:62" x14ac:dyDescent="0.2">
      <c r="BJ3970" s="201"/>
    </row>
    <row r="3971" spans="62:62" x14ac:dyDescent="0.2">
      <c r="BJ3971" s="201"/>
    </row>
    <row r="3972" spans="62:62" x14ac:dyDescent="0.2">
      <c r="BJ3972" s="201"/>
    </row>
    <row r="3973" spans="62:62" x14ac:dyDescent="0.2">
      <c r="BJ3973" s="201"/>
    </row>
    <row r="3974" spans="62:62" x14ac:dyDescent="0.2">
      <c r="BJ3974" s="201"/>
    </row>
    <row r="3975" spans="62:62" x14ac:dyDescent="0.2">
      <c r="BJ3975" s="201"/>
    </row>
    <row r="3976" spans="62:62" x14ac:dyDescent="0.2">
      <c r="BJ3976" s="201"/>
    </row>
    <row r="3977" spans="62:62" x14ac:dyDescent="0.2">
      <c r="BJ3977" s="201"/>
    </row>
    <row r="3978" spans="62:62" x14ac:dyDescent="0.2">
      <c r="BJ3978" s="201"/>
    </row>
    <row r="3979" spans="62:62" x14ac:dyDescent="0.2">
      <c r="BJ3979" s="201"/>
    </row>
    <row r="3980" spans="62:62" x14ac:dyDescent="0.2">
      <c r="BJ3980" s="201"/>
    </row>
    <row r="3981" spans="62:62" x14ac:dyDescent="0.2">
      <c r="BJ3981" s="201"/>
    </row>
    <row r="3982" spans="62:62" x14ac:dyDescent="0.2">
      <c r="BJ3982" s="201"/>
    </row>
    <row r="3983" spans="62:62" x14ac:dyDescent="0.2">
      <c r="BJ3983" s="201"/>
    </row>
    <row r="3984" spans="62:62" x14ac:dyDescent="0.2">
      <c r="BJ3984" s="201"/>
    </row>
    <row r="3985" spans="62:62" x14ac:dyDescent="0.2">
      <c r="BJ3985" s="201"/>
    </row>
    <row r="3986" spans="62:62" x14ac:dyDescent="0.2">
      <c r="BJ3986" s="201"/>
    </row>
    <row r="3987" spans="62:62" x14ac:dyDescent="0.2">
      <c r="BJ3987" s="201"/>
    </row>
    <row r="3988" spans="62:62" x14ac:dyDescent="0.2">
      <c r="BJ3988" s="201"/>
    </row>
    <row r="3989" spans="62:62" x14ac:dyDescent="0.2">
      <c r="BJ3989" s="201"/>
    </row>
    <row r="3990" spans="62:62" x14ac:dyDescent="0.2">
      <c r="BJ3990" s="201"/>
    </row>
    <row r="3991" spans="62:62" x14ac:dyDescent="0.2">
      <c r="BJ3991" s="201"/>
    </row>
    <row r="3992" spans="62:62" x14ac:dyDescent="0.2">
      <c r="BJ3992" s="201"/>
    </row>
    <row r="3993" spans="62:62" x14ac:dyDescent="0.2">
      <c r="BJ3993" s="201"/>
    </row>
    <row r="3994" spans="62:62" x14ac:dyDescent="0.2">
      <c r="BJ3994" s="201"/>
    </row>
    <row r="3995" spans="62:62" x14ac:dyDescent="0.2">
      <c r="BJ3995" s="201"/>
    </row>
    <row r="3996" spans="62:62" x14ac:dyDescent="0.2">
      <c r="BJ3996" s="201"/>
    </row>
    <row r="3997" spans="62:62" x14ac:dyDescent="0.2">
      <c r="BJ3997" s="201"/>
    </row>
    <row r="3998" spans="62:62" x14ac:dyDescent="0.2">
      <c r="BJ3998" s="201"/>
    </row>
    <row r="3999" spans="62:62" x14ac:dyDescent="0.2">
      <c r="BJ3999" s="201"/>
    </row>
    <row r="4000" spans="62:62" x14ac:dyDescent="0.2">
      <c r="BJ4000" s="201"/>
    </row>
    <row r="4001" spans="62:62" x14ac:dyDescent="0.2">
      <c r="BJ4001" s="201"/>
    </row>
    <row r="4002" spans="62:62" x14ac:dyDescent="0.2">
      <c r="BJ4002" s="201"/>
    </row>
    <row r="4003" spans="62:62" x14ac:dyDescent="0.2">
      <c r="BJ4003" s="201"/>
    </row>
    <row r="4004" spans="62:62" x14ac:dyDescent="0.2">
      <c r="BJ4004" s="201"/>
    </row>
    <row r="4005" spans="62:62" x14ac:dyDescent="0.2">
      <c r="BJ4005" s="201"/>
    </row>
    <row r="4006" spans="62:62" x14ac:dyDescent="0.2">
      <c r="BJ4006" s="201"/>
    </row>
    <row r="4007" spans="62:62" x14ac:dyDescent="0.2">
      <c r="BJ4007" s="201"/>
    </row>
    <row r="4008" spans="62:62" x14ac:dyDescent="0.2">
      <c r="BJ4008" s="201"/>
    </row>
    <row r="4009" spans="62:62" x14ac:dyDescent="0.2">
      <c r="BJ4009" s="201"/>
    </row>
    <row r="4010" spans="62:62" x14ac:dyDescent="0.2">
      <c r="BJ4010" s="201"/>
    </row>
    <row r="4011" spans="62:62" x14ac:dyDescent="0.2">
      <c r="BJ4011" s="201"/>
    </row>
    <row r="4012" spans="62:62" x14ac:dyDescent="0.2">
      <c r="BJ4012" s="201"/>
    </row>
    <row r="4013" spans="62:62" x14ac:dyDescent="0.2">
      <c r="BJ4013" s="201"/>
    </row>
    <row r="4014" spans="62:62" x14ac:dyDescent="0.2">
      <c r="BJ4014" s="201"/>
    </row>
    <row r="4015" spans="62:62" x14ac:dyDescent="0.2">
      <c r="BJ4015" s="201"/>
    </row>
    <row r="4016" spans="62:62" x14ac:dyDescent="0.2">
      <c r="BJ4016" s="201"/>
    </row>
    <row r="4017" spans="62:62" x14ac:dyDescent="0.2">
      <c r="BJ4017" s="201"/>
    </row>
    <row r="4018" spans="62:62" x14ac:dyDescent="0.2">
      <c r="BJ4018" s="201"/>
    </row>
    <row r="4019" spans="62:62" x14ac:dyDescent="0.2">
      <c r="BJ4019" s="201"/>
    </row>
    <row r="4020" spans="62:62" x14ac:dyDescent="0.2">
      <c r="BJ4020" s="201"/>
    </row>
    <row r="4021" spans="62:62" x14ac:dyDescent="0.2">
      <c r="BJ4021" s="201"/>
    </row>
    <row r="4022" spans="62:62" x14ac:dyDescent="0.2">
      <c r="BJ4022" s="201"/>
    </row>
    <row r="4023" spans="62:62" x14ac:dyDescent="0.2">
      <c r="BJ4023" s="201"/>
    </row>
    <row r="4024" spans="62:62" x14ac:dyDescent="0.2">
      <c r="BJ4024" s="201"/>
    </row>
    <row r="4025" spans="62:62" x14ac:dyDescent="0.2">
      <c r="BJ4025" s="201"/>
    </row>
    <row r="4026" spans="62:62" x14ac:dyDescent="0.2">
      <c r="BJ4026" s="201"/>
    </row>
    <row r="4027" spans="62:62" x14ac:dyDescent="0.2">
      <c r="BJ4027" s="201"/>
    </row>
    <row r="4028" spans="62:62" x14ac:dyDescent="0.2">
      <c r="BJ4028" s="201"/>
    </row>
    <row r="4029" spans="62:62" x14ac:dyDescent="0.2">
      <c r="BJ4029" s="201"/>
    </row>
    <row r="4030" spans="62:62" x14ac:dyDescent="0.2">
      <c r="BJ4030" s="201"/>
    </row>
    <row r="4031" spans="62:62" x14ac:dyDescent="0.2">
      <c r="BJ4031" s="201"/>
    </row>
    <row r="4032" spans="62:62" x14ac:dyDescent="0.2">
      <c r="BJ4032" s="201"/>
    </row>
    <row r="4033" spans="62:62" x14ac:dyDescent="0.2">
      <c r="BJ4033" s="201"/>
    </row>
    <row r="4034" spans="62:62" x14ac:dyDescent="0.2">
      <c r="BJ4034" s="201"/>
    </row>
    <row r="4035" spans="62:62" x14ac:dyDescent="0.2">
      <c r="BJ4035" s="201"/>
    </row>
    <row r="4036" spans="62:62" x14ac:dyDescent="0.2">
      <c r="BJ4036" s="201"/>
    </row>
    <row r="4037" spans="62:62" x14ac:dyDescent="0.2">
      <c r="BJ4037" s="201"/>
    </row>
    <row r="4038" spans="62:62" x14ac:dyDescent="0.2">
      <c r="BJ4038" s="201"/>
    </row>
    <row r="4039" spans="62:62" x14ac:dyDescent="0.2">
      <c r="BJ4039" s="201"/>
    </row>
    <row r="4040" spans="62:62" x14ac:dyDescent="0.2">
      <c r="BJ4040" s="201"/>
    </row>
    <row r="4041" spans="62:62" x14ac:dyDescent="0.2">
      <c r="BJ4041" s="201"/>
    </row>
    <row r="4042" spans="62:62" x14ac:dyDescent="0.2">
      <c r="BJ4042" s="201"/>
    </row>
    <row r="4043" spans="62:62" x14ac:dyDescent="0.2">
      <c r="BJ4043" s="201"/>
    </row>
    <row r="4044" spans="62:62" x14ac:dyDescent="0.2">
      <c r="BJ4044" s="201"/>
    </row>
    <row r="4045" spans="62:62" x14ac:dyDescent="0.2">
      <c r="BJ4045" s="201"/>
    </row>
    <row r="4046" spans="62:62" x14ac:dyDescent="0.2">
      <c r="BJ4046" s="201"/>
    </row>
    <row r="4047" spans="62:62" x14ac:dyDescent="0.2">
      <c r="BJ4047" s="201"/>
    </row>
    <row r="4048" spans="62:62" x14ac:dyDescent="0.2">
      <c r="BJ4048" s="201"/>
    </row>
    <row r="4049" spans="62:62" x14ac:dyDescent="0.2">
      <c r="BJ4049" s="201"/>
    </row>
    <row r="4050" spans="62:62" x14ac:dyDescent="0.2">
      <c r="BJ4050" s="201"/>
    </row>
    <row r="4051" spans="62:62" x14ac:dyDescent="0.2">
      <c r="BJ4051" s="201"/>
    </row>
    <row r="4052" spans="62:62" x14ac:dyDescent="0.2">
      <c r="BJ4052" s="201"/>
    </row>
    <row r="4053" spans="62:62" x14ac:dyDescent="0.2">
      <c r="BJ4053" s="201"/>
    </row>
    <row r="4054" spans="62:62" x14ac:dyDescent="0.2">
      <c r="BJ4054" s="201"/>
    </row>
    <row r="4055" spans="62:62" x14ac:dyDescent="0.2">
      <c r="BJ4055" s="201"/>
    </row>
    <row r="4056" spans="62:62" x14ac:dyDescent="0.2">
      <c r="BJ4056" s="201"/>
    </row>
    <row r="4057" spans="62:62" x14ac:dyDescent="0.2">
      <c r="BJ4057" s="201"/>
    </row>
    <row r="4058" spans="62:62" x14ac:dyDescent="0.2">
      <c r="BJ4058" s="201"/>
    </row>
    <row r="4059" spans="62:62" x14ac:dyDescent="0.2">
      <c r="BJ4059" s="201"/>
    </row>
    <row r="4060" spans="62:62" x14ac:dyDescent="0.2">
      <c r="BJ4060" s="201"/>
    </row>
    <row r="4061" spans="62:62" x14ac:dyDescent="0.2">
      <c r="BJ4061" s="201"/>
    </row>
    <row r="4062" spans="62:62" x14ac:dyDescent="0.2">
      <c r="BJ4062" s="201"/>
    </row>
    <row r="4063" spans="62:62" x14ac:dyDescent="0.2">
      <c r="BJ4063" s="201"/>
    </row>
    <row r="4064" spans="62:62" x14ac:dyDescent="0.2">
      <c r="BJ4064" s="201"/>
    </row>
    <row r="4065" spans="62:62" x14ac:dyDescent="0.2">
      <c r="BJ4065" s="201"/>
    </row>
    <row r="4066" spans="62:62" x14ac:dyDescent="0.2">
      <c r="BJ4066" s="201"/>
    </row>
    <row r="4067" spans="62:62" x14ac:dyDescent="0.2">
      <c r="BJ4067" s="201"/>
    </row>
    <row r="4068" spans="62:62" x14ac:dyDescent="0.2">
      <c r="BJ4068" s="201"/>
    </row>
    <row r="4069" spans="62:62" x14ac:dyDescent="0.2">
      <c r="BJ4069" s="201"/>
    </row>
    <row r="4070" spans="62:62" x14ac:dyDescent="0.2">
      <c r="BJ4070" s="201"/>
    </row>
    <row r="4071" spans="62:62" x14ac:dyDescent="0.2">
      <c r="BJ4071" s="201"/>
    </row>
    <row r="4072" spans="62:62" x14ac:dyDescent="0.2">
      <c r="BJ4072" s="201"/>
    </row>
    <row r="4073" spans="62:62" x14ac:dyDescent="0.2">
      <c r="BJ4073" s="201"/>
    </row>
    <row r="4074" spans="62:62" x14ac:dyDescent="0.2">
      <c r="BJ4074" s="201"/>
    </row>
    <row r="4075" spans="62:62" x14ac:dyDescent="0.2">
      <c r="BJ4075" s="201"/>
    </row>
    <row r="4076" spans="62:62" x14ac:dyDescent="0.2">
      <c r="BJ4076" s="201"/>
    </row>
    <row r="4077" spans="62:62" x14ac:dyDescent="0.2">
      <c r="BJ4077" s="201"/>
    </row>
    <row r="4078" spans="62:62" x14ac:dyDescent="0.2">
      <c r="BJ4078" s="201"/>
    </row>
    <row r="4079" spans="62:62" x14ac:dyDescent="0.2">
      <c r="BJ4079" s="201"/>
    </row>
    <row r="4080" spans="62:62" x14ac:dyDescent="0.2">
      <c r="BJ4080" s="201"/>
    </row>
    <row r="4081" spans="62:62" x14ac:dyDescent="0.2">
      <c r="BJ4081" s="201"/>
    </row>
    <row r="4082" spans="62:62" x14ac:dyDescent="0.2">
      <c r="BJ4082" s="201"/>
    </row>
    <row r="4083" spans="62:62" x14ac:dyDescent="0.2">
      <c r="BJ4083" s="201"/>
    </row>
    <row r="4084" spans="62:62" x14ac:dyDescent="0.2">
      <c r="BJ4084" s="201"/>
    </row>
    <row r="4085" spans="62:62" x14ac:dyDescent="0.2">
      <c r="BJ4085" s="201"/>
    </row>
    <row r="4086" spans="62:62" x14ac:dyDescent="0.2">
      <c r="BJ4086" s="201"/>
    </row>
    <row r="4087" spans="62:62" x14ac:dyDescent="0.2">
      <c r="BJ4087" s="201"/>
    </row>
    <row r="4088" spans="62:62" x14ac:dyDescent="0.2">
      <c r="BJ4088" s="201"/>
    </row>
    <row r="4089" spans="62:62" x14ac:dyDescent="0.2">
      <c r="BJ4089" s="201"/>
    </row>
    <row r="4090" spans="62:62" x14ac:dyDescent="0.2">
      <c r="BJ4090" s="201"/>
    </row>
    <row r="4091" spans="62:62" x14ac:dyDescent="0.2">
      <c r="BJ4091" s="201"/>
    </row>
    <row r="4092" spans="62:62" x14ac:dyDescent="0.2">
      <c r="BJ4092" s="201"/>
    </row>
    <row r="4093" spans="62:62" x14ac:dyDescent="0.2">
      <c r="BJ4093" s="201"/>
    </row>
    <row r="4094" spans="62:62" x14ac:dyDescent="0.2">
      <c r="BJ4094" s="201"/>
    </row>
    <row r="4095" spans="62:62" x14ac:dyDescent="0.2">
      <c r="BJ4095" s="201"/>
    </row>
    <row r="4096" spans="62:62" x14ac:dyDescent="0.2">
      <c r="BJ4096" s="201"/>
    </row>
    <row r="4097" spans="62:62" x14ac:dyDescent="0.2">
      <c r="BJ4097" s="201"/>
    </row>
    <row r="4098" spans="62:62" x14ac:dyDescent="0.2">
      <c r="BJ4098" s="201"/>
    </row>
    <row r="4099" spans="62:62" x14ac:dyDescent="0.2">
      <c r="BJ4099" s="201"/>
    </row>
    <row r="4100" spans="62:62" x14ac:dyDescent="0.2">
      <c r="BJ4100" s="201"/>
    </row>
    <row r="4101" spans="62:62" x14ac:dyDescent="0.2">
      <c r="BJ4101" s="201"/>
    </row>
    <row r="4102" spans="62:62" x14ac:dyDescent="0.2">
      <c r="BJ4102" s="201"/>
    </row>
    <row r="4103" spans="62:62" x14ac:dyDescent="0.2">
      <c r="BJ4103" s="201"/>
    </row>
    <row r="4104" spans="62:62" x14ac:dyDescent="0.2">
      <c r="BJ4104" s="201"/>
    </row>
    <row r="4105" spans="62:62" x14ac:dyDescent="0.2">
      <c r="BJ4105" s="201"/>
    </row>
    <row r="4106" spans="62:62" x14ac:dyDescent="0.2">
      <c r="BJ4106" s="201"/>
    </row>
    <row r="4107" spans="62:62" x14ac:dyDescent="0.2">
      <c r="BJ4107" s="201"/>
    </row>
    <row r="4108" spans="62:62" x14ac:dyDescent="0.2">
      <c r="BJ4108" s="201"/>
    </row>
    <row r="4109" spans="62:62" x14ac:dyDescent="0.2">
      <c r="BJ4109" s="201"/>
    </row>
    <row r="4110" spans="62:62" x14ac:dyDescent="0.2">
      <c r="BJ4110" s="201"/>
    </row>
    <row r="4111" spans="62:62" x14ac:dyDescent="0.2">
      <c r="BJ4111" s="201"/>
    </row>
    <row r="4112" spans="62:62" x14ac:dyDescent="0.2">
      <c r="BJ4112" s="201"/>
    </row>
    <row r="4113" spans="62:62" x14ac:dyDescent="0.2">
      <c r="BJ4113" s="201"/>
    </row>
    <row r="4114" spans="62:62" x14ac:dyDescent="0.2">
      <c r="BJ4114" s="201"/>
    </row>
    <row r="4115" spans="62:62" x14ac:dyDescent="0.2">
      <c r="BJ4115" s="201"/>
    </row>
    <row r="4116" spans="62:62" x14ac:dyDescent="0.2">
      <c r="BJ4116" s="201"/>
    </row>
    <row r="4117" spans="62:62" x14ac:dyDescent="0.2">
      <c r="BJ4117" s="201"/>
    </row>
    <row r="4118" spans="62:62" x14ac:dyDescent="0.2">
      <c r="BJ4118" s="201"/>
    </row>
    <row r="4119" spans="62:62" x14ac:dyDescent="0.2">
      <c r="BJ4119" s="201"/>
    </row>
    <row r="4120" spans="62:62" x14ac:dyDescent="0.2">
      <c r="BJ4120" s="201"/>
    </row>
    <row r="4121" spans="62:62" x14ac:dyDescent="0.2">
      <c r="BJ4121" s="201"/>
    </row>
    <row r="4122" spans="62:62" x14ac:dyDescent="0.2">
      <c r="BJ4122" s="201"/>
    </row>
    <row r="4123" spans="62:62" x14ac:dyDescent="0.2">
      <c r="BJ4123" s="201"/>
    </row>
    <row r="4124" spans="62:62" x14ac:dyDescent="0.2">
      <c r="BJ4124" s="201"/>
    </row>
    <row r="4125" spans="62:62" x14ac:dyDescent="0.2">
      <c r="BJ4125" s="201"/>
    </row>
    <row r="4126" spans="62:62" x14ac:dyDescent="0.2">
      <c r="BJ4126" s="201"/>
    </row>
    <row r="4127" spans="62:62" x14ac:dyDescent="0.2">
      <c r="BJ4127" s="201"/>
    </row>
    <row r="4128" spans="62:62" x14ac:dyDescent="0.2">
      <c r="BJ4128" s="201"/>
    </row>
    <row r="4129" spans="62:62" x14ac:dyDescent="0.2">
      <c r="BJ4129" s="201"/>
    </row>
    <row r="4130" spans="62:62" x14ac:dyDescent="0.2">
      <c r="BJ4130" s="201"/>
    </row>
    <row r="4131" spans="62:62" x14ac:dyDescent="0.2">
      <c r="BJ4131" s="201"/>
    </row>
    <row r="4132" spans="62:62" x14ac:dyDescent="0.2">
      <c r="BJ4132" s="201"/>
    </row>
    <row r="4133" spans="62:62" x14ac:dyDescent="0.2">
      <c r="BJ4133" s="201"/>
    </row>
    <row r="4134" spans="62:62" x14ac:dyDescent="0.2">
      <c r="BJ4134" s="201"/>
    </row>
    <row r="4135" spans="62:62" x14ac:dyDescent="0.2">
      <c r="BJ4135" s="201"/>
    </row>
    <row r="4136" spans="62:62" x14ac:dyDescent="0.2">
      <c r="BJ4136" s="201"/>
    </row>
    <row r="4137" spans="62:62" x14ac:dyDescent="0.2">
      <c r="BJ4137" s="201"/>
    </row>
    <row r="4138" spans="62:62" x14ac:dyDescent="0.2">
      <c r="BJ4138" s="201"/>
    </row>
    <row r="4139" spans="62:62" x14ac:dyDescent="0.2">
      <c r="BJ4139" s="201"/>
    </row>
    <row r="4140" spans="62:62" x14ac:dyDescent="0.2">
      <c r="BJ4140" s="201"/>
    </row>
    <row r="4141" spans="62:62" x14ac:dyDescent="0.2">
      <c r="BJ4141" s="201"/>
    </row>
    <row r="4142" spans="62:62" x14ac:dyDescent="0.2">
      <c r="BJ4142" s="201"/>
    </row>
    <row r="4143" spans="62:62" x14ac:dyDescent="0.2">
      <c r="BJ4143" s="201"/>
    </row>
    <row r="4144" spans="62:62" x14ac:dyDescent="0.2">
      <c r="BJ4144" s="201"/>
    </row>
    <row r="4145" spans="62:62" x14ac:dyDescent="0.2">
      <c r="BJ4145" s="201"/>
    </row>
    <row r="4146" spans="62:62" x14ac:dyDescent="0.2">
      <c r="BJ4146" s="201"/>
    </row>
    <row r="4147" spans="62:62" x14ac:dyDescent="0.2">
      <c r="BJ4147" s="201"/>
    </row>
    <row r="4148" spans="62:62" x14ac:dyDescent="0.2">
      <c r="BJ4148" s="201"/>
    </row>
    <row r="4149" spans="62:62" x14ac:dyDescent="0.2">
      <c r="BJ4149" s="201"/>
    </row>
    <row r="4150" spans="62:62" x14ac:dyDescent="0.2">
      <c r="BJ4150" s="201"/>
    </row>
    <row r="4151" spans="62:62" x14ac:dyDescent="0.2">
      <c r="BJ4151" s="201"/>
    </row>
    <row r="4152" spans="62:62" x14ac:dyDescent="0.2">
      <c r="BJ4152" s="201"/>
    </row>
    <row r="4153" spans="62:62" x14ac:dyDescent="0.2">
      <c r="BJ4153" s="201"/>
    </row>
    <row r="4154" spans="62:62" x14ac:dyDescent="0.2">
      <c r="BJ4154" s="201"/>
    </row>
    <row r="4155" spans="62:62" x14ac:dyDescent="0.2">
      <c r="BJ4155" s="201"/>
    </row>
    <row r="4156" spans="62:62" x14ac:dyDescent="0.2">
      <c r="BJ4156" s="201"/>
    </row>
    <row r="4157" spans="62:62" x14ac:dyDescent="0.2">
      <c r="BJ4157" s="201"/>
    </row>
    <row r="4158" spans="62:62" x14ac:dyDescent="0.2">
      <c r="BJ4158" s="201"/>
    </row>
    <row r="4159" spans="62:62" x14ac:dyDescent="0.2">
      <c r="BJ4159" s="201"/>
    </row>
    <row r="4160" spans="62:62" x14ac:dyDescent="0.2">
      <c r="BJ4160" s="201"/>
    </row>
    <row r="4161" spans="62:62" x14ac:dyDescent="0.2">
      <c r="BJ4161" s="201"/>
    </row>
    <row r="4162" spans="62:62" x14ac:dyDescent="0.2">
      <c r="BJ4162" s="201"/>
    </row>
    <row r="4163" spans="62:62" x14ac:dyDescent="0.2">
      <c r="BJ4163" s="201"/>
    </row>
    <row r="4164" spans="62:62" x14ac:dyDescent="0.2">
      <c r="BJ4164" s="201"/>
    </row>
    <row r="4165" spans="62:62" x14ac:dyDescent="0.2">
      <c r="BJ4165" s="201"/>
    </row>
    <row r="4166" spans="62:62" x14ac:dyDescent="0.2">
      <c r="BJ4166" s="201"/>
    </row>
    <row r="4167" spans="62:62" x14ac:dyDescent="0.2">
      <c r="BJ4167" s="201"/>
    </row>
    <row r="4168" spans="62:62" x14ac:dyDescent="0.2">
      <c r="BJ4168" s="201"/>
    </row>
    <row r="4169" spans="62:62" x14ac:dyDescent="0.2">
      <c r="BJ4169" s="201"/>
    </row>
    <row r="4170" spans="62:62" x14ac:dyDescent="0.2">
      <c r="BJ4170" s="201"/>
    </row>
    <row r="4171" spans="62:62" x14ac:dyDescent="0.2">
      <c r="BJ4171" s="201"/>
    </row>
    <row r="4172" spans="62:62" x14ac:dyDescent="0.2">
      <c r="BJ4172" s="201"/>
    </row>
    <row r="4173" spans="62:62" x14ac:dyDescent="0.2">
      <c r="BJ4173" s="201"/>
    </row>
    <row r="4174" spans="62:62" x14ac:dyDescent="0.2">
      <c r="BJ4174" s="201"/>
    </row>
    <row r="4175" spans="62:62" x14ac:dyDescent="0.2">
      <c r="BJ4175" s="201"/>
    </row>
    <row r="4176" spans="62:62" x14ac:dyDescent="0.2">
      <c r="BJ4176" s="201"/>
    </row>
    <row r="4177" spans="62:62" x14ac:dyDescent="0.2">
      <c r="BJ4177" s="201"/>
    </row>
    <row r="4178" spans="62:62" x14ac:dyDescent="0.2">
      <c r="BJ4178" s="201"/>
    </row>
    <row r="4179" spans="62:62" x14ac:dyDescent="0.2">
      <c r="BJ4179" s="201"/>
    </row>
    <row r="4180" spans="62:62" x14ac:dyDescent="0.2">
      <c r="BJ4180" s="201"/>
    </row>
    <row r="4181" spans="62:62" x14ac:dyDescent="0.2">
      <c r="BJ4181" s="201"/>
    </row>
    <row r="4182" spans="62:62" x14ac:dyDescent="0.2">
      <c r="BJ4182" s="201"/>
    </row>
    <row r="4183" spans="62:62" x14ac:dyDescent="0.2">
      <c r="BJ4183" s="201"/>
    </row>
    <row r="4184" spans="62:62" x14ac:dyDescent="0.2">
      <c r="BJ4184" s="201"/>
    </row>
    <row r="4185" spans="62:62" x14ac:dyDescent="0.2">
      <c r="BJ4185" s="201"/>
    </row>
    <row r="4186" spans="62:62" x14ac:dyDescent="0.2">
      <c r="BJ4186" s="201"/>
    </row>
    <row r="4187" spans="62:62" x14ac:dyDescent="0.2">
      <c r="BJ4187" s="201"/>
    </row>
    <row r="4188" spans="62:62" x14ac:dyDescent="0.2">
      <c r="BJ4188" s="201"/>
    </row>
    <row r="4189" spans="62:62" x14ac:dyDescent="0.2">
      <c r="BJ4189" s="201"/>
    </row>
    <row r="4190" spans="62:62" x14ac:dyDescent="0.2">
      <c r="BJ4190" s="201"/>
    </row>
    <row r="4191" spans="62:62" x14ac:dyDescent="0.2">
      <c r="BJ4191" s="201"/>
    </row>
    <row r="4192" spans="62:62" x14ac:dyDescent="0.2">
      <c r="BJ4192" s="201"/>
    </row>
    <row r="4193" spans="62:62" x14ac:dyDescent="0.2">
      <c r="BJ4193" s="201"/>
    </row>
    <row r="4194" spans="62:62" x14ac:dyDescent="0.2">
      <c r="BJ4194" s="201"/>
    </row>
    <row r="4195" spans="62:62" x14ac:dyDescent="0.2">
      <c r="BJ4195" s="201"/>
    </row>
    <row r="4196" spans="62:62" x14ac:dyDescent="0.2">
      <c r="BJ4196" s="201"/>
    </row>
    <row r="4197" spans="62:62" x14ac:dyDescent="0.2">
      <c r="BJ4197" s="201"/>
    </row>
    <row r="4198" spans="62:62" x14ac:dyDescent="0.2">
      <c r="BJ4198" s="201"/>
    </row>
    <row r="4199" spans="62:62" x14ac:dyDescent="0.2">
      <c r="BJ4199" s="201"/>
    </row>
    <row r="4200" spans="62:62" x14ac:dyDescent="0.2">
      <c r="BJ4200" s="201"/>
    </row>
    <row r="4201" spans="62:62" x14ac:dyDescent="0.2">
      <c r="BJ4201" s="201"/>
    </row>
    <row r="4202" spans="62:62" x14ac:dyDescent="0.2">
      <c r="BJ4202" s="201"/>
    </row>
    <row r="4203" spans="62:62" x14ac:dyDescent="0.2">
      <c r="BJ4203" s="201"/>
    </row>
    <row r="4204" spans="62:62" x14ac:dyDescent="0.2">
      <c r="BJ4204" s="201"/>
    </row>
    <row r="4205" spans="62:62" x14ac:dyDescent="0.2">
      <c r="BJ4205" s="201"/>
    </row>
    <row r="4206" spans="62:62" x14ac:dyDescent="0.2">
      <c r="BJ4206" s="201"/>
    </row>
    <row r="4207" spans="62:62" x14ac:dyDescent="0.2">
      <c r="BJ4207" s="201"/>
    </row>
    <row r="4208" spans="62:62" x14ac:dyDescent="0.2">
      <c r="BJ4208" s="201"/>
    </row>
    <row r="4209" spans="62:62" x14ac:dyDescent="0.2">
      <c r="BJ4209" s="201"/>
    </row>
    <row r="4210" spans="62:62" x14ac:dyDescent="0.2">
      <c r="BJ4210" s="201"/>
    </row>
    <row r="4211" spans="62:62" x14ac:dyDescent="0.2">
      <c r="BJ4211" s="201"/>
    </row>
    <row r="4212" spans="62:62" x14ac:dyDescent="0.2">
      <c r="BJ4212" s="201"/>
    </row>
    <row r="4213" spans="62:62" x14ac:dyDescent="0.2">
      <c r="BJ4213" s="201"/>
    </row>
    <row r="4214" spans="62:62" x14ac:dyDescent="0.2">
      <c r="BJ4214" s="201"/>
    </row>
    <row r="4215" spans="62:62" x14ac:dyDescent="0.2">
      <c r="BJ4215" s="201"/>
    </row>
    <row r="4216" spans="62:62" x14ac:dyDescent="0.2">
      <c r="BJ4216" s="201"/>
    </row>
    <row r="4217" spans="62:62" x14ac:dyDescent="0.2">
      <c r="BJ4217" s="201"/>
    </row>
    <row r="4218" spans="62:62" x14ac:dyDescent="0.2">
      <c r="BJ4218" s="201"/>
    </row>
    <row r="4219" spans="62:62" x14ac:dyDescent="0.2">
      <c r="BJ4219" s="201"/>
    </row>
    <row r="4220" spans="62:62" x14ac:dyDescent="0.2">
      <c r="BJ4220" s="201"/>
    </row>
    <row r="4221" spans="62:62" x14ac:dyDescent="0.2">
      <c r="BJ4221" s="201"/>
    </row>
    <row r="4222" spans="62:62" x14ac:dyDescent="0.2">
      <c r="BJ4222" s="201"/>
    </row>
    <row r="4223" spans="62:62" x14ac:dyDescent="0.2">
      <c r="BJ4223" s="201"/>
    </row>
    <row r="4224" spans="62:62" x14ac:dyDescent="0.2">
      <c r="BJ4224" s="201"/>
    </row>
    <row r="4225" spans="62:62" x14ac:dyDescent="0.2">
      <c r="BJ4225" s="201"/>
    </row>
    <row r="4226" spans="62:62" x14ac:dyDescent="0.2">
      <c r="BJ4226" s="201"/>
    </row>
    <row r="4227" spans="62:62" x14ac:dyDescent="0.2">
      <c r="BJ4227" s="201"/>
    </row>
    <row r="4228" spans="62:62" x14ac:dyDescent="0.2">
      <c r="BJ4228" s="201"/>
    </row>
    <row r="4229" spans="62:62" x14ac:dyDescent="0.2">
      <c r="BJ4229" s="201"/>
    </row>
    <row r="4230" spans="62:62" x14ac:dyDescent="0.2">
      <c r="BJ4230" s="201"/>
    </row>
    <row r="4231" spans="62:62" x14ac:dyDescent="0.2">
      <c r="BJ4231" s="201"/>
    </row>
    <row r="4232" spans="62:62" x14ac:dyDescent="0.2">
      <c r="BJ4232" s="201"/>
    </row>
    <row r="4233" spans="62:62" x14ac:dyDescent="0.2">
      <c r="BJ4233" s="201"/>
    </row>
    <row r="4234" spans="62:62" x14ac:dyDescent="0.2">
      <c r="BJ4234" s="201"/>
    </row>
    <row r="4235" spans="62:62" x14ac:dyDescent="0.2">
      <c r="BJ4235" s="201"/>
    </row>
    <row r="4236" spans="62:62" x14ac:dyDescent="0.2">
      <c r="BJ4236" s="201"/>
    </row>
    <row r="4237" spans="62:62" x14ac:dyDescent="0.2">
      <c r="BJ4237" s="201"/>
    </row>
    <row r="4238" spans="62:62" x14ac:dyDescent="0.2">
      <c r="BJ4238" s="201"/>
    </row>
    <row r="4239" spans="62:62" x14ac:dyDescent="0.2">
      <c r="BJ4239" s="201"/>
    </row>
    <row r="4240" spans="62:62" x14ac:dyDescent="0.2">
      <c r="BJ4240" s="201"/>
    </row>
    <row r="4241" spans="62:62" x14ac:dyDescent="0.2">
      <c r="BJ4241" s="201"/>
    </row>
    <row r="4242" spans="62:62" x14ac:dyDescent="0.2">
      <c r="BJ4242" s="201"/>
    </row>
    <row r="4243" spans="62:62" x14ac:dyDescent="0.2">
      <c r="BJ4243" s="201"/>
    </row>
    <row r="4244" spans="62:62" x14ac:dyDescent="0.2">
      <c r="BJ4244" s="201"/>
    </row>
    <row r="4245" spans="62:62" x14ac:dyDescent="0.2">
      <c r="BJ4245" s="201"/>
    </row>
    <row r="4246" spans="62:62" x14ac:dyDescent="0.2">
      <c r="BJ4246" s="201"/>
    </row>
    <row r="4247" spans="62:62" x14ac:dyDescent="0.2">
      <c r="BJ4247" s="201"/>
    </row>
    <row r="4248" spans="62:62" x14ac:dyDescent="0.2">
      <c r="BJ4248" s="201"/>
    </row>
    <row r="4249" spans="62:62" x14ac:dyDescent="0.2">
      <c r="BJ4249" s="201"/>
    </row>
    <row r="4250" spans="62:62" x14ac:dyDescent="0.2">
      <c r="BJ4250" s="201"/>
    </row>
    <row r="4251" spans="62:62" x14ac:dyDescent="0.2">
      <c r="BJ4251" s="201"/>
    </row>
    <row r="4252" spans="62:62" x14ac:dyDescent="0.2">
      <c r="BJ4252" s="201"/>
    </row>
    <row r="4253" spans="62:62" x14ac:dyDescent="0.2">
      <c r="BJ4253" s="201"/>
    </row>
    <row r="4254" spans="62:62" x14ac:dyDescent="0.2">
      <c r="BJ4254" s="201"/>
    </row>
    <row r="4255" spans="62:62" x14ac:dyDescent="0.2">
      <c r="BJ4255" s="201"/>
    </row>
    <row r="4256" spans="62:62" x14ac:dyDescent="0.2">
      <c r="BJ4256" s="201"/>
    </row>
    <row r="4257" spans="62:62" x14ac:dyDescent="0.2">
      <c r="BJ4257" s="201"/>
    </row>
    <row r="4258" spans="62:62" x14ac:dyDescent="0.2">
      <c r="BJ4258" s="201"/>
    </row>
    <row r="4259" spans="62:62" x14ac:dyDescent="0.2">
      <c r="BJ4259" s="201"/>
    </row>
    <row r="4260" spans="62:62" x14ac:dyDescent="0.2">
      <c r="BJ4260" s="201"/>
    </row>
    <row r="4261" spans="62:62" x14ac:dyDescent="0.2">
      <c r="BJ4261" s="201"/>
    </row>
    <row r="4262" spans="62:62" x14ac:dyDescent="0.2">
      <c r="BJ4262" s="201"/>
    </row>
    <row r="4263" spans="62:62" x14ac:dyDescent="0.2">
      <c r="BJ4263" s="201"/>
    </row>
    <row r="4264" spans="62:62" x14ac:dyDescent="0.2">
      <c r="BJ4264" s="201"/>
    </row>
    <row r="4265" spans="62:62" x14ac:dyDescent="0.2">
      <c r="BJ4265" s="201"/>
    </row>
    <row r="4266" spans="62:62" x14ac:dyDescent="0.2">
      <c r="BJ4266" s="201"/>
    </row>
    <row r="4267" spans="62:62" x14ac:dyDescent="0.2">
      <c r="BJ4267" s="201"/>
    </row>
    <row r="4268" spans="62:62" x14ac:dyDescent="0.2">
      <c r="BJ4268" s="201"/>
    </row>
    <row r="4269" spans="62:62" x14ac:dyDescent="0.2">
      <c r="BJ4269" s="201"/>
    </row>
    <row r="4270" spans="62:62" x14ac:dyDescent="0.2">
      <c r="BJ4270" s="201"/>
    </row>
    <row r="4271" spans="62:62" x14ac:dyDescent="0.2">
      <c r="BJ4271" s="201"/>
    </row>
    <row r="4272" spans="62:62" x14ac:dyDescent="0.2">
      <c r="BJ4272" s="201"/>
    </row>
    <row r="4273" spans="62:62" x14ac:dyDescent="0.2">
      <c r="BJ4273" s="201"/>
    </row>
    <row r="4274" spans="62:62" x14ac:dyDescent="0.2">
      <c r="BJ4274" s="201"/>
    </row>
    <row r="4275" spans="62:62" x14ac:dyDescent="0.2">
      <c r="BJ4275" s="201"/>
    </row>
    <row r="4276" spans="62:62" x14ac:dyDescent="0.2">
      <c r="BJ4276" s="201"/>
    </row>
    <row r="4277" spans="62:62" x14ac:dyDescent="0.2">
      <c r="BJ4277" s="201"/>
    </row>
    <row r="4278" spans="62:62" x14ac:dyDescent="0.2">
      <c r="BJ4278" s="201"/>
    </row>
    <row r="4279" spans="62:62" x14ac:dyDescent="0.2">
      <c r="BJ4279" s="201"/>
    </row>
    <row r="4280" spans="62:62" x14ac:dyDescent="0.2">
      <c r="BJ4280" s="201"/>
    </row>
    <row r="4281" spans="62:62" x14ac:dyDescent="0.2">
      <c r="BJ4281" s="201"/>
    </row>
    <row r="4282" spans="62:62" x14ac:dyDescent="0.2">
      <c r="BJ4282" s="201"/>
    </row>
    <row r="4283" spans="62:62" x14ac:dyDescent="0.2">
      <c r="BJ4283" s="201"/>
    </row>
    <row r="4284" spans="62:62" x14ac:dyDescent="0.2">
      <c r="BJ4284" s="201"/>
    </row>
    <row r="4285" spans="62:62" x14ac:dyDescent="0.2">
      <c r="BJ4285" s="201"/>
    </row>
    <row r="4286" spans="62:62" x14ac:dyDescent="0.2">
      <c r="BJ4286" s="201"/>
    </row>
    <row r="4287" spans="62:62" x14ac:dyDescent="0.2">
      <c r="BJ4287" s="201"/>
    </row>
    <row r="4288" spans="62:62" x14ac:dyDescent="0.2">
      <c r="BJ4288" s="201"/>
    </row>
    <row r="4289" spans="62:62" x14ac:dyDescent="0.2">
      <c r="BJ4289" s="201"/>
    </row>
    <row r="4290" spans="62:62" x14ac:dyDescent="0.2">
      <c r="BJ4290" s="201"/>
    </row>
    <row r="4291" spans="62:62" x14ac:dyDescent="0.2">
      <c r="BJ4291" s="201"/>
    </row>
    <row r="4292" spans="62:62" x14ac:dyDescent="0.2">
      <c r="BJ4292" s="201"/>
    </row>
    <row r="4293" spans="62:62" x14ac:dyDescent="0.2">
      <c r="BJ4293" s="201"/>
    </row>
    <row r="4294" spans="62:62" x14ac:dyDescent="0.2">
      <c r="BJ4294" s="201"/>
    </row>
    <row r="4295" spans="62:62" x14ac:dyDescent="0.2">
      <c r="BJ4295" s="201"/>
    </row>
    <row r="4296" spans="62:62" x14ac:dyDescent="0.2">
      <c r="BJ4296" s="201"/>
    </row>
    <row r="4297" spans="62:62" x14ac:dyDescent="0.2">
      <c r="BJ4297" s="201"/>
    </row>
    <row r="4298" spans="62:62" x14ac:dyDescent="0.2">
      <c r="BJ4298" s="201"/>
    </row>
    <row r="4299" spans="62:62" x14ac:dyDescent="0.2">
      <c r="BJ4299" s="201"/>
    </row>
    <row r="4300" spans="62:62" x14ac:dyDescent="0.2">
      <c r="BJ4300" s="201"/>
    </row>
    <row r="4301" spans="62:62" x14ac:dyDescent="0.2">
      <c r="BJ4301" s="201"/>
    </row>
    <row r="4302" spans="62:62" x14ac:dyDescent="0.2">
      <c r="BJ4302" s="201"/>
    </row>
    <row r="4303" spans="62:62" x14ac:dyDescent="0.2">
      <c r="BJ4303" s="201"/>
    </row>
    <row r="4304" spans="62:62" x14ac:dyDescent="0.2">
      <c r="BJ4304" s="201"/>
    </row>
    <row r="4305" spans="62:62" x14ac:dyDescent="0.2">
      <c r="BJ4305" s="201"/>
    </row>
    <row r="4306" spans="62:62" x14ac:dyDescent="0.2">
      <c r="BJ4306" s="201"/>
    </row>
    <row r="4307" spans="62:62" x14ac:dyDescent="0.2">
      <c r="BJ4307" s="201"/>
    </row>
    <row r="4308" spans="62:62" x14ac:dyDescent="0.2">
      <c r="BJ4308" s="201"/>
    </row>
    <row r="4309" spans="62:62" x14ac:dyDescent="0.2">
      <c r="BJ4309" s="201"/>
    </row>
    <row r="4310" spans="62:62" x14ac:dyDescent="0.2">
      <c r="BJ4310" s="201"/>
    </row>
    <row r="4311" spans="62:62" x14ac:dyDescent="0.2">
      <c r="BJ4311" s="201"/>
    </row>
    <row r="4312" spans="62:62" x14ac:dyDescent="0.2">
      <c r="BJ4312" s="201"/>
    </row>
    <row r="4313" spans="62:62" x14ac:dyDescent="0.2">
      <c r="BJ4313" s="201"/>
    </row>
    <row r="4314" spans="62:62" x14ac:dyDescent="0.2">
      <c r="BJ4314" s="201"/>
    </row>
    <row r="4315" spans="62:62" x14ac:dyDescent="0.2">
      <c r="BJ4315" s="201"/>
    </row>
    <row r="4316" spans="62:62" x14ac:dyDescent="0.2">
      <c r="BJ4316" s="201"/>
    </row>
    <row r="4317" spans="62:62" x14ac:dyDescent="0.2">
      <c r="BJ4317" s="201"/>
    </row>
    <row r="4318" spans="62:62" x14ac:dyDescent="0.2">
      <c r="BJ4318" s="201"/>
    </row>
    <row r="4319" spans="62:62" x14ac:dyDescent="0.2">
      <c r="BJ4319" s="201"/>
    </row>
    <row r="4320" spans="62:62" x14ac:dyDescent="0.2">
      <c r="BJ4320" s="201"/>
    </row>
    <row r="4321" spans="62:62" x14ac:dyDescent="0.2">
      <c r="BJ4321" s="201"/>
    </row>
    <row r="4322" spans="62:62" x14ac:dyDescent="0.2">
      <c r="BJ4322" s="201"/>
    </row>
    <row r="4323" spans="62:62" x14ac:dyDescent="0.2">
      <c r="BJ4323" s="201"/>
    </row>
    <row r="4324" spans="62:62" x14ac:dyDescent="0.2">
      <c r="BJ4324" s="201"/>
    </row>
    <row r="4325" spans="62:62" x14ac:dyDescent="0.2">
      <c r="BJ4325" s="201"/>
    </row>
    <row r="4326" spans="62:62" x14ac:dyDescent="0.2">
      <c r="BJ4326" s="201"/>
    </row>
    <row r="4327" spans="62:62" x14ac:dyDescent="0.2">
      <c r="BJ4327" s="201"/>
    </row>
    <row r="4328" spans="62:62" x14ac:dyDescent="0.2">
      <c r="BJ4328" s="201"/>
    </row>
    <row r="4329" spans="62:62" x14ac:dyDescent="0.2">
      <c r="BJ4329" s="201"/>
    </row>
    <row r="4330" spans="62:62" x14ac:dyDescent="0.2">
      <c r="BJ4330" s="201"/>
    </row>
    <row r="4331" spans="62:62" x14ac:dyDescent="0.2">
      <c r="BJ4331" s="201"/>
    </row>
    <row r="4332" spans="62:62" x14ac:dyDescent="0.2">
      <c r="BJ4332" s="201"/>
    </row>
    <row r="4333" spans="62:62" x14ac:dyDescent="0.2">
      <c r="BJ4333" s="201"/>
    </row>
    <row r="4334" spans="62:62" x14ac:dyDescent="0.2">
      <c r="BJ4334" s="201"/>
    </row>
    <row r="4335" spans="62:62" x14ac:dyDescent="0.2">
      <c r="BJ4335" s="201"/>
    </row>
    <row r="4336" spans="62:62" x14ac:dyDescent="0.2">
      <c r="BJ4336" s="201"/>
    </row>
    <row r="4337" spans="62:62" x14ac:dyDescent="0.2">
      <c r="BJ4337" s="201"/>
    </row>
    <row r="4338" spans="62:62" x14ac:dyDescent="0.2">
      <c r="BJ4338" s="201"/>
    </row>
    <row r="4339" spans="62:62" x14ac:dyDescent="0.2">
      <c r="BJ4339" s="201"/>
    </row>
    <row r="4340" spans="62:62" x14ac:dyDescent="0.2">
      <c r="BJ4340" s="201"/>
    </row>
    <row r="4341" spans="62:62" x14ac:dyDescent="0.2">
      <c r="BJ4341" s="201"/>
    </row>
    <row r="4342" spans="62:62" x14ac:dyDescent="0.2">
      <c r="BJ4342" s="201"/>
    </row>
    <row r="4343" spans="62:62" x14ac:dyDescent="0.2">
      <c r="BJ4343" s="201"/>
    </row>
    <row r="4344" spans="62:62" x14ac:dyDescent="0.2">
      <c r="BJ4344" s="201"/>
    </row>
    <row r="4345" spans="62:62" x14ac:dyDescent="0.2">
      <c r="BJ4345" s="201"/>
    </row>
    <row r="4346" spans="62:62" x14ac:dyDescent="0.2">
      <c r="BJ4346" s="201"/>
    </row>
    <row r="4347" spans="62:62" x14ac:dyDescent="0.2">
      <c r="BJ4347" s="201"/>
    </row>
    <row r="4348" spans="62:62" x14ac:dyDescent="0.2">
      <c r="BJ4348" s="201"/>
    </row>
    <row r="4349" spans="62:62" x14ac:dyDescent="0.2">
      <c r="BJ4349" s="201"/>
    </row>
    <row r="4350" spans="62:62" x14ac:dyDescent="0.2">
      <c r="BJ4350" s="201"/>
    </row>
    <row r="4351" spans="62:62" x14ac:dyDescent="0.2">
      <c r="BJ4351" s="201"/>
    </row>
    <row r="4352" spans="62:62" x14ac:dyDescent="0.2">
      <c r="BJ4352" s="201"/>
    </row>
    <row r="4353" spans="62:62" x14ac:dyDescent="0.2">
      <c r="BJ4353" s="201"/>
    </row>
    <row r="4354" spans="62:62" x14ac:dyDescent="0.2">
      <c r="BJ4354" s="201"/>
    </row>
    <row r="4355" spans="62:62" x14ac:dyDescent="0.2">
      <c r="BJ4355" s="201"/>
    </row>
    <row r="4356" spans="62:62" x14ac:dyDescent="0.2">
      <c r="BJ4356" s="201"/>
    </row>
    <row r="4357" spans="62:62" x14ac:dyDescent="0.2">
      <c r="BJ4357" s="201"/>
    </row>
    <row r="4358" spans="62:62" x14ac:dyDescent="0.2">
      <c r="BJ4358" s="201"/>
    </row>
    <row r="4359" spans="62:62" x14ac:dyDescent="0.2">
      <c r="BJ4359" s="201"/>
    </row>
    <row r="4360" spans="62:62" x14ac:dyDescent="0.2">
      <c r="BJ4360" s="201"/>
    </row>
    <row r="4361" spans="62:62" x14ac:dyDescent="0.2">
      <c r="BJ4361" s="201"/>
    </row>
    <row r="4362" spans="62:62" x14ac:dyDescent="0.2">
      <c r="BJ4362" s="201"/>
    </row>
    <row r="4363" spans="62:62" x14ac:dyDescent="0.2">
      <c r="BJ4363" s="201"/>
    </row>
    <row r="4364" spans="62:62" x14ac:dyDescent="0.2">
      <c r="BJ4364" s="201"/>
    </row>
    <row r="4365" spans="62:62" x14ac:dyDescent="0.2">
      <c r="BJ4365" s="201"/>
    </row>
    <row r="4366" spans="62:62" x14ac:dyDescent="0.2">
      <c r="BJ4366" s="201"/>
    </row>
    <row r="4367" spans="62:62" x14ac:dyDescent="0.2">
      <c r="BJ4367" s="201"/>
    </row>
    <row r="4368" spans="62:62" x14ac:dyDescent="0.2">
      <c r="BJ4368" s="201"/>
    </row>
    <row r="4369" spans="62:62" x14ac:dyDescent="0.2">
      <c r="BJ4369" s="201"/>
    </row>
    <row r="4370" spans="62:62" x14ac:dyDescent="0.2">
      <c r="BJ4370" s="201"/>
    </row>
    <row r="4371" spans="62:62" x14ac:dyDescent="0.2">
      <c r="BJ4371" s="201"/>
    </row>
    <row r="4372" spans="62:62" x14ac:dyDescent="0.2">
      <c r="BJ4372" s="201"/>
    </row>
    <row r="4373" spans="62:62" x14ac:dyDescent="0.2">
      <c r="BJ4373" s="201"/>
    </row>
    <row r="4374" spans="62:62" x14ac:dyDescent="0.2">
      <c r="BJ4374" s="201"/>
    </row>
    <row r="4375" spans="62:62" x14ac:dyDescent="0.2">
      <c r="BJ4375" s="201"/>
    </row>
    <row r="4376" spans="62:62" x14ac:dyDescent="0.2">
      <c r="BJ4376" s="201"/>
    </row>
    <row r="4377" spans="62:62" x14ac:dyDescent="0.2">
      <c r="BJ4377" s="201"/>
    </row>
    <row r="4378" spans="62:62" x14ac:dyDescent="0.2">
      <c r="BJ4378" s="201"/>
    </row>
    <row r="4379" spans="62:62" x14ac:dyDescent="0.2">
      <c r="BJ4379" s="201"/>
    </row>
    <row r="4380" spans="62:62" x14ac:dyDescent="0.2">
      <c r="BJ4380" s="201"/>
    </row>
    <row r="4381" spans="62:62" x14ac:dyDescent="0.2">
      <c r="BJ4381" s="201"/>
    </row>
    <row r="4382" spans="62:62" x14ac:dyDescent="0.2">
      <c r="BJ4382" s="201"/>
    </row>
    <row r="4383" spans="62:62" x14ac:dyDescent="0.2">
      <c r="BJ4383" s="201"/>
    </row>
    <row r="4384" spans="62:62" x14ac:dyDescent="0.2">
      <c r="BJ4384" s="201"/>
    </row>
    <row r="4385" spans="62:62" x14ac:dyDescent="0.2">
      <c r="BJ4385" s="201"/>
    </row>
    <row r="4386" spans="62:62" x14ac:dyDescent="0.2">
      <c r="BJ4386" s="201"/>
    </row>
    <row r="4387" spans="62:62" x14ac:dyDescent="0.2">
      <c r="BJ4387" s="201"/>
    </row>
    <row r="4388" spans="62:62" x14ac:dyDescent="0.2">
      <c r="BJ4388" s="201"/>
    </row>
    <row r="4389" spans="62:62" x14ac:dyDescent="0.2">
      <c r="BJ4389" s="201"/>
    </row>
    <row r="4390" spans="62:62" x14ac:dyDescent="0.2">
      <c r="BJ4390" s="201"/>
    </row>
    <row r="4391" spans="62:62" x14ac:dyDescent="0.2">
      <c r="BJ4391" s="201"/>
    </row>
    <row r="4392" spans="62:62" x14ac:dyDescent="0.2">
      <c r="BJ4392" s="201"/>
    </row>
    <row r="4393" spans="62:62" x14ac:dyDescent="0.2">
      <c r="BJ4393" s="201"/>
    </row>
    <row r="4394" spans="62:62" x14ac:dyDescent="0.2">
      <c r="BJ4394" s="201"/>
    </row>
    <row r="4395" spans="62:62" x14ac:dyDescent="0.2">
      <c r="BJ4395" s="201"/>
    </row>
    <row r="4396" spans="62:62" x14ac:dyDescent="0.2">
      <c r="BJ4396" s="201"/>
    </row>
    <row r="4397" spans="62:62" x14ac:dyDescent="0.2">
      <c r="BJ4397" s="201"/>
    </row>
    <row r="4398" spans="62:62" x14ac:dyDescent="0.2">
      <c r="BJ4398" s="201"/>
    </row>
    <row r="4399" spans="62:62" x14ac:dyDescent="0.2">
      <c r="BJ4399" s="201"/>
    </row>
    <row r="4400" spans="62:62" x14ac:dyDescent="0.2">
      <c r="BJ4400" s="201"/>
    </row>
    <row r="4401" spans="62:62" x14ac:dyDescent="0.2">
      <c r="BJ4401" s="201"/>
    </row>
    <row r="4402" spans="62:62" x14ac:dyDescent="0.2">
      <c r="BJ4402" s="201"/>
    </row>
    <row r="4403" spans="62:62" x14ac:dyDescent="0.2">
      <c r="BJ4403" s="201"/>
    </row>
    <row r="4404" spans="62:62" x14ac:dyDescent="0.2">
      <c r="BJ4404" s="201"/>
    </row>
    <row r="4405" spans="62:62" x14ac:dyDescent="0.2">
      <c r="BJ4405" s="201"/>
    </row>
    <row r="4406" spans="62:62" x14ac:dyDescent="0.2">
      <c r="BJ4406" s="201"/>
    </row>
    <row r="4407" spans="62:62" x14ac:dyDescent="0.2">
      <c r="BJ4407" s="201"/>
    </row>
    <row r="4408" spans="62:62" x14ac:dyDescent="0.2">
      <c r="BJ4408" s="201"/>
    </row>
    <row r="4409" spans="62:62" x14ac:dyDescent="0.2">
      <c r="BJ4409" s="201"/>
    </row>
    <row r="4410" spans="62:62" x14ac:dyDescent="0.2">
      <c r="BJ4410" s="201"/>
    </row>
    <row r="4411" spans="62:62" x14ac:dyDescent="0.2">
      <c r="BJ4411" s="201"/>
    </row>
    <row r="4412" spans="62:62" x14ac:dyDescent="0.2">
      <c r="BJ4412" s="201"/>
    </row>
    <row r="4413" spans="62:62" x14ac:dyDescent="0.2">
      <c r="BJ4413" s="201"/>
    </row>
    <row r="4414" spans="62:62" x14ac:dyDescent="0.2">
      <c r="BJ4414" s="201"/>
    </row>
    <row r="4415" spans="62:62" x14ac:dyDescent="0.2">
      <c r="BJ4415" s="201"/>
    </row>
    <row r="4416" spans="62:62" x14ac:dyDescent="0.2">
      <c r="BJ4416" s="201"/>
    </row>
    <row r="4417" spans="62:62" x14ac:dyDescent="0.2">
      <c r="BJ4417" s="201"/>
    </row>
    <row r="4418" spans="62:62" x14ac:dyDescent="0.2">
      <c r="BJ4418" s="201"/>
    </row>
    <row r="4419" spans="62:62" x14ac:dyDescent="0.2">
      <c r="BJ4419" s="201"/>
    </row>
    <row r="4420" spans="62:62" x14ac:dyDescent="0.2">
      <c r="BJ4420" s="201"/>
    </row>
    <row r="4421" spans="62:62" x14ac:dyDescent="0.2">
      <c r="BJ4421" s="201"/>
    </row>
    <row r="4422" spans="62:62" x14ac:dyDescent="0.2">
      <c r="BJ4422" s="201"/>
    </row>
    <row r="4423" spans="62:62" x14ac:dyDescent="0.2">
      <c r="BJ4423" s="201"/>
    </row>
    <row r="4424" spans="62:62" x14ac:dyDescent="0.2">
      <c r="BJ4424" s="201"/>
    </row>
    <row r="4425" spans="62:62" x14ac:dyDescent="0.2">
      <c r="BJ4425" s="201"/>
    </row>
    <row r="4426" spans="62:62" x14ac:dyDescent="0.2">
      <c r="BJ4426" s="201"/>
    </row>
    <row r="4427" spans="62:62" x14ac:dyDescent="0.2">
      <c r="BJ4427" s="201"/>
    </row>
    <row r="4428" spans="62:62" x14ac:dyDescent="0.2">
      <c r="BJ4428" s="201"/>
    </row>
    <row r="4429" spans="62:62" x14ac:dyDescent="0.2">
      <c r="BJ4429" s="201"/>
    </row>
    <row r="4430" spans="62:62" x14ac:dyDescent="0.2">
      <c r="BJ4430" s="201"/>
    </row>
    <row r="4431" spans="62:62" x14ac:dyDescent="0.2">
      <c r="BJ4431" s="201"/>
    </row>
    <row r="4432" spans="62:62" x14ac:dyDescent="0.2">
      <c r="BJ4432" s="201"/>
    </row>
    <row r="4433" spans="62:62" x14ac:dyDescent="0.2">
      <c r="BJ4433" s="201"/>
    </row>
    <row r="4434" spans="62:62" x14ac:dyDescent="0.2">
      <c r="BJ4434" s="201"/>
    </row>
    <row r="4435" spans="62:62" x14ac:dyDescent="0.2">
      <c r="BJ4435" s="201"/>
    </row>
    <row r="4436" spans="62:62" x14ac:dyDescent="0.2">
      <c r="BJ4436" s="201"/>
    </row>
    <row r="4437" spans="62:62" x14ac:dyDescent="0.2">
      <c r="BJ4437" s="201"/>
    </row>
    <row r="4438" spans="62:62" x14ac:dyDescent="0.2">
      <c r="BJ4438" s="201"/>
    </row>
    <row r="4439" spans="62:62" x14ac:dyDescent="0.2">
      <c r="BJ4439" s="201"/>
    </row>
    <row r="4440" spans="62:62" x14ac:dyDescent="0.2">
      <c r="BJ4440" s="201"/>
    </row>
    <row r="4441" spans="62:62" x14ac:dyDescent="0.2">
      <c r="BJ4441" s="201"/>
    </row>
    <row r="4442" spans="62:62" x14ac:dyDescent="0.2">
      <c r="BJ4442" s="201"/>
    </row>
    <row r="4443" spans="62:62" x14ac:dyDescent="0.2">
      <c r="BJ4443" s="201"/>
    </row>
    <row r="4444" spans="62:62" x14ac:dyDescent="0.2">
      <c r="BJ4444" s="201"/>
    </row>
    <row r="4445" spans="62:62" x14ac:dyDescent="0.2">
      <c r="BJ4445" s="201"/>
    </row>
    <row r="4446" spans="62:62" x14ac:dyDescent="0.2">
      <c r="BJ4446" s="201"/>
    </row>
    <row r="4447" spans="62:62" x14ac:dyDescent="0.2">
      <c r="BJ4447" s="201"/>
    </row>
    <row r="4448" spans="62:62" x14ac:dyDescent="0.2">
      <c r="BJ4448" s="201"/>
    </row>
    <row r="4449" spans="62:62" x14ac:dyDescent="0.2">
      <c r="BJ4449" s="201"/>
    </row>
    <row r="4450" spans="62:62" x14ac:dyDescent="0.2">
      <c r="BJ4450" s="201"/>
    </row>
    <row r="4451" spans="62:62" x14ac:dyDescent="0.2">
      <c r="BJ4451" s="201"/>
    </row>
    <row r="4452" spans="62:62" x14ac:dyDescent="0.2">
      <c r="BJ4452" s="201"/>
    </row>
    <row r="4453" spans="62:62" x14ac:dyDescent="0.2">
      <c r="BJ4453" s="201"/>
    </row>
    <row r="4454" spans="62:62" x14ac:dyDescent="0.2">
      <c r="BJ4454" s="201"/>
    </row>
    <row r="4455" spans="62:62" x14ac:dyDescent="0.2">
      <c r="BJ4455" s="201"/>
    </row>
    <row r="4456" spans="62:62" x14ac:dyDescent="0.2">
      <c r="BJ4456" s="201"/>
    </row>
    <row r="4457" spans="62:62" x14ac:dyDescent="0.2">
      <c r="BJ4457" s="201"/>
    </row>
    <row r="4458" spans="62:62" x14ac:dyDescent="0.2">
      <c r="BJ4458" s="201"/>
    </row>
    <row r="4459" spans="62:62" x14ac:dyDescent="0.2">
      <c r="BJ4459" s="201"/>
    </row>
    <row r="4460" spans="62:62" x14ac:dyDescent="0.2">
      <c r="BJ4460" s="201"/>
    </row>
    <row r="4461" spans="62:62" x14ac:dyDescent="0.2">
      <c r="BJ4461" s="201"/>
    </row>
    <row r="4462" spans="62:62" x14ac:dyDescent="0.2">
      <c r="BJ4462" s="201"/>
    </row>
    <row r="4463" spans="62:62" x14ac:dyDescent="0.2">
      <c r="BJ4463" s="201"/>
    </row>
    <row r="4464" spans="62:62" x14ac:dyDescent="0.2">
      <c r="BJ4464" s="201"/>
    </row>
    <row r="4465" spans="62:62" x14ac:dyDescent="0.2">
      <c r="BJ4465" s="201"/>
    </row>
    <row r="4466" spans="62:62" x14ac:dyDescent="0.2">
      <c r="BJ4466" s="201"/>
    </row>
    <row r="4467" spans="62:62" x14ac:dyDescent="0.2">
      <c r="BJ4467" s="201"/>
    </row>
    <row r="4468" spans="62:62" x14ac:dyDescent="0.2">
      <c r="BJ4468" s="201"/>
    </row>
    <row r="4469" spans="62:62" x14ac:dyDescent="0.2">
      <c r="BJ4469" s="201"/>
    </row>
    <row r="4470" spans="62:62" x14ac:dyDescent="0.2">
      <c r="BJ4470" s="201"/>
    </row>
    <row r="4471" spans="62:62" x14ac:dyDescent="0.2">
      <c r="BJ4471" s="201"/>
    </row>
    <row r="4472" spans="62:62" x14ac:dyDescent="0.2">
      <c r="BJ4472" s="201"/>
    </row>
    <row r="4473" spans="62:62" x14ac:dyDescent="0.2">
      <c r="BJ4473" s="201"/>
    </row>
    <row r="4474" spans="62:62" x14ac:dyDescent="0.2">
      <c r="BJ4474" s="201"/>
    </row>
    <row r="4475" spans="62:62" x14ac:dyDescent="0.2">
      <c r="BJ4475" s="201"/>
    </row>
    <row r="4476" spans="62:62" x14ac:dyDescent="0.2">
      <c r="BJ4476" s="201"/>
    </row>
    <row r="4477" spans="62:62" x14ac:dyDescent="0.2">
      <c r="BJ4477" s="201"/>
    </row>
    <row r="4478" spans="62:62" x14ac:dyDescent="0.2">
      <c r="BJ4478" s="201"/>
    </row>
    <row r="4479" spans="62:62" x14ac:dyDescent="0.2">
      <c r="BJ4479" s="201"/>
    </row>
    <row r="4480" spans="62:62" x14ac:dyDescent="0.2">
      <c r="BJ4480" s="201"/>
    </row>
    <row r="4481" spans="62:62" x14ac:dyDescent="0.2">
      <c r="BJ4481" s="201"/>
    </row>
    <row r="4482" spans="62:62" x14ac:dyDescent="0.2">
      <c r="BJ4482" s="201"/>
    </row>
    <row r="4483" spans="62:62" x14ac:dyDescent="0.2">
      <c r="BJ4483" s="201"/>
    </row>
    <row r="4484" spans="62:62" x14ac:dyDescent="0.2">
      <c r="BJ4484" s="201"/>
    </row>
    <row r="4485" spans="62:62" x14ac:dyDescent="0.2">
      <c r="BJ4485" s="201"/>
    </row>
    <row r="4486" spans="62:62" x14ac:dyDescent="0.2">
      <c r="BJ4486" s="201"/>
    </row>
    <row r="4487" spans="62:62" x14ac:dyDescent="0.2">
      <c r="BJ4487" s="201"/>
    </row>
    <row r="4488" spans="62:62" x14ac:dyDescent="0.2">
      <c r="BJ4488" s="201"/>
    </row>
    <row r="4489" spans="62:62" x14ac:dyDescent="0.2">
      <c r="BJ4489" s="201"/>
    </row>
    <row r="4490" spans="62:62" x14ac:dyDescent="0.2">
      <c r="BJ4490" s="201"/>
    </row>
    <row r="4491" spans="62:62" x14ac:dyDescent="0.2">
      <c r="BJ4491" s="201"/>
    </row>
    <row r="4492" spans="62:62" x14ac:dyDescent="0.2">
      <c r="BJ4492" s="201"/>
    </row>
    <row r="4493" spans="62:62" x14ac:dyDescent="0.2">
      <c r="BJ4493" s="201"/>
    </row>
    <row r="4494" spans="62:62" x14ac:dyDescent="0.2">
      <c r="BJ4494" s="201"/>
    </row>
    <row r="4495" spans="62:62" x14ac:dyDescent="0.2">
      <c r="BJ4495" s="201"/>
    </row>
    <row r="4496" spans="62:62" x14ac:dyDescent="0.2">
      <c r="BJ4496" s="201"/>
    </row>
    <row r="4497" spans="62:62" x14ac:dyDescent="0.2">
      <c r="BJ4497" s="201"/>
    </row>
    <row r="4498" spans="62:62" x14ac:dyDescent="0.2">
      <c r="BJ4498" s="201"/>
    </row>
    <row r="4499" spans="62:62" x14ac:dyDescent="0.2">
      <c r="BJ4499" s="201"/>
    </row>
    <row r="4500" spans="62:62" x14ac:dyDescent="0.2">
      <c r="BJ4500" s="201"/>
    </row>
    <row r="4501" spans="62:62" x14ac:dyDescent="0.2">
      <c r="BJ4501" s="201"/>
    </row>
    <row r="4502" spans="62:62" x14ac:dyDescent="0.2">
      <c r="BJ4502" s="201"/>
    </row>
    <row r="4503" spans="62:62" x14ac:dyDescent="0.2">
      <c r="BJ4503" s="201"/>
    </row>
    <row r="4504" spans="62:62" x14ac:dyDescent="0.2">
      <c r="BJ4504" s="201"/>
    </row>
    <row r="4505" spans="62:62" x14ac:dyDescent="0.2">
      <c r="BJ4505" s="201"/>
    </row>
    <row r="4506" spans="62:62" x14ac:dyDescent="0.2">
      <c r="BJ4506" s="201"/>
    </row>
    <row r="4507" spans="62:62" x14ac:dyDescent="0.2">
      <c r="BJ4507" s="201"/>
    </row>
    <row r="4508" spans="62:62" x14ac:dyDescent="0.2">
      <c r="BJ4508" s="201"/>
    </row>
    <row r="4509" spans="62:62" x14ac:dyDescent="0.2">
      <c r="BJ4509" s="201"/>
    </row>
    <row r="4510" spans="62:62" x14ac:dyDescent="0.2">
      <c r="BJ4510" s="201"/>
    </row>
    <row r="4511" spans="62:62" x14ac:dyDescent="0.2">
      <c r="BJ4511" s="201"/>
    </row>
    <row r="4512" spans="62:62" x14ac:dyDescent="0.2">
      <c r="BJ4512" s="201"/>
    </row>
    <row r="4513" spans="62:62" x14ac:dyDescent="0.2">
      <c r="BJ4513" s="201"/>
    </row>
    <row r="4514" spans="62:62" x14ac:dyDescent="0.2">
      <c r="BJ4514" s="201"/>
    </row>
    <row r="4515" spans="62:62" x14ac:dyDescent="0.2">
      <c r="BJ4515" s="201"/>
    </row>
    <row r="4516" spans="62:62" x14ac:dyDescent="0.2">
      <c r="BJ4516" s="201"/>
    </row>
    <row r="4517" spans="62:62" x14ac:dyDescent="0.2">
      <c r="BJ4517" s="201"/>
    </row>
    <row r="4518" spans="62:62" x14ac:dyDescent="0.2">
      <c r="BJ4518" s="201"/>
    </row>
    <row r="4519" spans="62:62" x14ac:dyDescent="0.2">
      <c r="BJ4519" s="201"/>
    </row>
    <row r="4520" spans="62:62" x14ac:dyDescent="0.2">
      <c r="BJ4520" s="201"/>
    </row>
    <row r="4521" spans="62:62" x14ac:dyDescent="0.2">
      <c r="BJ4521" s="201"/>
    </row>
    <row r="4522" spans="62:62" x14ac:dyDescent="0.2">
      <c r="BJ4522" s="201"/>
    </row>
    <row r="4523" spans="62:62" x14ac:dyDescent="0.2">
      <c r="BJ4523" s="201"/>
    </row>
    <row r="4524" spans="62:62" x14ac:dyDescent="0.2">
      <c r="BJ4524" s="201"/>
    </row>
    <row r="4525" spans="62:62" x14ac:dyDescent="0.2">
      <c r="BJ4525" s="201"/>
    </row>
    <row r="4526" spans="62:62" x14ac:dyDescent="0.2">
      <c r="BJ4526" s="201"/>
    </row>
    <row r="4527" spans="62:62" x14ac:dyDescent="0.2">
      <c r="BJ4527" s="201"/>
    </row>
    <row r="4528" spans="62:62" x14ac:dyDescent="0.2">
      <c r="BJ4528" s="201"/>
    </row>
    <row r="4529" spans="62:62" x14ac:dyDescent="0.2">
      <c r="BJ4529" s="201"/>
    </row>
    <row r="4530" spans="62:62" x14ac:dyDescent="0.2">
      <c r="BJ4530" s="201"/>
    </row>
    <row r="4531" spans="62:62" x14ac:dyDescent="0.2">
      <c r="BJ4531" s="201"/>
    </row>
    <row r="4532" spans="62:62" x14ac:dyDescent="0.2">
      <c r="BJ4532" s="201"/>
    </row>
    <row r="4533" spans="62:62" x14ac:dyDescent="0.2">
      <c r="BJ4533" s="201"/>
    </row>
    <row r="4534" spans="62:62" x14ac:dyDescent="0.2">
      <c r="BJ4534" s="201"/>
    </row>
    <row r="4535" spans="62:62" x14ac:dyDescent="0.2">
      <c r="BJ4535" s="201"/>
    </row>
    <row r="4536" spans="62:62" x14ac:dyDescent="0.2">
      <c r="BJ4536" s="201"/>
    </row>
    <row r="4537" spans="62:62" x14ac:dyDescent="0.2">
      <c r="BJ4537" s="201"/>
    </row>
    <row r="4538" spans="62:62" x14ac:dyDescent="0.2">
      <c r="BJ4538" s="201"/>
    </row>
    <row r="4539" spans="62:62" x14ac:dyDescent="0.2">
      <c r="BJ4539" s="201"/>
    </row>
    <row r="4540" spans="62:62" x14ac:dyDescent="0.2">
      <c r="BJ4540" s="201"/>
    </row>
    <row r="4541" spans="62:62" x14ac:dyDescent="0.2">
      <c r="BJ4541" s="201"/>
    </row>
    <row r="4542" spans="62:62" x14ac:dyDescent="0.2">
      <c r="BJ4542" s="201"/>
    </row>
    <row r="4543" spans="62:62" x14ac:dyDescent="0.2">
      <c r="BJ4543" s="201"/>
    </row>
    <row r="4544" spans="62:62" x14ac:dyDescent="0.2">
      <c r="BJ4544" s="201"/>
    </row>
    <row r="4545" spans="62:62" x14ac:dyDescent="0.2">
      <c r="BJ4545" s="201"/>
    </row>
    <row r="4546" spans="62:62" x14ac:dyDescent="0.2">
      <c r="BJ4546" s="201"/>
    </row>
    <row r="4547" spans="62:62" x14ac:dyDescent="0.2">
      <c r="BJ4547" s="201"/>
    </row>
    <row r="4548" spans="62:62" x14ac:dyDescent="0.2">
      <c r="BJ4548" s="201"/>
    </row>
    <row r="4549" spans="62:62" x14ac:dyDescent="0.2">
      <c r="BJ4549" s="201"/>
    </row>
    <row r="4550" spans="62:62" x14ac:dyDescent="0.2">
      <c r="BJ4550" s="201"/>
    </row>
    <row r="4551" spans="62:62" x14ac:dyDescent="0.2">
      <c r="BJ4551" s="201"/>
    </row>
    <row r="4552" spans="62:62" x14ac:dyDescent="0.2">
      <c r="BJ4552" s="201"/>
    </row>
    <row r="4553" spans="62:62" x14ac:dyDescent="0.2">
      <c r="BJ4553" s="201"/>
    </row>
    <row r="4554" spans="62:62" x14ac:dyDescent="0.2">
      <c r="BJ4554" s="201"/>
    </row>
    <row r="4555" spans="62:62" x14ac:dyDescent="0.2">
      <c r="BJ4555" s="201"/>
    </row>
    <row r="4556" spans="62:62" x14ac:dyDescent="0.2">
      <c r="BJ4556" s="201"/>
    </row>
    <row r="4557" spans="62:62" x14ac:dyDescent="0.2">
      <c r="BJ4557" s="201"/>
    </row>
    <row r="4558" spans="62:62" x14ac:dyDescent="0.2">
      <c r="BJ4558" s="201"/>
    </row>
    <row r="4559" spans="62:62" x14ac:dyDescent="0.2">
      <c r="BJ4559" s="201"/>
    </row>
    <row r="4560" spans="62:62" x14ac:dyDescent="0.2">
      <c r="BJ4560" s="201"/>
    </row>
    <row r="4561" spans="62:62" x14ac:dyDescent="0.2">
      <c r="BJ4561" s="201"/>
    </row>
    <row r="4562" spans="62:62" x14ac:dyDescent="0.2">
      <c r="BJ4562" s="201"/>
    </row>
    <row r="4563" spans="62:62" x14ac:dyDescent="0.2">
      <c r="BJ4563" s="201"/>
    </row>
    <row r="4564" spans="62:62" x14ac:dyDescent="0.2">
      <c r="BJ4564" s="201"/>
    </row>
    <row r="4565" spans="62:62" x14ac:dyDescent="0.2">
      <c r="BJ4565" s="201"/>
    </row>
    <row r="4566" spans="62:62" x14ac:dyDescent="0.2">
      <c r="BJ4566" s="201"/>
    </row>
    <row r="4567" spans="62:62" x14ac:dyDescent="0.2">
      <c r="BJ4567" s="201"/>
    </row>
    <row r="4568" spans="62:62" x14ac:dyDescent="0.2">
      <c r="BJ4568" s="201"/>
    </row>
    <row r="4569" spans="62:62" x14ac:dyDescent="0.2">
      <c r="BJ4569" s="201"/>
    </row>
    <row r="4570" spans="62:62" x14ac:dyDescent="0.2">
      <c r="BJ4570" s="201"/>
    </row>
    <row r="4571" spans="62:62" x14ac:dyDescent="0.2">
      <c r="BJ4571" s="201"/>
    </row>
    <row r="4572" spans="62:62" x14ac:dyDescent="0.2">
      <c r="BJ4572" s="201"/>
    </row>
    <row r="4573" spans="62:62" x14ac:dyDescent="0.2">
      <c r="BJ4573" s="201"/>
    </row>
    <row r="4574" spans="62:62" x14ac:dyDescent="0.2">
      <c r="BJ4574" s="201"/>
    </row>
    <row r="4575" spans="62:62" x14ac:dyDescent="0.2">
      <c r="BJ4575" s="201"/>
    </row>
    <row r="4576" spans="62:62" x14ac:dyDescent="0.2">
      <c r="BJ4576" s="201"/>
    </row>
    <row r="4577" spans="62:62" x14ac:dyDescent="0.2">
      <c r="BJ4577" s="201"/>
    </row>
    <row r="4578" spans="62:62" x14ac:dyDescent="0.2">
      <c r="BJ4578" s="201"/>
    </row>
    <row r="4579" spans="62:62" x14ac:dyDescent="0.2">
      <c r="BJ4579" s="201"/>
    </row>
    <row r="4580" spans="62:62" x14ac:dyDescent="0.2">
      <c r="BJ4580" s="201"/>
    </row>
    <row r="4581" spans="62:62" x14ac:dyDescent="0.2">
      <c r="BJ4581" s="201"/>
    </row>
    <row r="4582" spans="62:62" x14ac:dyDescent="0.2">
      <c r="BJ4582" s="201"/>
    </row>
    <row r="4583" spans="62:62" x14ac:dyDescent="0.2">
      <c r="BJ4583" s="201"/>
    </row>
    <row r="4584" spans="62:62" x14ac:dyDescent="0.2">
      <c r="BJ4584" s="201"/>
    </row>
    <row r="4585" spans="62:62" x14ac:dyDescent="0.2">
      <c r="BJ4585" s="201"/>
    </row>
    <row r="4586" spans="62:62" x14ac:dyDescent="0.2">
      <c r="BJ4586" s="201"/>
    </row>
    <row r="4587" spans="62:62" x14ac:dyDescent="0.2">
      <c r="BJ4587" s="201"/>
    </row>
    <row r="4588" spans="62:62" x14ac:dyDescent="0.2">
      <c r="BJ4588" s="201"/>
    </row>
    <row r="4589" spans="62:62" x14ac:dyDescent="0.2">
      <c r="BJ4589" s="201"/>
    </row>
    <row r="4590" spans="62:62" x14ac:dyDescent="0.2">
      <c r="BJ4590" s="201"/>
    </row>
    <row r="4591" spans="62:62" x14ac:dyDescent="0.2">
      <c r="BJ4591" s="201"/>
    </row>
    <row r="4592" spans="62:62" x14ac:dyDescent="0.2">
      <c r="BJ4592" s="201"/>
    </row>
    <row r="4593" spans="62:62" x14ac:dyDescent="0.2">
      <c r="BJ4593" s="201"/>
    </row>
    <row r="4594" spans="62:62" x14ac:dyDescent="0.2">
      <c r="BJ4594" s="201"/>
    </row>
    <row r="4595" spans="62:62" x14ac:dyDescent="0.2">
      <c r="BJ4595" s="201"/>
    </row>
    <row r="4596" spans="62:62" x14ac:dyDescent="0.2">
      <c r="BJ4596" s="201"/>
    </row>
    <row r="4597" spans="62:62" x14ac:dyDescent="0.2">
      <c r="BJ4597" s="201"/>
    </row>
    <row r="4598" spans="62:62" x14ac:dyDescent="0.2">
      <c r="BJ4598" s="201"/>
    </row>
    <row r="4599" spans="62:62" x14ac:dyDescent="0.2">
      <c r="BJ4599" s="201"/>
    </row>
    <row r="4600" spans="62:62" x14ac:dyDescent="0.2">
      <c r="BJ4600" s="201"/>
    </row>
    <row r="4601" spans="62:62" x14ac:dyDescent="0.2">
      <c r="BJ4601" s="201"/>
    </row>
    <row r="4602" spans="62:62" x14ac:dyDescent="0.2">
      <c r="BJ4602" s="201"/>
    </row>
    <row r="4603" spans="62:62" x14ac:dyDescent="0.2">
      <c r="BJ4603" s="201"/>
    </row>
    <row r="4604" spans="62:62" x14ac:dyDescent="0.2">
      <c r="BJ4604" s="201"/>
    </row>
    <row r="4605" spans="62:62" x14ac:dyDescent="0.2">
      <c r="BJ4605" s="201"/>
    </row>
    <row r="4606" spans="62:62" x14ac:dyDescent="0.2">
      <c r="BJ4606" s="201"/>
    </row>
    <row r="4607" spans="62:62" x14ac:dyDescent="0.2">
      <c r="BJ4607" s="201"/>
    </row>
    <row r="4608" spans="62:62" x14ac:dyDescent="0.2">
      <c r="BJ4608" s="201"/>
    </row>
    <row r="4609" spans="62:62" x14ac:dyDescent="0.2">
      <c r="BJ4609" s="201"/>
    </row>
    <row r="4610" spans="62:62" x14ac:dyDescent="0.2">
      <c r="BJ4610" s="201"/>
    </row>
    <row r="4611" spans="62:62" x14ac:dyDescent="0.2">
      <c r="BJ4611" s="201"/>
    </row>
    <row r="4612" spans="62:62" x14ac:dyDescent="0.2">
      <c r="BJ4612" s="201"/>
    </row>
    <row r="4613" spans="62:62" x14ac:dyDescent="0.2">
      <c r="BJ4613" s="201"/>
    </row>
    <row r="4614" spans="62:62" x14ac:dyDescent="0.2">
      <c r="BJ4614" s="201"/>
    </row>
    <row r="4615" spans="62:62" x14ac:dyDescent="0.2">
      <c r="BJ4615" s="201"/>
    </row>
    <row r="4616" spans="62:62" x14ac:dyDescent="0.2">
      <c r="BJ4616" s="201"/>
    </row>
    <row r="4617" spans="62:62" x14ac:dyDescent="0.2">
      <c r="BJ4617" s="201"/>
    </row>
    <row r="4618" spans="62:62" x14ac:dyDescent="0.2">
      <c r="BJ4618" s="201"/>
    </row>
    <row r="4619" spans="62:62" x14ac:dyDescent="0.2">
      <c r="BJ4619" s="201"/>
    </row>
    <row r="4620" spans="62:62" x14ac:dyDescent="0.2">
      <c r="BJ4620" s="201"/>
    </row>
    <row r="4621" spans="62:62" x14ac:dyDescent="0.2">
      <c r="BJ4621" s="201"/>
    </row>
    <row r="4622" spans="62:62" x14ac:dyDescent="0.2">
      <c r="BJ4622" s="201"/>
    </row>
    <row r="4623" spans="62:62" x14ac:dyDescent="0.2">
      <c r="BJ4623" s="201"/>
    </row>
    <row r="4624" spans="62:62" x14ac:dyDescent="0.2">
      <c r="BJ4624" s="201"/>
    </row>
    <row r="4625" spans="62:62" x14ac:dyDescent="0.2">
      <c r="BJ4625" s="201"/>
    </row>
    <row r="4626" spans="62:62" x14ac:dyDescent="0.2">
      <c r="BJ4626" s="201"/>
    </row>
    <row r="4627" spans="62:62" x14ac:dyDescent="0.2">
      <c r="BJ4627" s="201"/>
    </row>
    <row r="4628" spans="62:62" x14ac:dyDescent="0.2">
      <c r="BJ4628" s="201"/>
    </row>
    <row r="4629" spans="62:62" x14ac:dyDescent="0.2">
      <c r="BJ4629" s="201"/>
    </row>
    <row r="4630" spans="62:62" x14ac:dyDescent="0.2">
      <c r="BJ4630" s="201"/>
    </row>
    <row r="4631" spans="62:62" x14ac:dyDescent="0.2">
      <c r="BJ4631" s="201"/>
    </row>
    <row r="4632" spans="62:62" x14ac:dyDescent="0.2">
      <c r="BJ4632" s="201"/>
    </row>
    <row r="4633" spans="62:62" x14ac:dyDescent="0.2">
      <c r="BJ4633" s="201"/>
    </row>
    <row r="4634" spans="62:62" x14ac:dyDescent="0.2">
      <c r="BJ4634" s="201"/>
    </row>
    <row r="4635" spans="62:62" x14ac:dyDescent="0.2">
      <c r="BJ4635" s="201"/>
    </row>
    <row r="4636" spans="62:62" x14ac:dyDescent="0.2">
      <c r="BJ4636" s="201"/>
    </row>
    <row r="4637" spans="62:62" x14ac:dyDescent="0.2">
      <c r="BJ4637" s="201"/>
    </row>
    <row r="4638" spans="62:62" x14ac:dyDescent="0.2">
      <c r="BJ4638" s="201"/>
    </row>
    <row r="4639" spans="62:62" x14ac:dyDescent="0.2">
      <c r="BJ4639" s="201"/>
    </row>
    <row r="4640" spans="62:62" x14ac:dyDescent="0.2">
      <c r="BJ4640" s="201"/>
    </row>
    <row r="4641" spans="62:62" x14ac:dyDescent="0.2">
      <c r="BJ4641" s="201"/>
    </row>
    <row r="4642" spans="62:62" x14ac:dyDescent="0.2">
      <c r="BJ4642" s="201"/>
    </row>
    <row r="4643" spans="62:62" x14ac:dyDescent="0.2">
      <c r="BJ4643" s="201"/>
    </row>
    <row r="4644" spans="62:62" x14ac:dyDescent="0.2">
      <c r="BJ4644" s="201"/>
    </row>
    <row r="4645" spans="62:62" x14ac:dyDescent="0.2">
      <c r="BJ4645" s="201"/>
    </row>
    <row r="4646" spans="62:62" x14ac:dyDescent="0.2">
      <c r="BJ4646" s="201"/>
    </row>
    <row r="4647" spans="62:62" x14ac:dyDescent="0.2">
      <c r="BJ4647" s="201"/>
    </row>
    <row r="4648" spans="62:62" x14ac:dyDescent="0.2">
      <c r="BJ4648" s="201"/>
    </row>
    <row r="4649" spans="62:62" x14ac:dyDescent="0.2">
      <c r="BJ4649" s="201"/>
    </row>
    <row r="4650" spans="62:62" x14ac:dyDescent="0.2">
      <c r="BJ4650" s="201"/>
    </row>
    <row r="4651" spans="62:62" x14ac:dyDescent="0.2">
      <c r="BJ4651" s="201"/>
    </row>
    <row r="4652" spans="62:62" x14ac:dyDescent="0.2">
      <c r="BJ4652" s="201"/>
    </row>
    <row r="4653" spans="62:62" x14ac:dyDescent="0.2">
      <c r="BJ4653" s="201"/>
    </row>
    <row r="4654" spans="62:62" x14ac:dyDescent="0.2">
      <c r="BJ4654" s="201"/>
    </row>
    <row r="4655" spans="62:62" x14ac:dyDescent="0.2">
      <c r="BJ4655" s="201"/>
    </row>
    <row r="4656" spans="62:62" x14ac:dyDescent="0.2">
      <c r="BJ4656" s="201"/>
    </row>
    <row r="4657" spans="62:62" x14ac:dyDescent="0.2">
      <c r="BJ4657" s="201"/>
    </row>
    <row r="4658" spans="62:62" x14ac:dyDescent="0.2">
      <c r="BJ4658" s="201"/>
    </row>
    <row r="4659" spans="62:62" x14ac:dyDescent="0.2">
      <c r="BJ4659" s="201"/>
    </row>
    <row r="4660" spans="62:62" x14ac:dyDescent="0.2">
      <c r="BJ4660" s="201"/>
    </row>
    <row r="4661" spans="62:62" x14ac:dyDescent="0.2">
      <c r="BJ4661" s="201"/>
    </row>
    <row r="4662" spans="62:62" x14ac:dyDescent="0.2">
      <c r="BJ4662" s="201"/>
    </row>
    <row r="4663" spans="62:62" x14ac:dyDescent="0.2">
      <c r="BJ4663" s="201"/>
    </row>
    <row r="4664" spans="62:62" x14ac:dyDescent="0.2">
      <c r="BJ4664" s="201"/>
    </row>
    <row r="4665" spans="62:62" x14ac:dyDescent="0.2">
      <c r="BJ4665" s="201"/>
    </row>
    <row r="4666" spans="62:62" x14ac:dyDescent="0.2">
      <c r="BJ4666" s="201"/>
    </row>
    <row r="4667" spans="62:62" x14ac:dyDescent="0.2">
      <c r="BJ4667" s="201"/>
    </row>
    <row r="4668" spans="62:62" x14ac:dyDescent="0.2">
      <c r="BJ4668" s="201"/>
    </row>
    <row r="4669" spans="62:62" x14ac:dyDescent="0.2">
      <c r="BJ4669" s="201"/>
    </row>
    <row r="4670" spans="62:62" x14ac:dyDescent="0.2">
      <c r="BJ4670" s="201"/>
    </row>
    <row r="4671" spans="62:62" x14ac:dyDescent="0.2">
      <c r="BJ4671" s="201"/>
    </row>
    <row r="4672" spans="62:62" x14ac:dyDescent="0.2">
      <c r="BJ4672" s="201"/>
    </row>
    <row r="4673" spans="62:62" x14ac:dyDescent="0.2">
      <c r="BJ4673" s="201"/>
    </row>
    <row r="4674" spans="62:62" x14ac:dyDescent="0.2">
      <c r="BJ4674" s="201"/>
    </row>
    <row r="4675" spans="62:62" x14ac:dyDescent="0.2">
      <c r="BJ4675" s="201"/>
    </row>
    <row r="4676" spans="62:62" x14ac:dyDescent="0.2">
      <c r="BJ4676" s="201"/>
    </row>
    <row r="4677" spans="62:62" x14ac:dyDescent="0.2">
      <c r="BJ4677" s="201"/>
    </row>
    <row r="4678" spans="62:62" x14ac:dyDescent="0.2">
      <c r="BJ4678" s="201"/>
    </row>
    <row r="4679" spans="62:62" x14ac:dyDescent="0.2">
      <c r="BJ4679" s="201"/>
    </row>
    <row r="4680" spans="62:62" x14ac:dyDescent="0.2">
      <c r="BJ4680" s="201"/>
    </row>
    <row r="4681" spans="62:62" x14ac:dyDescent="0.2">
      <c r="BJ4681" s="201"/>
    </row>
    <row r="4682" spans="62:62" x14ac:dyDescent="0.2">
      <c r="BJ4682" s="201"/>
    </row>
    <row r="4683" spans="62:62" x14ac:dyDescent="0.2">
      <c r="BJ4683" s="201"/>
    </row>
    <row r="4684" spans="62:62" x14ac:dyDescent="0.2">
      <c r="BJ4684" s="201"/>
    </row>
    <row r="4685" spans="62:62" x14ac:dyDescent="0.2">
      <c r="BJ4685" s="201"/>
    </row>
    <row r="4686" spans="62:62" x14ac:dyDescent="0.2">
      <c r="BJ4686" s="201"/>
    </row>
    <row r="4687" spans="62:62" x14ac:dyDescent="0.2">
      <c r="BJ4687" s="201"/>
    </row>
    <row r="4688" spans="62:62" x14ac:dyDescent="0.2">
      <c r="BJ4688" s="201"/>
    </row>
    <row r="4689" spans="62:62" x14ac:dyDescent="0.2">
      <c r="BJ4689" s="201"/>
    </row>
    <row r="4690" spans="62:62" x14ac:dyDescent="0.2">
      <c r="BJ4690" s="201"/>
    </row>
    <row r="4691" spans="62:62" x14ac:dyDescent="0.2">
      <c r="BJ4691" s="201"/>
    </row>
    <row r="4692" spans="62:62" x14ac:dyDescent="0.2">
      <c r="BJ4692" s="201"/>
    </row>
    <row r="4693" spans="62:62" x14ac:dyDescent="0.2">
      <c r="BJ4693" s="201"/>
    </row>
    <row r="4694" spans="62:62" x14ac:dyDescent="0.2">
      <c r="BJ4694" s="201"/>
    </row>
    <row r="4695" spans="62:62" x14ac:dyDescent="0.2">
      <c r="BJ4695" s="201"/>
    </row>
    <row r="4696" spans="62:62" x14ac:dyDescent="0.2">
      <c r="BJ4696" s="201"/>
    </row>
    <row r="4697" spans="62:62" x14ac:dyDescent="0.2">
      <c r="BJ4697" s="201"/>
    </row>
    <row r="4698" spans="62:62" x14ac:dyDescent="0.2">
      <c r="BJ4698" s="201"/>
    </row>
    <row r="4699" spans="62:62" x14ac:dyDescent="0.2">
      <c r="BJ4699" s="201"/>
    </row>
    <row r="4700" spans="62:62" x14ac:dyDescent="0.2">
      <c r="BJ4700" s="201"/>
    </row>
    <row r="4701" spans="62:62" x14ac:dyDescent="0.2">
      <c r="BJ4701" s="201"/>
    </row>
    <row r="4702" spans="62:62" x14ac:dyDescent="0.2">
      <c r="BJ4702" s="201"/>
    </row>
    <row r="4703" spans="62:62" x14ac:dyDescent="0.2">
      <c r="BJ4703" s="201"/>
    </row>
    <row r="4704" spans="62:62" x14ac:dyDescent="0.2">
      <c r="BJ4704" s="201"/>
    </row>
    <row r="4705" spans="62:62" x14ac:dyDescent="0.2">
      <c r="BJ4705" s="201"/>
    </row>
    <row r="4706" spans="62:62" x14ac:dyDescent="0.2">
      <c r="BJ4706" s="201"/>
    </row>
    <row r="4707" spans="62:62" x14ac:dyDescent="0.2">
      <c r="BJ4707" s="201"/>
    </row>
    <row r="4708" spans="62:62" x14ac:dyDescent="0.2">
      <c r="BJ4708" s="201"/>
    </row>
    <row r="4709" spans="62:62" x14ac:dyDescent="0.2">
      <c r="BJ4709" s="201"/>
    </row>
    <row r="4710" spans="62:62" x14ac:dyDescent="0.2">
      <c r="BJ4710" s="201"/>
    </row>
    <row r="4711" spans="62:62" x14ac:dyDescent="0.2">
      <c r="BJ4711" s="201"/>
    </row>
    <row r="4712" spans="62:62" x14ac:dyDescent="0.2">
      <c r="BJ4712" s="201"/>
    </row>
    <row r="4713" spans="62:62" x14ac:dyDescent="0.2">
      <c r="BJ4713" s="201"/>
    </row>
    <row r="4714" spans="62:62" x14ac:dyDescent="0.2">
      <c r="BJ4714" s="201"/>
    </row>
    <row r="4715" spans="62:62" x14ac:dyDescent="0.2">
      <c r="BJ4715" s="201"/>
    </row>
    <row r="4716" spans="62:62" x14ac:dyDescent="0.2">
      <c r="BJ4716" s="201"/>
    </row>
    <row r="4717" spans="62:62" x14ac:dyDescent="0.2">
      <c r="BJ4717" s="201"/>
    </row>
    <row r="4718" spans="62:62" x14ac:dyDescent="0.2">
      <c r="BJ4718" s="201"/>
    </row>
    <row r="4719" spans="62:62" x14ac:dyDescent="0.2">
      <c r="BJ4719" s="201"/>
    </row>
    <row r="4720" spans="62:62" x14ac:dyDescent="0.2">
      <c r="BJ4720" s="201"/>
    </row>
    <row r="4721" spans="62:62" x14ac:dyDescent="0.2">
      <c r="BJ4721" s="201"/>
    </row>
    <row r="4722" spans="62:62" x14ac:dyDescent="0.2">
      <c r="BJ4722" s="201"/>
    </row>
    <row r="4723" spans="62:62" x14ac:dyDescent="0.2">
      <c r="BJ4723" s="201"/>
    </row>
    <row r="4724" spans="62:62" x14ac:dyDescent="0.2">
      <c r="BJ4724" s="201"/>
    </row>
    <row r="4725" spans="62:62" x14ac:dyDescent="0.2">
      <c r="BJ4725" s="201"/>
    </row>
    <row r="4726" spans="62:62" x14ac:dyDescent="0.2">
      <c r="BJ4726" s="201"/>
    </row>
    <row r="4727" spans="62:62" x14ac:dyDescent="0.2">
      <c r="BJ4727" s="201"/>
    </row>
    <row r="4728" spans="62:62" x14ac:dyDescent="0.2">
      <c r="BJ4728" s="201"/>
    </row>
    <row r="4729" spans="62:62" x14ac:dyDescent="0.2">
      <c r="BJ4729" s="201"/>
    </row>
    <row r="4730" spans="62:62" x14ac:dyDescent="0.2">
      <c r="BJ4730" s="201"/>
    </row>
    <row r="4731" spans="62:62" x14ac:dyDescent="0.2">
      <c r="BJ4731" s="201"/>
    </row>
    <row r="4732" spans="62:62" x14ac:dyDescent="0.2">
      <c r="BJ4732" s="201"/>
    </row>
    <row r="4733" spans="62:62" x14ac:dyDescent="0.2">
      <c r="BJ4733" s="201"/>
    </row>
    <row r="4734" spans="62:62" x14ac:dyDescent="0.2">
      <c r="BJ4734" s="201"/>
    </row>
    <row r="4735" spans="62:62" x14ac:dyDescent="0.2">
      <c r="BJ4735" s="201"/>
    </row>
    <row r="4736" spans="62:62" x14ac:dyDescent="0.2">
      <c r="BJ4736" s="201"/>
    </row>
    <row r="4737" spans="62:62" x14ac:dyDescent="0.2">
      <c r="BJ4737" s="201"/>
    </row>
    <row r="4738" spans="62:62" x14ac:dyDescent="0.2">
      <c r="BJ4738" s="201"/>
    </row>
    <row r="4739" spans="62:62" x14ac:dyDescent="0.2">
      <c r="BJ4739" s="201"/>
    </row>
    <row r="4740" spans="62:62" x14ac:dyDescent="0.2">
      <c r="BJ4740" s="201"/>
    </row>
    <row r="4741" spans="62:62" x14ac:dyDescent="0.2">
      <c r="BJ4741" s="201"/>
    </row>
    <row r="4742" spans="62:62" x14ac:dyDescent="0.2">
      <c r="BJ4742" s="201"/>
    </row>
    <row r="4743" spans="62:62" x14ac:dyDescent="0.2">
      <c r="BJ4743" s="201"/>
    </row>
    <row r="4744" spans="62:62" x14ac:dyDescent="0.2">
      <c r="BJ4744" s="201"/>
    </row>
    <row r="4745" spans="62:62" x14ac:dyDescent="0.2">
      <c r="BJ4745" s="201"/>
    </row>
    <row r="4746" spans="62:62" x14ac:dyDescent="0.2">
      <c r="BJ4746" s="201"/>
    </row>
    <row r="4747" spans="62:62" x14ac:dyDescent="0.2">
      <c r="BJ4747" s="201"/>
    </row>
    <row r="4748" spans="62:62" x14ac:dyDescent="0.2">
      <c r="BJ4748" s="201"/>
    </row>
    <row r="4749" spans="62:62" x14ac:dyDescent="0.2">
      <c r="BJ4749" s="201"/>
    </row>
    <row r="4750" spans="62:62" x14ac:dyDescent="0.2">
      <c r="BJ4750" s="201"/>
    </row>
    <row r="4751" spans="62:62" x14ac:dyDescent="0.2">
      <c r="BJ4751" s="201"/>
    </row>
    <row r="4752" spans="62:62" x14ac:dyDescent="0.2">
      <c r="BJ4752" s="201"/>
    </row>
    <row r="4753" spans="62:62" x14ac:dyDescent="0.2">
      <c r="BJ4753" s="201"/>
    </row>
    <row r="4754" spans="62:62" x14ac:dyDescent="0.2">
      <c r="BJ4754" s="201"/>
    </row>
    <row r="4755" spans="62:62" x14ac:dyDescent="0.2">
      <c r="BJ4755" s="201"/>
    </row>
    <row r="4756" spans="62:62" x14ac:dyDescent="0.2">
      <c r="BJ4756" s="201"/>
    </row>
    <row r="4757" spans="62:62" x14ac:dyDescent="0.2">
      <c r="BJ4757" s="201"/>
    </row>
    <row r="4758" spans="62:62" x14ac:dyDescent="0.2">
      <c r="BJ4758" s="201"/>
    </row>
    <row r="4759" spans="62:62" x14ac:dyDescent="0.2">
      <c r="BJ4759" s="201"/>
    </row>
    <row r="4760" spans="62:62" x14ac:dyDescent="0.2">
      <c r="BJ4760" s="201"/>
    </row>
    <row r="4761" spans="62:62" x14ac:dyDescent="0.2">
      <c r="BJ4761" s="201"/>
    </row>
    <row r="4762" spans="62:62" x14ac:dyDescent="0.2">
      <c r="BJ4762" s="201"/>
    </row>
    <row r="4763" spans="62:62" x14ac:dyDescent="0.2">
      <c r="BJ4763" s="201"/>
    </row>
    <row r="4764" spans="62:62" x14ac:dyDescent="0.2">
      <c r="BJ4764" s="201"/>
    </row>
    <row r="4765" spans="62:62" x14ac:dyDescent="0.2">
      <c r="BJ4765" s="201"/>
    </row>
    <row r="4766" spans="62:62" x14ac:dyDescent="0.2">
      <c r="BJ4766" s="201"/>
    </row>
    <row r="4767" spans="62:62" x14ac:dyDescent="0.2">
      <c r="BJ4767" s="201"/>
    </row>
    <row r="4768" spans="62:62" x14ac:dyDescent="0.2">
      <c r="BJ4768" s="201"/>
    </row>
    <row r="4769" spans="62:62" x14ac:dyDescent="0.2">
      <c r="BJ4769" s="201"/>
    </row>
    <row r="4770" spans="62:62" x14ac:dyDescent="0.2">
      <c r="BJ4770" s="201"/>
    </row>
    <row r="4771" spans="62:62" x14ac:dyDescent="0.2">
      <c r="BJ4771" s="201"/>
    </row>
    <row r="4772" spans="62:62" x14ac:dyDescent="0.2">
      <c r="BJ4772" s="201"/>
    </row>
    <row r="4773" spans="62:62" x14ac:dyDescent="0.2">
      <c r="BJ4773" s="201"/>
    </row>
    <row r="4774" spans="62:62" x14ac:dyDescent="0.2">
      <c r="BJ4774" s="201"/>
    </row>
    <row r="4775" spans="62:62" x14ac:dyDescent="0.2">
      <c r="BJ4775" s="201"/>
    </row>
    <row r="4776" spans="62:62" x14ac:dyDescent="0.2">
      <c r="BJ4776" s="201"/>
    </row>
    <row r="4777" spans="62:62" x14ac:dyDescent="0.2">
      <c r="BJ4777" s="201"/>
    </row>
    <row r="4778" spans="62:62" x14ac:dyDescent="0.2">
      <c r="BJ4778" s="201"/>
    </row>
    <row r="4779" spans="62:62" x14ac:dyDescent="0.2">
      <c r="BJ4779" s="201"/>
    </row>
    <row r="4780" spans="62:62" x14ac:dyDescent="0.2">
      <c r="BJ4780" s="201"/>
    </row>
    <row r="4781" spans="62:62" x14ac:dyDescent="0.2">
      <c r="BJ4781" s="201"/>
    </row>
    <row r="4782" spans="62:62" x14ac:dyDescent="0.2">
      <c r="BJ4782" s="201"/>
    </row>
    <row r="4783" spans="62:62" x14ac:dyDescent="0.2">
      <c r="BJ4783" s="201"/>
    </row>
    <row r="4784" spans="62:62" x14ac:dyDescent="0.2">
      <c r="BJ4784" s="201"/>
    </row>
    <row r="4785" spans="62:62" x14ac:dyDescent="0.2">
      <c r="BJ4785" s="201"/>
    </row>
    <row r="4786" spans="62:62" x14ac:dyDescent="0.2">
      <c r="BJ4786" s="201"/>
    </row>
    <row r="4787" spans="62:62" x14ac:dyDescent="0.2">
      <c r="BJ4787" s="201"/>
    </row>
    <row r="4788" spans="62:62" x14ac:dyDescent="0.2">
      <c r="BJ4788" s="201"/>
    </row>
    <row r="4789" spans="62:62" x14ac:dyDescent="0.2">
      <c r="BJ4789" s="201"/>
    </row>
    <row r="4790" spans="62:62" x14ac:dyDescent="0.2">
      <c r="BJ4790" s="201"/>
    </row>
    <row r="4791" spans="62:62" x14ac:dyDescent="0.2">
      <c r="BJ4791" s="201"/>
    </row>
    <row r="4792" spans="62:62" x14ac:dyDescent="0.2">
      <c r="BJ4792" s="201"/>
    </row>
    <row r="4793" spans="62:62" x14ac:dyDescent="0.2">
      <c r="BJ4793" s="201"/>
    </row>
    <row r="4794" spans="62:62" x14ac:dyDescent="0.2">
      <c r="BJ4794" s="201"/>
    </row>
    <row r="4795" spans="62:62" x14ac:dyDescent="0.2">
      <c r="BJ4795" s="201"/>
    </row>
    <row r="4796" spans="62:62" x14ac:dyDescent="0.2">
      <c r="BJ4796" s="201"/>
    </row>
    <row r="4797" spans="62:62" x14ac:dyDescent="0.2">
      <c r="BJ4797" s="201"/>
    </row>
    <row r="4798" spans="62:62" x14ac:dyDescent="0.2">
      <c r="BJ4798" s="201"/>
    </row>
    <row r="4799" spans="62:62" x14ac:dyDescent="0.2">
      <c r="BJ4799" s="201"/>
    </row>
    <row r="4800" spans="62:62" x14ac:dyDescent="0.2">
      <c r="BJ4800" s="201"/>
    </row>
    <row r="4801" spans="62:62" x14ac:dyDescent="0.2">
      <c r="BJ4801" s="201"/>
    </row>
    <row r="4802" spans="62:62" x14ac:dyDescent="0.2">
      <c r="BJ4802" s="201"/>
    </row>
    <row r="4803" spans="62:62" x14ac:dyDescent="0.2">
      <c r="BJ4803" s="201"/>
    </row>
    <row r="4804" spans="62:62" x14ac:dyDescent="0.2">
      <c r="BJ4804" s="201"/>
    </row>
    <row r="4805" spans="62:62" x14ac:dyDescent="0.2">
      <c r="BJ4805" s="201"/>
    </row>
    <row r="4806" spans="62:62" x14ac:dyDescent="0.2">
      <c r="BJ4806" s="201"/>
    </row>
    <row r="4807" spans="62:62" x14ac:dyDescent="0.2">
      <c r="BJ4807" s="201"/>
    </row>
    <row r="4808" spans="62:62" x14ac:dyDescent="0.2">
      <c r="BJ4808" s="201"/>
    </row>
    <row r="4809" spans="62:62" x14ac:dyDescent="0.2">
      <c r="BJ4809" s="201"/>
    </row>
    <row r="4810" spans="62:62" x14ac:dyDescent="0.2">
      <c r="BJ4810" s="201"/>
    </row>
    <row r="4811" spans="62:62" x14ac:dyDescent="0.2">
      <c r="BJ4811" s="201"/>
    </row>
    <row r="4812" spans="62:62" x14ac:dyDescent="0.2">
      <c r="BJ4812" s="201"/>
    </row>
    <row r="4813" spans="62:62" x14ac:dyDescent="0.2">
      <c r="BJ4813" s="201"/>
    </row>
    <row r="4814" spans="62:62" x14ac:dyDescent="0.2">
      <c r="BJ4814" s="201"/>
    </row>
    <row r="4815" spans="62:62" x14ac:dyDescent="0.2">
      <c r="BJ4815" s="201"/>
    </row>
    <row r="4816" spans="62:62" x14ac:dyDescent="0.2">
      <c r="BJ4816" s="201"/>
    </row>
    <row r="4817" spans="62:62" x14ac:dyDescent="0.2">
      <c r="BJ4817" s="201"/>
    </row>
    <row r="4818" spans="62:62" x14ac:dyDescent="0.2">
      <c r="BJ4818" s="201"/>
    </row>
    <row r="4819" spans="62:62" x14ac:dyDescent="0.2">
      <c r="BJ4819" s="201"/>
    </row>
    <row r="4820" spans="62:62" x14ac:dyDescent="0.2">
      <c r="BJ4820" s="201"/>
    </row>
    <row r="4821" spans="62:62" x14ac:dyDescent="0.2">
      <c r="BJ4821" s="201"/>
    </row>
    <row r="4822" spans="62:62" x14ac:dyDescent="0.2">
      <c r="BJ4822" s="201"/>
    </row>
    <row r="4823" spans="62:62" x14ac:dyDescent="0.2">
      <c r="BJ4823" s="201"/>
    </row>
    <row r="4824" spans="62:62" x14ac:dyDescent="0.2">
      <c r="BJ4824" s="201"/>
    </row>
    <row r="4825" spans="62:62" x14ac:dyDescent="0.2">
      <c r="BJ4825" s="201"/>
    </row>
    <row r="4826" spans="62:62" x14ac:dyDescent="0.2">
      <c r="BJ4826" s="201"/>
    </row>
    <row r="4827" spans="62:62" x14ac:dyDescent="0.2">
      <c r="BJ4827" s="201"/>
    </row>
    <row r="4828" spans="62:62" x14ac:dyDescent="0.2">
      <c r="BJ4828" s="201"/>
    </row>
    <row r="4829" spans="62:62" x14ac:dyDescent="0.2">
      <c r="BJ4829" s="201"/>
    </row>
    <row r="4830" spans="62:62" x14ac:dyDescent="0.2">
      <c r="BJ4830" s="201"/>
    </row>
    <row r="4831" spans="62:62" x14ac:dyDescent="0.2">
      <c r="BJ4831" s="201"/>
    </row>
    <row r="4832" spans="62:62" x14ac:dyDescent="0.2">
      <c r="BJ4832" s="201"/>
    </row>
    <row r="4833" spans="62:62" x14ac:dyDescent="0.2">
      <c r="BJ4833" s="201"/>
    </row>
    <row r="4834" spans="62:62" x14ac:dyDescent="0.2">
      <c r="BJ4834" s="201"/>
    </row>
    <row r="4835" spans="62:62" x14ac:dyDescent="0.2">
      <c r="BJ4835" s="201"/>
    </row>
    <row r="4836" spans="62:62" x14ac:dyDescent="0.2">
      <c r="BJ4836" s="201"/>
    </row>
    <row r="4837" spans="62:62" x14ac:dyDescent="0.2">
      <c r="BJ4837" s="201"/>
    </row>
    <row r="4838" spans="62:62" x14ac:dyDescent="0.2">
      <c r="BJ4838" s="201"/>
    </row>
    <row r="4839" spans="62:62" x14ac:dyDescent="0.2">
      <c r="BJ4839" s="201"/>
    </row>
    <row r="4840" spans="62:62" x14ac:dyDescent="0.2">
      <c r="BJ4840" s="201"/>
    </row>
    <row r="4841" spans="62:62" x14ac:dyDescent="0.2">
      <c r="BJ4841" s="201"/>
    </row>
    <row r="4842" spans="62:62" x14ac:dyDescent="0.2">
      <c r="BJ4842" s="201"/>
    </row>
    <row r="4843" spans="62:62" x14ac:dyDescent="0.2">
      <c r="BJ4843" s="201"/>
    </row>
    <row r="4844" spans="62:62" x14ac:dyDescent="0.2">
      <c r="BJ4844" s="201"/>
    </row>
    <row r="4845" spans="62:62" x14ac:dyDescent="0.2">
      <c r="BJ4845" s="201"/>
    </row>
    <row r="4846" spans="62:62" x14ac:dyDescent="0.2">
      <c r="BJ4846" s="201"/>
    </row>
    <row r="4847" spans="62:62" x14ac:dyDescent="0.2">
      <c r="BJ4847" s="201"/>
    </row>
    <row r="4848" spans="62:62" x14ac:dyDescent="0.2">
      <c r="BJ4848" s="201"/>
    </row>
    <row r="4849" spans="62:62" x14ac:dyDescent="0.2">
      <c r="BJ4849" s="201"/>
    </row>
    <row r="4850" spans="62:62" x14ac:dyDescent="0.2">
      <c r="BJ4850" s="201"/>
    </row>
    <row r="4851" spans="62:62" x14ac:dyDescent="0.2">
      <c r="BJ4851" s="201"/>
    </row>
    <row r="4852" spans="62:62" x14ac:dyDescent="0.2">
      <c r="BJ4852" s="201"/>
    </row>
    <row r="4853" spans="62:62" x14ac:dyDescent="0.2">
      <c r="BJ4853" s="201"/>
    </row>
    <row r="4854" spans="62:62" x14ac:dyDescent="0.2">
      <c r="BJ4854" s="201"/>
    </row>
    <row r="4855" spans="62:62" x14ac:dyDescent="0.2">
      <c r="BJ4855" s="201"/>
    </row>
    <row r="4856" spans="62:62" x14ac:dyDescent="0.2">
      <c r="BJ4856" s="201"/>
    </row>
    <row r="4857" spans="62:62" x14ac:dyDescent="0.2">
      <c r="BJ4857" s="201"/>
    </row>
    <row r="4858" spans="62:62" x14ac:dyDescent="0.2">
      <c r="BJ4858" s="201"/>
    </row>
    <row r="4859" spans="62:62" x14ac:dyDescent="0.2">
      <c r="BJ4859" s="201"/>
    </row>
    <row r="4860" spans="62:62" x14ac:dyDescent="0.2">
      <c r="BJ4860" s="201"/>
    </row>
    <row r="4861" spans="62:62" x14ac:dyDescent="0.2">
      <c r="BJ4861" s="201"/>
    </row>
    <row r="4862" spans="62:62" x14ac:dyDescent="0.2">
      <c r="BJ4862" s="201"/>
    </row>
    <row r="4863" spans="62:62" x14ac:dyDescent="0.2">
      <c r="BJ4863" s="201"/>
    </row>
    <row r="4864" spans="62:62" x14ac:dyDescent="0.2">
      <c r="BJ4864" s="201"/>
    </row>
    <row r="4865" spans="62:62" x14ac:dyDescent="0.2">
      <c r="BJ4865" s="201"/>
    </row>
    <row r="4866" spans="62:62" x14ac:dyDescent="0.2">
      <c r="BJ4866" s="201"/>
    </row>
    <row r="4867" spans="62:62" x14ac:dyDescent="0.2">
      <c r="BJ4867" s="201"/>
    </row>
    <row r="4868" spans="62:62" x14ac:dyDescent="0.2">
      <c r="BJ4868" s="201"/>
    </row>
    <row r="4869" spans="62:62" x14ac:dyDescent="0.2">
      <c r="BJ4869" s="201"/>
    </row>
    <row r="4870" spans="62:62" x14ac:dyDescent="0.2">
      <c r="BJ4870" s="201"/>
    </row>
    <row r="4871" spans="62:62" x14ac:dyDescent="0.2">
      <c r="BJ4871" s="201"/>
    </row>
    <row r="4872" spans="62:62" x14ac:dyDescent="0.2">
      <c r="BJ4872" s="201"/>
    </row>
    <row r="4873" spans="62:62" x14ac:dyDescent="0.2">
      <c r="BJ4873" s="201"/>
    </row>
    <row r="4874" spans="62:62" x14ac:dyDescent="0.2">
      <c r="BJ4874" s="201"/>
    </row>
    <row r="4875" spans="62:62" x14ac:dyDescent="0.2">
      <c r="BJ4875" s="201"/>
    </row>
    <row r="4876" spans="62:62" x14ac:dyDescent="0.2">
      <c r="BJ4876" s="201"/>
    </row>
    <row r="4877" spans="62:62" x14ac:dyDescent="0.2">
      <c r="BJ4877" s="201"/>
    </row>
    <row r="4878" spans="62:62" x14ac:dyDescent="0.2">
      <c r="BJ4878" s="201"/>
    </row>
    <row r="4879" spans="62:62" x14ac:dyDescent="0.2">
      <c r="BJ4879" s="201"/>
    </row>
    <row r="4880" spans="62:62" x14ac:dyDescent="0.2">
      <c r="BJ4880" s="201"/>
    </row>
    <row r="4881" spans="62:62" x14ac:dyDescent="0.2">
      <c r="BJ4881" s="201"/>
    </row>
    <row r="4882" spans="62:62" x14ac:dyDescent="0.2">
      <c r="BJ4882" s="201"/>
    </row>
    <row r="4883" spans="62:62" x14ac:dyDescent="0.2">
      <c r="BJ4883" s="201"/>
    </row>
    <row r="4884" spans="62:62" x14ac:dyDescent="0.2">
      <c r="BJ4884" s="201"/>
    </row>
    <row r="4885" spans="62:62" x14ac:dyDescent="0.2">
      <c r="BJ4885" s="201"/>
    </row>
    <row r="4886" spans="62:62" x14ac:dyDescent="0.2">
      <c r="BJ4886" s="201"/>
    </row>
    <row r="4887" spans="62:62" x14ac:dyDescent="0.2">
      <c r="BJ4887" s="201"/>
    </row>
    <row r="4888" spans="62:62" x14ac:dyDescent="0.2">
      <c r="BJ4888" s="201"/>
    </row>
    <row r="4889" spans="62:62" x14ac:dyDescent="0.2">
      <c r="BJ4889" s="201"/>
    </row>
    <row r="4890" spans="62:62" x14ac:dyDescent="0.2">
      <c r="BJ4890" s="201"/>
    </row>
    <row r="4891" spans="62:62" x14ac:dyDescent="0.2">
      <c r="BJ4891" s="201"/>
    </row>
    <row r="4892" spans="62:62" x14ac:dyDescent="0.2">
      <c r="BJ4892" s="201"/>
    </row>
    <row r="4893" spans="62:62" x14ac:dyDescent="0.2">
      <c r="BJ4893" s="201"/>
    </row>
    <row r="4894" spans="62:62" x14ac:dyDescent="0.2">
      <c r="BJ4894" s="201"/>
    </row>
    <row r="4895" spans="62:62" x14ac:dyDescent="0.2">
      <c r="BJ4895" s="201"/>
    </row>
    <row r="4896" spans="62:62" x14ac:dyDescent="0.2">
      <c r="BJ4896" s="201"/>
    </row>
    <row r="4897" spans="62:62" x14ac:dyDescent="0.2">
      <c r="BJ4897" s="201"/>
    </row>
    <row r="4898" spans="62:62" x14ac:dyDescent="0.2">
      <c r="BJ4898" s="201"/>
    </row>
    <row r="4899" spans="62:62" x14ac:dyDescent="0.2">
      <c r="BJ4899" s="201"/>
    </row>
    <row r="4900" spans="62:62" x14ac:dyDescent="0.2">
      <c r="BJ4900" s="201"/>
    </row>
    <row r="4901" spans="62:62" x14ac:dyDescent="0.2">
      <c r="BJ4901" s="201"/>
    </row>
    <row r="4902" spans="62:62" x14ac:dyDescent="0.2">
      <c r="BJ4902" s="201"/>
    </row>
    <row r="4903" spans="62:62" x14ac:dyDescent="0.2">
      <c r="BJ4903" s="201"/>
    </row>
    <row r="4904" spans="62:62" x14ac:dyDescent="0.2">
      <c r="BJ4904" s="201"/>
    </row>
    <row r="4905" spans="62:62" x14ac:dyDescent="0.2">
      <c r="BJ4905" s="201"/>
    </row>
    <row r="4906" spans="62:62" x14ac:dyDescent="0.2">
      <c r="BJ4906" s="201"/>
    </row>
    <row r="4907" spans="62:62" x14ac:dyDescent="0.2">
      <c r="BJ4907" s="201"/>
    </row>
    <row r="4908" spans="62:62" x14ac:dyDescent="0.2">
      <c r="BJ4908" s="201"/>
    </row>
    <row r="4909" spans="62:62" x14ac:dyDescent="0.2">
      <c r="BJ4909" s="201"/>
    </row>
    <row r="4910" spans="62:62" x14ac:dyDescent="0.2">
      <c r="BJ4910" s="201"/>
    </row>
    <row r="4911" spans="62:62" x14ac:dyDescent="0.2">
      <c r="BJ4911" s="201"/>
    </row>
    <row r="4912" spans="62:62" x14ac:dyDescent="0.2">
      <c r="BJ4912" s="201"/>
    </row>
    <row r="4913" spans="62:62" x14ac:dyDescent="0.2">
      <c r="BJ4913" s="201"/>
    </row>
    <row r="4914" spans="62:62" x14ac:dyDescent="0.2">
      <c r="BJ4914" s="201"/>
    </row>
    <row r="4915" spans="62:62" x14ac:dyDescent="0.2">
      <c r="BJ4915" s="201"/>
    </row>
    <row r="4916" spans="62:62" x14ac:dyDescent="0.2">
      <c r="BJ4916" s="201"/>
    </row>
    <row r="4917" spans="62:62" x14ac:dyDescent="0.2">
      <c r="BJ4917" s="201"/>
    </row>
    <row r="4918" spans="62:62" x14ac:dyDescent="0.2">
      <c r="BJ4918" s="201"/>
    </row>
    <row r="4919" spans="62:62" x14ac:dyDescent="0.2">
      <c r="BJ4919" s="201"/>
    </row>
    <row r="4920" spans="62:62" x14ac:dyDescent="0.2">
      <c r="BJ4920" s="201"/>
    </row>
    <row r="4921" spans="62:62" x14ac:dyDescent="0.2">
      <c r="BJ4921" s="201"/>
    </row>
    <row r="4922" spans="62:62" x14ac:dyDescent="0.2">
      <c r="BJ4922" s="201"/>
    </row>
    <row r="4923" spans="62:62" x14ac:dyDescent="0.2">
      <c r="BJ4923" s="201"/>
    </row>
    <row r="4924" spans="62:62" x14ac:dyDescent="0.2">
      <c r="BJ4924" s="201"/>
    </row>
    <row r="4925" spans="62:62" x14ac:dyDescent="0.2">
      <c r="BJ4925" s="201"/>
    </row>
    <row r="4926" spans="62:62" x14ac:dyDescent="0.2">
      <c r="BJ4926" s="201"/>
    </row>
    <row r="4927" spans="62:62" x14ac:dyDescent="0.2">
      <c r="BJ4927" s="201"/>
    </row>
    <row r="4928" spans="62:62" x14ac:dyDescent="0.2">
      <c r="BJ4928" s="201"/>
    </row>
    <row r="4929" spans="62:62" x14ac:dyDescent="0.2">
      <c r="BJ4929" s="201"/>
    </row>
    <row r="4930" spans="62:62" x14ac:dyDescent="0.2">
      <c r="BJ4930" s="201"/>
    </row>
    <row r="4931" spans="62:62" x14ac:dyDescent="0.2">
      <c r="BJ4931" s="201"/>
    </row>
    <row r="4932" spans="62:62" x14ac:dyDescent="0.2">
      <c r="BJ4932" s="201"/>
    </row>
    <row r="4933" spans="62:62" x14ac:dyDescent="0.2">
      <c r="BJ4933" s="201"/>
    </row>
    <row r="4934" spans="62:62" x14ac:dyDescent="0.2">
      <c r="BJ4934" s="201"/>
    </row>
    <row r="4935" spans="62:62" x14ac:dyDescent="0.2">
      <c r="BJ4935" s="201"/>
    </row>
    <row r="4936" spans="62:62" x14ac:dyDescent="0.2">
      <c r="BJ4936" s="201"/>
    </row>
    <row r="4937" spans="62:62" x14ac:dyDescent="0.2">
      <c r="BJ4937" s="201"/>
    </row>
    <row r="4938" spans="62:62" x14ac:dyDescent="0.2">
      <c r="BJ4938" s="201"/>
    </row>
    <row r="4939" spans="62:62" x14ac:dyDescent="0.2">
      <c r="BJ4939" s="201"/>
    </row>
    <row r="4940" spans="62:62" x14ac:dyDescent="0.2">
      <c r="BJ4940" s="201"/>
    </row>
    <row r="4941" spans="62:62" x14ac:dyDescent="0.2">
      <c r="BJ4941" s="201"/>
    </row>
    <row r="4942" spans="62:62" x14ac:dyDescent="0.2">
      <c r="BJ4942" s="201"/>
    </row>
    <row r="4943" spans="62:62" x14ac:dyDescent="0.2">
      <c r="BJ4943" s="201"/>
    </row>
    <row r="4944" spans="62:62" x14ac:dyDescent="0.2">
      <c r="BJ4944" s="201"/>
    </row>
    <row r="4945" spans="62:62" x14ac:dyDescent="0.2">
      <c r="BJ4945" s="201"/>
    </row>
    <row r="4946" spans="62:62" x14ac:dyDescent="0.2">
      <c r="BJ4946" s="201"/>
    </row>
    <row r="4947" spans="62:62" x14ac:dyDescent="0.2">
      <c r="BJ4947" s="201"/>
    </row>
    <row r="4948" spans="62:62" x14ac:dyDescent="0.2">
      <c r="BJ4948" s="201"/>
    </row>
    <row r="4949" spans="62:62" x14ac:dyDescent="0.2">
      <c r="BJ4949" s="201"/>
    </row>
    <row r="4950" spans="62:62" x14ac:dyDescent="0.2">
      <c r="BJ4950" s="201"/>
    </row>
    <row r="4951" spans="62:62" x14ac:dyDescent="0.2">
      <c r="BJ4951" s="201"/>
    </row>
    <row r="4952" spans="62:62" x14ac:dyDescent="0.2">
      <c r="BJ4952" s="201"/>
    </row>
    <row r="4953" spans="62:62" x14ac:dyDescent="0.2">
      <c r="BJ4953" s="201"/>
    </row>
    <row r="4954" spans="62:62" x14ac:dyDescent="0.2">
      <c r="BJ4954" s="201"/>
    </row>
    <row r="4955" spans="62:62" x14ac:dyDescent="0.2">
      <c r="BJ4955" s="201"/>
    </row>
    <row r="4956" spans="62:62" x14ac:dyDescent="0.2">
      <c r="BJ4956" s="201"/>
    </row>
    <row r="4957" spans="62:62" x14ac:dyDescent="0.2">
      <c r="BJ4957" s="201"/>
    </row>
    <row r="4958" spans="62:62" x14ac:dyDescent="0.2">
      <c r="BJ4958" s="201"/>
    </row>
    <row r="4959" spans="62:62" x14ac:dyDescent="0.2">
      <c r="BJ4959" s="201"/>
    </row>
    <row r="4960" spans="62:62" x14ac:dyDescent="0.2">
      <c r="BJ4960" s="201"/>
    </row>
    <row r="4961" spans="62:62" x14ac:dyDescent="0.2">
      <c r="BJ4961" s="201"/>
    </row>
    <row r="4962" spans="62:62" x14ac:dyDescent="0.2">
      <c r="BJ4962" s="201"/>
    </row>
    <row r="4963" spans="62:62" x14ac:dyDescent="0.2">
      <c r="BJ4963" s="201"/>
    </row>
    <row r="4964" spans="62:62" x14ac:dyDescent="0.2">
      <c r="BJ4964" s="201"/>
    </row>
    <row r="4965" spans="62:62" x14ac:dyDescent="0.2">
      <c r="BJ4965" s="201"/>
    </row>
    <row r="4966" spans="62:62" x14ac:dyDescent="0.2">
      <c r="BJ4966" s="201"/>
    </row>
    <row r="4967" spans="62:62" x14ac:dyDescent="0.2">
      <c r="BJ4967" s="201"/>
    </row>
    <row r="4968" spans="62:62" x14ac:dyDescent="0.2">
      <c r="BJ4968" s="201"/>
    </row>
    <row r="4969" spans="62:62" x14ac:dyDescent="0.2">
      <c r="BJ4969" s="201"/>
    </row>
    <row r="4970" spans="62:62" x14ac:dyDescent="0.2">
      <c r="BJ4970" s="201"/>
    </row>
    <row r="4971" spans="62:62" x14ac:dyDescent="0.2">
      <c r="BJ4971" s="201"/>
    </row>
    <row r="4972" spans="62:62" x14ac:dyDescent="0.2">
      <c r="BJ4972" s="201"/>
    </row>
    <row r="4973" spans="62:62" x14ac:dyDescent="0.2">
      <c r="BJ4973" s="201"/>
    </row>
    <row r="4974" spans="62:62" x14ac:dyDescent="0.2">
      <c r="BJ4974" s="201"/>
    </row>
    <row r="4975" spans="62:62" x14ac:dyDescent="0.2">
      <c r="BJ4975" s="201"/>
    </row>
    <row r="4976" spans="62:62" x14ac:dyDescent="0.2">
      <c r="BJ4976" s="201"/>
    </row>
    <row r="4977" spans="62:62" x14ac:dyDescent="0.2">
      <c r="BJ4977" s="201"/>
    </row>
    <row r="4978" spans="62:62" x14ac:dyDescent="0.2">
      <c r="BJ4978" s="201"/>
    </row>
    <row r="4979" spans="62:62" x14ac:dyDescent="0.2">
      <c r="BJ4979" s="201"/>
    </row>
    <row r="4980" spans="62:62" x14ac:dyDescent="0.2">
      <c r="BJ4980" s="201"/>
    </row>
    <row r="4981" spans="62:62" x14ac:dyDescent="0.2">
      <c r="BJ4981" s="201"/>
    </row>
    <row r="4982" spans="62:62" x14ac:dyDescent="0.2">
      <c r="BJ4982" s="201"/>
    </row>
    <row r="4983" spans="62:62" x14ac:dyDescent="0.2">
      <c r="BJ4983" s="201"/>
    </row>
    <row r="4984" spans="62:62" x14ac:dyDescent="0.2">
      <c r="BJ4984" s="201"/>
    </row>
    <row r="4985" spans="62:62" x14ac:dyDescent="0.2">
      <c r="BJ4985" s="201"/>
    </row>
    <row r="4986" spans="62:62" x14ac:dyDescent="0.2">
      <c r="BJ4986" s="201"/>
    </row>
    <row r="4987" spans="62:62" x14ac:dyDescent="0.2">
      <c r="BJ4987" s="201"/>
    </row>
    <row r="4988" spans="62:62" x14ac:dyDescent="0.2">
      <c r="BJ4988" s="201"/>
    </row>
    <row r="4989" spans="62:62" x14ac:dyDescent="0.2">
      <c r="BJ4989" s="201"/>
    </row>
    <row r="4990" spans="62:62" x14ac:dyDescent="0.2">
      <c r="BJ4990" s="201"/>
    </row>
    <row r="4991" spans="62:62" x14ac:dyDescent="0.2">
      <c r="BJ4991" s="201"/>
    </row>
    <row r="4992" spans="62:62" x14ac:dyDescent="0.2">
      <c r="BJ4992" s="201"/>
    </row>
    <row r="4993" spans="62:62" x14ac:dyDescent="0.2">
      <c r="BJ4993" s="201"/>
    </row>
    <row r="4994" spans="62:62" x14ac:dyDescent="0.2">
      <c r="BJ4994" s="201"/>
    </row>
    <row r="4995" spans="62:62" x14ac:dyDescent="0.2">
      <c r="BJ4995" s="201"/>
    </row>
    <row r="4996" spans="62:62" x14ac:dyDescent="0.2">
      <c r="BJ4996" s="201"/>
    </row>
    <row r="4997" spans="62:62" x14ac:dyDescent="0.2">
      <c r="BJ4997" s="201"/>
    </row>
    <row r="4998" spans="62:62" x14ac:dyDescent="0.2">
      <c r="BJ4998" s="201"/>
    </row>
    <row r="4999" spans="62:62" x14ac:dyDescent="0.2">
      <c r="BJ4999" s="201"/>
    </row>
    <row r="5000" spans="62:62" x14ac:dyDescent="0.2">
      <c r="BJ5000" s="201"/>
    </row>
    <row r="5001" spans="62:62" x14ac:dyDescent="0.2">
      <c r="BJ5001" s="201"/>
    </row>
    <row r="5002" spans="62:62" x14ac:dyDescent="0.2">
      <c r="BJ5002" s="201"/>
    </row>
    <row r="5003" spans="62:62" x14ac:dyDescent="0.2">
      <c r="BJ5003" s="201"/>
    </row>
    <row r="5004" spans="62:62" x14ac:dyDescent="0.2">
      <c r="BJ5004" s="201"/>
    </row>
    <row r="5005" spans="62:62" x14ac:dyDescent="0.2">
      <c r="BJ5005" s="201"/>
    </row>
    <row r="5006" spans="62:62" x14ac:dyDescent="0.2">
      <c r="BJ5006" s="201"/>
    </row>
    <row r="5007" spans="62:62" x14ac:dyDescent="0.2">
      <c r="BJ5007" s="201"/>
    </row>
    <row r="5008" spans="62:62" x14ac:dyDescent="0.2">
      <c r="BJ5008" s="201"/>
    </row>
    <row r="5009" spans="62:62" x14ac:dyDescent="0.2">
      <c r="BJ5009" s="201"/>
    </row>
    <row r="5010" spans="62:62" x14ac:dyDescent="0.2">
      <c r="BJ5010" s="201"/>
    </row>
    <row r="5011" spans="62:62" x14ac:dyDescent="0.2">
      <c r="BJ5011" s="201"/>
    </row>
    <row r="5012" spans="62:62" x14ac:dyDescent="0.2">
      <c r="BJ5012" s="201"/>
    </row>
    <row r="5013" spans="62:62" x14ac:dyDescent="0.2">
      <c r="BJ5013" s="201"/>
    </row>
    <row r="5014" spans="62:62" x14ac:dyDescent="0.2">
      <c r="BJ5014" s="201"/>
    </row>
    <row r="5015" spans="62:62" x14ac:dyDescent="0.2">
      <c r="BJ5015" s="201"/>
    </row>
    <row r="5016" spans="62:62" x14ac:dyDescent="0.2">
      <c r="BJ5016" s="201"/>
    </row>
    <row r="5017" spans="62:62" x14ac:dyDescent="0.2">
      <c r="BJ5017" s="201"/>
    </row>
    <row r="5018" spans="62:62" x14ac:dyDescent="0.2">
      <c r="BJ5018" s="201"/>
    </row>
    <row r="5019" spans="62:62" x14ac:dyDescent="0.2">
      <c r="BJ5019" s="201"/>
    </row>
    <row r="5020" spans="62:62" x14ac:dyDescent="0.2">
      <c r="BJ5020" s="201"/>
    </row>
    <row r="5021" spans="62:62" x14ac:dyDescent="0.2">
      <c r="BJ5021" s="201"/>
    </row>
    <row r="5022" spans="62:62" x14ac:dyDescent="0.2">
      <c r="BJ5022" s="201"/>
    </row>
    <row r="5023" spans="62:62" x14ac:dyDescent="0.2">
      <c r="BJ5023" s="201"/>
    </row>
    <row r="5024" spans="62:62" x14ac:dyDescent="0.2">
      <c r="BJ5024" s="201"/>
    </row>
    <row r="5025" spans="62:62" x14ac:dyDescent="0.2">
      <c r="BJ5025" s="201"/>
    </row>
    <row r="5026" spans="62:62" x14ac:dyDescent="0.2">
      <c r="BJ5026" s="201"/>
    </row>
    <row r="5027" spans="62:62" x14ac:dyDescent="0.2">
      <c r="BJ5027" s="201"/>
    </row>
    <row r="5028" spans="62:62" x14ac:dyDescent="0.2">
      <c r="BJ5028" s="201"/>
    </row>
    <row r="5029" spans="62:62" x14ac:dyDescent="0.2">
      <c r="BJ5029" s="201"/>
    </row>
    <row r="5030" spans="62:62" x14ac:dyDescent="0.2">
      <c r="BJ5030" s="201"/>
    </row>
    <row r="5031" spans="62:62" x14ac:dyDescent="0.2">
      <c r="BJ5031" s="201"/>
    </row>
    <row r="5032" spans="62:62" x14ac:dyDescent="0.2">
      <c r="BJ5032" s="201"/>
    </row>
    <row r="5033" spans="62:62" x14ac:dyDescent="0.2">
      <c r="BJ5033" s="201"/>
    </row>
    <row r="5034" spans="62:62" x14ac:dyDescent="0.2">
      <c r="BJ5034" s="201"/>
    </row>
    <row r="5035" spans="62:62" x14ac:dyDescent="0.2">
      <c r="BJ5035" s="201"/>
    </row>
    <row r="5036" spans="62:62" x14ac:dyDescent="0.2">
      <c r="BJ5036" s="201"/>
    </row>
    <row r="5037" spans="62:62" x14ac:dyDescent="0.2">
      <c r="BJ5037" s="201"/>
    </row>
    <row r="5038" spans="62:62" x14ac:dyDescent="0.2">
      <c r="BJ5038" s="201"/>
    </row>
    <row r="5039" spans="62:62" x14ac:dyDescent="0.2">
      <c r="BJ5039" s="201"/>
    </row>
    <row r="5040" spans="62:62" x14ac:dyDescent="0.2">
      <c r="BJ5040" s="201"/>
    </row>
    <row r="5041" spans="62:62" x14ac:dyDescent="0.2">
      <c r="BJ5041" s="201"/>
    </row>
    <row r="5042" spans="62:62" x14ac:dyDescent="0.2">
      <c r="BJ5042" s="201"/>
    </row>
    <row r="5043" spans="62:62" x14ac:dyDescent="0.2">
      <c r="BJ5043" s="201"/>
    </row>
    <row r="5044" spans="62:62" x14ac:dyDescent="0.2">
      <c r="BJ5044" s="201"/>
    </row>
    <row r="5045" spans="62:62" x14ac:dyDescent="0.2">
      <c r="BJ5045" s="201"/>
    </row>
    <row r="5046" spans="62:62" x14ac:dyDescent="0.2">
      <c r="BJ5046" s="201"/>
    </row>
    <row r="5047" spans="62:62" x14ac:dyDescent="0.2">
      <c r="BJ5047" s="201"/>
    </row>
    <row r="5048" spans="62:62" x14ac:dyDescent="0.2">
      <c r="BJ5048" s="201"/>
    </row>
    <row r="5049" spans="62:62" x14ac:dyDescent="0.2">
      <c r="BJ5049" s="201"/>
    </row>
    <row r="5050" spans="62:62" x14ac:dyDescent="0.2">
      <c r="BJ5050" s="201"/>
    </row>
    <row r="5051" spans="62:62" x14ac:dyDescent="0.2">
      <c r="BJ5051" s="201"/>
    </row>
    <row r="5052" spans="62:62" x14ac:dyDescent="0.2">
      <c r="BJ5052" s="201"/>
    </row>
    <row r="5053" spans="62:62" x14ac:dyDescent="0.2">
      <c r="BJ5053" s="201"/>
    </row>
    <row r="5054" spans="62:62" x14ac:dyDescent="0.2">
      <c r="BJ5054" s="201"/>
    </row>
    <row r="5055" spans="62:62" x14ac:dyDescent="0.2">
      <c r="BJ5055" s="201"/>
    </row>
    <row r="5056" spans="62:62" x14ac:dyDescent="0.2">
      <c r="BJ5056" s="201"/>
    </row>
    <row r="5057" spans="62:62" x14ac:dyDescent="0.2">
      <c r="BJ5057" s="201"/>
    </row>
    <row r="5058" spans="62:62" x14ac:dyDescent="0.2">
      <c r="BJ5058" s="201"/>
    </row>
    <row r="5059" spans="62:62" x14ac:dyDescent="0.2">
      <c r="BJ5059" s="201"/>
    </row>
    <row r="5060" spans="62:62" x14ac:dyDescent="0.2">
      <c r="BJ5060" s="201"/>
    </row>
    <row r="5061" spans="62:62" x14ac:dyDescent="0.2">
      <c r="BJ5061" s="201"/>
    </row>
    <row r="5062" spans="62:62" x14ac:dyDescent="0.2">
      <c r="BJ5062" s="201"/>
    </row>
    <row r="5063" spans="62:62" x14ac:dyDescent="0.2">
      <c r="BJ5063" s="201"/>
    </row>
    <row r="5064" spans="62:62" x14ac:dyDescent="0.2">
      <c r="BJ5064" s="201"/>
    </row>
    <row r="5065" spans="62:62" x14ac:dyDescent="0.2">
      <c r="BJ5065" s="201"/>
    </row>
    <row r="5066" spans="62:62" x14ac:dyDescent="0.2">
      <c r="BJ5066" s="201"/>
    </row>
    <row r="5067" spans="62:62" x14ac:dyDescent="0.2">
      <c r="BJ5067" s="201"/>
    </row>
    <row r="5068" spans="62:62" x14ac:dyDescent="0.2">
      <c r="BJ5068" s="201"/>
    </row>
    <row r="5069" spans="62:62" x14ac:dyDescent="0.2">
      <c r="BJ5069" s="201"/>
    </row>
    <row r="5070" spans="62:62" x14ac:dyDescent="0.2">
      <c r="BJ5070" s="201"/>
    </row>
    <row r="5071" spans="62:62" x14ac:dyDescent="0.2">
      <c r="BJ5071" s="201"/>
    </row>
    <row r="5072" spans="62:62" x14ac:dyDescent="0.2">
      <c r="BJ5072" s="201"/>
    </row>
    <row r="5073" spans="62:62" x14ac:dyDescent="0.2">
      <c r="BJ5073" s="201"/>
    </row>
    <row r="5074" spans="62:62" x14ac:dyDescent="0.2">
      <c r="BJ5074" s="201"/>
    </row>
    <row r="5075" spans="62:62" x14ac:dyDescent="0.2">
      <c r="BJ5075" s="201"/>
    </row>
    <row r="5076" spans="62:62" x14ac:dyDescent="0.2">
      <c r="BJ5076" s="201"/>
    </row>
    <row r="5077" spans="62:62" x14ac:dyDescent="0.2">
      <c r="BJ5077" s="201"/>
    </row>
    <row r="5078" spans="62:62" x14ac:dyDescent="0.2">
      <c r="BJ5078" s="201"/>
    </row>
    <row r="5079" spans="62:62" x14ac:dyDescent="0.2">
      <c r="BJ5079" s="201"/>
    </row>
    <row r="5080" spans="62:62" x14ac:dyDescent="0.2">
      <c r="BJ5080" s="201"/>
    </row>
    <row r="5081" spans="62:62" x14ac:dyDescent="0.2">
      <c r="BJ5081" s="201"/>
    </row>
    <row r="5082" spans="62:62" x14ac:dyDescent="0.2">
      <c r="BJ5082" s="201"/>
    </row>
    <row r="5083" spans="62:62" x14ac:dyDescent="0.2">
      <c r="BJ5083" s="201"/>
    </row>
    <row r="5084" spans="62:62" x14ac:dyDescent="0.2">
      <c r="BJ5084" s="201"/>
    </row>
    <row r="5085" spans="62:62" x14ac:dyDescent="0.2">
      <c r="BJ5085" s="201"/>
    </row>
    <row r="5086" spans="62:62" x14ac:dyDescent="0.2">
      <c r="BJ5086" s="201"/>
    </row>
    <row r="5087" spans="62:62" x14ac:dyDescent="0.2">
      <c r="BJ5087" s="201"/>
    </row>
    <row r="5088" spans="62:62" x14ac:dyDescent="0.2">
      <c r="BJ5088" s="201"/>
    </row>
    <row r="5089" spans="62:62" x14ac:dyDescent="0.2">
      <c r="BJ5089" s="201"/>
    </row>
    <row r="5090" spans="62:62" x14ac:dyDescent="0.2">
      <c r="BJ5090" s="201"/>
    </row>
    <row r="5091" spans="62:62" x14ac:dyDescent="0.2">
      <c r="BJ5091" s="201"/>
    </row>
    <row r="5092" spans="62:62" x14ac:dyDescent="0.2">
      <c r="BJ5092" s="201"/>
    </row>
    <row r="5093" spans="62:62" x14ac:dyDescent="0.2">
      <c r="BJ5093" s="201"/>
    </row>
    <row r="5094" spans="62:62" x14ac:dyDescent="0.2">
      <c r="BJ5094" s="201"/>
    </row>
    <row r="5095" spans="62:62" x14ac:dyDescent="0.2">
      <c r="BJ5095" s="201"/>
    </row>
    <row r="5096" spans="62:62" x14ac:dyDescent="0.2">
      <c r="BJ5096" s="201"/>
    </row>
    <row r="5097" spans="62:62" x14ac:dyDescent="0.2">
      <c r="BJ5097" s="201"/>
    </row>
    <row r="5098" spans="62:62" x14ac:dyDescent="0.2">
      <c r="BJ5098" s="201"/>
    </row>
    <row r="5099" spans="62:62" x14ac:dyDescent="0.2">
      <c r="BJ5099" s="201"/>
    </row>
    <row r="5100" spans="62:62" x14ac:dyDescent="0.2">
      <c r="BJ5100" s="201"/>
    </row>
    <row r="5101" spans="62:62" x14ac:dyDescent="0.2">
      <c r="BJ5101" s="201"/>
    </row>
    <row r="5102" spans="62:62" x14ac:dyDescent="0.2">
      <c r="BJ5102" s="201"/>
    </row>
    <row r="5103" spans="62:62" x14ac:dyDescent="0.2">
      <c r="BJ5103" s="201"/>
    </row>
    <row r="5104" spans="62:62" x14ac:dyDescent="0.2">
      <c r="BJ5104" s="201"/>
    </row>
    <row r="5105" spans="62:62" x14ac:dyDescent="0.2">
      <c r="BJ5105" s="201"/>
    </row>
    <row r="5106" spans="62:62" x14ac:dyDescent="0.2">
      <c r="BJ5106" s="201"/>
    </row>
    <row r="5107" spans="62:62" x14ac:dyDescent="0.2">
      <c r="BJ5107" s="201"/>
    </row>
    <row r="5108" spans="62:62" x14ac:dyDescent="0.2">
      <c r="BJ5108" s="201"/>
    </row>
    <row r="5109" spans="62:62" x14ac:dyDescent="0.2">
      <c r="BJ5109" s="201"/>
    </row>
    <row r="5110" spans="62:62" x14ac:dyDescent="0.2">
      <c r="BJ5110" s="201"/>
    </row>
    <row r="5111" spans="62:62" x14ac:dyDescent="0.2">
      <c r="BJ5111" s="201"/>
    </row>
    <row r="5112" spans="62:62" x14ac:dyDescent="0.2">
      <c r="BJ5112" s="201"/>
    </row>
    <row r="5113" spans="62:62" x14ac:dyDescent="0.2">
      <c r="BJ5113" s="201"/>
    </row>
    <row r="5114" spans="62:62" x14ac:dyDescent="0.2">
      <c r="BJ5114" s="201"/>
    </row>
    <row r="5115" spans="62:62" x14ac:dyDescent="0.2">
      <c r="BJ5115" s="201"/>
    </row>
    <row r="5116" spans="62:62" x14ac:dyDescent="0.2">
      <c r="BJ5116" s="201"/>
    </row>
    <row r="5117" spans="62:62" x14ac:dyDescent="0.2">
      <c r="BJ5117" s="201"/>
    </row>
    <row r="5118" spans="62:62" x14ac:dyDescent="0.2">
      <c r="BJ5118" s="201"/>
    </row>
    <row r="5119" spans="62:62" x14ac:dyDescent="0.2">
      <c r="BJ5119" s="201"/>
    </row>
    <row r="5120" spans="62:62" x14ac:dyDescent="0.2">
      <c r="BJ5120" s="201"/>
    </row>
    <row r="5121" spans="62:62" x14ac:dyDescent="0.2">
      <c r="BJ5121" s="201"/>
    </row>
    <row r="5122" spans="62:62" x14ac:dyDescent="0.2">
      <c r="BJ5122" s="201"/>
    </row>
    <row r="5123" spans="62:62" x14ac:dyDescent="0.2">
      <c r="BJ5123" s="201"/>
    </row>
    <row r="5124" spans="62:62" x14ac:dyDescent="0.2">
      <c r="BJ5124" s="201"/>
    </row>
    <row r="5125" spans="62:62" x14ac:dyDescent="0.2">
      <c r="BJ5125" s="201"/>
    </row>
    <row r="5126" spans="62:62" x14ac:dyDescent="0.2">
      <c r="BJ5126" s="201"/>
    </row>
    <row r="5127" spans="62:62" x14ac:dyDescent="0.2">
      <c r="BJ5127" s="201"/>
    </row>
    <row r="5128" spans="62:62" x14ac:dyDescent="0.2">
      <c r="BJ5128" s="201"/>
    </row>
    <row r="5129" spans="62:62" x14ac:dyDescent="0.2">
      <c r="BJ5129" s="201"/>
    </row>
    <row r="5130" spans="62:62" x14ac:dyDescent="0.2">
      <c r="BJ5130" s="201"/>
    </row>
    <row r="5131" spans="62:62" x14ac:dyDescent="0.2">
      <c r="BJ5131" s="201"/>
    </row>
    <row r="5132" spans="62:62" x14ac:dyDescent="0.2">
      <c r="BJ5132" s="201"/>
    </row>
    <row r="5133" spans="62:62" x14ac:dyDescent="0.2">
      <c r="BJ5133" s="201"/>
    </row>
    <row r="5134" spans="62:62" x14ac:dyDescent="0.2">
      <c r="BJ5134" s="201"/>
    </row>
    <row r="5135" spans="62:62" x14ac:dyDescent="0.2">
      <c r="BJ5135" s="201"/>
    </row>
    <row r="5136" spans="62:62" x14ac:dyDescent="0.2">
      <c r="BJ5136" s="201"/>
    </row>
    <row r="5137" spans="62:62" x14ac:dyDescent="0.2">
      <c r="BJ5137" s="201"/>
    </row>
    <row r="5138" spans="62:62" x14ac:dyDescent="0.2">
      <c r="BJ5138" s="201"/>
    </row>
    <row r="5139" spans="62:62" x14ac:dyDescent="0.2">
      <c r="BJ5139" s="201"/>
    </row>
    <row r="5140" spans="62:62" x14ac:dyDescent="0.2">
      <c r="BJ5140" s="201"/>
    </row>
    <row r="5141" spans="62:62" x14ac:dyDescent="0.2">
      <c r="BJ5141" s="201"/>
    </row>
    <row r="5142" spans="62:62" x14ac:dyDescent="0.2">
      <c r="BJ5142" s="201"/>
    </row>
    <row r="5143" spans="62:62" x14ac:dyDescent="0.2">
      <c r="BJ5143" s="201"/>
    </row>
    <row r="5144" spans="62:62" x14ac:dyDescent="0.2">
      <c r="BJ5144" s="201"/>
    </row>
    <row r="5145" spans="62:62" x14ac:dyDescent="0.2">
      <c r="BJ5145" s="201"/>
    </row>
    <row r="5146" spans="62:62" x14ac:dyDescent="0.2">
      <c r="BJ5146" s="201"/>
    </row>
    <row r="5147" spans="62:62" x14ac:dyDescent="0.2">
      <c r="BJ5147" s="201"/>
    </row>
    <row r="5148" spans="62:62" x14ac:dyDescent="0.2">
      <c r="BJ5148" s="201"/>
    </row>
    <row r="5149" spans="62:62" x14ac:dyDescent="0.2">
      <c r="BJ5149" s="201"/>
    </row>
    <row r="5150" spans="62:62" x14ac:dyDescent="0.2">
      <c r="BJ5150" s="201"/>
    </row>
    <row r="5151" spans="62:62" x14ac:dyDescent="0.2">
      <c r="BJ5151" s="201"/>
    </row>
    <row r="5152" spans="62:62" x14ac:dyDescent="0.2">
      <c r="BJ5152" s="201"/>
    </row>
    <row r="5153" spans="62:62" x14ac:dyDescent="0.2">
      <c r="BJ5153" s="201"/>
    </row>
    <row r="5154" spans="62:62" x14ac:dyDescent="0.2">
      <c r="BJ5154" s="201"/>
    </row>
    <row r="5155" spans="62:62" x14ac:dyDescent="0.2">
      <c r="BJ5155" s="201"/>
    </row>
    <row r="5156" spans="62:62" x14ac:dyDescent="0.2">
      <c r="BJ5156" s="201"/>
    </row>
    <row r="5157" spans="62:62" x14ac:dyDescent="0.2">
      <c r="BJ5157" s="201"/>
    </row>
    <row r="5158" spans="62:62" x14ac:dyDescent="0.2">
      <c r="BJ5158" s="201"/>
    </row>
    <row r="5159" spans="62:62" x14ac:dyDescent="0.2">
      <c r="BJ5159" s="201"/>
    </row>
    <row r="5160" spans="62:62" x14ac:dyDescent="0.2">
      <c r="BJ5160" s="201"/>
    </row>
    <row r="5161" spans="62:62" x14ac:dyDescent="0.2">
      <c r="BJ5161" s="201"/>
    </row>
    <row r="5162" spans="62:62" x14ac:dyDescent="0.2">
      <c r="BJ5162" s="201"/>
    </row>
    <row r="5163" spans="62:62" x14ac:dyDescent="0.2">
      <c r="BJ5163" s="201"/>
    </row>
    <row r="5164" spans="62:62" x14ac:dyDescent="0.2">
      <c r="BJ5164" s="201"/>
    </row>
    <row r="5165" spans="62:62" x14ac:dyDescent="0.2">
      <c r="BJ5165" s="201"/>
    </row>
    <row r="5166" spans="62:62" x14ac:dyDescent="0.2">
      <c r="BJ5166" s="201"/>
    </row>
    <row r="5167" spans="62:62" x14ac:dyDescent="0.2">
      <c r="BJ5167" s="201"/>
    </row>
    <row r="5168" spans="62:62" x14ac:dyDescent="0.2">
      <c r="BJ5168" s="201"/>
    </row>
    <row r="5169" spans="62:62" x14ac:dyDescent="0.2">
      <c r="BJ5169" s="201"/>
    </row>
    <row r="5170" spans="62:62" x14ac:dyDescent="0.2">
      <c r="BJ5170" s="201"/>
    </row>
    <row r="5171" spans="62:62" x14ac:dyDescent="0.2">
      <c r="BJ5171" s="201"/>
    </row>
    <row r="5172" spans="62:62" x14ac:dyDescent="0.2">
      <c r="BJ5172" s="201"/>
    </row>
    <row r="5173" spans="62:62" x14ac:dyDescent="0.2">
      <c r="BJ5173" s="201"/>
    </row>
    <row r="5174" spans="62:62" x14ac:dyDescent="0.2">
      <c r="BJ5174" s="201"/>
    </row>
    <row r="5175" spans="62:62" x14ac:dyDescent="0.2">
      <c r="BJ5175" s="201"/>
    </row>
    <row r="5176" spans="62:62" x14ac:dyDescent="0.2">
      <c r="BJ5176" s="201"/>
    </row>
    <row r="5177" spans="62:62" x14ac:dyDescent="0.2">
      <c r="BJ5177" s="201"/>
    </row>
    <row r="5178" spans="62:62" x14ac:dyDescent="0.2">
      <c r="BJ5178" s="201"/>
    </row>
    <row r="5179" spans="62:62" x14ac:dyDescent="0.2">
      <c r="BJ5179" s="201"/>
    </row>
    <row r="5180" spans="62:62" x14ac:dyDescent="0.2">
      <c r="BJ5180" s="201"/>
    </row>
    <row r="5181" spans="62:62" x14ac:dyDescent="0.2">
      <c r="BJ5181" s="201"/>
    </row>
    <row r="5182" spans="62:62" x14ac:dyDescent="0.2">
      <c r="BJ5182" s="201"/>
    </row>
    <row r="5183" spans="62:62" x14ac:dyDescent="0.2">
      <c r="BJ5183" s="201"/>
    </row>
    <row r="5184" spans="62:62" x14ac:dyDescent="0.2">
      <c r="BJ5184" s="201"/>
    </row>
    <row r="5185" spans="62:62" x14ac:dyDescent="0.2">
      <c r="BJ5185" s="201"/>
    </row>
    <row r="5186" spans="62:62" x14ac:dyDescent="0.2">
      <c r="BJ5186" s="201"/>
    </row>
    <row r="5187" spans="62:62" x14ac:dyDescent="0.2">
      <c r="BJ5187" s="201"/>
    </row>
    <row r="5188" spans="62:62" x14ac:dyDescent="0.2">
      <c r="BJ5188" s="201"/>
    </row>
    <row r="5189" spans="62:62" x14ac:dyDescent="0.2">
      <c r="BJ5189" s="201"/>
    </row>
    <row r="5190" spans="62:62" x14ac:dyDescent="0.2">
      <c r="BJ5190" s="201"/>
    </row>
    <row r="5191" spans="62:62" x14ac:dyDescent="0.2">
      <c r="BJ5191" s="201"/>
    </row>
    <row r="5192" spans="62:62" x14ac:dyDescent="0.2">
      <c r="BJ5192" s="201"/>
    </row>
    <row r="5193" spans="62:62" x14ac:dyDescent="0.2">
      <c r="BJ5193" s="201"/>
    </row>
    <row r="5194" spans="62:62" x14ac:dyDescent="0.2">
      <c r="BJ5194" s="201"/>
    </row>
    <row r="5195" spans="62:62" x14ac:dyDescent="0.2">
      <c r="BJ5195" s="201"/>
    </row>
    <row r="5196" spans="62:62" x14ac:dyDescent="0.2">
      <c r="BJ5196" s="201"/>
    </row>
    <row r="5197" spans="62:62" x14ac:dyDescent="0.2">
      <c r="BJ5197" s="201"/>
    </row>
    <row r="5198" spans="62:62" x14ac:dyDescent="0.2">
      <c r="BJ5198" s="201"/>
    </row>
    <row r="5199" spans="62:62" x14ac:dyDescent="0.2">
      <c r="BJ5199" s="201"/>
    </row>
    <row r="5200" spans="62:62" x14ac:dyDescent="0.2">
      <c r="BJ5200" s="201"/>
    </row>
    <row r="5201" spans="62:62" x14ac:dyDescent="0.2">
      <c r="BJ5201" s="201"/>
    </row>
    <row r="5202" spans="62:62" x14ac:dyDescent="0.2">
      <c r="BJ5202" s="201"/>
    </row>
    <row r="5203" spans="62:62" x14ac:dyDescent="0.2">
      <c r="BJ5203" s="201"/>
    </row>
    <row r="5204" spans="62:62" x14ac:dyDescent="0.2">
      <c r="BJ5204" s="201"/>
    </row>
    <row r="5205" spans="62:62" x14ac:dyDescent="0.2">
      <c r="BJ5205" s="201"/>
    </row>
    <row r="5206" spans="62:62" x14ac:dyDescent="0.2">
      <c r="BJ5206" s="201"/>
    </row>
    <row r="5207" spans="62:62" x14ac:dyDescent="0.2">
      <c r="BJ5207" s="201"/>
    </row>
    <row r="5208" spans="62:62" x14ac:dyDescent="0.2">
      <c r="BJ5208" s="201"/>
    </row>
    <row r="5209" spans="62:62" x14ac:dyDescent="0.2">
      <c r="BJ5209" s="201"/>
    </row>
    <row r="5210" spans="62:62" x14ac:dyDescent="0.2">
      <c r="BJ5210" s="201"/>
    </row>
    <row r="5211" spans="62:62" x14ac:dyDescent="0.2">
      <c r="BJ5211" s="201"/>
    </row>
    <row r="5212" spans="62:62" x14ac:dyDescent="0.2">
      <c r="BJ5212" s="201"/>
    </row>
    <row r="5213" spans="62:62" x14ac:dyDescent="0.2">
      <c r="BJ5213" s="201"/>
    </row>
    <row r="5214" spans="62:62" x14ac:dyDescent="0.2">
      <c r="BJ5214" s="201"/>
    </row>
    <row r="5215" spans="62:62" x14ac:dyDescent="0.2">
      <c r="BJ5215" s="201"/>
    </row>
    <row r="5216" spans="62:62" x14ac:dyDescent="0.2">
      <c r="BJ5216" s="201"/>
    </row>
    <row r="5217" spans="62:62" x14ac:dyDescent="0.2">
      <c r="BJ5217" s="201"/>
    </row>
    <row r="5218" spans="62:62" x14ac:dyDescent="0.2">
      <c r="BJ5218" s="201"/>
    </row>
    <row r="5219" spans="62:62" x14ac:dyDescent="0.2">
      <c r="BJ5219" s="201"/>
    </row>
    <row r="5220" spans="62:62" x14ac:dyDescent="0.2">
      <c r="BJ5220" s="201"/>
    </row>
    <row r="5221" spans="62:62" x14ac:dyDescent="0.2">
      <c r="BJ5221" s="201"/>
    </row>
    <row r="5222" spans="62:62" x14ac:dyDescent="0.2">
      <c r="BJ5222" s="201"/>
    </row>
    <row r="5223" spans="62:62" x14ac:dyDescent="0.2">
      <c r="BJ5223" s="201"/>
    </row>
    <row r="5224" spans="62:62" x14ac:dyDescent="0.2">
      <c r="BJ5224" s="201"/>
    </row>
    <row r="5225" spans="62:62" x14ac:dyDescent="0.2">
      <c r="BJ5225" s="201"/>
    </row>
    <row r="5226" spans="62:62" x14ac:dyDescent="0.2">
      <c r="BJ5226" s="201"/>
    </row>
    <row r="5227" spans="62:62" x14ac:dyDescent="0.2">
      <c r="BJ5227" s="201"/>
    </row>
    <row r="5228" spans="62:62" x14ac:dyDescent="0.2">
      <c r="BJ5228" s="201"/>
    </row>
    <row r="5229" spans="62:62" x14ac:dyDescent="0.2">
      <c r="BJ5229" s="201"/>
    </row>
    <row r="5230" spans="62:62" x14ac:dyDescent="0.2">
      <c r="BJ5230" s="201"/>
    </row>
    <row r="5231" spans="62:62" x14ac:dyDescent="0.2">
      <c r="BJ5231" s="201"/>
    </row>
    <row r="5232" spans="62:62" x14ac:dyDescent="0.2">
      <c r="BJ5232" s="201"/>
    </row>
    <row r="5233" spans="62:62" x14ac:dyDescent="0.2">
      <c r="BJ5233" s="201"/>
    </row>
    <row r="5234" spans="62:62" x14ac:dyDescent="0.2">
      <c r="BJ5234" s="201"/>
    </row>
    <row r="5235" spans="62:62" x14ac:dyDescent="0.2">
      <c r="BJ5235" s="201"/>
    </row>
    <row r="5236" spans="62:62" x14ac:dyDescent="0.2">
      <c r="BJ5236" s="201"/>
    </row>
    <row r="5237" spans="62:62" x14ac:dyDescent="0.2">
      <c r="BJ5237" s="201"/>
    </row>
    <row r="5238" spans="62:62" x14ac:dyDescent="0.2">
      <c r="BJ5238" s="201"/>
    </row>
    <row r="5239" spans="62:62" x14ac:dyDescent="0.2">
      <c r="BJ5239" s="201"/>
    </row>
    <row r="5240" spans="62:62" x14ac:dyDescent="0.2">
      <c r="BJ5240" s="201"/>
    </row>
    <row r="5241" spans="62:62" x14ac:dyDescent="0.2">
      <c r="BJ5241" s="201"/>
    </row>
    <row r="5242" spans="62:62" x14ac:dyDescent="0.2">
      <c r="BJ5242" s="201"/>
    </row>
    <row r="5243" spans="62:62" x14ac:dyDescent="0.2">
      <c r="BJ5243" s="201"/>
    </row>
    <row r="5244" spans="62:62" x14ac:dyDescent="0.2">
      <c r="BJ5244" s="201"/>
    </row>
    <row r="5245" spans="62:62" x14ac:dyDescent="0.2">
      <c r="BJ5245" s="201"/>
    </row>
    <row r="5246" spans="62:62" x14ac:dyDescent="0.2">
      <c r="BJ5246" s="201"/>
    </row>
    <row r="5247" spans="62:62" x14ac:dyDescent="0.2">
      <c r="BJ5247" s="201"/>
    </row>
    <row r="5248" spans="62:62" x14ac:dyDescent="0.2">
      <c r="BJ5248" s="201"/>
    </row>
    <row r="5249" spans="62:62" x14ac:dyDescent="0.2">
      <c r="BJ5249" s="201"/>
    </row>
    <row r="5250" spans="62:62" x14ac:dyDescent="0.2">
      <c r="BJ5250" s="201"/>
    </row>
    <row r="5251" spans="62:62" x14ac:dyDescent="0.2">
      <c r="BJ5251" s="201"/>
    </row>
    <row r="5252" spans="62:62" x14ac:dyDescent="0.2">
      <c r="BJ5252" s="201"/>
    </row>
    <row r="5253" spans="62:62" x14ac:dyDescent="0.2">
      <c r="BJ5253" s="201"/>
    </row>
    <row r="5254" spans="62:62" x14ac:dyDescent="0.2">
      <c r="BJ5254" s="201"/>
    </row>
    <row r="5255" spans="62:62" x14ac:dyDescent="0.2">
      <c r="BJ5255" s="201"/>
    </row>
    <row r="5256" spans="62:62" x14ac:dyDescent="0.2">
      <c r="BJ5256" s="201"/>
    </row>
    <row r="5257" spans="62:62" x14ac:dyDescent="0.2">
      <c r="BJ5257" s="201"/>
    </row>
    <row r="5258" spans="62:62" x14ac:dyDescent="0.2">
      <c r="BJ5258" s="201"/>
    </row>
    <row r="5259" spans="62:62" x14ac:dyDescent="0.2">
      <c r="BJ5259" s="201"/>
    </row>
    <row r="5260" spans="62:62" x14ac:dyDescent="0.2">
      <c r="BJ5260" s="201"/>
    </row>
    <row r="5261" spans="62:62" x14ac:dyDescent="0.2">
      <c r="BJ5261" s="201"/>
    </row>
    <row r="5262" spans="62:62" x14ac:dyDescent="0.2">
      <c r="BJ5262" s="201"/>
    </row>
    <row r="5263" spans="62:62" x14ac:dyDescent="0.2">
      <c r="BJ5263" s="201"/>
    </row>
    <row r="5264" spans="62:62" x14ac:dyDescent="0.2">
      <c r="BJ5264" s="201"/>
    </row>
    <row r="5265" spans="62:62" x14ac:dyDescent="0.2">
      <c r="BJ5265" s="201"/>
    </row>
    <row r="5266" spans="62:62" x14ac:dyDescent="0.2">
      <c r="BJ5266" s="201"/>
    </row>
    <row r="5267" spans="62:62" x14ac:dyDescent="0.2">
      <c r="BJ5267" s="201"/>
    </row>
    <row r="5268" spans="62:62" x14ac:dyDescent="0.2">
      <c r="BJ5268" s="201"/>
    </row>
    <row r="5269" spans="62:62" x14ac:dyDescent="0.2">
      <c r="BJ5269" s="201"/>
    </row>
    <row r="5270" spans="62:62" x14ac:dyDescent="0.2">
      <c r="BJ5270" s="201"/>
    </row>
    <row r="5271" spans="62:62" x14ac:dyDescent="0.2">
      <c r="BJ5271" s="201"/>
    </row>
    <row r="5272" spans="62:62" x14ac:dyDescent="0.2">
      <c r="BJ5272" s="201"/>
    </row>
    <row r="5273" spans="62:62" x14ac:dyDescent="0.2">
      <c r="BJ5273" s="201"/>
    </row>
    <row r="5274" spans="62:62" x14ac:dyDescent="0.2">
      <c r="BJ5274" s="201"/>
    </row>
    <row r="5275" spans="62:62" x14ac:dyDescent="0.2">
      <c r="BJ5275" s="201"/>
    </row>
    <row r="5276" spans="62:62" x14ac:dyDescent="0.2">
      <c r="BJ5276" s="201"/>
    </row>
    <row r="5277" spans="62:62" x14ac:dyDescent="0.2">
      <c r="BJ5277" s="201"/>
    </row>
    <row r="5278" spans="62:62" x14ac:dyDescent="0.2">
      <c r="BJ5278" s="201"/>
    </row>
    <row r="5279" spans="62:62" x14ac:dyDescent="0.2">
      <c r="BJ5279" s="201"/>
    </row>
    <row r="5280" spans="62:62" x14ac:dyDescent="0.2">
      <c r="BJ5280" s="201"/>
    </row>
    <row r="5281" spans="62:62" x14ac:dyDescent="0.2">
      <c r="BJ5281" s="201"/>
    </row>
    <row r="5282" spans="62:62" x14ac:dyDescent="0.2">
      <c r="BJ5282" s="201"/>
    </row>
    <row r="5283" spans="62:62" x14ac:dyDescent="0.2">
      <c r="BJ5283" s="201"/>
    </row>
    <row r="5284" spans="62:62" x14ac:dyDescent="0.2">
      <c r="BJ5284" s="201"/>
    </row>
    <row r="5285" spans="62:62" x14ac:dyDescent="0.2">
      <c r="BJ5285" s="201"/>
    </row>
    <row r="5286" spans="62:62" x14ac:dyDescent="0.2">
      <c r="BJ5286" s="201"/>
    </row>
    <row r="5287" spans="62:62" x14ac:dyDescent="0.2">
      <c r="BJ5287" s="201"/>
    </row>
    <row r="5288" spans="62:62" x14ac:dyDescent="0.2">
      <c r="BJ5288" s="201"/>
    </row>
    <row r="5289" spans="62:62" x14ac:dyDescent="0.2">
      <c r="BJ5289" s="201"/>
    </row>
    <row r="5290" spans="62:62" x14ac:dyDescent="0.2">
      <c r="BJ5290" s="201"/>
    </row>
    <row r="5291" spans="62:62" x14ac:dyDescent="0.2">
      <c r="BJ5291" s="201"/>
    </row>
    <row r="5292" spans="62:62" x14ac:dyDescent="0.2">
      <c r="BJ5292" s="201"/>
    </row>
    <row r="5293" spans="62:62" x14ac:dyDescent="0.2">
      <c r="BJ5293" s="201"/>
    </row>
    <row r="5294" spans="62:62" x14ac:dyDescent="0.2">
      <c r="BJ5294" s="201"/>
    </row>
    <row r="5295" spans="62:62" x14ac:dyDescent="0.2">
      <c r="BJ5295" s="201"/>
    </row>
    <row r="5296" spans="62:62" x14ac:dyDescent="0.2">
      <c r="BJ5296" s="201"/>
    </row>
    <row r="5297" spans="62:62" x14ac:dyDescent="0.2">
      <c r="BJ5297" s="201"/>
    </row>
    <row r="5298" spans="62:62" x14ac:dyDescent="0.2">
      <c r="BJ5298" s="201"/>
    </row>
    <row r="5299" spans="62:62" x14ac:dyDescent="0.2">
      <c r="BJ5299" s="201"/>
    </row>
    <row r="5300" spans="62:62" x14ac:dyDescent="0.2">
      <c r="BJ5300" s="201"/>
    </row>
    <row r="5301" spans="62:62" x14ac:dyDescent="0.2">
      <c r="BJ5301" s="201"/>
    </row>
    <row r="5302" spans="62:62" x14ac:dyDescent="0.2">
      <c r="BJ5302" s="201"/>
    </row>
    <row r="5303" spans="62:62" x14ac:dyDescent="0.2">
      <c r="BJ5303" s="201"/>
    </row>
    <row r="5304" spans="62:62" x14ac:dyDescent="0.2">
      <c r="BJ5304" s="201"/>
    </row>
    <row r="5305" spans="62:62" x14ac:dyDescent="0.2">
      <c r="BJ5305" s="201"/>
    </row>
    <row r="5306" spans="62:62" x14ac:dyDescent="0.2">
      <c r="BJ5306" s="201"/>
    </row>
    <row r="5307" spans="62:62" x14ac:dyDescent="0.2">
      <c r="BJ5307" s="201"/>
    </row>
    <row r="5308" spans="62:62" x14ac:dyDescent="0.2">
      <c r="BJ5308" s="201"/>
    </row>
    <row r="5309" spans="62:62" x14ac:dyDescent="0.2">
      <c r="BJ5309" s="201"/>
    </row>
    <row r="5310" spans="62:62" x14ac:dyDescent="0.2">
      <c r="BJ5310" s="201"/>
    </row>
    <row r="5311" spans="62:62" x14ac:dyDescent="0.2">
      <c r="BJ5311" s="201"/>
    </row>
    <row r="5312" spans="62:62" x14ac:dyDescent="0.2">
      <c r="BJ5312" s="201"/>
    </row>
    <row r="5313" spans="62:62" x14ac:dyDescent="0.2">
      <c r="BJ5313" s="201"/>
    </row>
    <row r="5314" spans="62:62" x14ac:dyDescent="0.2">
      <c r="BJ5314" s="201"/>
    </row>
    <row r="5315" spans="62:62" x14ac:dyDescent="0.2">
      <c r="BJ5315" s="201"/>
    </row>
    <row r="5316" spans="62:62" x14ac:dyDescent="0.2">
      <c r="BJ5316" s="201"/>
    </row>
    <row r="5317" spans="62:62" x14ac:dyDescent="0.2">
      <c r="BJ5317" s="201"/>
    </row>
    <row r="5318" spans="62:62" x14ac:dyDescent="0.2">
      <c r="BJ5318" s="201"/>
    </row>
    <row r="5319" spans="62:62" x14ac:dyDescent="0.2">
      <c r="BJ5319" s="201"/>
    </row>
    <row r="5320" spans="62:62" x14ac:dyDescent="0.2">
      <c r="BJ5320" s="201"/>
    </row>
    <row r="5321" spans="62:62" x14ac:dyDescent="0.2">
      <c r="BJ5321" s="201"/>
    </row>
    <row r="5322" spans="62:62" x14ac:dyDescent="0.2">
      <c r="BJ5322" s="201"/>
    </row>
    <row r="5323" spans="62:62" x14ac:dyDescent="0.2">
      <c r="BJ5323" s="201"/>
    </row>
    <row r="5324" spans="62:62" x14ac:dyDescent="0.2">
      <c r="BJ5324" s="201"/>
    </row>
    <row r="5325" spans="62:62" x14ac:dyDescent="0.2">
      <c r="BJ5325" s="201"/>
    </row>
    <row r="5326" spans="62:62" x14ac:dyDescent="0.2">
      <c r="BJ5326" s="201"/>
    </row>
    <row r="5327" spans="62:62" x14ac:dyDescent="0.2">
      <c r="BJ5327" s="201"/>
    </row>
    <row r="5328" spans="62:62" x14ac:dyDescent="0.2">
      <c r="BJ5328" s="201"/>
    </row>
    <row r="5329" spans="62:62" x14ac:dyDescent="0.2">
      <c r="BJ5329" s="201"/>
    </row>
    <row r="5330" spans="62:62" x14ac:dyDescent="0.2">
      <c r="BJ5330" s="201"/>
    </row>
    <row r="5331" spans="62:62" x14ac:dyDescent="0.2">
      <c r="BJ5331" s="201"/>
    </row>
    <row r="5332" spans="62:62" x14ac:dyDescent="0.2">
      <c r="BJ5332" s="201"/>
    </row>
    <row r="5333" spans="62:62" x14ac:dyDescent="0.2">
      <c r="BJ5333" s="201"/>
    </row>
    <row r="5334" spans="62:62" x14ac:dyDescent="0.2">
      <c r="BJ5334" s="201"/>
    </row>
    <row r="5335" spans="62:62" x14ac:dyDescent="0.2">
      <c r="BJ5335" s="201"/>
    </row>
    <row r="5336" spans="62:62" x14ac:dyDescent="0.2">
      <c r="BJ5336" s="201"/>
    </row>
    <row r="5337" spans="62:62" x14ac:dyDescent="0.2">
      <c r="BJ5337" s="201"/>
    </row>
    <row r="5338" spans="62:62" x14ac:dyDescent="0.2">
      <c r="BJ5338" s="201"/>
    </row>
    <row r="5339" spans="62:62" x14ac:dyDescent="0.2">
      <c r="BJ5339" s="201"/>
    </row>
    <row r="5340" spans="62:62" x14ac:dyDescent="0.2">
      <c r="BJ5340" s="201"/>
    </row>
    <row r="5341" spans="62:62" x14ac:dyDescent="0.2">
      <c r="BJ5341" s="201"/>
    </row>
    <row r="5342" spans="62:62" x14ac:dyDescent="0.2">
      <c r="BJ5342" s="201"/>
    </row>
    <row r="5343" spans="62:62" x14ac:dyDescent="0.2">
      <c r="BJ5343" s="201"/>
    </row>
    <row r="5344" spans="62:62" x14ac:dyDescent="0.2">
      <c r="BJ5344" s="201"/>
    </row>
    <row r="5345" spans="62:62" x14ac:dyDescent="0.2">
      <c r="BJ5345" s="201"/>
    </row>
    <row r="5346" spans="62:62" x14ac:dyDescent="0.2">
      <c r="BJ5346" s="201"/>
    </row>
    <row r="5347" spans="62:62" x14ac:dyDescent="0.2">
      <c r="BJ5347" s="201"/>
    </row>
    <row r="5348" spans="62:62" x14ac:dyDescent="0.2">
      <c r="BJ5348" s="201"/>
    </row>
    <row r="5349" spans="62:62" x14ac:dyDescent="0.2">
      <c r="BJ5349" s="201"/>
    </row>
    <row r="5350" spans="62:62" x14ac:dyDescent="0.2">
      <c r="BJ5350" s="201"/>
    </row>
    <row r="5351" spans="62:62" x14ac:dyDescent="0.2">
      <c r="BJ5351" s="201"/>
    </row>
    <row r="5352" spans="62:62" x14ac:dyDescent="0.2">
      <c r="BJ5352" s="201"/>
    </row>
    <row r="5353" spans="62:62" x14ac:dyDescent="0.2">
      <c r="BJ5353" s="201"/>
    </row>
    <row r="5354" spans="62:62" x14ac:dyDescent="0.2">
      <c r="BJ5354" s="201"/>
    </row>
    <row r="5355" spans="62:62" x14ac:dyDescent="0.2">
      <c r="BJ5355" s="201"/>
    </row>
    <row r="5356" spans="62:62" x14ac:dyDescent="0.2">
      <c r="BJ5356" s="201"/>
    </row>
    <row r="5357" spans="62:62" x14ac:dyDescent="0.2">
      <c r="BJ5357" s="201"/>
    </row>
    <row r="5358" spans="62:62" x14ac:dyDescent="0.2">
      <c r="BJ5358" s="201"/>
    </row>
    <row r="5359" spans="62:62" x14ac:dyDescent="0.2">
      <c r="BJ5359" s="201"/>
    </row>
    <row r="5360" spans="62:62" x14ac:dyDescent="0.2">
      <c r="BJ5360" s="201"/>
    </row>
    <row r="5361" spans="62:62" x14ac:dyDescent="0.2">
      <c r="BJ5361" s="201"/>
    </row>
    <row r="5362" spans="62:62" x14ac:dyDescent="0.2">
      <c r="BJ5362" s="201"/>
    </row>
    <row r="5363" spans="62:62" x14ac:dyDescent="0.2">
      <c r="BJ5363" s="201"/>
    </row>
    <row r="5364" spans="62:62" x14ac:dyDescent="0.2">
      <c r="BJ5364" s="201"/>
    </row>
    <row r="5365" spans="62:62" x14ac:dyDescent="0.2">
      <c r="BJ5365" s="201"/>
    </row>
    <row r="5366" spans="62:62" x14ac:dyDescent="0.2">
      <c r="BJ5366" s="201"/>
    </row>
    <row r="5367" spans="62:62" x14ac:dyDescent="0.2">
      <c r="BJ5367" s="201"/>
    </row>
    <row r="5368" spans="62:62" x14ac:dyDescent="0.2">
      <c r="BJ5368" s="201"/>
    </row>
    <row r="5369" spans="62:62" x14ac:dyDescent="0.2">
      <c r="BJ5369" s="201"/>
    </row>
    <row r="5370" spans="62:62" x14ac:dyDescent="0.2">
      <c r="BJ5370" s="201"/>
    </row>
    <row r="5371" spans="62:62" x14ac:dyDescent="0.2">
      <c r="BJ5371" s="201"/>
    </row>
    <row r="5372" spans="62:62" x14ac:dyDescent="0.2">
      <c r="BJ5372" s="201"/>
    </row>
    <row r="5373" spans="62:62" x14ac:dyDescent="0.2">
      <c r="BJ5373" s="201"/>
    </row>
    <row r="5374" spans="62:62" x14ac:dyDescent="0.2">
      <c r="BJ5374" s="201"/>
    </row>
    <row r="5375" spans="62:62" x14ac:dyDescent="0.2">
      <c r="BJ5375" s="201"/>
    </row>
    <row r="5376" spans="62:62" x14ac:dyDescent="0.2">
      <c r="BJ5376" s="201"/>
    </row>
    <row r="5377" spans="62:62" x14ac:dyDescent="0.2">
      <c r="BJ5377" s="201"/>
    </row>
    <row r="5378" spans="62:62" x14ac:dyDescent="0.2">
      <c r="BJ5378" s="201"/>
    </row>
    <row r="5379" spans="62:62" x14ac:dyDescent="0.2">
      <c r="BJ5379" s="201"/>
    </row>
    <row r="5380" spans="62:62" x14ac:dyDescent="0.2">
      <c r="BJ5380" s="201"/>
    </row>
    <row r="5381" spans="62:62" x14ac:dyDescent="0.2">
      <c r="BJ5381" s="201"/>
    </row>
    <row r="5382" spans="62:62" x14ac:dyDescent="0.2">
      <c r="BJ5382" s="201"/>
    </row>
    <row r="5383" spans="62:62" x14ac:dyDescent="0.2">
      <c r="BJ5383" s="201"/>
    </row>
    <row r="5384" spans="62:62" x14ac:dyDescent="0.2">
      <c r="BJ5384" s="201"/>
    </row>
    <row r="5385" spans="62:62" x14ac:dyDescent="0.2">
      <c r="BJ5385" s="201"/>
    </row>
    <row r="5386" spans="62:62" x14ac:dyDescent="0.2">
      <c r="BJ5386" s="201"/>
    </row>
    <row r="5387" spans="62:62" x14ac:dyDescent="0.2">
      <c r="BJ5387" s="201"/>
    </row>
    <row r="5388" spans="62:62" x14ac:dyDescent="0.2">
      <c r="BJ5388" s="201"/>
    </row>
    <row r="5389" spans="62:62" x14ac:dyDescent="0.2">
      <c r="BJ5389" s="201"/>
    </row>
    <row r="5390" spans="62:62" x14ac:dyDescent="0.2">
      <c r="BJ5390" s="201"/>
    </row>
    <row r="5391" spans="62:62" x14ac:dyDescent="0.2">
      <c r="BJ5391" s="201"/>
    </row>
    <row r="5392" spans="62:62" x14ac:dyDescent="0.2">
      <c r="BJ5392" s="201"/>
    </row>
    <row r="5393" spans="62:62" x14ac:dyDescent="0.2">
      <c r="BJ5393" s="201"/>
    </row>
    <row r="5394" spans="62:62" x14ac:dyDescent="0.2">
      <c r="BJ5394" s="201"/>
    </row>
    <row r="5395" spans="62:62" x14ac:dyDescent="0.2">
      <c r="BJ5395" s="201"/>
    </row>
    <row r="5396" spans="62:62" x14ac:dyDescent="0.2">
      <c r="BJ5396" s="201"/>
    </row>
    <row r="5397" spans="62:62" x14ac:dyDescent="0.2">
      <c r="BJ5397" s="201"/>
    </row>
    <row r="5398" spans="62:62" x14ac:dyDescent="0.2">
      <c r="BJ5398" s="201"/>
    </row>
    <row r="5399" spans="62:62" x14ac:dyDescent="0.2">
      <c r="BJ5399" s="201"/>
    </row>
    <row r="5400" spans="62:62" x14ac:dyDescent="0.2">
      <c r="BJ5400" s="201"/>
    </row>
    <row r="5401" spans="62:62" x14ac:dyDescent="0.2">
      <c r="BJ5401" s="201"/>
    </row>
    <row r="5402" spans="62:62" x14ac:dyDescent="0.2">
      <c r="BJ5402" s="201"/>
    </row>
    <row r="5403" spans="62:62" x14ac:dyDescent="0.2">
      <c r="BJ5403" s="201"/>
    </row>
    <row r="5404" spans="62:62" x14ac:dyDescent="0.2">
      <c r="BJ5404" s="201"/>
    </row>
    <row r="5405" spans="62:62" x14ac:dyDescent="0.2">
      <c r="BJ5405" s="201"/>
    </row>
    <row r="5406" spans="62:62" x14ac:dyDescent="0.2">
      <c r="BJ5406" s="201"/>
    </row>
    <row r="5407" spans="62:62" x14ac:dyDescent="0.2">
      <c r="BJ5407" s="201"/>
    </row>
    <row r="5408" spans="62:62" x14ac:dyDescent="0.2">
      <c r="BJ5408" s="201"/>
    </row>
    <row r="5409" spans="62:62" x14ac:dyDescent="0.2">
      <c r="BJ5409" s="201"/>
    </row>
    <row r="5410" spans="62:62" x14ac:dyDescent="0.2">
      <c r="BJ5410" s="201"/>
    </row>
    <row r="5411" spans="62:62" x14ac:dyDescent="0.2">
      <c r="BJ5411" s="201"/>
    </row>
    <row r="5412" spans="62:62" x14ac:dyDescent="0.2">
      <c r="BJ5412" s="201"/>
    </row>
    <row r="5413" spans="62:62" x14ac:dyDescent="0.2">
      <c r="BJ5413" s="201"/>
    </row>
    <row r="5414" spans="62:62" x14ac:dyDescent="0.2">
      <c r="BJ5414" s="201"/>
    </row>
    <row r="5415" spans="62:62" x14ac:dyDescent="0.2">
      <c r="BJ5415" s="201"/>
    </row>
    <row r="5416" spans="62:62" x14ac:dyDescent="0.2">
      <c r="BJ5416" s="201"/>
    </row>
    <row r="5417" spans="62:62" x14ac:dyDescent="0.2">
      <c r="BJ5417" s="201"/>
    </row>
    <row r="5418" spans="62:62" x14ac:dyDescent="0.2">
      <c r="BJ5418" s="201"/>
    </row>
    <row r="5419" spans="62:62" x14ac:dyDescent="0.2">
      <c r="BJ5419" s="201"/>
    </row>
    <row r="5420" spans="62:62" x14ac:dyDescent="0.2">
      <c r="BJ5420" s="201"/>
    </row>
    <row r="5421" spans="62:62" x14ac:dyDescent="0.2">
      <c r="BJ5421" s="201"/>
    </row>
    <row r="5422" spans="62:62" x14ac:dyDescent="0.2">
      <c r="BJ5422" s="201"/>
    </row>
    <row r="5423" spans="62:62" x14ac:dyDescent="0.2">
      <c r="BJ5423" s="201"/>
    </row>
    <row r="5424" spans="62:62" x14ac:dyDescent="0.2">
      <c r="BJ5424" s="201"/>
    </row>
    <row r="5425" spans="62:62" x14ac:dyDescent="0.2">
      <c r="BJ5425" s="201"/>
    </row>
    <row r="5426" spans="62:62" x14ac:dyDescent="0.2">
      <c r="BJ5426" s="201"/>
    </row>
    <row r="5427" spans="62:62" x14ac:dyDescent="0.2">
      <c r="BJ5427" s="201"/>
    </row>
    <row r="5428" spans="62:62" x14ac:dyDescent="0.2">
      <c r="BJ5428" s="201"/>
    </row>
    <row r="5429" spans="62:62" x14ac:dyDescent="0.2">
      <c r="BJ5429" s="201"/>
    </row>
    <row r="5430" spans="62:62" x14ac:dyDescent="0.2">
      <c r="BJ5430" s="201"/>
    </row>
    <row r="5431" spans="62:62" x14ac:dyDescent="0.2">
      <c r="BJ5431" s="201"/>
    </row>
    <row r="5432" spans="62:62" x14ac:dyDescent="0.2">
      <c r="BJ5432" s="201"/>
    </row>
    <row r="5433" spans="62:62" x14ac:dyDescent="0.2">
      <c r="BJ5433" s="201"/>
    </row>
    <row r="5434" spans="62:62" x14ac:dyDescent="0.2">
      <c r="BJ5434" s="201"/>
    </row>
    <row r="5435" spans="62:62" x14ac:dyDescent="0.2">
      <c r="BJ5435" s="201"/>
    </row>
    <row r="5436" spans="62:62" x14ac:dyDescent="0.2">
      <c r="BJ5436" s="201"/>
    </row>
    <row r="5437" spans="62:62" x14ac:dyDescent="0.2">
      <c r="BJ5437" s="201"/>
    </row>
    <row r="5438" spans="62:62" x14ac:dyDescent="0.2">
      <c r="BJ5438" s="201"/>
    </row>
    <row r="5439" spans="62:62" x14ac:dyDescent="0.2">
      <c r="BJ5439" s="201"/>
    </row>
    <row r="5440" spans="62:62" x14ac:dyDescent="0.2">
      <c r="BJ5440" s="201"/>
    </row>
    <row r="5441" spans="62:62" x14ac:dyDescent="0.2">
      <c r="BJ5441" s="201"/>
    </row>
    <row r="5442" spans="62:62" x14ac:dyDescent="0.2">
      <c r="BJ5442" s="201"/>
    </row>
    <row r="5443" spans="62:62" x14ac:dyDescent="0.2">
      <c r="BJ5443" s="201"/>
    </row>
    <row r="5444" spans="62:62" x14ac:dyDescent="0.2">
      <c r="BJ5444" s="201"/>
    </row>
    <row r="5445" spans="62:62" x14ac:dyDescent="0.2">
      <c r="BJ5445" s="201"/>
    </row>
    <row r="5446" spans="62:62" x14ac:dyDescent="0.2">
      <c r="BJ5446" s="201"/>
    </row>
    <row r="5447" spans="62:62" x14ac:dyDescent="0.2">
      <c r="BJ5447" s="201"/>
    </row>
    <row r="5448" spans="62:62" x14ac:dyDescent="0.2">
      <c r="BJ5448" s="201"/>
    </row>
    <row r="5449" spans="62:62" x14ac:dyDescent="0.2">
      <c r="BJ5449" s="201"/>
    </row>
    <row r="5450" spans="62:62" x14ac:dyDescent="0.2">
      <c r="BJ5450" s="201"/>
    </row>
    <row r="5451" spans="62:62" x14ac:dyDescent="0.2">
      <c r="BJ5451" s="201"/>
    </row>
    <row r="5452" spans="62:62" x14ac:dyDescent="0.2">
      <c r="BJ5452" s="201"/>
    </row>
    <row r="5453" spans="62:62" x14ac:dyDescent="0.2">
      <c r="BJ5453" s="201"/>
    </row>
    <row r="5454" spans="62:62" x14ac:dyDescent="0.2">
      <c r="BJ5454" s="201"/>
    </row>
    <row r="5455" spans="62:62" x14ac:dyDescent="0.2">
      <c r="BJ5455" s="201"/>
    </row>
    <row r="5456" spans="62:62" x14ac:dyDescent="0.2">
      <c r="BJ5456" s="201"/>
    </row>
    <row r="5457" spans="62:62" x14ac:dyDescent="0.2">
      <c r="BJ5457" s="201"/>
    </row>
    <row r="5458" spans="62:62" x14ac:dyDescent="0.2">
      <c r="BJ5458" s="201"/>
    </row>
    <row r="5459" spans="62:62" x14ac:dyDescent="0.2">
      <c r="BJ5459" s="201"/>
    </row>
    <row r="5460" spans="62:62" x14ac:dyDescent="0.2">
      <c r="BJ5460" s="201"/>
    </row>
    <row r="5461" spans="62:62" x14ac:dyDescent="0.2">
      <c r="BJ5461" s="201"/>
    </row>
    <row r="5462" spans="62:62" x14ac:dyDescent="0.2">
      <c r="BJ5462" s="201"/>
    </row>
    <row r="5463" spans="62:62" x14ac:dyDescent="0.2">
      <c r="BJ5463" s="201"/>
    </row>
    <row r="5464" spans="62:62" x14ac:dyDescent="0.2">
      <c r="BJ5464" s="201"/>
    </row>
    <row r="5465" spans="62:62" x14ac:dyDescent="0.2">
      <c r="BJ5465" s="201"/>
    </row>
    <row r="5466" spans="62:62" x14ac:dyDescent="0.2">
      <c r="BJ5466" s="201"/>
    </row>
    <row r="5467" spans="62:62" x14ac:dyDescent="0.2">
      <c r="BJ5467" s="201"/>
    </row>
    <row r="5468" spans="62:62" x14ac:dyDescent="0.2">
      <c r="BJ5468" s="201"/>
    </row>
    <row r="5469" spans="62:62" x14ac:dyDescent="0.2">
      <c r="BJ5469" s="201"/>
    </row>
    <row r="5470" spans="62:62" x14ac:dyDescent="0.2">
      <c r="BJ5470" s="201"/>
    </row>
    <row r="5471" spans="62:62" x14ac:dyDescent="0.2">
      <c r="BJ5471" s="201"/>
    </row>
    <row r="5472" spans="62:62" x14ac:dyDescent="0.2">
      <c r="BJ5472" s="201"/>
    </row>
    <row r="5473" spans="62:62" x14ac:dyDescent="0.2">
      <c r="BJ5473" s="201"/>
    </row>
    <row r="5474" spans="62:62" x14ac:dyDescent="0.2">
      <c r="BJ5474" s="201"/>
    </row>
    <row r="5475" spans="62:62" x14ac:dyDescent="0.2">
      <c r="BJ5475" s="201"/>
    </row>
    <row r="5476" spans="62:62" x14ac:dyDescent="0.2">
      <c r="BJ5476" s="201"/>
    </row>
    <row r="5477" spans="62:62" x14ac:dyDescent="0.2">
      <c r="BJ5477" s="201"/>
    </row>
    <row r="5478" spans="62:62" x14ac:dyDescent="0.2">
      <c r="BJ5478" s="201"/>
    </row>
    <row r="5479" spans="62:62" x14ac:dyDescent="0.2">
      <c r="BJ5479" s="201"/>
    </row>
    <row r="5480" spans="62:62" x14ac:dyDescent="0.2">
      <c r="BJ5480" s="201"/>
    </row>
    <row r="5481" spans="62:62" x14ac:dyDescent="0.2">
      <c r="BJ5481" s="201"/>
    </row>
    <row r="5482" spans="62:62" x14ac:dyDescent="0.2">
      <c r="BJ5482" s="201"/>
    </row>
    <row r="5483" spans="62:62" x14ac:dyDescent="0.2">
      <c r="BJ5483" s="201"/>
    </row>
    <row r="5484" spans="62:62" x14ac:dyDescent="0.2">
      <c r="BJ5484" s="201"/>
    </row>
    <row r="5485" spans="62:62" x14ac:dyDescent="0.2">
      <c r="BJ5485" s="201"/>
    </row>
    <row r="5486" spans="62:62" x14ac:dyDescent="0.2">
      <c r="BJ5486" s="201"/>
    </row>
    <row r="5487" spans="62:62" x14ac:dyDescent="0.2">
      <c r="BJ5487" s="201"/>
    </row>
    <row r="5488" spans="62:62" x14ac:dyDescent="0.2">
      <c r="BJ5488" s="201"/>
    </row>
    <row r="5489" spans="62:62" x14ac:dyDescent="0.2">
      <c r="BJ5489" s="201"/>
    </row>
    <row r="5490" spans="62:62" x14ac:dyDescent="0.2">
      <c r="BJ5490" s="201"/>
    </row>
    <row r="5491" spans="62:62" x14ac:dyDescent="0.2">
      <c r="BJ5491" s="201"/>
    </row>
    <row r="5492" spans="62:62" x14ac:dyDescent="0.2">
      <c r="BJ5492" s="201"/>
    </row>
    <row r="5493" spans="62:62" x14ac:dyDescent="0.2">
      <c r="BJ5493" s="201"/>
    </row>
    <row r="5494" spans="62:62" x14ac:dyDescent="0.2">
      <c r="BJ5494" s="201"/>
    </row>
    <row r="5495" spans="62:62" x14ac:dyDescent="0.2">
      <c r="BJ5495" s="201"/>
    </row>
    <row r="5496" spans="62:62" x14ac:dyDescent="0.2">
      <c r="BJ5496" s="201"/>
    </row>
    <row r="5497" spans="62:62" x14ac:dyDescent="0.2">
      <c r="BJ5497" s="201"/>
    </row>
    <row r="5498" spans="62:62" x14ac:dyDescent="0.2">
      <c r="BJ5498" s="201"/>
    </row>
    <row r="5499" spans="62:62" x14ac:dyDescent="0.2">
      <c r="BJ5499" s="201"/>
    </row>
    <row r="5500" spans="62:62" x14ac:dyDescent="0.2">
      <c r="BJ5500" s="201"/>
    </row>
    <row r="5501" spans="62:62" x14ac:dyDescent="0.2">
      <c r="BJ5501" s="201"/>
    </row>
    <row r="5502" spans="62:62" x14ac:dyDescent="0.2">
      <c r="BJ5502" s="201"/>
    </row>
    <row r="5503" spans="62:62" x14ac:dyDescent="0.2">
      <c r="BJ5503" s="201"/>
    </row>
    <row r="5504" spans="62:62" x14ac:dyDescent="0.2">
      <c r="BJ5504" s="201"/>
    </row>
    <row r="5505" spans="62:62" x14ac:dyDescent="0.2">
      <c r="BJ5505" s="201"/>
    </row>
    <row r="5506" spans="62:62" x14ac:dyDescent="0.2">
      <c r="BJ5506" s="201"/>
    </row>
    <row r="5507" spans="62:62" x14ac:dyDescent="0.2">
      <c r="BJ5507" s="201"/>
    </row>
    <row r="5508" spans="62:62" x14ac:dyDescent="0.2">
      <c r="BJ5508" s="201"/>
    </row>
    <row r="5509" spans="62:62" x14ac:dyDescent="0.2">
      <c r="BJ5509" s="201"/>
    </row>
    <row r="5510" spans="62:62" x14ac:dyDescent="0.2">
      <c r="BJ5510" s="201"/>
    </row>
    <row r="5511" spans="62:62" x14ac:dyDescent="0.2">
      <c r="BJ5511" s="201"/>
    </row>
    <row r="5512" spans="62:62" x14ac:dyDescent="0.2">
      <c r="BJ5512" s="201"/>
    </row>
    <row r="5513" spans="62:62" x14ac:dyDescent="0.2">
      <c r="BJ5513" s="201"/>
    </row>
    <row r="5514" spans="62:62" x14ac:dyDescent="0.2">
      <c r="BJ5514" s="201"/>
    </row>
    <row r="5515" spans="62:62" x14ac:dyDescent="0.2">
      <c r="BJ5515" s="201"/>
    </row>
    <row r="5516" spans="62:62" x14ac:dyDescent="0.2">
      <c r="BJ5516" s="201"/>
    </row>
    <row r="5517" spans="62:62" x14ac:dyDescent="0.2">
      <c r="BJ5517" s="201"/>
    </row>
    <row r="5518" spans="62:62" x14ac:dyDescent="0.2">
      <c r="BJ5518" s="201"/>
    </row>
    <row r="5519" spans="62:62" x14ac:dyDescent="0.2">
      <c r="BJ5519" s="201"/>
    </row>
    <row r="5520" spans="62:62" x14ac:dyDescent="0.2">
      <c r="BJ5520" s="201"/>
    </row>
    <row r="5521" spans="62:62" x14ac:dyDescent="0.2">
      <c r="BJ5521" s="201"/>
    </row>
    <row r="5522" spans="62:62" x14ac:dyDescent="0.2">
      <c r="BJ5522" s="201"/>
    </row>
    <row r="5523" spans="62:62" x14ac:dyDescent="0.2">
      <c r="BJ5523" s="201"/>
    </row>
    <row r="5524" spans="62:62" x14ac:dyDescent="0.2">
      <c r="BJ5524" s="201"/>
    </row>
    <row r="5525" spans="62:62" x14ac:dyDescent="0.2">
      <c r="BJ5525" s="201"/>
    </row>
    <row r="5526" spans="62:62" x14ac:dyDescent="0.2">
      <c r="BJ5526" s="201"/>
    </row>
    <row r="5527" spans="62:62" x14ac:dyDescent="0.2">
      <c r="BJ5527" s="201"/>
    </row>
    <row r="5528" spans="62:62" x14ac:dyDescent="0.2">
      <c r="BJ5528" s="201"/>
    </row>
    <row r="5529" spans="62:62" x14ac:dyDescent="0.2">
      <c r="BJ5529" s="201"/>
    </row>
    <row r="5530" spans="62:62" x14ac:dyDescent="0.2">
      <c r="BJ5530" s="201"/>
    </row>
    <row r="5531" spans="62:62" x14ac:dyDescent="0.2">
      <c r="BJ5531" s="201"/>
    </row>
    <row r="5532" spans="62:62" x14ac:dyDescent="0.2">
      <c r="BJ5532" s="201"/>
    </row>
    <row r="5533" spans="62:62" x14ac:dyDescent="0.2">
      <c r="BJ5533" s="201"/>
    </row>
    <row r="5534" spans="62:62" x14ac:dyDescent="0.2">
      <c r="BJ5534" s="201"/>
    </row>
    <row r="5535" spans="62:62" x14ac:dyDescent="0.2">
      <c r="BJ5535" s="201"/>
    </row>
    <row r="5536" spans="62:62" x14ac:dyDescent="0.2">
      <c r="BJ5536" s="201"/>
    </row>
    <row r="5537" spans="62:62" x14ac:dyDescent="0.2">
      <c r="BJ5537" s="201"/>
    </row>
    <row r="5538" spans="62:62" x14ac:dyDescent="0.2">
      <c r="BJ5538" s="201"/>
    </row>
    <row r="5539" spans="62:62" x14ac:dyDescent="0.2">
      <c r="BJ5539" s="201"/>
    </row>
    <row r="5540" spans="62:62" x14ac:dyDescent="0.2">
      <c r="BJ5540" s="201"/>
    </row>
    <row r="5541" spans="62:62" x14ac:dyDescent="0.2">
      <c r="BJ5541" s="201"/>
    </row>
    <row r="5542" spans="62:62" x14ac:dyDescent="0.2">
      <c r="BJ5542" s="201"/>
    </row>
    <row r="5543" spans="62:62" x14ac:dyDescent="0.2">
      <c r="BJ5543" s="201"/>
    </row>
    <row r="5544" spans="62:62" x14ac:dyDescent="0.2">
      <c r="BJ5544" s="201"/>
    </row>
    <row r="5545" spans="62:62" x14ac:dyDescent="0.2">
      <c r="BJ5545" s="201"/>
    </row>
    <row r="5546" spans="62:62" x14ac:dyDescent="0.2">
      <c r="BJ5546" s="201"/>
    </row>
    <row r="5547" spans="62:62" x14ac:dyDescent="0.2">
      <c r="BJ5547" s="201"/>
    </row>
    <row r="5548" spans="62:62" x14ac:dyDescent="0.2">
      <c r="BJ5548" s="201"/>
    </row>
    <row r="5549" spans="62:62" x14ac:dyDescent="0.2">
      <c r="BJ5549" s="201"/>
    </row>
    <row r="5550" spans="62:62" x14ac:dyDescent="0.2">
      <c r="BJ5550" s="201"/>
    </row>
    <row r="5551" spans="62:62" x14ac:dyDescent="0.2">
      <c r="BJ5551" s="201"/>
    </row>
    <row r="5552" spans="62:62" x14ac:dyDescent="0.2">
      <c r="BJ5552" s="201"/>
    </row>
    <row r="5553" spans="62:62" x14ac:dyDescent="0.2">
      <c r="BJ5553" s="201"/>
    </row>
    <row r="5554" spans="62:62" x14ac:dyDescent="0.2">
      <c r="BJ5554" s="201"/>
    </row>
    <row r="5555" spans="62:62" x14ac:dyDescent="0.2">
      <c r="BJ5555" s="201"/>
    </row>
    <row r="5556" spans="62:62" x14ac:dyDescent="0.2">
      <c r="BJ5556" s="201"/>
    </row>
    <row r="5557" spans="62:62" x14ac:dyDescent="0.2">
      <c r="BJ5557" s="201"/>
    </row>
    <row r="5558" spans="62:62" x14ac:dyDescent="0.2">
      <c r="BJ5558" s="201"/>
    </row>
    <row r="5559" spans="62:62" x14ac:dyDescent="0.2">
      <c r="BJ5559" s="201"/>
    </row>
    <row r="5560" spans="62:62" x14ac:dyDescent="0.2">
      <c r="BJ5560" s="201"/>
    </row>
    <row r="5561" spans="62:62" x14ac:dyDescent="0.2">
      <c r="BJ5561" s="201"/>
    </row>
    <row r="5562" spans="62:62" x14ac:dyDescent="0.2">
      <c r="BJ5562" s="201"/>
    </row>
    <row r="5563" spans="62:62" x14ac:dyDescent="0.2">
      <c r="BJ5563" s="201"/>
    </row>
    <row r="5564" spans="62:62" x14ac:dyDescent="0.2">
      <c r="BJ5564" s="201"/>
    </row>
    <row r="5565" spans="62:62" x14ac:dyDescent="0.2">
      <c r="BJ5565" s="201"/>
    </row>
    <row r="5566" spans="62:62" x14ac:dyDescent="0.2">
      <c r="BJ5566" s="201"/>
    </row>
    <row r="5567" spans="62:62" x14ac:dyDescent="0.2">
      <c r="BJ5567" s="201"/>
    </row>
    <row r="5568" spans="62:62" x14ac:dyDescent="0.2">
      <c r="BJ5568" s="201"/>
    </row>
    <row r="5569" spans="62:62" x14ac:dyDescent="0.2">
      <c r="BJ5569" s="201"/>
    </row>
    <row r="5570" spans="62:62" x14ac:dyDescent="0.2">
      <c r="BJ5570" s="201"/>
    </row>
    <row r="5571" spans="62:62" x14ac:dyDescent="0.2">
      <c r="BJ5571" s="201"/>
    </row>
    <row r="5572" spans="62:62" x14ac:dyDescent="0.2">
      <c r="BJ5572" s="201"/>
    </row>
    <row r="5573" spans="62:62" x14ac:dyDescent="0.2">
      <c r="BJ5573" s="201"/>
    </row>
    <row r="5574" spans="62:62" x14ac:dyDescent="0.2">
      <c r="BJ5574" s="201"/>
    </row>
    <row r="5575" spans="62:62" x14ac:dyDescent="0.2">
      <c r="BJ5575" s="201"/>
    </row>
    <row r="5576" spans="62:62" x14ac:dyDescent="0.2">
      <c r="BJ5576" s="201"/>
    </row>
    <row r="5577" spans="62:62" x14ac:dyDescent="0.2">
      <c r="BJ5577" s="201"/>
    </row>
    <row r="5578" spans="62:62" x14ac:dyDescent="0.2">
      <c r="BJ5578" s="201"/>
    </row>
    <row r="5579" spans="62:62" x14ac:dyDescent="0.2">
      <c r="BJ5579" s="201"/>
    </row>
    <row r="5580" spans="62:62" x14ac:dyDescent="0.2">
      <c r="BJ5580" s="201"/>
    </row>
    <row r="5581" spans="62:62" x14ac:dyDescent="0.2">
      <c r="BJ5581" s="201"/>
    </row>
    <row r="5582" spans="62:62" x14ac:dyDescent="0.2">
      <c r="BJ5582" s="201"/>
    </row>
    <row r="5583" spans="62:62" x14ac:dyDescent="0.2">
      <c r="BJ5583" s="201"/>
    </row>
    <row r="5584" spans="62:62" x14ac:dyDescent="0.2">
      <c r="BJ5584" s="201"/>
    </row>
    <row r="5585" spans="62:62" x14ac:dyDescent="0.2">
      <c r="BJ5585" s="201"/>
    </row>
    <row r="5586" spans="62:62" x14ac:dyDescent="0.2">
      <c r="BJ5586" s="201"/>
    </row>
    <row r="5587" spans="62:62" x14ac:dyDescent="0.2">
      <c r="BJ5587" s="201"/>
    </row>
    <row r="5588" spans="62:62" x14ac:dyDescent="0.2">
      <c r="BJ5588" s="201"/>
    </row>
    <row r="5589" spans="62:62" x14ac:dyDescent="0.2">
      <c r="BJ5589" s="201"/>
    </row>
    <row r="5590" spans="62:62" x14ac:dyDescent="0.2">
      <c r="BJ5590" s="201"/>
    </row>
    <row r="5591" spans="62:62" x14ac:dyDescent="0.2">
      <c r="BJ5591" s="201"/>
    </row>
    <row r="5592" spans="62:62" x14ac:dyDescent="0.2">
      <c r="BJ5592" s="201"/>
    </row>
    <row r="5593" spans="62:62" x14ac:dyDescent="0.2">
      <c r="BJ5593" s="201"/>
    </row>
    <row r="5594" spans="62:62" x14ac:dyDescent="0.2">
      <c r="BJ5594" s="201"/>
    </row>
    <row r="5595" spans="62:62" x14ac:dyDescent="0.2">
      <c r="BJ5595" s="201"/>
    </row>
    <row r="5596" spans="62:62" x14ac:dyDescent="0.2">
      <c r="BJ5596" s="201"/>
    </row>
    <row r="5597" spans="62:62" x14ac:dyDescent="0.2">
      <c r="BJ5597" s="201"/>
    </row>
    <row r="5598" spans="62:62" x14ac:dyDescent="0.2">
      <c r="BJ5598" s="201"/>
    </row>
    <row r="5599" spans="62:62" x14ac:dyDescent="0.2">
      <c r="BJ5599" s="201"/>
    </row>
    <row r="5600" spans="62:62" x14ac:dyDescent="0.2">
      <c r="BJ5600" s="201"/>
    </row>
    <row r="5601" spans="62:62" x14ac:dyDescent="0.2">
      <c r="BJ5601" s="201"/>
    </row>
    <row r="5602" spans="62:62" x14ac:dyDescent="0.2">
      <c r="BJ5602" s="201"/>
    </row>
    <row r="5603" spans="62:62" x14ac:dyDescent="0.2">
      <c r="BJ5603" s="201"/>
    </row>
    <row r="5604" spans="62:62" x14ac:dyDescent="0.2">
      <c r="BJ5604" s="201"/>
    </row>
    <row r="5605" spans="62:62" x14ac:dyDescent="0.2">
      <c r="BJ5605" s="201"/>
    </row>
    <row r="5606" spans="62:62" x14ac:dyDescent="0.2">
      <c r="BJ5606" s="201"/>
    </row>
    <row r="5607" spans="62:62" x14ac:dyDescent="0.2">
      <c r="BJ5607" s="201"/>
    </row>
    <row r="5608" spans="62:62" x14ac:dyDescent="0.2">
      <c r="BJ5608" s="201"/>
    </row>
    <row r="5609" spans="62:62" x14ac:dyDescent="0.2">
      <c r="BJ5609" s="201"/>
    </row>
    <row r="5610" spans="62:62" x14ac:dyDescent="0.2">
      <c r="BJ5610" s="201"/>
    </row>
    <row r="5611" spans="62:62" x14ac:dyDescent="0.2">
      <c r="BJ5611" s="201"/>
    </row>
    <row r="5612" spans="62:62" x14ac:dyDescent="0.2">
      <c r="BJ5612" s="201"/>
    </row>
    <row r="5613" spans="62:62" x14ac:dyDescent="0.2">
      <c r="BJ5613" s="201"/>
    </row>
    <row r="5614" spans="62:62" x14ac:dyDescent="0.2">
      <c r="BJ5614" s="201"/>
    </row>
    <row r="5615" spans="62:62" x14ac:dyDescent="0.2">
      <c r="BJ5615" s="201"/>
    </row>
    <row r="5616" spans="62:62" x14ac:dyDescent="0.2">
      <c r="BJ5616" s="201"/>
    </row>
    <row r="5617" spans="62:62" x14ac:dyDescent="0.2">
      <c r="BJ5617" s="201"/>
    </row>
    <row r="5618" spans="62:62" x14ac:dyDescent="0.2">
      <c r="BJ5618" s="201"/>
    </row>
    <row r="5619" spans="62:62" x14ac:dyDescent="0.2">
      <c r="BJ5619" s="201"/>
    </row>
    <row r="5620" spans="62:62" x14ac:dyDescent="0.2">
      <c r="BJ5620" s="201"/>
    </row>
    <row r="5621" spans="62:62" x14ac:dyDescent="0.2">
      <c r="BJ5621" s="201"/>
    </row>
    <row r="5622" spans="62:62" x14ac:dyDescent="0.2">
      <c r="BJ5622" s="201"/>
    </row>
    <row r="5623" spans="62:62" x14ac:dyDescent="0.2">
      <c r="BJ5623" s="201"/>
    </row>
    <row r="5624" spans="62:62" x14ac:dyDescent="0.2">
      <c r="BJ5624" s="201"/>
    </row>
    <row r="5625" spans="62:62" x14ac:dyDescent="0.2">
      <c r="BJ5625" s="201"/>
    </row>
    <row r="5626" spans="62:62" x14ac:dyDescent="0.2">
      <c r="BJ5626" s="201"/>
    </row>
    <row r="5627" spans="62:62" x14ac:dyDescent="0.2">
      <c r="BJ5627" s="201"/>
    </row>
    <row r="5628" spans="62:62" x14ac:dyDescent="0.2">
      <c r="BJ5628" s="201"/>
    </row>
    <row r="5629" spans="62:62" x14ac:dyDescent="0.2">
      <c r="BJ5629" s="201"/>
    </row>
    <row r="5630" spans="62:62" x14ac:dyDescent="0.2">
      <c r="BJ5630" s="201"/>
    </row>
    <row r="5631" spans="62:62" x14ac:dyDescent="0.2">
      <c r="BJ5631" s="201"/>
    </row>
    <row r="5632" spans="62:62" x14ac:dyDescent="0.2">
      <c r="BJ5632" s="201"/>
    </row>
    <row r="5633" spans="62:62" x14ac:dyDescent="0.2">
      <c r="BJ5633" s="201"/>
    </row>
    <row r="5634" spans="62:62" x14ac:dyDescent="0.2">
      <c r="BJ5634" s="201"/>
    </row>
    <row r="5635" spans="62:62" x14ac:dyDescent="0.2">
      <c r="BJ5635" s="201"/>
    </row>
    <row r="5636" spans="62:62" x14ac:dyDescent="0.2">
      <c r="BJ5636" s="201"/>
    </row>
    <row r="5637" spans="62:62" x14ac:dyDescent="0.2">
      <c r="BJ5637" s="201"/>
    </row>
    <row r="5638" spans="62:62" x14ac:dyDescent="0.2">
      <c r="BJ5638" s="201"/>
    </row>
    <row r="5639" spans="62:62" x14ac:dyDescent="0.2">
      <c r="BJ5639" s="201"/>
    </row>
    <row r="5640" spans="62:62" x14ac:dyDescent="0.2">
      <c r="BJ5640" s="201"/>
    </row>
    <row r="5641" spans="62:62" x14ac:dyDescent="0.2">
      <c r="BJ5641" s="201"/>
    </row>
    <row r="5642" spans="62:62" x14ac:dyDescent="0.2">
      <c r="BJ5642" s="201"/>
    </row>
    <row r="5643" spans="62:62" x14ac:dyDescent="0.2">
      <c r="BJ5643" s="201"/>
    </row>
    <row r="5644" spans="62:62" x14ac:dyDescent="0.2">
      <c r="BJ5644" s="201"/>
    </row>
    <row r="5645" spans="62:62" x14ac:dyDescent="0.2">
      <c r="BJ5645" s="201"/>
    </row>
    <row r="5646" spans="62:62" x14ac:dyDescent="0.2">
      <c r="BJ5646" s="201"/>
    </row>
    <row r="5647" spans="62:62" x14ac:dyDescent="0.2">
      <c r="BJ5647" s="201"/>
    </row>
    <row r="5648" spans="62:62" x14ac:dyDescent="0.2">
      <c r="BJ5648" s="201"/>
    </row>
    <row r="5649" spans="62:62" x14ac:dyDescent="0.2">
      <c r="BJ5649" s="201"/>
    </row>
    <row r="5650" spans="62:62" x14ac:dyDescent="0.2">
      <c r="BJ5650" s="201"/>
    </row>
    <row r="5651" spans="62:62" x14ac:dyDescent="0.2">
      <c r="BJ5651" s="201"/>
    </row>
    <row r="5652" spans="62:62" x14ac:dyDescent="0.2">
      <c r="BJ5652" s="201"/>
    </row>
    <row r="5653" spans="62:62" x14ac:dyDescent="0.2">
      <c r="BJ5653" s="201"/>
    </row>
    <row r="5654" spans="62:62" x14ac:dyDescent="0.2">
      <c r="BJ5654" s="201"/>
    </row>
    <row r="5655" spans="62:62" x14ac:dyDescent="0.2">
      <c r="BJ5655" s="201"/>
    </row>
    <row r="5656" spans="62:62" x14ac:dyDescent="0.2">
      <c r="BJ5656" s="201"/>
    </row>
    <row r="5657" spans="62:62" x14ac:dyDescent="0.2">
      <c r="BJ5657" s="201"/>
    </row>
    <row r="5658" spans="62:62" x14ac:dyDescent="0.2">
      <c r="BJ5658" s="201"/>
    </row>
    <row r="5659" spans="62:62" x14ac:dyDescent="0.2">
      <c r="BJ5659" s="201"/>
    </row>
    <row r="5660" spans="62:62" x14ac:dyDescent="0.2">
      <c r="BJ5660" s="201"/>
    </row>
    <row r="5661" spans="62:62" x14ac:dyDescent="0.2">
      <c r="BJ5661" s="201"/>
    </row>
    <row r="5662" spans="62:62" x14ac:dyDescent="0.2">
      <c r="BJ5662" s="201"/>
    </row>
    <row r="5663" spans="62:62" x14ac:dyDescent="0.2">
      <c r="BJ5663" s="201"/>
    </row>
    <row r="5664" spans="62:62" x14ac:dyDescent="0.2">
      <c r="BJ5664" s="201"/>
    </row>
    <row r="5665" spans="62:62" x14ac:dyDescent="0.2">
      <c r="BJ5665" s="201"/>
    </row>
    <row r="5666" spans="62:62" x14ac:dyDescent="0.2">
      <c r="BJ5666" s="201"/>
    </row>
    <row r="5667" spans="62:62" x14ac:dyDescent="0.2">
      <c r="BJ5667" s="201"/>
    </row>
    <row r="5668" spans="62:62" x14ac:dyDescent="0.2">
      <c r="BJ5668" s="201"/>
    </row>
    <row r="5669" spans="62:62" x14ac:dyDescent="0.2">
      <c r="BJ5669" s="201"/>
    </row>
    <row r="5670" spans="62:62" x14ac:dyDescent="0.2">
      <c r="BJ5670" s="201"/>
    </row>
    <row r="5671" spans="62:62" x14ac:dyDescent="0.2">
      <c r="BJ5671" s="201"/>
    </row>
    <row r="5672" spans="62:62" x14ac:dyDescent="0.2">
      <c r="BJ5672" s="201"/>
    </row>
    <row r="5673" spans="62:62" x14ac:dyDescent="0.2">
      <c r="BJ5673" s="201"/>
    </row>
    <row r="5674" spans="62:62" x14ac:dyDescent="0.2">
      <c r="BJ5674" s="201"/>
    </row>
    <row r="5675" spans="62:62" x14ac:dyDescent="0.2">
      <c r="BJ5675" s="201"/>
    </row>
    <row r="5676" spans="62:62" x14ac:dyDescent="0.2">
      <c r="BJ5676" s="201"/>
    </row>
    <row r="5677" spans="62:62" x14ac:dyDescent="0.2">
      <c r="BJ5677" s="201"/>
    </row>
    <row r="5678" spans="62:62" x14ac:dyDescent="0.2">
      <c r="BJ5678" s="201"/>
    </row>
    <row r="5679" spans="62:62" x14ac:dyDescent="0.2">
      <c r="BJ5679" s="201"/>
    </row>
    <row r="5680" spans="62:62" x14ac:dyDescent="0.2">
      <c r="BJ5680" s="201"/>
    </row>
    <row r="5681" spans="62:62" x14ac:dyDescent="0.2">
      <c r="BJ5681" s="201"/>
    </row>
    <row r="5682" spans="62:62" x14ac:dyDescent="0.2">
      <c r="BJ5682" s="201"/>
    </row>
    <row r="5683" spans="62:62" x14ac:dyDescent="0.2">
      <c r="BJ5683" s="201"/>
    </row>
    <row r="5684" spans="62:62" x14ac:dyDescent="0.2">
      <c r="BJ5684" s="201"/>
    </row>
    <row r="5685" spans="62:62" x14ac:dyDescent="0.2">
      <c r="BJ5685" s="201"/>
    </row>
    <row r="5686" spans="62:62" x14ac:dyDescent="0.2">
      <c r="BJ5686" s="201"/>
    </row>
    <row r="5687" spans="62:62" x14ac:dyDescent="0.2">
      <c r="BJ5687" s="201"/>
    </row>
    <row r="5688" spans="62:62" x14ac:dyDescent="0.2">
      <c r="BJ5688" s="201"/>
    </row>
    <row r="5689" spans="62:62" x14ac:dyDescent="0.2">
      <c r="BJ5689" s="201"/>
    </row>
    <row r="5690" spans="62:62" x14ac:dyDescent="0.2">
      <c r="BJ5690" s="201"/>
    </row>
    <row r="5691" spans="62:62" x14ac:dyDescent="0.2">
      <c r="BJ5691" s="201"/>
    </row>
    <row r="5692" spans="62:62" x14ac:dyDescent="0.2">
      <c r="BJ5692" s="201"/>
    </row>
    <row r="5693" spans="62:62" x14ac:dyDescent="0.2">
      <c r="BJ5693" s="201"/>
    </row>
    <row r="5694" spans="62:62" x14ac:dyDescent="0.2">
      <c r="BJ5694" s="201"/>
    </row>
    <row r="5695" spans="62:62" x14ac:dyDescent="0.2">
      <c r="BJ5695" s="201"/>
    </row>
    <row r="5696" spans="62:62" x14ac:dyDescent="0.2">
      <c r="BJ5696" s="201"/>
    </row>
    <row r="5697" spans="62:62" x14ac:dyDescent="0.2">
      <c r="BJ5697" s="201"/>
    </row>
    <row r="5698" spans="62:62" x14ac:dyDescent="0.2">
      <c r="BJ5698" s="201"/>
    </row>
    <row r="5699" spans="62:62" x14ac:dyDescent="0.2">
      <c r="BJ5699" s="201"/>
    </row>
    <row r="5700" spans="62:62" x14ac:dyDescent="0.2">
      <c r="BJ5700" s="201"/>
    </row>
    <row r="5701" spans="62:62" x14ac:dyDescent="0.2">
      <c r="BJ5701" s="201"/>
    </row>
    <row r="5702" spans="62:62" x14ac:dyDescent="0.2">
      <c r="BJ5702" s="201"/>
    </row>
    <row r="5703" spans="62:62" x14ac:dyDescent="0.2">
      <c r="BJ5703" s="201"/>
    </row>
    <row r="5704" spans="62:62" x14ac:dyDescent="0.2">
      <c r="BJ5704" s="201"/>
    </row>
    <row r="5705" spans="62:62" x14ac:dyDescent="0.2">
      <c r="BJ5705" s="201"/>
    </row>
    <row r="5706" spans="62:62" x14ac:dyDescent="0.2">
      <c r="BJ5706" s="201"/>
    </row>
    <row r="5707" spans="62:62" x14ac:dyDescent="0.2">
      <c r="BJ5707" s="201"/>
    </row>
    <row r="5708" spans="62:62" x14ac:dyDescent="0.2">
      <c r="BJ5708" s="201"/>
    </row>
    <row r="5709" spans="62:62" x14ac:dyDescent="0.2">
      <c r="BJ5709" s="201"/>
    </row>
    <row r="5710" spans="62:62" x14ac:dyDescent="0.2">
      <c r="BJ5710" s="201"/>
    </row>
    <row r="5711" spans="62:62" x14ac:dyDescent="0.2">
      <c r="BJ5711" s="201"/>
    </row>
    <row r="5712" spans="62:62" x14ac:dyDescent="0.2">
      <c r="BJ5712" s="201"/>
    </row>
    <row r="5713" spans="62:62" x14ac:dyDescent="0.2">
      <c r="BJ5713" s="201"/>
    </row>
    <row r="5714" spans="62:62" x14ac:dyDescent="0.2">
      <c r="BJ5714" s="201"/>
    </row>
    <row r="5715" spans="62:62" x14ac:dyDescent="0.2">
      <c r="BJ5715" s="201"/>
    </row>
    <row r="5716" spans="62:62" x14ac:dyDescent="0.2">
      <c r="BJ5716" s="201"/>
    </row>
    <row r="5717" spans="62:62" x14ac:dyDescent="0.2">
      <c r="BJ5717" s="201"/>
    </row>
    <row r="5718" spans="62:62" x14ac:dyDescent="0.2">
      <c r="BJ5718" s="201"/>
    </row>
    <row r="5719" spans="62:62" x14ac:dyDescent="0.2">
      <c r="BJ5719" s="201"/>
    </row>
    <row r="5720" spans="62:62" x14ac:dyDescent="0.2">
      <c r="BJ5720" s="201"/>
    </row>
    <row r="5721" spans="62:62" x14ac:dyDescent="0.2">
      <c r="BJ5721" s="201"/>
    </row>
    <row r="5722" spans="62:62" x14ac:dyDescent="0.2">
      <c r="BJ5722" s="201"/>
    </row>
    <row r="5723" spans="62:62" x14ac:dyDescent="0.2">
      <c r="BJ5723" s="201"/>
    </row>
    <row r="5724" spans="62:62" x14ac:dyDescent="0.2">
      <c r="BJ5724" s="201"/>
    </row>
    <row r="5725" spans="62:62" x14ac:dyDescent="0.2">
      <c r="BJ5725" s="201"/>
    </row>
    <row r="5726" spans="62:62" x14ac:dyDescent="0.2">
      <c r="BJ5726" s="201"/>
    </row>
    <row r="5727" spans="62:62" x14ac:dyDescent="0.2">
      <c r="BJ5727" s="201"/>
    </row>
    <row r="5728" spans="62:62" x14ac:dyDescent="0.2">
      <c r="BJ5728" s="201"/>
    </row>
    <row r="5729" spans="62:62" x14ac:dyDescent="0.2">
      <c r="BJ5729" s="201"/>
    </row>
    <row r="5730" spans="62:62" x14ac:dyDescent="0.2">
      <c r="BJ5730" s="201"/>
    </row>
    <row r="5731" spans="62:62" x14ac:dyDescent="0.2">
      <c r="BJ5731" s="201"/>
    </row>
    <row r="5732" spans="62:62" x14ac:dyDescent="0.2">
      <c r="BJ5732" s="201"/>
    </row>
    <row r="5733" spans="62:62" x14ac:dyDescent="0.2">
      <c r="BJ5733" s="201"/>
    </row>
    <row r="5734" spans="62:62" x14ac:dyDescent="0.2">
      <c r="BJ5734" s="201"/>
    </row>
    <row r="5735" spans="62:62" x14ac:dyDescent="0.2">
      <c r="BJ5735" s="201"/>
    </row>
    <row r="5736" spans="62:62" x14ac:dyDescent="0.2">
      <c r="BJ5736" s="201"/>
    </row>
    <row r="5737" spans="62:62" x14ac:dyDescent="0.2">
      <c r="BJ5737" s="201"/>
    </row>
    <row r="5738" spans="62:62" x14ac:dyDescent="0.2">
      <c r="BJ5738" s="201"/>
    </row>
    <row r="5739" spans="62:62" x14ac:dyDescent="0.2">
      <c r="BJ5739" s="201"/>
    </row>
    <row r="5740" spans="62:62" x14ac:dyDescent="0.2">
      <c r="BJ5740" s="201"/>
    </row>
    <row r="5741" spans="62:62" x14ac:dyDescent="0.2">
      <c r="BJ5741" s="201"/>
    </row>
    <row r="5742" spans="62:62" x14ac:dyDescent="0.2">
      <c r="BJ5742" s="201"/>
    </row>
    <row r="5743" spans="62:62" x14ac:dyDescent="0.2">
      <c r="BJ5743" s="201"/>
    </row>
    <row r="5744" spans="62:62" x14ac:dyDescent="0.2">
      <c r="BJ5744" s="201"/>
    </row>
    <row r="5745" spans="62:62" x14ac:dyDescent="0.2">
      <c r="BJ5745" s="201"/>
    </row>
    <row r="5746" spans="62:62" x14ac:dyDescent="0.2">
      <c r="BJ5746" s="201"/>
    </row>
    <row r="5747" spans="62:62" x14ac:dyDescent="0.2">
      <c r="BJ5747" s="201"/>
    </row>
    <row r="5748" spans="62:62" x14ac:dyDescent="0.2">
      <c r="BJ5748" s="201"/>
    </row>
    <row r="5749" spans="62:62" x14ac:dyDescent="0.2">
      <c r="BJ5749" s="201"/>
    </row>
    <row r="5750" spans="62:62" x14ac:dyDescent="0.2">
      <c r="BJ5750" s="201"/>
    </row>
    <row r="5751" spans="62:62" x14ac:dyDescent="0.2">
      <c r="BJ5751" s="201"/>
    </row>
    <row r="5752" spans="62:62" x14ac:dyDescent="0.2">
      <c r="BJ5752" s="201"/>
    </row>
    <row r="5753" spans="62:62" x14ac:dyDescent="0.2">
      <c r="BJ5753" s="201"/>
    </row>
    <row r="5754" spans="62:62" x14ac:dyDescent="0.2">
      <c r="BJ5754" s="201"/>
    </row>
    <row r="5755" spans="62:62" x14ac:dyDescent="0.2">
      <c r="BJ5755" s="201"/>
    </row>
    <row r="5756" spans="62:62" x14ac:dyDescent="0.2">
      <c r="BJ5756" s="201"/>
    </row>
    <row r="5757" spans="62:62" x14ac:dyDescent="0.2">
      <c r="BJ5757" s="201"/>
    </row>
    <row r="5758" spans="62:62" x14ac:dyDescent="0.2">
      <c r="BJ5758" s="201"/>
    </row>
    <row r="5759" spans="62:62" x14ac:dyDescent="0.2">
      <c r="BJ5759" s="201"/>
    </row>
    <row r="5760" spans="62:62" x14ac:dyDescent="0.2">
      <c r="BJ5760" s="201"/>
    </row>
    <row r="5761" spans="62:62" x14ac:dyDescent="0.2">
      <c r="BJ5761" s="201"/>
    </row>
    <row r="5762" spans="62:62" x14ac:dyDescent="0.2">
      <c r="BJ5762" s="201"/>
    </row>
    <row r="5763" spans="62:62" x14ac:dyDescent="0.2">
      <c r="BJ5763" s="201"/>
    </row>
    <row r="5764" spans="62:62" x14ac:dyDescent="0.2">
      <c r="BJ5764" s="201"/>
    </row>
    <row r="5765" spans="62:62" x14ac:dyDescent="0.2">
      <c r="BJ5765" s="201"/>
    </row>
    <row r="5766" spans="62:62" x14ac:dyDescent="0.2">
      <c r="BJ5766" s="201"/>
    </row>
    <row r="5767" spans="62:62" x14ac:dyDescent="0.2">
      <c r="BJ5767" s="201"/>
    </row>
    <row r="5768" spans="62:62" x14ac:dyDescent="0.2">
      <c r="BJ5768" s="201"/>
    </row>
    <row r="5769" spans="62:62" x14ac:dyDescent="0.2">
      <c r="BJ5769" s="201"/>
    </row>
    <row r="5770" spans="62:62" x14ac:dyDescent="0.2">
      <c r="BJ5770" s="201"/>
    </row>
    <row r="5771" spans="62:62" x14ac:dyDescent="0.2">
      <c r="BJ5771" s="201"/>
    </row>
    <row r="5772" spans="62:62" x14ac:dyDescent="0.2">
      <c r="BJ5772" s="201"/>
    </row>
    <row r="5773" spans="62:62" x14ac:dyDescent="0.2">
      <c r="BJ5773" s="201"/>
    </row>
    <row r="5774" spans="62:62" x14ac:dyDescent="0.2">
      <c r="BJ5774" s="201"/>
    </row>
    <row r="5775" spans="62:62" x14ac:dyDescent="0.2">
      <c r="BJ5775" s="201"/>
    </row>
    <row r="5776" spans="62:62" x14ac:dyDescent="0.2">
      <c r="BJ5776" s="201"/>
    </row>
    <row r="5777" spans="62:62" x14ac:dyDescent="0.2">
      <c r="BJ5777" s="201"/>
    </row>
    <row r="5778" spans="62:62" x14ac:dyDescent="0.2">
      <c r="BJ5778" s="201"/>
    </row>
    <row r="5779" spans="62:62" x14ac:dyDescent="0.2">
      <c r="BJ5779" s="201"/>
    </row>
    <row r="5780" spans="62:62" x14ac:dyDescent="0.2">
      <c r="BJ5780" s="201"/>
    </row>
    <row r="5781" spans="62:62" x14ac:dyDescent="0.2">
      <c r="BJ5781" s="201"/>
    </row>
    <row r="5782" spans="62:62" x14ac:dyDescent="0.2">
      <c r="BJ5782" s="201"/>
    </row>
    <row r="5783" spans="62:62" x14ac:dyDescent="0.2">
      <c r="BJ5783" s="201"/>
    </row>
    <row r="5784" spans="62:62" x14ac:dyDescent="0.2">
      <c r="BJ5784" s="201"/>
    </row>
    <row r="5785" spans="62:62" x14ac:dyDescent="0.2">
      <c r="BJ5785" s="201"/>
    </row>
    <row r="5786" spans="62:62" x14ac:dyDescent="0.2">
      <c r="BJ5786" s="201"/>
    </row>
    <row r="5787" spans="62:62" x14ac:dyDescent="0.2">
      <c r="BJ5787" s="201"/>
    </row>
    <row r="5788" spans="62:62" x14ac:dyDescent="0.2">
      <c r="BJ5788" s="201"/>
    </row>
    <row r="5789" spans="62:62" x14ac:dyDescent="0.2">
      <c r="BJ5789" s="201"/>
    </row>
    <row r="5790" spans="62:62" x14ac:dyDescent="0.2">
      <c r="BJ5790" s="201"/>
    </row>
    <row r="5791" spans="62:62" x14ac:dyDescent="0.2">
      <c r="BJ5791" s="201"/>
    </row>
    <row r="5792" spans="62:62" x14ac:dyDescent="0.2">
      <c r="BJ5792" s="201"/>
    </row>
    <row r="5793" spans="62:62" x14ac:dyDescent="0.2">
      <c r="BJ5793" s="201"/>
    </row>
    <row r="5794" spans="62:62" x14ac:dyDescent="0.2">
      <c r="BJ5794" s="201"/>
    </row>
    <row r="5795" spans="62:62" x14ac:dyDescent="0.2">
      <c r="BJ5795" s="201"/>
    </row>
    <row r="5796" spans="62:62" x14ac:dyDescent="0.2">
      <c r="BJ5796" s="201"/>
    </row>
    <row r="5797" spans="62:62" x14ac:dyDescent="0.2">
      <c r="BJ5797" s="201"/>
    </row>
    <row r="5798" spans="62:62" x14ac:dyDescent="0.2">
      <c r="BJ5798" s="201"/>
    </row>
    <row r="5799" spans="62:62" x14ac:dyDescent="0.2">
      <c r="BJ5799" s="201"/>
    </row>
    <row r="5800" spans="62:62" x14ac:dyDescent="0.2">
      <c r="BJ5800" s="201"/>
    </row>
    <row r="5801" spans="62:62" x14ac:dyDescent="0.2">
      <c r="BJ5801" s="201"/>
    </row>
    <row r="5802" spans="62:62" x14ac:dyDescent="0.2">
      <c r="BJ5802" s="201"/>
    </row>
    <row r="5803" spans="62:62" x14ac:dyDescent="0.2">
      <c r="BJ5803" s="201"/>
    </row>
    <row r="5804" spans="62:62" x14ac:dyDescent="0.2">
      <c r="BJ5804" s="201"/>
    </row>
    <row r="5805" spans="62:62" x14ac:dyDescent="0.2">
      <c r="BJ5805" s="201"/>
    </row>
    <row r="5806" spans="62:62" x14ac:dyDescent="0.2">
      <c r="BJ5806" s="201"/>
    </row>
    <row r="5807" spans="62:62" x14ac:dyDescent="0.2">
      <c r="BJ5807" s="201"/>
    </row>
    <row r="5808" spans="62:62" x14ac:dyDescent="0.2">
      <c r="BJ5808" s="201"/>
    </row>
    <row r="5809" spans="62:62" x14ac:dyDescent="0.2">
      <c r="BJ5809" s="201"/>
    </row>
    <row r="5810" spans="62:62" x14ac:dyDescent="0.2">
      <c r="BJ5810" s="201"/>
    </row>
    <row r="5811" spans="62:62" x14ac:dyDescent="0.2">
      <c r="BJ5811" s="201"/>
    </row>
    <row r="5812" spans="62:62" x14ac:dyDescent="0.2">
      <c r="BJ5812" s="201"/>
    </row>
    <row r="5813" spans="62:62" x14ac:dyDescent="0.2">
      <c r="BJ5813" s="201"/>
    </row>
    <row r="5814" spans="62:62" x14ac:dyDescent="0.2">
      <c r="BJ5814" s="201"/>
    </row>
    <row r="5815" spans="62:62" x14ac:dyDescent="0.2">
      <c r="BJ5815" s="201"/>
    </row>
    <row r="5816" spans="62:62" x14ac:dyDescent="0.2">
      <c r="BJ5816" s="201"/>
    </row>
    <row r="5817" spans="62:62" x14ac:dyDescent="0.2">
      <c r="BJ5817" s="201"/>
    </row>
    <row r="5818" spans="62:62" x14ac:dyDescent="0.2">
      <c r="BJ5818" s="201"/>
    </row>
    <row r="5819" spans="62:62" x14ac:dyDescent="0.2">
      <c r="BJ5819" s="201"/>
    </row>
    <row r="5820" spans="62:62" x14ac:dyDescent="0.2">
      <c r="BJ5820" s="201"/>
    </row>
    <row r="5821" spans="62:62" x14ac:dyDescent="0.2">
      <c r="BJ5821" s="201"/>
    </row>
    <row r="5822" spans="62:62" x14ac:dyDescent="0.2">
      <c r="BJ5822" s="201"/>
    </row>
    <row r="5823" spans="62:62" x14ac:dyDescent="0.2">
      <c r="BJ5823" s="201"/>
    </row>
    <row r="5824" spans="62:62" x14ac:dyDescent="0.2">
      <c r="BJ5824" s="201"/>
    </row>
    <row r="5825" spans="62:62" x14ac:dyDescent="0.2">
      <c r="BJ5825" s="201"/>
    </row>
    <row r="5826" spans="62:62" x14ac:dyDescent="0.2">
      <c r="BJ5826" s="201"/>
    </row>
    <row r="5827" spans="62:62" x14ac:dyDescent="0.2">
      <c r="BJ5827" s="201"/>
    </row>
    <row r="5828" spans="62:62" x14ac:dyDescent="0.2">
      <c r="BJ5828" s="201"/>
    </row>
    <row r="5829" spans="62:62" x14ac:dyDescent="0.2">
      <c r="BJ5829" s="201"/>
    </row>
    <row r="5830" spans="62:62" x14ac:dyDescent="0.2">
      <c r="BJ5830" s="201"/>
    </row>
    <row r="5831" spans="62:62" x14ac:dyDescent="0.2">
      <c r="BJ5831" s="201"/>
    </row>
    <row r="5832" spans="62:62" x14ac:dyDescent="0.2">
      <c r="BJ5832" s="201"/>
    </row>
    <row r="5833" spans="62:62" x14ac:dyDescent="0.2">
      <c r="BJ5833" s="201"/>
    </row>
    <row r="5834" spans="62:62" x14ac:dyDescent="0.2">
      <c r="BJ5834" s="201"/>
    </row>
    <row r="5835" spans="62:62" x14ac:dyDescent="0.2">
      <c r="BJ5835" s="201"/>
    </row>
    <row r="5836" spans="62:62" x14ac:dyDescent="0.2">
      <c r="BJ5836" s="201"/>
    </row>
    <row r="5837" spans="62:62" x14ac:dyDescent="0.2">
      <c r="BJ5837" s="201"/>
    </row>
    <row r="5838" spans="62:62" x14ac:dyDescent="0.2">
      <c r="BJ5838" s="201"/>
    </row>
    <row r="5839" spans="62:62" x14ac:dyDescent="0.2">
      <c r="BJ5839" s="201"/>
    </row>
    <row r="5840" spans="62:62" x14ac:dyDescent="0.2">
      <c r="BJ5840" s="201"/>
    </row>
    <row r="5841" spans="62:62" x14ac:dyDescent="0.2">
      <c r="BJ5841" s="201"/>
    </row>
    <row r="5842" spans="62:62" x14ac:dyDescent="0.2">
      <c r="BJ5842" s="201"/>
    </row>
    <row r="5843" spans="62:62" x14ac:dyDescent="0.2">
      <c r="BJ5843" s="201"/>
    </row>
    <row r="5844" spans="62:62" x14ac:dyDescent="0.2">
      <c r="BJ5844" s="201"/>
    </row>
    <row r="5845" spans="62:62" x14ac:dyDescent="0.2">
      <c r="BJ5845" s="201"/>
    </row>
    <row r="5846" spans="62:62" x14ac:dyDescent="0.2">
      <c r="BJ5846" s="201"/>
    </row>
    <row r="5847" spans="62:62" x14ac:dyDescent="0.2">
      <c r="BJ5847" s="201"/>
    </row>
    <row r="5848" spans="62:62" x14ac:dyDescent="0.2">
      <c r="BJ5848" s="201"/>
    </row>
    <row r="5849" spans="62:62" x14ac:dyDescent="0.2">
      <c r="BJ5849" s="201"/>
    </row>
    <row r="5850" spans="62:62" x14ac:dyDescent="0.2">
      <c r="BJ5850" s="201"/>
    </row>
    <row r="5851" spans="62:62" x14ac:dyDescent="0.2">
      <c r="BJ5851" s="201"/>
    </row>
    <row r="5852" spans="62:62" x14ac:dyDescent="0.2">
      <c r="BJ5852" s="201"/>
    </row>
    <row r="5853" spans="62:62" x14ac:dyDescent="0.2">
      <c r="BJ5853" s="201"/>
    </row>
    <row r="5854" spans="62:62" x14ac:dyDescent="0.2">
      <c r="BJ5854" s="201"/>
    </row>
    <row r="5855" spans="62:62" x14ac:dyDescent="0.2">
      <c r="BJ5855" s="201"/>
    </row>
    <row r="5856" spans="62:62" x14ac:dyDescent="0.2">
      <c r="BJ5856" s="201"/>
    </row>
    <row r="5857" spans="62:62" x14ac:dyDescent="0.2">
      <c r="BJ5857" s="201"/>
    </row>
    <row r="5858" spans="62:62" x14ac:dyDescent="0.2">
      <c r="BJ5858" s="201"/>
    </row>
    <row r="5859" spans="62:62" x14ac:dyDescent="0.2">
      <c r="BJ5859" s="201"/>
    </row>
    <row r="5860" spans="62:62" x14ac:dyDescent="0.2">
      <c r="BJ5860" s="201"/>
    </row>
    <row r="5861" spans="62:62" x14ac:dyDescent="0.2">
      <c r="BJ5861" s="201"/>
    </row>
    <row r="5862" spans="62:62" x14ac:dyDescent="0.2">
      <c r="BJ5862" s="201"/>
    </row>
    <row r="5863" spans="62:62" x14ac:dyDescent="0.2">
      <c r="BJ5863" s="201"/>
    </row>
    <row r="5864" spans="62:62" x14ac:dyDescent="0.2">
      <c r="BJ5864" s="201"/>
    </row>
    <row r="5865" spans="62:62" x14ac:dyDescent="0.2">
      <c r="BJ5865" s="201"/>
    </row>
    <row r="5866" spans="62:62" x14ac:dyDescent="0.2">
      <c r="BJ5866" s="201"/>
    </row>
    <row r="5867" spans="62:62" x14ac:dyDescent="0.2">
      <c r="BJ5867" s="201"/>
    </row>
    <row r="5868" spans="62:62" x14ac:dyDescent="0.2">
      <c r="BJ5868" s="201"/>
    </row>
    <row r="5869" spans="62:62" x14ac:dyDescent="0.2">
      <c r="BJ5869" s="201"/>
    </row>
    <row r="5870" spans="62:62" x14ac:dyDescent="0.2">
      <c r="BJ5870" s="201"/>
    </row>
    <row r="5871" spans="62:62" x14ac:dyDescent="0.2">
      <c r="BJ5871" s="201"/>
    </row>
    <row r="5872" spans="62:62" x14ac:dyDescent="0.2">
      <c r="BJ5872" s="201"/>
    </row>
    <row r="5873" spans="62:62" x14ac:dyDescent="0.2">
      <c r="BJ5873" s="201"/>
    </row>
    <row r="5874" spans="62:62" x14ac:dyDescent="0.2">
      <c r="BJ5874" s="201"/>
    </row>
    <row r="5875" spans="62:62" x14ac:dyDescent="0.2">
      <c r="BJ5875" s="201"/>
    </row>
    <row r="5876" spans="62:62" x14ac:dyDescent="0.2">
      <c r="BJ5876" s="201"/>
    </row>
    <row r="5877" spans="62:62" x14ac:dyDescent="0.2">
      <c r="BJ5877" s="201"/>
    </row>
    <row r="5878" spans="62:62" x14ac:dyDescent="0.2">
      <c r="BJ5878" s="201"/>
    </row>
    <row r="5879" spans="62:62" x14ac:dyDescent="0.2">
      <c r="BJ5879" s="201"/>
    </row>
    <row r="5880" spans="62:62" x14ac:dyDescent="0.2">
      <c r="BJ5880" s="201"/>
    </row>
    <row r="5881" spans="62:62" x14ac:dyDescent="0.2">
      <c r="BJ5881" s="201"/>
    </row>
    <row r="5882" spans="62:62" x14ac:dyDescent="0.2">
      <c r="BJ5882" s="201"/>
    </row>
    <row r="5883" spans="62:62" x14ac:dyDescent="0.2">
      <c r="BJ5883" s="201"/>
    </row>
    <row r="5884" spans="62:62" x14ac:dyDescent="0.2">
      <c r="BJ5884" s="201"/>
    </row>
    <row r="5885" spans="62:62" x14ac:dyDescent="0.2">
      <c r="BJ5885" s="201"/>
    </row>
    <row r="5886" spans="62:62" x14ac:dyDescent="0.2">
      <c r="BJ5886" s="201"/>
    </row>
    <row r="5887" spans="62:62" x14ac:dyDescent="0.2">
      <c r="BJ5887" s="201"/>
    </row>
    <row r="5888" spans="62:62" x14ac:dyDescent="0.2">
      <c r="BJ5888" s="201"/>
    </row>
    <row r="5889" spans="62:62" x14ac:dyDescent="0.2">
      <c r="BJ5889" s="201"/>
    </row>
    <row r="5890" spans="62:62" x14ac:dyDescent="0.2">
      <c r="BJ5890" s="201"/>
    </row>
    <row r="5891" spans="62:62" x14ac:dyDescent="0.2">
      <c r="BJ5891" s="201"/>
    </row>
    <row r="5892" spans="62:62" x14ac:dyDescent="0.2">
      <c r="BJ5892" s="201"/>
    </row>
    <row r="5893" spans="62:62" x14ac:dyDescent="0.2">
      <c r="BJ5893" s="201"/>
    </row>
    <row r="5894" spans="62:62" x14ac:dyDescent="0.2">
      <c r="BJ5894" s="201"/>
    </row>
    <row r="5895" spans="62:62" x14ac:dyDescent="0.2">
      <c r="BJ5895" s="201"/>
    </row>
    <row r="5896" spans="62:62" x14ac:dyDescent="0.2">
      <c r="BJ5896" s="201"/>
    </row>
    <row r="5897" spans="62:62" x14ac:dyDescent="0.2">
      <c r="BJ5897" s="201"/>
    </row>
    <row r="5898" spans="62:62" x14ac:dyDescent="0.2">
      <c r="BJ5898" s="201"/>
    </row>
    <row r="5899" spans="62:62" x14ac:dyDescent="0.2">
      <c r="BJ5899" s="201"/>
    </row>
    <row r="5900" spans="62:62" x14ac:dyDescent="0.2">
      <c r="BJ5900" s="201"/>
    </row>
    <row r="5901" spans="62:62" x14ac:dyDescent="0.2">
      <c r="BJ5901" s="201"/>
    </row>
    <row r="5902" spans="62:62" x14ac:dyDescent="0.2">
      <c r="BJ5902" s="201"/>
    </row>
    <row r="5903" spans="62:62" x14ac:dyDescent="0.2">
      <c r="BJ5903" s="201"/>
    </row>
    <row r="5904" spans="62:62" x14ac:dyDescent="0.2">
      <c r="BJ5904" s="201"/>
    </row>
    <row r="5905" spans="62:62" x14ac:dyDescent="0.2">
      <c r="BJ5905" s="201"/>
    </row>
    <row r="5906" spans="62:62" x14ac:dyDescent="0.2">
      <c r="BJ5906" s="201"/>
    </row>
    <row r="5907" spans="62:62" x14ac:dyDescent="0.2">
      <c r="BJ5907" s="201"/>
    </row>
    <row r="5908" spans="62:62" x14ac:dyDescent="0.2">
      <c r="BJ5908" s="201"/>
    </row>
    <row r="5909" spans="62:62" x14ac:dyDescent="0.2">
      <c r="BJ5909" s="201"/>
    </row>
    <row r="5910" spans="62:62" x14ac:dyDescent="0.2">
      <c r="BJ5910" s="201"/>
    </row>
    <row r="5911" spans="62:62" x14ac:dyDescent="0.2">
      <c r="BJ5911" s="201"/>
    </row>
    <row r="5912" spans="62:62" x14ac:dyDescent="0.2">
      <c r="BJ5912" s="201"/>
    </row>
    <row r="5913" spans="62:62" x14ac:dyDescent="0.2">
      <c r="BJ5913" s="201"/>
    </row>
    <row r="5914" spans="62:62" x14ac:dyDescent="0.2">
      <c r="BJ5914" s="201"/>
    </row>
    <row r="5915" spans="62:62" x14ac:dyDescent="0.2">
      <c r="BJ5915" s="201"/>
    </row>
    <row r="5916" spans="62:62" x14ac:dyDescent="0.2">
      <c r="BJ5916" s="201"/>
    </row>
    <row r="5917" spans="62:62" x14ac:dyDescent="0.2">
      <c r="BJ5917" s="201"/>
    </row>
    <row r="5918" spans="62:62" x14ac:dyDescent="0.2">
      <c r="BJ5918" s="201"/>
    </row>
    <row r="5919" spans="62:62" x14ac:dyDescent="0.2">
      <c r="BJ5919" s="201"/>
    </row>
    <row r="5920" spans="62:62" x14ac:dyDescent="0.2">
      <c r="BJ5920" s="201"/>
    </row>
    <row r="5921" spans="62:62" x14ac:dyDescent="0.2">
      <c r="BJ5921" s="201"/>
    </row>
    <row r="5922" spans="62:62" x14ac:dyDescent="0.2">
      <c r="BJ5922" s="201"/>
    </row>
    <row r="5923" spans="62:62" x14ac:dyDescent="0.2">
      <c r="BJ5923" s="201"/>
    </row>
    <row r="5924" spans="62:62" x14ac:dyDescent="0.2">
      <c r="BJ5924" s="201"/>
    </row>
    <row r="5925" spans="62:62" x14ac:dyDescent="0.2">
      <c r="BJ5925" s="201"/>
    </row>
    <row r="5926" spans="62:62" x14ac:dyDescent="0.2">
      <c r="BJ5926" s="201"/>
    </row>
    <row r="5927" spans="62:62" x14ac:dyDescent="0.2">
      <c r="BJ5927" s="201"/>
    </row>
    <row r="5928" spans="62:62" x14ac:dyDescent="0.2">
      <c r="BJ5928" s="201"/>
    </row>
    <row r="5929" spans="62:62" x14ac:dyDescent="0.2">
      <c r="BJ5929" s="201"/>
    </row>
    <row r="5930" spans="62:62" x14ac:dyDescent="0.2">
      <c r="BJ5930" s="201"/>
    </row>
    <row r="5931" spans="62:62" x14ac:dyDescent="0.2">
      <c r="BJ5931" s="201"/>
    </row>
    <row r="5932" spans="62:62" x14ac:dyDescent="0.2">
      <c r="BJ5932" s="201"/>
    </row>
    <row r="5933" spans="62:62" x14ac:dyDescent="0.2">
      <c r="BJ5933" s="201"/>
    </row>
    <row r="5934" spans="62:62" x14ac:dyDescent="0.2">
      <c r="BJ5934" s="201"/>
    </row>
    <row r="5935" spans="62:62" x14ac:dyDescent="0.2">
      <c r="BJ5935" s="201"/>
    </row>
    <row r="5936" spans="62:62" x14ac:dyDescent="0.2">
      <c r="BJ5936" s="201"/>
    </row>
    <row r="5937" spans="62:62" x14ac:dyDescent="0.2">
      <c r="BJ5937" s="201"/>
    </row>
    <row r="5938" spans="62:62" x14ac:dyDescent="0.2">
      <c r="BJ5938" s="201"/>
    </row>
    <row r="5939" spans="62:62" x14ac:dyDescent="0.2">
      <c r="BJ5939" s="201"/>
    </row>
    <row r="5940" spans="62:62" x14ac:dyDescent="0.2">
      <c r="BJ5940" s="201"/>
    </row>
    <row r="5941" spans="62:62" x14ac:dyDescent="0.2">
      <c r="BJ5941" s="201"/>
    </row>
    <row r="5942" spans="62:62" x14ac:dyDescent="0.2">
      <c r="BJ5942" s="201"/>
    </row>
    <row r="5943" spans="62:62" x14ac:dyDescent="0.2">
      <c r="BJ5943" s="201"/>
    </row>
    <row r="5944" spans="62:62" x14ac:dyDescent="0.2">
      <c r="BJ5944" s="201"/>
    </row>
    <row r="5945" spans="62:62" x14ac:dyDescent="0.2">
      <c r="BJ5945" s="201"/>
    </row>
    <row r="5946" spans="62:62" x14ac:dyDescent="0.2">
      <c r="BJ5946" s="201"/>
    </row>
    <row r="5947" spans="62:62" x14ac:dyDescent="0.2">
      <c r="BJ5947" s="201"/>
    </row>
    <row r="5948" spans="62:62" x14ac:dyDescent="0.2">
      <c r="BJ5948" s="201"/>
    </row>
    <row r="5949" spans="62:62" x14ac:dyDescent="0.2">
      <c r="BJ5949" s="201"/>
    </row>
    <row r="5950" spans="62:62" x14ac:dyDescent="0.2">
      <c r="BJ5950" s="201"/>
    </row>
    <row r="5951" spans="62:62" x14ac:dyDescent="0.2">
      <c r="BJ5951" s="201"/>
    </row>
    <row r="5952" spans="62:62" x14ac:dyDescent="0.2">
      <c r="BJ5952" s="201"/>
    </row>
    <row r="5953" spans="62:62" x14ac:dyDescent="0.2">
      <c r="BJ5953" s="201"/>
    </row>
    <row r="5954" spans="62:62" x14ac:dyDescent="0.2">
      <c r="BJ5954" s="201"/>
    </row>
    <row r="5955" spans="62:62" x14ac:dyDescent="0.2">
      <c r="BJ5955" s="201"/>
    </row>
    <row r="5956" spans="62:62" x14ac:dyDescent="0.2">
      <c r="BJ5956" s="201"/>
    </row>
    <row r="5957" spans="62:62" x14ac:dyDescent="0.2">
      <c r="BJ5957" s="201"/>
    </row>
    <row r="5958" spans="62:62" x14ac:dyDescent="0.2">
      <c r="BJ5958" s="201"/>
    </row>
    <row r="5959" spans="62:62" x14ac:dyDescent="0.2">
      <c r="BJ5959" s="201"/>
    </row>
    <row r="5960" spans="62:62" x14ac:dyDescent="0.2">
      <c r="BJ5960" s="201"/>
    </row>
    <row r="5961" spans="62:62" x14ac:dyDescent="0.2">
      <c r="BJ5961" s="201"/>
    </row>
    <row r="5962" spans="62:62" x14ac:dyDescent="0.2">
      <c r="BJ5962" s="201"/>
    </row>
    <row r="5963" spans="62:62" x14ac:dyDescent="0.2">
      <c r="BJ5963" s="201"/>
    </row>
    <row r="5964" spans="62:62" x14ac:dyDescent="0.2">
      <c r="BJ5964" s="201"/>
    </row>
    <row r="5965" spans="62:62" x14ac:dyDescent="0.2">
      <c r="BJ5965" s="201"/>
    </row>
    <row r="5966" spans="62:62" x14ac:dyDescent="0.2">
      <c r="BJ5966" s="201"/>
    </row>
    <row r="5967" spans="62:62" x14ac:dyDescent="0.2">
      <c r="BJ5967" s="201"/>
    </row>
    <row r="5968" spans="62:62" x14ac:dyDescent="0.2">
      <c r="BJ5968" s="201"/>
    </row>
    <row r="5969" spans="62:62" x14ac:dyDescent="0.2">
      <c r="BJ5969" s="201"/>
    </row>
    <row r="5970" spans="62:62" x14ac:dyDescent="0.2">
      <c r="BJ5970" s="201"/>
    </row>
    <row r="5971" spans="62:62" x14ac:dyDescent="0.2">
      <c r="BJ5971" s="201"/>
    </row>
    <row r="5972" spans="62:62" x14ac:dyDescent="0.2">
      <c r="BJ5972" s="201"/>
    </row>
    <row r="5973" spans="62:62" x14ac:dyDescent="0.2">
      <c r="BJ5973" s="201"/>
    </row>
    <row r="5974" spans="62:62" x14ac:dyDescent="0.2">
      <c r="BJ5974" s="201"/>
    </row>
    <row r="5975" spans="62:62" x14ac:dyDescent="0.2">
      <c r="BJ5975" s="201"/>
    </row>
    <row r="5976" spans="62:62" x14ac:dyDescent="0.2">
      <c r="BJ5976" s="201"/>
    </row>
    <row r="5977" spans="62:62" x14ac:dyDescent="0.2">
      <c r="BJ5977" s="201"/>
    </row>
    <row r="5978" spans="62:62" x14ac:dyDescent="0.2">
      <c r="BJ5978" s="201"/>
    </row>
    <row r="5979" spans="62:62" x14ac:dyDescent="0.2">
      <c r="BJ5979" s="201"/>
    </row>
    <row r="5980" spans="62:62" x14ac:dyDescent="0.2">
      <c r="BJ5980" s="201"/>
    </row>
    <row r="5981" spans="62:62" x14ac:dyDescent="0.2">
      <c r="BJ5981" s="201"/>
    </row>
    <row r="5982" spans="62:62" x14ac:dyDescent="0.2">
      <c r="BJ5982" s="201"/>
    </row>
    <row r="5983" spans="62:62" x14ac:dyDescent="0.2">
      <c r="BJ5983" s="201"/>
    </row>
    <row r="5984" spans="62:62" x14ac:dyDescent="0.2">
      <c r="BJ5984" s="201"/>
    </row>
    <row r="5985" spans="62:62" x14ac:dyDescent="0.2">
      <c r="BJ5985" s="201"/>
    </row>
    <row r="5986" spans="62:62" x14ac:dyDescent="0.2">
      <c r="BJ5986" s="201"/>
    </row>
    <row r="5987" spans="62:62" x14ac:dyDescent="0.2">
      <c r="BJ5987" s="201"/>
    </row>
    <row r="5988" spans="62:62" x14ac:dyDescent="0.2">
      <c r="BJ5988" s="201"/>
    </row>
    <row r="5989" spans="62:62" x14ac:dyDescent="0.2">
      <c r="BJ5989" s="201"/>
    </row>
    <row r="5990" spans="62:62" x14ac:dyDescent="0.2">
      <c r="BJ5990" s="201"/>
    </row>
    <row r="5991" spans="62:62" x14ac:dyDescent="0.2">
      <c r="BJ5991" s="201"/>
    </row>
    <row r="5992" spans="62:62" x14ac:dyDescent="0.2">
      <c r="BJ5992" s="201"/>
    </row>
    <row r="5993" spans="62:62" x14ac:dyDescent="0.2">
      <c r="BJ5993" s="201"/>
    </row>
    <row r="5994" spans="62:62" x14ac:dyDescent="0.2">
      <c r="BJ5994" s="201"/>
    </row>
    <row r="5995" spans="62:62" x14ac:dyDescent="0.2">
      <c r="BJ5995" s="201"/>
    </row>
    <row r="5996" spans="62:62" x14ac:dyDescent="0.2">
      <c r="BJ5996" s="201"/>
    </row>
    <row r="5997" spans="62:62" x14ac:dyDescent="0.2">
      <c r="BJ5997" s="201"/>
    </row>
    <row r="5998" spans="62:62" x14ac:dyDescent="0.2">
      <c r="BJ5998" s="201"/>
    </row>
    <row r="5999" spans="62:62" x14ac:dyDescent="0.2">
      <c r="BJ5999" s="201"/>
    </row>
    <row r="6000" spans="62:62" x14ac:dyDescent="0.2">
      <c r="BJ6000" s="201"/>
    </row>
    <row r="6001" spans="62:62" x14ac:dyDescent="0.2">
      <c r="BJ6001" s="201"/>
    </row>
    <row r="6002" spans="62:62" x14ac:dyDescent="0.2">
      <c r="BJ6002" s="201"/>
    </row>
    <row r="6003" spans="62:62" x14ac:dyDescent="0.2">
      <c r="BJ6003" s="201"/>
    </row>
    <row r="6004" spans="62:62" x14ac:dyDescent="0.2">
      <c r="BJ6004" s="201"/>
    </row>
    <row r="6005" spans="62:62" x14ac:dyDescent="0.2">
      <c r="BJ6005" s="201"/>
    </row>
    <row r="6006" spans="62:62" x14ac:dyDescent="0.2">
      <c r="BJ6006" s="201"/>
    </row>
    <row r="6007" spans="62:62" x14ac:dyDescent="0.2">
      <c r="BJ6007" s="201"/>
    </row>
    <row r="6008" spans="62:62" x14ac:dyDescent="0.2">
      <c r="BJ6008" s="201"/>
    </row>
    <row r="6009" spans="62:62" x14ac:dyDescent="0.2">
      <c r="BJ6009" s="201"/>
    </row>
    <row r="6010" spans="62:62" x14ac:dyDescent="0.2">
      <c r="BJ6010" s="201"/>
    </row>
    <row r="6011" spans="62:62" x14ac:dyDescent="0.2">
      <c r="BJ6011" s="201"/>
    </row>
    <row r="6012" spans="62:62" x14ac:dyDescent="0.2">
      <c r="BJ6012" s="201"/>
    </row>
    <row r="6013" spans="62:62" x14ac:dyDescent="0.2">
      <c r="BJ6013" s="201"/>
    </row>
    <row r="6014" spans="62:62" x14ac:dyDescent="0.2">
      <c r="BJ6014" s="201"/>
    </row>
    <row r="6015" spans="62:62" x14ac:dyDescent="0.2">
      <c r="BJ6015" s="201"/>
    </row>
    <row r="6016" spans="62:62" x14ac:dyDescent="0.2">
      <c r="BJ6016" s="201"/>
    </row>
    <row r="6017" spans="62:62" x14ac:dyDescent="0.2">
      <c r="BJ6017" s="201"/>
    </row>
    <row r="6018" spans="62:62" x14ac:dyDescent="0.2">
      <c r="BJ6018" s="201"/>
    </row>
    <row r="6019" spans="62:62" x14ac:dyDescent="0.2">
      <c r="BJ6019" s="201"/>
    </row>
    <row r="6020" spans="62:62" x14ac:dyDescent="0.2">
      <c r="BJ6020" s="201"/>
    </row>
    <row r="6021" spans="62:62" x14ac:dyDescent="0.2">
      <c r="BJ6021" s="201"/>
    </row>
    <row r="6022" spans="62:62" x14ac:dyDescent="0.2">
      <c r="BJ6022" s="201"/>
    </row>
    <row r="6023" spans="62:62" x14ac:dyDescent="0.2">
      <c r="BJ6023" s="201"/>
    </row>
    <row r="6024" spans="62:62" x14ac:dyDescent="0.2">
      <c r="BJ6024" s="201"/>
    </row>
    <row r="6025" spans="62:62" x14ac:dyDescent="0.2">
      <c r="BJ6025" s="201"/>
    </row>
    <row r="6026" spans="62:62" x14ac:dyDescent="0.2">
      <c r="BJ6026" s="201"/>
    </row>
    <row r="6027" spans="62:62" x14ac:dyDescent="0.2">
      <c r="BJ6027" s="201"/>
    </row>
    <row r="6028" spans="62:62" x14ac:dyDescent="0.2">
      <c r="BJ6028" s="201"/>
    </row>
    <row r="6029" spans="62:62" x14ac:dyDescent="0.2">
      <c r="BJ6029" s="201"/>
    </row>
    <row r="6030" spans="62:62" x14ac:dyDescent="0.2">
      <c r="BJ6030" s="201"/>
    </row>
    <row r="6031" spans="62:62" x14ac:dyDescent="0.2">
      <c r="BJ6031" s="201"/>
    </row>
    <row r="6032" spans="62:62" x14ac:dyDescent="0.2">
      <c r="BJ6032" s="201"/>
    </row>
    <row r="6033" spans="62:62" x14ac:dyDescent="0.2">
      <c r="BJ6033" s="201"/>
    </row>
    <row r="6034" spans="62:62" x14ac:dyDescent="0.2">
      <c r="BJ6034" s="201"/>
    </row>
    <row r="6035" spans="62:62" x14ac:dyDescent="0.2">
      <c r="BJ6035" s="201"/>
    </row>
    <row r="6036" spans="62:62" x14ac:dyDescent="0.2">
      <c r="BJ6036" s="201"/>
    </row>
    <row r="6037" spans="62:62" x14ac:dyDescent="0.2">
      <c r="BJ6037" s="201"/>
    </row>
    <row r="6038" spans="62:62" x14ac:dyDescent="0.2">
      <c r="BJ6038" s="201"/>
    </row>
    <row r="6039" spans="62:62" x14ac:dyDescent="0.2">
      <c r="BJ6039" s="201"/>
    </row>
    <row r="6040" spans="62:62" x14ac:dyDescent="0.2">
      <c r="BJ6040" s="201"/>
    </row>
    <row r="6041" spans="62:62" x14ac:dyDescent="0.2">
      <c r="BJ6041" s="201"/>
    </row>
    <row r="6042" spans="62:62" x14ac:dyDescent="0.2">
      <c r="BJ6042" s="201"/>
    </row>
    <row r="6043" spans="62:62" x14ac:dyDescent="0.2">
      <c r="BJ6043" s="201"/>
    </row>
    <row r="6044" spans="62:62" x14ac:dyDescent="0.2">
      <c r="BJ6044" s="201"/>
    </row>
    <row r="6045" spans="62:62" x14ac:dyDescent="0.2">
      <c r="BJ6045" s="201"/>
    </row>
    <row r="6046" spans="62:62" x14ac:dyDescent="0.2">
      <c r="BJ6046" s="201"/>
    </row>
    <row r="6047" spans="62:62" x14ac:dyDescent="0.2">
      <c r="BJ6047" s="201"/>
    </row>
    <row r="6048" spans="62:62" x14ac:dyDescent="0.2">
      <c r="BJ6048" s="201"/>
    </row>
    <row r="6049" spans="62:62" x14ac:dyDescent="0.2">
      <c r="BJ6049" s="201"/>
    </row>
    <row r="6050" spans="62:62" x14ac:dyDescent="0.2">
      <c r="BJ6050" s="201"/>
    </row>
    <row r="6051" spans="62:62" x14ac:dyDescent="0.2">
      <c r="BJ6051" s="201"/>
    </row>
    <row r="6052" spans="62:62" x14ac:dyDescent="0.2">
      <c r="BJ6052" s="201"/>
    </row>
    <row r="6053" spans="62:62" x14ac:dyDescent="0.2">
      <c r="BJ6053" s="201"/>
    </row>
    <row r="6054" spans="62:62" x14ac:dyDescent="0.2">
      <c r="BJ6054" s="201"/>
    </row>
    <row r="6055" spans="62:62" x14ac:dyDescent="0.2">
      <c r="BJ6055" s="201"/>
    </row>
    <row r="6056" spans="62:62" x14ac:dyDescent="0.2">
      <c r="BJ6056" s="201"/>
    </row>
    <row r="6057" spans="62:62" x14ac:dyDescent="0.2">
      <c r="BJ6057" s="201"/>
    </row>
    <row r="6058" spans="62:62" x14ac:dyDescent="0.2">
      <c r="BJ6058" s="201"/>
    </row>
    <row r="6059" spans="62:62" x14ac:dyDescent="0.2">
      <c r="BJ6059" s="201"/>
    </row>
    <row r="6060" spans="62:62" x14ac:dyDescent="0.2">
      <c r="BJ6060" s="201"/>
    </row>
    <row r="6061" spans="62:62" x14ac:dyDescent="0.2">
      <c r="BJ6061" s="201"/>
    </row>
    <row r="6062" spans="62:62" x14ac:dyDescent="0.2">
      <c r="BJ6062" s="201"/>
    </row>
    <row r="6063" spans="62:62" x14ac:dyDescent="0.2">
      <c r="BJ6063" s="201"/>
    </row>
    <row r="6064" spans="62:62" x14ac:dyDescent="0.2">
      <c r="BJ6064" s="201"/>
    </row>
    <row r="6065" spans="62:62" x14ac:dyDescent="0.2">
      <c r="BJ6065" s="201"/>
    </row>
    <row r="6066" spans="62:62" x14ac:dyDescent="0.2">
      <c r="BJ6066" s="201"/>
    </row>
    <row r="6067" spans="62:62" x14ac:dyDescent="0.2">
      <c r="BJ6067" s="201"/>
    </row>
    <row r="6068" spans="62:62" x14ac:dyDescent="0.2">
      <c r="BJ6068" s="201"/>
    </row>
    <row r="6069" spans="62:62" x14ac:dyDescent="0.2">
      <c r="BJ6069" s="201"/>
    </row>
    <row r="6070" spans="62:62" x14ac:dyDescent="0.2">
      <c r="BJ6070" s="201"/>
    </row>
    <row r="6071" spans="62:62" x14ac:dyDescent="0.2">
      <c r="BJ6071" s="201"/>
    </row>
    <row r="6072" spans="62:62" x14ac:dyDescent="0.2">
      <c r="BJ6072" s="201"/>
    </row>
    <row r="6073" spans="62:62" x14ac:dyDescent="0.2">
      <c r="BJ6073" s="201"/>
    </row>
    <row r="6074" spans="62:62" x14ac:dyDescent="0.2">
      <c r="BJ6074" s="201"/>
    </row>
    <row r="6075" spans="62:62" x14ac:dyDescent="0.2">
      <c r="BJ6075" s="201"/>
    </row>
    <row r="6076" spans="62:62" x14ac:dyDescent="0.2">
      <c r="BJ6076" s="201"/>
    </row>
    <row r="6077" spans="62:62" x14ac:dyDescent="0.2">
      <c r="BJ6077" s="201"/>
    </row>
    <row r="6078" spans="62:62" x14ac:dyDescent="0.2">
      <c r="BJ6078" s="201"/>
    </row>
    <row r="6079" spans="62:62" x14ac:dyDescent="0.2">
      <c r="BJ6079" s="201"/>
    </row>
    <row r="6080" spans="62:62" x14ac:dyDescent="0.2">
      <c r="BJ6080" s="201"/>
    </row>
    <row r="6081" spans="62:62" x14ac:dyDescent="0.2">
      <c r="BJ6081" s="201"/>
    </row>
    <row r="6082" spans="62:62" x14ac:dyDescent="0.2">
      <c r="BJ6082" s="201"/>
    </row>
    <row r="6083" spans="62:62" x14ac:dyDescent="0.2">
      <c r="BJ6083" s="201"/>
    </row>
    <row r="6084" spans="62:62" x14ac:dyDescent="0.2">
      <c r="BJ6084" s="201"/>
    </row>
    <row r="6085" spans="62:62" x14ac:dyDescent="0.2">
      <c r="BJ6085" s="201"/>
    </row>
    <row r="6086" spans="62:62" x14ac:dyDescent="0.2">
      <c r="BJ6086" s="201"/>
    </row>
    <row r="6087" spans="62:62" x14ac:dyDescent="0.2">
      <c r="BJ6087" s="201"/>
    </row>
    <row r="6088" spans="62:62" x14ac:dyDescent="0.2">
      <c r="BJ6088" s="201"/>
    </row>
    <row r="6089" spans="62:62" x14ac:dyDescent="0.2">
      <c r="BJ6089" s="201"/>
    </row>
    <row r="6090" spans="62:62" x14ac:dyDescent="0.2">
      <c r="BJ6090" s="201"/>
    </row>
    <row r="6091" spans="62:62" x14ac:dyDescent="0.2">
      <c r="BJ6091" s="201"/>
    </row>
    <row r="6092" spans="62:62" x14ac:dyDescent="0.2">
      <c r="BJ6092" s="201"/>
    </row>
    <row r="6093" spans="62:62" x14ac:dyDescent="0.2">
      <c r="BJ6093" s="201"/>
    </row>
    <row r="6094" spans="62:62" x14ac:dyDescent="0.2">
      <c r="BJ6094" s="201"/>
    </row>
    <row r="6095" spans="62:62" x14ac:dyDescent="0.2">
      <c r="BJ6095" s="201"/>
    </row>
    <row r="6096" spans="62:62" x14ac:dyDescent="0.2">
      <c r="BJ6096" s="201"/>
    </row>
    <row r="6097" spans="62:62" x14ac:dyDescent="0.2">
      <c r="BJ6097" s="201"/>
    </row>
    <row r="6098" spans="62:62" x14ac:dyDescent="0.2">
      <c r="BJ6098" s="201"/>
    </row>
    <row r="6099" spans="62:62" x14ac:dyDescent="0.2">
      <c r="BJ6099" s="201"/>
    </row>
    <row r="6100" spans="62:62" x14ac:dyDescent="0.2">
      <c r="BJ6100" s="201"/>
    </row>
    <row r="6101" spans="62:62" x14ac:dyDescent="0.2">
      <c r="BJ6101" s="201"/>
    </row>
    <row r="6102" spans="62:62" x14ac:dyDescent="0.2">
      <c r="BJ6102" s="201"/>
    </row>
    <row r="6103" spans="62:62" x14ac:dyDescent="0.2">
      <c r="BJ6103" s="201"/>
    </row>
    <row r="6104" spans="62:62" x14ac:dyDescent="0.2">
      <c r="BJ6104" s="201"/>
    </row>
    <row r="6105" spans="62:62" x14ac:dyDescent="0.2">
      <c r="BJ6105" s="201"/>
    </row>
    <row r="6106" spans="62:62" x14ac:dyDescent="0.2">
      <c r="BJ6106" s="201"/>
    </row>
    <row r="6107" spans="62:62" x14ac:dyDescent="0.2">
      <c r="BJ6107" s="201"/>
    </row>
    <row r="6108" spans="62:62" x14ac:dyDescent="0.2">
      <c r="BJ6108" s="201"/>
    </row>
    <row r="6109" spans="62:62" x14ac:dyDescent="0.2">
      <c r="BJ6109" s="201"/>
    </row>
    <row r="6110" spans="62:62" x14ac:dyDescent="0.2">
      <c r="BJ6110" s="201"/>
    </row>
    <row r="6111" spans="62:62" x14ac:dyDescent="0.2">
      <c r="BJ6111" s="201"/>
    </row>
    <row r="6112" spans="62:62" x14ac:dyDescent="0.2">
      <c r="BJ6112" s="201"/>
    </row>
    <row r="6113" spans="62:62" x14ac:dyDescent="0.2">
      <c r="BJ6113" s="201"/>
    </row>
    <row r="6114" spans="62:62" x14ac:dyDescent="0.2">
      <c r="BJ6114" s="201"/>
    </row>
    <row r="6115" spans="62:62" x14ac:dyDescent="0.2">
      <c r="BJ6115" s="201"/>
    </row>
    <row r="6116" spans="62:62" x14ac:dyDescent="0.2">
      <c r="BJ6116" s="201"/>
    </row>
    <row r="6117" spans="62:62" x14ac:dyDescent="0.2">
      <c r="BJ6117" s="201"/>
    </row>
    <row r="6118" spans="62:62" x14ac:dyDescent="0.2">
      <c r="BJ6118" s="201"/>
    </row>
    <row r="6119" spans="62:62" x14ac:dyDescent="0.2">
      <c r="BJ6119" s="201"/>
    </row>
    <row r="6120" spans="62:62" x14ac:dyDescent="0.2">
      <c r="BJ6120" s="201"/>
    </row>
    <row r="6121" spans="62:62" x14ac:dyDescent="0.2">
      <c r="BJ6121" s="201"/>
    </row>
    <row r="6122" spans="62:62" x14ac:dyDescent="0.2">
      <c r="BJ6122" s="201"/>
    </row>
    <row r="6123" spans="62:62" x14ac:dyDescent="0.2">
      <c r="BJ6123" s="201"/>
    </row>
    <row r="6124" spans="62:62" x14ac:dyDescent="0.2">
      <c r="BJ6124" s="201"/>
    </row>
    <row r="6125" spans="62:62" x14ac:dyDescent="0.2">
      <c r="BJ6125" s="201"/>
    </row>
    <row r="6126" spans="62:62" x14ac:dyDescent="0.2">
      <c r="BJ6126" s="201"/>
    </row>
    <row r="6127" spans="62:62" x14ac:dyDescent="0.2">
      <c r="BJ6127" s="201"/>
    </row>
    <row r="6128" spans="62:62" x14ac:dyDescent="0.2">
      <c r="BJ6128" s="201"/>
    </row>
    <row r="6129" spans="62:62" x14ac:dyDescent="0.2">
      <c r="BJ6129" s="201"/>
    </row>
    <row r="6130" spans="62:62" x14ac:dyDescent="0.2">
      <c r="BJ6130" s="201"/>
    </row>
    <row r="6131" spans="62:62" x14ac:dyDescent="0.2">
      <c r="BJ6131" s="201"/>
    </row>
    <row r="6132" spans="62:62" x14ac:dyDescent="0.2">
      <c r="BJ6132" s="201"/>
    </row>
    <row r="6133" spans="62:62" x14ac:dyDescent="0.2">
      <c r="BJ6133" s="201"/>
    </row>
    <row r="6134" spans="62:62" x14ac:dyDescent="0.2">
      <c r="BJ6134" s="201"/>
    </row>
    <row r="6135" spans="62:62" x14ac:dyDescent="0.2">
      <c r="BJ6135" s="201"/>
    </row>
    <row r="6136" spans="62:62" x14ac:dyDescent="0.2">
      <c r="BJ6136" s="201"/>
    </row>
    <row r="6137" spans="62:62" x14ac:dyDescent="0.2">
      <c r="BJ6137" s="201"/>
    </row>
    <row r="6138" spans="62:62" x14ac:dyDescent="0.2">
      <c r="BJ6138" s="201"/>
    </row>
    <row r="6139" spans="62:62" x14ac:dyDescent="0.2">
      <c r="BJ6139" s="201"/>
    </row>
    <row r="6140" spans="62:62" x14ac:dyDescent="0.2">
      <c r="BJ6140" s="201"/>
    </row>
    <row r="6141" spans="62:62" x14ac:dyDescent="0.2">
      <c r="BJ6141" s="201"/>
    </row>
    <row r="6142" spans="62:62" x14ac:dyDescent="0.2">
      <c r="BJ6142" s="201"/>
    </row>
    <row r="6143" spans="62:62" x14ac:dyDescent="0.2">
      <c r="BJ6143" s="201"/>
    </row>
    <row r="6144" spans="62:62" x14ac:dyDescent="0.2">
      <c r="BJ6144" s="201"/>
    </row>
    <row r="6145" spans="62:62" x14ac:dyDescent="0.2">
      <c r="BJ6145" s="201"/>
    </row>
    <row r="6146" spans="62:62" x14ac:dyDescent="0.2">
      <c r="BJ6146" s="201"/>
    </row>
    <row r="6147" spans="62:62" x14ac:dyDescent="0.2">
      <c r="BJ6147" s="201"/>
    </row>
    <row r="6148" spans="62:62" x14ac:dyDescent="0.2">
      <c r="BJ6148" s="201"/>
    </row>
    <row r="6149" spans="62:62" x14ac:dyDescent="0.2">
      <c r="BJ6149" s="201"/>
    </row>
    <row r="6150" spans="62:62" x14ac:dyDescent="0.2">
      <c r="BJ6150" s="201"/>
    </row>
    <row r="6151" spans="62:62" x14ac:dyDescent="0.2">
      <c r="BJ6151" s="201"/>
    </row>
    <row r="6152" spans="62:62" x14ac:dyDescent="0.2">
      <c r="BJ6152" s="201"/>
    </row>
    <row r="6153" spans="62:62" x14ac:dyDescent="0.2">
      <c r="BJ6153" s="201"/>
    </row>
    <row r="6154" spans="62:62" x14ac:dyDescent="0.2">
      <c r="BJ6154" s="201"/>
    </row>
    <row r="6155" spans="62:62" x14ac:dyDescent="0.2">
      <c r="BJ6155" s="201"/>
    </row>
    <row r="6156" spans="62:62" x14ac:dyDescent="0.2">
      <c r="BJ6156" s="201"/>
    </row>
    <row r="6157" spans="62:62" x14ac:dyDescent="0.2">
      <c r="BJ6157" s="201"/>
    </row>
    <row r="6158" spans="62:62" x14ac:dyDescent="0.2">
      <c r="BJ6158" s="201"/>
    </row>
    <row r="6159" spans="62:62" x14ac:dyDescent="0.2">
      <c r="BJ6159" s="201"/>
    </row>
    <row r="6160" spans="62:62" x14ac:dyDescent="0.2">
      <c r="BJ6160" s="201"/>
    </row>
    <row r="6161" spans="62:62" x14ac:dyDescent="0.2">
      <c r="BJ6161" s="201"/>
    </row>
    <row r="6162" spans="62:62" x14ac:dyDescent="0.2">
      <c r="BJ6162" s="201"/>
    </row>
    <row r="6163" spans="62:62" x14ac:dyDescent="0.2">
      <c r="BJ6163" s="201"/>
    </row>
    <row r="6164" spans="62:62" x14ac:dyDescent="0.2">
      <c r="BJ6164" s="201"/>
    </row>
    <row r="6165" spans="62:62" x14ac:dyDescent="0.2">
      <c r="BJ6165" s="201"/>
    </row>
    <row r="6166" spans="62:62" x14ac:dyDescent="0.2">
      <c r="BJ6166" s="201"/>
    </row>
    <row r="6167" spans="62:62" x14ac:dyDescent="0.2">
      <c r="BJ6167" s="201"/>
    </row>
    <row r="6168" spans="62:62" x14ac:dyDescent="0.2">
      <c r="BJ6168" s="201"/>
    </row>
    <row r="6169" spans="62:62" x14ac:dyDescent="0.2">
      <c r="BJ6169" s="201"/>
    </row>
    <row r="6170" spans="62:62" x14ac:dyDescent="0.2">
      <c r="BJ6170" s="201"/>
    </row>
    <row r="6171" spans="62:62" x14ac:dyDescent="0.2">
      <c r="BJ6171" s="201"/>
    </row>
    <row r="6172" spans="62:62" x14ac:dyDescent="0.2">
      <c r="BJ6172" s="201"/>
    </row>
    <row r="6173" spans="62:62" x14ac:dyDescent="0.2">
      <c r="BJ6173" s="201"/>
    </row>
    <row r="6174" spans="62:62" x14ac:dyDescent="0.2">
      <c r="BJ6174" s="201"/>
    </row>
    <row r="6175" spans="62:62" x14ac:dyDescent="0.2">
      <c r="BJ6175" s="201"/>
    </row>
    <row r="6176" spans="62:62" x14ac:dyDescent="0.2">
      <c r="BJ6176" s="201"/>
    </row>
    <row r="6177" spans="62:62" x14ac:dyDescent="0.2">
      <c r="BJ6177" s="201"/>
    </row>
    <row r="6178" spans="62:62" x14ac:dyDescent="0.2">
      <c r="BJ6178" s="201"/>
    </row>
    <row r="6179" spans="62:62" x14ac:dyDescent="0.2">
      <c r="BJ6179" s="201"/>
    </row>
    <row r="6180" spans="62:62" x14ac:dyDescent="0.2">
      <c r="BJ6180" s="201"/>
    </row>
    <row r="6181" spans="62:62" x14ac:dyDescent="0.2">
      <c r="BJ6181" s="201"/>
    </row>
    <row r="6182" spans="62:62" x14ac:dyDescent="0.2">
      <c r="BJ6182" s="201"/>
    </row>
    <row r="6183" spans="62:62" x14ac:dyDescent="0.2">
      <c r="BJ6183" s="201"/>
    </row>
    <row r="6184" spans="62:62" x14ac:dyDescent="0.2">
      <c r="BJ6184" s="201"/>
    </row>
    <row r="6185" spans="62:62" x14ac:dyDescent="0.2">
      <c r="BJ6185" s="201"/>
    </row>
    <row r="6186" spans="62:62" x14ac:dyDescent="0.2">
      <c r="BJ6186" s="201"/>
    </row>
    <row r="6187" spans="62:62" x14ac:dyDescent="0.2">
      <c r="BJ6187" s="201"/>
    </row>
    <row r="6188" spans="62:62" x14ac:dyDescent="0.2">
      <c r="BJ6188" s="201"/>
    </row>
    <row r="6189" spans="62:62" x14ac:dyDescent="0.2">
      <c r="BJ6189" s="201"/>
    </row>
    <row r="6190" spans="62:62" x14ac:dyDescent="0.2">
      <c r="BJ6190" s="201"/>
    </row>
    <row r="6191" spans="62:62" x14ac:dyDescent="0.2">
      <c r="BJ6191" s="201"/>
    </row>
    <row r="6192" spans="62:62" x14ac:dyDescent="0.2">
      <c r="BJ6192" s="201"/>
    </row>
    <row r="6193" spans="62:62" x14ac:dyDescent="0.2">
      <c r="BJ6193" s="201"/>
    </row>
    <row r="6194" spans="62:62" x14ac:dyDescent="0.2">
      <c r="BJ6194" s="201"/>
    </row>
    <row r="6195" spans="62:62" x14ac:dyDescent="0.2">
      <c r="BJ6195" s="201"/>
    </row>
    <row r="6196" spans="62:62" x14ac:dyDescent="0.2">
      <c r="BJ6196" s="201"/>
    </row>
    <row r="6197" spans="62:62" x14ac:dyDescent="0.2">
      <c r="BJ6197" s="201"/>
    </row>
    <row r="6198" spans="62:62" x14ac:dyDescent="0.2">
      <c r="BJ6198" s="201"/>
    </row>
    <row r="6199" spans="62:62" x14ac:dyDescent="0.2">
      <c r="BJ6199" s="201"/>
    </row>
    <row r="6200" spans="62:62" x14ac:dyDescent="0.2">
      <c r="BJ6200" s="201"/>
    </row>
    <row r="6201" spans="62:62" x14ac:dyDescent="0.2">
      <c r="BJ6201" s="201"/>
    </row>
    <row r="6202" spans="62:62" x14ac:dyDescent="0.2">
      <c r="BJ6202" s="201"/>
    </row>
    <row r="6203" spans="62:62" x14ac:dyDescent="0.2">
      <c r="BJ6203" s="201"/>
    </row>
    <row r="6204" spans="62:62" x14ac:dyDescent="0.2">
      <c r="BJ6204" s="201"/>
    </row>
    <row r="6205" spans="62:62" x14ac:dyDescent="0.2">
      <c r="BJ6205" s="201"/>
    </row>
    <row r="6206" spans="62:62" x14ac:dyDescent="0.2">
      <c r="BJ6206" s="201"/>
    </row>
    <row r="6207" spans="62:62" x14ac:dyDescent="0.2">
      <c r="BJ6207" s="201"/>
    </row>
    <row r="6208" spans="62:62" x14ac:dyDescent="0.2">
      <c r="BJ6208" s="201"/>
    </row>
    <row r="6209" spans="62:62" x14ac:dyDescent="0.2">
      <c r="BJ6209" s="201"/>
    </row>
    <row r="6210" spans="62:62" x14ac:dyDescent="0.2">
      <c r="BJ6210" s="201"/>
    </row>
    <row r="6211" spans="62:62" x14ac:dyDescent="0.2">
      <c r="BJ6211" s="201"/>
    </row>
    <row r="6212" spans="62:62" x14ac:dyDescent="0.2">
      <c r="BJ6212" s="201"/>
    </row>
    <row r="6213" spans="62:62" x14ac:dyDescent="0.2">
      <c r="BJ6213" s="201"/>
    </row>
    <row r="6214" spans="62:62" x14ac:dyDescent="0.2">
      <c r="BJ6214" s="201"/>
    </row>
    <row r="6215" spans="62:62" x14ac:dyDescent="0.2">
      <c r="BJ6215" s="201"/>
    </row>
    <row r="6216" spans="62:62" x14ac:dyDescent="0.2">
      <c r="BJ6216" s="201"/>
    </row>
    <row r="6217" spans="62:62" x14ac:dyDescent="0.2">
      <c r="BJ6217" s="201"/>
    </row>
    <row r="6218" spans="62:62" x14ac:dyDescent="0.2">
      <c r="BJ6218" s="201"/>
    </row>
    <row r="6219" spans="62:62" x14ac:dyDescent="0.2">
      <c r="BJ6219" s="201"/>
    </row>
    <row r="6220" spans="62:62" x14ac:dyDescent="0.2">
      <c r="BJ6220" s="201"/>
    </row>
    <row r="6221" spans="62:62" x14ac:dyDescent="0.2">
      <c r="BJ6221" s="201"/>
    </row>
    <row r="6222" spans="62:62" x14ac:dyDescent="0.2">
      <c r="BJ6222" s="201"/>
    </row>
    <row r="6223" spans="62:62" x14ac:dyDescent="0.2">
      <c r="BJ6223" s="201"/>
    </row>
    <row r="6224" spans="62:62" x14ac:dyDescent="0.2">
      <c r="BJ6224" s="201"/>
    </row>
    <row r="6225" spans="62:62" x14ac:dyDescent="0.2">
      <c r="BJ6225" s="201"/>
    </row>
    <row r="6226" spans="62:62" x14ac:dyDescent="0.2">
      <c r="BJ6226" s="201"/>
    </row>
    <row r="6227" spans="62:62" x14ac:dyDescent="0.2">
      <c r="BJ6227" s="201"/>
    </row>
    <row r="6228" spans="62:62" x14ac:dyDescent="0.2">
      <c r="BJ6228" s="201"/>
    </row>
    <row r="6229" spans="62:62" x14ac:dyDescent="0.2">
      <c r="BJ6229" s="201"/>
    </row>
    <row r="6230" spans="62:62" x14ac:dyDescent="0.2">
      <c r="BJ6230" s="201"/>
    </row>
    <row r="6231" spans="62:62" x14ac:dyDescent="0.2">
      <c r="BJ6231" s="201"/>
    </row>
    <row r="6232" spans="62:62" x14ac:dyDescent="0.2">
      <c r="BJ6232" s="201"/>
    </row>
    <row r="6233" spans="62:62" x14ac:dyDescent="0.2">
      <c r="BJ6233" s="201"/>
    </row>
    <row r="6234" spans="62:62" x14ac:dyDescent="0.2">
      <c r="BJ6234" s="201"/>
    </row>
    <row r="6235" spans="62:62" x14ac:dyDescent="0.2">
      <c r="BJ6235" s="201"/>
    </row>
    <row r="6236" spans="62:62" x14ac:dyDescent="0.2">
      <c r="BJ6236" s="201"/>
    </row>
    <row r="6237" spans="62:62" x14ac:dyDescent="0.2">
      <c r="BJ6237" s="201"/>
    </row>
    <row r="6238" spans="62:62" x14ac:dyDescent="0.2">
      <c r="BJ6238" s="201"/>
    </row>
    <row r="6239" spans="62:62" x14ac:dyDescent="0.2">
      <c r="BJ6239" s="201"/>
    </row>
    <row r="6240" spans="62:62" x14ac:dyDescent="0.2">
      <c r="BJ6240" s="201"/>
    </row>
    <row r="6241" spans="62:62" x14ac:dyDescent="0.2">
      <c r="BJ6241" s="201"/>
    </row>
    <row r="6242" spans="62:62" x14ac:dyDescent="0.2">
      <c r="BJ6242" s="201"/>
    </row>
    <row r="6243" spans="62:62" x14ac:dyDescent="0.2">
      <c r="BJ6243" s="201"/>
    </row>
    <row r="6244" spans="62:62" x14ac:dyDescent="0.2">
      <c r="BJ6244" s="201"/>
    </row>
    <row r="6245" spans="62:62" x14ac:dyDescent="0.2">
      <c r="BJ6245" s="201"/>
    </row>
    <row r="6246" spans="62:62" x14ac:dyDescent="0.2">
      <c r="BJ6246" s="201"/>
    </row>
    <row r="6247" spans="62:62" x14ac:dyDescent="0.2">
      <c r="BJ6247" s="201"/>
    </row>
    <row r="6248" spans="62:62" x14ac:dyDescent="0.2">
      <c r="BJ6248" s="201"/>
    </row>
    <row r="6249" spans="62:62" x14ac:dyDescent="0.2">
      <c r="BJ6249" s="201"/>
    </row>
    <row r="6250" spans="62:62" x14ac:dyDescent="0.2">
      <c r="BJ6250" s="201"/>
    </row>
    <row r="6251" spans="62:62" x14ac:dyDescent="0.2">
      <c r="BJ6251" s="201"/>
    </row>
    <row r="6252" spans="62:62" x14ac:dyDescent="0.2">
      <c r="BJ6252" s="201"/>
    </row>
    <row r="6253" spans="62:62" x14ac:dyDescent="0.2">
      <c r="BJ6253" s="201"/>
    </row>
    <row r="6254" spans="62:62" x14ac:dyDescent="0.2">
      <c r="BJ6254" s="201"/>
    </row>
    <row r="6255" spans="62:62" x14ac:dyDescent="0.2">
      <c r="BJ6255" s="201"/>
    </row>
    <row r="6256" spans="62:62" x14ac:dyDescent="0.2">
      <c r="BJ6256" s="201"/>
    </row>
    <row r="6257" spans="62:62" x14ac:dyDescent="0.2">
      <c r="BJ6257" s="201"/>
    </row>
    <row r="6258" spans="62:62" x14ac:dyDescent="0.2">
      <c r="BJ6258" s="201"/>
    </row>
    <row r="6259" spans="62:62" x14ac:dyDescent="0.2">
      <c r="BJ6259" s="201"/>
    </row>
    <row r="6260" spans="62:62" x14ac:dyDescent="0.2">
      <c r="BJ6260" s="201"/>
    </row>
    <row r="6261" spans="62:62" x14ac:dyDescent="0.2">
      <c r="BJ6261" s="201"/>
    </row>
    <row r="6262" spans="62:62" x14ac:dyDescent="0.2">
      <c r="BJ6262" s="201"/>
    </row>
    <row r="6263" spans="62:62" x14ac:dyDescent="0.2">
      <c r="BJ6263" s="201"/>
    </row>
    <row r="6264" spans="62:62" x14ac:dyDescent="0.2">
      <c r="BJ6264" s="201"/>
    </row>
    <row r="6265" spans="62:62" x14ac:dyDescent="0.2">
      <c r="BJ6265" s="201"/>
    </row>
    <row r="6266" spans="62:62" x14ac:dyDescent="0.2">
      <c r="BJ6266" s="201"/>
    </row>
    <row r="6267" spans="62:62" x14ac:dyDescent="0.2">
      <c r="BJ6267" s="201"/>
    </row>
    <row r="6268" spans="62:62" x14ac:dyDescent="0.2">
      <c r="BJ6268" s="201"/>
    </row>
    <row r="6269" spans="62:62" x14ac:dyDescent="0.2">
      <c r="BJ6269" s="201"/>
    </row>
    <row r="6270" spans="62:62" x14ac:dyDescent="0.2">
      <c r="BJ6270" s="201"/>
    </row>
    <row r="6271" spans="62:62" x14ac:dyDescent="0.2">
      <c r="BJ6271" s="201"/>
    </row>
    <row r="6272" spans="62:62" x14ac:dyDescent="0.2">
      <c r="BJ6272" s="201"/>
    </row>
    <row r="6273" spans="62:62" x14ac:dyDescent="0.2">
      <c r="BJ6273" s="201"/>
    </row>
    <row r="6274" spans="62:62" x14ac:dyDescent="0.2">
      <c r="BJ6274" s="201"/>
    </row>
    <row r="6275" spans="62:62" x14ac:dyDescent="0.2">
      <c r="BJ6275" s="201"/>
    </row>
    <row r="6276" spans="62:62" x14ac:dyDescent="0.2">
      <c r="BJ6276" s="201"/>
    </row>
    <row r="6277" spans="62:62" x14ac:dyDescent="0.2">
      <c r="BJ6277" s="201"/>
    </row>
    <row r="6278" spans="62:62" x14ac:dyDescent="0.2">
      <c r="BJ6278" s="201"/>
    </row>
    <row r="6279" spans="62:62" x14ac:dyDescent="0.2">
      <c r="BJ6279" s="201"/>
    </row>
    <row r="6280" spans="62:62" x14ac:dyDescent="0.2">
      <c r="BJ6280" s="201"/>
    </row>
    <row r="6281" spans="62:62" x14ac:dyDescent="0.2">
      <c r="BJ6281" s="201"/>
    </row>
    <row r="6282" spans="62:62" x14ac:dyDescent="0.2">
      <c r="BJ6282" s="201"/>
    </row>
    <row r="6283" spans="62:62" x14ac:dyDescent="0.2">
      <c r="BJ6283" s="201"/>
    </row>
    <row r="6284" spans="62:62" x14ac:dyDescent="0.2">
      <c r="BJ6284" s="201"/>
    </row>
    <row r="6285" spans="62:62" x14ac:dyDescent="0.2">
      <c r="BJ6285" s="201"/>
    </row>
    <row r="6286" spans="62:62" x14ac:dyDescent="0.2">
      <c r="BJ6286" s="201"/>
    </row>
    <row r="6287" spans="62:62" x14ac:dyDescent="0.2">
      <c r="BJ6287" s="201"/>
    </row>
    <row r="6288" spans="62:62" x14ac:dyDescent="0.2">
      <c r="BJ6288" s="201"/>
    </row>
    <row r="6289" spans="62:62" x14ac:dyDescent="0.2">
      <c r="BJ6289" s="201"/>
    </row>
    <row r="6290" spans="62:62" x14ac:dyDescent="0.2">
      <c r="BJ6290" s="201"/>
    </row>
    <row r="6291" spans="62:62" x14ac:dyDescent="0.2">
      <c r="BJ6291" s="201"/>
    </row>
    <row r="6292" spans="62:62" x14ac:dyDescent="0.2">
      <c r="BJ6292" s="201"/>
    </row>
    <row r="6293" spans="62:62" x14ac:dyDescent="0.2">
      <c r="BJ6293" s="201"/>
    </row>
    <row r="6294" spans="62:62" x14ac:dyDescent="0.2">
      <c r="BJ6294" s="201"/>
    </row>
    <row r="6295" spans="62:62" x14ac:dyDescent="0.2">
      <c r="BJ6295" s="201"/>
    </row>
    <row r="6296" spans="62:62" x14ac:dyDescent="0.2">
      <c r="BJ6296" s="201"/>
    </row>
    <row r="6297" spans="62:62" x14ac:dyDescent="0.2">
      <c r="BJ6297" s="201"/>
    </row>
    <row r="6298" spans="62:62" x14ac:dyDescent="0.2">
      <c r="BJ6298" s="201"/>
    </row>
    <row r="6299" spans="62:62" x14ac:dyDescent="0.2">
      <c r="BJ6299" s="201"/>
    </row>
    <row r="6300" spans="62:62" x14ac:dyDescent="0.2">
      <c r="BJ6300" s="201"/>
    </row>
    <row r="6301" spans="62:62" x14ac:dyDescent="0.2">
      <c r="BJ6301" s="201"/>
    </row>
    <row r="6302" spans="62:62" x14ac:dyDescent="0.2">
      <c r="BJ6302" s="201"/>
    </row>
    <row r="6303" spans="62:62" x14ac:dyDescent="0.2">
      <c r="BJ6303" s="201"/>
    </row>
    <row r="6304" spans="62:62" x14ac:dyDescent="0.2">
      <c r="BJ6304" s="201"/>
    </row>
    <row r="6305" spans="62:62" x14ac:dyDescent="0.2">
      <c r="BJ6305" s="201"/>
    </row>
    <row r="6306" spans="62:62" x14ac:dyDescent="0.2">
      <c r="BJ6306" s="201"/>
    </row>
    <row r="6307" spans="62:62" x14ac:dyDescent="0.2">
      <c r="BJ6307" s="201"/>
    </row>
    <row r="6308" spans="62:62" x14ac:dyDescent="0.2">
      <c r="BJ6308" s="201"/>
    </row>
    <row r="6309" spans="62:62" x14ac:dyDescent="0.2">
      <c r="BJ6309" s="201"/>
    </row>
    <row r="6310" spans="62:62" x14ac:dyDescent="0.2">
      <c r="BJ6310" s="201"/>
    </row>
    <row r="6311" spans="62:62" x14ac:dyDescent="0.2">
      <c r="BJ6311" s="201"/>
    </row>
    <row r="6312" spans="62:62" x14ac:dyDescent="0.2">
      <c r="BJ6312" s="201"/>
    </row>
    <row r="6313" spans="62:62" x14ac:dyDescent="0.2">
      <c r="BJ6313" s="201"/>
    </row>
    <row r="6314" spans="62:62" x14ac:dyDescent="0.2">
      <c r="BJ6314" s="201"/>
    </row>
    <row r="6315" spans="62:62" x14ac:dyDescent="0.2">
      <c r="BJ6315" s="201"/>
    </row>
    <row r="6316" spans="62:62" x14ac:dyDescent="0.2">
      <c r="BJ6316" s="201"/>
    </row>
    <row r="6317" spans="62:62" x14ac:dyDescent="0.2">
      <c r="BJ6317" s="201"/>
    </row>
    <row r="6318" spans="62:62" x14ac:dyDescent="0.2">
      <c r="BJ6318" s="201"/>
    </row>
    <row r="6319" spans="62:62" x14ac:dyDescent="0.2">
      <c r="BJ6319" s="201"/>
    </row>
    <row r="6320" spans="62:62" x14ac:dyDescent="0.2">
      <c r="BJ6320" s="201"/>
    </row>
    <row r="6321" spans="62:62" x14ac:dyDescent="0.2">
      <c r="BJ6321" s="201"/>
    </row>
    <row r="6322" spans="62:62" x14ac:dyDescent="0.2">
      <c r="BJ6322" s="201"/>
    </row>
    <row r="6323" spans="62:62" x14ac:dyDescent="0.2">
      <c r="BJ6323" s="201"/>
    </row>
    <row r="6324" spans="62:62" x14ac:dyDescent="0.2">
      <c r="BJ6324" s="201"/>
    </row>
    <row r="6325" spans="62:62" x14ac:dyDescent="0.2">
      <c r="BJ6325" s="201"/>
    </row>
    <row r="6326" spans="62:62" x14ac:dyDescent="0.2">
      <c r="BJ6326" s="201"/>
    </row>
    <row r="6327" spans="62:62" x14ac:dyDescent="0.2">
      <c r="BJ6327" s="201"/>
    </row>
    <row r="6328" spans="62:62" x14ac:dyDescent="0.2">
      <c r="BJ6328" s="201"/>
    </row>
    <row r="6329" spans="62:62" x14ac:dyDescent="0.2">
      <c r="BJ6329" s="201"/>
    </row>
    <row r="6330" spans="62:62" x14ac:dyDescent="0.2">
      <c r="BJ6330" s="201"/>
    </row>
    <row r="6331" spans="62:62" x14ac:dyDescent="0.2">
      <c r="BJ6331" s="201"/>
    </row>
    <row r="6332" spans="62:62" x14ac:dyDescent="0.2">
      <c r="BJ6332" s="201"/>
    </row>
    <row r="6333" spans="62:62" x14ac:dyDescent="0.2">
      <c r="BJ6333" s="201"/>
    </row>
    <row r="6334" spans="62:62" x14ac:dyDescent="0.2">
      <c r="BJ6334" s="201"/>
    </row>
    <row r="6335" spans="62:62" x14ac:dyDescent="0.2">
      <c r="BJ6335" s="201"/>
    </row>
    <row r="6336" spans="62:62" x14ac:dyDescent="0.2">
      <c r="BJ6336" s="201"/>
    </row>
    <row r="6337" spans="62:62" x14ac:dyDescent="0.2">
      <c r="BJ6337" s="201"/>
    </row>
    <row r="6338" spans="62:62" x14ac:dyDescent="0.2">
      <c r="BJ6338" s="201"/>
    </row>
    <row r="6339" spans="62:62" x14ac:dyDescent="0.2">
      <c r="BJ6339" s="201"/>
    </row>
    <row r="6340" spans="62:62" x14ac:dyDescent="0.2">
      <c r="BJ6340" s="201"/>
    </row>
    <row r="6341" spans="62:62" x14ac:dyDescent="0.2">
      <c r="BJ6341" s="201"/>
    </row>
    <row r="6342" spans="62:62" x14ac:dyDescent="0.2">
      <c r="BJ6342" s="201"/>
    </row>
    <row r="6343" spans="62:62" x14ac:dyDescent="0.2">
      <c r="BJ6343" s="201"/>
    </row>
    <row r="6344" spans="62:62" x14ac:dyDescent="0.2">
      <c r="BJ6344" s="201"/>
    </row>
    <row r="6345" spans="62:62" x14ac:dyDescent="0.2">
      <c r="BJ6345" s="201"/>
    </row>
    <row r="6346" spans="62:62" x14ac:dyDescent="0.2">
      <c r="BJ6346" s="201"/>
    </row>
    <row r="6347" spans="62:62" x14ac:dyDescent="0.2">
      <c r="BJ6347" s="201"/>
    </row>
    <row r="6348" spans="62:62" x14ac:dyDescent="0.2">
      <c r="BJ6348" s="201"/>
    </row>
    <row r="6349" spans="62:62" x14ac:dyDescent="0.2">
      <c r="BJ6349" s="201"/>
    </row>
    <row r="6350" spans="62:62" x14ac:dyDescent="0.2">
      <c r="BJ6350" s="201"/>
    </row>
    <row r="6351" spans="62:62" x14ac:dyDescent="0.2">
      <c r="BJ6351" s="201"/>
    </row>
    <row r="6352" spans="62:62" x14ac:dyDescent="0.2">
      <c r="BJ6352" s="201"/>
    </row>
    <row r="6353" spans="62:62" x14ac:dyDescent="0.2">
      <c r="BJ6353" s="201"/>
    </row>
    <row r="6354" spans="62:62" x14ac:dyDescent="0.2">
      <c r="BJ6354" s="201"/>
    </row>
    <row r="6355" spans="62:62" x14ac:dyDescent="0.2">
      <c r="BJ6355" s="201"/>
    </row>
    <row r="6356" spans="62:62" x14ac:dyDescent="0.2">
      <c r="BJ6356" s="201"/>
    </row>
    <row r="6357" spans="62:62" x14ac:dyDescent="0.2">
      <c r="BJ6357" s="201"/>
    </row>
    <row r="6358" spans="62:62" x14ac:dyDescent="0.2">
      <c r="BJ6358" s="201"/>
    </row>
    <row r="6359" spans="62:62" x14ac:dyDescent="0.2">
      <c r="BJ6359" s="201"/>
    </row>
    <row r="6360" spans="62:62" x14ac:dyDescent="0.2">
      <c r="BJ6360" s="201"/>
    </row>
    <row r="6361" spans="62:62" x14ac:dyDescent="0.2">
      <c r="BJ6361" s="201"/>
    </row>
    <row r="6362" spans="62:62" x14ac:dyDescent="0.2">
      <c r="BJ6362" s="201"/>
    </row>
    <row r="6363" spans="62:62" x14ac:dyDescent="0.2">
      <c r="BJ6363" s="201"/>
    </row>
    <row r="6364" spans="62:62" x14ac:dyDescent="0.2">
      <c r="BJ6364" s="201"/>
    </row>
    <row r="6365" spans="62:62" x14ac:dyDescent="0.2">
      <c r="BJ6365" s="201"/>
    </row>
    <row r="6366" spans="62:62" x14ac:dyDescent="0.2">
      <c r="BJ6366" s="201"/>
    </row>
    <row r="6367" spans="62:62" x14ac:dyDescent="0.2">
      <c r="BJ6367" s="201"/>
    </row>
    <row r="6368" spans="62:62" x14ac:dyDescent="0.2">
      <c r="BJ6368" s="201"/>
    </row>
    <row r="6369" spans="62:62" x14ac:dyDescent="0.2">
      <c r="BJ6369" s="201"/>
    </row>
    <row r="6370" spans="62:62" x14ac:dyDescent="0.2">
      <c r="BJ6370" s="201"/>
    </row>
    <row r="6371" spans="62:62" x14ac:dyDescent="0.2">
      <c r="BJ6371" s="201"/>
    </row>
    <row r="6372" spans="62:62" x14ac:dyDescent="0.2">
      <c r="BJ6372" s="201"/>
    </row>
    <row r="6373" spans="62:62" x14ac:dyDescent="0.2">
      <c r="BJ6373" s="201"/>
    </row>
    <row r="6374" spans="62:62" x14ac:dyDescent="0.2">
      <c r="BJ6374" s="201"/>
    </row>
    <row r="6375" spans="62:62" x14ac:dyDescent="0.2">
      <c r="BJ6375" s="201"/>
    </row>
    <row r="6376" spans="62:62" x14ac:dyDescent="0.2">
      <c r="BJ6376" s="201"/>
    </row>
    <row r="6377" spans="62:62" x14ac:dyDescent="0.2">
      <c r="BJ6377" s="201"/>
    </row>
    <row r="6378" spans="62:62" x14ac:dyDescent="0.2">
      <c r="BJ6378" s="201"/>
    </row>
    <row r="6379" spans="62:62" x14ac:dyDescent="0.2">
      <c r="BJ6379" s="201"/>
    </row>
    <row r="6380" spans="62:62" x14ac:dyDescent="0.2">
      <c r="BJ6380" s="201"/>
    </row>
    <row r="6381" spans="62:62" x14ac:dyDescent="0.2">
      <c r="BJ6381" s="201"/>
    </row>
    <row r="6382" spans="62:62" x14ac:dyDescent="0.2">
      <c r="BJ6382" s="201"/>
    </row>
    <row r="6383" spans="62:62" x14ac:dyDescent="0.2">
      <c r="BJ6383" s="201"/>
    </row>
    <row r="6384" spans="62:62" x14ac:dyDescent="0.2">
      <c r="BJ6384" s="201"/>
    </row>
    <row r="6385" spans="62:62" x14ac:dyDescent="0.2">
      <c r="BJ6385" s="201"/>
    </row>
    <row r="6386" spans="62:62" x14ac:dyDescent="0.2">
      <c r="BJ6386" s="201"/>
    </row>
    <row r="6387" spans="62:62" x14ac:dyDescent="0.2">
      <c r="BJ6387" s="201"/>
    </row>
    <row r="6388" spans="62:62" x14ac:dyDescent="0.2">
      <c r="BJ6388" s="201"/>
    </row>
    <row r="6389" spans="62:62" x14ac:dyDescent="0.2">
      <c r="BJ6389" s="201"/>
    </row>
    <row r="6390" spans="62:62" x14ac:dyDescent="0.2">
      <c r="BJ6390" s="201"/>
    </row>
    <row r="6391" spans="62:62" x14ac:dyDescent="0.2">
      <c r="BJ6391" s="201"/>
    </row>
    <row r="6392" spans="62:62" x14ac:dyDescent="0.2">
      <c r="BJ6392" s="201"/>
    </row>
    <row r="6393" spans="62:62" x14ac:dyDescent="0.2">
      <c r="BJ6393" s="201"/>
    </row>
    <row r="6394" spans="62:62" x14ac:dyDescent="0.2">
      <c r="BJ6394" s="201"/>
    </row>
    <row r="6395" spans="62:62" x14ac:dyDescent="0.2">
      <c r="BJ6395" s="201"/>
    </row>
    <row r="6396" spans="62:62" x14ac:dyDescent="0.2">
      <c r="BJ6396" s="201"/>
    </row>
    <row r="6397" spans="62:62" x14ac:dyDescent="0.2">
      <c r="BJ6397" s="201"/>
    </row>
    <row r="6398" spans="62:62" x14ac:dyDescent="0.2">
      <c r="BJ6398" s="201"/>
    </row>
    <row r="6399" spans="62:62" x14ac:dyDescent="0.2">
      <c r="BJ6399" s="201"/>
    </row>
    <row r="6400" spans="62:62" x14ac:dyDescent="0.2">
      <c r="BJ6400" s="201"/>
    </row>
    <row r="6401" spans="62:62" x14ac:dyDescent="0.2">
      <c r="BJ6401" s="201"/>
    </row>
    <row r="6402" spans="62:62" x14ac:dyDescent="0.2">
      <c r="BJ6402" s="201"/>
    </row>
    <row r="6403" spans="62:62" x14ac:dyDescent="0.2">
      <c r="BJ6403" s="201"/>
    </row>
    <row r="6404" spans="62:62" x14ac:dyDescent="0.2">
      <c r="BJ6404" s="201"/>
    </row>
    <row r="6405" spans="62:62" x14ac:dyDescent="0.2">
      <c r="BJ6405" s="201"/>
    </row>
    <row r="6406" spans="62:62" x14ac:dyDescent="0.2">
      <c r="BJ6406" s="201"/>
    </row>
    <row r="6407" spans="62:62" x14ac:dyDescent="0.2">
      <c r="BJ6407" s="201"/>
    </row>
    <row r="6408" spans="62:62" x14ac:dyDescent="0.2">
      <c r="BJ6408" s="201"/>
    </row>
    <row r="6409" spans="62:62" x14ac:dyDescent="0.2">
      <c r="BJ6409" s="201"/>
    </row>
    <row r="6410" spans="62:62" x14ac:dyDescent="0.2">
      <c r="BJ6410" s="201"/>
    </row>
    <row r="6411" spans="62:62" x14ac:dyDescent="0.2">
      <c r="BJ6411" s="201"/>
    </row>
    <row r="6412" spans="62:62" x14ac:dyDescent="0.2">
      <c r="BJ6412" s="201"/>
    </row>
    <row r="6413" spans="62:62" x14ac:dyDescent="0.2">
      <c r="BJ6413" s="201"/>
    </row>
    <row r="6414" spans="62:62" x14ac:dyDescent="0.2">
      <c r="BJ6414" s="201"/>
    </row>
    <row r="6415" spans="62:62" x14ac:dyDescent="0.2">
      <c r="BJ6415" s="201"/>
    </row>
    <row r="6416" spans="62:62" x14ac:dyDescent="0.2">
      <c r="BJ6416" s="201"/>
    </row>
    <row r="6417" spans="62:62" x14ac:dyDescent="0.2">
      <c r="BJ6417" s="201"/>
    </row>
    <row r="6418" spans="62:62" x14ac:dyDescent="0.2">
      <c r="BJ6418" s="201"/>
    </row>
    <row r="6419" spans="62:62" x14ac:dyDescent="0.2">
      <c r="BJ6419" s="201"/>
    </row>
    <row r="6420" spans="62:62" x14ac:dyDescent="0.2">
      <c r="BJ6420" s="201"/>
    </row>
    <row r="6421" spans="62:62" x14ac:dyDescent="0.2">
      <c r="BJ6421" s="201"/>
    </row>
    <row r="6422" spans="62:62" x14ac:dyDescent="0.2">
      <c r="BJ6422" s="201"/>
    </row>
    <row r="6423" spans="62:62" x14ac:dyDescent="0.2">
      <c r="BJ6423" s="201"/>
    </row>
    <row r="6424" spans="62:62" x14ac:dyDescent="0.2">
      <c r="BJ6424" s="201"/>
    </row>
    <row r="6425" spans="62:62" x14ac:dyDescent="0.2">
      <c r="BJ6425" s="201"/>
    </row>
    <row r="6426" spans="62:62" x14ac:dyDescent="0.2">
      <c r="BJ6426" s="201"/>
    </row>
    <row r="6427" spans="62:62" x14ac:dyDescent="0.2">
      <c r="BJ6427" s="201"/>
    </row>
    <row r="6428" spans="62:62" x14ac:dyDescent="0.2">
      <c r="BJ6428" s="201"/>
    </row>
    <row r="6429" spans="62:62" x14ac:dyDescent="0.2">
      <c r="BJ6429" s="201"/>
    </row>
    <row r="6430" spans="62:62" x14ac:dyDescent="0.2">
      <c r="BJ6430" s="201"/>
    </row>
    <row r="6431" spans="62:62" x14ac:dyDescent="0.2">
      <c r="BJ6431" s="201"/>
    </row>
    <row r="6432" spans="62:62" x14ac:dyDescent="0.2">
      <c r="BJ6432" s="201"/>
    </row>
    <row r="6433" spans="62:62" x14ac:dyDescent="0.2">
      <c r="BJ6433" s="201"/>
    </row>
    <row r="6434" spans="62:62" x14ac:dyDescent="0.2">
      <c r="BJ6434" s="201"/>
    </row>
    <row r="6435" spans="62:62" x14ac:dyDescent="0.2">
      <c r="BJ6435" s="201"/>
    </row>
    <row r="6436" spans="62:62" x14ac:dyDescent="0.2">
      <c r="BJ6436" s="201"/>
    </row>
    <row r="6437" spans="62:62" x14ac:dyDescent="0.2">
      <c r="BJ6437" s="201"/>
    </row>
    <row r="6438" spans="62:62" x14ac:dyDescent="0.2">
      <c r="BJ6438" s="201"/>
    </row>
    <row r="6439" spans="62:62" x14ac:dyDescent="0.2">
      <c r="BJ6439" s="201"/>
    </row>
    <row r="6440" spans="62:62" x14ac:dyDescent="0.2">
      <c r="BJ6440" s="201"/>
    </row>
    <row r="6441" spans="62:62" x14ac:dyDescent="0.2">
      <c r="BJ6441" s="201"/>
    </row>
    <row r="6442" spans="62:62" x14ac:dyDescent="0.2">
      <c r="BJ6442" s="201"/>
    </row>
    <row r="6443" spans="62:62" x14ac:dyDescent="0.2">
      <c r="BJ6443" s="201"/>
    </row>
    <row r="6444" spans="62:62" x14ac:dyDescent="0.2">
      <c r="BJ6444" s="201"/>
    </row>
    <row r="6445" spans="62:62" x14ac:dyDescent="0.2">
      <c r="BJ6445" s="201"/>
    </row>
    <row r="6446" spans="62:62" x14ac:dyDescent="0.2">
      <c r="BJ6446" s="201"/>
    </row>
    <row r="6447" spans="62:62" x14ac:dyDescent="0.2">
      <c r="BJ6447" s="201"/>
    </row>
    <row r="6448" spans="62:62" x14ac:dyDescent="0.2">
      <c r="BJ6448" s="201"/>
    </row>
    <row r="6449" spans="62:62" x14ac:dyDescent="0.2">
      <c r="BJ6449" s="201"/>
    </row>
    <row r="6450" spans="62:62" x14ac:dyDescent="0.2">
      <c r="BJ6450" s="201"/>
    </row>
    <row r="6451" spans="62:62" x14ac:dyDescent="0.2">
      <c r="BJ6451" s="201"/>
    </row>
    <row r="6452" spans="62:62" x14ac:dyDescent="0.2">
      <c r="BJ6452" s="201"/>
    </row>
    <row r="6453" spans="62:62" x14ac:dyDescent="0.2">
      <c r="BJ6453" s="201"/>
    </row>
    <row r="6454" spans="62:62" x14ac:dyDescent="0.2">
      <c r="BJ6454" s="201"/>
    </row>
    <row r="6455" spans="62:62" x14ac:dyDescent="0.2">
      <c r="BJ6455" s="201"/>
    </row>
    <row r="6456" spans="62:62" x14ac:dyDescent="0.2">
      <c r="BJ6456" s="201"/>
    </row>
    <row r="6457" spans="62:62" x14ac:dyDescent="0.2">
      <c r="BJ6457" s="201"/>
    </row>
    <row r="6458" spans="62:62" x14ac:dyDescent="0.2">
      <c r="BJ6458" s="201"/>
    </row>
    <row r="6459" spans="62:62" x14ac:dyDescent="0.2">
      <c r="BJ6459" s="201"/>
    </row>
    <row r="6460" spans="62:62" x14ac:dyDescent="0.2">
      <c r="BJ6460" s="201"/>
    </row>
    <row r="6461" spans="62:62" x14ac:dyDescent="0.2">
      <c r="BJ6461" s="201"/>
    </row>
    <row r="6462" spans="62:62" x14ac:dyDescent="0.2">
      <c r="BJ6462" s="201"/>
    </row>
    <row r="6463" spans="62:62" x14ac:dyDescent="0.2">
      <c r="BJ6463" s="201"/>
    </row>
    <row r="6464" spans="62:62" x14ac:dyDescent="0.2">
      <c r="BJ6464" s="201"/>
    </row>
    <row r="6465" spans="62:62" x14ac:dyDescent="0.2">
      <c r="BJ6465" s="201"/>
    </row>
    <row r="6466" spans="62:62" x14ac:dyDescent="0.2">
      <c r="BJ6466" s="201"/>
    </row>
    <row r="6467" spans="62:62" x14ac:dyDescent="0.2">
      <c r="BJ6467" s="201"/>
    </row>
    <row r="6468" spans="62:62" x14ac:dyDescent="0.2">
      <c r="BJ6468" s="201"/>
    </row>
    <row r="6469" spans="62:62" x14ac:dyDescent="0.2">
      <c r="BJ6469" s="201"/>
    </row>
    <row r="6470" spans="62:62" x14ac:dyDescent="0.2">
      <c r="BJ6470" s="201"/>
    </row>
    <row r="6471" spans="62:62" x14ac:dyDescent="0.2">
      <c r="BJ6471" s="201"/>
    </row>
    <row r="6472" spans="62:62" x14ac:dyDescent="0.2">
      <c r="BJ6472" s="201"/>
    </row>
    <row r="6473" spans="62:62" x14ac:dyDescent="0.2">
      <c r="BJ6473" s="201"/>
    </row>
    <row r="6474" spans="62:62" x14ac:dyDescent="0.2">
      <c r="BJ6474" s="201"/>
    </row>
    <row r="6475" spans="62:62" x14ac:dyDescent="0.2">
      <c r="BJ6475" s="201"/>
    </row>
    <row r="6476" spans="62:62" x14ac:dyDescent="0.2">
      <c r="BJ6476" s="201"/>
    </row>
    <row r="6477" spans="62:62" x14ac:dyDescent="0.2">
      <c r="BJ6477" s="201"/>
    </row>
    <row r="6478" spans="62:62" x14ac:dyDescent="0.2">
      <c r="BJ6478" s="201"/>
    </row>
    <row r="6479" spans="62:62" x14ac:dyDescent="0.2">
      <c r="BJ6479" s="201"/>
    </row>
    <row r="6480" spans="62:62" x14ac:dyDescent="0.2">
      <c r="BJ6480" s="201"/>
    </row>
    <row r="6481" spans="62:62" x14ac:dyDescent="0.2">
      <c r="BJ6481" s="201"/>
    </row>
    <row r="6482" spans="62:62" x14ac:dyDescent="0.2">
      <c r="BJ6482" s="201"/>
    </row>
    <row r="6483" spans="62:62" x14ac:dyDescent="0.2">
      <c r="BJ6483" s="201"/>
    </row>
    <row r="6484" spans="62:62" x14ac:dyDescent="0.2">
      <c r="BJ6484" s="201"/>
    </row>
    <row r="6485" spans="62:62" x14ac:dyDescent="0.2">
      <c r="BJ6485" s="201"/>
    </row>
    <row r="6486" spans="62:62" x14ac:dyDescent="0.2">
      <c r="BJ6486" s="201"/>
    </row>
    <row r="6487" spans="62:62" x14ac:dyDescent="0.2">
      <c r="BJ6487" s="201"/>
    </row>
    <row r="6488" spans="62:62" x14ac:dyDescent="0.2">
      <c r="BJ6488" s="201"/>
    </row>
    <row r="6489" spans="62:62" x14ac:dyDescent="0.2">
      <c r="BJ6489" s="201"/>
    </row>
    <row r="6490" spans="62:62" x14ac:dyDescent="0.2">
      <c r="BJ6490" s="201"/>
    </row>
    <row r="6491" spans="62:62" x14ac:dyDescent="0.2">
      <c r="BJ6491" s="201"/>
    </row>
    <row r="6492" spans="62:62" x14ac:dyDescent="0.2">
      <c r="BJ6492" s="201"/>
    </row>
    <row r="6493" spans="62:62" x14ac:dyDescent="0.2">
      <c r="BJ6493" s="201"/>
    </row>
    <row r="6494" spans="62:62" x14ac:dyDescent="0.2">
      <c r="BJ6494" s="201"/>
    </row>
    <row r="6495" spans="62:62" x14ac:dyDescent="0.2">
      <c r="BJ6495" s="201"/>
    </row>
    <row r="6496" spans="62:62" x14ac:dyDescent="0.2">
      <c r="BJ6496" s="201"/>
    </row>
    <row r="6497" spans="62:62" x14ac:dyDescent="0.2">
      <c r="BJ6497" s="201"/>
    </row>
    <row r="6498" spans="62:62" x14ac:dyDescent="0.2">
      <c r="BJ6498" s="201"/>
    </row>
    <row r="6499" spans="62:62" x14ac:dyDescent="0.2">
      <c r="BJ6499" s="201"/>
    </row>
    <row r="6500" spans="62:62" x14ac:dyDescent="0.2">
      <c r="BJ6500" s="201"/>
    </row>
    <row r="6501" spans="62:62" x14ac:dyDescent="0.2">
      <c r="BJ6501" s="201"/>
    </row>
    <row r="6502" spans="62:62" x14ac:dyDescent="0.2">
      <c r="BJ6502" s="201"/>
    </row>
    <row r="6503" spans="62:62" x14ac:dyDescent="0.2">
      <c r="BJ6503" s="201"/>
    </row>
    <row r="6504" spans="62:62" x14ac:dyDescent="0.2">
      <c r="BJ6504" s="201"/>
    </row>
    <row r="6505" spans="62:62" x14ac:dyDescent="0.2">
      <c r="BJ6505" s="201"/>
    </row>
    <row r="6506" spans="62:62" x14ac:dyDescent="0.2">
      <c r="BJ6506" s="201"/>
    </row>
    <row r="6507" spans="62:62" x14ac:dyDescent="0.2">
      <c r="BJ6507" s="201"/>
    </row>
    <row r="6508" spans="62:62" x14ac:dyDescent="0.2">
      <c r="BJ6508" s="201"/>
    </row>
    <row r="6509" spans="62:62" x14ac:dyDescent="0.2">
      <c r="BJ6509" s="201"/>
    </row>
    <row r="6510" spans="62:62" x14ac:dyDescent="0.2">
      <c r="BJ6510" s="201"/>
    </row>
    <row r="6511" spans="62:62" x14ac:dyDescent="0.2">
      <c r="BJ6511" s="201"/>
    </row>
    <row r="6512" spans="62:62" x14ac:dyDescent="0.2">
      <c r="BJ6512" s="201"/>
    </row>
    <row r="6513" spans="62:62" x14ac:dyDescent="0.2">
      <c r="BJ6513" s="201"/>
    </row>
    <row r="6514" spans="62:62" x14ac:dyDescent="0.2">
      <c r="BJ6514" s="201"/>
    </row>
    <row r="6515" spans="62:62" x14ac:dyDescent="0.2">
      <c r="BJ6515" s="201"/>
    </row>
    <row r="6516" spans="62:62" x14ac:dyDescent="0.2">
      <c r="BJ6516" s="201"/>
    </row>
    <row r="6517" spans="62:62" x14ac:dyDescent="0.2">
      <c r="BJ6517" s="201"/>
    </row>
    <row r="6518" spans="62:62" x14ac:dyDescent="0.2">
      <c r="BJ6518" s="201"/>
    </row>
    <row r="6519" spans="62:62" x14ac:dyDescent="0.2">
      <c r="BJ6519" s="201"/>
    </row>
    <row r="6520" spans="62:62" x14ac:dyDescent="0.2">
      <c r="BJ6520" s="201"/>
    </row>
    <row r="6521" spans="62:62" x14ac:dyDescent="0.2">
      <c r="BJ6521" s="201"/>
    </row>
    <row r="6522" spans="62:62" x14ac:dyDescent="0.2">
      <c r="BJ6522" s="201"/>
    </row>
    <row r="6523" spans="62:62" x14ac:dyDescent="0.2">
      <c r="BJ6523" s="201"/>
    </row>
    <row r="6524" spans="62:62" x14ac:dyDescent="0.2">
      <c r="BJ6524" s="201"/>
    </row>
    <row r="6525" spans="62:62" x14ac:dyDescent="0.2">
      <c r="BJ6525" s="201"/>
    </row>
    <row r="6526" spans="62:62" x14ac:dyDescent="0.2">
      <c r="BJ6526" s="201"/>
    </row>
    <row r="6527" spans="62:62" x14ac:dyDescent="0.2">
      <c r="BJ6527" s="201"/>
    </row>
    <row r="6528" spans="62:62" x14ac:dyDescent="0.2">
      <c r="BJ6528" s="201"/>
    </row>
    <row r="6529" spans="62:62" x14ac:dyDescent="0.2">
      <c r="BJ6529" s="201"/>
    </row>
    <row r="6530" spans="62:62" x14ac:dyDescent="0.2">
      <c r="BJ6530" s="201"/>
    </row>
    <row r="6531" spans="62:62" x14ac:dyDescent="0.2">
      <c r="BJ6531" s="201"/>
    </row>
    <row r="6532" spans="62:62" x14ac:dyDescent="0.2">
      <c r="BJ6532" s="201"/>
    </row>
    <row r="6533" spans="62:62" x14ac:dyDescent="0.2">
      <c r="BJ6533" s="201"/>
    </row>
    <row r="6534" spans="62:62" x14ac:dyDescent="0.2">
      <c r="BJ6534" s="201"/>
    </row>
    <row r="6535" spans="62:62" x14ac:dyDescent="0.2">
      <c r="BJ6535" s="201"/>
    </row>
    <row r="6536" spans="62:62" x14ac:dyDescent="0.2">
      <c r="BJ6536" s="201"/>
    </row>
    <row r="6537" spans="62:62" x14ac:dyDescent="0.2">
      <c r="BJ6537" s="201"/>
    </row>
    <row r="6538" spans="62:62" x14ac:dyDescent="0.2">
      <c r="BJ6538" s="201"/>
    </row>
    <row r="6539" spans="62:62" x14ac:dyDescent="0.2">
      <c r="BJ6539" s="201"/>
    </row>
    <row r="6540" spans="62:62" x14ac:dyDescent="0.2">
      <c r="BJ6540" s="201"/>
    </row>
    <row r="6541" spans="62:62" x14ac:dyDescent="0.2">
      <c r="BJ6541" s="201"/>
    </row>
    <row r="6542" spans="62:62" x14ac:dyDescent="0.2">
      <c r="BJ6542" s="201"/>
    </row>
    <row r="6543" spans="62:62" x14ac:dyDescent="0.2">
      <c r="BJ6543" s="201"/>
    </row>
    <row r="6544" spans="62:62" x14ac:dyDescent="0.2">
      <c r="BJ6544" s="201"/>
    </row>
    <row r="6545" spans="62:62" x14ac:dyDescent="0.2">
      <c r="BJ6545" s="201"/>
    </row>
    <row r="6546" spans="62:62" x14ac:dyDescent="0.2">
      <c r="BJ6546" s="201"/>
    </row>
    <row r="6547" spans="62:62" x14ac:dyDescent="0.2">
      <c r="BJ6547" s="201"/>
    </row>
    <row r="6548" spans="62:62" x14ac:dyDescent="0.2">
      <c r="BJ6548" s="201"/>
    </row>
    <row r="6549" spans="62:62" x14ac:dyDescent="0.2">
      <c r="BJ6549" s="201"/>
    </row>
    <row r="6550" spans="62:62" x14ac:dyDescent="0.2">
      <c r="BJ6550" s="201"/>
    </row>
    <row r="6551" spans="62:62" x14ac:dyDescent="0.2">
      <c r="BJ6551" s="201"/>
    </row>
    <row r="6552" spans="62:62" x14ac:dyDescent="0.2">
      <c r="BJ6552" s="201"/>
    </row>
    <row r="6553" spans="62:62" x14ac:dyDescent="0.2">
      <c r="BJ6553" s="201"/>
    </row>
    <row r="6554" spans="62:62" x14ac:dyDescent="0.2">
      <c r="BJ6554" s="201"/>
    </row>
    <row r="6555" spans="62:62" x14ac:dyDescent="0.2">
      <c r="BJ6555" s="201"/>
    </row>
    <row r="6556" spans="62:62" x14ac:dyDescent="0.2">
      <c r="BJ6556" s="201"/>
    </row>
    <row r="6557" spans="62:62" x14ac:dyDescent="0.2">
      <c r="BJ6557" s="201"/>
    </row>
    <row r="6558" spans="62:62" x14ac:dyDescent="0.2">
      <c r="BJ6558" s="201"/>
    </row>
    <row r="6559" spans="62:62" x14ac:dyDescent="0.2">
      <c r="BJ6559" s="201"/>
    </row>
    <row r="6560" spans="62:62" x14ac:dyDescent="0.2">
      <c r="BJ6560" s="201"/>
    </row>
    <row r="6561" spans="62:62" x14ac:dyDescent="0.2">
      <c r="BJ6561" s="201"/>
    </row>
    <row r="6562" spans="62:62" x14ac:dyDescent="0.2">
      <c r="BJ6562" s="201"/>
    </row>
    <row r="6563" spans="62:62" x14ac:dyDescent="0.2">
      <c r="BJ6563" s="201"/>
    </row>
    <row r="6564" spans="62:62" x14ac:dyDescent="0.2">
      <c r="BJ6564" s="201"/>
    </row>
    <row r="6565" spans="62:62" x14ac:dyDescent="0.2">
      <c r="BJ6565" s="201"/>
    </row>
    <row r="6566" spans="62:62" x14ac:dyDescent="0.2">
      <c r="BJ6566" s="201"/>
    </row>
    <row r="6567" spans="62:62" x14ac:dyDescent="0.2">
      <c r="BJ6567" s="201"/>
    </row>
    <row r="6568" spans="62:62" x14ac:dyDescent="0.2">
      <c r="BJ6568" s="201"/>
    </row>
    <row r="6569" spans="62:62" x14ac:dyDescent="0.2">
      <c r="BJ6569" s="201"/>
    </row>
    <row r="6570" spans="62:62" x14ac:dyDescent="0.2">
      <c r="BJ6570" s="201"/>
    </row>
    <row r="6571" spans="62:62" x14ac:dyDescent="0.2">
      <c r="BJ6571" s="201"/>
    </row>
    <row r="6572" spans="62:62" x14ac:dyDescent="0.2">
      <c r="BJ6572" s="201"/>
    </row>
    <row r="6573" spans="62:62" x14ac:dyDescent="0.2">
      <c r="BJ6573" s="201"/>
    </row>
    <row r="6574" spans="62:62" x14ac:dyDescent="0.2">
      <c r="BJ6574" s="201"/>
    </row>
    <row r="6575" spans="62:62" x14ac:dyDescent="0.2">
      <c r="BJ6575" s="201"/>
    </row>
    <row r="6576" spans="62:62" x14ac:dyDescent="0.2">
      <c r="BJ6576" s="201"/>
    </row>
    <row r="6577" spans="62:62" x14ac:dyDescent="0.2">
      <c r="BJ6577" s="201"/>
    </row>
    <row r="6578" spans="62:62" x14ac:dyDescent="0.2">
      <c r="BJ6578" s="201"/>
    </row>
    <row r="6579" spans="62:62" x14ac:dyDescent="0.2">
      <c r="BJ6579" s="201"/>
    </row>
    <row r="6580" spans="62:62" x14ac:dyDescent="0.2">
      <c r="BJ6580" s="201"/>
    </row>
    <row r="6581" spans="62:62" x14ac:dyDescent="0.2">
      <c r="BJ6581" s="201"/>
    </row>
    <row r="6582" spans="62:62" x14ac:dyDescent="0.2">
      <c r="BJ6582" s="201"/>
    </row>
    <row r="6583" spans="62:62" x14ac:dyDescent="0.2">
      <c r="BJ6583" s="201"/>
    </row>
    <row r="6584" spans="62:62" x14ac:dyDescent="0.2">
      <c r="BJ6584" s="201"/>
    </row>
    <row r="6585" spans="62:62" x14ac:dyDescent="0.2">
      <c r="BJ6585" s="201"/>
    </row>
    <row r="6586" spans="62:62" x14ac:dyDescent="0.2">
      <c r="BJ6586" s="201"/>
    </row>
    <row r="6587" spans="62:62" x14ac:dyDescent="0.2">
      <c r="BJ6587" s="201"/>
    </row>
    <row r="6588" spans="62:62" x14ac:dyDescent="0.2">
      <c r="BJ6588" s="201"/>
    </row>
    <row r="6589" spans="62:62" x14ac:dyDescent="0.2">
      <c r="BJ6589" s="201"/>
    </row>
    <row r="6590" spans="62:62" x14ac:dyDescent="0.2">
      <c r="BJ6590" s="201"/>
    </row>
    <row r="6591" spans="62:62" x14ac:dyDescent="0.2">
      <c r="BJ6591" s="201"/>
    </row>
    <row r="6592" spans="62:62" x14ac:dyDescent="0.2">
      <c r="BJ6592" s="201"/>
    </row>
    <row r="6593" spans="62:62" x14ac:dyDescent="0.2">
      <c r="BJ6593" s="201"/>
    </row>
    <row r="6594" spans="62:62" x14ac:dyDescent="0.2">
      <c r="BJ6594" s="201"/>
    </row>
    <row r="6595" spans="62:62" x14ac:dyDescent="0.2">
      <c r="BJ6595" s="201"/>
    </row>
    <row r="6596" spans="62:62" x14ac:dyDescent="0.2">
      <c r="BJ6596" s="201"/>
    </row>
    <row r="6597" spans="62:62" x14ac:dyDescent="0.2">
      <c r="BJ6597" s="201"/>
    </row>
    <row r="6598" spans="62:62" x14ac:dyDescent="0.2">
      <c r="BJ6598" s="201"/>
    </row>
    <row r="6599" spans="62:62" x14ac:dyDescent="0.2">
      <c r="BJ6599" s="201"/>
    </row>
    <row r="6600" spans="62:62" x14ac:dyDescent="0.2">
      <c r="BJ6600" s="201"/>
    </row>
    <row r="6601" spans="62:62" x14ac:dyDescent="0.2">
      <c r="BJ6601" s="201"/>
    </row>
    <row r="6602" spans="62:62" x14ac:dyDescent="0.2">
      <c r="BJ6602" s="201"/>
    </row>
    <row r="6603" spans="62:62" x14ac:dyDescent="0.2">
      <c r="BJ6603" s="201"/>
    </row>
    <row r="6604" spans="62:62" x14ac:dyDescent="0.2">
      <c r="BJ6604" s="201"/>
    </row>
    <row r="6605" spans="62:62" x14ac:dyDescent="0.2">
      <c r="BJ6605" s="201"/>
    </row>
    <row r="6606" spans="62:62" x14ac:dyDescent="0.2">
      <c r="BJ6606" s="201"/>
    </row>
    <row r="6607" spans="62:62" x14ac:dyDescent="0.2">
      <c r="BJ6607" s="201"/>
    </row>
    <row r="6608" spans="62:62" x14ac:dyDescent="0.2">
      <c r="BJ6608" s="201"/>
    </row>
    <row r="6609" spans="62:62" x14ac:dyDescent="0.2">
      <c r="BJ6609" s="201"/>
    </row>
    <row r="6610" spans="62:62" x14ac:dyDescent="0.2">
      <c r="BJ6610" s="201"/>
    </row>
    <row r="6611" spans="62:62" x14ac:dyDescent="0.2">
      <c r="BJ6611" s="201"/>
    </row>
    <row r="6612" spans="62:62" x14ac:dyDescent="0.2">
      <c r="BJ6612" s="201"/>
    </row>
    <row r="6613" spans="62:62" x14ac:dyDescent="0.2">
      <c r="BJ6613" s="201"/>
    </row>
    <row r="6614" spans="62:62" x14ac:dyDescent="0.2">
      <c r="BJ6614" s="201"/>
    </row>
    <row r="6615" spans="62:62" x14ac:dyDescent="0.2">
      <c r="BJ6615" s="201"/>
    </row>
    <row r="6616" spans="62:62" x14ac:dyDescent="0.2">
      <c r="BJ6616" s="201"/>
    </row>
    <row r="6617" spans="62:62" x14ac:dyDescent="0.2">
      <c r="BJ6617" s="201"/>
    </row>
    <row r="6618" spans="62:62" x14ac:dyDescent="0.2">
      <c r="BJ6618" s="201"/>
    </row>
    <row r="6619" spans="62:62" x14ac:dyDescent="0.2">
      <c r="BJ6619" s="201"/>
    </row>
    <row r="6620" spans="62:62" x14ac:dyDescent="0.2">
      <c r="BJ6620" s="201"/>
    </row>
    <row r="6621" spans="62:62" x14ac:dyDescent="0.2">
      <c r="BJ6621" s="201"/>
    </row>
    <row r="6622" spans="62:62" x14ac:dyDescent="0.2">
      <c r="BJ6622" s="201"/>
    </row>
    <row r="6623" spans="62:62" x14ac:dyDescent="0.2">
      <c r="BJ6623" s="201"/>
    </row>
    <row r="6624" spans="62:62" x14ac:dyDescent="0.2">
      <c r="BJ6624" s="201"/>
    </row>
    <row r="6625" spans="62:62" x14ac:dyDescent="0.2">
      <c r="BJ6625" s="201"/>
    </row>
    <row r="6626" spans="62:62" x14ac:dyDescent="0.2">
      <c r="BJ6626" s="201"/>
    </row>
    <row r="6627" spans="62:62" x14ac:dyDescent="0.2">
      <c r="BJ6627" s="201"/>
    </row>
    <row r="6628" spans="62:62" x14ac:dyDescent="0.2">
      <c r="BJ6628" s="201"/>
    </row>
    <row r="6629" spans="62:62" x14ac:dyDescent="0.2">
      <c r="BJ6629" s="201"/>
    </row>
    <row r="6630" spans="62:62" x14ac:dyDescent="0.2">
      <c r="BJ6630" s="201"/>
    </row>
    <row r="6631" spans="62:62" x14ac:dyDescent="0.2">
      <c r="BJ6631" s="201"/>
    </row>
    <row r="6632" spans="62:62" x14ac:dyDescent="0.2">
      <c r="BJ6632" s="201"/>
    </row>
    <row r="6633" spans="62:62" x14ac:dyDescent="0.2">
      <c r="BJ6633" s="201"/>
    </row>
    <row r="6634" spans="62:62" x14ac:dyDescent="0.2">
      <c r="BJ6634" s="201"/>
    </row>
    <row r="6635" spans="62:62" x14ac:dyDescent="0.2">
      <c r="BJ6635" s="201"/>
    </row>
    <row r="6636" spans="62:62" x14ac:dyDescent="0.2">
      <c r="BJ6636" s="201"/>
    </row>
    <row r="6637" spans="62:62" x14ac:dyDescent="0.2">
      <c r="BJ6637" s="201"/>
    </row>
    <row r="6638" spans="62:62" x14ac:dyDescent="0.2">
      <c r="BJ6638" s="201"/>
    </row>
    <row r="6639" spans="62:62" x14ac:dyDescent="0.2">
      <c r="BJ6639" s="201"/>
    </row>
    <row r="6640" spans="62:62" x14ac:dyDescent="0.2">
      <c r="BJ6640" s="201"/>
    </row>
    <row r="6641" spans="62:62" x14ac:dyDescent="0.2">
      <c r="BJ6641" s="201"/>
    </row>
    <row r="6642" spans="62:62" x14ac:dyDescent="0.2">
      <c r="BJ6642" s="201"/>
    </row>
    <row r="6643" spans="62:62" x14ac:dyDescent="0.2">
      <c r="BJ6643" s="201"/>
    </row>
    <row r="6644" spans="62:62" x14ac:dyDescent="0.2">
      <c r="BJ6644" s="201"/>
    </row>
    <row r="6645" spans="62:62" x14ac:dyDescent="0.2">
      <c r="BJ6645" s="201"/>
    </row>
    <row r="6646" spans="62:62" x14ac:dyDescent="0.2">
      <c r="BJ6646" s="201"/>
    </row>
    <row r="6647" spans="62:62" x14ac:dyDescent="0.2">
      <c r="BJ6647" s="201"/>
    </row>
    <row r="6648" spans="62:62" x14ac:dyDescent="0.2">
      <c r="BJ6648" s="201"/>
    </row>
    <row r="6649" spans="62:62" x14ac:dyDescent="0.2">
      <c r="BJ6649" s="201"/>
    </row>
    <row r="6650" spans="62:62" x14ac:dyDescent="0.2">
      <c r="BJ6650" s="201"/>
    </row>
    <row r="6651" spans="62:62" x14ac:dyDescent="0.2">
      <c r="BJ6651" s="201"/>
    </row>
    <row r="6652" spans="62:62" x14ac:dyDescent="0.2">
      <c r="BJ6652" s="201"/>
    </row>
    <row r="6653" spans="62:62" x14ac:dyDescent="0.2">
      <c r="BJ6653" s="201"/>
    </row>
    <row r="6654" spans="62:62" x14ac:dyDescent="0.2">
      <c r="BJ6654" s="201"/>
    </row>
    <row r="6655" spans="62:62" x14ac:dyDescent="0.2">
      <c r="BJ6655" s="201"/>
    </row>
    <row r="6656" spans="62:62" x14ac:dyDescent="0.2">
      <c r="BJ6656" s="201"/>
    </row>
    <row r="6657" spans="62:62" x14ac:dyDescent="0.2">
      <c r="BJ6657" s="201"/>
    </row>
    <row r="6658" spans="62:62" x14ac:dyDescent="0.2">
      <c r="BJ6658" s="201"/>
    </row>
    <row r="6659" spans="62:62" x14ac:dyDescent="0.2">
      <c r="BJ6659" s="201"/>
    </row>
    <row r="6660" spans="62:62" x14ac:dyDescent="0.2">
      <c r="BJ6660" s="201"/>
    </row>
    <row r="6661" spans="62:62" x14ac:dyDescent="0.2">
      <c r="BJ6661" s="201"/>
    </row>
    <row r="6662" spans="62:62" x14ac:dyDescent="0.2">
      <c r="BJ6662" s="201"/>
    </row>
    <row r="6663" spans="62:62" x14ac:dyDescent="0.2">
      <c r="BJ6663" s="201"/>
    </row>
    <row r="6664" spans="62:62" x14ac:dyDescent="0.2">
      <c r="BJ6664" s="201"/>
    </row>
    <row r="6665" spans="62:62" x14ac:dyDescent="0.2">
      <c r="BJ6665" s="201"/>
    </row>
    <row r="6666" spans="62:62" x14ac:dyDescent="0.2">
      <c r="BJ6666" s="201"/>
    </row>
    <row r="6667" spans="62:62" x14ac:dyDescent="0.2">
      <c r="BJ6667" s="201"/>
    </row>
    <row r="6668" spans="62:62" x14ac:dyDescent="0.2">
      <c r="BJ6668" s="201"/>
    </row>
    <row r="6669" spans="62:62" x14ac:dyDescent="0.2">
      <c r="BJ6669" s="201"/>
    </row>
    <row r="6670" spans="62:62" x14ac:dyDescent="0.2">
      <c r="BJ6670" s="201"/>
    </row>
    <row r="6671" spans="62:62" x14ac:dyDescent="0.2">
      <c r="BJ6671" s="201"/>
    </row>
    <row r="6672" spans="62:62" x14ac:dyDescent="0.2">
      <c r="BJ6672" s="201"/>
    </row>
    <row r="6673" spans="62:62" x14ac:dyDescent="0.2">
      <c r="BJ6673" s="201"/>
    </row>
    <row r="6674" spans="62:62" x14ac:dyDescent="0.2">
      <c r="BJ6674" s="201"/>
    </row>
    <row r="6675" spans="62:62" x14ac:dyDescent="0.2">
      <c r="BJ6675" s="201"/>
    </row>
    <row r="6676" spans="62:62" x14ac:dyDescent="0.2">
      <c r="BJ6676" s="201"/>
    </row>
    <row r="6677" spans="62:62" x14ac:dyDescent="0.2">
      <c r="BJ6677" s="201"/>
    </row>
    <row r="6678" spans="62:62" x14ac:dyDescent="0.2">
      <c r="BJ6678" s="201"/>
    </row>
    <row r="6679" spans="62:62" x14ac:dyDescent="0.2">
      <c r="BJ6679" s="201"/>
    </row>
    <row r="6680" spans="62:62" x14ac:dyDescent="0.2">
      <c r="BJ6680" s="201"/>
    </row>
    <row r="6681" spans="62:62" x14ac:dyDescent="0.2">
      <c r="BJ6681" s="201"/>
    </row>
    <row r="6682" spans="62:62" x14ac:dyDescent="0.2">
      <c r="BJ6682" s="201"/>
    </row>
    <row r="6683" spans="62:62" x14ac:dyDescent="0.2">
      <c r="BJ6683" s="201"/>
    </row>
    <row r="6684" spans="62:62" x14ac:dyDescent="0.2">
      <c r="BJ6684" s="201"/>
    </row>
    <row r="6685" spans="62:62" x14ac:dyDescent="0.2">
      <c r="BJ6685" s="201"/>
    </row>
    <row r="6686" spans="62:62" x14ac:dyDescent="0.2">
      <c r="BJ6686" s="201"/>
    </row>
    <row r="6687" spans="62:62" x14ac:dyDescent="0.2">
      <c r="BJ6687" s="201"/>
    </row>
    <row r="6688" spans="62:62" x14ac:dyDescent="0.2">
      <c r="BJ6688" s="201"/>
    </row>
    <row r="6689" spans="62:62" x14ac:dyDescent="0.2">
      <c r="BJ6689" s="201"/>
    </row>
    <row r="6690" spans="62:62" x14ac:dyDescent="0.2">
      <c r="BJ6690" s="201"/>
    </row>
    <row r="6691" spans="62:62" x14ac:dyDescent="0.2">
      <c r="BJ6691" s="201"/>
    </row>
    <row r="6692" spans="62:62" x14ac:dyDescent="0.2">
      <c r="BJ6692" s="201"/>
    </row>
    <row r="6693" spans="62:62" x14ac:dyDescent="0.2">
      <c r="BJ6693" s="201"/>
    </row>
    <row r="6694" spans="62:62" x14ac:dyDescent="0.2">
      <c r="BJ6694" s="201"/>
    </row>
    <row r="6695" spans="62:62" x14ac:dyDescent="0.2">
      <c r="BJ6695" s="201"/>
    </row>
    <row r="6696" spans="62:62" x14ac:dyDescent="0.2">
      <c r="BJ6696" s="201"/>
    </row>
    <row r="6697" spans="62:62" x14ac:dyDescent="0.2">
      <c r="BJ6697" s="201"/>
    </row>
    <row r="6698" spans="62:62" x14ac:dyDescent="0.2">
      <c r="BJ6698" s="201"/>
    </row>
    <row r="6699" spans="62:62" x14ac:dyDescent="0.2">
      <c r="BJ6699" s="201"/>
    </row>
    <row r="6700" spans="62:62" x14ac:dyDescent="0.2">
      <c r="BJ6700" s="201"/>
    </row>
    <row r="6701" spans="62:62" x14ac:dyDescent="0.2">
      <c r="BJ6701" s="201"/>
    </row>
    <row r="6702" spans="62:62" x14ac:dyDescent="0.2">
      <c r="BJ6702" s="201"/>
    </row>
    <row r="6703" spans="62:62" x14ac:dyDescent="0.2">
      <c r="BJ6703" s="201"/>
    </row>
    <row r="6704" spans="62:62" x14ac:dyDescent="0.2">
      <c r="BJ6704" s="201"/>
    </row>
    <row r="6705" spans="62:62" x14ac:dyDescent="0.2">
      <c r="BJ6705" s="201"/>
    </row>
    <row r="6706" spans="62:62" x14ac:dyDescent="0.2">
      <c r="BJ6706" s="201"/>
    </row>
    <row r="6707" spans="62:62" x14ac:dyDescent="0.2">
      <c r="BJ6707" s="201"/>
    </row>
    <row r="6708" spans="62:62" x14ac:dyDescent="0.2">
      <c r="BJ6708" s="201"/>
    </row>
    <row r="6709" spans="62:62" x14ac:dyDescent="0.2">
      <c r="BJ6709" s="201"/>
    </row>
    <row r="6710" spans="62:62" x14ac:dyDescent="0.2">
      <c r="BJ6710" s="201"/>
    </row>
    <row r="6711" spans="62:62" x14ac:dyDescent="0.2">
      <c r="BJ6711" s="201"/>
    </row>
    <row r="6712" spans="62:62" x14ac:dyDescent="0.2">
      <c r="BJ6712" s="201"/>
    </row>
    <row r="6713" spans="62:62" x14ac:dyDescent="0.2">
      <c r="BJ6713" s="201"/>
    </row>
    <row r="6714" spans="62:62" x14ac:dyDescent="0.2">
      <c r="BJ6714" s="201"/>
    </row>
    <row r="6715" spans="62:62" x14ac:dyDescent="0.2">
      <c r="BJ6715" s="201"/>
    </row>
    <row r="6716" spans="62:62" x14ac:dyDescent="0.2">
      <c r="BJ6716" s="201"/>
    </row>
    <row r="6717" spans="62:62" x14ac:dyDescent="0.2">
      <c r="BJ6717" s="201"/>
    </row>
    <row r="6718" spans="62:62" x14ac:dyDescent="0.2">
      <c r="BJ6718" s="201"/>
    </row>
    <row r="6719" spans="62:62" x14ac:dyDescent="0.2">
      <c r="BJ6719" s="201"/>
    </row>
    <row r="6720" spans="62:62" x14ac:dyDescent="0.2">
      <c r="BJ6720" s="201"/>
    </row>
    <row r="6721" spans="62:62" x14ac:dyDescent="0.2">
      <c r="BJ6721" s="201"/>
    </row>
    <row r="6722" spans="62:62" x14ac:dyDescent="0.2">
      <c r="BJ6722" s="201"/>
    </row>
    <row r="6723" spans="62:62" x14ac:dyDescent="0.2">
      <c r="BJ6723" s="201"/>
    </row>
    <row r="6724" spans="62:62" x14ac:dyDescent="0.2">
      <c r="BJ6724" s="201"/>
    </row>
    <row r="6725" spans="62:62" x14ac:dyDescent="0.2">
      <c r="BJ6725" s="201"/>
    </row>
    <row r="6726" spans="62:62" x14ac:dyDescent="0.2">
      <c r="BJ6726" s="201"/>
    </row>
    <row r="6727" spans="62:62" x14ac:dyDescent="0.2">
      <c r="BJ6727" s="201"/>
    </row>
    <row r="6728" spans="62:62" x14ac:dyDescent="0.2">
      <c r="BJ6728" s="201"/>
    </row>
    <row r="6729" spans="62:62" x14ac:dyDescent="0.2">
      <c r="BJ6729" s="201"/>
    </row>
    <row r="6730" spans="62:62" x14ac:dyDescent="0.2">
      <c r="BJ6730" s="201"/>
    </row>
    <row r="6731" spans="62:62" x14ac:dyDescent="0.2">
      <c r="BJ6731" s="201"/>
    </row>
    <row r="6732" spans="62:62" x14ac:dyDescent="0.2">
      <c r="BJ6732" s="201"/>
    </row>
    <row r="6733" spans="62:62" x14ac:dyDescent="0.2">
      <c r="BJ6733" s="201"/>
    </row>
    <row r="6734" spans="62:62" x14ac:dyDescent="0.2">
      <c r="BJ6734" s="201"/>
    </row>
    <row r="6735" spans="62:62" x14ac:dyDescent="0.2">
      <c r="BJ6735" s="201"/>
    </row>
    <row r="6736" spans="62:62" x14ac:dyDescent="0.2">
      <c r="BJ6736" s="201"/>
    </row>
    <row r="6737" spans="62:62" x14ac:dyDescent="0.2">
      <c r="BJ6737" s="201"/>
    </row>
    <row r="6738" spans="62:62" x14ac:dyDescent="0.2">
      <c r="BJ6738" s="201"/>
    </row>
    <row r="6739" spans="62:62" x14ac:dyDescent="0.2">
      <c r="BJ6739" s="201"/>
    </row>
    <row r="6740" spans="62:62" x14ac:dyDescent="0.2">
      <c r="BJ6740" s="201"/>
    </row>
    <row r="6741" spans="62:62" x14ac:dyDescent="0.2">
      <c r="BJ6741" s="201"/>
    </row>
    <row r="6742" spans="62:62" x14ac:dyDescent="0.2">
      <c r="BJ6742" s="201"/>
    </row>
    <row r="6743" spans="62:62" x14ac:dyDescent="0.2">
      <c r="BJ6743" s="201"/>
    </row>
    <row r="6744" spans="62:62" x14ac:dyDescent="0.2">
      <c r="BJ6744" s="201"/>
    </row>
    <row r="6745" spans="62:62" x14ac:dyDescent="0.2">
      <c r="BJ6745" s="201"/>
    </row>
    <row r="6746" spans="62:62" x14ac:dyDescent="0.2">
      <c r="BJ6746" s="201"/>
    </row>
    <row r="6747" spans="62:62" x14ac:dyDescent="0.2">
      <c r="BJ6747" s="201"/>
    </row>
    <row r="6748" spans="62:62" x14ac:dyDescent="0.2">
      <c r="BJ6748" s="201"/>
    </row>
    <row r="6749" spans="62:62" x14ac:dyDescent="0.2">
      <c r="BJ6749" s="201"/>
    </row>
    <row r="6750" spans="62:62" x14ac:dyDescent="0.2">
      <c r="BJ6750" s="201"/>
    </row>
    <row r="6751" spans="62:62" x14ac:dyDescent="0.2">
      <c r="BJ6751" s="201"/>
    </row>
    <row r="6752" spans="62:62" x14ac:dyDescent="0.2">
      <c r="BJ6752" s="201"/>
    </row>
    <row r="6753" spans="62:62" x14ac:dyDescent="0.2">
      <c r="BJ6753" s="201"/>
    </row>
    <row r="6754" spans="62:62" x14ac:dyDescent="0.2">
      <c r="BJ6754" s="201"/>
    </row>
    <row r="6755" spans="62:62" x14ac:dyDescent="0.2">
      <c r="BJ6755" s="201"/>
    </row>
    <row r="6756" spans="62:62" x14ac:dyDescent="0.2">
      <c r="BJ6756" s="201"/>
    </row>
    <row r="6757" spans="62:62" x14ac:dyDescent="0.2">
      <c r="BJ6757" s="201"/>
    </row>
    <row r="6758" spans="62:62" x14ac:dyDescent="0.2">
      <c r="BJ6758" s="201"/>
    </row>
    <row r="6759" spans="62:62" x14ac:dyDescent="0.2">
      <c r="BJ6759" s="201"/>
    </row>
    <row r="6760" spans="62:62" x14ac:dyDescent="0.2">
      <c r="BJ6760" s="201"/>
    </row>
    <row r="6761" spans="62:62" x14ac:dyDescent="0.2">
      <c r="BJ6761" s="201"/>
    </row>
    <row r="6762" spans="62:62" x14ac:dyDescent="0.2">
      <c r="BJ6762" s="201"/>
    </row>
    <row r="6763" spans="62:62" x14ac:dyDescent="0.2">
      <c r="BJ6763" s="201"/>
    </row>
    <row r="6764" spans="62:62" x14ac:dyDescent="0.2">
      <c r="BJ6764" s="201"/>
    </row>
    <row r="6765" spans="62:62" x14ac:dyDescent="0.2">
      <c r="BJ6765" s="201"/>
    </row>
    <row r="6766" spans="62:62" x14ac:dyDescent="0.2">
      <c r="BJ6766" s="201"/>
    </row>
    <row r="6767" spans="62:62" x14ac:dyDescent="0.2">
      <c r="BJ6767" s="201"/>
    </row>
    <row r="6768" spans="62:62" x14ac:dyDescent="0.2">
      <c r="BJ6768" s="201"/>
    </row>
    <row r="6769" spans="62:62" x14ac:dyDescent="0.2">
      <c r="BJ6769" s="201"/>
    </row>
    <row r="6770" spans="62:62" x14ac:dyDescent="0.2">
      <c r="BJ6770" s="201"/>
    </row>
    <row r="6771" spans="62:62" x14ac:dyDescent="0.2">
      <c r="BJ6771" s="201"/>
    </row>
    <row r="6772" spans="62:62" x14ac:dyDescent="0.2">
      <c r="BJ6772" s="201"/>
    </row>
    <row r="6773" spans="62:62" x14ac:dyDescent="0.2">
      <c r="BJ6773" s="201"/>
    </row>
    <row r="6774" spans="62:62" x14ac:dyDescent="0.2">
      <c r="BJ6774" s="201"/>
    </row>
    <row r="6775" spans="62:62" x14ac:dyDescent="0.2">
      <c r="BJ6775" s="201"/>
    </row>
    <row r="6776" spans="62:62" x14ac:dyDescent="0.2">
      <c r="BJ6776" s="201"/>
    </row>
    <row r="6777" spans="62:62" x14ac:dyDescent="0.2">
      <c r="BJ6777" s="201"/>
    </row>
    <row r="6778" spans="62:62" x14ac:dyDescent="0.2">
      <c r="BJ6778" s="201"/>
    </row>
    <row r="6779" spans="62:62" x14ac:dyDescent="0.2">
      <c r="BJ6779" s="201"/>
    </row>
    <row r="6780" spans="62:62" x14ac:dyDescent="0.2">
      <c r="BJ6780" s="201"/>
    </row>
    <row r="6781" spans="62:62" x14ac:dyDescent="0.2">
      <c r="BJ6781" s="201"/>
    </row>
    <row r="6782" spans="62:62" x14ac:dyDescent="0.2">
      <c r="BJ6782" s="201"/>
    </row>
    <row r="6783" spans="62:62" x14ac:dyDescent="0.2">
      <c r="BJ6783" s="201"/>
    </row>
    <row r="6784" spans="62:62" x14ac:dyDescent="0.2">
      <c r="BJ6784" s="201"/>
    </row>
    <row r="6785" spans="62:62" x14ac:dyDescent="0.2">
      <c r="BJ6785" s="201"/>
    </row>
    <row r="6786" spans="62:62" x14ac:dyDescent="0.2">
      <c r="BJ6786" s="201"/>
    </row>
    <row r="6787" spans="62:62" x14ac:dyDescent="0.2">
      <c r="BJ6787" s="201"/>
    </row>
    <row r="6788" spans="62:62" x14ac:dyDescent="0.2">
      <c r="BJ6788" s="201"/>
    </row>
    <row r="6789" spans="62:62" x14ac:dyDescent="0.2">
      <c r="BJ6789" s="201"/>
    </row>
    <row r="6790" spans="62:62" x14ac:dyDescent="0.2">
      <c r="BJ6790" s="201"/>
    </row>
    <row r="6791" spans="62:62" x14ac:dyDescent="0.2">
      <c r="BJ6791" s="201"/>
    </row>
    <row r="6792" spans="62:62" x14ac:dyDescent="0.2">
      <c r="BJ6792" s="201"/>
    </row>
    <row r="6793" spans="62:62" x14ac:dyDescent="0.2">
      <c r="BJ6793" s="201"/>
    </row>
    <row r="6794" spans="62:62" x14ac:dyDescent="0.2">
      <c r="BJ6794" s="201"/>
    </row>
    <row r="6795" spans="62:62" x14ac:dyDescent="0.2">
      <c r="BJ6795" s="201"/>
    </row>
    <row r="6796" spans="62:62" x14ac:dyDescent="0.2">
      <c r="BJ6796" s="201"/>
    </row>
    <row r="6797" spans="62:62" x14ac:dyDescent="0.2">
      <c r="BJ6797" s="201"/>
    </row>
    <row r="6798" spans="62:62" x14ac:dyDescent="0.2">
      <c r="BJ6798" s="201"/>
    </row>
    <row r="6799" spans="62:62" x14ac:dyDescent="0.2">
      <c r="BJ6799" s="201"/>
    </row>
    <row r="6800" spans="62:62" x14ac:dyDescent="0.2">
      <c r="BJ6800" s="201"/>
    </row>
    <row r="6801" spans="62:62" x14ac:dyDescent="0.2">
      <c r="BJ6801" s="201"/>
    </row>
    <row r="6802" spans="62:62" x14ac:dyDescent="0.2">
      <c r="BJ6802" s="201"/>
    </row>
    <row r="6803" spans="62:62" x14ac:dyDescent="0.2">
      <c r="BJ6803" s="201"/>
    </row>
    <row r="6804" spans="62:62" x14ac:dyDescent="0.2">
      <c r="BJ6804" s="201"/>
    </row>
    <row r="6805" spans="62:62" x14ac:dyDescent="0.2">
      <c r="BJ6805" s="201"/>
    </row>
    <row r="6806" spans="62:62" x14ac:dyDescent="0.2">
      <c r="BJ6806" s="201"/>
    </row>
    <row r="6807" spans="62:62" x14ac:dyDescent="0.2">
      <c r="BJ6807" s="201"/>
    </row>
    <row r="6808" spans="62:62" x14ac:dyDescent="0.2">
      <c r="BJ6808" s="201"/>
    </row>
    <row r="6809" spans="62:62" x14ac:dyDescent="0.2">
      <c r="BJ6809" s="201"/>
    </row>
    <row r="6810" spans="62:62" x14ac:dyDescent="0.2">
      <c r="BJ6810" s="201"/>
    </row>
    <row r="6811" spans="62:62" x14ac:dyDescent="0.2">
      <c r="BJ6811" s="201"/>
    </row>
    <row r="6812" spans="62:62" x14ac:dyDescent="0.2">
      <c r="BJ6812" s="201"/>
    </row>
    <row r="6813" spans="62:62" x14ac:dyDescent="0.2">
      <c r="BJ6813" s="201"/>
    </row>
    <row r="6814" spans="62:62" x14ac:dyDescent="0.2">
      <c r="BJ6814" s="201"/>
    </row>
    <row r="6815" spans="62:62" x14ac:dyDescent="0.2">
      <c r="BJ6815" s="201"/>
    </row>
    <row r="6816" spans="62:62" x14ac:dyDescent="0.2">
      <c r="BJ6816" s="201"/>
    </row>
    <row r="6817" spans="62:62" x14ac:dyDescent="0.2">
      <c r="BJ6817" s="201"/>
    </row>
    <row r="6818" spans="62:62" x14ac:dyDescent="0.2">
      <c r="BJ6818" s="201"/>
    </row>
    <row r="6819" spans="62:62" x14ac:dyDescent="0.2">
      <c r="BJ6819" s="201"/>
    </row>
    <row r="6820" spans="62:62" x14ac:dyDescent="0.2">
      <c r="BJ6820" s="201"/>
    </row>
    <row r="6821" spans="62:62" x14ac:dyDescent="0.2">
      <c r="BJ6821" s="201"/>
    </row>
    <row r="6822" spans="62:62" x14ac:dyDescent="0.2">
      <c r="BJ6822" s="201"/>
    </row>
    <row r="6823" spans="62:62" x14ac:dyDescent="0.2">
      <c r="BJ6823" s="201"/>
    </row>
    <row r="6824" spans="62:62" x14ac:dyDescent="0.2">
      <c r="BJ6824" s="201"/>
    </row>
    <row r="6825" spans="62:62" x14ac:dyDescent="0.2">
      <c r="BJ6825" s="201"/>
    </row>
    <row r="6826" spans="62:62" x14ac:dyDescent="0.2">
      <c r="BJ6826" s="201"/>
    </row>
    <row r="6827" spans="62:62" x14ac:dyDescent="0.2">
      <c r="BJ6827" s="201"/>
    </row>
    <row r="6828" spans="62:62" x14ac:dyDescent="0.2">
      <c r="BJ6828" s="201"/>
    </row>
    <row r="6829" spans="62:62" x14ac:dyDescent="0.2">
      <c r="BJ6829" s="201"/>
    </row>
    <row r="6830" spans="62:62" x14ac:dyDescent="0.2">
      <c r="BJ6830" s="201"/>
    </row>
    <row r="6831" spans="62:62" x14ac:dyDescent="0.2">
      <c r="BJ6831" s="201"/>
    </row>
    <row r="6832" spans="62:62" x14ac:dyDescent="0.2">
      <c r="BJ6832" s="201"/>
    </row>
    <row r="6833" spans="62:62" x14ac:dyDescent="0.2">
      <c r="BJ6833" s="201"/>
    </row>
    <row r="6834" spans="62:62" x14ac:dyDescent="0.2">
      <c r="BJ6834" s="201"/>
    </row>
    <row r="6835" spans="62:62" x14ac:dyDescent="0.2">
      <c r="BJ6835" s="201"/>
    </row>
    <row r="6836" spans="62:62" x14ac:dyDescent="0.2">
      <c r="BJ6836" s="201"/>
    </row>
    <row r="6837" spans="62:62" x14ac:dyDescent="0.2">
      <c r="BJ6837" s="201"/>
    </row>
    <row r="6838" spans="62:62" x14ac:dyDescent="0.2">
      <c r="BJ6838" s="201"/>
    </row>
    <row r="6839" spans="62:62" x14ac:dyDescent="0.2">
      <c r="BJ6839" s="201"/>
    </row>
    <row r="6840" spans="62:62" x14ac:dyDescent="0.2">
      <c r="BJ6840" s="201"/>
    </row>
    <row r="6841" spans="62:62" x14ac:dyDescent="0.2">
      <c r="BJ6841" s="201"/>
    </row>
    <row r="6842" spans="62:62" x14ac:dyDescent="0.2">
      <c r="BJ6842" s="201"/>
    </row>
    <row r="6843" spans="62:62" x14ac:dyDescent="0.2">
      <c r="BJ6843" s="201"/>
    </row>
    <row r="6844" spans="62:62" x14ac:dyDescent="0.2">
      <c r="BJ6844" s="201"/>
    </row>
    <row r="6845" spans="62:62" x14ac:dyDescent="0.2">
      <c r="BJ6845" s="201"/>
    </row>
    <row r="6846" spans="62:62" x14ac:dyDescent="0.2">
      <c r="BJ6846" s="201"/>
    </row>
    <row r="6847" spans="62:62" x14ac:dyDescent="0.2">
      <c r="BJ6847" s="201"/>
    </row>
    <row r="6848" spans="62:62" x14ac:dyDescent="0.2">
      <c r="BJ6848" s="201"/>
    </row>
    <row r="6849" spans="62:62" x14ac:dyDescent="0.2">
      <c r="BJ6849" s="201"/>
    </row>
    <row r="6850" spans="62:62" x14ac:dyDescent="0.2">
      <c r="BJ6850" s="201"/>
    </row>
    <row r="6851" spans="62:62" x14ac:dyDescent="0.2">
      <c r="BJ6851" s="201"/>
    </row>
    <row r="6852" spans="62:62" x14ac:dyDescent="0.2">
      <c r="BJ6852" s="201"/>
    </row>
    <row r="6853" spans="62:62" x14ac:dyDescent="0.2">
      <c r="BJ6853" s="201"/>
    </row>
    <row r="6854" spans="62:62" x14ac:dyDescent="0.2">
      <c r="BJ6854" s="201"/>
    </row>
    <row r="6855" spans="62:62" x14ac:dyDescent="0.2">
      <c r="BJ6855" s="201"/>
    </row>
    <row r="6856" spans="62:62" x14ac:dyDescent="0.2">
      <c r="BJ6856" s="201"/>
    </row>
    <row r="6857" spans="62:62" x14ac:dyDescent="0.2">
      <c r="BJ6857" s="201"/>
    </row>
    <row r="6858" spans="62:62" x14ac:dyDescent="0.2">
      <c r="BJ6858" s="201"/>
    </row>
    <row r="6859" spans="62:62" x14ac:dyDescent="0.2">
      <c r="BJ6859" s="201"/>
    </row>
    <row r="6860" spans="62:62" x14ac:dyDescent="0.2">
      <c r="BJ6860" s="201"/>
    </row>
    <row r="6861" spans="62:62" x14ac:dyDescent="0.2">
      <c r="BJ6861" s="201"/>
    </row>
    <row r="6862" spans="62:62" x14ac:dyDescent="0.2">
      <c r="BJ6862" s="201"/>
    </row>
    <row r="6863" spans="62:62" x14ac:dyDescent="0.2">
      <c r="BJ6863" s="201"/>
    </row>
    <row r="6864" spans="62:62" x14ac:dyDescent="0.2">
      <c r="BJ6864" s="201"/>
    </row>
    <row r="6865" spans="62:62" x14ac:dyDescent="0.2">
      <c r="BJ6865" s="201"/>
    </row>
    <row r="6866" spans="62:62" x14ac:dyDescent="0.2">
      <c r="BJ6866" s="201"/>
    </row>
    <row r="6867" spans="62:62" x14ac:dyDescent="0.2">
      <c r="BJ6867" s="201"/>
    </row>
    <row r="6868" spans="62:62" x14ac:dyDescent="0.2">
      <c r="BJ6868" s="201"/>
    </row>
    <row r="6869" spans="62:62" x14ac:dyDescent="0.2">
      <c r="BJ6869" s="201"/>
    </row>
    <row r="6870" spans="62:62" x14ac:dyDescent="0.2">
      <c r="BJ6870" s="201"/>
    </row>
    <row r="6871" spans="62:62" x14ac:dyDescent="0.2">
      <c r="BJ6871" s="201"/>
    </row>
    <row r="6872" spans="62:62" x14ac:dyDescent="0.2">
      <c r="BJ6872" s="201"/>
    </row>
    <row r="6873" spans="62:62" x14ac:dyDescent="0.2">
      <c r="BJ6873" s="201"/>
    </row>
    <row r="6874" spans="62:62" x14ac:dyDescent="0.2">
      <c r="BJ6874" s="201"/>
    </row>
    <row r="6875" spans="62:62" x14ac:dyDescent="0.2">
      <c r="BJ6875" s="201"/>
    </row>
    <row r="6876" spans="62:62" x14ac:dyDescent="0.2">
      <c r="BJ6876" s="201"/>
    </row>
    <row r="6877" spans="62:62" x14ac:dyDescent="0.2">
      <c r="BJ6877" s="201"/>
    </row>
    <row r="6878" spans="62:62" x14ac:dyDescent="0.2">
      <c r="BJ6878" s="201"/>
    </row>
    <row r="6879" spans="62:62" x14ac:dyDescent="0.2">
      <c r="BJ6879" s="201"/>
    </row>
    <row r="6880" spans="62:62" x14ac:dyDescent="0.2">
      <c r="BJ6880" s="201"/>
    </row>
    <row r="6881" spans="62:62" x14ac:dyDescent="0.2">
      <c r="BJ6881" s="201"/>
    </row>
    <row r="6882" spans="62:62" x14ac:dyDescent="0.2">
      <c r="BJ6882" s="201"/>
    </row>
    <row r="6883" spans="62:62" x14ac:dyDescent="0.2">
      <c r="BJ6883" s="201"/>
    </row>
    <row r="6884" spans="62:62" x14ac:dyDescent="0.2">
      <c r="BJ6884" s="201"/>
    </row>
    <row r="6885" spans="62:62" x14ac:dyDescent="0.2">
      <c r="BJ6885" s="201"/>
    </row>
    <row r="6886" spans="62:62" x14ac:dyDescent="0.2">
      <c r="BJ6886" s="201"/>
    </row>
    <row r="6887" spans="62:62" x14ac:dyDescent="0.2">
      <c r="BJ6887" s="201"/>
    </row>
    <row r="6888" spans="62:62" x14ac:dyDescent="0.2">
      <c r="BJ6888" s="201"/>
    </row>
    <row r="6889" spans="62:62" x14ac:dyDescent="0.2">
      <c r="BJ6889" s="201"/>
    </row>
    <row r="6890" spans="62:62" x14ac:dyDescent="0.2">
      <c r="BJ6890" s="201"/>
    </row>
    <row r="6891" spans="62:62" x14ac:dyDescent="0.2">
      <c r="BJ6891" s="201"/>
    </row>
    <row r="6892" spans="62:62" x14ac:dyDescent="0.2">
      <c r="BJ6892" s="201"/>
    </row>
    <row r="6893" spans="62:62" x14ac:dyDescent="0.2">
      <c r="BJ6893" s="201"/>
    </row>
    <row r="6894" spans="62:62" x14ac:dyDescent="0.2">
      <c r="BJ6894" s="201"/>
    </row>
    <row r="6895" spans="62:62" x14ac:dyDescent="0.2">
      <c r="BJ6895" s="201"/>
    </row>
    <row r="6896" spans="62:62" x14ac:dyDescent="0.2">
      <c r="BJ6896" s="201"/>
    </row>
    <row r="6897" spans="62:62" x14ac:dyDescent="0.2">
      <c r="BJ6897" s="201"/>
    </row>
    <row r="6898" spans="62:62" x14ac:dyDescent="0.2">
      <c r="BJ6898" s="201"/>
    </row>
    <row r="6899" spans="62:62" x14ac:dyDescent="0.2">
      <c r="BJ6899" s="201"/>
    </row>
    <row r="6900" spans="62:62" x14ac:dyDescent="0.2">
      <c r="BJ6900" s="201"/>
    </row>
    <row r="6901" spans="62:62" x14ac:dyDescent="0.2">
      <c r="BJ6901" s="201"/>
    </row>
    <row r="6902" spans="62:62" x14ac:dyDescent="0.2">
      <c r="BJ6902" s="201"/>
    </row>
    <row r="6903" spans="62:62" x14ac:dyDescent="0.2">
      <c r="BJ6903" s="201"/>
    </row>
    <row r="6904" spans="62:62" x14ac:dyDescent="0.2">
      <c r="BJ6904" s="201"/>
    </row>
    <row r="6905" spans="62:62" x14ac:dyDescent="0.2">
      <c r="BJ6905" s="201"/>
    </row>
    <row r="6906" spans="62:62" x14ac:dyDescent="0.2">
      <c r="BJ6906" s="201"/>
    </row>
    <row r="6907" spans="62:62" x14ac:dyDescent="0.2">
      <c r="BJ6907" s="201"/>
    </row>
    <row r="6908" spans="62:62" x14ac:dyDescent="0.2">
      <c r="BJ6908" s="201"/>
    </row>
    <row r="6909" spans="62:62" x14ac:dyDescent="0.2">
      <c r="BJ6909" s="201"/>
    </row>
    <row r="6910" spans="62:62" x14ac:dyDescent="0.2">
      <c r="BJ6910" s="201"/>
    </row>
    <row r="6911" spans="62:62" x14ac:dyDescent="0.2">
      <c r="BJ6911" s="201"/>
    </row>
    <row r="6912" spans="62:62" x14ac:dyDescent="0.2">
      <c r="BJ6912" s="201"/>
    </row>
    <row r="6913" spans="62:62" x14ac:dyDescent="0.2">
      <c r="BJ6913" s="201"/>
    </row>
    <row r="6914" spans="62:62" x14ac:dyDescent="0.2">
      <c r="BJ6914" s="201"/>
    </row>
    <row r="6915" spans="62:62" x14ac:dyDescent="0.2">
      <c r="BJ6915" s="201"/>
    </row>
    <row r="6916" spans="62:62" x14ac:dyDescent="0.2">
      <c r="BJ6916" s="201"/>
    </row>
    <row r="6917" spans="62:62" x14ac:dyDescent="0.2">
      <c r="BJ6917" s="201"/>
    </row>
    <row r="6918" spans="62:62" x14ac:dyDescent="0.2">
      <c r="BJ6918" s="201"/>
    </row>
    <row r="6919" spans="62:62" x14ac:dyDescent="0.2">
      <c r="BJ6919" s="201"/>
    </row>
    <row r="6920" spans="62:62" x14ac:dyDescent="0.2">
      <c r="BJ6920" s="201"/>
    </row>
    <row r="6921" spans="62:62" x14ac:dyDescent="0.2">
      <c r="BJ6921" s="201"/>
    </row>
    <row r="6922" spans="62:62" x14ac:dyDescent="0.2">
      <c r="BJ6922" s="201"/>
    </row>
    <row r="6923" spans="62:62" x14ac:dyDescent="0.2">
      <c r="BJ6923" s="201"/>
    </row>
    <row r="6924" spans="62:62" x14ac:dyDescent="0.2">
      <c r="BJ6924" s="201"/>
    </row>
    <row r="6925" spans="62:62" x14ac:dyDescent="0.2">
      <c r="BJ6925" s="201"/>
    </row>
    <row r="6926" spans="62:62" x14ac:dyDescent="0.2">
      <c r="BJ6926" s="201"/>
    </row>
    <row r="6927" spans="62:62" x14ac:dyDescent="0.2">
      <c r="BJ6927" s="201"/>
    </row>
    <row r="6928" spans="62:62" x14ac:dyDescent="0.2">
      <c r="BJ6928" s="201"/>
    </row>
    <row r="6929" spans="62:62" x14ac:dyDescent="0.2">
      <c r="BJ6929" s="201"/>
    </row>
    <row r="6930" spans="62:62" x14ac:dyDescent="0.2">
      <c r="BJ6930" s="201"/>
    </row>
    <row r="6931" spans="62:62" x14ac:dyDescent="0.2">
      <c r="BJ6931" s="201"/>
    </row>
    <row r="6932" spans="62:62" x14ac:dyDescent="0.2">
      <c r="BJ6932" s="201"/>
    </row>
    <row r="6933" spans="62:62" x14ac:dyDescent="0.2">
      <c r="BJ6933" s="201"/>
    </row>
    <row r="6934" spans="62:62" x14ac:dyDescent="0.2">
      <c r="BJ6934" s="201"/>
    </row>
    <row r="6935" spans="62:62" x14ac:dyDescent="0.2">
      <c r="BJ6935" s="201"/>
    </row>
    <row r="6936" spans="62:62" x14ac:dyDescent="0.2">
      <c r="BJ6936" s="201"/>
    </row>
    <row r="6937" spans="62:62" x14ac:dyDescent="0.2">
      <c r="BJ6937" s="201"/>
    </row>
    <row r="6938" spans="62:62" x14ac:dyDescent="0.2">
      <c r="BJ6938" s="201"/>
    </row>
    <row r="6939" spans="62:62" x14ac:dyDescent="0.2">
      <c r="BJ6939" s="201"/>
    </row>
    <row r="6940" spans="62:62" x14ac:dyDescent="0.2">
      <c r="BJ6940" s="201"/>
    </row>
    <row r="6941" spans="62:62" x14ac:dyDescent="0.2">
      <c r="BJ6941" s="201"/>
    </row>
    <row r="6942" spans="62:62" x14ac:dyDescent="0.2">
      <c r="BJ6942" s="201"/>
    </row>
    <row r="6943" spans="62:62" x14ac:dyDescent="0.2">
      <c r="BJ6943" s="201"/>
    </row>
    <row r="6944" spans="62:62" x14ac:dyDescent="0.2">
      <c r="BJ6944" s="201"/>
    </row>
    <row r="6945" spans="62:62" x14ac:dyDescent="0.2">
      <c r="BJ6945" s="201"/>
    </row>
    <row r="6946" spans="62:62" x14ac:dyDescent="0.2">
      <c r="BJ6946" s="201"/>
    </row>
    <row r="6947" spans="62:62" x14ac:dyDescent="0.2">
      <c r="BJ6947" s="201"/>
    </row>
    <row r="6948" spans="62:62" x14ac:dyDescent="0.2">
      <c r="BJ6948" s="201"/>
    </row>
    <row r="6949" spans="62:62" x14ac:dyDescent="0.2">
      <c r="BJ6949" s="201"/>
    </row>
    <row r="6950" spans="62:62" x14ac:dyDescent="0.2">
      <c r="BJ6950" s="201"/>
    </row>
    <row r="6951" spans="62:62" x14ac:dyDescent="0.2">
      <c r="BJ6951" s="201"/>
    </row>
    <row r="6952" spans="62:62" x14ac:dyDescent="0.2">
      <c r="BJ6952" s="201"/>
    </row>
    <row r="6953" spans="62:62" x14ac:dyDescent="0.2">
      <c r="BJ6953" s="201"/>
    </row>
    <row r="6954" spans="62:62" x14ac:dyDescent="0.2">
      <c r="BJ6954" s="201"/>
    </row>
    <row r="6955" spans="62:62" x14ac:dyDescent="0.2">
      <c r="BJ6955" s="201"/>
    </row>
    <row r="6956" spans="62:62" x14ac:dyDescent="0.2">
      <c r="BJ6956" s="201"/>
    </row>
    <row r="6957" spans="62:62" x14ac:dyDescent="0.2">
      <c r="BJ6957" s="201"/>
    </row>
    <row r="6958" spans="62:62" x14ac:dyDescent="0.2">
      <c r="BJ6958" s="201"/>
    </row>
    <row r="6959" spans="62:62" x14ac:dyDescent="0.2">
      <c r="BJ6959" s="201"/>
    </row>
    <row r="6960" spans="62:62" x14ac:dyDescent="0.2">
      <c r="BJ6960" s="201"/>
    </row>
    <row r="6961" spans="62:62" x14ac:dyDescent="0.2">
      <c r="BJ6961" s="201"/>
    </row>
    <row r="6962" spans="62:62" x14ac:dyDescent="0.2">
      <c r="BJ6962" s="201"/>
    </row>
    <row r="6963" spans="62:62" x14ac:dyDescent="0.2">
      <c r="BJ6963" s="201"/>
    </row>
    <row r="6964" spans="62:62" x14ac:dyDescent="0.2">
      <c r="BJ6964" s="201"/>
    </row>
    <row r="6965" spans="62:62" x14ac:dyDescent="0.2">
      <c r="BJ6965" s="201"/>
    </row>
    <row r="6966" spans="62:62" x14ac:dyDescent="0.2">
      <c r="BJ6966" s="201"/>
    </row>
    <row r="6967" spans="62:62" x14ac:dyDescent="0.2">
      <c r="BJ6967" s="201"/>
    </row>
    <row r="6968" spans="62:62" x14ac:dyDescent="0.2">
      <c r="BJ6968" s="201"/>
    </row>
    <row r="6969" spans="62:62" x14ac:dyDescent="0.2">
      <c r="BJ6969" s="201"/>
    </row>
    <row r="6970" spans="62:62" x14ac:dyDescent="0.2">
      <c r="BJ6970" s="201"/>
    </row>
    <row r="6971" spans="62:62" x14ac:dyDescent="0.2">
      <c r="BJ6971" s="201"/>
    </row>
    <row r="6972" spans="62:62" x14ac:dyDescent="0.2">
      <c r="BJ6972" s="201"/>
    </row>
    <row r="6973" spans="62:62" x14ac:dyDescent="0.2">
      <c r="BJ6973" s="201"/>
    </row>
    <row r="6974" spans="62:62" x14ac:dyDescent="0.2">
      <c r="BJ6974" s="201"/>
    </row>
    <row r="6975" spans="62:62" x14ac:dyDescent="0.2">
      <c r="BJ6975" s="201"/>
    </row>
    <row r="6976" spans="62:62" x14ac:dyDescent="0.2">
      <c r="BJ6976" s="201"/>
    </row>
    <row r="6977" spans="62:62" x14ac:dyDescent="0.2">
      <c r="BJ6977" s="201"/>
    </row>
    <row r="6978" spans="62:62" x14ac:dyDescent="0.2">
      <c r="BJ6978" s="201"/>
    </row>
    <row r="6979" spans="62:62" x14ac:dyDescent="0.2">
      <c r="BJ6979" s="201"/>
    </row>
    <row r="6980" spans="62:62" x14ac:dyDescent="0.2">
      <c r="BJ6980" s="201"/>
    </row>
    <row r="6981" spans="62:62" x14ac:dyDescent="0.2">
      <c r="BJ6981" s="201"/>
    </row>
    <row r="6982" spans="62:62" x14ac:dyDescent="0.2">
      <c r="BJ6982" s="201"/>
    </row>
    <row r="6983" spans="62:62" x14ac:dyDescent="0.2">
      <c r="BJ6983" s="201"/>
    </row>
    <row r="6984" spans="62:62" x14ac:dyDescent="0.2">
      <c r="BJ6984" s="201"/>
    </row>
    <row r="6985" spans="62:62" x14ac:dyDescent="0.2">
      <c r="BJ6985" s="201"/>
    </row>
    <row r="6986" spans="62:62" x14ac:dyDescent="0.2">
      <c r="BJ6986" s="201"/>
    </row>
    <row r="6987" spans="62:62" x14ac:dyDescent="0.2">
      <c r="BJ6987" s="201"/>
    </row>
    <row r="6988" spans="62:62" x14ac:dyDescent="0.2">
      <c r="BJ6988" s="201"/>
    </row>
    <row r="6989" spans="62:62" x14ac:dyDescent="0.2">
      <c r="BJ6989" s="201"/>
    </row>
    <row r="6990" spans="62:62" x14ac:dyDescent="0.2">
      <c r="BJ6990" s="201"/>
    </row>
    <row r="6991" spans="62:62" x14ac:dyDescent="0.2">
      <c r="BJ6991" s="201"/>
    </row>
    <row r="6992" spans="62:62" x14ac:dyDescent="0.2">
      <c r="BJ6992" s="201"/>
    </row>
    <row r="6993" spans="62:62" x14ac:dyDescent="0.2">
      <c r="BJ6993" s="201"/>
    </row>
    <row r="6994" spans="62:62" x14ac:dyDescent="0.2">
      <c r="BJ6994" s="201"/>
    </row>
    <row r="6995" spans="62:62" x14ac:dyDescent="0.2">
      <c r="BJ6995" s="201"/>
    </row>
    <row r="6996" spans="62:62" x14ac:dyDescent="0.2">
      <c r="BJ6996" s="201"/>
    </row>
    <row r="6997" spans="62:62" x14ac:dyDescent="0.2">
      <c r="BJ6997" s="201"/>
    </row>
    <row r="6998" spans="62:62" x14ac:dyDescent="0.2">
      <c r="BJ6998" s="201"/>
    </row>
    <row r="6999" spans="62:62" x14ac:dyDescent="0.2">
      <c r="BJ6999" s="201"/>
    </row>
    <row r="7000" spans="62:62" x14ac:dyDescent="0.2">
      <c r="BJ7000" s="201"/>
    </row>
    <row r="7001" spans="62:62" x14ac:dyDescent="0.2">
      <c r="BJ7001" s="201"/>
    </row>
    <row r="7002" spans="62:62" x14ac:dyDescent="0.2">
      <c r="BJ7002" s="201"/>
    </row>
    <row r="7003" spans="62:62" x14ac:dyDescent="0.2">
      <c r="BJ7003" s="201"/>
    </row>
    <row r="7004" spans="62:62" x14ac:dyDescent="0.2">
      <c r="BJ7004" s="201"/>
    </row>
    <row r="7005" spans="62:62" x14ac:dyDescent="0.2">
      <c r="BJ7005" s="201"/>
    </row>
    <row r="7006" spans="62:62" x14ac:dyDescent="0.2">
      <c r="BJ7006" s="201"/>
    </row>
    <row r="7007" spans="62:62" x14ac:dyDescent="0.2">
      <c r="BJ7007" s="201"/>
    </row>
    <row r="7008" spans="62:62" x14ac:dyDescent="0.2">
      <c r="BJ7008" s="201"/>
    </row>
    <row r="7009" spans="62:62" x14ac:dyDescent="0.2">
      <c r="BJ7009" s="201"/>
    </row>
    <row r="7010" spans="62:62" x14ac:dyDescent="0.2">
      <c r="BJ7010" s="201"/>
    </row>
    <row r="7011" spans="62:62" x14ac:dyDescent="0.2">
      <c r="BJ7011" s="201"/>
    </row>
    <row r="7012" spans="62:62" x14ac:dyDescent="0.2">
      <c r="BJ7012" s="201"/>
    </row>
    <row r="7013" spans="62:62" x14ac:dyDescent="0.2">
      <c r="BJ7013" s="201"/>
    </row>
    <row r="7014" spans="62:62" x14ac:dyDescent="0.2">
      <c r="BJ7014" s="201"/>
    </row>
    <row r="7015" spans="62:62" x14ac:dyDescent="0.2">
      <c r="BJ7015" s="201"/>
    </row>
    <row r="7016" spans="62:62" x14ac:dyDescent="0.2">
      <c r="BJ7016" s="201"/>
    </row>
    <row r="7017" spans="62:62" x14ac:dyDescent="0.2">
      <c r="BJ7017" s="201"/>
    </row>
    <row r="7018" spans="62:62" x14ac:dyDescent="0.2">
      <c r="BJ7018" s="201"/>
    </row>
    <row r="7019" spans="62:62" x14ac:dyDescent="0.2">
      <c r="BJ7019" s="201"/>
    </row>
    <row r="7020" spans="62:62" x14ac:dyDescent="0.2">
      <c r="BJ7020" s="201"/>
    </row>
    <row r="7021" spans="62:62" x14ac:dyDescent="0.2">
      <c r="BJ7021" s="201"/>
    </row>
    <row r="7022" spans="62:62" x14ac:dyDescent="0.2">
      <c r="BJ7022" s="201"/>
    </row>
    <row r="7023" spans="62:62" x14ac:dyDescent="0.2">
      <c r="BJ7023" s="201"/>
    </row>
    <row r="7024" spans="62:62" x14ac:dyDescent="0.2">
      <c r="BJ7024" s="201"/>
    </row>
    <row r="7025" spans="62:62" x14ac:dyDescent="0.2">
      <c r="BJ7025" s="201"/>
    </row>
    <row r="7026" spans="62:62" x14ac:dyDescent="0.2">
      <c r="BJ7026" s="201"/>
    </row>
    <row r="7027" spans="62:62" x14ac:dyDescent="0.2">
      <c r="BJ7027" s="201"/>
    </row>
    <row r="7028" spans="62:62" x14ac:dyDescent="0.2">
      <c r="BJ7028" s="201"/>
    </row>
    <row r="7029" spans="62:62" x14ac:dyDescent="0.2">
      <c r="BJ7029" s="201"/>
    </row>
    <row r="7030" spans="62:62" x14ac:dyDescent="0.2">
      <c r="BJ7030" s="201"/>
    </row>
    <row r="7031" spans="62:62" x14ac:dyDescent="0.2">
      <c r="BJ7031" s="201"/>
    </row>
    <row r="7032" spans="62:62" x14ac:dyDescent="0.2">
      <c r="BJ7032" s="201"/>
    </row>
    <row r="7033" spans="62:62" x14ac:dyDescent="0.2">
      <c r="BJ7033" s="201"/>
    </row>
    <row r="7034" spans="62:62" x14ac:dyDescent="0.2">
      <c r="BJ7034" s="201"/>
    </row>
    <row r="7035" spans="62:62" x14ac:dyDescent="0.2">
      <c r="BJ7035" s="201"/>
    </row>
    <row r="7036" spans="62:62" x14ac:dyDescent="0.2">
      <c r="BJ7036" s="201"/>
    </row>
    <row r="7037" spans="62:62" x14ac:dyDescent="0.2">
      <c r="BJ7037" s="201"/>
    </row>
    <row r="7038" spans="62:62" x14ac:dyDescent="0.2">
      <c r="BJ7038" s="201"/>
    </row>
    <row r="7039" spans="62:62" x14ac:dyDescent="0.2">
      <c r="BJ7039" s="201"/>
    </row>
    <row r="7040" spans="62:62" x14ac:dyDescent="0.2">
      <c r="BJ7040" s="201"/>
    </row>
    <row r="7041" spans="62:62" x14ac:dyDescent="0.2">
      <c r="BJ7041" s="201"/>
    </row>
    <row r="7042" spans="62:62" x14ac:dyDescent="0.2">
      <c r="BJ7042" s="201"/>
    </row>
    <row r="7043" spans="62:62" x14ac:dyDescent="0.2">
      <c r="BJ7043" s="201"/>
    </row>
    <row r="7044" spans="62:62" x14ac:dyDescent="0.2">
      <c r="BJ7044" s="201"/>
    </row>
    <row r="7045" spans="62:62" x14ac:dyDescent="0.2">
      <c r="BJ7045" s="201"/>
    </row>
    <row r="7046" spans="62:62" x14ac:dyDescent="0.2">
      <c r="BJ7046" s="201"/>
    </row>
    <row r="7047" spans="62:62" x14ac:dyDescent="0.2">
      <c r="BJ7047" s="201"/>
    </row>
    <row r="7048" spans="62:62" x14ac:dyDescent="0.2">
      <c r="BJ7048" s="201"/>
    </row>
    <row r="7049" spans="62:62" x14ac:dyDescent="0.2">
      <c r="BJ7049" s="201"/>
    </row>
    <row r="7050" spans="62:62" x14ac:dyDescent="0.2">
      <c r="BJ7050" s="201"/>
    </row>
    <row r="7051" spans="62:62" x14ac:dyDescent="0.2">
      <c r="BJ7051" s="201"/>
    </row>
    <row r="7052" spans="62:62" x14ac:dyDescent="0.2">
      <c r="BJ7052" s="201"/>
    </row>
    <row r="7053" spans="62:62" x14ac:dyDescent="0.2">
      <c r="BJ7053" s="201"/>
    </row>
    <row r="7054" spans="62:62" x14ac:dyDescent="0.2">
      <c r="BJ7054" s="201"/>
    </row>
    <row r="7055" spans="62:62" x14ac:dyDescent="0.2">
      <c r="BJ7055" s="201"/>
    </row>
    <row r="7056" spans="62:62" x14ac:dyDescent="0.2">
      <c r="BJ7056" s="201"/>
    </row>
    <row r="7057" spans="62:62" x14ac:dyDescent="0.2">
      <c r="BJ7057" s="201"/>
    </row>
    <row r="7058" spans="62:62" x14ac:dyDescent="0.2">
      <c r="BJ7058" s="201"/>
    </row>
    <row r="7059" spans="62:62" x14ac:dyDescent="0.2">
      <c r="BJ7059" s="201"/>
    </row>
    <row r="7060" spans="62:62" x14ac:dyDescent="0.2">
      <c r="BJ7060" s="201"/>
    </row>
    <row r="7061" spans="62:62" x14ac:dyDescent="0.2">
      <c r="BJ7061" s="201"/>
    </row>
    <row r="7062" spans="62:62" x14ac:dyDescent="0.2">
      <c r="BJ7062" s="201"/>
    </row>
    <row r="7063" spans="62:62" x14ac:dyDescent="0.2">
      <c r="BJ7063" s="201"/>
    </row>
    <row r="7064" spans="62:62" x14ac:dyDescent="0.2">
      <c r="BJ7064" s="201"/>
    </row>
    <row r="7065" spans="62:62" x14ac:dyDescent="0.2">
      <c r="BJ7065" s="201"/>
    </row>
    <row r="7066" spans="62:62" x14ac:dyDescent="0.2">
      <c r="BJ7066" s="201"/>
    </row>
    <row r="7067" spans="62:62" x14ac:dyDescent="0.2">
      <c r="BJ7067" s="201"/>
    </row>
    <row r="7068" spans="62:62" x14ac:dyDescent="0.2">
      <c r="BJ7068" s="201"/>
    </row>
    <row r="7069" spans="62:62" x14ac:dyDescent="0.2">
      <c r="BJ7069" s="201"/>
    </row>
    <row r="7070" spans="62:62" x14ac:dyDescent="0.2">
      <c r="BJ7070" s="201"/>
    </row>
    <row r="7071" spans="62:62" x14ac:dyDescent="0.2">
      <c r="BJ7071" s="201"/>
    </row>
    <row r="7072" spans="62:62" x14ac:dyDescent="0.2">
      <c r="BJ7072" s="201"/>
    </row>
    <row r="7073" spans="62:62" x14ac:dyDescent="0.2">
      <c r="BJ7073" s="201"/>
    </row>
    <row r="7074" spans="62:62" x14ac:dyDescent="0.2">
      <c r="BJ7074" s="201"/>
    </row>
    <row r="7075" spans="62:62" x14ac:dyDescent="0.2">
      <c r="BJ7075" s="201"/>
    </row>
    <row r="7076" spans="62:62" x14ac:dyDescent="0.2">
      <c r="BJ7076" s="201"/>
    </row>
    <row r="7077" spans="62:62" x14ac:dyDescent="0.2">
      <c r="BJ7077" s="201"/>
    </row>
    <row r="7078" spans="62:62" x14ac:dyDescent="0.2">
      <c r="BJ7078" s="201"/>
    </row>
    <row r="7079" spans="62:62" x14ac:dyDescent="0.2">
      <c r="BJ7079" s="201"/>
    </row>
    <row r="7080" spans="62:62" x14ac:dyDescent="0.2">
      <c r="BJ7080" s="201"/>
    </row>
    <row r="7081" spans="62:62" x14ac:dyDescent="0.2">
      <c r="BJ7081" s="201"/>
    </row>
    <row r="7082" spans="62:62" x14ac:dyDescent="0.2">
      <c r="BJ7082" s="201"/>
    </row>
    <row r="7083" spans="62:62" x14ac:dyDescent="0.2">
      <c r="BJ7083" s="201"/>
    </row>
    <row r="7084" spans="62:62" x14ac:dyDescent="0.2">
      <c r="BJ7084" s="201"/>
    </row>
    <row r="7085" spans="62:62" x14ac:dyDescent="0.2">
      <c r="BJ7085" s="201"/>
    </row>
    <row r="7086" spans="62:62" x14ac:dyDescent="0.2">
      <c r="BJ7086" s="201"/>
    </row>
    <row r="7087" spans="62:62" x14ac:dyDescent="0.2">
      <c r="BJ7087" s="201"/>
    </row>
    <row r="7088" spans="62:62" x14ac:dyDescent="0.2">
      <c r="BJ7088" s="201"/>
    </row>
    <row r="7089" spans="62:62" x14ac:dyDescent="0.2">
      <c r="BJ7089" s="201"/>
    </row>
    <row r="7090" spans="62:62" x14ac:dyDescent="0.2">
      <c r="BJ7090" s="201"/>
    </row>
    <row r="7091" spans="62:62" x14ac:dyDescent="0.2">
      <c r="BJ7091" s="201"/>
    </row>
    <row r="7092" spans="62:62" x14ac:dyDescent="0.2">
      <c r="BJ7092" s="201"/>
    </row>
    <row r="7093" spans="62:62" x14ac:dyDescent="0.2">
      <c r="BJ7093" s="201"/>
    </row>
    <row r="7094" spans="62:62" x14ac:dyDescent="0.2">
      <c r="BJ7094" s="201"/>
    </row>
    <row r="7095" spans="62:62" x14ac:dyDescent="0.2">
      <c r="BJ7095" s="201"/>
    </row>
    <row r="7096" spans="62:62" x14ac:dyDescent="0.2">
      <c r="BJ7096" s="201"/>
    </row>
    <row r="7097" spans="62:62" x14ac:dyDescent="0.2">
      <c r="BJ7097" s="201"/>
    </row>
    <row r="7098" spans="62:62" x14ac:dyDescent="0.2">
      <c r="BJ7098" s="201"/>
    </row>
    <row r="7099" spans="62:62" x14ac:dyDescent="0.2">
      <c r="BJ7099" s="201"/>
    </row>
    <row r="7100" spans="62:62" x14ac:dyDescent="0.2">
      <c r="BJ7100" s="201"/>
    </row>
    <row r="7101" spans="62:62" x14ac:dyDescent="0.2">
      <c r="BJ7101" s="201"/>
    </row>
    <row r="7102" spans="62:62" x14ac:dyDescent="0.2">
      <c r="BJ7102" s="201"/>
    </row>
    <row r="7103" spans="62:62" x14ac:dyDescent="0.2">
      <c r="BJ7103" s="201"/>
    </row>
    <row r="7104" spans="62:62" x14ac:dyDescent="0.2">
      <c r="BJ7104" s="201"/>
    </row>
    <row r="7105" spans="62:62" x14ac:dyDescent="0.2">
      <c r="BJ7105" s="201"/>
    </row>
    <row r="7106" spans="62:62" x14ac:dyDescent="0.2">
      <c r="BJ7106" s="201"/>
    </row>
    <row r="7107" spans="62:62" x14ac:dyDescent="0.2">
      <c r="BJ7107" s="201"/>
    </row>
    <row r="7108" spans="62:62" x14ac:dyDescent="0.2">
      <c r="BJ7108" s="201"/>
    </row>
    <row r="7109" spans="62:62" x14ac:dyDescent="0.2">
      <c r="BJ7109" s="201"/>
    </row>
    <row r="7110" spans="62:62" x14ac:dyDescent="0.2">
      <c r="BJ7110" s="201"/>
    </row>
    <row r="7111" spans="62:62" x14ac:dyDescent="0.2">
      <c r="BJ7111" s="201"/>
    </row>
    <row r="7112" spans="62:62" x14ac:dyDescent="0.2">
      <c r="BJ7112" s="201"/>
    </row>
    <row r="7113" spans="62:62" x14ac:dyDescent="0.2">
      <c r="BJ7113" s="201"/>
    </row>
    <row r="7114" spans="62:62" x14ac:dyDescent="0.2">
      <c r="BJ7114" s="201"/>
    </row>
    <row r="7115" spans="62:62" x14ac:dyDescent="0.2">
      <c r="BJ7115" s="201"/>
    </row>
    <row r="7116" spans="62:62" x14ac:dyDescent="0.2">
      <c r="BJ7116" s="201"/>
    </row>
    <row r="7117" spans="62:62" x14ac:dyDescent="0.2">
      <c r="BJ7117" s="201"/>
    </row>
    <row r="7118" spans="62:62" x14ac:dyDescent="0.2">
      <c r="BJ7118" s="201"/>
    </row>
    <row r="7119" spans="62:62" x14ac:dyDescent="0.2">
      <c r="BJ7119" s="201"/>
    </row>
    <row r="7120" spans="62:62" x14ac:dyDescent="0.2">
      <c r="BJ7120" s="201"/>
    </row>
    <row r="7121" spans="62:62" x14ac:dyDescent="0.2">
      <c r="BJ7121" s="201"/>
    </row>
    <row r="7122" spans="62:62" x14ac:dyDescent="0.2">
      <c r="BJ7122" s="201"/>
    </row>
    <row r="7123" spans="62:62" x14ac:dyDescent="0.2">
      <c r="BJ7123" s="201"/>
    </row>
    <row r="7124" spans="62:62" x14ac:dyDescent="0.2">
      <c r="BJ7124" s="201"/>
    </row>
    <row r="7125" spans="62:62" x14ac:dyDescent="0.2">
      <c r="BJ7125" s="201"/>
    </row>
    <row r="7126" spans="62:62" x14ac:dyDescent="0.2">
      <c r="BJ7126" s="201"/>
    </row>
    <row r="7127" spans="62:62" x14ac:dyDescent="0.2">
      <c r="BJ7127" s="201"/>
    </row>
    <row r="7128" spans="62:62" x14ac:dyDescent="0.2">
      <c r="BJ7128" s="201"/>
    </row>
    <row r="7129" spans="62:62" x14ac:dyDescent="0.2">
      <c r="BJ7129" s="201"/>
    </row>
    <row r="7130" spans="62:62" x14ac:dyDescent="0.2">
      <c r="BJ7130" s="201"/>
    </row>
    <row r="7131" spans="62:62" x14ac:dyDescent="0.2">
      <c r="BJ7131" s="201"/>
    </row>
    <row r="7132" spans="62:62" x14ac:dyDescent="0.2">
      <c r="BJ7132" s="201"/>
    </row>
    <row r="7133" spans="62:62" x14ac:dyDescent="0.2">
      <c r="BJ7133" s="201"/>
    </row>
    <row r="7134" spans="62:62" x14ac:dyDescent="0.2">
      <c r="BJ7134" s="201"/>
    </row>
    <row r="7135" spans="62:62" x14ac:dyDescent="0.2">
      <c r="BJ7135" s="201"/>
    </row>
    <row r="7136" spans="62:62" x14ac:dyDescent="0.2">
      <c r="BJ7136" s="201"/>
    </row>
    <row r="7137" spans="62:62" x14ac:dyDescent="0.2">
      <c r="BJ7137" s="201"/>
    </row>
    <row r="7138" spans="62:62" x14ac:dyDescent="0.2">
      <c r="BJ7138" s="201"/>
    </row>
    <row r="7139" spans="62:62" x14ac:dyDescent="0.2">
      <c r="BJ7139" s="201"/>
    </row>
    <row r="7140" spans="62:62" x14ac:dyDescent="0.2">
      <c r="BJ7140" s="201"/>
    </row>
    <row r="7141" spans="62:62" x14ac:dyDescent="0.2">
      <c r="BJ7141" s="201"/>
    </row>
    <row r="7142" spans="62:62" x14ac:dyDescent="0.2">
      <c r="BJ7142" s="201"/>
    </row>
    <row r="7143" spans="62:62" x14ac:dyDescent="0.2">
      <c r="BJ7143" s="201"/>
    </row>
    <row r="7144" spans="62:62" x14ac:dyDescent="0.2">
      <c r="BJ7144" s="201"/>
    </row>
    <row r="7145" spans="62:62" x14ac:dyDescent="0.2">
      <c r="BJ7145" s="201"/>
    </row>
    <row r="7146" spans="62:62" x14ac:dyDescent="0.2">
      <c r="BJ7146" s="201"/>
    </row>
    <row r="7147" spans="62:62" x14ac:dyDescent="0.2">
      <c r="BJ7147" s="201"/>
    </row>
    <row r="7148" spans="62:62" x14ac:dyDescent="0.2">
      <c r="BJ7148" s="201"/>
    </row>
    <row r="7149" spans="62:62" x14ac:dyDescent="0.2">
      <c r="BJ7149" s="201"/>
    </row>
    <row r="7150" spans="62:62" x14ac:dyDescent="0.2">
      <c r="BJ7150" s="201"/>
    </row>
    <row r="7151" spans="62:62" x14ac:dyDescent="0.2">
      <c r="BJ7151" s="201"/>
    </row>
    <row r="7152" spans="62:62" x14ac:dyDescent="0.2">
      <c r="BJ7152" s="201"/>
    </row>
    <row r="7153" spans="62:62" x14ac:dyDescent="0.2">
      <c r="BJ7153" s="201"/>
    </row>
    <row r="7154" spans="62:62" x14ac:dyDescent="0.2">
      <c r="BJ7154" s="201"/>
    </row>
    <row r="7155" spans="62:62" x14ac:dyDescent="0.2">
      <c r="BJ7155" s="201"/>
    </row>
    <row r="7156" spans="62:62" x14ac:dyDescent="0.2">
      <c r="BJ7156" s="201"/>
    </row>
    <row r="7157" spans="62:62" x14ac:dyDescent="0.2">
      <c r="BJ7157" s="201"/>
    </row>
    <row r="7158" spans="62:62" x14ac:dyDescent="0.2">
      <c r="BJ7158" s="201"/>
    </row>
    <row r="7159" spans="62:62" x14ac:dyDescent="0.2">
      <c r="BJ7159" s="201"/>
    </row>
    <row r="7160" spans="62:62" x14ac:dyDescent="0.2">
      <c r="BJ7160" s="201"/>
    </row>
    <row r="7161" spans="62:62" x14ac:dyDescent="0.2">
      <c r="BJ7161" s="201"/>
    </row>
    <row r="7162" spans="62:62" x14ac:dyDescent="0.2">
      <c r="BJ7162" s="201"/>
    </row>
    <row r="7163" spans="62:62" x14ac:dyDescent="0.2">
      <c r="BJ7163" s="201"/>
    </row>
    <row r="7164" spans="62:62" x14ac:dyDescent="0.2">
      <c r="BJ7164" s="201"/>
    </row>
    <row r="7165" spans="62:62" x14ac:dyDescent="0.2">
      <c r="BJ7165" s="201"/>
    </row>
    <row r="7166" spans="62:62" x14ac:dyDescent="0.2">
      <c r="BJ7166" s="201"/>
    </row>
    <row r="7167" spans="62:62" x14ac:dyDescent="0.2">
      <c r="BJ7167" s="201"/>
    </row>
    <row r="7168" spans="62:62" x14ac:dyDescent="0.2">
      <c r="BJ7168" s="201"/>
    </row>
    <row r="7169" spans="62:62" x14ac:dyDescent="0.2">
      <c r="BJ7169" s="201"/>
    </row>
    <row r="7170" spans="62:62" x14ac:dyDescent="0.2">
      <c r="BJ7170" s="201"/>
    </row>
    <row r="7171" spans="62:62" x14ac:dyDescent="0.2">
      <c r="BJ7171" s="201"/>
    </row>
    <row r="7172" spans="62:62" x14ac:dyDescent="0.2">
      <c r="BJ7172" s="201"/>
    </row>
    <row r="7173" spans="62:62" x14ac:dyDescent="0.2">
      <c r="BJ7173" s="201"/>
    </row>
    <row r="7174" spans="62:62" x14ac:dyDescent="0.2">
      <c r="BJ7174" s="201"/>
    </row>
    <row r="7175" spans="62:62" x14ac:dyDescent="0.2">
      <c r="BJ7175" s="201"/>
    </row>
    <row r="7176" spans="62:62" x14ac:dyDescent="0.2">
      <c r="BJ7176" s="201"/>
    </row>
    <row r="7177" spans="62:62" x14ac:dyDescent="0.2">
      <c r="BJ7177" s="201"/>
    </row>
    <row r="7178" spans="62:62" x14ac:dyDescent="0.2">
      <c r="BJ7178" s="201"/>
    </row>
    <row r="7179" spans="62:62" x14ac:dyDescent="0.2">
      <c r="BJ7179" s="201"/>
    </row>
    <row r="7180" spans="62:62" x14ac:dyDescent="0.2">
      <c r="BJ7180" s="201"/>
    </row>
    <row r="7181" spans="62:62" x14ac:dyDescent="0.2">
      <c r="BJ7181" s="201"/>
    </row>
    <row r="7182" spans="62:62" x14ac:dyDescent="0.2">
      <c r="BJ7182" s="201"/>
    </row>
    <row r="7183" spans="62:62" x14ac:dyDescent="0.2">
      <c r="BJ7183" s="201"/>
    </row>
    <row r="7184" spans="62:62" x14ac:dyDescent="0.2">
      <c r="BJ7184" s="201"/>
    </row>
    <row r="7185" spans="62:62" x14ac:dyDescent="0.2">
      <c r="BJ7185" s="201"/>
    </row>
    <row r="7186" spans="62:62" x14ac:dyDescent="0.2">
      <c r="BJ7186" s="201"/>
    </row>
    <row r="7187" spans="62:62" x14ac:dyDescent="0.2">
      <c r="BJ7187" s="201"/>
    </row>
    <row r="7188" spans="62:62" x14ac:dyDescent="0.2">
      <c r="BJ7188" s="201"/>
    </row>
    <row r="7189" spans="62:62" x14ac:dyDescent="0.2">
      <c r="BJ7189" s="201"/>
    </row>
    <row r="7190" spans="62:62" x14ac:dyDescent="0.2">
      <c r="BJ7190" s="201"/>
    </row>
    <row r="7191" spans="62:62" x14ac:dyDescent="0.2">
      <c r="BJ7191" s="201"/>
    </row>
    <row r="7192" spans="62:62" x14ac:dyDescent="0.2">
      <c r="BJ7192" s="201"/>
    </row>
    <row r="7193" spans="62:62" x14ac:dyDescent="0.2">
      <c r="BJ7193" s="201"/>
    </row>
    <row r="7194" spans="62:62" x14ac:dyDescent="0.2">
      <c r="BJ7194" s="201"/>
    </row>
    <row r="7195" spans="62:62" x14ac:dyDescent="0.2">
      <c r="BJ7195" s="201"/>
    </row>
    <row r="7196" spans="62:62" x14ac:dyDescent="0.2">
      <c r="BJ7196" s="201"/>
    </row>
    <row r="7197" spans="62:62" x14ac:dyDescent="0.2">
      <c r="BJ7197" s="201"/>
    </row>
    <row r="7198" spans="62:62" x14ac:dyDescent="0.2">
      <c r="BJ7198" s="201"/>
    </row>
    <row r="7199" spans="62:62" x14ac:dyDescent="0.2">
      <c r="BJ7199" s="201"/>
    </row>
    <row r="7200" spans="62:62" x14ac:dyDescent="0.2">
      <c r="BJ7200" s="201"/>
    </row>
    <row r="7201" spans="62:62" x14ac:dyDescent="0.2">
      <c r="BJ7201" s="201"/>
    </row>
    <row r="7202" spans="62:62" x14ac:dyDescent="0.2">
      <c r="BJ7202" s="201"/>
    </row>
    <row r="7203" spans="62:62" x14ac:dyDescent="0.2">
      <c r="BJ7203" s="201"/>
    </row>
    <row r="7204" spans="62:62" x14ac:dyDescent="0.2">
      <c r="BJ7204" s="201"/>
    </row>
    <row r="7205" spans="62:62" x14ac:dyDescent="0.2">
      <c r="BJ7205" s="201"/>
    </row>
    <row r="7206" spans="62:62" x14ac:dyDescent="0.2">
      <c r="BJ7206" s="201"/>
    </row>
    <row r="7207" spans="62:62" x14ac:dyDescent="0.2">
      <c r="BJ7207" s="201"/>
    </row>
    <row r="7208" spans="62:62" x14ac:dyDescent="0.2">
      <c r="BJ7208" s="201"/>
    </row>
    <row r="7209" spans="62:62" x14ac:dyDescent="0.2">
      <c r="BJ7209" s="201"/>
    </row>
    <row r="7210" spans="62:62" x14ac:dyDescent="0.2">
      <c r="BJ7210" s="201"/>
    </row>
    <row r="7211" spans="62:62" x14ac:dyDescent="0.2">
      <c r="BJ7211" s="201"/>
    </row>
    <row r="7212" spans="62:62" x14ac:dyDescent="0.2">
      <c r="BJ7212" s="201"/>
    </row>
    <row r="7213" spans="62:62" x14ac:dyDescent="0.2">
      <c r="BJ7213" s="201"/>
    </row>
    <row r="7214" spans="62:62" x14ac:dyDescent="0.2">
      <c r="BJ7214" s="201"/>
    </row>
    <row r="7215" spans="62:62" x14ac:dyDescent="0.2">
      <c r="BJ7215" s="201"/>
    </row>
    <row r="7216" spans="62:62" x14ac:dyDescent="0.2">
      <c r="BJ7216" s="201"/>
    </row>
    <row r="7217" spans="62:62" x14ac:dyDescent="0.2">
      <c r="BJ7217" s="201"/>
    </row>
    <row r="7218" spans="62:62" x14ac:dyDescent="0.2">
      <c r="BJ7218" s="201"/>
    </row>
    <row r="7219" spans="62:62" x14ac:dyDescent="0.2">
      <c r="BJ7219" s="201"/>
    </row>
    <row r="7220" spans="62:62" x14ac:dyDescent="0.2">
      <c r="BJ7220" s="201"/>
    </row>
    <row r="7221" spans="62:62" x14ac:dyDescent="0.2">
      <c r="BJ7221" s="201"/>
    </row>
    <row r="7222" spans="62:62" x14ac:dyDescent="0.2">
      <c r="BJ7222" s="201"/>
    </row>
    <row r="7223" spans="62:62" x14ac:dyDescent="0.2">
      <c r="BJ7223" s="201"/>
    </row>
    <row r="7224" spans="62:62" x14ac:dyDescent="0.2">
      <c r="BJ7224" s="201"/>
    </row>
    <row r="7225" spans="62:62" x14ac:dyDescent="0.2">
      <c r="BJ7225" s="201"/>
    </row>
    <row r="7226" spans="62:62" x14ac:dyDescent="0.2">
      <c r="BJ7226" s="201"/>
    </row>
    <row r="7227" spans="62:62" x14ac:dyDescent="0.2">
      <c r="BJ7227" s="201"/>
    </row>
    <row r="7228" spans="62:62" x14ac:dyDescent="0.2">
      <c r="BJ7228" s="201"/>
    </row>
    <row r="7229" spans="62:62" x14ac:dyDescent="0.2">
      <c r="BJ7229" s="201"/>
    </row>
    <row r="7230" spans="62:62" x14ac:dyDescent="0.2">
      <c r="BJ7230" s="201"/>
    </row>
    <row r="7231" spans="62:62" x14ac:dyDescent="0.2">
      <c r="BJ7231" s="201"/>
    </row>
    <row r="7232" spans="62:62" x14ac:dyDescent="0.2">
      <c r="BJ7232" s="201"/>
    </row>
    <row r="7233" spans="62:62" x14ac:dyDescent="0.2">
      <c r="BJ7233" s="201"/>
    </row>
    <row r="7234" spans="62:62" x14ac:dyDescent="0.2">
      <c r="BJ7234" s="201"/>
    </row>
    <row r="7235" spans="62:62" x14ac:dyDescent="0.2">
      <c r="BJ7235" s="201"/>
    </row>
    <row r="7236" spans="62:62" x14ac:dyDescent="0.2">
      <c r="BJ7236" s="201"/>
    </row>
    <row r="7237" spans="62:62" x14ac:dyDescent="0.2">
      <c r="BJ7237" s="201"/>
    </row>
    <row r="7238" spans="62:62" x14ac:dyDescent="0.2">
      <c r="BJ7238" s="201"/>
    </row>
    <row r="7239" spans="62:62" x14ac:dyDescent="0.2">
      <c r="BJ7239" s="201"/>
    </row>
    <row r="7240" spans="62:62" x14ac:dyDescent="0.2">
      <c r="BJ7240" s="201"/>
    </row>
    <row r="7241" spans="62:62" x14ac:dyDescent="0.2">
      <c r="BJ7241" s="201"/>
    </row>
    <row r="7242" spans="62:62" x14ac:dyDescent="0.2">
      <c r="BJ7242" s="201"/>
    </row>
    <row r="7243" spans="62:62" x14ac:dyDescent="0.2">
      <c r="BJ7243" s="201"/>
    </row>
    <row r="7244" spans="62:62" x14ac:dyDescent="0.2">
      <c r="BJ7244" s="201"/>
    </row>
    <row r="7245" spans="62:62" x14ac:dyDescent="0.2">
      <c r="BJ7245" s="201"/>
    </row>
    <row r="7246" spans="62:62" x14ac:dyDescent="0.2">
      <c r="BJ7246" s="201"/>
    </row>
    <row r="7247" spans="62:62" x14ac:dyDescent="0.2">
      <c r="BJ7247" s="201"/>
    </row>
    <row r="7248" spans="62:62" x14ac:dyDescent="0.2">
      <c r="BJ7248" s="201"/>
    </row>
    <row r="7249" spans="62:62" x14ac:dyDescent="0.2">
      <c r="BJ7249" s="201"/>
    </row>
    <row r="7250" spans="62:62" x14ac:dyDescent="0.2">
      <c r="BJ7250" s="201"/>
    </row>
    <row r="7251" spans="62:62" x14ac:dyDescent="0.2">
      <c r="BJ7251" s="201"/>
    </row>
    <row r="7252" spans="62:62" x14ac:dyDescent="0.2">
      <c r="BJ7252" s="201"/>
    </row>
    <row r="7253" spans="62:62" x14ac:dyDescent="0.2">
      <c r="BJ7253" s="201"/>
    </row>
    <row r="7254" spans="62:62" x14ac:dyDescent="0.2">
      <c r="BJ7254" s="201"/>
    </row>
    <row r="7255" spans="62:62" x14ac:dyDescent="0.2">
      <c r="BJ7255" s="201"/>
    </row>
    <row r="7256" spans="62:62" x14ac:dyDescent="0.2">
      <c r="BJ7256" s="201"/>
    </row>
    <row r="7257" spans="62:62" x14ac:dyDescent="0.2">
      <c r="BJ7257" s="201"/>
    </row>
    <row r="7258" spans="62:62" x14ac:dyDescent="0.2">
      <c r="BJ7258" s="201"/>
    </row>
    <row r="7259" spans="62:62" x14ac:dyDescent="0.2">
      <c r="BJ7259" s="201"/>
    </row>
    <row r="7260" spans="62:62" x14ac:dyDescent="0.2">
      <c r="BJ7260" s="201"/>
    </row>
    <row r="7261" spans="62:62" x14ac:dyDescent="0.2">
      <c r="BJ7261" s="201"/>
    </row>
    <row r="7262" spans="62:62" x14ac:dyDescent="0.2">
      <c r="BJ7262" s="201"/>
    </row>
    <row r="7263" spans="62:62" x14ac:dyDescent="0.2">
      <c r="BJ7263" s="201"/>
    </row>
    <row r="7264" spans="62:62" x14ac:dyDescent="0.2">
      <c r="BJ7264" s="201"/>
    </row>
    <row r="7265" spans="62:62" x14ac:dyDescent="0.2">
      <c r="BJ7265" s="201"/>
    </row>
    <row r="7266" spans="62:62" x14ac:dyDescent="0.2">
      <c r="BJ7266" s="201"/>
    </row>
    <row r="7267" spans="62:62" x14ac:dyDescent="0.2">
      <c r="BJ7267" s="201"/>
    </row>
    <row r="7268" spans="62:62" x14ac:dyDescent="0.2">
      <c r="BJ7268" s="201"/>
    </row>
    <row r="7269" spans="62:62" x14ac:dyDescent="0.2">
      <c r="BJ7269" s="201"/>
    </row>
    <row r="7270" spans="62:62" x14ac:dyDescent="0.2">
      <c r="BJ7270" s="201"/>
    </row>
    <row r="7271" spans="62:62" x14ac:dyDescent="0.2">
      <c r="BJ7271" s="201"/>
    </row>
    <row r="7272" spans="62:62" x14ac:dyDescent="0.2">
      <c r="BJ7272" s="201"/>
    </row>
    <row r="7273" spans="62:62" x14ac:dyDescent="0.2">
      <c r="BJ7273" s="201"/>
    </row>
    <row r="7274" spans="62:62" x14ac:dyDescent="0.2">
      <c r="BJ7274" s="201"/>
    </row>
    <row r="7275" spans="62:62" x14ac:dyDescent="0.2">
      <c r="BJ7275" s="201"/>
    </row>
    <row r="7276" spans="62:62" x14ac:dyDescent="0.2">
      <c r="BJ7276" s="201"/>
    </row>
    <row r="7277" spans="62:62" x14ac:dyDescent="0.2">
      <c r="BJ7277" s="201"/>
    </row>
    <row r="7278" spans="62:62" x14ac:dyDescent="0.2">
      <c r="BJ7278" s="201"/>
    </row>
    <row r="7279" spans="62:62" x14ac:dyDescent="0.2">
      <c r="BJ7279" s="201"/>
    </row>
    <row r="7280" spans="62:62" x14ac:dyDescent="0.2">
      <c r="BJ7280" s="201"/>
    </row>
    <row r="7281" spans="62:62" x14ac:dyDescent="0.2">
      <c r="BJ7281" s="201"/>
    </row>
    <row r="7282" spans="62:62" x14ac:dyDescent="0.2">
      <c r="BJ7282" s="201"/>
    </row>
    <row r="7283" spans="62:62" x14ac:dyDescent="0.2">
      <c r="BJ7283" s="201"/>
    </row>
    <row r="7284" spans="62:62" x14ac:dyDescent="0.2">
      <c r="BJ7284" s="201"/>
    </row>
    <row r="7285" spans="62:62" x14ac:dyDescent="0.2">
      <c r="BJ7285" s="201"/>
    </row>
    <row r="7286" spans="62:62" x14ac:dyDescent="0.2">
      <c r="BJ7286" s="201"/>
    </row>
    <row r="7287" spans="62:62" x14ac:dyDescent="0.2">
      <c r="BJ7287" s="201"/>
    </row>
    <row r="7288" spans="62:62" x14ac:dyDescent="0.2">
      <c r="BJ7288" s="201"/>
    </row>
    <row r="7289" spans="62:62" x14ac:dyDescent="0.2">
      <c r="BJ7289" s="201"/>
    </row>
    <row r="7290" spans="62:62" x14ac:dyDescent="0.2">
      <c r="BJ7290" s="201"/>
    </row>
    <row r="7291" spans="62:62" x14ac:dyDescent="0.2">
      <c r="BJ7291" s="201"/>
    </row>
    <row r="7292" spans="62:62" x14ac:dyDescent="0.2">
      <c r="BJ7292" s="201"/>
    </row>
    <row r="7293" spans="62:62" x14ac:dyDescent="0.2">
      <c r="BJ7293" s="201"/>
    </row>
    <row r="7294" spans="62:62" x14ac:dyDescent="0.2">
      <c r="BJ7294" s="201"/>
    </row>
    <row r="7295" spans="62:62" x14ac:dyDescent="0.2">
      <c r="BJ7295" s="201"/>
    </row>
    <row r="7296" spans="62:62" x14ac:dyDescent="0.2">
      <c r="BJ7296" s="201"/>
    </row>
    <row r="7297" spans="62:62" x14ac:dyDescent="0.2">
      <c r="BJ7297" s="201"/>
    </row>
    <row r="7298" spans="62:62" x14ac:dyDescent="0.2">
      <c r="BJ7298" s="201"/>
    </row>
    <row r="7299" spans="62:62" x14ac:dyDescent="0.2">
      <c r="BJ7299" s="201"/>
    </row>
    <row r="7300" spans="62:62" x14ac:dyDescent="0.2">
      <c r="BJ7300" s="201"/>
    </row>
    <row r="7301" spans="62:62" x14ac:dyDescent="0.2">
      <c r="BJ7301" s="201"/>
    </row>
    <row r="7302" spans="62:62" x14ac:dyDescent="0.2">
      <c r="BJ7302" s="201"/>
    </row>
    <row r="7303" spans="62:62" x14ac:dyDescent="0.2">
      <c r="BJ7303" s="201"/>
    </row>
    <row r="7304" spans="62:62" x14ac:dyDescent="0.2">
      <c r="BJ7304" s="201"/>
    </row>
    <row r="7305" spans="62:62" x14ac:dyDescent="0.2">
      <c r="BJ7305" s="201"/>
    </row>
    <row r="7306" spans="62:62" x14ac:dyDescent="0.2">
      <c r="BJ7306" s="201"/>
    </row>
    <row r="7307" spans="62:62" x14ac:dyDescent="0.2">
      <c r="BJ7307" s="201"/>
    </row>
    <row r="7308" spans="62:62" x14ac:dyDescent="0.2">
      <c r="BJ7308" s="201"/>
    </row>
    <row r="7309" spans="62:62" x14ac:dyDescent="0.2">
      <c r="BJ7309" s="201"/>
    </row>
    <row r="7310" spans="62:62" x14ac:dyDescent="0.2">
      <c r="BJ7310" s="201"/>
    </row>
    <row r="7311" spans="62:62" x14ac:dyDescent="0.2">
      <c r="BJ7311" s="201"/>
    </row>
    <row r="7312" spans="62:62" x14ac:dyDescent="0.2">
      <c r="BJ7312" s="201"/>
    </row>
    <row r="7313" spans="62:62" x14ac:dyDescent="0.2">
      <c r="BJ7313" s="201"/>
    </row>
    <row r="7314" spans="62:62" x14ac:dyDescent="0.2">
      <c r="BJ7314" s="201"/>
    </row>
    <row r="7315" spans="62:62" x14ac:dyDescent="0.2">
      <c r="BJ7315" s="201"/>
    </row>
    <row r="7316" spans="62:62" x14ac:dyDescent="0.2">
      <c r="BJ7316" s="201"/>
    </row>
    <row r="7317" spans="62:62" x14ac:dyDescent="0.2">
      <c r="BJ7317" s="201"/>
    </row>
    <row r="7318" spans="62:62" x14ac:dyDescent="0.2">
      <c r="BJ7318" s="201"/>
    </row>
    <row r="7319" spans="62:62" x14ac:dyDescent="0.2">
      <c r="BJ7319" s="201"/>
    </row>
    <row r="7320" spans="62:62" x14ac:dyDescent="0.2">
      <c r="BJ7320" s="201"/>
    </row>
    <row r="7321" spans="62:62" x14ac:dyDescent="0.2">
      <c r="BJ7321" s="201"/>
    </row>
    <row r="7322" spans="62:62" x14ac:dyDescent="0.2">
      <c r="BJ7322" s="201"/>
    </row>
    <row r="7323" spans="62:62" x14ac:dyDescent="0.2">
      <c r="BJ7323" s="201"/>
    </row>
    <row r="7324" spans="62:62" x14ac:dyDescent="0.2">
      <c r="BJ7324" s="201"/>
    </row>
    <row r="7325" spans="62:62" x14ac:dyDescent="0.2">
      <c r="BJ7325" s="201"/>
    </row>
    <row r="7326" spans="62:62" x14ac:dyDescent="0.2">
      <c r="BJ7326" s="201"/>
    </row>
    <row r="7327" spans="62:62" x14ac:dyDescent="0.2">
      <c r="BJ7327" s="201"/>
    </row>
    <row r="7328" spans="62:62" x14ac:dyDescent="0.2">
      <c r="BJ7328" s="201"/>
    </row>
    <row r="7329" spans="62:62" x14ac:dyDescent="0.2">
      <c r="BJ7329" s="201"/>
    </row>
    <row r="7330" spans="62:62" x14ac:dyDescent="0.2">
      <c r="BJ7330" s="201"/>
    </row>
    <row r="7331" spans="62:62" x14ac:dyDescent="0.2">
      <c r="BJ7331" s="201"/>
    </row>
    <row r="7332" spans="62:62" x14ac:dyDescent="0.2">
      <c r="BJ7332" s="201"/>
    </row>
    <row r="7333" spans="62:62" x14ac:dyDescent="0.2">
      <c r="BJ7333" s="201"/>
    </row>
    <row r="7334" spans="62:62" x14ac:dyDescent="0.2">
      <c r="BJ7334" s="201"/>
    </row>
    <row r="7335" spans="62:62" x14ac:dyDescent="0.2">
      <c r="BJ7335" s="201"/>
    </row>
    <row r="7336" spans="62:62" x14ac:dyDescent="0.2">
      <c r="BJ7336" s="201"/>
    </row>
    <row r="7337" spans="62:62" x14ac:dyDescent="0.2">
      <c r="BJ7337" s="201"/>
    </row>
    <row r="7338" spans="62:62" x14ac:dyDescent="0.2">
      <c r="BJ7338" s="201"/>
    </row>
    <row r="7339" spans="62:62" x14ac:dyDescent="0.2">
      <c r="BJ7339" s="201"/>
    </row>
    <row r="7340" spans="62:62" x14ac:dyDescent="0.2">
      <c r="BJ7340" s="201"/>
    </row>
    <row r="7341" spans="62:62" x14ac:dyDescent="0.2">
      <c r="BJ7341" s="201"/>
    </row>
    <row r="7342" spans="62:62" x14ac:dyDescent="0.2">
      <c r="BJ7342" s="201"/>
    </row>
    <row r="7343" spans="62:62" x14ac:dyDescent="0.2">
      <c r="BJ7343" s="201"/>
    </row>
    <row r="7344" spans="62:62" x14ac:dyDescent="0.2">
      <c r="BJ7344" s="201"/>
    </row>
    <row r="7345" spans="62:62" x14ac:dyDescent="0.2">
      <c r="BJ7345" s="201"/>
    </row>
    <row r="7346" spans="62:62" x14ac:dyDescent="0.2">
      <c r="BJ7346" s="201"/>
    </row>
    <row r="7347" spans="62:62" x14ac:dyDescent="0.2">
      <c r="BJ7347" s="201"/>
    </row>
    <row r="7348" spans="62:62" x14ac:dyDescent="0.2">
      <c r="BJ7348" s="201"/>
    </row>
    <row r="7349" spans="62:62" x14ac:dyDescent="0.2">
      <c r="BJ7349" s="201"/>
    </row>
    <row r="7350" spans="62:62" x14ac:dyDescent="0.2">
      <c r="BJ7350" s="201"/>
    </row>
    <row r="7351" spans="62:62" x14ac:dyDescent="0.2">
      <c r="BJ7351" s="201"/>
    </row>
    <row r="7352" spans="62:62" x14ac:dyDescent="0.2">
      <c r="BJ7352" s="201"/>
    </row>
    <row r="7353" spans="62:62" x14ac:dyDescent="0.2">
      <c r="BJ7353" s="201"/>
    </row>
    <row r="7354" spans="62:62" x14ac:dyDescent="0.2">
      <c r="BJ7354" s="201"/>
    </row>
    <row r="7355" spans="62:62" x14ac:dyDescent="0.2">
      <c r="BJ7355" s="201"/>
    </row>
    <row r="7356" spans="62:62" x14ac:dyDescent="0.2">
      <c r="BJ7356" s="201"/>
    </row>
    <row r="7357" spans="62:62" x14ac:dyDescent="0.2">
      <c r="BJ7357" s="201"/>
    </row>
    <row r="7358" spans="62:62" x14ac:dyDescent="0.2">
      <c r="BJ7358" s="201"/>
    </row>
    <row r="7359" spans="62:62" x14ac:dyDescent="0.2">
      <c r="BJ7359" s="201"/>
    </row>
    <row r="7360" spans="62:62" x14ac:dyDescent="0.2">
      <c r="BJ7360" s="201"/>
    </row>
    <row r="7361" spans="62:62" x14ac:dyDescent="0.2">
      <c r="BJ7361" s="201"/>
    </row>
    <row r="7362" spans="62:62" x14ac:dyDescent="0.2">
      <c r="BJ7362" s="201"/>
    </row>
    <row r="7363" spans="62:62" x14ac:dyDescent="0.2">
      <c r="BJ7363" s="201"/>
    </row>
    <row r="7364" spans="62:62" x14ac:dyDescent="0.2">
      <c r="BJ7364" s="201"/>
    </row>
    <row r="7365" spans="62:62" x14ac:dyDescent="0.2">
      <c r="BJ7365" s="201"/>
    </row>
    <row r="7366" spans="62:62" x14ac:dyDescent="0.2">
      <c r="BJ7366" s="201"/>
    </row>
    <row r="7367" spans="62:62" x14ac:dyDescent="0.2">
      <c r="BJ7367" s="201"/>
    </row>
    <row r="7368" spans="62:62" x14ac:dyDescent="0.2">
      <c r="BJ7368" s="201"/>
    </row>
    <row r="7369" spans="62:62" x14ac:dyDescent="0.2">
      <c r="BJ7369" s="201"/>
    </row>
    <row r="7370" spans="62:62" x14ac:dyDescent="0.2">
      <c r="BJ7370" s="201"/>
    </row>
    <row r="7371" spans="62:62" x14ac:dyDescent="0.2">
      <c r="BJ7371" s="201"/>
    </row>
    <row r="7372" spans="62:62" x14ac:dyDescent="0.2">
      <c r="BJ7372" s="201"/>
    </row>
    <row r="7373" spans="62:62" x14ac:dyDescent="0.2">
      <c r="BJ7373" s="201"/>
    </row>
    <row r="7374" spans="62:62" x14ac:dyDescent="0.2">
      <c r="BJ7374" s="201"/>
    </row>
    <row r="7375" spans="62:62" x14ac:dyDescent="0.2">
      <c r="BJ7375" s="201"/>
    </row>
    <row r="7376" spans="62:62" x14ac:dyDescent="0.2">
      <c r="BJ7376" s="201"/>
    </row>
    <row r="7377" spans="62:62" x14ac:dyDescent="0.2">
      <c r="BJ7377" s="201"/>
    </row>
    <row r="7378" spans="62:62" x14ac:dyDescent="0.2">
      <c r="BJ7378" s="201"/>
    </row>
    <row r="7379" spans="62:62" x14ac:dyDescent="0.2">
      <c r="BJ7379" s="201"/>
    </row>
    <row r="7380" spans="62:62" x14ac:dyDescent="0.2">
      <c r="BJ7380" s="201"/>
    </row>
    <row r="7381" spans="62:62" x14ac:dyDescent="0.2">
      <c r="BJ7381" s="201"/>
    </row>
    <row r="7382" spans="62:62" x14ac:dyDescent="0.2">
      <c r="BJ7382" s="201"/>
    </row>
    <row r="7383" spans="62:62" x14ac:dyDescent="0.2">
      <c r="BJ7383" s="201"/>
    </row>
    <row r="7384" spans="62:62" x14ac:dyDescent="0.2">
      <c r="BJ7384" s="201"/>
    </row>
    <row r="7385" spans="62:62" x14ac:dyDescent="0.2">
      <c r="BJ7385" s="201"/>
    </row>
    <row r="7386" spans="62:62" x14ac:dyDescent="0.2">
      <c r="BJ7386" s="201"/>
    </row>
    <row r="7387" spans="62:62" x14ac:dyDescent="0.2">
      <c r="BJ7387" s="201"/>
    </row>
    <row r="7388" spans="62:62" x14ac:dyDescent="0.2">
      <c r="BJ7388" s="201"/>
    </row>
    <row r="7389" spans="62:62" x14ac:dyDescent="0.2">
      <c r="BJ7389" s="201"/>
    </row>
    <row r="7390" spans="62:62" x14ac:dyDescent="0.2">
      <c r="BJ7390" s="201"/>
    </row>
    <row r="7391" spans="62:62" x14ac:dyDescent="0.2">
      <c r="BJ7391" s="201"/>
    </row>
    <row r="7392" spans="62:62" x14ac:dyDescent="0.2">
      <c r="BJ7392" s="201"/>
    </row>
    <row r="7393" spans="62:62" x14ac:dyDescent="0.2">
      <c r="BJ7393" s="201"/>
    </row>
    <row r="7394" spans="62:62" x14ac:dyDescent="0.2">
      <c r="BJ7394" s="201"/>
    </row>
    <row r="7395" spans="62:62" x14ac:dyDescent="0.2">
      <c r="BJ7395" s="201"/>
    </row>
    <row r="7396" spans="62:62" x14ac:dyDescent="0.2">
      <c r="BJ7396" s="201"/>
    </row>
    <row r="7397" spans="62:62" x14ac:dyDescent="0.2">
      <c r="BJ7397" s="201"/>
    </row>
    <row r="7398" spans="62:62" x14ac:dyDescent="0.2">
      <c r="BJ7398" s="201"/>
    </row>
    <row r="7399" spans="62:62" x14ac:dyDescent="0.2">
      <c r="BJ7399" s="201"/>
    </row>
    <row r="7400" spans="62:62" x14ac:dyDescent="0.2">
      <c r="BJ7400" s="201"/>
    </row>
    <row r="7401" spans="62:62" x14ac:dyDescent="0.2">
      <c r="BJ7401" s="201"/>
    </row>
    <row r="7402" spans="62:62" x14ac:dyDescent="0.2">
      <c r="BJ7402" s="201"/>
    </row>
    <row r="7403" spans="62:62" x14ac:dyDescent="0.2">
      <c r="BJ7403" s="201"/>
    </row>
    <row r="7404" spans="62:62" x14ac:dyDescent="0.2">
      <c r="BJ7404" s="201"/>
    </row>
    <row r="7405" spans="62:62" x14ac:dyDescent="0.2">
      <c r="BJ7405" s="201"/>
    </row>
    <row r="7406" spans="62:62" x14ac:dyDescent="0.2">
      <c r="BJ7406" s="201"/>
    </row>
    <row r="7407" spans="62:62" x14ac:dyDescent="0.2">
      <c r="BJ7407" s="201"/>
    </row>
    <row r="7408" spans="62:62" x14ac:dyDescent="0.2">
      <c r="BJ7408" s="201"/>
    </row>
    <row r="7409" spans="62:62" x14ac:dyDescent="0.2">
      <c r="BJ7409" s="201"/>
    </row>
    <row r="7410" spans="62:62" x14ac:dyDescent="0.2">
      <c r="BJ7410" s="201"/>
    </row>
    <row r="7411" spans="62:62" x14ac:dyDescent="0.2">
      <c r="BJ7411" s="201"/>
    </row>
    <row r="7412" spans="62:62" x14ac:dyDescent="0.2">
      <c r="BJ7412" s="201"/>
    </row>
    <row r="7413" spans="62:62" x14ac:dyDescent="0.2">
      <c r="BJ7413" s="201"/>
    </row>
    <row r="7414" spans="62:62" x14ac:dyDescent="0.2">
      <c r="BJ7414" s="201"/>
    </row>
    <row r="7415" spans="62:62" x14ac:dyDescent="0.2">
      <c r="BJ7415" s="201"/>
    </row>
    <row r="7416" spans="62:62" x14ac:dyDescent="0.2">
      <c r="BJ7416" s="201"/>
    </row>
    <row r="7417" spans="62:62" x14ac:dyDescent="0.2">
      <c r="BJ7417" s="201"/>
    </row>
    <row r="7418" spans="62:62" x14ac:dyDescent="0.2">
      <c r="BJ7418" s="201"/>
    </row>
    <row r="7419" spans="62:62" x14ac:dyDescent="0.2">
      <c r="BJ7419" s="201"/>
    </row>
    <row r="7420" spans="62:62" x14ac:dyDescent="0.2">
      <c r="BJ7420" s="201"/>
    </row>
    <row r="7421" spans="62:62" x14ac:dyDescent="0.2">
      <c r="BJ7421" s="201"/>
    </row>
    <row r="7422" spans="62:62" x14ac:dyDescent="0.2">
      <c r="BJ7422" s="201"/>
    </row>
    <row r="7423" spans="62:62" x14ac:dyDescent="0.2">
      <c r="BJ7423" s="201"/>
    </row>
    <row r="7424" spans="62:62" x14ac:dyDescent="0.2">
      <c r="BJ7424" s="201"/>
    </row>
    <row r="7425" spans="62:62" x14ac:dyDescent="0.2">
      <c r="BJ7425" s="201"/>
    </row>
    <row r="7426" spans="62:62" x14ac:dyDescent="0.2">
      <c r="BJ7426" s="201"/>
    </row>
    <row r="7427" spans="62:62" x14ac:dyDescent="0.2">
      <c r="BJ7427" s="201"/>
    </row>
    <row r="7428" spans="62:62" x14ac:dyDescent="0.2">
      <c r="BJ7428" s="201"/>
    </row>
    <row r="7429" spans="62:62" x14ac:dyDescent="0.2">
      <c r="BJ7429" s="201"/>
    </row>
    <row r="7430" spans="62:62" x14ac:dyDescent="0.2">
      <c r="BJ7430" s="201"/>
    </row>
    <row r="7431" spans="62:62" x14ac:dyDescent="0.2">
      <c r="BJ7431" s="201"/>
    </row>
    <row r="7432" spans="62:62" x14ac:dyDescent="0.2">
      <c r="BJ7432" s="201"/>
    </row>
    <row r="7433" spans="62:62" x14ac:dyDescent="0.2">
      <c r="BJ7433" s="201"/>
    </row>
    <row r="7434" spans="62:62" x14ac:dyDescent="0.2">
      <c r="BJ7434" s="201"/>
    </row>
    <row r="7435" spans="62:62" x14ac:dyDescent="0.2">
      <c r="BJ7435" s="201"/>
    </row>
    <row r="7436" spans="62:62" x14ac:dyDescent="0.2">
      <c r="BJ7436" s="201"/>
    </row>
    <row r="7437" spans="62:62" x14ac:dyDescent="0.2">
      <c r="BJ7437" s="201"/>
    </row>
    <row r="7438" spans="62:62" x14ac:dyDescent="0.2">
      <c r="BJ7438" s="201"/>
    </row>
    <row r="7439" spans="62:62" x14ac:dyDescent="0.2">
      <c r="BJ7439" s="201"/>
    </row>
    <row r="7440" spans="62:62" x14ac:dyDescent="0.2">
      <c r="BJ7440" s="201"/>
    </row>
    <row r="7441" spans="62:62" x14ac:dyDescent="0.2">
      <c r="BJ7441" s="201"/>
    </row>
    <row r="7442" spans="62:62" x14ac:dyDescent="0.2">
      <c r="BJ7442" s="201"/>
    </row>
    <row r="7443" spans="62:62" x14ac:dyDescent="0.2">
      <c r="BJ7443" s="201"/>
    </row>
    <row r="7444" spans="62:62" x14ac:dyDescent="0.2">
      <c r="BJ7444" s="201"/>
    </row>
    <row r="7445" spans="62:62" x14ac:dyDescent="0.2">
      <c r="BJ7445" s="201"/>
    </row>
    <row r="7446" spans="62:62" x14ac:dyDescent="0.2">
      <c r="BJ7446" s="201"/>
    </row>
    <row r="7447" spans="62:62" x14ac:dyDescent="0.2">
      <c r="BJ7447" s="201"/>
    </row>
    <row r="7448" spans="62:62" x14ac:dyDescent="0.2">
      <c r="BJ7448" s="201"/>
    </row>
    <row r="7449" spans="62:62" x14ac:dyDescent="0.2">
      <c r="BJ7449" s="201"/>
    </row>
    <row r="7450" spans="62:62" x14ac:dyDescent="0.2">
      <c r="BJ7450" s="201"/>
    </row>
    <row r="7451" spans="62:62" x14ac:dyDescent="0.2">
      <c r="BJ7451" s="201"/>
    </row>
    <row r="7452" spans="62:62" x14ac:dyDescent="0.2">
      <c r="BJ7452" s="201"/>
    </row>
    <row r="7453" spans="62:62" x14ac:dyDescent="0.2">
      <c r="BJ7453" s="201"/>
    </row>
    <row r="7454" spans="62:62" x14ac:dyDescent="0.2">
      <c r="BJ7454" s="201"/>
    </row>
    <row r="7455" spans="62:62" x14ac:dyDescent="0.2">
      <c r="BJ7455" s="201"/>
    </row>
    <row r="7456" spans="62:62" x14ac:dyDescent="0.2">
      <c r="BJ7456" s="201"/>
    </row>
    <row r="7457" spans="62:62" x14ac:dyDescent="0.2">
      <c r="BJ7457" s="201"/>
    </row>
    <row r="7458" spans="62:62" x14ac:dyDescent="0.2">
      <c r="BJ7458" s="201"/>
    </row>
    <row r="7459" spans="62:62" x14ac:dyDescent="0.2">
      <c r="BJ7459" s="201"/>
    </row>
    <row r="7460" spans="62:62" x14ac:dyDescent="0.2">
      <c r="BJ7460" s="201"/>
    </row>
    <row r="7461" spans="62:62" x14ac:dyDescent="0.2">
      <c r="BJ7461" s="201"/>
    </row>
    <row r="7462" spans="62:62" x14ac:dyDescent="0.2">
      <c r="BJ7462" s="201"/>
    </row>
    <row r="7463" spans="62:62" x14ac:dyDescent="0.2">
      <c r="BJ7463" s="201"/>
    </row>
    <row r="7464" spans="62:62" x14ac:dyDescent="0.2">
      <c r="BJ7464" s="201"/>
    </row>
    <row r="7465" spans="62:62" x14ac:dyDescent="0.2">
      <c r="BJ7465" s="201"/>
    </row>
    <row r="7466" spans="62:62" x14ac:dyDescent="0.2">
      <c r="BJ7466" s="201"/>
    </row>
    <row r="7467" spans="62:62" x14ac:dyDescent="0.2">
      <c r="BJ7467" s="201"/>
    </row>
    <row r="7468" spans="62:62" x14ac:dyDescent="0.2">
      <c r="BJ7468" s="201"/>
    </row>
    <row r="7469" spans="62:62" x14ac:dyDescent="0.2">
      <c r="BJ7469" s="201"/>
    </row>
    <row r="7470" spans="62:62" x14ac:dyDescent="0.2">
      <c r="BJ7470" s="201"/>
    </row>
    <row r="7471" spans="62:62" x14ac:dyDescent="0.2">
      <c r="BJ7471" s="201"/>
    </row>
    <row r="7472" spans="62:62" x14ac:dyDescent="0.2">
      <c r="BJ7472" s="201"/>
    </row>
    <row r="7473" spans="62:62" x14ac:dyDescent="0.2">
      <c r="BJ7473" s="201"/>
    </row>
    <row r="7474" spans="62:62" x14ac:dyDescent="0.2">
      <c r="BJ7474" s="201"/>
    </row>
    <row r="7475" spans="62:62" x14ac:dyDescent="0.2">
      <c r="BJ7475" s="201"/>
    </row>
    <row r="7476" spans="62:62" x14ac:dyDescent="0.2">
      <c r="BJ7476" s="201"/>
    </row>
    <row r="7477" spans="62:62" x14ac:dyDescent="0.2">
      <c r="BJ7477" s="201"/>
    </row>
    <row r="7478" spans="62:62" x14ac:dyDescent="0.2">
      <c r="BJ7478" s="201"/>
    </row>
    <row r="7479" spans="62:62" x14ac:dyDescent="0.2">
      <c r="BJ7479" s="201"/>
    </row>
    <row r="7480" spans="62:62" x14ac:dyDescent="0.2">
      <c r="BJ7480" s="201"/>
    </row>
    <row r="7481" spans="62:62" x14ac:dyDescent="0.2">
      <c r="BJ7481" s="201"/>
    </row>
    <row r="7482" spans="62:62" x14ac:dyDescent="0.2">
      <c r="BJ7482" s="201"/>
    </row>
    <row r="7483" spans="62:62" x14ac:dyDescent="0.2">
      <c r="BJ7483" s="201"/>
    </row>
    <row r="7484" spans="62:62" x14ac:dyDescent="0.2">
      <c r="BJ7484" s="201"/>
    </row>
    <row r="7485" spans="62:62" x14ac:dyDescent="0.2">
      <c r="BJ7485" s="201"/>
    </row>
    <row r="7486" spans="62:62" x14ac:dyDescent="0.2">
      <c r="BJ7486" s="201"/>
    </row>
    <row r="7487" spans="62:62" x14ac:dyDescent="0.2">
      <c r="BJ7487" s="201"/>
    </row>
    <row r="7488" spans="62:62" x14ac:dyDescent="0.2">
      <c r="BJ7488" s="201"/>
    </row>
    <row r="7489" spans="62:62" x14ac:dyDescent="0.2">
      <c r="BJ7489" s="201"/>
    </row>
    <row r="7490" spans="62:62" x14ac:dyDescent="0.2">
      <c r="BJ7490" s="201"/>
    </row>
    <row r="7491" spans="62:62" x14ac:dyDescent="0.2">
      <c r="BJ7491" s="201"/>
    </row>
    <row r="7492" spans="62:62" x14ac:dyDescent="0.2">
      <c r="BJ7492" s="201"/>
    </row>
    <row r="7493" spans="62:62" x14ac:dyDescent="0.2">
      <c r="BJ7493" s="201"/>
    </row>
    <row r="7494" spans="62:62" x14ac:dyDescent="0.2">
      <c r="BJ7494" s="201"/>
    </row>
    <row r="7495" spans="62:62" x14ac:dyDescent="0.2">
      <c r="BJ7495" s="201"/>
    </row>
    <row r="7496" spans="62:62" x14ac:dyDescent="0.2">
      <c r="BJ7496" s="201"/>
    </row>
    <row r="7497" spans="62:62" x14ac:dyDescent="0.2">
      <c r="BJ7497" s="201"/>
    </row>
    <row r="7498" spans="62:62" x14ac:dyDescent="0.2">
      <c r="BJ7498" s="201"/>
    </row>
    <row r="7499" spans="62:62" x14ac:dyDescent="0.2">
      <c r="BJ7499" s="201"/>
    </row>
    <row r="7500" spans="62:62" x14ac:dyDescent="0.2">
      <c r="BJ7500" s="201"/>
    </row>
    <row r="7501" spans="62:62" x14ac:dyDescent="0.2">
      <c r="BJ7501" s="201"/>
    </row>
    <row r="7502" spans="62:62" x14ac:dyDescent="0.2">
      <c r="BJ7502" s="201"/>
    </row>
    <row r="7503" spans="62:62" x14ac:dyDescent="0.2">
      <c r="BJ7503" s="201"/>
    </row>
    <row r="7504" spans="62:62" x14ac:dyDescent="0.2">
      <c r="BJ7504" s="201"/>
    </row>
    <row r="7505" spans="62:62" x14ac:dyDescent="0.2">
      <c r="BJ7505" s="201"/>
    </row>
    <row r="7506" spans="62:62" x14ac:dyDescent="0.2">
      <c r="BJ7506" s="201"/>
    </row>
    <row r="7507" spans="62:62" x14ac:dyDescent="0.2">
      <c r="BJ7507" s="201"/>
    </row>
    <row r="7508" spans="62:62" x14ac:dyDescent="0.2">
      <c r="BJ7508" s="201"/>
    </row>
    <row r="7509" spans="62:62" x14ac:dyDescent="0.2">
      <c r="BJ7509" s="201"/>
    </row>
    <row r="7510" spans="62:62" x14ac:dyDescent="0.2">
      <c r="BJ7510" s="201"/>
    </row>
    <row r="7511" spans="62:62" x14ac:dyDescent="0.2">
      <c r="BJ7511" s="201"/>
    </row>
    <row r="7512" spans="62:62" x14ac:dyDescent="0.2">
      <c r="BJ7512" s="201"/>
    </row>
    <row r="7513" spans="62:62" x14ac:dyDescent="0.2">
      <c r="BJ7513" s="201"/>
    </row>
    <row r="7514" spans="62:62" x14ac:dyDescent="0.2">
      <c r="BJ7514" s="201"/>
    </row>
    <row r="7515" spans="62:62" x14ac:dyDescent="0.2">
      <c r="BJ7515" s="201"/>
    </row>
    <row r="7516" spans="62:62" x14ac:dyDescent="0.2">
      <c r="BJ7516" s="201"/>
    </row>
    <row r="7517" spans="62:62" x14ac:dyDescent="0.2">
      <c r="BJ7517" s="201"/>
    </row>
    <row r="7518" spans="62:62" x14ac:dyDescent="0.2">
      <c r="BJ7518" s="201"/>
    </row>
    <row r="7519" spans="62:62" x14ac:dyDescent="0.2">
      <c r="BJ7519" s="201"/>
    </row>
    <row r="7520" spans="62:62" x14ac:dyDescent="0.2">
      <c r="BJ7520" s="201"/>
    </row>
    <row r="7521" spans="62:62" x14ac:dyDescent="0.2">
      <c r="BJ7521" s="201"/>
    </row>
    <row r="7522" spans="62:62" x14ac:dyDescent="0.2">
      <c r="BJ7522" s="201"/>
    </row>
    <row r="7523" spans="62:62" x14ac:dyDescent="0.2">
      <c r="BJ7523" s="201"/>
    </row>
    <row r="7524" spans="62:62" x14ac:dyDescent="0.2">
      <c r="BJ7524" s="201"/>
    </row>
    <row r="7525" spans="62:62" x14ac:dyDescent="0.2">
      <c r="BJ7525" s="201"/>
    </row>
    <row r="7526" spans="62:62" x14ac:dyDescent="0.2">
      <c r="BJ7526" s="201"/>
    </row>
    <row r="7527" spans="62:62" x14ac:dyDescent="0.2">
      <c r="BJ7527" s="201"/>
    </row>
    <row r="7528" spans="62:62" x14ac:dyDescent="0.2">
      <c r="BJ7528" s="201"/>
    </row>
    <row r="7529" spans="62:62" x14ac:dyDescent="0.2">
      <c r="BJ7529" s="201"/>
    </row>
    <row r="7530" spans="62:62" x14ac:dyDescent="0.2">
      <c r="BJ7530" s="201"/>
    </row>
    <row r="7531" spans="62:62" x14ac:dyDescent="0.2">
      <c r="BJ7531" s="201"/>
    </row>
    <row r="7532" spans="62:62" x14ac:dyDescent="0.2">
      <c r="BJ7532" s="201"/>
    </row>
    <row r="7533" spans="62:62" x14ac:dyDescent="0.2">
      <c r="BJ7533" s="201"/>
    </row>
    <row r="7534" spans="62:62" x14ac:dyDescent="0.2">
      <c r="BJ7534" s="201"/>
    </row>
    <row r="7535" spans="62:62" x14ac:dyDescent="0.2">
      <c r="BJ7535" s="201"/>
    </row>
    <row r="7536" spans="62:62" x14ac:dyDescent="0.2">
      <c r="BJ7536" s="201"/>
    </row>
    <row r="7537" spans="62:62" x14ac:dyDescent="0.2">
      <c r="BJ7537" s="201"/>
    </row>
    <row r="7538" spans="62:62" x14ac:dyDescent="0.2">
      <c r="BJ7538" s="201"/>
    </row>
    <row r="7539" spans="62:62" x14ac:dyDescent="0.2">
      <c r="BJ7539" s="201"/>
    </row>
    <row r="7540" spans="62:62" x14ac:dyDescent="0.2">
      <c r="BJ7540" s="201"/>
    </row>
    <row r="7541" spans="62:62" x14ac:dyDescent="0.2">
      <c r="BJ7541" s="201"/>
    </row>
    <row r="7542" spans="62:62" x14ac:dyDescent="0.2">
      <c r="BJ7542" s="201"/>
    </row>
    <row r="7543" spans="62:62" x14ac:dyDescent="0.2">
      <c r="BJ7543" s="201"/>
    </row>
    <row r="7544" spans="62:62" x14ac:dyDescent="0.2">
      <c r="BJ7544" s="201"/>
    </row>
    <row r="7545" spans="62:62" x14ac:dyDescent="0.2">
      <c r="BJ7545" s="201"/>
    </row>
    <row r="7546" spans="62:62" x14ac:dyDescent="0.2">
      <c r="BJ7546" s="201"/>
    </row>
    <row r="7547" spans="62:62" x14ac:dyDescent="0.2">
      <c r="BJ7547" s="201"/>
    </row>
    <row r="7548" spans="62:62" x14ac:dyDescent="0.2">
      <c r="BJ7548" s="201"/>
    </row>
    <row r="7549" spans="62:62" x14ac:dyDescent="0.2">
      <c r="BJ7549" s="201"/>
    </row>
    <row r="7550" spans="62:62" x14ac:dyDescent="0.2">
      <c r="BJ7550" s="201"/>
    </row>
    <row r="7551" spans="62:62" x14ac:dyDescent="0.2">
      <c r="BJ7551" s="201"/>
    </row>
    <row r="7552" spans="62:62" x14ac:dyDescent="0.2">
      <c r="BJ7552" s="201"/>
    </row>
    <row r="7553" spans="62:62" x14ac:dyDescent="0.2">
      <c r="BJ7553" s="201"/>
    </row>
    <row r="7554" spans="62:62" x14ac:dyDescent="0.2">
      <c r="BJ7554" s="201"/>
    </row>
    <row r="7555" spans="62:62" x14ac:dyDescent="0.2">
      <c r="BJ7555" s="201"/>
    </row>
    <row r="7556" spans="62:62" x14ac:dyDescent="0.2">
      <c r="BJ7556" s="201"/>
    </row>
    <row r="7557" spans="62:62" x14ac:dyDescent="0.2">
      <c r="BJ7557" s="201"/>
    </row>
    <row r="7558" spans="62:62" x14ac:dyDescent="0.2">
      <c r="BJ7558" s="201"/>
    </row>
    <row r="7559" spans="62:62" x14ac:dyDescent="0.2">
      <c r="BJ7559" s="201"/>
    </row>
    <row r="7560" spans="62:62" x14ac:dyDescent="0.2">
      <c r="BJ7560" s="201"/>
    </row>
    <row r="7561" spans="62:62" x14ac:dyDescent="0.2">
      <c r="BJ7561" s="201"/>
    </row>
    <row r="7562" spans="62:62" x14ac:dyDescent="0.2">
      <c r="BJ7562" s="201"/>
    </row>
    <row r="7563" spans="62:62" x14ac:dyDescent="0.2">
      <c r="BJ7563" s="201"/>
    </row>
    <row r="7564" spans="62:62" x14ac:dyDescent="0.2">
      <c r="BJ7564" s="201"/>
    </row>
    <row r="7565" spans="62:62" x14ac:dyDescent="0.2">
      <c r="BJ7565" s="201"/>
    </row>
    <row r="7566" spans="62:62" x14ac:dyDescent="0.2">
      <c r="BJ7566" s="201"/>
    </row>
    <row r="7567" spans="62:62" x14ac:dyDescent="0.2">
      <c r="BJ7567" s="201"/>
    </row>
    <row r="7568" spans="62:62" x14ac:dyDescent="0.2">
      <c r="BJ7568" s="201"/>
    </row>
    <row r="7569" spans="62:62" x14ac:dyDescent="0.2">
      <c r="BJ7569" s="201"/>
    </row>
    <row r="7570" spans="62:62" x14ac:dyDescent="0.2">
      <c r="BJ7570" s="201"/>
    </row>
    <row r="7571" spans="62:62" x14ac:dyDescent="0.2">
      <c r="BJ7571" s="201"/>
    </row>
    <row r="7572" spans="62:62" x14ac:dyDescent="0.2">
      <c r="BJ7572" s="201"/>
    </row>
    <row r="7573" spans="62:62" x14ac:dyDescent="0.2">
      <c r="BJ7573" s="201"/>
    </row>
    <row r="7574" spans="62:62" x14ac:dyDescent="0.2">
      <c r="BJ7574" s="201"/>
    </row>
    <row r="7575" spans="62:62" x14ac:dyDescent="0.2">
      <c r="BJ7575" s="201"/>
    </row>
    <row r="7576" spans="62:62" x14ac:dyDescent="0.2">
      <c r="BJ7576" s="201"/>
    </row>
    <row r="7577" spans="62:62" x14ac:dyDescent="0.2">
      <c r="BJ7577" s="201"/>
    </row>
    <row r="7578" spans="62:62" x14ac:dyDescent="0.2">
      <c r="BJ7578" s="201"/>
    </row>
    <row r="7579" spans="62:62" x14ac:dyDescent="0.2">
      <c r="BJ7579" s="201"/>
    </row>
    <row r="7580" spans="62:62" x14ac:dyDescent="0.2">
      <c r="BJ7580" s="201"/>
    </row>
    <row r="7581" spans="62:62" x14ac:dyDescent="0.2">
      <c r="BJ7581" s="201"/>
    </row>
    <row r="7582" spans="62:62" x14ac:dyDescent="0.2">
      <c r="BJ7582" s="201"/>
    </row>
    <row r="7583" spans="62:62" x14ac:dyDescent="0.2">
      <c r="BJ7583" s="201"/>
    </row>
    <row r="7584" spans="62:62" x14ac:dyDescent="0.2">
      <c r="BJ7584" s="201"/>
    </row>
    <row r="7585" spans="62:62" x14ac:dyDescent="0.2">
      <c r="BJ7585" s="201"/>
    </row>
    <row r="7586" spans="62:62" x14ac:dyDescent="0.2">
      <c r="BJ7586" s="201"/>
    </row>
    <row r="7587" spans="62:62" x14ac:dyDescent="0.2">
      <c r="BJ7587" s="201"/>
    </row>
    <row r="7588" spans="62:62" x14ac:dyDescent="0.2">
      <c r="BJ7588" s="201"/>
    </row>
    <row r="7589" spans="62:62" x14ac:dyDescent="0.2">
      <c r="BJ7589" s="201"/>
    </row>
    <row r="7590" spans="62:62" x14ac:dyDescent="0.2">
      <c r="BJ7590" s="201"/>
    </row>
    <row r="7591" spans="62:62" x14ac:dyDescent="0.2">
      <c r="BJ7591" s="201"/>
    </row>
    <row r="7592" spans="62:62" x14ac:dyDescent="0.2">
      <c r="BJ7592" s="201"/>
    </row>
    <row r="7593" spans="62:62" x14ac:dyDescent="0.2">
      <c r="BJ7593" s="201"/>
    </row>
    <row r="7594" spans="62:62" x14ac:dyDescent="0.2">
      <c r="BJ7594" s="201"/>
    </row>
    <row r="7595" spans="62:62" x14ac:dyDescent="0.2">
      <c r="BJ7595" s="201"/>
    </row>
    <row r="7596" spans="62:62" x14ac:dyDescent="0.2">
      <c r="BJ7596" s="201"/>
    </row>
    <row r="7597" spans="62:62" x14ac:dyDescent="0.2">
      <c r="BJ7597" s="201"/>
    </row>
    <row r="7598" spans="62:62" x14ac:dyDescent="0.2">
      <c r="BJ7598" s="201"/>
    </row>
    <row r="7599" spans="62:62" x14ac:dyDescent="0.2">
      <c r="BJ7599" s="201"/>
    </row>
    <row r="7600" spans="62:62" x14ac:dyDescent="0.2">
      <c r="BJ7600" s="201"/>
    </row>
    <row r="7601" spans="62:62" x14ac:dyDescent="0.2">
      <c r="BJ7601" s="201"/>
    </row>
    <row r="7602" spans="62:62" x14ac:dyDescent="0.2">
      <c r="BJ7602" s="201"/>
    </row>
    <row r="7603" spans="62:62" x14ac:dyDescent="0.2">
      <c r="BJ7603" s="201"/>
    </row>
    <row r="7604" spans="62:62" x14ac:dyDescent="0.2">
      <c r="BJ7604" s="201"/>
    </row>
    <row r="7605" spans="62:62" x14ac:dyDescent="0.2">
      <c r="BJ7605" s="201"/>
    </row>
    <row r="7606" spans="62:62" x14ac:dyDescent="0.2">
      <c r="BJ7606" s="201"/>
    </row>
    <row r="7607" spans="62:62" x14ac:dyDescent="0.2">
      <c r="BJ7607" s="201"/>
    </row>
    <row r="7608" spans="62:62" x14ac:dyDescent="0.2">
      <c r="BJ7608" s="201"/>
    </row>
    <row r="7609" spans="62:62" x14ac:dyDescent="0.2">
      <c r="BJ7609" s="201"/>
    </row>
    <row r="7610" spans="62:62" x14ac:dyDescent="0.2">
      <c r="BJ7610" s="201"/>
    </row>
    <row r="7611" spans="62:62" x14ac:dyDescent="0.2">
      <c r="BJ7611" s="201"/>
    </row>
    <row r="7612" spans="62:62" x14ac:dyDescent="0.2">
      <c r="BJ7612" s="201"/>
    </row>
    <row r="7613" spans="62:62" x14ac:dyDescent="0.2">
      <c r="BJ7613" s="201"/>
    </row>
    <row r="7614" spans="62:62" x14ac:dyDescent="0.2">
      <c r="BJ7614" s="201"/>
    </row>
    <row r="7615" spans="62:62" x14ac:dyDescent="0.2">
      <c r="BJ7615" s="201"/>
    </row>
    <row r="7616" spans="62:62" x14ac:dyDescent="0.2">
      <c r="BJ7616" s="201"/>
    </row>
    <row r="7617" spans="62:62" x14ac:dyDescent="0.2">
      <c r="BJ7617" s="201"/>
    </row>
    <row r="7618" spans="62:62" x14ac:dyDescent="0.2">
      <c r="BJ7618" s="201"/>
    </row>
    <row r="7619" spans="62:62" x14ac:dyDescent="0.2">
      <c r="BJ7619" s="201"/>
    </row>
    <row r="7620" spans="62:62" x14ac:dyDescent="0.2">
      <c r="BJ7620" s="201"/>
    </row>
    <row r="7621" spans="62:62" x14ac:dyDescent="0.2">
      <c r="BJ7621" s="201"/>
    </row>
    <row r="7622" spans="62:62" x14ac:dyDescent="0.2">
      <c r="BJ7622" s="201"/>
    </row>
    <row r="7623" spans="62:62" x14ac:dyDescent="0.2">
      <c r="BJ7623" s="201"/>
    </row>
    <row r="7624" spans="62:62" x14ac:dyDescent="0.2">
      <c r="BJ7624" s="201"/>
    </row>
    <row r="7625" spans="62:62" x14ac:dyDescent="0.2">
      <c r="BJ7625" s="201"/>
    </row>
    <row r="7626" spans="62:62" x14ac:dyDescent="0.2">
      <c r="BJ7626" s="201"/>
    </row>
    <row r="7627" spans="62:62" x14ac:dyDescent="0.2">
      <c r="BJ7627" s="201"/>
    </row>
    <row r="7628" spans="62:62" x14ac:dyDescent="0.2">
      <c r="BJ7628" s="201"/>
    </row>
    <row r="7629" spans="62:62" x14ac:dyDescent="0.2">
      <c r="BJ7629" s="201"/>
    </row>
    <row r="7630" spans="62:62" x14ac:dyDescent="0.2">
      <c r="BJ7630" s="201"/>
    </row>
    <row r="7631" spans="62:62" x14ac:dyDescent="0.2">
      <c r="BJ7631" s="201"/>
    </row>
    <row r="7632" spans="62:62" x14ac:dyDescent="0.2">
      <c r="BJ7632" s="201"/>
    </row>
    <row r="7633" spans="62:62" x14ac:dyDescent="0.2">
      <c r="BJ7633" s="201"/>
    </row>
    <row r="7634" spans="62:62" x14ac:dyDescent="0.2">
      <c r="BJ7634" s="201"/>
    </row>
    <row r="7635" spans="62:62" x14ac:dyDescent="0.2">
      <c r="BJ7635" s="201"/>
    </row>
    <row r="7636" spans="62:62" x14ac:dyDescent="0.2">
      <c r="BJ7636" s="201"/>
    </row>
    <row r="7637" spans="62:62" x14ac:dyDescent="0.2">
      <c r="BJ7637" s="201"/>
    </row>
    <row r="7638" spans="62:62" x14ac:dyDescent="0.2">
      <c r="BJ7638" s="201"/>
    </row>
    <row r="7639" spans="62:62" x14ac:dyDescent="0.2">
      <c r="BJ7639" s="201"/>
    </row>
    <row r="7640" spans="62:62" x14ac:dyDescent="0.2">
      <c r="BJ7640" s="201"/>
    </row>
    <row r="7641" spans="62:62" x14ac:dyDescent="0.2">
      <c r="BJ7641" s="201"/>
    </row>
    <row r="7642" spans="62:62" x14ac:dyDescent="0.2">
      <c r="BJ7642" s="201"/>
    </row>
    <row r="7643" spans="62:62" x14ac:dyDescent="0.2">
      <c r="BJ7643" s="201"/>
    </row>
    <row r="7644" spans="62:62" x14ac:dyDescent="0.2">
      <c r="BJ7644" s="201"/>
    </row>
    <row r="7645" spans="62:62" x14ac:dyDescent="0.2">
      <c r="BJ7645" s="201"/>
    </row>
    <row r="7646" spans="62:62" x14ac:dyDescent="0.2">
      <c r="BJ7646" s="201"/>
    </row>
    <row r="7647" spans="62:62" x14ac:dyDescent="0.2">
      <c r="BJ7647" s="201"/>
    </row>
    <row r="7648" spans="62:62" x14ac:dyDescent="0.2">
      <c r="BJ7648" s="201"/>
    </row>
    <row r="7649" spans="62:62" x14ac:dyDescent="0.2">
      <c r="BJ7649" s="201"/>
    </row>
    <row r="7650" spans="62:62" x14ac:dyDescent="0.2">
      <c r="BJ7650" s="201"/>
    </row>
    <row r="7651" spans="62:62" x14ac:dyDescent="0.2">
      <c r="BJ7651" s="201"/>
    </row>
    <row r="7652" spans="62:62" x14ac:dyDescent="0.2">
      <c r="BJ7652" s="201"/>
    </row>
    <row r="7653" spans="62:62" x14ac:dyDescent="0.2">
      <c r="BJ7653" s="201"/>
    </row>
    <row r="7654" spans="62:62" x14ac:dyDescent="0.2">
      <c r="BJ7654" s="201"/>
    </row>
    <row r="7655" spans="62:62" x14ac:dyDescent="0.2">
      <c r="BJ7655" s="201"/>
    </row>
    <row r="7656" spans="62:62" x14ac:dyDescent="0.2">
      <c r="BJ7656" s="201"/>
    </row>
    <row r="7657" spans="62:62" x14ac:dyDescent="0.2">
      <c r="BJ7657" s="201"/>
    </row>
    <row r="7658" spans="62:62" x14ac:dyDescent="0.2">
      <c r="BJ7658" s="201"/>
    </row>
    <row r="7659" spans="62:62" x14ac:dyDescent="0.2">
      <c r="BJ7659" s="201"/>
    </row>
    <row r="7660" spans="62:62" x14ac:dyDescent="0.2">
      <c r="BJ7660" s="201"/>
    </row>
    <row r="7661" spans="62:62" x14ac:dyDescent="0.2">
      <c r="BJ7661" s="201"/>
    </row>
    <row r="7662" spans="62:62" x14ac:dyDescent="0.2">
      <c r="BJ7662" s="201"/>
    </row>
    <row r="7663" spans="62:62" x14ac:dyDescent="0.2">
      <c r="BJ7663" s="201"/>
    </row>
    <row r="7664" spans="62:62" x14ac:dyDescent="0.2">
      <c r="BJ7664" s="201"/>
    </row>
    <row r="7665" spans="62:62" x14ac:dyDescent="0.2">
      <c r="BJ7665" s="201"/>
    </row>
    <row r="7666" spans="62:62" x14ac:dyDescent="0.2">
      <c r="BJ7666" s="201"/>
    </row>
    <row r="7667" spans="62:62" x14ac:dyDescent="0.2">
      <c r="BJ7667" s="201"/>
    </row>
    <row r="7668" spans="62:62" x14ac:dyDescent="0.2">
      <c r="BJ7668" s="201"/>
    </row>
    <row r="7669" spans="62:62" x14ac:dyDescent="0.2">
      <c r="BJ7669" s="201"/>
    </row>
    <row r="7670" spans="62:62" x14ac:dyDescent="0.2">
      <c r="BJ7670" s="201"/>
    </row>
    <row r="7671" spans="62:62" x14ac:dyDescent="0.2">
      <c r="BJ7671" s="201"/>
    </row>
    <row r="7672" spans="62:62" x14ac:dyDescent="0.2">
      <c r="BJ7672" s="201"/>
    </row>
    <row r="7673" spans="62:62" x14ac:dyDescent="0.2">
      <c r="BJ7673" s="201"/>
    </row>
    <row r="7674" spans="62:62" x14ac:dyDescent="0.2">
      <c r="BJ7674" s="201"/>
    </row>
    <row r="7675" spans="62:62" x14ac:dyDescent="0.2">
      <c r="BJ7675" s="201"/>
    </row>
    <row r="7676" spans="62:62" x14ac:dyDescent="0.2">
      <c r="BJ7676" s="201"/>
    </row>
    <row r="7677" spans="62:62" x14ac:dyDescent="0.2">
      <c r="BJ7677" s="201"/>
    </row>
    <row r="7678" spans="62:62" x14ac:dyDescent="0.2">
      <c r="BJ7678" s="201"/>
    </row>
    <row r="7679" spans="62:62" x14ac:dyDescent="0.2">
      <c r="BJ7679" s="201"/>
    </row>
    <row r="7680" spans="62:62" x14ac:dyDescent="0.2">
      <c r="BJ7680" s="201"/>
    </row>
    <row r="7681" spans="62:62" x14ac:dyDescent="0.2">
      <c r="BJ7681" s="201"/>
    </row>
    <row r="7682" spans="62:62" x14ac:dyDescent="0.2">
      <c r="BJ7682" s="201"/>
    </row>
    <row r="7683" spans="62:62" x14ac:dyDescent="0.2">
      <c r="BJ7683" s="201"/>
    </row>
    <row r="7684" spans="62:62" x14ac:dyDescent="0.2">
      <c r="BJ7684" s="201"/>
    </row>
    <row r="7685" spans="62:62" x14ac:dyDescent="0.2">
      <c r="BJ7685" s="201"/>
    </row>
    <row r="7686" spans="62:62" x14ac:dyDescent="0.2">
      <c r="BJ7686" s="201"/>
    </row>
    <row r="7687" spans="62:62" x14ac:dyDescent="0.2">
      <c r="BJ7687" s="201"/>
    </row>
    <row r="7688" spans="62:62" x14ac:dyDescent="0.2">
      <c r="BJ7688" s="201"/>
    </row>
    <row r="7689" spans="62:62" x14ac:dyDescent="0.2">
      <c r="BJ7689" s="201"/>
    </row>
    <row r="7690" spans="62:62" x14ac:dyDescent="0.2">
      <c r="BJ7690" s="201"/>
    </row>
    <row r="7691" spans="62:62" x14ac:dyDescent="0.2">
      <c r="BJ7691" s="201"/>
    </row>
    <row r="7692" spans="62:62" x14ac:dyDescent="0.2">
      <c r="BJ7692" s="201"/>
    </row>
    <row r="7693" spans="62:62" x14ac:dyDescent="0.2">
      <c r="BJ7693" s="201"/>
    </row>
    <row r="7694" spans="62:62" x14ac:dyDescent="0.2">
      <c r="BJ7694" s="201"/>
    </row>
    <row r="7695" spans="62:62" x14ac:dyDescent="0.2">
      <c r="BJ7695" s="201"/>
    </row>
    <row r="7696" spans="62:62" x14ac:dyDescent="0.2">
      <c r="BJ7696" s="201"/>
    </row>
    <row r="7697" spans="62:62" x14ac:dyDescent="0.2">
      <c r="BJ7697" s="201"/>
    </row>
    <row r="7698" spans="62:62" x14ac:dyDescent="0.2">
      <c r="BJ7698" s="201"/>
    </row>
    <row r="7699" spans="62:62" x14ac:dyDescent="0.2">
      <c r="BJ7699" s="201"/>
    </row>
    <row r="7700" spans="62:62" x14ac:dyDescent="0.2">
      <c r="BJ7700" s="201"/>
    </row>
    <row r="7701" spans="62:62" x14ac:dyDescent="0.2">
      <c r="BJ7701" s="201"/>
    </row>
    <row r="7702" spans="62:62" x14ac:dyDescent="0.2">
      <c r="BJ7702" s="201"/>
    </row>
    <row r="7703" spans="62:62" x14ac:dyDescent="0.2">
      <c r="BJ7703" s="201"/>
    </row>
    <row r="7704" spans="62:62" x14ac:dyDescent="0.2">
      <c r="BJ7704" s="201"/>
    </row>
    <row r="7705" spans="62:62" x14ac:dyDescent="0.2">
      <c r="BJ7705" s="201"/>
    </row>
    <row r="7706" spans="62:62" x14ac:dyDescent="0.2">
      <c r="BJ7706" s="201"/>
    </row>
    <row r="7707" spans="62:62" x14ac:dyDescent="0.2">
      <c r="BJ7707" s="201"/>
    </row>
    <row r="7708" spans="62:62" x14ac:dyDescent="0.2">
      <c r="BJ7708" s="201"/>
    </row>
    <row r="7709" spans="62:62" x14ac:dyDescent="0.2">
      <c r="BJ7709" s="201"/>
    </row>
    <row r="7710" spans="62:62" x14ac:dyDescent="0.2">
      <c r="BJ7710" s="201"/>
    </row>
    <row r="7711" spans="62:62" x14ac:dyDescent="0.2">
      <c r="BJ7711" s="201"/>
    </row>
    <row r="7712" spans="62:62" x14ac:dyDescent="0.2">
      <c r="BJ7712" s="201"/>
    </row>
    <row r="7713" spans="62:62" x14ac:dyDescent="0.2">
      <c r="BJ7713" s="201"/>
    </row>
    <row r="7714" spans="62:62" x14ac:dyDescent="0.2">
      <c r="BJ7714" s="201"/>
    </row>
    <row r="7715" spans="62:62" x14ac:dyDescent="0.2">
      <c r="BJ7715" s="201"/>
    </row>
    <row r="7716" spans="62:62" x14ac:dyDescent="0.2">
      <c r="BJ7716" s="201"/>
    </row>
    <row r="7717" spans="62:62" x14ac:dyDescent="0.2">
      <c r="BJ7717" s="201"/>
    </row>
    <row r="7718" spans="62:62" x14ac:dyDescent="0.2">
      <c r="BJ7718" s="201"/>
    </row>
    <row r="7719" spans="62:62" x14ac:dyDescent="0.2">
      <c r="BJ7719" s="201"/>
    </row>
    <row r="7720" spans="62:62" x14ac:dyDescent="0.2">
      <c r="BJ7720" s="201"/>
    </row>
    <row r="7721" spans="62:62" x14ac:dyDescent="0.2">
      <c r="BJ7721" s="201"/>
    </row>
    <row r="7722" spans="62:62" x14ac:dyDescent="0.2">
      <c r="BJ7722" s="201"/>
    </row>
    <row r="7723" spans="62:62" x14ac:dyDescent="0.2">
      <c r="BJ7723" s="201"/>
    </row>
    <row r="7724" spans="62:62" x14ac:dyDescent="0.2">
      <c r="BJ7724" s="201"/>
    </row>
    <row r="7725" spans="62:62" x14ac:dyDescent="0.2">
      <c r="BJ7725" s="201"/>
    </row>
    <row r="7726" spans="62:62" x14ac:dyDescent="0.2">
      <c r="BJ7726" s="201"/>
    </row>
    <row r="7727" spans="62:62" x14ac:dyDescent="0.2">
      <c r="BJ7727" s="201"/>
    </row>
    <row r="7728" spans="62:62" x14ac:dyDescent="0.2">
      <c r="BJ7728" s="201"/>
    </row>
    <row r="7729" spans="62:62" x14ac:dyDescent="0.2">
      <c r="BJ7729" s="201"/>
    </row>
    <row r="7730" spans="62:62" x14ac:dyDescent="0.2">
      <c r="BJ7730" s="201"/>
    </row>
    <row r="7731" spans="62:62" x14ac:dyDescent="0.2">
      <c r="BJ7731" s="201"/>
    </row>
    <row r="7732" spans="62:62" x14ac:dyDescent="0.2">
      <c r="BJ7732" s="201"/>
    </row>
    <row r="7733" spans="62:62" x14ac:dyDescent="0.2">
      <c r="BJ7733" s="201"/>
    </row>
    <row r="7734" spans="62:62" x14ac:dyDescent="0.2">
      <c r="BJ7734" s="201"/>
    </row>
    <row r="7735" spans="62:62" x14ac:dyDescent="0.2">
      <c r="BJ7735" s="201"/>
    </row>
    <row r="7736" spans="62:62" x14ac:dyDescent="0.2">
      <c r="BJ7736" s="201"/>
    </row>
    <row r="7737" spans="62:62" x14ac:dyDescent="0.2">
      <c r="BJ7737" s="201"/>
    </row>
    <row r="7738" spans="62:62" x14ac:dyDescent="0.2">
      <c r="BJ7738" s="201"/>
    </row>
    <row r="7739" spans="62:62" x14ac:dyDescent="0.2">
      <c r="BJ7739" s="201"/>
    </row>
    <row r="7740" spans="62:62" x14ac:dyDescent="0.2">
      <c r="BJ7740" s="201"/>
    </row>
    <row r="7741" spans="62:62" x14ac:dyDescent="0.2">
      <c r="BJ7741" s="201"/>
    </row>
    <row r="7742" spans="62:62" x14ac:dyDescent="0.2">
      <c r="BJ7742" s="201"/>
    </row>
    <row r="7743" spans="62:62" x14ac:dyDescent="0.2">
      <c r="BJ7743" s="201"/>
    </row>
    <row r="7744" spans="62:62" x14ac:dyDescent="0.2">
      <c r="BJ7744" s="201"/>
    </row>
    <row r="7745" spans="62:62" x14ac:dyDescent="0.2">
      <c r="BJ7745" s="201"/>
    </row>
    <row r="7746" spans="62:62" x14ac:dyDescent="0.2">
      <c r="BJ7746" s="201"/>
    </row>
    <row r="7747" spans="62:62" x14ac:dyDescent="0.2">
      <c r="BJ7747" s="201"/>
    </row>
    <row r="7748" spans="62:62" x14ac:dyDescent="0.2">
      <c r="BJ7748" s="201"/>
    </row>
    <row r="7749" spans="62:62" x14ac:dyDescent="0.2">
      <c r="BJ7749" s="201"/>
    </row>
    <row r="7750" spans="62:62" x14ac:dyDescent="0.2">
      <c r="BJ7750" s="201"/>
    </row>
    <row r="7751" spans="62:62" x14ac:dyDescent="0.2">
      <c r="BJ7751" s="201"/>
    </row>
    <row r="7752" spans="62:62" x14ac:dyDescent="0.2">
      <c r="BJ7752" s="201"/>
    </row>
    <row r="7753" spans="62:62" x14ac:dyDescent="0.2">
      <c r="BJ7753" s="201"/>
    </row>
    <row r="7754" spans="62:62" x14ac:dyDescent="0.2">
      <c r="BJ7754" s="201"/>
    </row>
    <row r="7755" spans="62:62" x14ac:dyDescent="0.2">
      <c r="BJ7755" s="201"/>
    </row>
    <row r="7756" spans="62:62" x14ac:dyDescent="0.2">
      <c r="BJ7756" s="201"/>
    </row>
    <row r="7757" spans="62:62" x14ac:dyDescent="0.2">
      <c r="BJ7757" s="201"/>
    </row>
    <row r="7758" spans="62:62" x14ac:dyDescent="0.2">
      <c r="BJ7758" s="201"/>
    </row>
    <row r="7759" spans="62:62" x14ac:dyDescent="0.2">
      <c r="BJ7759" s="201"/>
    </row>
    <row r="7760" spans="62:62" x14ac:dyDescent="0.2">
      <c r="BJ7760" s="201"/>
    </row>
    <row r="7761" spans="62:62" x14ac:dyDescent="0.2">
      <c r="BJ7761" s="201"/>
    </row>
    <row r="7762" spans="62:62" x14ac:dyDescent="0.2">
      <c r="BJ7762" s="201"/>
    </row>
    <row r="7763" spans="62:62" x14ac:dyDescent="0.2">
      <c r="BJ7763" s="201"/>
    </row>
    <row r="7764" spans="62:62" x14ac:dyDescent="0.2">
      <c r="BJ7764" s="201"/>
    </row>
    <row r="7765" spans="62:62" x14ac:dyDescent="0.2">
      <c r="BJ7765" s="201"/>
    </row>
    <row r="7766" spans="62:62" x14ac:dyDescent="0.2">
      <c r="BJ7766" s="201"/>
    </row>
    <row r="7767" spans="62:62" x14ac:dyDescent="0.2">
      <c r="BJ7767" s="201"/>
    </row>
    <row r="7768" spans="62:62" x14ac:dyDescent="0.2">
      <c r="BJ7768" s="201"/>
    </row>
    <row r="7769" spans="62:62" x14ac:dyDescent="0.2">
      <c r="BJ7769" s="201"/>
    </row>
    <row r="7770" spans="62:62" x14ac:dyDescent="0.2">
      <c r="BJ7770" s="201"/>
    </row>
    <row r="7771" spans="62:62" x14ac:dyDescent="0.2">
      <c r="BJ7771" s="201"/>
    </row>
    <row r="7772" spans="62:62" x14ac:dyDescent="0.2">
      <c r="BJ7772" s="201"/>
    </row>
    <row r="7773" spans="62:62" x14ac:dyDescent="0.2">
      <c r="BJ7773" s="201"/>
    </row>
    <row r="7774" spans="62:62" x14ac:dyDescent="0.2">
      <c r="BJ7774" s="201"/>
    </row>
    <row r="7775" spans="62:62" x14ac:dyDescent="0.2">
      <c r="BJ7775" s="201"/>
    </row>
    <row r="7776" spans="62:62" x14ac:dyDescent="0.2">
      <c r="BJ7776" s="201"/>
    </row>
    <row r="7777" spans="62:62" x14ac:dyDescent="0.2">
      <c r="BJ7777" s="201"/>
    </row>
    <row r="7778" spans="62:62" x14ac:dyDescent="0.2">
      <c r="BJ7778" s="201"/>
    </row>
    <row r="7779" spans="62:62" x14ac:dyDescent="0.2">
      <c r="BJ7779" s="201"/>
    </row>
    <row r="7780" spans="62:62" x14ac:dyDescent="0.2">
      <c r="BJ7780" s="201"/>
    </row>
    <row r="7781" spans="62:62" x14ac:dyDescent="0.2">
      <c r="BJ7781" s="201"/>
    </row>
    <row r="7782" spans="62:62" x14ac:dyDescent="0.2">
      <c r="BJ7782" s="201"/>
    </row>
    <row r="7783" spans="62:62" x14ac:dyDescent="0.2">
      <c r="BJ7783" s="201"/>
    </row>
    <row r="7784" spans="62:62" x14ac:dyDescent="0.2">
      <c r="BJ7784" s="201"/>
    </row>
    <row r="7785" spans="62:62" x14ac:dyDescent="0.2">
      <c r="BJ7785" s="201"/>
    </row>
    <row r="7786" spans="62:62" x14ac:dyDescent="0.2">
      <c r="BJ7786" s="201"/>
    </row>
    <row r="7787" spans="62:62" x14ac:dyDescent="0.2">
      <c r="BJ7787" s="201"/>
    </row>
    <row r="7788" spans="62:62" x14ac:dyDescent="0.2">
      <c r="BJ7788" s="201"/>
    </row>
    <row r="7789" spans="62:62" x14ac:dyDescent="0.2">
      <c r="BJ7789" s="201"/>
    </row>
    <row r="7790" spans="62:62" x14ac:dyDescent="0.2">
      <c r="BJ7790" s="201"/>
    </row>
    <row r="7791" spans="62:62" x14ac:dyDescent="0.2">
      <c r="BJ7791" s="201"/>
    </row>
    <row r="7792" spans="62:62" x14ac:dyDescent="0.2">
      <c r="BJ7792" s="201"/>
    </row>
    <row r="7793" spans="62:62" x14ac:dyDescent="0.2">
      <c r="BJ7793" s="201"/>
    </row>
    <row r="7794" spans="62:62" x14ac:dyDescent="0.2">
      <c r="BJ7794" s="201"/>
    </row>
    <row r="7795" spans="62:62" x14ac:dyDescent="0.2">
      <c r="BJ7795" s="201"/>
    </row>
    <row r="7796" spans="62:62" x14ac:dyDescent="0.2">
      <c r="BJ7796" s="201"/>
    </row>
    <row r="7797" spans="62:62" x14ac:dyDescent="0.2">
      <c r="BJ7797" s="201"/>
    </row>
    <row r="7798" spans="62:62" x14ac:dyDescent="0.2">
      <c r="BJ7798" s="201"/>
    </row>
    <row r="7799" spans="62:62" x14ac:dyDescent="0.2">
      <c r="BJ7799" s="201"/>
    </row>
    <row r="7800" spans="62:62" x14ac:dyDescent="0.2">
      <c r="BJ7800" s="201"/>
    </row>
    <row r="7801" spans="62:62" x14ac:dyDescent="0.2">
      <c r="BJ7801" s="201"/>
    </row>
    <row r="7802" spans="62:62" x14ac:dyDescent="0.2">
      <c r="BJ7802" s="201"/>
    </row>
    <row r="7803" spans="62:62" x14ac:dyDescent="0.2">
      <c r="BJ7803" s="201"/>
    </row>
    <row r="7804" spans="62:62" x14ac:dyDescent="0.2">
      <c r="BJ7804" s="201"/>
    </row>
    <row r="7805" spans="62:62" x14ac:dyDescent="0.2">
      <c r="BJ7805" s="201"/>
    </row>
    <row r="7806" spans="62:62" x14ac:dyDescent="0.2">
      <c r="BJ7806" s="201"/>
    </row>
    <row r="7807" spans="62:62" x14ac:dyDescent="0.2">
      <c r="BJ7807" s="201"/>
    </row>
    <row r="7808" spans="62:62" x14ac:dyDescent="0.2">
      <c r="BJ7808" s="201"/>
    </row>
    <row r="7809" spans="62:62" x14ac:dyDescent="0.2">
      <c r="BJ7809" s="201"/>
    </row>
    <row r="7810" spans="62:62" x14ac:dyDescent="0.2">
      <c r="BJ7810" s="201"/>
    </row>
    <row r="7811" spans="62:62" x14ac:dyDescent="0.2">
      <c r="BJ7811" s="201"/>
    </row>
    <row r="7812" spans="62:62" x14ac:dyDescent="0.2">
      <c r="BJ7812" s="201"/>
    </row>
    <row r="7813" spans="62:62" x14ac:dyDescent="0.2">
      <c r="BJ7813" s="201"/>
    </row>
    <row r="7814" spans="62:62" x14ac:dyDescent="0.2">
      <c r="BJ7814" s="201"/>
    </row>
    <row r="7815" spans="62:62" x14ac:dyDescent="0.2">
      <c r="BJ7815" s="201"/>
    </row>
    <row r="7816" spans="62:62" x14ac:dyDescent="0.2">
      <c r="BJ7816" s="201"/>
    </row>
    <row r="7817" spans="62:62" x14ac:dyDescent="0.2">
      <c r="BJ7817" s="201"/>
    </row>
    <row r="7818" spans="62:62" x14ac:dyDescent="0.2">
      <c r="BJ7818" s="201"/>
    </row>
    <row r="7819" spans="62:62" x14ac:dyDescent="0.2">
      <c r="BJ7819" s="201"/>
    </row>
    <row r="7820" spans="62:62" x14ac:dyDescent="0.2">
      <c r="BJ7820" s="201"/>
    </row>
    <row r="7821" spans="62:62" x14ac:dyDescent="0.2">
      <c r="BJ7821" s="201"/>
    </row>
    <row r="7822" spans="62:62" x14ac:dyDescent="0.2">
      <c r="BJ7822" s="201"/>
    </row>
    <row r="7823" spans="62:62" x14ac:dyDescent="0.2">
      <c r="BJ7823" s="201"/>
    </row>
    <row r="7824" spans="62:62" x14ac:dyDescent="0.2">
      <c r="BJ7824" s="201"/>
    </row>
    <row r="7825" spans="62:62" x14ac:dyDescent="0.2">
      <c r="BJ7825" s="201"/>
    </row>
    <row r="7826" spans="62:62" x14ac:dyDescent="0.2">
      <c r="BJ7826" s="201"/>
    </row>
    <row r="7827" spans="62:62" x14ac:dyDescent="0.2">
      <c r="BJ7827" s="201"/>
    </row>
    <row r="7828" spans="62:62" x14ac:dyDescent="0.2">
      <c r="BJ7828" s="201"/>
    </row>
    <row r="7829" spans="62:62" x14ac:dyDescent="0.2">
      <c r="BJ7829" s="201"/>
    </row>
    <row r="7830" spans="62:62" x14ac:dyDescent="0.2">
      <c r="BJ7830" s="201"/>
    </row>
    <row r="7831" spans="62:62" x14ac:dyDescent="0.2">
      <c r="BJ7831" s="201"/>
    </row>
    <row r="7832" spans="62:62" x14ac:dyDescent="0.2">
      <c r="BJ7832" s="201"/>
    </row>
    <row r="7833" spans="62:62" x14ac:dyDescent="0.2">
      <c r="BJ7833" s="201"/>
    </row>
    <row r="7834" spans="62:62" x14ac:dyDescent="0.2">
      <c r="BJ7834" s="201"/>
    </row>
    <row r="7835" spans="62:62" x14ac:dyDescent="0.2">
      <c r="BJ7835" s="201"/>
    </row>
    <row r="7836" spans="62:62" x14ac:dyDescent="0.2">
      <c r="BJ7836" s="201"/>
    </row>
    <row r="7837" spans="62:62" x14ac:dyDescent="0.2">
      <c r="BJ7837" s="201"/>
    </row>
    <row r="7838" spans="62:62" x14ac:dyDescent="0.2">
      <c r="BJ7838" s="201"/>
    </row>
    <row r="7839" spans="62:62" x14ac:dyDescent="0.2">
      <c r="BJ7839" s="201"/>
    </row>
    <row r="7840" spans="62:62" x14ac:dyDescent="0.2">
      <c r="BJ7840" s="201"/>
    </row>
    <row r="7841" spans="62:62" x14ac:dyDescent="0.2">
      <c r="BJ7841" s="201"/>
    </row>
    <row r="7842" spans="62:62" x14ac:dyDescent="0.2">
      <c r="BJ7842" s="201"/>
    </row>
    <row r="7843" spans="62:62" x14ac:dyDescent="0.2">
      <c r="BJ7843" s="201"/>
    </row>
    <row r="7844" spans="62:62" x14ac:dyDescent="0.2">
      <c r="BJ7844" s="201"/>
    </row>
    <row r="7845" spans="62:62" x14ac:dyDescent="0.2">
      <c r="BJ7845" s="201"/>
    </row>
    <row r="7846" spans="62:62" x14ac:dyDescent="0.2">
      <c r="BJ7846" s="201"/>
    </row>
    <row r="7847" spans="62:62" x14ac:dyDescent="0.2">
      <c r="BJ7847" s="201"/>
    </row>
    <row r="7848" spans="62:62" x14ac:dyDescent="0.2">
      <c r="BJ7848" s="201"/>
    </row>
    <row r="7849" spans="62:62" x14ac:dyDescent="0.2">
      <c r="BJ7849" s="201"/>
    </row>
    <row r="7850" spans="62:62" x14ac:dyDescent="0.2">
      <c r="BJ7850" s="201"/>
    </row>
    <row r="7851" spans="62:62" x14ac:dyDescent="0.2">
      <c r="BJ7851" s="201"/>
    </row>
    <row r="7852" spans="62:62" x14ac:dyDescent="0.2">
      <c r="BJ7852" s="201"/>
    </row>
    <row r="7853" spans="62:62" x14ac:dyDescent="0.2">
      <c r="BJ7853" s="201"/>
    </row>
    <row r="7854" spans="62:62" x14ac:dyDescent="0.2">
      <c r="BJ7854" s="201"/>
    </row>
    <row r="7855" spans="62:62" x14ac:dyDescent="0.2">
      <c r="BJ7855" s="201"/>
    </row>
    <row r="7856" spans="62:62" x14ac:dyDescent="0.2">
      <c r="BJ7856" s="201"/>
    </row>
    <row r="7857" spans="62:62" x14ac:dyDescent="0.2">
      <c r="BJ7857" s="201"/>
    </row>
    <row r="7858" spans="62:62" x14ac:dyDescent="0.2">
      <c r="BJ7858" s="201"/>
    </row>
    <row r="7859" spans="62:62" x14ac:dyDescent="0.2">
      <c r="BJ7859" s="201"/>
    </row>
    <row r="7860" spans="62:62" x14ac:dyDescent="0.2">
      <c r="BJ7860" s="201"/>
    </row>
    <row r="7861" spans="62:62" x14ac:dyDescent="0.2">
      <c r="BJ7861" s="201"/>
    </row>
    <row r="7862" spans="62:62" x14ac:dyDescent="0.2">
      <c r="BJ7862" s="201"/>
    </row>
    <row r="7863" spans="62:62" x14ac:dyDescent="0.2">
      <c r="BJ7863" s="201"/>
    </row>
    <row r="7864" spans="62:62" x14ac:dyDescent="0.2">
      <c r="BJ7864" s="201"/>
    </row>
    <row r="7865" spans="62:62" x14ac:dyDescent="0.2">
      <c r="BJ7865" s="201"/>
    </row>
    <row r="7866" spans="62:62" x14ac:dyDescent="0.2">
      <c r="BJ7866" s="201"/>
    </row>
    <row r="7867" spans="62:62" x14ac:dyDescent="0.2">
      <c r="BJ7867" s="201"/>
    </row>
    <row r="7868" spans="62:62" x14ac:dyDescent="0.2">
      <c r="BJ7868" s="201"/>
    </row>
    <row r="7869" spans="62:62" x14ac:dyDescent="0.2">
      <c r="BJ7869" s="201"/>
    </row>
    <row r="7870" spans="62:62" x14ac:dyDescent="0.2">
      <c r="BJ7870" s="201"/>
    </row>
    <row r="7871" spans="62:62" x14ac:dyDescent="0.2">
      <c r="BJ7871" s="201"/>
    </row>
    <row r="7872" spans="62:62" x14ac:dyDescent="0.2">
      <c r="BJ7872" s="201"/>
    </row>
    <row r="7873" spans="62:62" x14ac:dyDescent="0.2">
      <c r="BJ7873" s="201"/>
    </row>
    <row r="7874" spans="62:62" x14ac:dyDescent="0.2">
      <c r="BJ7874" s="201"/>
    </row>
    <row r="7875" spans="62:62" x14ac:dyDescent="0.2">
      <c r="BJ7875" s="201"/>
    </row>
    <row r="7876" spans="62:62" x14ac:dyDescent="0.2">
      <c r="BJ7876" s="201"/>
    </row>
    <row r="7877" spans="62:62" x14ac:dyDescent="0.2">
      <c r="BJ7877" s="201"/>
    </row>
    <row r="7878" spans="62:62" x14ac:dyDescent="0.2">
      <c r="BJ7878" s="201"/>
    </row>
    <row r="7879" spans="62:62" x14ac:dyDescent="0.2">
      <c r="BJ7879" s="201"/>
    </row>
    <row r="7880" spans="62:62" x14ac:dyDescent="0.2">
      <c r="BJ7880" s="201"/>
    </row>
    <row r="7881" spans="62:62" x14ac:dyDescent="0.2">
      <c r="BJ7881" s="201"/>
    </row>
    <row r="7882" spans="62:62" x14ac:dyDescent="0.2">
      <c r="BJ7882" s="201"/>
    </row>
    <row r="7883" spans="62:62" x14ac:dyDescent="0.2">
      <c r="BJ7883" s="201"/>
    </row>
    <row r="7884" spans="62:62" x14ac:dyDescent="0.2">
      <c r="BJ7884" s="201"/>
    </row>
    <row r="7885" spans="62:62" x14ac:dyDescent="0.2">
      <c r="BJ7885" s="201"/>
    </row>
    <row r="7886" spans="62:62" x14ac:dyDescent="0.2">
      <c r="BJ7886" s="201"/>
    </row>
    <row r="7887" spans="62:62" x14ac:dyDescent="0.2">
      <c r="BJ7887" s="201"/>
    </row>
    <row r="7888" spans="62:62" x14ac:dyDescent="0.2">
      <c r="BJ7888" s="201"/>
    </row>
    <row r="7889" spans="62:62" x14ac:dyDescent="0.2">
      <c r="BJ7889" s="201"/>
    </row>
    <row r="7890" spans="62:62" x14ac:dyDescent="0.2">
      <c r="BJ7890" s="201"/>
    </row>
    <row r="7891" spans="62:62" x14ac:dyDescent="0.2">
      <c r="BJ7891" s="201"/>
    </row>
    <row r="7892" spans="62:62" x14ac:dyDescent="0.2">
      <c r="BJ7892" s="201"/>
    </row>
    <row r="7893" spans="62:62" x14ac:dyDescent="0.2">
      <c r="BJ7893" s="201"/>
    </row>
    <row r="7894" spans="62:62" x14ac:dyDescent="0.2">
      <c r="BJ7894" s="201"/>
    </row>
    <row r="7895" spans="62:62" x14ac:dyDescent="0.2">
      <c r="BJ7895" s="201"/>
    </row>
    <row r="7896" spans="62:62" x14ac:dyDescent="0.2">
      <c r="BJ7896" s="201"/>
    </row>
    <row r="7897" spans="62:62" x14ac:dyDescent="0.2">
      <c r="BJ7897" s="201"/>
    </row>
    <row r="7898" spans="62:62" x14ac:dyDescent="0.2">
      <c r="BJ7898" s="201"/>
    </row>
    <row r="7899" spans="62:62" x14ac:dyDescent="0.2">
      <c r="BJ7899" s="201"/>
    </row>
    <row r="7900" spans="62:62" x14ac:dyDescent="0.2">
      <c r="BJ7900" s="201"/>
    </row>
    <row r="7901" spans="62:62" x14ac:dyDescent="0.2">
      <c r="BJ7901" s="201"/>
    </row>
    <row r="7902" spans="62:62" x14ac:dyDescent="0.2">
      <c r="BJ7902" s="201"/>
    </row>
    <row r="7903" spans="62:62" x14ac:dyDescent="0.2">
      <c r="BJ7903" s="201"/>
    </row>
    <row r="7904" spans="62:62" x14ac:dyDescent="0.2">
      <c r="BJ7904" s="201"/>
    </row>
    <row r="7905" spans="62:62" x14ac:dyDescent="0.2">
      <c r="BJ7905" s="201"/>
    </row>
    <row r="7906" spans="62:62" x14ac:dyDescent="0.2">
      <c r="BJ7906" s="201"/>
    </row>
    <row r="7907" spans="62:62" x14ac:dyDescent="0.2">
      <c r="BJ7907" s="201"/>
    </row>
    <row r="7908" spans="62:62" x14ac:dyDescent="0.2">
      <c r="BJ7908" s="201"/>
    </row>
    <row r="7909" spans="62:62" x14ac:dyDescent="0.2">
      <c r="BJ7909" s="201"/>
    </row>
    <row r="7910" spans="62:62" x14ac:dyDescent="0.2">
      <c r="BJ7910" s="201"/>
    </row>
    <row r="7911" spans="62:62" x14ac:dyDescent="0.2">
      <c r="BJ7911" s="201"/>
    </row>
    <row r="7912" spans="62:62" x14ac:dyDescent="0.2">
      <c r="BJ7912" s="201"/>
    </row>
    <row r="7913" spans="62:62" x14ac:dyDescent="0.2">
      <c r="BJ7913" s="201"/>
    </row>
    <row r="7914" spans="62:62" x14ac:dyDescent="0.2">
      <c r="BJ7914" s="201"/>
    </row>
    <row r="7915" spans="62:62" x14ac:dyDescent="0.2">
      <c r="BJ7915" s="201"/>
    </row>
    <row r="7916" spans="62:62" x14ac:dyDescent="0.2">
      <c r="BJ7916" s="201"/>
    </row>
    <row r="7917" spans="62:62" x14ac:dyDescent="0.2">
      <c r="BJ7917" s="201"/>
    </row>
    <row r="7918" spans="62:62" x14ac:dyDescent="0.2">
      <c r="BJ7918" s="201"/>
    </row>
    <row r="7919" spans="62:62" x14ac:dyDescent="0.2">
      <c r="BJ7919" s="201"/>
    </row>
    <row r="7920" spans="62:62" x14ac:dyDescent="0.2">
      <c r="BJ7920" s="201"/>
    </row>
    <row r="7921" spans="62:62" x14ac:dyDescent="0.2">
      <c r="BJ7921" s="201"/>
    </row>
    <row r="7922" spans="62:62" x14ac:dyDescent="0.2">
      <c r="BJ7922" s="201"/>
    </row>
    <row r="7923" spans="62:62" x14ac:dyDescent="0.2">
      <c r="BJ7923" s="201"/>
    </row>
    <row r="7924" spans="62:62" x14ac:dyDescent="0.2">
      <c r="BJ7924" s="201"/>
    </row>
    <row r="7925" spans="62:62" x14ac:dyDescent="0.2">
      <c r="BJ7925" s="201"/>
    </row>
    <row r="7926" spans="62:62" x14ac:dyDescent="0.2">
      <c r="BJ7926" s="201"/>
    </row>
    <row r="7927" spans="62:62" x14ac:dyDescent="0.2">
      <c r="BJ7927" s="201"/>
    </row>
    <row r="7928" spans="62:62" x14ac:dyDescent="0.2">
      <c r="BJ7928" s="201"/>
    </row>
    <row r="7929" spans="62:62" x14ac:dyDescent="0.2">
      <c r="BJ7929" s="201"/>
    </row>
    <row r="7930" spans="62:62" x14ac:dyDescent="0.2">
      <c r="BJ7930" s="201"/>
    </row>
    <row r="7931" spans="62:62" x14ac:dyDescent="0.2">
      <c r="BJ7931" s="201"/>
    </row>
    <row r="7932" spans="62:62" x14ac:dyDescent="0.2">
      <c r="BJ7932" s="201"/>
    </row>
    <row r="7933" spans="62:62" x14ac:dyDescent="0.2">
      <c r="BJ7933" s="201"/>
    </row>
    <row r="7934" spans="62:62" x14ac:dyDescent="0.2">
      <c r="BJ7934" s="201"/>
    </row>
    <row r="7935" spans="62:62" x14ac:dyDescent="0.2">
      <c r="BJ7935" s="201"/>
    </row>
    <row r="7936" spans="62:62" x14ac:dyDescent="0.2">
      <c r="BJ7936" s="201"/>
    </row>
    <row r="7937" spans="62:62" x14ac:dyDescent="0.2">
      <c r="BJ7937" s="201"/>
    </row>
    <row r="7938" spans="62:62" x14ac:dyDescent="0.2">
      <c r="BJ7938" s="201"/>
    </row>
    <row r="7939" spans="62:62" x14ac:dyDescent="0.2">
      <c r="BJ7939" s="201"/>
    </row>
    <row r="7940" spans="62:62" x14ac:dyDescent="0.2">
      <c r="BJ7940" s="201"/>
    </row>
    <row r="7941" spans="62:62" x14ac:dyDescent="0.2">
      <c r="BJ7941" s="201"/>
    </row>
    <row r="7942" spans="62:62" x14ac:dyDescent="0.2">
      <c r="BJ7942" s="201"/>
    </row>
    <row r="7943" spans="62:62" x14ac:dyDescent="0.2">
      <c r="BJ7943" s="201"/>
    </row>
    <row r="7944" spans="62:62" x14ac:dyDescent="0.2">
      <c r="BJ7944" s="201"/>
    </row>
    <row r="7945" spans="62:62" x14ac:dyDescent="0.2">
      <c r="BJ7945" s="201"/>
    </row>
    <row r="7946" spans="62:62" x14ac:dyDescent="0.2">
      <c r="BJ7946" s="201"/>
    </row>
    <row r="7947" spans="62:62" x14ac:dyDescent="0.2">
      <c r="BJ7947" s="201"/>
    </row>
    <row r="7948" spans="62:62" x14ac:dyDescent="0.2">
      <c r="BJ7948" s="201"/>
    </row>
    <row r="7949" spans="62:62" x14ac:dyDescent="0.2">
      <c r="BJ7949" s="201"/>
    </row>
    <row r="7950" spans="62:62" x14ac:dyDescent="0.2">
      <c r="BJ7950" s="201"/>
    </row>
    <row r="7951" spans="62:62" x14ac:dyDescent="0.2">
      <c r="BJ7951" s="201"/>
    </row>
    <row r="7952" spans="62:62" x14ac:dyDescent="0.2">
      <c r="BJ7952" s="201"/>
    </row>
    <row r="7953" spans="62:62" x14ac:dyDescent="0.2">
      <c r="BJ7953" s="201"/>
    </row>
    <row r="7954" spans="62:62" x14ac:dyDescent="0.2">
      <c r="BJ7954" s="201"/>
    </row>
    <row r="7955" spans="62:62" x14ac:dyDescent="0.2">
      <c r="BJ7955" s="201"/>
    </row>
    <row r="7956" spans="62:62" x14ac:dyDescent="0.2">
      <c r="BJ7956" s="201"/>
    </row>
    <row r="7957" spans="62:62" x14ac:dyDescent="0.2">
      <c r="BJ7957" s="201"/>
    </row>
    <row r="7958" spans="62:62" x14ac:dyDescent="0.2">
      <c r="BJ7958" s="201"/>
    </row>
    <row r="7959" spans="62:62" x14ac:dyDescent="0.2">
      <c r="BJ7959" s="201"/>
    </row>
    <row r="7960" spans="62:62" x14ac:dyDescent="0.2">
      <c r="BJ7960" s="201"/>
    </row>
    <row r="7961" spans="62:62" x14ac:dyDescent="0.2">
      <c r="BJ7961" s="201"/>
    </row>
    <row r="7962" spans="62:62" x14ac:dyDescent="0.2">
      <c r="BJ7962" s="201"/>
    </row>
    <row r="7963" spans="62:62" x14ac:dyDescent="0.2">
      <c r="BJ7963" s="201"/>
    </row>
    <row r="7964" spans="62:62" x14ac:dyDescent="0.2">
      <c r="BJ7964" s="201"/>
    </row>
    <row r="7965" spans="62:62" x14ac:dyDescent="0.2">
      <c r="BJ7965" s="201"/>
    </row>
    <row r="7966" spans="62:62" x14ac:dyDescent="0.2">
      <c r="BJ7966" s="201"/>
    </row>
    <row r="7967" spans="62:62" x14ac:dyDescent="0.2">
      <c r="BJ7967" s="201"/>
    </row>
    <row r="7968" spans="62:62" x14ac:dyDescent="0.2">
      <c r="BJ7968" s="201"/>
    </row>
    <row r="7969" spans="62:62" x14ac:dyDescent="0.2">
      <c r="BJ7969" s="201"/>
    </row>
    <row r="7970" spans="62:62" x14ac:dyDescent="0.2">
      <c r="BJ7970" s="201"/>
    </row>
    <row r="7971" spans="62:62" x14ac:dyDescent="0.2">
      <c r="BJ7971" s="201"/>
    </row>
    <row r="7972" spans="62:62" x14ac:dyDescent="0.2">
      <c r="BJ7972" s="201"/>
    </row>
    <row r="7973" spans="62:62" x14ac:dyDescent="0.2">
      <c r="BJ7973" s="201"/>
    </row>
    <row r="7974" spans="62:62" x14ac:dyDescent="0.2">
      <c r="BJ7974" s="201"/>
    </row>
    <row r="7975" spans="62:62" x14ac:dyDescent="0.2">
      <c r="BJ7975" s="201"/>
    </row>
    <row r="7976" spans="62:62" x14ac:dyDescent="0.2">
      <c r="BJ7976" s="201"/>
    </row>
    <row r="7977" spans="62:62" x14ac:dyDescent="0.2">
      <c r="BJ7977" s="201"/>
    </row>
    <row r="7978" spans="62:62" x14ac:dyDescent="0.2">
      <c r="BJ7978" s="201"/>
    </row>
    <row r="7979" spans="62:62" x14ac:dyDescent="0.2">
      <c r="BJ7979" s="201"/>
    </row>
    <row r="7980" spans="62:62" x14ac:dyDescent="0.2">
      <c r="BJ7980" s="201"/>
    </row>
    <row r="7981" spans="62:62" x14ac:dyDescent="0.2">
      <c r="BJ7981" s="201"/>
    </row>
    <row r="7982" spans="62:62" x14ac:dyDescent="0.2">
      <c r="BJ7982" s="201"/>
    </row>
    <row r="7983" spans="62:62" x14ac:dyDescent="0.2">
      <c r="BJ7983" s="201"/>
    </row>
    <row r="7984" spans="62:62" x14ac:dyDescent="0.2">
      <c r="BJ7984" s="201"/>
    </row>
    <row r="7985" spans="62:62" x14ac:dyDescent="0.2">
      <c r="BJ7985" s="201"/>
    </row>
    <row r="7986" spans="62:62" x14ac:dyDescent="0.2">
      <c r="BJ7986" s="201"/>
    </row>
    <row r="7987" spans="62:62" x14ac:dyDescent="0.2">
      <c r="BJ7987" s="201"/>
    </row>
    <row r="7988" spans="62:62" x14ac:dyDescent="0.2">
      <c r="BJ7988" s="201"/>
    </row>
    <row r="7989" spans="62:62" x14ac:dyDescent="0.2">
      <c r="BJ7989" s="201"/>
    </row>
    <row r="7990" spans="62:62" x14ac:dyDescent="0.2">
      <c r="BJ7990" s="201"/>
    </row>
    <row r="7991" spans="62:62" x14ac:dyDescent="0.2">
      <c r="BJ7991" s="201"/>
    </row>
    <row r="7992" spans="62:62" x14ac:dyDescent="0.2">
      <c r="BJ7992" s="201"/>
    </row>
    <row r="7993" spans="62:62" x14ac:dyDescent="0.2">
      <c r="BJ7993" s="201"/>
    </row>
    <row r="7994" spans="62:62" x14ac:dyDescent="0.2">
      <c r="BJ7994" s="201"/>
    </row>
    <row r="7995" spans="62:62" x14ac:dyDescent="0.2">
      <c r="BJ7995" s="201"/>
    </row>
    <row r="7996" spans="62:62" x14ac:dyDescent="0.2">
      <c r="BJ7996" s="201"/>
    </row>
    <row r="7997" spans="62:62" x14ac:dyDescent="0.2">
      <c r="BJ7997" s="201"/>
    </row>
    <row r="7998" spans="62:62" x14ac:dyDescent="0.2">
      <c r="BJ7998" s="201"/>
    </row>
    <row r="7999" spans="62:62" x14ac:dyDescent="0.2">
      <c r="BJ7999" s="201"/>
    </row>
    <row r="8000" spans="62:62" x14ac:dyDescent="0.2">
      <c r="BJ8000" s="201"/>
    </row>
    <row r="8001" spans="62:62" x14ac:dyDescent="0.2">
      <c r="BJ8001" s="201"/>
    </row>
    <row r="8002" spans="62:62" x14ac:dyDescent="0.2">
      <c r="BJ8002" s="201"/>
    </row>
    <row r="8003" spans="62:62" x14ac:dyDescent="0.2">
      <c r="BJ8003" s="201"/>
    </row>
    <row r="8004" spans="62:62" x14ac:dyDescent="0.2">
      <c r="BJ8004" s="201"/>
    </row>
    <row r="8005" spans="62:62" x14ac:dyDescent="0.2">
      <c r="BJ8005" s="201"/>
    </row>
    <row r="8006" spans="62:62" x14ac:dyDescent="0.2">
      <c r="BJ8006" s="201"/>
    </row>
    <row r="8007" spans="62:62" x14ac:dyDescent="0.2">
      <c r="BJ8007" s="201"/>
    </row>
    <row r="8008" spans="62:62" x14ac:dyDescent="0.2">
      <c r="BJ8008" s="201"/>
    </row>
    <row r="8009" spans="62:62" x14ac:dyDescent="0.2">
      <c r="BJ8009" s="201"/>
    </row>
    <row r="8010" spans="62:62" x14ac:dyDescent="0.2">
      <c r="BJ8010" s="201"/>
    </row>
    <row r="8011" spans="62:62" x14ac:dyDescent="0.2">
      <c r="BJ8011" s="201"/>
    </row>
    <row r="8012" spans="62:62" x14ac:dyDescent="0.2">
      <c r="BJ8012" s="201"/>
    </row>
    <row r="8013" spans="62:62" x14ac:dyDescent="0.2">
      <c r="BJ8013" s="201"/>
    </row>
    <row r="8014" spans="62:62" x14ac:dyDescent="0.2">
      <c r="BJ8014" s="201"/>
    </row>
    <row r="8015" spans="62:62" x14ac:dyDescent="0.2">
      <c r="BJ8015" s="201"/>
    </row>
    <row r="8016" spans="62:62" x14ac:dyDescent="0.2">
      <c r="BJ8016" s="201"/>
    </row>
    <row r="8017" spans="62:62" x14ac:dyDescent="0.2">
      <c r="BJ8017" s="201"/>
    </row>
    <row r="8018" spans="62:62" x14ac:dyDescent="0.2">
      <c r="BJ8018" s="201"/>
    </row>
    <row r="8019" spans="62:62" x14ac:dyDescent="0.2">
      <c r="BJ8019" s="201"/>
    </row>
    <row r="8020" spans="62:62" x14ac:dyDescent="0.2">
      <c r="BJ8020" s="201"/>
    </row>
    <row r="8021" spans="62:62" x14ac:dyDescent="0.2">
      <c r="BJ8021" s="201"/>
    </row>
    <row r="8022" spans="62:62" x14ac:dyDescent="0.2">
      <c r="BJ8022" s="201"/>
    </row>
    <row r="8023" spans="62:62" x14ac:dyDescent="0.2">
      <c r="BJ8023" s="201"/>
    </row>
    <row r="8024" spans="62:62" x14ac:dyDescent="0.2">
      <c r="BJ8024" s="201"/>
    </row>
    <row r="8025" spans="62:62" x14ac:dyDescent="0.2">
      <c r="BJ8025" s="201"/>
    </row>
    <row r="8026" spans="62:62" x14ac:dyDescent="0.2">
      <c r="BJ8026" s="201"/>
    </row>
    <row r="8027" spans="62:62" x14ac:dyDescent="0.2">
      <c r="BJ8027" s="201"/>
    </row>
    <row r="8028" spans="62:62" x14ac:dyDescent="0.2">
      <c r="BJ8028" s="201"/>
    </row>
    <row r="8029" spans="62:62" x14ac:dyDescent="0.2">
      <c r="BJ8029" s="201"/>
    </row>
    <row r="8030" spans="62:62" x14ac:dyDescent="0.2">
      <c r="BJ8030" s="201"/>
    </row>
    <row r="8031" spans="62:62" x14ac:dyDescent="0.2">
      <c r="BJ8031" s="201"/>
    </row>
    <row r="8032" spans="62:62" x14ac:dyDescent="0.2">
      <c r="BJ8032" s="201"/>
    </row>
    <row r="8033" spans="62:62" x14ac:dyDescent="0.2">
      <c r="BJ8033" s="201"/>
    </row>
    <row r="8034" spans="62:62" x14ac:dyDescent="0.2">
      <c r="BJ8034" s="201"/>
    </row>
    <row r="8035" spans="62:62" x14ac:dyDescent="0.2">
      <c r="BJ8035" s="201"/>
    </row>
    <row r="8036" spans="62:62" x14ac:dyDescent="0.2">
      <c r="BJ8036" s="201"/>
    </row>
    <row r="8037" spans="62:62" x14ac:dyDescent="0.2">
      <c r="BJ8037" s="201"/>
    </row>
    <row r="8038" spans="62:62" x14ac:dyDescent="0.2">
      <c r="BJ8038" s="201"/>
    </row>
    <row r="8039" spans="62:62" x14ac:dyDescent="0.2">
      <c r="BJ8039" s="201"/>
    </row>
    <row r="8040" spans="62:62" x14ac:dyDescent="0.2">
      <c r="BJ8040" s="201"/>
    </row>
    <row r="8041" spans="62:62" x14ac:dyDescent="0.2">
      <c r="BJ8041" s="201"/>
    </row>
    <row r="8042" spans="62:62" x14ac:dyDescent="0.2">
      <c r="BJ8042" s="201"/>
    </row>
    <row r="8043" spans="62:62" x14ac:dyDescent="0.2">
      <c r="BJ8043" s="201"/>
    </row>
    <row r="8044" spans="62:62" x14ac:dyDescent="0.2">
      <c r="BJ8044" s="201"/>
    </row>
    <row r="8045" spans="62:62" x14ac:dyDescent="0.2">
      <c r="BJ8045" s="201"/>
    </row>
    <row r="8046" spans="62:62" x14ac:dyDescent="0.2">
      <c r="BJ8046" s="201"/>
    </row>
    <row r="8047" spans="62:62" x14ac:dyDescent="0.2">
      <c r="BJ8047" s="201"/>
    </row>
    <row r="8048" spans="62:62" x14ac:dyDescent="0.2">
      <c r="BJ8048" s="201"/>
    </row>
    <row r="8049" spans="62:62" x14ac:dyDescent="0.2">
      <c r="BJ8049" s="201"/>
    </row>
    <row r="8050" spans="62:62" x14ac:dyDescent="0.2">
      <c r="BJ8050" s="201"/>
    </row>
    <row r="8051" spans="62:62" x14ac:dyDescent="0.2">
      <c r="BJ8051" s="201"/>
    </row>
    <row r="8052" spans="62:62" x14ac:dyDescent="0.2">
      <c r="BJ8052" s="201"/>
    </row>
    <row r="8053" spans="62:62" x14ac:dyDescent="0.2">
      <c r="BJ8053" s="201"/>
    </row>
    <row r="8054" spans="62:62" x14ac:dyDescent="0.2">
      <c r="BJ8054" s="201"/>
    </row>
    <row r="8055" spans="62:62" x14ac:dyDescent="0.2">
      <c r="BJ8055" s="201"/>
    </row>
    <row r="8056" spans="62:62" x14ac:dyDescent="0.2">
      <c r="BJ8056" s="201"/>
    </row>
    <row r="8057" spans="62:62" x14ac:dyDescent="0.2">
      <c r="BJ8057" s="201"/>
    </row>
    <row r="8058" spans="62:62" x14ac:dyDescent="0.2">
      <c r="BJ8058" s="201"/>
    </row>
    <row r="8059" spans="62:62" x14ac:dyDescent="0.2">
      <c r="BJ8059" s="201"/>
    </row>
    <row r="8060" spans="62:62" x14ac:dyDescent="0.2">
      <c r="BJ8060" s="201"/>
    </row>
    <row r="8061" spans="62:62" x14ac:dyDescent="0.2">
      <c r="BJ8061" s="201"/>
    </row>
    <row r="8062" spans="62:62" x14ac:dyDescent="0.2">
      <c r="BJ8062" s="201"/>
    </row>
    <row r="8063" spans="62:62" x14ac:dyDescent="0.2">
      <c r="BJ8063" s="201"/>
    </row>
    <row r="8064" spans="62:62" x14ac:dyDescent="0.2">
      <c r="BJ8064" s="201"/>
    </row>
    <row r="8065" spans="62:62" x14ac:dyDescent="0.2">
      <c r="BJ8065" s="201"/>
    </row>
    <row r="8066" spans="62:62" x14ac:dyDescent="0.2">
      <c r="BJ8066" s="201"/>
    </row>
    <row r="8067" spans="62:62" x14ac:dyDescent="0.2">
      <c r="BJ8067" s="201"/>
    </row>
    <row r="8068" spans="62:62" x14ac:dyDescent="0.2">
      <c r="BJ8068" s="201"/>
    </row>
    <row r="8069" spans="62:62" x14ac:dyDescent="0.2">
      <c r="BJ8069" s="201"/>
    </row>
    <row r="8070" spans="62:62" x14ac:dyDescent="0.2">
      <c r="BJ8070" s="201"/>
    </row>
    <row r="8071" spans="62:62" x14ac:dyDescent="0.2">
      <c r="BJ8071" s="201"/>
    </row>
    <row r="8072" spans="62:62" x14ac:dyDescent="0.2">
      <c r="BJ8072" s="201"/>
    </row>
    <row r="8073" spans="62:62" x14ac:dyDescent="0.2">
      <c r="BJ8073" s="201"/>
    </row>
    <row r="8074" spans="62:62" x14ac:dyDescent="0.2">
      <c r="BJ8074" s="201"/>
    </row>
    <row r="8075" spans="62:62" x14ac:dyDescent="0.2">
      <c r="BJ8075" s="201"/>
    </row>
    <row r="8076" spans="62:62" x14ac:dyDescent="0.2">
      <c r="BJ8076" s="201"/>
    </row>
    <row r="8077" spans="62:62" x14ac:dyDescent="0.2">
      <c r="BJ8077" s="201"/>
    </row>
    <row r="8078" spans="62:62" x14ac:dyDescent="0.2">
      <c r="BJ8078" s="201"/>
    </row>
    <row r="8079" spans="62:62" x14ac:dyDescent="0.2">
      <c r="BJ8079" s="201"/>
    </row>
    <row r="8080" spans="62:62" x14ac:dyDescent="0.2">
      <c r="BJ8080" s="201"/>
    </row>
    <row r="8081" spans="62:62" x14ac:dyDescent="0.2">
      <c r="BJ8081" s="201"/>
    </row>
    <row r="8082" spans="62:62" x14ac:dyDescent="0.2">
      <c r="BJ8082" s="201"/>
    </row>
    <row r="8083" spans="62:62" x14ac:dyDescent="0.2">
      <c r="BJ8083" s="201"/>
    </row>
    <row r="8084" spans="62:62" x14ac:dyDescent="0.2">
      <c r="BJ8084" s="201"/>
    </row>
    <row r="8085" spans="62:62" x14ac:dyDescent="0.2">
      <c r="BJ8085" s="201"/>
    </row>
    <row r="8086" spans="62:62" x14ac:dyDescent="0.2">
      <c r="BJ8086" s="201"/>
    </row>
    <row r="8087" spans="62:62" x14ac:dyDescent="0.2">
      <c r="BJ8087" s="201"/>
    </row>
    <row r="8088" spans="62:62" x14ac:dyDescent="0.2">
      <c r="BJ8088" s="201"/>
    </row>
    <row r="8089" spans="62:62" x14ac:dyDescent="0.2">
      <c r="BJ8089" s="201"/>
    </row>
    <row r="8090" spans="62:62" x14ac:dyDescent="0.2">
      <c r="BJ8090" s="201"/>
    </row>
    <row r="8091" spans="62:62" x14ac:dyDescent="0.2">
      <c r="BJ8091" s="201"/>
    </row>
    <row r="8092" spans="62:62" x14ac:dyDescent="0.2">
      <c r="BJ8092" s="201"/>
    </row>
    <row r="8093" spans="62:62" x14ac:dyDescent="0.2">
      <c r="BJ8093" s="201"/>
    </row>
    <row r="8094" spans="62:62" x14ac:dyDescent="0.2">
      <c r="BJ8094" s="201"/>
    </row>
    <row r="8095" spans="62:62" x14ac:dyDescent="0.2">
      <c r="BJ8095" s="201"/>
    </row>
    <row r="8096" spans="62:62" x14ac:dyDescent="0.2">
      <c r="BJ8096" s="201"/>
    </row>
    <row r="8097" spans="62:62" x14ac:dyDescent="0.2">
      <c r="BJ8097" s="201"/>
    </row>
    <row r="8098" spans="62:62" x14ac:dyDescent="0.2">
      <c r="BJ8098" s="201"/>
    </row>
    <row r="8099" spans="62:62" x14ac:dyDescent="0.2">
      <c r="BJ8099" s="201"/>
    </row>
    <row r="8100" spans="62:62" x14ac:dyDescent="0.2">
      <c r="BJ8100" s="201"/>
    </row>
    <row r="8101" spans="62:62" x14ac:dyDescent="0.2">
      <c r="BJ8101" s="201"/>
    </row>
    <row r="8102" spans="62:62" x14ac:dyDescent="0.2">
      <c r="BJ8102" s="201"/>
    </row>
    <row r="8103" spans="62:62" x14ac:dyDescent="0.2">
      <c r="BJ8103" s="201"/>
    </row>
    <row r="8104" spans="62:62" x14ac:dyDescent="0.2">
      <c r="BJ8104" s="201"/>
    </row>
    <row r="8105" spans="62:62" x14ac:dyDescent="0.2">
      <c r="BJ8105" s="201"/>
    </row>
    <row r="8106" spans="62:62" x14ac:dyDescent="0.2">
      <c r="BJ8106" s="201"/>
    </row>
    <row r="8107" spans="62:62" x14ac:dyDescent="0.2">
      <c r="BJ8107" s="201"/>
    </row>
    <row r="8108" spans="62:62" x14ac:dyDescent="0.2">
      <c r="BJ8108" s="201"/>
    </row>
    <row r="8109" spans="62:62" x14ac:dyDescent="0.2">
      <c r="BJ8109" s="201"/>
    </row>
    <row r="8110" spans="62:62" x14ac:dyDescent="0.2">
      <c r="BJ8110" s="201"/>
    </row>
    <row r="8111" spans="62:62" x14ac:dyDescent="0.2">
      <c r="BJ8111" s="201"/>
    </row>
    <row r="8112" spans="62:62" x14ac:dyDescent="0.2">
      <c r="BJ8112" s="201"/>
    </row>
    <row r="8113" spans="62:62" x14ac:dyDescent="0.2">
      <c r="BJ8113" s="201"/>
    </row>
    <row r="8114" spans="62:62" x14ac:dyDescent="0.2">
      <c r="BJ8114" s="201"/>
    </row>
    <row r="8115" spans="62:62" x14ac:dyDescent="0.2">
      <c r="BJ8115" s="201"/>
    </row>
    <row r="8116" spans="62:62" x14ac:dyDescent="0.2">
      <c r="BJ8116" s="201"/>
    </row>
    <row r="8117" spans="62:62" x14ac:dyDescent="0.2">
      <c r="BJ8117" s="201"/>
    </row>
    <row r="8118" spans="62:62" x14ac:dyDescent="0.2">
      <c r="BJ8118" s="201"/>
    </row>
    <row r="8119" spans="62:62" x14ac:dyDescent="0.2">
      <c r="BJ8119" s="201"/>
    </row>
    <row r="8120" spans="62:62" x14ac:dyDescent="0.2">
      <c r="BJ8120" s="201"/>
    </row>
    <row r="8121" spans="62:62" x14ac:dyDescent="0.2">
      <c r="BJ8121" s="201"/>
    </row>
    <row r="8122" spans="62:62" x14ac:dyDescent="0.2">
      <c r="BJ8122" s="201"/>
    </row>
    <row r="8123" spans="62:62" x14ac:dyDescent="0.2">
      <c r="BJ8123" s="201"/>
    </row>
    <row r="8124" spans="62:62" x14ac:dyDescent="0.2">
      <c r="BJ8124" s="201"/>
    </row>
    <row r="8125" spans="62:62" x14ac:dyDescent="0.2">
      <c r="BJ8125" s="201"/>
    </row>
    <row r="8126" spans="62:62" x14ac:dyDescent="0.2">
      <c r="BJ8126" s="201"/>
    </row>
    <row r="8127" spans="62:62" x14ac:dyDescent="0.2">
      <c r="BJ8127" s="201"/>
    </row>
    <row r="8128" spans="62:62" x14ac:dyDescent="0.2">
      <c r="BJ8128" s="201"/>
    </row>
    <row r="8129" spans="62:62" x14ac:dyDescent="0.2">
      <c r="BJ8129" s="201"/>
    </row>
    <row r="8130" spans="62:62" x14ac:dyDescent="0.2">
      <c r="BJ8130" s="201"/>
    </row>
    <row r="8131" spans="62:62" x14ac:dyDescent="0.2">
      <c r="BJ8131" s="201"/>
    </row>
    <row r="8132" spans="62:62" x14ac:dyDescent="0.2">
      <c r="BJ8132" s="201"/>
    </row>
    <row r="8133" spans="62:62" x14ac:dyDescent="0.2">
      <c r="BJ8133" s="201"/>
    </row>
    <row r="8134" spans="62:62" x14ac:dyDescent="0.2">
      <c r="BJ8134" s="201"/>
    </row>
    <row r="8135" spans="62:62" x14ac:dyDescent="0.2">
      <c r="BJ8135" s="201"/>
    </row>
    <row r="8136" spans="62:62" x14ac:dyDescent="0.2">
      <c r="BJ8136" s="201"/>
    </row>
    <row r="8137" spans="62:62" x14ac:dyDescent="0.2">
      <c r="BJ8137" s="201"/>
    </row>
    <row r="8138" spans="62:62" x14ac:dyDescent="0.2">
      <c r="BJ8138" s="201"/>
    </row>
    <row r="8139" spans="62:62" x14ac:dyDescent="0.2">
      <c r="BJ8139" s="201"/>
    </row>
    <row r="8140" spans="62:62" x14ac:dyDescent="0.2">
      <c r="BJ8140" s="201"/>
    </row>
    <row r="8141" spans="62:62" x14ac:dyDescent="0.2">
      <c r="BJ8141" s="201"/>
    </row>
    <row r="8142" spans="62:62" x14ac:dyDescent="0.2">
      <c r="BJ8142" s="201"/>
    </row>
    <row r="8143" spans="62:62" x14ac:dyDescent="0.2">
      <c r="BJ8143" s="201"/>
    </row>
    <row r="8144" spans="62:62" x14ac:dyDescent="0.2">
      <c r="BJ8144" s="201"/>
    </row>
    <row r="8145" spans="62:62" x14ac:dyDescent="0.2">
      <c r="BJ8145" s="201"/>
    </row>
    <row r="8146" spans="62:62" x14ac:dyDescent="0.2">
      <c r="BJ8146" s="201"/>
    </row>
    <row r="8147" spans="62:62" x14ac:dyDescent="0.2">
      <c r="BJ8147" s="201"/>
    </row>
    <row r="8148" spans="62:62" x14ac:dyDescent="0.2">
      <c r="BJ8148" s="201"/>
    </row>
    <row r="8149" spans="62:62" x14ac:dyDescent="0.2">
      <c r="BJ8149" s="201"/>
    </row>
    <row r="8150" spans="62:62" x14ac:dyDescent="0.2">
      <c r="BJ8150" s="201"/>
    </row>
    <row r="8151" spans="62:62" x14ac:dyDescent="0.2">
      <c r="BJ8151" s="201"/>
    </row>
    <row r="8152" spans="62:62" x14ac:dyDescent="0.2">
      <c r="BJ8152" s="201"/>
    </row>
    <row r="8153" spans="62:62" x14ac:dyDescent="0.2">
      <c r="BJ8153" s="201"/>
    </row>
    <row r="8154" spans="62:62" x14ac:dyDescent="0.2">
      <c r="BJ8154" s="201"/>
    </row>
    <row r="8155" spans="62:62" x14ac:dyDescent="0.2">
      <c r="BJ8155" s="201"/>
    </row>
    <row r="8156" spans="62:62" x14ac:dyDescent="0.2">
      <c r="BJ8156" s="201"/>
    </row>
    <row r="8157" spans="62:62" x14ac:dyDescent="0.2">
      <c r="BJ8157" s="201"/>
    </row>
    <row r="8158" spans="62:62" x14ac:dyDescent="0.2">
      <c r="BJ8158" s="201"/>
    </row>
    <row r="8159" spans="62:62" x14ac:dyDescent="0.2">
      <c r="BJ8159" s="201"/>
    </row>
    <row r="8160" spans="62:62" x14ac:dyDescent="0.2">
      <c r="BJ8160" s="201"/>
    </row>
    <row r="8161" spans="62:62" x14ac:dyDescent="0.2">
      <c r="BJ8161" s="201"/>
    </row>
    <row r="8162" spans="62:62" x14ac:dyDescent="0.2">
      <c r="BJ8162" s="201"/>
    </row>
    <row r="8163" spans="62:62" x14ac:dyDescent="0.2">
      <c r="BJ8163" s="201"/>
    </row>
    <row r="8164" spans="62:62" x14ac:dyDescent="0.2">
      <c r="BJ8164" s="201"/>
    </row>
    <row r="8165" spans="62:62" x14ac:dyDescent="0.2">
      <c r="BJ8165" s="201"/>
    </row>
    <row r="8166" spans="62:62" x14ac:dyDescent="0.2">
      <c r="BJ8166" s="201"/>
    </row>
    <row r="8167" spans="62:62" x14ac:dyDescent="0.2">
      <c r="BJ8167" s="201"/>
    </row>
    <row r="8168" spans="62:62" x14ac:dyDescent="0.2">
      <c r="BJ8168" s="201"/>
    </row>
    <row r="8169" spans="62:62" x14ac:dyDescent="0.2">
      <c r="BJ8169" s="201"/>
    </row>
    <row r="8170" spans="62:62" x14ac:dyDescent="0.2">
      <c r="BJ8170" s="201"/>
    </row>
    <row r="8171" spans="62:62" x14ac:dyDescent="0.2">
      <c r="BJ8171" s="201"/>
    </row>
    <row r="8172" spans="62:62" x14ac:dyDescent="0.2">
      <c r="BJ8172" s="201"/>
    </row>
    <row r="8173" spans="62:62" x14ac:dyDescent="0.2">
      <c r="BJ8173" s="201"/>
    </row>
    <row r="8174" spans="62:62" x14ac:dyDescent="0.2">
      <c r="BJ8174" s="201"/>
    </row>
    <row r="8175" spans="62:62" x14ac:dyDescent="0.2">
      <c r="BJ8175" s="201"/>
    </row>
    <row r="8176" spans="62:62" x14ac:dyDescent="0.2">
      <c r="BJ8176" s="201"/>
    </row>
    <row r="8177" spans="62:62" x14ac:dyDescent="0.2">
      <c r="BJ8177" s="201"/>
    </row>
    <row r="8178" spans="62:62" x14ac:dyDescent="0.2">
      <c r="BJ8178" s="201"/>
    </row>
    <row r="8179" spans="62:62" x14ac:dyDescent="0.2">
      <c r="BJ8179" s="201"/>
    </row>
    <row r="8180" spans="62:62" x14ac:dyDescent="0.2">
      <c r="BJ8180" s="201"/>
    </row>
    <row r="8181" spans="62:62" x14ac:dyDescent="0.2">
      <c r="BJ8181" s="201"/>
    </row>
    <row r="8182" spans="62:62" x14ac:dyDescent="0.2">
      <c r="BJ8182" s="201"/>
    </row>
    <row r="8183" spans="62:62" x14ac:dyDescent="0.2">
      <c r="BJ8183" s="201"/>
    </row>
    <row r="8184" spans="62:62" x14ac:dyDescent="0.2">
      <c r="BJ8184" s="201"/>
    </row>
    <row r="8185" spans="62:62" x14ac:dyDescent="0.2">
      <c r="BJ8185" s="201"/>
    </row>
    <row r="8186" spans="62:62" x14ac:dyDescent="0.2">
      <c r="BJ8186" s="201"/>
    </row>
    <row r="8187" spans="62:62" x14ac:dyDescent="0.2">
      <c r="BJ8187" s="201"/>
    </row>
    <row r="8188" spans="62:62" x14ac:dyDescent="0.2">
      <c r="BJ8188" s="201"/>
    </row>
    <row r="8189" spans="62:62" x14ac:dyDescent="0.2">
      <c r="BJ8189" s="201"/>
    </row>
    <row r="8190" spans="62:62" x14ac:dyDescent="0.2">
      <c r="BJ8190" s="201"/>
    </row>
    <row r="8191" spans="62:62" x14ac:dyDescent="0.2">
      <c r="BJ8191" s="201"/>
    </row>
    <row r="8192" spans="62:62" x14ac:dyDescent="0.2">
      <c r="BJ8192" s="201"/>
    </row>
    <row r="8193" spans="62:62" x14ac:dyDescent="0.2">
      <c r="BJ8193" s="201"/>
    </row>
    <row r="8194" spans="62:62" x14ac:dyDescent="0.2">
      <c r="BJ8194" s="201"/>
    </row>
    <row r="8195" spans="62:62" x14ac:dyDescent="0.2">
      <c r="BJ8195" s="201"/>
    </row>
    <row r="8196" spans="62:62" x14ac:dyDescent="0.2">
      <c r="BJ8196" s="201"/>
    </row>
    <row r="8197" spans="62:62" x14ac:dyDescent="0.2">
      <c r="BJ8197" s="201"/>
    </row>
    <row r="8198" spans="62:62" x14ac:dyDescent="0.2">
      <c r="BJ8198" s="201"/>
    </row>
    <row r="8199" spans="62:62" x14ac:dyDescent="0.2">
      <c r="BJ8199" s="201"/>
    </row>
    <row r="8200" spans="62:62" x14ac:dyDescent="0.2">
      <c r="BJ8200" s="201"/>
    </row>
    <row r="8201" spans="62:62" x14ac:dyDescent="0.2">
      <c r="BJ8201" s="201"/>
    </row>
    <row r="8202" spans="62:62" x14ac:dyDescent="0.2">
      <c r="BJ8202" s="201"/>
    </row>
    <row r="8203" spans="62:62" x14ac:dyDescent="0.2">
      <c r="BJ8203" s="201"/>
    </row>
    <row r="8204" spans="62:62" x14ac:dyDescent="0.2">
      <c r="BJ8204" s="201"/>
    </row>
    <row r="8205" spans="62:62" x14ac:dyDescent="0.2">
      <c r="BJ8205" s="201"/>
    </row>
    <row r="8206" spans="62:62" x14ac:dyDescent="0.2">
      <c r="BJ8206" s="201"/>
    </row>
    <row r="8207" spans="62:62" x14ac:dyDescent="0.2">
      <c r="BJ8207" s="201"/>
    </row>
    <row r="8208" spans="62:62" x14ac:dyDescent="0.2">
      <c r="BJ8208" s="201"/>
    </row>
    <row r="8209" spans="62:62" x14ac:dyDescent="0.2">
      <c r="BJ8209" s="201"/>
    </row>
    <row r="8210" spans="62:62" x14ac:dyDescent="0.2">
      <c r="BJ8210" s="201"/>
    </row>
    <row r="8211" spans="62:62" x14ac:dyDescent="0.2">
      <c r="BJ8211" s="201"/>
    </row>
    <row r="8212" spans="62:62" x14ac:dyDescent="0.2">
      <c r="BJ8212" s="201"/>
    </row>
    <row r="8213" spans="62:62" x14ac:dyDescent="0.2">
      <c r="BJ8213" s="201"/>
    </row>
    <row r="8214" spans="62:62" x14ac:dyDescent="0.2">
      <c r="BJ8214" s="201"/>
    </row>
    <row r="8215" spans="62:62" x14ac:dyDescent="0.2">
      <c r="BJ8215" s="201"/>
    </row>
    <row r="8216" spans="62:62" x14ac:dyDescent="0.2">
      <c r="BJ8216" s="201"/>
    </row>
    <row r="8217" spans="62:62" x14ac:dyDescent="0.2">
      <c r="BJ8217" s="201"/>
    </row>
    <row r="8218" spans="62:62" x14ac:dyDescent="0.2">
      <c r="BJ8218" s="201"/>
    </row>
    <row r="8219" spans="62:62" x14ac:dyDescent="0.2">
      <c r="BJ8219" s="201"/>
    </row>
    <row r="8220" spans="62:62" x14ac:dyDescent="0.2">
      <c r="BJ8220" s="201"/>
    </row>
    <row r="8221" spans="62:62" x14ac:dyDescent="0.2">
      <c r="BJ8221" s="201"/>
    </row>
    <row r="8222" spans="62:62" x14ac:dyDescent="0.2">
      <c r="BJ8222" s="201"/>
    </row>
    <row r="8223" spans="62:62" x14ac:dyDescent="0.2">
      <c r="BJ8223" s="201"/>
    </row>
    <row r="8224" spans="62:62" x14ac:dyDescent="0.2">
      <c r="BJ8224" s="201"/>
    </row>
    <row r="8225" spans="62:62" x14ac:dyDescent="0.2">
      <c r="BJ8225" s="201"/>
    </row>
    <row r="8226" spans="62:62" x14ac:dyDescent="0.2">
      <c r="BJ8226" s="201"/>
    </row>
    <row r="8227" spans="62:62" x14ac:dyDescent="0.2">
      <c r="BJ8227" s="201"/>
    </row>
    <row r="8228" spans="62:62" x14ac:dyDescent="0.2">
      <c r="BJ8228" s="201"/>
    </row>
    <row r="8229" spans="62:62" x14ac:dyDescent="0.2">
      <c r="BJ8229" s="201"/>
    </row>
    <row r="8230" spans="62:62" x14ac:dyDescent="0.2">
      <c r="BJ8230" s="201"/>
    </row>
    <row r="8231" spans="62:62" x14ac:dyDescent="0.2">
      <c r="BJ8231" s="201"/>
    </row>
    <row r="8232" spans="62:62" x14ac:dyDescent="0.2">
      <c r="BJ8232" s="201"/>
    </row>
    <row r="8233" spans="62:62" x14ac:dyDescent="0.2">
      <c r="BJ8233" s="201"/>
    </row>
    <row r="8234" spans="62:62" x14ac:dyDescent="0.2">
      <c r="BJ8234" s="201"/>
    </row>
    <row r="8235" spans="62:62" x14ac:dyDescent="0.2">
      <c r="BJ8235" s="201"/>
    </row>
    <row r="8236" spans="62:62" x14ac:dyDescent="0.2">
      <c r="BJ8236" s="201"/>
    </row>
    <row r="8237" spans="62:62" x14ac:dyDescent="0.2">
      <c r="BJ8237" s="201"/>
    </row>
    <row r="8238" spans="62:62" x14ac:dyDescent="0.2">
      <c r="BJ8238" s="201"/>
    </row>
    <row r="8239" spans="62:62" x14ac:dyDescent="0.2">
      <c r="BJ8239" s="201"/>
    </row>
    <row r="8240" spans="62:62" x14ac:dyDescent="0.2">
      <c r="BJ8240" s="201"/>
    </row>
    <row r="8241" spans="62:62" x14ac:dyDescent="0.2">
      <c r="BJ8241" s="201"/>
    </row>
    <row r="8242" spans="62:62" x14ac:dyDescent="0.2">
      <c r="BJ8242" s="201"/>
    </row>
    <row r="8243" spans="62:62" x14ac:dyDescent="0.2">
      <c r="BJ8243" s="201"/>
    </row>
    <row r="8244" spans="62:62" x14ac:dyDescent="0.2">
      <c r="BJ8244" s="201"/>
    </row>
    <row r="8245" spans="62:62" x14ac:dyDescent="0.2">
      <c r="BJ8245" s="201"/>
    </row>
    <row r="8246" spans="62:62" x14ac:dyDescent="0.2">
      <c r="BJ8246" s="201"/>
    </row>
    <row r="8247" spans="62:62" x14ac:dyDescent="0.2">
      <c r="BJ8247" s="201"/>
    </row>
    <row r="8248" spans="62:62" x14ac:dyDescent="0.2">
      <c r="BJ8248" s="201"/>
    </row>
    <row r="8249" spans="62:62" x14ac:dyDescent="0.2">
      <c r="BJ8249" s="201"/>
    </row>
    <row r="8250" spans="62:62" x14ac:dyDescent="0.2">
      <c r="BJ8250" s="201"/>
    </row>
    <row r="8251" spans="62:62" x14ac:dyDescent="0.2">
      <c r="BJ8251" s="201"/>
    </row>
    <row r="8252" spans="62:62" x14ac:dyDescent="0.2">
      <c r="BJ8252" s="201"/>
    </row>
    <row r="8253" spans="62:62" x14ac:dyDescent="0.2">
      <c r="BJ8253" s="201"/>
    </row>
    <row r="8254" spans="62:62" x14ac:dyDescent="0.2">
      <c r="BJ8254" s="201"/>
    </row>
    <row r="8255" spans="62:62" x14ac:dyDescent="0.2">
      <c r="BJ8255" s="201"/>
    </row>
    <row r="8256" spans="62:62" x14ac:dyDescent="0.2">
      <c r="BJ8256" s="201"/>
    </row>
    <row r="8257" spans="62:62" x14ac:dyDescent="0.2">
      <c r="BJ8257" s="201"/>
    </row>
    <row r="8258" spans="62:62" x14ac:dyDescent="0.2">
      <c r="BJ8258" s="201"/>
    </row>
    <row r="8259" spans="62:62" x14ac:dyDescent="0.2">
      <c r="BJ8259" s="201"/>
    </row>
    <row r="8260" spans="62:62" x14ac:dyDescent="0.2">
      <c r="BJ8260" s="201"/>
    </row>
    <row r="8261" spans="62:62" x14ac:dyDescent="0.2">
      <c r="BJ8261" s="201"/>
    </row>
    <row r="8262" spans="62:62" x14ac:dyDescent="0.2">
      <c r="BJ8262" s="201"/>
    </row>
    <row r="8263" spans="62:62" x14ac:dyDescent="0.2">
      <c r="BJ8263" s="201"/>
    </row>
    <row r="8264" spans="62:62" x14ac:dyDescent="0.2">
      <c r="BJ8264" s="201"/>
    </row>
    <row r="8265" spans="62:62" x14ac:dyDescent="0.2">
      <c r="BJ8265" s="201"/>
    </row>
    <row r="8266" spans="62:62" x14ac:dyDescent="0.2">
      <c r="BJ8266" s="201"/>
    </row>
    <row r="8267" spans="62:62" x14ac:dyDescent="0.2">
      <c r="BJ8267" s="201"/>
    </row>
    <row r="8268" spans="62:62" x14ac:dyDescent="0.2">
      <c r="BJ8268" s="201"/>
    </row>
    <row r="8269" spans="62:62" x14ac:dyDescent="0.2">
      <c r="BJ8269" s="201"/>
    </row>
    <row r="8270" spans="62:62" x14ac:dyDescent="0.2">
      <c r="BJ8270" s="201"/>
    </row>
    <row r="8271" spans="62:62" x14ac:dyDescent="0.2">
      <c r="BJ8271" s="201"/>
    </row>
    <row r="8272" spans="62:62" x14ac:dyDescent="0.2">
      <c r="BJ8272" s="201"/>
    </row>
    <row r="8273" spans="62:62" x14ac:dyDescent="0.2">
      <c r="BJ8273" s="201"/>
    </row>
    <row r="8274" spans="62:62" x14ac:dyDescent="0.2">
      <c r="BJ8274" s="201"/>
    </row>
    <row r="8275" spans="62:62" x14ac:dyDescent="0.2">
      <c r="BJ8275" s="201"/>
    </row>
    <row r="8276" spans="62:62" x14ac:dyDescent="0.2">
      <c r="BJ8276" s="201"/>
    </row>
    <row r="8277" spans="62:62" x14ac:dyDescent="0.2">
      <c r="BJ8277" s="201"/>
    </row>
    <row r="8278" spans="62:62" x14ac:dyDescent="0.2">
      <c r="BJ8278" s="201"/>
    </row>
    <row r="8279" spans="62:62" x14ac:dyDescent="0.2">
      <c r="BJ8279" s="201"/>
    </row>
    <row r="8280" spans="62:62" x14ac:dyDescent="0.2">
      <c r="BJ8280" s="201"/>
    </row>
    <row r="8281" spans="62:62" x14ac:dyDescent="0.2">
      <c r="BJ8281" s="201"/>
    </row>
    <row r="8282" spans="62:62" x14ac:dyDescent="0.2">
      <c r="BJ8282" s="201"/>
    </row>
    <row r="8283" spans="62:62" x14ac:dyDescent="0.2">
      <c r="BJ8283" s="201"/>
    </row>
    <row r="8284" spans="62:62" x14ac:dyDescent="0.2">
      <c r="BJ8284" s="201"/>
    </row>
    <row r="8285" spans="62:62" x14ac:dyDescent="0.2">
      <c r="BJ8285" s="201"/>
    </row>
    <row r="8286" spans="62:62" x14ac:dyDescent="0.2">
      <c r="BJ8286" s="201"/>
    </row>
    <row r="8287" spans="62:62" x14ac:dyDescent="0.2">
      <c r="BJ8287" s="201"/>
    </row>
    <row r="8288" spans="62:62" x14ac:dyDescent="0.2">
      <c r="BJ8288" s="201"/>
    </row>
    <row r="8289" spans="62:62" x14ac:dyDescent="0.2">
      <c r="BJ8289" s="201"/>
    </row>
    <row r="8290" spans="62:62" x14ac:dyDescent="0.2">
      <c r="BJ8290" s="201"/>
    </row>
    <row r="8291" spans="62:62" x14ac:dyDescent="0.2">
      <c r="BJ8291" s="201"/>
    </row>
    <row r="8292" spans="62:62" x14ac:dyDescent="0.2">
      <c r="BJ8292" s="201"/>
    </row>
    <row r="8293" spans="62:62" x14ac:dyDescent="0.2">
      <c r="BJ8293" s="201"/>
    </row>
    <row r="8294" spans="62:62" x14ac:dyDescent="0.2">
      <c r="BJ8294" s="201"/>
    </row>
    <row r="8295" spans="62:62" x14ac:dyDescent="0.2">
      <c r="BJ8295" s="201"/>
    </row>
    <row r="8296" spans="62:62" x14ac:dyDescent="0.2">
      <c r="BJ8296" s="201"/>
    </row>
    <row r="8297" spans="62:62" x14ac:dyDescent="0.2">
      <c r="BJ8297" s="201"/>
    </row>
    <row r="8298" spans="62:62" x14ac:dyDescent="0.2">
      <c r="BJ8298" s="201"/>
    </row>
    <row r="8299" spans="62:62" x14ac:dyDescent="0.2">
      <c r="BJ8299" s="201"/>
    </row>
    <row r="8300" spans="62:62" x14ac:dyDescent="0.2">
      <c r="BJ8300" s="201"/>
    </row>
    <row r="8301" spans="62:62" x14ac:dyDescent="0.2">
      <c r="BJ8301" s="201"/>
    </row>
    <row r="8302" spans="62:62" x14ac:dyDescent="0.2">
      <c r="BJ8302" s="201"/>
    </row>
    <row r="8303" spans="62:62" x14ac:dyDescent="0.2">
      <c r="BJ8303" s="201"/>
    </row>
    <row r="8304" spans="62:62" x14ac:dyDescent="0.2">
      <c r="BJ8304" s="201"/>
    </row>
    <row r="8305" spans="62:62" x14ac:dyDescent="0.2">
      <c r="BJ8305" s="201"/>
    </row>
    <row r="8306" spans="62:62" x14ac:dyDescent="0.2">
      <c r="BJ8306" s="201"/>
    </row>
    <row r="8307" spans="62:62" x14ac:dyDescent="0.2">
      <c r="BJ8307" s="201"/>
    </row>
    <row r="8308" spans="62:62" x14ac:dyDescent="0.2">
      <c r="BJ8308" s="201"/>
    </row>
    <row r="8309" spans="62:62" x14ac:dyDescent="0.2">
      <c r="BJ8309" s="201"/>
    </row>
    <row r="8310" spans="62:62" x14ac:dyDescent="0.2">
      <c r="BJ8310" s="201"/>
    </row>
    <row r="8311" spans="62:62" x14ac:dyDescent="0.2">
      <c r="BJ8311" s="201"/>
    </row>
    <row r="8312" spans="62:62" x14ac:dyDescent="0.2">
      <c r="BJ8312" s="201"/>
    </row>
    <row r="8313" spans="62:62" x14ac:dyDescent="0.2">
      <c r="BJ8313" s="201"/>
    </row>
    <row r="8314" spans="62:62" x14ac:dyDescent="0.2">
      <c r="BJ8314" s="201"/>
    </row>
    <row r="8315" spans="62:62" x14ac:dyDescent="0.2">
      <c r="BJ8315" s="201"/>
    </row>
    <row r="8316" spans="62:62" x14ac:dyDescent="0.2">
      <c r="BJ8316" s="201"/>
    </row>
    <row r="8317" spans="62:62" x14ac:dyDescent="0.2">
      <c r="BJ8317" s="201"/>
    </row>
    <row r="8318" spans="62:62" x14ac:dyDescent="0.2">
      <c r="BJ8318" s="201"/>
    </row>
    <row r="8319" spans="62:62" x14ac:dyDescent="0.2">
      <c r="BJ8319" s="201"/>
    </row>
    <row r="8320" spans="62:62" x14ac:dyDescent="0.2">
      <c r="BJ8320" s="201"/>
    </row>
    <row r="8321" spans="62:62" x14ac:dyDescent="0.2">
      <c r="BJ8321" s="201"/>
    </row>
    <row r="8322" spans="62:62" x14ac:dyDescent="0.2">
      <c r="BJ8322" s="201"/>
    </row>
    <row r="8323" spans="62:62" x14ac:dyDescent="0.2">
      <c r="BJ8323" s="201"/>
    </row>
    <row r="8324" spans="62:62" x14ac:dyDescent="0.2">
      <c r="BJ8324" s="201"/>
    </row>
    <row r="8325" spans="62:62" x14ac:dyDescent="0.2">
      <c r="BJ8325" s="201"/>
    </row>
    <row r="8326" spans="62:62" x14ac:dyDescent="0.2">
      <c r="BJ8326" s="201"/>
    </row>
    <row r="8327" spans="62:62" x14ac:dyDescent="0.2">
      <c r="BJ8327" s="201"/>
    </row>
    <row r="8328" spans="62:62" x14ac:dyDescent="0.2">
      <c r="BJ8328" s="201"/>
    </row>
    <row r="8329" spans="62:62" x14ac:dyDescent="0.2">
      <c r="BJ8329" s="201"/>
    </row>
    <row r="8330" spans="62:62" x14ac:dyDescent="0.2">
      <c r="BJ8330" s="201"/>
    </row>
    <row r="8331" spans="62:62" x14ac:dyDescent="0.2">
      <c r="BJ8331" s="201"/>
    </row>
    <row r="8332" spans="62:62" x14ac:dyDescent="0.2">
      <c r="BJ8332" s="201"/>
    </row>
    <row r="8333" spans="62:62" x14ac:dyDescent="0.2">
      <c r="BJ8333" s="201"/>
    </row>
    <row r="8334" spans="62:62" x14ac:dyDescent="0.2">
      <c r="BJ8334" s="201"/>
    </row>
    <row r="8335" spans="62:62" x14ac:dyDescent="0.2">
      <c r="BJ8335" s="201"/>
    </row>
    <row r="8336" spans="62:62" x14ac:dyDescent="0.2">
      <c r="BJ8336" s="201"/>
    </row>
    <row r="8337" spans="62:62" x14ac:dyDescent="0.2">
      <c r="BJ8337" s="201"/>
    </row>
    <row r="8338" spans="62:62" x14ac:dyDescent="0.2">
      <c r="BJ8338" s="201"/>
    </row>
    <row r="8339" spans="62:62" x14ac:dyDescent="0.2">
      <c r="BJ8339" s="201"/>
    </row>
    <row r="8340" spans="62:62" x14ac:dyDescent="0.2">
      <c r="BJ8340" s="201"/>
    </row>
    <row r="8341" spans="62:62" x14ac:dyDescent="0.2">
      <c r="BJ8341" s="201"/>
    </row>
    <row r="8342" spans="62:62" x14ac:dyDescent="0.2">
      <c r="BJ8342" s="201"/>
    </row>
    <row r="8343" spans="62:62" x14ac:dyDescent="0.2">
      <c r="BJ8343" s="201"/>
    </row>
    <row r="8344" spans="62:62" x14ac:dyDescent="0.2">
      <c r="BJ8344" s="201"/>
    </row>
    <row r="8345" spans="62:62" x14ac:dyDescent="0.2">
      <c r="BJ8345" s="201"/>
    </row>
    <row r="8346" spans="62:62" x14ac:dyDescent="0.2">
      <c r="BJ8346" s="201"/>
    </row>
    <row r="8347" spans="62:62" x14ac:dyDescent="0.2">
      <c r="BJ8347" s="201"/>
    </row>
    <row r="8348" spans="62:62" x14ac:dyDescent="0.2">
      <c r="BJ8348" s="201"/>
    </row>
    <row r="8349" spans="62:62" x14ac:dyDescent="0.2">
      <c r="BJ8349" s="201"/>
    </row>
    <row r="8350" spans="62:62" x14ac:dyDescent="0.2">
      <c r="BJ8350" s="201"/>
    </row>
    <row r="8351" spans="62:62" x14ac:dyDescent="0.2">
      <c r="BJ8351" s="201"/>
    </row>
    <row r="8352" spans="62:62" x14ac:dyDescent="0.2">
      <c r="BJ8352" s="201"/>
    </row>
    <row r="8353" spans="62:62" x14ac:dyDescent="0.2">
      <c r="BJ8353" s="201"/>
    </row>
    <row r="8354" spans="62:62" x14ac:dyDescent="0.2">
      <c r="BJ8354" s="201"/>
    </row>
    <row r="8355" spans="62:62" x14ac:dyDescent="0.2">
      <c r="BJ8355" s="201"/>
    </row>
    <row r="8356" spans="62:62" x14ac:dyDescent="0.2">
      <c r="BJ8356" s="201"/>
    </row>
    <row r="8357" spans="62:62" x14ac:dyDescent="0.2">
      <c r="BJ8357" s="201"/>
    </row>
    <row r="8358" spans="62:62" x14ac:dyDescent="0.2">
      <c r="BJ8358" s="201"/>
    </row>
    <row r="8359" spans="62:62" x14ac:dyDescent="0.2">
      <c r="BJ8359" s="201"/>
    </row>
    <row r="8360" spans="62:62" x14ac:dyDescent="0.2">
      <c r="BJ8360" s="201"/>
    </row>
    <row r="8361" spans="62:62" x14ac:dyDescent="0.2">
      <c r="BJ8361" s="201"/>
    </row>
    <row r="8362" spans="62:62" x14ac:dyDescent="0.2">
      <c r="BJ8362" s="201"/>
    </row>
    <row r="8363" spans="62:62" x14ac:dyDescent="0.2">
      <c r="BJ8363" s="201"/>
    </row>
    <row r="8364" spans="62:62" x14ac:dyDescent="0.2">
      <c r="BJ8364" s="201"/>
    </row>
    <row r="8365" spans="62:62" x14ac:dyDescent="0.2">
      <c r="BJ8365" s="201"/>
    </row>
    <row r="8366" spans="62:62" x14ac:dyDescent="0.2">
      <c r="BJ8366" s="201"/>
    </row>
    <row r="8367" spans="62:62" x14ac:dyDescent="0.2">
      <c r="BJ8367" s="201"/>
    </row>
    <row r="8368" spans="62:62" x14ac:dyDescent="0.2">
      <c r="BJ8368" s="201"/>
    </row>
    <row r="8369" spans="62:62" x14ac:dyDescent="0.2">
      <c r="BJ8369" s="201"/>
    </row>
    <row r="8370" spans="62:62" x14ac:dyDescent="0.2">
      <c r="BJ8370" s="201"/>
    </row>
    <row r="8371" spans="62:62" x14ac:dyDescent="0.2">
      <c r="BJ8371" s="201"/>
    </row>
    <row r="8372" spans="62:62" x14ac:dyDescent="0.2">
      <c r="BJ8372" s="201"/>
    </row>
    <row r="8373" spans="62:62" x14ac:dyDescent="0.2">
      <c r="BJ8373" s="201"/>
    </row>
    <row r="8374" spans="62:62" x14ac:dyDescent="0.2">
      <c r="BJ8374" s="201"/>
    </row>
    <row r="8375" spans="62:62" x14ac:dyDescent="0.2">
      <c r="BJ8375" s="201"/>
    </row>
    <row r="8376" spans="62:62" x14ac:dyDescent="0.2">
      <c r="BJ8376" s="201"/>
    </row>
    <row r="8377" spans="62:62" x14ac:dyDescent="0.2">
      <c r="BJ8377" s="201"/>
    </row>
    <row r="8378" spans="62:62" x14ac:dyDescent="0.2">
      <c r="BJ8378" s="201"/>
    </row>
    <row r="8379" spans="62:62" x14ac:dyDescent="0.2">
      <c r="BJ8379" s="201"/>
    </row>
    <row r="8380" spans="62:62" x14ac:dyDescent="0.2">
      <c r="BJ8380" s="201"/>
    </row>
    <row r="8381" spans="62:62" x14ac:dyDescent="0.2">
      <c r="BJ8381" s="201"/>
    </row>
    <row r="8382" spans="62:62" x14ac:dyDescent="0.2">
      <c r="BJ8382" s="201"/>
    </row>
    <row r="8383" spans="62:62" x14ac:dyDescent="0.2">
      <c r="BJ8383" s="201"/>
    </row>
    <row r="8384" spans="62:62" x14ac:dyDescent="0.2">
      <c r="BJ8384" s="201"/>
    </row>
    <row r="8385" spans="62:62" x14ac:dyDescent="0.2">
      <c r="BJ8385" s="201"/>
    </row>
    <row r="8386" spans="62:62" x14ac:dyDescent="0.2">
      <c r="BJ8386" s="201"/>
    </row>
    <row r="8387" spans="62:62" x14ac:dyDescent="0.2">
      <c r="BJ8387" s="201"/>
    </row>
    <row r="8388" spans="62:62" x14ac:dyDescent="0.2">
      <c r="BJ8388" s="201"/>
    </row>
    <row r="8389" spans="62:62" x14ac:dyDescent="0.2">
      <c r="BJ8389" s="201"/>
    </row>
    <row r="8390" spans="62:62" x14ac:dyDescent="0.2">
      <c r="BJ8390" s="201"/>
    </row>
    <row r="8391" spans="62:62" x14ac:dyDescent="0.2">
      <c r="BJ8391" s="201"/>
    </row>
    <row r="8392" spans="62:62" x14ac:dyDescent="0.2">
      <c r="BJ8392" s="201"/>
    </row>
    <row r="8393" spans="62:62" x14ac:dyDescent="0.2">
      <c r="BJ8393" s="201"/>
    </row>
    <row r="8394" spans="62:62" x14ac:dyDescent="0.2">
      <c r="BJ8394" s="201"/>
    </row>
    <row r="8395" spans="62:62" x14ac:dyDescent="0.2">
      <c r="BJ8395" s="201"/>
    </row>
    <row r="8396" spans="62:62" x14ac:dyDescent="0.2">
      <c r="BJ8396" s="201"/>
    </row>
    <row r="8397" spans="62:62" x14ac:dyDescent="0.2">
      <c r="BJ8397" s="201"/>
    </row>
    <row r="8398" spans="62:62" x14ac:dyDescent="0.2">
      <c r="BJ8398" s="201"/>
    </row>
    <row r="8399" spans="62:62" x14ac:dyDescent="0.2">
      <c r="BJ8399" s="201"/>
    </row>
    <row r="8400" spans="62:62" x14ac:dyDescent="0.2">
      <c r="BJ8400" s="201"/>
    </row>
    <row r="8401" spans="62:62" x14ac:dyDescent="0.2">
      <c r="BJ8401" s="201"/>
    </row>
    <row r="8402" spans="62:62" x14ac:dyDescent="0.2">
      <c r="BJ8402" s="201"/>
    </row>
    <row r="8403" spans="62:62" x14ac:dyDescent="0.2">
      <c r="BJ8403" s="201"/>
    </row>
    <row r="8404" spans="62:62" x14ac:dyDescent="0.2">
      <c r="BJ8404" s="201"/>
    </row>
    <row r="8405" spans="62:62" x14ac:dyDescent="0.2">
      <c r="BJ8405" s="201"/>
    </row>
    <row r="8406" spans="62:62" x14ac:dyDescent="0.2">
      <c r="BJ8406" s="201"/>
    </row>
    <row r="8407" spans="62:62" x14ac:dyDescent="0.2">
      <c r="BJ8407" s="201"/>
    </row>
    <row r="8408" spans="62:62" x14ac:dyDescent="0.2">
      <c r="BJ8408" s="201"/>
    </row>
    <row r="8409" spans="62:62" x14ac:dyDescent="0.2">
      <c r="BJ8409" s="201"/>
    </row>
    <row r="8410" spans="62:62" x14ac:dyDescent="0.2">
      <c r="BJ8410" s="201"/>
    </row>
    <row r="8411" spans="62:62" x14ac:dyDescent="0.2">
      <c r="BJ8411" s="201"/>
    </row>
    <row r="8412" spans="62:62" x14ac:dyDescent="0.2">
      <c r="BJ8412" s="201"/>
    </row>
    <row r="8413" spans="62:62" x14ac:dyDescent="0.2">
      <c r="BJ8413" s="201"/>
    </row>
    <row r="8414" spans="62:62" x14ac:dyDescent="0.2">
      <c r="BJ8414" s="201"/>
    </row>
    <row r="8415" spans="62:62" x14ac:dyDescent="0.2">
      <c r="BJ8415" s="201"/>
    </row>
    <row r="8416" spans="62:62" x14ac:dyDescent="0.2">
      <c r="BJ8416" s="201"/>
    </row>
    <row r="8417" spans="62:62" x14ac:dyDescent="0.2">
      <c r="BJ8417" s="201"/>
    </row>
    <row r="8418" spans="62:62" x14ac:dyDescent="0.2">
      <c r="BJ8418" s="201"/>
    </row>
    <row r="8419" spans="62:62" x14ac:dyDescent="0.2">
      <c r="BJ8419" s="201"/>
    </row>
    <row r="8420" spans="62:62" x14ac:dyDescent="0.2">
      <c r="BJ8420" s="201"/>
    </row>
    <row r="8421" spans="62:62" x14ac:dyDescent="0.2">
      <c r="BJ8421" s="201"/>
    </row>
    <row r="8422" spans="62:62" x14ac:dyDescent="0.2">
      <c r="BJ8422" s="201"/>
    </row>
    <row r="8423" spans="62:62" x14ac:dyDescent="0.2">
      <c r="BJ8423" s="201"/>
    </row>
    <row r="8424" spans="62:62" x14ac:dyDescent="0.2">
      <c r="BJ8424" s="201"/>
    </row>
    <row r="8425" spans="62:62" x14ac:dyDescent="0.2">
      <c r="BJ8425" s="201"/>
    </row>
    <row r="8426" spans="62:62" x14ac:dyDescent="0.2">
      <c r="BJ8426" s="201"/>
    </row>
    <row r="8427" spans="62:62" x14ac:dyDescent="0.2">
      <c r="BJ8427" s="201"/>
    </row>
    <row r="8428" spans="62:62" x14ac:dyDescent="0.2">
      <c r="BJ8428" s="201"/>
    </row>
    <row r="8429" spans="62:62" x14ac:dyDescent="0.2">
      <c r="BJ8429" s="201"/>
    </row>
    <row r="8430" spans="62:62" x14ac:dyDescent="0.2">
      <c r="BJ8430" s="201"/>
    </row>
    <row r="8431" spans="62:62" x14ac:dyDescent="0.2">
      <c r="BJ8431" s="201"/>
    </row>
    <row r="8432" spans="62:62" x14ac:dyDescent="0.2">
      <c r="BJ8432" s="201"/>
    </row>
    <row r="8433" spans="62:62" x14ac:dyDescent="0.2">
      <c r="BJ8433" s="201"/>
    </row>
    <row r="8434" spans="62:62" x14ac:dyDescent="0.2">
      <c r="BJ8434" s="201"/>
    </row>
    <row r="8435" spans="62:62" x14ac:dyDescent="0.2">
      <c r="BJ8435" s="201"/>
    </row>
    <row r="8436" spans="62:62" x14ac:dyDescent="0.2">
      <c r="BJ8436" s="201"/>
    </row>
    <row r="8437" spans="62:62" x14ac:dyDescent="0.2">
      <c r="BJ8437" s="201"/>
    </row>
    <row r="8438" spans="62:62" x14ac:dyDescent="0.2">
      <c r="BJ8438" s="201"/>
    </row>
    <row r="8439" spans="62:62" x14ac:dyDescent="0.2">
      <c r="BJ8439" s="201"/>
    </row>
    <row r="8440" spans="62:62" x14ac:dyDescent="0.2">
      <c r="BJ8440" s="201"/>
    </row>
    <row r="8441" spans="62:62" x14ac:dyDescent="0.2">
      <c r="BJ8441" s="201"/>
    </row>
    <row r="8442" spans="62:62" x14ac:dyDescent="0.2">
      <c r="BJ8442" s="201"/>
    </row>
    <row r="8443" spans="62:62" x14ac:dyDescent="0.2">
      <c r="BJ8443" s="201"/>
    </row>
    <row r="8444" spans="62:62" x14ac:dyDescent="0.2">
      <c r="BJ8444" s="201"/>
    </row>
    <row r="8445" spans="62:62" x14ac:dyDescent="0.2">
      <c r="BJ8445" s="201"/>
    </row>
    <row r="8446" spans="62:62" x14ac:dyDescent="0.2">
      <c r="BJ8446" s="201"/>
    </row>
    <row r="8447" spans="62:62" x14ac:dyDescent="0.2">
      <c r="BJ8447" s="201"/>
    </row>
    <row r="8448" spans="62:62" x14ac:dyDescent="0.2">
      <c r="BJ8448" s="201"/>
    </row>
    <row r="8449" spans="62:62" x14ac:dyDescent="0.2">
      <c r="BJ8449" s="201"/>
    </row>
    <row r="8450" spans="62:62" x14ac:dyDescent="0.2">
      <c r="BJ8450" s="201"/>
    </row>
    <row r="8451" spans="62:62" x14ac:dyDescent="0.2">
      <c r="BJ8451" s="201"/>
    </row>
    <row r="8452" spans="62:62" x14ac:dyDescent="0.2">
      <c r="BJ8452" s="201"/>
    </row>
    <row r="8453" spans="62:62" x14ac:dyDescent="0.2">
      <c r="BJ8453" s="201"/>
    </row>
    <row r="8454" spans="62:62" x14ac:dyDescent="0.2">
      <c r="BJ8454" s="201"/>
    </row>
    <row r="8455" spans="62:62" x14ac:dyDescent="0.2">
      <c r="BJ8455" s="201"/>
    </row>
    <row r="8456" spans="62:62" x14ac:dyDescent="0.2">
      <c r="BJ8456" s="201"/>
    </row>
    <row r="8457" spans="62:62" x14ac:dyDescent="0.2">
      <c r="BJ8457" s="201"/>
    </row>
    <row r="8458" spans="62:62" x14ac:dyDescent="0.2">
      <c r="BJ8458" s="201"/>
    </row>
    <row r="8459" spans="62:62" x14ac:dyDescent="0.2">
      <c r="BJ8459" s="201"/>
    </row>
    <row r="8460" spans="62:62" x14ac:dyDescent="0.2">
      <c r="BJ8460" s="201"/>
    </row>
    <row r="8461" spans="62:62" x14ac:dyDescent="0.2">
      <c r="BJ8461" s="201"/>
    </row>
    <row r="8462" spans="62:62" x14ac:dyDescent="0.2">
      <c r="BJ8462" s="201"/>
    </row>
    <row r="8463" spans="62:62" x14ac:dyDescent="0.2">
      <c r="BJ8463" s="201"/>
    </row>
    <row r="8464" spans="62:62" x14ac:dyDescent="0.2">
      <c r="BJ8464" s="201"/>
    </row>
    <row r="8465" spans="62:62" x14ac:dyDescent="0.2">
      <c r="BJ8465" s="201"/>
    </row>
    <row r="8466" spans="62:62" x14ac:dyDescent="0.2">
      <c r="BJ8466" s="201"/>
    </row>
    <row r="8467" spans="62:62" x14ac:dyDescent="0.2">
      <c r="BJ8467" s="201"/>
    </row>
    <row r="8468" spans="62:62" x14ac:dyDescent="0.2">
      <c r="BJ8468" s="201"/>
    </row>
    <row r="8469" spans="62:62" x14ac:dyDescent="0.2">
      <c r="BJ8469" s="201"/>
    </row>
    <row r="8470" spans="62:62" x14ac:dyDescent="0.2">
      <c r="BJ8470" s="201"/>
    </row>
    <row r="8471" spans="62:62" x14ac:dyDescent="0.2">
      <c r="BJ8471" s="201"/>
    </row>
    <row r="8472" spans="62:62" x14ac:dyDescent="0.2">
      <c r="BJ8472" s="201"/>
    </row>
    <row r="8473" spans="62:62" x14ac:dyDescent="0.2">
      <c r="BJ8473" s="201"/>
    </row>
    <row r="8474" spans="62:62" x14ac:dyDescent="0.2">
      <c r="BJ8474" s="201"/>
    </row>
    <row r="8475" spans="62:62" x14ac:dyDescent="0.2">
      <c r="BJ8475" s="201"/>
    </row>
    <row r="8476" spans="62:62" x14ac:dyDescent="0.2">
      <c r="BJ8476" s="201"/>
    </row>
    <row r="8477" spans="62:62" x14ac:dyDescent="0.2">
      <c r="BJ8477" s="201"/>
    </row>
    <row r="8478" spans="62:62" x14ac:dyDescent="0.2">
      <c r="BJ8478" s="201"/>
    </row>
    <row r="8479" spans="62:62" x14ac:dyDescent="0.2">
      <c r="BJ8479" s="201"/>
    </row>
    <row r="8480" spans="62:62" x14ac:dyDescent="0.2">
      <c r="BJ8480" s="201"/>
    </row>
    <row r="8481" spans="62:62" x14ac:dyDescent="0.2">
      <c r="BJ8481" s="201"/>
    </row>
    <row r="8482" spans="62:62" x14ac:dyDescent="0.2">
      <c r="BJ8482" s="201"/>
    </row>
    <row r="8483" spans="62:62" x14ac:dyDescent="0.2">
      <c r="BJ8483" s="201"/>
    </row>
    <row r="8484" spans="62:62" x14ac:dyDescent="0.2">
      <c r="BJ8484" s="201"/>
    </row>
    <row r="8485" spans="62:62" x14ac:dyDescent="0.2">
      <c r="BJ8485" s="201"/>
    </row>
    <row r="8486" spans="62:62" x14ac:dyDescent="0.2">
      <c r="BJ8486" s="201"/>
    </row>
    <row r="8487" spans="62:62" x14ac:dyDescent="0.2">
      <c r="BJ8487" s="201"/>
    </row>
    <row r="8488" spans="62:62" x14ac:dyDescent="0.2">
      <c r="BJ8488" s="201"/>
    </row>
    <row r="8489" spans="62:62" x14ac:dyDescent="0.2">
      <c r="BJ8489" s="201"/>
    </row>
    <row r="8490" spans="62:62" x14ac:dyDescent="0.2">
      <c r="BJ8490" s="201"/>
    </row>
    <row r="8491" spans="62:62" x14ac:dyDescent="0.2">
      <c r="BJ8491" s="201"/>
    </row>
    <row r="8492" spans="62:62" x14ac:dyDescent="0.2">
      <c r="BJ8492" s="201"/>
    </row>
    <row r="8493" spans="62:62" x14ac:dyDescent="0.2">
      <c r="BJ8493" s="201"/>
    </row>
    <row r="8494" spans="62:62" x14ac:dyDescent="0.2">
      <c r="BJ8494" s="201"/>
    </row>
    <row r="8495" spans="62:62" x14ac:dyDescent="0.2">
      <c r="BJ8495" s="201"/>
    </row>
    <row r="8496" spans="62:62" x14ac:dyDescent="0.2">
      <c r="BJ8496" s="201"/>
    </row>
    <row r="8497" spans="62:62" x14ac:dyDescent="0.2">
      <c r="BJ8497" s="201"/>
    </row>
    <row r="8498" spans="62:62" x14ac:dyDescent="0.2">
      <c r="BJ8498" s="201"/>
    </row>
    <row r="8499" spans="62:62" x14ac:dyDescent="0.2">
      <c r="BJ8499" s="201"/>
    </row>
    <row r="8500" spans="62:62" x14ac:dyDescent="0.2">
      <c r="BJ8500" s="201"/>
    </row>
    <row r="8501" spans="62:62" x14ac:dyDescent="0.2">
      <c r="BJ8501" s="201"/>
    </row>
    <row r="8502" spans="62:62" x14ac:dyDescent="0.2">
      <c r="BJ8502" s="201"/>
    </row>
    <row r="8503" spans="62:62" x14ac:dyDescent="0.2">
      <c r="BJ8503" s="201"/>
    </row>
    <row r="8504" spans="62:62" x14ac:dyDescent="0.2">
      <c r="BJ8504" s="201"/>
    </row>
    <row r="8505" spans="62:62" x14ac:dyDescent="0.2">
      <c r="BJ8505" s="201"/>
    </row>
    <row r="8506" spans="62:62" x14ac:dyDescent="0.2">
      <c r="BJ8506" s="201"/>
    </row>
    <row r="8507" spans="62:62" x14ac:dyDescent="0.2">
      <c r="BJ8507" s="201"/>
    </row>
    <row r="8508" spans="62:62" x14ac:dyDescent="0.2">
      <c r="BJ8508" s="201"/>
    </row>
    <row r="8509" spans="62:62" x14ac:dyDescent="0.2">
      <c r="BJ8509" s="201"/>
    </row>
    <row r="8510" spans="62:62" x14ac:dyDescent="0.2">
      <c r="BJ8510" s="201"/>
    </row>
    <row r="8511" spans="62:62" x14ac:dyDescent="0.2">
      <c r="BJ8511" s="201"/>
    </row>
    <row r="8512" spans="62:62" x14ac:dyDescent="0.2">
      <c r="BJ8512" s="201"/>
    </row>
    <row r="8513" spans="62:62" x14ac:dyDescent="0.2">
      <c r="BJ8513" s="201"/>
    </row>
    <row r="8514" spans="62:62" x14ac:dyDescent="0.2">
      <c r="BJ8514" s="201"/>
    </row>
    <row r="8515" spans="62:62" x14ac:dyDescent="0.2">
      <c r="BJ8515" s="201"/>
    </row>
    <row r="8516" spans="62:62" x14ac:dyDescent="0.2">
      <c r="BJ8516" s="201"/>
    </row>
    <row r="8517" spans="62:62" x14ac:dyDescent="0.2">
      <c r="BJ8517" s="201"/>
    </row>
    <row r="8518" spans="62:62" x14ac:dyDescent="0.2">
      <c r="BJ8518" s="201"/>
    </row>
    <row r="8519" spans="62:62" x14ac:dyDescent="0.2">
      <c r="BJ8519" s="201"/>
    </row>
    <row r="8520" spans="62:62" x14ac:dyDescent="0.2">
      <c r="BJ8520" s="201"/>
    </row>
    <row r="8521" spans="62:62" x14ac:dyDescent="0.2">
      <c r="BJ8521" s="201"/>
    </row>
    <row r="8522" spans="62:62" x14ac:dyDescent="0.2">
      <c r="BJ8522" s="201"/>
    </row>
    <row r="8523" spans="62:62" x14ac:dyDescent="0.2">
      <c r="BJ8523" s="201"/>
    </row>
    <row r="8524" spans="62:62" x14ac:dyDescent="0.2">
      <c r="BJ8524" s="201"/>
    </row>
    <row r="8525" spans="62:62" x14ac:dyDescent="0.2">
      <c r="BJ8525" s="201"/>
    </row>
    <row r="8526" spans="62:62" x14ac:dyDescent="0.2">
      <c r="BJ8526" s="201"/>
    </row>
    <row r="8527" spans="62:62" x14ac:dyDescent="0.2">
      <c r="BJ8527" s="201"/>
    </row>
    <row r="8528" spans="62:62" x14ac:dyDescent="0.2">
      <c r="BJ8528" s="201"/>
    </row>
    <row r="8529" spans="62:62" x14ac:dyDescent="0.2">
      <c r="BJ8529" s="201"/>
    </row>
    <row r="8530" spans="62:62" x14ac:dyDescent="0.2">
      <c r="BJ8530" s="201"/>
    </row>
    <row r="8531" spans="62:62" x14ac:dyDescent="0.2">
      <c r="BJ8531" s="201"/>
    </row>
    <row r="8532" spans="62:62" x14ac:dyDescent="0.2">
      <c r="BJ8532" s="201"/>
    </row>
    <row r="8533" spans="62:62" x14ac:dyDescent="0.2">
      <c r="BJ8533" s="201"/>
    </row>
    <row r="8534" spans="62:62" x14ac:dyDescent="0.2">
      <c r="BJ8534" s="201"/>
    </row>
    <row r="8535" spans="62:62" x14ac:dyDescent="0.2">
      <c r="BJ8535" s="201"/>
    </row>
    <row r="8536" spans="62:62" x14ac:dyDescent="0.2">
      <c r="BJ8536" s="201"/>
    </row>
    <row r="8537" spans="62:62" x14ac:dyDescent="0.2">
      <c r="BJ8537" s="201"/>
    </row>
    <row r="8538" spans="62:62" x14ac:dyDescent="0.2">
      <c r="BJ8538" s="201"/>
    </row>
    <row r="8539" spans="62:62" x14ac:dyDescent="0.2">
      <c r="BJ8539" s="201"/>
    </row>
    <row r="8540" spans="62:62" x14ac:dyDescent="0.2">
      <c r="BJ8540" s="201"/>
    </row>
    <row r="8541" spans="62:62" x14ac:dyDescent="0.2">
      <c r="BJ8541" s="201"/>
    </row>
    <row r="8542" spans="62:62" x14ac:dyDescent="0.2">
      <c r="BJ8542" s="201"/>
    </row>
    <row r="8543" spans="62:62" x14ac:dyDescent="0.2">
      <c r="BJ8543" s="201"/>
    </row>
    <row r="8544" spans="62:62" x14ac:dyDescent="0.2">
      <c r="BJ8544" s="201"/>
    </row>
    <row r="8545" spans="62:62" x14ac:dyDescent="0.2">
      <c r="BJ8545" s="201"/>
    </row>
    <row r="8546" spans="62:62" x14ac:dyDescent="0.2">
      <c r="BJ8546" s="201"/>
    </row>
    <row r="8547" spans="62:62" x14ac:dyDescent="0.2">
      <c r="BJ8547" s="201"/>
    </row>
    <row r="8548" spans="62:62" x14ac:dyDescent="0.2">
      <c r="BJ8548" s="201"/>
    </row>
    <row r="8549" spans="62:62" x14ac:dyDescent="0.2">
      <c r="BJ8549" s="201"/>
    </row>
    <row r="8550" spans="62:62" x14ac:dyDescent="0.2">
      <c r="BJ8550" s="201"/>
    </row>
    <row r="8551" spans="62:62" x14ac:dyDescent="0.2">
      <c r="BJ8551" s="201"/>
    </row>
    <row r="8552" spans="62:62" x14ac:dyDescent="0.2">
      <c r="BJ8552" s="201"/>
    </row>
    <row r="8553" spans="62:62" x14ac:dyDescent="0.2">
      <c r="BJ8553" s="201"/>
    </row>
    <row r="8554" spans="62:62" x14ac:dyDescent="0.2">
      <c r="BJ8554" s="201"/>
    </row>
    <row r="8555" spans="62:62" x14ac:dyDescent="0.2">
      <c r="BJ8555" s="201"/>
    </row>
    <row r="8556" spans="62:62" x14ac:dyDescent="0.2">
      <c r="BJ8556" s="201"/>
    </row>
    <row r="8557" spans="62:62" x14ac:dyDescent="0.2">
      <c r="BJ8557" s="201"/>
    </row>
    <row r="8558" spans="62:62" x14ac:dyDescent="0.2">
      <c r="BJ8558" s="201"/>
    </row>
    <row r="8559" spans="62:62" x14ac:dyDescent="0.2">
      <c r="BJ8559" s="201"/>
    </row>
    <row r="8560" spans="62:62" x14ac:dyDescent="0.2">
      <c r="BJ8560" s="201"/>
    </row>
    <row r="8561" spans="62:62" x14ac:dyDescent="0.2">
      <c r="BJ8561" s="201"/>
    </row>
    <row r="8562" spans="62:62" x14ac:dyDescent="0.2">
      <c r="BJ8562" s="201"/>
    </row>
    <row r="8563" spans="62:62" x14ac:dyDescent="0.2">
      <c r="BJ8563" s="201"/>
    </row>
    <row r="8564" spans="62:62" x14ac:dyDescent="0.2">
      <c r="BJ8564" s="201"/>
    </row>
    <row r="8565" spans="62:62" x14ac:dyDescent="0.2">
      <c r="BJ8565" s="201"/>
    </row>
    <row r="8566" spans="62:62" x14ac:dyDescent="0.2">
      <c r="BJ8566" s="201"/>
    </row>
    <row r="8567" spans="62:62" x14ac:dyDescent="0.2">
      <c r="BJ8567" s="201"/>
    </row>
    <row r="8568" spans="62:62" x14ac:dyDescent="0.2">
      <c r="BJ8568" s="201"/>
    </row>
    <row r="8569" spans="62:62" x14ac:dyDescent="0.2">
      <c r="BJ8569" s="201"/>
    </row>
    <row r="8570" spans="62:62" x14ac:dyDescent="0.2">
      <c r="BJ8570" s="201"/>
    </row>
    <row r="8571" spans="62:62" x14ac:dyDescent="0.2">
      <c r="BJ8571" s="201"/>
    </row>
    <row r="8572" spans="62:62" x14ac:dyDescent="0.2">
      <c r="BJ8572" s="201"/>
    </row>
    <row r="8573" spans="62:62" x14ac:dyDescent="0.2">
      <c r="BJ8573" s="201"/>
    </row>
    <row r="8574" spans="62:62" x14ac:dyDescent="0.2">
      <c r="BJ8574" s="201"/>
    </row>
    <row r="8575" spans="62:62" x14ac:dyDescent="0.2">
      <c r="BJ8575" s="201"/>
    </row>
    <row r="8576" spans="62:62" x14ac:dyDescent="0.2">
      <c r="BJ8576" s="201"/>
    </row>
    <row r="8577" spans="62:62" x14ac:dyDescent="0.2">
      <c r="BJ8577" s="201"/>
    </row>
    <row r="8578" spans="62:62" x14ac:dyDescent="0.2">
      <c r="BJ8578" s="201"/>
    </row>
    <row r="8579" spans="62:62" x14ac:dyDescent="0.2">
      <c r="BJ8579" s="201"/>
    </row>
    <row r="8580" spans="62:62" x14ac:dyDescent="0.2">
      <c r="BJ8580" s="201"/>
    </row>
    <row r="8581" spans="62:62" x14ac:dyDescent="0.2">
      <c r="BJ8581" s="201"/>
    </row>
    <row r="8582" spans="62:62" x14ac:dyDescent="0.2">
      <c r="BJ8582" s="201"/>
    </row>
    <row r="8583" spans="62:62" x14ac:dyDescent="0.2">
      <c r="BJ8583" s="201"/>
    </row>
    <row r="8584" spans="62:62" x14ac:dyDescent="0.2">
      <c r="BJ8584" s="201"/>
    </row>
    <row r="8585" spans="62:62" x14ac:dyDescent="0.2">
      <c r="BJ8585" s="201"/>
    </row>
    <row r="8586" spans="62:62" x14ac:dyDescent="0.2">
      <c r="BJ8586" s="201"/>
    </row>
    <row r="8587" spans="62:62" x14ac:dyDescent="0.2">
      <c r="BJ8587" s="201"/>
    </row>
    <row r="8588" spans="62:62" x14ac:dyDescent="0.2">
      <c r="BJ8588" s="201"/>
    </row>
    <row r="8589" spans="62:62" x14ac:dyDescent="0.2">
      <c r="BJ8589" s="201"/>
    </row>
    <row r="8590" spans="62:62" x14ac:dyDescent="0.2">
      <c r="BJ8590" s="201"/>
    </row>
    <row r="8591" spans="62:62" x14ac:dyDescent="0.2">
      <c r="BJ8591" s="201"/>
    </row>
    <row r="8592" spans="62:62" x14ac:dyDescent="0.2">
      <c r="BJ8592" s="201"/>
    </row>
    <row r="8593" spans="62:62" x14ac:dyDescent="0.2">
      <c r="BJ8593" s="201"/>
    </row>
    <row r="8594" spans="62:62" x14ac:dyDescent="0.2">
      <c r="BJ8594" s="201"/>
    </row>
    <row r="8595" spans="62:62" x14ac:dyDescent="0.2">
      <c r="BJ8595" s="201"/>
    </row>
    <row r="8596" spans="62:62" x14ac:dyDescent="0.2">
      <c r="BJ8596" s="201"/>
    </row>
    <row r="8597" spans="62:62" x14ac:dyDescent="0.2">
      <c r="BJ8597" s="201"/>
    </row>
    <row r="8598" spans="62:62" x14ac:dyDescent="0.2">
      <c r="BJ8598" s="201"/>
    </row>
    <row r="8599" spans="62:62" x14ac:dyDescent="0.2">
      <c r="BJ8599" s="201"/>
    </row>
    <row r="8600" spans="62:62" x14ac:dyDescent="0.2">
      <c r="BJ8600" s="201"/>
    </row>
    <row r="8601" spans="62:62" x14ac:dyDescent="0.2">
      <c r="BJ8601" s="201"/>
    </row>
    <row r="8602" spans="62:62" x14ac:dyDescent="0.2">
      <c r="BJ8602" s="201"/>
    </row>
    <row r="8603" spans="62:62" x14ac:dyDescent="0.2">
      <c r="BJ8603" s="201"/>
    </row>
    <row r="8604" spans="62:62" x14ac:dyDescent="0.2">
      <c r="BJ8604" s="201"/>
    </row>
    <row r="8605" spans="62:62" x14ac:dyDescent="0.2">
      <c r="BJ8605" s="201"/>
    </row>
    <row r="8606" spans="62:62" x14ac:dyDescent="0.2">
      <c r="BJ8606" s="201"/>
    </row>
    <row r="8607" spans="62:62" x14ac:dyDescent="0.2">
      <c r="BJ8607" s="201"/>
    </row>
    <row r="8608" spans="62:62" x14ac:dyDescent="0.2">
      <c r="BJ8608" s="201"/>
    </row>
    <row r="8609" spans="62:62" x14ac:dyDescent="0.2">
      <c r="BJ8609" s="201"/>
    </row>
    <row r="8610" spans="62:62" x14ac:dyDescent="0.2">
      <c r="BJ8610" s="201"/>
    </row>
    <row r="8611" spans="62:62" x14ac:dyDescent="0.2">
      <c r="BJ8611" s="201"/>
    </row>
    <row r="8612" spans="62:62" x14ac:dyDescent="0.2">
      <c r="BJ8612" s="201"/>
    </row>
    <row r="8613" spans="62:62" x14ac:dyDescent="0.2">
      <c r="BJ8613" s="201"/>
    </row>
    <row r="8614" spans="62:62" x14ac:dyDescent="0.2">
      <c r="BJ8614" s="201"/>
    </row>
    <row r="8615" spans="62:62" x14ac:dyDescent="0.2">
      <c r="BJ8615" s="201"/>
    </row>
    <row r="8616" spans="62:62" x14ac:dyDescent="0.2">
      <c r="BJ8616" s="201"/>
    </row>
    <row r="8617" spans="62:62" x14ac:dyDescent="0.2">
      <c r="BJ8617" s="201"/>
    </row>
    <row r="8618" spans="62:62" x14ac:dyDescent="0.2">
      <c r="BJ8618" s="201"/>
    </row>
    <row r="8619" spans="62:62" x14ac:dyDescent="0.2">
      <c r="BJ8619" s="201"/>
    </row>
    <row r="8620" spans="62:62" x14ac:dyDescent="0.2">
      <c r="BJ8620" s="201"/>
    </row>
    <row r="8621" spans="62:62" x14ac:dyDescent="0.2">
      <c r="BJ8621" s="201"/>
    </row>
    <row r="8622" spans="62:62" x14ac:dyDescent="0.2">
      <c r="BJ8622" s="201"/>
    </row>
    <row r="8623" spans="62:62" x14ac:dyDescent="0.2">
      <c r="BJ8623" s="201"/>
    </row>
    <row r="8624" spans="62:62" x14ac:dyDescent="0.2">
      <c r="BJ8624" s="201"/>
    </row>
    <row r="8625" spans="62:62" x14ac:dyDescent="0.2">
      <c r="BJ8625" s="201"/>
    </row>
    <row r="8626" spans="62:62" x14ac:dyDescent="0.2">
      <c r="BJ8626" s="201"/>
    </row>
    <row r="8627" spans="62:62" x14ac:dyDescent="0.2">
      <c r="BJ8627" s="201"/>
    </row>
    <row r="8628" spans="62:62" x14ac:dyDescent="0.2">
      <c r="BJ8628" s="201"/>
    </row>
    <row r="8629" spans="62:62" x14ac:dyDescent="0.2">
      <c r="BJ8629" s="201"/>
    </row>
    <row r="8630" spans="62:62" x14ac:dyDescent="0.2">
      <c r="BJ8630" s="201"/>
    </row>
    <row r="8631" spans="62:62" x14ac:dyDescent="0.2">
      <c r="BJ8631" s="201"/>
    </row>
    <row r="8632" spans="62:62" x14ac:dyDescent="0.2">
      <c r="BJ8632" s="201"/>
    </row>
    <row r="8633" spans="62:62" x14ac:dyDescent="0.2">
      <c r="BJ8633" s="201"/>
    </row>
    <row r="8634" spans="62:62" x14ac:dyDescent="0.2">
      <c r="BJ8634" s="201"/>
    </row>
    <row r="8635" spans="62:62" x14ac:dyDescent="0.2">
      <c r="BJ8635" s="201"/>
    </row>
    <row r="8636" spans="62:62" x14ac:dyDescent="0.2">
      <c r="BJ8636" s="201"/>
    </row>
    <row r="8637" spans="62:62" x14ac:dyDescent="0.2">
      <c r="BJ8637" s="201"/>
    </row>
    <row r="8638" spans="62:62" x14ac:dyDescent="0.2">
      <c r="BJ8638" s="201"/>
    </row>
    <row r="8639" spans="62:62" x14ac:dyDescent="0.2">
      <c r="BJ8639" s="201"/>
    </row>
    <row r="8640" spans="62:62" x14ac:dyDescent="0.2">
      <c r="BJ8640" s="201"/>
    </row>
    <row r="8641" spans="62:62" x14ac:dyDescent="0.2">
      <c r="BJ8641" s="201"/>
    </row>
    <row r="8642" spans="62:62" x14ac:dyDescent="0.2">
      <c r="BJ8642" s="201"/>
    </row>
    <row r="8643" spans="62:62" x14ac:dyDescent="0.2">
      <c r="BJ8643" s="201"/>
    </row>
    <row r="8644" spans="62:62" x14ac:dyDescent="0.2">
      <c r="BJ8644" s="201"/>
    </row>
    <row r="8645" spans="62:62" x14ac:dyDescent="0.2">
      <c r="BJ8645" s="201"/>
    </row>
    <row r="8646" spans="62:62" x14ac:dyDescent="0.2">
      <c r="BJ8646" s="201"/>
    </row>
    <row r="8647" spans="62:62" x14ac:dyDescent="0.2">
      <c r="BJ8647" s="201"/>
    </row>
    <row r="8648" spans="62:62" x14ac:dyDescent="0.2">
      <c r="BJ8648" s="201"/>
    </row>
    <row r="8649" spans="62:62" x14ac:dyDescent="0.2">
      <c r="BJ8649" s="201"/>
    </row>
    <row r="8650" spans="62:62" x14ac:dyDescent="0.2">
      <c r="BJ8650" s="201"/>
    </row>
    <row r="8651" spans="62:62" x14ac:dyDescent="0.2">
      <c r="BJ8651" s="201"/>
    </row>
    <row r="8652" spans="62:62" x14ac:dyDescent="0.2">
      <c r="BJ8652" s="201"/>
    </row>
    <row r="8653" spans="62:62" x14ac:dyDescent="0.2">
      <c r="BJ8653" s="201"/>
    </row>
    <row r="8654" spans="62:62" x14ac:dyDescent="0.2">
      <c r="BJ8654" s="201"/>
    </row>
    <row r="8655" spans="62:62" x14ac:dyDescent="0.2">
      <c r="BJ8655" s="201"/>
    </row>
    <row r="8656" spans="62:62" x14ac:dyDescent="0.2">
      <c r="BJ8656" s="201"/>
    </row>
    <row r="8657" spans="62:62" x14ac:dyDescent="0.2">
      <c r="BJ8657" s="201"/>
    </row>
    <row r="8658" spans="62:62" x14ac:dyDescent="0.2">
      <c r="BJ8658" s="201"/>
    </row>
    <row r="8659" spans="62:62" x14ac:dyDescent="0.2">
      <c r="BJ8659" s="201"/>
    </row>
    <row r="8660" spans="62:62" x14ac:dyDescent="0.2">
      <c r="BJ8660" s="201"/>
    </row>
    <row r="8661" spans="62:62" x14ac:dyDescent="0.2">
      <c r="BJ8661" s="201"/>
    </row>
    <row r="8662" spans="62:62" x14ac:dyDescent="0.2">
      <c r="BJ8662" s="201"/>
    </row>
    <row r="8663" spans="62:62" x14ac:dyDescent="0.2">
      <c r="BJ8663" s="201"/>
    </row>
    <row r="8664" spans="62:62" x14ac:dyDescent="0.2">
      <c r="BJ8664" s="201"/>
    </row>
    <row r="8665" spans="62:62" x14ac:dyDescent="0.2">
      <c r="BJ8665" s="201"/>
    </row>
    <row r="8666" spans="62:62" x14ac:dyDescent="0.2">
      <c r="BJ8666" s="201"/>
    </row>
    <row r="8667" spans="62:62" x14ac:dyDescent="0.2">
      <c r="BJ8667" s="201"/>
    </row>
    <row r="8668" spans="62:62" x14ac:dyDescent="0.2">
      <c r="BJ8668" s="201"/>
    </row>
    <row r="8669" spans="62:62" x14ac:dyDescent="0.2">
      <c r="BJ8669" s="201"/>
    </row>
    <row r="8670" spans="62:62" x14ac:dyDescent="0.2">
      <c r="BJ8670" s="201"/>
    </row>
    <row r="8671" spans="62:62" x14ac:dyDescent="0.2">
      <c r="BJ8671" s="201"/>
    </row>
    <row r="8672" spans="62:62" x14ac:dyDescent="0.2">
      <c r="BJ8672" s="201"/>
    </row>
    <row r="8673" spans="62:62" x14ac:dyDescent="0.2">
      <c r="BJ8673" s="201"/>
    </row>
    <row r="8674" spans="62:62" x14ac:dyDescent="0.2">
      <c r="BJ8674" s="201"/>
    </row>
    <row r="8675" spans="62:62" x14ac:dyDescent="0.2">
      <c r="BJ8675" s="201"/>
    </row>
    <row r="8676" spans="62:62" x14ac:dyDescent="0.2">
      <c r="BJ8676" s="201"/>
    </row>
    <row r="8677" spans="62:62" x14ac:dyDescent="0.2">
      <c r="BJ8677" s="201"/>
    </row>
    <row r="8678" spans="62:62" x14ac:dyDescent="0.2">
      <c r="BJ8678" s="201"/>
    </row>
    <row r="8679" spans="62:62" x14ac:dyDescent="0.2">
      <c r="BJ8679" s="201"/>
    </row>
    <row r="8680" spans="62:62" x14ac:dyDescent="0.2">
      <c r="BJ8680" s="201"/>
    </row>
    <row r="8681" spans="62:62" x14ac:dyDescent="0.2">
      <c r="BJ8681" s="201"/>
    </row>
    <row r="8682" spans="62:62" x14ac:dyDescent="0.2">
      <c r="BJ8682" s="201"/>
    </row>
    <row r="8683" spans="62:62" x14ac:dyDescent="0.2">
      <c r="BJ8683" s="201"/>
    </row>
    <row r="8684" spans="62:62" x14ac:dyDescent="0.2">
      <c r="BJ8684" s="201"/>
    </row>
    <row r="8685" spans="62:62" x14ac:dyDescent="0.2">
      <c r="BJ8685" s="201"/>
    </row>
    <row r="8686" spans="62:62" x14ac:dyDescent="0.2">
      <c r="BJ8686" s="201"/>
    </row>
    <row r="8687" spans="62:62" x14ac:dyDescent="0.2">
      <c r="BJ8687" s="201"/>
    </row>
    <row r="8688" spans="62:62" x14ac:dyDescent="0.2">
      <c r="BJ8688" s="201"/>
    </row>
    <row r="8689" spans="62:62" x14ac:dyDescent="0.2">
      <c r="BJ8689" s="201"/>
    </row>
    <row r="8690" spans="62:62" x14ac:dyDescent="0.2">
      <c r="BJ8690" s="201"/>
    </row>
    <row r="8691" spans="62:62" x14ac:dyDescent="0.2">
      <c r="BJ8691" s="201"/>
    </row>
    <row r="8692" spans="62:62" x14ac:dyDescent="0.2">
      <c r="BJ8692" s="201"/>
    </row>
    <row r="8693" spans="62:62" x14ac:dyDescent="0.2">
      <c r="BJ8693" s="201"/>
    </row>
    <row r="8694" spans="62:62" x14ac:dyDescent="0.2">
      <c r="BJ8694" s="201"/>
    </row>
    <row r="8695" spans="62:62" x14ac:dyDescent="0.2">
      <c r="BJ8695" s="201"/>
    </row>
    <row r="8696" spans="62:62" x14ac:dyDescent="0.2">
      <c r="BJ8696" s="201"/>
    </row>
    <row r="8697" spans="62:62" x14ac:dyDescent="0.2">
      <c r="BJ8697" s="201"/>
    </row>
    <row r="8698" spans="62:62" x14ac:dyDescent="0.2">
      <c r="BJ8698" s="201"/>
    </row>
    <row r="8699" spans="62:62" x14ac:dyDescent="0.2">
      <c r="BJ8699" s="201"/>
    </row>
    <row r="8700" spans="62:62" x14ac:dyDescent="0.2">
      <c r="BJ8700" s="201"/>
    </row>
    <row r="8701" spans="62:62" x14ac:dyDescent="0.2">
      <c r="BJ8701" s="201"/>
    </row>
    <row r="8702" spans="62:62" x14ac:dyDescent="0.2">
      <c r="BJ8702" s="201"/>
    </row>
    <row r="8703" spans="62:62" x14ac:dyDescent="0.2">
      <c r="BJ8703" s="201"/>
    </row>
    <row r="8704" spans="62:62" x14ac:dyDescent="0.2">
      <c r="BJ8704" s="201"/>
    </row>
    <row r="8705" spans="62:62" x14ac:dyDescent="0.2">
      <c r="BJ8705" s="201"/>
    </row>
    <row r="8706" spans="62:62" x14ac:dyDescent="0.2">
      <c r="BJ8706" s="201"/>
    </row>
    <row r="8707" spans="62:62" x14ac:dyDescent="0.2">
      <c r="BJ8707" s="201"/>
    </row>
    <row r="8708" spans="62:62" x14ac:dyDescent="0.2">
      <c r="BJ8708" s="201"/>
    </row>
    <row r="8709" spans="62:62" x14ac:dyDescent="0.2">
      <c r="BJ8709" s="201"/>
    </row>
    <row r="8710" spans="62:62" x14ac:dyDescent="0.2">
      <c r="BJ8710" s="201"/>
    </row>
    <row r="8711" spans="62:62" x14ac:dyDescent="0.2">
      <c r="BJ8711" s="201"/>
    </row>
    <row r="8712" spans="62:62" x14ac:dyDescent="0.2">
      <c r="BJ8712" s="201"/>
    </row>
    <row r="8713" spans="62:62" x14ac:dyDescent="0.2">
      <c r="BJ8713" s="201"/>
    </row>
    <row r="8714" spans="62:62" x14ac:dyDescent="0.2">
      <c r="BJ8714" s="201"/>
    </row>
    <row r="8715" spans="62:62" x14ac:dyDescent="0.2">
      <c r="BJ8715" s="201"/>
    </row>
    <row r="8716" spans="62:62" x14ac:dyDescent="0.2">
      <c r="BJ8716" s="201"/>
    </row>
    <row r="8717" spans="62:62" x14ac:dyDescent="0.2">
      <c r="BJ8717" s="201"/>
    </row>
    <row r="8718" spans="62:62" x14ac:dyDescent="0.2">
      <c r="BJ8718" s="201"/>
    </row>
    <row r="8719" spans="62:62" x14ac:dyDescent="0.2">
      <c r="BJ8719" s="201"/>
    </row>
    <row r="8720" spans="62:62" x14ac:dyDescent="0.2">
      <c r="BJ8720" s="201"/>
    </row>
    <row r="8721" spans="62:62" x14ac:dyDescent="0.2">
      <c r="BJ8721" s="201"/>
    </row>
    <row r="8722" spans="62:62" x14ac:dyDescent="0.2">
      <c r="BJ8722" s="201"/>
    </row>
    <row r="8723" spans="62:62" x14ac:dyDescent="0.2">
      <c r="BJ8723" s="201"/>
    </row>
    <row r="8724" spans="62:62" x14ac:dyDescent="0.2">
      <c r="BJ8724" s="201"/>
    </row>
    <row r="8725" spans="62:62" x14ac:dyDescent="0.2">
      <c r="BJ8725" s="201"/>
    </row>
    <row r="8726" spans="62:62" x14ac:dyDescent="0.2">
      <c r="BJ8726" s="201"/>
    </row>
    <row r="8727" spans="62:62" x14ac:dyDescent="0.2">
      <c r="BJ8727" s="201"/>
    </row>
    <row r="8728" spans="62:62" x14ac:dyDescent="0.2">
      <c r="BJ8728" s="201"/>
    </row>
    <row r="8729" spans="62:62" x14ac:dyDescent="0.2">
      <c r="BJ8729" s="201"/>
    </row>
    <row r="8730" spans="62:62" x14ac:dyDescent="0.2">
      <c r="BJ8730" s="201"/>
    </row>
    <row r="8731" spans="62:62" x14ac:dyDescent="0.2">
      <c r="BJ8731" s="201"/>
    </row>
    <row r="8732" spans="62:62" x14ac:dyDescent="0.2">
      <c r="BJ8732" s="201"/>
    </row>
    <row r="8733" spans="62:62" x14ac:dyDescent="0.2">
      <c r="BJ8733" s="201"/>
    </row>
    <row r="8734" spans="62:62" x14ac:dyDescent="0.2">
      <c r="BJ8734" s="201"/>
    </row>
    <row r="8735" spans="62:62" x14ac:dyDescent="0.2">
      <c r="BJ8735" s="201"/>
    </row>
    <row r="8736" spans="62:62" x14ac:dyDescent="0.2">
      <c r="BJ8736" s="201"/>
    </row>
    <row r="8737" spans="62:62" x14ac:dyDescent="0.2">
      <c r="BJ8737" s="201"/>
    </row>
    <row r="8738" spans="62:62" x14ac:dyDescent="0.2">
      <c r="BJ8738" s="201"/>
    </row>
    <row r="8739" spans="62:62" x14ac:dyDescent="0.2">
      <c r="BJ8739" s="201"/>
    </row>
    <row r="8740" spans="62:62" x14ac:dyDescent="0.2">
      <c r="BJ8740" s="201"/>
    </row>
    <row r="8741" spans="62:62" x14ac:dyDescent="0.2">
      <c r="BJ8741" s="201"/>
    </row>
    <row r="8742" spans="62:62" x14ac:dyDescent="0.2">
      <c r="BJ8742" s="201"/>
    </row>
    <row r="8743" spans="62:62" x14ac:dyDescent="0.2">
      <c r="BJ8743" s="201"/>
    </row>
    <row r="8744" spans="62:62" x14ac:dyDescent="0.2">
      <c r="BJ8744" s="201"/>
    </row>
    <row r="8745" spans="62:62" x14ac:dyDescent="0.2">
      <c r="BJ8745" s="201"/>
    </row>
    <row r="8746" spans="62:62" x14ac:dyDescent="0.2">
      <c r="BJ8746" s="201"/>
    </row>
    <row r="8747" spans="62:62" x14ac:dyDescent="0.2">
      <c r="BJ8747" s="201"/>
    </row>
    <row r="8748" spans="62:62" x14ac:dyDescent="0.2">
      <c r="BJ8748" s="201"/>
    </row>
    <row r="8749" spans="62:62" x14ac:dyDescent="0.2">
      <c r="BJ8749" s="201"/>
    </row>
    <row r="8750" spans="62:62" x14ac:dyDescent="0.2">
      <c r="BJ8750" s="201"/>
    </row>
    <row r="8751" spans="62:62" x14ac:dyDescent="0.2">
      <c r="BJ8751" s="201"/>
    </row>
    <row r="8752" spans="62:62" x14ac:dyDescent="0.2">
      <c r="BJ8752" s="201"/>
    </row>
    <row r="8753" spans="62:62" x14ac:dyDescent="0.2">
      <c r="BJ8753" s="201"/>
    </row>
    <row r="8754" spans="62:62" x14ac:dyDescent="0.2">
      <c r="BJ8754" s="201"/>
    </row>
    <row r="8755" spans="62:62" x14ac:dyDescent="0.2">
      <c r="BJ8755" s="201"/>
    </row>
    <row r="8756" spans="62:62" x14ac:dyDescent="0.2">
      <c r="BJ8756" s="201"/>
    </row>
    <row r="8757" spans="62:62" x14ac:dyDescent="0.2">
      <c r="BJ8757" s="201"/>
    </row>
    <row r="8758" spans="62:62" x14ac:dyDescent="0.2">
      <c r="BJ8758" s="201"/>
    </row>
    <row r="8759" spans="62:62" x14ac:dyDescent="0.2">
      <c r="BJ8759" s="201"/>
    </row>
    <row r="8760" spans="62:62" x14ac:dyDescent="0.2">
      <c r="BJ8760" s="201"/>
    </row>
    <row r="8761" spans="62:62" x14ac:dyDescent="0.2">
      <c r="BJ8761" s="201"/>
    </row>
    <row r="8762" spans="62:62" x14ac:dyDescent="0.2">
      <c r="BJ8762" s="201"/>
    </row>
    <row r="8763" spans="62:62" x14ac:dyDescent="0.2">
      <c r="BJ8763" s="201"/>
    </row>
    <row r="8764" spans="62:62" x14ac:dyDescent="0.2">
      <c r="BJ8764" s="201"/>
    </row>
    <row r="8765" spans="62:62" x14ac:dyDescent="0.2">
      <c r="BJ8765" s="201"/>
    </row>
    <row r="8766" spans="62:62" x14ac:dyDescent="0.2">
      <c r="BJ8766" s="201"/>
    </row>
    <row r="8767" spans="62:62" x14ac:dyDescent="0.2">
      <c r="BJ8767" s="201"/>
    </row>
    <row r="8768" spans="62:62" x14ac:dyDescent="0.2">
      <c r="BJ8768" s="201"/>
    </row>
    <row r="8769" spans="62:62" x14ac:dyDescent="0.2">
      <c r="BJ8769" s="201"/>
    </row>
    <row r="8770" spans="62:62" x14ac:dyDescent="0.2">
      <c r="BJ8770" s="201"/>
    </row>
    <row r="8771" spans="62:62" x14ac:dyDescent="0.2">
      <c r="BJ8771" s="201"/>
    </row>
    <row r="8772" spans="62:62" x14ac:dyDescent="0.2">
      <c r="BJ8772" s="201"/>
    </row>
    <row r="8773" spans="62:62" x14ac:dyDescent="0.2">
      <c r="BJ8773" s="201"/>
    </row>
    <row r="8774" spans="62:62" x14ac:dyDescent="0.2">
      <c r="BJ8774" s="201"/>
    </row>
    <row r="8775" spans="62:62" x14ac:dyDescent="0.2">
      <c r="BJ8775" s="201"/>
    </row>
    <row r="8776" spans="62:62" x14ac:dyDescent="0.2">
      <c r="BJ8776" s="201"/>
    </row>
    <row r="8777" spans="62:62" x14ac:dyDescent="0.2">
      <c r="BJ8777" s="201"/>
    </row>
    <row r="8778" spans="62:62" x14ac:dyDescent="0.2">
      <c r="BJ8778" s="201"/>
    </row>
    <row r="8779" spans="62:62" x14ac:dyDescent="0.2">
      <c r="BJ8779" s="201"/>
    </row>
    <row r="8780" spans="62:62" x14ac:dyDescent="0.2">
      <c r="BJ8780" s="201"/>
    </row>
    <row r="8781" spans="62:62" x14ac:dyDescent="0.2">
      <c r="BJ8781" s="201"/>
    </row>
    <row r="8782" spans="62:62" x14ac:dyDescent="0.2">
      <c r="BJ8782" s="201"/>
    </row>
    <row r="8783" spans="62:62" x14ac:dyDescent="0.2">
      <c r="BJ8783" s="201"/>
    </row>
    <row r="8784" spans="62:62" x14ac:dyDescent="0.2">
      <c r="BJ8784" s="201"/>
    </row>
    <row r="8785" spans="62:62" x14ac:dyDescent="0.2">
      <c r="BJ8785" s="201"/>
    </row>
    <row r="8786" spans="62:62" x14ac:dyDescent="0.2">
      <c r="BJ8786" s="201"/>
    </row>
    <row r="8787" spans="62:62" x14ac:dyDescent="0.2">
      <c r="BJ8787" s="201"/>
    </row>
    <row r="8788" spans="62:62" x14ac:dyDescent="0.2">
      <c r="BJ8788" s="201"/>
    </row>
    <row r="8789" spans="62:62" x14ac:dyDescent="0.2">
      <c r="BJ8789" s="201"/>
    </row>
    <row r="8790" spans="62:62" x14ac:dyDescent="0.2">
      <c r="BJ8790" s="201"/>
    </row>
    <row r="8791" spans="62:62" x14ac:dyDescent="0.2">
      <c r="BJ8791" s="201"/>
    </row>
    <row r="8792" spans="62:62" x14ac:dyDescent="0.2">
      <c r="BJ8792" s="201"/>
    </row>
    <row r="8793" spans="62:62" x14ac:dyDescent="0.2">
      <c r="BJ8793" s="201"/>
    </row>
    <row r="8794" spans="62:62" x14ac:dyDescent="0.2">
      <c r="BJ8794" s="201"/>
    </row>
    <row r="8795" spans="62:62" x14ac:dyDescent="0.2">
      <c r="BJ8795" s="201"/>
    </row>
    <row r="8796" spans="62:62" x14ac:dyDescent="0.2">
      <c r="BJ8796" s="201"/>
    </row>
    <row r="8797" spans="62:62" x14ac:dyDescent="0.2">
      <c r="BJ8797" s="201"/>
    </row>
    <row r="8798" spans="62:62" x14ac:dyDescent="0.2">
      <c r="BJ8798" s="201"/>
    </row>
    <row r="8799" spans="62:62" x14ac:dyDescent="0.2">
      <c r="BJ8799" s="201"/>
    </row>
    <row r="8800" spans="62:62" x14ac:dyDescent="0.2">
      <c r="BJ8800" s="201"/>
    </row>
    <row r="8801" spans="62:62" x14ac:dyDescent="0.2">
      <c r="BJ8801" s="201"/>
    </row>
    <row r="8802" spans="62:62" x14ac:dyDescent="0.2">
      <c r="BJ8802" s="201"/>
    </row>
    <row r="8803" spans="62:62" x14ac:dyDescent="0.2">
      <c r="BJ8803" s="201"/>
    </row>
    <row r="8804" spans="62:62" x14ac:dyDescent="0.2">
      <c r="BJ8804" s="201"/>
    </row>
    <row r="8805" spans="62:62" x14ac:dyDescent="0.2">
      <c r="BJ8805" s="201"/>
    </row>
    <row r="8806" spans="62:62" x14ac:dyDescent="0.2">
      <c r="BJ8806" s="201"/>
    </row>
    <row r="8807" spans="62:62" x14ac:dyDescent="0.2">
      <c r="BJ8807" s="201"/>
    </row>
    <row r="8808" spans="62:62" x14ac:dyDescent="0.2">
      <c r="BJ8808" s="201"/>
    </row>
    <row r="8809" spans="62:62" x14ac:dyDescent="0.2">
      <c r="BJ8809" s="201"/>
    </row>
    <row r="8810" spans="62:62" x14ac:dyDescent="0.2">
      <c r="BJ8810" s="201"/>
    </row>
    <row r="8811" spans="62:62" x14ac:dyDescent="0.2">
      <c r="BJ8811" s="201"/>
    </row>
    <row r="8812" spans="62:62" x14ac:dyDescent="0.2">
      <c r="BJ8812" s="201"/>
    </row>
    <row r="8813" spans="62:62" x14ac:dyDescent="0.2">
      <c r="BJ8813" s="201"/>
    </row>
    <row r="8814" spans="62:62" x14ac:dyDescent="0.2">
      <c r="BJ8814" s="201"/>
    </row>
    <row r="8815" spans="62:62" x14ac:dyDescent="0.2">
      <c r="BJ8815" s="201"/>
    </row>
    <row r="8816" spans="62:62" x14ac:dyDescent="0.2">
      <c r="BJ8816" s="201"/>
    </row>
    <row r="8817" spans="62:62" x14ac:dyDescent="0.2">
      <c r="BJ8817" s="201"/>
    </row>
    <row r="8818" spans="62:62" x14ac:dyDescent="0.2">
      <c r="BJ8818" s="201"/>
    </row>
    <row r="8819" spans="62:62" x14ac:dyDescent="0.2">
      <c r="BJ8819" s="201"/>
    </row>
    <row r="8820" spans="62:62" x14ac:dyDescent="0.2">
      <c r="BJ8820" s="201"/>
    </row>
    <row r="8821" spans="62:62" x14ac:dyDescent="0.2">
      <c r="BJ8821" s="201"/>
    </row>
    <row r="8822" spans="62:62" x14ac:dyDescent="0.2">
      <c r="BJ8822" s="201"/>
    </row>
    <row r="8823" spans="62:62" x14ac:dyDescent="0.2">
      <c r="BJ8823" s="201"/>
    </row>
    <row r="8824" spans="62:62" x14ac:dyDescent="0.2">
      <c r="BJ8824" s="201"/>
    </row>
    <row r="8825" spans="62:62" x14ac:dyDescent="0.2">
      <c r="BJ8825" s="201"/>
    </row>
    <row r="8826" spans="62:62" x14ac:dyDescent="0.2">
      <c r="BJ8826" s="201"/>
    </row>
    <row r="8827" spans="62:62" x14ac:dyDescent="0.2">
      <c r="BJ8827" s="201"/>
    </row>
    <row r="8828" spans="62:62" x14ac:dyDescent="0.2">
      <c r="BJ8828" s="201"/>
    </row>
    <row r="8829" spans="62:62" x14ac:dyDescent="0.2">
      <c r="BJ8829" s="201"/>
    </row>
    <row r="8830" spans="62:62" x14ac:dyDescent="0.2">
      <c r="BJ8830" s="201"/>
    </row>
    <row r="8831" spans="62:62" x14ac:dyDescent="0.2">
      <c r="BJ8831" s="201"/>
    </row>
    <row r="8832" spans="62:62" x14ac:dyDescent="0.2">
      <c r="BJ8832" s="201"/>
    </row>
    <row r="8833" spans="62:62" x14ac:dyDescent="0.2">
      <c r="BJ8833" s="201"/>
    </row>
    <row r="8834" spans="62:62" x14ac:dyDescent="0.2">
      <c r="BJ8834" s="201"/>
    </row>
    <row r="8835" spans="62:62" x14ac:dyDescent="0.2">
      <c r="BJ8835" s="201"/>
    </row>
    <row r="8836" spans="62:62" x14ac:dyDescent="0.2">
      <c r="BJ8836" s="201"/>
    </row>
    <row r="8837" spans="62:62" x14ac:dyDescent="0.2">
      <c r="BJ8837" s="201"/>
    </row>
    <row r="8838" spans="62:62" x14ac:dyDescent="0.2">
      <c r="BJ8838" s="201"/>
    </row>
    <row r="8839" spans="62:62" x14ac:dyDescent="0.2">
      <c r="BJ8839" s="201"/>
    </row>
    <row r="8840" spans="62:62" x14ac:dyDescent="0.2">
      <c r="BJ8840" s="201"/>
    </row>
    <row r="8841" spans="62:62" x14ac:dyDescent="0.2">
      <c r="BJ8841" s="201"/>
    </row>
    <row r="8842" spans="62:62" x14ac:dyDescent="0.2">
      <c r="BJ8842" s="201"/>
    </row>
    <row r="8843" spans="62:62" x14ac:dyDescent="0.2">
      <c r="BJ8843" s="201"/>
    </row>
    <row r="8844" spans="62:62" x14ac:dyDescent="0.2">
      <c r="BJ8844" s="201"/>
    </row>
    <row r="8845" spans="62:62" x14ac:dyDescent="0.2">
      <c r="BJ8845" s="201"/>
    </row>
    <row r="8846" spans="62:62" x14ac:dyDescent="0.2">
      <c r="BJ8846" s="201"/>
    </row>
    <row r="8847" spans="62:62" x14ac:dyDescent="0.2">
      <c r="BJ8847" s="201"/>
    </row>
    <row r="8848" spans="62:62" x14ac:dyDescent="0.2">
      <c r="BJ8848" s="201"/>
    </row>
    <row r="8849" spans="62:62" x14ac:dyDescent="0.2">
      <c r="BJ8849" s="201"/>
    </row>
    <row r="8850" spans="62:62" x14ac:dyDescent="0.2">
      <c r="BJ8850" s="201"/>
    </row>
    <row r="8851" spans="62:62" x14ac:dyDescent="0.2">
      <c r="BJ8851" s="201"/>
    </row>
    <row r="8852" spans="62:62" x14ac:dyDescent="0.2">
      <c r="BJ8852" s="201"/>
    </row>
    <row r="8853" spans="62:62" x14ac:dyDescent="0.2">
      <c r="BJ8853" s="201"/>
    </row>
    <row r="8854" spans="62:62" x14ac:dyDescent="0.2">
      <c r="BJ8854" s="201"/>
    </row>
    <row r="8855" spans="62:62" x14ac:dyDescent="0.2">
      <c r="BJ8855" s="201"/>
    </row>
    <row r="8856" spans="62:62" x14ac:dyDescent="0.2">
      <c r="BJ8856" s="201"/>
    </row>
    <row r="8857" spans="62:62" x14ac:dyDescent="0.2">
      <c r="BJ8857" s="201"/>
    </row>
    <row r="8858" spans="62:62" x14ac:dyDescent="0.2">
      <c r="BJ8858" s="201"/>
    </row>
    <row r="8859" spans="62:62" x14ac:dyDescent="0.2">
      <c r="BJ8859" s="201"/>
    </row>
    <row r="8860" spans="62:62" x14ac:dyDescent="0.2">
      <c r="BJ8860" s="201"/>
    </row>
    <row r="8861" spans="62:62" x14ac:dyDescent="0.2">
      <c r="BJ8861" s="201"/>
    </row>
    <row r="8862" spans="62:62" x14ac:dyDescent="0.2">
      <c r="BJ8862" s="201"/>
    </row>
    <row r="8863" spans="62:62" x14ac:dyDescent="0.2">
      <c r="BJ8863" s="201"/>
    </row>
    <row r="8864" spans="62:62" x14ac:dyDescent="0.2">
      <c r="BJ8864" s="201"/>
    </row>
    <row r="8865" spans="62:62" x14ac:dyDescent="0.2">
      <c r="BJ8865" s="201"/>
    </row>
    <row r="8866" spans="62:62" x14ac:dyDescent="0.2">
      <c r="BJ8866" s="201"/>
    </row>
    <row r="8867" spans="62:62" x14ac:dyDescent="0.2">
      <c r="BJ8867" s="201"/>
    </row>
    <row r="8868" spans="62:62" x14ac:dyDescent="0.2">
      <c r="BJ8868" s="201"/>
    </row>
    <row r="8869" spans="62:62" x14ac:dyDescent="0.2">
      <c r="BJ8869" s="201"/>
    </row>
    <row r="8870" spans="62:62" x14ac:dyDescent="0.2">
      <c r="BJ8870" s="201"/>
    </row>
    <row r="8871" spans="62:62" x14ac:dyDescent="0.2">
      <c r="BJ8871" s="201"/>
    </row>
    <row r="8872" spans="62:62" x14ac:dyDescent="0.2">
      <c r="BJ8872" s="201"/>
    </row>
    <row r="8873" spans="62:62" x14ac:dyDescent="0.2">
      <c r="BJ8873" s="201"/>
    </row>
    <row r="8874" spans="62:62" x14ac:dyDescent="0.2">
      <c r="BJ8874" s="201"/>
    </row>
    <row r="8875" spans="62:62" x14ac:dyDescent="0.2">
      <c r="BJ8875" s="201"/>
    </row>
    <row r="8876" spans="62:62" x14ac:dyDescent="0.2">
      <c r="BJ8876" s="201"/>
    </row>
    <row r="8877" spans="62:62" x14ac:dyDescent="0.2">
      <c r="BJ8877" s="201"/>
    </row>
    <row r="8878" spans="62:62" x14ac:dyDescent="0.2">
      <c r="BJ8878" s="201"/>
    </row>
    <row r="8879" spans="62:62" x14ac:dyDescent="0.2">
      <c r="BJ8879" s="201"/>
    </row>
    <row r="8880" spans="62:62" x14ac:dyDescent="0.2">
      <c r="BJ8880" s="201"/>
    </row>
    <row r="8881" spans="62:62" x14ac:dyDescent="0.2">
      <c r="BJ8881" s="201"/>
    </row>
    <row r="8882" spans="62:62" x14ac:dyDescent="0.2">
      <c r="BJ8882" s="201"/>
    </row>
    <row r="8883" spans="62:62" x14ac:dyDescent="0.2">
      <c r="BJ8883" s="201"/>
    </row>
    <row r="8884" spans="62:62" x14ac:dyDescent="0.2">
      <c r="BJ8884" s="201"/>
    </row>
    <row r="8885" spans="62:62" x14ac:dyDescent="0.2">
      <c r="BJ8885" s="201"/>
    </row>
    <row r="8886" spans="62:62" x14ac:dyDescent="0.2">
      <c r="BJ8886" s="201"/>
    </row>
    <row r="8887" spans="62:62" x14ac:dyDescent="0.2">
      <c r="BJ8887" s="201"/>
    </row>
    <row r="8888" spans="62:62" x14ac:dyDescent="0.2">
      <c r="BJ8888" s="201"/>
    </row>
    <row r="8889" spans="62:62" x14ac:dyDescent="0.2">
      <c r="BJ8889" s="201"/>
    </row>
    <row r="8890" spans="62:62" x14ac:dyDescent="0.2">
      <c r="BJ8890" s="201"/>
    </row>
    <row r="8891" spans="62:62" x14ac:dyDescent="0.2">
      <c r="BJ8891" s="201"/>
    </row>
    <row r="8892" spans="62:62" x14ac:dyDescent="0.2">
      <c r="BJ8892" s="201"/>
    </row>
    <row r="8893" spans="62:62" x14ac:dyDescent="0.2">
      <c r="BJ8893" s="201"/>
    </row>
    <row r="8894" spans="62:62" x14ac:dyDescent="0.2">
      <c r="BJ8894" s="201"/>
    </row>
    <row r="8895" spans="62:62" x14ac:dyDescent="0.2">
      <c r="BJ8895" s="201"/>
    </row>
    <row r="8896" spans="62:62" x14ac:dyDescent="0.2">
      <c r="BJ8896" s="201"/>
    </row>
    <row r="8897" spans="62:62" x14ac:dyDescent="0.2">
      <c r="BJ8897" s="201"/>
    </row>
    <row r="8898" spans="62:62" x14ac:dyDescent="0.2">
      <c r="BJ8898" s="201"/>
    </row>
    <row r="8899" spans="62:62" x14ac:dyDescent="0.2">
      <c r="BJ8899" s="201"/>
    </row>
    <row r="8900" spans="62:62" x14ac:dyDescent="0.2">
      <c r="BJ8900" s="201"/>
    </row>
    <row r="8901" spans="62:62" x14ac:dyDescent="0.2">
      <c r="BJ8901" s="201"/>
    </row>
    <row r="8902" spans="62:62" x14ac:dyDescent="0.2">
      <c r="BJ8902" s="201"/>
    </row>
    <row r="8903" spans="62:62" x14ac:dyDescent="0.2">
      <c r="BJ8903" s="201"/>
    </row>
    <row r="8904" spans="62:62" x14ac:dyDescent="0.2">
      <c r="BJ8904" s="201"/>
    </row>
    <row r="8905" spans="62:62" x14ac:dyDescent="0.2">
      <c r="BJ8905" s="201"/>
    </row>
    <row r="8906" spans="62:62" x14ac:dyDescent="0.2">
      <c r="BJ8906" s="201"/>
    </row>
    <row r="8907" spans="62:62" x14ac:dyDescent="0.2">
      <c r="BJ8907" s="201"/>
    </row>
    <row r="8908" spans="62:62" x14ac:dyDescent="0.2">
      <c r="BJ8908" s="201"/>
    </row>
    <row r="8909" spans="62:62" x14ac:dyDescent="0.2">
      <c r="BJ8909" s="201"/>
    </row>
    <row r="8910" spans="62:62" x14ac:dyDescent="0.2">
      <c r="BJ8910" s="201"/>
    </row>
    <row r="8911" spans="62:62" x14ac:dyDescent="0.2">
      <c r="BJ8911" s="201"/>
    </row>
    <row r="8912" spans="62:62" x14ac:dyDescent="0.2">
      <c r="BJ8912" s="201"/>
    </row>
    <row r="8913" spans="62:62" x14ac:dyDescent="0.2">
      <c r="BJ8913" s="201"/>
    </row>
    <row r="8914" spans="62:62" x14ac:dyDescent="0.2">
      <c r="BJ8914" s="201"/>
    </row>
    <row r="8915" spans="62:62" x14ac:dyDescent="0.2">
      <c r="BJ8915" s="201"/>
    </row>
    <row r="8916" spans="62:62" x14ac:dyDescent="0.2">
      <c r="BJ8916" s="201"/>
    </row>
    <row r="8917" spans="62:62" x14ac:dyDescent="0.2">
      <c r="BJ8917" s="201"/>
    </row>
    <row r="8918" spans="62:62" x14ac:dyDescent="0.2">
      <c r="BJ8918" s="201"/>
    </row>
    <row r="8919" spans="62:62" x14ac:dyDescent="0.2">
      <c r="BJ8919" s="201"/>
    </row>
    <row r="8920" spans="62:62" x14ac:dyDescent="0.2">
      <c r="BJ8920" s="201"/>
    </row>
    <row r="8921" spans="62:62" x14ac:dyDescent="0.2">
      <c r="BJ8921" s="201"/>
    </row>
    <row r="8922" spans="62:62" x14ac:dyDescent="0.2">
      <c r="BJ8922" s="201"/>
    </row>
    <row r="8923" spans="62:62" x14ac:dyDescent="0.2">
      <c r="BJ8923" s="201"/>
    </row>
    <row r="8924" spans="62:62" x14ac:dyDescent="0.2">
      <c r="BJ8924" s="201"/>
    </row>
    <row r="8925" spans="62:62" x14ac:dyDescent="0.2">
      <c r="BJ8925" s="201"/>
    </row>
    <row r="8926" spans="62:62" x14ac:dyDescent="0.2">
      <c r="BJ8926" s="201"/>
    </row>
    <row r="8927" spans="62:62" x14ac:dyDescent="0.2">
      <c r="BJ8927" s="201"/>
    </row>
    <row r="8928" spans="62:62" x14ac:dyDescent="0.2">
      <c r="BJ8928" s="201"/>
    </row>
    <row r="8929" spans="62:62" x14ac:dyDescent="0.2">
      <c r="BJ8929" s="201"/>
    </row>
    <row r="8930" spans="62:62" x14ac:dyDescent="0.2">
      <c r="BJ8930" s="201"/>
    </row>
    <row r="8931" spans="62:62" x14ac:dyDescent="0.2">
      <c r="BJ8931" s="201"/>
    </row>
    <row r="8932" spans="62:62" x14ac:dyDescent="0.2">
      <c r="BJ8932" s="201"/>
    </row>
    <row r="8933" spans="62:62" x14ac:dyDescent="0.2">
      <c r="BJ8933" s="201"/>
    </row>
    <row r="8934" spans="62:62" x14ac:dyDescent="0.2">
      <c r="BJ8934" s="201"/>
    </row>
    <row r="8935" spans="62:62" x14ac:dyDescent="0.2">
      <c r="BJ8935" s="201"/>
    </row>
    <row r="8936" spans="62:62" x14ac:dyDescent="0.2">
      <c r="BJ8936" s="201"/>
    </row>
    <row r="8937" spans="62:62" x14ac:dyDescent="0.2">
      <c r="BJ8937" s="201"/>
    </row>
    <row r="8938" spans="62:62" x14ac:dyDescent="0.2">
      <c r="BJ8938" s="201"/>
    </row>
    <row r="8939" spans="62:62" x14ac:dyDescent="0.2">
      <c r="BJ8939" s="201"/>
    </row>
    <row r="8940" spans="62:62" x14ac:dyDescent="0.2">
      <c r="BJ8940" s="201"/>
    </row>
    <row r="8941" spans="62:62" x14ac:dyDescent="0.2">
      <c r="BJ8941" s="201"/>
    </row>
    <row r="8942" spans="62:62" x14ac:dyDescent="0.2">
      <c r="BJ8942" s="201"/>
    </row>
    <row r="8943" spans="62:62" x14ac:dyDescent="0.2">
      <c r="BJ8943" s="201"/>
    </row>
    <row r="8944" spans="62:62" x14ac:dyDescent="0.2">
      <c r="BJ8944" s="201"/>
    </row>
    <row r="8945" spans="62:62" x14ac:dyDescent="0.2">
      <c r="BJ8945" s="201"/>
    </row>
    <row r="8946" spans="62:62" x14ac:dyDescent="0.2">
      <c r="BJ8946" s="201"/>
    </row>
    <row r="8947" spans="62:62" x14ac:dyDescent="0.2">
      <c r="BJ8947" s="201"/>
    </row>
    <row r="8948" spans="62:62" x14ac:dyDescent="0.2">
      <c r="BJ8948" s="201"/>
    </row>
    <row r="8949" spans="62:62" x14ac:dyDescent="0.2">
      <c r="BJ8949" s="201"/>
    </row>
    <row r="8950" spans="62:62" x14ac:dyDescent="0.2">
      <c r="BJ8950" s="201"/>
    </row>
    <row r="8951" spans="62:62" x14ac:dyDescent="0.2">
      <c r="BJ8951" s="201"/>
    </row>
    <row r="8952" spans="62:62" x14ac:dyDescent="0.2">
      <c r="BJ8952" s="201"/>
    </row>
    <row r="8953" spans="62:62" x14ac:dyDescent="0.2">
      <c r="BJ8953" s="201"/>
    </row>
    <row r="8954" spans="62:62" x14ac:dyDescent="0.2">
      <c r="BJ8954" s="201"/>
    </row>
    <row r="8955" spans="62:62" x14ac:dyDescent="0.2">
      <c r="BJ8955" s="201"/>
    </row>
    <row r="8956" spans="62:62" x14ac:dyDescent="0.2">
      <c r="BJ8956" s="201"/>
    </row>
    <row r="8957" spans="62:62" x14ac:dyDescent="0.2">
      <c r="BJ8957" s="201"/>
    </row>
    <row r="8958" spans="62:62" x14ac:dyDescent="0.2">
      <c r="BJ8958" s="201"/>
    </row>
    <row r="8959" spans="62:62" x14ac:dyDescent="0.2">
      <c r="BJ8959" s="201"/>
    </row>
    <row r="8960" spans="62:62" x14ac:dyDescent="0.2">
      <c r="BJ8960" s="201"/>
    </row>
    <row r="8961" spans="62:62" x14ac:dyDescent="0.2">
      <c r="BJ8961" s="201"/>
    </row>
    <row r="8962" spans="62:62" x14ac:dyDescent="0.2">
      <c r="BJ8962" s="201"/>
    </row>
    <row r="8963" spans="62:62" x14ac:dyDescent="0.2">
      <c r="BJ8963" s="201"/>
    </row>
    <row r="8964" spans="62:62" x14ac:dyDescent="0.2">
      <c r="BJ8964" s="201"/>
    </row>
    <row r="8965" spans="62:62" x14ac:dyDescent="0.2">
      <c r="BJ8965" s="201"/>
    </row>
    <row r="8966" spans="62:62" x14ac:dyDescent="0.2">
      <c r="BJ8966" s="201"/>
    </row>
    <row r="8967" spans="62:62" x14ac:dyDescent="0.2">
      <c r="BJ8967" s="201"/>
    </row>
    <row r="8968" spans="62:62" x14ac:dyDescent="0.2">
      <c r="BJ8968" s="201"/>
    </row>
    <row r="8969" spans="62:62" x14ac:dyDescent="0.2">
      <c r="BJ8969" s="201"/>
    </row>
    <row r="8970" spans="62:62" x14ac:dyDescent="0.2">
      <c r="BJ8970" s="201"/>
    </row>
    <row r="8971" spans="62:62" x14ac:dyDescent="0.2">
      <c r="BJ8971" s="201"/>
    </row>
    <row r="8972" spans="62:62" x14ac:dyDescent="0.2">
      <c r="BJ8972" s="201"/>
    </row>
    <row r="8973" spans="62:62" x14ac:dyDescent="0.2">
      <c r="BJ8973" s="201"/>
    </row>
    <row r="8974" spans="62:62" x14ac:dyDescent="0.2">
      <c r="BJ8974" s="201"/>
    </row>
    <row r="8975" spans="62:62" x14ac:dyDescent="0.2">
      <c r="BJ8975" s="201"/>
    </row>
    <row r="8976" spans="62:62" x14ac:dyDescent="0.2">
      <c r="BJ8976" s="201"/>
    </row>
    <row r="8977" spans="62:62" x14ac:dyDescent="0.2">
      <c r="BJ8977" s="201"/>
    </row>
    <row r="8978" spans="62:62" x14ac:dyDescent="0.2">
      <c r="BJ8978" s="201"/>
    </row>
    <row r="8979" spans="62:62" x14ac:dyDescent="0.2">
      <c r="BJ8979" s="201"/>
    </row>
    <row r="8980" spans="62:62" x14ac:dyDescent="0.2">
      <c r="BJ8980" s="201"/>
    </row>
    <row r="8981" spans="62:62" x14ac:dyDescent="0.2">
      <c r="BJ8981" s="201"/>
    </row>
    <row r="8982" spans="62:62" x14ac:dyDescent="0.2">
      <c r="BJ8982" s="201"/>
    </row>
    <row r="8983" spans="62:62" x14ac:dyDescent="0.2">
      <c r="BJ8983" s="201"/>
    </row>
    <row r="8984" spans="62:62" x14ac:dyDescent="0.2">
      <c r="BJ8984" s="201"/>
    </row>
    <row r="8985" spans="62:62" x14ac:dyDescent="0.2">
      <c r="BJ8985" s="201"/>
    </row>
    <row r="8986" spans="62:62" x14ac:dyDescent="0.2">
      <c r="BJ8986" s="201"/>
    </row>
    <row r="8987" spans="62:62" x14ac:dyDescent="0.2">
      <c r="BJ8987" s="201"/>
    </row>
    <row r="8988" spans="62:62" x14ac:dyDescent="0.2">
      <c r="BJ8988" s="201"/>
    </row>
    <row r="8989" spans="62:62" x14ac:dyDescent="0.2">
      <c r="BJ8989" s="201"/>
    </row>
    <row r="8990" spans="62:62" x14ac:dyDescent="0.2">
      <c r="BJ8990" s="201"/>
    </row>
    <row r="8991" spans="62:62" x14ac:dyDescent="0.2">
      <c r="BJ8991" s="201"/>
    </row>
    <row r="8992" spans="62:62" x14ac:dyDescent="0.2">
      <c r="BJ8992" s="201"/>
    </row>
    <row r="8993" spans="62:62" x14ac:dyDescent="0.2">
      <c r="BJ8993" s="201"/>
    </row>
    <row r="8994" spans="62:62" x14ac:dyDescent="0.2">
      <c r="BJ8994" s="201"/>
    </row>
    <row r="8995" spans="62:62" x14ac:dyDescent="0.2">
      <c r="BJ8995" s="201"/>
    </row>
    <row r="8996" spans="62:62" x14ac:dyDescent="0.2">
      <c r="BJ8996" s="201"/>
    </row>
    <row r="8997" spans="62:62" x14ac:dyDescent="0.2">
      <c r="BJ8997" s="201"/>
    </row>
    <row r="8998" spans="62:62" x14ac:dyDescent="0.2">
      <c r="BJ8998" s="201"/>
    </row>
    <row r="8999" spans="62:62" x14ac:dyDescent="0.2">
      <c r="BJ8999" s="201"/>
    </row>
    <row r="9000" spans="62:62" x14ac:dyDescent="0.2">
      <c r="BJ9000" s="201"/>
    </row>
    <row r="9001" spans="62:62" x14ac:dyDescent="0.2">
      <c r="BJ9001" s="201"/>
    </row>
    <row r="9002" spans="62:62" x14ac:dyDescent="0.2">
      <c r="BJ9002" s="201"/>
    </row>
    <row r="9003" spans="62:62" x14ac:dyDescent="0.2">
      <c r="BJ9003" s="201"/>
    </row>
    <row r="9004" spans="62:62" x14ac:dyDescent="0.2">
      <c r="BJ9004" s="201"/>
    </row>
    <row r="9005" spans="62:62" x14ac:dyDescent="0.2">
      <c r="BJ9005" s="201"/>
    </row>
    <row r="9006" spans="62:62" x14ac:dyDescent="0.2">
      <c r="BJ9006" s="201"/>
    </row>
    <row r="9007" spans="62:62" x14ac:dyDescent="0.2">
      <c r="BJ9007" s="201"/>
    </row>
    <row r="9008" spans="62:62" x14ac:dyDescent="0.2">
      <c r="BJ9008" s="201"/>
    </row>
    <row r="9009" spans="62:62" x14ac:dyDescent="0.2">
      <c r="BJ9009" s="201"/>
    </row>
    <row r="9010" spans="62:62" x14ac:dyDescent="0.2">
      <c r="BJ9010" s="201"/>
    </row>
    <row r="9011" spans="62:62" x14ac:dyDescent="0.2">
      <c r="BJ9011" s="201"/>
    </row>
    <row r="9012" spans="62:62" x14ac:dyDescent="0.2">
      <c r="BJ9012" s="201"/>
    </row>
    <row r="9013" spans="62:62" x14ac:dyDescent="0.2">
      <c r="BJ9013" s="201"/>
    </row>
    <row r="9014" spans="62:62" x14ac:dyDescent="0.2">
      <c r="BJ9014" s="201"/>
    </row>
    <row r="9015" spans="62:62" x14ac:dyDescent="0.2">
      <c r="BJ9015" s="201"/>
    </row>
    <row r="9016" spans="62:62" x14ac:dyDescent="0.2">
      <c r="BJ9016" s="201"/>
    </row>
    <row r="9017" spans="62:62" x14ac:dyDescent="0.2">
      <c r="BJ9017" s="201"/>
    </row>
    <row r="9018" spans="62:62" x14ac:dyDescent="0.2">
      <c r="BJ9018" s="201"/>
    </row>
    <row r="9019" spans="62:62" x14ac:dyDescent="0.2">
      <c r="BJ9019" s="201"/>
    </row>
    <row r="9020" spans="62:62" x14ac:dyDescent="0.2">
      <c r="BJ9020" s="201"/>
    </row>
    <row r="9021" spans="62:62" x14ac:dyDescent="0.2">
      <c r="BJ9021" s="201"/>
    </row>
    <row r="9022" spans="62:62" x14ac:dyDescent="0.2">
      <c r="BJ9022" s="201"/>
    </row>
    <row r="9023" spans="62:62" x14ac:dyDescent="0.2">
      <c r="BJ9023" s="201"/>
    </row>
    <row r="9024" spans="62:62" x14ac:dyDescent="0.2">
      <c r="BJ9024" s="201"/>
    </row>
    <row r="9025" spans="62:62" x14ac:dyDescent="0.2">
      <c r="BJ9025" s="201"/>
    </row>
    <row r="9026" spans="62:62" x14ac:dyDescent="0.2">
      <c r="BJ9026" s="201"/>
    </row>
    <row r="9027" spans="62:62" x14ac:dyDescent="0.2">
      <c r="BJ9027" s="201"/>
    </row>
    <row r="9028" spans="62:62" x14ac:dyDescent="0.2">
      <c r="BJ9028" s="201"/>
    </row>
    <row r="9029" spans="62:62" x14ac:dyDescent="0.2">
      <c r="BJ9029" s="201"/>
    </row>
    <row r="9030" spans="62:62" x14ac:dyDescent="0.2">
      <c r="BJ9030" s="201"/>
    </row>
    <row r="9031" spans="62:62" x14ac:dyDescent="0.2">
      <c r="BJ9031" s="201"/>
    </row>
    <row r="9032" spans="62:62" x14ac:dyDescent="0.2">
      <c r="BJ9032" s="201"/>
    </row>
    <row r="9033" spans="62:62" x14ac:dyDescent="0.2">
      <c r="BJ9033" s="201"/>
    </row>
    <row r="9034" spans="62:62" x14ac:dyDescent="0.2">
      <c r="BJ9034" s="201"/>
    </row>
    <row r="9035" spans="62:62" x14ac:dyDescent="0.2">
      <c r="BJ9035" s="201"/>
    </row>
    <row r="9036" spans="62:62" x14ac:dyDescent="0.2">
      <c r="BJ9036" s="201"/>
    </row>
    <row r="9037" spans="62:62" x14ac:dyDescent="0.2">
      <c r="BJ9037" s="201"/>
    </row>
    <row r="9038" spans="62:62" x14ac:dyDescent="0.2">
      <c r="BJ9038" s="201"/>
    </row>
    <row r="9039" spans="62:62" x14ac:dyDescent="0.2">
      <c r="BJ9039" s="201"/>
    </row>
    <row r="9040" spans="62:62" x14ac:dyDescent="0.2">
      <c r="BJ9040" s="201"/>
    </row>
    <row r="9041" spans="62:62" x14ac:dyDescent="0.2">
      <c r="BJ9041" s="201"/>
    </row>
    <row r="9042" spans="62:62" x14ac:dyDescent="0.2">
      <c r="BJ9042" s="201"/>
    </row>
    <row r="9043" spans="62:62" x14ac:dyDescent="0.2">
      <c r="BJ9043" s="201"/>
    </row>
    <row r="9044" spans="62:62" x14ac:dyDescent="0.2">
      <c r="BJ9044" s="201"/>
    </row>
    <row r="9045" spans="62:62" x14ac:dyDescent="0.2">
      <c r="BJ9045" s="201"/>
    </row>
    <row r="9046" spans="62:62" x14ac:dyDescent="0.2">
      <c r="BJ9046" s="201"/>
    </row>
    <row r="9047" spans="62:62" x14ac:dyDescent="0.2">
      <c r="BJ9047" s="201"/>
    </row>
    <row r="9048" spans="62:62" x14ac:dyDescent="0.2">
      <c r="BJ9048" s="201"/>
    </row>
    <row r="9049" spans="62:62" x14ac:dyDescent="0.2">
      <c r="BJ9049" s="201"/>
    </row>
    <row r="9050" spans="62:62" x14ac:dyDescent="0.2">
      <c r="BJ9050" s="201"/>
    </row>
    <row r="9051" spans="62:62" x14ac:dyDescent="0.2">
      <c r="BJ9051" s="201"/>
    </row>
    <row r="9052" spans="62:62" x14ac:dyDescent="0.2">
      <c r="BJ9052" s="201"/>
    </row>
    <row r="9053" spans="62:62" x14ac:dyDescent="0.2">
      <c r="BJ9053" s="201"/>
    </row>
    <row r="9054" spans="62:62" x14ac:dyDescent="0.2">
      <c r="BJ9054" s="201"/>
    </row>
    <row r="9055" spans="62:62" x14ac:dyDescent="0.2">
      <c r="BJ9055" s="201"/>
    </row>
    <row r="9056" spans="62:62" x14ac:dyDescent="0.2">
      <c r="BJ9056" s="201"/>
    </row>
    <row r="9057" spans="62:62" x14ac:dyDescent="0.2">
      <c r="BJ9057" s="201"/>
    </row>
    <row r="9058" spans="62:62" x14ac:dyDescent="0.2">
      <c r="BJ9058" s="201"/>
    </row>
    <row r="9059" spans="62:62" x14ac:dyDescent="0.2">
      <c r="BJ9059" s="201"/>
    </row>
    <row r="9060" spans="62:62" x14ac:dyDescent="0.2">
      <c r="BJ9060" s="201"/>
    </row>
    <row r="9061" spans="62:62" x14ac:dyDescent="0.2">
      <c r="BJ9061" s="201"/>
    </row>
    <row r="9062" spans="62:62" x14ac:dyDescent="0.2">
      <c r="BJ9062" s="201"/>
    </row>
    <row r="9063" spans="62:62" x14ac:dyDescent="0.2">
      <c r="BJ9063" s="201"/>
    </row>
    <row r="9064" spans="62:62" x14ac:dyDescent="0.2">
      <c r="BJ9064" s="201"/>
    </row>
    <row r="9065" spans="62:62" x14ac:dyDescent="0.2">
      <c r="BJ9065" s="201"/>
    </row>
    <row r="9066" spans="62:62" x14ac:dyDescent="0.2">
      <c r="BJ9066" s="201"/>
    </row>
    <row r="9067" spans="62:62" x14ac:dyDescent="0.2">
      <c r="BJ9067" s="201"/>
    </row>
    <row r="9068" spans="62:62" x14ac:dyDescent="0.2">
      <c r="BJ9068" s="201"/>
    </row>
    <row r="9069" spans="62:62" x14ac:dyDescent="0.2">
      <c r="BJ9069" s="201"/>
    </row>
    <row r="9070" spans="62:62" x14ac:dyDescent="0.2">
      <c r="BJ9070" s="201"/>
    </row>
    <row r="9071" spans="62:62" x14ac:dyDescent="0.2">
      <c r="BJ9071" s="201"/>
    </row>
    <row r="9072" spans="62:62" x14ac:dyDescent="0.2">
      <c r="BJ9072" s="201"/>
    </row>
    <row r="9073" spans="62:62" x14ac:dyDescent="0.2">
      <c r="BJ9073" s="201"/>
    </row>
    <row r="9074" spans="62:62" x14ac:dyDescent="0.2">
      <c r="BJ9074" s="201"/>
    </row>
    <row r="9075" spans="62:62" x14ac:dyDescent="0.2">
      <c r="BJ9075" s="201"/>
    </row>
    <row r="9076" spans="62:62" x14ac:dyDescent="0.2">
      <c r="BJ9076" s="201"/>
    </row>
    <row r="9077" spans="62:62" x14ac:dyDescent="0.2">
      <c r="BJ9077" s="201"/>
    </row>
    <row r="9078" spans="62:62" x14ac:dyDescent="0.2">
      <c r="BJ9078" s="201"/>
    </row>
    <row r="9079" spans="62:62" x14ac:dyDescent="0.2">
      <c r="BJ9079" s="201"/>
    </row>
    <row r="9080" spans="62:62" x14ac:dyDescent="0.2">
      <c r="BJ9080" s="201"/>
    </row>
    <row r="9081" spans="62:62" x14ac:dyDescent="0.2">
      <c r="BJ9081" s="201"/>
    </row>
    <row r="9082" spans="62:62" x14ac:dyDescent="0.2">
      <c r="BJ9082" s="201"/>
    </row>
    <row r="9083" spans="62:62" x14ac:dyDescent="0.2">
      <c r="BJ9083" s="201"/>
    </row>
    <row r="9084" spans="62:62" x14ac:dyDescent="0.2">
      <c r="BJ9084" s="201"/>
    </row>
    <row r="9085" spans="62:62" x14ac:dyDescent="0.2">
      <c r="BJ9085" s="201"/>
    </row>
    <row r="9086" spans="62:62" x14ac:dyDescent="0.2">
      <c r="BJ9086" s="201"/>
    </row>
    <row r="9087" spans="62:62" x14ac:dyDescent="0.2">
      <c r="BJ9087" s="201"/>
    </row>
    <row r="9088" spans="62:62" x14ac:dyDescent="0.2">
      <c r="BJ9088" s="201"/>
    </row>
    <row r="9089" spans="62:62" x14ac:dyDescent="0.2">
      <c r="BJ9089" s="201"/>
    </row>
    <row r="9090" spans="62:62" x14ac:dyDescent="0.2">
      <c r="BJ9090" s="201"/>
    </row>
    <row r="9091" spans="62:62" x14ac:dyDescent="0.2">
      <c r="BJ9091" s="201"/>
    </row>
    <row r="9092" spans="62:62" x14ac:dyDescent="0.2">
      <c r="BJ9092" s="201"/>
    </row>
    <row r="9093" spans="62:62" x14ac:dyDescent="0.2">
      <c r="BJ9093" s="201"/>
    </row>
    <row r="9094" spans="62:62" x14ac:dyDescent="0.2">
      <c r="BJ9094" s="201"/>
    </row>
    <row r="9095" spans="62:62" x14ac:dyDescent="0.2">
      <c r="BJ9095" s="201"/>
    </row>
    <row r="9096" spans="62:62" x14ac:dyDescent="0.2">
      <c r="BJ9096" s="201"/>
    </row>
    <row r="9097" spans="62:62" x14ac:dyDescent="0.2">
      <c r="BJ9097" s="201"/>
    </row>
    <row r="9098" spans="62:62" x14ac:dyDescent="0.2">
      <c r="BJ9098" s="201"/>
    </row>
    <row r="9099" spans="62:62" x14ac:dyDescent="0.2">
      <c r="BJ9099" s="201"/>
    </row>
    <row r="9100" spans="62:62" x14ac:dyDescent="0.2">
      <c r="BJ9100" s="201"/>
    </row>
    <row r="9101" spans="62:62" x14ac:dyDescent="0.2">
      <c r="BJ9101" s="201"/>
    </row>
    <row r="9102" spans="62:62" x14ac:dyDescent="0.2">
      <c r="BJ9102" s="201"/>
    </row>
    <row r="9103" spans="62:62" x14ac:dyDescent="0.2">
      <c r="BJ9103" s="201"/>
    </row>
    <row r="9104" spans="62:62" x14ac:dyDescent="0.2">
      <c r="BJ9104" s="201"/>
    </row>
    <row r="9105" spans="62:62" x14ac:dyDescent="0.2">
      <c r="BJ9105" s="201"/>
    </row>
    <row r="9106" spans="62:62" x14ac:dyDescent="0.2">
      <c r="BJ9106" s="201"/>
    </row>
    <row r="9107" spans="62:62" x14ac:dyDescent="0.2">
      <c r="BJ9107" s="201"/>
    </row>
    <row r="9108" spans="62:62" x14ac:dyDescent="0.2">
      <c r="BJ9108" s="201"/>
    </row>
    <row r="9109" spans="62:62" x14ac:dyDescent="0.2">
      <c r="BJ9109" s="201"/>
    </row>
    <row r="9110" spans="62:62" x14ac:dyDescent="0.2">
      <c r="BJ9110" s="201"/>
    </row>
    <row r="9111" spans="62:62" x14ac:dyDescent="0.2">
      <c r="BJ9111" s="201"/>
    </row>
    <row r="9112" spans="62:62" x14ac:dyDescent="0.2">
      <c r="BJ9112" s="201"/>
    </row>
    <row r="9113" spans="62:62" x14ac:dyDescent="0.2">
      <c r="BJ9113" s="201"/>
    </row>
    <row r="9114" spans="62:62" x14ac:dyDescent="0.2">
      <c r="BJ9114" s="201"/>
    </row>
    <row r="9115" spans="62:62" x14ac:dyDescent="0.2">
      <c r="BJ9115" s="201"/>
    </row>
    <row r="9116" spans="62:62" x14ac:dyDescent="0.2">
      <c r="BJ9116" s="201"/>
    </row>
    <row r="9117" spans="62:62" x14ac:dyDescent="0.2">
      <c r="BJ9117" s="201"/>
    </row>
    <row r="9118" spans="62:62" x14ac:dyDescent="0.2">
      <c r="BJ9118" s="201"/>
    </row>
    <row r="9119" spans="62:62" x14ac:dyDescent="0.2">
      <c r="BJ9119" s="201"/>
    </row>
    <row r="9120" spans="62:62" x14ac:dyDescent="0.2">
      <c r="BJ9120" s="201"/>
    </row>
    <row r="9121" spans="62:62" x14ac:dyDescent="0.2">
      <c r="BJ9121" s="201"/>
    </row>
    <row r="9122" spans="62:62" x14ac:dyDescent="0.2">
      <c r="BJ9122" s="201"/>
    </row>
    <row r="9123" spans="62:62" x14ac:dyDescent="0.2">
      <c r="BJ9123" s="201"/>
    </row>
    <row r="9124" spans="62:62" x14ac:dyDescent="0.2">
      <c r="BJ9124" s="201"/>
    </row>
    <row r="9125" spans="62:62" x14ac:dyDescent="0.2">
      <c r="BJ9125" s="201"/>
    </row>
    <row r="9126" spans="62:62" x14ac:dyDescent="0.2">
      <c r="BJ9126" s="201"/>
    </row>
    <row r="9127" spans="62:62" x14ac:dyDescent="0.2">
      <c r="BJ9127" s="201"/>
    </row>
    <row r="9128" spans="62:62" x14ac:dyDescent="0.2">
      <c r="BJ9128" s="201"/>
    </row>
    <row r="9129" spans="62:62" x14ac:dyDescent="0.2">
      <c r="BJ9129" s="201"/>
    </row>
    <row r="9130" spans="62:62" x14ac:dyDescent="0.2">
      <c r="BJ9130" s="201"/>
    </row>
    <row r="9131" spans="62:62" x14ac:dyDescent="0.2">
      <c r="BJ9131" s="201"/>
    </row>
    <row r="9132" spans="62:62" x14ac:dyDescent="0.2">
      <c r="BJ9132" s="201"/>
    </row>
    <row r="9133" spans="62:62" x14ac:dyDescent="0.2">
      <c r="BJ9133" s="201"/>
    </row>
    <row r="9134" spans="62:62" x14ac:dyDescent="0.2">
      <c r="BJ9134" s="201"/>
    </row>
    <row r="9135" spans="62:62" x14ac:dyDescent="0.2">
      <c r="BJ9135" s="201"/>
    </row>
    <row r="9136" spans="62:62" x14ac:dyDescent="0.2">
      <c r="BJ9136" s="201"/>
    </row>
    <row r="9137" spans="62:62" x14ac:dyDescent="0.2">
      <c r="BJ9137" s="201"/>
    </row>
    <row r="9138" spans="62:62" x14ac:dyDescent="0.2">
      <c r="BJ9138" s="201"/>
    </row>
    <row r="9139" spans="62:62" x14ac:dyDescent="0.2">
      <c r="BJ9139" s="201"/>
    </row>
    <row r="9140" spans="62:62" x14ac:dyDescent="0.2">
      <c r="BJ9140" s="201"/>
    </row>
    <row r="9141" spans="62:62" x14ac:dyDescent="0.2">
      <c r="BJ9141" s="201"/>
    </row>
    <row r="9142" spans="62:62" x14ac:dyDescent="0.2">
      <c r="BJ9142" s="201"/>
    </row>
    <row r="9143" spans="62:62" x14ac:dyDescent="0.2">
      <c r="BJ9143" s="201"/>
    </row>
    <row r="9144" spans="62:62" x14ac:dyDescent="0.2">
      <c r="BJ9144" s="201"/>
    </row>
    <row r="9145" spans="62:62" x14ac:dyDescent="0.2">
      <c r="BJ9145" s="201"/>
    </row>
    <row r="9146" spans="62:62" x14ac:dyDescent="0.2">
      <c r="BJ9146" s="201"/>
    </row>
    <row r="9147" spans="62:62" x14ac:dyDescent="0.2">
      <c r="BJ9147" s="201"/>
    </row>
    <row r="9148" spans="62:62" x14ac:dyDescent="0.2">
      <c r="BJ9148" s="201"/>
    </row>
    <row r="9149" spans="62:62" x14ac:dyDescent="0.2">
      <c r="BJ9149" s="201"/>
    </row>
    <row r="9150" spans="62:62" x14ac:dyDescent="0.2">
      <c r="BJ9150" s="201"/>
    </row>
    <row r="9151" spans="62:62" x14ac:dyDescent="0.2">
      <c r="BJ9151" s="201"/>
    </row>
    <row r="9152" spans="62:62" x14ac:dyDescent="0.2">
      <c r="BJ9152" s="201"/>
    </row>
    <row r="9153" spans="62:62" x14ac:dyDescent="0.2">
      <c r="BJ9153" s="201"/>
    </row>
    <row r="9154" spans="62:62" x14ac:dyDescent="0.2">
      <c r="BJ9154" s="201"/>
    </row>
    <row r="9155" spans="62:62" x14ac:dyDescent="0.2">
      <c r="BJ9155" s="201"/>
    </row>
    <row r="9156" spans="62:62" x14ac:dyDescent="0.2">
      <c r="BJ9156" s="201"/>
    </row>
    <row r="9157" spans="62:62" x14ac:dyDescent="0.2">
      <c r="BJ9157" s="201"/>
    </row>
    <row r="9158" spans="62:62" x14ac:dyDescent="0.2">
      <c r="BJ9158" s="201"/>
    </row>
    <row r="9159" spans="62:62" x14ac:dyDescent="0.2">
      <c r="BJ9159" s="201"/>
    </row>
    <row r="9160" spans="62:62" x14ac:dyDescent="0.2">
      <c r="BJ9160" s="201"/>
    </row>
    <row r="9161" spans="62:62" x14ac:dyDescent="0.2">
      <c r="BJ9161" s="201"/>
    </row>
    <row r="9162" spans="62:62" x14ac:dyDescent="0.2">
      <c r="BJ9162" s="201"/>
    </row>
    <row r="9163" spans="62:62" x14ac:dyDescent="0.2">
      <c r="BJ9163" s="201"/>
    </row>
    <row r="9164" spans="62:62" x14ac:dyDescent="0.2">
      <c r="BJ9164" s="201"/>
    </row>
    <row r="9165" spans="62:62" x14ac:dyDescent="0.2">
      <c r="BJ9165" s="201"/>
    </row>
    <row r="9166" spans="62:62" x14ac:dyDescent="0.2">
      <c r="BJ9166" s="201"/>
    </row>
    <row r="9167" spans="62:62" x14ac:dyDescent="0.2">
      <c r="BJ9167" s="201"/>
    </row>
    <row r="9168" spans="62:62" x14ac:dyDescent="0.2">
      <c r="BJ9168" s="201"/>
    </row>
    <row r="9169" spans="62:62" x14ac:dyDescent="0.2">
      <c r="BJ9169" s="201"/>
    </row>
    <row r="9170" spans="62:62" x14ac:dyDescent="0.2">
      <c r="BJ9170" s="201"/>
    </row>
    <row r="9171" spans="62:62" x14ac:dyDescent="0.2">
      <c r="BJ9171" s="201"/>
    </row>
    <row r="9172" spans="62:62" x14ac:dyDescent="0.2">
      <c r="BJ9172" s="201"/>
    </row>
    <row r="9173" spans="62:62" x14ac:dyDescent="0.2">
      <c r="BJ9173" s="201"/>
    </row>
    <row r="9174" spans="62:62" x14ac:dyDescent="0.2">
      <c r="BJ9174" s="201"/>
    </row>
    <row r="9175" spans="62:62" x14ac:dyDescent="0.2">
      <c r="BJ9175" s="201"/>
    </row>
    <row r="9176" spans="62:62" x14ac:dyDescent="0.2">
      <c r="BJ9176" s="201"/>
    </row>
    <row r="9177" spans="62:62" x14ac:dyDescent="0.2">
      <c r="BJ9177" s="201"/>
    </row>
    <row r="9178" spans="62:62" x14ac:dyDescent="0.2">
      <c r="BJ9178" s="201"/>
    </row>
    <row r="9179" spans="62:62" x14ac:dyDescent="0.2">
      <c r="BJ9179" s="201"/>
    </row>
    <row r="9180" spans="62:62" x14ac:dyDescent="0.2">
      <c r="BJ9180" s="201"/>
    </row>
    <row r="9181" spans="62:62" x14ac:dyDescent="0.2">
      <c r="BJ9181" s="201"/>
    </row>
    <row r="9182" spans="62:62" x14ac:dyDescent="0.2">
      <c r="BJ9182" s="201"/>
    </row>
    <row r="9183" spans="62:62" x14ac:dyDescent="0.2">
      <c r="BJ9183" s="201"/>
    </row>
    <row r="9184" spans="62:62" x14ac:dyDescent="0.2">
      <c r="BJ9184" s="201"/>
    </row>
    <row r="9185" spans="62:62" x14ac:dyDescent="0.2">
      <c r="BJ9185" s="201"/>
    </row>
    <row r="9186" spans="62:62" x14ac:dyDescent="0.2">
      <c r="BJ9186" s="201"/>
    </row>
    <row r="9187" spans="62:62" x14ac:dyDescent="0.2">
      <c r="BJ9187" s="201"/>
    </row>
    <row r="9188" spans="62:62" x14ac:dyDescent="0.2">
      <c r="BJ9188" s="201"/>
    </row>
    <row r="9189" spans="62:62" x14ac:dyDescent="0.2">
      <c r="BJ9189" s="201"/>
    </row>
    <row r="9190" spans="62:62" x14ac:dyDescent="0.2">
      <c r="BJ9190" s="201"/>
    </row>
    <row r="9191" spans="62:62" x14ac:dyDescent="0.2">
      <c r="BJ9191" s="201"/>
    </row>
    <row r="9192" spans="62:62" x14ac:dyDescent="0.2">
      <c r="BJ9192" s="201"/>
    </row>
    <row r="9193" spans="62:62" x14ac:dyDescent="0.2">
      <c r="BJ9193" s="201"/>
    </row>
    <row r="9194" spans="62:62" x14ac:dyDescent="0.2">
      <c r="BJ9194" s="201"/>
    </row>
    <row r="9195" spans="62:62" x14ac:dyDescent="0.2">
      <c r="BJ9195" s="201"/>
    </row>
    <row r="9196" spans="62:62" x14ac:dyDescent="0.2">
      <c r="BJ9196" s="201"/>
    </row>
    <row r="9197" spans="62:62" x14ac:dyDescent="0.2">
      <c r="BJ9197" s="201"/>
    </row>
    <row r="9198" spans="62:62" x14ac:dyDescent="0.2">
      <c r="BJ9198" s="201"/>
    </row>
    <row r="9199" spans="62:62" x14ac:dyDescent="0.2">
      <c r="BJ9199" s="201"/>
    </row>
    <row r="9200" spans="62:62" x14ac:dyDescent="0.2">
      <c r="BJ9200" s="201"/>
    </row>
    <row r="9201" spans="62:62" x14ac:dyDescent="0.2">
      <c r="BJ9201" s="201"/>
    </row>
    <row r="9202" spans="62:62" x14ac:dyDescent="0.2">
      <c r="BJ9202" s="201"/>
    </row>
    <row r="9203" spans="62:62" x14ac:dyDescent="0.2">
      <c r="BJ9203" s="201"/>
    </row>
    <row r="9204" spans="62:62" x14ac:dyDescent="0.2">
      <c r="BJ9204" s="201"/>
    </row>
    <row r="9205" spans="62:62" x14ac:dyDescent="0.2">
      <c r="BJ9205" s="201"/>
    </row>
    <row r="9206" spans="62:62" x14ac:dyDescent="0.2">
      <c r="BJ9206" s="201"/>
    </row>
    <row r="9207" spans="62:62" x14ac:dyDescent="0.2">
      <c r="BJ9207" s="201"/>
    </row>
    <row r="9208" spans="62:62" x14ac:dyDescent="0.2">
      <c r="BJ9208" s="201"/>
    </row>
    <row r="9209" spans="62:62" x14ac:dyDescent="0.2">
      <c r="BJ9209" s="201"/>
    </row>
    <row r="9210" spans="62:62" x14ac:dyDescent="0.2">
      <c r="BJ9210" s="201"/>
    </row>
    <row r="9211" spans="62:62" x14ac:dyDescent="0.2">
      <c r="BJ9211" s="201"/>
    </row>
    <row r="9212" spans="62:62" x14ac:dyDescent="0.2">
      <c r="BJ9212" s="201"/>
    </row>
    <row r="9213" spans="62:62" x14ac:dyDescent="0.2">
      <c r="BJ9213" s="201"/>
    </row>
    <row r="9214" spans="62:62" x14ac:dyDescent="0.2">
      <c r="BJ9214" s="201"/>
    </row>
    <row r="9215" spans="62:62" x14ac:dyDescent="0.2">
      <c r="BJ9215" s="201"/>
    </row>
    <row r="9216" spans="62:62" x14ac:dyDescent="0.2">
      <c r="BJ9216" s="201"/>
    </row>
    <row r="9217" spans="62:62" x14ac:dyDescent="0.2">
      <c r="BJ9217" s="201"/>
    </row>
    <row r="9218" spans="62:62" x14ac:dyDescent="0.2">
      <c r="BJ9218" s="201"/>
    </row>
    <row r="9219" spans="62:62" x14ac:dyDescent="0.2">
      <c r="BJ9219" s="201"/>
    </row>
    <row r="9220" spans="62:62" x14ac:dyDescent="0.2">
      <c r="BJ9220" s="201"/>
    </row>
    <row r="9221" spans="62:62" x14ac:dyDescent="0.2">
      <c r="BJ9221" s="201"/>
    </row>
    <row r="9222" spans="62:62" x14ac:dyDescent="0.2">
      <c r="BJ9222" s="201"/>
    </row>
    <row r="9223" spans="62:62" x14ac:dyDescent="0.2">
      <c r="BJ9223" s="201"/>
    </row>
    <row r="9224" spans="62:62" x14ac:dyDescent="0.2">
      <c r="BJ9224" s="201"/>
    </row>
    <row r="9225" spans="62:62" x14ac:dyDescent="0.2">
      <c r="BJ9225" s="201"/>
    </row>
    <row r="9226" spans="62:62" x14ac:dyDescent="0.2">
      <c r="BJ9226" s="201"/>
    </row>
    <row r="9227" spans="62:62" x14ac:dyDescent="0.2">
      <c r="BJ9227" s="201"/>
    </row>
    <row r="9228" spans="62:62" x14ac:dyDescent="0.2">
      <c r="BJ9228" s="201"/>
    </row>
    <row r="9229" spans="62:62" x14ac:dyDescent="0.2">
      <c r="BJ9229" s="201"/>
    </row>
    <row r="9230" spans="62:62" x14ac:dyDescent="0.2">
      <c r="BJ9230" s="201"/>
    </row>
    <row r="9231" spans="62:62" x14ac:dyDescent="0.2">
      <c r="BJ9231" s="201"/>
    </row>
    <row r="9232" spans="62:62" x14ac:dyDescent="0.2">
      <c r="BJ9232" s="201"/>
    </row>
    <row r="9233" spans="62:62" x14ac:dyDescent="0.2">
      <c r="BJ9233" s="201"/>
    </row>
    <row r="9234" spans="62:62" x14ac:dyDescent="0.2">
      <c r="BJ9234" s="201"/>
    </row>
    <row r="9235" spans="62:62" x14ac:dyDescent="0.2">
      <c r="BJ9235" s="201"/>
    </row>
    <row r="9236" spans="62:62" x14ac:dyDescent="0.2">
      <c r="BJ9236" s="201"/>
    </row>
    <row r="9237" spans="62:62" x14ac:dyDescent="0.2">
      <c r="BJ9237" s="201"/>
    </row>
    <row r="9238" spans="62:62" x14ac:dyDescent="0.2">
      <c r="BJ9238" s="201"/>
    </row>
    <row r="9239" spans="62:62" x14ac:dyDescent="0.2">
      <c r="BJ9239" s="201"/>
    </row>
    <row r="9240" spans="62:62" x14ac:dyDescent="0.2">
      <c r="BJ9240" s="201"/>
    </row>
    <row r="9241" spans="62:62" x14ac:dyDescent="0.2">
      <c r="BJ9241" s="201"/>
    </row>
    <row r="9242" spans="62:62" x14ac:dyDescent="0.2">
      <c r="BJ9242" s="201"/>
    </row>
    <row r="9243" spans="62:62" x14ac:dyDescent="0.2">
      <c r="BJ9243" s="201"/>
    </row>
    <row r="9244" spans="62:62" x14ac:dyDescent="0.2">
      <c r="BJ9244" s="201"/>
    </row>
    <row r="9245" spans="62:62" x14ac:dyDescent="0.2">
      <c r="BJ9245" s="201"/>
    </row>
    <row r="9246" spans="62:62" x14ac:dyDescent="0.2">
      <c r="BJ9246" s="201"/>
    </row>
    <row r="9247" spans="62:62" x14ac:dyDescent="0.2">
      <c r="BJ9247" s="201"/>
    </row>
    <row r="9248" spans="62:62" x14ac:dyDescent="0.2">
      <c r="BJ9248" s="201"/>
    </row>
    <row r="9249" spans="62:62" x14ac:dyDescent="0.2">
      <c r="BJ9249" s="201"/>
    </row>
    <row r="9250" spans="62:62" x14ac:dyDescent="0.2">
      <c r="BJ9250" s="201"/>
    </row>
    <row r="9251" spans="62:62" x14ac:dyDescent="0.2">
      <c r="BJ9251" s="201"/>
    </row>
    <row r="9252" spans="62:62" x14ac:dyDescent="0.2">
      <c r="BJ9252" s="201"/>
    </row>
    <row r="9253" spans="62:62" x14ac:dyDescent="0.2">
      <c r="BJ9253" s="201"/>
    </row>
    <row r="9254" spans="62:62" x14ac:dyDescent="0.2">
      <c r="BJ9254" s="201"/>
    </row>
    <row r="9255" spans="62:62" x14ac:dyDescent="0.2">
      <c r="BJ9255" s="201"/>
    </row>
    <row r="9256" spans="62:62" x14ac:dyDescent="0.2">
      <c r="BJ9256" s="201"/>
    </row>
    <row r="9257" spans="62:62" x14ac:dyDescent="0.2">
      <c r="BJ9257" s="201"/>
    </row>
    <row r="9258" spans="62:62" x14ac:dyDescent="0.2">
      <c r="BJ9258" s="201"/>
    </row>
    <row r="9259" spans="62:62" x14ac:dyDescent="0.2">
      <c r="BJ9259" s="201"/>
    </row>
    <row r="9260" spans="62:62" x14ac:dyDescent="0.2">
      <c r="BJ9260" s="201"/>
    </row>
    <row r="9261" spans="62:62" x14ac:dyDescent="0.2">
      <c r="BJ9261" s="201"/>
    </row>
    <row r="9262" spans="62:62" x14ac:dyDescent="0.2">
      <c r="BJ9262" s="201"/>
    </row>
    <row r="9263" spans="62:62" x14ac:dyDescent="0.2">
      <c r="BJ9263" s="201"/>
    </row>
    <row r="9264" spans="62:62" x14ac:dyDescent="0.2">
      <c r="BJ9264" s="201"/>
    </row>
    <row r="9265" spans="62:62" x14ac:dyDescent="0.2">
      <c r="BJ9265" s="201"/>
    </row>
    <row r="9266" spans="62:62" x14ac:dyDescent="0.2">
      <c r="BJ9266" s="201"/>
    </row>
    <row r="9267" spans="62:62" x14ac:dyDescent="0.2">
      <c r="BJ9267" s="201"/>
    </row>
    <row r="9268" spans="62:62" x14ac:dyDescent="0.2">
      <c r="BJ9268" s="201"/>
    </row>
    <row r="9269" spans="62:62" x14ac:dyDescent="0.2">
      <c r="BJ9269" s="201"/>
    </row>
    <row r="9270" spans="62:62" x14ac:dyDescent="0.2">
      <c r="BJ9270" s="201"/>
    </row>
    <row r="9271" spans="62:62" x14ac:dyDescent="0.2">
      <c r="BJ9271" s="201"/>
    </row>
    <row r="9272" spans="62:62" x14ac:dyDescent="0.2">
      <c r="BJ9272" s="201"/>
    </row>
    <row r="9273" spans="62:62" x14ac:dyDescent="0.2">
      <c r="BJ9273" s="201"/>
    </row>
    <row r="9274" spans="62:62" x14ac:dyDescent="0.2">
      <c r="BJ9274" s="201"/>
    </row>
    <row r="9275" spans="62:62" x14ac:dyDescent="0.2">
      <c r="BJ9275" s="201"/>
    </row>
    <row r="9276" spans="62:62" x14ac:dyDescent="0.2">
      <c r="BJ9276" s="201"/>
    </row>
    <row r="9277" spans="62:62" x14ac:dyDescent="0.2">
      <c r="BJ9277" s="201"/>
    </row>
    <row r="9278" spans="62:62" x14ac:dyDescent="0.2">
      <c r="BJ9278" s="201"/>
    </row>
    <row r="9279" spans="62:62" x14ac:dyDescent="0.2">
      <c r="BJ9279" s="201"/>
    </row>
    <row r="9280" spans="62:62" x14ac:dyDescent="0.2">
      <c r="BJ9280" s="201"/>
    </row>
    <row r="9281" spans="62:62" x14ac:dyDescent="0.2">
      <c r="BJ9281" s="201"/>
    </row>
    <row r="9282" spans="62:62" x14ac:dyDescent="0.2">
      <c r="BJ9282" s="201"/>
    </row>
    <row r="9283" spans="62:62" x14ac:dyDescent="0.2">
      <c r="BJ9283" s="201"/>
    </row>
    <row r="9284" spans="62:62" x14ac:dyDescent="0.2">
      <c r="BJ9284" s="201"/>
    </row>
    <row r="9285" spans="62:62" x14ac:dyDescent="0.2">
      <c r="BJ9285" s="201"/>
    </row>
    <row r="9286" spans="62:62" x14ac:dyDescent="0.2">
      <c r="BJ9286" s="201"/>
    </row>
    <row r="9287" spans="62:62" x14ac:dyDescent="0.2">
      <c r="BJ9287" s="201"/>
    </row>
    <row r="9288" spans="62:62" x14ac:dyDescent="0.2">
      <c r="BJ9288" s="201"/>
    </row>
    <row r="9289" spans="62:62" x14ac:dyDescent="0.2">
      <c r="BJ9289" s="201"/>
    </row>
    <row r="9290" spans="62:62" x14ac:dyDescent="0.2">
      <c r="BJ9290" s="201"/>
    </row>
    <row r="9291" spans="62:62" x14ac:dyDescent="0.2">
      <c r="BJ9291" s="201"/>
    </row>
    <row r="9292" spans="62:62" x14ac:dyDescent="0.2">
      <c r="BJ9292" s="201"/>
    </row>
    <row r="9293" spans="62:62" x14ac:dyDescent="0.2">
      <c r="BJ9293" s="201"/>
    </row>
    <row r="9294" spans="62:62" x14ac:dyDescent="0.2">
      <c r="BJ9294" s="201"/>
    </row>
    <row r="9295" spans="62:62" x14ac:dyDescent="0.2">
      <c r="BJ9295" s="201"/>
    </row>
    <row r="9296" spans="62:62" x14ac:dyDescent="0.2">
      <c r="BJ9296" s="201"/>
    </row>
    <row r="9297" spans="62:62" x14ac:dyDescent="0.2">
      <c r="BJ9297" s="201"/>
    </row>
    <row r="9298" spans="62:62" x14ac:dyDescent="0.2">
      <c r="BJ9298" s="201"/>
    </row>
    <row r="9299" spans="62:62" x14ac:dyDescent="0.2">
      <c r="BJ9299" s="201"/>
    </row>
    <row r="9300" spans="62:62" x14ac:dyDescent="0.2">
      <c r="BJ9300" s="201"/>
    </row>
    <row r="9301" spans="62:62" x14ac:dyDescent="0.2">
      <c r="BJ9301" s="201"/>
    </row>
    <row r="9302" spans="62:62" x14ac:dyDescent="0.2">
      <c r="BJ9302" s="201"/>
    </row>
    <row r="9303" spans="62:62" x14ac:dyDescent="0.2">
      <c r="BJ9303" s="201"/>
    </row>
    <row r="9304" spans="62:62" x14ac:dyDescent="0.2">
      <c r="BJ9304" s="201"/>
    </row>
    <row r="9305" spans="62:62" x14ac:dyDescent="0.2">
      <c r="BJ9305" s="201"/>
    </row>
    <row r="9306" spans="62:62" x14ac:dyDescent="0.2">
      <c r="BJ9306" s="201"/>
    </row>
    <row r="9307" spans="62:62" x14ac:dyDescent="0.2">
      <c r="BJ9307" s="201"/>
    </row>
    <row r="9308" spans="62:62" x14ac:dyDescent="0.2">
      <c r="BJ9308" s="201"/>
    </row>
    <row r="9309" spans="62:62" x14ac:dyDescent="0.2">
      <c r="BJ9309" s="201"/>
    </row>
    <row r="9310" spans="62:62" x14ac:dyDescent="0.2">
      <c r="BJ9310" s="201"/>
    </row>
    <row r="9311" spans="62:62" x14ac:dyDescent="0.2">
      <c r="BJ9311" s="201"/>
    </row>
    <row r="9312" spans="62:62" x14ac:dyDescent="0.2">
      <c r="BJ9312" s="201"/>
    </row>
    <row r="9313" spans="62:62" x14ac:dyDescent="0.2">
      <c r="BJ9313" s="201"/>
    </row>
    <row r="9314" spans="62:62" x14ac:dyDescent="0.2">
      <c r="BJ9314" s="201"/>
    </row>
    <row r="9315" spans="62:62" x14ac:dyDescent="0.2">
      <c r="BJ9315" s="201"/>
    </row>
    <row r="9316" spans="62:62" x14ac:dyDescent="0.2">
      <c r="BJ9316" s="201"/>
    </row>
    <row r="9317" spans="62:62" x14ac:dyDescent="0.2">
      <c r="BJ9317" s="201"/>
    </row>
    <row r="9318" spans="62:62" x14ac:dyDescent="0.2">
      <c r="BJ9318" s="201"/>
    </row>
    <row r="9319" spans="62:62" x14ac:dyDescent="0.2">
      <c r="BJ9319" s="201"/>
    </row>
    <row r="9320" spans="62:62" x14ac:dyDescent="0.2">
      <c r="BJ9320" s="201"/>
    </row>
    <row r="9321" spans="62:62" x14ac:dyDescent="0.2">
      <c r="BJ9321" s="201"/>
    </row>
    <row r="9322" spans="62:62" x14ac:dyDescent="0.2">
      <c r="BJ9322" s="201"/>
    </row>
    <row r="9323" spans="62:62" x14ac:dyDescent="0.2">
      <c r="BJ9323" s="201"/>
    </row>
    <row r="9324" spans="62:62" x14ac:dyDescent="0.2">
      <c r="BJ9324" s="201"/>
    </row>
    <row r="9325" spans="62:62" x14ac:dyDescent="0.2">
      <c r="BJ9325" s="201"/>
    </row>
    <row r="9326" spans="62:62" x14ac:dyDescent="0.2">
      <c r="BJ9326" s="201"/>
    </row>
    <row r="9327" spans="62:62" x14ac:dyDescent="0.2">
      <c r="BJ9327" s="201"/>
    </row>
    <row r="9328" spans="62:62" x14ac:dyDescent="0.2">
      <c r="BJ9328" s="201"/>
    </row>
    <row r="9329" spans="62:62" x14ac:dyDescent="0.2">
      <c r="BJ9329" s="201"/>
    </row>
    <row r="9330" spans="62:62" x14ac:dyDescent="0.2">
      <c r="BJ9330" s="201"/>
    </row>
    <row r="9331" spans="62:62" x14ac:dyDescent="0.2">
      <c r="BJ9331" s="201"/>
    </row>
    <row r="9332" spans="62:62" x14ac:dyDescent="0.2">
      <c r="BJ9332" s="201"/>
    </row>
    <row r="9333" spans="62:62" x14ac:dyDescent="0.2">
      <c r="BJ9333" s="201"/>
    </row>
    <row r="9334" spans="62:62" x14ac:dyDescent="0.2">
      <c r="BJ9334" s="201"/>
    </row>
    <row r="9335" spans="62:62" x14ac:dyDescent="0.2">
      <c r="BJ9335" s="201"/>
    </row>
    <row r="9336" spans="62:62" x14ac:dyDescent="0.2">
      <c r="BJ9336" s="201"/>
    </row>
    <row r="9337" spans="62:62" x14ac:dyDescent="0.2">
      <c r="BJ9337" s="201"/>
    </row>
    <row r="9338" spans="62:62" x14ac:dyDescent="0.2">
      <c r="BJ9338" s="201"/>
    </row>
    <row r="9339" spans="62:62" x14ac:dyDescent="0.2">
      <c r="BJ9339" s="201"/>
    </row>
    <row r="9340" spans="62:62" x14ac:dyDescent="0.2">
      <c r="BJ9340" s="201"/>
    </row>
    <row r="9341" spans="62:62" x14ac:dyDescent="0.2">
      <c r="BJ9341" s="201"/>
    </row>
    <row r="9342" spans="62:62" x14ac:dyDescent="0.2">
      <c r="BJ9342" s="201"/>
    </row>
    <row r="9343" spans="62:62" x14ac:dyDescent="0.2">
      <c r="BJ9343" s="201"/>
    </row>
    <row r="9344" spans="62:62" x14ac:dyDescent="0.2">
      <c r="BJ9344" s="201"/>
    </row>
    <row r="9345" spans="62:62" x14ac:dyDescent="0.2">
      <c r="BJ9345" s="201"/>
    </row>
    <row r="9346" spans="62:62" x14ac:dyDescent="0.2">
      <c r="BJ9346" s="201"/>
    </row>
    <row r="9347" spans="62:62" x14ac:dyDescent="0.2">
      <c r="BJ9347" s="201"/>
    </row>
    <row r="9348" spans="62:62" x14ac:dyDescent="0.2">
      <c r="BJ9348" s="201"/>
    </row>
    <row r="9349" spans="62:62" x14ac:dyDescent="0.2">
      <c r="BJ9349" s="201"/>
    </row>
    <row r="9350" spans="62:62" x14ac:dyDescent="0.2">
      <c r="BJ9350" s="201"/>
    </row>
    <row r="9351" spans="62:62" x14ac:dyDescent="0.2">
      <c r="BJ9351" s="201"/>
    </row>
    <row r="9352" spans="62:62" x14ac:dyDescent="0.2">
      <c r="BJ9352" s="201"/>
    </row>
    <row r="9353" spans="62:62" x14ac:dyDescent="0.2">
      <c r="BJ9353" s="201"/>
    </row>
    <row r="9354" spans="62:62" x14ac:dyDescent="0.2">
      <c r="BJ9354" s="201"/>
    </row>
    <row r="9355" spans="62:62" x14ac:dyDescent="0.2">
      <c r="BJ9355" s="201"/>
    </row>
    <row r="9356" spans="62:62" x14ac:dyDescent="0.2">
      <c r="BJ9356" s="201"/>
    </row>
    <row r="9357" spans="62:62" x14ac:dyDescent="0.2">
      <c r="BJ9357" s="201"/>
    </row>
    <row r="9358" spans="62:62" x14ac:dyDescent="0.2">
      <c r="BJ9358" s="201"/>
    </row>
    <row r="9359" spans="62:62" x14ac:dyDescent="0.2">
      <c r="BJ9359" s="201"/>
    </row>
    <row r="9360" spans="62:62" x14ac:dyDescent="0.2">
      <c r="BJ9360" s="201"/>
    </row>
    <row r="9361" spans="62:62" x14ac:dyDescent="0.2">
      <c r="BJ9361" s="201"/>
    </row>
    <row r="9362" spans="62:62" x14ac:dyDescent="0.2">
      <c r="BJ9362" s="201"/>
    </row>
    <row r="9363" spans="62:62" x14ac:dyDescent="0.2">
      <c r="BJ9363" s="201"/>
    </row>
    <row r="9364" spans="62:62" x14ac:dyDescent="0.2">
      <c r="BJ9364" s="201"/>
    </row>
    <row r="9365" spans="62:62" x14ac:dyDescent="0.2">
      <c r="BJ9365" s="201"/>
    </row>
    <row r="9366" spans="62:62" x14ac:dyDescent="0.2">
      <c r="BJ9366" s="201"/>
    </row>
    <row r="9367" spans="62:62" x14ac:dyDescent="0.2">
      <c r="BJ9367" s="201"/>
    </row>
    <row r="9368" spans="62:62" x14ac:dyDescent="0.2">
      <c r="BJ9368" s="201"/>
    </row>
    <row r="9369" spans="62:62" x14ac:dyDescent="0.2">
      <c r="BJ9369" s="201"/>
    </row>
    <row r="9370" spans="62:62" x14ac:dyDescent="0.2">
      <c r="BJ9370" s="201"/>
    </row>
    <row r="9371" spans="62:62" x14ac:dyDescent="0.2">
      <c r="BJ9371" s="201"/>
    </row>
    <row r="9372" spans="62:62" x14ac:dyDescent="0.2">
      <c r="BJ9372" s="201"/>
    </row>
    <row r="9373" spans="62:62" x14ac:dyDescent="0.2">
      <c r="BJ9373" s="201"/>
    </row>
    <row r="9374" spans="62:62" x14ac:dyDescent="0.2">
      <c r="BJ9374" s="201"/>
    </row>
    <row r="9375" spans="62:62" x14ac:dyDescent="0.2">
      <c r="BJ9375" s="201"/>
    </row>
    <row r="9376" spans="62:62" x14ac:dyDescent="0.2">
      <c r="BJ9376" s="201"/>
    </row>
    <row r="9377" spans="62:62" x14ac:dyDescent="0.2">
      <c r="BJ9377" s="201"/>
    </row>
    <row r="9378" spans="62:62" x14ac:dyDescent="0.2">
      <c r="BJ9378" s="201"/>
    </row>
    <row r="9379" spans="62:62" x14ac:dyDescent="0.2">
      <c r="BJ9379" s="201"/>
    </row>
    <row r="9380" spans="62:62" x14ac:dyDescent="0.2">
      <c r="BJ9380" s="201"/>
    </row>
    <row r="9381" spans="62:62" x14ac:dyDescent="0.2">
      <c r="BJ9381" s="201"/>
    </row>
    <row r="9382" spans="62:62" x14ac:dyDescent="0.2">
      <c r="BJ9382" s="201"/>
    </row>
    <row r="9383" spans="62:62" x14ac:dyDescent="0.2">
      <c r="BJ9383" s="201"/>
    </row>
    <row r="9384" spans="62:62" x14ac:dyDescent="0.2">
      <c r="BJ9384" s="201"/>
    </row>
    <row r="9385" spans="62:62" x14ac:dyDescent="0.2">
      <c r="BJ9385" s="201"/>
    </row>
    <row r="9386" spans="62:62" x14ac:dyDescent="0.2">
      <c r="BJ9386" s="201"/>
    </row>
    <row r="9387" spans="62:62" x14ac:dyDescent="0.2">
      <c r="BJ9387" s="201"/>
    </row>
    <row r="9388" spans="62:62" x14ac:dyDescent="0.2">
      <c r="BJ9388" s="201"/>
    </row>
    <row r="9389" spans="62:62" x14ac:dyDescent="0.2">
      <c r="BJ9389" s="201"/>
    </row>
    <row r="9390" spans="62:62" x14ac:dyDescent="0.2">
      <c r="BJ9390" s="201"/>
    </row>
    <row r="9391" spans="62:62" x14ac:dyDescent="0.2">
      <c r="BJ9391" s="201"/>
    </row>
    <row r="9392" spans="62:62" x14ac:dyDescent="0.2">
      <c r="BJ9392" s="201"/>
    </row>
    <row r="9393" spans="62:62" x14ac:dyDescent="0.2">
      <c r="BJ9393" s="201"/>
    </row>
    <row r="9394" spans="62:62" x14ac:dyDescent="0.2">
      <c r="BJ9394" s="201"/>
    </row>
    <row r="9395" spans="62:62" x14ac:dyDescent="0.2">
      <c r="BJ9395" s="201"/>
    </row>
    <row r="9396" spans="62:62" x14ac:dyDescent="0.2">
      <c r="BJ9396" s="201"/>
    </row>
    <row r="9397" spans="62:62" x14ac:dyDescent="0.2">
      <c r="BJ9397" s="201"/>
    </row>
    <row r="9398" spans="62:62" x14ac:dyDescent="0.2">
      <c r="BJ9398" s="201"/>
    </row>
    <row r="9399" spans="62:62" x14ac:dyDescent="0.2">
      <c r="BJ9399" s="201"/>
    </row>
    <row r="9400" spans="62:62" x14ac:dyDescent="0.2">
      <c r="BJ9400" s="201"/>
    </row>
    <row r="9401" spans="62:62" x14ac:dyDescent="0.2">
      <c r="BJ9401" s="201"/>
    </row>
    <row r="9402" spans="62:62" x14ac:dyDescent="0.2">
      <c r="BJ9402" s="201"/>
    </row>
    <row r="9403" spans="62:62" x14ac:dyDescent="0.2">
      <c r="BJ9403" s="201"/>
    </row>
    <row r="9404" spans="62:62" x14ac:dyDescent="0.2">
      <c r="BJ9404" s="201"/>
    </row>
    <row r="9405" spans="62:62" x14ac:dyDescent="0.2">
      <c r="BJ9405" s="201"/>
    </row>
    <row r="9406" spans="62:62" x14ac:dyDescent="0.2">
      <c r="BJ9406" s="201"/>
    </row>
    <row r="9407" spans="62:62" x14ac:dyDescent="0.2">
      <c r="BJ9407" s="201"/>
    </row>
    <row r="9408" spans="62:62" x14ac:dyDescent="0.2">
      <c r="BJ9408" s="201"/>
    </row>
    <row r="9409" spans="62:62" x14ac:dyDescent="0.2">
      <c r="BJ9409" s="201"/>
    </row>
    <row r="9410" spans="62:62" x14ac:dyDescent="0.2">
      <c r="BJ9410" s="201"/>
    </row>
    <row r="9411" spans="62:62" x14ac:dyDescent="0.2">
      <c r="BJ9411" s="201"/>
    </row>
    <row r="9412" spans="62:62" x14ac:dyDescent="0.2">
      <c r="BJ9412" s="201"/>
    </row>
    <row r="9413" spans="62:62" x14ac:dyDescent="0.2">
      <c r="BJ9413" s="201"/>
    </row>
    <row r="9414" spans="62:62" x14ac:dyDescent="0.2">
      <c r="BJ9414" s="201"/>
    </row>
    <row r="9415" spans="62:62" x14ac:dyDescent="0.2">
      <c r="BJ9415" s="201"/>
    </row>
    <row r="9416" spans="62:62" x14ac:dyDescent="0.2">
      <c r="BJ9416" s="201"/>
    </row>
    <row r="9417" spans="62:62" x14ac:dyDescent="0.2">
      <c r="BJ9417" s="201"/>
    </row>
    <row r="9418" spans="62:62" x14ac:dyDescent="0.2">
      <c r="BJ9418" s="201"/>
    </row>
    <row r="9419" spans="62:62" x14ac:dyDescent="0.2">
      <c r="BJ9419" s="201"/>
    </row>
    <row r="9420" spans="62:62" x14ac:dyDescent="0.2">
      <c r="BJ9420" s="201"/>
    </row>
    <row r="9421" spans="62:62" x14ac:dyDescent="0.2">
      <c r="BJ9421" s="201"/>
    </row>
    <row r="9422" spans="62:62" x14ac:dyDescent="0.2">
      <c r="BJ9422" s="201"/>
    </row>
    <row r="9423" spans="62:62" x14ac:dyDescent="0.2">
      <c r="BJ9423" s="201"/>
    </row>
    <row r="9424" spans="62:62" x14ac:dyDescent="0.2">
      <c r="BJ9424" s="201"/>
    </row>
    <row r="9425" spans="62:62" x14ac:dyDescent="0.2">
      <c r="BJ9425" s="201"/>
    </row>
    <row r="9426" spans="62:62" x14ac:dyDescent="0.2">
      <c r="BJ9426" s="201"/>
    </row>
    <row r="9427" spans="62:62" x14ac:dyDescent="0.2">
      <c r="BJ9427" s="201"/>
    </row>
    <row r="9428" spans="62:62" x14ac:dyDescent="0.2">
      <c r="BJ9428" s="201"/>
    </row>
    <row r="9429" spans="62:62" x14ac:dyDescent="0.2">
      <c r="BJ9429" s="201"/>
    </row>
    <row r="9430" spans="62:62" x14ac:dyDescent="0.2">
      <c r="BJ9430" s="201"/>
    </row>
    <row r="9431" spans="62:62" x14ac:dyDescent="0.2">
      <c r="BJ9431" s="201"/>
    </row>
    <row r="9432" spans="62:62" x14ac:dyDescent="0.2">
      <c r="BJ9432" s="201"/>
    </row>
    <row r="9433" spans="62:62" x14ac:dyDescent="0.2">
      <c r="BJ9433" s="201"/>
    </row>
    <row r="9434" spans="62:62" x14ac:dyDescent="0.2">
      <c r="BJ9434" s="201"/>
    </row>
    <row r="9435" spans="62:62" x14ac:dyDescent="0.2">
      <c r="BJ9435" s="201"/>
    </row>
    <row r="9436" spans="62:62" x14ac:dyDescent="0.2">
      <c r="BJ9436" s="201"/>
    </row>
    <row r="9437" spans="62:62" x14ac:dyDescent="0.2">
      <c r="BJ9437" s="201"/>
    </row>
    <row r="9438" spans="62:62" x14ac:dyDescent="0.2">
      <c r="BJ9438" s="201"/>
    </row>
    <row r="9439" spans="62:62" x14ac:dyDescent="0.2">
      <c r="BJ9439" s="201"/>
    </row>
    <row r="9440" spans="62:62" x14ac:dyDescent="0.2">
      <c r="BJ9440" s="201"/>
    </row>
    <row r="9441" spans="62:62" x14ac:dyDescent="0.2">
      <c r="BJ9441" s="201"/>
    </row>
    <row r="9442" spans="62:62" x14ac:dyDescent="0.2">
      <c r="BJ9442" s="201"/>
    </row>
    <row r="9443" spans="62:62" x14ac:dyDescent="0.2">
      <c r="BJ9443" s="201"/>
    </row>
    <row r="9444" spans="62:62" x14ac:dyDescent="0.2">
      <c r="BJ9444" s="201"/>
    </row>
    <row r="9445" spans="62:62" x14ac:dyDescent="0.2">
      <c r="BJ9445" s="201"/>
    </row>
    <row r="9446" spans="62:62" x14ac:dyDescent="0.2">
      <c r="BJ9446" s="201"/>
    </row>
    <row r="9447" spans="62:62" x14ac:dyDescent="0.2">
      <c r="BJ9447" s="201"/>
    </row>
    <row r="9448" spans="62:62" x14ac:dyDescent="0.2">
      <c r="BJ9448" s="201"/>
    </row>
    <row r="9449" spans="62:62" x14ac:dyDescent="0.2">
      <c r="BJ9449" s="201"/>
    </row>
    <row r="9450" spans="62:62" x14ac:dyDescent="0.2">
      <c r="BJ9450" s="201"/>
    </row>
    <row r="9451" spans="62:62" x14ac:dyDescent="0.2">
      <c r="BJ9451" s="201"/>
    </row>
    <row r="9452" spans="62:62" x14ac:dyDescent="0.2">
      <c r="BJ9452" s="201"/>
    </row>
    <row r="9453" spans="62:62" x14ac:dyDescent="0.2">
      <c r="BJ9453" s="201"/>
    </row>
    <row r="9454" spans="62:62" x14ac:dyDescent="0.2">
      <c r="BJ9454" s="201"/>
    </row>
    <row r="9455" spans="62:62" x14ac:dyDescent="0.2">
      <c r="BJ9455" s="201"/>
    </row>
    <row r="9456" spans="62:62" x14ac:dyDescent="0.2">
      <c r="BJ9456" s="201"/>
    </row>
    <row r="9457" spans="62:62" x14ac:dyDescent="0.2">
      <c r="BJ9457" s="201"/>
    </row>
    <row r="9458" spans="62:62" x14ac:dyDescent="0.2">
      <c r="BJ9458" s="201"/>
    </row>
    <row r="9459" spans="62:62" x14ac:dyDescent="0.2">
      <c r="BJ9459" s="201"/>
    </row>
    <row r="9460" spans="62:62" x14ac:dyDescent="0.2">
      <c r="BJ9460" s="201"/>
    </row>
    <row r="9461" spans="62:62" x14ac:dyDescent="0.2">
      <c r="BJ9461" s="201"/>
    </row>
    <row r="9462" spans="62:62" x14ac:dyDescent="0.2">
      <c r="BJ9462" s="201"/>
    </row>
    <row r="9463" spans="62:62" x14ac:dyDescent="0.2">
      <c r="BJ9463" s="201"/>
    </row>
    <row r="9464" spans="62:62" x14ac:dyDescent="0.2">
      <c r="BJ9464" s="201"/>
    </row>
    <row r="9465" spans="62:62" x14ac:dyDescent="0.2">
      <c r="BJ9465" s="201"/>
    </row>
    <row r="9466" spans="62:62" x14ac:dyDescent="0.2">
      <c r="BJ9466" s="201"/>
    </row>
    <row r="9467" spans="62:62" x14ac:dyDescent="0.2">
      <c r="BJ9467" s="201"/>
    </row>
    <row r="9468" spans="62:62" x14ac:dyDescent="0.2">
      <c r="BJ9468" s="201"/>
    </row>
    <row r="9469" spans="62:62" x14ac:dyDescent="0.2">
      <c r="BJ9469" s="201"/>
    </row>
    <row r="9470" spans="62:62" x14ac:dyDescent="0.2">
      <c r="BJ9470" s="201"/>
    </row>
    <row r="9471" spans="62:62" x14ac:dyDescent="0.2">
      <c r="BJ9471" s="201"/>
    </row>
    <row r="9472" spans="62:62" x14ac:dyDescent="0.2">
      <c r="BJ9472" s="201"/>
    </row>
    <row r="9473" spans="62:62" x14ac:dyDescent="0.2">
      <c r="BJ9473" s="201"/>
    </row>
    <row r="9474" spans="62:62" x14ac:dyDescent="0.2">
      <c r="BJ9474" s="201"/>
    </row>
    <row r="9475" spans="62:62" x14ac:dyDescent="0.2">
      <c r="BJ9475" s="201"/>
    </row>
    <row r="9476" spans="62:62" x14ac:dyDescent="0.2">
      <c r="BJ9476" s="201"/>
    </row>
    <row r="9477" spans="62:62" x14ac:dyDescent="0.2">
      <c r="BJ9477" s="201"/>
    </row>
    <row r="9478" spans="62:62" x14ac:dyDescent="0.2">
      <c r="BJ9478" s="201"/>
    </row>
    <row r="9479" spans="62:62" x14ac:dyDescent="0.2">
      <c r="BJ9479" s="201"/>
    </row>
    <row r="9480" spans="62:62" x14ac:dyDescent="0.2">
      <c r="BJ9480" s="201"/>
    </row>
    <row r="9481" spans="62:62" x14ac:dyDescent="0.2">
      <c r="BJ9481" s="201"/>
    </row>
    <row r="9482" spans="62:62" x14ac:dyDescent="0.2">
      <c r="BJ9482" s="201"/>
    </row>
    <row r="9483" spans="62:62" x14ac:dyDescent="0.2">
      <c r="BJ9483" s="201"/>
    </row>
    <row r="9484" spans="62:62" x14ac:dyDescent="0.2">
      <c r="BJ9484" s="201"/>
    </row>
    <row r="9485" spans="62:62" x14ac:dyDescent="0.2">
      <c r="BJ9485" s="201"/>
    </row>
    <row r="9486" spans="62:62" x14ac:dyDescent="0.2">
      <c r="BJ9486" s="201"/>
    </row>
    <row r="9487" spans="62:62" x14ac:dyDescent="0.2">
      <c r="BJ9487" s="201"/>
    </row>
    <row r="9488" spans="62:62" x14ac:dyDescent="0.2">
      <c r="BJ9488" s="201"/>
    </row>
    <row r="9489" spans="62:62" x14ac:dyDescent="0.2">
      <c r="BJ9489" s="201"/>
    </row>
    <row r="9490" spans="62:62" x14ac:dyDescent="0.2">
      <c r="BJ9490" s="201"/>
    </row>
    <row r="9491" spans="62:62" x14ac:dyDescent="0.2">
      <c r="BJ9491" s="201"/>
    </row>
    <row r="9492" spans="62:62" x14ac:dyDescent="0.2">
      <c r="BJ9492" s="201"/>
    </row>
    <row r="9493" spans="62:62" x14ac:dyDescent="0.2">
      <c r="BJ9493" s="201"/>
    </row>
    <row r="9494" spans="62:62" x14ac:dyDescent="0.2">
      <c r="BJ9494" s="201"/>
    </row>
    <row r="9495" spans="62:62" x14ac:dyDescent="0.2">
      <c r="BJ9495" s="201"/>
    </row>
    <row r="9496" spans="62:62" x14ac:dyDescent="0.2">
      <c r="BJ9496" s="201"/>
    </row>
    <row r="9497" spans="62:62" x14ac:dyDescent="0.2">
      <c r="BJ9497" s="201"/>
    </row>
    <row r="9498" spans="62:62" x14ac:dyDescent="0.2">
      <c r="BJ9498" s="201"/>
    </row>
    <row r="9499" spans="62:62" x14ac:dyDescent="0.2">
      <c r="BJ9499" s="201"/>
    </row>
    <row r="9500" spans="62:62" x14ac:dyDescent="0.2">
      <c r="BJ9500" s="201"/>
    </row>
    <row r="9501" spans="62:62" x14ac:dyDescent="0.2">
      <c r="BJ9501" s="201"/>
    </row>
    <row r="9502" spans="62:62" x14ac:dyDescent="0.2">
      <c r="BJ9502" s="201"/>
    </row>
    <row r="9503" spans="62:62" x14ac:dyDescent="0.2">
      <c r="BJ9503" s="201"/>
    </row>
    <row r="9504" spans="62:62" x14ac:dyDescent="0.2">
      <c r="BJ9504" s="201"/>
    </row>
    <row r="9505" spans="62:62" x14ac:dyDescent="0.2">
      <c r="BJ9505" s="201"/>
    </row>
    <row r="9506" spans="62:62" x14ac:dyDescent="0.2">
      <c r="BJ9506" s="201"/>
    </row>
    <row r="9507" spans="62:62" x14ac:dyDescent="0.2">
      <c r="BJ9507" s="201"/>
    </row>
    <row r="9508" spans="62:62" x14ac:dyDescent="0.2">
      <c r="BJ9508" s="201"/>
    </row>
    <row r="9509" spans="62:62" x14ac:dyDescent="0.2">
      <c r="BJ9509" s="201"/>
    </row>
    <row r="9510" spans="62:62" x14ac:dyDescent="0.2">
      <c r="BJ9510" s="201"/>
    </row>
    <row r="9511" spans="62:62" x14ac:dyDescent="0.2">
      <c r="BJ9511" s="201"/>
    </row>
    <row r="9512" spans="62:62" x14ac:dyDescent="0.2">
      <c r="BJ9512" s="201"/>
    </row>
    <row r="9513" spans="62:62" x14ac:dyDescent="0.2">
      <c r="BJ9513" s="201"/>
    </row>
    <row r="9514" spans="62:62" x14ac:dyDescent="0.2">
      <c r="BJ9514" s="201"/>
    </row>
    <row r="9515" spans="62:62" x14ac:dyDescent="0.2">
      <c r="BJ9515" s="201"/>
    </row>
    <row r="9516" spans="62:62" x14ac:dyDescent="0.2">
      <c r="BJ9516" s="201"/>
    </row>
    <row r="9517" spans="62:62" x14ac:dyDescent="0.2">
      <c r="BJ9517" s="201"/>
    </row>
    <row r="9518" spans="62:62" x14ac:dyDescent="0.2">
      <c r="BJ9518" s="201"/>
    </row>
    <row r="9519" spans="62:62" x14ac:dyDescent="0.2">
      <c r="BJ9519" s="201"/>
    </row>
    <row r="9520" spans="62:62" x14ac:dyDescent="0.2">
      <c r="BJ9520" s="201"/>
    </row>
    <row r="9521" spans="62:62" x14ac:dyDescent="0.2">
      <c r="BJ9521" s="201"/>
    </row>
    <row r="9522" spans="62:62" x14ac:dyDescent="0.2">
      <c r="BJ9522" s="201"/>
    </row>
    <row r="9523" spans="62:62" x14ac:dyDescent="0.2">
      <c r="BJ9523" s="201"/>
    </row>
    <row r="9524" spans="62:62" x14ac:dyDescent="0.2">
      <c r="BJ9524" s="201"/>
    </row>
    <row r="9525" spans="62:62" x14ac:dyDescent="0.2">
      <c r="BJ9525" s="201"/>
    </row>
    <row r="9526" spans="62:62" x14ac:dyDescent="0.2">
      <c r="BJ9526" s="201"/>
    </row>
    <row r="9527" spans="62:62" x14ac:dyDescent="0.2">
      <c r="BJ9527" s="201"/>
    </row>
    <row r="9528" spans="62:62" x14ac:dyDescent="0.2">
      <c r="BJ9528" s="201"/>
    </row>
    <row r="9529" spans="62:62" x14ac:dyDescent="0.2">
      <c r="BJ9529" s="201"/>
    </row>
    <row r="9530" spans="62:62" x14ac:dyDescent="0.2">
      <c r="BJ9530" s="201"/>
    </row>
    <row r="9531" spans="62:62" x14ac:dyDescent="0.2">
      <c r="BJ9531" s="201"/>
    </row>
    <row r="9532" spans="62:62" x14ac:dyDescent="0.2">
      <c r="BJ9532" s="201"/>
    </row>
    <row r="9533" spans="62:62" x14ac:dyDescent="0.2">
      <c r="BJ9533" s="201"/>
    </row>
    <row r="9534" spans="62:62" x14ac:dyDescent="0.2">
      <c r="BJ9534" s="201"/>
    </row>
    <row r="9535" spans="62:62" x14ac:dyDescent="0.2">
      <c r="BJ9535" s="201"/>
    </row>
    <row r="9536" spans="62:62" x14ac:dyDescent="0.2">
      <c r="BJ9536" s="201"/>
    </row>
    <row r="9537" spans="62:62" x14ac:dyDescent="0.2">
      <c r="BJ9537" s="201"/>
    </row>
    <row r="9538" spans="62:62" x14ac:dyDescent="0.2">
      <c r="BJ9538" s="201"/>
    </row>
    <row r="9539" spans="62:62" x14ac:dyDescent="0.2">
      <c r="BJ9539" s="201"/>
    </row>
    <row r="9540" spans="62:62" x14ac:dyDescent="0.2">
      <c r="BJ9540" s="201"/>
    </row>
    <row r="9541" spans="62:62" x14ac:dyDescent="0.2">
      <c r="BJ9541" s="201"/>
    </row>
    <row r="9542" spans="62:62" x14ac:dyDescent="0.2">
      <c r="BJ9542" s="201"/>
    </row>
    <row r="9543" spans="62:62" x14ac:dyDescent="0.2">
      <c r="BJ9543" s="201"/>
    </row>
    <row r="9544" spans="62:62" x14ac:dyDescent="0.2">
      <c r="BJ9544" s="201"/>
    </row>
    <row r="9545" spans="62:62" x14ac:dyDescent="0.2">
      <c r="BJ9545" s="201"/>
    </row>
    <row r="9546" spans="62:62" x14ac:dyDescent="0.2">
      <c r="BJ9546" s="201"/>
    </row>
    <row r="9547" spans="62:62" x14ac:dyDescent="0.2">
      <c r="BJ9547" s="201"/>
    </row>
    <row r="9548" spans="62:62" x14ac:dyDescent="0.2">
      <c r="BJ9548" s="201"/>
    </row>
    <row r="9549" spans="62:62" x14ac:dyDescent="0.2">
      <c r="BJ9549" s="201"/>
    </row>
    <row r="9550" spans="62:62" x14ac:dyDescent="0.2">
      <c r="BJ9550" s="201"/>
    </row>
    <row r="9551" spans="62:62" x14ac:dyDescent="0.2">
      <c r="BJ9551" s="201"/>
    </row>
    <row r="9552" spans="62:62" x14ac:dyDescent="0.2">
      <c r="BJ9552" s="201"/>
    </row>
    <row r="9553" spans="62:62" x14ac:dyDescent="0.2">
      <c r="BJ9553" s="201"/>
    </row>
    <row r="9554" spans="62:62" x14ac:dyDescent="0.2">
      <c r="BJ9554" s="201"/>
    </row>
    <row r="9555" spans="62:62" x14ac:dyDescent="0.2">
      <c r="BJ9555" s="201"/>
    </row>
    <row r="9556" spans="62:62" x14ac:dyDescent="0.2">
      <c r="BJ9556" s="201"/>
    </row>
    <row r="9557" spans="62:62" x14ac:dyDescent="0.2">
      <c r="BJ9557" s="201"/>
    </row>
    <row r="9558" spans="62:62" x14ac:dyDescent="0.2">
      <c r="BJ9558" s="201"/>
    </row>
    <row r="9559" spans="62:62" x14ac:dyDescent="0.2">
      <c r="BJ9559" s="201"/>
    </row>
    <row r="9560" spans="62:62" x14ac:dyDescent="0.2">
      <c r="BJ9560" s="201"/>
    </row>
    <row r="9561" spans="62:62" x14ac:dyDescent="0.2">
      <c r="BJ9561" s="201"/>
    </row>
    <row r="9562" spans="62:62" x14ac:dyDescent="0.2">
      <c r="BJ9562" s="201"/>
    </row>
    <row r="9563" spans="62:62" x14ac:dyDescent="0.2">
      <c r="BJ9563" s="201"/>
    </row>
    <row r="9564" spans="62:62" x14ac:dyDescent="0.2">
      <c r="BJ9564" s="201"/>
    </row>
    <row r="9565" spans="62:62" x14ac:dyDescent="0.2">
      <c r="BJ9565" s="201"/>
    </row>
    <row r="9566" spans="62:62" x14ac:dyDescent="0.2">
      <c r="BJ9566" s="201"/>
    </row>
    <row r="9567" spans="62:62" x14ac:dyDescent="0.2">
      <c r="BJ9567" s="201"/>
    </row>
    <row r="9568" spans="62:62" x14ac:dyDescent="0.2">
      <c r="BJ9568" s="201"/>
    </row>
    <row r="9569" spans="62:62" x14ac:dyDescent="0.2">
      <c r="BJ9569" s="201"/>
    </row>
    <row r="9570" spans="62:62" x14ac:dyDescent="0.2">
      <c r="BJ9570" s="201"/>
    </row>
    <row r="9571" spans="62:62" x14ac:dyDescent="0.2">
      <c r="BJ9571" s="201"/>
    </row>
    <row r="9572" spans="62:62" x14ac:dyDescent="0.2">
      <c r="BJ9572" s="201"/>
    </row>
    <row r="9573" spans="62:62" x14ac:dyDescent="0.2">
      <c r="BJ9573" s="201"/>
    </row>
    <row r="9574" spans="62:62" x14ac:dyDescent="0.2">
      <c r="BJ9574" s="201"/>
    </row>
    <row r="9575" spans="62:62" x14ac:dyDescent="0.2">
      <c r="BJ9575" s="201"/>
    </row>
    <row r="9576" spans="62:62" x14ac:dyDescent="0.2">
      <c r="BJ9576" s="201"/>
    </row>
    <row r="9577" spans="62:62" x14ac:dyDescent="0.2">
      <c r="BJ9577" s="201"/>
    </row>
    <row r="9578" spans="62:62" x14ac:dyDescent="0.2">
      <c r="BJ9578" s="201"/>
    </row>
    <row r="9579" spans="62:62" x14ac:dyDescent="0.2">
      <c r="BJ9579" s="201"/>
    </row>
    <row r="9580" spans="62:62" x14ac:dyDescent="0.2">
      <c r="BJ9580" s="201"/>
    </row>
    <row r="9581" spans="62:62" x14ac:dyDescent="0.2">
      <c r="BJ9581" s="201"/>
    </row>
    <row r="9582" spans="62:62" x14ac:dyDescent="0.2">
      <c r="BJ9582" s="201"/>
    </row>
    <row r="9583" spans="62:62" x14ac:dyDescent="0.2">
      <c r="BJ9583" s="201"/>
    </row>
    <row r="9584" spans="62:62" x14ac:dyDescent="0.2">
      <c r="BJ9584" s="201"/>
    </row>
    <row r="9585" spans="62:62" x14ac:dyDescent="0.2">
      <c r="BJ9585" s="201"/>
    </row>
    <row r="9586" spans="62:62" x14ac:dyDescent="0.2">
      <c r="BJ9586" s="201"/>
    </row>
    <row r="9587" spans="62:62" x14ac:dyDescent="0.2">
      <c r="BJ9587" s="201"/>
    </row>
    <row r="9588" spans="62:62" x14ac:dyDescent="0.2">
      <c r="BJ9588" s="201"/>
    </row>
    <row r="9589" spans="62:62" x14ac:dyDescent="0.2">
      <c r="BJ9589" s="201"/>
    </row>
    <row r="9590" spans="62:62" x14ac:dyDescent="0.2">
      <c r="BJ9590" s="201"/>
    </row>
    <row r="9591" spans="62:62" x14ac:dyDescent="0.2">
      <c r="BJ9591" s="201"/>
    </row>
    <row r="9592" spans="62:62" x14ac:dyDescent="0.2">
      <c r="BJ9592" s="201"/>
    </row>
    <row r="9593" spans="62:62" x14ac:dyDescent="0.2">
      <c r="BJ9593" s="201"/>
    </row>
    <row r="9594" spans="62:62" x14ac:dyDescent="0.2">
      <c r="BJ9594" s="201"/>
    </row>
    <row r="9595" spans="62:62" x14ac:dyDescent="0.2">
      <c r="BJ9595" s="201"/>
    </row>
    <row r="9596" spans="62:62" x14ac:dyDescent="0.2">
      <c r="BJ9596" s="201"/>
    </row>
    <row r="9597" spans="62:62" x14ac:dyDescent="0.2">
      <c r="BJ9597" s="201"/>
    </row>
    <row r="9598" spans="62:62" x14ac:dyDescent="0.2">
      <c r="BJ9598" s="201"/>
    </row>
    <row r="9599" spans="62:62" x14ac:dyDescent="0.2">
      <c r="BJ9599" s="201"/>
    </row>
    <row r="9600" spans="62:62" x14ac:dyDescent="0.2">
      <c r="BJ9600" s="201"/>
    </row>
    <row r="9601" spans="62:62" x14ac:dyDescent="0.2">
      <c r="BJ9601" s="201"/>
    </row>
    <row r="9602" spans="62:62" x14ac:dyDescent="0.2">
      <c r="BJ9602" s="201"/>
    </row>
    <row r="9603" spans="62:62" x14ac:dyDescent="0.2">
      <c r="BJ9603" s="201"/>
    </row>
    <row r="9604" spans="62:62" x14ac:dyDescent="0.2">
      <c r="BJ9604" s="201"/>
    </row>
    <row r="9605" spans="62:62" x14ac:dyDescent="0.2">
      <c r="BJ9605" s="201"/>
    </row>
    <row r="9606" spans="62:62" x14ac:dyDescent="0.2">
      <c r="BJ9606" s="201"/>
    </row>
    <row r="9607" spans="62:62" x14ac:dyDescent="0.2">
      <c r="BJ9607" s="201"/>
    </row>
    <row r="9608" spans="62:62" x14ac:dyDescent="0.2">
      <c r="BJ9608" s="201"/>
    </row>
    <row r="9609" spans="62:62" x14ac:dyDescent="0.2">
      <c r="BJ9609" s="201"/>
    </row>
    <row r="9610" spans="62:62" x14ac:dyDescent="0.2">
      <c r="BJ9610" s="201"/>
    </row>
    <row r="9611" spans="62:62" x14ac:dyDescent="0.2">
      <c r="BJ9611" s="201"/>
    </row>
    <row r="9612" spans="62:62" x14ac:dyDescent="0.2">
      <c r="BJ9612" s="201"/>
    </row>
    <row r="9613" spans="62:62" x14ac:dyDescent="0.2">
      <c r="BJ9613" s="201"/>
    </row>
    <row r="9614" spans="62:62" x14ac:dyDescent="0.2">
      <c r="BJ9614" s="201"/>
    </row>
    <row r="9615" spans="62:62" x14ac:dyDescent="0.2">
      <c r="BJ9615" s="201"/>
    </row>
    <row r="9616" spans="62:62" x14ac:dyDescent="0.2">
      <c r="BJ9616" s="201"/>
    </row>
    <row r="9617" spans="62:62" x14ac:dyDescent="0.2">
      <c r="BJ9617" s="201"/>
    </row>
    <row r="9618" spans="62:62" x14ac:dyDescent="0.2">
      <c r="BJ9618" s="201"/>
    </row>
    <row r="9619" spans="62:62" x14ac:dyDescent="0.2">
      <c r="BJ9619" s="201"/>
    </row>
    <row r="9620" spans="62:62" x14ac:dyDescent="0.2">
      <c r="BJ9620" s="201"/>
    </row>
    <row r="9621" spans="62:62" x14ac:dyDescent="0.2">
      <c r="BJ9621" s="201"/>
    </row>
    <row r="9622" spans="62:62" x14ac:dyDescent="0.2">
      <c r="BJ9622" s="201"/>
    </row>
    <row r="9623" spans="62:62" x14ac:dyDescent="0.2">
      <c r="BJ9623" s="201"/>
    </row>
    <row r="9624" spans="62:62" x14ac:dyDescent="0.2">
      <c r="BJ9624" s="201"/>
    </row>
    <row r="9625" spans="62:62" x14ac:dyDescent="0.2">
      <c r="BJ9625" s="201"/>
    </row>
    <row r="9626" spans="62:62" x14ac:dyDescent="0.2">
      <c r="BJ9626" s="201"/>
    </row>
    <row r="9627" spans="62:62" x14ac:dyDescent="0.2">
      <c r="BJ9627" s="201"/>
    </row>
    <row r="9628" spans="62:62" x14ac:dyDescent="0.2">
      <c r="BJ9628" s="201"/>
    </row>
    <row r="9629" spans="62:62" x14ac:dyDescent="0.2">
      <c r="BJ9629" s="201"/>
    </row>
    <row r="9630" spans="62:62" x14ac:dyDescent="0.2">
      <c r="BJ9630" s="201"/>
    </row>
    <row r="9631" spans="62:62" x14ac:dyDescent="0.2">
      <c r="BJ9631" s="201"/>
    </row>
    <row r="9632" spans="62:62" x14ac:dyDescent="0.2">
      <c r="BJ9632" s="201"/>
    </row>
    <row r="9633" spans="62:62" x14ac:dyDescent="0.2">
      <c r="BJ9633" s="201"/>
    </row>
    <row r="9634" spans="62:62" x14ac:dyDescent="0.2">
      <c r="BJ9634" s="201"/>
    </row>
    <row r="9635" spans="62:62" x14ac:dyDescent="0.2">
      <c r="BJ9635" s="201"/>
    </row>
    <row r="9636" spans="62:62" x14ac:dyDescent="0.2">
      <c r="BJ9636" s="201"/>
    </row>
    <row r="9637" spans="62:62" x14ac:dyDescent="0.2">
      <c r="BJ9637" s="201"/>
    </row>
    <row r="9638" spans="62:62" x14ac:dyDescent="0.2">
      <c r="BJ9638" s="201"/>
    </row>
    <row r="9639" spans="62:62" x14ac:dyDescent="0.2">
      <c r="BJ9639" s="201"/>
    </row>
    <row r="9640" spans="62:62" x14ac:dyDescent="0.2">
      <c r="BJ9640" s="201"/>
    </row>
    <row r="9641" spans="62:62" x14ac:dyDescent="0.2">
      <c r="BJ9641" s="201"/>
    </row>
    <row r="9642" spans="62:62" x14ac:dyDescent="0.2">
      <c r="BJ9642" s="201"/>
    </row>
    <row r="9643" spans="62:62" x14ac:dyDescent="0.2">
      <c r="BJ9643" s="201"/>
    </row>
    <row r="9644" spans="62:62" x14ac:dyDescent="0.2">
      <c r="BJ9644" s="201"/>
    </row>
    <row r="9645" spans="62:62" x14ac:dyDescent="0.2">
      <c r="BJ9645" s="201"/>
    </row>
    <row r="9646" spans="62:62" x14ac:dyDescent="0.2">
      <c r="BJ9646" s="201"/>
    </row>
    <row r="9647" spans="62:62" x14ac:dyDescent="0.2">
      <c r="BJ9647" s="201"/>
    </row>
    <row r="9648" spans="62:62" x14ac:dyDescent="0.2">
      <c r="BJ9648" s="201"/>
    </row>
    <row r="9649" spans="62:62" x14ac:dyDescent="0.2">
      <c r="BJ9649" s="201"/>
    </row>
    <row r="9650" spans="62:62" x14ac:dyDescent="0.2">
      <c r="BJ9650" s="201"/>
    </row>
    <row r="9651" spans="62:62" x14ac:dyDescent="0.2">
      <c r="BJ9651" s="201"/>
    </row>
    <row r="9652" spans="62:62" x14ac:dyDescent="0.2">
      <c r="BJ9652" s="201"/>
    </row>
    <row r="9653" spans="62:62" x14ac:dyDescent="0.2">
      <c r="BJ9653" s="201"/>
    </row>
    <row r="9654" spans="62:62" x14ac:dyDescent="0.2">
      <c r="BJ9654" s="201"/>
    </row>
    <row r="9655" spans="62:62" x14ac:dyDescent="0.2">
      <c r="BJ9655" s="201"/>
    </row>
    <row r="9656" spans="62:62" x14ac:dyDescent="0.2">
      <c r="BJ9656" s="201"/>
    </row>
    <row r="9657" spans="62:62" x14ac:dyDescent="0.2">
      <c r="BJ9657" s="201"/>
    </row>
    <row r="9658" spans="62:62" x14ac:dyDescent="0.2">
      <c r="BJ9658" s="201"/>
    </row>
    <row r="9659" spans="62:62" x14ac:dyDescent="0.2">
      <c r="BJ9659" s="201"/>
    </row>
    <row r="9660" spans="62:62" x14ac:dyDescent="0.2">
      <c r="BJ9660" s="201"/>
    </row>
    <row r="9661" spans="62:62" x14ac:dyDescent="0.2">
      <c r="BJ9661" s="201"/>
    </row>
    <row r="9662" spans="62:62" x14ac:dyDescent="0.2">
      <c r="BJ9662" s="201"/>
    </row>
    <row r="9663" spans="62:62" x14ac:dyDescent="0.2">
      <c r="BJ9663" s="201"/>
    </row>
    <row r="9664" spans="62:62" x14ac:dyDescent="0.2">
      <c r="BJ9664" s="201"/>
    </row>
    <row r="9665" spans="62:62" x14ac:dyDescent="0.2">
      <c r="BJ9665" s="201"/>
    </row>
    <row r="9666" spans="62:62" x14ac:dyDescent="0.2">
      <c r="BJ9666" s="201"/>
    </row>
    <row r="9667" spans="62:62" x14ac:dyDescent="0.2">
      <c r="BJ9667" s="201"/>
    </row>
    <row r="9668" spans="62:62" x14ac:dyDescent="0.2">
      <c r="BJ9668" s="201"/>
    </row>
    <row r="9669" spans="62:62" x14ac:dyDescent="0.2">
      <c r="BJ9669" s="201"/>
    </row>
    <row r="9670" spans="62:62" x14ac:dyDescent="0.2">
      <c r="BJ9670" s="201"/>
    </row>
    <row r="9671" spans="62:62" x14ac:dyDescent="0.2">
      <c r="BJ9671" s="201"/>
    </row>
    <row r="9672" spans="62:62" x14ac:dyDescent="0.2">
      <c r="BJ9672" s="201"/>
    </row>
    <row r="9673" spans="62:62" x14ac:dyDescent="0.2">
      <c r="BJ9673" s="201"/>
    </row>
    <row r="9674" spans="62:62" x14ac:dyDescent="0.2">
      <c r="BJ9674" s="201"/>
    </row>
    <row r="9675" spans="62:62" x14ac:dyDescent="0.2">
      <c r="BJ9675" s="201"/>
    </row>
    <row r="9676" spans="62:62" x14ac:dyDescent="0.2">
      <c r="BJ9676" s="201"/>
    </row>
    <row r="9677" spans="62:62" x14ac:dyDescent="0.2">
      <c r="BJ9677" s="201"/>
    </row>
    <row r="9678" spans="62:62" x14ac:dyDescent="0.2">
      <c r="BJ9678" s="201"/>
    </row>
    <row r="9679" spans="62:62" x14ac:dyDescent="0.2">
      <c r="BJ9679" s="201"/>
    </row>
    <row r="9680" spans="62:62" x14ac:dyDescent="0.2">
      <c r="BJ9680" s="201"/>
    </row>
    <row r="9681" spans="62:62" x14ac:dyDescent="0.2">
      <c r="BJ9681" s="201"/>
    </row>
    <row r="9682" spans="62:62" x14ac:dyDescent="0.2">
      <c r="BJ9682" s="201"/>
    </row>
    <row r="9683" spans="62:62" x14ac:dyDescent="0.2">
      <c r="BJ9683" s="201"/>
    </row>
    <row r="9684" spans="62:62" x14ac:dyDescent="0.2">
      <c r="BJ9684" s="201"/>
    </row>
    <row r="9685" spans="62:62" x14ac:dyDescent="0.2">
      <c r="BJ9685" s="201"/>
    </row>
    <row r="9686" spans="62:62" x14ac:dyDescent="0.2">
      <c r="BJ9686" s="201"/>
    </row>
    <row r="9687" spans="62:62" x14ac:dyDescent="0.2">
      <c r="BJ9687" s="201"/>
    </row>
    <row r="9688" spans="62:62" x14ac:dyDescent="0.2">
      <c r="BJ9688" s="201"/>
    </row>
    <row r="9689" spans="62:62" x14ac:dyDescent="0.2">
      <c r="BJ9689" s="201"/>
    </row>
    <row r="9690" spans="62:62" x14ac:dyDescent="0.2">
      <c r="BJ9690" s="201"/>
    </row>
    <row r="9691" spans="62:62" x14ac:dyDescent="0.2">
      <c r="BJ9691" s="201"/>
    </row>
    <row r="9692" spans="62:62" x14ac:dyDescent="0.2">
      <c r="BJ9692" s="201"/>
    </row>
    <row r="9693" spans="62:62" x14ac:dyDescent="0.2">
      <c r="BJ9693" s="201"/>
    </row>
    <row r="9694" spans="62:62" x14ac:dyDescent="0.2">
      <c r="BJ9694" s="201"/>
    </row>
    <row r="9695" spans="62:62" x14ac:dyDescent="0.2">
      <c r="BJ9695" s="201"/>
    </row>
    <row r="9696" spans="62:62" x14ac:dyDescent="0.2">
      <c r="BJ9696" s="201"/>
    </row>
    <row r="9697" spans="62:62" x14ac:dyDescent="0.2">
      <c r="BJ9697" s="201"/>
    </row>
    <row r="9698" spans="62:62" x14ac:dyDescent="0.2">
      <c r="BJ9698" s="201"/>
    </row>
    <row r="9699" spans="62:62" x14ac:dyDescent="0.2">
      <c r="BJ9699" s="201"/>
    </row>
    <row r="9700" spans="62:62" x14ac:dyDescent="0.2">
      <c r="BJ9700" s="201"/>
    </row>
    <row r="9701" spans="62:62" x14ac:dyDescent="0.2">
      <c r="BJ9701" s="201"/>
    </row>
    <row r="9702" spans="62:62" x14ac:dyDescent="0.2">
      <c r="BJ9702" s="201"/>
    </row>
    <row r="9703" spans="62:62" x14ac:dyDescent="0.2">
      <c r="BJ9703" s="201"/>
    </row>
    <row r="9704" spans="62:62" x14ac:dyDescent="0.2">
      <c r="BJ9704" s="201"/>
    </row>
    <row r="9705" spans="62:62" x14ac:dyDescent="0.2">
      <c r="BJ9705" s="201"/>
    </row>
    <row r="9706" spans="62:62" x14ac:dyDescent="0.2">
      <c r="BJ9706" s="201"/>
    </row>
    <row r="9707" spans="62:62" x14ac:dyDescent="0.2">
      <c r="BJ9707" s="201"/>
    </row>
    <row r="9708" spans="62:62" x14ac:dyDescent="0.2">
      <c r="BJ9708" s="201"/>
    </row>
    <row r="9709" spans="62:62" x14ac:dyDescent="0.2">
      <c r="BJ9709" s="201"/>
    </row>
    <row r="9710" spans="62:62" x14ac:dyDescent="0.2">
      <c r="BJ9710" s="201"/>
    </row>
    <row r="9711" spans="62:62" x14ac:dyDescent="0.2">
      <c r="BJ9711" s="201"/>
    </row>
    <row r="9712" spans="62:62" x14ac:dyDescent="0.2">
      <c r="BJ9712" s="201"/>
    </row>
    <row r="9713" spans="62:62" x14ac:dyDescent="0.2">
      <c r="BJ9713" s="201"/>
    </row>
    <row r="9714" spans="62:62" x14ac:dyDescent="0.2">
      <c r="BJ9714" s="201"/>
    </row>
    <row r="9715" spans="62:62" x14ac:dyDescent="0.2">
      <c r="BJ9715" s="201"/>
    </row>
    <row r="9716" spans="62:62" x14ac:dyDescent="0.2">
      <c r="BJ9716" s="201"/>
    </row>
    <row r="9717" spans="62:62" x14ac:dyDescent="0.2">
      <c r="BJ9717" s="201"/>
    </row>
    <row r="9718" spans="62:62" x14ac:dyDescent="0.2">
      <c r="BJ9718" s="201"/>
    </row>
    <row r="9719" spans="62:62" x14ac:dyDescent="0.2">
      <c r="BJ9719" s="201"/>
    </row>
    <row r="9720" spans="62:62" x14ac:dyDescent="0.2">
      <c r="BJ9720" s="201"/>
    </row>
    <row r="9721" spans="62:62" x14ac:dyDescent="0.2">
      <c r="BJ9721" s="201"/>
    </row>
    <row r="9722" spans="62:62" x14ac:dyDescent="0.2">
      <c r="BJ9722" s="201"/>
    </row>
    <row r="9723" spans="62:62" x14ac:dyDescent="0.2">
      <c r="BJ9723" s="201"/>
    </row>
    <row r="9724" spans="62:62" x14ac:dyDescent="0.2">
      <c r="BJ9724" s="201"/>
    </row>
    <row r="9725" spans="62:62" x14ac:dyDescent="0.2">
      <c r="BJ9725" s="201"/>
    </row>
    <row r="9726" spans="62:62" x14ac:dyDescent="0.2">
      <c r="BJ9726" s="201"/>
    </row>
    <row r="9727" spans="62:62" x14ac:dyDescent="0.2">
      <c r="BJ9727" s="201"/>
    </row>
    <row r="9728" spans="62:62" x14ac:dyDescent="0.2">
      <c r="BJ9728" s="201"/>
    </row>
    <row r="9729" spans="62:62" x14ac:dyDescent="0.2">
      <c r="BJ9729" s="201"/>
    </row>
    <row r="9730" spans="62:62" x14ac:dyDescent="0.2">
      <c r="BJ9730" s="201"/>
    </row>
    <row r="9731" spans="62:62" x14ac:dyDescent="0.2">
      <c r="BJ9731" s="201"/>
    </row>
    <row r="9732" spans="62:62" x14ac:dyDescent="0.2">
      <c r="BJ9732" s="201"/>
    </row>
    <row r="9733" spans="62:62" x14ac:dyDescent="0.2">
      <c r="BJ9733" s="201"/>
    </row>
    <row r="9734" spans="62:62" x14ac:dyDescent="0.2">
      <c r="BJ9734" s="201"/>
    </row>
    <row r="9735" spans="62:62" x14ac:dyDescent="0.2">
      <c r="BJ9735" s="201"/>
    </row>
    <row r="9736" spans="62:62" x14ac:dyDescent="0.2">
      <c r="BJ9736" s="201"/>
    </row>
    <row r="9737" spans="62:62" x14ac:dyDescent="0.2">
      <c r="BJ9737" s="201"/>
    </row>
    <row r="9738" spans="62:62" x14ac:dyDescent="0.2">
      <c r="BJ9738" s="201"/>
    </row>
    <row r="9739" spans="62:62" x14ac:dyDescent="0.2">
      <c r="BJ9739" s="201"/>
    </row>
    <row r="9740" spans="62:62" x14ac:dyDescent="0.2">
      <c r="BJ9740" s="201"/>
    </row>
    <row r="9741" spans="62:62" x14ac:dyDescent="0.2">
      <c r="BJ9741" s="201"/>
    </row>
    <row r="9742" spans="62:62" x14ac:dyDescent="0.2">
      <c r="BJ9742" s="201"/>
    </row>
    <row r="9743" spans="62:62" x14ac:dyDescent="0.2">
      <c r="BJ9743" s="201"/>
    </row>
    <row r="9744" spans="62:62" x14ac:dyDescent="0.2">
      <c r="BJ9744" s="201"/>
    </row>
    <row r="9745" spans="62:62" x14ac:dyDescent="0.2">
      <c r="BJ9745" s="201"/>
    </row>
    <row r="9746" spans="62:62" x14ac:dyDescent="0.2">
      <c r="BJ9746" s="201"/>
    </row>
    <row r="9747" spans="62:62" x14ac:dyDescent="0.2">
      <c r="BJ9747" s="201"/>
    </row>
    <row r="9748" spans="62:62" x14ac:dyDescent="0.2">
      <c r="BJ9748" s="201"/>
    </row>
    <row r="9749" spans="62:62" x14ac:dyDescent="0.2">
      <c r="BJ9749" s="201"/>
    </row>
    <row r="9750" spans="62:62" x14ac:dyDescent="0.2">
      <c r="BJ9750" s="201"/>
    </row>
    <row r="9751" spans="62:62" x14ac:dyDescent="0.2">
      <c r="BJ9751" s="201"/>
    </row>
    <row r="9752" spans="62:62" x14ac:dyDescent="0.2">
      <c r="BJ9752" s="201"/>
    </row>
    <row r="9753" spans="62:62" x14ac:dyDescent="0.2">
      <c r="BJ9753" s="201"/>
    </row>
    <row r="9754" spans="62:62" x14ac:dyDescent="0.2">
      <c r="BJ9754" s="201"/>
    </row>
    <row r="9755" spans="62:62" x14ac:dyDescent="0.2">
      <c r="BJ9755" s="201"/>
    </row>
    <row r="9756" spans="62:62" x14ac:dyDescent="0.2">
      <c r="BJ9756" s="201"/>
    </row>
    <row r="9757" spans="62:62" x14ac:dyDescent="0.2">
      <c r="BJ9757" s="201"/>
    </row>
    <row r="9758" spans="62:62" x14ac:dyDescent="0.2">
      <c r="BJ9758" s="201"/>
    </row>
    <row r="9759" spans="62:62" x14ac:dyDescent="0.2">
      <c r="BJ9759" s="201"/>
    </row>
    <row r="9760" spans="62:62" x14ac:dyDescent="0.2">
      <c r="BJ9760" s="201"/>
    </row>
    <row r="9761" spans="62:62" x14ac:dyDescent="0.2">
      <c r="BJ9761" s="201"/>
    </row>
    <row r="9762" spans="62:62" x14ac:dyDescent="0.2">
      <c r="BJ9762" s="201"/>
    </row>
    <row r="9763" spans="62:62" x14ac:dyDescent="0.2">
      <c r="BJ9763" s="201"/>
    </row>
    <row r="9764" spans="62:62" x14ac:dyDescent="0.2">
      <c r="BJ9764" s="201"/>
    </row>
    <row r="9765" spans="62:62" x14ac:dyDescent="0.2">
      <c r="BJ9765" s="201"/>
    </row>
    <row r="9766" spans="62:62" x14ac:dyDescent="0.2">
      <c r="BJ9766" s="201"/>
    </row>
    <row r="9767" spans="62:62" x14ac:dyDescent="0.2">
      <c r="BJ9767" s="201"/>
    </row>
    <row r="9768" spans="62:62" x14ac:dyDescent="0.2">
      <c r="BJ9768" s="201"/>
    </row>
    <row r="9769" spans="62:62" x14ac:dyDescent="0.2">
      <c r="BJ9769" s="201"/>
    </row>
    <row r="9770" spans="62:62" x14ac:dyDescent="0.2">
      <c r="BJ9770" s="201"/>
    </row>
    <row r="9771" spans="62:62" x14ac:dyDescent="0.2">
      <c r="BJ9771" s="201"/>
    </row>
    <row r="9772" spans="62:62" x14ac:dyDescent="0.2">
      <c r="BJ9772" s="201"/>
    </row>
    <row r="9773" spans="62:62" x14ac:dyDescent="0.2">
      <c r="BJ9773" s="201"/>
    </row>
    <row r="9774" spans="62:62" x14ac:dyDescent="0.2">
      <c r="BJ9774" s="201"/>
    </row>
    <row r="9775" spans="62:62" x14ac:dyDescent="0.2">
      <c r="BJ9775" s="201"/>
    </row>
    <row r="9776" spans="62:62" x14ac:dyDescent="0.2">
      <c r="BJ9776" s="201"/>
    </row>
    <row r="9777" spans="62:62" x14ac:dyDescent="0.2">
      <c r="BJ9777" s="201"/>
    </row>
    <row r="9778" spans="62:62" x14ac:dyDescent="0.2">
      <c r="BJ9778" s="201"/>
    </row>
    <row r="9779" spans="62:62" x14ac:dyDescent="0.2">
      <c r="BJ9779" s="201"/>
    </row>
    <row r="9780" spans="62:62" x14ac:dyDescent="0.2">
      <c r="BJ9780" s="201"/>
    </row>
    <row r="9781" spans="62:62" x14ac:dyDescent="0.2">
      <c r="BJ9781" s="201"/>
    </row>
    <row r="9782" spans="62:62" x14ac:dyDescent="0.2">
      <c r="BJ9782" s="201"/>
    </row>
    <row r="9783" spans="62:62" x14ac:dyDescent="0.2">
      <c r="BJ9783" s="201"/>
    </row>
    <row r="9784" spans="62:62" x14ac:dyDescent="0.2">
      <c r="BJ9784" s="201"/>
    </row>
    <row r="9785" spans="62:62" x14ac:dyDescent="0.2">
      <c r="BJ9785" s="201"/>
    </row>
    <row r="9786" spans="62:62" x14ac:dyDescent="0.2">
      <c r="BJ9786" s="201"/>
    </row>
    <row r="9787" spans="62:62" x14ac:dyDescent="0.2">
      <c r="BJ9787" s="201"/>
    </row>
    <row r="9788" spans="62:62" x14ac:dyDescent="0.2">
      <c r="BJ9788" s="201"/>
    </row>
    <row r="9789" spans="62:62" x14ac:dyDescent="0.2">
      <c r="BJ9789" s="201"/>
    </row>
    <row r="9790" spans="62:62" x14ac:dyDescent="0.2">
      <c r="BJ9790" s="201"/>
    </row>
    <row r="9791" spans="62:62" x14ac:dyDescent="0.2">
      <c r="BJ9791" s="201"/>
    </row>
    <row r="9792" spans="62:62" x14ac:dyDescent="0.2">
      <c r="BJ9792" s="201"/>
    </row>
    <row r="9793" spans="62:62" x14ac:dyDescent="0.2">
      <c r="BJ9793" s="201"/>
    </row>
    <row r="9794" spans="62:62" x14ac:dyDescent="0.2">
      <c r="BJ9794" s="201"/>
    </row>
    <row r="9795" spans="62:62" x14ac:dyDescent="0.2">
      <c r="BJ9795" s="201"/>
    </row>
    <row r="9796" spans="62:62" x14ac:dyDescent="0.2">
      <c r="BJ9796" s="201"/>
    </row>
    <row r="9797" spans="62:62" x14ac:dyDescent="0.2">
      <c r="BJ9797" s="201"/>
    </row>
    <row r="9798" spans="62:62" x14ac:dyDescent="0.2">
      <c r="BJ9798" s="201"/>
    </row>
    <row r="9799" spans="62:62" x14ac:dyDescent="0.2">
      <c r="BJ9799" s="201"/>
    </row>
    <row r="9800" spans="62:62" x14ac:dyDescent="0.2">
      <c r="BJ9800" s="201"/>
    </row>
    <row r="9801" spans="62:62" x14ac:dyDescent="0.2">
      <c r="BJ9801" s="201"/>
    </row>
    <row r="9802" spans="62:62" x14ac:dyDescent="0.2">
      <c r="BJ9802" s="201"/>
    </row>
    <row r="9803" spans="62:62" x14ac:dyDescent="0.2">
      <c r="BJ9803" s="201"/>
    </row>
    <row r="9804" spans="62:62" x14ac:dyDescent="0.2">
      <c r="BJ9804" s="201"/>
    </row>
    <row r="9805" spans="62:62" x14ac:dyDescent="0.2">
      <c r="BJ9805" s="201"/>
    </row>
    <row r="9806" spans="62:62" x14ac:dyDescent="0.2">
      <c r="BJ9806" s="201"/>
    </row>
    <row r="9807" spans="62:62" x14ac:dyDescent="0.2">
      <c r="BJ9807" s="201"/>
    </row>
    <row r="9808" spans="62:62" x14ac:dyDescent="0.2">
      <c r="BJ9808" s="201"/>
    </row>
    <row r="9809" spans="62:62" x14ac:dyDescent="0.2">
      <c r="BJ9809" s="201"/>
    </row>
    <row r="9810" spans="62:62" x14ac:dyDescent="0.2">
      <c r="BJ9810" s="201"/>
    </row>
    <row r="9811" spans="62:62" x14ac:dyDescent="0.2">
      <c r="BJ9811" s="201"/>
    </row>
    <row r="9812" spans="62:62" x14ac:dyDescent="0.2">
      <c r="BJ9812" s="201"/>
    </row>
    <row r="9813" spans="62:62" x14ac:dyDescent="0.2">
      <c r="BJ9813" s="201"/>
    </row>
    <row r="9814" spans="62:62" x14ac:dyDescent="0.2">
      <c r="BJ9814" s="201"/>
    </row>
    <row r="9815" spans="62:62" x14ac:dyDescent="0.2">
      <c r="BJ9815" s="201"/>
    </row>
    <row r="9816" spans="62:62" x14ac:dyDescent="0.2">
      <c r="BJ9816" s="201"/>
    </row>
    <row r="9817" spans="62:62" x14ac:dyDescent="0.2">
      <c r="BJ9817" s="201"/>
    </row>
    <row r="9818" spans="62:62" x14ac:dyDescent="0.2">
      <c r="BJ9818" s="201"/>
    </row>
    <row r="9819" spans="62:62" x14ac:dyDescent="0.2">
      <c r="BJ9819" s="201"/>
    </row>
    <row r="9820" spans="62:62" x14ac:dyDescent="0.2">
      <c r="BJ9820" s="201"/>
    </row>
    <row r="9821" spans="62:62" x14ac:dyDescent="0.2">
      <c r="BJ9821" s="201"/>
    </row>
    <row r="9822" spans="62:62" x14ac:dyDescent="0.2">
      <c r="BJ9822" s="201"/>
    </row>
    <row r="9823" spans="62:62" x14ac:dyDescent="0.2">
      <c r="BJ9823" s="201"/>
    </row>
    <row r="9824" spans="62:62" x14ac:dyDescent="0.2">
      <c r="BJ9824" s="201"/>
    </row>
    <row r="9825" spans="62:62" x14ac:dyDescent="0.2">
      <c r="BJ9825" s="201"/>
    </row>
    <row r="9826" spans="62:62" x14ac:dyDescent="0.2">
      <c r="BJ9826" s="201"/>
    </row>
    <row r="9827" spans="62:62" x14ac:dyDescent="0.2">
      <c r="BJ9827" s="201"/>
    </row>
    <row r="9828" spans="62:62" x14ac:dyDescent="0.2">
      <c r="BJ9828" s="201"/>
    </row>
    <row r="9829" spans="62:62" x14ac:dyDescent="0.2">
      <c r="BJ9829" s="201"/>
    </row>
    <row r="9830" spans="62:62" x14ac:dyDescent="0.2">
      <c r="BJ9830" s="201"/>
    </row>
    <row r="9831" spans="62:62" x14ac:dyDescent="0.2">
      <c r="BJ9831" s="201"/>
    </row>
    <row r="9832" spans="62:62" x14ac:dyDescent="0.2">
      <c r="BJ9832" s="201"/>
    </row>
    <row r="9833" spans="62:62" x14ac:dyDescent="0.2">
      <c r="BJ9833" s="201"/>
    </row>
    <row r="9834" spans="62:62" x14ac:dyDescent="0.2">
      <c r="BJ9834" s="201"/>
    </row>
    <row r="9835" spans="62:62" x14ac:dyDescent="0.2">
      <c r="BJ9835" s="201"/>
    </row>
    <row r="9836" spans="62:62" x14ac:dyDescent="0.2">
      <c r="BJ9836" s="201"/>
    </row>
    <row r="9837" spans="62:62" x14ac:dyDescent="0.2">
      <c r="BJ9837" s="201"/>
    </row>
    <row r="9838" spans="62:62" x14ac:dyDescent="0.2">
      <c r="BJ9838" s="201"/>
    </row>
    <row r="9839" spans="62:62" x14ac:dyDescent="0.2">
      <c r="BJ9839" s="201"/>
    </row>
    <row r="9840" spans="62:62" x14ac:dyDescent="0.2">
      <c r="BJ9840" s="201"/>
    </row>
    <row r="9841" spans="62:62" x14ac:dyDescent="0.2">
      <c r="BJ9841" s="201"/>
    </row>
    <row r="9842" spans="62:62" x14ac:dyDescent="0.2">
      <c r="BJ9842" s="201"/>
    </row>
    <row r="9843" spans="62:62" x14ac:dyDescent="0.2">
      <c r="BJ9843" s="201"/>
    </row>
    <row r="9844" spans="62:62" x14ac:dyDescent="0.2">
      <c r="BJ9844" s="201"/>
    </row>
    <row r="9845" spans="62:62" x14ac:dyDescent="0.2">
      <c r="BJ9845" s="201"/>
    </row>
    <row r="9846" spans="62:62" x14ac:dyDescent="0.2">
      <c r="BJ9846" s="201"/>
    </row>
    <row r="9847" spans="62:62" x14ac:dyDescent="0.2">
      <c r="BJ9847" s="201"/>
    </row>
    <row r="9848" spans="62:62" x14ac:dyDescent="0.2">
      <c r="BJ9848" s="201"/>
    </row>
    <row r="9849" spans="62:62" x14ac:dyDescent="0.2">
      <c r="BJ9849" s="201"/>
    </row>
    <row r="9850" spans="62:62" x14ac:dyDescent="0.2">
      <c r="BJ9850" s="201"/>
    </row>
    <row r="9851" spans="62:62" x14ac:dyDescent="0.2">
      <c r="BJ9851" s="201"/>
    </row>
    <row r="9852" spans="62:62" x14ac:dyDescent="0.2">
      <c r="BJ9852" s="201"/>
    </row>
    <row r="9853" spans="62:62" x14ac:dyDescent="0.2">
      <c r="BJ9853" s="201"/>
    </row>
    <row r="9854" spans="62:62" x14ac:dyDescent="0.2">
      <c r="BJ9854" s="201"/>
    </row>
    <row r="9855" spans="62:62" x14ac:dyDescent="0.2">
      <c r="BJ9855" s="201"/>
    </row>
    <row r="9856" spans="62:62" x14ac:dyDescent="0.2">
      <c r="BJ9856" s="201"/>
    </row>
    <row r="9857" spans="62:62" x14ac:dyDescent="0.2">
      <c r="BJ9857" s="201"/>
    </row>
    <row r="9858" spans="62:62" x14ac:dyDescent="0.2">
      <c r="BJ9858" s="201"/>
    </row>
    <row r="9859" spans="62:62" x14ac:dyDescent="0.2">
      <c r="BJ9859" s="201"/>
    </row>
    <row r="9860" spans="62:62" x14ac:dyDescent="0.2">
      <c r="BJ9860" s="201"/>
    </row>
    <row r="9861" spans="62:62" x14ac:dyDescent="0.2">
      <c r="BJ9861" s="201"/>
    </row>
    <row r="9862" spans="62:62" x14ac:dyDescent="0.2">
      <c r="BJ9862" s="201"/>
    </row>
    <row r="9863" spans="62:62" x14ac:dyDescent="0.2">
      <c r="BJ9863" s="201"/>
    </row>
    <row r="9864" spans="62:62" x14ac:dyDescent="0.2">
      <c r="BJ9864" s="201"/>
    </row>
    <row r="9865" spans="62:62" x14ac:dyDescent="0.2">
      <c r="BJ9865" s="201"/>
    </row>
    <row r="9866" spans="62:62" x14ac:dyDescent="0.2">
      <c r="BJ9866" s="201"/>
    </row>
    <row r="9867" spans="62:62" x14ac:dyDescent="0.2">
      <c r="BJ9867" s="201"/>
    </row>
    <row r="9868" spans="62:62" x14ac:dyDescent="0.2">
      <c r="BJ9868" s="201"/>
    </row>
    <row r="9869" spans="62:62" x14ac:dyDescent="0.2">
      <c r="BJ9869" s="201"/>
    </row>
    <row r="9870" spans="62:62" x14ac:dyDescent="0.2">
      <c r="BJ9870" s="201"/>
    </row>
    <row r="9871" spans="62:62" x14ac:dyDescent="0.2">
      <c r="BJ9871" s="201"/>
    </row>
    <row r="9872" spans="62:62" x14ac:dyDescent="0.2">
      <c r="BJ9872" s="201"/>
    </row>
    <row r="9873" spans="62:62" x14ac:dyDescent="0.2">
      <c r="BJ9873" s="201"/>
    </row>
    <row r="9874" spans="62:62" x14ac:dyDescent="0.2">
      <c r="BJ9874" s="201"/>
    </row>
    <row r="9875" spans="62:62" x14ac:dyDescent="0.2">
      <c r="BJ9875" s="201"/>
    </row>
    <row r="9876" spans="62:62" x14ac:dyDescent="0.2">
      <c r="BJ9876" s="201"/>
    </row>
    <row r="9877" spans="62:62" x14ac:dyDescent="0.2">
      <c r="BJ9877" s="201"/>
    </row>
    <row r="9878" spans="62:62" x14ac:dyDescent="0.2">
      <c r="BJ9878" s="201"/>
    </row>
    <row r="9879" spans="62:62" x14ac:dyDescent="0.2">
      <c r="BJ9879" s="201"/>
    </row>
    <row r="9880" spans="62:62" x14ac:dyDescent="0.2">
      <c r="BJ9880" s="201"/>
    </row>
    <row r="9881" spans="62:62" x14ac:dyDescent="0.2">
      <c r="BJ9881" s="201"/>
    </row>
    <row r="9882" spans="62:62" x14ac:dyDescent="0.2">
      <c r="BJ9882" s="201"/>
    </row>
    <row r="9883" spans="62:62" x14ac:dyDescent="0.2">
      <c r="BJ9883" s="201"/>
    </row>
    <row r="9884" spans="62:62" x14ac:dyDescent="0.2">
      <c r="BJ9884" s="201"/>
    </row>
    <row r="9885" spans="62:62" x14ac:dyDescent="0.2">
      <c r="BJ9885" s="201"/>
    </row>
    <row r="9886" spans="62:62" x14ac:dyDescent="0.2">
      <c r="BJ9886" s="201"/>
    </row>
    <row r="9887" spans="62:62" x14ac:dyDescent="0.2">
      <c r="BJ9887" s="201"/>
    </row>
    <row r="9888" spans="62:62" x14ac:dyDescent="0.2">
      <c r="BJ9888" s="201"/>
    </row>
    <row r="9889" spans="62:62" x14ac:dyDescent="0.2">
      <c r="BJ9889" s="201"/>
    </row>
    <row r="9890" spans="62:62" x14ac:dyDescent="0.2">
      <c r="BJ9890" s="201"/>
    </row>
    <row r="9891" spans="62:62" x14ac:dyDescent="0.2">
      <c r="BJ9891" s="201"/>
    </row>
    <row r="9892" spans="62:62" x14ac:dyDescent="0.2">
      <c r="BJ9892" s="201"/>
    </row>
    <row r="9893" spans="62:62" x14ac:dyDescent="0.2">
      <c r="BJ9893" s="201"/>
    </row>
    <row r="9894" spans="62:62" x14ac:dyDescent="0.2">
      <c r="BJ9894" s="201"/>
    </row>
    <row r="9895" spans="62:62" x14ac:dyDescent="0.2">
      <c r="BJ9895" s="201"/>
    </row>
    <row r="9896" spans="62:62" x14ac:dyDescent="0.2">
      <c r="BJ9896" s="201"/>
    </row>
    <row r="9897" spans="62:62" x14ac:dyDescent="0.2">
      <c r="BJ9897" s="201"/>
    </row>
    <row r="9898" spans="62:62" x14ac:dyDescent="0.2">
      <c r="BJ9898" s="201"/>
    </row>
    <row r="9899" spans="62:62" x14ac:dyDescent="0.2">
      <c r="BJ9899" s="201"/>
    </row>
    <row r="9900" spans="62:62" x14ac:dyDescent="0.2">
      <c r="BJ9900" s="201"/>
    </row>
    <row r="9901" spans="62:62" x14ac:dyDescent="0.2">
      <c r="BJ9901" s="201"/>
    </row>
    <row r="9902" spans="62:62" x14ac:dyDescent="0.2">
      <c r="BJ9902" s="201"/>
    </row>
    <row r="9903" spans="62:62" x14ac:dyDescent="0.2">
      <c r="BJ9903" s="201"/>
    </row>
    <row r="9904" spans="62:62" x14ac:dyDescent="0.2">
      <c r="BJ9904" s="201"/>
    </row>
    <row r="9905" spans="62:62" x14ac:dyDescent="0.2">
      <c r="BJ9905" s="201"/>
    </row>
    <row r="9906" spans="62:62" x14ac:dyDescent="0.2">
      <c r="BJ9906" s="201"/>
    </row>
    <row r="9907" spans="62:62" x14ac:dyDescent="0.2">
      <c r="BJ9907" s="201"/>
    </row>
    <row r="9908" spans="62:62" x14ac:dyDescent="0.2">
      <c r="BJ9908" s="201"/>
    </row>
    <row r="9909" spans="62:62" x14ac:dyDescent="0.2">
      <c r="BJ9909" s="201"/>
    </row>
    <row r="9910" spans="62:62" x14ac:dyDescent="0.2">
      <c r="BJ9910" s="201"/>
    </row>
    <row r="9911" spans="62:62" x14ac:dyDescent="0.2">
      <c r="BJ9911" s="201"/>
    </row>
    <row r="9912" spans="62:62" x14ac:dyDescent="0.2">
      <c r="BJ9912" s="201"/>
    </row>
    <row r="9913" spans="62:62" x14ac:dyDescent="0.2">
      <c r="BJ9913" s="201"/>
    </row>
    <row r="9914" spans="62:62" x14ac:dyDescent="0.2">
      <c r="BJ9914" s="201"/>
    </row>
    <row r="9915" spans="62:62" x14ac:dyDescent="0.2">
      <c r="BJ9915" s="201"/>
    </row>
    <row r="9916" spans="62:62" x14ac:dyDescent="0.2">
      <c r="BJ9916" s="201"/>
    </row>
    <row r="9917" spans="62:62" x14ac:dyDescent="0.2">
      <c r="BJ9917" s="201"/>
    </row>
    <row r="9918" spans="62:62" x14ac:dyDescent="0.2">
      <c r="BJ9918" s="201"/>
    </row>
    <row r="9919" spans="62:62" x14ac:dyDescent="0.2">
      <c r="BJ9919" s="201"/>
    </row>
    <row r="9920" spans="62:62" x14ac:dyDescent="0.2">
      <c r="BJ9920" s="201"/>
    </row>
    <row r="9921" spans="62:62" x14ac:dyDescent="0.2">
      <c r="BJ9921" s="201"/>
    </row>
    <row r="9922" spans="62:62" x14ac:dyDescent="0.2">
      <c r="BJ9922" s="201"/>
    </row>
    <row r="9923" spans="62:62" x14ac:dyDescent="0.2">
      <c r="BJ9923" s="201"/>
    </row>
    <row r="9924" spans="62:62" x14ac:dyDescent="0.2">
      <c r="BJ9924" s="201"/>
    </row>
    <row r="9925" spans="62:62" x14ac:dyDescent="0.2">
      <c r="BJ9925" s="201"/>
    </row>
    <row r="9926" spans="62:62" x14ac:dyDescent="0.2">
      <c r="BJ9926" s="201"/>
    </row>
    <row r="9927" spans="62:62" x14ac:dyDescent="0.2">
      <c r="BJ9927" s="201"/>
    </row>
    <row r="9928" spans="62:62" x14ac:dyDescent="0.2">
      <c r="BJ9928" s="201"/>
    </row>
    <row r="9929" spans="62:62" x14ac:dyDescent="0.2">
      <c r="BJ9929" s="201"/>
    </row>
    <row r="9930" spans="62:62" x14ac:dyDescent="0.2">
      <c r="BJ9930" s="201"/>
    </row>
    <row r="9931" spans="62:62" x14ac:dyDescent="0.2">
      <c r="BJ9931" s="201"/>
    </row>
    <row r="9932" spans="62:62" x14ac:dyDescent="0.2">
      <c r="BJ9932" s="201"/>
    </row>
    <row r="9933" spans="62:62" x14ac:dyDescent="0.2">
      <c r="BJ9933" s="201"/>
    </row>
    <row r="9934" spans="62:62" x14ac:dyDescent="0.2">
      <c r="BJ9934" s="201"/>
    </row>
    <row r="9935" spans="62:62" x14ac:dyDescent="0.2">
      <c r="BJ9935" s="201"/>
    </row>
    <row r="9936" spans="62:62" x14ac:dyDescent="0.2">
      <c r="BJ9936" s="201"/>
    </row>
    <row r="9937" spans="62:62" x14ac:dyDescent="0.2">
      <c r="BJ9937" s="201"/>
    </row>
    <row r="9938" spans="62:62" x14ac:dyDescent="0.2">
      <c r="BJ9938" s="201"/>
    </row>
    <row r="9939" spans="62:62" x14ac:dyDescent="0.2">
      <c r="BJ9939" s="201"/>
    </row>
    <row r="9940" spans="62:62" x14ac:dyDescent="0.2">
      <c r="BJ9940" s="201"/>
    </row>
    <row r="9941" spans="62:62" x14ac:dyDescent="0.2">
      <c r="BJ9941" s="201"/>
    </row>
    <row r="9942" spans="62:62" x14ac:dyDescent="0.2">
      <c r="BJ9942" s="201"/>
    </row>
    <row r="9943" spans="62:62" x14ac:dyDescent="0.2">
      <c r="BJ9943" s="201"/>
    </row>
    <row r="9944" spans="62:62" x14ac:dyDescent="0.2">
      <c r="BJ9944" s="201"/>
    </row>
    <row r="9945" spans="62:62" x14ac:dyDescent="0.2">
      <c r="BJ9945" s="201"/>
    </row>
    <row r="9946" spans="62:62" x14ac:dyDescent="0.2">
      <c r="BJ9946" s="201"/>
    </row>
    <row r="9947" spans="62:62" x14ac:dyDescent="0.2">
      <c r="BJ9947" s="201"/>
    </row>
    <row r="9948" spans="62:62" x14ac:dyDescent="0.2">
      <c r="BJ9948" s="201"/>
    </row>
    <row r="9949" spans="62:62" x14ac:dyDescent="0.2">
      <c r="BJ9949" s="201"/>
    </row>
    <row r="9950" spans="62:62" x14ac:dyDescent="0.2">
      <c r="BJ9950" s="201"/>
    </row>
    <row r="9951" spans="62:62" x14ac:dyDescent="0.2">
      <c r="BJ9951" s="201"/>
    </row>
    <row r="9952" spans="62:62" x14ac:dyDescent="0.2">
      <c r="BJ9952" s="201"/>
    </row>
    <row r="9953" spans="62:62" x14ac:dyDescent="0.2">
      <c r="BJ9953" s="201"/>
    </row>
    <row r="9954" spans="62:62" x14ac:dyDescent="0.2">
      <c r="BJ9954" s="201"/>
    </row>
    <row r="9955" spans="62:62" x14ac:dyDescent="0.2">
      <c r="BJ9955" s="201"/>
    </row>
    <row r="9956" spans="62:62" x14ac:dyDescent="0.2">
      <c r="BJ9956" s="201"/>
    </row>
    <row r="9957" spans="62:62" x14ac:dyDescent="0.2">
      <c r="BJ9957" s="201"/>
    </row>
    <row r="9958" spans="62:62" x14ac:dyDescent="0.2">
      <c r="BJ9958" s="201"/>
    </row>
    <row r="9959" spans="62:62" x14ac:dyDescent="0.2">
      <c r="BJ9959" s="201"/>
    </row>
    <row r="9960" spans="62:62" x14ac:dyDescent="0.2">
      <c r="BJ9960" s="201"/>
    </row>
    <row r="9961" spans="62:62" x14ac:dyDescent="0.2">
      <c r="BJ9961" s="201"/>
    </row>
    <row r="9962" spans="62:62" x14ac:dyDescent="0.2">
      <c r="BJ9962" s="201"/>
    </row>
    <row r="9963" spans="62:62" x14ac:dyDescent="0.2">
      <c r="BJ9963" s="201"/>
    </row>
    <row r="9964" spans="62:62" x14ac:dyDescent="0.2">
      <c r="BJ9964" s="201"/>
    </row>
    <row r="9965" spans="62:62" x14ac:dyDescent="0.2">
      <c r="BJ9965" s="201"/>
    </row>
    <row r="9966" spans="62:62" x14ac:dyDescent="0.2">
      <c r="BJ9966" s="201"/>
    </row>
    <row r="9967" spans="62:62" x14ac:dyDescent="0.2">
      <c r="BJ9967" s="201"/>
    </row>
    <row r="9968" spans="62:62" x14ac:dyDescent="0.2">
      <c r="BJ9968" s="201"/>
    </row>
    <row r="9969" spans="62:62" x14ac:dyDescent="0.2">
      <c r="BJ9969" s="201"/>
    </row>
    <row r="9970" spans="62:62" x14ac:dyDescent="0.2">
      <c r="BJ9970" s="201"/>
    </row>
    <row r="9971" spans="62:62" x14ac:dyDescent="0.2">
      <c r="BJ9971" s="201"/>
    </row>
    <row r="9972" spans="62:62" x14ac:dyDescent="0.2">
      <c r="BJ9972" s="201"/>
    </row>
    <row r="9973" spans="62:62" x14ac:dyDescent="0.2">
      <c r="BJ9973" s="201"/>
    </row>
    <row r="9974" spans="62:62" x14ac:dyDescent="0.2">
      <c r="BJ9974" s="201"/>
    </row>
    <row r="9975" spans="62:62" x14ac:dyDescent="0.2">
      <c r="BJ9975" s="201"/>
    </row>
    <row r="9976" spans="62:62" x14ac:dyDescent="0.2">
      <c r="BJ9976" s="201"/>
    </row>
    <row r="9977" spans="62:62" x14ac:dyDescent="0.2">
      <c r="BJ9977" s="201"/>
    </row>
    <row r="9978" spans="62:62" x14ac:dyDescent="0.2">
      <c r="BJ9978" s="201"/>
    </row>
    <row r="9979" spans="62:62" x14ac:dyDescent="0.2">
      <c r="BJ9979" s="201"/>
    </row>
    <row r="9980" spans="62:62" x14ac:dyDescent="0.2">
      <c r="BJ9980" s="201"/>
    </row>
    <row r="9981" spans="62:62" x14ac:dyDescent="0.2">
      <c r="BJ9981" s="201"/>
    </row>
    <row r="9982" spans="62:62" x14ac:dyDescent="0.2">
      <c r="BJ9982" s="201"/>
    </row>
    <row r="9983" spans="62:62" x14ac:dyDescent="0.2">
      <c r="BJ9983" s="201"/>
    </row>
    <row r="9984" spans="62:62" x14ac:dyDescent="0.2">
      <c r="BJ9984" s="201"/>
    </row>
    <row r="9985" spans="62:62" x14ac:dyDescent="0.2">
      <c r="BJ9985" s="201"/>
    </row>
    <row r="9986" spans="62:62" x14ac:dyDescent="0.2">
      <c r="BJ9986" s="201"/>
    </row>
    <row r="9987" spans="62:62" x14ac:dyDescent="0.2">
      <c r="BJ9987" s="201"/>
    </row>
    <row r="9988" spans="62:62" x14ac:dyDescent="0.2">
      <c r="BJ9988" s="201"/>
    </row>
    <row r="9989" spans="62:62" x14ac:dyDescent="0.2">
      <c r="BJ9989" s="201"/>
    </row>
    <row r="9990" spans="62:62" x14ac:dyDescent="0.2">
      <c r="BJ9990" s="201"/>
    </row>
    <row r="9991" spans="62:62" x14ac:dyDescent="0.2">
      <c r="BJ9991" s="201"/>
    </row>
    <row r="9992" spans="62:62" x14ac:dyDescent="0.2">
      <c r="BJ9992" s="201"/>
    </row>
    <row r="9993" spans="62:62" x14ac:dyDescent="0.2">
      <c r="BJ9993" s="201"/>
    </row>
    <row r="9994" spans="62:62" x14ac:dyDescent="0.2">
      <c r="BJ9994" s="201"/>
    </row>
    <row r="9995" spans="62:62" x14ac:dyDescent="0.2">
      <c r="BJ9995" s="201"/>
    </row>
    <row r="9996" spans="62:62" x14ac:dyDescent="0.2">
      <c r="BJ9996" s="201"/>
    </row>
    <row r="9997" spans="62:62" x14ac:dyDescent="0.2">
      <c r="BJ9997" s="201"/>
    </row>
    <row r="9998" spans="62:62" x14ac:dyDescent="0.2">
      <c r="BJ9998" s="201"/>
    </row>
    <row r="9999" spans="62:62" x14ac:dyDescent="0.2">
      <c r="BJ9999" s="201"/>
    </row>
    <row r="10000" spans="62:62" x14ac:dyDescent="0.2">
      <c r="BJ10000" s="201"/>
    </row>
    <row r="10001" spans="62:62" x14ac:dyDescent="0.2">
      <c r="BJ10001" s="201"/>
    </row>
    <row r="10002" spans="62:62" x14ac:dyDescent="0.2">
      <c r="BJ10002" s="201"/>
    </row>
    <row r="10003" spans="62:62" x14ac:dyDescent="0.2">
      <c r="BJ10003" s="201"/>
    </row>
    <row r="10004" spans="62:62" x14ac:dyDescent="0.2">
      <c r="BJ10004" s="201"/>
    </row>
    <row r="10005" spans="62:62" x14ac:dyDescent="0.2">
      <c r="BJ10005" s="201"/>
    </row>
    <row r="10006" spans="62:62" x14ac:dyDescent="0.2">
      <c r="BJ10006" s="201"/>
    </row>
    <row r="10007" spans="62:62" x14ac:dyDescent="0.2">
      <c r="BJ10007" s="201"/>
    </row>
    <row r="10008" spans="62:62" x14ac:dyDescent="0.2">
      <c r="BJ10008" s="201"/>
    </row>
    <row r="10009" spans="62:62" x14ac:dyDescent="0.2">
      <c r="BJ10009" s="201"/>
    </row>
    <row r="10010" spans="62:62" x14ac:dyDescent="0.2">
      <c r="BJ10010" s="201"/>
    </row>
    <row r="10011" spans="62:62" x14ac:dyDescent="0.2">
      <c r="BJ10011" s="201"/>
    </row>
    <row r="10012" spans="62:62" x14ac:dyDescent="0.2">
      <c r="BJ10012" s="201"/>
    </row>
    <row r="10013" spans="62:62" x14ac:dyDescent="0.2">
      <c r="BJ10013" s="201"/>
    </row>
    <row r="10014" spans="62:62" x14ac:dyDescent="0.2">
      <c r="BJ10014" s="201"/>
    </row>
    <row r="10015" spans="62:62" x14ac:dyDescent="0.2">
      <c r="BJ10015" s="201"/>
    </row>
    <row r="10016" spans="62:62" x14ac:dyDescent="0.2">
      <c r="BJ10016" s="201"/>
    </row>
    <row r="10017" spans="62:62" x14ac:dyDescent="0.2">
      <c r="BJ10017" s="201"/>
    </row>
    <row r="10018" spans="62:62" x14ac:dyDescent="0.2">
      <c r="BJ10018" s="201"/>
    </row>
    <row r="10019" spans="62:62" x14ac:dyDescent="0.2">
      <c r="BJ10019" s="201"/>
    </row>
    <row r="10020" spans="62:62" x14ac:dyDescent="0.2">
      <c r="BJ10020" s="201"/>
    </row>
    <row r="10021" spans="62:62" x14ac:dyDescent="0.2">
      <c r="BJ10021" s="201"/>
    </row>
    <row r="10022" spans="62:62" x14ac:dyDescent="0.2">
      <c r="BJ10022" s="201"/>
    </row>
    <row r="10023" spans="62:62" x14ac:dyDescent="0.2">
      <c r="BJ10023" s="201"/>
    </row>
    <row r="10024" spans="62:62" x14ac:dyDescent="0.2">
      <c r="BJ10024" s="201"/>
    </row>
    <row r="10025" spans="62:62" x14ac:dyDescent="0.2">
      <c r="BJ10025" s="201"/>
    </row>
    <row r="10026" spans="62:62" x14ac:dyDescent="0.2">
      <c r="BJ10026" s="201"/>
    </row>
    <row r="10027" spans="62:62" x14ac:dyDescent="0.2">
      <c r="BJ10027" s="201"/>
    </row>
    <row r="10028" spans="62:62" x14ac:dyDescent="0.2">
      <c r="BJ10028" s="201"/>
    </row>
    <row r="10029" spans="62:62" x14ac:dyDescent="0.2">
      <c r="BJ10029" s="201"/>
    </row>
    <row r="10030" spans="62:62" x14ac:dyDescent="0.2">
      <c r="BJ10030" s="201"/>
    </row>
    <row r="10031" spans="62:62" x14ac:dyDescent="0.2">
      <c r="BJ10031" s="201"/>
    </row>
    <row r="10032" spans="62:62" x14ac:dyDescent="0.2">
      <c r="BJ10032" s="201"/>
    </row>
    <row r="10033" spans="62:62" x14ac:dyDescent="0.2">
      <c r="BJ10033" s="201"/>
    </row>
    <row r="10034" spans="62:62" x14ac:dyDescent="0.2">
      <c r="BJ10034" s="201"/>
    </row>
    <row r="10035" spans="62:62" x14ac:dyDescent="0.2">
      <c r="BJ10035" s="201"/>
    </row>
    <row r="10036" spans="62:62" x14ac:dyDescent="0.2">
      <c r="BJ10036" s="201"/>
    </row>
    <row r="10037" spans="62:62" x14ac:dyDescent="0.2">
      <c r="BJ10037" s="201"/>
    </row>
    <row r="10038" spans="62:62" x14ac:dyDescent="0.2">
      <c r="BJ10038" s="201"/>
    </row>
    <row r="10039" spans="62:62" x14ac:dyDescent="0.2">
      <c r="BJ10039" s="201"/>
    </row>
    <row r="10040" spans="62:62" x14ac:dyDescent="0.2">
      <c r="BJ10040" s="201"/>
    </row>
    <row r="10041" spans="62:62" x14ac:dyDescent="0.2">
      <c r="BJ10041" s="201"/>
    </row>
    <row r="10042" spans="62:62" x14ac:dyDescent="0.2">
      <c r="BJ10042" s="201"/>
    </row>
    <row r="10043" spans="62:62" x14ac:dyDescent="0.2">
      <c r="BJ10043" s="201"/>
    </row>
    <row r="10044" spans="62:62" x14ac:dyDescent="0.2">
      <c r="BJ10044" s="201"/>
    </row>
    <row r="10045" spans="62:62" x14ac:dyDescent="0.2">
      <c r="BJ10045" s="201"/>
    </row>
    <row r="10046" spans="62:62" x14ac:dyDescent="0.2">
      <c r="BJ10046" s="201"/>
    </row>
    <row r="10047" spans="62:62" x14ac:dyDescent="0.2">
      <c r="BJ10047" s="201"/>
    </row>
    <row r="10048" spans="62:62" x14ac:dyDescent="0.2">
      <c r="BJ10048" s="201"/>
    </row>
    <row r="10049" spans="62:62" x14ac:dyDescent="0.2">
      <c r="BJ10049" s="201"/>
    </row>
    <row r="10050" spans="62:62" x14ac:dyDescent="0.2">
      <c r="BJ10050" s="201"/>
    </row>
    <row r="10051" spans="62:62" x14ac:dyDescent="0.2">
      <c r="BJ10051" s="201"/>
    </row>
    <row r="10052" spans="62:62" x14ac:dyDescent="0.2">
      <c r="BJ10052" s="201"/>
    </row>
    <row r="10053" spans="62:62" x14ac:dyDescent="0.2">
      <c r="BJ10053" s="201"/>
    </row>
    <row r="10054" spans="62:62" x14ac:dyDescent="0.2">
      <c r="BJ10054" s="201"/>
    </row>
    <row r="10055" spans="62:62" x14ac:dyDescent="0.2">
      <c r="BJ10055" s="201"/>
    </row>
    <row r="10056" spans="62:62" x14ac:dyDescent="0.2">
      <c r="BJ10056" s="201"/>
    </row>
    <row r="10057" spans="62:62" x14ac:dyDescent="0.2">
      <c r="BJ10057" s="201"/>
    </row>
    <row r="10058" spans="62:62" x14ac:dyDescent="0.2">
      <c r="BJ10058" s="201"/>
    </row>
    <row r="10059" spans="62:62" x14ac:dyDescent="0.2">
      <c r="BJ10059" s="201"/>
    </row>
    <row r="10060" spans="62:62" x14ac:dyDescent="0.2">
      <c r="BJ10060" s="201"/>
    </row>
    <row r="10061" spans="62:62" x14ac:dyDescent="0.2">
      <c r="BJ10061" s="201"/>
    </row>
    <row r="10062" spans="62:62" x14ac:dyDescent="0.2">
      <c r="BJ10062" s="201"/>
    </row>
    <row r="10063" spans="62:62" x14ac:dyDescent="0.2">
      <c r="BJ10063" s="201"/>
    </row>
    <row r="10064" spans="62:62" x14ac:dyDescent="0.2">
      <c r="BJ10064" s="201"/>
    </row>
    <row r="10065" spans="62:62" x14ac:dyDescent="0.2">
      <c r="BJ10065" s="201"/>
    </row>
    <row r="10066" spans="62:62" x14ac:dyDescent="0.2">
      <c r="BJ10066" s="201"/>
    </row>
    <row r="10067" spans="62:62" x14ac:dyDescent="0.2">
      <c r="BJ10067" s="201"/>
    </row>
    <row r="10068" spans="62:62" x14ac:dyDescent="0.2">
      <c r="BJ10068" s="201"/>
    </row>
    <row r="10069" spans="62:62" x14ac:dyDescent="0.2">
      <c r="BJ10069" s="201"/>
    </row>
    <row r="10070" spans="62:62" x14ac:dyDescent="0.2">
      <c r="BJ10070" s="201"/>
    </row>
    <row r="10071" spans="62:62" x14ac:dyDescent="0.2">
      <c r="BJ10071" s="201"/>
    </row>
    <row r="10072" spans="62:62" x14ac:dyDescent="0.2">
      <c r="BJ10072" s="201"/>
    </row>
    <row r="10073" spans="62:62" x14ac:dyDescent="0.2">
      <c r="BJ10073" s="201"/>
    </row>
    <row r="10074" spans="62:62" x14ac:dyDescent="0.2">
      <c r="BJ10074" s="201"/>
    </row>
    <row r="10075" spans="62:62" x14ac:dyDescent="0.2">
      <c r="BJ10075" s="201"/>
    </row>
    <row r="10076" spans="62:62" x14ac:dyDescent="0.2">
      <c r="BJ10076" s="201"/>
    </row>
    <row r="10077" spans="62:62" x14ac:dyDescent="0.2">
      <c r="BJ10077" s="201"/>
    </row>
    <row r="10078" spans="62:62" x14ac:dyDescent="0.2">
      <c r="BJ10078" s="201"/>
    </row>
    <row r="10079" spans="62:62" x14ac:dyDescent="0.2">
      <c r="BJ10079" s="201"/>
    </row>
    <row r="10080" spans="62:62" x14ac:dyDescent="0.2">
      <c r="BJ10080" s="201"/>
    </row>
    <row r="10081" spans="62:62" x14ac:dyDescent="0.2">
      <c r="BJ10081" s="201"/>
    </row>
    <row r="10082" spans="62:62" x14ac:dyDescent="0.2">
      <c r="BJ10082" s="201"/>
    </row>
    <row r="10083" spans="62:62" x14ac:dyDescent="0.2">
      <c r="BJ10083" s="201"/>
    </row>
    <row r="10084" spans="62:62" x14ac:dyDescent="0.2">
      <c r="BJ10084" s="201"/>
    </row>
    <row r="10085" spans="62:62" x14ac:dyDescent="0.2">
      <c r="BJ10085" s="201"/>
    </row>
    <row r="10086" spans="62:62" x14ac:dyDescent="0.2">
      <c r="BJ10086" s="201"/>
    </row>
    <row r="10087" spans="62:62" x14ac:dyDescent="0.2">
      <c r="BJ10087" s="201"/>
    </row>
    <row r="10088" spans="62:62" x14ac:dyDescent="0.2">
      <c r="BJ10088" s="201"/>
    </row>
    <row r="10089" spans="62:62" x14ac:dyDescent="0.2">
      <c r="BJ10089" s="201"/>
    </row>
    <row r="10090" spans="62:62" x14ac:dyDescent="0.2">
      <c r="BJ10090" s="201"/>
    </row>
    <row r="10091" spans="62:62" x14ac:dyDescent="0.2">
      <c r="BJ10091" s="201"/>
    </row>
    <row r="10092" spans="62:62" x14ac:dyDescent="0.2">
      <c r="BJ10092" s="201"/>
    </row>
    <row r="10093" spans="62:62" x14ac:dyDescent="0.2">
      <c r="BJ10093" s="201"/>
    </row>
    <row r="10094" spans="62:62" x14ac:dyDescent="0.2">
      <c r="BJ10094" s="201"/>
    </row>
    <row r="10095" spans="62:62" x14ac:dyDescent="0.2">
      <c r="BJ10095" s="201"/>
    </row>
    <row r="10096" spans="62:62" x14ac:dyDescent="0.2">
      <c r="BJ10096" s="201"/>
    </row>
    <row r="10097" spans="62:62" x14ac:dyDescent="0.2">
      <c r="BJ10097" s="201"/>
    </row>
    <row r="10098" spans="62:62" x14ac:dyDescent="0.2">
      <c r="BJ10098" s="201"/>
    </row>
    <row r="10099" spans="62:62" x14ac:dyDescent="0.2">
      <c r="BJ10099" s="201"/>
    </row>
    <row r="10100" spans="62:62" x14ac:dyDescent="0.2">
      <c r="BJ10100" s="201"/>
    </row>
    <row r="10101" spans="62:62" x14ac:dyDescent="0.2">
      <c r="BJ10101" s="201"/>
    </row>
    <row r="10102" spans="62:62" x14ac:dyDescent="0.2">
      <c r="BJ10102" s="201"/>
    </row>
    <row r="10103" spans="62:62" x14ac:dyDescent="0.2">
      <c r="BJ10103" s="201"/>
    </row>
    <row r="10104" spans="62:62" x14ac:dyDescent="0.2">
      <c r="BJ10104" s="201"/>
    </row>
    <row r="10105" spans="62:62" x14ac:dyDescent="0.2">
      <c r="BJ10105" s="201"/>
    </row>
    <row r="10106" spans="62:62" x14ac:dyDescent="0.2">
      <c r="BJ10106" s="201"/>
    </row>
    <row r="10107" spans="62:62" x14ac:dyDescent="0.2">
      <c r="BJ10107" s="201"/>
    </row>
    <row r="10108" spans="62:62" x14ac:dyDescent="0.2">
      <c r="BJ10108" s="201"/>
    </row>
    <row r="10109" spans="62:62" x14ac:dyDescent="0.2">
      <c r="BJ10109" s="201"/>
    </row>
    <row r="10110" spans="62:62" x14ac:dyDescent="0.2">
      <c r="BJ10110" s="201"/>
    </row>
    <row r="10111" spans="62:62" x14ac:dyDescent="0.2">
      <c r="BJ10111" s="201"/>
    </row>
    <row r="10112" spans="62:62" x14ac:dyDescent="0.2">
      <c r="BJ10112" s="201"/>
    </row>
    <row r="10113" spans="62:62" x14ac:dyDescent="0.2">
      <c r="BJ10113" s="201"/>
    </row>
    <row r="10114" spans="62:62" x14ac:dyDescent="0.2">
      <c r="BJ10114" s="201"/>
    </row>
    <row r="10115" spans="62:62" x14ac:dyDescent="0.2">
      <c r="BJ10115" s="201"/>
    </row>
    <row r="10116" spans="62:62" x14ac:dyDescent="0.2">
      <c r="BJ10116" s="201"/>
    </row>
    <row r="10117" spans="62:62" x14ac:dyDescent="0.2">
      <c r="BJ10117" s="201"/>
    </row>
    <row r="10118" spans="62:62" x14ac:dyDescent="0.2">
      <c r="BJ10118" s="201"/>
    </row>
    <row r="10119" spans="62:62" x14ac:dyDescent="0.2">
      <c r="BJ10119" s="201"/>
    </row>
    <row r="10120" spans="62:62" x14ac:dyDescent="0.2">
      <c r="BJ10120" s="201"/>
    </row>
    <row r="10121" spans="62:62" x14ac:dyDescent="0.2">
      <c r="BJ10121" s="201"/>
    </row>
    <row r="10122" spans="62:62" x14ac:dyDescent="0.2">
      <c r="BJ10122" s="201"/>
    </row>
    <row r="10123" spans="62:62" x14ac:dyDescent="0.2">
      <c r="BJ10123" s="201"/>
    </row>
    <row r="10124" spans="62:62" x14ac:dyDescent="0.2">
      <c r="BJ10124" s="201"/>
    </row>
    <row r="10125" spans="62:62" x14ac:dyDescent="0.2">
      <c r="BJ10125" s="201"/>
    </row>
    <row r="10126" spans="62:62" x14ac:dyDescent="0.2">
      <c r="BJ10126" s="201"/>
    </row>
    <row r="10127" spans="62:62" x14ac:dyDescent="0.2">
      <c r="BJ10127" s="201"/>
    </row>
    <row r="10128" spans="62:62" x14ac:dyDescent="0.2">
      <c r="BJ10128" s="201"/>
    </row>
    <row r="10129" spans="62:62" x14ac:dyDescent="0.2">
      <c r="BJ10129" s="201"/>
    </row>
    <row r="10130" spans="62:62" x14ac:dyDescent="0.2">
      <c r="BJ10130" s="201"/>
    </row>
    <row r="10131" spans="62:62" x14ac:dyDescent="0.2">
      <c r="BJ10131" s="201"/>
    </row>
    <row r="10132" spans="62:62" x14ac:dyDescent="0.2">
      <c r="BJ10132" s="201"/>
    </row>
    <row r="10133" spans="62:62" x14ac:dyDescent="0.2">
      <c r="BJ10133" s="201"/>
    </row>
    <row r="10134" spans="62:62" x14ac:dyDescent="0.2">
      <c r="BJ10134" s="201"/>
    </row>
    <row r="10135" spans="62:62" x14ac:dyDescent="0.2">
      <c r="BJ10135" s="201"/>
    </row>
    <row r="10136" spans="62:62" x14ac:dyDescent="0.2">
      <c r="BJ10136" s="201"/>
    </row>
    <row r="10137" spans="62:62" x14ac:dyDescent="0.2">
      <c r="BJ10137" s="201"/>
    </row>
    <row r="10138" spans="62:62" x14ac:dyDescent="0.2">
      <c r="BJ10138" s="201"/>
    </row>
    <row r="10139" spans="62:62" x14ac:dyDescent="0.2">
      <c r="BJ10139" s="201"/>
    </row>
    <row r="10140" spans="62:62" x14ac:dyDescent="0.2">
      <c r="BJ10140" s="201"/>
    </row>
    <row r="10141" spans="62:62" x14ac:dyDescent="0.2">
      <c r="BJ10141" s="201"/>
    </row>
    <row r="10142" spans="62:62" x14ac:dyDescent="0.2">
      <c r="BJ10142" s="201"/>
    </row>
    <row r="10143" spans="62:62" x14ac:dyDescent="0.2">
      <c r="BJ10143" s="201"/>
    </row>
    <row r="10144" spans="62:62" x14ac:dyDescent="0.2">
      <c r="BJ10144" s="201"/>
    </row>
    <row r="10145" spans="62:62" x14ac:dyDescent="0.2">
      <c r="BJ10145" s="201"/>
    </row>
    <row r="10146" spans="62:62" x14ac:dyDescent="0.2">
      <c r="BJ10146" s="201"/>
    </row>
    <row r="10147" spans="62:62" x14ac:dyDescent="0.2">
      <c r="BJ10147" s="201"/>
    </row>
    <row r="10148" spans="62:62" x14ac:dyDescent="0.2">
      <c r="BJ10148" s="201"/>
    </row>
    <row r="10149" spans="62:62" x14ac:dyDescent="0.2">
      <c r="BJ10149" s="201"/>
    </row>
    <row r="10150" spans="62:62" x14ac:dyDescent="0.2">
      <c r="BJ10150" s="201"/>
    </row>
    <row r="10151" spans="62:62" x14ac:dyDescent="0.2">
      <c r="BJ10151" s="201"/>
    </row>
    <row r="10152" spans="62:62" x14ac:dyDescent="0.2">
      <c r="BJ10152" s="201"/>
    </row>
    <row r="10153" spans="62:62" x14ac:dyDescent="0.2">
      <c r="BJ10153" s="201"/>
    </row>
    <row r="10154" spans="62:62" x14ac:dyDescent="0.2">
      <c r="BJ10154" s="201"/>
    </row>
    <row r="10155" spans="62:62" x14ac:dyDescent="0.2">
      <c r="BJ10155" s="201"/>
    </row>
    <row r="10156" spans="62:62" x14ac:dyDescent="0.2">
      <c r="BJ10156" s="201"/>
    </row>
    <row r="10157" spans="62:62" x14ac:dyDescent="0.2">
      <c r="BJ10157" s="201"/>
    </row>
    <row r="10158" spans="62:62" x14ac:dyDescent="0.2">
      <c r="BJ10158" s="201"/>
    </row>
    <row r="10159" spans="62:62" x14ac:dyDescent="0.2">
      <c r="BJ10159" s="201"/>
    </row>
    <row r="10160" spans="62:62" x14ac:dyDescent="0.2">
      <c r="BJ10160" s="201"/>
    </row>
    <row r="10161" spans="62:62" x14ac:dyDescent="0.2">
      <c r="BJ10161" s="201"/>
    </row>
    <row r="10162" spans="62:62" x14ac:dyDescent="0.2">
      <c r="BJ10162" s="201"/>
    </row>
    <row r="10163" spans="62:62" x14ac:dyDescent="0.2">
      <c r="BJ10163" s="201"/>
    </row>
    <row r="10164" spans="62:62" x14ac:dyDescent="0.2">
      <c r="BJ10164" s="201"/>
    </row>
    <row r="10165" spans="62:62" x14ac:dyDescent="0.2">
      <c r="BJ10165" s="201"/>
    </row>
    <row r="10166" spans="62:62" x14ac:dyDescent="0.2">
      <c r="BJ10166" s="201"/>
    </row>
    <row r="10167" spans="62:62" x14ac:dyDescent="0.2">
      <c r="BJ10167" s="201"/>
    </row>
    <row r="10168" spans="62:62" x14ac:dyDescent="0.2">
      <c r="BJ10168" s="201"/>
    </row>
    <row r="10169" spans="62:62" x14ac:dyDescent="0.2">
      <c r="BJ10169" s="201"/>
    </row>
    <row r="10170" spans="62:62" x14ac:dyDescent="0.2">
      <c r="BJ10170" s="201"/>
    </row>
    <row r="10171" spans="62:62" x14ac:dyDescent="0.2">
      <c r="BJ10171" s="201"/>
    </row>
    <row r="10172" spans="62:62" x14ac:dyDescent="0.2">
      <c r="BJ10172" s="201"/>
    </row>
    <row r="10173" spans="62:62" x14ac:dyDescent="0.2">
      <c r="BJ10173" s="201"/>
    </row>
    <row r="10174" spans="62:62" x14ac:dyDescent="0.2">
      <c r="BJ10174" s="201"/>
    </row>
    <row r="10175" spans="62:62" x14ac:dyDescent="0.2">
      <c r="BJ10175" s="201"/>
    </row>
    <row r="10176" spans="62:62" x14ac:dyDescent="0.2">
      <c r="BJ10176" s="201"/>
    </row>
    <row r="10177" spans="62:62" x14ac:dyDescent="0.2">
      <c r="BJ10177" s="201"/>
    </row>
    <row r="10178" spans="62:62" x14ac:dyDescent="0.2">
      <c r="BJ10178" s="201"/>
    </row>
    <row r="10179" spans="62:62" x14ac:dyDescent="0.2">
      <c r="BJ10179" s="201"/>
    </row>
    <row r="10180" spans="62:62" x14ac:dyDescent="0.2">
      <c r="BJ10180" s="201"/>
    </row>
    <row r="10181" spans="62:62" x14ac:dyDescent="0.2">
      <c r="BJ10181" s="201"/>
    </row>
    <row r="10182" spans="62:62" x14ac:dyDescent="0.2">
      <c r="BJ10182" s="201"/>
    </row>
    <row r="10183" spans="62:62" x14ac:dyDescent="0.2">
      <c r="BJ10183" s="201"/>
    </row>
    <row r="10184" spans="62:62" x14ac:dyDescent="0.2">
      <c r="BJ10184" s="201"/>
    </row>
    <row r="10185" spans="62:62" x14ac:dyDescent="0.2">
      <c r="BJ10185" s="201"/>
    </row>
    <row r="10186" spans="62:62" x14ac:dyDescent="0.2">
      <c r="BJ10186" s="201"/>
    </row>
    <row r="10187" spans="62:62" x14ac:dyDescent="0.2">
      <c r="BJ10187" s="201"/>
    </row>
    <row r="10188" spans="62:62" x14ac:dyDescent="0.2">
      <c r="BJ10188" s="201"/>
    </row>
    <row r="10189" spans="62:62" x14ac:dyDescent="0.2">
      <c r="BJ10189" s="201"/>
    </row>
    <row r="10190" spans="62:62" x14ac:dyDescent="0.2">
      <c r="BJ10190" s="201"/>
    </row>
    <row r="10191" spans="62:62" x14ac:dyDescent="0.2">
      <c r="BJ10191" s="201"/>
    </row>
    <row r="10192" spans="62:62" x14ac:dyDescent="0.2">
      <c r="BJ10192" s="201"/>
    </row>
    <row r="10193" spans="62:62" x14ac:dyDescent="0.2">
      <c r="BJ10193" s="201"/>
    </row>
    <row r="10194" spans="62:62" x14ac:dyDescent="0.2">
      <c r="BJ10194" s="201"/>
    </row>
    <row r="10195" spans="62:62" x14ac:dyDescent="0.2">
      <c r="BJ10195" s="201"/>
    </row>
    <row r="10196" spans="62:62" x14ac:dyDescent="0.2">
      <c r="BJ10196" s="201"/>
    </row>
    <row r="10197" spans="62:62" x14ac:dyDescent="0.2">
      <c r="BJ10197" s="201"/>
    </row>
    <row r="10198" spans="62:62" x14ac:dyDescent="0.2">
      <c r="BJ10198" s="201"/>
    </row>
    <row r="10199" spans="62:62" x14ac:dyDescent="0.2">
      <c r="BJ10199" s="201"/>
    </row>
    <row r="10200" spans="62:62" x14ac:dyDescent="0.2">
      <c r="BJ10200" s="201"/>
    </row>
    <row r="10201" spans="62:62" x14ac:dyDescent="0.2">
      <c r="BJ10201" s="201"/>
    </row>
    <row r="10202" spans="62:62" x14ac:dyDescent="0.2">
      <c r="BJ10202" s="201"/>
    </row>
    <row r="10203" spans="62:62" x14ac:dyDescent="0.2">
      <c r="BJ10203" s="201"/>
    </row>
    <row r="10204" spans="62:62" x14ac:dyDescent="0.2">
      <c r="BJ10204" s="201"/>
    </row>
    <row r="10205" spans="62:62" x14ac:dyDescent="0.2">
      <c r="BJ10205" s="201"/>
    </row>
    <row r="10206" spans="62:62" x14ac:dyDescent="0.2">
      <c r="BJ10206" s="201"/>
    </row>
    <row r="10207" spans="62:62" x14ac:dyDescent="0.2">
      <c r="BJ10207" s="201"/>
    </row>
    <row r="10208" spans="62:62" x14ac:dyDescent="0.2">
      <c r="BJ10208" s="201"/>
    </row>
    <row r="10209" spans="62:62" x14ac:dyDescent="0.2">
      <c r="BJ10209" s="201"/>
    </row>
    <row r="10210" spans="62:62" x14ac:dyDescent="0.2">
      <c r="BJ10210" s="201"/>
    </row>
    <row r="10211" spans="62:62" x14ac:dyDescent="0.2">
      <c r="BJ10211" s="201"/>
    </row>
    <row r="10212" spans="62:62" x14ac:dyDescent="0.2">
      <c r="BJ10212" s="201"/>
    </row>
    <row r="10213" spans="62:62" x14ac:dyDescent="0.2">
      <c r="BJ10213" s="201"/>
    </row>
    <row r="10214" spans="62:62" x14ac:dyDescent="0.2">
      <c r="BJ10214" s="201"/>
    </row>
    <row r="10215" spans="62:62" x14ac:dyDescent="0.2">
      <c r="BJ10215" s="201"/>
    </row>
    <row r="10216" spans="62:62" x14ac:dyDescent="0.2">
      <c r="BJ10216" s="201"/>
    </row>
    <row r="10217" spans="62:62" x14ac:dyDescent="0.2">
      <c r="BJ10217" s="201"/>
    </row>
    <row r="10218" spans="62:62" x14ac:dyDescent="0.2">
      <c r="BJ10218" s="201"/>
    </row>
    <row r="10219" spans="62:62" x14ac:dyDescent="0.2">
      <c r="BJ10219" s="201"/>
    </row>
    <row r="10220" spans="62:62" x14ac:dyDescent="0.2">
      <c r="BJ10220" s="201"/>
    </row>
    <row r="10221" spans="62:62" x14ac:dyDescent="0.2">
      <c r="BJ10221" s="201"/>
    </row>
    <row r="10222" spans="62:62" x14ac:dyDescent="0.2">
      <c r="BJ10222" s="201"/>
    </row>
    <row r="10223" spans="62:62" x14ac:dyDescent="0.2">
      <c r="BJ10223" s="201"/>
    </row>
    <row r="10224" spans="62:62" x14ac:dyDescent="0.2">
      <c r="BJ10224" s="201"/>
    </row>
    <row r="10225" spans="62:62" x14ac:dyDescent="0.2">
      <c r="BJ10225" s="201"/>
    </row>
    <row r="10226" spans="62:62" x14ac:dyDescent="0.2">
      <c r="BJ10226" s="201"/>
    </row>
    <row r="10227" spans="62:62" x14ac:dyDescent="0.2">
      <c r="BJ10227" s="201"/>
    </row>
    <row r="10228" spans="62:62" x14ac:dyDescent="0.2">
      <c r="BJ10228" s="201"/>
    </row>
    <row r="10229" spans="62:62" x14ac:dyDescent="0.2">
      <c r="BJ10229" s="201"/>
    </row>
    <row r="10230" spans="62:62" x14ac:dyDescent="0.2">
      <c r="BJ10230" s="201"/>
    </row>
    <row r="10231" spans="62:62" x14ac:dyDescent="0.2">
      <c r="BJ10231" s="201"/>
    </row>
    <row r="10232" spans="62:62" x14ac:dyDescent="0.2">
      <c r="BJ10232" s="201"/>
    </row>
    <row r="10233" spans="62:62" x14ac:dyDescent="0.2">
      <c r="BJ10233" s="201"/>
    </row>
    <row r="10234" spans="62:62" x14ac:dyDescent="0.2">
      <c r="BJ10234" s="201"/>
    </row>
    <row r="10235" spans="62:62" x14ac:dyDescent="0.2">
      <c r="BJ10235" s="201"/>
    </row>
    <row r="10236" spans="62:62" x14ac:dyDescent="0.2">
      <c r="BJ10236" s="201"/>
    </row>
    <row r="10237" spans="62:62" x14ac:dyDescent="0.2">
      <c r="BJ10237" s="201"/>
    </row>
    <row r="10238" spans="62:62" x14ac:dyDescent="0.2">
      <c r="BJ10238" s="201"/>
    </row>
    <row r="10239" spans="62:62" x14ac:dyDescent="0.2">
      <c r="BJ10239" s="201"/>
    </row>
    <row r="10240" spans="62:62" x14ac:dyDescent="0.2">
      <c r="BJ10240" s="201"/>
    </row>
    <row r="10241" spans="62:62" x14ac:dyDescent="0.2">
      <c r="BJ10241" s="201"/>
    </row>
    <row r="10242" spans="62:62" x14ac:dyDescent="0.2">
      <c r="BJ10242" s="201"/>
    </row>
    <row r="10243" spans="62:62" x14ac:dyDescent="0.2">
      <c r="BJ10243" s="201"/>
    </row>
    <row r="10244" spans="62:62" x14ac:dyDescent="0.2">
      <c r="BJ10244" s="201"/>
    </row>
    <row r="10245" spans="62:62" x14ac:dyDescent="0.2">
      <c r="BJ10245" s="201"/>
    </row>
    <row r="10246" spans="62:62" x14ac:dyDescent="0.2">
      <c r="BJ10246" s="201"/>
    </row>
    <row r="10247" spans="62:62" x14ac:dyDescent="0.2">
      <c r="BJ10247" s="201"/>
    </row>
    <row r="10248" spans="62:62" x14ac:dyDescent="0.2">
      <c r="BJ10248" s="201"/>
    </row>
    <row r="10249" spans="62:62" x14ac:dyDescent="0.2">
      <c r="BJ10249" s="201"/>
    </row>
    <row r="10250" spans="62:62" x14ac:dyDescent="0.2">
      <c r="BJ10250" s="201"/>
    </row>
    <row r="10251" spans="62:62" x14ac:dyDescent="0.2">
      <c r="BJ10251" s="201"/>
    </row>
    <row r="10252" spans="62:62" x14ac:dyDescent="0.2">
      <c r="BJ10252" s="201"/>
    </row>
    <row r="10253" spans="62:62" x14ac:dyDescent="0.2">
      <c r="BJ10253" s="201"/>
    </row>
    <row r="10254" spans="62:62" x14ac:dyDescent="0.2">
      <c r="BJ10254" s="201"/>
    </row>
    <row r="10255" spans="62:62" x14ac:dyDescent="0.2">
      <c r="BJ10255" s="201"/>
    </row>
    <row r="10256" spans="62:62" x14ac:dyDescent="0.2">
      <c r="BJ10256" s="201"/>
    </row>
    <row r="10257" spans="62:62" x14ac:dyDescent="0.2">
      <c r="BJ10257" s="201"/>
    </row>
    <row r="10258" spans="62:62" x14ac:dyDescent="0.2">
      <c r="BJ10258" s="201"/>
    </row>
    <row r="10259" spans="62:62" x14ac:dyDescent="0.2">
      <c r="BJ10259" s="201"/>
    </row>
    <row r="10260" spans="62:62" x14ac:dyDescent="0.2">
      <c r="BJ10260" s="201"/>
    </row>
    <row r="10261" spans="62:62" x14ac:dyDescent="0.2">
      <c r="BJ10261" s="201"/>
    </row>
    <row r="10262" spans="62:62" x14ac:dyDescent="0.2">
      <c r="BJ10262" s="201"/>
    </row>
    <row r="10263" spans="62:62" x14ac:dyDescent="0.2">
      <c r="BJ10263" s="201"/>
    </row>
    <row r="10264" spans="62:62" x14ac:dyDescent="0.2">
      <c r="BJ10264" s="201"/>
    </row>
    <row r="10265" spans="62:62" x14ac:dyDescent="0.2">
      <c r="BJ10265" s="201"/>
    </row>
    <row r="10266" spans="62:62" x14ac:dyDescent="0.2">
      <c r="BJ10266" s="201"/>
    </row>
    <row r="10267" spans="62:62" x14ac:dyDescent="0.2">
      <c r="BJ10267" s="201"/>
    </row>
    <row r="10268" spans="62:62" x14ac:dyDescent="0.2">
      <c r="BJ10268" s="201"/>
    </row>
    <row r="10269" spans="62:62" x14ac:dyDescent="0.2">
      <c r="BJ10269" s="201"/>
    </row>
    <row r="10270" spans="62:62" x14ac:dyDescent="0.2">
      <c r="BJ10270" s="201"/>
    </row>
    <row r="10271" spans="62:62" x14ac:dyDescent="0.2">
      <c r="BJ10271" s="201"/>
    </row>
    <row r="10272" spans="62:62" x14ac:dyDescent="0.2">
      <c r="BJ10272" s="201"/>
    </row>
    <row r="10273" spans="62:62" x14ac:dyDescent="0.2">
      <c r="BJ10273" s="201"/>
    </row>
    <row r="10274" spans="62:62" x14ac:dyDescent="0.2">
      <c r="BJ10274" s="201"/>
    </row>
    <row r="10275" spans="62:62" x14ac:dyDescent="0.2">
      <c r="BJ10275" s="201"/>
    </row>
    <row r="10276" spans="62:62" x14ac:dyDescent="0.2">
      <c r="BJ10276" s="201"/>
    </row>
    <row r="10277" spans="62:62" x14ac:dyDescent="0.2">
      <c r="BJ10277" s="201"/>
    </row>
    <row r="10278" spans="62:62" x14ac:dyDescent="0.2">
      <c r="BJ10278" s="201"/>
    </row>
    <row r="10279" spans="62:62" x14ac:dyDescent="0.2">
      <c r="BJ10279" s="201"/>
    </row>
    <row r="10280" spans="62:62" x14ac:dyDescent="0.2">
      <c r="BJ10280" s="201"/>
    </row>
    <row r="10281" spans="62:62" x14ac:dyDescent="0.2">
      <c r="BJ10281" s="201"/>
    </row>
    <row r="10282" spans="62:62" x14ac:dyDescent="0.2">
      <c r="BJ10282" s="201"/>
    </row>
    <row r="10283" spans="62:62" x14ac:dyDescent="0.2">
      <c r="BJ10283" s="201"/>
    </row>
    <row r="10284" spans="62:62" x14ac:dyDescent="0.2">
      <c r="BJ10284" s="201"/>
    </row>
    <row r="10285" spans="62:62" x14ac:dyDescent="0.2">
      <c r="BJ10285" s="201"/>
    </row>
    <row r="10286" spans="62:62" x14ac:dyDescent="0.2">
      <c r="BJ10286" s="201"/>
    </row>
    <row r="10287" spans="62:62" x14ac:dyDescent="0.2">
      <c r="BJ10287" s="201"/>
    </row>
    <row r="10288" spans="62:62" x14ac:dyDescent="0.2">
      <c r="BJ10288" s="201"/>
    </row>
    <row r="10289" spans="62:62" x14ac:dyDescent="0.2">
      <c r="BJ10289" s="201"/>
    </row>
    <row r="10290" spans="62:62" x14ac:dyDescent="0.2">
      <c r="BJ10290" s="201"/>
    </row>
    <row r="10291" spans="62:62" x14ac:dyDescent="0.2">
      <c r="BJ10291" s="201"/>
    </row>
    <row r="10292" spans="62:62" x14ac:dyDescent="0.2">
      <c r="BJ10292" s="201"/>
    </row>
    <row r="10293" spans="62:62" x14ac:dyDescent="0.2">
      <c r="BJ10293" s="201"/>
    </row>
    <row r="10294" spans="62:62" x14ac:dyDescent="0.2">
      <c r="BJ10294" s="201"/>
    </row>
    <row r="10295" spans="62:62" x14ac:dyDescent="0.2">
      <c r="BJ10295" s="201"/>
    </row>
    <row r="10296" spans="62:62" x14ac:dyDescent="0.2">
      <c r="BJ10296" s="201"/>
    </row>
    <row r="10297" spans="62:62" x14ac:dyDescent="0.2">
      <c r="BJ10297" s="201"/>
    </row>
    <row r="10298" spans="62:62" x14ac:dyDescent="0.2">
      <c r="BJ10298" s="201"/>
    </row>
    <row r="10299" spans="62:62" x14ac:dyDescent="0.2">
      <c r="BJ10299" s="201"/>
    </row>
    <row r="10300" spans="62:62" x14ac:dyDescent="0.2">
      <c r="BJ10300" s="201"/>
    </row>
    <row r="10301" spans="62:62" x14ac:dyDescent="0.2">
      <c r="BJ10301" s="201"/>
    </row>
    <row r="10302" spans="62:62" x14ac:dyDescent="0.2">
      <c r="BJ10302" s="201"/>
    </row>
    <row r="10303" spans="62:62" x14ac:dyDescent="0.2">
      <c r="BJ10303" s="201"/>
    </row>
    <row r="10304" spans="62:62" x14ac:dyDescent="0.2">
      <c r="BJ10304" s="201"/>
    </row>
    <row r="10305" spans="62:62" x14ac:dyDescent="0.2">
      <c r="BJ10305" s="201"/>
    </row>
    <row r="10306" spans="62:62" x14ac:dyDescent="0.2">
      <c r="BJ10306" s="201"/>
    </row>
    <row r="10307" spans="62:62" x14ac:dyDescent="0.2">
      <c r="BJ10307" s="201"/>
    </row>
    <row r="10308" spans="62:62" x14ac:dyDescent="0.2">
      <c r="BJ10308" s="201"/>
    </row>
    <row r="10309" spans="62:62" x14ac:dyDescent="0.2">
      <c r="BJ10309" s="201"/>
    </row>
    <row r="10310" spans="62:62" x14ac:dyDescent="0.2">
      <c r="BJ10310" s="201"/>
    </row>
    <row r="10311" spans="62:62" x14ac:dyDescent="0.2">
      <c r="BJ10311" s="201"/>
    </row>
    <row r="10312" spans="62:62" x14ac:dyDescent="0.2">
      <c r="BJ10312" s="201"/>
    </row>
    <row r="10313" spans="62:62" x14ac:dyDescent="0.2">
      <c r="BJ10313" s="201"/>
    </row>
    <row r="10314" spans="62:62" x14ac:dyDescent="0.2">
      <c r="BJ10314" s="201"/>
    </row>
    <row r="10315" spans="62:62" x14ac:dyDescent="0.2">
      <c r="BJ10315" s="201"/>
    </row>
    <row r="10316" spans="62:62" x14ac:dyDescent="0.2">
      <c r="BJ10316" s="201"/>
    </row>
    <row r="10317" spans="62:62" x14ac:dyDescent="0.2">
      <c r="BJ10317" s="201"/>
    </row>
    <row r="10318" spans="62:62" x14ac:dyDescent="0.2">
      <c r="BJ10318" s="201"/>
    </row>
    <row r="10319" spans="62:62" x14ac:dyDescent="0.2">
      <c r="BJ10319" s="201"/>
    </row>
    <row r="10320" spans="62:62" x14ac:dyDescent="0.2">
      <c r="BJ10320" s="201"/>
    </row>
    <row r="10321" spans="62:62" x14ac:dyDescent="0.2">
      <c r="BJ10321" s="201"/>
    </row>
    <row r="10322" spans="62:62" x14ac:dyDescent="0.2">
      <c r="BJ10322" s="201"/>
    </row>
    <row r="10323" spans="62:62" x14ac:dyDescent="0.2">
      <c r="BJ10323" s="201"/>
    </row>
    <row r="10324" spans="62:62" x14ac:dyDescent="0.2">
      <c r="BJ10324" s="201"/>
    </row>
    <row r="10325" spans="62:62" x14ac:dyDescent="0.2">
      <c r="BJ10325" s="201"/>
    </row>
    <row r="10326" spans="62:62" x14ac:dyDescent="0.2">
      <c r="BJ10326" s="201"/>
    </row>
    <row r="10327" spans="62:62" x14ac:dyDescent="0.2">
      <c r="BJ10327" s="201"/>
    </row>
    <row r="10328" spans="62:62" x14ac:dyDescent="0.2">
      <c r="BJ10328" s="201"/>
    </row>
    <row r="10329" spans="62:62" x14ac:dyDescent="0.2">
      <c r="BJ10329" s="201"/>
    </row>
    <row r="10330" spans="62:62" x14ac:dyDescent="0.2">
      <c r="BJ10330" s="201"/>
    </row>
    <row r="10331" spans="62:62" x14ac:dyDescent="0.2">
      <c r="BJ10331" s="201"/>
    </row>
    <row r="10332" spans="62:62" x14ac:dyDescent="0.2">
      <c r="BJ10332" s="201"/>
    </row>
    <row r="10333" spans="62:62" x14ac:dyDescent="0.2">
      <c r="BJ10333" s="201"/>
    </row>
    <row r="10334" spans="62:62" x14ac:dyDescent="0.2">
      <c r="BJ10334" s="201"/>
    </row>
    <row r="10335" spans="62:62" x14ac:dyDescent="0.2">
      <c r="BJ10335" s="201"/>
    </row>
    <row r="10336" spans="62:62" x14ac:dyDescent="0.2">
      <c r="BJ10336" s="201"/>
    </row>
    <row r="10337" spans="62:62" x14ac:dyDescent="0.2">
      <c r="BJ10337" s="201"/>
    </row>
    <row r="10338" spans="62:62" x14ac:dyDescent="0.2">
      <c r="BJ10338" s="201"/>
    </row>
    <row r="10339" spans="62:62" x14ac:dyDescent="0.2">
      <c r="BJ10339" s="201"/>
    </row>
    <row r="10340" spans="62:62" x14ac:dyDescent="0.2">
      <c r="BJ10340" s="201"/>
    </row>
    <row r="10341" spans="62:62" x14ac:dyDescent="0.2">
      <c r="BJ10341" s="201"/>
    </row>
    <row r="10342" spans="62:62" x14ac:dyDescent="0.2">
      <c r="BJ10342" s="201"/>
    </row>
    <row r="10343" spans="62:62" x14ac:dyDescent="0.2">
      <c r="BJ10343" s="201"/>
    </row>
    <row r="10344" spans="62:62" x14ac:dyDescent="0.2">
      <c r="BJ10344" s="201"/>
    </row>
    <row r="10345" spans="62:62" x14ac:dyDescent="0.2">
      <c r="BJ10345" s="201"/>
    </row>
    <row r="10346" spans="62:62" x14ac:dyDescent="0.2">
      <c r="BJ10346" s="201"/>
    </row>
    <row r="10347" spans="62:62" x14ac:dyDescent="0.2">
      <c r="BJ10347" s="201"/>
    </row>
    <row r="10348" spans="62:62" x14ac:dyDescent="0.2">
      <c r="BJ10348" s="201"/>
    </row>
    <row r="10349" spans="62:62" x14ac:dyDescent="0.2">
      <c r="BJ10349" s="201"/>
    </row>
    <row r="10350" spans="62:62" x14ac:dyDescent="0.2">
      <c r="BJ10350" s="201"/>
    </row>
    <row r="10351" spans="62:62" x14ac:dyDescent="0.2">
      <c r="BJ10351" s="201"/>
    </row>
    <row r="10352" spans="62:62" x14ac:dyDescent="0.2">
      <c r="BJ10352" s="201"/>
    </row>
    <row r="10353" spans="62:62" x14ac:dyDescent="0.2">
      <c r="BJ10353" s="201"/>
    </row>
    <row r="10354" spans="62:62" x14ac:dyDescent="0.2">
      <c r="BJ10354" s="201"/>
    </row>
    <row r="10355" spans="62:62" x14ac:dyDescent="0.2">
      <c r="BJ10355" s="201"/>
    </row>
    <row r="10356" spans="62:62" x14ac:dyDescent="0.2">
      <c r="BJ10356" s="201"/>
    </row>
    <row r="10357" spans="62:62" x14ac:dyDescent="0.2">
      <c r="BJ10357" s="201"/>
    </row>
    <row r="10358" spans="62:62" x14ac:dyDescent="0.2">
      <c r="BJ10358" s="201"/>
    </row>
    <row r="10359" spans="62:62" x14ac:dyDescent="0.2">
      <c r="BJ10359" s="201"/>
    </row>
    <row r="10360" spans="62:62" x14ac:dyDescent="0.2">
      <c r="BJ10360" s="201"/>
    </row>
    <row r="10361" spans="62:62" x14ac:dyDescent="0.2">
      <c r="BJ10361" s="201"/>
    </row>
    <row r="10362" spans="62:62" x14ac:dyDescent="0.2">
      <c r="BJ10362" s="201"/>
    </row>
    <row r="10363" spans="62:62" x14ac:dyDescent="0.2">
      <c r="BJ10363" s="201"/>
    </row>
    <row r="10364" spans="62:62" x14ac:dyDescent="0.2">
      <c r="BJ10364" s="201"/>
    </row>
    <row r="10365" spans="62:62" x14ac:dyDescent="0.2">
      <c r="BJ10365" s="201"/>
    </row>
    <row r="10366" spans="62:62" x14ac:dyDescent="0.2">
      <c r="BJ10366" s="201"/>
    </row>
    <row r="10367" spans="62:62" x14ac:dyDescent="0.2">
      <c r="BJ10367" s="201"/>
    </row>
    <row r="10368" spans="62:62" x14ac:dyDescent="0.2">
      <c r="BJ10368" s="201"/>
    </row>
    <row r="10369" spans="62:62" x14ac:dyDescent="0.2">
      <c r="BJ10369" s="201"/>
    </row>
    <row r="10370" spans="62:62" x14ac:dyDescent="0.2">
      <c r="BJ10370" s="201"/>
    </row>
    <row r="10371" spans="62:62" x14ac:dyDescent="0.2">
      <c r="BJ10371" s="201"/>
    </row>
    <row r="10372" spans="62:62" x14ac:dyDescent="0.2">
      <c r="BJ10372" s="201"/>
    </row>
    <row r="10373" spans="62:62" x14ac:dyDescent="0.2">
      <c r="BJ10373" s="201"/>
    </row>
    <row r="10374" spans="62:62" x14ac:dyDescent="0.2">
      <c r="BJ10374" s="201"/>
    </row>
    <row r="10375" spans="62:62" x14ac:dyDescent="0.2">
      <c r="BJ10375" s="201"/>
    </row>
    <row r="10376" spans="62:62" x14ac:dyDescent="0.2">
      <c r="BJ10376" s="201"/>
    </row>
    <row r="10377" spans="62:62" x14ac:dyDescent="0.2">
      <c r="BJ10377" s="201"/>
    </row>
    <row r="10378" spans="62:62" x14ac:dyDescent="0.2">
      <c r="BJ10378" s="201"/>
    </row>
    <row r="10379" spans="62:62" x14ac:dyDescent="0.2">
      <c r="BJ10379" s="201"/>
    </row>
    <row r="10380" spans="62:62" x14ac:dyDescent="0.2">
      <c r="BJ10380" s="201"/>
    </row>
    <row r="10381" spans="62:62" x14ac:dyDescent="0.2">
      <c r="BJ10381" s="201"/>
    </row>
    <row r="10382" spans="62:62" x14ac:dyDescent="0.2">
      <c r="BJ10382" s="201"/>
    </row>
    <row r="10383" spans="62:62" x14ac:dyDescent="0.2">
      <c r="BJ10383" s="201"/>
    </row>
    <row r="10384" spans="62:62" x14ac:dyDescent="0.2">
      <c r="BJ10384" s="201"/>
    </row>
    <row r="10385" spans="62:62" x14ac:dyDescent="0.2">
      <c r="BJ10385" s="201"/>
    </row>
    <row r="10386" spans="62:62" x14ac:dyDescent="0.2">
      <c r="BJ10386" s="201"/>
    </row>
    <row r="10387" spans="62:62" x14ac:dyDescent="0.2">
      <c r="BJ10387" s="201"/>
    </row>
    <row r="10388" spans="62:62" x14ac:dyDescent="0.2">
      <c r="BJ10388" s="201"/>
    </row>
    <row r="10389" spans="62:62" x14ac:dyDescent="0.2">
      <c r="BJ10389" s="201"/>
    </row>
    <row r="10390" spans="62:62" x14ac:dyDescent="0.2">
      <c r="BJ10390" s="201"/>
    </row>
    <row r="10391" spans="62:62" x14ac:dyDescent="0.2">
      <c r="BJ10391" s="201"/>
    </row>
    <row r="10392" spans="62:62" x14ac:dyDescent="0.2">
      <c r="BJ10392" s="201"/>
    </row>
    <row r="10393" spans="62:62" x14ac:dyDescent="0.2">
      <c r="BJ10393" s="201"/>
    </row>
    <row r="10394" spans="62:62" x14ac:dyDescent="0.2">
      <c r="BJ10394" s="201"/>
    </row>
    <row r="10395" spans="62:62" x14ac:dyDescent="0.2">
      <c r="BJ10395" s="201"/>
    </row>
    <row r="10396" spans="62:62" x14ac:dyDescent="0.2">
      <c r="BJ10396" s="201"/>
    </row>
    <row r="10397" spans="62:62" x14ac:dyDescent="0.2">
      <c r="BJ10397" s="201"/>
    </row>
    <row r="10398" spans="62:62" x14ac:dyDescent="0.2">
      <c r="BJ10398" s="201"/>
    </row>
    <row r="10399" spans="62:62" x14ac:dyDescent="0.2">
      <c r="BJ10399" s="201"/>
    </row>
    <row r="10400" spans="62:62" x14ac:dyDescent="0.2">
      <c r="BJ10400" s="201"/>
    </row>
    <row r="10401" spans="62:62" x14ac:dyDescent="0.2">
      <c r="BJ10401" s="201"/>
    </row>
    <row r="10402" spans="62:62" x14ac:dyDescent="0.2">
      <c r="BJ10402" s="201"/>
    </row>
    <row r="10403" spans="62:62" x14ac:dyDescent="0.2">
      <c r="BJ10403" s="201"/>
    </row>
    <row r="10404" spans="62:62" x14ac:dyDescent="0.2">
      <c r="BJ10404" s="201"/>
    </row>
    <row r="10405" spans="62:62" x14ac:dyDescent="0.2">
      <c r="BJ10405" s="201"/>
    </row>
    <row r="10406" spans="62:62" x14ac:dyDescent="0.2">
      <c r="BJ10406" s="201"/>
    </row>
    <row r="10407" spans="62:62" x14ac:dyDescent="0.2">
      <c r="BJ10407" s="201"/>
    </row>
    <row r="10408" spans="62:62" x14ac:dyDescent="0.2">
      <c r="BJ10408" s="201"/>
    </row>
    <row r="10409" spans="62:62" x14ac:dyDescent="0.2">
      <c r="BJ10409" s="201"/>
    </row>
    <row r="10410" spans="62:62" x14ac:dyDescent="0.2">
      <c r="BJ10410" s="201"/>
    </row>
    <row r="10411" spans="62:62" x14ac:dyDescent="0.2">
      <c r="BJ10411" s="201"/>
    </row>
    <row r="10412" spans="62:62" x14ac:dyDescent="0.2">
      <c r="BJ10412" s="201"/>
    </row>
    <row r="10413" spans="62:62" x14ac:dyDescent="0.2">
      <c r="BJ10413" s="201"/>
    </row>
    <row r="10414" spans="62:62" x14ac:dyDescent="0.2">
      <c r="BJ10414" s="201"/>
    </row>
    <row r="10415" spans="62:62" x14ac:dyDescent="0.2">
      <c r="BJ10415" s="201"/>
    </row>
    <row r="10416" spans="62:62" x14ac:dyDescent="0.2">
      <c r="BJ10416" s="201"/>
    </row>
    <row r="10417" spans="62:62" x14ac:dyDescent="0.2">
      <c r="BJ10417" s="201"/>
    </row>
    <row r="10418" spans="62:62" x14ac:dyDescent="0.2">
      <c r="BJ10418" s="201"/>
    </row>
    <row r="10419" spans="62:62" x14ac:dyDescent="0.2">
      <c r="BJ10419" s="201"/>
    </row>
    <row r="10420" spans="62:62" x14ac:dyDescent="0.2">
      <c r="BJ10420" s="201"/>
    </row>
    <row r="10421" spans="62:62" x14ac:dyDescent="0.2">
      <c r="BJ10421" s="201"/>
    </row>
    <row r="10422" spans="62:62" x14ac:dyDescent="0.2">
      <c r="BJ10422" s="201"/>
    </row>
    <row r="10423" spans="62:62" x14ac:dyDescent="0.2">
      <c r="BJ10423" s="201"/>
    </row>
    <row r="10424" spans="62:62" x14ac:dyDescent="0.2">
      <c r="BJ10424" s="201"/>
    </row>
    <row r="10425" spans="62:62" x14ac:dyDescent="0.2">
      <c r="BJ10425" s="201"/>
    </row>
    <row r="10426" spans="62:62" x14ac:dyDescent="0.2">
      <c r="BJ10426" s="201"/>
    </row>
    <row r="10427" spans="62:62" x14ac:dyDescent="0.2">
      <c r="BJ10427" s="201"/>
    </row>
    <row r="10428" spans="62:62" x14ac:dyDescent="0.2">
      <c r="BJ10428" s="201"/>
    </row>
    <row r="10429" spans="62:62" x14ac:dyDescent="0.2">
      <c r="BJ10429" s="201"/>
    </row>
    <row r="10430" spans="62:62" x14ac:dyDescent="0.2">
      <c r="BJ10430" s="201"/>
    </row>
    <row r="10431" spans="62:62" x14ac:dyDescent="0.2">
      <c r="BJ10431" s="201"/>
    </row>
    <row r="10432" spans="62:62" x14ac:dyDescent="0.2">
      <c r="BJ10432" s="201"/>
    </row>
    <row r="10433" spans="62:62" x14ac:dyDescent="0.2">
      <c r="BJ10433" s="201"/>
    </row>
    <row r="10434" spans="62:62" x14ac:dyDescent="0.2">
      <c r="BJ10434" s="201"/>
    </row>
    <row r="10435" spans="62:62" x14ac:dyDescent="0.2">
      <c r="BJ10435" s="201"/>
    </row>
    <row r="10436" spans="62:62" x14ac:dyDescent="0.2">
      <c r="BJ10436" s="201"/>
    </row>
    <row r="10437" spans="62:62" x14ac:dyDescent="0.2">
      <c r="BJ10437" s="201"/>
    </row>
    <row r="10438" spans="62:62" x14ac:dyDescent="0.2">
      <c r="BJ10438" s="201"/>
    </row>
    <row r="10439" spans="62:62" x14ac:dyDescent="0.2">
      <c r="BJ10439" s="201"/>
    </row>
    <row r="10440" spans="62:62" x14ac:dyDescent="0.2">
      <c r="BJ10440" s="201"/>
    </row>
    <row r="10441" spans="62:62" x14ac:dyDescent="0.2">
      <c r="BJ10441" s="201"/>
    </row>
    <row r="10442" spans="62:62" x14ac:dyDescent="0.2">
      <c r="BJ10442" s="201"/>
    </row>
    <row r="10443" spans="62:62" x14ac:dyDescent="0.2">
      <c r="BJ10443" s="201"/>
    </row>
    <row r="10444" spans="62:62" x14ac:dyDescent="0.2">
      <c r="BJ10444" s="201"/>
    </row>
    <row r="10445" spans="62:62" x14ac:dyDescent="0.2">
      <c r="BJ10445" s="201"/>
    </row>
    <row r="10446" spans="62:62" x14ac:dyDescent="0.2">
      <c r="BJ10446" s="201"/>
    </row>
    <row r="10447" spans="62:62" x14ac:dyDescent="0.2">
      <c r="BJ10447" s="201"/>
    </row>
    <row r="10448" spans="62:62" x14ac:dyDescent="0.2">
      <c r="BJ10448" s="201"/>
    </row>
    <row r="10449" spans="62:62" x14ac:dyDescent="0.2">
      <c r="BJ10449" s="201"/>
    </row>
    <row r="10450" spans="62:62" x14ac:dyDescent="0.2">
      <c r="BJ10450" s="201"/>
    </row>
    <row r="10451" spans="62:62" x14ac:dyDescent="0.2">
      <c r="BJ10451" s="201"/>
    </row>
    <row r="10452" spans="62:62" x14ac:dyDescent="0.2">
      <c r="BJ10452" s="201"/>
    </row>
    <row r="10453" spans="62:62" x14ac:dyDescent="0.2">
      <c r="BJ10453" s="201"/>
    </row>
    <row r="10454" spans="62:62" x14ac:dyDescent="0.2">
      <c r="BJ10454" s="201"/>
    </row>
    <row r="10455" spans="62:62" x14ac:dyDescent="0.2">
      <c r="BJ10455" s="201"/>
    </row>
    <row r="10456" spans="62:62" x14ac:dyDescent="0.2">
      <c r="BJ10456" s="201"/>
    </row>
    <row r="10457" spans="62:62" x14ac:dyDescent="0.2">
      <c r="BJ10457" s="201"/>
    </row>
    <row r="10458" spans="62:62" x14ac:dyDescent="0.2">
      <c r="BJ10458" s="201"/>
    </row>
    <row r="10459" spans="62:62" x14ac:dyDescent="0.2">
      <c r="BJ10459" s="201"/>
    </row>
    <row r="10460" spans="62:62" x14ac:dyDescent="0.2">
      <c r="BJ10460" s="201"/>
    </row>
    <row r="10461" spans="62:62" x14ac:dyDescent="0.2">
      <c r="BJ10461" s="201"/>
    </row>
    <row r="10462" spans="62:62" x14ac:dyDescent="0.2">
      <c r="BJ10462" s="201"/>
    </row>
    <row r="10463" spans="62:62" x14ac:dyDescent="0.2">
      <c r="BJ10463" s="201"/>
    </row>
    <row r="10464" spans="62:62" x14ac:dyDescent="0.2">
      <c r="BJ10464" s="201"/>
    </row>
    <row r="10465" spans="62:62" x14ac:dyDescent="0.2">
      <c r="BJ10465" s="201"/>
    </row>
    <row r="10466" spans="62:62" x14ac:dyDescent="0.2">
      <c r="BJ10466" s="201"/>
    </row>
    <row r="10467" spans="62:62" x14ac:dyDescent="0.2">
      <c r="BJ10467" s="201"/>
    </row>
    <row r="10468" spans="62:62" x14ac:dyDescent="0.2">
      <c r="BJ10468" s="201"/>
    </row>
    <row r="10469" spans="62:62" x14ac:dyDescent="0.2">
      <c r="BJ10469" s="201"/>
    </row>
    <row r="10470" spans="62:62" x14ac:dyDescent="0.2">
      <c r="BJ10470" s="201"/>
    </row>
    <row r="10471" spans="62:62" x14ac:dyDescent="0.2">
      <c r="BJ10471" s="201"/>
    </row>
    <row r="10472" spans="62:62" x14ac:dyDescent="0.2">
      <c r="BJ10472" s="201"/>
    </row>
    <row r="10473" spans="62:62" x14ac:dyDescent="0.2">
      <c r="BJ10473" s="201"/>
    </row>
    <row r="10474" spans="62:62" x14ac:dyDescent="0.2">
      <c r="BJ10474" s="201"/>
    </row>
    <row r="10475" spans="62:62" x14ac:dyDescent="0.2">
      <c r="BJ10475" s="201"/>
    </row>
    <row r="10476" spans="62:62" x14ac:dyDescent="0.2">
      <c r="BJ10476" s="201"/>
    </row>
    <row r="10477" spans="62:62" x14ac:dyDescent="0.2">
      <c r="BJ10477" s="201"/>
    </row>
    <row r="10478" spans="62:62" x14ac:dyDescent="0.2">
      <c r="BJ10478" s="201"/>
    </row>
    <row r="10479" spans="62:62" x14ac:dyDescent="0.2">
      <c r="BJ10479" s="201"/>
    </row>
    <row r="10480" spans="62:62" x14ac:dyDescent="0.2">
      <c r="BJ10480" s="201"/>
    </row>
    <row r="10481" spans="62:62" x14ac:dyDescent="0.2">
      <c r="BJ10481" s="201"/>
    </row>
    <row r="10482" spans="62:62" x14ac:dyDescent="0.2">
      <c r="BJ10482" s="201"/>
    </row>
    <row r="10483" spans="62:62" x14ac:dyDescent="0.2">
      <c r="BJ10483" s="201"/>
    </row>
    <row r="10484" spans="62:62" x14ac:dyDescent="0.2">
      <c r="BJ10484" s="201"/>
    </row>
    <row r="10485" spans="62:62" x14ac:dyDescent="0.2">
      <c r="BJ10485" s="201"/>
    </row>
    <row r="10486" spans="62:62" x14ac:dyDescent="0.2">
      <c r="BJ10486" s="201"/>
    </row>
    <row r="10487" spans="62:62" x14ac:dyDescent="0.2">
      <c r="BJ10487" s="201"/>
    </row>
    <row r="10488" spans="62:62" x14ac:dyDescent="0.2">
      <c r="BJ10488" s="201"/>
    </row>
    <row r="10489" spans="62:62" x14ac:dyDescent="0.2">
      <c r="BJ10489" s="201"/>
    </row>
    <row r="10490" spans="62:62" x14ac:dyDescent="0.2">
      <c r="BJ10490" s="201"/>
    </row>
    <row r="10491" spans="62:62" x14ac:dyDescent="0.2">
      <c r="BJ10491" s="201"/>
    </row>
    <row r="10492" spans="62:62" x14ac:dyDescent="0.2">
      <c r="BJ10492" s="201"/>
    </row>
    <row r="10493" spans="62:62" x14ac:dyDescent="0.2">
      <c r="BJ10493" s="201"/>
    </row>
    <row r="10494" spans="62:62" x14ac:dyDescent="0.2">
      <c r="BJ10494" s="201"/>
    </row>
    <row r="10495" spans="62:62" x14ac:dyDescent="0.2">
      <c r="BJ10495" s="201"/>
    </row>
    <row r="10496" spans="62:62" x14ac:dyDescent="0.2">
      <c r="BJ10496" s="201"/>
    </row>
    <row r="10497" spans="62:62" x14ac:dyDescent="0.2">
      <c r="BJ10497" s="201"/>
    </row>
    <row r="10498" spans="62:62" x14ac:dyDescent="0.2">
      <c r="BJ10498" s="201"/>
    </row>
    <row r="10499" spans="62:62" x14ac:dyDescent="0.2">
      <c r="BJ10499" s="201"/>
    </row>
    <row r="10500" spans="62:62" x14ac:dyDescent="0.2">
      <c r="BJ10500" s="201"/>
    </row>
    <row r="10501" spans="62:62" x14ac:dyDescent="0.2">
      <c r="BJ10501" s="201"/>
    </row>
    <row r="10502" spans="62:62" x14ac:dyDescent="0.2">
      <c r="BJ10502" s="201"/>
    </row>
    <row r="10503" spans="62:62" x14ac:dyDescent="0.2">
      <c r="BJ10503" s="201"/>
    </row>
    <row r="10504" spans="62:62" x14ac:dyDescent="0.2">
      <c r="BJ10504" s="201"/>
    </row>
    <row r="10505" spans="62:62" x14ac:dyDescent="0.2">
      <c r="BJ10505" s="201"/>
    </row>
    <row r="10506" spans="62:62" x14ac:dyDescent="0.2">
      <c r="BJ10506" s="201"/>
    </row>
    <row r="10507" spans="62:62" x14ac:dyDescent="0.2">
      <c r="BJ10507" s="201"/>
    </row>
    <row r="10508" spans="62:62" x14ac:dyDescent="0.2">
      <c r="BJ10508" s="201"/>
    </row>
    <row r="10509" spans="62:62" x14ac:dyDescent="0.2">
      <c r="BJ10509" s="201"/>
    </row>
    <row r="10510" spans="62:62" x14ac:dyDescent="0.2">
      <c r="BJ10510" s="201"/>
    </row>
    <row r="10511" spans="62:62" x14ac:dyDescent="0.2">
      <c r="BJ10511" s="201"/>
    </row>
    <row r="10512" spans="62:62" x14ac:dyDescent="0.2">
      <c r="BJ10512" s="201"/>
    </row>
    <row r="10513" spans="62:62" x14ac:dyDescent="0.2">
      <c r="BJ10513" s="201"/>
    </row>
    <row r="10514" spans="62:62" x14ac:dyDescent="0.2">
      <c r="BJ10514" s="201"/>
    </row>
    <row r="10515" spans="62:62" x14ac:dyDescent="0.2">
      <c r="BJ10515" s="201"/>
    </row>
    <row r="10516" spans="62:62" x14ac:dyDescent="0.2">
      <c r="BJ10516" s="201"/>
    </row>
    <row r="10517" spans="62:62" x14ac:dyDescent="0.2">
      <c r="BJ10517" s="201"/>
    </row>
    <row r="10518" spans="62:62" x14ac:dyDescent="0.2">
      <c r="BJ10518" s="201"/>
    </row>
    <row r="10519" spans="62:62" x14ac:dyDescent="0.2">
      <c r="BJ10519" s="201"/>
    </row>
    <row r="10520" spans="62:62" x14ac:dyDescent="0.2">
      <c r="BJ10520" s="201"/>
    </row>
    <row r="10521" spans="62:62" x14ac:dyDescent="0.2">
      <c r="BJ10521" s="201"/>
    </row>
    <row r="10522" spans="62:62" x14ac:dyDescent="0.2">
      <c r="BJ10522" s="201"/>
    </row>
    <row r="10523" spans="62:62" x14ac:dyDescent="0.2">
      <c r="BJ10523" s="201"/>
    </row>
    <row r="10524" spans="62:62" x14ac:dyDescent="0.2">
      <c r="BJ10524" s="201"/>
    </row>
    <row r="10525" spans="62:62" x14ac:dyDescent="0.2">
      <c r="BJ10525" s="201"/>
    </row>
    <row r="10526" spans="62:62" x14ac:dyDescent="0.2">
      <c r="BJ10526" s="201"/>
    </row>
    <row r="10527" spans="62:62" x14ac:dyDescent="0.2">
      <c r="BJ10527" s="201"/>
    </row>
    <row r="10528" spans="62:62" x14ac:dyDescent="0.2">
      <c r="BJ10528" s="201"/>
    </row>
    <row r="10529" spans="62:62" x14ac:dyDescent="0.2">
      <c r="BJ10529" s="201"/>
    </row>
    <row r="10530" spans="62:62" x14ac:dyDescent="0.2">
      <c r="BJ10530" s="201"/>
    </row>
    <row r="10531" spans="62:62" x14ac:dyDescent="0.2">
      <c r="BJ10531" s="201"/>
    </row>
    <row r="10532" spans="62:62" x14ac:dyDescent="0.2">
      <c r="BJ10532" s="201"/>
    </row>
    <row r="10533" spans="62:62" x14ac:dyDescent="0.2">
      <c r="BJ10533" s="201"/>
    </row>
    <row r="10534" spans="62:62" x14ac:dyDescent="0.2">
      <c r="BJ10534" s="201"/>
    </row>
    <row r="10535" spans="62:62" x14ac:dyDescent="0.2">
      <c r="BJ10535" s="201"/>
    </row>
    <row r="10536" spans="62:62" x14ac:dyDescent="0.2">
      <c r="BJ10536" s="201"/>
    </row>
    <row r="10537" spans="62:62" x14ac:dyDescent="0.2">
      <c r="BJ10537" s="201"/>
    </row>
    <row r="10538" spans="62:62" x14ac:dyDescent="0.2">
      <c r="BJ10538" s="201"/>
    </row>
    <row r="10539" spans="62:62" x14ac:dyDescent="0.2">
      <c r="BJ10539" s="201"/>
    </row>
    <row r="10540" spans="62:62" x14ac:dyDescent="0.2">
      <c r="BJ10540" s="201"/>
    </row>
    <row r="10541" spans="62:62" x14ac:dyDescent="0.2">
      <c r="BJ10541" s="201"/>
    </row>
    <row r="10542" spans="62:62" x14ac:dyDescent="0.2">
      <c r="BJ10542" s="201"/>
    </row>
    <row r="10543" spans="62:62" x14ac:dyDescent="0.2">
      <c r="BJ10543" s="201"/>
    </row>
    <row r="10544" spans="62:62" x14ac:dyDescent="0.2">
      <c r="BJ10544" s="201"/>
    </row>
    <row r="10545" spans="62:62" x14ac:dyDescent="0.2">
      <c r="BJ10545" s="201"/>
    </row>
    <row r="10546" spans="62:62" x14ac:dyDescent="0.2">
      <c r="BJ10546" s="201"/>
    </row>
    <row r="10547" spans="62:62" x14ac:dyDescent="0.2">
      <c r="BJ10547" s="201"/>
    </row>
    <row r="10548" spans="62:62" x14ac:dyDescent="0.2">
      <c r="BJ10548" s="201"/>
    </row>
    <row r="10549" spans="62:62" x14ac:dyDescent="0.2">
      <c r="BJ10549" s="201"/>
    </row>
    <row r="10550" spans="62:62" x14ac:dyDescent="0.2">
      <c r="BJ10550" s="201"/>
    </row>
    <row r="10551" spans="62:62" x14ac:dyDescent="0.2">
      <c r="BJ10551" s="201"/>
    </row>
    <row r="10552" spans="62:62" x14ac:dyDescent="0.2">
      <c r="BJ10552" s="201"/>
    </row>
    <row r="10553" spans="62:62" x14ac:dyDescent="0.2">
      <c r="BJ10553" s="201"/>
    </row>
    <row r="10554" spans="62:62" x14ac:dyDescent="0.2">
      <c r="BJ10554" s="201"/>
    </row>
    <row r="10555" spans="62:62" x14ac:dyDescent="0.2">
      <c r="BJ10555" s="201"/>
    </row>
    <row r="10556" spans="62:62" x14ac:dyDescent="0.2">
      <c r="BJ10556" s="201"/>
    </row>
    <row r="10557" spans="62:62" x14ac:dyDescent="0.2">
      <c r="BJ10557" s="201"/>
    </row>
    <row r="10558" spans="62:62" x14ac:dyDescent="0.2">
      <c r="BJ10558" s="201"/>
    </row>
    <row r="10559" spans="62:62" x14ac:dyDescent="0.2">
      <c r="BJ10559" s="201"/>
    </row>
    <row r="10560" spans="62:62" x14ac:dyDescent="0.2">
      <c r="BJ10560" s="201"/>
    </row>
    <row r="10561" spans="62:62" x14ac:dyDescent="0.2">
      <c r="BJ10561" s="201"/>
    </row>
    <row r="10562" spans="62:62" x14ac:dyDescent="0.2">
      <c r="BJ10562" s="201"/>
    </row>
    <row r="10563" spans="62:62" x14ac:dyDescent="0.2">
      <c r="BJ10563" s="201"/>
    </row>
    <row r="10564" spans="62:62" x14ac:dyDescent="0.2">
      <c r="BJ10564" s="201"/>
    </row>
    <row r="10565" spans="62:62" x14ac:dyDescent="0.2">
      <c r="BJ10565" s="201"/>
    </row>
    <row r="10566" spans="62:62" x14ac:dyDescent="0.2">
      <c r="BJ10566" s="201"/>
    </row>
    <row r="10567" spans="62:62" x14ac:dyDescent="0.2">
      <c r="BJ10567" s="201"/>
    </row>
    <row r="10568" spans="62:62" x14ac:dyDescent="0.2">
      <c r="BJ10568" s="201"/>
    </row>
    <row r="10569" spans="62:62" x14ac:dyDescent="0.2">
      <c r="BJ10569" s="201"/>
    </row>
    <row r="10570" spans="62:62" x14ac:dyDescent="0.2">
      <c r="BJ10570" s="201"/>
    </row>
    <row r="10571" spans="62:62" x14ac:dyDescent="0.2">
      <c r="BJ10571" s="201"/>
    </row>
    <row r="10572" spans="62:62" x14ac:dyDescent="0.2">
      <c r="BJ10572" s="201"/>
    </row>
    <row r="10573" spans="62:62" x14ac:dyDescent="0.2">
      <c r="BJ10573" s="201"/>
    </row>
    <row r="10574" spans="62:62" x14ac:dyDescent="0.2">
      <c r="BJ10574" s="201"/>
    </row>
    <row r="10575" spans="62:62" x14ac:dyDescent="0.2">
      <c r="BJ10575" s="201"/>
    </row>
    <row r="10576" spans="62:62" x14ac:dyDescent="0.2">
      <c r="BJ10576" s="201"/>
    </row>
    <row r="10577" spans="62:62" x14ac:dyDescent="0.2">
      <c r="BJ10577" s="201"/>
    </row>
    <row r="10578" spans="62:62" x14ac:dyDescent="0.2">
      <c r="BJ10578" s="201"/>
    </row>
    <row r="10579" spans="62:62" x14ac:dyDescent="0.2">
      <c r="BJ10579" s="201"/>
    </row>
    <row r="10580" spans="62:62" x14ac:dyDescent="0.2">
      <c r="BJ10580" s="201"/>
    </row>
    <row r="10581" spans="62:62" x14ac:dyDescent="0.2">
      <c r="BJ10581" s="201"/>
    </row>
    <row r="10582" spans="62:62" x14ac:dyDescent="0.2">
      <c r="BJ10582" s="201"/>
    </row>
    <row r="10583" spans="62:62" x14ac:dyDescent="0.2">
      <c r="BJ10583" s="201"/>
    </row>
    <row r="10584" spans="62:62" x14ac:dyDescent="0.2">
      <c r="BJ10584" s="201"/>
    </row>
    <row r="10585" spans="62:62" x14ac:dyDescent="0.2">
      <c r="BJ10585" s="201"/>
    </row>
    <row r="10586" spans="62:62" x14ac:dyDescent="0.2">
      <c r="BJ10586" s="201"/>
    </row>
    <row r="10587" spans="62:62" x14ac:dyDescent="0.2">
      <c r="BJ10587" s="201"/>
    </row>
    <row r="10588" spans="62:62" x14ac:dyDescent="0.2">
      <c r="BJ10588" s="201"/>
    </row>
    <row r="10589" spans="62:62" x14ac:dyDescent="0.2">
      <c r="BJ10589" s="201"/>
    </row>
    <row r="10590" spans="62:62" x14ac:dyDescent="0.2">
      <c r="BJ10590" s="201"/>
    </row>
    <row r="10591" spans="62:62" x14ac:dyDescent="0.2">
      <c r="BJ10591" s="201"/>
    </row>
    <row r="10592" spans="62:62" x14ac:dyDescent="0.2">
      <c r="BJ10592" s="201"/>
    </row>
    <row r="10593" spans="62:62" x14ac:dyDescent="0.2">
      <c r="BJ10593" s="201"/>
    </row>
    <row r="10594" spans="62:62" x14ac:dyDescent="0.2">
      <c r="BJ10594" s="201"/>
    </row>
    <row r="10595" spans="62:62" x14ac:dyDescent="0.2">
      <c r="BJ10595" s="201"/>
    </row>
    <row r="10596" spans="62:62" x14ac:dyDescent="0.2">
      <c r="BJ10596" s="201"/>
    </row>
    <row r="10597" spans="62:62" x14ac:dyDescent="0.2">
      <c r="BJ10597" s="201"/>
    </row>
    <row r="10598" spans="62:62" x14ac:dyDescent="0.2">
      <c r="BJ10598" s="201"/>
    </row>
    <row r="10599" spans="62:62" x14ac:dyDescent="0.2">
      <c r="BJ10599" s="201"/>
    </row>
    <row r="10600" spans="62:62" x14ac:dyDescent="0.2">
      <c r="BJ10600" s="201"/>
    </row>
    <row r="10601" spans="62:62" x14ac:dyDescent="0.2">
      <c r="BJ10601" s="201"/>
    </row>
    <row r="10602" spans="62:62" x14ac:dyDescent="0.2">
      <c r="BJ10602" s="201"/>
    </row>
    <row r="10603" spans="62:62" x14ac:dyDescent="0.2">
      <c r="BJ10603" s="201"/>
    </row>
    <row r="10604" spans="62:62" x14ac:dyDescent="0.2">
      <c r="BJ10604" s="201"/>
    </row>
    <row r="10605" spans="62:62" x14ac:dyDescent="0.2">
      <c r="BJ10605" s="201"/>
    </row>
    <row r="10606" spans="62:62" x14ac:dyDescent="0.2">
      <c r="BJ10606" s="201"/>
    </row>
    <row r="10607" spans="62:62" x14ac:dyDescent="0.2">
      <c r="BJ10607" s="201"/>
    </row>
    <row r="10608" spans="62:62" x14ac:dyDescent="0.2">
      <c r="BJ10608" s="201"/>
    </row>
    <row r="10609" spans="62:62" x14ac:dyDescent="0.2">
      <c r="BJ10609" s="201"/>
    </row>
    <row r="10610" spans="62:62" x14ac:dyDescent="0.2">
      <c r="BJ10610" s="201"/>
    </row>
    <row r="10611" spans="62:62" x14ac:dyDescent="0.2">
      <c r="BJ10611" s="201"/>
    </row>
    <row r="10612" spans="62:62" x14ac:dyDescent="0.2">
      <c r="BJ10612" s="201"/>
    </row>
    <row r="10613" spans="62:62" x14ac:dyDescent="0.2">
      <c r="BJ10613" s="201"/>
    </row>
    <row r="10614" spans="62:62" x14ac:dyDescent="0.2">
      <c r="BJ10614" s="201"/>
    </row>
    <row r="10615" spans="62:62" x14ac:dyDescent="0.2">
      <c r="BJ10615" s="201"/>
    </row>
    <row r="10616" spans="62:62" x14ac:dyDescent="0.2">
      <c r="BJ10616" s="201"/>
    </row>
    <row r="10617" spans="62:62" x14ac:dyDescent="0.2">
      <c r="BJ10617" s="201"/>
    </row>
    <row r="10618" spans="62:62" x14ac:dyDescent="0.2">
      <c r="BJ10618" s="201"/>
    </row>
    <row r="10619" spans="62:62" x14ac:dyDescent="0.2">
      <c r="BJ10619" s="201"/>
    </row>
    <row r="10620" spans="62:62" x14ac:dyDescent="0.2">
      <c r="BJ10620" s="201"/>
    </row>
    <row r="10621" spans="62:62" x14ac:dyDescent="0.2">
      <c r="BJ10621" s="201"/>
    </row>
    <row r="10622" spans="62:62" x14ac:dyDescent="0.2">
      <c r="BJ10622" s="201"/>
    </row>
    <row r="10623" spans="62:62" x14ac:dyDescent="0.2">
      <c r="BJ10623" s="201"/>
    </row>
    <row r="10624" spans="62:62" x14ac:dyDescent="0.2">
      <c r="BJ10624" s="201"/>
    </row>
    <row r="10625" spans="62:62" x14ac:dyDescent="0.2">
      <c r="BJ10625" s="201"/>
    </row>
    <row r="10626" spans="62:62" x14ac:dyDescent="0.2">
      <c r="BJ10626" s="201"/>
    </row>
    <row r="10627" spans="62:62" x14ac:dyDescent="0.2">
      <c r="BJ10627" s="201"/>
    </row>
    <row r="10628" spans="62:62" x14ac:dyDescent="0.2">
      <c r="BJ10628" s="201"/>
    </row>
    <row r="10629" spans="62:62" x14ac:dyDescent="0.2">
      <c r="BJ10629" s="201"/>
    </row>
    <row r="10630" spans="62:62" x14ac:dyDescent="0.2">
      <c r="BJ10630" s="201"/>
    </row>
    <row r="10631" spans="62:62" x14ac:dyDescent="0.2">
      <c r="BJ10631" s="201"/>
    </row>
    <row r="10632" spans="62:62" x14ac:dyDescent="0.2">
      <c r="BJ10632" s="201"/>
    </row>
    <row r="10633" spans="62:62" x14ac:dyDescent="0.2">
      <c r="BJ10633" s="201"/>
    </row>
    <row r="10634" spans="62:62" x14ac:dyDescent="0.2">
      <c r="BJ10634" s="201"/>
    </row>
    <row r="10635" spans="62:62" x14ac:dyDescent="0.2">
      <c r="BJ10635" s="201"/>
    </row>
    <row r="10636" spans="62:62" x14ac:dyDescent="0.2">
      <c r="BJ10636" s="201"/>
    </row>
    <row r="10637" spans="62:62" x14ac:dyDescent="0.2">
      <c r="BJ10637" s="201"/>
    </row>
    <row r="10638" spans="62:62" x14ac:dyDescent="0.2">
      <c r="BJ10638" s="201"/>
    </row>
    <row r="10639" spans="62:62" x14ac:dyDescent="0.2">
      <c r="BJ10639" s="201"/>
    </row>
    <row r="10640" spans="62:62" x14ac:dyDescent="0.2">
      <c r="BJ10640" s="201"/>
    </row>
    <row r="10641" spans="62:62" x14ac:dyDescent="0.2">
      <c r="BJ10641" s="201"/>
    </row>
    <row r="10642" spans="62:62" x14ac:dyDescent="0.2">
      <c r="BJ10642" s="201"/>
    </row>
    <row r="10643" spans="62:62" x14ac:dyDescent="0.2">
      <c r="BJ10643" s="201"/>
    </row>
    <row r="10644" spans="62:62" x14ac:dyDescent="0.2">
      <c r="BJ10644" s="201"/>
    </row>
    <row r="10645" spans="62:62" x14ac:dyDescent="0.2">
      <c r="BJ10645" s="201"/>
    </row>
    <row r="10646" spans="62:62" x14ac:dyDescent="0.2">
      <c r="BJ10646" s="201"/>
    </row>
    <row r="10647" spans="62:62" x14ac:dyDescent="0.2">
      <c r="BJ10647" s="201"/>
    </row>
    <row r="10648" spans="62:62" x14ac:dyDescent="0.2">
      <c r="BJ10648" s="201"/>
    </row>
    <row r="10649" spans="62:62" x14ac:dyDescent="0.2">
      <c r="BJ10649" s="201"/>
    </row>
    <row r="10650" spans="62:62" x14ac:dyDescent="0.2">
      <c r="BJ10650" s="201"/>
    </row>
    <row r="10651" spans="62:62" x14ac:dyDescent="0.2">
      <c r="BJ10651" s="201"/>
    </row>
    <row r="10652" spans="62:62" x14ac:dyDescent="0.2">
      <c r="BJ10652" s="201"/>
    </row>
    <row r="10653" spans="62:62" x14ac:dyDescent="0.2">
      <c r="BJ10653" s="201"/>
    </row>
    <row r="10654" spans="62:62" x14ac:dyDescent="0.2">
      <c r="BJ10654" s="201"/>
    </row>
    <row r="10655" spans="62:62" x14ac:dyDescent="0.2">
      <c r="BJ10655" s="201"/>
    </row>
    <row r="10656" spans="62:62" x14ac:dyDescent="0.2">
      <c r="BJ10656" s="201"/>
    </row>
    <row r="10657" spans="62:62" x14ac:dyDescent="0.2">
      <c r="BJ10657" s="201"/>
    </row>
    <row r="10658" spans="62:62" x14ac:dyDescent="0.2">
      <c r="BJ10658" s="201"/>
    </row>
    <row r="10659" spans="62:62" x14ac:dyDescent="0.2">
      <c r="BJ10659" s="201"/>
    </row>
    <row r="10660" spans="62:62" x14ac:dyDescent="0.2">
      <c r="BJ10660" s="201"/>
    </row>
    <row r="10661" spans="62:62" x14ac:dyDescent="0.2">
      <c r="BJ10661" s="201"/>
    </row>
    <row r="10662" spans="62:62" x14ac:dyDescent="0.2">
      <c r="BJ10662" s="201"/>
    </row>
    <row r="10663" spans="62:62" x14ac:dyDescent="0.2">
      <c r="BJ10663" s="201"/>
    </row>
    <row r="10664" spans="62:62" x14ac:dyDescent="0.2">
      <c r="BJ10664" s="201"/>
    </row>
    <row r="10665" spans="62:62" x14ac:dyDescent="0.2">
      <c r="BJ10665" s="201"/>
    </row>
    <row r="10666" spans="62:62" x14ac:dyDescent="0.2">
      <c r="BJ10666" s="201"/>
    </row>
    <row r="10667" spans="62:62" x14ac:dyDescent="0.2">
      <c r="BJ10667" s="201"/>
    </row>
    <row r="10668" spans="62:62" x14ac:dyDescent="0.2">
      <c r="BJ10668" s="201"/>
    </row>
    <row r="10669" spans="62:62" x14ac:dyDescent="0.2">
      <c r="BJ10669" s="201"/>
    </row>
    <row r="10670" spans="62:62" x14ac:dyDescent="0.2">
      <c r="BJ10670" s="201"/>
    </row>
    <row r="10671" spans="62:62" x14ac:dyDescent="0.2">
      <c r="BJ10671" s="201"/>
    </row>
    <row r="10672" spans="62:62" x14ac:dyDescent="0.2">
      <c r="BJ10672" s="201"/>
    </row>
    <row r="10673" spans="62:62" x14ac:dyDescent="0.2">
      <c r="BJ10673" s="201"/>
    </row>
    <row r="10674" spans="62:62" x14ac:dyDescent="0.2">
      <c r="BJ10674" s="201"/>
    </row>
    <row r="10675" spans="62:62" x14ac:dyDescent="0.2">
      <c r="BJ10675" s="201"/>
    </row>
    <row r="10676" spans="62:62" x14ac:dyDescent="0.2">
      <c r="BJ10676" s="201"/>
    </row>
    <row r="10677" spans="62:62" x14ac:dyDescent="0.2">
      <c r="BJ10677" s="201"/>
    </row>
    <row r="10678" spans="62:62" x14ac:dyDescent="0.2">
      <c r="BJ10678" s="201"/>
    </row>
    <row r="10679" spans="62:62" x14ac:dyDescent="0.2">
      <c r="BJ10679" s="201"/>
    </row>
    <row r="10680" spans="62:62" x14ac:dyDescent="0.2">
      <c r="BJ10680" s="201"/>
    </row>
    <row r="10681" spans="62:62" x14ac:dyDescent="0.2">
      <c r="BJ10681" s="201"/>
    </row>
    <row r="10682" spans="62:62" x14ac:dyDescent="0.2">
      <c r="BJ10682" s="201"/>
    </row>
    <row r="10683" spans="62:62" x14ac:dyDescent="0.2">
      <c r="BJ10683" s="201"/>
    </row>
    <row r="10684" spans="62:62" x14ac:dyDescent="0.2">
      <c r="BJ10684" s="201"/>
    </row>
    <row r="10685" spans="62:62" x14ac:dyDescent="0.2">
      <c r="BJ10685" s="201"/>
    </row>
    <row r="10686" spans="62:62" x14ac:dyDescent="0.2">
      <c r="BJ10686" s="201"/>
    </row>
    <row r="10687" spans="62:62" x14ac:dyDescent="0.2">
      <c r="BJ10687" s="201"/>
    </row>
    <row r="10688" spans="62:62" x14ac:dyDescent="0.2">
      <c r="BJ10688" s="201"/>
    </row>
    <row r="10689" spans="62:62" x14ac:dyDescent="0.2">
      <c r="BJ10689" s="201"/>
    </row>
    <row r="10690" spans="62:62" x14ac:dyDescent="0.2">
      <c r="BJ10690" s="201"/>
    </row>
    <row r="10691" spans="62:62" x14ac:dyDescent="0.2">
      <c r="BJ10691" s="201"/>
    </row>
    <row r="10692" spans="62:62" x14ac:dyDescent="0.2">
      <c r="BJ10692" s="201"/>
    </row>
    <row r="10693" spans="62:62" x14ac:dyDescent="0.2">
      <c r="BJ10693" s="201"/>
    </row>
    <row r="10694" spans="62:62" x14ac:dyDescent="0.2">
      <c r="BJ10694" s="201"/>
    </row>
    <row r="10695" spans="62:62" x14ac:dyDescent="0.2">
      <c r="BJ10695" s="201"/>
    </row>
    <row r="10696" spans="62:62" x14ac:dyDescent="0.2">
      <c r="BJ10696" s="201"/>
    </row>
    <row r="10697" spans="62:62" x14ac:dyDescent="0.2">
      <c r="BJ10697" s="201"/>
    </row>
    <row r="10698" spans="62:62" x14ac:dyDescent="0.2">
      <c r="BJ10698" s="201"/>
    </row>
    <row r="10699" spans="62:62" x14ac:dyDescent="0.2">
      <c r="BJ10699" s="201"/>
    </row>
    <row r="10700" spans="62:62" x14ac:dyDescent="0.2">
      <c r="BJ10700" s="201"/>
    </row>
    <row r="10701" spans="62:62" x14ac:dyDescent="0.2">
      <c r="BJ10701" s="201"/>
    </row>
    <row r="10702" spans="62:62" x14ac:dyDescent="0.2">
      <c r="BJ10702" s="201"/>
    </row>
    <row r="10703" spans="62:62" x14ac:dyDescent="0.2">
      <c r="BJ10703" s="201"/>
    </row>
    <row r="10704" spans="62:62" x14ac:dyDescent="0.2">
      <c r="BJ10704" s="201"/>
    </row>
    <row r="10705" spans="62:62" x14ac:dyDescent="0.2">
      <c r="BJ10705" s="201"/>
    </row>
    <row r="10706" spans="62:62" x14ac:dyDescent="0.2">
      <c r="BJ10706" s="201"/>
    </row>
    <row r="10707" spans="62:62" x14ac:dyDescent="0.2">
      <c r="BJ10707" s="201"/>
    </row>
    <row r="10708" spans="62:62" x14ac:dyDescent="0.2">
      <c r="BJ10708" s="201"/>
    </row>
    <row r="10709" spans="62:62" x14ac:dyDescent="0.2">
      <c r="BJ10709" s="201"/>
    </row>
    <row r="10710" spans="62:62" x14ac:dyDescent="0.2">
      <c r="BJ10710" s="201"/>
    </row>
    <row r="10711" spans="62:62" x14ac:dyDescent="0.2">
      <c r="BJ10711" s="201"/>
    </row>
    <row r="10712" spans="62:62" x14ac:dyDescent="0.2">
      <c r="BJ10712" s="201"/>
    </row>
    <row r="10713" spans="62:62" x14ac:dyDescent="0.2">
      <c r="BJ10713" s="201"/>
    </row>
    <row r="10714" spans="62:62" x14ac:dyDescent="0.2">
      <c r="BJ10714" s="201"/>
    </row>
    <row r="10715" spans="62:62" x14ac:dyDescent="0.2">
      <c r="BJ10715" s="201"/>
    </row>
    <row r="10716" spans="62:62" x14ac:dyDescent="0.2">
      <c r="BJ10716" s="201"/>
    </row>
    <row r="10717" spans="62:62" x14ac:dyDescent="0.2">
      <c r="BJ10717" s="201"/>
    </row>
    <row r="10718" spans="62:62" x14ac:dyDescent="0.2">
      <c r="BJ10718" s="201"/>
    </row>
    <row r="10719" spans="62:62" x14ac:dyDescent="0.2">
      <c r="BJ10719" s="201"/>
    </row>
    <row r="10720" spans="62:62" x14ac:dyDescent="0.2">
      <c r="BJ10720" s="201"/>
    </row>
    <row r="10721" spans="62:62" x14ac:dyDescent="0.2">
      <c r="BJ10721" s="201"/>
    </row>
    <row r="10722" spans="62:62" x14ac:dyDescent="0.2">
      <c r="BJ10722" s="201"/>
    </row>
    <row r="10723" spans="62:62" x14ac:dyDescent="0.2">
      <c r="BJ10723" s="201"/>
    </row>
    <row r="10724" spans="62:62" x14ac:dyDescent="0.2">
      <c r="BJ10724" s="201"/>
    </row>
    <row r="10725" spans="62:62" x14ac:dyDescent="0.2">
      <c r="BJ10725" s="201"/>
    </row>
    <row r="10726" spans="62:62" x14ac:dyDescent="0.2">
      <c r="BJ10726" s="201"/>
    </row>
    <row r="10727" spans="62:62" x14ac:dyDescent="0.2">
      <c r="BJ10727" s="201"/>
    </row>
    <row r="10728" spans="62:62" x14ac:dyDescent="0.2">
      <c r="BJ10728" s="201"/>
    </row>
    <row r="10729" spans="62:62" x14ac:dyDescent="0.2">
      <c r="BJ10729" s="201"/>
    </row>
    <row r="10730" spans="62:62" x14ac:dyDescent="0.2">
      <c r="BJ10730" s="201"/>
    </row>
    <row r="10731" spans="62:62" x14ac:dyDescent="0.2">
      <c r="BJ10731" s="201"/>
    </row>
    <row r="10732" spans="62:62" x14ac:dyDescent="0.2">
      <c r="BJ10732" s="201"/>
    </row>
    <row r="10733" spans="62:62" x14ac:dyDescent="0.2">
      <c r="BJ10733" s="201"/>
    </row>
    <row r="10734" spans="62:62" x14ac:dyDescent="0.2">
      <c r="BJ10734" s="201"/>
    </row>
    <row r="10735" spans="62:62" x14ac:dyDescent="0.2">
      <c r="BJ10735" s="201"/>
    </row>
    <row r="10736" spans="62:62" x14ac:dyDescent="0.2">
      <c r="BJ10736" s="201"/>
    </row>
    <row r="10737" spans="62:62" x14ac:dyDescent="0.2">
      <c r="BJ10737" s="201"/>
    </row>
    <row r="10738" spans="62:62" x14ac:dyDescent="0.2">
      <c r="BJ10738" s="201"/>
    </row>
    <row r="10739" spans="62:62" x14ac:dyDescent="0.2">
      <c r="BJ10739" s="201"/>
    </row>
    <row r="10740" spans="62:62" x14ac:dyDescent="0.2">
      <c r="BJ10740" s="201"/>
    </row>
    <row r="10741" spans="62:62" x14ac:dyDescent="0.2">
      <c r="BJ10741" s="201"/>
    </row>
    <row r="10742" spans="62:62" x14ac:dyDescent="0.2">
      <c r="BJ10742" s="201"/>
    </row>
    <row r="10743" spans="62:62" x14ac:dyDescent="0.2">
      <c r="BJ10743" s="201"/>
    </row>
    <row r="10744" spans="62:62" x14ac:dyDescent="0.2">
      <c r="BJ10744" s="201"/>
    </row>
    <row r="10745" spans="62:62" x14ac:dyDescent="0.2">
      <c r="BJ10745" s="201"/>
    </row>
    <row r="10746" spans="62:62" x14ac:dyDescent="0.2">
      <c r="BJ10746" s="201"/>
    </row>
    <row r="10747" spans="62:62" x14ac:dyDescent="0.2">
      <c r="BJ10747" s="201"/>
    </row>
    <row r="10748" spans="62:62" x14ac:dyDescent="0.2">
      <c r="BJ10748" s="201"/>
    </row>
    <row r="10749" spans="62:62" x14ac:dyDescent="0.2">
      <c r="BJ10749" s="201"/>
    </row>
    <row r="10750" spans="62:62" x14ac:dyDescent="0.2">
      <c r="BJ10750" s="201"/>
    </row>
    <row r="10751" spans="62:62" x14ac:dyDescent="0.2">
      <c r="BJ10751" s="201"/>
    </row>
    <row r="10752" spans="62:62" x14ac:dyDescent="0.2">
      <c r="BJ10752" s="201"/>
    </row>
    <row r="10753" spans="62:62" x14ac:dyDescent="0.2">
      <c r="BJ10753" s="201"/>
    </row>
    <row r="10754" spans="62:62" x14ac:dyDescent="0.2">
      <c r="BJ10754" s="201"/>
    </row>
    <row r="10755" spans="62:62" x14ac:dyDescent="0.2">
      <c r="BJ10755" s="201"/>
    </row>
    <row r="10756" spans="62:62" x14ac:dyDescent="0.2">
      <c r="BJ10756" s="201"/>
    </row>
    <row r="10757" spans="62:62" x14ac:dyDescent="0.2">
      <c r="BJ10757" s="201"/>
    </row>
    <row r="10758" spans="62:62" x14ac:dyDescent="0.2">
      <c r="BJ10758" s="201"/>
    </row>
    <row r="10759" spans="62:62" x14ac:dyDescent="0.2">
      <c r="BJ10759" s="201"/>
    </row>
    <row r="10760" spans="62:62" x14ac:dyDescent="0.2">
      <c r="BJ10760" s="201"/>
    </row>
    <row r="10761" spans="62:62" x14ac:dyDescent="0.2">
      <c r="BJ10761" s="201"/>
    </row>
    <row r="10762" spans="62:62" x14ac:dyDescent="0.2">
      <c r="BJ10762" s="201"/>
    </row>
    <row r="10763" spans="62:62" x14ac:dyDescent="0.2">
      <c r="BJ10763" s="201"/>
    </row>
    <row r="10764" spans="62:62" x14ac:dyDescent="0.2">
      <c r="BJ10764" s="201"/>
    </row>
    <row r="10765" spans="62:62" x14ac:dyDescent="0.2">
      <c r="BJ10765" s="201"/>
    </row>
    <row r="10766" spans="62:62" x14ac:dyDescent="0.2">
      <c r="BJ10766" s="201"/>
    </row>
    <row r="10767" spans="62:62" x14ac:dyDescent="0.2">
      <c r="BJ10767" s="201"/>
    </row>
    <row r="10768" spans="62:62" x14ac:dyDescent="0.2">
      <c r="BJ10768" s="201"/>
    </row>
    <row r="10769" spans="62:62" x14ac:dyDescent="0.2">
      <c r="BJ10769" s="201"/>
    </row>
    <row r="10770" spans="62:62" x14ac:dyDescent="0.2">
      <c r="BJ10770" s="201"/>
    </row>
    <row r="10771" spans="62:62" x14ac:dyDescent="0.2">
      <c r="BJ10771" s="201"/>
    </row>
    <row r="10772" spans="62:62" x14ac:dyDescent="0.2">
      <c r="BJ10772" s="201"/>
    </row>
    <row r="10773" spans="62:62" x14ac:dyDescent="0.2">
      <c r="BJ10773" s="201"/>
    </row>
    <row r="10774" spans="62:62" x14ac:dyDescent="0.2">
      <c r="BJ10774" s="201"/>
    </row>
    <row r="10775" spans="62:62" x14ac:dyDescent="0.2">
      <c r="BJ10775" s="201"/>
    </row>
    <row r="10776" spans="62:62" x14ac:dyDescent="0.2">
      <c r="BJ10776" s="201"/>
    </row>
    <row r="10777" spans="62:62" x14ac:dyDescent="0.2">
      <c r="BJ10777" s="201"/>
    </row>
    <row r="10778" spans="62:62" x14ac:dyDescent="0.2">
      <c r="BJ10778" s="201"/>
    </row>
    <row r="10779" spans="62:62" x14ac:dyDescent="0.2">
      <c r="BJ10779" s="201"/>
    </row>
    <row r="10780" spans="62:62" x14ac:dyDescent="0.2">
      <c r="BJ10780" s="201"/>
    </row>
    <row r="10781" spans="62:62" x14ac:dyDescent="0.2">
      <c r="BJ10781" s="201"/>
    </row>
    <row r="10782" spans="62:62" x14ac:dyDescent="0.2">
      <c r="BJ10782" s="201"/>
    </row>
    <row r="10783" spans="62:62" x14ac:dyDescent="0.2">
      <c r="BJ10783" s="201"/>
    </row>
    <row r="10784" spans="62:62" x14ac:dyDescent="0.2">
      <c r="BJ10784" s="201"/>
    </row>
    <row r="10785" spans="62:62" x14ac:dyDescent="0.2">
      <c r="BJ10785" s="201"/>
    </row>
    <row r="10786" spans="62:62" x14ac:dyDescent="0.2">
      <c r="BJ10786" s="201"/>
    </row>
    <row r="10787" spans="62:62" x14ac:dyDescent="0.2">
      <c r="BJ10787" s="201"/>
    </row>
    <row r="10788" spans="62:62" x14ac:dyDescent="0.2">
      <c r="BJ10788" s="201"/>
    </row>
    <row r="10789" spans="62:62" x14ac:dyDescent="0.2">
      <c r="BJ10789" s="201"/>
    </row>
    <row r="10790" spans="62:62" x14ac:dyDescent="0.2">
      <c r="BJ10790" s="201"/>
    </row>
    <row r="10791" spans="62:62" x14ac:dyDescent="0.2">
      <c r="BJ10791" s="201"/>
    </row>
    <row r="10792" spans="62:62" x14ac:dyDescent="0.2">
      <c r="BJ10792" s="201"/>
    </row>
    <row r="10793" spans="62:62" x14ac:dyDescent="0.2">
      <c r="BJ10793" s="201"/>
    </row>
    <row r="10794" spans="62:62" x14ac:dyDescent="0.2">
      <c r="BJ10794" s="201"/>
    </row>
    <row r="10795" spans="62:62" x14ac:dyDescent="0.2">
      <c r="BJ10795" s="201"/>
    </row>
    <row r="10796" spans="62:62" x14ac:dyDescent="0.2">
      <c r="BJ10796" s="201"/>
    </row>
    <row r="10797" spans="62:62" x14ac:dyDescent="0.2">
      <c r="BJ10797" s="201"/>
    </row>
    <row r="10798" spans="62:62" x14ac:dyDescent="0.2">
      <c r="BJ10798" s="201"/>
    </row>
    <row r="10799" spans="62:62" x14ac:dyDescent="0.2">
      <c r="BJ10799" s="201"/>
    </row>
    <row r="10800" spans="62:62" x14ac:dyDescent="0.2">
      <c r="BJ10800" s="201"/>
    </row>
    <row r="10801" spans="62:62" x14ac:dyDescent="0.2">
      <c r="BJ10801" s="201"/>
    </row>
    <row r="10802" spans="62:62" x14ac:dyDescent="0.2">
      <c r="BJ10802" s="201"/>
    </row>
    <row r="10803" spans="62:62" x14ac:dyDescent="0.2">
      <c r="BJ10803" s="201"/>
    </row>
    <row r="10804" spans="62:62" x14ac:dyDescent="0.2">
      <c r="BJ10804" s="201"/>
    </row>
    <row r="10805" spans="62:62" x14ac:dyDescent="0.2">
      <c r="BJ10805" s="201"/>
    </row>
    <row r="10806" spans="62:62" x14ac:dyDescent="0.2">
      <c r="BJ10806" s="201"/>
    </row>
    <row r="10807" spans="62:62" x14ac:dyDescent="0.2">
      <c r="BJ10807" s="201"/>
    </row>
    <row r="10808" spans="62:62" x14ac:dyDescent="0.2">
      <c r="BJ10808" s="201"/>
    </row>
    <row r="10809" spans="62:62" x14ac:dyDescent="0.2">
      <c r="BJ10809" s="201"/>
    </row>
    <row r="10810" spans="62:62" x14ac:dyDescent="0.2">
      <c r="BJ10810" s="201"/>
    </row>
    <row r="10811" spans="62:62" x14ac:dyDescent="0.2">
      <c r="BJ10811" s="201"/>
    </row>
    <row r="10812" spans="62:62" x14ac:dyDescent="0.2">
      <c r="BJ10812" s="201"/>
    </row>
    <row r="10813" spans="62:62" x14ac:dyDescent="0.2">
      <c r="BJ10813" s="201"/>
    </row>
    <row r="10814" spans="62:62" x14ac:dyDescent="0.2">
      <c r="BJ10814" s="201"/>
    </row>
    <row r="10815" spans="62:62" x14ac:dyDescent="0.2">
      <c r="BJ10815" s="201"/>
    </row>
    <row r="10816" spans="62:62" x14ac:dyDescent="0.2">
      <c r="BJ10816" s="201"/>
    </row>
    <row r="10817" spans="62:62" x14ac:dyDescent="0.2">
      <c r="BJ10817" s="201"/>
    </row>
    <row r="10818" spans="62:62" x14ac:dyDescent="0.2">
      <c r="BJ10818" s="201"/>
    </row>
    <row r="10819" spans="62:62" x14ac:dyDescent="0.2">
      <c r="BJ10819" s="201"/>
    </row>
    <row r="10820" spans="62:62" x14ac:dyDescent="0.2">
      <c r="BJ10820" s="201"/>
    </row>
    <row r="10821" spans="62:62" x14ac:dyDescent="0.2">
      <c r="BJ10821" s="201"/>
    </row>
    <row r="10822" spans="62:62" x14ac:dyDescent="0.2">
      <c r="BJ10822" s="201"/>
    </row>
    <row r="10823" spans="62:62" x14ac:dyDescent="0.2">
      <c r="BJ10823" s="201"/>
    </row>
    <row r="10824" spans="62:62" x14ac:dyDescent="0.2">
      <c r="BJ10824" s="201"/>
    </row>
    <row r="10825" spans="62:62" x14ac:dyDescent="0.2">
      <c r="BJ10825" s="201"/>
    </row>
    <row r="10826" spans="62:62" x14ac:dyDescent="0.2">
      <c r="BJ10826" s="201"/>
    </row>
    <row r="10827" spans="62:62" x14ac:dyDescent="0.2">
      <c r="BJ10827" s="201"/>
    </row>
    <row r="10828" spans="62:62" x14ac:dyDescent="0.2">
      <c r="BJ10828" s="201"/>
    </row>
    <row r="10829" spans="62:62" x14ac:dyDescent="0.2">
      <c r="BJ10829" s="201"/>
    </row>
    <row r="10830" spans="62:62" x14ac:dyDescent="0.2">
      <c r="BJ10830" s="201"/>
    </row>
    <row r="10831" spans="62:62" x14ac:dyDescent="0.2">
      <c r="BJ10831" s="201"/>
    </row>
    <row r="10832" spans="62:62" x14ac:dyDescent="0.2">
      <c r="BJ10832" s="201"/>
    </row>
    <row r="10833" spans="62:62" x14ac:dyDescent="0.2">
      <c r="BJ10833" s="201"/>
    </row>
    <row r="10834" spans="62:62" x14ac:dyDescent="0.2">
      <c r="BJ10834" s="201"/>
    </row>
    <row r="10835" spans="62:62" x14ac:dyDescent="0.2">
      <c r="BJ10835" s="201"/>
    </row>
    <row r="10836" spans="62:62" x14ac:dyDescent="0.2">
      <c r="BJ10836" s="201"/>
    </row>
    <row r="10837" spans="62:62" x14ac:dyDescent="0.2">
      <c r="BJ10837" s="201"/>
    </row>
    <row r="10838" spans="62:62" x14ac:dyDescent="0.2">
      <c r="BJ10838" s="201"/>
    </row>
    <row r="10839" spans="62:62" x14ac:dyDescent="0.2">
      <c r="BJ10839" s="201"/>
    </row>
    <row r="10840" spans="62:62" x14ac:dyDescent="0.2">
      <c r="BJ10840" s="201"/>
    </row>
    <row r="10841" spans="62:62" x14ac:dyDescent="0.2">
      <c r="BJ10841" s="201"/>
    </row>
    <row r="10842" spans="62:62" x14ac:dyDescent="0.2">
      <c r="BJ10842" s="201"/>
    </row>
    <row r="10843" spans="62:62" x14ac:dyDescent="0.2">
      <c r="BJ10843" s="201"/>
    </row>
    <row r="10844" spans="62:62" x14ac:dyDescent="0.2">
      <c r="BJ10844" s="201"/>
    </row>
    <row r="10845" spans="62:62" x14ac:dyDescent="0.2">
      <c r="BJ10845" s="201"/>
    </row>
    <row r="10846" spans="62:62" x14ac:dyDescent="0.2">
      <c r="BJ10846" s="201"/>
    </row>
    <row r="10847" spans="62:62" x14ac:dyDescent="0.2">
      <c r="BJ10847" s="201"/>
    </row>
    <row r="10848" spans="62:62" x14ac:dyDescent="0.2">
      <c r="BJ10848" s="201"/>
    </row>
    <row r="10849" spans="62:62" x14ac:dyDescent="0.2">
      <c r="BJ10849" s="201"/>
    </row>
    <row r="10850" spans="62:62" x14ac:dyDescent="0.2">
      <c r="BJ10850" s="201"/>
    </row>
    <row r="10851" spans="62:62" x14ac:dyDescent="0.2">
      <c r="BJ10851" s="201"/>
    </row>
    <row r="10852" spans="62:62" x14ac:dyDescent="0.2">
      <c r="BJ10852" s="201"/>
    </row>
    <row r="10853" spans="62:62" x14ac:dyDescent="0.2">
      <c r="BJ10853" s="201"/>
    </row>
    <row r="10854" spans="62:62" x14ac:dyDescent="0.2">
      <c r="BJ10854" s="201"/>
    </row>
    <row r="10855" spans="62:62" x14ac:dyDescent="0.2">
      <c r="BJ10855" s="201"/>
    </row>
    <row r="10856" spans="62:62" x14ac:dyDescent="0.2">
      <c r="BJ10856" s="201"/>
    </row>
    <row r="10857" spans="62:62" x14ac:dyDescent="0.2">
      <c r="BJ10857" s="201"/>
    </row>
    <row r="10858" spans="62:62" x14ac:dyDescent="0.2">
      <c r="BJ10858" s="201"/>
    </row>
    <row r="10859" spans="62:62" x14ac:dyDescent="0.2">
      <c r="BJ10859" s="201"/>
    </row>
    <row r="10860" spans="62:62" x14ac:dyDescent="0.2">
      <c r="BJ10860" s="201"/>
    </row>
    <row r="10861" spans="62:62" x14ac:dyDescent="0.2">
      <c r="BJ10861" s="201"/>
    </row>
    <row r="10862" spans="62:62" x14ac:dyDescent="0.2">
      <c r="BJ10862" s="201"/>
    </row>
    <row r="10863" spans="62:62" x14ac:dyDescent="0.2">
      <c r="BJ10863" s="201"/>
    </row>
    <row r="10864" spans="62:62" x14ac:dyDescent="0.2">
      <c r="BJ10864" s="201"/>
    </row>
    <row r="10865" spans="62:62" x14ac:dyDescent="0.2">
      <c r="BJ10865" s="201"/>
    </row>
    <row r="10866" spans="62:62" x14ac:dyDescent="0.2">
      <c r="BJ10866" s="201"/>
    </row>
    <row r="10867" spans="62:62" x14ac:dyDescent="0.2">
      <c r="BJ10867" s="201"/>
    </row>
    <row r="10868" spans="62:62" x14ac:dyDescent="0.2">
      <c r="BJ10868" s="201"/>
    </row>
    <row r="10869" spans="62:62" x14ac:dyDescent="0.2">
      <c r="BJ10869" s="201"/>
    </row>
    <row r="10870" spans="62:62" x14ac:dyDescent="0.2">
      <c r="BJ10870" s="201"/>
    </row>
    <row r="10871" spans="62:62" x14ac:dyDescent="0.2">
      <c r="BJ10871" s="201"/>
    </row>
    <row r="10872" spans="62:62" x14ac:dyDescent="0.2">
      <c r="BJ10872" s="201"/>
    </row>
    <row r="10873" spans="62:62" x14ac:dyDescent="0.2">
      <c r="BJ10873" s="201"/>
    </row>
    <row r="10874" spans="62:62" x14ac:dyDescent="0.2">
      <c r="BJ10874" s="201"/>
    </row>
    <row r="10875" spans="62:62" x14ac:dyDescent="0.2">
      <c r="BJ10875" s="201"/>
    </row>
    <row r="10876" spans="62:62" x14ac:dyDescent="0.2">
      <c r="BJ10876" s="201"/>
    </row>
    <row r="10877" spans="62:62" x14ac:dyDescent="0.2">
      <c r="BJ10877" s="201"/>
    </row>
    <row r="10878" spans="62:62" x14ac:dyDescent="0.2">
      <c r="BJ10878" s="201"/>
    </row>
    <row r="10879" spans="62:62" x14ac:dyDescent="0.2">
      <c r="BJ10879" s="201"/>
    </row>
    <row r="10880" spans="62:62" x14ac:dyDescent="0.2">
      <c r="BJ10880" s="201"/>
    </row>
    <row r="10881" spans="62:62" x14ac:dyDescent="0.2">
      <c r="BJ10881" s="201"/>
    </row>
    <row r="10882" spans="62:62" x14ac:dyDescent="0.2">
      <c r="BJ10882" s="201"/>
    </row>
    <row r="10883" spans="62:62" x14ac:dyDescent="0.2">
      <c r="BJ10883" s="201"/>
    </row>
    <row r="10884" spans="62:62" x14ac:dyDescent="0.2">
      <c r="BJ10884" s="201"/>
    </row>
    <row r="10885" spans="62:62" x14ac:dyDescent="0.2">
      <c r="BJ10885" s="201"/>
    </row>
    <row r="10886" spans="62:62" x14ac:dyDescent="0.2">
      <c r="BJ10886" s="201"/>
    </row>
    <row r="10887" spans="62:62" x14ac:dyDescent="0.2">
      <c r="BJ10887" s="201"/>
    </row>
    <row r="10888" spans="62:62" x14ac:dyDescent="0.2">
      <c r="BJ10888" s="201"/>
    </row>
    <row r="10889" spans="62:62" x14ac:dyDescent="0.2">
      <c r="BJ10889" s="201"/>
    </row>
    <row r="10890" spans="62:62" x14ac:dyDescent="0.2">
      <c r="BJ10890" s="201"/>
    </row>
    <row r="10891" spans="62:62" x14ac:dyDescent="0.2">
      <c r="BJ10891" s="201"/>
    </row>
    <row r="10892" spans="62:62" x14ac:dyDescent="0.2">
      <c r="BJ10892" s="201"/>
    </row>
    <row r="10893" spans="62:62" x14ac:dyDescent="0.2">
      <c r="BJ10893" s="201"/>
    </row>
    <row r="10894" spans="62:62" x14ac:dyDescent="0.2">
      <c r="BJ10894" s="201"/>
    </row>
    <row r="10895" spans="62:62" x14ac:dyDescent="0.2">
      <c r="BJ10895" s="201"/>
    </row>
    <row r="10896" spans="62:62" x14ac:dyDescent="0.2">
      <c r="BJ10896" s="201"/>
    </row>
    <row r="10897" spans="62:62" x14ac:dyDescent="0.2">
      <c r="BJ10897" s="201"/>
    </row>
    <row r="10898" spans="62:62" x14ac:dyDescent="0.2">
      <c r="BJ10898" s="201"/>
    </row>
    <row r="10899" spans="62:62" x14ac:dyDescent="0.2">
      <c r="BJ10899" s="201"/>
    </row>
    <row r="10900" spans="62:62" x14ac:dyDescent="0.2">
      <c r="BJ10900" s="201"/>
    </row>
    <row r="10901" spans="62:62" x14ac:dyDescent="0.2">
      <c r="BJ10901" s="201"/>
    </row>
    <row r="10902" spans="62:62" x14ac:dyDescent="0.2">
      <c r="BJ10902" s="201"/>
    </row>
    <row r="10903" spans="62:62" x14ac:dyDescent="0.2">
      <c r="BJ10903" s="201"/>
    </row>
    <row r="10904" spans="62:62" x14ac:dyDescent="0.2">
      <c r="BJ10904" s="201"/>
    </row>
    <row r="10905" spans="62:62" x14ac:dyDescent="0.2">
      <c r="BJ10905" s="201"/>
    </row>
    <row r="10906" spans="62:62" x14ac:dyDescent="0.2">
      <c r="BJ10906" s="201"/>
    </row>
    <row r="10907" spans="62:62" x14ac:dyDescent="0.2">
      <c r="BJ10907" s="201"/>
    </row>
    <row r="10908" spans="62:62" x14ac:dyDescent="0.2">
      <c r="BJ10908" s="201"/>
    </row>
    <row r="10909" spans="62:62" x14ac:dyDescent="0.2">
      <c r="BJ10909" s="201"/>
    </row>
    <row r="10910" spans="62:62" x14ac:dyDescent="0.2">
      <c r="BJ10910" s="201"/>
    </row>
    <row r="10911" spans="62:62" x14ac:dyDescent="0.2">
      <c r="BJ10911" s="201"/>
    </row>
    <row r="10912" spans="62:62" x14ac:dyDescent="0.2">
      <c r="BJ10912" s="201"/>
    </row>
    <row r="10913" spans="62:62" x14ac:dyDescent="0.2">
      <c r="BJ10913" s="201"/>
    </row>
    <row r="10914" spans="62:62" x14ac:dyDescent="0.2">
      <c r="BJ10914" s="201"/>
    </row>
    <row r="10915" spans="62:62" x14ac:dyDescent="0.2">
      <c r="BJ10915" s="201"/>
    </row>
    <row r="10916" spans="62:62" x14ac:dyDescent="0.2">
      <c r="BJ10916" s="201"/>
    </row>
    <row r="10917" spans="62:62" x14ac:dyDescent="0.2">
      <c r="BJ10917" s="201"/>
    </row>
    <row r="10918" spans="62:62" x14ac:dyDescent="0.2">
      <c r="BJ10918" s="201"/>
    </row>
    <row r="10919" spans="62:62" x14ac:dyDescent="0.2">
      <c r="BJ10919" s="201"/>
    </row>
    <row r="10920" spans="62:62" x14ac:dyDescent="0.2">
      <c r="BJ10920" s="201"/>
    </row>
    <row r="10921" spans="62:62" x14ac:dyDescent="0.2">
      <c r="BJ10921" s="201"/>
    </row>
    <row r="10922" spans="62:62" x14ac:dyDescent="0.2">
      <c r="BJ10922" s="201"/>
    </row>
    <row r="10923" spans="62:62" x14ac:dyDescent="0.2">
      <c r="BJ10923" s="201"/>
    </row>
    <row r="10924" spans="62:62" x14ac:dyDescent="0.2">
      <c r="BJ10924" s="201"/>
    </row>
    <row r="10925" spans="62:62" x14ac:dyDescent="0.2">
      <c r="BJ10925" s="201"/>
    </row>
    <row r="10926" spans="62:62" x14ac:dyDescent="0.2">
      <c r="BJ10926" s="201"/>
    </row>
    <row r="10927" spans="62:62" x14ac:dyDescent="0.2">
      <c r="BJ10927" s="201"/>
    </row>
    <row r="10928" spans="62:62" x14ac:dyDescent="0.2">
      <c r="BJ10928" s="201"/>
    </row>
    <row r="10929" spans="62:62" x14ac:dyDescent="0.2">
      <c r="BJ10929" s="201"/>
    </row>
    <row r="10930" spans="62:62" x14ac:dyDescent="0.2">
      <c r="BJ10930" s="201"/>
    </row>
    <row r="10931" spans="62:62" x14ac:dyDescent="0.2">
      <c r="BJ10931" s="201"/>
    </row>
    <row r="10932" spans="62:62" x14ac:dyDescent="0.2">
      <c r="BJ10932" s="201"/>
    </row>
    <row r="10933" spans="62:62" x14ac:dyDescent="0.2">
      <c r="BJ10933" s="201"/>
    </row>
    <row r="10934" spans="62:62" x14ac:dyDescent="0.2">
      <c r="BJ10934" s="201"/>
    </row>
    <row r="10935" spans="62:62" x14ac:dyDescent="0.2">
      <c r="BJ10935" s="201"/>
    </row>
    <row r="10936" spans="62:62" x14ac:dyDescent="0.2">
      <c r="BJ10936" s="201"/>
    </row>
    <row r="10937" spans="62:62" x14ac:dyDescent="0.2">
      <c r="BJ10937" s="201"/>
    </row>
    <row r="10938" spans="62:62" x14ac:dyDescent="0.2">
      <c r="BJ10938" s="201"/>
    </row>
    <row r="10939" spans="62:62" x14ac:dyDescent="0.2">
      <c r="BJ10939" s="201"/>
    </row>
    <row r="10940" spans="62:62" x14ac:dyDescent="0.2">
      <c r="BJ10940" s="201"/>
    </row>
    <row r="10941" spans="62:62" x14ac:dyDescent="0.2">
      <c r="BJ10941" s="201"/>
    </row>
    <row r="10942" spans="62:62" x14ac:dyDescent="0.2">
      <c r="BJ10942" s="201"/>
    </row>
    <row r="10943" spans="62:62" x14ac:dyDescent="0.2">
      <c r="BJ10943" s="201"/>
    </row>
    <row r="10944" spans="62:62" x14ac:dyDescent="0.2">
      <c r="BJ10944" s="201"/>
    </row>
    <row r="10945" spans="62:62" x14ac:dyDescent="0.2">
      <c r="BJ10945" s="201"/>
    </row>
    <row r="10946" spans="62:62" x14ac:dyDescent="0.2">
      <c r="BJ10946" s="201"/>
    </row>
    <row r="10947" spans="62:62" x14ac:dyDescent="0.2">
      <c r="BJ10947" s="201"/>
    </row>
    <row r="10948" spans="62:62" x14ac:dyDescent="0.2">
      <c r="BJ10948" s="201"/>
    </row>
    <row r="10949" spans="62:62" x14ac:dyDescent="0.2">
      <c r="BJ10949" s="201"/>
    </row>
    <row r="10950" spans="62:62" x14ac:dyDescent="0.2">
      <c r="BJ10950" s="201"/>
    </row>
    <row r="10951" spans="62:62" x14ac:dyDescent="0.2">
      <c r="BJ10951" s="201"/>
    </row>
    <row r="10952" spans="62:62" x14ac:dyDescent="0.2">
      <c r="BJ10952" s="201"/>
    </row>
    <row r="10953" spans="62:62" x14ac:dyDescent="0.2">
      <c r="BJ10953" s="201"/>
    </row>
    <row r="10954" spans="62:62" x14ac:dyDescent="0.2">
      <c r="BJ10954" s="201"/>
    </row>
    <row r="10955" spans="62:62" x14ac:dyDescent="0.2">
      <c r="BJ10955" s="201"/>
    </row>
    <row r="10956" spans="62:62" x14ac:dyDescent="0.2">
      <c r="BJ10956" s="201"/>
    </row>
    <row r="10957" spans="62:62" x14ac:dyDescent="0.2">
      <c r="BJ10957" s="201"/>
    </row>
    <row r="10958" spans="62:62" x14ac:dyDescent="0.2">
      <c r="BJ10958" s="201"/>
    </row>
    <row r="10959" spans="62:62" x14ac:dyDescent="0.2">
      <c r="BJ10959" s="201"/>
    </row>
    <row r="10960" spans="62:62" x14ac:dyDescent="0.2">
      <c r="BJ10960" s="201"/>
    </row>
    <row r="10961" spans="62:62" x14ac:dyDescent="0.2">
      <c r="BJ10961" s="201"/>
    </row>
    <row r="10962" spans="62:62" x14ac:dyDescent="0.2">
      <c r="BJ10962" s="201"/>
    </row>
    <row r="10963" spans="62:62" x14ac:dyDescent="0.2">
      <c r="BJ10963" s="201"/>
    </row>
    <row r="10964" spans="62:62" x14ac:dyDescent="0.2">
      <c r="BJ10964" s="201"/>
    </row>
    <row r="10965" spans="62:62" x14ac:dyDescent="0.2">
      <c r="BJ10965" s="201"/>
    </row>
    <row r="10966" spans="62:62" x14ac:dyDescent="0.2">
      <c r="BJ10966" s="201"/>
    </row>
    <row r="10967" spans="62:62" x14ac:dyDescent="0.2">
      <c r="BJ10967" s="201"/>
    </row>
    <row r="10968" spans="62:62" x14ac:dyDescent="0.2">
      <c r="BJ10968" s="201"/>
    </row>
    <row r="10969" spans="62:62" x14ac:dyDescent="0.2">
      <c r="BJ10969" s="201"/>
    </row>
    <row r="10970" spans="62:62" x14ac:dyDescent="0.2">
      <c r="BJ10970" s="201"/>
    </row>
    <row r="10971" spans="62:62" x14ac:dyDescent="0.2">
      <c r="BJ10971" s="201"/>
    </row>
    <row r="10972" spans="62:62" x14ac:dyDescent="0.2">
      <c r="BJ10972" s="201"/>
    </row>
    <row r="10973" spans="62:62" x14ac:dyDescent="0.2">
      <c r="BJ10973" s="201"/>
    </row>
    <row r="10974" spans="62:62" x14ac:dyDescent="0.2">
      <c r="BJ10974" s="201"/>
    </row>
    <row r="10975" spans="62:62" x14ac:dyDescent="0.2">
      <c r="BJ10975" s="201"/>
    </row>
    <row r="10976" spans="62:62" x14ac:dyDescent="0.2">
      <c r="BJ10976" s="201"/>
    </row>
    <row r="10977" spans="62:62" x14ac:dyDescent="0.2">
      <c r="BJ10977" s="201"/>
    </row>
    <row r="10978" spans="62:62" x14ac:dyDescent="0.2">
      <c r="BJ10978" s="201"/>
    </row>
    <row r="10979" spans="62:62" x14ac:dyDescent="0.2">
      <c r="BJ10979" s="201"/>
    </row>
    <row r="10980" spans="62:62" x14ac:dyDescent="0.2">
      <c r="BJ10980" s="201"/>
    </row>
    <row r="10981" spans="62:62" x14ac:dyDescent="0.2">
      <c r="BJ10981" s="201"/>
    </row>
    <row r="10982" spans="62:62" x14ac:dyDescent="0.2">
      <c r="BJ10982" s="201"/>
    </row>
    <row r="10983" spans="62:62" x14ac:dyDescent="0.2">
      <c r="BJ10983" s="201"/>
    </row>
    <row r="10984" spans="62:62" x14ac:dyDescent="0.2">
      <c r="BJ10984" s="201"/>
    </row>
    <row r="10985" spans="62:62" x14ac:dyDescent="0.2">
      <c r="BJ10985" s="201"/>
    </row>
    <row r="10986" spans="62:62" x14ac:dyDescent="0.2">
      <c r="BJ10986" s="201"/>
    </row>
    <row r="10987" spans="62:62" x14ac:dyDescent="0.2">
      <c r="BJ10987" s="201"/>
    </row>
    <row r="10988" spans="62:62" x14ac:dyDescent="0.2">
      <c r="BJ10988" s="201"/>
    </row>
    <row r="10989" spans="62:62" x14ac:dyDescent="0.2">
      <c r="BJ10989" s="201"/>
    </row>
    <row r="10990" spans="62:62" x14ac:dyDescent="0.2">
      <c r="BJ10990" s="201"/>
    </row>
    <row r="10991" spans="62:62" x14ac:dyDescent="0.2">
      <c r="BJ10991" s="201"/>
    </row>
    <row r="10992" spans="62:62" x14ac:dyDescent="0.2">
      <c r="BJ10992" s="201"/>
    </row>
    <row r="10993" spans="62:62" x14ac:dyDescent="0.2">
      <c r="BJ10993" s="201"/>
    </row>
    <row r="10994" spans="62:62" x14ac:dyDescent="0.2">
      <c r="BJ10994" s="201"/>
    </row>
    <row r="10995" spans="62:62" x14ac:dyDescent="0.2">
      <c r="BJ10995" s="201"/>
    </row>
    <row r="10996" spans="62:62" x14ac:dyDescent="0.2">
      <c r="BJ10996" s="201"/>
    </row>
    <row r="10997" spans="62:62" x14ac:dyDescent="0.2">
      <c r="BJ10997" s="201"/>
    </row>
    <row r="10998" spans="62:62" x14ac:dyDescent="0.2">
      <c r="BJ10998" s="201"/>
    </row>
    <row r="10999" spans="62:62" x14ac:dyDescent="0.2">
      <c r="BJ10999" s="201"/>
    </row>
    <row r="11000" spans="62:62" x14ac:dyDescent="0.2">
      <c r="BJ11000" s="201"/>
    </row>
    <row r="11001" spans="62:62" x14ac:dyDescent="0.2">
      <c r="BJ11001" s="201"/>
    </row>
    <row r="11002" spans="62:62" x14ac:dyDescent="0.2">
      <c r="BJ11002" s="201"/>
    </row>
    <row r="11003" spans="62:62" x14ac:dyDescent="0.2">
      <c r="BJ11003" s="201"/>
    </row>
    <row r="11004" spans="62:62" x14ac:dyDescent="0.2">
      <c r="BJ11004" s="201"/>
    </row>
    <row r="11005" spans="62:62" x14ac:dyDescent="0.2">
      <c r="BJ11005" s="201"/>
    </row>
    <row r="11006" spans="62:62" x14ac:dyDescent="0.2">
      <c r="BJ11006" s="201"/>
    </row>
    <row r="11007" spans="62:62" x14ac:dyDescent="0.2">
      <c r="BJ11007" s="201"/>
    </row>
    <row r="11008" spans="62:62" x14ac:dyDescent="0.2">
      <c r="BJ11008" s="201"/>
    </row>
    <row r="11009" spans="62:62" x14ac:dyDescent="0.2">
      <c r="BJ11009" s="201"/>
    </row>
    <row r="11010" spans="62:62" x14ac:dyDescent="0.2">
      <c r="BJ11010" s="201"/>
    </row>
    <row r="11011" spans="62:62" x14ac:dyDescent="0.2">
      <c r="BJ11011" s="201"/>
    </row>
    <row r="11012" spans="62:62" x14ac:dyDescent="0.2">
      <c r="BJ11012" s="201"/>
    </row>
    <row r="11013" spans="62:62" x14ac:dyDescent="0.2">
      <c r="BJ11013" s="201"/>
    </row>
    <row r="11014" spans="62:62" x14ac:dyDescent="0.2">
      <c r="BJ11014" s="201"/>
    </row>
    <row r="11015" spans="62:62" x14ac:dyDescent="0.2">
      <c r="BJ11015" s="201"/>
    </row>
    <row r="11016" spans="62:62" x14ac:dyDescent="0.2">
      <c r="BJ11016" s="201"/>
    </row>
    <row r="11017" spans="62:62" x14ac:dyDescent="0.2">
      <c r="BJ11017" s="201"/>
    </row>
    <row r="11018" spans="62:62" x14ac:dyDescent="0.2">
      <c r="BJ11018" s="201"/>
    </row>
    <row r="11019" spans="62:62" x14ac:dyDescent="0.2">
      <c r="BJ11019" s="201"/>
    </row>
    <row r="11020" spans="62:62" x14ac:dyDescent="0.2">
      <c r="BJ11020" s="201"/>
    </row>
    <row r="11021" spans="62:62" x14ac:dyDescent="0.2">
      <c r="BJ11021" s="201"/>
    </row>
    <row r="11022" spans="62:62" x14ac:dyDescent="0.2">
      <c r="BJ11022" s="201"/>
    </row>
    <row r="11023" spans="62:62" x14ac:dyDescent="0.2">
      <c r="BJ11023" s="201"/>
    </row>
    <row r="11024" spans="62:62" x14ac:dyDescent="0.2">
      <c r="BJ11024" s="201"/>
    </row>
    <row r="11025" spans="62:62" x14ac:dyDescent="0.2">
      <c r="BJ11025" s="201"/>
    </row>
    <row r="11026" spans="62:62" x14ac:dyDescent="0.2">
      <c r="BJ11026" s="201"/>
    </row>
    <row r="11027" spans="62:62" x14ac:dyDescent="0.2">
      <c r="BJ11027" s="201"/>
    </row>
    <row r="11028" spans="62:62" x14ac:dyDescent="0.2">
      <c r="BJ11028" s="201"/>
    </row>
    <row r="11029" spans="62:62" x14ac:dyDescent="0.2">
      <c r="BJ11029" s="201"/>
    </row>
    <row r="11030" spans="62:62" x14ac:dyDescent="0.2">
      <c r="BJ11030" s="201"/>
    </row>
    <row r="11031" spans="62:62" x14ac:dyDescent="0.2">
      <c r="BJ11031" s="201"/>
    </row>
    <row r="11032" spans="62:62" x14ac:dyDescent="0.2">
      <c r="BJ11032" s="201"/>
    </row>
    <row r="11033" spans="62:62" x14ac:dyDescent="0.2">
      <c r="BJ11033" s="201"/>
    </row>
    <row r="11034" spans="62:62" x14ac:dyDescent="0.2">
      <c r="BJ11034" s="201"/>
    </row>
    <row r="11035" spans="62:62" x14ac:dyDescent="0.2">
      <c r="BJ11035" s="201"/>
    </row>
    <row r="11036" spans="62:62" x14ac:dyDescent="0.2">
      <c r="BJ11036" s="201"/>
    </row>
    <row r="11037" spans="62:62" x14ac:dyDescent="0.2">
      <c r="BJ11037" s="201"/>
    </row>
    <row r="11038" spans="62:62" x14ac:dyDescent="0.2">
      <c r="BJ11038" s="201"/>
    </row>
    <row r="11039" spans="62:62" x14ac:dyDescent="0.2">
      <c r="BJ11039" s="201"/>
    </row>
    <row r="11040" spans="62:62" x14ac:dyDescent="0.2">
      <c r="BJ11040" s="201"/>
    </row>
    <row r="11041" spans="62:62" x14ac:dyDescent="0.2">
      <c r="BJ11041" s="201"/>
    </row>
    <row r="11042" spans="62:62" x14ac:dyDescent="0.2">
      <c r="BJ11042" s="201"/>
    </row>
    <row r="11043" spans="62:62" x14ac:dyDescent="0.2">
      <c r="BJ11043" s="201"/>
    </row>
    <row r="11044" spans="62:62" x14ac:dyDescent="0.2">
      <c r="BJ11044" s="201"/>
    </row>
    <row r="11045" spans="62:62" x14ac:dyDescent="0.2">
      <c r="BJ11045" s="201"/>
    </row>
    <row r="11046" spans="62:62" x14ac:dyDescent="0.2">
      <c r="BJ11046" s="201"/>
    </row>
    <row r="11047" spans="62:62" x14ac:dyDescent="0.2">
      <c r="BJ11047" s="201"/>
    </row>
    <row r="11048" spans="62:62" x14ac:dyDescent="0.2">
      <c r="BJ11048" s="201"/>
    </row>
    <row r="11049" spans="62:62" x14ac:dyDescent="0.2">
      <c r="BJ11049" s="201"/>
    </row>
    <row r="11050" spans="62:62" x14ac:dyDescent="0.2">
      <c r="BJ11050" s="201"/>
    </row>
    <row r="11051" spans="62:62" x14ac:dyDescent="0.2">
      <c r="BJ11051" s="201"/>
    </row>
    <row r="11052" spans="62:62" x14ac:dyDescent="0.2">
      <c r="BJ11052" s="201"/>
    </row>
    <row r="11053" spans="62:62" x14ac:dyDescent="0.2">
      <c r="BJ11053" s="201"/>
    </row>
    <row r="11054" spans="62:62" x14ac:dyDescent="0.2">
      <c r="BJ11054" s="201"/>
    </row>
    <row r="11055" spans="62:62" x14ac:dyDescent="0.2">
      <c r="BJ11055" s="201"/>
    </row>
    <row r="11056" spans="62:62" x14ac:dyDescent="0.2">
      <c r="BJ11056" s="201"/>
    </row>
    <row r="11057" spans="62:62" x14ac:dyDescent="0.2">
      <c r="BJ11057" s="201"/>
    </row>
    <row r="11058" spans="62:62" x14ac:dyDescent="0.2">
      <c r="BJ11058" s="201"/>
    </row>
    <row r="11059" spans="62:62" x14ac:dyDescent="0.2">
      <c r="BJ11059" s="201"/>
    </row>
    <row r="11060" spans="62:62" x14ac:dyDescent="0.2">
      <c r="BJ11060" s="201"/>
    </row>
    <row r="11061" spans="62:62" x14ac:dyDescent="0.2">
      <c r="BJ11061" s="201"/>
    </row>
    <row r="11062" spans="62:62" x14ac:dyDescent="0.2">
      <c r="BJ11062" s="201"/>
    </row>
    <row r="11063" spans="62:62" x14ac:dyDescent="0.2">
      <c r="BJ11063" s="201"/>
    </row>
    <row r="11064" spans="62:62" x14ac:dyDescent="0.2">
      <c r="BJ11064" s="201"/>
    </row>
    <row r="11065" spans="62:62" x14ac:dyDescent="0.2">
      <c r="BJ11065" s="201"/>
    </row>
    <row r="11066" spans="62:62" x14ac:dyDescent="0.2">
      <c r="BJ11066" s="201"/>
    </row>
    <row r="11067" spans="62:62" x14ac:dyDescent="0.2">
      <c r="BJ11067" s="201"/>
    </row>
    <row r="11068" spans="62:62" x14ac:dyDescent="0.2">
      <c r="BJ11068" s="201"/>
    </row>
    <row r="11069" spans="62:62" x14ac:dyDescent="0.2">
      <c r="BJ11069" s="201"/>
    </row>
    <row r="11070" spans="62:62" x14ac:dyDescent="0.2">
      <c r="BJ11070" s="201"/>
    </row>
    <row r="11071" spans="62:62" x14ac:dyDescent="0.2">
      <c r="BJ11071" s="201"/>
    </row>
    <row r="11072" spans="62:62" x14ac:dyDescent="0.2">
      <c r="BJ11072" s="201"/>
    </row>
    <row r="11073" spans="62:62" x14ac:dyDescent="0.2">
      <c r="BJ11073" s="201"/>
    </row>
    <row r="11074" spans="62:62" x14ac:dyDescent="0.2">
      <c r="BJ11074" s="201"/>
    </row>
    <row r="11075" spans="62:62" x14ac:dyDescent="0.2">
      <c r="BJ11075" s="201"/>
    </row>
    <row r="11076" spans="62:62" x14ac:dyDescent="0.2">
      <c r="BJ11076" s="201"/>
    </row>
    <row r="11077" spans="62:62" x14ac:dyDescent="0.2">
      <c r="BJ11077" s="201"/>
    </row>
    <row r="11078" spans="62:62" x14ac:dyDescent="0.2">
      <c r="BJ11078" s="201"/>
    </row>
    <row r="11079" spans="62:62" x14ac:dyDescent="0.2">
      <c r="BJ11079" s="201"/>
    </row>
    <row r="11080" spans="62:62" x14ac:dyDescent="0.2">
      <c r="BJ11080" s="201"/>
    </row>
    <row r="11081" spans="62:62" x14ac:dyDescent="0.2">
      <c r="BJ11081" s="201"/>
    </row>
    <row r="11082" spans="62:62" x14ac:dyDescent="0.2">
      <c r="BJ11082" s="201"/>
    </row>
    <row r="11083" spans="62:62" x14ac:dyDescent="0.2">
      <c r="BJ11083" s="201"/>
    </row>
    <row r="11084" spans="62:62" x14ac:dyDescent="0.2">
      <c r="BJ11084" s="201"/>
    </row>
    <row r="11085" spans="62:62" x14ac:dyDescent="0.2">
      <c r="BJ11085" s="201"/>
    </row>
    <row r="11086" spans="62:62" x14ac:dyDescent="0.2">
      <c r="BJ11086" s="201"/>
    </row>
    <row r="11087" spans="62:62" x14ac:dyDescent="0.2">
      <c r="BJ11087" s="201"/>
    </row>
    <row r="11088" spans="62:62" x14ac:dyDescent="0.2">
      <c r="BJ11088" s="201"/>
    </row>
    <row r="11089" spans="62:62" x14ac:dyDescent="0.2">
      <c r="BJ11089" s="201"/>
    </row>
    <row r="11090" spans="62:62" x14ac:dyDescent="0.2">
      <c r="BJ11090" s="201"/>
    </row>
    <row r="11091" spans="62:62" x14ac:dyDescent="0.2">
      <c r="BJ11091" s="201"/>
    </row>
    <row r="11092" spans="62:62" x14ac:dyDescent="0.2">
      <c r="BJ11092" s="201"/>
    </row>
    <row r="11093" spans="62:62" x14ac:dyDescent="0.2">
      <c r="BJ11093" s="201"/>
    </row>
    <row r="11094" spans="62:62" x14ac:dyDescent="0.2">
      <c r="BJ11094" s="201"/>
    </row>
    <row r="11095" spans="62:62" x14ac:dyDescent="0.2">
      <c r="BJ11095" s="201"/>
    </row>
    <row r="11096" spans="62:62" x14ac:dyDescent="0.2">
      <c r="BJ11096" s="201"/>
    </row>
    <row r="11097" spans="62:62" x14ac:dyDescent="0.2">
      <c r="BJ11097" s="201"/>
    </row>
    <row r="11098" spans="62:62" x14ac:dyDescent="0.2">
      <c r="BJ11098" s="201"/>
    </row>
    <row r="11099" spans="62:62" x14ac:dyDescent="0.2">
      <c r="BJ11099" s="201"/>
    </row>
    <row r="11100" spans="62:62" x14ac:dyDescent="0.2">
      <c r="BJ11100" s="201"/>
    </row>
    <row r="11101" spans="62:62" x14ac:dyDescent="0.2">
      <c r="BJ11101" s="201"/>
    </row>
    <row r="11102" spans="62:62" x14ac:dyDescent="0.2">
      <c r="BJ11102" s="201"/>
    </row>
    <row r="11103" spans="62:62" x14ac:dyDescent="0.2">
      <c r="BJ11103" s="201"/>
    </row>
    <row r="11104" spans="62:62" x14ac:dyDescent="0.2">
      <c r="BJ11104" s="201"/>
    </row>
    <row r="11105" spans="62:62" x14ac:dyDescent="0.2">
      <c r="BJ11105" s="201"/>
    </row>
    <row r="11106" spans="62:62" x14ac:dyDescent="0.2">
      <c r="BJ11106" s="201"/>
    </row>
    <row r="11107" spans="62:62" x14ac:dyDescent="0.2">
      <c r="BJ11107" s="201"/>
    </row>
    <row r="11108" spans="62:62" x14ac:dyDescent="0.2">
      <c r="BJ11108" s="201"/>
    </row>
    <row r="11109" spans="62:62" x14ac:dyDescent="0.2">
      <c r="BJ11109" s="201"/>
    </row>
    <row r="11110" spans="62:62" x14ac:dyDescent="0.2">
      <c r="BJ11110" s="201"/>
    </row>
    <row r="11111" spans="62:62" x14ac:dyDescent="0.2">
      <c r="BJ11111" s="201"/>
    </row>
    <row r="11112" spans="62:62" x14ac:dyDescent="0.2">
      <c r="BJ11112" s="201"/>
    </row>
    <row r="11113" spans="62:62" x14ac:dyDescent="0.2">
      <c r="BJ11113" s="201"/>
    </row>
    <row r="11114" spans="62:62" x14ac:dyDescent="0.2">
      <c r="BJ11114" s="201"/>
    </row>
    <row r="11115" spans="62:62" x14ac:dyDescent="0.2">
      <c r="BJ11115" s="201"/>
    </row>
    <row r="11116" spans="62:62" x14ac:dyDescent="0.2">
      <c r="BJ11116" s="201"/>
    </row>
    <row r="11117" spans="62:62" x14ac:dyDescent="0.2">
      <c r="BJ11117" s="201"/>
    </row>
    <row r="11118" spans="62:62" x14ac:dyDescent="0.2">
      <c r="BJ11118" s="201"/>
    </row>
    <row r="11119" spans="62:62" x14ac:dyDescent="0.2">
      <c r="BJ11119" s="201"/>
    </row>
    <row r="11120" spans="62:62" x14ac:dyDescent="0.2">
      <c r="BJ11120" s="201"/>
    </row>
    <row r="11121" spans="62:62" x14ac:dyDescent="0.2">
      <c r="BJ11121" s="201"/>
    </row>
    <row r="11122" spans="62:62" x14ac:dyDescent="0.2">
      <c r="BJ11122" s="201"/>
    </row>
    <row r="11123" spans="62:62" x14ac:dyDescent="0.2">
      <c r="BJ11123" s="201"/>
    </row>
    <row r="11124" spans="62:62" x14ac:dyDescent="0.2">
      <c r="BJ11124" s="201"/>
    </row>
    <row r="11125" spans="62:62" x14ac:dyDescent="0.2">
      <c r="BJ11125" s="201"/>
    </row>
    <row r="11126" spans="62:62" x14ac:dyDescent="0.2">
      <c r="BJ11126" s="201"/>
    </row>
    <row r="11127" spans="62:62" x14ac:dyDescent="0.2">
      <c r="BJ11127" s="201"/>
    </row>
    <row r="11128" spans="62:62" x14ac:dyDescent="0.2">
      <c r="BJ11128" s="201"/>
    </row>
    <row r="11129" spans="62:62" x14ac:dyDescent="0.2">
      <c r="BJ11129" s="201"/>
    </row>
    <row r="11130" spans="62:62" x14ac:dyDescent="0.2">
      <c r="BJ11130" s="201"/>
    </row>
    <row r="11131" spans="62:62" x14ac:dyDescent="0.2">
      <c r="BJ11131" s="201"/>
    </row>
    <row r="11132" spans="62:62" x14ac:dyDescent="0.2">
      <c r="BJ11132" s="201"/>
    </row>
    <row r="11133" spans="62:62" x14ac:dyDescent="0.2">
      <c r="BJ11133" s="201"/>
    </row>
    <row r="11134" spans="62:62" x14ac:dyDescent="0.2">
      <c r="BJ11134" s="201"/>
    </row>
    <row r="11135" spans="62:62" x14ac:dyDescent="0.2">
      <c r="BJ11135" s="201"/>
    </row>
    <row r="11136" spans="62:62" x14ac:dyDescent="0.2">
      <c r="BJ11136" s="201"/>
    </row>
    <row r="11137" spans="62:62" x14ac:dyDescent="0.2">
      <c r="BJ11137" s="201"/>
    </row>
    <row r="11138" spans="62:62" x14ac:dyDescent="0.2">
      <c r="BJ11138" s="201"/>
    </row>
    <row r="11139" spans="62:62" x14ac:dyDescent="0.2">
      <c r="BJ11139" s="201"/>
    </row>
    <row r="11140" spans="62:62" x14ac:dyDescent="0.2">
      <c r="BJ11140" s="201"/>
    </row>
    <row r="11141" spans="62:62" x14ac:dyDescent="0.2">
      <c r="BJ11141" s="201"/>
    </row>
    <row r="11142" spans="62:62" x14ac:dyDescent="0.2">
      <c r="BJ11142" s="201"/>
    </row>
    <row r="11143" spans="62:62" x14ac:dyDescent="0.2">
      <c r="BJ11143" s="201"/>
    </row>
    <row r="11144" spans="62:62" x14ac:dyDescent="0.2">
      <c r="BJ11144" s="201"/>
    </row>
    <row r="11145" spans="62:62" x14ac:dyDescent="0.2">
      <c r="BJ11145" s="201"/>
    </row>
    <row r="11146" spans="62:62" x14ac:dyDescent="0.2">
      <c r="BJ11146" s="201"/>
    </row>
    <row r="11147" spans="62:62" x14ac:dyDescent="0.2">
      <c r="BJ11147" s="201"/>
    </row>
    <row r="11148" spans="62:62" x14ac:dyDescent="0.2">
      <c r="BJ11148" s="201"/>
    </row>
    <row r="11149" spans="62:62" x14ac:dyDescent="0.2">
      <c r="BJ11149" s="201"/>
    </row>
    <row r="11150" spans="62:62" x14ac:dyDescent="0.2">
      <c r="BJ11150" s="201"/>
    </row>
    <row r="11151" spans="62:62" x14ac:dyDescent="0.2">
      <c r="BJ11151" s="201"/>
    </row>
    <row r="11152" spans="62:62" x14ac:dyDescent="0.2">
      <c r="BJ11152" s="201"/>
    </row>
    <row r="11153" spans="62:62" x14ac:dyDescent="0.2">
      <c r="BJ11153" s="201"/>
    </row>
    <row r="11154" spans="62:62" x14ac:dyDescent="0.2">
      <c r="BJ11154" s="201"/>
    </row>
    <row r="11155" spans="62:62" x14ac:dyDescent="0.2">
      <c r="BJ11155" s="201"/>
    </row>
    <row r="11156" spans="62:62" x14ac:dyDescent="0.2">
      <c r="BJ11156" s="201"/>
    </row>
    <row r="11157" spans="62:62" x14ac:dyDescent="0.2">
      <c r="BJ11157" s="201"/>
    </row>
    <row r="11158" spans="62:62" x14ac:dyDescent="0.2">
      <c r="BJ11158" s="201"/>
    </row>
    <row r="11159" spans="62:62" x14ac:dyDescent="0.2">
      <c r="BJ11159" s="201"/>
    </row>
    <row r="11160" spans="62:62" x14ac:dyDescent="0.2">
      <c r="BJ11160" s="201"/>
    </row>
    <row r="11161" spans="62:62" x14ac:dyDescent="0.2">
      <c r="BJ11161" s="201"/>
    </row>
    <row r="11162" spans="62:62" x14ac:dyDescent="0.2">
      <c r="BJ11162" s="201"/>
    </row>
    <row r="11163" spans="62:62" x14ac:dyDescent="0.2">
      <c r="BJ11163" s="201"/>
    </row>
    <row r="11164" spans="62:62" x14ac:dyDescent="0.2">
      <c r="BJ11164" s="201"/>
    </row>
    <row r="11165" spans="62:62" x14ac:dyDescent="0.2">
      <c r="BJ11165" s="201"/>
    </row>
    <row r="11166" spans="62:62" x14ac:dyDescent="0.2">
      <c r="BJ11166" s="201"/>
    </row>
    <row r="11167" spans="62:62" x14ac:dyDescent="0.2">
      <c r="BJ11167" s="201"/>
    </row>
    <row r="11168" spans="62:62" x14ac:dyDescent="0.2">
      <c r="BJ11168" s="201"/>
    </row>
    <row r="11169" spans="62:62" x14ac:dyDescent="0.2">
      <c r="BJ11169" s="201"/>
    </row>
    <row r="11170" spans="62:62" x14ac:dyDescent="0.2">
      <c r="BJ11170" s="201"/>
    </row>
    <row r="11171" spans="62:62" x14ac:dyDescent="0.2">
      <c r="BJ11171" s="201"/>
    </row>
    <row r="11172" spans="62:62" x14ac:dyDescent="0.2">
      <c r="BJ11172" s="201"/>
    </row>
    <row r="11173" spans="62:62" x14ac:dyDescent="0.2">
      <c r="BJ11173" s="201"/>
    </row>
    <row r="11174" spans="62:62" x14ac:dyDescent="0.2">
      <c r="BJ11174" s="201"/>
    </row>
    <row r="11175" spans="62:62" x14ac:dyDescent="0.2">
      <c r="BJ11175" s="201"/>
    </row>
    <row r="11176" spans="62:62" x14ac:dyDescent="0.2">
      <c r="BJ11176" s="201"/>
    </row>
    <row r="11177" spans="62:62" x14ac:dyDescent="0.2">
      <c r="BJ11177" s="201"/>
    </row>
    <row r="11178" spans="62:62" x14ac:dyDescent="0.2">
      <c r="BJ11178" s="201"/>
    </row>
    <row r="11179" spans="62:62" x14ac:dyDescent="0.2">
      <c r="BJ11179" s="201"/>
    </row>
    <row r="11180" spans="62:62" x14ac:dyDescent="0.2">
      <c r="BJ11180" s="201"/>
    </row>
    <row r="11181" spans="62:62" x14ac:dyDescent="0.2">
      <c r="BJ11181" s="201"/>
    </row>
    <row r="11182" spans="62:62" x14ac:dyDescent="0.2">
      <c r="BJ11182" s="201"/>
    </row>
    <row r="11183" spans="62:62" x14ac:dyDescent="0.2">
      <c r="BJ11183" s="201"/>
    </row>
    <row r="11184" spans="62:62" x14ac:dyDescent="0.2">
      <c r="BJ11184" s="201"/>
    </row>
    <row r="11185" spans="62:62" x14ac:dyDescent="0.2">
      <c r="BJ11185" s="201"/>
    </row>
    <row r="11186" spans="62:62" x14ac:dyDescent="0.2">
      <c r="BJ11186" s="201"/>
    </row>
    <row r="11187" spans="62:62" x14ac:dyDescent="0.2">
      <c r="BJ11187" s="201"/>
    </row>
    <row r="11188" spans="62:62" x14ac:dyDescent="0.2">
      <c r="BJ11188" s="201"/>
    </row>
    <row r="11189" spans="62:62" x14ac:dyDescent="0.2">
      <c r="BJ11189" s="201"/>
    </row>
    <row r="11190" spans="62:62" x14ac:dyDescent="0.2">
      <c r="BJ11190" s="201"/>
    </row>
    <row r="11191" spans="62:62" x14ac:dyDescent="0.2">
      <c r="BJ11191" s="201"/>
    </row>
    <row r="11192" spans="62:62" x14ac:dyDescent="0.2">
      <c r="BJ11192" s="201"/>
    </row>
    <row r="11193" spans="62:62" x14ac:dyDescent="0.2">
      <c r="BJ11193" s="201"/>
    </row>
    <row r="11194" spans="62:62" x14ac:dyDescent="0.2">
      <c r="BJ11194" s="201"/>
    </row>
    <row r="11195" spans="62:62" x14ac:dyDescent="0.2">
      <c r="BJ11195" s="201"/>
    </row>
    <row r="11196" spans="62:62" x14ac:dyDescent="0.2">
      <c r="BJ11196" s="201"/>
    </row>
    <row r="11197" spans="62:62" x14ac:dyDescent="0.2">
      <c r="BJ11197" s="201"/>
    </row>
    <row r="11198" spans="62:62" x14ac:dyDescent="0.2">
      <c r="BJ11198" s="201"/>
    </row>
    <row r="11199" spans="62:62" x14ac:dyDescent="0.2">
      <c r="BJ11199" s="201"/>
    </row>
    <row r="11200" spans="62:62" x14ac:dyDescent="0.2">
      <c r="BJ11200" s="201"/>
    </row>
    <row r="11201" spans="62:62" x14ac:dyDescent="0.2">
      <c r="BJ11201" s="201"/>
    </row>
    <row r="11202" spans="62:62" x14ac:dyDescent="0.2">
      <c r="BJ11202" s="201"/>
    </row>
    <row r="11203" spans="62:62" x14ac:dyDescent="0.2">
      <c r="BJ11203" s="201"/>
    </row>
    <row r="11204" spans="62:62" x14ac:dyDescent="0.2">
      <c r="BJ11204" s="201"/>
    </row>
    <row r="11205" spans="62:62" x14ac:dyDescent="0.2">
      <c r="BJ11205" s="201"/>
    </row>
    <row r="11206" spans="62:62" x14ac:dyDescent="0.2">
      <c r="BJ11206" s="201"/>
    </row>
    <row r="11207" spans="62:62" x14ac:dyDescent="0.2">
      <c r="BJ11207" s="201"/>
    </row>
    <row r="11208" spans="62:62" x14ac:dyDescent="0.2">
      <c r="BJ11208" s="201"/>
    </row>
    <row r="11209" spans="62:62" x14ac:dyDescent="0.2">
      <c r="BJ11209" s="201"/>
    </row>
    <row r="11210" spans="62:62" x14ac:dyDescent="0.2">
      <c r="BJ11210" s="201"/>
    </row>
    <row r="11211" spans="62:62" x14ac:dyDescent="0.2">
      <c r="BJ11211" s="201"/>
    </row>
    <row r="11212" spans="62:62" x14ac:dyDescent="0.2">
      <c r="BJ11212" s="201"/>
    </row>
    <row r="11213" spans="62:62" x14ac:dyDescent="0.2">
      <c r="BJ11213" s="201"/>
    </row>
    <row r="11214" spans="62:62" x14ac:dyDescent="0.2">
      <c r="BJ11214" s="201"/>
    </row>
    <row r="11215" spans="62:62" x14ac:dyDescent="0.2">
      <c r="BJ11215" s="201"/>
    </row>
    <row r="11216" spans="62:62" x14ac:dyDescent="0.2">
      <c r="BJ11216" s="201"/>
    </row>
    <row r="11217" spans="62:62" x14ac:dyDescent="0.2">
      <c r="BJ11217" s="201"/>
    </row>
    <row r="11218" spans="62:62" x14ac:dyDescent="0.2">
      <c r="BJ11218" s="201"/>
    </row>
    <row r="11219" spans="62:62" x14ac:dyDescent="0.2">
      <c r="BJ11219" s="201"/>
    </row>
    <row r="11220" spans="62:62" x14ac:dyDescent="0.2">
      <c r="BJ11220" s="201"/>
    </row>
    <row r="11221" spans="62:62" x14ac:dyDescent="0.2">
      <c r="BJ11221" s="201"/>
    </row>
    <row r="11222" spans="62:62" x14ac:dyDescent="0.2">
      <c r="BJ11222" s="201"/>
    </row>
    <row r="11223" spans="62:62" x14ac:dyDescent="0.2">
      <c r="BJ11223" s="201"/>
    </row>
    <row r="11224" spans="62:62" x14ac:dyDescent="0.2">
      <c r="BJ11224" s="201"/>
    </row>
    <row r="11225" spans="62:62" x14ac:dyDescent="0.2">
      <c r="BJ11225" s="201"/>
    </row>
    <row r="11226" spans="62:62" x14ac:dyDescent="0.2">
      <c r="BJ11226" s="201"/>
    </row>
    <row r="11227" spans="62:62" x14ac:dyDescent="0.2">
      <c r="BJ11227" s="201"/>
    </row>
    <row r="11228" spans="62:62" x14ac:dyDescent="0.2">
      <c r="BJ11228" s="201"/>
    </row>
    <row r="11229" spans="62:62" x14ac:dyDescent="0.2">
      <c r="BJ11229" s="201"/>
    </row>
    <row r="11230" spans="62:62" x14ac:dyDescent="0.2">
      <c r="BJ11230" s="201"/>
    </row>
    <row r="11231" spans="62:62" x14ac:dyDescent="0.2">
      <c r="BJ11231" s="201"/>
    </row>
    <row r="11232" spans="62:62" x14ac:dyDescent="0.2">
      <c r="BJ11232" s="201"/>
    </row>
    <row r="11233" spans="62:62" x14ac:dyDescent="0.2">
      <c r="BJ11233" s="201"/>
    </row>
    <row r="11234" spans="62:62" x14ac:dyDescent="0.2">
      <c r="BJ11234" s="201"/>
    </row>
    <row r="11235" spans="62:62" x14ac:dyDescent="0.2">
      <c r="BJ11235" s="201"/>
    </row>
    <row r="11236" spans="62:62" x14ac:dyDescent="0.2">
      <c r="BJ11236" s="201"/>
    </row>
    <row r="11237" spans="62:62" x14ac:dyDescent="0.2">
      <c r="BJ11237" s="201"/>
    </row>
    <row r="11238" spans="62:62" x14ac:dyDescent="0.2">
      <c r="BJ11238" s="201"/>
    </row>
    <row r="11239" spans="62:62" x14ac:dyDescent="0.2">
      <c r="BJ11239" s="201"/>
    </row>
    <row r="11240" spans="62:62" x14ac:dyDescent="0.2">
      <c r="BJ11240" s="201"/>
    </row>
    <row r="11241" spans="62:62" x14ac:dyDescent="0.2">
      <c r="BJ11241" s="201"/>
    </row>
    <row r="11242" spans="62:62" x14ac:dyDescent="0.2">
      <c r="BJ11242" s="201"/>
    </row>
    <row r="11243" spans="62:62" x14ac:dyDescent="0.2">
      <c r="BJ11243" s="201"/>
    </row>
    <row r="11244" spans="62:62" x14ac:dyDescent="0.2">
      <c r="BJ11244" s="201"/>
    </row>
    <row r="11245" spans="62:62" x14ac:dyDescent="0.2">
      <c r="BJ11245" s="201"/>
    </row>
    <row r="11246" spans="62:62" x14ac:dyDescent="0.2">
      <c r="BJ11246" s="201"/>
    </row>
    <row r="11247" spans="62:62" x14ac:dyDescent="0.2">
      <c r="BJ11247" s="201"/>
    </row>
    <row r="11248" spans="62:62" x14ac:dyDescent="0.2">
      <c r="BJ11248" s="201"/>
    </row>
    <row r="11249" spans="62:62" x14ac:dyDescent="0.2">
      <c r="BJ11249" s="201"/>
    </row>
    <row r="11250" spans="62:62" x14ac:dyDescent="0.2">
      <c r="BJ11250" s="201"/>
    </row>
    <row r="11251" spans="62:62" x14ac:dyDescent="0.2">
      <c r="BJ11251" s="201"/>
    </row>
    <row r="11252" spans="62:62" x14ac:dyDescent="0.2">
      <c r="BJ11252" s="201"/>
    </row>
    <row r="11253" spans="62:62" x14ac:dyDescent="0.2">
      <c r="BJ11253" s="201"/>
    </row>
    <row r="11254" spans="62:62" x14ac:dyDescent="0.2">
      <c r="BJ11254" s="201"/>
    </row>
    <row r="11255" spans="62:62" x14ac:dyDescent="0.2">
      <c r="BJ11255" s="201"/>
    </row>
    <row r="11256" spans="62:62" x14ac:dyDescent="0.2">
      <c r="BJ11256" s="201"/>
    </row>
    <row r="11257" spans="62:62" x14ac:dyDescent="0.2">
      <c r="BJ11257" s="201"/>
    </row>
    <row r="11258" spans="62:62" x14ac:dyDescent="0.2">
      <c r="BJ11258" s="201"/>
    </row>
    <row r="11259" spans="62:62" x14ac:dyDescent="0.2">
      <c r="BJ11259" s="201"/>
    </row>
    <row r="11260" spans="62:62" x14ac:dyDescent="0.2">
      <c r="BJ11260" s="201"/>
    </row>
    <row r="11261" spans="62:62" x14ac:dyDescent="0.2">
      <c r="BJ11261" s="201"/>
    </row>
    <row r="11262" spans="62:62" x14ac:dyDescent="0.2">
      <c r="BJ11262" s="201"/>
    </row>
    <row r="11263" spans="62:62" x14ac:dyDescent="0.2">
      <c r="BJ11263" s="201"/>
    </row>
    <row r="11264" spans="62:62" x14ac:dyDescent="0.2">
      <c r="BJ11264" s="201"/>
    </row>
    <row r="11265" spans="62:62" x14ac:dyDescent="0.2">
      <c r="BJ11265" s="201"/>
    </row>
    <row r="11266" spans="62:62" x14ac:dyDescent="0.2">
      <c r="BJ11266" s="201"/>
    </row>
    <row r="11267" spans="62:62" x14ac:dyDescent="0.2">
      <c r="BJ11267" s="201"/>
    </row>
    <row r="11268" spans="62:62" x14ac:dyDescent="0.2">
      <c r="BJ11268" s="201"/>
    </row>
    <row r="11269" spans="62:62" x14ac:dyDescent="0.2">
      <c r="BJ11269" s="201"/>
    </row>
    <row r="11270" spans="62:62" x14ac:dyDescent="0.2">
      <c r="BJ11270" s="201"/>
    </row>
    <row r="11271" spans="62:62" x14ac:dyDescent="0.2">
      <c r="BJ11271" s="201"/>
    </row>
    <row r="11272" spans="62:62" x14ac:dyDescent="0.2">
      <c r="BJ11272" s="201"/>
    </row>
    <row r="11273" spans="62:62" x14ac:dyDescent="0.2">
      <c r="BJ11273" s="201"/>
    </row>
    <row r="11274" spans="62:62" x14ac:dyDescent="0.2">
      <c r="BJ11274" s="201"/>
    </row>
    <row r="11275" spans="62:62" x14ac:dyDescent="0.2">
      <c r="BJ11275" s="201"/>
    </row>
    <row r="11276" spans="62:62" x14ac:dyDescent="0.2">
      <c r="BJ11276" s="201"/>
    </row>
    <row r="11277" spans="62:62" x14ac:dyDescent="0.2">
      <c r="BJ11277" s="201"/>
    </row>
    <row r="11278" spans="62:62" x14ac:dyDescent="0.2">
      <c r="BJ11278" s="201"/>
    </row>
    <row r="11279" spans="62:62" x14ac:dyDescent="0.2">
      <c r="BJ11279" s="201"/>
    </row>
    <row r="11280" spans="62:62" x14ac:dyDescent="0.2">
      <c r="BJ11280" s="201"/>
    </row>
    <row r="11281" spans="62:62" x14ac:dyDescent="0.2">
      <c r="BJ11281" s="201"/>
    </row>
    <row r="11282" spans="62:62" x14ac:dyDescent="0.2">
      <c r="BJ11282" s="201"/>
    </row>
    <row r="11283" spans="62:62" x14ac:dyDescent="0.2">
      <c r="BJ11283" s="201"/>
    </row>
    <row r="11284" spans="62:62" x14ac:dyDescent="0.2">
      <c r="BJ11284" s="201"/>
    </row>
    <row r="11285" spans="62:62" x14ac:dyDescent="0.2">
      <c r="BJ11285" s="201"/>
    </row>
    <row r="11286" spans="62:62" x14ac:dyDescent="0.2">
      <c r="BJ11286" s="201"/>
    </row>
    <row r="11287" spans="62:62" x14ac:dyDescent="0.2">
      <c r="BJ11287" s="201"/>
    </row>
    <row r="11288" spans="62:62" x14ac:dyDescent="0.2">
      <c r="BJ11288" s="201"/>
    </row>
    <row r="11289" spans="62:62" x14ac:dyDescent="0.2">
      <c r="BJ11289" s="201"/>
    </row>
    <row r="11290" spans="62:62" x14ac:dyDescent="0.2">
      <c r="BJ11290" s="201"/>
    </row>
    <row r="11291" spans="62:62" x14ac:dyDescent="0.2">
      <c r="BJ11291" s="201"/>
    </row>
    <row r="11292" spans="62:62" x14ac:dyDescent="0.2">
      <c r="BJ11292" s="201"/>
    </row>
    <row r="11293" spans="62:62" x14ac:dyDescent="0.2">
      <c r="BJ11293" s="201"/>
    </row>
    <row r="11294" spans="62:62" x14ac:dyDescent="0.2">
      <c r="BJ11294" s="201"/>
    </row>
    <row r="11295" spans="62:62" x14ac:dyDescent="0.2">
      <c r="BJ11295" s="201"/>
    </row>
    <row r="11296" spans="62:62" x14ac:dyDescent="0.2">
      <c r="BJ11296" s="201"/>
    </row>
    <row r="11297" spans="62:62" x14ac:dyDescent="0.2">
      <c r="BJ11297" s="201"/>
    </row>
    <row r="11298" spans="62:62" x14ac:dyDescent="0.2">
      <c r="BJ11298" s="201"/>
    </row>
    <row r="11299" spans="62:62" x14ac:dyDescent="0.2">
      <c r="BJ11299" s="201"/>
    </row>
    <row r="11300" spans="62:62" x14ac:dyDescent="0.2">
      <c r="BJ11300" s="201"/>
    </row>
    <row r="11301" spans="62:62" x14ac:dyDescent="0.2">
      <c r="BJ11301" s="201"/>
    </row>
    <row r="11302" spans="62:62" x14ac:dyDescent="0.2">
      <c r="BJ11302" s="201"/>
    </row>
    <row r="11303" spans="62:62" x14ac:dyDescent="0.2">
      <c r="BJ11303" s="201"/>
    </row>
    <row r="11304" spans="62:62" x14ac:dyDescent="0.2">
      <c r="BJ11304" s="201"/>
    </row>
    <row r="11305" spans="62:62" x14ac:dyDescent="0.2">
      <c r="BJ11305" s="201"/>
    </row>
    <row r="11306" spans="62:62" x14ac:dyDescent="0.2">
      <c r="BJ11306" s="201"/>
    </row>
    <row r="11307" spans="62:62" x14ac:dyDescent="0.2">
      <c r="BJ11307" s="201"/>
    </row>
    <row r="11308" spans="62:62" x14ac:dyDescent="0.2">
      <c r="BJ11308" s="201"/>
    </row>
    <row r="11309" spans="62:62" x14ac:dyDescent="0.2">
      <c r="BJ11309" s="201"/>
    </row>
    <row r="11310" spans="62:62" x14ac:dyDescent="0.2">
      <c r="BJ11310" s="201"/>
    </row>
    <row r="11311" spans="62:62" x14ac:dyDescent="0.2">
      <c r="BJ11311" s="201"/>
    </row>
    <row r="11312" spans="62:62" x14ac:dyDescent="0.2">
      <c r="BJ11312" s="201"/>
    </row>
    <row r="11313" spans="62:62" x14ac:dyDescent="0.2">
      <c r="BJ11313" s="201"/>
    </row>
    <row r="11314" spans="62:62" x14ac:dyDescent="0.2">
      <c r="BJ11314" s="201"/>
    </row>
    <row r="11315" spans="62:62" x14ac:dyDescent="0.2">
      <c r="BJ11315" s="201"/>
    </row>
    <row r="11316" spans="62:62" x14ac:dyDescent="0.2">
      <c r="BJ11316" s="201"/>
    </row>
    <row r="11317" spans="62:62" x14ac:dyDescent="0.2">
      <c r="BJ11317" s="201"/>
    </row>
    <row r="11318" spans="62:62" x14ac:dyDescent="0.2">
      <c r="BJ11318" s="201"/>
    </row>
    <row r="11319" spans="62:62" x14ac:dyDescent="0.2">
      <c r="BJ11319" s="201"/>
    </row>
    <row r="11320" spans="62:62" x14ac:dyDescent="0.2">
      <c r="BJ11320" s="201"/>
    </row>
    <row r="11321" spans="62:62" x14ac:dyDescent="0.2">
      <c r="BJ11321" s="201"/>
    </row>
    <row r="11322" spans="62:62" x14ac:dyDescent="0.2">
      <c r="BJ11322" s="201"/>
    </row>
    <row r="11323" spans="62:62" x14ac:dyDescent="0.2">
      <c r="BJ11323" s="201"/>
    </row>
    <row r="11324" spans="62:62" x14ac:dyDescent="0.2">
      <c r="BJ11324" s="201"/>
    </row>
    <row r="11325" spans="62:62" x14ac:dyDescent="0.2">
      <c r="BJ11325" s="201"/>
    </row>
    <row r="11326" spans="62:62" x14ac:dyDescent="0.2">
      <c r="BJ11326" s="201"/>
    </row>
    <row r="11327" spans="62:62" x14ac:dyDescent="0.2">
      <c r="BJ11327" s="201"/>
    </row>
    <row r="11328" spans="62:62" x14ac:dyDescent="0.2">
      <c r="BJ11328" s="201"/>
    </row>
    <row r="11329" spans="62:62" x14ac:dyDescent="0.2">
      <c r="BJ11329" s="201"/>
    </row>
    <row r="11330" spans="62:62" x14ac:dyDescent="0.2">
      <c r="BJ11330" s="201"/>
    </row>
    <row r="11331" spans="62:62" x14ac:dyDescent="0.2">
      <c r="BJ11331" s="201"/>
    </row>
    <row r="11332" spans="62:62" x14ac:dyDescent="0.2">
      <c r="BJ11332" s="201"/>
    </row>
    <row r="11333" spans="62:62" x14ac:dyDescent="0.2">
      <c r="BJ11333" s="201"/>
    </row>
    <row r="11334" spans="62:62" x14ac:dyDescent="0.2">
      <c r="BJ11334" s="201"/>
    </row>
    <row r="11335" spans="62:62" x14ac:dyDescent="0.2">
      <c r="BJ11335" s="201"/>
    </row>
    <row r="11336" spans="62:62" x14ac:dyDescent="0.2">
      <c r="BJ11336" s="201"/>
    </row>
    <row r="11337" spans="62:62" x14ac:dyDescent="0.2">
      <c r="BJ11337" s="201"/>
    </row>
    <row r="11338" spans="62:62" x14ac:dyDescent="0.2">
      <c r="BJ11338" s="201"/>
    </row>
    <row r="11339" spans="62:62" x14ac:dyDescent="0.2">
      <c r="BJ11339" s="201"/>
    </row>
    <row r="11340" spans="62:62" x14ac:dyDescent="0.2">
      <c r="BJ11340" s="201"/>
    </row>
    <row r="11341" spans="62:62" x14ac:dyDescent="0.2">
      <c r="BJ11341" s="201"/>
    </row>
    <row r="11342" spans="62:62" x14ac:dyDescent="0.2">
      <c r="BJ11342" s="201"/>
    </row>
    <row r="11343" spans="62:62" x14ac:dyDescent="0.2">
      <c r="BJ11343" s="201"/>
    </row>
    <row r="11344" spans="62:62" x14ac:dyDescent="0.2">
      <c r="BJ11344" s="201"/>
    </row>
    <row r="11345" spans="62:62" x14ac:dyDescent="0.2">
      <c r="BJ11345" s="201"/>
    </row>
    <row r="11346" spans="62:62" x14ac:dyDescent="0.2">
      <c r="BJ11346" s="201"/>
    </row>
    <row r="11347" spans="62:62" x14ac:dyDescent="0.2">
      <c r="BJ11347" s="201"/>
    </row>
    <row r="11348" spans="62:62" x14ac:dyDescent="0.2">
      <c r="BJ11348" s="201"/>
    </row>
    <row r="11349" spans="62:62" x14ac:dyDescent="0.2">
      <c r="BJ11349" s="201"/>
    </row>
    <row r="11350" spans="62:62" x14ac:dyDescent="0.2">
      <c r="BJ11350" s="201"/>
    </row>
    <row r="11351" spans="62:62" x14ac:dyDescent="0.2">
      <c r="BJ11351" s="201"/>
    </row>
    <row r="11352" spans="62:62" x14ac:dyDescent="0.2">
      <c r="BJ11352" s="201"/>
    </row>
    <row r="11353" spans="62:62" x14ac:dyDescent="0.2">
      <c r="BJ11353" s="201"/>
    </row>
    <row r="11354" spans="62:62" x14ac:dyDescent="0.2">
      <c r="BJ11354" s="201"/>
    </row>
    <row r="11355" spans="62:62" x14ac:dyDescent="0.2">
      <c r="BJ11355" s="201"/>
    </row>
    <row r="11356" spans="62:62" x14ac:dyDescent="0.2">
      <c r="BJ11356" s="201"/>
    </row>
    <row r="11357" spans="62:62" x14ac:dyDescent="0.2">
      <c r="BJ11357" s="201"/>
    </row>
    <row r="11358" spans="62:62" x14ac:dyDescent="0.2">
      <c r="BJ11358" s="201"/>
    </row>
    <row r="11359" spans="62:62" x14ac:dyDescent="0.2">
      <c r="BJ11359" s="201"/>
    </row>
    <row r="11360" spans="62:62" x14ac:dyDescent="0.2">
      <c r="BJ11360" s="201"/>
    </row>
    <row r="11361" spans="62:62" x14ac:dyDescent="0.2">
      <c r="BJ11361" s="201"/>
    </row>
    <row r="11362" spans="62:62" x14ac:dyDescent="0.2">
      <c r="BJ11362" s="201"/>
    </row>
    <row r="11363" spans="62:62" x14ac:dyDescent="0.2">
      <c r="BJ11363" s="201"/>
    </row>
    <row r="11364" spans="62:62" x14ac:dyDescent="0.2">
      <c r="BJ11364" s="201"/>
    </row>
    <row r="11365" spans="62:62" x14ac:dyDescent="0.2">
      <c r="BJ11365" s="201"/>
    </row>
    <row r="11366" spans="62:62" x14ac:dyDescent="0.2">
      <c r="BJ11366" s="201"/>
    </row>
    <row r="11367" spans="62:62" x14ac:dyDescent="0.2">
      <c r="BJ11367" s="201"/>
    </row>
    <row r="11368" spans="62:62" x14ac:dyDescent="0.2">
      <c r="BJ11368" s="201"/>
    </row>
    <row r="11369" spans="62:62" x14ac:dyDescent="0.2">
      <c r="BJ11369" s="201"/>
    </row>
    <row r="11370" spans="62:62" x14ac:dyDescent="0.2">
      <c r="BJ11370" s="201"/>
    </row>
    <row r="11371" spans="62:62" x14ac:dyDescent="0.2">
      <c r="BJ11371" s="201"/>
    </row>
    <row r="11372" spans="62:62" x14ac:dyDescent="0.2">
      <c r="BJ11372" s="201"/>
    </row>
    <row r="11373" spans="62:62" x14ac:dyDescent="0.2">
      <c r="BJ11373" s="201"/>
    </row>
    <row r="11374" spans="62:62" x14ac:dyDescent="0.2">
      <c r="BJ11374" s="201"/>
    </row>
    <row r="11375" spans="62:62" x14ac:dyDescent="0.2">
      <c r="BJ11375" s="201"/>
    </row>
    <row r="11376" spans="62:62" x14ac:dyDescent="0.2">
      <c r="BJ11376" s="201"/>
    </row>
    <row r="11377" spans="62:62" x14ac:dyDescent="0.2">
      <c r="BJ11377" s="201"/>
    </row>
    <row r="11378" spans="62:62" x14ac:dyDescent="0.2">
      <c r="BJ11378" s="201"/>
    </row>
    <row r="11379" spans="62:62" x14ac:dyDescent="0.2">
      <c r="BJ11379" s="201"/>
    </row>
    <row r="11380" spans="62:62" x14ac:dyDescent="0.2">
      <c r="BJ11380" s="201"/>
    </row>
    <row r="11381" spans="62:62" x14ac:dyDescent="0.2">
      <c r="BJ11381" s="201"/>
    </row>
    <row r="11382" spans="62:62" x14ac:dyDescent="0.2">
      <c r="BJ11382" s="201"/>
    </row>
    <row r="11383" spans="62:62" x14ac:dyDescent="0.2">
      <c r="BJ11383" s="201"/>
    </row>
    <row r="11384" spans="62:62" x14ac:dyDescent="0.2">
      <c r="BJ11384" s="201"/>
    </row>
    <row r="11385" spans="62:62" x14ac:dyDescent="0.2">
      <c r="BJ11385" s="201"/>
    </row>
    <row r="11386" spans="62:62" x14ac:dyDescent="0.2">
      <c r="BJ11386" s="201"/>
    </row>
    <row r="11387" spans="62:62" x14ac:dyDescent="0.2">
      <c r="BJ11387" s="201"/>
    </row>
    <row r="11388" spans="62:62" x14ac:dyDescent="0.2">
      <c r="BJ11388" s="201"/>
    </row>
    <row r="11389" spans="62:62" x14ac:dyDescent="0.2">
      <c r="BJ11389" s="201"/>
    </row>
    <row r="11390" spans="62:62" x14ac:dyDescent="0.2">
      <c r="BJ11390" s="201"/>
    </row>
    <row r="11391" spans="62:62" x14ac:dyDescent="0.2">
      <c r="BJ11391" s="201"/>
    </row>
    <row r="11392" spans="62:62" x14ac:dyDescent="0.2">
      <c r="BJ11392" s="201"/>
    </row>
    <row r="11393" spans="62:62" x14ac:dyDescent="0.2">
      <c r="BJ11393" s="201"/>
    </row>
    <row r="11394" spans="62:62" x14ac:dyDescent="0.2">
      <c r="BJ11394" s="201"/>
    </row>
    <row r="11395" spans="62:62" x14ac:dyDescent="0.2">
      <c r="BJ11395" s="201"/>
    </row>
    <row r="11396" spans="62:62" x14ac:dyDescent="0.2">
      <c r="BJ11396" s="201"/>
    </row>
    <row r="11397" spans="62:62" x14ac:dyDescent="0.2">
      <c r="BJ11397" s="201"/>
    </row>
    <row r="11398" spans="62:62" x14ac:dyDescent="0.2">
      <c r="BJ11398" s="201"/>
    </row>
    <row r="11399" spans="62:62" x14ac:dyDescent="0.2">
      <c r="BJ11399" s="201"/>
    </row>
    <row r="11400" spans="62:62" x14ac:dyDescent="0.2">
      <c r="BJ11400" s="201"/>
    </row>
    <row r="11401" spans="62:62" x14ac:dyDescent="0.2">
      <c r="BJ11401" s="201"/>
    </row>
    <row r="11402" spans="62:62" x14ac:dyDescent="0.2">
      <c r="BJ11402" s="201"/>
    </row>
    <row r="11403" spans="62:62" x14ac:dyDescent="0.2">
      <c r="BJ11403" s="201"/>
    </row>
    <row r="11404" spans="62:62" x14ac:dyDescent="0.2">
      <c r="BJ11404" s="201"/>
    </row>
    <row r="11405" spans="62:62" x14ac:dyDescent="0.2">
      <c r="BJ11405" s="201"/>
    </row>
    <row r="11406" spans="62:62" x14ac:dyDescent="0.2">
      <c r="BJ11406" s="201"/>
    </row>
    <row r="11407" spans="62:62" x14ac:dyDescent="0.2">
      <c r="BJ11407" s="201"/>
    </row>
    <row r="11408" spans="62:62" x14ac:dyDescent="0.2">
      <c r="BJ11408" s="201"/>
    </row>
    <row r="11409" spans="62:62" x14ac:dyDescent="0.2">
      <c r="BJ11409" s="201"/>
    </row>
    <row r="11410" spans="62:62" x14ac:dyDescent="0.2">
      <c r="BJ11410" s="201"/>
    </row>
    <row r="11411" spans="62:62" x14ac:dyDescent="0.2">
      <c r="BJ11411" s="201"/>
    </row>
    <row r="11412" spans="62:62" x14ac:dyDescent="0.2">
      <c r="BJ11412" s="201"/>
    </row>
    <row r="11413" spans="62:62" x14ac:dyDescent="0.2">
      <c r="BJ11413" s="201"/>
    </row>
    <row r="11414" spans="62:62" x14ac:dyDescent="0.2">
      <c r="BJ11414" s="201"/>
    </row>
    <row r="11415" spans="62:62" x14ac:dyDescent="0.2">
      <c r="BJ11415" s="201"/>
    </row>
    <row r="11416" spans="62:62" x14ac:dyDescent="0.2">
      <c r="BJ11416" s="201"/>
    </row>
    <row r="11417" spans="62:62" x14ac:dyDescent="0.2">
      <c r="BJ11417" s="201"/>
    </row>
    <row r="11418" spans="62:62" x14ac:dyDescent="0.2">
      <c r="BJ11418" s="201"/>
    </row>
    <row r="11419" spans="62:62" x14ac:dyDescent="0.2">
      <c r="BJ11419" s="201"/>
    </row>
    <row r="11420" spans="62:62" x14ac:dyDescent="0.2">
      <c r="BJ11420" s="201"/>
    </row>
    <row r="11421" spans="62:62" x14ac:dyDescent="0.2">
      <c r="BJ11421" s="201"/>
    </row>
    <row r="11422" spans="62:62" x14ac:dyDescent="0.2">
      <c r="BJ11422" s="201"/>
    </row>
    <row r="11423" spans="62:62" x14ac:dyDescent="0.2">
      <c r="BJ11423" s="201"/>
    </row>
    <row r="11424" spans="62:62" x14ac:dyDescent="0.2">
      <c r="BJ11424" s="201"/>
    </row>
    <row r="11425" spans="62:62" x14ac:dyDescent="0.2">
      <c r="BJ11425" s="201"/>
    </row>
    <row r="11426" spans="62:62" x14ac:dyDescent="0.2">
      <c r="BJ11426" s="201"/>
    </row>
    <row r="11427" spans="62:62" x14ac:dyDescent="0.2">
      <c r="BJ11427" s="201"/>
    </row>
    <row r="11428" spans="62:62" x14ac:dyDescent="0.2">
      <c r="BJ11428" s="201"/>
    </row>
    <row r="11429" spans="62:62" x14ac:dyDescent="0.2">
      <c r="BJ11429" s="201"/>
    </row>
    <row r="11430" spans="62:62" x14ac:dyDescent="0.2">
      <c r="BJ11430" s="201"/>
    </row>
    <row r="11431" spans="62:62" x14ac:dyDescent="0.2">
      <c r="BJ11431" s="201"/>
    </row>
    <row r="11432" spans="62:62" x14ac:dyDescent="0.2">
      <c r="BJ11432" s="201"/>
    </row>
    <row r="11433" spans="62:62" x14ac:dyDescent="0.2">
      <c r="BJ11433" s="201"/>
    </row>
    <row r="11434" spans="62:62" x14ac:dyDescent="0.2">
      <c r="BJ11434" s="201"/>
    </row>
    <row r="11435" spans="62:62" x14ac:dyDescent="0.2">
      <c r="BJ11435" s="201"/>
    </row>
    <row r="11436" spans="62:62" x14ac:dyDescent="0.2">
      <c r="BJ11436" s="201"/>
    </row>
    <row r="11437" spans="62:62" x14ac:dyDescent="0.2">
      <c r="BJ11437" s="201"/>
    </row>
    <row r="11438" spans="62:62" x14ac:dyDescent="0.2">
      <c r="BJ11438" s="201"/>
    </row>
    <row r="11439" spans="62:62" x14ac:dyDescent="0.2">
      <c r="BJ11439" s="201"/>
    </row>
    <row r="11440" spans="62:62" x14ac:dyDescent="0.2">
      <c r="BJ11440" s="201"/>
    </row>
    <row r="11441" spans="62:62" x14ac:dyDescent="0.2">
      <c r="BJ11441" s="201"/>
    </row>
    <row r="11442" spans="62:62" x14ac:dyDescent="0.2">
      <c r="BJ11442" s="201"/>
    </row>
    <row r="11443" spans="62:62" x14ac:dyDescent="0.2">
      <c r="BJ11443" s="201"/>
    </row>
    <row r="11444" spans="62:62" x14ac:dyDescent="0.2">
      <c r="BJ11444" s="201"/>
    </row>
    <row r="11445" spans="62:62" x14ac:dyDescent="0.2">
      <c r="BJ11445" s="201"/>
    </row>
    <row r="11446" spans="62:62" x14ac:dyDescent="0.2">
      <c r="BJ11446" s="201"/>
    </row>
    <row r="11447" spans="62:62" x14ac:dyDescent="0.2">
      <c r="BJ11447" s="201"/>
    </row>
    <row r="11448" spans="62:62" x14ac:dyDescent="0.2">
      <c r="BJ11448" s="201"/>
    </row>
    <row r="11449" spans="62:62" x14ac:dyDescent="0.2">
      <c r="BJ11449" s="201"/>
    </row>
    <row r="11450" spans="62:62" x14ac:dyDescent="0.2">
      <c r="BJ11450" s="201"/>
    </row>
    <row r="11451" spans="62:62" x14ac:dyDescent="0.2">
      <c r="BJ11451" s="201"/>
    </row>
    <row r="11452" spans="62:62" x14ac:dyDescent="0.2">
      <c r="BJ11452" s="201"/>
    </row>
    <row r="11453" spans="62:62" x14ac:dyDescent="0.2">
      <c r="BJ11453" s="201"/>
    </row>
    <row r="11454" spans="62:62" x14ac:dyDescent="0.2">
      <c r="BJ11454" s="201"/>
    </row>
    <row r="11455" spans="62:62" x14ac:dyDescent="0.2">
      <c r="BJ11455" s="201"/>
    </row>
    <row r="11456" spans="62:62" x14ac:dyDescent="0.2">
      <c r="BJ11456" s="201"/>
    </row>
    <row r="11457" spans="62:62" x14ac:dyDescent="0.2">
      <c r="BJ11457" s="201"/>
    </row>
    <row r="11458" spans="62:62" x14ac:dyDescent="0.2">
      <c r="BJ11458" s="201"/>
    </row>
    <row r="11459" spans="62:62" x14ac:dyDescent="0.2">
      <c r="BJ11459" s="201"/>
    </row>
    <row r="11460" spans="62:62" x14ac:dyDescent="0.2">
      <c r="BJ11460" s="201"/>
    </row>
    <row r="11461" spans="62:62" x14ac:dyDescent="0.2">
      <c r="BJ11461" s="201"/>
    </row>
    <row r="11462" spans="62:62" x14ac:dyDescent="0.2">
      <c r="BJ11462" s="201"/>
    </row>
    <row r="11463" spans="62:62" x14ac:dyDescent="0.2">
      <c r="BJ11463" s="201"/>
    </row>
    <row r="11464" spans="62:62" x14ac:dyDescent="0.2">
      <c r="BJ11464" s="201"/>
    </row>
    <row r="11465" spans="62:62" x14ac:dyDescent="0.2">
      <c r="BJ11465" s="201"/>
    </row>
    <row r="11466" spans="62:62" x14ac:dyDescent="0.2">
      <c r="BJ11466" s="201"/>
    </row>
    <row r="11467" spans="62:62" x14ac:dyDescent="0.2">
      <c r="BJ11467" s="201"/>
    </row>
    <row r="11468" spans="62:62" x14ac:dyDescent="0.2">
      <c r="BJ11468" s="201"/>
    </row>
    <row r="11469" spans="62:62" x14ac:dyDescent="0.2">
      <c r="BJ11469" s="201"/>
    </row>
    <row r="11470" spans="62:62" x14ac:dyDescent="0.2">
      <c r="BJ11470" s="201"/>
    </row>
    <row r="11471" spans="62:62" x14ac:dyDescent="0.2">
      <c r="BJ11471" s="201"/>
    </row>
    <row r="11472" spans="62:62" x14ac:dyDescent="0.2">
      <c r="BJ11472" s="201"/>
    </row>
    <row r="11473" spans="62:62" x14ac:dyDescent="0.2">
      <c r="BJ11473" s="201"/>
    </row>
    <row r="11474" spans="62:62" x14ac:dyDescent="0.2">
      <c r="BJ11474" s="201"/>
    </row>
    <row r="11475" spans="62:62" x14ac:dyDescent="0.2">
      <c r="BJ11475" s="201"/>
    </row>
    <row r="11476" spans="62:62" x14ac:dyDescent="0.2">
      <c r="BJ11476" s="201"/>
    </row>
    <row r="11477" spans="62:62" x14ac:dyDescent="0.2">
      <c r="BJ11477" s="201"/>
    </row>
    <row r="11478" spans="62:62" x14ac:dyDescent="0.2">
      <c r="BJ11478" s="201"/>
    </row>
    <row r="11479" spans="62:62" x14ac:dyDescent="0.2">
      <c r="BJ11479" s="201"/>
    </row>
    <row r="11480" spans="62:62" x14ac:dyDescent="0.2">
      <c r="BJ11480" s="201"/>
    </row>
    <row r="11481" spans="62:62" x14ac:dyDescent="0.2">
      <c r="BJ11481" s="201"/>
    </row>
    <row r="11482" spans="62:62" x14ac:dyDescent="0.2">
      <c r="BJ11482" s="201"/>
    </row>
    <row r="11483" spans="62:62" x14ac:dyDescent="0.2">
      <c r="BJ11483" s="201"/>
    </row>
    <row r="11484" spans="62:62" x14ac:dyDescent="0.2">
      <c r="BJ11484" s="201"/>
    </row>
    <row r="11485" spans="62:62" x14ac:dyDescent="0.2">
      <c r="BJ11485" s="201"/>
    </row>
    <row r="11486" spans="62:62" x14ac:dyDescent="0.2">
      <c r="BJ11486" s="201"/>
    </row>
    <row r="11487" spans="62:62" x14ac:dyDescent="0.2">
      <c r="BJ11487" s="201"/>
    </row>
    <row r="11488" spans="62:62" x14ac:dyDescent="0.2">
      <c r="BJ11488" s="201"/>
    </row>
    <row r="11489" spans="62:62" x14ac:dyDescent="0.2">
      <c r="BJ11489" s="201"/>
    </row>
    <row r="11490" spans="62:62" x14ac:dyDescent="0.2">
      <c r="BJ11490" s="201"/>
    </row>
    <row r="11491" spans="62:62" x14ac:dyDescent="0.2">
      <c r="BJ11491" s="201"/>
    </row>
    <row r="11492" spans="62:62" x14ac:dyDescent="0.2">
      <c r="BJ11492" s="201"/>
    </row>
    <row r="11493" spans="62:62" x14ac:dyDescent="0.2">
      <c r="BJ11493" s="201"/>
    </row>
    <row r="11494" spans="62:62" x14ac:dyDescent="0.2">
      <c r="BJ11494" s="201"/>
    </row>
    <row r="11495" spans="62:62" x14ac:dyDescent="0.2">
      <c r="BJ11495" s="201"/>
    </row>
    <row r="11496" spans="62:62" x14ac:dyDescent="0.2">
      <c r="BJ11496" s="201"/>
    </row>
    <row r="11497" spans="62:62" x14ac:dyDescent="0.2">
      <c r="BJ11497" s="201"/>
    </row>
    <row r="11498" spans="62:62" x14ac:dyDescent="0.2">
      <c r="BJ11498" s="201"/>
    </row>
    <row r="11499" spans="62:62" x14ac:dyDescent="0.2">
      <c r="BJ11499" s="201"/>
    </row>
    <row r="11500" spans="62:62" x14ac:dyDescent="0.2">
      <c r="BJ11500" s="201"/>
    </row>
    <row r="11501" spans="62:62" x14ac:dyDescent="0.2">
      <c r="BJ11501" s="201"/>
    </row>
    <row r="11502" spans="62:62" x14ac:dyDescent="0.2">
      <c r="BJ11502" s="201"/>
    </row>
    <row r="11503" spans="62:62" x14ac:dyDescent="0.2">
      <c r="BJ11503" s="201"/>
    </row>
    <row r="11504" spans="62:62" x14ac:dyDescent="0.2">
      <c r="BJ11504" s="201"/>
    </row>
    <row r="11505" spans="62:62" x14ac:dyDescent="0.2">
      <c r="BJ11505" s="201"/>
    </row>
    <row r="11506" spans="62:62" x14ac:dyDescent="0.2">
      <c r="BJ11506" s="201"/>
    </row>
    <row r="11507" spans="62:62" x14ac:dyDescent="0.2">
      <c r="BJ11507" s="201"/>
    </row>
    <row r="11508" spans="62:62" x14ac:dyDescent="0.2">
      <c r="BJ11508" s="201"/>
    </row>
    <row r="11509" spans="62:62" x14ac:dyDescent="0.2">
      <c r="BJ11509" s="201"/>
    </row>
    <row r="11510" spans="62:62" x14ac:dyDescent="0.2">
      <c r="BJ11510" s="201"/>
    </row>
    <row r="11511" spans="62:62" x14ac:dyDescent="0.2">
      <c r="BJ11511" s="201"/>
    </row>
    <row r="11512" spans="62:62" x14ac:dyDescent="0.2">
      <c r="BJ11512" s="201"/>
    </row>
    <row r="11513" spans="62:62" x14ac:dyDescent="0.2">
      <c r="BJ11513" s="201"/>
    </row>
    <row r="11514" spans="62:62" x14ac:dyDescent="0.2">
      <c r="BJ11514" s="201"/>
    </row>
    <row r="11515" spans="62:62" x14ac:dyDescent="0.2">
      <c r="BJ11515" s="201"/>
    </row>
    <row r="11516" spans="62:62" x14ac:dyDescent="0.2">
      <c r="BJ11516" s="201"/>
    </row>
    <row r="11517" spans="62:62" x14ac:dyDescent="0.2">
      <c r="BJ11517" s="201"/>
    </row>
    <row r="11518" spans="62:62" x14ac:dyDescent="0.2">
      <c r="BJ11518" s="201"/>
    </row>
    <row r="11519" spans="62:62" x14ac:dyDescent="0.2">
      <c r="BJ11519" s="201"/>
    </row>
    <row r="11520" spans="62:62" x14ac:dyDescent="0.2">
      <c r="BJ11520" s="201"/>
    </row>
    <row r="11521" spans="62:62" x14ac:dyDescent="0.2">
      <c r="BJ11521" s="201"/>
    </row>
    <row r="11522" spans="62:62" x14ac:dyDescent="0.2">
      <c r="BJ11522" s="201"/>
    </row>
    <row r="11523" spans="62:62" x14ac:dyDescent="0.2">
      <c r="BJ11523" s="201"/>
    </row>
    <row r="11524" spans="62:62" x14ac:dyDescent="0.2">
      <c r="BJ11524" s="201"/>
    </row>
    <row r="11525" spans="62:62" x14ac:dyDescent="0.2">
      <c r="BJ11525" s="201"/>
    </row>
    <row r="11526" spans="62:62" x14ac:dyDescent="0.2">
      <c r="BJ11526" s="201"/>
    </row>
    <row r="11527" spans="62:62" x14ac:dyDescent="0.2">
      <c r="BJ11527" s="201"/>
    </row>
    <row r="11528" spans="62:62" x14ac:dyDescent="0.2">
      <c r="BJ11528" s="201"/>
    </row>
    <row r="11529" spans="62:62" x14ac:dyDescent="0.2">
      <c r="BJ11529" s="201"/>
    </row>
    <row r="11530" spans="62:62" x14ac:dyDescent="0.2">
      <c r="BJ11530" s="201"/>
    </row>
    <row r="11531" spans="62:62" x14ac:dyDescent="0.2">
      <c r="BJ11531" s="201"/>
    </row>
    <row r="11532" spans="62:62" x14ac:dyDescent="0.2">
      <c r="BJ11532" s="201"/>
    </row>
    <row r="11533" spans="62:62" x14ac:dyDescent="0.2">
      <c r="BJ11533" s="201"/>
    </row>
    <row r="11534" spans="62:62" x14ac:dyDescent="0.2">
      <c r="BJ11534" s="201"/>
    </row>
    <row r="11535" spans="62:62" x14ac:dyDescent="0.2">
      <c r="BJ11535" s="201"/>
    </row>
    <row r="11536" spans="62:62" x14ac:dyDescent="0.2">
      <c r="BJ11536" s="201"/>
    </row>
    <row r="11537" spans="62:62" x14ac:dyDescent="0.2">
      <c r="BJ11537" s="201"/>
    </row>
    <row r="11538" spans="62:62" x14ac:dyDescent="0.2">
      <c r="BJ11538" s="201"/>
    </row>
    <row r="11539" spans="62:62" x14ac:dyDescent="0.2">
      <c r="BJ11539" s="201"/>
    </row>
    <row r="11540" spans="62:62" x14ac:dyDescent="0.2">
      <c r="BJ11540" s="201"/>
    </row>
    <row r="11541" spans="62:62" x14ac:dyDescent="0.2">
      <c r="BJ11541" s="201"/>
    </row>
    <row r="11542" spans="62:62" x14ac:dyDescent="0.2">
      <c r="BJ11542" s="201"/>
    </row>
    <row r="11543" spans="62:62" x14ac:dyDescent="0.2">
      <c r="BJ11543" s="201"/>
    </row>
    <row r="11544" spans="62:62" x14ac:dyDescent="0.2">
      <c r="BJ11544" s="201"/>
    </row>
    <row r="11545" spans="62:62" x14ac:dyDescent="0.2">
      <c r="BJ11545" s="201"/>
    </row>
    <row r="11546" spans="62:62" x14ac:dyDescent="0.2">
      <c r="BJ11546" s="201"/>
    </row>
    <row r="11547" spans="62:62" x14ac:dyDescent="0.2">
      <c r="BJ11547" s="201"/>
    </row>
    <row r="11548" spans="62:62" x14ac:dyDescent="0.2">
      <c r="BJ11548" s="201"/>
    </row>
    <row r="11549" spans="62:62" x14ac:dyDescent="0.2">
      <c r="BJ11549" s="201"/>
    </row>
    <row r="11550" spans="62:62" x14ac:dyDescent="0.2">
      <c r="BJ11550" s="201"/>
    </row>
    <row r="11551" spans="62:62" x14ac:dyDescent="0.2">
      <c r="BJ11551" s="201"/>
    </row>
    <row r="11552" spans="62:62" x14ac:dyDescent="0.2">
      <c r="BJ11552" s="201"/>
    </row>
    <row r="11553" spans="62:62" x14ac:dyDescent="0.2">
      <c r="BJ11553" s="201"/>
    </row>
    <row r="11554" spans="62:62" x14ac:dyDescent="0.2">
      <c r="BJ11554" s="201"/>
    </row>
    <row r="11555" spans="62:62" x14ac:dyDescent="0.2">
      <c r="BJ11555" s="201"/>
    </row>
    <row r="11556" spans="62:62" x14ac:dyDescent="0.2">
      <c r="BJ11556" s="201"/>
    </row>
    <row r="11557" spans="62:62" x14ac:dyDescent="0.2">
      <c r="BJ11557" s="201"/>
    </row>
    <row r="11558" spans="62:62" x14ac:dyDescent="0.2">
      <c r="BJ11558" s="201"/>
    </row>
    <row r="11559" spans="62:62" x14ac:dyDescent="0.2">
      <c r="BJ11559" s="201"/>
    </row>
    <row r="11560" spans="62:62" x14ac:dyDescent="0.2">
      <c r="BJ11560" s="201"/>
    </row>
    <row r="11561" spans="62:62" x14ac:dyDescent="0.2">
      <c r="BJ11561" s="201"/>
    </row>
    <row r="11562" spans="62:62" x14ac:dyDescent="0.2">
      <c r="BJ11562" s="201"/>
    </row>
    <row r="11563" spans="62:62" x14ac:dyDescent="0.2">
      <c r="BJ11563" s="201"/>
    </row>
    <row r="11564" spans="62:62" x14ac:dyDescent="0.2">
      <c r="BJ11564" s="201"/>
    </row>
    <row r="11565" spans="62:62" x14ac:dyDescent="0.2">
      <c r="BJ11565" s="201"/>
    </row>
    <row r="11566" spans="62:62" x14ac:dyDescent="0.2">
      <c r="BJ11566" s="201"/>
    </row>
    <row r="11567" spans="62:62" x14ac:dyDescent="0.2">
      <c r="BJ11567" s="201"/>
    </row>
    <row r="11568" spans="62:62" x14ac:dyDescent="0.2">
      <c r="BJ11568" s="201"/>
    </row>
    <row r="11569" spans="62:62" x14ac:dyDescent="0.2">
      <c r="BJ11569" s="201"/>
    </row>
    <row r="11570" spans="62:62" x14ac:dyDescent="0.2">
      <c r="BJ11570" s="201"/>
    </row>
    <row r="11571" spans="62:62" x14ac:dyDescent="0.2">
      <c r="BJ11571" s="201"/>
    </row>
    <row r="11572" spans="62:62" x14ac:dyDescent="0.2">
      <c r="BJ11572" s="201"/>
    </row>
    <row r="11573" spans="62:62" x14ac:dyDescent="0.2">
      <c r="BJ11573" s="201"/>
    </row>
    <row r="11574" spans="62:62" x14ac:dyDescent="0.2">
      <c r="BJ11574" s="201"/>
    </row>
    <row r="11575" spans="62:62" x14ac:dyDescent="0.2">
      <c r="BJ11575" s="201"/>
    </row>
    <row r="11576" spans="62:62" x14ac:dyDescent="0.2">
      <c r="BJ11576" s="201"/>
    </row>
    <row r="11577" spans="62:62" x14ac:dyDescent="0.2">
      <c r="BJ11577" s="201"/>
    </row>
    <row r="11578" spans="62:62" x14ac:dyDescent="0.2">
      <c r="BJ11578" s="201"/>
    </row>
    <row r="11579" spans="62:62" x14ac:dyDescent="0.2">
      <c r="BJ11579" s="201"/>
    </row>
    <row r="11580" spans="62:62" x14ac:dyDescent="0.2">
      <c r="BJ11580" s="201"/>
    </row>
    <row r="11581" spans="62:62" x14ac:dyDescent="0.2">
      <c r="BJ11581" s="201"/>
    </row>
    <row r="11582" spans="62:62" x14ac:dyDescent="0.2">
      <c r="BJ11582" s="201"/>
    </row>
    <row r="11583" spans="62:62" x14ac:dyDescent="0.2">
      <c r="BJ11583" s="201"/>
    </row>
    <row r="11584" spans="62:62" x14ac:dyDescent="0.2">
      <c r="BJ11584" s="201"/>
    </row>
    <row r="11585" spans="62:62" x14ac:dyDescent="0.2">
      <c r="BJ11585" s="201"/>
    </row>
    <row r="11586" spans="62:62" x14ac:dyDescent="0.2">
      <c r="BJ11586" s="201"/>
    </row>
    <row r="11587" spans="62:62" x14ac:dyDescent="0.2">
      <c r="BJ11587" s="201"/>
    </row>
    <row r="11588" spans="62:62" x14ac:dyDescent="0.2">
      <c r="BJ11588" s="201"/>
    </row>
    <row r="11589" spans="62:62" x14ac:dyDescent="0.2">
      <c r="BJ11589" s="201"/>
    </row>
    <row r="11590" spans="62:62" x14ac:dyDescent="0.2">
      <c r="BJ11590" s="201"/>
    </row>
    <row r="11591" spans="62:62" x14ac:dyDescent="0.2">
      <c r="BJ11591" s="201"/>
    </row>
    <row r="11592" spans="62:62" x14ac:dyDescent="0.2">
      <c r="BJ11592" s="201"/>
    </row>
    <row r="11593" spans="62:62" x14ac:dyDescent="0.2">
      <c r="BJ11593" s="201"/>
    </row>
    <row r="11594" spans="62:62" x14ac:dyDescent="0.2">
      <c r="BJ11594" s="201"/>
    </row>
    <row r="11595" spans="62:62" x14ac:dyDescent="0.2">
      <c r="BJ11595" s="201"/>
    </row>
    <row r="11596" spans="62:62" x14ac:dyDescent="0.2">
      <c r="BJ11596" s="201"/>
    </row>
    <row r="11597" spans="62:62" x14ac:dyDescent="0.2">
      <c r="BJ11597" s="201"/>
    </row>
    <row r="11598" spans="62:62" x14ac:dyDescent="0.2">
      <c r="BJ11598" s="201"/>
    </row>
    <row r="11599" spans="62:62" x14ac:dyDescent="0.2">
      <c r="BJ11599" s="201"/>
    </row>
    <row r="11600" spans="62:62" x14ac:dyDescent="0.2">
      <c r="BJ11600" s="201"/>
    </row>
    <row r="11601" spans="62:62" x14ac:dyDescent="0.2">
      <c r="BJ11601" s="201"/>
    </row>
    <row r="11602" spans="62:62" x14ac:dyDescent="0.2">
      <c r="BJ11602" s="201"/>
    </row>
    <row r="11603" spans="62:62" x14ac:dyDescent="0.2">
      <c r="BJ11603" s="201"/>
    </row>
    <row r="11604" spans="62:62" x14ac:dyDescent="0.2">
      <c r="BJ11604" s="201"/>
    </row>
    <row r="11605" spans="62:62" x14ac:dyDescent="0.2">
      <c r="BJ11605" s="201"/>
    </row>
    <row r="11606" spans="62:62" x14ac:dyDescent="0.2">
      <c r="BJ11606" s="201"/>
    </row>
    <row r="11607" spans="62:62" x14ac:dyDescent="0.2">
      <c r="BJ11607" s="201"/>
    </row>
    <row r="11608" spans="62:62" x14ac:dyDescent="0.2">
      <c r="BJ11608" s="201"/>
    </row>
    <row r="11609" spans="62:62" x14ac:dyDescent="0.2">
      <c r="BJ11609" s="201"/>
    </row>
    <row r="11610" spans="62:62" x14ac:dyDescent="0.2">
      <c r="BJ11610" s="201"/>
    </row>
    <row r="11611" spans="62:62" x14ac:dyDescent="0.2">
      <c r="BJ11611" s="201"/>
    </row>
    <row r="11612" spans="62:62" x14ac:dyDescent="0.2">
      <c r="BJ11612" s="201"/>
    </row>
    <row r="11613" spans="62:62" x14ac:dyDescent="0.2">
      <c r="BJ11613" s="201"/>
    </row>
    <row r="11614" spans="62:62" x14ac:dyDescent="0.2">
      <c r="BJ11614" s="201"/>
    </row>
    <row r="11615" spans="62:62" x14ac:dyDescent="0.2">
      <c r="BJ11615" s="201"/>
    </row>
    <row r="11616" spans="62:62" x14ac:dyDescent="0.2">
      <c r="BJ11616" s="201"/>
    </row>
    <row r="11617" spans="62:62" x14ac:dyDescent="0.2">
      <c r="BJ11617" s="201"/>
    </row>
    <row r="11618" spans="62:62" x14ac:dyDescent="0.2">
      <c r="BJ11618" s="201"/>
    </row>
    <row r="11619" spans="62:62" x14ac:dyDescent="0.2">
      <c r="BJ11619" s="201"/>
    </row>
    <row r="11620" spans="62:62" x14ac:dyDescent="0.2">
      <c r="BJ11620" s="201"/>
    </row>
    <row r="11621" spans="62:62" x14ac:dyDescent="0.2">
      <c r="BJ11621" s="201"/>
    </row>
    <row r="11622" spans="62:62" x14ac:dyDescent="0.2">
      <c r="BJ11622" s="201"/>
    </row>
    <row r="11623" spans="62:62" x14ac:dyDescent="0.2">
      <c r="BJ11623" s="201"/>
    </row>
    <row r="11624" spans="62:62" x14ac:dyDescent="0.2">
      <c r="BJ11624" s="201"/>
    </row>
    <row r="11625" spans="62:62" x14ac:dyDescent="0.2">
      <c r="BJ11625" s="201"/>
    </row>
    <row r="11626" spans="62:62" x14ac:dyDescent="0.2">
      <c r="BJ11626" s="201"/>
    </row>
    <row r="11627" spans="62:62" x14ac:dyDescent="0.2">
      <c r="BJ11627" s="201"/>
    </row>
    <row r="11628" spans="62:62" x14ac:dyDescent="0.2">
      <c r="BJ11628" s="201"/>
    </row>
    <row r="11629" spans="62:62" x14ac:dyDescent="0.2">
      <c r="BJ11629" s="201"/>
    </row>
    <row r="11630" spans="62:62" x14ac:dyDescent="0.2">
      <c r="BJ11630" s="201"/>
    </row>
    <row r="11631" spans="62:62" x14ac:dyDescent="0.2">
      <c r="BJ11631" s="201"/>
    </row>
    <row r="11632" spans="62:62" x14ac:dyDescent="0.2">
      <c r="BJ11632" s="201"/>
    </row>
    <row r="11633" spans="62:62" x14ac:dyDescent="0.2">
      <c r="BJ11633" s="201"/>
    </row>
    <row r="11634" spans="62:62" x14ac:dyDescent="0.2">
      <c r="BJ11634" s="201"/>
    </row>
    <row r="11635" spans="62:62" x14ac:dyDescent="0.2">
      <c r="BJ11635" s="201"/>
    </row>
    <row r="11636" spans="62:62" x14ac:dyDescent="0.2">
      <c r="BJ11636" s="201"/>
    </row>
    <row r="11637" spans="62:62" x14ac:dyDescent="0.2">
      <c r="BJ11637" s="201"/>
    </row>
    <row r="11638" spans="62:62" x14ac:dyDescent="0.2">
      <c r="BJ11638" s="201"/>
    </row>
    <row r="11639" spans="62:62" x14ac:dyDescent="0.2">
      <c r="BJ11639" s="201"/>
    </row>
    <row r="11640" spans="62:62" x14ac:dyDescent="0.2">
      <c r="BJ11640" s="201"/>
    </row>
    <row r="11641" spans="62:62" x14ac:dyDescent="0.2">
      <c r="BJ11641" s="201"/>
    </row>
    <row r="11642" spans="62:62" x14ac:dyDescent="0.2">
      <c r="BJ11642" s="201"/>
    </row>
    <row r="11643" spans="62:62" x14ac:dyDescent="0.2">
      <c r="BJ11643" s="201"/>
    </row>
    <row r="11644" spans="62:62" x14ac:dyDescent="0.2">
      <c r="BJ11644" s="201"/>
    </row>
    <row r="11645" spans="62:62" x14ac:dyDescent="0.2">
      <c r="BJ11645" s="201"/>
    </row>
    <row r="11646" spans="62:62" x14ac:dyDescent="0.2">
      <c r="BJ11646" s="201"/>
    </row>
    <row r="11647" spans="62:62" x14ac:dyDescent="0.2">
      <c r="BJ11647" s="201"/>
    </row>
    <row r="11648" spans="62:62" x14ac:dyDescent="0.2">
      <c r="BJ11648" s="201"/>
    </row>
    <row r="11649" spans="62:62" x14ac:dyDescent="0.2">
      <c r="BJ11649" s="201"/>
    </row>
    <row r="11650" spans="62:62" x14ac:dyDescent="0.2">
      <c r="BJ11650" s="201"/>
    </row>
    <row r="11651" spans="62:62" x14ac:dyDescent="0.2">
      <c r="BJ11651" s="201"/>
    </row>
    <row r="11652" spans="62:62" x14ac:dyDescent="0.2">
      <c r="BJ11652" s="201"/>
    </row>
    <row r="11653" spans="62:62" x14ac:dyDescent="0.2">
      <c r="BJ11653" s="201"/>
    </row>
    <row r="11654" spans="62:62" x14ac:dyDescent="0.2">
      <c r="BJ11654" s="201"/>
    </row>
    <row r="11655" spans="62:62" x14ac:dyDescent="0.2">
      <c r="BJ11655" s="201"/>
    </row>
    <row r="11656" spans="62:62" x14ac:dyDescent="0.2">
      <c r="BJ11656" s="201"/>
    </row>
    <row r="11657" spans="62:62" x14ac:dyDescent="0.2">
      <c r="BJ11657" s="201"/>
    </row>
    <row r="11658" spans="62:62" x14ac:dyDescent="0.2">
      <c r="BJ11658" s="201"/>
    </row>
    <row r="11659" spans="62:62" x14ac:dyDescent="0.2">
      <c r="BJ11659" s="201"/>
    </row>
    <row r="11660" spans="62:62" x14ac:dyDescent="0.2">
      <c r="BJ11660" s="201"/>
    </row>
    <row r="11661" spans="62:62" x14ac:dyDescent="0.2">
      <c r="BJ11661" s="201"/>
    </row>
    <row r="11662" spans="62:62" x14ac:dyDescent="0.2">
      <c r="BJ11662" s="201"/>
    </row>
    <row r="11663" spans="62:62" x14ac:dyDescent="0.2">
      <c r="BJ11663" s="201"/>
    </row>
    <row r="11664" spans="62:62" x14ac:dyDescent="0.2">
      <c r="BJ11664" s="201"/>
    </row>
    <row r="11665" spans="62:62" x14ac:dyDescent="0.2">
      <c r="BJ11665" s="201"/>
    </row>
    <row r="11666" spans="62:62" x14ac:dyDescent="0.2">
      <c r="BJ11666" s="201"/>
    </row>
    <row r="11667" spans="62:62" x14ac:dyDescent="0.2">
      <c r="BJ11667" s="201"/>
    </row>
    <row r="11668" spans="62:62" x14ac:dyDescent="0.2">
      <c r="BJ11668" s="201"/>
    </row>
    <row r="11669" spans="62:62" x14ac:dyDescent="0.2">
      <c r="BJ11669" s="201"/>
    </row>
    <row r="11670" spans="62:62" x14ac:dyDescent="0.2">
      <c r="BJ11670" s="201"/>
    </row>
    <row r="11671" spans="62:62" x14ac:dyDescent="0.2">
      <c r="BJ11671" s="201"/>
    </row>
    <row r="11672" spans="62:62" x14ac:dyDescent="0.2">
      <c r="BJ11672" s="201"/>
    </row>
    <row r="11673" spans="62:62" x14ac:dyDescent="0.2">
      <c r="BJ11673" s="201"/>
    </row>
    <row r="11674" spans="62:62" x14ac:dyDescent="0.2">
      <c r="BJ11674" s="201"/>
    </row>
    <row r="11675" spans="62:62" x14ac:dyDescent="0.2">
      <c r="BJ11675" s="201"/>
    </row>
    <row r="11676" spans="62:62" x14ac:dyDescent="0.2">
      <c r="BJ11676" s="201"/>
    </row>
    <row r="11677" spans="62:62" x14ac:dyDescent="0.2">
      <c r="BJ11677" s="201"/>
    </row>
    <row r="11678" spans="62:62" x14ac:dyDescent="0.2">
      <c r="BJ11678" s="201"/>
    </row>
    <row r="11679" spans="62:62" x14ac:dyDescent="0.2">
      <c r="BJ11679" s="201"/>
    </row>
    <row r="11680" spans="62:62" x14ac:dyDescent="0.2">
      <c r="BJ11680" s="201"/>
    </row>
    <row r="11681" spans="62:62" x14ac:dyDescent="0.2">
      <c r="BJ11681" s="201"/>
    </row>
    <row r="11682" spans="62:62" x14ac:dyDescent="0.2">
      <c r="BJ11682" s="201"/>
    </row>
    <row r="11683" spans="62:62" x14ac:dyDescent="0.2">
      <c r="BJ11683" s="201"/>
    </row>
    <row r="11684" spans="62:62" x14ac:dyDescent="0.2">
      <c r="BJ11684" s="201"/>
    </row>
    <row r="11685" spans="62:62" x14ac:dyDescent="0.2">
      <c r="BJ11685" s="201"/>
    </row>
    <row r="11686" spans="62:62" x14ac:dyDescent="0.2">
      <c r="BJ11686" s="201"/>
    </row>
    <row r="11687" spans="62:62" x14ac:dyDescent="0.2">
      <c r="BJ11687" s="201"/>
    </row>
    <row r="11688" spans="62:62" x14ac:dyDescent="0.2">
      <c r="BJ11688" s="201"/>
    </row>
    <row r="11689" spans="62:62" x14ac:dyDescent="0.2">
      <c r="BJ11689" s="201"/>
    </row>
    <row r="11690" spans="62:62" x14ac:dyDescent="0.2">
      <c r="BJ11690" s="201"/>
    </row>
    <row r="11691" spans="62:62" x14ac:dyDescent="0.2">
      <c r="BJ11691" s="201"/>
    </row>
    <row r="11692" spans="62:62" x14ac:dyDescent="0.2">
      <c r="BJ11692" s="201"/>
    </row>
    <row r="11693" spans="62:62" x14ac:dyDescent="0.2">
      <c r="BJ11693" s="201"/>
    </row>
    <row r="11694" spans="62:62" x14ac:dyDescent="0.2">
      <c r="BJ11694" s="201"/>
    </row>
    <row r="11695" spans="62:62" x14ac:dyDescent="0.2">
      <c r="BJ11695" s="201"/>
    </row>
    <row r="11696" spans="62:62" x14ac:dyDescent="0.2">
      <c r="BJ11696" s="201"/>
    </row>
    <row r="11697" spans="62:62" x14ac:dyDescent="0.2">
      <c r="BJ11697" s="201"/>
    </row>
    <row r="11698" spans="62:62" x14ac:dyDescent="0.2">
      <c r="BJ11698" s="201"/>
    </row>
    <row r="11699" spans="62:62" x14ac:dyDescent="0.2">
      <c r="BJ11699" s="201"/>
    </row>
    <row r="11700" spans="62:62" x14ac:dyDescent="0.2">
      <c r="BJ11700" s="201"/>
    </row>
    <row r="11701" spans="62:62" x14ac:dyDescent="0.2">
      <c r="BJ11701" s="201"/>
    </row>
    <row r="11702" spans="62:62" x14ac:dyDescent="0.2">
      <c r="BJ11702" s="201"/>
    </row>
    <row r="11703" spans="62:62" x14ac:dyDescent="0.2">
      <c r="BJ11703" s="201"/>
    </row>
    <row r="11704" spans="62:62" x14ac:dyDescent="0.2">
      <c r="BJ11704" s="201"/>
    </row>
    <row r="11705" spans="62:62" x14ac:dyDescent="0.2">
      <c r="BJ11705" s="201"/>
    </row>
    <row r="11706" spans="62:62" x14ac:dyDescent="0.2">
      <c r="BJ11706" s="201"/>
    </row>
    <row r="11707" spans="62:62" x14ac:dyDescent="0.2">
      <c r="BJ11707" s="201"/>
    </row>
    <row r="11708" spans="62:62" x14ac:dyDescent="0.2">
      <c r="BJ11708" s="201"/>
    </row>
    <row r="11709" spans="62:62" x14ac:dyDescent="0.2">
      <c r="BJ11709" s="201"/>
    </row>
    <row r="11710" spans="62:62" x14ac:dyDescent="0.2">
      <c r="BJ11710" s="201"/>
    </row>
    <row r="11711" spans="62:62" x14ac:dyDescent="0.2">
      <c r="BJ11711" s="201"/>
    </row>
    <row r="11712" spans="62:62" x14ac:dyDescent="0.2">
      <c r="BJ11712" s="201"/>
    </row>
    <row r="11713" spans="62:62" x14ac:dyDescent="0.2">
      <c r="BJ11713" s="201"/>
    </row>
    <row r="11714" spans="62:62" x14ac:dyDescent="0.2">
      <c r="BJ11714" s="201"/>
    </row>
    <row r="11715" spans="62:62" x14ac:dyDescent="0.2">
      <c r="BJ11715" s="201"/>
    </row>
    <row r="11716" spans="62:62" x14ac:dyDescent="0.2">
      <c r="BJ11716" s="201"/>
    </row>
    <row r="11717" spans="62:62" x14ac:dyDescent="0.2">
      <c r="BJ11717" s="201"/>
    </row>
    <row r="11718" spans="62:62" x14ac:dyDescent="0.2">
      <c r="BJ11718" s="201"/>
    </row>
    <row r="11719" spans="62:62" x14ac:dyDescent="0.2">
      <c r="BJ11719" s="201"/>
    </row>
    <row r="11720" spans="62:62" x14ac:dyDescent="0.2">
      <c r="BJ11720" s="201"/>
    </row>
    <row r="11721" spans="62:62" x14ac:dyDescent="0.2">
      <c r="BJ11721" s="201"/>
    </row>
    <row r="11722" spans="62:62" x14ac:dyDescent="0.2">
      <c r="BJ11722" s="201"/>
    </row>
    <row r="11723" spans="62:62" x14ac:dyDescent="0.2">
      <c r="BJ11723" s="201"/>
    </row>
    <row r="11724" spans="62:62" x14ac:dyDescent="0.2">
      <c r="BJ11724" s="201"/>
    </row>
    <row r="11725" spans="62:62" x14ac:dyDescent="0.2">
      <c r="BJ11725" s="201"/>
    </row>
    <row r="11726" spans="62:62" x14ac:dyDescent="0.2">
      <c r="BJ11726" s="201"/>
    </row>
    <row r="11727" spans="62:62" x14ac:dyDescent="0.2">
      <c r="BJ11727" s="201"/>
    </row>
    <row r="11728" spans="62:62" x14ac:dyDescent="0.2">
      <c r="BJ11728" s="201"/>
    </row>
    <row r="11729" spans="62:62" x14ac:dyDescent="0.2">
      <c r="BJ11729" s="201"/>
    </row>
    <row r="11730" spans="62:62" x14ac:dyDescent="0.2">
      <c r="BJ11730" s="201"/>
    </row>
    <row r="11731" spans="62:62" x14ac:dyDescent="0.2">
      <c r="BJ11731" s="201"/>
    </row>
    <row r="11732" spans="62:62" x14ac:dyDescent="0.2">
      <c r="BJ11732" s="201"/>
    </row>
    <row r="11733" spans="62:62" x14ac:dyDescent="0.2">
      <c r="BJ11733" s="201"/>
    </row>
    <row r="11734" spans="62:62" x14ac:dyDescent="0.2">
      <c r="BJ11734" s="201"/>
    </row>
    <row r="11735" spans="62:62" x14ac:dyDescent="0.2">
      <c r="BJ11735" s="201"/>
    </row>
    <row r="11736" spans="62:62" x14ac:dyDescent="0.2">
      <c r="BJ11736" s="201"/>
    </row>
    <row r="11737" spans="62:62" x14ac:dyDescent="0.2">
      <c r="BJ11737" s="201"/>
    </row>
    <row r="11738" spans="62:62" x14ac:dyDescent="0.2">
      <c r="BJ11738" s="201"/>
    </row>
    <row r="11739" spans="62:62" x14ac:dyDescent="0.2">
      <c r="BJ11739" s="201"/>
    </row>
    <row r="11740" spans="62:62" x14ac:dyDescent="0.2">
      <c r="BJ11740" s="201"/>
    </row>
    <row r="11741" spans="62:62" x14ac:dyDescent="0.2">
      <c r="BJ11741" s="201"/>
    </row>
    <row r="11742" spans="62:62" x14ac:dyDescent="0.2">
      <c r="BJ11742" s="201"/>
    </row>
    <row r="11743" spans="62:62" x14ac:dyDescent="0.2">
      <c r="BJ11743" s="201"/>
    </row>
    <row r="11744" spans="62:62" x14ac:dyDescent="0.2">
      <c r="BJ11744" s="201"/>
    </row>
    <row r="11745" spans="62:62" x14ac:dyDescent="0.2">
      <c r="BJ11745" s="201"/>
    </row>
    <row r="11746" spans="62:62" x14ac:dyDescent="0.2">
      <c r="BJ11746" s="201"/>
    </row>
    <row r="11747" spans="62:62" x14ac:dyDescent="0.2">
      <c r="BJ11747" s="201"/>
    </row>
    <row r="11748" spans="62:62" x14ac:dyDescent="0.2">
      <c r="BJ11748" s="201"/>
    </row>
    <row r="11749" spans="62:62" x14ac:dyDescent="0.2">
      <c r="BJ11749" s="201"/>
    </row>
    <row r="11750" spans="62:62" x14ac:dyDescent="0.2">
      <c r="BJ11750" s="201"/>
    </row>
    <row r="11751" spans="62:62" x14ac:dyDescent="0.2">
      <c r="BJ11751" s="201"/>
    </row>
    <row r="11752" spans="62:62" x14ac:dyDescent="0.2">
      <c r="BJ11752" s="201"/>
    </row>
    <row r="11753" spans="62:62" x14ac:dyDescent="0.2">
      <c r="BJ11753" s="201"/>
    </row>
    <row r="11754" spans="62:62" x14ac:dyDescent="0.2">
      <c r="BJ11754" s="201"/>
    </row>
    <row r="11755" spans="62:62" x14ac:dyDescent="0.2">
      <c r="BJ11755" s="201"/>
    </row>
    <row r="11756" spans="62:62" x14ac:dyDescent="0.2">
      <c r="BJ11756" s="201"/>
    </row>
    <row r="11757" spans="62:62" x14ac:dyDescent="0.2">
      <c r="BJ11757" s="201"/>
    </row>
    <row r="11758" spans="62:62" x14ac:dyDescent="0.2">
      <c r="BJ11758" s="201"/>
    </row>
    <row r="11759" spans="62:62" x14ac:dyDescent="0.2">
      <c r="BJ11759" s="201"/>
    </row>
    <row r="11760" spans="62:62" x14ac:dyDescent="0.2">
      <c r="BJ11760" s="201"/>
    </row>
    <row r="11761" spans="62:62" x14ac:dyDescent="0.2">
      <c r="BJ11761" s="201"/>
    </row>
    <row r="11762" spans="62:62" x14ac:dyDescent="0.2">
      <c r="BJ11762" s="201"/>
    </row>
    <row r="11763" spans="62:62" x14ac:dyDescent="0.2">
      <c r="BJ11763" s="201"/>
    </row>
    <row r="11764" spans="62:62" x14ac:dyDescent="0.2">
      <c r="BJ11764" s="201"/>
    </row>
    <row r="11765" spans="62:62" x14ac:dyDescent="0.2">
      <c r="BJ11765" s="201"/>
    </row>
    <row r="11766" spans="62:62" x14ac:dyDescent="0.2">
      <c r="BJ11766" s="201"/>
    </row>
    <row r="11767" spans="62:62" x14ac:dyDescent="0.2">
      <c r="BJ11767" s="201"/>
    </row>
    <row r="11768" spans="62:62" x14ac:dyDescent="0.2">
      <c r="BJ11768" s="201"/>
    </row>
    <row r="11769" spans="62:62" x14ac:dyDescent="0.2">
      <c r="BJ11769" s="201"/>
    </row>
    <row r="11770" spans="62:62" x14ac:dyDescent="0.2">
      <c r="BJ11770" s="201"/>
    </row>
    <row r="11771" spans="62:62" x14ac:dyDescent="0.2">
      <c r="BJ11771" s="201"/>
    </row>
    <row r="11772" spans="62:62" x14ac:dyDescent="0.2">
      <c r="BJ11772" s="201"/>
    </row>
    <row r="11773" spans="62:62" x14ac:dyDescent="0.2">
      <c r="BJ11773" s="201"/>
    </row>
    <row r="11774" spans="62:62" x14ac:dyDescent="0.2">
      <c r="BJ11774" s="201"/>
    </row>
    <row r="11775" spans="62:62" x14ac:dyDescent="0.2">
      <c r="BJ11775" s="201"/>
    </row>
    <row r="11776" spans="62:62" x14ac:dyDescent="0.2">
      <c r="BJ11776" s="201"/>
    </row>
    <row r="11777" spans="62:62" x14ac:dyDescent="0.2">
      <c r="BJ11777" s="201"/>
    </row>
    <row r="11778" spans="62:62" x14ac:dyDescent="0.2">
      <c r="BJ11778" s="201"/>
    </row>
    <row r="11779" spans="62:62" x14ac:dyDescent="0.2">
      <c r="BJ11779" s="201"/>
    </row>
    <row r="11780" spans="62:62" x14ac:dyDescent="0.2">
      <c r="BJ11780" s="201"/>
    </row>
    <row r="11781" spans="62:62" x14ac:dyDescent="0.2">
      <c r="BJ11781" s="201"/>
    </row>
    <row r="11782" spans="62:62" x14ac:dyDescent="0.2">
      <c r="BJ11782" s="201"/>
    </row>
    <row r="11783" spans="62:62" x14ac:dyDescent="0.2">
      <c r="BJ11783" s="201"/>
    </row>
    <row r="11784" spans="62:62" x14ac:dyDescent="0.2">
      <c r="BJ11784" s="201"/>
    </row>
    <row r="11785" spans="62:62" x14ac:dyDescent="0.2">
      <c r="BJ11785" s="201"/>
    </row>
    <row r="11786" spans="62:62" x14ac:dyDescent="0.2">
      <c r="BJ11786" s="201"/>
    </row>
    <row r="11787" spans="62:62" x14ac:dyDescent="0.2">
      <c r="BJ11787" s="201"/>
    </row>
    <row r="11788" spans="62:62" x14ac:dyDescent="0.2">
      <c r="BJ11788" s="201"/>
    </row>
    <row r="11789" spans="62:62" x14ac:dyDescent="0.2">
      <c r="BJ11789" s="201"/>
    </row>
    <row r="11790" spans="62:62" x14ac:dyDescent="0.2">
      <c r="BJ11790" s="201"/>
    </row>
    <row r="11791" spans="62:62" x14ac:dyDescent="0.2">
      <c r="BJ11791" s="201"/>
    </row>
    <row r="11792" spans="62:62" x14ac:dyDescent="0.2">
      <c r="BJ11792" s="201"/>
    </row>
    <row r="11793" spans="62:62" x14ac:dyDescent="0.2">
      <c r="BJ11793" s="201"/>
    </row>
    <row r="11794" spans="62:62" x14ac:dyDescent="0.2">
      <c r="BJ11794" s="201"/>
    </row>
    <row r="11795" spans="62:62" x14ac:dyDescent="0.2">
      <c r="BJ11795" s="201"/>
    </row>
    <row r="11796" spans="62:62" x14ac:dyDescent="0.2">
      <c r="BJ11796" s="201"/>
    </row>
    <row r="11797" spans="62:62" x14ac:dyDescent="0.2">
      <c r="BJ11797" s="201"/>
    </row>
    <row r="11798" spans="62:62" x14ac:dyDescent="0.2">
      <c r="BJ11798" s="201"/>
    </row>
    <row r="11799" spans="62:62" x14ac:dyDescent="0.2">
      <c r="BJ11799" s="201"/>
    </row>
    <row r="11800" spans="62:62" x14ac:dyDescent="0.2">
      <c r="BJ11800" s="201"/>
    </row>
    <row r="11801" spans="62:62" x14ac:dyDescent="0.2">
      <c r="BJ11801" s="201"/>
    </row>
    <row r="11802" spans="62:62" x14ac:dyDescent="0.2">
      <c r="BJ11802" s="201"/>
    </row>
    <row r="11803" spans="62:62" x14ac:dyDescent="0.2">
      <c r="BJ11803" s="201"/>
    </row>
    <row r="11804" spans="62:62" x14ac:dyDescent="0.2">
      <c r="BJ11804" s="201"/>
    </row>
    <row r="11805" spans="62:62" x14ac:dyDescent="0.2">
      <c r="BJ11805" s="201"/>
    </row>
    <row r="11806" spans="62:62" x14ac:dyDescent="0.2">
      <c r="BJ11806" s="201"/>
    </row>
    <row r="11807" spans="62:62" x14ac:dyDescent="0.2">
      <c r="BJ11807" s="201"/>
    </row>
    <row r="11808" spans="62:62" x14ac:dyDescent="0.2">
      <c r="BJ11808" s="201"/>
    </row>
    <row r="11809" spans="62:62" x14ac:dyDescent="0.2">
      <c r="BJ11809" s="201"/>
    </row>
    <row r="11810" spans="62:62" x14ac:dyDescent="0.2">
      <c r="BJ11810" s="201"/>
    </row>
    <row r="11811" spans="62:62" x14ac:dyDescent="0.2">
      <c r="BJ11811" s="201"/>
    </row>
    <row r="11812" spans="62:62" x14ac:dyDescent="0.2">
      <c r="BJ11812" s="201"/>
    </row>
    <row r="11813" spans="62:62" x14ac:dyDescent="0.2">
      <c r="BJ11813" s="201"/>
    </row>
    <row r="11814" spans="62:62" x14ac:dyDescent="0.2">
      <c r="BJ11814" s="201"/>
    </row>
    <row r="11815" spans="62:62" x14ac:dyDescent="0.2">
      <c r="BJ11815" s="201"/>
    </row>
    <row r="11816" spans="62:62" x14ac:dyDescent="0.2">
      <c r="BJ11816" s="201"/>
    </row>
    <row r="11817" spans="62:62" x14ac:dyDescent="0.2">
      <c r="BJ11817" s="201"/>
    </row>
    <row r="11818" spans="62:62" x14ac:dyDescent="0.2">
      <c r="BJ11818" s="201"/>
    </row>
    <row r="11819" spans="62:62" x14ac:dyDescent="0.2">
      <c r="BJ11819" s="201"/>
    </row>
    <row r="11820" spans="62:62" x14ac:dyDescent="0.2">
      <c r="BJ11820" s="201"/>
    </row>
    <row r="11821" spans="62:62" x14ac:dyDescent="0.2">
      <c r="BJ11821" s="201"/>
    </row>
    <row r="11822" spans="62:62" x14ac:dyDescent="0.2">
      <c r="BJ11822" s="201"/>
    </row>
    <row r="11823" spans="62:62" x14ac:dyDescent="0.2">
      <c r="BJ11823" s="201"/>
    </row>
    <row r="11824" spans="62:62" x14ac:dyDescent="0.2">
      <c r="BJ11824" s="201"/>
    </row>
    <row r="11825" spans="62:62" x14ac:dyDescent="0.2">
      <c r="BJ11825" s="201"/>
    </row>
    <row r="11826" spans="62:62" x14ac:dyDescent="0.2">
      <c r="BJ11826" s="201"/>
    </row>
    <row r="11827" spans="62:62" x14ac:dyDescent="0.2">
      <c r="BJ11827" s="201"/>
    </row>
    <row r="11828" spans="62:62" x14ac:dyDescent="0.2">
      <c r="BJ11828" s="201"/>
    </row>
    <row r="11829" spans="62:62" x14ac:dyDescent="0.2">
      <c r="BJ11829" s="201"/>
    </row>
    <row r="11830" spans="62:62" x14ac:dyDescent="0.2">
      <c r="BJ11830" s="201"/>
    </row>
    <row r="11831" spans="62:62" x14ac:dyDescent="0.2">
      <c r="BJ11831" s="201"/>
    </row>
    <row r="11832" spans="62:62" x14ac:dyDescent="0.2">
      <c r="BJ11832" s="201"/>
    </row>
    <row r="11833" spans="62:62" x14ac:dyDescent="0.2">
      <c r="BJ11833" s="201"/>
    </row>
    <row r="11834" spans="62:62" x14ac:dyDescent="0.2">
      <c r="BJ11834" s="201"/>
    </row>
    <row r="11835" spans="62:62" x14ac:dyDescent="0.2">
      <c r="BJ11835" s="201"/>
    </row>
    <row r="11836" spans="62:62" x14ac:dyDescent="0.2">
      <c r="BJ11836" s="201"/>
    </row>
    <row r="11837" spans="62:62" x14ac:dyDescent="0.2">
      <c r="BJ11837" s="201"/>
    </row>
    <row r="11838" spans="62:62" x14ac:dyDescent="0.2">
      <c r="BJ11838" s="201"/>
    </row>
    <row r="11839" spans="62:62" x14ac:dyDescent="0.2">
      <c r="BJ11839" s="201"/>
    </row>
    <row r="11840" spans="62:62" x14ac:dyDescent="0.2">
      <c r="BJ11840" s="201"/>
    </row>
    <row r="11841" spans="62:62" x14ac:dyDescent="0.2">
      <c r="BJ11841" s="201"/>
    </row>
    <row r="11842" spans="62:62" x14ac:dyDescent="0.2">
      <c r="BJ11842" s="201"/>
    </row>
    <row r="11843" spans="62:62" x14ac:dyDescent="0.2">
      <c r="BJ11843" s="201"/>
    </row>
    <row r="11844" spans="62:62" x14ac:dyDescent="0.2">
      <c r="BJ11844" s="201"/>
    </row>
    <row r="11845" spans="62:62" x14ac:dyDescent="0.2">
      <c r="BJ11845" s="201"/>
    </row>
    <row r="11846" spans="62:62" x14ac:dyDescent="0.2">
      <c r="BJ11846" s="201"/>
    </row>
    <row r="11847" spans="62:62" x14ac:dyDescent="0.2">
      <c r="BJ11847" s="201"/>
    </row>
    <row r="11848" spans="62:62" x14ac:dyDescent="0.2">
      <c r="BJ11848" s="201"/>
    </row>
    <row r="11849" spans="62:62" x14ac:dyDescent="0.2">
      <c r="BJ11849" s="201"/>
    </row>
    <row r="11850" spans="62:62" x14ac:dyDescent="0.2">
      <c r="BJ11850" s="201"/>
    </row>
    <row r="11851" spans="62:62" x14ac:dyDescent="0.2">
      <c r="BJ11851" s="201"/>
    </row>
    <row r="11852" spans="62:62" x14ac:dyDescent="0.2">
      <c r="BJ11852" s="201"/>
    </row>
    <row r="11853" spans="62:62" x14ac:dyDescent="0.2">
      <c r="BJ11853" s="201"/>
    </row>
    <row r="11854" spans="62:62" x14ac:dyDescent="0.2">
      <c r="BJ11854" s="201"/>
    </row>
    <row r="11855" spans="62:62" x14ac:dyDescent="0.2">
      <c r="BJ11855" s="201"/>
    </row>
    <row r="11856" spans="62:62" x14ac:dyDescent="0.2">
      <c r="BJ11856" s="201"/>
    </row>
    <row r="11857" spans="62:62" x14ac:dyDescent="0.2">
      <c r="BJ11857" s="201"/>
    </row>
    <row r="11858" spans="62:62" x14ac:dyDescent="0.2">
      <c r="BJ11858" s="201"/>
    </row>
    <row r="11859" spans="62:62" x14ac:dyDescent="0.2">
      <c r="BJ11859" s="201"/>
    </row>
    <row r="11860" spans="62:62" x14ac:dyDescent="0.2">
      <c r="BJ11860" s="201"/>
    </row>
    <row r="11861" spans="62:62" x14ac:dyDescent="0.2">
      <c r="BJ11861" s="201"/>
    </row>
    <row r="11862" spans="62:62" x14ac:dyDescent="0.2">
      <c r="BJ11862" s="201"/>
    </row>
    <row r="11863" spans="62:62" x14ac:dyDescent="0.2">
      <c r="BJ11863" s="201"/>
    </row>
    <row r="11864" spans="62:62" x14ac:dyDescent="0.2">
      <c r="BJ11864" s="201"/>
    </row>
    <row r="11865" spans="62:62" x14ac:dyDescent="0.2">
      <c r="BJ11865" s="201"/>
    </row>
    <row r="11866" spans="62:62" x14ac:dyDescent="0.2">
      <c r="BJ11866" s="201"/>
    </row>
    <row r="11867" spans="62:62" x14ac:dyDescent="0.2">
      <c r="BJ11867" s="201"/>
    </row>
    <row r="11868" spans="62:62" x14ac:dyDescent="0.2">
      <c r="BJ11868" s="201"/>
    </row>
    <row r="11869" spans="62:62" x14ac:dyDescent="0.2">
      <c r="BJ11869" s="201"/>
    </row>
    <row r="11870" spans="62:62" x14ac:dyDescent="0.2">
      <c r="BJ11870" s="201"/>
    </row>
    <row r="11871" spans="62:62" x14ac:dyDescent="0.2">
      <c r="BJ11871" s="201"/>
    </row>
    <row r="11872" spans="62:62" x14ac:dyDescent="0.2">
      <c r="BJ11872" s="201"/>
    </row>
    <row r="11873" spans="62:62" x14ac:dyDescent="0.2">
      <c r="BJ11873" s="201"/>
    </row>
    <row r="11874" spans="62:62" x14ac:dyDescent="0.2">
      <c r="BJ11874" s="201"/>
    </row>
    <row r="11875" spans="62:62" x14ac:dyDescent="0.2">
      <c r="BJ11875" s="201"/>
    </row>
    <row r="11876" spans="62:62" x14ac:dyDescent="0.2">
      <c r="BJ11876" s="201"/>
    </row>
    <row r="11877" spans="62:62" x14ac:dyDescent="0.2">
      <c r="BJ11877" s="201"/>
    </row>
    <row r="11878" spans="62:62" x14ac:dyDescent="0.2">
      <c r="BJ11878" s="201"/>
    </row>
    <row r="11879" spans="62:62" x14ac:dyDescent="0.2">
      <c r="BJ11879" s="201"/>
    </row>
    <row r="11880" spans="62:62" x14ac:dyDescent="0.2">
      <c r="BJ11880" s="201"/>
    </row>
    <row r="11881" spans="62:62" x14ac:dyDescent="0.2">
      <c r="BJ11881" s="201"/>
    </row>
    <row r="11882" spans="62:62" x14ac:dyDescent="0.2">
      <c r="BJ11882" s="201"/>
    </row>
    <row r="11883" spans="62:62" x14ac:dyDescent="0.2">
      <c r="BJ11883" s="201"/>
    </row>
    <row r="11884" spans="62:62" x14ac:dyDescent="0.2">
      <c r="BJ11884" s="201"/>
    </row>
    <row r="11885" spans="62:62" x14ac:dyDescent="0.2">
      <c r="BJ11885" s="201"/>
    </row>
    <row r="11886" spans="62:62" x14ac:dyDescent="0.2">
      <c r="BJ11886" s="201"/>
    </row>
    <row r="11887" spans="62:62" x14ac:dyDescent="0.2">
      <c r="BJ11887" s="201"/>
    </row>
    <row r="11888" spans="62:62" x14ac:dyDescent="0.2">
      <c r="BJ11888" s="201"/>
    </row>
    <row r="11889" spans="62:62" x14ac:dyDescent="0.2">
      <c r="BJ11889" s="201"/>
    </row>
    <row r="11890" spans="62:62" x14ac:dyDescent="0.2">
      <c r="BJ11890" s="201"/>
    </row>
    <row r="11891" spans="62:62" x14ac:dyDescent="0.2">
      <c r="BJ11891" s="201"/>
    </row>
    <row r="11892" spans="62:62" x14ac:dyDescent="0.2">
      <c r="BJ11892" s="201"/>
    </row>
    <row r="11893" spans="62:62" x14ac:dyDescent="0.2">
      <c r="BJ11893" s="201"/>
    </row>
    <row r="11894" spans="62:62" x14ac:dyDescent="0.2">
      <c r="BJ11894" s="201"/>
    </row>
    <row r="11895" spans="62:62" x14ac:dyDescent="0.2">
      <c r="BJ11895" s="201"/>
    </row>
    <row r="11896" spans="62:62" x14ac:dyDescent="0.2">
      <c r="BJ11896" s="201"/>
    </row>
    <row r="11897" spans="62:62" x14ac:dyDescent="0.2">
      <c r="BJ11897" s="201"/>
    </row>
    <row r="11898" spans="62:62" x14ac:dyDescent="0.2">
      <c r="BJ11898" s="201"/>
    </row>
    <row r="11899" spans="62:62" x14ac:dyDescent="0.2">
      <c r="BJ11899" s="201"/>
    </row>
    <row r="11900" spans="62:62" x14ac:dyDescent="0.2">
      <c r="BJ11900" s="201"/>
    </row>
    <row r="11901" spans="62:62" x14ac:dyDescent="0.2">
      <c r="BJ11901" s="201"/>
    </row>
    <row r="11902" spans="62:62" x14ac:dyDescent="0.2">
      <c r="BJ11902" s="201"/>
    </row>
    <row r="11903" spans="62:62" x14ac:dyDescent="0.2">
      <c r="BJ11903" s="201"/>
    </row>
    <row r="11904" spans="62:62" x14ac:dyDescent="0.2">
      <c r="BJ11904" s="201"/>
    </row>
    <row r="11905" spans="62:62" x14ac:dyDescent="0.2">
      <c r="BJ11905" s="201"/>
    </row>
    <row r="11906" spans="62:62" x14ac:dyDescent="0.2">
      <c r="BJ11906" s="201"/>
    </row>
    <row r="11907" spans="62:62" x14ac:dyDescent="0.2">
      <c r="BJ11907" s="201"/>
    </row>
    <row r="11908" spans="62:62" x14ac:dyDescent="0.2">
      <c r="BJ11908" s="201"/>
    </row>
    <row r="11909" spans="62:62" x14ac:dyDescent="0.2">
      <c r="BJ11909" s="201"/>
    </row>
    <row r="11910" spans="62:62" x14ac:dyDescent="0.2">
      <c r="BJ11910" s="201"/>
    </row>
    <row r="11911" spans="62:62" x14ac:dyDescent="0.2">
      <c r="BJ11911" s="201"/>
    </row>
    <row r="11912" spans="62:62" x14ac:dyDescent="0.2">
      <c r="BJ11912" s="201"/>
    </row>
    <row r="11913" spans="62:62" x14ac:dyDescent="0.2">
      <c r="BJ11913" s="201"/>
    </row>
    <row r="11914" spans="62:62" x14ac:dyDescent="0.2">
      <c r="BJ11914" s="201"/>
    </row>
    <row r="11915" spans="62:62" x14ac:dyDescent="0.2">
      <c r="BJ11915" s="201"/>
    </row>
    <row r="11916" spans="62:62" x14ac:dyDescent="0.2">
      <c r="BJ11916" s="201"/>
    </row>
    <row r="11917" spans="62:62" x14ac:dyDescent="0.2">
      <c r="BJ11917" s="201"/>
    </row>
    <row r="11918" spans="62:62" x14ac:dyDescent="0.2">
      <c r="BJ11918" s="201"/>
    </row>
    <row r="11919" spans="62:62" x14ac:dyDescent="0.2">
      <c r="BJ11919" s="201"/>
    </row>
    <row r="11920" spans="62:62" x14ac:dyDescent="0.2">
      <c r="BJ11920" s="201"/>
    </row>
    <row r="11921" spans="62:62" x14ac:dyDescent="0.2">
      <c r="BJ11921" s="201"/>
    </row>
    <row r="11922" spans="62:62" x14ac:dyDescent="0.2">
      <c r="BJ11922" s="201"/>
    </row>
    <row r="11923" spans="62:62" x14ac:dyDescent="0.2">
      <c r="BJ11923" s="201"/>
    </row>
    <row r="11924" spans="62:62" x14ac:dyDescent="0.2">
      <c r="BJ11924" s="201"/>
    </row>
    <row r="11925" spans="62:62" x14ac:dyDescent="0.2">
      <c r="BJ11925" s="201"/>
    </row>
    <row r="11926" spans="62:62" x14ac:dyDescent="0.2">
      <c r="BJ11926" s="201"/>
    </row>
    <row r="11927" spans="62:62" x14ac:dyDescent="0.2">
      <c r="BJ11927" s="201"/>
    </row>
    <row r="11928" spans="62:62" x14ac:dyDescent="0.2">
      <c r="BJ11928" s="201"/>
    </row>
    <row r="11929" spans="62:62" x14ac:dyDescent="0.2">
      <c r="BJ11929" s="201"/>
    </row>
    <row r="11930" spans="62:62" x14ac:dyDescent="0.2">
      <c r="BJ11930" s="201"/>
    </row>
    <row r="11931" spans="62:62" x14ac:dyDescent="0.2">
      <c r="BJ11931" s="201"/>
    </row>
    <row r="11932" spans="62:62" x14ac:dyDescent="0.2">
      <c r="BJ11932" s="201"/>
    </row>
    <row r="11933" spans="62:62" x14ac:dyDescent="0.2">
      <c r="BJ11933" s="201"/>
    </row>
    <row r="11934" spans="62:62" x14ac:dyDescent="0.2">
      <c r="BJ11934" s="201"/>
    </row>
    <row r="11935" spans="62:62" x14ac:dyDescent="0.2">
      <c r="BJ11935" s="201"/>
    </row>
    <row r="11936" spans="62:62" x14ac:dyDescent="0.2">
      <c r="BJ11936" s="201"/>
    </row>
    <row r="11937" spans="62:62" x14ac:dyDescent="0.2">
      <c r="BJ11937" s="201"/>
    </row>
    <row r="11938" spans="62:62" x14ac:dyDescent="0.2">
      <c r="BJ11938" s="201"/>
    </row>
    <row r="11939" spans="62:62" x14ac:dyDescent="0.2">
      <c r="BJ11939" s="201"/>
    </row>
    <row r="11940" spans="62:62" x14ac:dyDescent="0.2">
      <c r="BJ11940" s="201"/>
    </row>
    <row r="11941" spans="62:62" x14ac:dyDescent="0.2">
      <c r="BJ11941" s="201"/>
    </row>
    <row r="11942" spans="62:62" x14ac:dyDescent="0.2">
      <c r="BJ11942" s="201"/>
    </row>
    <row r="11943" spans="62:62" x14ac:dyDescent="0.2">
      <c r="BJ11943" s="201"/>
    </row>
    <row r="11944" spans="62:62" x14ac:dyDescent="0.2">
      <c r="BJ11944" s="201"/>
    </row>
    <row r="11945" spans="62:62" x14ac:dyDescent="0.2">
      <c r="BJ11945" s="201"/>
    </row>
    <row r="11946" spans="62:62" x14ac:dyDescent="0.2">
      <c r="BJ11946" s="201"/>
    </row>
    <row r="11947" spans="62:62" x14ac:dyDescent="0.2">
      <c r="BJ11947" s="201"/>
    </row>
    <row r="11948" spans="62:62" x14ac:dyDescent="0.2">
      <c r="BJ11948" s="201"/>
    </row>
    <row r="11949" spans="62:62" x14ac:dyDescent="0.2">
      <c r="BJ11949" s="201"/>
    </row>
    <row r="11950" spans="62:62" x14ac:dyDescent="0.2">
      <c r="BJ11950" s="201"/>
    </row>
    <row r="11951" spans="62:62" x14ac:dyDescent="0.2">
      <c r="BJ11951" s="201"/>
    </row>
    <row r="11952" spans="62:62" x14ac:dyDescent="0.2">
      <c r="BJ11952" s="201"/>
    </row>
    <row r="11953" spans="62:62" x14ac:dyDescent="0.2">
      <c r="BJ11953" s="201"/>
    </row>
    <row r="11954" spans="62:62" x14ac:dyDescent="0.2">
      <c r="BJ11954" s="201"/>
    </row>
    <row r="11955" spans="62:62" x14ac:dyDescent="0.2">
      <c r="BJ11955" s="201"/>
    </row>
    <row r="11956" spans="62:62" x14ac:dyDescent="0.2">
      <c r="BJ11956" s="201"/>
    </row>
    <row r="11957" spans="62:62" x14ac:dyDescent="0.2">
      <c r="BJ11957" s="201"/>
    </row>
    <row r="11958" spans="62:62" x14ac:dyDescent="0.2">
      <c r="BJ11958" s="201"/>
    </row>
    <row r="11959" spans="62:62" x14ac:dyDescent="0.2">
      <c r="BJ11959" s="201"/>
    </row>
    <row r="11960" spans="62:62" x14ac:dyDescent="0.2">
      <c r="BJ11960" s="201"/>
    </row>
    <row r="11961" spans="62:62" x14ac:dyDescent="0.2">
      <c r="BJ11961" s="201"/>
    </row>
    <row r="11962" spans="62:62" x14ac:dyDescent="0.2">
      <c r="BJ11962" s="201"/>
    </row>
    <row r="11963" spans="62:62" x14ac:dyDescent="0.2">
      <c r="BJ11963" s="201"/>
    </row>
    <row r="11964" spans="62:62" x14ac:dyDescent="0.2">
      <c r="BJ11964" s="201"/>
    </row>
    <row r="11965" spans="62:62" x14ac:dyDescent="0.2">
      <c r="BJ11965" s="201"/>
    </row>
    <row r="11966" spans="62:62" x14ac:dyDescent="0.2">
      <c r="BJ11966" s="201"/>
    </row>
    <row r="11967" spans="62:62" x14ac:dyDescent="0.2">
      <c r="BJ11967" s="201"/>
    </row>
    <row r="11968" spans="62:62" x14ac:dyDescent="0.2">
      <c r="BJ11968" s="201"/>
    </row>
    <row r="11969" spans="62:62" x14ac:dyDescent="0.2">
      <c r="BJ11969" s="201"/>
    </row>
    <row r="11970" spans="62:62" x14ac:dyDescent="0.2">
      <c r="BJ11970" s="201"/>
    </row>
    <row r="11971" spans="62:62" x14ac:dyDescent="0.2">
      <c r="BJ11971" s="201"/>
    </row>
    <row r="11972" spans="62:62" x14ac:dyDescent="0.2">
      <c r="BJ11972" s="201"/>
    </row>
    <row r="11973" spans="62:62" x14ac:dyDescent="0.2">
      <c r="BJ11973" s="201"/>
    </row>
    <row r="11974" spans="62:62" x14ac:dyDescent="0.2">
      <c r="BJ11974" s="201"/>
    </row>
    <row r="11975" spans="62:62" x14ac:dyDescent="0.2">
      <c r="BJ11975" s="201"/>
    </row>
    <row r="11976" spans="62:62" x14ac:dyDescent="0.2">
      <c r="BJ11976" s="201"/>
    </row>
    <row r="11977" spans="62:62" x14ac:dyDescent="0.2">
      <c r="BJ11977" s="201"/>
    </row>
    <row r="11978" spans="62:62" x14ac:dyDescent="0.2">
      <c r="BJ11978" s="201"/>
    </row>
    <row r="11979" spans="62:62" x14ac:dyDescent="0.2">
      <c r="BJ11979" s="201"/>
    </row>
    <row r="11980" spans="62:62" x14ac:dyDescent="0.2">
      <c r="BJ11980" s="201"/>
    </row>
    <row r="11981" spans="62:62" x14ac:dyDescent="0.2">
      <c r="BJ11981" s="201"/>
    </row>
    <row r="11982" spans="62:62" x14ac:dyDescent="0.2">
      <c r="BJ11982" s="201"/>
    </row>
    <row r="11983" spans="62:62" x14ac:dyDescent="0.2">
      <c r="BJ11983" s="201"/>
    </row>
    <row r="11984" spans="62:62" x14ac:dyDescent="0.2">
      <c r="BJ11984" s="201"/>
    </row>
    <row r="11985" spans="62:62" x14ac:dyDescent="0.2">
      <c r="BJ11985" s="201"/>
    </row>
    <row r="11986" spans="62:62" x14ac:dyDescent="0.2">
      <c r="BJ11986" s="201"/>
    </row>
    <row r="11987" spans="62:62" x14ac:dyDescent="0.2">
      <c r="BJ11987" s="201"/>
    </row>
    <row r="11988" spans="62:62" x14ac:dyDescent="0.2">
      <c r="BJ11988" s="201"/>
    </row>
    <row r="11989" spans="62:62" x14ac:dyDescent="0.2">
      <c r="BJ11989" s="201"/>
    </row>
    <row r="11990" spans="62:62" x14ac:dyDescent="0.2">
      <c r="BJ11990" s="201"/>
    </row>
    <row r="11991" spans="62:62" x14ac:dyDescent="0.2">
      <c r="BJ11991" s="201"/>
    </row>
    <row r="11992" spans="62:62" x14ac:dyDescent="0.2">
      <c r="BJ11992" s="201"/>
    </row>
    <row r="11993" spans="62:62" x14ac:dyDescent="0.2">
      <c r="BJ11993" s="201"/>
    </row>
    <row r="11994" spans="62:62" x14ac:dyDescent="0.2">
      <c r="BJ11994" s="201"/>
    </row>
    <row r="11995" spans="62:62" x14ac:dyDescent="0.2">
      <c r="BJ11995" s="201"/>
    </row>
    <row r="11996" spans="62:62" x14ac:dyDescent="0.2">
      <c r="BJ11996" s="201"/>
    </row>
    <row r="11997" spans="62:62" x14ac:dyDescent="0.2">
      <c r="BJ11997" s="201"/>
    </row>
    <row r="11998" spans="62:62" x14ac:dyDescent="0.2">
      <c r="BJ11998" s="201"/>
    </row>
    <row r="11999" spans="62:62" x14ac:dyDescent="0.2">
      <c r="BJ11999" s="201"/>
    </row>
    <row r="12000" spans="62:62" x14ac:dyDescent="0.2">
      <c r="BJ12000" s="201"/>
    </row>
    <row r="12001" spans="62:62" x14ac:dyDescent="0.2">
      <c r="BJ12001" s="201"/>
    </row>
    <row r="12002" spans="62:62" x14ac:dyDescent="0.2">
      <c r="BJ12002" s="201"/>
    </row>
    <row r="12003" spans="62:62" x14ac:dyDescent="0.2">
      <c r="BJ12003" s="201"/>
    </row>
    <row r="12004" spans="62:62" x14ac:dyDescent="0.2">
      <c r="BJ12004" s="201"/>
    </row>
    <row r="12005" spans="62:62" x14ac:dyDescent="0.2">
      <c r="BJ12005" s="201"/>
    </row>
    <row r="12006" spans="62:62" x14ac:dyDescent="0.2">
      <c r="BJ12006" s="201"/>
    </row>
    <row r="12007" spans="62:62" x14ac:dyDescent="0.2">
      <c r="BJ12007" s="201"/>
    </row>
    <row r="12008" spans="62:62" x14ac:dyDescent="0.2">
      <c r="BJ12008" s="201"/>
    </row>
    <row r="12009" spans="62:62" x14ac:dyDescent="0.2">
      <c r="BJ12009" s="201"/>
    </row>
    <row r="12010" spans="62:62" x14ac:dyDescent="0.2">
      <c r="BJ12010" s="201"/>
    </row>
    <row r="12011" spans="62:62" x14ac:dyDescent="0.2">
      <c r="BJ12011" s="201"/>
    </row>
    <row r="12012" spans="62:62" x14ac:dyDescent="0.2">
      <c r="BJ12012" s="201"/>
    </row>
    <row r="12013" spans="62:62" x14ac:dyDescent="0.2">
      <c r="BJ12013" s="201"/>
    </row>
    <row r="12014" spans="62:62" x14ac:dyDescent="0.2">
      <c r="BJ12014" s="201"/>
    </row>
    <row r="12015" spans="62:62" x14ac:dyDescent="0.2">
      <c r="BJ12015" s="201"/>
    </row>
    <row r="12016" spans="62:62" x14ac:dyDescent="0.2">
      <c r="BJ12016" s="201"/>
    </row>
    <row r="12017" spans="62:62" x14ac:dyDescent="0.2">
      <c r="BJ12017" s="201"/>
    </row>
    <row r="12018" spans="62:62" x14ac:dyDescent="0.2">
      <c r="BJ12018" s="201"/>
    </row>
    <row r="12019" spans="62:62" x14ac:dyDescent="0.2">
      <c r="BJ12019" s="201"/>
    </row>
    <row r="12020" spans="62:62" x14ac:dyDescent="0.2">
      <c r="BJ12020" s="201"/>
    </row>
    <row r="12021" spans="62:62" x14ac:dyDescent="0.2">
      <c r="BJ12021" s="201"/>
    </row>
    <row r="12022" spans="62:62" x14ac:dyDescent="0.2">
      <c r="BJ12022" s="201"/>
    </row>
    <row r="12023" spans="62:62" x14ac:dyDescent="0.2">
      <c r="BJ12023" s="201"/>
    </row>
    <row r="12024" spans="62:62" x14ac:dyDescent="0.2">
      <c r="BJ12024" s="201"/>
    </row>
    <row r="12025" spans="62:62" x14ac:dyDescent="0.2">
      <c r="BJ12025" s="201"/>
    </row>
    <row r="12026" spans="62:62" x14ac:dyDescent="0.2">
      <c r="BJ12026" s="201"/>
    </row>
    <row r="12027" spans="62:62" x14ac:dyDescent="0.2">
      <c r="BJ12027" s="201"/>
    </row>
    <row r="12028" spans="62:62" x14ac:dyDescent="0.2">
      <c r="BJ12028" s="201"/>
    </row>
    <row r="12029" spans="62:62" x14ac:dyDescent="0.2">
      <c r="BJ12029" s="201"/>
    </row>
    <row r="12030" spans="62:62" x14ac:dyDescent="0.2">
      <c r="BJ12030" s="201"/>
    </row>
    <row r="12031" spans="62:62" x14ac:dyDescent="0.2">
      <c r="BJ12031" s="201"/>
    </row>
    <row r="12032" spans="62:62" x14ac:dyDescent="0.2">
      <c r="BJ12032" s="201"/>
    </row>
    <row r="12033" spans="62:62" x14ac:dyDescent="0.2">
      <c r="BJ12033" s="201"/>
    </row>
    <row r="12034" spans="62:62" x14ac:dyDescent="0.2">
      <c r="BJ12034" s="201"/>
    </row>
    <row r="12035" spans="62:62" x14ac:dyDescent="0.2">
      <c r="BJ12035" s="201"/>
    </row>
    <row r="12036" spans="62:62" x14ac:dyDescent="0.2">
      <c r="BJ12036" s="201"/>
    </row>
    <row r="12037" spans="62:62" x14ac:dyDescent="0.2">
      <c r="BJ12037" s="201"/>
    </row>
    <row r="12038" spans="62:62" x14ac:dyDescent="0.2">
      <c r="BJ12038" s="201"/>
    </row>
    <row r="12039" spans="62:62" x14ac:dyDescent="0.2">
      <c r="BJ12039" s="201"/>
    </row>
    <row r="12040" spans="62:62" x14ac:dyDescent="0.2">
      <c r="BJ12040" s="201"/>
    </row>
    <row r="12041" spans="62:62" x14ac:dyDescent="0.2">
      <c r="BJ12041" s="201"/>
    </row>
    <row r="12042" spans="62:62" x14ac:dyDescent="0.2">
      <c r="BJ12042" s="201"/>
    </row>
    <row r="12043" spans="62:62" x14ac:dyDescent="0.2">
      <c r="BJ12043" s="201"/>
    </row>
    <row r="12044" spans="62:62" x14ac:dyDescent="0.2">
      <c r="BJ12044" s="201"/>
    </row>
    <row r="12045" spans="62:62" x14ac:dyDescent="0.2">
      <c r="BJ12045" s="201"/>
    </row>
    <row r="12046" spans="62:62" x14ac:dyDescent="0.2">
      <c r="BJ12046" s="201"/>
    </row>
    <row r="12047" spans="62:62" x14ac:dyDescent="0.2">
      <c r="BJ12047" s="201"/>
    </row>
    <row r="12048" spans="62:62" x14ac:dyDescent="0.2">
      <c r="BJ12048" s="201"/>
    </row>
    <row r="12049" spans="62:62" x14ac:dyDescent="0.2">
      <c r="BJ12049" s="201"/>
    </row>
    <row r="12050" spans="62:62" x14ac:dyDescent="0.2">
      <c r="BJ12050" s="201"/>
    </row>
    <row r="12051" spans="62:62" x14ac:dyDescent="0.2">
      <c r="BJ12051" s="201"/>
    </row>
    <row r="12052" spans="62:62" x14ac:dyDescent="0.2">
      <c r="BJ12052" s="201"/>
    </row>
    <row r="12053" spans="62:62" x14ac:dyDescent="0.2">
      <c r="BJ12053" s="201"/>
    </row>
    <row r="12054" spans="62:62" x14ac:dyDescent="0.2">
      <c r="BJ12054" s="201"/>
    </row>
    <row r="12055" spans="62:62" x14ac:dyDescent="0.2">
      <c r="BJ12055" s="201"/>
    </row>
    <row r="12056" spans="62:62" x14ac:dyDescent="0.2">
      <c r="BJ12056" s="201"/>
    </row>
    <row r="12057" spans="62:62" x14ac:dyDescent="0.2">
      <c r="BJ12057" s="201"/>
    </row>
    <row r="12058" spans="62:62" x14ac:dyDescent="0.2">
      <c r="BJ12058" s="201"/>
    </row>
    <row r="12059" spans="62:62" x14ac:dyDescent="0.2">
      <c r="BJ12059" s="201"/>
    </row>
    <row r="12060" spans="62:62" x14ac:dyDescent="0.2">
      <c r="BJ12060" s="201"/>
    </row>
    <row r="12061" spans="62:62" x14ac:dyDescent="0.2">
      <c r="BJ12061" s="201"/>
    </row>
    <row r="12062" spans="62:62" x14ac:dyDescent="0.2">
      <c r="BJ12062" s="201"/>
    </row>
    <row r="12063" spans="62:62" x14ac:dyDescent="0.2">
      <c r="BJ12063" s="201"/>
    </row>
    <row r="12064" spans="62:62" x14ac:dyDescent="0.2">
      <c r="BJ12064" s="201"/>
    </row>
    <row r="12065" spans="62:62" x14ac:dyDescent="0.2">
      <c r="BJ12065" s="201"/>
    </row>
    <row r="12066" spans="62:62" x14ac:dyDescent="0.2">
      <c r="BJ12066" s="201"/>
    </row>
    <row r="12067" spans="62:62" x14ac:dyDescent="0.2">
      <c r="BJ12067" s="201"/>
    </row>
    <row r="12068" spans="62:62" x14ac:dyDescent="0.2">
      <c r="BJ12068" s="201"/>
    </row>
    <row r="12069" spans="62:62" x14ac:dyDescent="0.2">
      <c r="BJ12069" s="201"/>
    </row>
    <row r="12070" spans="62:62" x14ac:dyDescent="0.2">
      <c r="BJ12070" s="201"/>
    </row>
    <row r="12071" spans="62:62" x14ac:dyDescent="0.2">
      <c r="BJ12071" s="201"/>
    </row>
    <row r="12072" spans="62:62" x14ac:dyDescent="0.2">
      <c r="BJ12072" s="201"/>
    </row>
    <row r="12073" spans="62:62" x14ac:dyDescent="0.2">
      <c r="BJ12073" s="201"/>
    </row>
    <row r="12074" spans="62:62" x14ac:dyDescent="0.2">
      <c r="BJ12074" s="201"/>
    </row>
    <row r="12075" spans="62:62" x14ac:dyDescent="0.2">
      <c r="BJ12075" s="201"/>
    </row>
    <row r="12076" spans="62:62" x14ac:dyDescent="0.2">
      <c r="BJ12076" s="201"/>
    </row>
    <row r="12077" spans="62:62" x14ac:dyDescent="0.2">
      <c r="BJ12077" s="201"/>
    </row>
    <row r="12078" spans="62:62" x14ac:dyDescent="0.2">
      <c r="BJ12078" s="201"/>
    </row>
    <row r="12079" spans="62:62" x14ac:dyDescent="0.2">
      <c r="BJ12079" s="201"/>
    </row>
    <row r="12080" spans="62:62" x14ac:dyDescent="0.2">
      <c r="BJ12080" s="201"/>
    </row>
    <row r="12081" spans="62:62" x14ac:dyDescent="0.2">
      <c r="BJ12081" s="201"/>
    </row>
    <row r="12082" spans="62:62" x14ac:dyDescent="0.2">
      <c r="BJ12082" s="201"/>
    </row>
    <row r="12083" spans="62:62" x14ac:dyDescent="0.2">
      <c r="BJ12083" s="201"/>
    </row>
    <row r="12084" spans="62:62" x14ac:dyDescent="0.2">
      <c r="BJ12084" s="201"/>
    </row>
    <row r="12085" spans="62:62" x14ac:dyDescent="0.2">
      <c r="BJ12085" s="201"/>
    </row>
    <row r="12086" spans="62:62" x14ac:dyDescent="0.2">
      <c r="BJ12086" s="201"/>
    </row>
    <row r="12087" spans="62:62" x14ac:dyDescent="0.2">
      <c r="BJ12087" s="201"/>
    </row>
    <row r="12088" spans="62:62" x14ac:dyDescent="0.2">
      <c r="BJ12088" s="201"/>
    </row>
    <row r="12089" spans="62:62" x14ac:dyDescent="0.2">
      <c r="BJ12089" s="201"/>
    </row>
    <row r="12090" spans="62:62" x14ac:dyDescent="0.2">
      <c r="BJ12090" s="201"/>
    </row>
    <row r="12091" spans="62:62" x14ac:dyDescent="0.2">
      <c r="BJ12091" s="201"/>
    </row>
    <row r="12092" spans="62:62" x14ac:dyDescent="0.2">
      <c r="BJ12092" s="201"/>
    </row>
    <row r="12093" spans="62:62" x14ac:dyDescent="0.2">
      <c r="BJ12093" s="201"/>
    </row>
    <row r="12094" spans="62:62" x14ac:dyDescent="0.2">
      <c r="BJ12094" s="201"/>
    </row>
    <row r="12095" spans="62:62" x14ac:dyDescent="0.2">
      <c r="BJ12095" s="201"/>
    </row>
    <row r="12096" spans="62:62" x14ac:dyDescent="0.2">
      <c r="BJ12096" s="201"/>
    </row>
    <row r="12097" spans="62:62" x14ac:dyDescent="0.2">
      <c r="BJ12097" s="201"/>
    </row>
    <row r="12098" spans="62:62" x14ac:dyDescent="0.2">
      <c r="BJ12098" s="201"/>
    </row>
    <row r="12099" spans="62:62" x14ac:dyDescent="0.2">
      <c r="BJ12099" s="201"/>
    </row>
    <row r="12100" spans="62:62" x14ac:dyDescent="0.2">
      <c r="BJ12100" s="201"/>
    </row>
    <row r="12101" spans="62:62" x14ac:dyDescent="0.2">
      <c r="BJ12101" s="201"/>
    </row>
    <row r="12102" spans="62:62" x14ac:dyDescent="0.2">
      <c r="BJ12102" s="201"/>
    </row>
    <row r="12103" spans="62:62" x14ac:dyDescent="0.2">
      <c r="BJ12103" s="201"/>
    </row>
    <row r="12104" spans="62:62" x14ac:dyDescent="0.2">
      <c r="BJ12104" s="201"/>
    </row>
    <row r="12105" spans="62:62" x14ac:dyDescent="0.2">
      <c r="BJ12105" s="201"/>
    </row>
    <row r="12106" spans="62:62" x14ac:dyDescent="0.2">
      <c r="BJ12106" s="201"/>
    </row>
    <row r="12107" spans="62:62" x14ac:dyDescent="0.2">
      <c r="BJ12107" s="201"/>
    </row>
    <row r="12108" spans="62:62" x14ac:dyDescent="0.2">
      <c r="BJ12108" s="201"/>
    </row>
    <row r="12109" spans="62:62" x14ac:dyDescent="0.2">
      <c r="BJ12109" s="201"/>
    </row>
    <row r="12110" spans="62:62" x14ac:dyDescent="0.2">
      <c r="BJ12110" s="201"/>
    </row>
    <row r="12111" spans="62:62" x14ac:dyDescent="0.2">
      <c r="BJ12111" s="201"/>
    </row>
    <row r="12112" spans="62:62" x14ac:dyDescent="0.2">
      <c r="BJ12112" s="201"/>
    </row>
    <row r="12113" spans="62:62" x14ac:dyDescent="0.2">
      <c r="BJ12113" s="201"/>
    </row>
    <row r="12114" spans="62:62" x14ac:dyDescent="0.2">
      <c r="BJ12114" s="201"/>
    </row>
    <row r="12115" spans="62:62" x14ac:dyDescent="0.2">
      <c r="BJ12115" s="201"/>
    </row>
    <row r="12116" spans="62:62" x14ac:dyDescent="0.2">
      <c r="BJ12116" s="201"/>
    </row>
    <row r="12117" spans="62:62" x14ac:dyDescent="0.2">
      <c r="BJ12117" s="201"/>
    </row>
    <row r="12118" spans="62:62" x14ac:dyDescent="0.2">
      <c r="BJ12118" s="201"/>
    </row>
    <row r="12119" spans="62:62" x14ac:dyDescent="0.2">
      <c r="BJ12119" s="201"/>
    </row>
    <row r="12120" spans="62:62" x14ac:dyDescent="0.2">
      <c r="BJ12120" s="201"/>
    </row>
    <row r="12121" spans="62:62" x14ac:dyDescent="0.2">
      <c r="BJ12121" s="201"/>
    </row>
    <row r="12122" spans="62:62" x14ac:dyDescent="0.2">
      <c r="BJ12122" s="201"/>
    </row>
    <row r="12123" spans="62:62" x14ac:dyDescent="0.2">
      <c r="BJ12123" s="201"/>
    </row>
    <row r="12124" spans="62:62" x14ac:dyDescent="0.2">
      <c r="BJ12124" s="201"/>
    </row>
    <row r="12125" spans="62:62" x14ac:dyDescent="0.2">
      <c r="BJ12125" s="201"/>
    </row>
    <row r="12126" spans="62:62" x14ac:dyDescent="0.2">
      <c r="BJ12126" s="201"/>
    </row>
    <row r="12127" spans="62:62" x14ac:dyDescent="0.2">
      <c r="BJ12127" s="201"/>
    </row>
    <row r="12128" spans="62:62" x14ac:dyDescent="0.2">
      <c r="BJ12128" s="201"/>
    </row>
    <row r="12129" spans="62:62" x14ac:dyDescent="0.2">
      <c r="BJ12129" s="201"/>
    </row>
    <row r="12130" spans="62:62" x14ac:dyDescent="0.2">
      <c r="BJ12130" s="201"/>
    </row>
    <row r="12131" spans="62:62" x14ac:dyDescent="0.2">
      <c r="BJ12131" s="201"/>
    </row>
    <row r="12132" spans="62:62" x14ac:dyDescent="0.2">
      <c r="BJ12132" s="201"/>
    </row>
    <row r="12133" spans="62:62" x14ac:dyDescent="0.2">
      <c r="BJ12133" s="201"/>
    </row>
    <row r="12134" spans="62:62" x14ac:dyDescent="0.2">
      <c r="BJ12134" s="201"/>
    </row>
    <row r="12135" spans="62:62" x14ac:dyDescent="0.2">
      <c r="BJ12135" s="201"/>
    </row>
    <row r="12136" spans="62:62" x14ac:dyDescent="0.2">
      <c r="BJ12136" s="201"/>
    </row>
    <row r="12137" spans="62:62" x14ac:dyDescent="0.2">
      <c r="BJ12137" s="201"/>
    </row>
    <row r="12138" spans="62:62" x14ac:dyDescent="0.2">
      <c r="BJ12138" s="201"/>
    </row>
    <row r="12139" spans="62:62" x14ac:dyDescent="0.2">
      <c r="BJ12139" s="201"/>
    </row>
    <row r="12140" spans="62:62" x14ac:dyDescent="0.2">
      <c r="BJ12140" s="201"/>
    </row>
    <row r="12141" spans="62:62" x14ac:dyDescent="0.2">
      <c r="BJ12141" s="201"/>
    </row>
    <row r="12142" spans="62:62" x14ac:dyDescent="0.2">
      <c r="BJ12142" s="201"/>
    </row>
    <row r="12143" spans="62:62" x14ac:dyDescent="0.2">
      <c r="BJ12143" s="201"/>
    </row>
    <row r="12144" spans="62:62" x14ac:dyDescent="0.2">
      <c r="BJ12144" s="201"/>
    </row>
    <row r="12145" spans="62:62" x14ac:dyDescent="0.2">
      <c r="BJ12145" s="201"/>
    </row>
    <row r="12146" spans="62:62" x14ac:dyDescent="0.2">
      <c r="BJ12146" s="201"/>
    </row>
    <row r="12147" spans="62:62" x14ac:dyDescent="0.2">
      <c r="BJ12147" s="201"/>
    </row>
    <row r="12148" spans="62:62" x14ac:dyDescent="0.2">
      <c r="BJ12148" s="201"/>
    </row>
    <row r="12149" spans="62:62" x14ac:dyDescent="0.2">
      <c r="BJ12149" s="201"/>
    </row>
    <row r="12150" spans="62:62" x14ac:dyDescent="0.2">
      <c r="BJ12150" s="201"/>
    </row>
    <row r="12151" spans="62:62" x14ac:dyDescent="0.2">
      <c r="BJ12151" s="201"/>
    </row>
    <row r="12152" spans="62:62" x14ac:dyDescent="0.2">
      <c r="BJ12152" s="201"/>
    </row>
    <row r="12153" spans="62:62" x14ac:dyDescent="0.2">
      <c r="BJ12153" s="201"/>
    </row>
    <row r="12154" spans="62:62" x14ac:dyDescent="0.2">
      <c r="BJ12154" s="201"/>
    </row>
    <row r="12155" spans="62:62" x14ac:dyDescent="0.2">
      <c r="BJ12155" s="201"/>
    </row>
    <row r="12156" spans="62:62" x14ac:dyDescent="0.2">
      <c r="BJ12156" s="201"/>
    </row>
    <row r="12157" spans="62:62" x14ac:dyDescent="0.2">
      <c r="BJ12157" s="201"/>
    </row>
    <row r="12158" spans="62:62" x14ac:dyDescent="0.2">
      <c r="BJ12158" s="201"/>
    </row>
    <row r="12159" spans="62:62" x14ac:dyDescent="0.2">
      <c r="BJ12159" s="201"/>
    </row>
    <row r="12160" spans="62:62" x14ac:dyDescent="0.2">
      <c r="BJ12160" s="201"/>
    </row>
    <row r="12161" spans="62:62" x14ac:dyDescent="0.2">
      <c r="BJ12161" s="201"/>
    </row>
    <row r="12162" spans="62:62" x14ac:dyDescent="0.2">
      <c r="BJ12162" s="201"/>
    </row>
    <row r="12163" spans="62:62" x14ac:dyDescent="0.2">
      <c r="BJ12163" s="201"/>
    </row>
    <row r="12164" spans="62:62" x14ac:dyDescent="0.2">
      <c r="BJ12164" s="201"/>
    </row>
    <row r="12165" spans="62:62" x14ac:dyDescent="0.2">
      <c r="BJ12165" s="201"/>
    </row>
    <row r="12166" spans="62:62" x14ac:dyDescent="0.2">
      <c r="BJ12166" s="201"/>
    </row>
    <row r="12167" spans="62:62" x14ac:dyDescent="0.2">
      <c r="BJ12167" s="201"/>
    </row>
    <row r="12168" spans="62:62" x14ac:dyDescent="0.2">
      <c r="BJ12168" s="201"/>
    </row>
    <row r="12169" spans="62:62" x14ac:dyDescent="0.2">
      <c r="BJ12169" s="201"/>
    </row>
    <row r="12170" spans="62:62" x14ac:dyDescent="0.2">
      <c r="BJ12170" s="201"/>
    </row>
    <row r="12171" spans="62:62" x14ac:dyDescent="0.2">
      <c r="BJ12171" s="201"/>
    </row>
    <row r="12172" spans="62:62" x14ac:dyDescent="0.2">
      <c r="BJ12172" s="201"/>
    </row>
    <row r="12173" spans="62:62" x14ac:dyDescent="0.2">
      <c r="BJ12173" s="201"/>
    </row>
    <row r="12174" spans="62:62" x14ac:dyDescent="0.2">
      <c r="BJ12174" s="201"/>
    </row>
    <row r="12175" spans="62:62" x14ac:dyDescent="0.2">
      <c r="BJ12175" s="201"/>
    </row>
    <row r="12176" spans="62:62" x14ac:dyDescent="0.2">
      <c r="BJ12176" s="201"/>
    </row>
    <row r="12177" spans="62:62" x14ac:dyDescent="0.2">
      <c r="BJ12177" s="201"/>
    </row>
    <row r="12178" spans="62:62" x14ac:dyDescent="0.2">
      <c r="BJ12178" s="201"/>
    </row>
    <row r="12179" spans="62:62" x14ac:dyDescent="0.2">
      <c r="BJ12179" s="201"/>
    </row>
    <row r="12180" spans="62:62" x14ac:dyDescent="0.2">
      <c r="BJ12180" s="201"/>
    </row>
    <row r="12181" spans="62:62" x14ac:dyDescent="0.2">
      <c r="BJ12181" s="201"/>
    </row>
    <row r="12182" spans="62:62" x14ac:dyDescent="0.2">
      <c r="BJ12182" s="201"/>
    </row>
    <row r="12183" spans="62:62" x14ac:dyDescent="0.2">
      <c r="BJ12183" s="201"/>
    </row>
    <row r="12184" spans="62:62" x14ac:dyDescent="0.2">
      <c r="BJ12184" s="201"/>
    </row>
    <row r="12185" spans="62:62" x14ac:dyDescent="0.2">
      <c r="BJ12185" s="201"/>
    </row>
    <row r="12186" spans="62:62" x14ac:dyDescent="0.2">
      <c r="BJ12186" s="201"/>
    </row>
    <row r="12187" spans="62:62" x14ac:dyDescent="0.2">
      <c r="BJ12187" s="201"/>
    </row>
    <row r="12188" spans="62:62" x14ac:dyDescent="0.2">
      <c r="BJ12188" s="201"/>
    </row>
    <row r="12189" spans="62:62" x14ac:dyDescent="0.2">
      <c r="BJ12189" s="201"/>
    </row>
    <row r="12190" spans="62:62" x14ac:dyDescent="0.2">
      <c r="BJ12190" s="201"/>
    </row>
    <row r="12191" spans="62:62" x14ac:dyDescent="0.2">
      <c r="BJ12191" s="201"/>
    </row>
    <row r="12192" spans="62:62" x14ac:dyDescent="0.2">
      <c r="BJ12192" s="201"/>
    </row>
    <row r="12193" spans="62:62" x14ac:dyDescent="0.2">
      <c r="BJ12193" s="201"/>
    </row>
    <row r="12194" spans="62:62" x14ac:dyDescent="0.2">
      <c r="BJ12194" s="201"/>
    </row>
    <row r="12195" spans="62:62" x14ac:dyDescent="0.2">
      <c r="BJ12195" s="201"/>
    </row>
    <row r="12196" spans="62:62" x14ac:dyDescent="0.2">
      <c r="BJ12196" s="201"/>
    </row>
    <row r="12197" spans="62:62" x14ac:dyDescent="0.2">
      <c r="BJ12197" s="201"/>
    </row>
    <row r="12198" spans="62:62" x14ac:dyDescent="0.2">
      <c r="BJ12198" s="201"/>
    </row>
    <row r="12199" spans="62:62" x14ac:dyDescent="0.2">
      <c r="BJ12199" s="201"/>
    </row>
    <row r="12200" spans="62:62" x14ac:dyDescent="0.2">
      <c r="BJ12200" s="201"/>
    </row>
    <row r="12201" spans="62:62" x14ac:dyDescent="0.2">
      <c r="BJ12201" s="201"/>
    </row>
    <row r="12202" spans="62:62" x14ac:dyDescent="0.2">
      <c r="BJ12202" s="201"/>
    </row>
    <row r="12203" spans="62:62" x14ac:dyDescent="0.2">
      <c r="BJ12203" s="201"/>
    </row>
    <row r="12204" spans="62:62" x14ac:dyDescent="0.2">
      <c r="BJ12204" s="201"/>
    </row>
    <row r="12205" spans="62:62" x14ac:dyDescent="0.2">
      <c r="BJ12205" s="201"/>
    </row>
    <row r="12206" spans="62:62" x14ac:dyDescent="0.2">
      <c r="BJ12206" s="201"/>
    </row>
    <row r="12207" spans="62:62" x14ac:dyDescent="0.2">
      <c r="BJ12207" s="201"/>
    </row>
    <row r="12208" spans="62:62" x14ac:dyDescent="0.2">
      <c r="BJ12208" s="201"/>
    </row>
    <row r="12209" spans="62:62" x14ac:dyDescent="0.2">
      <c r="BJ12209" s="201"/>
    </row>
    <row r="12210" spans="62:62" x14ac:dyDescent="0.2">
      <c r="BJ12210" s="201"/>
    </row>
    <row r="12211" spans="62:62" x14ac:dyDescent="0.2">
      <c r="BJ12211" s="201"/>
    </row>
    <row r="12212" spans="62:62" x14ac:dyDescent="0.2">
      <c r="BJ12212" s="201"/>
    </row>
    <row r="12213" spans="62:62" x14ac:dyDescent="0.2">
      <c r="BJ12213" s="201"/>
    </row>
    <row r="12214" spans="62:62" x14ac:dyDescent="0.2">
      <c r="BJ12214" s="201"/>
    </row>
    <row r="12215" spans="62:62" x14ac:dyDescent="0.2">
      <c r="BJ12215" s="201"/>
    </row>
    <row r="12216" spans="62:62" x14ac:dyDescent="0.2">
      <c r="BJ12216" s="201"/>
    </row>
    <row r="12217" spans="62:62" x14ac:dyDescent="0.2">
      <c r="BJ12217" s="201"/>
    </row>
    <row r="12218" spans="62:62" x14ac:dyDescent="0.2">
      <c r="BJ12218" s="201"/>
    </row>
    <row r="12219" spans="62:62" x14ac:dyDescent="0.2">
      <c r="BJ12219" s="201"/>
    </row>
    <row r="12220" spans="62:62" x14ac:dyDescent="0.2">
      <c r="BJ12220" s="201"/>
    </row>
    <row r="12221" spans="62:62" x14ac:dyDescent="0.2">
      <c r="BJ12221" s="201"/>
    </row>
    <row r="12222" spans="62:62" x14ac:dyDescent="0.2">
      <c r="BJ12222" s="201"/>
    </row>
    <row r="12223" spans="62:62" x14ac:dyDescent="0.2">
      <c r="BJ12223" s="201"/>
    </row>
    <row r="12224" spans="62:62" x14ac:dyDescent="0.2">
      <c r="BJ12224" s="201"/>
    </row>
    <row r="12225" spans="62:62" x14ac:dyDescent="0.2">
      <c r="BJ12225" s="201"/>
    </row>
    <row r="12226" spans="62:62" x14ac:dyDescent="0.2">
      <c r="BJ12226" s="201"/>
    </row>
    <row r="12227" spans="62:62" x14ac:dyDescent="0.2">
      <c r="BJ12227" s="201"/>
    </row>
    <row r="12228" spans="62:62" x14ac:dyDescent="0.2">
      <c r="BJ12228" s="201"/>
    </row>
    <row r="12229" spans="62:62" x14ac:dyDescent="0.2">
      <c r="BJ12229" s="201"/>
    </row>
    <row r="12230" spans="62:62" x14ac:dyDescent="0.2">
      <c r="BJ12230" s="201"/>
    </row>
    <row r="12231" spans="62:62" x14ac:dyDescent="0.2">
      <c r="BJ12231" s="201"/>
    </row>
    <row r="12232" spans="62:62" x14ac:dyDescent="0.2">
      <c r="BJ12232" s="201"/>
    </row>
    <row r="12233" spans="62:62" x14ac:dyDescent="0.2">
      <c r="BJ12233" s="201"/>
    </row>
    <row r="12234" spans="62:62" x14ac:dyDescent="0.2">
      <c r="BJ12234" s="201"/>
    </row>
    <row r="12235" spans="62:62" x14ac:dyDescent="0.2">
      <c r="BJ12235" s="201"/>
    </row>
    <row r="12236" spans="62:62" x14ac:dyDescent="0.2">
      <c r="BJ12236" s="201"/>
    </row>
    <row r="12237" spans="62:62" x14ac:dyDescent="0.2">
      <c r="BJ12237" s="201"/>
    </row>
    <row r="12238" spans="62:62" x14ac:dyDescent="0.2">
      <c r="BJ12238" s="201"/>
    </row>
    <row r="12239" spans="62:62" x14ac:dyDescent="0.2">
      <c r="BJ12239" s="201"/>
    </row>
    <row r="12240" spans="62:62" x14ac:dyDescent="0.2">
      <c r="BJ12240" s="201"/>
    </row>
    <row r="12241" spans="62:62" x14ac:dyDescent="0.2">
      <c r="BJ12241" s="201"/>
    </row>
    <row r="12242" spans="62:62" x14ac:dyDescent="0.2">
      <c r="BJ12242" s="201"/>
    </row>
    <row r="12243" spans="62:62" x14ac:dyDescent="0.2">
      <c r="BJ12243" s="201"/>
    </row>
    <row r="12244" spans="62:62" x14ac:dyDescent="0.2">
      <c r="BJ12244" s="201"/>
    </row>
    <row r="12245" spans="62:62" x14ac:dyDescent="0.2">
      <c r="BJ12245" s="201"/>
    </row>
    <row r="12246" spans="62:62" x14ac:dyDescent="0.2">
      <c r="BJ12246" s="201"/>
    </row>
    <row r="12247" spans="62:62" x14ac:dyDescent="0.2">
      <c r="BJ12247" s="201"/>
    </row>
    <row r="12248" spans="62:62" x14ac:dyDescent="0.2">
      <c r="BJ12248" s="201"/>
    </row>
    <row r="12249" spans="62:62" x14ac:dyDescent="0.2">
      <c r="BJ12249" s="201"/>
    </row>
    <row r="12250" spans="62:62" x14ac:dyDescent="0.2">
      <c r="BJ12250" s="201"/>
    </row>
    <row r="12251" spans="62:62" x14ac:dyDescent="0.2">
      <c r="BJ12251" s="201"/>
    </row>
    <row r="12252" spans="62:62" x14ac:dyDescent="0.2">
      <c r="BJ12252" s="201"/>
    </row>
    <row r="12253" spans="62:62" x14ac:dyDescent="0.2">
      <c r="BJ12253" s="201"/>
    </row>
    <row r="12254" spans="62:62" x14ac:dyDescent="0.2">
      <c r="BJ12254" s="201"/>
    </row>
    <row r="12255" spans="62:62" x14ac:dyDescent="0.2">
      <c r="BJ12255" s="201"/>
    </row>
    <row r="12256" spans="62:62" x14ac:dyDescent="0.2">
      <c r="BJ12256" s="201"/>
    </row>
    <row r="12257" spans="62:62" x14ac:dyDescent="0.2">
      <c r="BJ12257" s="201"/>
    </row>
    <row r="12258" spans="62:62" x14ac:dyDescent="0.2">
      <c r="BJ12258" s="201"/>
    </row>
    <row r="12259" spans="62:62" x14ac:dyDescent="0.2">
      <c r="BJ12259" s="201"/>
    </row>
    <row r="12260" spans="62:62" x14ac:dyDescent="0.2">
      <c r="BJ12260" s="201"/>
    </row>
    <row r="12261" spans="62:62" x14ac:dyDescent="0.2">
      <c r="BJ12261" s="201"/>
    </row>
    <row r="12262" spans="62:62" x14ac:dyDescent="0.2">
      <c r="BJ12262" s="201"/>
    </row>
    <row r="12263" spans="62:62" x14ac:dyDescent="0.2">
      <c r="BJ12263" s="201"/>
    </row>
    <row r="12264" spans="62:62" x14ac:dyDescent="0.2">
      <c r="BJ12264" s="201"/>
    </row>
    <row r="12265" spans="62:62" x14ac:dyDescent="0.2">
      <c r="BJ12265" s="201"/>
    </row>
    <row r="12266" spans="62:62" x14ac:dyDescent="0.2">
      <c r="BJ12266" s="201"/>
    </row>
    <row r="12267" spans="62:62" x14ac:dyDescent="0.2">
      <c r="BJ12267" s="201"/>
    </row>
    <row r="12268" spans="62:62" x14ac:dyDescent="0.2">
      <c r="BJ12268" s="201"/>
    </row>
    <row r="12269" spans="62:62" x14ac:dyDescent="0.2">
      <c r="BJ12269" s="201"/>
    </row>
    <row r="12270" spans="62:62" x14ac:dyDescent="0.2">
      <c r="BJ12270" s="201"/>
    </row>
    <row r="12271" spans="62:62" x14ac:dyDescent="0.2">
      <c r="BJ12271" s="201"/>
    </row>
    <row r="12272" spans="62:62" x14ac:dyDescent="0.2">
      <c r="BJ12272" s="201"/>
    </row>
    <row r="12273" spans="62:62" x14ac:dyDescent="0.2">
      <c r="BJ12273" s="201"/>
    </row>
    <row r="12274" spans="62:62" x14ac:dyDescent="0.2">
      <c r="BJ12274" s="201"/>
    </row>
    <row r="12275" spans="62:62" x14ac:dyDescent="0.2">
      <c r="BJ12275" s="201"/>
    </row>
    <row r="12276" spans="62:62" x14ac:dyDescent="0.2">
      <c r="BJ12276" s="201"/>
    </row>
    <row r="12277" spans="62:62" x14ac:dyDescent="0.2">
      <c r="BJ12277" s="201"/>
    </row>
    <row r="12278" spans="62:62" x14ac:dyDescent="0.2">
      <c r="BJ12278" s="201"/>
    </row>
    <row r="12279" spans="62:62" x14ac:dyDescent="0.2">
      <c r="BJ12279" s="201"/>
    </row>
    <row r="12280" spans="62:62" x14ac:dyDescent="0.2">
      <c r="BJ12280" s="201"/>
    </row>
    <row r="12281" spans="62:62" x14ac:dyDescent="0.2">
      <c r="BJ12281" s="201"/>
    </row>
    <row r="12282" spans="62:62" x14ac:dyDescent="0.2">
      <c r="BJ12282" s="201"/>
    </row>
    <row r="12283" spans="62:62" x14ac:dyDescent="0.2">
      <c r="BJ12283" s="201"/>
    </row>
    <row r="12284" spans="62:62" x14ac:dyDescent="0.2">
      <c r="BJ12284" s="201"/>
    </row>
    <row r="12285" spans="62:62" x14ac:dyDescent="0.2">
      <c r="BJ12285" s="201"/>
    </row>
    <row r="12286" spans="62:62" x14ac:dyDescent="0.2">
      <c r="BJ12286" s="201"/>
    </row>
    <row r="12287" spans="62:62" x14ac:dyDescent="0.2">
      <c r="BJ12287" s="201"/>
    </row>
    <row r="12288" spans="62:62" x14ac:dyDescent="0.2">
      <c r="BJ12288" s="201"/>
    </row>
    <row r="12289" spans="62:62" x14ac:dyDescent="0.2">
      <c r="BJ12289" s="201"/>
    </row>
    <row r="12290" spans="62:62" x14ac:dyDescent="0.2">
      <c r="BJ12290" s="201"/>
    </row>
    <row r="12291" spans="62:62" x14ac:dyDescent="0.2">
      <c r="BJ12291" s="201"/>
    </row>
    <row r="12292" spans="62:62" x14ac:dyDescent="0.2">
      <c r="BJ12292" s="201"/>
    </row>
    <row r="12293" spans="62:62" x14ac:dyDescent="0.2">
      <c r="BJ12293" s="201"/>
    </row>
    <row r="12294" spans="62:62" x14ac:dyDescent="0.2">
      <c r="BJ12294" s="201"/>
    </row>
    <row r="12295" spans="62:62" x14ac:dyDescent="0.2">
      <c r="BJ12295" s="201"/>
    </row>
    <row r="12296" spans="62:62" x14ac:dyDescent="0.2">
      <c r="BJ12296" s="201"/>
    </row>
    <row r="12297" spans="62:62" x14ac:dyDescent="0.2">
      <c r="BJ12297" s="201"/>
    </row>
    <row r="12298" spans="62:62" x14ac:dyDescent="0.2">
      <c r="BJ12298" s="201"/>
    </row>
    <row r="12299" spans="62:62" x14ac:dyDescent="0.2">
      <c r="BJ12299" s="201"/>
    </row>
    <row r="12300" spans="62:62" x14ac:dyDescent="0.2">
      <c r="BJ12300" s="201"/>
    </row>
    <row r="12301" spans="62:62" x14ac:dyDescent="0.2">
      <c r="BJ12301" s="201"/>
    </row>
    <row r="12302" spans="62:62" x14ac:dyDescent="0.2">
      <c r="BJ12302" s="201"/>
    </row>
    <row r="12303" spans="62:62" x14ac:dyDescent="0.2">
      <c r="BJ12303" s="201"/>
    </row>
    <row r="12304" spans="62:62" x14ac:dyDescent="0.2">
      <c r="BJ12304" s="201"/>
    </row>
    <row r="12305" spans="62:62" x14ac:dyDescent="0.2">
      <c r="BJ12305" s="201"/>
    </row>
    <row r="12306" spans="62:62" x14ac:dyDescent="0.2">
      <c r="BJ12306" s="201"/>
    </row>
    <row r="12307" spans="62:62" x14ac:dyDescent="0.2">
      <c r="BJ12307" s="201"/>
    </row>
    <row r="12308" spans="62:62" x14ac:dyDescent="0.2">
      <c r="BJ12308" s="201"/>
    </row>
    <row r="12309" spans="62:62" x14ac:dyDescent="0.2">
      <c r="BJ12309" s="201"/>
    </row>
    <row r="12310" spans="62:62" x14ac:dyDescent="0.2">
      <c r="BJ12310" s="201"/>
    </row>
    <row r="12311" spans="62:62" x14ac:dyDescent="0.2">
      <c r="BJ12311" s="201"/>
    </row>
    <row r="12312" spans="62:62" x14ac:dyDescent="0.2">
      <c r="BJ12312" s="201"/>
    </row>
    <row r="12313" spans="62:62" x14ac:dyDescent="0.2">
      <c r="BJ12313" s="201"/>
    </row>
    <row r="12314" spans="62:62" x14ac:dyDescent="0.2">
      <c r="BJ12314" s="201"/>
    </row>
    <row r="12315" spans="62:62" x14ac:dyDescent="0.2">
      <c r="BJ12315" s="201"/>
    </row>
    <row r="12316" spans="62:62" x14ac:dyDescent="0.2">
      <c r="BJ12316" s="201"/>
    </row>
    <row r="12317" spans="62:62" x14ac:dyDescent="0.2">
      <c r="BJ12317" s="201"/>
    </row>
    <row r="12318" spans="62:62" x14ac:dyDescent="0.2">
      <c r="BJ12318" s="201"/>
    </row>
    <row r="12319" spans="62:62" x14ac:dyDescent="0.2">
      <c r="BJ12319" s="201"/>
    </row>
    <row r="12320" spans="62:62" x14ac:dyDescent="0.2">
      <c r="BJ12320" s="201"/>
    </row>
    <row r="12321" spans="62:62" x14ac:dyDescent="0.2">
      <c r="BJ12321" s="201"/>
    </row>
    <row r="12322" spans="62:62" x14ac:dyDescent="0.2">
      <c r="BJ12322" s="201"/>
    </row>
    <row r="12323" spans="62:62" x14ac:dyDescent="0.2">
      <c r="BJ12323" s="201"/>
    </row>
    <row r="12324" spans="62:62" x14ac:dyDescent="0.2">
      <c r="BJ12324" s="201"/>
    </row>
    <row r="12325" spans="62:62" x14ac:dyDescent="0.2">
      <c r="BJ12325" s="201"/>
    </row>
    <row r="12326" spans="62:62" x14ac:dyDescent="0.2">
      <c r="BJ12326" s="201"/>
    </row>
    <row r="12327" spans="62:62" x14ac:dyDescent="0.2">
      <c r="BJ12327" s="201"/>
    </row>
    <row r="12328" spans="62:62" x14ac:dyDescent="0.2">
      <c r="BJ12328" s="201"/>
    </row>
    <row r="12329" spans="62:62" x14ac:dyDescent="0.2">
      <c r="BJ12329" s="201"/>
    </row>
    <row r="12330" spans="62:62" x14ac:dyDescent="0.2">
      <c r="BJ12330" s="201"/>
    </row>
    <row r="12331" spans="62:62" x14ac:dyDescent="0.2">
      <c r="BJ12331" s="201"/>
    </row>
    <row r="12332" spans="62:62" x14ac:dyDescent="0.2">
      <c r="BJ12332" s="201"/>
    </row>
    <row r="12333" spans="62:62" x14ac:dyDescent="0.2">
      <c r="BJ12333" s="201"/>
    </row>
    <row r="12334" spans="62:62" x14ac:dyDescent="0.2">
      <c r="BJ12334" s="201"/>
    </row>
    <row r="12335" spans="62:62" x14ac:dyDescent="0.2">
      <c r="BJ12335" s="201"/>
    </row>
    <row r="12336" spans="62:62" x14ac:dyDescent="0.2">
      <c r="BJ12336" s="201"/>
    </row>
    <row r="12337" spans="62:62" x14ac:dyDescent="0.2">
      <c r="BJ12337" s="201"/>
    </row>
    <row r="12338" spans="62:62" x14ac:dyDescent="0.2">
      <c r="BJ12338" s="201"/>
    </row>
    <row r="12339" spans="62:62" x14ac:dyDescent="0.2">
      <c r="BJ12339" s="201"/>
    </row>
    <row r="12340" spans="62:62" x14ac:dyDescent="0.2">
      <c r="BJ12340" s="201"/>
    </row>
    <row r="12341" spans="62:62" x14ac:dyDescent="0.2">
      <c r="BJ12341" s="201"/>
    </row>
    <row r="12342" spans="62:62" x14ac:dyDescent="0.2">
      <c r="BJ12342" s="201"/>
    </row>
    <row r="12343" spans="62:62" x14ac:dyDescent="0.2">
      <c r="BJ12343" s="201"/>
    </row>
    <row r="12344" spans="62:62" x14ac:dyDescent="0.2">
      <c r="BJ12344" s="201"/>
    </row>
    <row r="12345" spans="62:62" x14ac:dyDescent="0.2">
      <c r="BJ12345" s="201"/>
    </row>
    <row r="12346" spans="62:62" x14ac:dyDescent="0.2">
      <c r="BJ12346" s="201"/>
    </row>
    <row r="12347" spans="62:62" x14ac:dyDescent="0.2">
      <c r="BJ12347" s="201"/>
    </row>
    <row r="12348" spans="62:62" x14ac:dyDescent="0.2">
      <c r="BJ12348" s="201"/>
    </row>
    <row r="12349" spans="62:62" x14ac:dyDescent="0.2">
      <c r="BJ12349" s="201"/>
    </row>
    <row r="12350" spans="62:62" x14ac:dyDescent="0.2">
      <c r="BJ12350" s="201"/>
    </row>
    <row r="12351" spans="62:62" x14ac:dyDescent="0.2">
      <c r="BJ12351" s="201"/>
    </row>
    <row r="12352" spans="62:62" x14ac:dyDescent="0.2">
      <c r="BJ12352" s="201"/>
    </row>
    <row r="12353" spans="62:62" x14ac:dyDescent="0.2">
      <c r="BJ12353" s="201"/>
    </row>
    <row r="12354" spans="62:62" x14ac:dyDescent="0.2">
      <c r="BJ12354" s="201"/>
    </row>
    <row r="12355" spans="62:62" x14ac:dyDescent="0.2">
      <c r="BJ12355" s="201"/>
    </row>
    <row r="12356" spans="62:62" x14ac:dyDescent="0.2">
      <c r="BJ12356" s="201"/>
    </row>
    <row r="12357" spans="62:62" x14ac:dyDescent="0.2">
      <c r="BJ12357" s="201"/>
    </row>
    <row r="12358" spans="62:62" x14ac:dyDescent="0.2">
      <c r="BJ12358" s="201"/>
    </row>
    <row r="12359" spans="62:62" x14ac:dyDescent="0.2">
      <c r="BJ12359" s="201"/>
    </row>
    <row r="12360" spans="62:62" x14ac:dyDescent="0.2">
      <c r="BJ12360" s="201"/>
    </row>
    <row r="12361" spans="62:62" x14ac:dyDescent="0.2">
      <c r="BJ12361" s="201"/>
    </row>
    <row r="12362" spans="62:62" x14ac:dyDescent="0.2">
      <c r="BJ12362" s="201"/>
    </row>
    <row r="12363" spans="62:62" x14ac:dyDescent="0.2">
      <c r="BJ12363" s="201"/>
    </row>
    <row r="12364" spans="62:62" x14ac:dyDescent="0.2">
      <c r="BJ12364" s="201"/>
    </row>
    <row r="12365" spans="62:62" x14ac:dyDescent="0.2">
      <c r="BJ12365" s="201"/>
    </row>
    <row r="12366" spans="62:62" x14ac:dyDescent="0.2">
      <c r="BJ12366" s="201"/>
    </row>
    <row r="12367" spans="62:62" x14ac:dyDescent="0.2">
      <c r="BJ12367" s="201"/>
    </row>
    <row r="12368" spans="62:62" x14ac:dyDescent="0.2">
      <c r="BJ12368" s="201"/>
    </row>
    <row r="12369" spans="62:62" x14ac:dyDescent="0.2">
      <c r="BJ12369" s="201"/>
    </row>
    <row r="12370" spans="62:62" x14ac:dyDescent="0.2">
      <c r="BJ12370" s="201"/>
    </row>
    <row r="12371" spans="62:62" x14ac:dyDescent="0.2">
      <c r="BJ12371" s="201"/>
    </row>
    <row r="12372" spans="62:62" x14ac:dyDescent="0.2">
      <c r="BJ12372" s="201"/>
    </row>
    <row r="12373" spans="62:62" x14ac:dyDescent="0.2">
      <c r="BJ12373" s="201"/>
    </row>
    <row r="12374" spans="62:62" x14ac:dyDescent="0.2">
      <c r="BJ12374" s="201"/>
    </row>
    <row r="12375" spans="62:62" x14ac:dyDescent="0.2">
      <c r="BJ12375" s="201"/>
    </row>
    <row r="12376" spans="62:62" x14ac:dyDescent="0.2">
      <c r="BJ12376" s="201"/>
    </row>
    <row r="12377" spans="62:62" x14ac:dyDescent="0.2">
      <c r="BJ12377" s="201"/>
    </row>
    <row r="12378" spans="62:62" x14ac:dyDescent="0.2">
      <c r="BJ12378" s="201"/>
    </row>
    <row r="12379" spans="62:62" x14ac:dyDescent="0.2">
      <c r="BJ12379" s="201"/>
    </row>
    <row r="12380" spans="62:62" x14ac:dyDescent="0.2">
      <c r="BJ12380" s="201"/>
    </row>
    <row r="12381" spans="62:62" x14ac:dyDescent="0.2">
      <c r="BJ12381" s="201"/>
    </row>
    <row r="12382" spans="62:62" x14ac:dyDescent="0.2">
      <c r="BJ12382" s="201"/>
    </row>
    <row r="12383" spans="62:62" x14ac:dyDescent="0.2">
      <c r="BJ12383" s="201"/>
    </row>
    <row r="12384" spans="62:62" x14ac:dyDescent="0.2">
      <c r="BJ12384" s="201"/>
    </row>
    <row r="12385" spans="62:62" x14ac:dyDescent="0.2">
      <c r="BJ12385" s="201"/>
    </row>
    <row r="12386" spans="62:62" x14ac:dyDescent="0.2">
      <c r="BJ12386" s="201"/>
    </row>
    <row r="12387" spans="62:62" x14ac:dyDescent="0.2">
      <c r="BJ12387" s="201"/>
    </row>
    <row r="12388" spans="62:62" x14ac:dyDescent="0.2">
      <c r="BJ12388" s="201"/>
    </row>
    <row r="12389" spans="62:62" x14ac:dyDescent="0.2">
      <c r="BJ12389" s="201"/>
    </row>
    <row r="12390" spans="62:62" x14ac:dyDescent="0.2">
      <c r="BJ12390" s="201"/>
    </row>
    <row r="12391" spans="62:62" x14ac:dyDescent="0.2">
      <c r="BJ12391" s="201"/>
    </row>
    <row r="12392" spans="62:62" x14ac:dyDescent="0.2">
      <c r="BJ12392" s="201"/>
    </row>
    <row r="12393" spans="62:62" x14ac:dyDescent="0.2">
      <c r="BJ12393" s="201"/>
    </row>
    <row r="12394" spans="62:62" x14ac:dyDescent="0.2">
      <c r="BJ12394" s="201"/>
    </row>
    <row r="12395" spans="62:62" x14ac:dyDescent="0.2">
      <c r="BJ12395" s="201"/>
    </row>
    <row r="12396" spans="62:62" x14ac:dyDescent="0.2">
      <c r="BJ12396" s="201"/>
    </row>
    <row r="12397" spans="62:62" x14ac:dyDescent="0.2">
      <c r="BJ12397" s="201"/>
    </row>
    <row r="12398" spans="62:62" x14ac:dyDescent="0.2">
      <c r="BJ12398" s="201"/>
    </row>
    <row r="12399" spans="62:62" x14ac:dyDescent="0.2">
      <c r="BJ12399" s="201"/>
    </row>
    <row r="12400" spans="62:62" x14ac:dyDescent="0.2">
      <c r="BJ12400" s="201"/>
    </row>
    <row r="12401" spans="62:62" x14ac:dyDescent="0.2">
      <c r="BJ12401" s="201"/>
    </row>
    <row r="12402" spans="62:62" x14ac:dyDescent="0.2">
      <c r="BJ12402" s="201"/>
    </row>
    <row r="12403" spans="62:62" x14ac:dyDescent="0.2">
      <c r="BJ12403" s="201"/>
    </row>
    <row r="12404" spans="62:62" x14ac:dyDescent="0.2">
      <c r="BJ12404" s="201"/>
    </row>
    <row r="12405" spans="62:62" x14ac:dyDescent="0.2">
      <c r="BJ12405" s="201"/>
    </row>
    <row r="12406" spans="62:62" x14ac:dyDescent="0.2">
      <c r="BJ12406" s="201"/>
    </row>
    <row r="12407" spans="62:62" x14ac:dyDescent="0.2">
      <c r="BJ12407" s="201"/>
    </row>
    <row r="12408" spans="62:62" x14ac:dyDescent="0.2">
      <c r="BJ12408" s="201"/>
    </row>
    <row r="12409" spans="62:62" x14ac:dyDescent="0.2">
      <c r="BJ12409" s="201"/>
    </row>
    <row r="12410" spans="62:62" x14ac:dyDescent="0.2">
      <c r="BJ12410" s="201"/>
    </row>
    <row r="12411" spans="62:62" x14ac:dyDescent="0.2">
      <c r="BJ12411" s="201"/>
    </row>
    <row r="12412" spans="62:62" x14ac:dyDescent="0.2">
      <c r="BJ12412" s="201"/>
    </row>
    <row r="12413" spans="62:62" x14ac:dyDescent="0.2">
      <c r="BJ12413" s="201"/>
    </row>
    <row r="12414" spans="62:62" x14ac:dyDescent="0.2">
      <c r="BJ12414" s="201"/>
    </row>
    <row r="12415" spans="62:62" x14ac:dyDescent="0.2">
      <c r="BJ12415" s="201"/>
    </row>
    <row r="12416" spans="62:62" x14ac:dyDescent="0.2">
      <c r="BJ12416" s="201"/>
    </row>
    <row r="12417" spans="62:62" x14ac:dyDescent="0.2">
      <c r="BJ12417" s="201"/>
    </row>
    <row r="12418" spans="62:62" x14ac:dyDescent="0.2">
      <c r="BJ12418" s="201"/>
    </row>
    <row r="12419" spans="62:62" x14ac:dyDescent="0.2">
      <c r="BJ12419" s="201"/>
    </row>
    <row r="12420" spans="62:62" x14ac:dyDescent="0.2">
      <c r="BJ12420" s="201"/>
    </row>
    <row r="12421" spans="62:62" x14ac:dyDescent="0.2">
      <c r="BJ12421" s="201"/>
    </row>
    <row r="12422" spans="62:62" x14ac:dyDescent="0.2">
      <c r="BJ12422" s="201"/>
    </row>
    <row r="12423" spans="62:62" x14ac:dyDescent="0.2">
      <c r="BJ12423" s="201"/>
    </row>
    <row r="12424" spans="62:62" x14ac:dyDescent="0.2">
      <c r="BJ12424" s="201"/>
    </row>
    <row r="12425" spans="62:62" x14ac:dyDescent="0.2">
      <c r="BJ12425" s="201"/>
    </row>
    <row r="12426" spans="62:62" x14ac:dyDescent="0.2">
      <c r="BJ12426" s="201"/>
    </row>
    <row r="12427" spans="62:62" x14ac:dyDescent="0.2">
      <c r="BJ12427" s="201"/>
    </row>
    <row r="12428" spans="62:62" x14ac:dyDescent="0.2">
      <c r="BJ12428" s="201"/>
    </row>
    <row r="12429" spans="62:62" x14ac:dyDescent="0.2">
      <c r="BJ12429" s="201"/>
    </row>
    <row r="12430" spans="62:62" x14ac:dyDescent="0.2">
      <c r="BJ12430" s="201"/>
    </row>
    <row r="12431" spans="62:62" x14ac:dyDescent="0.2">
      <c r="BJ12431" s="201"/>
    </row>
    <row r="12432" spans="62:62" x14ac:dyDescent="0.2">
      <c r="BJ12432" s="201"/>
    </row>
    <row r="12433" spans="62:62" x14ac:dyDescent="0.2">
      <c r="BJ12433" s="201"/>
    </row>
    <row r="12434" spans="62:62" x14ac:dyDescent="0.2">
      <c r="BJ12434" s="201"/>
    </row>
    <row r="12435" spans="62:62" x14ac:dyDescent="0.2">
      <c r="BJ12435" s="201"/>
    </row>
    <row r="12436" spans="62:62" x14ac:dyDescent="0.2">
      <c r="BJ12436" s="201"/>
    </row>
    <row r="12437" spans="62:62" x14ac:dyDescent="0.2">
      <c r="BJ12437" s="201"/>
    </row>
    <row r="12438" spans="62:62" x14ac:dyDescent="0.2">
      <c r="BJ12438" s="201"/>
    </row>
    <row r="12439" spans="62:62" x14ac:dyDescent="0.2">
      <c r="BJ12439" s="201"/>
    </row>
    <row r="12440" spans="62:62" x14ac:dyDescent="0.2">
      <c r="BJ12440" s="201"/>
    </row>
    <row r="12441" spans="62:62" x14ac:dyDescent="0.2">
      <c r="BJ12441" s="201"/>
    </row>
    <row r="12442" spans="62:62" x14ac:dyDescent="0.2">
      <c r="BJ12442" s="201"/>
    </row>
    <row r="12443" spans="62:62" x14ac:dyDescent="0.2">
      <c r="BJ12443" s="201"/>
    </row>
    <row r="12444" spans="62:62" x14ac:dyDescent="0.2">
      <c r="BJ12444" s="201"/>
    </row>
    <row r="12445" spans="62:62" x14ac:dyDescent="0.2">
      <c r="BJ12445" s="201"/>
    </row>
    <row r="12446" spans="62:62" x14ac:dyDescent="0.2">
      <c r="BJ12446" s="201"/>
    </row>
    <row r="12447" spans="62:62" x14ac:dyDescent="0.2">
      <c r="BJ12447" s="201"/>
    </row>
    <row r="12448" spans="62:62" x14ac:dyDescent="0.2">
      <c r="BJ12448" s="201"/>
    </row>
    <row r="12449" spans="62:62" x14ac:dyDescent="0.2">
      <c r="BJ12449" s="201"/>
    </row>
    <row r="12450" spans="62:62" x14ac:dyDescent="0.2">
      <c r="BJ12450" s="201"/>
    </row>
    <row r="12451" spans="62:62" x14ac:dyDescent="0.2">
      <c r="BJ12451" s="201"/>
    </row>
    <row r="12452" spans="62:62" x14ac:dyDescent="0.2">
      <c r="BJ12452" s="201"/>
    </row>
    <row r="12453" spans="62:62" x14ac:dyDescent="0.2">
      <c r="BJ12453" s="201"/>
    </row>
    <row r="12454" spans="62:62" x14ac:dyDescent="0.2">
      <c r="BJ12454" s="201"/>
    </row>
    <row r="12455" spans="62:62" x14ac:dyDescent="0.2">
      <c r="BJ12455" s="201"/>
    </row>
    <row r="12456" spans="62:62" x14ac:dyDescent="0.2">
      <c r="BJ12456" s="201"/>
    </row>
    <row r="12457" spans="62:62" x14ac:dyDescent="0.2">
      <c r="BJ12457" s="201"/>
    </row>
    <row r="12458" spans="62:62" x14ac:dyDescent="0.2">
      <c r="BJ12458" s="201"/>
    </row>
    <row r="12459" spans="62:62" x14ac:dyDescent="0.2">
      <c r="BJ12459" s="201"/>
    </row>
    <row r="12460" spans="62:62" x14ac:dyDescent="0.2">
      <c r="BJ12460" s="201"/>
    </row>
    <row r="12461" spans="62:62" x14ac:dyDescent="0.2">
      <c r="BJ12461" s="201"/>
    </row>
    <row r="12462" spans="62:62" x14ac:dyDescent="0.2">
      <c r="BJ12462" s="201"/>
    </row>
    <row r="12463" spans="62:62" x14ac:dyDescent="0.2">
      <c r="BJ12463" s="201"/>
    </row>
    <row r="12464" spans="62:62" x14ac:dyDescent="0.2">
      <c r="BJ12464" s="201"/>
    </row>
    <row r="12465" spans="62:62" x14ac:dyDescent="0.2">
      <c r="BJ12465" s="201"/>
    </row>
    <row r="12466" spans="62:62" x14ac:dyDescent="0.2">
      <c r="BJ12466" s="201"/>
    </row>
    <row r="12467" spans="62:62" x14ac:dyDescent="0.2">
      <c r="BJ12467" s="201"/>
    </row>
    <row r="12468" spans="62:62" x14ac:dyDescent="0.2">
      <c r="BJ12468" s="201"/>
    </row>
    <row r="12469" spans="62:62" x14ac:dyDescent="0.2">
      <c r="BJ12469" s="201"/>
    </row>
    <row r="12470" spans="62:62" x14ac:dyDescent="0.2">
      <c r="BJ12470" s="201"/>
    </row>
    <row r="12471" spans="62:62" x14ac:dyDescent="0.2">
      <c r="BJ12471" s="201"/>
    </row>
    <row r="12472" spans="62:62" x14ac:dyDescent="0.2">
      <c r="BJ12472" s="201"/>
    </row>
    <row r="12473" spans="62:62" x14ac:dyDescent="0.2">
      <c r="BJ12473" s="201"/>
    </row>
    <row r="12474" spans="62:62" x14ac:dyDescent="0.2">
      <c r="BJ12474" s="201"/>
    </row>
    <row r="12475" spans="62:62" x14ac:dyDescent="0.2">
      <c r="BJ12475" s="201"/>
    </row>
    <row r="12476" spans="62:62" x14ac:dyDescent="0.2">
      <c r="BJ12476" s="201"/>
    </row>
    <row r="12477" spans="62:62" x14ac:dyDescent="0.2">
      <c r="BJ12477" s="201"/>
    </row>
    <row r="12478" spans="62:62" x14ac:dyDescent="0.2">
      <c r="BJ12478" s="201"/>
    </row>
    <row r="12479" spans="62:62" x14ac:dyDescent="0.2">
      <c r="BJ12479" s="201"/>
    </row>
    <row r="12480" spans="62:62" x14ac:dyDescent="0.2">
      <c r="BJ12480" s="201"/>
    </row>
    <row r="12481" spans="62:62" x14ac:dyDescent="0.2">
      <c r="BJ12481" s="201"/>
    </row>
    <row r="12482" spans="62:62" x14ac:dyDescent="0.2">
      <c r="BJ12482" s="201"/>
    </row>
    <row r="12483" spans="62:62" x14ac:dyDescent="0.2">
      <c r="BJ12483" s="201"/>
    </row>
    <row r="12484" spans="62:62" x14ac:dyDescent="0.2">
      <c r="BJ12484" s="201"/>
    </row>
    <row r="12485" spans="62:62" x14ac:dyDescent="0.2">
      <c r="BJ12485" s="201"/>
    </row>
    <row r="12486" spans="62:62" x14ac:dyDescent="0.2">
      <c r="BJ12486" s="201"/>
    </row>
    <row r="12487" spans="62:62" x14ac:dyDescent="0.2">
      <c r="BJ12487" s="201"/>
    </row>
    <row r="12488" spans="62:62" x14ac:dyDescent="0.2">
      <c r="BJ12488" s="201"/>
    </row>
    <row r="12489" spans="62:62" x14ac:dyDescent="0.2">
      <c r="BJ12489" s="201"/>
    </row>
    <row r="12490" spans="62:62" x14ac:dyDescent="0.2">
      <c r="BJ12490" s="201"/>
    </row>
    <row r="12491" spans="62:62" x14ac:dyDescent="0.2">
      <c r="BJ12491" s="201"/>
    </row>
    <row r="12492" spans="62:62" x14ac:dyDescent="0.2">
      <c r="BJ12492" s="201"/>
    </row>
    <row r="12493" spans="62:62" x14ac:dyDescent="0.2">
      <c r="BJ12493" s="201"/>
    </row>
    <row r="12494" spans="62:62" x14ac:dyDescent="0.2">
      <c r="BJ12494" s="201"/>
    </row>
    <row r="12495" spans="62:62" x14ac:dyDescent="0.2">
      <c r="BJ12495" s="201"/>
    </row>
    <row r="12496" spans="62:62" x14ac:dyDescent="0.2">
      <c r="BJ12496" s="201"/>
    </row>
    <row r="12497" spans="62:62" x14ac:dyDescent="0.2">
      <c r="BJ12497" s="201"/>
    </row>
    <row r="12498" spans="62:62" x14ac:dyDescent="0.2">
      <c r="BJ12498" s="201"/>
    </row>
    <row r="12499" spans="62:62" x14ac:dyDescent="0.2">
      <c r="BJ12499" s="201"/>
    </row>
    <row r="12500" spans="62:62" x14ac:dyDescent="0.2">
      <c r="BJ12500" s="201"/>
    </row>
    <row r="12501" spans="62:62" x14ac:dyDescent="0.2">
      <c r="BJ12501" s="201"/>
    </row>
    <row r="12502" spans="62:62" x14ac:dyDescent="0.2">
      <c r="BJ12502" s="201"/>
    </row>
    <row r="12503" spans="62:62" x14ac:dyDescent="0.2">
      <c r="BJ12503" s="201"/>
    </row>
    <row r="12504" spans="62:62" x14ac:dyDescent="0.2">
      <c r="BJ12504" s="201"/>
    </row>
    <row r="12505" spans="62:62" x14ac:dyDescent="0.2">
      <c r="BJ12505" s="201"/>
    </row>
    <row r="12506" spans="62:62" x14ac:dyDescent="0.2">
      <c r="BJ12506" s="201"/>
    </row>
    <row r="12507" spans="62:62" x14ac:dyDescent="0.2">
      <c r="BJ12507" s="201"/>
    </row>
    <row r="12508" spans="62:62" x14ac:dyDescent="0.2">
      <c r="BJ12508" s="201"/>
    </row>
    <row r="12509" spans="62:62" x14ac:dyDescent="0.2">
      <c r="BJ12509" s="201"/>
    </row>
    <row r="12510" spans="62:62" x14ac:dyDescent="0.2">
      <c r="BJ12510" s="201"/>
    </row>
    <row r="12511" spans="62:62" x14ac:dyDescent="0.2">
      <c r="BJ12511" s="201"/>
    </row>
    <row r="12512" spans="62:62" x14ac:dyDescent="0.2">
      <c r="BJ12512" s="201"/>
    </row>
    <row r="12513" spans="62:62" x14ac:dyDescent="0.2">
      <c r="BJ12513" s="201"/>
    </row>
    <row r="12514" spans="62:62" x14ac:dyDescent="0.2">
      <c r="BJ12514" s="201"/>
    </row>
    <row r="12515" spans="62:62" x14ac:dyDescent="0.2">
      <c r="BJ12515" s="201"/>
    </row>
    <row r="12516" spans="62:62" x14ac:dyDescent="0.2">
      <c r="BJ12516" s="201"/>
    </row>
    <row r="12517" spans="62:62" x14ac:dyDescent="0.2">
      <c r="BJ12517" s="201"/>
    </row>
    <row r="12518" spans="62:62" x14ac:dyDescent="0.2">
      <c r="BJ12518" s="201"/>
    </row>
    <row r="12519" spans="62:62" x14ac:dyDescent="0.2">
      <c r="BJ12519" s="201"/>
    </row>
    <row r="12520" spans="62:62" x14ac:dyDescent="0.2">
      <c r="BJ12520" s="201"/>
    </row>
    <row r="12521" spans="62:62" x14ac:dyDescent="0.2">
      <c r="BJ12521" s="201"/>
    </row>
    <row r="12522" spans="62:62" x14ac:dyDescent="0.2">
      <c r="BJ12522" s="201"/>
    </row>
    <row r="12523" spans="62:62" x14ac:dyDescent="0.2">
      <c r="BJ12523" s="201"/>
    </row>
    <row r="12524" spans="62:62" x14ac:dyDescent="0.2">
      <c r="BJ12524" s="201"/>
    </row>
    <row r="12525" spans="62:62" x14ac:dyDescent="0.2">
      <c r="BJ12525" s="201"/>
    </row>
    <row r="12526" spans="62:62" x14ac:dyDescent="0.2">
      <c r="BJ12526" s="201"/>
    </row>
    <row r="12527" spans="62:62" x14ac:dyDescent="0.2">
      <c r="BJ12527" s="201"/>
    </row>
    <row r="12528" spans="62:62" x14ac:dyDescent="0.2">
      <c r="BJ12528" s="201"/>
    </row>
    <row r="12529" spans="62:62" x14ac:dyDescent="0.2">
      <c r="BJ12529" s="201"/>
    </row>
    <row r="12530" spans="62:62" x14ac:dyDescent="0.2">
      <c r="BJ12530" s="201"/>
    </row>
    <row r="12531" spans="62:62" x14ac:dyDescent="0.2">
      <c r="BJ12531" s="201"/>
    </row>
    <row r="12532" spans="62:62" x14ac:dyDescent="0.2">
      <c r="BJ12532" s="201"/>
    </row>
    <row r="12533" spans="62:62" x14ac:dyDescent="0.2">
      <c r="BJ12533" s="201"/>
    </row>
    <row r="12534" spans="62:62" x14ac:dyDescent="0.2">
      <c r="BJ12534" s="201"/>
    </row>
    <row r="12535" spans="62:62" x14ac:dyDescent="0.2">
      <c r="BJ12535" s="201"/>
    </row>
    <row r="12536" spans="62:62" x14ac:dyDescent="0.2">
      <c r="BJ12536" s="201"/>
    </row>
    <row r="12537" spans="62:62" x14ac:dyDescent="0.2">
      <c r="BJ12537" s="201"/>
    </row>
    <row r="12538" spans="62:62" x14ac:dyDescent="0.2">
      <c r="BJ12538" s="201"/>
    </row>
    <row r="12539" spans="62:62" x14ac:dyDescent="0.2">
      <c r="BJ12539" s="201"/>
    </row>
    <row r="12540" spans="62:62" x14ac:dyDescent="0.2">
      <c r="BJ12540" s="201"/>
    </row>
    <row r="12541" spans="62:62" x14ac:dyDescent="0.2">
      <c r="BJ12541" s="201"/>
    </row>
    <row r="12542" spans="62:62" x14ac:dyDescent="0.2">
      <c r="BJ12542" s="201"/>
    </row>
    <row r="12543" spans="62:62" x14ac:dyDescent="0.2">
      <c r="BJ12543" s="201"/>
    </row>
    <row r="12544" spans="62:62" x14ac:dyDescent="0.2">
      <c r="BJ12544" s="201"/>
    </row>
    <row r="12545" spans="62:62" x14ac:dyDescent="0.2">
      <c r="BJ12545" s="201"/>
    </row>
    <row r="12546" spans="62:62" x14ac:dyDescent="0.2">
      <c r="BJ12546" s="201"/>
    </row>
    <row r="12547" spans="62:62" x14ac:dyDescent="0.2">
      <c r="BJ12547" s="201"/>
    </row>
    <row r="12548" spans="62:62" x14ac:dyDescent="0.2">
      <c r="BJ12548" s="201"/>
    </row>
    <row r="12549" spans="62:62" x14ac:dyDescent="0.2">
      <c r="BJ12549" s="201"/>
    </row>
    <row r="12550" spans="62:62" x14ac:dyDescent="0.2">
      <c r="BJ12550" s="201"/>
    </row>
    <row r="12551" spans="62:62" x14ac:dyDescent="0.2">
      <c r="BJ12551" s="201"/>
    </row>
    <row r="12552" spans="62:62" x14ac:dyDescent="0.2">
      <c r="BJ12552" s="201"/>
    </row>
    <row r="12553" spans="62:62" x14ac:dyDescent="0.2">
      <c r="BJ12553" s="201"/>
    </row>
    <row r="12554" spans="62:62" x14ac:dyDescent="0.2">
      <c r="BJ12554" s="201"/>
    </row>
    <row r="12555" spans="62:62" x14ac:dyDescent="0.2">
      <c r="BJ12555" s="201"/>
    </row>
    <row r="12556" spans="62:62" x14ac:dyDescent="0.2">
      <c r="BJ12556" s="201"/>
    </row>
    <row r="12557" spans="62:62" x14ac:dyDescent="0.2">
      <c r="BJ12557" s="201"/>
    </row>
    <row r="12558" spans="62:62" x14ac:dyDescent="0.2">
      <c r="BJ12558" s="201"/>
    </row>
    <row r="12559" spans="62:62" x14ac:dyDescent="0.2">
      <c r="BJ12559" s="201"/>
    </row>
    <row r="12560" spans="62:62" x14ac:dyDescent="0.2">
      <c r="BJ12560" s="201"/>
    </row>
    <row r="12561" spans="62:62" x14ac:dyDescent="0.2">
      <c r="BJ12561" s="201"/>
    </row>
    <row r="12562" spans="62:62" x14ac:dyDescent="0.2">
      <c r="BJ12562" s="201"/>
    </row>
    <row r="12563" spans="62:62" x14ac:dyDescent="0.2">
      <c r="BJ12563" s="201"/>
    </row>
    <row r="12564" spans="62:62" x14ac:dyDescent="0.2">
      <c r="BJ12564" s="201"/>
    </row>
    <row r="12565" spans="62:62" x14ac:dyDescent="0.2">
      <c r="BJ12565" s="201"/>
    </row>
    <row r="12566" spans="62:62" x14ac:dyDescent="0.2">
      <c r="BJ12566" s="201"/>
    </row>
    <row r="12567" spans="62:62" x14ac:dyDescent="0.2">
      <c r="BJ12567" s="201"/>
    </row>
    <row r="12568" spans="62:62" x14ac:dyDescent="0.2">
      <c r="BJ12568" s="201"/>
    </row>
    <row r="12569" spans="62:62" x14ac:dyDescent="0.2">
      <c r="BJ12569" s="201"/>
    </row>
    <row r="12570" spans="62:62" x14ac:dyDescent="0.2">
      <c r="BJ12570" s="201"/>
    </row>
    <row r="12571" spans="62:62" x14ac:dyDescent="0.2">
      <c r="BJ12571" s="201"/>
    </row>
    <row r="12572" spans="62:62" x14ac:dyDescent="0.2">
      <c r="BJ12572" s="201"/>
    </row>
    <row r="12573" spans="62:62" x14ac:dyDescent="0.2">
      <c r="BJ12573" s="201"/>
    </row>
    <row r="12574" spans="62:62" x14ac:dyDescent="0.2">
      <c r="BJ12574" s="201"/>
    </row>
    <row r="12575" spans="62:62" x14ac:dyDescent="0.2">
      <c r="BJ12575" s="201"/>
    </row>
    <row r="12576" spans="62:62" x14ac:dyDescent="0.2">
      <c r="BJ12576" s="201"/>
    </row>
    <row r="12577" spans="62:62" x14ac:dyDescent="0.2">
      <c r="BJ12577" s="201"/>
    </row>
    <row r="12578" spans="62:62" x14ac:dyDescent="0.2">
      <c r="BJ12578" s="201"/>
    </row>
    <row r="12579" spans="62:62" x14ac:dyDescent="0.2">
      <c r="BJ12579" s="201"/>
    </row>
    <row r="12580" spans="62:62" x14ac:dyDescent="0.2">
      <c r="BJ12580" s="201"/>
    </row>
    <row r="12581" spans="62:62" x14ac:dyDescent="0.2">
      <c r="BJ12581" s="201"/>
    </row>
    <row r="12582" spans="62:62" x14ac:dyDescent="0.2">
      <c r="BJ12582" s="201"/>
    </row>
    <row r="12583" spans="62:62" x14ac:dyDescent="0.2">
      <c r="BJ12583" s="201"/>
    </row>
    <row r="12584" spans="62:62" x14ac:dyDescent="0.2">
      <c r="BJ12584" s="201"/>
    </row>
    <row r="12585" spans="62:62" x14ac:dyDescent="0.2">
      <c r="BJ12585" s="201"/>
    </row>
    <row r="12586" spans="62:62" x14ac:dyDescent="0.2">
      <c r="BJ12586" s="201"/>
    </row>
    <row r="12587" spans="62:62" x14ac:dyDescent="0.2">
      <c r="BJ12587" s="201"/>
    </row>
    <row r="12588" spans="62:62" x14ac:dyDescent="0.2">
      <c r="BJ12588" s="201"/>
    </row>
    <row r="12589" spans="62:62" x14ac:dyDescent="0.2">
      <c r="BJ12589" s="201"/>
    </row>
    <row r="12590" spans="62:62" x14ac:dyDescent="0.2">
      <c r="BJ12590" s="201"/>
    </row>
    <row r="12591" spans="62:62" x14ac:dyDescent="0.2">
      <c r="BJ12591" s="201"/>
    </row>
    <row r="12592" spans="62:62" x14ac:dyDescent="0.2">
      <c r="BJ12592" s="201"/>
    </row>
    <row r="12593" spans="62:62" x14ac:dyDescent="0.2">
      <c r="BJ12593" s="201"/>
    </row>
    <row r="12594" spans="62:62" x14ac:dyDescent="0.2">
      <c r="BJ12594" s="201"/>
    </row>
    <row r="12595" spans="62:62" x14ac:dyDescent="0.2">
      <c r="BJ12595" s="201"/>
    </row>
    <row r="12596" spans="62:62" x14ac:dyDescent="0.2">
      <c r="BJ12596" s="201"/>
    </row>
    <row r="12597" spans="62:62" x14ac:dyDescent="0.2">
      <c r="BJ12597" s="201"/>
    </row>
    <row r="12598" spans="62:62" x14ac:dyDescent="0.2">
      <c r="BJ12598" s="201"/>
    </row>
    <row r="12599" spans="62:62" x14ac:dyDescent="0.2">
      <c r="BJ12599" s="201"/>
    </row>
    <row r="12600" spans="62:62" x14ac:dyDescent="0.2">
      <c r="BJ12600" s="201"/>
    </row>
    <row r="12601" spans="62:62" x14ac:dyDescent="0.2">
      <c r="BJ12601" s="201"/>
    </row>
    <row r="12602" spans="62:62" x14ac:dyDescent="0.2">
      <c r="BJ12602" s="201"/>
    </row>
    <row r="12603" spans="62:62" x14ac:dyDescent="0.2">
      <c r="BJ12603" s="201"/>
    </row>
    <row r="12604" spans="62:62" x14ac:dyDescent="0.2">
      <c r="BJ12604" s="201"/>
    </row>
    <row r="12605" spans="62:62" x14ac:dyDescent="0.2">
      <c r="BJ12605" s="201"/>
    </row>
    <row r="12606" spans="62:62" x14ac:dyDescent="0.2">
      <c r="BJ12606" s="201"/>
    </row>
    <row r="12607" spans="62:62" x14ac:dyDescent="0.2">
      <c r="BJ12607" s="201"/>
    </row>
    <row r="12608" spans="62:62" x14ac:dyDescent="0.2">
      <c r="BJ12608" s="201"/>
    </row>
    <row r="12609" spans="62:62" x14ac:dyDescent="0.2">
      <c r="BJ12609" s="201"/>
    </row>
    <row r="12610" spans="62:62" x14ac:dyDescent="0.2">
      <c r="BJ12610" s="201"/>
    </row>
    <row r="12611" spans="62:62" x14ac:dyDescent="0.2">
      <c r="BJ12611" s="201"/>
    </row>
    <row r="12612" spans="62:62" x14ac:dyDescent="0.2">
      <c r="BJ12612" s="201"/>
    </row>
    <row r="12613" spans="62:62" x14ac:dyDescent="0.2">
      <c r="BJ12613" s="201"/>
    </row>
    <row r="12614" spans="62:62" x14ac:dyDescent="0.2">
      <c r="BJ12614" s="201"/>
    </row>
    <row r="12615" spans="62:62" x14ac:dyDescent="0.2">
      <c r="BJ12615" s="201"/>
    </row>
    <row r="12616" spans="62:62" x14ac:dyDescent="0.2">
      <c r="BJ12616" s="201"/>
    </row>
    <row r="12617" spans="62:62" x14ac:dyDescent="0.2">
      <c r="BJ12617" s="201"/>
    </row>
    <row r="12618" spans="62:62" x14ac:dyDescent="0.2">
      <c r="BJ12618" s="201"/>
    </row>
    <row r="12619" spans="62:62" x14ac:dyDescent="0.2">
      <c r="BJ12619" s="201"/>
    </row>
    <row r="12620" spans="62:62" x14ac:dyDescent="0.2">
      <c r="BJ12620" s="201"/>
    </row>
    <row r="12621" spans="62:62" x14ac:dyDescent="0.2">
      <c r="BJ12621" s="201"/>
    </row>
    <row r="12622" spans="62:62" x14ac:dyDescent="0.2">
      <c r="BJ12622" s="201"/>
    </row>
    <row r="12623" spans="62:62" x14ac:dyDescent="0.2">
      <c r="BJ12623" s="201"/>
    </row>
    <row r="12624" spans="62:62" x14ac:dyDescent="0.2">
      <c r="BJ12624" s="201"/>
    </row>
    <row r="12625" spans="62:62" x14ac:dyDescent="0.2">
      <c r="BJ12625" s="201"/>
    </row>
    <row r="12626" spans="62:62" x14ac:dyDescent="0.2">
      <c r="BJ12626" s="201"/>
    </row>
    <row r="12627" spans="62:62" x14ac:dyDescent="0.2">
      <c r="BJ12627" s="201"/>
    </row>
    <row r="12628" spans="62:62" x14ac:dyDescent="0.2">
      <c r="BJ12628" s="201"/>
    </row>
    <row r="12629" spans="62:62" x14ac:dyDescent="0.2">
      <c r="BJ12629" s="201"/>
    </row>
    <row r="12630" spans="62:62" x14ac:dyDescent="0.2">
      <c r="BJ12630" s="201"/>
    </row>
    <row r="12631" spans="62:62" x14ac:dyDescent="0.2">
      <c r="BJ12631" s="201"/>
    </row>
    <row r="12632" spans="62:62" x14ac:dyDescent="0.2">
      <c r="BJ12632" s="201"/>
    </row>
    <row r="12633" spans="62:62" x14ac:dyDescent="0.2">
      <c r="BJ12633" s="201"/>
    </row>
    <row r="12634" spans="62:62" x14ac:dyDescent="0.2">
      <c r="BJ12634" s="201"/>
    </row>
    <row r="12635" spans="62:62" x14ac:dyDescent="0.2">
      <c r="BJ12635" s="201"/>
    </row>
    <row r="12636" spans="62:62" x14ac:dyDescent="0.2">
      <c r="BJ12636" s="201"/>
    </row>
    <row r="12637" spans="62:62" x14ac:dyDescent="0.2">
      <c r="BJ12637" s="201"/>
    </row>
    <row r="12638" spans="62:62" x14ac:dyDescent="0.2">
      <c r="BJ12638" s="201"/>
    </row>
    <row r="12639" spans="62:62" x14ac:dyDescent="0.2">
      <c r="BJ12639" s="201"/>
    </row>
    <row r="12640" spans="62:62" x14ac:dyDescent="0.2">
      <c r="BJ12640" s="201"/>
    </row>
    <row r="12641" spans="62:62" x14ac:dyDescent="0.2">
      <c r="BJ12641" s="201"/>
    </row>
    <row r="12642" spans="62:62" x14ac:dyDescent="0.2">
      <c r="BJ12642" s="201"/>
    </row>
    <row r="12643" spans="62:62" x14ac:dyDescent="0.2">
      <c r="BJ12643" s="201"/>
    </row>
    <row r="12644" spans="62:62" x14ac:dyDescent="0.2">
      <c r="BJ12644" s="201"/>
    </row>
    <row r="12645" spans="62:62" x14ac:dyDescent="0.2">
      <c r="BJ12645" s="201"/>
    </row>
    <row r="12646" spans="62:62" x14ac:dyDescent="0.2">
      <c r="BJ12646" s="201"/>
    </row>
    <row r="12647" spans="62:62" x14ac:dyDescent="0.2">
      <c r="BJ12647" s="201"/>
    </row>
    <row r="12648" spans="62:62" x14ac:dyDescent="0.2">
      <c r="BJ12648" s="201"/>
    </row>
    <row r="12649" spans="62:62" x14ac:dyDescent="0.2">
      <c r="BJ12649" s="201"/>
    </row>
    <row r="12650" spans="62:62" x14ac:dyDescent="0.2">
      <c r="BJ12650" s="201"/>
    </row>
    <row r="12651" spans="62:62" x14ac:dyDescent="0.2">
      <c r="BJ12651" s="201"/>
    </row>
    <row r="12652" spans="62:62" x14ac:dyDescent="0.2">
      <c r="BJ12652" s="201"/>
    </row>
    <row r="12653" spans="62:62" x14ac:dyDescent="0.2">
      <c r="BJ12653" s="201"/>
    </row>
    <row r="12654" spans="62:62" x14ac:dyDescent="0.2">
      <c r="BJ12654" s="201"/>
    </row>
    <row r="12655" spans="62:62" x14ac:dyDescent="0.2">
      <c r="BJ12655" s="201"/>
    </row>
    <row r="12656" spans="62:62" x14ac:dyDescent="0.2">
      <c r="BJ12656" s="201"/>
    </row>
    <row r="12657" spans="62:62" x14ac:dyDescent="0.2">
      <c r="BJ12657" s="201"/>
    </row>
    <row r="12658" spans="62:62" x14ac:dyDescent="0.2">
      <c r="BJ12658" s="201"/>
    </row>
    <row r="12659" spans="62:62" x14ac:dyDescent="0.2">
      <c r="BJ12659" s="201"/>
    </row>
    <row r="12660" spans="62:62" x14ac:dyDescent="0.2">
      <c r="BJ12660" s="201"/>
    </row>
    <row r="12661" spans="62:62" x14ac:dyDescent="0.2">
      <c r="BJ12661" s="201"/>
    </row>
    <row r="12662" spans="62:62" x14ac:dyDescent="0.2">
      <c r="BJ12662" s="201"/>
    </row>
    <row r="12663" spans="62:62" x14ac:dyDescent="0.2">
      <c r="BJ12663" s="201"/>
    </row>
    <row r="12664" spans="62:62" x14ac:dyDescent="0.2">
      <c r="BJ12664" s="201"/>
    </row>
    <row r="12665" spans="62:62" x14ac:dyDescent="0.2">
      <c r="BJ12665" s="201"/>
    </row>
    <row r="12666" spans="62:62" x14ac:dyDescent="0.2">
      <c r="BJ12666" s="201"/>
    </row>
    <row r="12667" spans="62:62" x14ac:dyDescent="0.2">
      <c r="BJ12667" s="201"/>
    </row>
    <row r="12668" spans="62:62" x14ac:dyDescent="0.2">
      <c r="BJ12668" s="201"/>
    </row>
    <row r="12669" spans="62:62" x14ac:dyDescent="0.2">
      <c r="BJ12669" s="201"/>
    </row>
    <row r="12670" spans="62:62" x14ac:dyDescent="0.2">
      <c r="BJ12670" s="201"/>
    </row>
    <row r="12671" spans="62:62" x14ac:dyDescent="0.2">
      <c r="BJ12671" s="201"/>
    </row>
    <row r="12672" spans="62:62" x14ac:dyDescent="0.2">
      <c r="BJ12672" s="201"/>
    </row>
    <row r="12673" spans="62:62" x14ac:dyDescent="0.2">
      <c r="BJ12673" s="201"/>
    </row>
    <row r="12674" spans="62:62" x14ac:dyDescent="0.2">
      <c r="BJ12674" s="201"/>
    </row>
    <row r="12675" spans="62:62" x14ac:dyDescent="0.2">
      <c r="BJ12675" s="201"/>
    </row>
    <row r="12676" spans="62:62" x14ac:dyDescent="0.2">
      <c r="BJ12676" s="201"/>
    </row>
    <row r="12677" spans="62:62" x14ac:dyDescent="0.2">
      <c r="BJ12677" s="201"/>
    </row>
    <row r="12678" spans="62:62" x14ac:dyDescent="0.2">
      <c r="BJ12678" s="201"/>
    </row>
    <row r="12679" spans="62:62" x14ac:dyDescent="0.2">
      <c r="BJ12679" s="201"/>
    </row>
    <row r="12680" spans="62:62" x14ac:dyDescent="0.2">
      <c r="BJ12680" s="201"/>
    </row>
    <row r="12681" spans="62:62" x14ac:dyDescent="0.2">
      <c r="BJ12681" s="201"/>
    </row>
    <row r="12682" spans="62:62" x14ac:dyDescent="0.2">
      <c r="BJ12682" s="201"/>
    </row>
    <row r="12683" spans="62:62" x14ac:dyDescent="0.2">
      <c r="BJ12683" s="201"/>
    </row>
    <row r="12684" spans="62:62" x14ac:dyDescent="0.2">
      <c r="BJ12684" s="201"/>
    </row>
    <row r="12685" spans="62:62" x14ac:dyDescent="0.2">
      <c r="BJ12685" s="201"/>
    </row>
    <row r="12686" spans="62:62" x14ac:dyDescent="0.2">
      <c r="BJ12686" s="201"/>
    </row>
    <row r="12687" spans="62:62" x14ac:dyDescent="0.2">
      <c r="BJ12687" s="201"/>
    </row>
    <row r="12688" spans="62:62" x14ac:dyDescent="0.2">
      <c r="BJ12688" s="201"/>
    </row>
    <row r="12689" spans="62:62" x14ac:dyDescent="0.2">
      <c r="BJ12689" s="201"/>
    </row>
    <row r="12690" spans="62:62" x14ac:dyDescent="0.2">
      <c r="BJ12690" s="201"/>
    </row>
    <row r="12691" spans="62:62" x14ac:dyDescent="0.2">
      <c r="BJ12691" s="201"/>
    </row>
    <row r="12692" spans="62:62" x14ac:dyDescent="0.2">
      <c r="BJ12692" s="201"/>
    </row>
    <row r="12693" spans="62:62" x14ac:dyDescent="0.2">
      <c r="BJ12693" s="201"/>
    </row>
    <row r="12694" spans="62:62" x14ac:dyDescent="0.2">
      <c r="BJ12694" s="201"/>
    </row>
    <row r="12695" spans="62:62" x14ac:dyDescent="0.2">
      <c r="BJ12695" s="201"/>
    </row>
    <row r="12696" spans="62:62" x14ac:dyDescent="0.2">
      <c r="BJ12696" s="201"/>
    </row>
    <row r="12697" spans="62:62" x14ac:dyDescent="0.2">
      <c r="BJ12697" s="201"/>
    </row>
    <row r="12698" spans="62:62" x14ac:dyDescent="0.2">
      <c r="BJ12698" s="201"/>
    </row>
    <row r="12699" spans="62:62" x14ac:dyDescent="0.2">
      <c r="BJ12699" s="201"/>
    </row>
    <row r="12700" spans="62:62" x14ac:dyDescent="0.2">
      <c r="BJ12700" s="201"/>
    </row>
    <row r="12701" spans="62:62" x14ac:dyDescent="0.2">
      <c r="BJ12701" s="201"/>
    </row>
    <row r="12702" spans="62:62" x14ac:dyDescent="0.2">
      <c r="BJ12702" s="201"/>
    </row>
    <row r="12703" spans="62:62" x14ac:dyDescent="0.2">
      <c r="BJ12703" s="201"/>
    </row>
    <row r="12704" spans="62:62" x14ac:dyDescent="0.2">
      <c r="BJ12704" s="201"/>
    </row>
    <row r="12705" spans="62:62" x14ac:dyDescent="0.2">
      <c r="BJ12705" s="201"/>
    </row>
    <row r="12706" spans="62:62" x14ac:dyDescent="0.2">
      <c r="BJ12706" s="201"/>
    </row>
    <row r="12707" spans="62:62" x14ac:dyDescent="0.2">
      <c r="BJ12707" s="201"/>
    </row>
    <row r="12708" spans="62:62" x14ac:dyDescent="0.2">
      <c r="BJ12708" s="201"/>
    </row>
    <row r="12709" spans="62:62" x14ac:dyDescent="0.2">
      <c r="BJ12709" s="201"/>
    </row>
    <row r="12710" spans="62:62" x14ac:dyDescent="0.2">
      <c r="BJ12710" s="201"/>
    </row>
    <row r="12711" spans="62:62" x14ac:dyDescent="0.2">
      <c r="BJ12711" s="201"/>
    </row>
    <row r="12712" spans="62:62" x14ac:dyDescent="0.2">
      <c r="BJ12712" s="201"/>
    </row>
    <row r="12713" spans="62:62" x14ac:dyDescent="0.2">
      <c r="BJ12713" s="201"/>
    </row>
    <row r="12714" spans="62:62" x14ac:dyDescent="0.2">
      <c r="BJ12714" s="201"/>
    </row>
    <row r="12715" spans="62:62" x14ac:dyDescent="0.2">
      <c r="BJ12715" s="201"/>
    </row>
    <row r="12716" spans="62:62" x14ac:dyDescent="0.2">
      <c r="BJ12716" s="201"/>
    </row>
    <row r="12717" spans="62:62" x14ac:dyDescent="0.2">
      <c r="BJ12717" s="201"/>
    </row>
    <row r="12718" spans="62:62" x14ac:dyDescent="0.2">
      <c r="BJ12718" s="201"/>
    </row>
    <row r="12719" spans="62:62" x14ac:dyDescent="0.2">
      <c r="BJ12719" s="201"/>
    </row>
    <row r="12720" spans="62:62" x14ac:dyDescent="0.2">
      <c r="BJ12720" s="201"/>
    </row>
    <row r="12721" spans="62:62" x14ac:dyDescent="0.2">
      <c r="BJ12721" s="201"/>
    </row>
    <row r="12722" spans="62:62" x14ac:dyDescent="0.2">
      <c r="BJ12722" s="201"/>
    </row>
    <row r="12723" spans="62:62" x14ac:dyDescent="0.2">
      <c r="BJ12723" s="201"/>
    </row>
    <row r="12724" spans="62:62" x14ac:dyDescent="0.2">
      <c r="BJ12724" s="201"/>
    </row>
    <row r="12725" spans="62:62" x14ac:dyDescent="0.2">
      <c r="BJ12725" s="201"/>
    </row>
    <row r="12726" spans="62:62" x14ac:dyDescent="0.2">
      <c r="BJ12726" s="201"/>
    </row>
    <row r="12727" spans="62:62" x14ac:dyDescent="0.2">
      <c r="BJ12727" s="201"/>
    </row>
    <row r="12728" spans="62:62" x14ac:dyDescent="0.2">
      <c r="BJ12728" s="201"/>
    </row>
    <row r="12729" spans="62:62" x14ac:dyDescent="0.2">
      <c r="BJ12729" s="201"/>
    </row>
    <row r="12730" spans="62:62" x14ac:dyDescent="0.2">
      <c r="BJ12730" s="201"/>
    </row>
    <row r="12731" spans="62:62" x14ac:dyDescent="0.2">
      <c r="BJ12731" s="201"/>
    </row>
    <row r="12732" spans="62:62" x14ac:dyDescent="0.2">
      <c r="BJ12732" s="201"/>
    </row>
    <row r="12733" spans="62:62" x14ac:dyDescent="0.2">
      <c r="BJ12733" s="201"/>
    </row>
    <row r="12734" spans="62:62" x14ac:dyDescent="0.2">
      <c r="BJ12734" s="201"/>
    </row>
    <row r="12735" spans="62:62" x14ac:dyDescent="0.2">
      <c r="BJ12735" s="201"/>
    </row>
    <row r="12736" spans="62:62" x14ac:dyDescent="0.2">
      <c r="BJ12736" s="201"/>
    </row>
    <row r="12737" spans="62:62" x14ac:dyDescent="0.2">
      <c r="BJ12737" s="201"/>
    </row>
    <row r="12738" spans="62:62" x14ac:dyDescent="0.2">
      <c r="BJ12738" s="201"/>
    </row>
    <row r="12739" spans="62:62" x14ac:dyDescent="0.2">
      <c r="BJ12739" s="201"/>
    </row>
    <row r="12740" spans="62:62" x14ac:dyDescent="0.2">
      <c r="BJ12740" s="201"/>
    </row>
    <row r="12741" spans="62:62" x14ac:dyDescent="0.2">
      <c r="BJ12741" s="201"/>
    </row>
    <row r="12742" spans="62:62" x14ac:dyDescent="0.2">
      <c r="BJ12742" s="201"/>
    </row>
    <row r="12743" spans="62:62" x14ac:dyDescent="0.2">
      <c r="BJ12743" s="201"/>
    </row>
    <row r="12744" spans="62:62" x14ac:dyDescent="0.2">
      <c r="BJ12744" s="201"/>
    </row>
    <row r="12745" spans="62:62" x14ac:dyDescent="0.2">
      <c r="BJ12745" s="201"/>
    </row>
    <row r="12746" spans="62:62" x14ac:dyDescent="0.2">
      <c r="BJ12746" s="201"/>
    </row>
    <row r="12747" spans="62:62" x14ac:dyDescent="0.2">
      <c r="BJ12747" s="201"/>
    </row>
    <row r="12748" spans="62:62" x14ac:dyDescent="0.2">
      <c r="BJ12748" s="201"/>
    </row>
    <row r="12749" spans="62:62" x14ac:dyDescent="0.2">
      <c r="BJ12749" s="201"/>
    </row>
    <row r="12750" spans="62:62" x14ac:dyDescent="0.2">
      <c r="BJ12750" s="201"/>
    </row>
    <row r="12751" spans="62:62" x14ac:dyDescent="0.2">
      <c r="BJ12751" s="201"/>
    </row>
    <row r="12752" spans="62:62" x14ac:dyDescent="0.2">
      <c r="BJ12752" s="201"/>
    </row>
    <row r="12753" spans="62:62" x14ac:dyDescent="0.2">
      <c r="BJ12753" s="201"/>
    </row>
    <row r="12754" spans="62:62" x14ac:dyDescent="0.2">
      <c r="BJ12754" s="201"/>
    </row>
    <row r="12755" spans="62:62" x14ac:dyDescent="0.2">
      <c r="BJ12755" s="201"/>
    </row>
    <row r="12756" spans="62:62" x14ac:dyDescent="0.2">
      <c r="BJ12756" s="201"/>
    </row>
    <row r="12757" spans="62:62" x14ac:dyDescent="0.2">
      <c r="BJ12757" s="201"/>
    </row>
    <row r="12758" spans="62:62" x14ac:dyDescent="0.2">
      <c r="BJ12758" s="201"/>
    </row>
    <row r="12759" spans="62:62" x14ac:dyDescent="0.2">
      <c r="BJ12759" s="201"/>
    </row>
    <row r="12760" spans="62:62" x14ac:dyDescent="0.2">
      <c r="BJ12760" s="201"/>
    </row>
    <row r="12761" spans="62:62" x14ac:dyDescent="0.2">
      <c r="BJ12761" s="201"/>
    </row>
    <row r="12762" spans="62:62" x14ac:dyDescent="0.2">
      <c r="BJ12762" s="201"/>
    </row>
    <row r="12763" spans="62:62" x14ac:dyDescent="0.2">
      <c r="BJ12763" s="201"/>
    </row>
    <row r="12764" spans="62:62" x14ac:dyDescent="0.2">
      <c r="BJ12764" s="201"/>
    </row>
    <row r="12765" spans="62:62" x14ac:dyDescent="0.2">
      <c r="BJ12765" s="201"/>
    </row>
    <row r="12766" spans="62:62" x14ac:dyDescent="0.2">
      <c r="BJ12766" s="201"/>
    </row>
    <row r="12767" spans="62:62" x14ac:dyDescent="0.2">
      <c r="BJ12767" s="201"/>
    </row>
    <row r="12768" spans="62:62" x14ac:dyDescent="0.2">
      <c r="BJ12768" s="201"/>
    </row>
    <row r="12769" spans="62:62" x14ac:dyDescent="0.2">
      <c r="BJ12769" s="201"/>
    </row>
    <row r="12770" spans="62:62" x14ac:dyDescent="0.2">
      <c r="BJ12770" s="201"/>
    </row>
    <row r="12771" spans="62:62" x14ac:dyDescent="0.2">
      <c r="BJ12771" s="201"/>
    </row>
    <row r="12772" spans="62:62" x14ac:dyDescent="0.2">
      <c r="BJ12772" s="201"/>
    </row>
    <row r="12773" spans="62:62" x14ac:dyDescent="0.2">
      <c r="BJ12773" s="201"/>
    </row>
    <row r="12774" spans="62:62" x14ac:dyDescent="0.2">
      <c r="BJ12774" s="201"/>
    </row>
    <row r="12775" spans="62:62" x14ac:dyDescent="0.2">
      <c r="BJ12775" s="201"/>
    </row>
    <row r="12776" spans="62:62" x14ac:dyDescent="0.2">
      <c r="BJ12776" s="201"/>
    </row>
    <row r="12777" spans="62:62" x14ac:dyDescent="0.2">
      <c r="BJ12777" s="201"/>
    </row>
    <row r="12778" spans="62:62" x14ac:dyDescent="0.2">
      <c r="BJ12778" s="201"/>
    </row>
    <row r="12779" spans="62:62" x14ac:dyDescent="0.2">
      <c r="BJ12779" s="201"/>
    </row>
    <row r="12780" spans="62:62" x14ac:dyDescent="0.2">
      <c r="BJ12780" s="201"/>
    </row>
    <row r="12781" spans="62:62" x14ac:dyDescent="0.2">
      <c r="BJ12781" s="201"/>
    </row>
    <row r="12782" spans="62:62" x14ac:dyDescent="0.2">
      <c r="BJ12782" s="201"/>
    </row>
    <row r="12783" spans="62:62" x14ac:dyDescent="0.2">
      <c r="BJ12783" s="201"/>
    </row>
    <row r="12784" spans="62:62" x14ac:dyDescent="0.2">
      <c r="BJ12784" s="201"/>
    </row>
    <row r="12785" spans="62:62" x14ac:dyDescent="0.2">
      <c r="BJ12785" s="201"/>
    </row>
    <row r="12786" spans="62:62" x14ac:dyDescent="0.2">
      <c r="BJ12786" s="201"/>
    </row>
    <row r="12787" spans="62:62" x14ac:dyDescent="0.2">
      <c r="BJ12787" s="201"/>
    </row>
    <row r="12788" spans="62:62" x14ac:dyDescent="0.2">
      <c r="BJ12788" s="201"/>
    </row>
    <row r="12789" spans="62:62" x14ac:dyDescent="0.2">
      <c r="BJ12789" s="201"/>
    </row>
    <row r="12790" spans="62:62" x14ac:dyDescent="0.2">
      <c r="BJ12790" s="201"/>
    </row>
    <row r="12791" spans="62:62" x14ac:dyDescent="0.2">
      <c r="BJ12791" s="201"/>
    </row>
    <row r="12792" spans="62:62" x14ac:dyDescent="0.2">
      <c r="BJ12792" s="201"/>
    </row>
    <row r="12793" spans="62:62" x14ac:dyDescent="0.2">
      <c r="BJ12793" s="201"/>
    </row>
    <row r="12794" spans="62:62" x14ac:dyDescent="0.2">
      <c r="BJ12794" s="201"/>
    </row>
    <row r="12795" spans="62:62" x14ac:dyDescent="0.2">
      <c r="BJ12795" s="201"/>
    </row>
    <row r="12796" spans="62:62" x14ac:dyDescent="0.2">
      <c r="BJ12796" s="201"/>
    </row>
    <row r="12797" spans="62:62" x14ac:dyDescent="0.2">
      <c r="BJ12797" s="201"/>
    </row>
    <row r="12798" spans="62:62" x14ac:dyDescent="0.2">
      <c r="BJ12798" s="201"/>
    </row>
    <row r="12799" spans="62:62" x14ac:dyDescent="0.2">
      <c r="BJ12799" s="201"/>
    </row>
    <row r="12800" spans="62:62" x14ac:dyDescent="0.2">
      <c r="BJ12800" s="201"/>
    </row>
    <row r="12801" spans="62:62" x14ac:dyDescent="0.2">
      <c r="BJ12801" s="201"/>
    </row>
    <row r="12802" spans="62:62" x14ac:dyDescent="0.2">
      <c r="BJ12802" s="201"/>
    </row>
    <row r="12803" spans="62:62" x14ac:dyDescent="0.2">
      <c r="BJ12803" s="201"/>
    </row>
    <row r="12804" spans="62:62" x14ac:dyDescent="0.2">
      <c r="BJ12804" s="201"/>
    </row>
    <row r="12805" spans="62:62" x14ac:dyDescent="0.2">
      <c r="BJ12805" s="201"/>
    </row>
    <row r="12806" spans="62:62" x14ac:dyDescent="0.2">
      <c r="BJ12806" s="201"/>
    </row>
    <row r="12807" spans="62:62" x14ac:dyDescent="0.2">
      <c r="BJ12807" s="201"/>
    </row>
    <row r="12808" spans="62:62" x14ac:dyDescent="0.2">
      <c r="BJ12808" s="201"/>
    </row>
    <row r="12809" spans="62:62" x14ac:dyDescent="0.2">
      <c r="BJ12809" s="201"/>
    </row>
    <row r="12810" spans="62:62" x14ac:dyDescent="0.2">
      <c r="BJ12810" s="201"/>
    </row>
    <row r="12811" spans="62:62" x14ac:dyDescent="0.2">
      <c r="BJ12811" s="201"/>
    </row>
    <row r="12812" spans="62:62" x14ac:dyDescent="0.2">
      <c r="BJ12812" s="201"/>
    </row>
    <row r="12813" spans="62:62" x14ac:dyDescent="0.2">
      <c r="BJ12813" s="201"/>
    </row>
    <row r="12814" spans="62:62" x14ac:dyDescent="0.2">
      <c r="BJ12814" s="201"/>
    </row>
    <row r="12815" spans="62:62" x14ac:dyDescent="0.2">
      <c r="BJ12815" s="201"/>
    </row>
    <row r="12816" spans="62:62" x14ac:dyDescent="0.2">
      <c r="BJ12816" s="201"/>
    </row>
    <row r="12817" spans="62:62" x14ac:dyDescent="0.2">
      <c r="BJ12817" s="201"/>
    </row>
    <row r="12818" spans="62:62" x14ac:dyDescent="0.2">
      <c r="BJ12818" s="201"/>
    </row>
    <row r="12819" spans="62:62" x14ac:dyDescent="0.2">
      <c r="BJ12819" s="201"/>
    </row>
    <row r="12820" spans="62:62" x14ac:dyDescent="0.2">
      <c r="BJ12820" s="201"/>
    </row>
    <row r="12821" spans="62:62" x14ac:dyDescent="0.2">
      <c r="BJ12821" s="201"/>
    </row>
    <row r="12822" spans="62:62" x14ac:dyDescent="0.2">
      <c r="BJ12822" s="201"/>
    </row>
    <row r="12823" spans="62:62" x14ac:dyDescent="0.2">
      <c r="BJ12823" s="201"/>
    </row>
    <row r="12824" spans="62:62" x14ac:dyDescent="0.2">
      <c r="BJ12824" s="201"/>
    </row>
    <row r="12825" spans="62:62" x14ac:dyDescent="0.2">
      <c r="BJ12825" s="201"/>
    </row>
    <row r="12826" spans="62:62" x14ac:dyDescent="0.2">
      <c r="BJ12826" s="201"/>
    </row>
    <row r="12827" spans="62:62" x14ac:dyDescent="0.2">
      <c r="BJ12827" s="201"/>
    </row>
    <row r="12828" spans="62:62" x14ac:dyDescent="0.2">
      <c r="BJ12828" s="201"/>
    </row>
    <row r="12829" spans="62:62" x14ac:dyDescent="0.2">
      <c r="BJ12829" s="201"/>
    </row>
    <row r="12830" spans="62:62" x14ac:dyDescent="0.2">
      <c r="BJ12830" s="201"/>
    </row>
    <row r="12831" spans="62:62" x14ac:dyDescent="0.2">
      <c r="BJ12831" s="201"/>
    </row>
    <row r="12832" spans="62:62" x14ac:dyDescent="0.2">
      <c r="BJ12832" s="201"/>
    </row>
    <row r="12833" spans="62:62" x14ac:dyDescent="0.2">
      <c r="BJ12833" s="201"/>
    </row>
    <row r="12834" spans="62:62" x14ac:dyDescent="0.2">
      <c r="BJ12834" s="201"/>
    </row>
    <row r="12835" spans="62:62" x14ac:dyDescent="0.2">
      <c r="BJ12835" s="201"/>
    </row>
    <row r="12836" spans="62:62" x14ac:dyDescent="0.2">
      <c r="BJ12836" s="201"/>
    </row>
    <row r="12837" spans="62:62" x14ac:dyDescent="0.2">
      <c r="BJ12837" s="201"/>
    </row>
    <row r="12838" spans="62:62" x14ac:dyDescent="0.2">
      <c r="BJ12838" s="201"/>
    </row>
    <row r="12839" spans="62:62" x14ac:dyDescent="0.2">
      <c r="BJ12839" s="201"/>
    </row>
    <row r="12840" spans="62:62" x14ac:dyDescent="0.2">
      <c r="BJ12840" s="201"/>
    </row>
    <row r="12841" spans="62:62" x14ac:dyDescent="0.2">
      <c r="BJ12841" s="201"/>
    </row>
    <row r="12842" spans="62:62" x14ac:dyDescent="0.2">
      <c r="BJ12842" s="201"/>
    </row>
    <row r="12843" spans="62:62" x14ac:dyDescent="0.2">
      <c r="BJ12843" s="201"/>
    </row>
    <row r="12844" spans="62:62" x14ac:dyDescent="0.2">
      <c r="BJ12844" s="201"/>
    </row>
    <row r="12845" spans="62:62" x14ac:dyDescent="0.2">
      <c r="BJ12845" s="201"/>
    </row>
    <row r="12846" spans="62:62" x14ac:dyDescent="0.2">
      <c r="BJ12846" s="201"/>
    </row>
    <row r="12847" spans="62:62" x14ac:dyDescent="0.2">
      <c r="BJ12847" s="201"/>
    </row>
    <row r="12848" spans="62:62" x14ac:dyDescent="0.2">
      <c r="BJ12848" s="201"/>
    </row>
    <row r="12849" spans="62:62" x14ac:dyDescent="0.2">
      <c r="BJ12849" s="201"/>
    </row>
    <row r="12850" spans="62:62" x14ac:dyDescent="0.2">
      <c r="BJ12850" s="201"/>
    </row>
    <row r="12851" spans="62:62" x14ac:dyDescent="0.2">
      <c r="BJ12851" s="201"/>
    </row>
    <row r="12852" spans="62:62" x14ac:dyDescent="0.2">
      <c r="BJ12852" s="201"/>
    </row>
    <row r="12853" spans="62:62" x14ac:dyDescent="0.2">
      <c r="BJ12853" s="201"/>
    </row>
    <row r="12854" spans="62:62" x14ac:dyDescent="0.2">
      <c r="BJ12854" s="201"/>
    </row>
    <row r="12855" spans="62:62" x14ac:dyDescent="0.2">
      <c r="BJ12855" s="201"/>
    </row>
    <row r="12856" spans="62:62" x14ac:dyDescent="0.2">
      <c r="BJ12856" s="201"/>
    </row>
    <row r="12857" spans="62:62" x14ac:dyDescent="0.2">
      <c r="BJ12857" s="201"/>
    </row>
    <row r="12858" spans="62:62" x14ac:dyDescent="0.2">
      <c r="BJ12858" s="201"/>
    </row>
    <row r="12859" spans="62:62" x14ac:dyDescent="0.2">
      <c r="BJ12859" s="201"/>
    </row>
    <row r="12860" spans="62:62" x14ac:dyDescent="0.2">
      <c r="BJ12860" s="201"/>
    </row>
    <row r="12861" spans="62:62" x14ac:dyDescent="0.2">
      <c r="BJ12861" s="201"/>
    </row>
    <row r="12862" spans="62:62" x14ac:dyDescent="0.2">
      <c r="BJ12862" s="201"/>
    </row>
    <row r="12863" spans="62:62" x14ac:dyDescent="0.2">
      <c r="BJ12863" s="201"/>
    </row>
    <row r="12864" spans="62:62" x14ac:dyDescent="0.2">
      <c r="BJ12864" s="201"/>
    </row>
    <row r="12865" spans="62:62" x14ac:dyDescent="0.2">
      <c r="BJ12865" s="201"/>
    </row>
    <row r="12866" spans="62:62" x14ac:dyDescent="0.2">
      <c r="BJ12866" s="201"/>
    </row>
    <row r="12867" spans="62:62" x14ac:dyDescent="0.2">
      <c r="BJ12867" s="201"/>
    </row>
    <row r="12868" spans="62:62" x14ac:dyDescent="0.2">
      <c r="BJ12868" s="201"/>
    </row>
    <row r="12869" spans="62:62" x14ac:dyDescent="0.2">
      <c r="BJ12869" s="201"/>
    </row>
    <row r="12870" spans="62:62" x14ac:dyDescent="0.2">
      <c r="BJ12870" s="201"/>
    </row>
    <row r="12871" spans="62:62" x14ac:dyDescent="0.2">
      <c r="BJ12871" s="201"/>
    </row>
    <row r="12872" spans="62:62" x14ac:dyDescent="0.2">
      <c r="BJ12872" s="201"/>
    </row>
    <row r="12873" spans="62:62" x14ac:dyDescent="0.2">
      <c r="BJ12873" s="201"/>
    </row>
    <row r="12874" spans="62:62" x14ac:dyDescent="0.2">
      <c r="BJ12874" s="201"/>
    </row>
    <row r="12875" spans="62:62" x14ac:dyDescent="0.2">
      <c r="BJ12875" s="201"/>
    </row>
    <row r="12876" spans="62:62" x14ac:dyDescent="0.2">
      <c r="BJ12876" s="201"/>
    </row>
    <row r="12877" spans="62:62" x14ac:dyDescent="0.2">
      <c r="BJ12877" s="201"/>
    </row>
    <row r="12878" spans="62:62" x14ac:dyDescent="0.2">
      <c r="BJ12878" s="201"/>
    </row>
    <row r="12879" spans="62:62" x14ac:dyDescent="0.2">
      <c r="BJ12879" s="201"/>
    </row>
    <row r="12880" spans="62:62" x14ac:dyDescent="0.2">
      <c r="BJ12880" s="201"/>
    </row>
    <row r="12881" spans="62:62" x14ac:dyDescent="0.2">
      <c r="BJ12881" s="201"/>
    </row>
    <row r="12882" spans="62:62" x14ac:dyDescent="0.2">
      <c r="BJ12882" s="201"/>
    </row>
    <row r="12883" spans="62:62" x14ac:dyDescent="0.2">
      <c r="BJ12883" s="201"/>
    </row>
    <row r="12884" spans="62:62" x14ac:dyDescent="0.2">
      <c r="BJ12884" s="201"/>
    </row>
    <row r="12885" spans="62:62" x14ac:dyDescent="0.2">
      <c r="BJ12885" s="201"/>
    </row>
    <row r="12886" spans="62:62" x14ac:dyDescent="0.2">
      <c r="BJ12886" s="201"/>
    </row>
    <row r="12887" spans="62:62" x14ac:dyDescent="0.2">
      <c r="BJ12887" s="201"/>
    </row>
    <row r="12888" spans="62:62" x14ac:dyDescent="0.2">
      <c r="BJ12888" s="201"/>
    </row>
    <row r="12889" spans="62:62" x14ac:dyDescent="0.2">
      <c r="BJ12889" s="201"/>
    </row>
    <row r="12890" spans="62:62" x14ac:dyDescent="0.2">
      <c r="BJ12890" s="201"/>
    </row>
    <row r="12891" spans="62:62" x14ac:dyDescent="0.2">
      <c r="BJ12891" s="201"/>
    </row>
    <row r="12892" spans="62:62" x14ac:dyDescent="0.2">
      <c r="BJ12892" s="201"/>
    </row>
    <row r="12893" spans="62:62" x14ac:dyDescent="0.2">
      <c r="BJ12893" s="201"/>
    </row>
    <row r="12894" spans="62:62" x14ac:dyDescent="0.2">
      <c r="BJ12894" s="201"/>
    </row>
    <row r="12895" spans="62:62" x14ac:dyDescent="0.2">
      <c r="BJ12895" s="201"/>
    </row>
    <row r="12896" spans="62:62" x14ac:dyDescent="0.2">
      <c r="BJ12896" s="201"/>
    </row>
    <row r="12897" spans="62:62" x14ac:dyDescent="0.2">
      <c r="BJ12897" s="201"/>
    </row>
    <row r="12898" spans="62:62" x14ac:dyDescent="0.2">
      <c r="BJ12898" s="201"/>
    </row>
    <row r="12899" spans="62:62" x14ac:dyDescent="0.2">
      <c r="BJ12899" s="201"/>
    </row>
    <row r="12900" spans="62:62" x14ac:dyDescent="0.2">
      <c r="BJ12900" s="201"/>
    </row>
    <row r="12901" spans="62:62" x14ac:dyDescent="0.2">
      <c r="BJ12901" s="201"/>
    </row>
    <row r="12902" spans="62:62" x14ac:dyDescent="0.2">
      <c r="BJ12902" s="201"/>
    </row>
    <row r="12903" spans="62:62" x14ac:dyDescent="0.2">
      <c r="BJ12903" s="201"/>
    </row>
    <row r="12904" spans="62:62" x14ac:dyDescent="0.2">
      <c r="BJ12904" s="201"/>
    </row>
    <row r="12905" spans="62:62" x14ac:dyDescent="0.2">
      <c r="BJ12905" s="201"/>
    </row>
    <row r="12906" spans="62:62" x14ac:dyDescent="0.2">
      <c r="BJ12906" s="201"/>
    </row>
    <row r="12907" spans="62:62" x14ac:dyDescent="0.2">
      <c r="BJ12907" s="201"/>
    </row>
    <row r="12908" spans="62:62" x14ac:dyDescent="0.2">
      <c r="BJ12908" s="201"/>
    </row>
    <row r="12909" spans="62:62" x14ac:dyDescent="0.2">
      <c r="BJ12909" s="201"/>
    </row>
    <row r="12910" spans="62:62" x14ac:dyDescent="0.2">
      <c r="BJ12910" s="201"/>
    </row>
    <row r="12911" spans="62:62" x14ac:dyDescent="0.2">
      <c r="BJ12911" s="201"/>
    </row>
    <row r="12912" spans="62:62" x14ac:dyDescent="0.2">
      <c r="BJ12912" s="201"/>
    </row>
    <row r="12913" spans="62:62" x14ac:dyDescent="0.2">
      <c r="BJ12913" s="201"/>
    </row>
    <row r="12914" spans="62:62" x14ac:dyDescent="0.2">
      <c r="BJ12914" s="201"/>
    </row>
    <row r="12915" spans="62:62" x14ac:dyDescent="0.2">
      <c r="BJ12915" s="201"/>
    </row>
    <row r="12916" spans="62:62" x14ac:dyDescent="0.2">
      <c r="BJ12916" s="201"/>
    </row>
    <row r="12917" spans="62:62" x14ac:dyDescent="0.2">
      <c r="BJ12917" s="201"/>
    </row>
    <row r="12918" spans="62:62" x14ac:dyDescent="0.2">
      <c r="BJ12918" s="201"/>
    </row>
    <row r="12919" spans="62:62" x14ac:dyDescent="0.2">
      <c r="BJ12919" s="201"/>
    </row>
    <row r="12920" spans="62:62" x14ac:dyDescent="0.2">
      <c r="BJ12920" s="201"/>
    </row>
    <row r="12921" spans="62:62" x14ac:dyDescent="0.2">
      <c r="BJ12921" s="201"/>
    </row>
    <row r="12922" spans="62:62" x14ac:dyDescent="0.2">
      <c r="BJ12922" s="201"/>
    </row>
    <row r="12923" spans="62:62" x14ac:dyDescent="0.2">
      <c r="BJ12923" s="201"/>
    </row>
    <row r="12924" spans="62:62" x14ac:dyDescent="0.2">
      <c r="BJ12924" s="201"/>
    </row>
    <row r="12925" spans="62:62" x14ac:dyDescent="0.2">
      <c r="BJ12925" s="201"/>
    </row>
    <row r="12926" spans="62:62" x14ac:dyDescent="0.2">
      <c r="BJ12926" s="201"/>
    </row>
    <row r="12927" spans="62:62" x14ac:dyDescent="0.2">
      <c r="BJ12927" s="201"/>
    </row>
    <row r="12928" spans="62:62" x14ac:dyDescent="0.2">
      <c r="BJ12928" s="201"/>
    </row>
    <row r="12929" spans="62:62" x14ac:dyDescent="0.2">
      <c r="BJ12929" s="201"/>
    </row>
    <row r="12930" spans="62:62" x14ac:dyDescent="0.2">
      <c r="BJ12930" s="201"/>
    </row>
    <row r="12931" spans="62:62" x14ac:dyDescent="0.2">
      <c r="BJ12931" s="201"/>
    </row>
    <row r="12932" spans="62:62" x14ac:dyDescent="0.2">
      <c r="BJ12932" s="201"/>
    </row>
    <row r="12933" spans="62:62" x14ac:dyDescent="0.2">
      <c r="BJ12933" s="201"/>
    </row>
    <row r="12934" spans="62:62" x14ac:dyDescent="0.2">
      <c r="BJ12934" s="201"/>
    </row>
    <row r="12935" spans="62:62" x14ac:dyDescent="0.2">
      <c r="BJ12935" s="201"/>
    </row>
    <row r="12936" spans="62:62" x14ac:dyDescent="0.2">
      <c r="BJ12936" s="201"/>
    </row>
    <row r="12937" spans="62:62" x14ac:dyDescent="0.2">
      <c r="BJ12937" s="201"/>
    </row>
    <row r="12938" spans="62:62" x14ac:dyDescent="0.2">
      <c r="BJ12938" s="201"/>
    </row>
    <row r="12939" spans="62:62" x14ac:dyDescent="0.2">
      <c r="BJ12939" s="201"/>
    </row>
    <row r="12940" spans="62:62" x14ac:dyDescent="0.2">
      <c r="BJ12940" s="201"/>
    </row>
    <row r="12941" spans="62:62" x14ac:dyDescent="0.2">
      <c r="BJ12941" s="201"/>
    </row>
    <row r="12942" spans="62:62" x14ac:dyDescent="0.2">
      <c r="BJ12942" s="201"/>
    </row>
    <row r="12943" spans="62:62" x14ac:dyDescent="0.2">
      <c r="BJ12943" s="201"/>
    </row>
    <row r="12944" spans="62:62" x14ac:dyDescent="0.2">
      <c r="BJ12944" s="201"/>
    </row>
    <row r="12945" spans="62:62" x14ac:dyDescent="0.2">
      <c r="BJ12945" s="201"/>
    </row>
    <row r="12946" spans="62:62" x14ac:dyDescent="0.2">
      <c r="BJ12946" s="201"/>
    </row>
    <row r="12947" spans="62:62" x14ac:dyDescent="0.2">
      <c r="BJ12947" s="201"/>
    </row>
    <row r="12948" spans="62:62" x14ac:dyDescent="0.2">
      <c r="BJ12948" s="201"/>
    </row>
    <row r="12949" spans="62:62" x14ac:dyDescent="0.2">
      <c r="BJ12949" s="201"/>
    </row>
    <row r="12950" spans="62:62" x14ac:dyDescent="0.2">
      <c r="BJ12950" s="201"/>
    </row>
    <row r="12951" spans="62:62" x14ac:dyDescent="0.2">
      <c r="BJ12951" s="201"/>
    </row>
    <row r="12952" spans="62:62" x14ac:dyDescent="0.2">
      <c r="BJ12952" s="201"/>
    </row>
    <row r="12953" spans="62:62" x14ac:dyDescent="0.2">
      <c r="BJ12953" s="201"/>
    </row>
    <row r="12954" spans="62:62" x14ac:dyDescent="0.2">
      <c r="BJ12954" s="201"/>
    </row>
    <row r="12955" spans="62:62" x14ac:dyDescent="0.2">
      <c r="BJ12955" s="201"/>
    </row>
    <row r="12956" spans="62:62" x14ac:dyDescent="0.2">
      <c r="BJ12956" s="201"/>
    </row>
    <row r="12957" spans="62:62" x14ac:dyDescent="0.2">
      <c r="BJ12957" s="201"/>
    </row>
    <row r="12958" spans="62:62" x14ac:dyDescent="0.2">
      <c r="BJ12958" s="201"/>
    </row>
    <row r="12959" spans="62:62" x14ac:dyDescent="0.2">
      <c r="BJ12959" s="201"/>
    </row>
    <row r="12960" spans="62:62" x14ac:dyDescent="0.2">
      <c r="BJ12960" s="201"/>
    </row>
    <row r="12961" spans="62:62" x14ac:dyDescent="0.2">
      <c r="BJ12961" s="201"/>
    </row>
    <row r="12962" spans="62:62" x14ac:dyDescent="0.2">
      <c r="BJ12962" s="201"/>
    </row>
    <row r="12963" spans="62:62" x14ac:dyDescent="0.2">
      <c r="BJ12963" s="201"/>
    </row>
    <row r="12964" spans="62:62" x14ac:dyDescent="0.2">
      <c r="BJ12964" s="201"/>
    </row>
    <row r="12965" spans="62:62" x14ac:dyDescent="0.2">
      <c r="BJ12965" s="201"/>
    </row>
    <row r="12966" spans="62:62" x14ac:dyDescent="0.2">
      <c r="BJ12966" s="201"/>
    </row>
    <row r="12967" spans="62:62" x14ac:dyDescent="0.2">
      <c r="BJ12967" s="201"/>
    </row>
    <row r="12968" spans="62:62" x14ac:dyDescent="0.2">
      <c r="BJ12968" s="201"/>
    </row>
    <row r="12969" spans="62:62" x14ac:dyDescent="0.2">
      <c r="BJ12969" s="201"/>
    </row>
    <row r="12970" spans="62:62" x14ac:dyDescent="0.2">
      <c r="BJ12970" s="201"/>
    </row>
    <row r="12971" spans="62:62" x14ac:dyDescent="0.2">
      <c r="BJ12971" s="201"/>
    </row>
    <row r="12972" spans="62:62" x14ac:dyDescent="0.2">
      <c r="BJ12972" s="201"/>
    </row>
    <row r="12973" spans="62:62" x14ac:dyDescent="0.2">
      <c r="BJ12973" s="201"/>
    </row>
    <row r="12974" spans="62:62" x14ac:dyDescent="0.2">
      <c r="BJ12974" s="201"/>
    </row>
    <row r="12975" spans="62:62" x14ac:dyDescent="0.2">
      <c r="BJ12975" s="201"/>
    </row>
    <row r="12976" spans="62:62" x14ac:dyDescent="0.2">
      <c r="BJ12976" s="201"/>
    </row>
    <row r="12977" spans="62:62" x14ac:dyDescent="0.2">
      <c r="BJ12977" s="201"/>
    </row>
    <row r="12978" spans="62:62" x14ac:dyDescent="0.2">
      <c r="BJ12978" s="201"/>
    </row>
    <row r="12979" spans="62:62" x14ac:dyDescent="0.2">
      <c r="BJ12979" s="201"/>
    </row>
    <row r="12980" spans="62:62" x14ac:dyDescent="0.2">
      <c r="BJ12980" s="201"/>
    </row>
    <row r="12981" spans="62:62" x14ac:dyDescent="0.2">
      <c r="BJ12981" s="201"/>
    </row>
    <row r="12982" spans="62:62" x14ac:dyDescent="0.2">
      <c r="BJ12982" s="201"/>
    </row>
    <row r="12983" spans="62:62" x14ac:dyDescent="0.2">
      <c r="BJ12983" s="201"/>
    </row>
    <row r="12984" spans="62:62" x14ac:dyDescent="0.2">
      <c r="BJ12984" s="201"/>
    </row>
    <row r="12985" spans="62:62" x14ac:dyDescent="0.2">
      <c r="BJ12985" s="201"/>
    </row>
    <row r="12986" spans="62:62" x14ac:dyDescent="0.2">
      <c r="BJ12986" s="201"/>
    </row>
    <row r="12987" spans="62:62" x14ac:dyDescent="0.2">
      <c r="BJ12987" s="201"/>
    </row>
    <row r="12988" spans="62:62" x14ac:dyDescent="0.2">
      <c r="BJ12988" s="201"/>
    </row>
    <row r="12989" spans="62:62" x14ac:dyDescent="0.2">
      <c r="BJ12989" s="201"/>
    </row>
    <row r="12990" spans="62:62" x14ac:dyDescent="0.2">
      <c r="BJ12990" s="201"/>
    </row>
    <row r="12991" spans="62:62" x14ac:dyDescent="0.2">
      <c r="BJ12991" s="201"/>
    </row>
    <row r="12992" spans="62:62" x14ac:dyDescent="0.2">
      <c r="BJ12992" s="201"/>
    </row>
    <row r="12993" spans="62:62" x14ac:dyDescent="0.2">
      <c r="BJ12993" s="201"/>
    </row>
    <row r="12994" spans="62:62" x14ac:dyDescent="0.2">
      <c r="BJ12994" s="201"/>
    </row>
    <row r="12995" spans="62:62" x14ac:dyDescent="0.2">
      <c r="BJ12995" s="201"/>
    </row>
    <row r="12996" spans="62:62" x14ac:dyDescent="0.2">
      <c r="BJ12996" s="201"/>
    </row>
    <row r="12997" spans="62:62" x14ac:dyDescent="0.2">
      <c r="BJ12997" s="201"/>
    </row>
    <row r="12998" spans="62:62" x14ac:dyDescent="0.2">
      <c r="BJ12998" s="201"/>
    </row>
    <row r="12999" spans="62:62" x14ac:dyDescent="0.2">
      <c r="BJ12999" s="201"/>
    </row>
    <row r="13000" spans="62:62" x14ac:dyDescent="0.2">
      <c r="BJ13000" s="201"/>
    </row>
    <row r="13001" spans="62:62" x14ac:dyDescent="0.2">
      <c r="BJ13001" s="201"/>
    </row>
    <row r="13002" spans="62:62" x14ac:dyDescent="0.2">
      <c r="BJ13002" s="201"/>
    </row>
    <row r="13003" spans="62:62" x14ac:dyDescent="0.2">
      <c r="BJ13003" s="201"/>
    </row>
    <row r="13004" spans="62:62" x14ac:dyDescent="0.2">
      <c r="BJ13004" s="201"/>
    </row>
    <row r="13005" spans="62:62" x14ac:dyDescent="0.2">
      <c r="BJ13005" s="201"/>
    </row>
    <row r="13006" spans="62:62" x14ac:dyDescent="0.2">
      <c r="BJ13006" s="201"/>
    </row>
    <row r="13007" spans="62:62" x14ac:dyDescent="0.2">
      <c r="BJ13007" s="201"/>
    </row>
    <row r="13008" spans="62:62" x14ac:dyDescent="0.2">
      <c r="BJ13008" s="201"/>
    </row>
    <row r="13009" spans="62:62" x14ac:dyDescent="0.2">
      <c r="BJ13009" s="201"/>
    </row>
    <row r="13010" spans="62:62" x14ac:dyDescent="0.2">
      <c r="BJ13010" s="201"/>
    </row>
    <row r="13011" spans="62:62" x14ac:dyDescent="0.2">
      <c r="BJ13011" s="201"/>
    </row>
    <row r="13012" spans="62:62" x14ac:dyDescent="0.2">
      <c r="BJ13012" s="201"/>
    </row>
    <row r="13013" spans="62:62" x14ac:dyDescent="0.2">
      <c r="BJ13013" s="201"/>
    </row>
    <row r="13014" spans="62:62" x14ac:dyDescent="0.2">
      <c r="BJ13014" s="201"/>
    </row>
    <row r="13015" spans="62:62" x14ac:dyDescent="0.2">
      <c r="BJ13015" s="201"/>
    </row>
    <row r="13016" spans="62:62" x14ac:dyDescent="0.2">
      <c r="BJ13016" s="201"/>
    </row>
    <row r="13017" spans="62:62" x14ac:dyDescent="0.2">
      <c r="BJ13017" s="201"/>
    </row>
    <row r="13018" spans="62:62" x14ac:dyDescent="0.2">
      <c r="BJ13018" s="201"/>
    </row>
    <row r="13019" spans="62:62" x14ac:dyDescent="0.2">
      <c r="BJ13019" s="201"/>
    </row>
    <row r="13020" spans="62:62" x14ac:dyDescent="0.2">
      <c r="BJ13020" s="201"/>
    </row>
    <row r="13021" spans="62:62" x14ac:dyDescent="0.2">
      <c r="BJ13021" s="201"/>
    </row>
    <row r="13022" spans="62:62" x14ac:dyDescent="0.2">
      <c r="BJ13022" s="201"/>
    </row>
    <row r="13023" spans="62:62" x14ac:dyDescent="0.2">
      <c r="BJ13023" s="201"/>
    </row>
    <row r="13024" spans="62:62" x14ac:dyDescent="0.2">
      <c r="BJ13024" s="201"/>
    </row>
    <row r="13025" spans="62:62" x14ac:dyDescent="0.2">
      <c r="BJ13025" s="201"/>
    </row>
    <row r="13026" spans="62:62" x14ac:dyDescent="0.2">
      <c r="BJ13026" s="201"/>
    </row>
    <row r="13027" spans="62:62" x14ac:dyDescent="0.2">
      <c r="BJ13027" s="201"/>
    </row>
    <row r="13028" spans="62:62" x14ac:dyDescent="0.2">
      <c r="BJ13028" s="201"/>
    </row>
    <row r="13029" spans="62:62" x14ac:dyDescent="0.2">
      <c r="BJ13029" s="201"/>
    </row>
    <row r="13030" spans="62:62" x14ac:dyDescent="0.2">
      <c r="BJ13030" s="201"/>
    </row>
    <row r="13031" spans="62:62" x14ac:dyDescent="0.2">
      <c r="BJ13031" s="201"/>
    </row>
    <row r="13032" spans="62:62" x14ac:dyDescent="0.2">
      <c r="BJ13032" s="201"/>
    </row>
    <row r="13033" spans="62:62" x14ac:dyDescent="0.2">
      <c r="BJ13033" s="201"/>
    </row>
    <row r="13034" spans="62:62" x14ac:dyDescent="0.2">
      <c r="BJ13034" s="201"/>
    </row>
    <row r="13035" spans="62:62" x14ac:dyDescent="0.2">
      <c r="BJ13035" s="201"/>
    </row>
    <row r="13036" spans="62:62" x14ac:dyDescent="0.2">
      <c r="BJ13036" s="201"/>
    </row>
    <row r="13037" spans="62:62" x14ac:dyDescent="0.2">
      <c r="BJ13037" s="201"/>
    </row>
    <row r="13038" spans="62:62" x14ac:dyDescent="0.2">
      <c r="BJ13038" s="201"/>
    </row>
    <row r="13039" spans="62:62" x14ac:dyDescent="0.2">
      <c r="BJ13039" s="201"/>
    </row>
    <row r="13040" spans="62:62" x14ac:dyDescent="0.2">
      <c r="BJ13040" s="201"/>
    </row>
    <row r="13041" spans="62:62" x14ac:dyDescent="0.2">
      <c r="BJ13041" s="201"/>
    </row>
    <row r="13042" spans="62:62" x14ac:dyDescent="0.2">
      <c r="BJ13042" s="201"/>
    </row>
    <row r="13043" spans="62:62" x14ac:dyDescent="0.2">
      <c r="BJ13043" s="201"/>
    </row>
    <row r="13044" spans="62:62" x14ac:dyDescent="0.2">
      <c r="BJ13044" s="201"/>
    </row>
    <row r="13045" spans="62:62" x14ac:dyDescent="0.2">
      <c r="BJ13045" s="201"/>
    </row>
    <row r="13046" spans="62:62" x14ac:dyDescent="0.2">
      <c r="BJ13046" s="201"/>
    </row>
    <row r="13047" spans="62:62" x14ac:dyDescent="0.2">
      <c r="BJ13047" s="201"/>
    </row>
    <row r="13048" spans="62:62" x14ac:dyDescent="0.2">
      <c r="BJ13048" s="201"/>
    </row>
    <row r="13049" spans="62:62" x14ac:dyDescent="0.2">
      <c r="BJ13049" s="201"/>
    </row>
    <row r="13050" spans="62:62" x14ac:dyDescent="0.2">
      <c r="BJ13050" s="201"/>
    </row>
    <row r="13051" spans="62:62" x14ac:dyDescent="0.2">
      <c r="BJ13051" s="201"/>
    </row>
    <row r="13052" spans="62:62" x14ac:dyDescent="0.2">
      <c r="BJ13052" s="201"/>
    </row>
    <row r="13053" spans="62:62" x14ac:dyDescent="0.2">
      <c r="BJ13053" s="201"/>
    </row>
    <row r="13054" spans="62:62" x14ac:dyDescent="0.2">
      <c r="BJ13054" s="201"/>
    </row>
    <row r="13055" spans="62:62" x14ac:dyDescent="0.2">
      <c r="BJ13055" s="201"/>
    </row>
    <row r="13056" spans="62:62" x14ac:dyDescent="0.2">
      <c r="BJ13056" s="201"/>
    </row>
    <row r="13057" spans="62:62" x14ac:dyDescent="0.2">
      <c r="BJ13057" s="201"/>
    </row>
    <row r="13058" spans="62:62" x14ac:dyDescent="0.2">
      <c r="BJ13058" s="201"/>
    </row>
    <row r="13059" spans="62:62" x14ac:dyDescent="0.2">
      <c r="BJ13059" s="201"/>
    </row>
    <row r="13060" spans="62:62" x14ac:dyDescent="0.2">
      <c r="BJ13060" s="201"/>
    </row>
    <row r="13061" spans="62:62" x14ac:dyDescent="0.2">
      <c r="BJ13061" s="201"/>
    </row>
    <row r="13062" spans="62:62" x14ac:dyDescent="0.2">
      <c r="BJ13062" s="201"/>
    </row>
    <row r="13063" spans="62:62" x14ac:dyDescent="0.2">
      <c r="BJ13063" s="201"/>
    </row>
    <row r="13064" spans="62:62" x14ac:dyDescent="0.2">
      <c r="BJ13064" s="201"/>
    </row>
    <row r="13065" spans="62:62" x14ac:dyDescent="0.2">
      <c r="BJ13065" s="201"/>
    </row>
    <row r="13066" spans="62:62" x14ac:dyDescent="0.2">
      <c r="BJ13066" s="201"/>
    </row>
    <row r="13067" spans="62:62" x14ac:dyDescent="0.2">
      <c r="BJ13067" s="201"/>
    </row>
    <row r="13068" spans="62:62" x14ac:dyDescent="0.2">
      <c r="BJ13068" s="201"/>
    </row>
    <row r="13069" spans="62:62" x14ac:dyDescent="0.2">
      <c r="BJ13069" s="201"/>
    </row>
    <row r="13070" spans="62:62" x14ac:dyDescent="0.2">
      <c r="BJ13070" s="201"/>
    </row>
    <row r="13071" spans="62:62" x14ac:dyDescent="0.2">
      <c r="BJ13071" s="201"/>
    </row>
    <row r="13072" spans="62:62" x14ac:dyDescent="0.2">
      <c r="BJ13072" s="201"/>
    </row>
    <row r="13073" spans="62:62" x14ac:dyDescent="0.2">
      <c r="BJ13073" s="201"/>
    </row>
    <row r="13074" spans="62:62" x14ac:dyDescent="0.2">
      <c r="BJ13074" s="201"/>
    </row>
    <row r="13075" spans="62:62" x14ac:dyDescent="0.2">
      <c r="BJ13075" s="201"/>
    </row>
    <row r="13076" spans="62:62" x14ac:dyDescent="0.2">
      <c r="BJ13076" s="201"/>
    </row>
    <row r="13077" spans="62:62" x14ac:dyDescent="0.2">
      <c r="BJ13077" s="201"/>
    </row>
    <row r="13078" spans="62:62" x14ac:dyDescent="0.2">
      <c r="BJ13078" s="201"/>
    </row>
    <row r="13079" spans="62:62" x14ac:dyDescent="0.2">
      <c r="BJ13079" s="201"/>
    </row>
    <row r="13080" spans="62:62" x14ac:dyDescent="0.2">
      <c r="BJ13080" s="201"/>
    </row>
    <row r="13081" spans="62:62" x14ac:dyDescent="0.2">
      <c r="BJ13081" s="201"/>
    </row>
    <row r="13082" spans="62:62" x14ac:dyDescent="0.2">
      <c r="BJ13082" s="201"/>
    </row>
    <row r="13083" spans="62:62" x14ac:dyDescent="0.2">
      <c r="BJ13083" s="201"/>
    </row>
    <row r="13084" spans="62:62" x14ac:dyDescent="0.2">
      <c r="BJ13084" s="201"/>
    </row>
    <row r="13085" spans="62:62" x14ac:dyDescent="0.2">
      <c r="BJ13085" s="201"/>
    </row>
    <row r="13086" spans="62:62" x14ac:dyDescent="0.2">
      <c r="BJ13086" s="201"/>
    </row>
    <row r="13087" spans="62:62" x14ac:dyDescent="0.2">
      <c r="BJ13087" s="201"/>
    </row>
    <row r="13088" spans="62:62" x14ac:dyDescent="0.2">
      <c r="BJ13088" s="201"/>
    </row>
    <row r="13089" spans="62:62" x14ac:dyDescent="0.2">
      <c r="BJ13089" s="201"/>
    </row>
    <row r="13090" spans="62:62" x14ac:dyDescent="0.2">
      <c r="BJ13090" s="201"/>
    </row>
    <row r="13091" spans="62:62" x14ac:dyDescent="0.2">
      <c r="BJ13091" s="201"/>
    </row>
    <row r="13092" spans="62:62" x14ac:dyDescent="0.2">
      <c r="BJ13092" s="201"/>
    </row>
    <row r="13093" spans="62:62" x14ac:dyDescent="0.2">
      <c r="BJ13093" s="201"/>
    </row>
    <row r="13094" spans="62:62" x14ac:dyDescent="0.2">
      <c r="BJ13094" s="201"/>
    </row>
    <row r="13095" spans="62:62" x14ac:dyDescent="0.2">
      <c r="BJ13095" s="201"/>
    </row>
    <row r="13096" spans="62:62" x14ac:dyDescent="0.2">
      <c r="BJ13096" s="201"/>
    </row>
    <row r="13097" spans="62:62" x14ac:dyDescent="0.2">
      <c r="BJ13097" s="201"/>
    </row>
    <row r="13098" spans="62:62" x14ac:dyDescent="0.2">
      <c r="BJ13098" s="201"/>
    </row>
    <row r="13099" spans="62:62" x14ac:dyDescent="0.2">
      <c r="BJ13099" s="201"/>
    </row>
    <row r="13100" spans="62:62" x14ac:dyDescent="0.2">
      <c r="BJ13100" s="201"/>
    </row>
    <row r="13101" spans="62:62" x14ac:dyDescent="0.2">
      <c r="BJ13101" s="201"/>
    </row>
    <row r="13102" spans="62:62" x14ac:dyDescent="0.2">
      <c r="BJ13102" s="201"/>
    </row>
    <row r="13103" spans="62:62" x14ac:dyDescent="0.2">
      <c r="BJ13103" s="201"/>
    </row>
    <row r="13104" spans="62:62" x14ac:dyDescent="0.2">
      <c r="BJ13104" s="201"/>
    </row>
    <row r="13105" spans="62:62" x14ac:dyDescent="0.2">
      <c r="BJ13105" s="201"/>
    </row>
    <row r="13106" spans="62:62" x14ac:dyDescent="0.2">
      <c r="BJ13106" s="201"/>
    </row>
    <row r="13107" spans="62:62" x14ac:dyDescent="0.2">
      <c r="BJ13107" s="201"/>
    </row>
    <row r="13108" spans="62:62" x14ac:dyDescent="0.2">
      <c r="BJ13108" s="201"/>
    </row>
    <row r="13109" spans="62:62" x14ac:dyDescent="0.2">
      <c r="BJ13109" s="201"/>
    </row>
    <row r="13110" spans="62:62" x14ac:dyDescent="0.2">
      <c r="BJ13110" s="201"/>
    </row>
    <row r="13111" spans="62:62" x14ac:dyDescent="0.2">
      <c r="BJ13111" s="201"/>
    </row>
    <row r="13112" spans="62:62" x14ac:dyDescent="0.2">
      <c r="BJ13112" s="201"/>
    </row>
    <row r="13113" spans="62:62" x14ac:dyDescent="0.2">
      <c r="BJ13113" s="201"/>
    </row>
    <row r="13114" spans="62:62" x14ac:dyDescent="0.2">
      <c r="BJ13114" s="201"/>
    </row>
    <row r="13115" spans="62:62" x14ac:dyDescent="0.2">
      <c r="BJ13115" s="201"/>
    </row>
    <row r="13116" spans="62:62" x14ac:dyDescent="0.2">
      <c r="BJ13116" s="201"/>
    </row>
    <row r="13117" spans="62:62" x14ac:dyDescent="0.2">
      <c r="BJ13117" s="201"/>
    </row>
    <row r="13118" spans="62:62" x14ac:dyDescent="0.2">
      <c r="BJ13118" s="201"/>
    </row>
    <row r="13119" spans="62:62" x14ac:dyDescent="0.2">
      <c r="BJ13119" s="201"/>
    </row>
    <row r="13120" spans="62:62" x14ac:dyDescent="0.2">
      <c r="BJ13120" s="201"/>
    </row>
    <row r="13121" spans="62:62" x14ac:dyDescent="0.2">
      <c r="BJ13121" s="201"/>
    </row>
    <row r="13122" spans="62:62" x14ac:dyDescent="0.2">
      <c r="BJ13122" s="201"/>
    </row>
    <row r="13123" spans="62:62" x14ac:dyDescent="0.2">
      <c r="BJ13123" s="201"/>
    </row>
    <row r="13124" spans="62:62" x14ac:dyDescent="0.2">
      <c r="BJ13124" s="201"/>
    </row>
    <row r="13125" spans="62:62" x14ac:dyDescent="0.2">
      <c r="BJ13125" s="201"/>
    </row>
    <row r="13126" spans="62:62" x14ac:dyDescent="0.2">
      <c r="BJ13126" s="201"/>
    </row>
    <row r="13127" spans="62:62" x14ac:dyDescent="0.2">
      <c r="BJ13127" s="201"/>
    </row>
    <row r="13128" spans="62:62" x14ac:dyDescent="0.2">
      <c r="BJ13128" s="201"/>
    </row>
    <row r="13129" spans="62:62" x14ac:dyDescent="0.2">
      <c r="BJ13129" s="201"/>
    </row>
    <row r="13130" spans="62:62" x14ac:dyDescent="0.2">
      <c r="BJ13130" s="201"/>
    </row>
    <row r="13131" spans="62:62" x14ac:dyDescent="0.2">
      <c r="BJ13131" s="201"/>
    </row>
    <row r="13132" spans="62:62" x14ac:dyDescent="0.2">
      <c r="BJ13132" s="201"/>
    </row>
    <row r="13133" spans="62:62" x14ac:dyDescent="0.2">
      <c r="BJ13133" s="201"/>
    </row>
    <row r="13134" spans="62:62" x14ac:dyDescent="0.2">
      <c r="BJ13134" s="201"/>
    </row>
    <row r="13135" spans="62:62" x14ac:dyDescent="0.2">
      <c r="BJ13135" s="201"/>
    </row>
    <row r="13136" spans="62:62" x14ac:dyDescent="0.2">
      <c r="BJ13136" s="201"/>
    </row>
    <row r="13137" spans="62:62" x14ac:dyDescent="0.2">
      <c r="BJ13137" s="201"/>
    </row>
    <row r="13138" spans="62:62" x14ac:dyDescent="0.2">
      <c r="BJ13138" s="201"/>
    </row>
    <row r="13139" spans="62:62" x14ac:dyDescent="0.2">
      <c r="BJ13139" s="201"/>
    </row>
    <row r="13140" spans="62:62" x14ac:dyDescent="0.2">
      <c r="BJ13140" s="201"/>
    </row>
    <row r="13141" spans="62:62" x14ac:dyDescent="0.2">
      <c r="BJ13141" s="201"/>
    </row>
    <row r="13142" spans="62:62" x14ac:dyDescent="0.2">
      <c r="BJ13142" s="201"/>
    </row>
    <row r="13143" spans="62:62" x14ac:dyDescent="0.2">
      <c r="BJ13143" s="201"/>
    </row>
    <row r="13144" spans="62:62" x14ac:dyDescent="0.2">
      <c r="BJ13144" s="201"/>
    </row>
    <row r="13145" spans="62:62" x14ac:dyDescent="0.2">
      <c r="BJ13145" s="201"/>
    </row>
    <row r="13146" spans="62:62" x14ac:dyDescent="0.2">
      <c r="BJ13146" s="201"/>
    </row>
    <row r="13147" spans="62:62" x14ac:dyDescent="0.2">
      <c r="BJ13147" s="201"/>
    </row>
    <row r="13148" spans="62:62" x14ac:dyDescent="0.2">
      <c r="BJ13148" s="201"/>
    </row>
    <row r="13149" spans="62:62" x14ac:dyDescent="0.2">
      <c r="BJ13149" s="201"/>
    </row>
    <row r="13150" spans="62:62" x14ac:dyDescent="0.2">
      <c r="BJ13150" s="201"/>
    </row>
    <row r="13151" spans="62:62" x14ac:dyDescent="0.2">
      <c r="BJ13151" s="201"/>
    </row>
    <row r="13152" spans="62:62" x14ac:dyDescent="0.2">
      <c r="BJ13152" s="201"/>
    </row>
    <row r="13153" spans="62:62" x14ac:dyDescent="0.2">
      <c r="BJ13153" s="201"/>
    </row>
    <row r="13154" spans="62:62" x14ac:dyDescent="0.2">
      <c r="BJ13154" s="201"/>
    </row>
    <row r="13155" spans="62:62" x14ac:dyDescent="0.2">
      <c r="BJ13155" s="201"/>
    </row>
    <row r="13156" spans="62:62" x14ac:dyDescent="0.2">
      <c r="BJ13156" s="201"/>
    </row>
    <row r="13157" spans="62:62" x14ac:dyDescent="0.2">
      <c r="BJ13157" s="201"/>
    </row>
    <row r="13158" spans="62:62" x14ac:dyDescent="0.2">
      <c r="BJ13158" s="201"/>
    </row>
    <row r="13159" spans="62:62" x14ac:dyDescent="0.2">
      <c r="BJ13159" s="201"/>
    </row>
    <row r="13160" spans="62:62" x14ac:dyDescent="0.2">
      <c r="BJ13160" s="201"/>
    </row>
    <row r="13161" spans="62:62" x14ac:dyDescent="0.2">
      <c r="BJ13161" s="201"/>
    </row>
    <row r="13162" spans="62:62" x14ac:dyDescent="0.2">
      <c r="BJ13162" s="201"/>
    </row>
    <row r="13163" spans="62:62" x14ac:dyDescent="0.2">
      <c r="BJ13163" s="201"/>
    </row>
    <row r="13164" spans="62:62" x14ac:dyDescent="0.2">
      <c r="BJ13164" s="201"/>
    </row>
    <row r="13165" spans="62:62" x14ac:dyDescent="0.2">
      <c r="BJ13165" s="201"/>
    </row>
    <row r="13166" spans="62:62" x14ac:dyDescent="0.2">
      <c r="BJ13166" s="201"/>
    </row>
    <row r="13167" spans="62:62" x14ac:dyDescent="0.2">
      <c r="BJ13167" s="201"/>
    </row>
    <row r="13168" spans="62:62" x14ac:dyDescent="0.2">
      <c r="BJ13168" s="201"/>
    </row>
    <row r="13169" spans="62:62" x14ac:dyDescent="0.2">
      <c r="BJ13169" s="201"/>
    </row>
    <row r="13170" spans="62:62" x14ac:dyDescent="0.2">
      <c r="BJ13170" s="201"/>
    </row>
    <row r="13171" spans="62:62" x14ac:dyDescent="0.2">
      <c r="BJ13171" s="201"/>
    </row>
    <row r="13172" spans="62:62" x14ac:dyDescent="0.2">
      <c r="BJ13172" s="201"/>
    </row>
    <row r="13173" spans="62:62" x14ac:dyDescent="0.2">
      <c r="BJ13173" s="201"/>
    </row>
    <row r="13174" spans="62:62" x14ac:dyDescent="0.2">
      <c r="BJ13174" s="201"/>
    </row>
    <row r="13175" spans="62:62" x14ac:dyDescent="0.2">
      <c r="BJ13175" s="201"/>
    </row>
    <row r="13176" spans="62:62" x14ac:dyDescent="0.2">
      <c r="BJ13176" s="201"/>
    </row>
    <row r="13177" spans="62:62" x14ac:dyDescent="0.2">
      <c r="BJ13177" s="201"/>
    </row>
    <row r="13178" spans="62:62" x14ac:dyDescent="0.2">
      <c r="BJ13178" s="201"/>
    </row>
    <row r="13179" spans="62:62" x14ac:dyDescent="0.2">
      <c r="BJ13179" s="201"/>
    </row>
    <row r="13180" spans="62:62" x14ac:dyDescent="0.2">
      <c r="BJ13180" s="201"/>
    </row>
    <row r="13181" spans="62:62" x14ac:dyDescent="0.2">
      <c r="BJ13181" s="201"/>
    </row>
    <row r="13182" spans="62:62" x14ac:dyDescent="0.2">
      <c r="BJ13182" s="201"/>
    </row>
    <row r="13183" spans="62:62" x14ac:dyDescent="0.2">
      <c r="BJ13183" s="201"/>
    </row>
    <row r="13184" spans="62:62" x14ac:dyDescent="0.2">
      <c r="BJ13184" s="201"/>
    </row>
    <row r="13185" spans="62:62" x14ac:dyDescent="0.2">
      <c r="BJ13185" s="201"/>
    </row>
    <row r="13186" spans="62:62" x14ac:dyDescent="0.2">
      <c r="BJ13186" s="201"/>
    </row>
    <row r="13187" spans="62:62" x14ac:dyDescent="0.2">
      <c r="BJ13187" s="201"/>
    </row>
    <row r="13188" spans="62:62" x14ac:dyDescent="0.2">
      <c r="BJ13188" s="201"/>
    </row>
    <row r="13189" spans="62:62" x14ac:dyDescent="0.2">
      <c r="BJ13189" s="201"/>
    </row>
    <row r="13190" spans="62:62" x14ac:dyDescent="0.2">
      <c r="BJ13190" s="201"/>
    </row>
    <row r="13191" spans="62:62" x14ac:dyDescent="0.2">
      <c r="BJ13191" s="201"/>
    </row>
    <row r="13192" spans="62:62" x14ac:dyDescent="0.2">
      <c r="BJ13192" s="201"/>
    </row>
    <row r="13193" spans="62:62" x14ac:dyDescent="0.2">
      <c r="BJ13193" s="201"/>
    </row>
    <row r="13194" spans="62:62" x14ac:dyDescent="0.2">
      <c r="BJ13194" s="201"/>
    </row>
    <row r="13195" spans="62:62" x14ac:dyDescent="0.2">
      <c r="BJ13195" s="201"/>
    </row>
    <row r="13196" spans="62:62" x14ac:dyDescent="0.2">
      <c r="BJ13196" s="201"/>
    </row>
    <row r="13197" spans="62:62" x14ac:dyDescent="0.2">
      <c r="BJ13197" s="201"/>
    </row>
    <row r="13198" spans="62:62" x14ac:dyDescent="0.2">
      <c r="BJ13198" s="201"/>
    </row>
    <row r="13199" spans="62:62" x14ac:dyDescent="0.2">
      <c r="BJ13199" s="201"/>
    </row>
    <row r="13200" spans="62:62" x14ac:dyDescent="0.2">
      <c r="BJ13200" s="201"/>
    </row>
    <row r="13201" spans="62:62" x14ac:dyDescent="0.2">
      <c r="BJ13201" s="201"/>
    </row>
    <row r="13202" spans="62:62" x14ac:dyDescent="0.2">
      <c r="BJ13202" s="201"/>
    </row>
    <row r="13203" spans="62:62" x14ac:dyDescent="0.2">
      <c r="BJ13203" s="201"/>
    </row>
    <row r="13204" spans="62:62" x14ac:dyDescent="0.2">
      <c r="BJ13204" s="201"/>
    </row>
    <row r="13205" spans="62:62" x14ac:dyDescent="0.2">
      <c r="BJ13205" s="201"/>
    </row>
    <row r="13206" spans="62:62" x14ac:dyDescent="0.2">
      <c r="BJ13206" s="201"/>
    </row>
    <row r="13207" spans="62:62" x14ac:dyDescent="0.2">
      <c r="BJ13207" s="201"/>
    </row>
    <row r="13208" spans="62:62" x14ac:dyDescent="0.2">
      <c r="BJ13208" s="201"/>
    </row>
    <row r="13209" spans="62:62" x14ac:dyDescent="0.2">
      <c r="BJ13209" s="201"/>
    </row>
    <row r="13210" spans="62:62" x14ac:dyDescent="0.2">
      <c r="BJ13210" s="201"/>
    </row>
    <row r="13211" spans="62:62" x14ac:dyDescent="0.2">
      <c r="BJ13211" s="201"/>
    </row>
    <row r="13212" spans="62:62" x14ac:dyDescent="0.2">
      <c r="BJ13212" s="201"/>
    </row>
    <row r="13213" spans="62:62" x14ac:dyDescent="0.2">
      <c r="BJ13213" s="201"/>
    </row>
    <row r="13214" spans="62:62" x14ac:dyDescent="0.2">
      <c r="BJ13214" s="201"/>
    </row>
    <row r="13215" spans="62:62" x14ac:dyDescent="0.2">
      <c r="BJ13215" s="201"/>
    </row>
    <row r="13216" spans="62:62" x14ac:dyDescent="0.2">
      <c r="BJ13216" s="201"/>
    </row>
    <row r="13217" spans="62:62" x14ac:dyDescent="0.2">
      <c r="BJ13217" s="201"/>
    </row>
    <row r="13218" spans="62:62" x14ac:dyDescent="0.2">
      <c r="BJ13218" s="201"/>
    </row>
    <row r="13219" spans="62:62" x14ac:dyDescent="0.2">
      <c r="BJ13219" s="201"/>
    </row>
    <row r="13220" spans="62:62" x14ac:dyDescent="0.2">
      <c r="BJ13220" s="201"/>
    </row>
    <row r="13221" spans="62:62" x14ac:dyDescent="0.2">
      <c r="BJ13221" s="201"/>
    </row>
    <row r="13222" spans="62:62" x14ac:dyDescent="0.2">
      <c r="BJ13222" s="201"/>
    </row>
    <row r="13223" spans="62:62" x14ac:dyDescent="0.2">
      <c r="BJ13223" s="201"/>
    </row>
    <row r="13224" spans="62:62" x14ac:dyDescent="0.2">
      <c r="BJ13224" s="201"/>
    </row>
    <row r="13225" spans="62:62" x14ac:dyDescent="0.2">
      <c r="BJ13225" s="201"/>
    </row>
    <row r="13226" spans="62:62" x14ac:dyDescent="0.2">
      <c r="BJ13226" s="201"/>
    </row>
    <row r="13227" spans="62:62" x14ac:dyDescent="0.2">
      <c r="BJ13227" s="201"/>
    </row>
    <row r="13228" spans="62:62" x14ac:dyDescent="0.2">
      <c r="BJ13228" s="201"/>
    </row>
    <row r="13229" spans="62:62" x14ac:dyDescent="0.2">
      <c r="BJ13229" s="201"/>
    </row>
    <row r="13230" spans="62:62" x14ac:dyDescent="0.2">
      <c r="BJ13230" s="201"/>
    </row>
    <row r="13231" spans="62:62" x14ac:dyDescent="0.2">
      <c r="BJ13231" s="201"/>
    </row>
    <row r="13232" spans="62:62" x14ac:dyDescent="0.2">
      <c r="BJ13232" s="201"/>
    </row>
    <row r="13233" spans="62:62" x14ac:dyDescent="0.2">
      <c r="BJ13233" s="201"/>
    </row>
    <row r="13234" spans="62:62" x14ac:dyDescent="0.2">
      <c r="BJ13234" s="201"/>
    </row>
    <row r="13235" spans="62:62" x14ac:dyDescent="0.2">
      <c r="BJ13235" s="201"/>
    </row>
    <row r="13236" spans="62:62" x14ac:dyDescent="0.2">
      <c r="BJ13236" s="201"/>
    </row>
    <row r="13237" spans="62:62" x14ac:dyDescent="0.2">
      <c r="BJ13237" s="201"/>
    </row>
    <row r="13238" spans="62:62" x14ac:dyDescent="0.2">
      <c r="BJ13238" s="201"/>
    </row>
    <row r="13239" spans="62:62" x14ac:dyDescent="0.2">
      <c r="BJ13239" s="201"/>
    </row>
    <row r="13240" spans="62:62" x14ac:dyDescent="0.2">
      <c r="BJ13240" s="201"/>
    </row>
    <row r="13241" spans="62:62" x14ac:dyDescent="0.2">
      <c r="BJ13241" s="201"/>
    </row>
    <row r="13242" spans="62:62" x14ac:dyDescent="0.2">
      <c r="BJ13242" s="201"/>
    </row>
    <row r="13243" spans="62:62" x14ac:dyDescent="0.2">
      <c r="BJ13243" s="201"/>
    </row>
    <row r="13244" spans="62:62" x14ac:dyDescent="0.2">
      <c r="BJ13244" s="201"/>
    </row>
    <row r="13245" spans="62:62" x14ac:dyDescent="0.2">
      <c r="BJ13245" s="201"/>
    </row>
    <row r="13246" spans="62:62" x14ac:dyDescent="0.2">
      <c r="BJ13246" s="201"/>
    </row>
    <row r="13247" spans="62:62" x14ac:dyDescent="0.2">
      <c r="BJ13247" s="201"/>
    </row>
    <row r="13248" spans="62:62" x14ac:dyDescent="0.2">
      <c r="BJ13248" s="201"/>
    </row>
    <row r="13249" spans="62:62" x14ac:dyDescent="0.2">
      <c r="BJ13249" s="201"/>
    </row>
    <row r="13250" spans="62:62" x14ac:dyDescent="0.2">
      <c r="BJ13250" s="201"/>
    </row>
    <row r="13251" spans="62:62" x14ac:dyDescent="0.2">
      <c r="BJ13251" s="201"/>
    </row>
    <row r="13252" spans="62:62" x14ac:dyDescent="0.2">
      <c r="BJ13252" s="201"/>
    </row>
    <row r="13253" spans="62:62" x14ac:dyDescent="0.2">
      <c r="BJ13253" s="201"/>
    </row>
    <row r="13254" spans="62:62" x14ac:dyDescent="0.2">
      <c r="BJ13254" s="201"/>
    </row>
    <row r="13255" spans="62:62" x14ac:dyDescent="0.2">
      <c r="BJ13255" s="201"/>
    </row>
    <row r="13256" spans="62:62" x14ac:dyDescent="0.2">
      <c r="BJ13256" s="201"/>
    </row>
    <row r="13257" spans="62:62" x14ac:dyDescent="0.2">
      <c r="BJ13257" s="201"/>
    </row>
    <row r="13258" spans="62:62" x14ac:dyDescent="0.2">
      <c r="BJ13258" s="201"/>
    </row>
    <row r="13259" spans="62:62" x14ac:dyDescent="0.2">
      <c r="BJ13259" s="201"/>
    </row>
    <row r="13260" spans="62:62" x14ac:dyDescent="0.2">
      <c r="BJ13260" s="201"/>
    </row>
    <row r="13261" spans="62:62" x14ac:dyDescent="0.2">
      <c r="BJ13261" s="201"/>
    </row>
    <row r="13262" spans="62:62" x14ac:dyDescent="0.2">
      <c r="BJ13262" s="201"/>
    </row>
    <row r="13263" spans="62:62" x14ac:dyDescent="0.2">
      <c r="BJ13263" s="201"/>
    </row>
    <row r="13264" spans="62:62" x14ac:dyDescent="0.2">
      <c r="BJ13264" s="201"/>
    </row>
    <row r="13265" spans="62:62" x14ac:dyDescent="0.2">
      <c r="BJ13265" s="201"/>
    </row>
    <row r="13266" spans="62:62" x14ac:dyDescent="0.2">
      <c r="BJ13266" s="201"/>
    </row>
    <row r="13267" spans="62:62" x14ac:dyDescent="0.2">
      <c r="BJ13267" s="201"/>
    </row>
    <row r="13268" spans="62:62" x14ac:dyDescent="0.2">
      <c r="BJ13268" s="201"/>
    </row>
    <row r="13269" spans="62:62" x14ac:dyDescent="0.2">
      <c r="BJ13269" s="201"/>
    </row>
    <row r="13270" spans="62:62" x14ac:dyDescent="0.2">
      <c r="BJ13270" s="201"/>
    </row>
    <row r="13271" spans="62:62" x14ac:dyDescent="0.2">
      <c r="BJ13271" s="201"/>
    </row>
    <row r="13272" spans="62:62" x14ac:dyDescent="0.2">
      <c r="BJ13272" s="201"/>
    </row>
    <row r="13273" spans="62:62" x14ac:dyDescent="0.2">
      <c r="BJ13273" s="201"/>
    </row>
    <row r="13274" spans="62:62" x14ac:dyDescent="0.2">
      <c r="BJ13274" s="201"/>
    </row>
    <row r="13275" spans="62:62" x14ac:dyDescent="0.2">
      <c r="BJ13275" s="201"/>
    </row>
    <row r="13276" spans="62:62" x14ac:dyDescent="0.2">
      <c r="BJ13276" s="201"/>
    </row>
    <row r="13277" spans="62:62" x14ac:dyDescent="0.2">
      <c r="BJ13277" s="201"/>
    </row>
    <row r="13278" spans="62:62" x14ac:dyDescent="0.2">
      <c r="BJ13278" s="201"/>
    </row>
    <row r="13279" spans="62:62" x14ac:dyDescent="0.2">
      <c r="BJ13279" s="201"/>
    </row>
    <row r="13280" spans="62:62" x14ac:dyDescent="0.2">
      <c r="BJ13280" s="201"/>
    </row>
    <row r="13281" spans="62:62" x14ac:dyDescent="0.2">
      <c r="BJ13281" s="201"/>
    </row>
    <row r="13282" spans="62:62" x14ac:dyDescent="0.2">
      <c r="BJ13282" s="201"/>
    </row>
    <row r="13283" spans="62:62" x14ac:dyDescent="0.2">
      <c r="BJ13283" s="201"/>
    </row>
    <row r="13284" spans="62:62" x14ac:dyDescent="0.2">
      <c r="BJ13284" s="201"/>
    </row>
    <row r="13285" spans="62:62" x14ac:dyDescent="0.2">
      <c r="BJ13285" s="201"/>
    </row>
    <row r="13286" spans="62:62" x14ac:dyDescent="0.2">
      <c r="BJ13286" s="201"/>
    </row>
    <row r="13287" spans="62:62" x14ac:dyDescent="0.2">
      <c r="BJ13287" s="201"/>
    </row>
    <row r="13288" spans="62:62" x14ac:dyDescent="0.2">
      <c r="BJ13288" s="201"/>
    </row>
    <row r="13289" spans="62:62" x14ac:dyDescent="0.2">
      <c r="BJ13289" s="201"/>
    </row>
    <row r="13290" spans="62:62" x14ac:dyDescent="0.2">
      <c r="BJ13290" s="201"/>
    </row>
    <row r="13291" spans="62:62" x14ac:dyDescent="0.2">
      <c r="BJ13291" s="201"/>
    </row>
    <row r="13292" spans="62:62" x14ac:dyDescent="0.2">
      <c r="BJ13292" s="201"/>
    </row>
    <row r="13293" spans="62:62" x14ac:dyDescent="0.2">
      <c r="BJ13293" s="201"/>
    </row>
    <row r="13294" spans="62:62" x14ac:dyDescent="0.2">
      <c r="BJ13294" s="201"/>
    </row>
    <row r="13295" spans="62:62" x14ac:dyDescent="0.2">
      <c r="BJ13295" s="201"/>
    </row>
    <row r="13296" spans="62:62" x14ac:dyDescent="0.2">
      <c r="BJ13296" s="201"/>
    </row>
    <row r="13297" spans="62:62" x14ac:dyDescent="0.2">
      <c r="BJ13297" s="201"/>
    </row>
    <row r="13298" spans="62:62" x14ac:dyDescent="0.2">
      <c r="BJ13298" s="201"/>
    </row>
    <row r="13299" spans="62:62" x14ac:dyDescent="0.2">
      <c r="BJ13299" s="201"/>
    </row>
    <row r="13300" spans="62:62" x14ac:dyDescent="0.2">
      <c r="BJ13300" s="201"/>
    </row>
    <row r="13301" spans="62:62" x14ac:dyDescent="0.2">
      <c r="BJ13301" s="201"/>
    </row>
    <row r="13302" spans="62:62" x14ac:dyDescent="0.2">
      <c r="BJ13302" s="201"/>
    </row>
    <row r="13303" spans="62:62" x14ac:dyDescent="0.2">
      <c r="BJ13303" s="201"/>
    </row>
    <row r="13304" spans="62:62" x14ac:dyDescent="0.2">
      <c r="BJ13304" s="201"/>
    </row>
    <row r="13305" spans="62:62" x14ac:dyDescent="0.2">
      <c r="BJ13305" s="201"/>
    </row>
    <row r="13306" spans="62:62" x14ac:dyDescent="0.2">
      <c r="BJ13306" s="201"/>
    </row>
    <row r="13307" spans="62:62" x14ac:dyDescent="0.2">
      <c r="BJ13307" s="201"/>
    </row>
    <row r="13308" spans="62:62" x14ac:dyDescent="0.2">
      <c r="BJ13308" s="201"/>
    </row>
    <row r="13309" spans="62:62" x14ac:dyDescent="0.2">
      <c r="BJ13309" s="201"/>
    </row>
    <row r="13310" spans="62:62" x14ac:dyDescent="0.2">
      <c r="BJ13310" s="201"/>
    </row>
    <row r="13311" spans="62:62" x14ac:dyDescent="0.2">
      <c r="BJ13311" s="201"/>
    </row>
    <row r="13312" spans="62:62" x14ac:dyDescent="0.2">
      <c r="BJ13312" s="201"/>
    </row>
    <row r="13313" spans="62:62" x14ac:dyDescent="0.2">
      <c r="BJ13313" s="201"/>
    </row>
    <row r="13314" spans="62:62" x14ac:dyDescent="0.2">
      <c r="BJ13314" s="201"/>
    </row>
    <row r="13315" spans="62:62" x14ac:dyDescent="0.2">
      <c r="BJ13315" s="201"/>
    </row>
    <row r="13316" spans="62:62" x14ac:dyDescent="0.2">
      <c r="BJ13316" s="201"/>
    </row>
    <row r="13317" spans="62:62" x14ac:dyDescent="0.2">
      <c r="BJ13317" s="201"/>
    </row>
    <row r="13318" spans="62:62" x14ac:dyDescent="0.2">
      <c r="BJ13318" s="201"/>
    </row>
    <row r="13319" spans="62:62" x14ac:dyDescent="0.2">
      <c r="BJ13319" s="201"/>
    </row>
    <row r="13320" spans="62:62" x14ac:dyDescent="0.2">
      <c r="BJ13320" s="201"/>
    </row>
    <row r="13321" spans="62:62" x14ac:dyDescent="0.2">
      <c r="BJ13321" s="201"/>
    </row>
    <row r="13322" spans="62:62" x14ac:dyDescent="0.2">
      <c r="BJ13322" s="201"/>
    </row>
    <row r="13323" spans="62:62" x14ac:dyDescent="0.2">
      <c r="BJ13323" s="201"/>
    </row>
    <row r="13324" spans="62:62" x14ac:dyDescent="0.2">
      <c r="BJ13324" s="201"/>
    </row>
    <row r="13325" spans="62:62" x14ac:dyDescent="0.2">
      <c r="BJ13325" s="201"/>
    </row>
    <row r="13326" spans="62:62" x14ac:dyDescent="0.2">
      <c r="BJ13326" s="201"/>
    </row>
    <row r="13327" spans="62:62" x14ac:dyDescent="0.2">
      <c r="BJ13327" s="201"/>
    </row>
    <row r="13328" spans="62:62" x14ac:dyDescent="0.2">
      <c r="BJ13328" s="201"/>
    </row>
    <row r="13329" spans="62:62" x14ac:dyDescent="0.2">
      <c r="BJ13329" s="201"/>
    </row>
    <row r="13330" spans="62:62" x14ac:dyDescent="0.2">
      <c r="BJ13330" s="201"/>
    </row>
    <row r="13331" spans="62:62" x14ac:dyDescent="0.2">
      <c r="BJ13331" s="201"/>
    </row>
    <row r="13332" spans="62:62" x14ac:dyDescent="0.2">
      <c r="BJ13332" s="201"/>
    </row>
    <row r="13333" spans="62:62" x14ac:dyDescent="0.2">
      <c r="BJ13333" s="201"/>
    </row>
    <row r="13334" spans="62:62" x14ac:dyDescent="0.2">
      <c r="BJ13334" s="201"/>
    </row>
    <row r="13335" spans="62:62" x14ac:dyDescent="0.2">
      <c r="BJ13335" s="201"/>
    </row>
    <row r="13336" spans="62:62" x14ac:dyDescent="0.2">
      <c r="BJ13336" s="201"/>
    </row>
    <row r="13337" spans="62:62" x14ac:dyDescent="0.2">
      <c r="BJ13337" s="201"/>
    </row>
    <row r="13338" spans="62:62" x14ac:dyDescent="0.2">
      <c r="BJ13338" s="201"/>
    </row>
    <row r="13339" spans="62:62" x14ac:dyDescent="0.2">
      <c r="BJ13339" s="201"/>
    </row>
    <row r="13340" spans="62:62" x14ac:dyDescent="0.2">
      <c r="BJ13340" s="201"/>
    </row>
    <row r="13341" spans="62:62" x14ac:dyDescent="0.2">
      <c r="BJ13341" s="201"/>
    </row>
    <row r="13342" spans="62:62" x14ac:dyDescent="0.2">
      <c r="BJ13342" s="201"/>
    </row>
    <row r="13343" spans="62:62" x14ac:dyDescent="0.2">
      <c r="BJ13343" s="201"/>
    </row>
    <row r="13344" spans="62:62" x14ac:dyDescent="0.2">
      <c r="BJ13344" s="201"/>
    </row>
    <row r="13345" spans="62:62" x14ac:dyDescent="0.2">
      <c r="BJ13345" s="201"/>
    </row>
    <row r="13346" spans="62:62" x14ac:dyDescent="0.2">
      <c r="BJ13346" s="201"/>
    </row>
    <row r="13347" spans="62:62" x14ac:dyDescent="0.2">
      <c r="BJ13347" s="201"/>
    </row>
    <row r="13348" spans="62:62" x14ac:dyDescent="0.2">
      <c r="BJ13348" s="201"/>
    </row>
    <row r="13349" spans="62:62" x14ac:dyDescent="0.2">
      <c r="BJ13349" s="201"/>
    </row>
    <row r="13350" spans="62:62" x14ac:dyDescent="0.2">
      <c r="BJ13350" s="201"/>
    </row>
    <row r="13351" spans="62:62" x14ac:dyDescent="0.2">
      <c r="BJ13351" s="201"/>
    </row>
    <row r="13352" spans="62:62" x14ac:dyDescent="0.2">
      <c r="BJ13352" s="201"/>
    </row>
    <row r="13353" spans="62:62" x14ac:dyDescent="0.2">
      <c r="BJ13353" s="201"/>
    </row>
    <row r="13354" spans="62:62" x14ac:dyDescent="0.2">
      <c r="BJ13354" s="201"/>
    </row>
    <row r="13355" spans="62:62" x14ac:dyDescent="0.2">
      <c r="BJ13355" s="201"/>
    </row>
    <row r="13356" spans="62:62" x14ac:dyDescent="0.2">
      <c r="BJ13356" s="201"/>
    </row>
    <row r="13357" spans="62:62" x14ac:dyDescent="0.2">
      <c r="BJ13357" s="201"/>
    </row>
    <row r="13358" spans="62:62" x14ac:dyDescent="0.2">
      <c r="BJ13358" s="201"/>
    </row>
    <row r="13359" spans="62:62" x14ac:dyDescent="0.2">
      <c r="BJ13359" s="201"/>
    </row>
    <row r="13360" spans="62:62" x14ac:dyDescent="0.2">
      <c r="BJ13360" s="201"/>
    </row>
    <row r="13361" spans="62:62" x14ac:dyDescent="0.2">
      <c r="BJ13361" s="201"/>
    </row>
    <row r="13362" spans="62:62" x14ac:dyDescent="0.2">
      <c r="BJ13362" s="201"/>
    </row>
    <row r="13363" spans="62:62" x14ac:dyDescent="0.2">
      <c r="BJ13363" s="201"/>
    </row>
    <row r="13364" spans="62:62" x14ac:dyDescent="0.2">
      <c r="BJ13364" s="201"/>
    </row>
    <row r="13365" spans="62:62" x14ac:dyDescent="0.2">
      <c r="BJ13365" s="201"/>
    </row>
    <row r="13366" spans="62:62" x14ac:dyDescent="0.2">
      <c r="BJ13366" s="201"/>
    </row>
    <row r="13367" spans="62:62" x14ac:dyDescent="0.2">
      <c r="BJ13367" s="201"/>
    </row>
    <row r="13368" spans="62:62" x14ac:dyDescent="0.2">
      <c r="BJ13368" s="201"/>
    </row>
    <row r="13369" spans="62:62" x14ac:dyDescent="0.2">
      <c r="BJ13369" s="201"/>
    </row>
    <row r="13370" spans="62:62" x14ac:dyDescent="0.2">
      <c r="BJ13370" s="201"/>
    </row>
    <row r="13371" spans="62:62" x14ac:dyDescent="0.2">
      <c r="BJ13371" s="201"/>
    </row>
    <row r="13372" spans="62:62" x14ac:dyDescent="0.2">
      <c r="BJ13372" s="201"/>
    </row>
    <row r="13373" spans="62:62" x14ac:dyDescent="0.2">
      <c r="BJ13373" s="201"/>
    </row>
    <row r="13374" spans="62:62" x14ac:dyDescent="0.2">
      <c r="BJ13374" s="201"/>
    </row>
    <row r="13375" spans="62:62" x14ac:dyDescent="0.2">
      <c r="BJ13375" s="201"/>
    </row>
    <row r="13376" spans="62:62" x14ac:dyDescent="0.2">
      <c r="BJ13376" s="201"/>
    </row>
    <row r="13377" spans="62:62" x14ac:dyDescent="0.2">
      <c r="BJ13377" s="201"/>
    </row>
    <row r="13378" spans="62:62" x14ac:dyDescent="0.2">
      <c r="BJ13378" s="201"/>
    </row>
    <row r="13379" spans="62:62" x14ac:dyDescent="0.2">
      <c r="BJ13379" s="201"/>
    </row>
    <row r="13380" spans="62:62" x14ac:dyDescent="0.2">
      <c r="BJ13380" s="201"/>
    </row>
    <row r="13381" spans="62:62" x14ac:dyDescent="0.2">
      <c r="BJ13381" s="201"/>
    </row>
    <row r="13382" spans="62:62" x14ac:dyDescent="0.2">
      <c r="BJ13382" s="201"/>
    </row>
    <row r="13383" spans="62:62" x14ac:dyDescent="0.2">
      <c r="BJ13383" s="201"/>
    </row>
    <row r="13384" spans="62:62" x14ac:dyDescent="0.2">
      <c r="BJ13384" s="201"/>
    </row>
    <row r="13385" spans="62:62" x14ac:dyDescent="0.2">
      <c r="BJ13385" s="201"/>
    </row>
    <row r="13386" spans="62:62" x14ac:dyDescent="0.2">
      <c r="BJ13386" s="201"/>
    </row>
    <row r="13387" spans="62:62" x14ac:dyDescent="0.2">
      <c r="BJ13387" s="201"/>
    </row>
    <row r="13388" spans="62:62" x14ac:dyDescent="0.2">
      <c r="BJ13388" s="201"/>
    </row>
    <row r="13389" spans="62:62" x14ac:dyDescent="0.2">
      <c r="BJ13389" s="201"/>
    </row>
    <row r="13390" spans="62:62" x14ac:dyDescent="0.2">
      <c r="BJ13390" s="201"/>
    </row>
    <row r="13391" spans="62:62" x14ac:dyDescent="0.2">
      <c r="BJ13391" s="201"/>
    </row>
    <row r="13392" spans="62:62" x14ac:dyDescent="0.2">
      <c r="BJ13392" s="201"/>
    </row>
    <row r="13393" spans="62:62" x14ac:dyDescent="0.2">
      <c r="BJ13393" s="201"/>
    </row>
    <row r="13394" spans="62:62" x14ac:dyDescent="0.2">
      <c r="BJ13394" s="201"/>
    </row>
    <row r="13395" spans="62:62" x14ac:dyDescent="0.2">
      <c r="BJ13395" s="201"/>
    </row>
    <row r="13396" spans="62:62" x14ac:dyDescent="0.2">
      <c r="BJ13396" s="201"/>
    </row>
    <row r="13397" spans="62:62" x14ac:dyDescent="0.2">
      <c r="BJ13397" s="201"/>
    </row>
    <row r="13398" spans="62:62" x14ac:dyDescent="0.2">
      <c r="BJ13398" s="201"/>
    </row>
    <row r="13399" spans="62:62" x14ac:dyDescent="0.2">
      <c r="BJ13399" s="201"/>
    </row>
    <row r="13400" spans="62:62" x14ac:dyDescent="0.2">
      <c r="BJ13400" s="201"/>
    </row>
    <row r="13401" spans="62:62" x14ac:dyDescent="0.2">
      <c r="BJ13401" s="201"/>
    </row>
    <row r="13402" spans="62:62" x14ac:dyDescent="0.2">
      <c r="BJ13402" s="201"/>
    </row>
    <row r="13403" spans="62:62" x14ac:dyDescent="0.2">
      <c r="BJ13403" s="201"/>
    </row>
    <row r="13404" spans="62:62" x14ac:dyDescent="0.2">
      <c r="BJ13404" s="201"/>
    </row>
    <row r="13405" spans="62:62" x14ac:dyDescent="0.2">
      <c r="BJ13405" s="201"/>
    </row>
    <row r="13406" spans="62:62" x14ac:dyDescent="0.2">
      <c r="BJ13406" s="201"/>
    </row>
    <row r="13407" spans="62:62" x14ac:dyDescent="0.2">
      <c r="BJ13407" s="201"/>
    </row>
    <row r="13408" spans="62:62" x14ac:dyDescent="0.2">
      <c r="BJ13408" s="201"/>
    </row>
    <row r="13409" spans="62:62" x14ac:dyDescent="0.2">
      <c r="BJ13409" s="201"/>
    </row>
    <row r="13410" spans="62:62" x14ac:dyDescent="0.2">
      <c r="BJ13410" s="201"/>
    </row>
    <row r="13411" spans="62:62" x14ac:dyDescent="0.2">
      <c r="BJ13411" s="201"/>
    </row>
    <row r="13412" spans="62:62" x14ac:dyDescent="0.2">
      <c r="BJ13412" s="201"/>
    </row>
    <row r="13413" spans="62:62" x14ac:dyDescent="0.2">
      <c r="BJ13413" s="201"/>
    </row>
    <row r="13414" spans="62:62" x14ac:dyDescent="0.2">
      <c r="BJ13414" s="201"/>
    </row>
    <row r="13415" spans="62:62" x14ac:dyDescent="0.2">
      <c r="BJ13415" s="201"/>
    </row>
    <row r="13416" spans="62:62" x14ac:dyDescent="0.2">
      <c r="BJ13416" s="201"/>
    </row>
    <row r="13417" spans="62:62" x14ac:dyDescent="0.2">
      <c r="BJ13417" s="201"/>
    </row>
    <row r="13418" spans="62:62" x14ac:dyDescent="0.2">
      <c r="BJ13418" s="201"/>
    </row>
    <row r="13419" spans="62:62" x14ac:dyDescent="0.2">
      <c r="BJ13419" s="201"/>
    </row>
    <row r="13420" spans="62:62" x14ac:dyDescent="0.2">
      <c r="BJ13420" s="201"/>
    </row>
    <row r="13421" spans="62:62" x14ac:dyDescent="0.2">
      <c r="BJ13421" s="201"/>
    </row>
    <row r="13422" spans="62:62" x14ac:dyDescent="0.2">
      <c r="BJ13422" s="201"/>
    </row>
    <row r="13423" spans="62:62" x14ac:dyDescent="0.2">
      <c r="BJ13423" s="201"/>
    </row>
    <row r="13424" spans="62:62" x14ac:dyDescent="0.2">
      <c r="BJ13424" s="201"/>
    </row>
    <row r="13425" spans="62:62" x14ac:dyDescent="0.2">
      <c r="BJ13425" s="201"/>
    </row>
    <row r="13426" spans="62:62" x14ac:dyDescent="0.2">
      <c r="BJ13426" s="201"/>
    </row>
    <row r="13427" spans="62:62" x14ac:dyDescent="0.2">
      <c r="BJ13427" s="201"/>
    </row>
    <row r="13428" spans="62:62" x14ac:dyDescent="0.2">
      <c r="BJ13428" s="201"/>
    </row>
    <row r="13429" spans="62:62" x14ac:dyDescent="0.2">
      <c r="BJ13429" s="201"/>
    </row>
    <row r="13430" spans="62:62" x14ac:dyDescent="0.2">
      <c r="BJ13430" s="201"/>
    </row>
    <row r="13431" spans="62:62" x14ac:dyDescent="0.2">
      <c r="BJ13431" s="201"/>
    </row>
    <row r="13432" spans="62:62" x14ac:dyDescent="0.2">
      <c r="BJ13432" s="201"/>
    </row>
    <row r="13433" spans="62:62" x14ac:dyDescent="0.2">
      <c r="BJ13433" s="201"/>
    </row>
    <row r="13434" spans="62:62" x14ac:dyDescent="0.2">
      <c r="BJ13434" s="201"/>
    </row>
    <row r="13435" spans="62:62" x14ac:dyDescent="0.2">
      <c r="BJ13435" s="201"/>
    </row>
    <row r="13436" spans="62:62" x14ac:dyDescent="0.2">
      <c r="BJ13436" s="201"/>
    </row>
    <row r="13437" spans="62:62" x14ac:dyDescent="0.2">
      <c r="BJ13437" s="201"/>
    </row>
    <row r="13438" spans="62:62" x14ac:dyDescent="0.2">
      <c r="BJ13438" s="201"/>
    </row>
    <row r="13439" spans="62:62" x14ac:dyDescent="0.2">
      <c r="BJ13439" s="201"/>
    </row>
    <row r="13440" spans="62:62" x14ac:dyDescent="0.2">
      <c r="BJ13440" s="201"/>
    </row>
    <row r="13441" spans="62:62" x14ac:dyDescent="0.2">
      <c r="BJ13441" s="201"/>
    </row>
    <row r="13442" spans="62:62" x14ac:dyDescent="0.2">
      <c r="BJ13442" s="201"/>
    </row>
    <row r="13443" spans="62:62" x14ac:dyDescent="0.2">
      <c r="BJ13443" s="201"/>
    </row>
    <row r="13444" spans="62:62" x14ac:dyDescent="0.2">
      <c r="BJ13444" s="201"/>
    </row>
    <row r="13445" spans="62:62" x14ac:dyDescent="0.2">
      <c r="BJ13445" s="201"/>
    </row>
    <row r="13446" spans="62:62" x14ac:dyDescent="0.2">
      <c r="BJ13446" s="201"/>
    </row>
    <row r="13447" spans="62:62" x14ac:dyDescent="0.2">
      <c r="BJ13447" s="201"/>
    </row>
    <row r="13448" spans="62:62" x14ac:dyDescent="0.2">
      <c r="BJ13448" s="201"/>
    </row>
    <row r="13449" spans="62:62" x14ac:dyDescent="0.2">
      <c r="BJ13449" s="201"/>
    </row>
    <row r="13450" spans="62:62" x14ac:dyDescent="0.2">
      <c r="BJ13450" s="201"/>
    </row>
    <row r="13451" spans="62:62" x14ac:dyDescent="0.2">
      <c r="BJ13451" s="201"/>
    </row>
    <row r="13452" spans="62:62" x14ac:dyDescent="0.2">
      <c r="BJ13452" s="201"/>
    </row>
    <row r="13453" spans="62:62" x14ac:dyDescent="0.2">
      <c r="BJ13453" s="201"/>
    </row>
    <row r="13454" spans="62:62" x14ac:dyDescent="0.2">
      <c r="BJ13454" s="201"/>
    </row>
    <row r="13455" spans="62:62" x14ac:dyDescent="0.2">
      <c r="BJ13455" s="201"/>
    </row>
    <row r="13456" spans="62:62" x14ac:dyDescent="0.2">
      <c r="BJ13456" s="201"/>
    </row>
    <row r="13457" spans="62:62" x14ac:dyDescent="0.2">
      <c r="BJ13457" s="201"/>
    </row>
    <row r="13458" spans="62:62" x14ac:dyDescent="0.2">
      <c r="BJ13458" s="201"/>
    </row>
    <row r="13459" spans="62:62" x14ac:dyDescent="0.2">
      <c r="BJ13459" s="201"/>
    </row>
    <row r="13460" spans="62:62" x14ac:dyDescent="0.2">
      <c r="BJ13460" s="201"/>
    </row>
    <row r="13461" spans="62:62" x14ac:dyDescent="0.2">
      <c r="BJ13461" s="201"/>
    </row>
    <row r="13462" spans="62:62" x14ac:dyDescent="0.2">
      <c r="BJ13462" s="201"/>
    </row>
    <row r="13463" spans="62:62" x14ac:dyDescent="0.2">
      <c r="BJ13463" s="201"/>
    </row>
    <row r="13464" spans="62:62" x14ac:dyDescent="0.2">
      <c r="BJ13464" s="201"/>
    </row>
    <row r="13465" spans="62:62" x14ac:dyDescent="0.2">
      <c r="BJ13465" s="201"/>
    </row>
    <row r="13466" spans="62:62" x14ac:dyDescent="0.2">
      <c r="BJ13466" s="201"/>
    </row>
    <row r="13467" spans="62:62" x14ac:dyDescent="0.2">
      <c r="BJ13467" s="201"/>
    </row>
    <row r="13468" spans="62:62" x14ac:dyDescent="0.2">
      <c r="BJ13468" s="201"/>
    </row>
    <row r="13469" spans="62:62" x14ac:dyDescent="0.2">
      <c r="BJ13469" s="201"/>
    </row>
    <row r="13470" spans="62:62" x14ac:dyDescent="0.2">
      <c r="BJ13470" s="201"/>
    </row>
    <row r="13471" spans="62:62" x14ac:dyDescent="0.2">
      <c r="BJ13471" s="201"/>
    </row>
    <row r="13472" spans="62:62" x14ac:dyDescent="0.2">
      <c r="BJ13472" s="201"/>
    </row>
    <row r="13473" spans="62:62" x14ac:dyDescent="0.2">
      <c r="BJ13473" s="201"/>
    </row>
    <row r="13474" spans="62:62" x14ac:dyDescent="0.2">
      <c r="BJ13474" s="201"/>
    </row>
    <row r="13475" spans="62:62" x14ac:dyDescent="0.2">
      <c r="BJ13475" s="201"/>
    </row>
    <row r="13476" spans="62:62" x14ac:dyDescent="0.2">
      <c r="BJ13476" s="201"/>
    </row>
    <row r="13477" spans="62:62" x14ac:dyDescent="0.2">
      <c r="BJ13477" s="201"/>
    </row>
    <row r="13478" spans="62:62" x14ac:dyDescent="0.2">
      <c r="BJ13478" s="201"/>
    </row>
    <row r="13479" spans="62:62" x14ac:dyDescent="0.2">
      <c r="BJ13479" s="201"/>
    </row>
    <row r="13480" spans="62:62" x14ac:dyDescent="0.2">
      <c r="BJ13480" s="201"/>
    </row>
    <row r="13481" spans="62:62" x14ac:dyDescent="0.2">
      <c r="BJ13481" s="201"/>
    </row>
    <row r="13482" spans="62:62" x14ac:dyDescent="0.2">
      <c r="BJ13482" s="201"/>
    </row>
    <row r="13483" spans="62:62" x14ac:dyDescent="0.2">
      <c r="BJ13483" s="201"/>
    </row>
    <row r="13484" spans="62:62" x14ac:dyDescent="0.2">
      <c r="BJ13484" s="201"/>
    </row>
    <row r="13485" spans="62:62" x14ac:dyDescent="0.2">
      <c r="BJ13485" s="201"/>
    </row>
    <row r="13486" spans="62:62" x14ac:dyDescent="0.2">
      <c r="BJ13486" s="201"/>
    </row>
    <row r="13487" spans="62:62" x14ac:dyDescent="0.2">
      <c r="BJ13487" s="201"/>
    </row>
    <row r="13488" spans="62:62" x14ac:dyDescent="0.2">
      <c r="BJ13488" s="201"/>
    </row>
    <row r="13489" spans="62:62" x14ac:dyDescent="0.2">
      <c r="BJ13489" s="201"/>
    </row>
    <row r="13490" spans="62:62" x14ac:dyDescent="0.2">
      <c r="BJ13490" s="201"/>
    </row>
    <row r="13491" spans="62:62" x14ac:dyDescent="0.2">
      <c r="BJ13491" s="201"/>
    </row>
    <row r="13492" spans="62:62" x14ac:dyDescent="0.2">
      <c r="BJ13492" s="201"/>
    </row>
    <row r="13493" spans="62:62" x14ac:dyDescent="0.2">
      <c r="BJ13493" s="201"/>
    </row>
    <row r="13494" spans="62:62" x14ac:dyDescent="0.2">
      <c r="BJ13494" s="201"/>
    </row>
    <row r="13495" spans="62:62" x14ac:dyDescent="0.2">
      <c r="BJ13495" s="201"/>
    </row>
    <row r="13496" spans="62:62" x14ac:dyDescent="0.2">
      <c r="BJ13496" s="201"/>
    </row>
    <row r="13497" spans="62:62" x14ac:dyDescent="0.2">
      <c r="BJ13497" s="201"/>
    </row>
    <row r="13498" spans="62:62" x14ac:dyDescent="0.2">
      <c r="BJ13498" s="201"/>
    </row>
    <row r="13499" spans="62:62" x14ac:dyDescent="0.2">
      <c r="BJ13499" s="201"/>
    </row>
    <row r="13500" spans="62:62" x14ac:dyDescent="0.2">
      <c r="BJ13500" s="201"/>
    </row>
    <row r="13501" spans="62:62" x14ac:dyDescent="0.2">
      <c r="BJ13501" s="201"/>
    </row>
    <row r="13502" spans="62:62" x14ac:dyDescent="0.2">
      <c r="BJ13502" s="201"/>
    </row>
    <row r="13503" spans="62:62" x14ac:dyDescent="0.2">
      <c r="BJ13503" s="201"/>
    </row>
    <row r="13504" spans="62:62" x14ac:dyDescent="0.2">
      <c r="BJ13504" s="201"/>
    </row>
    <row r="13505" spans="62:62" x14ac:dyDescent="0.2">
      <c r="BJ13505" s="201"/>
    </row>
    <row r="13506" spans="62:62" x14ac:dyDescent="0.2">
      <c r="BJ13506" s="201"/>
    </row>
    <row r="13507" spans="62:62" x14ac:dyDescent="0.2">
      <c r="BJ13507" s="201"/>
    </row>
    <row r="13508" spans="62:62" x14ac:dyDescent="0.2">
      <c r="BJ13508" s="201"/>
    </row>
    <row r="13509" spans="62:62" x14ac:dyDescent="0.2">
      <c r="BJ13509" s="201"/>
    </row>
    <row r="13510" spans="62:62" x14ac:dyDescent="0.2">
      <c r="BJ13510" s="201"/>
    </row>
    <row r="13511" spans="62:62" x14ac:dyDescent="0.2">
      <c r="BJ13511" s="201"/>
    </row>
    <row r="13512" spans="62:62" x14ac:dyDescent="0.2">
      <c r="BJ13512" s="201"/>
    </row>
    <row r="13513" spans="62:62" x14ac:dyDescent="0.2">
      <c r="BJ13513" s="201"/>
    </row>
    <row r="13514" spans="62:62" x14ac:dyDescent="0.2">
      <c r="BJ13514" s="201"/>
    </row>
    <row r="13515" spans="62:62" x14ac:dyDescent="0.2">
      <c r="BJ13515" s="201"/>
    </row>
    <row r="13516" spans="62:62" x14ac:dyDescent="0.2">
      <c r="BJ13516" s="201"/>
    </row>
    <row r="13517" spans="62:62" x14ac:dyDescent="0.2">
      <c r="BJ13517" s="201"/>
    </row>
    <row r="13518" spans="62:62" x14ac:dyDescent="0.2">
      <c r="BJ13518" s="201"/>
    </row>
    <row r="13519" spans="62:62" x14ac:dyDescent="0.2">
      <c r="BJ13519" s="201"/>
    </row>
    <row r="13520" spans="62:62" x14ac:dyDescent="0.2">
      <c r="BJ13520" s="201"/>
    </row>
    <row r="13521" spans="62:62" x14ac:dyDescent="0.2">
      <c r="BJ13521" s="201"/>
    </row>
    <row r="13522" spans="62:62" x14ac:dyDescent="0.2">
      <c r="BJ13522" s="201"/>
    </row>
    <row r="13523" spans="62:62" x14ac:dyDescent="0.2">
      <c r="BJ13523" s="201"/>
    </row>
    <row r="13524" spans="62:62" x14ac:dyDescent="0.2">
      <c r="BJ13524" s="201"/>
    </row>
    <row r="13525" spans="62:62" x14ac:dyDescent="0.2">
      <c r="BJ13525" s="201"/>
    </row>
    <row r="13526" spans="62:62" x14ac:dyDescent="0.2">
      <c r="BJ13526" s="201"/>
    </row>
    <row r="13527" spans="62:62" x14ac:dyDescent="0.2">
      <c r="BJ13527" s="201"/>
    </row>
    <row r="13528" spans="62:62" x14ac:dyDescent="0.2">
      <c r="BJ13528" s="201"/>
    </row>
    <row r="13529" spans="62:62" x14ac:dyDescent="0.2">
      <c r="BJ13529" s="201"/>
    </row>
    <row r="13530" spans="62:62" x14ac:dyDescent="0.2">
      <c r="BJ13530" s="201"/>
    </row>
    <row r="13531" spans="62:62" x14ac:dyDescent="0.2">
      <c r="BJ13531" s="201"/>
    </row>
    <row r="13532" spans="62:62" x14ac:dyDescent="0.2">
      <c r="BJ13532" s="201"/>
    </row>
    <row r="13533" spans="62:62" x14ac:dyDescent="0.2">
      <c r="BJ13533" s="201"/>
    </row>
    <row r="13534" spans="62:62" x14ac:dyDescent="0.2">
      <c r="BJ13534" s="201"/>
    </row>
    <row r="13535" spans="62:62" x14ac:dyDescent="0.2">
      <c r="BJ13535" s="201"/>
    </row>
    <row r="13536" spans="62:62" x14ac:dyDescent="0.2">
      <c r="BJ13536" s="201"/>
    </row>
    <row r="13537" spans="62:62" x14ac:dyDescent="0.2">
      <c r="BJ13537" s="201"/>
    </row>
    <row r="13538" spans="62:62" x14ac:dyDescent="0.2">
      <c r="BJ13538" s="201"/>
    </row>
    <row r="13539" spans="62:62" x14ac:dyDescent="0.2">
      <c r="BJ13539" s="201"/>
    </row>
    <row r="13540" spans="62:62" x14ac:dyDescent="0.2">
      <c r="BJ13540" s="201"/>
    </row>
    <row r="13541" spans="62:62" x14ac:dyDescent="0.2">
      <c r="BJ13541" s="201"/>
    </row>
    <row r="13542" spans="62:62" x14ac:dyDescent="0.2">
      <c r="BJ13542" s="201"/>
    </row>
    <row r="13543" spans="62:62" x14ac:dyDescent="0.2">
      <c r="BJ13543" s="201"/>
    </row>
    <row r="13544" spans="62:62" x14ac:dyDescent="0.2">
      <c r="BJ13544" s="201"/>
    </row>
    <row r="13545" spans="62:62" x14ac:dyDescent="0.2">
      <c r="BJ13545" s="201"/>
    </row>
    <row r="13546" spans="62:62" x14ac:dyDescent="0.2">
      <c r="BJ13546" s="201"/>
    </row>
    <row r="13547" spans="62:62" x14ac:dyDescent="0.2">
      <c r="BJ13547" s="201"/>
    </row>
    <row r="13548" spans="62:62" x14ac:dyDescent="0.2">
      <c r="BJ13548" s="201"/>
    </row>
    <row r="13549" spans="62:62" x14ac:dyDescent="0.2">
      <c r="BJ13549" s="201"/>
    </row>
    <row r="13550" spans="62:62" x14ac:dyDescent="0.2">
      <c r="BJ13550" s="201"/>
    </row>
    <row r="13551" spans="62:62" x14ac:dyDescent="0.2">
      <c r="BJ13551" s="201"/>
    </row>
    <row r="13552" spans="62:62" x14ac:dyDescent="0.2">
      <c r="BJ13552" s="201"/>
    </row>
    <row r="13553" spans="62:62" x14ac:dyDescent="0.2">
      <c r="BJ13553" s="201"/>
    </row>
    <row r="13554" spans="62:62" x14ac:dyDescent="0.2">
      <c r="BJ13554" s="201"/>
    </row>
    <row r="13555" spans="62:62" x14ac:dyDescent="0.2">
      <c r="BJ13555" s="201"/>
    </row>
    <row r="13556" spans="62:62" x14ac:dyDescent="0.2">
      <c r="BJ13556" s="201"/>
    </row>
    <row r="13557" spans="62:62" x14ac:dyDescent="0.2">
      <c r="BJ13557" s="201"/>
    </row>
    <row r="13558" spans="62:62" x14ac:dyDescent="0.2">
      <c r="BJ13558" s="201"/>
    </row>
    <row r="13559" spans="62:62" x14ac:dyDescent="0.2">
      <c r="BJ13559" s="201"/>
    </row>
    <row r="13560" spans="62:62" x14ac:dyDescent="0.2">
      <c r="BJ13560" s="201"/>
    </row>
    <row r="13561" spans="62:62" x14ac:dyDescent="0.2">
      <c r="BJ13561" s="201"/>
    </row>
    <row r="13562" spans="62:62" x14ac:dyDescent="0.2">
      <c r="BJ13562" s="201"/>
    </row>
    <row r="13563" spans="62:62" x14ac:dyDescent="0.2">
      <c r="BJ13563" s="201"/>
    </row>
    <row r="13564" spans="62:62" x14ac:dyDescent="0.2">
      <c r="BJ13564" s="201"/>
    </row>
    <row r="13565" spans="62:62" x14ac:dyDescent="0.2">
      <c r="BJ13565" s="201"/>
    </row>
    <row r="13566" spans="62:62" x14ac:dyDescent="0.2">
      <c r="BJ13566" s="201"/>
    </row>
    <row r="13567" spans="62:62" x14ac:dyDescent="0.2">
      <c r="BJ13567" s="201"/>
    </row>
    <row r="13568" spans="62:62" x14ac:dyDescent="0.2">
      <c r="BJ13568" s="201"/>
    </row>
    <row r="13569" spans="62:62" x14ac:dyDescent="0.2">
      <c r="BJ13569" s="201"/>
    </row>
    <row r="13570" spans="62:62" x14ac:dyDescent="0.2">
      <c r="BJ13570" s="201"/>
    </row>
    <row r="13571" spans="62:62" x14ac:dyDescent="0.2">
      <c r="BJ13571" s="201"/>
    </row>
    <row r="13572" spans="62:62" x14ac:dyDescent="0.2">
      <c r="BJ13572" s="201"/>
    </row>
    <row r="13573" spans="62:62" x14ac:dyDescent="0.2">
      <c r="BJ13573" s="201"/>
    </row>
    <row r="13574" spans="62:62" x14ac:dyDescent="0.2">
      <c r="BJ13574" s="201"/>
    </row>
    <row r="13575" spans="62:62" x14ac:dyDescent="0.2">
      <c r="BJ13575" s="201"/>
    </row>
    <row r="13576" spans="62:62" x14ac:dyDescent="0.2">
      <c r="BJ13576" s="201"/>
    </row>
    <row r="13577" spans="62:62" x14ac:dyDescent="0.2">
      <c r="BJ13577" s="201"/>
    </row>
    <row r="13578" spans="62:62" x14ac:dyDescent="0.2">
      <c r="BJ13578" s="201"/>
    </row>
    <row r="13579" spans="62:62" x14ac:dyDescent="0.2">
      <c r="BJ13579" s="201"/>
    </row>
    <row r="13580" spans="62:62" x14ac:dyDescent="0.2">
      <c r="BJ13580" s="201"/>
    </row>
    <row r="13581" spans="62:62" x14ac:dyDescent="0.2">
      <c r="BJ13581" s="201"/>
    </row>
    <row r="13582" spans="62:62" x14ac:dyDescent="0.2">
      <c r="BJ13582" s="201"/>
    </row>
    <row r="13583" spans="62:62" x14ac:dyDescent="0.2">
      <c r="BJ13583" s="201"/>
    </row>
    <row r="13584" spans="62:62" x14ac:dyDescent="0.2">
      <c r="BJ13584" s="201"/>
    </row>
    <row r="13585" spans="62:62" x14ac:dyDescent="0.2">
      <c r="BJ13585" s="201"/>
    </row>
    <row r="13586" spans="62:62" x14ac:dyDescent="0.2">
      <c r="BJ13586" s="201"/>
    </row>
    <row r="13587" spans="62:62" x14ac:dyDescent="0.2">
      <c r="BJ13587" s="201"/>
    </row>
    <row r="13588" spans="62:62" x14ac:dyDescent="0.2">
      <c r="BJ13588" s="201"/>
    </row>
    <row r="13589" spans="62:62" x14ac:dyDescent="0.2">
      <c r="BJ13589" s="201"/>
    </row>
    <row r="13590" spans="62:62" x14ac:dyDescent="0.2">
      <c r="BJ13590" s="201"/>
    </row>
    <row r="13591" spans="62:62" x14ac:dyDescent="0.2">
      <c r="BJ13591" s="201"/>
    </row>
    <row r="13592" spans="62:62" x14ac:dyDescent="0.2">
      <c r="BJ13592" s="201"/>
    </row>
    <row r="13593" spans="62:62" x14ac:dyDescent="0.2">
      <c r="BJ13593" s="201"/>
    </row>
    <row r="13594" spans="62:62" x14ac:dyDescent="0.2">
      <c r="BJ13594" s="201"/>
    </row>
    <row r="13595" spans="62:62" x14ac:dyDescent="0.2">
      <c r="BJ13595" s="201"/>
    </row>
    <row r="13596" spans="62:62" x14ac:dyDescent="0.2">
      <c r="BJ13596" s="201"/>
    </row>
    <row r="13597" spans="62:62" x14ac:dyDescent="0.2">
      <c r="BJ13597" s="201"/>
    </row>
    <row r="13598" spans="62:62" x14ac:dyDescent="0.2">
      <c r="BJ13598" s="201"/>
    </row>
    <row r="13599" spans="62:62" x14ac:dyDescent="0.2">
      <c r="BJ13599" s="201"/>
    </row>
    <row r="13600" spans="62:62" x14ac:dyDescent="0.2">
      <c r="BJ13600" s="201"/>
    </row>
    <row r="13601" spans="62:62" x14ac:dyDescent="0.2">
      <c r="BJ13601" s="201"/>
    </row>
    <row r="13602" spans="62:62" x14ac:dyDescent="0.2">
      <c r="BJ13602" s="201"/>
    </row>
    <row r="13603" spans="62:62" x14ac:dyDescent="0.2">
      <c r="BJ13603" s="201"/>
    </row>
    <row r="13604" spans="62:62" x14ac:dyDescent="0.2">
      <c r="BJ13604" s="201"/>
    </row>
    <row r="13605" spans="62:62" x14ac:dyDescent="0.2">
      <c r="BJ13605" s="201"/>
    </row>
    <row r="13606" spans="62:62" x14ac:dyDescent="0.2">
      <c r="BJ13606" s="201"/>
    </row>
    <row r="13607" spans="62:62" x14ac:dyDescent="0.2">
      <c r="BJ13607" s="201"/>
    </row>
    <row r="13608" spans="62:62" x14ac:dyDescent="0.2">
      <c r="BJ13608" s="201"/>
    </row>
    <row r="13609" spans="62:62" x14ac:dyDescent="0.2">
      <c r="BJ13609" s="201"/>
    </row>
    <row r="13610" spans="62:62" x14ac:dyDescent="0.2">
      <c r="BJ13610" s="201"/>
    </row>
    <row r="13611" spans="62:62" x14ac:dyDescent="0.2">
      <c r="BJ13611" s="201"/>
    </row>
    <row r="13612" spans="62:62" x14ac:dyDescent="0.2">
      <c r="BJ13612" s="201"/>
    </row>
    <row r="13613" spans="62:62" x14ac:dyDescent="0.2">
      <c r="BJ13613" s="201"/>
    </row>
    <row r="13614" spans="62:62" x14ac:dyDescent="0.2">
      <c r="BJ13614" s="201"/>
    </row>
    <row r="13615" spans="62:62" x14ac:dyDescent="0.2">
      <c r="BJ13615" s="201"/>
    </row>
    <row r="13616" spans="62:62" x14ac:dyDescent="0.2">
      <c r="BJ13616" s="201"/>
    </row>
    <row r="13617" spans="62:62" x14ac:dyDescent="0.2">
      <c r="BJ13617" s="201"/>
    </row>
    <row r="13618" spans="62:62" x14ac:dyDescent="0.2">
      <c r="BJ13618" s="201"/>
    </row>
    <row r="13619" spans="62:62" x14ac:dyDescent="0.2">
      <c r="BJ13619" s="201"/>
    </row>
    <row r="13620" spans="62:62" x14ac:dyDescent="0.2">
      <c r="BJ13620" s="201"/>
    </row>
    <row r="13621" spans="62:62" x14ac:dyDescent="0.2">
      <c r="BJ13621" s="201"/>
    </row>
    <row r="13622" spans="62:62" x14ac:dyDescent="0.2">
      <c r="BJ13622" s="201"/>
    </row>
    <row r="13623" spans="62:62" x14ac:dyDescent="0.2">
      <c r="BJ13623" s="201"/>
    </row>
    <row r="13624" spans="62:62" x14ac:dyDescent="0.2">
      <c r="BJ13624" s="201"/>
    </row>
    <row r="13625" spans="62:62" x14ac:dyDescent="0.2">
      <c r="BJ13625" s="201"/>
    </row>
    <row r="13626" spans="62:62" x14ac:dyDescent="0.2">
      <c r="BJ13626" s="201"/>
    </row>
    <row r="13627" spans="62:62" x14ac:dyDescent="0.2">
      <c r="BJ13627" s="201"/>
    </row>
    <row r="13628" spans="62:62" x14ac:dyDescent="0.2">
      <c r="BJ13628" s="201"/>
    </row>
    <row r="13629" spans="62:62" x14ac:dyDescent="0.2">
      <c r="BJ13629" s="201"/>
    </row>
    <row r="13630" spans="62:62" x14ac:dyDescent="0.2">
      <c r="BJ13630" s="201"/>
    </row>
    <row r="13631" spans="62:62" x14ac:dyDescent="0.2">
      <c r="BJ13631" s="201"/>
    </row>
    <row r="13632" spans="62:62" x14ac:dyDescent="0.2">
      <c r="BJ13632" s="201"/>
    </row>
    <row r="13633" spans="62:62" x14ac:dyDescent="0.2">
      <c r="BJ13633" s="201"/>
    </row>
    <row r="13634" spans="62:62" x14ac:dyDescent="0.2">
      <c r="BJ13634" s="201"/>
    </row>
    <row r="13635" spans="62:62" x14ac:dyDescent="0.2">
      <c r="BJ13635" s="201"/>
    </row>
    <row r="13636" spans="62:62" x14ac:dyDescent="0.2">
      <c r="BJ13636" s="201"/>
    </row>
    <row r="13637" spans="62:62" x14ac:dyDescent="0.2">
      <c r="BJ13637" s="201"/>
    </row>
    <row r="13638" spans="62:62" x14ac:dyDescent="0.2">
      <c r="BJ13638" s="201"/>
    </row>
    <row r="13639" spans="62:62" x14ac:dyDescent="0.2">
      <c r="BJ13639" s="201"/>
    </row>
    <row r="13640" spans="62:62" x14ac:dyDescent="0.2">
      <c r="BJ13640" s="201"/>
    </row>
    <row r="13641" spans="62:62" x14ac:dyDescent="0.2">
      <c r="BJ13641" s="201"/>
    </row>
    <row r="13642" spans="62:62" x14ac:dyDescent="0.2">
      <c r="BJ13642" s="201"/>
    </row>
    <row r="13643" spans="62:62" x14ac:dyDescent="0.2">
      <c r="BJ13643" s="201"/>
    </row>
    <row r="13644" spans="62:62" x14ac:dyDescent="0.2">
      <c r="BJ13644" s="201"/>
    </row>
    <row r="13645" spans="62:62" x14ac:dyDescent="0.2">
      <c r="BJ13645" s="201"/>
    </row>
    <row r="13646" spans="62:62" x14ac:dyDescent="0.2">
      <c r="BJ13646" s="201"/>
    </row>
    <row r="13647" spans="62:62" x14ac:dyDescent="0.2">
      <c r="BJ13647" s="201"/>
    </row>
    <row r="13648" spans="62:62" x14ac:dyDescent="0.2">
      <c r="BJ13648" s="201"/>
    </row>
    <row r="13649" spans="62:62" x14ac:dyDescent="0.2">
      <c r="BJ13649" s="201"/>
    </row>
    <row r="13650" spans="62:62" x14ac:dyDescent="0.2">
      <c r="BJ13650" s="201"/>
    </row>
    <row r="13651" spans="62:62" x14ac:dyDescent="0.2">
      <c r="BJ13651" s="201"/>
    </row>
    <row r="13652" spans="62:62" x14ac:dyDescent="0.2">
      <c r="BJ13652" s="201"/>
    </row>
    <row r="13653" spans="62:62" x14ac:dyDescent="0.2">
      <c r="BJ13653" s="201"/>
    </row>
    <row r="13654" spans="62:62" x14ac:dyDescent="0.2">
      <c r="BJ13654" s="201"/>
    </row>
    <row r="13655" spans="62:62" x14ac:dyDescent="0.2">
      <c r="BJ13655" s="201"/>
    </row>
    <row r="13656" spans="62:62" x14ac:dyDescent="0.2">
      <c r="BJ13656" s="201"/>
    </row>
    <row r="13657" spans="62:62" x14ac:dyDescent="0.2">
      <c r="BJ13657" s="201"/>
    </row>
    <row r="13658" spans="62:62" x14ac:dyDescent="0.2">
      <c r="BJ13658" s="201"/>
    </row>
    <row r="13659" spans="62:62" x14ac:dyDescent="0.2">
      <c r="BJ13659" s="201"/>
    </row>
    <row r="13660" spans="62:62" x14ac:dyDescent="0.2">
      <c r="BJ13660" s="201"/>
    </row>
    <row r="13661" spans="62:62" x14ac:dyDescent="0.2">
      <c r="BJ13661" s="201"/>
    </row>
    <row r="13662" spans="62:62" x14ac:dyDescent="0.2">
      <c r="BJ13662" s="201"/>
    </row>
    <row r="13663" spans="62:62" x14ac:dyDescent="0.2">
      <c r="BJ13663" s="201"/>
    </row>
    <row r="13664" spans="62:62" x14ac:dyDescent="0.2">
      <c r="BJ13664" s="201"/>
    </row>
    <row r="13665" spans="62:62" x14ac:dyDescent="0.2">
      <c r="BJ13665" s="201"/>
    </row>
    <row r="13666" spans="62:62" x14ac:dyDescent="0.2">
      <c r="BJ13666" s="201"/>
    </row>
    <row r="13667" spans="62:62" x14ac:dyDescent="0.2">
      <c r="BJ13667" s="201"/>
    </row>
    <row r="13668" spans="62:62" x14ac:dyDescent="0.2">
      <c r="BJ13668" s="201"/>
    </row>
    <row r="13669" spans="62:62" x14ac:dyDescent="0.2">
      <c r="BJ13669" s="201"/>
    </row>
    <row r="13670" spans="62:62" x14ac:dyDescent="0.2">
      <c r="BJ13670" s="201"/>
    </row>
    <row r="13671" spans="62:62" x14ac:dyDescent="0.2">
      <c r="BJ13671" s="201"/>
    </row>
    <row r="13672" spans="62:62" x14ac:dyDescent="0.2">
      <c r="BJ13672" s="201"/>
    </row>
    <row r="13673" spans="62:62" x14ac:dyDescent="0.2">
      <c r="BJ13673" s="201"/>
    </row>
    <row r="13674" spans="62:62" x14ac:dyDescent="0.2">
      <c r="BJ13674" s="201"/>
    </row>
    <row r="13675" spans="62:62" x14ac:dyDescent="0.2">
      <c r="BJ13675" s="201"/>
    </row>
    <row r="13676" spans="62:62" x14ac:dyDescent="0.2">
      <c r="BJ13676" s="201"/>
    </row>
    <row r="13677" spans="62:62" x14ac:dyDescent="0.2">
      <c r="BJ13677" s="201"/>
    </row>
    <row r="13678" spans="62:62" x14ac:dyDescent="0.2">
      <c r="BJ13678" s="201"/>
    </row>
    <row r="13679" spans="62:62" x14ac:dyDescent="0.2">
      <c r="BJ13679" s="201"/>
    </row>
    <row r="13680" spans="62:62" x14ac:dyDescent="0.2">
      <c r="BJ13680" s="201"/>
    </row>
    <row r="13681" spans="62:62" x14ac:dyDescent="0.2">
      <c r="BJ13681" s="201"/>
    </row>
    <row r="13682" spans="62:62" x14ac:dyDescent="0.2">
      <c r="BJ13682" s="201"/>
    </row>
    <row r="13683" spans="62:62" x14ac:dyDescent="0.2">
      <c r="BJ13683" s="201"/>
    </row>
    <row r="13684" spans="62:62" x14ac:dyDescent="0.2">
      <c r="BJ13684" s="201"/>
    </row>
    <row r="13685" spans="62:62" x14ac:dyDescent="0.2">
      <c r="BJ13685" s="201"/>
    </row>
    <row r="13686" spans="62:62" x14ac:dyDescent="0.2">
      <c r="BJ13686" s="201"/>
    </row>
    <row r="13687" spans="62:62" x14ac:dyDescent="0.2">
      <c r="BJ13687" s="201"/>
    </row>
    <row r="13688" spans="62:62" x14ac:dyDescent="0.2">
      <c r="BJ13688" s="201"/>
    </row>
    <row r="13689" spans="62:62" x14ac:dyDescent="0.2">
      <c r="BJ13689" s="201"/>
    </row>
    <row r="13690" spans="62:62" x14ac:dyDescent="0.2">
      <c r="BJ13690" s="201"/>
    </row>
    <row r="13691" spans="62:62" x14ac:dyDescent="0.2">
      <c r="BJ13691" s="201"/>
    </row>
    <row r="13692" spans="62:62" x14ac:dyDescent="0.2">
      <c r="BJ13692" s="201"/>
    </row>
    <row r="13693" spans="62:62" x14ac:dyDescent="0.2">
      <c r="BJ13693" s="201"/>
    </row>
    <row r="13694" spans="62:62" x14ac:dyDescent="0.2">
      <c r="BJ13694" s="201"/>
    </row>
    <row r="13695" spans="62:62" x14ac:dyDescent="0.2">
      <c r="BJ13695" s="201"/>
    </row>
    <row r="13696" spans="62:62" x14ac:dyDescent="0.2">
      <c r="BJ13696" s="201"/>
    </row>
    <row r="13697" spans="62:62" x14ac:dyDescent="0.2">
      <c r="BJ13697" s="201"/>
    </row>
    <row r="13698" spans="62:62" x14ac:dyDescent="0.2">
      <c r="BJ13698" s="201"/>
    </row>
    <row r="13699" spans="62:62" x14ac:dyDescent="0.2">
      <c r="BJ13699" s="201"/>
    </row>
    <row r="13700" spans="62:62" x14ac:dyDescent="0.2">
      <c r="BJ13700" s="201"/>
    </row>
    <row r="13701" spans="62:62" x14ac:dyDescent="0.2">
      <c r="BJ13701" s="201"/>
    </row>
    <row r="13702" spans="62:62" x14ac:dyDescent="0.2">
      <c r="BJ13702" s="201"/>
    </row>
    <row r="13703" spans="62:62" x14ac:dyDescent="0.2">
      <c r="BJ13703" s="201"/>
    </row>
    <row r="13704" spans="62:62" x14ac:dyDescent="0.2">
      <c r="BJ13704" s="201"/>
    </row>
    <row r="13705" spans="62:62" x14ac:dyDescent="0.2">
      <c r="BJ13705" s="201"/>
    </row>
    <row r="13706" spans="62:62" x14ac:dyDescent="0.2">
      <c r="BJ13706" s="201"/>
    </row>
    <row r="13707" spans="62:62" x14ac:dyDescent="0.2">
      <c r="BJ13707" s="201"/>
    </row>
    <row r="13708" spans="62:62" x14ac:dyDescent="0.2">
      <c r="BJ13708" s="201"/>
    </row>
    <row r="13709" spans="62:62" x14ac:dyDescent="0.2">
      <c r="BJ13709" s="201"/>
    </row>
    <row r="13710" spans="62:62" x14ac:dyDescent="0.2">
      <c r="BJ13710" s="201"/>
    </row>
    <row r="13711" spans="62:62" x14ac:dyDescent="0.2">
      <c r="BJ13711" s="201"/>
    </row>
    <row r="13712" spans="62:62" x14ac:dyDescent="0.2">
      <c r="BJ13712" s="201"/>
    </row>
    <row r="13713" spans="62:62" x14ac:dyDescent="0.2">
      <c r="BJ13713" s="201"/>
    </row>
    <row r="13714" spans="62:62" x14ac:dyDescent="0.2">
      <c r="BJ13714" s="201"/>
    </row>
    <row r="13715" spans="62:62" x14ac:dyDescent="0.2">
      <c r="BJ13715" s="201"/>
    </row>
    <row r="13716" spans="62:62" x14ac:dyDescent="0.2">
      <c r="BJ13716" s="201"/>
    </row>
    <row r="13717" spans="62:62" x14ac:dyDescent="0.2">
      <c r="BJ13717" s="201"/>
    </row>
    <row r="13718" spans="62:62" x14ac:dyDescent="0.2">
      <c r="BJ13718" s="201"/>
    </row>
    <row r="13719" spans="62:62" x14ac:dyDescent="0.2">
      <c r="BJ13719" s="201"/>
    </row>
    <row r="13720" spans="62:62" x14ac:dyDescent="0.2">
      <c r="BJ13720" s="201"/>
    </row>
    <row r="13721" spans="62:62" x14ac:dyDescent="0.2">
      <c r="BJ13721" s="201"/>
    </row>
    <row r="13722" spans="62:62" x14ac:dyDescent="0.2">
      <c r="BJ13722" s="201"/>
    </row>
    <row r="13723" spans="62:62" x14ac:dyDescent="0.2">
      <c r="BJ13723" s="201"/>
    </row>
    <row r="13724" spans="62:62" x14ac:dyDescent="0.2">
      <c r="BJ13724" s="201"/>
    </row>
    <row r="13725" spans="62:62" x14ac:dyDescent="0.2">
      <c r="BJ13725" s="201"/>
    </row>
    <row r="13726" spans="62:62" x14ac:dyDescent="0.2">
      <c r="BJ13726" s="201"/>
    </row>
    <row r="13727" spans="62:62" x14ac:dyDescent="0.2">
      <c r="BJ13727" s="201"/>
    </row>
    <row r="13728" spans="62:62" x14ac:dyDescent="0.2">
      <c r="BJ13728" s="201"/>
    </row>
    <row r="13729" spans="62:62" x14ac:dyDescent="0.2">
      <c r="BJ13729" s="201"/>
    </row>
    <row r="13730" spans="62:62" x14ac:dyDescent="0.2">
      <c r="BJ13730" s="201"/>
    </row>
    <row r="13731" spans="62:62" x14ac:dyDescent="0.2">
      <c r="BJ13731" s="201"/>
    </row>
    <row r="13732" spans="62:62" x14ac:dyDescent="0.2">
      <c r="BJ13732" s="201"/>
    </row>
    <row r="13733" spans="62:62" x14ac:dyDescent="0.2">
      <c r="BJ13733" s="201"/>
    </row>
    <row r="13734" spans="62:62" x14ac:dyDescent="0.2">
      <c r="BJ13734" s="201"/>
    </row>
    <row r="13735" spans="62:62" x14ac:dyDescent="0.2">
      <c r="BJ13735" s="201"/>
    </row>
    <row r="13736" spans="62:62" x14ac:dyDescent="0.2">
      <c r="BJ13736" s="201"/>
    </row>
    <row r="13737" spans="62:62" x14ac:dyDescent="0.2">
      <c r="BJ13737" s="201"/>
    </row>
    <row r="13738" spans="62:62" x14ac:dyDescent="0.2">
      <c r="BJ13738" s="201"/>
    </row>
    <row r="13739" spans="62:62" x14ac:dyDescent="0.2">
      <c r="BJ13739" s="201"/>
    </row>
    <row r="13740" spans="62:62" x14ac:dyDescent="0.2">
      <c r="BJ13740" s="201"/>
    </row>
    <row r="13741" spans="62:62" x14ac:dyDescent="0.2">
      <c r="BJ13741" s="201"/>
    </row>
    <row r="13742" spans="62:62" x14ac:dyDescent="0.2">
      <c r="BJ13742" s="201"/>
    </row>
    <row r="13743" spans="62:62" x14ac:dyDescent="0.2">
      <c r="BJ13743" s="201"/>
    </row>
    <row r="13744" spans="62:62" x14ac:dyDescent="0.2">
      <c r="BJ13744" s="201"/>
    </row>
    <row r="13745" spans="62:62" x14ac:dyDescent="0.2">
      <c r="BJ13745" s="201"/>
    </row>
    <row r="13746" spans="62:62" x14ac:dyDescent="0.2">
      <c r="BJ13746" s="201"/>
    </row>
    <row r="13747" spans="62:62" x14ac:dyDescent="0.2">
      <c r="BJ13747" s="201"/>
    </row>
    <row r="13748" spans="62:62" x14ac:dyDescent="0.2">
      <c r="BJ13748" s="201"/>
    </row>
    <row r="13749" spans="62:62" x14ac:dyDescent="0.2">
      <c r="BJ13749" s="201"/>
    </row>
    <row r="13750" spans="62:62" x14ac:dyDescent="0.2">
      <c r="BJ13750" s="201"/>
    </row>
    <row r="13751" spans="62:62" x14ac:dyDescent="0.2">
      <c r="BJ13751" s="201"/>
    </row>
    <row r="13752" spans="62:62" x14ac:dyDescent="0.2">
      <c r="BJ13752" s="201"/>
    </row>
    <row r="13753" spans="62:62" x14ac:dyDescent="0.2">
      <c r="BJ13753" s="201"/>
    </row>
    <row r="13754" spans="62:62" x14ac:dyDescent="0.2">
      <c r="BJ13754" s="201"/>
    </row>
    <row r="13755" spans="62:62" x14ac:dyDescent="0.2">
      <c r="BJ13755" s="201"/>
    </row>
    <row r="13756" spans="62:62" x14ac:dyDescent="0.2">
      <c r="BJ13756" s="201"/>
    </row>
    <row r="13757" spans="62:62" x14ac:dyDescent="0.2">
      <c r="BJ13757" s="201"/>
    </row>
    <row r="13758" spans="62:62" x14ac:dyDescent="0.2">
      <c r="BJ13758" s="201"/>
    </row>
    <row r="13759" spans="62:62" x14ac:dyDescent="0.2">
      <c r="BJ13759" s="201"/>
    </row>
    <row r="13760" spans="62:62" x14ac:dyDescent="0.2">
      <c r="BJ13760" s="201"/>
    </row>
    <row r="13761" spans="62:62" x14ac:dyDescent="0.2">
      <c r="BJ13761" s="201"/>
    </row>
    <row r="13762" spans="62:62" x14ac:dyDescent="0.2">
      <c r="BJ13762" s="201"/>
    </row>
    <row r="13763" spans="62:62" x14ac:dyDescent="0.2">
      <c r="BJ13763" s="201"/>
    </row>
    <row r="13764" spans="62:62" x14ac:dyDescent="0.2">
      <c r="BJ13764" s="201"/>
    </row>
    <row r="13765" spans="62:62" x14ac:dyDescent="0.2">
      <c r="BJ13765" s="201"/>
    </row>
    <row r="13766" spans="62:62" x14ac:dyDescent="0.2">
      <c r="BJ13766" s="201"/>
    </row>
    <row r="13767" spans="62:62" x14ac:dyDescent="0.2">
      <c r="BJ13767" s="201"/>
    </row>
    <row r="13768" spans="62:62" x14ac:dyDescent="0.2">
      <c r="BJ13768" s="201"/>
    </row>
    <row r="13769" spans="62:62" x14ac:dyDescent="0.2">
      <c r="BJ13769" s="201"/>
    </row>
    <row r="13770" spans="62:62" x14ac:dyDescent="0.2">
      <c r="BJ13770" s="201"/>
    </row>
    <row r="13771" spans="62:62" x14ac:dyDescent="0.2">
      <c r="BJ13771" s="201"/>
    </row>
    <row r="13772" spans="62:62" x14ac:dyDescent="0.2">
      <c r="BJ13772" s="201"/>
    </row>
    <row r="13773" spans="62:62" x14ac:dyDescent="0.2">
      <c r="BJ13773" s="201"/>
    </row>
    <row r="13774" spans="62:62" x14ac:dyDescent="0.2">
      <c r="BJ13774" s="201"/>
    </row>
    <row r="13775" spans="62:62" x14ac:dyDescent="0.2">
      <c r="BJ13775" s="201"/>
    </row>
    <row r="13776" spans="62:62" x14ac:dyDescent="0.2">
      <c r="BJ13776" s="201"/>
    </row>
    <row r="13777" spans="62:62" x14ac:dyDescent="0.2">
      <c r="BJ13777" s="201"/>
    </row>
    <row r="13778" spans="62:62" x14ac:dyDescent="0.2">
      <c r="BJ13778" s="201"/>
    </row>
    <row r="13779" spans="62:62" x14ac:dyDescent="0.2">
      <c r="BJ13779" s="201"/>
    </row>
    <row r="13780" spans="62:62" x14ac:dyDescent="0.2">
      <c r="BJ13780" s="201"/>
    </row>
    <row r="13781" spans="62:62" x14ac:dyDescent="0.2">
      <c r="BJ13781" s="201"/>
    </row>
    <row r="13782" spans="62:62" x14ac:dyDescent="0.2">
      <c r="BJ13782" s="201"/>
    </row>
    <row r="13783" spans="62:62" x14ac:dyDescent="0.2">
      <c r="BJ13783" s="201"/>
    </row>
    <row r="13784" spans="62:62" x14ac:dyDescent="0.2">
      <c r="BJ13784" s="201"/>
    </row>
    <row r="13785" spans="62:62" x14ac:dyDescent="0.2">
      <c r="BJ13785" s="201"/>
    </row>
    <row r="13786" spans="62:62" x14ac:dyDescent="0.2">
      <c r="BJ13786" s="201"/>
    </row>
    <row r="13787" spans="62:62" x14ac:dyDescent="0.2">
      <c r="BJ13787" s="201"/>
    </row>
    <row r="13788" spans="62:62" x14ac:dyDescent="0.2">
      <c r="BJ13788" s="201"/>
    </row>
    <row r="13789" spans="62:62" x14ac:dyDescent="0.2">
      <c r="BJ13789" s="201"/>
    </row>
    <row r="13790" spans="62:62" x14ac:dyDescent="0.2">
      <c r="BJ13790" s="201"/>
    </row>
    <row r="13791" spans="62:62" x14ac:dyDescent="0.2">
      <c r="BJ13791" s="201"/>
    </row>
    <row r="13792" spans="62:62" x14ac:dyDescent="0.2">
      <c r="BJ13792" s="201"/>
    </row>
    <row r="13793" spans="62:62" x14ac:dyDescent="0.2">
      <c r="BJ13793" s="201"/>
    </row>
    <row r="13794" spans="62:62" x14ac:dyDescent="0.2">
      <c r="BJ13794" s="201"/>
    </row>
    <row r="13795" spans="62:62" x14ac:dyDescent="0.2">
      <c r="BJ13795" s="201"/>
    </row>
    <row r="13796" spans="62:62" x14ac:dyDescent="0.2">
      <c r="BJ13796" s="201"/>
    </row>
    <row r="13797" spans="62:62" x14ac:dyDescent="0.2">
      <c r="BJ13797" s="201"/>
    </row>
    <row r="13798" spans="62:62" x14ac:dyDescent="0.2">
      <c r="BJ13798" s="201"/>
    </row>
    <row r="13799" spans="62:62" x14ac:dyDescent="0.2">
      <c r="BJ13799" s="201"/>
    </row>
    <row r="13800" spans="62:62" x14ac:dyDescent="0.2">
      <c r="BJ13800" s="201"/>
    </row>
    <row r="13801" spans="62:62" x14ac:dyDescent="0.2">
      <c r="BJ13801" s="201"/>
    </row>
    <row r="13802" spans="62:62" x14ac:dyDescent="0.2">
      <c r="BJ13802" s="201"/>
    </row>
    <row r="13803" spans="62:62" x14ac:dyDescent="0.2">
      <c r="BJ13803" s="201"/>
    </row>
    <row r="13804" spans="62:62" x14ac:dyDescent="0.2">
      <c r="BJ13804" s="201"/>
    </row>
    <row r="13805" spans="62:62" x14ac:dyDescent="0.2">
      <c r="BJ13805" s="201"/>
    </row>
    <row r="13806" spans="62:62" x14ac:dyDescent="0.2">
      <c r="BJ13806" s="201"/>
    </row>
    <row r="13807" spans="62:62" x14ac:dyDescent="0.2">
      <c r="BJ13807" s="201"/>
    </row>
    <row r="13808" spans="62:62" x14ac:dyDescent="0.2">
      <c r="BJ13808" s="201"/>
    </row>
    <row r="13809" spans="62:62" x14ac:dyDescent="0.2">
      <c r="BJ13809" s="201"/>
    </row>
    <row r="13810" spans="62:62" x14ac:dyDescent="0.2">
      <c r="BJ13810" s="201"/>
    </row>
    <row r="13811" spans="62:62" x14ac:dyDescent="0.2">
      <c r="BJ13811" s="201"/>
    </row>
    <row r="13812" spans="62:62" x14ac:dyDescent="0.2">
      <c r="BJ13812" s="201"/>
    </row>
    <row r="13813" spans="62:62" x14ac:dyDescent="0.2">
      <c r="BJ13813" s="201"/>
    </row>
    <row r="13814" spans="62:62" x14ac:dyDescent="0.2">
      <c r="BJ13814" s="201"/>
    </row>
    <row r="13815" spans="62:62" x14ac:dyDescent="0.2">
      <c r="BJ13815" s="201"/>
    </row>
    <row r="13816" spans="62:62" x14ac:dyDescent="0.2">
      <c r="BJ13816" s="201"/>
    </row>
    <row r="13817" spans="62:62" x14ac:dyDescent="0.2">
      <c r="BJ13817" s="201"/>
    </row>
    <row r="13818" spans="62:62" x14ac:dyDescent="0.2">
      <c r="BJ13818" s="201"/>
    </row>
    <row r="13819" spans="62:62" x14ac:dyDescent="0.2">
      <c r="BJ13819" s="201"/>
    </row>
    <row r="13820" spans="62:62" x14ac:dyDescent="0.2">
      <c r="BJ13820" s="201"/>
    </row>
    <row r="13821" spans="62:62" x14ac:dyDescent="0.2">
      <c r="BJ13821" s="201"/>
    </row>
    <row r="13822" spans="62:62" x14ac:dyDescent="0.2">
      <c r="BJ13822" s="201"/>
    </row>
    <row r="13823" spans="62:62" x14ac:dyDescent="0.2">
      <c r="BJ13823" s="201"/>
    </row>
    <row r="13824" spans="62:62" x14ac:dyDescent="0.2">
      <c r="BJ13824" s="201"/>
    </row>
    <row r="13825" spans="62:62" x14ac:dyDescent="0.2">
      <c r="BJ13825" s="201"/>
    </row>
    <row r="13826" spans="62:62" x14ac:dyDescent="0.2">
      <c r="BJ13826" s="201"/>
    </row>
    <row r="13827" spans="62:62" x14ac:dyDescent="0.2">
      <c r="BJ13827" s="201"/>
    </row>
    <row r="13828" spans="62:62" x14ac:dyDescent="0.2">
      <c r="BJ13828" s="201"/>
    </row>
    <row r="13829" spans="62:62" x14ac:dyDescent="0.2">
      <c r="BJ13829" s="201"/>
    </row>
    <row r="13830" spans="62:62" x14ac:dyDescent="0.2">
      <c r="BJ13830" s="201"/>
    </row>
    <row r="13831" spans="62:62" x14ac:dyDescent="0.2">
      <c r="BJ13831" s="201"/>
    </row>
    <row r="13832" spans="62:62" x14ac:dyDescent="0.2">
      <c r="BJ13832" s="201"/>
    </row>
    <row r="13833" spans="62:62" x14ac:dyDescent="0.2">
      <c r="BJ13833" s="201"/>
    </row>
    <row r="13834" spans="62:62" x14ac:dyDescent="0.2">
      <c r="BJ13834" s="201"/>
    </row>
    <row r="13835" spans="62:62" x14ac:dyDescent="0.2">
      <c r="BJ13835" s="201"/>
    </row>
    <row r="13836" spans="62:62" x14ac:dyDescent="0.2">
      <c r="BJ13836" s="201"/>
    </row>
    <row r="13837" spans="62:62" x14ac:dyDescent="0.2">
      <c r="BJ13837" s="201"/>
    </row>
    <row r="13838" spans="62:62" x14ac:dyDescent="0.2">
      <c r="BJ13838" s="201"/>
    </row>
    <row r="13839" spans="62:62" x14ac:dyDescent="0.2">
      <c r="BJ13839" s="201"/>
    </row>
    <row r="13840" spans="62:62" x14ac:dyDescent="0.2">
      <c r="BJ13840" s="201"/>
    </row>
    <row r="13841" spans="62:62" x14ac:dyDescent="0.2">
      <c r="BJ13841" s="201"/>
    </row>
    <row r="13842" spans="62:62" x14ac:dyDescent="0.2">
      <c r="BJ13842" s="201"/>
    </row>
    <row r="13843" spans="62:62" x14ac:dyDescent="0.2">
      <c r="BJ13843" s="201"/>
    </row>
    <row r="13844" spans="62:62" x14ac:dyDescent="0.2">
      <c r="BJ13844" s="201"/>
    </row>
    <row r="13845" spans="62:62" x14ac:dyDescent="0.2">
      <c r="BJ13845" s="201"/>
    </row>
    <row r="13846" spans="62:62" x14ac:dyDescent="0.2">
      <c r="BJ13846" s="201"/>
    </row>
    <row r="13847" spans="62:62" x14ac:dyDescent="0.2">
      <c r="BJ13847" s="201"/>
    </row>
    <row r="13848" spans="62:62" x14ac:dyDescent="0.2">
      <c r="BJ13848" s="201"/>
    </row>
    <row r="13849" spans="62:62" x14ac:dyDescent="0.2">
      <c r="BJ13849" s="201"/>
    </row>
    <row r="13850" spans="62:62" x14ac:dyDescent="0.2">
      <c r="BJ13850" s="201"/>
    </row>
    <row r="13851" spans="62:62" x14ac:dyDescent="0.2">
      <c r="BJ13851" s="201"/>
    </row>
    <row r="13852" spans="62:62" x14ac:dyDescent="0.2">
      <c r="BJ13852" s="201"/>
    </row>
    <row r="13853" spans="62:62" x14ac:dyDescent="0.2">
      <c r="BJ13853" s="201"/>
    </row>
    <row r="13854" spans="62:62" x14ac:dyDescent="0.2">
      <c r="BJ13854" s="201"/>
    </row>
    <row r="13855" spans="62:62" x14ac:dyDescent="0.2">
      <c r="BJ13855" s="201"/>
    </row>
    <row r="13856" spans="62:62" x14ac:dyDescent="0.2">
      <c r="BJ13856" s="201"/>
    </row>
    <row r="13857" spans="62:62" x14ac:dyDescent="0.2">
      <c r="BJ13857" s="201"/>
    </row>
    <row r="13858" spans="62:62" x14ac:dyDescent="0.2">
      <c r="BJ13858" s="201"/>
    </row>
    <row r="13859" spans="62:62" x14ac:dyDescent="0.2">
      <c r="BJ13859" s="201"/>
    </row>
    <row r="13860" spans="62:62" x14ac:dyDescent="0.2">
      <c r="BJ13860" s="201"/>
    </row>
    <row r="13861" spans="62:62" x14ac:dyDescent="0.2">
      <c r="BJ13861" s="201"/>
    </row>
    <row r="13862" spans="62:62" x14ac:dyDescent="0.2">
      <c r="BJ13862" s="201"/>
    </row>
    <row r="13863" spans="62:62" x14ac:dyDescent="0.2">
      <c r="BJ13863" s="201"/>
    </row>
    <row r="13864" spans="62:62" x14ac:dyDescent="0.2">
      <c r="BJ13864" s="201"/>
    </row>
    <row r="13865" spans="62:62" x14ac:dyDescent="0.2">
      <c r="BJ13865" s="201"/>
    </row>
    <row r="13866" spans="62:62" x14ac:dyDescent="0.2">
      <c r="BJ13866" s="201"/>
    </row>
    <row r="13867" spans="62:62" x14ac:dyDescent="0.2">
      <c r="BJ13867" s="201"/>
    </row>
    <row r="13868" spans="62:62" x14ac:dyDescent="0.2">
      <c r="BJ13868" s="201"/>
    </row>
    <row r="13869" spans="62:62" x14ac:dyDescent="0.2">
      <c r="BJ13869" s="201"/>
    </row>
    <row r="13870" spans="62:62" x14ac:dyDescent="0.2">
      <c r="BJ13870" s="201"/>
    </row>
    <row r="13871" spans="62:62" x14ac:dyDescent="0.2">
      <c r="BJ13871" s="201"/>
    </row>
    <row r="13872" spans="62:62" x14ac:dyDescent="0.2">
      <c r="BJ13872" s="201"/>
    </row>
    <row r="13873" spans="62:62" x14ac:dyDescent="0.2">
      <c r="BJ13873" s="201"/>
    </row>
    <row r="13874" spans="62:62" x14ac:dyDescent="0.2">
      <c r="BJ13874" s="201"/>
    </row>
    <row r="13875" spans="62:62" x14ac:dyDescent="0.2">
      <c r="BJ13875" s="201"/>
    </row>
    <row r="13876" spans="62:62" x14ac:dyDescent="0.2">
      <c r="BJ13876" s="201"/>
    </row>
    <row r="13877" spans="62:62" x14ac:dyDescent="0.2">
      <c r="BJ13877" s="201"/>
    </row>
    <row r="13878" spans="62:62" x14ac:dyDescent="0.2">
      <c r="BJ13878" s="201"/>
    </row>
    <row r="13879" spans="62:62" x14ac:dyDescent="0.2">
      <c r="BJ13879" s="201"/>
    </row>
    <row r="13880" spans="62:62" x14ac:dyDescent="0.2">
      <c r="BJ13880" s="201"/>
    </row>
    <row r="13881" spans="62:62" x14ac:dyDescent="0.2">
      <c r="BJ13881" s="201"/>
    </row>
    <row r="13882" spans="62:62" x14ac:dyDescent="0.2">
      <c r="BJ13882" s="201"/>
    </row>
    <row r="13883" spans="62:62" x14ac:dyDescent="0.2">
      <c r="BJ13883" s="201"/>
    </row>
    <row r="13884" spans="62:62" x14ac:dyDescent="0.2">
      <c r="BJ13884" s="201"/>
    </row>
    <row r="13885" spans="62:62" x14ac:dyDescent="0.2">
      <c r="BJ13885" s="201"/>
    </row>
    <row r="13886" spans="62:62" x14ac:dyDescent="0.2">
      <c r="BJ13886" s="201"/>
    </row>
    <row r="13887" spans="62:62" x14ac:dyDescent="0.2">
      <c r="BJ13887" s="201"/>
    </row>
    <row r="13888" spans="62:62" x14ac:dyDescent="0.2">
      <c r="BJ13888" s="201"/>
    </row>
    <row r="13889" spans="62:62" x14ac:dyDescent="0.2">
      <c r="BJ13889" s="201"/>
    </row>
    <row r="13890" spans="62:62" x14ac:dyDescent="0.2">
      <c r="BJ13890" s="201"/>
    </row>
    <row r="13891" spans="62:62" x14ac:dyDescent="0.2">
      <c r="BJ13891" s="201"/>
    </row>
    <row r="13892" spans="62:62" x14ac:dyDescent="0.2">
      <c r="BJ13892" s="201"/>
    </row>
    <row r="13893" spans="62:62" x14ac:dyDescent="0.2">
      <c r="BJ13893" s="201"/>
    </row>
    <row r="13894" spans="62:62" x14ac:dyDescent="0.2">
      <c r="BJ13894" s="201"/>
    </row>
    <row r="13895" spans="62:62" x14ac:dyDescent="0.2">
      <c r="BJ13895" s="201"/>
    </row>
    <row r="13896" spans="62:62" x14ac:dyDescent="0.2">
      <c r="BJ13896" s="201"/>
    </row>
    <row r="13897" spans="62:62" x14ac:dyDescent="0.2">
      <c r="BJ13897" s="201"/>
    </row>
    <row r="13898" spans="62:62" x14ac:dyDescent="0.2">
      <c r="BJ13898" s="201"/>
    </row>
    <row r="13899" spans="62:62" x14ac:dyDescent="0.2">
      <c r="BJ13899" s="201"/>
    </row>
    <row r="13900" spans="62:62" x14ac:dyDescent="0.2">
      <c r="BJ13900" s="201"/>
    </row>
    <row r="13901" spans="62:62" x14ac:dyDescent="0.2">
      <c r="BJ13901" s="201"/>
    </row>
    <row r="13902" spans="62:62" x14ac:dyDescent="0.2">
      <c r="BJ13902" s="201"/>
    </row>
    <row r="13903" spans="62:62" x14ac:dyDescent="0.2">
      <c r="BJ13903" s="201"/>
    </row>
    <row r="13904" spans="62:62" x14ac:dyDescent="0.2">
      <c r="BJ13904" s="201"/>
    </row>
    <row r="13905" spans="62:62" x14ac:dyDescent="0.2">
      <c r="BJ13905" s="201"/>
    </row>
    <row r="13906" spans="62:62" x14ac:dyDescent="0.2">
      <c r="BJ13906" s="201"/>
    </row>
    <row r="13907" spans="62:62" x14ac:dyDescent="0.2">
      <c r="BJ13907" s="201"/>
    </row>
    <row r="13908" spans="62:62" x14ac:dyDescent="0.2">
      <c r="BJ13908" s="201"/>
    </row>
    <row r="13909" spans="62:62" x14ac:dyDescent="0.2">
      <c r="BJ13909" s="201"/>
    </row>
    <row r="13910" spans="62:62" x14ac:dyDescent="0.2">
      <c r="BJ13910" s="201"/>
    </row>
    <row r="13911" spans="62:62" x14ac:dyDescent="0.2">
      <c r="BJ13911" s="201"/>
    </row>
    <row r="13912" spans="62:62" x14ac:dyDescent="0.2">
      <c r="BJ13912" s="201"/>
    </row>
    <row r="13913" spans="62:62" x14ac:dyDescent="0.2">
      <c r="BJ13913" s="201"/>
    </row>
    <row r="13914" spans="62:62" x14ac:dyDescent="0.2">
      <c r="BJ13914" s="201"/>
    </row>
    <row r="13915" spans="62:62" x14ac:dyDescent="0.2">
      <c r="BJ13915" s="201"/>
    </row>
    <row r="13916" spans="62:62" x14ac:dyDescent="0.2">
      <c r="BJ13916" s="201"/>
    </row>
    <row r="13917" spans="62:62" x14ac:dyDescent="0.2">
      <c r="BJ13917" s="201"/>
    </row>
    <row r="13918" spans="62:62" x14ac:dyDescent="0.2">
      <c r="BJ13918" s="201"/>
    </row>
    <row r="13919" spans="62:62" x14ac:dyDescent="0.2">
      <c r="BJ13919" s="201"/>
    </row>
    <row r="13920" spans="62:62" x14ac:dyDescent="0.2">
      <c r="BJ13920" s="201"/>
    </row>
    <row r="13921" spans="62:62" x14ac:dyDescent="0.2">
      <c r="BJ13921" s="201"/>
    </row>
    <row r="13922" spans="62:62" x14ac:dyDescent="0.2">
      <c r="BJ13922" s="201"/>
    </row>
    <row r="13923" spans="62:62" x14ac:dyDescent="0.2">
      <c r="BJ13923" s="201"/>
    </row>
    <row r="13924" spans="62:62" x14ac:dyDescent="0.2">
      <c r="BJ13924" s="201"/>
    </row>
    <row r="13925" spans="62:62" x14ac:dyDescent="0.2">
      <c r="BJ13925" s="201"/>
    </row>
    <row r="13926" spans="62:62" x14ac:dyDescent="0.2">
      <c r="BJ13926" s="201"/>
    </row>
    <row r="13927" spans="62:62" x14ac:dyDescent="0.2">
      <c r="BJ13927" s="201"/>
    </row>
    <row r="13928" spans="62:62" x14ac:dyDescent="0.2">
      <c r="BJ13928" s="201"/>
    </row>
    <row r="13929" spans="62:62" x14ac:dyDescent="0.2">
      <c r="BJ13929" s="201"/>
    </row>
    <row r="13930" spans="62:62" x14ac:dyDescent="0.2">
      <c r="BJ13930" s="201"/>
    </row>
    <row r="13931" spans="62:62" x14ac:dyDescent="0.2">
      <c r="BJ13931" s="201"/>
    </row>
    <row r="13932" spans="62:62" x14ac:dyDescent="0.2">
      <c r="BJ13932" s="201"/>
    </row>
    <row r="13933" spans="62:62" x14ac:dyDescent="0.2">
      <c r="BJ13933" s="201"/>
    </row>
    <row r="13934" spans="62:62" x14ac:dyDescent="0.2">
      <c r="BJ13934" s="201"/>
    </row>
    <row r="13935" spans="62:62" x14ac:dyDescent="0.2">
      <c r="BJ13935" s="201"/>
    </row>
    <row r="13936" spans="62:62" x14ac:dyDescent="0.2">
      <c r="BJ13936" s="201"/>
    </row>
    <row r="13937" spans="62:62" x14ac:dyDescent="0.2">
      <c r="BJ13937" s="201"/>
    </row>
    <row r="13938" spans="62:62" x14ac:dyDescent="0.2">
      <c r="BJ13938" s="201"/>
    </row>
    <row r="13939" spans="62:62" x14ac:dyDescent="0.2">
      <c r="BJ13939" s="201"/>
    </row>
    <row r="13940" spans="62:62" x14ac:dyDescent="0.2">
      <c r="BJ13940" s="201"/>
    </row>
    <row r="13941" spans="62:62" x14ac:dyDescent="0.2">
      <c r="BJ13941" s="201"/>
    </row>
    <row r="13942" spans="62:62" x14ac:dyDescent="0.2">
      <c r="BJ13942" s="201"/>
    </row>
    <row r="13943" spans="62:62" x14ac:dyDescent="0.2">
      <c r="BJ13943" s="201"/>
    </row>
    <row r="13944" spans="62:62" x14ac:dyDescent="0.2">
      <c r="BJ13944" s="201"/>
    </row>
    <row r="13945" spans="62:62" x14ac:dyDescent="0.2">
      <c r="BJ13945" s="201"/>
    </row>
    <row r="13946" spans="62:62" x14ac:dyDescent="0.2">
      <c r="BJ13946" s="201"/>
    </row>
    <row r="13947" spans="62:62" x14ac:dyDescent="0.2">
      <c r="BJ13947" s="201"/>
    </row>
    <row r="13948" spans="62:62" x14ac:dyDescent="0.2">
      <c r="BJ13948" s="201"/>
    </row>
    <row r="13949" spans="62:62" x14ac:dyDescent="0.2">
      <c r="BJ13949" s="201"/>
    </row>
    <row r="13950" spans="62:62" x14ac:dyDescent="0.2">
      <c r="BJ13950" s="201"/>
    </row>
    <row r="13951" spans="62:62" x14ac:dyDescent="0.2">
      <c r="BJ13951" s="201"/>
    </row>
    <row r="13952" spans="62:62" x14ac:dyDescent="0.2">
      <c r="BJ13952" s="201"/>
    </row>
    <row r="13953" spans="62:62" x14ac:dyDescent="0.2">
      <c r="BJ13953" s="201"/>
    </row>
    <row r="13954" spans="62:62" x14ac:dyDescent="0.2">
      <c r="BJ13954" s="201"/>
    </row>
    <row r="13955" spans="62:62" x14ac:dyDescent="0.2">
      <c r="BJ13955" s="201"/>
    </row>
    <row r="13956" spans="62:62" x14ac:dyDescent="0.2">
      <c r="BJ13956" s="201"/>
    </row>
    <row r="13957" spans="62:62" x14ac:dyDescent="0.2">
      <c r="BJ13957" s="201"/>
    </row>
    <row r="13958" spans="62:62" x14ac:dyDescent="0.2">
      <c r="BJ13958" s="201"/>
    </row>
    <row r="13959" spans="62:62" x14ac:dyDescent="0.2">
      <c r="BJ13959" s="201"/>
    </row>
    <row r="13960" spans="62:62" x14ac:dyDescent="0.2">
      <c r="BJ13960" s="201"/>
    </row>
    <row r="13961" spans="62:62" x14ac:dyDescent="0.2">
      <c r="BJ13961" s="201"/>
    </row>
    <row r="13962" spans="62:62" x14ac:dyDescent="0.2">
      <c r="BJ13962" s="201"/>
    </row>
    <row r="13963" spans="62:62" x14ac:dyDescent="0.2">
      <c r="BJ13963" s="201"/>
    </row>
    <row r="13964" spans="62:62" x14ac:dyDescent="0.2">
      <c r="BJ13964" s="201"/>
    </row>
    <row r="13965" spans="62:62" x14ac:dyDescent="0.2">
      <c r="BJ13965" s="201"/>
    </row>
    <row r="13966" spans="62:62" x14ac:dyDescent="0.2">
      <c r="BJ13966" s="201"/>
    </row>
    <row r="13967" spans="62:62" x14ac:dyDescent="0.2">
      <c r="BJ13967" s="201"/>
    </row>
    <row r="13968" spans="62:62" x14ac:dyDescent="0.2">
      <c r="BJ13968" s="201"/>
    </row>
    <row r="13969" spans="62:62" x14ac:dyDescent="0.2">
      <c r="BJ13969" s="201"/>
    </row>
    <row r="13970" spans="62:62" x14ac:dyDescent="0.2">
      <c r="BJ13970" s="201"/>
    </row>
    <row r="13971" spans="62:62" x14ac:dyDescent="0.2">
      <c r="BJ13971" s="201"/>
    </row>
    <row r="13972" spans="62:62" x14ac:dyDescent="0.2">
      <c r="BJ13972" s="201"/>
    </row>
    <row r="13973" spans="62:62" x14ac:dyDescent="0.2">
      <c r="BJ13973" s="201"/>
    </row>
    <row r="13974" spans="62:62" x14ac:dyDescent="0.2">
      <c r="BJ13974" s="201"/>
    </row>
    <row r="13975" spans="62:62" x14ac:dyDescent="0.2">
      <c r="BJ13975" s="201"/>
    </row>
    <row r="13976" spans="62:62" x14ac:dyDescent="0.2">
      <c r="BJ13976" s="201"/>
    </row>
    <row r="13977" spans="62:62" x14ac:dyDescent="0.2">
      <c r="BJ13977" s="201"/>
    </row>
    <row r="13978" spans="62:62" x14ac:dyDescent="0.2">
      <c r="BJ13978" s="201"/>
    </row>
    <row r="13979" spans="62:62" x14ac:dyDescent="0.2">
      <c r="BJ13979" s="201"/>
    </row>
    <row r="13980" spans="62:62" x14ac:dyDescent="0.2">
      <c r="BJ13980" s="201"/>
    </row>
    <row r="13981" spans="62:62" x14ac:dyDescent="0.2">
      <c r="BJ13981" s="201"/>
    </row>
    <row r="13982" spans="62:62" x14ac:dyDescent="0.2">
      <c r="BJ13982" s="201"/>
    </row>
    <row r="13983" spans="62:62" x14ac:dyDescent="0.2">
      <c r="BJ13983" s="201"/>
    </row>
    <row r="13984" spans="62:62" x14ac:dyDescent="0.2">
      <c r="BJ13984" s="201"/>
    </row>
    <row r="13985" spans="62:62" x14ac:dyDescent="0.2">
      <c r="BJ13985" s="201"/>
    </row>
    <row r="13986" spans="62:62" x14ac:dyDescent="0.2">
      <c r="BJ13986" s="201"/>
    </row>
    <row r="13987" spans="62:62" x14ac:dyDescent="0.2">
      <c r="BJ13987" s="201"/>
    </row>
    <row r="13988" spans="62:62" x14ac:dyDescent="0.2">
      <c r="BJ13988" s="201"/>
    </row>
    <row r="13989" spans="62:62" x14ac:dyDescent="0.2">
      <c r="BJ13989" s="201"/>
    </row>
    <row r="13990" spans="62:62" x14ac:dyDescent="0.2">
      <c r="BJ13990" s="201"/>
    </row>
    <row r="13991" spans="62:62" x14ac:dyDescent="0.2">
      <c r="BJ13991" s="201"/>
    </row>
    <row r="13992" spans="62:62" x14ac:dyDescent="0.2">
      <c r="BJ13992" s="201"/>
    </row>
    <row r="13993" spans="62:62" x14ac:dyDescent="0.2">
      <c r="BJ13993" s="201"/>
    </row>
    <row r="13994" spans="62:62" x14ac:dyDescent="0.2">
      <c r="BJ13994" s="201"/>
    </row>
    <row r="13995" spans="62:62" x14ac:dyDescent="0.2">
      <c r="BJ13995" s="201"/>
    </row>
    <row r="13996" spans="62:62" x14ac:dyDescent="0.2">
      <c r="BJ13996" s="201"/>
    </row>
    <row r="13997" spans="62:62" x14ac:dyDescent="0.2">
      <c r="BJ13997" s="201"/>
    </row>
    <row r="13998" spans="62:62" x14ac:dyDescent="0.2">
      <c r="BJ13998" s="201"/>
    </row>
    <row r="13999" spans="62:62" x14ac:dyDescent="0.2">
      <c r="BJ13999" s="201"/>
    </row>
    <row r="14000" spans="62:62" x14ac:dyDescent="0.2">
      <c r="BJ14000" s="201"/>
    </row>
    <row r="14001" spans="62:62" x14ac:dyDescent="0.2">
      <c r="BJ14001" s="201"/>
    </row>
    <row r="14002" spans="62:62" x14ac:dyDescent="0.2">
      <c r="BJ14002" s="201"/>
    </row>
    <row r="14003" spans="62:62" x14ac:dyDescent="0.2">
      <c r="BJ14003" s="201"/>
    </row>
    <row r="14004" spans="62:62" x14ac:dyDescent="0.2">
      <c r="BJ14004" s="201"/>
    </row>
    <row r="14005" spans="62:62" x14ac:dyDescent="0.2">
      <c r="BJ14005" s="201"/>
    </row>
    <row r="14006" spans="62:62" x14ac:dyDescent="0.2">
      <c r="BJ14006" s="201"/>
    </row>
    <row r="14007" spans="62:62" x14ac:dyDescent="0.2">
      <c r="BJ14007" s="201"/>
    </row>
    <row r="14008" spans="62:62" x14ac:dyDescent="0.2">
      <c r="BJ14008" s="201"/>
    </row>
    <row r="14009" spans="62:62" x14ac:dyDescent="0.2">
      <c r="BJ14009" s="201"/>
    </row>
    <row r="14010" spans="62:62" x14ac:dyDescent="0.2">
      <c r="BJ14010" s="201"/>
    </row>
    <row r="14011" spans="62:62" x14ac:dyDescent="0.2">
      <c r="BJ14011" s="201"/>
    </row>
    <row r="14012" spans="62:62" x14ac:dyDescent="0.2">
      <c r="BJ14012" s="201"/>
    </row>
    <row r="14013" spans="62:62" x14ac:dyDescent="0.2">
      <c r="BJ14013" s="201"/>
    </row>
    <row r="14014" spans="62:62" x14ac:dyDescent="0.2">
      <c r="BJ14014" s="201"/>
    </row>
    <row r="14015" spans="62:62" x14ac:dyDescent="0.2">
      <c r="BJ14015" s="201"/>
    </row>
    <row r="14016" spans="62:62" x14ac:dyDescent="0.2">
      <c r="BJ14016" s="201"/>
    </row>
    <row r="14017" spans="62:62" x14ac:dyDescent="0.2">
      <c r="BJ14017" s="201"/>
    </row>
    <row r="14018" spans="62:62" x14ac:dyDescent="0.2">
      <c r="BJ14018" s="201"/>
    </row>
    <row r="14019" spans="62:62" x14ac:dyDescent="0.2">
      <c r="BJ14019" s="201"/>
    </row>
    <row r="14020" spans="62:62" x14ac:dyDescent="0.2">
      <c r="BJ14020" s="201"/>
    </row>
    <row r="14021" spans="62:62" x14ac:dyDescent="0.2">
      <c r="BJ14021" s="201"/>
    </row>
    <row r="14022" spans="62:62" x14ac:dyDescent="0.2">
      <c r="BJ14022" s="201"/>
    </row>
    <row r="14023" spans="62:62" x14ac:dyDescent="0.2">
      <c r="BJ14023" s="201"/>
    </row>
    <row r="14024" spans="62:62" x14ac:dyDescent="0.2">
      <c r="BJ14024" s="201"/>
    </row>
    <row r="14025" spans="62:62" x14ac:dyDescent="0.2">
      <c r="BJ14025" s="201"/>
    </row>
    <row r="14026" spans="62:62" x14ac:dyDescent="0.2">
      <c r="BJ14026" s="201"/>
    </row>
    <row r="14027" spans="62:62" x14ac:dyDescent="0.2">
      <c r="BJ14027" s="201"/>
    </row>
    <row r="14028" spans="62:62" x14ac:dyDescent="0.2">
      <c r="BJ14028" s="201"/>
    </row>
    <row r="14029" spans="62:62" x14ac:dyDescent="0.2">
      <c r="BJ14029" s="201"/>
    </row>
    <row r="14030" spans="62:62" x14ac:dyDescent="0.2">
      <c r="BJ14030" s="201"/>
    </row>
    <row r="14031" spans="62:62" x14ac:dyDescent="0.2">
      <c r="BJ14031" s="201"/>
    </row>
    <row r="14032" spans="62:62" x14ac:dyDescent="0.2">
      <c r="BJ14032" s="201"/>
    </row>
    <row r="14033" spans="62:62" x14ac:dyDescent="0.2">
      <c r="BJ14033" s="201"/>
    </row>
    <row r="14034" spans="62:62" x14ac:dyDescent="0.2">
      <c r="BJ14034" s="201"/>
    </row>
    <row r="14035" spans="62:62" x14ac:dyDescent="0.2">
      <c r="BJ14035" s="201"/>
    </row>
    <row r="14036" spans="62:62" x14ac:dyDescent="0.2">
      <c r="BJ14036" s="201"/>
    </row>
    <row r="14037" spans="62:62" x14ac:dyDescent="0.2">
      <c r="BJ14037" s="201"/>
    </row>
    <row r="14038" spans="62:62" x14ac:dyDescent="0.2">
      <c r="BJ14038" s="201"/>
    </row>
    <row r="14039" spans="62:62" x14ac:dyDescent="0.2">
      <c r="BJ14039" s="201"/>
    </row>
    <row r="14040" spans="62:62" x14ac:dyDescent="0.2">
      <c r="BJ14040" s="201"/>
    </row>
    <row r="14041" spans="62:62" x14ac:dyDescent="0.2">
      <c r="BJ14041" s="201"/>
    </row>
    <row r="14042" spans="62:62" x14ac:dyDescent="0.2">
      <c r="BJ14042" s="201"/>
    </row>
    <row r="14043" spans="62:62" x14ac:dyDescent="0.2">
      <c r="BJ14043" s="201"/>
    </row>
    <row r="14044" spans="62:62" x14ac:dyDescent="0.2">
      <c r="BJ14044" s="201"/>
    </row>
    <row r="14045" spans="62:62" x14ac:dyDescent="0.2">
      <c r="BJ14045" s="201"/>
    </row>
    <row r="14046" spans="62:62" x14ac:dyDescent="0.2">
      <c r="BJ14046" s="201"/>
    </row>
    <row r="14047" spans="62:62" x14ac:dyDescent="0.2">
      <c r="BJ14047" s="201"/>
    </row>
    <row r="14048" spans="62:62" x14ac:dyDescent="0.2">
      <c r="BJ14048" s="201"/>
    </row>
    <row r="14049" spans="62:62" x14ac:dyDescent="0.2">
      <c r="BJ14049" s="201"/>
    </row>
    <row r="14050" spans="62:62" x14ac:dyDescent="0.2">
      <c r="BJ14050" s="201"/>
    </row>
    <row r="14051" spans="62:62" x14ac:dyDescent="0.2">
      <c r="BJ14051" s="201"/>
    </row>
    <row r="14052" spans="62:62" x14ac:dyDescent="0.2">
      <c r="BJ14052" s="201"/>
    </row>
    <row r="14053" spans="62:62" x14ac:dyDescent="0.2">
      <c r="BJ14053" s="201"/>
    </row>
    <row r="14054" spans="62:62" x14ac:dyDescent="0.2">
      <c r="BJ14054" s="201"/>
    </row>
    <row r="14055" spans="62:62" x14ac:dyDescent="0.2">
      <c r="BJ14055" s="201"/>
    </row>
    <row r="14056" spans="62:62" x14ac:dyDescent="0.2">
      <c r="BJ14056" s="201"/>
    </row>
    <row r="14057" spans="62:62" x14ac:dyDescent="0.2">
      <c r="BJ14057" s="201"/>
    </row>
    <row r="14058" spans="62:62" x14ac:dyDescent="0.2">
      <c r="BJ14058" s="201"/>
    </row>
    <row r="14059" spans="62:62" x14ac:dyDescent="0.2">
      <c r="BJ14059" s="201"/>
    </row>
    <row r="14060" spans="62:62" x14ac:dyDescent="0.2">
      <c r="BJ14060" s="201"/>
    </row>
    <row r="14061" spans="62:62" x14ac:dyDescent="0.2">
      <c r="BJ14061" s="201"/>
    </row>
    <row r="14062" spans="62:62" x14ac:dyDescent="0.2">
      <c r="BJ14062" s="201"/>
    </row>
    <row r="14063" spans="62:62" x14ac:dyDescent="0.2">
      <c r="BJ14063" s="201"/>
    </row>
    <row r="14064" spans="62:62" x14ac:dyDescent="0.2">
      <c r="BJ14064" s="201"/>
    </row>
    <row r="14065" spans="62:62" x14ac:dyDescent="0.2">
      <c r="BJ14065" s="201"/>
    </row>
    <row r="14066" spans="62:62" x14ac:dyDescent="0.2">
      <c r="BJ14066" s="201"/>
    </row>
    <row r="14067" spans="62:62" x14ac:dyDescent="0.2">
      <c r="BJ14067" s="201"/>
    </row>
    <row r="14068" spans="62:62" x14ac:dyDescent="0.2">
      <c r="BJ14068" s="201"/>
    </row>
    <row r="14069" spans="62:62" x14ac:dyDescent="0.2">
      <c r="BJ14069" s="201"/>
    </row>
    <row r="14070" spans="62:62" x14ac:dyDescent="0.2">
      <c r="BJ14070" s="201"/>
    </row>
    <row r="14071" spans="62:62" x14ac:dyDescent="0.2">
      <c r="BJ14071" s="201"/>
    </row>
    <row r="14072" spans="62:62" x14ac:dyDescent="0.2">
      <c r="BJ14072" s="201"/>
    </row>
    <row r="14073" spans="62:62" x14ac:dyDescent="0.2">
      <c r="BJ14073" s="201"/>
    </row>
    <row r="14074" spans="62:62" x14ac:dyDescent="0.2">
      <c r="BJ14074" s="201"/>
    </row>
    <row r="14075" spans="62:62" x14ac:dyDescent="0.2">
      <c r="BJ14075" s="201"/>
    </row>
    <row r="14076" spans="62:62" x14ac:dyDescent="0.2">
      <c r="BJ14076" s="201"/>
    </row>
    <row r="14077" spans="62:62" x14ac:dyDescent="0.2">
      <c r="BJ14077" s="201"/>
    </row>
    <row r="14078" spans="62:62" x14ac:dyDescent="0.2">
      <c r="BJ14078" s="201"/>
    </row>
    <row r="14079" spans="62:62" x14ac:dyDescent="0.2">
      <c r="BJ14079" s="201"/>
    </row>
    <row r="14080" spans="62:62" x14ac:dyDescent="0.2">
      <c r="BJ14080" s="201"/>
    </row>
    <row r="14081" spans="62:62" x14ac:dyDescent="0.2">
      <c r="BJ14081" s="201"/>
    </row>
    <row r="14082" spans="62:62" x14ac:dyDescent="0.2">
      <c r="BJ14082" s="201"/>
    </row>
    <row r="14083" spans="62:62" x14ac:dyDescent="0.2">
      <c r="BJ14083" s="201"/>
    </row>
    <row r="14084" spans="62:62" x14ac:dyDescent="0.2">
      <c r="BJ14084" s="201"/>
    </row>
    <row r="14085" spans="62:62" x14ac:dyDescent="0.2">
      <c r="BJ14085" s="201"/>
    </row>
    <row r="14086" spans="62:62" x14ac:dyDescent="0.2">
      <c r="BJ14086" s="201"/>
    </row>
    <row r="14087" spans="62:62" x14ac:dyDescent="0.2">
      <c r="BJ14087" s="201"/>
    </row>
    <row r="14088" spans="62:62" x14ac:dyDescent="0.2">
      <c r="BJ14088" s="201"/>
    </row>
    <row r="14089" spans="62:62" x14ac:dyDescent="0.2">
      <c r="BJ14089" s="201"/>
    </row>
    <row r="14090" spans="62:62" x14ac:dyDescent="0.2">
      <c r="BJ14090" s="201"/>
    </row>
    <row r="14091" spans="62:62" x14ac:dyDescent="0.2">
      <c r="BJ14091" s="201"/>
    </row>
    <row r="14092" spans="62:62" x14ac:dyDescent="0.2">
      <c r="BJ14092" s="201"/>
    </row>
    <row r="14093" spans="62:62" x14ac:dyDescent="0.2">
      <c r="BJ14093" s="201"/>
    </row>
    <row r="14094" spans="62:62" x14ac:dyDescent="0.2">
      <c r="BJ14094" s="201"/>
    </row>
    <row r="14095" spans="62:62" x14ac:dyDescent="0.2">
      <c r="BJ14095" s="201"/>
    </row>
    <row r="14096" spans="62:62" x14ac:dyDescent="0.2">
      <c r="BJ14096" s="201"/>
    </row>
    <row r="14097" spans="62:62" x14ac:dyDescent="0.2">
      <c r="BJ14097" s="201"/>
    </row>
    <row r="14098" spans="62:62" x14ac:dyDescent="0.2">
      <c r="BJ14098" s="201"/>
    </row>
    <row r="14099" spans="62:62" x14ac:dyDescent="0.2">
      <c r="BJ14099" s="201"/>
    </row>
    <row r="14100" spans="62:62" x14ac:dyDescent="0.2">
      <c r="BJ14100" s="201"/>
    </row>
    <row r="14101" spans="62:62" x14ac:dyDescent="0.2">
      <c r="BJ14101" s="201"/>
    </row>
    <row r="14102" spans="62:62" x14ac:dyDescent="0.2">
      <c r="BJ14102" s="201"/>
    </row>
    <row r="14103" spans="62:62" x14ac:dyDescent="0.2">
      <c r="BJ14103" s="201"/>
    </row>
    <row r="14104" spans="62:62" x14ac:dyDescent="0.2">
      <c r="BJ14104" s="201"/>
    </row>
    <row r="14105" spans="62:62" x14ac:dyDescent="0.2">
      <c r="BJ14105" s="201"/>
    </row>
    <row r="14106" spans="62:62" x14ac:dyDescent="0.2">
      <c r="BJ14106" s="201"/>
    </row>
    <row r="14107" spans="62:62" x14ac:dyDescent="0.2">
      <c r="BJ14107" s="201"/>
    </row>
    <row r="14108" spans="62:62" x14ac:dyDescent="0.2">
      <c r="BJ14108" s="201"/>
    </row>
    <row r="14109" spans="62:62" x14ac:dyDescent="0.2">
      <c r="BJ14109" s="201"/>
    </row>
    <row r="14110" spans="62:62" x14ac:dyDescent="0.2">
      <c r="BJ14110" s="201"/>
    </row>
    <row r="14111" spans="62:62" x14ac:dyDescent="0.2">
      <c r="BJ14111" s="201"/>
    </row>
    <row r="14112" spans="62:62" x14ac:dyDescent="0.2">
      <c r="BJ14112" s="201"/>
    </row>
    <row r="14113" spans="62:62" x14ac:dyDescent="0.2">
      <c r="BJ14113" s="201"/>
    </row>
    <row r="14114" spans="62:62" x14ac:dyDescent="0.2">
      <c r="BJ14114" s="201"/>
    </row>
    <row r="14115" spans="62:62" x14ac:dyDescent="0.2">
      <c r="BJ14115" s="201"/>
    </row>
    <row r="14116" spans="62:62" x14ac:dyDescent="0.2">
      <c r="BJ14116" s="201"/>
    </row>
    <row r="14117" spans="62:62" x14ac:dyDescent="0.2">
      <c r="BJ14117" s="201"/>
    </row>
    <row r="14118" spans="62:62" x14ac:dyDescent="0.2">
      <c r="BJ14118" s="201"/>
    </row>
    <row r="14119" spans="62:62" x14ac:dyDescent="0.2">
      <c r="BJ14119" s="201"/>
    </row>
    <row r="14120" spans="62:62" x14ac:dyDescent="0.2">
      <c r="BJ14120" s="201"/>
    </row>
    <row r="14121" spans="62:62" x14ac:dyDescent="0.2">
      <c r="BJ14121" s="201"/>
    </row>
    <row r="14122" spans="62:62" x14ac:dyDescent="0.2">
      <c r="BJ14122" s="201"/>
    </row>
    <row r="14123" spans="62:62" x14ac:dyDescent="0.2">
      <c r="BJ14123" s="201"/>
    </row>
    <row r="14124" spans="62:62" x14ac:dyDescent="0.2">
      <c r="BJ14124" s="201"/>
    </row>
    <row r="14125" spans="62:62" x14ac:dyDescent="0.2">
      <c r="BJ14125" s="201"/>
    </row>
    <row r="14126" spans="62:62" x14ac:dyDescent="0.2">
      <c r="BJ14126" s="201"/>
    </row>
    <row r="14127" spans="62:62" x14ac:dyDescent="0.2">
      <c r="BJ14127" s="201"/>
    </row>
    <row r="14128" spans="62:62" x14ac:dyDescent="0.2">
      <c r="BJ14128" s="201"/>
    </row>
    <row r="14129" spans="62:62" x14ac:dyDescent="0.2">
      <c r="BJ14129" s="201"/>
    </row>
    <row r="14130" spans="62:62" x14ac:dyDescent="0.2">
      <c r="BJ14130" s="201"/>
    </row>
    <row r="14131" spans="62:62" x14ac:dyDescent="0.2">
      <c r="BJ14131" s="201"/>
    </row>
    <row r="14132" spans="62:62" x14ac:dyDescent="0.2">
      <c r="BJ14132" s="201"/>
    </row>
    <row r="14133" spans="62:62" x14ac:dyDescent="0.2">
      <c r="BJ14133" s="201"/>
    </row>
    <row r="14134" spans="62:62" x14ac:dyDescent="0.2">
      <c r="BJ14134" s="201"/>
    </row>
    <row r="14135" spans="62:62" x14ac:dyDescent="0.2">
      <c r="BJ14135" s="201"/>
    </row>
    <row r="14136" spans="62:62" x14ac:dyDescent="0.2">
      <c r="BJ14136" s="201"/>
    </row>
    <row r="14137" spans="62:62" x14ac:dyDescent="0.2">
      <c r="BJ14137" s="201"/>
    </row>
    <row r="14138" spans="62:62" x14ac:dyDescent="0.2">
      <c r="BJ14138" s="201"/>
    </row>
    <row r="14139" spans="62:62" x14ac:dyDescent="0.2">
      <c r="BJ14139" s="201"/>
    </row>
    <row r="14140" spans="62:62" x14ac:dyDescent="0.2">
      <c r="BJ14140" s="201"/>
    </row>
    <row r="14141" spans="62:62" x14ac:dyDescent="0.2">
      <c r="BJ14141" s="201"/>
    </row>
    <row r="14142" spans="62:62" x14ac:dyDescent="0.2">
      <c r="BJ14142" s="201"/>
    </row>
    <row r="14143" spans="62:62" x14ac:dyDescent="0.2">
      <c r="BJ14143" s="201"/>
    </row>
    <row r="14144" spans="62:62" x14ac:dyDescent="0.2">
      <c r="BJ14144" s="201"/>
    </row>
    <row r="14145" spans="62:62" x14ac:dyDescent="0.2">
      <c r="BJ14145" s="201"/>
    </row>
    <row r="14146" spans="62:62" x14ac:dyDescent="0.2">
      <c r="BJ14146" s="201"/>
    </row>
    <row r="14147" spans="62:62" x14ac:dyDescent="0.2">
      <c r="BJ14147" s="201"/>
    </row>
    <row r="14148" spans="62:62" x14ac:dyDescent="0.2">
      <c r="BJ14148" s="201"/>
    </row>
    <row r="14149" spans="62:62" x14ac:dyDescent="0.2">
      <c r="BJ14149" s="201"/>
    </row>
    <row r="14150" spans="62:62" x14ac:dyDescent="0.2">
      <c r="BJ14150" s="201"/>
    </row>
    <row r="14151" spans="62:62" x14ac:dyDescent="0.2">
      <c r="BJ14151" s="201"/>
    </row>
    <row r="14152" spans="62:62" x14ac:dyDescent="0.2">
      <c r="BJ14152" s="201"/>
    </row>
    <row r="14153" spans="62:62" x14ac:dyDescent="0.2">
      <c r="BJ14153" s="201"/>
    </row>
    <row r="14154" spans="62:62" x14ac:dyDescent="0.2">
      <c r="BJ14154" s="201"/>
    </row>
    <row r="14155" spans="62:62" x14ac:dyDescent="0.2">
      <c r="BJ14155" s="201"/>
    </row>
    <row r="14156" spans="62:62" x14ac:dyDescent="0.2">
      <c r="BJ14156" s="201"/>
    </row>
    <row r="14157" spans="62:62" x14ac:dyDescent="0.2">
      <c r="BJ14157" s="201"/>
    </row>
    <row r="14158" spans="62:62" x14ac:dyDescent="0.2">
      <c r="BJ14158" s="201"/>
    </row>
    <row r="14159" spans="62:62" x14ac:dyDescent="0.2">
      <c r="BJ14159" s="201"/>
    </row>
    <row r="14160" spans="62:62" x14ac:dyDescent="0.2">
      <c r="BJ14160" s="201"/>
    </row>
    <row r="14161" spans="62:62" x14ac:dyDescent="0.2">
      <c r="BJ14161" s="201"/>
    </row>
    <row r="14162" spans="62:62" x14ac:dyDescent="0.2">
      <c r="BJ14162" s="201"/>
    </row>
    <row r="14163" spans="62:62" x14ac:dyDescent="0.2">
      <c r="BJ14163" s="201"/>
    </row>
    <row r="14164" spans="62:62" x14ac:dyDescent="0.2">
      <c r="BJ14164" s="201"/>
    </row>
    <row r="14165" spans="62:62" x14ac:dyDescent="0.2">
      <c r="BJ14165" s="201"/>
    </row>
    <row r="14166" spans="62:62" x14ac:dyDescent="0.2">
      <c r="BJ14166" s="201"/>
    </row>
    <row r="14167" spans="62:62" x14ac:dyDescent="0.2">
      <c r="BJ14167" s="201"/>
    </row>
    <row r="14168" spans="62:62" x14ac:dyDescent="0.2">
      <c r="BJ14168" s="201"/>
    </row>
    <row r="14169" spans="62:62" x14ac:dyDescent="0.2">
      <c r="BJ14169" s="201"/>
    </row>
    <row r="14170" spans="62:62" x14ac:dyDescent="0.2">
      <c r="BJ14170" s="201"/>
    </row>
    <row r="14171" spans="62:62" x14ac:dyDescent="0.2">
      <c r="BJ14171" s="201"/>
    </row>
    <row r="14172" spans="62:62" x14ac:dyDescent="0.2">
      <c r="BJ14172" s="201"/>
    </row>
    <row r="14173" spans="62:62" x14ac:dyDescent="0.2">
      <c r="BJ14173" s="201"/>
    </row>
    <row r="14174" spans="62:62" x14ac:dyDescent="0.2">
      <c r="BJ14174" s="201"/>
    </row>
    <row r="14175" spans="62:62" x14ac:dyDescent="0.2">
      <c r="BJ14175" s="201"/>
    </row>
    <row r="14176" spans="62:62" x14ac:dyDescent="0.2">
      <c r="BJ14176" s="201"/>
    </row>
    <row r="14177" spans="62:62" x14ac:dyDescent="0.2">
      <c r="BJ14177" s="201"/>
    </row>
    <row r="14178" spans="62:62" x14ac:dyDescent="0.2">
      <c r="BJ14178" s="201"/>
    </row>
    <row r="14179" spans="62:62" x14ac:dyDescent="0.2">
      <c r="BJ14179" s="201"/>
    </row>
    <row r="14180" spans="62:62" x14ac:dyDescent="0.2">
      <c r="BJ14180" s="201"/>
    </row>
    <row r="14181" spans="62:62" x14ac:dyDescent="0.2">
      <c r="BJ14181" s="201"/>
    </row>
    <row r="14182" spans="62:62" x14ac:dyDescent="0.2">
      <c r="BJ14182" s="201"/>
    </row>
    <row r="14183" spans="62:62" x14ac:dyDescent="0.2">
      <c r="BJ14183" s="201"/>
    </row>
    <row r="14184" spans="62:62" x14ac:dyDescent="0.2">
      <c r="BJ14184" s="201"/>
    </row>
    <row r="14185" spans="62:62" x14ac:dyDescent="0.2">
      <c r="BJ14185" s="201"/>
    </row>
    <row r="14186" spans="62:62" x14ac:dyDescent="0.2">
      <c r="BJ14186" s="201"/>
    </row>
    <row r="14187" spans="62:62" x14ac:dyDescent="0.2">
      <c r="BJ14187" s="201"/>
    </row>
    <row r="14188" spans="62:62" x14ac:dyDescent="0.2">
      <c r="BJ14188" s="201"/>
    </row>
    <row r="14189" spans="62:62" x14ac:dyDescent="0.2">
      <c r="BJ14189" s="201"/>
    </row>
    <row r="14190" spans="62:62" x14ac:dyDescent="0.2">
      <c r="BJ14190" s="201"/>
    </row>
    <row r="14191" spans="62:62" x14ac:dyDescent="0.2">
      <c r="BJ14191" s="201"/>
    </row>
    <row r="14192" spans="62:62" x14ac:dyDescent="0.2">
      <c r="BJ14192" s="201"/>
    </row>
    <row r="14193" spans="62:62" x14ac:dyDescent="0.2">
      <c r="BJ14193" s="201"/>
    </row>
    <row r="14194" spans="62:62" x14ac:dyDescent="0.2">
      <c r="BJ14194" s="201"/>
    </row>
    <row r="14195" spans="62:62" x14ac:dyDescent="0.2">
      <c r="BJ14195" s="201"/>
    </row>
    <row r="14196" spans="62:62" x14ac:dyDescent="0.2">
      <c r="BJ14196" s="201"/>
    </row>
    <row r="14197" spans="62:62" x14ac:dyDescent="0.2">
      <c r="BJ14197" s="201"/>
    </row>
    <row r="14198" spans="62:62" x14ac:dyDescent="0.2">
      <c r="BJ14198" s="201"/>
    </row>
    <row r="14199" spans="62:62" x14ac:dyDescent="0.2">
      <c r="BJ14199" s="201"/>
    </row>
    <row r="14200" spans="62:62" x14ac:dyDescent="0.2">
      <c r="BJ14200" s="201"/>
    </row>
    <row r="14201" spans="62:62" x14ac:dyDescent="0.2">
      <c r="BJ14201" s="201"/>
    </row>
    <row r="14202" spans="62:62" x14ac:dyDescent="0.2">
      <c r="BJ14202" s="201"/>
    </row>
    <row r="14203" spans="62:62" x14ac:dyDescent="0.2">
      <c r="BJ14203" s="201"/>
    </row>
    <row r="14204" spans="62:62" x14ac:dyDescent="0.2">
      <c r="BJ14204" s="201"/>
    </row>
    <row r="14205" spans="62:62" x14ac:dyDescent="0.2">
      <c r="BJ14205" s="201"/>
    </row>
    <row r="14206" spans="62:62" x14ac:dyDescent="0.2">
      <c r="BJ14206" s="201"/>
    </row>
    <row r="14207" spans="62:62" x14ac:dyDescent="0.2">
      <c r="BJ14207" s="201"/>
    </row>
    <row r="14208" spans="62:62" x14ac:dyDescent="0.2">
      <c r="BJ14208" s="201"/>
    </row>
    <row r="14209" spans="62:62" x14ac:dyDescent="0.2">
      <c r="BJ14209" s="201"/>
    </row>
    <row r="14210" spans="62:62" x14ac:dyDescent="0.2">
      <c r="BJ14210" s="201"/>
    </row>
    <row r="14211" spans="62:62" x14ac:dyDescent="0.2">
      <c r="BJ14211" s="201"/>
    </row>
    <row r="14212" spans="62:62" x14ac:dyDescent="0.2">
      <c r="BJ14212" s="201"/>
    </row>
    <row r="14213" spans="62:62" x14ac:dyDescent="0.2">
      <c r="BJ14213" s="201"/>
    </row>
    <row r="14214" spans="62:62" x14ac:dyDescent="0.2">
      <c r="BJ14214" s="201"/>
    </row>
    <row r="14215" spans="62:62" x14ac:dyDescent="0.2">
      <c r="BJ14215" s="201"/>
    </row>
    <row r="14216" spans="62:62" x14ac:dyDescent="0.2">
      <c r="BJ14216" s="201"/>
    </row>
    <row r="14217" spans="62:62" x14ac:dyDescent="0.2">
      <c r="BJ14217" s="201"/>
    </row>
    <row r="14218" spans="62:62" x14ac:dyDescent="0.2">
      <c r="BJ14218" s="201"/>
    </row>
    <row r="14219" spans="62:62" x14ac:dyDescent="0.2">
      <c r="BJ14219" s="201"/>
    </row>
    <row r="14220" spans="62:62" x14ac:dyDescent="0.2">
      <c r="BJ14220" s="201"/>
    </row>
    <row r="14221" spans="62:62" x14ac:dyDescent="0.2">
      <c r="BJ14221" s="201"/>
    </row>
    <row r="14222" spans="62:62" x14ac:dyDescent="0.2">
      <c r="BJ14222" s="201"/>
    </row>
    <row r="14223" spans="62:62" x14ac:dyDescent="0.2">
      <c r="BJ14223" s="201"/>
    </row>
    <row r="14224" spans="62:62" x14ac:dyDescent="0.2">
      <c r="BJ14224" s="201"/>
    </row>
    <row r="14225" spans="62:62" x14ac:dyDescent="0.2">
      <c r="BJ14225" s="201"/>
    </row>
    <row r="14226" spans="62:62" x14ac:dyDescent="0.2">
      <c r="BJ14226" s="201"/>
    </row>
    <row r="14227" spans="62:62" x14ac:dyDescent="0.2">
      <c r="BJ14227" s="201"/>
    </row>
    <row r="14228" spans="62:62" x14ac:dyDescent="0.2">
      <c r="BJ14228" s="201"/>
    </row>
    <row r="14229" spans="62:62" x14ac:dyDescent="0.2">
      <c r="BJ14229" s="201"/>
    </row>
    <row r="14230" spans="62:62" x14ac:dyDescent="0.2">
      <c r="BJ14230" s="201"/>
    </row>
    <row r="14231" spans="62:62" x14ac:dyDescent="0.2">
      <c r="BJ14231" s="201"/>
    </row>
    <row r="14232" spans="62:62" x14ac:dyDescent="0.2">
      <c r="BJ14232" s="201"/>
    </row>
    <row r="14233" spans="62:62" x14ac:dyDescent="0.2">
      <c r="BJ14233" s="201"/>
    </row>
    <row r="14234" spans="62:62" x14ac:dyDescent="0.2">
      <c r="BJ14234" s="201"/>
    </row>
    <row r="14235" spans="62:62" x14ac:dyDescent="0.2">
      <c r="BJ14235" s="201"/>
    </row>
    <row r="14236" spans="62:62" x14ac:dyDescent="0.2">
      <c r="BJ14236" s="201"/>
    </row>
    <row r="14237" spans="62:62" x14ac:dyDescent="0.2">
      <c r="BJ14237" s="201"/>
    </row>
    <row r="14238" spans="62:62" x14ac:dyDescent="0.2">
      <c r="BJ14238" s="201"/>
    </row>
    <row r="14239" spans="62:62" x14ac:dyDescent="0.2">
      <c r="BJ14239" s="201"/>
    </row>
    <row r="14240" spans="62:62" x14ac:dyDescent="0.2">
      <c r="BJ14240" s="201"/>
    </row>
    <row r="14241" spans="62:62" x14ac:dyDescent="0.2">
      <c r="BJ14241" s="201"/>
    </row>
    <row r="14242" spans="62:62" x14ac:dyDescent="0.2">
      <c r="BJ14242" s="201"/>
    </row>
    <row r="14243" spans="62:62" x14ac:dyDescent="0.2">
      <c r="BJ14243" s="201"/>
    </row>
    <row r="14244" spans="62:62" x14ac:dyDescent="0.2">
      <c r="BJ14244" s="201"/>
    </row>
    <row r="14245" spans="62:62" x14ac:dyDescent="0.2">
      <c r="BJ14245" s="201"/>
    </row>
    <row r="14246" spans="62:62" x14ac:dyDescent="0.2">
      <c r="BJ14246" s="201"/>
    </row>
    <row r="14247" spans="62:62" x14ac:dyDescent="0.2">
      <c r="BJ14247" s="201"/>
    </row>
    <row r="14248" spans="62:62" x14ac:dyDescent="0.2">
      <c r="BJ14248" s="201"/>
    </row>
    <row r="14249" spans="62:62" x14ac:dyDescent="0.2">
      <c r="BJ14249" s="201"/>
    </row>
    <row r="14250" spans="62:62" x14ac:dyDescent="0.2">
      <c r="BJ14250" s="201"/>
    </row>
    <row r="14251" spans="62:62" x14ac:dyDescent="0.2">
      <c r="BJ14251" s="201"/>
    </row>
    <row r="14252" spans="62:62" x14ac:dyDescent="0.2">
      <c r="BJ14252" s="201"/>
    </row>
    <row r="14253" spans="62:62" x14ac:dyDescent="0.2">
      <c r="BJ14253" s="201"/>
    </row>
    <row r="14254" spans="62:62" x14ac:dyDescent="0.2">
      <c r="BJ14254" s="201"/>
    </row>
    <row r="14255" spans="62:62" x14ac:dyDescent="0.2">
      <c r="BJ14255" s="201"/>
    </row>
    <row r="14256" spans="62:62" x14ac:dyDescent="0.2">
      <c r="BJ14256" s="201"/>
    </row>
    <row r="14257" spans="62:62" x14ac:dyDescent="0.2">
      <c r="BJ14257" s="201"/>
    </row>
    <row r="14258" spans="62:62" x14ac:dyDescent="0.2">
      <c r="BJ14258" s="201"/>
    </row>
    <row r="14259" spans="62:62" x14ac:dyDescent="0.2">
      <c r="BJ14259" s="201"/>
    </row>
    <row r="14260" spans="62:62" x14ac:dyDescent="0.2">
      <c r="BJ14260" s="201"/>
    </row>
    <row r="14261" spans="62:62" x14ac:dyDescent="0.2">
      <c r="BJ14261" s="201"/>
    </row>
    <row r="14262" spans="62:62" x14ac:dyDescent="0.2">
      <c r="BJ14262" s="201"/>
    </row>
    <row r="14263" spans="62:62" x14ac:dyDescent="0.2">
      <c r="BJ14263" s="201"/>
    </row>
    <row r="14264" spans="62:62" x14ac:dyDescent="0.2">
      <c r="BJ14264" s="201"/>
    </row>
    <row r="14265" spans="62:62" x14ac:dyDescent="0.2">
      <c r="BJ14265" s="201"/>
    </row>
    <row r="14266" spans="62:62" x14ac:dyDescent="0.2">
      <c r="BJ14266" s="201"/>
    </row>
    <row r="14267" spans="62:62" x14ac:dyDescent="0.2">
      <c r="BJ14267" s="201"/>
    </row>
    <row r="14268" spans="62:62" x14ac:dyDescent="0.2">
      <c r="BJ14268" s="201"/>
    </row>
    <row r="14269" spans="62:62" x14ac:dyDescent="0.2">
      <c r="BJ14269" s="201"/>
    </row>
    <row r="14270" spans="62:62" x14ac:dyDescent="0.2">
      <c r="BJ14270" s="201"/>
    </row>
    <row r="14271" spans="62:62" x14ac:dyDescent="0.2">
      <c r="BJ14271" s="201"/>
    </row>
    <row r="14272" spans="62:62" x14ac:dyDescent="0.2">
      <c r="BJ14272" s="201"/>
    </row>
    <row r="14273" spans="62:62" x14ac:dyDescent="0.2">
      <c r="BJ14273" s="201"/>
    </row>
    <row r="14274" spans="62:62" x14ac:dyDescent="0.2">
      <c r="BJ14274" s="201"/>
    </row>
    <row r="14275" spans="62:62" x14ac:dyDescent="0.2">
      <c r="BJ14275" s="201"/>
    </row>
    <row r="14276" spans="62:62" x14ac:dyDescent="0.2">
      <c r="BJ14276" s="201"/>
    </row>
    <row r="14277" spans="62:62" x14ac:dyDescent="0.2">
      <c r="BJ14277" s="201"/>
    </row>
    <row r="14278" spans="62:62" x14ac:dyDescent="0.2">
      <c r="BJ14278" s="201"/>
    </row>
    <row r="14279" spans="62:62" x14ac:dyDescent="0.2">
      <c r="BJ14279" s="201"/>
    </row>
    <row r="14280" spans="62:62" x14ac:dyDescent="0.2">
      <c r="BJ14280" s="201"/>
    </row>
    <row r="14281" spans="62:62" x14ac:dyDescent="0.2">
      <c r="BJ14281" s="201"/>
    </row>
    <row r="14282" spans="62:62" x14ac:dyDescent="0.2">
      <c r="BJ14282" s="201"/>
    </row>
    <row r="14283" spans="62:62" x14ac:dyDescent="0.2">
      <c r="BJ14283" s="201"/>
    </row>
    <row r="14284" spans="62:62" x14ac:dyDescent="0.2">
      <c r="BJ14284" s="201"/>
    </row>
    <row r="14285" spans="62:62" x14ac:dyDescent="0.2">
      <c r="BJ14285" s="201"/>
    </row>
    <row r="14286" spans="62:62" x14ac:dyDescent="0.2">
      <c r="BJ14286" s="201"/>
    </row>
    <row r="14287" spans="62:62" x14ac:dyDescent="0.2">
      <c r="BJ14287" s="201"/>
    </row>
    <row r="14288" spans="62:62" x14ac:dyDescent="0.2">
      <c r="BJ14288" s="201"/>
    </row>
    <row r="14289" spans="62:62" x14ac:dyDescent="0.2">
      <c r="BJ14289" s="201"/>
    </row>
    <row r="14290" spans="62:62" x14ac:dyDescent="0.2">
      <c r="BJ14290" s="201"/>
    </row>
    <row r="14291" spans="62:62" x14ac:dyDescent="0.2">
      <c r="BJ14291" s="201"/>
    </row>
    <row r="14292" spans="62:62" x14ac:dyDescent="0.2">
      <c r="BJ14292" s="201"/>
    </row>
    <row r="14293" spans="62:62" x14ac:dyDescent="0.2">
      <c r="BJ14293" s="201"/>
    </row>
    <row r="14294" spans="62:62" x14ac:dyDescent="0.2">
      <c r="BJ14294" s="201"/>
    </row>
    <row r="14295" spans="62:62" x14ac:dyDescent="0.2">
      <c r="BJ14295" s="201"/>
    </row>
    <row r="14296" spans="62:62" x14ac:dyDescent="0.2">
      <c r="BJ14296" s="201"/>
    </row>
    <row r="14297" spans="62:62" x14ac:dyDescent="0.2">
      <c r="BJ14297" s="201"/>
    </row>
    <row r="14298" spans="62:62" x14ac:dyDescent="0.2">
      <c r="BJ14298" s="201"/>
    </row>
    <row r="14299" spans="62:62" x14ac:dyDescent="0.2">
      <c r="BJ14299" s="201"/>
    </row>
    <row r="14300" spans="62:62" x14ac:dyDescent="0.2">
      <c r="BJ14300" s="201"/>
    </row>
    <row r="14301" spans="62:62" x14ac:dyDescent="0.2">
      <c r="BJ14301" s="201"/>
    </row>
    <row r="14302" spans="62:62" x14ac:dyDescent="0.2">
      <c r="BJ14302" s="201"/>
    </row>
    <row r="14303" spans="62:62" x14ac:dyDescent="0.2">
      <c r="BJ14303" s="201"/>
    </row>
    <row r="14304" spans="62:62" x14ac:dyDescent="0.2">
      <c r="BJ14304" s="201"/>
    </row>
    <row r="14305" spans="62:62" x14ac:dyDescent="0.2">
      <c r="BJ14305" s="201"/>
    </row>
    <row r="14306" spans="62:62" x14ac:dyDescent="0.2">
      <c r="BJ14306" s="201"/>
    </row>
    <row r="14307" spans="62:62" x14ac:dyDescent="0.2">
      <c r="BJ14307" s="201"/>
    </row>
    <row r="14308" spans="62:62" x14ac:dyDescent="0.2">
      <c r="BJ14308" s="201"/>
    </row>
    <row r="14309" spans="62:62" x14ac:dyDescent="0.2">
      <c r="BJ14309" s="201"/>
    </row>
    <row r="14310" spans="62:62" x14ac:dyDescent="0.2">
      <c r="BJ14310" s="201"/>
    </row>
    <row r="14311" spans="62:62" x14ac:dyDescent="0.2">
      <c r="BJ14311" s="201"/>
    </row>
    <row r="14312" spans="62:62" x14ac:dyDescent="0.2">
      <c r="BJ14312" s="201"/>
    </row>
    <row r="14313" spans="62:62" x14ac:dyDescent="0.2">
      <c r="BJ14313" s="201"/>
    </row>
    <row r="14314" spans="62:62" x14ac:dyDescent="0.2">
      <c r="BJ14314" s="201"/>
    </row>
    <row r="14315" spans="62:62" x14ac:dyDescent="0.2">
      <c r="BJ14315" s="201"/>
    </row>
    <row r="14316" spans="62:62" x14ac:dyDescent="0.2">
      <c r="BJ14316" s="201"/>
    </row>
    <row r="14317" spans="62:62" x14ac:dyDescent="0.2">
      <c r="BJ14317" s="201"/>
    </row>
    <row r="14318" spans="62:62" x14ac:dyDescent="0.2">
      <c r="BJ14318" s="201"/>
    </row>
    <row r="14319" spans="62:62" x14ac:dyDescent="0.2">
      <c r="BJ14319" s="201"/>
    </row>
    <row r="14320" spans="62:62" x14ac:dyDescent="0.2">
      <c r="BJ14320" s="201"/>
    </row>
    <row r="14321" spans="62:62" x14ac:dyDescent="0.2">
      <c r="BJ14321" s="201"/>
    </row>
    <row r="14322" spans="62:62" x14ac:dyDescent="0.2">
      <c r="BJ14322" s="201"/>
    </row>
    <row r="14323" spans="62:62" x14ac:dyDescent="0.2">
      <c r="BJ14323" s="201"/>
    </row>
    <row r="14324" spans="62:62" x14ac:dyDescent="0.2">
      <c r="BJ14324" s="201"/>
    </row>
    <row r="14325" spans="62:62" x14ac:dyDescent="0.2">
      <c r="BJ14325" s="201"/>
    </row>
    <row r="14326" spans="62:62" x14ac:dyDescent="0.2">
      <c r="BJ14326" s="201"/>
    </row>
    <row r="14327" spans="62:62" x14ac:dyDescent="0.2">
      <c r="BJ14327" s="201"/>
    </row>
    <row r="14328" spans="62:62" x14ac:dyDescent="0.2">
      <c r="BJ14328" s="201"/>
    </row>
    <row r="14329" spans="62:62" x14ac:dyDescent="0.2">
      <c r="BJ14329" s="201"/>
    </row>
    <row r="14330" spans="62:62" x14ac:dyDescent="0.2">
      <c r="BJ14330" s="201"/>
    </row>
    <row r="14331" spans="62:62" x14ac:dyDescent="0.2">
      <c r="BJ14331" s="201"/>
    </row>
    <row r="14332" spans="62:62" x14ac:dyDescent="0.2">
      <c r="BJ14332" s="201"/>
    </row>
    <row r="14333" spans="62:62" x14ac:dyDescent="0.2">
      <c r="BJ14333" s="201"/>
    </row>
    <row r="14334" spans="62:62" x14ac:dyDescent="0.2">
      <c r="BJ14334" s="201"/>
    </row>
    <row r="14335" spans="62:62" x14ac:dyDescent="0.2">
      <c r="BJ14335" s="201"/>
    </row>
    <row r="14336" spans="62:62" x14ac:dyDescent="0.2">
      <c r="BJ14336" s="201"/>
    </row>
    <row r="14337" spans="62:62" x14ac:dyDescent="0.2">
      <c r="BJ14337" s="201"/>
    </row>
    <row r="14338" spans="62:62" x14ac:dyDescent="0.2">
      <c r="BJ14338" s="201"/>
    </row>
    <row r="14339" spans="62:62" x14ac:dyDescent="0.2">
      <c r="BJ14339" s="201"/>
    </row>
    <row r="14340" spans="62:62" x14ac:dyDescent="0.2">
      <c r="BJ14340" s="201"/>
    </row>
    <row r="14341" spans="62:62" x14ac:dyDescent="0.2">
      <c r="BJ14341" s="201"/>
    </row>
    <row r="14342" spans="62:62" x14ac:dyDescent="0.2">
      <c r="BJ14342" s="201"/>
    </row>
    <row r="14343" spans="62:62" x14ac:dyDescent="0.2">
      <c r="BJ14343" s="201"/>
    </row>
    <row r="14344" spans="62:62" x14ac:dyDescent="0.2">
      <c r="BJ14344" s="201"/>
    </row>
    <row r="14345" spans="62:62" x14ac:dyDescent="0.2">
      <c r="BJ14345" s="201"/>
    </row>
    <row r="14346" spans="62:62" x14ac:dyDescent="0.2">
      <c r="BJ14346" s="201"/>
    </row>
    <row r="14347" spans="62:62" x14ac:dyDescent="0.2">
      <c r="BJ14347" s="201"/>
    </row>
    <row r="14348" spans="62:62" x14ac:dyDescent="0.2">
      <c r="BJ14348" s="201"/>
    </row>
    <row r="14349" spans="62:62" x14ac:dyDescent="0.2">
      <c r="BJ14349" s="201"/>
    </row>
    <row r="14350" spans="62:62" x14ac:dyDescent="0.2">
      <c r="BJ14350" s="201"/>
    </row>
    <row r="14351" spans="62:62" x14ac:dyDescent="0.2">
      <c r="BJ14351" s="201"/>
    </row>
    <row r="14352" spans="62:62" x14ac:dyDescent="0.2">
      <c r="BJ14352" s="201"/>
    </row>
    <row r="14353" spans="62:62" x14ac:dyDescent="0.2">
      <c r="BJ14353" s="201"/>
    </row>
    <row r="14354" spans="62:62" x14ac:dyDescent="0.2">
      <c r="BJ14354" s="201"/>
    </row>
    <row r="14355" spans="62:62" x14ac:dyDescent="0.2">
      <c r="BJ14355" s="201"/>
    </row>
    <row r="14356" spans="62:62" x14ac:dyDescent="0.2">
      <c r="BJ14356" s="201"/>
    </row>
    <row r="14357" spans="62:62" x14ac:dyDescent="0.2">
      <c r="BJ14357" s="201"/>
    </row>
    <row r="14358" spans="62:62" x14ac:dyDescent="0.2">
      <c r="BJ14358" s="201"/>
    </row>
    <row r="14359" spans="62:62" x14ac:dyDescent="0.2">
      <c r="BJ14359" s="201"/>
    </row>
    <row r="14360" spans="62:62" x14ac:dyDescent="0.2">
      <c r="BJ14360" s="201"/>
    </row>
    <row r="14361" spans="62:62" x14ac:dyDescent="0.2">
      <c r="BJ14361" s="201"/>
    </row>
    <row r="14362" spans="62:62" x14ac:dyDescent="0.2">
      <c r="BJ14362" s="201"/>
    </row>
    <row r="14363" spans="62:62" x14ac:dyDescent="0.2">
      <c r="BJ14363" s="201"/>
    </row>
    <row r="14364" spans="62:62" x14ac:dyDescent="0.2">
      <c r="BJ14364" s="201"/>
    </row>
    <row r="14365" spans="62:62" x14ac:dyDescent="0.2">
      <c r="BJ14365" s="201"/>
    </row>
    <row r="14366" spans="62:62" x14ac:dyDescent="0.2">
      <c r="BJ14366" s="201"/>
    </row>
    <row r="14367" spans="62:62" x14ac:dyDescent="0.2">
      <c r="BJ14367" s="201"/>
    </row>
    <row r="14368" spans="62:62" x14ac:dyDescent="0.2">
      <c r="BJ14368" s="201"/>
    </row>
    <row r="14369" spans="62:62" x14ac:dyDescent="0.2">
      <c r="BJ14369" s="201"/>
    </row>
    <row r="14370" spans="62:62" x14ac:dyDescent="0.2">
      <c r="BJ14370" s="201"/>
    </row>
    <row r="14371" spans="62:62" x14ac:dyDescent="0.2">
      <c r="BJ14371" s="201"/>
    </row>
    <row r="14372" spans="62:62" x14ac:dyDescent="0.2">
      <c r="BJ14372" s="201"/>
    </row>
    <row r="14373" spans="62:62" x14ac:dyDescent="0.2">
      <c r="BJ14373" s="201"/>
    </row>
    <row r="14374" spans="62:62" x14ac:dyDescent="0.2">
      <c r="BJ14374" s="201"/>
    </row>
    <row r="14375" spans="62:62" x14ac:dyDescent="0.2">
      <c r="BJ14375" s="201"/>
    </row>
    <row r="14376" spans="62:62" x14ac:dyDescent="0.2">
      <c r="BJ14376" s="201"/>
    </row>
    <row r="14377" spans="62:62" x14ac:dyDescent="0.2">
      <c r="BJ14377" s="201"/>
    </row>
    <row r="14378" spans="62:62" x14ac:dyDescent="0.2">
      <c r="BJ14378" s="201"/>
    </row>
    <row r="14379" spans="62:62" x14ac:dyDescent="0.2">
      <c r="BJ14379" s="201"/>
    </row>
    <row r="14380" spans="62:62" x14ac:dyDescent="0.2">
      <c r="BJ14380" s="201"/>
    </row>
    <row r="14381" spans="62:62" x14ac:dyDescent="0.2">
      <c r="BJ14381" s="201"/>
    </row>
    <row r="14382" spans="62:62" x14ac:dyDescent="0.2">
      <c r="BJ14382" s="201"/>
    </row>
    <row r="14383" spans="62:62" x14ac:dyDescent="0.2">
      <c r="BJ14383" s="201"/>
    </row>
    <row r="14384" spans="62:62" x14ac:dyDescent="0.2">
      <c r="BJ14384" s="201"/>
    </row>
    <row r="14385" spans="62:62" x14ac:dyDescent="0.2">
      <c r="BJ14385" s="201"/>
    </row>
    <row r="14386" spans="62:62" x14ac:dyDescent="0.2">
      <c r="BJ14386" s="201"/>
    </row>
    <row r="14387" spans="62:62" x14ac:dyDescent="0.2">
      <c r="BJ14387" s="201"/>
    </row>
    <row r="14388" spans="62:62" x14ac:dyDescent="0.2">
      <c r="BJ14388" s="201"/>
    </row>
    <row r="14389" spans="62:62" x14ac:dyDescent="0.2">
      <c r="BJ14389" s="201"/>
    </row>
    <row r="14390" spans="62:62" x14ac:dyDescent="0.2">
      <c r="BJ14390" s="201"/>
    </row>
    <row r="14391" spans="62:62" x14ac:dyDescent="0.2">
      <c r="BJ14391" s="201"/>
    </row>
    <row r="14392" spans="62:62" x14ac:dyDescent="0.2">
      <c r="BJ14392" s="201"/>
    </row>
    <row r="14393" spans="62:62" x14ac:dyDescent="0.2">
      <c r="BJ14393" s="201"/>
    </row>
    <row r="14394" spans="62:62" x14ac:dyDescent="0.2">
      <c r="BJ14394" s="201"/>
    </row>
    <row r="14395" spans="62:62" x14ac:dyDescent="0.2">
      <c r="BJ14395" s="201"/>
    </row>
    <row r="14396" spans="62:62" x14ac:dyDescent="0.2">
      <c r="BJ14396" s="201"/>
    </row>
    <row r="14397" spans="62:62" x14ac:dyDescent="0.2">
      <c r="BJ14397" s="201"/>
    </row>
    <row r="14398" spans="62:62" x14ac:dyDescent="0.2">
      <c r="BJ14398" s="201"/>
    </row>
    <row r="14399" spans="62:62" x14ac:dyDescent="0.2">
      <c r="BJ14399" s="201"/>
    </row>
    <row r="14400" spans="62:62" x14ac:dyDescent="0.2">
      <c r="BJ14400" s="201"/>
    </row>
    <row r="14401" spans="62:62" x14ac:dyDescent="0.2">
      <c r="BJ14401" s="201"/>
    </row>
    <row r="14402" spans="62:62" x14ac:dyDescent="0.2">
      <c r="BJ14402" s="201"/>
    </row>
    <row r="14403" spans="62:62" x14ac:dyDescent="0.2">
      <c r="BJ14403" s="201"/>
    </row>
    <row r="14404" spans="62:62" x14ac:dyDescent="0.2">
      <c r="BJ14404" s="201"/>
    </row>
    <row r="14405" spans="62:62" x14ac:dyDescent="0.2">
      <c r="BJ14405" s="201"/>
    </row>
    <row r="14406" spans="62:62" x14ac:dyDescent="0.2">
      <c r="BJ14406" s="201"/>
    </row>
    <row r="14407" spans="62:62" x14ac:dyDescent="0.2">
      <c r="BJ14407" s="201"/>
    </row>
    <row r="14408" spans="62:62" x14ac:dyDescent="0.2">
      <c r="BJ14408" s="201"/>
    </row>
    <row r="14409" spans="62:62" x14ac:dyDescent="0.2">
      <c r="BJ14409" s="201"/>
    </row>
    <row r="14410" spans="62:62" x14ac:dyDescent="0.2">
      <c r="BJ14410" s="201"/>
    </row>
    <row r="14411" spans="62:62" x14ac:dyDescent="0.2">
      <c r="BJ14411" s="201"/>
    </row>
    <row r="14412" spans="62:62" x14ac:dyDescent="0.2">
      <c r="BJ14412" s="201"/>
    </row>
    <row r="14413" spans="62:62" x14ac:dyDescent="0.2">
      <c r="BJ14413" s="201"/>
    </row>
    <row r="14414" spans="62:62" x14ac:dyDescent="0.2">
      <c r="BJ14414" s="201"/>
    </row>
    <row r="14415" spans="62:62" x14ac:dyDescent="0.2">
      <c r="BJ14415" s="201"/>
    </row>
    <row r="14416" spans="62:62" x14ac:dyDescent="0.2">
      <c r="BJ14416" s="201"/>
    </row>
    <row r="14417" spans="62:62" x14ac:dyDescent="0.2">
      <c r="BJ14417" s="201"/>
    </row>
    <row r="14418" spans="62:62" x14ac:dyDescent="0.2">
      <c r="BJ14418" s="201"/>
    </row>
    <row r="14419" spans="62:62" x14ac:dyDescent="0.2">
      <c r="BJ14419" s="201"/>
    </row>
    <row r="14420" spans="62:62" x14ac:dyDescent="0.2">
      <c r="BJ14420" s="201"/>
    </row>
    <row r="14421" spans="62:62" x14ac:dyDescent="0.2">
      <c r="BJ14421" s="201"/>
    </row>
    <row r="14422" spans="62:62" x14ac:dyDescent="0.2">
      <c r="BJ14422" s="201"/>
    </row>
    <row r="14423" spans="62:62" x14ac:dyDescent="0.2">
      <c r="BJ14423" s="201"/>
    </row>
    <row r="14424" spans="62:62" x14ac:dyDescent="0.2">
      <c r="BJ14424" s="201"/>
    </row>
    <row r="14425" spans="62:62" x14ac:dyDescent="0.2">
      <c r="BJ14425" s="201"/>
    </row>
    <row r="14426" spans="62:62" x14ac:dyDescent="0.2">
      <c r="BJ14426" s="201"/>
    </row>
    <row r="14427" spans="62:62" x14ac:dyDescent="0.2">
      <c r="BJ14427" s="201"/>
    </row>
    <row r="14428" spans="62:62" x14ac:dyDescent="0.2">
      <c r="BJ14428" s="201"/>
    </row>
    <row r="14429" spans="62:62" x14ac:dyDescent="0.2">
      <c r="BJ14429" s="201"/>
    </row>
    <row r="14430" spans="62:62" x14ac:dyDescent="0.2">
      <c r="BJ14430" s="201"/>
    </row>
    <row r="14431" spans="62:62" x14ac:dyDescent="0.2">
      <c r="BJ14431" s="201"/>
    </row>
    <row r="14432" spans="62:62" x14ac:dyDescent="0.2">
      <c r="BJ14432" s="201"/>
    </row>
    <row r="14433" spans="62:62" x14ac:dyDescent="0.2">
      <c r="BJ14433" s="201"/>
    </row>
    <row r="14434" spans="62:62" x14ac:dyDescent="0.2">
      <c r="BJ14434" s="201"/>
    </row>
    <row r="14435" spans="62:62" x14ac:dyDescent="0.2">
      <c r="BJ14435" s="201"/>
    </row>
    <row r="14436" spans="62:62" x14ac:dyDescent="0.2">
      <c r="BJ14436" s="201"/>
    </row>
    <row r="14437" spans="62:62" x14ac:dyDescent="0.2">
      <c r="BJ14437" s="201"/>
    </row>
    <row r="14438" spans="62:62" x14ac:dyDescent="0.2">
      <c r="BJ14438" s="201"/>
    </row>
    <row r="14439" spans="62:62" x14ac:dyDescent="0.2">
      <c r="BJ14439" s="201"/>
    </row>
    <row r="14440" spans="62:62" x14ac:dyDescent="0.2">
      <c r="BJ14440" s="201"/>
    </row>
    <row r="14441" spans="62:62" x14ac:dyDescent="0.2">
      <c r="BJ14441" s="201"/>
    </row>
    <row r="14442" spans="62:62" x14ac:dyDescent="0.2">
      <c r="BJ14442" s="201"/>
    </row>
    <row r="14443" spans="62:62" x14ac:dyDescent="0.2">
      <c r="BJ14443" s="201"/>
    </row>
    <row r="14444" spans="62:62" x14ac:dyDescent="0.2">
      <c r="BJ14444" s="201"/>
    </row>
    <row r="14445" spans="62:62" x14ac:dyDescent="0.2">
      <c r="BJ14445" s="201"/>
    </row>
    <row r="14446" spans="62:62" x14ac:dyDescent="0.2">
      <c r="BJ14446" s="201"/>
    </row>
    <row r="14447" spans="62:62" x14ac:dyDescent="0.2">
      <c r="BJ14447" s="201"/>
    </row>
    <row r="14448" spans="62:62" x14ac:dyDescent="0.2">
      <c r="BJ14448" s="201"/>
    </row>
    <row r="14449" spans="62:62" x14ac:dyDescent="0.2">
      <c r="BJ14449" s="201"/>
    </row>
    <row r="14450" spans="62:62" x14ac:dyDescent="0.2">
      <c r="BJ14450" s="201"/>
    </row>
    <row r="14451" spans="62:62" x14ac:dyDescent="0.2">
      <c r="BJ14451" s="201"/>
    </row>
    <row r="14452" spans="62:62" x14ac:dyDescent="0.2">
      <c r="BJ14452" s="201"/>
    </row>
    <row r="14453" spans="62:62" x14ac:dyDescent="0.2">
      <c r="BJ14453" s="201"/>
    </row>
    <row r="14454" spans="62:62" x14ac:dyDescent="0.2">
      <c r="BJ14454" s="201"/>
    </row>
    <row r="14455" spans="62:62" x14ac:dyDescent="0.2">
      <c r="BJ14455" s="201"/>
    </row>
    <row r="14456" spans="62:62" x14ac:dyDescent="0.2">
      <c r="BJ14456" s="201"/>
    </row>
    <row r="14457" spans="62:62" x14ac:dyDescent="0.2">
      <c r="BJ14457" s="201"/>
    </row>
    <row r="14458" spans="62:62" x14ac:dyDescent="0.2">
      <c r="BJ14458" s="201"/>
    </row>
    <row r="14459" spans="62:62" x14ac:dyDescent="0.2">
      <c r="BJ14459" s="201"/>
    </row>
    <row r="14460" spans="62:62" x14ac:dyDescent="0.2">
      <c r="BJ14460" s="201"/>
    </row>
    <row r="14461" spans="62:62" x14ac:dyDescent="0.2">
      <c r="BJ14461" s="201"/>
    </row>
    <row r="14462" spans="62:62" x14ac:dyDescent="0.2">
      <c r="BJ14462" s="201"/>
    </row>
    <row r="14463" spans="62:62" x14ac:dyDescent="0.2">
      <c r="BJ14463" s="201"/>
    </row>
    <row r="14464" spans="62:62" x14ac:dyDescent="0.2">
      <c r="BJ14464" s="201"/>
    </row>
    <row r="14465" spans="62:62" x14ac:dyDescent="0.2">
      <c r="BJ14465" s="201"/>
    </row>
    <row r="14466" spans="62:62" x14ac:dyDescent="0.2">
      <c r="BJ14466" s="201"/>
    </row>
    <row r="14467" spans="62:62" x14ac:dyDescent="0.2">
      <c r="BJ14467" s="201"/>
    </row>
    <row r="14468" spans="62:62" x14ac:dyDescent="0.2">
      <c r="BJ14468" s="201"/>
    </row>
    <row r="14469" spans="62:62" x14ac:dyDescent="0.2">
      <c r="BJ14469" s="201"/>
    </row>
    <row r="14470" spans="62:62" x14ac:dyDescent="0.2">
      <c r="BJ14470" s="201"/>
    </row>
    <row r="14471" spans="62:62" x14ac:dyDescent="0.2">
      <c r="BJ14471" s="201"/>
    </row>
    <row r="14472" spans="62:62" x14ac:dyDescent="0.2">
      <c r="BJ14472" s="201"/>
    </row>
    <row r="14473" spans="62:62" x14ac:dyDescent="0.2">
      <c r="BJ14473" s="201"/>
    </row>
    <row r="14474" spans="62:62" x14ac:dyDescent="0.2">
      <c r="BJ14474" s="201"/>
    </row>
    <row r="14475" spans="62:62" x14ac:dyDescent="0.2">
      <c r="BJ14475" s="201"/>
    </row>
    <row r="14476" spans="62:62" x14ac:dyDescent="0.2">
      <c r="BJ14476" s="201"/>
    </row>
    <row r="14477" spans="62:62" x14ac:dyDescent="0.2">
      <c r="BJ14477" s="201"/>
    </row>
    <row r="14478" spans="62:62" x14ac:dyDescent="0.2">
      <c r="BJ14478" s="201"/>
    </row>
    <row r="14479" spans="62:62" x14ac:dyDescent="0.2">
      <c r="BJ14479" s="201"/>
    </row>
    <row r="14480" spans="62:62" x14ac:dyDescent="0.2">
      <c r="BJ14480" s="201"/>
    </row>
    <row r="14481" spans="62:62" x14ac:dyDescent="0.2">
      <c r="BJ14481" s="201"/>
    </row>
    <row r="14482" spans="62:62" x14ac:dyDescent="0.2">
      <c r="BJ14482" s="201"/>
    </row>
    <row r="14483" spans="62:62" x14ac:dyDescent="0.2">
      <c r="BJ14483" s="201"/>
    </row>
    <row r="14484" spans="62:62" x14ac:dyDescent="0.2">
      <c r="BJ14484" s="201"/>
    </row>
    <row r="14485" spans="62:62" x14ac:dyDescent="0.2">
      <c r="BJ14485" s="201"/>
    </row>
    <row r="14486" spans="62:62" x14ac:dyDescent="0.2">
      <c r="BJ14486" s="201"/>
    </row>
    <row r="14487" spans="62:62" x14ac:dyDescent="0.2">
      <c r="BJ14487" s="201"/>
    </row>
    <row r="14488" spans="62:62" x14ac:dyDescent="0.2">
      <c r="BJ14488" s="201"/>
    </row>
    <row r="14489" spans="62:62" x14ac:dyDescent="0.2">
      <c r="BJ14489" s="201"/>
    </row>
    <row r="14490" spans="62:62" x14ac:dyDescent="0.2">
      <c r="BJ14490" s="201"/>
    </row>
    <row r="14491" spans="62:62" x14ac:dyDescent="0.2">
      <c r="BJ14491" s="201"/>
    </row>
    <row r="14492" spans="62:62" x14ac:dyDescent="0.2">
      <c r="BJ14492" s="201"/>
    </row>
    <row r="14493" spans="62:62" x14ac:dyDescent="0.2">
      <c r="BJ14493" s="201"/>
    </row>
    <row r="14494" spans="62:62" x14ac:dyDescent="0.2">
      <c r="BJ14494" s="201"/>
    </row>
    <row r="14495" spans="62:62" x14ac:dyDescent="0.2">
      <c r="BJ14495" s="201"/>
    </row>
    <row r="14496" spans="62:62" x14ac:dyDescent="0.2">
      <c r="BJ14496" s="201"/>
    </row>
    <row r="14497" spans="62:62" x14ac:dyDescent="0.2">
      <c r="BJ14497" s="201"/>
    </row>
    <row r="14498" spans="62:62" x14ac:dyDescent="0.2">
      <c r="BJ14498" s="201"/>
    </row>
    <row r="14499" spans="62:62" x14ac:dyDescent="0.2">
      <c r="BJ14499" s="201"/>
    </row>
    <row r="14500" spans="62:62" x14ac:dyDescent="0.2">
      <c r="BJ14500" s="201"/>
    </row>
    <row r="14501" spans="62:62" x14ac:dyDescent="0.2">
      <c r="BJ14501" s="201"/>
    </row>
    <row r="14502" spans="62:62" x14ac:dyDescent="0.2">
      <c r="BJ14502" s="201"/>
    </row>
    <row r="14503" spans="62:62" x14ac:dyDescent="0.2">
      <c r="BJ14503" s="201"/>
    </row>
    <row r="14504" spans="62:62" x14ac:dyDescent="0.2">
      <c r="BJ14504" s="201"/>
    </row>
    <row r="14505" spans="62:62" x14ac:dyDescent="0.2">
      <c r="BJ14505" s="201"/>
    </row>
    <row r="14506" spans="62:62" x14ac:dyDescent="0.2">
      <c r="BJ14506" s="201"/>
    </row>
    <row r="14507" spans="62:62" x14ac:dyDescent="0.2">
      <c r="BJ14507" s="201"/>
    </row>
    <row r="14508" spans="62:62" x14ac:dyDescent="0.2">
      <c r="BJ14508" s="201"/>
    </row>
    <row r="14509" spans="62:62" x14ac:dyDescent="0.2">
      <c r="BJ14509" s="201"/>
    </row>
    <row r="14510" spans="62:62" x14ac:dyDescent="0.2">
      <c r="BJ14510" s="201"/>
    </row>
    <row r="14511" spans="62:62" x14ac:dyDescent="0.2">
      <c r="BJ14511" s="201"/>
    </row>
    <row r="14512" spans="62:62" x14ac:dyDescent="0.2">
      <c r="BJ14512" s="201"/>
    </row>
    <row r="14513" spans="62:62" x14ac:dyDescent="0.2">
      <c r="BJ14513" s="201"/>
    </row>
    <row r="14514" spans="62:62" x14ac:dyDescent="0.2">
      <c r="BJ14514" s="201"/>
    </row>
    <row r="14515" spans="62:62" x14ac:dyDescent="0.2">
      <c r="BJ14515" s="201"/>
    </row>
    <row r="14516" spans="62:62" x14ac:dyDescent="0.2">
      <c r="BJ14516" s="201"/>
    </row>
    <row r="14517" spans="62:62" x14ac:dyDescent="0.2">
      <c r="BJ14517" s="201"/>
    </row>
    <row r="14518" spans="62:62" x14ac:dyDescent="0.2">
      <c r="BJ14518" s="201"/>
    </row>
    <row r="14519" spans="62:62" x14ac:dyDescent="0.2">
      <c r="BJ14519" s="201"/>
    </row>
    <row r="14520" spans="62:62" x14ac:dyDescent="0.2">
      <c r="BJ14520" s="201"/>
    </row>
    <row r="14521" spans="62:62" x14ac:dyDescent="0.2">
      <c r="BJ14521" s="201"/>
    </row>
    <row r="14522" spans="62:62" x14ac:dyDescent="0.2">
      <c r="BJ14522" s="201"/>
    </row>
    <row r="14523" spans="62:62" x14ac:dyDescent="0.2">
      <c r="BJ14523" s="201"/>
    </row>
    <row r="14524" spans="62:62" x14ac:dyDescent="0.2">
      <c r="BJ14524" s="201"/>
    </row>
    <row r="14525" spans="62:62" x14ac:dyDescent="0.2">
      <c r="BJ14525" s="201"/>
    </row>
    <row r="14526" spans="62:62" x14ac:dyDescent="0.2">
      <c r="BJ14526" s="201"/>
    </row>
    <row r="14527" spans="62:62" x14ac:dyDescent="0.2">
      <c r="BJ14527" s="201"/>
    </row>
    <row r="14528" spans="62:62" x14ac:dyDescent="0.2">
      <c r="BJ14528" s="201"/>
    </row>
    <row r="14529" spans="62:62" x14ac:dyDescent="0.2">
      <c r="BJ14529" s="201"/>
    </row>
    <row r="14530" spans="62:62" x14ac:dyDescent="0.2">
      <c r="BJ14530" s="201"/>
    </row>
    <row r="14531" spans="62:62" x14ac:dyDescent="0.2">
      <c r="BJ14531" s="201"/>
    </row>
    <row r="14532" spans="62:62" x14ac:dyDescent="0.2">
      <c r="BJ14532" s="201"/>
    </row>
    <row r="14533" spans="62:62" x14ac:dyDescent="0.2">
      <c r="BJ14533" s="201"/>
    </row>
    <row r="14534" spans="62:62" x14ac:dyDescent="0.2">
      <c r="BJ14534" s="201"/>
    </row>
    <row r="14535" spans="62:62" x14ac:dyDescent="0.2">
      <c r="BJ14535" s="201"/>
    </row>
    <row r="14536" spans="62:62" x14ac:dyDescent="0.2">
      <c r="BJ14536" s="201"/>
    </row>
    <row r="14537" spans="62:62" x14ac:dyDescent="0.2">
      <c r="BJ14537" s="201"/>
    </row>
    <row r="14538" spans="62:62" x14ac:dyDescent="0.2">
      <c r="BJ14538" s="201"/>
    </row>
    <row r="14539" spans="62:62" x14ac:dyDescent="0.2">
      <c r="BJ14539" s="201"/>
    </row>
    <row r="14540" spans="62:62" x14ac:dyDescent="0.2">
      <c r="BJ14540" s="201"/>
    </row>
    <row r="14541" spans="62:62" x14ac:dyDescent="0.2">
      <c r="BJ14541" s="201"/>
    </row>
    <row r="14542" spans="62:62" x14ac:dyDescent="0.2">
      <c r="BJ14542" s="201"/>
    </row>
    <row r="14543" spans="62:62" x14ac:dyDescent="0.2">
      <c r="BJ14543" s="201"/>
    </row>
    <row r="14544" spans="62:62" x14ac:dyDescent="0.2">
      <c r="BJ14544" s="201"/>
    </row>
    <row r="14545" spans="62:62" x14ac:dyDescent="0.2">
      <c r="BJ14545" s="201"/>
    </row>
    <row r="14546" spans="62:62" x14ac:dyDescent="0.2">
      <c r="BJ14546" s="201"/>
    </row>
    <row r="14547" spans="62:62" x14ac:dyDescent="0.2">
      <c r="BJ14547" s="201"/>
    </row>
    <row r="14548" spans="62:62" x14ac:dyDescent="0.2">
      <c r="BJ14548" s="201"/>
    </row>
    <row r="14549" spans="62:62" x14ac:dyDescent="0.2">
      <c r="BJ14549" s="201"/>
    </row>
    <row r="14550" spans="62:62" x14ac:dyDescent="0.2">
      <c r="BJ14550" s="201"/>
    </row>
    <row r="14551" spans="62:62" x14ac:dyDescent="0.2">
      <c r="BJ14551" s="201"/>
    </row>
    <row r="14552" spans="62:62" x14ac:dyDescent="0.2">
      <c r="BJ14552" s="201"/>
    </row>
    <row r="14553" spans="62:62" x14ac:dyDescent="0.2">
      <c r="BJ14553" s="201"/>
    </row>
    <row r="14554" spans="62:62" x14ac:dyDescent="0.2">
      <c r="BJ14554" s="201"/>
    </row>
    <row r="14555" spans="62:62" x14ac:dyDescent="0.2">
      <c r="BJ14555" s="201"/>
    </row>
    <row r="14556" spans="62:62" x14ac:dyDescent="0.2">
      <c r="BJ14556" s="201"/>
    </row>
    <row r="14557" spans="62:62" x14ac:dyDescent="0.2">
      <c r="BJ14557" s="201"/>
    </row>
    <row r="14558" spans="62:62" x14ac:dyDescent="0.2">
      <c r="BJ14558" s="201"/>
    </row>
    <row r="14559" spans="62:62" x14ac:dyDescent="0.2">
      <c r="BJ14559" s="201"/>
    </row>
    <row r="14560" spans="62:62" x14ac:dyDescent="0.2">
      <c r="BJ14560" s="201"/>
    </row>
    <row r="14561" spans="62:62" x14ac:dyDescent="0.2">
      <c r="BJ14561" s="201"/>
    </row>
    <row r="14562" spans="62:62" x14ac:dyDescent="0.2">
      <c r="BJ14562" s="201"/>
    </row>
    <row r="14563" spans="62:62" x14ac:dyDescent="0.2">
      <c r="BJ14563" s="201"/>
    </row>
    <row r="14564" spans="62:62" x14ac:dyDescent="0.2">
      <c r="BJ14564" s="201"/>
    </row>
    <row r="14565" spans="62:62" x14ac:dyDescent="0.2">
      <c r="BJ14565" s="201"/>
    </row>
    <row r="14566" spans="62:62" x14ac:dyDescent="0.2">
      <c r="BJ14566" s="201"/>
    </row>
    <row r="14567" spans="62:62" x14ac:dyDescent="0.2">
      <c r="BJ14567" s="201"/>
    </row>
    <row r="14568" spans="62:62" x14ac:dyDescent="0.2">
      <c r="BJ14568" s="201"/>
    </row>
    <row r="14569" spans="62:62" x14ac:dyDescent="0.2">
      <c r="BJ14569" s="201"/>
    </row>
    <row r="14570" spans="62:62" x14ac:dyDescent="0.2">
      <c r="BJ14570" s="201"/>
    </row>
    <row r="14571" spans="62:62" x14ac:dyDescent="0.2">
      <c r="BJ14571" s="201"/>
    </row>
    <row r="14572" spans="62:62" x14ac:dyDescent="0.2">
      <c r="BJ14572" s="201"/>
    </row>
    <row r="14573" spans="62:62" x14ac:dyDescent="0.2">
      <c r="BJ14573" s="201"/>
    </row>
    <row r="14574" spans="62:62" x14ac:dyDescent="0.2">
      <c r="BJ14574" s="201"/>
    </row>
    <row r="14575" spans="62:62" x14ac:dyDescent="0.2">
      <c r="BJ14575" s="201"/>
    </row>
    <row r="14576" spans="62:62" x14ac:dyDescent="0.2">
      <c r="BJ14576" s="201"/>
    </row>
    <row r="14577" spans="62:62" x14ac:dyDescent="0.2">
      <c r="BJ14577" s="201"/>
    </row>
    <row r="14578" spans="62:62" x14ac:dyDescent="0.2">
      <c r="BJ14578" s="201"/>
    </row>
    <row r="14579" spans="62:62" x14ac:dyDescent="0.2">
      <c r="BJ14579" s="201"/>
    </row>
    <row r="14580" spans="62:62" x14ac:dyDescent="0.2">
      <c r="BJ14580" s="201"/>
    </row>
    <row r="14581" spans="62:62" x14ac:dyDescent="0.2">
      <c r="BJ14581" s="201"/>
    </row>
    <row r="14582" spans="62:62" x14ac:dyDescent="0.2">
      <c r="BJ14582" s="201"/>
    </row>
    <row r="14583" spans="62:62" x14ac:dyDescent="0.2">
      <c r="BJ14583" s="201"/>
    </row>
    <row r="14584" spans="62:62" x14ac:dyDescent="0.2">
      <c r="BJ14584" s="201"/>
    </row>
    <row r="14585" spans="62:62" x14ac:dyDescent="0.2">
      <c r="BJ14585" s="201"/>
    </row>
    <row r="14586" spans="62:62" x14ac:dyDescent="0.2">
      <c r="BJ14586" s="201"/>
    </row>
    <row r="14587" spans="62:62" x14ac:dyDescent="0.2">
      <c r="BJ14587" s="201"/>
    </row>
    <row r="14588" spans="62:62" x14ac:dyDescent="0.2">
      <c r="BJ14588" s="201"/>
    </row>
    <row r="14589" spans="62:62" x14ac:dyDescent="0.2">
      <c r="BJ14589" s="201"/>
    </row>
    <row r="14590" spans="62:62" x14ac:dyDescent="0.2">
      <c r="BJ14590" s="201"/>
    </row>
    <row r="14591" spans="62:62" x14ac:dyDescent="0.2">
      <c r="BJ14591" s="201"/>
    </row>
    <row r="14592" spans="62:62" x14ac:dyDescent="0.2">
      <c r="BJ14592" s="201"/>
    </row>
    <row r="14593" spans="62:62" x14ac:dyDescent="0.2">
      <c r="BJ14593" s="201"/>
    </row>
    <row r="14594" spans="62:62" x14ac:dyDescent="0.2">
      <c r="BJ14594" s="201"/>
    </row>
    <row r="14595" spans="62:62" x14ac:dyDescent="0.2">
      <c r="BJ14595" s="201"/>
    </row>
    <row r="14596" spans="62:62" x14ac:dyDescent="0.2">
      <c r="BJ14596" s="201"/>
    </row>
    <row r="14597" spans="62:62" x14ac:dyDescent="0.2">
      <c r="BJ14597" s="201"/>
    </row>
    <row r="14598" spans="62:62" x14ac:dyDescent="0.2">
      <c r="BJ14598" s="201"/>
    </row>
    <row r="14599" spans="62:62" x14ac:dyDescent="0.2">
      <c r="BJ14599" s="201"/>
    </row>
    <row r="14600" spans="62:62" x14ac:dyDescent="0.2">
      <c r="BJ14600" s="201"/>
    </row>
    <row r="14601" spans="62:62" x14ac:dyDescent="0.2">
      <c r="BJ14601" s="201"/>
    </row>
    <row r="14602" spans="62:62" x14ac:dyDescent="0.2">
      <c r="BJ14602" s="201"/>
    </row>
    <row r="14603" spans="62:62" x14ac:dyDescent="0.2">
      <c r="BJ14603" s="201"/>
    </row>
    <row r="14604" spans="62:62" x14ac:dyDescent="0.2">
      <c r="BJ14604" s="201"/>
    </row>
    <row r="14605" spans="62:62" x14ac:dyDescent="0.2">
      <c r="BJ14605" s="201"/>
    </row>
    <row r="14606" spans="62:62" x14ac:dyDescent="0.2">
      <c r="BJ14606" s="201"/>
    </row>
    <row r="14607" spans="62:62" x14ac:dyDescent="0.2">
      <c r="BJ14607" s="201"/>
    </row>
    <row r="14608" spans="62:62" x14ac:dyDescent="0.2">
      <c r="BJ14608" s="201"/>
    </row>
    <row r="14609" spans="62:62" x14ac:dyDescent="0.2">
      <c r="BJ14609" s="201"/>
    </row>
    <row r="14610" spans="62:62" x14ac:dyDescent="0.2">
      <c r="BJ14610" s="201"/>
    </row>
    <row r="14611" spans="62:62" x14ac:dyDescent="0.2">
      <c r="BJ14611" s="201"/>
    </row>
    <row r="14612" spans="62:62" x14ac:dyDescent="0.2">
      <c r="BJ14612" s="201"/>
    </row>
    <row r="14613" spans="62:62" x14ac:dyDescent="0.2">
      <c r="BJ14613" s="201"/>
    </row>
    <row r="14614" spans="62:62" x14ac:dyDescent="0.2">
      <c r="BJ14614" s="201"/>
    </row>
    <row r="14615" spans="62:62" x14ac:dyDescent="0.2">
      <c r="BJ14615" s="201"/>
    </row>
    <row r="14616" spans="62:62" x14ac:dyDescent="0.2">
      <c r="BJ14616" s="201"/>
    </row>
    <row r="14617" spans="62:62" x14ac:dyDescent="0.2">
      <c r="BJ14617" s="201"/>
    </row>
    <row r="14618" spans="62:62" x14ac:dyDescent="0.2">
      <c r="BJ14618" s="201"/>
    </row>
    <row r="14619" spans="62:62" x14ac:dyDescent="0.2">
      <c r="BJ14619" s="201"/>
    </row>
    <row r="14620" spans="62:62" x14ac:dyDescent="0.2">
      <c r="BJ14620" s="201"/>
    </row>
    <row r="14621" spans="62:62" x14ac:dyDescent="0.2">
      <c r="BJ14621" s="201"/>
    </row>
    <row r="14622" spans="62:62" x14ac:dyDescent="0.2">
      <c r="BJ14622" s="201"/>
    </row>
    <row r="14623" spans="62:62" x14ac:dyDescent="0.2">
      <c r="BJ14623" s="201"/>
    </row>
    <row r="14624" spans="62:62" x14ac:dyDescent="0.2">
      <c r="BJ14624" s="201"/>
    </row>
    <row r="14625" spans="62:62" x14ac:dyDescent="0.2">
      <c r="BJ14625" s="201"/>
    </row>
    <row r="14626" spans="62:62" x14ac:dyDescent="0.2">
      <c r="BJ14626" s="201"/>
    </row>
    <row r="14627" spans="62:62" x14ac:dyDescent="0.2">
      <c r="BJ14627" s="201"/>
    </row>
    <row r="14628" spans="62:62" x14ac:dyDescent="0.2">
      <c r="BJ14628" s="201"/>
    </row>
    <row r="14629" spans="62:62" x14ac:dyDescent="0.2">
      <c r="BJ14629" s="201"/>
    </row>
    <row r="14630" spans="62:62" x14ac:dyDescent="0.2">
      <c r="BJ14630" s="201"/>
    </row>
    <row r="14631" spans="62:62" x14ac:dyDescent="0.2">
      <c r="BJ14631" s="201"/>
    </row>
    <row r="14632" spans="62:62" x14ac:dyDescent="0.2">
      <c r="BJ14632" s="201"/>
    </row>
    <row r="14633" spans="62:62" x14ac:dyDescent="0.2">
      <c r="BJ14633" s="201"/>
    </row>
    <row r="14634" spans="62:62" x14ac:dyDescent="0.2">
      <c r="BJ14634" s="201"/>
    </row>
    <row r="14635" spans="62:62" x14ac:dyDescent="0.2">
      <c r="BJ14635" s="201"/>
    </row>
    <row r="14636" spans="62:62" x14ac:dyDescent="0.2">
      <c r="BJ14636" s="201"/>
    </row>
    <row r="14637" spans="62:62" x14ac:dyDescent="0.2">
      <c r="BJ14637" s="201"/>
    </row>
    <row r="14638" spans="62:62" x14ac:dyDescent="0.2">
      <c r="BJ14638" s="201"/>
    </row>
    <row r="14639" spans="62:62" x14ac:dyDescent="0.2">
      <c r="BJ14639" s="201"/>
    </row>
    <row r="14640" spans="62:62" x14ac:dyDescent="0.2">
      <c r="BJ14640" s="201"/>
    </row>
    <row r="14641" spans="62:62" x14ac:dyDescent="0.2">
      <c r="BJ14641" s="201"/>
    </row>
    <row r="14642" spans="62:62" x14ac:dyDescent="0.2">
      <c r="BJ14642" s="201"/>
    </row>
    <row r="14643" spans="62:62" x14ac:dyDescent="0.2">
      <c r="BJ14643" s="201"/>
    </row>
    <row r="14644" spans="62:62" x14ac:dyDescent="0.2">
      <c r="BJ14644" s="201"/>
    </row>
    <row r="14645" spans="62:62" x14ac:dyDescent="0.2">
      <c r="BJ14645" s="201"/>
    </row>
    <row r="14646" spans="62:62" x14ac:dyDescent="0.2">
      <c r="BJ14646" s="201"/>
    </row>
    <row r="14647" spans="62:62" x14ac:dyDescent="0.2">
      <c r="BJ14647" s="201"/>
    </row>
    <row r="14648" spans="62:62" x14ac:dyDescent="0.2">
      <c r="BJ14648" s="201"/>
    </row>
    <row r="14649" spans="62:62" x14ac:dyDescent="0.2">
      <c r="BJ14649" s="201"/>
    </row>
    <row r="14650" spans="62:62" x14ac:dyDescent="0.2">
      <c r="BJ14650" s="201"/>
    </row>
    <row r="14651" spans="62:62" x14ac:dyDescent="0.2">
      <c r="BJ14651" s="201"/>
    </row>
    <row r="14652" spans="62:62" x14ac:dyDescent="0.2">
      <c r="BJ14652" s="201"/>
    </row>
    <row r="14653" spans="62:62" x14ac:dyDescent="0.2">
      <c r="BJ14653" s="201"/>
    </row>
    <row r="14654" spans="62:62" x14ac:dyDescent="0.2">
      <c r="BJ14654" s="201"/>
    </row>
    <row r="14655" spans="62:62" x14ac:dyDescent="0.2">
      <c r="BJ14655" s="201"/>
    </row>
    <row r="14656" spans="62:62" x14ac:dyDescent="0.2">
      <c r="BJ14656" s="201"/>
    </row>
    <row r="14657" spans="62:62" x14ac:dyDescent="0.2">
      <c r="BJ14657" s="201"/>
    </row>
    <row r="14658" spans="62:62" x14ac:dyDescent="0.2">
      <c r="BJ14658" s="201"/>
    </row>
    <row r="14659" spans="62:62" x14ac:dyDescent="0.2">
      <c r="BJ14659" s="201"/>
    </row>
    <row r="14660" spans="62:62" x14ac:dyDescent="0.2">
      <c r="BJ14660" s="201"/>
    </row>
    <row r="14661" spans="62:62" x14ac:dyDescent="0.2">
      <c r="BJ14661" s="201"/>
    </row>
    <row r="14662" spans="62:62" x14ac:dyDescent="0.2">
      <c r="BJ14662" s="201"/>
    </row>
    <row r="14663" spans="62:62" x14ac:dyDescent="0.2">
      <c r="BJ14663" s="201"/>
    </row>
    <row r="14664" spans="62:62" x14ac:dyDescent="0.2">
      <c r="BJ14664" s="201"/>
    </row>
    <row r="14665" spans="62:62" x14ac:dyDescent="0.2">
      <c r="BJ14665" s="201"/>
    </row>
    <row r="14666" spans="62:62" x14ac:dyDescent="0.2">
      <c r="BJ14666" s="201"/>
    </row>
    <row r="14667" spans="62:62" x14ac:dyDescent="0.2">
      <c r="BJ14667" s="201"/>
    </row>
    <row r="14668" spans="62:62" x14ac:dyDescent="0.2">
      <c r="BJ14668" s="201"/>
    </row>
    <row r="14669" spans="62:62" x14ac:dyDescent="0.2">
      <c r="BJ14669" s="201"/>
    </row>
    <row r="14670" spans="62:62" x14ac:dyDescent="0.2">
      <c r="BJ14670" s="201"/>
    </row>
    <row r="14671" spans="62:62" x14ac:dyDescent="0.2">
      <c r="BJ14671" s="201"/>
    </row>
    <row r="14672" spans="62:62" x14ac:dyDescent="0.2">
      <c r="BJ14672" s="201"/>
    </row>
    <row r="14673" spans="62:62" x14ac:dyDescent="0.2">
      <c r="BJ14673" s="201"/>
    </row>
    <row r="14674" spans="62:62" x14ac:dyDescent="0.2">
      <c r="BJ14674" s="201"/>
    </row>
    <row r="14675" spans="62:62" x14ac:dyDescent="0.2">
      <c r="BJ14675" s="201"/>
    </row>
    <row r="14676" spans="62:62" x14ac:dyDescent="0.2">
      <c r="BJ14676" s="201"/>
    </row>
    <row r="14677" spans="62:62" x14ac:dyDescent="0.2">
      <c r="BJ14677" s="201"/>
    </row>
    <row r="14678" spans="62:62" x14ac:dyDescent="0.2">
      <c r="BJ14678" s="201"/>
    </row>
    <row r="14679" spans="62:62" x14ac:dyDescent="0.2">
      <c r="BJ14679" s="201"/>
    </row>
    <row r="14680" spans="62:62" x14ac:dyDescent="0.2">
      <c r="BJ14680" s="201"/>
    </row>
    <row r="14681" spans="62:62" x14ac:dyDescent="0.2">
      <c r="BJ14681" s="201"/>
    </row>
    <row r="14682" spans="62:62" x14ac:dyDescent="0.2">
      <c r="BJ14682" s="201"/>
    </row>
    <row r="14683" spans="62:62" x14ac:dyDescent="0.2">
      <c r="BJ14683" s="201"/>
    </row>
    <row r="14684" spans="62:62" x14ac:dyDescent="0.2">
      <c r="BJ14684" s="201"/>
    </row>
    <row r="14685" spans="62:62" x14ac:dyDescent="0.2">
      <c r="BJ14685" s="201"/>
    </row>
    <row r="14686" spans="62:62" x14ac:dyDescent="0.2">
      <c r="BJ14686" s="201"/>
    </row>
    <row r="14687" spans="62:62" x14ac:dyDescent="0.2">
      <c r="BJ14687" s="201"/>
    </row>
    <row r="14688" spans="62:62" x14ac:dyDescent="0.2">
      <c r="BJ14688" s="201"/>
    </row>
    <row r="14689" spans="62:62" x14ac:dyDescent="0.2">
      <c r="BJ14689" s="201"/>
    </row>
    <row r="14690" spans="62:62" x14ac:dyDescent="0.2">
      <c r="BJ14690" s="201"/>
    </row>
    <row r="14691" spans="62:62" x14ac:dyDescent="0.2">
      <c r="BJ14691" s="201"/>
    </row>
    <row r="14692" spans="62:62" x14ac:dyDescent="0.2">
      <c r="BJ14692" s="201"/>
    </row>
    <row r="14693" spans="62:62" x14ac:dyDescent="0.2">
      <c r="BJ14693" s="201"/>
    </row>
    <row r="14694" spans="62:62" x14ac:dyDescent="0.2">
      <c r="BJ14694" s="201"/>
    </row>
    <row r="14695" spans="62:62" x14ac:dyDescent="0.2">
      <c r="BJ14695" s="201"/>
    </row>
    <row r="14696" spans="62:62" x14ac:dyDescent="0.2">
      <c r="BJ14696" s="201"/>
    </row>
    <row r="14697" spans="62:62" x14ac:dyDescent="0.2">
      <c r="BJ14697" s="201"/>
    </row>
    <row r="14698" spans="62:62" x14ac:dyDescent="0.2">
      <c r="BJ14698" s="201"/>
    </row>
    <row r="14699" spans="62:62" x14ac:dyDescent="0.2">
      <c r="BJ14699" s="201"/>
    </row>
    <row r="14700" spans="62:62" x14ac:dyDescent="0.2">
      <c r="BJ14700" s="201"/>
    </row>
    <row r="14701" spans="62:62" x14ac:dyDescent="0.2">
      <c r="BJ14701" s="201"/>
    </row>
    <row r="14702" spans="62:62" x14ac:dyDescent="0.2">
      <c r="BJ14702" s="201"/>
    </row>
    <row r="14703" spans="62:62" x14ac:dyDescent="0.2">
      <c r="BJ14703" s="201"/>
    </row>
    <row r="14704" spans="62:62" x14ac:dyDescent="0.2">
      <c r="BJ14704" s="201"/>
    </row>
    <row r="14705" spans="62:62" x14ac:dyDescent="0.2">
      <c r="BJ14705" s="201"/>
    </row>
    <row r="14706" spans="62:62" x14ac:dyDescent="0.2">
      <c r="BJ14706" s="201"/>
    </row>
    <row r="14707" spans="62:62" x14ac:dyDescent="0.2">
      <c r="BJ14707" s="201"/>
    </row>
    <row r="14708" spans="62:62" x14ac:dyDescent="0.2">
      <c r="BJ14708" s="201"/>
    </row>
    <row r="14709" spans="62:62" x14ac:dyDescent="0.2">
      <c r="BJ14709" s="201"/>
    </row>
    <row r="14710" spans="62:62" x14ac:dyDescent="0.2">
      <c r="BJ14710" s="201"/>
    </row>
    <row r="14711" spans="62:62" x14ac:dyDescent="0.2">
      <c r="BJ14711" s="201"/>
    </row>
    <row r="14712" spans="62:62" x14ac:dyDescent="0.2">
      <c r="BJ14712" s="201"/>
    </row>
    <row r="14713" spans="62:62" x14ac:dyDescent="0.2">
      <c r="BJ14713" s="201"/>
    </row>
    <row r="14714" spans="62:62" x14ac:dyDescent="0.2">
      <c r="BJ14714" s="201"/>
    </row>
    <row r="14715" spans="62:62" x14ac:dyDescent="0.2">
      <c r="BJ14715" s="201"/>
    </row>
    <row r="14716" spans="62:62" x14ac:dyDescent="0.2">
      <c r="BJ14716" s="201"/>
    </row>
    <row r="14717" spans="62:62" x14ac:dyDescent="0.2">
      <c r="BJ14717" s="201"/>
    </row>
    <row r="14718" spans="62:62" x14ac:dyDescent="0.2">
      <c r="BJ14718" s="201"/>
    </row>
    <row r="14719" spans="62:62" x14ac:dyDescent="0.2">
      <c r="BJ14719" s="201"/>
    </row>
    <row r="14720" spans="62:62" x14ac:dyDescent="0.2">
      <c r="BJ14720" s="201"/>
    </row>
    <row r="14721" spans="62:62" x14ac:dyDescent="0.2">
      <c r="BJ14721" s="201"/>
    </row>
    <row r="14722" spans="62:62" x14ac:dyDescent="0.2">
      <c r="BJ14722" s="201"/>
    </row>
    <row r="14723" spans="62:62" x14ac:dyDescent="0.2">
      <c r="BJ14723" s="201"/>
    </row>
    <row r="14724" spans="62:62" x14ac:dyDescent="0.2">
      <c r="BJ14724" s="201"/>
    </row>
    <row r="14725" spans="62:62" x14ac:dyDescent="0.2">
      <c r="BJ14725" s="201"/>
    </row>
    <row r="14726" spans="62:62" x14ac:dyDescent="0.2">
      <c r="BJ14726" s="201"/>
    </row>
    <row r="14727" spans="62:62" x14ac:dyDescent="0.2">
      <c r="BJ14727" s="201"/>
    </row>
    <row r="14728" spans="62:62" x14ac:dyDescent="0.2">
      <c r="BJ14728" s="201"/>
    </row>
    <row r="14729" spans="62:62" x14ac:dyDescent="0.2">
      <c r="BJ14729" s="201"/>
    </row>
    <row r="14730" spans="62:62" x14ac:dyDescent="0.2">
      <c r="BJ14730" s="201"/>
    </row>
    <row r="14731" spans="62:62" x14ac:dyDescent="0.2">
      <c r="BJ14731" s="201"/>
    </row>
    <row r="14732" spans="62:62" x14ac:dyDescent="0.2">
      <c r="BJ14732" s="201"/>
    </row>
    <row r="14733" spans="62:62" x14ac:dyDescent="0.2">
      <c r="BJ14733" s="201"/>
    </row>
    <row r="14734" spans="62:62" x14ac:dyDescent="0.2">
      <c r="BJ14734" s="201"/>
    </row>
    <row r="14735" spans="62:62" x14ac:dyDescent="0.2">
      <c r="BJ14735" s="201"/>
    </row>
    <row r="14736" spans="62:62" x14ac:dyDescent="0.2">
      <c r="BJ14736" s="201"/>
    </row>
    <row r="14737" spans="62:62" x14ac:dyDescent="0.2">
      <c r="BJ14737" s="201"/>
    </row>
    <row r="14738" spans="62:62" x14ac:dyDescent="0.2">
      <c r="BJ14738" s="201"/>
    </row>
    <row r="14739" spans="62:62" x14ac:dyDescent="0.2">
      <c r="BJ14739" s="201"/>
    </row>
    <row r="14740" spans="62:62" x14ac:dyDescent="0.2">
      <c r="BJ14740" s="201"/>
    </row>
    <row r="14741" spans="62:62" x14ac:dyDescent="0.2">
      <c r="BJ14741" s="201"/>
    </row>
    <row r="14742" spans="62:62" x14ac:dyDescent="0.2">
      <c r="BJ14742" s="201"/>
    </row>
    <row r="14743" spans="62:62" x14ac:dyDescent="0.2">
      <c r="BJ14743" s="201"/>
    </row>
    <row r="14744" spans="62:62" x14ac:dyDescent="0.2">
      <c r="BJ14744" s="201"/>
    </row>
    <row r="14745" spans="62:62" x14ac:dyDescent="0.2">
      <c r="BJ14745" s="201"/>
    </row>
    <row r="14746" spans="62:62" x14ac:dyDescent="0.2">
      <c r="BJ14746" s="201"/>
    </row>
    <row r="14747" spans="62:62" x14ac:dyDescent="0.2">
      <c r="BJ14747" s="201"/>
    </row>
    <row r="14748" spans="62:62" x14ac:dyDescent="0.2">
      <c r="BJ14748" s="201"/>
    </row>
    <row r="14749" spans="62:62" x14ac:dyDescent="0.2">
      <c r="BJ14749" s="201"/>
    </row>
    <row r="14750" spans="62:62" x14ac:dyDescent="0.2">
      <c r="BJ14750" s="201"/>
    </row>
    <row r="14751" spans="62:62" x14ac:dyDescent="0.2">
      <c r="BJ14751" s="201"/>
    </row>
    <row r="14752" spans="62:62" x14ac:dyDescent="0.2">
      <c r="BJ14752" s="201"/>
    </row>
    <row r="14753" spans="62:62" x14ac:dyDescent="0.2">
      <c r="BJ14753" s="201"/>
    </row>
    <row r="14754" spans="62:62" x14ac:dyDescent="0.2">
      <c r="BJ14754" s="201"/>
    </row>
    <row r="14755" spans="62:62" x14ac:dyDescent="0.2">
      <c r="BJ14755" s="201"/>
    </row>
    <row r="14756" spans="62:62" x14ac:dyDescent="0.2">
      <c r="BJ14756" s="201"/>
    </row>
    <row r="14757" spans="62:62" x14ac:dyDescent="0.2">
      <c r="BJ14757" s="201"/>
    </row>
    <row r="14758" spans="62:62" x14ac:dyDescent="0.2">
      <c r="BJ14758" s="201"/>
    </row>
    <row r="14759" spans="62:62" x14ac:dyDescent="0.2">
      <c r="BJ14759" s="201"/>
    </row>
    <row r="14760" spans="62:62" x14ac:dyDescent="0.2">
      <c r="BJ14760" s="201"/>
    </row>
    <row r="14761" spans="62:62" x14ac:dyDescent="0.2">
      <c r="BJ14761" s="201"/>
    </row>
    <row r="14762" spans="62:62" x14ac:dyDescent="0.2">
      <c r="BJ14762" s="201"/>
    </row>
    <row r="14763" spans="62:62" x14ac:dyDescent="0.2">
      <c r="BJ14763" s="201"/>
    </row>
    <row r="14764" spans="62:62" x14ac:dyDescent="0.2">
      <c r="BJ14764" s="201"/>
    </row>
    <row r="14765" spans="62:62" x14ac:dyDescent="0.2">
      <c r="BJ14765" s="201"/>
    </row>
    <row r="14766" spans="62:62" x14ac:dyDescent="0.2">
      <c r="BJ14766" s="201"/>
    </row>
    <row r="14767" spans="62:62" x14ac:dyDescent="0.2">
      <c r="BJ14767" s="201"/>
    </row>
    <row r="14768" spans="62:62" x14ac:dyDescent="0.2">
      <c r="BJ14768" s="201"/>
    </row>
    <row r="14769" spans="62:62" x14ac:dyDescent="0.2">
      <c r="BJ14769" s="201"/>
    </row>
    <row r="14770" spans="62:62" x14ac:dyDescent="0.2">
      <c r="BJ14770" s="201"/>
    </row>
    <row r="14771" spans="62:62" x14ac:dyDescent="0.2">
      <c r="BJ14771" s="201"/>
    </row>
    <row r="14772" spans="62:62" x14ac:dyDescent="0.2">
      <c r="BJ14772" s="201"/>
    </row>
    <row r="14773" spans="62:62" x14ac:dyDescent="0.2">
      <c r="BJ14773" s="201"/>
    </row>
    <row r="14774" spans="62:62" x14ac:dyDescent="0.2">
      <c r="BJ14774" s="201"/>
    </row>
    <row r="14775" spans="62:62" x14ac:dyDescent="0.2">
      <c r="BJ14775" s="201"/>
    </row>
    <row r="14776" spans="62:62" x14ac:dyDescent="0.2">
      <c r="BJ14776" s="201"/>
    </row>
    <row r="14777" spans="62:62" x14ac:dyDescent="0.2">
      <c r="BJ14777" s="201"/>
    </row>
    <row r="14778" spans="62:62" x14ac:dyDescent="0.2">
      <c r="BJ14778" s="201"/>
    </row>
    <row r="14779" spans="62:62" x14ac:dyDescent="0.2">
      <c r="BJ14779" s="201"/>
    </row>
    <row r="14780" spans="62:62" x14ac:dyDescent="0.2">
      <c r="BJ14780" s="201"/>
    </row>
    <row r="14781" spans="62:62" x14ac:dyDescent="0.2">
      <c r="BJ14781" s="201"/>
    </row>
    <row r="14782" spans="62:62" x14ac:dyDescent="0.2">
      <c r="BJ14782" s="201"/>
    </row>
    <row r="14783" spans="62:62" x14ac:dyDescent="0.2">
      <c r="BJ14783" s="201"/>
    </row>
    <row r="14784" spans="62:62" x14ac:dyDescent="0.2">
      <c r="BJ14784" s="201"/>
    </row>
    <row r="14785" spans="62:62" x14ac:dyDescent="0.2">
      <c r="BJ14785" s="201"/>
    </row>
    <row r="14786" spans="62:62" x14ac:dyDescent="0.2">
      <c r="BJ14786" s="201"/>
    </row>
    <row r="14787" spans="62:62" x14ac:dyDescent="0.2">
      <c r="BJ14787" s="201"/>
    </row>
    <row r="14788" spans="62:62" x14ac:dyDescent="0.2">
      <c r="BJ14788" s="201"/>
    </row>
    <row r="14789" spans="62:62" x14ac:dyDescent="0.2">
      <c r="BJ14789" s="201"/>
    </row>
    <row r="14790" spans="62:62" x14ac:dyDescent="0.2">
      <c r="BJ14790" s="201"/>
    </row>
    <row r="14791" spans="62:62" x14ac:dyDescent="0.2">
      <c r="BJ14791" s="201"/>
    </row>
    <row r="14792" spans="62:62" x14ac:dyDescent="0.2">
      <c r="BJ14792" s="201"/>
    </row>
    <row r="14793" spans="62:62" x14ac:dyDescent="0.2">
      <c r="BJ14793" s="201"/>
    </row>
    <row r="14794" spans="62:62" x14ac:dyDescent="0.2">
      <c r="BJ14794" s="201"/>
    </row>
    <row r="14795" spans="62:62" x14ac:dyDescent="0.2">
      <c r="BJ14795" s="201"/>
    </row>
    <row r="14796" spans="62:62" x14ac:dyDescent="0.2">
      <c r="BJ14796" s="201"/>
    </row>
    <row r="14797" spans="62:62" x14ac:dyDescent="0.2">
      <c r="BJ14797" s="201"/>
    </row>
    <row r="14798" spans="62:62" x14ac:dyDescent="0.2">
      <c r="BJ14798" s="201"/>
    </row>
    <row r="14799" spans="62:62" x14ac:dyDescent="0.2">
      <c r="BJ14799" s="201"/>
    </row>
    <row r="14800" spans="62:62" x14ac:dyDescent="0.2">
      <c r="BJ14800" s="201"/>
    </row>
    <row r="14801" spans="62:62" x14ac:dyDescent="0.2">
      <c r="BJ14801" s="201"/>
    </row>
    <row r="14802" spans="62:62" x14ac:dyDescent="0.2">
      <c r="BJ14802" s="201"/>
    </row>
    <row r="14803" spans="62:62" x14ac:dyDescent="0.2">
      <c r="BJ14803" s="201"/>
    </row>
    <row r="14804" spans="62:62" x14ac:dyDescent="0.2">
      <c r="BJ14804" s="201"/>
    </row>
    <row r="14805" spans="62:62" x14ac:dyDescent="0.2">
      <c r="BJ14805" s="201"/>
    </row>
    <row r="14806" spans="62:62" x14ac:dyDescent="0.2">
      <c r="BJ14806" s="201"/>
    </row>
    <row r="14807" spans="62:62" x14ac:dyDescent="0.2">
      <c r="BJ14807" s="201"/>
    </row>
    <row r="14808" spans="62:62" x14ac:dyDescent="0.2">
      <c r="BJ14808" s="201"/>
    </row>
    <row r="14809" spans="62:62" x14ac:dyDescent="0.2">
      <c r="BJ14809" s="201"/>
    </row>
    <row r="14810" spans="62:62" x14ac:dyDescent="0.2">
      <c r="BJ14810" s="201"/>
    </row>
    <row r="14811" spans="62:62" x14ac:dyDescent="0.2">
      <c r="BJ14811" s="201"/>
    </row>
    <row r="14812" spans="62:62" x14ac:dyDescent="0.2">
      <c r="BJ14812" s="201"/>
    </row>
    <row r="14813" spans="62:62" x14ac:dyDescent="0.2">
      <c r="BJ14813" s="201"/>
    </row>
    <row r="14814" spans="62:62" x14ac:dyDescent="0.2">
      <c r="BJ14814" s="201"/>
    </row>
    <row r="14815" spans="62:62" x14ac:dyDescent="0.2">
      <c r="BJ14815" s="201"/>
    </row>
    <row r="14816" spans="62:62" x14ac:dyDescent="0.2">
      <c r="BJ14816" s="201"/>
    </row>
    <row r="14817" spans="62:62" x14ac:dyDescent="0.2">
      <c r="BJ14817" s="201"/>
    </row>
    <row r="14818" spans="62:62" x14ac:dyDescent="0.2">
      <c r="BJ14818" s="201"/>
    </row>
    <row r="14819" spans="62:62" x14ac:dyDescent="0.2">
      <c r="BJ14819" s="201"/>
    </row>
    <row r="14820" spans="62:62" x14ac:dyDescent="0.2">
      <c r="BJ14820" s="201"/>
    </row>
    <row r="14821" spans="62:62" x14ac:dyDescent="0.2">
      <c r="BJ14821" s="201"/>
    </row>
    <row r="14822" spans="62:62" x14ac:dyDescent="0.2">
      <c r="BJ14822" s="201"/>
    </row>
    <row r="14823" spans="62:62" x14ac:dyDescent="0.2">
      <c r="BJ14823" s="201"/>
    </row>
    <row r="14824" spans="62:62" x14ac:dyDescent="0.2">
      <c r="BJ14824" s="201"/>
    </row>
    <row r="14825" spans="62:62" x14ac:dyDescent="0.2">
      <c r="BJ14825" s="201"/>
    </row>
    <row r="14826" spans="62:62" x14ac:dyDescent="0.2">
      <c r="BJ14826" s="201"/>
    </row>
    <row r="14827" spans="62:62" x14ac:dyDescent="0.2">
      <c r="BJ14827" s="201"/>
    </row>
    <row r="14828" spans="62:62" x14ac:dyDescent="0.2">
      <c r="BJ14828" s="201"/>
    </row>
    <row r="14829" spans="62:62" x14ac:dyDescent="0.2">
      <c r="BJ14829" s="201"/>
    </row>
    <row r="14830" spans="62:62" x14ac:dyDescent="0.2">
      <c r="BJ14830" s="201"/>
    </row>
    <row r="14831" spans="62:62" x14ac:dyDescent="0.2">
      <c r="BJ14831" s="201"/>
    </row>
    <row r="14832" spans="62:62" x14ac:dyDescent="0.2">
      <c r="BJ14832" s="201"/>
    </row>
    <row r="14833" spans="62:62" x14ac:dyDescent="0.2">
      <c r="BJ14833" s="201"/>
    </row>
    <row r="14834" spans="62:62" x14ac:dyDescent="0.2">
      <c r="BJ14834" s="201"/>
    </row>
    <row r="14835" spans="62:62" x14ac:dyDescent="0.2">
      <c r="BJ14835" s="201"/>
    </row>
    <row r="14836" spans="62:62" x14ac:dyDescent="0.2">
      <c r="BJ14836" s="201"/>
    </row>
    <row r="14837" spans="62:62" x14ac:dyDescent="0.2">
      <c r="BJ14837" s="201"/>
    </row>
    <row r="14838" spans="62:62" x14ac:dyDescent="0.2">
      <c r="BJ14838" s="201"/>
    </row>
    <row r="14839" spans="62:62" x14ac:dyDescent="0.2">
      <c r="BJ14839" s="201"/>
    </row>
    <row r="14840" spans="62:62" x14ac:dyDescent="0.2">
      <c r="BJ14840" s="201"/>
    </row>
    <row r="14841" spans="62:62" x14ac:dyDescent="0.2">
      <c r="BJ14841" s="201"/>
    </row>
    <row r="14842" spans="62:62" x14ac:dyDescent="0.2">
      <c r="BJ14842" s="201"/>
    </row>
    <row r="14843" spans="62:62" x14ac:dyDescent="0.2">
      <c r="BJ14843" s="201"/>
    </row>
    <row r="14844" spans="62:62" x14ac:dyDescent="0.2">
      <c r="BJ14844" s="201"/>
    </row>
    <row r="14845" spans="62:62" x14ac:dyDescent="0.2">
      <c r="BJ14845" s="201"/>
    </row>
    <row r="14846" spans="62:62" x14ac:dyDescent="0.2">
      <c r="BJ14846" s="201"/>
    </row>
    <row r="14847" spans="62:62" x14ac:dyDescent="0.2">
      <c r="BJ14847" s="201"/>
    </row>
    <row r="14848" spans="62:62" x14ac:dyDescent="0.2">
      <c r="BJ14848" s="201"/>
    </row>
    <row r="14849" spans="62:62" x14ac:dyDescent="0.2">
      <c r="BJ14849" s="201"/>
    </row>
    <row r="14850" spans="62:62" x14ac:dyDescent="0.2">
      <c r="BJ14850" s="201"/>
    </row>
    <row r="14851" spans="62:62" x14ac:dyDescent="0.2">
      <c r="BJ14851" s="201"/>
    </row>
    <row r="14852" spans="62:62" x14ac:dyDescent="0.2">
      <c r="BJ14852" s="201"/>
    </row>
    <row r="14853" spans="62:62" x14ac:dyDescent="0.2">
      <c r="BJ14853" s="201"/>
    </row>
    <row r="14854" spans="62:62" x14ac:dyDescent="0.2">
      <c r="BJ14854" s="201"/>
    </row>
    <row r="14855" spans="62:62" x14ac:dyDescent="0.2">
      <c r="BJ14855" s="201"/>
    </row>
    <row r="14856" spans="62:62" x14ac:dyDescent="0.2">
      <c r="BJ14856" s="201"/>
    </row>
    <row r="14857" spans="62:62" x14ac:dyDescent="0.2">
      <c r="BJ14857" s="201"/>
    </row>
    <row r="14858" spans="62:62" x14ac:dyDescent="0.2">
      <c r="BJ14858" s="201"/>
    </row>
    <row r="14859" spans="62:62" x14ac:dyDescent="0.2">
      <c r="BJ14859" s="201"/>
    </row>
    <row r="14860" spans="62:62" x14ac:dyDescent="0.2">
      <c r="BJ14860" s="201"/>
    </row>
    <row r="14861" spans="62:62" x14ac:dyDescent="0.2">
      <c r="BJ14861" s="201"/>
    </row>
    <row r="14862" spans="62:62" x14ac:dyDescent="0.2">
      <c r="BJ14862" s="201"/>
    </row>
    <row r="14863" spans="62:62" x14ac:dyDescent="0.2">
      <c r="BJ14863" s="201"/>
    </row>
    <row r="14864" spans="62:62" x14ac:dyDescent="0.2">
      <c r="BJ14864" s="201"/>
    </row>
    <row r="14865" spans="62:62" x14ac:dyDescent="0.2">
      <c r="BJ14865" s="201"/>
    </row>
    <row r="14866" spans="62:62" x14ac:dyDescent="0.2">
      <c r="BJ14866" s="201"/>
    </row>
    <row r="14867" spans="62:62" x14ac:dyDescent="0.2">
      <c r="BJ14867" s="201"/>
    </row>
    <row r="14868" spans="62:62" x14ac:dyDescent="0.2">
      <c r="BJ14868" s="201"/>
    </row>
    <row r="14869" spans="62:62" x14ac:dyDescent="0.2">
      <c r="BJ14869" s="201"/>
    </row>
    <row r="14870" spans="62:62" x14ac:dyDescent="0.2">
      <c r="BJ14870" s="201"/>
    </row>
    <row r="14871" spans="62:62" x14ac:dyDescent="0.2">
      <c r="BJ14871" s="201"/>
    </row>
    <row r="14872" spans="62:62" x14ac:dyDescent="0.2">
      <c r="BJ14872" s="201"/>
    </row>
    <row r="14873" spans="62:62" x14ac:dyDescent="0.2">
      <c r="BJ14873" s="201"/>
    </row>
    <row r="14874" spans="62:62" x14ac:dyDescent="0.2">
      <c r="BJ14874" s="201"/>
    </row>
    <row r="14875" spans="62:62" x14ac:dyDescent="0.2">
      <c r="BJ14875" s="201"/>
    </row>
    <row r="14876" spans="62:62" x14ac:dyDescent="0.2">
      <c r="BJ14876" s="201"/>
    </row>
    <row r="14877" spans="62:62" x14ac:dyDescent="0.2">
      <c r="BJ14877" s="201"/>
    </row>
    <row r="14878" spans="62:62" x14ac:dyDescent="0.2">
      <c r="BJ14878" s="201"/>
    </row>
    <row r="14879" spans="62:62" x14ac:dyDescent="0.2">
      <c r="BJ14879" s="201"/>
    </row>
    <row r="14880" spans="62:62" x14ac:dyDescent="0.2">
      <c r="BJ14880" s="201"/>
    </row>
    <row r="14881" spans="62:62" x14ac:dyDescent="0.2">
      <c r="BJ14881" s="201"/>
    </row>
    <row r="14882" spans="62:62" x14ac:dyDescent="0.2">
      <c r="BJ14882" s="201"/>
    </row>
    <row r="14883" spans="62:62" x14ac:dyDescent="0.2">
      <c r="BJ14883" s="201"/>
    </row>
    <row r="14884" spans="62:62" x14ac:dyDescent="0.2">
      <c r="BJ14884" s="201"/>
    </row>
    <row r="14885" spans="62:62" x14ac:dyDescent="0.2">
      <c r="BJ14885" s="201"/>
    </row>
    <row r="14886" spans="62:62" x14ac:dyDescent="0.2">
      <c r="BJ14886" s="201"/>
    </row>
    <row r="14887" spans="62:62" x14ac:dyDescent="0.2">
      <c r="BJ14887" s="201"/>
    </row>
    <row r="14888" spans="62:62" x14ac:dyDescent="0.2">
      <c r="BJ14888" s="201"/>
    </row>
    <row r="14889" spans="62:62" x14ac:dyDescent="0.2">
      <c r="BJ14889" s="201"/>
    </row>
    <row r="14890" spans="62:62" x14ac:dyDescent="0.2">
      <c r="BJ14890" s="201"/>
    </row>
    <row r="14891" spans="62:62" x14ac:dyDescent="0.2">
      <c r="BJ14891" s="201"/>
    </row>
    <row r="14892" spans="62:62" x14ac:dyDescent="0.2">
      <c r="BJ14892" s="201"/>
    </row>
    <row r="14893" spans="62:62" x14ac:dyDescent="0.2">
      <c r="BJ14893" s="201"/>
    </row>
    <row r="14894" spans="62:62" x14ac:dyDescent="0.2">
      <c r="BJ14894" s="201"/>
    </row>
    <row r="14895" spans="62:62" x14ac:dyDescent="0.2">
      <c r="BJ14895" s="201"/>
    </row>
    <row r="14896" spans="62:62" x14ac:dyDescent="0.2">
      <c r="BJ14896" s="201"/>
    </row>
    <row r="14897" spans="62:62" x14ac:dyDescent="0.2">
      <c r="BJ14897" s="201"/>
    </row>
    <row r="14898" spans="62:62" x14ac:dyDescent="0.2">
      <c r="BJ14898" s="201"/>
    </row>
    <row r="14899" spans="62:62" x14ac:dyDescent="0.2">
      <c r="BJ14899" s="201"/>
    </row>
    <row r="14900" spans="62:62" x14ac:dyDescent="0.2">
      <c r="BJ14900" s="201"/>
    </row>
    <row r="14901" spans="62:62" x14ac:dyDescent="0.2">
      <c r="BJ14901" s="201"/>
    </row>
    <row r="14902" spans="62:62" x14ac:dyDescent="0.2">
      <c r="BJ14902" s="201"/>
    </row>
    <row r="14903" spans="62:62" x14ac:dyDescent="0.2">
      <c r="BJ14903" s="201"/>
    </row>
    <row r="14904" spans="62:62" x14ac:dyDescent="0.2">
      <c r="BJ14904" s="201"/>
    </row>
    <row r="14905" spans="62:62" x14ac:dyDescent="0.2">
      <c r="BJ14905" s="201"/>
    </row>
    <row r="14906" spans="62:62" x14ac:dyDescent="0.2">
      <c r="BJ14906" s="201"/>
    </row>
    <row r="14907" spans="62:62" x14ac:dyDescent="0.2">
      <c r="BJ14907" s="201"/>
    </row>
    <row r="14908" spans="62:62" x14ac:dyDescent="0.2">
      <c r="BJ14908" s="201"/>
    </row>
    <row r="14909" spans="62:62" x14ac:dyDescent="0.2">
      <c r="BJ14909" s="201"/>
    </row>
    <row r="14910" spans="62:62" x14ac:dyDescent="0.2">
      <c r="BJ14910" s="201"/>
    </row>
    <row r="14911" spans="62:62" x14ac:dyDescent="0.2">
      <c r="BJ14911" s="201"/>
    </row>
    <row r="14912" spans="62:62" x14ac:dyDescent="0.2">
      <c r="BJ14912" s="201"/>
    </row>
    <row r="14913" spans="62:62" x14ac:dyDescent="0.2">
      <c r="BJ14913" s="201"/>
    </row>
    <row r="14914" spans="62:62" x14ac:dyDescent="0.2">
      <c r="BJ14914" s="201"/>
    </row>
    <row r="14915" spans="62:62" x14ac:dyDescent="0.2">
      <c r="BJ14915" s="201"/>
    </row>
    <row r="14916" spans="62:62" x14ac:dyDescent="0.2">
      <c r="BJ14916" s="201"/>
    </row>
    <row r="14917" spans="62:62" x14ac:dyDescent="0.2">
      <c r="BJ14917" s="201"/>
    </row>
    <row r="14918" spans="62:62" x14ac:dyDescent="0.2">
      <c r="BJ14918" s="201"/>
    </row>
    <row r="14919" spans="62:62" x14ac:dyDescent="0.2">
      <c r="BJ14919" s="201"/>
    </row>
    <row r="14920" spans="62:62" x14ac:dyDescent="0.2">
      <c r="BJ14920" s="201"/>
    </row>
    <row r="14921" spans="62:62" x14ac:dyDescent="0.2">
      <c r="BJ14921" s="201"/>
    </row>
    <row r="14922" spans="62:62" x14ac:dyDescent="0.2">
      <c r="BJ14922" s="201"/>
    </row>
    <row r="14923" spans="62:62" x14ac:dyDescent="0.2">
      <c r="BJ14923" s="201"/>
    </row>
    <row r="14924" spans="62:62" x14ac:dyDescent="0.2">
      <c r="BJ14924" s="201"/>
    </row>
    <row r="14925" spans="62:62" x14ac:dyDescent="0.2">
      <c r="BJ14925" s="201"/>
    </row>
    <row r="14926" spans="62:62" x14ac:dyDescent="0.2">
      <c r="BJ14926" s="201"/>
    </row>
    <row r="14927" spans="62:62" x14ac:dyDescent="0.2">
      <c r="BJ14927" s="201"/>
    </row>
    <row r="14928" spans="62:62" x14ac:dyDescent="0.2">
      <c r="BJ14928" s="201"/>
    </row>
    <row r="14929" spans="62:62" x14ac:dyDescent="0.2">
      <c r="BJ14929" s="201"/>
    </row>
    <row r="14930" spans="62:62" x14ac:dyDescent="0.2">
      <c r="BJ14930" s="201"/>
    </row>
    <row r="14931" spans="62:62" x14ac:dyDescent="0.2">
      <c r="BJ14931" s="201"/>
    </row>
    <row r="14932" spans="62:62" x14ac:dyDescent="0.2">
      <c r="BJ14932" s="201"/>
    </row>
    <row r="14933" spans="62:62" x14ac:dyDescent="0.2">
      <c r="BJ14933" s="201"/>
    </row>
    <row r="14934" spans="62:62" x14ac:dyDescent="0.2">
      <c r="BJ14934" s="201"/>
    </row>
    <row r="14935" spans="62:62" x14ac:dyDescent="0.2">
      <c r="BJ14935" s="201"/>
    </row>
    <row r="14936" spans="62:62" x14ac:dyDescent="0.2">
      <c r="BJ14936" s="201"/>
    </row>
    <row r="14937" spans="62:62" x14ac:dyDescent="0.2">
      <c r="BJ14937" s="201"/>
    </row>
    <row r="14938" spans="62:62" x14ac:dyDescent="0.2">
      <c r="BJ14938" s="201"/>
    </row>
    <row r="14939" spans="62:62" x14ac:dyDescent="0.2">
      <c r="BJ14939" s="201"/>
    </row>
    <row r="14940" spans="62:62" x14ac:dyDescent="0.2">
      <c r="BJ14940" s="201"/>
    </row>
    <row r="14941" spans="62:62" x14ac:dyDescent="0.2">
      <c r="BJ14941" s="201"/>
    </row>
    <row r="14942" spans="62:62" x14ac:dyDescent="0.2">
      <c r="BJ14942" s="201"/>
    </row>
    <row r="14943" spans="62:62" x14ac:dyDescent="0.2">
      <c r="BJ14943" s="201"/>
    </row>
    <row r="14944" spans="62:62" x14ac:dyDescent="0.2">
      <c r="BJ14944" s="201"/>
    </row>
    <row r="14945" spans="62:62" x14ac:dyDescent="0.2">
      <c r="BJ14945" s="201"/>
    </row>
    <row r="14946" spans="62:62" x14ac:dyDescent="0.2">
      <c r="BJ14946" s="201"/>
    </row>
    <row r="14947" spans="62:62" x14ac:dyDescent="0.2">
      <c r="BJ14947" s="201"/>
    </row>
    <row r="14948" spans="62:62" x14ac:dyDescent="0.2">
      <c r="BJ14948" s="201"/>
    </row>
    <row r="14949" spans="62:62" x14ac:dyDescent="0.2">
      <c r="BJ14949" s="201"/>
    </row>
    <row r="14950" spans="62:62" x14ac:dyDescent="0.2">
      <c r="BJ14950" s="201"/>
    </row>
    <row r="14951" spans="62:62" x14ac:dyDescent="0.2">
      <c r="BJ14951" s="201"/>
    </row>
    <row r="14952" spans="62:62" x14ac:dyDescent="0.2">
      <c r="BJ14952" s="201"/>
    </row>
    <row r="14953" spans="62:62" x14ac:dyDescent="0.2">
      <c r="BJ14953" s="201"/>
    </row>
    <row r="14954" spans="62:62" x14ac:dyDescent="0.2">
      <c r="BJ14954" s="201"/>
    </row>
    <row r="14955" spans="62:62" x14ac:dyDescent="0.2">
      <c r="BJ14955" s="201"/>
    </row>
    <row r="14956" spans="62:62" x14ac:dyDescent="0.2">
      <c r="BJ14956" s="201"/>
    </row>
    <row r="14957" spans="62:62" x14ac:dyDescent="0.2">
      <c r="BJ14957" s="201"/>
    </row>
    <row r="14958" spans="62:62" x14ac:dyDescent="0.2">
      <c r="BJ14958" s="201"/>
    </row>
    <row r="14959" spans="62:62" x14ac:dyDescent="0.2">
      <c r="BJ14959" s="201"/>
    </row>
    <row r="14960" spans="62:62" x14ac:dyDescent="0.2">
      <c r="BJ14960" s="201"/>
    </row>
    <row r="14961" spans="62:62" x14ac:dyDescent="0.2">
      <c r="BJ14961" s="201"/>
    </row>
    <row r="14962" spans="62:62" x14ac:dyDescent="0.2">
      <c r="BJ14962" s="201"/>
    </row>
    <row r="14963" spans="62:62" x14ac:dyDescent="0.2">
      <c r="BJ14963" s="201"/>
    </row>
    <row r="14964" spans="62:62" x14ac:dyDescent="0.2">
      <c r="BJ14964" s="201"/>
    </row>
    <row r="14965" spans="62:62" x14ac:dyDescent="0.2">
      <c r="BJ14965" s="201"/>
    </row>
    <row r="14966" spans="62:62" x14ac:dyDescent="0.2">
      <c r="BJ14966" s="201"/>
    </row>
    <row r="14967" spans="62:62" x14ac:dyDescent="0.2">
      <c r="BJ14967" s="201"/>
    </row>
    <row r="14968" spans="62:62" x14ac:dyDescent="0.2">
      <c r="BJ14968" s="201"/>
    </row>
    <row r="14969" spans="62:62" x14ac:dyDescent="0.2">
      <c r="BJ14969" s="201"/>
    </row>
    <row r="14970" spans="62:62" x14ac:dyDescent="0.2">
      <c r="BJ14970" s="201"/>
    </row>
    <row r="14971" spans="62:62" x14ac:dyDescent="0.2">
      <c r="BJ14971" s="201"/>
    </row>
    <row r="14972" spans="62:62" x14ac:dyDescent="0.2">
      <c r="BJ14972" s="201"/>
    </row>
    <row r="14973" spans="62:62" x14ac:dyDescent="0.2">
      <c r="BJ14973" s="201"/>
    </row>
    <row r="14974" spans="62:62" x14ac:dyDescent="0.2">
      <c r="BJ14974" s="201"/>
    </row>
    <row r="14975" spans="62:62" x14ac:dyDescent="0.2">
      <c r="BJ14975" s="201"/>
    </row>
    <row r="14976" spans="62:62" x14ac:dyDescent="0.2">
      <c r="BJ14976" s="201"/>
    </row>
    <row r="14977" spans="62:62" x14ac:dyDescent="0.2">
      <c r="BJ14977" s="201"/>
    </row>
    <row r="14978" spans="62:62" x14ac:dyDescent="0.2">
      <c r="BJ14978" s="201"/>
    </row>
    <row r="14979" spans="62:62" x14ac:dyDescent="0.2">
      <c r="BJ14979" s="201"/>
    </row>
    <row r="14980" spans="62:62" x14ac:dyDescent="0.2">
      <c r="BJ14980" s="201"/>
    </row>
    <row r="14981" spans="62:62" x14ac:dyDescent="0.2">
      <c r="BJ14981" s="201"/>
    </row>
    <row r="14982" spans="62:62" x14ac:dyDescent="0.2">
      <c r="BJ14982" s="201"/>
    </row>
    <row r="14983" spans="62:62" x14ac:dyDescent="0.2">
      <c r="BJ14983" s="201"/>
    </row>
    <row r="14984" spans="62:62" x14ac:dyDescent="0.2">
      <c r="BJ14984" s="201"/>
    </row>
    <row r="14985" spans="62:62" x14ac:dyDescent="0.2">
      <c r="BJ14985" s="201"/>
    </row>
    <row r="14986" spans="62:62" x14ac:dyDescent="0.2">
      <c r="BJ14986" s="201"/>
    </row>
    <row r="14987" spans="62:62" x14ac:dyDescent="0.2">
      <c r="BJ14987" s="201"/>
    </row>
    <row r="14988" spans="62:62" x14ac:dyDescent="0.2">
      <c r="BJ14988" s="201"/>
    </row>
    <row r="14989" spans="62:62" x14ac:dyDescent="0.2">
      <c r="BJ14989" s="201"/>
    </row>
    <row r="14990" spans="62:62" x14ac:dyDescent="0.2">
      <c r="BJ14990" s="201"/>
    </row>
    <row r="14991" spans="62:62" x14ac:dyDescent="0.2">
      <c r="BJ14991" s="201"/>
    </row>
    <row r="14992" spans="62:62" x14ac:dyDescent="0.2">
      <c r="BJ14992" s="201"/>
    </row>
    <row r="14993" spans="62:62" x14ac:dyDescent="0.2">
      <c r="BJ14993" s="201"/>
    </row>
    <row r="14994" spans="62:62" x14ac:dyDescent="0.2">
      <c r="BJ14994" s="201"/>
    </row>
    <row r="14995" spans="62:62" x14ac:dyDescent="0.2">
      <c r="BJ14995" s="201"/>
    </row>
    <row r="14996" spans="62:62" x14ac:dyDescent="0.2">
      <c r="BJ14996" s="201"/>
    </row>
    <row r="14997" spans="62:62" x14ac:dyDescent="0.2">
      <c r="BJ14997" s="201"/>
    </row>
    <row r="14998" spans="62:62" x14ac:dyDescent="0.2">
      <c r="BJ14998" s="201"/>
    </row>
    <row r="14999" spans="62:62" x14ac:dyDescent="0.2">
      <c r="BJ14999" s="201"/>
    </row>
    <row r="15000" spans="62:62" x14ac:dyDescent="0.2">
      <c r="BJ15000" s="201"/>
    </row>
    <row r="15001" spans="62:62" x14ac:dyDescent="0.2">
      <c r="BJ15001" s="201"/>
    </row>
    <row r="15002" spans="62:62" x14ac:dyDescent="0.2">
      <c r="BJ15002" s="201"/>
    </row>
    <row r="15003" spans="62:62" x14ac:dyDescent="0.2">
      <c r="BJ15003" s="201"/>
    </row>
    <row r="15004" spans="62:62" x14ac:dyDescent="0.2">
      <c r="BJ15004" s="201"/>
    </row>
    <row r="15005" spans="62:62" x14ac:dyDescent="0.2">
      <c r="BJ15005" s="201"/>
    </row>
    <row r="15006" spans="62:62" x14ac:dyDescent="0.2">
      <c r="BJ15006" s="201"/>
    </row>
    <row r="15007" spans="62:62" x14ac:dyDescent="0.2">
      <c r="BJ15007" s="201"/>
    </row>
    <row r="15008" spans="62:62" x14ac:dyDescent="0.2">
      <c r="BJ15008" s="201"/>
    </row>
    <row r="15009" spans="62:62" x14ac:dyDescent="0.2">
      <c r="BJ15009" s="201"/>
    </row>
    <row r="15010" spans="62:62" x14ac:dyDescent="0.2">
      <c r="BJ15010" s="201"/>
    </row>
    <row r="15011" spans="62:62" x14ac:dyDescent="0.2">
      <c r="BJ15011" s="201"/>
    </row>
    <row r="15012" spans="62:62" x14ac:dyDescent="0.2">
      <c r="BJ15012" s="201"/>
    </row>
    <row r="15013" spans="62:62" x14ac:dyDescent="0.2">
      <c r="BJ15013" s="201"/>
    </row>
    <row r="15014" spans="62:62" x14ac:dyDescent="0.2">
      <c r="BJ15014" s="201"/>
    </row>
    <row r="15015" spans="62:62" x14ac:dyDescent="0.2">
      <c r="BJ15015" s="201"/>
    </row>
    <row r="15016" spans="62:62" x14ac:dyDescent="0.2">
      <c r="BJ15016" s="201"/>
    </row>
    <row r="15017" spans="62:62" x14ac:dyDescent="0.2">
      <c r="BJ15017" s="201"/>
    </row>
    <row r="15018" spans="62:62" x14ac:dyDescent="0.2">
      <c r="BJ15018" s="201"/>
    </row>
    <row r="15019" spans="62:62" x14ac:dyDescent="0.2">
      <c r="BJ15019" s="201"/>
    </row>
    <row r="15020" spans="62:62" x14ac:dyDescent="0.2">
      <c r="BJ15020" s="201"/>
    </row>
    <row r="15021" spans="62:62" x14ac:dyDescent="0.2">
      <c r="BJ15021" s="201"/>
    </row>
    <row r="15022" spans="62:62" x14ac:dyDescent="0.2">
      <c r="BJ15022" s="201"/>
    </row>
    <row r="15023" spans="62:62" x14ac:dyDescent="0.2">
      <c r="BJ15023" s="201"/>
    </row>
    <row r="15024" spans="62:62" x14ac:dyDescent="0.2">
      <c r="BJ15024" s="201"/>
    </row>
    <row r="15025" spans="62:62" x14ac:dyDescent="0.2">
      <c r="BJ15025" s="201"/>
    </row>
    <row r="15026" spans="62:62" x14ac:dyDescent="0.2">
      <c r="BJ15026" s="201"/>
    </row>
    <row r="15027" spans="62:62" x14ac:dyDescent="0.2">
      <c r="BJ15027" s="201"/>
    </row>
    <row r="15028" spans="62:62" x14ac:dyDescent="0.2">
      <c r="BJ15028" s="201"/>
    </row>
    <row r="15029" spans="62:62" x14ac:dyDescent="0.2">
      <c r="BJ15029" s="201"/>
    </row>
    <row r="15030" spans="62:62" x14ac:dyDescent="0.2">
      <c r="BJ15030" s="201"/>
    </row>
    <row r="15031" spans="62:62" x14ac:dyDescent="0.2">
      <c r="BJ15031" s="201"/>
    </row>
    <row r="15032" spans="62:62" x14ac:dyDescent="0.2">
      <c r="BJ15032" s="201"/>
    </row>
    <row r="15033" spans="62:62" x14ac:dyDescent="0.2">
      <c r="BJ15033" s="201"/>
    </row>
    <row r="15034" spans="62:62" x14ac:dyDescent="0.2">
      <c r="BJ15034" s="201"/>
    </row>
    <row r="15035" spans="62:62" x14ac:dyDescent="0.2">
      <c r="BJ15035" s="201"/>
    </row>
    <row r="15036" spans="62:62" x14ac:dyDescent="0.2">
      <c r="BJ15036" s="201"/>
    </row>
    <row r="15037" spans="62:62" x14ac:dyDescent="0.2">
      <c r="BJ15037" s="201"/>
    </row>
    <row r="15038" spans="62:62" x14ac:dyDescent="0.2">
      <c r="BJ15038" s="201"/>
    </row>
    <row r="15039" spans="62:62" x14ac:dyDescent="0.2">
      <c r="BJ15039" s="201"/>
    </row>
    <row r="15040" spans="62:62" x14ac:dyDescent="0.2">
      <c r="BJ15040" s="201"/>
    </row>
    <row r="15041" spans="62:62" x14ac:dyDescent="0.2">
      <c r="BJ15041" s="201"/>
    </row>
    <row r="15042" spans="62:62" x14ac:dyDescent="0.2">
      <c r="BJ15042" s="201"/>
    </row>
    <row r="15043" spans="62:62" x14ac:dyDescent="0.2">
      <c r="BJ15043" s="201"/>
    </row>
    <row r="15044" spans="62:62" x14ac:dyDescent="0.2">
      <c r="BJ15044" s="201"/>
    </row>
    <row r="15045" spans="62:62" x14ac:dyDescent="0.2">
      <c r="BJ15045" s="201"/>
    </row>
    <row r="15046" spans="62:62" x14ac:dyDescent="0.2">
      <c r="BJ15046" s="201"/>
    </row>
    <row r="15047" spans="62:62" x14ac:dyDescent="0.2">
      <c r="BJ15047" s="201"/>
    </row>
    <row r="15048" spans="62:62" x14ac:dyDescent="0.2">
      <c r="BJ15048" s="201"/>
    </row>
    <row r="15049" spans="62:62" x14ac:dyDescent="0.2">
      <c r="BJ15049" s="201"/>
    </row>
    <row r="15050" spans="62:62" x14ac:dyDescent="0.2">
      <c r="BJ15050" s="201"/>
    </row>
    <row r="15051" spans="62:62" x14ac:dyDescent="0.2">
      <c r="BJ15051" s="201"/>
    </row>
    <row r="15052" spans="62:62" x14ac:dyDescent="0.2">
      <c r="BJ15052" s="201"/>
    </row>
    <row r="15053" spans="62:62" x14ac:dyDescent="0.2">
      <c r="BJ15053" s="201"/>
    </row>
    <row r="15054" spans="62:62" x14ac:dyDescent="0.2">
      <c r="BJ15054" s="201"/>
    </row>
    <row r="15055" spans="62:62" x14ac:dyDescent="0.2">
      <c r="BJ15055" s="201"/>
    </row>
    <row r="15056" spans="62:62" x14ac:dyDescent="0.2">
      <c r="BJ15056" s="201"/>
    </row>
    <row r="15057" spans="62:62" x14ac:dyDescent="0.2">
      <c r="BJ15057" s="201"/>
    </row>
    <row r="15058" spans="62:62" x14ac:dyDescent="0.2">
      <c r="BJ15058" s="201"/>
    </row>
    <row r="15059" spans="62:62" x14ac:dyDescent="0.2">
      <c r="BJ15059" s="201"/>
    </row>
    <row r="15060" spans="62:62" x14ac:dyDescent="0.2">
      <c r="BJ15060" s="201"/>
    </row>
    <row r="15061" spans="62:62" x14ac:dyDescent="0.2">
      <c r="BJ15061" s="201"/>
    </row>
    <row r="15062" spans="62:62" x14ac:dyDescent="0.2">
      <c r="BJ15062" s="201"/>
    </row>
    <row r="15063" spans="62:62" x14ac:dyDescent="0.2">
      <c r="BJ15063" s="201"/>
    </row>
    <row r="15064" spans="62:62" x14ac:dyDescent="0.2">
      <c r="BJ15064" s="201"/>
    </row>
    <row r="15065" spans="62:62" x14ac:dyDescent="0.2">
      <c r="BJ15065" s="201"/>
    </row>
    <row r="15066" spans="62:62" x14ac:dyDescent="0.2">
      <c r="BJ15066" s="201"/>
    </row>
    <row r="15067" spans="62:62" x14ac:dyDescent="0.2">
      <c r="BJ15067" s="201"/>
    </row>
    <row r="15068" spans="62:62" x14ac:dyDescent="0.2">
      <c r="BJ15068" s="201"/>
    </row>
    <row r="15069" spans="62:62" x14ac:dyDescent="0.2">
      <c r="BJ15069" s="201"/>
    </row>
    <row r="15070" spans="62:62" x14ac:dyDescent="0.2">
      <c r="BJ15070" s="201"/>
    </row>
    <row r="15071" spans="62:62" x14ac:dyDescent="0.2">
      <c r="BJ15071" s="201"/>
    </row>
    <row r="15072" spans="62:62" x14ac:dyDescent="0.2">
      <c r="BJ15072" s="201"/>
    </row>
    <row r="15073" spans="62:62" x14ac:dyDescent="0.2">
      <c r="BJ15073" s="201"/>
    </row>
    <row r="15074" spans="62:62" x14ac:dyDescent="0.2">
      <c r="BJ15074" s="201"/>
    </row>
    <row r="15075" spans="62:62" x14ac:dyDescent="0.2">
      <c r="BJ15075" s="201"/>
    </row>
    <row r="15076" spans="62:62" x14ac:dyDescent="0.2">
      <c r="BJ15076" s="201"/>
    </row>
    <row r="15077" spans="62:62" x14ac:dyDescent="0.2">
      <c r="BJ15077" s="201"/>
    </row>
    <row r="15078" spans="62:62" x14ac:dyDescent="0.2">
      <c r="BJ15078" s="201"/>
    </row>
    <row r="15079" spans="62:62" x14ac:dyDescent="0.2">
      <c r="BJ15079" s="201"/>
    </row>
    <row r="15080" spans="62:62" x14ac:dyDescent="0.2">
      <c r="BJ15080" s="201"/>
    </row>
    <row r="15081" spans="62:62" x14ac:dyDescent="0.2">
      <c r="BJ15081" s="201"/>
    </row>
    <row r="15082" spans="62:62" x14ac:dyDescent="0.2">
      <c r="BJ15082" s="201"/>
    </row>
    <row r="15083" spans="62:62" x14ac:dyDescent="0.2">
      <c r="BJ15083" s="201"/>
    </row>
    <row r="15084" spans="62:62" x14ac:dyDescent="0.2">
      <c r="BJ15084" s="201"/>
    </row>
    <row r="15085" spans="62:62" x14ac:dyDescent="0.2">
      <c r="BJ15085" s="201"/>
    </row>
    <row r="15086" spans="62:62" x14ac:dyDescent="0.2">
      <c r="BJ15086" s="201"/>
    </row>
    <row r="15087" spans="62:62" x14ac:dyDescent="0.2">
      <c r="BJ15087" s="201"/>
    </row>
    <row r="15088" spans="62:62" x14ac:dyDescent="0.2">
      <c r="BJ15088" s="201"/>
    </row>
    <row r="15089" spans="62:62" x14ac:dyDescent="0.2">
      <c r="BJ15089" s="201"/>
    </row>
    <row r="15090" spans="62:62" x14ac:dyDescent="0.2">
      <c r="BJ15090" s="201"/>
    </row>
    <row r="15091" spans="62:62" x14ac:dyDescent="0.2">
      <c r="BJ15091" s="201"/>
    </row>
    <row r="15092" spans="62:62" x14ac:dyDescent="0.2">
      <c r="BJ15092" s="201"/>
    </row>
    <row r="15093" spans="62:62" x14ac:dyDescent="0.2">
      <c r="BJ15093" s="201"/>
    </row>
    <row r="15094" spans="62:62" x14ac:dyDescent="0.2">
      <c r="BJ15094" s="201"/>
    </row>
    <row r="15095" spans="62:62" x14ac:dyDescent="0.2">
      <c r="BJ15095" s="201"/>
    </row>
    <row r="15096" spans="62:62" x14ac:dyDescent="0.2">
      <c r="BJ15096" s="201"/>
    </row>
    <row r="15097" spans="62:62" x14ac:dyDescent="0.2">
      <c r="BJ15097" s="201"/>
    </row>
    <row r="15098" spans="62:62" x14ac:dyDescent="0.2">
      <c r="BJ15098" s="201"/>
    </row>
    <row r="15099" spans="62:62" x14ac:dyDescent="0.2">
      <c r="BJ15099" s="201"/>
    </row>
    <row r="15100" spans="62:62" x14ac:dyDescent="0.2">
      <c r="BJ15100" s="201"/>
    </row>
    <row r="15101" spans="62:62" x14ac:dyDescent="0.2">
      <c r="BJ15101" s="201"/>
    </row>
    <row r="15102" spans="62:62" x14ac:dyDescent="0.2">
      <c r="BJ15102" s="201"/>
    </row>
    <row r="15103" spans="62:62" x14ac:dyDescent="0.2">
      <c r="BJ15103" s="201"/>
    </row>
    <row r="15104" spans="62:62" x14ac:dyDescent="0.2">
      <c r="BJ15104" s="201"/>
    </row>
    <row r="15105" spans="62:62" x14ac:dyDescent="0.2">
      <c r="BJ15105" s="201"/>
    </row>
    <row r="15106" spans="62:62" x14ac:dyDescent="0.2">
      <c r="BJ15106" s="201"/>
    </row>
    <row r="15107" spans="62:62" x14ac:dyDescent="0.2">
      <c r="BJ15107" s="201"/>
    </row>
    <row r="15108" spans="62:62" x14ac:dyDescent="0.2">
      <c r="BJ15108" s="201"/>
    </row>
    <row r="15109" spans="62:62" x14ac:dyDescent="0.2">
      <c r="BJ15109" s="201"/>
    </row>
    <row r="15110" spans="62:62" x14ac:dyDescent="0.2">
      <c r="BJ15110" s="201"/>
    </row>
    <row r="15111" spans="62:62" x14ac:dyDescent="0.2">
      <c r="BJ15111" s="201"/>
    </row>
    <row r="15112" spans="62:62" x14ac:dyDescent="0.2">
      <c r="BJ15112" s="201"/>
    </row>
    <row r="15113" spans="62:62" x14ac:dyDescent="0.2">
      <c r="BJ15113" s="201"/>
    </row>
    <row r="15114" spans="62:62" x14ac:dyDescent="0.2">
      <c r="BJ15114" s="201"/>
    </row>
    <row r="15115" spans="62:62" x14ac:dyDescent="0.2">
      <c r="BJ15115" s="201"/>
    </row>
    <row r="15116" spans="62:62" x14ac:dyDescent="0.2">
      <c r="BJ15116" s="201"/>
    </row>
    <row r="15117" spans="62:62" x14ac:dyDescent="0.2">
      <c r="BJ15117" s="201"/>
    </row>
    <row r="15118" spans="62:62" x14ac:dyDescent="0.2">
      <c r="BJ15118" s="201"/>
    </row>
    <row r="15119" spans="62:62" x14ac:dyDescent="0.2">
      <c r="BJ15119" s="201"/>
    </row>
    <row r="15120" spans="62:62" x14ac:dyDescent="0.2">
      <c r="BJ15120" s="201"/>
    </row>
    <row r="15121" spans="62:62" x14ac:dyDescent="0.2">
      <c r="BJ15121" s="201"/>
    </row>
    <row r="15122" spans="62:62" x14ac:dyDescent="0.2">
      <c r="BJ15122" s="201"/>
    </row>
    <row r="15123" spans="62:62" x14ac:dyDescent="0.2">
      <c r="BJ15123" s="201"/>
    </row>
    <row r="15124" spans="62:62" x14ac:dyDescent="0.2">
      <c r="BJ15124" s="201"/>
    </row>
    <row r="15125" spans="62:62" x14ac:dyDescent="0.2">
      <c r="BJ15125" s="201"/>
    </row>
    <row r="15126" spans="62:62" x14ac:dyDescent="0.2">
      <c r="BJ15126" s="201"/>
    </row>
    <row r="15127" spans="62:62" x14ac:dyDescent="0.2">
      <c r="BJ15127" s="201"/>
    </row>
    <row r="15128" spans="62:62" x14ac:dyDescent="0.2">
      <c r="BJ15128" s="201"/>
    </row>
    <row r="15129" spans="62:62" x14ac:dyDescent="0.2">
      <c r="BJ15129" s="201"/>
    </row>
    <row r="15130" spans="62:62" x14ac:dyDescent="0.2">
      <c r="BJ15130" s="201"/>
    </row>
    <row r="15131" spans="62:62" x14ac:dyDescent="0.2">
      <c r="BJ15131" s="201"/>
    </row>
    <row r="15132" spans="62:62" x14ac:dyDescent="0.2">
      <c r="BJ15132" s="201"/>
    </row>
    <row r="15133" spans="62:62" x14ac:dyDescent="0.2">
      <c r="BJ15133" s="201"/>
    </row>
    <row r="15134" spans="62:62" x14ac:dyDescent="0.2">
      <c r="BJ15134" s="201"/>
    </row>
    <row r="15135" spans="62:62" x14ac:dyDescent="0.2">
      <c r="BJ15135" s="201"/>
    </row>
    <row r="15136" spans="62:62" x14ac:dyDescent="0.2">
      <c r="BJ15136" s="201"/>
    </row>
    <row r="15137" spans="62:62" x14ac:dyDescent="0.2">
      <c r="BJ15137" s="201"/>
    </row>
    <row r="15138" spans="62:62" x14ac:dyDescent="0.2">
      <c r="BJ15138" s="201"/>
    </row>
    <row r="15139" spans="62:62" x14ac:dyDescent="0.2">
      <c r="BJ15139" s="201"/>
    </row>
    <row r="15140" spans="62:62" x14ac:dyDescent="0.2">
      <c r="BJ15140" s="201"/>
    </row>
    <row r="15141" spans="62:62" x14ac:dyDescent="0.2">
      <c r="BJ15141" s="201"/>
    </row>
    <row r="15142" spans="62:62" x14ac:dyDescent="0.2">
      <c r="BJ15142" s="201"/>
    </row>
    <row r="15143" spans="62:62" x14ac:dyDescent="0.2">
      <c r="BJ15143" s="201"/>
    </row>
    <row r="15144" spans="62:62" x14ac:dyDescent="0.2">
      <c r="BJ15144" s="201"/>
    </row>
    <row r="15145" spans="62:62" x14ac:dyDescent="0.2">
      <c r="BJ15145" s="201"/>
    </row>
    <row r="15146" spans="62:62" x14ac:dyDescent="0.2">
      <c r="BJ15146" s="201"/>
    </row>
    <row r="15147" spans="62:62" x14ac:dyDescent="0.2">
      <c r="BJ15147" s="201"/>
    </row>
    <row r="15148" spans="62:62" x14ac:dyDescent="0.2">
      <c r="BJ15148" s="201"/>
    </row>
    <row r="15149" spans="62:62" x14ac:dyDescent="0.2">
      <c r="BJ15149" s="201"/>
    </row>
    <row r="15150" spans="62:62" x14ac:dyDescent="0.2">
      <c r="BJ15150" s="201"/>
    </row>
    <row r="15151" spans="62:62" x14ac:dyDescent="0.2">
      <c r="BJ15151" s="201"/>
    </row>
    <row r="15152" spans="62:62" x14ac:dyDescent="0.2">
      <c r="BJ15152" s="201"/>
    </row>
    <row r="15153" spans="62:62" x14ac:dyDescent="0.2">
      <c r="BJ15153" s="201"/>
    </row>
    <row r="15154" spans="62:62" x14ac:dyDescent="0.2">
      <c r="BJ15154" s="201"/>
    </row>
    <row r="15155" spans="62:62" x14ac:dyDescent="0.2">
      <c r="BJ15155" s="201"/>
    </row>
    <row r="15156" spans="62:62" x14ac:dyDescent="0.2">
      <c r="BJ15156" s="201"/>
    </row>
    <row r="15157" spans="62:62" x14ac:dyDescent="0.2">
      <c r="BJ15157" s="201"/>
    </row>
    <row r="15158" spans="62:62" x14ac:dyDescent="0.2">
      <c r="BJ15158" s="201"/>
    </row>
    <row r="15159" spans="62:62" x14ac:dyDescent="0.2">
      <c r="BJ15159" s="201"/>
    </row>
    <row r="15160" spans="62:62" x14ac:dyDescent="0.2">
      <c r="BJ15160" s="201"/>
    </row>
    <row r="15161" spans="62:62" x14ac:dyDescent="0.2">
      <c r="BJ15161" s="201"/>
    </row>
    <row r="15162" spans="62:62" x14ac:dyDescent="0.2">
      <c r="BJ15162" s="201"/>
    </row>
    <row r="15163" spans="62:62" x14ac:dyDescent="0.2">
      <c r="BJ15163" s="201"/>
    </row>
    <row r="15164" spans="62:62" x14ac:dyDescent="0.2">
      <c r="BJ15164" s="201"/>
    </row>
    <row r="15165" spans="62:62" x14ac:dyDescent="0.2">
      <c r="BJ15165" s="201"/>
    </row>
    <row r="15166" spans="62:62" x14ac:dyDescent="0.2">
      <c r="BJ15166" s="201"/>
    </row>
    <row r="15167" spans="62:62" x14ac:dyDescent="0.2">
      <c r="BJ15167" s="201"/>
    </row>
    <row r="15168" spans="62:62" x14ac:dyDescent="0.2">
      <c r="BJ15168" s="201"/>
    </row>
    <row r="15169" spans="62:62" x14ac:dyDescent="0.2">
      <c r="BJ15169" s="201"/>
    </row>
    <row r="15170" spans="62:62" x14ac:dyDescent="0.2">
      <c r="BJ15170" s="201"/>
    </row>
    <row r="15171" spans="62:62" x14ac:dyDescent="0.2">
      <c r="BJ15171" s="201"/>
    </row>
    <row r="15172" spans="62:62" x14ac:dyDescent="0.2">
      <c r="BJ15172" s="201"/>
    </row>
    <row r="15173" spans="62:62" x14ac:dyDescent="0.2">
      <c r="BJ15173" s="201"/>
    </row>
    <row r="15174" spans="62:62" x14ac:dyDescent="0.2">
      <c r="BJ15174" s="201"/>
    </row>
    <row r="15175" spans="62:62" x14ac:dyDescent="0.2">
      <c r="BJ15175" s="201"/>
    </row>
    <row r="15176" spans="62:62" x14ac:dyDescent="0.2">
      <c r="BJ15176" s="201"/>
    </row>
    <row r="15177" spans="62:62" x14ac:dyDescent="0.2">
      <c r="BJ15177" s="201"/>
    </row>
    <row r="15178" spans="62:62" x14ac:dyDescent="0.2">
      <c r="BJ15178" s="201"/>
    </row>
    <row r="15179" spans="62:62" x14ac:dyDescent="0.2">
      <c r="BJ15179" s="201"/>
    </row>
    <row r="15180" spans="62:62" x14ac:dyDescent="0.2">
      <c r="BJ15180" s="201"/>
    </row>
    <row r="15181" spans="62:62" x14ac:dyDescent="0.2">
      <c r="BJ15181" s="201"/>
    </row>
    <row r="15182" spans="62:62" x14ac:dyDescent="0.2">
      <c r="BJ15182" s="201"/>
    </row>
    <row r="15183" spans="62:62" x14ac:dyDescent="0.2">
      <c r="BJ15183" s="201"/>
    </row>
    <row r="15184" spans="62:62" x14ac:dyDescent="0.2">
      <c r="BJ15184" s="201"/>
    </row>
    <row r="15185" spans="62:62" x14ac:dyDescent="0.2">
      <c r="BJ15185" s="201"/>
    </row>
    <row r="15186" spans="62:62" x14ac:dyDescent="0.2">
      <c r="BJ15186" s="201"/>
    </row>
    <row r="15187" spans="62:62" x14ac:dyDescent="0.2">
      <c r="BJ15187" s="201"/>
    </row>
    <row r="15188" spans="62:62" x14ac:dyDescent="0.2">
      <c r="BJ15188" s="201"/>
    </row>
    <row r="15189" spans="62:62" x14ac:dyDescent="0.2">
      <c r="BJ15189" s="201"/>
    </row>
    <row r="15190" spans="62:62" x14ac:dyDescent="0.2">
      <c r="BJ15190" s="201"/>
    </row>
    <row r="15191" spans="62:62" x14ac:dyDescent="0.2">
      <c r="BJ15191" s="201"/>
    </row>
    <row r="15192" spans="62:62" x14ac:dyDescent="0.2">
      <c r="BJ15192" s="201"/>
    </row>
    <row r="15193" spans="62:62" x14ac:dyDescent="0.2">
      <c r="BJ15193" s="201"/>
    </row>
    <row r="15194" spans="62:62" x14ac:dyDescent="0.2">
      <c r="BJ15194" s="201"/>
    </row>
    <row r="15195" spans="62:62" x14ac:dyDescent="0.2">
      <c r="BJ15195" s="201"/>
    </row>
    <row r="15196" spans="62:62" x14ac:dyDescent="0.2">
      <c r="BJ15196" s="201"/>
    </row>
    <row r="15197" spans="62:62" x14ac:dyDescent="0.2">
      <c r="BJ15197" s="201"/>
    </row>
    <row r="15198" spans="62:62" x14ac:dyDescent="0.2">
      <c r="BJ15198" s="201"/>
    </row>
    <row r="15199" spans="62:62" x14ac:dyDescent="0.2">
      <c r="BJ15199" s="201"/>
    </row>
    <row r="15200" spans="62:62" x14ac:dyDescent="0.2">
      <c r="BJ15200" s="201"/>
    </row>
    <row r="15201" spans="62:62" x14ac:dyDescent="0.2">
      <c r="BJ15201" s="201"/>
    </row>
    <row r="15202" spans="62:62" x14ac:dyDescent="0.2">
      <c r="BJ15202" s="201"/>
    </row>
    <row r="15203" spans="62:62" x14ac:dyDescent="0.2">
      <c r="BJ15203" s="201"/>
    </row>
    <row r="15204" spans="62:62" x14ac:dyDescent="0.2">
      <c r="BJ15204" s="201"/>
    </row>
    <row r="15205" spans="62:62" x14ac:dyDescent="0.2">
      <c r="BJ15205" s="201"/>
    </row>
    <row r="15206" spans="62:62" x14ac:dyDescent="0.2">
      <c r="BJ15206" s="201"/>
    </row>
    <row r="15207" spans="62:62" x14ac:dyDescent="0.2">
      <c r="BJ15207" s="201"/>
    </row>
    <row r="15208" spans="62:62" x14ac:dyDescent="0.2">
      <c r="BJ15208" s="201"/>
    </row>
    <row r="15209" spans="62:62" x14ac:dyDescent="0.2">
      <c r="BJ15209" s="201"/>
    </row>
    <row r="15210" spans="62:62" x14ac:dyDescent="0.2">
      <c r="BJ15210" s="201"/>
    </row>
    <row r="15211" spans="62:62" x14ac:dyDescent="0.2">
      <c r="BJ15211" s="201"/>
    </row>
    <row r="15212" spans="62:62" x14ac:dyDescent="0.2">
      <c r="BJ15212" s="201"/>
    </row>
    <row r="15213" spans="62:62" x14ac:dyDescent="0.2">
      <c r="BJ15213" s="201"/>
    </row>
    <row r="15214" spans="62:62" x14ac:dyDescent="0.2">
      <c r="BJ15214" s="201"/>
    </row>
    <row r="15215" spans="62:62" x14ac:dyDescent="0.2">
      <c r="BJ15215" s="201"/>
    </row>
    <row r="15216" spans="62:62" x14ac:dyDescent="0.2">
      <c r="BJ15216" s="201"/>
    </row>
    <row r="15217" spans="62:62" x14ac:dyDescent="0.2">
      <c r="BJ15217" s="201"/>
    </row>
    <row r="15218" spans="62:62" x14ac:dyDescent="0.2">
      <c r="BJ15218" s="201"/>
    </row>
    <row r="15219" spans="62:62" x14ac:dyDescent="0.2">
      <c r="BJ15219" s="201"/>
    </row>
    <row r="15220" spans="62:62" x14ac:dyDescent="0.2">
      <c r="BJ15220" s="201"/>
    </row>
    <row r="15221" spans="62:62" x14ac:dyDescent="0.2">
      <c r="BJ15221" s="201"/>
    </row>
    <row r="15222" spans="62:62" x14ac:dyDescent="0.2">
      <c r="BJ15222" s="201"/>
    </row>
    <row r="15223" spans="62:62" x14ac:dyDescent="0.2">
      <c r="BJ15223" s="201"/>
    </row>
    <row r="15224" spans="62:62" x14ac:dyDescent="0.2">
      <c r="BJ15224" s="201"/>
    </row>
    <row r="15225" spans="62:62" x14ac:dyDescent="0.2">
      <c r="BJ15225" s="201"/>
    </row>
    <row r="15226" spans="62:62" x14ac:dyDescent="0.2">
      <c r="BJ15226" s="201"/>
    </row>
    <row r="15227" spans="62:62" x14ac:dyDescent="0.2">
      <c r="BJ15227" s="201"/>
    </row>
    <row r="15228" spans="62:62" x14ac:dyDescent="0.2">
      <c r="BJ15228" s="201"/>
    </row>
    <row r="15229" spans="62:62" x14ac:dyDescent="0.2">
      <c r="BJ15229" s="201"/>
    </row>
    <row r="15230" spans="62:62" x14ac:dyDescent="0.2">
      <c r="BJ15230" s="201"/>
    </row>
    <row r="15231" spans="62:62" x14ac:dyDescent="0.2">
      <c r="BJ15231" s="201"/>
    </row>
    <row r="15232" spans="62:62" x14ac:dyDescent="0.2">
      <c r="BJ15232" s="201"/>
    </row>
    <row r="15233" spans="62:62" x14ac:dyDescent="0.2">
      <c r="BJ15233" s="201"/>
    </row>
    <row r="15234" spans="62:62" x14ac:dyDescent="0.2">
      <c r="BJ15234" s="201"/>
    </row>
    <row r="15235" spans="62:62" x14ac:dyDescent="0.2">
      <c r="BJ15235" s="201"/>
    </row>
    <row r="15236" spans="62:62" x14ac:dyDescent="0.2">
      <c r="BJ15236" s="201"/>
    </row>
    <row r="15237" spans="62:62" x14ac:dyDescent="0.2">
      <c r="BJ15237" s="201"/>
    </row>
    <row r="15238" spans="62:62" x14ac:dyDescent="0.2">
      <c r="BJ15238" s="201"/>
    </row>
    <row r="15239" spans="62:62" x14ac:dyDescent="0.2">
      <c r="BJ15239" s="201"/>
    </row>
    <row r="15240" spans="62:62" x14ac:dyDescent="0.2">
      <c r="BJ15240" s="201"/>
    </row>
    <row r="15241" spans="62:62" x14ac:dyDescent="0.2">
      <c r="BJ15241" s="201"/>
    </row>
    <row r="15242" spans="62:62" x14ac:dyDescent="0.2">
      <c r="BJ15242" s="201"/>
    </row>
    <row r="15243" spans="62:62" x14ac:dyDescent="0.2">
      <c r="BJ15243" s="201"/>
    </row>
    <row r="15244" spans="62:62" x14ac:dyDescent="0.2">
      <c r="BJ15244" s="201"/>
    </row>
    <row r="15245" spans="62:62" x14ac:dyDescent="0.2">
      <c r="BJ15245" s="201"/>
    </row>
    <row r="15246" spans="62:62" x14ac:dyDescent="0.2">
      <c r="BJ15246" s="201"/>
    </row>
    <row r="15247" spans="62:62" x14ac:dyDescent="0.2">
      <c r="BJ15247" s="201"/>
    </row>
    <row r="15248" spans="62:62" x14ac:dyDescent="0.2">
      <c r="BJ15248" s="201"/>
    </row>
    <row r="15249" spans="62:62" x14ac:dyDescent="0.2">
      <c r="BJ15249" s="201"/>
    </row>
    <row r="15250" spans="62:62" x14ac:dyDescent="0.2">
      <c r="BJ15250" s="201"/>
    </row>
    <row r="15251" spans="62:62" x14ac:dyDescent="0.2">
      <c r="BJ15251" s="201"/>
    </row>
    <row r="15252" spans="62:62" x14ac:dyDescent="0.2">
      <c r="BJ15252" s="201"/>
    </row>
    <row r="15253" spans="62:62" x14ac:dyDescent="0.2">
      <c r="BJ15253" s="201"/>
    </row>
    <row r="15254" spans="62:62" x14ac:dyDescent="0.2">
      <c r="BJ15254" s="201"/>
    </row>
    <row r="15255" spans="62:62" x14ac:dyDescent="0.2">
      <c r="BJ15255" s="201"/>
    </row>
    <row r="15256" spans="62:62" x14ac:dyDescent="0.2">
      <c r="BJ15256" s="201"/>
    </row>
    <row r="15257" spans="62:62" x14ac:dyDescent="0.2">
      <c r="BJ15257" s="201"/>
    </row>
    <row r="15258" spans="62:62" x14ac:dyDescent="0.2">
      <c r="BJ15258" s="201"/>
    </row>
    <row r="15259" spans="62:62" x14ac:dyDescent="0.2">
      <c r="BJ15259" s="201"/>
    </row>
    <row r="15260" spans="62:62" x14ac:dyDescent="0.2">
      <c r="BJ15260" s="201"/>
    </row>
    <row r="15261" spans="62:62" x14ac:dyDescent="0.2">
      <c r="BJ15261" s="201"/>
    </row>
    <row r="15262" spans="62:62" x14ac:dyDescent="0.2">
      <c r="BJ15262" s="201"/>
    </row>
    <row r="15263" spans="62:62" x14ac:dyDescent="0.2">
      <c r="BJ15263" s="201"/>
    </row>
    <row r="15264" spans="62:62" x14ac:dyDescent="0.2">
      <c r="BJ15264" s="201"/>
    </row>
    <row r="15265" spans="62:62" x14ac:dyDescent="0.2">
      <c r="BJ15265" s="201"/>
    </row>
    <row r="15266" spans="62:62" x14ac:dyDescent="0.2">
      <c r="BJ15266" s="201"/>
    </row>
    <row r="15267" spans="62:62" x14ac:dyDescent="0.2">
      <c r="BJ15267" s="201"/>
    </row>
    <row r="15268" spans="62:62" x14ac:dyDescent="0.2">
      <c r="BJ15268" s="201"/>
    </row>
    <row r="15269" spans="62:62" x14ac:dyDescent="0.2">
      <c r="BJ15269" s="201"/>
    </row>
    <row r="15270" spans="62:62" x14ac:dyDescent="0.2">
      <c r="BJ15270" s="201"/>
    </row>
    <row r="15271" spans="62:62" x14ac:dyDescent="0.2">
      <c r="BJ15271" s="201"/>
    </row>
    <row r="15272" spans="62:62" x14ac:dyDescent="0.2">
      <c r="BJ15272" s="201"/>
    </row>
    <row r="15273" spans="62:62" x14ac:dyDescent="0.2">
      <c r="BJ15273" s="201"/>
    </row>
    <row r="15274" spans="62:62" x14ac:dyDescent="0.2">
      <c r="BJ15274" s="201"/>
    </row>
    <row r="15275" spans="62:62" x14ac:dyDescent="0.2">
      <c r="BJ15275" s="201"/>
    </row>
    <row r="15276" spans="62:62" x14ac:dyDescent="0.2">
      <c r="BJ15276" s="201"/>
    </row>
    <row r="15277" spans="62:62" x14ac:dyDescent="0.2">
      <c r="BJ15277" s="201"/>
    </row>
    <row r="15278" spans="62:62" x14ac:dyDescent="0.2">
      <c r="BJ15278" s="201"/>
    </row>
    <row r="15279" spans="62:62" x14ac:dyDescent="0.2">
      <c r="BJ15279" s="201"/>
    </row>
    <row r="15280" spans="62:62" x14ac:dyDescent="0.2">
      <c r="BJ15280" s="201"/>
    </row>
    <row r="15281" spans="62:62" x14ac:dyDescent="0.2">
      <c r="BJ15281" s="201"/>
    </row>
    <row r="15282" spans="62:62" x14ac:dyDescent="0.2">
      <c r="BJ15282" s="201"/>
    </row>
    <row r="15283" spans="62:62" x14ac:dyDescent="0.2">
      <c r="BJ15283" s="201"/>
    </row>
    <row r="15284" spans="62:62" x14ac:dyDescent="0.2">
      <c r="BJ15284" s="201"/>
    </row>
    <row r="15285" spans="62:62" x14ac:dyDescent="0.2">
      <c r="BJ15285" s="201"/>
    </row>
    <row r="15286" spans="62:62" x14ac:dyDescent="0.2">
      <c r="BJ15286" s="201"/>
    </row>
    <row r="15287" spans="62:62" x14ac:dyDescent="0.2">
      <c r="BJ15287" s="201"/>
    </row>
    <row r="15288" spans="62:62" x14ac:dyDescent="0.2">
      <c r="BJ15288" s="201"/>
    </row>
    <row r="15289" spans="62:62" x14ac:dyDescent="0.2">
      <c r="BJ15289" s="201"/>
    </row>
    <row r="15290" spans="62:62" x14ac:dyDescent="0.2">
      <c r="BJ15290" s="201"/>
    </row>
    <row r="15291" spans="62:62" x14ac:dyDescent="0.2">
      <c r="BJ15291" s="201"/>
    </row>
    <row r="15292" spans="62:62" x14ac:dyDescent="0.2">
      <c r="BJ15292" s="201"/>
    </row>
    <row r="15293" spans="62:62" x14ac:dyDescent="0.2">
      <c r="BJ15293" s="201"/>
    </row>
    <row r="15294" spans="62:62" x14ac:dyDescent="0.2">
      <c r="BJ15294" s="201"/>
    </row>
    <row r="15295" spans="62:62" x14ac:dyDescent="0.2">
      <c r="BJ15295" s="201"/>
    </row>
    <row r="15296" spans="62:62" x14ac:dyDescent="0.2">
      <c r="BJ15296" s="201"/>
    </row>
    <row r="15297" spans="62:62" x14ac:dyDescent="0.2">
      <c r="BJ15297" s="201"/>
    </row>
    <row r="15298" spans="62:62" x14ac:dyDescent="0.2">
      <c r="BJ15298" s="201"/>
    </row>
    <row r="15299" spans="62:62" x14ac:dyDescent="0.2">
      <c r="BJ15299" s="201"/>
    </row>
    <row r="15300" spans="62:62" x14ac:dyDescent="0.2">
      <c r="BJ15300" s="201"/>
    </row>
    <row r="15301" spans="62:62" x14ac:dyDescent="0.2">
      <c r="BJ15301" s="201"/>
    </row>
    <row r="15302" spans="62:62" x14ac:dyDescent="0.2">
      <c r="BJ15302" s="201"/>
    </row>
    <row r="15303" spans="62:62" x14ac:dyDescent="0.2">
      <c r="BJ15303" s="201"/>
    </row>
    <row r="15304" spans="62:62" x14ac:dyDescent="0.2">
      <c r="BJ15304" s="201"/>
    </row>
    <row r="15305" spans="62:62" x14ac:dyDescent="0.2">
      <c r="BJ15305" s="201"/>
    </row>
    <row r="15306" spans="62:62" x14ac:dyDescent="0.2">
      <c r="BJ15306" s="201"/>
    </row>
    <row r="15307" spans="62:62" x14ac:dyDescent="0.2">
      <c r="BJ15307" s="201"/>
    </row>
    <row r="15308" spans="62:62" x14ac:dyDescent="0.2">
      <c r="BJ15308" s="201"/>
    </row>
    <row r="15309" spans="62:62" x14ac:dyDescent="0.2">
      <c r="BJ15309" s="201"/>
    </row>
    <row r="15310" spans="62:62" x14ac:dyDescent="0.2">
      <c r="BJ15310" s="201"/>
    </row>
    <row r="15311" spans="62:62" x14ac:dyDescent="0.2">
      <c r="BJ15311" s="201"/>
    </row>
    <row r="15312" spans="62:62" x14ac:dyDescent="0.2">
      <c r="BJ15312" s="201"/>
    </row>
    <row r="15313" spans="62:62" x14ac:dyDescent="0.2">
      <c r="BJ15313" s="201"/>
    </row>
    <row r="15314" spans="62:62" x14ac:dyDescent="0.2">
      <c r="BJ15314" s="201"/>
    </row>
    <row r="15315" spans="62:62" x14ac:dyDescent="0.2">
      <c r="BJ15315" s="201"/>
    </row>
    <row r="15316" spans="62:62" x14ac:dyDescent="0.2">
      <c r="BJ15316" s="201"/>
    </row>
    <row r="15317" spans="62:62" x14ac:dyDescent="0.2">
      <c r="BJ15317" s="201"/>
    </row>
    <row r="15318" spans="62:62" x14ac:dyDescent="0.2">
      <c r="BJ15318" s="201"/>
    </row>
    <row r="15319" spans="62:62" x14ac:dyDescent="0.2">
      <c r="BJ15319" s="201"/>
    </row>
    <row r="15320" spans="62:62" x14ac:dyDescent="0.2">
      <c r="BJ15320" s="201"/>
    </row>
    <row r="15321" spans="62:62" x14ac:dyDescent="0.2">
      <c r="BJ15321" s="201"/>
    </row>
    <row r="15322" spans="62:62" x14ac:dyDescent="0.2">
      <c r="BJ15322" s="201"/>
    </row>
    <row r="15323" spans="62:62" x14ac:dyDescent="0.2">
      <c r="BJ15323" s="201"/>
    </row>
    <row r="15324" spans="62:62" x14ac:dyDescent="0.2">
      <c r="BJ15324" s="201"/>
    </row>
    <row r="15325" spans="62:62" x14ac:dyDescent="0.2">
      <c r="BJ15325" s="201"/>
    </row>
    <row r="15326" spans="62:62" x14ac:dyDescent="0.2">
      <c r="BJ15326" s="201"/>
    </row>
    <row r="15327" spans="62:62" x14ac:dyDescent="0.2">
      <c r="BJ15327" s="201"/>
    </row>
    <row r="15328" spans="62:62" x14ac:dyDescent="0.2">
      <c r="BJ15328" s="201"/>
    </row>
    <row r="15329" spans="62:62" x14ac:dyDescent="0.2">
      <c r="BJ15329" s="201"/>
    </row>
    <row r="15330" spans="62:62" x14ac:dyDescent="0.2">
      <c r="BJ15330" s="201"/>
    </row>
    <row r="15331" spans="62:62" x14ac:dyDescent="0.2">
      <c r="BJ15331" s="201"/>
    </row>
    <row r="15332" spans="62:62" x14ac:dyDescent="0.2">
      <c r="BJ15332" s="201"/>
    </row>
    <row r="15333" spans="62:62" x14ac:dyDescent="0.2">
      <c r="BJ15333" s="201"/>
    </row>
    <row r="15334" spans="62:62" x14ac:dyDescent="0.2">
      <c r="BJ15334" s="201"/>
    </row>
    <row r="15335" spans="62:62" x14ac:dyDescent="0.2">
      <c r="BJ15335" s="201"/>
    </row>
    <row r="15336" spans="62:62" x14ac:dyDescent="0.2">
      <c r="BJ15336" s="201"/>
    </row>
    <row r="15337" spans="62:62" x14ac:dyDescent="0.2">
      <c r="BJ15337" s="201"/>
    </row>
    <row r="15338" spans="62:62" x14ac:dyDescent="0.2">
      <c r="BJ15338" s="201"/>
    </row>
    <row r="15339" spans="62:62" x14ac:dyDescent="0.2">
      <c r="BJ15339" s="201"/>
    </row>
    <row r="15340" spans="62:62" x14ac:dyDescent="0.2">
      <c r="BJ15340" s="201"/>
    </row>
    <row r="15341" spans="62:62" x14ac:dyDescent="0.2">
      <c r="BJ15341" s="201"/>
    </row>
    <row r="15342" spans="62:62" x14ac:dyDescent="0.2">
      <c r="BJ15342" s="201"/>
    </row>
    <row r="15343" spans="62:62" x14ac:dyDescent="0.2">
      <c r="BJ15343" s="201"/>
    </row>
    <row r="15344" spans="62:62" x14ac:dyDescent="0.2">
      <c r="BJ15344" s="201"/>
    </row>
    <row r="15345" spans="62:62" x14ac:dyDescent="0.2">
      <c r="BJ15345" s="201"/>
    </row>
    <row r="15346" spans="62:62" x14ac:dyDescent="0.2">
      <c r="BJ15346" s="201"/>
    </row>
    <row r="15347" spans="62:62" x14ac:dyDescent="0.2">
      <c r="BJ15347" s="201"/>
    </row>
    <row r="15348" spans="62:62" x14ac:dyDescent="0.2">
      <c r="BJ15348" s="201"/>
    </row>
    <row r="15349" spans="62:62" x14ac:dyDescent="0.2">
      <c r="BJ15349" s="201"/>
    </row>
    <row r="15350" spans="62:62" x14ac:dyDescent="0.2">
      <c r="BJ15350" s="201"/>
    </row>
    <row r="15351" spans="62:62" x14ac:dyDescent="0.2">
      <c r="BJ15351" s="201"/>
    </row>
    <row r="15352" spans="62:62" x14ac:dyDescent="0.2">
      <c r="BJ15352" s="201"/>
    </row>
    <row r="15353" spans="62:62" x14ac:dyDescent="0.2">
      <c r="BJ15353" s="201"/>
    </row>
    <row r="15354" spans="62:62" x14ac:dyDescent="0.2">
      <c r="BJ15354" s="201"/>
    </row>
    <row r="15355" spans="62:62" x14ac:dyDescent="0.2">
      <c r="BJ15355" s="201"/>
    </row>
    <row r="15356" spans="62:62" x14ac:dyDescent="0.2">
      <c r="BJ15356" s="201"/>
    </row>
    <row r="15357" spans="62:62" x14ac:dyDescent="0.2">
      <c r="BJ15357" s="201"/>
    </row>
    <row r="15358" spans="62:62" x14ac:dyDescent="0.2">
      <c r="BJ15358" s="201"/>
    </row>
    <row r="15359" spans="62:62" x14ac:dyDescent="0.2">
      <c r="BJ15359" s="201"/>
    </row>
    <row r="15360" spans="62:62" x14ac:dyDescent="0.2">
      <c r="BJ15360" s="201"/>
    </row>
    <row r="15361" spans="62:62" x14ac:dyDescent="0.2">
      <c r="BJ15361" s="201"/>
    </row>
    <row r="15362" spans="62:62" x14ac:dyDescent="0.2">
      <c r="BJ15362" s="201"/>
    </row>
    <row r="15363" spans="62:62" x14ac:dyDescent="0.2">
      <c r="BJ15363" s="201"/>
    </row>
    <row r="15364" spans="62:62" x14ac:dyDescent="0.2">
      <c r="BJ15364" s="201"/>
    </row>
    <row r="15365" spans="62:62" x14ac:dyDescent="0.2">
      <c r="BJ15365" s="201"/>
    </row>
    <row r="15366" spans="62:62" x14ac:dyDescent="0.2">
      <c r="BJ15366" s="201"/>
    </row>
    <row r="15367" spans="62:62" x14ac:dyDescent="0.2">
      <c r="BJ15367" s="201"/>
    </row>
    <row r="15368" spans="62:62" x14ac:dyDescent="0.2">
      <c r="BJ15368" s="201"/>
    </row>
    <row r="15369" spans="62:62" x14ac:dyDescent="0.2">
      <c r="BJ15369" s="201"/>
    </row>
    <row r="15370" spans="62:62" x14ac:dyDescent="0.2">
      <c r="BJ15370" s="201"/>
    </row>
    <row r="15371" spans="62:62" x14ac:dyDescent="0.2">
      <c r="BJ15371" s="201"/>
    </row>
    <row r="15372" spans="62:62" x14ac:dyDescent="0.2">
      <c r="BJ15372" s="201"/>
    </row>
    <row r="15373" spans="62:62" x14ac:dyDescent="0.2">
      <c r="BJ15373" s="201"/>
    </row>
    <row r="15374" spans="62:62" x14ac:dyDescent="0.2">
      <c r="BJ15374" s="201"/>
    </row>
    <row r="15375" spans="62:62" x14ac:dyDescent="0.2">
      <c r="BJ15375" s="201"/>
    </row>
    <row r="15376" spans="62:62" x14ac:dyDescent="0.2">
      <c r="BJ15376" s="201"/>
    </row>
    <row r="15377" spans="62:62" x14ac:dyDescent="0.2">
      <c r="BJ15377" s="201"/>
    </row>
    <row r="15378" spans="62:62" x14ac:dyDescent="0.2">
      <c r="BJ15378" s="201"/>
    </row>
    <row r="15379" spans="62:62" x14ac:dyDescent="0.2">
      <c r="BJ15379" s="201"/>
    </row>
    <row r="15380" spans="62:62" x14ac:dyDescent="0.2">
      <c r="BJ15380" s="201"/>
    </row>
    <row r="15381" spans="62:62" x14ac:dyDescent="0.2">
      <c r="BJ15381" s="201"/>
    </row>
    <row r="15382" spans="62:62" x14ac:dyDescent="0.2">
      <c r="BJ15382" s="201"/>
    </row>
    <row r="15383" spans="62:62" x14ac:dyDescent="0.2">
      <c r="BJ15383" s="201"/>
    </row>
    <row r="15384" spans="62:62" x14ac:dyDescent="0.2">
      <c r="BJ15384" s="201"/>
    </row>
    <row r="15385" spans="62:62" x14ac:dyDescent="0.2">
      <c r="BJ15385" s="201"/>
    </row>
    <row r="15386" spans="62:62" x14ac:dyDescent="0.2">
      <c r="BJ15386" s="201"/>
    </row>
    <row r="15387" spans="62:62" x14ac:dyDescent="0.2">
      <c r="BJ15387" s="201"/>
    </row>
    <row r="15388" spans="62:62" x14ac:dyDescent="0.2">
      <c r="BJ15388" s="201"/>
    </row>
    <row r="15389" spans="62:62" x14ac:dyDescent="0.2">
      <c r="BJ15389" s="201"/>
    </row>
    <row r="15390" spans="62:62" x14ac:dyDescent="0.2">
      <c r="BJ15390" s="201"/>
    </row>
    <row r="15391" spans="62:62" x14ac:dyDescent="0.2">
      <c r="BJ15391" s="201"/>
    </row>
    <row r="15392" spans="62:62" x14ac:dyDescent="0.2">
      <c r="BJ15392" s="201"/>
    </row>
    <row r="15393" spans="62:62" x14ac:dyDescent="0.2">
      <c r="BJ15393" s="201"/>
    </row>
    <row r="15394" spans="62:62" x14ac:dyDescent="0.2">
      <c r="BJ15394" s="201"/>
    </row>
    <row r="15395" spans="62:62" x14ac:dyDescent="0.2">
      <c r="BJ15395" s="201"/>
    </row>
    <row r="15396" spans="62:62" x14ac:dyDescent="0.2">
      <c r="BJ15396" s="201"/>
    </row>
    <row r="15397" spans="62:62" x14ac:dyDescent="0.2">
      <c r="BJ15397" s="201"/>
    </row>
    <row r="15398" spans="62:62" x14ac:dyDescent="0.2">
      <c r="BJ15398" s="201"/>
    </row>
    <row r="15399" spans="62:62" x14ac:dyDescent="0.2">
      <c r="BJ15399" s="201"/>
    </row>
    <row r="15400" spans="62:62" x14ac:dyDescent="0.2">
      <c r="BJ15400" s="201"/>
    </row>
    <row r="15401" spans="62:62" x14ac:dyDescent="0.2">
      <c r="BJ15401" s="201"/>
    </row>
    <row r="15402" spans="62:62" x14ac:dyDescent="0.2">
      <c r="BJ15402" s="201"/>
    </row>
    <row r="15403" spans="62:62" x14ac:dyDescent="0.2">
      <c r="BJ15403" s="201"/>
    </row>
    <row r="15404" spans="62:62" x14ac:dyDescent="0.2">
      <c r="BJ15404" s="201"/>
    </row>
    <row r="15405" spans="62:62" x14ac:dyDescent="0.2">
      <c r="BJ15405" s="201"/>
    </row>
    <row r="15406" spans="62:62" x14ac:dyDescent="0.2">
      <c r="BJ15406" s="201"/>
    </row>
    <row r="15407" spans="62:62" x14ac:dyDescent="0.2">
      <c r="BJ15407" s="201"/>
    </row>
    <row r="15408" spans="62:62" x14ac:dyDescent="0.2">
      <c r="BJ15408" s="201"/>
    </row>
    <row r="15409" spans="62:62" x14ac:dyDescent="0.2">
      <c r="BJ15409" s="201"/>
    </row>
    <row r="15410" spans="62:62" x14ac:dyDescent="0.2">
      <c r="BJ15410" s="201"/>
    </row>
    <row r="15411" spans="62:62" x14ac:dyDescent="0.2">
      <c r="BJ15411" s="201"/>
    </row>
    <row r="15412" spans="62:62" x14ac:dyDescent="0.2">
      <c r="BJ15412" s="201"/>
    </row>
    <row r="15413" spans="62:62" x14ac:dyDescent="0.2">
      <c r="BJ15413" s="201"/>
    </row>
    <row r="15414" spans="62:62" x14ac:dyDescent="0.2">
      <c r="BJ15414" s="201"/>
    </row>
    <row r="15415" spans="62:62" x14ac:dyDescent="0.2">
      <c r="BJ15415" s="201"/>
    </row>
    <row r="15416" spans="62:62" x14ac:dyDescent="0.2">
      <c r="BJ15416" s="201"/>
    </row>
    <row r="15417" spans="62:62" x14ac:dyDescent="0.2">
      <c r="BJ15417" s="201"/>
    </row>
    <row r="15418" spans="62:62" x14ac:dyDescent="0.2">
      <c r="BJ15418" s="201"/>
    </row>
    <row r="15419" spans="62:62" x14ac:dyDescent="0.2">
      <c r="BJ15419" s="201"/>
    </row>
    <row r="15420" spans="62:62" x14ac:dyDescent="0.2">
      <c r="BJ15420" s="201"/>
    </row>
    <row r="15421" spans="62:62" x14ac:dyDescent="0.2">
      <c r="BJ15421" s="201"/>
    </row>
    <row r="15422" spans="62:62" x14ac:dyDescent="0.2">
      <c r="BJ15422" s="201"/>
    </row>
    <row r="15423" spans="62:62" x14ac:dyDescent="0.2">
      <c r="BJ15423" s="201"/>
    </row>
    <row r="15424" spans="62:62" x14ac:dyDescent="0.2">
      <c r="BJ15424" s="201"/>
    </row>
    <row r="15425" spans="62:62" x14ac:dyDescent="0.2">
      <c r="BJ15425" s="201"/>
    </row>
    <row r="15426" spans="62:62" x14ac:dyDescent="0.2">
      <c r="BJ15426" s="201"/>
    </row>
    <row r="15427" spans="62:62" x14ac:dyDescent="0.2">
      <c r="BJ15427" s="201"/>
    </row>
    <row r="15428" spans="62:62" x14ac:dyDescent="0.2">
      <c r="BJ15428" s="201"/>
    </row>
    <row r="15429" spans="62:62" x14ac:dyDescent="0.2">
      <c r="BJ15429" s="201"/>
    </row>
    <row r="15430" spans="62:62" x14ac:dyDescent="0.2">
      <c r="BJ15430" s="201"/>
    </row>
    <row r="15431" spans="62:62" x14ac:dyDescent="0.2">
      <c r="BJ15431" s="201"/>
    </row>
    <row r="15432" spans="62:62" x14ac:dyDescent="0.2">
      <c r="BJ15432" s="201"/>
    </row>
    <row r="15433" spans="62:62" x14ac:dyDescent="0.2">
      <c r="BJ15433" s="201"/>
    </row>
    <row r="15434" spans="62:62" x14ac:dyDescent="0.2">
      <c r="BJ15434" s="201"/>
    </row>
    <row r="15435" spans="62:62" x14ac:dyDescent="0.2">
      <c r="BJ15435" s="201"/>
    </row>
    <row r="15436" spans="62:62" x14ac:dyDescent="0.2">
      <c r="BJ15436" s="201"/>
    </row>
    <row r="15437" spans="62:62" x14ac:dyDescent="0.2">
      <c r="BJ15437" s="201"/>
    </row>
    <row r="15438" spans="62:62" x14ac:dyDescent="0.2">
      <c r="BJ15438" s="201"/>
    </row>
    <row r="15439" spans="62:62" x14ac:dyDescent="0.2">
      <c r="BJ15439" s="201"/>
    </row>
    <row r="15440" spans="62:62" x14ac:dyDescent="0.2">
      <c r="BJ15440" s="201"/>
    </row>
    <row r="15441" spans="62:62" x14ac:dyDescent="0.2">
      <c r="BJ15441" s="201"/>
    </row>
    <row r="15442" spans="62:62" x14ac:dyDescent="0.2">
      <c r="BJ15442" s="201"/>
    </row>
    <row r="15443" spans="62:62" x14ac:dyDescent="0.2">
      <c r="BJ15443" s="201"/>
    </row>
    <row r="15444" spans="62:62" x14ac:dyDescent="0.2">
      <c r="BJ15444" s="201"/>
    </row>
    <row r="15445" spans="62:62" x14ac:dyDescent="0.2">
      <c r="BJ15445" s="201"/>
    </row>
    <row r="15446" spans="62:62" x14ac:dyDescent="0.2">
      <c r="BJ15446" s="201"/>
    </row>
    <row r="15447" spans="62:62" x14ac:dyDescent="0.2">
      <c r="BJ15447" s="201"/>
    </row>
    <row r="15448" spans="62:62" x14ac:dyDescent="0.2">
      <c r="BJ15448" s="201"/>
    </row>
    <row r="15449" spans="62:62" x14ac:dyDescent="0.2">
      <c r="BJ15449" s="201"/>
    </row>
    <row r="15450" spans="62:62" x14ac:dyDescent="0.2">
      <c r="BJ15450" s="201"/>
    </row>
    <row r="15451" spans="62:62" x14ac:dyDescent="0.2">
      <c r="BJ15451" s="201"/>
    </row>
    <row r="15452" spans="62:62" x14ac:dyDescent="0.2">
      <c r="BJ15452" s="201"/>
    </row>
    <row r="15453" spans="62:62" x14ac:dyDescent="0.2">
      <c r="BJ15453" s="201"/>
    </row>
    <row r="15454" spans="62:62" x14ac:dyDescent="0.2">
      <c r="BJ15454" s="201"/>
    </row>
    <row r="15455" spans="62:62" x14ac:dyDescent="0.2">
      <c r="BJ15455" s="201"/>
    </row>
    <row r="15456" spans="62:62" x14ac:dyDescent="0.2">
      <c r="BJ15456" s="201"/>
    </row>
    <row r="15457" spans="62:62" x14ac:dyDescent="0.2">
      <c r="BJ15457" s="201"/>
    </row>
    <row r="15458" spans="62:62" x14ac:dyDescent="0.2">
      <c r="BJ15458" s="201"/>
    </row>
    <row r="15459" spans="62:62" x14ac:dyDescent="0.2">
      <c r="BJ15459" s="201"/>
    </row>
    <row r="15460" spans="62:62" x14ac:dyDescent="0.2">
      <c r="BJ15460" s="201"/>
    </row>
    <row r="15461" spans="62:62" x14ac:dyDescent="0.2">
      <c r="BJ15461" s="201"/>
    </row>
    <row r="15462" spans="62:62" x14ac:dyDescent="0.2">
      <c r="BJ15462" s="201"/>
    </row>
    <row r="15463" spans="62:62" x14ac:dyDescent="0.2">
      <c r="BJ15463" s="201"/>
    </row>
    <row r="15464" spans="62:62" x14ac:dyDescent="0.2">
      <c r="BJ15464" s="201"/>
    </row>
    <row r="15465" spans="62:62" x14ac:dyDescent="0.2">
      <c r="BJ15465" s="201"/>
    </row>
    <row r="15466" spans="62:62" x14ac:dyDescent="0.2">
      <c r="BJ15466" s="201"/>
    </row>
    <row r="15467" spans="62:62" x14ac:dyDescent="0.2">
      <c r="BJ15467" s="201"/>
    </row>
    <row r="15468" spans="62:62" x14ac:dyDescent="0.2">
      <c r="BJ15468" s="201"/>
    </row>
    <row r="15469" spans="62:62" x14ac:dyDescent="0.2">
      <c r="BJ15469" s="201"/>
    </row>
    <row r="15470" spans="62:62" x14ac:dyDescent="0.2">
      <c r="BJ15470" s="201"/>
    </row>
    <row r="15471" spans="62:62" x14ac:dyDescent="0.2">
      <c r="BJ15471" s="201"/>
    </row>
    <row r="15472" spans="62:62" x14ac:dyDescent="0.2">
      <c r="BJ15472" s="201"/>
    </row>
    <row r="15473" spans="62:62" x14ac:dyDescent="0.2">
      <c r="BJ15473" s="201"/>
    </row>
    <row r="15474" spans="62:62" x14ac:dyDescent="0.2">
      <c r="BJ15474" s="201"/>
    </row>
    <row r="15475" spans="62:62" x14ac:dyDescent="0.2">
      <c r="BJ15475" s="201"/>
    </row>
    <row r="15476" spans="62:62" x14ac:dyDescent="0.2">
      <c r="BJ15476" s="201"/>
    </row>
    <row r="15477" spans="62:62" x14ac:dyDescent="0.2">
      <c r="BJ15477" s="201"/>
    </row>
    <row r="15478" spans="62:62" x14ac:dyDescent="0.2">
      <c r="BJ15478" s="201"/>
    </row>
    <row r="15479" spans="62:62" x14ac:dyDescent="0.2">
      <c r="BJ15479" s="201"/>
    </row>
    <row r="15480" spans="62:62" x14ac:dyDescent="0.2">
      <c r="BJ15480" s="201"/>
    </row>
    <row r="15481" spans="62:62" x14ac:dyDescent="0.2">
      <c r="BJ15481" s="201"/>
    </row>
    <row r="15482" spans="62:62" x14ac:dyDescent="0.2">
      <c r="BJ15482" s="201"/>
    </row>
    <row r="15483" spans="62:62" x14ac:dyDescent="0.2">
      <c r="BJ15483" s="201"/>
    </row>
    <row r="15484" spans="62:62" x14ac:dyDescent="0.2">
      <c r="BJ15484" s="201"/>
    </row>
    <row r="15485" spans="62:62" x14ac:dyDescent="0.2">
      <c r="BJ15485" s="201"/>
    </row>
    <row r="15486" spans="62:62" x14ac:dyDescent="0.2">
      <c r="BJ15486" s="201"/>
    </row>
    <row r="15487" spans="62:62" x14ac:dyDescent="0.2">
      <c r="BJ15487" s="201"/>
    </row>
    <row r="15488" spans="62:62" x14ac:dyDescent="0.2">
      <c r="BJ15488" s="201"/>
    </row>
    <row r="15489" spans="62:62" x14ac:dyDescent="0.2">
      <c r="BJ15489" s="201"/>
    </row>
    <row r="15490" spans="62:62" x14ac:dyDescent="0.2">
      <c r="BJ15490" s="201"/>
    </row>
    <row r="15491" spans="62:62" x14ac:dyDescent="0.2">
      <c r="BJ15491" s="201"/>
    </row>
    <row r="15492" spans="62:62" x14ac:dyDescent="0.2">
      <c r="BJ15492" s="201"/>
    </row>
    <row r="15493" spans="62:62" x14ac:dyDescent="0.2">
      <c r="BJ15493" s="201"/>
    </row>
    <row r="15494" spans="62:62" x14ac:dyDescent="0.2">
      <c r="BJ15494" s="201"/>
    </row>
    <row r="15495" spans="62:62" x14ac:dyDescent="0.2">
      <c r="BJ15495" s="201"/>
    </row>
    <row r="15496" spans="62:62" x14ac:dyDescent="0.2">
      <c r="BJ15496" s="201"/>
    </row>
    <row r="15497" spans="62:62" x14ac:dyDescent="0.2">
      <c r="BJ15497" s="201"/>
    </row>
    <row r="15498" spans="62:62" x14ac:dyDescent="0.2">
      <c r="BJ15498" s="201"/>
    </row>
    <row r="15499" spans="62:62" x14ac:dyDescent="0.2">
      <c r="BJ15499" s="201"/>
    </row>
    <row r="15500" spans="62:62" x14ac:dyDescent="0.2">
      <c r="BJ15500" s="201"/>
    </row>
    <row r="15501" spans="62:62" x14ac:dyDescent="0.2">
      <c r="BJ15501" s="201"/>
    </row>
    <row r="15502" spans="62:62" x14ac:dyDescent="0.2">
      <c r="BJ15502" s="201"/>
    </row>
    <row r="15503" spans="62:62" x14ac:dyDescent="0.2">
      <c r="BJ15503" s="201"/>
    </row>
    <row r="15504" spans="62:62" x14ac:dyDescent="0.2">
      <c r="BJ15504" s="201"/>
    </row>
    <row r="15505" spans="62:62" x14ac:dyDescent="0.2">
      <c r="BJ15505" s="201"/>
    </row>
    <row r="15506" spans="62:62" x14ac:dyDescent="0.2">
      <c r="BJ15506" s="201"/>
    </row>
    <row r="15507" spans="62:62" x14ac:dyDescent="0.2">
      <c r="BJ15507" s="201"/>
    </row>
    <row r="15508" spans="62:62" x14ac:dyDescent="0.2">
      <c r="BJ15508" s="201"/>
    </row>
    <row r="15509" spans="62:62" x14ac:dyDescent="0.2">
      <c r="BJ15509" s="201"/>
    </row>
    <row r="15510" spans="62:62" x14ac:dyDescent="0.2">
      <c r="BJ15510" s="201"/>
    </row>
    <row r="15511" spans="62:62" x14ac:dyDescent="0.2">
      <c r="BJ15511" s="201"/>
    </row>
    <row r="15512" spans="62:62" x14ac:dyDescent="0.2">
      <c r="BJ15512" s="201"/>
    </row>
    <row r="15513" spans="62:62" x14ac:dyDescent="0.2">
      <c r="BJ15513" s="201"/>
    </row>
    <row r="15514" spans="62:62" x14ac:dyDescent="0.2">
      <c r="BJ15514" s="201"/>
    </row>
    <row r="15515" spans="62:62" x14ac:dyDescent="0.2">
      <c r="BJ15515" s="201"/>
    </row>
    <row r="15516" spans="62:62" x14ac:dyDescent="0.2">
      <c r="BJ15516" s="201"/>
    </row>
    <row r="15517" spans="62:62" x14ac:dyDescent="0.2">
      <c r="BJ15517" s="201"/>
    </row>
    <row r="15518" spans="62:62" x14ac:dyDescent="0.2">
      <c r="BJ15518" s="201"/>
    </row>
    <row r="15519" spans="62:62" x14ac:dyDescent="0.2">
      <c r="BJ15519" s="201"/>
    </row>
    <row r="15520" spans="62:62" x14ac:dyDescent="0.2">
      <c r="BJ15520" s="201"/>
    </row>
    <row r="15521" spans="62:62" x14ac:dyDescent="0.2">
      <c r="BJ15521" s="201"/>
    </row>
    <row r="15522" spans="62:62" x14ac:dyDescent="0.2">
      <c r="BJ15522" s="201"/>
    </row>
    <row r="15523" spans="62:62" x14ac:dyDescent="0.2">
      <c r="BJ15523" s="201"/>
    </row>
    <row r="15524" spans="62:62" x14ac:dyDescent="0.2">
      <c r="BJ15524" s="201"/>
    </row>
    <row r="15525" spans="62:62" x14ac:dyDescent="0.2">
      <c r="BJ15525" s="201"/>
    </row>
    <row r="15526" spans="62:62" x14ac:dyDescent="0.2">
      <c r="BJ15526" s="201"/>
    </row>
    <row r="15527" spans="62:62" x14ac:dyDescent="0.2">
      <c r="BJ15527" s="201"/>
    </row>
    <row r="15528" spans="62:62" x14ac:dyDescent="0.2">
      <c r="BJ15528" s="201"/>
    </row>
    <row r="15529" spans="62:62" x14ac:dyDescent="0.2">
      <c r="BJ15529" s="201"/>
    </row>
    <row r="15530" spans="62:62" x14ac:dyDescent="0.2">
      <c r="BJ15530" s="201"/>
    </row>
    <row r="15531" spans="62:62" x14ac:dyDescent="0.2">
      <c r="BJ15531" s="201"/>
    </row>
    <row r="15532" spans="62:62" x14ac:dyDescent="0.2">
      <c r="BJ15532" s="201"/>
    </row>
    <row r="15533" spans="62:62" x14ac:dyDescent="0.2">
      <c r="BJ15533" s="201"/>
    </row>
    <row r="15534" spans="62:62" x14ac:dyDescent="0.2">
      <c r="BJ15534" s="201"/>
    </row>
    <row r="15535" spans="62:62" x14ac:dyDescent="0.2">
      <c r="BJ15535" s="201"/>
    </row>
    <row r="15536" spans="62:62" x14ac:dyDescent="0.2">
      <c r="BJ15536" s="201"/>
    </row>
    <row r="15537" spans="62:62" x14ac:dyDescent="0.2">
      <c r="BJ15537" s="201"/>
    </row>
    <row r="15538" spans="62:62" x14ac:dyDescent="0.2">
      <c r="BJ15538" s="201"/>
    </row>
    <row r="15539" spans="62:62" x14ac:dyDescent="0.2">
      <c r="BJ15539" s="201"/>
    </row>
    <row r="15540" spans="62:62" x14ac:dyDescent="0.2">
      <c r="BJ15540" s="201"/>
    </row>
    <row r="15541" spans="62:62" x14ac:dyDescent="0.2">
      <c r="BJ15541" s="201"/>
    </row>
    <row r="15542" spans="62:62" x14ac:dyDescent="0.2">
      <c r="BJ15542" s="201"/>
    </row>
    <row r="15543" spans="62:62" x14ac:dyDescent="0.2">
      <c r="BJ15543" s="201"/>
    </row>
    <row r="15544" spans="62:62" x14ac:dyDescent="0.2">
      <c r="BJ15544" s="201"/>
    </row>
    <row r="15545" spans="62:62" x14ac:dyDescent="0.2">
      <c r="BJ15545" s="201"/>
    </row>
    <row r="15546" spans="62:62" x14ac:dyDescent="0.2">
      <c r="BJ15546" s="201"/>
    </row>
    <row r="15547" spans="62:62" x14ac:dyDescent="0.2">
      <c r="BJ15547" s="201"/>
    </row>
    <row r="15548" spans="62:62" x14ac:dyDescent="0.2">
      <c r="BJ15548" s="201"/>
    </row>
    <row r="15549" spans="62:62" x14ac:dyDescent="0.2">
      <c r="BJ15549" s="201"/>
    </row>
    <row r="15550" spans="62:62" x14ac:dyDescent="0.2">
      <c r="BJ15550" s="201"/>
    </row>
    <row r="15551" spans="62:62" x14ac:dyDescent="0.2">
      <c r="BJ15551" s="201"/>
    </row>
    <row r="15552" spans="62:62" x14ac:dyDescent="0.2">
      <c r="BJ15552" s="201"/>
    </row>
    <row r="15553" spans="62:62" x14ac:dyDescent="0.2">
      <c r="BJ15553" s="201"/>
    </row>
    <row r="15554" spans="62:62" x14ac:dyDescent="0.2">
      <c r="BJ15554" s="201"/>
    </row>
    <row r="15555" spans="62:62" x14ac:dyDescent="0.2">
      <c r="BJ15555" s="201"/>
    </row>
    <row r="15556" spans="62:62" x14ac:dyDescent="0.2">
      <c r="BJ15556" s="201"/>
    </row>
    <row r="15557" spans="62:62" x14ac:dyDescent="0.2">
      <c r="BJ15557" s="201"/>
    </row>
    <row r="15558" spans="62:62" x14ac:dyDescent="0.2">
      <c r="BJ15558" s="201"/>
    </row>
    <row r="15559" spans="62:62" x14ac:dyDescent="0.2">
      <c r="BJ15559" s="201"/>
    </row>
    <row r="15560" spans="62:62" x14ac:dyDescent="0.2">
      <c r="BJ15560" s="201"/>
    </row>
    <row r="15561" spans="62:62" x14ac:dyDescent="0.2">
      <c r="BJ15561" s="201"/>
    </row>
    <row r="15562" spans="62:62" x14ac:dyDescent="0.2">
      <c r="BJ15562" s="201"/>
    </row>
    <row r="15563" spans="62:62" x14ac:dyDescent="0.2">
      <c r="BJ15563" s="201"/>
    </row>
    <row r="15564" spans="62:62" x14ac:dyDescent="0.2">
      <c r="BJ15564" s="201"/>
    </row>
    <row r="15565" spans="62:62" x14ac:dyDescent="0.2">
      <c r="BJ15565" s="201"/>
    </row>
    <row r="15566" spans="62:62" x14ac:dyDescent="0.2">
      <c r="BJ15566" s="201"/>
    </row>
    <row r="15567" spans="62:62" x14ac:dyDescent="0.2">
      <c r="BJ15567" s="201"/>
    </row>
    <row r="15568" spans="62:62" x14ac:dyDescent="0.2">
      <c r="BJ15568" s="201"/>
    </row>
    <row r="15569" spans="62:62" x14ac:dyDescent="0.2">
      <c r="BJ15569" s="201"/>
    </row>
    <row r="15570" spans="62:62" x14ac:dyDescent="0.2">
      <c r="BJ15570" s="201"/>
    </row>
    <row r="15571" spans="62:62" x14ac:dyDescent="0.2">
      <c r="BJ15571" s="201"/>
    </row>
    <row r="15572" spans="62:62" x14ac:dyDescent="0.2">
      <c r="BJ15572" s="201"/>
    </row>
    <row r="15573" spans="62:62" x14ac:dyDescent="0.2">
      <c r="BJ15573" s="201"/>
    </row>
    <row r="15574" spans="62:62" x14ac:dyDescent="0.2">
      <c r="BJ15574" s="201"/>
    </row>
    <row r="15575" spans="62:62" x14ac:dyDescent="0.2">
      <c r="BJ15575" s="201"/>
    </row>
    <row r="15576" spans="62:62" x14ac:dyDescent="0.2">
      <c r="BJ15576" s="201"/>
    </row>
    <row r="15577" spans="62:62" x14ac:dyDescent="0.2">
      <c r="BJ15577" s="201"/>
    </row>
    <row r="15578" spans="62:62" x14ac:dyDescent="0.2">
      <c r="BJ15578" s="201"/>
    </row>
    <row r="15579" spans="62:62" x14ac:dyDescent="0.2">
      <c r="BJ15579" s="201"/>
    </row>
    <row r="15580" spans="62:62" x14ac:dyDescent="0.2">
      <c r="BJ15580" s="201"/>
    </row>
    <row r="15581" spans="62:62" x14ac:dyDescent="0.2">
      <c r="BJ15581" s="201"/>
    </row>
    <row r="15582" spans="62:62" x14ac:dyDescent="0.2">
      <c r="BJ15582" s="201"/>
    </row>
    <row r="15583" spans="62:62" x14ac:dyDescent="0.2">
      <c r="BJ15583" s="201"/>
    </row>
    <row r="15584" spans="62:62" x14ac:dyDescent="0.2">
      <c r="BJ15584" s="201"/>
    </row>
    <row r="15585" spans="62:62" x14ac:dyDescent="0.2">
      <c r="BJ15585" s="201"/>
    </row>
    <row r="15586" spans="62:62" x14ac:dyDescent="0.2">
      <c r="BJ15586" s="201"/>
    </row>
    <row r="15587" spans="62:62" x14ac:dyDescent="0.2">
      <c r="BJ15587" s="201"/>
    </row>
    <row r="15588" spans="62:62" x14ac:dyDescent="0.2">
      <c r="BJ15588" s="201"/>
    </row>
    <row r="15589" spans="62:62" x14ac:dyDescent="0.2">
      <c r="BJ15589" s="201"/>
    </row>
    <row r="15590" spans="62:62" x14ac:dyDescent="0.2">
      <c r="BJ15590" s="201"/>
    </row>
    <row r="15591" spans="62:62" x14ac:dyDescent="0.2">
      <c r="BJ15591" s="201"/>
    </row>
    <row r="15592" spans="62:62" x14ac:dyDescent="0.2">
      <c r="BJ15592" s="201"/>
    </row>
    <row r="15593" spans="62:62" x14ac:dyDescent="0.2">
      <c r="BJ15593" s="201"/>
    </row>
    <row r="15594" spans="62:62" x14ac:dyDescent="0.2">
      <c r="BJ15594" s="201"/>
    </row>
    <row r="15595" spans="62:62" x14ac:dyDescent="0.2">
      <c r="BJ15595" s="201"/>
    </row>
    <row r="15596" spans="62:62" x14ac:dyDescent="0.2">
      <c r="BJ15596" s="201"/>
    </row>
    <row r="15597" spans="62:62" x14ac:dyDescent="0.2">
      <c r="BJ15597" s="201"/>
    </row>
    <row r="15598" spans="62:62" x14ac:dyDescent="0.2">
      <c r="BJ15598" s="201"/>
    </row>
    <row r="15599" spans="62:62" x14ac:dyDescent="0.2">
      <c r="BJ15599" s="201"/>
    </row>
    <row r="15600" spans="62:62" x14ac:dyDescent="0.2">
      <c r="BJ15600" s="201"/>
    </row>
    <row r="15601" spans="62:62" x14ac:dyDescent="0.2">
      <c r="BJ15601" s="201"/>
    </row>
    <row r="15602" spans="62:62" x14ac:dyDescent="0.2">
      <c r="BJ15602" s="201"/>
    </row>
    <row r="15603" spans="62:62" x14ac:dyDescent="0.2">
      <c r="BJ15603" s="201"/>
    </row>
    <row r="15604" spans="62:62" x14ac:dyDescent="0.2">
      <c r="BJ15604" s="201"/>
    </row>
    <row r="15605" spans="62:62" x14ac:dyDescent="0.2">
      <c r="BJ15605" s="201"/>
    </row>
    <row r="15606" spans="62:62" x14ac:dyDescent="0.2">
      <c r="BJ15606" s="201"/>
    </row>
    <row r="15607" spans="62:62" x14ac:dyDescent="0.2">
      <c r="BJ15607" s="201"/>
    </row>
    <row r="15608" spans="62:62" x14ac:dyDescent="0.2">
      <c r="BJ15608" s="201"/>
    </row>
    <row r="15609" spans="62:62" x14ac:dyDescent="0.2">
      <c r="BJ15609" s="201"/>
    </row>
    <row r="15610" spans="62:62" x14ac:dyDescent="0.2">
      <c r="BJ15610" s="201"/>
    </row>
    <row r="15611" spans="62:62" x14ac:dyDescent="0.2">
      <c r="BJ15611" s="201"/>
    </row>
    <row r="15612" spans="62:62" x14ac:dyDescent="0.2">
      <c r="BJ15612" s="201"/>
    </row>
    <row r="15613" spans="62:62" x14ac:dyDescent="0.2">
      <c r="BJ15613" s="201"/>
    </row>
    <row r="15614" spans="62:62" x14ac:dyDescent="0.2">
      <c r="BJ15614" s="201"/>
    </row>
    <row r="15615" spans="62:62" x14ac:dyDescent="0.2">
      <c r="BJ15615" s="201"/>
    </row>
    <row r="15616" spans="62:62" x14ac:dyDescent="0.2">
      <c r="BJ15616" s="201"/>
    </row>
    <row r="15617" spans="62:62" x14ac:dyDescent="0.2">
      <c r="BJ15617" s="201"/>
    </row>
    <row r="15618" spans="62:62" x14ac:dyDescent="0.2">
      <c r="BJ15618" s="201"/>
    </row>
    <row r="15619" spans="62:62" x14ac:dyDescent="0.2">
      <c r="BJ15619" s="201"/>
    </row>
    <row r="15620" spans="62:62" x14ac:dyDescent="0.2">
      <c r="BJ15620" s="201"/>
    </row>
    <row r="15621" spans="62:62" x14ac:dyDescent="0.2">
      <c r="BJ15621" s="201"/>
    </row>
    <row r="15622" spans="62:62" x14ac:dyDescent="0.2">
      <c r="BJ15622" s="201"/>
    </row>
    <row r="15623" spans="62:62" x14ac:dyDescent="0.2">
      <c r="BJ15623" s="201"/>
    </row>
    <row r="15624" spans="62:62" x14ac:dyDescent="0.2">
      <c r="BJ15624" s="201"/>
    </row>
    <row r="15625" spans="62:62" x14ac:dyDescent="0.2">
      <c r="BJ15625" s="201"/>
    </row>
    <row r="15626" spans="62:62" x14ac:dyDescent="0.2">
      <c r="BJ15626" s="201"/>
    </row>
    <row r="15627" spans="62:62" x14ac:dyDescent="0.2">
      <c r="BJ15627" s="201"/>
    </row>
    <row r="15628" spans="62:62" x14ac:dyDescent="0.2">
      <c r="BJ15628" s="201"/>
    </row>
    <row r="15629" spans="62:62" x14ac:dyDescent="0.2">
      <c r="BJ15629" s="201"/>
    </row>
    <row r="15630" spans="62:62" x14ac:dyDescent="0.2">
      <c r="BJ15630" s="201"/>
    </row>
    <row r="15631" spans="62:62" x14ac:dyDescent="0.2">
      <c r="BJ15631" s="201"/>
    </row>
    <row r="15632" spans="62:62" x14ac:dyDescent="0.2">
      <c r="BJ15632" s="201"/>
    </row>
    <row r="15633" spans="62:62" x14ac:dyDescent="0.2">
      <c r="BJ15633" s="201"/>
    </row>
    <row r="15634" spans="62:62" x14ac:dyDescent="0.2">
      <c r="BJ15634" s="201"/>
    </row>
    <row r="15635" spans="62:62" x14ac:dyDescent="0.2">
      <c r="BJ15635" s="201"/>
    </row>
    <row r="15636" spans="62:62" x14ac:dyDescent="0.2">
      <c r="BJ15636" s="201"/>
    </row>
    <row r="15637" spans="62:62" x14ac:dyDescent="0.2">
      <c r="BJ15637" s="201"/>
    </row>
    <row r="15638" spans="62:62" x14ac:dyDescent="0.2">
      <c r="BJ15638" s="201"/>
    </row>
    <row r="15639" spans="62:62" x14ac:dyDescent="0.2">
      <c r="BJ15639" s="201"/>
    </row>
    <row r="15640" spans="62:62" x14ac:dyDescent="0.2">
      <c r="BJ15640" s="201"/>
    </row>
    <row r="15641" spans="62:62" x14ac:dyDescent="0.2">
      <c r="BJ15641" s="201"/>
    </row>
    <row r="15642" spans="62:62" x14ac:dyDescent="0.2">
      <c r="BJ15642" s="201"/>
    </row>
    <row r="15643" spans="62:62" x14ac:dyDescent="0.2">
      <c r="BJ15643" s="201"/>
    </row>
    <row r="15644" spans="62:62" x14ac:dyDescent="0.2">
      <c r="BJ15644" s="201"/>
    </row>
    <row r="15645" spans="62:62" x14ac:dyDescent="0.2">
      <c r="BJ15645" s="201"/>
    </row>
    <row r="15646" spans="62:62" x14ac:dyDescent="0.2">
      <c r="BJ15646" s="201"/>
    </row>
    <row r="15647" spans="62:62" x14ac:dyDescent="0.2">
      <c r="BJ15647" s="201"/>
    </row>
    <row r="15648" spans="62:62" x14ac:dyDescent="0.2">
      <c r="BJ15648" s="201"/>
    </row>
    <row r="15649" spans="62:62" x14ac:dyDescent="0.2">
      <c r="BJ15649" s="201"/>
    </row>
    <row r="15650" spans="62:62" x14ac:dyDescent="0.2">
      <c r="BJ15650" s="201"/>
    </row>
    <row r="15651" spans="62:62" x14ac:dyDescent="0.2">
      <c r="BJ15651" s="201"/>
    </row>
    <row r="15652" spans="62:62" x14ac:dyDescent="0.2">
      <c r="BJ15652" s="201"/>
    </row>
    <row r="15653" spans="62:62" x14ac:dyDescent="0.2">
      <c r="BJ15653" s="201"/>
    </row>
    <row r="15654" spans="62:62" x14ac:dyDescent="0.2">
      <c r="BJ15654" s="201"/>
    </row>
    <row r="15655" spans="62:62" x14ac:dyDescent="0.2">
      <c r="BJ15655" s="201"/>
    </row>
    <row r="15656" spans="62:62" x14ac:dyDescent="0.2">
      <c r="BJ15656" s="201"/>
    </row>
    <row r="15657" spans="62:62" x14ac:dyDescent="0.2">
      <c r="BJ15657" s="201"/>
    </row>
    <row r="15658" spans="62:62" x14ac:dyDescent="0.2">
      <c r="BJ15658" s="201"/>
    </row>
    <row r="15659" spans="62:62" x14ac:dyDescent="0.2">
      <c r="BJ15659" s="201"/>
    </row>
    <row r="15660" spans="62:62" x14ac:dyDescent="0.2">
      <c r="BJ15660" s="201"/>
    </row>
    <row r="15661" spans="62:62" x14ac:dyDescent="0.2">
      <c r="BJ15661" s="201"/>
    </row>
    <row r="15662" spans="62:62" x14ac:dyDescent="0.2">
      <c r="BJ15662" s="201"/>
    </row>
    <row r="15663" spans="62:62" x14ac:dyDescent="0.2">
      <c r="BJ15663" s="201"/>
    </row>
    <row r="15664" spans="62:62" x14ac:dyDescent="0.2">
      <c r="BJ15664" s="201"/>
    </row>
    <row r="15665" spans="62:62" x14ac:dyDescent="0.2">
      <c r="BJ15665" s="201"/>
    </row>
    <row r="15666" spans="62:62" x14ac:dyDescent="0.2">
      <c r="BJ15666" s="201"/>
    </row>
    <row r="15667" spans="62:62" x14ac:dyDescent="0.2">
      <c r="BJ15667" s="201"/>
    </row>
    <row r="15668" spans="62:62" x14ac:dyDescent="0.2">
      <c r="BJ15668" s="201"/>
    </row>
    <row r="15669" spans="62:62" x14ac:dyDescent="0.2">
      <c r="BJ15669" s="201"/>
    </row>
    <row r="15670" spans="62:62" x14ac:dyDescent="0.2">
      <c r="BJ15670" s="201"/>
    </row>
    <row r="15671" spans="62:62" x14ac:dyDescent="0.2">
      <c r="BJ15671" s="201"/>
    </row>
    <row r="15672" spans="62:62" x14ac:dyDescent="0.2">
      <c r="BJ15672" s="201"/>
    </row>
    <row r="15673" spans="62:62" x14ac:dyDescent="0.2">
      <c r="BJ15673" s="201"/>
    </row>
    <row r="15674" spans="62:62" x14ac:dyDescent="0.2">
      <c r="BJ15674" s="201"/>
    </row>
    <row r="15675" spans="62:62" x14ac:dyDescent="0.2">
      <c r="BJ15675" s="201"/>
    </row>
    <row r="15676" spans="62:62" x14ac:dyDescent="0.2">
      <c r="BJ15676" s="201"/>
    </row>
    <row r="15677" spans="62:62" x14ac:dyDescent="0.2">
      <c r="BJ15677" s="201"/>
    </row>
    <row r="15678" spans="62:62" x14ac:dyDescent="0.2">
      <c r="BJ15678" s="201"/>
    </row>
    <row r="15679" spans="62:62" x14ac:dyDescent="0.2">
      <c r="BJ15679" s="201"/>
    </row>
    <row r="15680" spans="62:62" x14ac:dyDescent="0.2">
      <c r="BJ15680" s="201"/>
    </row>
    <row r="15681" spans="62:62" x14ac:dyDescent="0.2">
      <c r="BJ15681" s="201"/>
    </row>
    <row r="15682" spans="62:62" x14ac:dyDescent="0.2">
      <c r="BJ15682" s="201"/>
    </row>
    <row r="15683" spans="62:62" x14ac:dyDescent="0.2">
      <c r="BJ15683" s="201"/>
    </row>
    <row r="15684" spans="62:62" x14ac:dyDescent="0.2">
      <c r="BJ15684" s="201"/>
    </row>
    <row r="15685" spans="62:62" x14ac:dyDescent="0.2">
      <c r="BJ15685" s="201"/>
    </row>
    <row r="15686" spans="62:62" x14ac:dyDescent="0.2">
      <c r="BJ15686" s="201"/>
    </row>
    <row r="15687" spans="62:62" x14ac:dyDescent="0.2">
      <c r="BJ15687" s="201"/>
    </row>
    <row r="15688" spans="62:62" x14ac:dyDescent="0.2">
      <c r="BJ15688" s="201"/>
    </row>
    <row r="15689" spans="62:62" x14ac:dyDescent="0.2">
      <c r="BJ15689" s="201"/>
    </row>
    <row r="15690" spans="62:62" x14ac:dyDescent="0.2">
      <c r="BJ15690" s="201"/>
    </row>
    <row r="15691" spans="62:62" x14ac:dyDescent="0.2">
      <c r="BJ15691" s="201"/>
    </row>
    <row r="15692" spans="62:62" x14ac:dyDescent="0.2">
      <c r="BJ15692" s="201"/>
    </row>
    <row r="15693" spans="62:62" x14ac:dyDescent="0.2">
      <c r="BJ15693" s="201"/>
    </row>
    <row r="15694" spans="62:62" x14ac:dyDescent="0.2">
      <c r="BJ15694" s="201"/>
    </row>
    <row r="15695" spans="62:62" x14ac:dyDescent="0.2">
      <c r="BJ15695" s="201"/>
    </row>
    <row r="15696" spans="62:62" x14ac:dyDescent="0.2">
      <c r="BJ15696" s="201"/>
    </row>
    <row r="15697" spans="62:62" x14ac:dyDescent="0.2">
      <c r="BJ15697" s="201"/>
    </row>
    <row r="15698" spans="62:62" x14ac:dyDescent="0.2">
      <c r="BJ15698" s="201"/>
    </row>
    <row r="15699" spans="62:62" x14ac:dyDescent="0.2">
      <c r="BJ15699" s="201"/>
    </row>
    <row r="15700" spans="62:62" x14ac:dyDescent="0.2">
      <c r="BJ15700" s="201"/>
    </row>
    <row r="15701" spans="62:62" x14ac:dyDescent="0.2">
      <c r="BJ15701" s="201"/>
    </row>
    <row r="15702" spans="62:62" x14ac:dyDescent="0.2">
      <c r="BJ15702" s="201"/>
    </row>
    <row r="15703" spans="62:62" x14ac:dyDescent="0.2">
      <c r="BJ15703" s="201"/>
    </row>
    <row r="15704" spans="62:62" x14ac:dyDescent="0.2">
      <c r="BJ15704" s="201"/>
    </row>
    <row r="15705" spans="62:62" x14ac:dyDescent="0.2">
      <c r="BJ15705" s="201"/>
    </row>
    <row r="15706" spans="62:62" x14ac:dyDescent="0.2">
      <c r="BJ15706" s="201"/>
    </row>
    <row r="15707" spans="62:62" x14ac:dyDescent="0.2">
      <c r="BJ15707" s="201"/>
    </row>
    <row r="15708" spans="62:62" x14ac:dyDescent="0.2">
      <c r="BJ15708" s="201"/>
    </row>
    <row r="15709" spans="62:62" x14ac:dyDescent="0.2">
      <c r="BJ15709" s="201"/>
    </row>
    <row r="15710" spans="62:62" x14ac:dyDescent="0.2">
      <c r="BJ15710" s="201"/>
    </row>
    <row r="15711" spans="62:62" x14ac:dyDescent="0.2">
      <c r="BJ15711" s="201"/>
    </row>
    <row r="15712" spans="62:62" x14ac:dyDescent="0.2">
      <c r="BJ15712" s="201"/>
    </row>
    <row r="15713" spans="62:62" x14ac:dyDescent="0.2">
      <c r="BJ15713" s="201"/>
    </row>
    <row r="15714" spans="62:62" x14ac:dyDescent="0.2">
      <c r="BJ15714" s="201"/>
    </row>
    <row r="15715" spans="62:62" x14ac:dyDescent="0.2">
      <c r="BJ15715" s="201"/>
    </row>
    <row r="15716" spans="62:62" x14ac:dyDescent="0.2">
      <c r="BJ15716" s="201"/>
    </row>
    <row r="15717" spans="62:62" x14ac:dyDescent="0.2">
      <c r="BJ15717" s="201"/>
    </row>
    <row r="15718" spans="62:62" x14ac:dyDescent="0.2">
      <c r="BJ15718" s="201"/>
    </row>
    <row r="15719" spans="62:62" x14ac:dyDescent="0.2">
      <c r="BJ15719" s="201"/>
    </row>
    <row r="15720" spans="62:62" x14ac:dyDescent="0.2">
      <c r="BJ15720" s="201"/>
    </row>
    <row r="15721" spans="62:62" x14ac:dyDescent="0.2">
      <c r="BJ15721" s="201"/>
    </row>
    <row r="15722" spans="62:62" x14ac:dyDescent="0.2">
      <c r="BJ15722" s="201"/>
    </row>
    <row r="15723" spans="62:62" x14ac:dyDescent="0.2">
      <c r="BJ15723" s="201"/>
    </row>
    <row r="15724" spans="62:62" x14ac:dyDescent="0.2">
      <c r="BJ15724" s="201"/>
    </row>
    <row r="15725" spans="62:62" x14ac:dyDescent="0.2">
      <c r="BJ15725" s="201"/>
    </row>
    <row r="15726" spans="62:62" x14ac:dyDescent="0.2">
      <c r="BJ15726" s="201"/>
    </row>
    <row r="15727" spans="62:62" x14ac:dyDescent="0.2">
      <c r="BJ15727" s="201"/>
    </row>
    <row r="15728" spans="62:62" x14ac:dyDescent="0.2">
      <c r="BJ15728" s="201"/>
    </row>
    <row r="15729" spans="62:62" x14ac:dyDescent="0.2">
      <c r="BJ15729" s="201"/>
    </row>
    <row r="15730" spans="62:62" x14ac:dyDescent="0.2">
      <c r="BJ15730" s="201"/>
    </row>
    <row r="15731" spans="62:62" x14ac:dyDescent="0.2">
      <c r="BJ15731" s="201"/>
    </row>
    <row r="15732" spans="62:62" x14ac:dyDescent="0.2">
      <c r="BJ15732" s="201"/>
    </row>
    <row r="15733" spans="62:62" x14ac:dyDescent="0.2">
      <c r="BJ15733" s="201"/>
    </row>
    <row r="15734" spans="62:62" x14ac:dyDescent="0.2">
      <c r="BJ15734" s="201"/>
    </row>
    <row r="15735" spans="62:62" x14ac:dyDescent="0.2">
      <c r="BJ15735" s="201"/>
    </row>
    <row r="15736" spans="62:62" x14ac:dyDescent="0.2">
      <c r="BJ15736" s="201"/>
    </row>
    <row r="15737" spans="62:62" x14ac:dyDescent="0.2">
      <c r="BJ15737" s="201"/>
    </row>
    <row r="15738" spans="62:62" x14ac:dyDescent="0.2">
      <c r="BJ15738" s="201"/>
    </row>
    <row r="15739" spans="62:62" x14ac:dyDescent="0.2">
      <c r="BJ15739" s="201"/>
    </row>
    <row r="15740" spans="62:62" x14ac:dyDescent="0.2">
      <c r="BJ15740" s="201"/>
    </row>
    <row r="15741" spans="62:62" x14ac:dyDescent="0.2">
      <c r="BJ15741" s="201"/>
    </row>
    <row r="15742" spans="62:62" x14ac:dyDescent="0.2">
      <c r="BJ15742" s="201"/>
    </row>
    <row r="15743" spans="62:62" x14ac:dyDescent="0.2">
      <c r="BJ15743" s="201"/>
    </row>
    <row r="15744" spans="62:62" x14ac:dyDescent="0.2">
      <c r="BJ15744" s="201"/>
    </row>
    <row r="15745" spans="62:62" x14ac:dyDescent="0.2">
      <c r="BJ15745" s="201"/>
    </row>
    <row r="15746" spans="62:62" x14ac:dyDescent="0.2">
      <c r="BJ15746" s="201"/>
    </row>
    <row r="15747" spans="62:62" x14ac:dyDescent="0.2">
      <c r="BJ15747" s="201"/>
    </row>
    <row r="15748" spans="62:62" x14ac:dyDescent="0.2">
      <c r="BJ15748" s="201"/>
    </row>
    <row r="15749" spans="62:62" x14ac:dyDescent="0.2">
      <c r="BJ15749" s="201"/>
    </row>
    <row r="15750" spans="62:62" x14ac:dyDescent="0.2">
      <c r="BJ15750" s="201"/>
    </row>
    <row r="15751" spans="62:62" x14ac:dyDescent="0.2">
      <c r="BJ15751" s="201"/>
    </row>
    <row r="15752" spans="62:62" x14ac:dyDescent="0.2">
      <c r="BJ15752" s="201"/>
    </row>
    <row r="15753" spans="62:62" x14ac:dyDescent="0.2">
      <c r="BJ15753" s="201"/>
    </row>
    <row r="15754" spans="62:62" x14ac:dyDescent="0.2">
      <c r="BJ15754" s="201"/>
    </row>
    <row r="15755" spans="62:62" x14ac:dyDescent="0.2">
      <c r="BJ15755" s="201"/>
    </row>
    <row r="15756" spans="62:62" x14ac:dyDescent="0.2">
      <c r="BJ15756" s="201"/>
    </row>
    <row r="15757" spans="62:62" x14ac:dyDescent="0.2">
      <c r="BJ15757" s="201"/>
    </row>
    <row r="15758" spans="62:62" x14ac:dyDescent="0.2">
      <c r="BJ15758" s="201"/>
    </row>
    <row r="15759" spans="62:62" x14ac:dyDescent="0.2">
      <c r="BJ15759" s="201"/>
    </row>
    <row r="15760" spans="62:62" x14ac:dyDescent="0.2">
      <c r="BJ15760" s="201"/>
    </row>
    <row r="15761" spans="62:62" x14ac:dyDescent="0.2">
      <c r="BJ15761" s="201"/>
    </row>
    <row r="15762" spans="62:62" x14ac:dyDescent="0.2">
      <c r="BJ15762" s="201"/>
    </row>
    <row r="15763" spans="62:62" x14ac:dyDescent="0.2">
      <c r="BJ15763" s="201"/>
    </row>
    <row r="15764" spans="62:62" x14ac:dyDescent="0.2">
      <c r="BJ15764" s="201"/>
    </row>
    <row r="15765" spans="62:62" x14ac:dyDescent="0.2">
      <c r="BJ15765" s="201"/>
    </row>
    <row r="15766" spans="62:62" x14ac:dyDescent="0.2">
      <c r="BJ15766" s="201"/>
    </row>
    <row r="15767" spans="62:62" x14ac:dyDescent="0.2">
      <c r="BJ15767" s="201"/>
    </row>
    <row r="15768" spans="62:62" x14ac:dyDescent="0.2">
      <c r="BJ15768" s="201"/>
    </row>
    <row r="15769" spans="62:62" x14ac:dyDescent="0.2">
      <c r="BJ15769" s="201"/>
    </row>
    <row r="15770" spans="62:62" x14ac:dyDescent="0.2">
      <c r="BJ15770" s="201"/>
    </row>
    <row r="15771" spans="62:62" x14ac:dyDescent="0.2">
      <c r="BJ15771" s="201"/>
    </row>
    <row r="15772" spans="62:62" x14ac:dyDescent="0.2">
      <c r="BJ15772" s="201"/>
    </row>
    <row r="15773" spans="62:62" x14ac:dyDescent="0.2">
      <c r="BJ15773" s="201"/>
    </row>
    <row r="15774" spans="62:62" x14ac:dyDescent="0.2">
      <c r="BJ15774" s="201"/>
    </row>
    <row r="15775" spans="62:62" x14ac:dyDescent="0.2">
      <c r="BJ15775" s="201"/>
    </row>
    <row r="15776" spans="62:62" x14ac:dyDescent="0.2">
      <c r="BJ15776" s="201"/>
    </row>
    <row r="15777" spans="62:62" x14ac:dyDescent="0.2">
      <c r="BJ15777" s="201"/>
    </row>
    <row r="15778" spans="62:62" x14ac:dyDescent="0.2">
      <c r="BJ15778" s="201"/>
    </row>
    <row r="15779" spans="62:62" x14ac:dyDescent="0.2">
      <c r="BJ15779" s="201"/>
    </row>
    <row r="15780" spans="62:62" x14ac:dyDescent="0.2">
      <c r="BJ15780" s="201"/>
    </row>
    <row r="15781" spans="62:62" x14ac:dyDescent="0.2">
      <c r="BJ15781" s="201"/>
    </row>
    <row r="15782" spans="62:62" x14ac:dyDescent="0.2">
      <c r="BJ15782" s="201"/>
    </row>
    <row r="15783" spans="62:62" x14ac:dyDescent="0.2">
      <c r="BJ15783" s="201"/>
    </row>
    <row r="15784" spans="62:62" x14ac:dyDescent="0.2">
      <c r="BJ15784" s="201"/>
    </row>
    <row r="15785" spans="62:62" x14ac:dyDescent="0.2">
      <c r="BJ15785" s="201"/>
    </row>
    <row r="15786" spans="62:62" x14ac:dyDescent="0.2">
      <c r="BJ15786" s="201"/>
    </row>
    <row r="15787" spans="62:62" x14ac:dyDescent="0.2">
      <c r="BJ15787" s="201"/>
    </row>
    <row r="15788" spans="62:62" x14ac:dyDescent="0.2">
      <c r="BJ15788" s="201"/>
    </row>
    <row r="15789" spans="62:62" x14ac:dyDescent="0.2">
      <c r="BJ15789" s="201"/>
    </row>
    <row r="15790" spans="62:62" x14ac:dyDescent="0.2">
      <c r="BJ15790" s="201"/>
    </row>
    <row r="15791" spans="62:62" x14ac:dyDescent="0.2">
      <c r="BJ15791" s="201"/>
    </row>
    <row r="15792" spans="62:62" x14ac:dyDescent="0.2">
      <c r="BJ15792" s="201"/>
    </row>
    <row r="15793" spans="62:62" x14ac:dyDescent="0.2">
      <c r="BJ15793" s="201"/>
    </row>
    <row r="15794" spans="62:62" x14ac:dyDescent="0.2">
      <c r="BJ15794" s="201"/>
    </row>
    <row r="15795" spans="62:62" x14ac:dyDescent="0.2">
      <c r="BJ15795" s="201"/>
    </row>
    <row r="15796" spans="62:62" x14ac:dyDescent="0.2">
      <c r="BJ15796" s="201"/>
    </row>
    <row r="15797" spans="62:62" x14ac:dyDescent="0.2">
      <c r="BJ15797" s="201"/>
    </row>
    <row r="15798" spans="62:62" x14ac:dyDescent="0.2">
      <c r="BJ15798" s="201"/>
    </row>
    <row r="15799" spans="62:62" x14ac:dyDescent="0.2">
      <c r="BJ15799" s="201"/>
    </row>
    <row r="15800" spans="62:62" x14ac:dyDescent="0.2">
      <c r="BJ15800" s="201"/>
    </row>
    <row r="15801" spans="62:62" x14ac:dyDescent="0.2">
      <c r="BJ15801" s="201"/>
    </row>
    <row r="15802" spans="62:62" x14ac:dyDescent="0.2">
      <c r="BJ15802" s="201"/>
    </row>
    <row r="15803" spans="62:62" x14ac:dyDescent="0.2">
      <c r="BJ15803" s="201"/>
    </row>
    <row r="15804" spans="62:62" x14ac:dyDescent="0.2">
      <c r="BJ15804" s="201"/>
    </row>
    <row r="15805" spans="62:62" x14ac:dyDescent="0.2">
      <c r="BJ15805" s="201"/>
    </row>
    <row r="15806" spans="62:62" x14ac:dyDescent="0.2">
      <c r="BJ15806" s="201"/>
    </row>
    <row r="15807" spans="62:62" x14ac:dyDescent="0.2">
      <c r="BJ15807" s="201"/>
    </row>
    <row r="15808" spans="62:62" x14ac:dyDescent="0.2">
      <c r="BJ15808" s="201"/>
    </row>
    <row r="15809" spans="62:62" x14ac:dyDescent="0.2">
      <c r="BJ15809" s="201"/>
    </row>
    <row r="15810" spans="62:62" x14ac:dyDescent="0.2">
      <c r="BJ15810" s="201"/>
    </row>
    <row r="15811" spans="62:62" x14ac:dyDescent="0.2">
      <c r="BJ15811" s="201"/>
    </row>
    <row r="15812" spans="62:62" x14ac:dyDescent="0.2">
      <c r="BJ15812" s="201"/>
    </row>
    <row r="15813" spans="62:62" x14ac:dyDescent="0.2">
      <c r="BJ15813" s="201"/>
    </row>
    <row r="15814" spans="62:62" x14ac:dyDescent="0.2">
      <c r="BJ15814" s="201"/>
    </row>
    <row r="15815" spans="62:62" x14ac:dyDescent="0.2">
      <c r="BJ15815" s="201"/>
    </row>
    <row r="15816" spans="62:62" x14ac:dyDescent="0.2">
      <c r="BJ15816" s="201"/>
    </row>
    <row r="15817" spans="62:62" x14ac:dyDescent="0.2">
      <c r="BJ15817" s="201"/>
    </row>
    <row r="15818" spans="62:62" x14ac:dyDescent="0.2">
      <c r="BJ15818" s="201"/>
    </row>
    <row r="15819" spans="62:62" x14ac:dyDescent="0.2">
      <c r="BJ15819" s="201"/>
    </row>
    <row r="15820" spans="62:62" x14ac:dyDescent="0.2">
      <c r="BJ15820" s="201"/>
    </row>
    <row r="15821" spans="62:62" x14ac:dyDescent="0.2">
      <c r="BJ15821" s="201"/>
    </row>
    <row r="15822" spans="62:62" x14ac:dyDescent="0.2">
      <c r="BJ15822" s="201"/>
    </row>
    <row r="15823" spans="62:62" x14ac:dyDescent="0.2">
      <c r="BJ15823" s="201"/>
    </row>
    <row r="15824" spans="62:62" x14ac:dyDescent="0.2">
      <c r="BJ15824" s="201"/>
    </row>
    <row r="15825" spans="62:62" x14ac:dyDescent="0.2">
      <c r="BJ15825" s="201"/>
    </row>
    <row r="15826" spans="62:62" x14ac:dyDescent="0.2">
      <c r="BJ15826" s="201"/>
    </row>
    <row r="15827" spans="62:62" x14ac:dyDescent="0.2">
      <c r="BJ15827" s="201"/>
    </row>
    <row r="15828" spans="62:62" x14ac:dyDescent="0.2">
      <c r="BJ15828" s="201"/>
    </row>
    <row r="15829" spans="62:62" x14ac:dyDescent="0.2">
      <c r="BJ15829" s="201"/>
    </row>
    <row r="15830" spans="62:62" x14ac:dyDescent="0.2">
      <c r="BJ15830" s="201"/>
    </row>
    <row r="15831" spans="62:62" x14ac:dyDescent="0.2">
      <c r="BJ15831" s="201"/>
    </row>
    <row r="15832" spans="62:62" x14ac:dyDescent="0.2">
      <c r="BJ15832" s="201"/>
    </row>
    <row r="15833" spans="62:62" x14ac:dyDescent="0.2">
      <c r="BJ15833" s="201"/>
    </row>
    <row r="15834" spans="62:62" x14ac:dyDescent="0.2">
      <c r="BJ15834" s="201"/>
    </row>
    <row r="15835" spans="62:62" x14ac:dyDescent="0.2">
      <c r="BJ15835" s="201"/>
    </row>
    <row r="15836" spans="62:62" x14ac:dyDescent="0.2">
      <c r="BJ15836" s="201"/>
    </row>
    <row r="15837" spans="62:62" x14ac:dyDescent="0.2">
      <c r="BJ15837" s="201"/>
    </row>
    <row r="15838" spans="62:62" x14ac:dyDescent="0.2">
      <c r="BJ15838" s="201"/>
    </row>
    <row r="15839" spans="62:62" x14ac:dyDescent="0.2">
      <c r="BJ15839" s="201"/>
    </row>
    <row r="15840" spans="62:62" x14ac:dyDescent="0.2">
      <c r="BJ15840" s="201"/>
    </row>
    <row r="15841" spans="62:62" x14ac:dyDescent="0.2">
      <c r="BJ15841" s="201"/>
    </row>
    <row r="15842" spans="62:62" x14ac:dyDescent="0.2">
      <c r="BJ15842" s="201"/>
    </row>
    <row r="15843" spans="62:62" x14ac:dyDescent="0.2">
      <c r="BJ15843" s="201"/>
    </row>
    <row r="15844" spans="62:62" x14ac:dyDescent="0.2">
      <c r="BJ15844" s="201"/>
    </row>
    <row r="15845" spans="62:62" x14ac:dyDescent="0.2">
      <c r="BJ15845" s="201"/>
    </row>
    <row r="15846" spans="62:62" x14ac:dyDescent="0.2">
      <c r="BJ15846" s="201"/>
    </row>
    <row r="15847" spans="62:62" x14ac:dyDescent="0.2">
      <c r="BJ15847" s="201"/>
    </row>
    <row r="15848" spans="62:62" x14ac:dyDescent="0.2">
      <c r="BJ15848" s="201"/>
    </row>
    <row r="15849" spans="62:62" x14ac:dyDescent="0.2">
      <c r="BJ15849" s="201"/>
    </row>
    <row r="15850" spans="62:62" x14ac:dyDescent="0.2">
      <c r="BJ15850" s="201"/>
    </row>
    <row r="15851" spans="62:62" x14ac:dyDescent="0.2">
      <c r="BJ15851" s="201"/>
    </row>
    <row r="15852" spans="62:62" x14ac:dyDescent="0.2">
      <c r="BJ15852" s="201"/>
    </row>
    <row r="15853" spans="62:62" x14ac:dyDescent="0.2">
      <c r="BJ15853" s="201"/>
    </row>
    <row r="15854" spans="62:62" x14ac:dyDescent="0.2">
      <c r="BJ15854" s="201"/>
    </row>
    <row r="15855" spans="62:62" x14ac:dyDescent="0.2">
      <c r="BJ15855" s="201"/>
    </row>
    <row r="15856" spans="62:62" x14ac:dyDescent="0.2">
      <c r="BJ15856" s="201"/>
    </row>
    <row r="15857" spans="62:62" x14ac:dyDescent="0.2">
      <c r="BJ15857" s="201"/>
    </row>
    <row r="15858" spans="62:62" x14ac:dyDescent="0.2">
      <c r="BJ15858" s="201"/>
    </row>
    <row r="15859" spans="62:62" x14ac:dyDescent="0.2">
      <c r="BJ15859" s="201"/>
    </row>
    <row r="15860" spans="62:62" x14ac:dyDescent="0.2">
      <c r="BJ15860" s="201"/>
    </row>
    <row r="15861" spans="62:62" x14ac:dyDescent="0.2">
      <c r="BJ15861" s="201"/>
    </row>
    <row r="15862" spans="62:62" x14ac:dyDescent="0.2">
      <c r="BJ15862" s="201"/>
    </row>
    <row r="15863" spans="62:62" x14ac:dyDescent="0.2">
      <c r="BJ15863" s="201"/>
    </row>
    <row r="15864" spans="62:62" x14ac:dyDescent="0.2">
      <c r="BJ15864" s="201"/>
    </row>
    <row r="15865" spans="62:62" x14ac:dyDescent="0.2">
      <c r="BJ15865" s="201"/>
    </row>
    <row r="15866" spans="62:62" x14ac:dyDescent="0.2">
      <c r="BJ15866" s="201"/>
    </row>
    <row r="15867" spans="62:62" x14ac:dyDescent="0.2">
      <c r="BJ15867" s="201"/>
    </row>
    <row r="15868" spans="62:62" x14ac:dyDescent="0.2">
      <c r="BJ15868" s="201"/>
    </row>
    <row r="15869" spans="62:62" x14ac:dyDescent="0.2">
      <c r="BJ15869" s="201"/>
    </row>
    <row r="15870" spans="62:62" x14ac:dyDescent="0.2">
      <c r="BJ15870" s="201"/>
    </row>
    <row r="15871" spans="62:62" x14ac:dyDescent="0.2">
      <c r="BJ15871" s="201"/>
    </row>
    <row r="15872" spans="62:62" x14ac:dyDescent="0.2">
      <c r="BJ15872" s="201"/>
    </row>
    <row r="15873" spans="62:62" x14ac:dyDescent="0.2">
      <c r="BJ15873" s="201"/>
    </row>
    <row r="15874" spans="62:62" x14ac:dyDescent="0.2">
      <c r="BJ15874" s="201"/>
    </row>
    <row r="15875" spans="62:62" x14ac:dyDescent="0.2">
      <c r="BJ15875" s="201"/>
    </row>
    <row r="15876" spans="62:62" x14ac:dyDescent="0.2">
      <c r="BJ15876" s="201"/>
    </row>
    <row r="15877" spans="62:62" x14ac:dyDescent="0.2">
      <c r="BJ15877" s="201"/>
    </row>
    <row r="15878" spans="62:62" x14ac:dyDescent="0.2">
      <c r="BJ15878" s="201"/>
    </row>
    <row r="15879" spans="62:62" x14ac:dyDescent="0.2">
      <c r="BJ15879" s="201"/>
    </row>
    <row r="15880" spans="62:62" x14ac:dyDescent="0.2">
      <c r="BJ15880" s="201"/>
    </row>
    <row r="15881" spans="62:62" x14ac:dyDescent="0.2">
      <c r="BJ15881" s="201"/>
    </row>
    <row r="15882" spans="62:62" x14ac:dyDescent="0.2">
      <c r="BJ15882" s="201"/>
    </row>
    <row r="15883" spans="62:62" x14ac:dyDescent="0.2">
      <c r="BJ15883" s="201"/>
    </row>
    <row r="15884" spans="62:62" x14ac:dyDescent="0.2">
      <c r="BJ15884" s="201"/>
    </row>
    <row r="15885" spans="62:62" x14ac:dyDescent="0.2">
      <c r="BJ15885" s="201"/>
    </row>
    <row r="15886" spans="62:62" x14ac:dyDescent="0.2">
      <c r="BJ15886" s="201"/>
    </row>
    <row r="15887" spans="62:62" x14ac:dyDescent="0.2">
      <c r="BJ15887" s="201"/>
    </row>
    <row r="15888" spans="62:62" x14ac:dyDescent="0.2">
      <c r="BJ15888" s="201"/>
    </row>
    <row r="15889" spans="62:62" x14ac:dyDescent="0.2">
      <c r="BJ15889" s="201"/>
    </row>
    <row r="15890" spans="62:62" x14ac:dyDescent="0.2">
      <c r="BJ15890" s="201"/>
    </row>
    <row r="15891" spans="62:62" x14ac:dyDescent="0.2">
      <c r="BJ15891" s="201"/>
    </row>
    <row r="15892" spans="62:62" x14ac:dyDescent="0.2">
      <c r="BJ15892" s="201"/>
    </row>
    <row r="15893" spans="62:62" x14ac:dyDescent="0.2">
      <c r="BJ15893" s="201"/>
    </row>
    <row r="15894" spans="62:62" x14ac:dyDescent="0.2">
      <c r="BJ15894" s="201"/>
    </row>
    <row r="15895" spans="62:62" x14ac:dyDescent="0.2">
      <c r="BJ15895" s="201"/>
    </row>
    <row r="15896" spans="62:62" x14ac:dyDescent="0.2">
      <c r="BJ15896" s="201"/>
    </row>
    <row r="15897" spans="62:62" x14ac:dyDescent="0.2">
      <c r="BJ15897" s="201"/>
    </row>
    <row r="15898" spans="62:62" x14ac:dyDescent="0.2">
      <c r="BJ15898" s="201"/>
    </row>
    <row r="15899" spans="62:62" x14ac:dyDescent="0.2">
      <c r="BJ15899" s="201"/>
    </row>
    <row r="15900" spans="62:62" x14ac:dyDescent="0.2">
      <c r="BJ15900" s="201"/>
    </row>
    <row r="15901" spans="62:62" x14ac:dyDescent="0.2">
      <c r="BJ15901" s="201"/>
    </row>
    <row r="15902" spans="62:62" x14ac:dyDescent="0.2">
      <c r="BJ15902" s="201"/>
    </row>
    <row r="15903" spans="62:62" x14ac:dyDescent="0.2">
      <c r="BJ15903" s="201"/>
    </row>
    <row r="15904" spans="62:62" x14ac:dyDescent="0.2">
      <c r="BJ15904" s="201"/>
    </row>
    <row r="15905" spans="62:62" x14ac:dyDescent="0.2">
      <c r="BJ15905" s="201"/>
    </row>
    <row r="15906" spans="62:62" x14ac:dyDescent="0.2">
      <c r="BJ15906" s="201"/>
    </row>
    <row r="15907" spans="62:62" x14ac:dyDescent="0.2">
      <c r="BJ15907" s="201"/>
    </row>
    <row r="15908" spans="62:62" x14ac:dyDescent="0.2">
      <c r="BJ15908" s="201"/>
    </row>
    <row r="15909" spans="62:62" x14ac:dyDescent="0.2">
      <c r="BJ15909" s="201"/>
    </row>
    <row r="15910" spans="62:62" x14ac:dyDescent="0.2">
      <c r="BJ15910" s="201"/>
    </row>
    <row r="15911" spans="62:62" x14ac:dyDescent="0.2">
      <c r="BJ15911" s="201"/>
    </row>
    <row r="15912" spans="62:62" x14ac:dyDescent="0.2">
      <c r="BJ15912" s="201"/>
    </row>
    <row r="15913" spans="62:62" x14ac:dyDescent="0.2">
      <c r="BJ15913" s="201"/>
    </row>
    <row r="15914" spans="62:62" x14ac:dyDescent="0.2">
      <c r="BJ15914" s="201"/>
    </row>
    <row r="15915" spans="62:62" x14ac:dyDescent="0.2">
      <c r="BJ15915" s="201"/>
    </row>
    <row r="15916" spans="62:62" x14ac:dyDescent="0.2">
      <c r="BJ15916" s="201"/>
    </row>
    <row r="15917" spans="62:62" x14ac:dyDescent="0.2">
      <c r="BJ15917" s="201"/>
    </row>
    <row r="15918" spans="62:62" x14ac:dyDescent="0.2">
      <c r="BJ15918" s="201"/>
    </row>
    <row r="15919" spans="62:62" x14ac:dyDescent="0.2">
      <c r="BJ15919" s="201"/>
    </row>
    <row r="15920" spans="62:62" x14ac:dyDescent="0.2">
      <c r="BJ15920" s="201"/>
    </row>
    <row r="15921" spans="62:62" x14ac:dyDescent="0.2">
      <c r="BJ15921" s="201"/>
    </row>
    <row r="15922" spans="62:62" x14ac:dyDescent="0.2">
      <c r="BJ15922" s="201"/>
    </row>
    <row r="15923" spans="62:62" x14ac:dyDescent="0.2">
      <c r="BJ15923" s="201"/>
    </row>
    <row r="15924" spans="62:62" x14ac:dyDescent="0.2">
      <c r="BJ15924" s="201"/>
    </row>
    <row r="15925" spans="62:62" x14ac:dyDescent="0.2">
      <c r="BJ15925" s="201"/>
    </row>
    <row r="15926" spans="62:62" x14ac:dyDescent="0.2">
      <c r="BJ15926" s="201"/>
    </row>
    <row r="15927" spans="62:62" x14ac:dyDescent="0.2">
      <c r="BJ15927" s="201"/>
    </row>
    <row r="15928" spans="62:62" x14ac:dyDescent="0.2">
      <c r="BJ15928" s="201"/>
    </row>
    <row r="15929" spans="62:62" x14ac:dyDescent="0.2">
      <c r="BJ15929" s="201"/>
    </row>
    <row r="15930" spans="62:62" x14ac:dyDescent="0.2">
      <c r="BJ15930" s="201"/>
    </row>
    <row r="15931" spans="62:62" x14ac:dyDescent="0.2">
      <c r="BJ15931" s="201"/>
    </row>
    <row r="15932" spans="62:62" x14ac:dyDescent="0.2">
      <c r="BJ15932" s="201"/>
    </row>
    <row r="15933" spans="62:62" x14ac:dyDescent="0.2">
      <c r="BJ15933" s="201"/>
    </row>
    <row r="15934" spans="62:62" x14ac:dyDescent="0.2">
      <c r="BJ15934" s="201"/>
    </row>
    <row r="15935" spans="62:62" x14ac:dyDescent="0.2">
      <c r="BJ15935" s="201"/>
    </row>
    <row r="15936" spans="62:62" x14ac:dyDescent="0.2">
      <c r="BJ15936" s="201"/>
    </row>
    <row r="15937" spans="62:62" x14ac:dyDescent="0.2">
      <c r="BJ15937" s="201"/>
    </row>
    <row r="15938" spans="62:62" x14ac:dyDescent="0.2">
      <c r="BJ15938" s="201"/>
    </row>
    <row r="15939" spans="62:62" x14ac:dyDescent="0.2">
      <c r="BJ15939" s="201"/>
    </row>
    <row r="15940" spans="62:62" x14ac:dyDescent="0.2">
      <c r="BJ15940" s="201"/>
    </row>
    <row r="15941" spans="62:62" x14ac:dyDescent="0.2">
      <c r="BJ15941" s="201"/>
    </row>
    <row r="15942" spans="62:62" x14ac:dyDescent="0.2">
      <c r="BJ15942" s="201"/>
    </row>
    <row r="15943" spans="62:62" x14ac:dyDescent="0.2">
      <c r="BJ15943" s="201"/>
    </row>
    <row r="15944" spans="62:62" x14ac:dyDescent="0.2">
      <c r="BJ15944" s="201"/>
    </row>
    <row r="15945" spans="62:62" x14ac:dyDescent="0.2">
      <c r="BJ15945" s="201"/>
    </row>
    <row r="15946" spans="62:62" x14ac:dyDescent="0.2">
      <c r="BJ15946" s="201"/>
    </row>
    <row r="15947" spans="62:62" x14ac:dyDescent="0.2">
      <c r="BJ15947" s="201"/>
    </row>
    <row r="15948" spans="62:62" x14ac:dyDescent="0.2">
      <c r="BJ15948" s="201"/>
    </row>
    <row r="15949" spans="62:62" x14ac:dyDescent="0.2">
      <c r="BJ15949" s="201"/>
    </row>
    <row r="15950" spans="62:62" x14ac:dyDescent="0.2">
      <c r="BJ15950" s="201"/>
    </row>
    <row r="15951" spans="62:62" x14ac:dyDescent="0.2">
      <c r="BJ15951" s="201"/>
    </row>
    <row r="15952" spans="62:62" x14ac:dyDescent="0.2">
      <c r="BJ15952" s="201"/>
    </row>
    <row r="15953" spans="62:62" x14ac:dyDescent="0.2">
      <c r="BJ15953" s="201"/>
    </row>
    <row r="15954" spans="62:62" x14ac:dyDescent="0.2">
      <c r="BJ15954" s="201"/>
    </row>
    <row r="15955" spans="62:62" x14ac:dyDescent="0.2">
      <c r="BJ15955" s="201"/>
    </row>
    <row r="15956" spans="62:62" x14ac:dyDescent="0.2">
      <c r="BJ15956" s="201"/>
    </row>
    <row r="15957" spans="62:62" x14ac:dyDescent="0.2">
      <c r="BJ15957" s="201"/>
    </row>
    <row r="15958" spans="62:62" x14ac:dyDescent="0.2">
      <c r="BJ15958" s="201"/>
    </row>
    <row r="15959" spans="62:62" x14ac:dyDescent="0.2">
      <c r="BJ15959" s="201"/>
    </row>
    <row r="15960" spans="62:62" x14ac:dyDescent="0.2">
      <c r="BJ15960" s="201"/>
    </row>
    <row r="15961" spans="62:62" x14ac:dyDescent="0.2">
      <c r="BJ15961" s="201"/>
    </row>
    <row r="15962" spans="62:62" x14ac:dyDescent="0.2">
      <c r="BJ15962" s="201"/>
    </row>
    <row r="15963" spans="62:62" x14ac:dyDescent="0.2">
      <c r="BJ15963" s="201"/>
    </row>
    <row r="15964" spans="62:62" x14ac:dyDescent="0.2">
      <c r="BJ15964" s="201"/>
    </row>
    <row r="15965" spans="62:62" x14ac:dyDescent="0.2">
      <c r="BJ15965" s="201"/>
    </row>
    <row r="15966" spans="62:62" x14ac:dyDescent="0.2">
      <c r="BJ15966" s="201"/>
    </row>
    <row r="15967" spans="62:62" x14ac:dyDescent="0.2">
      <c r="BJ15967" s="201"/>
    </row>
    <row r="15968" spans="62:62" x14ac:dyDescent="0.2">
      <c r="BJ15968" s="201"/>
    </row>
    <row r="15969" spans="62:62" x14ac:dyDescent="0.2">
      <c r="BJ15969" s="201"/>
    </row>
    <row r="15970" spans="62:62" x14ac:dyDescent="0.2">
      <c r="BJ15970" s="201"/>
    </row>
    <row r="15971" spans="62:62" x14ac:dyDescent="0.2">
      <c r="BJ15971" s="201"/>
    </row>
    <row r="15972" spans="62:62" x14ac:dyDescent="0.2">
      <c r="BJ15972" s="201"/>
    </row>
    <row r="15973" spans="62:62" x14ac:dyDescent="0.2">
      <c r="BJ15973" s="201"/>
    </row>
    <row r="15974" spans="62:62" x14ac:dyDescent="0.2">
      <c r="BJ15974" s="201"/>
    </row>
    <row r="15975" spans="62:62" x14ac:dyDescent="0.2">
      <c r="BJ15975" s="201"/>
    </row>
    <row r="15976" spans="62:62" x14ac:dyDescent="0.2">
      <c r="BJ15976" s="201"/>
    </row>
    <row r="15977" spans="62:62" x14ac:dyDescent="0.2">
      <c r="BJ15977" s="201"/>
    </row>
    <row r="15978" spans="62:62" x14ac:dyDescent="0.2">
      <c r="BJ15978" s="201"/>
    </row>
    <row r="15979" spans="62:62" x14ac:dyDescent="0.2">
      <c r="BJ15979" s="201"/>
    </row>
    <row r="15980" spans="62:62" x14ac:dyDescent="0.2">
      <c r="BJ15980" s="201"/>
    </row>
    <row r="15981" spans="62:62" x14ac:dyDescent="0.2">
      <c r="BJ15981" s="201"/>
    </row>
    <row r="15982" spans="62:62" x14ac:dyDescent="0.2">
      <c r="BJ15982" s="201"/>
    </row>
    <row r="15983" spans="62:62" x14ac:dyDescent="0.2">
      <c r="BJ15983" s="201"/>
    </row>
    <row r="15984" spans="62:62" x14ac:dyDescent="0.2">
      <c r="BJ15984" s="201"/>
    </row>
    <row r="15985" spans="62:62" x14ac:dyDescent="0.2">
      <c r="BJ15985" s="201"/>
    </row>
    <row r="15986" spans="62:62" x14ac:dyDescent="0.2">
      <c r="BJ15986" s="201"/>
    </row>
    <row r="15987" spans="62:62" x14ac:dyDescent="0.2">
      <c r="BJ15987" s="201"/>
    </row>
    <row r="15988" spans="62:62" x14ac:dyDescent="0.2">
      <c r="BJ15988" s="201"/>
    </row>
    <row r="15989" spans="62:62" x14ac:dyDescent="0.2">
      <c r="BJ15989" s="201"/>
    </row>
    <row r="15990" spans="62:62" x14ac:dyDescent="0.2">
      <c r="BJ15990" s="201"/>
    </row>
    <row r="15991" spans="62:62" x14ac:dyDescent="0.2">
      <c r="BJ15991" s="201"/>
    </row>
    <row r="15992" spans="62:62" x14ac:dyDescent="0.2">
      <c r="BJ15992" s="201"/>
    </row>
    <row r="15993" spans="62:62" x14ac:dyDescent="0.2">
      <c r="BJ15993" s="201"/>
    </row>
    <row r="15994" spans="62:62" x14ac:dyDescent="0.2">
      <c r="BJ15994" s="201"/>
    </row>
    <row r="15995" spans="62:62" x14ac:dyDescent="0.2">
      <c r="BJ15995" s="201"/>
    </row>
    <row r="15996" spans="62:62" x14ac:dyDescent="0.2">
      <c r="BJ15996" s="201"/>
    </row>
    <row r="15997" spans="62:62" x14ac:dyDescent="0.2">
      <c r="BJ15997" s="201"/>
    </row>
    <row r="15998" spans="62:62" x14ac:dyDescent="0.2">
      <c r="BJ15998" s="201"/>
    </row>
    <row r="15999" spans="62:62" x14ac:dyDescent="0.2">
      <c r="BJ15999" s="201"/>
    </row>
    <row r="16000" spans="62:62" x14ac:dyDescent="0.2">
      <c r="BJ16000" s="201"/>
    </row>
    <row r="16001" spans="62:62" x14ac:dyDescent="0.2">
      <c r="BJ16001" s="201"/>
    </row>
    <row r="16002" spans="62:62" x14ac:dyDescent="0.2">
      <c r="BJ16002" s="201"/>
    </row>
    <row r="16003" spans="62:62" x14ac:dyDescent="0.2">
      <c r="BJ16003" s="201"/>
    </row>
    <row r="16004" spans="62:62" x14ac:dyDescent="0.2">
      <c r="BJ16004" s="201"/>
    </row>
    <row r="16005" spans="62:62" x14ac:dyDescent="0.2">
      <c r="BJ16005" s="201"/>
    </row>
    <row r="16006" spans="62:62" x14ac:dyDescent="0.2">
      <c r="BJ16006" s="201"/>
    </row>
    <row r="16007" spans="62:62" x14ac:dyDescent="0.2">
      <c r="BJ16007" s="201"/>
    </row>
    <row r="16008" spans="62:62" x14ac:dyDescent="0.2">
      <c r="BJ16008" s="201"/>
    </row>
    <row r="16009" spans="62:62" x14ac:dyDescent="0.2">
      <c r="BJ16009" s="201"/>
    </row>
    <row r="16010" spans="62:62" x14ac:dyDescent="0.2">
      <c r="BJ16010" s="201"/>
    </row>
    <row r="16011" spans="62:62" x14ac:dyDescent="0.2">
      <c r="BJ16011" s="201"/>
    </row>
    <row r="16012" spans="62:62" x14ac:dyDescent="0.2">
      <c r="BJ16012" s="201"/>
    </row>
    <row r="16013" spans="62:62" x14ac:dyDescent="0.2">
      <c r="BJ16013" s="201"/>
    </row>
    <row r="16014" spans="62:62" x14ac:dyDescent="0.2">
      <c r="BJ16014" s="201"/>
    </row>
    <row r="16015" spans="62:62" x14ac:dyDescent="0.2">
      <c r="BJ16015" s="201"/>
    </row>
    <row r="16016" spans="62:62" x14ac:dyDescent="0.2">
      <c r="BJ16016" s="201"/>
    </row>
    <row r="16017" spans="62:62" x14ac:dyDescent="0.2">
      <c r="BJ16017" s="201"/>
    </row>
    <row r="16018" spans="62:62" x14ac:dyDescent="0.2">
      <c r="BJ16018" s="201"/>
    </row>
    <row r="16019" spans="62:62" x14ac:dyDescent="0.2">
      <c r="BJ16019" s="201"/>
    </row>
    <row r="16020" spans="62:62" x14ac:dyDescent="0.2">
      <c r="BJ16020" s="201"/>
    </row>
    <row r="16021" spans="62:62" x14ac:dyDescent="0.2">
      <c r="BJ16021" s="201"/>
    </row>
    <row r="16022" spans="62:62" x14ac:dyDescent="0.2">
      <c r="BJ16022" s="201"/>
    </row>
    <row r="16023" spans="62:62" x14ac:dyDescent="0.2">
      <c r="BJ16023" s="201"/>
    </row>
    <row r="16024" spans="62:62" x14ac:dyDescent="0.2">
      <c r="BJ16024" s="201"/>
    </row>
    <row r="16025" spans="62:62" x14ac:dyDescent="0.2">
      <c r="BJ16025" s="201"/>
    </row>
    <row r="16026" spans="62:62" x14ac:dyDescent="0.2">
      <c r="BJ16026" s="201"/>
    </row>
    <row r="16027" spans="62:62" x14ac:dyDescent="0.2">
      <c r="BJ16027" s="201"/>
    </row>
    <row r="16028" spans="62:62" x14ac:dyDescent="0.2">
      <c r="BJ16028" s="201"/>
    </row>
    <row r="16029" spans="62:62" x14ac:dyDescent="0.2">
      <c r="BJ16029" s="201"/>
    </row>
    <row r="16030" spans="62:62" x14ac:dyDescent="0.2">
      <c r="BJ16030" s="201"/>
    </row>
    <row r="16031" spans="62:62" x14ac:dyDescent="0.2">
      <c r="BJ16031" s="201"/>
    </row>
    <row r="16032" spans="62:62" x14ac:dyDescent="0.2">
      <c r="BJ16032" s="201"/>
    </row>
    <row r="16033" spans="62:62" x14ac:dyDescent="0.2">
      <c r="BJ16033" s="201"/>
    </row>
    <row r="16034" spans="62:62" x14ac:dyDescent="0.2">
      <c r="BJ16034" s="201"/>
    </row>
    <row r="16035" spans="62:62" x14ac:dyDescent="0.2">
      <c r="BJ16035" s="201"/>
    </row>
    <row r="16036" spans="62:62" x14ac:dyDescent="0.2">
      <c r="BJ16036" s="201"/>
    </row>
    <row r="16037" spans="62:62" x14ac:dyDescent="0.2">
      <c r="BJ16037" s="201"/>
    </row>
    <row r="16038" spans="62:62" x14ac:dyDescent="0.2">
      <c r="BJ16038" s="201"/>
    </row>
    <row r="16039" spans="62:62" x14ac:dyDescent="0.2">
      <c r="BJ16039" s="201"/>
    </row>
    <row r="16040" spans="62:62" x14ac:dyDescent="0.2">
      <c r="BJ16040" s="201"/>
    </row>
    <row r="16041" spans="62:62" x14ac:dyDescent="0.2">
      <c r="BJ16041" s="201"/>
    </row>
    <row r="16042" spans="62:62" x14ac:dyDescent="0.2">
      <c r="BJ16042" s="201"/>
    </row>
    <row r="16043" spans="62:62" x14ac:dyDescent="0.2">
      <c r="BJ16043" s="201"/>
    </row>
    <row r="16044" spans="62:62" x14ac:dyDescent="0.2">
      <c r="BJ16044" s="201"/>
    </row>
    <row r="16045" spans="62:62" x14ac:dyDescent="0.2">
      <c r="BJ16045" s="201"/>
    </row>
    <row r="16046" spans="62:62" x14ac:dyDescent="0.2">
      <c r="BJ16046" s="201"/>
    </row>
    <row r="16047" spans="62:62" x14ac:dyDescent="0.2">
      <c r="BJ16047" s="201"/>
    </row>
    <row r="16048" spans="62:62" x14ac:dyDescent="0.2">
      <c r="BJ16048" s="201"/>
    </row>
    <row r="16049" spans="62:62" x14ac:dyDescent="0.2">
      <c r="BJ16049" s="201"/>
    </row>
    <row r="16050" spans="62:62" x14ac:dyDescent="0.2">
      <c r="BJ16050" s="201"/>
    </row>
    <row r="16051" spans="62:62" x14ac:dyDescent="0.2">
      <c r="BJ16051" s="201"/>
    </row>
    <row r="16052" spans="62:62" x14ac:dyDescent="0.2">
      <c r="BJ16052" s="201"/>
    </row>
    <row r="16053" spans="62:62" x14ac:dyDescent="0.2">
      <c r="BJ16053" s="201"/>
    </row>
    <row r="16054" spans="62:62" x14ac:dyDescent="0.2">
      <c r="BJ16054" s="201"/>
    </row>
    <row r="16055" spans="62:62" x14ac:dyDescent="0.2">
      <c r="BJ16055" s="201"/>
    </row>
    <row r="16056" spans="62:62" x14ac:dyDescent="0.2">
      <c r="BJ16056" s="201"/>
    </row>
    <row r="16057" spans="62:62" x14ac:dyDescent="0.2">
      <c r="BJ16057" s="201"/>
    </row>
    <row r="16058" spans="62:62" x14ac:dyDescent="0.2">
      <c r="BJ16058" s="201"/>
    </row>
    <row r="16059" spans="62:62" x14ac:dyDescent="0.2">
      <c r="BJ16059" s="201"/>
    </row>
    <row r="16060" spans="62:62" x14ac:dyDescent="0.2">
      <c r="BJ16060" s="201"/>
    </row>
    <row r="16061" spans="62:62" x14ac:dyDescent="0.2">
      <c r="BJ16061" s="201"/>
    </row>
    <row r="16062" spans="62:62" x14ac:dyDescent="0.2">
      <c r="BJ16062" s="201"/>
    </row>
    <row r="16063" spans="62:62" x14ac:dyDescent="0.2">
      <c r="BJ16063" s="201"/>
    </row>
    <row r="16064" spans="62:62" x14ac:dyDescent="0.2">
      <c r="BJ16064" s="201"/>
    </row>
    <row r="16065" spans="62:62" x14ac:dyDescent="0.2">
      <c r="BJ16065" s="201"/>
    </row>
    <row r="16066" spans="62:62" x14ac:dyDescent="0.2">
      <c r="BJ16066" s="201"/>
    </row>
    <row r="16067" spans="62:62" x14ac:dyDescent="0.2">
      <c r="BJ16067" s="201"/>
    </row>
    <row r="16068" spans="62:62" x14ac:dyDescent="0.2">
      <c r="BJ16068" s="201"/>
    </row>
    <row r="16069" spans="62:62" x14ac:dyDescent="0.2">
      <c r="BJ16069" s="201"/>
    </row>
    <row r="16070" spans="62:62" x14ac:dyDescent="0.2">
      <c r="BJ16070" s="201"/>
    </row>
    <row r="16071" spans="62:62" x14ac:dyDescent="0.2">
      <c r="BJ16071" s="201"/>
    </row>
    <row r="16072" spans="62:62" x14ac:dyDescent="0.2">
      <c r="BJ16072" s="201"/>
    </row>
    <row r="16073" spans="62:62" x14ac:dyDescent="0.2">
      <c r="BJ16073" s="201"/>
    </row>
    <row r="16074" spans="62:62" x14ac:dyDescent="0.2">
      <c r="BJ16074" s="201"/>
    </row>
    <row r="16075" spans="62:62" x14ac:dyDescent="0.2">
      <c r="BJ16075" s="201"/>
    </row>
    <row r="16076" spans="62:62" x14ac:dyDescent="0.2">
      <c r="BJ16076" s="201"/>
    </row>
    <row r="16077" spans="62:62" x14ac:dyDescent="0.2">
      <c r="BJ16077" s="201"/>
    </row>
    <row r="16078" spans="62:62" x14ac:dyDescent="0.2">
      <c r="BJ16078" s="201"/>
    </row>
    <row r="16079" spans="62:62" x14ac:dyDescent="0.2">
      <c r="BJ16079" s="201"/>
    </row>
    <row r="16080" spans="62:62" x14ac:dyDescent="0.2">
      <c r="BJ16080" s="201"/>
    </row>
    <row r="16081" spans="62:62" x14ac:dyDescent="0.2">
      <c r="BJ16081" s="201"/>
    </row>
    <row r="16082" spans="62:62" x14ac:dyDescent="0.2">
      <c r="BJ16082" s="201"/>
    </row>
    <row r="16083" spans="62:62" x14ac:dyDescent="0.2">
      <c r="BJ16083" s="201"/>
    </row>
    <row r="16084" spans="62:62" x14ac:dyDescent="0.2">
      <c r="BJ16084" s="201"/>
    </row>
    <row r="16085" spans="62:62" x14ac:dyDescent="0.2">
      <c r="BJ16085" s="201"/>
    </row>
    <row r="16086" spans="62:62" x14ac:dyDescent="0.2">
      <c r="BJ16086" s="201"/>
    </row>
    <row r="16087" spans="62:62" x14ac:dyDescent="0.2">
      <c r="BJ16087" s="201"/>
    </row>
    <row r="16088" spans="62:62" x14ac:dyDescent="0.2">
      <c r="BJ16088" s="201"/>
    </row>
    <row r="16089" spans="62:62" x14ac:dyDescent="0.2">
      <c r="BJ16089" s="201"/>
    </row>
    <row r="16090" spans="62:62" x14ac:dyDescent="0.2">
      <c r="BJ16090" s="201"/>
    </row>
    <row r="16091" spans="62:62" x14ac:dyDescent="0.2">
      <c r="BJ16091" s="201"/>
    </row>
    <row r="16092" spans="62:62" x14ac:dyDescent="0.2">
      <c r="BJ16092" s="201"/>
    </row>
    <row r="16093" spans="62:62" x14ac:dyDescent="0.2">
      <c r="BJ16093" s="201"/>
    </row>
    <row r="16094" spans="62:62" x14ac:dyDescent="0.2">
      <c r="BJ16094" s="201"/>
    </row>
    <row r="16095" spans="62:62" x14ac:dyDescent="0.2">
      <c r="BJ16095" s="201"/>
    </row>
    <row r="16096" spans="62:62" x14ac:dyDescent="0.2">
      <c r="BJ16096" s="201"/>
    </row>
    <row r="16097" spans="62:62" x14ac:dyDescent="0.2">
      <c r="BJ16097" s="201"/>
    </row>
    <row r="16098" spans="62:62" x14ac:dyDescent="0.2">
      <c r="BJ16098" s="201"/>
    </row>
    <row r="16099" spans="62:62" x14ac:dyDescent="0.2">
      <c r="BJ16099" s="201"/>
    </row>
    <row r="16100" spans="62:62" x14ac:dyDescent="0.2">
      <c r="BJ16100" s="201"/>
    </row>
    <row r="16101" spans="62:62" x14ac:dyDescent="0.2">
      <c r="BJ16101" s="201"/>
    </row>
    <row r="16102" spans="62:62" x14ac:dyDescent="0.2">
      <c r="BJ16102" s="201"/>
    </row>
    <row r="16103" spans="62:62" x14ac:dyDescent="0.2">
      <c r="BJ16103" s="201"/>
    </row>
    <row r="16104" spans="62:62" x14ac:dyDescent="0.2">
      <c r="BJ16104" s="201"/>
    </row>
    <row r="16105" spans="62:62" x14ac:dyDescent="0.2">
      <c r="BJ16105" s="201"/>
    </row>
    <row r="16106" spans="62:62" x14ac:dyDescent="0.2">
      <c r="BJ16106" s="201"/>
    </row>
    <row r="16107" spans="62:62" x14ac:dyDescent="0.2">
      <c r="BJ16107" s="201"/>
    </row>
    <row r="16108" spans="62:62" x14ac:dyDescent="0.2">
      <c r="BJ16108" s="201"/>
    </row>
    <row r="16109" spans="62:62" x14ac:dyDescent="0.2">
      <c r="BJ16109" s="201"/>
    </row>
    <row r="16110" spans="62:62" x14ac:dyDescent="0.2">
      <c r="BJ16110" s="201"/>
    </row>
    <row r="16111" spans="62:62" x14ac:dyDescent="0.2">
      <c r="BJ16111" s="201"/>
    </row>
    <row r="16112" spans="62:62" x14ac:dyDescent="0.2">
      <c r="BJ16112" s="201"/>
    </row>
    <row r="16113" spans="62:62" x14ac:dyDescent="0.2">
      <c r="BJ16113" s="201"/>
    </row>
    <row r="16114" spans="62:62" x14ac:dyDescent="0.2">
      <c r="BJ16114" s="201"/>
    </row>
    <row r="16115" spans="62:62" x14ac:dyDescent="0.2">
      <c r="BJ16115" s="201"/>
    </row>
    <row r="16116" spans="62:62" x14ac:dyDescent="0.2">
      <c r="BJ16116" s="201"/>
    </row>
    <row r="16117" spans="62:62" x14ac:dyDescent="0.2">
      <c r="BJ16117" s="201"/>
    </row>
    <row r="16118" spans="62:62" x14ac:dyDescent="0.2">
      <c r="BJ16118" s="201"/>
    </row>
    <row r="16119" spans="62:62" x14ac:dyDescent="0.2">
      <c r="BJ16119" s="201"/>
    </row>
    <row r="16120" spans="62:62" x14ac:dyDescent="0.2">
      <c r="BJ16120" s="201"/>
    </row>
    <row r="16121" spans="62:62" x14ac:dyDescent="0.2">
      <c r="BJ16121" s="201"/>
    </row>
    <row r="16122" spans="62:62" x14ac:dyDescent="0.2">
      <c r="BJ16122" s="201"/>
    </row>
    <row r="16123" spans="62:62" x14ac:dyDescent="0.2">
      <c r="BJ16123" s="201"/>
    </row>
    <row r="16124" spans="62:62" x14ac:dyDescent="0.2">
      <c r="BJ16124" s="201"/>
    </row>
    <row r="16125" spans="62:62" x14ac:dyDescent="0.2">
      <c r="BJ16125" s="201"/>
    </row>
    <row r="16126" spans="62:62" x14ac:dyDescent="0.2">
      <c r="BJ16126" s="201"/>
    </row>
    <row r="16127" spans="62:62" x14ac:dyDescent="0.2">
      <c r="BJ16127" s="201"/>
    </row>
    <row r="16128" spans="62:62" x14ac:dyDescent="0.2">
      <c r="BJ16128" s="201"/>
    </row>
    <row r="16129" spans="62:62" x14ac:dyDescent="0.2">
      <c r="BJ16129" s="201"/>
    </row>
    <row r="16130" spans="62:62" x14ac:dyDescent="0.2">
      <c r="BJ16130" s="201"/>
    </row>
    <row r="16131" spans="62:62" x14ac:dyDescent="0.2">
      <c r="BJ16131" s="201"/>
    </row>
    <row r="16132" spans="62:62" x14ac:dyDescent="0.2">
      <c r="BJ16132" s="201"/>
    </row>
    <row r="16133" spans="62:62" x14ac:dyDescent="0.2">
      <c r="BJ16133" s="201"/>
    </row>
    <row r="16134" spans="62:62" x14ac:dyDescent="0.2">
      <c r="BJ16134" s="201"/>
    </row>
    <row r="16135" spans="62:62" x14ac:dyDescent="0.2">
      <c r="BJ16135" s="201"/>
    </row>
    <row r="16136" spans="62:62" x14ac:dyDescent="0.2">
      <c r="BJ16136" s="201"/>
    </row>
    <row r="16137" spans="62:62" x14ac:dyDescent="0.2">
      <c r="BJ16137" s="201"/>
    </row>
    <row r="16138" spans="62:62" x14ac:dyDescent="0.2">
      <c r="BJ16138" s="201"/>
    </row>
    <row r="16139" spans="62:62" x14ac:dyDescent="0.2">
      <c r="BJ16139" s="201"/>
    </row>
    <row r="16140" spans="62:62" x14ac:dyDescent="0.2">
      <c r="BJ16140" s="201"/>
    </row>
    <row r="16141" spans="62:62" x14ac:dyDescent="0.2">
      <c r="BJ16141" s="201"/>
    </row>
    <row r="16142" spans="62:62" x14ac:dyDescent="0.2">
      <c r="BJ16142" s="201"/>
    </row>
    <row r="16143" spans="62:62" x14ac:dyDescent="0.2">
      <c r="BJ16143" s="201"/>
    </row>
    <row r="16144" spans="62:62" x14ac:dyDescent="0.2">
      <c r="BJ16144" s="201"/>
    </row>
    <row r="16145" spans="62:62" x14ac:dyDescent="0.2">
      <c r="BJ16145" s="201"/>
    </row>
    <row r="16146" spans="62:62" x14ac:dyDescent="0.2">
      <c r="BJ16146" s="201"/>
    </row>
    <row r="16147" spans="62:62" x14ac:dyDescent="0.2">
      <c r="BJ16147" s="201"/>
    </row>
    <row r="16148" spans="62:62" x14ac:dyDescent="0.2">
      <c r="BJ16148" s="201"/>
    </row>
    <row r="16149" spans="62:62" x14ac:dyDescent="0.2">
      <c r="BJ16149" s="201"/>
    </row>
    <row r="16150" spans="62:62" x14ac:dyDescent="0.2">
      <c r="BJ16150" s="201"/>
    </row>
    <row r="16151" spans="62:62" x14ac:dyDescent="0.2">
      <c r="BJ16151" s="201"/>
    </row>
    <row r="16152" spans="62:62" x14ac:dyDescent="0.2">
      <c r="BJ16152" s="201"/>
    </row>
    <row r="16153" spans="62:62" x14ac:dyDescent="0.2">
      <c r="BJ16153" s="201"/>
    </row>
    <row r="16154" spans="62:62" x14ac:dyDescent="0.2">
      <c r="BJ16154" s="201"/>
    </row>
    <row r="16155" spans="62:62" x14ac:dyDescent="0.2">
      <c r="BJ16155" s="201"/>
    </row>
    <row r="16156" spans="62:62" x14ac:dyDescent="0.2">
      <c r="BJ16156" s="201"/>
    </row>
    <row r="16157" spans="62:62" x14ac:dyDescent="0.2">
      <c r="BJ16157" s="201"/>
    </row>
    <row r="16158" spans="62:62" x14ac:dyDescent="0.2">
      <c r="BJ16158" s="201"/>
    </row>
    <row r="16159" spans="62:62" x14ac:dyDescent="0.2">
      <c r="BJ16159" s="201"/>
    </row>
    <row r="16160" spans="62:62" x14ac:dyDescent="0.2">
      <c r="BJ16160" s="201"/>
    </row>
    <row r="16161" spans="62:62" x14ac:dyDescent="0.2">
      <c r="BJ16161" s="201"/>
    </row>
    <row r="16162" spans="62:62" x14ac:dyDescent="0.2">
      <c r="BJ16162" s="201"/>
    </row>
    <row r="16163" spans="62:62" x14ac:dyDescent="0.2">
      <c r="BJ16163" s="201"/>
    </row>
    <row r="16164" spans="62:62" x14ac:dyDescent="0.2">
      <c r="BJ16164" s="201"/>
    </row>
    <row r="16165" spans="62:62" x14ac:dyDescent="0.2">
      <c r="BJ16165" s="201"/>
    </row>
    <row r="16166" spans="62:62" x14ac:dyDescent="0.2">
      <c r="BJ16166" s="201"/>
    </row>
    <row r="16167" spans="62:62" x14ac:dyDescent="0.2">
      <c r="BJ16167" s="201"/>
    </row>
    <row r="16168" spans="62:62" x14ac:dyDescent="0.2">
      <c r="BJ16168" s="201"/>
    </row>
    <row r="16169" spans="62:62" x14ac:dyDescent="0.2">
      <c r="BJ16169" s="201"/>
    </row>
    <row r="16170" spans="62:62" x14ac:dyDescent="0.2">
      <c r="BJ16170" s="201"/>
    </row>
    <row r="16171" spans="62:62" x14ac:dyDescent="0.2">
      <c r="BJ16171" s="201"/>
    </row>
    <row r="16172" spans="62:62" x14ac:dyDescent="0.2">
      <c r="BJ16172" s="201"/>
    </row>
    <row r="16173" spans="62:62" x14ac:dyDescent="0.2">
      <c r="BJ16173" s="201"/>
    </row>
    <row r="16174" spans="62:62" x14ac:dyDescent="0.2">
      <c r="BJ16174" s="201"/>
    </row>
    <row r="16175" spans="62:62" x14ac:dyDescent="0.2">
      <c r="BJ16175" s="201"/>
    </row>
    <row r="16176" spans="62:62" x14ac:dyDescent="0.2">
      <c r="BJ16176" s="201"/>
    </row>
    <row r="16177" spans="62:62" x14ac:dyDescent="0.2">
      <c r="BJ16177" s="201"/>
    </row>
    <row r="16178" spans="62:62" x14ac:dyDescent="0.2">
      <c r="BJ16178" s="201"/>
    </row>
    <row r="16179" spans="62:62" x14ac:dyDescent="0.2">
      <c r="BJ16179" s="201"/>
    </row>
    <row r="16180" spans="62:62" x14ac:dyDescent="0.2">
      <c r="BJ16180" s="201"/>
    </row>
    <row r="16181" spans="62:62" x14ac:dyDescent="0.2">
      <c r="BJ16181" s="201"/>
    </row>
    <row r="16182" spans="62:62" x14ac:dyDescent="0.2">
      <c r="BJ16182" s="201"/>
    </row>
    <row r="16183" spans="62:62" x14ac:dyDescent="0.2">
      <c r="BJ16183" s="201"/>
    </row>
    <row r="16184" spans="62:62" x14ac:dyDescent="0.2">
      <c r="BJ16184" s="201"/>
    </row>
    <row r="16185" spans="62:62" x14ac:dyDescent="0.2">
      <c r="BJ16185" s="201"/>
    </row>
    <row r="16186" spans="62:62" x14ac:dyDescent="0.2">
      <c r="BJ16186" s="201"/>
    </row>
    <row r="16187" spans="62:62" x14ac:dyDescent="0.2">
      <c r="BJ16187" s="201"/>
    </row>
    <row r="16188" spans="62:62" x14ac:dyDescent="0.2">
      <c r="BJ16188" s="201"/>
    </row>
    <row r="16189" spans="62:62" x14ac:dyDescent="0.2">
      <c r="BJ16189" s="201"/>
    </row>
    <row r="16190" spans="62:62" x14ac:dyDescent="0.2">
      <c r="BJ16190" s="201"/>
    </row>
    <row r="16191" spans="62:62" x14ac:dyDescent="0.2">
      <c r="BJ16191" s="201"/>
    </row>
    <row r="16192" spans="62:62" x14ac:dyDescent="0.2">
      <c r="BJ16192" s="201"/>
    </row>
    <row r="16193" spans="62:62" x14ac:dyDescent="0.2">
      <c r="BJ16193" s="201"/>
    </row>
    <row r="16194" spans="62:62" x14ac:dyDescent="0.2">
      <c r="BJ16194" s="201"/>
    </row>
    <row r="16195" spans="62:62" x14ac:dyDescent="0.2">
      <c r="BJ16195" s="201"/>
    </row>
    <row r="16196" spans="62:62" x14ac:dyDescent="0.2">
      <c r="BJ16196" s="201"/>
    </row>
    <row r="16197" spans="62:62" x14ac:dyDescent="0.2">
      <c r="BJ16197" s="201"/>
    </row>
    <row r="16198" spans="62:62" x14ac:dyDescent="0.2">
      <c r="BJ16198" s="201"/>
    </row>
    <row r="16199" spans="62:62" x14ac:dyDescent="0.2">
      <c r="BJ16199" s="201"/>
    </row>
    <row r="16200" spans="62:62" x14ac:dyDescent="0.2">
      <c r="BJ16200" s="201"/>
    </row>
    <row r="16201" spans="62:62" x14ac:dyDescent="0.2">
      <c r="BJ16201" s="201"/>
    </row>
    <row r="16202" spans="62:62" x14ac:dyDescent="0.2">
      <c r="BJ16202" s="201"/>
    </row>
    <row r="16203" spans="62:62" x14ac:dyDescent="0.2">
      <c r="BJ16203" s="201"/>
    </row>
    <row r="16204" spans="62:62" x14ac:dyDescent="0.2">
      <c r="BJ16204" s="201"/>
    </row>
    <row r="16205" spans="62:62" x14ac:dyDescent="0.2">
      <c r="BJ16205" s="201"/>
    </row>
    <row r="16206" spans="62:62" x14ac:dyDescent="0.2">
      <c r="BJ16206" s="201"/>
    </row>
    <row r="16207" spans="62:62" x14ac:dyDescent="0.2">
      <c r="BJ16207" s="201"/>
    </row>
    <row r="16208" spans="62:62" x14ac:dyDescent="0.2">
      <c r="BJ16208" s="201"/>
    </row>
    <row r="16209" spans="62:62" x14ac:dyDescent="0.2">
      <c r="BJ16209" s="201"/>
    </row>
    <row r="16210" spans="62:62" x14ac:dyDescent="0.2">
      <c r="BJ16210" s="201"/>
    </row>
    <row r="16211" spans="62:62" x14ac:dyDescent="0.2">
      <c r="BJ16211" s="201"/>
    </row>
    <row r="16212" spans="62:62" x14ac:dyDescent="0.2">
      <c r="BJ16212" s="201"/>
    </row>
    <row r="16213" spans="62:62" x14ac:dyDescent="0.2">
      <c r="BJ16213" s="201"/>
    </row>
    <row r="16214" spans="62:62" x14ac:dyDescent="0.2">
      <c r="BJ16214" s="201"/>
    </row>
    <row r="16215" spans="62:62" x14ac:dyDescent="0.2">
      <c r="BJ16215" s="201"/>
    </row>
    <row r="16216" spans="62:62" x14ac:dyDescent="0.2">
      <c r="BJ16216" s="201"/>
    </row>
    <row r="16217" spans="62:62" x14ac:dyDescent="0.2">
      <c r="BJ16217" s="201"/>
    </row>
    <row r="16218" spans="62:62" x14ac:dyDescent="0.2">
      <c r="BJ16218" s="201"/>
    </row>
    <row r="16219" spans="62:62" x14ac:dyDescent="0.2">
      <c r="BJ16219" s="201"/>
    </row>
    <row r="16220" spans="62:62" x14ac:dyDescent="0.2">
      <c r="BJ16220" s="201"/>
    </row>
    <row r="16221" spans="62:62" x14ac:dyDescent="0.2">
      <c r="BJ16221" s="201"/>
    </row>
    <row r="16222" spans="62:62" x14ac:dyDescent="0.2">
      <c r="BJ16222" s="201"/>
    </row>
    <row r="16223" spans="62:62" x14ac:dyDescent="0.2">
      <c r="BJ16223" s="201"/>
    </row>
    <row r="16224" spans="62:62" x14ac:dyDescent="0.2">
      <c r="BJ16224" s="201"/>
    </row>
    <row r="16225" spans="62:62" x14ac:dyDescent="0.2">
      <c r="BJ16225" s="201"/>
    </row>
    <row r="16226" spans="62:62" x14ac:dyDescent="0.2">
      <c r="BJ16226" s="201"/>
    </row>
    <row r="16227" spans="62:62" x14ac:dyDescent="0.2">
      <c r="BJ16227" s="201"/>
    </row>
    <row r="16228" spans="62:62" x14ac:dyDescent="0.2">
      <c r="BJ16228" s="201"/>
    </row>
    <row r="16229" spans="62:62" x14ac:dyDescent="0.2">
      <c r="BJ16229" s="201"/>
    </row>
    <row r="16230" spans="62:62" x14ac:dyDescent="0.2">
      <c r="BJ16230" s="201"/>
    </row>
    <row r="16231" spans="62:62" x14ac:dyDescent="0.2">
      <c r="BJ16231" s="201"/>
    </row>
    <row r="16232" spans="62:62" x14ac:dyDescent="0.2">
      <c r="BJ16232" s="201"/>
    </row>
    <row r="16233" spans="62:62" x14ac:dyDescent="0.2">
      <c r="BJ16233" s="201"/>
    </row>
    <row r="16234" spans="62:62" x14ac:dyDescent="0.2">
      <c r="BJ16234" s="201"/>
    </row>
    <row r="16235" spans="62:62" x14ac:dyDescent="0.2">
      <c r="BJ16235" s="201"/>
    </row>
    <row r="16236" spans="62:62" x14ac:dyDescent="0.2">
      <c r="BJ16236" s="201"/>
    </row>
    <row r="16237" spans="62:62" x14ac:dyDescent="0.2">
      <c r="BJ16237" s="201"/>
    </row>
    <row r="16238" spans="62:62" x14ac:dyDescent="0.2">
      <c r="BJ16238" s="201"/>
    </row>
    <row r="16239" spans="62:62" x14ac:dyDescent="0.2">
      <c r="BJ16239" s="201"/>
    </row>
    <row r="16240" spans="62:62" x14ac:dyDescent="0.2">
      <c r="BJ16240" s="201"/>
    </row>
    <row r="16241" spans="62:62" x14ac:dyDescent="0.2">
      <c r="BJ16241" s="201"/>
    </row>
    <row r="16242" spans="62:62" x14ac:dyDescent="0.2">
      <c r="BJ16242" s="201"/>
    </row>
    <row r="16243" spans="62:62" x14ac:dyDescent="0.2">
      <c r="BJ16243" s="201"/>
    </row>
    <row r="16244" spans="62:62" x14ac:dyDescent="0.2">
      <c r="BJ16244" s="201"/>
    </row>
    <row r="16245" spans="62:62" x14ac:dyDescent="0.2">
      <c r="BJ16245" s="201"/>
    </row>
    <row r="16246" spans="62:62" x14ac:dyDescent="0.2">
      <c r="BJ16246" s="201"/>
    </row>
    <row r="16247" spans="62:62" x14ac:dyDescent="0.2">
      <c r="BJ16247" s="201"/>
    </row>
    <row r="16248" spans="62:62" x14ac:dyDescent="0.2">
      <c r="BJ16248" s="201"/>
    </row>
    <row r="16249" spans="62:62" x14ac:dyDescent="0.2">
      <c r="BJ16249" s="201"/>
    </row>
    <row r="16250" spans="62:62" x14ac:dyDescent="0.2">
      <c r="BJ16250" s="201"/>
    </row>
    <row r="16251" spans="62:62" x14ac:dyDescent="0.2">
      <c r="BJ16251" s="201"/>
    </row>
    <row r="16252" spans="62:62" x14ac:dyDescent="0.2">
      <c r="BJ16252" s="201"/>
    </row>
    <row r="16253" spans="62:62" x14ac:dyDescent="0.2">
      <c r="BJ16253" s="201"/>
    </row>
    <row r="16254" spans="62:62" x14ac:dyDescent="0.2">
      <c r="BJ16254" s="201"/>
    </row>
    <row r="16255" spans="62:62" x14ac:dyDescent="0.2">
      <c r="BJ16255" s="201"/>
    </row>
    <row r="16256" spans="62:62" x14ac:dyDescent="0.2">
      <c r="BJ16256" s="201"/>
    </row>
    <row r="16257" spans="62:62" x14ac:dyDescent="0.2">
      <c r="BJ16257" s="201"/>
    </row>
    <row r="16258" spans="62:62" x14ac:dyDescent="0.2">
      <c r="BJ16258" s="201"/>
    </row>
    <row r="16259" spans="62:62" x14ac:dyDescent="0.2">
      <c r="BJ16259" s="201"/>
    </row>
    <row r="16260" spans="62:62" x14ac:dyDescent="0.2">
      <c r="BJ16260" s="201"/>
    </row>
    <row r="16261" spans="62:62" x14ac:dyDescent="0.2">
      <c r="BJ16261" s="201"/>
    </row>
    <row r="16262" spans="62:62" x14ac:dyDescent="0.2">
      <c r="BJ16262" s="201"/>
    </row>
    <row r="16263" spans="62:62" x14ac:dyDescent="0.2">
      <c r="BJ16263" s="201"/>
    </row>
    <row r="16264" spans="62:62" x14ac:dyDescent="0.2">
      <c r="BJ16264" s="201"/>
    </row>
    <row r="16265" spans="62:62" x14ac:dyDescent="0.2">
      <c r="BJ16265" s="201"/>
    </row>
    <row r="16266" spans="62:62" x14ac:dyDescent="0.2">
      <c r="BJ16266" s="201"/>
    </row>
    <row r="16267" spans="62:62" x14ac:dyDescent="0.2">
      <c r="BJ16267" s="201"/>
    </row>
    <row r="16268" spans="62:62" x14ac:dyDescent="0.2">
      <c r="BJ16268" s="201"/>
    </row>
    <row r="16269" spans="62:62" x14ac:dyDescent="0.2">
      <c r="BJ16269" s="201"/>
    </row>
    <row r="16270" spans="62:62" x14ac:dyDescent="0.2">
      <c r="BJ16270" s="201"/>
    </row>
    <row r="16271" spans="62:62" x14ac:dyDescent="0.2">
      <c r="BJ16271" s="201"/>
    </row>
    <row r="16272" spans="62:62" x14ac:dyDescent="0.2">
      <c r="BJ16272" s="201"/>
    </row>
    <row r="16273" spans="62:62" x14ac:dyDescent="0.2">
      <c r="BJ16273" s="201"/>
    </row>
    <row r="16274" spans="62:62" x14ac:dyDescent="0.2">
      <c r="BJ16274" s="201"/>
    </row>
    <row r="16275" spans="62:62" x14ac:dyDescent="0.2">
      <c r="BJ16275" s="201"/>
    </row>
    <row r="16276" spans="62:62" x14ac:dyDescent="0.2">
      <c r="BJ16276" s="201"/>
    </row>
    <row r="16277" spans="62:62" x14ac:dyDescent="0.2">
      <c r="BJ16277" s="201"/>
    </row>
    <row r="16278" spans="62:62" x14ac:dyDescent="0.2">
      <c r="BJ16278" s="201"/>
    </row>
    <row r="16279" spans="62:62" x14ac:dyDescent="0.2">
      <c r="BJ16279" s="201"/>
    </row>
    <row r="16280" spans="62:62" x14ac:dyDescent="0.2">
      <c r="BJ16280" s="201"/>
    </row>
    <row r="16281" spans="62:62" x14ac:dyDescent="0.2">
      <c r="BJ16281" s="201"/>
    </row>
    <row r="16282" spans="62:62" x14ac:dyDescent="0.2">
      <c r="BJ16282" s="201"/>
    </row>
    <row r="16283" spans="62:62" x14ac:dyDescent="0.2">
      <c r="BJ16283" s="201"/>
    </row>
    <row r="16284" spans="62:62" x14ac:dyDescent="0.2">
      <c r="BJ16284" s="201"/>
    </row>
    <row r="16285" spans="62:62" x14ac:dyDescent="0.2">
      <c r="BJ16285" s="201"/>
    </row>
    <row r="16286" spans="62:62" x14ac:dyDescent="0.2">
      <c r="BJ16286" s="201"/>
    </row>
    <row r="16287" spans="62:62" x14ac:dyDescent="0.2">
      <c r="BJ16287" s="201"/>
    </row>
    <row r="16288" spans="62:62" x14ac:dyDescent="0.2">
      <c r="BJ16288" s="201"/>
    </row>
    <row r="16289" spans="62:62" x14ac:dyDescent="0.2">
      <c r="BJ16289" s="201"/>
    </row>
    <row r="16290" spans="62:62" x14ac:dyDescent="0.2">
      <c r="BJ16290" s="201"/>
    </row>
    <row r="16291" spans="62:62" x14ac:dyDescent="0.2">
      <c r="BJ16291" s="201"/>
    </row>
    <row r="16292" spans="62:62" x14ac:dyDescent="0.2">
      <c r="BJ16292" s="201"/>
    </row>
    <row r="16293" spans="62:62" x14ac:dyDescent="0.2">
      <c r="BJ16293" s="201"/>
    </row>
    <row r="16294" spans="62:62" x14ac:dyDescent="0.2">
      <c r="BJ16294" s="201"/>
    </row>
    <row r="16295" spans="62:62" x14ac:dyDescent="0.2">
      <c r="BJ16295" s="201"/>
    </row>
    <row r="16296" spans="62:62" x14ac:dyDescent="0.2">
      <c r="BJ16296" s="201"/>
    </row>
    <row r="16297" spans="62:62" x14ac:dyDescent="0.2">
      <c r="BJ16297" s="201"/>
    </row>
    <row r="16298" spans="62:62" x14ac:dyDescent="0.2">
      <c r="BJ16298" s="201"/>
    </row>
    <row r="16299" spans="62:62" x14ac:dyDescent="0.2">
      <c r="BJ16299" s="201"/>
    </row>
    <row r="16300" spans="62:62" x14ac:dyDescent="0.2">
      <c r="BJ16300" s="201"/>
    </row>
    <row r="16301" spans="62:62" x14ac:dyDescent="0.2">
      <c r="BJ16301" s="201"/>
    </row>
    <row r="16302" spans="62:62" x14ac:dyDescent="0.2">
      <c r="BJ16302" s="201"/>
    </row>
    <row r="16303" spans="62:62" x14ac:dyDescent="0.2">
      <c r="BJ16303" s="201"/>
    </row>
    <row r="16304" spans="62:62" x14ac:dyDescent="0.2">
      <c r="BJ16304" s="201"/>
    </row>
    <row r="16305" spans="62:62" x14ac:dyDescent="0.2">
      <c r="BJ16305" s="201"/>
    </row>
    <row r="16306" spans="62:62" x14ac:dyDescent="0.2">
      <c r="BJ16306" s="201"/>
    </row>
    <row r="16307" spans="62:62" x14ac:dyDescent="0.2">
      <c r="BJ16307" s="201"/>
    </row>
    <row r="16308" spans="62:62" x14ac:dyDescent="0.2">
      <c r="BJ16308" s="201"/>
    </row>
    <row r="16309" spans="62:62" x14ac:dyDescent="0.2">
      <c r="BJ16309" s="201"/>
    </row>
    <row r="16310" spans="62:62" x14ac:dyDescent="0.2">
      <c r="BJ16310" s="201"/>
    </row>
    <row r="16311" spans="62:62" x14ac:dyDescent="0.2">
      <c r="BJ16311" s="201"/>
    </row>
    <row r="16312" spans="62:62" x14ac:dyDescent="0.2">
      <c r="BJ16312" s="201"/>
    </row>
    <row r="16313" spans="62:62" x14ac:dyDescent="0.2">
      <c r="BJ16313" s="201"/>
    </row>
    <row r="16314" spans="62:62" x14ac:dyDescent="0.2">
      <c r="BJ16314" s="201"/>
    </row>
    <row r="16315" spans="62:62" x14ac:dyDescent="0.2">
      <c r="BJ16315" s="201"/>
    </row>
    <row r="16316" spans="62:62" x14ac:dyDescent="0.2">
      <c r="BJ16316" s="201"/>
    </row>
    <row r="16317" spans="62:62" x14ac:dyDescent="0.2">
      <c r="BJ16317" s="201"/>
    </row>
    <row r="16318" spans="62:62" x14ac:dyDescent="0.2">
      <c r="BJ16318" s="201"/>
    </row>
    <row r="16319" spans="62:62" x14ac:dyDescent="0.2">
      <c r="BJ16319" s="201"/>
    </row>
    <row r="16320" spans="62:62" x14ac:dyDescent="0.2">
      <c r="BJ16320" s="201"/>
    </row>
    <row r="16321" spans="62:62" x14ac:dyDescent="0.2">
      <c r="BJ16321" s="201"/>
    </row>
    <row r="16322" spans="62:62" x14ac:dyDescent="0.2">
      <c r="BJ16322" s="201"/>
    </row>
    <row r="16323" spans="62:62" x14ac:dyDescent="0.2">
      <c r="BJ16323" s="201"/>
    </row>
    <row r="16324" spans="62:62" x14ac:dyDescent="0.2">
      <c r="BJ16324" s="201"/>
    </row>
    <row r="16325" spans="62:62" x14ac:dyDescent="0.2">
      <c r="BJ16325" s="201"/>
    </row>
    <row r="16326" spans="62:62" x14ac:dyDescent="0.2">
      <c r="BJ16326" s="201"/>
    </row>
    <row r="16327" spans="62:62" x14ac:dyDescent="0.2">
      <c r="BJ16327" s="201"/>
    </row>
    <row r="16328" spans="62:62" x14ac:dyDescent="0.2">
      <c r="BJ16328" s="201"/>
    </row>
    <row r="16329" spans="62:62" x14ac:dyDescent="0.2">
      <c r="BJ16329" s="201"/>
    </row>
    <row r="16330" spans="62:62" x14ac:dyDescent="0.2">
      <c r="BJ16330" s="201"/>
    </row>
    <row r="16331" spans="62:62" x14ac:dyDescent="0.2">
      <c r="BJ16331" s="201"/>
    </row>
    <row r="16332" spans="62:62" x14ac:dyDescent="0.2">
      <c r="BJ16332" s="201"/>
    </row>
    <row r="16333" spans="62:62" x14ac:dyDescent="0.2">
      <c r="BJ16333" s="201"/>
    </row>
    <row r="16334" spans="62:62" x14ac:dyDescent="0.2">
      <c r="BJ16334" s="201"/>
    </row>
    <row r="16335" spans="62:62" x14ac:dyDescent="0.2">
      <c r="BJ16335" s="201"/>
    </row>
    <row r="16336" spans="62:62" x14ac:dyDescent="0.2">
      <c r="BJ16336" s="201"/>
    </row>
    <row r="16337" spans="62:62" x14ac:dyDescent="0.2">
      <c r="BJ16337" s="201"/>
    </row>
    <row r="16338" spans="62:62" x14ac:dyDescent="0.2">
      <c r="BJ16338" s="201"/>
    </row>
    <row r="16339" spans="62:62" x14ac:dyDescent="0.2">
      <c r="BJ16339" s="201"/>
    </row>
    <row r="16340" spans="62:62" x14ac:dyDescent="0.2">
      <c r="BJ16340" s="201"/>
    </row>
    <row r="16341" spans="62:62" x14ac:dyDescent="0.2">
      <c r="BJ16341" s="201"/>
    </row>
    <row r="16342" spans="62:62" x14ac:dyDescent="0.2">
      <c r="BJ16342" s="201"/>
    </row>
    <row r="16343" spans="62:62" x14ac:dyDescent="0.2">
      <c r="BJ16343" s="201"/>
    </row>
    <row r="16344" spans="62:62" x14ac:dyDescent="0.2">
      <c r="BJ16344" s="201"/>
    </row>
    <row r="16345" spans="62:62" x14ac:dyDescent="0.2">
      <c r="BJ16345" s="201"/>
    </row>
    <row r="16346" spans="62:62" x14ac:dyDescent="0.2">
      <c r="BJ16346" s="201"/>
    </row>
    <row r="16347" spans="62:62" x14ac:dyDescent="0.2">
      <c r="BJ16347" s="201"/>
    </row>
    <row r="16348" spans="62:62" x14ac:dyDescent="0.2">
      <c r="BJ16348" s="201"/>
    </row>
    <row r="16349" spans="62:62" x14ac:dyDescent="0.2">
      <c r="BJ16349" s="201"/>
    </row>
    <row r="16350" spans="62:62" x14ac:dyDescent="0.2">
      <c r="BJ16350" s="201"/>
    </row>
    <row r="16351" spans="62:62" x14ac:dyDescent="0.2">
      <c r="BJ16351" s="201"/>
    </row>
    <row r="16352" spans="62:62" x14ac:dyDescent="0.2">
      <c r="BJ16352" s="201"/>
    </row>
    <row r="16353" spans="62:62" x14ac:dyDescent="0.2">
      <c r="BJ16353" s="201"/>
    </row>
    <row r="16354" spans="62:62" x14ac:dyDescent="0.2">
      <c r="BJ16354" s="201"/>
    </row>
    <row r="16355" spans="62:62" x14ac:dyDescent="0.2">
      <c r="BJ16355" s="201"/>
    </row>
    <row r="16356" spans="62:62" x14ac:dyDescent="0.2">
      <c r="BJ16356" s="201"/>
    </row>
    <row r="16357" spans="62:62" x14ac:dyDescent="0.2">
      <c r="BJ16357" s="201"/>
    </row>
    <row r="16358" spans="62:62" x14ac:dyDescent="0.2">
      <c r="BJ16358" s="201"/>
    </row>
    <row r="16359" spans="62:62" x14ac:dyDescent="0.2">
      <c r="BJ16359" s="201"/>
    </row>
    <row r="16360" spans="62:62" x14ac:dyDescent="0.2">
      <c r="BJ16360" s="201"/>
    </row>
    <row r="16361" spans="62:62" x14ac:dyDescent="0.2">
      <c r="BJ16361" s="201"/>
    </row>
    <row r="16362" spans="62:62" x14ac:dyDescent="0.2">
      <c r="BJ16362" s="201"/>
    </row>
    <row r="16363" spans="62:62" x14ac:dyDescent="0.2">
      <c r="BJ16363" s="201"/>
    </row>
    <row r="16364" spans="62:62" x14ac:dyDescent="0.2">
      <c r="BJ16364" s="201"/>
    </row>
    <row r="16365" spans="62:62" x14ac:dyDescent="0.2">
      <c r="BJ16365" s="201"/>
    </row>
    <row r="16366" spans="62:62" x14ac:dyDescent="0.2">
      <c r="BJ16366" s="201"/>
    </row>
    <row r="16367" spans="62:62" x14ac:dyDescent="0.2">
      <c r="BJ16367" s="201"/>
    </row>
    <row r="16368" spans="62:62" x14ac:dyDescent="0.2">
      <c r="BJ16368" s="201"/>
    </row>
    <row r="16369" spans="62:62" x14ac:dyDescent="0.2">
      <c r="BJ16369" s="201"/>
    </row>
    <row r="16370" spans="62:62" x14ac:dyDescent="0.2">
      <c r="BJ16370" s="201"/>
    </row>
    <row r="16371" spans="62:62" x14ac:dyDescent="0.2">
      <c r="BJ16371" s="201"/>
    </row>
    <row r="16372" spans="62:62" x14ac:dyDescent="0.2">
      <c r="BJ16372" s="201"/>
    </row>
    <row r="16373" spans="62:62" x14ac:dyDescent="0.2">
      <c r="BJ16373" s="201"/>
    </row>
    <row r="16374" spans="62:62" x14ac:dyDescent="0.2">
      <c r="BJ16374" s="201"/>
    </row>
    <row r="16375" spans="62:62" x14ac:dyDescent="0.2">
      <c r="BJ16375" s="201"/>
    </row>
    <row r="16376" spans="62:62" x14ac:dyDescent="0.2">
      <c r="BJ16376" s="201"/>
    </row>
    <row r="16377" spans="62:62" x14ac:dyDescent="0.2">
      <c r="BJ16377" s="201"/>
    </row>
    <row r="16378" spans="62:62" x14ac:dyDescent="0.2">
      <c r="BJ16378" s="201"/>
    </row>
    <row r="16379" spans="62:62" x14ac:dyDescent="0.2">
      <c r="BJ16379" s="201"/>
    </row>
    <row r="16380" spans="62:62" x14ac:dyDescent="0.2">
      <c r="BJ16380" s="201"/>
    </row>
    <row r="16381" spans="62:62" x14ac:dyDescent="0.2">
      <c r="BJ16381" s="201"/>
    </row>
    <row r="16382" spans="62:62" x14ac:dyDescent="0.2">
      <c r="BJ16382" s="201"/>
    </row>
    <row r="16383" spans="62:62" x14ac:dyDescent="0.2">
      <c r="BJ16383" s="201"/>
    </row>
    <row r="16384" spans="62:62" x14ac:dyDescent="0.2">
      <c r="BJ16384" s="201"/>
    </row>
    <row r="16385" spans="62:62" x14ac:dyDescent="0.2">
      <c r="BJ16385" s="201"/>
    </row>
    <row r="16386" spans="62:62" x14ac:dyDescent="0.2">
      <c r="BJ16386" s="201"/>
    </row>
    <row r="16387" spans="62:62" x14ac:dyDescent="0.2">
      <c r="BJ16387" s="201"/>
    </row>
    <row r="16388" spans="62:62" x14ac:dyDescent="0.2">
      <c r="BJ16388" s="201"/>
    </row>
    <row r="16389" spans="62:62" x14ac:dyDescent="0.2">
      <c r="BJ16389" s="201"/>
    </row>
    <row r="16390" spans="62:62" x14ac:dyDescent="0.2">
      <c r="BJ16390" s="201"/>
    </row>
    <row r="16391" spans="62:62" x14ac:dyDescent="0.2">
      <c r="BJ16391" s="201"/>
    </row>
    <row r="16392" spans="62:62" x14ac:dyDescent="0.2">
      <c r="BJ16392" s="201"/>
    </row>
    <row r="16393" spans="62:62" x14ac:dyDescent="0.2">
      <c r="BJ16393" s="201"/>
    </row>
    <row r="16394" spans="62:62" x14ac:dyDescent="0.2">
      <c r="BJ16394" s="201"/>
    </row>
    <row r="16395" spans="62:62" x14ac:dyDescent="0.2">
      <c r="BJ16395" s="201"/>
    </row>
    <row r="16396" spans="62:62" x14ac:dyDescent="0.2">
      <c r="BJ16396" s="201"/>
    </row>
    <row r="16397" spans="62:62" x14ac:dyDescent="0.2">
      <c r="BJ16397" s="201"/>
    </row>
    <row r="16398" spans="62:62" x14ac:dyDescent="0.2">
      <c r="BJ16398" s="201"/>
    </row>
    <row r="16399" spans="62:62" x14ac:dyDescent="0.2">
      <c r="BJ16399" s="201"/>
    </row>
    <row r="16400" spans="62:62" x14ac:dyDescent="0.2">
      <c r="BJ16400" s="201"/>
    </row>
    <row r="16401" spans="62:62" x14ac:dyDescent="0.2">
      <c r="BJ16401" s="201"/>
    </row>
    <row r="16402" spans="62:62" x14ac:dyDescent="0.2">
      <c r="BJ16402" s="201"/>
    </row>
    <row r="16403" spans="62:62" x14ac:dyDescent="0.2">
      <c r="BJ16403" s="201"/>
    </row>
    <row r="16404" spans="62:62" x14ac:dyDescent="0.2">
      <c r="BJ16404" s="201"/>
    </row>
    <row r="16405" spans="62:62" x14ac:dyDescent="0.2">
      <c r="BJ16405" s="201"/>
    </row>
    <row r="16406" spans="62:62" x14ac:dyDescent="0.2">
      <c r="BJ16406" s="201"/>
    </row>
    <row r="16407" spans="62:62" x14ac:dyDescent="0.2">
      <c r="BJ16407" s="201"/>
    </row>
    <row r="16408" spans="62:62" x14ac:dyDescent="0.2">
      <c r="BJ16408" s="201"/>
    </row>
    <row r="16409" spans="62:62" x14ac:dyDescent="0.2">
      <c r="BJ16409" s="201"/>
    </row>
    <row r="16410" spans="62:62" x14ac:dyDescent="0.2">
      <c r="BJ16410" s="201"/>
    </row>
    <row r="16411" spans="62:62" x14ac:dyDescent="0.2">
      <c r="BJ16411" s="201"/>
    </row>
    <row r="16412" spans="62:62" x14ac:dyDescent="0.2">
      <c r="BJ16412" s="201"/>
    </row>
    <row r="16413" spans="62:62" x14ac:dyDescent="0.2">
      <c r="BJ16413" s="201"/>
    </row>
    <row r="16414" spans="62:62" x14ac:dyDescent="0.2">
      <c r="BJ16414" s="201"/>
    </row>
    <row r="16415" spans="62:62" x14ac:dyDescent="0.2">
      <c r="BJ16415" s="201"/>
    </row>
    <row r="16416" spans="62:62" x14ac:dyDescent="0.2">
      <c r="BJ16416" s="201"/>
    </row>
    <row r="16417" spans="62:62" x14ac:dyDescent="0.2">
      <c r="BJ16417" s="201"/>
    </row>
    <row r="16418" spans="62:62" x14ac:dyDescent="0.2">
      <c r="BJ16418" s="201"/>
    </row>
    <row r="16419" spans="62:62" x14ac:dyDescent="0.2">
      <c r="BJ16419" s="201"/>
    </row>
    <row r="16420" spans="62:62" x14ac:dyDescent="0.2">
      <c r="BJ16420" s="201"/>
    </row>
    <row r="16421" spans="62:62" x14ac:dyDescent="0.2">
      <c r="BJ16421" s="201"/>
    </row>
    <row r="16422" spans="62:62" x14ac:dyDescent="0.2">
      <c r="BJ16422" s="201"/>
    </row>
    <row r="16423" spans="62:62" x14ac:dyDescent="0.2">
      <c r="BJ16423" s="201"/>
    </row>
    <row r="16424" spans="62:62" x14ac:dyDescent="0.2">
      <c r="BJ16424" s="201"/>
    </row>
    <row r="16425" spans="62:62" x14ac:dyDescent="0.2">
      <c r="BJ16425" s="201"/>
    </row>
    <row r="16426" spans="62:62" x14ac:dyDescent="0.2">
      <c r="BJ16426" s="201"/>
    </row>
    <row r="16427" spans="62:62" x14ac:dyDescent="0.2">
      <c r="BJ16427" s="201"/>
    </row>
    <row r="16428" spans="62:62" x14ac:dyDescent="0.2">
      <c r="BJ16428" s="201"/>
    </row>
    <row r="16429" spans="62:62" x14ac:dyDescent="0.2">
      <c r="BJ16429" s="201"/>
    </row>
    <row r="16430" spans="62:62" x14ac:dyDescent="0.2">
      <c r="BJ16430" s="201"/>
    </row>
    <row r="16431" spans="62:62" x14ac:dyDescent="0.2">
      <c r="BJ16431" s="201"/>
    </row>
    <row r="16432" spans="62:62" x14ac:dyDescent="0.2">
      <c r="BJ16432" s="201"/>
    </row>
    <row r="16433" spans="62:62" x14ac:dyDescent="0.2">
      <c r="BJ16433" s="201"/>
    </row>
    <row r="16434" spans="62:62" x14ac:dyDescent="0.2">
      <c r="BJ16434" s="201"/>
    </row>
    <row r="16435" spans="62:62" x14ac:dyDescent="0.2">
      <c r="BJ16435" s="201"/>
    </row>
    <row r="16436" spans="62:62" x14ac:dyDescent="0.2">
      <c r="BJ16436" s="201"/>
    </row>
    <row r="16437" spans="62:62" x14ac:dyDescent="0.2">
      <c r="BJ16437" s="201"/>
    </row>
    <row r="16438" spans="62:62" x14ac:dyDescent="0.2">
      <c r="BJ16438" s="201"/>
    </row>
    <row r="16439" spans="62:62" x14ac:dyDescent="0.2">
      <c r="BJ16439" s="201"/>
    </row>
    <row r="16440" spans="62:62" x14ac:dyDescent="0.2">
      <c r="BJ16440" s="201"/>
    </row>
    <row r="16441" spans="62:62" x14ac:dyDescent="0.2">
      <c r="BJ16441" s="201"/>
    </row>
    <row r="16442" spans="62:62" x14ac:dyDescent="0.2">
      <c r="BJ16442" s="201"/>
    </row>
    <row r="16443" spans="62:62" x14ac:dyDescent="0.2">
      <c r="BJ16443" s="201"/>
    </row>
    <row r="16444" spans="62:62" x14ac:dyDescent="0.2">
      <c r="BJ16444" s="201"/>
    </row>
    <row r="16445" spans="62:62" x14ac:dyDescent="0.2">
      <c r="BJ16445" s="201"/>
    </row>
    <row r="16446" spans="62:62" x14ac:dyDescent="0.2">
      <c r="BJ16446" s="201"/>
    </row>
    <row r="16447" spans="62:62" x14ac:dyDescent="0.2">
      <c r="BJ16447" s="201"/>
    </row>
    <row r="16448" spans="62:62" x14ac:dyDescent="0.2">
      <c r="BJ16448" s="201"/>
    </row>
    <row r="16449" spans="62:62" x14ac:dyDescent="0.2">
      <c r="BJ16449" s="201"/>
    </row>
    <row r="16450" spans="62:62" x14ac:dyDescent="0.2">
      <c r="BJ16450" s="201"/>
    </row>
    <row r="16451" spans="62:62" x14ac:dyDescent="0.2">
      <c r="BJ16451" s="201"/>
    </row>
    <row r="16452" spans="62:62" x14ac:dyDescent="0.2">
      <c r="BJ16452" s="201"/>
    </row>
    <row r="16453" spans="62:62" x14ac:dyDescent="0.2">
      <c r="BJ16453" s="201"/>
    </row>
    <row r="16454" spans="62:62" x14ac:dyDescent="0.2">
      <c r="BJ16454" s="201"/>
    </row>
    <row r="16455" spans="62:62" x14ac:dyDescent="0.2">
      <c r="BJ16455" s="201"/>
    </row>
    <row r="16456" spans="62:62" x14ac:dyDescent="0.2">
      <c r="BJ16456" s="201"/>
    </row>
    <row r="16457" spans="62:62" x14ac:dyDescent="0.2">
      <c r="BJ16457" s="201"/>
    </row>
    <row r="16458" spans="62:62" x14ac:dyDescent="0.2">
      <c r="BJ16458" s="201"/>
    </row>
    <row r="16459" spans="62:62" x14ac:dyDescent="0.2">
      <c r="BJ16459" s="201"/>
    </row>
    <row r="16460" spans="62:62" x14ac:dyDescent="0.2">
      <c r="BJ16460" s="201"/>
    </row>
    <row r="16461" spans="62:62" x14ac:dyDescent="0.2">
      <c r="BJ16461" s="201"/>
    </row>
    <row r="16462" spans="62:62" x14ac:dyDescent="0.2">
      <c r="BJ16462" s="201"/>
    </row>
    <row r="16463" spans="62:62" x14ac:dyDescent="0.2">
      <c r="BJ16463" s="201"/>
    </row>
    <row r="16464" spans="62:62" x14ac:dyDescent="0.2">
      <c r="BJ16464" s="201"/>
    </row>
    <row r="16465" spans="62:62" x14ac:dyDescent="0.2">
      <c r="BJ16465" s="201"/>
    </row>
    <row r="16466" spans="62:62" x14ac:dyDescent="0.2">
      <c r="BJ16466" s="201"/>
    </row>
    <row r="16467" spans="62:62" x14ac:dyDescent="0.2">
      <c r="BJ16467" s="201"/>
    </row>
    <row r="16468" spans="62:62" x14ac:dyDescent="0.2">
      <c r="BJ16468" s="201"/>
    </row>
    <row r="16469" spans="62:62" x14ac:dyDescent="0.2">
      <c r="BJ16469" s="201"/>
    </row>
    <row r="16470" spans="62:62" x14ac:dyDescent="0.2">
      <c r="BJ16470" s="201"/>
    </row>
    <row r="16471" spans="62:62" x14ac:dyDescent="0.2">
      <c r="BJ16471" s="201"/>
    </row>
    <row r="16472" spans="62:62" x14ac:dyDescent="0.2">
      <c r="BJ16472" s="201"/>
    </row>
    <row r="16473" spans="62:62" x14ac:dyDescent="0.2">
      <c r="BJ16473" s="201"/>
    </row>
    <row r="16474" spans="62:62" x14ac:dyDescent="0.2">
      <c r="BJ16474" s="201"/>
    </row>
    <row r="16475" spans="62:62" x14ac:dyDescent="0.2">
      <c r="BJ16475" s="201"/>
    </row>
    <row r="16476" spans="62:62" x14ac:dyDescent="0.2">
      <c r="BJ16476" s="201"/>
    </row>
    <row r="16477" spans="62:62" x14ac:dyDescent="0.2">
      <c r="BJ16477" s="201"/>
    </row>
    <row r="16478" spans="62:62" x14ac:dyDescent="0.2">
      <c r="BJ16478" s="201"/>
    </row>
    <row r="16479" spans="62:62" x14ac:dyDescent="0.2">
      <c r="BJ16479" s="201"/>
    </row>
    <row r="16480" spans="62:62" x14ac:dyDescent="0.2">
      <c r="BJ16480" s="201"/>
    </row>
    <row r="16481" spans="62:62" x14ac:dyDescent="0.2">
      <c r="BJ16481" s="201"/>
    </row>
    <row r="16482" spans="62:62" x14ac:dyDescent="0.2">
      <c r="BJ16482" s="201"/>
    </row>
    <row r="16483" spans="62:62" x14ac:dyDescent="0.2">
      <c r="BJ16483" s="201"/>
    </row>
    <row r="16484" spans="62:62" x14ac:dyDescent="0.2">
      <c r="BJ16484" s="201"/>
    </row>
    <row r="16485" spans="62:62" x14ac:dyDescent="0.2">
      <c r="BJ16485" s="201"/>
    </row>
    <row r="16486" spans="62:62" x14ac:dyDescent="0.2">
      <c r="BJ16486" s="201"/>
    </row>
    <row r="16487" spans="62:62" x14ac:dyDescent="0.2">
      <c r="BJ16487" s="201"/>
    </row>
    <row r="16488" spans="62:62" x14ac:dyDescent="0.2">
      <c r="BJ16488" s="201"/>
    </row>
    <row r="16489" spans="62:62" x14ac:dyDescent="0.2">
      <c r="BJ16489" s="201"/>
    </row>
    <row r="16490" spans="62:62" x14ac:dyDescent="0.2">
      <c r="BJ16490" s="201"/>
    </row>
    <row r="16491" spans="62:62" x14ac:dyDescent="0.2">
      <c r="BJ16491" s="201"/>
    </row>
    <row r="16492" spans="62:62" x14ac:dyDescent="0.2">
      <c r="BJ16492" s="201"/>
    </row>
    <row r="16493" spans="62:62" x14ac:dyDescent="0.2">
      <c r="BJ16493" s="201"/>
    </row>
    <row r="16494" spans="62:62" x14ac:dyDescent="0.2">
      <c r="BJ16494" s="201"/>
    </row>
    <row r="16495" spans="62:62" x14ac:dyDescent="0.2">
      <c r="BJ16495" s="201"/>
    </row>
    <row r="16496" spans="62:62" x14ac:dyDescent="0.2">
      <c r="BJ16496" s="201"/>
    </row>
    <row r="16497" spans="62:62" x14ac:dyDescent="0.2">
      <c r="BJ16497" s="201"/>
    </row>
    <row r="16498" spans="62:62" x14ac:dyDescent="0.2">
      <c r="BJ16498" s="201"/>
    </row>
    <row r="16499" spans="62:62" x14ac:dyDescent="0.2">
      <c r="BJ16499" s="201"/>
    </row>
    <row r="16500" spans="62:62" x14ac:dyDescent="0.2">
      <c r="BJ16500" s="201"/>
    </row>
    <row r="16501" spans="62:62" x14ac:dyDescent="0.2">
      <c r="BJ16501" s="201"/>
    </row>
    <row r="16502" spans="62:62" x14ac:dyDescent="0.2">
      <c r="BJ16502" s="201"/>
    </row>
    <row r="16503" spans="62:62" x14ac:dyDescent="0.2">
      <c r="BJ16503" s="201"/>
    </row>
    <row r="16504" spans="62:62" x14ac:dyDescent="0.2">
      <c r="BJ16504" s="201"/>
    </row>
    <row r="16505" spans="62:62" x14ac:dyDescent="0.2">
      <c r="BJ16505" s="201"/>
    </row>
    <row r="16506" spans="62:62" x14ac:dyDescent="0.2">
      <c r="BJ16506" s="201"/>
    </row>
    <row r="16507" spans="62:62" x14ac:dyDescent="0.2">
      <c r="BJ16507" s="201"/>
    </row>
    <row r="16508" spans="62:62" x14ac:dyDescent="0.2">
      <c r="BJ16508" s="201"/>
    </row>
    <row r="16509" spans="62:62" x14ac:dyDescent="0.2">
      <c r="BJ16509" s="201"/>
    </row>
    <row r="16510" spans="62:62" x14ac:dyDescent="0.2">
      <c r="BJ16510" s="201"/>
    </row>
    <row r="16511" spans="62:62" x14ac:dyDescent="0.2">
      <c r="BJ16511" s="201"/>
    </row>
    <row r="16512" spans="62:62" x14ac:dyDescent="0.2">
      <c r="BJ16512" s="201"/>
    </row>
    <row r="16513" spans="62:62" x14ac:dyDescent="0.2">
      <c r="BJ16513" s="201"/>
    </row>
    <row r="16514" spans="62:62" x14ac:dyDescent="0.2">
      <c r="BJ16514" s="201"/>
    </row>
    <row r="16515" spans="62:62" x14ac:dyDescent="0.2">
      <c r="BJ16515" s="201"/>
    </row>
    <row r="16516" spans="62:62" x14ac:dyDescent="0.2">
      <c r="BJ16516" s="201"/>
    </row>
    <row r="16517" spans="62:62" x14ac:dyDescent="0.2">
      <c r="BJ16517" s="201"/>
    </row>
    <row r="16518" spans="62:62" x14ac:dyDescent="0.2">
      <c r="BJ16518" s="201"/>
    </row>
    <row r="16519" spans="62:62" x14ac:dyDescent="0.2">
      <c r="BJ16519" s="201"/>
    </row>
    <row r="16520" spans="62:62" x14ac:dyDescent="0.2">
      <c r="BJ16520" s="201"/>
    </row>
    <row r="16521" spans="62:62" x14ac:dyDescent="0.2">
      <c r="BJ16521" s="201"/>
    </row>
    <row r="16522" spans="62:62" x14ac:dyDescent="0.2">
      <c r="BJ16522" s="201"/>
    </row>
    <row r="16523" spans="62:62" x14ac:dyDescent="0.2">
      <c r="BJ16523" s="201"/>
    </row>
    <row r="16524" spans="62:62" x14ac:dyDescent="0.2">
      <c r="BJ16524" s="201"/>
    </row>
    <row r="16525" spans="62:62" x14ac:dyDescent="0.2">
      <c r="BJ16525" s="201"/>
    </row>
    <row r="16526" spans="62:62" x14ac:dyDescent="0.2">
      <c r="BJ16526" s="201"/>
    </row>
    <row r="16527" spans="62:62" x14ac:dyDescent="0.2">
      <c r="BJ16527" s="201"/>
    </row>
    <row r="16528" spans="62:62" x14ac:dyDescent="0.2">
      <c r="BJ16528" s="201"/>
    </row>
    <row r="16529" spans="62:62" x14ac:dyDescent="0.2">
      <c r="BJ16529" s="201"/>
    </row>
    <row r="16530" spans="62:62" x14ac:dyDescent="0.2">
      <c r="BJ16530" s="201"/>
    </row>
    <row r="16531" spans="62:62" x14ac:dyDescent="0.2">
      <c r="BJ16531" s="201"/>
    </row>
    <row r="16532" spans="62:62" x14ac:dyDescent="0.2">
      <c r="BJ16532" s="201"/>
    </row>
    <row r="16533" spans="62:62" x14ac:dyDescent="0.2">
      <c r="BJ16533" s="201"/>
    </row>
    <row r="16534" spans="62:62" x14ac:dyDescent="0.2">
      <c r="BJ16534" s="201"/>
    </row>
    <row r="16535" spans="62:62" x14ac:dyDescent="0.2">
      <c r="BJ16535" s="201"/>
    </row>
    <row r="16536" spans="62:62" x14ac:dyDescent="0.2">
      <c r="BJ16536" s="201"/>
    </row>
    <row r="16537" spans="62:62" x14ac:dyDescent="0.2">
      <c r="BJ16537" s="201"/>
    </row>
    <row r="16538" spans="62:62" x14ac:dyDescent="0.2">
      <c r="BJ16538" s="201"/>
    </row>
    <row r="16539" spans="62:62" x14ac:dyDescent="0.2">
      <c r="BJ16539" s="201"/>
    </row>
    <row r="16540" spans="62:62" x14ac:dyDescent="0.2">
      <c r="BJ16540" s="201"/>
    </row>
    <row r="16541" spans="62:62" x14ac:dyDescent="0.2">
      <c r="BJ16541" s="201"/>
    </row>
    <row r="16542" spans="62:62" x14ac:dyDescent="0.2">
      <c r="BJ16542" s="201"/>
    </row>
    <row r="16543" spans="62:62" x14ac:dyDescent="0.2">
      <c r="BJ16543" s="201"/>
    </row>
    <row r="16544" spans="62:62" x14ac:dyDescent="0.2">
      <c r="BJ16544" s="201"/>
    </row>
    <row r="16545" spans="62:62" x14ac:dyDescent="0.2">
      <c r="BJ16545" s="201"/>
    </row>
    <row r="16546" spans="62:62" x14ac:dyDescent="0.2">
      <c r="BJ16546" s="201"/>
    </row>
    <row r="16547" spans="62:62" x14ac:dyDescent="0.2">
      <c r="BJ16547" s="201"/>
    </row>
    <row r="16548" spans="62:62" x14ac:dyDescent="0.2">
      <c r="BJ16548" s="201"/>
    </row>
    <row r="16549" spans="62:62" x14ac:dyDescent="0.2">
      <c r="BJ16549" s="201"/>
    </row>
    <row r="16550" spans="62:62" x14ac:dyDescent="0.2">
      <c r="BJ16550" s="201"/>
    </row>
    <row r="16551" spans="62:62" x14ac:dyDescent="0.2">
      <c r="BJ16551" s="201"/>
    </row>
    <row r="16552" spans="62:62" x14ac:dyDescent="0.2">
      <c r="BJ16552" s="201"/>
    </row>
    <row r="16553" spans="62:62" x14ac:dyDescent="0.2">
      <c r="BJ16553" s="201"/>
    </row>
    <row r="16554" spans="62:62" x14ac:dyDescent="0.2">
      <c r="BJ16554" s="201"/>
    </row>
    <row r="16555" spans="62:62" x14ac:dyDescent="0.2">
      <c r="BJ16555" s="201"/>
    </row>
    <row r="16556" spans="62:62" x14ac:dyDescent="0.2">
      <c r="BJ16556" s="201"/>
    </row>
    <row r="16557" spans="62:62" x14ac:dyDescent="0.2">
      <c r="BJ16557" s="201"/>
    </row>
    <row r="16558" spans="62:62" x14ac:dyDescent="0.2">
      <c r="BJ16558" s="201"/>
    </row>
    <row r="16559" spans="62:62" x14ac:dyDescent="0.2">
      <c r="BJ16559" s="201"/>
    </row>
    <row r="16560" spans="62:62" x14ac:dyDescent="0.2">
      <c r="BJ16560" s="201"/>
    </row>
    <row r="16561" spans="62:62" x14ac:dyDescent="0.2">
      <c r="BJ16561" s="201"/>
    </row>
    <row r="16562" spans="62:62" x14ac:dyDescent="0.2">
      <c r="BJ16562" s="201"/>
    </row>
    <row r="16563" spans="62:62" x14ac:dyDescent="0.2">
      <c r="BJ16563" s="201"/>
    </row>
    <row r="16564" spans="62:62" x14ac:dyDescent="0.2">
      <c r="BJ16564" s="201"/>
    </row>
    <row r="16565" spans="62:62" x14ac:dyDescent="0.2">
      <c r="BJ16565" s="201"/>
    </row>
    <row r="16566" spans="62:62" x14ac:dyDescent="0.2">
      <c r="BJ16566" s="201"/>
    </row>
    <row r="16567" spans="62:62" x14ac:dyDescent="0.2">
      <c r="BJ16567" s="201"/>
    </row>
    <row r="16568" spans="62:62" x14ac:dyDescent="0.2">
      <c r="BJ16568" s="201"/>
    </row>
    <row r="16569" spans="62:62" x14ac:dyDescent="0.2">
      <c r="BJ16569" s="201"/>
    </row>
    <row r="16570" spans="62:62" x14ac:dyDescent="0.2">
      <c r="BJ16570" s="201"/>
    </row>
    <row r="16571" spans="62:62" x14ac:dyDescent="0.2">
      <c r="BJ16571" s="201"/>
    </row>
    <row r="16572" spans="62:62" x14ac:dyDescent="0.2">
      <c r="BJ16572" s="201"/>
    </row>
    <row r="16573" spans="62:62" x14ac:dyDescent="0.2">
      <c r="BJ16573" s="201"/>
    </row>
    <row r="16574" spans="62:62" x14ac:dyDescent="0.2">
      <c r="BJ16574" s="201"/>
    </row>
    <row r="16575" spans="62:62" x14ac:dyDescent="0.2">
      <c r="BJ16575" s="201"/>
    </row>
    <row r="16576" spans="62:62" x14ac:dyDescent="0.2">
      <c r="BJ16576" s="201"/>
    </row>
    <row r="16577" spans="62:62" x14ac:dyDescent="0.2">
      <c r="BJ16577" s="201"/>
    </row>
    <row r="16578" spans="62:62" x14ac:dyDescent="0.2">
      <c r="BJ16578" s="201"/>
    </row>
    <row r="16579" spans="62:62" x14ac:dyDescent="0.2">
      <c r="BJ16579" s="201"/>
    </row>
    <row r="16580" spans="62:62" x14ac:dyDescent="0.2">
      <c r="BJ16580" s="201"/>
    </row>
    <row r="16581" spans="62:62" x14ac:dyDescent="0.2">
      <c r="BJ16581" s="201"/>
    </row>
    <row r="16582" spans="62:62" x14ac:dyDescent="0.2">
      <c r="BJ16582" s="201"/>
    </row>
    <row r="16583" spans="62:62" x14ac:dyDescent="0.2">
      <c r="BJ16583" s="201"/>
    </row>
    <row r="16584" spans="62:62" x14ac:dyDescent="0.2">
      <c r="BJ16584" s="201"/>
    </row>
    <row r="16585" spans="62:62" x14ac:dyDescent="0.2">
      <c r="BJ16585" s="201"/>
    </row>
    <row r="16586" spans="62:62" x14ac:dyDescent="0.2">
      <c r="BJ16586" s="201"/>
    </row>
    <row r="16587" spans="62:62" x14ac:dyDescent="0.2">
      <c r="BJ16587" s="201"/>
    </row>
    <row r="16588" spans="62:62" x14ac:dyDescent="0.2">
      <c r="BJ16588" s="201"/>
    </row>
    <row r="16589" spans="62:62" x14ac:dyDescent="0.2">
      <c r="BJ16589" s="201"/>
    </row>
    <row r="16590" spans="62:62" x14ac:dyDescent="0.2">
      <c r="BJ16590" s="201"/>
    </row>
    <row r="16591" spans="62:62" x14ac:dyDescent="0.2">
      <c r="BJ16591" s="201"/>
    </row>
    <row r="16592" spans="62:62" x14ac:dyDescent="0.2">
      <c r="BJ16592" s="201"/>
    </row>
    <row r="16593" spans="62:62" x14ac:dyDescent="0.2">
      <c r="BJ16593" s="201"/>
    </row>
    <row r="16594" spans="62:62" x14ac:dyDescent="0.2">
      <c r="BJ16594" s="201"/>
    </row>
    <row r="16595" spans="62:62" x14ac:dyDescent="0.2">
      <c r="BJ16595" s="201"/>
    </row>
    <row r="16596" spans="62:62" x14ac:dyDescent="0.2">
      <c r="BJ16596" s="201"/>
    </row>
    <row r="16597" spans="62:62" x14ac:dyDescent="0.2">
      <c r="BJ16597" s="201"/>
    </row>
    <row r="16598" spans="62:62" x14ac:dyDescent="0.2">
      <c r="BJ16598" s="201"/>
    </row>
    <row r="16599" spans="62:62" x14ac:dyDescent="0.2">
      <c r="BJ16599" s="201"/>
    </row>
    <row r="16600" spans="62:62" x14ac:dyDescent="0.2">
      <c r="BJ16600" s="201"/>
    </row>
    <row r="16601" spans="62:62" x14ac:dyDescent="0.2">
      <c r="BJ16601" s="201"/>
    </row>
    <row r="16602" spans="62:62" x14ac:dyDescent="0.2">
      <c r="BJ16602" s="201"/>
    </row>
    <row r="16603" spans="62:62" x14ac:dyDescent="0.2">
      <c r="BJ16603" s="201"/>
    </row>
    <row r="16604" spans="62:62" x14ac:dyDescent="0.2">
      <c r="BJ16604" s="201"/>
    </row>
    <row r="16605" spans="62:62" x14ac:dyDescent="0.2">
      <c r="BJ16605" s="201"/>
    </row>
    <row r="16606" spans="62:62" x14ac:dyDescent="0.2">
      <c r="BJ16606" s="201"/>
    </row>
    <row r="16607" spans="62:62" x14ac:dyDescent="0.2">
      <c r="BJ16607" s="201"/>
    </row>
    <row r="16608" spans="62:62" x14ac:dyDescent="0.2">
      <c r="BJ16608" s="201"/>
    </row>
    <row r="16609" spans="62:62" x14ac:dyDescent="0.2">
      <c r="BJ16609" s="201"/>
    </row>
    <row r="16610" spans="62:62" x14ac:dyDescent="0.2">
      <c r="BJ16610" s="201"/>
    </row>
    <row r="16611" spans="62:62" x14ac:dyDescent="0.2">
      <c r="BJ16611" s="201"/>
    </row>
    <row r="16612" spans="62:62" x14ac:dyDescent="0.2">
      <c r="BJ16612" s="201"/>
    </row>
    <row r="16613" spans="62:62" x14ac:dyDescent="0.2">
      <c r="BJ16613" s="201"/>
    </row>
    <row r="16614" spans="62:62" x14ac:dyDescent="0.2">
      <c r="BJ16614" s="201"/>
    </row>
    <row r="16615" spans="62:62" x14ac:dyDescent="0.2">
      <c r="BJ16615" s="201"/>
    </row>
    <row r="16616" spans="62:62" x14ac:dyDescent="0.2">
      <c r="BJ16616" s="201"/>
    </row>
    <row r="16617" spans="62:62" x14ac:dyDescent="0.2">
      <c r="BJ16617" s="201"/>
    </row>
    <row r="16618" spans="62:62" x14ac:dyDescent="0.2">
      <c r="BJ16618" s="201"/>
    </row>
    <row r="16619" spans="62:62" x14ac:dyDescent="0.2">
      <c r="BJ16619" s="201"/>
    </row>
    <row r="16620" spans="62:62" x14ac:dyDescent="0.2">
      <c r="BJ16620" s="201"/>
    </row>
    <row r="16621" spans="62:62" x14ac:dyDescent="0.2">
      <c r="BJ16621" s="201"/>
    </row>
    <row r="16622" spans="62:62" x14ac:dyDescent="0.2">
      <c r="BJ16622" s="201"/>
    </row>
    <row r="16623" spans="62:62" x14ac:dyDescent="0.2">
      <c r="BJ16623" s="201"/>
    </row>
    <row r="16624" spans="62:62" x14ac:dyDescent="0.2">
      <c r="BJ16624" s="201"/>
    </row>
    <row r="16625" spans="62:62" x14ac:dyDescent="0.2">
      <c r="BJ16625" s="201"/>
    </row>
    <row r="16626" spans="62:62" x14ac:dyDescent="0.2">
      <c r="BJ16626" s="201"/>
    </row>
    <row r="16627" spans="62:62" x14ac:dyDescent="0.2">
      <c r="BJ16627" s="201"/>
    </row>
    <row r="16628" spans="62:62" x14ac:dyDescent="0.2">
      <c r="BJ16628" s="201"/>
    </row>
    <row r="16629" spans="62:62" x14ac:dyDescent="0.2">
      <c r="BJ16629" s="201"/>
    </row>
    <row r="16630" spans="62:62" x14ac:dyDescent="0.2">
      <c r="BJ16630" s="201"/>
    </row>
    <row r="16631" spans="62:62" x14ac:dyDescent="0.2">
      <c r="BJ16631" s="201"/>
    </row>
    <row r="16632" spans="62:62" x14ac:dyDescent="0.2">
      <c r="BJ16632" s="201"/>
    </row>
    <row r="16633" spans="62:62" x14ac:dyDescent="0.2">
      <c r="BJ16633" s="201"/>
    </row>
    <row r="16634" spans="62:62" x14ac:dyDescent="0.2">
      <c r="BJ16634" s="201"/>
    </row>
    <row r="16635" spans="62:62" x14ac:dyDescent="0.2">
      <c r="BJ16635" s="201"/>
    </row>
    <row r="16636" spans="62:62" x14ac:dyDescent="0.2">
      <c r="BJ16636" s="201"/>
    </row>
    <row r="16637" spans="62:62" x14ac:dyDescent="0.2">
      <c r="BJ16637" s="201"/>
    </row>
    <row r="16638" spans="62:62" x14ac:dyDescent="0.2">
      <c r="BJ16638" s="201"/>
    </row>
    <row r="16639" spans="62:62" x14ac:dyDescent="0.2">
      <c r="BJ16639" s="201"/>
    </row>
    <row r="16640" spans="62:62" x14ac:dyDescent="0.2">
      <c r="BJ16640" s="201"/>
    </row>
    <row r="16641" spans="62:62" x14ac:dyDescent="0.2">
      <c r="BJ16641" s="201"/>
    </row>
    <row r="16642" spans="62:62" x14ac:dyDescent="0.2">
      <c r="BJ16642" s="201"/>
    </row>
    <row r="16643" spans="62:62" x14ac:dyDescent="0.2">
      <c r="BJ16643" s="201"/>
    </row>
    <row r="16644" spans="62:62" x14ac:dyDescent="0.2">
      <c r="BJ16644" s="201"/>
    </row>
    <row r="16645" spans="62:62" x14ac:dyDescent="0.2">
      <c r="BJ16645" s="201"/>
    </row>
    <row r="16646" spans="62:62" x14ac:dyDescent="0.2">
      <c r="BJ16646" s="201"/>
    </row>
    <row r="16647" spans="62:62" x14ac:dyDescent="0.2">
      <c r="BJ16647" s="201"/>
    </row>
    <row r="16648" spans="62:62" x14ac:dyDescent="0.2">
      <c r="BJ16648" s="201"/>
    </row>
    <row r="16649" spans="62:62" x14ac:dyDescent="0.2">
      <c r="BJ16649" s="201"/>
    </row>
    <row r="16650" spans="62:62" x14ac:dyDescent="0.2">
      <c r="BJ16650" s="201"/>
    </row>
    <row r="16651" spans="62:62" x14ac:dyDescent="0.2">
      <c r="BJ16651" s="201"/>
    </row>
    <row r="16652" spans="62:62" x14ac:dyDescent="0.2">
      <c r="BJ16652" s="201"/>
    </row>
    <row r="16653" spans="62:62" x14ac:dyDescent="0.2">
      <c r="BJ16653" s="201"/>
    </row>
    <row r="16654" spans="62:62" x14ac:dyDescent="0.2">
      <c r="BJ16654" s="201"/>
    </row>
    <row r="16655" spans="62:62" x14ac:dyDescent="0.2">
      <c r="BJ16655" s="201"/>
    </row>
    <row r="16656" spans="62:62" x14ac:dyDescent="0.2">
      <c r="BJ16656" s="201"/>
    </row>
    <row r="16657" spans="62:62" x14ac:dyDescent="0.2">
      <c r="BJ16657" s="201"/>
    </row>
    <row r="16658" spans="62:62" x14ac:dyDescent="0.2">
      <c r="BJ16658" s="201"/>
    </row>
    <row r="16659" spans="62:62" x14ac:dyDescent="0.2">
      <c r="BJ16659" s="201"/>
    </row>
    <row r="16660" spans="62:62" x14ac:dyDescent="0.2">
      <c r="BJ16660" s="201"/>
    </row>
    <row r="16661" spans="62:62" x14ac:dyDescent="0.2">
      <c r="BJ16661" s="201"/>
    </row>
    <row r="16662" spans="62:62" x14ac:dyDescent="0.2">
      <c r="BJ16662" s="201"/>
    </row>
    <row r="16663" spans="62:62" x14ac:dyDescent="0.2">
      <c r="BJ16663" s="201"/>
    </row>
    <row r="16664" spans="62:62" x14ac:dyDescent="0.2">
      <c r="BJ16664" s="201"/>
    </row>
    <row r="16665" spans="62:62" x14ac:dyDescent="0.2">
      <c r="BJ16665" s="201"/>
    </row>
    <row r="16666" spans="62:62" x14ac:dyDescent="0.2">
      <c r="BJ16666" s="201"/>
    </row>
    <row r="16667" spans="62:62" x14ac:dyDescent="0.2">
      <c r="BJ16667" s="201"/>
    </row>
    <row r="16668" spans="62:62" x14ac:dyDescent="0.2">
      <c r="BJ16668" s="201"/>
    </row>
    <row r="16669" spans="62:62" x14ac:dyDescent="0.2">
      <c r="BJ16669" s="201"/>
    </row>
    <row r="16670" spans="62:62" x14ac:dyDescent="0.2">
      <c r="BJ16670" s="201"/>
    </row>
    <row r="16671" spans="62:62" x14ac:dyDescent="0.2">
      <c r="BJ16671" s="201"/>
    </row>
    <row r="16672" spans="62:62" x14ac:dyDescent="0.2">
      <c r="BJ16672" s="201"/>
    </row>
    <row r="16673" spans="62:62" x14ac:dyDescent="0.2">
      <c r="BJ16673" s="201"/>
    </row>
    <row r="16674" spans="62:62" x14ac:dyDescent="0.2">
      <c r="BJ16674" s="201"/>
    </row>
    <row r="16675" spans="62:62" x14ac:dyDescent="0.2">
      <c r="BJ16675" s="201"/>
    </row>
    <row r="16676" spans="62:62" x14ac:dyDescent="0.2">
      <c r="BJ16676" s="201"/>
    </row>
    <row r="16677" spans="62:62" x14ac:dyDescent="0.2">
      <c r="BJ16677" s="201"/>
    </row>
    <row r="16678" spans="62:62" x14ac:dyDescent="0.2">
      <c r="BJ16678" s="201"/>
    </row>
    <row r="16679" spans="62:62" x14ac:dyDescent="0.2">
      <c r="BJ16679" s="201"/>
    </row>
    <row r="16680" spans="62:62" x14ac:dyDescent="0.2">
      <c r="BJ16680" s="201"/>
    </row>
    <row r="16681" spans="62:62" x14ac:dyDescent="0.2">
      <c r="BJ16681" s="201"/>
    </row>
    <row r="16682" spans="62:62" x14ac:dyDescent="0.2">
      <c r="BJ16682" s="201"/>
    </row>
    <row r="16683" spans="62:62" x14ac:dyDescent="0.2">
      <c r="BJ16683" s="201"/>
    </row>
    <row r="16684" spans="62:62" x14ac:dyDescent="0.2">
      <c r="BJ16684" s="201"/>
    </row>
    <row r="16685" spans="62:62" x14ac:dyDescent="0.2">
      <c r="BJ16685" s="201"/>
    </row>
    <row r="16686" spans="62:62" x14ac:dyDescent="0.2">
      <c r="BJ16686" s="201"/>
    </row>
    <row r="16687" spans="62:62" x14ac:dyDescent="0.2">
      <c r="BJ16687" s="201"/>
    </row>
    <row r="16688" spans="62:62" x14ac:dyDescent="0.2">
      <c r="BJ16688" s="201"/>
    </row>
    <row r="16689" spans="62:62" x14ac:dyDescent="0.2">
      <c r="BJ16689" s="201"/>
    </row>
    <row r="16690" spans="62:62" x14ac:dyDescent="0.2">
      <c r="BJ16690" s="201"/>
    </row>
    <row r="16691" spans="62:62" x14ac:dyDescent="0.2">
      <c r="BJ16691" s="201"/>
    </row>
    <row r="16692" spans="62:62" x14ac:dyDescent="0.2">
      <c r="BJ16692" s="201"/>
    </row>
    <row r="16693" spans="62:62" x14ac:dyDescent="0.2">
      <c r="BJ16693" s="201"/>
    </row>
    <row r="16694" spans="62:62" x14ac:dyDescent="0.2">
      <c r="BJ16694" s="201"/>
    </row>
    <row r="16695" spans="62:62" x14ac:dyDescent="0.2">
      <c r="BJ16695" s="201"/>
    </row>
    <row r="16696" spans="62:62" x14ac:dyDescent="0.2">
      <c r="BJ16696" s="201"/>
    </row>
    <row r="16697" spans="62:62" x14ac:dyDescent="0.2">
      <c r="BJ16697" s="201"/>
    </row>
    <row r="16698" spans="62:62" x14ac:dyDescent="0.2">
      <c r="BJ16698" s="201"/>
    </row>
    <row r="16699" spans="62:62" x14ac:dyDescent="0.2">
      <c r="BJ16699" s="201"/>
    </row>
    <row r="16700" spans="62:62" x14ac:dyDescent="0.2">
      <c r="BJ16700" s="201"/>
    </row>
    <row r="16701" spans="62:62" x14ac:dyDescent="0.2">
      <c r="BJ16701" s="201"/>
    </row>
    <row r="16702" spans="62:62" x14ac:dyDescent="0.2">
      <c r="BJ16702" s="201"/>
    </row>
    <row r="16703" spans="62:62" x14ac:dyDescent="0.2">
      <c r="BJ16703" s="201"/>
    </row>
    <row r="16704" spans="62:62" x14ac:dyDescent="0.2">
      <c r="BJ16704" s="201"/>
    </row>
    <row r="16705" spans="62:62" x14ac:dyDescent="0.2">
      <c r="BJ16705" s="201"/>
    </row>
    <row r="16706" spans="62:62" x14ac:dyDescent="0.2">
      <c r="BJ16706" s="201"/>
    </row>
    <row r="16707" spans="62:62" x14ac:dyDescent="0.2">
      <c r="BJ16707" s="201"/>
    </row>
    <row r="16708" spans="62:62" x14ac:dyDescent="0.2">
      <c r="BJ16708" s="201"/>
    </row>
    <row r="16709" spans="62:62" x14ac:dyDescent="0.2">
      <c r="BJ16709" s="201"/>
    </row>
    <row r="16710" spans="62:62" x14ac:dyDescent="0.2">
      <c r="BJ16710" s="201"/>
    </row>
    <row r="16711" spans="62:62" x14ac:dyDescent="0.2">
      <c r="BJ16711" s="201"/>
    </row>
    <row r="16712" spans="62:62" x14ac:dyDescent="0.2">
      <c r="BJ16712" s="201"/>
    </row>
    <row r="16713" spans="62:62" x14ac:dyDescent="0.2">
      <c r="BJ16713" s="201"/>
    </row>
    <row r="16714" spans="62:62" x14ac:dyDescent="0.2">
      <c r="BJ16714" s="201"/>
    </row>
    <row r="16715" spans="62:62" x14ac:dyDescent="0.2">
      <c r="BJ16715" s="201"/>
    </row>
    <row r="16716" spans="62:62" x14ac:dyDescent="0.2">
      <c r="BJ16716" s="201"/>
    </row>
    <row r="16717" spans="62:62" x14ac:dyDescent="0.2">
      <c r="BJ16717" s="201"/>
    </row>
    <row r="16718" spans="62:62" x14ac:dyDescent="0.2">
      <c r="BJ16718" s="201"/>
    </row>
    <row r="16719" spans="62:62" x14ac:dyDescent="0.2">
      <c r="BJ16719" s="201"/>
    </row>
    <row r="16720" spans="62:62" x14ac:dyDescent="0.2">
      <c r="BJ16720" s="201"/>
    </row>
    <row r="16721" spans="62:62" x14ac:dyDescent="0.2">
      <c r="BJ16721" s="201"/>
    </row>
    <row r="16722" spans="62:62" x14ac:dyDescent="0.2">
      <c r="BJ16722" s="201"/>
    </row>
    <row r="16723" spans="62:62" x14ac:dyDescent="0.2">
      <c r="BJ16723" s="201"/>
    </row>
    <row r="16724" spans="62:62" x14ac:dyDescent="0.2">
      <c r="BJ16724" s="201"/>
    </row>
    <row r="16725" spans="62:62" x14ac:dyDescent="0.2">
      <c r="BJ16725" s="201"/>
    </row>
    <row r="16726" spans="62:62" x14ac:dyDescent="0.2">
      <c r="BJ16726" s="201"/>
    </row>
    <row r="16727" spans="62:62" x14ac:dyDescent="0.2">
      <c r="BJ16727" s="201"/>
    </row>
    <row r="16728" spans="62:62" x14ac:dyDescent="0.2">
      <c r="BJ16728" s="201"/>
    </row>
    <row r="16729" spans="62:62" x14ac:dyDescent="0.2">
      <c r="BJ16729" s="201"/>
    </row>
    <row r="16730" spans="62:62" x14ac:dyDescent="0.2">
      <c r="BJ16730" s="201"/>
    </row>
    <row r="16731" spans="62:62" x14ac:dyDescent="0.2">
      <c r="BJ16731" s="201"/>
    </row>
    <row r="16732" spans="62:62" x14ac:dyDescent="0.2">
      <c r="BJ16732" s="201"/>
    </row>
    <row r="16733" spans="62:62" x14ac:dyDescent="0.2">
      <c r="BJ16733" s="201"/>
    </row>
    <row r="16734" spans="62:62" x14ac:dyDescent="0.2">
      <c r="BJ16734" s="201"/>
    </row>
    <row r="16735" spans="62:62" x14ac:dyDescent="0.2">
      <c r="BJ16735" s="201"/>
    </row>
    <row r="16736" spans="62:62" x14ac:dyDescent="0.2">
      <c r="BJ16736" s="201"/>
    </row>
    <row r="16737" spans="62:62" x14ac:dyDescent="0.2">
      <c r="BJ16737" s="201"/>
    </row>
    <row r="16738" spans="62:62" x14ac:dyDescent="0.2">
      <c r="BJ16738" s="201"/>
    </row>
    <row r="16739" spans="62:62" x14ac:dyDescent="0.2">
      <c r="BJ16739" s="201"/>
    </row>
    <row r="16740" spans="62:62" x14ac:dyDescent="0.2">
      <c r="BJ16740" s="201"/>
    </row>
    <row r="16741" spans="62:62" x14ac:dyDescent="0.2">
      <c r="BJ16741" s="201"/>
    </row>
    <row r="16742" spans="62:62" x14ac:dyDescent="0.2">
      <c r="BJ16742" s="201"/>
    </row>
    <row r="16743" spans="62:62" x14ac:dyDescent="0.2">
      <c r="BJ16743" s="201"/>
    </row>
    <row r="16744" spans="62:62" x14ac:dyDescent="0.2">
      <c r="BJ16744" s="201"/>
    </row>
    <row r="16745" spans="62:62" x14ac:dyDescent="0.2">
      <c r="BJ16745" s="201"/>
    </row>
    <row r="16746" spans="62:62" x14ac:dyDescent="0.2">
      <c r="BJ16746" s="201"/>
    </row>
    <row r="16747" spans="62:62" x14ac:dyDescent="0.2">
      <c r="BJ16747" s="201"/>
    </row>
    <row r="16748" spans="62:62" x14ac:dyDescent="0.2">
      <c r="BJ16748" s="201"/>
    </row>
    <row r="16749" spans="62:62" x14ac:dyDescent="0.2">
      <c r="BJ16749" s="201"/>
    </row>
    <row r="16750" spans="62:62" x14ac:dyDescent="0.2">
      <c r="BJ16750" s="201"/>
    </row>
    <row r="16751" spans="62:62" x14ac:dyDescent="0.2">
      <c r="BJ16751" s="201"/>
    </row>
    <row r="16752" spans="62:62" x14ac:dyDescent="0.2">
      <c r="BJ16752" s="201"/>
    </row>
    <row r="16753" spans="62:62" x14ac:dyDescent="0.2">
      <c r="BJ16753" s="201"/>
    </row>
    <row r="16754" spans="62:62" x14ac:dyDescent="0.2">
      <c r="BJ16754" s="201"/>
    </row>
    <row r="16755" spans="62:62" x14ac:dyDescent="0.2">
      <c r="BJ16755" s="201"/>
    </row>
    <row r="16756" spans="62:62" x14ac:dyDescent="0.2">
      <c r="BJ16756" s="201"/>
    </row>
    <row r="16757" spans="62:62" x14ac:dyDescent="0.2">
      <c r="BJ16757" s="201"/>
    </row>
    <row r="16758" spans="62:62" x14ac:dyDescent="0.2">
      <c r="BJ16758" s="201"/>
    </row>
    <row r="16759" spans="62:62" x14ac:dyDescent="0.2">
      <c r="BJ16759" s="201"/>
    </row>
    <row r="16760" spans="62:62" x14ac:dyDescent="0.2">
      <c r="BJ16760" s="201"/>
    </row>
    <row r="16761" spans="62:62" x14ac:dyDescent="0.2">
      <c r="BJ16761" s="201"/>
    </row>
    <row r="16762" spans="62:62" x14ac:dyDescent="0.2">
      <c r="BJ16762" s="201"/>
    </row>
    <row r="16763" spans="62:62" x14ac:dyDescent="0.2">
      <c r="BJ16763" s="201"/>
    </row>
    <row r="16764" spans="62:62" x14ac:dyDescent="0.2">
      <c r="BJ16764" s="201"/>
    </row>
    <row r="16765" spans="62:62" x14ac:dyDescent="0.2">
      <c r="BJ16765" s="201"/>
    </row>
    <row r="16766" spans="62:62" x14ac:dyDescent="0.2">
      <c r="BJ16766" s="201"/>
    </row>
    <row r="16767" spans="62:62" x14ac:dyDescent="0.2">
      <c r="BJ16767" s="201"/>
    </row>
    <row r="16768" spans="62:62" x14ac:dyDescent="0.2">
      <c r="BJ16768" s="201"/>
    </row>
    <row r="16769" spans="62:62" x14ac:dyDescent="0.2">
      <c r="BJ16769" s="201"/>
    </row>
    <row r="16770" spans="62:62" x14ac:dyDescent="0.2">
      <c r="BJ16770" s="201"/>
    </row>
    <row r="16771" spans="62:62" x14ac:dyDescent="0.2">
      <c r="BJ16771" s="201"/>
    </row>
    <row r="16772" spans="62:62" x14ac:dyDescent="0.2">
      <c r="BJ16772" s="201"/>
    </row>
    <row r="16773" spans="62:62" x14ac:dyDescent="0.2">
      <c r="BJ16773" s="201"/>
    </row>
    <row r="16774" spans="62:62" x14ac:dyDescent="0.2">
      <c r="BJ16774" s="201"/>
    </row>
    <row r="16775" spans="62:62" x14ac:dyDescent="0.2">
      <c r="BJ16775" s="201"/>
    </row>
    <row r="16776" spans="62:62" x14ac:dyDescent="0.2">
      <c r="BJ16776" s="201"/>
    </row>
    <row r="16777" spans="62:62" x14ac:dyDescent="0.2">
      <c r="BJ16777" s="201"/>
    </row>
    <row r="16778" spans="62:62" x14ac:dyDescent="0.2">
      <c r="BJ16778" s="201"/>
    </row>
    <row r="16779" spans="62:62" x14ac:dyDescent="0.2">
      <c r="BJ16779" s="201"/>
    </row>
    <row r="16780" spans="62:62" x14ac:dyDescent="0.2">
      <c r="BJ16780" s="201"/>
    </row>
    <row r="16781" spans="62:62" x14ac:dyDescent="0.2">
      <c r="BJ16781" s="201"/>
    </row>
    <row r="16782" spans="62:62" x14ac:dyDescent="0.2">
      <c r="BJ16782" s="201"/>
    </row>
    <row r="16783" spans="62:62" x14ac:dyDescent="0.2">
      <c r="BJ16783" s="201"/>
    </row>
    <row r="16784" spans="62:62" x14ac:dyDescent="0.2">
      <c r="BJ16784" s="201"/>
    </row>
    <row r="16785" spans="62:62" x14ac:dyDescent="0.2">
      <c r="BJ16785" s="201"/>
    </row>
    <row r="16786" spans="62:62" x14ac:dyDescent="0.2">
      <c r="BJ16786" s="201"/>
    </row>
    <row r="16787" spans="62:62" x14ac:dyDescent="0.2">
      <c r="BJ16787" s="201"/>
    </row>
    <row r="16788" spans="62:62" x14ac:dyDescent="0.2">
      <c r="BJ16788" s="201"/>
    </row>
    <row r="16789" spans="62:62" x14ac:dyDescent="0.2">
      <c r="BJ16789" s="201"/>
    </row>
    <row r="16790" spans="62:62" x14ac:dyDescent="0.2">
      <c r="BJ16790" s="201"/>
    </row>
    <row r="16791" spans="62:62" x14ac:dyDescent="0.2">
      <c r="BJ16791" s="201"/>
    </row>
    <row r="16792" spans="62:62" x14ac:dyDescent="0.2">
      <c r="BJ16792" s="201"/>
    </row>
    <row r="16793" spans="62:62" x14ac:dyDescent="0.2">
      <c r="BJ16793" s="201"/>
    </row>
    <row r="16794" spans="62:62" x14ac:dyDescent="0.2">
      <c r="BJ16794" s="201"/>
    </row>
    <row r="16795" spans="62:62" x14ac:dyDescent="0.2">
      <c r="BJ16795" s="201"/>
    </row>
    <row r="16796" spans="62:62" x14ac:dyDescent="0.2">
      <c r="BJ16796" s="201"/>
    </row>
    <row r="16797" spans="62:62" x14ac:dyDescent="0.2">
      <c r="BJ16797" s="201"/>
    </row>
    <row r="16798" spans="62:62" x14ac:dyDescent="0.2">
      <c r="BJ16798" s="201"/>
    </row>
    <row r="16799" spans="62:62" x14ac:dyDescent="0.2">
      <c r="BJ16799" s="201"/>
    </row>
    <row r="16800" spans="62:62" x14ac:dyDescent="0.2">
      <c r="BJ16800" s="201"/>
    </row>
    <row r="16801" spans="62:62" x14ac:dyDescent="0.2">
      <c r="BJ16801" s="201"/>
    </row>
    <row r="16802" spans="62:62" x14ac:dyDescent="0.2">
      <c r="BJ16802" s="201"/>
    </row>
    <row r="16803" spans="62:62" x14ac:dyDescent="0.2">
      <c r="BJ16803" s="201"/>
    </row>
    <row r="16804" spans="62:62" x14ac:dyDescent="0.2">
      <c r="BJ16804" s="201"/>
    </row>
    <row r="16805" spans="62:62" x14ac:dyDescent="0.2">
      <c r="BJ16805" s="201"/>
    </row>
    <row r="16806" spans="62:62" x14ac:dyDescent="0.2">
      <c r="BJ16806" s="201"/>
    </row>
    <row r="16807" spans="62:62" x14ac:dyDescent="0.2">
      <c r="BJ16807" s="201"/>
    </row>
    <row r="16808" spans="62:62" x14ac:dyDescent="0.2">
      <c r="BJ16808" s="201"/>
    </row>
    <row r="16809" spans="62:62" x14ac:dyDescent="0.2">
      <c r="BJ16809" s="201"/>
    </row>
    <row r="16810" spans="62:62" x14ac:dyDescent="0.2">
      <c r="BJ16810" s="201"/>
    </row>
    <row r="16811" spans="62:62" x14ac:dyDescent="0.2">
      <c r="BJ16811" s="201"/>
    </row>
    <row r="16812" spans="62:62" x14ac:dyDescent="0.2">
      <c r="BJ16812" s="201"/>
    </row>
    <row r="16813" spans="62:62" x14ac:dyDescent="0.2">
      <c r="BJ16813" s="201"/>
    </row>
    <row r="16814" spans="62:62" x14ac:dyDescent="0.2">
      <c r="BJ16814" s="201"/>
    </row>
    <row r="16815" spans="62:62" x14ac:dyDescent="0.2">
      <c r="BJ16815" s="201"/>
    </row>
    <row r="16816" spans="62:62" x14ac:dyDescent="0.2">
      <c r="BJ16816" s="201"/>
    </row>
    <row r="16817" spans="62:62" x14ac:dyDescent="0.2">
      <c r="BJ16817" s="201"/>
    </row>
    <row r="16818" spans="62:62" x14ac:dyDescent="0.2">
      <c r="BJ16818" s="201"/>
    </row>
    <row r="16819" spans="62:62" x14ac:dyDescent="0.2">
      <c r="BJ16819" s="201"/>
    </row>
    <row r="16820" spans="62:62" x14ac:dyDescent="0.2">
      <c r="BJ16820" s="201"/>
    </row>
    <row r="16821" spans="62:62" x14ac:dyDescent="0.2">
      <c r="BJ16821" s="201"/>
    </row>
    <row r="16822" spans="62:62" x14ac:dyDescent="0.2">
      <c r="BJ16822" s="201"/>
    </row>
    <row r="16823" spans="62:62" x14ac:dyDescent="0.2">
      <c r="BJ16823" s="201"/>
    </row>
    <row r="16824" spans="62:62" x14ac:dyDescent="0.2">
      <c r="BJ16824" s="201"/>
    </row>
    <row r="16825" spans="62:62" x14ac:dyDescent="0.2">
      <c r="BJ16825" s="201"/>
    </row>
    <row r="16826" spans="62:62" x14ac:dyDescent="0.2">
      <c r="BJ16826" s="201"/>
    </row>
    <row r="16827" spans="62:62" x14ac:dyDescent="0.2">
      <c r="BJ16827" s="201"/>
    </row>
    <row r="16828" spans="62:62" x14ac:dyDescent="0.2">
      <c r="BJ16828" s="201"/>
    </row>
    <row r="16829" spans="62:62" x14ac:dyDescent="0.2">
      <c r="BJ16829" s="201"/>
    </row>
    <row r="16830" spans="62:62" x14ac:dyDescent="0.2">
      <c r="BJ16830" s="201"/>
    </row>
    <row r="16831" spans="62:62" x14ac:dyDescent="0.2">
      <c r="BJ16831" s="201"/>
    </row>
    <row r="16832" spans="62:62" x14ac:dyDescent="0.2">
      <c r="BJ16832" s="201"/>
    </row>
    <row r="16833" spans="62:62" x14ac:dyDescent="0.2">
      <c r="BJ16833" s="201"/>
    </row>
    <row r="16834" spans="62:62" x14ac:dyDescent="0.2">
      <c r="BJ16834" s="201"/>
    </row>
    <row r="16835" spans="62:62" x14ac:dyDescent="0.2">
      <c r="BJ16835" s="201"/>
    </row>
    <row r="16836" spans="62:62" x14ac:dyDescent="0.2">
      <c r="BJ16836" s="201"/>
    </row>
    <row r="16837" spans="62:62" x14ac:dyDescent="0.2">
      <c r="BJ16837" s="201"/>
    </row>
    <row r="16838" spans="62:62" x14ac:dyDescent="0.2">
      <c r="BJ16838" s="201"/>
    </row>
    <row r="16839" spans="62:62" x14ac:dyDescent="0.2">
      <c r="BJ16839" s="201"/>
    </row>
    <row r="16840" spans="62:62" x14ac:dyDescent="0.2">
      <c r="BJ16840" s="201"/>
    </row>
    <row r="16841" spans="62:62" x14ac:dyDescent="0.2">
      <c r="BJ16841" s="201"/>
    </row>
    <row r="16842" spans="62:62" x14ac:dyDescent="0.2">
      <c r="BJ16842" s="201"/>
    </row>
    <row r="16843" spans="62:62" x14ac:dyDescent="0.2">
      <c r="BJ16843" s="201"/>
    </row>
    <row r="16844" spans="62:62" x14ac:dyDescent="0.2">
      <c r="BJ16844" s="201"/>
    </row>
    <row r="16845" spans="62:62" x14ac:dyDescent="0.2">
      <c r="BJ16845" s="201"/>
    </row>
    <row r="16846" spans="62:62" x14ac:dyDescent="0.2">
      <c r="BJ16846" s="201"/>
    </row>
    <row r="16847" spans="62:62" x14ac:dyDescent="0.2">
      <c r="BJ16847" s="201"/>
    </row>
    <row r="16848" spans="62:62" x14ac:dyDescent="0.2">
      <c r="BJ16848" s="201"/>
    </row>
    <row r="16849" spans="62:62" x14ac:dyDescent="0.2">
      <c r="BJ16849" s="201"/>
    </row>
    <row r="16850" spans="62:62" x14ac:dyDescent="0.2">
      <c r="BJ16850" s="201"/>
    </row>
    <row r="16851" spans="62:62" x14ac:dyDescent="0.2">
      <c r="BJ16851" s="201"/>
    </row>
    <row r="16852" spans="62:62" x14ac:dyDescent="0.2">
      <c r="BJ16852" s="201"/>
    </row>
    <row r="16853" spans="62:62" x14ac:dyDescent="0.2">
      <c r="BJ16853" s="201"/>
    </row>
    <row r="16854" spans="62:62" x14ac:dyDescent="0.2">
      <c r="BJ16854" s="201"/>
    </row>
    <row r="16855" spans="62:62" x14ac:dyDescent="0.2">
      <c r="BJ16855" s="201"/>
    </row>
    <row r="16856" spans="62:62" x14ac:dyDescent="0.2">
      <c r="BJ16856" s="201"/>
    </row>
    <row r="16857" spans="62:62" x14ac:dyDescent="0.2">
      <c r="BJ16857" s="201"/>
    </row>
    <row r="16858" spans="62:62" x14ac:dyDescent="0.2">
      <c r="BJ16858" s="201"/>
    </row>
    <row r="16859" spans="62:62" x14ac:dyDescent="0.2">
      <c r="BJ16859" s="201"/>
    </row>
    <row r="16860" spans="62:62" x14ac:dyDescent="0.2">
      <c r="BJ16860" s="201"/>
    </row>
    <row r="16861" spans="62:62" x14ac:dyDescent="0.2">
      <c r="BJ16861" s="201"/>
    </row>
    <row r="16862" spans="62:62" x14ac:dyDescent="0.2">
      <c r="BJ16862" s="201"/>
    </row>
    <row r="16863" spans="62:62" x14ac:dyDescent="0.2">
      <c r="BJ16863" s="201"/>
    </row>
    <row r="16864" spans="62:62" x14ac:dyDescent="0.2">
      <c r="BJ16864" s="201"/>
    </row>
    <row r="16865" spans="62:62" x14ac:dyDescent="0.2">
      <c r="BJ16865" s="201"/>
    </row>
    <row r="16866" spans="62:62" x14ac:dyDescent="0.2">
      <c r="BJ16866" s="201"/>
    </row>
    <row r="16867" spans="62:62" x14ac:dyDescent="0.2">
      <c r="BJ16867" s="201"/>
    </row>
    <row r="16868" spans="62:62" x14ac:dyDescent="0.2">
      <c r="BJ16868" s="201"/>
    </row>
    <row r="16869" spans="62:62" x14ac:dyDescent="0.2">
      <c r="BJ16869" s="201"/>
    </row>
    <row r="16870" spans="62:62" x14ac:dyDescent="0.2">
      <c r="BJ16870" s="201"/>
    </row>
    <row r="16871" spans="62:62" x14ac:dyDescent="0.2">
      <c r="BJ16871" s="201"/>
    </row>
    <row r="16872" spans="62:62" x14ac:dyDescent="0.2">
      <c r="BJ16872" s="201"/>
    </row>
    <row r="16873" spans="62:62" x14ac:dyDescent="0.2">
      <c r="BJ16873" s="201"/>
    </row>
    <row r="16874" spans="62:62" x14ac:dyDescent="0.2">
      <c r="BJ16874" s="201"/>
    </row>
    <row r="16875" spans="62:62" x14ac:dyDescent="0.2">
      <c r="BJ16875" s="201"/>
    </row>
    <row r="16876" spans="62:62" x14ac:dyDescent="0.2">
      <c r="BJ16876" s="201"/>
    </row>
    <row r="16877" spans="62:62" x14ac:dyDescent="0.2">
      <c r="BJ16877" s="201"/>
    </row>
    <row r="16878" spans="62:62" x14ac:dyDescent="0.2">
      <c r="BJ16878" s="201"/>
    </row>
    <row r="16879" spans="62:62" x14ac:dyDescent="0.2">
      <c r="BJ16879" s="201"/>
    </row>
    <row r="16880" spans="62:62" x14ac:dyDescent="0.2">
      <c r="BJ16880" s="201"/>
    </row>
    <row r="16881" spans="62:62" x14ac:dyDescent="0.2">
      <c r="BJ16881" s="201"/>
    </row>
    <row r="16882" spans="62:62" x14ac:dyDescent="0.2">
      <c r="BJ16882" s="201"/>
    </row>
    <row r="16883" spans="62:62" x14ac:dyDescent="0.2">
      <c r="BJ16883" s="201"/>
    </row>
    <row r="16884" spans="62:62" x14ac:dyDescent="0.2">
      <c r="BJ16884" s="201"/>
    </row>
    <row r="16885" spans="62:62" x14ac:dyDescent="0.2">
      <c r="BJ16885" s="201"/>
    </row>
    <row r="16886" spans="62:62" x14ac:dyDescent="0.2">
      <c r="BJ16886" s="201"/>
    </row>
    <row r="16887" spans="62:62" x14ac:dyDescent="0.2">
      <c r="BJ16887" s="201"/>
    </row>
    <row r="16888" spans="62:62" x14ac:dyDescent="0.2">
      <c r="BJ16888" s="201"/>
    </row>
    <row r="16889" spans="62:62" x14ac:dyDescent="0.2">
      <c r="BJ16889" s="201"/>
    </row>
    <row r="16890" spans="62:62" x14ac:dyDescent="0.2">
      <c r="BJ16890" s="201"/>
    </row>
    <row r="16891" spans="62:62" x14ac:dyDescent="0.2">
      <c r="BJ16891" s="201"/>
    </row>
    <row r="16892" spans="62:62" x14ac:dyDescent="0.2">
      <c r="BJ16892" s="201"/>
    </row>
    <row r="16893" spans="62:62" x14ac:dyDescent="0.2">
      <c r="BJ16893" s="201"/>
    </row>
    <row r="16894" spans="62:62" x14ac:dyDescent="0.2">
      <c r="BJ16894" s="201"/>
    </row>
    <row r="16895" spans="62:62" x14ac:dyDescent="0.2">
      <c r="BJ16895" s="201"/>
    </row>
    <row r="16896" spans="62:62" x14ac:dyDescent="0.2">
      <c r="BJ16896" s="201"/>
    </row>
    <row r="16897" spans="62:62" x14ac:dyDescent="0.2">
      <c r="BJ16897" s="201"/>
    </row>
    <row r="16898" spans="62:62" x14ac:dyDescent="0.2">
      <c r="BJ16898" s="201"/>
    </row>
    <row r="16899" spans="62:62" x14ac:dyDescent="0.2">
      <c r="BJ16899" s="201"/>
    </row>
    <row r="16900" spans="62:62" x14ac:dyDescent="0.2">
      <c r="BJ16900" s="201"/>
    </row>
    <row r="16901" spans="62:62" x14ac:dyDescent="0.2">
      <c r="BJ16901" s="201"/>
    </row>
    <row r="16902" spans="62:62" x14ac:dyDescent="0.2">
      <c r="BJ16902" s="201"/>
    </row>
    <row r="16903" spans="62:62" x14ac:dyDescent="0.2">
      <c r="BJ16903" s="201"/>
    </row>
    <row r="16904" spans="62:62" x14ac:dyDescent="0.2">
      <c r="BJ16904" s="201"/>
    </row>
    <row r="16905" spans="62:62" x14ac:dyDescent="0.2">
      <c r="BJ16905" s="201"/>
    </row>
    <row r="16906" spans="62:62" x14ac:dyDescent="0.2">
      <c r="BJ16906" s="201"/>
    </row>
    <row r="16907" spans="62:62" x14ac:dyDescent="0.2">
      <c r="BJ16907" s="201"/>
    </row>
    <row r="16908" spans="62:62" x14ac:dyDescent="0.2">
      <c r="BJ16908" s="201"/>
    </row>
    <row r="16909" spans="62:62" x14ac:dyDescent="0.2">
      <c r="BJ16909" s="201"/>
    </row>
    <row r="16910" spans="62:62" x14ac:dyDescent="0.2">
      <c r="BJ16910" s="201"/>
    </row>
    <row r="16911" spans="62:62" x14ac:dyDescent="0.2">
      <c r="BJ16911" s="201"/>
    </row>
    <row r="16912" spans="62:62" x14ac:dyDescent="0.2">
      <c r="BJ16912" s="201"/>
    </row>
    <row r="16913" spans="62:62" x14ac:dyDescent="0.2">
      <c r="BJ16913" s="201"/>
    </row>
    <row r="16914" spans="62:62" x14ac:dyDescent="0.2">
      <c r="BJ16914" s="201"/>
    </row>
    <row r="16915" spans="62:62" x14ac:dyDescent="0.2">
      <c r="BJ16915" s="201"/>
    </row>
    <row r="16916" spans="62:62" x14ac:dyDescent="0.2">
      <c r="BJ16916" s="201"/>
    </row>
    <row r="16917" spans="62:62" x14ac:dyDescent="0.2">
      <c r="BJ16917" s="201"/>
    </row>
    <row r="16918" spans="62:62" x14ac:dyDescent="0.2">
      <c r="BJ16918" s="201"/>
    </row>
    <row r="16919" spans="62:62" x14ac:dyDescent="0.2">
      <c r="BJ16919" s="201"/>
    </row>
    <row r="16920" spans="62:62" x14ac:dyDescent="0.2">
      <c r="BJ16920" s="201"/>
    </row>
    <row r="16921" spans="62:62" x14ac:dyDescent="0.2">
      <c r="BJ16921" s="201"/>
    </row>
    <row r="16922" spans="62:62" x14ac:dyDescent="0.2">
      <c r="BJ16922" s="201"/>
    </row>
    <row r="16923" spans="62:62" x14ac:dyDescent="0.2">
      <c r="BJ16923" s="201"/>
    </row>
    <row r="16924" spans="62:62" x14ac:dyDescent="0.2">
      <c r="BJ16924" s="201"/>
    </row>
    <row r="16925" spans="62:62" x14ac:dyDescent="0.2">
      <c r="BJ16925" s="201"/>
    </row>
    <row r="16926" spans="62:62" x14ac:dyDescent="0.2">
      <c r="BJ16926" s="201"/>
    </row>
    <row r="16927" spans="62:62" x14ac:dyDescent="0.2">
      <c r="BJ16927" s="201"/>
    </row>
    <row r="16928" spans="62:62" x14ac:dyDescent="0.2">
      <c r="BJ16928" s="201"/>
    </row>
    <row r="16929" spans="62:62" x14ac:dyDescent="0.2">
      <c r="BJ16929" s="201"/>
    </row>
    <row r="16930" spans="62:62" x14ac:dyDescent="0.2">
      <c r="BJ16930" s="201"/>
    </row>
    <row r="16931" spans="62:62" x14ac:dyDescent="0.2">
      <c r="BJ16931" s="201"/>
    </row>
    <row r="16932" spans="62:62" x14ac:dyDescent="0.2">
      <c r="BJ16932" s="201"/>
    </row>
    <row r="16933" spans="62:62" x14ac:dyDescent="0.2">
      <c r="BJ16933" s="201"/>
    </row>
    <row r="16934" spans="62:62" x14ac:dyDescent="0.2">
      <c r="BJ16934" s="201"/>
    </row>
    <row r="16935" spans="62:62" x14ac:dyDescent="0.2">
      <c r="BJ16935" s="201"/>
    </row>
    <row r="16936" spans="62:62" x14ac:dyDescent="0.2">
      <c r="BJ16936" s="201"/>
    </row>
    <row r="16937" spans="62:62" x14ac:dyDescent="0.2">
      <c r="BJ16937" s="201"/>
    </row>
    <row r="16938" spans="62:62" x14ac:dyDescent="0.2">
      <c r="BJ16938" s="201"/>
    </row>
    <row r="16939" spans="62:62" x14ac:dyDescent="0.2">
      <c r="BJ16939" s="201"/>
    </row>
    <row r="16940" spans="62:62" x14ac:dyDescent="0.2">
      <c r="BJ16940" s="201"/>
    </row>
    <row r="16941" spans="62:62" x14ac:dyDescent="0.2">
      <c r="BJ16941" s="201"/>
    </row>
    <row r="16942" spans="62:62" x14ac:dyDescent="0.2">
      <c r="BJ16942" s="201"/>
    </row>
    <row r="16943" spans="62:62" x14ac:dyDescent="0.2">
      <c r="BJ16943" s="201"/>
    </row>
    <row r="16944" spans="62:62" x14ac:dyDescent="0.2">
      <c r="BJ16944" s="201"/>
    </row>
    <row r="16945" spans="62:62" x14ac:dyDescent="0.2">
      <c r="BJ16945" s="201"/>
    </row>
    <row r="16946" spans="62:62" x14ac:dyDescent="0.2">
      <c r="BJ16946" s="201"/>
    </row>
    <row r="16947" spans="62:62" x14ac:dyDescent="0.2">
      <c r="BJ16947" s="201"/>
    </row>
    <row r="16948" spans="62:62" x14ac:dyDescent="0.2">
      <c r="BJ16948" s="201"/>
    </row>
    <row r="16949" spans="62:62" x14ac:dyDescent="0.2">
      <c r="BJ16949" s="201"/>
    </row>
    <row r="16950" spans="62:62" x14ac:dyDescent="0.2">
      <c r="BJ16950" s="201"/>
    </row>
    <row r="16951" spans="62:62" x14ac:dyDescent="0.2">
      <c r="BJ16951" s="201"/>
    </row>
    <row r="16952" spans="62:62" x14ac:dyDescent="0.2">
      <c r="BJ16952" s="201"/>
    </row>
    <row r="16953" spans="62:62" x14ac:dyDescent="0.2">
      <c r="BJ16953" s="201"/>
    </row>
    <row r="16954" spans="62:62" x14ac:dyDescent="0.2">
      <c r="BJ16954" s="201"/>
    </row>
    <row r="16955" spans="62:62" x14ac:dyDescent="0.2">
      <c r="BJ16955" s="201"/>
    </row>
    <row r="16956" spans="62:62" x14ac:dyDescent="0.2">
      <c r="BJ16956" s="201"/>
    </row>
    <row r="16957" spans="62:62" x14ac:dyDescent="0.2">
      <c r="BJ16957" s="201"/>
    </row>
    <row r="16958" spans="62:62" x14ac:dyDescent="0.2">
      <c r="BJ16958" s="201"/>
    </row>
    <row r="16959" spans="62:62" x14ac:dyDescent="0.2">
      <c r="BJ16959" s="201"/>
    </row>
    <row r="16960" spans="62:62" x14ac:dyDescent="0.2">
      <c r="BJ16960" s="201"/>
    </row>
    <row r="16961" spans="62:62" x14ac:dyDescent="0.2">
      <c r="BJ16961" s="201"/>
    </row>
    <row r="16962" spans="62:62" x14ac:dyDescent="0.2">
      <c r="BJ16962" s="201"/>
    </row>
    <row r="16963" spans="62:62" x14ac:dyDescent="0.2">
      <c r="BJ16963" s="201"/>
    </row>
    <row r="16964" spans="62:62" x14ac:dyDescent="0.2">
      <c r="BJ16964" s="201"/>
    </row>
    <row r="16965" spans="62:62" x14ac:dyDescent="0.2">
      <c r="BJ16965" s="201"/>
    </row>
    <row r="16966" spans="62:62" x14ac:dyDescent="0.2">
      <c r="BJ16966" s="201"/>
    </row>
    <row r="16967" spans="62:62" x14ac:dyDescent="0.2">
      <c r="BJ16967" s="201"/>
    </row>
    <row r="16968" spans="62:62" x14ac:dyDescent="0.2">
      <c r="BJ16968" s="201"/>
    </row>
    <row r="16969" spans="62:62" x14ac:dyDescent="0.2">
      <c r="BJ16969" s="201"/>
    </row>
    <row r="16970" spans="62:62" x14ac:dyDescent="0.2">
      <c r="BJ16970" s="201"/>
    </row>
    <row r="16971" spans="62:62" x14ac:dyDescent="0.2">
      <c r="BJ16971" s="201"/>
    </row>
    <row r="16972" spans="62:62" x14ac:dyDescent="0.2">
      <c r="BJ16972" s="201"/>
    </row>
    <row r="16973" spans="62:62" x14ac:dyDescent="0.2">
      <c r="BJ16973" s="201"/>
    </row>
    <row r="16974" spans="62:62" x14ac:dyDescent="0.2">
      <c r="BJ16974" s="201"/>
    </row>
    <row r="16975" spans="62:62" x14ac:dyDescent="0.2">
      <c r="BJ16975" s="201"/>
    </row>
    <row r="16976" spans="62:62" x14ac:dyDescent="0.2">
      <c r="BJ16976" s="201"/>
    </row>
    <row r="16977" spans="62:62" x14ac:dyDescent="0.2">
      <c r="BJ16977" s="201"/>
    </row>
    <row r="16978" spans="62:62" x14ac:dyDescent="0.2">
      <c r="BJ16978" s="201"/>
    </row>
    <row r="16979" spans="62:62" x14ac:dyDescent="0.2">
      <c r="BJ16979" s="201"/>
    </row>
    <row r="16980" spans="62:62" x14ac:dyDescent="0.2">
      <c r="BJ16980" s="201"/>
    </row>
    <row r="16981" spans="62:62" x14ac:dyDescent="0.2">
      <c r="BJ16981" s="201"/>
    </row>
    <row r="16982" spans="62:62" x14ac:dyDescent="0.2">
      <c r="BJ16982" s="201"/>
    </row>
    <row r="16983" spans="62:62" x14ac:dyDescent="0.2">
      <c r="BJ16983" s="201"/>
    </row>
    <row r="16984" spans="62:62" x14ac:dyDescent="0.2">
      <c r="BJ16984" s="201"/>
    </row>
    <row r="16985" spans="62:62" x14ac:dyDescent="0.2">
      <c r="BJ16985" s="201"/>
    </row>
    <row r="16986" spans="62:62" x14ac:dyDescent="0.2">
      <c r="BJ16986" s="201"/>
    </row>
    <row r="16987" spans="62:62" x14ac:dyDescent="0.2">
      <c r="BJ16987" s="201"/>
    </row>
    <row r="16988" spans="62:62" x14ac:dyDescent="0.2">
      <c r="BJ16988" s="201"/>
    </row>
    <row r="16989" spans="62:62" x14ac:dyDescent="0.2">
      <c r="BJ16989" s="201"/>
    </row>
    <row r="16990" spans="62:62" x14ac:dyDescent="0.2">
      <c r="BJ16990" s="201"/>
    </row>
    <row r="16991" spans="62:62" x14ac:dyDescent="0.2">
      <c r="BJ16991" s="201"/>
    </row>
    <row r="16992" spans="62:62" x14ac:dyDescent="0.2">
      <c r="BJ16992" s="201"/>
    </row>
    <row r="16993" spans="62:62" x14ac:dyDescent="0.2">
      <c r="BJ16993" s="201"/>
    </row>
    <row r="16994" spans="62:62" x14ac:dyDescent="0.2">
      <c r="BJ16994" s="201"/>
    </row>
    <row r="16995" spans="62:62" x14ac:dyDescent="0.2">
      <c r="BJ16995" s="201"/>
    </row>
    <row r="16996" spans="62:62" x14ac:dyDescent="0.2">
      <c r="BJ16996" s="201"/>
    </row>
    <row r="16997" spans="62:62" x14ac:dyDescent="0.2">
      <c r="BJ16997" s="201"/>
    </row>
    <row r="16998" spans="62:62" x14ac:dyDescent="0.2">
      <c r="BJ16998" s="201"/>
    </row>
    <row r="16999" spans="62:62" x14ac:dyDescent="0.2">
      <c r="BJ16999" s="201"/>
    </row>
    <row r="17000" spans="62:62" x14ac:dyDescent="0.2">
      <c r="BJ17000" s="201"/>
    </row>
    <row r="17001" spans="62:62" x14ac:dyDescent="0.2">
      <c r="BJ17001" s="201"/>
    </row>
    <row r="17002" spans="62:62" x14ac:dyDescent="0.2">
      <c r="BJ17002" s="201"/>
    </row>
    <row r="17003" spans="62:62" x14ac:dyDescent="0.2">
      <c r="BJ17003" s="201"/>
    </row>
    <row r="17004" spans="62:62" x14ac:dyDescent="0.2">
      <c r="BJ17004" s="201"/>
    </row>
    <row r="17005" spans="62:62" x14ac:dyDescent="0.2">
      <c r="BJ17005" s="201"/>
    </row>
    <row r="17006" spans="62:62" x14ac:dyDescent="0.2">
      <c r="BJ17006" s="201"/>
    </row>
    <row r="17007" spans="62:62" x14ac:dyDescent="0.2">
      <c r="BJ17007" s="201"/>
    </row>
    <row r="17008" spans="62:62" x14ac:dyDescent="0.2">
      <c r="BJ17008" s="201"/>
    </row>
    <row r="17009" spans="62:62" x14ac:dyDescent="0.2">
      <c r="BJ17009" s="201"/>
    </row>
    <row r="17010" spans="62:62" x14ac:dyDescent="0.2">
      <c r="BJ17010" s="201"/>
    </row>
    <row r="17011" spans="62:62" x14ac:dyDescent="0.2">
      <c r="BJ17011" s="201"/>
    </row>
    <row r="17012" spans="62:62" x14ac:dyDescent="0.2">
      <c r="BJ17012" s="201"/>
    </row>
    <row r="17013" spans="62:62" x14ac:dyDescent="0.2">
      <c r="BJ17013" s="201"/>
    </row>
    <row r="17014" spans="62:62" x14ac:dyDescent="0.2">
      <c r="BJ17014" s="201"/>
    </row>
    <row r="17015" spans="62:62" x14ac:dyDescent="0.2">
      <c r="BJ17015" s="201"/>
    </row>
    <row r="17016" spans="62:62" x14ac:dyDescent="0.2">
      <c r="BJ17016" s="201"/>
    </row>
    <row r="17017" spans="62:62" x14ac:dyDescent="0.2">
      <c r="BJ17017" s="201"/>
    </row>
    <row r="17018" spans="62:62" x14ac:dyDescent="0.2">
      <c r="BJ17018" s="201"/>
    </row>
    <row r="17019" spans="62:62" x14ac:dyDescent="0.2">
      <c r="BJ17019" s="201"/>
    </row>
    <row r="17020" spans="62:62" x14ac:dyDescent="0.2">
      <c r="BJ17020" s="201"/>
    </row>
    <row r="17021" spans="62:62" x14ac:dyDescent="0.2">
      <c r="BJ17021" s="201"/>
    </row>
    <row r="17022" spans="62:62" x14ac:dyDescent="0.2">
      <c r="BJ17022" s="201"/>
    </row>
    <row r="17023" spans="62:62" x14ac:dyDescent="0.2">
      <c r="BJ17023" s="201"/>
    </row>
    <row r="17024" spans="62:62" x14ac:dyDescent="0.2">
      <c r="BJ17024" s="201"/>
    </row>
    <row r="17025" spans="62:62" x14ac:dyDescent="0.2">
      <c r="BJ17025" s="201"/>
    </row>
    <row r="17026" spans="62:62" x14ac:dyDescent="0.2">
      <c r="BJ17026" s="201"/>
    </row>
    <row r="17027" spans="62:62" x14ac:dyDescent="0.2">
      <c r="BJ17027" s="201"/>
    </row>
    <row r="17028" spans="62:62" x14ac:dyDescent="0.2">
      <c r="BJ17028" s="201"/>
    </row>
    <row r="17029" spans="62:62" x14ac:dyDescent="0.2">
      <c r="BJ17029" s="201"/>
    </row>
    <row r="17030" spans="62:62" x14ac:dyDescent="0.2">
      <c r="BJ17030" s="201"/>
    </row>
    <row r="17031" spans="62:62" x14ac:dyDescent="0.2">
      <c r="BJ17031" s="201"/>
    </row>
    <row r="17032" spans="62:62" x14ac:dyDescent="0.2">
      <c r="BJ17032" s="201"/>
    </row>
    <row r="17033" spans="62:62" x14ac:dyDescent="0.2">
      <c r="BJ17033" s="201"/>
    </row>
    <row r="17034" spans="62:62" x14ac:dyDescent="0.2">
      <c r="BJ17034" s="201"/>
    </row>
    <row r="17035" spans="62:62" x14ac:dyDescent="0.2">
      <c r="BJ17035" s="201"/>
    </row>
    <row r="17036" spans="62:62" x14ac:dyDescent="0.2">
      <c r="BJ17036" s="201"/>
    </row>
    <row r="17037" spans="62:62" x14ac:dyDescent="0.2">
      <c r="BJ17037" s="201"/>
    </row>
    <row r="17038" spans="62:62" x14ac:dyDescent="0.2">
      <c r="BJ17038" s="201"/>
    </row>
    <row r="17039" spans="62:62" x14ac:dyDescent="0.2">
      <c r="BJ17039" s="201"/>
    </row>
    <row r="17040" spans="62:62" x14ac:dyDescent="0.2">
      <c r="BJ17040" s="201"/>
    </row>
    <row r="17041" spans="62:62" x14ac:dyDescent="0.2">
      <c r="BJ17041" s="201"/>
    </row>
    <row r="17042" spans="62:62" x14ac:dyDescent="0.2">
      <c r="BJ17042" s="201"/>
    </row>
    <row r="17043" spans="62:62" x14ac:dyDescent="0.2">
      <c r="BJ17043" s="201"/>
    </row>
    <row r="17044" spans="62:62" x14ac:dyDescent="0.2">
      <c r="BJ17044" s="201"/>
    </row>
    <row r="17045" spans="62:62" x14ac:dyDescent="0.2">
      <c r="BJ17045" s="201"/>
    </row>
    <row r="17046" spans="62:62" x14ac:dyDescent="0.2">
      <c r="BJ17046" s="201"/>
    </row>
    <row r="17047" spans="62:62" x14ac:dyDescent="0.2">
      <c r="BJ17047" s="201"/>
    </row>
    <row r="17048" spans="62:62" x14ac:dyDescent="0.2">
      <c r="BJ17048" s="201"/>
    </row>
    <row r="17049" spans="62:62" x14ac:dyDescent="0.2">
      <c r="BJ17049" s="201"/>
    </row>
    <row r="17050" spans="62:62" x14ac:dyDescent="0.2">
      <c r="BJ17050" s="201"/>
    </row>
    <row r="17051" spans="62:62" x14ac:dyDescent="0.2">
      <c r="BJ17051" s="201"/>
    </row>
    <row r="17052" spans="62:62" x14ac:dyDescent="0.2">
      <c r="BJ17052" s="201"/>
    </row>
    <row r="17053" spans="62:62" x14ac:dyDescent="0.2">
      <c r="BJ17053" s="201"/>
    </row>
    <row r="17054" spans="62:62" x14ac:dyDescent="0.2">
      <c r="BJ17054" s="201"/>
    </row>
    <row r="17055" spans="62:62" x14ac:dyDescent="0.2">
      <c r="BJ17055" s="201"/>
    </row>
    <row r="17056" spans="62:62" x14ac:dyDescent="0.2">
      <c r="BJ17056" s="201"/>
    </row>
    <row r="17057" spans="62:62" x14ac:dyDescent="0.2">
      <c r="BJ17057" s="201"/>
    </row>
    <row r="17058" spans="62:62" x14ac:dyDescent="0.2">
      <c r="BJ17058" s="201"/>
    </row>
    <row r="17059" spans="62:62" x14ac:dyDescent="0.2">
      <c r="BJ17059" s="201"/>
    </row>
    <row r="17060" spans="62:62" x14ac:dyDescent="0.2">
      <c r="BJ17060" s="201"/>
    </row>
    <row r="17061" spans="62:62" x14ac:dyDescent="0.2">
      <c r="BJ17061" s="201"/>
    </row>
    <row r="17062" spans="62:62" x14ac:dyDescent="0.2">
      <c r="BJ17062" s="201"/>
    </row>
    <row r="17063" spans="62:62" x14ac:dyDescent="0.2">
      <c r="BJ17063" s="201"/>
    </row>
    <row r="17064" spans="62:62" x14ac:dyDescent="0.2">
      <c r="BJ17064" s="201"/>
    </row>
    <row r="17065" spans="62:62" x14ac:dyDescent="0.2">
      <c r="BJ17065" s="201"/>
    </row>
    <row r="17066" spans="62:62" x14ac:dyDescent="0.2">
      <c r="BJ17066" s="201"/>
    </row>
    <row r="17067" spans="62:62" x14ac:dyDescent="0.2">
      <c r="BJ17067" s="201"/>
    </row>
    <row r="17068" spans="62:62" x14ac:dyDescent="0.2">
      <c r="BJ17068" s="201"/>
    </row>
    <row r="17069" spans="62:62" x14ac:dyDescent="0.2">
      <c r="BJ17069" s="201"/>
    </row>
    <row r="17070" spans="62:62" x14ac:dyDescent="0.2">
      <c r="BJ17070" s="201"/>
    </row>
    <row r="17071" spans="62:62" x14ac:dyDescent="0.2">
      <c r="BJ17071" s="201"/>
    </row>
    <row r="17072" spans="62:62" x14ac:dyDescent="0.2">
      <c r="BJ17072" s="201"/>
    </row>
    <row r="17073" spans="62:62" x14ac:dyDescent="0.2">
      <c r="BJ17073" s="201"/>
    </row>
    <row r="17074" spans="62:62" x14ac:dyDescent="0.2">
      <c r="BJ17074" s="201"/>
    </row>
    <row r="17075" spans="62:62" x14ac:dyDescent="0.2">
      <c r="BJ17075" s="201"/>
    </row>
    <row r="17076" spans="62:62" x14ac:dyDescent="0.2">
      <c r="BJ17076" s="201"/>
    </row>
    <row r="17077" spans="62:62" x14ac:dyDescent="0.2">
      <c r="BJ17077" s="201"/>
    </row>
    <row r="17078" spans="62:62" x14ac:dyDescent="0.2">
      <c r="BJ17078" s="201"/>
    </row>
    <row r="17079" spans="62:62" x14ac:dyDescent="0.2">
      <c r="BJ17079" s="201"/>
    </row>
    <row r="17080" spans="62:62" x14ac:dyDescent="0.2">
      <c r="BJ17080" s="201"/>
    </row>
    <row r="17081" spans="62:62" x14ac:dyDescent="0.2">
      <c r="BJ17081" s="201"/>
    </row>
    <row r="17082" spans="62:62" x14ac:dyDescent="0.2">
      <c r="BJ17082" s="201"/>
    </row>
    <row r="17083" spans="62:62" x14ac:dyDescent="0.2">
      <c r="BJ17083" s="201"/>
    </row>
    <row r="17084" spans="62:62" x14ac:dyDescent="0.2">
      <c r="BJ17084" s="201"/>
    </row>
    <row r="17085" spans="62:62" x14ac:dyDescent="0.2">
      <c r="BJ17085" s="201"/>
    </row>
    <row r="17086" spans="62:62" x14ac:dyDescent="0.2">
      <c r="BJ17086" s="201"/>
    </row>
    <row r="17087" spans="62:62" x14ac:dyDescent="0.2">
      <c r="BJ17087" s="201"/>
    </row>
    <row r="17088" spans="62:62" x14ac:dyDescent="0.2">
      <c r="BJ17088" s="201"/>
    </row>
    <row r="17089" spans="62:62" x14ac:dyDescent="0.2">
      <c r="BJ17089" s="201"/>
    </row>
    <row r="17090" spans="62:62" x14ac:dyDescent="0.2">
      <c r="BJ17090" s="201"/>
    </row>
    <row r="17091" spans="62:62" x14ac:dyDescent="0.2">
      <c r="BJ17091" s="201"/>
    </row>
    <row r="17092" spans="62:62" x14ac:dyDescent="0.2">
      <c r="BJ17092" s="201"/>
    </row>
    <row r="17093" spans="62:62" x14ac:dyDescent="0.2">
      <c r="BJ17093" s="201"/>
    </row>
    <row r="17094" spans="62:62" x14ac:dyDescent="0.2">
      <c r="BJ17094" s="201"/>
    </row>
    <row r="17095" spans="62:62" x14ac:dyDescent="0.2">
      <c r="BJ17095" s="201"/>
    </row>
    <row r="17096" spans="62:62" x14ac:dyDescent="0.2">
      <c r="BJ17096" s="201"/>
    </row>
    <row r="17097" spans="62:62" x14ac:dyDescent="0.2">
      <c r="BJ17097" s="201"/>
    </row>
    <row r="17098" spans="62:62" x14ac:dyDescent="0.2">
      <c r="BJ17098" s="201"/>
    </row>
    <row r="17099" spans="62:62" x14ac:dyDescent="0.2">
      <c r="BJ17099" s="201"/>
    </row>
    <row r="17100" spans="62:62" x14ac:dyDescent="0.2">
      <c r="BJ17100" s="201"/>
    </row>
    <row r="17101" spans="62:62" x14ac:dyDescent="0.2">
      <c r="BJ17101" s="201"/>
    </row>
    <row r="17102" spans="62:62" x14ac:dyDescent="0.2">
      <c r="BJ17102" s="201"/>
    </row>
    <row r="17103" spans="62:62" x14ac:dyDescent="0.2">
      <c r="BJ17103" s="201"/>
    </row>
    <row r="17104" spans="62:62" x14ac:dyDescent="0.2">
      <c r="BJ17104" s="201"/>
    </row>
    <row r="17105" spans="62:62" x14ac:dyDescent="0.2">
      <c r="BJ17105" s="201"/>
    </row>
    <row r="17106" spans="62:62" x14ac:dyDescent="0.2">
      <c r="BJ17106" s="201"/>
    </row>
    <row r="17107" spans="62:62" x14ac:dyDescent="0.2">
      <c r="BJ17107" s="201"/>
    </row>
    <row r="17108" spans="62:62" x14ac:dyDescent="0.2">
      <c r="BJ17108" s="201"/>
    </row>
    <row r="17109" spans="62:62" x14ac:dyDescent="0.2">
      <c r="BJ17109" s="201"/>
    </row>
    <row r="17110" spans="62:62" x14ac:dyDescent="0.2">
      <c r="BJ17110" s="201"/>
    </row>
    <row r="17111" spans="62:62" x14ac:dyDescent="0.2">
      <c r="BJ17111" s="201"/>
    </row>
    <row r="17112" spans="62:62" x14ac:dyDescent="0.2">
      <c r="BJ17112" s="201"/>
    </row>
    <row r="17113" spans="62:62" x14ac:dyDescent="0.2">
      <c r="BJ17113" s="201"/>
    </row>
    <row r="17114" spans="62:62" x14ac:dyDescent="0.2">
      <c r="BJ17114" s="201"/>
    </row>
    <row r="17115" spans="62:62" x14ac:dyDescent="0.2">
      <c r="BJ17115" s="201"/>
    </row>
    <row r="17116" spans="62:62" x14ac:dyDescent="0.2">
      <c r="BJ17116" s="201"/>
    </row>
    <row r="17117" spans="62:62" x14ac:dyDescent="0.2">
      <c r="BJ17117" s="201"/>
    </row>
    <row r="17118" spans="62:62" x14ac:dyDescent="0.2">
      <c r="BJ17118" s="201"/>
    </row>
    <row r="17119" spans="62:62" x14ac:dyDescent="0.2">
      <c r="BJ17119" s="201"/>
    </row>
    <row r="17120" spans="62:62" x14ac:dyDescent="0.2">
      <c r="BJ17120" s="201"/>
    </row>
    <row r="17121" spans="62:62" x14ac:dyDescent="0.2">
      <c r="BJ17121" s="201"/>
    </row>
    <row r="17122" spans="62:62" x14ac:dyDescent="0.2">
      <c r="BJ17122" s="201"/>
    </row>
    <row r="17123" spans="62:62" x14ac:dyDescent="0.2">
      <c r="BJ17123" s="201"/>
    </row>
    <row r="17124" spans="62:62" x14ac:dyDescent="0.2">
      <c r="BJ17124" s="201"/>
    </row>
    <row r="17125" spans="62:62" x14ac:dyDescent="0.2">
      <c r="BJ17125" s="201"/>
    </row>
    <row r="17126" spans="62:62" x14ac:dyDescent="0.2">
      <c r="BJ17126" s="201"/>
    </row>
    <row r="17127" spans="62:62" x14ac:dyDescent="0.2">
      <c r="BJ17127" s="201"/>
    </row>
    <row r="17128" spans="62:62" x14ac:dyDescent="0.2">
      <c r="BJ17128" s="201"/>
    </row>
    <row r="17129" spans="62:62" x14ac:dyDescent="0.2">
      <c r="BJ17129" s="201"/>
    </row>
    <row r="17130" spans="62:62" x14ac:dyDescent="0.2">
      <c r="BJ17130" s="201"/>
    </row>
    <row r="17131" spans="62:62" x14ac:dyDescent="0.2">
      <c r="BJ17131" s="201"/>
    </row>
    <row r="17132" spans="62:62" x14ac:dyDescent="0.2">
      <c r="BJ17132" s="201"/>
    </row>
    <row r="17133" spans="62:62" x14ac:dyDescent="0.2">
      <c r="BJ17133" s="201"/>
    </row>
    <row r="17134" spans="62:62" x14ac:dyDescent="0.2">
      <c r="BJ17134" s="201"/>
    </row>
    <row r="17135" spans="62:62" x14ac:dyDescent="0.2">
      <c r="BJ17135" s="201"/>
    </row>
    <row r="17136" spans="62:62" x14ac:dyDescent="0.2">
      <c r="BJ17136" s="201"/>
    </row>
    <row r="17137" spans="62:62" x14ac:dyDescent="0.2">
      <c r="BJ17137" s="201"/>
    </row>
    <row r="17138" spans="62:62" x14ac:dyDescent="0.2">
      <c r="BJ17138" s="201"/>
    </row>
    <row r="17139" spans="62:62" x14ac:dyDescent="0.2">
      <c r="BJ17139" s="201"/>
    </row>
    <row r="17140" spans="62:62" x14ac:dyDescent="0.2">
      <c r="BJ17140" s="201"/>
    </row>
    <row r="17141" spans="62:62" x14ac:dyDescent="0.2">
      <c r="BJ17141" s="201"/>
    </row>
    <row r="17142" spans="62:62" x14ac:dyDescent="0.2">
      <c r="BJ17142" s="201"/>
    </row>
    <row r="17143" spans="62:62" x14ac:dyDescent="0.2">
      <c r="BJ17143" s="201"/>
    </row>
    <row r="17144" spans="62:62" x14ac:dyDescent="0.2">
      <c r="BJ17144" s="201"/>
    </row>
    <row r="17145" spans="62:62" x14ac:dyDescent="0.2">
      <c r="BJ17145" s="201"/>
    </row>
    <row r="17146" spans="62:62" x14ac:dyDescent="0.2">
      <c r="BJ17146" s="201"/>
    </row>
    <row r="17147" spans="62:62" x14ac:dyDescent="0.2">
      <c r="BJ17147" s="201"/>
    </row>
    <row r="17148" spans="62:62" x14ac:dyDescent="0.2">
      <c r="BJ17148" s="201"/>
    </row>
    <row r="17149" spans="62:62" x14ac:dyDescent="0.2">
      <c r="BJ17149" s="201"/>
    </row>
    <row r="17150" spans="62:62" x14ac:dyDescent="0.2">
      <c r="BJ17150" s="201"/>
    </row>
    <row r="17151" spans="62:62" x14ac:dyDescent="0.2">
      <c r="BJ17151" s="201"/>
    </row>
    <row r="17152" spans="62:62" x14ac:dyDescent="0.2">
      <c r="BJ17152" s="201"/>
    </row>
    <row r="17153" spans="62:62" x14ac:dyDescent="0.2">
      <c r="BJ17153" s="201"/>
    </row>
    <row r="17154" spans="62:62" x14ac:dyDescent="0.2">
      <c r="BJ17154" s="201"/>
    </row>
    <row r="17155" spans="62:62" x14ac:dyDescent="0.2">
      <c r="BJ17155" s="201"/>
    </row>
    <row r="17156" spans="62:62" x14ac:dyDescent="0.2">
      <c r="BJ17156" s="201"/>
    </row>
    <row r="17157" spans="62:62" x14ac:dyDescent="0.2">
      <c r="BJ17157" s="201"/>
    </row>
    <row r="17158" spans="62:62" x14ac:dyDescent="0.2">
      <c r="BJ17158" s="201"/>
    </row>
    <row r="17159" spans="62:62" x14ac:dyDescent="0.2">
      <c r="BJ17159" s="201"/>
    </row>
    <row r="17160" spans="62:62" x14ac:dyDescent="0.2">
      <c r="BJ17160" s="201"/>
    </row>
    <row r="17161" spans="62:62" x14ac:dyDescent="0.2">
      <c r="BJ17161" s="201"/>
    </row>
    <row r="17162" spans="62:62" x14ac:dyDescent="0.2">
      <c r="BJ17162" s="201"/>
    </row>
    <row r="17163" spans="62:62" x14ac:dyDescent="0.2">
      <c r="BJ17163" s="201"/>
    </row>
    <row r="17164" spans="62:62" x14ac:dyDescent="0.2">
      <c r="BJ17164" s="201"/>
    </row>
    <row r="17165" spans="62:62" x14ac:dyDescent="0.2">
      <c r="BJ17165" s="201"/>
    </row>
    <row r="17166" spans="62:62" x14ac:dyDescent="0.2">
      <c r="BJ17166" s="201"/>
    </row>
    <row r="17167" spans="62:62" x14ac:dyDescent="0.2">
      <c r="BJ17167" s="201"/>
    </row>
    <row r="17168" spans="62:62" x14ac:dyDescent="0.2">
      <c r="BJ17168" s="201"/>
    </row>
    <row r="17169" spans="62:62" x14ac:dyDescent="0.2">
      <c r="BJ17169" s="201"/>
    </row>
    <row r="17170" spans="62:62" x14ac:dyDescent="0.2">
      <c r="BJ17170" s="201"/>
    </row>
    <row r="17171" spans="62:62" x14ac:dyDescent="0.2">
      <c r="BJ17171" s="201"/>
    </row>
    <row r="17172" spans="62:62" x14ac:dyDescent="0.2">
      <c r="BJ17172" s="201"/>
    </row>
    <row r="17173" spans="62:62" x14ac:dyDescent="0.2">
      <c r="BJ17173" s="201"/>
    </row>
    <row r="17174" spans="62:62" x14ac:dyDescent="0.2">
      <c r="BJ17174" s="201"/>
    </row>
    <row r="17175" spans="62:62" x14ac:dyDescent="0.2">
      <c r="BJ17175" s="201"/>
    </row>
    <row r="17176" spans="62:62" x14ac:dyDescent="0.2">
      <c r="BJ17176" s="201"/>
    </row>
    <row r="17177" spans="62:62" x14ac:dyDescent="0.2">
      <c r="BJ17177" s="201"/>
    </row>
    <row r="17178" spans="62:62" x14ac:dyDescent="0.2">
      <c r="BJ17178" s="201"/>
    </row>
    <row r="17179" spans="62:62" x14ac:dyDescent="0.2">
      <c r="BJ17179" s="201"/>
    </row>
    <row r="17180" spans="62:62" x14ac:dyDescent="0.2">
      <c r="BJ17180" s="201"/>
    </row>
    <row r="17181" spans="62:62" x14ac:dyDescent="0.2">
      <c r="BJ17181" s="201"/>
    </row>
    <row r="17182" spans="62:62" x14ac:dyDescent="0.2">
      <c r="BJ17182" s="201"/>
    </row>
    <row r="17183" spans="62:62" x14ac:dyDescent="0.2">
      <c r="BJ17183" s="201"/>
    </row>
    <row r="17184" spans="62:62" x14ac:dyDescent="0.2">
      <c r="BJ17184" s="201"/>
    </row>
    <row r="17185" spans="62:62" x14ac:dyDescent="0.2">
      <c r="BJ17185" s="201"/>
    </row>
    <row r="17186" spans="62:62" x14ac:dyDescent="0.2">
      <c r="BJ17186" s="201"/>
    </row>
    <row r="17187" spans="62:62" x14ac:dyDescent="0.2">
      <c r="BJ17187" s="201"/>
    </row>
    <row r="17188" spans="62:62" x14ac:dyDescent="0.2">
      <c r="BJ17188" s="201"/>
    </row>
    <row r="17189" spans="62:62" x14ac:dyDescent="0.2">
      <c r="BJ17189" s="201"/>
    </row>
    <row r="17190" spans="62:62" x14ac:dyDescent="0.2">
      <c r="BJ17190" s="201"/>
    </row>
    <row r="17191" spans="62:62" x14ac:dyDescent="0.2">
      <c r="BJ17191" s="201"/>
    </row>
    <row r="17192" spans="62:62" x14ac:dyDescent="0.2">
      <c r="BJ17192" s="201"/>
    </row>
    <row r="17193" spans="62:62" x14ac:dyDescent="0.2">
      <c r="BJ17193" s="201"/>
    </row>
    <row r="17194" spans="62:62" x14ac:dyDescent="0.2">
      <c r="BJ17194" s="201"/>
    </row>
    <row r="17195" spans="62:62" x14ac:dyDescent="0.2">
      <c r="BJ17195" s="201"/>
    </row>
    <row r="17196" spans="62:62" x14ac:dyDescent="0.2">
      <c r="BJ17196" s="201"/>
    </row>
    <row r="17197" spans="62:62" x14ac:dyDescent="0.2">
      <c r="BJ17197" s="201"/>
    </row>
    <row r="17198" spans="62:62" x14ac:dyDescent="0.2">
      <c r="BJ17198" s="201"/>
    </row>
    <row r="17199" spans="62:62" x14ac:dyDescent="0.2">
      <c r="BJ17199" s="201"/>
    </row>
    <row r="17200" spans="62:62" x14ac:dyDescent="0.2">
      <c r="BJ17200" s="201"/>
    </row>
    <row r="17201" spans="62:62" x14ac:dyDescent="0.2">
      <c r="BJ17201" s="201"/>
    </row>
    <row r="17202" spans="62:62" x14ac:dyDescent="0.2">
      <c r="BJ17202" s="201"/>
    </row>
    <row r="17203" spans="62:62" x14ac:dyDescent="0.2">
      <c r="BJ17203" s="201"/>
    </row>
    <row r="17204" spans="62:62" x14ac:dyDescent="0.2">
      <c r="BJ17204" s="201"/>
    </row>
    <row r="17205" spans="62:62" x14ac:dyDescent="0.2">
      <c r="BJ17205" s="201"/>
    </row>
    <row r="17206" spans="62:62" x14ac:dyDescent="0.2">
      <c r="BJ17206" s="201"/>
    </row>
    <row r="17207" spans="62:62" x14ac:dyDescent="0.2">
      <c r="BJ17207" s="201"/>
    </row>
    <row r="17208" spans="62:62" x14ac:dyDescent="0.2">
      <c r="BJ17208" s="201"/>
    </row>
    <row r="17209" spans="62:62" x14ac:dyDescent="0.2">
      <c r="BJ17209" s="201"/>
    </row>
    <row r="17210" spans="62:62" x14ac:dyDescent="0.2">
      <c r="BJ17210" s="201"/>
    </row>
    <row r="17211" spans="62:62" x14ac:dyDescent="0.2">
      <c r="BJ17211" s="201"/>
    </row>
    <row r="17212" spans="62:62" x14ac:dyDescent="0.2">
      <c r="BJ17212" s="201"/>
    </row>
    <row r="17213" spans="62:62" x14ac:dyDescent="0.2">
      <c r="BJ17213" s="201"/>
    </row>
    <row r="17214" spans="62:62" x14ac:dyDescent="0.2">
      <c r="BJ17214" s="201"/>
    </row>
    <row r="17215" spans="62:62" x14ac:dyDescent="0.2">
      <c r="BJ17215" s="201"/>
    </row>
    <row r="17216" spans="62:62" x14ac:dyDescent="0.2">
      <c r="BJ17216" s="201"/>
    </row>
    <row r="17217" spans="62:62" x14ac:dyDescent="0.2">
      <c r="BJ17217" s="201"/>
    </row>
    <row r="17218" spans="62:62" x14ac:dyDescent="0.2">
      <c r="BJ17218" s="201"/>
    </row>
    <row r="17219" spans="62:62" x14ac:dyDescent="0.2">
      <c r="BJ17219" s="201"/>
    </row>
    <row r="17220" spans="62:62" x14ac:dyDescent="0.2">
      <c r="BJ17220" s="201"/>
    </row>
    <row r="17221" spans="62:62" x14ac:dyDescent="0.2">
      <c r="BJ17221" s="201"/>
    </row>
    <row r="17222" spans="62:62" x14ac:dyDescent="0.2">
      <c r="BJ17222" s="201"/>
    </row>
    <row r="17223" spans="62:62" x14ac:dyDescent="0.2">
      <c r="BJ17223" s="201"/>
    </row>
    <row r="17224" spans="62:62" x14ac:dyDescent="0.2">
      <c r="BJ17224" s="201"/>
    </row>
    <row r="17225" spans="62:62" x14ac:dyDescent="0.2">
      <c r="BJ17225" s="201"/>
    </row>
    <row r="17226" spans="62:62" x14ac:dyDescent="0.2">
      <c r="BJ17226" s="201"/>
    </row>
    <row r="17227" spans="62:62" x14ac:dyDescent="0.2">
      <c r="BJ17227" s="201"/>
    </row>
    <row r="17228" spans="62:62" x14ac:dyDescent="0.2">
      <c r="BJ17228" s="201"/>
    </row>
    <row r="17229" spans="62:62" x14ac:dyDescent="0.2">
      <c r="BJ17229" s="201"/>
    </row>
    <row r="17230" spans="62:62" x14ac:dyDescent="0.2">
      <c r="BJ17230" s="201"/>
    </row>
    <row r="17231" spans="62:62" x14ac:dyDescent="0.2">
      <c r="BJ17231" s="201"/>
    </row>
    <row r="17232" spans="62:62" x14ac:dyDescent="0.2">
      <c r="BJ17232" s="201"/>
    </row>
    <row r="17233" spans="62:62" x14ac:dyDescent="0.2">
      <c r="BJ17233" s="201"/>
    </row>
    <row r="17234" spans="62:62" x14ac:dyDescent="0.2">
      <c r="BJ17234" s="201"/>
    </row>
    <row r="17235" spans="62:62" x14ac:dyDescent="0.2">
      <c r="BJ17235" s="201"/>
    </row>
    <row r="17236" spans="62:62" x14ac:dyDescent="0.2">
      <c r="BJ17236" s="201"/>
    </row>
    <row r="17237" spans="62:62" x14ac:dyDescent="0.2">
      <c r="BJ17237" s="201"/>
    </row>
    <row r="17238" spans="62:62" x14ac:dyDescent="0.2">
      <c r="BJ17238" s="201"/>
    </row>
    <row r="17239" spans="62:62" x14ac:dyDescent="0.2">
      <c r="BJ17239" s="201"/>
    </row>
    <row r="17240" spans="62:62" x14ac:dyDescent="0.2">
      <c r="BJ17240" s="201"/>
    </row>
    <row r="17241" spans="62:62" x14ac:dyDescent="0.2">
      <c r="BJ17241" s="201"/>
    </row>
    <row r="17242" spans="62:62" x14ac:dyDescent="0.2">
      <c r="BJ17242" s="201"/>
    </row>
    <row r="17243" spans="62:62" x14ac:dyDescent="0.2">
      <c r="BJ17243" s="201"/>
    </row>
    <row r="17244" spans="62:62" x14ac:dyDescent="0.2">
      <c r="BJ17244" s="201"/>
    </row>
    <row r="17245" spans="62:62" x14ac:dyDescent="0.2">
      <c r="BJ17245" s="201"/>
    </row>
    <row r="17246" spans="62:62" x14ac:dyDescent="0.2">
      <c r="BJ17246" s="201"/>
    </row>
    <row r="17247" spans="62:62" x14ac:dyDescent="0.2">
      <c r="BJ17247" s="201"/>
    </row>
    <row r="17248" spans="62:62" x14ac:dyDescent="0.2">
      <c r="BJ17248" s="201"/>
    </row>
    <row r="17249" spans="62:62" x14ac:dyDescent="0.2">
      <c r="BJ17249" s="201"/>
    </row>
    <row r="17250" spans="62:62" x14ac:dyDescent="0.2">
      <c r="BJ17250" s="201"/>
    </row>
    <row r="17251" spans="62:62" x14ac:dyDescent="0.2">
      <c r="BJ17251" s="201"/>
    </row>
    <row r="17252" spans="62:62" x14ac:dyDescent="0.2">
      <c r="BJ17252" s="201"/>
    </row>
    <row r="17253" spans="62:62" x14ac:dyDescent="0.2">
      <c r="BJ17253" s="201"/>
    </row>
    <row r="17254" spans="62:62" x14ac:dyDescent="0.2">
      <c r="BJ17254" s="201"/>
    </row>
    <row r="17255" spans="62:62" x14ac:dyDescent="0.2">
      <c r="BJ17255" s="201"/>
    </row>
    <row r="17256" spans="62:62" x14ac:dyDescent="0.2">
      <c r="BJ17256" s="201"/>
    </row>
    <row r="17257" spans="62:62" x14ac:dyDescent="0.2">
      <c r="BJ17257" s="201"/>
    </row>
    <row r="17258" spans="62:62" x14ac:dyDescent="0.2">
      <c r="BJ17258" s="201"/>
    </row>
    <row r="17259" spans="62:62" x14ac:dyDescent="0.2">
      <c r="BJ17259" s="201"/>
    </row>
    <row r="17260" spans="62:62" x14ac:dyDescent="0.2">
      <c r="BJ17260" s="201"/>
    </row>
    <row r="17261" spans="62:62" x14ac:dyDescent="0.2">
      <c r="BJ17261" s="201"/>
    </row>
    <row r="17262" spans="62:62" x14ac:dyDescent="0.2">
      <c r="BJ17262" s="201"/>
    </row>
    <row r="17263" spans="62:62" x14ac:dyDescent="0.2">
      <c r="BJ17263" s="201"/>
    </row>
    <row r="17264" spans="62:62" x14ac:dyDescent="0.2">
      <c r="BJ17264" s="201"/>
    </row>
    <row r="17265" spans="62:62" x14ac:dyDescent="0.2">
      <c r="BJ17265" s="201"/>
    </row>
    <row r="17266" spans="62:62" x14ac:dyDescent="0.2">
      <c r="BJ17266" s="201"/>
    </row>
    <row r="17267" spans="62:62" x14ac:dyDescent="0.2">
      <c r="BJ17267" s="201"/>
    </row>
    <row r="17268" spans="62:62" x14ac:dyDescent="0.2">
      <c r="BJ17268" s="201"/>
    </row>
    <row r="17269" spans="62:62" x14ac:dyDescent="0.2">
      <c r="BJ17269" s="201"/>
    </row>
    <row r="17270" spans="62:62" x14ac:dyDescent="0.2">
      <c r="BJ17270" s="201"/>
    </row>
    <row r="17271" spans="62:62" x14ac:dyDescent="0.2">
      <c r="BJ17271" s="201"/>
    </row>
    <row r="17272" spans="62:62" x14ac:dyDescent="0.2">
      <c r="BJ17272" s="201"/>
    </row>
    <row r="17273" spans="62:62" x14ac:dyDescent="0.2">
      <c r="BJ17273" s="201"/>
    </row>
    <row r="17274" spans="62:62" x14ac:dyDescent="0.2">
      <c r="BJ17274" s="201"/>
    </row>
    <row r="17275" spans="62:62" x14ac:dyDescent="0.2">
      <c r="BJ17275" s="201"/>
    </row>
    <row r="17276" spans="62:62" x14ac:dyDescent="0.2">
      <c r="BJ17276" s="201"/>
    </row>
    <row r="17277" spans="62:62" x14ac:dyDescent="0.2">
      <c r="BJ17277" s="201"/>
    </row>
    <row r="17278" spans="62:62" x14ac:dyDescent="0.2">
      <c r="BJ17278" s="201"/>
    </row>
    <row r="17279" spans="62:62" x14ac:dyDescent="0.2">
      <c r="BJ17279" s="201"/>
    </row>
    <row r="17280" spans="62:62" x14ac:dyDescent="0.2">
      <c r="BJ17280" s="201"/>
    </row>
    <row r="17281" spans="62:62" x14ac:dyDescent="0.2">
      <c r="BJ17281" s="201"/>
    </row>
    <row r="17282" spans="62:62" x14ac:dyDescent="0.2">
      <c r="BJ17282" s="201"/>
    </row>
    <row r="17283" spans="62:62" x14ac:dyDescent="0.2">
      <c r="BJ17283" s="201"/>
    </row>
    <row r="17284" spans="62:62" x14ac:dyDescent="0.2">
      <c r="BJ17284" s="201"/>
    </row>
    <row r="17285" spans="62:62" x14ac:dyDescent="0.2">
      <c r="BJ17285" s="201"/>
    </row>
    <row r="17286" spans="62:62" x14ac:dyDescent="0.2">
      <c r="BJ17286" s="201"/>
    </row>
    <row r="17287" spans="62:62" x14ac:dyDescent="0.2">
      <c r="BJ17287" s="201"/>
    </row>
    <row r="17288" spans="62:62" x14ac:dyDescent="0.2">
      <c r="BJ17288" s="201"/>
    </row>
    <row r="17289" spans="62:62" x14ac:dyDescent="0.2">
      <c r="BJ17289" s="201"/>
    </row>
    <row r="17290" spans="62:62" x14ac:dyDescent="0.2">
      <c r="BJ17290" s="201"/>
    </row>
    <row r="17291" spans="62:62" x14ac:dyDescent="0.2">
      <c r="BJ17291" s="201"/>
    </row>
    <row r="17292" spans="62:62" x14ac:dyDescent="0.2">
      <c r="BJ17292" s="201"/>
    </row>
    <row r="17293" spans="62:62" x14ac:dyDescent="0.2">
      <c r="BJ17293" s="201"/>
    </row>
    <row r="17294" spans="62:62" x14ac:dyDescent="0.2">
      <c r="BJ17294" s="201"/>
    </row>
    <row r="17295" spans="62:62" x14ac:dyDescent="0.2">
      <c r="BJ17295" s="201"/>
    </row>
    <row r="17296" spans="62:62" x14ac:dyDescent="0.2">
      <c r="BJ17296" s="201"/>
    </row>
    <row r="17297" spans="62:62" x14ac:dyDescent="0.2">
      <c r="BJ17297" s="201"/>
    </row>
    <row r="17298" spans="62:62" x14ac:dyDescent="0.2">
      <c r="BJ17298" s="201"/>
    </row>
    <row r="17299" spans="62:62" x14ac:dyDescent="0.2">
      <c r="BJ17299" s="201"/>
    </row>
    <row r="17300" spans="62:62" x14ac:dyDescent="0.2">
      <c r="BJ17300" s="201"/>
    </row>
    <row r="17301" spans="62:62" x14ac:dyDescent="0.2">
      <c r="BJ17301" s="201"/>
    </row>
    <row r="17302" spans="62:62" x14ac:dyDescent="0.2">
      <c r="BJ17302" s="201"/>
    </row>
    <row r="17303" spans="62:62" x14ac:dyDescent="0.2">
      <c r="BJ17303" s="201"/>
    </row>
    <row r="17304" spans="62:62" x14ac:dyDescent="0.2">
      <c r="BJ17304" s="201"/>
    </row>
    <row r="17305" spans="62:62" x14ac:dyDescent="0.2">
      <c r="BJ17305" s="201"/>
    </row>
    <row r="17306" spans="62:62" x14ac:dyDescent="0.2">
      <c r="BJ17306" s="201"/>
    </row>
    <row r="17307" spans="62:62" x14ac:dyDescent="0.2">
      <c r="BJ17307" s="201"/>
    </row>
    <row r="17308" spans="62:62" x14ac:dyDescent="0.2">
      <c r="BJ17308" s="201"/>
    </row>
    <row r="17309" spans="62:62" x14ac:dyDescent="0.2">
      <c r="BJ17309" s="201"/>
    </row>
    <row r="17310" spans="62:62" x14ac:dyDescent="0.2">
      <c r="BJ17310" s="201"/>
    </row>
    <row r="17311" spans="62:62" x14ac:dyDescent="0.2">
      <c r="BJ17311" s="201"/>
    </row>
    <row r="17312" spans="62:62" x14ac:dyDescent="0.2">
      <c r="BJ17312" s="201"/>
    </row>
    <row r="17313" spans="62:62" x14ac:dyDescent="0.2">
      <c r="BJ17313" s="201"/>
    </row>
    <row r="17314" spans="62:62" x14ac:dyDescent="0.2">
      <c r="BJ17314" s="201"/>
    </row>
    <row r="17315" spans="62:62" x14ac:dyDescent="0.2">
      <c r="BJ17315" s="201"/>
    </row>
    <row r="17316" spans="62:62" x14ac:dyDescent="0.2">
      <c r="BJ17316" s="201"/>
    </row>
    <row r="17317" spans="62:62" x14ac:dyDescent="0.2">
      <c r="BJ17317" s="201"/>
    </row>
    <row r="17318" spans="62:62" x14ac:dyDescent="0.2">
      <c r="BJ17318" s="201"/>
    </row>
    <row r="17319" spans="62:62" x14ac:dyDescent="0.2">
      <c r="BJ17319" s="201"/>
    </row>
    <row r="17320" spans="62:62" x14ac:dyDescent="0.2">
      <c r="BJ17320" s="201"/>
    </row>
    <row r="17321" spans="62:62" x14ac:dyDescent="0.2">
      <c r="BJ17321" s="201"/>
    </row>
    <row r="17322" spans="62:62" x14ac:dyDescent="0.2">
      <c r="BJ17322" s="201"/>
    </row>
    <row r="17323" spans="62:62" x14ac:dyDescent="0.2">
      <c r="BJ17323" s="201"/>
    </row>
    <row r="17324" spans="62:62" x14ac:dyDescent="0.2">
      <c r="BJ17324" s="201"/>
    </row>
    <row r="17325" spans="62:62" x14ac:dyDescent="0.2">
      <c r="BJ17325" s="201"/>
    </row>
    <row r="17326" spans="62:62" x14ac:dyDescent="0.2">
      <c r="BJ17326" s="201"/>
    </row>
    <row r="17327" spans="62:62" x14ac:dyDescent="0.2">
      <c r="BJ17327" s="201"/>
    </row>
    <row r="17328" spans="62:62" x14ac:dyDescent="0.2">
      <c r="BJ17328" s="201"/>
    </row>
    <row r="17329" spans="62:62" x14ac:dyDescent="0.2">
      <c r="BJ17329" s="201"/>
    </row>
    <row r="17330" spans="62:62" x14ac:dyDescent="0.2">
      <c r="BJ17330" s="201"/>
    </row>
    <row r="17331" spans="62:62" x14ac:dyDescent="0.2">
      <c r="BJ17331" s="201"/>
    </row>
    <row r="17332" spans="62:62" x14ac:dyDescent="0.2">
      <c r="BJ17332" s="201"/>
    </row>
    <row r="17333" spans="62:62" x14ac:dyDescent="0.2">
      <c r="BJ17333" s="201"/>
    </row>
    <row r="17334" spans="62:62" x14ac:dyDescent="0.2">
      <c r="BJ17334" s="201"/>
    </row>
    <row r="17335" spans="62:62" x14ac:dyDescent="0.2">
      <c r="BJ17335" s="201"/>
    </row>
    <row r="17336" spans="62:62" x14ac:dyDescent="0.2">
      <c r="BJ17336" s="201"/>
    </row>
    <row r="17337" spans="62:62" x14ac:dyDescent="0.2">
      <c r="BJ17337" s="201"/>
    </row>
    <row r="17338" spans="62:62" x14ac:dyDescent="0.2">
      <c r="BJ17338" s="201"/>
    </row>
    <row r="17339" spans="62:62" x14ac:dyDescent="0.2">
      <c r="BJ17339" s="201"/>
    </row>
    <row r="17340" spans="62:62" x14ac:dyDescent="0.2">
      <c r="BJ17340" s="201"/>
    </row>
    <row r="17341" spans="62:62" x14ac:dyDescent="0.2">
      <c r="BJ17341" s="201"/>
    </row>
    <row r="17342" spans="62:62" x14ac:dyDescent="0.2">
      <c r="BJ17342" s="201"/>
    </row>
    <row r="17343" spans="62:62" x14ac:dyDescent="0.2">
      <c r="BJ17343" s="201"/>
    </row>
    <row r="17344" spans="62:62" x14ac:dyDescent="0.2">
      <c r="BJ17344" s="201"/>
    </row>
    <row r="17345" spans="62:62" x14ac:dyDescent="0.2">
      <c r="BJ17345" s="201"/>
    </row>
    <row r="17346" spans="62:62" x14ac:dyDescent="0.2">
      <c r="BJ17346" s="201"/>
    </row>
    <row r="17347" spans="62:62" x14ac:dyDescent="0.2">
      <c r="BJ17347" s="201"/>
    </row>
    <row r="17348" spans="62:62" x14ac:dyDescent="0.2">
      <c r="BJ17348" s="201"/>
    </row>
    <row r="17349" spans="62:62" x14ac:dyDescent="0.2">
      <c r="BJ17349" s="201"/>
    </row>
    <row r="17350" spans="62:62" x14ac:dyDescent="0.2">
      <c r="BJ17350" s="201"/>
    </row>
    <row r="17351" spans="62:62" x14ac:dyDescent="0.2">
      <c r="BJ17351" s="201"/>
    </row>
    <row r="17352" spans="62:62" x14ac:dyDescent="0.2">
      <c r="BJ17352" s="201"/>
    </row>
    <row r="17353" spans="62:62" x14ac:dyDescent="0.2">
      <c r="BJ17353" s="201"/>
    </row>
    <row r="17354" spans="62:62" x14ac:dyDescent="0.2">
      <c r="BJ17354" s="201"/>
    </row>
    <row r="17355" spans="62:62" x14ac:dyDescent="0.2">
      <c r="BJ17355" s="201"/>
    </row>
    <row r="17356" spans="62:62" x14ac:dyDescent="0.2">
      <c r="BJ17356" s="201"/>
    </row>
    <row r="17357" spans="62:62" x14ac:dyDescent="0.2">
      <c r="BJ17357" s="201"/>
    </row>
    <row r="17358" spans="62:62" x14ac:dyDescent="0.2">
      <c r="BJ17358" s="201"/>
    </row>
    <row r="17359" spans="62:62" x14ac:dyDescent="0.2">
      <c r="BJ17359" s="201"/>
    </row>
    <row r="17360" spans="62:62" x14ac:dyDescent="0.2">
      <c r="BJ17360" s="201"/>
    </row>
    <row r="17361" spans="62:62" x14ac:dyDescent="0.2">
      <c r="BJ17361" s="201"/>
    </row>
    <row r="17362" spans="62:62" x14ac:dyDescent="0.2">
      <c r="BJ17362" s="201"/>
    </row>
    <row r="17363" spans="62:62" x14ac:dyDescent="0.2">
      <c r="BJ17363" s="201"/>
    </row>
    <row r="17364" spans="62:62" x14ac:dyDescent="0.2">
      <c r="BJ17364" s="201"/>
    </row>
    <row r="17365" spans="62:62" x14ac:dyDescent="0.2">
      <c r="BJ17365" s="201"/>
    </row>
    <row r="17366" spans="62:62" x14ac:dyDescent="0.2">
      <c r="BJ17366" s="201"/>
    </row>
    <row r="17367" spans="62:62" x14ac:dyDescent="0.2">
      <c r="BJ17367" s="201"/>
    </row>
    <row r="17368" spans="62:62" x14ac:dyDescent="0.2">
      <c r="BJ17368" s="201"/>
    </row>
    <row r="17369" spans="62:62" x14ac:dyDescent="0.2">
      <c r="BJ17369" s="201"/>
    </row>
    <row r="17370" spans="62:62" x14ac:dyDescent="0.2">
      <c r="BJ17370" s="201"/>
    </row>
    <row r="17371" spans="62:62" x14ac:dyDescent="0.2">
      <c r="BJ17371" s="201"/>
    </row>
    <row r="17372" spans="62:62" x14ac:dyDescent="0.2">
      <c r="BJ17372" s="201"/>
    </row>
    <row r="17373" spans="62:62" x14ac:dyDescent="0.2">
      <c r="BJ17373" s="201"/>
    </row>
    <row r="17374" spans="62:62" x14ac:dyDescent="0.2">
      <c r="BJ17374" s="201"/>
    </row>
    <row r="17375" spans="62:62" x14ac:dyDescent="0.2">
      <c r="BJ17375" s="201"/>
    </row>
    <row r="17376" spans="62:62" x14ac:dyDescent="0.2">
      <c r="BJ17376" s="201"/>
    </row>
    <row r="17377" spans="62:62" x14ac:dyDescent="0.2">
      <c r="BJ17377" s="201"/>
    </row>
    <row r="17378" spans="62:62" x14ac:dyDescent="0.2">
      <c r="BJ17378" s="201"/>
    </row>
    <row r="17379" spans="62:62" x14ac:dyDescent="0.2">
      <c r="BJ17379" s="201"/>
    </row>
    <row r="17380" spans="62:62" x14ac:dyDescent="0.2">
      <c r="BJ17380" s="201"/>
    </row>
    <row r="17381" spans="62:62" x14ac:dyDescent="0.2">
      <c r="BJ17381" s="201"/>
    </row>
    <row r="17382" spans="62:62" x14ac:dyDescent="0.2">
      <c r="BJ17382" s="201"/>
    </row>
    <row r="17383" spans="62:62" x14ac:dyDescent="0.2">
      <c r="BJ17383" s="201"/>
    </row>
    <row r="17384" spans="62:62" x14ac:dyDescent="0.2">
      <c r="BJ17384" s="201"/>
    </row>
    <row r="17385" spans="62:62" x14ac:dyDescent="0.2">
      <c r="BJ17385" s="201"/>
    </row>
    <row r="17386" spans="62:62" x14ac:dyDescent="0.2">
      <c r="BJ17386" s="201"/>
    </row>
    <row r="17387" spans="62:62" x14ac:dyDescent="0.2">
      <c r="BJ17387" s="201"/>
    </row>
    <row r="17388" spans="62:62" x14ac:dyDescent="0.2">
      <c r="BJ17388" s="201"/>
    </row>
    <row r="17389" spans="62:62" x14ac:dyDescent="0.2">
      <c r="BJ17389" s="201"/>
    </row>
    <row r="17390" spans="62:62" x14ac:dyDescent="0.2">
      <c r="BJ17390" s="201"/>
    </row>
    <row r="17391" spans="62:62" x14ac:dyDescent="0.2">
      <c r="BJ17391" s="201"/>
    </row>
    <row r="17392" spans="62:62" x14ac:dyDescent="0.2">
      <c r="BJ17392" s="201"/>
    </row>
    <row r="17393" spans="62:62" x14ac:dyDescent="0.2">
      <c r="BJ17393" s="201"/>
    </row>
    <row r="17394" spans="62:62" x14ac:dyDescent="0.2">
      <c r="BJ17394" s="201"/>
    </row>
    <row r="17395" spans="62:62" x14ac:dyDescent="0.2">
      <c r="BJ17395" s="201"/>
    </row>
    <row r="17396" spans="62:62" x14ac:dyDescent="0.2">
      <c r="BJ17396" s="201"/>
    </row>
    <row r="17397" spans="62:62" x14ac:dyDescent="0.2">
      <c r="BJ17397" s="201"/>
    </row>
    <row r="17398" spans="62:62" x14ac:dyDescent="0.2">
      <c r="BJ17398" s="201"/>
    </row>
    <row r="17399" spans="62:62" x14ac:dyDescent="0.2">
      <c r="BJ17399" s="201"/>
    </row>
    <row r="17400" spans="62:62" x14ac:dyDescent="0.2">
      <c r="BJ17400" s="201"/>
    </row>
    <row r="17401" spans="62:62" x14ac:dyDescent="0.2">
      <c r="BJ17401" s="201"/>
    </row>
    <row r="17402" spans="62:62" x14ac:dyDescent="0.2">
      <c r="BJ17402" s="201"/>
    </row>
    <row r="17403" spans="62:62" x14ac:dyDescent="0.2">
      <c r="BJ17403" s="201"/>
    </row>
    <row r="17404" spans="62:62" x14ac:dyDescent="0.2">
      <c r="BJ17404" s="201"/>
    </row>
    <row r="17405" spans="62:62" x14ac:dyDescent="0.2">
      <c r="BJ17405" s="201"/>
    </row>
    <row r="17406" spans="62:62" x14ac:dyDescent="0.2">
      <c r="BJ17406" s="201"/>
    </row>
    <row r="17407" spans="62:62" x14ac:dyDescent="0.2">
      <c r="BJ17407" s="201"/>
    </row>
    <row r="17408" spans="62:62" x14ac:dyDescent="0.2">
      <c r="BJ17408" s="201"/>
    </row>
    <row r="17409" spans="62:62" x14ac:dyDescent="0.2">
      <c r="BJ17409" s="201"/>
    </row>
    <row r="17410" spans="62:62" x14ac:dyDescent="0.2">
      <c r="BJ17410" s="201"/>
    </row>
    <row r="17411" spans="62:62" x14ac:dyDescent="0.2">
      <c r="BJ17411" s="201"/>
    </row>
    <row r="17412" spans="62:62" x14ac:dyDescent="0.2">
      <c r="BJ17412" s="201"/>
    </row>
    <row r="17413" spans="62:62" x14ac:dyDescent="0.2">
      <c r="BJ17413" s="201"/>
    </row>
    <row r="17414" spans="62:62" x14ac:dyDescent="0.2">
      <c r="BJ17414" s="201"/>
    </row>
    <row r="17415" spans="62:62" x14ac:dyDescent="0.2">
      <c r="BJ17415" s="201"/>
    </row>
    <row r="17416" spans="62:62" x14ac:dyDescent="0.2">
      <c r="BJ17416" s="201"/>
    </row>
    <row r="17417" spans="62:62" x14ac:dyDescent="0.2">
      <c r="BJ17417" s="201"/>
    </row>
    <row r="17418" spans="62:62" x14ac:dyDescent="0.2">
      <c r="BJ17418" s="201"/>
    </row>
    <row r="17419" spans="62:62" x14ac:dyDescent="0.2">
      <c r="BJ17419" s="201"/>
    </row>
    <row r="17420" spans="62:62" x14ac:dyDescent="0.2">
      <c r="BJ17420" s="201"/>
    </row>
    <row r="17421" spans="62:62" x14ac:dyDescent="0.2">
      <c r="BJ17421" s="201"/>
    </row>
    <row r="17422" spans="62:62" x14ac:dyDescent="0.2">
      <c r="BJ17422" s="201"/>
    </row>
    <row r="17423" spans="62:62" x14ac:dyDescent="0.2">
      <c r="BJ17423" s="201"/>
    </row>
    <row r="17424" spans="62:62" x14ac:dyDescent="0.2">
      <c r="BJ17424" s="201"/>
    </row>
    <row r="17425" spans="62:62" x14ac:dyDescent="0.2">
      <c r="BJ17425" s="201"/>
    </row>
    <row r="17426" spans="62:62" x14ac:dyDescent="0.2">
      <c r="BJ17426" s="201"/>
    </row>
    <row r="17427" spans="62:62" x14ac:dyDescent="0.2">
      <c r="BJ17427" s="201"/>
    </row>
    <row r="17428" spans="62:62" x14ac:dyDescent="0.2">
      <c r="BJ17428" s="201"/>
    </row>
    <row r="17429" spans="62:62" x14ac:dyDescent="0.2">
      <c r="BJ17429" s="201"/>
    </row>
    <row r="17430" spans="62:62" x14ac:dyDescent="0.2">
      <c r="BJ17430" s="201"/>
    </row>
    <row r="17431" spans="62:62" x14ac:dyDescent="0.2">
      <c r="BJ17431" s="201"/>
    </row>
    <row r="17432" spans="62:62" x14ac:dyDescent="0.2">
      <c r="BJ17432" s="201"/>
    </row>
    <row r="17433" spans="62:62" x14ac:dyDescent="0.2">
      <c r="BJ17433" s="201"/>
    </row>
    <row r="17434" spans="62:62" x14ac:dyDescent="0.2">
      <c r="BJ17434" s="201"/>
    </row>
    <row r="17435" spans="62:62" x14ac:dyDescent="0.2">
      <c r="BJ17435" s="201"/>
    </row>
    <row r="17436" spans="62:62" x14ac:dyDescent="0.2">
      <c r="BJ17436" s="201"/>
    </row>
    <row r="17437" spans="62:62" x14ac:dyDescent="0.2">
      <c r="BJ17437" s="201"/>
    </row>
    <row r="17438" spans="62:62" x14ac:dyDescent="0.2">
      <c r="BJ17438" s="201"/>
    </row>
    <row r="17439" spans="62:62" x14ac:dyDescent="0.2">
      <c r="BJ17439" s="201"/>
    </row>
    <row r="17440" spans="62:62" x14ac:dyDescent="0.2">
      <c r="BJ17440" s="201"/>
    </row>
    <row r="17441" spans="62:62" x14ac:dyDescent="0.2">
      <c r="BJ17441" s="201"/>
    </row>
    <row r="17442" spans="62:62" x14ac:dyDescent="0.2">
      <c r="BJ17442" s="201"/>
    </row>
    <row r="17443" spans="62:62" x14ac:dyDescent="0.2">
      <c r="BJ17443" s="201"/>
    </row>
    <row r="17444" spans="62:62" x14ac:dyDescent="0.2">
      <c r="BJ17444" s="201"/>
    </row>
    <row r="17445" spans="62:62" x14ac:dyDescent="0.2">
      <c r="BJ17445" s="201"/>
    </row>
    <row r="17446" spans="62:62" x14ac:dyDescent="0.2">
      <c r="BJ17446" s="201"/>
    </row>
    <row r="17447" spans="62:62" x14ac:dyDescent="0.2">
      <c r="BJ17447" s="201"/>
    </row>
    <row r="17448" spans="62:62" x14ac:dyDescent="0.2">
      <c r="BJ17448" s="201"/>
    </row>
    <row r="17449" spans="62:62" x14ac:dyDescent="0.2">
      <c r="BJ17449" s="201"/>
    </row>
    <row r="17450" spans="62:62" x14ac:dyDescent="0.2">
      <c r="BJ17450" s="201"/>
    </row>
    <row r="17451" spans="62:62" x14ac:dyDescent="0.2">
      <c r="BJ17451" s="201"/>
    </row>
    <row r="17452" spans="62:62" x14ac:dyDescent="0.2">
      <c r="BJ17452" s="201"/>
    </row>
    <row r="17453" spans="62:62" x14ac:dyDescent="0.2">
      <c r="BJ17453" s="201"/>
    </row>
    <row r="17454" spans="62:62" x14ac:dyDescent="0.2">
      <c r="BJ17454" s="201"/>
    </row>
    <row r="17455" spans="62:62" x14ac:dyDescent="0.2">
      <c r="BJ17455" s="201"/>
    </row>
    <row r="17456" spans="62:62" x14ac:dyDescent="0.2">
      <c r="BJ17456" s="201"/>
    </row>
    <row r="17457" spans="62:62" x14ac:dyDescent="0.2">
      <c r="BJ17457" s="201"/>
    </row>
    <row r="17458" spans="62:62" x14ac:dyDescent="0.2">
      <c r="BJ17458" s="201"/>
    </row>
    <row r="17459" spans="62:62" x14ac:dyDescent="0.2">
      <c r="BJ17459" s="201"/>
    </row>
    <row r="17460" spans="62:62" x14ac:dyDescent="0.2">
      <c r="BJ17460" s="201"/>
    </row>
    <row r="17461" spans="62:62" x14ac:dyDescent="0.2">
      <c r="BJ17461" s="201"/>
    </row>
    <row r="17462" spans="62:62" x14ac:dyDescent="0.2">
      <c r="BJ17462" s="201"/>
    </row>
    <row r="17463" spans="62:62" x14ac:dyDescent="0.2">
      <c r="BJ17463" s="201"/>
    </row>
    <row r="17464" spans="62:62" x14ac:dyDescent="0.2">
      <c r="BJ17464" s="201"/>
    </row>
    <row r="17465" spans="62:62" x14ac:dyDescent="0.2">
      <c r="BJ17465" s="201"/>
    </row>
    <row r="17466" spans="62:62" x14ac:dyDescent="0.2">
      <c r="BJ17466" s="201"/>
    </row>
    <row r="17467" spans="62:62" x14ac:dyDescent="0.2">
      <c r="BJ17467" s="201"/>
    </row>
    <row r="17468" spans="62:62" x14ac:dyDescent="0.2">
      <c r="BJ17468" s="201"/>
    </row>
    <row r="17469" spans="62:62" x14ac:dyDescent="0.2">
      <c r="BJ17469" s="201"/>
    </row>
    <row r="17470" spans="62:62" x14ac:dyDescent="0.2">
      <c r="BJ17470" s="201"/>
    </row>
    <row r="17471" spans="62:62" x14ac:dyDescent="0.2">
      <c r="BJ17471" s="201"/>
    </row>
    <row r="17472" spans="62:62" x14ac:dyDescent="0.2">
      <c r="BJ17472" s="201"/>
    </row>
    <row r="17473" spans="62:62" x14ac:dyDescent="0.2">
      <c r="BJ17473" s="201"/>
    </row>
    <row r="17474" spans="62:62" x14ac:dyDescent="0.2">
      <c r="BJ17474" s="201"/>
    </row>
    <row r="17475" spans="62:62" x14ac:dyDescent="0.2">
      <c r="BJ17475" s="201"/>
    </row>
    <row r="17476" spans="62:62" x14ac:dyDescent="0.2">
      <c r="BJ17476" s="201"/>
    </row>
    <row r="17477" spans="62:62" x14ac:dyDescent="0.2">
      <c r="BJ17477" s="201"/>
    </row>
    <row r="17478" spans="62:62" x14ac:dyDescent="0.2">
      <c r="BJ17478" s="201"/>
    </row>
    <row r="17479" spans="62:62" x14ac:dyDescent="0.2">
      <c r="BJ17479" s="201"/>
    </row>
    <row r="17480" spans="62:62" x14ac:dyDescent="0.2">
      <c r="BJ17480" s="201"/>
    </row>
    <row r="17481" spans="62:62" x14ac:dyDescent="0.2">
      <c r="BJ17481" s="201"/>
    </row>
    <row r="17482" spans="62:62" x14ac:dyDescent="0.2">
      <c r="BJ17482" s="201"/>
    </row>
    <row r="17483" spans="62:62" x14ac:dyDescent="0.2">
      <c r="BJ17483" s="201"/>
    </row>
    <row r="17484" spans="62:62" x14ac:dyDescent="0.2">
      <c r="BJ17484" s="201"/>
    </row>
    <row r="17485" spans="62:62" x14ac:dyDescent="0.2">
      <c r="BJ17485" s="201"/>
    </row>
    <row r="17486" spans="62:62" x14ac:dyDescent="0.2">
      <c r="BJ17486" s="201"/>
    </row>
    <row r="17487" spans="62:62" x14ac:dyDescent="0.2">
      <c r="BJ17487" s="201"/>
    </row>
    <row r="17488" spans="62:62" x14ac:dyDescent="0.2">
      <c r="BJ17488" s="201"/>
    </row>
    <row r="17489" spans="62:62" x14ac:dyDescent="0.2">
      <c r="BJ17489" s="201"/>
    </row>
    <row r="17490" spans="62:62" x14ac:dyDescent="0.2">
      <c r="BJ17490" s="201"/>
    </row>
    <row r="17491" spans="62:62" x14ac:dyDescent="0.2">
      <c r="BJ17491" s="201"/>
    </row>
    <row r="17492" spans="62:62" x14ac:dyDescent="0.2">
      <c r="BJ17492" s="201"/>
    </row>
    <row r="17493" spans="62:62" x14ac:dyDescent="0.2">
      <c r="BJ17493" s="201"/>
    </row>
    <row r="17494" spans="62:62" x14ac:dyDescent="0.2">
      <c r="BJ17494" s="201"/>
    </row>
    <row r="17495" spans="62:62" x14ac:dyDescent="0.2">
      <c r="BJ17495" s="201"/>
    </row>
    <row r="17496" spans="62:62" x14ac:dyDescent="0.2">
      <c r="BJ17496" s="201"/>
    </row>
    <row r="17497" spans="62:62" x14ac:dyDescent="0.2">
      <c r="BJ17497" s="201"/>
    </row>
    <row r="17498" spans="62:62" x14ac:dyDescent="0.2">
      <c r="BJ17498" s="201"/>
    </row>
    <row r="17499" spans="62:62" x14ac:dyDescent="0.2">
      <c r="BJ17499" s="201"/>
    </row>
    <row r="17500" spans="62:62" x14ac:dyDescent="0.2">
      <c r="BJ17500" s="201"/>
    </row>
    <row r="17501" spans="62:62" x14ac:dyDescent="0.2">
      <c r="BJ17501" s="201"/>
    </row>
    <row r="17502" spans="62:62" x14ac:dyDescent="0.2">
      <c r="BJ17502" s="201"/>
    </row>
    <row r="17503" spans="62:62" x14ac:dyDescent="0.2">
      <c r="BJ17503" s="201"/>
    </row>
    <row r="17504" spans="62:62" x14ac:dyDescent="0.2">
      <c r="BJ17504" s="201"/>
    </row>
    <row r="17505" spans="62:62" x14ac:dyDescent="0.2">
      <c r="BJ17505" s="201"/>
    </row>
    <row r="17506" spans="62:62" x14ac:dyDescent="0.2">
      <c r="BJ17506" s="201"/>
    </row>
    <row r="17507" spans="62:62" x14ac:dyDescent="0.2">
      <c r="BJ17507" s="201"/>
    </row>
    <row r="17508" spans="62:62" x14ac:dyDescent="0.2">
      <c r="BJ17508" s="201"/>
    </row>
    <row r="17509" spans="62:62" x14ac:dyDescent="0.2">
      <c r="BJ17509" s="201"/>
    </row>
    <row r="17510" spans="62:62" x14ac:dyDescent="0.2">
      <c r="BJ17510" s="201"/>
    </row>
    <row r="17511" spans="62:62" x14ac:dyDescent="0.2">
      <c r="BJ17511" s="201"/>
    </row>
    <row r="17512" spans="62:62" x14ac:dyDescent="0.2">
      <c r="BJ17512" s="201"/>
    </row>
    <row r="17513" spans="62:62" x14ac:dyDescent="0.2">
      <c r="BJ17513" s="201"/>
    </row>
    <row r="17514" spans="62:62" x14ac:dyDescent="0.2">
      <c r="BJ17514" s="201"/>
    </row>
    <row r="17515" spans="62:62" x14ac:dyDescent="0.2">
      <c r="BJ17515" s="201"/>
    </row>
    <row r="17516" spans="62:62" x14ac:dyDescent="0.2">
      <c r="BJ17516" s="201"/>
    </row>
    <row r="17517" spans="62:62" x14ac:dyDescent="0.2">
      <c r="BJ17517" s="201"/>
    </row>
    <row r="17518" spans="62:62" x14ac:dyDescent="0.2">
      <c r="BJ17518" s="201"/>
    </row>
    <row r="17519" spans="62:62" x14ac:dyDescent="0.2">
      <c r="BJ17519" s="201"/>
    </row>
    <row r="17520" spans="62:62" x14ac:dyDescent="0.2">
      <c r="BJ17520" s="201"/>
    </row>
    <row r="17521" spans="62:62" x14ac:dyDescent="0.2">
      <c r="BJ17521" s="201"/>
    </row>
    <row r="17522" spans="62:62" x14ac:dyDescent="0.2">
      <c r="BJ17522" s="201"/>
    </row>
    <row r="17523" spans="62:62" x14ac:dyDescent="0.2">
      <c r="BJ17523" s="201"/>
    </row>
    <row r="17524" spans="62:62" x14ac:dyDescent="0.2">
      <c r="BJ17524" s="201"/>
    </row>
    <row r="17525" spans="62:62" x14ac:dyDescent="0.2">
      <c r="BJ17525" s="201"/>
    </row>
    <row r="17526" spans="62:62" x14ac:dyDescent="0.2">
      <c r="BJ17526" s="201"/>
    </row>
    <row r="17527" spans="62:62" x14ac:dyDescent="0.2">
      <c r="BJ17527" s="201"/>
    </row>
    <row r="17528" spans="62:62" x14ac:dyDescent="0.2">
      <c r="BJ17528" s="201"/>
    </row>
    <row r="17529" spans="62:62" x14ac:dyDescent="0.2">
      <c r="BJ17529" s="201"/>
    </row>
    <row r="17530" spans="62:62" x14ac:dyDescent="0.2">
      <c r="BJ17530" s="201"/>
    </row>
    <row r="17531" spans="62:62" x14ac:dyDescent="0.2">
      <c r="BJ17531" s="201"/>
    </row>
    <row r="17532" spans="62:62" x14ac:dyDescent="0.2">
      <c r="BJ17532" s="201"/>
    </row>
    <row r="17533" spans="62:62" x14ac:dyDescent="0.2">
      <c r="BJ17533" s="201"/>
    </row>
    <row r="17534" spans="62:62" x14ac:dyDescent="0.2">
      <c r="BJ17534" s="201"/>
    </row>
    <row r="17535" spans="62:62" x14ac:dyDescent="0.2">
      <c r="BJ17535" s="201"/>
    </row>
    <row r="17536" spans="62:62" x14ac:dyDescent="0.2">
      <c r="BJ17536" s="201"/>
    </row>
    <row r="17537" spans="62:62" x14ac:dyDescent="0.2">
      <c r="BJ17537" s="201"/>
    </row>
    <row r="17538" spans="62:62" x14ac:dyDescent="0.2">
      <c r="BJ17538" s="201"/>
    </row>
    <row r="17539" spans="62:62" x14ac:dyDescent="0.2">
      <c r="BJ17539" s="201"/>
    </row>
    <row r="17540" spans="62:62" x14ac:dyDescent="0.2">
      <c r="BJ17540" s="201"/>
    </row>
    <row r="17541" spans="62:62" x14ac:dyDescent="0.2">
      <c r="BJ17541" s="201"/>
    </row>
    <row r="17542" spans="62:62" x14ac:dyDescent="0.2">
      <c r="BJ17542" s="201"/>
    </row>
    <row r="17543" spans="62:62" x14ac:dyDescent="0.2">
      <c r="BJ17543" s="201"/>
    </row>
    <row r="17544" spans="62:62" x14ac:dyDescent="0.2">
      <c r="BJ17544" s="201"/>
    </row>
    <row r="17545" spans="62:62" x14ac:dyDescent="0.2">
      <c r="BJ17545" s="201"/>
    </row>
    <row r="17546" spans="62:62" x14ac:dyDescent="0.2">
      <c r="BJ17546" s="201"/>
    </row>
    <row r="17547" spans="62:62" x14ac:dyDescent="0.2">
      <c r="BJ17547" s="201"/>
    </row>
    <row r="17548" spans="62:62" x14ac:dyDescent="0.2">
      <c r="BJ17548" s="201"/>
    </row>
    <row r="17549" spans="62:62" x14ac:dyDescent="0.2">
      <c r="BJ17549" s="201"/>
    </row>
    <row r="17550" spans="62:62" x14ac:dyDescent="0.2">
      <c r="BJ17550" s="201"/>
    </row>
    <row r="17551" spans="62:62" x14ac:dyDescent="0.2">
      <c r="BJ17551" s="201"/>
    </row>
    <row r="17552" spans="62:62" x14ac:dyDescent="0.2">
      <c r="BJ17552" s="201"/>
    </row>
    <row r="17553" spans="62:62" x14ac:dyDescent="0.2">
      <c r="BJ17553" s="201"/>
    </row>
    <row r="17554" spans="62:62" x14ac:dyDescent="0.2">
      <c r="BJ17554" s="201"/>
    </row>
    <row r="17555" spans="62:62" x14ac:dyDescent="0.2">
      <c r="BJ17555" s="201"/>
    </row>
    <row r="17556" spans="62:62" x14ac:dyDescent="0.2">
      <c r="BJ17556" s="201"/>
    </row>
    <row r="17557" spans="62:62" x14ac:dyDescent="0.2">
      <c r="BJ17557" s="201"/>
    </row>
    <row r="17558" spans="62:62" x14ac:dyDescent="0.2">
      <c r="BJ17558" s="201"/>
    </row>
    <row r="17559" spans="62:62" x14ac:dyDescent="0.2">
      <c r="BJ17559" s="201"/>
    </row>
    <row r="17560" spans="62:62" x14ac:dyDescent="0.2">
      <c r="BJ17560" s="201"/>
    </row>
    <row r="17561" spans="62:62" x14ac:dyDescent="0.2">
      <c r="BJ17561" s="201"/>
    </row>
    <row r="17562" spans="62:62" x14ac:dyDescent="0.2">
      <c r="BJ17562" s="201"/>
    </row>
    <row r="17563" spans="62:62" x14ac:dyDescent="0.2">
      <c r="BJ17563" s="201"/>
    </row>
    <row r="17564" spans="62:62" x14ac:dyDescent="0.2">
      <c r="BJ17564" s="201"/>
    </row>
    <row r="17565" spans="62:62" x14ac:dyDescent="0.2">
      <c r="BJ17565" s="201"/>
    </row>
    <row r="17566" spans="62:62" x14ac:dyDescent="0.2">
      <c r="BJ17566" s="201"/>
    </row>
    <row r="17567" spans="62:62" x14ac:dyDescent="0.2">
      <c r="BJ17567" s="201"/>
    </row>
    <row r="17568" spans="62:62" x14ac:dyDescent="0.2">
      <c r="BJ17568" s="201"/>
    </row>
    <row r="17569" spans="62:62" x14ac:dyDescent="0.2">
      <c r="BJ17569" s="201"/>
    </row>
    <row r="17570" spans="62:62" x14ac:dyDescent="0.2">
      <c r="BJ17570" s="201"/>
    </row>
    <row r="17571" spans="62:62" x14ac:dyDescent="0.2">
      <c r="BJ17571" s="201"/>
    </row>
    <row r="17572" spans="62:62" x14ac:dyDescent="0.2">
      <c r="BJ17572" s="201"/>
    </row>
    <row r="17573" spans="62:62" x14ac:dyDescent="0.2">
      <c r="BJ17573" s="201"/>
    </row>
    <row r="17574" spans="62:62" x14ac:dyDescent="0.2">
      <c r="BJ17574" s="201"/>
    </row>
    <row r="17575" spans="62:62" x14ac:dyDescent="0.2">
      <c r="BJ17575" s="201"/>
    </row>
    <row r="17576" spans="62:62" x14ac:dyDescent="0.2">
      <c r="BJ17576" s="201"/>
    </row>
    <row r="17577" spans="62:62" x14ac:dyDescent="0.2">
      <c r="BJ17577" s="201"/>
    </row>
    <row r="17578" spans="62:62" x14ac:dyDescent="0.2">
      <c r="BJ17578" s="201"/>
    </row>
    <row r="17579" spans="62:62" x14ac:dyDescent="0.2">
      <c r="BJ17579" s="201"/>
    </row>
    <row r="17580" spans="62:62" x14ac:dyDescent="0.2">
      <c r="BJ17580" s="201"/>
    </row>
    <row r="17581" spans="62:62" x14ac:dyDescent="0.2">
      <c r="BJ17581" s="201"/>
    </row>
    <row r="17582" spans="62:62" x14ac:dyDescent="0.2">
      <c r="BJ17582" s="201"/>
    </row>
    <row r="17583" spans="62:62" x14ac:dyDescent="0.2">
      <c r="BJ17583" s="201"/>
    </row>
    <row r="17584" spans="62:62" x14ac:dyDescent="0.2">
      <c r="BJ17584" s="201"/>
    </row>
    <row r="17585" spans="62:62" x14ac:dyDescent="0.2">
      <c r="BJ17585" s="201"/>
    </row>
    <row r="17586" spans="62:62" x14ac:dyDescent="0.2">
      <c r="BJ17586" s="201"/>
    </row>
    <row r="17587" spans="62:62" x14ac:dyDescent="0.2">
      <c r="BJ17587" s="201"/>
    </row>
    <row r="17588" spans="62:62" x14ac:dyDescent="0.2">
      <c r="BJ17588" s="201"/>
    </row>
    <row r="17589" spans="62:62" x14ac:dyDescent="0.2">
      <c r="BJ17589" s="201"/>
    </row>
    <row r="17590" spans="62:62" x14ac:dyDescent="0.2">
      <c r="BJ17590" s="201"/>
    </row>
    <row r="17591" spans="62:62" x14ac:dyDescent="0.2">
      <c r="BJ17591" s="201"/>
    </row>
    <row r="17592" spans="62:62" x14ac:dyDescent="0.2">
      <c r="BJ17592" s="201"/>
    </row>
    <row r="17593" spans="62:62" x14ac:dyDescent="0.2">
      <c r="BJ17593" s="201"/>
    </row>
    <row r="17594" spans="62:62" x14ac:dyDescent="0.2">
      <c r="BJ17594" s="201"/>
    </row>
    <row r="17595" spans="62:62" x14ac:dyDescent="0.2">
      <c r="BJ17595" s="201"/>
    </row>
    <row r="17596" spans="62:62" x14ac:dyDescent="0.2">
      <c r="BJ17596" s="201"/>
    </row>
    <row r="17597" spans="62:62" x14ac:dyDescent="0.2">
      <c r="BJ17597" s="201"/>
    </row>
    <row r="17598" spans="62:62" x14ac:dyDescent="0.2">
      <c r="BJ17598" s="201"/>
    </row>
    <row r="17599" spans="62:62" x14ac:dyDescent="0.2">
      <c r="BJ17599" s="201"/>
    </row>
    <row r="17600" spans="62:62" x14ac:dyDescent="0.2">
      <c r="BJ17600" s="201"/>
    </row>
    <row r="17601" spans="62:62" x14ac:dyDescent="0.2">
      <c r="BJ17601" s="201"/>
    </row>
    <row r="17602" spans="62:62" x14ac:dyDescent="0.2">
      <c r="BJ17602" s="201"/>
    </row>
    <row r="17603" spans="62:62" x14ac:dyDescent="0.2">
      <c r="BJ17603" s="201"/>
    </row>
    <row r="17604" spans="62:62" x14ac:dyDescent="0.2">
      <c r="BJ17604" s="201"/>
    </row>
    <row r="17605" spans="62:62" x14ac:dyDescent="0.2">
      <c r="BJ17605" s="201"/>
    </row>
    <row r="17606" spans="62:62" x14ac:dyDescent="0.2">
      <c r="BJ17606" s="201"/>
    </row>
    <row r="17607" spans="62:62" x14ac:dyDescent="0.2">
      <c r="BJ17607" s="201"/>
    </row>
    <row r="17608" spans="62:62" x14ac:dyDescent="0.2">
      <c r="BJ17608" s="201"/>
    </row>
    <row r="17609" spans="62:62" x14ac:dyDescent="0.2">
      <c r="BJ17609" s="201"/>
    </row>
    <row r="17610" spans="62:62" x14ac:dyDescent="0.2">
      <c r="BJ17610" s="201"/>
    </row>
    <row r="17611" spans="62:62" x14ac:dyDescent="0.2">
      <c r="BJ17611" s="201"/>
    </row>
    <row r="17612" spans="62:62" x14ac:dyDescent="0.2">
      <c r="BJ17612" s="201"/>
    </row>
    <row r="17613" spans="62:62" x14ac:dyDescent="0.2">
      <c r="BJ17613" s="201"/>
    </row>
    <row r="17614" spans="62:62" x14ac:dyDescent="0.2">
      <c r="BJ17614" s="201"/>
    </row>
    <row r="17615" spans="62:62" x14ac:dyDescent="0.2">
      <c r="BJ17615" s="201"/>
    </row>
    <row r="17616" spans="62:62" x14ac:dyDescent="0.2">
      <c r="BJ17616" s="201"/>
    </row>
    <row r="17617" spans="62:62" x14ac:dyDescent="0.2">
      <c r="BJ17617" s="201"/>
    </row>
    <row r="17618" spans="62:62" x14ac:dyDescent="0.2">
      <c r="BJ17618" s="201"/>
    </row>
    <row r="17619" spans="62:62" x14ac:dyDescent="0.2">
      <c r="BJ17619" s="201"/>
    </row>
    <row r="17620" spans="62:62" x14ac:dyDescent="0.2">
      <c r="BJ17620" s="201"/>
    </row>
    <row r="17621" spans="62:62" x14ac:dyDescent="0.2">
      <c r="BJ17621" s="201"/>
    </row>
    <row r="17622" spans="62:62" x14ac:dyDescent="0.2">
      <c r="BJ17622" s="201"/>
    </row>
    <row r="17623" spans="62:62" x14ac:dyDescent="0.2">
      <c r="BJ17623" s="201"/>
    </row>
    <row r="17624" spans="62:62" x14ac:dyDescent="0.2">
      <c r="BJ17624" s="201"/>
    </row>
    <row r="17625" spans="62:62" x14ac:dyDescent="0.2">
      <c r="BJ17625" s="201"/>
    </row>
    <row r="17626" spans="62:62" x14ac:dyDescent="0.2">
      <c r="BJ17626" s="201"/>
    </row>
    <row r="17627" spans="62:62" x14ac:dyDescent="0.2">
      <c r="BJ17627" s="201"/>
    </row>
    <row r="17628" spans="62:62" x14ac:dyDescent="0.2">
      <c r="BJ17628" s="201"/>
    </row>
    <row r="17629" spans="62:62" x14ac:dyDescent="0.2">
      <c r="BJ17629" s="201"/>
    </row>
    <row r="17630" spans="62:62" x14ac:dyDescent="0.2">
      <c r="BJ17630" s="201"/>
    </row>
    <row r="17631" spans="62:62" x14ac:dyDescent="0.2">
      <c r="BJ17631" s="201"/>
    </row>
    <row r="17632" spans="62:62" x14ac:dyDescent="0.2">
      <c r="BJ17632" s="201"/>
    </row>
    <row r="17633" spans="62:62" x14ac:dyDescent="0.2">
      <c r="BJ17633" s="201"/>
    </row>
    <row r="17634" spans="62:62" x14ac:dyDescent="0.2">
      <c r="BJ17634" s="201"/>
    </row>
    <row r="17635" spans="62:62" x14ac:dyDescent="0.2">
      <c r="BJ17635" s="201"/>
    </row>
    <row r="17636" spans="62:62" x14ac:dyDescent="0.2">
      <c r="BJ17636" s="201"/>
    </row>
    <row r="17637" spans="62:62" x14ac:dyDescent="0.2">
      <c r="BJ17637" s="201"/>
    </row>
    <row r="17638" spans="62:62" x14ac:dyDescent="0.2">
      <c r="BJ17638" s="201"/>
    </row>
    <row r="17639" spans="62:62" x14ac:dyDescent="0.2">
      <c r="BJ17639" s="201"/>
    </row>
    <row r="17640" spans="62:62" x14ac:dyDescent="0.2">
      <c r="BJ17640" s="201"/>
    </row>
    <row r="17641" spans="62:62" x14ac:dyDescent="0.2">
      <c r="BJ17641" s="201"/>
    </row>
    <row r="17642" spans="62:62" x14ac:dyDescent="0.2">
      <c r="BJ17642" s="201"/>
    </row>
    <row r="17643" spans="62:62" x14ac:dyDescent="0.2">
      <c r="BJ17643" s="201"/>
    </row>
    <row r="17644" spans="62:62" x14ac:dyDescent="0.2">
      <c r="BJ17644" s="201"/>
    </row>
    <row r="17645" spans="62:62" x14ac:dyDescent="0.2">
      <c r="BJ17645" s="201"/>
    </row>
    <row r="17646" spans="62:62" x14ac:dyDescent="0.2">
      <c r="BJ17646" s="201"/>
    </row>
    <row r="17647" spans="62:62" x14ac:dyDescent="0.2">
      <c r="BJ17647" s="201"/>
    </row>
    <row r="17648" spans="62:62" x14ac:dyDescent="0.2">
      <c r="BJ17648" s="201"/>
    </row>
    <row r="17649" spans="62:62" x14ac:dyDescent="0.2">
      <c r="BJ17649" s="201"/>
    </row>
    <row r="17650" spans="62:62" x14ac:dyDescent="0.2">
      <c r="BJ17650" s="201"/>
    </row>
    <row r="17651" spans="62:62" x14ac:dyDescent="0.2">
      <c r="BJ17651" s="201"/>
    </row>
    <row r="17652" spans="62:62" x14ac:dyDescent="0.2">
      <c r="BJ17652" s="201"/>
    </row>
    <row r="17653" spans="62:62" x14ac:dyDescent="0.2">
      <c r="BJ17653" s="201"/>
    </row>
    <row r="17654" spans="62:62" x14ac:dyDescent="0.2">
      <c r="BJ17654" s="201"/>
    </row>
    <row r="17655" spans="62:62" x14ac:dyDescent="0.2">
      <c r="BJ17655" s="201"/>
    </row>
    <row r="17656" spans="62:62" x14ac:dyDescent="0.2">
      <c r="BJ17656" s="201"/>
    </row>
    <row r="17657" spans="62:62" x14ac:dyDescent="0.2">
      <c r="BJ17657" s="201"/>
    </row>
    <row r="17658" spans="62:62" x14ac:dyDescent="0.2">
      <c r="BJ17658" s="201"/>
    </row>
    <row r="17659" spans="62:62" x14ac:dyDescent="0.2">
      <c r="BJ17659" s="201"/>
    </row>
    <row r="17660" spans="62:62" x14ac:dyDescent="0.2">
      <c r="BJ17660" s="201"/>
    </row>
    <row r="17661" spans="62:62" x14ac:dyDescent="0.2">
      <c r="BJ17661" s="201"/>
    </row>
    <row r="17662" spans="62:62" x14ac:dyDescent="0.2">
      <c r="BJ17662" s="201"/>
    </row>
    <row r="17663" spans="62:62" x14ac:dyDescent="0.2">
      <c r="BJ17663" s="201"/>
    </row>
    <row r="17664" spans="62:62" x14ac:dyDescent="0.2">
      <c r="BJ17664" s="201"/>
    </row>
    <row r="17665" spans="62:62" x14ac:dyDescent="0.2">
      <c r="BJ17665" s="201"/>
    </row>
    <row r="17666" spans="62:62" x14ac:dyDescent="0.2">
      <c r="BJ17666" s="201"/>
    </row>
    <row r="17667" spans="62:62" x14ac:dyDescent="0.2">
      <c r="BJ17667" s="201"/>
    </row>
    <row r="17668" spans="62:62" x14ac:dyDescent="0.2">
      <c r="BJ17668" s="201"/>
    </row>
    <row r="17669" spans="62:62" x14ac:dyDescent="0.2">
      <c r="BJ17669" s="201"/>
    </row>
    <row r="17670" spans="62:62" x14ac:dyDescent="0.2">
      <c r="BJ17670" s="201"/>
    </row>
    <row r="17671" spans="62:62" x14ac:dyDescent="0.2">
      <c r="BJ17671" s="201"/>
    </row>
    <row r="17672" spans="62:62" x14ac:dyDescent="0.2">
      <c r="BJ17672" s="201"/>
    </row>
    <row r="17673" spans="62:62" x14ac:dyDescent="0.2">
      <c r="BJ17673" s="201"/>
    </row>
    <row r="17674" spans="62:62" x14ac:dyDescent="0.2">
      <c r="BJ17674" s="201"/>
    </row>
    <row r="17675" spans="62:62" x14ac:dyDescent="0.2">
      <c r="BJ17675" s="201"/>
    </row>
    <row r="17676" spans="62:62" x14ac:dyDescent="0.2">
      <c r="BJ17676" s="201"/>
    </row>
    <row r="17677" spans="62:62" x14ac:dyDescent="0.2">
      <c r="BJ17677" s="201"/>
    </row>
    <row r="17678" spans="62:62" x14ac:dyDescent="0.2">
      <c r="BJ17678" s="201"/>
    </row>
    <row r="17679" spans="62:62" x14ac:dyDescent="0.2">
      <c r="BJ17679" s="201"/>
    </row>
    <row r="17680" spans="62:62" x14ac:dyDescent="0.2">
      <c r="BJ17680" s="201"/>
    </row>
    <row r="17681" spans="62:62" x14ac:dyDescent="0.2">
      <c r="BJ17681" s="201"/>
    </row>
    <row r="17682" spans="62:62" x14ac:dyDescent="0.2">
      <c r="BJ17682" s="201"/>
    </row>
    <row r="17683" spans="62:62" x14ac:dyDescent="0.2">
      <c r="BJ17683" s="201"/>
    </row>
    <row r="17684" spans="62:62" x14ac:dyDescent="0.2">
      <c r="BJ17684" s="201"/>
    </row>
    <row r="17685" spans="62:62" x14ac:dyDescent="0.2">
      <c r="BJ17685" s="201"/>
    </row>
    <row r="17686" spans="62:62" x14ac:dyDescent="0.2">
      <c r="BJ17686" s="201"/>
    </row>
    <row r="17687" spans="62:62" x14ac:dyDescent="0.2">
      <c r="BJ17687" s="201"/>
    </row>
    <row r="17688" spans="62:62" x14ac:dyDescent="0.2">
      <c r="BJ17688" s="201"/>
    </row>
    <row r="17689" spans="62:62" x14ac:dyDescent="0.2">
      <c r="BJ17689" s="201"/>
    </row>
    <row r="17690" spans="62:62" x14ac:dyDescent="0.2">
      <c r="BJ17690" s="201"/>
    </row>
    <row r="17691" spans="62:62" x14ac:dyDescent="0.2">
      <c r="BJ17691" s="201"/>
    </row>
    <row r="17692" spans="62:62" x14ac:dyDescent="0.2">
      <c r="BJ17692" s="201"/>
    </row>
    <row r="17693" spans="62:62" x14ac:dyDescent="0.2">
      <c r="BJ17693" s="201"/>
    </row>
    <row r="17694" spans="62:62" x14ac:dyDescent="0.2">
      <c r="BJ17694" s="201"/>
    </row>
    <row r="17695" spans="62:62" x14ac:dyDescent="0.2">
      <c r="BJ17695" s="201"/>
    </row>
    <row r="17696" spans="62:62" x14ac:dyDescent="0.2">
      <c r="BJ17696" s="201"/>
    </row>
    <row r="17697" spans="62:62" x14ac:dyDescent="0.2">
      <c r="BJ17697" s="201"/>
    </row>
    <row r="17698" spans="62:62" x14ac:dyDescent="0.2">
      <c r="BJ17698" s="201"/>
    </row>
    <row r="17699" spans="62:62" x14ac:dyDescent="0.2">
      <c r="BJ17699" s="201"/>
    </row>
    <row r="17700" spans="62:62" x14ac:dyDescent="0.2">
      <c r="BJ17700" s="201"/>
    </row>
    <row r="17701" spans="62:62" x14ac:dyDescent="0.2">
      <c r="BJ17701" s="201"/>
    </row>
    <row r="17702" spans="62:62" x14ac:dyDescent="0.2">
      <c r="BJ17702" s="201"/>
    </row>
    <row r="17703" spans="62:62" x14ac:dyDescent="0.2">
      <c r="BJ17703" s="201"/>
    </row>
    <row r="17704" spans="62:62" x14ac:dyDescent="0.2">
      <c r="BJ17704" s="201"/>
    </row>
    <row r="17705" spans="62:62" x14ac:dyDescent="0.2">
      <c r="BJ17705" s="201"/>
    </row>
    <row r="17706" spans="62:62" x14ac:dyDescent="0.2">
      <c r="BJ17706" s="201"/>
    </row>
    <row r="17707" spans="62:62" x14ac:dyDescent="0.2">
      <c r="BJ17707" s="201"/>
    </row>
    <row r="17708" spans="62:62" x14ac:dyDescent="0.2">
      <c r="BJ17708" s="201"/>
    </row>
    <row r="17709" spans="62:62" x14ac:dyDescent="0.2">
      <c r="BJ17709" s="201"/>
    </row>
    <row r="17710" spans="62:62" x14ac:dyDescent="0.2">
      <c r="BJ17710" s="201"/>
    </row>
    <row r="17711" spans="62:62" x14ac:dyDescent="0.2">
      <c r="BJ17711" s="201"/>
    </row>
    <row r="17712" spans="62:62" x14ac:dyDescent="0.2">
      <c r="BJ17712" s="201"/>
    </row>
    <row r="17713" spans="62:62" x14ac:dyDescent="0.2">
      <c r="BJ17713" s="201"/>
    </row>
    <row r="17714" spans="62:62" x14ac:dyDescent="0.2">
      <c r="BJ17714" s="201"/>
    </row>
    <row r="17715" spans="62:62" x14ac:dyDescent="0.2">
      <c r="BJ17715" s="201"/>
    </row>
    <row r="17716" spans="62:62" x14ac:dyDescent="0.2">
      <c r="BJ17716" s="201"/>
    </row>
    <row r="17717" spans="62:62" x14ac:dyDescent="0.2">
      <c r="BJ17717" s="201"/>
    </row>
    <row r="17718" spans="62:62" x14ac:dyDescent="0.2">
      <c r="BJ17718" s="201"/>
    </row>
    <row r="17719" spans="62:62" x14ac:dyDescent="0.2">
      <c r="BJ17719" s="201"/>
    </row>
    <row r="17720" spans="62:62" x14ac:dyDescent="0.2">
      <c r="BJ17720" s="201"/>
    </row>
    <row r="17721" spans="62:62" x14ac:dyDescent="0.2">
      <c r="BJ17721" s="201"/>
    </row>
    <row r="17722" spans="62:62" x14ac:dyDescent="0.2">
      <c r="BJ17722" s="201"/>
    </row>
    <row r="17723" spans="62:62" x14ac:dyDescent="0.2">
      <c r="BJ17723" s="201"/>
    </row>
    <row r="17724" spans="62:62" x14ac:dyDescent="0.2">
      <c r="BJ17724" s="201"/>
    </row>
    <row r="17725" spans="62:62" x14ac:dyDescent="0.2">
      <c r="BJ17725" s="201"/>
    </row>
    <row r="17726" spans="62:62" x14ac:dyDescent="0.2">
      <c r="BJ17726" s="201"/>
    </row>
    <row r="17727" spans="62:62" x14ac:dyDescent="0.2">
      <c r="BJ17727" s="201"/>
    </row>
    <row r="17728" spans="62:62" x14ac:dyDescent="0.2">
      <c r="BJ17728" s="201"/>
    </row>
    <row r="17729" spans="62:62" x14ac:dyDescent="0.2">
      <c r="BJ17729" s="201"/>
    </row>
    <row r="17730" spans="62:62" x14ac:dyDescent="0.2">
      <c r="BJ17730" s="201"/>
    </row>
    <row r="17731" spans="62:62" x14ac:dyDescent="0.2">
      <c r="BJ17731" s="201"/>
    </row>
    <row r="17732" spans="62:62" x14ac:dyDescent="0.2">
      <c r="BJ17732" s="201"/>
    </row>
    <row r="17733" spans="62:62" x14ac:dyDescent="0.2">
      <c r="BJ17733" s="201"/>
    </row>
    <row r="17734" spans="62:62" x14ac:dyDescent="0.2">
      <c r="BJ17734" s="201"/>
    </row>
    <row r="17735" spans="62:62" x14ac:dyDescent="0.2">
      <c r="BJ17735" s="201"/>
    </row>
    <row r="17736" spans="62:62" x14ac:dyDescent="0.2">
      <c r="BJ17736" s="201"/>
    </row>
    <row r="17737" spans="62:62" x14ac:dyDescent="0.2">
      <c r="BJ17737" s="201"/>
    </row>
    <row r="17738" spans="62:62" x14ac:dyDescent="0.2">
      <c r="BJ17738" s="201"/>
    </row>
    <row r="17739" spans="62:62" x14ac:dyDescent="0.2">
      <c r="BJ17739" s="201"/>
    </row>
    <row r="17740" spans="62:62" x14ac:dyDescent="0.2">
      <c r="BJ17740" s="201"/>
    </row>
    <row r="17741" spans="62:62" x14ac:dyDescent="0.2">
      <c r="BJ17741" s="201"/>
    </row>
    <row r="17742" spans="62:62" x14ac:dyDescent="0.2">
      <c r="BJ17742" s="201"/>
    </row>
    <row r="17743" spans="62:62" x14ac:dyDescent="0.2">
      <c r="BJ17743" s="201"/>
    </row>
    <row r="17744" spans="62:62" x14ac:dyDescent="0.2">
      <c r="BJ17744" s="201"/>
    </row>
    <row r="17745" spans="62:62" x14ac:dyDescent="0.2">
      <c r="BJ17745" s="201"/>
    </row>
    <row r="17746" spans="62:62" x14ac:dyDescent="0.2">
      <c r="BJ17746" s="201"/>
    </row>
    <row r="17747" spans="62:62" x14ac:dyDescent="0.2">
      <c r="BJ17747" s="201"/>
    </row>
    <row r="17748" spans="62:62" x14ac:dyDescent="0.2">
      <c r="BJ17748" s="201"/>
    </row>
    <row r="17749" spans="62:62" x14ac:dyDescent="0.2">
      <c r="BJ17749" s="201"/>
    </row>
    <row r="17750" spans="62:62" x14ac:dyDescent="0.2">
      <c r="BJ17750" s="201"/>
    </row>
    <row r="17751" spans="62:62" x14ac:dyDescent="0.2">
      <c r="BJ17751" s="201"/>
    </row>
    <row r="17752" spans="62:62" x14ac:dyDescent="0.2">
      <c r="BJ17752" s="201"/>
    </row>
    <row r="17753" spans="62:62" x14ac:dyDescent="0.2">
      <c r="BJ17753" s="201"/>
    </row>
    <row r="17754" spans="62:62" x14ac:dyDescent="0.2">
      <c r="BJ17754" s="201"/>
    </row>
    <row r="17755" spans="62:62" x14ac:dyDescent="0.2">
      <c r="BJ17755" s="201"/>
    </row>
    <row r="17756" spans="62:62" x14ac:dyDescent="0.2">
      <c r="BJ17756" s="201"/>
    </row>
    <row r="17757" spans="62:62" x14ac:dyDescent="0.2">
      <c r="BJ17757" s="201"/>
    </row>
    <row r="17758" spans="62:62" x14ac:dyDescent="0.2">
      <c r="BJ17758" s="201"/>
    </row>
    <row r="17759" spans="62:62" x14ac:dyDescent="0.2">
      <c r="BJ17759" s="201"/>
    </row>
    <row r="17760" spans="62:62" x14ac:dyDescent="0.2">
      <c r="BJ17760" s="201"/>
    </row>
    <row r="17761" spans="62:62" x14ac:dyDescent="0.2">
      <c r="BJ17761" s="201"/>
    </row>
    <row r="17762" spans="62:62" x14ac:dyDescent="0.2">
      <c r="BJ17762" s="201"/>
    </row>
    <row r="17763" spans="62:62" x14ac:dyDescent="0.2">
      <c r="BJ17763" s="201"/>
    </row>
    <row r="17764" spans="62:62" x14ac:dyDescent="0.2">
      <c r="BJ17764" s="201"/>
    </row>
    <row r="17765" spans="62:62" x14ac:dyDescent="0.2">
      <c r="BJ17765" s="201"/>
    </row>
    <row r="17766" spans="62:62" x14ac:dyDescent="0.2">
      <c r="BJ17766" s="201"/>
    </row>
    <row r="17767" spans="62:62" x14ac:dyDescent="0.2">
      <c r="BJ17767" s="201"/>
    </row>
    <row r="17768" spans="62:62" x14ac:dyDescent="0.2">
      <c r="BJ17768" s="201"/>
    </row>
    <row r="17769" spans="62:62" x14ac:dyDescent="0.2">
      <c r="BJ17769" s="201"/>
    </row>
    <row r="17770" spans="62:62" x14ac:dyDescent="0.2">
      <c r="BJ17770" s="201"/>
    </row>
    <row r="17771" spans="62:62" x14ac:dyDescent="0.2">
      <c r="BJ17771" s="201"/>
    </row>
    <row r="17772" spans="62:62" x14ac:dyDescent="0.2">
      <c r="BJ17772" s="201"/>
    </row>
    <row r="17773" spans="62:62" x14ac:dyDescent="0.2">
      <c r="BJ17773" s="201"/>
    </row>
    <row r="17774" spans="62:62" x14ac:dyDescent="0.2">
      <c r="BJ17774" s="201"/>
    </row>
    <row r="17775" spans="62:62" x14ac:dyDescent="0.2">
      <c r="BJ17775" s="201"/>
    </row>
    <row r="17776" spans="62:62" x14ac:dyDescent="0.2">
      <c r="BJ17776" s="201"/>
    </row>
    <row r="17777" spans="62:62" x14ac:dyDescent="0.2">
      <c r="BJ17777" s="201"/>
    </row>
    <row r="17778" spans="62:62" x14ac:dyDescent="0.2">
      <c r="BJ17778" s="201"/>
    </row>
    <row r="17779" spans="62:62" x14ac:dyDescent="0.2">
      <c r="BJ17779" s="201"/>
    </row>
    <row r="17780" spans="62:62" x14ac:dyDescent="0.2">
      <c r="BJ17780" s="201"/>
    </row>
    <row r="17781" spans="62:62" x14ac:dyDescent="0.2">
      <c r="BJ17781" s="201"/>
    </row>
    <row r="17782" spans="62:62" x14ac:dyDescent="0.2">
      <c r="BJ17782" s="201"/>
    </row>
    <row r="17783" spans="62:62" x14ac:dyDescent="0.2">
      <c r="BJ17783" s="201"/>
    </row>
    <row r="17784" spans="62:62" x14ac:dyDescent="0.2">
      <c r="BJ17784" s="201"/>
    </row>
    <row r="17785" spans="62:62" x14ac:dyDescent="0.2">
      <c r="BJ17785" s="201"/>
    </row>
    <row r="17786" spans="62:62" x14ac:dyDescent="0.2">
      <c r="BJ17786" s="201"/>
    </row>
    <row r="17787" spans="62:62" x14ac:dyDescent="0.2">
      <c r="BJ17787" s="201"/>
    </row>
    <row r="17788" spans="62:62" x14ac:dyDescent="0.2">
      <c r="BJ17788" s="201"/>
    </row>
    <row r="17789" spans="62:62" x14ac:dyDescent="0.2">
      <c r="BJ17789" s="201"/>
    </row>
    <row r="17790" spans="62:62" x14ac:dyDescent="0.2">
      <c r="BJ17790" s="201"/>
    </row>
    <row r="17791" spans="62:62" x14ac:dyDescent="0.2">
      <c r="BJ17791" s="201"/>
    </row>
    <row r="17792" spans="62:62" x14ac:dyDescent="0.2">
      <c r="BJ17792" s="201"/>
    </row>
    <row r="17793" spans="62:62" x14ac:dyDescent="0.2">
      <c r="BJ17793" s="201"/>
    </row>
    <row r="17794" spans="62:62" x14ac:dyDescent="0.2">
      <c r="BJ17794" s="201"/>
    </row>
    <row r="17795" spans="62:62" x14ac:dyDescent="0.2">
      <c r="BJ17795" s="201"/>
    </row>
    <row r="17796" spans="62:62" x14ac:dyDescent="0.2">
      <c r="BJ17796" s="201"/>
    </row>
    <row r="17797" spans="62:62" x14ac:dyDescent="0.2">
      <c r="BJ17797" s="201"/>
    </row>
    <row r="17798" spans="62:62" x14ac:dyDescent="0.2">
      <c r="BJ17798" s="201"/>
    </row>
    <row r="17799" spans="62:62" x14ac:dyDescent="0.2">
      <c r="BJ17799" s="201"/>
    </row>
    <row r="17800" spans="62:62" x14ac:dyDescent="0.2">
      <c r="BJ17800" s="201"/>
    </row>
    <row r="17801" spans="62:62" x14ac:dyDescent="0.2">
      <c r="BJ17801" s="201"/>
    </row>
    <row r="17802" spans="62:62" x14ac:dyDescent="0.2">
      <c r="BJ17802" s="201"/>
    </row>
    <row r="17803" spans="62:62" x14ac:dyDescent="0.2">
      <c r="BJ17803" s="201"/>
    </row>
    <row r="17804" spans="62:62" x14ac:dyDescent="0.2">
      <c r="BJ17804" s="201"/>
    </row>
    <row r="17805" spans="62:62" x14ac:dyDescent="0.2">
      <c r="BJ17805" s="201"/>
    </row>
    <row r="17806" spans="62:62" x14ac:dyDescent="0.2">
      <c r="BJ17806" s="201"/>
    </row>
    <row r="17807" spans="62:62" x14ac:dyDescent="0.2">
      <c r="BJ17807" s="201"/>
    </row>
    <row r="17808" spans="62:62" x14ac:dyDescent="0.2">
      <c r="BJ17808" s="201"/>
    </row>
    <row r="17809" spans="62:62" x14ac:dyDescent="0.2">
      <c r="BJ17809" s="201"/>
    </row>
    <row r="17810" spans="62:62" x14ac:dyDescent="0.2">
      <c r="BJ17810" s="201"/>
    </row>
    <row r="17811" spans="62:62" x14ac:dyDescent="0.2">
      <c r="BJ17811" s="201"/>
    </row>
    <row r="17812" spans="62:62" x14ac:dyDescent="0.2">
      <c r="BJ17812" s="201"/>
    </row>
    <row r="17813" spans="62:62" x14ac:dyDescent="0.2">
      <c r="BJ17813" s="201"/>
    </row>
    <row r="17814" spans="62:62" x14ac:dyDescent="0.2">
      <c r="BJ17814" s="201"/>
    </row>
    <row r="17815" spans="62:62" x14ac:dyDescent="0.2">
      <c r="BJ17815" s="201"/>
    </row>
    <row r="17816" spans="62:62" x14ac:dyDescent="0.2">
      <c r="BJ17816" s="201"/>
    </row>
    <row r="17817" spans="62:62" x14ac:dyDescent="0.2">
      <c r="BJ17817" s="201"/>
    </row>
    <row r="17818" spans="62:62" x14ac:dyDescent="0.2">
      <c r="BJ17818" s="201"/>
    </row>
    <row r="17819" spans="62:62" x14ac:dyDescent="0.2">
      <c r="BJ17819" s="201"/>
    </row>
    <row r="17820" spans="62:62" x14ac:dyDescent="0.2">
      <c r="BJ17820" s="201"/>
    </row>
    <row r="17821" spans="62:62" x14ac:dyDescent="0.2">
      <c r="BJ17821" s="201"/>
    </row>
    <row r="17822" spans="62:62" x14ac:dyDescent="0.2">
      <c r="BJ17822" s="201"/>
    </row>
    <row r="17823" spans="62:62" x14ac:dyDescent="0.2">
      <c r="BJ17823" s="201"/>
    </row>
    <row r="17824" spans="62:62" x14ac:dyDescent="0.2">
      <c r="BJ17824" s="201"/>
    </row>
    <row r="17825" spans="62:62" x14ac:dyDescent="0.2">
      <c r="BJ17825" s="201"/>
    </row>
    <row r="17826" spans="62:62" x14ac:dyDescent="0.2">
      <c r="BJ17826" s="201"/>
    </row>
    <row r="17827" spans="62:62" x14ac:dyDescent="0.2">
      <c r="BJ17827" s="201"/>
    </row>
    <row r="17828" spans="62:62" x14ac:dyDescent="0.2">
      <c r="BJ17828" s="201"/>
    </row>
    <row r="17829" spans="62:62" x14ac:dyDescent="0.2">
      <c r="BJ17829" s="201"/>
    </row>
    <row r="17830" spans="62:62" x14ac:dyDescent="0.2">
      <c r="BJ17830" s="201"/>
    </row>
    <row r="17831" spans="62:62" x14ac:dyDescent="0.2">
      <c r="BJ17831" s="201"/>
    </row>
    <row r="17832" spans="62:62" x14ac:dyDescent="0.2">
      <c r="BJ17832" s="201"/>
    </row>
    <row r="17833" spans="62:62" x14ac:dyDescent="0.2">
      <c r="BJ17833" s="201"/>
    </row>
    <row r="17834" spans="62:62" x14ac:dyDescent="0.2">
      <c r="BJ17834" s="201"/>
    </row>
    <row r="17835" spans="62:62" x14ac:dyDescent="0.2">
      <c r="BJ17835" s="201"/>
    </row>
    <row r="17836" spans="62:62" x14ac:dyDescent="0.2">
      <c r="BJ17836" s="201"/>
    </row>
    <row r="17837" spans="62:62" x14ac:dyDescent="0.2">
      <c r="BJ17837" s="201"/>
    </row>
    <row r="17838" spans="62:62" x14ac:dyDescent="0.2">
      <c r="BJ17838" s="201"/>
    </row>
    <row r="17839" spans="62:62" x14ac:dyDescent="0.2">
      <c r="BJ17839" s="201"/>
    </row>
    <row r="17840" spans="62:62" x14ac:dyDescent="0.2">
      <c r="BJ17840" s="201"/>
    </row>
    <row r="17841" spans="62:62" x14ac:dyDescent="0.2">
      <c r="BJ17841" s="201"/>
    </row>
    <row r="17842" spans="62:62" x14ac:dyDescent="0.2">
      <c r="BJ17842" s="201"/>
    </row>
    <row r="17843" spans="62:62" x14ac:dyDescent="0.2">
      <c r="BJ17843" s="201"/>
    </row>
    <row r="17844" spans="62:62" x14ac:dyDescent="0.2">
      <c r="BJ17844" s="201"/>
    </row>
    <row r="17845" spans="62:62" x14ac:dyDescent="0.2">
      <c r="BJ17845" s="201"/>
    </row>
    <row r="17846" spans="62:62" x14ac:dyDescent="0.2">
      <c r="BJ17846" s="201"/>
    </row>
    <row r="17847" spans="62:62" x14ac:dyDescent="0.2">
      <c r="BJ17847" s="201"/>
    </row>
    <row r="17848" spans="62:62" x14ac:dyDescent="0.2">
      <c r="BJ17848" s="201"/>
    </row>
    <row r="17849" spans="62:62" x14ac:dyDescent="0.2">
      <c r="BJ17849" s="201"/>
    </row>
    <row r="17850" spans="62:62" x14ac:dyDescent="0.2">
      <c r="BJ17850" s="201"/>
    </row>
    <row r="17851" spans="62:62" x14ac:dyDescent="0.2">
      <c r="BJ17851" s="201"/>
    </row>
    <row r="17852" spans="62:62" x14ac:dyDescent="0.2">
      <c r="BJ17852" s="201"/>
    </row>
    <row r="17853" spans="62:62" x14ac:dyDescent="0.2">
      <c r="BJ17853" s="201"/>
    </row>
    <row r="17854" spans="62:62" x14ac:dyDescent="0.2">
      <c r="BJ17854" s="201"/>
    </row>
    <row r="17855" spans="62:62" x14ac:dyDescent="0.2">
      <c r="BJ17855" s="201"/>
    </row>
    <row r="17856" spans="62:62" x14ac:dyDescent="0.2">
      <c r="BJ17856" s="201"/>
    </row>
    <row r="17857" spans="62:62" x14ac:dyDescent="0.2">
      <c r="BJ17857" s="201"/>
    </row>
    <row r="17858" spans="62:62" x14ac:dyDescent="0.2">
      <c r="BJ17858" s="201"/>
    </row>
    <row r="17859" spans="62:62" x14ac:dyDescent="0.2">
      <c r="BJ17859" s="201"/>
    </row>
    <row r="17860" spans="62:62" x14ac:dyDescent="0.2">
      <c r="BJ17860" s="201"/>
    </row>
    <row r="17861" spans="62:62" x14ac:dyDescent="0.2">
      <c r="BJ17861" s="201"/>
    </row>
    <row r="17862" spans="62:62" x14ac:dyDescent="0.2">
      <c r="BJ17862" s="201"/>
    </row>
    <row r="17863" spans="62:62" x14ac:dyDescent="0.2">
      <c r="BJ17863" s="201"/>
    </row>
    <row r="17864" spans="62:62" x14ac:dyDescent="0.2">
      <c r="BJ17864" s="201"/>
    </row>
    <row r="17865" spans="62:62" x14ac:dyDescent="0.2">
      <c r="BJ17865" s="201"/>
    </row>
    <row r="17866" spans="62:62" x14ac:dyDescent="0.2">
      <c r="BJ17866" s="201"/>
    </row>
    <row r="17867" spans="62:62" x14ac:dyDescent="0.2">
      <c r="BJ17867" s="201"/>
    </row>
    <row r="17868" spans="62:62" x14ac:dyDescent="0.2">
      <c r="BJ17868" s="201"/>
    </row>
    <row r="17869" spans="62:62" x14ac:dyDescent="0.2">
      <c r="BJ17869" s="201"/>
    </row>
    <row r="17870" spans="62:62" x14ac:dyDescent="0.2">
      <c r="BJ17870" s="201"/>
    </row>
    <row r="17871" spans="62:62" x14ac:dyDescent="0.2">
      <c r="BJ17871" s="201"/>
    </row>
    <row r="17872" spans="62:62" x14ac:dyDescent="0.2">
      <c r="BJ17872" s="201"/>
    </row>
    <row r="17873" spans="62:62" x14ac:dyDescent="0.2">
      <c r="BJ17873" s="201"/>
    </row>
    <row r="17874" spans="62:62" x14ac:dyDescent="0.2">
      <c r="BJ17874" s="201"/>
    </row>
    <row r="17875" spans="62:62" x14ac:dyDescent="0.2">
      <c r="BJ17875" s="201"/>
    </row>
    <row r="17876" spans="62:62" x14ac:dyDescent="0.2">
      <c r="BJ17876" s="201"/>
    </row>
    <row r="17877" spans="62:62" x14ac:dyDescent="0.2">
      <c r="BJ17877" s="201"/>
    </row>
    <row r="17878" spans="62:62" x14ac:dyDescent="0.2">
      <c r="BJ17878" s="201"/>
    </row>
    <row r="17879" spans="62:62" x14ac:dyDescent="0.2">
      <c r="BJ17879" s="201"/>
    </row>
    <row r="17880" spans="62:62" x14ac:dyDescent="0.2">
      <c r="BJ17880" s="201"/>
    </row>
    <row r="17881" spans="62:62" x14ac:dyDescent="0.2">
      <c r="BJ17881" s="201"/>
    </row>
    <row r="17882" spans="62:62" x14ac:dyDescent="0.2">
      <c r="BJ17882" s="201"/>
    </row>
    <row r="17883" spans="62:62" x14ac:dyDescent="0.2">
      <c r="BJ17883" s="201"/>
    </row>
    <row r="17884" spans="62:62" x14ac:dyDescent="0.2">
      <c r="BJ17884" s="201"/>
    </row>
    <row r="17885" spans="62:62" x14ac:dyDescent="0.2">
      <c r="BJ17885" s="201"/>
    </row>
    <row r="17886" spans="62:62" x14ac:dyDescent="0.2">
      <c r="BJ17886" s="201"/>
    </row>
    <row r="17887" spans="62:62" x14ac:dyDescent="0.2">
      <c r="BJ17887" s="201"/>
    </row>
    <row r="17888" spans="62:62" x14ac:dyDescent="0.2">
      <c r="BJ17888" s="201"/>
    </row>
    <row r="17889" spans="62:62" x14ac:dyDescent="0.2">
      <c r="BJ17889" s="201"/>
    </row>
    <row r="17890" spans="62:62" x14ac:dyDescent="0.2">
      <c r="BJ17890" s="201"/>
    </row>
    <row r="17891" spans="62:62" x14ac:dyDescent="0.2">
      <c r="BJ17891" s="201"/>
    </row>
    <row r="17892" spans="62:62" x14ac:dyDescent="0.2">
      <c r="BJ17892" s="201"/>
    </row>
    <row r="17893" spans="62:62" x14ac:dyDescent="0.2">
      <c r="BJ17893" s="201"/>
    </row>
    <row r="17894" spans="62:62" x14ac:dyDescent="0.2">
      <c r="BJ17894" s="201"/>
    </row>
    <row r="17895" spans="62:62" x14ac:dyDescent="0.2">
      <c r="BJ17895" s="201"/>
    </row>
    <row r="17896" spans="62:62" x14ac:dyDescent="0.2">
      <c r="BJ17896" s="201"/>
    </row>
    <row r="17897" spans="62:62" x14ac:dyDescent="0.2">
      <c r="BJ17897" s="201"/>
    </row>
    <row r="17898" spans="62:62" x14ac:dyDescent="0.2">
      <c r="BJ17898" s="201"/>
    </row>
    <row r="17899" spans="62:62" x14ac:dyDescent="0.2">
      <c r="BJ17899" s="201"/>
    </row>
    <row r="17900" spans="62:62" x14ac:dyDescent="0.2">
      <c r="BJ17900" s="201"/>
    </row>
    <row r="17901" spans="62:62" x14ac:dyDescent="0.2">
      <c r="BJ17901" s="201"/>
    </row>
    <row r="17902" spans="62:62" x14ac:dyDescent="0.2">
      <c r="BJ17902" s="201"/>
    </row>
    <row r="17903" spans="62:62" x14ac:dyDescent="0.2">
      <c r="BJ17903" s="201"/>
    </row>
    <row r="17904" spans="62:62" x14ac:dyDescent="0.2">
      <c r="BJ17904" s="201"/>
    </row>
    <row r="17905" spans="62:62" x14ac:dyDescent="0.2">
      <c r="BJ17905" s="201"/>
    </row>
    <row r="17906" spans="62:62" x14ac:dyDescent="0.2">
      <c r="BJ17906" s="201"/>
    </row>
    <row r="17907" spans="62:62" x14ac:dyDescent="0.2">
      <c r="BJ17907" s="201"/>
    </row>
    <row r="17908" spans="62:62" x14ac:dyDescent="0.2">
      <c r="BJ17908" s="201"/>
    </row>
    <row r="17909" spans="62:62" x14ac:dyDescent="0.2">
      <c r="BJ17909" s="201"/>
    </row>
    <row r="17910" spans="62:62" x14ac:dyDescent="0.2">
      <c r="BJ17910" s="201"/>
    </row>
    <row r="17911" spans="62:62" x14ac:dyDescent="0.2">
      <c r="BJ17911" s="201"/>
    </row>
    <row r="17912" spans="62:62" x14ac:dyDescent="0.2">
      <c r="BJ17912" s="201"/>
    </row>
    <row r="17913" spans="62:62" x14ac:dyDescent="0.2">
      <c r="BJ17913" s="201"/>
    </row>
    <row r="17914" spans="62:62" x14ac:dyDescent="0.2">
      <c r="BJ17914" s="201"/>
    </row>
    <row r="17915" spans="62:62" x14ac:dyDescent="0.2">
      <c r="BJ17915" s="201"/>
    </row>
    <row r="17916" spans="62:62" x14ac:dyDescent="0.2">
      <c r="BJ17916" s="201"/>
    </row>
    <row r="17917" spans="62:62" x14ac:dyDescent="0.2">
      <c r="BJ17917" s="201"/>
    </row>
    <row r="17918" spans="62:62" x14ac:dyDescent="0.2">
      <c r="BJ17918" s="201"/>
    </row>
    <row r="17919" spans="62:62" x14ac:dyDescent="0.2">
      <c r="BJ17919" s="201"/>
    </row>
    <row r="17920" spans="62:62" x14ac:dyDescent="0.2">
      <c r="BJ17920" s="201"/>
    </row>
    <row r="17921" spans="62:62" x14ac:dyDescent="0.2">
      <c r="BJ17921" s="201"/>
    </row>
    <row r="17922" spans="62:62" x14ac:dyDescent="0.2">
      <c r="BJ17922" s="201"/>
    </row>
    <row r="17923" spans="62:62" x14ac:dyDescent="0.2">
      <c r="BJ17923" s="201"/>
    </row>
    <row r="17924" spans="62:62" x14ac:dyDescent="0.2">
      <c r="BJ17924" s="201"/>
    </row>
    <row r="17925" spans="62:62" x14ac:dyDescent="0.2">
      <c r="BJ17925" s="201"/>
    </row>
    <row r="17926" spans="62:62" x14ac:dyDescent="0.2">
      <c r="BJ17926" s="201"/>
    </row>
    <row r="17927" spans="62:62" x14ac:dyDescent="0.2">
      <c r="BJ17927" s="201"/>
    </row>
    <row r="17928" spans="62:62" x14ac:dyDescent="0.2">
      <c r="BJ17928" s="201"/>
    </row>
    <row r="17929" spans="62:62" x14ac:dyDescent="0.2">
      <c r="BJ17929" s="201"/>
    </row>
    <row r="17930" spans="62:62" x14ac:dyDescent="0.2">
      <c r="BJ17930" s="201"/>
    </row>
    <row r="17931" spans="62:62" x14ac:dyDescent="0.2">
      <c r="BJ17931" s="201"/>
    </row>
    <row r="17932" spans="62:62" x14ac:dyDescent="0.2">
      <c r="BJ17932" s="201"/>
    </row>
    <row r="17933" spans="62:62" x14ac:dyDescent="0.2">
      <c r="BJ17933" s="201"/>
    </row>
    <row r="17934" spans="62:62" x14ac:dyDescent="0.2">
      <c r="BJ17934" s="201"/>
    </row>
    <row r="17935" spans="62:62" x14ac:dyDescent="0.2">
      <c r="BJ17935" s="201"/>
    </row>
    <row r="17936" spans="62:62" x14ac:dyDescent="0.2">
      <c r="BJ17936" s="201"/>
    </row>
    <row r="17937" spans="62:62" x14ac:dyDescent="0.2">
      <c r="BJ17937" s="201"/>
    </row>
    <row r="17938" spans="62:62" x14ac:dyDescent="0.2">
      <c r="BJ17938" s="201"/>
    </row>
    <row r="17939" spans="62:62" x14ac:dyDescent="0.2">
      <c r="BJ17939" s="201"/>
    </row>
    <row r="17940" spans="62:62" x14ac:dyDescent="0.2">
      <c r="BJ17940" s="201"/>
    </row>
    <row r="17941" spans="62:62" x14ac:dyDescent="0.2">
      <c r="BJ17941" s="201"/>
    </row>
    <row r="17942" spans="62:62" x14ac:dyDescent="0.2">
      <c r="BJ17942" s="201"/>
    </row>
    <row r="17943" spans="62:62" x14ac:dyDescent="0.2">
      <c r="BJ17943" s="201"/>
    </row>
    <row r="17944" spans="62:62" x14ac:dyDescent="0.2">
      <c r="BJ17944" s="201"/>
    </row>
    <row r="17945" spans="62:62" x14ac:dyDescent="0.2">
      <c r="BJ17945" s="201"/>
    </row>
    <row r="17946" spans="62:62" x14ac:dyDescent="0.2">
      <c r="BJ17946" s="201"/>
    </row>
    <row r="17947" spans="62:62" x14ac:dyDescent="0.2">
      <c r="BJ17947" s="201"/>
    </row>
    <row r="17948" spans="62:62" x14ac:dyDescent="0.2">
      <c r="BJ17948" s="201"/>
    </row>
    <row r="17949" spans="62:62" x14ac:dyDescent="0.2">
      <c r="BJ17949" s="201"/>
    </row>
    <row r="17950" spans="62:62" x14ac:dyDescent="0.2">
      <c r="BJ17950" s="201"/>
    </row>
    <row r="17951" spans="62:62" x14ac:dyDescent="0.2">
      <c r="BJ17951" s="201"/>
    </row>
    <row r="17952" spans="62:62" x14ac:dyDescent="0.2">
      <c r="BJ17952" s="201"/>
    </row>
    <row r="17953" spans="62:62" x14ac:dyDescent="0.2">
      <c r="BJ17953" s="201"/>
    </row>
    <row r="17954" spans="62:62" x14ac:dyDescent="0.2">
      <c r="BJ17954" s="201"/>
    </row>
    <row r="17955" spans="62:62" x14ac:dyDescent="0.2">
      <c r="BJ17955" s="201"/>
    </row>
    <row r="17956" spans="62:62" x14ac:dyDescent="0.2">
      <c r="BJ17956" s="201"/>
    </row>
    <row r="17957" spans="62:62" x14ac:dyDescent="0.2">
      <c r="BJ17957" s="201"/>
    </row>
    <row r="17958" spans="62:62" x14ac:dyDescent="0.2">
      <c r="BJ17958" s="201"/>
    </row>
    <row r="17959" spans="62:62" x14ac:dyDescent="0.2">
      <c r="BJ17959" s="201"/>
    </row>
    <row r="17960" spans="62:62" x14ac:dyDescent="0.2">
      <c r="BJ17960" s="201"/>
    </row>
    <row r="17961" spans="62:62" x14ac:dyDescent="0.2">
      <c r="BJ17961" s="201"/>
    </row>
    <row r="17962" spans="62:62" x14ac:dyDescent="0.2">
      <c r="BJ17962" s="201"/>
    </row>
    <row r="17963" spans="62:62" x14ac:dyDescent="0.2">
      <c r="BJ17963" s="201"/>
    </row>
    <row r="17964" spans="62:62" x14ac:dyDescent="0.2">
      <c r="BJ17964" s="201"/>
    </row>
    <row r="17965" spans="62:62" x14ac:dyDescent="0.2">
      <c r="BJ17965" s="201"/>
    </row>
    <row r="17966" spans="62:62" x14ac:dyDescent="0.2">
      <c r="BJ17966" s="201"/>
    </row>
    <row r="17967" spans="62:62" x14ac:dyDescent="0.2">
      <c r="BJ17967" s="201"/>
    </row>
    <row r="17968" spans="62:62" x14ac:dyDescent="0.2">
      <c r="BJ17968" s="201"/>
    </row>
    <row r="17969" spans="62:62" x14ac:dyDescent="0.2">
      <c r="BJ17969" s="201"/>
    </row>
    <row r="17970" spans="62:62" x14ac:dyDescent="0.2">
      <c r="BJ17970" s="201"/>
    </row>
    <row r="17971" spans="62:62" x14ac:dyDescent="0.2">
      <c r="BJ17971" s="201"/>
    </row>
    <row r="17972" spans="62:62" x14ac:dyDescent="0.2">
      <c r="BJ17972" s="201"/>
    </row>
    <row r="17973" spans="62:62" x14ac:dyDescent="0.2">
      <c r="BJ17973" s="201"/>
    </row>
    <row r="17974" spans="62:62" x14ac:dyDescent="0.2">
      <c r="BJ17974" s="201"/>
    </row>
    <row r="17975" spans="62:62" x14ac:dyDescent="0.2">
      <c r="BJ17975" s="201"/>
    </row>
    <row r="17976" spans="62:62" x14ac:dyDescent="0.2">
      <c r="BJ17976" s="201"/>
    </row>
    <row r="17977" spans="62:62" x14ac:dyDescent="0.2">
      <c r="BJ17977" s="201"/>
    </row>
    <row r="17978" spans="62:62" x14ac:dyDescent="0.2">
      <c r="BJ17978" s="201"/>
    </row>
    <row r="17979" spans="62:62" x14ac:dyDescent="0.2">
      <c r="BJ17979" s="201"/>
    </row>
    <row r="17980" spans="62:62" x14ac:dyDescent="0.2">
      <c r="BJ17980" s="201"/>
    </row>
    <row r="17981" spans="62:62" x14ac:dyDescent="0.2">
      <c r="BJ17981" s="201"/>
    </row>
    <row r="17982" spans="62:62" x14ac:dyDescent="0.2">
      <c r="BJ17982" s="201"/>
    </row>
    <row r="17983" spans="62:62" x14ac:dyDescent="0.2">
      <c r="BJ17983" s="201"/>
    </row>
    <row r="17984" spans="62:62" x14ac:dyDescent="0.2">
      <c r="BJ17984" s="201"/>
    </row>
    <row r="17985" spans="62:62" x14ac:dyDescent="0.2">
      <c r="BJ17985" s="201"/>
    </row>
    <row r="17986" spans="62:62" x14ac:dyDescent="0.2">
      <c r="BJ17986" s="201"/>
    </row>
    <row r="17987" spans="62:62" x14ac:dyDescent="0.2">
      <c r="BJ17987" s="201"/>
    </row>
    <row r="17988" spans="62:62" x14ac:dyDescent="0.2">
      <c r="BJ17988" s="201"/>
    </row>
    <row r="17989" spans="62:62" x14ac:dyDescent="0.2">
      <c r="BJ17989" s="201"/>
    </row>
    <row r="17990" spans="62:62" x14ac:dyDescent="0.2">
      <c r="BJ17990" s="201"/>
    </row>
    <row r="17991" spans="62:62" x14ac:dyDescent="0.2">
      <c r="BJ17991" s="201"/>
    </row>
    <row r="17992" spans="62:62" x14ac:dyDescent="0.2">
      <c r="BJ17992" s="201"/>
    </row>
    <row r="17993" spans="62:62" x14ac:dyDescent="0.2">
      <c r="BJ17993" s="201"/>
    </row>
    <row r="17994" spans="62:62" x14ac:dyDescent="0.2">
      <c r="BJ17994" s="201"/>
    </row>
    <row r="17995" spans="62:62" x14ac:dyDescent="0.2">
      <c r="BJ17995" s="201"/>
    </row>
    <row r="17996" spans="62:62" x14ac:dyDescent="0.2">
      <c r="BJ17996" s="201"/>
    </row>
    <row r="17997" spans="62:62" x14ac:dyDescent="0.2">
      <c r="BJ17997" s="201"/>
    </row>
    <row r="17998" spans="62:62" x14ac:dyDescent="0.2">
      <c r="BJ17998" s="201"/>
    </row>
    <row r="17999" spans="62:62" x14ac:dyDescent="0.2">
      <c r="BJ17999" s="201"/>
    </row>
    <row r="18000" spans="62:62" x14ac:dyDescent="0.2">
      <c r="BJ18000" s="201"/>
    </row>
    <row r="18001" spans="62:62" x14ac:dyDescent="0.2">
      <c r="BJ18001" s="201"/>
    </row>
    <row r="18002" spans="62:62" x14ac:dyDescent="0.2">
      <c r="BJ18002" s="201"/>
    </row>
    <row r="18003" spans="62:62" x14ac:dyDescent="0.2">
      <c r="BJ18003" s="201"/>
    </row>
    <row r="18004" spans="62:62" x14ac:dyDescent="0.2">
      <c r="BJ18004" s="201"/>
    </row>
    <row r="18005" spans="62:62" x14ac:dyDescent="0.2">
      <c r="BJ18005" s="201"/>
    </row>
    <row r="18006" spans="62:62" x14ac:dyDescent="0.2">
      <c r="BJ18006" s="201"/>
    </row>
    <row r="18007" spans="62:62" x14ac:dyDescent="0.2">
      <c r="BJ18007" s="201"/>
    </row>
    <row r="18008" spans="62:62" x14ac:dyDescent="0.2">
      <c r="BJ18008" s="201"/>
    </row>
    <row r="18009" spans="62:62" x14ac:dyDescent="0.2">
      <c r="BJ18009" s="201"/>
    </row>
    <row r="18010" spans="62:62" x14ac:dyDescent="0.2">
      <c r="BJ18010" s="201"/>
    </row>
    <row r="18011" spans="62:62" x14ac:dyDescent="0.2">
      <c r="BJ18011" s="201"/>
    </row>
    <row r="18012" spans="62:62" x14ac:dyDescent="0.2">
      <c r="BJ18012" s="201"/>
    </row>
    <row r="18013" spans="62:62" x14ac:dyDescent="0.2">
      <c r="BJ18013" s="201"/>
    </row>
    <row r="18014" spans="62:62" x14ac:dyDescent="0.2">
      <c r="BJ18014" s="201"/>
    </row>
    <row r="18015" spans="62:62" x14ac:dyDescent="0.2">
      <c r="BJ18015" s="201"/>
    </row>
    <row r="18016" spans="62:62" x14ac:dyDescent="0.2">
      <c r="BJ18016" s="201"/>
    </row>
    <row r="18017" spans="62:62" x14ac:dyDescent="0.2">
      <c r="BJ18017" s="201"/>
    </row>
    <row r="18018" spans="62:62" x14ac:dyDescent="0.2">
      <c r="BJ18018" s="201"/>
    </row>
    <row r="18019" spans="62:62" x14ac:dyDescent="0.2">
      <c r="BJ18019" s="201"/>
    </row>
    <row r="18020" spans="62:62" x14ac:dyDescent="0.2">
      <c r="BJ18020" s="201"/>
    </row>
    <row r="18021" spans="62:62" x14ac:dyDescent="0.2">
      <c r="BJ18021" s="201"/>
    </row>
    <row r="18022" spans="62:62" x14ac:dyDescent="0.2">
      <c r="BJ18022" s="201"/>
    </row>
    <row r="18023" spans="62:62" x14ac:dyDescent="0.2">
      <c r="BJ18023" s="201"/>
    </row>
    <row r="18024" spans="62:62" x14ac:dyDescent="0.2">
      <c r="BJ18024" s="201"/>
    </row>
    <row r="18025" spans="62:62" x14ac:dyDescent="0.2">
      <c r="BJ18025" s="201"/>
    </row>
    <row r="18026" spans="62:62" x14ac:dyDescent="0.2">
      <c r="BJ18026" s="201"/>
    </row>
    <row r="18027" spans="62:62" x14ac:dyDescent="0.2">
      <c r="BJ18027" s="201"/>
    </row>
    <row r="18028" spans="62:62" x14ac:dyDescent="0.2">
      <c r="BJ18028" s="201"/>
    </row>
    <row r="18029" spans="62:62" x14ac:dyDescent="0.2">
      <c r="BJ18029" s="201"/>
    </row>
    <row r="18030" spans="62:62" x14ac:dyDescent="0.2">
      <c r="BJ18030" s="201"/>
    </row>
    <row r="18031" spans="62:62" x14ac:dyDescent="0.2">
      <c r="BJ18031" s="201"/>
    </row>
    <row r="18032" spans="62:62" x14ac:dyDescent="0.2">
      <c r="BJ18032" s="201"/>
    </row>
    <row r="18033" spans="62:62" x14ac:dyDescent="0.2">
      <c r="BJ18033" s="201"/>
    </row>
    <row r="18034" spans="62:62" x14ac:dyDescent="0.2">
      <c r="BJ18034" s="201"/>
    </row>
    <row r="18035" spans="62:62" x14ac:dyDescent="0.2">
      <c r="BJ18035" s="201"/>
    </row>
    <row r="18036" spans="62:62" x14ac:dyDescent="0.2">
      <c r="BJ18036" s="201"/>
    </row>
    <row r="18037" spans="62:62" x14ac:dyDescent="0.2">
      <c r="BJ18037" s="201"/>
    </row>
    <row r="18038" spans="62:62" x14ac:dyDescent="0.2">
      <c r="BJ18038" s="201"/>
    </row>
    <row r="18039" spans="62:62" x14ac:dyDescent="0.2">
      <c r="BJ18039" s="201"/>
    </row>
    <row r="18040" spans="62:62" x14ac:dyDescent="0.2">
      <c r="BJ18040" s="201"/>
    </row>
    <row r="18041" spans="62:62" x14ac:dyDescent="0.2">
      <c r="BJ18041" s="201"/>
    </row>
    <row r="18042" spans="62:62" x14ac:dyDescent="0.2">
      <c r="BJ18042" s="201"/>
    </row>
    <row r="18043" spans="62:62" x14ac:dyDescent="0.2">
      <c r="BJ18043" s="201"/>
    </row>
    <row r="18044" spans="62:62" x14ac:dyDescent="0.2">
      <c r="BJ18044" s="201"/>
    </row>
    <row r="18045" spans="62:62" x14ac:dyDescent="0.2">
      <c r="BJ18045" s="201"/>
    </row>
    <row r="18046" spans="62:62" x14ac:dyDescent="0.2">
      <c r="BJ18046" s="201"/>
    </row>
    <row r="18047" spans="62:62" x14ac:dyDescent="0.2">
      <c r="BJ18047" s="201"/>
    </row>
    <row r="18048" spans="62:62" x14ac:dyDescent="0.2">
      <c r="BJ18048" s="201"/>
    </row>
    <row r="18049" spans="62:62" x14ac:dyDescent="0.2">
      <c r="BJ18049" s="201"/>
    </row>
    <row r="18050" spans="62:62" x14ac:dyDescent="0.2">
      <c r="BJ18050" s="201"/>
    </row>
    <row r="18051" spans="62:62" x14ac:dyDescent="0.2">
      <c r="BJ18051" s="201"/>
    </row>
    <row r="18052" spans="62:62" x14ac:dyDescent="0.2">
      <c r="BJ18052" s="201"/>
    </row>
    <row r="18053" spans="62:62" x14ac:dyDescent="0.2">
      <c r="BJ18053" s="201"/>
    </row>
    <row r="18054" spans="62:62" x14ac:dyDescent="0.2">
      <c r="BJ18054" s="201"/>
    </row>
    <row r="18055" spans="62:62" x14ac:dyDescent="0.2">
      <c r="BJ18055" s="201"/>
    </row>
    <row r="18056" spans="62:62" x14ac:dyDescent="0.2">
      <c r="BJ18056" s="201"/>
    </row>
    <row r="18057" spans="62:62" x14ac:dyDescent="0.2">
      <c r="BJ18057" s="201"/>
    </row>
    <row r="18058" spans="62:62" x14ac:dyDescent="0.2">
      <c r="BJ18058" s="201"/>
    </row>
    <row r="18059" spans="62:62" x14ac:dyDescent="0.2">
      <c r="BJ18059" s="201"/>
    </row>
    <row r="18060" spans="62:62" x14ac:dyDescent="0.2">
      <c r="BJ18060" s="201"/>
    </row>
    <row r="18061" spans="62:62" x14ac:dyDescent="0.2">
      <c r="BJ18061" s="201"/>
    </row>
    <row r="18062" spans="62:62" x14ac:dyDescent="0.2">
      <c r="BJ18062" s="201"/>
    </row>
    <row r="18063" spans="62:62" x14ac:dyDescent="0.2">
      <c r="BJ18063" s="201"/>
    </row>
    <row r="18064" spans="62:62" x14ac:dyDescent="0.2">
      <c r="BJ18064" s="201"/>
    </row>
    <row r="18065" spans="62:62" x14ac:dyDescent="0.2">
      <c r="BJ18065" s="201"/>
    </row>
    <row r="18066" spans="62:62" x14ac:dyDescent="0.2">
      <c r="BJ18066" s="201"/>
    </row>
    <row r="18067" spans="62:62" x14ac:dyDescent="0.2">
      <c r="BJ18067" s="201"/>
    </row>
    <row r="18068" spans="62:62" x14ac:dyDescent="0.2">
      <c r="BJ18068" s="201"/>
    </row>
    <row r="18069" spans="62:62" x14ac:dyDescent="0.2">
      <c r="BJ18069" s="201"/>
    </row>
    <row r="18070" spans="62:62" x14ac:dyDescent="0.2">
      <c r="BJ18070" s="201"/>
    </row>
    <row r="18071" spans="62:62" x14ac:dyDescent="0.2">
      <c r="BJ18071" s="201"/>
    </row>
    <row r="18072" spans="62:62" x14ac:dyDescent="0.2">
      <c r="BJ18072" s="201"/>
    </row>
    <row r="18073" spans="62:62" x14ac:dyDescent="0.2">
      <c r="BJ18073" s="201"/>
    </row>
    <row r="18074" spans="62:62" x14ac:dyDescent="0.2">
      <c r="BJ18074" s="201"/>
    </row>
    <row r="18075" spans="62:62" x14ac:dyDescent="0.2">
      <c r="BJ18075" s="201"/>
    </row>
    <row r="18076" spans="62:62" x14ac:dyDescent="0.2">
      <c r="BJ18076" s="201"/>
    </row>
    <row r="18077" spans="62:62" x14ac:dyDescent="0.2">
      <c r="BJ18077" s="201"/>
    </row>
    <row r="18078" spans="62:62" x14ac:dyDescent="0.2">
      <c r="BJ18078" s="201"/>
    </row>
    <row r="18079" spans="62:62" x14ac:dyDescent="0.2">
      <c r="BJ18079" s="201"/>
    </row>
    <row r="18080" spans="62:62" x14ac:dyDescent="0.2">
      <c r="BJ18080" s="201"/>
    </row>
    <row r="18081" spans="62:62" x14ac:dyDescent="0.2">
      <c r="BJ18081" s="201"/>
    </row>
    <row r="18082" spans="62:62" x14ac:dyDescent="0.2">
      <c r="BJ18082" s="201"/>
    </row>
    <row r="18083" spans="62:62" x14ac:dyDescent="0.2">
      <c r="BJ18083" s="201"/>
    </row>
    <row r="18084" spans="62:62" x14ac:dyDescent="0.2">
      <c r="BJ18084" s="201"/>
    </row>
    <row r="18085" spans="62:62" x14ac:dyDescent="0.2">
      <c r="BJ18085" s="201"/>
    </row>
    <row r="18086" spans="62:62" x14ac:dyDescent="0.2">
      <c r="BJ18086" s="201"/>
    </row>
    <row r="18087" spans="62:62" x14ac:dyDescent="0.2">
      <c r="BJ18087" s="201"/>
    </row>
    <row r="18088" spans="62:62" x14ac:dyDescent="0.2">
      <c r="BJ18088" s="201"/>
    </row>
    <row r="18089" spans="62:62" x14ac:dyDescent="0.2">
      <c r="BJ18089" s="201"/>
    </row>
    <row r="18090" spans="62:62" x14ac:dyDescent="0.2">
      <c r="BJ18090" s="201"/>
    </row>
    <row r="18091" spans="62:62" x14ac:dyDescent="0.2">
      <c r="BJ18091" s="201"/>
    </row>
    <row r="18092" spans="62:62" x14ac:dyDescent="0.2">
      <c r="BJ18092" s="201"/>
    </row>
    <row r="18093" spans="62:62" x14ac:dyDescent="0.2">
      <c r="BJ18093" s="201"/>
    </row>
    <row r="18094" spans="62:62" x14ac:dyDescent="0.2">
      <c r="BJ18094" s="201"/>
    </row>
    <row r="18095" spans="62:62" x14ac:dyDescent="0.2">
      <c r="BJ18095" s="201"/>
    </row>
    <row r="18096" spans="62:62" x14ac:dyDescent="0.2">
      <c r="BJ18096" s="201"/>
    </row>
    <row r="18097" spans="62:62" x14ac:dyDescent="0.2">
      <c r="BJ18097" s="201"/>
    </row>
    <row r="18098" spans="62:62" x14ac:dyDescent="0.2">
      <c r="BJ18098" s="201"/>
    </row>
    <row r="18099" spans="62:62" x14ac:dyDescent="0.2">
      <c r="BJ18099" s="201"/>
    </row>
    <row r="18100" spans="62:62" x14ac:dyDescent="0.2">
      <c r="BJ18100" s="201"/>
    </row>
    <row r="18101" spans="62:62" x14ac:dyDescent="0.2">
      <c r="BJ18101" s="201"/>
    </row>
    <row r="18102" spans="62:62" x14ac:dyDescent="0.2">
      <c r="BJ18102" s="201"/>
    </row>
    <row r="18103" spans="62:62" x14ac:dyDescent="0.2">
      <c r="BJ18103" s="201"/>
    </row>
    <row r="18104" spans="62:62" x14ac:dyDescent="0.2">
      <c r="BJ18104" s="201"/>
    </row>
    <row r="18105" spans="62:62" x14ac:dyDescent="0.2">
      <c r="BJ18105" s="201"/>
    </row>
    <row r="18106" spans="62:62" x14ac:dyDescent="0.2">
      <c r="BJ18106" s="201"/>
    </row>
    <row r="18107" spans="62:62" x14ac:dyDescent="0.2">
      <c r="BJ18107" s="201"/>
    </row>
    <row r="18108" spans="62:62" x14ac:dyDescent="0.2">
      <c r="BJ18108" s="201"/>
    </row>
    <row r="18109" spans="62:62" x14ac:dyDescent="0.2">
      <c r="BJ18109" s="201"/>
    </row>
    <row r="18110" spans="62:62" x14ac:dyDescent="0.2">
      <c r="BJ18110" s="201"/>
    </row>
    <row r="18111" spans="62:62" x14ac:dyDescent="0.2">
      <c r="BJ18111" s="201"/>
    </row>
    <row r="18112" spans="62:62" x14ac:dyDescent="0.2">
      <c r="BJ18112" s="201"/>
    </row>
    <row r="18113" spans="62:62" x14ac:dyDescent="0.2">
      <c r="BJ18113" s="201"/>
    </row>
    <row r="18114" spans="62:62" x14ac:dyDescent="0.2">
      <c r="BJ18114" s="201"/>
    </row>
    <row r="18115" spans="62:62" x14ac:dyDescent="0.2">
      <c r="BJ18115" s="201"/>
    </row>
    <row r="18116" spans="62:62" x14ac:dyDescent="0.2">
      <c r="BJ18116" s="201"/>
    </row>
    <row r="18117" spans="62:62" x14ac:dyDescent="0.2">
      <c r="BJ18117" s="201"/>
    </row>
    <row r="18118" spans="62:62" x14ac:dyDescent="0.2">
      <c r="BJ18118" s="201"/>
    </row>
    <row r="18119" spans="62:62" x14ac:dyDescent="0.2">
      <c r="BJ18119" s="201"/>
    </row>
    <row r="18120" spans="62:62" x14ac:dyDescent="0.2">
      <c r="BJ18120" s="201"/>
    </row>
    <row r="18121" spans="62:62" x14ac:dyDescent="0.2">
      <c r="BJ18121" s="201"/>
    </row>
    <row r="18122" spans="62:62" x14ac:dyDescent="0.2">
      <c r="BJ18122" s="201"/>
    </row>
    <row r="18123" spans="62:62" x14ac:dyDescent="0.2">
      <c r="BJ18123" s="201"/>
    </row>
    <row r="18124" spans="62:62" x14ac:dyDescent="0.2">
      <c r="BJ18124" s="201"/>
    </row>
    <row r="18125" spans="62:62" x14ac:dyDescent="0.2">
      <c r="BJ18125" s="201"/>
    </row>
    <row r="18126" spans="62:62" x14ac:dyDescent="0.2">
      <c r="BJ18126" s="201"/>
    </row>
    <row r="18127" spans="62:62" x14ac:dyDescent="0.2">
      <c r="BJ18127" s="201"/>
    </row>
    <row r="18128" spans="62:62" x14ac:dyDescent="0.2">
      <c r="BJ18128" s="201"/>
    </row>
    <row r="18129" spans="62:62" x14ac:dyDescent="0.2">
      <c r="BJ18129" s="201"/>
    </row>
    <row r="18130" spans="62:62" x14ac:dyDescent="0.2">
      <c r="BJ18130" s="201"/>
    </row>
    <row r="18131" spans="62:62" x14ac:dyDescent="0.2">
      <c r="BJ18131" s="201"/>
    </row>
    <row r="18132" spans="62:62" x14ac:dyDescent="0.2">
      <c r="BJ18132" s="201"/>
    </row>
    <row r="18133" spans="62:62" x14ac:dyDescent="0.2">
      <c r="BJ18133" s="201"/>
    </row>
    <row r="18134" spans="62:62" x14ac:dyDescent="0.2">
      <c r="BJ18134" s="201"/>
    </row>
    <row r="18135" spans="62:62" x14ac:dyDescent="0.2">
      <c r="BJ18135" s="201"/>
    </row>
    <row r="18136" spans="62:62" x14ac:dyDescent="0.2">
      <c r="BJ18136" s="201"/>
    </row>
    <row r="18137" spans="62:62" x14ac:dyDescent="0.2">
      <c r="BJ18137" s="201"/>
    </row>
    <row r="18138" spans="62:62" x14ac:dyDescent="0.2">
      <c r="BJ18138" s="201"/>
    </row>
    <row r="18139" spans="62:62" x14ac:dyDescent="0.2">
      <c r="BJ18139" s="201"/>
    </row>
    <row r="18140" spans="62:62" x14ac:dyDescent="0.2">
      <c r="BJ18140" s="201"/>
    </row>
    <row r="18141" spans="62:62" x14ac:dyDescent="0.2">
      <c r="BJ18141" s="201"/>
    </row>
    <row r="18142" spans="62:62" x14ac:dyDescent="0.2">
      <c r="BJ18142" s="201"/>
    </row>
    <row r="18143" spans="62:62" x14ac:dyDescent="0.2">
      <c r="BJ18143" s="201"/>
    </row>
    <row r="18144" spans="62:62" x14ac:dyDescent="0.2">
      <c r="BJ18144" s="201"/>
    </row>
    <row r="18145" spans="62:62" x14ac:dyDescent="0.2">
      <c r="BJ18145" s="201"/>
    </row>
    <row r="18146" spans="62:62" x14ac:dyDescent="0.2">
      <c r="BJ18146" s="201"/>
    </row>
    <row r="18147" spans="62:62" x14ac:dyDescent="0.2">
      <c r="BJ18147" s="201"/>
    </row>
    <row r="18148" spans="62:62" x14ac:dyDescent="0.2">
      <c r="BJ18148" s="201"/>
    </row>
    <row r="18149" spans="62:62" x14ac:dyDescent="0.2">
      <c r="BJ18149" s="201"/>
    </row>
    <row r="18150" spans="62:62" x14ac:dyDescent="0.2">
      <c r="BJ18150" s="201"/>
    </row>
    <row r="18151" spans="62:62" x14ac:dyDescent="0.2">
      <c r="BJ18151" s="201"/>
    </row>
    <row r="18152" spans="62:62" x14ac:dyDescent="0.2">
      <c r="BJ18152" s="201"/>
    </row>
    <row r="18153" spans="62:62" x14ac:dyDescent="0.2">
      <c r="BJ18153" s="201"/>
    </row>
    <row r="18154" spans="62:62" x14ac:dyDescent="0.2">
      <c r="BJ18154" s="201"/>
    </row>
    <row r="18155" spans="62:62" x14ac:dyDescent="0.2">
      <c r="BJ18155" s="201"/>
    </row>
    <row r="18156" spans="62:62" x14ac:dyDescent="0.2">
      <c r="BJ18156" s="201"/>
    </row>
    <row r="18157" spans="62:62" x14ac:dyDescent="0.2">
      <c r="BJ18157" s="201"/>
    </row>
    <row r="18158" spans="62:62" x14ac:dyDescent="0.2">
      <c r="BJ18158" s="201"/>
    </row>
    <row r="18159" spans="62:62" x14ac:dyDescent="0.2">
      <c r="BJ18159" s="201"/>
    </row>
    <row r="18160" spans="62:62" x14ac:dyDescent="0.2">
      <c r="BJ18160" s="201"/>
    </row>
    <row r="18161" spans="62:62" x14ac:dyDescent="0.2">
      <c r="BJ18161" s="201"/>
    </row>
    <row r="18162" spans="62:62" x14ac:dyDescent="0.2">
      <c r="BJ18162" s="201"/>
    </row>
    <row r="18163" spans="62:62" x14ac:dyDescent="0.2">
      <c r="BJ18163" s="201"/>
    </row>
    <row r="18164" spans="62:62" x14ac:dyDescent="0.2">
      <c r="BJ18164" s="201"/>
    </row>
    <row r="18165" spans="62:62" x14ac:dyDescent="0.2">
      <c r="BJ18165" s="201"/>
    </row>
    <row r="18166" spans="62:62" x14ac:dyDescent="0.2">
      <c r="BJ18166" s="201"/>
    </row>
    <row r="18167" spans="62:62" x14ac:dyDescent="0.2">
      <c r="BJ18167" s="201"/>
    </row>
    <row r="18168" spans="62:62" x14ac:dyDescent="0.2">
      <c r="BJ18168" s="201"/>
    </row>
    <row r="18169" spans="62:62" x14ac:dyDescent="0.2">
      <c r="BJ18169" s="201"/>
    </row>
    <row r="18170" spans="62:62" x14ac:dyDescent="0.2">
      <c r="BJ18170" s="201"/>
    </row>
    <row r="18171" spans="62:62" x14ac:dyDescent="0.2">
      <c r="BJ18171" s="201"/>
    </row>
    <row r="18172" spans="62:62" x14ac:dyDescent="0.2">
      <c r="BJ18172" s="201"/>
    </row>
    <row r="18173" spans="62:62" x14ac:dyDescent="0.2">
      <c r="BJ18173" s="201"/>
    </row>
    <row r="18174" spans="62:62" x14ac:dyDescent="0.2">
      <c r="BJ18174" s="201"/>
    </row>
    <row r="18175" spans="62:62" x14ac:dyDescent="0.2">
      <c r="BJ18175" s="201"/>
    </row>
    <row r="18176" spans="62:62" x14ac:dyDescent="0.2">
      <c r="BJ18176" s="201"/>
    </row>
    <row r="18177" spans="62:62" x14ac:dyDescent="0.2">
      <c r="BJ18177" s="201"/>
    </row>
    <row r="18178" spans="62:62" x14ac:dyDescent="0.2">
      <c r="BJ18178" s="201"/>
    </row>
    <row r="18179" spans="62:62" x14ac:dyDescent="0.2">
      <c r="BJ18179" s="201"/>
    </row>
    <row r="18180" spans="62:62" x14ac:dyDescent="0.2">
      <c r="BJ18180" s="201"/>
    </row>
    <row r="18181" spans="62:62" x14ac:dyDescent="0.2">
      <c r="BJ18181" s="201"/>
    </row>
    <row r="18182" spans="62:62" x14ac:dyDescent="0.2">
      <c r="BJ18182" s="201"/>
    </row>
    <row r="18183" spans="62:62" x14ac:dyDescent="0.2">
      <c r="BJ18183" s="201"/>
    </row>
    <row r="18184" spans="62:62" x14ac:dyDescent="0.2">
      <c r="BJ18184" s="201"/>
    </row>
    <row r="18185" spans="62:62" x14ac:dyDescent="0.2">
      <c r="BJ18185" s="201"/>
    </row>
    <row r="18186" spans="62:62" x14ac:dyDescent="0.2">
      <c r="BJ18186" s="201"/>
    </row>
    <row r="18187" spans="62:62" x14ac:dyDescent="0.2">
      <c r="BJ18187" s="201"/>
    </row>
    <row r="18188" spans="62:62" x14ac:dyDescent="0.2">
      <c r="BJ18188" s="201"/>
    </row>
    <row r="18189" spans="62:62" x14ac:dyDescent="0.2">
      <c r="BJ18189" s="201"/>
    </row>
    <row r="18190" spans="62:62" x14ac:dyDescent="0.2">
      <c r="BJ18190" s="201"/>
    </row>
    <row r="18191" spans="62:62" x14ac:dyDescent="0.2">
      <c r="BJ18191" s="201"/>
    </row>
    <row r="18192" spans="62:62" x14ac:dyDescent="0.2">
      <c r="BJ18192" s="201"/>
    </row>
    <row r="18193" spans="62:62" x14ac:dyDescent="0.2">
      <c r="BJ18193" s="201"/>
    </row>
    <row r="18194" spans="62:62" x14ac:dyDescent="0.2">
      <c r="BJ18194" s="201"/>
    </row>
    <row r="18195" spans="62:62" x14ac:dyDescent="0.2">
      <c r="BJ18195" s="201"/>
    </row>
    <row r="18196" spans="62:62" x14ac:dyDescent="0.2">
      <c r="BJ18196" s="201"/>
    </row>
    <row r="18197" spans="62:62" x14ac:dyDescent="0.2">
      <c r="BJ18197" s="201"/>
    </row>
    <row r="18198" spans="62:62" x14ac:dyDescent="0.2">
      <c r="BJ18198" s="201"/>
    </row>
    <row r="18199" spans="62:62" x14ac:dyDescent="0.2">
      <c r="BJ18199" s="201"/>
    </row>
    <row r="18200" spans="62:62" x14ac:dyDescent="0.2">
      <c r="BJ18200" s="201"/>
    </row>
    <row r="18201" spans="62:62" x14ac:dyDescent="0.2">
      <c r="BJ18201" s="201"/>
    </row>
    <row r="18202" spans="62:62" x14ac:dyDescent="0.2">
      <c r="BJ18202" s="201"/>
    </row>
    <row r="18203" spans="62:62" x14ac:dyDescent="0.2">
      <c r="BJ18203" s="201"/>
    </row>
    <row r="18204" spans="62:62" x14ac:dyDescent="0.2">
      <c r="BJ18204" s="201"/>
    </row>
    <row r="18205" spans="62:62" x14ac:dyDescent="0.2">
      <c r="BJ18205" s="201"/>
    </row>
    <row r="18206" spans="62:62" x14ac:dyDescent="0.2">
      <c r="BJ18206" s="201"/>
    </row>
    <row r="18207" spans="62:62" x14ac:dyDescent="0.2">
      <c r="BJ18207" s="201"/>
    </row>
    <row r="18208" spans="62:62" x14ac:dyDescent="0.2">
      <c r="BJ18208" s="201"/>
    </row>
    <row r="18209" spans="62:62" x14ac:dyDescent="0.2">
      <c r="BJ18209" s="201"/>
    </row>
    <row r="18210" spans="62:62" x14ac:dyDescent="0.2">
      <c r="BJ18210" s="201"/>
    </row>
    <row r="18211" spans="62:62" x14ac:dyDescent="0.2">
      <c r="BJ18211" s="201"/>
    </row>
    <row r="18212" spans="62:62" x14ac:dyDescent="0.2">
      <c r="BJ18212" s="201"/>
    </row>
    <row r="18213" spans="62:62" x14ac:dyDescent="0.2">
      <c r="BJ18213" s="201"/>
    </row>
    <row r="18214" spans="62:62" x14ac:dyDescent="0.2">
      <c r="BJ18214" s="201"/>
    </row>
    <row r="18215" spans="62:62" x14ac:dyDescent="0.2">
      <c r="BJ18215" s="201"/>
    </row>
    <row r="18216" spans="62:62" x14ac:dyDescent="0.2">
      <c r="BJ18216" s="201"/>
    </row>
    <row r="18217" spans="62:62" x14ac:dyDescent="0.2">
      <c r="BJ18217" s="201"/>
    </row>
    <row r="18218" spans="62:62" x14ac:dyDescent="0.2">
      <c r="BJ18218" s="201"/>
    </row>
    <row r="18219" spans="62:62" x14ac:dyDescent="0.2">
      <c r="BJ18219" s="201"/>
    </row>
    <row r="18220" spans="62:62" x14ac:dyDescent="0.2">
      <c r="BJ18220" s="201"/>
    </row>
    <row r="18221" spans="62:62" x14ac:dyDescent="0.2">
      <c r="BJ18221" s="201"/>
    </row>
    <row r="18222" spans="62:62" x14ac:dyDescent="0.2">
      <c r="BJ18222" s="201"/>
    </row>
    <row r="18223" spans="62:62" x14ac:dyDescent="0.2">
      <c r="BJ18223" s="201"/>
    </row>
    <row r="18224" spans="62:62" x14ac:dyDescent="0.2">
      <c r="BJ18224" s="201"/>
    </row>
    <row r="18225" spans="62:62" x14ac:dyDescent="0.2">
      <c r="BJ18225" s="201"/>
    </row>
    <row r="18226" spans="62:62" x14ac:dyDescent="0.2">
      <c r="BJ18226" s="201"/>
    </row>
    <row r="18227" spans="62:62" x14ac:dyDescent="0.2">
      <c r="BJ18227" s="201"/>
    </row>
    <row r="18228" spans="62:62" x14ac:dyDescent="0.2">
      <c r="BJ18228" s="201"/>
    </row>
    <row r="18229" spans="62:62" x14ac:dyDescent="0.2">
      <c r="BJ18229" s="201"/>
    </row>
    <row r="18230" spans="62:62" x14ac:dyDescent="0.2">
      <c r="BJ18230" s="201"/>
    </row>
    <row r="18231" spans="62:62" x14ac:dyDescent="0.2">
      <c r="BJ18231" s="201"/>
    </row>
    <row r="18232" spans="62:62" x14ac:dyDescent="0.2">
      <c r="BJ18232" s="201"/>
    </row>
    <row r="18233" spans="62:62" x14ac:dyDescent="0.2">
      <c r="BJ18233" s="201"/>
    </row>
    <row r="18234" spans="62:62" x14ac:dyDescent="0.2">
      <c r="BJ18234" s="201"/>
    </row>
    <row r="18235" spans="62:62" x14ac:dyDescent="0.2">
      <c r="BJ18235" s="201"/>
    </row>
    <row r="18236" spans="62:62" x14ac:dyDescent="0.2">
      <c r="BJ18236" s="201"/>
    </row>
    <row r="18237" spans="62:62" x14ac:dyDescent="0.2">
      <c r="BJ18237" s="201"/>
    </row>
    <row r="18238" spans="62:62" x14ac:dyDescent="0.2">
      <c r="BJ18238" s="201"/>
    </row>
    <row r="18239" spans="62:62" x14ac:dyDescent="0.2">
      <c r="BJ18239" s="201"/>
    </row>
    <row r="18240" spans="62:62" x14ac:dyDescent="0.2">
      <c r="BJ18240" s="201"/>
    </row>
    <row r="18241" spans="62:62" x14ac:dyDescent="0.2">
      <c r="BJ18241" s="201"/>
    </row>
    <row r="18242" spans="62:62" x14ac:dyDescent="0.2">
      <c r="BJ18242" s="201"/>
    </row>
    <row r="18243" spans="62:62" x14ac:dyDescent="0.2">
      <c r="BJ18243" s="201"/>
    </row>
    <row r="18244" spans="62:62" x14ac:dyDescent="0.2">
      <c r="BJ18244" s="201"/>
    </row>
    <row r="18245" spans="62:62" x14ac:dyDescent="0.2">
      <c r="BJ18245" s="201"/>
    </row>
    <row r="18246" spans="62:62" x14ac:dyDescent="0.2">
      <c r="BJ18246" s="201"/>
    </row>
    <row r="18247" spans="62:62" x14ac:dyDescent="0.2">
      <c r="BJ18247" s="201"/>
    </row>
    <row r="18248" spans="62:62" x14ac:dyDescent="0.2">
      <c r="BJ18248" s="201"/>
    </row>
    <row r="18249" spans="62:62" x14ac:dyDescent="0.2">
      <c r="BJ18249" s="201"/>
    </row>
    <row r="18250" spans="62:62" x14ac:dyDescent="0.2">
      <c r="BJ18250" s="201"/>
    </row>
    <row r="18251" spans="62:62" x14ac:dyDescent="0.2">
      <c r="BJ18251" s="201"/>
    </row>
    <row r="18252" spans="62:62" x14ac:dyDescent="0.2">
      <c r="BJ18252" s="201"/>
    </row>
    <row r="18253" spans="62:62" x14ac:dyDescent="0.2">
      <c r="BJ18253" s="201"/>
    </row>
    <row r="18254" spans="62:62" x14ac:dyDescent="0.2">
      <c r="BJ18254" s="201"/>
    </row>
    <row r="18255" spans="62:62" x14ac:dyDescent="0.2">
      <c r="BJ18255" s="201"/>
    </row>
    <row r="18256" spans="62:62" x14ac:dyDescent="0.2">
      <c r="BJ18256" s="201"/>
    </row>
    <row r="18257" spans="62:62" x14ac:dyDescent="0.2">
      <c r="BJ18257" s="201"/>
    </row>
    <row r="18258" spans="62:62" x14ac:dyDescent="0.2">
      <c r="BJ18258" s="201"/>
    </row>
    <row r="18259" spans="62:62" x14ac:dyDescent="0.2">
      <c r="BJ18259" s="201"/>
    </row>
    <row r="18260" spans="62:62" x14ac:dyDescent="0.2">
      <c r="BJ18260" s="201"/>
    </row>
    <row r="18261" spans="62:62" x14ac:dyDescent="0.2">
      <c r="BJ18261" s="201"/>
    </row>
    <row r="18262" spans="62:62" x14ac:dyDescent="0.2">
      <c r="BJ18262" s="201"/>
    </row>
    <row r="18263" spans="62:62" x14ac:dyDescent="0.2">
      <c r="BJ18263" s="201"/>
    </row>
    <row r="18264" spans="62:62" x14ac:dyDescent="0.2">
      <c r="BJ18264" s="201"/>
    </row>
    <row r="18265" spans="62:62" x14ac:dyDescent="0.2">
      <c r="BJ18265" s="201"/>
    </row>
    <row r="18266" spans="62:62" x14ac:dyDescent="0.2">
      <c r="BJ18266" s="201"/>
    </row>
    <row r="18267" spans="62:62" x14ac:dyDescent="0.2">
      <c r="BJ18267" s="201"/>
    </row>
    <row r="18268" spans="62:62" x14ac:dyDescent="0.2">
      <c r="BJ18268" s="201"/>
    </row>
    <row r="18269" spans="62:62" x14ac:dyDescent="0.2">
      <c r="BJ18269" s="201"/>
    </row>
    <row r="18270" spans="62:62" x14ac:dyDescent="0.2">
      <c r="BJ18270" s="201"/>
    </row>
    <row r="18271" spans="62:62" x14ac:dyDescent="0.2">
      <c r="BJ18271" s="201"/>
    </row>
    <row r="18272" spans="62:62" x14ac:dyDescent="0.2">
      <c r="BJ18272" s="201"/>
    </row>
    <row r="18273" spans="62:62" x14ac:dyDescent="0.2">
      <c r="BJ18273" s="201"/>
    </row>
    <row r="18274" spans="62:62" x14ac:dyDescent="0.2">
      <c r="BJ18274" s="201"/>
    </row>
    <row r="18275" spans="62:62" x14ac:dyDescent="0.2">
      <c r="BJ18275" s="201"/>
    </row>
    <row r="18276" spans="62:62" x14ac:dyDescent="0.2">
      <c r="BJ18276" s="201"/>
    </row>
    <row r="18277" spans="62:62" x14ac:dyDescent="0.2">
      <c r="BJ18277" s="201"/>
    </row>
    <row r="18278" spans="62:62" x14ac:dyDescent="0.2">
      <c r="BJ18278" s="201"/>
    </row>
    <row r="18279" spans="62:62" x14ac:dyDescent="0.2">
      <c r="BJ18279" s="201"/>
    </row>
    <row r="18280" spans="62:62" x14ac:dyDescent="0.2">
      <c r="BJ18280" s="201"/>
    </row>
    <row r="18281" spans="62:62" x14ac:dyDescent="0.2">
      <c r="BJ18281" s="201"/>
    </row>
    <row r="18282" spans="62:62" x14ac:dyDescent="0.2">
      <c r="BJ18282" s="201"/>
    </row>
    <row r="18283" spans="62:62" x14ac:dyDescent="0.2">
      <c r="BJ18283" s="201"/>
    </row>
    <row r="18284" spans="62:62" x14ac:dyDescent="0.2">
      <c r="BJ18284" s="201"/>
    </row>
    <row r="18285" spans="62:62" x14ac:dyDescent="0.2">
      <c r="BJ18285" s="201"/>
    </row>
    <row r="18286" spans="62:62" x14ac:dyDescent="0.2">
      <c r="BJ18286" s="201"/>
    </row>
    <row r="18287" spans="62:62" x14ac:dyDescent="0.2">
      <c r="BJ18287" s="201"/>
    </row>
    <row r="18288" spans="62:62" x14ac:dyDescent="0.2">
      <c r="BJ18288" s="201"/>
    </row>
    <row r="18289" spans="62:62" x14ac:dyDescent="0.2">
      <c r="BJ18289" s="201"/>
    </row>
    <row r="18290" spans="62:62" x14ac:dyDescent="0.2">
      <c r="BJ18290" s="201"/>
    </row>
    <row r="18291" spans="62:62" x14ac:dyDescent="0.2">
      <c r="BJ18291" s="201"/>
    </row>
    <row r="18292" spans="62:62" x14ac:dyDescent="0.2">
      <c r="BJ18292" s="201"/>
    </row>
    <row r="18293" spans="62:62" x14ac:dyDescent="0.2">
      <c r="BJ18293" s="201"/>
    </row>
    <row r="18294" spans="62:62" x14ac:dyDescent="0.2">
      <c r="BJ18294" s="201"/>
    </row>
    <row r="18295" spans="62:62" x14ac:dyDescent="0.2">
      <c r="BJ18295" s="201"/>
    </row>
    <row r="18296" spans="62:62" x14ac:dyDescent="0.2">
      <c r="BJ18296" s="201"/>
    </row>
    <row r="18297" spans="62:62" x14ac:dyDescent="0.2">
      <c r="BJ18297" s="201"/>
    </row>
    <row r="18298" spans="62:62" x14ac:dyDescent="0.2">
      <c r="BJ18298" s="201"/>
    </row>
    <row r="18299" spans="62:62" x14ac:dyDescent="0.2">
      <c r="BJ18299" s="201"/>
    </row>
    <row r="18300" spans="62:62" x14ac:dyDescent="0.2">
      <c r="BJ18300" s="201"/>
    </row>
    <row r="18301" spans="62:62" x14ac:dyDescent="0.2">
      <c r="BJ18301" s="201"/>
    </row>
    <row r="18302" spans="62:62" x14ac:dyDescent="0.2">
      <c r="BJ18302" s="201"/>
    </row>
    <row r="18303" spans="62:62" x14ac:dyDescent="0.2">
      <c r="BJ18303" s="201"/>
    </row>
    <row r="18304" spans="62:62" x14ac:dyDescent="0.2">
      <c r="BJ18304" s="201"/>
    </row>
    <row r="18305" spans="62:62" x14ac:dyDescent="0.2">
      <c r="BJ18305" s="201"/>
    </row>
    <row r="18306" spans="62:62" x14ac:dyDescent="0.2">
      <c r="BJ18306" s="201"/>
    </row>
    <row r="18307" spans="62:62" x14ac:dyDescent="0.2">
      <c r="BJ18307" s="201"/>
    </row>
    <row r="18308" spans="62:62" x14ac:dyDescent="0.2">
      <c r="BJ18308" s="201"/>
    </row>
    <row r="18309" spans="62:62" x14ac:dyDescent="0.2">
      <c r="BJ18309" s="201"/>
    </row>
    <row r="18310" spans="62:62" x14ac:dyDescent="0.2">
      <c r="BJ18310" s="201"/>
    </row>
    <row r="18311" spans="62:62" x14ac:dyDescent="0.2">
      <c r="BJ18311" s="201"/>
    </row>
    <row r="18312" spans="62:62" x14ac:dyDescent="0.2">
      <c r="BJ18312" s="201"/>
    </row>
    <row r="18313" spans="62:62" x14ac:dyDescent="0.2">
      <c r="BJ18313" s="201"/>
    </row>
    <row r="18314" spans="62:62" x14ac:dyDescent="0.2">
      <c r="BJ18314" s="201"/>
    </row>
    <row r="18315" spans="62:62" x14ac:dyDescent="0.2">
      <c r="BJ18315" s="201"/>
    </row>
    <row r="18316" spans="62:62" x14ac:dyDescent="0.2">
      <c r="BJ18316" s="201"/>
    </row>
    <row r="18317" spans="62:62" x14ac:dyDescent="0.2">
      <c r="BJ18317" s="201"/>
    </row>
    <row r="18318" spans="62:62" x14ac:dyDescent="0.2">
      <c r="BJ18318" s="201"/>
    </row>
    <row r="18319" spans="62:62" x14ac:dyDescent="0.2">
      <c r="BJ18319" s="201"/>
    </row>
    <row r="18320" spans="62:62" x14ac:dyDescent="0.2">
      <c r="BJ18320" s="201"/>
    </row>
    <row r="18321" spans="62:62" x14ac:dyDescent="0.2">
      <c r="BJ18321" s="201"/>
    </row>
    <row r="18322" spans="62:62" x14ac:dyDescent="0.2">
      <c r="BJ18322" s="201"/>
    </row>
    <row r="18323" spans="62:62" x14ac:dyDescent="0.2">
      <c r="BJ18323" s="201"/>
    </row>
    <row r="18324" spans="62:62" x14ac:dyDescent="0.2">
      <c r="BJ18324" s="201"/>
    </row>
    <row r="18325" spans="62:62" x14ac:dyDescent="0.2">
      <c r="BJ18325" s="201"/>
    </row>
    <row r="18326" spans="62:62" x14ac:dyDescent="0.2">
      <c r="BJ18326" s="201"/>
    </row>
    <row r="18327" spans="62:62" x14ac:dyDescent="0.2">
      <c r="BJ18327" s="201"/>
    </row>
    <row r="18328" spans="62:62" x14ac:dyDescent="0.2">
      <c r="BJ18328" s="201"/>
    </row>
    <row r="18329" spans="62:62" x14ac:dyDescent="0.2">
      <c r="BJ18329" s="201"/>
    </row>
    <row r="18330" spans="62:62" x14ac:dyDescent="0.2">
      <c r="BJ18330" s="201"/>
    </row>
    <row r="18331" spans="62:62" x14ac:dyDescent="0.2">
      <c r="BJ18331" s="201"/>
    </row>
    <row r="18332" spans="62:62" x14ac:dyDescent="0.2">
      <c r="BJ18332" s="201"/>
    </row>
    <row r="18333" spans="62:62" x14ac:dyDescent="0.2">
      <c r="BJ18333" s="201"/>
    </row>
    <row r="18334" spans="62:62" x14ac:dyDescent="0.2">
      <c r="BJ18334" s="201"/>
    </row>
    <row r="18335" spans="62:62" x14ac:dyDescent="0.2">
      <c r="BJ18335" s="201"/>
    </row>
    <row r="18336" spans="62:62" x14ac:dyDescent="0.2">
      <c r="BJ18336" s="201"/>
    </row>
    <row r="18337" spans="62:62" x14ac:dyDescent="0.2">
      <c r="BJ18337" s="201"/>
    </row>
    <row r="18338" spans="62:62" x14ac:dyDescent="0.2">
      <c r="BJ18338" s="201"/>
    </row>
    <row r="18339" spans="62:62" x14ac:dyDescent="0.2">
      <c r="BJ18339" s="201"/>
    </row>
    <row r="18340" spans="62:62" x14ac:dyDescent="0.2">
      <c r="BJ18340" s="201"/>
    </row>
    <row r="18341" spans="62:62" x14ac:dyDescent="0.2">
      <c r="BJ18341" s="201"/>
    </row>
    <row r="18342" spans="62:62" x14ac:dyDescent="0.2">
      <c r="BJ18342" s="201"/>
    </row>
    <row r="18343" spans="62:62" x14ac:dyDescent="0.2">
      <c r="BJ18343" s="201"/>
    </row>
    <row r="18344" spans="62:62" x14ac:dyDescent="0.2">
      <c r="BJ18344" s="201"/>
    </row>
    <row r="18345" spans="62:62" x14ac:dyDescent="0.2">
      <c r="BJ18345" s="201"/>
    </row>
    <row r="18346" spans="62:62" x14ac:dyDescent="0.2">
      <c r="BJ18346" s="201"/>
    </row>
    <row r="18347" spans="62:62" x14ac:dyDescent="0.2">
      <c r="BJ18347" s="201"/>
    </row>
    <row r="18348" spans="62:62" x14ac:dyDescent="0.2">
      <c r="BJ18348" s="201"/>
    </row>
    <row r="18349" spans="62:62" x14ac:dyDescent="0.2">
      <c r="BJ18349" s="201"/>
    </row>
    <row r="18350" spans="62:62" x14ac:dyDescent="0.2">
      <c r="BJ18350" s="201"/>
    </row>
    <row r="18351" spans="62:62" x14ac:dyDescent="0.2">
      <c r="BJ18351" s="201"/>
    </row>
    <row r="18352" spans="62:62" x14ac:dyDescent="0.2">
      <c r="BJ18352" s="201"/>
    </row>
    <row r="18353" spans="62:62" x14ac:dyDescent="0.2">
      <c r="BJ18353" s="201"/>
    </row>
    <row r="18354" spans="62:62" x14ac:dyDescent="0.2">
      <c r="BJ18354" s="201"/>
    </row>
    <row r="18355" spans="62:62" x14ac:dyDescent="0.2">
      <c r="BJ18355" s="201"/>
    </row>
    <row r="18356" spans="62:62" x14ac:dyDescent="0.2">
      <c r="BJ18356" s="201"/>
    </row>
    <row r="18357" spans="62:62" x14ac:dyDescent="0.2">
      <c r="BJ18357" s="201"/>
    </row>
    <row r="18358" spans="62:62" x14ac:dyDescent="0.2">
      <c r="BJ18358" s="201"/>
    </row>
    <row r="18359" spans="62:62" x14ac:dyDescent="0.2">
      <c r="BJ18359" s="201"/>
    </row>
    <row r="18360" spans="62:62" x14ac:dyDescent="0.2">
      <c r="BJ18360" s="201"/>
    </row>
    <row r="18361" spans="62:62" x14ac:dyDescent="0.2">
      <c r="BJ18361" s="201"/>
    </row>
    <row r="18362" spans="62:62" x14ac:dyDescent="0.2">
      <c r="BJ18362" s="201"/>
    </row>
    <row r="18363" spans="62:62" x14ac:dyDescent="0.2">
      <c r="BJ18363" s="201"/>
    </row>
    <row r="18364" spans="62:62" x14ac:dyDescent="0.2">
      <c r="BJ18364" s="201"/>
    </row>
    <row r="18365" spans="62:62" x14ac:dyDescent="0.2">
      <c r="BJ18365" s="201"/>
    </row>
    <row r="18366" spans="62:62" x14ac:dyDescent="0.2">
      <c r="BJ18366" s="201"/>
    </row>
    <row r="18367" spans="62:62" x14ac:dyDescent="0.2">
      <c r="BJ18367" s="201"/>
    </row>
    <row r="18368" spans="62:62" x14ac:dyDescent="0.2">
      <c r="BJ18368" s="201"/>
    </row>
    <row r="18369" spans="62:62" x14ac:dyDescent="0.2">
      <c r="BJ18369" s="201"/>
    </row>
    <row r="18370" spans="62:62" x14ac:dyDescent="0.2">
      <c r="BJ18370" s="201"/>
    </row>
    <row r="18371" spans="62:62" x14ac:dyDescent="0.2">
      <c r="BJ18371" s="201"/>
    </row>
    <row r="18372" spans="62:62" x14ac:dyDescent="0.2">
      <c r="BJ18372" s="201"/>
    </row>
    <row r="18373" spans="62:62" x14ac:dyDescent="0.2">
      <c r="BJ18373" s="201"/>
    </row>
    <row r="18374" spans="62:62" x14ac:dyDescent="0.2">
      <c r="BJ18374" s="201"/>
    </row>
    <row r="18375" spans="62:62" x14ac:dyDescent="0.2">
      <c r="BJ18375" s="201"/>
    </row>
    <row r="18376" spans="62:62" x14ac:dyDescent="0.2">
      <c r="BJ18376" s="201"/>
    </row>
    <row r="18377" spans="62:62" x14ac:dyDescent="0.2">
      <c r="BJ18377" s="201"/>
    </row>
    <row r="18378" spans="62:62" x14ac:dyDescent="0.2">
      <c r="BJ18378" s="201"/>
    </row>
    <row r="18379" spans="62:62" x14ac:dyDescent="0.2">
      <c r="BJ18379" s="201"/>
    </row>
    <row r="18380" spans="62:62" x14ac:dyDescent="0.2">
      <c r="BJ18380" s="201"/>
    </row>
    <row r="18381" spans="62:62" x14ac:dyDescent="0.2">
      <c r="BJ18381" s="201"/>
    </row>
    <row r="18382" spans="62:62" x14ac:dyDescent="0.2">
      <c r="BJ18382" s="201"/>
    </row>
    <row r="18383" spans="62:62" x14ac:dyDescent="0.2">
      <c r="BJ18383" s="201"/>
    </row>
    <row r="18384" spans="62:62" x14ac:dyDescent="0.2">
      <c r="BJ18384" s="201"/>
    </row>
    <row r="18385" spans="62:62" x14ac:dyDescent="0.2">
      <c r="BJ18385" s="201"/>
    </row>
    <row r="18386" spans="62:62" x14ac:dyDescent="0.2">
      <c r="BJ18386" s="201"/>
    </row>
    <row r="18387" spans="62:62" x14ac:dyDescent="0.2">
      <c r="BJ18387" s="201"/>
    </row>
    <row r="18388" spans="62:62" x14ac:dyDescent="0.2">
      <c r="BJ18388" s="201"/>
    </row>
    <row r="18389" spans="62:62" x14ac:dyDescent="0.2">
      <c r="BJ18389" s="201"/>
    </row>
    <row r="18390" spans="62:62" x14ac:dyDescent="0.2">
      <c r="BJ18390" s="201"/>
    </row>
    <row r="18391" spans="62:62" x14ac:dyDescent="0.2">
      <c r="BJ18391" s="201"/>
    </row>
    <row r="18392" spans="62:62" x14ac:dyDescent="0.2">
      <c r="BJ18392" s="201"/>
    </row>
    <row r="18393" spans="62:62" x14ac:dyDescent="0.2">
      <c r="BJ18393" s="201"/>
    </row>
    <row r="18394" spans="62:62" x14ac:dyDescent="0.2">
      <c r="BJ18394" s="201"/>
    </row>
    <row r="18395" spans="62:62" x14ac:dyDescent="0.2">
      <c r="BJ18395" s="201"/>
    </row>
    <row r="18396" spans="62:62" x14ac:dyDescent="0.2">
      <c r="BJ18396" s="201"/>
    </row>
    <row r="18397" spans="62:62" x14ac:dyDescent="0.2">
      <c r="BJ18397" s="201"/>
    </row>
    <row r="18398" spans="62:62" x14ac:dyDescent="0.2">
      <c r="BJ18398" s="201"/>
    </row>
    <row r="18399" spans="62:62" x14ac:dyDescent="0.2">
      <c r="BJ18399" s="201"/>
    </row>
    <row r="18400" spans="62:62" x14ac:dyDescent="0.2">
      <c r="BJ18400" s="201"/>
    </row>
    <row r="18401" spans="62:62" x14ac:dyDescent="0.2">
      <c r="BJ18401" s="201"/>
    </row>
    <row r="18402" spans="62:62" x14ac:dyDescent="0.2">
      <c r="BJ18402" s="201"/>
    </row>
    <row r="18403" spans="62:62" x14ac:dyDescent="0.2">
      <c r="BJ18403" s="201"/>
    </row>
    <row r="18404" spans="62:62" x14ac:dyDescent="0.2">
      <c r="BJ18404" s="201"/>
    </row>
    <row r="18405" spans="62:62" x14ac:dyDescent="0.2">
      <c r="BJ18405" s="201"/>
    </row>
    <row r="18406" spans="62:62" x14ac:dyDescent="0.2">
      <c r="BJ18406" s="201"/>
    </row>
    <row r="18407" spans="62:62" x14ac:dyDescent="0.2">
      <c r="BJ18407" s="201"/>
    </row>
    <row r="18408" spans="62:62" x14ac:dyDescent="0.2">
      <c r="BJ18408" s="201"/>
    </row>
    <row r="18409" spans="62:62" x14ac:dyDescent="0.2">
      <c r="BJ18409" s="201"/>
    </row>
    <row r="18410" spans="62:62" x14ac:dyDescent="0.2">
      <c r="BJ18410" s="201"/>
    </row>
    <row r="18411" spans="62:62" x14ac:dyDescent="0.2">
      <c r="BJ18411" s="201"/>
    </row>
    <row r="18412" spans="62:62" x14ac:dyDescent="0.2">
      <c r="BJ18412" s="201"/>
    </row>
    <row r="18413" spans="62:62" x14ac:dyDescent="0.2">
      <c r="BJ18413" s="201"/>
    </row>
    <row r="18414" spans="62:62" x14ac:dyDescent="0.2">
      <c r="BJ18414" s="201"/>
    </row>
    <row r="18415" spans="62:62" x14ac:dyDescent="0.2">
      <c r="BJ18415" s="201"/>
    </row>
    <row r="18416" spans="62:62" x14ac:dyDescent="0.2">
      <c r="BJ18416" s="201"/>
    </row>
    <row r="18417" spans="62:62" x14ac:dyDescent="0.2">
      <c r="BJ18417" s="201"/>
    </row>
    <row r="18418" spans="62:62" x14ac:dyDescent="0.2">
      <c r="BJ18418" s="201"/>
    </row>
    <row r="18419" spans="62:62" x14ac:dyDescent="0.2">
      <c r="BJ18419" s="201"/>
    </row>
    <row r="18420" spans="62:62" x14ac:dyDescent="0.2">
      <c r="BJ18420" s="201"/>
    </row>
    <row r="18421" spans="62:62" x14ac:dyDescent="0.2">
      <c r="BJ18421" s="201"/>
    </row>
    <row r="18422" spans="62:62" x14ac:dyDescent="0.2">
      <c r="BJ18422" s="201"/>
    </row>
    <row r="18423" spans="62:62" x14ac:dyDescent="0.2">
      <c r="BJ18423" s="201"/>
    </row>
    <row r="18424" spans="62:62" x14ac:dyDescent="0.2">
      <c r="BJ18424" s="201"/>
    </row>
    <row r="18425" spans="62:62" x14ac:dyDescent="0.2">
      <c r="BJ18425" s="201"/>
    </row>
    <row r="18426" spans="62:62" x14ac:dyDescent="0.2">
      <c r="BJ18426" s="201"/>
    </row>
    <row r="18427" spans="62:62" x14ac:dyDescent="0.2">
      <c r="BJ18427" s="201"/>
    </row>
    <row r="18428" spans="62:62" x14ac:dyDescent="0.2">
      <c r="BJ18428" s="201"/>
    </row>
    <row r="18429" spans="62:62" x14ac:dyDescent="0.2">
      <c r="BJ18429" s="201"/>
    </row>
    <row r="18430" spans="62:62" x14ac:dyDescent="0.2">
      <c r="BJ18430" s="201"/>
    </row>
    <row r="18431" spans="62:62" x14ac:dyDescent="0.2">
      <c r="BJ18431" s="201"/>
    </row>
    <row r="18432" spans="62:62" x14ac:dyDescent="0.2">
      <c r="BJ18432" s="201"/>
    </row>
    <row r="18433" spans="62:62" x14ac:dyDescent="0.2">
      <c r="BJ18433" s="201"/>
    </row>
    <row r="18434" spans="62:62" x14ac:dyDescent="0.2">
      <c r="BJ18434" s="201"/>
    </row>
    <row r="18435" spans="62:62" x14ac:dyDescent="0.2">
      <c r="BJ18435" s="201"/>
    </row>
    <row r="18436" spans="62:62" x14ac:dyDescent="0.2">
      <c r="BJ18436" s="201"/>
    </row>
    <row r="18437" spans="62:62" x14ac:dyDescent="0.2">
      <c r="BJ18437" s="201"/>
    </row>
    <row r="18438" spans="62:62" x14ac:dyDescent="0.2">
      <c r="BJ18438" s="201"/>
    </row>
    <row r="18439" spans="62:62" x14ac:dyDescent="0.2">
      <c r="BJ18439" s="201"/>
    </row>
    <row r="18440" spans="62:62" x14ac:dyDescent="0.2">
      <c r="BJ18440" s="201"/>
    </row>
    <row r="18441" spans="62:62" x14ac:dyDescent="0.2">
      <c r="BJ18441" s="201"/>
    </row>
    <row r="18442" spans="62:62" x14ac:dyDescent="0.2">
      <c r="BJ18442" s="201"/>
    </row>
    <row r="18443" spans="62:62" x14ac:dyDescent="0.2">
      <c r="BJ18443" s="201"/>
    </row>
    <row r="18444" spans="62:62" x14ac:dyDescent="0.2">
      <c r="BJ18444" s="201"/>
    </row>
    <row r="18445" spans="62:62" x14ac:dyDescent="0.2">
      <c r="BJ18445" s="201"/>
    </row>
    <row r="18446" spans="62:62" x14ac:dyDescent="0.2">
      <c r="BJ18446" s="201"/>
    </row>
    <row r="18447" spans="62:62" x14ac:dyDescent="0.2">
      <c r="BJ18447" s="201"/>
    </row>
    <row r="18448" spans="62:62" x14ac:dyDescent="0.2">
      <c r="BJ18448" s="201"/>
    </row>
    <row r="18449" spans="62:62" x14ac:dyDescent="0.2">
      <c r="BJ18449" s="201"/>
    </row>
    <row r="18450" spans="62:62" x14ac:dyDescent="0.2">
      <c r="BJ18450" s="201"/>
    </row>
    <row r="18451" spans="62:62" x14ac:dyDescent="0.2">
      <c r="BJ18451" s="201"/>
    </row>
    <row r="18452" spans="62:62" x14ac:dyDescent="0.2">
      <c r="BJ18452" s="201"/>
    </row>
    <row r="18453" spans="62:62" x14ac:dyDescent="0.2">
      <c r="BJ18453" s="201"/>
    </row>
    <row r="18454" spans="62:62" x14ac:dyDescent="0.2">
      <c r="BJ18454" s="201"/>
    </row>
    <row r="18455" spans="62:62" x14ac:dyDescent="0.2">
      <c r="BJ18455" s="201"/>
    </row>
    <row r="18456" spans="62:62" x14ac:dyDescent="0.2">
      <c r="BJ18456" s="201"/>
    </row>
    <row r="18457" spans="62:62" x14ac:dyDescent="0.2">
      <c r="BJ18457" s="201"/>
    </row>
    <row r="18458" spans="62:62" x14ac:dyDescent="0.2">
      <c r="BJ18458" s="201"/>
    </row>
    <row r="18459" spans="62:62" x14ac:dyDescent="0.2">
      <c r="BJ18459" s="201"/>
    </row>
    <row r="18460" spans="62:62" x14ac:dyDescent="0.2">
      <c r="BJ18460" s="201"/>
    </row>
    <row r="18461" spans="62:62" x14ac:dyDescent="0.2">
      <c r="BJ18461" s="201"/>
    </row>
    <row r="18462" spans="62:62" x14ac:dyDescent="0.2">
      <c r="BJ18462" s="201"/>
    </row>
    <row r="18463" spans="62:62" x14ac:dyDescent="0.2">
      <c r="BJ18463" s="201"/>
    </row>
    <row r="18464" spans="62:62" x14ac:dyDescent="0.2">
      <c r="BJ18464" s="201"/>
    </row>
    <row r="18465" spans="62:62" x14ac:dyDescent="0.2">
      <c r="BJ18465" s="201"/>
    </row>
    <row r="18466" spans="62:62" x14ac:dyDescent="0.2">
      <c r="BJ18466" s="201"/>
    </row>
    <row r="18467" spans="62:62" x14ac:dyDescent="0.2">
      <c r="BJ18467" s="201"/>
    </row>
    <row r="18468" spans="62:62" x14ac:dyDescent="0.2">
      <c r="BJ18468" s="201"/>
    </row>
    <row r="18469" spans="62:62" x14ac:dyDescent="0.2">
      <c r="BJ18469" s="201"/>
    </row>
    <row r="18470" spans="62:62" x14ac:dyDescent="0.2">
      <c r="BJ18470" s="201"/>
    </row>
    <row r="18471" spans="62:62" x14ac:dyDescent="0.2">
      <c r="BJ18471" s="201"/>
    </row>
    <row r="18472" spans="62:62" x14ac:dyDescent="0.2">
      <c r="BJ18472" s="201"/>
    </row>
    <row r="18473" spans="62:62" x14ac:dyDescent="0.2">
      <c r="BJ18473" s="201"/>
    </row>
    <row r="18474" spans="62:62" x14ac:dyDescent="0.2">
      <c r="BJ18474" s="201"/>
    </row>
    <row r="18475" spans="62:62" x14ac:dyDescent="0.2">
      <c r="BJ18475" s="201"/>
    </row>
    <row r="18476" spans="62:62" x14ac:dyDescent="0.2">
      <c r="BJ18476" s="201"/>
    </row>
    <row r="18477" spans="62:62" x14ac:dyDescent="0.2">
      <c r="BJ18477" s="201"/>
    </row>
    <row r="18478" spans="62:62" x14ac:dyDescent="0.2">
      <c r="BJ18478" s="201"/>
    </row>
    <row r="18479" spans="62:62" x14ac:dyDescent="0.2">
      <c r="BJ18479" s="201"/>
    </row>
    <row r="18480" spans="62:62" x14ac:dyDescent="0.2">
      <c r="BJ18480" s="201"/>
    </row>
    <row r="18481" spans="62:62" x14ac:dyDescent="0.2">
      <c r="BJ18481" s="201"/>
    </row>
    <row r="18482" spans="62:62" x14ac:dyDescent="0.2">
      <c r="BJ18482" s="201"/>
    </row>
    <row r="18483" spans="62:62" x14ac:dyDescent="0.2">
      <c r="BJ18483" s="201"/>
    </row>
    <row r="18484" spans="62:62" x14ac:dyDescent="0.2">
      <c r="BJ18484" s="201"/>
    </row>
    <row r="18485" spans="62:62" x14ac:dyDescent="0.2">
      <c r="BJ18485" s="201"/>
    </row>
    <row r="18486" spans="62:62" x14ac:dyDescent="0.2">
      <c r="BJ18486" s="201"/>
    </row>
    <row r="18487" spans="62:62" x14ac:dyDescent="0.2">
      <c r="BJ18487" s="201"/>
    </row>
    <row r="18488" spans="62:62" x14ac:dyDescent="0.2">
      <c r="BJ18488" s="201"/>
    </row>
    <row r="18489" spans="62:62" x14ac:dyDescent="0.2">
      <c r="BJ18489" s="201"/>
    </row>
    <row r="18490" spans="62:62" x14ac:dyDescent="0.2">
      <c r="BJ18490" s="201"/>
    </row>
    <row r="18491" spans="62:62" x14ac:dyDescent="0.2">
      <c r="BJ18491" s="201"/>
    </row>
    <row r="18492" spans="62:62" x14ac:dyDescent="0.2">
      <c r="BJ18492" s="201"/>
    </row>
    <row r="18493" spans="62:62" x14ac:dyDescent="0.2">
      <c r="BJ18493" s="201"/>
    </row>
    <row r="18494" spans="62:62" x14ac:dyDescent="0.2">
      <c r="BJ18494" s="201"/>
    </row>
    <row r="18495" spans="62:62" x14ac:dyDescent="0.2">
      <c r="BJ18495" s="201"/>
    </row>
    <row r="18496" spans="62:62" x14ac:dyDescent="0.2">
      <c r="BJ18496" s="201"/>
    </row>
    <row r="18497" spans="62:62" x14ac:dyDescent="0.2">
      <c r="BJ18497" s="201"/>
    </row>
    <row r="18498" spans="62:62" x14ac:dyDescent="0.2">
      <c r="BJ18498" s="201"/>
    </row>
    <row r="18499" spans="62:62" x14ac:dyDescent="0.2">
      <c r="BJ18499" s="201"/>
    </row>
    <row r="18500" spans="62:62" x14ac:dyDescent="0.2">
      <c r="BJ18500" s="201"/>
    </row>
    <row r="18501" spans="62:62" x14ac:dyDescent="0.2">
      <c r="BJ18501" s="201"/>
    </row>
    <row r="18502" spans="62:62" x14ac:dyDescent="0.2">
      <c r="BJ18502" s="201"/>
    </row>
    <row r="18503" spans="62:62" x14ac:dyDescent="0.2">
      <c r="BJ18503" s="201"/>
    </row>
    <row r="18504" spans="62:62" x14ac:dyDescent="0.2">
      <c r="BJ18504" s="201"/>
    </row>
    <row r="18505" spans="62:62" x14ac:dyDescent="0.2">
      <c r="BJ18505" s="201"/>
    </row>
    <row r="18506" spans="62:62" x14ac:dyDescent="0.2">
      <c r="BJ18506" s="201"/>
    </row>
    <row r="18507" spans="62:62" x14ac:dyDescent="0.2">
      <c r="BJ18507" s="201"/>
    </row>
    <row r="18508" spans="62:62" x14ac:dyDescent="0.2">
      <c r="BJ18508" s="201"/>
    </row>
    <row r="18509" spans="62:62" x14ac:dyDescent="0.2">
      <c r="BJ18509" s="201"/>
    </row>
    <row r="18510" spans="62:62" x14ac:dyDescent="0.2">
      <c r="BJ18510" s="201"/>
    </row>
    <row r="18511" spans="62:62" x14ac:dyDescent="0.2">
      <c r="BJ18511" s="201"/>
    </row>
    <row r="18512" spans="62:62" x14ac:dyDescent="0.2">
      <c r="BJ18512" s="201"/>
    </row>
    <row r="18513" spans="62:62" x14ac:dyDescent="0.2">
      <c r="BJ18513" s="201"/>
    </row>
    <row r="18514" spans="62:62" x14ac:dyDescent="0.2">
      <c r="BJ18514" s="201"/>
    </row>
    <row r="18515" spans="62:62" x14ac:dyDescent="0.2">
      <c r="BJ18515" s="201"/>
    </row>
    <row r="18516" spans="62:62" x14ac:dyDescent="0.2">
      <c r="BJ18516" s="201"/>
    </row>
    <row r="18517" spans="62:62" x14ac:dyDescent="0.2">
      <c r="BJ18517" s="201"/>
    </row>
    <row r="18518" spans="62:62" x14ac:dyDescent="0.2">
      <c r="BJ18518" s="201"/>
    </row>
    <row r="18519" spans="62:62" x14ac:dyDescent="0.2">
      <c r="BJ18519" s="201"/>
    </row>
    <row r="18520" spans="62:62" x14ac:dyDescent="0.2">
      <c r="BJ18520" s="201"/>
    </row>
    <row r="18521" spans="62:62" x14ac:dyDescent="0.2">
      <c r="BJ18521" s="201"/>
    </row>
    <row r="18522" spans="62:62" x14ac:dyDescent="0.2">
      <c r="BJ18522" s="201"/>
    </row>
    <row r="18523" spans="62:62" x14ac:dyDescent="0.2">
      <c r="BJ18523" s="201"/>
    </row>
    <row r="18524" spans="62:62" x14ac:dyDescent="0.2">
      <c r="BJ18524" s="201"/>
    </row>
    <row r="18525" spans="62:62" x14ac:dyDescent="0.2">
      <c r="BJ18525" s="201"/>
    </row>
    <row r="18526" spans="62:62" x14ac:dyDescent="0.2">
      <c r="BJ18526" s="201"/>
    </row>
    <row r="18527" spans="62:62" x14ac:dyDescent="0.2">
      <c r="BJ18527" s="201"/>
    </row>
    <row r="18528" spans="62:62" x14ac:dyDescent="0.2">
      <c r="BJ18528" s="201"/>
    </row>
    <row r="18529" spans="62:62" x14ac:dyDescent="0.2">
      <c r="BJ18529" s="201"/>
    </row>
    <row r="18530" spans="62:62" x14ac:dyDescent="0.2">
      <c r="BJ18530" s="201"/>
    </row>
    <row r="18531" spans="62:62" x14ac:dyDescent="0.2">
      <c r="BJ18531" s="201"/>
    </row>
    <row r="18532" spans="62:62" x14ac:dyDescent="0.2">
      <c r="BJ18532" s="201"/>
    </row>
    <row r="18533" spans="62:62" x14ac:dyDescent="0.2">
      <c r="BJ18533" s="201"/>
    </row>
    <row r="18534" spans="62:62" x14ac:dyDescent="0.2">
      <c r="BJ18534" s="201"/>
    </row>
    <row r="18535" spans="62:62" x14ac:dyDescent="0.2">
      <c r="BJ18535" s="201"/>
    </row>
    <row r="18536" spans="62:62" x14ac:dyDescent="0.2">
      <c r="BJ18536" s="201"/>
    </row>
    <row r="18537" spans="62:62" x14ac:dyDescent="0.2">
      <c r="BJ18537" s="201"/>
    </row>
    <row r="18538" spans="62:62" x14ac:dyDescent="0.2">
      <c r="BJ18538" s="201"/>
    </row>
    <row r="18539" spans="62:62" x14ac:dyDescent="0.2">
      <c r="BJ18539" s="201"/>
    </row>
    <row r="18540" spans="62:62" x14ac:dyDescent="0.2">
      <c r="BJ18540" s="201"/>
    </row>
    <row r="18541" spans="62:62" x14ac:dyDescent="0.2">
      <c r="BJ18541" s="201"/>
    </row>
    <row r="18542" spans="62:62" x14ac:dyDescent="0.2">
      <c r="BJ18542" s="201"/>
    </row>
    <row r="18543" spans="62:62" x14ac:dyDescent="0.2">
      <c r="BJ18543" s="201"/>
    </row>
    <row r="18544" spans="62:62" x14ac:dyDescent="0.2">
      <c r="BJ18544" s="201"/>
    </row>
    <row r="18545" spans="62:62" x14ac:dyDescent="0.2">
      <c r="BJ18545" s="201"/>
    </row>
    <row r="18546" spans="62:62" x14ac:dyDescent="0.2">
      <c r="BJ18546" s="201"/>
    </row>
    <row r="18547" spans="62:62" x14ac:dyDescent="0.2">
      <c r="BJ18547" s="201"/>
    </row>
    <row r="18548" spans="62:62" x14ac:dyDescent="0.2">
      <c r="BJ18548" s="201"/>
    </row>
    <row r="18549" spans="62:62" x14ac:dyDescent="0.2">
      <c r="BJ18549" s="201"/>
    </row>
    <row r="18550" spans="62:62" x14ac:dyDescent="0.2">
      <c r="BJ18550" s="201"/>
    </row>
    <row r="18551" spans="62:62" x14ac:dyDescent="0.2">
      <c r="BJ18551" s="201"/>
    </row>
    <row r="18552" spans="62:62" x14ac:dyDescent="0.2">
      <c r="BJ18552" s="201"/>
    </row>
    <row r="18553" spans="62:62" x14ac:dyDescent="0.2">
      <c r="BJ18553" s="201"/>
    </row>
    <row r="18554" spans="62:62" x14ac:dyDescent="0.2">
      <c r="BJ18554" s="201"/>
    </row>
    <row r="18555" spans="62:62" x14ac:dyDescent="0.2">
      <c r="BJ18555" s="201"/>
    </row>
    <row r="18556" spans="62:62" x14ac:dyDescent="0.2">
      <c r="BJ18556" s="201"/>
    </row>
    <row r="18557" spans="62:62" x14ac:dyDescent="0.2">
      <c r="BJ18557" s="201"/>
    </row>
    <row r="18558" spans="62:62" x14ac:dyDescent="0.2">
      <c r="BJ18558" s="201"/>
    </row>
    <row r="18559" spans="62:62" x14ac:dyDescent="0.2">
      <c r="BJ18559" s="201"/>
    </row>
    <row r="18560" spans="62:62" x14ac:dyDescent="0.2">
      <c r="BJ18560" s="201"/>
    </row>
    <row r="18561" spans="62:62" x14ac:dyDescent="0.2">
      <c r="BJ18561" s="201"/>
    </row>
    <row r="18562" spans="62:62" x14ac:dyDescent="0.2">
      <c r="BJ18562" s="201"/>
    </row>
    <row r="18563" spans="62:62" x14ac:dyDescent="0.2">
      <c r="BJ18563" s="201"/>
    </row>
    <row r="18564" spans="62:62" x14ac:dyDescent="0.2">
      <c r="BJ18564" s="201"/>
    </row>
    <row r="18565" spans="62:62" x14ac:dyDescent="0.2">
      <c r="BJ18565" s="201"/>
    </row>
    <row r="18566" spans="62:62" x14ac:dyDescent="0.2">
      <c r="BJ18566" s="201"/>
    </row>
    <row r="18567" spans="62:62" x14ac:dyDescent="0.2">
      <c r="BJ18567" s="201"/>
    </row>
    <row r="18568" spans="62:62" x14ac:dyDescent="0.2">
      <c r="BJ18568" s="201"/>
    </row>
    <row r="18569" spans="62:62" x14ac:dyDescent="0.2">
      <c r="BJ18569" s="201"/>
    </row>
    <row r="18570" spans="62:62" x14ac:dyDescent="0.2">
      <c r="BJ18570" s="201"/>
    </row>
    <row r="18571" spans="62:62" x14ac:dyDescent="0.2">
      <c r="BJ18571" s="201"/>
    </row>
    <row r="18572" spans="62:62" x14ac:dyDescent="0.2">
      <c r="BJ18572" s="201"/>
    </row>
    <row r="18573" spans="62:62" x14ac:dyDescent="0.2">
      <c r="BJ18573" s="201"/>
    </row>
    <row r="18574" spans="62:62" x14ac:dyDescent="0.2">
      <c r="BJ18574" s="201"/>
    </row>
    <row r="18575" spans="62:62" x14ac:dyDescent="0.2">
      <c r="BJ18575" s="201"/>
    </row>
    <row r="18576" spans="62:62" x14ac:dyDescent="0.2">
      <c r="BJ18576" s="201"/>
    </row>
    <row r="18577" spans="62:62" x14ac:dyDescent="0.2">
      <c r="BJ18577" s="201"/>
    </row>
    <row r="18578" spans="62:62" x14ac:dyDescent="0.2">
      <c r="BJ18578" s="201"/>
    </row>
    <row r="18579" spans="62:62" x14ac:dyDescent="0.2">
      <c r="BJ18579" s="201"/>
    </row>
    <row r="18580" spans="62:62" x14ac:dyDescent="0.2">
      <c r="BJ18580" s="201"/>
    </row>
    <row r="18581" spans="62:62" x14ac:dyDescent="0.2">
      <c r="BJ18581" s="201"/>
    </row>
    <row r="18582" spans="62:62" x14ac:dyDescent="0.2">
      <c r="BJ18582" s="201"/>
    </row>
    <row r="18583" spans="62:62" x14ac:dyDescent="0.2">
      <c r="BJ18583" s="201"/>
    </row>
    <row r="18584" spans="62:62" x14ac:dyDescent="0.2">
      <c r="BJ18584" s="201"/>
    </row>
    <row r="18585" spans="62:62" x14ac:dyDescent="0.2">
      <c r="BJ18585" s="201"/>
    </row>
    <row r="18586" spans="62:62" x14ac:dyDescent="0.2">
      <c r="BJ18586" s="201"/>
    </row>
    <row r="18587" spans="62:62" x14ac:dyDescent="0.2">
      <c r="BJ18587" s="201"/>
    </row>
    <row r="18588" spans="62:62" x14ac:dyDescent="0.2">
      <c r="BJ18588" s="201"/>
    </row>
    <row r="18589" spans="62:62" x14ac:dyDescent="0.2">
      <c r="BJ18589" s="201"/>
    </row>
    <row r="18590" spans="62:62" x14ac:dyDescent="0.2">
      <c r="BJ18590" s="201"/>
    </row>
    <row r="18591" spans="62:62" x14ac:dyDescent="0.2">
      <c r="BJ18591" s="201"/>
    </row>
    <row r="18592" spans="62:62" x14ac:dyDescent="0.2">
      <c r="BJ18592" s="201"/>
    </row>
    <row r="18593" spans="62:62" x14ac:dyDescent="0.2">
      <c r="BJ18593" s="201"/>
    </row>
    <row r="18594" spans="62:62" x14ac:dyDescent="0.2">
      <c r="BJ18594" s="201"/>
    </row>
    <row r="18595" spans="62:62" x14ac:dyDescent="0.2">
      <c r="BJ18595" s="201"/>
    </row>
    <row r="18596" spans="62:62" x14ac:dyDescent="0.2">
      <c r="BJ18596" s="201"/>
    </row>
    <row r="18597" spans="62:62" x14ac:dyDescent="0.2">
      <c r="BJ18597" s="201"/>
    </row>
    <row r="18598" spans="62:62" x14ac:dyDescent="0.2">
      <c r="BJ18598" s="201"/>
    </row>
    <row r="18599" spans="62:62" x14ac:dyDescent="0.2">
      <c r="BJ18599" s="201"/>
    </row>
    <row r="18600" spans="62:62" x14ac:dyDescent="0.2">
      <c r="BJ18600" s="201"/>
    </row>
    <row r="18601" spans="62:62" x14ac:dyDescent="0.2">
      <c r="BJ18601" s="201"/>
    </row>
    <row r="18602" spans="62:62" x14ac:dyDescent="0.2">
      <c r="BJ18602" s="201"/>
    </row>
    <row r="18603" spans="62:62" x14ac:dyDescent="0.2">
      <c r="BJ18603" s="201"/>
    </row>
    <row r="18604" spans="62:62" x14ac:dyDescent="0.2">
      <c r="BJ18604" s="201"/>
    </row>
    <row r="18605" spans="62:62" x14ac:dyDescent="0.2">
      <c r="BJ18605" s="201"/>
    </row>
    <row r="18606" spans="62:62" x14ac:dyDescent="0.2">
      <c r="BJ18606" s="201"/>
    </row>
    <row r="18607" spans="62:62" x14ac:dyDescent="0.2">
      <c r="BJ18607" s="201"/>
    </row>
    <row r="18608" spans="62:62" x14ac:dyDescent="0.2">
      <c r="BJ18608" s="201"/>
    </row>
    <row r="18609" spans="62:62" x14ac:dyDescent="0.2">
      <c r="BJ18609" s="201"/>
    </row>
    <row r="18610" spans="62:62" x14ac:dyDescent="0.2">
      <c r="BJ18610" s="201"/>
    </row>
    <row r="18611" spans="62:62" x14ac:dyDescent="0.2">
      <c r="BJ18611" s="201"/>
    </row>
    <row r="18612" spans="62:62" x14ac:dyDescent="0.2">
      <c r="BJ18612" s="201"/>
    </row>
    <row r="18613" spans="62:62" x14ac:dyDescent="0.2">
      <c r="BJ18613" s="201"/>
    </row>
    <row r="18614" spans="62:62" x14ac:dyDescent="0.2">
      <c r="BJ18614" s="201"/>
    </row>
    <row r="18615" spans="62:62" x14ac:dyDescent="0.2">
      <c r="BJ18615" s="201"/>
    </row>
    <row r="18616" spans="62:62" x14ac:dyDescent="0.2">
      <c r="BJ18616" s="201"/>
    </row>
    <row r="18617" spans="62:62" x14ac:dyDescent="0.2">
      <c r="BJ18617" s="201"/>
    </row>
    <row r="18618" spans="62:62" x14ac:dyDescent="0.2">
      <c r="BJ18618" s="201"/>
    </row>
    <row r="18619" spans="62:62" x14ac:dyDescent="0.2">
      <c r="BJ18619" s="201"/>
    </row>
    <row r="18620" spans="62:62" x14ac:dyDescent="0.2">
      <c r="BJ18620" s="201"/>
    </row>
    <row r="18621" spans="62:62" x14ac:dyDescent="0.2">
      <c r="BJ18621" s="201"/>
    </row>
    <row r="18622" spans="62:62" x14ac:dyDescent="0.2">
      <c r="BJ18622" s="201"/>
    </row>
    <row r="18623" spans="62:62" x14ac:dyDescent="0.2">
      <c r="BJ18623" s="201"/>
    </row>
    <row r="18624" spans="62:62" x14ac:dyDescent="0.2">
      <c r="BJ18624" s="201"/>
    </row>
    <row r="18625" spans="62:62" x14ac:dyDescent="0.2">
      <c r="BJ18625" s="201"/>
    </row>
    <row r="18626" spans="62:62" x14ac:dyDescent="0.2">
      <c r="BJ18626" s="201"/>
    </row>
    <row r="18627" spans="62:62" x14ac:dyDescent="0.2">
      <c r="BJ18627" s="201"/>
    </row>
    <row r="18628" spans="62:62" x14ac:dyDescent="0.2">
      <c r="BJ18628" s="201"/>
    </row>
    <row r="18629" spans="62:62" x14ac:dyDescent="0.2">
      <c r="BJ18629" s="201"/>
    </row>
    <row r="18630" spans="62:62" x14ac:dyDescent="0.2">
      <c r="BJ18630" s="201"/>
    </row>
    <row r="18631" spans="62:62" x14ac:dyDescent="0.2">
      <c r="BJ18631" s="201"/>
    </row>
    <row r="18632" spans="62:62" x14ac:dyDescent="0.2">
      <c r="BJ18632" s="201"/>
    </row>
    <row r="18633" spans="62:62" x14ac:dyDescent="0.2">
      <c r="BJ18633" s="201"/>
    </row>
    <row r="18634" spans="62:62" x14ac:dyDescent="0.2">
      <c r="BJ18634" s="201"/>
    </row>
    <row r="18635" spans="62:62" x14ac:dyDescent="0.2">
      <c r="BJ18635" s="201"/>
    </row>
    <row r="18636" spans="62:62" x14ac:dyDescent="0.2">
      <c r="BJ18636" s="201"/>
    </row>
    <row r="18637" spans="62:62" x14ac:dyDescent="0.2">
      <c r="BJ18637" s="201"/>
    </row>
    <row r="18638" spans="62:62" x14ac:dyDescent="0.2">
      <c r="BJ18638" s="201"/>
    </row>
    <row r="18639" spans="62:62" x14ac:dyDescent="0.2">
      <c r="BJ18639" s="201"/>
    </row>
    <row r="18640" spans="62:62" x14ac:dyDescent="0.2">
      <c r="BJ18640" s="201"/>
    </row>
    <row r="18641" spans="62:62" x14ac:dyDescent="0.2">
      <c r="BJ18641" s="201"/>
    </row>
    <row r="18642" spans="62:62" x14ac:dyDescent="0.2">
      <c r="BJ18642" s="201"/>
    </row>
    <row r="18643" spans="62:62" x14ac:dyDescent="0.2">
      <c r="BJ18643" s="201"/>
    </row>
    <row r="18644" spans="62:62" x14ac:dyDescent="0.2">
      <c r="BJ18644" s="201"/>
    </row>
    <row r="18645" spans="62:62" x14ac:dyDescent="0.2">
      <c r="BJ18645" s="201"/>
    </row>
    <row r="18646" spans="62:62" x14ac:dyDescent="0.2">
      <c r="BJ18646" s="201"/>
    </row>
    <row r="18647" spans="62:62" x14ac:dyDescent="0.2">
      <c r="BJ18647" s="201"/>
    </row>
    <row r="18648" spans="62:62" x14ac:dyDescent="0.2">
      <c r="BJ18648" s="201"/>
    </row>
    <row r="18649" spans="62:62" x14ac:dyDescent="0.2">
      <c r="BJ18649" s="201"/>
    </row>
    <row r="18650" spans="62:62" x14ac:dyDescent="0.2">
      <c r="BJ18650" s="201"/>
    </row>
    <row r="18651" spans="62:62" x14ac:dyDescent="0.2">
      <c r="BJ18651" s="201"/>
    </row>
    <row r="18652" spans="62:62" x14ac:dyDescent="0.2">
      <c r="BJ18652" s="201"/>
    </row>
    <row r="18653" spans="62:62" x14ac:dyDescent="0.2">
      <c r="BJ18653" s="201"/>
    </row>
    <row r="18654" spans="62:62" x14ac:dyDescent="0.2">
      <c r="BJ18654" s="201"/>
    </row>
    <row r="18655" spans="62:62" x14ac:dyDescent="0.2">
      <c r="BJ18655" s="201"/>
    </row>
    <row r="18656" spans="62:62" x14ac:dyDescent="0.2">
      <c r="BJ18656" s="201"/>
    </row>
    <row r="18657" spans="62:62" x14ac:dyDescent="0.2">
      <c r="BJ18657" s="201"/>
    </row>
    <row r="18658" spans="62:62" x14ac:dyDescent="0.2">
      <c r="BJ18658" s="201"/>
    </row>
    <row r="18659" spans="62:62" x14ac:dyDescent="0.2">
      <c r="BJ18659" s="201"/>
    </row>
    <row r="18660" spans="62:62" x14ac:dyDescent="0.2">
      <c r="BJ18660" s="201"/>
    </row>
    <row r="18661" spans="62:62" x14ac:dyDescent="0.2">
      <c r="BJ18661" s="201"/>
    </row>
    <row r="18662" spans="62:62" x14ac:dyDescent="0.2">
      <c r="BJ18662" s="201"/>
    </row>
    <row r="18663" spans="62:62" x14ac:dyDescent="0.2">
      <c r="BJ18663" s="201"/>
    </row>
    <row r="18664" spans="62:62" x14ac:dyDescent="0.2">
      <c r="BJ18664" s="201"/>
    </row>
    <row r="18665" spans="62:62" x14ac:dyDescent="0.2">
      <c r="BJ18665" s="201"/>
    </row>
    <row r="18666" spans="62:62" x14ac:dyDescent="0.2">
      <c r="BJ18666" s="201"/>
    </row>
    <row r="18667" spans="62:62" x14ac:dyDescent="0.2">
      <c r="BJ18667" s="201"/>
    </row>
    <row r="18668" spans="62:62" x14ac:dyDescent="0.2">
      <c r="BJ18668" s="201"/>
    </row>
    <row r="18669" spans="62:62" x14ac:dyDescent="0.2">
      <c r="BJ18669" s="201"/>
    </row>
    <row r="18670" spans="62:62" x14ac:dyDescent="0.2">
      <c r="BJ18670" s="201"/>
    </row>
    <row r="18671" spans="62:62" x14ac:dyDescent="0.2">
      <c r="BJ18671" s="201"/>
    </row>
    <row r="18672" spans="62:62" x14ac:dyDescent="0.2">
      <c r="BJ18672" s="201"/>
    </row>
    <row r="18673" spans="62:62" x14ac:dyDescent="0.2">
      <c r="BJ18673" s="201"/>
    </row>
    <row r="18674" spans="62:62" x14ac:dyDescent="0.2">
      <c r="BJ18674" s="201"/>
    </row>
    <row r="18675" spans="62:62" x14ac:dyDescent="0.2">
      <c r="BJ18675" s="201"/>
    </row>
    <row r="18676" spans="62:62" x14ac:dyDescent="0.2">
      <c r="BJ18676" s="201"/>
    </row>
    <row r="18677" spans="62:62" x14ac:dyDescent="0.2">
      <c r="BJ18677" s="201"/>
    </row>
    <row r="18678" spans="62:62" x14ac:dyDescent="0.2">
      <c r="BJ18678" s="201"/>
    </row>
    <row r="18679" spans="62:62" x14ac:dyDescent="0.2">
      <c r="BJ18679" s="201"/>
    </row>
    <row r="18680" spans="62:62" x14ac:dyDescent="0.2">
      <c r="BJ18680" s="201"/>
    </row>
    <row r="18681" spans="62:62" x14ac:dyDescent="0.2">
      <c r="BJ18681" s="201"/>
    </row>
    <row r="18682" spans="62:62" x14ac:dyDescent="0.2">
      <c r="BJ18682" s="201"/>
    </row>
    <row r="18683" spans="62:62" x14ac:dyDescent="0.2">
      <c r="BJ18683" s="201"/>
    </row>
    <row r="18684" spans="62:62" x14ac:dyDescent="0.2">
      <c r="BJ18684" s="201"/>
    </row>
    <row r="18685" spans="62:62" x14ac:dyDescent="0.2">
      <c r="BJ18685" s="201"/>
    </row>
    <row r="18686" spans="62:62" x14ac:dyDescent="0.2">
      <c r="BJ18686" s="201"/>
    </row>
    <row r="18687" spans="62:62" x14ac:dyDescent="0.2">
      <c r="BJ18687" s="201"/>
    </row>
    <row r="18688" spans="62:62" x14ac:dyDescent="0.2">
      <c r="BJ18688" s="201"/>
    </row>
    <row r="18689" spans="62:62" x14ac:dyDescent="0.2">
      <c r="BJ18689" s="201"/>
    </row>
    <row r="18690" spans="62:62" x14ac:dyDescent="0.2">
      <c r="BJ18690" s="201"/>
    </row>
    <row r="18691" spans="62:62" x14ac:dyDescent="0.2">
      <c r="BJ18691" s="201"/>
    </row>
    <row r="18692" spans="62:62" x14ac:dyDescent="0.2">
      <c r="BJ18692" s="201"/>
    </row>
    <row r="18693" spans="62:62" x14ac:dyDescent="0.2">
      <c r="BJ18693" s="201"/>
    </row>
    <row r="18694" spans="62:62" x14ac:dyDescent="0.2">
      <c r="BJ18694" s="201"/>
    </row>
    <row r="18695" spans="62:62" x14ac:dyDescent="0.2">
      <c r="BJ18695" s="201"/>
    </row>
    <row r="18696" spans="62:62" x14ac:dyDescent="0.2">
      <c r="BJ18696" s="201"/>
    </row>
    <row r="18697" spans="62:62" x14ac:dyDescent="0.2">
      <c r="BJ18697" s="201"/>
    </row>
    <row r="18698" spans="62:62" x14ac:dyDescent="0.2">
      <c r="BJ18698" s="201"/>
    </row>
    <row r="18699" spans="62:62" x14ac:dyDescent="0.2">
      <c r="BJ18699" s="201"/>
    </row>
    <row r="18700" spans="62:62" x14ac:dyDescent="0.2">
      <c r="BJ18700" s="201"/>
    </row>
    <row r="18701" spans="62:62" x14ac:dyDescent="0.2">
      <c r="BJ18701" s="201"/>
    </row>
    <row r="18702" spans="62:62" x14ac:dyDescent="0.2">
      <c r="BJ18702" s="201"/>
    </row>
    <row r="18703" spans="62:62" x14ac:dyDescent="0.2">
      <c r="BJ18703" s="201"/>
    </row>
    <row r="18704" spans="62:62" x14ac:dyDescent="0.2">
      <c r="BJ18704" s="201"/>
    </row>
    <row r="18705" spans="62:62" x14ac:dyDescent="0.2">
      <c r="BJ18705" s="201"/>
    </row>
    <row r="18706" spans="62:62" x14ac:dyDescent="0.2">
      <c r="BJ18706" s="201"/>
    </row>
    <row r="18707" spans="62:62" x14ac:dyDescent="0.2">
      <c r="BJ18707" s="201"/>
    </row>
    <row r="18708" spans="62:62" x14ac:dyDescent="0.2">
      <c r="BJ18708" s="201"/>
    </row>
    <row r="18709" spans="62:62" x14ac:dyDescent="0.2">
      <c r="BJ18709" s="201"/>
    </row>
    <row r="18710" spans="62:62" x14ac:dyDescent="0.2">
      <c r="BJ18710" s="201"/>
    </row>
    <row r="18711" spans="62:62" x14ac:dyDescent="0.2">
      <c r="BJ18711" s="201"/>
    </row>
    <row r="18712" spans="62:62" x14ac:dyDescent="0.2">
      <c r="BJ18712" s="201"/>
    </row>
    <row r="18713" spans="62:62" x14ac:dyDescent="0.2">
      <c r="BJ18713" s="201"/>
    </row>
    <row r="18714" spans="62:62" x14ac:dyDescent="0.2">
      <c r="BJ18714" s="201"/>
    </row>
    <row r="18715" spans="62:62" x14ac:dyDescent="0.2">
      <c r="BJ18715" s="201"/>
    </row>
    <row r="18716" spans="62:62" x14ac:dyDescent="0.2">
      <c r="BJ18716" s="201"/>
    </row>
    <row r="18717" spans="62:62" x14ac:dyDescent="0.2">
      <c r="BJ18717" s="201"/>
    </row>
    <row r="18718" spans="62:62" x14ac:dyDescent="0.2">
      <c r="BJ18718" s="201"/>
    </row>
    <row r="18719" spans="62:62" x14ac:dyDescent="0.2">
      <c r="BJ18719" s="201"/>
    </row>
    <row r="18720" spans="62:62" x14ac:dyDescent="0.2">
      <c r="BJ18720" s="201"/>
    </row>
    <row r="18721" spans="62:62" x14ac:dyDescent="0.2">
      <c r="BJ18721" s="201"/>
    </row>
    <row r="18722" spans="62:62" x14ac:dyDescent="0.2">
      <c r="BJ18722" s="201"/>
    </row>
    <row r="18723" spans="62:62" x14ac:dyDescent="0.2">
      <c r="BJ18723" s="201"/>
    </row>
    <row r="18724" spans="62:62" x14ac:dyDescent="0.2">
      <c r="BJ18724" s="201"/>
    </row>
    <row r="18725" spans="62:62" x14ac:dyDescent="0.2">
      <c r="BJ18725" s="201"/>
    </row>
    <row r="18726" spans="62:62" x14ac:dyDescent="0.2">
      <c r="BJ18726" s="201"/>
    </row>
    <row r="18727" spans="62:62" x14ac:dyDescent="0.2">
      <c r="BJ18727" s="201"/>
    </row>
    <row r="18728" spans="62:62" x14ac:dyDescent="0.2">
      <c r="BJ18728" s="201"/>
    </row>
    <row r="18729" spans="62:62" x14ac:dyDescent="0.2">
      <c r="BJ18729" s="201"/>
    </row>
    <row r="18730" spans="62:62" x14ac:dyDescent="0.2">
      <c r="BJ18730" s="201"/>
    </row>
    <row r="18731" spans="62:62" x14ac:dyDescent="0.2">
      <c r="BJ18731" s="201"/>
    </row>
    <row r="18732" spans="62:62" x14ac:dyDescent="0.2">
      <c r="BJ18732" s="201"/>
    </row>
    <row r="18733" spans="62:62" x14ac:dyDescent="0.2">
      <c r="BJ18733" s="201"/>
    </row>
    <row r="18734" spans="62:62" x14ac:dyDescent="0.2">
      <c r="BJ18734" s="201"/>
    </row>
    <row r="18735" spans="62:62" x14ac:dyDescent="0.2">
      <c r="BJ18735" s="201"/>
    </row>
    <row r="18736" spans="62:62" x14ac:dyDescent="0.2">
      <c r="BJ18736" s="201"/>
    </row>
    <row r="18737" spans="62:62" x14ac:dyDescent="0.2">
      <c r="BJ18737" s="201"/>
    </row>
    <row r="18738" spans="62:62" x14ac:dyDescent="0.2">
      <c r="BJ18738" s="201"/>
    </row>
    <row r="18739" spans="62:62" x14ac:dyDescent="0.2">
      <c r="BJ18739" s="201"/>
    </row>
    <row r="18740" spans="62:62" x14ac:dyDescent="0.2">
      <c r="BJ18740" s="201"/>
    </row>
    <row r="18741" spans="62:62" x14ac:dyDescent="0.2">
      <c r="BJ18741" s="201"/>
    </row>
    <row r="18742" spans="62:62" x14ac:dyDescent="0.2">
      <c r="BJ18742" s="201"/>
    </row>
    <row r="18743" spans="62:62" x14ac:dyDescent="0.2">
      <c r="BJ18743" s="201"/>
    </row>
    <row r="18744" spans="62:62" x14ac:dyDescent="0.2">
      <c r="BJ18744" s="201"/>
    </row>
    <row r="18745" spans="62:62" x14ac:dyDescent="0.2">
      <c r="BJ18745" s="201"/>
    </row>
    <row r="18746" spans="62:62" x14ac:dyDescent="0.2">
      <c r="BJ18746" s="201"/>
    </row>
    <row r="18747" spans="62:62" x14ac:dyDescent="0.2">
      <c r="BJ18747" s="201"/>
    </row>
    <row r="18748" spans="62:62" x14ac:dyDescent="0.2">
      <c r="BJ18748" s="201"/>
    </row>
    <row r="18749" spans="62:62" x14ac:dyDescent="0.2">
      <c r="BJ18749" s="201"/>
    </row>
    <row r="18750" spans="62:62" x14ac:dyDescent="0.2">
      <c r="BJ18750" s="201"/>
    </row>
    <row r="18751" spans="62:62" x14ac:dyDescent="0.2">
      <c r="BJ18751" s="201"/>
    </row>
    <row r="18752" spans="62:62" x14ac:dyDescent="0.2">
      <c r="BJ18752" s="201"/>
    </row>
    <row r="18753" spans="62:62" x14ac:dyDescent="0.2">
      <c r="BJ18753" s="201"/>
    </row>
    <row r="18754" spans="62:62" x14ac:dyDescent="0.2">
      <c r="BJ18754" s="201"/>
    </row>
    <row r="18755" spans="62:62" x14ac:dyDescent="0.2">
      <c r="BJ18755" s="201"/>
    </row>
    <row r="18756" spans="62:62" x14ac:dyDescent="0.2">
      <c r="BJ18756" s="201"/>
    </row>
    <row r="18757" spans="62:62" x14ac:dyDescent="0.2">
      <c r="BJ18757" s="201"/>
    </row>
    <row r="18758" spans="62:62" x14ac:dyDescent="0.2">
      <c r="BJ18758" s="201"/>
    </row>
    <row r="18759" spans="62:62" x14ac:dyDescent="0.2">
      <c r="BJ18759" s="201"/>
    </row>
    <row r="18760" spans="62:62" x14ac:dyDescent="0.2">
      <c r="BJ18760" s="201"/>
    </row>
    <row r="18761" spans="62:62" x14ac:dyDescent="0.2">
      <c r="BJ18761" s="201"/>
    </row>
    <row r="18762" spans="62:62" x14ac:dyDescent="0.2">
      <c r="BJ18762" s="201"/>
    </row>
    <row r="18763" spans="62:62" x14ac:dyDescent="0.2">
      <c r="BJ18763" s="201"/>
    </row>
    <row r="18764" spans="62:62" x14ac:dyDescent="0.2">
      <c r="BJ18764" s="201"/>
    </row>
    <row r="18765" spans="62:62" x14ac:dyDescent="0.2">
      <c r="BJ18765" s="201"/>
    </row>
    <row r="18766" spans="62:62" x14ac:dyDescent="0.2">
      <c r="BJ18766" s="201"/>
    </row>
    <row r="18767" spans="62:62" x14ac:dyDescent="0.2">
      <c r="BJ18767" s="201"/>
    </row>
    <row r="18768" spans="62:62" x14ac:dyDescent="0.2">
      <c r="BJ18768" s="201"/>
    </row>
    <row r="18769" spans="62:62" x14ac:dyDescent="0.2">
      <c r="BJ18769" s="201"/>
    </row>
    <row r="18770" spans="62:62" x14ac:dyDescent="0.2">
      <c r="BJ18770" s="201"/>
    </row>
    <row r="18771" spans="62:62" x14ac:dyDescent="0.2">
      <c r="BJ18771" s="201"/>
    </row>
    <row r="18772" spans="62:62" x14ac:dyDescent="0.2">
      <c r="BJ18772" s="201"/>
    </row>
    <row r="18773" spans="62:62" x14ac:dyDescent="0.2">
      <c r="BJ18773" s="201"/>
    </row>
    <row r="18774" spans="62:62" x14ac:dyDescent="0.2">
      <c r="BJ18774" s="201"/>
    </row>
    <row r="18775" spans="62:62" x14ac:dyDescent="0.2">
      <c r="BJ18775" s="201"/>
    </row>
    <row r="18776" spans="62:62" x14ac:dyDescent="0.2">
      <c r="BJ18776" s="201"/>
    </row>
    <row r="18777" spans="62:62" x14ac:dyDescent="0.2">
      <c r="BJ18777" s="201"/>
    </row>
    <row r="18778" spans="62:62" x14ac:dyDescent="0.2">
      <c r="BJ18778" s="201"/>
    </row>
    <row r="18779" spans="62:62" x14ac:dyDescent="0.2">
      <c r="BJ18779" s="201"/>
    </row>
    <row r="18780" spans="62:62" x14ac:dyDescent="0.2">
      <c r="BJ18780" s="201"/>
    </row>
    <row r="18781" spans="62:62" x14ac:dyDescent="0.2">
      <c r="BJ18781" s="201"/>
    </row>
    <row r="18782" spans="62:62" x14ac:dyDescent="0.2">
      <c r="BJ18782" s="201"/>
    </row>
    <row r="18783" spans="62:62" x14ac:dyDescent="0.2">
      <c r="BJ18783" s="201"/>
    </row>
    <row r="18784" spans="62:62" x14ac:dyDescent="0.2">
      <c r="BJ18784" s="201"/>
    </row>
    <row r="18785" spans="62:62" x14ac:dyDescent="0.2">
      <c r="BJ18785" s="201"/>
    </row>
    <row r="18786" spans="62:62" x14ac:dyDescent="0.2">
      <c r="BJ18786" s="201"/>
    </row>
    <row r="18787" spans="62:62" x14ac:dyDescent="0.2">
      <c r="BJ18787" s="201"/>
    </row>
    <row r="18788" spans="62:62" x14ac:dyDescent="0.2">
      <c r="BJ18788" s="201"/>
    </row>
    <row r="18789" spans="62:62" x14ac:dyDescent="0.2">
      <c r="BJ18789" s="201"/>
    </row>
    <row r="18790" spans="62:62" x14ac:dyDescent="0.2">
      <c r="BJ18790" s="201"/>
    </row>
    <row r="18791" spans="62:62" x14ac:dyDescent="0.2">
      <c r="BJ18791" s="201"/>
    </row>
    <row r="18792" spans="62:62" x14ac:dyDescent="0.2">
      <c r="BJ18792" s="201"/>
    </row>
    <row r="18793" spans="62:62" x14ac:dyDescent="0.2">
      <c r="BJ18793" s="201"/>
    </row>
    <row r="18794" spans="62:62" x14ac:dyDescent="0.2">
      <c r="BJ18794" s="201"/>
    </row>
    <row r="18795" spans="62:62" x14ac:dyDescent="0.2">
      <c r="BJ18795" s="201"/>
    </row>
    <row r="18796" spans="62:62" x14ac:dyDescent="0.2">
      <c r="BJ18796" s="201"/>
    </row>
    <row r="18797" spans="62:62" x14ac:dyDescent="0.2">
      <c r="BJ18797" s="201"/>
    </row>
    <row r="18798" spans="62:62" x14ac:dyDescent="0.2">
      <c r="BJ18798" s="201"/>
    </row>
    <row r="18799" spans="62:62" x14ac:dyDescent="0.2">
      <c r="BJ18799" s="201"/>
    </row>
    <row r="18800" spans="62:62" x14ac:dyDescent="0.2">
      <c r="BJ18800" s="201"/>
    </row>
    <row r="18801" spans="62:62" x14ac:dyDescent="0.2">
      <c r="BJ18801" s="201"/>
    </row>
    <row r="18802" spans="62:62" x14ac:dyDescent="0.2">
      <c r="BJ18802" s="201"/>
    </row>
    <row r="18803" spans="62:62" x14ac:dyDescent="0.2">
      <c r="BJ18803" s="201"/>
    </row>
    <row r="18804" spans="62:62" x14ac:dyDescent="0.2">
      <c r="BJ18804" s="201"/>
    </row>
    <row r="18805" spans="62:62" x14ac:dyDescent="0.2">
      <c r="BJ18805" s="201"/>
    </row>
    <row r="18806" spans="62:62" x14ac:dyDescent="0.2">
      <c r="BJ18806" s="201"/>
    </row>
    <row r="18807" spans="62:62" x14ac:dyDescent="0.2">
      <c r="BJ18807" s="201"/>
    </row>
    <row r="18808" spans="62:62" x14ac:dyDescent="0.2">
      <c r="BJ18808" s="201"/>
    </row>
    <row r="18809" spans="62:62" x14ac:dyDescent="0.2">
      <c r="BJ18809" s="201"/>
    </row>
    <row r="18810" spans="62:62" x14ac:dyDescent="0.2">
      <c r="BJ18810" s="201"/>
    </row>
    <row r="18811" spans="62:62" x14ac:dyDescent="0.2">
      <c r="BJ18811" s="201"/>
    </row>
    <row r="18812" spans="62:62" x14ac:dyDescent="0.2">
      <c r="BJ18812" s="201"/>
    </row>
    <row r="18813" spans="62:62" x14ac:dyDescent="0.2">
      <c r="BJ18813" s="201"/>
    </row>
    <row r="18814" spans="62:62" x14ac:dyDescent="0.2">
      <c r="BJ18814" s="201"/>
    </row>
    <row r="18815" spans="62:62" x14ac:dyDescent="0.2">
      <c r="BJ18815" s="201"/>
    </row>
    <row r="18816" spans="62:62" x14ac:dyDescent="0.2">
      <c r="BJ18816" s="201"/>
    </row>
    <row r="18817" spans="62:62" x14ac:dyDescent="0.2">
      <c r="BJ18817" s="201"/>
    </row>
    <row r="18818" spans="62:62" x14ac:dyDescent="0.2">
      <c r="BJ18818" s="201"/>
    </row>
    <row r="18819" spans="62:62" x14ac:dyDescent="0.2">
      <c r="BJ18819" s="201"/>
    </row>
    <row r="18820" spans="62:62" x14ac:dyDescent="0.2">
      <c r="BJ18820" s="201"/>
    </row>
    <row r="18821" spans="62:62" x14ac:dyDescent="0.2">
      <c r="BJ18821" s="201"/>
    </row>
    <row r="18822" spans="62:62" x14ac:dyDescent="0.2">
      <c r="BJ18822" s="201"/>
    </row>
    <row r="18823" spans="62:62" x14ac:dyDescent="0.2">
      <c r="BJ18823" s="201"/>
    </row>
    <row r="18824" spans="62:62" x14ac:dyDescent="0.2">
      <c r="BJ18824" s="201"/>
    </row>
    <row r="18825" spans="62:62" x14ac:dyDescent="0.2">
      <c r="BJ18825" s="201"/>
    </row>
    <row r="18826" spans="62:62" x14ac:dyDescent="0.2">
      <c r="BJ18826" s="201"/>
    </row>
    <row r="18827" spans="62:62" x14ac:dyDescent="0.2">
      <c r="BJ18827" s="201"/>
    </row>
    <row r="18828" spans="62:62" x14ac:dyDescent="0.2">
      <c r="BJ18828" s="201"/>
    </row>
    <row r="18829" spans="62:62" x14ac:dyDescent="0.2">
      <c r="BJ18829" s="201"/>
    </row>
    <row r="18830" spans="62:62" x14ac:dyDescent="0.2">
      <c r="BJ18830" s="201"/>
    </row>
    <row r="18831" spans="62:62" x14ac:dyDescent="0.2">
      <c r="BJ18831" s="201"/>
    </row>
    <row r="18832" spans="62:62" x14ac:dyDescent="0.2">
      <c r="BJ18832" s="201"/>
    </row>
    <row r="18833" spans="62:62" x14ac:dyDescent="0.2">
      <c r="BJ18833" s="201"/>
    </row>
    <row r="18834" spans="62:62" x14ac:dyDescent="0.2">
      <c r="BJ18834" s="201"/>
    </row>
    <row r="18835" spans="62:62" x14ac:dyDescent="0.2">
      <c r="BJ18835" s="201"/>
    </row>
    <row r="18836" spans="62:62" x14ac:dyDescent="0.2">
      <c r="BJ18836" s="201"/>
    </row>
    <row r="18837" spans="62:62" x14ac:dyDescent="0.2">
      <c r="BJ18837" s="201"/>
    </row>
    <row r="18838" spans="62:62" x14ac:dyDescent="0.2">
      <c r="BJ18838" s="201"/>
    </row>
    <row r="18839" spans="62:62" x14ac:dyDescent="0.2">
      <c r="BJ18839" s="201"/>
    </row>
    <row r="18840" spans="62:62" x14ac:dyDescent="0.2">
      <c r="BJ18840" s="201"/>
    </row>
    <row r="18841" spans="62:62" x14ac:dyDescent="0.2">
      <c r="BJ18841" s="201"/>
    </row>
    <row r="18842" spans="62:62" x14ac:dyDescent="0.2">
      <c r="BJ18842" s="201"/>
    </row>
    <row r="18843" spans="62:62" x14ac:dyDescent="0.2">
      <c r="BJ18843" s="201"/>
    </row>
    <row r="18844" spans="62:62" x14ac:dyDescent="0.2">
      <c r="BJ18844" s="201"/>
    </row>
    <row r="18845" spans="62:62" x14ac:dyDescent="0.2">
      <c r="BJ18845" s="201"/>
    </row>
    <row r="18846" spans="62:62" x14ac:dyDescent="0.2">
      <c r="BJ18846" s="201"/>
    </row>
    <row r="18847" spans="62:62" x14ac:dyDescent="0.2">
      <c r="BJ18847" s="201"/>
    </row>
    <row r="18848" spans="62:62" x14ac:dyDescent="0.2">
      <c r="BJ18848" s="201"/>
    </row>
    <row r="18849" spans="62:62" x14ac:dyDescent="0.2">
      <c r="BJ18849" s="201"/>
    </row>
    <row r="18850" spans="62:62" x14ac:dyDescent="0.2">
      <c r="BJ18850" s="201"/>
    </row>
    <row r="18851" spans="62:62" x14ac:dyDescent="0.2">
      <c r="BJ18851" s="201"/>
    </row>
    <row r="18852" spans="62:62" x14ac:dyDescent="0.2">
      <c r="BJ18852" s="201"/>
    </row>
    <row r="18853" spans="62:62" x14ac:dyDescent="0.2">
      <c r="BJ18853" s="201"/>
    </row>
    <row r="18854" spans="62:62" x14ac:dyDescent="0.2">
      <c r="BJ18854" s="201"/>
    </row>
    <row r="18855" spans="62:62" x14ac:dyDescent="0.2">
      <c r="BJ18855" s="201"/>
    </row>
    <row r="18856" spans="62:62" x14ac:dyDescent="0.2">
      <c r="BJ18856" s="201"/>
    </row>
    <row r="18857" spans="62:62" x14ac:dyDescent="0.2">
      <c r="BJ18857" s="201"/>
    </row>
    <row r="18858" spans="62:62" x14ac:dyDescent="0.2">
      <c r="BJ18858" s="201"/>
    </row>
    <row r="18859" spans="62:62" x14ac:dyDescent="0.2">
      <c r="BJ18859" s="201"/>
    </row>
    <row r="18860" spans="62:62" x14ac:dyDescent="0.2">
      <c r="BJ18860" s="201"/>
    </row>
    <row r="18861" spans="62:62" x14ac:dyDescent="0.2">
      <c r="BJ18861" s="201"/>
    </row>
    <row r="18862" spans="62:62" x14ac:dyDescent="0.2">
      <c r="BJ18862" s="201"/>
    </row>
    <row r="18863" spans="62:62" x14ac:dyDescent="0.2">
      <c r="BJ18863" s="201"/>
    </row>
    <row r="18864" spans="62:62" x14ac:dyDescent="0.2">
      <c r="BJ18864" s="201"/>
    </row>
    <row r="18865" spans="62:62" x14ac:dyDescent="0.2">
      <c r="BJ18865" s="201"/>
    </row>
    <row r="18866" spans="62:62" x14ac:dyDescent="0.2">
      <c r="BJ18866" s="201"/>
    </row>
    <row r="18867" spans="62:62" x14ac:dyDescent="0.2">
      <c r="BJ18867" s="201"/>
    </row>
    <row r="18868" spans="62:62" x14ac:dyDescent="0.2">
      <c r="BJ18868" s="201"/>
    </row>
    <row r="18869" spans="62:62" x14ac:dyDescent="0.2">
      <c r="BJ18869" s="201"/>
    </row>
    <row r="18870" spans="62:62" x14ac:dyDescent="0.2">
      <c r="BJ18870" s="201"/>
    </row>
    <row r="18871" spans="62:62" x14ac:dyDescent="0.2">
      <c r="BJ18871" s="201"/>
    </row>
    <row r="18872" spans="62:62" x14ac:dyDescent="0.2">
      <c r="BJ18872" s="201"/>
    </row>
    <row r="18873" spans="62:62" x14ac:dyDescent="0.2">
      <c r="BJ18873" s="201"/>
    </row>
    <row r="18874" spans="62:62" x14ac:dyDescent="0.2">
      <c r="BJ18874" s="201"/>
    </row>
    <row r="18875" spans="62:62" x14ac:dyDescent="0.2">
      <c r="BJ18875" s="201"/>
    </row>
    <row r="18876" spans="62:62" x14ac:dyDescent="0.2">
      <c r="BJ18876" s="201"/>
    </row>
    <row r="18877" spans="62:62" x14ac:dyDescent="0.2">
      <c r="BJ18877" s="201"/>
    </row>
    <row r="18878" spans="62:62" x14ac:dyDescent="0.2">
      <c r="BJ18878" s="201"/>
    </row>
    <row r="18879" spans="62:62" x14ac:dyDescent="0.2">
      <c r="BJ18879" s="201"/>
    </row>
    <row r="18880" spans="62:62" x14ac:dyDescent="0.2">
      <c r="BJ18880" s="201"/>
    </row>
    <row r="18881" spans="62:62" x14ac:dyDescent="0.2">
      <c r="BJ18881" s="201"/>
    </row>
    <row r="18882" spans="62:62" x14ac:dyDescent="0.2">
      <c r="BJ18882" s="201"/>
    </row>
    <row r="18883" spans="62:62" x14ac:dyDescent="0.2">
      <c r="BJ18883" s="201"/>
    </row>
    <row r="18884" spans="62:62" x14ac:dyDescent="0.2">
      <c r="BJ18884" s="201"/>
    </row>
    <row r="18885" spans="62:62" x14ac:dyDescent="0.2">
      <c r="BJ18885" s="201"/>
    </row>
    <row r="18886" spans="62:62" x14ac:dyDescent="0.2">
      <c r="BJ18886" s="201"/>
    </row>
    <row r="18887" spans="62:62" x14ac:dyDescent="0.2">
      <c r="BJ18887" s="201"/>
    </row>
    <row r="18888" spans="62:62" x14ac:dyDescent="0.2">
      <c r="BJ18888" s="201"/>
    </row>
    <row r="18889" spans="62:62" x14ac:dyDescent="0.2">
      <c r="BJ18889" s="201"/>
    </row>
    <row r="18890" spans="62:62" x14ac:dyDescent="0.2">
      <c r="BJ18890" s="201"/>
    </row>
    <row r="18891" spans="62:62" x14ac:dyDescent="0.2">
      <c r="BJ18891" s="201"/>
    </row>
    <row r="18892" spans="62:62" x14ac:dyDescent="0.2">
      <c r="BJ18892" s="201"/>
    </row>
    <row r="18893" spans="62:62" x14ac:dyDescent="0.2">
      <c r="BJ18893" s="201"/>
    </row>
    <row r="18894" spans="62:62" x14ac:dyDescent="0.2">
      <c r="BJ18894" s="201"/>
    </row>
    <row r="18895" spans="62:62" x14ac:dyDescent="0.2">
      <c r="BJ18895" s="201"/>
    </row>
    <row r="18896" spans="62:62" x14ac:dyDescent="0.2">
      <c r="BJ18896" s="201"/>
    </row>
    <row r="18897" spans="62:62" x14ac:dyDescent="0.2">
      <c r="BJ18897" s="201"/>
    </row>
    <row r="18898" spans="62:62" x14ac:dyDescent="0.2">
      <c r="BJ18898" s="201"/>
    </row>
    <row r="18899" spans="62:62" x14ac:dyDescent="0.2">
      <c r="BJ18899" s="201"/>
    </row>
    <row r="18900" spans="62:62" x14ac:dyDescent="0.2">
      <c r="BJ18900" s="201"/>
    </row>
    <row r="18901" spans="62:62" x14ac:dyDescent="0.2">
      <c r="BJ18901" s="201"/>
    </row>
    <row r="18902" spans="62:62" x14ac:dyDescent="0.2">
      <c r="BJ18902" s="201"/>
    </row>
    <row r="18903" spans="62:62" x14ac:dyDescent="0.2">
      <c r="BJ18903" s="201"/>
    </row>
    <row r="18904" spans="62:62" x14ac:dyDescent="0.2">
      <c r="BJ18904" s="201"/>
    </row>
    <row r="18905" spans="62:62" x14ac:dyDescent="0.2">
      <c r="BJ18905" s="201"/>
    </row>
    <row r="18906" spans="62:62" x14ac:dyDescent="0.2">
      <c r="BJ18906" s="201"/>
    </row>
    <row r="18907" spans="62:62" x14ac:dyDescent="0.2">
      <c r="BJ18907" s="201"/>
    </row>
    <row r="18908" spans="62:62" x14ac:dyDescent="0.2">
      <c r="BJ18908" s="201"/>
    </row>
    <row r="18909" spans="62:62" x14ac:dyDescent="0.2">
      <c r="BJ18909" s="201"/>
    </row>
    <row r="18910" spans="62:62" x14ac:dyDescent="0.2">
      <c r="BJ18910" s="201"/>
    </row>
    <row r="18911" spans="62:62" x14ac:dyDescent="0.2">
      <c r="BJ18911" s="201"/>
    </row>
    <row r="18912" spans="62:62" x14ac:dyDescent="0.2">
      <c r="BJ18912" s="201"/>
    </row>
    <row r="18913" spans="62:62" x14ac:dyDescent="0.2">
      <c r="BJ18913" s="201"/>
    </row>
    <row r="18914" spans="62:62" x14ac:dyDescent="0.2">
      <c r="BJ18914" s="201"/>
    </row>
    <row r="18915" spans="62:62" x14ac:dyDescent="0.2">
      <c r="BJ18915" s="201"/>
    </row>
    <row r="18916" spans="62:62" x14ac:dyDescent="0.2">
      <c r="BJ18916" s="201"/>
    </row>
    <row r="18917" spans="62:62" x14ac:dyDescent="0.2">
      <c r="BJ18917" s="201"/>
    </row>
    <row r="18918" spans="62:62" x14ac:dyDescent="0.2">
      <c r="BJ18918" s="201"/>
    </row>
    <row r="18919" spans="62:62" x14ac:dyDescent="0.2">
      <c r="BJ18919" s="201"/>
    </row>
    <row r="18920" spans="62:62" x14ac:dyDescent="0.2">
      <c r="BJ18920" s="201"/>
    </row>
    <row r="18921" spans="62:62" x14ac:dyDescent="0.2">
      <c r="BJ18921" s="201"/>
    </row>
    <row r="18922" spans="62:62" x14ac:dyDescent="0.2">
      <c r="BJ18922" s="201"/>
    </row>
    <row r="18923" spans="62:62" x14ac:dyDescent="0.2">
      <c r="BJ18923" s="201"/>
    </row>
    <row r="18924" spans="62:62" x14ac:dyDescent="0.2">
      <c r="BJ18924" s="201"/>
    </row>
    <row r="18925" spans="62:62" x14ac:dyDescent="0.2">
      <c r="BJ18925" s="201"/>
    </row>
    <row r="18926" spans="62:62" x14ac:dyDescent="0.2">
      <c r="BJ18926" s="201"/>
    </row>
    <row r="18927" spans="62:62" x14ac:dyDescent="0.2">
      <c r="BJ18927" s="201"/>
    </row>
    <row r="18928" spans="62:62" x14ac:dyDescent="0.2">
      <c r="BJ18928" s="201"/>
    </row>
    <row r="18929" spans="62:62" x14ac:dyDescent="0.2">
      <c r="BJ18929" s="201"/>
    </row>
    <row r="18930" spans="62:62" x14ac:dyDescent="0.2">
      <c r="BJ18930" s="201"/>
    </row>
    <row r="18931" spans="62:62" x14ac:dyDescent="0.2">
      <c r="BJ18931" s="201"/>
    </row>
    <row r="18932" spans="62:62" x14ac:dyDescent="0.2">
      <c r="BJ18932" s="201"/>
    </row>
    <row r="18933" spans="62:62" x14ac:dyDescent="0.2">
      <c r="BJ18933" s="201"/>
    </row>
    <row r="18934" spans="62:62" x14ac:dyDescent="0.2">
      <c r="BJ18934" s="201"/>
    </row>
    <row r="18935" spans="62:62" x14ac:dyDescent="0.2">
      <c r="BJ18935" s="201"/>
    </row>
    <row r="18936" spans="62:62" x14ac:dyDescent="0.2">
      <c r="BJ18936" s="201"/>
    </row>
    <row r="18937" spans="62:62" x14ac:dyDescent="0.2">
      <c r="BJ18937" s="201"/>
    </row>
    <row r="18938" spans="62:62" x14ac:dyDescent="0.2">
      <c r="BJ18938" s="201"/>
    </row>
    <row r="18939" spans="62:62" x14ac:dyDescent="0.2">
      <c r="BJ18939" s="201"/>
    </row>
    <row r="18940" spans="62:62" x14ac:dyDescent="0.2">
      <c r="BJ18940" s="201"/>
    </row>
    <row r="18941" spans="62:62" x14ac:dyDescent="0.2">
      <c r="BJ18941" s="201"/>
    </row>
    <row r="18942" spans="62:62" x14ac:dyDescent="0.2">
      <c r="BJ18942" s="201"/>
    </row>
    <row r="18943" spans="62:62" x14ac:dyDescent="0.2">
      <c r="BJ18943" s="201"/>
    </row>
    <row r="18944" spans="62:62" x14ac:dyDescent="0.2">
      <c r="BJ18944" s="201"/>
    </row>
    <row r="18945" spans="62:62" x14ac:dyDescent="0.2">
      <c r="BJ18945" s="201"/>
    </row>
    <row r="18946" spans="62:62" x14ac:dyDescent="0.2">
      <c r="BJ18946" s="201"/>
    </row>
    <row r="18947" spans="62:62" x14ac:dyDescent="0.2">
      <c r="BJ18947" s="201"/>
    </row>
    <row r="18948" spans="62:62" x14ac:dyDescent="0.2">
      <c r="BJ18948" s="201"/>
    </row>
    <row r="18949" spans="62:62" x14ac:dyDescent="0.2">
      <c r="BJ18949" s="201"/>
    </row>
    <row r="18950" spans="62:62" x14ac:dyDescent="0.2">
      <c r="BJ18950" s="201"/>
    </row>
    <row r="18951" spans="62:62" x14ac:dyDescent="0.2">
      <c r="BJ18951" s="201"/>
    </row>
    <row r="18952" spans="62:62" x14ac:dyDescent="0.2">
      <c r="BJ18952" s="201"/>
    </row>
    <row r="18953" spans="62:62" x14ac:dyDescent="0.2">
      <c r="BJ18953" s="201"/>
    </row>
    <row r="18954" spans="62:62" x14ac:dyDescent="0.2">
      <c r="BJ18954" s="201"/>
    </row>
    <row r="18955" spans="62:62" x14ac:dyDescent="0.2">
      <c r="BJ18955" s="201"/>
    </row>
    <row r="18956" spans="62:62" x14ac:dyDescent="0.2">
      <c r="BJ18956" s="201"/>
    </row>
    <row r="18957" spans="62:62" x14ac:dyDescent="0.2">
      <c r="BJ18957" s="201"/>
    </row>
    <row r="18958" spans="62:62" x14ac:dyDescent="0.2">
      <c r="BJ18958" s="201"/>
    </row>
    <row r="18959" spans="62:62" x14ac:dyDescent="0.2">
      <c r="BJ18959" s="201"/>
    </row>
    <row r="18960" spans="62:62" x14ac:dyDescent="0.2">
      <c r="BJ18960" s="201"/>
    </row>
    <row r="18961" spans="62:62" x14ac:dyDescent="0.2">
      <c r="BJ18961" s="201"/>
    </row>
    <row r="18962" spans="62:62" x14ac:dyDescent="0.2">
      <c r="BJ18962" s="201"/>
    </row>
    <row r="18963" spans="62:62" x14ac:dyDescent="0.2">
      <c r="BJ18963" s="201"/>
    </row>
    <row r="18964" spans="62:62" x14ac:dyDescent="0.2">
      <c r="BJ18964" s="201"/>
    </row>
    <row r="18965" spans="62:62" x14ac:dyDescent="0.2">
      <c r="BJ18965" s="201"/>
    </row>
    <row r="18966" spans="62:62" x14ac:dyDescent="0.2">
      <c r="BJ18966" s="201"/>
    </row>
    <row r="18967" spans="62:62" x14ac:dyDescent="0.2">
      <c r="BJ18967" s="201"/>
    </row>
    <row r="18968" spans="62:62" x14ac:dyDescent="0.2">
      <c r="BJ18968" s="201"/>
    </row>
    <row r="18969" spans="62:62" x14ac:dyDescent="0.2">
      <c r="BJ18969" s="201"/>
    </row>
    <row r="18970" spans="62:62" x14ac:dyDescent="0.2">
      <c r="BJ18970" s="201"/>
    </row>
    <row r="18971" spans="62:62" x14ac:dyDescent="0.2">
      <c r="BJ18971" s="201"/>
    </row>
    <row r="18972" spans="62:62" x14ac:dyDescent="0.2">
      <c r="BJ18972" s="201"/>
    </row>
    <row r="18973" spans="62:62" x14ac:dyDescent="0.2">
      <c r="BJ18973" s="201"/>
    </row>
    <row r="18974" spans="62:62" x14ac:dyDescent="0.2">
      <c r="BJ18974" s="201"/>
    </row>
    <row r="18975" spans="62:62" x14ac:dyDescent="0.2">
      <c r="BJ18975" s="201"/>
    </row>
    <row r="18976" spans="62:62" x14ac:dyDescent="0.2">
      <c r="BJ18976" s="201"/>
    </row>
    <row r="18977" spans="62:62" x14ac:dyDescent="0.2">
      <c r="BJ18977" s="201"/>
    </row>
    <row r="18978" spans="62:62" x14ac:dyDescent="0.2">
      <c r="BJ18978" s="201"/>
    </row>
    <row r="18979" spans="62:62" x14ac:dyDescent="0.2">
      <c r="BJ18979" s="201"/>
    </row>
    <row r="18980" spans="62:62" x14ac:dyDescent="0.2">
      <c r="BJ18980" s="201"/>
    </row>
    <row r="18981" spans="62:62" x14ac:dyDescent="0.2">
      <c r="BJ18981" s="201"/>
    </row>
    <row r="18982" spans="62:62" x14ac:dyDescent="0.2">
      <c r="BJ18982" s="201"/>
    </row>
    <row r="18983" spans="62:62" x14ac:dyDescent="0.2">
      <c r="BJ18983" s="201"/>
    </row>
    <row r="18984" spans="62:62" x14ac:dyDescent="0.2">
      <c r="BJ18984" s="201"/>
    </row>
    <row r="18985" spans="62:62" x14ac:dyDescent="0.2">
      <c r="BJ18985" s="201"/>
    </row>
    <row r="18986" spans="62:62" x14ac:dyDescent="0.2">
      <c r="BJ18986" s="201"/>
    </row>
    <row r="18987" spans="62:62" x14ac:dyDescent="0.2">
      <c r="BJ18987" s="201"/>
    </row>
    <row r="18988" spans="62:62" x14ac:dyDescent="0.2">
      <c r="BJ18988" s="201"/>
    </row>
    <row r="18989" spans="62:62" x14ac:dyDescent="0.2">
      <c r="BJ18989" s="201"/>
    </row>
    <row r="18990" spans="62:62" x14ac:dyDescent="0.2">
      <c r="BJ18990" s="201"/>
    </row>
    <row r="18991" spans="62:62" x14ac:dyDescent="0.2">
      <c r="BJ18991" s="201"/>
    </row>
    <row r="18992" spans="62:62" x14ac:dyDescent="0.2">
      <c r="BJ18992" s="201"/>
    </row>
    <row r="18993" spans="62:62" x14ac:dyDescent="0.2">
      <c r="BJ18993" s="201"/>
    </row>
    <row r="18994" spans="62:62" x14ac:dyDescent="0.2">
      <c r="BJ18994" s="201"/>
    </row>
    <row r="18995" spans="62:62" x14ac:dyDescent="0.2">
      <c r="BJ18995" s="201"/>
    </row>
    <row r="18996" spans="62:62" x14ac:dyDescent="0.2">
      <c r="BJ18996" s="201"/>
    </row>
    <row r="18997" spans="62:62" x14ac:dyDescent="0.2">
      <c r="BJ18997" s="201"/>
    </row>
    <row r="18998" spans="62:62" x14ac:dyDescent="0.2">
      <c r="BJ18998" s="201"/>
    </row>
    <row r="18999" spans="62:62" x14ac:dyDescent="0.2">
      <c r="BJ18999" s="201"/>
    </row>
    <row r="19000" spans="62:62" x14ac:dyDescent="0.2">
      <c r="BJ19000" s="201"/>
    </row>
    <row r="19001" spans="62:62" x14ac:dyDescent="0.2">
      <c r="BJ19001" s="201"/>
    </row>
    <row r="19002" spans="62:62" x14ac:dyDescent="0.2">
      <c r="BJ19002" s="201"/>
    </row>
    <row r="19003" spans="62:62" x14ac:dyDescent="0.2">
      <c r="BJ19003" s="201"/>
    </row>
    <row r="19004" spans="62:62" x14ac:dyDescent="0.2">
      <c r="BJ19004" s="201"/>
    </row>
    <row r="19005" spans="62:62" x14ac:dyDescent="0.2">
      <c r="BJ19005" s="201"/>
    </row>
    <row r="19006" spans="62:62" x14ac:dyDescent="0.2">
      <c r="BJ19006" s="201"/>
    </row>
    <row r="19007" spans="62:62" x14ac:dyDescent="0.2">
      <c r="BJ19007" s="201"/>
    </row>
    <row r="19008" spans="62:62" x14ac:dyDescent="0.2">
      <c r="BJ19008" s="201"/>
    </row>
    <row r="19009" spans="62:62" x14ac:dyDescent="0.2">
      <c r="BJ19009" s="201"/>
    </row>
    <row r="19010" spans="62:62" x14ac:dyDescent="0.2">
      <c r="BJ19010" s="201"/>
    </row>
    <row r="19011" spans="62:62" x14ac:dyDescent="0.2">
      <c r="BJ19011" s="201"/>
    </row>
    <row r="19012" spans="62:62" x14ac:dyDescent="0.2">
      <c r="BJ19012" s="201"/>
    </row>
    <row r="19013" spans="62:62" x14ac:dyDescent="0.2">
      <c r="BJ19013" s="201"/>
    </row>
    <row r="19014" spans="62:62" x14ac:dyDescent="0.2">
      <c r="BJ19014" s="201"/>
    </row>
    <row r="19015" spans="62:62" x14ac:dyDescent="0.2">
      <c r="BJ19015" s="201"/>
    </row>
    <row r="19016" spans="62:62" x14ac:dyDescent="0.2">
      <c r="BJ19016" s="201"/>
    </row>
    <row r="19017" spans="62:62" x14ac:dyDescent="0.2">
      <c r="BJ19017" s="201"/>
    </row>
    <row r="19018" spans="62:62" x14ac:dyDescent="0.2">
      <c r="BJ19018" s="201"/>
    </row>
    <row r="19019" spans="62:62" x14ac:dyDescent="0.2">
      <c r="BJ19019" s="201"/>
    </row>
    <row r="19020" spans="62:62" x14ac:dyDescent="0.2">
      <c r="BJ19020" s="201"/>
    </row>
    <row r="19021" spans="62:62" x14ac:dyDescent="0.2">
      <c r="BJ19021" s="201"/>
    </row>
    <row r="19022" spans="62:62" x14ac:dyDescent="0.2">
      <c r="BJ19022" s="201"/>
    </row>
    <row r="19023" spans="62:62" x14ac:dyDescent="0.2">
      <c r="BJ19023" s="201"/>
    </row>
    <row r="19024" spans="62:62" x14ac:dyDescent="0.2">
      <c r="BJ19024" s="201"/>
    </row>
    <row r="19025" spans="62:62" x14ac:dyDescent="0.2">
      <c r="BJ19025" s="201"/>
    </row>
    <row r="19026" spans="62:62" x14ac:dyDescent="0.2">
      <c r="BJ19026" s="201"/>
    </row>
    <row r="19027" spans="62:62" x14ac:dyDescent="0.2">
      <c r="BJ19027" s="201"/>
    </row>
    <row r="19028" spans="62:62" x14ac:dyDescent="0.2">
      <c r="BJ19028" s="201"/>
    </row>
    <row r="19029" spans="62:62" x14ac:dyDescent="0.2">
      <c r="BJ19029" s="201"/>
    </row>
    <row r="19030" spans="62:62" x14ac:dyDescent="0.2">
      <c r="BJ19030" s="201"/>
    </row>
    <row r="19031" spans="62:62" x14ac:dyDescent="0.2">
      <c r="BJ19031" s="201"/>
    </row>
    <row r="19032" spans="62:62" x14ac:dyDescent="0.2">
      <c r="BJ19032" s="201"/>
    </row>
    <row r="19033" spans="62:62" x14ac:dyDescent="0.2">
      <c r="BJ19033" s="201"/>
    </row>
    <row r="19034" spans="62:62" x14ac:dyDescent="0.2">
      <c r="BJ19034" s="201"/>
    </row>
    <row r="19035" spans="62:62" x14ac:dyDescent="0.2">
      <c r="BJ19035" s="201"/>
    </row>
    <row r="19036" spans="62:62" x14ac:dyDescent="0.2">
      <c r="BJ19036" s="201"/>
    </row>
    <row r="19037" spans="62:62" x14ac:dyDescent="0.2">
      <c r="BJ19037" s="201"/>
    </row>
    <row r="19038" spans="62:62" x14ac:dyDescent="0.2">
      <c r="BJ19038" s="201"/>
    </row>
    <row r="19039" spans="62:62" x14ac:dyDescent="0.2">
      <c r="BJ19039" s="201"/>
    </row>
    <row r="19040" spans="62:62" x14ac:dyDescent="0.2">
      <c r="BJ19040" s="201"/>
    </row>
    <row r="19041" spans="62:62" x14ac:dyDescent="0.2">
      <c r="BJ19041" s="201"/>
    </row>
    <row r="19042" spans="62:62" x14ac:dyDescent="0.2">
      <c r="BJ19042" s="201"/>
    </row>
    <row r="19043" spans="62:62" x14ac:dyDescent="0.2">
      <c r="BJ19043" s="201"/>
    </row>
    <row r="19044" spans="62:62" x14ac:dyDescent="0.2">
      <c r="BJ19044" s="201"/>
    </row>
    <row r="19045" spans="62:62" x14ac:dyDescent="0.2">
      <c r="BJ19045" s="201"/>
    </row>
    <row r="19046" spans="62:62" x14ac:dyDescent="0.2">
      <c r="BJ19046" s="201"/>
    </row>
    <row r="19047" spans="62:62" x14ac:dyDescent="0.2">
      <c r="BJ19047" s="201"/>
    </row>
    <row r="19048" spans="62:62" x14ac:dyDescent="0.2">
      <c r="BJ19048" s="201"/>
    </row>
    <row r="19049" spans="62:62" x14ac:dyDescent="0.2">
      <c r="BJ19049" s="201"/>
    </row>
    <row r="19050" spans="62:62" x14ac:dyDescent="0.2">
      <c r="BJ19050" s="201"/>
    </row>
    <row r="19051" spans="62:62" x14ac:dyDescent="0.2">
      <c r="BJ19051" s="201"/>
    </row>
    <row r="19052" spans="62:62" x14ac:dyDescent="0.2">
      <c r="BJ19052" s="201"/>
    </row>
    <row r="19053" spans="62:62" x14ac:dyDescent="0.2">
      <c r="BJ19053" s="201"/>
    </row>
    <row r="19054" spans="62:62" x14ac:dyDescent="0.2">
      <c r="BJ19054" s="201"/>
    </row>
    <row r="19055" spans="62:62" x14ac:dyDescent="0.2">
      <c r="BJ19055" s="201"/>
    </row>
    <row r="19056" spans="62:62" x14ac:dyDescent="0.2">
      <c r="BJ19056" s="201"/>
    </row>
    <row r="19057" spans="62:62" x14ac:dyDescent="0.2">
      <c r="BJ19057" s="201"/>
    </row>
    <row r="19058" spans="62:62" x14ac:dyDescent="0.2">
      <c r="BJ19058" s="201"/>
    </row>
    <row r="19059" spans="62:62" x14ac:dyDescent="0.2">
      <c r="BJ19059" s="201"/>
    </row>
    <row r="19060" spans="62:62" x14ac:dyDescent="0.2">
      <c r="BJ19060" s="201"/>
    </row>
    <row r="19061" spans="62:62" x14ac:dyDescent="0.2">
      <c r="BJ19061" s="201"/>
    </row>
    <row r="19062" spans="62:62" x14ac:dyDescent="0.2">
      <c r="BJ19062" s="201"/>
    </row>
    <row r="19063" spans="62:62" x14ac:dyDescent="0.2">
      <c r="BJ19063" s="201"/>
    </row>
    <row r="19064" spans="62:62" x14ac:dyDescent="0.2">
      <c r="BJ19064" s="201"/>
    </row>
    <row r="19065" spans="62:62" x14ac:dyDescent="0.2">
      <c r="BJ19065" s="201"/>
    </row>
    <row r="19066" spans="62:62" x14ac:dyDescent="0.2">
      <c r="BJ19066" s="201"/>
    </row>
    <row r="19067" spans="62:62" x14ac:dyDescent="0.2">
      <c r="BJ19067" s="201"/>
    </row>
    <row r="19068" spans="62:62" x14ac:dyDescent="0.2">
      <c r="BJ19068" s="201"/>
    </row>
    <row r="19069" spans="62:62" x14ac:dyDescent="0.2">
      <c r="BJ19069" s="201"/>
    </row>
    <row r="19070" spans="62:62" x14ac:dyDescent="0.2">
      <c r="BJ19070" s="201"/>
    </row>
    <row r="19071" spans="62:62" x14ac:dyDescent="0.2">
      <c r="BJ19071" s="201"/>
    </row>
    <row r="19072" spans="62:62" x14ac:dyDescent="0.2">
      <c r="BJ19072" s="201"/>
    </row>
    <row r="19073" spans="62:62" x14ac:dyDescent="0.2">
      <c r="BJ19073" s="201"/>
    </row>
    <row r="19074" spans="62:62" x14ac:dyDescent="0.2">
      <c r="BJ19074" s="201"/>
    </row>
    <row r="19075" spans="62:62" x14ac:dyDescent="0.2">
      <c r="BJ19075" s="201"/>
    </row>
    <row r="19076" spans="62:62" x14ac:dyDescent="0.2">
      <c r="BJ19076" s="201"/>
    </row>
    <row r="19077" spans="62:62" x14ac:dyDescent="0.2">
      <c r="BJ19077" s="201"/>
    </row>
    <row r="19078" spans="62:62" x14ac:dyDescent="0.2">
      <c r="BJ19078" s="201"/>
    </row>
    <row r="19079" spans="62:62" x14ac:dyDescent="0.2">
      <c r="BJ19079" s="201"/>
    </row>
    <row r="19080" spans="62:62" x14ac:dyDescent="0.2">
      <c r="BJ19080" s="201"/>
    </row>
    <row r="19081" spans="62:62" x14ac:dyDescent="0.2">
      <c r="BJ19081" s="201"/>
    </row>
    <row r="19082" spans="62:62" x14ac:dyDescent="0.2">
      <c r="BJ19082" s="201"/>
    </row>
    <row r="19083" spans="62:62" x14ac:dyDescent="0.2">
      <c r="BJ19083" s="201"/>
    </row>
    <row r="19084" spans="62:62" x14ac:dyDescent="0.2">
      <c r="BJ19084" s="201"/>
    </row>
    <row r="19085" spans="62:62" x14ac:dyDescent="0.2">
      <c r="BJ19085" s="201"/>
    </row>
    <row r="19086" spans="62:62" x14ac:dyDescent="0.2">
      <c r="BJ19086" s="201"/>
    </row>
    <row r="19087" spans="62:62" x14ac:dyDescent="0.2">
      <c r="BJ19087" s="201"/>
    </row>
    <row r="19088" spans="62:62" x14ac:dyDescent="0.2">
      <c r="BJ19088" s="201"/>
    </row>
    <row r="19089" spans="62:62" x14ac:dyDescent="0.2">
      <c r="BJ19089" s="201"/>
    </row>
    <row r="19090" spans="62:62" x14ac:dyDescent="0.2">
      <c r="BJ19090" s="201"/>
    </row>
    <row r="19091" spans="62:62" x14ac:dyDescent="0.2">
      <c r="BJ19091" s="201"/>
    </row>
    <row r="19092" spans="62:62" x14ac:dyDescent="0.2">
      <c r="BJ19092" s="201"/>
    </row>
    <row r="19093" spans="62:62" x14ac:dyDescent="0.2">
      <c r="BJ19093" s="201"/>
    </row>
    <row r="19094" spans="62:62" x14ac:dyDescent="0.2">
      <c r="BJ19094" s="201"/>
    </row>
    <row r="19095" spans="62:62" x14ac:dyDescent="0.2">
      <c r="BJ19095" s="201"/>
    </row>
    <row r="19096" spans="62:62" x14ac:dyDescent="0.2">
      <c r="BJ19096" s="201"/>
    </row>
    <row r="19097" spans="62:62" x14ac:dyDescent="0.2">
      <c r="BJ19097" s="201"/>
    </row>
    <row r="19098" spans="62:62" x14ac:dyDescent="0.2">
      <c r="BJ19098" s="201"/>
    </row>
    <row r="19099" spans="62:62" x14ac:dyDescent="0.2">
      <c r="BJ19099" s="201"/>
    </row>
    <row r="19100" spans="62:62" x14ac:dyDescent="0.2">
      <c r="BJ19100" s="201"/>
    </row>
    <row r="19101" spans="62:62" x14ac:dyDescent="0.2">
      <c r="BJ19101" s="201"/>
    </row>
    <row r="19102" spans="62:62" x14ac:dyDescent="0.2">
      <c r="BJ19102" s="201"/>
    </row>
    <row r="19103" spans="62:62" x14ac:dyDescent="0.2">
      <c r="BJ19103" s="201"/>
    </row>
    <row r="19104" spans="62:62" x14ac:dyDescent="0.2">
      <c r="BJ19104" s="201"/>
    </row>
    <row r="19105" spans="62:62" x14ac:dyDescent="0.2">
      <c r="BJ19105" s="201"/>
    </row>
    <row r="19106" spans="62:62" x14ac:dyDescent="0.2">
      <c r="BJ19106" s="201"/>
    </row>
    <row r="19107" spans="62:62" x14ac:dyDescent="0.2">
      <c r="BJ19107" s="201"/>
    </row>
    <row r="19108" spans="62:62" x14ac:dyDescent="0.2">
      <c r="BJ19108" s="201"/>
    </row>
    <row r="19109" spans="62:62" x14ac:dyDescent="0.2">
      <c r="BJ19109" s="201"/>
    </row>
    <row r="19110" spans="62:62" x14ac:dyDescent="0.2">
      <c r="BJ19110" s="201"/>
    </row>
    <row r="19111" spans="62:62" x14ac:dyDescent="0.2">
      <c r="BJ19111" s="201"/>
    </row>
    <row r="19112" spans="62:62" x14ac:dyDescent="0.2">
      <c r="BJ19112" s="201"/>
    </row>
    <row r="19113" spans="62:62" x14ac:dyDescent="0.2">
      <c r="BJ19113" s="201"/>
    </row>
    <row r="19114" spans="62:62" x14ac:dyDescent="0.2">
      <c r="BJ19114" s="201"/>
    </row>
    <row r="19115" spans="62:62" x14ac:dyDescent="0.2">
      <c r="BJ19115" s="201"/>
    </row>
    <row r="19116" spans="62:62" x14ac:dyDescent="0.2">
      <c r="BJ19116" s="201"/>
    </row>
    <row r="19117" spans="62:62" x14ac:dyDescent="0.2">
      <c r="BJ19117" s="201"/>
    </row>
    <row r="19118" spans="62:62" x14ac:dyDescent="0.2">
      <c r="BJ19118" s="201"/>
    </row>
    <row r="19119" spans="62:62" x14ac:dyDescent="0.2">
      <c r="BJ19119" s="201"/>
    </row>
    <row r="19120" spans="62:62" x14ac:dyDescent="0.2">
      <c r="BJ19120" s="201"/>
    </row>
    <row r="19121" spans="62:62" x14ac:dyDescent="0.2">
      <c r="BJ19121" s="201"/>
    </row>
    <row r="19122" spans="62:62" x14ac:dyDescent="0.2">
      <c r="BJ19122" s="201"/>
    </row>
    <row r="19123" spans="62:62" x14ac:dyDescent="0.2">
      <c r="BJ19123" s="201"/>
    </row>
    <row r="19124" spans="62:62" x14ac:dyDescent="0.2">
      <c r="BJ19124" s="201"/>
    </row>
    <row r="19125" spans="62:62" x14ac:dyDescent="0.2">
      <c r="BJ19125" s="201"/>
    </row>
    <row r="19126" spans="62:62" x14ac:dyDescent="0.2">
      <c r="BJ19126" s="201"/>
    </row>
    <row r="19127" spans="62:62" x14ac:dyDescent="0.2">
      <c r="BJ19127" s="201"/>
    </row>
    <row r="19128" spans="62:62" x14ac:dyDescent="0.2">
      <c r="BJ19128" s="201"/>
    </row>
    <row r="19129" spans="62:62" x14ac:dyDescent="0.2">
      <c r="BJ19129" s="201"/>
    </row>
    <row r="19130" spans="62:62" x14ac:dyDescent="0.2">
      <c r="BJ19130" s="201"/>
    </row>
    <row r="19131" spans="62:62" x14ac:dyDescent="0.2">
      <c r="BJ19131" s="201"/>
    </row>
    <row r="19132" spans="62:62" x14ac:dyDescent="0.2">
      <c r="BJ19132" s="201"/>
    </row>
    <row r="19133" spans="62:62" x14ac:dyDescent="0.2">
      <c r="BJ19133" s="201"/>
    </row>
    <row r="19134" spans="62:62" x14ac:dyDescent="0.2">
      <c r="BJ19134" s="201"/>
    </row>
    <row r="19135" spans="62:62" x14ac:dyDescent="0.2">
      <c r="BJ19135" s="201"/>
    </row>
    <row r="19136" spans="62:62" x14ac:dyDescent="0.2">
      <c r="BJ19136" s="201"/>
    </row>
    <row r="19137" spans="62:62" x14ac:dyDescent="0.2">
      <c r="BJ19137" s="201"/>
    </row>
    <row r="19138" spans="62:62" x14ac:dyDescent="0.2">
      <c r="BJ19138" s="201"/>
    </row>
    <row r="19139" spans="62:62" x14ac:dyDescent="0.2">
      <c r="BJ19139" s="201"/>
    </row>
    <row r="19140" spans="62:62" x14ac:dyDescent="0.2">
      <c r="BJ19140" s="201"/>
    </row>
    <row r="19141" spans="62:62" x14ac:dyDescent="0.2">
      <c r="BJ19141" s="201"/>
    </row>
    <row r="19142" spans="62:62" x14ac:dyDescent="0.2">
      <c r="BJ19142" s="201"/>
    </row>
    <row r="19143" spans="62:62" x14ac:dyDescent="0.2">
      <c r="BJ19143" s="201"/>
    </row>
    <row r="19144" spans="62:62" x14ac:dyDescent="0.2">
      <c r="BJ19144" s="201"/>
    </row>
    <row r="19145" spans="62:62" x14ac:dyDescent="0.2">
      <c r="BJ19145" s="201"/>
    </row>
    <row r="19146" spans="62:62" x14ac:dyDescent="0.2">
      <c r="BJ19146" s="201"/>
    </row>
    <row r="19147" spans="62:62" x14ac:dyDescent="0.2">
      <c r="BJ19147" s="201"/>
    </row>
    <row r="19148" spans="62:62" x14ac:dyDescent="0.2">
      <c r="BJ19148" s="201"/>
    </row>
    <row r="19149" spans="62:62" x14ac:dyDescent="0.2">
      <c r="BJ19149" s="201"/>
    </row>
    <row r="19150" spans="62:62" x14ac:dyDescent="0.2">
      <c r="BJ19150" s="201"/>
    </row>
    <row r="19151" spans="62:62" x14ac:dyDescent="0.2">
      <c r="BJ19151" s="201"/>
    </row>
    <row r="19152" spans="62:62" x14ac:dyDescent="0.2">
      <c r="BJ19152" s="201"/>
    </row>
    <row r="19153" spans="62:62" x14ac:dyDescent="0.2">
      <c r="BJ19153" s="201"/>
    </row>
    <row r="19154" spans="62:62" x14ac:dyDescent="0.2">
      <c r="BJ19154" s="201"/>
    </row>
    <row r="19155" spans="62:62" x14ac:dyDescent="0.2">
      <c r="BJ19155" s="201"/>
    </row>
    <row r="19156" spans="62:62" x14ac:dyDescent="0.2">
      <c r="BJ19156" s="201"/>
    </row>
    <row r="19157" spans="62:62" x14ac:dyDescent="0.2">
      <c r="BJ19157" s="201"/>
    </row>
    <row r="19158" spans="62:62" x14ac:dyDescent="0.2">
      <c r="BJ19158" s="201"/>
    </row>
    <row r="19159" spans="62:62" x14ac:dyDescent="0.2">
      <c r="BJ19159" s="201"/>
    </row>
    <row r="19160" spans="62:62" x14ac:dyDescent="0.2">
      <c r="BJ19160" s="201"/>
    </row>
    <row r="19161" spans="62:62" x14ac:dyDescent="0.2">
      <c r="BJ19161" s="201"/>
    </row>
    <row r="19162" spans="62:62" x14ac:dyDescent="0.2">
      <c r="BJ19162" s="201"/>
    </row>
    <row r="19163" spans="62:62" x14ac:dyDescent="0.2">
      <c r="BJ19163" s="201"/>
    </row>
    <row r="19164" spans="62:62" x14ac:dyDescent="0.2">
      <c r="BJ19164" s="201"/>
    </row>
    <row r="19165" spans="62:62" x14ac:dyDescent="0.2">
      <c r="BJ19165" s="201"/>
    </row>
    <row r="19166" spans="62:62" x14ac:dyDescent="0.2">
      <c r="BJ19166" s="201"/>
    </row>
    <row r="19167" spans="62:62" x14ac:dyDescent="0.2">
      <c r="BJ19167" s="201"/>
    </row>
    <row r="19168" spans="62:62" x14ac:dyDescent="0.2">
      <c r="BJ19168" s="201"/>
    </row>
    <row r="19169" spans="62:62" x14ac:dyDescent="0.2">
      <c r="BJ19169" s="201"/>
    </row>
    <row r="19170" spans="62:62" x14ac:dyDescent="0.2">
      <c r="BJ19170" s="201"/>
    </row>
    <row r="19171" spans="62:62" x14ac:dyDescent="0.2">
      <c r="BJ19171" s="201"/>
    </row>
    <row r="19172" spans="62:62" x14ac:dyDescent="0.2">
      <c r="BJ19172" s="201"/>
    </row>
    <row r="19173" spans="62:62" x14ac:dyDescent="0.2">
      <c r="BJ19173" s="201"/>
    </row>
    <row r="19174" spans="62:62" x14ac:dyDescent="0.2">
      <c r="BJ19174" s="201"/>
    </row>
    <row r="19175" spans="62:62" x14ac:dyDescent="0.2">
      <c r="BJ19175" s="201"/>
    </row>
    <row r="19176" spans="62:62" x14ac:dyDescent="0.2">
      <c r="BJ19176" s="201"/>
    </row>
    <row r="19177" spans="62:62" x14ac:dyDescent="0.2">
      <c r="BJ19177" s="201"/>
    </row>
    <row r="19178" spans="62:62" x14ac:dyDescent="0.2">
      <c r="BJ19178" s="201"/>
    </row>
    <row r="19179" spans="62:62" x14ac:dyDescent="0.2">
      <c r="BJ19179" s="201"/>
    </row>
    <row r="19180" spans="62:62" x14ac:dyDescent="0.2">
      <c r="BJ19180" s="201"/>
    </row>
    <row r="19181" spans="62:62" x14ac:dyDescent="0.2">
      <c r="BJ19181" s="201"/>
    </row>
    <row r="19182" spans="62:62" x14ac:dyDescent="0.2">
      <c r="BJ19182" s="201"/>
    </row>
    <row r="19183" spans="62:62" x14ac:dyDescent="0.2">
      <c r="BJ19183" s="201"/>
    </row>
    <row r="19184" spans="62:62" x14ac:dyDescent="0.2">
      <c r="BJ19184" s="201"/>
    </row>
    <row r="19185" spans="62:62" x14ac:dyDescent="0.2">
      <c r="BJ19185" s="201"/>
    </row>
    <row r="19186" spans="62:62" x14ac:dyDescent="0.2">
      <c r="BJ19186" s="201"/>
    </row>
    <row r="19187" spans="62:62" x14ac:dyDescent="0.2">
      <c r="BJ19187" s="201"/>
    </row>
    <row r="19188" spans="62:62" x14ac:dyDescent="0.2">
      <c r="BJ19188" s="201"/>
    </row>
    <row r="19189" spans="62:62" x14ac:dyDescent="0.2">
      <c r="BJ19189" s="201"/>
    </row>
    <row r="19190" spans="62:62" x14ac:dyDescent="0.2">
      <c r="BJ19190" s="201"/>
    </row>
    <row r="19191" spans="62:62" x14ac:dyDescent="0.2">
      <c r="BJ19191" s="201"/>
    </row>
    <row r="19192" spans="62:62" x14ac:dyDescent="0.2">
      <c r="BJ19192" s="201"/>
    </row>
    <row r="19193" spans="62:62" x14ac:dyDescent="0.2">
      <c r="BJ19193" s="201"/>
    </row>
    <row r="19194" spans="62:62" x14ac:dyDescent="0.2">
      <c r="BJ19194" s="201"/>
    </row>
    <row r="19195" spans="62:62" x14ac:dyDescent="0.2">
      <c r="BJ19195" s="201"/>
    </row>
    <row r="19196" spans="62:62" x14ac:dyDescent="0.2">
      <c r="BJ19196" s="201"/>
    </row>
    <row r="19197" spans="62:62" x14ac:dyDescent="0.2">
      <c r="BJ19197" s="201"/>
    </row>
    <row r="19198" spans="62:62" x14ac:dyDescent="0.2">
      <c r="BJ19198" s="201"/>
    </row>
    <row r="19199" spans="62:62" x14ac:dyDescent="0.2">
      <c r="BJ19199" s="201"/>
    </row>
    <row r="19200" spans="62:62" x14ac:dyDescent="0.2">
      <c r="BJ19200" s="201"/>
    </row>
    <row r="19201" spans="62:62" x14ac:dyDescent="0.2">
      <c r="BJ19201" s="201"/>
    </row>
    <row r="19202" spans="62:62" x14ac:dyDescent="0.2">
      <c r="BJ19202" s="201"/>
    </row>
    <row r="19203" spans="62:62" x14ac:dyDescent="0.2">
      <c r="BJ19203" s="201"/>
    </row>
    <row r="19204" spans="62:62" x14ac:dyDescent="0.2">
      <c r="BJ19204" s="201"/>
    </row>
    <row r="19205" spans="62:62" x14ac:dyDescent="0.2">
      <c r="BJ19205" s="201"/>
    </row>
    <row r="19206" spans="62:62" x14ac:dyDescent="0.2">
      <c r="BJ19206" s="201"/>
    </row>
    <row r="19207" spans="62:62" x14ac:dyDescent="0.2">
      <c r="BJ19207" s="201"/>
    </row>
    <row r="19208" spans="62:62" x14ac:dyDescent="0.2">
      <c r="BJ19208" s="201"/>
    </row>
    <row r="19209" spans="62:62" x14ac:dyDescent="0.2">
      <c r="BJ19209" s="201"/>
    </row>
    <row r="19210" spans="62:62" x14ac:dyDescent="0.2">
      <c r="BJ19210" s="201"/>
    </row>
    <row r="19211" spans="62:62" x14ac:dyDescent="0.2">
      <c r="BJ19211" s="201"/>
    </row>
    <row r="19212" spans="62:62" x14ac:dyDescent="0.2">
      <c r="BJ19212" s="201"/>
    </row>
    <row r="19213" spans="62:62" x14ac:dyDescent="0.2">
      <c r="BJ19213" s="201"/>
    </row>
    <row r="19214" spans="62:62" x14ac:dyDescent="0.2">
      <c r="BJ19214" s="201"/>
    </row>
    <row r="19215" spans="62:62" x14ac:dyDescent="0.2">
      <c r="BJ19215" s="201"/>
    </row>
    <row r="19216" spans="62:62" x14ac:dyDescent="0.2">
      <c r="BJ19216" s="201"/>
    </row>
    <row r="19217" spans="62:62" x14ac:dyDescent="0.2">
      <c r="BJ19217" s="201"/>
    </row>
    <row r="19218" spans="62:62" x14ac:dyDescent="0.2">
      <c r="BJ19218" s="201"/>
    </row>
    <row r="19219" spans="62:62" x14ac:dyDescent="0.2">
      <c r="BJ19219" s="201"/>
    </row>
    <row r="19220" spans="62:62" x14ac:dyDescent="0.2">
      <c r="BJ19220" s="201"/>
    </row>
    <row r="19221" spans="62:62" x14ac:dyDescent="0.2">
      <c r="BJ19221" s="201"/>
    </row>
    <row r="19222" spans="62:62" x14ac:dyDescent="0.2">
      <c r="BJ19222" s="201"/>
    </row>
    <row r="19223" spans="62:62" x14ac:dyDescent="0.2">
      <c r="BJ19223" s="201"/>
    </row>
    <row r="19224" spans="62:62" x14ac:dyDescent="0.2">
      <c r="BJ19224" s="201"/>
    </row>
    <row r="19225" spans="62:62" x14ac:dyDescent="0.2">
      <c r="BJ19225" s="201"/>
    </row>
    <row r="19226" spans="62:62" x14ac:dyDescent="0.2">
      <c r="BJ19226" s="201"/>
    </row>
    <row r="19227" spans="62:62" x14ac:dyDescent="0.2">
      <c r="BJ19227" s="201"/>
    </row>
    <row r="19228" spans="62:62" x14ac:dyDescent="0.2">
      <c r="BJ19228" s="201"/>
    </row>
    <row r="19229" spans="62:62" x14ac:dyDescent="0.2">
      <c r="BJ19229" s="201"/>
    </row>
    <row r="19230" spans="62:62" x14ac:dyDescent="0.2">
      <c r="BJ19230" s="201"/>
    </row>
    <row r="19231" spans="62:62" x14ac:dyDescent="0.2">
      <c r="BJ19231" s="201"/>
    </row>
    <row r="19232" spans="62:62" x14ac:dyDescent="0.2">
      <c r="BJ19232" s="201"/>
    </row>
    <row r="19233" spans="62:62" x14ac:dyDescent="0.2">
      <c r="BJ19233" s="201"/>
    </row>
    <row r="19234" spans="62:62" x14ac:dyDescent="0.2">
      <c r="BJ19234" s="201"/>
    </row>
    <row r="19235" spans="62:62" x14ac:dyDescent="0.2">
      <c r="BJ19235" s="201"/>
    </row>
    <row r="19236" spans="62:62" x14ac:dyDescent="0.2">
      <c r="BJ19236" s="201"/>
    </row>
    <row r="19237" spans="62:62" x14ac:dyDescent="0.2">
      <c r="BJ19237" s="201"/>
    </row>
    <row r="19238" spans="62:62" x14ac:dyDescent="0.2">
      <c r="BJ19238" s="201"/>
    </row>
    <row r="19239" spans="62:62" x14ac:dyDescent="0.2">
      <c r="BJ19239" s="201"/>
    </row>
    <row r="19240" spans="62:62" x14ac:dyDescent="0.2">
      <c r="BJ19240" s="201"/>
    </row>
    <row r="19241" spans="62:62" x14ac:dyDescent="0.2">
      <c r="BJ19241" s="201"/>
    </row>
    <row r="19242" spans="62:62" x14ac:dyDescent="0.2">
      <c r="BJ19242" s="201"/>
    </row>
    <row r="19243" spans="62:62" x14ac:dyDescent="0.2">
      <c r="BJ19243" s="201"/>
    </row>
    <row r="19244" spans="62:62" x14ac:dyDescent="0.2">
      <c r="BJ19244" s="201"/>
    </row>
    <row r="19245" spans="62:62" x14ac:dyDescent="0.2">
      <c r="BJ19245" s="201"/>
    </row>
    <row r="19246" spans="62:62" x14ac:dyDescent="0.2">
      <c r="BJ19246" s="201"/>
    </row>
    <row r="19247" spans="62:62" x14ac:dyDescent="0.2">
      <c r="BJ19247" s="201"/>
    </row>
    <row r="19248" spans="62:62" x14ac:dyDescent="0.2">
      <c r="BJ19248" s="201"/>
    </row>
    <row r="19249" spans="62:62" x14ac:dyDescent="0.2">
      <c r="BJ19249" s="201"/>
    </row>
    <row r="19250" spans="62:62" x14ac:dyDescent="0.2">
      <c r="BJ19250" s="201"/>
    </row>
    <row r="19251" spans="62:62" x14ac:dyDescent="0.2">
      <c r="BJ19251" s="201"/>
    </row>
    <row r="19252" spans="62:62" x14ac:dyDescent="0.2">
      <c r="BJ19252" s="201"/>
    </row>
    <row r="19253" spans="62:62" x14ac:dyDescent="0.2">
      <c r="BJ19253" s="201"/>
    </row>
    <row r="19254" spans="62:62" x14ac:dyDescent="0.2">
      <c r="BJ19254" s="201"/>
    </row>
    <row r="19255" spans="62:62" x14ac:dyDescent="0.2">
      <c r="BJ19255" s="201"/>
    </row>
    <row r="19256" spans="62:62" x14ac:dyDescent="0.2">
      <c r="BJ19256" s="201"/>
    </row>
    <row r="19257" spans="62:62" x14ac:dyDescent="0.2">
      <c r="BJ19257" s="201"/>
    </row>
    <row r="19258" spans="62:62" x14ac:dyDescent="0.2">
      <c r="BJ19258" s="201"/>
    </row>
    <row r="19259" spans="62:62" x14ac:dyDescent="0.2">
      <c r="BJ19259" s="201"/>
    </row>
    <row r="19260" spans="62:62" x14ac:dyDescent="0.2">
      <c r="BJ19260" s="201"/>
    </row>
    <row r="19261" spans="62:62" x14ac:dyDescent="0.2">
      <c r="BJ19261" s="201"/>
    </row>
    <row r="19262" spans="62:62" x14ac:dyDescent="0.2">
      <c r="BJ19262" s="201"/>
    </row>
    <row r="19263" spans="62:62" x14ac:dyDescent="0.2">
      <c r="BJ19263" s="201"/>
    </row>
    <row r="19264" spans="62:62" x14ac:dyDescent="0.2">
      <c r="BJ19264" s="201"/>
    </row>
    <row r="19265" spans="62:62" x14ac:dyDescent="0.2">
      <c r="BJ19265" s="201"/>
    </row>
    <row r="19266" spans="62:62" x14ac:dyDescent="0.2">
      <c r="BJ19266" s="201"/>
    </row>
    <row r="19267" spans="62:62" x14ac:dyDescent="0.2">
      <c r="BJ19267" s="201"/>
    </row>
    <row r="19268" spans="62:62" x14ac:dyDescent="0.2">
      <c r="BJ19268" s="201"/>
    </row>
    <row r="19269" spans="62:62" x14ac:dyDescent="0.2">
      <c r="BJ19269" s="201"/>
    </row>
    <row r="19270" spans="62:62" x14ac:dyDescent="0.2">
      <c r="BJ19270" s="201"/>
    </row>
    <row r="19271" spans="62:62" x14ac:dyDescent="0.2">
      <c r="BJ19271" s="201"/>
    </row>
    <row r="19272" spans="62:62" x14ac:dyDescent="0.2">
      <c r="BJ19272" s="201"/>
    </row>
    <row r="19273" spans="62:62" x14ac:dyDescent="0.2">
      <c r="BJ19273" s="201"/>
    </row>
    <row r="19274" spans="62:62" x14ac:dyDescent="0.2">
      <c r="BJ19274" s="201"/>
    </row>
    <row r="19275" spans="62:62" x14ac:dyDescent="0.2">
      <c r="BJ19275" s="201"/>
    </row>
    <row r="19276" spans="62:62" x14ac:dyDescent="0.2">
      <c r="BJ19276" s="201"/>
    </row>
    <row r="19277" spans="62:62" x14ac:dyDescent="0.2">
      <c r="BJ19277" s="201"/>
    </row>
    <row r="19278" spans="62:62" x14ac:dyDescent="0.2">
      <c r="BJ19278" s="201"/>
    </row>
    <row r="19279" spans="62:62" x14ac:dyDescent="0.2">
      <c r="BJ19279" s="201"/>
    </row>
    <row r="19280" spans="62:62" x14ac:dyDescent="0.2">
      <c r="BJ19280" s="201"/>
    </row>
    <row r="19281" spans="62:62" x14ac:dyDescent="0.2">
      <c r="BJ19281" s="201"/>
    </row>
    <row r="19282" spans="62:62" x14ac:dyDescent="0.2">
      <c r="BJ19282" s="201"/>
    </row>
    <row r="19283" spans="62:62" x14ac:dyDescent="0.2">
      <c r="BJ19283" s="201"/>
    </row>
    <row r="19284" spans="62:62" x14ac:dyDescent="0.2">
      <c r="BJ19284" s="201"/>
    </row>
    <row r="19285" spans="62:62" x14ac:dyDescent="0.2">
      <c r="BJ19285" s="201"/>
    </row>
    <row r="19286" spans="62:62" x14ac:dyDescent="0.2">
      <c r="BJ19286" s="201"/>
    </row>
    <row r="19287" spans="62:62" x14ac:dyDescent="0.2">
      <c r="BJ19287" s="201"/>
    </row>
    <row r="19288" spans="62:62" x14ac:dyDescent="0.2">
      <c r="BJ19288" s="201"/>
    </row>
    <row r="19289" spans="62:62" x14ac:dyDescent="0.2">
      <c r="BJ19289" s="201"/>
    </row>
    <row r="19290" spans="62:62" x14ac:dyDescent="0.2">
      <c r="BJ19290" s="201"/>
    </row>
    <row r="19291" spans="62:62" x14ac:dyDescent="0.2">
      <c r="BJ19291" s="201"/>
    </row>
    <row r="19292" spans="62:62" x14ac:dyDescent="0.2">
      <c r="BJ19292" s="201"/>
    </row>
    <row r="19293" spans="62:62" x14ac:dyDescent="0.2">
      <c r="BJ19293" s="201"/>
    </row>
    <row r="19294" spans="62:62" x14ac:dyDescent="0.2">
      <c r="BJ19294" s="201"/>
    </row>
    <row r="19295" spans="62:62" x14ac:dyDescent="0.2">
      <c r="BJ19295" s="201"/>
    </row>
    <row r="19296" spans="62:62" x14ac:dyDescent="0.2">
      <c r="BJ19296" s="201"/>
    </row>
    <row r="19297" spans="62:62" x14ac:dyDescent="0.2">
      <c r="BJ19297" s="201"/>
    </row>
    <row r="19298" spans="62:62" x14ac:dyDescent="0.2">
      <c r="BJ19298" s="201"/>
    </row>
    <row r="19299" spans="62:62" x14ac:dyDescent="0.2">
      <c r="BJ19299" s="201"/>
    </row>
    <row r="19300" spans="62:62" x14ac:dyDescent="0.2">
      <c r="BJ19300" s="201"/>
    </row>
    <row r="19301" spans="62:62" x14ac:dyDescent="0.2">
      <c r="BJ19301" s="201"/>
    </row>
    <row r="19302" spans="62:62" x14ac:dyDescent="0.2">
      <c r="BJ19302" s="201"/>
    </row>
    <row r="19303" spans="62:62" x14ac:dyDescent="0.2">
      <c r="BJ19303" s="201"/>
    </row>
    <row r="19304" spans="62:62" x14ac:dyDescent="0.2">
      <c r="BJ19304" s="201"/>
    </row>
    <row r="19305" spans="62:62" x14ac:dyDescent="0.2">
      <c r="BJ19305" s="201"/>
    </row>
    <row r="19306" spans="62:62" x14ac:dyDescent="0.2">
      <c r="BJ19306" s="201"/>
    </row>
    <row r="19307" spans="62:62" x14ac:dyDescent="0.2">
      <c r="BJ19307" s="201"/>
    </row>
    <row r="19308" spans="62:62" x14ac:dyDescent="0.2">
      <c r="BJ19308" s="201"/>
    </row>
    <row r="19309" spans="62:62" x14ac:dyDescent="0.2">
      <c r="BJ19309" s="201"/>
    </row>
    <row r="19310" spans="62:62" x14ac:dyDescent="0.2">
      <c r="BJ19310" s="201"/>
    </row>
    <row r="19311" spans="62:62" x14ac:dyDescent="0.2">
      <c r="BJ19311" s="201"/>
    </row>
    <row r="19312" spans="62:62" x14ac:dyDescent="0.2">
      <c r="BJ19312" s="201"/>
    </row>
    <row r="19313" spans="62:62" x14ac:dyDescent="0.2">
      <c r="BJ19313" s="201"/>
    </row>
    <row r="19314" spans="62:62" x14ac:dyDescent="0.2">
      <c r="BJ19314" s="201"/>
    </row>
    <row r="19315" spans="62:62" x14ac:dyDescent="0.2">
      <c r="BJ19315" s="201"/>
    </row>
    <row r="19316" spans="62:62" x14ac:dyDescent="0.2">
      <c r="BJ19316" s="201"/>
    </row>
    <row r="19317" spans="62:62" x14ac:dyDescent="0.2">
      <c r="BJ19317" s="201"/>
    </row>
    <row r="19318" spans="62:62" x14ac:dyDescent="0.2">
      <c r="BJ19318" s="201"/>
    </row>
    <row r="19319" spans="62:62" x14ac:dyDescent="0.2">
      <c r="BJ19319" s="201"/>
    </row>
    <row r="19320" spans="62:62" x14ac:dyDescent="0.2">
      <c r="BJ19320" s="201"/>
    </row>
    <row r="19321" spans="62:62" x14ac:dyDescent="0.2">
      <c r="BJ19321" s="201"/>
    </row>
    <row r="19322" spans="62:62" x14ac:dyDescent="0.2">
      <c r="BJ19322" s="201"/>
    </row>
    <row r="19323" spans="62:62" x14ac:dyDescent="0.2">
      <c r="BJ19323" s="201"/>
    </row>
    <row r="19324" spans="62:62" x14ac:dyDescent="0.2">
      <c r="BJ19324" s="201"/>
    </row>
    <row r="19325" spans="62:62" x14ac:dyDescent="0.2">
      <c r="BJ19325" s="201"/>
    </row>
    <row r="19326" spans="62:62" x14ac:dyDescent="0.2">
      <c r="BJ19326" s="201"/>
    </row>
    <row r="19327" spans="62:62" x14ac:dyDescent="0.2">
      <c r="BJ19327" s="201"/>
    </row>
    <row r="19328" spans="62:62" x14ac:dyDescent="0.2">
      <c r="BJ19328" s="201"/>
    </row>
    <row r="19329" spans="62:62" x14ac:dyDescent="0.2">
      <c r="BJ19329" s="201"/>
    </row>
    <row r="19330" spans="62:62" x14ac:dyDescent="0.2">
      <c r="BJ19330" s="201"/>
    </row>
    <row r="19331" spans="62:62" x14ac:dyDescent="0.2">
      <c r="BJ19331" s="201"/>
    </row>
    <row r="19332" spans="62:62" x14ac:dyDescent="0.2">
      <c r="BJ19332" s="201"/>
    </row>
    <row r="19333" spans="62:62" x14ac:dyDescent="0.2">
      <c r="BJ19333" s="201"/>
    </row>
    <row r="19334" spans="62:62" x14ac:dyDescent="0.2">
      <c r="BJ19334" s="201"/>
    </row>
    <row r="19335" spans="62:62" x14ac:dyDescent="0.2">
      <c r="BJ19335" s="201"/>
    </row>
    <row r="19336" spans="62:62" x14ac:dyDescent="0.2">
      <c r="BJ19336" s="201"/>
    </row>
    <row r="19337" spans="62:62" x14ac:dyDescent="0.2">
      <c r="BJ19337" s="201"/>
    </row>
    <row r="19338" spans="62:62" x14ac:dyDescent="0.2">
      <c r="BJ19338" s="201"/>
    </row>
    <row r="19339" spans="62:62" x14ac:dyDescent="0.2">
      <c r="BJ19339" s="201"/>
    </row>
    <row r="19340" spans="62:62" x14ac:dyDescent="0.2">
      <c r="BJ19340" s="201"/>
    </row>
    <row r="19341" spans="62:62" x14ac:dyDescent="0.2">
      <c r="BJ19341" s="201"/>
    </row>
    <row r="19342" spans="62:62" x14ac:dyDescent="0.2">
      <c r="BJ19342" s="201"/>
    </row>
    <row r="19343" spans="62:62" x14ac:dyDescent="0.2">
      <c r="BJ19343" s="201"/>
    </row>
    <row r="19344" spans="62:62" x14ac:dyDescent="0.2">
      <c r="BJ19344" s="201"/>
    </row>
    <row r="19345" spans="62:62" x14ac:dyDescent="0.2">
      <c r="BJ19345" s="201"/>
    </row>
    <row r="19346" spans="62:62" x14ac:dyDescent="0.2">
      <c r="BJ19346" s="201"/>
    </row>
    <row r="19347" spans="62:62" x14ac:dyDescent="0.2">
      <c r="BJ19347" s="201"/>
    </row>
    <row r="19348" spans="62:62" x14ac:dyDescent="0.2">
      <c r="BJ19348" s="201"/>
    </row>
    <row r="19349" spans="62:62" x14ac:dyDescent="0.2">
      <c r="BJ19349" s="201"/>
    </row>
    <row r="19350" spans="62:62" x14ac:dyDescent="0.2">
      <c r="BJ19350" s="201"/>
    </row>
    <row r="19351" spans="62:62" x14ac:dyDescent="0.2">
      <c r="BJ19351" s="201"/>
    </row>
    <row r="19352" spans="62:62" x14ac:dyDescent="0.2">
      <c r="BJ19352" s="201"/>
    </row>
    <row r="19353" spans="62:62" x14ac:dyDescent="0.2">
      <c r="BJ19353" s="201"/>
    </row>
    <row r="19354" spans="62:62" x14ac:dyDescent="0.2">
      <c r="BJ19354" s="201"/>
    </row>
    <row r="19355" spans="62:62" x14ac:dyDescent="0.2">
      <c r="BJ19355" s="201"/>
    </row>
    <row r="19356" spans="62:62" x14ac:dyDescent="0.2">
      <c r="BJ19356" s="201"/>
    </row>
    <row r="19357" spans="62:62" x14ac:dyDescent="0.2">
      <c r="BJ19357" s="201"/>
    </row>
    <row r="19358" spans="62:62" x14ac:dyDescent="0.2">
      <c r="BJ19358" s="201"/>
    </row>
    <row r="19359" spans="62:62" x14ac:dyDescent="0.2">
      <c r="BJ19359" s="201"/>
    </row>
    <row r="19360" spans="62:62" x14ac:dyDescent="0.2">
      <c r="BJ19360" s="201"/>
    </row>
    <row r="19361" spans="62:62" x14ac:dyDescent="0.2">
      <c r="BJ19361" s="201"/>
    </row>
    <row r="19362" spans="62:62" x14ac:dyDescent="0.2">
      <c r="BJ19362" s="201"/>
    </row>
    <row r="19363" spans="62:62" x14ac:dyDescent="0.2">
      <c r="BJ19363" s="201"/>
    </row>
    <row r="19364" spans="62:62" x14ac:dyDescent="0.2">
      <c r="BJ19364" s="201"/>
    </row>
    <row r="19365" spans="62:62" x14ac:dyDescent="0.2">
      <c r="BJ19365" s="201"/>
    </row>
    <row r="19366" spans="62:62" x14ac:dyDescent="0.2">
      <c r="BJ19366" s="201"/>
    </row>
    <row r="19367" spans="62:62" x14ac:dyDescent="0.2">
      <c r="BJ19367" s="201"/>
    </row>
    <row r="19368" spans="62:62" x14ac:dyDescent="0.2">
      <c r="BJ19368" s="201"/>
    </row>
    <row r="19369" spans="62:62" x14ac:dyDescent="0.2">
      <c r="BJ19369" s="201"/>
    </row>
    <row r="19370" spans="62:62" x14ac:dyDescent="0.2">
      <c r="BJ19370" s="201"/>
    </row>
    <row r="19371" spans="62:62" x14ac:dyDescent="0.2">
      <c r="BJ19371" s="201"/>
    </row>
    <row r="19372" spans="62:62" x14ac:dyDescent="0.2">
      <c r="BJ19372" s="201"/>
    </row>
    <row r="19373" spans="62:62" x14ac:dyDescent="0.2">
      <c r="BJ19373" s="201"/>
    </row>
    <row r="19374" spans="62:62" x14ac:dyDescent="0.2">
      <c r="BJ19374" s="201"/>
    </row>
    <row r="19375" spans="62:62" x14ac:dyDescent="0.2">
      <c r="BJ19375" s="201"/>
    </row>
    <row r="19376" spans="62:62" x14ac:dyDescent="0.2">
      <c r="BJ19376" s="201"/>
    </row>
    <row r="19377" spans="62:62" x14ac:dyDescent="0.2">
      <c r="BJ19377" s="201"/>
    </row>
    <row r="19378" spans="62:62" x14ac:dyDescent="0.2">
      <c r="BJ19378" s="201"/>
    </row>
    <row r="19379" spans="62:62" x14ac:dyDescent="0.2">
      <c r="BJ19379" s="201"/>
    </row>
    <row r="19380" spans="62:62" x14ac:dyDescent="0.2">
      <c r="BJ19380" s="201"/>
    </row>
    <row r="19381" spans="62:62" x14ac:dyDescent="0.2">
      <c r="BJ19381" s="201"/>
    </row>
    <row r="19382" spans="62:62" x14ac:dyDescent="0.2">
      <c r="BJ19382" s="201"/>
    </row>
    <row r="19383" spans="62:62" x14ac:dyDescent="0.2">
      <c r="BJ19383" s="201"/>
    </row>
    <row r="19384" spans="62:62" x14ac:dyDescent="0.2">
      <c r="BJ19384" s="201"/>
    </row>
    <row r="19385" spans="62:62" x14ac:dyDescent="0.2">
      <c r="BJ19385" s="201"/>
    </row>
    <row r="19386" spans="62:62" x14ac:dyDescent="0.2">
      <c r="BJ19386" s="201"/>
    </row>
    <row r="19387" spans="62:62" x14ac:dyDescent="0.2">
      <c r="BJ19387" s="201"/>
    </row>
    <row r="19388" spans="62:62" x14ac:dyDescent="0.2">
      <c r="BJ19388" s="201"/>
    </row>
    <row r="19389" spans="62:62" x14ac:dyDescent="0.2">
      <c r="BJ19389" s="201"/>
    </row>
    <row r="19390" spans="62:62" x14ac:dyDescent="0.2">
      <c r="BJ19390" s="201"/>
    </row>
    <row r="19391" spans="62:62" x14ac:dyDescent="0.2">
      <c r="BJ19391" s="201"/>
    </row>
    <row r="19392" spans="62:62" x14ac:dyDescent="0.2">
      <c r="BJ19392" s="201"/>
    </row>
    <row r="19393" spans="62:62" x14ac:dyDescent="0.2">
      <c r="BJ19393" s="201"/>
    </row>
    <row r="19394" spans="62:62" x14ac:dyDescent="0.2">
      <c r="BJ19394" s="201"/>
    </row>
    <row r="19395" spans="62:62" x14ac:dyDescent="0.2">
      <c r="BJ19395" s="201"/>
    </row>
    <row r="19396" spans="62:62" x14ac:dyDescent="0.2">
      <c r="BJ19396" s="201"/>
    </row>
    <row r="19397" spans="62:62" x14ac:dyDescent="0.2">
      <c r="BJ19397" s="201"/>
    </row>
    <row r="19398" spans="62:62" x14ac:dyDescent="0.2">
      <c r="BJ19398" s="201"/>
    </row>
    <row r="19399" spans="62:62" x14ac:dyDescent="0.2">
      <c r="BJ19399" s="201"/>
    </row>
    <row r="19400" spans="62:62" x14ac:dyDescent="0.2">
      <c r="BJ19400" s="201"/>
    </row>
    <row r="19401" spans="62:62" x14ac:dyDescent="0.2">
      <c r="BJ19401" s="201"/>
    </row>
    <row r="19402" spans="62:62" x14ac:dyDescent="0.2">
      <c r="BJ19402" s="201"/>
    </row>
    <row r="19403" spans="62:62" x14ac:dyDescent="0.2">
      <c r="BJ19403" s="201"/>
    </row>
    <row r="19404" spans="62:62" x14ac:dyDescent="0.2">
      <c r="BJ19404" s="201"/>
    </row>
    <row r="19405" spans="62:62" x14ac:dyDescent="0.2">
      <c r="BJ19405" s="201"/>
    </row>
    <row r="19406" spans="62:62" x14ac:dyDescent="0.2">
      <c r="BJ19406" s="201"/>
    </row>
    <row r="19407" spans="62:62" x14ac:dyDescent="0.2">
      <c r="BJ19407" s="201"/>
    </row>
    <row r="19408" spans="62:62" x14ac:dyDescent="0.2">
      <c r="BJ19408" s="201"/>
    </row>
    <row r="19409" spans="62:62" x14ac:dyDescent="0.2">
      <c r="BJ19409" s="201"/>
    </row>
    <row r="19410" spans="62:62" x14ac:dyDescent="0.2">
      <c r="BJ19410" s="201"/>
    </row>
    <row r="19411" spans="62:62" x14ac:dyDescent="0.2">
      <c r="BJ19411" s="201"/>
    </row>
    <row r="19412" spans="62:62" x14ac:dyDescent="0.2">
      <c r="BJ19412" s="201"/>
    </row>
    <row r="19413" spans="62:62" x14ac:dyDescent="0.2">
      <c r="BJ19413" s="201"/>
    </row>
    <row r="19414" spans="62:62" x14ac:dyDescent="0.2">
      <c r="BJ19414" s="201"/>
    </row>
    <row r="19415" spans="62:62" x14ac:dyDescent="0.2">
      <c r="BJ19415" s="201"/>
    </row>
    <row r="19416" spans="62:62" x14ac:dyDescent="0.2">
      <c r="BJ19416" s="201"/>
    </row>
    <row r="19417" spans="62:62" x14ac:dyDescent="0.2">
      <c r="BJ19417" s="201"/>
    </row>
    <row r="19418" spans="62:62" x14ac:dyDescent="0.2">
      <c r="BJ19418" s="201"/>
    </row>
    <row r="19419" spans="62:62" x14ac:dyDescent="0.2">
      <c r="BJ19419" s="201"/>
    </row>
    <row r="19420" spans="62:62" x14ac:dyDescent="0.2">
      <c r="BJ19420" s="201"/>
    </row>
    <row r="19421" spans="62:62" x14ac:dyDescent="0.2">
      <c r="BJ19421" s="201"/>
    </row>
    <row r="19422" spans="62:62" x14ac:dyDescent="0.2">
      <c r="BJ19422" s="201"/>
    </row>
    <row r="19423" spans="62:62" x14ac:dyDescent="0.2">
      <c r="BJ19423" s="201"/>
    </row>
    <row r="19424" spans="62:62" x14ac:dyDescent="0.2">
      <c r="BJ19424" s="201"/>
    </row>
    <row r="19425" spans="62:62" x14ac:dyDescent="0.2">
      <c r="BJ19425" s="201"/>
    </row>
    <row r="19426" spans="62:62" x14ac:dyDescent="0.2">
      <c r="BJ19426" s="201"/>
    </row>
    <row r="19427" spans="62:62" x14ac:dyDescent="0.2">
      <c r="BJ19427" s="201"/>
    </row>
    <row r="19428" spans="62:62" x14ac:dyDescent="0.2">
      <c r="BJ19428" s="201"/>
    </row>
    <row r="19429" spans="62:62" x14ac:dyDescent="0.2">
      <c r="BJ19429" s="201"/>
    </row>
    <row r="19430" spans="62:62" x14ac:dyDescent="0.2">
      <c r="BJ19430" s="201"/>
    </row>
    <row r="19431" spans="62:62" x14ac:dyDescent="0.2">
      <c r="BJ19431" s="201"/>
    </row>
    <row r="19432" spans="62:62" x14ac:dyDescent="0.2">
      <c r="BJ19432" s="201"/>
    </row>
    <row r="19433" spans="62:62" x14ac:dyDescent="0.2">
      <c r="BJ19433" s="201"/>
    </row>
    <row r="19434" spans="62:62" x14ac:dyDescent="0.2">
      <c r="BJ19434" s="201"/>
    </row>
    <row r="19435" spans="62:62" x14ac:dyDescent="0.2">
      <c r="BJ19435" s="201"/>
    </row>
    <row r="19436" spans="62:62" x14ac:dyDescent="0.2">
      <c r="BJ19436" s="201"/>
    </row>
    <row r="19437" spans="62:62" x14ac:dyDescent="0.2">
      <c r="BJ19437" s="201"/>
    </row>
    <row r="19438" spans="62:62" x14ac:dyDescent="0.2">
      <c r="BJ19438" s="201"/>
    </row>
    <row r="19439" spans="62:62" x14ac:dyDescent="0.2">
      <c r="BJ19439" s="201"/>
    </row>
    <row r="19440" spans="62:62" x14ac:dyDescent="0.2">
      <c r="BJ19440" s="201"/>
    </row>
    <row r="19441" spans="62:62" x14ac:dyDescent="0.2">
      <c r="BJ19441" s="201"/>
    </row>
    <row r="19442" spans="62:62" x14ac:dyDescent="0.2">
      <c r="BJ19442" s="201"/>
    </row>
    <row r="19443" spans="62:62" x14ac:dyDescent="0.2">
      <c r="BJ19443" s="201"/>
    </row>
    <row r="19444" spans="62:62" x14ac:dyDescent="0.2">
      <c r="BJ19444" s="201"/>
    </row>
    <row r="19445" spans="62:62" x14ac:dyDescent="0.2">
      <c r="BJ19445" s="201"/>
    </row>
    <row r="19446" spans="62:62" x14ac:dyDescent="0.2">
      <c r="BJ19446" s="201"/>
    </row>
    <row r="19447" spans="62:62" x14ac:dyDescent="0.2">
      <c r="BJ19447" s="201"/>
    </row>
    <row r="19448" spans="62:62" x14ac:dyDescent="0.2">
      <c r="BJ19448" s="201"/>
    </row>
    <row r="19449" spans="62:62" x14ac:dyDescent="0.2">
      <c r="BJ19449" s="201"/>
    </row>
    <row r="19450" spans="62:62" x14ac:dyDescent="0.2">
      <c r="BJ19450" s="201"/>
    </row>
    <row r="19451" spans="62:62" x14ac:dyDescent="0.2">
      <c r="BJ19451" s="201"/>
    </row>
    <row r="19452" spans="62:62" x14ac:dyDescent="0.2">
      <c r="BJ19452" s="201"/>
    </row>
    <row r="19453" spans="62:62" x14ac:dyDescent="0.2">
      <c r="BJ19453" s="201"/>
    </row>
    <row r="19454" spans="62:62" x14ac:dyDescent="0.2">
      <c r="BJ19454" s="201"/>
    </row>
    <row r="19455" spans="62:62" x14ac:dyDescent="0.2">
      <c r="BJ19455" s="201"/>
    </row>
    <row r="19456" spans="62:62" x14ac:dyDescent="0.2">
      <c r="BJ19456" s="201"/>
    </row>
    <row r="19457" spans="62:62" x14ac:dyDescent="0.2">
      <c r="BJ19457" s="201"/>
    </row>
    <row r="19458" spans="62:62" x14ac:dyDescent="0.2">
      <c r="BJ19458" s="201"/>
    </row>
    <row r="19459" spans="62:62" x14ac:dyDescent="0.2">
      <c r="BJ19459" s="201"/>
    </row>
    <row r="19460" spans="62:62" x14ac:dyDescent="0.2">
      <c r="BJ19460" s="201"/>
    </row>
    <row r="19461" spans="62:62" x14ac:dyDescent="0.2">
      <c r="BJ19461" s="201"/>
    </row>
    <row r="19462" spans="62:62" x14ac:dyDescent="0.2">
      <c r="BJ19462" s="201"/>
    </row>
    <row r="19463" spans="62:62" x14ac:dyDescent="0.2">
      <c r="BJ19463" s="201"/>
    </row>
    <row r="19464" spans="62:62" x14ac:dyDescent="0.2">
      <c r="BJ19464" s="201"/>
    </row>
    <row r="19465" spans="62:62" x14ac:dyDescent="0.2">
      <c r="BJ19465" s="201"/>
    </row>
    <row r="19466" spans="62:62" x14ac:dyDescent="0.2">
      <c r="BJ19466" s="201"/>
    </row>
    <row r="19467" spans="62:62" x14ac:dyDescent="0.2">
      <c r="BJ19467" s="201"/>
    </row>
    <row r="19468" spans="62:62" x14ac:dyDescent="0.2">
      <c r="BJ19468" s="201"/>
    </row>
    <row r="19469" spans="62:62" x14ac:dyDescent="0.2">
      <c r="BJ19469" s="201"/>
    </row>
    <row r="19470" spans="62:62" x14ac:dyDescent="0.2">
      <c r="BJ19470" s="201"/>
    </row>
    <row r="19471" spans="62:62" x14ac:dyDescent="0.2">
      <c r="BJ19471" s="201"/>
    </row>
    <row r="19472" spans="62:62" x14ac:dyDescent="0.2">
      <c r="BJ19472" s="201"/>
    </row>
    <row r="19473" spans="62:62" x14ac:dyDescent="0.2">
      <c r="BJ19473" s="201"/>
    </row>
    <row r="19474" spans="62:62" x14ac:dyDescent="0.2">
      <c r="BJ19474" s="201"/>
    </row>
    <row r="19475" spans="62:62" x14ac:dyDescent="0.2">
      <c r="BJ19475" s="201"/>
    </row>
    <row r="19476" spans="62:62" x14ac:dyDescent="0.2">
      <c r="BJ19476" s="201"/>
    </row>
    <row r="19477" spans="62:62" x14ac:dyDescent="0.2">
      <c r="BJ19477" s="201"/>
    </row>
    <row r="19478" spans="62:62" x14ac:dyDescent="0.2">
      <c r="BJ19478" s="201"/>
    </row>
    <row r="19479" spans="62:62" x14ac:dyDescent="0.2">
      <c r="BJ19479" s="201"/>
    </row>
    <row r="19480" spans="62:62" x14ac:dyDescent="0.2">
      <c r="BJ19480" s="201"/>
    </row>
    <row r="19481" spans="62:62" x14ac:dyDescent="0.2">
      <c r="BJ19481" s="201"/>
    </row>
    <row r="19482" spans="62:62" x14ac:dyDescent="0.2">
      <c r="BJ19482" s="201"/>
    </row>
    <row r="19483" spans="62:62" x14ac:dyDescent="0.2">
      <c r="BJ19483" s="201"/>
    </row>
    <row r="19484" spans="62:62" x14ac:dyDescent="0.2">
      <c r="BJ19484" s="201"/>
    </row>
    <row r="19485" spans="62:62" x14ac:dyDescent="0.2">
      <c r="BJ19485" s="201"/>
    </row>
    <row r="19486" spans="62:62" x14ac:dyDescent="0.2">
      <c r="BJ19486" s="201"/>
    </row>
    <row r="19487" spans="62:62" x14ac:dyDescent="0.2">
      <c r="BJ19487" s="201"/>
    </row>
    <row r="19488" spans="62:62" x14ac:dyDescent="0.2">
      <c r="BJ19488" s="201"/>
    </row>
    <row r="19489" spans="62:62" x14ac:dyDescent="0.2">
      <c r="BJ19489" s="201"/>
    </row>
    <row r="19490" spans="62:62" x14ac:dyDescent="0.2">
      <c r="BJ19490" s="201"/>
    </row>
    <row r="19491" spans="62:62" x14ac:dyDescent="0.2">
      <c r="BJ19491" s="201"/>
    </row>
    <row r="19492" spans="62:62" x14ac:dyDescent="0.2">
      <c r="BJ19492" s="201"/>
    </row>
    <row r="19493" spans="62:62" x14ac:dyDescent="0.2">
      <c r="BJ19493" s="201"/>
    </row>
    <row r="19494" spans="62:62" x14ac:dyDescent="0.2">
      <c r="BJ19494" s="201"/>
    </row>
    <row r="19495" spans="62:62" x14ac:dyDescent="0.2">
      <c r="BJ19495" s="201"/>
    </row>
    <row r="19496" spans="62:62" x14ac:dyDescent="0.2">
      <c r="BJ19496" s="201"/>
    </row>
    <row r="19497" spans="62:62" x14ac:dyDescent="0.2">
      <c r="BJ19497" s="201"/>
    </row>
    <row r="19498" spans="62:62" x14ac:dyDescent="0.2">
      <c r="BJ19498" s="201"/>
    </row>
    <row r="19499" spans="62:62" x14ac:dyDescent="0.2">
      <c r="BJ19499" s="201"/>
    </row>
    <row r="19500" spans="62:62" x14ac:dyDescent="0.2">
      <c r="BJ19500" s="201"/>
    </row>
    <row r="19501" spans="62:62" x14ac:dyDescent="0.2">
      <c r="BJ19501" s="201"/>
    </row>
    <row r="19502" spans="62:62" x14ac:dyDescent="0.2">
      <c r="BJ19502" s="201"/>
    </row>
    <row r="19503" spans="62:62" x14ac:dyDescent="0.2">
      <c r="BJ19503" s="201"/>
    </row>
    <row r="19504" spans="62:62" x14ac:dyDescent="0.2">
      <c r="BJ19504" s="201"/>
    </row>
    <row r="19505" spans="62:62" x14ac:dyDescent="0.2">
      <c r="BJ19505" s="201"/>
    </row>
    <row r="19506" spans="62:62" x14ac:dyDescent="0.2">
      <c r="BJ19506" s="201"/>
    </row>
    <row r="19507" spans="62:62" x14ac:dyDescent="0.2">
      <c r="BJ19507" s="201"/>
    </row>
    <row r="19508" spans="62:62" x14ac:dyDescent="0.2">
      <c r="BJ19508" s="201"/>
    </row>
    <row r="19509" spans="62:62" x14ac:dyDescent="0.2">
      <c r="BJ19509" s="201"/>
    </row>
    <row r="19510" spans="62:62" x14ac:dyDescent="0.2">
      <c r="BJ19510" s="201"/>
    </row>
    <row r="19511" spans="62:62" x14ac:dyDescent="0.2">
      <c r="BJ19511" s="201"/>
    </row>
    <row r="19512" spans="62:62" x14ac:dyDescent="0.2">
      <c r="BJ19512" s="201"/>
    </row>
    <row r="19513" spans="62:62" x14ac:dyDescent="0.2">
      <c r="BJ19513" s="201"/>
    </row>
    <row r="19514" spans="62:62" x14ac:dyDescent="0.2">
      <c r="BJ19514" s="201"/>
    </row>
    <row r="19515" spans="62:62" x14ac:dyDescent="0.2">
      <c r="BJ19515" s="201"/>
    </row>
    <row r="19516" spans="62:62" x14ac:dyDescent="0.2">
      <c r="BJ19516" s="201"/>
    </row>
    <row r="19517" spans="62:62" x14ac:dyDescent="0.2">
      <c r="BJ19517" s="201"/>
    </row>
    <row r="19518" spans="62:62" x14ac:dyDescent="0.2">
      <c r="BJ19518" s="201"/>
    </row>
    <row r="19519" spans="62:62" x14ac:dyDescent="0.2">
      <c r="BJ19519" s="201"/>
    </row>
    <row r="19520" spans="62:62" x14ac:dyDescent="0.2">
      <c r="BJ19520" s="201"/>
    </row>
    <row r="19521" spans="62:62" x14ac:dyDescent="0.2">
      <c r="BJ19521" s="201"/>
    </row>
    <row r="19522" spans="62:62" x14ac:dyDescent="0.2">
      <c r="BJ19522" s="201"/>
    </row>
    <row r="19523" spans="62:62" x14ac:dyDescent="0.2">
      <c r="BJ19523" s="201"/>
    </row>
    <row r="19524" spans="62:62" x14ac:dyDescent="0.2">
      <c r="BJ19524" s="201"/>
    </row>
    <row r="19525" spans="62:62" x14ac:dyDescent="0.2">
      <c r="BJ19525" s="201"/>
    </row>
    <row r="19526" spans="62:62" x14ac:dyDescent="0.2">
      <c r="BJ19526" s="201"/>
    </row>
    <row r="19527" spans="62:62" x14ac:dyDescent="0.2">
      <c r="BJ19527" s="201"/>
    </row>
    <row r="19528" spans="62:62" x14ac:dyDescent="0.2">
      <c r="BJ19528" s="201"/>
    </row>
    <row r="19529" spans="62:62" x14ac:dyDescent="0.2">
      <c r="BJ19529" s="201"/>
    </row>
    <row r="19530" spans="62:62" x14ac:dyDescent="0.2">
      <c r="BJ19530" s="201"/>
    </row>
    <row r="19531" spans="62:62" x14ac:dyDescent="0.2">
      <c r="BJ19531" s="201"/>
    </row>
    <row r="19532" spans="62:62" x14ac:dyDescent="0.2">
      <c r="BJ19532" s="201"/>
    </row>
    <row r="19533" spans="62:62" x14ac:dyDescent="0.2">
      <c r="BJ19533" s="201"/>
    </row>
    <row r="19534" spans="62:62" x14ac:dyDescent="0.2">
      <c r="BJ19534" s="201"/>
    </row>
    <row r="19535" spans="62:62" x14ac:dyDescent="0.2">
      <c r="BJ19535" s="201"/>
    </row>
    <row r="19536" spans="62:62" x14ac:dyDescent="0.2">
      <c r="BJ19536" s="201"/>
    </row>
    <row r="19537" spans="62:62" x14ac:dyDescent="0.2">
      <c r="BJ19537" s="201"/>
    </row>
    <row r="19538" spans="62:62" x14ac:dyDescent="0.2">
      <c r="BJ19538" s="201"/>
    </row>
    <row r="19539" spans="62:62" x14ac:dyDescent="0.2">
      <c r="BJ19539" s="201"/>
    </row>
    <row r="19540" spans="62:62" x14ac:dyDescent="0.2">
      <c r="BJ19540" s="201"/>
    </row>
    <row r="19541" spans="62:62" x14ac:dyDescent="0.2">
      <c r="BJ19541" s="201"/>
    </row>
    <row r="19542" spans="62:62" x14ac:dyDescent="0.2">
      <c r="BJ19542" s="201"/>
    </row>
    <row r="19543" spans="62:62" x14ac:dyDescent="0.2">
      <c r="BJ19543" s="201"/>
    </row>
    <row r="19544" spans="62:62" x14ac:dyDescent="0.2">
      <c r="BJ19544" s="201"/>
    </row>
    <row r="19545" spans="62:62" x14ac:dyDescent="0.2">
      <c r="BJ19545" s="201"/>
    </row>
    <row r="19546" spans="62:62" x14ac:dyDescent="0.2">
      <c r="BJ19546" s="201"/>
    </row>
    <row r="19547" spans="62:62" x14ac:dyDescent="0.2">
      <c r="BJ19547" s="201"/>
    </row>
    <row r="19548" spans="62:62" x14ac:dyDescent="0.2">
      <c r="BJ19548" s="201"/>
    </row>
    <row r="19549" spans="62:62" x14ac:dyDescent="0.2">
      <c r="BJ19549" s="201"/>
    </row>
    <row r="19550" spans="62:62" x14ac:dyDescent="0.2">
      <c r="BJ19550" s="201"/>
    </row>
    <row r="19551" spans="62:62" x14ac:dyDescent="0.2">
      <c r="BJ19551" s="201"/>
    </row>
    <row r="19552" spans="62:62" x14ac:dyDescent="0.2">
      <c r="BJ19552" s="201"/>
    </row>
    <row r="19553" spans="62:62" x14ac:dyDescent="0.2">
      <c r="BJ19553" s="201"/>
    </row>
    <row r="19554" spans="62:62" x14ac:dyDescent="0.2">
      <c r="BJ19554" s="201"/>
    </row>
    <row r="19555" spans="62:62" x14ac:dyDescent="0.2">
      <c r="BJ19555" s="201"/>
    </row>
    <row r="19556" spans="62:62" x14ac:dyDescent="0.2">
      <c r="BJ19556" s="201"/>
    </row>
    <row r="19557" spans="62:62" x14ac:dyDescent="0.2">
      <c r="BJ19557" s="201"/>
    </row>
    <row r="19558" spans="62:62" x14ac:dyDescent="0.2">
      <c r="BJ19558" s="201"/>
    </row>
    <row r="19559" spans="62:62" x14ac:dyDescent="0.2">
      <c r="BJ19559" s="201"/>
    </row>
    <row r="19560" spans="62:62" x14ac:dyDescent="0.2">
      <c r="BJ19560" s="201"/>
    </row>
    <row r="19561" spans="62:62" x14ac:dyDescent="0.2">
      <c r="BJ19561" s="201"/>
    </row>
    <row r="19562" spans="62:62" x14ac:dyDescent="0.2">
      <c r="BJ19562" s="201"/>
    </row>
    <row r="19563" spans="62:62" x14ac:dyDescent="0.2">
      <c r="BJ19563" s="201"/>
    </row>
    <row r="19564" spans="62:62" x14ac:dyDescent="0.2">
      <c r="BJ19564" s="201"/>
    </row>
    <row r="19565" spans="62:62" x14ac:dyDescent="0.2">
      <c r="BJ19565" s="201"/>
    </row>
    <row r="19566" spans="62:62" x14ac:dyDescent="0.2">
      <c r="BJ19566" s="201"/>
    </row>
    <row r="19567" spans="62:62" x14ac:dyDescent="0.2">
      <c r="BJ19567" s="201"/>
    </row>
    <row r="19568" spans="62:62" x14ac:dyDescent="0.2">
      <c r="BJ19568" s="201"/>
    </row>
    <row r="19569" spans="62:62" x14ac:dyDescent="0.2">
      <c r="BJ19569" s="201"/>
    </row>
    <row r="19570" spans="62:62" x14ac:dyDescent="0.2">
      <c r="BJ19570" s="201"/>
    </row>
    <row r="19571" spans="62:62" x14ac:dyDescent="0.2">
      <c r="BJ19571" s="201"/>
    </row>
    <row r="19572" spans="62:62" x14ac:dyDescent="0.2">
      <c r="BJ19572" s="201"/>
    </row>
    <row r="19573" spans="62:62" x14ac:dyDescent="0.2">
      <c r="BJ19573" s="201"/>
    </row>
    <row r="19574" spans="62:62" x14ac:dyDescent="0.2">
      <c r="BJ19574" s="201"/>
    </row>
    <row r="19575" spans="62:62" x14ac:dyDescent="0.2">
      <c r="BJ19575" s="201"/>
    </row>
    <row r="19576" spans="62:62" x14ac:dyDescent="0.2">
      <c r="BJ19576" s="201"/>
    </row>
    <row r="19577" spans="62:62" x14ac:dyDescent="0.2">
      <c r="BJ19577" s="201"/>
    </row>
    <row r="19578" spans="62:62" x14ac:dyDescent="0.2">
      <c r="BJ19578" s="201"/>
    </row>
    <row r="19579" spans="62:62" x14ac:dyDescent="0.2">
      <c r="BJ19579" s="201"/>
    </row>
    <row r="19580" spans="62:62" x14ac:dyDescent="0.2">
      <c r="BJ19580" s="201"/>
    </row>
    <row r="19581" spans="62:62" x14ac:dyDescent="0.2">
      <c r="BJ19581" s="201"/>
    </row>
    <row r="19582" spans="62:62" x14ac:dyDescent="0.2">
      <c r="BJ19582" s="201"/>
    </row>
    <row r="19583" spans="62:62" x14ac:dyDescent="0.2">
      <c r="BJ19583" s="201"/>
    </row>
    <row r="19584" spans="62:62" x14ac:dyDescent="0.2">
      <c r="BJ19584" s="201"/>
    </row>
    <row r="19585" spans="62:62" x14ac:dyDescent="0.2">
      <c r="BJ19585" s="201"/>
    </row>
    <row r="19586" spans="62:62" x14ac:dyDescent="0.2">
      <c r="BJ19586" s="201"/>
    </row>
    <row r="19587" spans="62:62" x14ac:dyDescent="0.2">
      <c r="BJ19587" s="201"/>
    </row>
    <row r="19588" spans="62:62" x14ac:dyDescent="0.2">
      <c r="BJ19588" s="201"/>
    </row>
    <row r="19589" spans="62:62" x14ac:dyDescent="0.2">
      <c r="BJ19589" s="201"/>
    </row>
    <row r="19590" spans="62:62" x14ac:dyDescent="0.2">
      <c r="BJ19590" s="201"/>
    </row>
    <row r="19591" spans="62:62" x14ac:dyDescent="0.2">
      <c r="BJ19591" s="201"/>
    </row>
    <row r="19592" spans="62:62" x14ac:dyDescent="0.2">
      <c r="BJ19592" s="201"/>
    </row>
    <row r="19593" spans="62:62" x14ac:dyDescent="0.2">
      <c r="BJ19593" s="201"/>
    </row>
    <row r="19594" spans="62:62" x14ac:dyDescent="0.2">
      <c r="BJ19594" s="201"/>
    </row>
    <row r="19595" spans="62:62" x14ac:dyDescent="0.2">
      <c r="BJ19595" s="201"/>
    </row>
    <row r="19596" spans="62:62" x14ac:dyDescent="0.2">
      <c r="BJ19596" s="201"/>
    </row>
    <row r="19597" spans="62:62" x14ac:dyDescent="0.2">
      <c r="BJ19597" s="201"/>
    </row>
    <row r="19598" spans="62:62" x14ac:dyDescent="0.2">
      <c r="BJ19598" s="201"/>
    </row>
    <row r="19599" spans="62:62" x14ac:dyDescent="0.2">
      <c r="BJ19599" s="201"/>
    </row>
    <row r="19600" spans="62:62" x14ac:dyDescent="0.2">
      <c r="BJ19600" s="201"/>
    </row>
    <row r="19601" spans="62:62" x14ac:dyDescent="0.2">
      <c r="BJ19601" s="201"/>
    </row>
    <row r="19602" spans="62:62" x14ac:dyDescent="0.2">
      <c r="BJ19602" s="201"/>
    </row>
    <row r="19603" spans="62:62" x14ac:dyDescent="0.2">
      <c r="BJ19603" s="201"/>
    </row>
    <row r="19604" spans="62:62" x14ac:dyDescent="0.2">
      <c r="BJ19604" s="201"/>
    </row>
    <row r="19605" spans="62:62" x14ac:dyDescent="0.2">
      <c r="BJ19605" s="201"/>
    </row>
    <row r="19606" spans="62:62" x14ac:dyDescent="0.2">
      <c r="BJ19606" s="201"/>
    </row>
    <row r="19607" spans="62:62" x14ac:dyDescent="0.2">
      <c r="BJ19607" s="201"/>
    </row>
    <row r="19608" spans="62:62" x14ac:dyDescent="0.2">
      <c r="BJ19608" s="201"/>
    </row>
    <row r="19609" spans="62:62" x14ac:dyDescent="0.2">
      <c r="BJ19609" s="201"/>
    </row>
    <row r="19610" spans="62:62" x14ac:dyDescent="0.2">
      <c r="BJ19610" s="201"/>
    </row>
    <row r="19611" spans="62:62" x14ac:dyDescent="0.2">
      <c r="BJ19611" s="201"/>
    </row>
    <row r="19612" spans="62:62" x14ac:dyDescent="0.2">
      <c r="BJ19612" s="201"/>
    </row>
    <row r="19613" spans="62:62" x14ac:dyDescent="0.2">
      <c r="BJ19613" s="201"/>
    </row>
    <row r="19614" spans="62:62" x14ac:dyDescent="0.2">
      <c r="BJ19614" s="201"/>
    </row>
    <row r="19615" spans="62:62" x14ac:dyDescent="0.2">
      <c r="BJ19615" s="201"/>
    </row>
    <row r="19616" spans="62:62" x14ac:dyDescent="0.2">
      <c r="BJ19616" s="201"/>
    </row>
    <row r="19617" spans="62:62" x14ac:dyDescent="0.2">
      <c r="BJ19617" s="201"/>
    </row>
    <row r="19618" spans="62:62" x14ac:dyDescent="0.2">
      <c r="BJ19618" s="201"/>
    </row>
    <row r="19619" spans="62:62" x14ac:dyDescent="0.2">
      <c r="BJ19619" s="201"/>
    </row>
    <row r="19620" spans="62:62" x14ac:dyDescent="0.2">
      <c r="BJ19620" s="201"/>
    </row>
    <row r="19621" spans="62:62" x14ac:dyDescent="0.2">
      <c r="BJ19621" s="201"/>
    </row>
    <row r="19622" spans="62:62" x14ac:dyDescent="0.2">
      <c r="BJ19622" s="201"/>
    </row>
    <row r="19623" spans="62:62" x14ac:dyDescent="0.2">
      <c r="BJ19623" s="201"/>
    </row>
    <row r="19624" spans="62:62" x14ac:dyDescent="0.2">
      <c r="BJ19624" s="201"/>
    </row>
    <row r="19625" spans="62:62" x14ac:dyDescent="0.2">
      <c r="BJ19625" s="201"/>
    </row>
    <row r="19626" spans="62:62" x14ac:dyDescent="0.2">
      <c r="BJ19626" s="201"/>
    </row>
    <row r="19627" spans="62:62" x14ac:dyDescent="0.2">
      <c r="BJ19627" s="201"/>
    </row>
    <row r="19628" spans="62:62" x14ac:dyDescent="0.2">
      <c r="BJ19628" s="201"/>
    </row>
    <row r="19629" spans="62:62" x14ac:dyDescent="0.2">
      <c r="BJ19629" s="201"/>
    </row>
    <row r="19630" spans="62:62" x14ac:dyDescent="0.2">
      <c r="BJ19630" s="201"/>
    </row>
    <row r="19631" spans="62:62" x14ac:dyDescent="0.2">
      <c r="BJ19631" s="201"/>
    </row>
    <row r="19632" spans="62:62" x14ac:dyDescent="0.2">
      <c r="BJ19632" s="201"/>
    </row>
    <row r="19633" spans="62:62" x14ac:dyDescent="0.2">
      <c r="BJ19633" s="201"/>
    </row>
    <row r="19634" spans="62:62" x14ac:dyDescent="0.2">
      <c r="BJ19634" s="201"/>
    </row>
    <row r="19635" spans="62:62" x14ac:dyDescent="0.2">
      <c r="BJ19635" s="201"/>
    </row>
    <row r="19636" spans="62:62" x14ac:dyDescent="0.2">
      <c r="BJ19636" s="201"/>
    </row>
    <row r="19637" spans="62:62" x14ac:dyDescent="0.2">
      <c r="BJ19637" s="201"/>
    </row>
    <row r="19638" spans="62:62" x14ac:dyDescent="0.2">
      <c r="BJ19638" s="201"/>
    </row>
    <row r="19639" spans="62:62" x14ac:dyDescent="0.2">
      <c r="BJ19639" s="201"/>
    </row>
    <row r="19640" spans="62:62" x14ac:dyDescent="0.2">
      <c r="BJ19640" s="201"/>
    </row>
    <row r="19641" spans="62:62" x14ac:dyDescent="0.2">
      <c r="BJ19641" s="201"/>
    </row>
    <row r="19642" spans="62:62" x14ac:dyDescent="0.2">
      <c r="BJ19642" s="201"/>
    </row>
    <row r="19643" spans="62:62" x14ac:dyDescent="0.2">
      <c r="BJ19643" s="201"/>
    </row>
    <row r="19644" spans="62:62" x14ac:dyDescent="0.2">
      <c r="BJ19644" s="201"/>
    </row>
    <row r="19645" spans="62:62" x14ac:dyDescent="0.2">
      <c r="BJ19645" s="201"/>
    </row>
    <row r="19646" spans="62:62" x14ac:dyDescent="0.2">
      <c r="BJ19646" s="201"/>
    </row>
    <row r="19647" spans="62:62" x14ac:dyDescent="0.2">
      <c r="BJ19647" s="201"/>
    </row>
    <row r="19648" spans="62:62" x14ac:dyDescent="0.2">
      <c r="BJ19648" s="201"/>
    </row>
    <row r="19649" spans="62:62" x14ac:dyDescent="0.2">
      <c r="BJ19649" s="201"/>
    </row>
    <row r="19650" spans="62:62" x14ac:dyDescent="0.2">
      <c r="BJ19650" s="201"/>
    </row>
    <row r="19651" spans="62:62" x14ac:dyDescent="0.2">
      <c r="BJ19651" s="201"/>
    </row>
    <row r="19652" spans="62:62" x14ac:dyDescent="0.2">
      <c r="BJ19652" s="201"/>
    </row>
    <row r="19653" spans="62:62" x14ac:dyDescent="0.2">
      <c r="BJ19653" s="201"/>
    </row>
    <row r="19654" spans="62:62" x14ac:dyDescent="0.2">
      <c r="BJ19654" s="201"/>
    </row>
    <row r="19655" spans="62:62" x14ac:dyDescent="0.2">
      <c r="BJ19655" s="201"/>
    </row>
    <row r="19656" spans="62:62" x14ac:dyDescent="0.2">
      <c r="BJ19656" s="201"/>
    </row>
    <row r="19657" spans="62:62" x14ac:dyDescent="0.2">
      <c r="BJ19657" s="201"/>
    </row>
    <row r="19658" spans="62:62" x14ac:dyDescent="0.2">
      <c r="BJ19658" s="201"/>
    </row>
    <row r="19659" spans="62:62" x14ac:dyDescent="0.2">
      <c r="BJ19659" s="201"/>
    </row>
    <row r="19660" spans="62:62" x14ac:dyDescent="0.2">
      <c r="BJ19660" s="201"/>
    </row>
    <row r="19661" spans="62:62" x14ac:dyDescent="0.2">
      <c r="BJ19661" s="201"/>
    </row>
    <row r="19662" spans="62:62" x14ac:dyDescent="0.2">
      <c r="BJ19662" s="201"/>
    </row>
    <row r="19663" spans="62:62" x14ac:dyDescent="0.2">
      <c r="BJ19663" s="201"/>
    </row>
    <row r="19664" spans="62:62" x14ac:dyDescent="0.2">
      <c r="BJ19664" s="201"/>
    </row>
    <row r="19665" spans="62:62" x14ac:dyDescent="0.2">
      <c r="BJ19665" s="201"/>
    </row>
    <row r="19666" spans="62:62" x14ac:dyDescent="0.2">
      <c r="BJ19666" s="201"/>
    </row>
    <row r="19667" spans="62:62" x14ac:dyDescent="0.2">
      <c r="BJ19667" s="201"/>
    </row>
    <row r="19668" spans="62:62" x14ac:dyDescent="0.2">
      <c r="BJ19668" s="201"/>
    </row>
    <row r="19669" spans="62:62" x14ac:dyDescent="0.2">
      <c r="BJ19669" s="201"/>
    </row>
    <row r="19670" spans="62:62" x14ac:dyDescent="0.2">
      <c r="BJ19670" s="201"/>
    </row>
    <row r="19671" spans="62:62" x14ac:dyDescent="0.2">
      <c r="BJ19671" s="201"/>
    </row>
    <row r="19672" spans="62:62" x14ac:dyDescent="0.2">
      <c r="BJ19672" s="201"/>
    </row>
    <row r="19673" spans="62:62" x14ac:dyDescent="0.2">
      <c r="BJ19673" s="201"/>
    </row>
    <row r="19674" spans="62:62" x14ac:dyDescent="0.2">
      <c r="BJ19674" s="201"/>
    </row>
    <row r="19675" spans="62:62" x14ac:dyDescent="0.2">
      <c r="BJ19675" s="201"/>
    </row>
    <row r="19676" spans="62:62" x14ac:dyDescent="0.2">
      <c r="BJ19676" s="201"/>
    </row>
    <row r="19677" spans="62:62" x14ac:dyDescent="0.2">
      <c r="BJ19677" s="201"/>
    </row>
    <row r="19678" spans="62:62" x14ac:dyDescent="0.2">
      <c r="BJ19678" s="201"/>
    </row>
    <row r="19679" spans="62:62" x14ac:dyDescent="0.2">
      <c r="BJ19679" s="201"/>
    </row>
    <row r="19680" spans="62:62" x14ac:dyDescent="0.2">
      <c r="BJ19680" s="201"/>
    </row>
    <row r="19681" spans="62:62" x14ac:dyDescent="0.2">
      <c r="BJ19681" s="201"/>
    </row>
    <row r="19682" spans="62:62" x14ac:dyDescent="0.2">
      <c r="BJ19682" s="201"/>
    </row>
    <row r="19683" spans="62:62" x14ac:dyDescent="0.2">
      <c r="BJ19683" s="201"/>
    </row>
    <row r="19684" spans="62:62" x14ac:dyDescent="0.2">
      <c r="BJ19684" s="201"/>
    </row>
    <row r="19685" spans="62:62" x14ac:dyDescent="0.2">
      <c r="BJ19685" s="201"/>
    </row>
    <row r="19686" spans="62:62" x14ac:dyDescent="0.2">
      <c r="BJ19686" s="201"/>
    </row>
    <row r="19687" spans="62:62" x14ac:dyDescent="0.2">
      <c r="BJ19687" s="201"/>
    </row>
    <row r="19688" spans="62:62" x14ac:dyDescent="0.2">
      <c r="BJ19688" s="201"/>
    </row>
    <row r="19689" spans="62:62" x14ac:dyDescent="0.2">
      <c r="BJ19689" s="201"/>
    </row>
    <row r="19690" spans="62:62" x14ac:dyDescent="0.2">
      <c r="BJ19690" s="201"/>
    </row>
    <row r="19691" spans="62:62" x14ac:dyDescent="0.2">
      <c r="BJ19691" s="201"/>
    </row>
    <row r="19692" spans="62:62" x14ac:dyDescent="0.2">
      <c r="BJ19692" s="201"/>
    </row>
    <row r="19693" spans="62:62" x14ac:dyDescent="0.2">
      <c r="BJ19693" s="201"/>
    </row>
    <row r="19694" spans="62:62" x14ac:dyDescent="0.2">
      <c r="BJ19694" s="201"/>
    </row>
    <row r="19695" spans="62:62" x14ac:dyDescent="0.2">
      <c r="BJ19695" s="201"/>
    </row>
    <row r="19696" spans="62:62" x14ac:dyDescent="0.2">
      <c r="BJ19696" s="201"/>
    </row>
    <row r="19697" spans="62:62" x14ac:dyDescent="0.2">
      <c r="BJ19697" s="201"/>
    </row>
    <row r="19698" spans="62:62" x14ac:dyDescent="0.2">
      <c r="BJ19698" s="201"/>
    </row>
    <row r="19699" spans="62:62" x14ac:dyDescent="0.2">
      <c r="BJ19699" s="201"/>
    </row>
    <row r="19700" spans="62:62" x14ac:dyDescent="0.2">
      <c r="BJ19700" s="201"/>
    </row>
    <row r="19701" spans="62:62" x14ac:dyDescent="0.2">
      <c r="BJ19701" s="201"/>
    </row>
    <row r="19702" spans="62:62" x14ac:dyDescent="0.2">
      <c r="BJ19702" s="201"/>
    </row>
    <row r="19703" spans="62:62" x14ac:dyDescent="0.2">
      <c r="BJ19703" s="201"/>
    </row>
    <row r="19704" spans="62:62" x14ac:dyDescent="0.2">
      <c r="BJ19704" s="201"/>
    </row>
    <row r="19705" spans="62:62" x14ac:dyDescent="0.2">
      <c r="BJ19705" s="201"/>
    </row>
    <row r="19706" spans="62:62" x14ac:dyDescent="0.2">
      <c r="BJ19706" s="201"/>
    </row>
    <row r="19707" spans="62:62" x14ac:dyDescent="0.2">
      <c r="BJ19707" s="201"/>
    </row>
    <row r="19708" spans="62:62" x14ac:dyDescent="0.2">
      <c r="BJ19708" s="201"/>
    </row>
    <row r="19709" spans="62:62" x14ac:dyDescent="0.2">
      <c r="BJ19709" s="201"/>
    </row>
    <row r="19710" spans="62:62" x14ac:dyDescent="0.2">
      <c r="BJ19710" s="201"/>
    </row>
    <row r="19711" spans="62:62" x14ac:dyDescent="0.2">
      <c r="BJ19711" s="201"/>
    </row>
    <row r="19712" spans="62:62" x14ac:dyDescent="0.2">
      <c r="BJ19712" s="201"/>
    </row>
    <row r="19713" spans="62:62" x14ac:dyDescent="0.2">
      <c r="BJ19713" s="201"/>
    </row>
    <row r="19714" spans="62:62" x14ac:dyDescent="0.2">
      <c r="BJ19714" s="201"/>
    </row>
    <row r="19715" spans="62:62" x14ac:dyDescent="0.2">
      <c r="BJ19715" s="201"/>
    </row>
    <row r="19716" spans="62:62" x14ac:dyDescent="0.2">
      <c r="BJ19716" s="201"/>
    </row>
    <row r="19717" spans="62:62" x14ac:dyDescent="0.2">
      <c r="BJ19717" s="201"/>
    </row>
    <row r="19718" spans="62:62" x14ac:dyDescent="0.2">
      <c r="BJ19718" s="201"/>
    </row>
    <row r="19719" spans="62:62" x14ac:dyDescent="0.2">
      <c r="BJ19719" s="201"/>
    </row>
    <row r="19720" spans="62:62" x14ac:dyDescent="0.2">
      <c r="BJ19720" s="201"/>
    </row>
    <row r="19721" spans="62:62" x14ac:dyDescent="0.2">
      <c r="BJ19721" s="201"/>
    </row>
    <row r="19722" spans="62:62" x14ac:dyDescent="0.2">
      <c r="BJ19722" s="201"/>
    </row>
    <row r="19723" spans="62:62" x14ac:dyDescent="0.2">
      <c r="BJ19723" s="201"/>
    </row>
    <row r="19724" spans="62:62" x14ac:dyDescent="0.2">
      <c r="BJ19724" s="201"/>
    </row>
    <row r="19725" spans="62:62" x14ac:dyDescent="0.2">
      <c r="BJ19725" s="201"/>
    </row>
    <row r="19726" spans="62:62" x14ac:dyDescent="0.2">
      <c r="BJ19726" s="201"/>
    </row>
    <row r="19727" spans="62:62" x14ac:dyDescent="0.2">
      <c r="BJ19727" s="201"/>
    </row>
    <row r="19728" spans="62:62" x14ac:dyDescent="0.2">
      <c r="BJ19728" s="201"/>
    </row>
    <row r="19729" spans="62:62" x14ac:dyDescent="0.2">
      <c r="BJ19729" s="201"/>
    </row>
    <row r="19730" spans="62:62" x14ac:dyDescent="0.2">
      <c r="BJ19730" s="201"/>
    </row>
    <row r="19731" spans="62:62" x14ac:dyDescent="0.2">
      <c r="BJ19731" s="201"/>
    </row>
    <row r="19732" spans="62:62" x14ac:dyDescent="0.2">
      <c r="BJ19732" s="201"/>
    </row>
    <row r="19733" spans="62:62" x14ac:dyDescent="0.2">
      <c r="BJ19733" s="201"/>
    </row>
    <row r="19734" spans="62:62" x14ac:dyDescent="0.2">
      <c r="BJ19734" s="201"/>
    </row>
    <row r="19735" spans="62:62" x14ac:dyDescent="0.2">
      <c r="BJ19735" s="201"/>
    </row>
    <row r="19736" spans="62:62" x14ac:dyDescent="0.2">
      <c r="BJ19736" s="201"/>
    </row>
    <row r="19737" spans="62:62" x14ac:dyDescent="0.2">
      <c r="BJ19737" s="201"/>
    </row>
    <row r="19738" spans="62:62" x14ac:dyDescent="0.2">
      <c r="BJ19738" s="201"/>
    </row>
    <row r="19739" spans="62:62" x14ac:dyDescent="0.2">
      <c r="BJ19739" s="201"/>
    </row>
    <row r="19740" spans="62:62" x14ac:dyDescent="0.2">
      <c r="BJ19740" s="201"/>
    </row>
    <row r="19741" spans="62:62" x14ac:dyDescent="0.2">
      <c r="BJ19741" s="201"/>
    </row>
    <row r="19742" spans="62:62" x14ac:dyDescent="0.2">
      <c r="BJ19742" s="201"/>
    </row>
    <row r="19743" spans="62:62" x14ac:dyDescent="0.2">
      <c r="BJ19743" s="201"/>
    </row>
    <row r="19744" spans="62:62" x14ac:dyDescent="0.2">
      <c r="BJ19744" s="201"/>
    </row>
    <row r="19745" spans="62:62" x14ac:dyDescent="0.2">
      <c r="BJ19745" s="201"/>
    </row>
    <row r="19746" spans="62:62" x14ac:dyDescent="0.2">
      <c r="BJ19746" s="201"/>
    </row>
    <row r="19747" spans="62:62" x14ac:dyDescent="0.2">
      <c r="BJ19747" s="201"/>
    </row>
    <row r="19748" spans="62:62" x14ac:dyDescent="0.2">
      <c r="BJ19748" s="201"/>
    </row>
    <row r="19749" spans="62:62" x14ac:dyDescent="0.2">
      <c r="BJ19749" s="201"/>
    </row>
    <row r="19750" spans="62:62" x14ac:dyDescent="0.2">
      <c r="BJ19750" s="201"/>
    </row>
    <row r="19751" spans="62:62" x14ac:dyDescent="0.2">
      <c r="BJ19751" s="201"/>
    </row>
    <row r="19752" spans="62:62" x14ac:dyDescent="0.2">
      <c r="BJ19752" s="201"/>
    </row>
    <row r="19753" spans="62:62" x14ac:dyDescent="0.2">
      <c r="BJ19753" s="201"/>
    </row>
    <row r="19754" spans="62:62" x14ac:dyDescent="0.2">
      <c r="BJ19754" s="201"/>
    </row>
    <row r="19755" spans="62:62" x14ac:dyDescent="0.2">
      <c r="BJ19755" s="201"/>
    </row>
    <row r="19756" spans="62:62" x14ac:dyDescent="0.2">
      <c r="BJ19756" s="201"/>
    </row>
    <row r="19757" spans="62:62" x14ac:dyDescent="0.2">
      <c r="BJ19757" s="201"/>
    </row>
    <row r="19758" spans="62:62" x14ac:dyDescent="0.2">
      <c r="BJ19758" s="201"/>
    </row>
    <row r="19759" spans="62:62" x14ac:dyDescent="0.2">
      <c r="BJ19759" s="201"/>
    </row>
    <row r="19760" spans="62:62" x14ac:dyDescent="0.2">
      <c r="BJ19760" s="201"/>
    </row>
    <row r="19761" spans="62:62" x14ac:dyDescent="0.2">
      <c r="BJ19761" s="201"/>
    </row>
    <row r="19762" spans="62:62" x14ac:dyDescent="0.2">
      <c r="BJ19762" s="201"/>
    </row>
    <row r="19763" spans="62:62" x14ac:dyDescent="0.2">
      <c r="BJ19763" s="201"/>
    </row>
    <row r="19764" spans="62:62" x14ac:dyDescent="0.2">
      <c r="BJ19764" s="201"/>
    </row>
    <row r="19765" spans="62:62" x14ac:dyDescent="0.2">
      <c r="BJ19765" s="201"/>
    </row>
    <row r="19766" spans="62:62" x14ac:dyDescent="0.2">
      <c r="BJ19766" s="201"/>
    </row>
    <row r="19767" spans="62:62" x14ac:dyDescent="0.2">
      <c r="BJ19767" s="201"/>
    </row>
    <row r="19768" spans="62:62" x14ac:dyDescent="0.2">
      <c r="BJ19768" s="201"/>
    </row>
    <row r="19769" spans="62:62" x14ac:dyDescent="0.2">
      <c r="BJ19769" s="201"/>
    </row>
    <row r="19770" spans="62:62" x14ac:dyDescent="0.2">
      <c r="BJ19770" s="201"/>
    </row>
    <row r="19771" spans="62:62" x14ac:dyDescent="0.2">
      <c r="BJ19771" s="201"/>
    </row>
    <row r="19772" spans="62:62" x14ac:dyDescent="0.2">
      <c r="BJ19772" s="201"/>
    </row>
    <row r="19773" spans="62:62" x14ac:dyDescent="0.2">
      <c r="BJ19773" s="201"/>
    </row>
    <row r="19774" spans="62:62" x14ac:dyDescent="0.2">
      <c r="BJ19774" s="201"/>
    </row>
    <row r="19775" spans="62:62" x14ac:dyDescent="0.2">
      <c r="BJ19775" s="201"/>
    </row>
    <row r="19776" spans="62:62" x14ac:dyDescent="0.2">
      <c r="BJ19776" s="201"/>
    </row>
    <row r="19777" spans="62:62" x14ac:dyDescent="0.2">
      <c r="BJ19777" s="201"/>
    </row>
    <row r="19778" spans="62:62" x14ac:dyDescent="0.2">
      <c r="BJ19778" s="201"/>
    </row>
    <row r="19779" spans="62:62" x14ac:dyDescent="0.2">
      <c r="BJ19779" s="201"/>
    </row>
    <row r="19780" spans="62:62" x14ac:dyDescent="0.2">
      <c r="BJ19780" s="201"/>
    </row>
    <row r="19781" spans="62:62" x14ac:dyDescent="0.2">
      <c r="BJ19781" s="201"/>
    </row>
    <row r="19782" spans="62:62" x14ac:dyDescent="0.2">
      <c r="BJ19782" s="201"/>
    </row>
    <row r="19783" spans="62:62" x14ac:dyDescent="0.2">
      <c r="BJ19783" s="201"/>
    </row>
    <row r="19784" spans="62:62" x14ac:dyDescent="0.2">
      <c r="BJ19784" s="201"/>
    </row>
    <row r="19785" spans="62:62" x14ac:dyDescent="0.2">
      <c r="BJ19785" s="201"/>
    </row>
    <row r="19786" spans="62:62" x14ac:dyDescent="0.2">
      <c r="BJ19786" s="201"/>
    </row>
    <row r="19787" spans="62:62" x14ac:dyDescent="0.2">
      <c r="BJ19787" s="201"/>
    </row>
    <row r="19788" spans="62:62" x14ac:dyDescent="0.2">
      <c r="BJ19788" s="201"/>
    </row>
    <row r="19789" spans="62:62" x14ac:dyDescent="0.2">
      <c r="BJ19789" s="201"/>
    </row>
    <row r="19790" spans="62:62" x14ac:dyDescent="0.2">
      <c r="BJ19790" s="201"/>
    </row>
    <row r="19791" spans="62:62" x14ac:dyDescent="0.2">
      <c r="BJ19791" s="201"/>
    </row>
    <row r="19792" spans="62:62" x14ac:dyDescent="0.2">
      <c r="BJ19792" s="201"/>
    </row>
    <row r="19793" spans="62:62" x14ac:dyDescent="0.2">
      <c r="BJ19793" s="201"/>
    </row>
    <row r="19794" spans="62:62" x14ac:dyDescent="0.2">
      <c r="BJ19794" s="201"/>
    </row>
    <row r="19795" spans="62:62" x14ac:dyDescent="0.2">
      <c r="BJ19795" s="201"/>
    </row>
    <row r="19796" spans="62:62" x14ac:dyDescent="0.2">
      <c r="BJ19796" s="201"/>
    </row>
    <row r="19797" spans="62:62" x14ac:dyDescent="0.2">
      <c r="BJ19797" s="201"/>
    </row>
    <row r="19798" spans="62:62" x14ac:dyDescent="0.2">
      <c r="BJ19798" s="201"/>
    </row>
    <row r="19799" spans="62:62" x14ac:dyDescent="0.2">
      <c r="BJ19799" s="201"/>
    </row>
    <row r="19800" spans="62:62" x14ac:dyDescent="0.2">
      <c r="BJ19800" s="201"/>
    </row>
    <row r="19801" spans="62:62" x14ac:dyDescent="0.2">
      <c r="BJ19801" s="201"/>
    </row>
    <row r="19802" spans="62:62" x14ac:dyDescent="0.2">
      <c r="BJ19802" s="201"/>
    </row>
    <row r="19803" spans="62:62" x14ac:dyDescent="0.2">
      <c r="BJ19803" s="201"/>
    </row>
    <row r="19804" spans="62:62" x14ac:dyDescent="0.2">
      <c r="BJ19804" s="201"/>
    </row>
    <row r="19805" spans="62:62" x14ac:dyDescent="0.2">
      <c r="BJ19805" s="201"/>
    </row>
    <row r="19806" spans="62:62" x14ac:dyDescent="0.2">
      <c r="BJ19806" s="201"/>
    </row>
    <row r="19807" spans="62:62" x14ac:dyDescent="0.2">
      <c r="BJ19807" s="201"/>
    </row>
    <row r="19808" spans="62:62" x14ac:dyDescent="0.2">
      <c r="BJ19808" s="201"/>
    </row>
    <row r="19809" spans="62:62" x14ac:dyDescent="0.2">
      <c r="BJ19809" s="201"/>
    </row>
    <row r="19810" spans="62:62" x14ac:dyDescent="0.2">
      <c r="BJ19810" s="201"/>
    </row>
    <row r="19811" spans="62:62" x14ac:dyDescent="0.2">
      <c r="BJ19811" s="201"/>
    </row>
    <row r="19812" spans="62:62" x14ac:dyDescent="0.2">
      <c r="BJ19812" s="201"/>
    </row>
    <row r="19813" spans="62:62" x14ac:dyDescent="0.2">
      <c r="BJ19813" s="201"/>
    </row>
    <row r="19814" spans="62:62" x14ac:dyDescent="0.2">
      <c r="BJ19814" s="201"/>
    </row>
    <row r="19815" spans="62:62" x14ac:dyDescent="0.2">
      <c r="BJ19815" s="201"/>
    </row>
    <row r="19816" spans="62:62" x14ac:dyDescent="0.2">
      <c r="BJ19816" s="201"/>
    </row>
    <row r="19817" spans="62:62" x14ac:dyDescent="0.2">
      <c r="BJ19817" s="201"/>
    </row>
    <row r="19818" spans="62:62" x14ac:dyDescent="0.2">
      <c r="BJ19818" s="201"/>
    </row>
    <row r="19819" spans="62:62" x14ac:dyDescent="0.2">
      <c r="BJ19819" s="201"/>
    </row>
    <row r="19820" spans="62:62" x14ac:dyDescent="0.2">
      <c r="BJ19820" s="201"/>
    </row>
    <row r="19821" spans="62:62" x14ac:dyDescent="0.2">
      <c r="BJ19821" s="201"/>
    </row>
    <row r="19822" spans="62:62" x14ac:dyDescent="0.2">
      <c r="BJ19822" s="201"/>
    </row>
    <row r="19823" spans="62:62" x14ac:dyDescent="0.2">
      <c r="BJ19823" s="201"/>
    </row>
    <row r="19824" spans="62:62" x14ac:dyDescent="0.2">
      <c r="BJ19824" s="201"/>
    </row>
    <row r="19825" spans="62:62" x14ac:dyDescent="0.2">
      <c r="BJ19825" s="201"/>
    </row>
    <row r="19826" spans="62:62" x14ac:dyDescent="0.2">
      <c r="BJ19826" s="201"/>
    </row>
    <row r="19827" spans="62:62" x14ac:dyDescent="0.2">
      <c r="BJ19827" s="201"/>
    </row>
    <row r="19828" spans="62:62" x14ac:dyDescent="0.2">
      <c r="BJ19828" s="201"/>
    </row>
    <row r="19829" spans="62:62" x14ac:dyDescent="0.2">
      <c r="BJ19829" s="201"/>
    </row>
    <row r="19830" spans="62:62" x14ac:dyDescent="0.2">
      <c r="BJ19830" s="201"/>
    </row>
    <row r="19831" spans="62:62" x14ac:dyDescent="0.2">
      <c r="BJ19831" s="201"/>
    </row>
    <row r="19832" spans="62:62" x14ac:dyDescent="0.2">
      <c r="BJ19832" s="201"/>
    </row>
    <row r="19833" spans="62:62" x14ac:dyDescent="0.2">
      <c r="BJ19833" s="201"/>
    </row>
    <row r="19834" spans="62:62" x14ac:dyDescent="0.2">
      <c r="BJ19834" s="201"/>
    </row>
    <row r="19835" spans="62:62" x14ac:dyDescent="0.2">
      <c r="BJ19835" s="201"/>
    </row>
    <row r="19836" spans="62:62" x14ac:dyDescent="0.2">
      <c r="BJ19836" s="201"/>
    </row>
    <row r="19837" spans="62:62" x14ac:dyDescent="0.2">
      <c r="BJ19837" s="201"/>
    </row>
    <row r="19838" spans="62:62" x14ac:dyDescent="0.2">
      <c r="BJ19838" s="201"/>
    </row>
    <row r="19839" spans="62:62" x14ac:dyDescent="0.2">
      <c r="BJ19839" s="201"/>
    </row>
    <row r="19840" spans="62:62" x14ac:dyDescent="0.2">
      <c r="BJ19840" s="201"/>
    </row>
    <row r="19841" spans="62:62" x14ac:dyDescent="0.2">
      <c r="BJ19841" s="201"/>
    </row>
    <row r="19842" spans="62:62" x14ac:dyDescent="0.2">
      <c r="BJ19842" s="201"/>
    </row>
    <row r="19843" spans="62:62" x14ac:dyDescent="0.2">
      <c r="BJ19843" s="201"/>
    </row>
    <row r="19844" spans="62:62" x14ac:dyDescent="0.2">
      <c r="BJ19844" s="201"/>
    </row>
    <row r="19845" spans="62:62" x14ac:dyDescent="0.2">
      <c r="BJ19845" s="201"/>
    </row>
    <row r="19846" spans="62:62" x14ac:dyDescent="0.2">
      <c r="BJ19846" s="201"/>
    </row>
    <row r="19847" spans="62:62" x14ac:dyDescent="0.2">
      <c r="BJ19847" s="201"/>
    </row>
    <row r="19848" spans="62:62" x14ac:dyDescent="0.2">
      <c r="BJ19848" s="201"/>
    </row>
    <row r="19849" spans="62:62" x14ac:dyDescent="0.2">
      <c r="BJ19849" s="201"/>
    </row>
    <row r="19850" spans="62:62" x14ac:dyDescent="0.2">
      <c r="BJ19850" s="201"/>
    </row>
    <row r="19851" spans="62:62" x14ac:dyDescent="0.2">
      <c r="BJ19851" s="201"/>
    </row>
    <row r="19852" spans="62:62" x14ac:dyDescent="0.2">
      <c r="BJ19852" s="201"/>
    </row>
    <row r="19853" spans="62:62" x14ac:dyDescent="0.2">
      <c r="BJ19853" s="201"/>
    </row>
    <row r="19854" spans="62:62" x14ac:dyDescent="0.2">
      <c r="BJ19854" s="201"/>
    </row>
    <row r="19855" spans="62:62" x14ac:dyDescent="0.2">
      <c r="BJ19855" s="201"/>
    </row>
    <row r="19856" spans="62:62" x14ac:dyDescent="0.2">
      <c r="BJ19856" s="201"/>
    </row>
    <row r="19857" spans="62:62" x14ac:dyDescent="0.2">
      <c r="BJ19857" s="201"/>
    </row>
    <row r="19858" spans="62:62" x14ac:dyDescent="0.2">
      <c r="BJ19858" s="201"/>
    </row>
    <row r="19859" spans="62:62" x14ac:dyDescent="0.2">
      <c r="BJ19859" s="201"/>
    </row>
    <row r="19860" spans="62:62" x14ac:dyDescent="0.2">
      <c r="BJ19860" s="201"/>
    </row>
    <row r="19861" spans="62:62" x14ac:dyDescent="0.2">
      <c r="BJ19861" s="201"/>
    </row>
    <row r="19862" spans="62:62" x14ac:dyDescent="0.2">
      <c r="BJ19862" s="201"/>
    </row>
    <row r="19863" spans="62:62" x14ac:dyDescent="0.2">
      <c r="BJ19863" s="201"/>
    </row>
    <row r="19864" spans="62:62" x14ac:dyDescent="0.2">
      <c r="BJ19864" s="201"/>
    </row>
    <row r="19865" spans="62:62" x14ac:dyDescent="0.2">
      <c r="BJ19865" s="201"/>
    </row>
    <row r="19866" spans="62:62" x14ac:dyDescent="0.2">
      <c r="BJ19866" s="201"/>
    </row>
    <row r="19867" spans="62:62" x14ac:dyDescent="0.2">
      <c r="BJ19867" s="201"/>
    </row>
    <row r="19868" spans="62:62" x14ac:dyDescent="0.2">
      <c r="BJ19868" s="201"/>
    </row>
    <row r="19869" spans="62:62" x14ac:dyDescent="0.2">
      <c r="BJ19869" s="201"/>
    </row>
    <row r="19870" spans="62:62" x14ac:dyDescent="0.2">
      <c r="BJ19870" s="201"/>
    </row>
    <row r="19871" spans="62:62" x14ac:dyDescent="0.2">
      <c r="BJ19871" s="201"/>
    </row>
    <row r="19872" spans="62:62" x14ac:dyDescent="0.2">
      <c r="BJ19872" s="201"/>
    </row>
    <row r="19873" spans="62:62" x14ac:dyDescent="0.2">
      <c r="BJ19873" s="201"/>
    </row>
    <row r="19874" spans="62:62" x14ac:dyDescent="0.2">
      <c r="BJ19874" s="201"/>
    </row>
    <row r="19875" spans="62:62" x14ac:dyDescent="0.2">
      <c r="BJ19875" s="201"/>
    </row>
    <row r="19876" spans="62:62" x14ac:dyDescent="0.2">
      <c r="BJ19876" s="201"/>
    </row>
    <row r="19877" spans="62:62" x14ac:dyDescent="0.2">
      <c r="BJ19877" s="201"/>
    </row>
    <row r="19878" spans="62:62" x14ac:dyDescent="0.2">
      <c r="BJ19878" s="201"/>
    </row>
    <row r="19879" spans="62:62" x14ac:dyDescent="0.2">
      <c r="BJ19879" s="201"/>
    </row>
    <row r="19880" spans="62:62" x14ac:dyDescent="0.2">
      <c r="BJ19880" s="201"/>
    </row>
    <row r="19881" spans="62:62" x14ac:dyDescent="0.2">
      <c r="BJ19881" s="201"/>
    </row>
    <row r="19882" spans="62:62" x14ac:dyDescent="0.2">
      <c r="BJ19882" s="201"/>
    </row>
    <row r="19883" spans="62:62" x14ac:dyDescent="0.2">
      <c r="BJ19883" s="201"/>
    </row>
    <row r="19884" spans="62:62" x14ac:dyDescent="0.2">
      <c r="BJ19884" s="201"/>
    </row>
    <row r="19885" spans="62:62" x14ac:dyDescent="0.2">
      <c r="BJ19885" s="201"/>
    </row>
    <row r="19886" spans="62:62" x14ac:dyDescent="0.2">
      <c r="BJ19886" s="201"/>
    </row>
    <row r="19887" spans="62:62" x14ac:dyDescent="0.2">
      <c r="BJ19887" s="201"/>
    </row>
    <row r="19888" spans="62:62" x14ac:dyDescent="0.2">
      <c r="BJ19888" s="201"/>
    </row>
    <row r="19889" spans="62:62" x14ac:dyDescent="0.2">
      <c r="BJ19889" s="201"/>
    </row>
    <row r="19890" spans="62:62" x14ac:dyDescent="0.2">
      <c r="BJ19890" s="201"/>
    </row>
    <row r="19891" spans="62:62" x14ac:dyDescent="0.2">
      <c r="BJ19891" s="201"/>
    </row>
    <row r="19892" spans="62:62" x14ac:dyDescent="0.2">
      <c r="BJ19892" s="201"/>
    </row>
    <row r="19893" spans="62:62" x14ac:dyDescent="0.2">
      <c r="BJ19893" s="201"/>
    </row>
    <row r="19894" spans="62:62" x14ac:dyDescent="0.2">
      <c r="BJ19894" s="201"/>
    </row>
    <row r="19895" spans="62:62" x14ac:dyDescent="0.2">
      <c r="BJ19895" s="201"/>
    </row>
    <row r="19896" spans="62:62" x14ac:dyDescent="0.2">
      <c r="BJ19896" s="201"/>
    </row>
    <row r="19897" spans="62:62" x14ac:dyDescent="0.2">
      <c r="BJ19897" s="201"/>
    </row>
    <row r="19898" spans="62:62" x14ac:dyDescent="0.2">
      <c r="BJ19898" s="201"/>
    </row>
    <row r="19899" spans="62:62" x14ac:dyDescent="0.2">
      <c r="BJ19899" s="201"/>
    </row>
    <row r="19900" spans="62:62" x14ac:dyDescent="0.2">
      <c r="BJ19900" s="201"/>
    </row>
    <row r="19901" spans="62:62" x14ac:dyDescent="0.2">
      <c r="BJ19901" s="201"/>
    </row>
    <row r="19902" spans="62:62" x14ac:dyDescent="0.2">
      <c r="BJ19902" s="201"/>
    </row>
    <row r="19903" spans="62:62" x14ac:dyDescent="0.2">
      <c r="BJ19903" s="201"/>
    </row>
    <row r="19904" spans="62:62" x14ac:dyDescent="0.2">
      <c r="BJ19904" s="201"/>
    </row>
    <row r="19905" spans="62:62" x14ac:dyDescent="0.2">
      <c r="BJ19905" s="201"/>
    </row>
    <row r="19906" spans="62:62" x14ac:dyDescent="0.2">
      <c r="BJ19906" s="201"/>
    </row>
    <row r="19907" spans="62:62" x14ac:dyDescent="0.2">
      <c r="BJ19907" s="201"/>
    </row>
    <row r="19908" spans="62:62" x14ac:dyDescent="0.2">
      <c r="BJ19908" s="201"/>
    </row>
    <row r="19909" spans="62:62" x14ac:dyDescent="0.2">
      <c r="BJ19909" s="201"/>
    </row>
    <row r="19910" spans="62:62" x14ac:dyDescent="0.2">
      <c r="BJ19910" s="201"/>
    </row>
    <row r="19911" spans="62:62" x14ac:dyDescent="0.2">
      <c r="BJ19911" s="201"/>
    </row>
    <row r="19912" spans="62:62" x14ac:dyDescent="0.2">
      <c r="BJ19912" s="201"/>
    </row>
    <row r="19913" spans="62:62" x14ac:dyDescent="0.2">
      <c r="BJ19913" s="201"/>
    </row>
    <row r="19914" spans="62:62" x14ac:dyDescent="0.2">
      <c r="BJ19914" s="201"/>
    </row>
    <row r="19915" spans="62:62" x14ac:dyDescent="0.2">
      <c r="BJ19915" s="201"/>
    </row>
    <row r="19916" spans="62:62" x14ac:dyDescent="0.2">
      <c r="BJ19916" s="201"/>
    </row>
    <row r="19917" spans="62:62" x14ac:dyDescent="0.2">
      <c r="BJ19917" s="201"/>
    </row>
    <row r="19918" spans="62:62" x14ac:dyDescent="0.2">
      <c r="BJ19918" s="201"/>
    </row>
    <row r="19919" spans="62:62" x14ac:dyDescent="0.2">
      <c r="BJ19919" s="201"/>
    </row>
    <row r="19920" spans="62:62" x14ac:dyDescent="0.2">
      <c r="BJ19920" s="201"/>
    </row>
    <row r="19921" spans="62:62" x14ac:dyDescent="0.2">
      <c r="BJ19921" s="201"/>
    </row>
    <row r="19922" spans="62:62" x14ac:dyDescent="0.2">
      <c r="BJ19922" s="201"/>
    </row>
    <row r="19923" spans="62:62" x14ac:dyDescent="0.2">
      <c r="BJ19923" s="201"/>
    </row>
    <row r="19924" spans="62:62" x14ac:dyDescent="0.2">
      <c r="BJ19924" s="201"/>
    </row>
    <row r="19925" spans="62:62" x14ac:dyDescent="0.2">
      <c r="BJ19925" s="201"/>
    </row>
    <row r="19926" spans="62:62" x14ac:dyDescent="0.2">
      <c r="BJ19926" s="201"/>
    </row>
    <row r="19927" spans="62:62" x14ac:dyDescent="0.2">
      <c r="BJ19927" s="201"/>
    </row>
    <row r="19928" spans="62:62" x14ac:dyDescent="0.2">
      <c r="BJ19928" s="201"/>
    </row>
    <row r="19929" spans="62:62" x14ac:dyDescent="0.2">
      <c r="BJ19929" s="201"/>
    </row>
    <row r="19930" spans="62:62" x14ac:dyDescent="0.2">
      <c r="BJ19930" s="201"/>
    </row>
    <row r="19931" spans="62:62" x14ac:dyDescent="0.2">
      <c r="BJ19931" s="201"/>
    </row>
    <row r="19932" spans="62:62" x14ac:dyDescent="0.2">
      <c r="BJ19932" s="201"/>
    </row>
    <row r="19933" spans="62:62" x14ac:dyDescent="0.2">
      <c r="BJ19933" s="201"/>
    </row>
    <row r="19934" spans="62:62" x14ac:dyDescent="0.2">
      <c r="BJ19934" s="201"/>
    </row>
    <row r="19935" spans="62:62" x14ac:dyDescent="0.2">
      <c r="BJ19935" s="201"/>
    </row>
    <row r="19936" spans="62:62" x14ac:dyDescent="0.2">
      <c r="BJ19936" s="201"/>
    </row>
    <row r="19937" spans="62:62" x14ac:dyDescent="0.2">
      <c r="BJ19937" s="201"/>
    </row>
    <row r="19938" spans="62:62" x14ac:dyDescent="0.2">
      <c r="BJ19938" s="201"/>
    </row>
    <row r="19939" spans="62:62" x14ac:dyDescent="0.2">
      <c r="BJ19939" s="201"/>
    </row>
    <row r="19940" spans="62:62" x14ac:dyDescent="0.2">
      <c r="BJ19940" s="201"/>
    </row>
    <row r="19941" spans="62:62" x14ac:dyDescent="0.2">
      <c r="BJ19941" s="201"/>
    </row>
    <row r="19942" spans="62:62" x14ac:dyDescent="0.2">
      <c r="BJ19942" s="201"/>
    </row>
    <row r="19943" spans="62:62" x14ac:dyDescent="0.2">
      <c r="BJ19943" s="201"/>
    </row>
    <row r="19944" spans="62:62" x14ac:dyDescent="0.2">
      <c r="BJ19944" s="201"/>
    </row>
    <row r="19945" spans="62:62" x14ac:dyDescent="0.2">
      <c r="BJ19945" s="201"/>
    </row>
    <row r="19946" spans="62:62" x14ac:dyDescent="0.2">
      <c r="BJ19946" s="201"/>
    </row>
    <row r="19947" spans="62:62" x14ac:dyDescent="0.2">
      <c r="BJ19947" s="201"/>
    </row>
    <row r="19948" spans="62:62" x14ac:dyDescent="0.2">
      <c r="BJ19948" s="201"/>
    </row>
    <row r="19949" spans="62:62" x14ac:dyDescent="0.2">
      <c r="BJ19949" s="201"/>
    </row>
    <row r="19950" spans="62:62" x14ac:dyDescent="0.2">
      <c r="BJ19950" s="201"/>
    </row>
    <row r="19951" spans="62:62" x14ac:dyDescent="0.2">
      <c r="BJ19951" s="201"/>
    </row>
    <row r="19952" spans="62:62" x14ac:dyDescent="0.2">
      <c r="BJ19952" s="201"/>
    </row>
    <row r="19953" spans="62:62" x14ac:dyDescent="0.2">
      <c r="BJ19953" s="201"/>
    </row>
    <row r="19954" spans="62:62" x14ac:dyDescent="0.2">
      <c r="BJ19954" s="201"/>
    </row>
    <row r="19955" spans="62:62" x14ac:dyDescent="0.2">
      <c r="BJ19955" s="201"/>
    </row>
    <row r="19956" spans="62:62" x14ac:dyDescent="0.2">
      <c r="BJ19956" s="201"/>
    </row>
    <row r="19957" spans="62:62" x14ac:dyDescent="0.2">
      <c r="BJ19957" s="201"/>
    </row>
    <row r="19958" spans="62:62" x14ac:dyDescent="0.2">
      <c r="BJ19958" s="201"/>
    </row>
    <row r="19959" spans="62:62" x14ac:dyDescent="0.2">
      <c r="BJ19959" s="201"/>
    </row>
    <row r="19960" spans="62:62" x14ac:dyDescent="0.2">
      <c r="BJ19960" s="201"/>
    </row>
    <row r="19961" spans="62:62" x14ac:dyDescent="0.2">
      <c r="BJ19961" s="201"/>
    </row>
    <row r="19962" spans="62:62" x14ac:dyDescent="0.2">
      <c r="BJ19962" s="201"/>
    </row>
    <row r="19963" spans="62:62" x14ac:dyDescent="0.2">
      <c r="BJ19963" s="201"/>
    </row>
    <row r="19964" spans="62:62" x14ac:dyDescent="0.2">
      <c r="BJ19964" s="201"/>
    </row>
    <row r="19965" spans="62:62" x14ac:dyDescent="0.2">
      <c r="BJ19965" s="201"/>
    </row>
    <row r="19966" spans="62:62" x14ac:dyDescent="0.2">
      <c r="BJ19966" s="201"/>
    </row>
    <row r="19967" spans="62:62" x14ac:dyDescent="0.2">
      <c r="BJ19967" s="201"/>
    </row>
    <row r="19968" spans="62:62" x14ac:dyDescent="0.2">
      <c r="BJ19968" s="201"/>
    </row>
    <row r="19969" spans="62:62" x14ac:dyDescent="0.2">
      <c r="BJ19969" s="201"/>
    </row>
    <row r="19970" spans="62:62" x14ac:dyDescent="0.2">
      <c r="BJ19970" s="201"/>
    </row>
    <row r="19971" spans="62:62" x14ac:dyDescent="0.2">
      <c r="BJ19971" s="201"/>
    </row>
    <row r="19972" spans="62:62" x14ac:dyDescent="0.2">
      <c r="BJ19972" s="201"/>
    </row>
    <row r="19973" spans="62:62" x14ac:dyDescent="0.2">
      <c r="BJ19973" s="201"/>
    </row>
    <row r="19974" spans="62:62" x14ac:dyDescent="0.2">
      <c r="BJ19974" s="201"/>
    </row>
    <row r="19975" spans="62:62" x14ac:dyDescent="0.2">
      <c r="BJ19975" s="201"/>
    </row>
    <row r="19976" spans="62:62" x14ac:dyDescent="0.2">
      <c r="BJ19976" s="201"/>
    </row>
    <row r="19977" spans="62:62" x14ac:dyDescent="0.2">
      <c r="BJ19977" s="201"/>
    </row>
    <row r="19978" spans="62:62" x14ac:dyDescent="0.2">
      <c r="BJ19978" s="201"/>
    </row>
    <row r="19979" spans="62:62" x14ac:dyDescent="0.2">
      <c r="BJ19979" s="201"/>
    </row>
    <row r="19980" spans="62:62" x14ac:dyDescent="0.2">
      <c r="BJ19980" s="201"/>
    </row>
    <row r="19981" spans="62:62" x14ac:dyDescent="0.2">
      <c r="BJ19981" s="201"/>
    </row>
    <row r="19982" spans="62:62" x14ac:dyDescent="0.2">
      <c r="BJ19982" s="201"/>
    </row>
    <row r="19983" spans="62:62" x14ac:dyDescent="0.2">
      <c r="BJ19983" s="201"/>
    </row>
    <row r="19984" spans="62:62" x14ac:dyDescent="0.2">
      <c r="BJ19984" s="201"/>
    </row>
    <row r="19985" spans="62:62" x14ac:dyDescent="0.2">
      <c r="BJ19985" s="201"/>
    </row>
    <row r="19986" spans="62:62" x14ac:dyDescent="0.2">
      <c r="BJ19986" s="201"/>
    </row>
    <row r="19987" spans="62:62" x14ac:dyDescent="0.2">
      <c r="BJ19987" s="201"/>
    </row>
    <row r="19988" spans="62:62" x14ac:dyDescent="0.2">
      <c r="BJ19988" s="201"/>
    </row>
    <row r="19989" spans="62:62" x14ac:dyDescent="0.2">
      <c r="BJ19989" s="201"/>
    </row>
    <row r="19990" spans="62:62" x14ac:dyDescent="0.2">
      <c r="BJ19990" s="201"/>
    </row>
    <row r="19991" spans="62:62" x14ac:dyDescent="0.2">
      <c r="BJ19991" s="201"/>
    </row>
    <row r="19992" spans="62:62" x14ac:dyDescent="0.2">
      <c r="BJ19992" s="201"/>
    </row>
    <row r="19993" spans="62:62" x14ac:dyDescent="0.2">
      <c r="BJ19993" s="201"/>
    </row>
    <row r="19994" spans="62:62" x14ac:dyDescent="0.2">
      <c r="BJ19994" s="201"/>
    </row>
    <row r="19995" spans="62:62" x14ac:dyDescent="0.2">
      <c r="BJ19995" s="201"/>
    </row>
    <row r="19996" spans="62:62" x14ac:dyDescent="0.2">
      <c r="BJ19996" s="201"/>
    </row>
    <row r="19997" spans="62:62" x14ac:dyDescent="0.2">
      <c r="BJ19997" s="201"/>
    </row>
    <row r="19998" spans="62:62" x14ac:dyDescent="0.2">
      <c r="BJ19998" s="201"/>
    </row>
    <row r="19999" spans="62:62" x14ac:dyDescent="0.2">
      <c r="BJ19999" s="201"/>
    </row>
    <row r="20000" spans="62:62" x14ac:dyDescent="0.2">
      <c r="BJ20000" s="201"/>
    </row>
    <row r="20001" spans="62:62" x14ac:dyDescent="0.2">
      <c r="BJ20001" s="201"/>
    </row>
    <row r="20002" spans="62:62" x14ac:dyDescent="0.2">
      <c r="BJ20002" s="201"/>
    </row>
    <row r="20003" spans="62:62" x14ac:dyDescent="0.2">
      <c r="BJ20003" s="201"/>
    </row>
    <row r="20004" spans="62:62" x14ac:dyDescent="0.2">
      <c r="BJ20004" s="201"/>
    </row>
    <row r="20005" spans="62:62" x14ac:dyDescent="0.2">
      <c r="BJ20005" s="201"/>
    </row>
    <row r="20006" spans="62:62" x14ac:dyDescent="0.2">
      <c r="BJ20006" s="201"/>
    </row>
    <row r="20007" spans="62:62" x14ac:dyDescent="0.2">
      <c r="BJ20007" s="201"/>
    </row>
    <row r="20008" spans="62:62" x14ac:dyDescent="0.2">
      <c r="BJ20008" s="201"/>
    </row>
    <row r="20009" spans="62:62" x14ac:dyDescent="0.2">
      <c r="BJ20009" s="201"/>
    </row>
    <row r="20010" spans="62:62" x14ac:dyDescent="0.2">
      <c r="BJ20010" s="201"/>
    </row>
    <row r="20011" spans="62:62" x14ac:dyDescent="0.2">
      <c r="BJ20011" s="201"/>
    </row>
    <row r="20012" spans="62:62" x14ac:dyDescent="0.2">
      <c r="BJ20012" s="201"/>
    </row>
    <row r="20013" spans="62:62" x14ac:dyDescent="0.2">
      <c r="BJ20013" s="201"/>
    </row>
    <row r="20014" spans="62:62" x14ac:dyDescent="0.2">
      <c r="BJ20014" s="201"/>
    </row>
    <row r="20015" spans="62:62" x14ac:dyDescent="0.2">
      <c r="BJ20015" s="201"/>
    </row>
    <row r="20016" spans="62:62" x14ac:dyDescent="0.2">
      <c r="BJ20016" s="201"/>
    </row>
    <row r="20017" spans="62:62" x14ac:dyDescent="0.2">
      <c r="BJ20017" s="201"/>
    </row>
    <row r="20018" spans="62:62" x14ac:dyDescent="0.2">
      <c r="BJ20018" s="201"/>
    </row>
    <row r="20019" spans="62:62" x14ac:dyDescent="0.2">
      <c r="BJ20019" s="201"/>
    </row>
    <row r="20020" spans="62:62" x14ac:dyDescent="0.2">
      <c r="BJ20020" s="201"/>
    </row>
    <row r="20021" spans="62:62" x14ac:dyDescent="0.2">
      <c r="BJ20021" s="201"/>
    </row>
    <row r="20022" spans="62:62" x14ac:dyDescent="0.2">
      <c r="BJ20022" s="201"/>
    </row>
    <row r="20023" spans="62:62" x14ac:dyDescent="0.2">
      <c r="BJ20023" s="201"/>
    </row>
    <row r="20024" spans="62:62" x14ac:dyDescent="0.2">
      <c r="BJ20024" s="201"/>
    </row>
    <row r="20025" spans="62:62" x14ac:dyDescent="0.2">
      <c r="BJ20025" s="201"/>
    </row>
    <row r="20026" spans="62:62" x14ac:dyDescent="0.2">
      <c r="BJ20026" s="201"/>
    </row>
    <row r="20027" spans="62:62" x14ac:dyDescent="0.2">
      <c r="BJ20027" s="201"/>
    </row>
    <row r="20028" spans="62:62" x14ac:dyDescent="0.2">
      <c r="BJ20028" s="201"/>
    </row>
    <row r="20029" spans="62:62" x14ac:dyDescent="0.2">
      <c r="BJ20029" s="201"/>
    </row>
    <row r="20030" spans="62:62" x14ac:dyDescent="0.2">
      <c r="BJ20030" s="201"/>
    </row>
    <row r="20031" spans="62:62" x14ac:dyDescent="0.2">
      <c r="BJ20031" s="201"/>
    </row>
    <row r="20032" spans="62:62" x14ac:dyDescent="0.2">
      <c r="BJ20032" s="201"/>
    </row>
    <row r="20033" spans="62:62" x14ac:dyDescent="0.2">
      <c r="BJ20033" s="201"/>
    </row>
    <row r="20034" spans="62:62" x14ac:dyDescent="0.2">
      <c r="BJ20034" s="201"/>
    </row>
    <row r="20035" spans="62:62" x14ac:dyDescent="0.2">
      <c r="BJ20035" s="201"/>
    </row>
    <row r="20036" spans="62:62" x14ac:dyDescent="0.2">
      <c r="BJ20036" s="201"/>
    </row>
    <row r="20037" spans="62:62" x14ac:dyDescent="0.2">
      <c r="BJ20037" s="201"/>
    </row>
    <row r="20038" spans="62:62" x14ac:dyDescent="0.2">
      <c r="BJ20038" s="201"/>
    </row>
    <row r="20039" spans="62:62" x14ac:dyDescent="0.2">
      <c r="BJ20039" s="201"/>
    </row>
    <row r="20040" spans="62:62" x14ac:dyDescent="0.2">
      <c r="BJ20040" s="201"/>
    </row>
    <row r="20041" spans="62:62" x14ac:dyDescent="0.2">
      <c r="BJ20041" s="201"/>
    </row>
    <row r="20042" spans="62:62" x14ac:dyDescent="0.2">
      <c r="BJ20042" s="201"/>
    </row>
    <row r="20043" spans="62:62" x14ac:dyDescent="0.2">
      <c r="BJ20043" s="201"/>
    </row>
    <row r="20044" spans="62:62" x14ac:dyDescent="0.2">
      <c r="BJ20044" s="201"/>
    </row>
    <row r="20045" spans="62:62" x14ac:dyDescent="0.2">
      <c r="BJ20045" s="201"/>
    </row>
    <row r="20046" spans="62:62" x14ac:dyDescent="0.2">
      <c r="BJ20046" s="201"/>
    </row>
    <row r="20047" spans="62:62" x14ac:dyDescent="0.2">
      <c r="BJ20047" s="201"/>
    </row>
    <row r="20048" spans="62:62" x14ac:dyDescent="0.2">
      <c r="BJ20048" s="201"/>
    </row>
    <row r="20049" spans="62:62" x14ac:dyDescent="0.2">
      <c r="BJ20049" s="201"/>
    </row>
    <row r="20050" spans="62:62" x14ac:dyDescent="0.2">
      <c r="BJ20050" s="201"/>
    </row>
    <row r="20051" spans="62:62" x14ac:dyDescent="0.2">
      <c r="BJ20051" s="201"/>
    </row>
    <row r="20052" spans="62:62" x14ac:dyDescent="0.2">
      <c r="BJ20052" s="201"/>
    </row>
    <row r="20053" spans="62:62" x14ac:dyDescent="0.2">
      <c r="BJ20053" s="201"/>
    </row>
    <row r="20054" spans="62:62" x14ac:dyDescent="0.2">
      <c r="BJ20054" s="201"/>
    </row>
    <row r="20055" spans="62:62" x14ac:dyDescent="0.2">
      <c r="BJ20055" s="201"/>
    </row>
    <row r="20056" spans="62:62" x14ac:dyDescent="0.2">
      <c r="BJ20056" s="201"/>
    </row>
    <row r="20057" spans="62:62" x14ac:dyDescent="0.2">
      <c r="BJ20057" s="201"/>
    </row>
    <row r="20058" spans="62:62" x14ac:dyDescent="0.2">
      <c r="BJ20058" s="201"/>
    </row>
    <row r="20059" spans="62:62" x14ac:dyDescent="0.2">
      <c r="BJ20059" s="201"/>
    </row>
    <row r="20060" spans="62:62" x14ac:dyDescent="0.2">
      <c r="BJ20060" s="201"/>
    </row>
    <row r="20061" spans="62:62" x14ac:dyDescent="0.2">
      <c r="BJ20061" s="201"/>
    </row>
    <row r="20062" spans="62:62" x14ac:dyDescent="0.2">
      <c r="BJ20062" s="201"/>
    </row>
    <row r="20063" spans="62:62" x14ac:dyDescent="0.2">
      <c r="BJ20063" s="201"/>
    </row>
    <row r="20064" spans="62:62" x14ac:dyDescent="0.2">
      <c r="BJ20064" s="201"/>
    </row>
    <row r="20065" spans="62:62" x14ac:dyDescent="0.2">
      <c r="BJ20065" s="201"/>
    </row>
    <row r="20066" spans="62:62" x14ac:dyDescent="0.2">
      <c r="BJ20066" s="201"/>
    </row>
    <row r="20067" spans="62:62" x14ac:dyDescent="0.2">
      <c r="BJ20067" s="201"/>
    </row>
    <row r="20068" spans="62:62" x14ac:dyDescent="0.2">
      <c r="BJ20068" s="201"/>
    </row>
    <row r="20069" spans="62:62" x14ac:dyDescent="0.2">
      <c r="BJ20069" s="201"/>
    </row>
    <row r="20070" spans="62:62" x14ac:dyDescent="0.2">
      <c r="BJ20070" s="201"/>
    </row>
    <row r="20071" spans="62:62" x14ac:dyDescent="0.2">
      <c r="BJ20071" s="201"/>
    </row>
    <row r="20072" spans="62:62" x14ac:dyDescent="0.2">
      <c r="BJ20072" s="201"/>
    </row>
    <row r="20073" spans="62:62" x14ac:dyDescent="0.2">
      <c r="BJ20073" s="201"/>
    </row>
    <row r="20074" spans="62:62" x14ac:dyDescent="0.2">
      <c r="BJ20074" s="201"/>
    </row>
    <row r="20075" spans="62:62" x14ac:dyDescent="0.2">
      <c r="BJ20075" s="201"/>
    </row>
    <row r="20076" spans="62:62" x14ac:dyDescent="0.2">
      <c r="BJ20076" s="201"/>
    </row>
    <row r="20077" spans="62:62" x14ac:dyDescent="0.2">
      <c r="BJ20077" s="201"/>
    </row>
    <row r="20078" spans="62:62" x14ac:dyDescent="0.2">
      <c r="BJ20078" s="201"/>
    </row>
    <row r="20079" spans="62:62" x14ac:dyDescent="0.2">
      <c r="BJ20079" s="201"/>
    </row>
    <row r="20080" spans="62:62" x14ac:dyDescent="0.2">
      <c r="BJ20080" s="201"/>
    </row>
    <row r="20081" spans="62:62" x14ac:dyDescent="0.2">
      <c r="BJ20081" s="201"/>
    </row>
    <row r="20082" spans="62:62" x14ac:dyDescent="0.2">
      <c r="BJ20082" s="201"/>
    </row>
    <row r="20083" spans="62:62" x14ac:dyDescent="0.2">
      <c r="BJ20083" s="201"/>
    </row>
    <row r="20084" spans="62:62" x14ac:dyDescent="0.2">
      <c r="BJ20084" s="201"/>
    </row>
    <row r="20085" spans="62:62" x14ac:dyDescent="0.2">
      <c r="BJ20085" s="201"/>
    </row>
    <row r="20086" spans="62:62" x14ac:dyDescent="0.2">
      <c r="BJ20086" s="201"/>
    </row>
    <row r="20087" spans="62:62" x14ac:dyDescent="0.2">
      <c r="BJ20087" s="201"/>
    </row>
    <row r="20088" spans="62:62" x14ac:dyDescent="0.2">
      <c r="BJ20088" s="201"/>
    </row>
    <row r="20089" spans="62:62" x14ac:dyDescent="0.2">
      <c r="BJ20089" s="201"/>
    </row>
    <row r="20090" spans="62:62" x14ac:dyDescent="0.2">
      <c r="BJ20090" s="201"/>
    </row>
    <row r="20091" spans="62:62" x14ac:dyDescent="0.2">
      <c r="BJ20091" s="201"/>
    </row>
    <row r="20092" spans="62:62" x14ac:dyDescent="0.2">
      <c r="BJ20092" s="201"/>
    </row>
    <row r="20093" spans="62:62" x14ac:dyDescent="0.2">
      <c r="BJ20093" s="201"/>
    </row>
    <row r="20094" spans="62:62" x14ac:dyDescent="0.2">
      <c r="BJ20094" s="201"/>
    </row>
    <row r="20095" spans="62:62" x14ac:dyDescent="0.2">
      <c r="BJ20095" s="201"/>
    </row>
    <row r="20096" spans="62:62" x14ac:dyDescent="0.2">
      <c r="BJ20096" s="201"/>
    </row>
    <row r="20097" spans="62:62" x14ac:dyDescent="0.2">
      <c r="BJ20097" s="201"/>
    </row>
    <row r="20098" spans="62:62" x14ac:dyDescent="0.2">
      <c r="BJ20098" s="201"/>
    </row>
    <row r="20099" spans="62:62" x14ac:dyDescent="0.2">
      <c r="BJ20099" s="201"/>
    </row>
    <row r="20100" spans="62:62" x14ac:dyDescent="0.2">
      <c r="BJ20100" s="201"/>
    </row>
    <row r="20101" spans="62:62" x14ac:dyDescent="0.2">
      <c r="BJ20101" s="201"/>
    </row>
    <row r="20102" spans="62:62" x14ac:dyDescent="0.2">
      <c r="BJ20102" s="201"/>
    </row>
    <row r="20103" spans="62:62" x14ac:dyDescent="0.2">
      <c r="BJ20103" s="201"/>
    </row>
    <row r="20104" spans="62:62" x14ac:dyDescent="0.2">
      <c r="BJ20104" s="201"/>
    </row>
    <row r="20105" spans="62:62" x14ac:dyDescent="0.2">
      <c r="BJ20105" s="201"/>
    </row>
    <row r="20106" spans="62:62" x14ac:dyDescent="0.2">
      <c r="BJ20106" s="201"/>
    </row>
    <row r="20107" spans="62:62" x14ac:dyDescent="0.2">
      <c r="BJ20107" s="201"/>
    </row>
    <row r="20108" spans="62:62" x14ac:dyDescent="0.2">
      <c r="BJ20108" s="201"/>
    </row>
    <row r="20109" spans="62:62" x14ac:dyDescent="0.2">
      <c r="BJ20109" s="201"/>
    </row>
    <row r="20110" spans="62:62" x14ac:dyDescent="0.2">
      <c r="BJ20110" s="201"/>
    </row>
    <row r="20111" spans="62:62" x14ac:dyDescent="0.2">
      <c r="BJ20111" s="201"/>
    </row>
    <row r="20112" spans="62:62" x14ac:dyDescent="0.2">
      <c r="BJ20112" s="201"/>
    </row>
    <row r="20113" spans="62:62" x14ac:dyDescent="0.2">
      <c r="BJ20113" s="201"/>
    </row>
    <row r="20114" spans="62:62" x14ac:dyDescent="0.2">
      <c r="BJ20114" s="201"/>
    </row>
    <row r="20115" spans="62:62" x14ac:dyDescent="0.2">
      <c r="BJ20115" s="201"/>
    </row>
    <row r="20116" spans="62:62" x14ac:dyDescent="0.2">
      <c r="BJ20116" s="201"/>
    </row>
    <row r="20117" spans="62:62" x14ac:dyDescent="0.2">
      <c r="BJ20117" s="201"/>
    </row>
    <row r="20118" spans="62:62" x14ac:dyDescent="0.2">
      <c r="BJ20118" s="201"/>
    </row>
    <row r="20119" spans="62:62" x14ac:dyDescent="0.2">
      <c r="BJ20119" s="201"/>
    </row>
    <row r="20120" spans="62:62" x14ac:dyDescent="0.2">
      <c r="BJ20120" s="201"/>
    </row>
    <row r="20121" spans="62:62" x14ac:dyDescent="0.2">
      <c r="BJ20121" s="201"/>
    </row>
    <row r="20122" spans="62:62" x14ac:dyDescent="0.2">
      <c r="BJ20122" s="201"/>
    </row>
    <row r="20123" spans="62:62" x14ac:dyDescent="0.2">
      <c r="BJ20123" s="201"/>
    </row>
    <row r="20124" spans="62:62" x14ac:dyDescent="0.2">
      <c r="BJ20124" s="201"/>
    </row>
    <row r="20125" spans="62:62" x14ac:dyDescent="0.2">
      <c r="BJ20125" s="201"/>
    </row>
    <row r="20126" spans="62:62" x14ac:dyDescent="0.2">
      <c r="BJ20126" s="201"/>
    </row>
    <row r="20127" spans="62:62" x14ac:dyDescent="0.2">
      <c r="BJ20127" s="201"/>
    </row>
    <row r="20128" spans="62:62" x14ac:dyDescent="0.2">
      <c r="BJ20128" s="201"/>
    </row>
    <row r="20129" spans="62:62" x14ac:dyDescent="0.2">
      <c r="BJ20129" s="201"/>
    </row>
    <row r="20130" spans="62:62" x14ac:dyDescent="0.2">
      <c r="BJ20130" s="201"/>
    </row>
    <row r="20131" spans="62:62" x14ac:dyDescent="0.2">
      <c r="BJ20131" s="201"/>
    </row>
    <row r="20132" spans="62:62" x14ac:dyDescent="0.2">
      <c r="BJ20132" s="201"/>
    </row>
    <row r="20133" spans="62:62" x14ac:dyDescent="0.2">
      <c r="BJ20133" s="201"/>
    </row>
    <row r="20134" spans="62:62" x14ac:dyDescent="0.2">
      <c r="BJ20134" s="201"/>
    </row>
    <row r="20135" spans="62:62" x14ac:dyDescent="0.2">
      <c r="BJ20135" s="201"/>
    </row>
    <row r="20136" spans="62:62" x14ac:dyDescent="0.2">
      <c r="BJ20136" s="201"/>
    </row>
    <row r="20137" spans="62:62" x14ac:dyDescent="0.2">
      <c r="BJ20137" s="201"/>
    </row>
    <row r="20138" spans="62:62" x14ac:dyDescent="0.2">
      <c r="BJ20138" s="201"/>
    </row>
    <row r="20139" spans="62:62" x14ac:dyDescent="0.2">
      <c r="BJ20139" s="201"/>
    </row>
    <row r="20140" spans="62:62" x14ac:dyDescent="0.2">
      <c r="BJ20140" s="201"/>
    </row>
    <row r="20141" spans="62:62" x14ac:dyDescent="0.2">
      <c r="BJ20141" s="201"/>
    </row>
    <row r="20142" spans="62:62" x14ac:dyDescent="0.2">
      <c r="BJ20142" s="201"/>
    </row>
    <row r="20143" spans="62:62" x14ac:dyDescent="0.2">
      <c r="BJ20143" s="201"/>
    </row>
    <row r="20144" spans="62:62" x14ac:dyDescent="0.2">
      <c r="BJ20144" s="201"/>
    </row>
    <row r="20145" spans="62:62" x14ac:dyDescent="0.2">
      <c r="BJ20145" s="201"/>
    </row>
    <row r="20146" spans="62:62" x14ac:dyDescent="0.2">
      <c r="BJ20146" s="201"/>
    </row>
    <row r="20147" spans="62:62" x14ac:dyDescent="0.2">
      <c r="BJ20147" s="201"/>
    </row>
    <row r="20148" spans="62:62" x14ac:dyDescent="0.2">
      <c r="BJ20148" s="201"/>
    </row>
    <row r="20149" spans="62:62" x14ac:dyDescent="0.2">
      <c r="BJ20149" s="201"/>
    </row>
    <row r="20150" spans="62:62" x14ac:dyDescent="0.2">
      <c r="BJ20150" s="201"/>
    </row>
    <row r="20151" spans="62:62" x14ac:dyDescent="0.2">
      <c r="BJ20151" s="201"/>
    </row>
    <row r="20152" spans="62:62" x14ac:dyDescent="0.2">
      <c r="BJ20152" s="201"/>
    </row>
    <row r="20153" spans="62:62" x14ac:dyDescent="0.2">
      <c r="BJ20153" s="201"/>
    </row>
    <row r="20154" spans="62:62" x14ac:dyDescent="0.2">
      <c r="BJ20154" s="201"/>
    </row>
    <row r="20155" spans="62:62" x14ac:dyDescent="0.2">
      <c r="BJ20155" s="201"/>
    </row>
    <row r="20156" spans="62:62" x14ac:dyDescent="0.2">
      <c r="BJ20156" s="201"/>
    </row>
    <row r="20157" spans="62:62" x14ac:dyDescent="0.2">
      <c r="BJ20157" s="201"/>
    </row>
    <row r="20158" spans="62:62" x14ac:dyDescent="0.2">
      <c r="BJ20158" s="201"/>
    </row>
    <row r="20159" spans="62:62" x14ac:dyDescent="0.2">
      <c r="BJ20159" s="201"/>
    </row>
    <row r="20160" spans="62:62" x14ac:dyDescent="0.2">
      <c r="BJ20160" s="201"/>
    </row>
    <row r="20161" spans="62:62" x14ac:dyDescent="0.2">
      <c r="BJ20161" s="201"/>
    </row>
    <row r="20162" spans="62:62" x14ac:dyDescent="0.2">
      <c r="BJ20162" s="201"/>
    </row>
    <row r="20163" spans="62:62" x14ac:dyDescent="0.2">
      <c r="BJ20163" s="201"/>
    </row>
    <row r="20164" spans="62:62" x14ac:dyDescent="0.2">
      <c r="BJ20164" s="201"/>
    </row>
    <row r="20165" spans="62:62" x14ac:dyDescent="0.2">
      <c r="BJ20165" s="201"/>
    </row>
    <row r="20166" spans="62:62" x14ac:dyDescent="0.2">
      <c r="BJ20166" s="201"/>
    </row>
    <row r="20167" spans="62:62" x14ac:dyDescent="0.2">
      <c r="BJ20167" s="201"/>
    </row>
    <row r="20168" spans="62:62" x14ac:dyDescent="0.2">
      <c r="BJ20168" s="201"/>
    </row>
    <row r="20169" spans="62:62" x14ac:dyDescent="0.2">
      <c r="BJ20169" s="201"/>
    </row>
    <row r="20170" spans="62:62" x14ac:dyDescent="0.2">
      <c r="BJ20170" s="201"/>
    </row>
    <row r="20171" spans="62:62" x14ac:dyDescent="0.2">
      <c r="BJ20171" s="201"/>
    </row>
    <row r="20172" spans="62:62" x14ac:dyDescent="0.2">
      <c r="BJ20172" s="201"/>
    </row>
    <row r="20173" spans="62:62" x14ac:dyDescent="0.2">
      <c r="BJ20173" s="201"/>
    </row>
    <row r="20174" spans="62:62" x14ac:dyDescent="0.2">
      <c r="BJ20174" s="201"/>
    </row>
    <row r="20175" spans="62:62" x14ac:dyDescent="0.2">
      <c r="BJ20175" s="201"/>
    </row>
    <row r="20176" spans="62:62" x14ac:dyDescent="0.2">
      <c r="BJ20176" s="201"/>
    </row>
    <row r="20177" spans="62:62" x14ac:dyDescent="0.2">
      <c r="BJ20177" s="201"/>
    </row>
    <row r="20178" spans="62:62" x14ac:dyDescent="0.2">
      <c r="BJ20178" s="201"/>
    </row>
    <row r="20179" spans="62:62" x14ac:dyDescent="0.2">
      <c r="BJ20179" s="201"/>
    </row>
    <row r="20180" spans="62:62" x14ac:dyDescent="0.2">
      <c r="BJ20180" s="201"/>
    </row>
    <row r="20181" spans="62:62" x14ac:dyDescent="0.2">
      <c r="BJ20181" s="201"/>
    </row>
    <row r="20182" spans="62:62" x14ac:dyDescent="0.2">
      <c r="BJ20182" s="201"/>
    </row>
    <row r="20183" spans="62:62" x14ac:dyDescent="0.2">
      <c r="BJ20183" s="201"/>
    </row>
    <row r="20184" spans="62:62" x14ac:dyDescent="0.2">
      <c r="BJ20184" s="201"/>
    </row>
    <row r="20185" spans="62:62" x14ac:dyDescent="0.2">
      <c r="BJ20185" s="201"/>
    </row>
    <row r="20186" spans="62:62" x14ac:dyDescent="0.2">
      <c r="BJ20186" s="201"/>
    </row>
    <row r="20187" spans="62:62" x14ac:dyDescent="0.2">
      <c r="BJ20187" s="201"/>
    </row>
    <row r="20188" spans="62:62" x14ac:dyDescent="0.2">
      <c r="BJ20188" s="201"/>
    </row>
    <row r="20189" spans="62:62" x14ac:dyDescent="0.2">
      <c r="BJ20189" s="201"/>
    </row>
    <row r="20190" spans="62:62" x14ac:dyDescent="0.2">
      <c r="BJ20190" s="201"/>
    </row>
    <row r="20191" spans="62:62" x14ac:dyDescent="0.2">
      <c r="BJ20191" s="201"/>
    </row>
    <row r="20192" spans="62:62" x14ac:dyDescent="0.2">
      <c r="BJ20192" s="201"/>
    </row>
    <row r="20193" spans="62:62" x14ac:dyDescent="0.2">
      <c r="BJ20193" s="201"/>
    </row>
    <row r="20194" spans="62:62" x14ac:dyDescent="0.2">
      <c r="BJ20194" s="201"/>
    </row>
    <row r="20195" spans="62:62" x14ac:dyDescent="0.2">
      <c r="BJ20195" s="201"/>
    </row>
    <row r="20196" spans="62:62" x14ac:dyDescent="0.2">
      <c r="BJ20196" s="201"/>
    </row>
    <row r="20197" spans="62:62" x14ac:dyDescent="0.2">
      <c r="BJ20197" s="201"/>
    </row>
    <row r="20198" spans="62:62" x14ac:dyDescent="0.2">
      <c r="BJ20198" s="201"/>
    </row>
    <row r="20199" spans="62:62" x14ac:dyDescent="0.2">
      <c r="BJ20199" s="201"/>
    </row>
    <row r="20200" spans="62:62" x14ac:dyDescent="0.2">
      <c r="BJ20200" s="201"/>
    </row>
    <row r="20201" spans="62:62" x14ac:dyDescent="0.2">
      <c r="BJ20201" s="201"/>
    </row>
    <row r="20202" spans="62:62" x14ac:dyDescent="0.2">
      <c r="BJ20202" s="201"/>
    </row>
    <row r="20203" spans="62:62" x14ac:dyDescent="0.2">
      <c r="BJ20203" s="201"/>
    </row>
    <row r="20204" spans="62:62" x14ac:dyDescent="0.2">
      <c r="BJ20204" s="201"/>
    </row>
    <row r="20205" spans="62:62" x14ac:dyDescent="0.2">
      <c r="BJ20205" s="201"/>
    </row>
    <row r="20206" spans="62:62" x14ac:dyDescent="0.2">
      <c r="BJ20206" s="201"/>
    </row>
    <row r="20207" spans="62:62" x14ac:dyDescent="0.2">
      <c r="BJ20207" s="201"/>
    </row>
    <row r="20208" spans="62:62" x14ac:dyDescent="0.2">
      <c r="BJ20208" s="201"/>
    </row>
    <row r="20209" spans="62:62" x14ac:dyDescent="0.2">
      <c r="BJ20209" s="201"/>
    </row>
    <row r="20210" spans="62:62" x14ac:dyDescent="0.2">
      <c r="BJ20210" s="201"/>
    </row>
    <row r="20211" spans="62:62" x14ac:dyDescent="0.2">
      <c r="BJ20211" s="201"/>
    </row>
    <row r="20212" spans="62:62" x14ac:dyDescent="0.2">
      <c r="BJ20212" s="201"/>
    </row>
    <row r="20213" spans="62:62" x14ac:dyDescent="0.2">
      <c r="BJ20213" s="201"/>
    </row>
    <row r="20214" spans="62:62" x14ac:dyDescent="0.2">
      <c r="BJ20214" s="201"/>
    </row>
    <row r="20215" spans="62:62" x14ac:dyDescent="0.2">
      <c r="BJ20215" s="201"/>
    </row>
    <row r="20216" spans="62:62" x14ac:dyDescent="0.2">
      <c r="BJ20216" s="201"/>
    </row>
    <row r="20217" spans="62:62" x14ac:dyDescent="0.2">
      <c r="BJ20217" s="201"/>
    </row>
    <row r="20218" spans="62:62" x14ac:dyDescent="0.2">
      <c r="BJ20218" s="201"/>
    </row>
    <row r="20219" spans="62:62" x14ac:dyDescent="0.2">
      <c r="BJ20219" s="201"/>
    </row>
    <row r="20220" spans="62:62" x14ac:dyDescent="0.2">
      <c r="BJ20220" s="201"/>
    </row>
    <row r="20221" spans="62:62" x14ac:dyDescent="0.2">
      <c r="BJ20221" s="201"/>
    </row>
    <row r="20222" spans="62:62" x14ac:dyDescent="0.2">
      <c r="BJ20222" s="201"/>
    </row>
    <row r="20223" spans="62:62" x14ac:dyDescent="0.2">
      <c r="BJ20223" s="201"/>
    </row>
    <row r="20224" spans="62:62" x14ac:dyDescent="0.2">
      <c r="BJ20224" s="201"/>
    </row>
    <row r="20225" spans="62:62" x14ac:dyDescent="0.2">
      <c r="BJ20225" s="201"/>
    </row>
    <row r="20226" spans="62:62" x14ac:dyDescent="0.2">
      <c r="BJ20226" s="201"/>
    </row>
    <row r="20227" spans="62:62" x14ac:dyDescent="0.2">
      <c r="BJ20227" s="201"/>
    </row>
    <row r="20228" spans="62:62" x14ac:dyDescent="0.2">
      <c r="BJ20228" s="201"/>
    </row>
    <row r="20229" spans="62:62" x14ac:dyDescent="0.2">
      <c r="BJ20229" s="201"/>
    </row>
    <row r="20230" spans="62:62" x14ac:dyDescent="0.2">
      <c r="BJ20230" s="201"/>
    </row>
    <row r="20231" spans="62:62" x14ac:dyDescent="0.2">
      <c r="BJ20231" s="201"/>
    </row>
    <row r="20232" spans="62:62" x14ac:dyDescent="0.2">
      <c r="BJ20232" s="201"/>
    </row>
    <row r="20233" spans="62:62" x14ac:dyDescent="0.2">
      <c r="BJ20233" s="201"/>
    </row>
    <row r="20234" spans="62:62" x14ac:dyDescent="0.2">
      <c r="BJ20234" s="201"/>
    </row>
    <row r="20235" spans="62:62" x14ac:dyDescent="0.2">
      <c r="BJ20235" s="201"/>
    </row>
    <row r="20236" spans="62:62" x14ac:dyDescent="0.2">
      <c r="BJ20236" s="201"/>
    </row>
    <row r="20237" spans="62:62" x14ac:dyDescent="0.2">
      <c r="BJ20237" s="201"/>
    </row>
    <row r="20238" spans="62:62" x14ac:dyDescent="0.2">
      <c r="BJ20238" s="201"/>
    </row>
    <row r="20239" spans="62:62" x14ac:dyDescent="0.2">
      <c r="BJ20239" s="201"/>
    </row>
    <row r="20240" spans="62:62" x14ac:dyDescent="0.2">
      <c r="BJ20240" s="201"/>
    </row>
    <row r="20241" spans="62:62" x14ac:dyDescent="0.2">
      <c r="BJ20241" s="201"/>
    </row>
    <row r="20242" spans="62:62" x14ac:dyDescent="0.2">
      <c r="BJ20242" s="201"/>
    </row>
    <row r="20243" spans="62:62" x14ac:dyDescent="0.2">
      <c r="BJ20243" s="201"/>
    </row>
    <row r="20244" spans="62:62" x14ac:dyDescent="0.2">
      <c r="BJ20244" s="201"/>
    </row>
    <row r="20245" spans="62:62" x14ac:dyDescent="0.2">
      <c r="BJ20245" s="201"/>
    </row>
    <row r="20246" spans="62:62" x14ac:dyDescent="0.2">
      <c r="BJ20246" s="201"/>
    </row>
    <row r="20247" spans="62:62" x14ac:dyDescent="0.2">
      <c r="BJ20247" s="201"/>
    </row>
    <row r="20248" spans="62:62" x14ac:dyDescent="0.2">
      <c r="BJ20248" s="201"/>
    </row>
    <row r="20249" spans="62:62" x14ac:dyDescent="0.2">
      <c r="BJ20249" s="201"/>
    </row>
    <row r="20250" spans="62:62" x14ac:dyDescent="0.2">
      <c r="BJ20250" s="201"/>
    </row>
    <row r="20251" spans="62:62" x14ac:dyDescent="0.2">
      <c r="BJ20251" s="201"/>
    </row>
    <row r="20252" spans="62:62" x14ac:dyDescent="0.2">
      <c r="BJ20252" s="201"/>
    </row>
    <row r="20253" spans="62:62" x14ac:dyDescent="0.2">
      <c r="BJ20253" s="201"/>
    </row>
    <row r="20254" spans="62:62" x14ac:dyDescent="0.2">
      <c r="BJ20254" s="201"/>
    </row>
    <row r="20255" spans="62:62" x14ac:dyDescent="0.2">
      <c r="BJ20255" s="201"/>
    </row>
    <row r="20256" spans="62:62" x14ac:dyDescent="0.2">
      <c r="BJ20256" s="201"/>
    </row>
    <row r="20257" spans="62:62" x14ac:dyDescent="0.2">
      <c r="BJ20257" s="201"/>
    </row>
    <row r="20258" spans="62:62" x14ac:dyDescent="0.2">
      <c r="BJ20258" s="201"/>
    </row>
    <row r="20259" spans="62:62" x14ac:dyDescent="0.2">
      <c r="BJ20259" s="201"/>
    </row>
    <row r="20260" spans="62:62" x14ac:dyDescent="0.2">
      <c r="BJ20260" s="201"/>
    </row>
    <row r="20261" spans="62:62" x14ac:dyDescent="0.2">
      <c r="BJ20261" s="201"/>
    </row>
    <row r="20262" spans="62:62" x14ac:dyDescent="0.2">
      <c r="BJ20262" s="201"/>
    </row>
    <row r="20263" spans="62:62" x14ac:dyDescent="0.2">
      <c r="BJ20263" s="201"/>
    </row>
    <row r="20264" spans="62:62" x14ac:dyDescent="0.2">
      <c r="BJ20264" s="201"/>
    </row>
    <row r="20265" spans="62:62" x14ac:dyDescent="0.2">
      <c r="BJ20265" s="201"/>
    </row>
    <row r="20266" spans="62:62" x14ac:dyDescent="0.2">
      <c r="BJ20266" s="201"/>
    </row>
    <row r="20267" spans="62:62" x14ac:dyDescent="0.2">
      <c r="BJ20267" s="201"/>
    </row>
    <row r="20268" spans="62:62" x14ac:dyDescent="0.2">
      <c r="BJ20268" s="201"/>
    </row>
    <row r="20269" spans="62:62" x14ac:dyDescent="0.2">
      <c r="BJ20269" s="201"/>
    </row>
    <row r="20270" spans="62:62" x14ac:dyDescent="0.2">
      <c r="BJ20270" s="201"/>
    </row>
    <row r="20271" spans="62:62" x14ac:dyDescent="0.2">
      <c r="BJ20271" s="201"/>
    </row>
    <row r="20272" spans="62:62" x14ac:dyDescent="0.2">
      <c r="BJ20272" s="201"/>
    </row>
    <row r="20273" spans="62:62" x14ac:dyDescent="0.2">
      <c r="BJ20273" s="201"/>
    </row>
    <row r="20274" spans="62:62" x14ac:dyDescent="0.2">
      <c r="BJ20274" s="201"/>
    </row>
    <row r="20275" spans="62:62" x14ac:dyDescent="0.2">
      <c r="BJ20275" s="201"/>
    </row>
    <row r="20276" spans="62:62" x14ac:dyDescent="0.2">
      <c r="BJ20276" s="201"/>
    </row>
    <row r="20277" spans="62:62" x14ac:dyDescent="0.2">
      <c r="BJ20277" s="201"/>
    </row>
    <row r="20278" spans="62:62" x14ac:dyDescent="0.2">
      <c r="BJ20278" s="201"/>
    </row>
    <row r="20279" spans="62:62" x14ac:dyDescent="0.2">
      <c r="BJ20279" s="201"/>
    </row>
    <row r="20280" spans="62:62" x14ac:dyDescent="0.2">
      <c r="BJ20280" s="201"/>
    </row>
    <row r="20281" spans="62:62" x14ac:dyDescent="0.2">
      <c r="BJ20281" s="201"/>
    </row>
    <row r="20282" spans="62:62" x14ac:dyDescent="0.2">
      <c r="BJ20282" s="201"/>
    </row>
    <row r="20283" spans="62:62" x14ac:dyDescent="0.2">
      <c r="BJ20283" s="201"/>
    </row>
    <row r="20284" spans="62:62" x14ac:dyDescent="0.2">
      <c r="BJ20284" s="201"/>
    </row>
    <row r="20285" spans="62:62" x14ac:dyDescent="0.2">
      <c r="BJ20285" s="201"/>
    </row>
    <row r="20286" spans="62:62" x14ac:dyDescent="0.2">
      <c r="BJ20286" s="201"/>
    </row>
    <row r="20287" spans="62:62" x14ac:dyDescent="0.2">
      <c r="BJ20287" s="201"/>
    </row>
    <row r="20288" spans="62:62" x14ac:dyDescent="0.2">
      <c r="BJ20288" s="201"/>
    </row>
    <row r="20289" spans="62:62" x14ac:dyDescent="0.2">
      <c r="BJ20289" s="201"/>
    </row>
    <row r="20290" spans="62:62" x14ac:dyDescent="0.2">
      <c r="BJ20290" s="201"/>
    </row>
    <row r="20291" spans="62:62" x14ac:dyDescent="0.2">
      <c r="BJ20291" s="201"/>
    </row>
    <row r="20292" spans="62:62" x14ac:dyDescent="0.2">
      <c r="BJ20292" s="201"/>
    </row>
    <row r="20293" spans="62:62" x14ac:dyDescent="0.2">
      <c r="BJ20293" s="201"/>
    </row>
    <row r="20294" spans="62:62" x14ac:dyDescent="0.2">
      <c r="BJ20294" s="201"/>
    </row>
    <row r="20295" spans="62:62" x14ac:dyDescent="0.2">
      <c r="BJ20295" s="201"/>
    </row>
    <row r="20296" spans="62:62" x14ac:dyDescent="0.2">
      <c r="BJ20296" s="201"/>
    </row>
    <row r="20297" spans="62:62" x14ac:dyDescent="0.2">
      <c r="BJ20297" s="201"/>
    </row>
    <row r="20298" spans="62:62" x14ac:dyDescent="0.2">
      <c r="BJ20298" s="201"/>
    </row>
    <row r="20299" spans="62:62" x14ac:dyDescent="0.2">
      <c r="BJ20299" s="201"/>
    </row>
    <row r="20300" spans="62:62" x14ac:dyDescent="0.2">
      <c r="BJ20300" s="201"/>
    </row>
    <row r="20301" spans="62:62" x14ac:dyDescent="0.2">
      <c r="BJ20301" s="201"/>
    </row>
    <row r="20302" spans="62:62" x14ac:dyDescent="0.2">
      <c r="BJ20302" s="201"/>
    </row>
    <row r="20303" spans="62:62" x14ac:dyDescent="0.2">
      <c r="BJ20303" s="201"/>
    </row>
    <row r="20304" spans="62:62" x14ac:dyDescent="0.2">
      <c r="BJ20304" s="201"/>
    </row>
    <row r="20305" spans="62:62" x14ac:dyDescent="0.2">
      <c r="BJ20305" s="201"/>
    </row>
    <row r="20306" spans="62:62" x14ac:dyDescent="0.2">
      <c r="BJ20306" s="201"/>
    </row>
    <row r="20307" spans="62:62" x14ac:dyDescent="0.2">
      <c r="BJ20307" s="201"/>
    </row>
    <row r="20308" spans="62:62" x14ac:dyDescent="0.2">
      <c r="BJ20308" s="201"/>
    </row>
    <row r="20309" spans="62:62" x14ac:dyDescent="0.2">
      <c r="BJ20309" s="201"/>
    </row>
    <row r="20310" spans="62:62" x14ac:dyDescent="0.2">
      <c r="BJ20310" s="201"/>
    </row>
    <row r="20311" spans="62:62" x14ac:dyDescent="0.2">
      <c r="BJ20311" s="201"/>
    </row>
    <row r="20312" spans="62:62" x14ac:dyDescent="0.2">
      <c r="BJ20312" s="201"/>
    </row>
    <row r="20313" spans="62:62" x14ac:dyDescent="0.2">
      <c r="BJ20313" s="201"/>
    </row>
    <row r="20314" spans="62:62" x14ac:dyDescent="0.2">
      <c r="BJ20314" s="201"/>
    </row>
    <row r="20315" spans="62:62" x14ac:dyDescent="0.2">
      <c r="BJ20315" s="201"/>
    </row>
    <row r="20316" spans="62:62" x14ac:dyDescent="0.2">
      <c r="BJ20316" s="201"/>
    </row>
    <row r="20317" spans="62:62" x14ac:dyDescent="0.2">
      <c r="BJ20317" s="201"/>
    </row>
    <row r="20318" spans="62:62" x14ac:dyDescent="0.2">
      <c r="BJ20318" s="201"/>
    </row>
    <row r="20319" spans="62:62" x14ac:dyDescent="0.2">
      <c r="BJ20319" s="201"/>
    </row>
    <row r="20320" spans="62:62" x14ac:dyDescent="0.2">
      <c r="BJ20320" s="201"/>
    </row>
    <row r="20321" spans="62:62" x14ac:dyDescent="0.2">
      <c r="BJ20321" s="201"/>
    </row>
    <row r="20322" spans="62:62" x14ac:dyDescent="0.2">
      <c r="BJ20322" s="201"/>
    </row>
    <row r="20323" spans="62:62" x14ac:dyDescent="0.2">
      <c r="BJ20323" s="201"/>
    </row>
    <row r="20324" spans="62:62" x14ac:dyDescent="0.2">
      <c r="BJ20324" s="201"/>
    </row>
    <row r="20325" spans="62:62" x14ac:dyDescent="0.2">
      <c r="BJ20325" s="201"/>
    </row>
    <row r="20326" spans="62:62" x14ac:dyDescent="0.2">
      <c r="BJ20326" s="201"/>
    </row>
    <row r="20327" spans="62:62" x14ac:dyDescent="0.2">
      <c r="BJ20327" s="201"/>
    </row>
    <row r="20328" spans="62:62" x14ac:dyDescent="0.2">
      <c r="BJ20328" s="201"/>
    </row>
    <row r="20329" spans="62:62" x14ac:dyDescent="0.2">
      <c r="BJ20329" s="201"/>
    </row>
    <row r="20330" spans="62:62" x14ac:dyDescent="0.2">
      <c r="BJ20330" s="201"/>
    </row>
    <row r="20331" spans="62:62" x14ac:dyDescent="0.2">
      <c r="BJ20331" s="201"/>
    </row>
    <row r="20332" spans="62:62" x14ac:dyDescent="0.2">
      <c r="BJ20332" s="201"/>
    </row>
    <row r="20333" spans="62:62" x14ac:dyDescent="0.2">
      <c r="BJ20333" s="201"/>
    </row>
    <row r="20334" spans="62:62" x14ac:dyDescent="0.2">
      <c r="BJ20334" s="201"/>
    </row>
    <row r="20335" spans="62:62" x14ac:dyDescent="0.2">
      <c r="BJ20335" s="201"/>
    </row>
    <row r="20336" spans="62:62" x14ac:dyDescent="0.2">
      <c r="BJ20336" s="201"/>
    </row>
    <row r="20337" spans="62:62" x14ac:dyDescent="0.2">
      <c r="BJ20337" s="201"/>
    </row>
    <row r="20338" spans="62:62" x14ac:dyDescent="0.2">
      <c r="BJ20338" s="201"/>
    </row>
    <row r="20339" spans="62:62" x14ac:dyDescent="0.2">
      <c r="BJ20339" s="201"/>
    </row>
    <row r="20340" spans="62:62" x14ac:dyDescent="0.2">
      <c r="BJ20340" s="201"/>
    </row>
    <row r="20341" spans="62:62" x14ac:dyDescent="0.2">
      <c r="BJ20341" s="201"/>
    </row>
    <row r="20342" spans="62:62" x14ac:dyDescent="0.2">
      <c r="BJ20342" s="201"/>
    </row>
    <row r="20343" spans="62:62" x14ac:dyDescent="0.2">
      <c r="BJ20343" s="201"/>
    </row>
    <row r="20344" spans="62:62" x14ac:dyDescent="0.2">
      <c r="BJ20344" s="201"/>
    </row>
    <row r="20345" spans="62:62" x14ac:dyDescent="0.2">
      <c r="BJ20345" s="201"/>
    </row>
    <row r="20346" spans="62:62" x14ac:dyDescent="0.2">
      <c r="BJ20346" s="201"/>
    </row>
    <row r="20347" spans="62:62" x14ac:dyDescent="0.2">
      <c r="BJ20347" s="201"/>
    </row>
    <row r="20348" spans="62:62" x14ac:dyDescent="0.2">
      <c r="BJ20348" s="201"/>
    </row>
    <row r="20349" spans="62:62" x14ac:dyDescent="0.2">
      <c r="BJ20349" s="201"/>
    </row>
    <row r="20350" spans="62:62" x14ac:dyDescent="0.2">
      <c r="BJ20350" s="201"/>
    </row>
    <row r="20351" spans="62:62" x14ac:dyDescent="0.2">
      <c r="BJ20351" s="201"/>
    </row>
    <row r="20352" spans="62:62" x14ac:dyDescent="0.2">
      <c r="BJ20352" s="201"/>
    </row>
    <row r="20353" spans="62:62" x14ac:dyDescent="0.2">
      <c r="BJ20353" s="201"/>
    </row>
    <row r="20354" spans="62:62" x14ac:dyDescent="0.2">
      <c r="BJ20354" s="201"/>
    </row>
    <row r="20355" spans="62:62" x14ac:dyDescent="0.2">
      <c r="BJ20355" s="201"/>
    </row>
    <row r="20356" spans="62:62" x14ac:dyDescent="0.2">
      <c r="BJ20356" s="201"/>
    </row>
    <row r="20357" spans="62:62" x14ac:dyDescent="0.2">
      <c r="BJ20357" s="201"/>
    </row>
    <row r="20358" spans="62:62" x14ac:dyDescent="0.2">
      <c r="BJ20358" s="201"/>
    </row>
    <row r="20359" spans="62:62" x14ac:dyDescent="0.2">
      <c r="BJ20359" s="201"/>
    </row>
    <row r="20360" spans="62:62" x14ac:dyDescent="0.2">
      <c r="BJ20360" s="201"/>
    </row>
    <row r="20361" spans="62:62" x14ac:dyDescent="0.2">
      <c r="BJ20361" s="201"/>
    </row>
    <row r="20362" spans="62:62" x14ac:dyDescent="0.2">
      <c r="BJ20362" s="201"/>
    </row>
    <row r="20363" spans="62:62" x14ac:dyDescent="0.2">
      <c r="BJ20363" s="201"/>
    </row>
    <row r="20364" spans="62:62" x14ac:dyDescent="0.2">
      <c r="BJ20364" s="201"/>
    </row>
    <row r="20365" spans="62:62" x14ac:dyDescent="0.2">
      <c r="BJ20365" s="201"/>
    </row>
    <row r="20366" spans="62:62" x14ac:dyDescent="0.2">
      <c r="BJ20366" s="201"/>
    </row>
    <row r="20367" spans="62:62" x14ac:dyDescent="0.2">
      <c r="BJ20367" s="201"/>
    </row>
    <row r="20368" spans="62:62" x14ac:dyDescent="0.2">
      <c r="BJ20368" s="201"/>
    </row>
    <row r="20369" spans="62:62" x14ac:dyDescent="0.2">
      <c r="BJ20369" s="201"/>
    </row>
    <row r="20370" spans="62:62" x14ac:dyDescent="0.2">
      <c r="BJ20370" s="201"/>
    </row>
    <row r="20371" spans="62:62" x14ac:dyDescent="0.2">
      <c r="BJ20371" s="201"/>
    </row>
    <row r="20372" spans="62:62" x14ac:dyDescent="0.2">
      <c r="BJ20372" s="201"/>
    </row>
    <row r="20373" spans="62:62" x14ac:dyDescent="0.2">
      <c r="BJ20373" s="201"/>
    </row>
    <row r="20374" spans="62:62" x14ac:dyDescent="0.2">
      <c r="BJ20374" s="201"/>
    </row>
    <row r="20375" spans="62:62" x14ac:dyDescent="0.2">
      <c r="BJ20375" s="201"/>
    </row>
    <row r="20376" spans="62:62" x14ac:dyDescent="0.2">
      <c r="BJ20376" s="201"/>
    </row>
    <row r="20377" spans="62:62" x14ac:dyDescent="0.2">
      <c r="BJ20377" s="201"/>
    </row>
    <row r="20378" spans="62:62" x14ac:dyDescent="0.2">
      <c r="BJ20378" s="201"/>
    </row>
    <row r="20379" spans="62:62" x14ac:dyDescent="0.2">
      <c r="BJ20379" s="201"/>
    </row>
    <row r="20380" spans="62:62" x14ac:dyDescent="0.2">
      <c r="BJ20380" s="201"/>
    </row>
    <row r="20381" spans="62:62" x14ac:dyDescent="0.2">
      <c r="BJ20381" s="201"/>
    </row>
    <row r="20382" spans="62:62" x14ac:dyDescent="0.2">
      <c r="BJ20382" s="201"/>
    </row>
    <row r="20383" spans="62:62" x14ac:dyDescent="0.2">
      <c r="BJ20383" s="201"/>
    </row>
    <row r="20384" spans="62:62" x14ac:dyDescent="0.2">
      <c r="BJ20384" s="201"/>
    </row>
    <row r="20385" spans="62:62" x14ac:dyDescent="0.2">
      <c r="BJ20385" s="201"/>
    </row>
    <row r="20386" spans="62:62" x14ac:dyDescent="0.2">
      <c r="BJ20386" s="201"/>
    </row>
    <row r="20387" spans="62:62" x14ac:dyDescent="0.2">
      <c r="BJ20387" s="201"/>
    </row>
    <row r="20388" spans="62:62" x14ac:dyDescent="0.2">
      <c r="BJ20388" s="201"/>
    </row>
    <row r="20389" spans="62:62" x14ac:dyDescent="0.2">
      <c r="BJ20389" s="201"/>
    </row>
    <row r="20390" spans="62:62" x14ac:dyDescent="0.2">
      <c r="BJ20390" s="201"/>
    </row>
    <row r="20391" spans="62:62" x14ac:dyDescent="0.2">
      <c r="BJ20391" s="201"/>
    </row>
    <row r="20392" spans="62:62" x14ac:dyDescent="0.2">
      <c r="BJ20392" s="201"/>
    </row>
    <row r="20393" spans="62:62" x14ac:dyDescent="0.2">
      <c r="BJ20393" s="201"/>
    </row>
    <row r="20394" spans="62:62" x14ac:dyDescent="0.2">
      <c r="BJ20394" s="201"/>
    </row>
    <row r="20395" spans="62:62" x14ac:dyDescent="0.2">
      <c r="BJ20395" s="201"/>
    </row>
    <row r="20396" spans="62:62" x14ac:dyDescent="0.2">
      <c r="BJ20396" s="201"/>
    </row>
    <row r="20397" spans="62:62" x14ac:dyDescent="0.2">
      <c r="BJ20397" s="201"/>
    </row>
    <row r="20398" spans="62:62" x14ac:dyDescent="0.2">
      <c r="BJ20398" s="201"/>
    </row>
    <row r="20399" spans="62:62" x14ac:dyDescent="0.2">
      <c r="BJ20399" s="201"/>
    </row>
    <row r="20400" spans="62:62" x14ac:dyDescent="0.2">
      <c r="BJ20400" s="201"/>
    </row>
    <row r="20401" spans="62:62" x14ac:dyDescent="0.2">
      <c r="BJ20401" s="201"/>
    </row>
    <row r="20402" spans="62:62" x14ac:dyDescent="0.2">
      <c r="BJ20402" s="201"/>
    </row>
    <row r="20403" spans="62:62" x14ac:dyDescent="0.2">
      <c r="BJ20403" s="201"/>
    </row>
    <row r="20404" spans="62:62" x14ac:dyDescent="0.2">
      <c r="BJ20404" s="201"/>
    </row>
    <row r="20405" spans="62:62" x14ac:dyDescent="0.2">
      <c r="BJ20405" s="201"/>
    </row>
    <row r="20406" spans="62:62" x14ac:dyDescent="0.2">
      <c r="BJ20406" s="201"/>
    </row>
    <row r="20407" spans="62:62" x14ac:dyDescent="0.2">
      <c r="BJ20407" s="201"/>
    </row>
    <row r="20408" spans="62:62" x14ac:dyDescent="0.2">
      <c r="BJ20408" s="201"/>
    </row>
    <row r="20409" spans="62:62" x14ac:dyDescent="0.2">
      <c r="BJ20409" s="201"/>
    </row>
    <row r="20410" spans="62:62" x14ac:dyDescent="0.2">
      <c r="BJ20410" s="201"/>
    </row>
    <row r="20411" spans="62:62" x14ac:dyDescent="0.2">
      <c r="BJ20411" s="201"/>
    </row>
    <row r="20412" spans="62:62" x14ac:dyDescent="0.2">
      <c r="BJ20412" s="201"/>
    </row>
    <row r="20413" spans="62:62" x14ac:dyDescent="0.2">
      <c r="BJ20413" s="201"/>
    </row>
    <row r="20414" spans="62:62" x14ac:dyDescent="0.2">
      <c r="BJ20414" s="201"/>
    </row>
    <row r="20415" spans="62:62" x14ac:dyDescent="0.2">
      <c r="BJ20415" s="201"/>
    </row>
    <row r="20416" spans="62:62" x14ac:dyDescent="0.2">
      <c r="BJ20416" s="201"/>
    </row>
    <row r="20417" spans="62:62" x14ac:dyDescent="0.2">
      <c r="BJ20417" s="201"/>
    </row>
    <row r="20418" spans="62:62" x14ac:dyDescent="0.2">
      <c r="BJ20418" s="201"/>
    </row>
    <row r="20419" spans="62:62" x14ac:dyDescent="0.2">
      <c r="BJ20419" s="201"/>
    </row>
    <row r="20420" spans="62:62" x14ac:dyDescent="0.2">
      <c r="BJ20420" s="201"/>
    </row>
    <row r="20421" spans="62:62" x14ac:dyDescent="0.2">
      <c r="BJ20421" s="201"/>
    </row>
    <row r="20422" spans="62:62" x14ac:dyDescent="0.2">
      <c r="BJ20422" s="201"/>
    </row>
    <row r="20423" spans="62:62" x14ac:dyDescent="0.2">
      <c r="BJ20423" s="201"/>
    </row>
    <row r="20424" spans="62:62" x14ac:dyDescent="0.2">
      <c r="BJ20424" s="201"/>
    </row>
    <row r="20425" spans="62:62" x14ac:dyDescent="0.2">
      <c r="BJ20425" s="201"/>
    </row>
    <row r="20426" spans="62:62" x14ac:dyDescent="0.2">
      <c r="BJ20426" s="201"/>
    </row>
    <row r="20427" spans="62:62" x14ac:dyDescent="0.2">
      <c r="BJ20427" s="201"/>
    </row>
    <row r="20428" spans="62:62" x14ac:dyDescent="0.2">
      <c r="BJ20428" s="201"/>
    </row>
    <row r="20429" spans="62:62" x14ac:dyDescent="0.2">
      <c r="BJ20429" s="201"/>
    </row>
    <row r="20430" spans="62:62" x14ac:dyDescent="0.2">
      <c r="BJ20430" s="201"/>
    </row>
    <row r="20431" spans="62:62" x14ac:dyDescent="0.2">
      <c r="BJ20431" s="201"/>
    </row>
    <row r="20432" spans="62:62" x14ac:dyDescent="0.2">
      <c r="BJ20432" s="201"/>
    </row>
    <row r="20433" spans="62:62" x14ac:dyDescent="0.2">
      <c r="BJ20433" s="201"/>
    </row>
    <row r="20434" spans="62:62" x14ac:dyDescent="0.2">
      <c r="BJ20434" s="201"/>
    </row>
    <row r="20435" spans="62:62" x14ac:dyDescent="0.2">
      <c r="BJ20435" s="201"/>
    </row>
    <row r="20436" spans="62:62" x14ac:dyDescent="0.2">
      <c r="BJ20436" s="201"/>
    </row>
    <row r="20437" spans="62:62" x14ac:dyDescent="0.2">
      <c r="BJ20437" s="201"/>
    </row>
    <row r="20438" spans="62:62" x14ac:dyDescent="0.2">
      <c r="BJ20438" s="201"/>
    </row>
    <row r="20439" spans="62:62" x14ac:dyDescent="0.2">
      <c r="BJ20439" s="201"/>
    </row>
    <row r="20440" spans="62:62" x14ac:dyDescent="0.2">
      <c r="BJ20440" s="201"/>
    </row>
    <row r="20441" spans="62:62" x14ac:dyDescent="0.2">
      <c r="BJ20441" s="201"/>
    </row>
    <row r="20442" spans="62:62" x14ac:dyDescent="0.2">
      <c r="BJ20442" s="201"/>
    </row>
    <row r="20443" spans="62:62" x14ac:dyDescent="0.2">
      <c r="BJ20443" s="201"/>
    </row>
    <row r="20444" spans="62:62" x14ac:dyDescent="0.2">
      <c r="BJ20444" s="201"/>
    </row>
    <row r="20445" spans="62:62" x14ac:dyDescent="0.2">
      <c r="BJ20445" s="201"/>
    </row>
    <row r="20446" spans="62:62" x14ac:dyDescent="0.2">
      <c r="BJ20446" s="201"/>
    </row>
    <row r="20447" spans="62:62" x14ac:dyDescent="0.2">
      <c r="BJ20447" s="201"/>
    </row>
    <row r="20448" spans="62:62" x14ac:dyDescent="0.2">
      <c r="BJ20448" s="201"/>
    </row>
    <row r="20449" spans="62:62" x14ac:dyDescent="0.2">
      <c r="BJ20449" s="201"/>
    </row>
    <row r="20450" spans="62:62" x14ac:dyDescent="0.2">
      <c r="BJ20450" s="201"/>
    </row>
    <row r="20451" spans="62:62" x14ac:dyDescent="0.2">
      <c r="BJ20451" s="201"/>
    </row>
    <row r="20452" spans="62:62" x14ac:dyDescent="0.2">
      <c r="BJ20452" s="201"/>
    </row>
    <row r="20453" spans="62:62" x14ac:dyDescent="0.2">
      <c r="BJ20453" s="201"/>
    </row>
    <row r="20454" spans="62:62" x14ac:dyDescent="0.2">
      <c r="BJ20454" s="201"/>
    </row>
    <row r="20455" spans="62:62" x14ac:dyDescent="0.2">
      <c r="BJ20455" s="201"/>
    </row>
    <row r="20456" spans="62:62" x14ac:dyDescent="0.2">
      <c r="BJ20456" s="201"/>
    </row>
    <row r="20457" spans="62:62" x14ac:dyDescent="0.2">
      <c r="BJ20457" s="201"/>
    </row>
    <row r="20458" spans="62:62" x14ac:dyDescent="0.2">
      <c r="BJ20458" s="201"/>
    </row>
    <row r="20459" spans="62:62" x14ac:dyDescent="0.2">
      <c r="BJ20459" s="201"/>
    </row>
    <row r="20460" spans="62:62" x14ac:dyDescent="0.2">
      <c r="BJ20460" s="201"/>
    </row>
    <row r="20461" spans="62:62" x14ac:dyDescent="0.2">
      <c r="BJ20461" s="201"/>
    </row>
    <row r="20462" spans="62:62" x14ac:dyDescent="0.2">
      <c r="BJ20462" s="201"/>
    </row>
    <row r="20463" spans="62:62" x14ac:dyDescent="0.2">
      <c r="BJ20463" s="201"/>
    </row>
    <row r="20464" spans="62:62" x14ac:dyDescent="0.2">
      <c r="BJ20464" s="201"/>
    </row>
    <row r="20465" spans="62:62" x14ac:dyDescent="0.2">
      <c r="BJ20465" s="201"/>
    </row>
    <row r="20466" spans="62:62" x14ac:dyDescent="0.2">
      <c r="BJ20466" s="201"/>
    </row>
    <row r="20467" spans="62:62" x14ac:dyDescent="0.2">
      <c r="BJ20467" s="201"/>
    </row>
    <row r="20468" spans="62:62" x14ac:dyDescent="0.2">
      <c r="BJ20468" s="201"/>
    </row>
    <row r="20469" spans="62:62" x14ac:dyDescent="0.2">
      <c r="BJ20469" s="201"/>
    </row>
    <row r="20470" spans="62:62" x14ac:dyDescent="0.2">
      <c r="BJ20470" s="201"/>
    </row>
    <row r="20471" spans="62:62" x14ac:dyDescent="0.2">
      <c r="BJ20471" s="201"/>
    </row>
    <row r="20472" spans="62:62" x14ac:dyDescent="0.2">
      <c r="BJ20472" s="201"/>
    </row>
    <row r="20473" spans="62:62" x14ac:dyDescent="0.2">
      <c r="BJ20473" s="201"/>
    </row>
    <row r="20474" spans="62:62" x14ac:dyDescent="0.2">
      <c r="BJ20474" s="201"/>
    </row>
    <row r="20475" spans="62:62" x14ac:dyDescent="0.2">
      <c r="BJ20475" s="201"/>
    </row>
    <row r="20476" spans="62:62" x14ac:dyDescent="0.2">
      <c r="BJ20476" s="201"/>
    </row>
    <row r="20477" spans="62:62" x14ac:dyDescent="0.2">
      <c r="BJ20477" s="201"/>
    </row>
    <row r="20478" spans="62:62" x14ac:dyDescent="0.2">
      <c r="BJ20478" s="201"/>
    </row>
    <row r="20479" spans="62:62" x14ac:dyDescent="0.2">
      <c r="BJ20479" s="201"/>
    </row>
    <row r="20480" spans="62:62" x14ac:dyDescent="0.2">
      <c r="BJ20480" s="201"/>
    </row>
    <row r="20481" spans="62:62" x14ac:dyDescent="0.2">
      <c r="BJ20481" s="201"/>
    </row>
    <row r="20482" spans="62:62" x14ac:dyDescent="0.2">
      <c r="BJ20482" s="201"/>
    </row>
    <row r="20483" spans="62:62" x14ac:dyDescent="0.2">
      <c r="BJ20483" s="201"/>
    </row>
    <row r="20484" spans="62:62" x14ac:dyDescent="0.2">
      <c r="BJ20484" s="201"/>
    </row>
    <row r="20485" spans="62:62" x14ac:dyDescent="0.2">
      <c r="BJ20485" s="201"/>
    </row>
    <row r="20486" spans="62:62" x14ac:dyDescent="0.2">
      <c r="BJ20486" s="201"/>
    </row>
    <row r="20487" spans="62:62" x14ac:dyDescent="0.2">
      <c r="BJ20487" s="201"/>
    </row>
    <row r="20488" spans="62:62" x14ac:dyDescent="0.2">
      <c r="BJ20488" s="201"/>
    </row>
    <row r="20489" spans="62:62" x14ac:dyDescent="0.2">
      <c r="BJ20489" s="201"/>
    </row>
    <row r="20490" spans="62:62" x14ac:dyDescent="0.2">
      <c r="BJ20490" s="201"/>
    </row>
    <row r="20491" spans="62:62" x14ac:dyDescent="0.2">
      <c r="BJ20491" s="201"/>
    </row>
    <row r="20492" spans="62:62" x14ac:dyDescent="0.2">
      <c r="BJ20492" s="201"/>
    </row>
    <row r="20493" spans="62:62" x14ac:dyDescent="0.2">
      <c r="BJ20493" s="201"/>
    </row>
    <row r="20494" spans="62:62" x14ac:dyDescent="0.2">
      <c r="BJ20494" s="201"/>
    </row>
    <row r="20495" spans="62:62" x14ac:dyDescent="0.2">
      <c r="BJ20495" s="201"/>
    </row>
    <row r="20496" spans="62:62" x14ac:dyDescent="0.2">
      <c r="BJ20496" s="201"/>
    </row>
    <row r="20497" spans="62:62" x14ac:dyDescent="0.2">
      <c r="BJ20497" s="201"/>
    </row>
    <row r="20498" spans="62:62" x14ac:dyDescent="0.2">
      <c r="BJ20498" s="201"/>
    </row>
    <row r="20499" spans="62:62" x14ac:dyDescent="0.2">
      <c r="BJ20499" s="201"/>
    </row>
    <row r="20500" spans="62:62" x14ac:dyDescent="0.2">
      <c r="BJ20500" s="201"/>
    </row>
    <row r="20501" spans="62:62" x14ac:dyDescent="0.2">
      <c r="BJ20501" s="201"/>
    </row>
    <row r="20502" spans="62:62" x14ac:dyDescent="0.2">
      <c r="BJ20502" s="201"/>
    </row>
    <row r="20503" spans="62:62" x14ac:dyDescent="0.2">
      <c r="BJ20503" s="201"/>
    </row>
    <row r="20504" spans="62:62" x14ac:dyDescent="0.2">
      <c r="BJ20504" s="201"/>
    </row>
    <row r="20505" spans="62:62" x14ac:dyDescent="0.2">
      <c r="BJ20505" s="201"/>
    </row>
    <row r="20506" spans="62:62" x14ac:dyDescent="0.2">
      <c r="BJ20506" s="201"/>
    </row>
    <row r="20507" spans="62:62" x14ac:dyDescent="0.2">
      <c r="BJ20507" s="201"/>
    </row>
    <row r="20508" spans="62:62" x14ac:dyDescent="0.2">
      <c r="BJ20508" s="201"/>
    </row>
    <row r="20509" spans="62:62" x14ac:dyDescent="0.2">
      <c r="BJ20509" s="201"/>
    </row>
    <row r="20510" spans="62:62" x14ac:dyDescent="0.2">
      <c r="BJ20510" s="201"/>
    </row>
    <row r="20511" spans="62:62" x14ac:dyDescent="0.2">
      <c r="BJ20511" s="201"/>
    </row>
    <row r="20512" spans="62:62" x14ac:dyDescent="0.2">
      <c r="BJ20512" s="201"/>
    </row>
    <row r="20513" spans="62:62" x14ac:dyDescent="0.2">
      <c r="BJ20513" s="201"/>
    </row>
    <row r="20514" spans="62:62" x14ac:dyDescent="0.2">
      <c r="BJ20514" s="201"/>
    </row>
    <row r="20515" spans="62:62" x14ac:dyDescent="0.2">
      <c r="BJ20515" s="201"/>
    </row>
    <row r="20516" spans="62:62" x14ac:dyDescent="0.2">
      <c r="BJ20516" s="201"/>
    </row>
    <row r="20517" spans="62:62" x14ac:dyDescent="0.2">
      <c r="BJ20517" s="201"/>
    </row>
    <row r="20518" spans="62:62" x14ac:dyDescent="0.2">
      <c r="BJ20518" s="201"/>
    </row>
    <row r="20519" spans="62:62" x14ac:dyDescent="0.2">
      <c r="BJ20519" s="201"/>
    </row>
    <row r="20520" spans="62:62" x14ac:dyDescent="0.2">
      <c r="BJ20520" s="201"/>
    </row>
    <row r="20521" spans="62:62" x14ac:dyDescent="0.2">
      <c r="BJ20521" s="201"/>
    </row>
    <row r="20522" spans="62:62" x14ac:dyDescent="0.2">
      <c r="BJ20522" s="201"/>
    </row>
    <row r="20523" spans="62:62" x14ac:dyDescent="0.2">
      <c r="BJ20523" s="201"/>
    </row>
    <row r="20524" spans="62:62" x14ac:dyDescent="0.2">
      <c r="BJ20524" s="201"/>
    </row>
    <row r="20525" spans="62:62" x14ac:dyDescent="0.2">
      <c r="BJ20525" s="201"/>
    </row>
    <row r="20526" spans="62:62" x14ac:dyDescent="0.2">
      <c r="BJ20526" s="201"/>
    </row>
    <row r="20527" spans="62:62" x14ac:dyDescent="0.2">
      <c r="BJ20527" s="201"/>
    </row>
    <row r="20528" spans="62:62" x14ac:dyDescent="0.2">
      <c r="BJ20528" s="201"/>
    </row>
    <row r="20529" spans="62:62" x14ac:dyDescent="0.2">
      <c r="BJ20529" s="201"/>
    </row>
    <row r="20530" spans="62:62" x14ac:dyDescent="0.2">
      <c r="BJ20530" s="201"/>
    </row>
    <row r="20531" spans="62:62" x14ac:dyDescent="0.2">
      <c r="BJ20531" s="201"/>
    </row>
    <row r="20532" spans="62:62" x14ac:dyDescent="0.2">
      <c r="BJ20532" s="201"/>
    </row>
    <row r="20533" spans="62:62" x14ac:dyDescent="0.2">
      <c r="BJ20533" s="201"/>
    </row>
    <row r="20534" spans="62:62" x14ac:dyDescent="0.2">
      <c r="BJ20534" s="201"/>
    </row>
    <row r="20535" spans="62:62" x14ac:dyDescent="0.2">
      <c r="BJ20535" s="201"/>
    </row>
    <row r="20536" spans="62:62" x14ac:dyDescent="0.2">
      <c r="BJ20536" s="201"/>
    </row>
    <row r="20537" spans="62:62" x14ac:dyDescent="0.2">
      <c r="BJ20537" s="201"/>
    </row>
    <row r="20538" spans="62:62" x14ac:dyDescent="0.2">
      <c r="BJ20538" s="201"/>
    </row>
    <row r="20539" spans="62:62" x14ac:dyDescent="0.2">
      <c r="BJ20539" s="201"/>
    </row>
    <row r="20540" spans="62:62" x14ac:dyDescent="0.2">
      <c r="BJ20540" s="201"/>
    </row>
    <row r="20541" spans="62:62" x14ac:dyDescent="0.2">
      <c r="BJ20541" s="201"/>
    </row>
    <row r="20542" spans="62:62" x14ac:dyDescent="0.2">
      <c r="BJ20542" s="201"/>
    </row>
    <row r="20543" spans="62:62" x14ac:dyDescent="0.2">
      <c r="BJ20543" s="201"/>
    </row>
    <row r="20544" spans="62:62" x14ac:dyDescent="0.2">
      <c r="BJ20544" s="201"/>
    </row>
    <row r="20545" spans="62:62" x14ac:dyDescent="0.2">
      <c r="BJ20545" s="201"/>
    </row>
    <row r="20546" spans="62:62" x14ac:dyDescent="0.2">
      <c r="BJ20546" s="201"/>
    </row>
    <row r="20547" spans="62:62" x14ac:dyDescent="0.2">
      <c r="BJ20547" s="201"/>
    </row>
    <row r="20548" spans="62:62" x14ac:dyDescent="0.2">
      <c r="BJ20548" s="201"/>
    </row>
    <row r="20549" spans="62:62" x14ac:dyDescent="0.2">
      <c r="BJ20549" s="201"/>
    </row>
    <row r="20550" spans="62:62" x14ac:dyDescent="0.2">
      <c r="BJ20550" s="201"/>
    </row>
    <row r="20551" spans="62:62" x14ac:dyDescent="0.2">
      <c r="BJ20551" s="201"/>
    </row>
    <row r="20552" spans="62:62" x14ac:dyDescent="0.2">
      <c r="BJ20552" s="201"/>
    </row>
    <row r="20553" spans="62:62" x14ac:dyDescent="0.2">
      <c r="BJ20553" s="201"/>
    </row>
    <row r="20554" spans="62:62" x14ac:dyDescent="0.2">
      <c r="BJ20554" s="201"/>
    </row>
    <row r="20555" spans="62:62" x14ac:dyDescent="0.2">
      <c r="BJ20555" s="201"/>
    </row>
    <row r="20556" spans="62:62" x14ac:dyDescent="0.2">
      <c r="BJ20556" s="201"/>
    </row>
    <row r="20557" spans="62:62" x14ac:dyDescent="0.2">
      <c r="BJ20557" s="201"/>
    </row>
    <row r="20558" spans="62:62" x14ac:dyDescent="0.2">
      <c r="BJ20558" s="201"/>
    </row>
    <row r="20559" spans="62:62" x14ac:dyDescent="0.2">
      <c r="BJ20559" s="201"/>
    </row>
    <row r="20560" spans="62:62" x14ac:dyDescent="0.2">
      <c r="BJ20560" s="201"/>
    </row>
    <row r="20561" spans="62:62" x14ac:dyDescent="0.2">
      <c r="BJ20561" s="201"/>
    </row>
    <row r="20562" spans="62:62" x14ac:dyDescent="0.2">
      <c r="BJ20562" s="201"/>
    </row>
    <row r="20563" spans="62:62" x14ac:dyDescent="0.2">
      <c r="BJ20563" s="201"/>
    </row>
    <row r="20564" spans="62:62" x14ac:dyDescent="0.2">
      <c r="BJ20564" s="201"/>
    </row>
    <row r="20565" spans="62:62" x14ac:dyDescent="0.2">
      <c r="BJ20565" s="201"/>
    </row>
    <row r="20566" spans="62:62" x14ac:dyDescent="0.2">
      <c r="BJ20566" s="201"/>
    </row>
    <row r="20567" spans="62:62" x14ac:dyDescent="0.2">
      <c r="BJ20567" s="201"/>
    </row>
    <row r="20568" spans="62:62" x14ac:dyDescent="0.2">
      <c r="BJ20568" s="201"/>
    </row>
    <row r="20569" spans="62:62" x14ac:dyDescent="0.2">
      <c r="BJ20569" s="201"/>
    </row>
    <row r="20570" spans="62:62" x14ac:dyDescent="0.2">
      <c r="BJ20570" s="201"/>
    </row>
    <row r="20571" spans="62:62" x14ac:dyDescent="0.2">
      <c r="BJ20571" s="201"/>
    </row>
    <row r="20572" spans="62:62" x14ac:dyDescent="0.2">
      <c r="BJ20572" s="201"/>
    </row>
    <row r="20573" spans="62:62" x14ac:dyDescent="0.2">
      <c r="BJ20573" s="201"/>
    </row>
    <row r="20574" spans="62:62" x14ac:dyDescent="0.2">
      <c r="BJ20574" s="201"/>
    </row>
    <row r="20575" spans="62:62" x14ac:dyDescent="0.2">
      <c r="BJ20575" s="201"/>
    </row>
    <row r="20576" spans="62:62" x14ac:dyDescent="0.2">
      <c r="BJ20576" s="201"/>
    </row>
    <row r="20577" spans="62:62" x14ac:dyDescent="0.2">
      <c r="BJ20577" s="201"/>
    </row>
    <row r="20578" spans="62:62" x14ac:dyDescent="0.2">
      <c r="BJ20578" s="201"/>
    </row>
    <row r="20579" spans="62:62" x14ac:dyDescent="0.2">
      <c r="BJ20579" s="201"/>
    </row>
    <row r="20580" spans="62:62" x14ac:dyDescent="0.2">
      <c r="BJ20580" s="201"/>
    </row>
    <row r="20581" spans="62:62" x14ac:dyDescent="0.2">
      <c r="BJ20581" s="201"/>
    </row>
    <row r="20582" spans="62:62" x14ac:dyDescent="0.2">
      <c r="BJ20582" s="201"/>
    </row>
    <row r="20583" spans="62:62" x14ac:dyDescent="0.2">
      <c r="BJ20583" s="201"/>
    </row>
    <row r="20584" spans="62:62" x14ac:dyDescent="0.2">
      <c r="BJ20584" s="201"/>
    </row>
    <row r="20585" spans="62:62" x14ac:dyDescent="0.2">
      <c r="BJ20585" s="201"/>
    </row>
    <row r="20586" spans="62:62" x14ac:dyDescent="0.2">
      <c r="BJ20586" s="201"/>
    </row>
    <row r="20587" spans="62:62" x14ac:dyDescent="0.2">
      <c r="BJ20587" s="201"/>
    </row>
    <row r="20588" spans="62:62" x14ac:dyDescent="0.2">
      <c r="BJ20588" s="201"/>
    </row>
    <row r="20589" spans="62:62" x14ac:dyDescent="0.2">
      <c r="BJ20589" s="201"/>
    </row>
    <row r="20590" spans="62:62" x14ac:dyDescent="0.2">
      <c r="BJ20590" s="201"/>
    </row>
    <row r="20591" spans="62:62" x14ac:dyDescent="0.2">
      <c r="BJ20591" s="201"/>
    </row>
    <row r="20592" spans="62:62" x14ac:dyDescent="0.2">
      <c r="BJ20592" s="201"/>
    </row>
    <row r="20593" spans="62:62" x14ac:dyDescent="0.2">
      <c r="BJ20593" s="201"/>
    </row>
    <row r="20594" spans="62:62" x14ac:dyDescent="0.2">
      <c r="BJ20594" s="201"/>
    </row>
    <row r="20595" spans="62:62" x14ac:dyDescent="0.2">
      <c r="BJ20595" s="201"/>
    </row>
    <row r="20596" spans="62:62" x14ac:dyDescent="0.2">
      <c r="BJ20596" s="201"/>
    </row>
    <row r="20597" spans="62:62" x14ac:dyDescent="0.2">
      <c r="BJ20597" s="201"/>
    </row>
    <row r="20598" spans="62:62" x14ac:dyDescent="0.2">
      <c r="BJ20598" s="201"/>
    </row>
    <row r="20599" spans="62:62" x14ac:dyDescent="0.2">
      <c r="BJ20599" s="201"/>
    </row>
    <row r="20600" spans="62:62" x14ac:dyDescent="0.2">
      <c r="BJ20600" s="201"/>
    </row>
    <row r="20601" spans="62:62" x14ac:dyDescent="0.2">
      <c r="BJ20601" s="201"/>
    </row>
    <row r="20602" spans="62:62" x14ac:dyDescent="0.2">
      <c r="BJ20602" s="201"/>
    </row>
    <row r="20603" spans="62:62" x14ac:dyDescent="0.2">
      <c r="BJ20603" s="201"/>
    </row>
    <row r="20604" spans="62:62" x14ac:dyDescent="0.2">
      <c r="BJ20604" s="201"/>
    </row>
    <row r="20605" spans="62:62" x14ac:dyDescent="0.2">
      <c r="BJ20605" s="201"/>
    </row>
    <row r="20606" spans="62:62" x14ac:dyDescent="0.2">
      <c r="BJ20606" s="201"/>
    </row>
    <row r="20607" spans="62:62" x14ac:dyDescent="0.2">
      <c r="BJ20607" s="201"/>
    </row>
    <row r="20608" spans="62:62" x14ac:dyDescent="0.2">
      <c r="BJ20608" s="201"/>
    </row>
    <row r="20609" spans="62:62" x14ac:dyDescent="0.2">
      <c r="BJ20609" s="201"/>
    </row>
    <row r="20610" spans="62:62" x14ac:dyDescent="0.2">
      <c r="BJ20610" s="201"/>
    </row>
    <row r="20611" spans="62:62" x14ac:dyDescent="0.2">
      <c r="BJ20611" s="201"/>
    </row>
    <row r="20612" spans="62:62" x14ac:dyDescent="0.2">
      <c r="BJ20612" s="201"/>
    </row>
    <row r="20613" spans="62:62" x14ac:dyDescent="0.2">
      <c r="BJ20613" s="201"/>
    </row>
    <row r="20614" spans="62:62" x14ac:dyDescent="0.2">
      <c r="BJ20614" s="201"/>
    </row>
    <row r="20615" spans="62:62" x14ac:dyDescent="0.2">
      <c r="BJ20615" s="201"/>
    </row>
    <row r="20616" spans="62:62" x14ac:dyDescent="0.2">
      <c r="BJ20616" s="201"/>
    </row>
    <row r="20617" spans="62:62" x14ac:dyDescent="0.2">
      <c r="BJ20617" s="201"/>
    </row>
    <row r="20618" spans="62:62" x14ac:dyDescent="0.2">
      <c r="BJ20618" s="201"/>
    </row>
    <row r="20619" spans="62:62" x14ac:dyDescent="0.2">
      <c r="BJ20619" s="201"/>
    </row>
    <row r="20620" spans="62:62" x14ac:dyDescent="0.2">
      <c r="BJ20620" s="201"/>
    </row>
    <row r="20621" spans="62:62" x14ac:dyDescent="0.2">
      <c r="BJ20621" s="201"/>
    </row>
    <row r="20622" spans="62:62" x14ac:dyDescent="0.2">
      <c r="BJ20622" s="201"/>
    </row>
    <row r="20623" spans="62:62" x14ac:dyDescent="0.2">
      <c r="BJ20623" s="201"/>
    </row>
    <row r="20624" spans="62:62" x14ac:dyDescent="0.2">
      <c r="BJ20624" s="201"/>
    </row>
    <row r="20625" spans="62:62" x14ac:dyDescent="0.2">
      <c r="BJ20625" s="201"/>
    </row>
    <row r="20626" spans="62:62" x14ac:dyDescent="0.2">
      <c r="BJ20626" s="201"/>
    </row>
    <row r="20627" spans="62:62" x14ac:dyDescent="0.2">
      <c r="BJ20627" s="201"/>
    </row>
    <row r="20628" spans="62:62" x14ac:dyDescent="0.2">
      <c r="BJ20628" s="201"/>
    </row>
    <row r="20629" spans="62:62" x14ac:dyDescent="0.2">
      <c r="BJ20629" s="201"/>
    </row>
    <row r="20630" spans="62:62" x14ac:dyDescent="0.2">
      <c r="BJ20630" s="201"/>
    </row>
    <row r="20631" spans="62:62" x14ac:dyDescent="0.2">
      <c r="BJ20631" s="201"/>
    </row>
    <row r="20632" spans="62:62" x14ac:dyDescent="0.2">
      <c r="BJ20632" s="201"/>
    </row>
    <row r="20633" spans="62:62" x14ac:dyDescent="0.2">
      <c r="BJ20633" s="201"/>
    </row>
    <row r="20634" spans="62:62" x14ac:dyDescent="0.2">
      <c r="BJ20634" s="201"/>
    </row>
    <row r="20635" spans="62:62" x14ac:dyDescent="0.2">
      <c r="BJ20635" s="201"/>
    </row>
    <row r="20636" spans="62:62" x14ac:dyDescent="0.2">
      <c r="BJ20636" s="201"/>
    </row>
    <row r="20637" spans="62:62" x14ac:dyDescent="0.2">
      <c r="BJ20637" s="201"/>
    </row>
    <row r="20638" spans="62:62" x14ac:dyDescent="0.2">
      <c r="BJ20638" s="201"/>
    </row>
    <row r="20639" spans="62:62" x14ac:dyDescent="0.2">
      <c r="BJ20639" s="201"/>
    </row>
    <row r="20640" spans="62:62" x14ac:dyDescent="0.2">
      <c r="BJ20640" s="201"/>
    </row>
    <row r="20641" spans="62:62" x14ac:dyDescent="0.2">
      <c r="BJ20641" s="201"/>
    </row>
    <row r="20642" spans="62:62" x14ac:dyDescent="0.2">
      <c r="BJ20642" s="201"/>
    </row>
    <row r="20643" spans="62:62" x14ac:dyDescent="0.2">
      <c r="BJ20643" s="201"/>
    </row>
    <row r="20644" spans="62:62" x14ac:dyDescent="0.2">
      <c r="BJ20644" s="201"/>
    </row>
    <row r="20645" spans="62:62" x14ac:dyDescent="0.2">
      <c r="BJ20645" s="201"/>
    </row>
    <row r="20646" spans="62:62" x14ac:dyDescent="0.2">
      <c r="BJ20646" s="201"/>
    </row>
    <row r="20647" spans="62:62" x14ac:dyDescent="0.2">
      <c r="BJ20647" s="201"/>
    </row>
    <row r="20648" spans="62:62" x14ac:dyDescent="0.2">
      <c r="BJ20648" s="201"/>
    </row>
    <row r="20649" spans="62:62" x14ac:dyDescent="0.2">
      <c r="BJ20649" s="201"/>
    </row>
    <row r="20650" spans="62:62" x14ac:dyDescent="0.2">
      <c r="BJ20650" s="201"/>
    </row>
    <row r="20651" spans="62:62" x14ac:dyDescent="0.2">
      <c r="BJ20651" s="201"/>
    </row>
    <row r="20652" spans="62:62" x14ac:dyDescent="0.2">
      <c r="BJ20652" s="201"/>
    </row>
    <row r="20653" spans="62:62" x14ac:dyDescent="0.2">
      <c r="BJ20653" s="201"/>
    </row>
    <row r="20654" spans="62:62" x14ac:dyDescent="0.2">
      <c r="BJ20654" s="201"/>
    </row>
    <row r="20655" spans="62:62" x14ac:dyDescent="0.2">
      <c r="BJ20655" s="201"/>
    </row>
    <row r="20656" spans="62:62" x14ac:dyDescent="0.2">
      <c r="BJ20656" s="201"/>
    </row>
    <row r="20657" spans="62:62" x14ac:dyDescent="0.2">
      <c r="BJ20657" s="201"/>
    </row>
    <row r="20658" spans="62:62" x14ac:dyDescent="0.2">
      <c r="BJ20658" s="201"/>
    </row>
    <row r="20659" spans="62:62" x14ac:dyDescent="0.2">
      <c r="BJ20659" s="201"/>
    </row>
    <row r="20660" spans="62:62" x14ac:dyDescent="0.2">
      <c r="BJ20660" s="201"/>
    </row>
    <row r="20661" spans="62:62" x14ac:dyDescent="0.2">
      <c r="BJ20661" s="201"/>
    </row>
    <row r="20662" spans="62:62" x14ac:dyDescent="0.2">
      <c r="BJ20662" s="201"/>
    </row>
    <row r="20663" spans="62:62" x14ac:dyDescent="0.2">
      <c r="BJ20663" s="201"/>
    </row>
    <row r="20664" spans="62:62" x14ac:dyDescent="0.2">
      <c r="BJ20664" s="201"/>
    </row>
    <row r="20665" spans="62:62" x14ac:dyDescent="0.2">
      <c r="BJ20665" s="201"/>
    </row>
    <row r="20666" spans="62:62" x14ac:dyDescent="0.2">
      <c r="BJ20666" s="201"/>
    </row>
    <row r="20667" spans="62:62" x14ac:dyDescent="0.2">
      <c r="BJ20667" s="201"/>
    </row>
    <row r="20668" spans="62:62" x14ac:dyDescent="0.2">
      <c r="BJ20668" s="201"/>
    </row>
    <row r="20669" spans="62:62" x14ac:dyDescent="0.2">
      <c r="BJ20669" s="201"/>
    </row>
    <row r="20670" spans="62:62" x14ac:dyDescent="0.2">
      <c r="BJ20670" s="201"/>
    </row>
    <row r="20671" spans="62:62" x14ac:dyDescent="0.2">
      <c r="BJ20671" s="201"/>
    </row>
    <row r="20672" spans="62:62" x14ac:dyDescent="0.2">
      <c r="BJ20672" s="201"/>
    </row>
    <row r="20673" spans="62:62" x14ac:dyDescent="0.2">
      <c r="BJ20673" s="201"/>
    </row>
    <row r="20674" spans="62:62" x14ac:dyDescent="0.2">
      <c r="BJ20674" s="201"/>
    </row>
    <row r="20675" spans="62:62" x14ac:dyDescent="0.2">
      <c r="BJ20675" s="201"/>
    </row>
    <row r="20676" spans="62:62" x14ac:dyDescent="0.2">
      <c r="BJ20676" s="201"/>
    </row>
    <row r="20677" spans="62:62" x14ac:dyDescent="0.2">
      <c r="BJ20677" s="201"/>
    </row>
    <row r="20678" spans="62:62" x14ac:dyDescent="0.2">
      <c r="BJ20678" s="201"/>
    </row>
    <row r="20679" spans="62:62" x14ac:dyDescent="0.2">
      <c r="BJ20679" s="201"/>
    </row>
    <row r="20680" spans="62:62" x14ac:dyDescent="0.2">
      <c r="BJ20680" s="201"/>
    </row>
    <row r="20681" spans="62:62" x14ac:dyDescent="0.2">
      <c r="BJ20681" s="201"/>
    </row>
    <row r="20682" spans="62:62" x14ac:dyDescent="0.2">
      <c r="BJ20682" s="201"/>
    </row>
    <row r="20683" spans="62:62" x14ac:dyDescent="0.2">
      <c r="BJ20683" s="201"/>
    </row>
    <row r="20684" spans="62:62" x14ac:dyDescent="0.2">
      <c r="BJ20684" s="201"/>
    </row>
    <row r="20685" spans="62:62" x14ac:dyDescent="0.2">
      <c r="BJ20685" s="201"/>
    </row>
    <row r="20686" spans="62:62" x14ac:dyDescent="0.2">
      <c r="BJ20686" s="201"/>
    </row>
    <row r="20687" spans="62:62" x14ac:dyDescent="0.2">
      <c r="BJ20687" s="201"/>
    </row>
    <row r="20688" spans="62:62" x14ac:dyDescent="0.2">
      <c r="BJ20688" s="201"/>
    </row>
    <row r="20689" spans="62:62" x14ac:dyDescent="0.2">
      <c r="BJ20689" s="201"/>
    </row>
    <row r="20690" spans="62:62" x14ac:dyDescent="0.2">
      <c r="BJ20690" s="201"/>
    </row>
    <row r="20691" spans="62:62" x14ac:dyDescent="0.2">
      <c r="BJ20691" s="201"/>
    </row>
    <row r="20692" spans="62:62" x14ac:dyDescent="0.2">
      <c r="BJ20692" s="201"/>
    </row>
    <row r="20693" spans="62:62" x14ac:dyDescent="0.2">
      <c r="BJ20693" s="201"/>
    </row>
    <row r="20694" spans="62:62" x14ac:dyDescent="0.2">
      <c r="BJ20694" s="201"/>
    </row>
    <row r="20695" spans="62:62" x14ac:dyDescent="0.2">
      <c r="BJ20695" s="201"/>
    </row>
    <row r="20696" spans="62:62" x14ac:dyDescent="0.2">
      <c r="BJ20696" s="201"/>
    </row>
    <row r="20697" spans="62:62" x14ac:dyDescent="0.2">
      <c r="BJ20697" s="201"/>
    </row>
    <row r="20698" spans="62:62" x14ac:dyDescent="0.2">
      <c r="BJ20698" s="201"/>
    </row>
    <row r="20699" spans="62:62" x14ac:dyDescent="0.2">
      <c r="BJ20699" s="201"/>
    </row>
    <row r="20700" spans="62:62" x14ac:dyDescent="0.2">
      <c r="BJ20700" s="201"/>
    </row>
    <row r="20701" spans="62:62" x14ac:dyDescent="0.2">
      <c r="BJ20701" s="201"/>
    </row>
    <row r="20702" spans="62:62" x14ac:dyDescent="0.2">
      <c r="BJ20702" s="201"/>
    </row>
    <row r="20703" spans="62:62" x14ac:dyDescent="0.2">
      <c r="BJ20703" s="201"/>
    </row>
    <row r="20704" spans="62:62" x14ac:dyDescent="0.2">
      <c r="BJ20704" s="201"/>
    </row>
    <row r="20705" spans="62:62" x14ac:dyDescent="0.2">
      <c r="BJ20705" s="201"/>
    </row>
    <row r="20706" spans="62:62" x14ac:dyDescent="0.2">
      <c r="BJ20706" s="201"/>
    </row>
    <row r="20707" spans="62:62" x14ac:dyDescent="0.2">
      <c r="BJ20707" s="201"/>
    </row>
    <row r="20708" spans="62:62" x14ac:dyDescent="0.2">
      <c r="BJ20708" s="201"/>
    </row>
    <row r="20709" spans="62:62" x14ac:dyDescent="0.2">
      <c r="BJ20709" s="201"/>
    </row>
    <row r="20710" spans="62:62" x14ac:dyDescent="0.2">
      <c r="BJ20710" s="201"/>
    </row>
    <row r="20711" spans="62:62" x14ac:dyDescent="0.2">
      <c r="BJ20711" s="201"/>
    </row>
    <row r="20712" spans="62:62" x14ac:dyDescent="0.2">
      <c r="BJ20712" s="201"/>
    </row>
    <row r="20713" spans="62:62" x14ac:dyDescent="0.2">
      <c r="BJ20713" s="201"/>
    </row>
    <row r="20714" spans="62:62" x14ac:dyDescent="0.2">
      <c r="BJ20714" s="201"/>
    </row>
    <row r="20715" spans="62:62" x14ac:dyDescent="0.2">
      <c r="BJ20715" s="201"/>
    </row>
    <row r="20716" spans="62:62" x14ac:dyDescent="0.2">
      <c r="BJ20716" s="201"/>
    </row>
    <row r="20717" spans="62:62" x14ac:dyDescent="0.2">
      <c r="BJ20717" s="201"/>
    </row>
    <row r="20718" spans="62:62" x14ac:dyDescent="0.2">
      <c r="BJ20718" s="201"/>
    </row>
    <row r="20719" spans="62:62" x14ac:dyDescent="0.2">
      <c r="BJ20719" s="201"/>
    </row>
    <row r="20720" spans="62:62" x14ac:dyDescent="0.2">
      <c r="BJ20720" s="201"/>
    </row>
    <row r="20721" spans="62:62" x14ac:dyDescent="0.2">
      <c r="BJ20721" s="201"/>
    </row>
    <row r="20722" spans="62:62" x14ac:dyDescent="0.2">
      <c r="BJ20722" s="201"/>
    </row>
    <row r="20723" spans="62:62" x14ac:dyDescent="0.2">
      <c r="BJ20723" s="201"/>
    </row>
    <row r="20724" spans="62:62" x14ac:dyDescent="0.2">
      <c r="BJ20724" s="201"/>
    </row>
    <row r="20725" spans="62:62" x14ac:dyDescent="0.2">
      <c r="BJ20725" s="201"/>
    </row>
    <row r="20726" spans="62:62" x14ac:dyDescent="0.2">
      <c r="BJ20726" s="201"/>
    </row>
    <row r="20727" spans="62:62" x14ac:dyDescent="0.2">
      <c r="BJ20727" s="201"/>
    </row>
    <row r="20728" spans="62:62" x14ac:dyDescent="0.2">
      <c r="BJ20728" s="201"/>
    </row>
    <row r="20729" spans="62:62" x14ac:dyDescent="0.2">
      <c r="BJ20729" s="201"/>
    </row>
    <row r="20730" spans="62:62" x14ac:dyDescent="0.2">
      <c r="BJ20730" s="201"/>
    </row>
    <row r="20731" spans="62:62" x14ac:dyDescent="0.2">
      <c r="BJ20731" s="201"/>
    </row>
    <row r="20732" spans="62:62" x14ac:dyDescent="0.2">
      <c r="BJ20732" s="201"/>
    </row>
    <row r="20733" spans="62:62" x14ac:dyDescent="0.2">
      <c r="BJ20733" s="201"/>
    </row>
    <row r="20734" spans="62:62" x14ac:dyDescent="0.2">
      <c r="BJ20734" s="201"/>
    </row>
    <row r="20735" spans="62:62" x14ac:dyDescent="0.2">
      <c r="BJ20735" s="201"/>
    </row>
    <row r="20736" spans="62:62" x14ac:dyDescent="0.2">
      <c r="BJ20736" s="201"/>
    </row>
    <row r="20737" spans="62:62" x14ac:dyDescent="0.2">
      <c r="BJ20737" s="201"/>
    </row>
    <row r="20738" spans="62:62" x14ac:dyDescent="0.2">
      <c r="BJ20738" s="201"/>
    </row>
    <row r="20739" spans="62:62" x14ac:dyDescent="0.2">
      <c r="BJ20739" s="201"/>
    </row>
    <row r="20740" spans="62:62" x14ac:dyDescent="0.2">
      <c r="BJ20740" s="201"/>
    </row>
    <row r="20741" spans="62:62" x14ac:dyDescent="0.2">
      <c r="BJ20741" s="201"/>
    </row>
    <row r="20742" spans="62:62" x14ac:dyDescent="0.2">
      <c r="BJ20742" s="201"/>
    </row>
    <row r="20743" spans="62:62" x14ac:dyDescent="0.2">
      <c r="BJ20743" s="201"/>
    </row>
    <row r="20744" spans="62:62" x14ac:dyDescent="0.2">
      <c r="BJ20744" s="201"/>
    </row>
    <row r="20745" spans="62:62" x14ac:dyDescent="0.2">
      <c r="BJ20745" s="201"/>
    </row>
    <row r="20746" spans="62:62" x14ac:dyDescent="0.2">
      <c r="BJ20746" s="201"/>
    </row>
    <row r="20747" spans="62:62" x14ac:dyDescent="0.2">
      <c r="BJ20747" s="201"/>
    </row>
    <row r="20748" spans="62:62" x14ac:dyDescent="0.2">
      <c r="BJ20748" s="201"/>
    </row>
    <row r="20749" spans="62:62" x14ac:dyDescent="0.2">
      <c r="BJ20749" s="201"/>
    </row>
    <row r="20750" spans="62:62" x14ac:dyDescent="0.2">
      <c r="BJ20750" s="201"/>
    </row>
    <row r="20751" spans="62:62" x14ac:dyDescent="0.2">
      <c r="BJ20751" s="201"/>
    </row>
    <row r="20752" spans="62:62" x14ac:dyDescent="0.2">
      <c r="BJ20752" s="201"/>
    </row>
    <row r="20753" spans="62:62" x14ac:dyDescent="0.2">
      <c r="BJ20753" s="201"/>
    </row>
    <row r="20754" spans="62:62" x14ac:dyDescent="0.2">
      <c r="BJ20754" s="201"/>
    </row>
    <row r="20755" spans="62:62" x14ac:dyDescent="0.2">
      <c r="BJ20755" s="201"/>
    </row>
    <row r="20756" spans="62:62" x14ac:dyDescent="0.2">
      <c r="BJ20756" s="201"/>
    </row>
    <row r="20757" spans="62:62" x14ac:dyDescent="0.2">
      <c r="BJ20757" s="201"/>
    </row>
    <row r="20758" spans="62:62" x14ac:dyDescent="0.2">
      <c r="BJ20758" s="201"/>
    </row>
    <row r="20759" spans="62:62" x14ac:dyDescent="0.2">
      <c r="BJ20759" s="201"/>
    </row>
    <row r="20760" spans="62:62" x14ac:dyDescent="0.2">
      <c r="BJ20760" s="201"/>
    </row>
    <row r="20761" spans="62:62" x14ac:dyDescent="0.2">
      <c r="BJ20761" s="201"/>
    </row>
    <row r="20762" spans="62:62" x14ac:dyDescent="0.2">
      <c r="BJ20762" s="201"/>
    </row>
    <row r="20763" spans="62:62" x14ac:dyDescent="0.2">
      <c r="BJ20763" s="201"/>
    </row>
    <row r="20764" spans="62:62" x14ac:dyDescent="0.2">
      <c r="BJ20764" s="201"/>
    </row>
    <row r="20765" spans="62:62" x14ac:dyDescent="0.2">
      <c r="BJ20765" s="201"/>
    </row>
    <row r="20766" spans="62:62" x14ac:dyDescent="0.2">
      <c r="BJ20766" s="201"/>
    </row>
    <row r="20767" spans="62:62" x14ac:dyDescent="0.2">
      <c r="BJ20767" s="201"/>
    </row>
    <row r="20768" spans="62:62" x14ac:dyDescent="0.2">
      <c r="BJ20768" s="201"/>
    </row>
    <row r="20769" spans="62:62" x14ac:dyDescent="0.2">
      <c r="BJ20769" s="201"/>
    </row>
    <row r="20770" spans="62:62" x14ac:dyDescent="0.2">
      <c r="BJ20770" s="201"/>
    </row>
    <row r="20771" spans="62:62" x14ac:dyDescent="0.2">
      <c r="BJ20771" s="201"/>
    </row>
    <row r="20772" spans="62:62" x14ac:dyDescent="0.2">
      <c r="BJ20772" s="201"/>
    </row>
    <row r="20773" spans="62:62" x14ac:dyDescent="0.2">
      <c r="BJ20773" s="201"/>
    </row>
    <row r="20774" spans="62:62" x14ac:dyDescent="0.2">
      <c r="BJ20774" s="201"/>
    </row>
    <row r="20775" spans="62:62" x14ac:dyDescent="0.2">
      <c r="BJ20775" s="201"/>
    </row>
    <row r="20776" spans="62:62" x14ac:dyDescent="0.2">
      <c r="BJ20776" s="201"/>
    </row>
    <row r="20777" spans="62:62" x14ac:dyDescent="0.2">
      <c r="BJ20777" s="201"/>
    </row>
    <row r="20778" spans="62:62" x14ac:dyDescent="0.2">
      <c r="BJ20778" s="201"/>
    </row>
    <row r="20779" spans="62:62" x14ac:dyDescent="0.2">
      <c r="BJ20779" s="201"/>
    </row>
    <row r="20780" spans="62:62" x14ac:dyDescent="0.2">
      <c r="BJ20780" s="201"/>
    </row>
    <row r="20781" spans="62:62" x14ac:dyDescent="0.2">
      <c r="BJ20781" s="201"/>
    </row>
    <row r="20782" spans="62:62" x14ac:dyDescent="0.2">
      <c r="BJ20782" s="201"/>
    </row>
    <row r="20783" spans="62:62" x14ac:dyDescent="0.2">
      <c r="BJ20783" s="201"/>
    </row>
    <row r="20784" spans="62:62" x14ac:dyDescent="0.2">
      <c r="BJ20784" s="201"/>
    </row>
    <row r="20785" spans="62:62" x14ac:dyDescent="0.2">
      <c r="BJ20785" s="201"/>
    </row>
    <row r="20786" spans="62:62" x14ac:dyDescent="0.2">
      <c r="BJ20786" s="201"/>
    </row>
    <row r="20787" spans="62:62" x14ac:dyDescent="0.2">
      <c r="BJ20787" s="201"/>
    </row>
    <row r="20788" spans="62:62" x14ac:dyDescent="0.2">
      <c r="BJ20788" s="201"/>
    </row>
    <row r="20789" spans="62:62" x14ac:dyDescent="0.2">
      <c r="BJ20789" s="201"/>
    </row>
    <row r="20790" spans="62:62" x14ac:dyDescent="0.2">
      <c r="BJ20790" s="201"/>
    </row>
    <row r="20791" spans="62:62" x14ac:dyDescent="0.2">
      <c r="BJ20791" s="201"/>
    </row>
    <row r="20792" spans="62:62" x14ac:dyDescent="0.2">
      <c r="BJ20792" s="201"/>
    </row>
    <row r="20793" spans="62:62" x14ac:dyDescent="0.2">
      <c r="BJ20793" s="201"/>
    </row>
    <row r="20794" spans="62:62" x14ac:dyDescent="0.2">
      <c r="BJ20794" s="201"/>
    </row>
    <row r="20795" spans="62:62" x14ac:dyDescent="0.2">
      <c r="BJ20795" s="201"/>
    </row>
    <row r="20796" spans="62:62" x14ac:dyDescent="0.2">
      <c r="BJ20796" s="201"/>
    </row>
    <row r="20797" spans="62:62" x14ac:dyDescent="0.2">
      <c r="BJ20797" s="201"/>
    </row>
    <row r="20798" spans="62:62" x14ac:dyDescent="0.2">
      <c r="BJ20798" s="201"/>
    </row>
    <row r="20799" spans="62:62" x14ac:dyDescent="0.2">
      <c r="BJ20799" s="201"/>
    </row>
    <row r="20800" spans="62:62" x14ac:dyDescent="0.2">
      <c r="BJ20800" s="201"/>
    </row>
    <row r="20801" spans="62:62" x14ac:dyDescent="0.2">
      <c r="BJ20801" s="201"/>
    </row>
    <row r="20802" spans="62:62" x14ac:dyDescent="0.2">
      <c r="BJ20802" s="201"/>
    </row>
    <row r="20803" spans="62:62" x14ac:dyDescent="0.2">
      <c r="BJ20803" s="201"/>
    </row>
    <row r="20804" spans="62:62" x14ac:dyDescent="0.2">
      <c r="BJ20804" s="201"/>
    </row>
    <row r="20805" spans="62:62" x14ac:dyDescent="0.2">
      <c r="BJ20805" s="201"/>
    </row>
    <row r="20806" spans="62:62" x14ac:dyDescent="0.2">
      <c r="BJ20806" s="201"/>
    </row>
    <row r="20807" spans="62:62" x14ac:dyDescent="0.2">
      <c r="BJ20807" s="201"/>
    </row>
    <row r="20808" spans="62:62" x14ac:dyDescent="0.2">
      <c r="BJ20808" s="201"/>
    </row>
    <row r="20809" spans="62:62" x14ac:dyDescent="0.2">
      <c r="BJ20809" s="201"/>
    </row>
    <row r="20810" spans="62:62" x14ac:dyDescent="0.2">
      <c r="BJ20810" s="201"/>
    </row>
    <row r="20811" spans="62:62" x14ac:dyDescent="0.2">
      <c r="BJ20811" s="201"/>
    </row>
    <row r="20812" spans="62:62" x14ac:dyDescent="0.2">
      <c r="BJ20812" s="201"/>
    </row>
    <row r="20813" spans="62:62" x14ac:dyDescent="0.2">
      <c r="BJ20813" s="201"/>
    </row>
    <row r="20814" spans="62:62" x14ac:dyDescent="0.2">
      <c r="BJ20814" s="201"/>
    </row>
    <row r="20815" spans="62:62" x14ac:dyDescent="0.2">
      <c r="BJ20815" s="201"/>
    </row>
    <row r="20816" spans="62:62" x14ac:dyDescent="0.2">
      <c r="BJ20816" s="201"/>
    </row>
    <row r="20817" spans="62:62" x14ac:dyDescent="0.2">
      <c r="BJ20817" s="201"/>
    </row>
    <row r="20818" spans="62:62" x14ac:dyDescent="0.2">
      <c r="BJ20818" s="201"/>
    </row>
    <row r="20819" spans="62:62" x14ac:dyDescent="0.2">
      <c r="BJ20819" s="201"/>
    </row>
    <row r="20820" spans="62:62" x14ac:dyDescent="0.2">
      <c r="BJ20820" s="201"/>
    </row>
    <row r="20821" spans="62:62" x14ac:dyDescent="0.2">
      <c r="BJ20821" s="201"/>
    </row>
    <row r="20822" spans="62:62" x14ac:dyDescent="0.2">
      <c r="BJ20822" s="201"/>
    </row>
    <row r="20823" spans="62:62" x14ac:dyDescent="0.2">
      <c r="BJ20823" s="201"/>
    </row>
    <row r="20824" spans="62:62" x14ac:dyDescent="0.2">
      <c r="BJ20824" s="201"/>
    </row>
    <row r="20825" spans="62:62" x14ac:dyDescent="0.2">
      <c r="BJ20825" s="201"/>
    </row>
    <row r="20826" spans="62:62" x14ac:dyDescent="0.2">
      <c r="BJ20826" s="201"/>
    </row>
    <row r="20827" spans="62:62" x14ac:dyDescent="0.2">
      <c r="BJ20827" s="201"/>
    </row>
    <row r="20828" spans="62:62" x14ac:dyDescent="0.2">
      <c r="BJ20828" s="201"/>
    </row>
    <row r="20829" spans="62:62" x14ac:dyDescent="0.2">
      <c r="BJ20829" s="201"/>
    </row>
    <row r="20830" spans="62:62" x14ac:dyDescent="0.2">
      <c r="BJ20830" s="201"/>
    </row>
    <row r="20831" spans="62:62" x14ac:dyDescent="0.2">
      <c r="BJ20831" s="201"/>
    </row>
    <row r="20832" spans="62:62" x14ac:dyDescent="0.2">
      <c r="BJ20832" s="201"/>
    </row>
    <row r="20833" spans="62:62" x14ac:dyDescent="0.2">
      <c r="BJ20833" s="201"/>
    </row>
    <row r="20834" spans="62:62" x14ac:dyDescent="0.2">
      <c r="BJ20834" s="201"/>
    </row>
    <row r="20835" spans="62:62" x14ac:dyDescent="0.2">
      <c r="BJ20835" s="201"/>
    </row>
    <row r="20836" spans="62:62" x14ac:dyDescent="0.2">
      <c r="BJ20836" s="201"/>
    </row>
    <row r="20837" spans="62:62" x14ac:dyDescent="0.2">
      <c r="BJ20837" s="201"/>
    </row>
    <row r="20838" spans="62:62" x14ac:dyDescent="0.2">
      <c r="BJ20838" s="201"/>
    </row>
    <row r="20839" spans="62:62" x14ac:dyDescent="0.2">
      <c r="BJ20839" s="201"/>
    </row>
    <row r="20840" spans="62:62" x14ac:dyDescent="0.2">
      <c r="BJ20840" s="201"/>
    </row>
    <row r="20841" spans="62:62" x14ac:dyDescent="0.2">
      <c r="BJ20841" s="201"/>
    </row>
    <row r="20842" spans="62:62" x14ac:dyDescent="0.2">
      <c r="BJ20842" s="201"/>
    </row>
    <row r="20843" spans="62:62" x14ac:dyDescent="0.2">
      <c r="BJ20843" s="201"/>
    </row>
    <row r="20844" spans="62:62" x14ac:dyDescent="0.2">
      <c r="BJ20844" s="201"/>
    </row>
    <row r="20845" spans="62:62" x14ac:dyDescent="0.2">
      <c r="BJ20845" s="201"/>
    </row>
    <row r="20846" spans="62:62" x14ac:dyDescent="0.2">
      <c r="BJ20846" s="201"/>
    </row>
    <row r="20847" spans="62:62" x14ac:dyDescent="0.2">
      <c r="BJ20847" s="201"/>
    </row>
    <row r="20848" spans="62:62" x14ac:dyDescent="0.2">
      <c r="BJ20848" s="201"/>
    </row>
    <row r="20849" spans="62:62" x14ac:dyDescent="0.2">
      <c r="BJ20849" s="201"/>
    </row>
    <row r="20850" spans="62:62" x14ac:dyDescent="0.2">
      <c r="BJ20850" s="201"/>
    </row>
    <row r="20851" spans="62:62" x14ac:dyDescent="0.2">
      <c r="BJ20851" s="201"/>
    </row>
    <row r="20852" spans="62:62" x14ac:dyDescent="0.2">
      <c r="BJ20852" s="201"/>
    </row>
    <row r="20853" spans="62:62" x14ac:dyDescent="0.2">
      <c r="BJ20853" s="201"/>
    </row>
    <row r="20854" spans="62:62" x14ac:dyDescent="0.2">
      <c r="BJ20854" s="201"/>
    </row>
    <row r="20855" spans="62:62" x14ac:dyDescent="0.2">
      <c r="BJ20855" s="201"/>
    </row>
    <row r="20856" spans="62:62" x14ac:dyDescent="0.2">
      <c r="BJ20856" s="201"/>
    </row>
    <row r="20857" spans="62:62" x14ac:dyDescent="0.2">
      <c r="BJ20857" s="201"/>
    </row>
    <row r="20858" spans="62:62" x14ac:dyDescent="0.2">
      <c r="BJ20858" s="201"/>
    </row>
    <row r="20859" spans="62:62" x14ac:dyDescent="0.2">
      <c r="BJ20859" s="201"/>
    </row>
    <row r="20860" spans="62:62" x14ac:dyDescent="0.2">
      <c r="BJ20860" s="201"/>
    </row>
    <row r="20861" spans="62:62" x14ac:dyDescent="0.2">
      <c r="BJ20861" s="201"/>
    </row>
    <row r="20862" spans="62:62" x14ac:dyDescent="0.2">
      <c r="BJ20862" s="201"/>
    </row>
    <row r="20863" spans="62:62" x14ac:dyDescent="0.2">
      <c r="BJ20863" s="201"/>
    </row>
    <row r="20864" spans="62:62" x14ac:dyDescent="0.2">
      <c r="BJ20864" s="201"/>
    </row>
    <row r="20865" spans="62:62" x14ac:dyDescent="0.2">
      <c r="BJ20865" s="201"/>
    </row>
    <row r="20866" spans="62:62" x14ac:dyDescent="0.2">
      <c r="BJ20866" s="201"/>
    </row>
    <row r="20867" spans="62:62" x14ac:dyDescent="0.2">
      <c r="BJ20867" s="201"/>
    </row>
    <row r="20868" spans="62:62" x14ac:dyDescent="0.2">
      <c r="BJ20868" s="201"/>
    </row>
    <row r="20869" spans="62:62" x14ac:dyDescent="0.2">
      <c r="BJ20869" s="201"/>
    </row>
    <row r="20870" spans="62:62" x14ac:dyDescent="0.2">
      <c r="BJ20870" s="201"/>
    </row>
    <row r="20871" spans="62:62" x14ac:dyDescent="0.2">
      <c r="BJ20871" s="201"/>
    </row>
    <row r="20872" spans="62:62" x14ac:dyDescent="0.2">
      <c r="BJ20872" s="201"/>
    </row>
    <row r="20873" spans="62:62" x14ac:dyDescent="0.2">
      <c r="BJ20873" s="201"/>
    </row>
    <row r="20874" spans="62:62" x14ac:dyDescent="0.2">
      <c r="BJ20874" s="201"/>
    </row>
    <row r="20875" spans="62:62" x14ac:dyDescent="0.2">
      <c r="BJ20875" s="201"/>
    </row>
    <row r="20876" spans="62:62" x14ac:dyDescent="0.2">
      <c r="BJ20876" s="201"/>
    </row>
    <row r="20877" spans="62:62" x14ac:dyDescent="0.2">
      <c r="BJ20877" s="201"/>
    </row>
    <row r="20878" spans="62:62" x14ac:dyDescent="0.2">
      <c r="BJ20878" s="201"/>
    </row>
    <row r="20879" spans="62:62" x14ac:dyDescent="0.2">
      <c r="BJ20879" s="201"/>
    </row>
    <row r="20880" spans="62:62" x14ac:dyDescent="0.2">
      <c r="BJ20880" s="201"/>
    </row>
    <row r="20881" spans="62:62" x14ac:dyDescent="0.2">
      <c r="BJ20881" s="201"/>
    </row>
    <row r="20882" spans="62:62" x14ac:dyDescent="0.2">
      <c r="BJ20882" s="201"/>
    </row>
    <row r="20883" spans="62:62" x14ac:dyDescent="0.2">
      <c r="BJ20883" s="201"/>
    </row>
    <row r="20884" spans="62:62" x14ac:dyDescent="0.2">
      <c r="BJ20884" s="201"/>
    </row>
    <row r="20885" spans="62:62" x14ac:dyDescent="0.2">
      <c r="BJ20885" s="201"/>
    </row>
    <row r="20886" spans="62:62" x14ac:dyDescent="0.2">
      <c r="BJ20886" s="201"/>
    </row>
    <row r="20887" spans="62:62" x14ac:dyDescent="0.2">
      <c r="BJ20887" s="201"/>
    </row>
    <row r="20888" spans="62:62" x14ac:dyDescent="0.2">
      <c r="BJ20888" s="201"/>
    </row>
    <row r="20889" spans="62:62" x14ac:dyDescent="0.2">
      <c r="BJ20889" s="201"/>
    </row>
    <row r="20890" spans="62:62" x14ac:dyDescent="0.2">
      <c r="BJ20890" s="201"/>
    </row>
    <row r="20891" spans="62:62" x14ac:dyDescent="0.2">
      <c r="BJ20891" s="201"/>
    </row>
    <row r="20892" spans="62:62" x14ac:dyDescent="0.2">
      <c r="BJ20892" s="201"/>
    </row>
    <row r="20893" spans="62:62" x14ac:dyDescent="0.2">
      <c r="BJ20893" s="201"/>
    </row>
    <row r="20894" spans="62:62" x14ac:dyDescent="0.2">
      <c r="BJ20894" s="201"/>
    </row>
    <row r="20895" spans="62:62" x14ac:dyDescent="0.2">
      <c r="BJ20895" s="201"/>
    </row>
    <row r="20896" spans="62:62" x14ac:dyDescent="0.2">
      <c r="BJ20896" s="201"/>
    </row>
    <row r="20897" spans="62:62" x14ac:dyDescent="0.2">
      <c r="BJ20897" s="201"/>
    </row>
    <row r="20898" spans="62:62" x14ac:dyDescent="0.2">
      <c r="BJ20898" s="201"/>
    </row>
    <row r="20899" spans="62:62" x14ac:dyDescent="0.2">
      <c r="BJ20899" s="201"/>
    </row>
    <row r="20900" spans="62:62" x14ac:dyDescent="0.2">
      <c r="BJ20900" s="201"/>
    </row>
    <row r="20901" spans="62:62" x14ac:dyDescent="0.2">
      <c r="BJ20901" s="201"/>
    </row>
    <row r="20902" spans="62:62" x14ac:dyDescent="0.2">
      <c r="BJ20902" s="201"/>
    </row>
    <row r="20903" spans="62:62" x14ac:dyDescent="0.2">
      <c r="BJ20903" s="201"/>
    </row>
    <row r="20904" spans="62:62" x14ac:dyDescent="0.2">
      <c r="BJ20904" s="201"/>
    </row>
    <row r="20905" spans="62:62" x14ac:dyDescent="0.2">
      <c r="BJ20905" s="201"/>
    </row>
    <row r="20906" spans="62:62" x14ac:dyDescent="0.2">
      <c r="BJ20906" s="201"/>
    </row>
    <row r="20907" spans="62:62" x14ac:dyDescent="0.2">
      <c r="BJ20907" s="201"/>
    </row>
    <row r="20908" spans="62:62" x14ac:dyDescent="0.2">
      <c r="BJ20908" s="201"/>
    </row>
    <row r="20909" spans="62:62" x14ac:dyDescent="0.2">
      <c r="BJ20909" s="201"/>
    </row>
    <row r="20910" spans="62:62" x14ac:dyDescent="0.2">
      <c r="BJ20910" s="201"/>
    </row>
    <row r="20911" spans="62:62" x14ac:dyDescent="0.2">
      <c r="BJ20911" s="201"/>
    </row>
    <row r="20912" spans="62:62" x14ac:dyDescent="0.2">
      <c r="BJ20912" s="201"/>
    </row>
    <row r="20913" spans="62:62" x14ac:dyDescent="0.2">
      <c r="BJ20913" s="201"/>
    </row>
    <row r="20914" spans="62:62" x14ac:dyDescent="0.2">
      <c r="BJ20914" s="201"/>
    </row>
    <row r="20915" spans="62:62" x14ac:dyDescent="0.2">
      <c r="BJ20915" s="201"/>
    </row>
    <row r="20916" spans="62:62" x14ac:dyDescent="0.2">
      <c r="BJ20916" s="201"/>
    </row>
    <row r="20917" spans="62:62" x14ac:dyDescent="0.2">
      <c r="BJ20917" s="201"/>
    </row>
    <row r="20918" spans="62:62" x14ac:dyDescent="0.2">
      <c r="BJ20918" s="201"/>
    </row>
    <row r="20919" spans="62:62" x14ac:dyDescent="0.2">
      <c r="BJ20919" s="201"/>
    </row>
    <row r="20920" spans="62:62" x14ac:dyDescent="0.2">
      <c r="BJ20920" s="201"/>
    </row>
    <row r="20921" spans="62:62" x14ac:dyDescent="0.2">
      <c r="BJ20921" s="201"/>
    </row>
    <row r="20922" spans="62:62" x14ac:dyDescent="0.2">
      <c r="BJ20922" s="201"/>
    </row>
    <row r="20923" spans="62:62" x14ac:dyDescent="0.2">
      <c r="BJ20923" s="201"/>
    </row>
    <row r="20924" spans="62:62" x14ac:dyDescent="0.2">
      <c r="BJ20924" s="201"/>
    </row>
    <row r="20925" spans="62:62" x14ac:dyDescent="0.2">
      <c r="BJ20925" s="201"/>
    </row>
    <row r="20926" spans="62:62" x14ac:dyDescent="0.2">
      <c r="BJ20926" s="201"/>
    </row>
    <row r="20927" spans="62:62" x14ac:dyDescent="0.2">
      <c r="BJ20927" s="201"/>
    </row>
    <row r="20928" spans="62:62" x14ac:dyDescent="0.2">
      <c r="BJ20928" s="201"/>
    </row>
    <row r="20929" spans="62:62" x14ac:dyDescent="0.2">
      <c r="BJ20929" s="201"/>
    </row>
    <row r="20930" spans="62:62" x14ac:dyDescent="0.2">
      <c r="BJ20930" s="201"/>
    </row>
    <row r="20931" spans="62:62" x14ac:dyDescent="0.2">
      <c r="BJ20931" s="201"/>
    </row>
    <row r="20932" spans="62:62" x14ac:dyDescent="0.2">
      <c r="BJ20932" s="201"/>
    </row>
    <row r="20933" spans="62:62" x14ac:dyDescent="0.2">
      <c r="BJ20933" s="201"/>
    </row>
    <row r="20934" spans="62:62" x14ac:dyDescent="0.2">
      <c r="BJ20934" s="201"/>
    </row>
    <row r="20935" spans="62:62" x14ac:dyDescent="0.2">
      <c r="BJ20935" s="201"/>
    </row>
    <row r="20936" spans="62:62" x14ac:dyDescent="0.2">
      <c r="BJ20936" s="201"/>
    </row>
    <row r="20937" spans="62:62" x14ac:dyDescent="0.2">
      <c r="BJ20937" s="201"/>
    </row>
    <row r="20938" spans="62:62" x14ac:dyDescent="0.2">
      <c r="BJ20938" s="201"/>
    </row>
    <row r="20939" spans="62:62" x14ac:dyDescent="0.2">
      <c r="BJ20939" s="201"/>
    </row>
    <row r="20940" spans="62:62" x14ac:dyDescent="0.2">
      <c r="BJ20940" s="201"/>
    </row>
    <row r="20941" spans="62:62" x14ac:dyDescent="0.2">
      <c r="BJ20941" s="201"/>
    </row>
    <row r="20942" spans="62:62" x14ac:dyDescent="0.2">
      <c r="BJ20942" s="201"/>
    </row>
    <row r="20943" spans="62:62" x14ac:dyDescent="0.2">
      <c r="BJ20943" s="201"/>
    </row>
    <row r="20944" spans="62:62" x14ac:dyDescent="0.2">
      <c r="BJ20944" s="201"/>
    </row>
    <row r="20945" spans="62:62" x14ac:dyDescent="0.2">
      <c r="BJ20945" s="201"/>
    </row>
    <row r="20946" spans="62:62" x14ac:dyDescent="0.2">
      <c r="BJ20946" s="201"/>
    </row>
    <row r="20947" spans="62:62" x14ac:dyDescent="0.2">
      <c r="BJ20947" s="201"/>
    </row>
    <row r="20948" spans="62:62" x14ac:dyDescent="0.2">
      <c r="BJ20948" s="201"/>
    </row>
    <row r="20949" spans="62:62" x14ac:dyDescent="0.2">
      <c r="BJ20949" s="201"/>
    </row>
    <row r="20950" spans="62:62" x14ac:dyDescent="0.2">
      <c r="BJ20950" s="201"/>
    </row>
    <row r="20951" spans="62:62" x14ac:dyDescent="0.2">
      <c r="BJ20951" s="201"/>
    </row>
    <row r="20952" spans="62:62" x14ac:dyDescent="0.2">
      <c r="BJ20952" s="201"/>
    </row>
    <row r="20953" spans="62:62" x14ac:dyDescent="0.2">
      <c r="BJ20953" s="201"/>
    </row>
    <row r="20954" spans="62:62" x14ac:dyDescent="0.2">
      <c r="BJ20954" s="201"/>
    </row>
    <row r="20955" spans="62:62" x14ac:dyDescent="0.2">
      <c r="BJ20955" s="201"/>
    </row>
    <row r="20956" spans="62:62" x14ac:dyDescent="0.2">
      <c r="BJ20956" s="201"/>
    </row>
    <row r="20957" spans="62:62" x14ac:dyDescent="0.2">
      <c r="BJ20957" s="201"/>
    </row>
    <row r="20958" spans="62:62" x14ac:dyDescent="0.2">
      <c r="BJ20958" s="201"/>
    </row>
    <row r="20959" spans="62:62" x14ac:dyDescent="0.2">
      <c r="BJ20959" s="201"/>
    </row>
    <row r="20960" spans="62:62" x14ac:dyDescent="0.2">
      <c r="BJ20960" s="201"/>
    </row>
    <row r="20961" spans="62:62" x14ac:dyDescent="0.2">
      <c r="BJ20961" s="201"/>
    </row>
    <row r="20962" spans="62:62" x14ac:dyDescent="0.2">
      <c r="BJ20962" s="201"/>
    </row>
    <row r="20963" spans="62:62" x14ac:dyDescent="0.2">
      <c r="BJ20963" s="201"/>
    </row>
    <row r="20964" spans="62:62" x14ac:dyDescent="0.2">
      <c r="BJ20964" s="201"/>
    </row>
    <row r="20965" spans="62:62" x14ac:dyDescent="0.2">
      <c r="BJ20965" s="201"/>
    </row>
    <row r="20966" spans="62:62" x14ac:dyDescent="0.2">
      <c r="BJ20966" s="201"/>
    </row>
    <row r="20967" spans="62:62" x14ac:dyDescent="0.2">
      <c r="BJ20967" s="201"/>
    </row>
    <row r="20968" spans="62:62" x14ac:dyDescent="0.2">
      <c r="BJ20968" s="201"/>
    </row>
    <row r="20969" spans="62:62" x14ac:dyDescent="0.2">
      <c r="BJ20969" s="201"/>
    </row>
    <row r="20970" spans="62:62" x14ac:dyDescent="0.2">
      <c r="BJ20970" s="201"/>
    </row>
    <row r="20971" spans="62:62" x14ac:dyDescent="0.2">
      <c r="BJ20971" s="201"/>
    </row>
    <row r="20972" spans="62:62" x14ac:dyDescent="0.2">
      <c r="BJ20972" s="201"/>
    </row>
    <row r="20973" spans="62:62" x14ac:dyDescent="0.2">
      <c r="BJ20973" s="201"/>
    </row>
    <row r="20974" spans="62:62" x14ac:dyDescent="0.2">
      <c r="BJ20974" s="201"/>
    </row>
    <row r="20975" spans="62:62" x14ac:dyDescent="0.2">
      <c r="BJ20975" s="201"/>
    </row>
    <row r="20976" spans="62:62" x14ac:dyDescent="0.2">
      <c r="BJ20976" s="201"/>
    </row>
    <row r="20977" spans="62:62" x14ac:dyDescent="0.2">
      <c r="BJ20977" s="201"/>
    </row>
    <row r="20978" spans="62:62" x14ac:dyDescent="0.2">
      <c r="BJ20978" s="201"/>
    </row>
    <row r="20979" spans="62:62" x14ac:dyDescent="0.2">
      <c r="BJ20979" s="201"/>
    </row>
    <row r="20980" spans="62:62" x14ac:dyDescent="0.2">
      <c r="BJ20980" s="201"/>
    </row>
    <row r="20981" spans="62:62" x14ac:dyDescent="0.2">
      <c r="BJ20981" s="201"/>
    </row>
    <row r="20982" spans="62:62" x14ac:dyDescent="0.2">
      <c r="BJ20982" s="201"/>
    </row>
    <row r="20983" spans="62:62" x14ac:dyDescent="0.2">
      <c r="BJ20983" s="201"/>
    </row>
    <row r="20984" spans="62:62" x14ac:dyDescent="0.2">
      <c r="BJ20984" s="201"/>
    </row>
    <row r="20985" spans="62:62" x14ac:dyDescent="0.2">
      <c r="BJ20985" s="201"/>
    </row>
    <row r="20986" spans="62:62" x14ac:dyDescent="0.2">
      <c r="BJ20986" s="201"/>
    </row>
    <row r="20987" spans="62:62" x14ac:dyDescent="0.2">
      <c r="BJ20987" s="201"/>
    </row>
    <row r="20988" spans="62:62" x14ac:dyDescent="0.2">
      <c r="BJ20988" s="201"/>
    </row>
    <row r="20989" spans="62:62" x14ac:dyDescent="0.2">
      <c r="BJ20989" s="201"/>
    </row>
    <row r="20990" spans="62:62" x14ac:dyDescent="0.2">
      <c r="BJ20990" s="201"/>
    </row>
    <row r="20991" spans="62:62" x14ac:dyDescent="0.2">
      <c r="BJ20991" s="201"/>
    </row>
    <row r="20992" spans="62:62" x14ac:dyDescent="0.2">
      <c r="BJ20992" s="201"/>
    </row>
    <row r="20993" spans="62:62" x14ac:dyDescent="0.2">
      <c r="BJ20993" s="201"/>
    </row>
    <row r="20994" spans="62:62" x14ac:dyDescent="0.2">
      <c r="BJ20994" s="201"/>
    </row>
    <row r="20995" spans="62:62" x14ac:dyDescent="0.2">
      <c r="BJ20995" s="201"/>
    </row>
    <row r="20996" spans="62:62" x14ac:dyDescent="0.2">
      <c r="BJ20996" s="201"/>
    </row>
    <row r="20997" spans="62:62" x14ac:dyDescent="0.2">
      <c r="BJ20997" s="201"/>
    </row>
    <row r="20998" spans="62:62" x14ac:dyDescent="0.2">
      <c r="BJ20998" s="201"/>
    </row>
    <row r="20999" spans="62:62" x14ac:dyDescent="0.2">
      <c r="BJ20999" s="201"/>
    </row>
    <row r="21000" spans="62:62" x14ac:dyDescent="0.2">
      <c r="BJ21000" s="201"/>
    </row>
    <row r="21001" spans="62:62" x14ac:dyDescent="0.2">
      <c r="BJ21001" s="201"/>
    </row>
    <row r="21002" spans="62:62" x14ac:dyDescent="0.2">
      <c r="BJ21002" s="201"/>
    </row>
    <row r="21003" spans="62:62" x14ac:dyDescent="0.2">
      <c r="BJ21003" s="201"/>
    </row>
    <row r="21004" spans="62:62" x14ac:dyDescent="0.2">
      <c r="BJ21004" s="201"/>
    </row>
    <row r="21005" spans="62:62" x14ac:dyDescent="0.2">
      <c r="BJ21005" s="201"/>
    </row>
    <row r="21006" spans="62:62" x14ac:dyDescent="0.2">
      <c r="BJ21006" s="201"/>
    </row>
    <row r="21007" spans="62:62" x14ac:dyDescent="0.2">
      <c r="BJ21007" s="201"/>
    </row>
    <row r="21008" spans="62:62" x14ac:dyDescent="0.2">
      <c r="BJ21008" s="201"/>
    </row>
    <row r="21009" spans="62:62" x14ac:dyDescent="0.2">
      <c r="BJ21009" s="201"/>
    </row>
    <row r="21010" spans="62:62" x14ac:dyDescent="0.2">
      <c r="BJ21010" s="201"/>
    </row>
    <row r="21011" spans="62:62" x14ac:dyDescent="0.2">
      <c r="BJ21011" s="201"/>
    </row>
    <row r="21012" spans="62:62" x14ac:dyDescent="0.2">
      <c r="BJ21012" s="201"/>
    </row>
    <row r="21013" spans="62:62" x14ac:dyDescent="0.2">
      <c r="BJ21013" s="201"/>
    </row>
    <row r="21014" spans="62:62" x14ac:dyDescent="0.2">
      <c r="BJ21014" s="201"/>
    </row>
    <row r="21015" spans="62:62" x14ac:dyDescent="0.2">
      <c r="BJ21015" s="201"/>
    </row>
    <row r="21016" spans="62:62" x14ac:dyDescent="0.2">
      <c r="BJ21016" s="201"/>
    </row>
    <row r="21017" spans="62:62" x14ac:dyDescent="0.2">
      <c r="BJ21017" s="201"/>
    </row>
    <row r="21018" spans="62:62" x14ac:dyDescent="0.2">
      <c r="BJ21018" s="201"/>
    </row>
    <row r="21019" spans="62:62" x14ac:dyDescent="0.2">
      <c r="BJ21019" s="201"/>
    </row>
    <row r="21020" spans="62:62" x14ac:dyDescent="0.2">
      <c r="BJ21020" s="201"/>
    </row>
    <row r="21021" spans="62:62" x14ac:dyDescent="0.2">
      <c r="BJ21021" s="201"/>
    </row>
    <row r="21022" spans="62:62" x14ac:dyDescent="0.2">
      <c r="BJ21022" s="201"/>
    </row>
    <row r="21023" spans="62:62" x14ac:dyDescent="0.2">
      <c r="BJ21023" s="201"/>
    </row>
    <row r="21024" spans="62:62" x14ac:dyDescent="0.2">
      <c r="BJ21024" s="201"/>
    </row>
    <row r="21025" spans="62:62" x14ac:dyDescent="0.2">
      <c r="BJ21025" s="201"/>
    </row>
    <row r="21026" spans="62:62" x14ac:dyDescent="0.2">
      <c r="BJ21026" s="201"/>
    </row>
    <row r="21027" spans="62:62" x14ac:dyDescent="0.2">
      <c r="BJ21027" s="201"/>
    </row>
    <row r="21028" spans="62:62" x14ac:dyDescent="0.2">
      <c r="BJ21028" s="201"/>
    </row>
    <row r="21029" spans="62:62" x14ac:dyDescent="0.2">
      <c r="BJ21029" s="201"/>
    </row>
    <row r="21030" spans="62:62" x14ac:dyDescent="0.2">
      <c r="BJ21030" s="201"/>
    </row>
    <row r="21031" spans="62:62" x14ac:dyDescent="0.2">
      <c r="BJ21031" s="201"/>
    </row>
    <row r="21032" spans="62:62" x14ac:dyDescent="0.2">
      <c r="BJ21032" s="201"/>
    </row>
    <row r="21033" spans="62:62" x14ac:dyDescent="0.2">
      <c r="BJ21033" s="201"/>
    </row>
    <row r="21034" spans="62:62" x14ac:dyDescent="0.2">
      <c r="BJ21034" s="201"/>
    </row>
    <row r="21035" spans="62:62" x14ac:dyDescent="0.2">
      <c r="BJ21035" s="201"/>
    </row>
    <row r="21036" spans="62:62" x14ac:dyDescent="0.2">
      <c r="BJ21036" s="201"/>
    </row>
    <row r="21037" spans="62:62" x14ac:dyDescent="0.2">
      <c r="BJ21037" s="201"/>
    </row>
    <row r="21038" spans="62:62" x14ac:dyDescent="0.2">
      <c r="BJ21038" s="201"/>
    </row>
    <row r="21039" spans="62:62" x14ac:dyDescent="0.2">
      <c r="BJ21039" s="201"/>
    </row>
    <row r="21040" spans="62:62" x14ac:dyDescent="0.2">
      <c r="BJ21040" s="201"/>
    </row>
    <row r="21041" spans="62:62" x14ac:dyDescent="0.2">
      <c r="BJ21041" s="201"/>
    </row>
    <row r="21042" spans="62:62" x14ac:dyDescent="0.2">
      <c r="BJ21042" s="201"/>
    </row>
    <row r="21043" spans="62:62" x14ac:dyDescent="0.2">
      <c r="BJ21043" s="201"/>
    </row>
    <row r="21044" spans="62:62" x14ac:dyDescent="0.2">
      <c r="BJ21044" s="201"/>
    </row>
    <row r="21045" spans="62:62" x14ac:dyDescent="0.2">
      <c r="BJ21045" s="201"/>
    </row>
    <row r="21046" spans="62:62" x14ac:dyDescent="0.2">
      <c r="BJ21046" s="201"/>
    </row>
    <row r="21047" spans="62:62" x14ac:dyDescent="0.2">
      <c r="BJ21047" s="201"/>
    </row>
    <row r="21048" spans="62:62" x14ac:dyDescent="0.2">
      <c r="BJ21048" s="201"/>
    </row>
    <row r="21049" spans="62:62" x14ac:dyDescent="0.2">
      <c r="BJ21049" s="201"/>
    </row>
    <row r="21050" spans="62:62" x14ac:dyDescent="0.2">
      <c r="BJ21050" s="201"/>
    </row>
    <row r="21051" spans="62:62" x14ac:dyDescent="0.2">
      <c r="BJ21051" s="201"/>
    </row>
    <row r="21052" spans="62:62" x14ac:dyDescent="0.2">
      <c r="BJ21052" s="201"/>
    </row>
    <row r="21053" spans="62:62" x14ac:dyDescent="0.2">
      <c r="BJ21053" s="201"/>
    </row>
    <row r="21054" spans="62:62" x14ac:dyDescent="0.2">
      <c r="BJ21054" s="201"/>
    </row>
    <row r="21055" spans="62:62" x14ac:dyDescent="0.2">
      <c r="BJ21055" s="201"/>
    </row>
    <row r="21056" spans="62:62" x14ac:dyDescent="0.2">
      <c r="BJ21056" s="201"/>
    </row>
    <row r="21057" spans="62:62" x14ac:dyDescent="0.2">
      <c r="BJ21057" s="201"/>
    </row>
    <row r="21058" spans="62:62" x14ac:dyDescent="0.2">
      <c r="BJ21058" s="201"/>
    </row>
    <row r="21059" spans="62:62" x14ac:dyDescent="0.2">
      <c r="BJ21059" s="201"/>
    </row>
    <row r="21060" spans="62:62" x14ac:dyDescent="0.2">
      <c r="BJ21060" s="201"/>
    </row>
    <row r="21061" spans="62:62" x14ac:dyDescent="0.2">
      <c r="BJ21061" s="201"/>
    </row>
    <row r="21062" spans="62:62" x14ac:dyDescent="0.2">
      <c r="BJ21062" s="201"/>
    </row>
    <row r="21063" spans="62:62" x14ac:dyDescent="0.2">
      <c r="BJ21063" s="201"/>
    </row>
    <row r="21064" spans="62:62" x14ac:dyDescent="0.2">
      <c r="BJ21064" s="201"/>
    </row>
    <row r="21065" spans="62:62" x14ac:dyDescent="0.2">
      <c r="BJ21065" s="201"/>
    </row>
    <row r="21066" spans="62:62" x14ac:dyDescent="0.2">
      <c r="BJ21066" s="201"/>
    </row>
    <row r="21067" spans="62:62" x14ac:dyDescent="0.2">
      <c r="BJ21067" s="201"/>
    </row>
    <row r="21068" spans="62:62" x14ac:dyDescent="0.2">
      <c r="BJ21068" s="201"/>
    </row>
    <row r="21069" spans="62:62" x14ac:dyDescent="0.2">
      <c r="BJ21069" s="201"/>
    </row>
    <row r="21070" spans="62:62" x14ac:dyDescent="0.2">
      <c r="BJ21070" s="201"/>
    </row>
    <row r="21071" spans="62:62" x14ac:dyDescent="0.2">
      <c r="BJ21071" s="201"/>
    </row>
    <row r="21072" spans="62:62" x14ac:dyDescent="0.2">
      <c r="BJ21072" s="201"/>
    </row>
    <row r="21073" spans="62:62" x14ac:dyDescent="0.2">
      <c r="BJ21073" s="201"/>
    </row>
    <row r="21074" spans="62:62" x14ac:dyDescent="0.2">
      <c r="BJ21074" s="201"/>
    </row>
    <row r="21075" spans="62:62" x14ac:dyDescent="0.2">
      <c r="BJ21075" s="201"/>
    </row>
    <row r="21076" spans="62:62" x14ac:dyDescent="0.2">
      <c r="BJ21076" s="201"/>
    </row>
    <row r="21077" spans="62:62" x14ac:dyDescent="0.2">
      <c r="BJ21077" s="201"/>
    </row>
    <row r="21078" spans="62:62" x14ac:dyDescent="0.2">
      <c r="BJ21078" s="201"/>
    </row>
    <row r="21079" spans="62:62" x14ac:dyDescent="0.2">
      <c r="BJ21079" s="201"/>
    </row>
    <row r="21080" spans="62:62" x14ac:dyDescent="0.2">
      <c r="BJ21080" s="201"/>
    </row>
    <row r="21081" spans="62:62" x14ac:dyDescent="0.2">
      <c r="BJ21081" s="201"/>
    </row>
    <row r="21082" spans="62:62" x14ac:dyDescent="0.2">
      <c r="BJ21082" s="201"/>
    </row>
    <row r="21083" spans="62:62" x14ac:dyDescent="0.2">
      <c r="BJ21083" s="201"/>
    </row>
    <row r="21084" spans="62:62" x14ac:dyDescent="0.2">
      <c r="BJ21084" s="201"/>
    </row>
    <row r="21085" spans="62:62" x14ac:dyDescent="0.2">
      <c r="BJ21085" s="201"/>
    </row>
    <row r="21086" spans="62:62" x14ac:dyDescent="0.2">
      <c r="BJ21086" s="201"/>
    </row>
    <row r="21087" spans="62:62" x14ac:dyDescent="0.2">
      <c r="BJ21087" s="201"/>
    </row>
    <row r="21088" spans="62:62" x14ac:dyDescent="0.2">
      <c r="BJ21088" s="201"/>
    </row>
    <row r="21089" spans="62:62" x14ac:dyDescent="0.2">
      <c r="BJ21089" s="201"/>
    </row>
    <row r="21090" spans="62:62" x14ac:dyDescent="0.2">
      <c r="BJ21090" s="201"/>
    </row>
    <row r="21091" spans="62:62" x14ac:dyDescent="0.2">
      <c r="BJ21091" s="201"/>
    </row>
    <row r="21092" spans="62:62" x14ac:dyDescent="0.2">
      <c r="BJ21092" s="201"/>
    </row>
    <row r="21093" spans="62:62" x14ac:dyDescent="0.2">
      <c r="BJ21093" s="201"/>
    </row>
    <row r="21094" spans="62:62" x14ac:dyDescent="0.2">
      <c r="BJ21094" s="201"/>
    </row>
    <row r="21095" spans="62:62" x14ac:dyDescent="0.2">
      <c r="BJ21095" s="201"/>
    </row>
    <row r="21096" spans="62:62" x14ac:dyDescent="0.2">
      <c r="BJ21096" s="201"/>
    </row>
    <row r="21097" spans="62:62" x14ac:dyDescent="0.2">
      <c r="BJ21097" s="201"/>
    </row>
    <row r="21098" spans="62:62" x14ac:dyDescent="0.2">
      <c r="BJ21098" s="201"/>
    </row>
    <row r="21099" spans="62:62" x14ac:dyDescent="0.2">
      <c r="BJ21099" s="201"/>
    </row>
    <row r="21100" spans="62:62" x14ac:dyDescent="0.2">
      <c r="BJ21100" s="201"/>
    </row>
    <row r="21101" spans="62:62" x14ac:dyDescent="0.2">
      <c r="BJ21101" s="201"/>
    </row>
    <row r="21102" spans="62:62" x14ac:dyDescent="0.2">
      <c r="BJ21102" s="201"/>
    </row>
    <row r="21103" spans="62:62" x14ac:dyDescent="0.2">
      <c r="BJ21103" s="201"/>
    </row>
    <row r="21104" spans="62:62" x14ac:dyDescent="0.2">
      <c r="BJ21104" s="201"/>
    </row>
    <row r="21105" spans="62:62" x14ac:dyDescent="0.2">
      <c r="BJ21105" s="201"/>
    </row>
    <row r="21106" spans="62:62" x14ac:dyDescent="0.2">
      <c r="BJ21106" s="201"/>
    </row>
    <row r="21107" spans="62:62" x14ac:dyDescent="0.2">
      <c r="BJ21107" s="201"/>
    </row>
    <row r="21108" spans="62:62" x14ac:dyDescent="0.2">
      <c r="BJ21108" s="201"/>
    </row>
    <row r="21109" spans="62:62" x14ac:dyDescent="0.2">
      <c r="BJ21109" s="201"/>
    </row>
    <row r="21110" spans="62:62" x14ac:dyDescent="0.2">
      <c r="BJ21110" s="201"/>
    </row>
    <row r="21111" spans="62:62" x14ac:dyDescent="0.2">
      <c r="BJ21111" s="201"/>
    </row>
    <row r="21112" spans="62:62" x14ac:dyDescent="0.2">
      <c r="BJ21112" s="201"/>
    </row>
    <row r="21113" spans="62:62" x14ac:dyDescent="0.2">
      <c r="BJ21113" s="201"/>
    </row>
    <row r="21114" spans="62:62" x14ac:dyDescent="0.2">
      <c r="BJ21114" s="201"/>
    </row>
    <row r="21115" spans="62:62" x14ac:dyDescent="0.2">
      <c r="BJ21115" s="201"/>
    </row>
    <row r="21116" spans="62:62" x14ac:dyDescent="0.2">
      <c r="BJ21116" s="201"/>
    </row>
    <row r="21117" spans="62:62" x14ac:dyDescent="0.2">
      <c r="BJ21117" s="201"/>
    </row>
    <row r="21118" spans="62:62" x14ac:dyDescent="0.2">
      <c r="BJ21118" s="201"/>
    </row>
    <row r="21119" spans="62:62" x14ac:dyDescent="0.2">
      <c r="BJ21119" s="201"/>
    </row>
    <row r="21120" spans="62:62" x14ac:dyDescent="0.2">
      <c r="BJ21120" s="201"/>
    </row>
    <row r="21121" spans="62:62" x14ac:dyDescent="0.2">
      <c r="BJ21121" s="201"/>
    </row>
    <row r="21122" spans="62:62" x14ac:dyDescent="0.2">
      <c r="BJ21122" s="201"/>
    </row>
    <row r="21123" spans="62:62" x14ac:dyDescent="0.2">
      <c r="BJ21123" s="201"/>
    </row>
    <row r="21124" spans="62:62" x14ac:dyDescent="0.2">
      <c r="BJ21124" s="201"/>
    </row>
    <row r="21125" spans="62:62" x14ac:dyDescent="0.2">
      <c r="BJ21125" s="201"/>
    </row>
    <row r="21126" spans="62:62" x14ac:dyDescent="0.2">
      <c r="BJ21126" s="201"/>
    </row>
    <row r="21127" spans="62:62" x14ac:dyDescent="0.2">
      <c r="BJ21127" s="201"/>
    </row>
    <row r="21128" spans="62:62" x14ac:dyDescent="0.2">
      <c r="BJ21128" s="201"/>
    </row>
    <row r="21129" spans="62:62" x14ac:dyDescent="0.2">
      <c r="BJ21129" s="201"/>
    </row>
    <row r="21130" spans="62:62" x14ac:dyDescent="0.2">
      <c r="BJ21130" s="201"/>
    </row>
    <row r="21131" spans="62:62" x14ac:dyDescent="0.2">
      <c r="BJ21131" s="201"/>
    </row>
    <row r="21132" spans="62:62" x14ac:dyDescent="0.2">
      <c r="BJ21132" s="201"/>
    </row>
    <row r="21133" spans="62:62" x14ac:dyDescent="0.2">
      <c r="BJ21133" s="201"/>
    </row>
    <row r="21134" spans="62:62" x14ac:dyDescent="0.2">
      <c r="BJ21134" s="201"/>
    </row>
    <row r="21135" spans="62:62" x14ac:dyDescent="0.2">
      <c r="BJ21135" s="201"/>
    </row>
    <row r="21136" spans="62:62" x14ac:dyDescent="0.2">
      <c r="BJ21136" s="201"/>
    </row>
    <row r="21137" spans="62:62" x14ac:dyDescent="0.2">
      <c r="BJ21137" s="201"/>
    </row>
    <row r="21138" spans="62:62" x14ac:dyDescent="0.2">
      <c r="BJ21138" s="201"/>
    </row>
    <row r="21139" spans="62:62" x14ac:dyDescent="0.2">
      <c r="BJ21139" s="201"/>
    </row>
    <row r="21140" spans="62:62" x14ac:dyDescent="0.2">
      <c r="BJ21140" s="201"/>
    </row>
    <row r="21141" spans="62:62" x14ac:dyDescent="0.2">
      <c r="BJ21141" s="201"/>
    </row>
    <row r="21142" spans="62:62" x14ac:dyDescent="0.2">
      <c r="BJ21142" s="201"/>
    </row>
    <row r="21143" spans="62:62" x14ac:dyDescent="0.2">
      <c r="BJ21143" s="201"/>
    </row>
    <row r="21144" spans="62:62" x14ac:dyDescent="0.2">
      <c r="BJ21144" s="201"/>
    </row>
    <row r="21145" spans="62:62" x14ac:dyDescent="0.2">
      <c r="BJ21145" s="201"/>
    </row>
    <row r="21146" spans="62:62" x14ac:dyDescent="0.2">
      <c r="BJ21146" s="201"/>
    </row>
    <row r="21147" spans="62:62" x14ac:dyDescent="0.2">
      <c r="BJ21147" s="201"/>
    </row>
    <row r="21148" spans="62:62" x14ac:dyDescent="0.2">
      <c r="BJ21148" s="201"/>
    </row>
    <row r="21149" spans="62:62" x14ac:dyDescent="0.2">
      <c r="BJ21149" s="201"/>
    </row>
    <row r="21150" spans="62:62" x14ac:dyDescent="0.2">
      <c r="BJ21150" s="201"/>
    </row>
    <row r="21151" spans="62:62" x14ac:dyDescent="0.2">
      <c r="BJ21151" s="201"/>
    </row>
    <row r="21152" spans="62:62" x14ac:dyDescent="0.2">
      <c r="BJ21152" s="201"/>
    </row>
    <row r="21153" spans="62:62" x14ac:dyDescent="0.2">
      <c r="BJ21153" s="201"/>
    </row>
    <row r="21154" spans="62:62" x14ac:dyDescent="0.2">
      <c r="BJ21154" s="201"/>
    </row>
    <row r="21155" spans="62:62" x14ac:dyDescent="0.2">
      <c r="BJ21155" s="201"/>
    </row>
    <row r="21156" spans="62:62" x14ac:dyDescent="0.2">
      <c r="BJ21156" s="201"/>
    </row>
    <row r="21157" spans="62:62" x14ac:dyDescent="0.2">
      <c r="BJ21157" s="201"/>
    </row>
    <row r="21158" spans="62:62" x14ac:dyDescent="0.2">
      <c r="BJ21158" s="201"/>
    </row>
    <row r="21159" spans="62:62" x14ac:dyDescent="0.2">
      <c r="BJ21159" s="201"/>
    </row>
    <row r="21160" spans="62:62" x14ac:dyDescent="0.2">
      <c r="BJ21160" s="201"/>
    </row>
    <row r="21161" spans="62:62" x14ac:dyDescent="0.2">
      <c r="BJ21161" s="201"/>
    </row>
    <row r="21162" spans="62:62" x14ac:dyDescent="0.2">
      <c r="BJ21162" s="201"/>
    </row>
    <row r="21163" spans="62:62" x14ac:dyDescent="0.2">
      <c r="BJ21163" s="201"/>
    </row>
    <row r="21164" spans="62:62" x14ac:dyDescent="0.2">
      <c r="BJ21164" s="201"/>
    </row>
    <row r="21165" spans="62:62" x14ac:dyDescent="0.2">
      <c r="BJ21165" s="201"/>
    </row>
    <row r="21166" spans="62:62" x14ac:dyDescent="0.2">
      <c r="BJ21166" s="201"/>
    </row>
    <row r="21167" spans="62:62" x14ac:dyDescent="0.2">
      <c r="BJ21167" s="201"/>
    </row>
    <row r="21168" spans="62:62" x14ac:dyDescent="0.2">
      <c r="BJ21168" s="201"/>
    </row>
    <row r="21169" spans="62:62" x14ac:dyDescent="0.2">
      <c r="BJ21169" s="201"/>
    </row>
    <row r="21170" spans="62:62" x14ac:dyDescent="0.2">
      <c r="BJ21170" s="201"/>
    </row>
    <row r="21171" spans="62:62" x14ac:dyDescent="0.2">
      <c r="BJ21171" s="201"/>
    </row>
    <row r="21172" spans="62:62" x14ac:dyDescent="0.2">
      <c r="BJ21172" s="201"/>
    </row>
    <row r="21173" spans="62:62" x14ac:dyDescent="0.2">
      <c r="BJ21173" s="201"/>
    </row>
    <row r="21174" spans="62:62" x14ac:dyDescent="0.2">
      <c r="BJ21174" s="201"/>
    </row>
    <row r="21175" spans="62:62" x14ac:dyDescent="0.2">
      <c r="BJ21175" s="201"/>
    </row>
    <row r="21176" spans="62:62" x14ac:dyDescent="0.2">
      <c r="BJ21176" s="201"/>
    </row>
    <row r="21177" spans="62:62" x14ac:dyDescent="0.2">
      <c r="BJ21177" s="201"/>
    </row>
    <row r="21178" spans="62:62" x14ac:dyDescent="0.2">
      <c r="BJ21178" s="201"/>
    </row>
    <row r="21179" spans="62:62" x14ac:dyDescent="0.2">
      <c r="BJ21179" s="201"/>
    </row>
    <row r="21180" spans="62:62" x14ac:dyDescent="0.2">
      <c r="BJ21180" s="201"/>
    </row>
    <row r="21181" spans="62:62" x14ac:dyDescent="0.2">
      <c r="BJ21181" s="201"/>
    </row>
    <row r="21182" spans="62:62" x14ac:dyDescent="0.2">
      <c r="BJ21182" s="201"/>
    </row>
    <row r="21183" spans="62:62" x14ac:dyDescent="0.2">
      <c r="BJ21183" s="201"/>
    </row>
    <row r="21184" spans="62:62" x14ac:dyDescent="0.2">
      <c r="BJ21184" s="201"/>
    </row>
    <row r="21185" spans="62:62" x14ac:dyDescent="0.2">
      <c r="BJ21185" s="201"/>
    </row>
    <row r="21186" spans="62:62" x14ac:dyDescent="0.2">
      <c r="BJ21186" s="201"/>
    </row>
    <row r="21187" spans="62:62" x14ac:dyDescent="0.2">
      <c r="BJ21187" s="201"/>
    </row>
    <row r="21188" spans="62:62" x14ac:dyDescent="0.2">
      <c r="BJ21188" s="201"/>
    </row>
    <row r="21189" spans="62:62" x14ac:dyDescent="0.2">
      <c r="BJ21189" s="201"/>
    </row>
    <row r="21190" spans="62:62" x14ac:dyDescent="0.2">
      <c r="BJ21190" s="201"/>
    </row>
    <row r="21191" spans="62:62" x14ac:dyDescent="0.2">
      <c r="BJ21191" s="201"/>
    </row>
    <row r="21192" spans="62:62" x14ac:dyDescent="0.2">
      <c r="BJ21192" s="201"/>
    </row>
    <row r="21193" spans="62:62" x14ac:dyDescent="0.2">
      <c r="BJ21193" s="201"/>
    </row>
    <row r="21194" spans="62:62" x14ac:dyDescent="0.2">
      <c r="BJ21194" s="201"/>
    </row>
    <row r="21195" spans="62:62" x14ac:dyDescent="0.2">
      <c r="BJ21195" s="201"/>
    </row>
    <row r="21196" spans="62:62" x14ac:dyDescent="0.2">
      <c r="BJ21196" s="201"/>
    </row>
    <row r="21197" spans="62:62" x14ac:dyDescent="0.2">
      <c r="BJ21197" s="201"/>
    </row>
    <row r="21198" spans="62:62" x14ac:dyDescent="0.2">
      <c r="BJ21198" s="201"/>
    </row>
    <row r="21199" spans="62:62" x14ac:dyDescent="0.2">
      <c r="BJ21199" s="201"/>
    </row>
    <row r="21200" spans="62:62" x14ac:dyDescent="0.2">
      <c r="BJ21200" s="201"/>
    </row>
    <row r="21201" spans="62:62" x14ac:dyDescent="0.2">
      <c r="BJ21201" s="201"/>
    </row>
    <row r="21202" spans="62:62" x14ac:dyDescent="0.2">
      <c r="BJ21202" s="201"/>
    </row>
    <row r="21203" spans="62:62" x14ac:dyDescent="0.2">
      <c r="BJ21203" s="201"/>
    </row>
    <row r="21204" spans="62:62" x14ac:dyDescent="0.2">
      <c r="BJ21204" s="201"/>
    </row>
    <row r="21205" spans="62:62" x14ac:dyDescent="0.2">
      <c r="BJ21205" s="201"/>
    </row>
    <row r="21206" spans="62:62" x14ac:dyDescent="0.2">
      <c r="BJ21206" s="201"/>
    </row>
    <row r="21207" spans="62:62" x14ac:dyDescent="0.2">
      <c r="BJ21207" s="201"/>
    </row>
    <row r="21208" spans="62:62" x14ac:dyDescent="0.2">
      <c r="BJ21208" s="201"/>
    </row>
    <row r="21209" spans="62:62" x14ac:dyDescent="0.2">
      <c r="BJ21209" s="201"/>
    </row>
    <row r="21210" spans="62:62" x14ac:dyDescent="0.2">
      <c r="BJ21210" s="201"/>
    </row>
    <row r="21211" spans="62:62" x14ac:dyDescent="0.2">
      <c r="BJ21211" s="201"/>
    </row>
    <row r="21212" spans="62:62" x14ac:dyDescent="0.2">
      <c r="BJ21212" s="201"/>
    </row>
    <row r="21213" spans="62:62" x14ac:dyDescent="0.2">
      <c r="BJ21213" s="201"/>
    </row>
    <row r="21214" spans="62:62" x14ac:dyDescent="0.2">
      <c r="BJ21214" s="201"/>
    </row>
    <row r="21215" spans="62:62" x14ac:dyDescent="0.2">
      <c r="BJ21215" s="201"/>
    </row>
    <row r="21216" spans="62:62" x14ac:dyDescent="0.2">
      <c r="BJ21216" s="201"/>
    </row>
    <row r="21217" spans="62:62" x14ac:dyDescent="0.2">
      <c r="BJ21217" s="201"/>
    </row>
    <row r="21218" spans="62:62" x14ac:dyDescent="0.2">
      <c r="BJ21218" s="201"/>
    </row>
    <row r="21219" spans="62:62" x14ac:dyDescent="0.2">
      <c r="BJ21219" s="201"/>
    </row>
    <row r="21220" spans="62:62" x14ac:dyDescent="0.2">
      <c r="BJ21220" s="201"/>
    </row>
    <row r="21221" spans="62:62" x14ac:dyDescent="0.2">
      <c r="BJ21221" s="201"/>
    </row>
    <row r="21222" spans="62:62" x14ac:dyDescent="0.2">
      <c r="BJ21222" s="201"/>
    </row>
    <row r="21223" spans="62:62" x14ac:dyDescent="0.2">
      <c r="BJ21223" s="201"/>
    </row>
    <row r="21224" spans="62:62" x14ac:dyDescent="0.2">
      <c r="BJ21224" s="201"/>
    </row>
    <row r="21225" spans="62:62" x14ac:dyDescent="0.2">
      <c r="BJ21225" s="201"/>
    </row>
    <row r="21226" spans="62:62" x14ac:dyDescent="0.2">
      <c r="BJ21226" s="201"/>
    </row>
    <row r="21227" spans="62:62" x14ac:dyDescent="0.2">
      <c r="BJ21227" s="201"/>
    </row>
    <row r="21228" spans="62:62" x14ac:dyDescent="0.2">
      <c r="BJ21228" s="201"/>
    </row>
    <row r="21229" spans="62:62" x14ac:dyDescent="0.2">
      <c r="BJ21229" s="201"/>
    </row>
    <row r="21230" spans="62:62" x14ac:dyDescent="0.2">
      <c r="BJ21230" s="201"/>
    </row>
    <row r="21231" spans="62:62" x14ac:dyDescent="0.2">
      <c r="BJ21231" s="201"/>
    </row>
    <row r="21232" spans="62:62" x14ac:dyDescent="0.2">
      <c r="BJ21232" s="201"/>
    </row>
    <row r="21233" spans="62:62" x14ac:dyDescent="0.2">
      <c r="BJ21233" s="201"/>
    </row>
    <row r="21234" spans="62:62" x14ac:dyDescent="0.2">
      <c r="BJ21234" s="201"/>
    </row>
    <row r="21235" spans="62:62" x14ac:dyDescent="0.2">
      <c r="BJ21235" s="201"/>
    </row>
    <row r="21236" spans="62:62" x14ac:dyDescent="0.2">
      <c r="BJ21236" s="201"/>
    </row>
    <row r="21237" spans="62:62" x14ac:dyDescent="0.2">
      <c r="BJ21237" s="201"/>
    </row>
    <row r="21238" spans="62:62" x14ac:dyDescent="0.2">
      <c r="BJ21238" s="201"/>
    </row>
    <row r="21239" spans="62:62" x14ac:dyDescent="0.2">
      <c r="BJ21239" s="201"/>
    </row>
    <row r="21240" spans="62:62" x14ac:dyDescent="0.2">
      <c r="BJ21240" s="201"/>
    </row>
    <row r="21241" spans="62:62" x14ac:dyDescent="0.2">
      <c r="BJ21241" s="201"/>
    </row>
    <row r="21242" spans="62:62" x14ac:dyDescent="0.2">
      <c r="BJ21242" s="201"/>
    </row>
    <row r="21243" spans="62:62" x14ac:dyDescent="0.2">
      <c r="BJ21243" s="201"/>
    </row>
    <row r="21244" spans="62:62" x14ac:dyDescent="0.2">
      <c r="BJ21244" s="201"/>
    </row>
    <row r="21245" spans="62:62" x14ac:dyDescent="0.2">
      <c r="BJ21245" s="201"/>
    </row>
    <row r="21246" spans="62:62" x14ac:dyDescent="0.2">
      <c r="BJ21246" s="201"/>
    </row>
    <row r="21247" spans="62:62" x14ac:dyDescent="0.2">
      <c r="BJ21247" s="201"/>
    </row>
    <row r="21248" spans="62:62" x14ac:dyDescent="0.2">
      <c r="BJ21248" s="201"/>
    </row>
    <row r="21249" spans="62:62" x14ac:dyDescent="0.2">
      <c r="BJ21249" s="201"/>
    </row>
    <row r="21250" spans="62:62" x14ac:dyDescent="0.2">
      <c r="BJ21250" s="201"/>
    </row>
    <row r="21251" spans="62:62" x14ac:dyDescent="0.2">
      <c r="BJ21251" s="201"/>
    </row>
    <row r="21252" spans="62:62" x14ac:dyDescent="0.2">
      <c r="BJ21252" s="201"/>
    </row>
    <row r="21253" spans="62:62" x14ac:dyDescent="0.2">
      <c r="BJ21253" s="201"/>
    </row>
    <row r="21254" spans="62:62" x14ac:dyDescent="0.2">
      <c r="BJ21254" s="201"/>
    </row>
    <row r="21255" spans="62:62" x14ac:dyDescent="0.2">
      <c r="BJ21255" s="201"/>
    </row>
    <row r="21256" spans="62:62" x14ac:dyDescent="0.2">
      <c r="BJ21256" s="201"/>
    </row>
    <row r="21257" spans="62:62" x14ac:dyDescent="0.2">
      <c r="BJ21257" s="201"/>
    </row>
    <row r="21258" spans="62:62" x14ac:dyDescent="0.2">
      <c r="BJ21258" s="201"/>
    </row>
    <row r="21259" spans="62:62" x14ac:dyDescent="0.2">
      <c r="BJ21259" s="201"/>
    </row>
    <row r="21260" spans="62:62" x14ac:dyDescent="0.2">
      <c r="BJ21260" s="201"/>
    </row>
    <row r="21261" spans="62:62" x14ac:dyDescent="0.2">
      <c r="BJ21261" s="201"/>
    </row>
    <row r="21262" spans="62:62" x14ac:dyDescent="0.2">
      <c r="BJ21262" s="201"/>
    </row>
    <row r="21263" spans="62:62" x14ac:dyDescent="0.2">
      <c r="BJ21263" s="201"/>
    </row>
    <row r="21264" spans="62:62" x14ac:dyDescent="0.2">
      <c r="BJ21264" s="201"/>
    </row>
    <row r="21265" spans="62:62" x14ac:dyDescent="0.2">
      <c r="BJ21265" s="201"/>
    </row>
    <row r="21266" spans="62:62" x14ac:dyDescent="0.2">
      <c r="BJ21266" s="201"/>
    </row>
    <row r="21267" spans="62:62" x14ac:dyDescent="0.2">
      <c r="BJ21267" s="201"/>
    </row>
    <row r="21268" spans="62:62" x14ac:dyDescent="0.2">
      <c r="BJ21268" s="201"/>
    </row>
    <row r="21269" spans="62:62" x14ac:dyDescent="0.2">
      <c r="BJ21269" s="201"/>
    </row>
    <row r="21270" spans="62:62" x14ac:dyDescent="0.2">
      <c r="BJ21270" s="201"/>
    </row>
    <row r="21271" spans="62:62" x14ac:dyDescent="0.2">
      <c r="BJ21271" s="201"/>
    </row>
    <row r="21272" spans="62:62" x14ac:dyDescent="0.2">
      <c r="BJ21272" s="201"/>
    </row>
    <row r="21273" spans="62:62" x14ac:dyDescent="0.2">
      <c r="BJ21273" s="201"/>
    </row>
    <row r="21274" spans="62:62" x14ac:dyDescent="0.2">
      <c r="BJ21274" s="201"/>
    </row>
    <row r="21275" spans="62:62" x14ac:dyDescent="0.2">
      <c r="BJ21275" s="201"/>
    </row>
    <row r="21276" spans="62:62" x14ac:dyDescent="0.2">
      <c r="BJ21276" s="201"/>
    </row>
    <row r="21277" spans="62:62" x14ac:dyDescent="0.2">
      <c r="BJ21277" s="201"/>
    </row>
    <row r="21278" spans="62:62" x14ac:dyDescent="0.2">
      <c r="BJ21278" s="201"/>
    </row>
    <row r="21279" spans="62:62" x14ac:dyDescent="0.2">
      <c r="BJ21279" s="201"/>
    </row>
    <row r="21280" spans="62:62" x14ac:dyDescent="0.2">
      <c r="BJ21280" s="201"/>
    </row>
    <row r="21281" spans="62:62" x14ac:dyDescent="0.2">
      <c r="BJ21281" s="201"/>
    </row>
    <row r="21282" spans="62:62" x14ac:dyDescent="0.2">
      <c r="BJ21282" s="201"/>
    </row>
    <row r="21283" spans="62:62" x14ac:dyDescent="0.2">
      <c r="BJ21283" s="201"/>
    </row>
    <row r="21284" spans="62:62" x14ac:dyDescent="0.2">
      <c r="BJ21284" s="201"/>
    </row>
    <row r="21285" spans="62:62" x14ac:dyDescent="0.2">
      <c r="BJ21285" s="201"/>
    </row>
    <row r="21286" spans="62:62" x14ac:dyDescent="0.2">
      <c r="BJ21286" s="201"/>
    </row>
    <row r="21287" spans="62:62" x14ac:dyDescent="0.2">
      <c r="BJ21287" s="201"/>
    </row>
    <row r="21288" spans="62:62" x14ac:dyDescent="0.2">
      <c r="BJ21288" s="201"/>
    </row>
    <row r="21289" spans="62:62" x14ac:dyDescent="0.2">
      <c r="BJ21289" s="201"/>
    </row>
    <row r="21290" spans="62:62" x14ac:dyDescent="0.2">
      <c r="BJ21290" s="201"/>
    </row>
    <row r="21291" spans="62:62" x14ac:dyDescent="0.2">
      <c r="BJ21291" s="201"/>
    </row>
    <row r="21292" spans="62:62" x14ac:dyDescent="0.2">
      <c r="BJ21292" s="201"/>
    </row>
    <row r="21293" spans="62:62" x14ac:dyDescent="0.2">
      <c r="BJ21293" s="201"/>
    </row>
    <row r="21294" spans="62:62" x14ac:dyDescent="0.2">
      <c r="BJ21294" s="201"/>
    </row>
    <row r="21295" spans="62:62" x14ac:dyDescent="0.2">
      <c r="BJ21295" s="201"/>
    </row>
    <row r="21296" spans="62:62" x14ac:dyDescent="0.2">
      <c r="BJ21296" s="201"/>
    </row>
    <row r="21297" spans="62:62" x14ac:dyDescent="0.2">
      <c r="BJ21297" s="201"/>
    </row>
    <row r="21298" spans="62:62" x14ac:dyDescent="0.2">
      <c r="BJ21298" s="201"/>
    </row>
    <row r="21299" spans="62:62" x14ac:dyDescent="0.2">
      <c r="BJ21299" s="201"/>
    </row>
    <row r="21300" spans="62:62" x14ac:dyDescent="0.2">
      <c r="BJ21300" s="201"/>
    </row>
    <row r="21301" spans="62:62" x14ac:dyDescent="0.2">
      <c r="BJ21301" s="201"/>
    </row>
    <row r="21302" spans="62:62" x14ac:dyDescent="0.2">
      <c r="BJ21302" s="201"/>
    </row>
    <row r="21303" spans="62:62" x14ac:dyDescent="0.2">
      <c r="BJ21303" s="201"/>
    </row>
    <row r="21304" spans="62:62" x14ac:dyDescent="0.2">
      <c r="BJ21304" s="201"/>
    </row>
    <row r="21305" spans="62:62" x14ac:dyDescent="0.2">
      <c r="BJ21305" s="201"/>
    </row>
    <row r="21306" spans="62:62" x14ac:dyDescent="0.2">
      <c r="BJ21306" s="201"/>
    </row>
    <row r="21307" spans="62:62" x14ac:dyDescent="0.2">
      <c r="BJ21307" s="201"/>
    </row>
    <row r="21308" spans="62:62" x14ac:dyDescent="0.2">
      <c r="BJ21308" s="201"/>
    </row>
    <row r="21309" spans="62:62" x14ac:dyDescent="0.2">
      <c r="BJ21309" s="201"/>
    </row>
    <row r="21310" spans="62:62" x14ac:dyDescent="0.2">
      <c r="BJ21310" s="201"/>
    </row>
    <row r="21311" spans="62:62" x14ac:dyDescent="0.2">
      <c r="BJ21311" s="201"/>
    </row>
    <row r="21312" spans="62:62" x14ac:dyDescent="0.2">
      <c r="BJ21312" s="201"/>
    </row>
    <row r="21313" spans="62:62" x14ac:dyDescent="0.2">
      <c r="BJ21313" s="201"/>
    </row>
    <row r="21314" spans="62:62" x14ac:dyDescent="0.2">
      <c r="BJ21314" s="201"/>
    </row>
    <row r="21315" spans="62:62" x14ac:dyDescent="0.2">
      <c r="BJ21315" s="201"/>
    </row>
    <row r="21316" spans="62:62" x14ac:dyDescent="0.2">
      <c r="BJ21316" s="201"/>
    </row>
    <row r="21317" spans="62:62" x14ac:dyDescent="0.2">
      <c r="BJ21317" s="201"/>
    </row>
    <row r="21318" spans="62:62" x14ac:dyDescent="0.2">
      <c r="BJ21318" s="201"/>
    </row>
    <row r="21319" spans="62:62" x14ac:dyDescent="0.2">
      <c r="BJ21319" s="201"/>
    </row>
    <row r="21320" spans="62:62" x14ac:dyDescent="0.2">
      <c r="BJ21320" s="201"/>
    </row>
    <row r="21321" spans="62:62" x14ac:dyDescent="0.2">
      <c r="BJ21321" s="201"/>
    </row>
    <row r="21322" spans="62:62" x14ac:dyDescent="0.2">
      <c r="BJ21322" s="201"/>
    </row>
    <row r="21323" spans="62:62" x14ac:dyDescent="0.2">
      <c r="BJ21323" s="201"/>
    </row>
    <row r="21324" spans="62:62" x14ac:dyDescent="0.2">
      <c r="BJ21324" s="201"/>
    </row>
    <row r="21325" spans="62:62" x14ac:dyDescent="0.2">
      <c r="BJ21325" s="201"/>
    </row>
    <row r="21326" spans="62:62" x14ac:dyDescent="0.2">
      <c r="BJ21326" s="201"/>
    </row>
    <row r="21327" spans="62:62" x14ac:dyDescent="0.2">
      <c r="BJ21327" s="201"/>
    </row>
    <row r="21328" spans="62:62" x14ac:dyDescent="0.2">
      <c r="BJ21328" s="201"/>
    </row>
    <row r="21329" spans="62:62" x14ac:dyDescent="0.2">
      <c r="BJ21329" s="201"/>
    </row>
    <row r="21330" spans="62:62" x14ac:dyDescent="0.2">
      <c r="BJ21330" s="201"/>
    </row>
    <row r="21331" spans="62:62" x14ac:dyDescent="0.2">
      <c r="BJ21331" s="201"/>
    </row>
    <row r="21332" spans="62:62" x14ac:dyDescent="0.2">
      <c r="BJ21332" s="201"/>
    </row>
    <row r="21333" spans="62:62" x14ac:dyDescent="0.2">
      <c r="BJ21333" s="201"/>
    </row>
    <row r="21334" spans="62:62" x14ac:dyDescent="0.2">
      <c r="BJ21334" s="201"/>
    </row>
    <row r="21335" spans="62:62" x14ac:dyDescent="0.2">
      <c r="BJ21335" s="201"/>
    </row>
    <row r="21336" spans="62:62" x14ac:dyDescent="0.2">
      <c r="BJ21336" s="201"/>
    </row>
    <row r="21337" spans="62:62" x14ac:dyDescent="0.2">
      <c r="BJ21337" s="201"/>
    </row>
    <row r="21338" spans="62:62" x14ac:dyDescent="0.2">
      <c r="BJ21338" s="201"/>
    </row>
    <row r="21339" spans="62:62" x14ac:dyDescent="0.2">
      <c r="BJ21339" s="201"/>
    </row>
    <row r="21340" spans="62:62" x14ac:dyDescent="0.2">
      <c r="BJ21340" s="201"/>
    </row>
    <row r="21341" spans="62:62" x14ac:dyDescent="0.2">
      <c r="BJ21341" s="201"/>
    </row>
    <row r="21342" spans="62:62" x14ac:dyDescent="0.2">
      <c r="BJ21342" s="201"/>
    </row>
    <row r="21343" spans="62:62" x14ac:dyDescent="0.2">
      <c r="BJ21343" s="201"/>
    </row>
    <row r="21344" spans="62:62" x14ac:dyDescent="0.2">
      <c r="BJ21344" s="201"/>
    </row>
    <row r="21345" spans="62:62" x14ac:dyDescent="0.2">
      <c r="BJ21345" s="201"/>
    </row>
    <row r="21346" spans="62:62" x14ac:dyDescent="0.2">
      <c r="BJ21346" s="201"/>
    </row>
    <row r="21347" spans="62:62" x14ac:dyDescent="0.2">
      <c r="BJ21347" s="201"/>
    </row>
    <row r="21348" spans="62:62" x14ac:dyDescent="0.2">
      <c r="BJ21348" s="201"/>
    </row>
    <row r="21349" spans="62:62" x14ac:dyDescent="0.2">
      <c r="BJ21349" s="201"/>
    </row>
    <row r="21350" spans="62:62" x14ac:dyDescent="0.2">
      <c r="BJ21350" s="201"/>
    </row>
    <row r="21351" spans="62:62" x14ac:dyDescent="0.2">
      <c r="BJ21351" s="201"/>
    </row>
    <row r="21352" spans="62:62" x14ac:dyDescent="0.2">
      <c r="BJ21352" s="201"/>
    </row>
    <row r="21353" spans="62:62" x14ac:dyDescent="0.2">
      <c r="BJ21353" s="201"/>
    </row>
    <row r="21354" spans="62:62" x14ac:dyDescent="0.2">
      <c r="BJ21354" s="201"/>
    </row>
    <row r="21355" spans="62:62" x14ac:dyDescent="0.2">
      <c r="BJ21355" s="201"/>
    </row>
    <row r="21356" spans="62:62" x14ac:dyDescent="0.2">
      <c r="BJ21356" s="201"/>
    </row>
    <row r="21357" spans="62:62" x14ac:dyDescent="0.2">
      <c r="BJ21357" s="201"/>
    </row>
    <row r="21358" spans="62:62" x14ac:dyDescent="0.2">
      <c r="BJ21358" s="201"/>
    </row>
    <row r="21359" spans="62:62" x14ac:dyDescent="0.2">
      <c r="BJ21359" s="201"/>
    </row>
    <row r="21360" spans="62:62" x14ac:dyDescent="0.2">
      <c r="BJ21360" s="201"/>
    </row>
    <row r="21361" spans="62:62" x14ac:dyDescent="0.2">
      <c r="BJ21361" s="201"/>
    </row>
    <row r="21362" spans="62:62" x14ac:dyDescent="0.2">
      <c r="BJ21362" s="201"/>
    </row>
    <row r="21363" spans="62:62" x14ac:dyDescent="0.2">
      <c r="BJ21363" s="201"/>
    </row>
    <row r="21364" spans="62:62" x14ac:dyDescent="0.2">
      <c r="BJ21364" s="201"/>
    </row>
    <row r="21365" spans="62:62" x14ac:dyDescent="0.2">
      <c r="BJ21365" s="201"/>
    </row>
    <row r="21366" spans="62:62" x14ac:dyDescent="0.2">
      <c r="BJ21366" s="201"/>
    </row>
    <row r="21367" spans="62:62" x14ac:dyDescent="0.2">
      <c r="BJ21367" s="201"/>
    </row>
    <row r="21368" spans="62:62" x14ac:dyDescent="0.2">
      <c r="BJ21368" s="201"/>
    </row>
    <row r="21369" spans="62:62" x14ac:dyDescent="0.2">
      <c r="BJ21369" s="201"/>
    </row>
    <row r="21370" spans="62:62" x14ac:dyDescent="0.2">
      <c r="BJ21370" s="201"/>
    </row>
    <row r="21371" spans="62:62" x14ac:dyDescent="0.2">
      <c r="BJ21371" s="201"/>
    </row>
    <row r="21372" spans="62:62" x14ac:dyDescent="0.2">
      <c r="BJ21372" s="201"/>
    </row>
    <row r="21373" spans="62:62" x14ac:dyDescent="0.2">
      <c r="BJ21373" s="201"/>
    </row>
    <row r="21374" spans="62:62" x14ac:dyDescent="0.2">
      <c r="BJ21374" s="201"/>
    </row>
    <row r="21375" spans="62:62" x14ac:dyDescent="0.2">
      <c r="BJ21375" s="201"/>
    </row>
    <row r="21376" spans="62:62" x14ac:dyDescent="0.2">
      <c r="BJ21376" s="201"/>
    </row>
    <row r="21377" spans="62:62" x14ac:dyDescent="0.2">
      <c r="BJ21377" s="201"/>
    </row>
    <row r="21378" spans="62:62" x14ac:dyDescent="0.2">
      <c r="BJ21378" s="201"/>
    </row>
    <row r="21379" spans="62:62" x14ac:dyDescent="0.2">
      <c r="BJ21379" s="201"/>
    </row>
    <row r="21380" spans="62:62" x14ac:dyDescent="0.2">
      <c r="BJ21380" s="201"/>
    </row>
    <row r="21381" spans="62:62" x14ac:dyDescent="0.2">
      <c r="BJ21381" s="201"/>
    </row>
    <row r="21382" spans="62:62" x14ac:dyDescent="0.2">
      <c r="BJ21382" s="201"/>
    </row>
    <row r="21383" spans="62:62" x14ac:dyDescent="0.2">
      <c r="BJ21383" s="201"/>
    </row>
    <row r="21384" spans="62:62" x14ac:dyDescent="0.2">
      <c r="BJ21384" s="201"/>
    </row>
    <row r="21385" spans="62:62" x14ac:dyDescent="0.2">
      <c r="BJ21385" s="201"/>
    </row>
    <row r="21386" spans="62:62" x14ac:dyDescent="0.2">
      <c r="BJ21386" s="201"/>
    </row>
    <row r="21387" spans="62:62" x14ac:dyDescent="0.2">
      <c r="BJ21387" s="201"/>
    </row>
    <row r="21388" spans="62:62" x14ac:dyDescent="0.2">
      <c r="BJ21388" s="201"/>
    </row>
    <row r="21389" spans="62:62" x14ac:dyDescent="0.2">
      <c r="BJ21389" s="201"/>
    </row>
    <row r="21390" spans="62:62" x14ac:dyDescent="0.2">
      <c r="BJ21390" s="201"/>
    </row>
    <row r="21391" spans="62:62" x14ac:dyDescent="0.2">
      <c r="BJ21391" s="201"/>
    </row>
    <row r="21392" spans="62:62" x14ac:dyDescent="0.2">
      <c r="BJ21392" s="201"/>
    </row>
    <row r="21393" spans="62:62" x14ac:dyDescent="0.2">
      <c r="BJ21393" s="201"/>
    </row>
    <row r="21394" spans="62:62" x14ac:dyDescent="0.2">
      <c r="BJ21394" s="201"/>
    </row>
    <row r="21395" spans="62:62" x14ac:dyDescent="0.2">
      <c r="BJ21395" s="201"/>
    </row>
    <row r="21396" spans="62:62" x14ac:dyDescent="0.2">
      <c r="BJ21396" s="201"/>
    </row>
    <row r="21397" spans="62:62" x14ac:dyDescent="0.2">
      <c r="BJ21397" s="201"/>
    </row>
    <row r="21398" spans="62:62" x14ac:dyDescent="0.2">
      <c r="BJ21398" s="201"/>
    </row>
    <row r="21399" spans="62:62" x14ac:dyDescent="0.2">
      <c r="BJ21399" s="201"/>
    </row>
    <row r="21400" spans="62:62" x14ac:dyDescent="0.2">
      <c r="BJ21400" s="201"/>
    </row>
    <row r="21401" spans="62:62" x14ac:dyDescent="0.2">
      <c r="BJ21401" s="201"/>
    </row>
    <row r="21402" spans="62:62" x14ac:dyDescent="0.2">
      <c r="BJ21402" s="201"/>
    </row>
    <row r="21403" spans="62:62" x14ac:dyDescent="0.2">
      <c r="BJ21403" s="201"/>
    </row>
    <row r="21404" spans="62:62" x14ac:dyDescent="0.2">
      <c r="BJ21404" s="201"/>
    </row>
    <row r="21405" spans="62:62" x14ac:dyDescent="0.2">
      <c r="BJ21405" s="201"/>
    </row>
    <row r="21406" spans="62:62" x14ac:dyDescent="0.2">
      <c r="BJ21406" s="201"/>
    </row>
    <row r="21407" spans="62:62" x14ac:dyDescent="0.2">
      <c r="BJ21407" s="201"/>
    </row>
    <row r="21408" spans="62:62" x14ac:dyDescent="0.2">
      <c r="BJ21408" s="201"/>
    </row>
    <row r="21409" spans="62:62" x14ac:dyDescent="0.2">
      <c r="BJ21409" s="201"/>
    </row>
    <row r="21410" spans="62:62" x14ac:dyDescent="0.2">
      <c r="BJ21410" s="201"/>
    </row>
    <row r="21411" spans="62:62" x14ac:dyDescent="0.2">
      <c r="BJ21411" s="201"/>
    </row>
    <row r="21412" spans="62:62" x14ac:dyDescent="0.2">
      <c r="BJ21412" s="201"/>
    </row>
    <row r="21413" spans="62:62" x14ac:dyDescent="0.2">
      <c r="BJ21413" s="201"/>
    </row>
    <row r="21414" spans="62:62" x14ac:dyDescent="0.2">
      <c r="BJ21414" s="201"/>
    </row>
    <row r="21415" spans="62:62" x14ac:dyDescent="0.2">
      <c r="BJ21415" s="201"/>
    </row>
    <row r="21416" spans="62:62" x14ac:dyDescent="0.2">
      <c r="BJ21416" s="201"/>
    </row>
    <row r="21417" spans="62:62" x14ac:dyDescent="0.2">
      <c r="BJ21417" s="201"/>
    </row>
    <row r="21418" spans="62:62" x14ac:dyDescent="0.2">
      <c r="BJ21418" s="201"/>
    </row>
    <row r="21419" spans="62:62" x14ac:dyDescent="0.2">
      <c r="BJ21419" s="201"/>
    </row>
    <row r="21420" spans="62:62" x14ac:dyDescent="0.2">
      <c r="BJ21420" s="201"/>
    </row>
    <row r="21421" spans="62:62" x14ac:dyDescent="0.2">
      <c r="BJ21421" s="201"/>
    </row>
    <row r="21422" spans="62:62" x14ac:dyDescent="0.2">
      <c r="BJ21422" s="201"/>
    </row>
    <row r="21423" spans="62:62" x14ac:dyDescent="0.2">
      <c r="BJ21423" s="201"/>
    </row>
    <row r="21424" spans="62:62" x14ac:dyDescent="0.2">
      <c r="BJ21424" s="201"/>
    </row>
    <row r="21425" spans="62:62" x14ac:dyDescent="0.2">
      <c r="BJ21425" s="201"/>
    </row>
    <row r="21426" spans="62:62" x14ac:dyDescent="0.2">
      <c r="BJ21426" s="201"/>
    </row>
    <row r="21427" spans="62:62" x14ac:dyDescent="0.2">
      <c r="BJ21427" s="201"/>
    </row>
    <row r="21428" spans="62:62" x14ac:dyDescent="0.2">
      <c r="BJ21428" s="201"/>
    </row>
    <row r="21429" spans="62:62" x14ac:dyDescent="0.2">
      <c r="BJ21429" s="201"/>
    </row>
    <row r="21430" spans="62:62" x14ac:dyDescent="0.2">
      <c r="BJ21430" s="201"/>
    </row>
    <row r="21431" spans="62:62" x14ac:dyDescent="0.2">
      <c r="BJ21431" s="201"/>
    </row>
    <row r="21432" spans="62:62" x14ac:dyDescent="0.2">
      <c r="BJ21432" s="201"/>
    </row>
    <row r="21433" spans="62:62" x14ac:dyDescent="0.2">
      <c r="BJ21433" s="201"/>
    </row>
    <row r="21434" spans="62:62" x14ac:dyDescent="0.2">
      <c r="BJ21434" s="201"/>
    </row>
    <row r="21435" spans="62:62" x14ac:dyDescent="0.2">
      <c r="BJ21435" s="201"/>
    </row>
    <row r="21436" spans="62:62" x14ac:dyDescent="0.2">
      <c r="BJ21436" s="201"/>
    </row>
    <row r="21437" spans="62:62" x14ac:dyDescent="0.2">
      <c r="BJ21437" s="201"/>
    </row>
    <row r="21438" spans="62:62" x14ac:dyDescent="0.2">
      <c r="BJ21438" s="201"/>
    </row>
    <row r="21439" spans="62:62" x14ac:dyDescent="0.2">
      <c r="BJ21439" s="201"/>
    </row>
    <row r="21440" spans="62:62" x14ac:dyDescent="0.2">
      <c r="BJ21440" s="201"/>
    </row>
    <row r="21441" spans="62:62" x14ac:dyDescent="0.2">
      <c r="BJ21441" s="201"/>
    </row>
    <row r="21442" spans="62:62" x14ac:dyDescent="0.2">
      <c r="BJ21442" s="201"/>
    </row>
    <row r="21443" spans="62:62" x14ac:dyDescent="0.2">
      <c r="BJ21443" s="201"/>
    </row>
    <row r="21444" spans="62:62" x14ac:dyDescent="0.2">
      <c r="BJ21444" s="201"/>
    </row>
    <row r="21445" spans="62:62" x14ac:dyDescent="0.2">
      <c r="BJ21445" s="201"/>
    </row>
    <row r="21446" spans="62:62" x14ac:dyDescent="0.2">
      <c r="BJ21446" s="201"/>
    </row>
    <row r="21447" spans="62:62" x14ac:dyDescent="0.2">
      <c r="BJ21447" s="201"/>
    </row>
    <row r="21448" spans="62:62" x14ac:dyDescent="0.2">
      <c r="BJ21448" s="201"/>
    </row>
    <row r="21449" spans="62:62" x14ac:dyDescent="0.2">
      <c r="BJ21449" s="201"/>
    </row>
    <row r="21450" spans="62:62" x14ac:dyDescent="0.2">
      <c r="BJ21450" s="201"/>
    </row>
    <row r="21451" spans="62:62" x14ac:dyDescent="0.2">
      <c r="BJ21451" s="201"/>
    </row>
    <row r="21452" spans="62:62" x14ac:dyDescent="0.2">
      <c r="BJ21452" s="201"/>
    </row>
    <row r="21453" spans="62:62" x14ac:dyDescent="0.2">
      <c r="BJ21453" s="201"/>
    </row>
    <row r="21454" spans="62:62" x14ac:dyDescent="0.2">
      <c r="BJ21454" s="201"/>
    </row>
    <row r="21455" spans="62:62" x14ac:dyDescent="0.2">
      <c r="BJ21455" s="201"/>
    </row>
    <row r="21456" spans="62:62" x14ac:dyDescent="0.2">
      <c r="BJ21456" s="201"/>
    </row>
    <row r="21457" spans="62:62" x14ac:dyDescent="0.2">
      <c r="BJ21457" s="201"/>
    </row>
    <row r="21458" spans="62:62" x14ac:dyDescent="0.2">
      <c r="BJ21458" s="201"/>
    </row>
    <row r="21459" spans="62:62" x14ac:dyDescent="0.2">
      <c r="BJ21459" s="201"/>
    </row>
    <row r="21460" spans="62:62" x14ac:dyDescent="0.2">
      <c r="BJ21460" s="201"/>
    </row>
    <row r="21461" spans="62:62" x14ac:dyDescent="0.2">
      <c r="BJ21461" s="201"/>
    </row>
    <row r="21462" spans="62:62" x14ac:dyDescent="0.2">
      <c r="BJ21462" s="201"/>
    </row>
    <row r="21463" spans="62:62" x14ac:dyDescent="0.2">
      <c r="BJ21463" s="201"/>
    </row>
    <row r="21464" spans="62:62" x14ac:dyDescent="0.2">
      <c r="BJ21464" s="201"/>
    </row>
    <row r="21465" spans="62:62" x14ac:dyDescent="0.2">
      <c r="BJ21465" s="201"/>
    </row>
    <row r="21466" spans="62:62" x14ac:dyDescent="0.2">
      <c r="BJ21466" s="201"/>
    </row>
    <row r="21467" spans="62:62" x14ac:dyDescent="0.2">
      <c r="BJ21467" s="201"/>
    </row>
    <row r="21468" spans="62:62" x14ac:dyDescent="0.2">
      <c r="BJ21468" s="201"/>
    </row>
    <row r="21469" spans="62:62" x14ac:dyDescent="0.2">
      <c r="BJ21469" s="201"/>
    </row>
    <row r="21470" spans="62:62" x14ac:dyDescent="0.2">
      <c r="BJ21470" s="201"/>
    </row>
    <row r="21471" spans="62:62" x14ac:dyDescent="0.2">
      <c r="BJ21471" s="201"/>
    </row>
    <row r="21472" spans="62:62" x14ac:dyDescent="0.2">
      <c r="BJ21472" s="201"/>
    </row>
    <row r="21473" spans="62:62" x14ac:dyDescent="0.2">
      <c r="BJ21473" s="201"/>
    </row>
    <row r="21474" spans="62:62" x14ac:dyDescent="0.2">
      <c r="BJ21474" s="201"/>
    </row>
    <row r="21475" spans="62:62" x14ac:dyDescent="0.2">
      <c r="BJ21475" s="201"/>
    </row>
    <row r="21476" spans="62:62" x14ac:dyDescent="0.2">
      <c r="BJ21476" s="201"/>
    </row>
    <row r="21477" spans="62:62" x14ac:dyDescent="0.2">
      <c r="BJ21477" s="201"/>
    </row>
    <row r="21478" spans="62:62" x14ac:dyDescent="0.2">
      <c r="BJ21478" s="201"/>
    </row>
    <row r="21479" spans="62:62" x14ac:dyDescent="0.2">
      <c r="BJ21479" s="201"/>
    </row>
    <row r="21480" spans="62:62" x14ac:dyDescent="0.2">
      <c r="BJ21480" s="201"/>
    </row>
    <row r="21481" spans="62:62" x14ac:dyDescent="0.2">
      <c r="BJ21481" s="201"/>
    </row>
    <row r="21482" spans="62:62" x14ac:dyDescent="0.2">
      <c r="BJ21482" s="201"/>
    </row>
    <row r="21483" spans="62:62" x14ac:dyDescent="0.2">
      <c r="BJ21483" s="201"/>
    </row>
    <row r="21484" spans="62:62" x14ac:dyDescent="0.2">
      <c r="BJ21484" s="201"/>
    </row>
    <row r="21485" spans="62:62" x14ac:dyDescent="0.2">
      <c r="BJ21485" s="201"/>
    </row>
    <row r="21486" spans="62:62" x14ac:dyDescent="0.2">
      <c r="BJ21486" s="201"/>
    </row>
    <row r="21487" spans="62:62" x14ac:dyDescent="0.2">
      <c r="BJ21487" s="201"/>
    </row>
    <row r="21488" spans="62:62" x14ac:dyDescent="0.2">
      <c r="BJ21488" s="201"/>
    </row>
    <row r="21489" spans="62:62" x14ac:dyDescent="0.2">
      <c r="BJ21489" s="201"/>
    </row>
    <row r="21490" spans="62:62" x14ac:dyDescent="0.2">
      <c r="BJ21490" s="201"/>
    </row>
    <row r="21491" spans="62:62" x14ac:dyDescent="0.2">
      <c r="BJ21491" s="201"/>
    </row>
    <row r="21492" spans="62:62" x14ac:dyDescent="0.2">
      <c r="BJ21492" s="201"/>
    </row>
    <row r="21493" spans="62:62" x14ac:dyDescent="0.2">
      <c r="BJ21493" s="201"/>
    </row>
    <row r="21494" spans="62:62" x14ac:dyDescent="0.2">
      <c r="BJ21494" s="201"/>
    </row>
    <row r="21495" spans="62:62" x14ac:dyDescent="0.2">
      <c r="BJ21495" s="201"/>
    </row>
    <row r="21496" spans="62:62" x14ac:dyDescent="0.2">
      <c r="BJ21496" s="201"/>
    </row>
    <row r="21497" spans="62:62" x14ac:dyDescent="0.2">
      <c r="BJ21497" s="201"/>
    </row>
    <row r="21498" spans="62:62" x14ac:dyDescent="0.2">
      <c r="BJ21498" s="201"/>
    </row>
    <row r="21499" spans="62:62" x14ac:dyDescent="0.2">
      <c r="BJ21499" s="201"/>
    </row>
    <row r="21500" spans="62:62" x14ac:dyDescent="0.2">
      <c r="BJ21500" s="201"/>
    </row>
    <row r="21501" spans="62:62" x14ac:dyDescent="0.2">
      <c r="BJ21501" s="201"/>
    </row>
    <row r="21502" spans="62:62" x14ac:dyDescent="0.2">
      <c r="BJ21502" s="201"/>
    </row>
    <row r="21503" spans="62:62" x14ac:dyDescent="0.2">
      <c r="BJ21503" s="201"/>
    </row>
    <row r="21504" spans="62:62" x14ac:dyDescent="0.2">
      <c r="BJ21504" s="201"/>
    </row>
    <row r="21505" spans="62:62" x14ac:dyDescent="0.2">
      <c r="BJ21505" s="201"/>
    </row>
    <row r="21506" spans="62:62" x14ac:dyDescent="0.2">
      <c r="BJ21506" s="201"/>
    </row>
    <row r="21507" spans="62:62" x14ac:dyDescent="0.2">
      <c r="BJ21507" s="201"/>
    </row>
    <row r="21508" spans="62:62" x14ac:dyDescent="0.2">
      <c r="BJ21508" s="201"/>
    </row>
    <row r="21509" spans="62:62" x14ac:dyDescent="0.2">
      <c r="BJ21509" s="201"/>
    </row>
    <row r="21510" spans="62:62" x14ac:dyDescent="0.2">
      <c r="BJ21510" s="201"/>
    </row>
    <row r="21511" spans="62:62" x14ac:dyDescent="0.2">
      <c r="BJ21511" s="201"/>
    </row>
    <row r="21512" spans="62:62" x14ac:dyDescent="0.2">
      <c r="BJ21512" s="201"/>
    </row>
    <row r="21513" spans="62:62" x14ac:dyDescent="0.2">
      <c r="BJ21513" s="201"/>
    </row>
    <row r="21514" spans="62:62" x14ac:dyDescent="0.2">
      <c r="BJ21514" s="201"/>
    </row>
    <row r="21515" spans="62:62" x14ac:dyDescent="0.2">
      <c r="BJ21515" s="201"/>
    </row>
    <row r="21516" spans="62:62" x14ac:dyDescent="0.2">
      <c r="BJ21516" s="201"/>
    </row>
    <row r="21517" spans="62:62" x14ac:dyDescent="0.2">
      <c r="BJ21517" s="201"/>
    </row>
    <row r="21518" spans="62:62" x14ac:dyDescent="0.2">
      <c r="BJ21518" s="201"/>
    </row>
    <row r="21519" spans="62:62" x14ac:dyDescent="0.2">
      <c r="BJ21519" s="201"/>
    </row>
    <row r="21520" spans="62:62" x14ac:dyDescent="0.2">
      <c r="BJ21520" s="201"/>
    </row>
    <row r="21521" spans="62:62" x14ac:dyDescent="0.2">
      <c r="BJ21521" s="201"/>
    </row>
    <row r="21522" spans="62:62" x14ac:dyDescent="0.2">
      <c r="BJ21522" s="201"/>
    </row>
    <row r="21523" spans="62:62" x14ac:dyDescent="0.2">
      <c r="BJ21523" s="201"/>
    </row>
    <row r="21524" spans="62:62" x14ac:dyDescent="0.2">
      <c r="BJ21524" s="201"/>
    </row>
    <row r="21525" spans="62:62" x14ac:dyDescent="0.2">
      <c r="BJ21525" s="201"/>
    </row>
    <row r="21526" spans="62:62" x14ac:dyDescent="0.2">
      <c r="BJ21526" s="201"/>
    </row>
    <row r="21527" spans="62:62" x14ac:dyDescent="0.2">
      <c r="BJ21527" s="201"/>
    </row>
    <row r="21528" spans="62:62" x14ac:dyDescent="0.2">
      <c r="BJ21528" s="201"/>
    </row>
    <row r="21529" spans="62:62" x14ac:dyDescent="0.2">
      <c r="BJ21529" s="201"/>
    </row>
    <row r="21530" spans="62:62" x14ac:dyDescent="0.2">
      <c r="BJ21530" s="201"/>
    </row>
    <row r="21531" spans="62:62" x14ac:dyDescent="0.2">
      <c r="BJ21531" s="201"/>
    </row>
    <row r="21532" spans="62:62" x14ac:dyDescent="0.2">
      <c r="BJ21532" s="201"/>
    </row>
    <row r="21533" spans="62:62" x14ac:dyDescent="0.2">
      <c r="BJ21533" s="201"/>
    </row>
    <row r="21534" spans="62:62" x14ac:dyDescent="0.2">
      <c r="BJ21534" s="201"/>
    </row>
    <row r="21535" spans="62:62" x14ac:dyDescent="0.2">
      <c r="BJ21535" s="201"/>
    </row>
    <row r="21536" spans="62:62" x14ac:dyDescent="0.2">
      <c r="BJ21536" s="201"/>
    </row>
    <row r="21537" spans="62:62" x14ac:dyDescent="0.2">
      <c r="BJ21537" s="201"/>
    </row>
    <row r="21538" spans="62:62" x14ac:dyDescent="0.2">
      <c r="BJ21538" s="201"/>
    </row>
    <row r="21539" spans="62:62" x14ac:dyDescent="0.2">
      <c r="BJ21539" s="201"/>
    </row>
    <row r="21540" spans="62:62" x14ac:dyDescent="0.2">
      <c r="BJ21540" s="201"/>
    </row>
    <row r="21541" spans="62:62" x14ac:dyDescent="0.2">
      <c r="BJ21541" s="201"/>
    </row>
    <row r="21542" spans="62:62" x14ac:dyDescent="0.2">
      <c r="BJ21542" s="201"/>
    </row>
    <row r="21543" spans="62:62" x14ac:dyDescent="0.2">
      <c r="BJ21543" s="201"/>
    </row>
    <row r="21544" spans="62:62" x14ac:dyDescent="0.2">
      <c r="BJ21544" s="201"/>
    </row>
    <row r="21545" spans="62:62" x14ac:dyDescent="0.2">
      <c r="BJ21545" s="201"/>
    </row>
    <row r="21546" spans="62:62" x14ac:dyDescent="0.2">
      <c r="BJ21546" s="201"/>
    </row>
    <row r="21547" spans="62:62" x14ac:dyDescent="0.2">
      <c r="BJ21547" s="201"/>
    </row>
    <row r="21548" spans="62:62" x14ac:dyDescent="0.2">
      <c r="BJ21548" s="201"/>
    </row>
    <row r="21549" spans="62:62" x14ac:dyDescent="0.2">
      <c r="BJ21549" s="201"/>
    </row>
    <row r="21550" spans="62:62" x14ac:dyDescent="0.2">
      <c r="BJ21550" s="201"/>
    </row>
    <row r="21551" spans="62:62" x14ac:dyDescent="0.2">
      <c r="BJ21551" s="201"/>
    </row>
    <row r="21552" spans="62:62" x14ac:dyDescent="0.2">
      <c r="BJ21552" s="201"/>
    </row>
    <row r="21553" spans="62:62" x14ac:dyDescent="0.2">
      <c r="BJ21553" s="201"/>
    </row>
    <row r="21554" spans="62:62" x14ac:dyDescent="0.2">
      <c r="BJ21554" s="201"/>
    </row>
    <row r="21555" spans="62:62" x14ac:dyDescent="0.2">
      <c r="BJ21555" s="201"/>
    </row>
    <row r="21556" spans="62:62" x14ac:dyDescent="0.2">
      <c r="BJ21556" s="201"/>
    </row>
    <row r="21557" spans="62:62" x14ac:dyDescent="0.2">
      <c r="BJ21557" s="201"/>
    </row>
    <row r="21558" spans="62:62" x14ac:dyDescent="0.2">
      <c r="BJ21558" s="201"/>
    </row>
    <row r="21559" spans="62:62" x14ac:dyDescent="0.2">
      <c r="BJ21559" s="201"/>
    </row>
    <row r="21560" spans="62:62" x14ac:dyDescent="0.2">
      <c r="BJ21560" s="201"/>
    </row>
    <row r="21561" spans="62:62" x14ac:dyDescent="0.2">
      <c r="BJ21561" s="201"/>
    </row>
    <row r="21562" spans="62:62" x14ac:dyDescent="0.2">
      <c r="BJ21562" s="201"/>
    </row>
    <row r="21563" spans="62:62" x14ac:dyDescent="0.2">
      <c r="BJ21563" s="201"/>
    </row>
    <row r="21564" spans="62:62" x14ac:dyDescent="0.2">
      <c r="BJ21564" s="201"/>
    </row>
    <row r="21565" spans="62:62" x14ac:dyDescent="0.2">
      <c r="BJ21565" s="201"/>
    </row>
    <row r="21566" spans="62:62" x14ac:dyDescent="0.2">
      <c r="BJ21566" s="201"/>
    </row>
    <row r="21567" spans="62:62" x14ac:dyDescent="0.2">
      <c r="BJ21567" s="201"/>
    </row>
    <row r="21568" spans="62:62" x14ac:dyDescent="0.2">
      <c r="BJ21568" s="201"/>
    </row>
    <row r="21569" spans="62:62" x14ac:dyDescent="0.2">
      <c r="BJ21569" s="201"/>
    </row>
    <row r="21570" spans="62:62" x14ac:dyDescent="0.2">
      <c r="BJ21570" s="201"/>
    </row>
    <row r="21571" spans="62:62" x14ac:dyDescent="0.2">
      <c r="BJ21571" s="201"/>
    </row>
    <row r="21572" spans="62:62" x14ac:dyDescent="0.2">
      <c r="BJ21572" s="201"/>
    </row>
    <row r="21573" spans="62:62" x14ac:dyDescent="0.2">
      <c r="BJ21573" s="201"/>
    </row>
    <row r="21574" spans="62:62" x14ac:dyDescent="0.2">
      <c r="BJ21574" s="201"/>
    </row>
    <row r="21575" spans="62:62" x14ac:dyDescent="0.2">
      <c r="BJ21575" s="201"/>
    </row>
    <row r="21576" spans="62:62" x14ac:dyDescent="0.2">
      <c r="BJ21576" s="201"/>
    </row>
    <row r="21577" spans="62:62" x14ac:dyDescent="0.2">
      <c r="BJ21577" s="201"/>
    </row>
    <row r="21578" spans="62:62" x14ac:dyDescent="0.2">
      <c r="BJ21578" s="201"/>
    </row>
    <row r="21579" spans="62:62" x14ac:dyDescent="0.2">
      <c r="BJ21579" s="201"/>
    </row>
    <row r="21580" spans="62:62" x14ac:dyDescent="0.2">
      <c r="BJ21580" s="201"/>
    </row>
    <row r="21581" spans="62:62" x14ac:dyDescent="0.2">
      <c r="BJ21581" s="201"/>
    </row>
    <row r="21582" spans="62:62" x14ac:dyDescent="0.2">
      <c r="BJ21582" s="201"/>
    </row>
    <row r="21583" spans="62:62" x14ac:dyDescent="0.2">
      <c r="BJ21583" s="201"/>
    </row>
    <row r="21584" spans="62:62" x14ac:dyDescent="0.2">
      <c r="BJ21584" s="201"/>
    </row>
    <row r="21585" spans="62:62" x14ac:dyDescent="0.2">
      <c r="BJ21585" s="201"/>
    </row>
    <row r="21586" spans="62:62" x14ac:dyDescent="0.2">
      <c r="BJ21586" s="201"/>
    </row>
    <row r="21587" spans="62:62" x14ac:dyDescent="0.2">
      <c r="BJ21587" s="201"/>
    </row>
    <row r="21588" spans="62:62" x14ac:dyDescent="0.2">
      <c r="BJ21588" s="201"/>
    </row>
    <row r="21589" spans="62:62" x14ac:dyDescent="0.2">
      <c r="BJ21589" s="201"/>
    </row>
    <row r="21590" spans="62:62" x14ac:dyDescent="0.2">
      <c r="BJ21590" s="201"/>
    </row>
    <row r="21591" spans="62:62" x14ac:dyDescent="0.2">
      <c r="BJ21591" s="201"/>
    </row>
    <row r="21592" spans="62:62" x14ac:dyDescent="0.2">
      <c r="BJ21592" s="201"/>
    </row>
    <row r="21593" spans="62:62" x14ac:dyDescent="0.2">
      <c r="BJ21593" s="201"/>
    </row>
    <row r="21594" spans="62:62" x14ac:dyDescent="0.2">
      <c r="BJ21594" s="201"/>
    </row>
    <row r="21595" spans="62:62" x14ac:dyDescent="0.2">
      <c r="BJ21595" s="201"/>
    </row>
    <row r="21596" spans="62:62" x14ac:dyDescent="0.2">
      <c r="BJ21596" s="201"/>
    </row>
    <row r="21597" spans="62:62" x14ac:dyDescent="0.2">
      <c r="BJ21597" s="201"/>
    </row>
    <row r="21598" spans="62:62" x14ac:dyDescent="0.2">
      <c r="BJ21598" s="201"/>
    </row>
    <row r="21599" spans="62:62" x14ac:dyDescent="0.2">
      <c r="BJ21599" s="201"/>
    </row>
    <row r="21600" spans="62:62" x14ac:dyDescent="0.2">
      <c r="BJ21600" s="201"/>
    </row>
    <row r="21601" spans="62:62" x14ac:dyDescent="0.2">
      <c r="BJ21601" s="201"/>
    </row>
    <row r="21602" spans="62:62" x14ac:dyDescent="0.2">
      <c r="BJ21602" s="201"/>
    </row>
    <row r="21603" spans="62:62" x14ac:dyDescent="0.2">
      <c r="BJ21603" s="201"/>
    </row>
    <row r="21604" spans="62:62" x14ac:dyDescent="0.2">
      <c r="BJ21604" s="201"/>
    </row>
    <row r="21605" spans="62:62" x14ac:dyDescent="0.2">
      <c r="BJ21605" s="201"/>
    </row>
    <row r="21606" spans="62:62" x14ac:dyDescent="0.2">
      <c r="BJ21606" s="201"/>
    </row>
    <row r="21607" spans="62:62" x14ac:dyDescent="0.2">
      <c r="BJ21607" s="201"/>
    </row>
    <row r="21608" spans="62:62" x14ac:dyDescent="0.2">
      <c r="BJ21608" s="201"/>
    </row>
    <row r="21609" spans="62:62" x14ac:dyDescent="0.2">
      <c r="BJ21609" s="201"/>
    </row>
    <row r="21610" spans="62:62" x14ac:dyDescent="0.2">
      <c r="BJ21610" s="201"/>
    </row>
    <row r="21611" spans="62:62" x14ac:dyDescent="0.2">
      <c r="BJ21611" s="201"/>
    </row>
    <row r="21612" spans="62:62" x14ac:dyDescent="0.2">
      <c r="BJ21612" s="201"/>
    </row>
    <row r="21613" spans="62:62" x14ac:dyDescent="0.2">
      <c r="BJ21613" s="201"/>
    </row>
    <row r="21614" spans="62:62" x14ac:dyDescent="0.2">
      <c r="BJ21614" s="201"/>
    </row>
    <row r="21615" spans="62:62" x14ac:dyDescent="0.2">
      <c r="BJ21615" s="201"/>
    </row>
    <row r="21616" spans="62:62" x14ac:dyDescent="0.2">
      <c r="BJ21616" s="201"/>
    </row>
    <row r="21617" spans="62:62" x14ac:dyDescent="0.2">
      <c r="BJ21617" s="201"/>
    </row>
    <row r="21618" spans="62:62" x14ac:dyDescent="0.2">
      <c r="BJ21618" s="201"/>
    </row>
    <row r="21619" spans="62:62" x14ac:dyDescent="0.2">
      <c r="BJ21619" s="201"/>
    </row>
    <row r="21620" spans="62:62" x14ac:dyDescent="0.2">
      <c r="BJ21620" s="201"/>
    </row>
    <row r="21621" spans="62:62" x14ac:dyDescent="0.2">
      <c r="BJ21621" s="201"/>
    </row>
    <row r="21622" spans="62:62" x14ac:dyDescent="0.2">
      <c r="BJ21622" s="201"/>
    </row>
    <row r="21623" spans="62:62" x14ac:dyDescent="0.2">
      <c r="BJ21623" s="201"/>
    </row>
    <row r="21624" spans="62:62" x14ac:dyDescent="0.2">
      <c r="BJ21624" s="201"/>
    </row>
    <row r="21625" spans="62:62" x14ac:dyDescent="0.2">
      <c r="BJ21625" s="201"/>
    </row>
    <row r="21626" spans="62:62" x14ac:dyDescent="0.2">
      <c r="BJ21626" s="201"/>
    </row>
    <row r="21627" spans="62:62" x14ac:dyDescent="0.2">
      <c r="BJ21627" s="201"/>
    </row>
    <row r="21628" spans="62:62" x14ac:dyDescent="0.2">
      <c r="BJ21628" s="201"/>
    </row>
    <row r="21629" spans="62:62" x14ac:dyDescent="0.2">
      <c r="BJ21629" s="201"/>
    </row>
    <row r="21630" spans="62:62" x14ac:dyDescent="0.2">
      <c r="BJ21630" s="201"/>
    </row>
    <row r="21631" spans="62:62" x14ac:dyDescent="0.2">
      <c r="BJ21631" s="201"/>
    </row>
    <row r="21632" spans="62:62" x14ac:dyDescent="0.2">
      <c r="BJ21632" s="201"/>
    </row>
    <row r="21633" spans="62:62" x14ac:dyDescent="0.2">
      <c r="BJ21633" s="201"/>
    </row>
    <row r="21634" spans="62:62" x14ac:dyDescent="0.2">
      <c r="BJ21634" s="201"/>
    </row>
    <row r="21635" spans="62:62" x14ac:dyDescent="0.2">
      <c r="BJ21635" s="201"/>
    </row>
    <row r="21636" spans="62:62" x14ac:dyDescent="0.2">
      <c r="BJ21636" s="201"/>
    </row>
    <row r="21637" spans="62:62" x14ac:dyDescent="0.2">
      <c r="BJ21637" s="201"/>
    </row>
    <row r="21638" spans="62:62" x14ac:dyDescent="0.2">
      <c r="BJ21638" s="201"/>
    </row>
    <row r="21639" spans="62:62" x14ac:dyDescent="0.2">
      <c r="BJ21639" s="201"/>
    </row>
    <row r="21640" spans="62:62" x14ac:dyDescent="0.2">
      <c r="BJ21640" s="201"/>
    </row>
    <row r="21641" spans="62:62" x14ac:dyDescent="0.2">
      <c r="BJ21641" s="201"/>
    </row>
    <row r="21642" spans="62:62" x14ac:dyDescent="0.2">
      <c r="BJ21642" s="201"/>
    </row>
    <row r="21643" spans="62:62" x14ac:dyDescent="0.2">
      <c r="BJ21643" s="201"/>
    </row>
    <row r="21644" spans="62:62" x14ac:dyDescent="0.2">
      <c r="BJ21644" s="201"/>
    </row>
    <row r="21645" spans="62:62" x14ac:dyDescent="0.2">
      <c r="BJ21645" s="201"/>
    </row>
    <row r="21646" spans="62:62" x14ac:dyDescent="0.2">
      <c r="BJ21646" s="201"/>
    </row>
    <row r="21647" spans="62:62" x14ac:dyDescent="0.2">
      <c r="BJ21647" s="201"/>
    </row>
    <row r="21648" spans="62:62" x14ac:dyDescent="0.2">
      <c r="BJ21648" s="201"/>
    </row>
    <row r="21649" spans="62:62" x14ac:dyDescent="0.2">
      <c r="BJ21649" s="201"/>
    </row>
    <row r="21650" spans="62:62" x14ac:dyDescent="0.2">
      <c r="BJ21650" s="201"/>
    </row>
    <row r="21651" spans="62:62" x14ac:dyDescent="0.2">
      <c r="BJ21651" s="201"/>
    </row>
    <row r="21652" spans="62:62" x14ac:dyDescent="0.2">
      <c r="BJ21652" s="201"/>
    </row>
    <row r="21653" spans="62:62" x14ac:dyDescent="0.2">
      <c r="BJ21653" s="201"/>
    </row>
    <row r="21654" spans="62:62" x14ac:dyDescent="0.2">
      <c r="BJ21654" s="201"/>
    </row>
    <row r="21655" spans="62:62" x14ac:dyDescent="0.2">
      <c r="BJ21655" s="201"/>
    </row>
    <row r="21656" spans="62:62" x14ac:dyDescent="0.2">
      <c r="BJ21656" s="201"/>
    </row>
    <row r="21657" spans="62:62" x14ac:dyDescent="0.2">
      <c r="BJ21657" s="201"/>
    </row>
    <row r="21658" spans="62:62" x14ac:dyDescent="0.2">
      <c r="BJ21658" s="201"/>
    </row>
    <row r="21659" spans="62:62" x14ac:dyDescent="0.2">
      <c r="BJ21659" s="201"/>
    </row>
    <row r="21660" spans="62:62" x14ac:dyDescent="0.2">
      <c r="BJ21660" s="201"/>
    </row>
    <row r="21661" spans="62:62" x14ac:dyDescent="0.2">
      <c r="BJ21661" s="201"/>
    </row>
    <row r="21662" spans="62:62" x14ac:dyDescent="0.2">
      <c r="BJ21662" s="201"/>
    </row>
    <row r="21663" spans="62:62" x14ac:dyDescent="0.2">
      <c r="BJ21663" s="201"/>
    </row>
    <row r="21664" spans="62:62" x14ac:dyDescent="0.2">
      <c r="BJ21664" s="201"/>
    </row>
    <row r="21665" spans="62:62" x14ac:dyDescent="0.2">
      <c r="BJ21665" s="201"/>
    </row>
    <row r="21666" spans="62:62" x14ac:dyDescent="0.2">
      <c r="BJ21666" s="201"/>
    </row>
    <row r="21667" spans="62:62" x14ac:dyDescent="0.2">
      <c r="BJ21667" s="201"/>
    </row>
    <row r="21668" spans="62:62" x14ac:dyDescent="0.2">
      <c r="BJ21668" s="201"/>
    </row>
    <row r="21669" spans="62:62" x14ac:dyDescent="0.2">
      <c r="BJ21669" s="201"/>
    </row>
    <row r="21670" spans="62:62" x14ac:dyDescent="0.2">
      <c r="BJ21670" s="201"/>
    </row>
    <row r="21671" spans="62:62" x14ac:dyDescent="0.2">
      <c r="BJ21671" s="201"/>
    </row>
    <row r="21672" spans="62:62" x14ac:dyDescent="0.2">
      <c r="BJ21672" s="201"/>
    </row>
    <row r="21673" spans="62:62" x14ac:dyDescent="0.2">
      <c r="BJ21673" s="201"/>
    </row>
    <row r="21674" spans="62:62" x14ac:dyDescent="0.2">
      <c r="BJ21674" s="201"/>
    </row>
    <row r="21675" spans="62:62" x14ac:dyDescent="0.2">
      <c r="BJ21675" s="201"/>
    </row>
    <row r="21676" spans="62:62" x14ac:dyDescent="0.2">
      <c r="BJ21676" s="201"/>
    </row>
    <row r="21677" spans="62:62" x14ac:dyDescent="0.2">
      <c r="BJ21677" s="201"/>
    </row>
    <row r="21678" spans="62:62" x14ac:dyDescent="0.2">
      <c r="BJ21678" s="201"/>
    </row>
    <row r="21679" spans="62:62" x14ac:dyDescent="0.2">
      <c r="BJ21679" s="201"/>
    </row>
    <row r="21680" spans="62:62" x14ac:dyDescent="0.2">
      <c r="BJ21680" s="201"/>
    </row>
    <row r="21681" spans="62:62" x14ac:dyDescent="0.2">
      <c r="BJ21681" s="201"/>
    </row>
    <row r="21682" spans="62:62" x14ac:dyDescent="0.2">
      <c r="BJ21682" s="201"/>
    </row>
    <row r="21683" spans="62:62" x14ac:dyDescent="0.2">
      <c r="BJ21683" s="201"/>
    </row>
    <row r="21684" spans="62:62" x14ac:dyDescent="0.2">
      <c r="BJ21684" s="201"/>
    </row>
    <row r="21685" spans="62:62" x14ac:dyDescent="0.2">
      <c r="BJ21685" s="201"/>
    </row>
    <row r="21686" spans="62:62" x14ac:dyDescent="0.2">
      <c r="BJ21686" s="201"/>
    </row>
    <row r="21687" spans="62:62" x14ac:dyDescent="0.2">
      <c r="BJ21687" s="201"/>
    </row>
    <row r="21688" spans="62:62" x14ac:dyDescent="0.2">
      <c r="BJ21688" s="201"/>
    </row>
    <row r="21689" spans="62:62" x14ac:dyDescent="0.2">
      <c r="BJ21689" s="201"/>
    </row>
    <row r="21690" spans="62:62" x14ac:dyDescent="0.2">
      <c r="BJ21690" s="201"/>
    </row>
    <row r="21691" spans="62:62" x14ac:dyDescent="0.2">
      <c r="BJ21691" s="201"/>
    </row>
    <row r="21692" spans="62:62" x14ac:dyDescent="0.2">
      <c r="BJ21692" s="201"/>
    </row>
    <row r="21693" spans="62:62" x14ac:dyDescent="0.2">
      <c r="BJ21693" s="201"/>
    </row>
    <row r="21694" spans="62:62" x14ac:dyDescent="0.2">
      <c r="BJ21694" s="201"/>
    </row>
    <row r="21695" spans="62:62" x14ac:dyDescent="0.2">
      <c r="BJ21695" s="201"/>
    </row>
    <row r="21696" spans="62:62" x14ac:dyDescent="0.2">
      <c r="BJ21696" s="201"/>
    </row>
    <row r="21697" spans="62:62" x14ac:dyDescent="0.2">
      <c r="BJ21697" s="201"/>
    </row>
    <row r="21698" spans="62:62" x14ac:dyDescent="0.2">
      <c r="BJ21698" s="201"/>
    </row>
    <row r="21699" spans="62:62" x14ac:dyDescent="0.2">
      <c r="BJ21699" s="201"/>
    </row>
    <row r="21700" spans="62:62" x14ac:dyDescent="0.2">
      <c r="BJ21700" s="201"/>
    </row>
    <row r="21701" spans="62:62" x14ac:dyDescent="0.2">
      <c r="BJ21701" s="201"/>
    </row>
    <row r="21702" spans="62:62" x14ac:dyDescent="0.2">
      <c r="BJ21702" s="201"/>
    </row>
    <row r="21703" spans="62:62" x14ac:dyDescent="0.2">
      <c r="BJ21703" s="201"/>
    </row>
    <row r="21704" spans="62:62" x14ac:dyDescent="0.2">
      <c r="BJ21704" s="201"/>
    </row>
    <row r="21705" spans="62:62" x14ac:dyDescent="0.2">
      <c r="BJ21705" s="201"/>
    </row>
    <row r="21706" spans="62:62" x14ac:dyDescent="0.2">
      <c r="BJ21706" s="201"/>
    </row>
    <row r="21707" spans="62:62" x14ac:dyDescent="0.2">
      <c r="BJ21707" s="201"/>
    </row>
    <row r="21708" spans="62:62" x14ac:dyDescent="0.2">
      <c r="BJ21708" s="201"/>
    </row>
    <row r="21709" spans="62:62" x14ac:dyDescent="0.2">
      <c r="BJ21709" s="201"/>
    </row>
    <row r="21710" spans="62:62" x14ac:dyDescent="0.2">
      <c r="BJ21710" s="201"/>
    </row>
    <row r="21711" spans="62:62" x14ac:dyDescent="0.2">
      <c r="BJ21711" s="201"/>
    </row>
    <row r="21712" spans="62:62" x14ac:dyDescent="0.2">
      <c r="BJ21712" s="201"/>
    </row>
    <row r="21713" spans="62:62" x14ac:dyDescent="0.2">
      <c r="BJ21713" s="201"/>
    </row>
    <row r="21714" spans="62:62" x14ac:dyDescent="0.2">
      <c r="BJ21714" s="201"/>
    </row>
    <row r="21715" spans="62:62" x14ac:dyDescent="0.2">
      <c r="BJ21715" s="201"/>
    </row>
    <row r="21716" spans="62:62" x14ac:dyDescent="0.2">
      <c r="BJ21716" s="201"/>
    </row>
    <row r="21717" spans="62:62" x14ac:dyDescent="0.2">
      <c r="BJ21717" s="201"/>
    </row>
    <row r="21718" spans="62:62" x14ac:dyDescent="0.2">
      <c r="BJ21718" s="201"/>
    </row>
    <row r="21719" spans="62:62" x14ac:dyDescent="0.2">
      <c r="BJ21719" s="201"/>
    </row>
    <row r="21720" spans="62:62" x14ac:dyDescent="0.2">
      <c r="BJ21720" s="201"/>
    </row>
    <row r="21721" spans="62:62" x14ac:dyDescent="0.2">
      <c r="BJ21721" s="201"/>
    </row>
    <row r="21722" spans="62:62" x14ac:dyDescent="0.2">
      <c r="BJ21722" s="201"/>
    </row>
    <row r="21723" spans="62:62" x14ac:dyDescent="0.2">
      <c r="BJ21723" s="201"/>
    </row>
    <row r="21724" spans="62:62" x14ac:dyDescent="0.2">
      <c r="BJ21724" s="201"/>
    </row>
    <row r="21725" spans="62:62" x14ac:dyDescent="0.2">
      <c r="BJ21725" s="201"/>
    </row>
    <row r="21726" spans="62:62" x14ac:dyDescent="0.2">
      <c r="BJ21726" s="201"/>
    </row>
    <row r="21727" spans="62:62" x14ac:dyDescent="0.2">
      <c r="BJ21727" s="201"/>
    </row>
    <row r="21728" spans="62:62" x14ac:dyDescent="0.2">
      <c r="BJ21728" s="201"/>
    </row>
    <row r="21729" spans="62:62" x14ac:dyDescent="0.2">
      <c r="BJ21729" s="201"/>
    </row>
    <row r="21730" spans="62:62" x14ac:dyDescent="0.2">
      <c r="BJ21730" s="201"/>
    </row>
    <row r="21731" spans="62:62" x14ac:dyDescent="0.2">
      <c r="BJ21731" s="201"/>
    </row>
    <row r="21732" spans="62:62" x14ac:dyDescent="0.2">
      <c r="BJ21732" s="201"/>
    </row>
    <row r="21733" spans="62:62" x14ac:dyDescent="0.2">
      <c r="BJ21733" s="201"/>
    </row>
    <row r="21734" spans="62:62" x14ac:dyDescent="0.2">
      <c r="BJ21734" s="201"/>
    </row>
    <row r="21735" spans="62:62" x14ac:dyDescent="0.2">
      <c r="BJ21735" s="201"/>
    </row>
    <row r="21736" spans="62:62" x14ac:dyDescent="0.2">
      <c r="BJ21736" s="201"/>
    </row>
    <row r="21737" spans="62:62" x14ac:dyDescent="0.2">
      <c r="BJ21737" s="201"/>
    </row>
    <row r="21738" spans="62:62" x14ac:dyDescent="0.2">
      <c r="BJ21738" s="201"/>
    </row>
    <row r="21739" spans="62:62" x14ac:dyDescent="0.2">
      <c r="BJ21739" s="201"/>
    </row>
    <row r="21740" spans="62:62" x14ac:dyDescent="0.2">
      <c r="BJ21740" s="201"/>
    </row>
    <row r="21741" spans="62:62" x14ac:dyDescent="0.2">
      <c r="BJ21741" s="201"/>
    </row>
    <row r="21742" spans="62:62" x14ac:dyDescent="0.2">
      <c r="BJ21742" s="201"/>
    </row>
    <row r="21743" spans="62:62" x14ac:dyDescent="0.2">
      <c r="BJ21743" s="201"/>
    </row>
    <row r="21744" spans="62:62" x14ac:dyDescent="0.2">
      <c r="BJ21744" s="201"/>
    </row>
    <row r="21745" spans="62:62" x14ac:dyDescent="0.2">
      <c r="BJ21745" s="201"/>
    </row>
    <row r="21746" spans="62:62" x14ac:dyDescent="0.2">
      <c r="BJ21746" s="201"/>
    </row>
    <row r="21747" spans="62:62" x14ac:dyDescent="0.2">
      <c r="BJ21747" s="201"/>
    </row>
    <row r="21748" spans="62:62" x14ac:dyDescent="0.2">
      <c r="BJ21748" s="201"/>
    </row>
    <row r="21749" spans="62:62" x14ac:dyDescent="0.2">
      <c r="BJ21749" s="201"/>
    </row>
    <row r="21750" spans="62:62" x14ac:dyDescent="0.2">
      <c r="BJ21750" s="201"/>
    </row>
    <row r="21751" spans="62:62" x14ac:dyDescent="0.2">
      <c r="BJ21751" s="201"/>
    </row>
    <row r="21752" spans="62:62" x14ac:dyDescent="0.2">
      <c r="BJ21752" s="201"/>
    </row>
    <row r="21753" spans="62:62" x14ac:dyDescent="0.2">
      <c r="BJ21753" s="201"/>
    </row>
    <row r="21754" spans="62:62" x14ac:dyDescent="0.2">
      <c r="BJ21754" s="201"/>
    </row>
    <row r="21755" spans="62:62" x14ac:dyDescent="0.2">
      <c r="BJ21755" s="201"/>
    </row>
    <row r="21756" spans="62:62" x14ac:dyDescent="0.2">
      <c r="BJ21756" s="201"/>
    </row>
    <row r="21757" spans="62:62" x14ac:dyDescent="0.2">
      <c r="BJ21757" s="201"/>
    </row>
    <row r="21758" spans="62:62" x14ac:dyDescent="0.2">
      <c r="BJ21758" s="201"/>
    </row>
    <row r="21759" spans="62:62" x14ac:dyDescent="0.2">
      <c r="BJ21759" s="201"/>
    </row>
    <row r="21760" spans="62:62" x14ac:dyDescent="0.2">
      <c r="BJ21760" s="201"/>
    </row>
    <row r="21761" spans="62:62" x14ac:dyDescent="0.2">
      <c r="BJ21761" s="201"/>
    </row>
    <row r="21762" spans="62:62" x14ac:dyDescent="0.2">
      <c r="BJ21762" s="201"/>
    </row>
    <row r="21763" spans="62:62" x14ac:dyDescent="0.2">
      <c r="BJ21763" s="201"/>
    </row>
    <row r="21764" spans="62:62" x14ac:dyDescent="0.2">
      <c r="BJ21764" s="201"/>
    </row>
    <row r="21765" spans="62:62" x14ac:dyDescent="0.2">
      <c r="BJ21765" s="201"/>
    </row>
    <row r="21766" spans="62:62" x14ac:dyDescent="0.2">
      <c r="BJ21766" s="201"/>
    </row>
    <row r="21767" spans="62:62" x14ac:dyDescent="0.2">
      <c r="BJ21767" s="201"/>
    </row>
    <row r="21768" spans="62:62" x14ac:dyDescent="0.2">
      <c r="BJ21768" s="201"/>
    </row>
    <row r="21769" spans="62:62" x14ac:dyDescent="0.2">
      <c r="BJ21769" s="201"/>
    </row>
    <row r="21770" spans="62:62" x14ac:dyDescent="0.2">
      <c r="BJ21770" s="201"/>
    </row>
    <row r="21771" spans="62:62" x14ac:dyDescent="0.2">
      <c r="BJ21771" s="201"/>
    </row>
    <row r="21772" spans="62:62" x14ac:dyDescent="0.2">
      <c r="BJ21772" s="201"/>
    </row>
    <row r="21773" spans="62:62" x14ac:dyDescent="0.2">
      <c r="BJ21773" s="201"/>
    </row>
    <row r="21774" spans="62:62" x14ac:dyDescent="0.2">
      <c r="BJ21774" s="201"/>
    </row>
    <row r="21775" spans="62:62" x14ac:dyDescent="0.2">
      <c r="BJ21775" s="201"/>
    </row>
    <row r="21776" spans="62:62" x14ac:dyDescent="0.2">
      <c r="BJ21776" s="201"/>
    </row>
    <row r="21777" spans="62:62" x14ac:dyDescent="0.2">
      <c r="BJ21777" s="201"/>
    </row>
    <row r="21778" spans="62:62" x14ac:dyDescent="0.2">
      <c r="BJ21778" s="201"/>
    </row>
    <row r="21779" spans="62:62" x14ac:dyDescent="0.2">
      <c r="BJ21779" s="201"/>
    </row>
    <row r="21780" spans="62:62" x14ac:dyDescent="0.2">
      <c r="BJ21780" s="201"/>
    </row>
    <row r="21781" spans="62:62" x14ac:dyDescent="0.2">
      <c r="BJ21781" s="201"/>
    </row>
    <row r="21782" spans="62:62" x14ac:dyDescent="0.2">
      <c r="BJ21782" s="201"/>
    </row>
    <row r="21783" spans="62:62" x14ac:dyDescent="0.2">
      <c r="BJ21783" s="201"/>
    </row>
    <row r="21784" spans="62:62" x14ac:dyDescent="0.2">
      <c r="BJ21784" s="201"/>
    </row>
    <row r="21785" spans="62:62" x14ac:dyDescent="0.2">
      <c r="BJ21785" s="201"/>
    </row>
    <row r="21786" spans="62:62" x14ac:dyDescent="0.2">
      <c r="BJ21786" s="201"/>
    </row>
    <row r="21787" spans="62:62" x14ac:dyDescent="0.2">
      <c r="BJ21787" s="201"/>
    </row>
    <row r="21788" spans="62:62" x14ac:dyDescent="0.2">
      <c r="BJ21788" s="201"/>
    </row>
    <row r="21789" spans="62:62" x14ac:dyDescent="0.2">
      <c r="BJ21789" s="201"/>
    </row>
    <row r="21790" spans="62:62" x14ac:dyDescent="0.2">
      <c r="BJ21790" s="201"/>
    </row>
    <row r="21791" spans="62:62" x14ac:dyDescent="0.2">
      <c r="BJ21791" s="201"/>
    </row>
    <row r="21792" spans="62:62" x14ac:dyDescent="0.2">
      <c r="BJ21792" s="201"/>
    </row>
    <row r="21793" spans="62:62" x14ac:dyDescent="0.2">
      <c r="BJ21793" s="201"/>
    </row>
    <row r="21794" spans="62:62" x14ac:dyDescent="0.2">
      <c r="BJ21794" s="201"/>
    </row>
    <row r="21795" spans="62:62" x14ac:dyDescent="0.2">
      <c r="BJ21795" s="201"/>
    </row>
    <row r="21796" spans="62:62" x14ac:dyDescent="0.2">
      <c r="BJ21796" s="201"/>
    </row>
    <row r="21797" spans="62:62" x14ac:dyDescent="0.2">
      <c r="BJ21797" s="201"/>
    </row>
    <row r="21798" spans="62:62" x14ac:dyDescent="0.2">
      <c r="BJ21798" s="201"/>
    </row>
    <row r="21799" spans="62:62" x14ac:dyDescent="0.2">
      <c r="BJ21799" s="201"/>
    </row>
    <row r="21800" spans="62:62" x14ac:dyDescent="0.2">
      <c r="BJ21800" s="201"/>
    </row>
    <row r="21801" spans="62:62" x14ac:dyDescent="0.2">
      <c r="BJ21801" s="201"/>
    </row>
    <row r="21802" spans="62:62" x14ac:dyDescent="0.2">
      <c r="BJ21802" s="201"/>
    </row>
    <row r="21803" spans="62:62" x14ac:dyDescent="0.2">
      <c r="BJ21803" s="201"/>
    </row>
    <row r="21804" spans="62:62" x14ac:dyDescent="0.2">
      <c r="BJ21804" s="201"/>
    </row>
    <row r="21805" spans="62:62" x14ac:dyDescent="0.2">
      <c r="BJ21805" s="201"/>
    </row>
    <row r="21806" spans="62:62" x14ac:dyDescent="0.2">
      <c r="BJ21806" s="201"/>
    </row>
    <row r="21807" spans="62:62" x14ac:dyDescent="0.2">
      <c r="BJ21807" s="201"/>
    </row>
    <row r="21808" spans="62:62" x14ac:dyDescent="0.2">
      <c r="BJ21808" s="201"/>
    </row>
    <row r="21809" spans="62:62" x14ac:dyDescent="0.2">
      <c r="BJ21809" s="201"/>
    </row>
    <row r="21810" spans="62:62" x14ac:dyDescent="0.2">
      <c r="BJ21810" s="201"/>
    </row>
    <row r="21811" spans="62:62" x14ac:dyDescent="0.2">
      <c r="BJ21811" s="201"/>
    </row>
    <row r="21812" spans="62:62" x14ac:dyDescent="0.2">
      <c r="BJ21812" s="201"/>
    </row>
    <row r="21813" spans="62:62" x14ac:dyDescent="0.2">
      <c r="BJ21813" s="201"/>
    </row>
    <row r="21814" spans="62:62" x14ac:dyDescent="0.2">
      <c r="BJ21814" s="201"/>
    </row>
    <row r="21815" spans="62:62" x14ac:dyDescent="0.2">
      <c r="BJ21815" s="201"/>
    </row>
    <row r="21816" spans="62:62" x14ac:dyDescent="0.2">
      <c r="BJ21816" s="201"/>
    </row>
    <row r="21817" spans="62:62" x14ac:dyDescent="0.2">
      <c r="BJ21817" s="201"/>
    </row>
    <row r="21818" spans="62:62" x14ac:dyDescent="0.2">
      <c r="BJ21818" s="201"/>
    </row>
    <row r="21819" spans="62:62" x14ac:dyDescent="0.2">
      <c r="BJ21819" s="201"/>
    </row>
    <row r="21820" spans="62:62" x14ac:dyDescent="0.2">
      <c r="BJ21820" s="201"/>
    </row>
    <row r="21821" spans="62:62" x14ac:dyDescent="0.2">
      <c r="BJ21821" s="201"/>
    </row>
    <row r="21822" spans="62:62" x14ac:dyDescent="0.2">
      <c r="BJ21822" s="201"/>
    </row>
    <row r="21823" spans="62:62" x14ac:dyDescent="0.2">
      <c r="BJ21823" s="201"/>
    </row>
    <row r="21824" spans="62:62" x14ac:dyDescent="0.2">
      <c r="BJ21824" s="201"/>
    </row>
    <row r="21825" spans="62:62" x14ac:dyDescent="0.2">
      <c r="BJ21825" s="201"/>
    </row>
    <row r="21826" spans="62:62" x14ac:dyDescent="0.2">
      <c r="BJ21826" s="201"/>
    </row>
    <row r="21827" spans="62:62" x14ac:dyDescent="0.2">
      <c r="BJ21827" s="201"/>
    </row>
    <row r="21828" spans="62:62" x14ac:dyDescent="0.2">
      <c r="BJ21828" s="201"/>
    </row>
    <row r="21829" spans="62:62" x14ac:dyDescent="0.2">
      <c r="BJ21829" s="201"/>
    </row>
    <row r="21830" spans="62:62" x14ac:dyDescent="0.2">
      <c r="BJ21830" s="201"/>
    </row>
    <row r="21831" spans="62:62" x14ac:dyDescent="0.2">
      <c r="BJ21831" s="201"/>
    </row>
    <row r="21832" spans="62:62" x14ac:dyDescent="0.2">
      <c r="BJ21832" s="201"/>
    </row>
    <row r="21833" spans="62:62" x14ac:dyDescent="0.2">
      <c r="BJ21833" s="201"/>
    </row>
    <row r="21834" spans="62:62" x14ac:dyDescent="0.2">
      <c r="BJ21834" s="201"/>
    </row>
    <row r="21835" spans="62:62" x14ac:dyDescent="0.2">
      <c r="BJ21835" s="201"/>
    </row>
    <row r="21836" spans="62:62" x14ac:dyDescent="0.2">
      <c r="BJ21836" s="201"/>
    </row>
    <row r="21837" spans="62:62" x14ac:dyDescent="0.2">
      <c r="BJ21837" s="201"/>
    </row>
    <row r="21838" spans="62:62" x14ac:dyDescent="0.2">
      <c r="BJ21838" s="201"/>
    </row>
    <row r="21839" spans="62:62" x14ac:dyDescent="0.2">
      <c r="BJ21839" s="201"/>
    </row>
    <row r="21840" spans="62:62" x14ac:dyDescent="0.2">
      <c r="BJ21840" s="201"/>
    </row>
    <row r="21841" spans="62:62" x14ac:dyDescent="0.2">
      <c r="BJ21841" s="201"/>
    </row>
    <row r="21842" spans="62:62" x14ac:dyDescent="0.2">
      <c r="BJ21842" s="201"/>
    </row>
    <row r="21843" spans="62:62" x14ac:dyDescent="0.2">
      <c r="BJ21843" s="201"/>
    </row>
    <row r="21844" spans="62:62" x14ac:dyDescent="0.2">
      <c r="BJ21844" s="201"/>
    </row>
    <row r="21845" spans="62:62" x14ac:dyDescent="0.2">
      <c r="BJ21845" s="201"/>
    </row>
    <row r="21846" spans="62:62" x14ac:dyDescent="0.2">
      <c r="BJ21846" s="201"/>
    </row>
    <row r="21847" spans="62:62" x14ac:dyDescent="0.2">
      <c r="BJ21847" s="201"/>
    </row>
    <row r="21848" spans="62:62" x14ac:dyDescent="0.2">
      <c r="BJ21848" s="201"/>
    </row>
    <row r="21849" spans="62:62" x14ac:dyDescent="0.2">
      <c r="BJ21849" s="201"/>
    </row>
    <row r="21850" spans="62:62" x14ac:dyDescent="0.2">
      <c r="BJ21850" s="201"/>
    </row>
    <row r="21851" spans="62:62" x14ac:dyDescent="0.2">
      <c r="BJ21851" s="201"/>
    </row>
    <row r="21852" spans="62:62" x14ac:dyDescent="0.2">
      <c r="BJ21852" s="201"/>
    </row>
    <row r="21853" spans="62:62" x14ac:dyDescent="0.2">
      <c r="BJ21853" s="201"/>
    </row>
    <row r="21854" spans="62:62" x14ac:dyDescent="0.2">
      <c r="BJ21854" s="201"/>
    </row>
    <row r="21855" spans="62:62" x14ac:dyDescent="0.2">
      <c r="BJ21855" s="201"/>
    </row>
    <row r="21856" spans="62:62" x14ac:dyDescent="0.2">
      <c r="BJ21856" s="201"/>
    </row>
    <row r="21857" spans="62:62" x14ac:dyDescent="0.2">
      <c r="BJ21857" s="201"/>
    </row>
    <row r="21858" spans="62:62" x14ac:dyDescent="0.2">
      <c r="BJ21858" s="201"/>
    </row>
    <row r="21859" spans="62:62" x14ac:dyDescent="0.2">
      <c r="BJ21859" s="201"/>
    </row>
    <row r="21860" spans="62:62" x14ac:dyDescent="0.2">
      <c r="BJ21860" s="201"/>
    </row>
    <row r="21861" spans="62:62" x14ac:dyDescent="0.2">
      <c r="BJ21861" s="201"/>
    </row>
    <row r="21862" spans="62:62" x14ac:dyDescent="0.2">
      <c r="BJ21862" s="201"/>
    </row>
    <row r="21863" spans="62:62" x14ac:dyDescent="0.2">
      <c r="BJ21863" s="201"/>
    </row>
    <row r="21864" spans="62:62" x14ac:dyDescent="0.2">
      <c r="BJ21864" s="201"/>
    </row>
    <row r="21865" spans="62:62" x14ac:dyDescent="0.2">
      <c r="BJ21865" s="201"/>
    </row>
    <row r="21866" spans="62:62" x14ac:dyDescent="0.2">
      <c r="BJ21866" s="201"/>
    </row>
    <row r="21867" spans="62:62" x14ac:dyDescent="0.2">
      <c r="BJ21867" s="201"/>
    </row>
    <row r="21868" spans="62:62" x14ac:dyDescent="0.2">
      <c r="BJ21868" s="201"/>
    </row>
    <row r="21869" spans="62:62" x14ac:dyDescent="0.2">
      <c r="BJ21869" s="201"/>
    </row>
    <row r="21870" spans="62:62" x14ac:dyDescent="0.2">
      <c r="BJ21870" s="201"/>
    </row>
    <row r="21871" spans="62:62" x14ac:dyDescent="0.2">
      <c r="BJ21871" s="201"/>
    </row>
    <row r="21872" spans="62:62" x14ac:dyDescent="0.2">
      <c r="BJ21872" s="201"/>
    </row>
    <row r="21873" spans="62:62" x14ac:dyDescent="0.2">
      <c r="BJ21873" s="201"/>
    </row>
    <row r="21874" spans="62:62" x14ac:dyDescent="0.2">
      <c r="BJ21874" s="201"/>
    </row>
    <row r="21875" spans="62:62" x14ac:dyDescent="0.2">
      <c r="BJ21875" s="201"/>
    </row>
    <row r="21876" spans="62:62" x14ac:dyDescent="0.2">
      <c r="BJ21876" s="201"/>
    </row>
    <row r="21877" spans="62:62" x14ac:dyDescent="0.2">
      <c r="BJ21877" s="201"/>
    </row>
    <row r="21878" spans="62:62" x14ac:dyDescent="0.2">
      <c r="BJ21878" s="201"/>
    </row>
    <row r="21879" spans="62:62" x14ac:dyDescent="0.2">
      <c r="BJ21879" s="201"/>
    </row>
    <row r="21880" spans="62:62" x14ac:dyDescent="0.2">
      <c r="BJ21880" s="201"/>
    </row>
    <row r="21881" spans="62:62" x14ac:dyDescent="0.2">
      <c r="BJ21881" s="201"/>
    </row>
    <row r="21882" spans="62:62" x14ac:dyDescent="0.2">
      <c r="BJ21882" s="201"/>
    </row>
    <row r="21883" spans="62:62" x14ac:dyDescent="0.2">
      <c r="BJ21883" s="201"/>
    </row>
    <row r="21884" spans="62:62" x14ac:dyDescent="0.2">
      <c r="BJ21884" s="201"/>
    </row>
    <row r="21885" spans="62:62" x14ac:dyDescent="0.2">
      <c r="BJ21885" s="201"/>
    </row>
    <row r="21886" spans="62:62" x14ac:dyDescent="0.2">
      <c r="BJ21886" s="201"/>
    </row>
    <row r="21887" spans="62:62" x14ac:dyDescent="0.2">
      <c r="BJ21887" s="201"/>
    </row>
    <row r="21888" spans="62:62" x14ac:dyDescent="0.2">
      <c r="BJ21888" s="201"/>
    </row>
    <row r="21889" spans="62:62" x14ac:dyDescent="0.2">
      <c r="BJ21889" s="201"/>
    </row>
    <row r="21890" spans="62:62" x14ac:dyDescent="0.2">
      <c r="BJ21890" s="201"/>
    </row>
    <row r="21891" spans="62:62" x14ac:dyDescent="0.2">
      <c r="BJ21891" s="201"/>
    </row>
    <row r="21892" spans="62:62" x14ac:dyDescent="0.2">
      <c r="BJ21892" s="201"/>
    </row>
    <row r="21893" spans="62:62" x14ac:dyDescent="0.2">
      <c r="BJ21893" s="201"/>
    </row>
    <row r="21894" spans="62:62" x14ac:dyDescent="0.2">
      <c r="BJ21894" s="201"/>
    </row>
    <row r="21895" spans="62:62" x14ac:dyDescent="0.2">
      <c r="BJ21895" s="201"/>
    </row>
    <row r="21896" spans="62:62" x14ac:dyDescent="0.2">
      <c r="BJ21896" s="201"/>
    </row>
    <row r="21897" spans="62:62" x14ac:dyDescent="0.2">
      <c r="BJ21897" s="201"/>
    </row>
    <row r="21898" spans="62:62" x14ac:dyDescent="0.2">
      <c r="BJ21898" s="201"/>
    </row>
    <row r="21899" spans="62:62" x14ac:dyDescent="0.2">
      <c r="BJ21899" s="201"/>
    </row>
    <row r="21900" spans="62:62" x14ac:dyDescent="0.2">
      <c r="BJ21900" s="201"/>
    </row>
    <row r="21901" spans="62:62" x14ac:dyDescent="0.2">
      <c r="BJ21901" s="201"/>
    </row>
    <row r="21902" spans="62:62" x14ac:dyDescent="0.2">
      <c r="BJ21902" s="201"/>
    </row>
    <row r="21903" spans="62:62" x14ac:dyDescent="0.2">
      <c r="BJ21903" s="201"/>
    </row>
    <row r="21904" spans="62:62" x14ac:dyDescent="0.2">
      <c r="BJ21904" s="201"/>
    </row>
    <row r="21905" spans="62:62" x14ac:dyDescent="0.2">
      <c r="BJ21905" s="201"/>
    </row>
    <row r="21906" spans="62:62" x14ac:dyDescent="0.2">
      <c r="BJ21906" s="201"/>
    </row>
    <row r="21907" spans="62:62" x14ac:dyDescent="0.2">
      <c r="BJ21907" s="201"/>
    </row>
    <row r="21908" spans="62:62" x14ac:dyDescent="0.2">
      <c r="BJ21908" s="201"/>
    </row>
    <row r="21909" spans="62:62" x14ac:dyDescent="0.2">
      <c r="BJ21909" s="201"/>
    </row>
    <row r="21910" spans="62:62" x14ac:dyDescent="0.2">
      <c r="BJ21910" s="201"/>
    </row>
    <row r="21911" spans="62:62" x14ac:dyDescent="0.2">
      <c r="BJ21911" s="201"/>
    </row>
    <row r="21912" spans="62:62" x14ac:dyDescent="0.2">
      <c r="BJ21912" s="201"/>
    </row>
    <row r="21913" spans="62:62" x14ac:dyDescent="0.2">
      <c r="BJ21913" s="201"/>
    </row>
    <row r="21914" spans="62:62" x14ac:dyDescent="0.2">
      <c r="BJ21914" s="201"/>
    </row>
    <row r="21915" spans="62:62" x14ac:dyDescent="0.2">
      <c r="BJ21915" s="201"/>
    </row>
    <row r="21916" spans="62:62" x14ac:dyDescent="0.2">
      <c r="BJ21916" s="201"/>
    </row>
    <row r="21917" spans="62:62" x14ac:dyDescent="0.2">
      <c r="BJ21917" s="201"/>
    </row>
    <row r="21918" spans="62:62" x14ac:dyDescent="0.2">
      <c r="BJ21918" s="201"/>
    </row>
    <row r="21919" spans="62:62" x14ac:dyDescent="0.2">
      <c r="BJ21919" s="201"/>
    </row>
    <row r="21920" spans="62:62" x14ac:dyDescent="0.2">
      <c r="BJ21920" s="201"/>
    </row>
    <row r="21921" spans="62:62" x14ac:dyDescent="0.2">
      <c r="BJ21921" s="201"/>
    </row>
    <row r="21922" spans="62:62" x14ac:dyDescent="0.2">
      <c r="BJ21922" s="201"/>
    </row>
    <row r="21923" spans="62:62" x14ac:dyDescent="0.2">
      <c r="BJ21923" s="201"/>
    </row>
    <row r="21924" spans="62:62" x14ac:dyDescent="0.2">
      <c r="BJ21924" s="201"/>
    </row>
    <row r="21925" spans="62:62" x14ac:dyDescent="0.2">
      <c r="BJ21925" s="201"/>
    </row>
    <row r="21926" spans="62:62" x14ac:dyDescent="0.2">
      <c r="BJ21926" s="201"/>
    </row>
    <row r="21927" spans="62:62" x14ac:dyDescent="0.2">
      <c r="BJ21927" s="201"/>
    </row>
    <row r="21928" spans="62:62" x14ac:dyDescent="0.2">
      <c r="BJ21928" s="201"/>
    </row>
    <row r="21929" spans="62:62" x14ac:dyDescent="0.2">
      <c r="BJ21929" s="201"/>
    </row>
    <row r="21930" spans="62:62" x14ac:dyDescent="0.2">
      <c r="BJ21930" s="201"/>
    </row>
    <row r="21931" spans="62:62" x14ac:dyDescent="0.2">
      <c r="BJ21931" s="201"/>
    </row>
    <row r="21932" spans="62:62" x14ac:dyDescent="0.2">
      <c r="BJ21932" s="201"/>
    </row>
    <row r="21933" spans="62:62" x14ac:dyDescent="0.2">
      <c r="BJ21933" s="201"/>
    </row>
    <row r="21934" spans="62:62" x14ac:dyDescent="0.2">
      <c r="BJ21934" s="201"/>
    </row>
    <row r="21935" spans="62:62" x14ac:dyDescent="0.2">
      <c r="BJ21935" s="201"/>
    </row>
    <row r="21936" spans="62:62" x14ac:dyDescent="0.2">
      <c r="BJ21936" s="201"/>
    </row>
    <row r="21937" spans="62:62" x14ac:dyDescent="0.2">
      <c r="BJ21937" s="201"/>
    </row>
    <row r="21938" spans="62:62" x14ac:dyDescent="0.2">
      <c r="BJ21938" s="201"/>
    </row>
    <row r="21939" spans="62:62" x14ac:dyDescent="0.2">
      <c r="BJ21939" s="201"/>
    </row>
    <row r="21940" spans="62:62" x14ac:dyDescent="0.2">
      <c r="BJ21940" s="201"/>
    </row>
    <row r="21941" spans="62:62" x14ac:dyDescent="0.2">
      <c r="BJ21941" s="201"/>
    </row>
    <row r="21942" spans="62:62" x14ac:dyDescent="0.2">
      <c r="BJ21942" s="201"/>
    </row>
    <row r="21943" spans="62:62" x14ac:dyDescent="0.2">
      <c r="BJ21943" s="201"/>
    </row>
    <row r="21944" spans="62:62" x14ac:dyDescent="0.2">
      <c r="BJ21944" s="201"/>
    </row>
    <row r="21945" spans="62:62" x14ac:dyDescent="0.2">
      <c r="BJ21945" s="201"/>
    </row>
    <row r="21946" spans="62:62" x14ac:dyDescent="0.2">
      <c r="BJ21946" s="201"/>
    </row>
    <row r="21947" spans="62:62" x14ac:dyDescent="0.2">
      <c r="BJ21947" s="201"/>
    </row>
    <row r="21948" spans="62:62" x14ac:dyDescent="0.2">
      <c r="BJ21948" s="201"/>
    </row>
    <row r="21949" spans="62:62" x14ac:dyDescent="0.2">
      <c r="BJ21949" s="201"/>
    </row>
    <row r="21950" spans="62:62" x14ac:dyDescent="0.2">
      <c r="BJ21950" s="201"/>
    </row>
    <row r="21951" spans="62:62" x14ac:dyDescent="0.2">
      <c r="BJ21951" s="201"/>
    </row>
    <row r="21952" spans="62:62" x14ac:dyDescent="0.2">
      <c r="BJ21952" s="201"/>
    </row>
    <row r="21953" spans="62:62" x14ac:dyDescent="0.2">
      <c r="BJ21953" s="201"/>
    </row>
    <row r="21954" spans="62:62" x14ac:dyDescent="0.2">
      <c r="BJ21954" s="201"/>
    </row>
    <row r="21955" spans="62:62" x14ac:dyDescent="0.2">
      <c r="BJ21955" s="201"/>
    </row>
    <row r="21956" spans="62:62" x14ac:dyDescent="0.2">
      <c r="BJ21956" s="201"/>
    </row>
    <row r="21957" spans="62:62" x14ac:dyDescent="0.2">
      <c r="BJ21957" s="201"/>
    </row>
    <row r="21958" spans="62:62" x14ac:dyDescent="0.2">
      <c r="BJ21958" s="201"/>
    </row>
    <row r="21959" spans="62:62" x14ac:dyDescent="0.2">
      <c r="BJ21959" s="201"/>
    </row>
    <row r="21960" spans="62:62" x14ac:dyDescent="0.2">
      <c r="BJ21960" s="201"/>
    </row>
    <row r="21961" spans="62:62" x14ac:dyDescent="0.2">
      <c r="BJ21961" s="201"/>
    </row>
    <row r="21962" spans="62:62" x14ac:dyDescent="0.2">
      <c r="BJ21962" s="201"/>
    </row>
    <row r="21963" spans="62:62" x14ac:dyDescent="0.2">
      <c r="BJ21963" s="201"/>
    </row>
    <row r="21964" spans="62:62" x14ac:dyDescent="0.2">
      <c r="BJ21964" s="201"/>
    </row>
    <row r="21965" spans="62:62" x14ac:dyDescent="0.2">
      <c r="BJ21965" s="201"/>
    </row>
    <row r="21966" spans="62:62" x14ac:dyDescent="0.2">
      <c r="BJ21966" s="201"/>
    </row>
    <row r="21967" spans="62:62" x14ac:dyDescent="0.2">
      <c r="BJ21967" s="201"/>
    </row>
    <row r="21968" spans="62:62" x14ac:dyDescent="0.2">
      <c r="BJ21968" s="201"/>
    </row>
    <row r="21969" spans="62:62" x14ac:dyDescent="0.2">
      <c r="BJ21969" s="201"/>
    </row>
    <row r="21970" spans="62:62" x14ac:dyDescent="0.2">
      <c r="BJ21970" s="201"/>
    </row>
    <row r="21971" spans="62:62" x14ac:dyDescent="0.2">
      <c r="BJ21971" s="201"/>
    </row>
    <row r="21972" spans="62:62" x14ac:dyDescent="0.2">
      <c r="BJ21972" s="201"/>
    </row>
    <row r="21973" spans="62:62" x14ac:dyDescent="0.2">
      <c r="BJ21973" s="201"/>
    </row>
    <row r="21974" spans="62:62" x14ac:dyDescent="0.2">
      <c r="BJ21974" s="201"/>
    </row>
    <row r="21975" spans="62:62" x14ac:dyDescent="0.2">
      <c r="BJ21975" s="201"/>
    </row>
    <row r="21976" spans="62:62" x14ac:dyDescent="0.2">
      <c r="BJ21976" s="201"/>
    </row>
    <row r="21977" spans="62:62" x14ac:dyDescent="0.2">
      <c r="BJ21977" s="201"/>
    </row>
    <row r="21978" spans="62:62" x14ac:dyDescent="0.2">
      <c r="BJ21978" s="201"/>
    </row>
    <row r="21979" spans="62:62" x14ac:dyDescent="0.2">
      <c r="BJ21979" s="201"/>
    </row>
    <row r="21980" spans="62:62" x14ac:dyDescent="0.2">
      <c r="BJ21980" s="201"/>
    </row>
    <row r="21981" spans="62:62" x14ac:dyDescent="0.2">
      <c r="BJ21981" s="201"/>
    </row>
    <row r="21982" spans="62:62" x14ac:dyDescent="0.2">
      <c r="BJ21982" s="201"/>
    </row>
    <row r="21983" spans="62:62" x14ac:dyDescent="0.2">
      <c r="BJ21983" s="201"/>
    </row>
    <row r="21984" spans="62:62" x14ac:dyDescent="0.2">
      <c r="BJ21984" s="201"/>
    </row>
    <row r="21985" spans="62:62" x14ac:dyDescent="0.2">
      <c r="BJ21985" s="201"/>
    </row>
    <row r="21986" spans="62:62" x14ac:dyDescent="0.2">
      <c r="BJ21986" s="201"/>
    </row>
    <row r="21987" spans="62:62" x14ac:dyDescent="0.2">
      <c r="BJ21987" s="201"/>
    </row>
    <row r="21988" spans="62:62" x14ac:dyDescent="0.2">
      <c r="BJ21988" s="201"/>
    </row>
    <row r="21989" spans="62:62" x14ac:dyDescent="0.2">
      <c r="BJ21989" s="201"/>
    </row>
    <row r="21990" spans="62:62" x14ac:dyDescent="0.2">
      <c r="BJ21990" s="201"/>
    </row>
    <row r="21991" spans="62:62" x14ac:dyDescent="0.2">
      <c r="BJ21991" s="201"/>
    </row>
    <row r="21992" spans="62:62" x14ac:dyDescent="0.2">
      <c r="BJ21992" s="201"/>
    </row>
    <row r="21993" spans="62:62" x14ac:dyDescent="0.2">
      <c r="BJ21993" s="201"/>
    </row>
    <row r="21994" spans="62:62" x14ac:dyDescent="0.2">
      <c r="BJ21994" s="201"/>
    </row>
    <row r="21995" spans="62:62" x14ac:dyDescent="0.2">
      <c r="BJ21995" s="201"/>
    </row>
    <row r="21996" spans="62:62" x14ac:dyDescent="0.2">
      <c r="BJ21996" s="201"/>
    </row>
    <row r="21997" spans="62:62" x14ac:dyDescent="0.2">
      <c r="BJ21997" s="201"/>
    </row>
    <row r="21998" spans="62:62" x14ac:dyDescent="0.2">
      <c r="BJ21998" s="201"/>
    </row>
    <row r="21999" spans="62:62" x14ac:dyDescent="0.2">
      <c r="BJ21999" s="201"/>
    </row>
    <row r="22000" spans="62:62" x14ac:dyDescent="0.2">
      <c r="BJ22000" s="201"/>
    </row>
    <row r="22001" spans="62:62" x14ac:dyDescent="0.2">
      <c r="BJ22001" s="201"/>
    </row>
    <row r="22002" spans="62:62" x14ac:dyDescent="0.2">
      <c r="BJ22002" s="201"/>
    </row>
    <row r="22003" spans="62:62" x14ac:dyDescent="0.2">
      <c r="BJ22003" s="201"/>
    </row>
    <row r="22004" spans="62:62" x14ac:dyDescent="0.2">
      <c r="BJ22004" s="201"/>
    </row>
    <row r="22005" spans="62:62" x14ac:dyDescent="0.2">
      <c r="BJ22005" s="201"/>
    </row>
    <row r="22006" spans="62:62" x14ac:dyDescent="0.2">
      <c r="BJ22006" s="201"/>
    </row>
    <row r="22007" spans="62:62" x14ac:dyDescent="0.2">
      <c r="BJ22007" s="201"/>
    </row>
    <row r="22008" spans="62:62" x14ac:dyDescent="0.2">
      <c r="BJ22008" s="201"/>
    </row>
    <row r="22009" spans="62:62" x14ac:dyDescent="0.2">
      <c r="BJ22009" s="201"/>
    </row>
    <row r="22010" spans="62:62" x14ac:dyDescent="0.2">
      <c r="BJ22010" s="201"/>
    </row>
    <row r="22011" spans="62:62" x14ac:dyDescent="0.2">
      <c r="BJ22011" s="201"/>
    </row>
    <row r="22012" spans="62:62" x14ac:dyDescent="0.2">
      <c r="BJ22012" s="201"/>
    </row>
    <row r="22013" spans="62:62" x14ac:dyDescent="0.2">
      <c r="BJ22013" s="201"/>
    </row>
    <row r="22014" spans="62:62" x14ac:dyDescent="0.2">
      <c r="BJ22014" s="201"/>
    </row>
    <row r="22015" spans="62:62" x14ac:dyDescent="0.2">
      <c r="BJ22015" s="201"/>
    </row>
    <row r="22016" spans="62:62" x14ac:dyDescent="0.2">
      <c r="BJ22016" s="201"/>
    </row>
    <row r="22017" spans="62:62" x14ac:dyDescent="0.2">
      <c r="BJ22017" s="201"/>
    </row>
    <row r="22018" spans="62:62" x14ac:dyDescent="0.2">
      <c r="BJ22018" s="201"/>
    </row>
    <row r="22019" spans="62:62" x14ac:dyDescent="0.2">
      <c r="BJ22019" s="201"/>
    </row>
    <row r="22020" spans="62:62" x14ac:dyDescent="0.2">
      <c r="BJ22020" s="201"/>
    </row>
    <row r="22021" spans="62:62" x14ac:dyDescent="0.2">
      <c r="BJ22021" s="201"/>
    </row>
    <row r="22022" spans="62:62" x14ac:dyDescent="0.2">
      <c r="BJ22022" s="201"/>
    </row>
    <row r="22023" spans="62:62" x14ac:dyDescent="0.2">
      <c r="BJ22023" s="201"/>
    </row>
    <row r="22024" spans="62:62" x14ac:dyDescent="0.2">
      <c r="BJ22024" s="201"/>
    </row>
    <row r="22025" spans="62:62" x14ac:dyDescent="0.2">
      <c r="BJ22025" s="201"/>
    </row>
    <row r="22026" spans="62:62" x14ac:dyDescent="0.2">
      <c r="BJ22026" s="201"/>
    </row>
    <row r="22027" spans="62:62" x14ac:dyDescent="0.2">
      <c r="BJ22027" s="201"/>
    </row>
    <row r="22028" spans="62:62" x14ac:dyDescent="0.2">
      <c r="BJ22028" s="201"/>
    </row>
    <row r="22029" spans="62:62" x14ac:dyDescent="0.2">
      <c r="BJ22029" s="201"/>
    </row>
    <row r="22030" spans="62:62" x14ac:dyDescent="0.2">
      <c r="BJ22030" s="201"/>
    </row>
    <row r="22031" spans="62:62" x14ac:dyDescent="0.2">
      <c r="BJ22031" s="201"/>
    </row>
    <row r="22032" spans="62:62" x14ac:dyDescent="0.2">
      <c r="BJ22032" s="201"/>
    </row>
    <row r="22033" spans="62:62" x14ac:dyDescent="0.2">
      <c r="BJ22033" s="201"/>
    </row>
    <row r="22034" spans="62:62" x14ac:dyDescent="0.2">
      <c r="BJ22034" s="201"/>
    </row>
    <row r="22035" spans="62:62" x14ac:dyDescent="0.2">
      <c r="BJ22035" s="201"/>
    </row>
    <row r="22036" spans="62:62" x14ac:dyDescent="0.2">
      <c r="BJ22036" s="201"/>
    </row>
    <row r="22037" spans="62:62" x14ac:dyDescent="0.2">
      <c r="BJ22037" s="201"/>
    </row>
    <row r="22038" spans="62:62" x14ac:dyDescent="0.2">
      <c r="BJ22038" s="201"/>
    </row>
    <row r="22039" spans="62:62" x14ac:dyDescent="0.2">
      <c r="BJ22039" s="201"/>
    </row>
    <row r="22040" spans="62:62" x14ac:dyDescent="0.2">
      <c r="BJ22040" s="201"/>
    </row>
    <row r="22041" spans="62:62" x14ac:dyDescent="0.2">
      <c r="BJ22041" s="201"/>
    </row>
    <row r="22042" spans="62:62" x14ac:dyDescent="0.2">
      <c r="BJ22042" s="201"/>
    </row>
    <row r="22043" spans="62:62" x14ac:dyDescent="0.2">
      <c r="BJ22043" s="201"/>
    </row>
    <row r="22044" spans="62:62" x14ac:dyDescent="0.2">
      <c r="BJ22044" s="201"/>
    </row>
    <row r="22045" spans="62:62" x14ac:dyDescent="0.2">
      <c r="BJ22045" s="201"/>
    </row>
    <row r="22046" spans="62:62" x14ac:dyDescent="0.2">
      <c r="BJ22046" s="201"/>
    </row>
    <row r="22047" spans="62:62" x14ac:dyDescent="0.2">
      <c r="BJ22047" s="201"/>
    </row>
    <row r="22048" spans="62:62" x14ac:dyDescent="0.2">
      <c r="BJ22048" s="201"/>
    </row>
    <row r="22049" spans="62:62" x14ac:dyDescent="0.2">
      <c r="BJ22049" s="201"/>
    </row>
    <row r="22050" spans="62:62" x14ac:dyDescent="0.2">
      <c r="BJ22050" s="201"/>
    </row>
    <row r="22051" spans="62:62" x14ac:dyDescent="0.2">
      <c r="BJ22051" s="201"/>
    </row>
    <row r="22052" spans="62:62" x14ac:dyDescent="0.2">
      <c r="BJ22052" s="201"/>
    </row>
    <row r="22053" spans="62:62" x14ac:dyDescent="0.2">
      <c r="BJ22053" s="201"/>
    </row>
    <row r="22054" spans="62:62" x14ac:dyDescent="0.2">
      <c r="BJ22054" s="201"/>
    </row>
    <row r="22055" spans="62:62" x14ac:dyDescent="0.2">
      <c r="BJ22055" s="201"/>
    </row>
    <row r="22056" spans="62:62" x14ac:dyDescent="0.2">
      <c r="BJ22056" s="201"/>
    </row>
    <row r="22057" spans="62:62" x14ac:dyDescent="0.2">
      <c r="BJ22057" s="201"/>
    </row>
    <row r="22058" spans="62:62" x14ac:dyDescent="0.2">
      <c r="BJ22058" s="201"/>
    </row>
    <row r="22059" spans="62:62" x14ac:dyDescent="0.2">
      <c r="BJ22059" s="201"/>
    </row>
    <row r="22060" spans="62:62" x14ac:dyDescent="0.2">
      <c r="BJ22060" s="201"/>
    </row>
    <row r="22061" spans="62:62" x14ac:dyDescent="0.2">
      <c r="BJ22061" s="201"/>
    </row>
    <row r="22062" spans="62:62" x14ac:dyDescent="0.2">
      <c r="BJ22062" s="201"/>
    </row>
    <row r="22063" spans="62:62" x14ac:dyDescent="0.2">
      <c r="BJ22063" s="201"/>
    </row>
    <row r="22064" spans="62:62" x14ac:dyDescent="0.2">
      <c r="BJ22064" s="201"/>
    </row>
    <row r="22065" spans="62:62" x14ac:dyDescent="0.2">
      <c r="BJ22065" s="201"/>
    </row>
    <row r="22066" spans="62:62" x14ac:dyDescent="0.2">
      <c r="BJ22066" s="201"/>
    </row>
    <row r="22067" spans="62:62" x14ac:dyDescent="0.2">
      <c r="BJ22067" s="201"/>
    </row>
    <row r="22068" spans="62:62" x14ac:dyDescent="0.2">
      <c r="BJ22068" s="201"/>
    </row>
    <row r="22069" spans="62:62" x14ac:dyDescent="0.2">
      <c r="BJ22069" s="201"/>
    </row>
    <row r="22070" spans="62:62" x14ac:dyDescent="0.2">
      <c r="BJ22070" s="201"/>
    </row>
    <row r="22071" spans="62:62" x14ac:dyDescent="0.2">
      <c r="BJ22071" s="201"/>
    </row>
    <row r="22072" spans="62:62" x14ac:dyDescent="0.2">
      <c r="BJ22072" s="201"/>
    </row>
    <row r="22073" spans="62:62" x14ac:dyDescent="0.2">
      <c r="BJ22073" s="201"/>
    </row>
    <row r="22074" spans="62:62" x14ac:dyDescent="0.2">
      <c r="BJ22074" s="201"/>
    </row>
    <row r="22075" spans="62:62" x14ac:dyDescent="0.2">
      <c r="BJ22075" s="201"/>
    </row>
    <row r="22076" spans="62:62" x14ac:dyDescent="0.2">
      <c r="BJ22076" s="201"/>
    </row>
    <row r="22077" spans="62:62" x14ac:dyDescent="0.2">
      <c r="BJ22077" s="201"/>
    </row>
    <row r="22078" spans="62:62" x14ac:dyDescent="0.2">
      <c r="BJ22078" s="201"/>
    </row>
    <row r="22079" spans="62:62" x14ac:dyDescent="0.2">
      <c r="BJ22079" s="201"/>
    </row>
    <row r="22080" spans="62:62" x14ac:dyDescent="0.2">
      <c r="BJ22080" s="201"/>
    </row>
    <row r="22081" spans="62:62" x14ac:dyDescent="0.2">
      <c r="BJ22081" s="201"/>
    </row>
    <row r="22082" spans="62:62" x14ac:dyDescent="0.2">
      <c r="BJ22082" s="201"/>
    </row>
    <row r="22083" spans="62:62" x14ac:dyDescent="0.2">
      <c r="BJ22083" s="201"/>
    </row>
    <row r="22084" spans="62:62" x14ac:dyDescent="0.2">
      <c r="BJ22084" s="201"/>
    </row>
    <row r="22085" spans="62:62" x14ac:dyDescent="0.2">
      <c r="BJ22085" s="201"/>
    </row>
    <row r="22086" spans="62:62" x14ac:dyDescent="0.2">
      <c r="BJ22086" s="201"/>
    </row>
    <row r="22087" spans="62:62" x14ac:dyDescent="0.2">
      <c r="BJ22087" s="201"/>
    </row>
    <row r="22088" spans="62:62" x14ac:dyDescent="0.2">
      <c r="BJ22088" s="201"/>
    </row>
    <row r="22089" spans="62:62" x14ac:dyDescent="0.2">
      <c r="BJ22089" s="201"/>
    </row>
    <row r="22090" spans="62:62" x14ac:dyDescent="0.2">
      <c r="BJ22090" s="201"/>
    </row>
    <row r="22091" spans="62:62" x14ac:dyDescent="0.2">
      <c r="BJ22091" s="201"/>
    </row>
    <row r="22092" spans="62:62" x14ac:dyDescent="0.2">
      <c r="BJ22092" s="201"/>
    </row>
    <row r="22093" spans="62:62" x14ac:dyDescent="0.2">
      <c r="BJ22093" s="201"/>
    </row>
    <row r="22094" spans="62:62" x14ac:dyDescent="0.2">
      <c r="BJ22094" s="201"/>
    </row>
    <row r="22095" spans="62:62" x14ac:dyDescent="0.2">
      <c r="BJ22095" s="201"/>
    </row>
    <row r="22096" spans="62:62" x14ac:dyDescent="0.2">
      <c r="BJ22096" s="201"/>
    </row>
    <row r="22097" spans="62:62" x14ac:dyDescent="0.2">
      <c r="BJ22097" s="201"/>
    </row>
    <row r="22098" spans="62:62" x14ac:dyDescent="0.2">
      <c r="BJ22098" s="201"/>
    </row>
    <row r="22099" spans="62:62" x14ac:dyDescent="0.2">
      <c r="BJ22099" s="201"/>
    </row>
    <row r="22100" spans="62:62" x14ac:dyDescent="0.2">
      <c r="BJ22100" s="201"/>
    </row>
    <row r="22101" spans="62:62" x14ac:dyDescent="0.2">
      <c r="BJ22101" s="201"/>
    </row>
    <row r="22102" spans="62:62" x14ac:dyDescent="0.2">
      <c r="BJ22102" s="201"/>
    </row>
    <row r="22103" spans="62:62" x14ac:dyDescent="0.2">
      <c r="BJ22103" s="201"/>
    </row>
    <row r="22104" spans="62:62" x14ac:dyDescent="0.2">
      <c r="BJ22104" s="201"/>
    </row>
    <row r="22105" spans="62:62" x14ac:dyDescent="0.2">
      <c r="BJ22105" s="201"/>
    </row>
    <row r="22106" spans="62:62" x14ac:dyDescent="0.2">
      <c r="BJ22106" s="201"/>
    </row>
    <row r="22107" spans="62:62" x14ac:dyDescent="0.2">
      <c r="BJ22107" s="201"/>
    </row>
    <row r="22108" spans="62:62" x14ac:dyDescent="0.2">
      <c r="BJ22108" s="201"/>
    </row>
    <row r="22109" spans="62:62" x14ac:dyDescent="0.2">
      <c r="BJ22109" s="201"/>
    </row>
    <row r="22110" spans="62:62" x14ac:dyDescent="0.2">
      <c r="BJ22110" s="201"/>
    </row>
    <row r="22111" spans="62:62" x14ac:dyDescent="0.2">
      <c r="BJ22111" s="201"/>
    </row>
    <row r="22112" spans="62:62" x14ac:dyDescent="0.2">
      <c r="BJ22112" s="201"/>
    </row>
    <row r="22113" spans="62:62" x14ac:dyDescent="0.2">
      <c r="BJ22113" s="201"/>
    </row>
    <row r="22114" spans="62:62" x14ac:dyDescent="0.2">
      <c r="BJ22114" s="201"/>
    </row>
    <row r="22115" spans="62:62" x14ac:dyDescent="0.2">
      <c r="BJ22115" s="201"/>
    </row>
    <row r="22116" spans="62:62" x14ac:dyDescent="0.2">
      <c r="BJ22116" s="201"/>
    </row>
    <row r="22117" spans="62:62" x14ac:dyDescent="0.2">
      <c r="BJ22117" s="201"/>
    </row>
    <row r="22118" spans="62:62" x14ac:dyDescent="0.2">
      <c r="BJ22118" s="201"/>
    </row>
    <row r="22119" spans="62:62" x14ac:dyDescent="0.2">
      <c r="BJ22119" s="201"/>
    </row>
    <row r="22120" spans="62:62" x14ac:dyDescent="0.2">
      <c r="BJ22120" s="201"/>
    </row>
    <row r="22121" spans="62:62" x14ac:dyDescent="0.2">
      <c r="BJ22121" s="201"/>
    </row>
    <row r="22122" spans="62:62" x14ac:dyDescent="0.2">
      <c r="BJ22122" s="201"/>
    </row>
    <row r="22123" spans="62:62" x14ac:dyDescent="0.2">
      <c r="BJ22123" s="201"/>
    </row>
    <row r="22124" spans="62:62" x14ac:dyDescent="0.2">
      <c r="BJ22124" s="201"/>
    </row>
    <row r="22125" spans="62:62" x14ac:dyDescent="0.2">
      <c r="BJ22125" s="201"/>
    </row>
    <row r="22126" spans="62:62" x14ac:dyDescent="0.2">
      <c r="BJ22126" s="201"/>
    </row>
    <row r="22127" spans="62:62" x14ac:dyDescent="0.2">
      <c r="BJ22127" s="201"/>
    </row>
    <row r="22128" spans="62:62" x14ac:dyDescent="0.2">
      <c r="BJ22128" s="201"/>
    </row>
    <row r="22129" spans="62:62" x14ac:dyDescent="0.2">
      <c r="BJ22129" s="201"/>
    </row>
    <row r="22130" spans="62:62" x14ac:dyDescent="0.2">
      <c r="BJ22130" s="201"/>
    </row>
    <row r="22131" spans="62:62" x14ac:dyDescent="0.2">
      <c r="BJ22131" s="201"/>
    </row>
    <row r="22132" spans="62:62" x14ac:dyDescent="0.2">
      <c r="BJ22132" s="201"/>
    </row>
    <row r="22133" spans="62:62" x14ac:dyDescent="0.2">
      <c r="BJ22133" s="201"/>
    </row>
    <row r="22134" spans="62:62" x14ac:dyDescent="0.2">
      <c r="BJ22134" s="201"/>
    </row>
    <row r="22135" spans="62:62" x14ac:dyDescent="0.2">
      <c r="BJ22135" s="201"/>
    </row>
    <row r="22136" spans="62:62" x14ac:dyDescent="0.2">
      <c r="BJ22136" s="201"/>
    </row>
    <row r="22137" spans="62:62" x14ac:dyDescent="0.2">
      <c r="BJ22137" s="201"/>
    </row>
    <row r="22138" spans="62:62" x14ac:dyDescent="0.2">
      <c r="BJ22138" s="201"/>
    </row>
    <row r="22139" spans="62:62" x14ac:dyDescent="0.2">
      <c r="BJ22139" s="201"/>
    </row>
    <row r="22140" spans="62:62" x14ac:dyDescent="0.2">
      <c r="BJ22140" s="201"/>
    </row>
    <row r="22141" spans="62:62" x14ac:dyDescent="0.2">
      <c r="BJ22141" s="201"/>
    </row>
    <row r="22142" spans="62:62" x14ac:dyDescent="0.2">
      <c r="BJ22142" s="201"/>
    </row>
    <row r="22143" spans="62:62" x14ac:dyDescent="0.2">
      <c r="BJ22143" s="201"/>
    </row>
    <row r="22144" spans="62:62" x14ac:dyDescent="0.2">
      <c r="BJ22144" s="201"/>
    </row>
    <row r="22145" spans="62:62" x14ac:dyDescent="0.2">
      <c r="BJ22145" s="201"/>
    </row>
    <row r="22146" spans="62:62" x14ac:dyDescent="0.2">
      <c r="BJ22146" s="201"/>
    </row>
    <row r="22147" spans="62:62" x14ac:dyDescent="0.2">
      <c r="BJ22147" s="201"/>
    </row>
    <row r="22148" spans="62:62" x14ac:dyDescent="0.2">
      <c r="BJ22148" s="201"/>
    </row>
    <row r="22149" spans="62:62" x14ac:dyDescent="0.2">
      <c r="BJ22149" s="201"/>
    </row>
    <row r="22150" spans="62:62" x14ac:dyDescent="0.2">
      <c r="BJ22150" s="201"/>
    </row>
    <row r="22151" spans="62:62" x14ac:dyDescent="0.2">
      <c r="BJ22151" s="201"/>
    </row>
    <row r="22152" spans="62:62" x14ac:dyDescent="0.2">
      <c r="BJ22152" s="201"/>
    </row>
    <row r="22153" spans="62:62" x14ac:dyDescent="0.2">
      <c r="BJ22153" s="201"/>
    </row>
    <row r="22154" spans="62:62" x14ac:dyDescent="0.2">
      <c r="BJ22154" s="201"/>
    </row>
    <row r="22155" spans="62:62" x14ac:dyDescent="0.2">
      <c r="BJ22155" s="201"/>
    </row>
    <row r="22156" spans="62:62" x14ac:dyDescent="0.2">
      <c r="BJ22156" s="201"/>
    </row>
    <row r="22157" spans="62:62" x14ac:dyDescent="0.2">
      <c r="BJ22157" s="201"/>
    </row>
    <row r="22158" spans="62:62" x14ac:dyDescent="0.2">
      <c r="BJ22158" s="201"/>
    </row>
    <row r="22159" spans="62:62" x14ac:dyDescent="0.2">
      <c r="BJ22159" s="201"/>
    </row>
    <row r="22160" spans="62:62" x14ac:dyDescent="0.2">
      <c r="BJ22160" s="201"/>
    </row>
    <row r="22161" spans="62:62" x14ac:dyDescent="0.2">
      <c r="BJ22161" s="201"/>
    </row>
    <row r="22162" spans="62:62" x14ac:dyDescent="0.2">
      <c r="BJ22162" s="201"/>
    </row>
    <row r="22163" spans="62:62" x14ac:dyDescent="0.2">
      <c r="BJ22163" s="201"/>
    </row>
    <row r="22164" spans="62:62" x14ac:dyDescent="0.2">
      <c r="BJ22164" s="201"/>
    </row>
    <row r="22165" spans="62:62" x14ac:dyDescent="0.2">
      <c r="BJ22165" s="201"/>
    </row>
    <row r="22166" spans="62:62" x14ac:dyDescent="0.2">
      <c r="BJ22166" s="201"/>
    </row>
    <row r="22167" spans="62:62" x14ac:dyDescent="0.2">
      <c r="BJ22167" s="201"/>
    </row>
    <row r="22168" spans="62:62" x14ac:dyDescent="0.2">
      <c r="BJ22168" s="201"/>
    </row>
    <row r="22169" spans="62:62" x14ac:dyDescent="0.2">
      <c r="BJ22169" s="201"/>
    </row>
    <row r="22170" spans="62:62" x14ac:dyDescent="0.2">
      <c r="BJ22170" s="201"/>
    </row>
    <row r="22171" spans="62:62" x14ac:dyDescent="0.2">
      <c r="BJ22171" s="201"/>
    </row>
    <row r="22172" spans="62:62" x14ac:dyDescent="0.2">
      <c r="BJ22172" s="201"/>
    </row>
    <row r="22173" spans="62:62" x14ac:dyDescent="0.2">
      <c r="BJ22173" s="201"/>
    </row>
    <row r="22174" spans="62:62" x14ac:dyDescent="0.2">
      <c r="BJ22174" s="201"/>
    </row>
    <row r="22175" spans="62:62" x14ac:dyDescent="0.2">
      <c r="BJ22175" s="201"/>
    </row>
    <row r="22176" spans="62:62" x14ac:dyDescent="0.2">
      <c r="BJ22176" s="201"/>
    </row>
    <row r="22177" spans="62:62" x14ac:dyDescent="0.2">
      <c r="BJ22177" s="201"/>
    </row>
    <row r="22178" spans="62:62" x14ac:dyDescent="0.2">
      <c r="BJ22178" s="201"/>
    </row>
    <row r="22179" spans="62:62" x14ac:dyDescent="0.2">
      <c r="BJ22179" s="201"/>
    </row>
    <row r="22180" spans="62:62" x14ac:dyDescent="0.2">
      <c r="BJ22180" s="201"/>
    </row>
    <row r="22181" spans="62:62" x14ac:dyDescent="0.2">
      <c r="BJ22181" s="201"/>
    </row>
    <row r="22182" spans="62:62" x14ac:dyDescent="0.2">
      <c r="BJ22182" s="201"/>
    </row>
    <row r="22183" spans="62:62" x14ac:dyDescent="0.2">
      <c r="BJ22183" s="201"/>
    </row>
    <row r="22184" spans="62:62" x14ac:dyDescent="0.2">
      <c r="BJ22184" s="201"/>
    </row>
    <row r="22185" spans="62:62" x14ac:dyDescent="0.2">
      <c r="BJ22185" s="201"/>
    </row>
    <row r="22186" spans="62:62" x14ac:dyDescent="0.2">
      <c r="BJ22186" s="201"/>
    </row>
    <row r="22187" spans="62:62" x14ac:dyDescent="0.2">
      <c r="BJ22187" s="201"/>
    </row>
    <row r="22188" spans="62:62" x14ac:dyDescent="0.2">
      <c r="BJ22188" s="201"/>
    </row>
    <row r="22189" spans="62:62" x14ac:dyDescent="0.2">
      <c r="BJ22189" s="201"/>
    </row>
    <row r="22190" spans="62:62" x14ac:dyDescent="0.2">
      <c r="BJ22190" s="201"/>
    </row>
    <row r="22191" spans="62:62" x14ac:dyDescent="0.2">
      <c r="BJ22191" s="201"/>
    </row>
    <row r="22192" spans="62:62" x14ac:dyDescent="0.2">
      <c r="BJ22192" s="201"/>
    </row>
    <row r="22193" spans="62:62" x14ac:dyDescent="0.2">
      <c r="BJ22193" s="201"/>
    </row>
    <row r="22194" spans="62:62" x14ac:dyDescent="0.2">
      <c r="BJ22194" s="201"/>
    </row>
    <row r="22195" spans="62:62" x14ac:dyDescent="0.2">
      <c r="BJ22195" s="201"/>
    </row>
    <row r="22196" spans="62:62" x14ac:dyDescent="0.2">
      <c r="BJ22196" s="201"/>
    </row>
    <row r="22197" spans="62:62" x14ac:dyDescent="0.2">
      <c r="BJ22197" s="201"/>
    </row>
    <row r="22198" spans="62:62" x14ac:dyDescent="0.2">
      <c r="BJ22198" s="201"/>
    </row>
    <row r="22199" spans="62:62" x14ac:dyDescent="0.2">
      <c r="BJ22199" s="201"/>
    </row>
    <row r="22200" spans="62:62" x14ac:dyDescent="0.2">
      <c r="BJ22200" s="201"/>
    </row>
    <row r="22201" spans="62:62" x14ac:dyDescent="0.2">
      <c r="BJ22201" s="201"/>
    </row>
    <row r="22202" spans="62:62" x14ac:dyDescent="0.2">
      <c r="BJ22202" s="201"/>
    </row>
    <row r="22203" spans="62:62" x14ac:dyDescent="0.2">
      <c r="BJ22203" s="201"/>
    </row>
    <row r="22204" spans="62:62" x14ac:dyDescent="0.2">
      <c r="BJ22204" s="201"/>
    </row>
    <row r="22205" spans="62:62" x14ac:dyDescent="0.2">
      <c r="BJ22205" s="201"/>
    </row>
    <row r="22206" spans="62:62" x14ac:dyDescent="0.2">
      <c r="BJ22206" s="201"/>
    </row>
    <row r="22207" spans="62:62" x14ac:dyDescent="0.2">
      <c r="BJ22207" s="201"/>
    </row>
    <row r="22208" spans="62:62" x14ac:dyDescent="0.2">
      <c r="BJ22208" s="201"/>
    </row>
    <row r="22209" spans="62:62" x14ac:dyDescent="0.2">
      <c r="BJ22209" s="201"/>
    </row>
    <row r="22210" spans="62:62" x14ac:dyDescent="0.2">
      <c r="BJ22210" s="201"/>
    </row>
    <row r="22211" spans="62:62" x14ac:dyDescent="0.2">
      <c r="BJ22211" s="201"/>
    </row>
    <row r="22212" spans="62:62" x14ac:dyDescent="0.2">
      <c r="BJ22212" s="201"/>
    </row>
    <row r="22213" spans="62:62" x14ac:dyDescent="0.2">
      <c r="BJ22213" s="201"/>
    </row>
    <row r="22214" spans="62:62" x14ac:dyDescent="0.2">
      <c r="BJ22214" s="201"/>
    </row>
    <row r="22215" spans="62:62" x14ac:dyDescent="0.2">
      <c r="BJ22215" s="201"/>
    </row>
    <row r="22216" spans="62:62" x14ac:dyDescent="0.2">
      <c r="BJ22216" s="201"/>
    </row>
    <row r="22217" spans="62:62" x14ac:dyDescent="0.2">
      <c r="BJ22217" s="201"/>
    </row>
    <row r="22218" spans="62:62" x14ac:dyDescent="0.2">
      <c r="BJ22218" s="201"/>
    </row>
    <row r="22219" spans="62:62" x14ac:dyDescent="0.2">
      <c r="BJ22219" s="201"/>
    </row>
    <row r="22220" spans="62:62" x14ac:dyDescent="0.2">
      <c r="BJ22220" s="201"/>
    </row>
    <row r="22221" spans="62:62" x14ac:dyDescent="0.2">
      <c r="BJ22221" s="201"/>
    </row>
    <row r="22222" spans="62:62" x14ac:dyDescent="0.2">
      <c r="BJ22222" s="201"/>
    </row>
    <row r="22223" spans="62:62" x14ac:dyDescent="0.2">
      <c r="BJ22223" s="201"/>
    </row>
    <row r="22224" spans="62:62" x14ac:dyDescent="0.2">
      <c r="BJ22224" s="201"/>
    </row>
    <row r="22225" spans="62:62" x14ac:dyDescent="0.2">
      <c r="BJ22225" s="201"/>
    </row>
    <row r="22226" spans="62:62" x14ac:dyDescent="0.2">
      <c r="BJ22226" s="201"/>
    </row>
    <row r="22227" spans="62:62" x14ac:dyDescent="0.2">
      <c r="BJ22227" s="201"/>
    </row>
    <row r="22228" spans="62:62" x14ac:dyDescent="0.2">
      <c r="BJ22228" s="201"/>
    </row>
    <row r="22229" spans="62:62" x14ac:dyDescent="0.2">
      <c r="BJ22229" s="201"/>
    </row>
    <row r="22230" spans="62:62" x14ac:dyDescent="0.2">
      <c r="BJ22230" s="201"/>
    </row>
    <row r="22231" spans="62:62" x14ac:dyDescent="0.2">
      <c r="BJ22231" s="201"/>
    </row>
    <row r="22232" spans="62:62" x14ac:dyDescent="0.2">
      <c r="BJ22232" s="201"/>
    </row>
    <row r="22233" spans="62:62" x14ac:dyDescent="0.2">
      <c r="BJ22233" s="201"/>
    </row>
    <row r="22234" spans="62:62" x14ac:dyDescent="0.2">
      <c r="BJ22234" s="201"/>
    </row>
    <row r="22235" spans="62:62" x14ac:dyDescent="0.2">
      <c r="BJ22235" s="201"/>
    </row>
    <row r="22236" spans="62:62" x14ac:dyDescent="0.2">
      <c r="BJ22236" s="201"/>
    </row>
    <row r="22237" spans="62:62" x14ac:dyDescent="0.2">
      <c r="BJ22237" s="201"/>
    </row>
    <row r="22238" spans="62:62" x14ac:dyDescent="0.2">
      <c r="BJ22238" s="201"/>
    </row>
    <row r="22239" spans="62:62" x14ac:dyDescent="0.2">
      <c r="BJ22239" s="201"/>
    </row>
    <row r="22240" spans="62:62" x14ac:dyDescent="0.2">
      <c r="BJ22240" s="201"/>
    </row>
    <row r="22241" spans="62:62" x14ac:dyDescent="0.2">
      <c r="BJ22241" s="201"/>
    </row>
    <row r="22242" spans="62:62" x14ac:dyDescent="0.2">
      <c r="BJ22242" s="201"/>
    </row>
    <row r="22243" spans="62:62" x14ac:dyDescent="0.2">
      <c r="BJ22243" s="201"/>
    </row>
    <row r="22244" spans="62:62" x14ac:dyDescent="0.2">
      <c r="BJ22244" s="201"/>
    </row>
    <row r="22245" spans="62:62" x14ac:dyDescent="0.2">
      <c r="BJ22245" s="201"/>
    </row>
    <row r="22246" spans="62:62" x14ac:dyDescent="0.2">
      <c r="BJ22246" s="201"/>
    </row>
    <row r="22247" spans="62:62" x14ac:dyDescent="0.2">
      <c r="BJ22247" s="201"/>
    </row>
    <row r="22248" spans="62:62" x14ac:dyDescent="0.2">
      <c r="BJ22248" s="201"/>
    </row>
    <row r="22249" spans="62:62" x14ac:dyDescent="0.2">
      <c r="BJ22249" s="201"/>
    </row>
    <row r="22250" spans="62:62" x14ac:dyDescent="0.2">
      <c r="BJ22250" s="201"/>
    </row>
    <row r="22251" spans="62:62" x14ac:dyDescent="0.2">
      <c r="BJ22251" s="201"/>
    </row>
    <row r="22252" spans="62:62" x14ac:dyDescent="0.2">
      <c r="BJ22252" s="201"/>
    </row>
    <row r="22253" spans="62:62" x14ac:dyDescent="0.2">
      <c r="BJ22253" s="201"/>
    </row>
    <row r="22254" spans="62:62" x14ac:dyDescent="0.2">
      <c r="BJ22254" s="201"/>
    </row>
    <row r="22255" spans="62:62" x14ac:dyDescent="0.2">
      <c r="BJ22255" s="201"/>
    </row>
    <row r="22256" spans="62:62" x14ac:dyDescent="0.2">
      <c r="BJ22256" s="201"/>
    </row>
    <row r="22257" spans="62:62" x14ac:dyDescent="0.2">
      <c r="BJ22257" s="201"/>
    </row>
    <row r="22258" spans="62:62" x14ac:dyDescent="0.2">
      <c r="BJ22258" s="201"/>
    </row>
    <row r="22259" spans="62:62" x14ac:dyDescent="0.2">
      <c r="BJ22259" s="201"/>
    </row>
    <row r="22260" spans="62:62" x14ac:dyDescent="0.2">
      <c r="BJ22260" s="201"/>
    </row>
    <row r="22261" spans="62:62" x14ac:dyDescent="0.2">
      <c r="BJ22261" s="201"/>
    </row>
    <row r="22262" spans="62:62" x14ac:dyDescent="0.2">
      <c r="BJ22262" s="201"/>
    </row>
    <row r="22263" spans="62:62" x14ac:dyDescent="0.2">
      <c r="BJ22263" s="201"/>
    </row>
    <row r="22264" spans="62:62" x14ac:dyDescent="0.2">
      <c r="BJ22264" s="201"/>
    </row>
    <row r="22265" spans="62:62" x14ac:dyDescent="0.2">
      <c r="BJ22265" s="201"/>
    </row>
    <row r="22266" spans="62:62" x14ac:dyDescent="0.2">
      <c r="BJ22266" s="201"/>
    </row>
    <row r="22267" spans="62:62" x14ac:dyDescent="0.2">
      <c r="BJ22267" s="201"/>
    </row>
    <row r="22268" spans="62:62" x14ac:dyDescent="0.2">
      <c r="BJ22268" s="201"/>
    </row>
    <row r="22269" spans="62:62" x14ac:dyDescent="0.2">
      <c r="BJ22269" s="201"/>
    </row>
    <row r="22270" spans="62:62" x14ac:dyDescent="0.2">
      <c r="BJ22270" s="201"/>
    </row>
    <row r="22271" spans="62:62" x14ac:dyDescent="0.2">
      <c r="BJ22271" s="201"/>
    </row>
    <row r="22272" spans="62:62" x14ac:dyDescent="0.2">
      <c r="BJ22272" s="201"/>
    </row>
    <row r="22273" spans="62:62" x14ac:dyDescent="0.2">
      <c r="BJ22273" s="201"/>
    </row>
    <row r="22274" spans="62:62" x14ac:dyDescent="0.2">
      <c r="BJ22274" s="201"/>
    </row>
    <row r="22275" spans="62:62" x14ac:dyDescent="0.2">
      <c r="BJ22275" s="201"/>
    </row>
    <row r="22276" spans="62:62" x14ac:dyDescent="0.2">
      <c r="BJ22276" s="201"/>
    </row>
    <row r="22277" spans="62:62" x14ac:dyDescent="0.2">
      <c r="BJ22277" s="201"/>
    </row>
    <row r="22278" spans="62:62" x14ac:dyDescent="0.2">
      <c r="BJ22278" s="201"/>
    </row>
    <row r="22279" spans="62:62" x14ac:dyDescent="0.2">
      <c r="BJ22279" s="201"/>
    </row>
    <row r="22280" spans="62:62" x14ac:dyDescent="0.2">
      <c r="BJ22280" s="201"/>
    </row>
    <row r="22281" spans="62:62" x14ac:dyDescent="0.2">
      <c r="BJ22281" s="201"/>
    </row>
    <row r="22282" spans="62:62" x14ac:dyDescent="0.2">
      <c r="BJ22282" s="201"/>
    </row>
    <row r="22283" spans="62:62" x14ac:dyDescent="0.2">
      <c r="BJ22283" s="201"/>
    </row>
    <row r="22284" spans="62:62" x14ac:dyDescent="0.2">
      <c r="BJ22284" s="201"/>
    </row>
    <row r="22285" spans="62:62" x14ac:dyDescent="0.2">
      <c r="BJ22285" s="201"/>
    </row>
    <row r="22286" spans="62:62" x14ac:dyDescent="0.2">
      <c r="BJ22286" s="201"/>
    </row>
    <row r="22287" spans="62:62" x14ac:dyDescent="0.2">
      <c r="BJ22287" s="201"/>
    </row>
    <row r="22288" spans="62:62" x14ac:dyDescent="0.2">
      <c r="BJ22288" s="201"/>
    </row>
    <row r="22289" spans="62:62" x14ac:dyDescent="0.2">
      <c r="BJ22289" s="201"/>
    </row>
    <row r="22290" spans="62:62" x14ac:dyDescent="0.2">
      <c r="BJ22290" s="201"/>
    </row>
    <row r="22291" spans="62:62" x14ac:dyDescent="0.2">
      <c r="BJ22291" s="201"/>
    </row>
    <row r="22292" spans="62:62" x14ac:dyDescent="0.2">
      <c r="BJ22292" s="201"/>
    </row>
    <row r="22293" spans="62:62" x14ac:dyDescent="0.2">
      <c r="BJ22293" s="201"/>
    </row>
    <row r="22294" spans="62:62" x14ac:dyDescent="0.2">
      <c r="BJ22294" s="201"/>
    </row>
    <row r="22295" spans="62:62" x14ac:dyDescent="0.2">
      <c r="BJ22295" s="201"/>
    </row>
    <row r="22296" spans="62:62" x14ac:dyDescent="0.2">
      <c r="BJ22296" s="201"/>
    </row>
    <row r="22297" spans="62:62" x14ac:dyDescent="0.2">
      <c r="BJ22297" s="201"/>
    </row>
    <row r="22298" spans="62:62" x14ac:dyDescent="0.2">
      <c r="BJ22298" s="201"/>
    </row>
    <row r="22299" spans="62:62" x14ac:dyDescent="0.2">
      <c r="BJ22299" s="201"/>
    </row>
    <row r="22300" spans="62:62" x14ac:dyDescent="0.2">
      <c r="BJ22300" s="201"/>
    </row>
    <row r="22301" spans="62:62" x14ac:dyDescent="0.2">
      <c r="BJ22301" s="201"/>
    </row>
    <row r="22302" spans="62:62" x14ac:dyDescent="0.2">
      <c r="BJ22302" s="201"/>
    </row>
    <row r="22303" spans="62:62" x14ac:dyDescent="0.2">
      <c r="BJ22303" s="201"/>
    </row>
    <row r="22304" spans="62:62" x14ac:dyDescent="0.2">
      <c r="BJ22304" s="201"/>
    </row>
    <row r="22305" spans="62:62" x14ac:dyDescent="0.2">
      <c r="BJ22305" s="201"/>
    </row>
    <row r="22306" spans="62:62" x14ac:dyDescent="0.2">
      <c r="BJ22306" s="201"/>
    </row>
    <row r="22307" spans="62:62" x14ac:dyDescent="0.2">
      <c r="BJ22307" s="201"/>
    </row>
    <row r="22308" spans="62:62" x14ac:dyDescent="0.2">
      <c r="BJ22308" s="201"/>
    </row>
    <row r="22309" spans="62:62" x14ac:dyDescent="0.2">
      <c r="BJ22309" s="201"/>
    </row>
    <row r="22310" spans="62:62" x14ac:dyDescent="0.2">
      <c r="BJ22310" s="201"/>
    </row>
    <row r="22311" spans="62:62" x14ac:dyDescent="0.2">
      <c r="BJ22311" s="201"/>
    </row>
    <row r="22312" spans="62:62" x14ac:dyDescent="0.2">
      <c r="BJ22312" s="201"/>
    </row>
    <row r="22313" spans="62:62" x14ac:dyDescent="0.2">
      <c r="BJ22313" s="201"/>
    </row>
    <row r="22314" spans="62:62" x14ac:dyDescent="0.2">
      <c r="BJ22314" s="201"/>
    </row>
    <row r="22315" spans="62:62" x14ac:dyDescent="0.2">
      <c r="BJ22315" s="201"/>
    </row>
    <row r="22316" spans="62:62" x14ac:dyDescent="0.2">
      <c r="BJ22316" s="201"/>
    </row>
    <row r="22317" spans="62:62" x14ac:dyDescent="0.2">
      <c r="BJ22317" s="201"/>
    </row>
    <row r="22318" spans="62:62" x14ac:dyDescent="0.2">
      <c r="BJ22318" s="201"/>
    </row>
    <row r="22319" spans="62:62" x14ac:dyDescent="0.2">
      <c r="BJ22319" s="201"/>
    </row>
    <row r="22320" spans="62:62" x14ac:dyDescent="0.2">
      <c r="BJ22320" s="201"/>
    </row>
    <row r="22321" spans="62:62" x14ac:dyDescent="0.2">
      <c r="BJ22321" s="201"/>
    </row>
    <row r="22322" spans="62:62" x14ac:dyDescent="0.2">
      <c r="BJ22322" s="201"/>
    </row>
    <row r="22323" spans="62:62" x14ac:dyDescent="0.2">
      <c r="BJ22323" s="201"/>
    </row>
    <row r="22324" spans="62:62" x14ac:dyDescent="0.2">
      <c r="BJ22324" s="201"/>
    </row>
    <row r="22325" spans="62:62" x14ac:dyDescent="0.2">
      <c r="BJ22325" s="201"/>
    </row>
    <row r="22326" spans="62:62" x14ac:dyDescent="0.2">
      <c r="BJ22326" s="201"/>
    </row>
    <row r="22327" spans="62:62" x14ac:dyDescent="0.2">
      <c r="BJ22327" s="201"/>
    </row>
    <row r="22328" spans="62:62" x14ac:dyDescent="0.2">
      <c r="BJ22328" s="201"/>
    </row>
    <row r="22329" spans="62:62" x14ac:dyDescent="0.2">
      <c r="BJ22329" s="201"/>
    </row>
    <row r="22330" spans="62:62" x14ac:dyDescent="0.2">
      <c r="BJ22330" s="201"/>
    </row>
    <row r="22331" spans="62:62" x14ac:dyDescent="0.2">
      <c r="BJ22331" s="201"/>
    </row>
    <row r="22332" spans="62:62" x14ac:dyDescent="0.2">
      <c r="BJ22332" s="201"/>
    </row>
    <row r="22333" spans="62:62" x14ac:dyDescent="0.2">
      <c r="BJ22333" s="201"/>
    </row>
    <row r="22334" spans="62:62" x14ac:dyDescent="0.2">
      <c r="BJ22334" s="201"/>
    </row>
    <row r="22335" spans="62:62" x14ac:dyDescent="0.2">
      <c r="BJ22335" s="201"/>
    </row>
    <row r="22336" spans="62:62" x14ac:dyDescent="0.2">
      <c r="BJ22336" s="201"/>
    </row>
    <row r="22337" spans="62:62" x14ac:dyDescent="0.2">
      <c r="BJ22337" s="201"/>
    </row>
    <row r="22338" spans="62:62" x14ac:dyDescent="0.2">
      <c r="BJ22338" s="201"/>
    </row>
    <row r="22339" spans="62:62" x14ac:dyDescent="0.2">
      <c r="BJ22339" s="201"/>
    </row>
    <row r="22340" spans="62:62" x14ac:dyDescent="0.2">
      <c r="BJ22340" s="201"/>
    </row>
    <row r="22341" spans="62:62" x14ac:dyDescent="0.2">
      <c r="BJ22341" s="201"/>
    </row>
    <row r="22342" spans="62:62" x14ac:dyDescent="0.2">
      <c r="BJ22342" s="201"/>
    </row>
    <row r="22343" spans="62:62" x14ac:dyDescent="0.2">
      <c r="BJ22343" s="201"/>
    </row>
    <row r="22344" spans="62:62" x14ac:dyDescent="0.2">
      <c r="BJ22344" s="201"/>
    </row>
    <row r="22345" spans="62:62" x14ac:dyDescent="0.2">
      <c r="BJ22345" s="201"/>
    </row>
    <row r="22346" spans="62:62" x14ac:dyDescent="0.2">
      <c r="BJ22346" s="201"/>
    </row>
    <row r="22347" spans="62:62" x14ac:dyDescent="0.2">
      <c r="BJ22347" s="201"/>
    </row>
    <row r="22348" spans="62:62" x14ac:dyDescent="0.2">
      <c r="BJ22348" s="201"/>
    </row>
    <row r="22349" spans="62:62" x14ac:dyDescent="0.2">
      <c r="BJ22349" s="201"/>
    </row>
    <row r="22350" spans="62:62" x14ac:dyDescent="0.2">
      <c r="BJ22350" s="201"/>
    </row>
    <row r="22351" spans="62:62" x14ac:dyDescent="0.2">
      <c r="BJ22351" s="201"/>
    </row>
    <row r="22352" spans="62:62" x14ac:dyDescent="0.2">
      <c r="BJ22352" s="201"/>
    </row>
    <row r="22353" spans="62:62" x14ac:dyDescent="0.2">
      <c r="BJ22353" s="201"/>
    </row>
    <row r="22354" spans="62:62" x14ac:dyDescent="0.2">
      <c r="BJ22354" s="201"/>
    </row>
    <row r="22355" spans="62:62" x14ac:dyDescent="0.2">
      <c r="BJ22355" s="201"/>
    </row>
    <row r="22356" spans="62:62" x14ac:dyDescent="0.2">
      <c r="BJ22356" s="201"/>
    </row>
    <row r="22357" spans="62:62" x14ac:dyDescent="0.2">
      <c r="BJ22357" s="201"/>
    </row>
    <row r="22358" spans="62:62" x14ac:dyDescent="0.2">
      <c r="BJ22358" s="201"/>
    </row>
    <row r="22359" spans="62:62" x14ac:dyDescent="0.2">
      <c r="BJ22359" s="201"/>
    </row>
    <row r="22360" spans="62:62" x14ac:dyDescent="0.2">
      <c r="BJ22360" s="201"/>
    </row>
    <row r="22361" spans="62:62" x14ac:dyDescent="0.2">
      <c r="BJ22361" s="201"/>
    </row>
    <row r="22362" spans="62:62" x14ac:dyDescent="0.2">
      <c r="BJ22362" s="201"/>
    </row>
    <row r="22363" spans="62:62" x14ac:dyDescent="0.2">
      <c r="BJ22363" s="201"/>
    </row>
    <row r="22364" spans="62:62" x14ac:dyDescent="0.2">
      <c r="BJ22364" s="201"/>
    </row>
    <row r="22365" spans="62:62" x14ac:dyDescent="0.2">
      <c r="BJ22365" s="201"/>
    </row>
    <row r="22366" spans="62:62" x14ac:dyDescent="0.2">
      <c r="BJ22366" s="201"/>
    </row>
    <row r="22367" spans="62:62" x14ac:dyDescent="0.2">
      <c r="BJ22367" s="201"/>
    </row>
    <row r="22368" spans="62:62" x14ac:dyDescent="0.2">
      <c r="BJ22368" s="201"/>
    </row>
    <row r="22369" spans="62:62" x14ac:dyDescent="0.2">
      <c r="BJ22369" s="201"/>
    </row>
    <row r="22370" spans="62:62" x14ac:dyDescent="0.2">
      <c r="BJ22370" s="201"/>
    </row>
    <row r="22371" spans="62:62" x14ac:dyDescent="0.2">
      <c r="BJ22371" s="201"/>
    </row>
    <row r="22372" spans="62:62" x14ac:dyDescent="0.2">
      <c r="BJ22372" s="201"/>
    </row>
    <row r="22373" spans="62:62" x14ac:dyDescent="0.2">
      <c r="BJ22373" s="201"/>
    </row>
    <row r="22374" spans="62:62" x14ac:dyDescent="0.2">
      <c r="BJ22374" s="201"/>
    </row>
    <row r="22375" spans="62:62" x14ac:dyDescent="0.2">
      <c r="BJ22375" s="201"/>
    </row>
    <row r="22376" spans="62:62" x14ac:dyDescent="0.2">
      <c r="BJ22376" s="201"/>
    </row>
    <row r="22377" spans="62:62" x14ac:dyDescent="0.2">
      <c r="BJ22377" s="201"/>
    </row>
    <row r="22378" spans="62:62" x14ac:dyDescent="0.2">
      <c r="BJ22378" s="201"/>
    </row>
    <row r="22379" spans="62:62" x14ac:dyDescent="0.2">
      <c r="BJ22379" s="201"/>
    </row>
    <row r="22380" spans="62:62" x14ac:dyDescent="0.2">
      <c r="BJ22380" s="201"/>
    </row>
    <row r="22381" spans="62:62" x14ac:dyDescent="0.2">
      <c r="BJ22381" s="201"/>
    </row>
    <row r="22382" spans="62:62" x14ac:dyDescent="0.2">
      <c r="BJ22382" s="201"/>
    </row>
    <row r="22383" spans="62:62" x14ac:dyDescent="0.2">
      <c r="BJ22383" s="201"/>
    </row>
    <row r="22384" spans="62:62" x14ac:dyDescent="0.2">
      <c r="BJ22384" s="201"/>
    </row>
    <row r="22385" spans="62:62" x14ac:dyDescent="0.2">
      <c r="BJ22385" s="201"/>
    </row>
    <row r="22386" spans="62:62" x14ac:dyDescent="0.2">
      <c r="BJ22386" s="201"/>
    </row>
    <row r="22387" spans="62:62" x14ac:dyDescent="0.2">
      <c r="BJ22387" s="201"/>
    </row>
    <row r="22388" spans="62:62" x14ac:dyDescent="0.2">
      <c r="BJ22388" s="201"/>
    </row>
    <row r="22389" spans="62:62" x14ac:dyDescent="0.2">
      <c r="BJ22389" s="201"/>
    </row>
    <row r="22390" spans="62:62" x14ac:dyDescent="0.2">
      <c r="BJ22390" s="201"/>
    </row>
    <row r="22391" spans="62:62" x14ac:dyDescent="0.2">
      <c r="BJ22391" s="201"/>
    </row>
    <row r="22392" spans="62:62" x14ac:dyDescent="0.2">
      <c r="BJ22392" s="201"/>
    </row>
    <row r="22393" spans="62:62" x14ac:dyDescent="0.2">
      <c r="BJ22393" s="201"/>
    </row>
    <row r="22394" spans="62:62" x14ac:dyDescent="0.2">
      <c r="BJ22394" s="201"/>
    </row>
    <row r="22395" spans="62:62" x14ac:dyDescent="0.2">
      <c r="BJ22395" s="201"/>
    </row>
    <row r="22396" spans="62:62" x14ac:dyDescent="0.2">
      <c r="BJ22396" s="201"/>
    </row>
    <row r="22397" spans="62:62" x14ac:dyDescent="0.2">
      <c r="BJ22397" s="201"/>
    </row>
    <row r="22398" spans="62:62" x14ac:dyDescent="0.2">
      <c r="BJ22398" s="201"/>
    </row>
    <row r="22399" spans="62:62" x14ac:dyDescent="0.2">
      <c r="BJ22399" s="201"/>
    </row>
    <row r="22400" spans="62:62" x14ac:dyDescent="0.2">
      <c r="BJ22400" s="201"/>
    </row>
    <row r="22401" spans="62:62" x14ac:dyDescent="0.2">
      <c r="BJ22401" s="201"/>
    </row>
    <row r="22402" spans="62:62" x14ac:dyDescent="0.2">
      <c r="BJ22402" s="201"/>
    </row>
    <row r="22403" spans="62:62" x14ac:dyDescent="0.2">
      <c r="BJ22403" s="201"/>
    </row>
    <row r="22404" spans="62:62" x14ac:dyDescent="0.2">
      <c r="BJ22404" s="201"/>
    </row>
    <row r="22405" spans="62:62" x14ac:dyDescent="0.2">
      <c r="BJ22405" s="201"/>
    </row>
    <row r="22406" spans="62:62" x14ac:dyDescent="0.2">
      <c r="BJ22406" s="201"/>
    </row>
    <row r="22407" spans="62:62" x14ac:dyDescent="0.2">
      <c r="BJ22407" s="201"/>
    </row>
    <row r="22408" spans="62:62" x14ac:dyDescent="0.2">
      <c r="BJ22408" s="201"/>
    </row>
    <row r="22409" spans="62:62" x14ac:dyDescent="0.2">
      <c r="BJ22409" s="201"/>
    </row>
    <row r="22410" spans="62:62" x14ac:dyDescent="0.2">
      <c r="BJ22410" s="201"/>
    </row>
    <row r="22411" spans="62:62" x14ac:dyDescent="0.2">
      <c r="BJ22411" s="201"/>
    </row>
    <row r="22412" spans="62:62" x14ac:dyDescent="0.2">
      <c r="BJ22412" s="201"/>
    </row>
    <row r="22413" spans="62:62" x14ac:dyDescent="0.2">
      <c r="BJ22413" s="201"/>
    </row>
    <row r="22414" spans="62:62" x14ac:dyDescent="0.2">
      <c r="BJ22414" s="201"/>
    </row>
    <row r="22415" spans="62:62" x14ac:dyDescent="0.2">
      <c r="BJ22415" s="201"/>
    </row>
    <row r="22416" spans="62:62" x14ac:dyDescent="0.2">
      <c r="BJ22416" s="201"/>
    </row>
    <row r="22417" spans="62:62" x14ac:dyDescent="0.2">
      <c r="BJ22417" s="201"/>
    </row>
    <row r="22418" spans="62:62" x14ac:dyDescent="0.2">
      <c r="BJ22418" s="201"/>
    </row>
    <row r="22419" spans="62:62" x14ac:dyDescent="0.2">
      <c r="BJ22419" s="201"/>
    </row>
    <row r="22420" spans="62:62" x14ac:dyDescent="0.2">
      <c r="BJ22420" s="201"/>
    </row>
    <row r="22421" spans="62:62" x14ac:dyDescent="0.2">
      <c r="BJ22421" s="201"/>
    </row>
    <row r="22422" spans="62:62" x14ac:dyDescent="0.2">
      <c r="BJ22422" s="201"/>
    </row>
    <row r="22423" spans="62:62" x14ac:dyDescent="0.2">
      <c r="BJ22423" s="201"/>
    </row>
    <row r="22424" spans="62:62" x14ac:dyDescent="0.2">
      <c r="BJ22424" s="201"/>
    </row>
    <row r="22425" spans="62:62" x14ac:dyDescent="0.2">
      <c r="BJ22425" s="201"/>
    </row>
    <row r="22426" spans="62:62" x14ac:dyDescent="0.2">
      <c r="BJ22426" s="201"/>
    </row>
    <row r="22427" spans="62:62" x14ac:dyDescent="0.2">
      <c r="BJ22427" s="201"/>
    </row>
    <row r="22428" spans="62:62" x14ac:dyDescent="0.2">
      <c r="BJ22428" s="201"/>
    </row>
    <row r="22429" spans="62:62" x14ac:dyDescent="0.2">
      <c r="BJ22429" s="201"/>
    </row>
    <row r="22430" spans="62:62" x14ac:dyDescent="0.2">
      <c r="BJ22430" s="201"/>
    </row>
    <row r="22431" spans="62:62" x14ac:dyDescent="0.2">
      <c r="BJ22431" s="201"/>
    </row>
    <row r="22432" spans="62:62" x14ac:dyDescent="0.2">
      <c r="BJ22432" s="201"/>
    </row>
    <row r="22433" spans="62:62" x14ac:dyDescent="0.2">
      <c r="BJ22433" s="201"/>
    </row>
    <row r="22434" spans="62:62" x14ac:dyDescent="0.2">
      <c r="BJ22434" s="201"/>
    </row>
    <row r="22435" spans="62:62" x14ac:dyDescent="0.2">
      <c r="BJ22435" s="201"/>
    </row>
    <row r="22436" spans="62:62" x14ac:dyDescent="0.2">
      <c r="BJ22436" s="201"/>
    </row>
    <row r="22437" spans="62:62" x14ac:dyDescent="0.2">
      <c r="BJ22437" s="201"/>
    </row>
    <row r="22438" spans="62:62" x14ac:dyDescent="0.2">
      <c r="BJ22438" s="201"/>
    </row>
    <row r="22439" spans="62:62" x14ac:dyDescent="0.2">
      <c r="BJ22439" s="201"/>
    </row>
    <row r="22440" spans="62:62" x14ac:dyDescent="0.2">
      <c r="BJ22440" s="201"/>
    </row>
    <row r="22441" spans="62:62" x14ac:dyDescent="0.2">
      <c r="BJ22441" s="201"/>
    </row>
    <row r="22442" spans="62:62" x14ac:dyDescent="0.2">
      <c r="BJ22442" s="201"/>
    </row>
    <row r="22443" spans="62:62" x14ac:dyDescent="0.2">
      <c r="BJ22443" s="201"/>
    </row>
    <row r="22444" spans="62:62" x14ac:dyDescent="0.2">
      <c r="BJ22444" s="201"/>
    </row>
    <row r="22445" spans="62:62" x14ac:dyDescent="0.2">
      <c r="BJ22445" s="201"/>
    </row>
    <row r="22446" spans="62:62" x14ac:dyDescent="0.2">
      <c r="BJ22446" s="201"/>
    </row>
    <row r="22447" spans="62:62" x14ac:dyDescent="0.2">
      <c r="BJ22447" s="201"/>
    </row>
    <row r="22448" spans="62:62" x14ac:dyDescent="0.2">
      <c r="BJ22448" s="201"/>
    </row>
    <row r="22449" spans="62:62" x14ac:dyDescent="0.2">
      <c r="BJ22449" s="201"/>
    </row>
    <row r="22450" spans="62:62" x14ac:dyDescent="0.2">
      <c r="BJ22450" s="201"/>
    </row>
    <row r="22451" spans="62:62" x14ac:dyDescent="0.2">
      <c r="BJ22451" s="201"/>
    </row>
    <row r="22452" spans="62:62" x14ac:dyDescent="0.2">
      <c r="BJ22452" s="201"/>
    </row>
    <row r="22453" spans="62:62" x14ac:dyDescent="0.2">
      <c r="BJ22453" s="201"/>
    </row>
    <row r="22454" spans="62:62" x14ac:dyDescent="0.2">
      <c r="BJ22454" s="201"/>
    </row>
    <row r="22455" spans="62:62" x14ac:dyDescent="0.2">
      <c r="BJ22455" s="201"/>
    </row>
    <row r="22456" spans="62:62" x14ac:dyDescent="0.2">
      <c r="BJ22456" s="201"/>
    </row>
    <row r="22457" spans="62:62" x14ac:dyDescent="0.2">
      <c r="BJ22457" s="201"/>
    </row>
    <row r="22458" spans="62:62" x14ac:dyDescent="0.2">
      <c r="BJ22458" s="201"/>
    </row>
    <row r="22459" spans="62:62" x14ac:dyDescent="0.2">
      <c r="BJ22459" s="201"/>
    </row>
    <row r="22460" spans="62:62" x14ac:dyDescent="0.2">
      <c r="BJ22460" s="201"/>
    </row>
    <row r="22461" spans="62:62" x14ac:dyDescent="0.2">
      <c r="BJ22461" s="201"/>
    </row>
    <row r="22462" spans="62:62" x14ac:dyDescent="0.2">
      <c r="BJ22462" s="201"/>
    </row>
    <row r="22463" spans="62:62" x14ac:dyDescent="0.2">
      <c r="BJ22463" s="201"/>
    </row>
    <row r="22464" spans="62:62" x14ac:dyDescent="0.2">
      <c r="BJ22464" s="201"/>
    </row>
    <row r="22465" spans="62:62" x14ac:dyDescent="0.2">
      <c r="BJ22465" s="201"/>
    </row>
    <row r="22466" spans="62:62" x14ac:dyDescent="0.2">
      <c r="BJ22466" s="201"/>
    </row>
    <row r="22467" spans="62:62" x14ac:dyDescent="0.2">
      <c r="BJ22467" s="201"/>
    </row>
    <row r="22468" spans="62:62" x14ac:dyDescent="0.2">
      <c r="BJ22468" s="201"/>
    </row>
    <row r="22469" spans="62:62" x14ac:dyDescent="0.2">
      <c r="BJ22469" s="201"/>
    </row>
    <row r="22470" spans="62:62" x14ac:dyDescent="0.2">
      <c r="BJ22470" s="201"/>
    </row>
    <row r="22471" spans="62:62" x14ac:dyDescent="0.2">
      <c r="BJ22471" s="201"/>
    </row>
    <row r="22472" spans="62:62" x14ac:dyDescent="0.2">
      <c r="BJ22472" s="201"/>
    </row>
    <row r="22473" spans="62:62" x14ac:dyDescent="0.2">
      <c r="BJ22473" s="201"/>
    </row>
    <row r="22474" spans="62:62" x14ac:dyDescent="0.2">
      <c r="BJ22474" s="201"/>
    </row>
    <row r="22475" spans="62:62" x14ac:dyDescent="0.2">
      <c r="BJ22475" s="201"/>
    </row>
    <row r="22476" spans="62:62" x14ac:dyDescent="0.2">
      <c r="BJ22476" s="201"/>
    </row>
    <row r="22477" spans="62:62" x14ac:dyDescent="0.2">
      <c r="BJ22477" s="201"/>
    </row>
    <row r="22478" spans="62:62" x14ac:dyDescent="0.2">
      <c r="BJ22478" s="201"/>
    </row>
    <row r="22479" spans="62:62" x14ac:dyDescent="0.2">
      <c r="BJ22479" s="201"/>
    </row>
    <row r="22480" spans="62:62" x14ac:dyDescent="0.2">
      <c r="BJ22480" s="201"/>
    </row>
    <row r="22481" spans="62:62" x14ac:dyDescent="0.2">
      <c r="BJ22481" s="201"/>
    </row>
    <row r="22482" spans="62:62" x14ac:dyDescent="0.2">
      <c r="BJ22482" s="201"/>
    </row>
    <row r="22483" spans="62:62" x14ac:dyDescent="0.2">
      <c r="BJ22483" s="201"/>
    </row>
    <row r="22484" spans="62:62" x14ac:dyDescent="0.2">
      <c r="BJ22484" s="201"/>
    </row>
    <row r="22485" spans="62:62" x14ac:dyDescent="0.2">
      <c r="BJ22485" s="201"/>
    </row>
    <row r="22486" spans="62:62" x14ac:dyDescent="0.2">
      <c r="BJ22486" s="201"/>
    </row>
    <row r="22487" spans="62:62" x14ac:dyDescent="0.2">
      <c r="BJ22487" s="201"/>
    </row>
    <row r="22488" spans="62:62" x14ac:dyDescent="0.2">
      <c r="BJ22488" s="201"/>
    </row>
    <row r="22489" spans="62:62" x14ac:dyDescent="0.2">
      <c r="BJ22489" s="201"/>
    </row>
    <row r="22490" spans="62:62" x14ac:dyDescent="0.2">
      <c r="BJ22490" s="201"/>
    </row>
    <row r="22491" spans="62:62" x14ac:dyDescent="0.2">
      <c r="BJ22491" s="201"/>
    </row>
    <row r="22492" spans="62:62" x14ac:dyDescent="0.2">
      <c r="BJ22492" s="201"/>
    </row>
    <row r="22493" spans="62:62" x14ac:dyDescent="0.2">
      <c r="BJ22493" s="201"/>
    </row>
    <row r="22494" spans="62:62" x14ac:dyDescent="0.2">
      <c r="BJ22494" s="201"/>
    </row>
    <row r="22495" spans="62:62" x14ac:dyDescent="0.2">
      <c r="BJ22495" s="201"/>
    </row>
    <row r="22496" spans="62:62" x14ac:dyDescent="0.2">
      <c r="BJ22496" s="201"/>
    </row>
    <row r="22497" spans="62:62" x14ac:dyDescent="0.2">
      <c r="BJ22497" s="201"/>
    </row>
    <row r="22498" spans="62:62" x14ac:dyDescent="0.2">
      <c r="BJ22498" s="201"/>
    </row>
    <row r="22499" spans="62:62" x14ac:dyDescent="0.2">
      <c r="BJ22499" s="201"/>
    </row>
    <row r="22500" spans="62:62" x14ac:dyDescent="0.2">
      <c r="BJ22500" s="201"/>
    </row>
    <row r="22501" spans="62:62" x14ac:dyDescent="0.2">
      <c r="BJ22501" s="201"/>
    </row>
    <row r="22502" spans="62:62" x14ac:dyDescent="0.2">
      <c r="BJ22502" s="201"/>
    </row>
    <row r="22503" spans="62:62" x14ac:dyDescent="0.2">
      <c r="BJ22503" s="201"/>
    </row>
    <row r="22504" spans="62:62" x14ac:dyDescent="0.2">
      <c r="BJ22504" s="201"/>
    </row>
    <row r="22505" spans="62:62" x14ac:dyDescent="0.2">
      <c r="BJ22505" s="201"/>
    </row>
    <row r="22506" spans="62:62" x14ac:dyDescent="0.2">
      <c r="BJ22506" s="201"/>
    </row>
    <row r="22507" spans="62:62" x14ac:dyDescent="0.2">
      <c r="BJ22507" s="201"/>
    </row>
    <row r="22508" spans="62:62" x14ac:dyDescent="0.2">
      <c r="BJ22508" s="201"/>
    </row>
    <row r="22509" spans="62:62" x14ac:dyDescent="0.2">
      <c r="BJ22509" s="201"/>
    </row>
    <row r="22510" spans="62:62" x14ac:dyDescent="0.2">
      <c r="BJ22510" s="201"/>
    </row>
    <row r="22511" spans="62:62" x14ac:dyDescent="0.2">
      <c r="BJ22511" s="201"/>
    </row>
    <row r="22512" spans="62:62" x14ac:dyDescent="0.2">
      <c r="BJ22512" s="201"/>
    </row>
    <row r="22513" spans="62:62" x14ac:dyDescent="0.2">
      <c r="BJ22513" s="201"/>
    </row>
    <row r="22514" spans="62:62" x14ac:dyDescent="0.2">
      <c r="BJ22514" s="201"/>
    </row>
    <row r="22515" spans="62:62" x14ac:dyDescent="0.2">
      <c r="BJ22515" s="201"/>
    </row>
    <row r="22516" spans="62:62" x14ac:dyDescent="0.2">
      <c r="BJ22516" s="201"/>
    </row>
    <row r="22517" spans="62:62" x14ac:dyDescent="0.2">
      <c r="BJ22517" s="201"/>
    </row>
    <row r="22518" spans="62:62" x14ac:dyDescent="0.2">
      <c r="BJ22518" s="201"/>
    </row>
    <row r="22519" spans="62:62" x14ac:dyDescent="0.2">
      <c r="BJ22519" s="201"/>
    </row>
    <row r="22520" spans="62:62" x14ac:dyDescent="0.2">
      <c r="BJ22520" s="201"/>
    </row>
    <row r="22521" spans="62:62" x14ac:dyDescent="0.2">
      <c r="BJ22521" s="201"/>
    </row>
    <row r="22522" spans="62:62" x14ac:dyDescent="0.2">
      <c r="BJ22522" s="201"/>
    </row>
    <row r="22523" spans="62:62" x14ac:dyDescent="0.2">
      <c r="BJ22523" s="201"/>
    </row>
    <row r="22524" spans="62:62" x14ac:dyDescent="0.2">
      <c r="BJ22524" s="201"/>
    </row>
    <row r="22525" spans="62:62" x14ac:dyDescent="0.2">
      <c r="BJ22525" s="201"/>
    </row>
    <row r="22526" spans="62:62" x14ac:dyDescent="0.2">
      <c r="BJ22526" s="201"/>
    </row>
    <row r="22527" spans="62:62" x14ac:dyDescent="0.2">
      <c r="BJ22527" s="201"/>
    </row>
    <row r="22528" spans="62:62" x14ac:dyDescent="0.2">
      <c r="BJ22528" s="201"/>
    </row>
    <row r="22529" spans="62:62" x14ac:dyDescent="0.2">
      <c r="BJ22529" s="201"/>
    </row>
    <row r="22530" spans="62:62" x14ac:dyDescent="0.2">
      <c r="BJ22530" s="201"/>
    </row>
    <row r="22531" spans="62:62" x14ac:dyDescent="0.2">
      <c r="BJ22531" s="201"/>
    </row>
    <row r="22532" spans="62:62" x14ac:dyDescent="0.2">
      <c r="BJ22532" s="201"/>
    </row>
    <row r="22533" spans="62:62" x14ac:dyDescent="0.2">
      <c r="BJ22533" s="201"/>
    </row>
    <row r="22534" spans="62:62" x14ac:dyDescent="0.2">
      <c r="BJ22534" s="201"/>
    </row>
    <row r="22535" spans="62:62" x14ac:dyDescent="0.2">
      <c r="BJ22535" s="201"/>
    </row>
    <row r="22536" spans="62:62" x14ac:dyDescent="0.2">
      <c r="BJ22536" s="201"/>
    </row>
    <row r="22537" spans="62:62" x14ac:dyDescent="0.2">
      <c r="BJ22537" s="201"/>
    </row>
    <row r="22538" spans="62:62" x14ac:dyDescent="0.2">
      <c r="BJ22538" s="201"/>
    </row>
    <row r="22539" spans="62:62" x14ac:dyDescent="0.2">
      <c r="BJ22539" s="201"/>
    </row>
    <row r="22540" spans="62:62" x14ac:dyDescent="0.2">
      <c r="BJ22540" s="201"/>
    </row>
    <row r="22541" spans="62:62" x14ac:dyDescent="0.2">
      <c r="BJ22541" s="201"/>
    </row>
    <row r="22542" spans="62:62" x14ac:dyDescent="0.2">
      <c r="BJ22542" s="201"/>
    </row>
    <row r="22543" spans="62:62" x14ac:dyDescent="0.2">
      <c r="BJ22543" s="201"/>
    </row>
    <row r="22544" spans="62:62" x14ac:dyDescent="0.2">
      <c r="BJ22544" s="201"/>
    </row>
    <row r="22545" spans="62:62" x14ac:dyDescent="0.2">
      <c r="BJ22545" s="201"/>
    </row>
    <row r="22546" spans="62:62" x14ac:dyDescent="0.2">
      <c r="BJ22546" s="201"/>
    </row>
    <row r="22547" spans="62:62" x14ac:dyDescent="0.2">
      <c r="BJ22547" s="201"/>
    </row>
    <row r="22548" spans="62:62" x14ac:dyDescent="0.2">
      <c r="BJ22548" s="201"/>
    </row>
    <row r="22549" spans="62:62" x14ac:dyDescent="0.2">
      <c r="BJ22549" s="201"/>
    </row>
    <row r="22550" spans="62:62" x14ac:dyDescent="0.2">
      <c r="BJ22550" s="201"/>
    </row>
    <row r="22551" spans="62:62" x14ac:dyDescent="0.2">
      <c r="BJ22551" s="201"/>
    </row>
    <row r="22552" spans="62:62" x14ac:dyDescent="0.2">
      <c r="BJ22552" s="201"/>
    </row>
    <row r="22553" spans="62:62" x14ac:dyDescent="0.2">
      <c r="BJ22553" s="201"/>
    </row>
    <row r="22554" spans="62:62" x14ac:dyDescent="0.2">
      <c r="BJ22554" s="201"/>
    </row>
    <row r="22555" spans="62:62" x14ac:dyDescent="0.2">
      <c r="BJ22555" s="201"/>
    </row>
    <row r="22556" spans="62:62" x14ac:dyDescent="0.2">
      <c r="BJ22556" s="201"/>
    </row>
    <row r="22557" spans="62:62" x14ac:dyDescent="0.2">
      <c r="BJ22557" s="201"/>
    </row>
    <row r="22558" spans="62:62" x14ac:dyDescent="0.2">
      <c r="BJ22558" s="201"/>
    </row>
    <row r="22559" spans="62:62" x14ac:dyDescent="0.2">
      <c r="BJ22559" s="201"/>
    </row>
    <row r="22560" spans="62:62" x14ac:dyDescent="0.2">
      <c r="BJ22560" s="201"/>
    </row>
    <row r="22561" spans="62:62" x14ac:dyDescent="0.2">
      <c r="BJ22561" s="201"/>
    </row>
    <row r="22562" spans="62:62" x14ac:dyDescent="0.2">
      <c r="BJ22562" s="201"/>
    </row>
    <row r="22563" spans="62:62" x14ac:dyDescent="0.2">
      <c r="BJ22563" s="201"/>
    </row>
    <row r="22564" spans="62:62" x14ac:dyDescent="0.2">
      <c r="BJ22564" s="201"/>
    </row>
    <row r="22565" spans="62:62" x14ac:dyDescent="0.2">
      <c r="BJ22565" s="201"/>
    </row>
    <row r="22566" spans="62:62" x14ac:dyDescent="0.2">
      <c r="BJ22566" s="201"/>
    </row>
    <row r="22567" spans="62:62" x14ac:dyDescent="0.2">
      <c r="BJ22567" s="201"/>
    </row>
    <row r="22568" spans="62:62" x14ac:dyDescent="0.2">
      <c r="BJ22568" s="201"/>
    </row>
    <row r="22569" spans="62:62" x14ac:dyDescent="0.2">
      <c r="BJ22569" s="201"/>
    </row>
    <row r="22570" spans="62:62" x14ac:dyDescent="0.2">
      <c r="BJ22570" s="201"/>
    </row>
    <row r="22571" spans="62:62" x14ac:dyDescent="0.2">
      <c r="BJ22571" s="201"/>
    </row>
    <row r="22572" spans="62:62" x14ac:dyDescent="0.2">
      <c r="BJ22572" s="201"/>
    </row>
    <row r="22573" spans="62:62" x14ac:dyDescent="0.2">
      <c r="BJ22573" s="201"/>
    </row>
    <row r="22574" spans="62:62" x14ac:dyDescent="0.2">
      <c r="BJ22574" s="201"/>
    </row>
    <row r="22575" spans="62:62" x14ac:dyDescent="0.2">
      <c r="BJ22575" s="201"/>
    </row>
    <row r="22576" spans="62:62" x14ac:dyDescent="0.2">
      <c r="BJ22576" s="201"/>
    </row>
    <row r="22577" spans="62:62" x14ac:dyDescent="0.2">
      <c r="BJ22577" s="201"/>
    </row>
    <row r="22578" spans="62:62" x14ac:dyDescent="0.2">
      <c r="BJ22578" s="201"/>
    </row>
    <row r="22579" spans="62:62" x14ac:dyDescent="0.2">
      <c r="BJ22579" s="201"/>
    </row>
    <row r="22580" spans="62:62" x14ac:dyDescent="0.2">
      <c r="BJ22580" s="201"/>
    </row>
    <row r="22581" spans="62:62" x14ac:dyDescent="0.2">
      <c r="BJ22581" s="201"/>
    </row>
    <row r="22582" spans="62:62" x14ac:dyDescent="0.2">
      <c r="BJ22582" s="201"/>
    </row>
    <row r="22583" spans="62:62" x14ac:dyDescent="0.2">
      <c r="BJ22583" s="201"/>
    </row>
    <row r="22584" spans="62:62" x14ac:dyDescent="0.2">
      <c r="BJ22584" s="201"/>
    </row>
    <row r="22585" spans="62:62" x14ac:dyDescent="0.2">
      <c r="BJ22585" s="201"/>
    </row>
    <row r="22586" spans="62:62" x14ac:dyDescent="0.2">
      <c r="BJ22586" s="201"/>
    </row>
    <row r="22587" spans="62:62" x14ac:dyDescent="0.2">
      <c r="BJ22587" s="201"/>
    </row>
    <row r="22588" spans="62:62" x14ac:dyDescent="0.2">
      <c r="BJ22588" s="201"/>
    </row>
    <row r="22589" spans="62:62" x14ac:dyDescent="0.2">
      <c r="BJ22589" s="201"/>
    </row>
    <row r="22590" spans="62:62" x14ac:dyDescent="0.2">
      <c r="BJ22590" s="201"/>
    </row>
    <row r="22591" spans="62:62" x14ac:dyDescent="0.2">
      <c r="BJ22591" s="201"/>
    </row>
    <row r="22592" spans="62:62" x14ac:dyDescent="0.2">
      <c r="BJ22592" s="201"/>
    </row>
    <row r="22593" spans="62:62" x14ac:dyDescent="0.2">
      <c r="BJ22593" s="201"/>
    </row>
    <row r="22594" spans="62:62" x14ac:dyDescent="0.2">
      <c r="BJ22594" s="201"/>
    </row>
    <row r="22595" spans="62:62" x14ac:dyDescent="0.2">
      <c r="BJ22595" s="201"/>
    </row>
    <row r="22596" spans="62:62" x14ac:dyDescent="0.2">
      <c r="BJ22596" s="201"/>
    </row>
    <row r="22597" spans="62:62" x14ac:dyDescent="0.2">
      <c r="BJ22597" s="201"/>
    </row>
    <row r="22598" spans="62:62" x14ac:dyDescent="0.2">
      <c r="BJ22598" s="201"/>
    </row>
    <row r="22599" spans="62:62" x14ac:dyDescent="0.2">
      <c r="BJ22599" s="201"/>
    </row>
    <row r="22600" spans="62:62" x14ac:dyDescent="0.2">
      <c r="BJ22600" s="201"/>
    </row>
    <row r="22601" spans="62:62" x14ac:dyDescent="0.2">
      <c r="BJ22601" s="201"/>
    </row>
    <row r="22602" spans="62:62" x14ac:dyDescent="0.2">
      <c r="BJ22602" s="201"/>
    </row>
    <row r="22603" spans="62:62" x14ac:dyDescent="0.2">
      <c r="BJ22603" s="201"/>
    </row>
    <row r="22604" spans="62:62" x14ac:dyDescent="0.2">
      <c r="BJ22604" s="201"/>
    </row>
    <row r="22605" spans="62:62" x14ac:dyDescent="0.2">
      <c r="BJ22605" s="201"/>
    </row>
    <row r="22606" spans="62:62" x14ac:dyDescent="0.2">
      <c r="BJ22606" s="201"/>
    </row>
    <row r="22607" spans="62:62" x14ac:dyDescent="0.2">
      <c r="BJ22607" s="201"/>
    </row>
    <row r="22608" spans="62:62" x14ac:dyDescent="0.2">
      <c r="BJ22608" s="201"/>
    </row>
    <row r="22609" spans="62:62" x14ac:dyDescent="0.2">
      <c r="BJ22609" s="201"/>
    </row>
    <row r="22610" spans="62:62" x14ac:dyDescent="0.2">
      <c r="BJ22610" s="201"/>
    </row>
    <row r="22611" spans="62:62" x14ac:dyDescent="0.2">
      <c r="BJ22611" s="201"/>
    </row>
    <row r="22612" spans="62:62" x14ac:dyDescent="0.2">
      <c r="BJ22612" s="201"/>
    </row>
    <row r="22613" spans="62:62" x14ac:dyDescent="0.2">
      <c r="BJ22613" s="201"/>
    </row>
    <row r="22614" spans="62:62" x14ac:dyDescent="0.2">
      <c r="BJ22614" s="201"/>
    </row>
    <row r="22615" spans="62:62" x14ac:dyDescent="0.2">
      <c r="BJ22615" s="201"/>
    </row>
    <row r="22616" spans="62:62" x14ac:dyDescent="0.2">
      <c r="BJ22616" s="201"/>
    </row>
    <row r="22617" spans="62:62" x14ac:dyDescent="0.2">
      <c r="BJ22617" s="201"/>
    </row>
    <row r="22618" spans="62:62" x14ac:dyDescent="0.2">
      <c r="BJ22618" s="201"/>
    </row>
    <row r="22619" spans="62:62" x14ac:dyDescent="0.2">
      <c r="BJ22619" s="201"/>
    </row>
    <row r="22620" spans="62:62" x14ac:dyDescent="0.2">
      <c r="BJ22620" s="201"/>
    </row>
    <row r="22621" spans="62:62" x14ac:dyDescent="0.2">
      <c r="BJ22621" s="201"/>
    </row>
    <row r="22622" spans="62:62" x14ac:dyDescent="0.2">
      <c r="BJ22622" s="201"/>
    </row>
    <row r="22623" spans="62:62" x14ac:dyDescent="0.2">
      <c r="BJ22623" s="201"/>
    </row>
    <row r="22624" spans="62:62" x14ac:dyDescent="0.2">
      <c r="BJ22624" s="201"/>
    </row>
    <row r="22625" spans="62:62" x14ac:dyDescent="0.2">
      <c r="BJ22625" s="201"/>
    </row>
    <row r="22626" spans="62:62" x14ac:dyDescent="0.2">
      <c r="BJ22626" s="201"/>
    </row>
    <row r="22627" spans="62:62" x14ac:dyDescent="0.2">
      <c r="BJ22627" s="201"/>
    </row>
    <row r="22628" spans="62:62" x14ac:dyDescent="0.2">
      <c r="BJ22628" s="201"/>
    </row>
    <row r="22629" spans="62:62" x14ac:dyDescent="0.2">
      <c r="BJ22629" s="201"/>
    </row>
    <row r="22630" spans="62:62" x14ac:dyDescent="0.2">
      <c r="BJ22630" s="201"/>
    </row>
    <row r="22631" spans="62:62" x14ac:dyDescent="0.2">
      <c r="BJ22631" s="201"/>
    </row>
    <row r="22632" spans="62:62" x14ac:dyDescent="0.2">
      <c r="BJ22632" s="201"/>
    </row>
    <row r="22633" spans="62:62" x14ac:dyDescent="0.2">
      <c r="BJ22633" s="201"/>
    </row>
    <row r="22634" spans="62:62" x14ac:dyDescent="0.2">
      <c r="BJ22634" s="201"/>
    </row>
    <row r="22635" spans="62:62" x14ac:dyDescent="0.2">
      <c r="BJ22635" s="201"/>
    </row>
    <row r="22636" spans="62:62" x14ac:dyDescent="0.2">
      <c r="BJ22636" s="201"/>
    </row>
    <row r="22637" spans="62:62" x14ac:dyDescent="0.2">
      <c r="BJ22637" s="201"/>
    </row>
    <row r="22638" spans="62:62" x14ac:dyDescent="0.2">
      <c r="BJ22638" s="201"/>
    </row>
    <row r="22639" spans="62:62" x14ac:dyDescent="0.2">
      <c r="BJ22639" s="201"/>
    </row>
    <row r="22640" spans="62:62" x14ac:dyDescent="0.2">
      <c r="BJ22640" s="201"/>
    </row>
    <row r="22641" spans="62:62" x14ac:dyDescent="0.2">
      <c r="BJ22641" s="201"/>
    </row>
    <row r="22642" spans="62:62" x14ac:dyDescent="0.2">
      <c r="BJ22642" s="201"/>
    </row>
    <row r="22643" spans="62:62" x14ac:dyDescent="0.2">
      <c r="BJ22643" s="201"/>
    </row>
    <row r="22644" spans="62:62" x14ac:dyDescent="0.2">
      <c r="BJ22644" s="201"/>
    </row>
    <row r="22645" spans="62:62" x14ac:dyDescent="0.2">
      <c r="BJ22645" s="201"/>
    </row>
    <row r="22646" spans="62:62" x14ac:dyDescent="0.2">
      <c r="BJ22646" s="201"/>
    </row>
    <row r="22647" spans="62:62" x14ac:dyDescent="0.2">
      <c r="BJ22647" s="201"/>
    </row>
    <row r="22648" spans="62:62" x14ac:dyDescent="0.2">
      <c r="BJ22648" s="201"/>
    </row>
    <row r="22649" spans="62:62" x14ac:dyDescent="0.2">
      <c r="BJ22649" s="201"/>
    </row>
    <row r="22650" spans="62:62" x14ac:dyDescent="0.2">
      <c r="BJ22650" s="201"/>
    </row>
    <row r="22651" spans="62:62" x14ac:dyDescent="0.2">
      <c r="BJ22651" s="201"/>
    </row>
    <row r="22652" spans="62:62" x14ac:dyDescent="0.2">
      <c r="BJ22652" s="201"/>
    </row>
    <row r="22653" spans="62:62" x14ac:dyDescent="0.2">
      <c r="BJ22653" s="201"/>
    </row>
    <row r="22654" spans="62:62" x14ac:dyDescent="0.2">
      <c r="BJ22654" s="201"/>
    </row>
    <row r="22655" spans="62:62" x14ac:dyDescent="0.2">
      <c r="BJ22655" s="201"/>
    </row>
    <row r="22656" spans="62:62" x14ac:dyDescent="0.2">
      <c r="BJ22656" s="201"/>
    </row>
    <row r="22657" spans="62:62" x14ac:dyDescent="0.2">
      <c r="BJ22657" s="201"/>
    </row>
    <row r="22658" spans="62:62" x14ac:dyDescent="0.2">
      <c r="BJ22658" s="201"/>
    </row>
    <row r="22659" spans="62:62" x14ac:dyDescent="0.2">
      <c r="BJ22659" s="201"/>
    </row>
    <row r="22660" spans="62:62" x14ac:dyDescent="0.2">
      <c r="BJ22660" s="201"/>
    </row>
    <row r="22661" spans="62:62" x14ac:dyDescent="0.2">
      <c r="BJ22661" s="201"/>
    </row>
    <row r="22662" spans="62:62" x14ac:dyDescent="0.2">
      <c r="BJ22662" s="201"/>
    </row>
    <row r="22663" spans="62:62" x14ac:dyDescent="0.2">
      <c r="BJ22663" s="201"/>
    </row>
    <row r="22664" spans="62:62" x14ac:dyDescent="0.2">
      <c r="BJ22664" s="201"/>
    </row>
    <row r="22665" spans="62:62" x14ac:dyDescent="0.2">
      <c r="BJ22665" s="201"/>
    </row>
    <row r="22666" spans="62:62" x14ac:dyDescent="0.2">
      <c r="BJ22666" s="201"/>
    </row>
    <row r="22667" spans="62:62" x14ac:dyDescent="0.2">
      <c r="BJ22667" s="201"/>
    </row>
    <row r="22668" spans="62:62" x14ac:dyDescent="0.2">
      <c r="BJ22668" s="201"/>
    </row>
    <row r="22669" spans="62:62" x14ac:dyDescent="0.2">
      <c r="BJ22669" s="201"/>
    </row>
    <row r="22670" spans="62:62" x14ac:dyDescent="0.2">
      <c r="BJ22670" s="201"/>
    </row>
    <row r="22671" spans="62:62" x14ac:dyDescent="0.2">
      <c r="BJ22671" s="201"/>
    </row>
    <row r="22672" spans="62:62" x14ac:dyDescent="0.2">
      <c r="BJ22672" s="201"/>
    </row>
    <row r="22673" spans="62:62" x14ac:dyDescent="0.2">
      <c r="BJ22673" s="201"/>
    </row>
    <row r="22674" spans="62:62" x14ac:dyDescent="0.2">
      <c r="BJ22674" s="201"/>
    </row>
    <row r="22675" spans="62:62" x14ac:dyDescent="0.2">
      <c r="BJ22675" s="201"/>
    </row>
    <row r="22676" spans="62:62" x14ac:dyDescent="0.2">
      <c r="BJ22676" s="201"/>
    </row>
    <row r="22677" spans="62:62" x14ac:dyDescent="0.2">
      <c r="BJ22677" s="201"/>
    </row>
    <row r="22678" spans="62:62" x14ac:dyDescent="0.2">
      <c r="BJ22678" s="201"/>
    </row>
    <row r="22679" spans="62:62" x14ac:dyDescent="0.2">
      <c r="BJ22679" s="201"/>
    </row>
    <row r="22680" spans="62:62" x14ac:dyDescent="0.2">
      <c r="BJ22680" s="201"/>
    </row>
    <row r="22681" spans="62:62" x14ac:dyDescent="0.2">
      <c r="BJ22681" s="201"/>
    </row>
    <row r="22682" spans="62:62" x14ac:dyDescent="0.2">
      <c r="BJ22682" s="201"/>
    </row>
    <row r="22683" spans="62:62" x14ac:dyDescent="0.2">
      <c r="BJ22683" s="201"/>
    </row>
    <row r="22684" spans="62:62" x14ac:dyDescent="0.2">
      <c r="BJ22684" s="201"/>
    </row>
    <row r="22685" spans="62:62" x14ac:dyDescent="0.2">
      <c r="BJ22685" s="201"/>
    </row>
    <row r="22686" spans="62:62" x14ac:dyDescent="0.2">
      <c r="BJ22686" s="201"/>
    </row>
    <row r="22687" spans="62:62" x14ac:dyDescent="0.2">
      <c r="BJ22687" s="201"/>
    </row>
    <row r="22688" spans="62:62" x14ac:dyDescent="0.2">
      <c r="BJ22688" s="201"/>
    </row>
    <row r="22689" spans="62:62" x14ac:dyDescent="0.2">
      <c r="BJ22689" s="201"/>
    </row>
    <row r="22690" spans="62:62" x14ac:dyDescent="0.2">
      <c r="BJ22690" s="201"/>
    </row>
    <row r="22691" spans="62:62" x14ac:dyDescent="0.2">
      <c r="BJ22691" s="201"/>
    </row>
    <row r="22692" spans="62:62" x14ac:dyDescent="0.2">
      <c r="BJ22692" s="201"/>
    </row>
    <row r="22693" spans="62:62" x14ac:dyDescent="0.2">
      <c r="BJ22693" s="201"/>
    </row>
    <row r="22694" spans="62:62" x14ac:dyDescent="0.2">
      <c r="BJ22694" s="201"/>
    </row>
    <row r="22695" spans="62:62" x14ac:dyDescent="0.2">
      <c r="BJ22695" s="201"/>
    </row>
    <row r="22696" spans="62:62" x14ac:dyDescent="0.2">
      <c r="BJ22696" s="201"/>
    </row>
    <row r="22697" spans="62:62" x14ac:dyDescent="0.2">
      <c r="BJ22697" s="201"/>
    </row>
    <row r="22698" spans="62:62" x14ac:dyDescent="0.2">
      <c r="BJ22698" s="201"/>
    </row>
    <row r="22699" spans="62:62" x14ac:dyDescent="0.2">
      <c r="BJ22699" s="201"/>
    </row>
    <row r="22700" spans="62:62" x14ac:dyDescent="0.2">
      <c r="BJ22700" s="201"/>
    </row>
    <row r="22701" spans="62:62" x14ac:dyDescent="0.2">
      <c r="BJ22701" s="201"/>
    </row>
    <row r="22702" spans="62:62" x14ac:dyDescent="0.2">
      <c r="BJ22702" s="201"/>
    </row>
    <row r="22703" spans="62:62" x14ac:dyDescent="0.2">
      <c r="BJ22703" s="201"/>
    </row>
    <row r="22704" spans="62:62" x14ac:dyDescent="0.2">
      <c r="BJ22704" s="201"/>
    </row>
    <row r="22705" spans="62:62" x14ac:dyDescent="0.2">
      <c r="BJ22705" s="201"/>
    </row>
    <row r="22706" spans="62:62" x14ac:dyDescent="0.2">
      <c r="BJ22706" s="201"/>
    </row>
    <row r="22707" spans="62:62" x14ac:dyDescent="0.2">
      <c r="BJ22707" s="201"/>
    </row>
    <row r="22708" spans="62:62" x14ac:dyDescent="0.2">
      <c r="BJ22708" s="201"/>
    </row>
    <row r="22709" spans="62:62" x14ac:dyDescent="0.2">
      <c r="BJ22709" s="201"/>
    </row>
    <row r="22710" spans="62:62" x14ac:dyDescent="0.2">
      <c r="BJ22710" s="201"/>
    </row>
    <row r="22711" spans="62:62" x14ac:dyDescent="0.2">
      <c r="BJ22711" s="201"/>
    </row>
    <row r="22712" spans="62:62" x14ac:dyDescent="0.2">
      <c r="BJ22712" s="201"/>
    </row>
    <row r="22713" spans="62:62" x14ac:dyDescent="0.2">
      <c r="BJ22713" s="201"/>
    </row>
    <row r="22714" spans="62:62" x14ac:dyDescent="0.2">
      <c r="BJ22714" s="201"/>
    </row>
    <row r="22715" spans="62:62" x14ac:dyDescent="0.2">
      <c r="BJ22715" s="201"/>
    </row>
    <row r="22716" spans="62:62" x14ac:dyDescent="0.2">
      <c r="BJ22716" s="201"/>
    </row>
    <row r="22717" spans="62:62" x14ac:dyDescent="0.2">
      <c r="BJ22717" s="201"/>
    </row>
    <row r="22718" spans="62:62" x14ac:dyDescent="0.2">
      <c r="BJ22718" s="201"/>
    </row>
    <row r="22719" spans="62:62" x14ac:dyDescent="0.2">
      <c r="BJ22719" s="201"/>
    </row>
    <row r="22720" spans="62:62" x14ac:dyDescent="0.2">
      <c r="BJ22720" s="201"/>
    </row>
    <row r="22721" spans="62:62" x14ac:dyDescent="0.2">
      <c r="BJ22721" s="201"/>
    </row>
    <row r="22722" spans="62:62" x14ac:dyDescent="0.2">
      <c r="BJ22722" s="201"/>
    </row>
    <row r="22723" spans="62:62" x14ac:dyDescent="0.2">
      <c r="BJ22723" s="201"/>
    </row>
    <row r="22724" spans="62:62" x14ac:dyDescent="0.2">
      <c r="BJ22724" s="201"/>
    </row>
    <row r="22725" spans="62:62" x14ac:dyDescent="0.2">
      <c r="BJ22725" s="201"/>
    </row>
    <row r="22726" spans="62:62" x14ac:dyDescent="0.2">
      <c r="BJ22726" s="201"/>
    </row>
    <row r="22727" spans="62:62" x14ac:dyDescent="0.2">
      <c r="BJ22727" s="201"/>
    </row>
    <row r="22728" spans="62:62" x14ac:dyDescent="0.2">
      <c r="BJ22728" s="201"/>
    </row>
    <row r="22729" spans="62:62" x14ac:dyDescent="0.2">
      <c r="BJ22729" s="201"/>
    </row>
    <row r="22730" spans="62:62" x14ac:dyDescent="0.2">
      <c r="BJ22730" s="201"/>
    </row>
    <row r="22731" spans="62:62" x14ac:dyDescent="0.2">
      <c r="BJ22731" s="201"/>
    </row>
    <row r="22732" spans="62:62" x14ac:dyDescent="0.2">
      <c r="BJ22732" s="201"/>
    </row>
    <row r="22733" spans="62:62" x14ac:dyDescent="0.2">
      <c r="BJ22733" s="201"/>
    </row>
    <row r="22734" spans="62:62" x14ac:dyDescent="0.2">
      <c r="BJ22734" s="201"/>
    </row>
    <row r="22735" spans="62:62" x14ac:dyDescent="0.2">
      <c r="BJ22735" s="201"/>
    </row>
    <row r="22736" spans="62:62" x14ac:dyDescent="0.2">
      <c r="BJ22736" s="201"/>
    </row>
    <row r="22737" spans="62:62" x14ac:dyDescent="0.2">
      <c r="BJ22737" s="201"/>
    </row>
    <row r="22738" spans="62:62" x14ac:dyDescent="0.2">
      <c r="BJ22738" s="201"/>
    </row>
    <row r="22739" spans="62:62" x14ac:dyDescent="0.2">
      <c r="BJ22739" s="201"/>
    </row>
    <row r="22740" spans="62:62" x14ac:dyDescent="0.2">
      <c r="BJ22740" s="201"/>
    </row>
    <row r="22741" spans="62:62" x14ac:dyDescent="0.2">
      <c r="BJ22741" s="201"/>
    </row>
    <row r="22742" spans="62:62" x14ac:dyDescent="0.2">
      <c r="BJ22742" s="201"/>
    </row>
    <row r="22743" spans="62:62" x14ac:dyDescent="0.2">
      <c r="BJ22743" s="201"/>
    </row>
    <row r="22744" spans="62:62" x14ac:dyDescent="0.2">
      <c r="BJ22744" s="201"/>
    </row>
    <row r="22745" spans="62:62" x14ac:dyDescent="0.2">
      <c r="BJ22745" s="201"/>
    </row>
    <row r="22746" spans="62:62" x14ac:dyDescent="0.2">
      <c r="BJ22746" s="201"/>
    </row>
    <row r="22747" spans="62:62" x14ac:dyDescent="0.2">
      <c r="BJ22747" s="201"/>
    </row>
    <row r="22748" spans="62:62" x14ac:dyDescent="0.2">
      <c r="BJ22748" s="201"/>
    </row>
    <row r="22749" spans="62:62" x14ac:dyDescent="0.2">
      <c r="BJ22749" s="201"/>
    </row>
    <row r="22750" spans="62:62" x14ac:dyDescent="0.2">
      <c r="BJ22750" s="201"/>
    </row>
    <row r="22751" spans="62:62" x14ac:dyDescent="0.2">
      <c r="BJ22751" s="201"/>
    </row>
    <row r="22752" spans="62:62" x14ac:dyDescent="0.2">
      <c r="BJ22752" s="201"/>
    </row>
    <row r="22753" spans="62:62" x14ac:dyDescent="0.2">
      <c r="BJ22753" s="201"/>
    </row>
    <row r="22754" spans="62:62" x14ac:dyDescent="0.2">
      <c r="BJ22754" s="201"/>
    </row>
    <row r="22755" spans="62:62" x14ac:dyDescent="0.2">
      <c r="BJ22755" s="201"/>
    </row>
    <row r="22756" spans="62:62" x14ac:dyDescent="0.2">
      <c r="BJ22756" s="201"/>
    </row>
    <row r="22757" spans="62:62" x14ac:dyDescent="0.2">
      <c r="BJ22757" s="201"/>
    </row>
    <row r="22758" spans="62:62" x14ac:dyDescent="0.2">
      <c r="BJ22758" s="201"/>
    </row>
    <row r="22759" spans="62:62" x14ac:dyDescent="0.2">
      <c r="BJ22759" s="201"/>
    </row>
    <row r="22760" spans="62:62" x14ac:dyDescent="0.2">
      <c r="BJ22760" s="201"/>
    </row>
    <row r="22761" spans="62:62" x14ac:dyDescent="0.2">
      <c r="BJ22761" s="201"/>
    </row>
    <row r="22762" spans="62:62" x14ac:dyDescent="0.2">
      <c r="BJ22762" s="201"/>
    </row>
    <row r="22763" spans="62:62" x14ac:dyDescent="0.2">
      <c r="BJ22763" s="201"/>
    </row>
    <row r="22764" spans="62:62" x14ac:dyDescent="0.2">
      <c r="BJ22764" s="201"/>
    </row>
    <row r="22765" spans="62:62" x14ac:dyDescent="0.2">
      <c r="BJ22765" s="201"/>
    </row>
    <row r="22766" spans="62:62" x14ac:dyDescent="0.2">
      <c r="BJ22766" s="201"/>
    </row>
    <row r="22767" spans="62:62" x14ac:dyDescent="0.2">
      <c r="BJ22767" s="201"/>
    </row>
    <row r="22768" spans="62:62" x14ac:dyDescent="0.2">
      <c r="BJ22768" s="201"/>
    </row>
    <row r="22769" spans="62:62" x14ac:dyDescent="0.2">
      <c r="BJ22769" s="201"/>
    </row>
    <row r="22770" spans="62:62" x14ac:dyDescent="0.2">
      <c r="BJ22770" s="201"/>
    </row>
    <row r="22771" spans="62:62" x14ac:dyDescent="0.2">
      <c r="BJ22771" s="201"/>
    </row>
    <row r="22772" spans="62:62" x14ac:dyDescent="0.2">
      <c r="BJ22772" s="201"/>
    </row>
    <row r="22773" spans="62:62" x14ac:dyDescent="0.2">
      <c r="BJ22773" s="201"/>
    </row>
    <row r="22774" spans="62:62" x14ac:dyDescent="0.2">
      <c r="BJ22774" s="201"/>
    </row>
    <row r="22775" spans="62:62" x14ac:dyDescent="0.2">
      <c r="BJ22775" s="201"/>
    </row>
    <row r="22776" spans="62:62" x14ac:dyDescent="0.2">
      <c r="BJ22776" s="201"/>
    </row>
    <row r="22777" spans="62:62" x14ac:dyDescent="0.2">
      <c r="BJ22777" s="201"/>
    </row>
    <row r="22778" spans="62:62" x14ac:dyDescent="0.2">
      <c r="BJ22778" s="201"/>
    </row>
    <row r="22779" spans="62:62" x14ac:dyDescent="0.2">
      <c r="BJ22779" s="201"/>
    </row>
    <row r="22780" spans="62:62" x14ac:dyDescent="0.2">
      <c r="BJ22780" s="201"/>
    </row>
    <row r="22781" spans="62:62" x14ac:dyDescent="0.2">
      <c r="BJ22781" s="201"/>
    </row>
    <row r="22782" spans="62:62" x14ac:dyDescent="0.2">
      <c r="BJ22782" s="201"/>
    </row>
    <row r="22783" spans="62:62" x14ac:dyDescent="0.2">
      <c r="BJ22783" s="201"/>
    </row>
    <row r="22784" spans="62:62" x14ac:dyDescent="0.2">
      <c r="BJ22784" s="201"/>
    </row>
    <row r="22785" spans="62:62" x14ac:dyDescent="0.2">
      <c r="BJ22785" s="201"/>
    </row>
    <row r="22786" spans="62:62" x14ac:dyDescent="0.2">
      <c r="BJ22786" s="201"/>
    </row>
    <row r="22787" spans="62:62" x14ac:dyDescent="0.2">
      <c r="BJ22787" s="201"/>
    </row>
    <row r="22788" spans="62:62" x14ac:dyDescent="0.2">
      <c r="BJ22788" s="201"/>
    </row>
    <row r="22789" spans="62:62" x14ac:dyDescent="0.2">
      <c r="BJ22789" s="201"/>
    </row>
    <row r="22790" spans="62:62" x14ac:dyDescent="0.2">
      <c r="BJ22790" s="201"/>
    </row>
    <row r="22791" spans="62:62" x14ac:dyDescent="0.2">
      <c r="BJ22791" s="201"/>
    </row>
    <row r="22792" spans="62:62" x14ac:dyDescent="0.2">
      <c r="BJ22792" s="201"/>
    </row>
    <row r="22793" spans="62:62" x14ac:dyDescent="0.2">
      <c r="BJ22793" s="201"/>
    </row>
    <row r="22794" spans="62:62" x14ac:dyDescent="0.2">
      <c r="BJ22794" s="201"/>
    </row>
    <row r="22795" spans="62:62" x14ac:dyDescent="0.2">
      <c r="BJ22795" s="201"/>
    </row>
    <row r="22796" spans="62:62" x14ac:dyDescent="0.2">
      <c r="BJ22796" s="201"/>
    </row>
    <row r="22797" spans="62:62" x14ac:dyDescent="0.2">
      <c r="BJ22797" s="201"/>
    </row>
    <row r="22798" spans="62:62" x14ac:dyDescent="0.2">
      <c r="BJ22798" s="201"/>
    </row>
    <row r="22799" spans="62:62" x14ac:dyDescent="0.2">
      <c r="BJ22799" s="201"/>
    </row>
    <row r="22800" spans="62:62" x14ac:dyDescent="0.2">
      <c r="BJ22800" s="201"/>
    </row>
    <row r="22801" spans="62:62" x14ac:dyDescent="0.2">
      <c r="BJ22801" s="201"/>
    </row>
    <row r="22802" spans="62:62" x14ac:dyDescent="0.2">
      <c r="BJ22802" s="201"/>
    </row>
    <row r="22803" spans="62:62" x14ac:dyDescent="0.2">
      <c r="BJ22803" s="201"/>
    </row>
    <row r="22804" spans="62:62" x14ac:dyDescent="0.2">
      <c r="BJ22804" s="201"/>
    </row>
    <row r="22805" spans="62:62" x14ac:dyDescent="0.2">
      <c r="BJ22805" s="201"/>
    </row>
    <row r="22806" spans="62:62" x14ac:dyDescent="0.2">
      <c r="BJ22806" s="201"/>
    </row>
    <row r="22807" spans="62:62" x14ac:dyDescent="0.2">
      <c r="BJ22807" s="201"/>
    </row>
    <row r="22808" spans="62:62" x14ac:dyDescent="0.2">
      <c r="BJ22808" s="201"/>
    </row>
    <row r="22809" spans="62:62" x14ac:dyDescent="0.2">
      <c r="BJ22809" s="201"/>
    </row>
    <row r="22810" spans="62:62" x14ac:dyDescent="0.2">
      <c r="BJ22810" s="201"/>
    </row>
    <row r="22811" spans="62:62" x14ac:dyDescent="0.2">
      <c r="BJ22811" s="201"/>
    </row>
    <row r="22812" spans="62:62" x14ac:dyDescent="0.2">
      <c r="BJ22812" s="201"/>
    </row>
    <row r="22813" spans="62:62" x14ac:dyDescent="0.2">
      <c r="BJ22813" s="201"/>
    </row>
    <row r="22814" spans="62:62" x14ac:dyDescent="0.2">
      <c r="BJ22814" s="201"/>
    </row>
    <row r="22815" spans="62:62" x14ac:dyDescent="0.2">
      <c r="BJ22815" s="201"/>
    </row>
    <row r="22816" spans="62:62" x14ac:dyDescent="0.2">
      <c r="BJ22816" s="201"/>
    </row>
    <row r="22817" spans="62:62" x14ac:dyDescent="0.2">
      <c r="BJ22817" s="201"/>
    </row>
    <row r="22818" spans="62:62" x14ac:dyDescent="0.2">
      <c r="BJ22818" s="201"/>
    </row>
    <row r="22819" spans="62:62" x14ac:dyDescent="0.2">
      <c r="BJ22819" s="201"/>
    </row>
    <row r="22820" spans="62:62" x14ac:dyDescent="0.2">
      <c r="BJ22820" s="201"/>
    </row>
    <row r="22821" spans="62:62" x14ac:dyDescent="0.2">
      <c r="BJ22821" s="201"/>
    </row>
    <row r="22822" spans="62:62" x14ac:dyDescent="0.2">
      <c r="BJ22822" s="201"/>
    </row>
    <row r="22823" spans="62:62" x14ac:dyDescent="0.2">
      <c r="BJ22823" s="201"/>
    </row>
    <row r="22824" spans="62:62" x14ac:dyDescent="0.2">
      <c r="BJ22824" s="201"/>
    </row>
    <row r="22825" spans="62:62" x14ac:dyDescent="0.2">
      <c r="BJ22825" s="201"/>
    </row>
    <row r="22826" spans="62:62" x14ac:dyDescent="0.2">
      <c r="BJ22826" s="201"/>
    </row>
    <row r="22827" spans="62:62" x14ac:dyDescent="0.2">
      <c r="BJ22827" s="201"/>
    </row>
    <row r="22828" spans="62:62" x14ac:dyDescent="0.2">
      <c r="BJ22828" s="201"/>
    </row>
    <row r="22829" spans="62:62" x14ac:dyDescent="0.2">
      <c r="BJ22829" s="201"/>
    </row>
    <row r="22830" spans="62:62" x14ac:dyDescent="0.2">
      <c r="BJ22830" s="201"/>
    </row>
    <row r="22831" spans="62:62" x14ac:dyDescent="0.2">
      <c r="BJ22831" s="201"/>
    </row>
    <row r="22832" spans="62:62" x14ac:dyDescent="0.2">
      <c r="BJ22832" s="201"/>
    </row>
    <row r="22833" spans="62:62" x14ac:dyDescent="0.2">
      <c r="BJ22833" s="201"/>
    </row>
    <row r="22834" spans="62:62" x14ac:dyDescent="0.2">
      <c r="BJ22834" s="201"/>
    </row>
    <row r="22835" spans="62:62" x14ac:dyDescent="0.2">
      <c r="BJ22835" s="201"/>
    </row>
    <row r="22836" spans="62:62" x14ac:dyDescent="0.2">
      <c r="BJ22836" s="201"/>
    </row>
    <row r="22837" spans="62:62" x14ac:dyDescent="0.2">
      <c r="BJ22837" s="201"/>
    </row>
    <row r="22838" spans="62:62" x14ac:dyDescent="0.2">
      <c r="BJ22838" s="201"/>
    </row>
    <row r="22839" spans="62:62" x14ac:dyDescent="0.2">
      <c r="BJ22839" s="201"/>
    </row>
    <row r="22840" spans="62:62" x14ac:dyDescent="0.2">
      <c r="BJ22840" s="201"/>
    </row>
    <row r="22841" spans="62:62" x14ac:dyDescent="0.2">
      <c r="BJ22841" s="201"/>
    </row>
    <row r="22842" spans="62:62" x14ac:dyDescent="0.2">
      <c r="BJ22842" s="201"/>
    </row>
    <row r="22843" spans="62:62" x14ac:dyDescent="0.2">
      <c r="BJ22843" s="201"/>
    </row>
    <row r="22844" spans="62:62" x14ac:dyDescent="0.2">
      <c r="BJ22844" s="201"/>
    </row>
    <row r="22845" spans="62:62" x14ac:dyDescent="0.2">
      <c r="BJ22845" s="201"/>
    </row>
    <row r="22846" spans="62:62" x14ac:dyDescent="0.2">
      <c r="BJ22846" s="201"/>
    </row>
    <row r="22847" spans="62:62" x14ac:dyDescent="0.2">
      <c r="BJ22847" s="201"/>
    </row>
    <row r="22848" spans="62:62" x14ac:dyDescent="0.2">
      <c r="BJ22848" s="201"/>
    </row>
    <row r="22849" spans="62:62" x14ac:dyDescent="0.2">
      <c r="BJ22849" s="201"/>
    </row>
    <row r="22850" spans="62:62" x14ac:dyDescent="0.2">
      <c r="BJ22850" s="201"/>
    </row>
    <row r="22851" spans="62:62" x14ac:dyDescent="0.2">
      <c r="BJ22851" s="201"/>
    </row>
    <row r="22852" spans="62:62" x14ac:dyDescent="0.2">
      <c r="BJ22852" s="201"/>
    </row>
    <row r="22853" spans="62:62" x14ac:dyDescent="0.2">
      <c r="BJ22853" s="201"/>
    </row>
    <row r="22854" spans="62:62" x14ac:dyDescent="0.2">
      <c r="BJ22854" s="201"/>
    </row>
    <row r="22855" spans="62:62" x14ac:dyDescent="0.2">
      <c r="BJ22855" s="201"/>
    </row>
    <row r="22856" spans="62:62" x14ac:dyDescent="0.2">
      <c r="BJ22856" s="201"/>
    </row>
    <row r="22857" spans="62:62" x14ac:dyDescent="0.2">
      <c r="BJ22857" s="201"/>
    </row>
    <row r="22858" spans="62:62" x14ac:dyDescent="0.2">
      <c r="BJ22858" s="201"/>
    </row>
    <row r="22859" spans="62:62" x14ac:dyDescent="0.2">
      <c r="BJ22859" s="201"/>
    </row>
    <row r="22860" spans="62:62" x14ac:dyDescent="0.2">
      <c r="BJ22860" s="201"/>
    </row>
    <row r="22861" spans="62:62" x14ac:dyDescent="0.2">
      <c r="BJ22861" s="201"/>
    </row>
    <row r="22862" spans="62:62" x14ac:dyDescent="0.2">
      <c r="BJ22862" s="201"/>
    </row>
    <row r="22863" spans="62:62" x14ac:dyDescent="0.2">
      <c r="BJ22863" s="201"/>
    </row>
    <row r="22864" spans="62:62" x14ac:dyDescent="0.2">
      <c r="BJ22864" s="201"/>
    </row>
    <row r="22865" spans="62:62" x14ac:dyDescent="0.2">
      <c r="BJ22865" s="201"/>
    </row>
    <row r="22866" spans="62:62" x14ac:dyDescent="0.2">
      <c r="BJ22866" s="201"/>
    </row>
    <row r="22867" spans="62:62" x14ac:dyDescent="0.2">
      <c r="BJ22867" s="201"/>
    </row>
    <row r="22868" spans="62:62" x14ac:dyDescent="0.2">
      <c r="BJ22868" s="201"/>
    </row>
    <row r="22869" spans="62:62" x14ac:dyDescent="0.2">
      <c r="BJ22869" s="201"/>
    </row>
    <row r="22870" spans="62:62" x14ac:dyDescent="0.2">
      <c r="BJ22870" s="201"/>
    </row>
    <row r="22871" spans="62:62" x14ac:dyDescent="0.2">
      <c r="BJ22871" s="201"/>
    </row>
    <row r="22872" spans="62:62" x14ac:dyDescent="0.2">
      <c r="BJ22872" s="201"/>
    </row>
    <row r="22873" spans="62:62" x14ac:dyDescent="0.2">
      <c r="BJ22873" s="201"/>
    </row>
    <row r="22874" spans="62:62" x14ac:dyDescent="0.2">
      <c r="BJ22874" s="201"/>
    </row>
    <row r="22875" spans="62:62" x14ac:dyDescent="0.2">
      <c r="BJ22875" s="201"/>
    </row>
    <row r="22876" spans="62:62" x14ac:dyDescent="0.2">
      <c r="BJ22876" s="201"/>
    </row>
    <row r="22877" spans="62:62" x14ac:dyDescent="0.2">
      <c r="BJ22877" s="201"/>
    </row>
    <row r="22878" spans="62:62" x14ac:dyDescent="0.2">
      <c r="BJ22878" s="201"/>
    </row>
    <row r="22879" spans="62:62" x14ac:dyDescent="0.2">
      <c r="BJ22879" s="201"/>
    </row>
    <row r="22880" spans="62:62" x14ac:dyDescent="0.2">
      <c r="BJ22880" s="201"/>
    </row>
    <row r="22881" spans="62:62" x14ac:dyDescent="0.2">
      <c r="BJ22881" s="201"/>
    </row>
    <row r="22882" spans="62:62" x14ac:dyDescent="0.2">
      <c r="BJ22882" s="201"/>
    </row>
    <row r="22883" spans="62:62" x14ac:dyDescent="0.2">
      <c r="BJ22883" s="201"/>
    </row>
    <row r="22884" spans="62:62" x14ac:dyDescent="0.2">
      <c r="BJ22884" s="201"/>
    </row>
    <row r="22885" spans="62:62" x14ac:dyDescent="0.2">
      <c r="BJ22885" s="201"/>
    </row>
    <row r="22886" spans="62:62" x14ac:dyDescent="0.2">
      <c r="BJ22886" s="201"/>
    </row>
    <row r="22887" spans="62:62" x14ac:dyDescent="0.2">
      <c r="BJ22887" s="201"/>
    </row>
    <row r="22888" spans="62:62" x14ac:dyDescent="0.2">
      <c r="BJ22888" s="201"/>
    </row>
    <row r="22889" spans="62:62" x14ac:dyDescent="0.2">
      <c r="BJ22889" s="201"/>
    </row>
    <row r="22890" spans="62:62" x14ac:dyDescent="0.2">
      <c r="BJ22890" s="201"/>
    </row>
    <row r="22891" spans="62:62" x14ac:dyDescent="0.2">
      <c r="BJ22891" s="201"/>
    </row>
    <row r="22892" spans="62:62" x14ac:dyDescent="0.2">
      <c r="BJ22892" s="201"/>
    </row>
    <row r="22893" spans="62:62" x14ac:dyDescent="0.2">
      <c r="BJ22893" s="201"/>
    </row>
    <row r="22894" spans="62:62" x14ac:dyDescent="0.2">
      <c r="BJ22894" s="201"/>
    </row>
    <row r="22895" spans="62:62" x14ac:dyDescent="0.2">
      <c r="BJ22895" s="201"/>
    </row>
    <row r="22896" spans="62:62" x14ac:dyDescent="0.2">
      <c r="BJ22896" s="201"/>
    </row>
    <row r="22897" spans="62:62" x14ac:dyDescent="0.2">
      <c r="BJ22897" s="201"/>
    </row>
    <row r="22898" spans="62:62" x14ac:dyDescent="0.2">
      <c r="BJ22898" s="201"/>
    </row>
    <row r="22899" spans="62:62" x14ac:dyDescent="0.2">
      <c r="BJ22899" s="201"/>
    </row>
    <row r="22900" spans="62:62" x14ac:dyDescent="0.2">
      <c r="BJ22900" s="201"/>
    </row>
    <row r="22901" spans="62:62" x14ac:dyDescent="0.2">
      <c r="BJ22901" s="201"/>
    </row>
    <row r="22902" spans="62:62" x14ac:dyDescent="0.2">
      <c r="BJ22902" s="201"/>
    </row>
    <row r="22903" spans="62:62" x14ac:dyDescent="0.2">
      <c r="BJ22903" s="201"/>
    </row>
    <row r="22904" spans="62:62" x14ac:dyDescent="0.2">
      <c r="BJ22904" s="201"/>
    </row>
    <row r="22905" spans="62:62" x14ac:dyDescent="0.2">
      <c r="BJ22905" s="201"/>
    </row>
    <row r="22906" spans="62:62" x14ac:dyDescent="0.2">
      <c r="BJ22906" s="201"/>
    </row>
    <row r="22907" spans="62:62" x14ac:dyDescent="0.2">
      <c r="BJ22907" s="201"/>
    </row>
    <row r="22908" spans="62:62" x14ac:dyDescent="0.2">
      <c r="BJ22908" s="201"/>
    </row>
    <row r="22909" spans="62:62" x14ac:dyDescent="0.2">
      <c r="BJ22909" s="201"/>
    </row>
    <row r="22910" spans="62:62" x14ac:dyDescent="0.2">
      <c r="BJ22910" s="201"/>
    </row>
    <row r="22911" spans="62:62" x14ac:dyDescent="0.2">
      <c r="BJ22911" s="201"/>
    </row>
    <row r="22912" spans="62:62" x14ac:dyDescent="0.2">
      <c r="BJ22912" s="201"/>
    </row>
    <row r="22913" spans="62:62" x14ac:dyDescent="0.2">
      <c r="BJ22913" s="201"/>
    </row>
    <row r="22914" spans="62:62" x14ac:dyDescent="0.2">
      <c r="BJ22914" s="201"/>
    </row>
    <row r="22915" spans="62:62" x14ac:dyDescent="0.2">
      <c r="BJ22915" s="201"/>
    </row>
    <row r="22916" spans="62:62" x14ac:dyDescent="0.2">
      <c r="BJ22916" s="201"/>
    </row>
    <row r="22917" spans="62:62" x14ac:dyDescent="0.2">
      <c r="BJ22917" s="201"/>
    </row>
    <row r="22918" spans="62:62" x14ac:dyDescent="0.2">
      <c r="BJ22918" s="201"/>
    </row>
    <row r="22919" spans="62:62" x14ac:dyDescent="0.2">
      <c r="BJ22919" s="201"/>
    </row>
    <row r="22920" spans="62:62" x14ac:dyDescent="0.2">
      <c r="BJ22920" s="201"/>
    </row>
    <row r="22921" spans="62:62" x14ac:dyDescent="0.2">
      <c r="BJ22921" s="201"/>
    </row>
    <row r="22922" spans="62:62" x14ac:dyDescent="0.2">
      <c r="BJ22922" s="201"/>
    </row>
    <row r="22923" spans="62:62" x14ac:dyDescent="0.2">
      <c r="BJ22923" s="201"/>
    </row>
    <row r="22924" spans="62:62" x14ac:dyDescent="0.2">
      <c r="BJ22924" s="201"/>
    </row>
    <row r="22925" spans="62:62" x14ac:dyDescent="0.2">
      <c r="BJ22925" s="201"/>
    </row>
    <row r="22926" spans="62:62" x14ac:dyDescent="0.2">
      <c r="BJ22926" s="201"/>
    </row>
    <row r="22927" spans="62:62" x14ac:dyDescent="0.2">
      <c r="BJ22927" s="201"/>
    </row>
    <row r="22928" spans="62:62" x14ac:dyDescent="0.2">
      <c r="BJ22928" s="201"/>
    </row>
    <row r="22929" spans="62:62" x14ac:dyDescent="0.2">
      <c r="BJ22929" s="201"/>
    </row>
    <row r="22930" spans="62:62" x14ac:dyDescent="0.2">
      <c r="BJ22930" s="201"/>
    </row>
    <row r="22931" spans="62:62" x14ac:dyDescent="0.2">
      <c r="BJ22931" s="201"/>
    </row>
    <row r="22932" spans="62:62" x14ac:dyDescent="0.2">
      <c r="BJ22932" s="201"/>
    </row>
    <row r="22933" spans="62:62" x14ac:dyDescent="0.2">
      <c r="BJ22933" s="201"/>
    </row>
    <row r="22934" spans="62:62" x14ac:dyDescent="0.2">
      <c r="BJ22934" s="201"/>
    </row>
    <row r="22935" spans="62:62" x14ac:dyDescent="0.2">
      <c r="BJ22935" s="201"/>
    </row>
    <row r="22936" spans="62:62" x14ac:dyDescent="0.2">
      <c r="BJ22936" s="201"/>
    </row>
    <row r="22937" spans="62:62" x14ac:dyDescent="0.2">
      <c r="BJ22937" s="201"/>
    </row>
    <row r="22938" spans="62:62" x14ac:dyDescent="0.2">
      <c r="BJ22938" s="201"/>
    </row>
    <row r="22939" spans="62:62" x14ac:dyDescent="0.2">
      <c r="BJ22939" s="201"/>
    </row>
    <row r="22940" spans="62:62" x14ac:dyDescent="0.2">
      <c r="BJ22940" s="201"/>
    </row>
    <row r="22941" spans="62:62" x14ac:dyDescent="0.2">
      <c r="BJ22941" s="201"/>
    </row>
    <row r="22942" spans="62:62" x14ac:dyDescent="0.2">
      <c r="BJ22942" s="201"/>
    </row>
    <row r="22943" spans="62:62" x14ac:dyDescent="0.2">
      <c r="BJ22943" s="201"/>
    </row>
    <row r="22944" spans="62:62" x14ac:dyDescent="0.2">
      <c r="BJ22944" s="201"/>
    </row>
    <row r="22945" spans="62:62" x14ac:dyDescent="0.2">
      <c r="BJ22945" s="201"/>
    </row>
    <row r="22946" spans="62:62" x14ac:dyDescent="0.2">
      <c r="BJ22946" s="201"/>
    </row>
    <row r="22947" spans="62:62" x14ac:dyDescent="0.2">
      <c r="BJ22947" s="201"/>
    </row>
    <row r="22948" spans="62:62" x14ac:dyDescent="0.2">
      <c r="BJ22948" s="201"/>
    </row>
    <row r="22949" spans="62:62" x14ac:dyDescent="0.2">
      <c r="BJ22949" s="201"/>
    </row>
    <row r="22950" spans="62:62" x14ac:dyDescent="0.2">
      <c r="BJ22950" s="201"/>
    </row>
    <row r="22951" spans="62:62" x14ac:dyDescent="0.2">
      <c r="BJ22951" s="201"/>
    </row>
    <row r="22952" spans="62:62" x14ac:dyDescent="0.2">
      <c r="BJ22952" s="201"/>
    </row>
    <row r="22953" spans="62:62" x14ac:dyDescent="0.2">
      <c r="BJ22953" s="201"/>
    </row>
    <row r="22954" spans="62:62" x14ac:dyDescent="0.2">
      <c r="BJ22954" s="201"/>
    </row>
    <row r="22955" spans="62:62" x14ac:dyDescent="0.2">
      <c r="BJ22955" s="201"/>
    </row>
    <row r="22956" spans="62:62" x14ac:dyDescent="0.2">
      <c r="BJ22956" s="201"/>
    </row>
    <row r="22957" spans="62:62" x14ac:dyDescent="0.2">
      <c r="BJ22957" s="201"/>
    </row>
    <row r="22958" spans="62:62" x14ac:dyDescent="0.2">
      <c r="BJ22958" s="201"/>
    </row>
    <row r="22959" spans="62:62" x14ac:dyDescent="0.2">
      <c r="BJ22959" s="201"/>
    </row>
    <row r="22960" spans="62:62" x14ac:dyDescent="0.2">
      <c r="BJ22960" s="201"/>
    </row>
    <row r="22961" spans="62:62" x14ac:dyDescent="0.2">
      <c r="BJ22961" s="201"/>
    </row>
    <row r="22962" spans="62:62" x14ac:dyDescent="0.2">
      <c r="BJ22962" s="201"/>
    </row>
    <row r="22963" spans="62:62" x14ac:dyDescent="0.2">
      <c r="BJ22963" s="201"/>
    </row>
    <row r="22964" spans="62:62" x14ac:dyDescent="0.2">
      <c r="BJ22964" s="201"/>
    </row>
    <row r="22965" spans="62:62" x14ac:dyDescent="0.2">
      <c r="BJ22965" s="201"/>
    </row>
    <row r="22966" spans="62:62" x14ac:dyDescent="0.2">
      <c r="BJ22966" s="201"/>
    </row>
    <row r="22967" spans="62:62" x14ac:dyDescent="0.2">
      <c r="BJ22967" s="201"/>
    </row>
    <row r="22968" spans="62:62" x14ac:dyDescent="0.2">
      <c r="BJ22968" s="201"/>
    </row>
    <row r="22969" spans="62:62" x14ac:dyDescent="0.2">
      <c r="BJ22969" s="201"/>
    </row>
    <row r="22970" spans="62:62" x14ac:dyDescent="0.2">
      <c r="BJ22970" s="201"/>
    </row>
    <row r="22971" spans="62:62" x14ac:dyDescent="0.2">
      <c r="BJ22971" s="201"/>
    </row>
    <row r="22972" spans="62:62" x14ac:dyDescent="0.2">
      <c r="BJ22972" s="201"/>
    </row>
    <row r="22973" spans="62:62" x14ac:dyDescent="0.2">
      <c r="BJ22973" s="201"/>
    </row>
    <row r="22974" spans="62:62" x14ac:dyDescent="0.2">
      <c r="BJ22974" s="201"/>
    </row>
    <row r="22975" spans="62:62" x14ac:dyDescent="0.2">
      <c r="BJ22975" s="201"/>
    </row>
    <row r="22976" spans="62:62" x14ac:dyDescent="0.2">
      <c r="BJ22976" s="201"/>
    </row>
    <row r="22977" spans="62:62" x14ac:dyDescent="0.2">
      <c r="BJ22977" s="201"/>
    </row>
    <row r="22978" spans="62:62" x14ac:dyDescent="0.2">
      <c r="BJ22978" s="201"/>
    </row>
    <row r="22979" spans="62:62" x14ac:dyDescent="0.2">
      <c r="BJ22979" s="201"/>
    </row>
    <row r="22980" spans="62:62" x14ac:dyDescent="0.2">
      <c r="BJ22980" s="201"/>
    </row>
    <row r="22981" spans="62:62" x14ac:dyDescent="0.2">
      <c r="BJ22981" s="201"/>
    </row>
    <row r="22982" spans="62:62" x14ac:dyDescent="0.2">
      <c r="BJ22982" s="201"/>
    </row>
    <row r="22983" spans="62:62" x14ac:dyDescent="0.2">
      <c r="BJ22983" s="201"/>
    </row>
    <row r="22984" spans="62:62" x14ac:dyDescent="0.2">
      <c r="BJ22984" s="201"/>
    </row>
    <row r="22985" spans="62:62" x14ac:dyDescent="0.2">
      <c r="BJ22985" s="201"/>
    </row>
    <row r="22986" spans="62:62" x14ac:dyDescent="0.2">
      <c r="BJ22986" s="201"/>
    </row>
    <row r="22987" spans="62:62" x14ac:dyDescent="0.2">
      <c r="BJ22987" s="201"/>
    </row>
    <row r="22988" spans="62:62" x14ac:dyDescent="0.2">
      <c r="BJ22988" s="201"/>
    </row>
    <row r="22989" spans="62:62" x14ac:dyDescent="0.2">
      <c r="BJ22989" s="201"/>
    </row>
    <row r="22990" spans="62:62" x14ac:dyDescent="0.2">
      <c r="BJ22990" s="201"/>
    </row>
    <row r="22991" spans="62:62" x14ac:dyDescent="0.2">
      <c r="BJ22991" s="201"/>
    </row>
    <row r="22992" spans="62:62" x14ac:dyDescent="0.2">
      <c r="BJ22992" s="201"/>
    </row>
    <row r="22993" spans="62:62" x14ac:dyDescent="0.2">
      <c r="BJ22993" s="201"/>
    </row>
    <row r="22994" spans="62:62" x14ac:dyDescent="0.2">
      <c r="BJ22994" s="201"/>
    </row>
    <row r="22995" spans="62:62" x14ac:dyDescent="0.2">
      <c r="BJ22995" s="201"/>
    </row>
    <row r="22996" spans="62:62" x14ac:dyDescent="0.2">
      <c r="BJ22996" s="201"/>
    </row>
    <row r="22997" spans="62:62" x14ac:dyDescent="0.2">
      <c r="BJ22997" s="201"/>
    </row>
    <row r="22998" spans="62:62" x14ac:dyDescent="0.2">
      <c r="BJ22998" s="201"/>
    </row>
    <row r="22999" spans="62:62" x14ac:dyDescent="0.2">
      <c r="BJ22999" s="201"/>
    </row>
    <row r="23000" spans="62:62" x14ac:dyDescent="0.2">
      <c r="BJ23000" s="201"/>
    </row>
    <row r="23001" spans="62:62" x14ac:dyDescent="0.2">
      <c r="BJ23001" s="201"/>
    </row>
    <row r="23002" spans="62:62" x14ac:dyDescent="0.2">
      <c r="BJ23002" s="201"/>
    </row>
    <row r="23003" spans="62:62" x14ac:dyDescent="0.2">
      <c r="BJ23003" s="201"/>
    </row>
    <row r="23004" spans="62:62" x14ac:dyDescent="0.2">
      <c r="BJ23004" s="201"/>
    </row>
    <row r="23005" spans="62:62" x14ac:dyDescent="0.2">
      <c r="BJ23005" s="201"/>
    </row>
    <row r="23006" spans="62:62" x14ac:dyDescent="0.2">
      <c r="BJ23006" s="201"/>
    </row>
    <row r="23007" spans="62:62" x14ac:dyDescent="0.2">
      <c r="BJ23007" s="201"/>
    </row>
    <row r="23008" spans="62:62" x14ac:dyDescent="0.2">
      <c r="BJ23008" s="201"/>
    </row>
    <row r="23009" spans="62:62" x14ac:dyDescent="0.2">
      <c r="BJ23009" s="201"/>
    </row>
    <row r="23010" spans="62:62" x14ac:dyDescent="0.2">
      <c r="BJ23010" s="201"/>
    </row>
    <row r="23011" spans="62:62" x14ac:dyDescent="0.2">
      <c r="BJ23011" s="201"/>
    </row>
    <row r="23012" spans="62:62" x14ac:dyDescent="0.2">
      <c r="BJ23012" s="201"/>
    </row>
    <row r="23013" spans="62:62" x14ac:dyDescent="0.2">
      <c r="BJ23013" s="201"/>
    </row>
    <row r="23014" spans="62:62" x14ac:dyDescent="0.2">
      <c r="BJ23014" s="201"/>
    </row>
    <row r="23015" spans="62:62" x14ac:dyDescent="0.2">
      <c r="BJ23015" s="201"/>
    </row>
    <row r="23016" spans="62:62" x14ac:dyDescent="0.2">
      <c r="BJ23016" s="201"/>
    </row>
    <row r="23017" spans="62:62" x14ac:dyDescent="0.2">
      <c r="BJ23017" s="201"/>
    </row>
    <row r="23018" spans="62:62" x14ac:dyDescent="0.2">
      <c r="BJ23018" s="201"/>
    </row>
    <row r="23019" spans="62:62" x14ac:dyDescent="0.2">
      <c r="BJ23019" s="201"/>
    </row>
    <row r="23020" spans="62:62" x14ac:dyDescent="0.2">
      <c r="BJ23020" s="201"/>
    </row>
    <row r="23021" spans="62:62" x14ac:dyDescent="0.2">
      <c r="BJ23021" s="201"/>
    </row>
    <row r="23022" spans="62:62" x14ac:dyDescent="0.2">
      <c r="BJ23022" s="201"/>
    </row>
    <row r="23023" spans="62:62" x14ac:dyDescent="0.2">
      <c r="BJ23023" s="201"/>
    </row>
    <row r="23024" spans="62:62" x14ac:dyDescent="0.2">
      <c r="BJ23024" s="201"/>
    </row>
    <row r="23025" spans="62:62" x14ac:dyDescent="0.2">
      <c r="BJ23025" s="201"/>
    </row>
    <row r="23026" spans="62:62" x14ac:dyDescent="0.2">
      <c r="BJ23026" s="201"/>
    </row>
    <row r="23027" spans="62:62" x14ac:dyDescent="0.2">
      <c r="BJ23027" s="201"/>
    </row>
    <row r="23028" spans="62:62" x14ac:dyDescent="0.2">
      <c r="BJ23028" s="201"/>
    </row>
    <row r="23029" spans="62:62" x14ac:dyDescent="0.2">
      <c r="BJ23029" s="201"/>
    </row>
    <row r="23030" spans="62:62" x14ac:dyDescent="0.2">
      <c r="BJ23030" s="201"/>
    </row>
    <row r="23031" spans="62:62" x14ac:dyDescent="0.2">
      <c r="BJ23031" s="201"/>
    </row>
    <row r="23032" spans="62:62" x14ac:dyDescent="0.2">
      <c r="BJ23032" s="201"/>
    </row>
    <row r="23033" spans="62:62" x14ac:dyDescent="0.2">
      <c r="BJ23033" s="201"/>
    </row>
    <row r="23034" spans="62:62" x14ac:dyDescent="0.2">
      <c r="BJ23034" s="201"/>
    </row>
    <row r="23035" spans="62:62" x14ac:dyDescent="0.2">
      <c r="BJ23035" s="201"/>
    </row>
    <row r="23036" spans="62:62" x14ac:dyDescent="0.2">
      <c r="BJ23036" s="201"/>
    </row>
    <row r="23037" spans="62:62" x14ac:dyDescent="0.2">
      <c r="BJ23037" s="201"/>
    </row>
    <row r="23038" spans="62:62" x14ac:dyDescent="0.2">
      <c r="BJ23038" s="201"/>
    </row>
    <row r="23039" spans="62:62" x14ac:dyDescent="0.2">
      <c r="BJ23039" s="201"/>
    </row>
    <row r="23040" spans="62:62" x14ac:dyDescent="0.2">
      <c r="BJ23040" s="201"/>
    </row>
    <row r="23041" spans="62:62" x14ac:dyDescent="0.2">
      <c r="BJ23041" s="201"/>
    </row>
    <row r="23042" spans="62:62" x14ac:dyDescent="0.2">
      <c r="BJ23042" s="201"/>
    </row>
    <row r="23043" spans="62:62" x14ac:dyDescent="0.2">
      <c r="BJ23043" s="201"/>
    </row>
    <row r="23044" spans="62:62" x14ac:dyDescent="0.2">
      <c r="BJ23044" s="201"/>
    </row>
    <row r="23045" spans="62:62" x14ac:dyDescent="0.2">
      <c r="BJ23045" s="201"/>
    </row>
    <row r="23046" spans="62:62" x14ac:dyDescent="0.2">
      <c r="BJ23046" s="201"/>
    </row>
    <row r="23047" spans="62:62" x14ac:dyDescent="0.2">
      <c r="BJ23047" s="201"/>
    </row>
    <row r="23048" spans="62:62" x14ac:dyDescent="0.2">
      <c r="BJ23048" s="201"/>
    </row>
    <row r="23049" spans="62:62" x14ac:dyDescent="0.2">
      <c r="BJ23049" s="201"/>
    </row>
    <row r="23050" spans="62:62" x14ac:dyDescent="0.2">
      <c r="BJ23050" s="201"/>
    </row>
    <row r="23051" spans="62:62" x14ac:dyDescent="0.2">
      <c r="BJ23051" s="201"/>
    </row>
    <row r="23052" spans="62:62" x14ac:dyDescent="0.2">
      <c r="BJ23052" s="201"/>
    </row>
    <row r="23053" spans="62:62" x14ac:dyDescent="0.2">
      <c r="BJ23053" s="201"/>
    </row>
    <row r="23054" spans="62:62" x14ac:dyDescent="0.2">
      <c r="BJ23054" s="201"/>
    </row>
    <row r="23055" spans="62:62" x14ac:dyDescent="0.2">
      <c r="BJ23055" s="201"/>
    </row>
    <row r="23056" spans="62:62" x14ac:dyDescent="0.2">
      <c r="BJ23056" s="201"/>
    </row>
    <row r="23057" spans="62:62" x14ac:dyDescent="0.2">
      <c r="BJ23057" s="201"/>
    </row>
    <row r="23058" spans="62:62" x14ac:dyDescent="0.2">
      <c r="BJ23058" s="201"/>
    </row>
    <row r="23059" spans="62:62" x14ac:dyDescent="0.2">
      <c r="BJ23059" s="201"/>
    </row>
    <row r="23060" spans="62:62" x14ac:dyDescent="0.2">
      <c r="BJ23060" s="201"/>
    </row>
    <row r="23061" spans="62:62" x14ac:dyDescent="0.2">
      <c r="BJ23061" s="201"/>
    </row>
    <row r="23062" spans="62:62" x14ac:dyDescent="0.2">
      <c r="BJ23062" s="201"/>
    </row>
    <row r="23063" spans="62:62" x14ac:dyDescent="0.2">
      <c r="BJ23063" s="201"/>
    </row>
    <row r="23064" spans="62:62" x14ac:dyDescent="0.2">
      <c r="BJ23064" s="201"/>
    </row>
    <row r="23065" spans="62:62" x14ac:dyDescent="0.2">
      <c r="BJ23065" s="201"/>
    </row>
    <row r="23066" spans="62:62" x14ac:dyDescent="0.2">
      <c r="BJ23066" s="201"/>
    </row>
    <row r="23067" spans="62:62" x14ac:dyDescent="0.2">
      <c r="BJ23067" s="201"/>
    </row>
    <row r="23068" spans="62:62" x14ac:dyDescent="0.2">
      <c r="BJ23068" s="201"/>
    </row>
    <row r="23069" spans="62:62" x14ac:dyDescent="0.2">
      <c r="BJ23069" s="201"/>
    </row>
    <row r="23070" spans="62:62" x14ac:dyDescent="0.2">
      <c r="BJ23070" s="201"/>
    </row>
    <row r="23071" spans="62:62" x14ac:dyDescent="0.2">
      <c r="BJ23071" s="201"/>
    </row>
    <row r="23072" spans="62:62" x14ac:dyDescent="0.2">
      <c r="BJ23072" s="201"/>
    </row>
    <row r="23073" spans="62:62" x14ac:dyDescent="0.2">
      <c r="BJ23073" s="201"/>
    </row>
    <row r="23074" spans="62:62" x14ac:dyDescent="0.2">
      <c r="BJ23074" s="201"/>
    </row>
    <row r="23075" spans="62:62" x14ac:dyDescent="0.2">
      <c r="BJ23075" s="201"/>
    </row>
    <row r="23076" spans="62:62" x14ac:dyDescent="0.2">
      <c r="BJ23076" s="201"/>
    </row>
    <row r="23077" spans="62:62" x14ac:dyDescent="0.2">
      <c r="BJ23077" s="201"/>
    </row>
    <row r="23078" spans="62:62" x14ac:dyDescent="0.2">
      <c r="BJ23078" s="201"/>
    </row>
    <row r="23079" spans="62:62" x14ac:dyDescent="0.2">
      <c r="BJ23079" s="201"/>
    </row>
    <row r="23080" spans="62:62" x14ac:dyDescent="0.2">
      <c r="BJ23080" s="201"/>
    </row>
    <row r="23081" spans="62:62" x14ac:dyDescent="0.2">
      <c r="BJ23081" s="201"/>
    </row>
    <row r="23082" spans="62:62" x14ac:dyDescent="0.2">
      <c r="BJ23082" s="201"/>
    </row>
    <row r="23083" spans="62:62" x14ac:dyDescent="0.2">
      <c r="BJ23083" s="201"/>
    </row>
    <row r="23084" spans="62:62" x14ac:dyDescent="0.2">
      <c r="BJ23084" s="201"/>
    </row>
    <row r="23085" spans="62:62" x14ac:dyDescent="0.2">
      <c r="BJ23085" s="201"/>
    </row>
    <row r="23086" spans="62:62" x14ac:dyDescent="0.2">
      <c r="BJ23086" s="201"/>
    </row>
    <row r="23087" spans="62:62" x14ac:dyDescent="0.2">
      <c r="BJ23087" s="201"/>
    </row>
    <row r="23088" spans="62:62" x14ac:dyDescent="0.2">
      <c r="BJ23088" s="201"/>
    </row>
    <row r="23089" spans="62:62" x14ac:dyDescent="0.2">
      <c r="BJ23089" s="201"/>
    </row>
    <row r="23090" spans="62:62" x14ac:dyDescent="0.2">
      <c r="BJ23090" s="201"/>
    </row>
    <row r="23091" spans="62:62" x14ac:dyDescent="0.2">
      <c r="BJ23091" s="201"/>
    </row>
    <row r="23092" spans="62:62" x14ac:dyDescent="0.2">
      <c r="BJ23092" s="201"/>
    </row>
    <row r="23093" spans="62:62" x14ac:dyDescent="0.2">
      <c r="BJ23093" s="201"/>
    </row>
    <row r="23094" spans="62:62" x14ac:dyDescent="0.2">
      <c r="BJ23094" s="201"/>
    </row>
    <row r="23095" spans="62:62" x14ac:dyDescent="0.2">
      <c r="BJ23095" s="201"/>
    </row>
    <row r="23096" spans="62:62" x14ac:dyDescent="0.2">
      <c r="BJ23096" s="201"/>
    </row>
    <row r="23097" spans="62:62" x14ac:dyDescent="0.2">
      <c r="BJ23097" s="201"/>
    </row>
    <row r="23098" spans="62:62" x14ac:dyDescent="0.2">
      <c r="BJ23098" s="201"/>
    </row>
    <row r="23099" spans="62:62" x14ac:dyDescent="0.2">
      <c r="BJ23099" s="201"/>
    </row>
    <row r="23100" spans="62:62" x14ac:dyDescent="0.2">
      <c r="BJ23100" s="201"/>
    </row>
    <row r="23101" spans="62:62" x14ac:dyDescent="0.2">
      <c r="BJ23101" s="201"/>
    </row>
    <row r="23102" spans="62:62" x14ac:dyDescent="0.2">
      <c r="BJ23102" s="201"/>
    </row>
    <row r="23103" spans="62:62" x14ac:dyDescent="0.2">
      <c r="BJ23103" s="201"/>
    </row>
    <row r="23104" spans="62:62" x14ac:dyDescent="0.2">
      <c r="BJ23104" s="201"/>
    </row>
    <row r="23105" spans="62:62" x14ac:dyDescent="0.2">
      <c r="BJ23105" s="201"/>
    </row>
    <row r="23106" spans="62:62" x14ac:dyDescent="0.2">
      <c r="BJ23106" s="201"/>
    </row>
    <row r="23107" spans="62:62" x14ac:dyDescent="0.2">
      <c r="BJ23107" s="201"/>
    </row>
    <row r="23108" spans="62:62" x14ac:dyDescent="0.2">
      <c r="BJ23108" s="201"/>
    </row>
    <row r="23109" spans="62:62" x14ac:dyDescent="0.2">
      <c r="BJ23109" s="201"/>
    </row>
    <row r="23110" spans="62:62" x14ac:dyDescent="0.2">
      <c r="BJ23110" s="201"/>
    </row>
    <row r="23111" spans="62:62" x14ac:dyDescent="0.2">
      <c r="BJ23111" s="201"/>
    </row>
    <row r="23112" spans="62:62" x14ac:dyDescent="0.2">
      <c r="BJ23112" s="201"/>
    </row>
    <row r="23113" spans="62:62" x14ac:dyDescent="0.2">
      <c r="BJ23113" s="201"/>
    </row>
    <row r="23114" spans="62:62" x14ac:dyDescent="0.2">
      <c r="BJ23114" s="201"/>
    </row>
    <row r="23115" spans="62:62" x14ac:dyDescent="0.2">
      <c r="BJ23115" s="201"/>
    </row>
    <row r="23116" spans="62:62" x14ac:dyDescent="0.2">
      <c r="BJ23116" s="201"/>
    </row>
    <row r="23117" spans="62:62" x14ac:dyDescent="0.2">
      <c r="BJ23117" s="201"/>
    </row>
    <row r="23118" spans="62:62" x14ac:dyDescent="0.2">
      <c r="BJ23118" s="201"/>
    </row>
    <row r="23119" spans="62:62" x14ac:dyDescent="0.2">
      <c r="BJ23119" s="201"/>
    </row>
    <row r="23120" spans="62:62" x14ac:dyDescent="0.2">
      <c r="BJ23120" s="201"/>
    </row>
    <row r="23121" spans="62:62" x14ac:dyDescent="0.2">
      <c r="BJ23121" s="201"/>
    </row>
    <row r="23122" spans="62:62" x14ac:dyDescent="0.2">
      <c r="BJ23122" s="201"/>
    </row>
    <row r="23123" spans="62:62" x14ac:dyDescent="0.2">
      <c r="BJ23123" s="201"/>
    </row>
    <row r="23124" spans="62:62" x14ac:dyDescent="0.2">
      <c r="BJ23124" s="201"/>
    </row>
    <row r="23125" spans="62:62" x14ac:dyDescent="0.2">
      <c r="BJ23125" s="201"/>
    </row>
    <row r="23126" spans="62:62" x14ac:dyDescent="0.2">
      <c r="BJ23126" s="201"/>
    </row>
    <row r="23127" spans="62:62" x14ac:dyDescent="0.2">
      <c r="BJ23127" s="201"/>
    </row>
    <row r="23128" spans="62:62" x14ac:dyDescent="0.2">
      <c r="BJ23128" s="201"/>
    </row>
    <row r="23129" spans="62:62" x14ac:dyDescent="0.2">
      <c r="BJ23129" s="201"/>
    </row>
    <row r="23130" spans="62:62" x14ac:dyDescent="0.2">
      <c r="BJ23130" s="201"/>
    </row>
    <row r="23131" spans="62:62" x14ac:dyDescent="0.2">
      <c r="BJ23131" s="201"/>
    </row>
    <row r="23132" spans="62:62" x14ac:dyDescent="0.2">
      <c r="BJ23132" s="201"/>
    </row>
    <row r="23133" spans="62:62" x14ac:dyDescent="0.2">
      <c r="BJ23133" s="201"/>
    </row>
    <row r="23134" spans="62:62" x14ac:dyDescent="0.2">
      <c r="BJ23134" s="201"/>
    </row>
    <row r="23135" spans="62:62" x14ac:dyDescent="0.2">
      <c r="BJ23135" s="201"/>
    </row>
    <row r="23136" spans="62:62" x14ac:dyDescent="0.2">
      <c r="BJ23136" s="201"/>
    </row>
    <row r="23137" spans="62:62" x14ac:dyDescent="0.2">
      <c r="BJ23137" s="201"/>
    </row>
    <row r="23138" spans="62:62" x14ac:dyDescent="0.2">
      <c r="BJ23138" s="201"/>
    </row>
    <row r="23139" spans="62:62" x14ac:dyDescent="0.2">
      <c r="BJ23139" s="201"/>
    </row>
    <row r="23140" spans="62:62" x14ac:dyDescent="0.2">
      <c r="BJ23140" s="201"/>
    </row>
    <row r="23141" spans="62:62" x14ac:dyDescent="0.2">
      <c r="BJ23141" s="201"/>
    </row>
    <row r="23142" spans="62:62" x14ac:dyDescent="0.2">
      <c r="BJ23142" s="201"/>
    </row>
    <row r="23143" spans="62:62" x14ac:dyDescent="0.2">
      <c r="BJ23143" s="201"/>
    </row>
    <row r="23144" spans="62:62" x14ac:dyDescent="0.2">
      <c r="BJ23144" s="201"/>
    </row>
    <row r="23145" spans="62:62" x14ac:dyDescent="0.2">
      <c r="BJ23145" s="201"/>
    </row>
    <row r="23146" spans="62:62" x14ac:dyDescent="0.2">
      <c r="BJ23146" s="201"/>
    </row>
    <row r="23147" spans="62:62" x14ac:dyDescent="0.2">
      <c r="BJ23147" s="201"/>
    </row>
    <row r="23148" spans="62:62" x14ac:dyDescent="0.2">
      <c r="BJ23148" s="201"/>
    </row>
    <row r="23149" spans="62:62" x14ac:dyDescent="0.2">
      <c r="BJ23149" s="201"/>
    </row>
    <row r="23150" spans="62:62" x14ac:dyDescent="0.2">
      <c r="BJ23150" s="201"/>
    </row>
    <row r="23151" spans="62:62" x14ac:dyDescent="0.2">
      <c r="BJ23151" s="201"/>
    </row>
    <row r="23152" spans="62:62" x14ac:dyDescent="0.2">
      <c r="BJ23152" s="201"/>
    </row>
    <row r="23153" spans="62:62" x14ac:dyDescent="0.2">
      <c r="BJ23153" s="201"/>
    </row>
    <row r="23154" spans="62:62" x14ac:dyDescent="0.2">
      <c r="BJ23154" s="201"/>
    </row>
    <row r="23155" spans="62:62" x14ac:dyDescent="0.2">
      <c r="BJ23155" s="201"/>
    </row>
    <row r="23156" spans="62:62" x14ac:dyDescent="0.2">
      <c r="BJ23156" s="201"/>
    </row>
    <row r="23157" spans="62:62" x14ac:dyDescent="0.2">
      <c r="BJ23157" s="201"/>
    </row>
    <row r="23158" spans="62:62" x14ac:dyDescent="0.2">
      <c r="BJ23158" s="201"/>
    </row>
    <row r="23159" spans="62:62" x14ac:dyDescent="0.2">
      <c r="BJ23159" s="201"/>
    </row>
    <row r="23160" spans="62:62" x14ac:dyDescent="0.2">
      <c r="BJ23160" s="201"/>
    </row>
    <row r="23161" spans="62:62" x14ac:dyDescent="0.2">
      <c r="BJ23161" s="201"/>
    </row>
    <row r="23162" spans="62:62" x14ac:dyDescent="0.2">
      <c r="BJ23162" s="201"/>
    </row>
    <row r="23163" spans="62:62" x14ac:dyDescent="0.2">
      <c r="BJ23163" s="201"/>
    </row>
    <row r="23164" spans="62:62" x14ac:dyDescent="0.2">
      <c r="BJ23164" s="201"/>
    </row>
    <row r="23165" spans="62:62" x14ac:dyDescent="0.2">
      <c r="BJ23165" s="201"/>
    </row>
    <row r="23166" spans="62:62" x14ac:dyDescent="0.2">
      <c r="BJ23166" s="201"/>
    </row>
    <row r="23167" spans="62:62" x14ac:dyDescent="0.2">
      <c r="BJ23167" s="201"/>
    </row>
    <row r="23168" spans="62:62" x14ac:dyDescent="0.2">
      <c r="BJ23168" s="201"/>
    </row>
    <row r="23169" spans="62:62" x14ac:dyDescent="0.2">
      <c r="BJ23169" s="201"/>
    </row>
    <row r="23170" spans="62:62" x14ac:dyDescent="0.2">
      <c r="BJ23170" s="201"/>
    </row>
    <row r="23171" spans="62:62" x14ac:dyDescent="0.2">
      <c r="BJ23171" s="201"/>
    </row>
    <row r="23172" spans="62:62" x14ac:dyDescent="0.2">
      <c r="BJ23172" s="201"/>
    </row>
    <row r="23173" spans="62:62" x14ac:dyDescent="0.2">
      <c r="BJ23173" s="201"/>
    </row>
    <row r="23174" spans="62:62" x14ac:dyDescent="0.2">
      <c r="BJ23174" s="201"/>
    </row>
    <row r="23175" spans="62:62" x14ac:dyDescent="0.2">
      <c r="BJ23175" s="201"/>
    </row>
    <row r="23176" spans="62:62" x14ac:dyDescent="0.2">
      <c r="BJ23176" s="201"/>
    </row>
    <row r="23177" spans="62:62" x14ac:dyDescent="0.2">
      <c r="BJ23177" s="201"/>
    </row>
    <row r="23178" spans="62:62" x14ac:dyDescent="0.2">
      <c r="BJ23178" s="201"/>
    </row>
    <row r="23179" spans="62:62" x14ac:dyDescent="0.2">
      <c r="BJ23179" s="201"/>
    </row>
    <row r="23180" spans="62:62" x14ac:dyDescent="0.2">
      <c r="BJ23180" s="201"/>
    </row>
    <row r="23181" spans="62:62" x14ac:dyDescent="0.2">
      <c r="BJ23181" s="201"/>
    </row>
    <row r="23182" spans="62:62" x14ac:dyDescent="0.2">
      <c r="BJ23182" s="201"/>
    </row>
    <row r="23183" spans="62:62" x14ac:dyDescent="0.2">
      <c r="BJ23183" s="201"/>
    </row>
    <row r="23184" spans="62:62" x14ac:dyDescent="0.2">
      <c r="BJ23184" s="201"/>
    </row>
    <row r="23185" spans="62:62" x14ac:dyDescent="0.2">
      <c r="BJ23185" s="201"/>
    </row>
    <row r="23186" spans="62:62" x14ac:dyDescent="0.2">
      <c r="BJ23186" s="201"/>
    </row>
    <row r="23187" spans="62:62" x14ac:dyDescent="0.2">
      <c r="BJ23187" s="201"/>
    </row>
    <row r="23188" spans="62:62" x14ac:dyDescent="0.2">
      <c r="BJ23188" s="201"/>
    </row>
    <row r="23189" spans="62:62" x14ac:dyDescent="0.2">
      <c r="BJ23189" s="201"/>
    </row>
    <row r="23190" spans="62:62" x14ac:dyDescent="0.2">
      <c r="BJ23190" s="201"/>
    </row>
    <row r="23191" spans="62:62" x14ac:dyDescent="0.2">
      <c r="BJ23191" s="201"/>
    </row>
    <row r="23192" spans="62:62" x14ac:dyDescent="0.2">
      <c r="BJ23192" s="201"/>
    </row>
    <row r="23193" spans="62:62" x14ac:dyDescent="0.2">
      <c r="BJ23193" s="201"/>
    </row>
    <row r="23194" spans="62:62" x14ac:dyDescent="0.2">
      <c r="BJ23194" s="201"/>
    </row>
    <row r="23195" spans="62:62" x14ac:dyDescent="0.2">
      <c r="BJ23195" s="201"/>
    </row>
    <row r="23196" spans="62:62" x14ac:dyDescent="0.2">
      <c r="BJ23196" s="201"/>
    </row>
    <row r="23197" spans="62:62" x14ac:dyDescent="0.2">
      <c r="BJ23197" s="201"/>
    </row>
    <row r="23198" spans="62:62" x14ac:dyDescent="0.2">
      <c r="BJ23198" s="201"/>
    </row>
    <row r="23199" spans="62:62" x14ac:dyDescent="0.2">
      <c r="BJ23199" s="201"/>
    </row>
    <row r="23200" spans="62:62" x14ac:dyDescent="0.2">
      <c r="BJ23200" s="201"/>
    </row>
    <row r="23201" spans="62:62" x14ac:dyDescent="0.2">
      <c r="BJ23201" s="201"/>
    </row>
    <row r="23202" spans="62:62" x14ac:dyDescent="0.2">
      <c r="BJ23202" s="201"/>
    </row>
    <row r="23203" spans="62:62" x14ac:dyDescent="0.2">
      <c r="BJ23203" s="201"/>
    </row>
    <row r="23204" spans="62:62" x14ac:dyDescent="0.2">
      <c r="BJ23204" s="201"/>
    </row>
    <row r="23205" spans="62:62" x14ac:dyDescent="0.2">
      <c r="BJ23205" s="201"/>
    </row>
    <row r="23206" spans="62:62" x14ac:dyDescent="0.2">
      <c r="BJ23206" s="201"/>
    </row>
    <row r="23207" spans="62:62" x14ac:dyDescent="0.2">
      <c r="BJ23207" s="201"/>
    </row>
    <row r="23208" spans="62:62" x14ac:dyDescent="0.2">
      <c r="BJ23208" s="201"/>
    </row>
    <row r="23209" spans="62:62" x14ac:dyDescent="0.2">
      <c r="BJ23209" s="201"/>
    </row>
    <row r="23210" spans="62:62" x14ac:dyDescent="0.2">
      <c r="BJ23210" s="201"/>
    </row>
    <row r="23211" spans="62:62" x14ac:dyDescent="0.2">
      <c r="BJ23211" s="201"/>
    </row>
    <row r="23212" spans="62:62" x14ac:dyDescent="0.2">
      <c r="BJ23212" s="201"/>
    </row>
    <row r="23213" spans="62:62" x14ac:dyDescent="0.2">
      <c r="BJ23213" s="201"/>
    </row>
    <row r="23214" spans="62:62" x14ac:dyDescent="0.2">
      <c r="BJ23214" s="201"/>
    </row>
    <row r="23215" spans="62:62" x14ac:dyDescent="0.2">
      <c r="BJ23215" s="201"/>
    </row>
    <row r="23216" spans="62:62" x14ac:dyDescent="0.2">
      <c r="BJ23216" s="201"/>
    </row>
    <row r="23217" spans="62:62" x14ac:dyDescent="0.2">
      <c r="BJ23217" s="201"/>
    </row>
    <row r="23218" spans="62:62" x14ac:dyDescent="0.2">
      <c r="BJ23218" s="201"/>
    </row>
    <row r="23219" spans="62:62" x14ac:dyDescent="0.2">
      <c r="BJ23219" s="201"/>
    </row>
    <row r="23220" spans="62:62" x14ac:dyDescent="0.2">
      <c r="BJ23220" s="201"/>
    </row>
    <row r="23221" spans="62:62" x14ac:dyDescent="0.2">
      <c r="BJ23221" s="201"/>
    </row>
    <row r="23222" spans="62:62" x14ac:dyDescent="0.2">
      <c r="BJ23222" s="201"/>
    </row>
    <row r="23223" spans="62:62" x14ac:dyDescent="0.2">
      <c r="BJ23223" s="201"/>
    </row>
    <row r="23224" spans="62:62" x14ac:dyDescent="0.2">
      <c r="BJ23224" s="201"/>
    </row>
    <row r="23225" spans="62:62" x14ac:dyDescent="0.2">
      <c r="BJ23225" s="201"/>
    </row>
    <row r="23226" spans="62:62" x14ac:dyDescent="0.2">
      <c r="BJ23226" s="201"/>
    </row>
    <row r="23227" spans="62:62" x14ac:dyDescent="0.2">
      <c r="BJ23227" s="201"/>
    </row>
    <row r="23228" spans="62:62" x14ac:dyDescent="0.2">
      <c r="BJ23228" s="201"/>
    </row>
    <row r="23229" spans="62:62" x14ac:dyDescent="0.2">
      <c r="BJ23229" s="201"/>
    </row>
    <row r="23230" spans="62:62" x14ac:dyDescent="0.2">
      <c r="BJ23230" s="201"/>
    </row>
    <row r="23231" spans="62:62" x14ac:dyDescent="0.2">
      <c r="BJ23231" s="201"/>
    </row>
    <row r="23232" spans="62:62" x14ac:dyDescent="0.2">
      <c r="BJ23232" s="201"/>
    </row>
    <row r="23233" spans="62:62" x14ac:dyDescent="0.2">
      <c r="BJ23233" s="201"/>
    </row>
    <row r="23234" spans="62:62" x14ac:dyDescent="0.2">
      <c r="BJ23234" s="201"/>
    </row>
    <row r="23235" spans="62:62" x14ac:dyDescent="0.2">
      <c r="BJ23235" s="201"/>
    </row>
    <row r="23236" spans="62:62" x14ac:dyDescent="0.2">
      <c r="BJ23236" s="201"/>
    </row>
    <row r="23237" spans="62:62" x14ac:dyDescent="0.2">
      <c r="BJ23237" s="201"/>
    </row>
    <row r="23238" spans="62:62" x14ac:dyDescent="0.2">
      <c r="BJ23238" s="201"/>
    </row>
    <row r="23239" spans="62:62" x14ac:dyDescent="0.2">
      <c r="BJ23239" s="201"/>
    </row>
    <row r="23240" spans="62:62" x14ac:dyDescent="0.2">
      <c r="BJ23240" s="201"/>
    </row>
    <row r="23241" spans="62:62" x14ac:dyDescent="0.2">
      <c r="BJ23241" s="201"/>
    </row>
    <row r="23242" spans="62:62" x14ac:dyDescent="0.2">
      <c r="BJ23242" s="201"/>
    </row>
    <row r="23243" spans="62:62" x14ac:dyDescent="0.2">
      <c r="BJ23243" s="201"/>
    </row>
    <row r="23244" spans="62:62" x14ac:dyDescent="0.2">
      <c r="BJ23244" s="201"/>
    </row>
    <row r="23245" spans="62:62" x14ac:dyDescent="0.2">
      <c r="BJ23245" s="201"/>
    </row>
    <row r="23246" spans="62:62" x14ac:dyDescent="0.2">
      <c r="BJ23246" s="201"/>
    </row>
    <row r="23247" spans="62:62" x14ac:dyDescent="0.2">
      <c r="BJ23247" s="201"/>
    </row>
    <row r="23248" spans="62:62" x14ac:dyDescent="0.2">
      <c r="BJ23248" s="201"/>
    </row>
    <row r="23249" spans="62:62" x14ac:dyDescent="0.2">
      <c r="BJ23249" s="201"/>
    </row>
    <row r="23250" spans="62:62" x14ac:dyDescent="0.2">
      <c r="BJ23250" s="201"/>
    </row>
    <row r="23251" spans="62:62" x14ac:dyDescent="0.2">
      <c r="BJ23251" s="201"/>
    </row>
    <row r="23252" spans="62:62" x14ac:dyDescent="0.2">
      <c r="BJ23252" s="201"/>
    </row>
    <row r="23253" spans="62:62" x14ac:dyDescent="0.2">
      <c r="BJ23253" s="201"/>
    </row>
    <row r="23254" spans="62:62" x14ac:dyDescent="0.2">
      <c r="BJ23254" s="201"/>
    </row>
    <row r="23255" spans="62:62" x14ac:dyDescent="0.2">
      <c r="BJ23255" s="201"/>
    </row>
    <row r="23256" spans="62:62" x14ac:dyDescent="0.2">
      <c r="BJ23256" s="201"/>
    </row>
    <row r="23257" spans="62:62" x14ac:dyDescent="0.2">
      <c r="BJ23257" s="201"/>
    </row>
    <row r="23258" spans="62:62" x14ac:dyDescent="0.2">
      <c r="BJ23258" s="201"/>
    </row>
    <row r="23259" spans="62:62" x14ac:dyDescent="0.2">
      <c r="BJ23259" s="201"/>
    </row>
    <row r="23260" spans="62:62" x14ac:dyDescent="0.2">
      <c r="BJ23260" s="201"/>
    </row>
    <row r="23261" spans="62:62" x14ac:dyDescent="0.2">
      <c r="BJ23261" s="201"/>
    </row>
    <row r="23262" spans="62:62" x14ac:dyDescent="0.2">
      <c r="BJ23262" s="201"/>
    </row>
    <row r="23263" spans="62:62" x14ac:dyDescent="0.2">
      <c r="BJ23263" s="201"/>
    </row>
    <row r="23264" spans="62:62" x14ac:dyDescent="0.2">
      <c r="BJ23264" s="201"/>
    </row>
    <row r="23265" spans="62:62" x14ac:dyDescent="0.2">
      <c r="BJ23265" s="201"/>
    </row>
    <row r="23266" spans="62:62" x14ac:dyDescent="0.2">
      <c r="BJ23266" s="201"/>
    </row>
    <row r="23267" spans="62:62" x14ac:dyDescent="0.2">
      <c r="BJ23267" s="201"/>
    </row>
    <row r="23268" spans="62:62" x14ac:dyDescent="0.2">
      <c r="BJ23268" s="201"/>
    </row>
    <row r="23269" spans="62:62" x14ac:dyDescent="0.2">
      <c r="BJ23269" s="201"/>
    </row>
    <row r="23270" spans="62:62" x14ac:dyDescent="0.2">
      <c r="BJ23270" s="201"/>
    </row>
    <row r="23271" spans="62:62" x14ac:dyDescent="0.2">
      <c r="BJ23271" s="201"/>
    </row>
    <row r="23272" spans="62:62" x14ac:dyDescent="0.2">
      <c r="BJ23272" s="201"/>
    </row>
    <row r="23273" spans="62:62" x14ac:dyDescent="0.2">
      <c r="BJ23273" s="201"/>
    </row>
    <row r="23274" spans="62:62" x14ac:dyDescent="0.2">
      <c r="BJ23274" s="201"/>
    </row>
    <row r="23275" spans="62:62" x14ac:dyDescent="0.2">
      <c r="BJ23275" s="201"/>
    </row>
    <row r="23276" spans="62:62" x14ac:dyDescent="0.2">
      <c r="BJ23276" s="201"/>
    </row>
    <row r="23277" spans="62:62" x14ac:dyDescent="0.2">
      <c r="BJ23277" s="201"/>
    </row>
    <row r="23278" spans="62:62" x14ac:dyDescent="0.2">
      <c r="BJ23278" s="201"/>
    </row>
    <row r="23279" spans="62:62" x14ac:dyDescent="0.2">
      <c r="BJ23279" s="201"/>
    </row>
    <row r="23280" spans="62:62" x14ac:dyDescent="0.2">
      <c r="BJ23280" s="201"/>
    </row>
    <row r="23281" spans="62:62" x14ac:dyDescent="0.2">
      <c r="BJ23281" s="201"/>
    </row>
    <row r="23282" spans="62:62" x14ac:dyDescent="0.2">
      <c r="BJ23282" s="201"/>
    </row>
    <row r="23283" spans="62:62" x14ac:dyDescent="0.2">
      <c r="BJ23283" s="201"/>
    </row>
    <row r="23284" spans="62:62" x14ac:dyDescent="0.2">
      <c r="BJ23284" s="201"/>
    </row>
    <row r="23285" spans="62:62" x14ac:dyDescent="0.2">
      <c r="BJ23285" s="201"/>
    </row>
    <row r="23286" spans="62:62" x14ac:dyDescent="0.2">
      <c r="BJ23286" s="201"/>
    </row>
    <row r="23287" spans="62:62" x14ac:dyDescent="0.2">
      <c r="BJ23287" s="201"/>
    </row>
    <row r="23288" spans="62:62" x14ac:dyDescent="0.2">
      <c r="BJ23288" s="201"/>
    </row>
    <row r="23289" spans="62:62" x14ac:dyDescent="0.2">
      <c r="BJ23289" s="201"/>
    </row>
    <row r="23290" spans="62:62" x14ac:dyDescent="0.2">
      <c r="BJ23290" s="201"/>
    </row>
    <row r="23291" spans="62:62" x14ac:dyDescent="0.2">
      <c r="BJ23291" s="201"/>
    </row>
    <row r="23292" spans="62:62" x14ac:dyDescent="0.2">
      <c r="BJ23292" s="201"/>
    </row>
    <row r="23293" spans="62:62" x14ac:dyDescent="0.2">
      <c r="BJ23293" s="201"/>
    </row>
    <row r="23294" spans="62:62" x14ac:dyDescent="0.2">
      <c r="BJ23294" s="201"/>
    </row>
    <row r="23295" spans="62:62" x14ac:dyDescent="0.2">
      <c r="BJ23295" s="201"/>
    </row>
    <row r="23296" spans="62:62" x14ac:dyDescent="0.2">
      <c r="BJ23296" s="201"/>
    </row>
    <row r="23297" spans="62:62" x14ac:dyDescent="0.2">
      <c r="BJ23297" s="201"/>
    </row>
    <row r="23298" spans="62:62" x14ac:dyDescent="0.2">
      <c r="BJ23298" s="201"/>
    </row>
    <row r="23299" spans="62:62" x14ac:dyDescent="0.2">
      <c r="BJ23299" s="201"/>
    </row>
    <row r="23300" spans="62:62" x14ac:dyDescent="0.2">
      <c r="BJ23300" s="201"/>
    </row>
    <row r="23301" spans="62:62" x14ac:dyDescent="0.2">
      <c r="BJ23301" s="201"/>
    </row>
    <row r="23302" spans="62:62" x14ac:dyDescent="0.2">
      <c r="BJ23302" s="201"/>
    </row>
    <row r="23303" spans="62:62" x14ac:dyDescent="0.2">
      <c r="BJ23303" s="201"/>
    </row>
    <row r="23304" spans="62:62" x14ac:dyDescent="0.2">
      <c r="BJ23304" s="201"/>
    </row>
    <row r="23305" spans="62:62" x14ac:dyDescent="0.2">
      <c r="BJ23305" s="201"/>
    </row>
    <row r="23306" spans="62:62" x14ac:dyDescent="0.2">
      <c r="BJ23306" s="201"/>
    </row>
    <row r="23307" spans="62:62" x14ac:dyDescent="0.2">
      <c r="BJ23307" s="201"/>
    </row>
    <row r="23308" spans="62:62" x14ac:dyDescent="0.2">
      <c r="BJ23308" s="201"/>
    </row>
    <row r="23309" spans="62:62" x14ac:dyDescent="0.2">
      <c r="BJ23309" s="201"/>
    </row>
    <row r="23310" spans="62:62" x14ac:dyDescent="0.2">
      <c r="BJ23310" s="201"/>
    </row>
    <row r="23311" spans="62:62" x14ac:dyDescent="0.2">
      <c r="BJ23311" s="201"/>
    </row>
    <row r="23312" spans="62:62" x14ac:dyDescent="0.2">
      <c r="BJ23312" s="201"/>
    </row>
    <row r="23313" spans="62:62" x14ac:dyDescent="0.2">
      <c r="BJ23313" s="201"/>
    </row>
    <row r="23314" spans="62:62" x14ac:dyDescent="0.2">
      <c r="BJ23314" s="201"/>
    </row>
    <row r="23315" spans="62:62" x14ac:dyDescent="0.2">
      <c r="BJ23315" s="201"/>
    </row>
    <row r="23316" spans="62:62" x14ac:dyDescent="0.2">
      <c r="BJ23316" s="201"/>
    </row>
    <row r="23317" spans="62:62" x14ac:dyDescent="0.2">
      <c r="BJ23317" s="201"/>
    </row>
    <row r="23318" spans="62:62" x14ac:dyDescent="0.2">
      <c r="BJ23318" s="201"/>
    </row>
    <row r="23319" spans="62:62" x14ac:dyDescent="0.2">
      <c r="BJ23319" s="201"/>
    </row>
    <row r="23320" spans="62:62" x14ac:dyDescent="0.2">
      <c r="BJ23320" s="201"/>
    </row>
    <row r="23321" spans="62:62" x14ac:dyDescent="0.2">
      <c r="BJ23321" s="201"/>
    </row>
    <row r="23322" spans="62:62" x14ac:dyDescent="0.2">
      <c r="BJ23322" s="201"/>
    </row>
    <row r="23323" spans="62:62" x14ac:dyDescent="0.2">
      <c r="BJ23323" s="201"/>
    </row>
    <row r="23324" spans="62:62" x14ac:dyDescent="0.2">
      <c r="BJ23324" s="201"/>
    </row>
    <row r="23325" spans="62:62" x14ac:dyDescent="0.2">
      <c r="BJ23325" s="201"/>
    </row>
    <row r="23326" spans="62:62" x14ac:dyDescent="0.2">
      <c r="BJ23326" s="201"/>
    </row>
    <row r="23327" spans="62:62" x14ac:dyDescent="0.2">
      <c r="BJ23327" s="201"/>
    </row>
    <row r="23328" spans="62:62" x14ac:dyDescent="0.2">
      <c r="BJ23328" s="201"/>
    </row>
    <row r="23329" spans="62:62" x14ac:dyDescent="0.2">
      <c r="BJ23329" s="201"/>
    </row>
    <row r="23330" spans="62:62" x14ac:dyDescent="0.2">
      <c r="BJ23330" s="201"/>
    </row>
    <row r="23331" spans="62:62" x14ac:dyDescent="0.2">
      <c r="BJ23331" s="201"/>
    </row>
    <row r="23332" spans="62:62" x14ac:dyDescent="0.2">
      <c r="BJ23332" s="201"/>
    </row>
    <row r="23333" spans="62:62" x14ac:dyDescent="0.2">
      <c r="BJ23333" s="201"/>
    </row>
    <row r="23334" spans="62:62" x14ac:dyDescent="0.2">
      <c r="BJ23334" s="201"/>
    </row>
    <row r="23335" spans="62:62" x14ac:dyDescent="0.2">
      <c r="BJ23335" s="201"/>
    </row>
    <row r="23336" spans="62:62" x14ac:dyDescent="0.2">
      <c r="BJ23336" s="201"/>
    </row>
    <row r="23337" spans="62:62" x14ac:dyDescent="0.2">
      <c r="BJ23337" s="201"/>
    </row>
    <row r="23338" spans="62:62" x14ac:dyDescent="0.2">
      <c r="BJ23338" s="201"/>
    </row>
    <row r="23339" spans="62:62" x14ac:dyDescent="0.2">
      <c r="BJ23339" s="201"/>
    </row>
    <row r="23340" spans="62:62" x14ac:dyDescent="0.2">
      <c r="BJ23340" s="201"/>
    </row>
    <row r="23341" spans="62:62" x14ac:dyDescent="0.2">
      <c r="BJ23341" s="201"/>
    </row>
    <row r="23342" spans="62:62" x14ac:dyDescent="0.2">
      <c r="BJ23342" s="201"/>
    </row>
    <row r="23343" spans="62:62" x14ac:dyDescent="0.2">
      <c r="BJ23343" s="201"/>
    </row>
    <row r="23344" spans="62:62" x14ac:dyDescent="0.2">
      <c r="BJ23344" s="201"/>
    </row>
    <row r="23345" spans="62:62" x14ac:dyDescent="0.2">
      <c r="BJ23345" s="201"/>
    </row>
    <row r="23346" spans="62:62" x14ac:dyDescent="0.2">
      <c r="BJ23346" s="201"/>
    </row>
    <row r="23347" spans="62:62" x14ac:dyDescent="0.2">
      <c r="BJ23347" s="201"/>
    </row>
    <row r="23348" spans="62:62" x14ac:dyDescent="0.2">
      <c r="BJ23348" s="201"/>
    </row>
    <row r="23349" spans="62:62" x14ac:dyDescent="0.2">
      <c r="BJ23349" s="201"/>
    </row>
    <row r="23350" spans="62:62" x14ac:dyDescent="0.2">
      <c r="BJ23350" s="201"/>
    </row>
    <row r="23351" spans="62:62" x14ac:dyDescent="0.2">
      <c r="BJ23351" s="201"/>
    </row>
    <row r="23352" spans="62:62" x14ac:dyDescent="0.2">
      <c r="BJ23352" s="201"/>
    </row>
    <row r="23353" spans="62:62" x14ac:dyDescent="0.2">
      <c r="BJ23353" s="201"/>
    </row>
    <row r="23354" spans="62:62" x14ac:dyDescent="0.2">
      <c r="BJ23354" s="201"/>
    </row>
    <row r="23355" spans="62:62" x14ac:dyDescent="0.2">
      <c r="BJ23355" s="201"/>
    </row>
    <row r="23356" spans="62:62" x14ac:dyDescent="0.2">
      <c r="BJ23356" s="201"/>
    </row>
    <row r="23357" spans="62:62" x14ac:dyDescent="0.2">
      <c r="BJ23357" s="201"/>
    </row>
    <row r="23358" spans="62:62" x14ac:dyDescent="0.2">
      <c r="BJ23358" s="201"/>
    </row>
    <row r="23359" spans="62:62" x14ac:dyDescent="0.2">
      <c r="BJ23359" s="201"/>
    </row>
    <row r="23360" spans="62:62" x14ac:dyDescent="0.2">
      <c r="BJ23360" s="201"/>
    </row>
    <row r="23361" spans="62:62" x14ac:dyDescent="0.2">
      <c r="BJ23361" s="201"/>
    </row>
    <row r="23362" spans="62:62" x14ac:dyDescent="0.2">
      <c r="BJ23362" s="201"/>
    </row>
    <row r="23363" spans="62:62" x14ac:dyDescent="0.2">
      <c r="BJ23363" s="201"/>
    </row>
    <row r="23364" spans="62:62" x14ac:dyDescent="0.2">
      <c r="BJ23364" s="201"/>
    </row>
    <row r="23365" spans="62:62" x14ac:dyDescent="0.2">
      <c r="BJ23365" s="201"/>
    </row>
    <row r="23366" spans="62:62" x14ac:dyDescent="0.2">
      <c r="BJ23366" s="201"/>
    </row>
    <row r="23367" spans="62:62" x14ac:dyDescent="0.2">
      <c r="BJ23367" s="201"/>
    </row>
    <row r="23368" spans="62:62" x14ac:dyDescent="0.2">
      <c r="BJ23368" s="201"/>
    </row>
    <row r="23369" spans="62:62" x14ac:dyDescent="0.2">
      <c r="BJ23369" s="201"/>
    </row>
    <row r="23370" spans="62:62" x14ac:dyDescent="0.2">
      <c r="BJ23370" s="201"/>
    </row>
    <row r="23371" spans="62:62" x14ac:dyDescent="0.2">
      <c r="BJ23371" s="201"/>
    </row>
    <row r="23372" spans="62:62" x14ac:dyDescent="0.2">
      <c r="BJ23372" s="201"/>
    </row>
    <row r="23373" spans="62:62" x14ac:dyDescent="0.2">
      <c r="BJ23373" s="201"/>
    </row>
    <row r="23374" spans="62:62" x14ac:dyDescent="0.2">
      <c r="BJ23374" s="201"/>
    </row>
    <row r="23375" spans="62:62" x14ac:dyDescent="0.2">
      <c r="BJ23375" s="201"/>
    </row>
    <row r="23376" spans="62:62" x14ac:dyDescent="0.2">
      <c r="BJ23376" s="201"/>
    </row>
    <row r="23377" spans="62:62" x14ac:dyDescent="0.2">
      <c r="BJ23377" s="201"/>
    </row>
    <row r="23378" spans="62:62" x14ac:dyDescent="0.2">
      <c r="BJ23378" s="201"/>
    </row>
    <row r="23379" spans="62:62" x14ac:dyDescent="0.2">
      <c r="BJ23379" s="201"/>
    </row>
    <row r="23380" spans="62:62" x14ac:dyDescent="0.2">
      <c r="BJ23380" s="201"/>
    </row>
    <row r="23381" spans="62:62" x14ac:dyDescent="0.2">
      <c r="BJ23381" s="201"/>
    </row>
    <row r="23382" spans="62:62" x14ac:dyDescent="0.2">
      <c r="BJ23382" s="201"/>
    </row>
    <row r="23383" spans="62:62" x14ac:dyDescent="0.2">
      <c r="BJ23383" s="201"/>
    </row>
    <row r="23384" spans="62:62" x14ac:dyDescent="0.2">
      <c r="BJ23384" s="201"/>
    </row>
    <row r="23385" spans="62:62" x14ac:dyDescent="0.2">
      <c r="BJ23385" s="201"/>
    </row>
    <row r="23386" spans="62:62" x14ac:dyDescent="0.2">
      <c r="BJ23386" s="201"/>
    </row>
    <row r="23387" spans="62:62" x14ac:dyDescent="0.2">
      <c r="BJ23387" s="201"/>
    </row>
    <row r="23388" spans="62:62" x14ac:dyDescent="0.2">
      <c r="BJ23388" s="201"/>
    </row>
    <row r="23389" spans="62:62" x14ac:dyDescent="0.2">
      <c r="BJ23389" s="201"/>
    </row>
    <row r="23390" spans="62:62" x14ac:dyDescent="0.2">
      <c r="BJ23390" s="201"/>
    </row>
    <row r="23391" spans="62:62" x14ac:dyDescent="0.2">
      <c r="BJ23391" s="201"/>
    </row>
    <row r="23392" spans="62:62" x14ac:dyDescent="0.2">
      <c r="BJ23392" s="201"/>
    </row>
    <row r="23393" spans="62:62" x14ac:dyDescent="0.2">
      <c r="BJ23393" s="201"/>
    </row>
    <row r="23394" spans="62:62" x14ac:dyDescent="0.2">
      <c r="BJ23394" s="201"/>
    </row>
    <row r="23395" spans="62:62" x14ac:dyDescent="0.2">
      <c r="BJ23395" s="201"/>
    </row>
    <row r="23396" spans="62:62" x14ac:dyDescent="0.2">
      <c r="BJ23396" s="201"/>
    </row>
    <row r="23397" spans="62:62" x14ac:dyDescent="0.2">
      <c r="BJ23397" s="201"/>
    </row>
    <row r="23398" spans="62:62" x14ac:dyDescent="0.2">
      <c r="BJ23398" s="201"/>
    </row>
    <row r="23399" spans="62:62" x14ac:dyDescent="0.2">
      <c r="BJ23399" s="201"/>
    </row>
    <row r="23400" spans="62:62" x14ac:dyDescent="0.2">
      <c r="BJ23400" s="201"/>
    </row>
    <row r="23401" spans="62:62" x14ac:dyDescent="0.2">
      <c r="BJ23401" s="201"/>
    </row>
    <row r="23402" spans="62:62" x14ac:dyDescent="0.2">
      <c r="BJ23402" s="201"/>
    </row>
    <row r="23403" spans="62:62" x14ac:dyDescent="0.2">
      <c r="BJ23403" s="201"/>
    </row>
    <row r="23404" spans="62:62" x14ac:dyDescent="0.2">
      <c r="BJ23404" s="201"/>
    </row>
    <row r="23405" spans="62:62" x14ac:dyDescent="0.2">
      <c r="BJ23405" s="201"/>
    </row>
    <row r="23406" spans="62:62" x14ac:dyDescent="0.2">
      <c r="BJ23406" s="201"/>
    </row>
    <row r="23407" spans="62:62" x14ac:dyDescent="0.2">
      <c r="BJ23407" s="201"/>
    </row>
    <row r="23408" spans="62:62" x14ac:dyDescent="0.2">
      <c r="BJ23408" s="201"/>
    </row>
    <row r="23409" spans="62:62" x14ac:dyDescent="0.2">
      <c r="BJ23409" s="201"/>
    </row>
    <row r="23410" spans="62:62" x14ac:dyDescent="0.2">
      <c r="BJ23410" s="201"/>
    </row>
    <row r="23411" spans="62:62" x14ac:dyDescent="0.2">
      <c r="BJ23411" s="201"/>
    </row>
    <row r="23412" spans="62:62" x14ac:dyDescent="0.2">
      <c r="BJ23412" s="201"/>
    </row>
    <row r="23413" spans="62:62" x14ac:dyDescent="0.2">
      <c r="BJ23413" s="201"/>
    </row>
    <row r="23414" spans="62:62" x14ac:dyDescent="0.2">
      <c r="BJ23414" s="201"/>
    </row>
    <row r="23415" spans="62:62" x14ac:dyDescent="0.2">
      <c r="BJ23415" s="201"/>
    </row>
    <row r="23416" spans="62:62" x14ac:dyDescent="0.2">
      <c r="BJ23416" s="201"/>
    </row>
    <row r="23417" spans="62:62" x14ac:dyDescent="0.2">
      <c r="BJ23417" s="201"/>
    </row>
    <row r="23418" spans="62:62" x14ac:dyDescent="0.2">
      <c r="BJ23418" s="201"/>
    </row>
    <row r="23419" spans="62:62" x14ac:dyDescent="0.2">
      <c r="BJ23419" s="201"/>
    </row>
    <row r="23420" spans="62:62" x14ac:dyDescent="0.2">
      <c r="BJ23420" s="201"/>
    </row>
    <row r="23421" spans="62:62" x14ac:dyDescent="0.2">
      <c r="BJ23421" s="201"/>
    </row>
    <row r="23422" spans="62:62" x14ac:dyDescent="0.2">
      <c r="BJ23422" s="201"/>
    </row>
    <row r="23423" spans="62:62" x14ac:dyDescent="0.2">
      <c r="BJ23423" s="201"/>
    </row>
    <row r="23424" spans="62:62" x14ac:dyDescent="0.2">
      <c r="BJ23424" s="201"/>
    </row>
    <row r="23425" spans="62:62" x14ac:dyDescent="0.2">
      <c r="BJ23425" s="201"/>
    </row>
    <row r="23426" spans="62:62" x14ac:dyDescent="0.2">
      <c r="BJ23426" s="201"/>
    </row>
    <row r="23427" spans="62:62" x14ac:dyDescent="0.2">
      <c r="BJ23427" s="201"/>
    </row>
    <row r="23428" spans="62:62" x14ac:dyDescent="0.2">
      <c r="BJ23428" s="201"/>
    </row>
    <row r="23429" spans="62:62" x14ac:dyDescent="0.2">
      <c r="BJ23429" s="201"/>
    </row>
    <row r="23430" spans="62:62" x14ac:dyDescent="0.2">
      <c r="BJ23430" s="201"/>
    </row>
    <row r="23431" spans="62:62" x14ac:dyDescent="0.2">
      <c r="BJ23431" s="201"/>
    </row>
    <row r="23432" spans="62:62" x14ac:dyDescent="0.2">
      <c r="BJ23432" s="201"/>
    </row>
    <row r="23433" spans="62:62" x14ac:dyDescent="0.2">
      <c r="BJ23433" s="201"/>
    </row>
    <row r="23434" spans="62:62" x14ac:dyDescent="0.2">
      <c r="BJ23434" s="201"/>
    </row>
    <row r="23435" spans="62:62" x14ac:dyDescent="0.2">
      <c r="BJ23435" s="201"/>
    </row>
    <row r="23436" spans="62:62" x14ac:dyDescent="0.2">
      <c r="BJ23436" s="201"/>
    </row>
    <row r="23437" spans="62:62" x14ac:dyDescent="0.2">
      <c r="BJ23437" s="201"/>
    </row>
    <row r="23438" spans="62:62" x14ac:dyDescent="0.2">
      <c r="BJ23438" s="201"/>
    </row>
    <row r="23439" spans="62:62" x14ac:dyDescent="0.2">
      <c r="BJ23439" s="201"/>
    </row>
    <row r="23440" spans="62:62" x14ac:dyDescent="0.2">
      <c r="BJ23440" s="201"/>
    </row>
    <row r="23441" spans="62:62" x14ac:dyDescent="0.2">
      <c r="BJ23441" s="201"/>
    </row>
    <row r="23442" spans="62:62" x14ac:dyDescent="0.2">
      <c r="BJ23442" s="201"/>
    </row>
    <row r="23443" spans="62:62" x14ac:dyDescent="0.2">
      <c r="BJ23443" s="201"/>
    </row>
    <row r="23444" spans="62:62" x14ac:dyDescent="0.2">
      <c r="BJ23444" s="201"/>
    </row>
    <row r="23445" spans="62:62" x14ac:dyDescent="0.2">
      <c r="BJ23445" s="201"/>
    </row>
    <row r="23446" spans="62:62" x14ac:dyDescent="0.2">
      <c r="BJ23446" s="201"/>
    </row>
    <row r="23447" spans="62:62" x14ac:dyDescent="0.2">
      <c r="BJ23447" s="201"/>
    </row>
    <row r="23448" spans="62:62" x14ac:dyDescent="0.2">
      <c r="BJ23448" s="201"/>
    </row>
    <row r="23449" spans="62:62" x14ac:dyDescent="0.2">
      <c r="BJ23449" s="201"/>
    </row>
    <row r="23450" spans="62:62" x14ac:dyDescent="0.2">
      <c r="BJ23450" s="201"/>
    </row>
    <row r="23451" spans="62:62" x14ac:dyDescent="0.2">
      <c r="BJ23451" s="201"/>
    </row>
    <row r="23452" spans="62:62" x14ac:dyDescent="0.2">
      <c r="BJ23452" s="201"/>
    </row>
    <row r="23453" spans="62:62" x14ac:dyDescent="0.2">
      <c r="BJ23453" s="201"/>
    </row>
    <row r="23454" spans="62:62" x14ac:dyDescent="0.2">
      <c r="BJ23454" s="201"/>
    </row>
    <row r="23455" spans="62:62" x14ac:dyDescent="0.2">
      <c r="BJ23455" s="201"/>
    </row>
    <row r="23456" spans="62:62" x14ac:dyDescent="0.2">
      <c r="BJ23456" s="201"/>
    </row>
    <row r="23457" spans="62:62" x14ac:dyDescent="0.2">
      <c r="BJ23457" s="201"/>
    </row>
    <row r="23458" spans="62:62" x14ac:dyDescent="0.2">
      <c r="BJ23458" s="201"/>
    </row>
    <row r="23459" spans="62:62" x14ac:dyDescent="0.2">
      <c r="BJ23459" s="201"/>
    </row>
    <row r="23460" spans="62:62" x14ac:dyDescent="0.2">
      <c r="BJ23460" s="201"/>
    </row>
    <row r="23461" spans="62:62" x14ac:dyDescent="0.2">
      <c r="BJ23461" s="201"/>
    </row>
    <row r="23462" spans="62:62" x14ac:dyDescent="0.2">
      <c r="BJ23462" s="201"/>
    </row>
    <row r="23463" spans="62:62" x14ac:dyDescent="0.2">
      <c r="BJ23463" s="201"/>
    </row>
    <row r="23464" spans="62:62" x14ac:dyDescent="0.2">
      <c r="BJ23464" s="201"/>
    </row>
    <row r="23465" spans="62:62" x14ac:dyDescent="0.2">
      <c r="BJ23465" s="201"/>
    </row>
    <row r="23466" spans="62:62" x14ac:dyDescent="0.2">
      <c r="BJ23466" s="201"/>
    </row>
    <row r="23467" spans="62:62" x14ac:dyDescent="0.2">
      <c r="BJ23467" s="201"/>
    </row>
    <row r="23468" spans="62:62" x14ac:dyDescent="0.2">
      <c r="BJ23468" s="201"/>
    </row>
    <row r="23469" spans="62:62" x14ac:dyDescent="0.2">
      <c r="BJ23469" s="201"/>
    </row>
    <row r="23470" spans="62:62" x14ac:dyDescent="0.2">
      <c r="BJ23470" s="201"/>
    </row>
    <row r="23471" spans="62:62" x14ac:dyDescent="0.2">
      <c r="BJ23471" s="201"/>
    </row>
    <row r="23472" spans="62:62" x14ac:dyDescent="0.2">
      <c r="BJ23472" s="201"/>
    </row>
    <row r="23473" spans="62:62" x14ac:dyDescent="0.2">
      <c r="BJ23473" s="201"/>
    </row>
    <row r="23474" spans="62:62" x14ac:dyDescent="0.2">
      <c r="BJ23474" s="201"/>
    </row>
    <row r="23475" spans="62:62" x14ac:dyDescent="0.2">
      <c r="BJ23475" s="201"/>
    </row>
    <row r="23476" spans="62:62" x14ac:dyDescent="0.2">
      <c r="BJ23476" s="201"/>
    </row>
    <row r="23477" spans="62:62" x14ac:dyDescent="0.2">
      <c r="BJ23477" s="201"/>
    </row>
    <row r="23478" spans="62:62" x14ac:dyDescent="0.2">
      <c r="BJ23478" s="201"/>
    </row>
    <row r="23479" spans="62:62" x14ac:dyDescent="0.2">
      <c r="BJ23479" s="201"/>
    </row>
    <row r="23480" spans="62:62" x14ac:dyDescent="0.2">
      <c r="BJ23480" s="201"/>
    </row>
    <row r="23481" spans="62:62" x14ac:dyDescent="0.2">
      <c r="BJ23481" s="201"/>
    </row>
    <row r="23482" spans="62:62" x14ac:dyDescent="0.2">
      <c r="BJ23482" s="201"/>
    </row>
    <row r="23483" spans="62:62" x14ac:dyDescent="0.2">
      <c r="BJ23483" s="201"/>
    </row>
    <row r="23484" spans="62:62" x14ac:dyDescent="0.2">
      <c r="BJ23484" s="201"/>
    </row>
    <row r="23485" spans="62:62" x14ac:dyDescent="0.2">
      <c r="BJ23485" s="201"/>
    </row>
    <row r="23486" spans="62:62" x14ac:dyDescent="0.2">
      <c r="BJ23486" s="201"/>
    </row>
    <row r="23487" spans="62:62" x14ac:dyDescent="0.2">
      <c r="BJ23487" s="201"/>
    </row>
    <row r="23488" spans="62:62" x14ac:dyDescent="0.2">
      <c r="BJ23488" s="201"/>
    </row>
    <row r="23489" spans="62:62" x14ac:dyDescent="0.2">
      <c r="BJ23489" s="201"/>
    </row>
    <row r="23490" spans="62:62" x14ac:dyDescent="0.2">
      <c r="BJ23490" s="201"/>
    </row>
    <row r="23491" spans="62:62" x14ac:dyDescent="0.2">
      <c r="BJ23491" s="201"/>
    </row>
    <row r="23492" spans="62:62" x14ac:dyDescent="0.2">
      <c r="BJ23492" s="201"/>
    </row>
    <row r="23493" spans="62:62" x14ac:dyDescent="0.2">
      <c r="BJ23493" s="201"/>
    </row>
    <row r="23494" spans="62:62" x14ac:dyDescent="0.2">
      <c r="BJ23494" s="201"/>
    </row>
    <row r="23495" spans="62:62" x14ac:dyDescent="0.2">
      <c r="BJ23495" s="201"/>
    </row>
    <row r="23496" spans="62:62" x14ac:dyDescent="0.2">
      <c r="BJ23496" s="201"/>
    </row>
    <row r="23497" spans="62:62" x14ac:dyDescent="0.2">
      <c r="BJ23497" s="201"/>
    </row>
    <row r="23498" spans="62:62" x14ac:dyDescent="0.2">
      <c r="BJ23498" s="201"/>
    </row>
    <row r="23499" spans="62:62" x14ac:dyDescent="0.2">
      <c r="BJ23499" s="201"/>
    </row>
    <row r="23500" spans="62:62" x14ac:dyDescent="0.2">
      <c r="BJ23500" s="201"/>
    </row>
    <row r="23501" spans="62:62" x14ac:dyDescent="0.2">
      <c r="BJ23501" s="201"/>
    </row>
    <row r="23502" spans="62:62" x14ac:dyDescent="0.2">
      <c r="BJ23502" s="201"/>
    </row>
    <row r="23503" spans="62:62" x14ac:dyDescent="0.2">
      <c r="BJ23503" s="201"/>
    </row>
    <row r="23504" spans="62:62" x14ac:dyDescent="0.2">
      <c r="BJ23504" s="201"/>
    </row>
    <row r="23505" spans="62:62" x14ac:dyDescent="0.2">
      <c r="BJ23505" s="201"/>
    </row>
    <row r="23506" spans="62:62" x14ac:dyDescent="0.2">
      <c r="BJ23506" s="201"/>
    </row>
    <row r="23507" spans="62:62" x14ac:dyDescent="0.2">
      <c r="BJ23507" s="201"/>
    </row>
    <row r="23508" spans="62:62" x14ac:dyDescent="0.2">
      <c r="BJ23508" s="201"/>
    </row>
    <row r="23509" spans="62:62" x14ac:dyDescent="0.2">
      <c r="BJ23509" s="201"/>
    </row>
    <row r="23510" spans="62:62" x14ac:dyDescent="0.2">
      <c r="BJ23510" s="201"/>
    </row>
    <row r="23511" spans="62:62" x14ac:dyDescent="0.2">
      <c r="BJ23511" s="201"/>
    </row>
    <row r="23512" spans="62:62" x14ac:dyDescent="0.2">
      <c r="BJ23512" s="201"/>
    </row>
    <row r="23513" spans="62:62" x14ac:dyDescent="0.2">
      <c r="BJ23513" s="201"/>
    </row>
    <row r="23514" spans="62:62" x14ac:dyDescent="0.2">
      <c r="BJ23514" s="201"/>
    </row>
    <row r="23515" spans="62:62" x14ac:dyDescent="0.2">
      <c r="BJ23515" s="201"/>
    </row>
    <row r="23516" spans="62:62" x14ac:dyDescent="0.2">
      <c r="BJ23516" s="201"/>
    </row>
    <row r="23517" spans="62:62" x14ac:dyDescent="0.2">
      <c r="BJ23517" s="201"/>
    </row>
    <row r="23518" spans="62:62" x14ac:dyDescent="0.2">
      <c r="BJ23518" s="201"/>
    </row>
    <row r="23519" spans="62:62" x14ac:dyDescent="0.2">
      <c r="BJ23519" s="201"/>
    </row>
    <row r="23520" spans="62:62" x14ac:dyDescent="0.2">
      <c r="BJ23520" s="201"/>
    </row>
    <row r="23521" spans="62:62" x14ac:dyDescent="0.2">
      <c r="BJ23521" s="201"/>
    </row>
    <row r="23522" spans="62:62" x14ac:dyDescent="0.2">
      <c r="BJ23522" s="201"/>
    </row>
    <row r="23523" spans="62:62" x14ac:dyDescent="0.2">
      <c r="BJ23523" s="201"/>
    </row>
    <row r="23524" spans="62:62" x14ac:dyDescent="0.2">
      <c r="BJ23524" s="201"/>
    </row>
    <row r="23525" spans="62:62" x14ac:dyDescent="0.2">
      <c r="BJ23525" s="201"/>
    </row>
    <row r="23526" spans="62:62" x14ac:dyDescent="0.2">
      <c r="BJ23526" s="201"/>
    </row>
    <row r="23527" spans="62:62" x14ac:dyDescent="0.2">
      <c r="BJ23527" s="201"/>
    </row>
    <row r="23528" spans="62:62" x14ac:dyDescent="0.2">
      <c r="BJ23528" s="201"/>
    </row>
    <row r="23529" spans="62:62" x14ac:dyDescent="0.2">
      <c r="BJ23529" s="201"/>
    </row>
    <row r="23530" spans="62:62" x14ac:dyDescent="0.2">
      <c r="BJ23530" s="201"/>
    </row>
    <row r="23531" spans="62:62" x14ac:dyDescent="0.2">
      <c r="BJ23531" s="201"/>
    </row>
    <row r="23532" spans="62:62" x14ac:dyDescent="0.2">
      <c r="BJ23532" s="201"/>
    </row>
    <row r="23533" spans="62:62" x14ac:dyDescent="0.2">
      <c r="BJ23533" s="201"/>
    </row>
    <row r="23534" spans="62:62" x14ac:dyDescent="0.2">
      <c r="BJ23534" s="201"/>
    </row>
    <row r="23535" spans="62:62" x14ac:dyDescent="0.2">
      <c r="BJ23535" s="201"/>
    </row>
    <row r="23536" spans="62:62" x14ac:dyDescent="0.2">
      <c r="BJ23536" s="201"/>
    </row>
    <row r="23537" spans="62:62" x14ac:dyDescent="0.2">
      <c r="BJ23537" s="201"/>
    </row>
    <row r="23538" spans="62:62" x14ac:dyDescent="0.2">
      <c r="BJ23538" s="201"/>
    </row>
    <row r="23539" spans="62:62" x14ac:dyDescent="0.2">
      <c r="BJ23539" s="201"/>
    </row>
    <row r="23540" spans="62:62" x14ac:dyDescent="0.2">
      <c r="BJ23540" s="201"/>
    </row>
    <row r="23541" spans="62:62" x14ac:dyDescent="0.2">
      <c r="BJ23541" s="201"/>
    </row>
    <row r="23542" spans="62:62" x14ac:dyDescent="0.2">
      <c r="BJ23542" s="201"/>
    </row>
    <row r="23543" spans="62:62" x14ac:dyDescent="0.2">
      <c r="BJ23543" s="201"/>
    </row>
    <row r="23544" spans="62:62" x14ac:dyDescent="0.2">
      <c r="BJ23544" s="201"/>
    </row>
    <row r="23545" spans="62:62" x14ac:dyDescent="0.2">
      <c r="BJ23545" s="201"/>
    </row>
    <row r="23546" spans="62:62" x14ac:dyDescent="0.2">
      <c r="BJ23546" s="201"/>
    </row>
    <row r="23547" spans="62:62" x14ac:dyDescent="0.2">
      <c r="BJ23547" s="201"/>
    </row>
    <row r="23548" spans="62:62" x14ac:dyDescent="0.2">
      <c r="BJ23548" s="201"/>
    </row>
    <row r="23549" spans="62:62" x14ac:dyDescent="0.2">
      <c r="BJ23549" s="201"/>
    </row>
    <row r="23550" spans="62:62" x14ac:dyDescent="0.2">
      <c r="BJ23550" s="201"/>
    </row>
    <row r="23551" spans="62:62" x14ac:dyDescent="0.2">
      <c r="BJ23551" s="201"/>
    </row>
    <row r="23552" spans="62:62" x14ac:dyDescent="0.2">
      <c r="BJ23552" s="201"/>
    </row>
    <row r="23553" spans="62:62" x14ac:dyDescent="0.2">
      <c r="BJ23553" s="201"/>
    </row>
    <row r="23554" spans="62:62" x14ac:dyDescent="0.2">
      <c r="BJ23554" s="201"/>
    </row>
    <row r="23555" spans="62:62" x14ac:dyDescent="0.2">
      <c r="BJ23555" s="201"/>
    </row>
    <row r="23556" spans="62:62" x14ac:dyDescent="0.2">
      <c r="BJ23556" s="201"/>
    </row>
    <row r="23557" spans="62:62" x14ac:dyDescent="0.2">
      <c r="BJ23557" s="201"/>
    </row>
    <row r="23558" spans="62:62" x14ac:dyDescent="0.2">
      <c r="BJ23558" s="201"/>
    </row>
    <row r="23559" spans="62:62" x14ac:dyDescent="0.2">
      <c r="BJ23559" s="201"/>
    </row>
    <row r="23560" spans="62:62" x14ac:dyDescent="0.2">
      <c r="BJ23560" s="201"/>
    </row>
    <row r="23561" spans="62:62" x14ac:dyDescent="0.2">
      <c r="BJ23561" s="201"/>
    </row>
    <row r="23562" spans="62:62" x14ac:dyDescent="0.2">
      <c r="BJ23562" s="201"/>
    </row>
    <row r="23563" spans="62:62" x14ac:dyDescent="0.2">
      <c r="BJ23563" s="201"/>
    </row>
    <row r="23564" spans="62:62" x14ac:dyDescent="0.2">
      <c r="BJ23564" s="201"/>
    </row>
    <row r="23565" spans="62:62" x14ac:dyDescent="0.2">
      <c r="BJ23565" s="201"/>
    </row>
    <row r="23566" spans="62:62" x14ac:dyDescent="0.2">
      <c r="BJ23566" s="201"/>
    </row>
    <row r="23567" spans="62:62" x14ac:dyDescent="0.2">
      <c r="BJ23567" s="201"/>
    </row>
    <row r="23568" spans="62:62" x14ac:dyDescent="0.2">
      <c r="BJ23568" s="201"/>
    </row>
    <row r="23569" spans="62:62" x14ac:dyDescent="0.2">
      <c r="BJ23569" s="201"/>
    </row>
    <row r="23570" spans="62:62" x14ac:dyDescent="0.2">
      <c r="BJ23570" s="201"/>
    </row>
    <row r="23571" spans="62:62" x14ac:dyDescent="0.2">
      <c r="BJ23571" s="201"/>
    </row>
    <row r="23572" spans="62:62" x14ac:dyDescent="0.2">
      <c r="BJ23572" s="201"/>
    </row>
    <row r="23573" spans="62:62" x14ac:dyDescent="0.2">
      <c r="BJ23573" s="201"/>
    </row>
    <row r="23574" spans="62:62" x14ac:dyDescent="0.2">
      <c r="BJ23574" s="201"/>
    </row>
    <row r="23575" spans="62:62" x14ac:dyDescent="0.2">
      <c r="BJ23575" s="201"/>
    </row>
    <row r="23576" spans="62:62" x14ac:dyDescent="0.2">
      <c r="BJ23576" s="201"/>
    </row>
    <row r="23577" spans="62:62" x14ac:dyDescent="0.2">
      <c r="BJ23577" s="201"/>
    </row>
    <row r="23578" spans="62:62" x14ac:dyDescent="0.2">
      <c r="BJ23578" s="201"/>
    </row>
    <row r="23579" spans="62:62" x14ac:dyDescent="0.2">
      <c r="BJ23579" s="201"/>
    </row>
    <row r="23580" spans="62:62" x14ac:dyDescent="0.2">
      <c r="BJ23580" s="201"/>
    </row>
    <row r="23581" spans="62:62" x14ac:dyDescent="0.2">
      <c r="BJ23581" s="201"/>
    </row>
    <row r="23582" spans="62:62" x14ac:dyDescent="0.2">
      <c r="BJ23582" s="201"/>
    </row>
    <row r="23583" spans="62:62" x14ac:dyDescent="0.2">
      <c r="BJ23583" s="201"/>
    </row>
    <row r="23584" spans="62:62" x14ac:dyDescent="0.2">
      <c r="BJ23584" s="201"/>
    </row>
    <row r="23585" spans="62:62" x14ac:dyDescent="0.2">
      <c r="BJ23585" s="201"/>
    </row>
    <row r="23586" spans="62:62" x14ac:dyDescent="0.2">
      <c r="BJ23586" s="201"/>
    </row>
    <row r="23587" spans="62:62" x14ac:dyDescent="0.2">
      <c r="BJ23587" s="201"/>
    </row>
    <row r="23588" spans="62:62" x14ac:dyDescent="0.2">
      <c r="BJ23588" s="201"/>
    </row>
    <row r="23589" spans="62:62" x14ac:dyDescent="0.2">
      <c r="BJ23589" s="201"/>
    </row>
    <row r="23590" spans="62:62" x14ac:dyDescent="0.2">
      <c r="BJ23590" s="201"/>
    </row>
    <row r="23591" spans="62:62" x14ac:dyDescent="0.2">
      <c r="BJ23591" s="201"/>
    </row>
    <row r="23592" spans="62:62" x14ac:dyDescent="0.2">
      <c r="BJ23592" s="201"/>
    </row>
    <row r="23593" spans="62:62" x14ac:dyDescent="0.2">
      <c r="BJ23593" s="201"/>
    </row>
    <row r="23594" spans="62:62" x14ac:dyDescent="0.2">
      <c r="BJ23594" s="201"/>
    </row>
    <row r="23595" spans="62:62" x14ac:dyDescent="0.2">
      <c r="BJ23595" s="201"/>
    </row>
    <row r="23596" spans="62:62" x14ac:dyDescent="0.2">
      <c r="BJ23596" s="201"/>
    </row>
    <row r="23597" spans="62:62" x14ac:dyDescent="0.2">
      <c r="BJ23597" s="201"/>
    </row>
    <row r="23598" spans="62:62" x14ac:dyDescent="0.2">
      <c r="BJ23598" s="201"/>
    </row>
    <row r="23599" spans="62:62" x14ac:dyDescent="0.2">
      <c r="BJ23599" s="201"/>
    </row>
    <row r="23600" spans="62:62" x14ac:dyDescent="0.2">
      <c r="BJ23600" s="201"/>
    </row>
    <row r="23601" spans="62:62" x14ac:dyDescent="0.2">
      <c r="BJ23601" s="201"/>
    </row>
    <row r="23602" spans="62:62" x14ac:dyDescent="0.2">
      <c r="BJ23602" s="201"/>
    </row>
    <row r="23603" spans="62:62" x14ac:dyDescent="0.2">
      <c r="BJ23603" s="201"/>
    </row>
    <row r="23604" spans="62:62" x14ac:dyDescent="0.2">
      <c r="BJ23604" s="201"/>
    </row>
    <row r="23605" spans="62:62" x14ac:dyDescent="0.2">
      <c r="BJ23605" s="201"/>
    </row>
    <row r="23606" spans="62:62" x14ac:dyDescent="0.2">
      <c r="BJ23606" s="201"/>
    </row>
    <row r="23607" spans="62:62" x14ac:dyDescent="0.2">
      <c r="BJ23607" s="201"/>
    </row>
    <row r="23608" spans="62:62" x14ac:dyDescent="0.2">
      <c r="BJ23608" s="201"/>
    </row>
    <row r="23609" spans="62:62" x14ac:dyDescent="0.2">
      <c r="BJ23609" s="201"/>
    </row>
    <row r="23610" spans="62:62" x14ac:dyDescent="0.2">
      <c r="BJ23610" s="201"/>
    </row>
    <row r="23611" spans="62:62" x14ac:dyDescent="0.2">
      <c r="BJ23611" s="201"/>
    </row>
    <row r="23612" spans="62:62" x14ac:dyDescent="0.2">
      <c r="BJ23612" s="201"/>
    </row>
    <row r="23613" spans="62:62" x14ac:dyDescent="0.2">
      <c r="BJ23613" s="201"/>
    </row>
    <row r="23614" spans="62:62" x14ac:dyDescent="0.2">
      <c r="BJ23614" s="201"/>
    </row>
    <row r="23615" spans="62:62" x14ac:dyDescent="0.2">
      <c r="BJ23615" s="201"/>
    </row>
    <row r="23616" spans="62:62" x14ac:dyDescent="0.2">
      <c r="BJ23616" s="201"/>
    </row>
    <row r="23617" spans="62:62" x14ac:dyDescent="0.2">
      <c r="BJ23617" s="201"/>
    </row>
    <row r="23618" spans="62:62" x14ac:dyDescent="0.2">
      <c r="BJ23618" s="201"/>
    </row>
    <row r="23619" spans="62:62" x14ac:dyDescent="0.2">
      <c r="BJ23619" s="201"/>
    </row>
    <row r="23620" spans="62:62" x14ac:dyDescent="0.2">
      <c r="BJ23620" s="201"/>
    </row>
    <row r="23621" spans="62:62" x14ac:dyDescent="0.2">
      <c r="BJ23621" s="201"/>
    </row>
    <row r="23622" spans="62:62" x14ac:dyDescent="0.2">
      <c r="BJ23622" s="201"/>
    </row>
    <row r="23623" spans="62:62" x14ac:dyDescent="0.2">
      <c r="BJ23623" s="201"/>
    </row>
    <row r="23624" spans="62:62" x14ac:dyDescent="0.2">
      <c r="BJ23624" s="201"/>
    </row>
    <row r="23625" spans="62:62" x14ac:dyDescent="0.2">
      <c r="BJ23625" s="201"/>
    </row>
    <row r="23626" spans="62:62" x14ac:dyDescent="0.2">
      <c r="BJ23626" s="201"/>
    </row>
    <row r="23627" spans="62:62" x14ac:dyDescent="0.2">
      <c r="BJ23627" s="201"/>
    </row>
    <row r="23628" spans="62:62" x14ac:dyDescent="0.2">
      <c r="BJ23628" s="201"/>
    </row>
    <row r="23629" spans="62:62" x14ac:dyDescent="0.2">
      <c r="BJ23629" s="201"/>
    </row>
    <row r="23630" spans="62:62" x14ac:dyDescent="0.2">
      <c r="BJ23630" s="201"/>
    </row>
    <row r="23631" spans="62:62" x14ac:dyDescent="0.2">
      <c r="BJ23631" s="201"/>
    </row>
    <row r="23632" spans="62:62" x14ac:dyDescent="0.2">
      <c r="BJ23632" s="201"/>
    </row>
    <row r="23633" spans="62:62" x14ac:dyDescent="0.2">
      <c r="BJ23633" s="201"/>
    </row>
    <row r="23634" spans="62:62" x14ac:dyDescent="0.2">
      <c r="BJ23634" s="201"/>
    </row>
    <row r="23635" spans="62:62" x14ac:dyDescent="0.2">
      <c r="BJ23635" s="201"/>
    </row>
    <row r="23636" spans="62:62" x14ac:dyDescent="0.2">
      <c r="BJ23636" s="201"/>
    </row>
    <row r="23637" spans="62:62" x14ac:dyDescent="0.2">
      <c r="BJ23637" s="201"/>
    </row>
    <row r="23638" spans="62:62" x14ac:dyDescent="0.2">
      <c r="BJ23638" s="201"/>
    </row>
    <row r="23639" spans="62:62" x14ac:dyDescent="0.2">
      <c r="BJ23639" s="201"/>
    </row>
    <row r="23640" spans="62:62" x14ac:dyDescent="0.2">
      <c r="BJ23640" s="201"/>
    </row>
    <row r="23641" spans="62:62" x14ac:dyDescent="0.2">
      <c r="BJ23641" s="201"/>
    </row>
    <row r="23642" spans="62:62" x14ac:dyDescent="0.2">
      <c r="BJ23642" s="201"/>
    </row>
    <row r="23643" spans="62:62" x14ac:dyDescent="0.2">
      <c r="BJ23643" s="201"/>
    </row>
    <row r="23644" spans="62:62" x14ac:dyDescent="0.2">
      <c r="BJ23644" s="201"/>
    </row>
    <row r="23645" spans="62:62" x14ac:dyDescent="0.2">
      <c r="BJ23645" s="201"/>
    </row>
    <row r="23646" spans="62:62" x14ac:dyDescent="0.2">
      <c r="BJ23646" s="201"/>
    </row>
    <row r="23647" spans="62:62" x14ac:dyDescent="0.2">
      <c r="BJ23647" s="201"/>
    </row>
    <row r="23648" spans="62:62" x14ac:dyDescent="0.2">
      <c r="BJ23648" s="201"/>
    </row>
    <row r="23649" spans="62:62" x14ac:dyDescent="0.2">
      <c r="BJ23649" s="201"/>
    </row>
    <row r="23650" spans="62:62" x14ac:dyDescent="0.2">
      <c r="BJ23650" s="201"/>
    </row>
    <row r="23651" spans="62:62" x14ac:dyDescent="0.2">
      <c r="BJ23651" s="201"/>
    </row>
    <row r="23652" spans="62:62" x14ac:dyDescent="0.2">
      <c r="BJ23652" s="201"/>
    </row>
    <row r="23653" spans="62:62" x14ac:dyDescent="0.2">
      <c r="BJ23653" s="201"/>
    </row>
    <row r="23654" spans="62:62" x14ac:dyDescent="0.2">
      <c r="BJ23654" s="201"/>
    </row>
    <row r="23655" spans="62:62" x14ac:dyDescent="0.2">
      <c r="BJ23655" s="201"/>
    </row>
    <row r="23656" spans="62:62" x14ac:dyDescent="0.2">
      <c r="BJ23656" s="201"/>
    </row>
    <row r="23657" spans="62:62" x14ac:dyDescent="0.2">
      <c r="BJ23657" s="201"/>
    </row>
    <row r="23658" spans="62:62" x14ac:dyDescent="0.2">
      <c r="BJ23658" s="201"/>
    </row>
    <row r="23659" spans="62:62" x14ac:dyDescent="0.2">
      <c r="BJ23659" s="201"/>
    </row>
    <row r="23660" spans="62:62" x14ac:dyDescent="0.2">
      <c r="BJ23660" s="201"/>
    </row>
    <row r="23661" spans="62:62" x14ac:dyDescent="0.2">
      <c r="BJ23661" s="201"/>
    </row>
    <row r="23662" spans="62:62" x14ac:dyDescent="0.2">
      <c r="BJ23662" s="201"/>
    </row>
    <row r="23663" spans="62:62" x14ac:dyDescent="0.2">
      <c r="BJ23663" s="201"/>
    </row>
    <row r="23664" spans="62:62" x14ac:dyDescent="0.2">
      <c r="BJ23664" s="201"/>
    </row>
    <row r="23665" spans="62:62" x14ac:dyDescent="0.2">
      <c r="BJ23665" s="201"/>
    </row>
    <row r="23666" spans="62:62" x14ac:dyDescent="0.2">
      <c r="BJ23666" s="201"/>
    </row>
    <row r="23667" spans="62:62" x14ac:dyDescent="0.2">
      <c r="BJ23667" s="201"/>
    </row>
    <row r="23668" spans="62:62" x14ac:dyDescent="0.2">
      <c r="BJ23668" s="201"/>
    </row>
    <row r="23669" spans="62:62" x14ac:dyDescent="0.2">
      <c r="BJ23669" s="201"/>
    </row>
    <row r="23670" spans="62:62" x14ac:dyDescent="0.2">
      <c r="BJ23670" s="201"/>
    </row>
    <row r="23671" spans="62:62" x14ac:dyDescent="0.2">
      <c r="BJ23671" s="201"/>
    </row>
    <row r="23672" spans="62:62" x14ac:dyDescent="0.2">
      <c r="BJ23672" s="201"/>
    </row>
    <row r="23673" spans="62:62" x14ac:dyDescent="0.2">
      <c r="BJ23673" s="201"/>
    </row>
    <row r="23674" spans="62:62" x14ac:dyDescent="0.2">
      <c r="BJ23674" s="201"/>
    </row>
    <row r="23675" spans="62:62" x14ac:dyDescent="0.2">
      <c r="BJ23675" s="201"/>
    </row>
    <row r="23676" spans="62:62" x14ac:dyDescent="0.2">
      <c r="BJ23676" s="201"/>
    </row>
    <row r="23677" spans="62:62" x14ac:dyDescent="0.2">
      <c r="BJ23677" s="201"/>
    </row>
    <row r="23678" spans="62:62" x14ac:dyDescent="0.2">
      <c r="BJ23678" s="201"/>
    </row>
    <row r="23679" spans="62:62" x14ac:dyDescent="0.2">
      <c r="BJ23679" s="201"/>
    </row>
    <row r="23680" spans="62:62" x14ac:dyDescent="0.2">
      <c r="BJ23680" s="201"/>
    </row>
    <row r="23681" spans="62:62" x14ac:dyDescent="0.2">
      <c r="BJ23681" s="201"/>
    </row>
    <row r="23682" spans="62:62" x14ac:dyDescent="0.2">
      <c r="BJ23682" s="201"/>
    </row>
    <row r="23683" spans="62:62" x14ac:dyDescent="0.2">
      <c r="BJ23683" s="201"/>
    </row>
    <row r="23684" spans="62:62" x14ac:dyDescent="0.2">
      <c r="BJ23684" s="201"/>
    </row>
    <row r="23685" spans="62:62" x14ac:dyDescent="0.2">
      <c r="BJ23685" s="201"/>
    </row>
    <row r="23686" spans="62:62" x14ac:dyDescent="0.2">
      <c r="BJ23686" s="201"/>
    </row>
    <row r="23687" spans="62:62" x14ac:dyDescent="0.2">
      <c r="BJ23687" s="201"/>
    </row>
    <row r="23688" spans="62:62" x14ac:dyDescent="0.2">
      <c r="BJ23688" s="201"/>
    </row>
    <row r="23689" spans="62:62" x14ac:dyDescent="0.2">
      <c r="BJ23689" s="201"/>
    </row>
    <row r="23690" spans="62:62" x14ac:dyDescent="0.2">
      <c r="BJ23690" s="201"/>
    </row>
    <row r="23691" spans="62:62" x14ac:dyDescent="0.2">
      <c r="BJ23691" s="201"/>
    </row>
    <row r="23692" spans="62:62" x14ac:dyDescent="0.2">
      <c r="BJ23692" s="201"/>
    </row>
    <row r="23693" spans="62:62" x14ac:dyDescent="0.2">
      <c r="BJ23693" s="201"/>
    </row>
    <row r="23694" spans="62:62" x14ac:dyDescent="0.2">
      <c r="BJ23694" s="201"/>
    </row>
    <row r="23695" spans="62:62" x14ac:dyDescent="0.2">
      <c r="BJ23695" s="201"/>
    </row>
    <row r="23696" spans="62:62" x14ac:dyDescent="0.2">
      <c r="BJ23696" s="201"/>
    </row>
    <row r="23697" spans="62:62" x14ac:dyDescent="0.2">
      <c r="BJ23697" s="201"/>
    </row>
    <row r="23698" spans="62:62" x14ac:dyDescent="0.2">
      <c r="BJ23698" s="201"/>
    </row>
    <row r="23699" spans="62:62" x14ac:dyDescent="0.2">
      <c r="BJ23699" s="201"/>
    </row>
    <row r="23700" spans="62:62" x14ac:dyDescent="0.2">
      <c r="BJ23700" s="201"/>
    </row>
    <row r="23701" spans="62:62" x14ac:dyDescent="0.2">
      <c r="BJ23701" s="201"/>
    </row>
    <row r="23702" spans="62:62" x14ac:dyDescent="0.2">
      <c r="BJ23702" s="201"/>
    </row>
    <row r="23703" spans="62:62" x14ac:dyDescent="0.2">
      <c r="BJ23703" s="201"/>
    </row>
    <row r="23704" spans="62:62" x14ac:dyDescent="0.2">
      <c r="BJ23704" s="201"/>
    </row>
    <row r="23705" spans="62:62" x14ac:dyDescent="0.2">
      <c r="BJ23705" s="201"/>
    </row>
    <row r="23706" spans="62:62" x14ac:dyDescent="0.2">
      <c r="BJ23706" s="201"/>
    </row>
    <row r="23707" spans="62:62" x14ac:dyDescent="0.2">
      <c r="BJ23707" s="201"/>
    </row>
    <row r="23708" spans="62:62" x14ac:dyDescent="0.2">
      <c r="BJ23708" s="201"/>
    </row>
    <row r="23709" spans="62:62" x14ac:dyDescent="0.2">
      <c r="BJ23709" s="201"/>
    </row>
    <row r="23710" spans="62:62" x14ac:dyDescent="0.2">
      <c r="BJ23710" s="201"/>
    </row>
    <row r="23711" spans="62:62" x14ac:dyDescent="0.2">
      <c r="BJ23711" s="201"/>
    </row>
    <row r="23712" spans="62:62" x14ac:dyDescent="0.2">
      <c r="BJ23712" s="201"/>
    </row>
    <row r="23713" spans="62:62" x14ac:dyDescent="0.2">
      <c r="BJ23713" s="201"/>
    </row>
    <row r="23714" spans="62:62" x14ac:dyDescent="0.2">
      <c r="BJ23714" s="201"/>
    </row>
    <row r="23715" spans="62:62" x14ac:dyDescent="0.2">
      <c r="BJ23715" s="201"/>
    </row>
    <row r="23716" spans="62:62" x14ac:dyDescent="0.2">
      <c r="BJ23716" s="201"/>
    </row>
    <row r="23717" spans="62:62" x14ac:dyDescent="0.2">
      <c r="BJ23717" s="201"/>
    </row>
    <row r="23718" spans="62:62" x14ac:dyDescent="0.2">
      <c r="BJ23718" s="201"/>
    </row>
    <row r="23719" spans="62:62" x14ac:dyDescent="0.2">
      <c r="BJ23719" s="201"/>
    </row>
    <row r="23720" spans="62:62" x14ac:dyDescent="0.2">
      <c r="BJ23720" s="201"/>
    </row>
    <row r="23721" spans="62:62" x14ac:dyDescent="0.2">
      <c r="BJ23721" s="201"/>
    </row>
    <row r="23722" spans="62:62" x14ac:dyDescent="0.2">
      <c r="BJ23722" s="201"/>
    </row>
    <row r="23723" spans="62:62" x14ac:dyDescent="0.2">
      <c r="BJ23723" s="201"/>
    </row>
    <row r="23724" spans="62:62" x14ac:dyDescent="0.2">
      <c r="BJ23724" s="201"/>
    </row>
    <row r="23725" spans="62:62" x14ac:dyDescent="0.2">
      <c r="BJ23725" s="201"/>
    </row>
    <row r="23726" spans="62:62" x14ac:dyDescent="0.2">
      <c r="BJ23726" s="201"/>
    </row>
    <row r="23727" spans="62:62" x14ac:dyDescent="0.2">
      <c r="BJ23727" s="201"/>
    </row>
    <row r="23728" spans="62:62" x14ac:dyDescent="0.2">
      <c r="BJ23728" s="201"/>
    </row>
    <row r="23729" spans="62:62" x14ac:dyDescent="0.2">
      <c r="BJ23729" s="201"/>
    </row>
    <row r="23730" spans="62:62" x14ac:dyDescent="0.2">
      <c r="BJ23730" s="201"/>
    </row>
    <row r="23731" spans="62:62" x14ac:dyDescent="0.2">
      <c r="BJ23731" s="201"/>
    </row>
    <row r="23732" spans="62:62" x14ac:dyDescent="0.2">
      <c r="BJ23732" s="201"/>
    </row>
    <row r="23733" spans="62:62" x14ac:dyDescent="0.2">
      <c r="BJ23733" s="201"/>
    </row>
    <row r="23734" spans="62:62" x14ac:dyDescent="0.2">
      <c r="BJ23734" s="201"/>
    </row>
    <row r="23735" spans="62:62" x14ac:dyDescent="0.2">
      <c r="BJ23735" s="201"/>
    </row>
    <row r="23736" spans="62:62" x14ac:dyDescent="0.2">
      <c r="BJ23736" s="201"/>
    </row>
    <row r="23737" spans="62:62" x14ac:dyDescent="0.2">
      <c r="BJ23737" s="201"/>
    </row>
    <row r="23738" spans="62:62" x14ac:dyDescent="0.2">
      <c r="BJ23738" s="201"/>
    </row>
    <row r="23739" spans="62:62" x14ac:dyDescent="0.2">
      <c r="BJ23739" s="201"/>
    </row>
    <row r="23740" spans="62:62" x14ac:dyDescent="0.2">
      <c r="BJ23740" s="201"/>
    </row>
    <row r="23741" spans="62:62" x14ac:dyDescent="0.2">
      <c r="BJ23741" s="201"/>
    </row>
    <row r="23742" spans="62:62" x14ac:dyDescent="0.2">
      <c r="BJ23742" s="201"/>
    </row>
    <row r="23743" spans="62:62" x14ac:dyDescent="0.2">
      <c r="BJ23743" s="201"/>
    </row>
    <row r="23744" spans="62:62" x14ac:dyDescent="0.2">
      <c r="BJ23744" s="201"/>
    </row>
    <row r="23745" spans="62:62" x14ac:dyDescent="0.2">
      <c r="BJ23745" s="201"/>
    </row>
    <row r="23746" spans="62:62" x14ac:dyDescent="0.2">
      <c r="BJ23746" s="201"/>
    </row>
    <row r="23747" spans="62:62" x14ac:dyDescent="0.2">
      <c r="BJ23747" s="201"/>
    </row>
    <row r="23748" spans="62:62" x14ac:dyDescent="0.2">
      <c r="BJ23748" s="201"/>
    </row>
    <row r="23749" spans="62:62" x14ac:dyDescent="0.2">
      <c r="BJ23749" s="201"/>
    </row>
    <row r="23750" spans="62:62" x14ac:dyDescent="0.2">
      <c r="BJ23750" s="201"/>
    </row>
    <row r="23751" spans="62:62" x14ac:dyDescent="0.2">
      <c r="BJ23751" s="201"/>
    </row>
    <row r="23752" spans="62:62" x14ac:dyDescent="0.2">
      <c r="BJ23752" s="201"/>
    </row>
    <row r="23753" spans="62:62" x14ac:dyDescent="0.2">
      <c r="BJ23753" s="201"/>
    </row>
    <row r="23754" spans="62:62" x14ac:dyDescent="0.2">
      <c r="BJ23754" s="201"/>
    </row>
    <row r="23755" spans="62:62" x14ac:dyDescent="0.2">
      <c r="BJ23755" s="201"/>
    </row>
    <row r="23756" spans="62:62" x14ac:dyDescent="0.2">
      <c r="BJ23756" s="201"/>
    </row>
    <row r="23757" spans="62:62" x14ac:dyDescent="0.2">
      <c r="BJ23757" s="201"/>
    </row>
    <row r="23758" spans="62:62" x14ac:dyDescent="0.2">
      <c r="BJ23758" s="201"/>
    </row>
    <row r="23759" spans="62:62" x14ac:dyDescent="0.2">
      <c r="BJ23759" s="201"/>
    </row>
    <row r="23760" spans="62:62" x14ac:dyDescent="0.2">
      <c r="BJ23760" s="201"/>
    </row>
    <row r="23761" spans="62:62" x14ac:dyDescent="0.2">
      <c r="BJ23761" s="201"/>
    </row>
    <row r="23762" spans="62:62" x14ac:dyDescent="0.2">
      <c r="BJ23762" s="201"/>
    </row>
    <row r="23763" spans="62:62" x14ac:dyDescent="0.2">
      <c r="BJ23763" s="201"/>
    </row>
    <row r="23764" spans="62:62" x14ac:dyDescent="0.2">
      <c r="BJ23764" s="201"/>
    </row>
    <row r="23765" spans="62:62" x14ac:dyDescent="0.2">
      <c r="BJ23765" s="201"/>
    </row>
    <row r="23766" spans="62:62" x14ac:dyDescent="0.2">
      <c r="BJ23766" s="201"/>
    </row>
    <row r="23767" spans="62:62" x14ac:dyDescent="0.2">
      <c r="BJ23767" s="201"/>
    </row>
    <row r="23768" spans="62:62" x14ac:dyDescent="0.2">
      <c r="BJ23768" s="201"/>
    </row>
    <row r="23769" spans="62:62" x14ac:dyDescent="0.2">
      <c r="BJ23769" s="201"/>
    </row>
    <row r="23770" spans="62:62" x14ac:dyDescent="0.2">
      <c r="BJ23770" s="201"/>
    </row>
    <row r="23771" spans="62:62" x14ac:dyDescent="0.2">
      <c r="BJ23771" s="201"/>
    </row>
    <row r="23772" spans="62:62" x14ac:dyDescent="0.2">
      <c r="BJ23772" s="201"/>
    </row>
    <row r="23773" spans="62:62" x14ac:dyDescent="0.2">
      <c r="BJ23773" s="201"/>
    </row>
    <row r="23774" spans="62:62" x14ac:dyDescent="0.2">
      <c r="BJ23774" s="201"/>
    </row>
    <row r="23775" spans="62:62" x14ac:dyDescent="0.2">
      <c r="BJ23775" s="201"/>
    </row>
    <row r="23776" spans="62:62" x14ac:dyDescent="0.2">
      <c r="BJ23776" s="201"/>
    </row>
    <row r="23777" spans="62:62" x14ac:dyDescent="0.2">
      <c r="BJ23777" s="201"/>
    </row>
    <row r="23778" spans="62:62" x14ac:dyDescent="0.2">
      <c r="BJ23778" s="201"/>
    </row>
    <row r="23779" spans="62:62" x14ac:dyDescent="0.2">
      <c r="BJ23779" s="201"/>
    </row>
    <row r="23780" spans="62:62" x14ac:dyDescent="0.2">
      <c r="BJ23780" s="201"/>
    </row>
    <row r="23781" spans="62:62" x14ac:dyDescent="0.2">
      <c r="BJ23781" s="201"/>
    </row>
    <row r="23782" spans="62:62" x14ac:dyDescent="0.2">
      <c r="BJ23782" s="201"/>
    </row>
    <row r="23783" spans="62:62" x14ac:dyDescent="0.2">
      <c r="BJ23783" s="201"/>
    </row>
    <row r="23784" spans="62:62" x14ac:dyDescent="0.2">
      <c r="BJ23784" s="201"/>
    </row>
    <row r="23785" spans="62:62" x14ac:dyDescent="0.2">
      <c r="BJ23785" s="201"/>
    </row>
    <row r="23786" spans="62:62" x14ac:dyDescent="0.2">
      <c r="BJ23786" s="201"/>
    </row>
    <row r="23787" spans="62:62" x14ac:dyDescent="0.2">
      <c r="BJ23787" s="201"/>
    </row>
    <row r="23788" spans="62:62" x14ac:dyDescent="0.2">
      <c r="BJ23788" s="201"/>
    </row>
    <row r="23789" spans="62:62" x14ac:dyDescent="0.2">
      <c r="BJ23789" s="201"/>
    </row>
    <row r="23790" spans="62:62" x14ac:dyDescent="0.2">
      <c r="BJ23790" s="201"/>
    </row>
    <row r="23791" spans="62:62" x14ac:dyDescent="0.2">
      <c r="BJ23791" s="201"/>
    </row>
    <row r="23792" spans="62:62" x14ac:dyDescent="0.2">
      <c r="BJ23792" s="201"/>
    </row>
    <row r="23793" spans="62:62" x14ac:dyDescent="0.2">
      <c r="BJ23793" s="201"/>
    </row>
    <row r="23794" spans="62:62" x14ac:dyDescent="0.2">
      <c r="BJ23794" s="201"/>
    </row>
    <row r="23795" spans="62:62" x14ac:dyDescent="0.2">
      <c r="BJ23795" s="201"/>
    </row>
    <row r="23796" spans="62:62" x14ac:dyDescent="0.2">
      <c r="BJ23796" s="201"/>
    </row>
    <row r="23797" spans="62:62" x14ac:dyDescent="0.2">
      <c r="BJ23797" s="201"/>
    </row>
    <row r="23798" spans="62:62" x14ac:dyDescent="0.2">
      <c r="BJ23798" s="201"/>
    </row>
    <row r="23799" spans="62:62" x14ac:dyDescent="0.2">
      <c r="BJ23799" s="201"/>
    </row>
    <row r="23800" spans="62:62" x14ac:dyDescent="0.2">
      <c r="BJ23800" s="201"/>
    </row>
    <row r="23801" spans="62:62" x14ac:dyDescent="0.2">
      <c r="BJ23801" s="201"/>
    </row>
    <row r="23802" spans="62:62" x14ac:dyDescent="0.2">
      <c r="BJ23802" s="201"/>
    </row>
    <row r="23803" spans="62:62" x14ac:dyDescent="0.2">
      <c r="BJ23803" s="201"/>
    </row>
    <row r="23804" spans="62:62" x14ac:dyDescent="0.2">
      <c r="BJ23804" s="201"/>
    </row>
    <row r="23805" spans="62:62" x14ac:dyDescent="0.2">
      <c r="BJ23805" s="201"/>
    </row>
    <row r="23806" spans="62:62" x14ac:dyDescent="0.2">
      <c r="BJ23806" s="201"/>
    </row>
    <row r="23807" spans="62:62" x14ac:dyDescent="0.2">
      <c r="BJ23807" s="201"/>
    </row>
    <row r="23808" spans="62:62" x14ac:dyDescent="0.2">
      <c r="BJ23808" s="201"/>
    </row>
    <row r="23809" spans="62:62" x14ac:dyDescent="0.2">
      <c r="BJ23809" s="201"/>
    </row>
    <row r="23810" spans="62:62" x14ac:dyDescent="0.2">
      <c r="BJ23810" s="201"/>
    </row>
    <row r="23811" spans="62:62" x14ac:dyDescent="0.2">
      <c r="BJ23811" s="201"/>
    </row>
    <row r="23812" spans="62:62" x14ac:dyDescent="0.2">
      <c r="BJ23812" s="201"/>
    </row>
    <row r="23813" spans="62:62" x14ac:dyDescent="0.2">
      <c r="BJ23813" s="201"/>
    </row>
    <row r="23814" spans="62:62" x14ac:dyDescent="0.2">
      <c r="BJ23814" s="201"/>
    </row>
    <row r="23815" spans="62:62" x14ac:dyDescent="0.2">
      <c r="BJ23815" s="201"/>
    </row>
    <row r="23816" spans="62:62" x14ac:dyDescent="0.2">
      <c r="BJ23816" s="201"/>
    </row>
    <row r="23817" spans="62:62" x14ac:dyDescent="0.2">
      <c r="BJ23817" s="201"/>
    </row>
    <row r="23818" spans="62:62" x14ac:dyDescent="0.2">
      <c r="BJ23818" s="201"/>
    </row>
    <row r="23819" spans="62:62" x14ac:dyDescent="0.2">
      <c r="BJ23819" s="201"/>
    </row>
    <row r="23820" spans="62:62" x14ac:dyDescent="0.2">
      <c r="BJ23820" s="201"/>
    </row>
    <row r="23821" spans="62:62" x14ac:dyDescent="0.2">
      <c r="BJ23821" s="201"/>
    </row>
    <row r="23822" spans="62:62" x14ac:dyDescent="0.2">
      <c r="BJ23822" s="201"/>
    </row>
    <row r="23823" spans="62:62" x14ac:dyDescent="0.2">
      <c r="BJ23823" s="201"/>
    </row>
    <row r="23824" spans="62:62" x14ac:dyDescent="0.2">
      <c r="BJ23824" s="201"/>
    </row>
    <row r="23825" spans="62:62" x14ac:dyDescent="0.2">
      <c r="BJ23825" s="201"/>
    </row>
    <row r="23826" spans="62:62" x14ac:dyDescent="0.2">
      <c r="BJ23826" s="201"/>
    </row>
    <row r="23827" spans="62:62" x14ac:dyDescent="0.2">
      <c r="BJ23827" s="201"/>
    </row>
    <row r="23828" spans="62:62" x14ac:dyDescent="0.2">
      <c r="BJ23828" s="201"/>
    </row>
    <row r="23829" spans="62:62" x14ac:dyDescent="0.2">
      <c r="BJ23829" s="201"/>
    </row>
    <row r="23830" spans="62:62" x14ac:dyDescent="0.2">
      <c r="BJ23830" s="201"/>
    </row>
    <row r="23831" spans="62:62" x14ac:dyDescent="0.2">
      <c r="BJ23831" s="201"/>
    </row>
    <row r="23832" spans="62:62" x14ac:dyDescent="0.2">
      <c r="BJ23832" s="201"/>
    </row>
    <row r="23833" spans="62:62" x14ac:dyDescent="0.2">
      <c r="BJ23833" s="201"/>
    </row>
    <row r="23834" spans="62:62" x14ac:dyDescent="0.2">
      <c r="BJ23834" s="201"/>
    </row>
    <row r="23835" spans="62:62" x14ac:dyDescent="0.2">
      <c r="BJ23835" s="201"/>
    </row>
    <row r="23836" spans="62:62" x14ac:dyDescent="0.2">
      <c r="BJ23836" s="201"/>
    </row>
    <row r="23837" spans="62:62" x14ac:dyDescent="0.2">
      <c r="BJ23837" s="201"/>
    </row>
    <row r="23838" spans="62:62" x14ac:dyDescent="0.2">
      <c r="BJ23838" s="201"/>
    </row>
    <row r="23839" spans="62:62" x14ac:dyDescent="0.2">
      <c r="BJ23839" s="201"/>
    </row>
    <row r="23840" spans="62:62" x14ac:dyDescent="0.2">
      <c r="BJ23840" s="201"/>
    </row>
    <row r="23841" spans="62:62" x14ac:dyDescent="0.2">
      <c r="BJ23841" s="201"/>
    </row>
    <row r="23842" spans="62:62" x14ac:dyDescent="0.2">
      <c r="BJ23842" s="201"/>
    </row>
    <row r="23843" spans="62:62" x14ac:dyDescent="0.2">
      <c r="BJ23843" s="201"/>
    </row>
    <row r="23844" spans="62:62" x14ac:dyDescent="0.2">
      <c r="BJ23844" s="201"/>
    </row>
    <row r="23845" spans="62:62" x14ac:dyDescent="0.2">
      <c r="BJ23845" s="201"/>
    </row>
    <row r="23846" spans="62:62" x14ac:dyDescent="0.2">
      <c r="BJ23846" s="201"/>
    </row>
    <row r="23847" spans="62:62" x14ac:dyDescent="0.2">
      <c r="BJ23847" s="201"/>
    </row>
    <row r="23848" spans="62:62" x14ac:dyDescent="0.2">
      <c r="BJ23848" s="201"/>
    </row>
    <row r="23849" spans="62:62" x14ac:dyDescent="0.2">
      <c r="BJ23849" s="201"/>
    </row>
    <row r="23850" spans="62:62" x14ac:dyDescent="0.2">
      <c r="BJ23850" s="201"/>
    </row>
    <row r="23851" spans="62:62" x14ac:dyDescent="0.2">
      <c r="BJ23851" s="201"/>
    </row>
    <row r="23852" spans="62:62" x14ac:dyDescent="0.2">
      <c r="BJ23852" s="201"/>
    </row>
    <row r="23853" spans="62:62" x14ac:dyDescent="0.2">
      <c r="BJ23853" s="201"/>
    </row>
    <row r="23854" spans="62:62" x14ac:dyDescent="0.2">
      <c r="BJ23854" s="201"/>
    </row>
    <row r="23855" spans="62:62" x14ac:dyDescent="0.2">
      <c r="BJ23855" s="201"/>
    </row>
    <row r="23856" spans="62:62" x14ac:dyDescent="0.2">
      <c r="BJ23856" s="201"/>
    </row>
    <row r="23857" spans="62:62" x14ac:dyDescent="0.2">
      <c r="BJ23857" s="201"/>
    </row>
    <row r="23858" spans="62:62" x14ac:dyDescent="0.2">
      <c r="BJ23858" s="201"/>
    </row>
    <row r="23859" spans="62:62" x14ac:dyDescent="0.2">
      <c r="BJ23859" s="201"/>
    </row>
    <row r="23860" spans="62:62" x14ac:dyDescent="0.2">
      <c r="BJ23860" s="201"/>
    </row>
    <row r="23861" spans="62:62" x14ac:dyDescent="0.2">
      <c r="BJ23861" s="201"/>
    </row>
    <row r="23862" spans="62:62" x14ac:dyDescent="0.2">
      <c r="BJ23862" s="201"/>
    </row>
    <row r="23863" spans="62:62" x14ac:dyDescent="0.2">
      <c r="BJ23863" s="201"/>
    </row>
    <row r="23864" spans="62:62" x14ac:dyDescent="0.2">
      <c r="BJ23864" s="201"/>
    </row>
    <row r="23865" spans="62:62" x14ac:dyDescent="0.2">
      <c r="BJ23865" s="201"/>
    </row>
    <row r="23866" spans="62:62" x14ac:dyDescent="0.2">
      <c r="BJ23866" s="201"/>
    </row>
    <row r="23867" spans="62:62" x14ac:dyDescent="0.2">
      <c r="BJ23867" s="201"/>
    </row>
    <row r="23868" spans="62:62" x14ac:dyDescent="0.2">
      <c r="BJ23868" s="201"/>
    </row>
    <row r="23869" spans="62:62" x14ac:dyDescent="0.2">
      <c r="BJ23869" s="201"/>
    </row>
    <row r="23870" spans="62:62" x14ac:dyDescent="0.2">
      <c r="BJ23870" s="201"/>
    </row>
    <row r="23871" spans="62:62" x14ac:dyDescent="0.2">
      <c r="BJ23871" s="201"/>
    </row>
    <row r="23872" spans="62:62" x14ac:dyDescent="0.2">
      <c r="BJ23872" s="201"/>
    </row>
    <row r="23873" spans="62:62" x14ac:dyDescent="0.2">
      <c r="BJ23873" s="201"/>
    </row>
    <row r="23874" spans="62:62" x14ac:dyDescent="0.2">
      <c r="BJ23874" s="201"/>
    </row>
    <row r="23875" spans="62:62" x14ac:dyDescent="0.2">
      <c r="BJ23875" s="201"/>
    </row>
    <row r="23876" spans="62:62" x14ac:dyDescent="0.2">
      <c r="BJ23876" s="201"/>
    </row>
    <row r="23877" spans="62:62" x14ac:dyDescent="0.2">
      <c r="BJ23877" s="201"/>
    </row>
    <row r="23878" spans="62:62" x14ac:dyDescent="0.2">
      <c r="BJ23878" s="201"/>
    </row>
    <row r="23879" spans="62:62" x14ac:dyDescent="0.2">
      <c r="BJ23879" s="201"/>
    </row>
    <row r="23880" spans="62:62" x14ac:dyDescent="0.2">
      <c r="BJ23880" s="201"/>
    </row>
    <row r="23881" spans="62:62" x14ac:dyDescent="0.2">
      <c r="BJ23881" s="201"/>
    </row>
    <row r="23882" spans="62:62" x14ac:dyDescent="0.2">
      <c r="BJ23882" s="201"/>
    </row>
    <row r="23883" spans="62:62" x14ac:dyDescent="0.2">
      <c r="BJ23883" s="201"/>
    </row>
    <row r="23884" spans="62:62" x14ac:dyDescent="0.2">
      <c r="BJ23884" s="201"/>
    </row>
    <row r="23885" spans="62:62" x14ac:dyDescent="0.2">
      <c r="BJ23885" s="201"/>
    </row>
    <row r="23886" spans="62:62" x14ac:dyDescent="0.2">
      <c r="BJ23886" s="201"/>
    </row>
    <row r="23887" spans="62:62" x14ac:dyDescent="0.2">
      <c r="BJ23887" s="201"/>
    </row>
    <row r="23888" spans="62:62" x14ac:dyDescent="0.2">
      <c r="BJ23888" s="201"/>
    </row>
    <row r="23889" spans="62:62" x14ac:dyDescent="0.2">
      <c r="BJ23889" s="201"/>
    </row>
    <row r="23890" spans="62:62" x14ac:dyDescent="0.2">
      <c r="BJ23890" s="201"/>
    </row>
    <row r="23891" spans="62:62" x14ac:dyDescent="0.2">
      <c r="BJ23891" s="201"/>
    </row>
    <row r="23892" spans="62:62" x14ac:dyDescent="0.2">
      <c r="BJ23892" s="201"/>
    </row>
    <row r="23893" spans="62:62" x14ac:dyDescent="0.2">
      <c r="BJ23893" s="201"/>
    </row>
    <row r="23894" spans="62:62" x14ac:dyDescent="0.2">
      <c r="BJ23894" s="201"/>
    </row>
    <row r="23895" spans="62:62" x14ac:dyDescent="0.2">
      <c r="BJ23895" s="201"/>
    </row>
    <row r="23896" spans="62:62" x14ac:dyDescent="0.2">
      <c r="BJ23896" s="201"/>
    </row>
    <row r="23897" spans="62:62" x14ac:dyDescent="0.2">
      <c r="BJ23897" s="201"/>
    </row>
    <row r="23898" spans="62:62" x14ac:dyDescent="0.2">
      <c r="BJ23898" s="201"/>
    </row>
    <row r="23899" spans="62:62" x14ac:dyDescent="0.2">
      <c r="BJ23899" s="201"/>
    </row>
    <row r="23900" spans="62:62" x14ac:dyDescent="0.2">
      <c r="BJ23900" s="201"/>
    </row>
    <row r="23901" spans="62:62" x14ac:dyDescent="0.2">
      <c r="BJ23901" s="201"/>
    </row>
    <row r="23902" spans="62:62" x14ac:dyDescent="0.2">
      <c r="BJ23902" s="201"/>
    </row>
    <row r="23903" spans="62:62" x14ac:dyDescent="0.2">
      <c r="BJ23903" s="201"/>
    </row>
    <row r="23904" spans="62:62" x14ac:dyDescent="0.2">
      <c r="BJ23904" s="201"/>
    </row>
    <row r="23905" spans="62:62" x14ac:dyDescent="0.2">
      <c r="BJ23905" s="201"/>
    </row>
    <row r="23906" spans="62:62" x14ac:dyDescent="0.2">
      <c r="BJ23906" s="201"/>
    </row>
    <row r="23907" spans="62:62" x14ac:dyDescent="0.2">
      <c r="BJ23907" s="201"/>
    </row>
    <row r="23908" spans="62:62" x14ac:dyDescent="0.2">
      <c r="BJ23908" s="201"/>
    </row>
    <row r="23909" spans="62:62" x14ac:dyDescent="0.2">
      <c r="BJ23909" s="201"/>
    </row>
    <row r="23910" spans="62:62" x14ac:dyDescent="0.2">
      <c r="BJ23910" s="201"/>
    </row>
    <row r="23911" spans="62:62" x14ac:dyDescent="0.2">
      <c r="BJ23911" s="201"/>
    </row>
    <row r="23912" spans="62:62" x14ac:dyDescent="0.2">
      <c r="BJ23912" s="201"/>
    </row>
    <row r="23913" spans="62:62" x14ac:dyDescent="0.2">
      <c r="BJ23913" s="201"/>
    </row>
    <row r="23914" spans="62:62" x14ac:dyDescent="0.2">
      <c r="BJ23914" s="201"/>
    </row>
    <row r="23915" spans="62:62" x14ac:dyDescent="0.2">
      <c r="BJ23915" s="201"/>
    </row>
    <row r="23916" spans="62:62" x14ac:dyDescent="0.2">
      <c r="BJ23916" s="201"/>
    </row>
    <row r="23917" spans="62:62" x14ac:dyDescent="0.2">
      <c r="BJ23917" s="201"/>
    </row>
    <row r="23918" spans="62:62" x14ac:dyDescent="0.2">
      <c r="BJ23918" s="201"/>
    </row>
    <row r="23919" spans="62:62" x14ac:dyDescent="0.2">
      <c r="BJ23919" s="201"/>
    </row>
    <row r="23920" spans="62:62" x14ac:dyDescent="0.2">
      <c r="BJ23920" s="201"/>
    </row>
    <row r="23921" spans="62:62" x14ac:dyDescent="0.2">
      <c r="BJ23921" s="201"/>
    </row>
    <row r="23922" spans="62:62" x14ac:dyDescent="0.2">
      <c r="BJ23922" s="201"/>
    </row>
    <row r="23923" spans="62:62" x14ac:dyDescent="0.2">
      <c r="BJ23923" s="201"/>
    </row>
    <row r="23924" spans="62:62" x14ac:dyDescent="0.2">
      <c r="BJ23924" s="201"/>
    </row>
    <row r="23925" spans="62:62" x14ac:dyDescent="0.2">
      <c r="BJ23925" s="201"/>
    </row>
    <row r="23926" spans="62:62" x14ac:dyDescent="0.2">
      <c r="BJ23926" s="201"/>
    </row>
    <row r="23927" spans="62:62" x14ac:dyDescent="0.2">
      <c r="BJ23927" s="201"/>
    </row>
    <row r="23928" spans="62:62" x14ac:dyDescent="0.2">
      <c r="BJ23928" s="201"/>
    </row>
    <row r="23929" spans="62:62" x14ac:dyDescent="0.2">
      <c r="BJ23929" s="201"/>
    </row>
    <row r="23930" spans="62:62" x14ac:dyDescent="0.2">
      <c r="BJ23930" s="201"/>
    </row>
    <row r="23931" spans="62:62" x14ac:dyDescent="0.2">
      <c r="BJ23931" s="201"/>
    </row>
    <row r="23932" spans="62:62" x14ac:dyDescent="0.2">
      <c r="BJ23932" s="201"/>
    </row>
    <row r="23933" spans="62:62" x14ac:dyDescent="0.2">
      <c r="BJ23933" s="201"/>
    </row>
    <row r="23934" spans="62:62" x14ac:dyDescent="0.2">
      <c r="BJ23934" s="201"/>
    </row>
    <row r="23935" spans="62:62" x14ac:dyDescent="0.2">
      <c r="BJ23935" s="201"/>
    </row>
    <row r="23936" spans="62:62" x14ac:dyDescent="0.2">
      <c r="BJ23936" s="201"/>
    </row>
    <row r="23937" spans="62:62" x14ac:dyDescent="0.2">
      <c r="BJ23937" s="201"/>
    </row>
    <row r="23938" spans="62:62" x14ac:dyDescent="0.2">
      <c r="BJ23938" s="201"/>
    </row>
    <row r="23939" spans="62:62" x14ac:dyDescent="0.2">
      <c r="BJ23939" s="201"/>
    </row>
    <row r="23940" spans="62:62" x14ac:dyDescent="0.2">
      <c r="BJ23940" s="201"/>
    </row>
    <row r="23941" spans="62:62" x14ac:dyDescent="0.2">
      <c r="BJ23941" s="201"/>
    </row>
    <row r="23942" spans="62:62" x14ac:dyDescent="0.2">
      <c r="BJ23942" s="201"/>
    </row>
    <row r="23943" spans="62:62" x14ac:dyDescent="0.2">
      <c r="BJ23943" s="201"/>
    </row>
    <row r="23944" spans="62:62" x14ac:dyDescent="0.2">
      <c r="BJ23944" s="201"/>
    </row>
    <row r="23945" spans="62:62" x14ac:dyDescent="0.2">
      <c r="BJ23945" s="201"/>
    </row>
    <row r="23946" spans="62:62" x14ac:dyDescent="0.2">
      <c r="BJ23946" s="201"/>
    </row>
    <row r="23947" spans="62:62" x14ac:dyDescent="0.2">
      <c r="BJ23947" s="201"/>
    </row>
    <row r="23948" spans="62:62" x14ac:dyDescent="0.2">
      <c r="BJ23948" s="201"/>
    </row>
    <row r="23949" spans="62:62" x14ac:dyDescent="0.2">
      <c r="BJ23949" s="201"/>
    </row>
    <row r="23950" spans="62:62" x14ac:dyDescent="0.2">
      <c r="BJ23950" s="201"/>
    </row>
    <row r="23951" spans="62:62" x14ac:dyDescent="0.2">
      <c r="BJ23951" s="201"/>
    </row>
    <row r="23952" spans="62:62" x14ac:dyDescent="0.2">
      <c r="BJ23952" s="201"/>
    </row>
    <row r="23953" spans="62:62" x14ac:dyDescent="0.2">
      <c r="BJ23953" s="201"/>
    </row>
    <row r="23954" spans="62:62" x14ac:dyDescent="0.2">
      <c r="BJ23954" s="201"/>
    </row>
    <row r="23955" spans="62:62" x14ac:dyDescent="0.2">
      <c r="BJ23955" s="201"/>
    </row>
    <row r="23956" spans="62:62" x14ac:dyDescent="0.2">
      <c r="BJ23956" s="201"/>
    </row>
    <row r="23957" spans="62:62" x14ac:dyDescent="0.2">
      <c r="BJ23957" s="201"/>
    </row>
    <row r="23958" spans="62:62" x14ac:dyDescent="0.2">
      <c r="BJ23958" s="201"/>
    </row>
    <row r="23959" spans="62:62" x14ac:dyDescent="0.2">
      <c r="BJ23959" s="201"/>
    </row>
    <row r="23960" spans="62:62" x14ac:dyDescent="0.2">
      <c r="BJ23960" s="201"/>
    </row>
    <row r="23961" spans="62:62" x14ac:dyDescent="0.2">
      <c r="BJ23961" s="201"/>
    </row>
    <row r="23962" spans="62:62" x14ac:dyDescent="0.2">
      <c r="BJ23962" s="201"/>
    </row>
    <row r="23963" spans="62:62" x14ac:dyDescent="0.2">
      <c r="BJ23963" s="201"/>
    </row>
    <row r="23964" spans="62:62" x14ac:dyDescent="0.2">
      <c r="BJ23964" s="201"/>
    </row>
    <row r="23965" spans="62:62" x14ac:dyDescent="0.2">
      <c r="BJ23965" s="201"/>
    </row>
    <row r="23966" spans="62:62" x14ac:dyDescent="0.2">
      <c r="BJ23966" s="201"/>
    </row>
    <row r="23967" spans="62:62" x14ac:dyDescent="0.2">
      <c r="BJ23967" s="201"/>
    </row>
    <row r="23968" spans="62:62" x14ac:dyDescent="0.2">
      <c r="BJ23968" s="201"/>
    </row>
    <row r="23969" spans="62:62" x14ac:dyDescent="0.2">
      <c r="BJ23969" s="201"/>
    </row>
    <row r="23970" spans="62:62" x14ac:dyDescent="0.2">
      <c r="BJ23970" s="201"/>
    </row>
    <row r="23971" spans="62:62" x14ac:dyDescent="0.2">
      <c r="BJ23971" s="201"/>
    </row>
    <row r="23972" spans="62:62" x14ac:dyDescent="0.2">
      <c r="BJ23972" s="201"/>
    </row>
    <row r="23973" spans="62:62" x14ac:dyDescent="0.2">
      <c r="BJ23973" s="201"/>
    </row>
    <row r="23974" spans="62:62" x14ac:dyDescent="0.2">
      <c r="BJ23974" s="201"/>
    </row>
    <row r="23975" spans="62:62" x14ac:dyDescent="0.2">
      <c r="BJ23975" s="201"/>
    </row>
    <row r="23976" spans="62:62" x14ac:dyDescent="0.2">
      <c r="BJ23976" s="201"/>
    </row>
    <row r="23977" spans="62:62" x14ac:dyDescent="0.2">
      <c r="BJ23977" s="201"/>
    </row>
    <row r="23978" spans="62:62" x14ac:dyDescent="0.2">
      <c r="BJ23978" s="201"/>
    </row>
    <row r="23979" spans="62:62" x14ac:dyDescent="0.2">
      <c r="BJ23979" s="201"/>
    </row>
    <row r="23980" spans="62:62" x14ac:dyDescent="0.2">
      <c r="BJ23980" s="201"/>
    </row>
    <row r="23981" spans="62:62" x14ac:dyDescent="0.2">
      <c r="BJ23981" s="201"/>
    </row>
    <row r="23982" spans="62:62" x14ac:dyDescent="0.2">
      <c r="BJ23982" s="201"/>
    </row>
    <row r="23983" spans="62:62" x14ac:dyDescent="0.2">
      <c r="BJ23983" s="201"/>
    </row>
    <row r="23984" spans="62:62" x14ac:dyDescent="0.2">
      <c r="BJ23984" s="201"/>
    </row>
    <row r="23985" spans="62:62" x14ac:dyDescent="0.2">
      <c r="BJ23985" s="201"/>
    </row>
    <row r="23986" spans="62:62" x14ac:dyDescent="0.2">
      <c r="BJ23986" s="201"/>
    </row>
    <row r="23987" spans="62:62" x14ac:dyDescent="0.2">
      <c r="BJ23987" s="201"/>
    </row>
    <row r="23988" spans="62:62" x14ac:dyDescent="0.2">
      <c r="BJ23988" s="201"/>
    </row>
    <row r="23989" spans="62:62" x14ac:dyDescent="0.2">
      <c r="BJ23989" s="201"/>
    </row>
    <row r="23990" spans="62:62" x14ac:dyDescent="0.2">
      <c r="BJ23990" s="201"/>
    </row>
    <row r="23991" spans="62:62" x14ac:dyDescent="0.2">
      <c r="BJ23991" s="201"/>
    </row>
    <row r="23992" spans="62:62" x14ac:dyDescent="0.2">
      <c r="BJ23992" s="201"/>
    </row>
    <row r="23993" spans="62:62" x14ac:dyDescent="0.2">
      <c r="BJ23993" s="201"/>
    </row>
    <row r="23994" spans="62:62" x14ac:dyDescent="0.2">
      <c r="BJ23994" s="201"/>
    </row>
    <row r="23995" spans="62:62" x14ac:dyDescent="0.2">
      <c r="BJ23995" s="201"/>
    </row>
    <row r="23996" spans="62:62" x14ac:dyDescent="0.2">
      <c r="BJ23996" s="201"/>
    </row>
    <row r="23997" spans="62:62" x14ac:dyDescent="0.2">
      <c r="BJ23997" s="201"/>
    </row>
    <row r="23998" spans="62:62" x14ac:dyDescent="0.2">
      <c r="BJ23998" s="201"/>
    </row>
    <row r="23999" spans="62:62" x14ac:dyDescent="0.2">
      <c r="BJ23999" s="201"/>
    </row>
    <row r="24000" spans="62:62" x14ac:dyDescent="0.2">
      <c r="BJ24000" s="201"/>
    </row>
    <row r="24001" spans="62:62" x14ac:dyDescent="0.2">
      <c r="BJ24001" s="201"/>
    </row>
    <row r="24002" spans="62:62" x14ac:dyDescent="0.2">
      <c r="BJ24002" s="201"/>
    </row>
    <row r="24003" spans="62:62" x14ac:dyDescent="0.2">
      <c r="BJ24003" s="201"/>
    </row>
    <row r="24004" spans="62:62" x14ac:dyDescent="0.2">
      <c r="BJ24004" s="201"/>
    </row>
    <row r="24005" spans="62:62" x14ac:dyDescent="0.2">
      <c r="BJ24005" s="201"/>
    </row>
    <row r="24006" spans="62:62" x14ac:dyDescent="0.2">
      <c r="BJ24006" s="201"/>
    </row>
    <row r="24007" spans="62:62" x14ac:dyDescent="0.2">
      <c r="BJ24007" s="201"/>
    </row>
    <row r="24008" spans="62:62" x14ac:dyDescent="0.2">
      <c r="BJ24008" s="201"/>
    </row>
    <row r="24009" spans="62:62" x14ac:dyDescent="0.2">
      <c r="BJ24009" s="201"/>
    </row>
    <row r="24010" spans="62:62" x14ac:dyDescent="0.2">
      <c r="BJ24010" s="201"/>
    </row>
    <row r="24011" spans="62:62" x14ac:dyDescent="0.2">
      <c r="BJ24011" s="201"/>
    </row>
    <row r="24012" spans="62:62" x14ac:dyDescent="0.2">
      <c r="BJ24012" s="201"/>
    </row>
    <row r="24013" spans="62:62" x14ac:dyDescent="0.2">
      <c r="BJ24013" s="201"/>
    </row>
    <row r="24014" spans="62:62" x14ac:dyDescent="0.2">
      <c r="BJ24014" s="201"/>
    </row>
    <row r="24015" spans="62:62" x14ac:dyDescent="0.2">
      <c r="BJ24015" s="201"/>
    </row>
    <row r="24016" spans="62:62" x14ac:dyDescent="0.2">
      <c r="BJ24016" s="201"/>
    </row>
    <row r="24017" spans="62:62" x14ac:dyDescent="0.2">
      <c r="BJ24017" s="201"/>
    </row>
    <row r="24018" spans="62:62" x14ac:dyDescent="0.2">
      <c r="BJ24018" s="201"/>
    </row>
    <row r="24019" spans="62:62" x14ac:dyDescent="0.2">
      <c r="BJ24019" s="201"/>
    </row>
    <row r="24020" spans="62:62" x14ac:dyDescent="0.2">
      <c r="BJ24020" s="201"/>
    </row>
    <row r="24021" spans="62:62" x14ac:dyDescent="0.2">
      <c r="BJ24021" s="201"/>
    </row>
    <row r="24022" spans="62:62" x14ac:dyDescent="0.2">
      <c r="BJ24022" s="201"/>
    </row>
    <row r="24023" spans="62:62" x14ac:dyDescent="0.2">
      <c r="BJ24023" s="201"/>
    </row>
    <row r="24024" spans="62:62" x14ac:dyDescent="0.2">
      <c r="BJ24024" s="201"/>
    </row>
    <row r="24025" spans="62:62" x14ac:dyDescent="0.2">
      <c r="BJ24025" s="201"/>
    </row>
    <row r="24026" spans="62:62" x14ac:dyDescent="0.2">
      <c r="BJ24026" s="201"/>
    </row>
    <row r="24027" spans="62:62" x14ac:dyDescent="0.2">
      <c r="BJ24027" s="201"/>
    </row>
    <row r="24028" spans="62:62" x14ac:dyDescent="0.2">
      <c r="BJ24028" s="201"/>
    </row>
    <row r="24029" spans="62:62" x14ac:dyDescent="0.2">
      <c r="BJ24029" s="201"/>
    </row>
    <row r="24030" spans="62:62" x14ac:dyDescent="0.2">
      <c r="BJ24030" s="201"/>
    </row>
    <row r="24031" spans="62:62" x14ac:dyDescent="0.2">
      <c r="BJ24031" s="201"/>
    </row>
    <row r="24032" spans="62:62" x14ac:dyDescent="0.2">
      <c r="BJ24032" s="201"/>
    </row>
    <row r="24033" spans="62:62" x14ac:dyDescent="0.2">
      <c r="BJ24033" s="201"/>
    </row>
    <row r="24034" spans="62:62" x14ac:dyDescent="0.2">
      <c r="BJ24034" s="201"/>
    </row>
    <row r="24035" spans="62:62" x14ac:dyDescent="0.2">
      <c r="BJ24035" s="201"/>
    </row>
    <row r="24036" spans="62:62" x14ac:dyDescent="0.2">
      <c r="BJ24036" s="201"/>
    </row>
    <row r="24037" spans="62:62" x14ac:dyDescent="0.2">
      <c r="BJ24037" s="201"/>
    </row>
    <row r="24038" spans="62:62" x14ac:dyDescent="0.2">
      <c r="BJ24038" s="201"/>
    </row>
    <row r="24039" spans="62:62" x14ac:dyDescent="0.2">
      <c r="BJ24039" s="201"/>
    </row>
    <row r="24040" spans="62:62" x14ac:dyDescent="0.2">
      <c r="BJ24040" s="201"/>
    </row>
    <row r="24041" spans="62:62" x14ac:dyDescent="0.2">
      <c r="BJ24041" s="201"/>
    </row>
    <row r="24042" spans="62:62" x14ac:dyDescent="0.2">
      <c r="BJ24042" s="201"/>
    </row>
    <row r="24043" spans="62:62" x14ac:dyDescent="0.2">
      <c r="BJ24043" s="201"/>
    </row>
    <row r="24044" spans="62:62" x14ac:dyDescent="0.2">
      <c r="BJ24044" s="201"/>
    </row>
    <row r="24045" spans="62:62" x14ac:dyDescent="0.2">
      <c r="BJ24045" s="201"/>
    </row>
    <row r="24046" spans="62:62" x14ac:dyDescent="0.2">
      <c r="BJ24046" s="201"/>
    </row>
    <row r="24047" spans="62:62" x14ac:dyDescent="0.2">
      <c r="BJ24047" s="201"/>
    </row>
    <row r="24048" spans="62:62" x14ac:dyDescent="0.2">
      <c r="BJ24048" s="201"/>
    </row>
    <row r="24049" spans="62:62" x14ac:dyDescent="0.2">
      <c r="BJ24049" s="201"/>
    </row>
    <row r="24050" spans="62:62" x14ac:dyDescent="0.2">
      <c r="BJ24050" s="201"/>
    </row>
    <row r="24051" spans="62:62" x14ac:dyDescent="0.2">
      <c r="BJ24051" s="201"/>
    </row>
    <row r="24052" spans="62:62" x14ac:dyDescent="0.2">
      <c r="BJ24052" s="201"/>
    </row>
    <row r="24053" spans="62:62" x14ac:dyDescent="0.2">
      <c r="BJ24053" s="201"/>
    </row>
    <row r="24054" spans="62:62" x14ac:dyDescent="0.2">
      <c r="BJ24054" s="201"/>
    </row>
    <row r="24055" spans="62:62" x14ac:dyDescent="0.2">
      <c r="BJ24055" s="201"/>
    </row>
    <row r="24056" spans="62:62" x14ac:dyDescent="0.2">
      <c r="BJ24056" s="201"/>
    </row>
    <row r="24057" spans="62:62" x14ac:dyDescent="0.2">
      <c r="BJ24057" s="201"/>
    </row>
    <row r="24058" spans="62:62" x14ac:dyDescent="0.2">
      <c r="BJ24058" s="201"/>
    </row>
    <row r="24059" spans="62:62" x14ac:dyDescent="0.2">
      <c r="BJ24059" s="201"/>
    </row>
    <row r="24060" spans="62:62" x14ac:dyDescent="0.2">
      <c r="BJ24060" s="201"/>
    </row>
    <row r="24061" spans="62:62" x14ac:dyDescent="0.2">
      <c r="BJ24061" s="201"/>
    </row>
    <row r="24062" spans="62:62" x14ac:dyDescent="0.2">
      <c r="BJ24062" s="201"/>
    </row>
    <row r="24063" spans="62:62" x14ac:dyDescent="0.2">
      <c r="BJ24063" s="201"/>
    </row>
    <row r="24064" spans="62:62" x14ac:dyDescent="0.2">
      <c r="BJ24064" s="201"/>
    </row>
    <row r="24065" spans="62:62" x14ac:dyDescent="0.2">
      <c r="BJ24065" s="201"/>
    </row>
    <row r="24066" spans="62:62" x14ac:dyDescent="0.2">
      <c r="BJ24066" s="201"/>
    </row>
    <row r="24067" spans="62:62" x14ac:dyDescent="0.2">
      <c r="BJ24067" s="201"/>
    </row>
    <row r="24068" spans="62:62" x14ac:dyDescent="0.2">
      <c r="BJ24068" s="201"/>
    </row>
    <row r="24069" spans="62:62" x14ac:dyDescent="0.2">
      <c r="BJ24069" s="201"/>
    </row>
    <row r="24070" spans="62:62" x14ac:dyDescent="0.2">
      <c r="BJ24070" s="201"/>
    </row>
    <row r="24071" spans="62:62" x14ac:dyDescent="0.2">
      <c r="BJ24071" s="201"/>
    </row>
    <row r="24072" spans="62:62" x14ac:dyDescent="0.2">
      <c r="BJ24072" s="201"/>
    </row>
    <row r="24073" spans="62:62" x14ac:dyDescent="0.2">
      <c r="BJ24073" s="201"/>
    </row>
    <row r="24074" spans="62:62" x14ac:dyDescent="0.2">
      <c r="BJ24074" s="201"/>
    </row>
    <row r="24075" spans="62:62" x14ac:dyDescent="0.2">
      <c r="BJ24075" s="201"/>
    </row>
    <row r="24076" spans="62:62" x14ac:dyDescent="0.2">
      <c r="BJ24076" s="201"/>
    </row>
    <row r="24077" spans="62:62" x14ac:dyDescent="0.2">
      <c r="BJ24077" s="201"/>
    </row>
    <row r="24078" spans="62:62" x14ac:dyDescent="0.2">
      <c r="BJ24078" s="201"/>
    </row>
    <row r="24079" spans="62:62" x14ac:dyDescent="0.2">
      <c r="BJ24079" s="201"/>
    </row>
    <row r="24080" spans="62:62" x14ac:dyDescent="0.2">
      <c r="BJ24080" s="201"/>
    </row>
    <row r="24081" spans="62:62" x14ac:dyDescent="0.2">
      <c r="BJ24081" s="201"/>
    </row>
    <row r="24082" spans="62:62" x14ac:dyDescent="0.2">
      <c r="BJ24082" s="201"/>
    </row>
    <row r="24083" spans="62:62" x14ac:dyDescent="0.2">
      <c r="BJ24083" s="201"/>
    </row>
    <row r="24084" spans="62:62" x14ac:dyDescent="0.2">
      <c r="BJ24084" s="201"/>
    </row>
    <row r="24085" spans="62:62" x14ac:dyDescent="0.2">
      <c r="BJ24085" s="201"/>
    </row>
    <row r="24086" spans="62:62" x14ac:dyDescent="0.2">
      <c r="BJ24086" s="201"/>
    </row>
    <row r="24087" spans="62:62" x14ac:dyDescent="0.2">
      <c r="BJ24087" s="201"/>
    </row>
    <row r="24088" spans="62:62" x14ac:dyDescent="0.2">
      <c r="BJ24088" s="201"/>
    </row>
    <row r="24089" spans="62:62" x14ac:dyDescent="0.2">
      <c r="BJ24089" s="201"/>
    </row>
    <row r="24090" spans="62:62" x14ac:dyDescent="0.2">
      <c r="BJ24090" s="201"/>
    </row>
    <row r="24091" spans="62:62" x14ac:dyDescent="0.2">
      <c r="BJ24091" s="201"/>
    </row>
    <row r="24092" spans="62:62" x14ac:dyDescent="0.2">
      <c r="BJ24092" s="201"/>
    </row>
    <row r="24093" spans="62:62" x14ac:dyDescent="0.2">
      <c r="BJ24093" s="201"/>
    </row>
    <row r="24094" spans="62:62" x14ac:dyDescent="0.2">
      <c r="BJ24094" s="201"/>
    </row>
    <row r="24095" spans="62:62" x14ac:dyDescent="0.2">
      <c r="BJ24095" s="201"/>
    </row>
    <row r="24096" spans="62:62" x14ac:dyDescent="0.2">
      <c r="BJ24096" s="201"/>
    </row>
    <row r="24097" spans="62:62" x14ac:dyDescent="0.2">
      <c r="BJ24097" s="201"/>
    </row>
    <row r="24098" spans="62:62" x14ac:dyDescent="0.2">
      <c r="BJ24098" s="201"/>
    </row>
    <row r="24099" spans="62:62" x14ac:dyDescent="0.2">
      <c r="BJ24099" s="201"/>
    </row>
    <row r="24100" spans="62:62" x14ac:dyDescent="0.2">
      <c r="BJ24100" s="201"/>
    </row>
    <row r="24101" spans="62:62" x14ac:dyDescent="0.2">
      <c r="BJ24101" s="201"/>
    </row>
    <row r="24102" spans="62:62" x14ac:dyDescent="0.2">
      <c r="BJ24102" s="201"/>
    </row>
    <row r="24103" spans="62:62" x14ac:dyDescent="0.2">
      <c r="BJ24103" s="201"/>
    </row>
    <row r="24104" spans="62:62" x14ac:dyDescent="0.2">
      <c r="BJ24104" s="201"/>
    </row>
    <row r="24105" spans="62:62" x14ac:dyDescent="0.2">
      <c r="BJ24105" s="201"/>
    </row>
    <row r="24106" spans="62:62" x14ac:dyDescent="0.2">
      <c r="BJ24106" s="201"/>
    </row>
    <row r="24107" spans="62:62" x14ac:dyDescent="0.2">
      <c r="BJ24107" s="201"/>
    </row>
    <row r="24108" spans="62:62" x14ac:dyDescent="0.2">
      <c r="BJ24108" s="201"/>
    </row>
    <row r="24109" spans="62:62" x14ac:dyDescent="0.2">
      <c r="BJ24109" s="201"/>
    </row>
    <row r="24110" spans="62:62" x14ac:dyDescent="0.2">
      <c r="BJ24110" s="201"/>
    </row>
    <row r="24111" spans="62:62" x14ac:dyDescent="0.2">
      <c r="BJ24111" s="201"/>
    </row>
    <row r="24112" spans="62:62" x14ac:dyDescent="0.2">
      <c r="BJ24112" s="201"/>
    </row>
    <row r="24113" spans="62:62" x14ac:dyDescent="0.2">
      <c r="BJ24113" s="201"/>
    </row>
    <row r="24114" spans="62:62" x14ac:dyDescent="0.2">
      <c r="BJ24114" s="201"/>
    </row>
    <row r="24115" spans="62:62" x14ac:dyDescent="0.2">
      <c r="BJ24115" s="201"/>
    </row>
    <row r="24116" spans="62:62" x14ac:dyDescent="0.2">
      <c r="BJ24116" s="201"/>
    </row>
    <row r="24117" spans="62:62" x14ac:dyDescent="0.2">
      <c r="BJ24117" s="201"/>
    </row>
    <row r="24118" spans="62:62" x14ac:dyDescent="0.2">
      <c r="BJ24118" s="201"/>
    </row>
    <row r="24119" spans="62:62" x14ac:dyDescent="0.2">
      <c r="BJ24119" s="201"/>
    </row>
    <row r="24120" spans="62:62" x14ac:dyDescent="0.2">
      <c r="BJ24120" s="201"/>
    </row>
    <row r="24121" spans="62:62" x14ac:dyDescent="0.2">
      <c r="BJ24121" s="201"/>
    </row>
    <row r="24122" spans="62:62" x14ac:dyDescent="0.2">
      <c r="BJ24122" s="201"/>
    </row>
    <row r="24123" spans="62:62" x14ac:dyDescent="0.2">
      <c r="BJ24123" s="201"/>
    </row>
    <row r="24124" spans="62:62" x14ac:dyDescent="0.2">
      <c r="BJ24124" s="201"/>
    </row>
    <row r="24125" spans="62:62" x14ac:dyDescent="0.2">
      <c r="BJ24125" s="201"/>
    </row>
    <row r="24126" spans="62:62" x14ac:dyDescent="0.2">
      <c r="BJ24126" s="201"/>
    </row>
    <row r="24127" spans="62:62" x14ac:dyDescent="0.2">
      <c r="BJ24127" s="201"/>
    </row>
    <row r="24128" spans="62:62" x14ac:dyDescent="0.2">
      <c r="BJ24128" s="201"/>
    </row>
    <row r="24129" spans="62:62" x14ac:dyDescent="0.2">
      <c r="BJ24129" s="201"/>
    </row>
    <row r="24130" spans="62:62" x14ac:dyDescent="0.2">
      <c r="BJ24130" s="201"/>
    </row>
    <row r="24131" spans="62:62" x14ac:dyDescent="0.2">
      <c r="BJ24131" s="201"/>
    </row>
    <row r="24132" spans="62:62" x14ac:dyDescent="0.2">
      <c r="BJ24132" s="201"/>
    </row>
    <row r="24133" spans="62:62" x14ac:dyDescent="0.2">
      <c r="BJ24133" s="201"/>
    </row>
    <row r="24134" spans="62:62" x14ac:dyDescent="0.2">
      <c r="BJ24134" s="201"/>
    </row>
    <row r="24135" spans="62:62" x14ac:dyDescent="0.2">
      <c r="BJ24135" s="201"/>
    </row>
    <row r="24136" spans="62:62" x14ac:dyDescent="0.2">
      <c r="BJ24136" s="201"/>
    </row>
    <row r="24137" spans="62:62" x14ac:dyDescent="0.2">
      <c r="BJ24137" s="201"/>
    </row>
    <row r="24138" spans="62:62" x14ac:dyDescent="0.2">
      <c r="BJ24138" s="201"/>
    </row>
    <row r="24139" spans="62:62" x14ac:dyDescent="0.2">
      <c r="BJ24139" s="201"/>
    </row>
    <row r="24140" spans="62:62" x14ac:dyDescent="0.2">
      <c r="BJ24140" s="201"/>
    </row>
    <row r="24141" spans="62:62" x14ac:dyDescent="0.2">
      <c r="BJ24141" s="201"/>
    </row>
    <row r="24142" spans="62:62" x14ac:dyDescent="0.2">
      <c r="BJ24142" s="201"/>
    </row>
    <row r="24143" spans="62:62" x14ac:dyDescent="0.2">
      <c r="BJ24143" s="201"/>
    </row>
    <row r="24144" spans="62:62" x14ac:dyDescent="0.2">
      <c r="BJ24144" s="201"/>
    </row>
    <row r="24145" spans="62:62" x14ac:dyDescent="0.2">
      <c r="BJ24145" s="201"/>
    </row>
    <row r="24146" spans="62:62" x14ac:dyDescent="0.2">
      <c r="BJ24146" s="201"/>
    </row>
    <row r="24147" spans="62:62" x14ac:dyDescent="0.2">
      <c r="BJ24147" s="201"/>
    </row>
    <row r="24148" spans="62:62" x14ac:dyDescent="0.2">
      <c r="BJ24148" s="201"/>
    </row>
    <row r="24149" spans="62:62" x14ac:dyDescent="0.2">
      <c r="BJ24149" s="201"/>
    </row>
    <row r="24150" spans="62:62" x14ac:dyDescent="0.2">
      <c r="BJ24150" s="201"/>
    </row>
    <row r="24151" spans="62:62" x14ac:dyDescent="0.2">
      <c r="BJ24151" s="201"/>
    </row>
    <row r="24152" spans="62:62" x14ac:dyDescent="0.2">
      <c r="BJ24152" s="201"/>
    </row>
    <row r="24153" spans="62:62" x14ac:dyDescent="0.2">
      <c r="BJ24153" s="201"/>
    </row>
    <row r="24154" spans="62:62" x14ac:dyDescent="0.2">
      <c r="BJ24154" s="201"/>
    </row>
    <row r="24155" spans="62:62" x14ac:dyDescent="0.2">
      <c r="BJ24155" s="201"/>
    </row>
    <row r="24156" spans="62:62" x14ac:dyDescent="0.2">
      <c r="BJ24156" s="201"/>
    </row>
    <row r="24157" spans="62:62" x14ac:dyDescent="0.2">
      <c r="BJ24157" s="201"/>
    </row>
    <row r="24158" spans="62:62" x14ac:dyDescent="0.2">
      <c r="BJ24158" s="201"/>
    </row>
    <row r="24159" spans="62:62" x14ac:dyDescent="0.2">
      <c r="BJ24159" s="201"/>
    </row>
    <row r="24160" spans="62:62" x14ac:dyDescent="0.2">
      <c r="BJ24160" s="201"/>
    </row>
    <row r="24161" spans="62:62" x14ac:dyDescent="0.2">
      <c r="BJ24161" s="201"/>
    </row>
    <row r="24162" spans="62:62" x14ac:dyDescent="0.2">
      <c r="BJ24162" s="201"/>
    </row>
    <row r="24163" spans="62:62" x14ac:dyDescent="0.2">
      <c r="BJ24163" s="201"/>
    </row>
    <row r="24164" spans="62:62" x14ac:dyDescent="0.2">
      <c r="BJ24164" s="201"/>
    </row>
    <row r="24165" spans="62:62" x14ac:dyDescent="0.2">
      <c r="BJ24165" s="201"/>
    </row>
    <row r="24166" spans="62:62" x14ac:dyDescent="0.2">
      <c r="BJ24166" s="201"/>
    </row>
    <row r="24167" spans="62:62" x14ac:dyDescent="0.2">
      <c r="BJ24167" s="201"/>
    </row>
    <row r="24168" spans="62:62" x14ac:dyDescent="0.2">
      <c r="BJ24168" s="201"/>
    </row>
    <row r="24169" spans="62:62" x14ac:dyDescent="0.2">
      <c r="BJ24169" s="201"/>
    </row>
    <row r="24170" spans="62:62" x14ac:dyDescent="0.2">
      <c r="BJ24170" s="201"/>
    </row>
    <row r="24171" spans="62:62" x14ac:dyDescent="0.2">
      <c r="BJ24171" s="201"/>
    </row>
    <row r="24172" spans="62:62" x14ac:dyDescent="0.2">
      <c r="BJ24172" s="201"/>
    </row>
    <row r="24173" spans="62:62" x14ac:dyDescent="0.2">
      <c r="BJ24173" s="201"/>
    </row>
    <row r="24174" spans="62:62" x14ac:dyDescent="0.2">
      <c r="BJ24174" s="201"/>
    </row>
    <row r="24175" spans="62:62" x14ac:dyDescent="0.2">
      <c r="BJ24175" s="201"/>
    </row>
    <row r="24176" spans="62:62" x14ac:dyDescent="0.2">
      <c r="BJ24176" s="201"/>
    </row>
    <row r="24177" spans="62:62" x14ac:dyDescent="0.2">
      <c r="BJ24177" s="201"/>
    </row>
    <row r="24178" spans="62:62" x14ac:dyDescent="0.2">
      <c r="BJ24178" s="201"/>
    </row>
    <row r="24179" spans="62:62" x14ac:dyDescent="0.2">
      <c r="BJ24179" s="201"/>
    </row>
    <row r="24180" spans="62:62" x14ac:dyDescent="0.2">
      <c r="BJ24180" s="201"/>
    </row>
    <row r="24181" spans="62:62" x14ac:dyDescent="0.2">
      <c r="BJ24181" s="201"/>
    </row>
    <row r="24182" spans="62:62" x14ac:dyDescent="0.2">
      <c r="BJ24182" s="201"/>
    </row>
    <row r="24183" spans="62:62" x14ac:dyDescent="0.2">
      <c r="BJ24183" s="201"/>
    </row>
    <row r="24184" spans="62:62" x14ac:dyDescent="0.2">
      <c r="BJ24184" s="201"/>
    </row>
    <row r="24185" spans="62:62" x14ac:dyDescent="0.2">
      <c r="BJ24185" s="201"/>
    </row>
    <row r="24186" spans="62:62" x14ac:dyDescent="0.2">
      <c r="BJ24186" s="201"/>
    </row>
    <row r="24187" spans="62:62" x14ac:dyDescent="0.2">
      <c r="BJ24187" s="201"/>
    </row>
    <row r="24188" spans="62:62" x14ac:dyDescent="0.2">
      <c r="BJ24188" s="201"/>
    </row>
    <row r="24189" spans="62:62" x14ac:dyDescent="0.2">
      <c r="BJ24189" s="201"/>
    </row>
    <row r="24190" spans="62:62" x14ac:dyDescent="0.2">
      <c r="BJ24190" s="201"/>
    </row>
    <row r="24191" spans="62:62" x14ac:dyDescent="0.2">
      <c r="BJ24191" s="201"/>
    </row>
    <row r="24192" spans="62:62" x14ac:dyDescent="0.2">
      <c r="BJ24192" s="201"/>
    </row>
    <row r="24193" spans="62:62" x14ac:dyDescent="0.2">
      <c r="BJ24193" s="201"/>
    </row>
    <row r="24194" spans="62:62" x14ac:dyDescent="0.2">
      <c r="BJ24194" s="201"/>
    </row>
    <row r="24195" spans="62:62" x14ac:dyDescent="0.2">
      <c r="BJ24195" s="201"/>
    </row>
    <row r="24196" spans="62:62" x14ac:dyDescent="0.2">
      <c r="BJ24196" s="201"/>
    </row>
    <row r="24197" spans="62:62" x14ac:dyDescent="0.2">
      <c r="BJ24197" s="201"/>
    </row>
    <row r="24198" spans="62:62" x14ac:dyDescent="0.2">
      <c r="BJ24198" s="201"/>
    </row>
    <row r="24199" spans="62:62" x14ac:dyDescent="0.2">
      <c r="BJ24199" s="201"/>
    </row>
    <row r="24200" spans="62:62" x14ac:dyDescent="0.2">
      <c r="BJ24200" s="201"/>
    </row>
    <row r="24201" spans="62:62" x14ac:dyDescent="0.2">
      <c r="BJ24201" s="201"/>
    </row>
    <row r="24202" spans="62:62" x14ac:dyDescent="0.2">
      <c r="BJ24202" s="201"/>
    </row>
    <row r="24203" spans="62:62" x14ac:dyDescent="0.2">
      <c r="BJ24203" s="201"/>
    </row>
    <row r="24204" spans="62:62" x14ac:dyDescent="0.2">
      <c r="BJ24204" s="201"/>
    </row>
    <row r="24205" spans="62:62" x14ac:dyDescent="0.2">
      <c r="BJ24205" s="201"/>
    </row>
    <row r="24206" spans="62:62" x14ac:dyDescent="0.2">
      <c r="BJ24206" s="201"/>
    </row>
    <row r="24207" spans="62:62" x14ac:dyDescent="0.2">
      <c r="BJ24207" s="201"/>
    </row>
    <row r="24208" spans="62:62" x14ac:dyDescent="0.2">
      <c r="BJ24208" s="201"/>
    </row>
    <row r="24209" spans="62:62" x14ac:dyDescent="0.2">
      <c r="BJ24209" s="201"/>
    </row>
    <row r="24210" spans="62:62" x14ac:dyDescent="0.2">
      <c r="BJ24210" s="201"/>
    </row>
    <row r="24211" spans="62:62" x14ac:dyDescent="0.2">
      <c r="BJ24211" s="201"/>
    </row>
    <row r="24212" spans="62:62" x14ac:dyDescent="0.2">
      <c r="BJ24212" s="201"/>
    </row>
    <row r="24213" spans="62:62" x14ac:dyDescent="0.2">
      <c r="BJ24213" s="201"/>
    </row>
    <row r="24214" spans="62:62" x14ac:dyDescent="0.2">
      <c r="BJ24214" s="201"/>
    </row>
    <row r="24215" spans="62:62" x14ac:dyDescent="0.2">
      <c r="BJ24215" s="201"/>
    </row>
    <row r="24216" spans="62:62" x14ac:dyDescent="0.2">
      <c r="BJ24216" s="201"/>
    </row>
    <row r="24217" spans="62:62" x14ac:dyDescent="0.2">
      <c r="BJ24217" s="201"/>
    </row>
    <row r="24218" spans="62:62" x14ac:dyDescent="0.2">
      <c r="BJ24218" s="201"/>
    </row>
    <row r="24219" spans="62:62" x14ac:dyDescent="0.2">
      <c r="BJ24219" s="201"/>
    </row>
    <row r="24220" spans="62:62" x14ac:dyDescent="0.2">
      <c r="BJ24220" s="201"/>
    </row>
    <row r="24221" spans="62:62" x14ac:dyDescent="0.2">
      <c r="BJ24221" s="201"/>
    </row>
    <row r="24222" spans="62:62" x14ac:dyDescent="0.2">
      <c r="BJ24222" s="201"/>
    </row>
    <row r="24223" spans="62:62" x14ac:dyDescent="0.2">
      <c r="BJ24223" s="201"/>
    </row>
    <row r="24224" spans="62:62" x14ac:dyDescent="0.2">
      <c r="BJ24224" s="201"/>
    </row>
    <row r="24225" spans="62:62" x14ac:dyDescent="0.2">
      <c r="BJ24225" s="201"/>
    </row>
    <row r="24226" spans="62:62" x14ac:dyDescent="0.2">
      <c r="BJ24226" s="201"/>
    </row>
    <row r="24227" spans="62:62" x14ac:dyDescent="0.2">
      <c r="BJ24227" s="201"/>
    </row>
    <row r="24228" spans="62:62" x14ac:dyDescent="0.2">
      <c r="BJ24228" s="201"/>
    </row>
    <row r="24229" spans="62:62" x14ac:dyDescent="0.2">
      <c r="BJ24229" s="201"/>
    </row>
    <row r="24230" spans="62:62" x14ac:dyDescent="0.2">
      <c r="BJ24230" s="201"/>
    </row>
    <row r="24231" spans="62:62" x14ac:dyDescent="0.2">
      <c r="BJ24231" s="201"/>
    </row>
    <row r="24232" spans="62:62" x14ac:dyDescent="0.2">
      <c r="BJ24232" s="201"/>
    </row>
    <row r="24233" spans="62:62" x14ac:dyDescent="0.2">
      <c r="BJ24233" s="201"/>
    </row>
    <row r="24234" spans="62:62" x14ac:dyDescent="0.2">
      <c r="BJ24234" s="201"/>
    </row>
    <row r="24235" spans="62:62" x14ac:dyDescent="0.2">
      <c r="BJ24235" s="201"/>
    </row>
    <row r="24236" spans="62:62" x14ac:dyDescent="0.2">
      <c r="BJ24236" s="201"/>
    </row>
    <row r="24237" spans="62:62" x14ac:dyDescent="0.2">
      <c r="BJ24237" s="201"/>
    </row>
    <row r="24238" spans="62:62" x14ac:dyDescent="0.2">
      <c r="BJ24238" s="201"/>
    </row>
    <row r="24239" spans="62:62" x14ac:dyDescent="0.2">
      <c r="BJ24239" s="201"/>
    </row>
    <row r="24240" spans="62:62" x14ac:dyDescent="0.2">
      <c r="BJ24240" s="201"/>
    </row>
    <row r="24241" spans="62:62" x14ac:dyDescent="0.2">
      <c r="BJ24241" s="201"/>
    </row>
    <row r="24242" spans="62:62" x14ac:dyDescent="0.2">
      <c r="BJ24242" s="201"/>
    </row>
    <row r="24243" spans="62:62" x14ac:dyDescent="0.2">
      <c r="BJ24243" s="201"/>
    </row>
    <row r="24244" spans="62:62" x14ac:dyDescent="0.2">
      <c r="BJ24244" s="201"/>
    </row>
    <row r="24245" spans="62:62" x14ac:dyDescent="0.2">
      <c r="BJ24245" s="201"/>
    </row>
    <row r="24246" spans="62:62" x14ac:dyDescent="0.2">
      <c r="BJ24246" s="201"/>
    </row>
    <row r="24247" spans="62:62" x14ac:dyDescent="0.2">
      <c r="BJ24247" s="201"/>
    </row>
    <row r="24248" spans="62:62" x14ac:dyDescent="0.2">
      <c r="BJ24248" s="201"/>
    </row>
    <row r="24249" spans="62:62" x14ac:dyDescent="0.2">
      <c r="BJ24249" s="201"/>
    </row>
    <row r="24250" spans="62:62" x14ac:dyDescent="0.2">
      <c r="BJ24250" s="201"/>
    </row>
    <row r="24251" spans="62:62" x14ac:dyDescent="0.2">
      <c r="BJ24251" s="201"/>
    </row>
    <row r="24252" spans="62:62" x14ac:dyDescent="0.2">
      <c r="BJ24252" s="201"/>
    </row>
    <row r="24253" spans="62:62" x14ac:dyDescent="0.2">
      <c r="BJ24253" s="201"/>
    </row>
    <row r="24254" spans="62:62" x14ac:dyDescent="0.2">
      <c r="BJ24254" s="201"/>
    </row>
    <row r="24255" spans="62:62" x14ac:dyDescent="0.2">
      <c r="BJ24255" s="201"/>
    </row>
    <row r="24256" spans="62:62" x14ac:dyDescent="0.2">
      <c r="BJ24256" s="201"/>
    </row>
    <row r="24257" spans="62:62" x14ac:dyDescent="0.2">
      <c r="BJ24257" s="201"/>
    </row>
    <row r="24258" spans="62:62" x14ac:dyDescent="0.2">
      <c r="BJ24258" s="201"/>
    </row>
    <row r="24259" spans="62:62" x14ac:dyDescent="0.2">
      <c r="BJ24259" s="201"/>
    </row>
    <row r="24260" spans="62:62" x14ac:dyDescent="0.2">
      <c r="BJ24260" s="201"/>
    </row>
    <row r="24261" spans="62:62" x14ac:dyDescent="0.2">
      <c r="BJ24261" s="201"/>
    </row>
    <row r="24262" spans="62:62" x14ac:dyDescent="0.2">
      <c r="BJ24262" s="201"/>
    </row>
    <row r="24263" spans="62:62" x14ac:dyDescent="0.2">
      <c r="BJ24263" s="201"/>
    </row>
    <row r="24264" spans="62:62" x14ac:dyDescent="0.2">
      <c r="BJ24264" s="201"/>
    </row>
    <row r="24265" spans="62:62" x14ac:dyDescent="0.2">
      <c r="BJ24265" s="201"/>
    </row>
    <row r="24266" spans="62:62" x14ac:dyDescent="0.2">
      <c r="BJ24266" s="201"/>
    </row>
    <row r="24267" spans="62:62" x14ac:dyDescent="0.2">
      <c r="BJ24267" s="201"/>
    </row>
    <row r="24268" spans="62:62" x14ac:dyDescent="0.2">
      <c r="BJ24268" s="201"/>
    </row>
    <row r="24269" spans="62:62" x14ac:dyDescent="0.2">
      <c r="BJ24269" s="201"/>
    </row>
    <row r="24270" spans="62:62" x14ac:dyDescent="0.2">
      <c r="BJ24270" s="201"/>
    </row>
    <row r="24271" spans="62:62" x14ac:dyDescent="0.2">
      <c r="BJ24271" s="201"/>
    </row>
    <row r="24272" spans="62:62" x14ac:dyDescent="0.2">
      <c r="BJ24272" s="201"/>
    </row>
    <row r="24273" spans="62:62" x14ac:dyDescent="0.2">
      <c r="BJ24273" s="201"/>
    </row>
    <row r="24274" spans="62:62" x14ac:dyDescent="0.2">
      <c r="BJ24274" s="201"/>
    </row>
    <row r="24275" spans="62:62" x14ac:dyDescent="0.2">
      <c r="BJ24275" s="201"/>
    </row>
    <row r="24276" spans="62:62" x14ac:dyDescent="0.2">
      <c r="BJ24276" s="201"/>
    </row>
    <row r="24277" spans="62:62" x14ac:dyDescent="0.2">
      <c r="BJ24277" s="201"/>
    </row>
    <row r="24278" spans="62:62" x14ac:dyDescent="0.2">
      <c r="BJ24278" s="201"/>
    </row>
    <row r="24279" spans="62:62" x14ac:dyDescent="0.2">
      <c r="BJ24279" s="201"/>
    </row>
    <row r="24280" spans="62:62" x14ac:dyDescent="0.2">
      <c r="BJ24280" s="201"/>
    </row>
    <row r="24281" spans="62:62" x14ac:dyDescent="0.2">
      <c r="BJ24281" s="201"/>
    </row>
    <row r="24282" spans="62:62" x14ac:dyDescent="0.2">
      <c r="BJ24282" s="201"/>
    </row>
    <row r="24283" spans="62:62" x14ac:dyDescent="0.2">
      <c r="BJ24283" s="201"/>
    </row>
    <row r="24284" spans="62:62" x14ac:dyDescent="0.2">
      <c r="BJ24284" s="201"/>
    </row>
    <row r="24285" spans="62:62" x14ac:dyDescent="0.2">
      <c r="BJ24285" s="201"/>
    </row>
    <row r="24286" spans="62:62" x14ac:dyDescent="0.2">
      <c r="BJ24286" s="201"/>
    </row>
    <row r="24287" spans="62:62" x14ac:dyDescent="0.2">
      <c r="BJ24287" s="201"/>
    </row>
    <row r="24288" spans="62:62" x14ac:dyDescent="0.2">
      <c r="BJ24288" s="201"/>
    </row>
    <row r="24289" spans="62:62" x14ac:dyDescent="0.2">
      <c r="BJ24289" s="201"/>
    </row>
    <row r="24290" spans="62:62" x14ac:dyDescent="0.2">
      <c r="BJ24290" s="201"/>
    </row>
    <row r="24291" spans="62:62" x14ac:dyDescent="0.2">
      <c r="BJ24291" s="201"/>
    </row>
    <row r="24292" spans="62:62" x14ac:dyDescent="0.2">
      <c r="BJ24292" s="201"/>
    </row>
    <row r="24293" spans="62:62" x14ac:dyDescent="0.2">
      <c r="BJ24293" s="201"/>
    </row>
    <row r="24294" spans="62:62" x14ac:dyDescent="0.2">
      <c r="BJ24294" s="201"/>
    </row>
    <row r="24295" spans="62:62" x14ac:dyDescent="0.2">
      <c r="BJ24295" s="201"/>
    </row>
    <row r="24296" spans="62:62" x14ac:dyDescent="0.2">
      <c r="BJ24296" s="201"/>
    </row>
    <row r="24297" spans="62:62" x14ac:dyDescent="0.2">
      <c r="BJ24297" s="201"/>
    </row>
    <row r="24298" spans="62:62" x14ac:dyDescent="0.2">
      <c r="BJ24298" s="201"/>
    </row>
    <row r="24299" spans="62:62" x14ac:dyDescent="0.2">
      <c r="BJ24299" s="201"/>
    </row>
    <row r="24300" spans="62:62" x14ac:dyDescent="0.2">
      <c r="BJ24300" s="201"/>
    </row>
    <row r="24301" spans="62:62" x14ac:dyDescent="0.2">
      <c r="BJ24301" s="201"/>
    </row>
    <row r="24302" spans="62:62" x14ac:dyDescent="0.2">
      <c r="BJ24302" s="201"/>
    </row>
    <row r="24303" spans="62:62" x14ac:dyDescent="0.2">
      <c r="BJ24303" s="201"/>
    </row>
    <row r="24304" spans="62:62" x14ac:dyDescent="0.2">
      <c r="BJ24304" s="201"/>
    </row>
    <row r="24305" spans="62:62" x14ac:dyDescent="0.2">
      <c r="BJ24305" s="201"/>
    </row>
    <row r="24306" spans="62:62" x14ac:dyDescent="0.2">
      <c r="BJ24306" s="201"/>
    </row>
    <row r="24307" spans="62:62" x14ac:dyDescent="0.2">
      <c r="BJ24307" s="201"/>
    </row>
    <row r="24308" spans="62:62" x14ac:dyDescent="0.2">
      <c r="BJ24308" s="201"/>
    </row>
    <row r="24309" spans="62:62" x14ac:dyDescent="0.2">
      <c r="BJ24309" s="201"/>
    </row>
    <row r="24310" spans="62:62" x14ac:dyDescent="0.2">
      <c r="BJ24310" s="201"/>
    </row>
    <row r="24311" spans="62:62" x14ac:dyDescent="0.2">
      <c r="BJ24311" s="201"/>
    </row>
    <row r="24312" spans="62:62" x14ac:dyDescent="0.2">
      <c r="BJ24312" s="201"/>
    </row>
    <row r="24313" spans="62:62" x14ac:dyDescent="0.2">
      <c r="BJ24313" s="201"/>
    </row>
    <row r="24314" spans="62:62" x14ac:dyDescent="0.2">
      <c r="BJ24314" s="201"/>
    </row>
    <row r="24315" spans="62:62" x14ac:dyDescent="0.2">
      <c r="BJ24315" s="201"/>
    </row>
    <row r="24316" spans="62:62" x14ac:dyDescent="0.2">
      <c r="BJ24316" s="201"/>
    </row>
    <row r="24317" spans="62:62" x14ac:dyDescent="0.2">
      <c r="BJ24317" s="201"/>
    </row>
    <row r="24318" spans="62:62" x14ac:dyDescent="0.2">
      <c r="BJ24318" s="201"/>
    </row>
    <row r="24319" spans="62:62" x14ac:dyDescent="0.2">
      <c r="BJ24319" s="201"/>
    </row>
    <row r="24320" spans="62:62" x14ac:dyDescent="0.2">
      <c r="BJ24320" s="201"/>
    </row>
    <row r="24321" spans="62:62" x14ac:dyDescent="0.2">
      <c r="BJ24321" s="201"/>
    </row>
    <row r="24322" spans="62:62" x14ac:dyDescent="0.2">
      <c r="BJ24322" s="201"/>
    </row>
    <row r="24323" spans="62:62" x14ac:dyDescent="0.2">
      <c r="BJ24323" s="201"/>
    </row>
    <row r="24324" spans="62:62" x14ac:dyDescent="0.2">
      <c r="BJ24324" s="201"/>
    </row>
    <row r="24325" spans="62:62" x14ac:dyDescent="0.2">
      <c r="BJ24325" s="201"/>
    </row>
    <row r="24326" spans="62:62" x14ac:dyDescent="0.2">
      <c r="BJ24326" s="201"/>
    </row>
    <row r="24327" spans="62:62" x14ac:dyDescent="0.2">
      <c r="BJ24327" s="201"/>
    </row>
    <row r="24328" spans="62:62" x14ac:dyDescent="0.2">
      <c r="BJ24328" s="201"/>
    </row>
    <row r="24329" spans="62:62" x14ac:dyDescent="0.2">
      <c r="BJ24329" s="201"/>
    </row>
    <row r="24330" spans="62:62" x14ac:dyDescent="0.2">
      <c r="BJ24330" s="201"/>
    </row>
    <row r="24331" spans="62:62" x14ac:dyDescent="0.2">
      <c r="BJ24331" s="201"/>
    </row>
    <row r="24332" spans="62:62" x14ac:dyDescent="0.2">
      <c r="BJ24332" s="201"/>
    </row>
    <row r="24333" spans="62:62" x14ac:dyDescent="0.2">
      <c r="BJ24333" s="201"/>
    </row>
    <row r="24334" spans="62:62" x14ac:dyDescent="0.2">
      <c r="BJ24334" s="201"/>
    </row>
    <row r="24335" spans="62:62" x14ac:dyDescent="0.2">
      <c r="BJ24335" s="201"/>
    </row>
    <row r="24336" spans="62:62" x14ac:dyDescent="0.2">
      <c r="BJ24336" s="201"/>
    </row>
    <row r="24337" spans="62:62" x14ac:dyDescent="0.2">
      <c r="BJ24337" s="201"/>
    </row>
    <row r="24338" spans="62:62" x14ac:dyDescent="0.2">
      <c r="BJ24338" s="201"/>
    </row>
    <row r="24339" spans="62:62" x14ac:dyDescent="0.2">
      <c r="BJ24339" s="201"/>
    </row>
    <row r="24340" spans="62:62" x14ac:dyDescent="0.2">
      <c r="BJ24340" s="201"/>
    </row>
    <row r="24341" spans="62:62" x14ac:dyDescent="0.2">
      <c r="BJ24341" s="201"/>
    </row>
    <row r="24342" spans="62:62" x14ac:dyDescent="0.2">
      <c r="BJ24342" s="201"/>
    </row>
    <row r="24343" spans="62:62" x14ac:dyDescent="0.2">
      <c r="BJ24343" s="201"/>
    </row>
    <row r="24344" spans="62:62" x14ac:dyDescent="0.2">
      <c r="BJ24344" s="201"/>
    </row>
    <row r="24345" spans="62:62" x14ac:dyDescent="0.2">
      <c r="BJ24345" s="201"/>
    </row>
    <row r="24346" spans="62:62" x14ac:dyDescent="0.2">
      <c r="BJ24346" s="201"/>
    </row>
    <row r="24347" spans="62:62" x14ac:dyDescent="0.2">
      <c r="BJ24347" s="201"/>
    </row>
    <row r="24348" spans="62:62" x14ac:dyDescent="0.2">
      <c r="BJ24348" s="201"/>
    </row>
    <row r="24349" spans="62:62" x14ac:dyDescent="0.2">
      <c r="BJ24349" s="201"/>
    </row>
    <row r="24350" spans="62:62" x14ac:dyDescent="0.2">
      <c r="BJ24350" s="201"/>
    </row>
    <row r="24351" spans="62:62" x14ac:dyDescent="0.2">
      <c r="BJ24351" s="201"/>
    </row>
    <row r="24352" spans="62:62" x14ac:dyDescent="0.2">
      <c r="BJ24352" s="201"/>
    </row>
    <row r="24353" spans="62:62" x14ac:dyDescent="0.2">
      <c r="BJ24353" s="201"/>
    </row>
    <row r="24354" spans="62:62" x14ac:dyDescent="0.2">
      <c r="BJ24354" s="201"/>
    </row>
    <row r="24355" spans="62:62" x14ac:dyDescent="0.2">
      <c r="BJ24355" s="201"/>
    </row>
    <row r="24356" spans="62:62" x14ac:dyDescent="0.2">
      <c r="BJ24356" s="201"/>
    </row>
    <row r="24357" spans="62:62" x14ac:dyDescent="0.2">
      <c r="BJ24357" s="201"/>
    </row>
    <row r="24358" spans="62:62" x14ac:dyDescent="0.2">
      <c r="BJ24358" s="201"/>
    </row>
    <row r="24359" spans="62:62" x14ac:dyDescent="0.2">
      <c r="BJ24359" s="201"/>
    </row>
    <row r="24360" spans="62:62" x14ac:dyDescent="0.2">
      <c r="BJ24360" s="201"/>
    </row>
    <row r="24361" spans="62:62" x14ac:dyDescent="0.2">
      <c r="BJ24361" s="201"/>
    </row>
    <row r="24362" spans="62:62" x14ac:dyDescent="0.2">
      <c r="BJ24362" s="201"/>
    </row>
    <row r="24363" spans="62:62" x14ac:dyDescent="0.2">
      <c r="BJ24363" s="201"/>
    </row>
    <row r="24364" spans="62:62" x14ac:dyDescent="0.2">
      <c r="BJ24364" s="201"/>
    </row>
    <row r="24365" spans="62:62" x14ac:dyDescent="0.2">
      <c r="BJ24365" s="201"/>
    </row>
    <row r="24366" spans="62:62" x14ac:dyDescent="0.2">
      <c r="BJ24366" s="201"/>
    </row>
    <row r="24367" spans="62:62" x14ac:dyDescent="0.2">
      <c r="BJ24367" s="201"/>
    </row>
    <row r="24368" spans="62:62" x14ac:dyDescent="0.2">
      <c r="BJ24368" s="201"/>
    </row>
    <row r="24369" spans="62:62" x14ac:dyDescent="0.2">
      <c r="BJ24369" s="201"/>
    </row>
    <row r="24370" spans="62:62" x14ac:dyDescent="0.2">
      <c r="BJ24370" s="201"/>
    </row>
    <row r="24371" spans="62:62" x14ac:dyDescent="0.2">
      <c r="BJ24371" s="201"/>
    </row>
    <row r="24372" spans="62:62" x14ac:dyDescent="0.2">
      <c r="BJ24372" s="201"/>
    </row>
    <row r="24373" spans="62:62" x14ac:dyDescent="0.2">
      <c r="BJ24373" s="201"/>
    </row>
    <row r="24374" spans="62:62" x14ac:dyDescent="0.2">
      <c r="BJ24374" s="201"/>
    </row>
    <row r="24375" spans="62:62" x14ac:dyDescent="0.2">
      <c r="BJ24375" s="201"/>
    </row>
    <row r="24376" spans="62:62" x14ac:dyDescent="0.2">
      <c r="BJ24376" s="201"/>
    </row>
    <row r="24377" spans="62:62" x14ac:dyDescent="0.2">
      <c r="BJ24377" s="201"/>
    </row>
    <row r="24378" spans="62:62" x14ac:dyDescent="0.2">
      <c r="BJ24378" s="201"/>
    </row>
    <row r="24379" spans="62:62" x14ac:dyDescent="0.2">
      <c r="BJ24379" s="201"/>
    </row>
    <row r="24380" spans="62:62" x14ac:dyDescent="0.2">
      <c r="BJ24380" s="201"/>
    </row>
    <row r="24381" spans="62:62" x14ac:dyDescent="0.2">
      <c r="BJ24381" s="201"/>
    </row>
    <row r="24382" spans="62:62" x14ac:dyDescent="0.2">
      <c r="BJ24382" s="201"/>
    </row>
    <row r="24383" spans="62:62" x14ac:dyDescent="0.2">
      <c r="BJ24383" s="201"/>
    </row>
    <row r="24384" spans="62:62" x14ac:dyDescent="0.2">
      <c r="BJ24384" s="201"/>
    </row>
    <row r="24385" spans="62:62" x14ac:dyDescent="0.2">
      <c r="BJ24385" s="201"/>
    </row>
    <row r="24386" spans="62:62" x14ac:dyDescent="0.2">
      <c r="BJ24386" s="201"/>
    </row>
    <row r="24387" spans="62:62" x14ac:dyDescent="0.2">
      <c r="BJ24387" s="201"/>
    </row>
    <row r="24388" spans="62:62" x14ac:dyDescent="0.2">
      <c r="BJ24388" s="201"/>
    </row>
    <row r="24389" spans="62:62" x14ac:dyDescent="0.2">
      <c r="BJ24389" s="201"/>
    </row>
    <row r="24390" spans="62:62" x14ac:dyDescent="0.2">
      <c r="BJ24390" s="201"/>
    </row>
    <row r="24391" spans="62:62" x14ac:dyDescent="0.2">
      <c r="BJ24391" s="201"/>
    </row>
    <row r="24392" spans="62:62" x14ac:dyDescent="0.2">
      <c r="BJ24392" s="201"/>
    </row>
    <row r="24393" spans="62:62" x14ac:dyDescent="0.2">
      <c r="BJ24393" s="201"/>
    </row>
    <row r="24394" spans="62:62" x14ac:dyDescent="0.2">
      <c r="BJ24394" s="201"/>
    </row>
    <row r="24395" spans="62:62" x14ac:dyDescent="0.2">
      <c r="BJ24395" s="201"/>
    </row>
    <row r="24396" spans="62:62" x14ac:dyDescent="0.2">
      <c r="BJ24396" s="201"/>
    </row>
    <row r="24397" spans="62:62" x14ac:dyDescent="0.2">
      <c r="BJ24397" s="201"/>
    </row>
    <row r="24398" spans="62:62" x14ac:dyDescent="0.2">
      <c r="BJ24398" s="201"/>
    </row>
    <row r="24399" spans="62:62" x14ac:dyDescent="0.2">
      <c r="BJ24399" s="201"/>
    </row>
    <row r="24400" spans="62:62" x14ac:dyDescent="0.2">
      <c r="BJ24400" s="201"/>
    </row>
    <row r="24401" spans="62:62" x14ac:dyDescent="0.2">
      <c r="BJ24401" s="201"/>
    </row>
    <row r="24402" spans="62:62" x14ac:dyDescent="0.2">
      <c r="BJ24402" s="201"/>
    </row>
    <row r="24403" spans="62:62" x14ac:dyDescent="0.2">
      <c r="BJ24403" s="201"/>
    </row>
    <row r="24404" spans="62:62" x14ac:dyDescent="0.2">
      <c r="BJ24404" s="201"/>
    </row>
    <row r="24405" spans="62:62" x14ac:dyDescent="0.2">
      <c r="BJ24405" s="201"/>
    </row>
    <row r="24406" spans="62:62" x14ac:dyDescent="0.2">
      <c r="BJ24406" s="201"/>
    </row>
    <row r="24407" spans="62:62" x14ac:dyDescent="0.2">
      <c r="BJ24407" s="201"/>
    </row>
    <row r="24408" spans="62:62" x14ac:dyDescent="0.2">
      <c r="BJ24408" s="201"/>
    </row>
    <row r="24409" spans="62:62" x14ac:dyDescent="0.2">
      <c r="BJ24409" s="201"/>
    </row>
    <row r="24410" spans="62:62" x14ac:dyDescent="0.2">
      <c r="BJ24410" s="201"/>
    </row>
    <row r="24411" spans="62:62" x14ac:dyDescent="0.2">
      <c r="BJ24411" s="201"/>
    </row>
    <row r="24412" spans="62:62" x14ac:dyDescent="0.2">
      <c r="BJ24412" s="201"/>
    </row>
    <row r="24413" spans="62:62" x14ac:dyDescent="0.2">
      <c r="BJ24413" s="201"/>
    </row>
    <row r="24414" spans="62:62" x14ac:dyDescent="0.2">
      <c r="BJ24414" s="201"/>
    </row>
    <row r="24415" spans="62:62" x14ac:dyDescent="0.2">
      <c r="BJ24415" s="201"/>
    </row>
    <row r="24416" spans="62:62" x14ac:dyDescent="0.2">
      <c r="BJ24416" s="201"/>
    </row>
    <row r="24417" spans="62:62" x14ac:dyDescent="0.2">
      <c r="BJ24417" s="201"/>
    </row>
    <row r="24418" spans="62:62" x14ac:dyDescent="0.2">
      <c r="BJ24418" s="201"/>
    </row>
    <row r="24419" spans="62:62" x14ac:dyDescent="0.2">
      <c r="BJ24419" s="201"/>
    </row>
    <row r="24420" spans="62:62" x14ac:dyDescent="0.2">
      <c r="BJ24420" s="201"/>
    </row>
    <row r="24421" spans="62:62" x14ac:dyDescent="0.2">
      <c r="BJ24421" s="201"/>
    </row>
    <row r="24422" spans="62:62" x14ac:dyDescent="0.2">
      <c r="BJ24422" s="201"/>
    </row>
    <row r="24423" spans="62:62" x14ac:dyDescent="0.2">
      <c r="BJ24423" s="201"/>
    </row>
    <row r="24424" spans="62:62" x14ac:dyDescent="0.2">
      <c r="BJ24424" s="201"/>
    </row>
    <row r="24425" spans="62:62" x14ac:dyDescent="0.2">
      <c r="BJ24425" s="201"/>
    </row>
    <row r="24426" spans="62:62" x14ac:dyDescent="0.2">
      <c r="BJ24426" s="201"/>
    </row>
    <row r="24427" spans="62:62" x14ac:dyDescent="0.2">
      <c r="BJ24427" s="201"/>
    </row>
    <row r="24428" spans="62:62" x14ac:dyDescent="0.2">
      <c r="BJ24428" s="201"/>
    </row>
    <row r="24429" spans="62:62" x14ac:dyDescent="0.2">
      <c r="BJ24429" s="201"/>
    </row>
    <row r="24430" spans="62:62" x14ac:dyDescent="0.2">
      <c r="BJ24430" s="201"/>
    </row>
    <row r="24431" spans="62:62" x14ac:dyDescent="0.2">
      <c r="BJ24431" s="201"/>
    </row>
    <row r="24432" spans="62:62" x14ac:dyDescent="0.2">
      <c r="BJ24432" s="201"/>
    </row>
    <row r="24433" spans="62:62" x14ac:dyDescent="0.2">
      <c r="BJ24433" s="201"/>
    </row>
    <row r="24434" spans="62:62" x14ac:dyDescent="0.2">
      <c r="BJ24434" s="201"/>
    </row>
    <row r="24435" spans="62:62" x14ac:dyDescent="0.2">
      <c r="BJ24435" s="201"/>
    </row>
    <row r="24436" spans="62:62" x14ac:dyDescent="0.2">
      <c r="BJ24436" s="201"/>
    </row>
    <row r="24437" spans="62:62" x14ac:dyDescent="0.2">
      <c r="BJ24437" s="201"/>
    </row>
    <row r="24438" spans="62:62" x14ac:dyDescent="0.2">
      <c r="BJ24438" s="201"/>
    </row>
    <row r="24439" spans="62:62" x14ac:dyDescent="0.2">
      <c r="BJ24439" s="201"/>
    </row>
    <row r="24440" spans="62:62" x14ac:dyDescent="0.2">
      <c r="BJ24440" s="201"/>
    </row>
    <row r="24441" spans="62:62" x14ac:dyDescent="0.2">
      <c r="BJ24441" s="201"/>
    </row>
    <row r="24442" spans="62:62" x14ac:dyDescent="0.2">
      <c r="BJ24442" s="201"/>
    </row>
    <row r="24443" spans="62:62" x14ac:dyDescent="0.2">
      <c r="BJ24443" s="201"/>
    </row>
    <row r="24444" spans="62:62" x14ac:dyDescent="0.2">
      <c r="BJ24444" s="201"/>
    </row>
    <row r="24445" spans="62:62" x14ac:dyDescent="0.2">
      <c r="BJ24445" s="201"/>
    </row>
    <row r="24446" spans="62:62" x14ac:dyDescent="0.2">
      <c r="BJ24446" s="201"/>
    </row>
    <row r="24447" spans="62:62" x14ac:dyDescent="0.2">
      <c r="BJ24447" s="201"/>
    </row>
    <row r="24448" spans="62:62" x14ac:dyDescent="0.2">
      <c r="BJ24448" s="201"/>
    </row>
    <row r="24449" spans="62:62" x14ac:dyDescent="0.2">
      <c r="BJ24449" s="201"/>
    </row>
    <row r="24450" spans="62:62" x14ac:dyDescent="0.2">
      <c r="BJ24450" s="201"/>
    </row>
    <row r="24451" spans="62:62" x14ac:dyDescent="0.2">
      <c r="BJ24451" s="201"/>
    </row>
    <row r="24452" spans="62:62" x14ac:dyDescent="0.2">
      <c r="BJ24452" s="201"/>
    </row>
    <row r="24453" spans="62:62" x14ac:dyDescent="0.2">
      <c r="BJ24453" s="201"/>
    </row>
    <row r="24454" spans="62:62" x14ac:dyDescent="0.2">
      <c r="BJ24454" s="201"/>
    </row>
    <row r="24455" spans="62:62" x14ac:dyDescent="0.2">
      <c r="BJ24455" s="201"/>
    </row>
    <row r="24456" spans="62:62" x14ac:dyDescent="0.2">
      <c r="BJ24456" s="201"/>
    </row>
    <row r="24457" spans="62:62" x14ac:dyDescent="0.2">
      <c r="BJ24457" s="201"/>
    </row>
    <row r="24458" spans="62:62" x14ac:dyDescent="0.2">
      <c r="BJ24458" s="201"/>
    </row>
    <row r="24459" spans="62:62" x14ac:dyDescent="0.2">
      <c r="BJ24459" s="201"/>
    </row>
    <row r="24460" spans="62:62" x14ac:dyDescent="0.2">
      <c r="BJ24460" s="201"/>
    </row>
    <row r="24461" spans="62:62" x14ac:dyDescent="0.2">
      <c r="BJ24461" s="201"/>
    </row>
    <row r="24462" spans="62:62" x14ac:dyDescent="0.2">
      <c r="BJ24462" s="201"/>
    </row>
    <row r="24463" spans="62:62" x14ac:dyDescent="0.2">
      <c r="BJ24463" s="201"/>
    </row>
    <row r="24464" spans="62:62" x14ac:dyDescent="0.2">
      <c r="BJ24464" s="201"/>
    </row>
    <row r="24465" spans="62:62" x14ac:dyDescent="0.2">
      <c r="BJ24465" s="201"/>
    </row>
    <row r="24466" spans="62:62" x14ac:dyDescent="0.2">
      <c r="BJ24466" s="201"/>
    </row>
    <row r="24468" spans="62:62" x14ac:dyDescent="0.2">
      <c r="BJ24468" s="201"/>
    </row>
    <row r="24469" spans="62:62" x14ac:dyDescent="0.2">
      <c r="BJ24469" s="201"/>
    </row>
    <row r="24470" spans="62:62" x14ac:dyDescent="0.2">
      <c r="BJ24470" s="201"/>
    </row>
    <row r="24471" spans="62:62" x14ac:dyDescent="0.2">
      <c r="BJ24471" s="201"/>
    </row>
    <row r="24472" spans="62:62" x14ac:dyDescent="0.2">
      <c r="BJ24472" s="201"/>
    </row>
    <row r="24473" spans="62:62" x14ac:dyDescent="0.2">
      <c r="BJ24473" s="201"/>
    </row>
    <row r="24474" spans="62:62" x14ac:dyDescent="0.2">
      <c r="BJ24474" s="201"/>
    </row>
    <row r="24475" spans="62:62" x14ac:dyDescent="0.2">
      <c r="BJ24475" s="201"/>
    </row>
    <row r="24476" spans="62:62" x14ac:dyDescent="0.2">
      <c r="BJ24476" s="201"/>
    </row>
    <row r="24477" spans="62:62" x14ac:dyDescent="0.2">
      <c r="BJ24477" s="201"/>
    </row>
    <row r="24478" spans="62:62" x14ac:dyDescent="0.2">
      <c r="BJ24478" s="201"/>
    </row>
    <row r="24479" spans="62:62" x14ac:dyDescent="0.2">
      <c r="BJ24479" s="201"/>
    </row>
    <row r="24480" spans="62:62" x14ac:dyDescent="0.2">
      <c r="BJ24480" s="201"/>
    </row>
    <row r="24481" spans="62:62" x14ac:dyDescent="0.2">
      <c r="BJ24481" s="201"/>
    </row>
    <row r="24482" spans="62:62" x14ac:dyDescent="0.2">
      <c r="BJ24482" s="201"/>
    </row>
    <row r="24483" spans="62:62" x14ac:dyDescent="0.2">
      <c r="BJ24483" s="201"/>
    </row>
    <row r="24484" spans="62:62" x14ac:dyDescent="0.2">
      <c r="BJ24484" s="201"/>
    </row>
    <row r="24485" spans="62:62" x14ac:dyDescent="0.2">
      <c r="BJ24485" s="201"/>
    </row>
    <row r="24486" spans="62:62" x14ac:dyDescent="0.2">
      <c r="BJ24486" s="201"/>
    </row>
    <row r="24487" spans="62:62" x14ac:dyDescent="0.2">
      <c r="BJ24487" s="201"/>
    </row>
    <row r="24488" spans="62:62" x14ac:dyDescent="0.2">
      <c r="BJ24488" s="201"/>
    </row>
    <row r="24489" spans="62:62" x14ac:dyDescent="0.2">
      <c r="BJ24489" s="201"/>
    </row>
    <row r="24490" spans="62:62" x14ac:dyDescent="0.2">
      <c r="BJ24490" s="201"/>
    </row>
    <row r="24491" spans="62:62" x14ac:dyDescent="0.2">
      <c r="BJ24491" s="201"/>
    </row>
    <row r="24492" spans="62:62" x14ac:dyDescent="0.2">
      <c r="BJ24492" s="201"/>
    </row>
    <row r="24493" spans="62:62" x14ac:dyDescent="0.2">
      <c r="BJ24493" s="201"/>
    </row>
    <row r="24494" spans="62:62" x14ac:dyDescent="0.2">
      <c r="BJ24494" s="201"/>
    </row>
    <row r="24495" spans="62:62" x14ac:dyDescent="0.2">
      <c r="BJ24495" s="201"/>
    </row>
    <row r="24496" spans="62:62" x14ac:dyDescent="0.2">
      <c r="BJ24496" s="201"/>
    </row>
    <row r="24497" spans="62:62" x14ac:dyDescent="0.2">
      <c r="BJ24497" s="201"/>
    </row>
    <row r="24498" spans="62:62" x14ac:dyDescent="0.2">
      <c r="BJ24498" s="201"/>
    </row>
    <row r="24499" spans="62:62" x14ac:dyDescent="0.2">
      <c r="BJ24499" s="201"/>
    </row>
    <row r="24500" spans="62:62" x14ac:dyDescent="0.2">
      <c r="BJ24500" s="201"/>
    </row>
    <row r="24501" spans="62:62" x14ac:dyDescent="0.2">
      <c r="BJ24501" s="201"/>
    </row>
    <row r="24502" spans="62:62" x14ac:dyDescent="0.2">
      <c r="BJ24502" s="201"/>
    </row>
    <row r="24503" spans="62:62" x14ac:dyDescent="0.2">
      <c r="BJ24503" s="201"/>
    </row>
    <row r="24504" spans="62:62" x14ac:dyDescent="0.2">
      <c r="BJ24504" s="201"/>
    </row>
    <row r="24505" spans="62:62" x14ac:dyDescent="0.2">
      <c r="BJ24505" s="201"/>
    </row>
    <row r="24506" spans="62:62" x14ac:dyDescent="0.2">
      <c r="BJ24506" s="201"/>
    </row>
    <row r="24507" spans="62:62" x14ac:dyDescent="0.2">
      <c r="BJ24507" s="201"/>
    </row>
    <row r="24508" spans="62:62" x14ac:dyDescent="0.2">
      <c r="BJ24508" s="201"/>
    </row>
    <row r="24509" spans="62:62" x14ac:dyDescent="0.2">
      <c r="BJ24509" s="201"/>
    </row>
    <row r="24510" spans="62:62" x14ac:dyDescent="0.2">
      <c r="BJ24510" s="201"/>
    </row>
    <row r="24511" spans="62:62" x14ac:dyDescent="0.2">
      <c r="BJ24511" s="201"/>
    </row>
    <row r="24512" spans="62:62" x14ac:dyDescent="0.2">
      <c r="BJ24512" s="201"/>
    </row>
    <row r="24513" spans="62:62" x14ac:dyDescent="0.2">
      <c r="BJ24513" s="201"/>
    </row>
    <row r="24514" spans="62:62" x14ac:dyDescent="0.2">
      <c r="BJ24514" s="201"/>
    </row>
    <row r="24515" spans="62:62" x14ac:dyDescent="0.2">
      <c r="BJ24515" s="201"/>
    </row>
    <row r="24516" spans="62:62" x14ac:dyDescent="0.2">
      <c r="BJ24516" s="201"/>
    </row>
    <row r="24517" spans="62:62" x14ac:dyDescent="0.2">
      <c r="BJ24517" s="201"/>
    </row>
    <row r="24518" spans="62:62" x14ac:dyDescent="0.2">
      <c r="BJ24518" s="201"/>
    </row>
    <row r="24519" spans="62:62" x14ac:dyDescent="0.2">
      <c r="BJ24519" s="201"/>
    </row>
    <row r="24520" spans="62:62" x14ac:dyDescent="0.2">
      <c r="BJ24520" s="201"/>
    </row>
    <row r="24521" spans="62:62" x14ac:dyDescent="0.2">
      <c r="BJ24521" s="201"/>
    </row>
    <row r="24522" spans="62:62" x14ac:dyDescent="0.2">
      <c r="BJ24522" s="201"/>
    </row>
    <row r="24523" spans="62:62" x14ac:dyDescent="0.2">
      <c r="BJ24523" s="201"/>
    </row>
    <row r="24524" spans="62:62" x14ac:dyDescent="0.2">
      <c r="BJ24524" s="201"/>
    </row>
    <row r="24525" spans="62:62" x14ac:dyDescent="0.2">
      <c r="BJ24525" s="201"/>
    </row>
    <row r="24526" spans="62:62" x14ac:dyDescent="0.2">
      <c r="BJ24526" s="201"/>
    </row>
    <row r="24527" spans="62:62" x14ac:dyDescent="0.2">
      <c r="BJ24527" s="201"/>
    </row>
    <row r="24528" spans="62:62" x14ac:dyDescent="0.2">
      <c r="BJ24528" s="201"/>
    </row>
    <row r="24529" spans="62:62" x14ac:dyDescent="0.2">
      <c r="BJ24529" s="201"/>
    </row>
    <row r="24530" spans="62:62" x14ac:dyDescent="0.2">
      <c r="BJ24530" s="201"/>
    </row>
    <row r="24531" spans="62:62" x14ac:dyDescent="0.2">
      <c r="BJ24531" s="201"/>
    </row>
    <row r="24532" spans="62:62" x14ac:dyDescent="0.2">
      <c r="BJ24532" s="201"/>
    </row>
    <row r="24533" spans="62:62" x14ac:dyDescent="0.2">
      <c r="BJ24533" s="201"/>
    </row>
    <row r="24534" spans="62:62" x14ac:dyDescent="0.2">
      <c r="BJ24534" s="201"/>
    </row>
    <row r="24535" spans="62:62" x14ac:dyDescent="0.2">
      <c r="BJ24535" s="201"/>
    </row>
    <row r="24536" spans="62:62" x14ac:dyDescent="0.2">
      <c r="BJ24536" s="201"/>
    </row>
    <row r="24537" spans="62:62" x14ac:dyDescent="0.2">
      <c r="BJ24537" s="201"/>
    </row>
    <row r="24538" spans="62:62" x14ac:dyDescent="0.2">
      <c r="BJ24538" s="201"/>
    </row>
    <row r="24539" spans="62:62" x14ac:dyDescent="0.2">
      <c r="BJ24539" s="201"/>
    </row>
    <row r="24540" spans="62:62" x14ac:dyDescent="0.2">
      <c r="BJ24540" s="201"/>
    </row>
    <row r="24541" spans="62:62" x14ac:dyDescent="0.2">
      <c r="BJ24541" s="201"/>
    </row>
    <row r="24542" spans="62:62" x14ac:dyDescent="0.2">
      <c r="BJ24542" s="201"/>
    </row>
    <row r="24543" spans="62:62" x14ac:dyDescent="0.2">
      <c r="BJ24543" s="201"/>
    </row>
    <row r="24544" spans="62:62" x14ac:dyDescent="0.2">
      <c r="BJ24544" s="201"/>
    </row>
    <row r="24545" spans="62:62" x14ac:dyDescent="0.2">
      <c r="BJ24545" s="201"/>
    </row>
    <row r="24546" spans="62:62" x14ac:dyDescent="0.2">
      <c r="BJ24546" s="201"/>
    </row>
    <row r="24547" spans="62:62" x14ac:dyDescent="0.2">
      <c r="BJ24547" s="201"/>
    </row>
    <row r="24548" spans="62:62" x14ac:dyDescent="0.2">
      <c r="BJ24548" s="201"/>
    </row>
    <row r="24549" spans="62:62" x14ac:dyDescent="0.2">
      <c r="BJ24549" s="201"/>
    </row>
    <row r="24550" spans="62:62" x14ac:dyDescent="0.2">
      <c r="BJ24550" s="201"/>
    </row>
    <row r="24551" spans="62:62" x14ac:dyDescent="0.2">
      <c r="BJ24551" s="201"/>
    </row>
    <row r="24552" spans="62:62" x14ac:dyDescent="0.2">
      <c r="BJ24552" s="201"/>
    </row>
    <row r="24553" spans="62:62" x14ac:dyDescent="0.2">
      <c r="BJ24553" s="201"/>
    </row>
    <row r="24554" spans="62:62" x14ac:dyDescent="0.2">
      <c r="BJ24554" s="201"/>
    </row>
    <row r="24555" spans="62:62" x14ac:dyDescent="0.2">
      <c r="BJ24555" s="201"/>
    </row>
    <row r="24556" spans="62:62" x14ac:dyDescent="0.2">
      <c r="BJ24556" s="201"/>
    </row>
    <row r="24557" spans="62:62" x14ac:dyDescent="0.2">
      <c r="BJ24557" s="201"/>
    </row>
    <row r="24558" spans="62:62" x14ac:dyDescent="0.2">
      <c r="BJ24558" s="201"/>
    </row>
    <row r="24559" spans="62:62" x14ac:dyDescent="0.2">
      <c r="BJ24559" s="201"/>
    </row>
    <row r="24560" spans="62:62" x14ac:dyDescent="0.2">
      <c r="BJ24560" s="201"/>
    </row>
    <row r="24561" spans="62:62" x14ac:dyDescent="0.2">
      <c r="BJ24561" s="201"/>
    </row>
    <row r="24562" spans="62:62" x14ac:dyDescent="0.2">
      <c r="BJ24562" s="201"/>
    </row>
    <row r="24563" spans="62:62" x14ac:dyDescent="0.2">
      <c r="BJ24563" s="201"/>
    </row>
    <row r="24564" spans="62:62" x14ac:dyDescent="0.2">
      <c r="BJ24564" s="201"/>
    </row>
    <row r="24565" spans="62:62" x14ac:dyDescent="0.2">
      <c r="BJ24565" s="201"/>
    </row>
    <row r="24566" spans="62:62" x14ac:dyDescent="0.2">
      <c r="BJ24566" s="201"/>
    </row>
    <row r="24567" spans="62:62" x14ac:dyDescent="0.2">
      <c r="BJ24567" s="201"/>
    </row>
    <row r="24568" spans="62:62" x14ac:dyDescent="0.2">
      <c r="BJ24568" s="201"/>
    </row>
    <row r="24569" spans="62:62" x14ac:dyDescent="0.2">
      <c r="BJ24569" s="201"/>
    </row>
    <row r="24570" spans="62:62" x14ac:dyDescent="0.2">
      <c r="BJ24570" s="201"/>
    </row>
    <row r="24571" spans="62:62" x14ac:dyDescent="0.2">
      <c r="BJ24571" s="201"/>
    </row>
    <row r="24572" spans="62:62" x14ac:dyDescent="0.2">
      <c r="BJ24572" s="201"/>
    </row>
    <row r="24573" spans="62:62" x14ac:dyDescent="0.2">
      <c r="BJ24573" s="201"/>
    </row>
    <row r="24574" spans="62:62" x14ac:dyDescent="0.2">
      <c r="BJ24574" s="201"/>
    </row>
    <row r="24575" spans="62:62" x14ac:dyDescent="0.2">
      <c r="BJ24575" s="201"/>
    </row>
    <row r="24576" spans="62:62" x14ac:dyDescent="0.2">
      <c r="BJ24576" s="201"/>
    </row>
    <row r="24577" spans="62:62" x14ac:dyDescent="0.2">
      <c r="BJ24577" s="201"/>
    </row>
    <row r="24578" spans="62:62" x14ac:dyDescent="0.2">
      <c r="BJ24578" s="201"/>
    </row>
    <row r="24579" spans="62:62" x14ac:dyDescent="0.2">
      <c r="BJ24579" s="201"/>
    </row>
    <row r="24580" spans="62:62" x14ac:dyDescent="0.2">
      <c r="BJ24580" s="201"/>
    </row>
    <row r="24581" spans="62:62" x14ac:dyDescent="0.2">
      <c r="BJ24581" s="201"/>
    </row>
    <row r="24582" spans="62:62" x14ac:dyDescent="0.2">
      <c r="BJ24582" s="201"/>
    </row>
    <row r="24583" spans="62:62" x14ac:dyDescent="0.2">
      <c r="BJ24583" s="201"/>
    </row>
    <row r="24584" spans="62:62" x14ac:dyDescent="0.2">
      <c r="BJ24584" s="201"/>
    </row>
    <row r="24585" spans="62:62" x14ac:dyDescent="0.2">
      <c r="BJ24585" s="201"/>
    </row>
    <row r="24586" spans="62:62" x14ac:dyDescent="0.2">
      <c r="BJ24586" s="201"/>
    </row>
    <row r="24587" spans="62:62" x14ac:dyDescent="0.2">
      <c r="BJ24587" s="201"/>
    </row>
    <row r="24588" spans="62:62" x14ac:dyDescent="0.2">
      <c r="BJ24588" s="201"/>
    </row>
    <row r="24589" spans="62:62" x14ac:dyDescent="0.2">
      <c r="BJ24589" s="201"/>
    </row>
    <row r="24590" spans="62:62" x14ac:dyDescent="0.2">
      <c r="BJ24590" s="201"/>
    </row>
    <row r="24591" spans="62:62" x14ac:dyDescent="0.2">
      <c r="BJ24591" s="201"/>
    </row>
    <row r="24592" spans="62:62" x14ac:dyDescent="0.2">
      <c r="BJ24592" s="201"/>
    </row>
    <row r="24593" spans="62:62" x14ac:dyDescent="0.2">
      <c r="BJ24593" s="201"/>
    </row>
    <row r="24594" spans="62:62" x14ac:dyDescent="0.2">
      <c r="BJ24594" s="201"/>
    </row>
    <row r="24595" spans="62:62" x14ac:dyDescent="0.2">
      <c r="BJ24595" s="201"/>
    </row>
    <row r="24596" spans="62:62" x14ac:dyDescent="0.2">
      <c r="BJ24596" s="201"/>
    </row>
    <row r="24597" spans="62:62" x14ac:dyDescent="0.2">
      <c r="BJ24597" s="201"/>
    </row>
    <row r="24598" spans="62:62" x14ac:dyDescent="0.2">
      <c r="BJ24598" s="201"/>
    </row>
    <row r="24599" spans="62:62" x14ac:dyDescent="0.2">
      <c r="BJ24599" s="201"/>
    </row>
    <row r="24600" spans="62:62" x14ac:dyDescent="0.2">
      <c r="BJ24600" s="201"/>
    </row>
    <row r="24601" spans="62:62" x14ac:dyDescent="0.2">
      <c r="BJ24601" s="201"/>
    </row>
    <row r="24602" spans="62:62" x14ac:dyDescent="0.2">
      <c r="BJ24602" s="201"/>
    </row>
    <row r="24603" spans="62:62" x14ac:dyDescent="0.2">
      <c r="BJ24603" s="201"/>
    </row>
    <row r="24604" spans="62:62" x14ac:dyDescent="0.2">
      <c r="BJ24604" s="201"/>
    </row>
    <row r="24605" spans="62:62" x14ac:dyDescent="0.2">
      <c r="BJ24605" s="201"/>
    </row>
    <row r="24606" spans="62:62" x14ac:dyDescent="0.2">
      <c r="BJ24606" s="201"/>
    </row>
    <row r="24607" spans="62:62" x14ac:dyDescent="0.2">
      <c r="BJ24607" s="201"/>
    </row>
    <row r="24608" spans="62:62" x14ac:dyDescent="0.2">
      <c r="BJ24608" s="201"/>
    </row>
    <row r="24609" spans="62:62" x14ac:dyDescent="0.2">
      <c r="BJ24609" s="201"/>
    </row>
    <row r="24610" spans="62:62" x14ac:dyDescent="0.2">
      <c r="BJ24610" s="201"/>
    </row>
    <row r="24611" spans="62:62" x14ac:dyDescent="0.2">
      <c r="BJ24611" s="201"/>
    </row>
    <row r="24612" spans="62:62" x14ac:dyDescent="0.2">
      <c r="BJ24612" s="201"/>
    </row>
    <row r="24613" spans="62:62" x14ac:dyDescent="0.2">
      <c r="BJ24613" s="201"/>
    </row>
    <row r="24614" spans="62:62" x14ac:dyDescent="0.2">
      <c r="BJ24614" s="201"/>
    </row>
    <row r="24615" spans="62:62" x14ac:dyDescent="0.2">
      <c r="BJ24615" s="201"/>
    </row>
    <row r="24616" spans="62:62" x14ac:dyDescent="0.2">
      <c r="BJ24616" s="201"/>
    </row>
    <row r="24617" spans="62:62" x14ac:dyDescent="0.2">
      <c r="BJ24617" s="201"/>
    </row>
    <row r="24618" spans="62:62" x14ac:dyDescent="0.2">
      <c r="BJ24618" s="201"/>
    </row>
    <row r="24619" spans="62:62" x14ac:dyDescent="0.2">
      <c r="BJ24619" s="201"/>
    </row>
    <row r="24620" spans="62:62" x14ac:dyDescent="0.2">
      <c r="BJ24620" s="201"/>
    </row>
    <row r="24621" spans="62:62" x14ac:dyDescent="0.2">
      <c r="BJ24621" s="201"/>
    </row>
    <row r="24622" spans="62:62" x14ac:dyDescent="0.2">
      <c r="BJ24622" s="201"/>
    </row>
    <row r="24623" spans="62:62" x14ac:dyDescent="0.2">
      <c r="BJ24623" s="201"/>
    </row>
    <row r="24624" spans="62:62" x14ac:dyDescent="0.2">
      <c r="BJ24624" s="201"/>
    </row>
    <row r="24625" spans="62:62" x14ac:dyDescent="0.2">
      <c r="BJ24625" s="201"/>
    </row>
    <row r="24626" spans="62:62" x14ac:dyDescent="0.2">
      <c r="BJ24626" s="201"/>
    </row>
    <row r="24627" spans="62:62" x14ac:dyDescent="0.2">
      <c r="BJ24627" s="201"/>
    </row>
    <row r="24628" spans="62:62" x14ac:dyDescent="0.2">
      <c r="BJ24628" s="201"/>
    </row>
    <row r="24629" spans="62:62" x14ac:dyDescent="0.2">
      <c r="BJ24629" s="201"/>
    </row>
    <row r="24630" spans="62:62" x14ac:dyDescent="0.2">
      <c r="BJ24630" s="201"/>
    </row>
    <row r="24631" spans="62:62" x14ac:dyDescent="0.2">
      <c r="BJ24631" s="201"/>
    </row>
    <row r="24632" spans="62:62" x14ac:dyDescent="0.2">
      <c r="BJ24632" s="201"/>
    </row>
    <row r="24633" spans="62:62" x14ac:dyDescent="0.2">
      <c r="BJ24633" s="201"/>
    </row>
    <row r="24634" spans="62:62" x14ac:dyDescent="0.2">
      <c r="BJ24634" s="201"/>
    </row>
    <row r="24635" spans="62:62" x14ac:dyDescent="0.2">
      <c r="BJ24635" s="201"/>
    </row>
    <row r="24636" spans="62:62" x14ac:dyDescent="0.2">
      <c r="BJ24636" s="201"/>
    </row>
    <row r="24637" spans="62:62" x14ac:dyDescent="0.2">
      <c r="BJ24637" s="201"/>
    </row>
    <row r="24638" spans="62:62" x14ac:dyDescent="0.2">
      <c r="BJ24638" s="201"/>
    </row>
    <row r="24639" spans="62:62" x14ac:dyDescent="0.2">
      <c r="BJ24639" s="201"/>
    </row>
    <row r="24640" spans="62:62" x14ac:dyDescent="0.2">
      <c r="BJ24640" s="201"/>
    </row>
    <row r="24641" spans="62:62" x14ac:dyDescent="0.2">
      <c r="BJ24641" s="201"/>
    </row>
    <row r="24642" spans="62:62" x14ac:dyDescent="0.2">
      <c r="BJ24642" s="201"/>
    </row>
    <row r="24643" spans="62:62" x14ac:dyDescent="0.2">
      <c r="BJ24643" s="201"/>
    </row>
    <row r="24644" spans="62:62" x14ac:dyDescent="0.2">
      <c r="BJ24644" s="201"/>
    </row>
    <row r="24645" spans="62:62" x14ac:dyDescent="0.2">
      <c r="BJ24645" s="201"/>
    </row>
    <row r="24646" spans="62:62" x14ac:dyDescent="0.2">
      <c r="BJ24646" s="201"/>
    </row>
    <row r="24647" spans="62:62" x14ac:dyDescent="0.2">
      <c r="BJ24647" s="201"/>
    </row>
    <row r="24648" spans="62:62" x14ac:dyDescent="0.2">
      <c r="BJ24648" s="201"/>
    </row>
    <row r="24649" spans="62:62" x14ac:dyDescent="0.2">
      <c r="BJ24649" s="201"/>
    </row>
    <row r="24650" spans="62:62" x14ac:dyDescent="0.2">
      <c r="BJ24650" s="201"/>
    </row>
    <row r="24651" spans="62:62" x14ac:dyDescent="0.2">
      <c r="BJ24651" s="201"/>
    </row>
    <row r="24652" spans="62:62" x14ac:dyDescent="0.2">
      <c r="BJ24652" s="201"/>
    </row>
    <row r="24653" spans="62:62" x14ac:dyDescent="0.2">
      <c r="BJ24653" s="201"/>
    </row>
    <row r="24654" spans="62:62" x14ac:dyDescent="0.2">
      <c r="BJ24654" s="201"/>
    </row>
    <row r="24655" spans="62:62" x14ac:dyDescent="0.2">
      <c r="BJ24655" s="201"/>
    </row>
    <row r="24656" spans="62:62" x14ac:dyDescent="0.2">
      <c r="BJ24656" s="201"/>
    </row>
    <row r="24657" spans="62:62" x14ac:dyDescent="0.2">
      <c r="BJ24657" s="201"/>
    </row>
    <row r="24658" spans="62:62" x14ac:dyDescent="0.2">
      <c r="BJ24658" s="201"/>
    </row>
    <row r="24659" spans="62:62" x14ac:dyDescent="0.2">
      <c r="BJ24659" s="201"/>
    </row>
    <row r="24660" spans="62:62" x14ac:dyDescent="0.2">
      <c r="BJ24660" s="201"/>
    </row>
    <row r="24661" spans="62:62" x14ac:dyDescent="0.2">
      <c r="BJ24661" s="201"/>
    </row>
    <row r="24662" spans="62:62" x14ac:dyDescent="0.2">
      <c r="BJ24662" s="201"/>
    </row>
    <row r="24663" spans="62:62" x14ac:dyDescent="0.2">
      <c r="BJ24663" s="201"/>
    </row>
    <row r="24664" spans="62:62" x14ac:dyDescent="0.2">
      <c r="BJ24664" s="201"/>
    </row>
    <row r="24665" spans="62:62" x14ac:dyDescent="0.2">
      <c r="BJ24665" s="201"/>
    </row>
    <row r="24666" spans="62:62" x14ac:dyDescent="0.2">
      <c r="BJ24666" s="201"/>
    </row>
    <row r="24667" spans="62:62" x14ac:dyDescent="0.2">
      <c r="BJ24667" s="201"/>
    </row>
    <row r="24668" spans="62:62" x14ac:dyDescent="0.2">
      <c r="BJ24668" s="201"/>
    </row>
    <row r="24669" spans="62:62" x14ac:dyDescent="0.2">
      <c r="BJ24669" s="201"/>
    </row>
    <row r="24670" spans="62:62" x14ac:dyDescent="0.2">
      <c r="BJ24670" s="201"/>
    </row>
    <row r="24671" spans="62:62" x14ac:dyDescent="0.2">
      <c r="BJ24671" s="201"/>
    </row>
    <row r="24672" spans="62:62" x14ac:dyDescent="0.2">
      <c r="BJ24672" s="201"/>
    </row>
    <row r="24673" spans="62:62" x14ac:dyDescent="0.2">
      <c r="BJ24673" s="201"/>
    </row>
    <row r="24674" spans="62:62" x14ac:dyDescent="0.2">
      <c r="BJ24674" s="201"/>
    </row>
    <row r="24675" spans="62:62" x14ac:dyDescent="0.2">
      <c r="BJ24675" s="201"/>
    </row>
    <row r="24676" spans="62:62" x14ac:dyDescent="0.2">
      <c r="BJ24676" s="201"/>
    </row>
    <row r="24677" spans="62:62" x14ac:dyDescent="0.2">
      <c r="BJ24677" s="201"/>
    </row>
    <row r="24678" spans="62:62" x14ac:dyDescent="0.2">
      <c r="BJ24678" s="201"/>
    </row>
    <row r="24679" spans="62:62" x14ac:dyDescent="0.2">
      <c r="BJ24679" s="201"/>
    </row>
    <row r="24680" spans="62:62" x14ac:dyDescent="0.2">
      <c r="BJ24680" s="201"/>
    </row>
    <row r="24681" spans="62:62" x14ac:dyDescent="0.2">
      <c r="BJ24681" s="201"/>
    </row>
    <row r="24682" spans="62:62" x14ac:dyDescent="0.2">
      <c r="BJ24682" s="201"/>
    </row>
    <row r="24683" spans="62:62" x14ac:dyDescent="0.2">
      <c r="BJ24683" s="201"/>
    </row>
    <row r="24684" spans="62:62" x14ac:dyDescent="0.2">
      <c r="BJ24684" s="201"/>
    </row>
    <row r="24685" spans="62:62" x14ac:dyDescent="0.2">
      <c r="BJ24685" s="201"/>
    </row>
    <row r="24686" spans="62:62" x14ac:dyDescent="0.2">
      <c r="BJ24686" s="201"/>
    </row>
    <row r="24687" spans="62:62" x14ac:dyDescent="0.2">
      <c r="BJ24687" s="201"/>
    </row>
    <row r="24688" spans="62:62" x14ac:dyDescent="0.2">
      <c r="BJ24688" s="201"/>
    </row>
    <row r="24689" spans="62:62" x14ac:dyDescent="0.2">
      <c r="BJ24689" s="201"/>
    </row>
    <row r="24690" spans="62:62" x14ac:dyDescent="0.2">
      <c r="BJ24690" s="201"/>
    </row>
    <row r="24691" spans="62:62" x14ac:dyDescent="0.2">
      <c r="BJ24691" s="201"/>
    </row>
    <row r="24692" spans="62:62" x14ac:dyDescent="0.2">
      <c r="BJ24692" s="201"/>
    </row>
    <row r="24693" spans="62:62" x14ac:dyDescent="0.2">
      <c r="BJ24693" s="201"/>
    </row>
    <row r="24694" spans="62:62" x14ac:dyDescent="0.2">
      <c r="BJ24694" s="201"/>
    </row>
    <row r="24695" spans="62:62" x14ac:dyDescent="0.2">
      <c r="BJ24695" s="201"/>
    </row>
    <row r="24696" spans="62:62" x14ac:dyDescent="0.2">
      <c r="BJ24696" s="201"/>
    </row>
    <row r="24697" spans="62:62" x14ac:dyDescent="0.2">
      <c r="BJ24697" s="201"/>
    </row>
    <row r="24698" spans="62:62" x14ac:dyDescent="0.2">
      <c r="BJ24698" s="201"/>
    </row>
    <row r="24699" spans="62:62" x14ac:dyDescent="0.2">
      <c r="BJ24699" s="201"/>
    </row>
    <row r="24700" spans="62:62" x14ac:dyDescent="0.2">
      <c r="BJ24700" s="201"/>
    </row>
    <row r="24701" spans="62:62" x14ac:dyDescent="0.2">
      <c r="BJ24701" s="201"/>
    </row>
    <row r="24702" spans="62:62" x14ac:dyDescent="0.2">
      <c r="BJ24702" s="201"/>
    </row>
    <row r="24703" spans="62:62" x14ac:dyDescent="0.2">
      <c r="BJ24703" s="201"/>
    </row>
    <row r="24704" spans="62:62" x14ac:dyDescent="0.2">
      <c r="BJ24704" s="201"/>
    </row>
    <row r="24705" spans="62:62" x14ac:dyDescent="0.2">
      <c r="BJ24705" s="201"/>
    </row>
    <row r="24706" spans="62:62" x14ac:dyDescent="0.2">
      <c r="BJ24706" s="201"/>
    </row>
    <row r="24707" spans="62:62" x14ac:dyDescent="0.2">
      <c r="BJ24707" s="201"/>
    </row>
    <row r="24708" spans="62:62" x14ac:dyDescent="0.2">
      <c r="BJ24708" s="201"/>
    </row>
    <row r="24709" spans="62:62" x14ac:dyDescent="0.2">
      <c r="BJ24709" s="201"/>
    </row>
    <row r="24710" spans="62:62" x14ac:dyDescent="0.2">
      <c r="BJ24710" s="201"/>
    </row>
    <row r="24711" spans="62:62" x14ac:dyDescent="0.2">
      <c r="BJ24711" s="201"/>
    </row>
    <row r="24712" spans="62:62" x14ac:dyDescent="0.2">
      <c r="BJ24712" s="201"/>
    </row>
    <row r="24713" spans="62:62" x14ac:dyDescent="0.2">
      <c r="BJ24713" s="201"/>
    </row>
    <row r="24714" spans="62:62" x14ac:dyDescent="0.2">
      <c r="BJ24714" s="201"/>
    </row>
    <row r="24715" spans="62:62" x14ac:dyDescent="0.2">
      <c r="BJ24715" s="201"/>
    </row>
    <row r="24716" spans="62:62" x14ac:dyDescent="0.2">
      <c r="BJ24716" s="201"/>
    </row>
    <row r="24717" spans="62:62" x14ac:dyDescent="0.2">
      <c r="BJ24717" s="201"/>
    </row>
    <row r="24718" spans="62:62" x14ac:dyDescent="0.2">
      <c r="BJ24718" s="201"/>
    </row>
    <row r="24719" spans="62:62" x14ac:dyDescent="0.2">
      <c r="BJ24719" s="201"/>
    </row>
    <row r="24720" spans="62:62" x14ac:dyDescent="0.2">
      <c r="BJ24720" s="201"/>
    </row>
    <row r="24721" spans="62:62" x14ac:dyDescent="0.2">
      <c r="BJ24721" s="201"/>
    </row>
    <row r="24722" spans="62:62" x14ac:dyDescent="0.2">
      <c r="BJ24722" s="201"/>
    </row>
    <row r="24723" spans="62:62" x14ac:dyDescent="0.2">
      <c r="BJ24723" s="201"/>
    </row>
    <row r="24724" spans="62:62" x14ac:dyDescent="0.2">
      <c r="BJ24724" s="201"/>
    </row>
    <row r="24725" spans="62:62" x14ac:dyDescent="0.2">
      <c r="BJ24725" s="201"/>
    </row>
    <row r="24726" spans="62:62" x14ac:dyDescent="0.2">
      <c r="BJ24726" s="201"/>
    </row>
    <row r="24727" spans="62:62" x14ac:dyDescent="0.2">
      <c r="BJ24727" s="201"/>
    </row>
    <row r="24728" spans="62:62" x14ac:dyDescent="0.2">
      <c r="BJ24728" s="201"/>
    </row>
    <row r="24729" spans="62:62" x14ac:dyDescent="0.2">
      <c r="BJ24729" s="201"/>
    </row>
    <row r="24730" spans="62:62" x14ac:dyDescent="0.2">
      <c r="BJ24730" s="201"/>
    </row>
    <row r="24731" spans="62:62" x14ac:dyDescent="0.2">
      <c r="BJ24731" s="201"/>
    </row>
    <row r="24732" spans="62:62" x14ac:dyDescent="0.2">
      <c r="BJ24732" s="201"/>
    </row>
    <row r="24733" spans="62:62" x14ac:dyDescent="0.2">
      <c r="BJ24733" s="201"/>
    </row>
    <row r="24734" spans="62:62" x14ac:dyDescent="0.2">
      <c r="BJ24734" s="201"/>
    </row>
    <row r="24735" spans="62:62" x14ac:dyDescent="0.2">
      <c r="BJ24735" s="201"/>
    </row>
    <row r="24736" spans="62:62" x14ac:dyDescent="0.2">
      <c r="BJ24736" s="201"/>
    </row>
    <row r="24737" spans="62:62" x14ac:dyDescent="0.2">
      <c r="BJ24737" s="201"/>
    </row>
    <row r="24738" spans="62:62" x14ac:dyDescent="0.2">
      <c r="BJ24738" s="201"/>
    </row>
    <row r="24739" spans="62:62" x14ac:dyDescent="0.2">
      <c r="BJ24739" s="201"/>
    </row>
    <row r="24740" spans="62:62" x14ac:dyDescent="0.2">
      <c r="BJ24740" s="201"/>
    </row>
    <row r="24741" spans="62:62" x14ac:dyDescent="0.2">
      <c r="BJ24741" s="201"/>
    </row>
    <row r="24742" spans="62:62" x14ac:dyDescent="0.2">
      <c r="BJ24742" s="201"/>
    </row>
    <row r="24743" spans="62:62" x14ac:dyDescent="0.2">
      <c r="BJ24743" s="201"/>
    </row>
    <row r="24744" spans="62:62" x14ac:dyDescent="0.2">
      <c r="BJ24744" s="201"/>
    </row>
    <row r="24745" spans="62:62" x14ac:dyDescent="0.2">
      <c r="BJ24745" s="201"/>
    </row>
    <row r="24746" spans="62:62" x14ac:dyDescent="0.2">
      <c r="BJ24746" s="201"/>
    </row>
    <row r="24747" spans="62:62" x14ac:dyDescent="0.2">
      <c r="BJ24747" s="201"/>
    </row>
    <row r="24748" spans="62:62" x14ac:dyDescent="0.2">
      <c r="BJ24748" s="201"/>
    </row>
    <row r="24749" spans="62:62" x14ac:dyDescent="0.2">
      <c r="BJ24749" s="201"/>
    </row>
    <row r="24750" spans="62:62" x14ac:dyDescent="0.2">
      <c r="BJ24750" s="201"/>
    </row>
    <row r="24751" spans="62:62" x14ac:dyDescent="0.2">
      <c r="BJ24751" s="201"/>
    </row>
    <row r="24752" spans="62:62" x14ac:dyDescent="0.2">
      <c r="BJ24752" s="201"/>
    </row>
    <row r="24753" spans="62:62" x14ac:dyDescent="0.2">
      <c r="BJ24753" s="201"/>
    </row>
    <row r="24754" spans="62:62" x14ac:dyDescent="0.2">
      <c r="BJ24754" s="201"/>
    </row>
    <row r="24755" spans="62:62" x14ac:dyDescent="0.2">
      <c r="BJ24755" s="201"/>
    </row>
    <row r="24756" spans="62:62" x14ac:dyDescent="0.2">
      <c r="BJ24756" s="201"/>
    </row>
    <row r="24757" spans="62:62" x14ac:dyDescent="0.2">
      <c r="BJ24757" s="201"/>
    </row>
    <row r="24758" spans="62:62" x14ac:dyDescent="0.2">
      <c r="BJ24758" s="201"/>
    </row>
    <row r="24759" spans="62:62" x14ac:dyDescent="0.2">
      <c r="BJ24759" s="201"/>
    </row>
    <row r="24760" spans="62:62" x14ac:dyDescent="0.2">
      <c r="BJ24760" s="201"/>
    </row>
    <row r="24761" spans="62:62" x14ac:dyDescent="0.2">
      <c r="BJ24761" s="201"/>
    </row>
    <row r="24762" spans="62:62" x14ac:dyDescent="0.2">
      <c r="BJ24762" s="201"/>
    </row>
    <row r="24763" spans="62:62" x14ac:dyDescent="0.2">
      <c r="BJ24763" s="201"/>
    </row>
    <row r="24764" spans="62:62" x14ac:dyDescent="0.2">
      <c r="BJ24764" s="201"/>
    </row>
    <row r="24765" spans="62:62" x14ac:dyDescent="0.2">
      <c r="BJ24765" s="201"/>
    </row>
    <row r="24766" spans="62:62" x14ac:dyDescent="0.2">
      <c r="BJ24766" s="201"/>
    </row>
    <row r="24767" spans="62:62" x14ac:dyDescent="0.2">
      <c r="BJ24767" s="201"/>
    </row>
    <row r="24768" spans="62:62" x14ac:dyDescent="0.2">
      <c r="BJ24768" s="201"/>
    </row>
    <row r="24769" spans="62:62" x14ac:dyDescent="0.2">
      <c r="BJ24769" s="201"/>
    </row>
    <row r="24770" spans="62:62" x14ac:dyDescent="0.2">
      <c r="BJ24770" s="201"/>
    </row>
    <row r="24771" spans="62:62" x14ac:dyDescent="0.2">
      <c r="BJ24771" s="201"/>
    </row>
    <row r="24772" spans="62:62" x14ac:dyDescent="0.2">
      <c r="BJ24772" s="201"/>
    </row>
    <row r="24773" spans="62:62" x14ac:dyDescent="0.2">
      <c r="BJ24773" s="201"/>
    </row>
    <row r="24774" spans="62:62" x14ac:dyDescent="0.2">
      <c r="BJ24774" s="201"/>
    </row>
    <row r="24775" spans="62:62" x14ac:dyDescent="0.2">
      <c r="BJ24775" s="201"/>
    </row>
    <row r="24776" spans="62:62" x14ac:dyDescent="0.2">
      <c r="BJ24776" s="201"/>
    </row>
    <row r="24777" spans="62:62" x14ac:dyDescent="0.2">
      <c r="BJ24777" s="201"/>
    </row>
    <row r="24778" spans="62:62" x14ac:dyDescent="0.2">
      <c r="BJ24778" s="201"/>
    </row>
    <row r="24779" spans="62:62" x14ac:dyDescent="0.2">
      <c r="BJ24779" s="201"/>
    </row>
    <row r="24780" spans="62:62" x14ac:dyDescent="0.2">
      <c r="BJ24780" s="201"/>
    </row>
    <row r="24781" spans="62:62" x14ac:dyDescent="0.2">
      <c r="BJ24781" s="201"/>
    </row>
    <row r="24782" spans="62:62" x14ac:dyDescent="0.2">
      <c r="BJ24782" s="201"/>
    </row>
    <row r="24783" spans="62:62" x14ac:dyDescent="0.2">
      <c r="BJ24783" s="201"/>
    </row>
    <row r="24784" spans="62:62" x14ac:dyDescent="0.2">
      <c r="BJ24784" s="201"/>
    </row>
    <row r="24785" spans="62:62" x14ac:dyDescent="0.2">
      <c r="BJ24785" s="201"/>
    </row>
    <row r="24786" spans="62:62" x14ac:dyDescent="0.2">
      <c r="BJ24786" s="201"/>
    </row>
    <row r="24787" spans="62:62" x14ac:dyDescent="0.2">
      <c r="BJ24787" s="201"/>
    </row>
    <row r="24788" spans="62:62" x14ac:dyDescent="0.2">
      <c r="BJ24788" s="201"/>
    </row>
    <row r="24789" spans="62:62" x14ac:dyDescent="0.2">
      <c r="BJ24789" s="201"/>
    </row>
    <row r="24790" spans="62:62" x14ac:dyDescent="0.2">
      <c r="BJ24790" s="201"/>
    </row>
    <row r="24791" spans="62:62" x14ac:dyDescent="0.2">
      <c r="BJ24791" s="201"/>
    </row>
    <row r="24792" spans="62:62" x14ac:dyDescent="0.2">
      <c r="BJ24792" s="201"/>
    </row>
    <row r="24793" spans="62:62" x14ac:dyDescent="0.2">
      <c r="BJ24793" s="201"/>
    </row>
    <row r="24794" spans="62:62" x14ac:dyDescent="0.2">
      <c r="BJ24794" s="201"/>
    </row>
    <row r="24795" spans="62:62" x14ac:dyDescent="0.2">
      <c r="BJ24795" s="201"/>
    </row>
    <row r="24796" spans="62:62" x14ac:dyDescent="0.2">
      <c r="BJ24796" s="201"/>
    </row>
    <row r="24797" spans="62:62" x14ac:dyDescent="0.2">
      <c r="BJ24797" s="201"/>
    </row>
    <row r="24798" spans="62:62" x14ac:dyDescent="0.2">
      <c r="BJ24798" s="201"/>
    </row>
    <row r="24799" spans="62:62" x14ac:dyDescent="0.2">
      <c r="BJ24799" s="201"/>
    </row>
    <row r="24800" spans="62:62" x14ac:dyDescent="0.2">
      <c r="BJ24800" s="201"/>
    </row>
    <row r="24801" spans="62:62" x14ac:dyDescent="0.2">
      <c r="BJ24801" s="201"/>
    </row>
    <row r="24802" spans="62:62" x14ac:dyDescent="0.2">
      <c r="BJ24802" s="201"/>
    </row>
    <row r="24803" spans="62:62" x14ac:dyDescent="0.2">
      <c r="BJ24803" s="201"/>
    </row>
    <row r="24804" spans="62:62" x14ac:dyDescent="0.2">
      <c r="BJ24804" s="201"/>
    </row>
    <row r="24805" spans="62:62" x14ac:dyDescent="0.2">
      <c r="BJ24805" s="201"/>
    </row>
    <row r="24806" spans="62:62" x14ac:dyDescent="0.2">
      <c r="BJ24806" s="201"/>
    </row>
    <row r="24807" spans="62:62" x14ac:dyDescent="0.2">
      <c r="BJ24807" s="201"/>
    </row>
    <row r="24808" spans="62:62" x14ac:dyDescent="0.2">
      <c r="BJ24808" s="201"/>
    </row>
    <row r="24809" spans="62:62" x14ac:dyDescent="0.2">
      <c r="BJ24809" s="201"/>
    </row>
    <row r="24810" spans="62:62" x14ac:dyDescent="0.2">
      <c r="BJ24810" s="201"/>
    </row>
    <row r="24811" spans="62:62" x14ac:dyDescent="0.2">
      <c r="BJ24811" s="201"/>
    </row>
    <row r="24812" spans="62:62" x14ac:dyDescent="0.2">
      <c r="BJ24812" s="201"/>
    </row>
    <row r="24813" spans="62:62" x14ac:dyDescent="0.2">
      <c r="BJ24813" s="201"/>
    </row>
    <row r="24814" spans="62:62" x14ac:dyDescent="0.2">
      <c r="BJ24814" s="201"/>
    </row>
    <row r="24815" spans="62:62" x14ac:dyDescent="0.2">
      <c r="BJ24815" s="201"/>
    </row>
    <row r="24816" spans="62:62" x14ac:dyDescent="0.2">
      <c r="BJ24816" s="201"/>
    </row>
    <row r="24817" spans="62:62" x14ac:dyDescent="0.2">
      <c r="BJ24817" s="201"/>
    </row>
    <row r="24818" spans="62:62" x14ac:dyDescent="0.2">
      <c r="BJ24818" s="201"/>
    </row>
    <row r="24819" spans="62:62" x14ac:dyDescent="0.2">
      <c r="BJ24819" s="201"/>
    </row>
    <row r="24820" spans="62:62" x14ac:dyDescent="0.2">
      <c r="BJ24820" s="201"/>
    </row>
    <row r="24821" spans="62:62" x14ac:dyDescent="0.2">
      <c r="BJ24821" s="201"/>
    </row>
    <row r="24822" spans="62:62" x14ac:dyDescent="0.2">
      <c r="BJ24822" s="201"/>
    </row>
    <row r="24823" spans="62:62" x14ac:dyDescent="0.2">
      <c r="BJ24823" s="201"/>
    </row>
    <row r="24824" spans="62:62" x14ac:dyDescent="0.2">
      <c r="BJ24824" s="201"/>
    </row>
    <row r="24825" spans="62:62" x14ac:dyDescent="0.2">
      <c r="BJ24825" s="201"/>
    </row>
    <row r="24826" spans="62:62" x14ac:dyDescent="0.2">
      <c r="BJ24826" s="201"/>
    </row>
    <row r="24827" spans="62:62" x14ac:dyDescent="0.2">
      <c r="BJ24827" s="201"/>
    </row>
    <row r="24828" spans="62:62" x14ac:dyDescent="0.2">
      <c r="BJ24828" s="201"/>
    </row>
    <row r="24829" spans="62:62" x14ac:dyDescent="0.2">
      <c r="BJ24829" s="201"/>
    </row>
    <row r="24830" spans="62:62" x14ac:dyDescent="0.2">
      <c r="BJ24830" s="201"/>
    </row>
    <row r="24831" spans="62:62" x14ac:dyDescent="0.2">
      <c r="BJ24831" s="201"/>
    </row>
    <row r="24832" spans="62:62" x14ac:dyDescent="0.2">
      <c r="BJ24832" s="201"/>
    </row>
    <row r="24833" spans="62:62" x14ac:dyDescent="0.2">
      <c r="BJ24833" s="201"/>
    </row>
    <row r="24834" spans="62:62" x14ac:dyDescent="0.2">
      <c r="BJ24834" s="201"/>
    </row>
    <row r="24835" spans="62:62" x14ac:dyDescent="0.2">
      <c r="BJ24835" s="201"/>
    </row>
    <row r="24836" spans="62:62" x14ac:dyDescent="0.2">
      <c r="BJ24836" s="201"/>
    </row>
    <row r="24837" spans="62:62" x14ac:dyDescent="0.2">
      <c r="BJ24837" s="201"/>
    </row>
    <row r="24838" spans="62:62" x14ac:dyDescent="0.2">
      <c r="BJ24838" s="201"/>
    </row>
    <row r="24839" spans="62:62" x14ac:dyDescent="0.2">
      <c r="BJ24839" s="201"/>
    </row>
    <row r="24840" spans="62:62" x14ac:dyDescent="0.2">
      <c r="BJ24840" s="201"/>
    </row>
    <row r="24841" spans="62:62" x14ac:dyDescent="0.2">
      <c r="BJ24841" s="201"/>
    </row>
    <row r="24842" spans="62:62" x14ac:dyDescent="0.2">
      <c r="BJ24842" s="201"/>
    </row>
    <row r="24843" spans="62:62" x14ac:dyDescent="0.2">
      <c r="BJ24843" s="201"/>
    </row>
    <row r="24844" spans="62:62" x14ac:dyDescent="0.2">
      <c r="BJ24844" s="201"/>
    </row>
    <row r="24845" spans="62:62" x14ac:dyDescent="0.2">
      <c r="BJ24845" s="201"/>
    </row>
    <row r="24846" spans="62:62" x14ac:dyDescent="0.2">
      <c r="BJ24846" s="201"/>
    </row>
    <row r="24847" spans="62:62" x14ac:dyDescent="0.2">
      <c r="BJ24847" s="201"/>
    </row>
    <row r="24848" spans="62:62" x14ac:dyDescent="0.2">
      <c r="BJ24848" s="201"/>
    </row>
    <row r="24849" spans="62:62" x14ac:dyDescent="0.2">
      <c r="BJ24849" s="201"/>
    </row>
    <row r="24850" spans="62:62" x14ac:dyDescent="0.2">
      <c r="BJ24850" s="201"/>
    </row>
    <row r="24851" spans="62:62" x14ac:dyDescent="0.2">
      <c r="BJ24851" s="201"/>
    </row>
    <row r="24852" spans="62:62" x14ac:dyDescent="0.2">
      <c r="BJ24852" s="201"/>
    </row>
    <row r="24853" spans="62:62" x14ac:dyDescent="0.2">
      <c r="BJ24853" s="201"/>
    </row>
    <row r="24854" spans="62:62" x14ac:dyDescent="0.2">
      <c r="BJ24854" s="201"/>
    </row>
    <row r="24855" spans="62:62" x14ac:dyDescent="0.2">
      <c r="BJ24855" s="201"/>
    </row>
    <row r="24856" spans="62:62" x14ac:dyDescent="0.2">
      <c r="BJ24856" s="201"/>
    </row>
    <row r="24857" spans="62:62" x14ac:dyDescent="0.2">
      <c r="BJ24857" s="201"/>
    </row>
    <row r="24858" spans="62:62" x14ac:dyDescent="0.2">
      <c r="BJ24858" s="201"/>
    </row>
    <row r="24859" spans="62:62" x14ac:dyDescent="0.2">
      <c r="BJ24859" s="201"/>
    </row>
    <row r="24860" spans="62:62" x14ac:dyDescent="0.2">
      <c r="BJ24860" s="201"/>
    </row>
    <row r="24861" spans="62:62" x14ac:dyDescent="0.2">
      <c r="BJ24861" s="201"/>
    </row>
    <row r="24862" spans="62:62" x14ac:dyDescent="0.2">
      <c r="BJ24862" s="201"/>
    </row>
    <row r="24863" spans="62:62" x14ac:dyDescent="0.2">
      <c r="BJ24863" s="201"/>
    </row>
    <row r="24864" spans="62:62" x14ac:dyDescent="0.2">
      <c r="BJ24864" s="201"/>
    </row>
    <row r="24865" spans="62:62" x14ac:dyDescent="0.2">
      <c r="BJ24865" s="201"/>
    </row>
    <row r="24866" spans="62:62" x14ac:dyDescent="0.2">
      <c r="BJ24866" s="201"/>
    </row>
    <row r="24867" spans="62:62" x14ac:dyDescent="0.2">
      <c r="BJ24867" s="201"/>
    </row>
    <row r="24868" spans="62:62" x14ac:dyDescent="0.2">
      <c r="BJ24868" s="201"/>
    </row>
    <row r="24869" spans="62:62" x14ac:dyDescent="0.2">
      <c r="BJ24869" s="201"/>
    </row>
    <row r="24870" spans="62:62" x14ac:dyDescent="0.2">
      <c r="BJ24870" s="201"/>
    </row>
    <row r="24871" spans="62:62" x14ac:dyDescent="0.2">
      <c r="BJ24871" s="201"/>
    </row>
    <row r="24872" spans="62:62" x14ac:dyDescent="0.2">
      <c r="BJ24872" s="201"/>
    </row>
    <row r="24873" spans="62:62" x14ac:dyDescent="0.2">
      <c r="BJ24873" s="201"/>
    </row>
    <row r="24874" spans="62:62" x14ac:dyDescent="0.2">
      <c r="BJ24874" s="201"/>
    </row>
    <row r="24875" spans="62:62" x14ac:dyDescent="0.2">
      <c r="BJ24875" s="201"/>
    </row>
    <row r="24876" spans="62:62" x14ac:dyDescent="0.2">
      <c r="BJ24876" s="201"/>
    </row>
    <row r="24877" spans="62:62" x14ac:dyDescent="0.2">
      <c r="BJ24877" s="201"/>
    </row>
    <row r="24878" spans="62:62" x14ac:dyDescent="0.2">
      <c r="BJ24878" s="201"/>
    </row>
    <row r="24879" spans="62:62" x14ac:dyDescent="0.2">
      <c r="BJ24879" s="201"/>
    </row>
    <row r="24880" spans="62:62" x14ac:dyDescent="0.2">
      <c r="BJ24880" s="201"/>
    </row>
    <row r="24881" spans="62:62" x14ac:dyDescent="0.2">
      <c r="BJ24881" s="201"/>
    </row>
    <row r="24882" spans="62:62" x14ac:dyDescent="0.2">
      <c r="BJ24882" s="201"/>
    </row>
    <row r="24883" spans="62:62" x14ac:dyDescent="0.2">
      <c r="BJ24883" s="201"/>
    </row>
    <row r="24884" spans="62:62" x14ac:dyDescent="0.2">
      <c r="BJ24884" s="201"/>
    </row>
    <row r="24885" spans="62:62" x14ac:dyDescent="0.2">
      <c r="BJ24885" s="201"/>
    </row>
    <row r="24886" spans="62:62" x14ac:dyDescent="0.2">
      <c r="BJ24886" s="201"/>
    </row>
    <row r="24887" spans="62:62" x14ac:dyDescent="0.2">
      <c r="BJ24887" s="201"/>
    </row>
    <row r="24888" spans="62:62" x14ac:dyDescent="0.2">
      <c r="BJ24888" s="201"/>
    </row>
    <row r="24889" spans="62:62" x14ac:dyDescent="0.2">
      <c r="BJ24889" s="201"/>
    </row>
    <row r="24890" spans="62:62" x14ac:dyDescent="0.2">
      <c r="BJ24890" s="201"/>
    </row>
    <row r="24891" spans="62:62" x14ac:dyDescent="0.2">
      <c r="BJ24891" s="201"/>
    </row>
    <row r="24892" spans="62:62" x14ac:dyDescent="0.2">
      <c r="BJ24892" s="201"/>
    </row>
    <row r="24893" spans="62:62" x14ac:dyDescent="0.2">
      <c r="BJ24893" s="201"/>
    </row>
    <row r="24894" spans="62:62" x14ac:dyDescent="0.2">
      <c r="BJ24894" s="201"/>
    </row>
    <row r="24895" spans="62:62" x14ac:dyDescent="0.2">
      <c r="BJ24895" s="201"/>
    </row>
    <row r="24896" spans="62:62" x14ac:dyDescent="0.2">
      <c r="BJ24896" s="201"/>
    </row>
    <row r="24897" spans="62:62" x14ac:dyDescent="0.2">
      <c r="BJ24897" s="201"/>
    </row>
    <row r="24898" spans="62:62" x14ac:dyDescent="0.2">
      <c r="BJ24898" s="201"/>
    </row>
    <row r="24899" spans="62:62" x14ac:dyDescent="0.2">
      <c r="BJ24899" s="201"/>
    </row>
    <row r="24900" spans="62:62" x14ac:dyDescent="0.2">
      <c r="BJ24900" s="201"/>
    </row>
    <row r="24901" spans="62:62" x14ac:dyDescent="0.2">
      <c r="BJ24901" s="201"/>
    </row>
    <row r="24902" spans="62:62" x14ac:dyDescent="0.2">
      <c r="BJ24902" s="201"/>
    </row>
    <row r="24903" spans="62:62" x14ac:dyDescent="0.2">
      <c r="BJ24903" s="201"/>
    </row>
    <row r="24904" spans="62:62" x14ac:dyDescent="0.2">
      <c r="BJ24904" s="201"/>
    </row>
    <row r="24905" spans="62:62" x14ac:dyDescent="0.2">
      <c r="BJ24905" s="201"/>
    </row>
    <row r="24906" spans="62:62" x14ac:dyDescent="0.2">
      <c r="BJ24906" s="201"/>
    </row>
    <row r="24907" spans="62:62" x14ac:dyDescent="0.2">
      <c r="BJ24907" s="201"/>
    </row>
    <row r="24908" spans="62:62" x14ac:dyDescent="0.2">
      <c r="BJ24908" s="201"/>
    </row>
    <row r="24909" spans="62:62" x14ac:dyDescent="0.2">
      <c r="BJ24909" s="201"/>
    </row>
    <row r="24910" spans="62:62" x14ac:dyDescent="0.2">
      <c r="BJ24910" s="201"/>
    </row>
    <row r="24911" spans="62:62" x14ac:dyDescent="0.2">
      <c r="BJ24911" s="201"/>
    </row>
    <row r="24912" spans="62:62" x14ac:dyDescent="0.2">
      <c r="BJ24912" s="201"/>
    </row>
    <row r="24913" spans="62:62" x14ac:dyDescent="0.2">
      <c r="BJ24913" s="201"/>
    </row>
    <row r="24914" spans="62:62" x14ac:dyDescent="0.2">
      <c r="BJ24914" s="201"/>
    </row>
    <row r="24915" spans="62:62" x14ac:dyDescent="0.2">
      <c r="BJ24915" s="201"/>
    </row>
    <row r="24916" spans="62:62" x14ac:dyDescent="0.2">
      <c r="BJ24916" s="201"/>
    </row>
    <row r="24917" spans="62:62" x14ac:dyDescent="0.2">
      <c r="BJ24917" s="201"/>
    </row>
    <row r="24918" spans="62:62" x14ac:dyDescent="0.2">
      <c r="BJ24918" s="201"/>
    </row>
    <row r="24919" spans="62:62" x14ac:dyDescent="0.2">
      <c r="BJ24919" s="201"/>
    </row>
    <row r="24920" spans="62:62" x14ac:dyDescent="0.2">
      <c r="BJ24920" s="201"/>
    </row>
    <row r="24921" spans="62:62" x14ac:dyDescent="0.2">
      <c r="BJ24921" s="201"/>
    </row>
    <row r="24922" spans="62:62" x14ac:dyDescent="0.2">
      <c r="BJ24922" s="201"/>
    </row>
    <row r="24923" spans="62:62" x14ac:dyDescent="0.2">
      <c r="BJ24923" s="201"/>
    </row>
    <row r="24924" spans="62:62" x14ac:dyDescent="0.2">
      <c r="BJ24924" s="201"/>
    </row>
    <row r="24925" spans="62:62" x14ac:dyDescent="0.2">
      <c r="BJ24925" s="201"/>
    </row>
    <row r="24926" spans="62:62" x14ac:dyDescent="0.2">
      <c r="BJ24926" s="201"/>
    </row>
    <row r="24927" spans="62:62" x14ac:dyDescent="0.2">
      <c r="BJ24927" s="201"/>
    </row>
    <row r="24928" spans="62:62" x14ac:dyDescent="0.2">
      <c r="BJ24928" s="201"/>
    </row>
    <row r="24929" spans="62:62" x14ac:dyDescent="0.2">
      <c r="BJ24929" s="201"/>
    </row>
    <row r="24930" spans="62:62" x14ac:dyDescent="0.2">
      <c r="BJ24930" s="201"/>
    </row>
    <row r="24931" spans="62:62" x14ac:dyDescent="0.2">
      <c r="BJ24931" s="201"/>
    </row>
    <row r="24932" spans="62:62" x14ac:dyDescent="0.2">
      <c r="BJ24932" s="201"/>
    </row>
    <row r="24933" spans="62:62" x14ac:dyDescent="0.2">
      <c r="BJ24933" s="201"/>
    </row>
    <row r="24934" spans="62:62" x14ac:dyDescent="0.2">
      <c r="BJ24934" s="201"/>
    </row>
    <row r="24935" spans="62:62" x14ac:dyDescent="0.2">
      <c r="BJ24935" s="201"/>
    </row>
    <row r="24936" spans="62:62" x14ac:dyDescent="0.2">
      <c r="BJ24936" s="201"/>
    </row>
    <row r="24937" spans="62:62" x14ac:dyDescent="0.2">
      <c r="BJ24937" s="201"/>
    </row>
    <row r="24938" spans="62:62" x14ac:dyDescent="0.2">
      <c r="BJ24938" s="201"/>
    </row>
    <row r="24939" spans="62:62" x14ac:dyDescent="0.2">
      <c r="BJ24939" s="201"/>
    </row>
    <row r="24940" spans="62:62" x14ac:dyDescent="0.2">
      <c r="BJ24940" s="201"/>
    </row>
    <row r="24941" spans="62:62" x14ac:dyDescent="0.2">
      <c r="BJ24941" s="201"/>
    </row>
    <row r="24942" spans="62:62" x14ac:dyDescent="0.2">
      <c r="BJ24942" s="201"/>
    </row>
    <row r="24943" spans="62:62" x14ac:dyDescent="0.2">
      <c r="BJ24943" s="201"/>
    </row>
    <row r="24944" spans="62:62" x14ac:dyDescent="0.2">
      <c r="BJ24944" s="201"/>
    </row>
    <row r="24945" spans="62:62" x14ac:dyDescent="0.2">
      <c r="BJ24945" s="201"/>
    </row>
    <row r="24946" spans="62:62" x14ac:dyDescent="0.2">
      <c r="BJ24946" s="201"/>
    </row>
    <row r="24947" spans="62:62" x14ac:dyDescent="0.2">
      <c r="BJ24947" s="201"/>
    </row>
    <row r="24948" spans="62:62" x14ac:dyDescent="0.2">
      <c r="BJ24948" s="201"/>
    </row>
    <row r="24949" spans="62:62" x14ac:dyDescent="0.2">
      <c r="BJ24949" s="201"/>
    </row>
    <row r="24950" spans="62:62" x14ac:dyDescent="0.2">
      <c r="BJ24950" s="201"/>
    </row>
    <row r="24951" spans="62:62" x14ac:dyDescent="0.2">
      <c r="BJ24951" s="201"/>
    </row>
    <row r="24952" spans="62:62" x14ac:dyDescent="0.2">
      <c r="BJ24952" s="201"/>
    </row>
    <row r="24953" spans="62:62" x14ac:dyDescent="0.2">
      <c r="BJ24953" s="201"/>
    </row>
    <row r="24954" spans="62:62" x14ac:dyDescent="0.2">
      <c r="BJ24954" s="201"/>
    </row>
    <row r="24955" spans="62:62" x14ac:dyDescent="0.2">
      <c r="BJ24955" s="201"/>
    </row>
    <row r="24956" spans="62:62" x14ac:dyDescent="0.2">
      <c r="BJ24956" s="201"/>
    </row>
    <row r="24957" spans="62:62" x14ac:dyDescent="0.2">
      <c r="BJ24957" s="201"/>
    </row>
    <row r="24958" spans="62:62" x14ac:dyDescent="0.2">
      <c r="BJ24958" s="201"/>
    </row>
    <row r="24959" spans="62:62" x14ac:dyDescent="0.2">
      <c r="BJ24959" s="201"/>
    </row>
    <row r="24960" spans="62:62" x14ac:dyDescent="0.2">
      <c r="BJ24960" s="201"/>
    </row>
    <row r="24961" spans="62:62" x14ac:dyDescent="0.2">
      <c r="BJ24961" s="201"/>
    </row>
    <row r="24962" spans="62:62" x14ac:dyDescent="0.2">
      <c r="BJ24962" s="201"/>
    </row>
    <row r="24963" spans="62:62" x14ac:dyDescent="0.2">
      <c r="BJ24963" s="201"/>
    </row>
    <row r="24964" spans="62:62" x14ac:dyDescent="0.2">
      <c r="BJ24964" s="201"/>
    </row>
    <row r="24965" spans="62:62" x14ac:dyDescent="0.2">
      <c r="BJ24965" s="201"/>
    </row>
    <row r="24966" spans="62:62" x14ac:dyDescent="0.2">
      <c r="BJ24966" s="201"/>
    </row>
    <row r="24967" spans="62:62" x14ac:dyDescent="0.2">
      <c r="BJ24967" s="201"/>
    </row>
    <row r="24968" spans="62:62" x14ac:dyDescent="0.2">
      <c r="BJ24968" s="201"/>
    </row>
    <row r="24969" spans="62:62" x14ac:dyDescent="0.2">
      <c r="BJ24969" s="201"/>
    </row>
    <row r="24970" spans="62:62" x14ac:dyDescent="0.2">
      <c r="BJ24970" s="201"/>
    </row>
    <row r="24971" spans="62:62" x14ac:dyDescent="0.2">
      <c r="BJ24971" s="201"/>
    </row>
    <row r="24972" spans="62:62" x14ac:dyDescent="0.2">
      <c r="BJ24972" s="201"/>
    </row>
    <row r="24973" spans="62:62" x14ac:dyDescent="0.2">
      <c r="BJ24973" s="201"/>
    </row>
    <row r="24974" spans="62:62" x14ac:dyDescent="0.2">
      <c r="BJ24974" s="201"/>
    </row>
    <row r="24975" spans="62:62" x14ac:dyDescent="0.2">
      <c r="BJ24975" s="201"/>
    </row>
    <row r="24976" spans="62:62" x14ac:dyDescent="0.2">
      <c r="BJ24976" s="201"/>
    </row>
    <row r="24977" spans="62:62" x14ac:dyDescent="0.2">
      <c r="BJ24977" s="201"/>
    </row>
    <row r="24978" spans="62:62" x14ac:dyDescent="0.2">
      <c r="BJ24978" s="201"/>
    </row>
    <row r="24979" spans="62:62" x14ac:dyDescent="0.2">
      <c r="BJ24979" s="201"/>
    </row>
    <row r="24980" spans="62:62" x14ac:dyDescent="0.2">
      <c r="BJ24980" s="201"/>
    </row>
    <row r="24981" spans="62:62" x14ac:dyDescent="0.2">
      <c r="BJ24981" s="201"/>
    </row>
    <row r="24982" spans="62:62" x14ac:dyDescent="0.2">
      <c r="BJ24982" s="201"/>
    </row>
    <row r="24983" spans="62:62" x14ac:dyDescent="0.2">
      <c r="BJ24983" s="201"/>
    </row>
    <row r="24984" spans="62:62" x14ac:dyDescent="0.2">
      <c r="BJ24984" s="201"/>
    </row>
    <row r="24985" spans="62:62" x14ac:dyDescent="0.2">
      <c r="BJ24985" s="201"/>
    </row>
    <row r="24986" spans="62:62" x14ac:dyDescent="0.2">
      <c r="BJ24986" s="201"/>
    </row>
    <row r="24987" spans="62:62" x14ac:dyDescent="0.2">
      <c r="BJ24987" s="201"/>
    </row>
    <row r="24988" spans="62:62" x14ac:dyDescent="0.2">
      <c r="BJ24988" s="201"/>
    </row>
    <row r="24989" spans="62:62" x14ac:dyDescent="0.2">
      <c r="BJ24989" s="201"/>
    </row>
    <row r="24990" spans="62:62" x14ac:dyDescent="0.2">
      <c r="BJ24990" s="201"/>
    </row>
    <row r="24991" spans="62:62" x14ac:dyDescent="0.2">
      <c r="BJ24991" s="201"/>
    </row>
    <row r="24992" spans="62:62" x14ac:dyDescent="0.2">
      <c r="BJ24992" s="201"/>
    </row>
    <row r="24993" spans="62:62" x14ac:dyDescent="0.2">
      <c r="BJ24993" s="201"/>
    </row>
    <row r="24994" spans="62:62" x14ac:dyDescent="0.2">
      <c r="BJ24994" s="201"/>
    </row>
    <row r="24995" spans="62:62" x14ac:dyDescent="0.2">
      <c r="BJ24995" s="201"/>
    </row>
    <row r="24996" spans="62:62" x14ac:dyDescent="0.2">
      <c r="BJ24996" s="201"/>
    </row>
    <row r="24997" spans="62:62" x14ac:dyDescent="0.2">
      <c r="BJ24997" s="201"/>
    </row>
    <row r="24998" spans="62:62" x14ac:dyDescent="0.2">
      <c r="BJ24998" s="201"/>
    </row>
    <row r="24999" spans="62:62" x14ac:dyDescent="0.2">
      <c r="BJ24999" s="201"/>
    </row>
    <row r="25000" spans="62:62" x14ac:dyDescent="0.2">
      <c r="BJ25000" s="201"/>
    </row>
    <row r="25001" spans="62:62" x14ac:dyDescent="0.2">
      <c r="BJ25001" s="201"/>
    </row>
    <row r="25002" spans="62:62" x14ac:dyDescent="0.2">
      <c r="BJ25002" s="201"/>
    </row>
    <row r="25003" spans="62:62" x14ac:dyDescent="0.2">
      <c r="BJ25003" s="201"/>
    </row>
    <row r="25004" spans="62:62" x14ac:dyDescent="0.2">
      <c r="BJ25004" s="201"/>
    </row>
    <row r="25005" spans="62:62" x14ac:dyDescent="0.2">
      <c r="BJ25005" s="201"/>
    </row>
    <row r="25006" spans="62:62" x14ac:dyDescent="0.2">
      <c r="BJ25006" s="201"/>
    </row>
    <row r="25007" spans="62:62" x14ac:dyDescent="0.2">
      <c r="BJ25007" s="201"/>
    </row>
    <row r="25008" spans="62:62" x14ac:dyDescent="0.2">
      <c r="BJ25008" s="201"/>
    </row>
    <row r="25009" spans="62:62" x14ac:dyDescent="0.2">
      <c r="BJ25009" s="201"/>
    </row>
    <row r="25010" spans="62:62" x14ac:dyDescent="0.2">
      <c r="BJ25010" s="201"/>
    </row>
    <row r="25011" spans="62:62" x14ac:dyDescent="0.2">
      <c r="BJ25011" s="201"/>
    </row>
    <row r="25012" spans="62:62" x14ac:dyDescent="0.2">
      <c r="BJ25012" s="201"/>
    </row>
    <row r="25013" spans="62:62" x14ac:dyDescent="0.2">
      <c r="BJ25013" s="201"/>
    </row>
    <row r="25014" spans="62:62" x14ac:dyDescent="0.2">
      <c r="BJ25014" s="201"/>
    </row>
    <row r="25015" spans="62:62" x14ac:dyDescent="0.2">
      <c r="BJ25015" s="201"/>
    </row>
    <row r="25016" spans="62:62" x14ac:dyDescent="0.2">
      <c r="BJ25016" s="201"/>
    </row>
    <row r="25017" spans="62:62" x14ac:dyDescent="0.2">
      <c r="BJ25017" s="201"/>
    </row>
    <row r="25018" spans="62:62" x14ac:dyDescent="0.2">
      <c r="BJ25018" s="201"/>
    </row>
    <row r="25019" spans="62:62" x14ac:dyDescent="0.2">
      <c r="BJ25019" s="201"/>
    </row>
    <row r="25020" spans="62:62" x14ac:dyDescent="0.2">
      <c r="BJ25020" s="201"/>
    </row>
    <row r="25021" spans="62:62" x14ac:dyDescent="0.2">
      <c r="BJ25021" s="201"/>
    </row>
    <row r="25022" spans="62:62" x14ac:dyDescent="0.2">
      <c r="BJ25022" s="201"/>
    </row>
    <row r="25023" spans="62:62" x14ac:dyDescent="0.2">
      <c r="BJ25023" s="201"/>
    </row>
    <row r="25024" spans="62:62" x14ac:dyDescent="0.2">
      <c r="BJ25024" s="201"/>
    </row>
    <row r="25025" spans="62:62" x14ac:dyDescent="0.2">
      <c r="BJ25025" s="201"/>
    </row>
    <row r="25026" spans="62:62" x14ac:dyDescent="0.2">
      <c r="BJ25026" s="201"/>
    </row>
    <row r="25027" spans="62:62" x14ac:dyDescent="0.2">
      <c r="BJ25027" s="201"/>
    </row>
    <row r="25028" spans="62:62" x14ac:dyDescent="0.2">
      <c r="BJ25028" s="201"/>
    </row>
    <row r="25029" spans="62:62" x14ac:dyDescent="0.2">
      <c r="BJ25029" s="201"/>
    </row>
    <row r="25030" spans="62:62" x14ac:dyDescent="0.2">
      <c r="BJ25030" s="201"/>
    </row>
    <row r="25031" spans="62:62" x14ac:dyDescent="0.2">
      <c r="BJ25031" s="201"/>
    </row>
    <row r="25032" spans="62:62" x14ac:dyDescent="0.2">
      <c r="BJ25032" s="201"/>
    </row>
    <row r="25033" spans="62:62" x14ac:dyDescent="0.2">
      <c r="BJ25033" s="201"/>
    </row>
    <row r="25034" spans="62:62" x14ac:dyDescent="0.2">
      <c r="BJ25034" s="201"/>
    </row>
    <row r="25035" spans="62:62" x14ac:dyDescent="0.2">
      <c r="BJ25035" s="201"/>
    </row>
    <row r="25036" spans="62:62" x14ac:dyDescent="0.2">
      <c r="BJ25036" s="201"/>
    </row>
    <row r="25037" spans="62:62" x14ac:dyDescent="0.2">
      <c r="BJ25037" s="201"/>
    </row>
    <row r="25038" spans="62:62" x14ac:dyDescent="0.2">
      <c r="BJ25038" s="201"/>
    </row>
    <row r="25039" spans="62:62" x14ac:dyDescent="0.2">
      <c r="BJ25039" s="201"/>
    </row>
    <row r="25040" spans="62:62" x14ac:dyDescent="0.2">
      <c r="BJ25040" s="201"/>
    </row>
    <row r="25041" spans="62:62" x14ac:dyDescent="0.2">
      <c r="BJ25041" s="201"/>
    </row>
    <row r="25042" spans="62:62" x14ac:dyDescent="0.2">
      <c r="BJ25042" s="201"/>
    </row>
    <row r="25043" spans="62:62" x14ac:dyDescent="0.2">
      <c r="BJ25043" s="201"/>
    </row>
    <row r="25044" spans="62:62" x14ac:dyDescent="0.2">
      <c r="BJ25044" s="201"/>
    </row>
    <row r="25045" spans="62:62" x14ac:dyDescent="0.2">
      <c r="BJ25045" s="201"/>
    </row>
    <row r="25046" spans="62:62" x14ac:dyDescent="0.2">
      <c r="BJ25046" s="201"/>
    </row>
    <row r="25047" spans="62:62" x14ac:dyDescent="0.2">
      <c r="BJ25047" s="201"/>
    </row>
    <row r="25048" spans="62:62" x14ac:dyDescent="0.2">
      <c r="BJ25048" s="201"/>
    </row>
    <row r="25049" spans="62:62" x14ac:dyDescent="0.2">
      <c r="BJ25049" s="201"/>
    </row>
    <row r="25050" spans="62:62" x14ac:dyDescent="0.2">
      <c r="BJ25050" s="201"/>
    </row>
    <row r="25051" spans="62:62" x14ac:dyDescent="0.2">
      <c r="BJ25051" s="201"/>
    </row>
    <row r="25052" spans="62:62" x14ac:dyDescent="0.2">
      <c r="BJ25052" s="201"/>
    </row>
    <row r="25053" spans="62:62" x14ac:dyDescent="0.2">
      <c r="BJ25053" s="201"/>
    </row>
    <row r="25054" spans="62:62" x14ac:dyDescent="0.2">
      <c r="BJ25054" s="201"/>
    </row>
    <row r="25055" spans="62:62" x14ac:dyDescent="0.2">
      <c r="BJ25055" s="201"/>
    </row>
    <row r="25056" spans="62:62" x14ac:dyDescent="0.2">
      <c r="BJ25056" s="201"/>
    </row>
    <row r="25057" spans="62:62" x14ac:dyDescent="0.2">
      <c r="BJ25057" s="201"/>
    </row>
    <row r="25058" spans="62:62" x14ac:dyDescent="0.2">
      <c r="BJ25058" s="201"/>
    </row>
    <row r="25059" spans="62:62" x14ac:dyDescent="0.2">
      <c r="BJ25059" s="201"/>
    </row>
    <row r="25060" spans="62:62" x14ac:dyDescent="0.2">
      <c r="BJ25060" s="201"/>
    </row>
    <row r="25061" spans="62:62" x14ac:dyDescent="0.2">
      <c r="BJ25061" s="201"/>
    </row>
    <row r="25062" spans="62:62" x14ac:dyDescent="0.2">
      <c r="BJ25062" s="201"/>
    </row>
    <row r="25063" spans="62:62" x14ac:dyDescent="0.2">
      <c r="BJ25063" s="201"/>
    </row>
    <row r="25064" spans="62:62" x14ac:dyDescent="0.2">
      <c r="BJ25064" s="201"/>
    </row>
    <row r="25065" spans="62:62" x14ac:dyDescent="0.2">
      <c r="BJ25065" s="201"/>
    </row>
    <row r="25066" spans="62:62" x14ac:dyDescent="0.2">
      <c r="BJ25066" s="201"/>
    </row>
    <row r="25067" spans="62:62" x14ac:dyDescent="0.2">
      <c r="BJ25067" s="201"/>
    </row>
    <row r="25068" spans="62:62" x14ac:dyDescent="0.2">
      <c r="BJ25068" s="201"/>
    </row>
    <row r="25069" spans="62:62" x14ac:dyDescent="0.2">
      <c r="BJ25069" s="201"/>
    </row>
    <row r="25070" spans="62:62" x14ac:dyDescent="0.2">
      <c r="BJ25070" s="201"/>
    </row>
    <row r="25071" spans="62:62" x14ac:dyDescent="0.2">
      <c r="BJ25071" s="201"/>
    </row>
    <row r="25072" spans="62:62" x14ac:dyDescent="0.2">
      <c r="BJ25072" s="201"/>
    </row>
    <row r="25073" spans="62:62" x14ac:dyDescent="0.2">
      <c r="BJ25073" s="201"/>
    </row>
    <row r="25074" spans="62:62" x14ac:dyDescent="0.2">
      <c r="BJ25074" s="201"/>
    </row>
    <row r="25075" spans="62:62" x14ac:dyDescent="0.2">
      <c r="BJ25075" s="201"/>
    </row>
    <row r="25076" spans="62:62" x14ac:dyDescent="0.2">
      <c r="BJ25076" s="201"/>
    </row>
    <row r="25077" spans="62:62" x14ac:dyDescent="0.2">
      <c r="BJ25077" s="201"/>
    </row>
    <row r="25078" spans="62:62" x14ac:dyDescent="0.2">
      <c r="BJ25078" s="201"/>
    </row>
    <row r="25079" spans="62:62" x14ac:dyDescent="0.2">
      <c r="BJ25079" s="201"/>
    </row>
    <row r="25080" spans="62:62" x14ac:dyDescent="0.2">
      <c r="BJ25080" s="201"/>
    </row>
    <row r="25081" spans="62:62" x14ac:dyDescent="0.2">
      <c r="BJ25081" s="201"/>
    </row>
    <row r="25082" spans="62:62" x14ac:dyDescent="0.2">
      <c r="BJ25082" s="201"/>
    </row>
    <row r="25083" spans="62:62" x14ac:dyDescent="0.2">
      <c r="BJ25083" s="201"/>
    </row>
    <row r="25084" spans="62:62" x14ac:dyDescent="0.2">
      <c r="BJ25084" s="201"/>
    </row>
    <row r="25085" spans="62:62" x14ac:dyDescent="0.2">
      <c r="BJ25085" s="201"/>
    </row>
    <row r="25086" spans="62:62" x14ac:dyDescent="0.2">
      <c r="BJ25086" s="201"/>
    </row>
    <row r="25087" spans="62:62" x14ac:dyDescent="0.2">
      <c r="BJ25087" s="201"/>
    </row>
    <row r="25088" spans="62:62" x14ac:dyDescent="0.2">
      <c r="BJ25088" s="201"/>
    </row>
    <row r="25089" spans="62:62" x14ac:dyDescent="0.2">
      <c r="BJ25089" s="201"/>
    </row>
    <row r="25090" spans="62:62" x14ac:dyDescent="0.2">
      <c r="BJ25090" s="201"/>
    </row>
    <row r="25091" spans="62:62" x14ac:dyDescent="0.2">
      <c r="BJ25091" s="201"/>
    </row>
    <row r="25092" spans="62:62" x14ac:dyDescent="0.2">
      <c r="BJ25092" s="201"/>
    </row>
    <row r="25093" spans="62:62" x14ac:dyDescent="0.2">
      <c r="BJ25093" s="201"/>
    </row>
    <row r="25094" spans="62:62" x14ac:dyDescent="0.2">
      <c r="BJ25094" s="201"/>
    </row>
    <row r="25095" spans="62:62" x14ac:dyDescent="0.2">
      <c r="BJ25095" s="201"/>
    </row>
    <row r="25096" spans="62:62" x14ac:dyDescent="0.2">
      <c r="BJ25096" s="201"/>
    </row>
    <row r="25097" spans="62:62" x14ac:dyDescent="0.2">
      <c r="BJ25097" s="201"/>
    </row>
    <row r="25098" spans="62:62" x14ac:dyDescent="0.2">
      <c r="BJ25098" s="201"/>
    </row>
    <row r="25099" spans="62:62" x14ac:dyDescent="0.2">
      <c r="BJ25099" s="201"/>
    </row>
    <row r="25100" spans="62:62" x14ac:dyDescent="0.2">
      <c r="BJ25100" s="201"/>
    </row>
    <row r="25101" spans="62:62" x14ac:dyDescent="0.2">
      <c r="BJ25101" s="201"/>
    </row>
    <row r="25102" spans="62:62" x14ac:dyDescent="0.2">
      <c r="BJ25102" s="201"/>
    </row>
    <row r="25103" spans="62:62" x14ac:dyDescent="0.2">
      <c r="BJ25103" s="201"/>
    </row>
    <row r="25104" spans="62:62" x14ac:dyDescent="0.2">
      <c r="BJ25104" s="201"/>
    </row>
    <row r="25105" spans="62:62" x14ac:dyDescent="0.2">
      <c r="BJ25105" s="201"/>
    </row>
    <row r="25106" spans="62:62" x14ac:dyDescent="0.2">
      <c r="BJ25106" s="201"/>
    </row>
    <row r="25107" spans="62:62" x14ac:dyDescent="0.2">
      <c r="BJ25107" s="201"/>
    </row>
    <row r="25108" spans="62:62" x14ac:dyDescent="0.2">
      <c r="BJ25108" s="201"/>
    </row>
    <row r="25109" spans="62:62" x14ac:dyDescent="0.2">
      <c r="BJ25109" s="201"/>
    </row>
    <row r="25110" spans="62:62" x14ac:dyDescent="0.2">
      <c r="BJ25110" s="201"/>
    </row>
    <row r="25111" spans="62:62" x14ac:dyDescent="0.2">
      <c r="BJ25111" s="201"/>
    </row>
    <row r="25112" spans="62:62" x14ac:dyDescent="0.2">
      <c r="BJ25112" s="201"/>
    </row>
    <row r="25113" spans="62:62" x14ac:dyDescent="0.2">
      <c r="BJ25113" s="201"/>
    </row>
    <row r="25114" spans="62:62" x14ac:dyDescent="0.2">
      <c r="BJ25114" s="201"/>
    </row>
    <row r="25115" spans="62:62" x14ac:dyDescent="0.2">
      <c r="BJ25115" s="201"/>
    </row>
    <row r="25116" spans="62:62" x14ac:dyDescent="0.2">
      <c r="BJ25116" s="201"/>
    </row>
    <row r="25117" spans="62:62" x14ac:dyDescent="0.2">
      <c r="BJ25117" s="201"/>
    </row>
    <row r="25118" spans="62:62" x14ac:dyDescent="0.2">
      <c r="BJ25118" s="201"/>
    </row>
    <row r="25119" spans="62:62" x14ac:dyDescent="0.2">
      <c r="BJ25119" s="201"/>
    </row>
    <row r="25120" spans="62:62" x14ac:dyDescent="0.2">
      <c r="BJ25120" s="201"/>
    </row>
    <row r="25121" spans="62:62" x14ac:dyDescent="0.2">
      <c r="BJ25121" s="201"/>
    </row>
    <row r="25122" spans="62:62" x14ac:dyDescent="0.2">
      <c r="BJ25122" s="201"/>
    </row>
    <row r="25123" spans="62:62" x14ac:dyDescent="0.2">
      <c r="BJ25123" s="201"/>
    </row>
    <row r="25124" spans="62:62" x14ac:dyDescent="0.2">
      <c r="BJ25124" s="201"/>
    </row>
    <row r="25125" spans="62:62" x14ac:dyDescent="0.2">
      <c r="BJ25125" s="201"/>
    </row>
    <row r="25126" spans="62:62" x14ac:dyDescent="0.2">
      <c r="BJ25126" s="201"/>
    </row>
    <row r="25127" spans="62:62" x14ac:dyDescent="0.2">
      <c r="BJ25127" s="201"/>
    </row>
    <row r="25128" spans="62:62" x14ac:dyDescent="0.2">
      <c r="BJ25128" s="201"/>
    </row>
    <row r="25129" spans="62:62" x14ac:dyDescent="0.2">
      <c r="BJ25129" s="201"/>
    </row>
    <row r="25130" spans="62:62" x14ac:dyDescent="0.2">
      <c r="BJ25130" s="201"/>
    </row>
    <row r="25131" spans="62:62" x14ac:dyDescent="0.2">
      <c r="BJ25131" s="201"/>
    </row>
    <row r="25132" spans="62:62" x14ac:dyDescent="0.2">
      <c r="BJ25132" s="201"/>
    </row>
    <row r="25133" spans="62:62" x14ac:dyDescent="0.2">
      <c r="BJ25133" s="201"/>
    </row>
    <row r="25134" spans="62:62" x14ac:dyDescent="0.2">
      <c r="BJ25134" s="201"/>
    </row>
    <row r="25135" spans="62:62" x14ac:dyDescent="0.2">
      <c r="BJ25135" s="201"/>
    </row>
    <row r="25136" spans="62:62" x14ac:dyDescent="0.2">
      <c r="BJ25136" s="201"/>
    </row>
    <row r="25137" spans="62:62" x14ac:dyDescent="0.2">
      <c r="BJ25137" s="201"/>
    </row>
    <row r="25138" spans="62:62" x14ac:dyDescent="0.2">
      <c r="BJ25138" s="201"/>
    </row>
    <row r="25139" spans="62:62" x14ac:dyDescent="0.2">
      <c r="BJ25139" s="201"/>
    </row>
    <row r="25140" spans="62:62" x14ac:dyDescent="0.2">
      <c r="BJ25140" s="201"/>
    </row>
    <row r="25141" spans="62:62" x14ac:dyDescent="0.2">
      <c r="BJ25141" s="201"/>
    </row>
    <row r="25142" spans="62:62" x14ac:dyDescent="0.2">
      <c r="BJ25142" s="201"/>
    </row>
    <row r="25143" spans="62:62" x14ac:dyDescent="0.2">
      <c r="BJ25143" s="201"/>
    </row>
    <row r="25144" spans="62:62" x14ac:dyDescent="0.2">
      <c r="BJ25144" s="201"/>
    </row>
    <row r="25145" spans="62:62" x14ac:dyDescent="0.2">
      <c r="BJ25145" s="201"/>
    </row>
    <row r="25146" spans="62:62" x14ac:dyDescent="0.2">
      <c r="BJ25146" s="201"/>
    </row>
    <row r="25147" spans="62:62" x14ac:dyDescent="0.2">
      <c r="BJ25147" s="201"/>
    </row>
    <row r="25148" spans="62:62" x14ac:dyDescent="0.2">
      <c r="BJ25148" s="201"/>
    </row>
    <row r="25149" spans="62:62" x14ac:dyDescent="0.2">
      <c r="BJ25149" s="201"/>
    </row>
    <row r="25150" spans="62:62" x14ac:dyDescent="0.2">
      <c r="BJ25150" s="201"/>
    </row>
    <row r="25151" spans="62:62" x14ac:dyDescent="0.2">
      <c r="BJ25151" s="201"/>
    </row>
    <row r="25152" spans="62:62" x14ac:dyDescent="0.2">
      <c r="BJ25152" s="201"/>
    </row>
    <row r="25153" spans="62:62" x14ac:dyDescent="0.2">
      <c r="BJ25153" s="201"/>
    </row>
    <row r="25154" spans="62:62" x14ac:dyDescent="0.2">
      <c r="BJ25154" s="201"/>
    </row>
    <row r="25155" spans="62:62" x14ac:dyDescent="0.2">
      <c r="BJ25155" s="201"/>
    </row>
    <row r="25156" spans="62:62" x14ac:dyDescent="0.2">
      <c r="BJ25156" s="201"/>
    </row>
    <row r="25157" spans="62:62" x14ac:dyDescent="0.2">
      <c r="BJ25157" s="201"/>
    </row>
    <row r="25158" spans="62:62" x14ac:dyDescent="0.2">
      <c r="BJ25158" s="201"/>
    </row>
    <row r="25159" spans="62:62" x14ac:dyDescent="0.2">
      <c r="BJ25159" s="201"/>
    </row>
    <row r="25160" spans="62:62" x14ac:dyDescent="0.2">
      <c r="BJ25160" s="201"/>
    </row>
    <row r="25161" spans="62:62" x14ac:dyDescent="0.2">
      <c r="BJ25161" s="201"/>
    </row>
    <row r="25162" spans="62:62" x14ac:dyDescent="0.2">
      <c r="BJ25162" s="201"/>
    </row>
    <row r="25163" spans="62:62" x14ac:dyDescent="0.2">
      <c r="BJ25163" s="201"/>
    </row>
    <row r="25164" spans="62:62" x14ac:dyDescent="0.2">
      <c r="BJ25164" s="201"/>
    </row>
    <row r="25165" spans="62:62" x14ac:dyDescent="0.2">
      <c r="BJ25165" s="201"/>
    </row>
    <row r="25166" spans="62:62" x14ac:dyDescent="0.2">
      <c r="BJ25166" s="201"/>
    </row>
    <row r="25167" spans="62:62" x14ac:dyDescent="0.2">
      <c r="BJ25167" s="201"/>
    </row>
    <row r="25168" spans="62:62" x14ac:dyDescent="0.2">
      <c r="BJ25168" s="201"/>
    </row>
    <row r="25169" spans="62:62" x14ac:dyDescent="0.2">
      <c r="BJ25169" s="201"/>
    </row>
    <row r="25170" spans="62:62" x14ac:dyDescent="0.2">
      <c r="BJ25170" s="201"/>
    </row>
    <row r="25171" spans="62:62" x14ac:dyDescent="0.2">
      <c r="BJ25171" s="201"/>
    </row>
    <row r="25172" spans="62:62" x14ac:dyDescent="0.2">
      <c r="BJ25172" s="201"/>
    </row>
    <row r="25173" spans="62:62" x14ac:dyDescent="0.2">
      <c r="BJ25173" s="201"/>
    </row>
    <row r="25174" spans="62:62" x14ac:dyDescent="0.2">
      <c r="BJ25174" s="201"/>
    </row>
    <row r="25175" spans="62:62" x14ac:dyDescent="0.2">
      <c r="BJ25175" s="201"/>
    </row>
    <row r="25176" spans="62:62" x14ac:dyDescent="0.2">
      <c r="BJ25176" s="201"/>
    </row>
    <row r="25177" spans="62:62" x14ac:dyDescent="0.2">
      <c r="BJ25177" s="201"/>
    </row>
    <row r="25178" spans="62:62" x14ac:dyDescent="0.2">
      <c r="BJ25178" s="201"/>
    </row>
    <row r="25179" spans="62:62" x14ac:dyDescent="0.2">
      <c r="BJ25179" s="201"/>
    </row>
    <row r="25180" spans="62:62" x14ac:dyDescent="0.2">
      <c r="BJ25180" s="201"/>
    </row>
    <row r="25181" spans="62:62" x14ac:dyDescent="0.2">
      <c r="BJ25181" s="201"/>
    </row>
    <row r="25182" spans="62:62" x14ac:dyDescent="0.2">
      <c r="BJ25182" s="201"/>
    </row>
    <row r="25183" spans="62:62" x14ac:dyDescent="0.2">
      <c r="BJ25183" s="201"/>
    </row>
    <row r="25184" spans="62:62" x14ac:dyDescent="0.2">
      <c r="BJ25184" s="201"/>
    </row>
    <row r="25185" spans="62:62" x14ac:dyDescent="0.2">
      <c r="BJ25185" s="201"/>
    </row>
    <row r="25186" spans="62:62" x14ac:dyDescent="0.2">
      <c r="BJ25186" s="201"/>
    </row>
    <row r="25187" spans="62:62" x14ac:dyDescent="0.2">
      <c r="BJ25187" s="201"/>
    </row>
    <row r="25188" spans="62:62" x14ac:dyDescent="0.2">
      <c r="BJ25188" s="201"/>
    </row>
    <row r="25189" spans="62:62" x14ac:dyDescent="0.2">
      <c r="BJ25189" s="201"/>
    </row>
    <row r="25190" spans="62:62" x14ac:dyDescent="0.2">
      <c r="BJ25190" s="201"/>
    </row>
    <row r="25191" spans="62:62" x14ac:dyDescent="0.2">
      <c r="BJ25191" s="201"/>
    </row>
    <row r="25192" spans="62:62" x14ac:dyDescent="0.2">
      <c r="BJ25192" s="201"/>
    </row>
    <row r="25193" spans="62:62" x14ac:dyDescent="0.2">
      <c r="BJ25193" s="201"/>
    </row>
    <row r="25194" spans="62:62" x14ac:dyDescent="0.2">
      <c r="BJ25194" s="201"/>
    </row>
    <row r="25195" spans="62:62" x14ac:dyDescent="0.2">
      <c r="BJ25195" s="201"/>
    </row>
    <row r="25196" spans="62:62" x14ac:dyDescent="0.2">
      <c r="BJ25196" s="201"/>
    </row>
    <row r="25197" spans="62:62" x14ac:dyDescent="0.2">
      <c r="BJ25197" s="201"/>
    </row>
    <row r="25198" spans="62:62" x14ac:dyDescent="0.2">
      <c r="BJ25198" s="201"/>
    </row>
    <row r="25199" spans="62:62" x14ac:dyDescent="0.2">
      <c r="BJ25199" s="201"/>
    </row>
    <row r="25200" spans="62:62" x14ac:dyDescent="0.2">
      <c r="BJ25200" s="201"/>
    </row>
    <row r="25201" spans="62:62" x14ac:dyDescent="0.2">
      <c r="BJ25201" s="201"/>
    </row>
    <row r="25202" spans="62:62" x14ac:dyDescent="0.2">
      <c r="BJ25202" s="201"/>
    </row>
    <row r="25203" spans="62:62" x14ac:dyDescent="0.2">
      <c r="BJ25203" s="201"/>
    </row>
    <row r="25204" spans="62:62" x14ac:dyDescent="0.2">
      <c r="BJ25204" s="201"/>
    </row>
    <row r="25205" spans="62:62" x14ac:dyDescent="0.2">
      <c r="BJ25205" s="201"/>
    </row>
    <row r="25206" spans="62:62" x14ac:dyDescent="0.2">
      <c r="BJ25206" s="201"/>
    </row>
    <row r="25207" spans="62:62" x14ac:dyDescent="0.2">
      <c r="BJ25207" s="201"/>
    </row>
    <row r="25208" spans="62:62" x14ac:dyDescent="0.2">
      <c r="BJ25208" s="201"/>
    </row>
    <row r="25209" spans="62:62" x14ac:dyDescent="0.2">
      <c r="BJ25209" s="201"/>
    </row>
    <row r="25210" spans="62:62" x14ac:dyDescent="0.2">
      <c r="BJ25210" s="201"/>
    </row>
    <row r="25211" spans="62:62" x14ac:dyDescent="0.2">
      <c r="BJ25211" s="201"/>
    </row>
    <row r="25212" spans="62:62" x14ac:dyDescent="0.2">
      <c r="BJ25212" s="201"/>
    </row>
    <row r="25213" spans="62:62" x14ac:dyDescent="0.2">
      <c r="BJ25213" s="201"/>
    </row>
    <row r="25214" spans="62:62" x14ac:dyDescent="0.2">
      <c r="BJ25214" s="201"/>
    </row>
    <row r="25215" spans="62:62" x14ac:dyDescent="0.2">
      <c r="BJ25215" s="201"/>
    </row>
    <row r="25216" spans="62:62" x14ac:dyDescent="0.2">
      <c r="BJ25216" s="201"/>
    </row>
    <row r="25217" spans="62:62" x14ac:dyDescent="0.2">
      <c r="BJ25217" s="201"/>
    </row>
    <row r="25218" spans="62:62" x14ac:dyDescent="0.2">
      <c r="BJ25218" s="201"/>
    </row>
    <row r="25219" spans="62:62" x14ac:dyDescent="0.2">
      <c r="BJ25219" s="201"/>
    </row>
    <row r="25220" spans="62:62" x14ac:dyDescent="0.2">
      <c r="BJ25220" s="201"/>
    </row>
    <row r="25221" spans="62:62" x14ac:dyDescent="0.2">
      <c r="BJ25221" s="201"/>
    </row>
    <row r="25222" spans="62:62" x14ac:dyDescent="0.2">
      <c r="BJ25222" s="201"/>
    </row>
    <row r="25223" spans="62:62" x14ac:dyDescent="0.2">
      <c r="BJ25223" s="201"/>
    </row>
    <row r="25224" spans="62:62" x14ac:dyDescent="0.2">
      <c r="BJ25224" s="201"/>
    </row>
    <row r="25225" spans="62:62" x14ac:dyDescent="0.2">
      <c r="BJ25225" s="201"/>
    </row>
    <row r="25226" spans="62:62" x14ac:dyDescent="0.2">
      <c r="BJ25226" s="201"/>
    </row>
    <row r="25227" spans="62:62" x14ac:dyDescent="0.2">
      <c r="BJ25227" s="201"/>
    </row>
    <row r="25228" spans="62:62" x14ac:dyDescent="0.2">
      <c r="BJ25228" s="201"/>
    </row>
    <row r="25229" spans="62:62" x14ac:dyDescent="0.2">
      <c r="BJ25229" s="201"/>
    </row>
    <row r="25230" spans="62:62" x14ac:dyDescent="0.2">
      <c r="BJ25230" s="201"/>
    </row>
    <row r="25231" spans="62:62" x14ac:dyDescent="0.2">
      <c r="BJ25231" s="201"/>
    </row>
    <row r="25232" spans="62:62" x14ac:dyDescent="0.2">
      <c r="BJ25232" s="201"/>
    </row>
    <row r="25233" spans="62:62" x14ac:dyDescent="0.2">
      <c r="BJ25233" s="201"/>
    </row>
    <row r="25234" spans="62:62" x14ac:dyDescent="0.2">
      <c r="BJ25234" s="201"/>
    </row>
    <row r="25235" spans="62:62" x14ac:dyDescent="0.2">
      <c r="BJ25235" s="201"/>
    </row>
    <row r="25236" spans="62:62" x14ac:dyDescent="0.2">
      <c r="BJ25236" s="201"/>
    </row>
    <row r="25237" spans="62:62" x14ac:dyDescent="0.2">
      <c r="BJ25237" s="201"/>
    </row>
    <row r="25238" spans="62:62" x14ac:dyDescent="0.2">
      <c r="BJ25238" s="201"/>
    </row>
    <row r="25239" spans="62:62" x14ac:dyDescent="0.2">
      <c r="BJ25239" s="201"/>
    </row>
    <row r="25240" spans="62:62" x14ac:dyDescent="0.2">
      <c r="BJ25240" s="201"/>
    </row>
    <row r="25241" spans="62:62" x14ac:dyDescent="0.2">
      <c r="BJ25241" s="201"/>
    </row>
    <row r="25242" spans="62:62" x14ac:dyDescent="0.2">
      <c r="BJ25242" s="201"/>
    </row>
    <row r="25243" spans="62:62" x14ac:dyDescent="0.2">
      <c r="BJ25243" s="201"/>
    </row>
    <row r="25244" spans="62:62" x14ac:dyDescent="0.2">
      <c r="BJ25244" s="201"/>
    </row>
    <row r="25245" spans="62:62" x14ac:dyDescent="0.2">
      <c r="BJ25245" s="201"/>
    </row>
    <row r="25246" spans="62:62" x14ac:dyDescent="0.2">
      <c r="BJ25246" s="201"/>
    </row>
    <row r="25247" spans="62:62" x14ac:dyDescent="0.2">
      <c r="BJ25247" s="201"/>
    </row>
    <row r="25248" spans="62:62" x14ac:dyDescent="0.2">
      <c r="BJ25248" s="201"/>
    </row>
    <row r="25249" spans="62:62" x14ac:dyDescent="0.2">
      <c r="BJ25249" s="201"/>
    </row>
    <row r="25250" spans="62:62" x14ac:dyDescent="0.2">
      <c r="BJ25250" s="201"/>
    </row>
    <row r="25251" spans="62:62" x14ac:dyDescent="0.2">
      <c r="BJ25251" s="201"/>
    </row>
    <row r="25252" spans="62:62" x14ac:dyDescent="0.2">
      <c r="BJ25252" s="201"/>
    </row>
    <row r="25253" spans="62:62" x14ac:dyDescent="0.2">
      <c r="BJ25253" s="201"/>
    </row>
    <row r="25254" spans="62:62" x14ac:dyDescent="0.2">
      <c r="BJ25254" s="201"/>
    </row>
    <row r="25255" spans="62:62" x14ac:dyDescent="0.2">
      <c r="BJ25255" s="201"/>
    </row>
    <row r="25256" spans="62:62" x14ac:dyDescent="0.2">
      <c r="BJ25256" s="201"/>
    </row>
    <row r="25257" spans="62:62" x14ac:dyDescent="0.2">
      <c r="BJ25257" s="201"/>
    </row>
    <row r="25258" spans="62:62" x14ac:dyDescent="0.2">
      <c r="BJ25258" s="201"/>
    </row>
    <row r="25259" spans="62:62" x14ac:dyDescent="0.2">
      <c r="BJ25259" s="201"/>
    </row>
    <row r="25260" spans="62:62" x14ac:dyDescent="0.2">
      <c r="BJ25260" s="201"/>
    </row>
    <row r="25261" spans="62:62" x14ac:dyDescent="0.2">
      <c r="BJ25261" s="201"/>
    </row>
    <row r="25262" spans="62:62" x14ac:dyDescent="0.2">
      <c r="BJ25262" s="201"/>
    </row>
    <row r="25263" spans="62:62" x14ac:dyDescent="0.2">
      <c r="BJ25263" s="201"/>
    </row>
    <row r="25264" spans="62:62" x14ac:dyDescent="0.2">
      <c r="BJ25264" s="201"/>
    </row>
    <row r="25265" spans="62:62" x14ac:dyDescent="0.2">
      <c r="BJ25265" s="201"/>
    </row>
    <row r="25266" spans="62:62" x14ac:dyDescent="0.2">
      <c r="BJ25266" s="201"/>
    </row>
    <row r="25267" spans="62:62" x14ac:dyDescent="0.2">
      <c r="BJ25267" s="201"/>
    </row>
    <row r="25268" spans="62:62" x14ac:dyDescent="0.2">
      <c r="BJ25268" s="201"/>
    </row>
    <row r="25269" spans="62:62" x14ac:dyDescent="0.2">
      <c r="BJ25269" s="201"/>
    </row>
    <row r="25270" spans="62:62" x14ac:dyDescent="0.2">
      <c r="BJ25270" s="201"/>
    </row>
    <row r="25271" spans="62:62" x14ac:dyDescent="0.2">
      <c r="BJ25271" s="201"/>
    </row>
    <row r="25272" spans="62:62" x14ac:dyDescent="0.2">
      <c r="BJ25272" s="201"/>
    </row>
    <row r="25273" spans="62:62" x14ac:dyDescent="0.2">
      <c r="BJ25273" s="201"/>
    </row>
    <row r="25274" spans="62:62" x14ac:dyDescent="0.2">
      <c r="BJ25274" s="201"/>
    </row>
    <row r="25275" spans="62:62" x14ac:dyDescent="0.2">
      <c r="BJ25275" s="201"/>
    </row>
    <row r="25276" spans="62:62" x14ac:dyDescent="0.2">
      <c r="BJ25276" s="201"/>
    </row>
    <row r="25277" spans="62:62" x14ac:dyDescent="0.2">
      <c r="BJ25277" s="201"/>
    </row>
    <row r="25278" spans="62:62" x14ac:dyDescent="0.2">
      <c r="BJ25278" s="201"/>
    </row>
    <row r="25279" spans="62:62" x14ac:dyDescent="0.2">
      <c r="BJ25279" s="201"/>
    </row>
    <row r="25280" spans="62:62" x14ac:dyDescent="0.2">
      <c r="BJ25280" s="201"/>
    </row>
    <row r="25281" spans="62:62" x14ac:dyDescent="0.2">
      <c r="BJ25281" s="201"/>
    </row>
    <row r="25282" spans="62:62" x14ac:dyDescent="0.2">
      <c r="BJ25282" s="201"/>
    </row>
    <row r="25283" spans="62:62" x14ac:dyDescent="0.2">
      <c r="BJ25283" s="201"/>
    </row>
    <row r="25284" spans="62:62" x14ac:dyDescent="0.2">
      <c r="BJ25284" s="201"/>
    </row>
    <row r="25285" spans="62:62" x14ac:dyDescent="0.2">
      <c r="BJ25285" s="201"/>
    </row>
    <row r="25286" spans="62:62" x14ac:dyDescent="0.2">
      <c r="BJ25286" s="201"/>
    </row>
    <row r="25287" spans="62:62" x14ac:dyDescent="0.2">
      <c r="BJ25287" s="201"/>
    </row>
    <row r="25288" spans="62:62" x14ac:dyDescent="0.2">
      <c r="BJ25288" s="201"/>
    </row>
    <row r="25289" spans="62:62" x14ac:dyDescent="0.2">
      <c r="BJ25289" s="201"/>
    </row>
    <row r="25290" spans="62:62" x14ac:dyDescent="0.2">
      <c r="BJ25290" s="201"/>
    </row>
    <row r="25291" spans="62:62" x14ac:dyDescent="0.2">
      <c r="BJ25291" s="201"/>
    </row>
    <row r="25292" spans="62:62" x14ac:dyDescent="0.2">
      <c r="BJ25292" s="201"/>
    </row>
    <row r="25293" spans="62:62" x14ac:dyDescent="0.2">
      <c r="BJ25293" s="201"/>
    </row>
    <row r="25294" spans="62:62" x14ac:dyDescent="0.2">
      <c r="BJ25294" s="201"/>
    </row>
    <row r="25295" spans="62:62" x14ac:dyDescent="0.2">
      <c r="BJ25295" s="201"/>
    </row>
    <row r="25296" spans="62:62" x14ac:dyDescent="0.2">
      <c r="BJ25296" s="201"/>
    </row>
    <row r="25297" spans="62:62" x14ac:dyDescent="0.2">
      <c r="BJ25297" s="201"/>
    </row>
    <row r="25298" spans="62:62" x14ac:dyDescent="0.2">
      <c r="BJ25298" s="201"/>
    </row>
    <row r="25299" spans="62:62" x14ac:dyDescent="0.2">
      <c r="BJ25299" s="201"/>
    </row>
    <row r="25300" spans="62:62" x14ac:dyDescent="0.2">
      <c r="BJ25300" s="201"/>
    </row>
    <row r="25301" spans="62:62" x14ac:dyDescent="0.2">
      <c r="BJ25301" s="201"/>
    </row>
    <row r="25302" spans="62:62" x14ac:dyDescent="0.2">
      <c r="BJ25302" s="201"/>
    </row>
    <row r="25303" spans="62:62" x14ac:dyDescent="0.2">
      <c r="BJ25303" s="201"/>
    </row>
    <row r="25304" spans="62:62" x14ac:dyDescent="0.2">
      <c r="BJ25304" s="201"/>
    </row>
    <row r="25305" spans="62:62" x14ac:dyDescent="0.2">
      <c r="BJ25305" s="201"/>
    </row>
    <row r="25306" spans="62:62" x14ac:dyDescent="0.2">
      <c r="BJ25306" s="201"/>
    </row>
    <row r="25307" spans="62:62" x14ac:dyDescent="0.2">
      <c r="BJ25307" s="201"/>
    </row>
    <row r="25308" spans="62:62" x14ac:dyDescent="0.2">
      <c r="BJ25308" s="201"/>
    </row>
    <row r="25309" spans="62:62" x14ac:dyDescent="0.2">
      <c r="BJ25309" s="201"/>
    </row>
    <row r="25310" spans="62:62" x14ac:dyDescent="0.2">
      <c r="BJ25310" s="201"/>
    </row>
    <row r="25311" spans="62:62" x14ac:dyDescent="0.2">
      <c r="BJ25311" s="201"/>
    </row>
    <row r="25312" spans="62:62" x14ac:dyDescent="0.2">
      <c r="BJ25312" s="201"/>
    </row>
    <row r="25313" spans="62:62" x14ac:dyDescent="0.2">
      <c r="BJ25313" s="201"/>
    </row>
    <row r="25314" spans="62:62" x14ac:dyDescent="0.2">
      <c r="BJ25314" s="201"/>
    </row>
    <row r="25315" spans="62:62" x14ac:dyDescent="0.2">
      <c r="BJ25315" s="201"/>
    </row>
    <row r="25316" spans="62:62" x14ac:dyDescent="0.2">
      <c r="BJ25316" s="201"/>
    </row>
    <row r="25317" spans="62:62" x14ac:dyDescent="0.2">
      <c r="BJ25317" s="201"/>
    </row>
    <row r="25318" spans="62:62" x14ac:dyDescent="0.2">
      <c r="BJ25318" s="201"/>
    </row>
    <row r="25319" spans="62:62" x14ac:dyDescent="0.2">
      <c r="BJ25319" s="201"/>
    </row>
    <row r="25320" spans="62:62" x14ac:dyDescent="0.2">
      <c r="BJ25320" s="201"/>
    </row>
    <row r="25321" spans="62:62" x14ac:dyDescent="0.2">
      <c r="BJ25321" s="201"/>
    </row>
    <row r="25322" spans="62:62" x14ac:dyDescent="0.2">
      <c r="BJ25322" s="201"/>
    </row>
    <row r="25323" spans="62:62" x14ac:dyDescent="0.2">
      <c r="BJ25323" s="201"/>
    </row>
    <row r="25324" spans="62:62" x14ac:dyDescent="0.2">
      <c r="BJ25324" s="201"/>
    </row>
    <row r="25325" spans="62:62" x14ac:dyDescent="0.2">
      <c r="BJ25325" s="201"/>
    </row>
    <row r="25326" spans="62:62" x14ac:dyDescent="0.2">
      <c r="BJ25326" s="201"/>
    </row>
    <row r="25327" spans="62:62" x14ac:dyDescent="0.2">
      <c r="BJ25327" s="201"/>
    </row>
    <row r="25328" spans="62:62" x14ac:dyDescent="0.2">
      <c r="BJ25328" s="201"/>
    </row>
    <row r="25329" spans="62:62" x14ac:dyDescent="0.2">
      <c r="BJ25329" s="201"/>
    </row>
    <row r="25330" spans="62:62" x14ac:dyDescent="0.2">
      <c r="BJ25330" s="201"/>
    </row>
    <row r="25331" spans="62:62" x14ac:dyDescent="0.2">
      <c r="BJ25331" s="201"/>
    </row>
    <row r="25332" spans="62:62" x14ac:dyDescent="0.2">
      <c r="BJ25332" s="201"/>
    </row>
    <row r="25333" spans="62:62" x14ac:dyDescent="0.2">
      <c r="BJ25333" s="201"/>
    </row>
    <row r="25334" spans="62:62" x14ac:dyDescent="0.2">
      <c r="BJ25334" s="201"/>
    </row>
    <row r="25335" spans="62:62" x14ac:dyDescent="0.2">
      <c r="BJ25335" s="201"/>
    </row>
    <row r="25336" spans="62:62" x14ac:dyDescent="0.2">
      <c r="BJ25336" s="201"/>
    </row>
    <row r="25337" spans="62:62" x14ac:dyDescent="0.2">
      <c r="BJ25337" s="201"/>
    </row>
    <row r="25338" spans="62:62" x14ac:dyDescent="0.2">
      <c r="BJ25338" s="201"/>
    </row>
    <row r="25339" spans="62:62" x14ac:dyDescent="0.2">
      <c r="BJ25339" s="201"/>
    </row>
    <row r="25340" spans="62:62" x14ac:dyDescent="0.2">
      <c r="BJ25340" s="201"/>
    </row>
    <row r="25341" spans="62:62" x14ac:dyDescent="0.2">
      <c r="BJ25341" s="201"/>
    </row>
    <row r="25342" spans="62:62" x14ac:dyDescent="0.2">
      <c r="BJ25342" s="201"/>
    </row>
    <row r="25343" spans="62:62" x14ac:dyDescent="0.2">
      <c r="BJ25343" s="201"/>
    </row>
    <row r="25344" spans="62:62" x14ac:dyDescent="0.2">
      <c r="BJ25344" s="201"/>
    </row>
    <row r="25345" spans="62:62" x14ac:dyDescent="0.2">
      <c r="BJ25345" s="201"/>
    </row>
    <row r="25346" spans="62:62" x14ac:dyDescent="0.2">
      <c r="BJ25346" s="201"/>
    </row>
    <row r="25347" spans="62:62" x14ac:dyDescent="0.2">
      <c r="BJ25347" s="201"/>
    </row>
    <row r="25348" spans="62:62" x14ac:dyDescent="0.2">
      <c r="BJ25348" s="201"/>
    </row>
    <row r="25349" spans="62:62" x14ac:dyDescent="0.2">
      <c r="BJ25349" s="201"/>
    </row>
    <row r="25350" spans="62:62" x14ac:dyDescent="0.2">
      <c r="BJ25350" s="201"/>
    </row>
    <row r="25351" spans="62:62" x14ac:dyDescent="0.2">
      <c r="BJ25351" s="201"/>
    </row>
    <row r="25352" spans="62:62" x14ac:dyDescent="0.2">
      <c r="BJ25352" s="201"/>
    </row>
    <row r="25353" spans="62:62" x14ac:dyDescent="0.2">
      <c r="BJ25353" s="201"/>
    </row>
    <row r="25354" spans="62:62" x14ac:dyDescent="0.2">
      <c r="BJ25354" s="201"/>
    </row>
    <row r="25355" spans="62:62" x14ac:dyDescent="0.2">
      <c r="BJ25355" s="201"/>
    </row>
    <row r="25356" spans="62:62" x14ac:dyDescent="0.2">
      <c r="BJ25356" s="201"/>
    </row>
    <row r="25357" spans="62:62" x14ac:dyDescent="0.2">
      <c r="BJ25357" s="201"/>
    </row>
    <row r="25358" spans="62:62" x14ac:dyDescent="0.2">
      <c r="BJ25358" s="201"/>
    </row>
    <row r="25359" spans="62:62" x14ac:dyDescent="0.2">
      <c r="BJ25359" s="201"/>
    </row>
    <row r="25360" spans="62:62" x14ac:dyDescent="0.2">
      <c r="BJ25360" s="201"/>
    </row>
    <row r="25361" spans="62:62" x14ac:dyDescent="0.2">
      <c r="BJ25361" s="201"/>
    </row>
    <row r="25362" spans="62:62" x14ac:dyDescent="0.2">
      <c r="BJ25362" s="201"/>
    </row>
    <row r="25363" spans="62:62" x14ac:dyDescent="0.2">
      <c r="BJ25363" s="201"/>
    </row>
    <row r="25364" spans="62:62" x14ac:dyDescent="0.2">
      <c r="BJ25364" s="201"/>
    </row>
    <row r="25365" spans="62:62" x14ac:dyDescent="0.2">
      <c r="BJ25365" s="201"/>
    </row>
    <row r="25366" spans="62:62" x14ac:dyDescent="0.2">
      <c r="BJ25366" s="201"/>
    </row>
    <row r="25367" spans="62:62" x14ac:dyDescent="0.2">
      <c r="BJ25367" s="201"/>
    </row>
    <row r="25368" spans="62:62" x14ac:dyDescent="0.2">
      <c r="BJ25368" s="201"/>
    </row>
    <row r="25369" spans="62:62" x14ac:dyDescent="0.2">
      <c r="BJ25369" s="201"/>
    </row>
    <row r="25370" spans="62:62" x14ac:dyDescent="0.2">
      <c r="BJ25370" s="201"/>
    </row>
    <row r="25371" spans="62:62" x14ac:dyDescent="0.2">
      <c r="BJ25371" s="201"/>
    </row>
    <row r="25372" spans="62:62" x14ac:dyDescent="0.2">
      <c r="BJ25372" s="201"/>
    </row>
    <row r="25373" spans="62:62" x14ac:dyDescent="0.2">
      <c r="BJ25373" s="201"/>
    </row>
    <row r="25374" spans="62:62" x14ac:dyDescent="0.2">
      <c r="BJ25374" s="201"/>
    </row>
    <row r="25375" spans="62:62" x14ac:dyDescent="0.2">
      <c r="BJ25375" s="201"/>
    </row>
    <row r="25376" spans="62:62" x14ac:dyDescent="0.2">
      <c r="BJ25376" s="201"/>
    </row>
    <row r="25377" spans="62:62" x14ac:dyDescent="0.2">
      <c r="BJ25377" s="201"/>
    </row>
    <row r="25378" spans="62:62" x14ac:dyDescent="0.2">
      <c r="BJ25378" s="201"/>
    </row>
    <row r="25379" spans="62:62" x14ac:dyDescent="0.2">
      <c r="BJ25379" s="201"/>
    </row>
    <row r="25380" spans="62:62" x14ac:dyDescent="0.2">
      <c r="BJ25380" s="201"/>
    </row>
    <row r="25381" spans="62:62" x14ac:dyDescent="0.2">
      <c r="BJ25381" s="201"/>
    </row>
    <row r="25382" spans="62:62" x14ac:dyDescent="0.2">
      <c r="BJ25382" s="201"/>
    </row>
    <row r="25383" spans="62:62" x14ac:dyDescent="0.2">
      <c r="BJ25383" s="201"/>
    </row>
    <row r="25384" spans="62:62" x14ac:dyDescent="0.2">
      <c r="BJ25384" s="201"/>
    </row>
    <row r="25385" spans="62:62" x14ac:dyDescent="0.2">
      <c r="BJ25385" s="201"/>
    </row>
    <row r="25386" spans="62:62" x14ac:dyDescent="0.2">
      <c r="BJ25386" s="201"/>
    </row>
    <row r="25387" spans="62:62" x14ac:dyDescent="0.2">
      <c r="BJ25387" s="201"/>
    </row>
    <row r="25388" spans="62:62" x14ac:dyDescent="0.2">
      <c r="BJ25388" s="201"/>
    </row>
    <row r="25389" spans="62:62" x14ac:dyDescent="0.2">
      <c r="BJ25389" s="201"/>
    </row>
    <row r="25390" spans="62:62" x14ac:dyDescent="0.2">
      <c r="BJ25390" s="201"/>
    </row>
    <row r="25391" spans="62:62" x14ac:dyDescent="0.2">
      <c r="BJ25391" s="201"/>
    </row>
    <row r="25392" spans="62:62" x14ac:dyDescent="0.2">
      <c r="BJ25392" s="201"/>
    </row>
    <row r="25393" spans="62:62" x14ac:dyDescent="0.2">
      <c r="BJ25393" s="201"/>
    </row>
    <row r="25394" spans="62:62" x14ac:dyDescent="0.2">
      <c r="BJ25394" s="201"/>
    </row>
    <row r="25395" spans="62:62" x14ac:dyDescent="0.2">
      <c r="BJ25395" s="201"/>
    </row>
    <row r="25396" spans="62:62" x14ac:dyDescent="0.2">
      <c r="BJ25396" s="201"/>
    </row>
    <row r="25397" spans="62:62" x14ac:dyDescent="0.2">
      <c r="BJ25397" s="201"/>
    </row>
    <row r="25398" spans="62:62" x14ac:dyDescent="0.2">
      <c r="BJ25398" s="201"/>
    </row>
    <row r="25399" spans="62:62" x14ac:dyDescent="0.2">
      <c r="BJ25399" s="201"/>
    </row>
    <row r="25400" spans="62:62" x14ac:dyDescent="0.2">
      <c r="BJ25400" s="201"/>
    </row>
    <row r="25401" spans="62:62" x14ac:dyDescent="0.2">
      <c r="BJ25401" s="201"/>
    </row>
    <row r="25402" spans="62:62" x14ac:dyDescent="0.2">
      <c r="BJ25402" s="201"/>
    </row>
    <row r="25403" spans="62:62" x14ac:dyDescent="0.2">
      <c r="BJ25403" s="201"/>
    </row>
    <row r="25404" spans="62:62" x14ac:dyDescent="0.2">
      <c r="BJ25404" s="201"/>
    </row>
    <row r="25405" spans="62:62" x14ac:dyDescent="0.2">
      <c r="BJ25405" s="201"/>
    </row>
    <row r="25406" spans="62:62" x14ac:dyDescent="0.2">
      <c r="BJ25406" s="201"/>
    </row>
    <row r="25407" spans="62:62" x14ac:dyDescent="0.2">
      <c r="BJ25407" s="201"/>
    </row>
    <row r="25408" spans="62:62" x14ac:dyDescent="0.2">
      <c r="BJ25408" s="201"/>
    </row>
    <row r="25409" spans="62:62" x14ac:dyDescent="0.2">
      <c r="BJ25409" s="201"/>
    </row>
    <row r="25410" spans="62:62" x14ac:dyDescent="0.2">
      <c r="BJ25410" s="201"/>
    </row>
    <row r="25411" spans="62:62" x14ac:dyDescent="0.2">
      <c r="BJ25411" s="201"/>
    </row>
    <row r="25412" spans="62:62" x14ac:dyDescent="0.2">
      <c r="BJ25412" s="201"/>
    </row>
    <row r="25413" spans="62:62" x14ac:dyDescent="0.2">
      <c r="BJ25413" s="201"/>
    </row>
    <row r="25414" spans="62:62" x14ac:dyDescent="0.2">
      <c r="BJ25414" s="201"/>
    </row>
    <row r="25415" spans="62:62" x14ac:dyDescent="0.2">
      <c r="BJ25415" s="201"/>
    </row>
    <row r="25416" spans="62:62" x14ac:dyDescent="0.2">
      <c r="BJ25416" s="201"/>
    </row>
    <row r="25417" spans="62:62" x14ac:dyDescent="0.2">
      <c r="BJ25417" s="201"/>
    </row>
    <row r="25418" spans="62:62" x14ac:dyDescent="0.2">
      <c r="BJ25418" s="201"/>
    </row>
    <row r="25419" spans="62:62" x14ac:dyDescent="0.2">
      <c r="BJ25419" s="201"/>
    </row>
    <row r="25420" spans="62:62" x14ac:dyDescent="0.2">
      <c r="BJ25420" s="201"/>
    </row>
    <row r="25421" spans="62:62" x14ac:dyDescent="0.2">
      <c r="BJ25421" s="201"/>
    </row>
    <row r="25422" spans="62:62" x14ac:dyDescent="0.2">
      <c r="BJ25422" s="201"/>
    </row>
    <row r="25423" spans="62:62" x14ac:dyDescent="0.2">
      <c r="BJ25423" s="201"/>
    </row>
    <row r="25424" spans="62:62" x14ac:dyDescent="0.2">
      <c r="BJ25424" s="201"/>
    </row>
    <row r="25425" spans="62:62" x14ac:dyDescent="0.2">
      <c r="BJ25425" s="201"/>
    </row>
    <row r="25426" spans="62:62" x14ac:dyDescent="0.2">
      <c r="BJ25426" s="201"/>
    </row>
    <row r="25427" spans="62:62" x14ac:dyDescent="0.2">
      <c r="BJ25427" s="201"/>
    </row>
    <row r="25428" spans="62:62" x14ac:dyDescent="0.2">
      <c r="BJ25428" s="201"/>
    </row>
    <row r="25429" spans="62:62" x14ac:dyDescent="0.2">
      <c r="BJ25429" s="201"/>
    </row>
    <row r="25430" spans="62:62" x14ac:dyDescent="0.2">
      <c r="BJ25430" s="201"/>
    </row>
    <row r="25431" spans="62:62" x14ac:dyDescent="0.2">
      <c r="BJ25431" s="201"/>
    </row>
    <row r="25432" spans="62:62" x14ac:dyDescent="0.2">
      <c r="BJ25432" s="201"/>
    </row>
    <row r="25433" spans="62:62" x14ac:dyDescent="0.2">
      <c r="BJ25433" s="201"/>
    </row>
    <row r="25434" spans="62:62" x14ac:dyDescent="0.2">
      <c r="BJ25434" s="201"/>
    </row>
    <row r="25435" spans="62:62" x14ac:dyDescent="0.2">
      <c r="BJ25435" s="201"/>
    </row>
    <row r="25436" spans="62:62" x14ac:dyDescent="0.2">
      <c r="BJ25436" s="201"/>
    </row>
    <row r="25437" spans="62:62" x14ac:dyDescent="0.2">
      <c r="BJ25437" s="201"/>
    </row>
    <row r="25438" spans="62:62" x14ac:dyDescent="0.2">
      <c r="BJ25438" s="201"/>
    </row>
    <row r="25439" spans="62:62" x14ac:dyDescent="0.2">
      <c r="BJ25439" s="201"/>
    </row>
    <row r="25440" spans="62:62" x14ac:dyDescent="0.2">
      <c r="BJ25440" s="201"/>
    </row>
    <row r="25441" spans="62:62" x14ac:dyDescent="0.2">
      <c r="BJ25441" s="201"/>
    </row>
    <row r="25442" spans="62:62" x14ac:dyDescent="0.2">
      <c r="BJ25442" s="201"/>
    </row>
    <row r="25443" spans="62:62" x14ac:dyDescent="0.2">
      <c r="BJ25443" s="201"/>
    </row>
    <row r="25444" spans="62:62" x14ac:dyDescent="0.2">
      <c r="BJ25444" s="201"/>
    </row>
    <row r="25445" spans="62:62" x14ac:dyDescent="0.2">
      <c r="BJ25445" s="201"/>
    </row>
    <row r="25446" spans="62:62" x14ac:dyDescent="0.2">
      <c r="BJ25446" s="201"/>
    </row>
    <row r="25447" spans="62:62" x14ac:dyDescent="0.2">
      <c r="BJ25447" s="201"/>
    </row>
    <row r="25448" spans="62:62" x14ac:dyDescent="0.2">
      <c r="BJ25448" s="201"/>
    </row>
    <row r="25449" spans="62:62" x14ac:dyDescent="0.2">
      <c r="BJ25449" s="201"/>
    </row>
    <row r="25450" spans="62:62" x14ac:dyDescent="0.2">
      <c r="BJ25450" s="201"/>
    </row>
    <row r="25451" spans="62:62" x14ac:dyDescent="0.2">
      <c r="BJ25451" s="201"/>
    </row>
    <row r="25452" spans="62:62" x14ac:dyDescent="0.2">
      <c r="BJ25452" s="201"/>
    </row>
    <row r="25453" spans="62:62" x14ac:dyDescent="0.2">
      <c r="BJ25453" s="201"/>
    </row>
    <row r="25454" spans="62:62" x14ac:dyDescent="0.2">
      <c r="BJ25454" s="201"/>
    </row>
    <row r="25455" spans="62:62" x14ac:dyDescent="0.2">
      <c r="BJ25455" s="201"/>
    </row>
    <row r="25456" spans="62:62" x14ac:dyDescent="0.2">
      <c r="BJ25456" s="201"/>
    </row>
    <row r="25457" spans="62:62" x14ac:dyDescent="0.2">
      <c r="BJ25457" s="201"/>
    </row>
    <row r="25458" spans="62:62" x14ac:dyDescent="0.2">
      <c r="BJ25458" s="201"/>
    </row>
    <row r="25459" spans="62:62" x14ac:dyDescent="0.2">
      <c r="BJ25459" s="201"/>
    </row>
    <row r="25460" spans="62:62" x14ac:dyDescent="0.2">
      <c r="BJ25460" s="201"/>
    </row>
    <row r="25461" spans="62:62" x14ac:dyDescent="0.2">
      <c r="BJ25461" s="201"/>
    </row>
    <row r="25462" spans="62:62" x14ac:dyDescent="0.2">
      <c r="BJ25462" s="201"/>
    </row>
    <row r="25463" spans="62:62" x14ac:dyDescent="0.2">
      <c r="BJ25463" s="201"/>
    </row>
    <row r="25464" spans="62:62" x14ac:dyDescent="0.2">
      <c r="BJ25464" s="201"/>
    </row>
    <row r="25465" spans="62:62" x14ac:dyDescent="0.2">
      <c r="BJ25465" s="201"/>
    </row>
    <row r="25466" spans="62:62" x14ac:dyDescent="0.2">
      <c r="BJ25466" s="201"/>
    </row>
    <row r="25467" spans="62:62" x14ac:dyDescent="0.2">
      <c r="BJ25467" s="201"/>
    </row>
    <row r="25468" spans="62:62" x14ac:dyDescent="0.2">
      <c r="BJ25468" s="201"/>
    </row>
    <row r="25469" spans="62:62" x14ac:dyDescent="0.2">
      <c r="BJ25469" s="201"/>
    </row>
    <row r="25470" spans="62:62" x14ac:dyDescent="0.2">
      <c r="BJ25470" s="201"/>
    </row>
    <row r="25471" spans="62:62" x14ac:dyDescent="0.2">
      <c r="BJ25471" s="201"/>
    </row>
    <row r="25472" spans="62:62" x14ac:dyDescent="0.2">
      <c r="BJ25472" s="201"/>
    </row>
    <row r="25473" spans="62:62" x14ac:dyDescent="0.2">
      <c r="BJ25473" s="201"/>
    </row>
    <row r="25474" spans="62:62" x14ac:dyDescent="0.2">
      <c r="BJ25474" s="201"/>
    </row>
    <row r="25475" spans="62:62" x14ac:dyDescent="0.2">
      <c r="BJ25475" s="201"/>
    </row>
    <row r="25476" spans="62:62" x14ac:dyDescent="0.2">
      <c r="BJ25476" s="201"/>
    </row>
    <row r="25477" spans="62:62" x14ac:dyDescent="0.2">
      <c r="BJ25477" s="201"/>
    </row>
    <row r="25478" spans="62:62" x14ac:dyDescent="0.2">
      <c r="BJ25478" s="201"/>
    </row>
    <row r="25479" spans="62:62" x14ac:dyDescent="0.2">
      <c r="BJ25479" s="201"/>
    </row>
    <row r="25480" spans="62:62" x14ac:dyDescent="0.2">
      <c r="BJ25480" s="201"/>
    </row>
    <row r="25481" spans="62:62" x14ac:dyDescent="0.2">
      <c r="BJ25481" s="201"/>
    </row>
    <row r="25482" spans="62:62" x14ac:dyDescent="0.2">
      <c r="BJ25482" s="201"/>
    </row>
    <row r="25483" spans="62:62" x14ac:dyDescent="0.2">
      <c r="BJ25483" s="201"/>
    </row>
    <row r="25484" spans="62:62" x14ac:dyDescent="0.2">
      <c r="BJ25484" s="201"/>
    </row>
    <row r="25485" spans="62:62" x14ac:dyDescent="0.2">
      <c r="BJ25485" s="201"/>
    </row>
    <row r="25486" spans="62:62" x14ac:dyDescent="0.2">
      <c r="BJ25486" s="201"/>
    </row>
    <row r="25487" spans="62:62" x14ac:dyDescent="0.2">
      <c r="BJ25487" s="201"/>
    </row>
    <row r="25488" spans="62:62" x14ac:dyDescent="0.2">
      <c r="BJ25488" s="201"/>
    </row>
    <row r="25489" spans="62:62" x14ac:dyDescent="0.2">
      <c r="BJ25489" s="201"/>
    </row>
    <row r="25490" spans="62:62" x14ac:dyDescent="0.2">
      <c r="BJ25490" s="201"/>
    </row>
    <row r="25491" spans="62:62" x14ac:dyDescent="0.2">
      <c r="BJ25491" s="201"/>
    </row>
    <row r="25492" spans="62:62" x14ac:dyDescent="0.2">
      <c r="BJ25492" s="201"/>
    </row>
    <row r="25493" spans="62:62" x14ac:dyDescent="0.2">
      <c r="BJ25493" s="201"/>
    </row>
    <row r="25494" spans="62:62" x14ac:dyDescent="0.2">
      <c r="BJ25494" s="201"/>
    </row>
    <row r="25495" spans="62:62" x14ac:dyDescent="0.2">
      <c r="BJ25495" s="201"/>
    </row>
    <row r="25496" spans="62:62" x14ac:dyDescent="0.2">
      <c r="BJ25496" s="201"/>
    </row>
    <row r="25497" spans="62:62" x14ac:dyDescent="0.2">
      <c r="BJ25497" s="201"/>
    </row>
    <row r="25498" spans="62:62" x14ac:dyDescent="0.2">
      <c r="BJ25498" s="201"/>
    </row>
    <row r="25499" spans="62:62" x14ac:dyDescent="0.2">
      <c r="BJ25499" s="201"/>
    </row>
    <row r="25500" spans="62:62" x14ac:dyDescent="0.2">
      <c r="BJ25500" s="201"/>
    </row>
    <row r="25501" spans="62:62" x14ac:dyDescent="0.2">
      <c r="BJ25501" s="201"/>
    </row>
    <row r="25502" spans="62:62" x14ac:dyDescent="0.2">
      <c r="BJ25502" s="201"/>
    </row>
    <row r="25503" spans="62:62" x14ac:dyDescent="0.2">
      <c r="BJ25503" s="201"/>
    </row>
    <row r="25504" spans="62:62" x14ac:dyDescent="0.2">
      <c r="BJ25504" s="201"/>
    </row>
    <row r="25505" spans="62:62" x14ac:dyDescent="0.2">
      <c r="BJ25505" s="201"/>
    </row>
    <row r="25506" spans="62:62" x14ac:dyDescent="0.2">
      <c r="BJ25506" s="201"/>
    </row>
    <row r="25507" spans="62:62" x14ac:dyDescent="0.2">
      <c r="BJ25507" s="201"/>
    </row>
    <row r="25508" spans="62:62" x14ac:dyDescent="0.2">
      <c r="BJ25508" s="201"/>
    </row>
    <row r="25509" spans="62:62" x14ac:dyDescent="0.2">
      <c r="BJ25509" s="201"/>
    </row>
    <row r="25510" spans="62:62" x14ac:dyDescent="0.2">
      <c r="BJ25510" s="201"/>
    </row>
    <row r="25511" spans="62:62" x14ac:dyDescent="0.2">
      <c r="BJ25511" s="201"/>
    </row>
    <row r="25512" spans="62:62" x14ac:dyDescent="0.2">
      <c r="BJ25512" s="201"/>
    </row>
    <row r="25513" spans="62:62" x14ac:dyDescent="0.2">
      <c r="BJ25513" s="201"/>
    </row>
    <row r="25514" spans="62:62" x14ac:dyDescent="0.2">
      <c r="BJ25514" s="201"/>
    </row>
    <row r="25515" spans="62:62" x14ac:dyDescent="0.2">
      <c r="BJ25515" s="201"/>
    </row>
    <row r="25516" spans="62:62" x14ac:dyDescent="0.2">
      <c r="BJ25516" s="201"/>
    </row>
    <row r="25517" spans="62:62" x14ac:dyDescent="0.2">
      <c r="BJ25517" s="201"/>
    </row>
    <row r="25518" spans="62:62" x14ac:dyDescent="0.2">
      <c r="BJ25518" s="201"/>
    </row>
    <row r="25519" spans="62:62" x14ac:dyDescent="0.2">
      <c r="BJ25519" s="201"/>
    </row>
    <row r="25520" spans="62:62" x14ac:dyDescent="0.2">
      <c r="BJ25520" s="201"/>
    </row>
    <row r="25521" spans="62:62" x14ac:dyDescent="0.2">
      <c r="BJ25521" s="201"/>
    </row>
    <row r="25522" spans="62:62" x14ac:dyDescent="0.2">
      <c r="BJ25522" s="201"/>
    </row>
    <row r="25523" spans="62:62" x14ac:dyDescent="0.2">
      <c r="BJ25523" s="201"/>
    </row>
    <row r="25524" spans="62:62" x14ac:dyDescent="0.2">
      <c r="BJ25524" s="201"/>
    </row>
    <row r="25525" spans="62:62" x14ac:dyDescent="0.2">
      <c r="BJ25525" s="201"/>
    </row>
    <row r="25526" spans="62:62" x14ac:dyDescent="0.2">
      <c r="BJ25526" s="201"/>
    </row>
    <row r="25527" spans="62:62" x14ac:dyDescent="0.2">
      <c r="BJ25527" s="201"/>
    </row>
    <row r="25528" spans="62:62" x14ac:dyDescent="0.2">
      <c r="BJ25528" s="201"/>
    </row>
    <row r="25529" spans="62:62" x14ac:dyDescent="0.2">
      <c r="BJ25529" s="201"/>
    </row>
    <row r="25530" spans="62:62" x14ac:dyDescent="0.2">
      <c r="BJ25530" s="201"/>
    </row>
    <row r="25531" spans="62:62" x14ac:dyDescent="0.2">
      <c r="BJ25531" s="201"/>
    </row>
    <row r="25532" spans="62:62" x14ac:dyDescent="0.2">
      <c r="BJ25532" s="201"/>
    </row>
    <row r="25533" spans="62:62" x14ac:dyDescent="0.2">
      <c r="BJ25533" s="201"/>
    </row>
    <row r="25534" spans="62:62" x14ac:dyDescent="0.2">
      <c r="BJ25534" s="201"/>
    </row>
    <row r="25535" spans="62:62" x14ac:dyDescent="0.2">
      <c r="BJ25535" s="201"/>
    </row>
    <row r="25536" spans="62:62" x14ac:dyDescent="0.2">
      <c r="BJ25536" s="201"/>
    </row>
    <row r="25537" spans="62:62" x14ac:dyDescent="0.2">
      <c r="BJ25537" s="201"/>
    </row>
    <row r="25538" spans="62:62" x14ac:dyDescent="0.2">
      <c r="BJ25538" s="201"/>
    </row>
    <row r="25539" spans="62:62" x14ac:dyDescent="0.2">
      <c r="BJ25539" s="201"/>
    </row>
    <row r="25540" spans="62:62" x14ac:dyDescent="0.2">
      <c r="BJ25540" s="201"/>
    </row>
    <row r="25541" spans="62:62" x14ac:dyDescent="0.2">
      <c r="BJ25541" s="201"/>
    </row>
    <row r="25542" spans="62:62" x14ac:dyDescent="0.2">
      <c r="BJ25542" s="201"/>
    </row>
    <row r="25543" spans="62:62" x14ac:dyDescent="0.2">
      <c r="BJ25543" s="201"/>
    </row>
    <row r="25544" spans="62:62" x14ac:dyDescent="0.2">
      <c r="BJ25544" s="201"/>
    </row>
    <row r="25545" spans="62:62" x14ac:dyDescent="0.2">
      <c r="BJ25545" s="201"/>
    </row>
    <row r="25546" spans="62:62" x14ac:dyDescent="0.2">
      <c r="BJ25546" s="201"/>
    </row>
    <row r="25547" spans="62:62" x14ac:dyDescent="0.2">
      <c r="BJ25547" s="201"/>
    </row>
    <row r="25548" spans="62:62" x14ac:dyDescent="0.2">
      <c r="BJ25548" s="201"/>
    </row>
    <row r="25549" spans="62:62" x14ac:dyDescent="0.2">
      <c r="BJ25549" s="201"/>
    </row>
    <row r="25550" spans="62:62" x14ac:dyDescent="0.2">
      <c r="BJ25550" s="201"/>
    </row>
    <row r="25551" spans="62:62" x14ac:dyDescent="0.2">
      <c r="BJ25551" s="201"/>
    </row>
    <row r="25552" spans="62:62" x14ac:dyDescent="0.2">
      <c r="BJ25552" s="201"/>
    </row>
    <row r="25553" spans="62:62" x14ac:dyDescent="0.2">
      <c r="BJ25553" s="201"/>
    </row>
    <row r="25554" spans="62:62" x14ac:dyDescent="0.2">
      <c r="BJ25554" s="201"/>
    </row>
    <row r="25555" spans="62:62" x14ac:dyDescent="0.2">
      <c r="BJ25555" s="201"/>
    </row>
    <row r="25556" spans="62:62" x14ac:dyDescent="0.2">
      <c r="BJ25556" s="201"/>
    </row>
    <row r="25557" spans="62:62" x14ac:dyDescent="0.2">
      <c r="BJ25557" s="201"/>
    </row>
    <row r="25558" spans="62:62" x14ac:dyDescent="0.2">
      <c r="BJ25558" s="201"/>
    </row>
    <row r="25559" spans="62:62" x14ac:dyDescent="0.2">
      <c r="BJ25559" s="201"/>
    </row>
    <row r="25560" spans="62:62" x14ac:dyDescent="0.2">
      <c r="BJ25560" s="201"/>
    </row>
    <row r="25561" spans="62:62" x14ac:dyDescent="0.2">
      <c r="BJ25561" s="201"/>
    </row>
    <row r="25562" spans="62:62" x14ac:dyDescent="0.2">
      <c r="BJ25562" s="201"/>
    </row>
    <row r="25563" spans="62:62" x14ac:dyDescent="0.2">
      <c r="BJ25563" s="201"/>
    </row>
    <row r="25564" spans="62:62" x14ac:dyDescent="0.2">
      <c r="BJ25564" s="201"/>
    </row>
    <row r="25565" spans="62:62" x14ac:dyDescent="0.2">
      <c r="BJ25565" s="201"/>
    </row>
    <row r="25566" spans="62:62" x14ac:dyDescent="0.2">
      <c r="BJ25566" s="201"/>
    </row>
    <row r="25567" spans="62:62" x14ac:dyDescent="0.2">
      <c r="BJ25567" s="201"/>
    </row>
    <row r="25568" spans="62:62" x14ac:dyDescent="0.2">
      <c r="BJ25568" s="201"/>
    </row>
    <row r="25569" spans="62:62" x14ac:dyDescent="0.2">
      <c r="BJ25569" s="201"/>
    </row>
    <row r="25570" spans="62:62" x14ac:dyDescent="0.2">
      <c r="BJ25570" s="201"/>
    </row>
    <row r="25571" spans="62:62" x14ac:dyDescent="0.2">
      <c r="BJ25571" s="201"/>
    </row>
    <row r="25572" spans="62:62" x14ac:dyDescent="0.2">
      <c r="BJ25572" s="201"/>
    </row>
    <row r="25573" spans="62:62" x14ac:dyDescent="0.2">
      <c r="BJ25573" s="201"/>
    </row>
    <row r="25574" spans="62:62" x14ac:dyDescent="0.2">
      <c r="BJ25574" s="201"/>
    </row>
    <row r="25575" spans="62:62" x14ac:dyDescent="0.2">
      <c r="BJ25575" s="201"/>
    </row>
    <row r="25576" spans="62:62" x14ac:dyDescent="0.2">
      <c r="BJ25576" s="201"/>
    </row>
    <row r="25577" spans="62:62" x14ac:dyDescent="0.2">
      <c r="BJ25577" s="201"/>
    </row>
    <row r="25578" spans="62:62" x14ac:dyDescent="0.2">
      <c r="BJ25578" s="201"/>
    </row>
    <row r="25579" spans="62:62" x14ac:dyDescent="0.2">
      <c r="BJ25579" s="201"/>
    </row>
    <row r="25580" spans="62:62" x14ac:dyDescent="0.2">
      <c r="BJ25580" s="201"/>
    </row>
    <row r="25581" spans="62:62" x14ac:dyDescent="0.2">
      <c r="BJ25581" s="201"/>
    </row>
    <row r="25582" spans="62:62" x14ac:dyDescent="0.2">
      <c r="BJ25582" s="201"/>
    </row>
    <row r="25583" spans="62:62" x14ac:dyDescent="0.2">
      <c r="BJ25583" s="201"/>
    </row>
    <row r="25584" spans="62:62" x14ac:dyDescent="0.2">
      <c r="BJ25584" s="201"/>
    </row>
    <row r="25585" spans="62:62" x14ac:dyDescent="0.2">
      <c r="BJ25585" s="201"/>
    </row>
    <row r="25586" spans="62:62" x14ac:dyDescent="0.2">
      <c r="BJ25586" s="201"/>
    </row>
    <row r="25587" spans="62:62" x14ac:dyDescent="0.2">
      <c r="BJ25587" s="201"/>
    </row>
    <row r="25588" spans="62:62" x14ac:dyDescent="0.2">
      <c r="BJ25588" s="201"/>
    </row>
    <row r="25589" spans="62:62" x14ac:dyDescent="0.2">
      <c r="BJ25589" s="201"/>
    </row>
    <row r="25590" spans="62:62" x14ac:dyDescent="0.2">
      <c r="BJ25590" s="201"/>
    </row>
    <row r="25591" spans="62:62" x14ac:dyDescent="0.2">
      <c r="BJ25591" s="201"/>
    </row>
    <row r="25592" spans="62:62" x14ac:dyDescent="0.2">
      <c r="BJ25592" s="201"/>
    </row>
    <row r="25593" spans="62:62" x14ac:dyDescent="0.2">
      <c r="BJ25593" s="201"/>
    </row>
    <row r="25594" spans="62:62" x14ac:dyDescent="0.2">
      <c r="BJ25594" s="201"/>
    </row>
    <row r="25595" spans="62:62" x14ac:dyDescent="0.2">
      <c r="BJ25595" s="201"/>
    </row>
    <row r="25596" spans="62:62" x14ac:dyDescent="0.2">
      <c r="BJ25596" s="201"/>
    </row>
    <row r="25597" spans="62:62" x14ac:dyDescent="0.2">
      <c r="BJ25597" s="201"/>
    </row>
    <row r="25598" spans="62:62" x14ac:dyDescent="0.2">
      <c r="BJ25598" s="201"/>
    </row>
    <row r="25599" spans="62:62" x14ac:dyDescent="0.2">
      <c r="BJ25599" s="201"/>
    </row>
    <row r="25600" spans="62:62" x14ac:dyDescent="0.2">
      <c r="BJ25600" s="201"/>
    </row>
    <row r="25601" spans="62:62" x14ac:dyDescent="0.2">
      <c r="BJ25601" s="201"/>
    </row>
    <row r="25602" spans="62:62" x14ac:dyDescent="0.2">
      <c r="BJ25602" s="201"/>
    </row>
    <row r="25603" spans="62:62" x14ac:dyDescent="0.2">
      <c r="BJ25603" s="201"/>
    </row>
    <row r="25604" spans="62:62" x14ac:dyDescent="0.2">
      <c r="BJ25604" s="201"/>
    </row>
    <row r="25605" spans="62:62" x14ac:dyDescent="0.2">
      <c r="BJ25605" s="201"/>
    </row>
    <row r="25606" spans="62:62" x14ac:dyDescent="0.2">
      <c r="BJ25606" s="201"/>
    </row>
    <row r="25607" spans="62:62" x14ac:dyDescent="0.2">
      <c r="BJ25607" s="201"/>
    </row>
    <row r="25608" spans="62:62" x14ac:dyDescent="0.2">
      <c r="BJ25608" s="201"/>
    </row>
    <row r="25609" spans="62:62" x14ac:dyDescent="0.2">
      <c r="BJ25609" s="201"/>
    </row>
    <row r="25610" spans="62:62" x14ac:dyDescent="0.2">
      <c r="BJ25610" s="201"/>
    </row>
    <row r="25611" spans="62:62" x14ac:dyDescent="0.2">
      <c r="BJ25611" s="201"/>
    </row>
    <row r="25612" spans="62:62" x14ac:dyDescent="0.2">
      <c r="BJ25612" s="201"/>
    </row>
    <row r="25613" spans="62:62" x14ac:dyDescent="0.2">
      <c r="BJ25613" s="201"/>
    </row>
    <row r="25614" spans="62:62" x14ac:dyDescent="0.2">
      <c r="BJ25614" s="201"/>
    </row>
    <row r="25615" spans="62:62" x14ac:dyDescent="0.2">
      <c r="BJ25615" s="201"/>
    </row>
    <row r="25616" spans="62:62" x14ac:dyDescent="0.2">
      <c r="BJ25616" s="201"/>
    </row>
    <row r="25617" spans="62:62" x14ac:dyDescent="0.2">
      <c r="BJ25617" s="201"/>
    </row>
    <row r="25618" spans="62:62" x14ac:dyDescent="0.2">
      <c r="BJ25618" s="201"/>
    </row>
    <row r="25619" spans="62:62" x14ac:dyDescent="0.2">
      <c r="BJ25619" s="201"/>
    </row>
    <row r="25620" spans="62:62" x14ac:dyDescent="0.2">
      <c r="BJ25620" s="201"/>
    </row>
    <row r="25621" spans="62:62" x14ac:dyDescent="0.2">
      <c r="BJ25621" s="201"/>
    </row>
    <row r="25622" spans="62:62" x14ac:dyDescent="0.2">
      <c r="BJ25622" s="201"/>
    </row>
    <row r="25623" spans="62:62" x14ac:dyDescent="0.2">
      <c r="BJ25623" s="201"/>
    </row>
    <row r="25624" spans="62:62" x14ac:dyDescent="0.2">
      <c r="BJ25624" s="201"/>
    </row>
    <row r="25625" spans="62:62" x14ac:dyDescent="0.2">
      <c r="BJ25625" s="201"/>
    </row>
    <row r="25626" spans="62:62" x14ac:dyDescent="0.2">
      <c r="BJ25626" s="201"/>
    </row>
    <row r="25627" spans="62:62" x14ac:dyDescent="0.2">
      <c r="BJ25627" s="201"/>
    </row>
    <row r="25628" spans="62:62" x14ac:dyDescent="0.2">
      <c r="BJ25628" s="201"/>
    </row>
    <row r="25629" spans="62:62" x14ac:dyDescent="0.2">
      <c r="BJ25629" s="201"/>
    </row>
    <row r="25630" spans="62:62" x14ac:dyDescent="0.2">
      <c r="BJ25630" s="201"/>
    </row>
    <row r="25631" spans="62:62" x14ac:dyDescent="0.2">
      <c r="BJ25631" s="201"/>
    </row>
    <row r="25632" spans="62:62" x14ac:dyDescent="0.2">
      <c r="BJ25632" s="201"/>
    </row>
    <row r="25633" spans="62:62" x14ac:dyDescent="0.2">
      <c r="BJ25633" s="201"/>
    </row>
    <row r="25634" spans="62:62" x14ac:dyDescent="0.2">
      <c r="BJ25634" s="201"/>
    </row>
    <row r="25635" spans="62:62" x14ac:dyDescent="0.2">
      <c r="BJ25635" s="201"/>
    </row>
    <row r="25636" spans="62:62" x14ac:dyDescent="0.2">
      <c r="BJ25636" s="201"/>
    </row>
    <row r="25637" spans="62:62" x14ac:dyDescent="0.2">
      <c r="BJ25637" s="201"/>
    </row>
    <row r="25638" spans="62:62" x14ac:dyDescent="0.2">
      <c r="BJ25638" s="201"/>
    </row>
    <row r="25639" spans="62:62" x14ac:dyDescent="0.2">
      <c r="BJ25639" s="201"/>
    </row>
    <row r="25640" spans="62:62" x14ac:dyDescent="0.2">
      <c r="BJ25640" s="201"/>
    </row>
    <row r="25641" spans="62:62" x14ac:dyDescent="0.2">
      <c r="BJ25641" s="201"/>
    </row>
    <row r="25642" spans="62:62" x14ac:dyDescent="0.2">
      <c r="BJ25642" s="201"/>
    </row>
    <row r="25643" spans="62:62" x14ac:dyDescent="0.2">
      <c r="BJ25643" s="201"/>
    </row>
    <row r="25644" spans="62:62" x14ac:dyDescent="0.2">
      <c r="BJ25644" s="201"/>
    </row>
    <row r="25645" spans="62:62" x14ac:dyDescent="0.2">
      <c r="BJ25645" s="201"/>
    </row>
    <row r="25646" spans="62:62" x14ac:dyDescent="0.2">
      <c r="BJ25646" s="201"/>
    </row>
    <row r="25647" spans="62:62" x14ac:dyDescent="0.2">
      <c r="BJ25647" s="201"/>
    </row>
    <row r="25648" spans="62:62" x14ac:dyDescent="0.2">
      <c r="BJ25648" s="201"/>
    </row>
    <row r="25649" spans="62:62" x14ac:dyDescent="0.2">
      <c r="BJ25649" s="201"/>
    </row>
    <row r="25650" spans="62:62" x14ac:dyDescent="0.2">
      <c r="BJ25650" s="201"/>
    </row>
    <row r="25651" spans="62:62" x14ac:dyDescent="0.2">
      <c r="BJ25651" s="201"/>
    </row>
    <row r="25652" spans="62:62" x14ac:dyDescent="0.2">
      <c r="BJ25652" s="201"/>
    </row>
    <row r="25653" spans="62:62" x14ac:dyDescent="0.2">
      <c r="BJ25653" s="201"/>
    </row>
    <row r="25654" spans="62:62" x14ac:dyDescent="0.2">
      <c r="BJ25654" s="201"/>
    </row>
    <row r="25655" spans="62:62" x14ac:dyDescent="0.2">
      <c r="BJ25655" s="201"/>
    </row>
    <row r="25656" spans="62:62" x14ac:dyDescent="0.2">
      <c r="BJ25656" s="201"/>
    </row>
    <row r="25657" spans="62:62" x14ac:dyDescent="0.2">
      <c r="BJ25657" s="201"/>
    </row>
    <row r="25658" spans="62:62" x14ac:dyDescent="0.2">
      <c r="BJ25658" s="201"/>
    </row>
    <row r="25659" spans="62:62" x14ac:dyDescent="0.2">
      <c r="BJ25659" s="201"/>
    </row>
    <row r="25660" spans="62:62" x14ac:dyDescent="0.2">
      <c r="BJ25660" s="201"/>
    </row>
    <row r="25661" spans="62:62" x14ac:dyDescent="0.2">
      <c r="BJ25661" s="201"/>
    </row>
    <row r="25662" spans="62:62" x14ac:dyDescent="0.2">
      <c r="BJ25662" s="201"/>
    </row>
    <row r="25663" spans="62:62" x14ac:dyDescent="0.2">
      <c r="BJ25663" s="201"/>
    </row>
    <row r="25664" spans="62:62" x14ac:dyDescent="0.2">
      <c r="BJ25664" s="201"/>
    </row>
    <row r="25665" spans="62:62" x14ac:dyDescent="0.2">
      <c r="BJ25665" s="201"/>
    </row>
    <row r="25666" spans="62:62" x14ac:dyDescent="0.2">
      <c r="BJ25666" s="201"/>
    </row>
    <row r="25667" spans="62:62" x14ac:dyDescent="0.2">
      <c r="BJ25667" s="201"/>
    </row>
    <row r="25668" spans="62:62" x14ac:dyDescent="0.2">
      <c r="BJ25668" s="201"/>
    </row>
    <row r="25669" spans="62:62" x14ac:dyDescent="0.2">
      <c r="BJ25669" s="201"/>
    </row>
    <row r="25670" spans="62:62" x14ac:dyDescent="0.2">
      <c r="BJ25670" s="201"/>
    </row>
    <row r="25671" spans="62:62" x14ac:dyDescent="0.2">
      <c r="BJ25671" s="201"/>
    </row>
    <row r="25672" spans="62:62" x14ac:dyDescent="0.2">
      <c r="BJ25672" s="201"/>
    </row>
    <row r="25673" spans="62:62" x14ac:dyDescent="0.2">
      <c r="BJ25673" s="201"/>
    </row>
    <row r="25674" spans="62:62" x14ac:dyDescent="0.2">
      <c r="BJ25674" s="201"/>
    </row>
    <row r="25675" spans="62:62" x14ac:dyDescent="0.2">
      <c r="BJ25675" s="201"/>
    </row>
    <row r="25676" spans="62:62" x14ac:dyDescent="0.2">
      <c r="BJ25676" s="201"/>
    </row>
    <row r="25677" spans="62:62" x14ac:dyDescent="0.2">
      <c r="BJ25677" s="201"/>
    </row>
    <row r="25678" spans="62:62" x14ac:dyDescent="0.2">
      <c r="BJ25678" s="201"/>
    </row>
    <row r="25679" spans="62:62" x14ac:dyDescent="0.2">
      <c r="BJ25679" s="201"/>
    </row>
    <row r="25680" spans="62:62" x14ac:dyDescent="0.2">
      <c r="BJ25680" s="201"/>
    </row>
    <row r="25681" spans="62:62" x14ac:dyDescent="0.2">
      <c r="BJ25681" s="201"/>
    </row>
    <row r="25682" spans="62:62" x14ac:dyDescent="0.2">
      <c r="BJ25682" s="201"/>
    </row>
    <row r="25683" spans="62:62" x14ac:dyDescent="0.2">
      <c r="BJ25683" s="201"/>
    </row>
    <row r="25684" spans="62:62" x14ac:dyDescent="0.2">
      <c r="BJ25684" s="201"/>
    </row>
    <row r="25685" spans="62:62" x14ac:dyDescent="0.2">
      <c r="BJ25685" s="201"/>
    </row>
    <row r="25686" spans="62:62" x14ac:dyDescent="0.2">
      <c r="BJ25686" s="201"/>
    </row>
    <row r="25687" spans="62:62" x14ac:dyDescent="0.2">
      <c r="BJ25687" s="201"/>
    </row>
    <row r="25688" spans="62:62" x14ac:dyDescent="0.2">
      <c r="BJ25688" s="201"/>
    </row>
    <row r="25689" spans="62:62" x14ac:dyDescent="0.2">
      <c r="BJ25689" s="201"/>
    </row>
    <row r="25690" spans="62:62" x14ac:dyDescent="0.2">
      <c r="BJ25690" s="201"/>
    </row>
    <row r="25691" spans="62:62" x14ac:dyDescent="0.2">
      <c r="BJ25691" s="201"/>
    </row>
    <row r="25692" spans="62:62" x14ac:dyDescent="0.2">
      <c r="BJ25692" s="201"/>
    </row>
    <row r="25693" spans="62:62" x14ac:dyDescent="0.2">
      <c r="BJ25693" s="201"/>
    </row>
    <row r="25694" spans="62:62" x14ac:dyDescent="0.2">
      <c r="BJ25694" s="201"/>
    </row>
    <row r="25695" spans="62:62" x14ac:dyDescent="0.2">
      <c r="BJ25695" s="201"/>
    </row>
    <row r="25696" spans="62:62" x14ac:dyDescent="0.2">
      <c r="BJ25696" s="201"/>
    </row>
    <row r="25697" spans="62:62" x14ac:dyDescent="0.2">
      <c r="BJ25697" s="201"/>
    </row>
    <row r="25698" spans="62:62" x14ac:dyDescent="0.2">
      <c r="BJ25698" s="201"/>
    </row>
    <row r="25699" spans="62:62" x14ac:dyDescent="0.2">
      <c r="BJ25699" s="201"/>
    </row>
    <row r="25700" spans="62:62" x14ac:dyDescent="0.2">
      <c r="BJ25700" s="201"/>
    </row>
    <row r="25701" spans="62:62" x14ac:dyDescent="0.2">
      <c r="BJ25701" s="201"/>
    </row>
    <row r="25702" spans="62:62" x14ac:dyDescent="0.2">
      <c r="BJ25702" s="201"/>
    </row>
    <row r="25703" spans="62:62" x14ac:dyDescent="0.2">
      <c r="BJ25703" s="201"/>
    </row>
    <row r="25704" spans="62:62" x14ac:dyDescent="0.2">
      <c r="BJ25704" s="201"/>
    </row>
    <row r="25705" spans="62:62" x14ac:dyDescent="0.2">
      <c r="BJ25705" s="201"/>
    </row>
    <row r="25706" spans="62:62" x14ac:dyDescent="0.2">
      <c r="BJ25706" s="201"/>
    </row>
    <row r="25707" spans="62:62" x14ac:dyDescent="0.2">
      <c r="BJ25707" s="201"/>
    </row>
    <row r="25708" spans="62:62" x14ac:dyDescent="0.2">
      <c r="BJ25708" s="201"/>
    </row>
    <row r="25709" spans="62:62" x14ac:dyDescent="0.2">
      <c r="BJ25709" s="201"/>
    </row>
    <row r="25710" spans="62:62" x14ac:dyDescent="0.2">
      <c r="BJ25710" s="201"/>
    </row>
    <row r="25711" spans="62:62" x14ac:dyDescent="0.2">
      <c r="BJ25711" s="201"/>
    </row>
    <row r="25712" spans="62:62" x14ac:dyDescent="0.2">
      <c r="BJ25712" s="201"/>
    </row>
    <row r="25713" spans="62:62" x14ac:dyDescent="0.2">
      <c r="BJ25713" s="201"/>
    </row>
    <row r="25714" spans="62:62" x14ac:dyDescent="0.2">
      <c r="BJ25714" s="201"/>
    </row>
    <row r="25715" spans="62:62" x14ac:dyDescent="0.2">
      <c r="BJ25715" s="201"/>
    </row>
    <row r="25716" spans="62:62" x14ac:dyDescent="0.2">
      <c r="BJ25716" s="201"/>
    </row>
    <row r="25717" spans="62:62" x14ac:dyDescent="0.2">
      <c r="BJ25717" s="201"/>
    </row>
    <row r="25718" spans="62:62" x14ac:dyDescent="0.2">
      <c r="BJ25718" s="201"/>
    </row>
    <row r="25719" spans="62:62" x14ac:dyDescent="0.2">
      <c r="BJ25719" s="201"/>
    </row>
    <row r="25720" spans="62:62" x14ac:dyDescent="0.2">
      <c r="BJ25720" s="201"/>
    </row>
    <row r="25721" spans="62:62" x14ac:dyDescent="0.2">
      <c r="BJ25721" s="201"/>
    </row>
    <row r="25722" spans="62:62" x14ac:dyDescent="0.2">
      <c r="BJ25722" s="201"/>
    </row>
    <row r="25723" spans="62:62" x14ac:dyDescent="0.2">
      <c r="BJ25723" s="201"/>
    </row>
    <row r="25724" spans="62:62" x14ac:dyDescent="0.2">
      <c r="BJ25724" s="201"/>
    </row>
    <row r="25725" spans="62:62" x14ac:dyDescent="0.2">
      <c r="BJ25725" s="201"/>
    </row>
    <row r="25726" spans="62:62" x14ac:dyDescent="0.2">
      <c r="BJ25726" s="201"/>
    </row>
    <row r="25727" spans="62:62" x14ac:dyDescent="0.2">
      <c r="BJ25727" s="201"/>
    </row>
    <row r="25728" spans="62:62" x14ac:dyDescent="0.2">
      <c r="BJ25728" s="201"/>
    </row>
    <row r="25729" spans="62:62" x14ac:dyDescent="0.2">
      <c r="BJ25729" s="201"/>
    </row>
    <row r="25730" spans="62:62" x14ac:dyDescent="0.2">
      <c r="BJ25730" s="201"/>
    </row>
    <row r="25731" spans="62:62" x14ac:dyDescent="0.2">
      <c r="BJ25731" s="201"/>
    </row>
    <row r="25732" spans="62:62" x14ac:dyDescent="0.2">
      <c r="BJ25732" s="201"/>
    </row>
    <row r="25733" spans="62:62" x14ac:dyDescent="0.2">
      <c r="BJ25733" s="201"/>
    </row>
    <row r="25734" spans="62:62" x14ac:dyDescent="0.2">
      <c r="BJ25734" s="201"/>
    </row>
    <row r="25735" spans="62:62" x14ac:dyDescent="0.2">
      <c r="BJ25735" s="201"/>
    </row>
    <row r="25736" spans="62:62" x14ac:dyDescent="0.2">
      <c r="BJ25736" s="201"/>
    </row>
    <row r="25737" spans="62:62" x14ac:dyDescent="0.2">
      <c r="BJ25737" s="201"/>
    </row>
    <row r="25738" spans="62:62" x14ac:dyDescent="0.2">
      <c r="BJ25738" s="201"/>
    </row>
    <row r="25739" spans="62:62" x14ac:dyDescent="0.2">
      <c r="BJ25739" s="201"/>
    </row>
    <row r="25740" spans="62:62" x14ac:dyDescent="0.2">
      <c r="BJ25740" s="201"/>
    </row>
    <row r="25741" spans="62:62" x14ac:dyDescent="0.2">
      <c r="BJ25741" s="201"/>
    </row>
    <row r="25742" spans="62:62" x14ac:dyDescent="0.2">
      <c r="BJ25742" s="201"/>
    </row>
    <row r="25743" spans="62:62" x14ac:dyDescent="0.2">
      <c r="BJ25743" s="201"/>
    </row>
    <row r="25744" spans="62:62" x14ac:dyDescent="0.2">
      <c r="BJ25744" s="201"/>
    </row>
    <row r="25745" spans="62:62" x14ac:dyDescent="0.2">
      <c r="BJ25745" s="201"/>
    </row>
    <row r="25746" spans="62:62" x14ac:dyDescent="0.2">
      <c r="BJ25746" s="201"/>
    </row>
    <row r="25747" spans="62:62" x14ac:dyDescent="0.2">
      <c r="BJ25747" s="201"/>
    </row>
    <row r="25748" spans="62:62" x14ac:dyDescent="0.2">
      <c r="BJ25748" s="201"/>
    </row>
    <row r="25749" spans="62:62" x14ac:dyDescent="0.2">
      <c r="BJ25749" s="201"/>
    </row>
    <row r="25750" spans="62:62" x14ac:dyDescent="0.2">
      <c r="BJ25750" s="201"/>
    </row>
    <row r="25751" spans="62:62" x14ac:dyDescent="0.2">
      <c r="BJ25751" s="201"/>
    </row>
    <row r="25752" spans="62:62" x14ac:dyDescent="0.2">
      <c r="BJ25752" s="201"/>
    </row>
    <row r="25753" spans="62:62" x14ac:dyDescent="0.2">
      <c r="BJ25753" s="201"/>
    </row>
    <row r="25754" spans="62:62" x14ac:dyDescent="0.2">
      <c r="BJ25754" s="201"/>
    </row>
    <row r="25755" spans="62:62" x14ac:dyDescent="0.2">
      <c r="BJ25755" s="201"/>
    </row>
    <row r="25756" spans="62:62" x14ac:dyDescent="0.2">
      <c r="BJ25756" s="201"/>
    </row>
    <row r="25757" spans="62:62" x14ac:dyDescent="0.2">
      <c r="BJ25757" s="201"/>
    </row>
    <row r="25758" spans="62:62" x14ac:dyDescent="0.2">
      <c r="BJ25758" s="201"/>
    </row>
    <row r="25759" spans="62:62" x14ac:dyDescent="0.2">
      <c r="BJ25759" s="201"/>
    </row>
    <row r="25760" spans="62:62" x14ac:dyDescent="0.2">
      <c r="BJ25760" s="201"/>
    </row>
    <row r="25761" spans="62:62" x14ac:dyDescent="0.2">
      <c r="BJ25761" s="201"/>
    </row>
    <row r="25762" spans="62:62" x14ac:dyDescent="0.2">
      <c r="BJ25762" s="201"/>
    </row>
    <row r="25763" spans="62:62" x14ac:dyDescent="0.2">
      <c r="BJ25763" s="201"/>
    </row>
    <row r="25764" spans="62:62" x14ac:dyDescent="0.2">
      <c r="BJ25764" s="201"/>
    </row>
    <row r="25765" spans="62:62" x14ac:dyDescent="0.2">
      <c r="BJ25765" s="201"/>
    </row>
    <row r="25766" spans="62:62" x14ac:dyDescent="0.2">
      <c r="BJ25766" s="201"/>
    </row>
    <row r="25767" spans="62:62" x14ac:dyDescent="0.2">
      <c r="BJ25767" s="201"/>
    </row>
    <row r="25768" spans="62:62" x14ac:dyDescent="0.2">
      <c r="BJ25768" s="201"/>
    </row>
    <row r="25769" spans="62:62" x14ac:dyDescent="0.2">
      <c r="BJ25769" s="201"/>
    </row>
    <row r="25770" spans="62:62" x14ac:dyDescent="0.2">
      <c r="BJ25770" s="201"/>
    </row>
    <row r="25771" spans="62:62" x14ac:dyDescent="0.2">
      <c r="BJ25771" s="201"/>
    </row>
    <row r="25772" spans="62:62" x14ac:dyDescent="0.2">
      <c r="BJ25772" s="201"/>
    </row>
    <row r="25773" spans="62:62" x14ac:dyDescent="0.2">
      <c r="BJ25773" s="201"/>
    </row>
    <row r="25774" spans="62:62" x14ac:dyDescent="0.2">
      <c r="BJ25774" s="201"/>
    </row>
    <row r="25775" spans="62:62" x14ac:dyDescent="0.2">
      <c r="BJ25775" s="201"/>
    </row>
    <row r="25776" spans="62:62" x14ac:dyDescent="0.2">
      <c r="BJ25776" s="201"/>
    </row>
    <row r="25777" spans="62:62" x14ac:dyDescent="0.2">
      <c r="BJ25777" s="201"/>
    </row>
    <row r="25778" spans="62:62" x14ac:dyDescent="0.2">
      <c r="BJ25778" s="201"/>
    </row>
    <row r="25779" spans="62:62" x14ac:dyDescent="0.2">
      <c r="BJ25779" s="201"/>
    </row>
    <row r="25780" spans="62:62" x14ac:dyDescent="0.2">
      <c r="BJ25780" s="201"/>
    </row>
    <row r="25781" spans="62:62" x14ac:dyDescent="0.2">
      <c r="BJ25781" s="201"/>
    </row>
    <row r="25782" spans="62:62" x14ac:dyDescent="0.2">
      <c r="BJ25782" s="201"/>
    </row>
    <row r="25783" spans="62:62" x14ac:dyDescent="0.2">
      <c r="BJ25783" s="201"/>
    </row>
    <row r="25784" spans="62:62" x14ac:dyDescent="0.2">
      <c r="BJ25784" s="201"/>
    </row>
    <row r="25785" spans="62:62" x14ac:dyDescent="0.2">
      <c r="BJ25785" s="201"/>
    </row>
    <row r="25786" spans="62:62" x14ac:dyDescent="0.2">
      <c r="BJ25786" s="201"/>
    </row>
    <row r="25787" spans="62:62" x14ac:dyDescent="0.2">
      <c r="BJ25787" s="201"/>
    </row>
    <row r="25788" spans="62:62" x14ac:dyDescent="0.2">
      <c r="BJ25788" s="201"/>
    </row>
    <row r="25789" spans="62:62" x14ac:dyDescent="0.2">
      <c r="BJ25789" s="201"/>
    </row>
    <row r="25790" spans="62:62" x14ac:dyDescent="0.2">
      <c r="BJ25790" s="201"/>
    </row>
    <row r="25791" spans="62:62" x14ac:dyDescent="0.2">
      <c r="BJ25791" s="201"/>
    </row>
    <row r="25792" spans="62:62" x14ac:dyDescent="0.2">
      <c r="BJ25792" s="201"/>
    </row>
    <row r="25793" spans="62:62" x14ac:dyDescent="0.2">
      <c r="BJ25793" s="201"/>
    </row>
    <row r="25794" spans="62:62" x14ac:dyDescent="0.2">
      <c r="BJ25794" s="201"/>
    </row>
    <row r="25795" spans="62:62" x14ac:dyDescent="0.2">
      <c r="BJ25795" s="201"/>
    </row>
    <row r="25796" spans="62:62" x14ac:dyDescent="0.2">
      <c r="BJ25796" s="201"/>
    </row>
    <row r="25797" spans="62:62" x14ac:dyDescent="0.2">
      <c r="BJ25797" s="201"/>
    </row>
    <row r="25798" spans="62:62" x14ac:dyDescent="0.2">
      <c r="BJ25798" s="201"/>
    </row>
    <row r="25799" spans="62:62" x14ac:dyDescent="0.2">
      <c r="BJ25799" s="201"/>
    </row>
    <row r="25800" spans="62:62" x14ac:dyDescent="0.2">
      <c r="BJ25800" s="201"/>
    </row>
    <row r="25801" spans="62:62" x14ac:dyDescent="0.2">
      <c r="BJ25801" s="201"/>
    </row>
    <row r="25802" spans="62:62" x14ac:dyDescent="0.2">
      <c r="BJ25802" s="201"/>
    </row>
    <row r="25803" spans="62:62" x14ac:dyDescent="0.2">
      <c r="BJ25803" s="201"/>
    </row>
    <row r="25804" spans="62:62" x14ac:dyDescent="0.2">
      <c r="BJ25804" s="201"/>
    </row>
    <row r="25805" spans="62:62" x14ac:dyDescent="0.2">
      <c r="BJ25805" s="201"/>
    </row>
    <row r="25806" spans="62:62" x14ac:dyDescent="0.2">
      <c r="BJ25806" s="201"/>
    </row>
    <row r="25807" spans="62:62" x14ac:dyDescent="0.2">
      <c r="BJ25807" s="201"/>
    </row>
    <row r="25808" spans="62:62" x14ac:dyDescent="0.2">
      <c r="BJ25808" s="201"/>
    </row>
    <row r="25809" spans="62:62" x14ac:dyDescent="0.2">
      <c r="BJ25809" s="201"/>
    </row>
    <row r="25810" spans="62:62" x14ac:dyDescent="0.2">
      <c r="BJ25810" s="201"/>
    </row>
    <row r="25811" spans="62:62" x14ac:dyDescent="0.2">
      <c r="BJ25811" s="201"/>
    </row>
    <row r="25812" spans="62:62" x14ac:dyDescent="0.2">
      <c r="BJ25812" s="201"/>
    </row>
    <row r="25813" spans="62:62" x14ac:dyDescent="0.2">
      <c r="BJ25813" s="201"/>
    </row>
    <row r="25814" spans="62:62" x14ac:dyDescent="0.2">
      <c r="BJ25814" s="201"/>
    </row>
    <row r="25815" spans="62:62" x14ac:dyDescent="0.2">
      <c r="BJ25815" s="201"/>
    </row>
    <row r="25816" spans="62:62" x14ac:dyDescent="0.2">
      <c r="BJ25816" s="201"/>
    </row>
    <row r="25817" spans="62:62" x14ac:dyDescent="0.2">
      <c r="BJ25817" s="201"/>
    </row>
    <row r="25818" spans="62:62" x14ac:dyDescent="0.2">
      <c r="BJ25818" s="201"/>
    </row>
    <row r="25819" spans="62:62" x14ac:dyDescent="0.2">
      <c r="BJ25819" s="201"/>
    </row>
    <row r="25820" spans="62:62" x14ac:dyDescent="0.2">
      <c r="BJ25820" s="201"/>
    </row>
    <row r="25821" spans="62:62" x14ac:dyDescent="0.2">
      <c r="BJ25821" s="201"/>
    </row>
    <row r="25822" spans="62:62" x14ac:dyDescent="0.2">
      <c r="BJ25822" s="201"/>
    </row>
    <row r="25823" spans="62:62" x14ac:dyDescent="0.2">
      <c r="BJ25823" s="201"/>
    </row>
    <row r="25824" spans="62:62" x14ac:dyDescent="0.2">
      <c r="BJ25824" s="201"/>
    </row>
    <row r="25825" spans="62:62" x14ac:dyDescent="0.2">
      <c r="BJ25825" s="201"/>
    </row>
    <row r="25826" spans="62:62" x14ac:dyDescent="0.2">
      <c r="BJ25826" s="201"/>
    </row>
    <row r="25827" spans="62:62" x14ac:dyDescent="0.2">
      <c r="BJ25827" s="201"/>
    </row>
    <row r="25828" spans="62:62" x14ac:dyDescent="0.2">
      <c r="BJ25828" s="201"/>
    </row>
    <row r="25829" spans="62:62" x14ac:dyDescent="0.2">
      <c r="BJ25829" s="201"/>
    </row>
    <row r="25830" spans="62:62" x14ac:dyDescent="0.2">
      <c r="BJ25830" s="201"/>
    </row>
    <row r="25831" spans="62:62" x14ac:dyDescent="0.2">
      <c r="BJ25831" s="201"/>
    </row>
    <row r="25832" spans="62:62" x14ac:dyDescent="0.2">
      <c r="BJ25832" s="201"/>
    </row>
    <row r="25833" spans="62:62" x14ac:dyDescent="0.2">
      <c r="BJ25833" s="201"/>
    </row>
    <row r="25834" spans="62:62" x14ac:dyDescent="0.2">
      <c r="BJ25834" s="201"/>
    </row>
    <row r="25835" spans="62:62" x14ac:dyDescent="0.2">
      <c r="BJ25835" s="201"/>
    </row>
    <row r="25836" spans="62:62" x14ac:dyDescent="0.2">
      <c r="BJ25836" s="201"/>
    </row>
    <row r="25837" spans="62:62" x14ac:dyDescent="0.2">
      <c r="BJ25837" s="201"/>
    </row>
    <row r="25838" spans="62:62" x14ac:dyDescent="0.2">
      <c r="BJ25838" s="201"/>
    </row>
    <row r="25839" spans="62:62" x14ac:dyDescent="0.2">
      <c r="BJ25839" s="201"/>
    </row>
    <row r="25840" spans="62:62" x14ac:dyDescent="0.2">
      <c r="BJ25840" s="201"/>
    </row>
    <row r="25841" spans="62:62" x14ac:dyDescent="0.2">
      <c r="BJ25841" s="201"/>
    </row>
    <row r="25842" spans="62:62" x14ac:dyDescent="0.2">
      <c r="BJ25842" s="201"/>
    </row>
    <row r="25843" spans="62:62" x14ac:dyDescent="0.2">
      <c r="BJ25843" s="201"/>
    </row>
    <row r="25844" spans="62:62" x14ac:dyDescent="0.2">
      <c r="BJ25844" s="201"/>
    </row>
    <row r="25845" spans="62:62" x14ac:dyDescent="0.2">
      <c r="BJ25845" s="201"/>
    </row>
    <row r="25846" spans="62:62" x14ac:dyDescent="0.2">
      <c r="BJ25846" s="201"/>
    </row>
    <row r="25847" spans="62:62" x14ac:dyDescent="0.2">
      <c r="BJ25847" s="201"/>
    </row>
    <row r="25848" spans="62:62" x14ac:dyDescent="0.2">
      <c r="BJ25848" s="201"/>
    </row>
    <row r="25849" spans="62:62" x14ac:dyDescent="0.2">
      <c r="BJ25849" s="201"/>
    </row>
    <row r="25850" spans="62:62" x14ac:dyDescent="0.2">
      <c r="BJ25850" s="201"/>
    </row>
    <row r="25851" spans="62:62" x14ac:dyDescent="0.2">
      <c r="BJ25851" s="201"/>
    </row>
    <row r="25852" spans="62:62" x14ac:dyDescent="0.2">
      <c r="BJ25852" s="201"/>
    </row>
    <row r="25853" spans="62:62" x14ac:dyDescent="0.2">
      <c r="BJ25853" s="201"/>
    </row>
    <row r="25854" spans="62:62" x14ac:dyDescent="0.2">
      <c r="BJ25854" s="201"/>
    </row>
    <row r="25855" spans="62:62" x14ac:dyDescent="0.2">
      <c r="BJ25855" s="201"/>
    </row>
    <row r="25856" spans="62:62" x14ac:dyDescent="0.2">
      <c r="BJ25856" s="201"/>
    </row>
    <row r="25857" spans="62:62" x14ac:dyDescent="0.2">
      <c r="BJ25857" s="201"/>
    </row>
    <row r="25858" spans="62:62" x14ac:dyDescent="0.2">
      <c r="BJ25858" s="201"/>
    </row>
    <row r="25859" spans="62:62" x14ac:dyDescent="0.2">
      <c r="BJ25859" s="201"/>
    </row>
    <row r="25860" spans="62:62" x14ac:dyDescent="0.2">
      <c r="BJ25860" s="201"/>
    </row>
    <row r="25861" spans="62:62" x14ac:dyDescent="0.2">
      <c r="BJ25861" s="201"/>
    </row>
    <row r="25862" spans="62:62" x14ac:dyDescent="0.2">
      <c r="BJ25862" s="201"/>
    </row>
    <row r="25863" spans="62:62" x14ac:dyDescent="0.2">
      <c r="BJ25863" s="201"/>
    </row>
    <row r="25864" spans="62:62" x14ac:dyDescent="0.2">
      <c r="BJ25864" s="201"/>
    </row>
    <row r="25865" spans="62:62" x14ac:dyDescent="0.2">
      <c r="BJ25865" s="201"/>
    </row>
    <row r="25866" spans="62:62" x14ac:dyDescent="0.2">
      <c r="BJ25866" s="201"/>
    </row>
    <row r="25867" spans="62:62" x14ac:dyDescent="0.2">
      <c r="BJ25867" s="201"/>
    </row>
    <row r="25868" spans="62:62" x14ac:dyDescent="0.2">
      <c r="BJ25868" s="201"/>
    </row>
    <row r="25869" spans="62:62" x14ac:dyDescent="0.2">
      <c r="BJ25869" s="201"/>
    </row>
    <row r="25870" spans="62:62" x14ac:dyDescent="0.2">
      <c r="BJ25870" s="201"/>
    </row>
    <row r="25871" spans="62:62" x14ac:dyDescent="0.2">
      <c r="BJ25871" s="201"/>
    </row>
    <row r="25872" spans="62:62" x14ac:dyDescent="0.2">
      <c r="BJ25872" s="201"/>
    </row>
    <row r="25873" spans="62:62" x14ac:dyDescent="0.2">
      <c r="BJ25873" s="201"/>
    </row>
    <row r="25874" spans="62:62" x14ac:dyDescent="0.2">
      <c r="BJ25874" s="201"/>
    </row>
    <row r="25875" spans="62:62" x14ac:dyDescent="0.2">
      <c r="BJ25875" s="201"/>
    </row>
    <row r="25876" spans="62:62" x14ac:dyDescent="0.2">
      <c r="BJ25876" s="201"/>
    </row>
    <row r="25877" spans="62:62" x14ac:dyDescent="0.2">
      <c r="BJ25877" s="201"/>
    </row>
    <row r="25878" spans="62:62" x14ac:dyDescent="0.2">
      <c r="BJ25878" s="201"/>
    </row>
    <row r="25879" spans="62:62" x14ac:dyDescent="0.2">
      <c r="BJ25879" s="201"/>
    </row>
    <row r="25880" spans="62:62" x14ac:dyDescent="0.2">
      <c r="BJ25880" s="201"/>
    </row>
    <row r="25881" spans="62:62" x14ac:dyDescent="0.2">
      <c r="BJ25881" s="201"/>
    </row>
    <row r="25882" spans="62:62" x14ac:dyDescent="0.2">
      <c r="BJ25882" s="201"/>
    </row>
    <row r="25883" spans="62:62" x14ac:dyDescent="0.2">
      <c r="BJ25883" s="201"/>
    </row>
    <row r="25884" spans="62:62" x14ac:dyDescent="0.2">
      <c r="BJ25884" s="201"/>
    </row>
    <row r="25885" spans="62:62" x14ac:dyDescent="0.2">
      <c r="BJ25885" s="201"/>
    </row>
    <row r="25886" spans="62:62" x14ac:dyDescent="0.2">
      <c r="BJ25886" s="201"/>
    </row>
    <row r="25887" spans="62:62" x14ac:dyDescent="0.2">
      <c r="BJ25887" s="201"/>
    </row>
    <row r="25888" spans="62:62" x14ac:dyDescent="0.2">
      <c r="BJ25888" s="201"/>
    </row>
    <row r="25889" spans="62:62" x14ac:dyDescent="0.2">
      <c r="BJ25889" s="201"/>
    </row>
    <row r="25890" spans="62:62" x14ac:dyDescent="0.2">
      <c r="BJ25890" s="201"/>
    </row>
    <row r="25891" spans="62:62" x14ac:dyDescent="0.2">
      <c r="BJ25891" s="201"/>
    </row>
    <row r="25892" spans="62:62" x14ac:dyDescent="0.2">
      <c r="BJ25892" s="201"/>
    </row>
    <row r="25893" spans="62:62" x14ac:dyDescent="0.2">
      <c r="BJ25893" s="201"/>
    </row>
    <row r="25894" spans="62:62" x14ac:dyDescent="0.2">
      <c r="BJ25894" s="201"/>
    </row>
    <row r="25895" spans="62:62" x14ac:dyDescent="0.2">
      <c r="BJ25895" s="201"/>
    </row>
    <row r="25896" spans="62:62" x14ac:dyDescent="0.2">
      <c r="BJ25896" s="201"/>
    </row>
    <row r="25897" spans="62:62" x14ac:dyDescent="0.2">
      <c r="BJ25897" s="201"/>
    </row>
    <row r="25898" spans="62:62" x14ac:dyDescent="0.2">
      <c r="BJ25898" s="201"/>
    </row>
    <row r="25899" spans="62:62" x14ac:dyDescent="0.2">
      <c r="BJ25899" s="201"/>
    </row>
    <row r="25900" spans="62:62" x14ac:dyDescent="0.2">
      <c r="BJ25900" s="201"/>
    </row>
    <row r="25901" spans="62:62" x14ac:dyDescent="0.2">
      <c r="BJ25901" s="201"/>
    </row>
    <row r="25902" spans="62:62" x14ac:dyDescent="0.2">
      <c r="BJ25902" s="201"/>
    </row>
    <row r="25903" spans="62:62" x14ac:dyDescent="0.2">
      <c r="BJ25903" s="201"/>
    </row>
    <row r="25904" spans="62:62" x14ac:dyDescent="0.2">
      <c r="BJ25904" s="201"/>
    </row>
    <row r="25905" spans="62:62" x14ac:dyDescent="0.2">
      <c r="BJ25905" s="201"/>
    </row>
    <row r="25906" spans="62:62" x14ac:dyDescent="0.2">
      <c r="BJ25906" s="201"/>
    </row>
    <row r="25907" spans="62:62" x14ac:dyDescent="0.2">
      <c r="BJ25907" s="201"/>
    </row>
    <row r="25908" spans="62:62" x14ac:dyDescent="0.2">
      <c r="BJ25908" s="201"/>
    </row>
    <row r="25909" spans="62:62" x14ac:dyDescent="0.2">
      <c r="BJ25909" s="201"/>
    </row>
    <row r="25910" spans="62:62" x14ac:dyDescent="0.2">
      <c r="BJ25910" s="201"/>
    </row>
    <row r="25911" spans="62:62" x14ac:dyDescent="0.2">
      <c r="BJ25911" s="201"/>
    </row>
    <row r="25912" spans="62:62" x14ac:dyDescent="0.2">
      <c r="BJ25912" s="201"/>
    </row>
    <row r="25913" spans="62:62" x14ac:dyDescent="0.2">
      <c r="BJ25913" s="201"/>
    </row>
    <row r="25914" spans="62:62" x14ac:dyDescent="0.2">
      <c r="BJ25914" s="201"/>
    </row>
    <row r="25915" spans="62:62" x14ac:dyDescent="0.2">
      <c r="BJ25915" s="201"/>
    </row>
    <row r="25916" spans="62:62" x14ac:dyDescent="0.2">
      <c r="BJ25916" s="201"/>
    </row>
    <row r="25917" spans="62:62" x14ac:dyDescent="0.2">
      <c r="BJ25917" s="201"/>
    </row>
    <row r="25918" spans="62:62" x14ac:dyDescent="0.2">
      <c r="BJ25918" s="201"/>
    </row>
    <row r="25919" spans="62:62" x14ac:dyDescent="0.2">
      <c r="BJ25919" s="201"/>
    </row>
    <row r="25920" spans="62:62" x14ac:dyDescent="0.2">
      <c r="BJ25920" s="201"/>
    </row>
    <row r="25921" spans="62:62" x14ac:dyDescent="0.2">
      <c r="BJ25921" s="201"/>
    </row>
    <row r="25922" spans="62:62" x14ac:dyDescent="0.2">
      <c r="BJ25922" s="201"/>
    </row>
    <row r="25923" spans="62:62" x14ac:dyDescent="0.2">
      <c r="BJ25923" s="201"/>
    </row>
    <row r="25924" spans="62:62" x14ac:dyDescent="0.2">
      <c r="BJ25924" s="201"/>
    </row>
    <row r="25925" spans="62:62" x14ac:dyDescent="0.2">
      <c r="BJ25925" s="201"/>
    </row>
    <row r="25926" spans="62:62" x14ac:dyDescent="0.2">
      <c r="BJ25926" s="201"/>
    </row>
    <row r="25927" spans="62:62" x14ac:dyDescent="0.2">
      <c r="BJ25927" s="201"/>
    </row>
    <row r="25928" spans="62:62" x14ac:dyDescent="0.2">
      <c r="BJ25928" s="201"/>
    </row>
    <row r="25929" spans="62:62" x14ac:dyDescent="0.2">
      <c r="BJ25929" s="201"/>
    </row>
    <row r="25930" spans="62:62" x14ac:dyDescent="0.2">
      <c r="BJ25930" s="201"/>
    </row>
    <row r="25931" spans="62:62" x14ac:dyDescent="0.2">
      <c r="BJ25931" s="201"/>
    </row>
    <row r="25932" spans="62:62" x14ac:dyDescent="0.2">
      <c r="BJ25932" s="201"/>
    </row>
    <row r="25933" spans="62:62" x14ac:dyDescent="0.2">
      <c r="BJ25933" s="201"/>
    </row>
    <row r="25934" spans="62:62" x14ac:dyDescent="0.2">
      <c r="BJ25934" s="201"/>
    </row>
    <row r="25935" spans="62:62" x14ac:dyDescent="0.2">
      <c r="BJ25935" s="201"/>
    </row>
    <row r="25936" spans="62:62" x14ac:dyDescent="0.2">
      <c r="BJ25936" s="201"/>
    </row>
    <row r="25937" spans="62:62" x14ac:dyDescent="0.2">
      <c r="BJ25937" s="201"/>
    </row>
    <row r="25938" spans="62:62" x14ac:dyDescent="0.2">
      <c r="BJ25938" s="201"/>
    </row>
    <row r="25939" spans="62:62" x14ac:dyDescent="0.2">
      <c r="BJ25939" s="201"/>
    </row>
    <row r="25940" spans="62:62" x14ac:dyDescent="0.2">
      <c r="BJ25940" s="201"/>
    </row>
    <row r="25941" spans="62:62" x14ac:dyDescent="0.2">
      <c r="BJ25941" s="201"/>
    </row>
    <row r="25942" spans="62:62" x14ac:dyDescent="0.2">
      <c r="BJ25942" s="201"/>
    </row>
    <row r="25943" spans="62:62" x14ac:dyDescent="0.2">
      <c r="BJ25943" s="201"/>
    </row>
    <row r="25944" spans="62:62" x14ac:dyDescent="0.2">
      <c r="BJ25944" s="201"/>
    </row>
    <row r="25945" spans="62:62" x14ac:dyDescent="0.2">
      <c r="BJ25945" s="201"/>
    </row>
    <row r="25946" spans="62:62" x14ac:dyDescent="0.2">
      <c r="BJ25946" s="201"/>
    </row>
    <row r="25947" spans="62:62" x14ac:dyDescent="0.2">
      <c r="BJ25947" s="201"/>
    </row>
    <row r="25948" spans="62:62" x14ac:dyDescent="0.2">
      <c r="BJ25948" s="201"/>
    </row>
    <row r="25949" spans="62:62" x14ac:dyDescent="0.2">
      <c r="BJ25949" s="201"/>
    </row>
    <row r="25950" spans="62:62" x14ac:dyDescent="0.2">
      <c r="BJ25950" s="201"/>
    </row>
    <row r="25951" spans="62:62" x14ac:dyDescent="0.2">
      <c r="BJ25951" s="201"/>
    </row>
    <row r="25952" spans="62:62" x14ac:dyDescent="0.2">
      <c r="BJ25952" s="201"/>
    </row>
    <row r="25953" spans="62:62" x14ac:dyDescent="0.2">
      <c r="BJ25953" s="201"/>
    </row>
    <row r="25954" spans="62:62" x14ac:dyDescent="0.2">
      <c r="BJ25954" s="201"/>
    </row>
    <row r="25955" spans="62:62" x14ac:dyDescent="0.2">
      <c r="BJ25955" s="201"/>
    </row>
    <row r="25956" spans="62:62" x14ac:dyDescent="0.2">
      <c r="BJ25956" s="201"/>
    </row>
    <row r="25957" spans="62:62" x14ac:dyDescent="0.2">
      <c r="BJ25957" s="201"/>
    </row>
    <row r="25958" spans="62:62" x14ac:dyDescent="0.2">
      <c r="BJ25958" s="201"/>
    </row>
    <row r="25959" spans="62:62" x14ac:dyDescent="0.2">
      <c r="BJ25959" s="201"/>
    </row>
    <row r="25960" spans="62:62" x14ac:dyDescent="0.2">
      <c r="BJ25960" s="201"/>
    </row>
    <row r="25961" spans="62:62" x14ac:dyDescent="0.2">
      <c r="BJ25961" s="201"/>
    </row>
    <row r="25962" spans="62:62" x14ac:dyDescent="0.2">
      <c r="BJ25962" s="201"/>
    </row>
    <row r="25963" spans="62:62" x14ac:dyDescent="0.2">
      <c r="BJ25963" s="201"/>
    </row>
    <row r="25964" spans="62:62" x14ac:dyDescent="0.2">
      <c r="BJ25964" s="201"/>
    </row>
    <row r="25965" spans="62:62" x14ac:dyDescent="0.2">
      <c r="BJ25965" s="201"/>
    </row>
    <row r="25966" spans="62:62" x14ac:dyDescent="0.2">
      <c r="BJ25966" s="201"/>
    </row>
    <row r="25967" spans="62:62" x14ac:dyDescent="0.2">
      <c r="BJ25967" s="201"/>
    </row>
    <row r="25968" spans="62:62" x14ac:dyDescent="0.2">
      <c r="BJ25968" s="201"/>
    </row>
    <row r="25969" spans="62:62" x14ac:dyDescent="0.2">
      <c r="BJ25969" s="201"/>
    </row>
    <row r="25970" spans="62:62" x14ac:dyDescent="0.2">
      <c r="BJ25970" s="201"/>
    </row>
    <row r="25971" spans="62:62" x14ac:dyDescent="0.2">
      <c r="BJ25971" s="201"/>
    </row>
    <row r="25972" spans="62:62" x14ac:dyDescent="0.2">
      <c r="BJ25972" s="201"/>
    </row>
    <row r="25973" spans="62:62" x14ac:dyDescent="0.2">
      <c r="BJ25973" s="201"/>
    </row>
    <row r="25974" spans="62:62" x14ac:dyDescent="0.2">
      <c r="BJ25974" s="201"/>
    </row>
    <row r="25975" spans="62:62" x14ac:dyDescent="0.2">
      <c r="BJ25975" s="201"/>
    </row>
    <row r="25976" spans="62:62" x14ac:dyDescent="0.2">
      <c r="BJ25976" s="201"/>
    </row>
    <row r="25977" spans="62:62" x14ac:dyDescent="0.2">
      <c r="BJ25977" s="201"/>
    </row>
    <row r="25978" spans="62:62" x14ac:dyDescent="0.2">
      <c r="BJ25978" s="201"/>
    </row>
    <row r="25979" spans="62:62" x14ac:dyDescent="0.2">
      <c r="BJ25979" s="201"/>
    </row>
    <row r="25980" spans="62:62" x14ac:dyDescent="0.2">
      <c r="BJ25980" s="201"/>
    </row>
    <row r="25981" spans="62:62" x14ac:dyDescent="0.2">
      <c r="BJ25981" s="201"/>
    </row>
    <row r="25982" spans="62:62" x14ac:dyDescent="0.2">
      <c r="BJ25982" s="201"/>
    </row>
    <row r="25983" spans="62:62" x14ac:dyDescent="0.2">
      <c r="BJ25983" s="201"/>
    </row>
    <row r="25984" spans="62:62" x14ac:dyDescent="0.2">
      <c r="BJ25984" s="201"/>
    </row>
    <row r="25985" spans="62:62" x14ac:dyDescent="0.2">
      <c r="BJ25985" s="201"/>
    </row>
    <row r="25986" spans="62:62" x14ac:dyDescent="0.2">
      <c r="BJ25986" s="201"/>
    </row>
    <row r="25987" spans="62:62" x14ac:dyDescent="0.2">
      <c r="BJ25987" s="201"/>
    </row>
    <row r="25988" spans="62:62" x14ac:dyDescent="0.2">
      <c r="BJ25988" s="201"/>
    </row>
    <row r="25989" spans="62:62" x14ac:dyDescent="0.2">
      <c r="BJ25989" s="201"/>
    </row>
    <row r="25990" spans="62:62" x14ac:dyDescent="0.2">
      <c r="BJ25990" s="201"/>
    </row>
    <row r="25991" spans="62:62" x14ac:dyDescent="0.2">
      <c r="BJ25991" s="201"/>
    </row>
    <row r="25992" spans="62:62" x14ac:dyDescent="0.2">
      <c r="BJ25992" s="201"/>
    </row>
    <row r="25993" spans="62:62" x14ac:dyDescent="0.2">
      <c r="BJ25993" s="201"/>
    </row>
    <row r="25994" spans="62:62" x14ac:dyDescent="0.2">
      <c r="BJ25994" s="201"/>
    </row>
    <row r="25995" spans="62:62" x14ac:dyDescent="0.2">
      <c r="BJ25995" s="201"/>
    </row>
    <row r="25996" spans="62:62" x14ac:dyDescent="0.2">
      <c r="BJ25996" s="201"/>
    </row>
    <row r="25997" spans="62:62" x14ac:dyDescent="0.2">
      <c r="BJ25997" s="201"/>
    </row>
    <row r="25998" spans="62:62" x14ac:dyDescent="0.2">
      <c r="BJ25998" s="201"/>
    </row>
    <row r="25999" spans="62:62" x14ac:dyDescent="0.2">
      <c r="BJ25999" s="201"/>
    </row>
    <row r="26000" spans="62:62" x14ac:dyDescent="0.2">
      <c r="BJ26000" s="201"/>
    </row>
    <row r="26001" spans="62:62" x14ac:dyDescent="0.2">
      <c r="BJ26001" s="201"/>
    </row>
    <row r="26002" spans="62:62" x14ac:dyDescent="0.2">
      <c r="BJ26002" s="201"/>
    </row>
    <row r="26003" spans="62:62" x14ac:dyDescent="0.2">
      <c r="BJ26003" s="201"/>
    </row>
    <row r="26004" spans="62:62" x14ac:dyDescent="0.2">
      <c r="BJ26004" s="201"/>
    </row>
    <row r="26005" spans="62:62" x14ac:dyDescent="0.2">
      <c r="BJ26005" s="201"/>
    </row>
    <row r="26006" spans="62:62" x14ac:dyDescent="0.2">
      <c r="BJ26006" s="201"/>
    </row>
    <row r="26007" spans="62:62" x14ac:dyDescent="0.2">
      <c r="BJ26007" s="201"/>
    </row>
    <row r="26008" spans="62:62" x14ac:dyDescent="0.2">
      <c r="BJ26008" s="201"/>
    </row>
    <row r="26009" spans="62:62" x14ac:dyDescent="0.2">
      <c r="BJ26009" s="201"/>
    </row>
    <row r="26010" spans="62:62" x14ac:dyDescent="0.2">
      <c r="BJ26010" s="201"/>
    </row>
    <row r="26011" spans="62:62" x14ac:dyDescent="0.2">
      <c r="BJ26011" s="201"/>
    </row>
    <row r="26012" spans="62:62" x14ac:dyDescent="0.2">
      <c r="BJ26012" s="201"/>
    </row>
    <row r="26013" spans="62:62" x14ac:dyDescent="0.2">
      <c r="BJ26013" s="201"/>
    </row>
    <row r="26014" spans="62:62" x14ac:dyDescent="0.2">
      <c r="BJ26014" s="201"/>
    </row>
    <row r="26015" spans="62:62" x14ac:dyDescent="0.2">
      <c r="BJ26015" s="201"/>
    </row>
    <row r="26016" spans="62:62" x14ac:dyDescent="0.2">
      <c r="BJ26016" s="201"/>
    </row>
    <row r="26017" spans="62:62" x14ac:dyDescent="0.2">
      <c r="BJ26017" s="201"/>
    </row>
    <row r="26018" spans="62:62" x14ac:dyDescent="0.2">
      <c r="BJ26018" s="201"/>
    </row>
    <row r="26019" spans="62:62" x14ac:dyDescent="0.2">
      <c r="BJ26019" s="201"/>
    </row>
    <row r="26020" spans="62:62" x14ac:dyDescent="0.2">
      <c r="BJ26020" s="201"/>
    </row>
    <row r="26021" spans="62:62" x14ac:dyDescent="0.2">
      <c r="BJ26021" s="201"/>
    </row>
    <row r="26022" spans="62:62" x14ac:dyDescent="0.2">
      <c r="BJ26022" s="201"/>
    </row>
    <row r="26023" spans="62:62" x14ac:dyDescent="0.2">
      <c r="BJ26023" s="201"/>
    </row>
    <row r="26024" spans="62:62" x14ac:dyDescent="0.2">
      <c r="BJ26024" s="201"/>
    </row>
    <row r="26025" spans="62:62" x14ac:dyDescent="0.2">
      <c r="BJ26025" s="201"/>
    </row>
    <row r="26026" spans="62:62" x14ac:dyDescent="0.2">
      <c r="BJ26026" s="201"/>
    </row>
    <row r="26027" spans="62:62" x14ac:dyDescent="0.2">
      <c r="BJ26027" s="201"/>
    </row>
    <row r="26028" spans="62:62" x14ac:dyDescent="0.2">
      <c r="BJ26028" s="201"/>
    </row>
    <row r="26029" spans="62:62" x14ac:dyDescent="0.2">
      <c r="BJ26029" s="201"/>
    </row>
    <row r="26030" spans="62:62" x14ac:dyDescent="0.2">
      <c r="BJ26030" s="201"/>
    </row>
    <row r="26031" spans="62:62" x14ac:dyDescent="0.2">
      <c r="BJ26031" s="201"/>
    </row>
    <row r="26032" spans="62:62" x14ac:dyDescent="0.2">
      <c r="BJ26032" s="201"/>
    </row>
    <row r="26033" spans="62:62" x14ac:dyDescent="0.2">
      <c r="BJ26033" s="201"/>
    </row>
    <row r="26034" spans="62:62" x14ac:dyDescent="0.2">
      <c r="BJ26034" s="201"/>
    </row>
    <row r="26035" spans="62:62" x14ac:dyDescent="0.2">
      <c r="BJ26035" s="201"/>
    </row>
    <row r="26036" spans="62:62" x14ac:dyDescent="0.2">
      <c r="BJ26036" s="201"/>
    </row>
    <row r="26037" spans="62:62" x14ac:dyDescent="0.2">
      <c r="BJ26037" s="201"/>
    </row>
    <row r="26038" spans="62:62" x14ac:dyDescent="0.2">
      <c r="BJ26038" s="201"/>
    </row>
    <row r="26039" spans="62:62" x14ac:dyDescent="0.2">
      <c r="BJ26039" s="201"/>
    </row>
    <row r="26040" spans="62:62" x14ac:dyDescent="0.2">
      <c r="BJ26040" s="201"/>
    </row>
    <row r="26041" spans="62:62" x14ac:dyDescent="0.2">
      <c r="BJ26041" s="201"/>
    </row>
    <row r="26042" spans="62:62" x14ac:dyDescent="0.2">
      <c r="BJ26042" s="201"/>
    </row>
    <row r="26043" spans="62:62" x14ac:dyDescent="0.2">
      <c r="BJ26043" s="201"/>
    </row>
    <row r="26044" spans="62:62" x14ac:dyDescent="0.2">
      <c r="BJ26044" s="201"/>
    </row>
    <row r="26045" spans="62:62" x14ac:dyDescent="0.2">
      <c r="BJ26045" s="201"/>
    </row>
    <row r="26046" spans="62:62" x14ac:dyDescent="0.2">
      <c r="BJ26046" s="201"/>
    </row>
    <row r="26047" spans="62:62" x14ac:dyDescent="0.2">
      <c r="BJ26047" s="201"/>
    </row>
    <row r="26048" spans="62:62" x14ac:dyDescent="0.2">
      <c r="BJ26048" s="201"/>
    </row>
    <row r="26049" spans="62:62" x14ac:dyDescent="0.2">
      <c r="BJ26049" s="201"/>
    </row>
    <row r="26050" spans="62:62" x14ac:dyDescent="0.2">
      <c r="BJ26050" s="201"/>
    </row>
    <row r="26051" spans="62:62" x14ac:dyDescent="0.2">
      <c r="BJ26051" s="201"/>
    </row>
    <row r="26052" spans="62:62" x14ac:dyDescent="0.2">
      <c r="BJ26052" s="201"/>
    </row>
    <row r="26053" spans="62:62" x14ac:dyDescent="0.2">
      <c r="BJ26053" s="201"/>
    </row>
    <row r="26054" spans="62:62" x14ac:dyDescent="0.2">
      <c r="BJ26054" s="201"/>
    </row>
    <row r="26055" spans="62:62" x14ac:dyDescent="0.2">
      <c r="BJ26055" s="201"/>
    </row>
    <row r="26056" spans="62:62" x14ac:dyDescent="0.2">
      <c r="BJ26056" s="201"/>
    </row>
    <row r="26057" spans="62:62" x14ac:dyDescent="0.2">
      <c r="BJ26057" s="201"/>
    </row>
    <row r="26058" spans="62:62" x14ac:dyDescent="0.2">
      <c r="BJ26058" s="201"/>
    </row>
    <row r="26059" spans="62:62" x14ac:dyDescent="0.2">
      <c r="BJ26059" s="201"/>
    </row>
    <row r="26060" spans="62:62" x14ac:dyDescent="0.2">
      <c r="BJ26060" s="201"/>
    </row>
    <row r="26061" spans="62:62" x14ac:dyDescent="0.2">
      <c r="BJ26061" s="201"/>
    </row>
    <row r="26062" spans="62:62" x14ac:dyDescent="0.2">
      <c r="BJ26062" s="201"/>
    </row>
    <row r="26063" spans="62:62" x14ac:dyDescent="0.2">
      <c r="BJ26063" s="201"/>
    </row>
    <row r="26064" spans="62:62" x14ac:dyDescent="0.2">
      <c r="BJ26064" s="201"/>
    </row>
    <row r="26065" spans="62:62" x14ac:dyDescent="0.2">
      <c r="BJ26065" s="201"/>
    </row>
    <row r="26066" spans="62:62" x14ac:dyDescent="0.2">
      <c r="BJ26066" s="201"/>
    </row>
    <row r="26067" spans="62:62" x14ac:dyDescent="0.2">
      <c r="BJ26067" s="201"/>
    </row>
    <row r="26068" spans="62:62" x14ac:dyDescent="0.2">
      <c r="BJ26068" s="201"/>
    </row>
    <row r="26069" spans="62:62" x14ac:dyDescent="0.2">
      <c r="BJ26069" s="201"/>
    </row>
    <row r="26070" spans="62:62" x14ac:dyDescent="0.2">
      <c r="BJ26070" s="201"/>
    </row>
    <row r="26071" spans="62:62" x14ac:dyDescent="0.2">
      <c r="BJ26071" s="201"/>
    </row>
    <row r="26072" spans="62:62" x14ac:dyDescent="0.2">
      <c r="BJ26072" s="201"/>
    </row>
    <row r="26073" spans="62:62" x14ac:dyDescent="0.2">
      <c r="BJ26073" s="201"/>
    </row>
    <row r="26074" spans="62:62" x14ac:dyDescent="0.2">
      <c r="BJ26074" s="201"/>
    </row>
    <row r="26075" spans="62:62" x14ac:dyDescent="0.2">
      <c r="BJ26075" s="201"/>
    </row>
    <row r="26076" spans="62:62" x14ac:dyDescent="0.2">
      <c r="BJ26076" s="201"/>
    </row>
    <row r="26077" spans="62:62" x14ac:dyDescent="0.2">
      <c r="BJ26077" s="201"/>
    </row>
    <row r="26078" spans="62:62" x14ac:dyDescent="0.2">
      <c r="BJ26078" s="201"/>
    </row>
    <row r="26079" spans="62:62" x14ac:dyDescent="0.2">
      <c r="BJ26079" s="201"/>
    </row>
    <row r="26080" spans="62:62" x14ac:dyDescent="0.2">
      <c r="BJ26080" s="201"/>
    </row>
    <row r="26081" spans="62:62" x14ac:dyDescent="0.2">
      <c r="BJ26081" s="201"/>
    </row>
    <row r="26082" spans="62:62" x14ac:dyDescent="0.2">
      <c r="BJ26082" s="201"/>
    </row>
    <row r="26083" spans="62:62" x14ac:dyDescent="0.2">
      <c r="BJ26083" s="201"/>
    </row>
    <row r="26084" spans="62:62" x14ac:dyDescent="0.2">
      <c r="BJ26084" s="201"/>
    </row>
    <row r="26085" spans="62:62" x14ac:dyDescent="0.2">
      <c r="BJ26085" s="201"/>
    </row>
    <row r="26086" spans="62:62" x14ac:dyDescent="0.2">
      <c r="BJ26086" s="201"/>
    </row>
    <row r="26087" spans="62:62" x14ac:dyDescent="0.2">
      <c r="BJ26087" s="201"/>
    </row>
    <row r="26088" spans="62:62" x14ac:dyDescent="0.2">
      <c r="BJ26088" s="201"/>
    </row>
    <row r="26089" spans="62:62" x14ac:dyDescent="0.2">
      <c r="BJ26089" s="201"/>
    </row>
    <row r="26090" spans="62:62" x14ac:dyDescent="0.2">
      <c r="BJ26090" s="201"/>
    </row>
    <row r="26091" spans="62:62" x14ac:dyDescent="0.2">
      <c r="BJ26091" s="201"/>
    </row>
    <row r="26092" spans="62:62" x14ac:dyDescent="0.2">
      <c r="BJ26092" s="201"/>
    </row>
    <row r="26093" spans="62:62" x14ac:dyDescent="0.2">
      <c r="BJ26093" s="201"/>
    </row>
    <row r="26094" spans="62:62" x14ac:dyDescent="0.2">
      <c r="BJ26094" s="201"/>
    </row>
    <row r="26095" spans="62:62" x14ac:dyDescent="0.2">
      <c r="BJ26095" s="201"/>
    </row>
    <row r="26096" spans="62:62" x14ac:dyDescent="0.2">
      <c r="BJ26096" s="201"/>
    </row>
    <row r="26097" spans="62:62" x14ac:dyDescent="0.2">
      <c r="BJ26097" s="201"/>
    </row>
    <row r="26098" spans="62:62" x14ac:dyDescent="0.2">
      <c r="BJ26098" s="201"/>
    </row>
    <row r="26099" spans="62:62" x14ac:dyDescent="0.2">
      <c r="BJ26099" s="201"/>
    </row>
    <row r="26100" spans="62:62" x14ac:dyDescent="0.2">
      <c r="BJ26100" s="201"/>
    </row>
    <row r="26101" spans="62:62" x14ac:dyDescent="0.2">
      <c r="BJ26101" s="201"/>
    </row>
    <row r="26102" spans="62:62" x14ac:dyDescent="0.2">
      <c r="BJ26102" s="201"/>
    </row>
    <row r="26103" spans="62:62" x14ac:dyDescent="0.2">
      <c r="BJ26103" s="201"/>
    </row>
    <row r="26104" spans="62:62" x14ac:dyDescent="0.2">
      <c r="BJ26104" s="201"/>
    </row>
    <row r="26105" spans="62:62" x14ac:dyDescent="0.2">
      <c r="BJ26105" s="201"/>
    </row>
    <row r="26106" spans="62:62" x14ac:dyDescent="0.2">
      <c r="BJ26106" s="201"/>
    </row>
    <row r="26107" spans="62:62" x14ac:dyDescent="0.2">
      <c r="BJ26107" s="201"/>
    </row>
    <row r="26108" spans="62:62" x14ac:dyDescent="0.2">
      <c r="BJ26108" s="201"/>
    </row>
    <row r="26109" spans="62:62" x14ac:dyDescent="0.2">
      <c r="BJ26109" s="201"/>
    </row>
    <row r="26110" spans="62:62" x14ac:dyDescent="0.2">
      <c r="BJ26110" s="201"/>
    </row>
    <row r="26111" spans="62:62" x14ac:dyDescent="0.2">
      <c r="BJ26111" s="201"/>
    </row>
    <row r="26112" spans="62:62" x14ac:dyDescent="0.2">
      <c r="BJ26112" s="201"/>
    </row>
    <row r="26113" spans="62:62" x14ac:dyDescent="0.2">
      <c r="BJ26113" s="201"/>
    </row>
    <row r="26114" spans="62:62" x14ac:dyDescent="0.2">
      <c r="BJ26114" s="201"/>
    </row>
    <row r="26115" spans="62:62" x14ac:dyDescent="0.2">
      <c r="BJ26115" s="201"/>
    </row>
    <row r="26116" spans="62:62" x14ac:dyDescent="0.2">
      <c r="BJ26116" s="201"/>
    </row>
    <row r="26117" spans="62:62" x14ac:dyDescent="0.2">
      <c r="BJ26117" s="201"/>
    </row>
    <row r="26118" spans="62:62" x14ac:dyDescent="0.2">
      <c r="BJ26118" s="201"/>
    </row>
    <row r="26119" spans="62:62" x14ac:dyDescent="0.2">
      <c r="BJ26119" s="201"/>
    </row>
    <row r="26120" spans="62:62" x14ac:dyDescent="0.2">
      <c r="BJ26120" s="201"/>
    </row>
    <row r="26121" spans="62:62" x14ac:dyDescent="0.2">
      <c r="BJ26121" s="201"/>
    </row>
    <row r="26122" spans="62:62" x14ac:dyDescent="0.2">
      <c r="BJ26122" s="201"/>
    </row>
    <row r="26123" spans="62:62" x14ac:dyDescent="0.2">
      <c r="BJ26123" s="201"/>
    </row>
    <row r="26124" spans="62:62" x14ac:dyDescent="0.2">
      <c r="BJ26124" s="201"/>
    </row>
    <row r="26125" spans="62:62" x14ac:dyDescent="0.2">
      <c r="BJ26125" s="201"/>
    </row>
    <row r="26126" spans="62:62" x14ac:dyDescent="0.2">
      <c r="BJ26126" s="201"/>
    </row>
    <row r="26127" spans="62:62" x14ac:dyDescent="0.2">
      <c r="BJ26127" s="201"/>
    </row>
    <row r="26128" spans="62:62" x14ac:dyDescent="0.2">
      <c r="BJ26128" s="201"/>
    </row>
    <row r="26129" spans="62:62" x14ac:dyDescent="0.2">
      <c r="BJ26129" s="201"/>
    </row>
    <row r="26130" spans="62:62" x14ac:dyDescent="0.2">
      <c r="BJ26130" s="201"/>
    </row>
    <row r="26131" spans="62:62" x14ac:dyDescent="0.2">
      <c r="BJ26131" s="201"/>
    </row>
    <row r="26132" spans="62:62" x14ac:dyDescent="0.2">
      <c r="BJ26132" s="201"/>
    </row>
    <row r="26133" spans="62:62" x14ac:dyDescent="0.2">
      <c r="BJ26133" s="201"/>
    </row>
    <row r="26134" spans="62:62" x14ac:dyDescent="0.2">
      <c r="BJ26134" s="201"/>
    </row>
    <row r="26135" spans="62:62" x14ac:dyDescent="0.2">
      <c r="BJ26135" s="201"/>
    </row>
    <row r="26136" spans="62:62" x14ac:dyDescent="0.2">
      <c r="BJ26136" s="201"/>
    </row>
    <row r="26137" spans="62:62" x14ac:dyDescent="0.2">
      <c r="BJ26137" s="201"/>
    </row>
    <row r="26138" spans="62:62" x14ac:dyDescent="0.2">
      <c r="BJ26138" s="201"/>
    </row>
    <row r="26139" spans="62:62" x14ac:dyDescent="0.2">
      <c r="BJ26139" s="201"/>
    </row>
    <row r="26140" spans="62:62" x14ac:dyDescent="0.2">
      <c r="BJ26140" s="201"/>
    </row>
    <row r="26141" spans="62:62" x14ac:dyDescent="0.2">
      <c r="BJ26141" s="201"/>
    </row>
    <row r="26142" spans="62:62" x14ac:dyDescent="0.2">
      <c r="BJ26142" s="201"/>
    </row>
    <row r="26143" spans="62:62" x14ac:dyDescent="0.2">
      <c r="BJ26143" s="201"/>
    </row>
    <row r="26144" spans="62:62" x14ac:dyDescent="0.2">
      <c r="BJ26144" s="201"/>
    </row>
    <row r="26145" spans="62:62" x14ac:dyDescent="0.2">
      <c r="BJ26145" s="201"/>
    </row>
    <row r="26146" spans="62:62" x14ac:dyDescent="0.2">
      <c r="BJ26146" s="201"/>
    </row>
    <row r="26147" spans="62:62" x14ac:dyDescent="0.2">
      <c r="BJ26147" s="201"/>
    </row>
    <row r="26148" spans="62:62" x14ac:dyDescent="0.2">
      <c r="BJ26148" s="201"/>
    </row>
    <row r="26149" spans="62:62" x14ac:dyDescent="0.2">
      <c r="BJ26149" s="201"/>
    </row>
    <row r="26150" spans="62:62" x14ac:dyDescent="0.2">
      <c r="BJ26150" s="201"/>
    </row>
    <row r="26151" spans="62:62" x14ac:dyDescent="0.2">
      <c r="BJ26151" s="201"/>
    </row>
    <row r="26152" spans="62:62" x14ac:dyDescent="0.2">
      <c r="BJ26152" s="201"/>
    </row>
    <row r="26153" spans="62:62" x14ac:dyDescent="0.2">
      <c r="BJ26153" s="201"/>
    </row>
    <row r="26154" spans="62:62" x14ac:dyDescent="0.2">
      <c r="BJ26154" s="201"/>
    </row>
    <row r="26155" spans="62:62" x14ac:dyDescent="0.2">
      <c r="BJ26155" s="201"/>
    </row>
    <row r="26156" spans="62:62" x14ac:dyDescent="0.2">
      <c r="BJ26156" s="201"/>
    </row>
    <row r="26157" spans="62:62" x14ac:dyDescent="0.2">
      <c r="BJ26157" s="201"/>
    </row>
    <row r="26158" spans="62:62" x14ac:dyDescent="0.2">
      <c r="BJ26158" s="201"/>
    </row>
    <row r="26159" spans="62:62" x14ac:dyDescent="0.2">
      <c r="BJ26159" s="201"/>
    </row>
    <row r="26160" spans="62:62" x14ac:dyDescent="0.2">
      <c r="BJ26160" s="201"/>
    </row>
    <row r="26161" spans="62:62" x14ac:dyDescent="0.2">
      <c r="BJ26161" s="201"/>
    </row>
    <row r="26162" spans="62:62" x14ac:dyDescent="0.2">
      <c r="BJ26162" s="201"/>
    </row>
    <row r="26163" spans="62:62" x14ac:dyDescent="0.2">
      <c r="BJ26163" s="201"/>
    </row>
    <row r="26164" spans="62:62" x14ac:dyDescent="0.2">
      <c r="BJ26164" s="201"/>
    </row>
    <row r="26165" spans="62:62" x14ac:dyDescent="0.2">
      <c r="BJ26165" s="201"/>
    </row>
    <row r="26166" spans="62:62" x14ac:dyDescent="0.2">
      <c r="BJ26166" s="201"/>
    </row>
    <row r="26167" spans="62:62" x14ac:dyDescent="0.2">
      <c r="BJ26167" s="201"/>
    </row>
    <row r="26168" spans="62:62" x14ac:dyDescent="0.2">
      <c r="BJ26168" s="201"/>
    </row>
    <row r="26169" spans="62:62" x14ac:dyDescent="0.2">
      <c r="BJ26169" s="201"/>
    </row>
    <row r="26170" spans="62:62" x14ac:dyDescent="0.2">
      <c r="BJ26170" s="201"/>
    </row>
    <row r="26171" spans="62:62" x14ac:dyDescent="0.2">
      <c r="BJ26171" s="201"/>
    </row>
    <row r="26172" spans="62:62" x14ac:dyDescent="0.2">
      <c r="BJ26172" s="201"/>
    </row>
    <row r="26173" spans="62:62" x14ac:dyDescent="0.2">
      <c r="BJ26173" s="201"/>
    </row>
    <row r="26174" spans="62:62" x14ac:dyDescent="0.2">
      <c r="BJ26174" s="201"/>
    </row>
    <row r="26175" spans="62:62" x14ac:dyDescent="0.2">
      <c r="BJ26175" s="201"/>
    </row>
    <row r="26176" spans="62:62" x14ac:dyDescent="0.2">
      <c r="BJ26176" s="201"/>
    </row>
    <row r="26177" spans="62:62" x14ac:dyDescent="0.2">
      <c r="BJ26177" s="201"/>
    </row>
    <row r="26178" spans="62:62" x14ac:dyDescent="0.2">
      <c r="BJ26178" s="201"/>
    </row>
    <row r="26179" spans="62:62" x14ac:dyDescent="0.2">
      <c r="BJ26179" s="201"/>
    </row>
    <row r="26180" spans="62:62" x14ac:dyDescent="0.2">
      <c r="BJ26180" s="201"/>
    </row>
    <row r="26181" spans="62:62" x14ac:dyDescent="0.2">
      <c r="BJ26181" s="201"/>
    </row>
    <row r="26182" spans="62:62" x14ac:dyDescent="0.2">
      <c r="BJ26182" s="201"/>
    </row>
    <row r="26183" spans="62:62" x14ac:dyDescent="0.2">
      <c r="BJ26183" s="201"/>
    </row>
    <row r="26184" spans="62:62" x14ac:dyDescent="0.2">
      <c r="BJ26184" s="201"/>
    </row>
    <row r="26185" spans="62:62" x14ac:dyDescent="0.2">
      <c r="BJ26185" s="201"/>
    </row>
    <row r="26186" spans="62:62" x14ac:dyDescent="0.2">
      <c r="BJ26186" s="201"/>
    </row>
    <row r="26187" spans="62:62" x14ac:dyDescent="0.2">
      <c r="BJ26187" s="201"/>
    </row>
    <row r="26188" spans="62:62" x14ac:dyDescent="0.2">
      <c r="BJ26188" s="201"/>
    </row>
    <row r="26189" spans="62:62" x14ac:dyDescent="0.2">
      <c r="BJ26189" s="201"/>
    </row>
    <row r="26190" spans="62:62" x14ac:dyDescent="0.2">
      <c r="BJ26190" s="201"/>
    </row>
    <row r="26191" spans="62:62" x14ac:dyDescent="0.2">
      <c r="BJ26191" s="201"/>
    </row>
    <row r="26192" spans="62:62" x14ac:dyDescent="0.2">
      <c r="BJ26192" s="201"/>
    </row>
    <row r="26193" spans="62:62" x14ac:dyDescent="0.2">
      <c r="BJ26193" s="201"/>
    </row>
    <row r="26194" spans="62:62" x14ac:dyDescent="0.2">
      <c r="BJ26194" s="201"/>
    </row>
    <row r="26195" spans="62:62" x14ac:dyDescent="0.2">
      <c r="BJ26195" s="201"/>
    </row>
    <row r="26196" spans="62:62" x14ac:dyDescent="0.2">
      <c r="BJ26196" s="201"/>
    </row>
    <row r="26197" spans="62:62" x14ac:dyDescent="0.2">
      <c r="BJ26197" s="201"/>
    </row>
    <row r="26198" spans="62:62" x14ac:dyDescent="0.2">
      <c r="BJ26198" s="201"/>
    </row>
    <row r="26199" spans="62:62" x14ac:dyDescent="0.2">
      <c r="BJ26199" s="201"/>
    </row>
    <row r="26200" spans="62:62" x14ac:dyDescent="0.2">
      <c r="BJ26200" s="201"/>
    </row>
    <row r="26201" spans="62:62" x14ac:dyDescent="0.2">
      <c r="BJ26201" s="201"/>
    </row>
    <row r="26202" spans="62:62" x14ac:dyDescent="0.2">
      <c r="BJ26202" s="201"/>
    </row>
    <row r="26203" spans="62:62" x14ac:dyDescent="0.2">
      <c r="BJ26203" s="201"/>
    </row>
    <row r="26204" spans="62:62" x14ac:dyDescent="0.2">
      <c r="BJ26204" s="201"/>
    </row>
    <row r="26205" spans="62:62" x14ac:dyDescent="0.2">
      <c r="BJ26205" s="201"/>
    </row>
    <row r="26206" spans="62:62" x14ac:dyDescent="0.2">
      <c r="BJ26206" s="201"/>
    </row>
    <row r="26207" spans="62:62" x14ac:dyDescent="0.2">
      <c r="BJ26207" s="201"/>
    </row>
    <row r="26208" spans="62:62" x14ac:dyDescent="0.2">
      <c r="BJ26208" s="201"/>
    </row>
    <row r="26209" spans="62:62" x14ac:dyDescent="0.2">
      <c r="BJ26209" s="201"/>
    </row>
    <row r="26210" spans="62:62" x14ac:dyDescent="0.2">
      <c r="BJ26210" s="201"/>
    </row>
    <row r="26211" spans="62:62" x14ac:dyDescent="0.2">
      <c r="BJ26211" s="201"/>
    </row>
    <row r="26212" spans="62:62" x14ac:dyDescent="0.2">
      <c r="BJ26212" s="201"/>
    </row>
    <row r="26213" spans="62:62" x14ac:dyDescent="0.2">
      <c r="BJ26213" s="201"/>
    </row>
    <row r="26214" spans="62:62" x14ac:dyDescent="0.2">
      <c r="BJ26214" s="201"/>
    </row>
    <row r="26215" spans="62:62" x14ac:dyDescent="0.2">
      <c r="BJ26215" s="201"/>
    </row>
    <row r="26216" spans="62:62" x14ac:dyDescent="0.2">
      <c r="BJ26216" s="201"/>
    </row>
    <row r="26217" spans="62:62" x14ac:dyDescent="0.2">
      <c r="BJ26217" s="201"/>
    </row>
    <row r="26218" spans="62:62" x14ac:dyDescent="0.2">
      <c r="BJ26218" s="201"/>
    </row>
    <row r="26219" spans="62:62" x14ac:dyDescent="0.2">
      <c r="BJ26219" s="201"/>
    </row>
    <row r="26220" spans="62:62" x14ac:dyDescent="0.2">
      <c r="BJ26220" s="201"/>
    </row>
    <row r="26221" spans="62:62" x14ac:dyDescent="0.2">
      <c r="BJ26221" s="201"/>
    </row>
    <row r="26222" spans="62:62" x14ac:dyDescent="0.2">
      <c r="BJ26222" s="201"/>
    </row>
    <row r="26223" spans="62:62" x14ac:dyDescent="0.2">
      <c r="BJ26223" s="201"/>
    </row>
    <row r="26224" spans="62:62" x14ac:dyDescent="0.2">
      <c r="BJ26224" s="201"/>
    </row>
    <row r="26225" spans="62:62" x14ac:dyDescent="0.2">
      <c r="BJ26225" s="201"/>
    </row>
    <row r="26226" spans="62:62" x14ac:dyDescent="0.2">
      <c r="BJ26226" s="201"/>
    </row>
    <row r="26227" spans="62:62" x14ac:dyDescent="0.2">
      <c r="BJ26227" s="201"/>
    </row>
    <row r="26228" spans="62:62" x14ac:dyDescent="0.2">
      <c r="BJ26228" s="201"/>
    </row>
    <row r="26229" spans="62:62" x14ac:dyDescent="0.2">
      <c r="BJ26229" s="201"/>
    </row>
    <row r="26230" spans="62:62" x14ac:dyDescent="0.2">
      <c r="BJ26230" s="201"/>
    </row>
    <row r="26231" spans="62:62" x14ac:dyDescent="0.2">
      <c r="BJ26231" s="201"/>
    </row>
    <row r="26232" spans="62:62" x14ac:dyDescent="0.2">
      <c r="BJ26232" s="201"/>
    </row>
    <row r="26233" spans="62:62" x14ac:dyDescent="0.2">
      <c r="BJ26233" s="201"/>
    </row>
    <row r="26234" spans="62:62" x14ac:dyDescent="0.2">
      <c r="BJ26234" s="201"/>
    </row>
    <row r="26235" spans="62:62" x14ac:dyDescent="0.2">
      <c r="BJ26235" s="201"/>
    </row>
    <row r="26236" spans="62:62" x14ac:dyDescent="0.2">
      <c r="BJ26236" s="201"/>
    </row>
    <row r="26237" spans="62:62" x14ac:dyDescent="0.2">
      <c r="BJ26237" s="201"/>
    </row>
    <row r="26238" spans="62:62" x14ac:dyDescent="0.2">
      <c r="BJ26238" s="201"/>
    </row>
    <row r="26239" spans="62:62" x14ac:dyDescent="0.2">
      <c r="BJ26239" s="201"/>
    </row>
    <row r="26240" spans="62:62" x14ac:dyDescent="0.2">
      <c r="BJ26240" s="201"/>
    </row>
    <row r="26241" spans="62:62" x14ac:dyDescent="0.2">
      <c r="BJ26241" s="201"/>
    </row>
    <row r="26242" spans="62:62" x14ac:dyDescent="0.2">
      <c r="BJ26242" s="201"/>
    </row>
    <row r="26243" spans="62:62" x14ac:dyDescent="0.2">
      <c r="BJ26243" s="201"/>
    </row>
    <row r="26244" spans="62:62" x14ac:dyDescent="0.2">
      <c r="BJ26244" s="201"/>
    </row>
    <row r="26245" spans="62:62" x14ac:dyDescent="0.2">
      <c r="BJ26245" s="201"/>
    </row>
    <row r="26246" spans="62:62" x14ac:dyDescent="0.2">
      <c r="BJ26246" s="201"/>
    </row>
    <row r="26247" spans="62:62" x14ac:dyDescent="0.2">
      <c r="BJ26247" s="201"/>
    </row>
    <row r="26248" spans="62:62" x14ac:dyDescent="0.2">
      <c r="BJ26248" s="201"/>
    </row>
    <row r="26249" spans="62:62" x14ac:dyDescent="0.2">
      <c r="BJ26249" s="201"/>
    </row>
    <row r="26250" spans="62:62" x14ac:dyDescent="0.2">
      <c r="BJ26250" s="201"/>
    </row>
    <row r="26251" spans="62:62" x14ac:dyDescent="0.2">
      <c r="BJ26251" s="201"/>
    </row>
    <row r="26252" spans="62:62" x14ac:dyDescent="0.2">
      <c r="BJ26252" s="201"/>
    </row>
    <row r="26253" spans="62:62" x14ac:dyDescent="0.2">
      <c r="BJ26253" s="201"/>
    </row>
    <row r="26254" spans="62:62" x14ac:dyDescent="0.2">
      <c r="BJ26254" s="201"/>
    </row>
    <row r="26255" spans="62:62" x14ac:dyDescent="0.2">
      <c r="BJ26255" s="201"/>
    </row>
    <row r="26256" spans="62:62" x14ac:dyDescent="0.2">
      <c r="BJ26256" s="201"/>
    </row>
    <row r="26257" spans="62:62" x14ac:dyDescent="0.2">
      <c r="BJ26257" s="201"/>
    </row>
    <row r="26258" spans="62:62" x14ac:dyDescent="0.2">
      <c r="BJ26258" s="201"/>
    </row>
    <row r="26259" spans="62:62" x14ac:dyDescent="0.2">
      <c r="BJ26259" s="201"/>
    </row>
    <row r="26260" spans="62:62" x14ac:dyDescent="0.2">
      <c r="BJ26260" s="201"/>
    </row>
    <row r="26261" spans="62:62" x14ac:dyDescent="0.2">
      <c r="BJ26261" s="201"/>
    </row>
    <row r="26262" spans="62:62" x14ac:dyDescent="0.2">
      <c r="BJ26262" s="201"/>
    </row>
    <row r="26263" spans="62:62" x14ac:dyDescent="0.2">
      <c r="BJ26263" s="201"/>
    </row>
    <row r="26264" spans="62:62" x14ac:dyDescent="0.2">
      <c r="BJ26264" s="201"/>
    </row>
    <row r="26265" spans="62:62" x14ac:dyDescent="0.2">
      <c r="BJ26265" s="201"/>
    </row>
    <row r="26266" spans="62:62" x14ac:dyDescent="0.2">
      <c r="BJ26266" s="201"/>
    </row>
    <row r="26267" spans="62:62" x14ac:dyDescent="0.2">
      <c r="BJ26267" s="201"/>
    </row>
    <row r="26268" spans="62:62" x14ac:dyDescent="0.2">
      <c r="BJ26268" s="201"/>
    </row>
    <row r="26269" spans="62:62" x14ac:dyDescent="0.2">
      <c r="BJ26269" s="201"/>
    </row>
    <row r="26270" spans="62:62" x14ac:dyDescent="0.2">
      <c r="BJ26270" s="201"/>
    </row>
    <row r="26271" spans="62:62" x14ac:dyDescent="0.2">
      <c r="BJ26271" s="201"/>
    </row>
    <row r="26272" spans="62:62" x14ac:dyDescent="0.2">
      <c r="BJ26272" s="201"/>
    </row>
    <row r="26273" spans="62:62" x14ac:dyDescent="0.2">
      <c r="BJ26273" s="201"/>
    </row>
    <row r="26274" spans="62:62" x14ac:dyDescent="0.2">
      <c r="BJ26274" s="201"/>
    </row>
    <row r="26275" spans="62:62" x14ac:dyDescent="0.2">
      <c r="BJ26275" s="201"/>
    </row>
    <row r="26276" spans="62:62" x14ac:dyDescent="0.2">
      <c r="BJ26276" s="201"/>
    </row>
    <row r="26277" spans="62:62" x14ac:dyDescent="0.2">
      <c r="BJ26277" s="201"/>
    </row>
    <row r="26278" spans="62:62" x14ac:dyDescent="0.2">
      <c r="BJ26278" s="201"/>
    </row>
    <row r="26279" spans="62:62" x14ac:dyDescent="0.2">
      <c r="BJ26279" s="201"/>
    </row>
    <row r="26280" spans="62:62" x14ac:dyDescent="0.2">
      <c r="BJ26280" s="201"/>
    </row>
    <row r="26281" spans="62:62" x14ac:dyDescent="0.2">
      <c r="BJ26281" s="201"/>
    </row>
    <row r="26282" spans="62:62" x14ac:dyDescent="0.2">
      <c r="BJ26282" s="201"/>
    </row>
    <row r="26283" spans="62:62" x14ac:dyDescent="0.2">
      <c r="BJ26283" s="201"/>
    </row>
    <row r="26284" spans="62:62" x14ac:dyDescent="0.2">
      <c r="BJ26284" s="201"/>
    </row>
    <row r="26285" spans="62:62" x14ac:dyDescent="0.2">
      <c r="BJ26285" s="201"/>
    </row>
    <row r="26286" spans="62:62" x14ac:dyDescent="0.2">
      <c r="BJ26286" s="201"/>
    </row>
    <row r="26287" spans="62:62" x14ac:dyDescent="0.2">
      <c r="BJ26287" s="201"/>
    </row>
    <row r="26288" spans="62:62" x14ac:dyDescent="0.2">
      <c r="BJ26288" s="201"/>
    </row>
    <row r="26289" spans="62:62" x14ac:dyDescent="0.2">
      <c r="BJ26289" s="201"/>
    </row>
    <row r="26290" spans="62:62" x14ac:dyDescent="0.2">
      <c r="BJ26290" s="201"/>
    </row>
    <row r="26291" spans="62:62" x14ac:dyDescent="0.2">
      <c r="BJ26291" s="201"/>
    </row>
    <row r="26292" spans="62:62" x14ac:dyDescent="0.2">
      <c r="BJ26292" s="201"/>
    </row>
    <row r="26293" spans="62:62" x14ac:dyDescent="0.2">
      <c r="BJ26293" s="201"/>
    </row>
    <row r="26294" spans="62:62" x14ac:dyDescent="0.2">
      <c r="BJ26294" s="201"/>
    </row>
    <row r="26295" spans="62:62" x14ac:dyDescent="0.2">
      <c r="BJ26295" s="201"/>
    </row>
    <row r="26296" spans="62:62" x14ac:dyDescent="0.2">
      <c r="BJ26296" s="201"/>
    </row>
    <row r="26297" spans="62:62" x14ac:dyDescent="0.2">
      <c r="BJ26297" s="201"/>
    </row>
    <row r="26298" spans="62:62" x14ac:dyDescent="0.2">
      <c r="BJ26298" s="201"/>
    </row>
    <row r="26299" spans="62:62" x14ac:dyDescent="0.2">
      <c r="BJ26299" s="201"/>
    </row>
    <row r="26300" spans="62:62" x14ac:dyDescent="0.2">
      <c r="BJ26300" s="201"/>
    </row>
    <row r="26301" spans="62:62" x14ac:dyDescent="0.2">
      <c r="BJ26301" s="201"/>
    </row>
    <row r="26302" spans="62:62" x14ac:dyDescent="0.2">
      <c r="BJ26302" s="201"/>
    </row>
    <row r="26303" spans="62:62" x14ac:dyDescent="0.2">
      <c r="BJ26303" s="201"/>
    </row>
    <row r="26304" spans="62:62" x14ac:dyDescent="0.2">
      <c r="BJ26304" s="201"/>
    </row>
    <row r="26305" spans="62:62" x14ac:dyDescent="0.2">
      <c r="BJ26305" s="201"/>
    </row>
    <row r="26306" spans="62:62" x14ac:dyDescent="0.2">
      <c r="BJ26306" s="201"/>
    </row>
    <row r="26307" spans="62:62" x14ac:dyDescent="0.2">
      <c r="BJ26307" s="201"/>
    </row>
    <row r="26308" spans="62:62" x14ac:dyDescent="0.2">
      <c r="BJ26308" s="201"/>
    </row>
    <row r="26309" spans="62:62" x14ac:dyDescent="0.2">
      <c r="BJ26309" s="201"/>
    </row>
    <row r="26310" spans="62:62" x14ac:dyDescent="0.2">
      <c r="BJ26310" s="201"/>
    </row>
    <row r="26311" spans="62:62" x14ac:dyDescent="0.2">
      <c r="BJ26311" s="201"/>
    </row>
    <row r="26312" spans="62:62" x14ac:dyDescent="0.2">
      <c r="BJ26312" s="201"/>
    </row>
    <row r="26313" spans="62:62" x14ac:dyDescent="0.2">
      <c r="BJ26313" s="201"/>
    </row>
    <row r="26314" spans="62:62" x14ac:dyDescent="0.2">
      <c r="BJ26314" s="201"/>
    </row>
    <row r="26315" spans="62:62" x14ac:dyDescent="0.2">
      <c r="BJ26315" s="201"/>
    </row>
    <row r="26316" spans="62:62" x14ac:dyDescent="0.2">
      <c r="BJ26316" s="201"/>
    </row>
    <row r="26317" spans="62:62" x14ac:dyDescent="0.2">
      <c r="BJ26317" s="201"/>
    </row>
    <row r="26318" spans="62:62" x14ac:dyDescent="0.2">
      <c r="BJ26318" s="201"/>
    </row>
    <row r="26319" spans="62:62" x14ac:dyDescent="0.2">
      <c r="BJ26319" s="201"/>
    </row>
    <row r="26320" spans="62:62" x14ac:dyDescent="0.2">
      <c r="BJ26320" s="201"/>
    </row>
    <row r="26321" spans="62:62" x14ac:dyDescent="0.2">
      <c r="BJ26321" s="201"/>
    </row>
    <row r="26322" spans="62:62" x14ac:dyDescent="0.2">
      <c r="BJ26322" s="201"/>
    </row>
    <row r="26323" spans="62:62" x14ac:dyDescent="0.2">
      <c r="BJ26323" s="201"/>
    </row>
    <row r="26324" spans="62:62" x14ac:dyDescent="0.2">
      <c r="BJ26324" s="201"/>
    </row>
    <row r="26325" spans="62:62" x14ac:dyDescent="0.2">
      <c r="BJ26325" s="201"/>
    </row>
    <row r="26326" spans="62:62" x14ac:dyDescent="0.2">
      <c r="BJ26326" s="201"/>
    </row>
    <row r="26327" spans="62:62" x14ac:dyDescent="0.2">
      <c r="BJ26327" s="201"/>
    </row>
    <row r="26328" spans="62:62" x14ac:dyDescent="0.2">
      <c r="BJ26328" s="201"/>
    </row>
    <row r="26329" spans="62:62" x14ac:dyDescent="0.2">
      <c r="BJ26329" s="201"/>
    </row>
    <row r="26330" spans="62:62" x14ac:dyDescent="0.2">
      <c r="BJ26330" s="201"/>
    </row>
    <row r="26331" spans="62:62" x14ac:dyDescent="0.2">
      <c r="BJ26331" s="201"/>
    </row>
    <row r="26332" spans="62:62" x14ac:dyDescent="0.2">
      <c r="BJ26332" s="201"/>
    </row>
    <row r="26333" spans="62:62" x14ac:dyDescent="0.2">
      <c r="BJ26333" s="201"/>
    </row>
    <row r="26334" spans="62:62" x14ac:dyDescent="0.2">
      <c r="BJ26334" s="201"/>
    </row>
    <row r="26335" spans="62:62" x14ac:dyDescent="0.2">
      <c r="BJ26335" s="201"/>
    </row>
    <row r="26336" spans="62:62" x14ac:dyDescent="0.2">
      <c r="BJ26336" s="201"/>
    </row>
    <row r="26337" spans="62:62" x14ac:dyDescent="0.2">
      <c r="BJ26337" s="201"/>
    </row>
    <row r="26338" spans="62:62" x14ac:dyDescent="0.2">
      <c r="BJ26338" s="201"/>
    </row>
    <row r="26339" spans="62:62" x14ac:dyDescent="0.2">
      <c r="BJ26339" s="201"/>
    </row>
    <row r="26340" spans="62:62" x14ac:dyDescent="0.2">
      <c r="BJ26340" s="201"/>
    </row>
    <row r="26341" spans="62:62" x14ac:dyDescent="0.2">
      <c r="BJ26341" s="201"/>
    </row>
    <row r="26342" spans="62:62" x14ac:dyDescent="0.2">
      <c r="BJ26342" s="201"/>
    </row>
    <row r="26343" spans="62:62" x14ac:dyDescent="0.2">
      <c r="BJ26343" s="201"/>
    </row>
    <row r="26344" spans="62:62" x14ac:dyDescent="0.2">
      <c r="BJ26344" s="201"/>
    </row>
    <row r="26345" spans="62:62" x14ac:dyDescent="0.2">
      <c r="BJ26345" s="201"/>
    </row>
    <row r="26346" spans="62:62" x14ac:dyDescent="0.2">
      <c r="BJ26346" s="201"/>
    </row>
    <row r="26347" spans="62:62" x14ac:dyDescent="0.2">
      <c r="BJ26347" s="201"/>
    </row>
    <row r="26348" spans="62:62" x14ac:dyDescent="0.2">
      <c r="BJ26348" s="201"/>
    </row>
    <row r="26349" spans="62:62" x14ac:dyDescent="0.2">
      <c r="BJ26349" s="201"/>
    </row>
    <row r="26350" spans="62:62" x14ac:dyDescent="0.2">
      <c r="BJ26350" s="201"/>
    </row>
    <row r="26351" spans="62:62" x14ac:dyDescent="0.2">
      <c r="BJ26351" s="201"/>
    </row>
    <row r="26352" spans="62:62" x14ac:dyDescent="0.2">
      <c r="BJ26352" s="201"/>
    </row>
    <row r="26353" spans="62:62" x14ac:dyDescent="0.2">
      <c r="BJ26353" s="201"/>
    </row>
    <row r="26354" spans="62:62" x14ac:dyDescent="0.2">
      <c r="BJ26354" s="201"/>
    </row>
    <row r="26355" spans="62:62" x14ac:dyDescent="0.2">
      <c r="BJ26355" s="201"/>
    </row>
    <row r="26356" spans="62:62" x14ac:dyDescent="0.2">
      <c r="BJ26356" s="201"/>
    </row>
    <row r="26357" spans="62:62" x14ac:dyDescent="0.2">
      <c r="BJ26357" s="201"/>
    </row>
    <row r="26358" spans="62:62" x14ac:dyDescent="0.2">
      <c r="BJ26358" s="201"/>
    </row>
    <row r="26359" spans="62:62" x14ac:dyDescent="0.2">
      <c r="BJ26359" s="201"/>
    </row>
    <row r="26360" spans="62:62" x14ac:dyDescent="0.2">
      <c r="BJ26360" s="201"/>
    </row>
    <row r="26361" spans="62:62" x14ac:dyDescent="0.2">
      <c r="BJ26361" s="201"/>
    </row>
    <row r="26362" spans="62:62" x14ac:dyDescent="0.2">
      <c r="BJ26362" s="201"/>
    </row>
    <row r="26363" spans="62:62" x14ac:dyDescent="0.2">
      <c r="BJ26363" s="201"/>
    </row>
    <row r="26364" spans="62:62" x14ac:dyDescent="0.2">
      <c r="BJ26364" s="201"/>
    </row>
    <row r="26365" spans="62:62" x14ac:dyDescent="0.2">
      <c r="BJ26365" s="201"/>
    </row>
    <row r="26366" spans="62:62" x14ac:dyDescent="0.2">
      <c r="BJ26366" s="201"/>
    </row>
    <row r="26367" spans="62:62" x14ac:dyDescent="0.2">
      <c r="BJ26367" s="201"/>
    </row>
    <row r="26368" spans="62:62" x14ac:dyDescent="0.2">
      <c r="BJ26368" s="201"/>
    </row>
    <row r="26369" spans="62:62" x14ac:dyDescent="0.2">
      <c r="BJ26369" s="201"/>
    </row>
    <row r="26370" spans="62:62" x14ac:dyDescent="0.2">
      <c r="BJ26370" s="201"/>
    </row>
    <row r="26371" spans="62:62" x14ac:dyDescent="0.2">
      <c r="BJ26371" s="201"/>
    </row>
    <row r="26372" spans="62:62" x14ac:dyDescent="0.2">
      <c r="BJ26372" s="201"/>
    </row>
    <row r="26373" spans="62:62" x14ac:dyDescent="0.2">
      <c r="BJ26373" s="201"/>
    </row>
    <row r="26374" spans="62:62" x14ac:dyDescent="0.2">
      <c r="BJ26374" s="201"/>
    </row>
    <row r="26375" spans="62:62" x14ac:dyDescent="0.2">
      <c r="BJ26375" s="201"/>
    </row>
    <row r="26376" spans="62:62" x14ac:dyDescent="0.2">
      <c r="BJ26376" s="201"/>
    </row>
    <row r="26377" spans="62:62" x14ac:dyDescent="0.2">
      <c r="BJ26377" s="201"/>
    </row>
    <row r="26378" spans="62:62" x14ac:dyDescent="0.2">
      <c r="BJ26378" s="201"/>
    </row>
    <row r="26379" spans="62:62" x14ac:dyDescent="0.2">
      <c r="BJ26379" s="201"/>
    </row>
    <row r="26380" spans="62:62" x14ac:dyDescent="0.2">
      <c r="BJ26380" s="201"/>
    </row>
    <row r="26381" spans="62:62" x14ac:dyDescent="0.2">
      <c r="BJ26381" s="201"/>
    </row>
    <row r="26382" spans="62:62" x14ac:dyDescent="0.2">
      <c r="BJ26382" s="201"/>
    </row>
    <row r="26383" spans="62:62" x14ac:dyDescent="0.2">
      <c r="BJ26383" s="201"/>
    </row>
    <row r="26384" spans="62:62" x14ac:dyDescent="0.2">
      <c r="BJ26384" s="201"/>
    </row>
    <row r="26385" spans="62:62" x14ac:dyDescent="0.2">
      <c r="BJ26385" s="201"/>
    </row>
    <row r="26386" spans="62:62" x14ac:dyDescent="0.2">
      <c r="BJ26386" s="201"/>
    </row>
    <row r="26387" spans="62:62" x14ac:dyDescent="0.2">
      <c r="BJ26387" s="201"/>
    </row>
    <row r="26388" spans="62:62" x14ac:dyDescent="0.2">
      <c r="BJ26388" s="201"/>
    </row>
    <row r="26389" spans="62:62" x14ac:dyDescent="0.2">
      <c r="BJ26389" s="201"/>
    </row>
    <row r="26390" spans="62:62" x14ac:dyDescent="0.2">
      <c r="BJ26390" s="201"/>
    </row>
    <row r="26391" spans="62:62" x14ac:dyDescent="0.2">
      <c r="BJ26391" s="201"/>
    </row>
    <row r="26392" spans="62:62" x14ac:dyDescent="0.2">
      <c r="BJ26392" s="201"/>
    </row>
    <row r="26393" spans="62:62" x14ac:dyDescent="0.2">
      <c r="BJ26393" s="201"/>
    </row>
    <row r="26394" spans="62:62" x14ac:dyDescent="0.2">
      <c r="BJ26394" s="201"/>
    </row>
    <row r="26395" spans="62:62" x14ac:dyDescent="0.2">
      <c r="BJ26395" s="201"/>
    </row>
    <row r="26396" spans="62:62" x14ac:dyDescent="0.2">
      <c r="BJ26396" s="201"/>
    </row>
    <row r="26397" spans="62:62" x14ac:dyDescent="0.2">
      <c r="BJ26397" s="201"/>
    </row>
    <row r="26398" spans="62:62" x14ac:dyDescent="0.2">
      <c r="BJ26398" s="201"/>
    </row>
    <row r="26399" spans="62:62" x14ac:dyDescent="0.2">
      <c r="BJ26399" s="201"/>
    </row>
    <row r="26400" spans="62:62" x14ac:dyDescent="0.2">
      <c r="BJ26400" s="201"/>
    </row>
    <row r="26401" spans="62:62" x14ac:dyDescent="0.2">
      <c r="BJ26401" s="201"/>
    </row>
    <row r="26402" spans="62:62" x14ac:dyDescent="0.2">
      <c r="BJ26402" s="201"/>
    </row>
    <row r="26403" spans="62:62" x14ac:dyDescent="0.2">
      <c r="BJ26403" s="201"/>
    </row>
    <row r="26404" spans="62:62" x14ac:dyDescent="0.2">
      <c r="BJ26404" s="201"/>
    </row>
    <row r="26405" spans="62:62" x14ac:dyDescent="0.2">
      <c r="BJ26405" s="201"/>
    </row>
    <row r="26406" spans="62:62" x14ac:dyDescent="0.2">
      <c r="BJ26406" s="201"/>
    </row>
    <row r="26407" spans="62:62" x14ac:dyDescent="0.2">
      <c r="BJ26407" s="201"/>
    </row>
    <row r="26408" spans="62:62" x14ac:dyDescent="0.2">
      <c r="BJ26408" s="201"/>
    </row>
    <row r="26409" spans="62:62" x14ac:dyDescent="0.2">
      <c r="BJ26409" s="201"/>
    </row>
    <row r="26410" spans="62:62" x14ac:dyDescent="0.2">
      <c r="BJ26410" s="201"/>
    </row>
    <row r="26411" spans="62:62" x14ac:dyDescent="0.2">
      <c r="BJ26411" s="201"/>
    </row>
    <row r="26412" spans="62:62" x14ac:dyDescent="0.2">
      <c r="BJ26412" s="201"/>
    </row>
    <row r="26413" spans="62:62" x14ac:dyDescent="0.2">
      <c r="BJ26413" s="201"/>
    </row>
    <row r="26414" spans="62:62" x14ac:dyDescent="0.2">
      <c r="BJ26414" s="201"/>
    </row>
    <row r="26415" spans="62:62" x14ac:dyDescent="0.2">
      <c r="BJ26415" s="201"/>
    </row>
    <row r="26416" spans="62:62" x14ac:dyDescent="0.2">
      <c r="BJ26416" s="201"/>
    </row>
    <row r="26417" spans="62:62" x14ac:dyDescent="0.2">
      <c r="BJ26417" s="201"/>
    </row>
    <row r="26418" spans="62:62" x14ac:dyDescent="0.2">
      <c r="BJ26418" s="201"/>
    </row>
    <row r="26419" spans="62:62" x14ac:dyDescent="0.2">
      <c r="BJ26419" s="201"/>
    </row>
    <row r="26420" spans="62:62" x14ac:dyDescent="0.2">
      <c r="BJ26420" s="201"/>
    </row>
    <row r="26421" spans="62:62" x14ac:dyDescent="0.2">
      <c r="BJ26421" s="201"/>
    </row>
    <row r="26422" spans="62:62" x14ac:dyDescent="0.2">
      <c r="BJ26422" s="201"/>
    </row>
    <row r="26423" spans="62:62" x14ac:dyDescent="0.2">
      <c r="BJ26423" s="201"/>
    </row>
    <row r="26424" spans="62:62" x14ac:dyDescent="0.2">
      <c r="BJ26424" s="201"/>
    </row>
    <row r="26425" spans="62:62" x14ac:dyDescent="0.2">
      <c r="BJ26425" s="201"/>
    </row>
    <row r="26426" spans="62:62" x14ac:dyDescent="0.2">
      <c r="BJ26426" s="201"/>
    </row>
    <row r="26427" spans="62:62" x14ac:dyDescent="0.2">
      <c r="BJ26427" s="201"/>
    </row>
    <row r="26428" spans="62:62" x14ac:dyDescent="0.2">
      <c r="BJ26428" s="201"/>
    </row>
    <row r="26429" spans="62:62" x14ac:dyDescent="0.2">
      <c r="BJ26429" s="201"/>
    </row>
    <row r="26430" spans="62:62" x14ac:dyDescent="0.2">
      <c r="BJ26430" s="201"/>
    </row>
    <row r="26431" spans="62:62" x14ac:dyDescent="0.2">
      <c r="BJ26431" s="201"/>
    </row>
    <row r="26432" spans="62:62" x14ac:dyDescent="0.2">
      <c r="BJ26432" s="201"/>
    </row>
    <row r="26433" spans="62:62" x14ac:dyDescent="0.2">
      <c r="BJ26433" s="201"/>
    </row>
    <row r="26434" spans="62:62" x14ac:dyDescent="0.2">
      <c r="BJ26434" s="201"/>
    </row>
    <row r="26435" spans="62:62" x14ac:dyDescent="0.2">
      <c r="BJ26435" s="201"/>
    </row>
    <row r="26436" spans="62:62" x14ac:dyDescent="0.2">
      <c r="BJ26436" s="201"/>
    </row>
    <row r="26437" spans="62:62" x14ac:dyDescent="0.2">
      <c r="BJ26437" s="201"/>
    </row>
    <row r="26438" spans="62:62" x14ac:dyDescent="0.2">
      <c r="BJ26438" s="201"/>
    </row>
    <row r="26439" spans="62:62" x14ac:dyDescent="0.2">
      <c r="BJ26439" s="201"/>
    </row>
    <row r="26440" spans="62:62" x14ac:dyDescent="0.2">
      <c r="BJ26440" s="201"/>
    </row>
    <row r="26441" spans="62:62" x14ac:dyDescent="0.2">
      <c r="BJ26441" s="201"/>
    </row>
    <row r="26442" spans="62:62" x14ac:dyDescent="0.2">
      <c r="BJ26442" s="201"/>
    </row>
    <row r="26443" spans="62:62" x14ac:dyDescent="0.2">
      <c r="BJ26443" s="201"/>
    </row>
    <row r="26444" spans="62:62" x14ac:dyDescent="0.2">
      <c r="BJ26444" s="201"/>
    </row>
    <row r="26445" spans="62:62" x14ac:dyDescent="0.2">
      <c r="BJ26445" s="201"/>
    </row>
    <row r="26446" spans="62:62" x14ac:dyDescent="0.2">
      <c r="BJ26446" s="201"/>
    </row>
    <row r="26447" spans="62:62" x14ac:dyDescent="0.2">
      <c r="BJ26447" s="201"/>
    </row>
    <row r="26448" spans="62:62" x14ac:dyDescent="0.2">
      <c r="BJ26448" s="201"/>
    </row>
    <row r="26449" spans="62:62" x14ac:dyDescent="0.2">
      <c r="BJ26449" s="201"/>
    </row>
    <row r="26450" spans="62:62" x14ac:dyDescent="0.2">
      <c r="BJ26450" s="201"/>
    </row>
    <row r="26451" spans="62:62" x14ac:dyDescent="0.2">
      <c r="BJ26451" s="201"/>
    </row>
    <row r="26452" spans="62:62" x14ac:dyDescent="0.2">
      <c r="BJ26452" s="201"/>
    </row>
    <row r="26453" spans="62:62" x14ac:dyDescent="0.2">
      <c r="BJ26453" s="201"/>
    </row>
    <row r="26454" spans="62:62" x14ac:dyDescent="0.2">
      <c r="BJ26454" s="201"/>
    </row>
    <row r="26455" spans="62:62" x14ac:dyDescent="0.2">
      <c r="BJ26455" s="201"/>
    </row>
    <row r="26456" spans="62:62" x14ac:dyDescent="0.2">
      <c r="BJ26456" s="201"/>
    </row>
    <row r="26457" spans="62:62" x14ac:dyDescent="0.2">
      <c r="BJ26457" s="201"/>
    </row>
    <row r="26458" spans="62:62" x14ac:dyDescent="0.2">
      <c r="BJ26458" s="201"/>
    </row>
    <row r="26459" spans="62:62" x14ac:dyDescent="0.2">
      <c r="BJ26459" s="201"/>
    </row>
    <row r="26460" spans="62:62" x14ac:dyDescent="0.2">
      <c r="BJ26460" s="201"/>
    </row>
    <row r="26461" spans="62:62" x14ac:dyDescent="0.2">
      <c r="BJ26461" s="201"/>
    </row>
    <row r="26462" spans="62:62" x14ac:dyDescent="0.2">
      <c r="BJ26462" s="201"/>
    </row>
    <row r="26463" spans="62:62" x14ac:dyDescent="0.2">
      <c r="BJ26463" s="201"/>
    </row>
    <row r="26464" spans="62:62" x14ac:dyDescent="0.2">
      <c r="BJ26464" s="201"/>
    </row>
    <row r="26465" spans="62:62" x14ac:dyDescent="0.2">
      <c r="BJ26465" s="201"/>
    </row>
    <row r="26466" spans="62:62" x14ac:dyDescent="0.2">
      <c r="BJ26466" s="201"/>
    </row>
    <row r="26467" spans="62:62" x14ac:dyDescent="0.2">
      <c r="BJ26467" s="201"/>
    </row>
    <row r="26468" spans="62:62" x14ac:dyDescent="0.2">
      <c r="BJ26468" s="201"/>
    </row>
    <row r="26469" spans="62:62" x14ac:dyDescent="0.2">
      <c r="BJ26469" s="201"/>
    </row>
    <row r="26470" spans="62:62" x14ac:dyDescent="0.2">
      <c r="BJ26470" s="201"/>
    </row>
    <row r="26471" spans="62:62" x14ac:dyDescent="0.2">
      <c r="BJ26471" s="201"/>
    </row>
    <row r="26472" spans="62:62" x14ac:dyDescent="0.2">
      <c r="BJ26472" s="201"/>
    </row>
    <row r="26473" spans="62:62" x14ac:dyDescent="0.2">
      <c r="BJ26473" s="201"/>
    </row>
    <row r="26474" spans="62:62" x14ac:dyDescent="0.2">
      <c r="BJ26474" s="201"/>
    </row>
    <row r="26475" spans="62:62" x14ac:dyDescent="0.2">
      <c r="BJ26475" s="201"/>
    </row>
    <row r="26476" spans="62:62" x14ac:dyDescent="0.2">
      <c r="BJ26476" s="201"/>
    </row>
    <row r="26477" spans="62:62" x14ac:dyDescent="0.2">
      <c r="BJ26477" s="201"/>
    </row>
    <row r="26478" spans="62:62" x14ac:dyDescent="0.2">
      <c r="BJ26478" s="201"/>
    </row>
    <row r="26479" spans="62:62" x14ac:dyDescent="0.2">
      <c r="BJ26479" s="201"/>
    </row>
    <row r="26480" spans="62:62" x14ac:dyDescent="0.2">
      <c r="BJ26480" s="201"/>
    </row>
    <row r="26481" spans="62:62" x14ac:dyDescent="0.2">
      <c r="BJ26481" s="201"/>
    </row>
    <row r="26482" spans="62:62" x14ac:dyDescent="0.2">
      <c r="BJ26482" s="201"/>
    </row>
    <row r="26483" spans="62:62" x14ac:dyDescent="0.2">
      <c r="BJ26483" s="201"/>
    </row>
    <row r="26484" spans="62:62" x14ac:dyDescent="0.2">
      <c r="BJ26484" s="201"/>
    </row>
    <row r="26485" spans="62:62" x14ac:dyDescent="0.2">
      <c r="BJ26485" s="201"/>
    </row>
    <row r="26486" spans="62:62" x14ac:dyDescent="0.2">
      <c r="BJ26486" s="201"/>
    </row>
    <row r="26487" spans="62:62" x14ac:dyDescent="0.2">
      <c r="BJ26487" s="201"/>
    </row>
    <row r="26488" spans="62:62" x14ac:dyDescent="0.2">
      <c r="BJ26488" s="201"/>
    </row>
    <row r="26489" spans="62:62" x14ac:dyDescent="0.2">
      <c r="BJ26489" s="201"/>
    </row>
    <row r="26490" spans="62:62" x14ac:dyDescent="0.2">
      <c r="BJ26490" s="201"/>
    </row>
    <row r="26491" spans="62:62" x14ac:dyDescent="0.2">
      <c r="BJ26491" s="201"/>
    </row>
    <row r="26492" spans="62:62" x14ac:dyDescent="0.2">
      <c r="BJ26492" s="201"/>
    </row>
    <row r="26493" spans="62:62" x14ac:dyDescent="0.2">
      <c r="BJ26493" s="201"/>
    </row>
    <row r="26494" spans="62:62" x14ac:dyDescent="0.2">
      <c r="BJ26494" s="201"/>
    </row>
    <row r="26495" spans="62:62" x14ac:dyDescent="0.2">
      <c r="BJ26495" s="201"/>
    </row>
    <row r="26496" spans="62:62" x14ac:dyDescent="0.2">
      <c r="BJ26496" s="201"/>
    </row>
    <row r="26497" spans="62:62" x14ac:dyDescent="0.2">
      <c r="BJ26497" s="201"/>
    </row>
    <row r="26498" spans="62:62" x14ac:dyDescent="0.2">
      <c r="BJ26498" s="201"/>
    </row>
    <row r="26499" spans="62:62" x14ac:dyDescent="0.2">
      <c r="BJ26499" s="201"/>
    </row>
    <row r="26500" spans="62:62" x14ac:dyDescent="0.2">
      <c r="BJ26500" s="201"/>
    </row>
    <row r="26501" spans="62:62" x14ac:dyDescent="0.2">
      <c r="BJ26501" s="201"/>
    </row>
    <row r="26502" spans="62:62" x14ac:dyDescent="0.2">
      <c r="BJ26502" s="201"/>
    </row>
    <row r="26503" spans="62:62" x14ac:dyDescent="0.2">
      <c r="BJ26503" s="201"/>
    </row>
    <row r="26504" spans="62:62" x14ac:dyDescent="0.2">
      <c r="BJ26504" s="201"/>
    </row>
    <row r="26505" spans="62:62" x14ac:dyDescent="0.2">
      <c r="BJ26505" s="201"/>
    </row>
    <row r="26506" spans="62:62" x14ac:dyDescent="0.2">
      <c r="BJ26506" s="201"/>
    </row>
    <row r="26507" spans="62:62" x14ac:dyDescent="0.2">
      <c r="BJ26507" s="201"/>
    </row>
    <row r="26508" spans="62:62" x14ac:dyDescent="0.2">
      <c r="BJ26508" s="201"/>
    </row>
    <row r="26509" spans="62:62" x14ac:dyDescent="0.2">
      <c r="BJ26509" s="201"/>
    </row>
    <row r="26510" spans="62:62" x14ac:dyDescent="0.2">
      <c r="BJ26510" s="201"/>
    </row>
    <row r="26511" spans="62:62" x14ac:dyDescent="0.2">
      <c r="BJ26511" s="201"/>
    </row>
    <row r="26512" spans="62:62" x14ac:dyDescent="0.2">
      <c r="BJ26512" s="201"/>
    </row>
    <row r="26513" spans="62:62" x14ac:dyDescent="0.2">
      <c r="BJ26513" s="201"/>
    </row>
    <row r="26514" spans="62:62" x14ac:dyDescent="0.2">
      <c r="BJ26514" s="201"/>
    </row>
    <row r="26515" spans="62:62" x14ac:dyDescent="0.2">
      <c r="BJ26515" s="201"/>
    </row>
    <row r="26516" spans="62:62" x14ac:dyDescent="0.2">
      <c r="BJ26516" s="201"/>
    </row>
    <row r="26517" spans="62:62" x14ac:dyDescent="0.2">
      <c r="BJ26517" s="201"/>
    </row>
    <row r="26518" spans="62:62" x14ac:dyDescent="0.2">
      <c r="BJ26518" s="201"/>
    </row>
    <row r="26519" spans="62:62" x14ac:dyDescent="0.2">
      <c r="BJ26519" s="201"/>
    </row>
    <row r="26520" spans="62:62" x14ac:dyDescent="0.2">
      <c r="BJ26520" s="201"/>
    </row>
    <row r="26521" spans="62:62" x14ac:dyDescent="0.2">
      <c r="BJ26521" s="201"/>
    </row>
    <row r="26522" spans="62:62" x14ac:dyDescent="0.2">
      <c r="BJ26522" s="201"/>
    </row>
    <row r="26523" spans="62:62" x14ac:dyDescent="0.2">
      <c r="BJ26523" s="201"/>
    </row>
    <row r="26524" spans="62:62" x14ac:dyDescent="0.2">
      <c r="BJ26524" s="201"/>
    </row>
    <row r="26525" spans="62:62" x14ac:dyDescent="0.2">
      <c r="BJ26525" s="201"/>
    </row>
    <row r="26526" spans="62:62" x14ac:dyDescent="0.2">
      <c r="BJ26526" s="201"/>
    </row>
    <row r="26527" spans="62:62" x14ac:dyDescent="0.2">
      <c r="BJ26527" s="201"/>
    </row>
    <row r="26528" spans="62:62" x14ac:dyDescent="0.2">
      <c r="BJ26528" s="201"/>
    </row>
    <row r="26529" spans="62:62" x14ac:dyDescent="0.2">
      <c r="BJ26529" s="201"/>
    </row>
    <row r="26530" spans="62:62" x14ac:dyDescent="0.2">
      <c r="BJ26530" s="201"/>
    </row>
    <row r="26531" spans="62:62" x14ac:dyDescent="0.2">
      <c r="BJ26531" s="201"/>
    </row>
    <row r="26532" spans="62:62" x14ac:dyDescent="0.2">
      <c r="BJ26532" s="201"/>
    </row>
    <row r="26533" spans="62:62" x14ac:dyDescent="0.2">
      <c r="BJ26533" s="201"/>
    </row>
    <row r="26534" spans="62:62" x14ac:dyDescent="0.2">
      <c r="BJ26534" s="201"/>
    </row>
    <row r="26535" spans="62:62" x14ac:dyDescent="0.2">
      <c r="BJ26535" s="201"/>
    </row>
    <row r="26536" spans="62:62" x14ac:dyDescent="0.2">
      <c r="BJ26536" s="201"/>
    </row>
    <row r="26537" spans="62:62" x14ac:dyDescent="0.2">
      <c r="BJ26537" s="201"/>
    </row>
    <row r="26538" spans="62:62" x14ac:dyDescent="0.2">
      <c r="BJ26538" s="201"/>
    </row>
    <row r="26539" spans="62:62" x14ac:dyDescent="0.2">
      <c r="BJ26539" s="201"/>
    </row>
    <row r="26540" spans="62:62" x14ac:dyDescent="0.2">
      <c r="BJ26540" s="201"/>
    </row>
    <row r="26541" spans="62:62" x14ac:dyDescent="0.2">
      <c r="BJ26541" s="201"/>
    </row>
    <row r="26542" spans="62:62" x14ac:dyDescent="0.2">
      <c r="BJ26542" s="201"/>
    </row>
    <row r="26543" spans="62:62" x14ac:dyDescent="0.2">
      <c r="BJ26543" s="201"/>
    </row>
    <row r="26544" spans="62:62" x14ac:dyDescent="0.2">
      <c r="BJ26544" s="201"/>
    </row>
    <row r="26545" spans="62:62" x14ac:dyDescent="0.2">
      <c r="BJ26545" s="201"/>
    </row>
    <row r="26546" spans="62:62" x14ac:dyDescent="0.2">
      <c r="BJ26546" s="201"/>
    </row>
    <row r="26547" spans="62:62" x14ac:dyDescent="0.2">
      <c r="BJ26547" s="201"/>
    </row>
    <row r="26548" spans="62:62" x14ac:dyDescent="0.2">
      <c r="BJ26548" s="201"/>
    </row>
    <row r="26549" spans="62:62" x14ac:dyDescent="0.2">
      <c r="BJ26549" s="201"/>
    </row>
    <row r="26550" spans="62:62" x14ac:dyDescent="0.2">
      <c r="BJ26550" s="201"/>
    </row>
    <row r="26551" spans="62:62" x14ac:dyDescent="0.2">
      <c r="BJ26551" s="201"/>
    </row>
    <row r="26552" spans="62:62" x14ac:dyDescent="0.2">
      <c r="BJ26552" s="201"/>
    </row>
    <row r="26553" spans="62:62" x14ac:dyDescent="0.2">
      <c r="BJ26553" s="201"/>
    </row>
    <row r="26554" spans="62:62" x14ac:dyDescent="0.2">
      <c r="BJ26554" s="201"/>
    </row>
    <row r="26555" spans="62:62" x14ac:dyDescent="0.2">
      <c r="BJ26555" s="201"/>
    </row>
    <row r="26556" spans="62:62" x14ac:dyDescent="0.2">
      <c r="BJ26556" s="201"/>
    </row>
    <row r="26557" spans="62:62" x14ac:dyDescent="0.2">
      <c r="BJ26557" s="201"/>
    </row>
    <row r="26558" spans="62:62" x14ac:dyDescent="0.2">
      <c r="BJ26558" s="201"/>
    </row>
    <row r="26559" spans="62:62" x14ac:dyDescent="0.2">
      <c r="BJ26559" s="201"/>
    </row>
    <row r="26560" spans="62:62" x14ac:dyDescent="0.2">
      <c r="BJ26560" s="201"/>
    </row>
    <row r="26561" spans="62:62" x14ac:dyDescent="0.2">
      <c r="BJ26561" s="201"/>
    </row>
    <row r="26562" spans="62:62" x14ac:dyDescent="0.2">
      <c r="BJ26562" s="201"/>
    </row>
    <row r="26563" spans="62:62" x14ac:dyDescent="0.2">
      <c r="BJ26563" s="201"/>
    </row>
    <row r="26564" spans="62:62" x14ac:dyDescent="0.2">
      <c r="BJ26564" s="201"/>
    </row>
    <row r="26565" spans="62:62" x14ac:dyDescent="0.2">
      <c r="BJ26565" s="201"/>
    </row>
    <row r="26566" spans="62:62" x14ac:dyDescent="0.2">
      <c r="BJ26566" s="201"/>
    </row>
    <row r="26567" spans="62:62" x14ac:dyDescent="0.2">
      <c r="BJ26567" s="201"/>
    </row>
    <row r="26568" spans="62:62" x14ac:dyDescent="0.2">
      <c r="BJ26568" s="201"/>
    </row>
    <row r="26569" spans="62:62" x14ac:dyDescent="0.2">
      <c r="BJ26569" s="201"/>
    </row>
    <row r="26570" spans="62:62" x14ac:dyDescent="0.2">
      <c r="BJ26570" s="201"/>
    </row>
    <row r="26571" spans="62:62" x14ac:dyDescent="0.2">
      <c r="BJ26571" s="201"/>
    </row>
    <row r="26572" spans="62:62" x14ac:dyDescent="0.2">
      <c r="BJ26572" s="201"/>
    </row>
    <row r="26573" spans="62:62" x14ac:dyDescent="0.2">
      <c r="BJ26573" s="201"/>
    </row>
    <row r="26574" spans="62:62" x14ac:dyDescent="0.2">
      <c r="BJ26574" s="201"/>
    </row>
    <row r="26575" spans="62:62" x14ac:dyDescent="0.2">
      <c r="BJ26575" s="201"/>
    </row>
    <row r="26576" spans="62:62" x14ac:dyDescent="0.2">
      <c r="BJ26576" s="201"/>
    </row>
    <row r="26577" spans="62:62" x14ac:dyDescent="0.2">
      <c r="BJ26577" s="201"/>
    </row>
    <row r="26578" spans="62:62" x14ac:dyDescent="0.2">
      <c r="BJ26578" s="201"/>
    </row>
    <row r="26579" spans="62:62" x14ac:dyDescent="0.2">
      <c r="BJ26579" s="201"/>
    </row>
    <row r="26580" spans="62:62" x14ac:dyDescent="0.2">
      <c r="BJ26580" s="201"/>
    </row>
    <row r="26581" spans="62:62" x14ac:dyDescent="0.2">
      <c r="BJ26581" s="201"/>
    </row>
    <row r="26582" spans="62:62" x14ac:dyDescent="0.2">
      <c r="BJ26582" s="201"/>
    </row>
    <row r="26583" spans="62:62" x14ac:dyDescent="0.2">
      <c r="BJ26583" s="201"/>
    </row>
    <row r="26584" spans="62:62" x14ac:dyDescent="0.2">
      <c r="BJ26584" s="201"/>
    </row>
    <row r="26585" spans="62:62" x14ac:dyDescent="0.2">
      <c r="BJ26585" s="201"/>
    </row>
    <row r="26586" spans="62:62" x14ac:dyDescent="0.2">
      <c r="BJ26586" s="201"/>
    </row>
    <row r="26587" spans="62:62" x14ac:dyDescent="0.2">
      <c r="BJ26587" s="201"/>
    </row>
    <row r="26588" spans="62:62" x14ac:dyDescent="0.2">
      <c r="BJ26588" s="201"/>
    </row>
    <row r="26589" spans="62:62" x14ac:dyDescent="0.2">
      <c r="BJ26589" s="201"/>
    </row>
    <row r="26590" spans="62:62" x14ac:dyDescent="0.2">
      <c r="BJ26590" s="201"/>
    </row>
    <row r="26591" spans="62:62" x14ac:dyDescent="0.2">
      <c r="BJ26591" s="201"/>
    </row>
    <row r="26592" spans="62:62" x14ac:dyDescent="0.2">
      <c r="BJ26592" s="201"/>
    </row>
    <row r="26593" spans="62:62" x14ac:dyDescent="0.2">
      <c r="BJ26593" s="201"/>
    </row>
    <row r="26594" spans="62:62" x14ac:dyDescent="0.2">
      <c r="BJ26594" s="201"/>
    </row>
    <row r="26595" spans="62:62" x14ac:dyDescent="0.2">
      <c r="BJ26595" s="201"/>
    </row>
    <row r="26596" spans="62:62" x14ac:dyDescent="0.2">
      <c r="BJ26596" s="201"/>
    </row>
    <row r="26597" spans="62:62" x14ac:dyDescent="0.2">
      <c r="BJ26597" s="201"/>
    </row>
    <row r="26598" spans="62:62" x14ac:dyDescent="0.2">
      <c r="BJ26598" s="201"/>
    </row>
    <row r="26599" spans="62:62" x14ac:dyDescent="0.2">
      <c r="BJ26599" s="201"/>
    </row>
    <row r="26600" spans="62:62" x14ac:dyDescent="0.2">
      <c r="BJ26600" s="201"/>
    </row>
    <row r="26601" spans="62:62" x14ac:dyDescent="0.2">
      <c r="BJ26601" s="201"/>
    </row>
    <row r="26602" spans="62:62" x14ac:dyDescent="0.2">
      <c r="BJ26602" s="201"/>
    </row>
    <row r="26603" spans="62:62" x14ac:dyDescent="0.2">
      <c r="BJ26603" s="201"/>
    </row>
    <row r="26604" spans="62:62" x14ac:dyDescent="0.2">
      <c r="BJ26604" s="201"/>
    </row>
    <row r="26605" spans="62:62" x14ac:dyDescent="0.2">
      <c r="BJ26605" s="201"/>
    </row>
    <row r="26606" spans="62:62" x14ac:dyDescent="0.2">
      <c r="BJ26606" s="201"/>
    </row>
    <row r="26607" spans="62:62" x14ac:dyDescent="0.2">
      <c r="BJ26607" s="201"/>
    </row>
    <row r="26608" spans="62:62" x14ac:dyDescent="0.2">
      <c r="BJ26608" s="201"/>
    </row>
    <row r="26609" spans="62:62" x14ac:dyDescent="0.2">
      <c r="BJ26609" s="201"/>
    </row>
    <row r="26610" spans="62:62" x14ac:dyDescent="0.2">
      <c r="BJ26610" s="201"/>
    </row>
    <row r="26611" spans="62:62" x14ac:dyDescent="0.2">
      <c r="BJ26611" s="201"/>
    </row>
    <row r="26612" spans="62:62" x14ac:dyDescent="0.2">
      <c r="BJ26612" s="201"/>
    </row>
    <row r="26613" spans="62:62" x14ac:dyDescent="0.2">
      <c r="BJ26613" s="201"/>
    </row>
    <row r="26614" spans="62:62" x14ac:dyDescent="0.2">
      <c r="BJ26614" s="201"/>
    </row>
    <row r="26615" spans="62:62" x14ac:dyDescent="0.2">
      <c r="BJ26615" s="201"/>
    </row>
    <row r="26616" spans="62:62" x14ac:dyDescent="0.2">
      <c r="BJ26616" s="201"/>
    </row>
    <row r="26617" spans="62:62" x14ac:dyDescent="0.2">
      <c r="BJ26617" s="201"/>
    </row>
    <row r="26618" spans="62:62" x14ac:dyDescent="0.2">
      <c r="BJ26618" s="201"/>
    </row>
    <row r="26619" spans="62:62" x14ac:dyDescent="0.2">
      <c r="BJ26619" s="201"/>
    </row>
    <row r="26620" spans="62:62" x14ac:dyDescent="0.2">
      <c r="BJ26620" s="201"/>
    </row>
    <row r="26621" spans="62:62" x14ac:dyDescent="0.2">
      <c r="BJ26621" s="201"/>
    </row>
    <row r="26622" spans="62:62" x14ac:dyDescent="0.2">
      <c r="BJ26622" s="201"/>
    </row>
    <row r="26623" spans="62:62" x14ac:dyDescent="0.2">
      <c r="BJ26623" s="201"/>
    </row>
    <row r="26624" spans="62:62" x14ac:dyDescent="0.2">
      <c r="BJ26624" s="201"/>
    </row>
    <row r="26625" spans="62:62" x14ac:dyDescent="0.2">
      <c r="BJ26625" s="201"/>
    </row>
    <row r="26626" spans="62:62" x14ac:dyDescent="0.2">
      <c r="BJ26626" s="201"/>
    </row>
    <row r="26627" spans="62:62" x14ac:dyDescent="0.2">
      <c r="BJ26627" s="201"/>
    </row>
    <row r="26628" spans="62:62" x14ac:dyDescent="0.2">
      <c r="BJ26628" s="201"/>
    </row>
    <row r="26629" spans="62:62" x14ac:dyDescent="0.2">
      <c r="BJ26629" s="201"/>
    </row>
    <row r="26630" spans="62:62" x14ac:dyDescent="0.2">
      <c r="BJ26630" s="201"/>
    </row>
    <row r="26631" spans="62:62" x14ac:dyDescent="0.2">
      <c r="BJ26631" s="201"/>
    </row>
    <row r="26632" spans="62:62" x14ac:dyDescent="0.2">
      <c r="BJ26632" s="201"/>
    </row>
    <row r="26633" spans="62:62" x14ac:dyDescent="0.2">
      <c r="BJ26633" s="201"/>
    </row>
    <row r="26634" spans="62:62" x14ac:dyDescent="0.2">
      <c r="BJ26634" s="201"/>
    </row>
    <row r="26635" spans="62:62" x14ac:dyDescent="0.2">
      <c r="BJ26635" s="201"/>
    </row>
    <row r="26636" spans="62:62" x14ac:dyDescent="0.2">
      <c r="BJ26636" s="201"/>
    </row>
    <row r="26637" spans="62:62" x14ac:dyDescent="0.2">
      <c r="BJ26637" s="201"/>
    </row>
    <row r="26638" spans="62:62" x14ac:dyDescent="0.2">
      <c r="BJ26638" s="201"/>
    </row>
    <row r="26639" spans="62:62" x14ac:dyDescent="0.2">
      <c r="BJ26639" s="201"/>
    </row>
    <row r="26640" spans="62:62" x14ac:dyDescent="0.2">
      <c r="BJ26640" s="201"/>
    </row>
    <row r="26641" spans="62:62" x14ac:dyDescent="0.2">
      <c r="BJ26641" s="201"/>
    </row>
    <row r="26642" spans="62:62" x14ac:dyDescent="0.2">
      <c r="BJ26642" s="201"/>
    </row>
    <row r="26643" spans="62:62" x14ac:dyDescent="0.2">
      <c r="BJ26643" s="201"/>
    </row>
    <row r="26644" spans="62:62" x14ac:dyDescent="0.2">
      <c r="BJ26644" s="201"/>
    </row>
    <row r="26645" spans="62:62" x14ac:dyDescent="0.2">
      <c r="BJ26645" s="201"/>
    </row>
    <row r="26646" spans="62:62" x14ac:dyDescent="0.2">
      <c r="BJ26646" s="201"/>
    </row>
    <row r="26647" spans="62:62" x14ac:dyDescent="0.2">
      <c r="BJ26647" s="201"/>
    </row>
    <row r="26648" spans="62:62" x14ac:dyDescent="0.2">
      <c r="BJ26648" s="201"/>
    </row>
    <row r="26649" spans="62:62" x14ac:dyDescent="0.2">
      <c r="BJ26649" s="201"/>
    </row>
    <row r="26650" spans="62:62" x14ac:dyDescent="0.2">
      <c r="BJ26650" s="201"/>
    </row>
    <row r="26651" spans="62:62" x14ac:dyDescent="0.2">
      <c r="BJ26651" s="201"/>
    </row>
    <row r="26652" spans="62:62" x14ac:dyDescent="0.2">
      <c r="BJ26652" s="201"/>
    </row>
    <row r="26653" spans="62:62" x14ac:dyDescent="0.2">
      <c r="BJ26653" s="201"/>
    </row>
    <row r="26654" spans="62:62" x14ac:dyDescent="0.2">
      <c r="BJ26654" s="201"/>
    </row>
    <row r="26655" spans="62:62" x14ac:dyDescent="0.2">
      <c r="BJ26655" s="201"/>
    </row>
    <row r="26656" spans="62:62" x14ac:dyDescent="0.2">
      <c r="BJ26656" s="201"/>
    </row>
    <row r="26657" spans="62:62" x14ac:dyDescent="0.2">
      <c r="BJ26657" s="201"/>
    </row>
    <row r="26658" spans="62:62" x14ac:dyDescent="0.2">
      <c r="BJ26658" s="201"/>
    </row>
    <row r="26659" spans="62:62" x14ac:dyDescent="0.2">
      <c r="BJ26659" s="201"/>
    </row>
    <row r="26660" spans="62:62" x14ac:dyDescent="0.2">
      <c r="BJ26660" s="201"/>
    </row>
    <row r="26661" spans="62:62" x14ac:dyDescent="0.2">
      <c r="BJ26661" s="201"/>
    </row>
    <row r="26662" spans="62:62" x14ac:dyDescent="0.2">
      <c r="BJ26662" s="201"/>
    </row>
    <row r="26663" spans="62:62" x14ac:dyDescent="0.2">
      <c r="BJ26663" s="201"/>
    </row>
    <row r="26664" spans="62:62" x14ac:dyDescent="0.2">
      <c r="BJ26664" s="201"/>
    </row>
    <row r="26665" spans="62:62" x14ac:dyDescent="0.2">
      <c r="BJ26665" s="201"/>
    </row>
    <row r="26666" spans="62:62" x14ac:dyDescent="0.2">
      <c r="BJ26666" s="201"/>
    </row>
    <row r="26667" spans="62:62" x14ac:dyDescent="0.2">
      <c r="BJ26667" s="201"/>
    </row>
    <row r="26668" spans="62:62" x14ac:dyDescent="0.2">
      <c r="BJ26668" s="201"/>
    </row>
    <row r="26669" spans="62:62" x14ac:dyDescent="0.2">
      <c r="BJ26669" s="201"/>
    </row>
    <row r="26670" spans="62:62" x14ac:dyDescent="0.2">
      <c r="BJ26670" s="201"/>
    </row>
    <row r="26671" spans="62:62" x14ac:dyDescent="0.2">
      <c r="BJ26671" s="201"/>
    </row>
    <row r="26672" spans="62:62" x14ac:dyDescent="0.2">
      <c r="BJ26672" s="201"/>
    </row>
    <row r="26673" spans="62:62" x14ac:dyDescent="0.2">
      <c r="BJ26673" s="201"/>
    </row>
    <row r="26674" spans="62:62" x14ac:dyDescent="0.2">
      <c r="BJ26674" s="201"/>
    </row>
    <row r="26675" spans="62:62" x14ac:dyDescent="0.2">
      <c r="BJ26675" s="201"/>
    </row>
    <row r="26676" spans="62:62" x14ac:dyDescent="0.2">
      <c r="BJ26676" s="201"/>
    </row>
    <row r="26677" spans="62:62" x14ac:dyDescent="0.2">
      <c r="BJ26677" s="201"/>
    </row>
    <row r="26678" spans="62:62" x14ac:dyDescent="0.2">
      <c r="BJ26678" s="201"/>
    </row>
    <row r="26679" spans="62:62" x14ac:dyDescent="0.2">
      <c r="BJ26679" s="201"/>
    </row>
    <row r="26680" spans="62:62" x14ac:dyDescent="0.2">
      <c r="BJ26680" s="201"/>
    </row>
    <row r="26681" spans="62:62" x14ac:dyDescent="0.2">
      <c r="BJ26681" s="201"/>
    </row>
    <row r="26682" spans="62:62" x14ac:dyDescent="0.2">
      <c r="BJ26682" s="201"/>
    </row>
    <row r="26683" spans="62:62" x14ac:dyDescent="0.2">
      <c r="BJ26683" s="201"/>
    </row>
    <row r="26684" spans="62:62" x14ac:dyDescent="0.2">
      <c r="BJ26684" s="201"/>
    </row>
    <row r="26685" spans="62:62" x14ac:dyDescent="0.2">
      <c r="BJ26685" s="201"/>
    </row>
    <row r="26686" spans="62:62" x14ac:dyDescent="0.2">
      <c r="BJ26686" s="201"/>
    </row>
    <row r="26687" spans="62:62" x14ac:dyDescent="0.2">
      <c r="BJ26687" s="201"/>
    </row>
    <row r="26688" spans="62:62" x14ac:dyDescent="0.2">
      <c r="BJ26688" s="201"/>
    </row>
    <row r="26689" spans="62:62" x14ac:dyDescent="0.2">
      <c r="BJ26689" s="201"/>
    </row>
    <row r="26690" spans="62:62" x14ac:dyDescent="0.2">
      <c r="BJ26690" s="201"/>
    </row>
    <row r="26691" spans="62:62" x14ac:dyDescent="0.2">
      <c r="BJ26691" s="201"/>
    </row>
    <row r="26692" spans="62:62" x14ac:dyDescent="0.2">
      <c r="BJ26692" s="201"/>
    </row>
    <row r="26693" spans="62:62" x14ac:dyDescent="0.2">
      <c r="BJ26693" s="201"/>
    </row>
    <row r="26694" spans="62:62" x14ac:dyDescent="0.2">
      <c r="BJ26694" s="201"/>
    </row>
    <row r="26695" spans="62:62" x14ac:dyDescent="0.2">
      <c r="BJ26695" s="201"/>
    </row>
    <row r="26696" spans="62:62" x14ac:dyDescent="0.2">
      <c r="BJ26696" s="201"/>
    </row>
    <row r="26697" spans="62:62" x14ac:dyDescent="0.2">
      <c r="BJ26697" s="201"/>
    </row>
    <row r="26698" spans="62:62" x14ac:dyDescent="0.2">
      <c r="BJ26698" s="201"/>
    </row>
    <row r="26699" spans="62:62" x14ac:dyDescent="0.2">
      <c r="BJ26699" s="201"/>
    </row>
    <row r="26700" spans="62:62" x14ac:dyDescent="0.2">
      <c r="BJ26700" s="201"/>
    </row>
    <row r="26701" spans="62:62" x14ac:dyDescent="0.2">
      <c r="BJ26701" s="201"/>
    </row>
    <row r="26702" spans="62:62" x14ac:dyDescent="0.2">
      <c r="BJ26702" s="201"/>
    </row>
    <row r="26703" spans="62:62" x14ac:dyDescent="0.2">
      <c r="BJ26703" s="201"/>
    </row>
    <row r="26704" spans="62:62" x14ac:dyDescent="0.2">
      <c r="BJ26704" s="201"/>
    </row>
    <row r="26705" spans="62:62" x14ac:dyDescent="0.2">
      <c r="BJ26705" s="201"/>
    </row>
    <row r="26706" spans="62:62" x14ac:dyDescent="0.2">
      <c r="BJ26706" s="201"/>
    </row>
    <row r="26707" spans="62:62" x14ac:dyDescent="0.2">
      <c r="BJ26707" s="201"/>
    </row>
    <row r="26708" spans="62:62" x14ac:dyDescent="0.2">
      <c r="BJ26708" s="201"/>
    </row>
    <row r="26709" spans="62:62" x14ac:dyDescent="0.2">
      <c r="BJ26709" s="201"/>
    </row>
    <row r="26710" spans="62:62" x14ac:dyDescent="0.2">
      <c r="BJ26710" s="201"/>
    </row>
    <row r="26711" spans="62:62" x14ac:dyDescent="0.2">
      <c r="BJ26711" s="201"/>
    </row>
    <row r="26712" spans="62:62" x14ac:dyDescent="0.2">
      <c r="BJ26712" s="201"/>
    </row>
    <row r="26713" spans="62:62" x14ac:dyDescent="0.2">
      <c r="BJ26713" s="201"/>
    </row>
    <row r="26714" spans="62:62" x14ac:dyDescent="0.2">
      <c r="BJ26714" s="201"/>
    </row>
    <row r="26715" spans="62:62" x14ac:dyDescent="0.2">
      <c r="BJ26715" s="201"/>
    </row>
    <row r="26716" spans="62:62" x14ac:dyDescent="0.2">
      <c r="BJ26716" s="201"/>
    </row>
    <row r="26717" spans="62:62" x14ac:dyDescent="0.2">
      <c r="BJ26717" s="201"/>
    </row>
    <row r="26718" spans="62:62" x14ac:dyDescent="0.2">
      <c r="BJ26718" s="201"/>
    </row>
    <row r="26719" spans="62:62" x14ac:dyDescent="0.2">
      <c r="BJ26719" s="201"/>
    </row>
    <row r="26720" spans="62:62" x14ac:dyDescent="0.2">
      <c r="BJ26720" s="201"/>
    </row>
    <row r="26721" spans="62:62" x14ac:dyDescent="0.2">
      <c r="BJ26721" s="201"/>
    </row>
    <row r="26722" spans="62:62" x14ac:dyDescent="0.2">
      <c r="BJ26722" s="201"/>
    </row>
    <row r="26723" spans="62:62" x14ac:dyDescent="0.2">
      <c r="BJ26723" s="201"/>
    </row>
    <row r="26724" spans="62:62" x14ac:dyDescent="0.2">
      <c r="BJ26724" s="201"/>
    </row>
    <row r="26725" spans="62:62" x14ac:dyDescent="0.2">
      <c r="BJ26725" s="201"/>
    </row>
    <row r="26726" spans="62:62" x14ac:dyDescent="0.2">
      <c r="BJ26726" s="201"/>
    </row>
    <row r="26727" spans="62:62" x14ac:dyDescent="0.2">
      <c r="BJ26727" s="201"/>
    </row>
    <row r="26728" spans="62:62" x14ac:dyDescent="0.2">
      <c r="BJ26728" s="201"/>
    </row>
    <row r="26729" spans="62:62" x14ac:dyDescent="0.2">
      <c r="BJ26729" s="201"/>
    </row>
    <row r="26730" spans="62:62" x14ac:dyDescent="0.2">
      <c r="BJ26730" s="201"/>
    </row>
    <row r="26731" spans="62:62" x14ac:dyDescent="0.2">
      <c r="BJ26731" s="201"/>
    </row>
    <row r="26732" spans="62:62" x14ac:dyDescent="0.2">
      <c r="BJ26732" s="201"/>
    </row>
    <row r="26733" spans="62:62" x14ac:dyDescent="0.2">
      <c r="BJ26733" s="201"/>
    </row>
    <row r="26734" spans="62:62" x14ac:dyDescent="0.2">
      <c r="BJ26734" s="201"/>
    </row>
    <row r="26735" spans="62:62" x14ac:dyDescent="0.2">
      <c r="BJ26735" s="201"/>
    </row>
    <row r="26736" spans="62:62" x14ac:dyDescent="0.2">
      <c r="BJ26736" s="201"/>
    </row>
    <row r="26737" spans="62:62" x14ac:dyDescent="0.2">
      <c r="BJ26737" s="201"/>
    </row>
    <row r="26738" spans="62:62" x14ac:dyDescent="0.2">
      <c r="BJ26738" s="201"/>
    </row>
    <row r="26739" spans="62:62" x14ac:dyDescent="0.2">
      <c r="BJ26739" s="201"/>
    </row>
    <row r="26740" spans="62:62" x14ac:dyDescent="0.2">
      <c r="BJ26740" s="201"/>
    </row>
    <row r="26741" spans="62:62" x14ac:dyDescent="0.2">
      <c r="BJ26741" s="201"/>
    </row>
    <row r="26742" spans="62:62" x14ac:dyDescent="0.2">
      <c r="BJ26742" s="201"/>
    </row>
    <row r="26743" spans="62:62" x14ac:dyDescent="0.2">
      <c r="BJ26743" s="201"/>
    </row>
    <row r="26744" spans="62:62" x14ac:dyDescent="0.2">
      <c r="BJ26744" s="201"/>
    </row>
    <row r="26745" spans="62:62" x14ac:dyDescent="0.2">
      <c r="BJ26745" s="201"/>
    </row>
    <row r="26746" spans="62:62" x14ac:dyDescent="0.2">
      <c r="BJ26746" s="201"/>
    </row>
    <row r="26747" spans="62:62" x14ac:dyDescent="0.2">
      <c r="BJ26747" s="201"/>
    </row>
    <row r="26748" spans="62:62" x14ac:dyDescent="0.2">
      <c r="BJ26748" s="201"/>
    </row>
    <row r="26749" spans="62:62" x14ac:dyDescent="0.2">
      <c r="BJ26749" s="201"/>
    </row>
    <row r="26750" spans="62:62" x14ac:dyDescent="0.2">
      <c r="BJ26750" s="201"/>
    </row>
    <row r="26751" spans="62:62" x14ac:dyDescent="0.2">
      <c r="BJ26751" s="201"/>
    </row>
    <row r="26752" spans="62:62" x14ac:dyDescent="0.2">
      <c r="BJ26752" s="201"/>
    </row>
    <row r="26753" spans="62:62" x14ac:dyDescent="0.2">
      <c r="BJ26753" s="201"/>
    </row>
    <row r="26754" spans="62:62" x14ac:dyDescent="0.2">
      <c r="BJ26754" s="201"/>
    </row>
    <row r="26755" spans="62:62" x14ac:dyDescent="0.2">
      <c r="BJ26755" s="201"/>
    </row>
    <row r="26756" spans="62:62" x14ac:dyDescent="0.2">
      <c r="BJ26756" s="201"/>
    </row>
    <row r="26757" spans="62:62" x14ac:dyDescent="0.2">
      <c r="BJ26757" s="201"/>
    </row>
    <row r="26758" spans="62:62" x14ac:dyDescent="0.2">
      <c r="BJ26758" s="201"/>
    </row>
    <row r="26759" spans="62:62" x14ac:dyDescent="0.2">
      <c r="BJ26759" s="201"/>
    </row>
    <row r="26760" spans="62:62" x14ac:dyDescent="0.2">
      <c r="BJ26760" s="201"/>
    </row>
    <row r="26761" spans="62:62" x14ac:dyDescent="0.2">
      <c r="BJ26761" s="201"/>
    </row>
    <row r="26762" spans="62:62" x14ac:dyDescent="0.2">
      <c r="BJ26762" s="201"/>
    </row>
    <row r="26763" spans="62:62" x14ac:dyDescent="0.2">
      <c r="BJ26763" s="201"/>
    </row>
    <row r="26764" spans="62:62" x14ac:dyDescent="0.2">
      <c r="BJ26764" s="201"/>
    </row>
    <row r="26765" spans="62:62" x14ac:dyDescent="0.2">
      <c r="BJ26765" s="201"/>
    </row>
    <row r="26766" spans="62:62" x14ac:dyDescent="0.2">
      <c r="BJ26766" s="201"/>
    </row>
    <row r="26767" spans="62:62" x14ac:dyDescent="0.2">
      <c r="BJ26767" s="201"/>
    </row>
    <row r="26768" spans="62:62" x14ac:dyDescent="0.2">
      <c r="BJ26768" s="201"/>
    </row>
    <row r="26769" spans="62:62" x14ac:dyDescent="0.2">
      <c r="BJ26769" s="201"/>
    </row>
    <row r="26770" spans="62:62" x14ac:dyDescent="0.2">
      <c r="BJ26770" s="201"/>
    </row>
    <row r="26771" spans="62:62" x14ac:dyDescent="0.2">
      <c r="BJ26771" s="201"/>
    </row>
    <row r="26772" spans="62:62" x14ac:dyDescent="0.2">
      <c r="BJ26772" s="201"/>
    </row>
    <row r="26773" spans="62:62" x14ac:dyDescent="0.2">
      <c r="BJ26773" s="201"/>
    </row>
    <row r="26774" spans="62:62" x14ac:dyDescent="0.2">
      <c r="BJ26774" s="201"/>
    </row>
    <row r="26775" spans="62:62" x14ac:dyDescent="0.2">
      <c r="BJ26775" s="201"/>
    </row>
    <row r="26776" spans="62:62" x14ac:dyDescent="0.2">
      <c r="BJ26776" s="201"/>
    </row>
    <row r="26777" spans="62:62" x14ac:dyDescent="0.2">
      <c r="BJ26777" s="201"/>
    </row>
    <row r="26778" spans="62:62" x14ac:dyDescent="0.2">
      <c r="BJ26778" s="201"/>
    </row>
    <row r="26779" spans="62:62" x14ac:dyDescent="0.2">
      <c r="BJ26779" s="201"/>
    </row>
    <row r="26780" spans="62:62" x14ac:dyDescent="0.2">
      <c r="BJ26780" s="201"/>
    </row>
    <row r="26781" spans="62:62" x14ac:dyDescent="0.2">
      <c r="BJ26781" s="201"/>
    </row>
    <row r="26782" spans="62:62" x14ac:dyDescent="0.2">
      <c r="BJ26782" s="201"/>
    </row>
    <row r="26783" spans="62:62" x14ac:dyDescent="0.2">
      <c r="BJ26783" s="201"/>
    </row>
    <row r="26784" spans="62:62" x14ac:dyDescent="0.2">
      <c r="BJ26784" s="201"/>
    </row>
    <row r="26785" spans="62:62" x14ac:dyDescent="0.2">
      <c r="BJ26785" s="201"/>
    </row>
    <row r="26786" spans="62:62" x14ac:dyDescent="0.2">
      <c r="BJ26786" s="201"/>
    </row>
    <row r="26787" spans="62:62" x14ac:dyDescent="0.2">
      <c r="BJ26787" s="201"/>
    </row>
    <row r="26788" spans="62:62" x14ac:dyDescent="0.2">
      <c r="BJ26788" s="201"/>
    </row>
    <row r="26789" spans="62:62" x14ac:dyDescent="0.2">
      <c r="BJ26789" s="201"/>
    </row>
    <row r="26790" spans="62:62" x14ac:dyDescent="0.2">
      <c r="BJ26790" s="201"/>
    </row>
    <row r="26791" spans="62:62" x14ac:dyDescent="0.2">
      <c r="BJ26791" s="201"/>
    </row>
    <row r="26792" spans="62:62" x14ac:dyDescent="0.2">
      <c r="BJ26792" s="201"/>
    </row>
    <row r="26793" spans="62:62" x14ac:dyDescent="0.2">
      <c r="BJ26793" s="201"/>
    </row>
    <row r="26794" spans="62:62" x14ac:dyDescent="0.2">
      <c r="BJ26794" s="201"/>
    </row>
    <row r="26795" spans="62:62" x14ac:dyDescent="0.2">
      <c r="BJ26795" s="201"/>
    </row>
    <row r="26796" spans="62:62" x14ac:dyDescent="0.2">
      <c r="BJ26796" s="201"/>
    </row>
    <row r="26797" spans="62:62" x14ac:dyDescent="0.2">
      <c r="BJ26797" s="201"/>
    </row>
    <row r="26798" spans="62:62" x14ac:dyDescent="0.2">
      <c r="BJ26798" s="201"/>
    </row>
    <row r="26799" spans="62:62" x14ac:dyDescent="0.2">
      <c r="BJ26799" s="201"/>
    </row>
    <row r="26800" spans="62:62" x14ac:dyDescent="0.2">
      <c r="BJ26800" s="201"/>
    </row>
    <row r="26801" spans="62:62" x14ac:dyDescent="0.2">
      <c r="BJ26801" s="201"/>
    </row>
    <row r="26802" spans="62:62" x14ac:dyDescent="0.2">
      <c r="BJ26802" s="201"/>
    </row>
    <row r="26803" spans="62:62" x14ac:dyDescent="0.2">
      <c r="BJ26803" s="201"/>
    </row>
    <row r="26804" spans="62:62" x14ac:dyDescent="0.2">
      <c r="BJ26804" s="201"/>
    </row>
    <row r="26805" spans="62:62" x14ac:dyDescent="0.2">
      <c r="BJ26805" s="201"/>
    </row>
    <row r="26806" spans="62:62" x14ac:dyDescent="0.2">
      <c r="BJ26806" s="201"/>
    </row>
    <row r="26807" spans="62:62" x14ac:dyDescent="0.2">
      <c r="BJ26807" s="201"/>
    </row>
    <row r="26808" spans="62:62" x14ac:dyDescent="0.2">
      <c r="BJ26808" s="201"/>
    </row>
    <row r="26809" spans="62:62" x14ac:dyDescent="0.2">
      <c r="BJ26809" s="201"/>
    </row>
    <row r="26810" spans="62:62" x14ac:dyDescent="0.2">
      <c r="BJ26810" s="201"/>
    </row>
    <row r="26811" spans="62:62" x14ac:dyDescent="0.2">
      <c r="BJ26811" s="201"/>
    </row>
    <row r="26812" spans="62:62" x14ac:dyDescent="0.2">
      <c r="BJ26812" s="201"/>
    </row>
    <row r="26813" spans="62:62" x14ac:dyDescent="0.2">
      <c r="BJ26813" s="201"/>
    </row>
    <row r="26814" spans="62:62" x14ac:dyDescent="0.2">
      <c r="BJ26814" s="201"/>
    </row>
    <row r="26815" spans="62:62" x14ac:dyDescent="0.2">
      <c r="BJ26815" s="201"/>
    </row>
    <row r="26816" spans="62:62" x14ac:dyDescent="0.2">
      <c r="BJ26816" s="201"/>
    </row>
    <row r="26817" spans="62:62" x14ac:dyDescent="0.2">
      <c r="BJ26817" s="201"/>
    </row>
    <row r="26818" spans="62:62" x14ac:dyDescent="0.2">
      <c r="BJ26818" s="201"/>
    </row>
    <row r="26819" spans="62:62" x14ac:dyDescent="0.2">
      <c r="BJ26819" s="201"/>
    </row>
    <row r="26820" spans="62:62" x14ac:dyDescent="0.2">
      <c r="BJ26820" s="201"/>
    </row>
    <row r="26821" spans="62:62" x14ac:dyDescent="0.2">
      <c r="BJ26821" s="201"/>
    </row>
    <row r="26822" spans="62:62" x14ac:dyDescent="0.2">
      <c r="BJ26822" s="201"/>
    </row>
    <row r="26823" spans="62:62" x14ac:dyDescent="0.2">
      <c r="BJ26823" s="201"/>
    </row>
    <row r="26824" spans="62:62" x14ac:dyDescent="0.2">
      <c r="BJ26824" s="201"/>
    </row>
    <row r="26825" spans="62:62" x14ac:dyDescent="0.2">
      <c r="BJ26825" s="201"/>
    </row>
    <row r="26826" spans="62:62" x14ac:dyDescent="0.2">
      <c r="BJ26826" s="201"/>
    </row>
    <row r="26827" spans="62:62" x14ac:dyDescent="0.2">
      <c r="BJ26827" s="201"/>
    </row>
    <row r="26828" spans="62:62" x14ac:dyDescent="0.2">
      <c r="BJ26828" s="201"/>
    </row>
    <row r="26829" spans="62:62" x14ac:dyDescent="0.2">
      <c r="BJ26829" s="201"/>
    </row>
    <row r="26830" spans="62:62" x14ac:dyDescent="0.2">
      <c r="BJ26830" s="201"/>
    </row>
    <row r="26831" spans="62:62" x14ac:dyDescent="0.2">
      <c r="BJ26831" s="201"/>
    </row>
    <row r="26832" spans="62:62" x14ac:dyDescent="0.2">
      <c r="BJ26832" s="201"/>
    </row>
    <row r="26833" spans="62:62" x14ac:dyDescent="0.2">
      <c r="BJ26833" s="201"/>
    </row>
    <row r="26834" spans="62:62" x14ac:dyDescent="0.2">
      <c r="BJ26834" s="201"/>
    </row>
    <row r="26835" spans="62:62" x14ac:dyDescent="0.2">
      <c r="BJ26835" s="201"/>
    </row>
    <row r="26836" spans="62:62" x14ac:dyDescent="0.2">
      <c r="BJ26836" s="201"/>
    </row>
    <row r="26837" spans="62:62" x14ac:dyDescent="0.2">
      <c r="BJ26837" s="201"/>
    </row>
    <row r="26838" spans="62:62" x14ac:dyDescent="0.2">
      <c r="BJ26838" s="201"/>
    </row>
    <row r="26839" spans="62:62" x14ac:dyDescent="0.2">
      <c r="BJ26839" s="201"/>
    </row>
    <row r="26840" spans="62:62" x14ac:dyDescent="0.2">
      <c r="BJ26840" s="201"/>
    </row>
    <row r="26841" spans="62:62" x14ac:dyDescent="0.2">
      <c r="BJ26841" s="201"/>
    </row>
    <row r="26842" spans="62:62" x14ac:dyDescent="0.2">
      <c r="BJ26842" s="201"/>
    </row>
    <row r="26843" spans="62:62" x14ac:dyDescent="0.2">
      <c r="BJ26843" s="201"/>
    </row>
    <row r="26844" spans="62:62" x14ac:dyDescent="0.2">
      <c r="BJ26844" s="201"/>
    </row>
    <row r="26845" spans="62:62" x14ac:dyDescent="0.2">
      <c r="BJ26845" s="201"/>
    </row>
    <row r="26846" spans="62:62" x14ac:dyDescent="0.2">
      <c r="BJ26846" s="201"/>
    </row>
    <row r="26847" spans="62:62" x14ac:dyDescent="0.2">
      <c r="BJ26847" s="201"/>
    </row>
    <row r="26848" spans="62:62" x14ac:dyDescent="0.2">
      <c r="BJ26848" s="201"/>
    </row>
    <row r="26849" spans="62:62" x14ac:dyDescent="0.2">
      <c r="BJ26849" s="201"/>
    </row>
    <row r="26850" spans="62:62" x14ac:dyDescent="0.2">
      <c r="BJ26850" s="201"/>
    </row>
    <row r="26851" spans="62:62" x14ac:dyDescent="0.2">
      <c r="BJ26851" s="201"/>
    </row>
    <row r="26852" spans="62:62" x14ac:dyDescent="0.2">
      <c r="BJ26852" s="201"/>
    </row>
    <row r="26853" spans="62:62" x14ac:dyDescent="0.2">
      <c r="BJ26853" s="201"/>
    </row>
    <row r="26854" spans="62:62" x14ac:dyDescent="0.2">
      <c r="BJ26854" s="201"/>
    </row>
    <row r="26855" spans="62:62" x14ac:dyDescent="0.2">
      <c r="BJ26855" s="201"/>
    </row>
    <row r="26856" spans="62:62" x14ac:dyDescent="0.2">
      <c r="BJ26856" s="201"/>
    </row>
    <row r="26857" spans="62:62" x14ac:dyDescent="0.2">
      <c r="BJ26857" s="201"/>
    </row>
    <row r="26858" spans="62:62" x14ac:dyDescent="0.2">
      <c r="BJ26858" s="201"/>
    </row>
    <row r="26859" spans="62:62" x14ac:dyDescent="0.2">
      <c r="BJ26859" s="201"/>
    </row>
    <row r="26860" spans="62:62" x14ac:dyDescent="0.2">
      <c r="BJ26860" s="201"/>
    </row>
    <row r="26861" spans="62:62" x14ac:dyDescent="0.2">
      <c r="BJ26861" s="201"/>
    </row>
    <row r="26862" spans="62:62" x14ac:dyDescent="0.2">
      <c r="BJ26862" s="201"/>
    </row>
    <row r="26863" spans="62:62" x14ac:dyDescent="0.2">
      <c r="BJ26863" s="201"/>
    </row>
    <row r="26864" spans="62:62" x14ac:dyDescent="0.2">
      <c r="BJ26864" s="201"/>
    </row>
    <row r="26865" spans="62:62" x14ac:dyDescent="0.2">
      <c r="BJ26865" s="201"/>
    </row>
    <row r="26866" spans="62:62" x14ac:dyDescent="0.2">
      <c r="BJ26866" s="201"/>
    </row>
    <row r="26867" spans="62:62" x14ac:dyDescent="0.2">
      <c r="BJ26867" s="201"/>
    </row>
    <row r="26868" spans="62:62" x14ac:dyDescent="0.2">
      <c r="BJ26868" s="201"/>
    </row>
    <row r="26869" spans="62:62" x14ac:dyDescent="0.2">
      <c r="BJ26869" s="201"/>
    </row>
    <row r="26870" spans="62:62" x14ac:dyDescent="0.2">
      <c r="BJ26870" s="201"/>
    </row>
    <row r="26871" spans="62:62" x14ac:dyDescent="0.2">
      <c r="BJ26871" s="201"/>
    </row>
    <row r="26872" spans="62:62" x14ac:dyDescent="0.2">
      <c r="BJ26872" s="201"/>
    </row>
    <row r="26873" spans="62:62" x14ac:dyDescent="0.2">
      <c r="BJ26873" s="201"/>
    </row>
    <row r="26874" spans="62:62" x14ac:dyDescent="0.2">
      <c r="BJ26874" s="201"/>
    </row>
    <row r="26875" spans="62:62" x14ac:dyDescent="0.2">
      <c r="BJ26875" s="201"/>
    </row>
    <row r="26876" spans="62:62" x14ac:dyDescent="0.2">
      <c r="BJ26876" s="201"/>
    </row>
    <row r="26877" spans="62:62" x14ac:dyDescent="0.2">
      <c r="BJ26877" s="201"/>
    </row>
    <row r="26878" spans="62:62" x14ac:dyDescent="0.2">
      <c r="BJ26878" s="201"/>
    </row>
    <row r="26879" spans="62:62" x14ac:dyDescent="0.2">
      <c r="BJ26879" s="201"/>
    </row>
    <row r="26880" spans="62:62" x14ac:dyDescent="0.2">
      <c r="BJ26880" s="201"/>
    </row>
    <row r="26881" spans="62:62" x14ac:dyDescent="0.2">
      <c r="BJ26881" s="201"/>
    </row>
    <row r="26882" spans="62:62" x14ac:dyDescent="0.2">
      <c r="BJ26882" s="201"/>
    </row>
    <row r="26883" spans="62:62" x14ac:dyDescent="0.2">
      <c r="BJ26883" s="201"/>
    </row>
    <row r="26884" spans="62:62" x14ac:dyDescent="0.2">
      <c r="BJ26884" s="201"/>
    </row>
    <row r="26885" spans="62:62" x14ac:dyDescent="0.2">
      <c r="BJ26885" s="201"/>
    </row>
    <row r="26886" spans="62:62" x14ac:dyDescent="0.2">
      <c r="BJ26886" s="201"/>
    </row>
    <row r="26887" spans="62:62" x14ac:dyDescent="0.2">
      <c r="BJ26887" s="201"/>
    </row>
    <row r="26888" spans="62:62" x14ac:dyDescent="0.2">
      <c r="BJ26888" s="201"/>
    </row>
    <row r="26889" spans="62:62" x14ac:dyDescent="0.2">
      <c r="BJ26889" s="201"/>
    </row>
    <row r="26890" spans="62:62" x14ac:dyDescent="0.2">
      <c r="BJ26890" s="201"/>
    </row>
    <row r="26891" spans="62:62" x14ac:dyDescent="0.2">
      <c r="BJ26891" s="201"/>
    </row>
    <row r="26892" spans="62:62" x14ac:dyDescent="0.2">
      <c r="BJ26892" s="201"/>
    </row>
    <row r="26893" spans="62:62" x14ac:dyDescent="0.2">
      <c r="BJ26893" s="201"/>
    </row>
    <row r="26894" spans="62:62" x14ac:dyDescent="0.2">
      <c r="BJ26894" s="201"/>
    </row>
    <row r="26895" spans="62:62" x14ac:dyDescent="0.2">
      <c r="BJ26895" s="201"/>
    </row>
    <row r="26896" spans="62:62" x14ac:dyDescent="0.2">
      <c r="BJ26896" s="201"/>
    </row>
    <row r="26897" spans="62:62" x14ac:dyDescent="0.2">
      <c r="BJ26897" s="201"/>
    </row>
    <row r="26898" spans="62:62" x14ac:dyDescent="0.2">
      <c r="BJ26898" s="201"/>
    </row>
    <row r="26899" spans="62:62" x14ac:dyDescent="0.2">
      <c r="BJ26899" s="201"/>
    </row>
    <row r="26900" spans="62:62" x14ac:dyDescent="0.2">
      <c r="BJ26900" s="201"/>
    </row>
    <row r="26901" spans="62:62" x14ac:dyDescent="0.2">
      <c r="BJ26901" s="201"/>
    </row>
    <row r="26902" spans="62:62" x14ac:dyDescent="0.2">
      <c r="BJ26902" s="201"/>
    </row>
    <row r="26903" spans="62:62" x14ac:dyDescent="0.2">
      <c r="BJ26903" s="201"/>
    </row>
    <row r="26904" spans="62:62" x14ac:dyDescent="0.2">
      <c r="BJ26904" s="201"/>
    </row>
    <row r="26905" spans="62:62" x14ac:dyDescent="0.2">
      <c r="BJ26905" s="201"/>
    </row>
    <row r="26906" spans="62:62" x14ac:dyDescent="0.2">
      <c r="BJ26906" s="201"/>
    </row>
    <row r="26907" spans="62:62" x14ac:dyDescent="0.2">
      <c r="BJ26907" s="201"/>
    </row>
    <row r="26908" spans="62:62" x14ac:dyDescent="0.2">
      <c r="BJ26908" s="201"/>
    </row>
    <row r="26909" spans="62:62" x14ac:dyDescent="0.2">
      <c r="BJ26909" s="201"/>
    </row>
    <row r="26910" spans="62:62" x14ac:dyDescent="0.2">
      <c r="BJ26910" s="201"/>
    </row>
    <row r="26911" spans="62:62" x14ac:dyDescent="0.2">
      <c r="BJ26911" s="201"/>
    </row>
    <row r="26912" spans="62:62" x14ac:dyDescent="0.2">
      <c r="BJ26912" s="201"/>
    </row>
    <row r="26913" spans="62:62" x14ac:dyDescent="0.2">
      <c r="BJ26913" s="201"/>
    </row>
    <row r="26914" spans="62:62" x14ac:dyDescent="0.2">
      <c r="BJ26914" s="201"/>
    </row>
    <row r="26915" spans="62:62" x14ac:dyDescent="0.2">
      <c r="BJ26915" s="201"/>
    </row>
    <row r="26916" spans="62:62" x14ac:dyDescent="0.2">
      <c r="BJ26916" s="201"/>
    </row>
    <row r="26917" spans="62:62" x14ac:dyDescent="0.2">
      <c r="BJ26917" s="201"/>
    </row>
    <row r="26918" spans="62:62" x14ac:dyDescent="0.2">
      <c r="BJ26918" s="201"/>
    </row>
    <row r="26919" spans="62:62" x14ac:dyDescent="0.2">
      <c r="BJ26919" s="201"/>
    </row>
    <row r="26920" spans="62:62" x14ac:dyDescent="0.2">
      <c r="BJ26920" s="201"/>
    </row>
    <row r="26921" spans="62:62" x14ac:dyDescent="0.2">
      <c r="BJ26921" s="201"/>
    </row>
    <row r="26922" spans="62:62" x14ac:dyDescent="0.2">
      <c r="BJ26922" s="201"/>
    </row>
    <row r="26923" spans="62:62" x14ac:dyDescent="0.2">
      <c r="BJ26923" s="201"/>
    </row>
    <row r="26924" spans="62:62" x14ac:dyDescent="0.2">
      <c r="BJ26924" s="201"/>
    </row>
    <row r="26925" spans="62:62" x14ac:dyDescent="0.2">
      <c r="BJ26925" s="201"/>
    </row>
    <row r="26926" spans="62:62" x14ac:dyDescent="0.2">
      <c r="BJ26926" s="201"/>
    </row>
    <row r="26927" spans="62:62" x14ac:dyDescent="0.2">
      <c r="BJ26927" s="201"/>
    </row>
    <row r="26928" spans="62:62" x14ac:dyDescent="0.2">
      <c r="BJ26928" s="201"/>
    </row>
    <row r="26929" spans="62:62" x14ac:dyDescent="0.2">
      <c r="BJ26929" s="201"/>
    </row>
    <row r="26930" spans="62:62" x14ac:dyDescent="0.2">
      <c r="BJ26930" s="201"/>
    </row>
    <row r="26931" spans="62:62" x14ac:dyDescent="0.2">
      <c r="BJ26931" s="201"/>
    </row>
    <row r="26932" spans="62:62" x14ac:dyDescent="0.2">
      <c r="BJ26932" s="201"/>
    </row>
    <row r="26933" spans="62:62" x14ac:dyDescent="0.2">
      <c r="BJ26933" s="201"/>
    </row>
    <row r="26934" spans="62:62" x14ac:dyDescent="0.2">
      <c r="BJ26934" s="201"/>
    </row>
    <row r="26935" spans="62:62" x14ac:dyDescent="0.2">
      <c r="BJ26935" s="201"/>
    </row>
    <row r="26936" spans="62:62" x14ac:dyDescent="0.2">
      <c r="BJ26936" s="201"/>
    </row>
    <row r="26937" spans="62:62" x14ac:dyDescent="0.2">
      <c r="BJ26937" s="201"/>
    </row>
    <row r="26938" spans="62:62" x14ac:dyDescent="0.2">
      <c r="BJ26938" s="201"/>
    </row>
    <row r="26939" spans="62:62" x14ac:dyDescent="0.2">
      <c r="BJ26939" s="201"/>
    </row>
    <row r="26940" spans="62:62" x14ac:dyDescent="0.2">
      <c r="BJ26940" s="201"/>
    </row>
    <row r="26941" spans="62:62" x14ac:dyDescent="0.2">
      <c r="BJ26941" s="201"/>
    </row>
    <row r="26942" spans="62:62" x14ac:dyDescent="0.2">
      <c r="BJ26942" s="201"/>
    </row>
    <row r="26943" spans="62:62" x14ac:dyDescent="0.2">
      <c r="BJ26943" s="201"/>
    </row>
    <row r="26944" spans="62:62" x14ac:dyDescent="0.2">
      <c r="BJ26944" s="201"/>
    </row>
    <row r="26945" spans="62:62" x14ac:dyDescent="0.2">
      <c r="BJ26945" s="201"/>
    </row>
    <row r="26946" spans="62:62" x14ac:dyDescent="0.2">
      <c r="BJ26946" s="201"/>
    </row>
    <row r="26947" spans="62:62" x14ac:dyDescent="0.2">
      <c r="BJ26947" s="201"/>
    </row>
    <row r="26948" spans="62:62" x14ac:dyDescent="0.2">
      <c r="BJ26948" s="201"/>
    </row>
    <row r="26949" spans="62:62" x14ac:dyDescent="0.2">
      <c r="BJ26949" s="201"/>
    </row>
    <row r="26950" spans="62:62" x14ac:dyDescent="0.2">
      <c r="BJ26950" s="201"/>
    </row>
    <row r="26951" spans="62:62" x14ac:dyDescent="0.2">
      <c r="BJ26951" s="201"/>
    </row>
    <row r="26952" spans="62:62" x14ac:dyDescent="0.2">
      <c r="BJ26952" s="201"/>
    </row>
    <row r="26953" spans="62:62" x14ac:dyDescent="0.2">
      <c r="BJ26953" s="201"/>
    </row>
    <row r="26954" spans="62:62" x14ac:dyDescent="0.2">
      <c r="BJ26954" s="201"/>
    </row>
    <row r="26955" spans="62:62" x14ac:dyDescent="0.2">
      <c r="BJ26955" s="201"/>
    </row>
    <row r="26956" spans="62:62" x14ac:dyDescent="0.2">
      <c r="BJ26956" s="201"/>
    </row>
    <row r="26957" spans="62:62" x14ac:dyDescent="0.2">
      <c r="BJ26957" s="201"/>
    </row>
    <row r="26958" spans="62:62" x14ac:dyDescent="0.2">
      <c r="BJ26958" s="201"/>
    </row>
    <row r="26959" spans="62:62" x14ac:dyDescent="0.2">
      <c r="BJ26959" s="201"/>
    </row>
    <row r="26960" spans="62:62" x14ac:dyDescent="0.2">
      <c r="BJ26960" s="201"/>
    </row>
    <row r="26961" spans="62:62" x14ac:dyDescent="0.2">
      <c r="BJ26961" s="201"/>
    </row>
    <row r="26962" spans="62:62" x14ac:dyDescent="0.2">
      <c r="BJ26962" s="201"/>
    </row>
    <row r="26963" spans="62:62" x14ac:dyDescent="0.2">
      <c r="BJ26963" s="201"/>
    </row>
    <row r="26964" spans="62:62" x14ac:dyDescent="0.2">
      <c r="BJ26964" s="201"/>
    </row>
    <row r="26965" spans="62:62" x14ac:dyDescent="0.2">
      <c r="BJ26965" s="201"/>
    </row>
    <row r="26966" spans="62:62" x14ac:dyDescent="0.2">
      <c r="BJ26966" s="201"/>
    </row>
    <row r="26967" spans="62:62" x14ac:dyDescent="0.2">
      <c r="BJ26967" s="201"/>
    </row>
    <row r="26968" spans="62:62" x14ac:dyDescent="0.2">
      <c r="BJ26968" s="201"/>
    </row>
    <row r="26969" spans="62:62" x14ac:dyDescent="0.2">
      <c r="BJ26969" s="201"/>
    </row>
    <row r="26970" spans="62:62" x14ac:dyDescent="0.2">
      <c r="BJ26970" s="201"/>
    </row>
    <row r="26971" spans="62:62" x14ac:dyDescent="0.2">
      <c r="BJ26971" s="201"/>
    </row>
    <row r="26972" spans="62:62" x14ac:dyDescent="0.2">
      <c r="BJ26972" s="201"/>
    </row>
    <row r="26973" spans="62:62" x14ac:dyDescent="0.2">
      <c r="BJ26973" s="201"/>
    </row>
    <row r="26974" spans="62:62" x14ac:dyDescent="0.2">
      <c r="BJ26974" s="201"/>
    </row>
    <row r="26975" spans="62:62" x14ac:dyDescent="0.2">
      <c r="BJ26975" s="201"/>
    </row>
    <row r="26976" spans="62:62" x14ac:dyDescent="0.2">
      <c r="BJ26976" s="201"/>
    </row>
    <row r="26977" spans="62:62" x14ac:dyDescent="0.2">
      <c r="BJ26977" s="201"/>
    </row>
    <row r="26978" spans="62:62" x14ac:dyDescent="0.2">
      <c r="BJ26978" s="201"/>
    </row>
    <row r="26979" spans="62:62" x14ac:dyDescent="0.2">
      <c r="BJ26979" s="201"/>
    </row>
    <row r="26980" spans="62:62" x14ac:dyDescent="0.2">
      <c r="BJ26980" s="201"/>
    </row>
    <row r="26981" spans="62:62" x14ac:dyDescent="0.2">
      <c r="BJ26981" s="201"/>
    </row>
    <row r="26982" spans="62:62" x14ac:dyDescent="0.2">
      <c r="BJ26982" s="201"/>
    </row>
    <row r="26983" spans="62:62" x14ac:dyDescent="0.2">
      <c r="BJ26983" s="201"/>
    </row>
    <row r="26984" spans="62:62" x14ac:dyDescent="0.2">
      <c r="BJ26984" s="201"/>
    </row>
    <row r="26985" spans="62:62" x14ac:dyDescent="0.2">
      <c r="BJ26985" s="201"/>
    </row>
    <row r="26986" spans="62:62" x14ac:dyDescent="0.2">
      <c r="BJ26986" s="201"/>
    </row>
    <row r="26987" spans="62:62" x14ac:dyDescent="0.2">
      <c r="BJ26987" s="201"/>
    </row>
    <row r="26988" spans="62:62" x14ac:dyDescent="0.2">
      <c r="BJ26988" s="201"/>
    </row>
    <row r="26989" spans="62:62" x14ac:dyDescent="0.2">
      <c r="BJ26989" s="201"/>
    </row>
    <row r="26990" spans="62:62" x14ac:dyDescent="0.2">
      <c r="BJ26990" s="201"/>
    </row>
    <row r="26991" spans="62:62" x14ac:dyDescent="0.2">
      <c r="BJ26991" s="201"/>
    </row>
    <row r="26992" spans="62:62" x14ac:dyDescent="0.2">
      <c r="BJ26992" s="201"/>
    </row>
    <row r="26993" spans="62:62" x14ac:dyDescent="0.2">
      <c r="BJ26993" s="201"/>
    </row>
    <row r="26994" spans="62:62" x14ac:dyDescent="0.2">
      <c r="BJ26994" s="201"/>
    </row>
    <row r="26995" spans="62:62" x14ac:dyDescent="0.2">
      <c r="BJ26995" s="201"/>
    </row>
    <row r="26996" spans="62:62" x14ac:dyDescent="0.2">
      <c r="BJ26996" s="201"/>
    </row>
    <row r="26997" spans="62:62" x14ac:dyDescent="0.2">
      <c r="BJ26997" s="201"/>
    </row>
    <row r="26998" spans="62:62" x14ac:dyDescent="0.2">
      <c r="BJ26998" s="201"/>
    </row>
    <row r="26999" spans="62:62" x14ac:dyDescent="0.2">
      <c r="BJ26999" s="201"/>
    </row>
    <row r="27000" spans="62:62" x14ac:dyDescent="0.2">
      <c r="BJ27000" s="201"/>
    </row>
    <row r="27001" spans="62:62" x14ac:dyDescent="0.2">
      <c r="BJ27001" s="201"/>
    </row>
    <row r="27002" spans="62:62" x14ac:dyDescent="0.2">
      <c r="BJ27002" s="201"/>
    </row>
    <row r="27003" spans="62:62" x14ac:dyDescent="0.2">
      <c r="BJ27003" s="201"/>
    </row>
    <row r="27004" spans="62:62" x14ac:dyDescent="0.2">
      <c r="BJ27004" s="201"/>
    </row>
    <row r="27005" spans="62:62" x14ac:dyDescent="0.2">
      <c r="BJ27005" s="201"/>
    </row>
    <row r="27006" spans="62:62" x14ac:dyDescent="0.2">
      <c r="BJ27006" s="201"/>
    </row>
    <row r="27007" spans="62:62" x14ac:dyDescent="0.2">
      <c r="BJ27007" s="201"/>
    </row>
    <row r="27008" spans="62:62" x14ac:dyDescent="0.2">
      <c r="BJ27008" s="201"/>
    </row>
    <row r="27009" spans="62:62" x14ac:dyDescent="0.2">
      <c r="BJ27009" s="201"/>
    </row>
    <row r="27010" spans="62:62" x14ac:dyDescent="0.2">
      <c r="BJ27010" s="201"/>
    </row>
    <row r="27011" spans="62:62" x14ac:dyDescent="0.2">
      <c r="BJ27011" s="201"/>
    </row>
    <row r="27012" spans="62:62" x14ac:dyDescent="0.2">
      <c r="BJ27012" s="201"/>
    </row>
    <row r="27013" spans="62:62" x14ac:dyDescent="0.2">
      <c r="BJ27013" s="201"/>
    </row>
    <row r="27014" spans="62:62" x14ac:dyDescent="0.2">
      <c r="BJ27014" s="201"/>
    </row>
    <row r="27015" spans="62:62" x14ac:dyDescent="0.2">
      <c r="BJ27015" s="201"/>
    </row>
    <row r="27016" spans="62:62" x14ac:dyDescent="0.2">
      <c r="BJ27016" s="201"/>
    </row>
    <row r="27017" spans="62:62" x14ac:dyDescent="0.2">
      <c r="BJ27017" s="201"/>
    </row>
    <row r="27018" spans="62:62" x14ac:dyDescent="0.2">
      <c r="BJ27018" s="201"/>
    </row>
    <row r="27019" spans="62:62" x14ac:dyDescent="0.2">
      <c r="BJ27019" s="201"/>
    </row>
    <row r="27020" spans="62:62" x14ac:dyDescent="0.2">
      <c r="BJ27020" s="201"/>
    </row>
    <row r="27021" spans="62:62" x14ac:dyDescent="0.2">
      <c r="BJ27021" s="201"/>
    </row>
    <row r="27022" spans="62:62" x14ac:dyDescent="0.2">
      <c r="BJ27022" s="201"/>
    </row>
    <row r="27023" spans="62:62" x14ac:dyDescent="0.2">
      <c r="BJ27023" s="201"/>
    </row>
    <row r="27024" spans="62:62" x14ac:dyDescent="0.2">
      <c r="BJ27024" s="201"/>
    </row>
    <row r="27025" spans="62:62" x14ac:dyDescent="0.2">
      <c r="BJ27025" s="201"/>
    </row>
    <row r="27026" spans="62:62" x14ac:dyDescent="0.2">
      <c r="BJ27026" s="201"/>
    </row>
    <row r="27027" spans="62:62" x14ac:dyDescent="0.2">
      <c r="BJ27027" s="201"/>
    </row>
    <row r="27028" spans="62:62" x14ac:dyDescent="0.2">
      <c r="BJ27028" s="201"/>
    </row>
    <row r="27029" spans="62:62" x14ac:dyDescent="0.2">
      <c r="BJ27029" s="201"/>
    </row>
    <row r="27030" spans="62:62" x14ac:dyDescent="0.2">
      <c r="BJ27030" s="201"/>
    </row>
    <row r="27031" spans="62:62" x14ac:dyDescent="0.2">
      <c r="BJ27031" s="201"/>
    </row>
    <row r="27032" spans="62:62" x14ac:dyDescent="0.2">
      <c r="BJ27032" s="201"/>
    </row>
    <row r="27033" spans="62:62" x14ac:dyDescent="0.2">
      <c r="BJ27033" s="201"/>
    </row>
    <row r="27034" spans="62:62" x14ac:dyDescent="0.2">
      <c r="BJ27034" s="201"/>
    </row>
    <row r="27035" spans="62:62" x14ac:dyDescent="0.2">
      <c r="BJ27035" s="201"/>
    </row>
    <row r="27036" spans="62:62" x14ac:dyDescent="0.2">
      <c r="BJ27036" s="201"/>
    </row>
    <row r="27037" spans="62:62" x14ac:dyDescent="0.2">
      <c r="BJ27037" s="201"/>
    </row>
    <row r="27038" spans="62:62" x14ac:dyDescent="0.2">
      <c r="BJ27038" s="201"/>
    </row>
    <row r="27039" spans="62:62" x14ac:dyDescent="0.2">
      <c r="BJ27039" s="201"/>
    </row>
    <row r="27040" spans="62:62" x14ac:dyDescent="0.2">
      <c r="BJ27040" s="201"/>
    </row>
    <row r="27041" spans="62:62" x14ac:dyDescent="0.2">
      <c r="BJ27041" s="201"/>
    </row>
    <row r="27042" spans="62:62" x14ac:dyDescent="0.2">
      <c r="BJ27042" s="201"/>
    </row>
    <row r="27043" spans="62:62" x14ac:dyDescent="0.2">
      <c r="BJ27043" s="201"/>
    </row>
    <row r="27044" spans="62:62" x14ac:dyDescent="0.2">
      <c r="BJ27044" s="201"/>
    </row>
    <row r="27045" spans="62:62" x14ac:dyDescent="0.2">
      <c r="BJ27045" s="201"/>
    </row>
    <row r="27046" spans="62:62" x14ac:dyDescent="0.2">
      <c r="BJ27046" s="201"/>
    </row>
    <row r="27047" spans="62:62" x14ac:dyDescent="0.2">
      <c r="BJ27047" s="201"/>
    </row>
    <row r="27048" spans="62:62" x14ac:dyDescent="0.2">
      <c r="BJ27048" s="201"/>
    </row>
    <row r="27049" spans="62:62" x14ac:dyDescent="0.2">
      <c r="BJ27049" s="201"/>
    </row>
    <row r="27050" spans="62:62" x14ac:dyDescent="0.2">
      <c r="BJ27050" s="201"/>
    </row>
    <row r="27051" spans="62:62" x14ac:dyDescent="0.2">
      <c r="BJ27051" s="201"/>
    </row>
    <row r="27052" spans="62:62" x14ac:dyDescent="0.2">
      <c r="BJ27052" s="201"/>
    </row>
    <row r="27053" spans="62:62" x14ac:dyDescent="0.2">
      <c r="BJ27053" s="201"/>
    </row>
    <row r="27054" spans="62:62" x14ac:dyDescent="0.2">
      <c r="BJ27054" s="201"/>
    </row>
    <row r="27055" spans="62:62" x14ac:dyDescent="0.2">
      <c r="BJ27055" s="201"/>
    </row>
    <row r="27056" spans="62:62" x14ac:dyDescent="0.2">
      <c r="BJ27056" s="201"/>
    </row>
    <row r="27057" spans="62:62" x14ac:dyDescent="0.2">
      <c r="BJ27057" s="201"/>
    </row>
    <row r="27058" spans="62:62" x14ac:dyDescent="0.2">
      <c r="BJ27058" s="201"/>
    </row>
    <row r="27059" spans="62:62" x14ac:dyDescent="0.2">
      <c r="BJ27059" s="201"/>
    </row>
    <row r="27060" spans="62:62" x14ac:dyDescent="0.2">
      <c r="BJ27060" s="201"/>
    </row>
    <row r="27061" spans="62:62" x14ac:dyDescent="0.2">
      <c r="BJ27061" s="201"/>
    </row>
    <row r="27062" spans="62:62" x14ac:dyDescent="0.2">
      <c r="BJ27062" s="201"/>
    </row>
    <row r="27063" spans="62:62" x14ac:dyDescent="0.2">
      <c r="BJ27063" s="201"/>
    </row>
    <row r="27064" spans="62:62" x14ac:dyDescent="0.2">
      <c r="BJ27064" s="201"/>
    </row>
    <row r="27065" spans="62:62" x14ac:dyDescent="0.2">
      <c r="BJ27065" s="201"/>
    </row>
    <row r="27066" spans="62:62" x14ac:dyDescent="0.2">
      <c r="BJ27066" s="201"/>
    </row>
    <row r="27067" spans="62:62" x14ac:dyDescent="0.2">
      <c r="BJ27067" s="201"/>
    </row>
    <row r="27068" spans="62:62" x14ac:dyDescent="0.2">
      <c r="BJ27068" s="201"/>
    </row>
    <row r="27069" spans="62:62" x14ac:dyDescent="0.2">
      <c r="BJ27069" s="201"/>
    </row>
    <row r="27070" spans="62:62" x14ac:dyDescent="0.2">
      <c r="BJ27070" s="201"/>
    </row>
    <row r="27071" spans="62:62" x14ac:dyDescent="0.2">
      <c r="BJ27071" s="201"/>
    </row>
    <row r="27072" spans="62:62" x14ac:dyDescent="0.2">
      <c r="BJ27072" s="201"/>
    </row>
    <row r="27073" spans="62:62" x14ac:dyDescent="0.2">
      <c r="BJ27073" s="201"/>
    </row>
    <row r="27074" spans="62:62" x14ac:dyDescent="0.2">
      <c r="BJ27074" s="201"/>
    </row>
    <row r="27075" spans="62:62" x14ac:dyDescent="0.2">
      <c r="BJ27075" s="201"/>
    </row>
    <row r="27076" spans="62:62" x14ac:dyDescent="0.2">
      <c r="BJ27076" s="201"/>
    </row>
    <row r="27077" spans="62:62" x14ac:dyDescent="0.2">
      <c r="BJ27077" s="201"/>
    </row>
    <row r="27078" spans="62:62" x14ac:dyDescent="0.2">
      <c r="BJ27078" s="201"/>
    </row>
    <row r="27079" spans="62:62" x14ac:dyDescent="0.2">
      <c r="BJ27079" s="201"/>
    </row>
    <row r="27080" spans="62:62" x14ac:dyDescent="0.2">
      <c r="BJ27080" s="201"/>
    </row>
    <row r="27081" spans="62:62" x14ac:dyDescent="0.2">
      <c r="BJ27081" s="201"/>
    </row>
    <row r="27082" spans="62:62" x14ac:dyDescent="0.2">
      <c r="BJ27082" s="201"/>
    </row>
    <row r="27083" spans="62:62" x14ac:dyDescent="0.2">
      <c r="BJ27083" s="201"/>
    </row>
    <row r="27084" spans="62:62" x14ac:dyDescent="0.2">
      <c r="BJ27084" s="201"/>
    </row>
    <row r="27085" spans="62:62" x14ac:dyDescent="0.2">
      <c r="BJ27085" s="201"/>
    </row>
    <row r="27086" spans="62:62" x14ac:dyDescent="0.2">
      <c r="BJ27086" s="201"/>
    </row>
    <row r="27087" spans="62:62" x14ac:dyDescent="0.2">
      <c r="BJ27087" s="201"/>
    </row>
    <row r="27088" spans="62:62" x14ac:dyDescent="0.2">
      <c r="BJ27088" s="201"/>
    </row>
    <row r="27089" spans="62:62" x14ac:dyDescent="0.2">
      <c r="BJ27089" s="201"/>
    </row>
    <row r="27090" spans="62:62" x14ac:dyDescent="0.2">
      <c r="BJ27090" s="201"/>
    </row>
    <row r="27091" spans="62:62" x14ac:dyDescent="0.2">
      <c r="BJ27091" s="201"/>
    </row>
    <row r="27092" spans="62:62" x14ac:dyDescent="0.2">
      <c r="BJ27092" s="201"/>
    </row>
    <row r="27093" spans="62:62" x14ac:dyDescent="0.2">
      <c r="BJ27093" s="201"/>
    </row>
    <row r="27094" spans="62:62" x14ac:dyDescent="0.2">
      <c r="BJ27094" s="201"/>
    </row>
    <row r="27095" spans="62:62" x14ac:dyDescent="0.2">
      <c r="BJ27095" s="201"/>
    </row>
    <row r="27096" spans="62:62" x14ac:dyDescent="0.2">
      <c r="BJ27096" s="201"/>
    </row>
    <row r="27097" spans="62:62" x14ac:dyDescent="0.2">
      <c r="BJ27097" s="201"/>
    </row>
    <row r="27098" spans="62:62" x14ac:dyDescent="0.2">
      <c r="BJ27098" s="201"/>
    </row>
    <row r="27099" spans="62:62" x14ac:dyDescent="0.2">
      <c r="BJ27099" s="201"/>
    </row>
    <row r="27100" spans="62:62" x14ac:dyDescent="0.2">
      <c r="BJ27100" s="201"/>
    </row>
    <row r="27101" spans="62:62" x14ac:dyDescent="0.2">
      <c r="BJ27101" s="201"/>
    </row>
    <row r="27102" spans="62:62" x14ac:dyDescent="0.2">
      <c r="BJ27102" s="201"/>
    </row>
    <row r="27103" spans="62:62" x14ac:dyDescent="0.2">
      <c r="BJ27103" s="201"/>
    </row>
    <row r="27104" spans="62:62" x14ac:dyDescent="0.2">
      <c r="BJ27104" s="201"/>
    </row>
    <row r="27105" spans="62:62" x14ac:dyDescent="0.2">
      <c r="BJ27105" s="201"/>
    </row>
    <row r="27106" spans="62:62" x14ac:dyDescent="0.2">
      <c r="BJ27106" s="201"/>
    </row>
    <row r="27107" spans="62:62" x14ac:dyDescent="0.2">
      <c r="BJ27107" s="201"/>
    </row>
    <row r="27108" spans="62:62" x14ac:dyDescent="0.2">
      <c r="BJ27108" s="201"/>
    </row>
    <row r="27109" spans="62:62" x14ac:dyDescent="0.2">
      <c r="BJ27109" s="201"/>
    </row>
    <row r="27110" spans="62:62" x14ac:dyDescent="0.2">
      <c r="BJ27110" s="201"/>
    </row>
    <row r="27111" spans="62:62" x14ac:dyDescent="0.2">
      <c r="BJ27111" s="201"/>
    </row>
    <row r="27112" spans="62:62" x14ac:dyDescent="0.2">
      <c r="BJ27112" s="201"/>
    </row>
    <row r="27113" spans="62:62" x14ac:dyDescent="0.2">
      <c r="BJ27113" s="201"/>
    </row>
    <row r="27114" spans="62:62" x14ac:dyDescent="0.2">
      <c r="BJ27114" s="201"/>
    </row>
    <row r="27115" spans="62:62" x14ac:dyDescent="0.2">
      <c r="BJ27115" s="201"/>
    </row>
    <row r="27116" spans="62:62" x14ac:dyDescent="0.2">
      <c r="BJ27116" s="201"/>
    </row>
    <row r="27117" spans="62:62" x14ac:dyDescent="0.2">
      <c r="BJ27117" s="201"/>
    </row>
    <row r="27118" spans="62:62" x14ac:dyDescent="0.2">
      <c r="BJ27118" s="201"/>
    </row>
    <row r="27119" spans="62:62" x14ac:dyDescent="0.2">
      <c r="BJ27119" s="201"/>
    </row>
    <row r="27120" spans="62:62" x14ac:dyDescent="0.2">
      <c r="BJ27120" s="201"/>
    </row>
    <row r="27121" spans="62:62" x14ac:dyDescent="0.2">
      <c r="BJ27121" s="201"/>
    </row>
    <row r="27122" spans="62:62" x14ac:dyDescent="0.2">
      <c r="BJ27122" s="201"/>
    </row>
    <row r="27123" spans="62:62" x14ac:dyDescent="0.2">
      <c r="BJ27123" s="201"/>
    </row>
    <row r="27124" spans="62:62" x14ac:dyDescent="0.2">
      <c r="BJ27124" s="201"/>
    </row>
    <row r="27125" spans="62:62" x14ac:dyDescent="0.2">
      <c r="BJ27125" s="201"/>
    </row>
    <row r="27126" spans="62:62" x14ac:dyDescent="0.2">
      <c r="BJ27126" s="201"/>
    </row>
    <row r="27127" spans="62:62" x14ac:dyDescent="0.2">
      <c r="BJ27127" s="201"/>
    </row>
    <row r="27128" spans="62:62" x14ac:dyDescent="0.2">
      <c r="BJ27128" s="201"/>
    </row>
    <row r="27129" spans="62:62" x14ac:dyDescent="0.2">
      <c r="BJ27129" s="201"/>
    </row>
    <row r="27130" spans="62:62" x14ac:dyDescent="0.2">
      <c r="BJ27130" s="201"/>
    </row>
    <row r="27131" spans="62:62" x14ac:dyDescent="0.2">
      <c r="BJ27131" s="201"/>
    </row>
    <row r="27132" spans="62:62" x14ac:dyDescent="0.2">
      <c r="BJ27132" s="201"/>
    </row>
    <row r="27133" spans="62:62" x14ac:dyDescent="0.2">
      <c r="BJ27133" s="201"/>
    </row>
    <row r="27134" spans="62:62" x14ac:dyDescent="0.2">
      <c r="BJ27134" s="201"/>
    </row>
    <row r="27135" spans="62:62" x14ac:dyDescent="0.2">
      <c r="BJ27135" s="201"/>
    </row>
    <row r="27136" spans="62:62" x14ac:dyDescent="0.2">
      <c r="BJ27136" s="201"/>
    </row>
    <row r="27137" spans="62:62" x14ac:dyDescent="0.2">
      <c r="BJ27137" s="201"/>
    </row>
    <row r="27138" spans="62:62" x14ac:dyDescent="0.2">
      <c r="BJ27138" s="201"/>
    </row>
    <row r="27139" spans="62:62" x14ac:dyDescent="0.2">
      <c r="BJ27139" s="201"/>
    </row>
    <row r="27140" spans="62:62" x14ac:dyDescent="0.2">
      <c r="BJ27140" s="201"/>
    </row>
    <row r="27141" spans="62:62" x14ac:dyDescent="0.2">
      <c r="BJ27141" s="201"/>
    </row>
    <row r="27142" spans="62:62" x14ac:dyDescent="0.2">
      <c r="BJ27142" s="201"/>
    </row>
    <row r="27143" spans="62:62" x14ac:dyDescent="0.2">
      <c r="BJ27143" s="201"/>
    </row>
    <row r="27144" spans="62:62" x14ac:dyDescent="0.2">
      <c r="BJ27144" s="201"/>
    </row>
    <row r="27145" spans="62:62" x14ac:dyDescent="0.2">
      <c r="BJ27145" s="201"/>
    </row>
    <row r="27146" spans="62:62" x14ac:dyDescent="0.2">
      <c r="BJ27146" s="201"/>
    </row>
    <row r="27147" spans="62:62" x14ac:dyDescent="0.2">
      <c r="BJ27147" s="201"/>
    </row>
    <row r="27148" spans="62:62" x14ac:dyDescent="0.2">
      <c r="BJ27148" s="201"/>
    </row>
    <row r="27149" spans="62:62" x14ac:dyDescent="0.2">
      <c r="BJ27149" s="201"/>
    </row>
    <row r="27150" spans="62:62" x14ac:dyDescent="0.2">
      <c r="BJ27150" s="201"/>
    </row>
    <row r="27151" spans="62:62" x14ac:dyDescent="0.2">
      <c r="BJ27151" s="201"/>
    </row>
    <row r="27152" spans="62:62" x14ac:dyDescent="0.2">
      <c r="BJ27152" s="201"/>
    </row>
    <row r="27153" spans="62:62" x14ac:dyDescent="0.2">
      <c r="BJ27153" s="201"/>
    </row>
    <row r="27154" spans="62:62" x14ac:dyDescent="0.2">
      <c r="BJ27154" s="201"/>
    </row>
    <row r="27155" spans="62:62" x14ac:dyDescent="0.2">
      <c r="BJ27155" s="201"/>
    </row>
    <row r="27156" spans="62:62" x14ac:dyDescent="0.2">
      <c r="BJ27156" s="201"/>
    </row>
    <row r="27157" spans="62:62" x14ac:dyDescent="0.2">
      <c r="BJ27157" s="201"/>
    </row>
    <row r="27158" spans="62:62" x14ac:dyDescent="0.2">
      <c r="BJ27158" s="201"/>
    </row>
    <row r="27159" spans="62:62" x14ac:dyDescent="0.2">
      <c r="BJ27159" s="201"/>
    </row>
    <row r="27160" spans="62:62" x14ac:dyDescent="0.2">
      <c r="BJ27160" s="201"/>
    </row>
    <row r="27161" spans="62:62" x14ac:dyDescent="0.2">
      <c r="BJ27161" s="201"/>
    </row>
    <row r="27162" spans="62:62" x14ac:dyDescent="0.2">
      <c r="BJ27162" s="201"/>
    </row>
    <row r="27163" spans="62:62" x14ac:dyDescent="0.2">
      <c r="BJ27163" s="201"/>
    </row>
    <row r="27164" spans="62:62" x14ac:dyDescent="0.2">
      <c r="BJ27164" s="201"/>
    </row>
    <row r="27165" spans="62:62" x14ac:dyDescent="0.2">
      <c r="BJ27165" s="201"/>
    </row>
    <row r="27166" spans="62:62" x14ac:dyDescent="0.2">
      <c r="BJ27166" s="201"/>
    </row>
    <row r="27167" spans="62:62" x14ac:dyDescent="0.2">
      <c r="BJ27167" s="201"/>
    </row>
    <row r="27168" spans="62:62" x14ac:dyDescent="0.2">
      <c r="BJ27168" s="201"/>
    </row>
    <row r="27169" spans="62:62" x14ac:dyDescent="0.2">
      <c r="BJ27169" s="201"/>
    </row>
    <row r="27170" spans="62:62" x14ac:dyDescent="0.2">
      <c r="BJ27170" s="201"/>
    </row>
    <row r="27171" spans="62:62" x14ac:dyDescent="0.2">
      <c r="BJ27171" s="201"/>
    </row>
    <row r="27172" spans="62:62" x14ac:dyDescent="0.2">
      <c r="BJ27172" s="201"/>
    </row>
    <row r="27173" spans="62:62" x14ac:dyDescent="0.2">
      <c r="BJ27173" s="201"/>
    </row>
    <row r="27174" spans="62:62" x14ac:dyDescent="0.2">
      <c r="BJ27174" s="201"/>
    </row>
    <row r="27175" spans="62:62" x14ac:dyDescent="0.2">
      <c r="BJ27175" s="201"/>
    </row>
    <row r="27176" spans="62:62" x14ac:dyDescent="0.2">
      <c r="BJ27176" s="201"/>
    </row>
    <row r="27177" spans="62:62" x14ac:dyDescent="0.2">
      <c r="BJ27177" s="201"/>
    </row>
    <row r="27178" spans="62:62" x14ac:dyDescent="0.2">
      <c r="BJ27178" s="201"/>
    </row>
    <row r="27179" spans="62:62" x14ac:dyDescent="0.2">
      <c r="BJ27179" s="201"/>
    </row>
    <row r="27180" spans="62:62" x14ac:dyDescent="0.2">
      <c r="BJ27180" s="201"/>
    </row>
    <row r="27181" spans="62:62" x14ac:dyDescent="0.2">
      <c r="BJ27181" s="201"/>
    </row>
    <row r="27182" spans="62:62" x14ac:dyDescent="0.2">
      <c r="BJ27182" s="201"/>
    </row>
    <row r="27183" spans="62:62" x14ac:dyDescent="0.2">
      <c r="BJ27183" s="201"/>
    </row>
    <row r="27184" spans="62:62" x14ac:dyDescent="0.2">
      <c r="BJ27184" s="201"/>
    </row>
    <row r="27185" spans="62:62" x14ac:dyDescent="0.2">
      <c r="BJ27185" s="201"/>
    </row>
    <row r="27186" spans="62:62" x14ac:dyDescent="0.2">
      <c r="BJ27186" s="201"/>
    </row>
    <row r="27187" spans="62:62" x14ac:dyDescent="0.2">
      <c r="BJ27187" s="201"/>
    </row>
    <row r="27188" spans="62:62" x14ac:dyDescent="0.2">
      <c r="BJ27188" s="201"/>
    </row>
    <row r="27189" spans="62:62" x14ac:dyDescent="0.2">
      <c r="BJ27189" s="201"/>
    </row>
    <row r="27190" spans="62:62" x14ac:dyDescent="0.2">
      <c r="BJ27190" s="201"/>
    </row>
    <row r="27191" spans="62:62" x14ac:dyDescent="0.2">
      <c r="BJ27191" s="201"/>
    </row>
    <row r="27192" spans="62:62" x14ac:dyDescent="0.2">
      <c r="BJ27192" s="201"/>
    </row>
    <row r="27193" spans="62:62" x14ac:dyDescent="0.2">
      <c r="BJ27193" s="201"/>
    </row>
    <row r="27194" spans="62:62" x14ac:dyDescent="0.2">
      <c r="BJ27194" s="201"/>
    </row>
    <row r="27195" spans="62:62" x14ac:dyDescent="0.2">
      <c r="BJ27195" s="201"/>
    </row>
    <row r="27196" spans="62:62" x14ac:dyDescent="0.2">
      <c r="BJ27196" s="201"/>
    </row>
    <row r="27197" spans="62:62" x14ac:dyDescent="0.2">
      <c r="BJ27197" s="201"/>
    </row>
    <row r="27198" spans="62:62" x14ac:dyDescent="0.2">
      <c r="BJ27198" s="201"/>
    </row>
    <row r="27199" spans="62:62" x14ac:dyDescent="0.2">
      <c r="BJ27199" s="201"/>
    </row>
    <row r="27200" spans="62:62" x14ac:dyDescent="0.2">
      <c r="BJ27200" s="201"/>
    </row>
    <row r="27201" spans="62:62" x14ac:dyDescent="0.2">
      <c r="BJ27201" s="201"/>
    </row>
    <row r="27202" spans="62:62" x14ac:dyDescent="0.2">
      <c r="BJ27202" s="201"/>
    </row>
    <row r="27203" spans="62:62" x14ac:dyDescent="0.2">
      <c r="BJ27203" s="201"/>
    </row>
    <row r="27204" spans="62:62" x14ac:dyDescent="0.2">
      <c r="BJ27204" s="201"/>
    </row>
    <row r="27205" spans="62:62" x14ac:dyDescent="0.2">
      <c r="BJ27205" s="201"/>
    </row>
    <row r="27206" spans="62:62" x14ac:dyDescent="0.2">
      <c r="BJ27206" s="201"/>
    </row>
    <row r="27207" spans="62:62" x14ac:dyDescent="0.2">
      <c r="BJ27207" s="201"/>
    </row>
    <row r="27208" spans="62:62" x14ac:dyDescent="0.2">
      <c r="BJ27208" s="201"/>
    </row>
    <row r="27209" spans="62:62" x14ac:dyDescent="0.2">
      <c r="BJ27209" s="201"/>
    </row>
    <row r="27210" spans="62:62" x14ac:dyDescent="0.2">
      <c r="BJ27210" s="201"/>
    </row>
    <row r="27211" spans="62:62" x14ac:dyDescent="0.2">
      <c r="BJ27211" s="201"/>
    </row>
    <row r="27212" spans="62:62" x14ac:dyDescent="0.2">
      <c r="BJ27212" s="201"/>
    </row>
    <row r="27213" spans="62:62" x14ac:dyDescent="0.2">
      <c r="BJ27213" s="201"/>
    </row>
    <row r="27214" spans="62:62" x14ac:dyDescent="0.2">
      <c r="BJ27214" s="201"/>
    </row>
    <row r="27215" spans="62:62" x14ac:dyDescent="0.2">
      <c r="BJ27215" s="201"/>
    </row>
    <row r="27216" spans="62:62" x14ac:dyDescent="0.2">
      <c r="BJ27216" s="201"/>
    </row>
    <row r="27217" spans="62:62" x14ac:dyDescent="0.2">
      <c r="BJ27217" s="201"/>
    </row>
    <row r="27218" spans="62:62" x14ac:dyDescent="0.2">
      <c r="BJ27218" s="201"/>
    </row>
    <row r="27219" spans="62:62" x14ac:dyDescent="0.2">
      <c r="BJ27219" s="201"/>
    </row>
    <row r="27220" spans="62:62" x14ac:dyDescent="0.2">
      <c r="BJ27220" s="201"/>
    </row>
    <row r="27221" spans="62:62" x14ac:dyDescent="0.2">
      <c r="BJ27221" s="201"/>
    </row>
    <row r="27222" spans="62:62" x14ac:dyDescent="0.2">
      <c r="BJ27222" s="201"/>
    </row>
    <row r="27223" spans="62:62" x14ac:dyDescent="0.2">
      <c r="BJ27223" s="201"/>
    </row>
    <row r="27224" spans="62:62" x14ac:dyDescent="0.2">
      <c r="BJ27224" s="201"/>
    </row>
    <row r="27225" spans="62:62" x14ac:dyDescent="0.2">
      <c r="BJ27225" s="201"/>
    </row>
    <row r="27226" spans="62:62" x14ac:dyDescent="0.2">
      <c r="BJ27226" s="201"/>
    </row>
    <row r="27227" spans="62:62" x14ac:dyDescent="0.2">
      <c r="BJ27227" s="201"/>
    </row>
    <row r="27228" spans="62:62" x14ac:dyDescent="0.2">
      <c r="BJ27228" s="201"/>
    </row>
    <row r="27229" spans="62:62" x14ac:dyDescent="0.2">
      <c r="BJ27229" s="201"/>
    </row>
    <row r="27230" spans="62:62" x14ac:dyDescent="0.2">
      <c r="BJ27230" s="201"/>
    </row>
    <row r="27231" spans="62:62" x14ac:dyDescent="0.2">
      <c r="BJ27231" s="201"/>
    </row>
    <row r="27232" spans="62:62" x14ac:dyDescent="0.2">
      <c r="BJ27232" s="201"/>
    </row>
    <row r="27233" spans="62:62" x14ac:dyDescent="0.2">
      <c r="BJ27233" s="201"/>
    </row>
    <row r="27234" spans="62:62" x14ac:dyDescent="0.2">
      <c r="BJ27234" s="201"/>
    </row>
    <row r="27235" spans="62:62" x14ac:dyDescent="0.2">
      <c r="BJ27235" s="201"/>
    </row>
    <row r="27236" spans="62:62" x14ac:dyDescent="0.2">
      <c r="BJ27236" s="201"/>
    </row>
    <row r="27237" spans="62:62" x14ac:dyDescent="0.2">
      <c r="BJ27237" s="201"/>
    </row>
    <row r="27238" spans="62:62" x14ac:dyDescent="0.2">
      <c r="BJ27238" s="201"/>
    </row>
    <row r="27239" spans="62:62" x14ac:dyDescent="0.2">
      <c r="BJ27239" s="201"/>
    </row>
    <row r="27240" spans="62:62" x14ac:dyDescent="0.2">
      <c r="BJ27240" s="201"/>
    </row>
    <row r="27241" spans="62:62" x14ac:dyDescent="0.2">
      <c r="BJ27241" s="201"/>
    </row>
    <row r="27242" spans="62:62" x14ac:dyDescent="0.2">
      <c r="BJ27242" s="201"/>
    </row>
    <row r="27243" spans="62:62" x14ac:dyDescent="0.2">
      <c r="BJ27243" s="201"/>
    </row>
    <row r="27244" spans="62:62" x14ac:dyDescent="0.2">
      <c r="BJ27244" s="201"/>
    </row>
    <row r="27245" spans="62:62" x14ac:dyDescent="0.2">
      <c r="BJ27245" s="201"/>
    </row>
    <row r="27246" spans="62:62" x14ac:dyDescent="0.2">
      <c r="BJ27246" s="201"/>
    </row>
    <row r="27247" spans="62:62" x14ac:dyDescent="0.2">
      <c r="BJ27247" s="201"/>
    </row>
    <row r="27248" spans="62:62" x14ac:dyDescent="0.2">
      <c r="BJ27248" s="201"/>
    </row>
    <row r="27249" spans="62:62" x14ac:dyDescent="0.2">
      <c r="BJ27249" s="201"/>
    </row>
    <row r="27250" spans="62:62" x14ac:dyDescent="0.2">
      <c r="BJ27250" s="201"/>
    </row>
    <row r="27251" spans="62:62" x14ac:dyDescent="0.2">
      <c r="BJ27251" s="201"/>
    </row>
    <row r="27252" spans="62:62" x14ac:dyDescent="0.2">
      <c r="BJ27252" s="201"/>
    </row>
    <row r="27253" spans="62:62" x14ac:dyDescent="0.2">
      <c r="BJ27253" s="201"/>
    </row>
    <row r="27254" spans="62:62" x14ac:dyDescent="0.2">
      <c r="BJ27254" s="201"/>
    </row>
    <row r="27255" spans="62:62" x14ac:dyDescent="0.2">
      <c r="BJ27255" s="201"/>
    </row>
    <row r="27256" spans="62:62" x14ac:dyDescent="0.2">
      <c r="BJ27256" s="201"/>
    </row>
    <row r="27257" spans="62:62" x14ac:dyDescent="0.2">
      <c r="BJ27257" s="201"/>
    </row>
    <row r="27258" spans="62:62" x14ac:dyDescent="0.2">
      <c r="BJ27258" s="201"/>
    </row>
    <row r="27259" spans="62:62" x14ac:dyDescent="0.2">
      <c r="BJ27259" s="201"/>
    </row>
    <row r="27260" spans="62:62" x14ac:dyDescent="0.2">
      <c r="BJ27260" s="201"/>
    </row>
    <row r="27261" spans="62:62" x14ac:dyDescent="0.2">
      <c r="BJ27261" s="201"/>
    </row>
    <row r="27262" spans="62:62" x14ac:dyDescent="0.2">
      <c r="BJ27262" s="201"/>
    </row>
    <row r="27263" spans="62:62" x14ac:dyDescent="0.2">
      <c r="BJ27263" s="201"/>
    </row>
    <row r="27264" spans="62:62" x14ac:dyDescent="0.2">
      <c r="BJ27264" s="201"/>
    </row>
    <row r="27265" spans="62:62" x14ac:dyDescent="0.2">
      <c r="BJ27265" s="201"/>
    </row>
    <row r="27266" spans="62:62" x14ac:dyDescent="0.2">
      <c r="BJ27266" s="201"/>
    </row>
    <row r="27267" spans="62:62" x14ac:dyDescent="0.2">
      <c r="BJ27267" s="201"/>
    </row>
    <row r="27268" spans="62:62" x14ac:dyDescent="0.2">
      <c r="BJ27268" s="201"/>
    </row>
    <row r="27269" spans="62:62" x14ac:dyDescent="0.2">
      <c r="BJ27269" s="201"/>
    </row>
    <row r="27270" spans="62:62" x14ac:dyDescent="0.2">
      <c r="BJ27270" s="201"/>
    </row>
    <row r="27271" spans="62:62" x14ac:dyDescent="0.2">
      <c r="BJ27271" s="201"/>
    </row>
    <row r="27272" spans="62:62" x14ac:dyDescent="0.2">
      <c r="BJ27272" s="201"/>
    </row>
    <row r="27273" spans="62:62" x14ac:dyDescent="0.2">
      <c r="BJ27273" s="201"/>
    </row>
    <row r="27274" spans="62:62" x14ac:dyDescent="0.2">
      <c r="BJ27274" s="201"/>
    </row>
    <row r="27275" spans="62:62" x14ac:dyDescent="0.2">
      <c r="BJ27275" s="201"/>
    </row>
    <row r="27276" spans="62:62" x14ac:dyDescent="0.2">
      <c r="BJ27276" s="201"/>
    </row>
    <row r="27277" spans="62:62" x14ac:dyDescent="0.2">
      <c r="BJ27277" s="201"/>
    </row>
    <row r="27278" spans="62:62" x14ac:dyDescent="0.2">
      <c r="BJ27278" s="201"/>
    </row>
    <row r="27279" spans="62:62" x14ac:dyDescent="0.2">
      <c r="BJ27279" s="201"/>
    </row>
    <row r="27280" spans="62:62" x14ac:dyDescent="0.2">
      <c r="BJ27280" s="201"/>
    </row>
    <row r="27281" spans="62:62" x14ac:dyDescent="0.2">
      <c r="BJ27281" s="201"/>
    </row>
    <row r="27282" spans="62:62" x14ac:dyDescent="0.2">
      <c r="BJ27282" s="201"/>
    </row>
    <row r="27283" spans="62:62" x14ac:dyDescent="0.2">
      <c r="BJ27283" s="201"/>
    </row>
    <row r="27284" spans="62:62" x14ac:dyDescent="0.2">
      <c r="BJ27284" s="201"/>
    </row>
    <row r="27285" spans="62:62" x14ac:dyDescent="0.2">
      <c r="BJ27285" s="201"/>
    </row>
    <row r="27286" spans="62:62" x14ac:dyDescent="0.2">
      <c r="BJ27286" s="201"/>
    </row>
    <row r="27287" spans="62:62" x14ac:dyDescent="0.2">
      <c r="BJ27287" s="201"/>
    </row>
    <row r="27288" spans="62:62" x14ac:dyDescent="0.2">
      <c r="BJ27288" s="201"/>
    </row>
    <row r="27289" spans="62:62" x14ac:dyDescent="0.2">
      <c r="BJ27289" s="201"/>
    </row>
    <row r="27290" spans="62:62" x14ac:dyDescent="0.2">
      <c r="BJ27290" s="201"/>
    </row>
    <row r="27291" spans="62:62" x14ac:dyDescent="0.2">
      <c r="BJ27291" s="201"/>
    </row>
    <row r="27292" spans="62:62" x14ac:dyDescent="0.2">
      <c r="BJ27292" s="201"/>
    </row>
    <row r="27293" spans="62:62" x14ac:dyDescent="0.2">
      <c r="BJ27293" s="201"/>
    </row>
    <row r="27294" spans="62:62" x14ac:dyDescent="0.2">
      <c r="BJ27294" s="201"/>
    </row>
    <row r="27295" spans="62:62" x14ac:dyDescent="0.2">
      <c r="BJ27295" s="201"/>
    </row>
    <row r="27296" spans="62:62" x14ac:dyDescent="0.2">
      <c r="BJ27296" s="201"/>
    </row>
    <row r="27297" spans="62:62" x14ac:dyDescent="0.2">
      <c r="BJ27297" s="201"/>
    </row>
    <row r="27298" spans="62:62" x14ac:dyDescent="0.2">
      <c r="BJ27298" s="201"/>
    </row>
    <row r="27299" spans="62:62" x14ac:dyDescent="0.2">
      <c r="BJ27299" s="201"/>
    </row>
    <row r="27300" spans="62:62" x14ac:dyDescent="0.2">
      <c r="BJ27300" s="201"/>
    </row>
    <row r="27301" spans="62:62" x14ac:dyDescent="0.2">
      <c r="BJ27301" s="201"/>
    </row>
    <row r="27302" spans="62:62" x14ac:dyDescent="0.2">
      <c r="BJ27302" s="201"/>
    </row>
    <row r="27303" spans="62:62" x14ac:dyDescent="0.2">
      <c r="BJ27303" s="201"/>
    </row>
    <row r="27304" spans="62:62" x14ac:dyDescent="0.2">
      <c r="BJ27304" s="201"/>
    </row>
    <row r="27305" spans="62:62" x14ac:dyDescent="0.2">
      <c r="BJ27305" s="201"/>
    </row>
    <row r="27306" spans="62:62" x14ac:dyDescent="0.2">
      <c r="BJ27306" s="201"/>
    </row>
    <row r="27307" spans="62:62" x14ac:dyDescent="0.2">
      <c r="BJ27307" s="201"/>
    </row>
    <row r="27308" spans="62:62" x14ac:dyDescent="0.2">
      <c r="BJ27308" s="201"/>
    </row>
    <row r="27309" spans="62:62" x14ac:dyDescent="0.2">
      <c r="BJ27309" s="201"/>
    </row>
    <row r="27310" spans="62:62" x14ac:dyDescent="0.2">
      <c r="BJ27310" s="201"/>
    </row>
    <row r="27311" spans="62:62" x14ac:dyDescent="0.2">
      <c r="BJ27311" s="201"/>
    </row>
    <row r="27312" spans="62:62" x14ac:dyDescent="0.2">
      <c r="BJ27312" s="201"/>
    </row>
    <row r="27313" spans="62:62" x14ac:dyDescent="0.2">
      <c r="BJ27313" s="201"/>
    </row>
    <row r="27314" spans="62:62" x14ac:dyDescent="0.2">
      <c r="BJ27314" s="201"/>
    </row>
    <row r="27315" spans="62:62" x14ac:dyDescent="0.2">
      <c r="BJ27315" s="201"/>
    </row>
    <row r="27316" spans="62:62" x14ac:dyDescent="0.2">
      <c r="BJ27316" s="201"/>
    </row>
    <row r="27317" spans="62:62" x14ac:dyDescent="0.2">
      <c r="BJ27317" s="201"/>
    </row>
    <row r="27318" spans="62:62" x14ac:dyDescent="0.2">
      <c r="BJ27318" s="201"/>
    </row>
    <row r="27319" spans="62:62" x14ac:dyDescent="0.2">
      <c r="BJ27319" s="201"/>
    </row>
    <row r="27320" spans="62:62" x14ac:dyDescent="0.2">
      <c r="BJ27320" s="201"/>
    </row>
    <row r="27321" spans="62:62" x14ac:dyDescent="0.2">
      <c r="BJ27321" s="201"/>
    </row>
    <row r="27322" spans="62:62" x14ac:dyDescent="0.2">
      <c r="BJ27322" s="201"/>
    </row>
    <row r="27323" spans="62:62" x14ac:dyDescent="0.2">
      <c r="BJ27323" s="201"/>
    </row>
    <row r="27324" spans="62:62" x14ac:dyDescent="0.2">
      <c r="BJ27324" s="201"/>
    </row>
    <row r="27325" spans="62:62" x14ac:dyDescent="0.2">
      <c r="BJ27325" s="201"/>
    </row>
    <row r="27326" spans="62:62" x14ac:dyDescent="0.2">
      <c r="BJ27326" s="201"/>
    </row>
    <row r="27327" spans="62:62" x14ac:dyDescent="0.2">
      <c r="BJ27327" s="201"/>
    </row>
    <row r="27328" spans="62:62" x14ac:dyDescent="0.2">
      <c r="BJ27328" s="201"/>
    </row>
    <row r="27329" spans="62:62" x14ac:dyDescent="0.2">
      <c r="BJ27329" s="201"/>
    </row>
    <row r="27330" spans="62:62" x14ac:dyDescent="0.2">
      <c r="BJ27330" s="201"/>
    </row>
    <row r="27331" spans="62:62" x14ac:dyDescent="0.2">
      <c r="BJ27331" s="201"/>
    </row>
    <row r="27332" spans="62:62" x14ac:dyDescent="0.2">
      <c r="BJ27332" s="201"/>
    </row>
    <row r="27333" spans="62:62" x14ac:dyDescent="0.2">
      <c r="BJ27333" s="201"/>
    </row>
    <row r="27334" spans="62:62" x14ac:dyDescent="0.2">
      <c r="BJ27334" s="201"/>
    </row>
    <row r="27335" spans="62:62" x14ac:dyDescent="0.2">
      <c r="BJ27335" s="201"/>
    </row>
    <row r="27336" spans="62:62" x14ac:dyDescent="0.2">
      <c r="BJ27336" s="201"/>
    </row>
    <row r="27337" spans="62:62" x14ac:dyDescent="0.2">
      <c r="BJ27337" s="201"/>
    </row>
    <row r="27338" spans="62:62" x14ac:dyDescent="0.2">
      <c r="BJ27338" s="201"/>
    </row>
    <row r="27339" spans="62:62" x14ac:dyDescent="0.2">
      <c r="BJ27339" s="201"/>
    </row>
    <row r="27340" spans="62:62" x14ac:dyDescent="0.2">
      <c r="BJ27340" s="201"/>
    </row>
    <row r="27341" spans="62:62" x14ac:dyDescent="0.2">
      <c r="BJ27341" s="201"/>
    </row>
    <row r="27342" spans="62:62" x14ac:dyDescent="0.2">
      <c r="BJ27342" s="201"/>
    </row>
    <row r="27343" spans="62:62" x14ac:dyDescent="0.2">
      <c r="BJ27343" s="201"/>
    </row>
    <row r="27344" spans="62:62" x14ac:dyDescent="0.2">
      <c r="BJ27344" s="201"/>
    </row>
    <row r="27345" spans="62:62" x14ac:dyDescent="0.2">
      <c r="BJ27345" s="201"/>
    </row>
    <row r="27346" spans="62:62" x14ac:dyDescent="0.2">
      <c r="BJ27346" s="201"/>
    </row>
    <row r="27347" spans="62:62" x14ac:dyDescent="0.2">
      <c r="BJ27347" s="201"/>
    </row>
    <row r="27348" spans="62:62" x14ac:dyDescent="0.2">
      <c r="BJ27348" s="201"/>
    </row>
    <row r="27349" spans="62:62" x14ac:dyDescent="0.2">
      <c r="BJ27349" s="201"/>
    </row>
    <row r="27350" spans="62:62" x14ac:dyDescent="0.2">
      <c r="BJ27350" s="201"/>
    </row>
    <row r="27351" spans="62:62" x14ac:dyDescent="0.2">
      <c r="BJ27351" s="201"/>
    </row>
    <row r="27352" spans="62:62" x14ac:dyDescent="0.2">
      <c r="BJ27352" s="201"/>
    </row>
    <row r="27353" spans="62:62" x14ac:dyDescent="0.2">
      <c r="BJ27353" s="201"/>
    </row>
    <row r="27354" spans="62:62" x14ac:dyDescent="0.2">
      <c r="BJ27354" s="201"/>
    </row>
    <row r="27355" spans="62:62" x14ac:dyDescent="0.2">
      <c r="BJ27355" s="201"/>
    </row>
    <row r="27356" spans="62:62" x14ac:dyDescent="0.2">
      <c r="BJ27356" s="201"/>
    </row>
    <row r="27357" spans="62:62" x14ac:dyDescent="0.2">
      <c r="BJ27357" s="201"/>
    </row>
    <row r="27358" spans="62:62" x14ac:dyDescent="0.2">
      <c r="BJ27358" s="201"/>
    </row>
    <row r="27359" spans="62:62" x14ac:dyDescent="0.2">
      <c r="BJ27359" s="201"/>
    </row>
    <row r="27360" spans="62:62" x14ac:dyDescent="0.2">
      <c r="BJ27360" s="201"/>
    </row>
    <row r="27361" spans="62:62" x14ac:dyDescent="0.2">
      <c r="BJ27361" s="201"/>
    </row>
    <row r="27362" spans="62:62" x14ac:dyDescent="0.2">
      <c r="BJ27362" s="201"/>
    </row>
    <row r="27363" spans="62:62" x14ac:dyDescent="0.2">
      <c r="BJ27363" s="201"/>
    </row>
    <row r="27364" spans="62:62" x14ac:dyDescent="0.2">
      <c r="BJ27364" s="201"/>
    </row>
    <row r="27365" spans="62:62" x14ac:dyDescent="0.2">
      <c r="BJ27365" s="201"/>
    </row>
    <row r="27366" spans="62:62" x14ac:dyDescent="0.2">
      <c r="BJ27366" s="201"/>
    </row>
    <row r="27367" spans="62:62" x14ac:dyDescent="0.2">
      <c r="BJ27367" s="201"/>
    </row>
    <row r="27368" spans="62:62" x14ac:dyDescent="0.2">
      <c r="BJ27368" s="201"/>
    </row>
    <row r="27369" spans="62:62" x14ac:dyDescent="0.2">
      <c r="BJ27369" s="201"/>
    </row>
    <row r="27370" spans="62:62" x14ac:dyDescent="0.2">
      <c r="BJ27370" s="201"/>
    </row>
    <row r="27371" spans="62:62" x14ac:dyDescent="0.2">
      <c r="BJ27371" s="201"/>
    </row>
    <row r="27372" spans="62:62" x14ac:dyDescent="0.2">
      <c r="BJ27372" s="201"/>
    </row>
    <row r="27373" spans="62:62" x14ac:dyDescent="0.2">
      <c r="BJ27373" s="201"/>
    </row>
    <row r="27374" spans="62:62" x14ac:dyDescent="0.2">
      <c r="BJ27374" s="201"/>
    </row>
    <row r="27375" spans="62:62" x14ac:dyDescent="0.2">
      <c r="BJ27375" s="201"/>
    </row>
    <row r="27376" spans="62:62" x14ac:dyDescent="0.2">
      <c r="BJ27376" s="201"/>
    </row>
    <row r="27377" spans="62:62" x14ac:dyDescent="0.2">
      <c r="BJ27377" s="201"/>
    </row>
    <row r="27378" spans="62:62" x14ac:dyDescent="0.2">
      <c r="BJ27378" s="201"/>
    </row>
    <row r="27379" spans="62:62" x14ac:dyDescent="0.2">
      <c r="BJ27379" s="201"/>
    </row>
    <row r="27380" spans="62:62" x14ac:dyDescent="0.2">
      <c r="BJ27380" s="201"/>
    </row>
    <row r="27381" spans="62:62" x14ac:dyDescent="0.2">
      <c r="BJ27381" s="201"/>
    </row>
    <row r="27382" spans="62:62" x14ac:dyDescent="0.2">
      <c r="BJ27382" s="201"/>
    </row>
    <row r="27383" spans="62:62" x14ac:dyDescent="0.2">
      <c r="BJ27383" s="201"/>
    </row>
    <row r="27384" spans="62:62" x14ac:dyDescent="0.2">
      <c r="BJ27384" s="201"/>
    </row>
    <row r="27385" spans="62:62" x14ac:dyDescent="0.2">
      <c r="BJ27385" s="201"/>
    </row>
    <row r="27386" spans="62:62" x14ac:dyDescent="0.2">
      <c r="BJ27386" s="201"/>
    </row>
    <row r="27387" spans="62:62" x14ac:dyDescent="0.2">
      <c r="BJ27387" s="201"/>
    </row>
    <row r="27388" spans="62:62" x14ac:dyDescent="0.2">
      <c r="BJ27388" s="201"/>
    </row>
    <row r="27389" spans="62:62" x14ac:dyDescent="0.2">
      <c r="BJ27389" s="201"/>
    </row>
    <row r="27390" spans="62:62" x14ac:dyDescent="0.2">
      <c r="BJ27390" s="201"/>
    </row>
    <row r="27391" spans="62:62" x14ac:dyDescent="0.2">
      <c r="BJ27391" s="201"/>
    </row>
    <row r="27392" spans="62:62" x14ac:dyDescent="0.2">
      <c r="BJ27392" s="201"/>
    </row>
    <row r="27393" spans="62:62" x14ac:dyDescent="0.2">
      <c r="BJ27393" s="201"/>
    </row>
    <row r="27394" spans="62:62" x14ac:dyDescent="0.2">
      <c r="BJ27394" s="201"/>
    </row>
    <row r="27395" spans="62:62" x14ac:dyDescent="0.2">
      <c r="BJ27395" s="201"/>
    </row>
    <row r="27396" spans="62:62" x14ac:dyDescent="0.2">
      <c r="BJ27396" s="201"/>
    </row>
    <row r="27397" spans="62:62" x14ac:dyDescent="0.2">
      <c r="BJ27397" s="201"/>
    </row>
    <row r="27398" spans="62:62" x14ac:dyDescent="0.2">
      <c r="BJ27398" s="201"/>
    </row>
    <row r="27399" spans="62:62" x14ac:dyDescent="0.2">
      <c r="BJ27399" s="201"/>
    </row>
    <row r="27400" spans="62:62" x14ac:dyDescent="0.2">
      <c r="BJ27400" s="201"/>
    </row>
    <row r="27401" spans="62:62" x14ac:dyDescent="0.2">
      <c r="BJ27401" s="201"/>
    </row>
    <row r="27402" spans="62:62" x14ac:dyDescent="0.2">
      <c r="BJ27402" s="201"/>
    </row>
    <row r="27403" spans="62:62" x14ac:dyDescent="0.2">
      <c r="BJ27403" s="201"/>
    </row>
    <row r="27404" spans="62:62" x14ac:dyDescent="0.2">
      <c r="BJ27404" s="201"/>
    </row>
    <row r="27405" spans="62:62" x14ac:dyDescent="0.2">
      <c r="BJ27405" s="201"/>
    </row>
    <row r="27406" spans="62:62" x14ac:dyDescent="0.2">
      <c r="BJ27406" s="201"/>
    </row>
    <row r="27407" spans="62:62" x14ac:dyDescent="0.2">
      <c r="BJ27407" s="201"/>
    </row>
    <row r="27408" spans="62:62" x14ac:dyDescent="0.2">
      <c r="BJ27408" s="201"/>
    </row>
    <row r="27409" spans="62:62" x14ac:dyDescent="0.2">
      <c r="BJ27409" s="201"/>
    </row>
    <row r="27410" spans="62:62" x14ac:dyDescent="0.2">
      <c r="BJ27410" s="201"/>
    </row>
    <row r="27411" spans="62:62" x14ac:dyDescent="0.2">
      <c r="BJ27411" s="201"/>
    </row>
    <row r="27412" spans="62:62" x14ac:dyDescent="0.2">
      <c r="BJ27412" s="201"/>
    </row>
    <row r="27413" spans="62:62" x14ac:dyDescent="0.2">
      <c r="BJ27413" s="201"/>
    </row>
    <row r="27414" spans="62:62" x14ac:dyDescent="0.2">
      <c r="BJ27414" s="201"/>
    </row>
    <row r="27415" spans="62:62" x14ac:dyDescent="0.2">
      <c r="BJ27415" s="201"/>
    </row>
    <row r="27416" spans="62:62" x14ac:dyDescent="0.2">
      <c r="BJ27416" s="201"/>
    </row>
    <row r="27417" spans="62:62" x14ac:dyDescent="0.2">
      <c r="BJ27417" s="201"/>
    </row>
    <row r="27418" spans="62:62" x14ac:dyDescent="0.2">
      <c r="BJ27418" s="201"/>
    </row>
    <row r="27419" spans="62:62" x14ac:dyDescent="0.2">
      <c r="BJ27419" s="201"/>
    </row>
    <row r="27420" spans="62:62" x14ac:dyDescent="0.2">
      <c r="BJ27420" s="201"/>
    </row>
    <row r="27421" spans="62:62" x14ac:dyDescent="0.2">
      <c r="BJ27421" s="201"/>
    </row>
    <row r="27422" spans="62:62" x14ac:dyDescent="0.2">
      <c r="BJ27422" s="201"/>
    </row>
    <row r="27423" spans="62:62" x14ac:dyDescent="0.2">
      <c r="BJ27423" s="201"/>
    </row>
    <row r="27424" spans="62:62" x14ac:dyDescent="0.2">
      <c r="BJ27424" s="201"/>
    </row>
    <row r="27425" spans="62:62" x14ac:dyDescent="0.2">
      <c r="BJ27425" s="201"/>
    </row>
    <row r="27426" spans="62:62" x14ac:dyDescent="0.2">
      <c r="BJ27426" s="201"/>
    </row>
    <row r="27427" spans="62:62" x14ac:dyDescent="0.2">
      <c r="BJ27427" s="201"/>
    </row>
    <row r="27428" spans="62:62" x14ac:dyDescent="0.2">
      <c r="BJ27428" s="201"/>
    </row>
    <row r="27429" spans="62:62" x14ac:dyDescent="0.2">
      <c r="BJ27429" s="201"/>
    </row>
    <row r="27430" spans="62:62" x14ac:dyDescent="0.2">
      <c r="BJ27430" s="201"/>
    </row>
    <row r="27431" spans="62:62" x14ac:dyDescent="0.2">
      <c r="BJ27431" s="201"/>
    </row>
    <row r="27432" spans="62:62" x14ac:dyDescent="0.2">
      <c r="BJ27432" s="201"/>
    </row>
    <row r="27433" spans="62:62" x14ac:dyDescent="0.2">
      <c r="BJ27433" s="201"/>
    </row>
    <row r="27434" spans="62:62" x14ac:dyDescent="0.2">
      <c r="BJ27434" s="201"/>
    </row>
    <row r="27435" spans="62:62" x14ac:dyDescent="0.2">
      <c r="BJ27435" s="201"/>
    </row>
    <row r="27436" spans="62:62" x14ac:dyDescent="0.2">
      <c r="BJ27436" s="201"/>
    </row>
    <row r="27437" spans="62:62" x14ac:dyDescent="0.2">
      <c r="BJ27437" s="201"/>
    </row>
    <row r="27438" spans="62:62" x14ac:dyDescent="0.2">
      <c r="BJ27438" s="201"/>
    </row>
    <row r="27439" spans="62:62" x14ac:dyDescent="0.2">
      <c r="BJ27439" s="201"/>
    </row>
    <row r="27440" spans="62:62" x14ac:dyDescent="0.2">
      <c r="BJ27440" s="201"/>
    </row>
    <row r="27441" spans="62:62" x14ac:dyDescent="0.2">
      <c r="BJ27441" s="201"/>
    </row>
    <row r="27442" spans="62:62" x14ac:dyDescent="0.2">
      <c r="BJ27442" s="201"/>
    </row>
    <row r="27443" spans="62:62" x14ac:dyDescent="0.2">
      <c r="BJ27443" s="201"/>
    </row>
    <row r="27444" spans="62:62" x14ac:dyDescent="0.2">
      <c r="BJ27444" s="201"/>
    </row>
    <row r="27445" spans="62:62" x14ac:dyDescent="0.2">
      <c r="BJ27445" s="201"/>
    </row>
    <row r="27446" spans="62:62" x14ac:dyDescent="0.2">
      <c r="BJ27446" s="201"/>
    </row>
    <row r="27447" spans="62:62" x14ac:dyDescent="0.2">
      <c r="BJ27447" s="201"/>
    </row>
    <row r="27448" spans="62:62" x14ac:dyDescent="0.2">
      <c r="BJ27448" s="201"/>
    </row>
    <row r="27449" spans="62:62" x14ac:dyDescent="0.2">
      <c r="BJ27449" s="201"/>
    </row>
    <row r="27450" spans="62:62" x14ac:dyDescent="0.2">
      <c r="BJ27450" s="201"/>
    </row>
    <row r="27451" spans="62:62" x14ac:dyDescent="0.2">
      <c r="BJ27451" s="201"/>
    </row>
    <row r="27452" spans="62:62" x14ac:dyDescent="0.2">
      <c r="BJ27452" s="201"/>
    </row>
    <row r="27453" spans="62:62" x14ac:dyDescent="0.2">
      <c r="BJ27453" s="201"/>
    </row>
    <row r="27454" spans="62:62" x14ac:dyDescent="0.2">
      <c r="BJ27454" s="201"/>
    </row>
    <row r="27455" spans="62:62" x14ac:dyDescent="0.2">
      <c r="BJ27455" s="201"/>
    </row>
    <row r="27456" spans="62:62" x14ac:dyDescent="0.2">
      <c r="BJ27456" s="201"/>
    </row>
    <row r="27457" spans="62:62" x14ac:dyDescent="0.2">
      <c r="BJ27457" s="201"/>
    </row>
    <row r="27458" spans="62:62" x14ac:dyDescent="0.2">
      <c r="BJ27458" s="201"/>
    </row>
    <row r="27459" spans="62:62" x14ac:dyDescent="0.2">
      <c r="BJ27459" s="201"/>
    </row>
    <row r="27460" spans="62:62" x14ac:dyDescent="0.2">
      <c r="BJ27460" s="201"/>
    </row>
    <row r="27461" spans="62:62" x14ac:dyDescent="0.2">
      <c r="BJ27461" s="201"/>
    </row>
    <row r="27462" spans="62:62" x14ac:dyDescent="0.2">
      <c r="BJ27462" s="201"/>
    </row>
    <row r="27463" spans="62:62" x14ac:dyDescent="0.2">
      <c r="BJ27463" s="201"/>
    </row>
    <row r="27464" spans="62:62" x14ac:dyDescent="0.2">
      <c r="BJ27464" s="201"/>
    </row>
    <row r="27465" spans="62:62" x14ac:dyDescent="0.2">
      <c r="BJ27465" s="201"/>
    </row>
    <row r="27466" spans="62:62" x14ac:dyDescent="0.2">
      <c r="BJ27466" s="201"/>
    </row>
    <row r="27467" spans="62:62" x14ac:dyDescent="0.2">
      <c r="BJ27467" s="201"/>
    </row>
    <row r="27468" spans="62:62" x14ac:dyDescent="0.2">
      <c r="BJ27468" s="201"/>
    </row>
    <row r="27469" spans="62:62" x14ac:dyDescent="0.2">
      <c r="BJ27469" s="201"/>
    </row>
    <row r="27470" spans="62:62" x14ac:dyDescent="0.2">
      <c r="BJ27470" s="201"/>
    </row>
    <row r="27471" spans="62:62" x14ac:dyDescent="0.2">
      <c r="BJ27471" s="201"/>
    </row>
    <row r="27472" spans="62:62" x14ac:dyDescent="0.2">
      <c r="BJ27472" s="201"/>
    </row>
    <row r="27473" spans="62:62" x14ac:dyDescent="0.2">
      <c r="BJ27473" s="201"/>
    </row>
    <row r="27474" spans="62:62" x14ac:dyDescent="0.2">
      <c r="BJ27474" s="201"/>
    </row>
    <row r="27475" spans="62:62" x14ac:dyDescent="0.2">
      <c r="BJ27475" s="201"/>
    </row>
    <row r="27476" spans="62:62" x14ac:dyDescent="0.2">
      <c r="BJ27476" s="201"/>
    </row>
    <row r="27477" spans="62:62" x14ac:dyDescent="0.2">
      <c r="BJ27477" s="201"/>
    </row>
    <row r="27478" spans="62:62" x14ac:dyDescent="0.2">
      <c r="BJ27478" s="201"/>
    </row>
    <row r="27479" spans="62:62" x14ac:dyDescent="0.2">
      <c r="BJ27479" s="201"/>
    </row>
    <row r="27480" spans="62:62" x14ac:dyDescent="0.2">
      <c r="BJ27480" s="201"/>
    </row>
    <row r="27481" spans="62:62" x14ac:dyDescent="0.2">
      <c r="BJ27481" s="201"/>
    </row>
    <row r="27482" spans="62:62" x14ac:dyDescent="0.2">
      <c r="BJ27482" s="201"/>
    </row>
    <row r="27483" spans="62:62" x14ac:dyDescent="0.2">
      <c r="BJ27483" s="201"/>
    </row>
    <row r="27484" spans="62:62" x14ac:dyDescent="0.2">
      <c r="BJ27484" s="201"/>
    </row>
    <row r="27485" spans="62:62" x14ac:dyDescent="0.2">
      <c r="BJ27485" s="201"/>
    </row>
    <row r="27486" spans="62:62" x14ac:dyDescent="0.2">
      <c r="BJ27486" s="201"/>
    </row>
    <row r="27487" spans="62:62" x14ac:dyDescent="0.2">
      <c r="BJ27487" s="201"/>
    </row>
    <row r="27488" spans="62:62" x14ac:dyDescent="0.2">
      <c r="BJ27488" s="201"/>
    </row>
    <row r="27489" spans="62:62" x14ac:dyDescent="0.2">
      <c r="BJ27489" s="201"/>
    </row>
    <row r="27490" spans="62:62" x14ac:dyDescent="0.2">
      <c r="BJ27490" s="201"/>
    </row>
    <row r="27491" spans="62:62" x14ac:dyDescent="0.2">
      <c r="BJ27491" s="201"/>
    </row>
    <row r="27492" spans="62:62" x14ac:dyDescent="0.2">
      <c r="BJ27492" s="201"/>
    </row>
    <row r="27493" spans="62:62" x14ac:dyDescent="0.2">
      <c r="BJ27493" s="201"/>
    </row>
    <row r="27494" spans="62:62" x14ac:dyDescent="0.2">
      <c r="BJ27494" s="201"/>
    </row>
    <row r="27495" spans="62:62" x14ac:dyDescent="0.2">
      <c r="BJ27495" s="201"/>
    </row>
    <row r="27496" spans="62:62" x14ac:dyDescent="0.2">
      <c r="BJ27496" s="201"/>
    </row>
    <row r="27497" spans="62:62" x14ac:dyDescent="0.2">
      <c r="BJ27497" s="201"/>
    </row>
    <row r="27498" spans="62:62" x14ac:dyDescent="0.2">
      <c r="BJ27498" s="201"/>
    </row>
    <row r="27499" spans="62:62" x14ac:dyDescent="0.2">
      <c r="BJ27499" s="201"/>
    </row>
    <row r="27500" spans="62:62" x14ac:dyDescent="0.2">
      <c r="BJ27500" s="201"/>
    </row>
    <row r="27501" spans="62:62" x14ac:dyDescent="0.2">
      <c r="BJ27501" s="201"/>
    </row>
    <row r="27502" spans="62:62" x14ac:dyDescent="0.2">
      <c r="BJ27502" s="201"/>
    </row>
    <row r="27503" spans="62:62" x14ac:dyDescent="0.2">
      <c r="BJ27503" s="201"/>
    </row>
    <row r="27504" spans="62:62" x14ac:dyDescent="0.2">
      <c r="BJ27504" s="201"/>
    </row>
    <row r="27505" spans="62:62" x14ac:dyDescent="0.2">
      <c r="BJ27505" s="201"/>
    </row>
    <row r="27506" spans="62:62" x14ac:dyDescent="0.2">
      <c r="BJ27506" s="201"/>
    </row>
    <row r="27507" spans="62:62" x14ac:dyDescent="0.2">
      <c r="BJ27507" s="201"/>
    </row>
    <row r="27508" spans="62:62" x14ac:dyDescent="0.2">
      <c r="BJ27508" s="201"/>
    </row>
    <row r="27509" spans="62:62" x14ac:dyDescent="0.2">
      <c r="BJ27509" s="201"/>
    </row>
    <row r="27510" spans="62:62" x14ac:dyDescent="0.2">
      <c r="BJ27510" s="201"/>
    </row>
    <row r="27511" spans="62:62" x14ac:dyDescent="0.2">
      <c r="BJ27511" s="201"/>
    </row>
    <row r="27512" spans="62:62" x14ac:dyDescent="0.2">
      <c r="BJ27512" s="201"/>
    </row>
    <row r="27513" spans="62:62" x14ac:dyDescent="0.2">
      <c r="BJ27513" s="201"/>
    </row>
    <row r="27514" spans="62:62" x14ac:dyDescent="0.2">
      <c r="BJ27514" s="201"/>
    </row>
    <row r="27515" spans="62:62" x14ac:dyDescent="0.2">
      <c r="BJ27515" s="201"/>
    </row>
    <row r="27516" spans="62:62" x14ac:dyDescent="0.2">
      <c r="BJ27516" s="201"/>
    </row>
    <row r="27517" spans="62:62" x14ac:dyDescent="0.2">
      <c r="BJ27517" s="201"/>
    </row>
    <row r="27518" spans="62:62" x14ac:dyDescent="0.2">
      <c r="BJ27518" s="201"/>
    </row>
    <row r="27519" spans="62:62" x14ac:dyDescent="0.2">
      <c r="BJ27519" s="201"/>
    </row>
    <row r="27520" spans="62:62" x14ac:dyDescent="0.2">
      <c r="BJ27520" s="201"/>
    </row>
    <row r="27521" spans="62:62" x14ac:dyDescent="0.2">
      <c r="BJ27521" s="201"/>
    </row>
    <row r="27522" spans="62:62" x14ac:dyDescent="0.2">
      <c r="BJ27522" s="201"/>
    </row>
    <row r="27523" spans="62:62" x14ac:dyDescent="0.2">
      <c r="BJ27523" s="201"/>
    </row>
    <row r="27524" spans="62:62" x14ac:dyDescent="0.2">
      <c r="BJ27524" s="201"/>
    </row>
    <row r="27525" spans="62:62" x14ac:dyDescent="0.2">
      <c r="BJ27525" s="201"/>
    </row>
    <row r="27526" spans="62:62" x14ac:dyDescent="0.2">
      <c r="BJ27526" s="201"/>
    </row>
    <row r="27527" spans="62:62" x14ac:dyDescent="0.2">
      <c r="BJ27527" s="201"/>
    </row>
    <row r="27528" spans="62:62" x14ac:dyDescent="0.2">
      <c r="BJ27528" s="201"/>
    </row>
    <row r="27529" spans="62:62" x14ac:dyDescent="0.2">
      <c r="BJ27529" s="201"/>
    </row>
    <row r="27530" spans="62:62" x14ac:dyDescent="0.2">
      <c r="BJ27530" s="201"/>
    </row>
    <row r="27531" spans="62:62" x14ac:dyDescent="0.2">
      <c r="BJ27531" s="201"/>
    </row>
    <row r="27532" spans="62:62" x14ac:dyDescent="0.2">
      <c r="BJ27532" s="201"/>
    </row>
    <row r="27533" spans="62:62" x14ac:dyDescent="0.2">
      <c r="BJ27533" s="201"/>
    </row>
    <row r="27534" spans="62:62" x14ac:dyDescent="0.2">
      <c r="BJ27534" s="201"/>
    </row>
    <row r="27535" spans="62:62" x14ac:dyDescent="0.2">
      <c r="BJ27535" s="201"/>
    </row>
    <row r="27536" spans="62:62" x14ac:dyDescent="0.2">
      <c r="BJ27536" s="201"/>
    </row>
    <row r="27537" spans="62:62" x14ac:dyDescent="0.2">
      <c r="BJ27537" s="201"/>
    </row>
    <row r="27538" spans="62:62" x14ac:dyDescent="0.2">
      <c r="BJ27538" s="201"/>
    </row>
    <row r="27539" spans="62:62" x14ac:dyDescent="0.2">
      <c r="BJ27539" s="201"/>
    </row>
    <row r="27540" spans="62:62" x14ac:dyDescent="0.2">
      <c r="BJ27540" s="201"/>
    </row>
    <row r="27541" spans="62:62" x14ac:dyDescent="0.2">
      <c r="BJ27541" s="201"/>
    </row>
    <row r="27542" spans="62:62" x14ac:dyDescent="0.2">
      <c r="BJ27542" s="201"/>
    </row>
    <row r="27543" spans="62:62" x14ac:dyDescent="0.2">
      <c r="BJ27543" s="201"/>
    </row>
    <row r="27544" spans="62:62" x14ac:dyDescent="0.2">
      <c r="BJ27544" s="201"/>
    </row>
    <row r="27545" spans="62:62" x14ac:dyDescent="0.2">
      <c r="BJ27545" s="201"/>
    </row>
    <row r="27546" spans="62:62" x14ac:dyDescent="0.2">
      <c r="BJ27546" s="201"/>
    </row>
    <row r="27547" spans="62:62" x14ac:dyDescent="0.2">
      <c r="BJ27547" s="201"/>
    </row>
    <row r="27548" spans="62:62" x14ac:dyDescent="0.2">
      <c r="BJ27548" s="201"/>
    </row>
    <row r="27549" spans="62:62" x14ac:dyDescent="0.2">
      <c r="BJ27549" s="201"/>
    </row>
    <row r="27550" spans="62:62" x14ac:dyDescent="0.2">
      <c r="BJ27550" s="201"/>
    </row>
    <row r="27551" spans="62:62" x14ac:dyDescent="0.2">
      <c r="BJ27551" s="201"/>
    </row>
    <row r="27552" spans="62:62" x14ac:dyDescent="0.2">
      <c r="BJ27552" s="201"/>
    </row>
    <row r="27553" spans="62:62" x14ac:dyDescent="0.2">
      <c r="BJ27553" s="201"/>
    </row>
    <row r="27554" spans="62:62" x14ac:dyDescent="0.2">
      <c r="BJ27554" s="201"/>
    </row>
    <row r="27555" spans="62:62" x14ac:dyDescent="0.2">
      <c r="BJ27555" s="201"/>
    </row>
    <row r="27556" spans="62:62" x14ac:dyDescent="0.2">
      <c r="BJ27556" s="201"/>
    </row>
    <row r="27557" spans="62:62" x14ac:dyDescent="0.2">
      <c r="BJ27557" s="201"/>
    </row>
    <row r="27558" spans="62:62" x14ac:dyDescent="0.2">
      <c r="BJ27558" s="201"/>
    </row>
    <row r="27559" spans="62:62" x14ac:dyDescent="0.2">
      <c r="BJ27559" s="201"/>
    </row>
    <row r="27560" spans="62:62" x14ac:dyDescent="0.2">
      <c r="BJ27560" s="201"/>
    </row>
    <row r="27561" spans="62:62" x14ac:dyDescent="0.2">
      <c r="BJ27561" s="201"/>
    </row>
    <row r="27562" spans="62:62" x14ac:dyDescent="0.2">
      <c r="BJ27562" s="201"/>
    </row>
    <row r="27563" spans="62:62" x14ac:dyDescent="0.2">
      <c r="BJ27563" s="201"/>
    </row>
    <row r="27564" spans="62:62" x14ac:dyDescent="0.2">
      <c r="BJ27564" s="201"/>
    </row>
    <row r="27565" spans="62:62" x14ac:dyDescent="0.2">
      <c r="BJ27565" s="201"/>
    </row>
    <row r="27566" spans="62:62" x14ac:dyDescent="0.2">
      <c r="BJ27566" s="201"/>
    </row>
    <row r="27567" spans="62:62" x14ac:dyDescent="0.2">
      <c r="BJ27567" s="201"/>
    </row>
    <row r="27568" spans="62:62" x14ac:dyDescent="0.2">
      <c r="BJ27568" s="201"/>
    </row>
    <row r="27569" spans="62:62" x14ac:dyDescent="0.2">
      <c r="BJ27569" s="201"/>
    </row>
    <row r="27570" spans="62:62" x14ac:dyDescent="0.2">
      <c r="BJ27570" s="201"/>
    </row>
    <row r="27571" spans="62:62" x14ac:dyDescent="0.2">
      <c r="BJ27571" s="201"/>
    </row>
    <row r="27572" spans="62:62" x14ac:dyDescent="0.2">
      <c r="BJ27572" s="201"/>
    </row>
    <row r="27573" spans="62:62" x14ac:dyDescent="0.2">
      <c r="BJ27573" s="201"/>
    </row>
    <row r="27574" spans="62:62" x14ac:dyDescent="0.2">
      <c r="BJ27574" s="201"/>
    </row>
    <row r="27575" spans="62:62" x14ac:dyDescent="0.2">
      <c r="BJ27575" s="201"/>
    </row>
    <row r="27576" spans="62:62" x14ac:dyDescent="0.2">
      <c r="BJ27576" s="201"/>
    </row>
    <row r="27577" spans="62:62" x14ac:dyDescent="0.2">
      <c r="BJ27577" s="201"/>
    </row>
    <row r="27578" spans="62:62" x14ac:dyDescent="0.2">
      <c r="BJ27578" s="201"/>
    </row>
    <row r="27579" spans="62:62" x14ac:dyDescent="0.2">
      <c r="BJ27579" s="201"/>
    </row>
    <row r="27580" spans="62:62" x14ac:dyDescent="0.2">
      <c r="BJ27580" s="201"/>
    </row>
    <row r="27581" spans="62:62" x14ac:dyDescent="0.2">
      <c r="BJ27581" s="201"/>
    </row>
    <row r="27582" spans="62:62" x14ac:dyDescent="0.2">
      <c r="BJ27582" s="201"/>
    </row>
    <row r="27583" spans="62:62" x14ac:dyDescent="0.2">
      <c r="BJ27583" s="201"/>
    </row>
    <row r="27584" spans="62:62" x14ac:dyDescent="0.2">
      <c r="BJ27584" s="201"/>
    </row>
    <row r="27585" spans="62:62" x14ac:dyDescent="0.2">
      <c r="BJ27585" s="201"/>
    </row>
    <row r="27586" spans="62:62" x14ac:dyDescent="0.2">
      <c r="BJ27586" s="201"/>
    </row>
    <row r="27587" spans="62:62" x14ac:dyDescent="0.2">
      <c r="BJ27587" s="201"/>
    </row>
    <row r="27588" spans="62:62" x14ac:dyDescent="0.2">
      <c r="BJ27588" s="201"/>
    </row>
    <row r="27589" spans="62:62" x14ac:dyDescent="0.2">
      <c r="BJ27589" s="201"/>
    </row>
    <row r="27590" spans="62:62" x14ac:dyDescent="0.2">
      <c r="BJ27590" s="201"/>
    </row>
    <row r="27591" spans="62:62" x14ac:dyDescent="0.2">
      <c r="BJ27591" s="201"/>
    </row>
    <row r="27592" spans="62:62" x14ac:dyDescent="0.2">
      <c r="BJ27592" s="201"/>
    </row>
    <row r="27593" spans="62:62" x14ac:dyDescent="0.2">
      <c r="BJ27593" s="201"/>
    </row>
    <row r="27594" spans="62:62" x14ac:dyDescent="0.2">
      <c r="BJ27594" s="201"/>
    </row>
    <row r="27595" spans="62:62" x14ac:dyDescent="0.2">
      <c r="BJ27595" s="201"/>
    </row>
    <row r="27596" spans="62:62" x14ac:dyDescent="0.2">
      <c r="BJ27596" s="201"/>
    </row>
    <row r="27597" spans="62:62" x14ac:dyDescent="0.2">
      <c r="BJ27597" s="201"/>
    </row>
    <row r="27598" spans="62:62" x14ac:dyDescent="0.2">
      <c r="BJ27598" s="201"/>
    </row>
    <row r="27599" spans="62:62" x14ac:dyDescent="0.2">
      <c r="BJ27599" s="201"/>
    </row>
    <row r="27600" spans="62:62" x14ac:dyDescent="0.2">
      <c r="BJ27600" s="201"/>
    </row>
    <row r="27601" spans="62:62" x14ac:dyDescent="0.2">
      <c r="BJ27601" s="201"/>
    </row>
    <row r="27602" spans="62:62" x14ac:dyDescent="0.2">
      <c r="BJ27602" s="201"/>
    </row>
    <row r="27603" spans="62:62" x14ac:dyDescent="0.2">
      <c r="BJ27603" s="201"/>
    </row>
    <row r="27604" spans="62:62" x14ac:dyDescent="0.2">
      <c r="BJ27604" s="201"/>
    </row>
    <row r="27605" spans="62:62" x14ac:dyDescent="0.2">
      <c r="BJ27605" s="201"/>
    </row>
    <row r="27606" spans="62:62" x14ac:dyDescent="0.2">
      <c r="BJ27606" s="201"/>
    </row>
    <row r="27607" spans="62:62" x14ac:dyDescent="0.2">
      <c r="BJ27607" s="201"/>
    </row>
    <row r="27608" spans="62:62" x14ac:dyDescent="0.2">
      <c r="BJ27608" s="201"/>
    </row>
    <row r="27609" spans="62:62" x14ac:dyDescent="0.2">
      <c r="BJ27609" s="201"/>
    </row>
    <row r="27610" spans="62:62" x14ac:dyDescent="0.2">
      <c r="BJ27610" s="201"/>
    </row>
    <row r="27611" spans="62:62" x14ac:dyDescent="0.2">
      <c r="BJ27611" s="201"/>
    </row>
    <row r="27612" spans="62:62" x14ac:dyDescent="0.2">
      <c r="BJ27612" s="201"/>
    </row>
    <row r="27613" spans="62:62" x14ac:dyDescent="0.2">
      <c r="BJ27613" s="201"/>
    </row>
    <row r="27614" spans="62:62" x14ac:dyDescent="0.2">
      <c r="BJ27614" s="201"/>
    </row>
    <row r="27615" spans="62:62" x14ac:dyDescent="0.2">
      <c r="BJ27615" s="201"/>
    </row>
    <row r="27616" spans="62:62" x14ac:dyDescent="0.2">
      <c r="BJ27616" s="201"/>
    </row>
    <row r="27617" spans="62:62" x14ac:dyDescent="0.2">
      <c r="BJ27617" s="201"/>
    </row>
    <row r="27618" spans="62:62" x14ac:dyDescent="0.2">
      <c r="BJ27618" s="201"/>
    </row>
    <row r="27619" spans="62:62" x14ac:dyDescent="0.2">
      <c r="BJ27619" s="201"/>
    </row>
    <row r="27620" spans="62:62" x14ac:dyDescent="0.2">
      <c r="BJ27620" s="201"/>
    </row>
    <row r="27621" spans="62:62" x14ac:dyDescent="0.2">
      <c r="BJ27621" s="201"/>
    </row>
    <row r="27622" spans="62:62" x14ac:dyDescent="0.2">
      <c r="BJ27622" s="201"/>
    </row>
    <row r="27623" spans="62:62" x14ac:dyDescent="0.2">
      <c r="BJ27623" s="201"/>
    </row>
    <row r="27624" spans="62:62" x14ac:dyDescent="0.2">
      <c r="BJ27624" s="201"/>
    </row>
    <row r="27625" spans="62:62" x14ac:dyDescent="0.2">
      <c r="BJ27625" s="201"/>
    </row>
    <row r="27626" spans="62:62" x14ac:dyDescent="0.2">
      <c r="BJ27626" s="201"/>
    </row>
    <row r="27627" spans="62:62" x14ac:dyDescent="0.2">
      <c r="BJ27627" s="201"/>
    </row>
    <row r="27628" spans="62:62" x14ac:dyDescent="0.2">
      <c r="BJ27628" s="201"/>
    </row>
    <row r="27629" spans="62:62" x14ac:dyDescent="0.2">
      <c r="BJ27629" s="201"/>
    </row>
    <row r="27630" spans="62:62" x14ac:dyDescent="0.2">
      <c r="BJ27630" s="201"/>
    </row>
    <row r="27631" spans="62:62" x14ac:dyDescent="0.2">
      <c r="BJ27631" s="201"/>
    </row>
    <row r="27632" spans="62:62" x14ac:dyDescent="0.2">
      <c r="BJ27632" s="201"/>
    </row>
    <row r="27633" spans="62:62" x14ac:dyDescent="0.2">
      <c r="BJ27633" s="201"/>
    </row>
    <row r="27634" spans="62:62" x14ac:dyDescent="0.2">
      <c r="BJ27634" s="201"/>
    </row>
    <row r="27635" spans="62:62" x14ac:dyDescent="0.2">
      <c r="BJ27635" s="201"/>
    </row>
    <row r="27636" spans="62:62" x14ac:dyDescent="0.2">
      <c r="BJ27636" s="201"/>
    </row>
    <row r="27637" spans="62:62" x14ac:dyDescent="0.2">
      <c r="BJ27637" s="201"/>
    </row>
    <row r="27638" spans="62:62" x14ac:dyDescent="0.2">
      <c r="BJ27638" s="201"/>
    </row>
    <row r="27639" spans="62:62" x14ac:dyDescent="0.2">
      <c r="BJ27639" s="201"/>
    </row>
    <row r="27640" spans="62:62" x14ac:dyDescent="0.2">
      <c r="BJ27640" s="201"/>
    </row>
    <row r="27641" spans="62:62" x14ac:dyDescent="0.2">
      <c r="BJ27641" s="201"/>
    </row>
    <row r="27642" spans="62:62" x14ac:dyDescent="0.2">
      <c r="BJ27642" s="201"/>
    </row>
    <row r="27643" spans="62:62" x14ac:dyDescent="0.2">
      <c r="BJ27643" s="201"/>
    </row>
    <row r="27644" spans="62:62" x14ac:dyDescent="0.2">
      <c r="BJ27644" s="201"/>
    </row>
    <row r="27645" spans="62:62" x14ac:dyDescent="0.2">
      <c r="BJ27645" s="201"/>
    </row>
    <row r="27646" spans="62:62" x14ac:dyDescent="0.2">
      <c r="BJ27646" s="201"/>
    </row>
    <row r="27647" spans="62:62" x14ac:dyDescent="0.2">
      <c r="BJ27647" s="201"/>
    </row>
    <row r="27648" spans="62:62" x14ac:dyDescent="0.2">
      <c r="BJ27648" s="201"/>
    </row>
    <row r="27649" spans="62:62" x14ac:dyDescent="0.2">
      <c r="BJ27649" s="201"/>
    </row>
    <row r="27650" spans="62:62" x14ac:dyDescent="0.2">
      <c r="BJ27650" s="201"/>
    </row>
    <row r="27651" spans="62:62" x14ac:dyDescent="0.2">
      <c r="BJ27651" s="201"/>
    </row>
    <row r="27652" spans="62:62" x14ac:dyDescent="0.2">
      <c r="BJ27652" s="201"/>
    </row>
    <row r="27653" spans="62:62" x14ac:dyDescent="0.2">
      <c r="BJ27653" s="201"/>
    </row>
    <row r="27654" spans="62:62" x14ac:dyDescent="0.2">
      <c r="BJ27654" s="201"/>
    </row>
    <row r="27655" spans="62:62" x14ac:dyDescent="0.2">
      <c r="BJ27655" s="201"/>
    </row>
    <row r="27656" spans="62:62" x14ac:dyDescent="0.2">
      <c r="BJ27656" s="201"/>
    </row>
    <row r="27657" spans="62:62" x14ac:dyDescent="0.2">
      <c r="BJ27657" s="201"/>
    </row>
    <row r="27658" spans="62:62" x14ac:dyDescent="0.2">
      <c r="BJ27658" s="201"/>
    </row>
    <row r="27659" spans="62:62" x14ac:dyDescent="0.2">
      <c r="BJ27659" s="201"/>
    </row>
    <row r="27660" spans="62:62" x14ac:dyDescent="0.2">
      <c r="BJ27660" s="201"/>
    </row>
    <row r="27661" spans="62:62" x14ac:dyDescent="0.2">
      <c r="BJ27661" s="201"/>
    </row>
    <row r="27662" spans="62:62" x14ac:dyDescent="0.2">
      <c r="BJ27662" s="201"/>
    </row>
    <row r="27663" spans="62:62" x14ac:dyDescent="0.2">
      <c r="BJ27663" s="201"/>
    </row>
    <row r="27664" spans="62:62" x14ac:dyDescent="0.2">
      <c r="BJ27664" s="201"/>
    </row>
    <row r="27665" spans="62:62" x14ac:dyDescent="0.2">
      <c r="BJ27665" s="201"/>
    </row>
    <row r="27666" spans="62:62" x14ac:dyDescent="0.2">
      <c r="BJ27666" s="201"/>
    </row>
    <row r="27667" spans="62:62" x14ac:dyDescent="0.2">
      <c r="BJ27667" s="201"/>
    </row>
    <row r="27668" spans="62:62" x14ac:dyDescent="0.2">
      <c r="BJ27668" s="201"/>
    </row>
    <row r="27669" spans="62:62" x14ac:dyDescent="0.2">
      <c r="BJ27669" s="201"/>
    </row>
    <row r="27670" spans="62:62" x14ac:dyDescent="0.2">
      <c r="BJ27670" s="201"/>
    </row>
    <row r="27671" spans="62:62" x14ac:dyDescent="0.2">
      <c r="BJ27671" s="201"/>
    </row>
    <row r="27672" spans="62:62" x14ac:dyDescent="0.2">
      <c r="BJ27672" s="201"/>
    </row>
    <row r="27673" spans="62:62" x14ac:dyDescent="0.2">
      <c r="BJ27673" s="201"/>
    </row>
    <row r="27674" spans="62:62" x14ac:dyDescent="0.2">
      <c r="BJ27674" s="201"/>
    </row>
    <row r="27675" spans="62:62" x14ac:dyDescent="0.2">
      <c r="BJ27675" s="201"/>
    </row>
    <row r="27676" spans="62:62" x14ac:dyDescent="0.2">
      <c r="BJ27676" s="201"/>
    </row>
    <row r="27677" spans="62:62" x14ac:dyDescent="0.2">
      <c r="BJ27677" s="201"/>
    </row>
    <row r="27678" spans="62:62" x14ac:dyDescent="0.2">
      <c r="BJ27678" s="201"/>
    </row>
    <row r="27679" spans="62:62" x14ac:dyDescent="0.2">
      <c r="BJ27679" s="201"/>
    </row>
    <row r="27680" spans="62:62" x14ac:dyDescent="0.2">
      <c r="BJ27680" s="201"/>
    </row>
    <row r="27681" spans="62:62" x14ac:dyDescent="0.2">
      <c r="BJ27681" s="201"/>
    </row>
    <row r="27682" spans="62:62" x14ac:dyDescent="0.2">
      <c r="BJ27682" s="201"/>
    </row>
    <row r="27683" spans="62:62" x14ac:dyDescent="0.2">
      <c r="BJ27683" s="201"/>
    </row>
    <row r="27684" spans="62:62" x14ac:dyDescent="0.2">
      <c r="BJ27684" s="201"/>
    </row>
    <row r="27685" spans="62:62" x14ac:dyDescent="0.2">
      <c r="BJ27685" s="201"/>
    </row>
    <row r="27686" spans="62:62" x14ac:dyDescent="0.2">
      <c r="BJ27686" s="201"/>
    </row>
    <row r="27687" spans="62:62" x14ac:dyDescent="0.2">
      <c r="BJ27687" s="201"/>
    </row>
    <row r="27688" spans="62:62" x14ac:dyDescent="0.2">
      <c r="BJ27688" s="201"/>
    </row>
    <row r="27689" spans="62:62" x14ac:dyDescent="0.2">
      <c r="BJ27689" s="201"/>
    </row>
    <row r="27690" spans="62:62" x14ac:dyDescent="0.2">
      <c r="BJ27690" s="201"/>
    </row>
    <row r="27691" spans="62:62" x14ac:dyDescent="0.2">
      <c r="BJ27691" s="201"/>
    </row>
    <row r="27692" spans="62:62" x14ac:dyDescent="0.2">
      <c r="BJ27692" s="201"/>
    </row>
    <row r="27693" spans="62:62" x14ac:dyDescent="0.2">
      <c r="BJ27693" s="201"/>
    </row>
    <row r="27694" spans="62:62" x14ac:dyDescent="0.2">
      <c r="BJ27694" s="201"/>
    </row>
    <row r="27695" spans="62:62" x14ac:dyDescent="0.2">
      <c r="BJ27695" s="201"/>
    </row>
    <row r="27696" spans="62:62" x14ac:dyDescent="0.2">
      <c r="BJ27696" s="201"/>
    </row>
    <row r="27697" spans="62:62" x14ac:dyDescent="0.2">
      <c r="BJ27697" s="201"/>
    </row>
    <row r="27698" spans="62:62" x14ac:dyDescent="0.2">
      <c r="BJ27698" s="201"/>
    </row>
    <row r="27699" spans="62:62" x14ac:dyDescent="0.2">
      <c r="BJ27699" s="201"/>
    </row>
    <row r="27700" spans="62:62" x14ac:dyDescent="0.2">
      <c r="BJ27700" s="201"/>
    </row>
    <row r="27701" spans="62:62" x14ac:dyDescent="0.2">
      <c r="BJ27701" s="201"/>
    </row>
    <row r="27702" spans="62:62" x14ac:dyDescent="0.2">
      <c r="BJ27702" s="201"/>
    </row>
    <row r="27703" spans="62:62" x14ac:dyDescent="0.2">
      <c r="BJ27703" s="201"/>
    </row>
    <row r="27704" spans="62:62" x14ac:dyDescent="0.2">
      <c r="BJ27704" s="201"/>
    </row>
    <row r="27705" spans="62:62" x14ac:dyDescent="0.2">
      <c r="BJ27705" s="201"/>
    </row>
    <row r="27706" spans="62:62" x14ac:dyDescent="0.2">
      <c r="BJ27706" s="201"/>
    </row>
    <row r="27707" spans="62:62" x14ac:dyDescent="0.2">
      <c r="BJ27707" s="201"/>
    </row>
    <row r="27708" spans="62:62" x14ac:dyDescent="0.2">
      <c r="BJ27708" s="201"/>
    </row>
    <row r="27709" spans="62:62" x14ac:dyDescent="0.2">
      <c r="BJ27709" s="201"/>
    </row>
    <row r="27710" spans="62:62" x14ac:dyDescent="0.2">
      <c r="BJ27710" s="201"/>
    </row>
    <row r="27711" spans="62:62" x14ac:dyDescent="0.2">
      <c r="BJ27711" s="201"/>
    </row>
    <row r="27712" spans="62:62" x14ac:dyDescent="0.2">
      <c r="BJ27712" s="201"/>
    </row>
    <row r="27713" spans="62:62" x14ac:dyDescent="0.2">
      <c r="BJ27713" s="201"/>
    </row>
    <row r="27714" spans="62:62" x14ac:dyDescent="0.2">
      <c r="BJ27714" s="201"/>
    </row>
    <row r="27715" spans="62:62" x14ac:dyDescent="0.2">
      <c r="BJ27715" s="201"/>
    </row>
    <row r="27716" spans="62:62" x14ac:dyDescent="0.2">
      <c r="BJ27716" s="201"/>
    </row>
    <row r="27717" spans="62:62" x14ac:dyDescent="0.2">
      <c r="BJ27717" s="201"/>
    </row>
    <row r="27718" spans="62:62" x14ac:dyDescent="0.2">
      <c r="BJ27718" s="201"/>
    </row>
    <row r="27719" spans="62:62" x14ac:dyDescent="0.2">
      <c r="BJ27719" s="201"/>
    </row>
    <row r="27720" spans="62:62" x14ac:dyDescent="0.2">
      <c r="BJ27720" s="201"/>
    </row>
    <row r="27721" spans="62:62" x14ac:dyDescent="0.2">
      <c r="BJ27721" s="201"/>
    </row>
    <row r="27722" spans="62:62" x14ac:dyDescent="0.2">
      <c r="BJ27722" s="201"/>
    </row>
    <row r="27723" spans="62:62" x14ac:dyDescent="0.2">
      <c r="BJ27723" s="201"/>
    </row>
    <row r="27724" spans="62:62" x14ac:dyDescent="0.2">
      <c r="BJ27724" s="201"/>
    </row>
    <row r="27725" spans="62:62" x14ac:dyDescent="0.2">
      <c r="BJ27725" s="201"/>
    </row>
    <row r="27726" spans="62:62" x14ac:dyDescent="0.2">
      <c r="BJ27726" s="201"/>
    </row>
    <row r="27727" spans="62:62" x14ac:dyDescent="0.2">
      <c r="BJ27727" s="201"/>
    </row>
    <row r="27728" spans="62:62" x14ac:dyDescent="0.2">
      <c r="BJ27728" s="201"/>
    </row>
    <row r="27729" spans="62:62" x14ac:dyDescent="0.2">
      <c r="BJ27729" s="201"/>
    </row>
    <row r="27730" spans="62:62" x14ac:dyDescent="0.2">
      <c r="BJ27730" s="201"/>
    </row>
    <row r="27731" spans="62:62" x14ac:dyDescent="0.2">
      <c r="BJ27731" s="201"/>
    </row>
    <row r="27732" spans="62:62" x14ac:dyDescent="0.2">
      <c r="BJ27732" s="201"/>
    </row>
    <row r="27733" spans="62:62" x14ac:dyDescent="0.2">
      <c r="BJ27733" s="201"/>
    </row>
    <row r="27734" spans="62:62" x14ac:dyDescent="0.2">
      <c r="BJ27734" s="201"/>
    </row>
    <row r="27735" spans="62:62" x14ac:dyDescent="0.2">
      <c r="BJ27735" s="201"/>
    </row>
    <row r="27736" spans="62:62" x14ac:dyDescent="0.2">
      <c r="BJ27736" s="201"/>
    </row>
    <row r="27737" spans="62:62" x14ac:dyDescent="0.2">
      <c r="BJ27737" s="201"/>
    </row>
    <row r="27738" spans="62:62" x14ac:dyDescent="0.2">
      <c r="BJ27738" s="201"/>
    </row>
    <row r="27739" spans="62:62" x14ac:dyDescent="0.2">
      <c r="BJ27739" s="201"/>
    </row>
    <row r="27740" spans="62:62" x14ac:dyDescent="0.2">
      <c r="BJ27740" s="201"/>
    </row>
    <row r="27741" spans="62:62" x14ac:dyDescent="0.2">
      <c r="BJ27741" s="201"/>
    </row>
    <row r="27742" spans="62:62" x14ac:dyDescent="0.2">
      <c r="BJ27742" s="201"/>
    </row>
    <row r="27743" spans="62:62" x14ac:dyDescent="0.2">
      <c r="BJ27743" s="201"/>
    </row>
    <row r="27744" spans="62:62" x14ac:dyDescent="0.2">
      <c r="BJ27744" s="201"/>
    </row>
    <row r="27745" spans="62:62" x14ac:dyDescent="0.2">
      <c r="BJ27745" s="201"/>
    </row>
    <row r="27746" spans="62:62" x14ac:dyDescent="0.2">
      <c r="BJ27746" s="201"/>
    </row>
    <row r="27747" spans="62:62" x14ac:dyDescent="0.2">
      <c r="BJ27747" s="201"/>
    </row>
    <row r="27748" spans="62:62" x14ac:dyDescent="0.2">
      <c r="BJ27748" s="201"/>
    </row>
    <row r="27749" spans="62:62" x14ac:dyDescent="0.2">
      <c r="BJ27749" s="201"/>
    </row>
    <row r="27750" spans="62:62" x14ac:dyDescent="0.2">
      <c r="BJ27750" s="201"/>
    </row>
    <row r="27751" spans="62:62" x14ac:dyDescent="0.2">
      <c r="BJ27751" s="201"/>
    </row>
    <row r="27752" spans="62:62" x14ac:dyDescent="0.2">
      <c r="BJ27752" s="201"/>
    </row>
    <row r="27753" spans="62:62" x14ac:dyDescent="0.2">
      <c r="BJ27753" s="201"/>
    </row>
    <row r="27754" spans="62:62" x14ac:dyDescent="0.2">
      <c r="BJ27754" s="201"/>
    </row>
    <row r="27755" spans="62:62" x14ac:dyDescent="0.2">
      <c r="BJ27755" s="201"/>
    </row>
    <row r="27756" spans="62:62" x14ac:dyDescent="0.2">
      <c r="BJ27756" s="201"/>
    </row>
    <row r="27757" spans="62:62" x14ac:dyDescent="0.2">
      <c r="BJ27757" s="201"/>
    </row>
    <row r="27758" spans="62:62" x14ac:dyDescent="0.2">
      <c r="BJ27758" s="201"/>
    </row>
    <row r="27759" spans="62:62" x14ac:dyDescent="0.2">
      <c r="BJ27759" s="201"/>
    </row>
    <row r="27760" spans="62:62" x14ac:dyDescent="0.2">
      <c r="BJ27760" s="201"/>
    </row>
    <row r="27761" spans="62:62" x14ac:dyDescent="0.2">
      <c r="BJ27761" s="201"/>
    </row>
    <row r="27762" spans="62:62" x14ac:dyDescent="0.2">
      <c r="BJ27762" s="201"/>
    </row>
    <row r="27763" spans="62:62" x14ac:dyDescent="0.2">
      <c r="BJ27763" s="201"/>
    </row>
    <row r="27764" spans="62:62" x14ac:dyDescent="0.2">
      <c r="BJ27764" s="201"/>
    </row>
    <row r="27765" spans="62:62" x14ac:dyDescent="0.2">
      <c r="BJ27765" s="201"/>
    </row>
    <row r="27766" spans="62:62" x14ac:dyDescent="0.2">
      <c r="BJ27766" s="201"/>
    </row>
    <row r="27767" spans="62:62" x14ac:dyDescent="0.2">
      <c r="BJ27767" s="201"/>
    </row>
    <row r="27768" spans="62:62" x14ac:dyDescent="0.2">
      <c r="BJ27768" s="201"/>
    </row>
    <row r="27769" spans="62:62" x14ac:dyDescent="0.2">
      <c r="BJ27769" s="201"/>
    </row>
    <row r="27770" spans="62:62" x14ac:dyDescent="0.2">
      <c r="BJ27770" s="201"/>
    </row>
    <row r="27771" spans="62:62" x14ac:dyDescent="0.2">
      <c r="BJ27771" s="201"/>
    </row>
    <row r="27772" spans="62:62" x14ac:dyDescent="0.2">
      <c r="BJ27772" s="201"/>
    </row>
    <row r="27773" spans="62:62" x14ac:dyDescent="0.2">
      <c r="BJ27773" s="201"/>
    </row>
    <row r="27774" spans="62:62" x14ac:dyDescent="0.2">
      <c r="BJ27774" s="201"/>
    </row>
    <row r="27775" spans="62:62" x14ac:dyDescent="0.2">
      <c r="BJ27775" s="201"/>
    </row>
    <row r="27776" spans="62:62" x14ac:dyDescent="0.2">
      <c r="BJ27776" s="201"/>
    </row>
    <row r="27777" spans="62:62" x14ac:dyDescent="0.2">
      <c r="BJ27777" s="201"/>
    </row>
    <row r="27778" spans="62:62" x14ac:dyDescent="0.2">
      <c r="BJ27778" s="201"/>
    </row>
    <row r="27779" spans="62:62" x14ac:dyDescent="0.2">
      <c r="BJ27779" s="201"/>
    </row>
    <row r="27780" spans="62:62" x14ac:dyDescent="0.2">
      <c r="BJ27780" s="201"/>
    </row>
    <row r="27781" spans="62:62" x14ac:dyDescent="0.2">
      <c r="BJ27781" s="201"/>
    </row>
    <row r="27782" spans="62:62" x14ac:dyDescent="0.2">
      <c r="BJ27782" s="201"/>
    </row>
    <row r="27783" spans="62:62" x14ac:dyDescent="0.2">
      <c r="BJ27783" s="201"/>
    </row>
    <row r="27784" spans="62:62" x14ac:dyDescent="0.2">
      <c r="BJ27784" s="201"/>
    </row>
    <row r="27785" spans="62:62" x14ac:dyDescent="0.2">
      <c r="BJ27785" s="201"/>
    </row>
    <row r="27786" spans="62:62" x14ac:dyDescent="0.2">
      <c r="BJ27786" s="201"/>
    </row>
    <row r="27787" spans="62:62" x14ac:dyDescent="0.2">
      <c r="BJ27787" s="201"/>
    </row>
    <row r="27788" spans="62:62" x14ac:dyDescent="0.2">
      <c r="BJ27788" s="201"/>
    </row>
    <row r="27789" spans="62:62" x14ac:dyDescent="0.2">
      <c r="BJ27789" s="201"/>
    </row>
    <row r="27790" spans="62:62" x14ac:dyDescent="0.2">
      <c r="BJ27790" s="201"/>
    </row>
    <row r="27791" spans="62:62" x14ac:dyDescent="0.2">
      <c r="BJ27791" s="201"/>
    </row>
    <row r="27792" spans="62:62" x14ac:dyDescent="0.2">
      <c r="BJ27792" s="201"/>
    </row>
    <row r="27793" spans="62:62" x14ac:dyDescent="0.2">
      <c r="BJ27793" s="201"/>
    </row>
    <row r="27794" spans="62:62" x14ac:dyDescent="0.2">
      <c r="BJ27794" s="201"/>
    </row>
    <row r="27795" spans="62:62" x14ac:dyDescent="0.2">
      <c r="BJ27795" s="201"/>
    </row>
    <row r="27796" spans="62:62" x14ac:dyDescent="0.2">
      <c r="BJ27796" s="201"/>
    </row>
    <row r="27797" spans="62:62" x14ac:dyDescent="0.2">
      <c r="BJ27797" s="201"/>
    </row>
    <row r="27798" spans="62:62" x14ac:dyDescent="0.2">
      <c r="BJ27798" s="201"/>
    </row>
    <row r="27799" spans="62:62" x14ac:dyDescent="0.2">
      <c r="BJ27799" s="201"/>
    </row>
    <row r="27800" spans="62:62" x14ac:dyDescent="0.2">
      <c r="BJ27800" s="201"/>
    </row>
    <row r="27801" spans="62:62" x14ac:dyDescent="0.2">
      <c r="BJ27801" s="201"/>
    </row>
    <row r="27802" spans="62:62" x14ac:dyDescent="0.2">
      <c r="BJ27802" s="201"/>
    </row>
    <row r="27803" spans="62:62" x14ac:dyDescent="0.2">
      <c r="BJ27803" s="201"/>
    </row>
    <row r="27804" spans="62:62" x14ac:dyDescent="0.2">
      <c r="BJ27804" s="201"/>
    </row>
    <row r="27805" spans="62:62" x14ac:dyDescent="0.2">
      <c r="BJ27805" s="201"/>
    </row>
    <row r="27806" spans="62:62" x14ac:dyDescent="0.2">
      <c r="BJ27806" s="201"/>
    </row>
    <row r="27807" spans="62:62" x14ac:dyDescent="0.2">
      <c r="BJ27807" s="201"/>
    </row>
    <row r="27808" spans="62:62" x14ac:dyDescent="0.2">
      <c r="BJ27808" s="201"/>
    </row>
    <row r="27809" spans="62:62" x14ac:dyDescent="0.2">
      <c r="BJ27809" s="201"/>
    </row>
    <row r="27810" spans="62:62" x14ac:dyDescent="0.2">
      <c r="BJ27810" s="201"/>
    </row>
    <row r="27811" spans="62:62" x14ac:dyDescent="0.2">
      <c r="BJ27811" s="201"/>
    </row>
    <row r="27812" spans="62:62" x14ac:dyDescent="0.2">
      <c r="BJ27812" s="201"/>
    </row>
    <row r="27813" spans="62:62" x14ac:dyDescent="0.2">
      <c r="BJ27813" s="201"/>
    </row>
    <row r="27814" spans="62:62" x14ac:dyDescent="0.2">
      <c r="BJ27814" s="201"/>
    </row>
    <row r="27815" spans="62:62" x14ac:dyDescent="0.2">
      <c r="BJ27815" s="201"/>
    </row>
    <row r="27816" spans="62:62" x14ac:dyDescent="0.2">
      <c r="BJ27816" s="201"/>
    </row>
    <row r="27817" spans="62:62" x14ac:dyDescent="0.2">
      <c r="BJ27817" s="201"/>
    </row>
    <row r="27818" spans="62:62" x14ac:dyDescent="0.2">
      <c r="BJ27818" s="201"/>
    </row>
    <row r="27819" spans="62:62" x14ac:dyDescent="0.2">
      <c r="BJ27819" s="201"/>
    </row>
    <row r="27820" spans="62:62" x14ac:dyDescent="0.2">
      <c r="BJ27820" s="201"/>
    </row>
    <row r="27821" spans="62:62" x14ac:dyDescent="0.2">
      <c r="BJ27821" s="201"/>
    </row>
    <row r="27822" spans="62:62" x14ac:dyDescent="0.2">
      <c r="BJ27822" s="201"/>
    </row>
    <row r="27823" spans="62:62" x14ac:dyDescent="0.2">
      <c r="BJ27823" s="201"/>
    </row>
    <row r="27824" spans="62:62" x14ac:dyDescent="0.2">
      <c r="BJ27824" s="201"/>
    </row>
    <row r="27825" spans="62:62" x14ac:dyDescent="0.2">
      <c r="BJ27825" s="201"/>
    </row>
    <row r="27826" spans="62:62" x14ac:dyDescent="0.2">
      <c r="BJ27826" s="201"/>
    </row>
    <row r="27827" spans="62:62" x14ac:dyDescent="0.2">
      <c r="BJ27827" s="201"/>
    </row>
    <row r="27828" spans="62:62" x14ac:dyDescent="0.2">
      <c r="BJ27828" s="201"/>
    </row>
    <row r="27829" spans="62:62" x14ac:dyDescent="0.2">
      <c r="BJ27829" s="201"/>
    </row>
    <row r="27830" spans="62:62" x14ac:dyDescent="0.2">
      <c r="BJ27830" s="201"/>
    </row>
    <row r="27831" spans="62:62" x14ac:dyDescent="0.2">
      <c r="BJ27831" s="201"/>
    </row>
    <row r="27832" spans="62:62" x14ac:dyDescent="0.2">
      <c r="BJ27832" s="201"/>
    </row>
    <row r="27833" spans="62:62" x14ac:dyDescent="0.2">
      <c r="BJ27833" s="201"/>
    </row>
    <row r="27834" spans="62:62" x14ac:dyDescent="0.2">
      <c r="BJ27834" s="201"/>
    </row>
    <row r="27835" spans="62:62" x14ac:dyDescent="0.2">
      <c r="BJ27835" s="201"/>
    </row>
    <row r="27836" spans="62:62" x14ac:dyDescent="0.2">
      <c r="BJ27836" s="201"/>
    </row>
    <row r="27837" spans="62:62" x14ac:dyDescent="0.2">
      <c r="BJ27837" s="201"/>
    </row>
    <row r="27838" spans="62:62" x14ac:dyDescent="0.2">
      <c r="BJ27838" s="201"/>
    </row>
    <row r="27839" spans="62:62" x14ac:dyDescent="0.2">
      <c r="BJ27839" s="201"/>
    </row>
    <row r="27840" spans="62:62" x14ac:dyDescent="0.2">
      <c r="BJ27840" s="201"/>
    </row>
    <row r="27841" spans="62:62" x14ac:dyDescent="0.2">
      <c r="BJ27841" s="201"/>
    </row>
    <row r="27842" spans="62:62" x14ac:dyDescent="0.2">
      <c r="BJ27842" s="201"/>
    </row>
    <row r="27843" spans="62:62" x14ac:dyDescent="0.2">
      <c r="BJ27843" s="201"/>
    </row>
    <row r="27844" spans="62:62" x14ac:dyDescent="0.2">
      <c r="BJ27844" s="201"/>
    </row>
    <row r="27845" spans="62:62" x14ac:dyDescent="0.2">
      <c r="BJ27845" s="201"/>
    </row>
    <row r="27846" spans="62:62" x14ac:dyDescent="0.2">
      <c r="BJ27846" s="201"/>
    </row>
    <row r="27847" spans="62:62" x14ac:dyDescent="0.2">
      <c r="BJ27847" s="201"/>
    </row>
    <row r="27848" spans="62:62" x14ac:dyDescent="0.2">
      <c r="BJ27848" s="201"/>
    </row>
    <row r="27849" spans="62:62" x14ac:dyDescent="0.2">
      <c r="BJ27849" s="201"/>
    </row>
    <row r="27850" spans="62:62" x14ac:dyDescent="0.2">
      <c r="BJ27850" s="201"/>
    </row>
    <row r="27851" spans="62:62" x14ac:dyDescent="0.2">
      <c r="BJ27851" s="201"/>
    </row>
    <row r="27852" spans="62:62" x14ac:dyDescent="0.2">
      <c r="BJ27852" s="201"/>
    </row>
    <row r="27853" spans="62:62" x14ac:dyDescent="0.2">
      <c r="BJ27853" s="201"/>
    </row>
    <row r="27854" spans="62:62" x14ac:dyDescent="0.2">
      <c r="BJ27854" s="201"/>
    </row>
    <row r="27855" spans="62:62" x14ac:dyDescent="0.2">
      <c r="BJ27855" s="201"/>
    </row>
    <row r="27856" spans="62:62" x14ac:dyDescent="0.2">
      <c r="BJ27856" s="201"/>
    </row>
    <row r="27857" spans="62:62" x14ac:dyDescent="0.2">
      <c r="BJ27857" s="201"/>
    </row>
    <row r="27858" spans="62:62" x14ac:dyDescent="0.2">
      <c r="BJ27858" s="201"/>
    </row>
    <row r="27859" spans="62:62" x14ac:dyDescent="0.2">
      <c r="BJ27859" s="201"/>
    </row>
    <row r="27860" spans="62:62" x14ac:dyDescent="0.2">
      <c r="BJ27860" s="201"/>
    </row>
    <row r="27861" spans="62:62" x14ac:dyDescent="0.2">
      <c r="BJ27861" s="201"/>
    </row>
    <row r="27862" spans="62:62" x14ac:dyDescent="0.2">
      <c r="BJ27862" s="201"/>
    </row>
    <row r="27863" spans="62:62" x14ac:dyDescent="0.2">
      <c r="BJ27863" s="201"/>
    </row>
    <row r="27864" spans="62:62" x14ac:dyDescent="0.2">
      <c r="BJ27864" s="201"/>
    </row>
    <row r="27865" spans="62:62" x14ac:dyDescent="0.2">
      <c r="BJ27865" s="201"/>
    </row>
    <row r="27866" spans="62:62" x14ac:dyDescent="0.2">
      <c r="BJ27866" s="201"/>
    </row>
    <row r="27867" spans="62:62" x14ac:dyDescent="0.2">
      <c r="BJ27867" s="201"/>
    </row>
    <row r="27868" spans="62:62" x14ac:dyDescent="0.2">
      <c r="BJ27868" s="201"/>
    </row>
    <row r="27869" spans="62:62" x14ac:dyDescent="0.2">
      <c r="BJ27869" s="201"/>
    </row>
    <row r="27870" spans="62:62" x14ac:dyDescent="0.2">
      <c r="BJ27870" s="201"/>
    </row>
    <row r="27871" spans="62:62" x14ac:dyDescent="0.2">
      <c r="BJ27871" s="201"/>
    </row>
    <row r="27872" spans="62:62" x14ac:dyDescent="0.2">
      <c r="BJ27872" s="201"/>
    </row>
    <row r="27873" spans="62:62" x14ac:dyDescent="0.2">
      <c r="BJ27873" s="201"/>
    </row>
    <row r="27874" spans="62:62" x14ac:dyDescent="0.2">
      <c r="BJ27874" s="201"/>
    </row>
    <row r="27875" spans="62:62" x14ac:dyDescent="0.2">
      <c r="BJ27875" s="201"/>
    </row>
    <row r="27876" spans="62:62" x14ac:dyDescent="0.2">
      <c r="BJ27876" s="201"/>
    </row>
    <row r="27877" spans="62:62" x14ac:dyDescent="0.2">
      <c r="BJ27877" s="201"/>
    </row>
    <row r="27878" spans="62:62" x14ac:dyDescent="0.2">
      <c r="BJ27878" s="201"/>
    </row>
    <row r="27879" spans="62:62" x14ac:dyDescent="0.2">
      <c r="BJ27879" s="201"/>
    </row>
    <row r="27880" spans="62:62" x14ac:dyDescent="0.2">
      <c r="BJ27880" s="201"/>
    </row>
    <row r="27881" spans="62:62" x14ac:dyDescent="0.2">
      <c r="BJ27881" s="201"/>
    </row>
    <row r="27882" spans="62:62" x14ac:dyDescent="0.2">
      <c r="BJ27882" s="201"/>
    </row>
    <row r="27883" spans="62:62" x14ac:dyDescent="0.2">
      <c r="BJ27883" s="201"/>
    </row>
    <row r="27884" spans="62:62" x14ac:dyDescent="0.2">
      <c r="BJ27884" s="201"/>
    </row>
    <row r="27885" spans="62:62" x14ac:dyDescent="0.2">
      <c r="BJ27885" s="201"/>
    </row>
    <row r="27886" spans="62:62" x14ac:dyDescent="0.2">
      <c r="BJ27886" s="201"/>
    </row>
    <row r="27887" spans="62:62" x14ac:dyDescent="0.2">
      <c r="BJ27887" s="201"/>
    </row>
    <row r="27888" spans="62:62" x14ac:dyDescent="0.2">
      <c r="BJ27888" s="201"/>
    </row>
    <row r="27889" spans="62:62" x14ac:dyDescent="0.2">
      <c r="BJ27889" s="201"/>
    </row>
    <row r="27890" spans="62:62" x14ac:dyDescent="0.2">
      <c r="BJ27890" s="201"/>
    </row>
    <row r="27891" spans="62:62" x14ac:dyDescent="0.2">
      <c r="BJ27891" s="201"/>
    </row>
    <row r="27892" spans="62:62" x14ac:dyDescent="0.2">
      <c r="BJ27892" s="201"/>
    </row>
    <row r="27893" spans="62:62" x14ac:dyDescent="0.2">
      <c r="BJ27893" s="201"/>
    </row>
    <row r="27894" spans="62:62" x14ac:dyDescent="0.2">
      <c r="BJ27894" s="201"/>
    </row>
    <row r="27895" spans="62:62" x14ac:dyDescent="0.2">
      <c r="BJ27895" s="201"/>
    </row>
    <row r="27896" spans="62:62" x14ac:dyDescent="0.2">
      <c r="BJ27896" s="201"/>
    </row>
    <row r="27897" spans="62:62" x14ac:dyDescent="0.2">
      <c r="BJ27897" s="201"/>
    </row>
    <row r="27898" spans="62:62" x14ac:dyDescent="0.2">
      <c r="BJ27898" s="201"/>
    </row>
    <row r="27899" spans="62:62" x14ac:dyDescent="0.2">
      <c r="BJ27899" s="201"/>
    </row>
    <row r="27900" spans="62:62" x14ac:dyDescent="0.2">
      <c r="BJ27900" s="201"/>
    </row>
    <row r="27901" spans="62:62" x14ac:dyDescent="0.2">
      <c r="BJ27901" s="201"/>
    </row>
    <row r="27902" spans="62:62" x14ac:dyDescent="0.2">
      <c r="BJ27902" s="201"/>
    </row>
    <row r="27903" spans="62:62" x14ac:dyDescent="0.2">
      <c r="BJ27903" s="201"/>
    </row>
    <row r="27904" spans="62:62" x14ac:dyDescent="0.2">
      <c r="BJ27904" s="201"/>
    </row>
    <row r="27905" spans="62:62" x14ac:dyDescent="0.2">
      <c r="BJ27905" s="201"/>
    </row>
    <row r="27906" spans="62:62" x14ac:dyDescent="0.2">
      <c r="BJ27906" s="201"/>
    </row>
    <row r="27907" spans="62:62" x14ac:dyDescent="0.2">
      <c r="BJ27907" s="201"/>
    </row>
    <row r="27908" spans="62:62" x14ac:dyDescent="0.2">
      <c r="BJ27908" s="201"/>
    </row>
    <row r="27909" spans="62:62" x14ac:dyDescent="0.2">
      <c r="BJ27909" s="201"/>
    </row>
    <row r="27910" spans="62:62" x14ac:dyDescent="0.2">
      <c r="BJ27910" s="201"/>
    </row>
    <row r="27911" spans="62:62" x14ac:dyDescent="0.2">
      <c r="BJ27911" s="201"/>
    </row>
    <row r="27912" spans="62:62" x14ac:dyDescent="0.2">
      <c r="BJ27912" s="201"/>
    </row>
    <row r="27913" spans="62:62" x14ac:dyDescent="0.2">
      <c r="BJ27913" s="201"/>
    </row>
    <row r="27914" spans="62:62" x14ac:dyDescent="0.2">
      <c r="BJ27914" s="201"/>
    </row>
    <row r="27915" spans="62:62" x14ac:dyDescent="0.2">
      <c r="BJ27915" s="201"/>
    </row>
    <row r="27916" spans="62:62" x14ac:dyDescent="0.2">
      <c r="BJ27916" s="201"/>
    </row>
    <row r="27917" spans="62:62" x14ac:dyDescent="0.2">
      <c r="BJ27917" s="201"/>
    </row>
    <row r="27918" spans="62:62" x14ac:dyDescent="0.2">
      <c r="BJ27918" s="201"/>
    </row>
    <row r="27919" spans="62:62" x14ac:dyDescent="0.2">
      <c r="BJ27919" s="201"/>
    </row>
    <row r="27920" spans="62:62" x14ac:dyDescent="0.2">
      <c r="BJ27920" s="201"/>
    </row>
    <row r="27921" spans="62:62" x14ac:dyDescent="0.2">
      <c r="BJ27921" s="201"/>
    </row>
    <row r="27922" spans="62:62" x14ac:dyDescent="0.2">
      <c r="BJ27922" s="201"/>
    </row>
    <row r="27923" spans="62:62" x14ac:dyDescent="0.2">
      <c r="BJ27923" s="201"/>
    </row>
    <row r="27924" spans="62:62" x14ac:dyDescent="0.2">
      <c r="BJ27924" s="201"/>
    </row>
    <row r="27925" spans="62:62" x14ac:dyDescent="0.2">
      <c r="BJ27925" s="201"/>
    </row>
    <row r="27926" spans="62:62" x14ac:dyDescent="0.2">
      <c r="BJ27926" s="201"/>
    </row>
    <row r="27927" spans="62:62" x14ac:dyDescent="0.2">
      <c r="BJ27927" s="201"/>
    </row>
    <row r="27928" spans="62:62" x14ac:dyDescent="0.2">
      <c r="BJ27928" s="201"/>
    </row>
    <row r="27929" spans="62:62" x14ac:dyDescent="0.2">
      <c r="BJ27929" s="201"/>
    </row>
    <row r="27930" spans="62:62" x14ac:dyDescent="0.2">
      <c r="BJ27930" s="201"/>
    </row>
    <row r="27931" spans="62:62" x14ac:dyDescent="0.2">
      <c r="BJ27931" s="201"/>
    </row>
    <row r="27932" spans="62:62" x14ac:dyDescent="0.2">
      <c r="BJ27932" s="201"/>
    </row>
    <row r="27933" spans="62:62" x14ac:dyDescent="0.2">
      <c r="BJ27933" s="201"/>
    </row>
    <row r="27934" spans="62:62" x14ac:dyDescent="0.2">
      <c r="BJ27934" s="201"/>
    </row>
    <row r="27935" spans="62:62" x14ac:dyDescent="0.2">
      <c r="BJ27935" s="201"/>
    </row>
    <row r="27936" spans="62:62" x14ac:dyDescent="0.2">
      <c r="BJ27936" s="201"/>
    </row>
    <row r="27937" spans="62:62" x14ac:dyDescent="0.2">
      <c r="BJ27937" s="201"/>
    </row>
    <row r="27938" spans="62:62" x14ac:dyDescent="0.2">
      <c r="BJ27938" s="201"/>
    </row>
    <row r="27939" spans="62:62" x14ac:dyDescent="0.2">
      <c r="BJ27939" s="201"/>
    </row>
    <row r="27940" spans="62:62" x14ac:dyDescent="0.2">
      <c r="BJ27940" s="201"/>
    </row>
    <row r="27941" spans="62:62" x14ac:dyDescent="0.2">
      <c r="BJ27941" s="201"/>
    </row>
    <row r="27942" spans="62:62" x14ac:dyDescent="0.2">
      <c r="BJ27942" s="201"/>
    </row>
    <row r="27943" spans="62:62" x14ac:dyDescent="0.2">
      <c r="BJ27943" s="201"/>
    </row>
    <row r="27944" spans="62:62" x14ac:dyDescent="0.2">
      <c r="BJ27944" s="201"/>
    </row>
    <row r="27945" spans="62:62" x14ac:dyDescent="0.2">
      <c r="BJ27945" s="201"/>
    </row>
    <row r="27946" spans="62:62" x14ac:dyDescent="0.2">
      <c r="BJ27946" s="201"/>
    </row>
    <row r="27947" spans="62:62" x14ac:dyDescent="0.2">
      <c r="BJ27947" s="201"/>
    </row>
    <row r="27948" spans="62:62" x14ac:dyDescent="0.2">
      <c r="BJ27948" s="201"/>
    </row>
    <row r="27949" spans="62:62" x14ac:dyDescent="0.2">
      <c r="BJ27949" s="201"/>
    </row>
    <row r="27950" spans="62:62" x14ac:dyDescent="0.2">
      <c r="BJ27950" s="201"/>
    </row>
    <row r="27951" spans="62:62" x14ac:dyDescent="0.2">
      <c r="BJ27951" s="201"/>
    </row>
    <row r="27952" spans="62:62" x14ac:dyDescent="0.2">
      <c r="BJ27952" s="201"/>
    </row>
    <row r="27953" spans="62:62" x14ac:dyDescent="0.2">
      <c r="BJ27953" s="201"/>
    </row>
    <row r="27954" spans="62:62" x14ac:dyDescent="0.2">
      <c r="BJ27954" s="201"/>
    </row>
    <row r="27955" spans="62:62" x14ac:dyDescent="0.2">
      <c r="BJ27955" s="201"/>
    </row>
    <row r="27956" spans="62:62" x14ac:dyDescent="0.2">
      <c r="BJ27956" s="201"/>
    </row>
    <row r="27957" spans="62:62" x14ac:dyDescent="0.2">
      <c r="BJ27957" s="201"/>
    </row>
    <row r="27958" spans="62:62" x14ac:dyDescent="0.2">
      <c r="BJ27958" s="201"/>
    </row>
    <row r="27959" spans="62:62" x14ac:dyDescent="0.2">
      <c r="BJ27959" s="201"/>
    </row>
    <row r="27960" spans="62:62" x14ac:dyDescent="0.2">
      <c r="BJ27960" s="201"/>
    </row>
    <row r="27961" spans="62:62" x14ac:dyDescent="0.2">
      <c r="BJ27961" s="201"/>
    </row>
    <row r="27962" spans="62:62" x14ac:dyDescent="0.2">
      <c r="BJ27962" s="201"/>
    </row>
    <row r="27963" spans="62:62" x14ac:dyDescent="0.2">
      <c r="BJ27963" s="201"/>
    </row>
    <row r="27964" spans="62:62" x14ac:dyDescent="0.2">
      <c r="BJ27964" s="201"/>
    </row>
    <row r="27965" spans="62:62" x14ac:dyDescent="0.2">
      <c r="BJ27965" s="201"/>
    </row>
    <row r="27966" spans="62:62" x14ac:dyDescent="0.2">
      <c r="BJ27966" s="201"/>
    </row>
    <row r="27967" spans="62:62" x14ac:dyDescent="0.2">
      <c r="BJ27967" s="201"/>
    </row>
    <row r="27968" spans="62:62" x14ac:dyDescent="0.2">
      <c r="BJ27968" s="201"/>
    </row>
    <row r="27969" spans="62:62" x14ac:dyDescent="0.2">
      <c r="BJ27969" s="201"/>
    </row>
    <row r="27970" spans="62:62" x14ac:dyDescent="0.2">
      <c r="BJ27970" s="201"/>
    </row>
    <row r="27971" spans="62:62" x14ac:dyDescent="0.2">
      <c r="BJ27971" s="201"/>
    </row>
    <row r="27972" spans="62:62" x14ac:dyDescent="0.2">
      <c r="BJ27972" s="201"/>
    </row>
    <row r="27973" spans="62:62" x14ac:dyDescent="0.2">
      <c r="BJ27973" s="201"/>
    </row>
    <row r="27974" spans="62:62" x14ac:dyDescent="0.2">
      <c r="BJ27974" s="201"/>
    </row>
    <row r="27975" spans="62:62" x14ac:dyDescent="0.2">
      <c r="BJ27975" s="201"/>
    </row>
    <row r="27976" spans="62:62" x14ac:dyDescent="0.2">
      <c r="BJ27976" s="201"/>
    </row>
    <row r="27977" spans="62:62" x14ac:dyDescent="0.2">
      <c r="BJ27977" s="201"/>
    </row>
    <row r="27978" spans="62:62" x14ac:dyDescent="0.2">
      <c r="BJ27978" s="201"/>
    </row>
    <row r="27979" spans="62:62" x14ac:dyDescent="0.2">
      <c r="BJ27979" s="201"/>
    </row>
    <row r="27980" spans="62:62" x14ac:dyDescent="0.2">
      <c r="BJ27980" s="201"/>
    </row>
    <row r="27981" spans="62:62" x14ac:dyDescent="0.2">
      <c r="BJ27981" s="201"/>
    </row>
    <row r="27982" spans="62:62" x14ac:dyDescent="0.2">
      <c r="BJ27982" s="201"/>
    </row>
    <row r="27983" spans="62:62" x14ac:dyDescent="0.2">
      <c r="BJ27983" s="201"/>
    </row>
    <row r="27984" spans="62:62" x14ac:dyDescent="0.2">
      <c r="BJ27984" s="201"/>
    </row>
    <row r="27985" spans="62:62" x14ac:dyDescent="0.2">
      <c r="BJ27985" s="201"/>
    </row>
    <row r="27986" spans="62:62" x14ac:dyDescent="0.2">
      <c r="BJ27986" s="201"/>
    </row>
    <row r="27987" spans="62:62" x14ac:dyDescent="0.2">
      <c r="BJ27987" s="201"/>
    </row>
    <row r="27988" spans="62:62" x14ac:dyDescent="0.2">
      <c r="BJ27988" s="201"/>
    </row>
    <row r="27989" spans="62:62" x14ac:dyDescent="0.2">
      <c r="BJ27989" s="201"/>
    </row>
    <row r="27990" spans="62:62" x14ac:dyDescent="0.2">
      <c r="BJ27990" s="201"/>
    </row>
    <row r="27991" spans="62:62" x14ac:dyDescent="0.2">
      <c r="BJ27991" s="201"/>
    </row>
    <row r="27992" spans="62:62" x14ac:dyDescent="0.2">
      <c r="BJ27992" s="201"/>
    </row>
    <row r="27993" spans="62:62" x14ac:dyDescent="0.2">
      <c r="BJ27993" s="201"/>
    </row>
    <row r="27994" spans="62:62" x14ac:dyDescent="0.2">
      <c r="BJ27994" s="201"/>
    </row>
    <row r="27995" spans="62:62" x14ac:dyDescent="0.2">
      <c r="BJ27995" s="201"/>
    </row>
    <row r="27996" spans="62:62" x14ac:dyDescent="0.2">
      <c r="BJ27996" s="201"/>
    </row>
    <row r="27997" spans="62:62" x14ac:dyDescent="0.2">
      <c r="BJ27997" s="201"/>
    </row>
    <row r="27998" spans="62:62" x14ac:dyDescent="0.2">
      <c r="BJ27998" s="201"/>
    </row>
    <row r="27999" spans="62:62" x14ac:dyDescent="0.2">
      <c r="BJ27999" s="201"/>
    </row>
    <row r="28000" spans="62:62" x14ac:dyDescent="0.2">
      <c r="BJ28000" s="201"/>
    </row>
    <row r="28001" spans="62:62" x14ac:dyDescent="0.2">
      <c r="BJ28001" s="201"/>
    </row>
    <row r="28002" spans="62:62" x14ac:dyDescent="0.2">
      <c r="BJ28002" s="201"/>
    </row>
    <row r="28003" spans="62:62" x14ac:dyDescent="0.2">
      <c r="BJ28003" s="201"/>
    </row>
    <row r="28004" spans="62:62" x14ac:dyDescent="0.2">
      <c r="BJ28004" s="201"/>
    </row>
    <row r="28005" spans="62:62" x14ac:dyDescent="0.2">
      <c r="BJ28005" s="201"/>
    </row>
    <row r="28006" spans="62:62" x14ac:dyDescent="0.2">
      <c r="BJ28006" s="201"/>
    </row>
    <row r="28007" spans="62:62" x14ac:dyDescent="0.2">
      <c r="BJ28007" s="201"/>
    </row>
    <row r="28008" spans="62:62" x14ac:dyDescent="0.2">
      <c r="BJ28008" s="201"/>
    </row>
    <row r="28009" spans="62:62" x14ac:dyDescent="0.2">
      <c r="BJ28009" s="201"/>
    </row>
    <row r="28010" spans="62:62" x14ac:dyDescent="0.2">
      <c r="BJ28010" s="201"/>
    </row>
    <row r="28011" spans="62:62" x14ac:dyDescent="0.2">
      <c r="BJ28011" s="201"/>
    </row>
    <row r="28012" spans="62:62" x14ac:dyDescent="0.2">
      <c r="BJ28012" s="201"/>
    </row>
    <row r="28013" spans="62:62" x14ac:dyDescent="0.2">
      <c r="BJ28013" s="201"/>
    </row>
    <row r="28014" spans="62:62" x14ac:dyDescent="0.2">
      <c r="BJ28014" s="201"/>
    </row>
    <row r="28015" spans="62:62" x14ac:dyDescent="0.2">
      <c r="BJ28015" s="201"/>
    </row>
    <row r="28016" spans="62:62" x14ac:dyDescent="0.2">
      <c r="BJ28016" s="201"/>
    </row>
    <row r="28017" spans="62:62" x14ac:dyDescent="0.2">
      <c r="BJ28017" s="201"/>
    </row>
    <row r="28018" spans="62:62" x14ac:dyDescent="0.2">
      <c r="BJ28018" s="201"/>
    </row>
    <row r="28019" spans="62:62" x14ac:dyDescent="0.2">
      <c r="BJ28019" s="201"/>
    </row>
    <row r="28020" spans="62:62" x14ac:dyDescent="0.2">
      <c r="BJ28020" s="201"/>
    </row>
    <row r="28021" spans="62:62" x14ac:dyDescent="0.2">
      <c r="BJ28021" s="201"/>
    </row>
    <row r="28022" spans="62:62" x14ac:dyDescent="0.2">
      <c r="BJ28022" s="201"/>
    </row>
    <row r="28023" spans="62:62" x14ac:dyDescent="0.2">
      <c r="BJ28023" s="201"/>
    </row>
    <row r="28024" spans="62:62" x14ac:dyDescent="0.2">
      <c r="BJ28024" s="201"/>
    </row>
    <row r="28025" spans="62:62" x14ac:dyDescent="0.2">
      <c r="BJ28025" s="201"/>
    </row>
    <row r="28026" spans="62:62" x14ac:dyDescent="0.2">
      <c r="BJ28026" s="201"/>
    </row>
    <row r="28027" spans="62:62" x14ac:dyDescent="0.2">
      <c r="BJ28027" s="201"/>
    </row>
    <row r="28028" spans="62:62" x14ac:dyDescent="0.2">
      <c r="BJ28028" s="201"/>
    </row>
    <row r="28029" spans="62:62" x14ac:dyDescent="0.2">
      <c r="BJ28029" s="201"/>
    </row>
    <row r="28030" spans="62:62" x14ac:dyDescent="0.2">
      <c r="BJ28030" s="201"/>
    </row>
    <row r="28031" spans="62:62" x14ac:dyDescent="0.2">
      <c r="BJ28031" s="201"/>
    </row>
    <row r="28032" spans="62:62" x14ac:dyDescent="0.2">
      <c r="BJ28032" s="201"/>
    </row>
    <row r="28033" spans="62:62" x14ac:dyDescent="0.2">
      <c r="BJ28033" s="201"/>
    </row>
    <row r="28034" spans="62:62" x14ac:dyDescent="0.2">
      <c r="BJ28034" s="201"/>
    </row>
    <row r="28035" spans="62:62" x14ac:dyDescent="0.2">
      <c r="BJ28035" s="201"/>
    </row>
    <row r="28036" spans="62:62" x14ac:dyDescent="0.2">
      <c r="BJ28036" s="201"/>
    </row>
    <row r="28037" spans="62:62" x14ac:dyDescent="0.2">
      <c r="BJ28037" s="201"/>
    </row>
    <row r="28038" spans="62:62" x14ac:dyDescent="0.2">
      <c r="BJ28038" s="201"/>
    </row>
    <row r="28039" spans="62:62" x14ac:dyDescent="0.2">
      <c r="BJ28039" s="201"/>
    </row>
    <row r="28040" spans="62:62" x14ac:dyDescent="0.2">
      <c r="BJ28040" s="201"/>
    </row>
    <row r="28041" spans="62:62" x14ac:dyDescent="0.2">
      <c r="BJ28041" s="201"/>
    </row>
    <row r="28042" spans="62:62" x14ac:dyDescent="0.2">
      <c r="BJ28042" s="201"/>
    </row>
    <row r="28043" spans="62:62" x14ac:dyDescent="0.2">
      <c r="BJ28043" s="201"/>
    </row>
    <row r="28044" spans="62:62" x14ac:dyDescent="0.2">
      <c r="BJ28044" s="201"/>
    </row>
    <row r="28045" spans="62:62" x14ac:dyDescent="0.2">
      <c r="BJ28045" s="201"/>
    </row>
    <row r="28046" spans="62:62" x14ac:dyDescent="0.2">
      <c r="BJ28046" s="201"/>
    </row>
    <row r="28047" spans="62:62" x14ac:dyDescent="0.2">
      <c r="BJ28047" s="201"/>
    </row>
    <row r="28048" spans="62:62" x14ac:dyDescent="0.2">
      <c r="BJ28048" s="201"/>
    </row>
    <row r="28049" spans="62:62" x14ac:dyDescent="0.2">
      <c r="BJ28049" s="201"/>
    </row>
    <row r="28050" spans="62:62" x14ac:dyDescent="0.2">
      <c r="BJ28050" s="201"/>
    </row>
    <row r="28051" spans="62:62" x14ac:dyDescent="0.2">
      <c r="BJ28051" s="201"/>
    </row>
    <row r="28052" spans="62:62" x14ac:dyDescent="0.2">
      <c r="BJ28052" s="201"/>
    </row>
    <row r="28053" spans="62:62" x14ac:dyDescent="0.2">
      <c r="BJ28053" s="201"/>
    </row>
    <row r="28054" spans="62:62" x14ac:dyDescent="0.2">
      <c r="BJ28054" s="201"/>
    </row>
    <row r="28055" spans="62:62" x14ac:dyDescent="0.2">
      <c r="BJ28055" s="201"/>
    </row>
    <row r="28056" spans="62:62" x14ac:dyDescent="0.2">
      <c r="BJ28056" s="201"/>
    </row>
    <row r="28057" spans="62:62" x14ac:dyDescent="0.2">
      <c r="BJ28057" s="201"/>
    </row>
    <row r="28058" spans="62:62" x14ac:dyDescent="0.2">
      <c r="BJ28058" s="201"/>
    </row>
    <row r="28059" spans="62:62" x14ac:dyDescent="0.2">
      <c r="BJ28059" s="201"/>
    </row>
    <row r="28060" spans="62:62" x14ac:dyDescent="0.2">
      <c r="BJ28060" s="201"/>
    </row>
    <row r="28061" spans="62:62" x14ac:dyDescent="0.2">
      <c r="BJ28061" s="201"/>
    </row>
    <row r="28062" spans="62:62" x14ac:dyDescent="0.2">
      <c r="BJ28062" s="201"/>
    </row>
    <row r="28063" spans="62:62" x14ac:dyDescent="0.2">
      <c r="BJ28063" s="201"/>
    </row>
    <row r="28064" spans="62:62" x14ac:dyDescent="0.2">
      <c r="BJ28064" s="201"/>
    </row>
    <row r="28065" spans="62:62" x14ac:dyDescent="0.2">
      <c r="BJ28065" s="201"/>
    </row>
    <row r="28066" spans="62:62" x14ac:dyDescent="0.2">
      <c r="BJ28066" s="201"/>
    </row>
    <row r="28067" spans="62:62" x14ac:dyDescent="0.2">
      <c r="BJ28067" s="201"/>
    </row>
    <row r="28068" spans="62:62" x14ac:dyDescent="0.2">
      <c r="BJ28068" s="201"/>
    </row>
    <row r="28069" spans="62:62" x14ac:dyDescent="0.2">
      <c r="BJ28069" s="201"/>
    </row>
    <row r="28070" spans="62:62" x14ac:dyDescent="0.2">
      <c r="BJ28070" s="201"/>
    </row>
    <row r="28071" spans="62:62" x14ac:dyDescent="0.2">
      <c r="BJ28071" s="201"/>
    </row>
    <row r="28072" spans="62:62" x14ac:dyDescent="0.2">
      <c r="BJ28072" s="201"/>
    </row>
    <row r="28073" spans="62:62" x14ac:dyDescent="0.2">
      <c r="BJ28073" s="201"/>
    </row>
    <row r="28074" spans="62:62" x14ac:dyDescent="0.2">
      <c r="BJ28074" s="201"/>
    </row>
    <row r="28075" spans="62:62" x14ac:dyDescent="0.2">
      <c r="BJ28075" s="201"/>
    </row>
    <row r="28076" spans="62:62" x14ac:dyDescent="0.2">
      <c r="BJ28076" s="201"/>
    </row>
    <row r="28077" spans="62:62" x14ac:dyDescent="0.2">
      <c r="BJ28077" s="201"/>
    </row>
    <row r="28078" spans="62:62" x14ac:dyDescent="0.2">
      <c r="BJ28078" s="201"/>
    </row>
    <row r="28079" spans="62:62" x14ac:dyDescent="0.2">
      <c r="BJ28079" s="201"/>
    </row>
    <row r="28080" spans="62:62" x14ac:dyDescent="0.2">
      <c r="BJ28080" s="201"/>
    </row>
    <row r="28081" spans="62:62" x14ac:dyDescent="0.2">
      <c r="BJ28081" s="201"/>
    </row>
    <row r="28082" spans="62:62" x14ac:dyDescent="0.2">
      <c r="BJ28082" s="201"/>
    </row>
    <row r="28083" spans="62:62" x14ac:dyDescent="0.2">
      <c r="BJ28083" s="201"/>
    </row>
    <row r="28084" spans="62:62" x14ac:dyDescent="0.2">
      <c r="BJ28084" s="201"/>
    </row>
    <row r="28085" spans="62:62" x14ac:dyDescent="0.2">
      <c r="BJ28085" s="201"/>
    </row>
    <row r="28086" spans="62:62" x14ac:dyDescent="0.2">
      <c r="BJ28086" s="201"/>
    </row>
    <row r="28087" spans="62:62" x14ac:dyDescent="0.2">
      <c r="BJ28087" s="201"/>
    </row>
    <row r="28088" spans="62:62" x14ac:dyDescent="0.2">
      <c r="BJ28088" s="201"/>
    </row>
    <row r="28089" spans="62:62" x14ac:dyDescent="0.2">
      <c r="BJ28089" s="201"/>
    </row>
    <row r="28090" spans="62:62" x14ac:dyDescent="0.2">
      <c r="BJ28090" s="201"/>
    </row>
    <row r="28091" spans="62:62" x14ac:dyDescent="0.2">
      <c r="BJ28091" s="201"/>
    </row>
    <row r="28092" spans="62:62" x14ac:dyDescent="0.2">
      <c r="BJ28092" s="201"/>
    </row>
    <row r="28093" spans="62:62" x14ac:dyDescent="0.2">
      <c r="BJ28093" s="201"/>
    </row>
    <row r="28094" spans="62:62" x14ac:dyDescent="0.2">
      <c r="BJ28094" s="201"/>
    </row>
    <row r="28095" spans="62:62" x14ac:dyDescent="0.2">
      <c r="BJ28095" s="201"/>
    </row>
    <row r="28096" spans="62:62" x14ac:dyDescent="0.2">
      <c r="BJ28096" s="201"/>
    </row>
    <row r="28097" spans="62:62" x14ac:dyDescent="0.2">
      <c r="BJ28097" s="201"/>
    </row>
    <row r="28098" spans="62:62" x14ac:dyDescent="0.2">
      <c r="BJ28098" s="201"/>
    </row>
    <row r="28099" spans="62:62" x14ac:dyDescent="0.2">
      <c r="BJ28099" s="201"/>
    </row>
    <row r="28100" spans="62:62" x14ac:dyDescent="0.2">
      <c r="BJ28100" s="201"/>
    </row>
    <row r="28101" spans="62:62" x14ac:dyDescent="0.2">
      <c r="BJ28101" s="201"/>
    </row>
    <row r="28102" spans="62:62" x14ac:dyDescent="0.2">
      <c r="BJ28102" s="201"/>
    </row>
    <row r="28103" spans="62:62" x14ac:dyDescent="0.2">
      <c r="BJ28103" s="201"/>
    </row>
    <row r="28104" spans="62:62" x14ac:dyDescent="0.2">
      <c r="BJ28104" s="201"/>
    </row>
    <row r="28105" spans="62:62" x14ac:dyDescent="0.2">
      <c r="BJ28105" s="201"/>
    </row>
    <row r="28106" spans="62:62" x14ac:dyDescent="0.2">
      <c r="BJ28106" s="201"/>
    </row>
    <row r="28107" spans="62:62" x14ac:dyDescent="0.2">
      <c r="BJ28107" s="201"/>
    </row>
    <row r="28108" spans="62:62" x14ac:dyDescent="0.2">
      <c r="BJ28108" s="201"/>
    </row>
    <row r="28109" spans="62:62" x14ac:dyDescent="0.2">
      <c r="BJ28109" s="201"/>
    </row>
    <row r="28110" spans="62:62" x14ac:dyDescent="0.2">
      <c r="BJ28110" s="201"/>
    </row>
    <row r="28111" spans="62:62" x14ac:dyDescent="0.2">
      <c r="BJ28111" s="201"/>
    </row>
    <row r="28112" spans="62:62" x14ac:dyDescent="0.2">
      <c r="BJ28112" s="201"/>
    </row>
    <row r="28113" spans="62:62" x14ac:dyDescent="0.2">
      <c r="BJ28113" s="201"/>
    </row>
    <row r="28114" spans="62:62" x14ac:dyDescent="0.2">
      <c r="BJ28114" s="201"/>
    </row>
    <row r="28115" spans="62:62" x14ac:dyDescent="0.2">
      <c r="BJ28115" s="201"/>
    </row>
    <row r="28116" spans="62:62" x14ac:dyDescent="0.2">
      <c r="BJ28116" s="201"/>
    </row>
    <row r="28117" spans="62:62" x14ac:dyDescent="0.2">
      <c r="BJ28117" s="201"/>
    </row>
    <row r="28118" spans="62:62" x14ac:dyDescent="0.2">
      <c r="BJ28118" s="201"/>
    </row>
    <row r="28119" spans="62:62" x14ac:dyDescent="0.2">
      <c r="BJ28119" s="201"/>
    </row>
    <row r="28120" spans="62:62" x14ac:dyDescent="0.2">
      <c r="BJ28120" s="201"/>
    </row>
    <row r="28121" spans="62:62" x14ac:dyDescent="0.2">
      <c r="BJ28121" s="201"/>
    </row>
    <row r="28122" spans="62:62" x14ac:dyDescent="0.2">
      <c r="BJ28122" s="201"/>
    </row>
    <row r="28123" spans="62:62" x14ac:dyDescent="0.2">
      <c r="BJ28123" s="201"/>
    </row>
    <row r="28124" spans="62:62" x14ac:dyDescent="0.2">
      <c r="BJ28124" s="201"/>
    </row>
    <row r="28125" spans="62:62" x14ac:dyDescent="0.2">
      <c r="BJ28125" s="201"/>
    </row>
    <row r="28126" spans="62:62" x14ac:dyDescent="0.2">
      <c r="BJ28126" s="201"/>
    </row>
    <row r="28127" spans="62:62" x14ac:dyDescent="0.2">
      <c r="BJ28127" s="201"/>
    </row>
    <row r="28128" spans="62:62" x14ac:dyDescent="0.2">
      <c r="BJ28128" s="201"/>
    </row>
    <row r="28129" spans="62:62" x14ac:dyDescent="0.2">
      <c r="BJ28129" s="201"/>
    </row>
    <row r="28130" spans="62:62" x14ac:dyDescent="0.2">
      <c r="BJ28130" s="201"/>
    </row>
    <row r="28131" spans="62:62" x14ac:dyDescent="0.2">
      <c r="BJ28131" s="201"/>
    </row>
    <row r="28132" spans="62:62" x14ac:dyDescent="0.2">
      <c r="BJ28132" s="201"/>
    </row>
    <row r="28133" spans="62:62" x14ac:dyDescent="0.2">
      <c r="BJ28133" s="201"/>
    </row>
    <row r="28134" spans="62:62" x14ac:dyDescent="0.2">
      <c r="BJ28134" s="201"/>
    </row>
    <row r="28135" spans="62:62" x14ac:dyDescent="0.2">
      <c r="BJ28135" s="201"/>
    </row>
    <row r="28136" spans="62:62" x14ac:dyDescent="0.2">
      <c r="BJ28136" s="201"/>
    </row>
    <row r="28137" spans="62:62" x14ac:dyDescent="0.2">
      <c r="BJ28137" s="201"/>
    </row>
    <row r="28138" spans="62:62" x14ac:dyDescent="0.2">
      <c r="BJ28138" s="201"/>
    </row>
    <row r="28139" spans="62:62" x14ac:dyDescent="0.2">
      <c r="BJ28139" s="201"/>
    </row>
    <row r="28140" spans="62:62" x14ac:dyDescent="0.2">
      <c r="BJ28140" s="201"/>
    </row>
    <row r="28141" spans="62:62" x14ac:dyDescent="0.2">
      <c r="BJ28141" s="201"/>
    </row>
    <row r="28142" spans="62:62" x14ac:dyDescent="0.2">
      <c r="BJ28142" s="201"/>
    </row>
    <row r="28143" spans="62:62" x14ac:dyDescent="0.2">
      <c r="BJ28143" s="201"/>
    </row>
    <row r="28144" spans="62:62" x14ac:dyDescent="0.2">
      <c r="BJ28144" s="201"/>
    </row>
    <row r="28145" spans="62:62" x14ac:dyDescent="0.2">
      <c r="BJ28145" s="201"/>
    </row>
    <row r="28146" spans="62:62" x14ac:dyDescent="0.2">
      <c r="BJ28146" s="201"/>
    </row>
    <row r="28147" spans="62:62" x14ac:dyDescent="0.2">
      <c r="BJ28147" s="201"/>
    </row>
    <row r="28148" spans="62:62" x14ac:dyDescent="0.2">
      <c r="BJ28148" s="201"/>
    </row>
    <row r="28149" spans="62:62" x14ac:dyDescent="0.2">
      <c r="BJ28149" s="201"/>
    </row>
    <row r="28150" spans="62:62" x14ac:dyDescent="0.2">
      <c r="BJ28150" s="201"/>
    </row>
    <row r="28151" spans="62:62" x14ac:dyDescent="0.2">
      <c r="BJ28151" s="201"/>
    </row>
    <row r="28152" spans="62:62" x14ac:dyDescent="0.2">
      <c r="BJ28152" s="201"/>
    </row>
    <row r="28153" spans="62:62" x14ac:dyDescent="0.2">
      <c r="BJ28153" s="201"/>
    </row>
    <row r="28154" spans="62:62" x14ac:dyDescent="0.2">
      <c r="BJ28154" s="201"/>
    </row>
    <row r="28155" spans="62:62" x14ac:dyDescent="0.2">
      <c r="BJ28155" s="201"/>
    </row>
    <row r="28156" spans="62:62" x14ac:dyDescent="0.2">
      <c r="BJ28156" s="201"/>
    </row>
    <row r="28157" spans="62:62" x14ac:dyDescent="0.2">
      <c r="BJ28157" s="201"/>
    </row>
    <row r="28158" spans="62:62" x14ac:dyDescent="0.2">
      <c r="BJ28158" s="201"/>
    </row>
    <row r="28159" spans="62:62" x14ac:dyDescent="0.2">
      <c r="BJ28159" s="201"/>
    </row>
    <row r="28160" spans="62:62" x14ac:dyDescent="0.2">
      <c r="BJ28160" s="201"/>
    </row>
    <row r="28161" spans="62:62" x14ac:dyDescent="0.2">
      <c r="BJ28161" s="201"/>
    </row>
    <row r="28162" spans="62:62" x14ac:dyDescent="0.2">
      <c r="BJ28162" s="201"/>
    </row>
    <row r="28163" spans="62:62" x14ac:dyDescent="0.2">
      <c r="BJ28163" s="201"/>
    </row>
    <row r="28164" spans="62:62" x14ac:dyDescent="0.2">
      <c r="BJ28164" s="201"/>
    </row>
    <row r="28165" spans="62:62" x14ac:dyDescent="0.2">
      <c r="BJ28165" s="201"/>
    </row>
    <row r="28166" spans="62:62" x14ac:dyDescent="0.2">
      <c r="BJ28166" s="201"/>
    </row>
    <row r="28167" spans="62:62" x14ac:dyDescent="0.2">
      <c r="BJ28167" s="201"/>
    </row>
    <row r="28168" spans="62:62" x14ac:dyDescent="0.2">
      <c r="BJ28168" s="201"/>
    </row>
    <row r="28169" spans="62:62" x14ac:dyDescent="0.2">
      <c r="BJ28169" s="201"/>
    </row>
    <row r="28170" spans="62:62" x14ac:dyDescent="0.2">
      <c r="BJ28170" s="201"/>
    </row>
    <row r="28171" spans="62:62" x14ac:dyDescent="0.2">
      <c r="BJ28171" s="201"/>
    </row>
    <row r="28172" spans="62:62" x14ac:dyDescent="0.2">
      <c r="BJ28172" s="201"/>
    </row>
    <row r="28173" spans="62:62" x14ac:dyDescent="0.2">
      <c r="BJ28173" s="201"/>
    </row>
    <row r="28174" spans="62:62" x14ac:dyDescent="0.2">
      <c r="BJ28174" s="201"/>
    </row>
    <row r="28175" spans="62:62" x14ac:dyDescent="0.2">
      <c r="BJ28175" s="201"/>
    </row>
    <row r="28176" spans="62:62" x14ac:dyDescent="0.2">
      <c r="BJ28176" s="201"/>
    </row>
    <row r="28177" spans="62:62" x14ac:dyDescent="0.2">
      <c r="BJ28177" s="201"/>
    </row>
    <row r="28178" spans="62:62" x14ac:dyDescent="0.2">
      <c r="BJ28178" s="201"/>
    </row>
    <row r="28179" spans="62:62" x14ac:dyDescent="0.2">
      <c r="BJ28179" s="201"/>
    </row>
    <row r="28180" spans="62:62" x14ac:dyDescent="0.2">
      <c r="BJ28180" s="201"/>
    </row>
    <row r="28181" spans="62:62" x14ac:dyDescent="0.2">
      <c r="BJ28181" s="201"/>
    </row>
    <row r="28182" spans="62:62" x14ac:dyDescent="0.2">
      <c r="BJ28182" s="201"/>
    </row>
    <row r="28183" spans="62:62" x14ac:dyDescent="0.2">
      <c r="BJ28183" s="201"/>
    </row>
    <row r="28184" spans="62:62" x14ac:dyDescent="0.2">
      <c r="BJ28184" s="201"/>
    </row>
    <row r="28185" spans="62:62" x14ac:dyDescent="0.2">
      <c r="BJ28185" s="201"/>
    </row>
    <row r="28186" spans="62:62" x14ac:dyDescent="0.2">
      <c r="BJ28186" s="201"/>
    </row>
    <row r="28187" spans="62:62" x14ac:dyDescent="0.2">
      <c r="BJ28187" s="201"/>
    </row>
    <row r="28188" spans="62:62" x14ac:dyDescent="0.2">
      <c r="BJ28188" s="201"/>
    </row>
    <row r="28189" spans="62:62" x14ac:dyDescent="0.2">
      <c r="BJ28189" s="201"/>
    </row>
    <row r="28190" spans="62:62" x14ac:dyDescent="0.2">
      <c r="BJ28190" s="201"/>
    </row>
    <row r="28191" spans="62:62" x14ac:dyDescent="0.2">
      <c r="BJ28191" s="201"/>
    </row>
    <row r="28192" spans="62:62" x14ac:dyDescent="0.2">
      <c r="BJ28192" s="201"/>
    </row>
    <row r="28193" spans="62:62" x14ac:dyDescent="0.2">
      <c r="BJ28193" s="201"/>
    </row>
    <row r="28194" spans="62:62" x14ac:dyDescent="0.2">
      <c r="BJ28194" s="201"/>
    </row>
    <row r="28195" spans="62:62" x14ac:dyDescent="0.2">
      <c r="BJ28195" s="201"/>
    </row>
    <row r="28196" spans="62:62" x14ac:dyDescent="0.2">
      <c r="BJ28196" s="201"/>
    </row>
    <row r="28197" spans="62:62" x14ac:dyDescent="0.2">
      <c r="BJ28197" s="201"/>
    </row>
    <row r="28198" spans="62:62" x14ac:dyDescent="0.2">
      <c r="BJ28198" s="201"/>
    </row>
    <row r="28199" spans="62:62" x14ac:dyDescent="0.2">
      <c r="BJ28199" s="201"/>
    </row>
    <row r="28200" spans="62:62" x14ac:dyDescent="0.2">
      <c r="BJ28200" s="201"/>
    </row>
    <row r="28201" spans="62:62" x14ac:dyDescent="0.2">
      <c r="BJ28201" s="201"/>
    </row>
    <row r="28202" spans="62:62" x14ac:dyDescent="0.2">
      <c r="BJ28202" s="201"/>
    </row>
    <row r="28203" spans="62:62" x14ac:dyDescent="0.2">
      <c r="BJ28203" s="201"/>
    </row>
    <row r="28204" spans="62:62" x14ac:dyDescent="0.2">
      <c r="BJ28204" s="201"/>
    </row>
    <row r="28205" spans="62:62" x14ac:dyDescent="0.2">
      <c r="BJ28205" s="201"/>
    </row>
    <row r="28206" spans="62:62" x14ac:dyDescent="0.2">
      <c r="BJ28206" s="201"/>
    </row>
    <row r="28207" spans="62:62" x14ac:dyDescent="0.2">
      <c r="BJ28207" s="201"/>
    </row>
    <row r="28208" spans="62:62" x14ac:dyDescent="0.2">
      <c r="BJ28208" s="201"/>
    </row>
    <row r="28209" spans="62:62" x14ac:dyDescent="0.2">
      <c r="BJ28209" s="201"/>
    </row>
    <row r="28210" spans="62:62" x14ac:dyDescent="0.2">
      <c r="BJ28210" s="201"/>
    </row>
    <row r="28211" spans="62:62" x14ac:dyDescent="0.2">
      <c r="BJ28211" s="201"/>
    </row>
    <row r="28212" spans="62:62" x14ac:dyDescent="0.2">
      <c r="BJ28212" s="201"/>
    </row>
    <row r="28213" spans="62:62" x14ac:dyDescent="0.2">
      <c r="BJ28213" s="201"/>
    </row>
    <row r="28214" spans="62:62" x14ac:dyDescent="0.2">
      <c r="BJ28214" s="201"/>
    </row>
    <row r="28215" spans="62:62" x14ac:dyDescent="0.2">
      <c r="BJ28215" s="201"/>
    </row>
    <row r="28216" spans="62:62" x14ac:dyDescent="0.2">
      <c r="BJ28216" s="201"/>
    </row>
    <row r="28217" spans="62:62" x14ac:dyDescent="0.2">
      <c r="BJ28217" s="201"/>
    </row>
    <row r="28218" spans="62:62" x14ac:dyDescent="0.2">
      <c r="BJ28218" s="201"/>
    </row>
    <row r="28219" spans="62:62" x14ac:dyDescent="0.2">
      <c r="BJ28219" s="201"/>
    </row>
    <row r="28220" spans="62:62" x14ac:dyDescent="0.2">
      <c r="BJ28220" s="201"/>
    </row>
    <row r="28221" spans="62:62" x14ac:dyDescent="0.2">
      <c r="BJ28221" s="201"/>
    </row>
    <row r="28222" spans="62:62" x14ac:dyDescent="0.2">
      <c r="BJ28222" s="201"/>
    </row>
    <row r="28223" spans="62:62" x14ac:dyDescent="0.2">
      <c r="BJ28223" s="201"/>
    </row>
    <row r="28224" spans="62:62" x14ac:dyDescent="0.2">
      <c r="BJ28224" s="201"/>
    </row>
    <row r="28225" spans="62:62" x14ac:dyDescent="0.2">
      <c r="BJ28225" s="201"/>
    </row>
    <row r="28226" spans="62:62" x14ac:dyDescent="0.2">
      <c r="BJ28226" s="201"/>
    </row>
    <row r="28227" spans="62:62" x14ac:dyDescent="0.2">
      <c r="BJ28227" s="201"/>
    </row>
    <row r="28228" spans="62:62" x14ac:dyDescent="0.2">
      <c r="BJ28228" s="201"/>
    </row>
    <row r="28229" spans="62:62" x14ac:dyDescent="0.2">
      <c r="BJ28229" s="201"/>
    </row>
    <row r="28230" spans="62:62" x14ac:dyDescent="0.2">
      <c r="BJ28230" s="201"/>
    </row>
    <row r="28231" spans="62:62" x14ac:dyDescent="0.2">
      <c r="BJ28231" s="201"/>
    </row>
    <row r="28232" spans="62:62" x14ac:dyDescent="0.2">
      <c r="BJ28232" s="201"/>
    </row>
    <row r="28233" spans="62:62" x14ac:dyDescent="0.2">
      <c r="BJ28233" s="201"/>
    </row>
    <row r="28234" spans="62:62" x14ac:dyDescent="0.2">
      <c r="BJ28234" s="201"/>
    </row>
    <row r="28235" spans="62:62" x14ac:dyDescent="0.2">
      <c r="BJ28235" s="201"/>
    </row>
    <row r="28236" spans="62:62" x14ac:dyDescent="0.2">
      <c r="BJ28236" s="201"/>
    </row>
    <row r="28237" spans="62:62" x14ac:dyDescent="0.2">
      <c r="BJ28237" s="201"/>
    </row>
    <row r="28238" spans="62:62" x14ac:dyDescent="0.2">
      <c r="BJ28238" s="201"/>
    </row>
    <row r="28239" spans="62:62" x14ac:dyDescent="0.2">
      <c r="BJ28239" s="201"/>
    </row>
    <row r="28240" spans="62:62" x14ac:dyDescent="0.2">
      <c r="BJ28240" s="201"/>
    </row>
    <row r="28241" spans="62:62" x14ac:dyDescent="0.2">
      <c r="BJ28241" s="201"/>
    </row>
    <row r="28242" spans="62:62" x14ac:dyDescent="0.2">
      <c r="BJ28242" s="201"/>
    </row>
    <row r="28243" spans="62:62" x14ac:dyDescent="0.2">
      <c r="BJ28243" s="201"/>
    </row>
    <row r="28244" spans="62:62" x14ac:dyDescent="0.2">
      <c r="BJ28244" s="201"/>
    </row>
    <row r="28245" spans="62:62" x14ac:dyDescent="0.2">
      <c r="BJ28245" s="201"/>
    </row>
    <row r="28246" spans="62:62" x14ac:dyDescent="0.2">
      <c r="BJ28246" s="201"/>
    </row>
    <row r="28247" spans="62:62" x14ac:dyDescent="0.2">
      <c r="BJ28247" s="201"/>
    </row>
    <row r="28248" spans="62:62" x14ac:dyDescent="0.2">
      <c r="BJ28248" s="201"/>
    </row>
    <row r="28249" spans="62:62" x14ac:dyDescent="0.2">
      <c r="BJ28249" s="201"/>
    </row>
    <row r="28250" spans="62:62" x14ac:dyDescent="0.2">
      <c r="BJ28250" s="201"/>
    </row>
    <row r="28251" spans="62:62" x14ac:dyDescent="0.2">
      <c r="BJ28251" s="201"/>
    </row>
    <row r="28252" spans="62:62" x14ac:dyDescent="0.2">
      <c r="BJ28252" s="201"/>
    </row>
    <row r="28253" spans="62:62" x14ac:dyDescent="0.2">
      <c r="BJ28253" s="201"/>
    </row>
    <row r="28254" spans="62:62" x14ac:dyDescent="0.2">
      <c r="BJ28254" s="201"/>
    </row>
    <row r="28255" spans="62:62" x14ac:dyDescent="0.2">
      <c r="BJ28255" s="201"/>
    </row>
    <row r="28256" spans="62:62" x14ac:dyDescent="0.2">
      <c r="BJ28256" s="201"/>
    </row>
    <row r="28257" spans="62:62" x14ac:dyDescent="0.2">
      <c r="BJ28257" s="201"/>
    </row>
    <row r="28258" spans="62:62" x14ac:dyDescent="0.2">
      <c r="BJ28258" s="201"/>
    </row>
    <row r="28259" spans="62:62" x14ac:dyDescent="0.2">
      <c r="BJ28259" s="201"/>
    </row>
    <row r="28260" spans="62:62" x14ac:dyDescent="0.2">
      <c r="BJ28260" s="201"/>
    </row>
    <row r="28261" spans="62:62" x14ac:dyDescent="0.2">
      <c r="BJ28261" s="201"/>
    </row>
    <row r="28262" spans="62:62" x14ac:dyDescent="0.2">
      <c r="BJ28262" s="201"/>
    </row>
    <row r="28263" spans="62:62" x14ac:dyDescent="0.2">
      <c r="BJ28263" s="201"/>
    </row>
    <row r="28264" spans="62:62" x14ac:dyDescent="0.2">
      <c r="BJ28264" s="201"/>
    </row>
    <row r="28265" spans="62:62" x14ac:dyDescent="0.2">
      <c r="BJ28265" s="201"/>
    </row>
    <row r="28266" spans="62:62" x14ac:dyDescent="0.2">
      <c r="BJ28266" s="201"/>
    </row>
    <row r="28267" spans="62:62" x14ac:dyDescent="0.2">
      <c r="BJ28267" s="201"/>
    </row>
    <row r="28268" spans="62:62" x14ac:dyDescent="0.2">
      <c r="BJ28268" s="201"/>
    </row>
    <row r="28269" spans="62:62" x14ac:dyDescent="0.2">
      <c r="BJ28269" s="201"/>
    </row>
    <row r="28270" spans="62:62" x14ac:dyDescent="0.2">
      <c r="BJ28270" s="201"/>
    </row>
    <row r="28271" spans="62:62" x14ac:dyDescent="0.2">
      <c r="BJ28271" s="201"/>
    </row>
    <row r="28272" spans="62:62" x14ac:dyDescent="0.2">
      <c r="BJ28272" s="201"/>
    </row>
    <row r="28273" spans="62:62" x14ac:dyDescent="0.2">
      <c r="BJ28273" s="201"/>
    </row>
    <row r="28274" spans="62:62" x14ac:dyDescent="0.2">
      <c r="BJ28274" s="201"/>
    </row>
    <row r="28275" spans="62:62" x14ac:dyDescent="0.2">
      <c r="BJ28275" s="201"/>
    </row>
    <row r="28276" spans="62:62" x14ac:dyDescent="0.2">
      <c r="BJ28276" s="201"/>
    </row>
    <row r="28277" spans="62:62" x14ac:dyDescent="0.2">
      <c r="BJ28277" s="201"/>
    </row>
    <row r="28278" spans="62:62" x14ac:dyDescent="0.2">
      <c r="BJ28278" s="201"/>
    </row>
    <row r="28279" spans="62:62" x14ac:dyDescent="0.2">
      <c r="BJ28279" s="201"/>
    </row>
    <row r="28280" spans="62:62" x14ac:dyDescent="0.2">
      <c r="BJ28280" s="201"/>
    </row>
    <row r="28281" spans="62:62" x14ac:dyDescent="0.2">
      <c r="BJ28281" s="201"/>
    </row>
    <row r="28282" spans="62:62" x14ac:dyDescent="0.2">
      <c r="BJ28282" s="201"/>
    </row>
    <row r="28283" spans="62:62" x14ac:dyDescent="0.2">
      <c r="BJ28283" s="201"/>
    </row>
    <row r="28284" spans="62:62" x14ac:dyDescent="0.2">
      <c r="BJ28284" s="201"/>
    </row>
    <row r="28285" spans="62:62" x14ac:dyDescent="0.2">
      <c r="BJ28285" s="201"/>
    </row>
    <row r="28286" spans="62:62" x14ac:dyDescent="0.2">
      <c r="BJ28286" s="201"/>
    </row>
    <row r="28287" spans="62:62" x14ac:dyDescent="0.2">
      <c r="BJ28287" s="201"/>
    </row>
    <row r="28288" spans="62:62" x14ac:dyDescent="0.2">
      <c r="BJ28288" s="201"/>
    </row>
    <row r="28289" spans="62:62" x14ac:dyDescent="0.2">
      <c r="BJ28289" s="201"/>
    </row>
    <row r="28290" spans="62:62" x14ac:dyDescent="0.2">
      <c r="BJ28290" s="201"/>
    </row>
    <row r="28291" spans="62:62" x14ac:dyDescent="0.2">
      <c r="BJ28291" s="201"/>
    </row>
    <row r="28292" spans="62:62" x14ac:dyDescent="0.2">
      <c r="BJ28292" s="201"/>
    </row>
    <row r="28293" spans="62:62" x14ac:dyDescent="0.2">
      <c r="BJ28293" s="201"/>
    </row>
    <row r="28294" spans="62:62" x14ac:dyDescent="0.2">
      <c r="BJ28294" s="201"/>
    </row>
    <row r="28295" spans="62:62" x14ac:dyDescent="0.2">
      <c r="BJ28295" s="201"/>
    </row>
    <row r="28296" spans="62:62" x14ac:dyDescent="0.2">
      <c r="BJ28296" s="201"/>
    </row>
    <row r="28297" spans="62:62" x14ac:dyDescent="0.2">
      <c r="BJ28297" s="201"/>
    </row>
    <row r="28298" spans="62:62" x14ac:dyDescent="0.2">
      <c r="BJ28298" s="201"/>
    </row>
    <row r="28299" spans="62:62" x14ac:dyDescent="0.2">
      <c r="BJ28299" s="201"/>
    </row>
    <row r="28300" spans="62:62" x14ac:dyDescent="0.2">
      <c r="BJ28300" s="201"/>
    </row>
    <row r="28301" spans="62:62" x14ac:dyDescent="0.2">
      <c r="BJ28301" s="201"/>
    </row>
    <row r="28302" spans="62:62" x14ac:dyDescent="0.2">
      <c r="BJ28302" s="201"/>
    </row>
    <row r="28303" spans="62:62" x14ac:dyDescent="0.2">
      <c r="BJ28303" s="201"/>
    </row>
    <row r="28304" spans="62:62" x14ac:dyDescent="0.2">
      <c r="BJ28304" s="201"/>
    </row>
    <row r="28305" spans="62:62" x14ac:dyDescent="0.2">
      <c r="BJ28305" s="201"/>
    </row>
    <row r="28306" spans="62:62" x14ac:dyDescent="0.2">
      <c r="BJ28306" s="201"/>
    </row>
    <row r="28307" spans="62:62" x14ac:dyDescent="0.2">
      <c r="BJ28307" s="201"/>
    </row>
    <row r="28308" spans="62:62" x14ac:dyDescent="0.2">
      <c r="BJ28308" s="201"/>
    </row>
    <row r="28309" spans="62:62" x14ac:dyDescent="0.2">
      <c r="BJ28309" s="201"/>
    </row>
    <row r="28310" spans="62:62" x14ac:dyDescent="0.2">
      <c r="BJ28310" s="201"/>
    </row>
    <row r="28311" spans="62:62" x14ac:dyDescent="0.2">
      <c r="BJ28311" s="201"/>
    </row>
    <row r="28312" spans="62:62" x14ac:dyDescent="0.2">
      <c r="BJ28312" s="201"/>
    </row>
    <row r="28313" spans="62:62" x14ac:dyDescent="0.2">
      <c r="BJ28313" s="201"/>
    </row>
    <row r="28314" spans="62:62" x14ac:dyDescent="0.2">
      <c r="BJ28314" s="201"/>
    </row>
    <row r="28315" spans="62:62" x14ac:dyDescent="0.2">
      <c r="BJ28315" s="201"/>
    </row>
    <row r="28316" spans="62:62" x14ac:dyDescent="0.2">
      <c r="BJ28316" s="201"/>
    </row>
    <row r="28317" spans="62:62" x14ac:dyDescent="0.2">
      <c r="BJ28317" s="201"/>
    </row>
    <row r="28318" spans="62:62" x14ac:dyDescent="0.2">
      <c r="BJ28318" s="201"/>
    </row>
    <row r="28319" spans="62:62" x14ac:dyDescent="0.2">
      <c r="BJ28319" s="201"/>
    </row>
    <row r="28320" spans="62:62" x14ac:dyDescent="0.2">
      <c r="BJ28320" s="201"/>
    </row>
    <row r="28321" spans="62:62" x14ac:dyDescent="0.2">
      <c r="BJ28321" s="201"/>
    </row>
    <row r="28322" spans="62:62" x14ac:dyDescent="0.2">
      <c r="BJ28322" s="201"/>
    </row>
    <row r="28323" spans="62:62" x14ac:dyDescent="0.2">
      <c r="BJ28323" s="201"/>
    </row>
    <row r="28324" spans="62:62" x14ac:dyDescent="0.2">
      <c r="BJ28324" s="201"/>
    </row>
    <row r="28325" spans="62:62" x14ac:dyDescent="0.2">
      <c r="BJ28325" s="201"/>
    </row>
    <row r="28326" spans="62:62" x14ac:dyDescent="0.2">
      <c r="BJ28326" s="201"/>
    </row>
    <row r="28327" spans="62:62" x14ac:dyDescent="0.2">
      <c r="BJ28327" s="201"/>
    </row>
    <row r="28328" spans="62:62" x14ac:dyDescent="0.2">
      <c r="BJ28328" s="201"/>
    </row>
    <row r="28329" spans="62:62" x14ac:dyDescent="0.2">
      <c r="BJ28329" s="201"/>
    </row>
    <row r="28330" spans="62:62" x14ac:dyDescent="0.2">
      <c r="BJ28330" s="201"/>
    </row>
    <row r="28331" spans="62:62" x14ac:dyDescent="0.2">
      <c r="BJ28331" s="201"/>
    </row>
    <row r="28332" spans="62:62" x14ac:dyDescent="0.2">
      <c r="BJ28332" s="201"/>
    </row>
    <row r="28333" spans="62:62" x14ac:dyDescent="0.2">
      <c r="BJ28333" s="201"/>
    </row>
    <row r="28334" spans="62:62" x14ac:dyDescent="0.2">
      <c r="BJ28334" s="201"/>
    </row>
    <row r="28335" spans="62:62" x14ac:dyDescent="0.2">
      <c r="BJ28335" s="201"/>
    </row>
    <row r="28336" spans="62:62" x14ac:dyDescent="0.2">
      <c r="BJ28336" s="201"/>
    </row>
    <row r="28337" spans="62:62" x14ac:dyDescent="0.2">
      <c r="BJ28337" s="201"/>
    </row>
    <row r="28338" spans="62:62" x14ac:dyDescent="0.2">
      <c r="BJ28338" s="201"/>
    </row>
    <row r="28339" spans="62:62" x14ac:dyDescent="0.2">
      <c r="BJ28339" s="201"/>
    </row>
    <row r="28340" spans="62:62" x14ac:dyDescent="0.2">
      <c r="BJ28340" s="201"/>
    </row>
    <row r="28341" spans="62:62" x14ac:dyDescent="0.2">
      <c r="BJ28341" s="201"/>
    </row>
    <row r="28342" spans="62:62" x14ac:dyDescent="0.2">
      <c r="BJ28342" s="201"/>
    </row>
    <row r="28343" spans="62:62" x14ac:dyDescent="0.2">
      <c r="BJ28343" s="201"/>
    </row>
    <row r="28344" spans="62:62" x14ac:dyDescent="0.2">
      <c r="BJ28344" s="201"/>
    </row>
    <row r="28345" spans="62:62" x14ac:dyDescent="0.2">
      <c r="BJ28345" s="201"/>
    </row>
    <row r="28346" spans="62:62" x14ac:dyDescent="0.2">
      <c r="BJ28346" s="201"/>
    </row>
    <row r="28347" spans="62:62" x14ac:dyDescent="0.2">
      <c r="BJ28347" s="201"/>
    </row>
    <row r="28348" spans="62:62" x14ac:dyDescent="0.2">
      <c r="BJ28348" s="201"/>
    </row>
    <row r="28349" spans="62:62" x14ac:dyDescent="0.2">
      <c r="BJ28349" s="201"/>
    </row>
    <row r="28350" spans="62:62" x14ac:dyDescent="0.2">
      <c r="BJ28350" s="201"/>
    </row>
    <row r="28351" spans="62:62" x14ac:dyDescent="0.2">
      <c r="BJ28351" s="201"/>
    </row>
    <row r="28352" spans="62:62" x14ac:dyDescent="0.2">
      <c r="BJ28352" s="201"/>
    </row>
    <row r="28353" spans="62:62" x14ac:dyDescent="0.2">
      <c r="BJ28353" s="201"/>
    </row>
    <row r="28354" spans="62:62" x14ac:dyDescent="0.2">
      <c r="BJ28354" s="201"/>
    </row>
    <row r="28355" spans="62:62" x14ac:dyDescent="0.2">
      <c r="BJ28355" s="201"/>
    </row>
    <row r="28356" spans="62:62" x14ac:dyDescent="0.2">
      <c r="BJ28356" s="201"/>
    </row>
    <row r="28357" spans="62:62" x14ac:dyDescent="0.2">
      <c r="BJ28357" s="201"/>
    </row>
    <row r="28358" spans="62:62" x14ac:dyDescent="0.2">
      <c r="BJ28358" s="201"/>
    </row>
    <row r="28359" spans="62:62" x14ac:dyDescent="0.2">
      <c r="BJ28359" s="201"/>
    </row>
    <row r="28360" spans="62:62" x14ac:dyDescent="0.2">
      <c r="BJ28360" s="201"/>
    </row>
    <row r="28361" spans="62:62" x14ac:dyDescent="0.2">
      <c r="BJ28361" s="201"/>
    </row>
    <row r="28362" spans="62:62" x14ac:dyDescent="0.2">
      <c r="BJ28362" s="201"/>
    </row>
    <row r="28363" spans="62:62" x14ac:dyDescent="0.2">
      <c r="BJ28363" s="201"/>
    </row>
    <row r="28364" spans="62:62" x14ac:dyDescent="0.2">
      <c r="BJ28364" s="201"/>
    </row>
    <row r="28365" spans="62:62" x14ac:dyDescent="0.2">
      <c r="BJ28365" s="201"/>
    </row>
    <row r="28366" spans="62:62" x14ac:dyDescent="0.2">
      <c r="BJ28366" s="201"/>
    </row>
    <row r="28367" spans="62:62" x14ac:dyDescent="0.2">
      <c r="BJ28367" s="201"/>
    </row>
    <row r="28368" spans="62:62" x14ac:dyDescent="0.2">
      <c r="BJ28368" s="201"/>
    </row>
    <row r="28369" spans="62:62" x14ac:dyDescent="0.2">
      <c r="BJ28369" s="201"/>
    </row>
    <row r="28370" spans="62:62" x14ac:dyDescent="0.2">
      <c r="BJ28370" s="201"/>
    </row>
    <row r="28371" spans="62:62" x14ac:dyDescent="0.2">
      <c r="BJ28371" s="201"/>
    </row>
    <row r="28372" spans="62:62" x14ac:dyDescent="0.2">
      <c r="BJ28372" s="201"/>
    </row>
    <row r="28373" spans="62:62" x14ac:dyDescent="0.2">
      <c r="BJ28373" s="201"/>
    </row>
    <row r="28374" spans="62:62" x14ac:dyDescent="0.2">
      <c r="BJ28374" s="201"/>
    </row>
    <row r="28375" spans="62:62" x14ac:dyDescent="0.2">
      <c r="BJ28375" s="201"/>
    </row>
    <row r="28376" spans="62:62" x14ac:dyDescent="0.2">
      <c r="BJ28376" s="201"/>
    </row>
    <row r="28377" spans="62:62" x14ac:dyDescent="0.2">
      <c r="BJ28377" s="201"/>
    </row>
    <row r="28378" spans="62:62" x14ac:dyDescent="0.2">
      <c r="BJ28378" s="201"/>
    </row>
    <row r="28379" spans="62:62" x14ac:dyDescent="0.2">
      <c r="BJ28379" s="201"/>
    </row>
    <row r="28380" spans="62:62" x14ac:dyDescent="0.2">
      <c r="BJ28380" s="201"/>
    </row>
    <row r="28381" spans="62:62" x14ac:dyDescent="0.2">
      <c r="BJ28381" s="201"/>
    </row>
    <row r="28382" spans="62:62" x14ac:dyDescent="0.2">
      <c r="BJ28382" s="201"/>
    </row>
    <row r="28383" spans="62:62" x14ac:dyDescent="0.2">
      <c r="BJ28383" s="201"/>
    </row>
    <row r="28384" spans="62:62" x14ac:dyDescent="0.2">
      <c r="BJ28384" s="201"/>
    </row>
    <row r="28385" spans="62:62" x14ac:dyDescent="0.2">
      <c r="BJ28385" s="201"/>
    </row>
    <row r="28386" spans="62:62" x14ac:dyDescent="0.2">
      <c r="BJ28386" s="201"/>
    </row>
    <row r="28387" spans="62:62" x14ac:dyDescent="0.2">
      <c r="BJ28387" s="201"/>
    </row>
    <row r="28388" spans="62:62" x14ac:dyDescent="0.2">
      <c r="BJ28388" s="201"/>
    </row>
    <row r="28389" spans="62:62" x14ac:dyDescent="0.2">
      <c r="BJ28389" s="201"/>
    </row>
    <row r="28390" spans="62:62" x14ac:dyDescent="0.2">
      <c r="BJ28390" s="201"/>
    </row>
    <row r="28391" spans="62:62" x14ac:dyDescent="0.2">
      <c r="BJ28391" s="201"/>
    </row>
    <row r="28392" spans="62:62" x14ac:dyDescent="0.2">
      <c r="BJ28392" s="201"/>
    </row>
    <row r="28393" spans="62:62" x14ac:dyDescent="0.2">
      <c r="BJ28393" s="201"/>
    </row>
    <row r="28394" spans="62:62" x14ac:dyDescent="0.2">
      <c r="BJ28394" s="201"/>
    </row>
    <row r="28395" spans="62:62" x14ac:dyDescent="0.2">
      <c r="BJ28395" s="201"/>
    </row>
    <row r="28396" spans="62:62" x14ac:dyDescent="0.2">
      <c r="BJ28396" s="201"/>
    </row>
    <row r="28397" spans="62:62" x14ac:dyDescent="0.2">
      <c r="BJ28397" s="201"/>
    </row>
    <row r="28398" spans="62:62" x14ac:dyDescent="0.2">
      <c r="BJ28398" s="201"/>
    </row>
    <row r="28399" spans="62:62" x14ac:dyDescent="0.2">
      <c r="BJ28399" s="201"/>
    </row>
    <row r="28400" spans="62:62" x14ac:dyDescent="0.2">
      <c r="BJ28400" s="201"/>
    </row>
    <row r="28401" spans="62:62" x14ac:dyDescent="0.2">
      <c r="BJ28401" s="201"/>
    </row>
    <row r="28402" spans="62:62" x14ac:dyDescent="0.2">
      <c r="BJ28402" s="201"/>
    </row>
    <row r="28403" spans="62:62" x14ac:dyDescent="0.2">
      <c r="BJ28403" s="201"/>
    </row>
    <row r="28404" spans="62:62" x14ac:dyDescent="0.2">
      <c r="BJ28404" s="201"/>
    </row>
    <row r="28405" spans="62:62" x14ac:dyDescent="0.2">
      <c r="BJ28405" s="201"/>
    </row>
    <row r="28406" spans="62:62" x14ac:dyDescent="0.2">
      <c r="BJ28406" s="201"/>
    </row>
    <row r="28407" spans="62:62" x14ac:dyDescent="0.2">
      <c r="BJ28407" s="201"/>
    </row>
    <row r="28408" spans="62:62" x14ac:dyDescent="0.2">
      <c r="BJ28408" s="201"/>
    </row>
    <row r="28409" spans="62:62" x14ac:dyDescent="0.2">
      <c r="BJ28409" s="201"/>
    </row>
    <row r="28410" spans="62:62" x14ac:dyDescent="0.2">
      <c r="BJ28410" s="201"/>
    </row>
    <row r="28411" spans="62:62" x14ac:dyDescent="0.2">
      <c r="BJ28411" s="201"/>
    </row>
    <row r="28412" spans="62:62" x14ac:dyDescent="0.2">
      <c r="BJ28412" s="201"/>
    </row>
    <row r="28413" spans="62:62" x14ac:dyDescent="0.2">
      <c r="BJ28413" s="201"/>
    </row>
    <row r="28414" spans="62:62" x14ac:dyDescent="0.2">
      <c r="BJ28414" s="201"/>
    </row>
    <row r="28415" spans="62:62" x14ac:dyDescent="0.2">
      <c r="BJ28415" s="201"/>
    </row>
    <row r="28416" spans="62:62" x14ac:dyDescent="0.2">
      <c r="BJ28416" s="201"/>
    </row>
    <row r="28417" spans="62:62" x14ac:dyDescent="0.2">
      <c r="BJ28417" s="201"/>
    </row>
    <row r="28418" spans="62:62" x14ac:dyDescent="0.2">
      <c r="BJ28418" s="201"/>
    </row>
    <row r="28419" spans="62:62" x14ac:dyDescent="0.2">
      <c r="BJ28419" s="201"/>
    </row>
    <row r="28420" spans="62:62" x14ac:dyDescent="0.2">
      <c r="BJ28420" s="201"/>
    </row>
    <row r="28421" spans="62:62" x14ac:dyDescent="0.2">
      <c r="BJ28421" s="201"/>
    </row>
    <row r="28422" spans="62:62" x14ac:dyDescent="0.2">
      <c r="BJ28422" s="201"/>
    </row>
    <row r="28423" spans="62:62" x14ac:dyDescent="0.2">
      <c r="BJ28423" s="201"/>
    </row>
    <row r="28424" spans="62:62" x14ac:dyDescent="0.2">
      <c r="BJ28424" s="201"/>
    </row>
    <row r="28425" spans="62:62" x14ac:dyDescent="0.2">
      <c r="BJ28425" s="201"/>
    </row>
    <row r="28426" spans="62:62" x14ac:dyDescent="0.2">
      <c r="BJ28426" s="201"/>
    </row>
    <row r="28427" spans="62:62" x14ac:dyDescent="0.2">
      <c r="BJ28427" s="201"/>
    </row>
    <row r="28428" spans="62:62" x14ac:dyDescent="0.2">
      <c r="BJ28428" s="201"/>
    </row>
    <row r="28429" spans="62:62" x14ac:dyDescent="0.2">
      <c r="BJ28429" s="201"/>
    </row>
    <row r="28430" spans="62:62" x14ac:dyDescent="0.2">
      <c r="BJ28430" s="201"/>
    </row>
    <row r="28431" spans="62:62" x14ac:dyDescent="0.2">
      <c r="BJ28431" s="201"/>
    </row>
    <row r="28432" spans="62:62" x14ac:dyDescent="0.2">
      <c r="BJ28432" s="201"/>
    </row>
    <row r="28433" spans="62:62" x14ac:dyDescent="0.2">
      <c r="BJ28433" s="201"/>
    </row>
    <row r="28434" spans="62:62" x14ac:dyDescent="0.2">
      <c r="BJ28434" s="201"/>
    </row>
    <row r="28435" spans="62:62" x14ac:dyDescent="0.2">
      <c r="BJ28435" s="201"/>
    </row>
    <row r="28436" spans="62:62" x14ac:dyDescent="0.2">
      <c r="BJ28436" s="201"/>
    </row>
    <row r="28437" spans="62:62" x14ac:dyDescent="0.2">
      <c r="BJ28437" s="201"/>
    </row>
    <row r="28438" spans="62:62" x14ac:dyDescent="0.2">
      <c r="BJ28438" s="201"/>
    </row>
    <row r="28439" spans="62:62" x14ac:dyDescent="0.2">
      <c r="BJ28439" s="201"/>
    </row>
    <row r="28440" spans="62:62" x14ac:dyDescent="0.2">
      <c r="BJ28440" s="201"/>
    </row>
    <row r="28441" spans="62:62" x14ac:dyDescent="0.2">
      <c r="BJ28441" s="201"/>
    </row>
    <row r="28442" spans="62:62" x14ac:dyDescent="0.2">
      <c r="BJ28442" s="201"/>
    </row>
    <row r="28443" spans="62:62" x14ac:dyDescent="0.2">
      <c r="BJ28443" s="201"/>
    </row>
    <row r="28444" spans="62:62" x14ac:dyDescent="0.2">
      <c r="BJ28444" s="201"/>
    </row>
    <row r="28445" spans="62:62" x14ac:dyDescent="0.2">
      <c r="BJ28445" s="201"/>
    </row>
    <row r="28446" spans="62:62" x14ac:dyDescent="0.2">
      <c r="BJ28446" s="201"/>
    </row>
    <row r="28447" spans="62:62" x14ac:dyDescent="0.2">
      <c r="BJ28447" s="201"/>
    </row>
    <row r="28448" spans="62:62" x14ac:dyDescent="0.2">
      <c r="BJ28448" s="201"/>
    </row>
    <row r="28449" spans="62:62" x14ac:dyDescent="0.2">
      <c r="BJ28449" s="201"/>
    </row>
    <row r="28450" spans="62:62" x14ac:dyDescent="0.2">
      <c r="BJ28450" s="201"/>
    </row>
    <row r="28451" spans="62:62" x14ac:dyDescent="0.2">
      <c r="BJ28451" s="201"/>
    </row>
    <row r="28452" spans="62:62" x14ac:dyDescent="0.2">
      <c r="BJ28452" s="201"/>
    </row>
    <row r="28453" spans="62:62" x14ac:dyDescent="0.2">
      <c r="BJ28453" s="201"/>
    </row>
    <row r="28454" spans="62:62" x14ac:dyDescent="0.2">
      <c r="BJ28454" s="201"/>
    </row>
    <row r="28455" spans="62:62" x14ac:dyDescent="0.2">
      <c r="BJ28455" s="201"/>
    </row>
    <row r="28456" spans="62:62" x14ac:dyDescent="0.2">
      <c r="BJ28456" s="201"/>
    </row>
    <row r="28457" spans="62:62" x14ac:dyDescent="0.2">
      <c r="BJ28457" s="201"/>
    </row>
    <row r="28458" spans="62:62" x14ac:dyDescent="0.2">
      <c r="BJ28458" s="201"/>
    </row>
    <row r="28459" spans="62:62" x14ac:dyDescent="0.2">
      <c r="BJ28459" s="201"/>
    </row>
    <row r="28460" spans="62:62" x14ac:dyDescent="0.2">
      <c r="BJ28460" s="201"/>
    </row>
    <row r="28461" spans="62:62" x14ac:dyDescent="0.2">
      <c r="BJ28461" s="201"/>
    </row>
    <row r="28462" spans="62:62" x14ac:dyDescent="0.2">
      <c r="BJ28462" s="201"/>
    </row>
    <row r="28463" spans="62:62" x14ac:dyDescent="0.2">
      <c r="BJ28463" s="201"/>
    </row>
    <row r="28464" spans="62:62" x14ac:dyDescent="0.2">
      <c r="BJ28464" s="201"/>
    </row>
    <row r="28465" spans="62:62" x14ac:dyDescent="0.2">
      <c r="BJ28465" s="201"/>
    </row>
    <row r="28466" spans="62:62" x14ac:dyDescent="0.2">
      <c r="BJ28466" s="201"/>
    </row>
    <row r="28467" spans="62:62" x14ac:dyDescent="0.2">
      <c r="BJ28467" s="201"/>
    </row>
    <row r="28468" spans="62:62" x14ac:dyDescent="0.2">
      <c r="BJ28468" s="201"/>
    </row>
    <row r="28469" spans="62:62" x14ac:dyDescent="0.2">
      <c r="BJ28469" s="201"/>
    </row>
    <row r="28470" spans="62:62" x14ac:dyDescent="0.2">
      <c r="BJ28470" s="201"/>
    </row>
    <row r="28471" spans="62:62" x14ac:dyDescent="0.2">
      <c r="BJ28471" s="201"/>
    </row>
    <row r="28472" spans="62:62" x14ac:dyDescent="0.2">
      <c r="BJ28472" s="201"/>
    </row>
    <row r="28473" spans="62:62" x14ac:dyDescent="0.2">
      <c r="BJ28473" s="201"/>
    </row>
    <row r="28474" spans="62:62" x14ac:dyDescent="0.2">
      <c r="BJ28474" s="201"/>
    </row>
    <row r="28475" spans="62:62" x14ac:dyDescent="0.2">
      <c r="BJ28475" s="201"/>
    </row>
    <row r="28476" spans="62:62" x14ac:dyDescent="0.2">
      <c r="BJ28476" s="201"/>
    </row>
    <row r="28477" spans="62:62" x14ac:dyDescent="0.2">
      <c r="BJ28477" s="201"/>
    </row>
    <row r="28478" spans="62:62" x14ac:dyDescent="0.2">
      <c r="BJ28478" s="201"/>
    </row>
    <row r="28479" spans="62:62" x14ac:dyDescent="0.2">
      <c r="BJ28479" s="201"/>
    </row>
    <row r="28480" spans="62:62" x14ac:dyDescent="0.2">
      <c r="BJ28480" s="201"/>
    </row>
    <row r="28481" spans="62:62" x14ac:dyDescent="0.2">
      <c r="BJ28481" s="201"/>
    </row>
    <row r="28482" spans="62:62" x14ac:dyDescent="0.2">
      <c r="BJ28482" s="201"/>
    </row>
    <row r="28483" spans="62:62" x14ac:dyDescent="0.2">
      <c r="BJ28483" s="201"/>
    </row>
    <row r="28484" spans="62:62" x14ac:dyDescent="0.2">
      <c r="BJ28484" s="201"/>
    </row>
    <row r="28485" spans="62:62" x14ac:dyDescent="0.2">
      <c r="BJ28485" s="201"/>
    </row>
    <row r="28486" spans="62:62" x14ac:dyDescent="0.2">
      <c r="BJ28486" s="201"/>
    </row>
    <row r="28487" spans="62:62" x14ac:dyDescent="0.2">
      <c r="BJ28487" s="201"/>
    </row>
    <row r="28488" spans="62:62" x14ac:dyDescent="0.2">
      <c r="BJ28488" s="201"/>
    </row>
    <row r="28489" spans="62:62" x14ac:dyDescent="0.2">
      <c r="BJ28489" s="201"/>
    </row>
    <row r="28490" spans="62:62" x14ac:dyDescent="0.2">
      <c r="BJ28490" s="201"/>
    </row>
    <row r="28491" spans="62:62" x14ac:dyDescent="0.2">
      <c r="BJ28491" s="201"/>
    </row>
    <row r="28492" spans="62:62" x14ac:dyDescent="0.2">
      <c r="BJ28492" s="201"/>
    </row>
    <row r="28493" spans="62:62" x14ac:dyDescent="0.2">
      <c r="BJ28493" s="201"/>
    </row>
    <row r="28494" spans="62:62" x14ac:dyDescent="0.2">
      <c r="BJ28494" s="201"/>
    </row>
    <row r="28495" spans="62:62" x14ac:dyDescent="0.2">
      <c r="BJ28495" s="201"/>
    </row>
    <row r="28496" spans="62:62" x14ac:dyDescent="0.2">
      <c r="BJ28496" s="201"/>
    </row>
    <row r="28497" spans="62:62" x14ac:dyDescent="0.2">
      <c r="BJ28497" s="201"/>
    </row>
    <row r="28498" spans="62:62" x14ac:dyDescent="0.2">
      <c r="BJ28498" s="201"/>
    </row>
    <row r="28499" spans="62:62" x14ac:dyDescent="0.2">
      <c r="BJ28499" s="201"/>
    </row>
    <row r="28500" spans="62:62" x14ac:dyDescent="0.2">
      <c r="BJ28500" s="201"/>
    </row>
    <row r="28501" spans="62:62" x14ac:dyDescent="0.2">
      <c r="BJ28501" s="201"/>
    </row>
    <row r="28502" spans="62:62" x14ac:dyDescent="0.2">
      <c r="BJ28502" s="201"/>
    </row>
    <row r="28503" spans="62:62" x14ac:dyDescent="0.2">
      <c r="BJ28503" s="201"/>
    </row>
    <row r="28504" spans="62:62" x14ac:dyDescent="0.2">
      <c r="BJ28504" s="201"/>
    </row>
    <row r="28505" spans="62:62" x14ac:dyDescent="0.2">
      <c r="BJ28505" s="201"/>
    </row>
    <row r="28506" spans="62:62" x14ac:dyDescent="0.2">
      <c r="BJ28506" s="201"/>
    </row>
    <row r="28507" spans="62:62" x14ac:dyDescent="0.2">
      <c r="BJ28507" s="201"/>
    </row>
    <row r="28508" spans="62:62" x14ac:dyDescent="0.2">
      <c r="BJ28508" s="201"/>
    </row>
    <row r="28509" spans="62:62" x14ac:dyDescent="0.2">
      <c r="BJ28509" s="201"/>
    </row>
    <row r="28510" spans="62:62" x14ac:dyDescent="0.2">
      <c r="BJ28510" s="201"/>
    </row>
    <row r="28511" spans="62:62" x14ac:dyDescent="0.2">
      <c r="BJ28511" s="201"/>
    </row>
    <row r="28512" spans="62:62" x14ac:dyDescent="0.2">
      <c r="BJ28512" s="201"/>
    </row>
    <row r="28513" spans="62:62" x14ac:dyDescent="0.2">
      <c r="BJ28513" s="201"/>
    </row>
    <row r="28514" spans="62:62" x14ac:dyDescent="0.2">
      <c r="BJ28514" s="201"/>
    </row>
    <row r="28515" spans="62:62" x14ac:dyDescent="0.2">
      <c r="BJ28515" s="201"/>
    </row>
    <row r="28516" spans="62:62" x14ac:dyDescent="0.2">
      <c r="BJ28516" s="201"/>
    </row>
    <row r="28517" spans="62:62" x14ac:dyDescent="0.2">
      <c r="BJ28517" s="201"/>
    </row>
    <row r="28518" spans="62:62" x14ac:dyDescent="0.2">
      <c r="BJ28518" s="201"/>
    </row>
    <row r="28519" spans="62:62" x14ac:dyDescent="0.2">
      <c r="BJ28519" s="201"/>
    </row>
    <row r="28520" spans="62:62" x14ac:dyDescent="0.2">
      <c r="BJ28520" s="201"/>
    </row>
    <row r="28521" spans="62:62" x14ac:dyDescent="0.2">
      <c r="BJ28521" s="201"/>
    </row>
    <row r="28522" spans="62:62" x14ac:dyDescent="0.2">
      <c r="BJ28522" s="201"/>
    </row>
    <row r="28523" spans="62:62" x14ac:dyDescent="0.2">
      <c r="BJ28523" s="201"/>
    </row>
    <row r="28524" spans="62:62" x14ac:dyDescent="0.2">
      <c r="BJ28524" s="201"/>
    </row>
    <row r="28525" spans="62:62" x14ac:dyDescent="0.2">
      <c r="BJ28525" s="201"/>
    </row>
    <row r="28526" spans="62:62" x14ac:dyDescent="0.2">
      <c r="BJ28526" s="201"/>
    </row>
    <row r="28527" spans="62:62" x14ac:dyDescent="0.2">
      <c r="BJ28527" s="201"/>
    </row>
    <row r="28528" spans="62:62" x14ac:dyDescent="0.2">
      <c r="BJ28528" s="201"/>
    </row>
    <row r="28529" spans="62:62" x14ac:dyDescent="0.2">
      <c r="BJ28529" s="201"/>
    </row>
    <row r="28530" spans="62:62" x14ac:dyDescent="0.2">
      <c r="BJ28530" s="201"/>
    </row>
    <row r="28531" spans="62:62" x14ac:dyDescent="0.2">
      <c r="BJ28531" s="201"/>
    </row>
    <row r="28532" spans="62:62" x14ac:dyDescent="0.2">
      <c r="BJ28532" s="201"/>
    </row>
    <row r="28533" spans="62:62" x14ac:dyDescent="0.2">
      <c r="BJ28533" s="201"/>
    </row>
    <row r="28534" spans="62:62" x14ac:dyDescent="0.2">
      <c r="BJ28534" s="201"/>
    </row>
    <row r="28535" spans="62:62" x14ac:dyDescent="0.2">
      <c r="BJ28535" s="201"/>
    </row>
    <row r="28536" spans="62:62" x14ac:dyDescent="0.2">
      <c r="BJ28536" s="201"/>
    </row>
    <row r="28537" spans="62:62" x14ac:dyDescent="0.2">
      <c r="BJ28537" s="201"/>
    </row>
    <row r="28538" spans="62:62" x14ac:dyDescent="0.2">
      <c r="BJ28538" s="201"/>
    </row>
    <row r="28539" spans="62:62" x14ac:dyDescent="0.2">
      <c r="BJ28539" s="201"/>
    </row>
    <row r="28540" spans="62:62" x14ac:dyDescent="0.2">
      <c r="BJ28540" s="201"/>
    </row>
    <row r="28541" spans="62:62" x14ac:dyDescent="0.2">
      <c r="BJ28541" s="201"/>
    </row>
    <row r="28542" spans="62:62" x14ac:dyDescent="0.2">
      <c r="BJ28542" s="201"/>
    </row>
    <row r="28543" spans="62:62" x14ac:dyDescent="0.2">
      <c r="BJ28543" s="201"/>
    </row>
    <row r="28544" spans="62:62" x14ac:dyDescent="0.2">
      <c r="BJ28544" s="201"/>
    </row>
    <row r="28545" spans="62:62" x14ac:dyDescent="0.2">
      <c r="BJ28545" s="201"/>
    </row>
    <row r="28546" spans="62:62" x14ac:dyDescent="0.2">
      <c r="BJ28546" s="201"/>
    </row>
    <row r="28547" spans="62:62" x14ac:dyDescent="0.2">
      <c r="BJ28547" s="201"/>
    </row>
    <row r="28548" spans="62:62" x14ac:dyDescent="0.2">
      <c r="BJ28548" s="201"/>
    </row>
    <row r="28549" spans="62:62" x14ac:dyDescent="0.2">
      <c r="BJ28549" s="201"/>
    </row>
    <row r="28550" spans="62:62" x14ac:dyDescent="0.2">
      <c r="BJ28550" s="201"/>
    </row>
    <row r="28551" spans="62:62" x14ac:dyDescent="0.2">
      <c r="BJ28551" s="201"/>
    </row>
    <row r="28552" spans="62:62" x14ac:dyDescent="0.2">
      <c r="BJ28552" s="201"/>
    </row>
    <row r="28553" spans="62:62" x14ac:dyDescent="0.2">
      <c r="BJ28553" s="201"/>
    </row>
    <row r="28554" spans="62:62" x14ac:dyDescent="0.2">
      <c r="BJ28554" s="201"/>
    </row>
    <row r="28555" spans="62:62" x14ac:dyDescent="0.2">
      <c r="BJ28555" s="201"/>
    </row>
    <row r="28556" spans="62:62" x14ac:dyDescent="0.2">
      <c r="BJ28556" s="201"/>
    </row>
    <row r="28557" spans="62:62" x14ac:dyDescent="0.2">
      <c r="BJ28557" s="201"/>
    </row>
    <row r="28558" spans="62:62" x14ac:dyDescent="0.2">
      <c r="BJ28558" s="201"/>
    </row>
    <row r="28559" spans="62:62" x14ac:dyDescent="0.2">
      <c r="BJ28559" s="201"/>
    </row>
    <row r="28560" spans="62:62" x14ac:dyDescent="0.2">
      <c r="BJ28560" s="201"/>
    </row>
    <row r="28561" spans="62:62" x14ac:dyDescent="0.2">
      <c r="BJ28561" s="201"/>
    </row>
    <row r="28562" spans="62:62" x14ac:dyDescent="0.2">
      <c r="BJ28562" s="201"/>
    </row>
    <row r="28563" spans="62:62" x14ac:dyDescent="0.2">
      <c r="BJ28563" s="201"/>
    </row>
    <row r="28564" spans="62:62" x14ac:dyDescent="0.2">
      <c r="BJ28564" s="201"/>
    </row>
    <row r="28565" spans="62:62" x14ac:dyDescent="0.2">
      <c r="BJ28565" s="201"/>
    </row>
    <row r="28566" spans="62:62" x14ac:dyDescent="0.2">
      <c r="BJ28566" s="201"/>
    </row>
    <row r="28567" spans="62:62" x14ac:dyDescent="0.2">
      <c r="BJ28567" s="201"/>
    </row>
    <row r="28568" spans="62:62" x14ac:dyDescent="0.2">
      <c r="BJ28568" s="201"/>
    </row>
    <row r="28569" spans="62:62" x14ac:dyDescent="0.2">
      <c r="BJ28569" s="201"/>
    </row>
    <row r="28570" spans="62:62" x14ac:dyDescent="0.2">
      <c r="BJ28570" s="201"/>
    </row>
    <row r="28571" spans="62:62" x14ac:dyDescent="0.2">
      <c r="BJ28571" s="201"/>
    </row>
    <row r="28572" spans="62:62" x14ac:dyDescent="0.2">
      <c r="BJ28572" s="201"/>
    </row>
    <row r="28573" spans="62:62" x14ac:dyDescent="0.2">
      <c r="BJ28573" s="201"/>
    </row>
    <row r="28574" spans="62:62" x14ac:dyDescent="0.2">
      <c r="BJ28574" s="201"/>
    </row>
    <row r="28575" spans="62:62" x14ac:dyDescent="0.2">
      <c r="BJ28575" s="201"/>
    </row>
    <row r="28576" spans="62:62" x14ac:dyDescent="0.2">
      <c r="BJ28576" s="201"/>
    </row>
    <row r="28577" spans="62:62" x14ac:dyDescent="0.2">
      <c r="BJ28577" s="201"/>
    </row>
    <row r="28578" spans="62:62" x14ac:dyDescent="0.2">
      <c r="BJ28578" s="201"/>
    </row>
    <row r="28579" spans="62:62" x14ac:dyDescent="0.2">
      <c r="BJ28579" s="201"/>
    </row>
    <row r="28580" spans="62:62" x14ac:dyDescent="0.2">
      <c r="BJ28580" s="201"/>
    </row>
    <row r="28581" spans="62:62" x14ac:dyDescent="0.2">
      <c r="BJ28581" s="201"/>
    </row>
    <row r="28582" spans="62:62" x14ac:dyDescent="0.2">
      <c r="BJ28582" s="201"/>
    </row>
    <row r="28583" spans="62:62" x14ac:dyDescent="0.2">
      <c r="BJ28583" s="201"/>
    </row>
    <row r="28584" spans="62:62" x14ac:dyDescent="0.2">
      <c r="BJ28584" s="201"/>
    </row>
    <row r="28585" spans="62:62" x14ac:dyDescent="0.2">
      <c r="BJ28585" s="201"/>
    </row>
    <row r="28586" spans="62:62" x14ac:dyDescent="0.2">
      <c r="BJ28586" s="201"/>
    </row>
    <row r="28587" spans="62:62" x14ac:dyDescent="0.2">
      <c r="BJ28587" s="201"/>
    </row>
    <row r="28588" spans="62:62" x14ac:dyDescent="0.2">
      <c r="BJ28588" s="201"/>
    </row>
    <row r="28589" spans="62:62" x14ac:dyDescent="0.2">
      <c r="BJ28589" s="201"/>
    </row>
    <row r="28590" spans="62:62" x14ac:dyDescent="0.2">
      <c r="BJ28590" s="201"/>
    </row>
    <row r="28591" spans="62:62" x14ac:dyDescent="0.2">
      <c r="BJ28591" s="201"/>
    </row>
    <row r="28592" spans="62:62" x14ac:dyDescent="0.2">
      <c r="BJ28592" s="201"/>
    </row>
    <row r="28593" spans="62:62" x14ac:dyDescent="0.2">
      <c r="BJ28593" s="201"/>
    </row>
    <row r="28594" spans="62:62" x14ac:dyDescent="0.2">
      <c r="BJ28594" s="201"/>
    </row>
    <row r="28595" spans="62:62" x14ac:dyDescent="0.2">
      <c r="BJ28595" s="201"/>
    </row>
    <row r="28596" spans="62:62" x14ac:dyDescent="0.2">
      <c r="BJ28596" s="201"/>
    </row>
    <row r="28597" spans="62:62" x14ac:dyDescent="0.2">
      <c r="BJ28597" s="201"/>
    </row>
    <row r="28598" spans="62:62" x14ac:dyDescent="0.2">
      <c r="BJ28598" s="201"/>
    </row>
    <row r="28599" spans="62:62" x14ac:dyDescent="0.2">
      <c r="BJ28599" s="201"/>
    </row>
    <row r="28600" spans="62:62" x14ac:dyDescent="0.2">
      <c r="BJ28600" s="201"/>
    </row>
    <row r="28601" spans="62:62" x14ac:dyDescent="0.2">
      <c r="BJ28601" s="201"/>
    </row>
    <row r="28602" spans="62:62" x14ac:dyDescent="0.2">
      <c r="BJ28602" s="201"/>
    </row>
    <row r="28603" spans="62:62" x14ac:dyDescent="0.2">
      <c r="BJ28603" s="201"/>
    </row>
    <row r="28604" spans="62:62" x14ac:dyDescent="0.2">
      <c r="BJ28604" s="201"/>
    </row>
    <row r="28605" spans="62:62" x14ac:dyDescent="0.2">
      <c r="BJ28605" s="201"/>
    </row>
    <row r="28606" spans="62:62" x14ac:dyDescent="0.2">
      <c r="BJ28606" s="201"/>
    </row>
    <row r="28607" spans="62:62" x14ac:dyDescent="0.2">
      <c r="BJ28607" s="201"/>
    </row>
    <row r="28608" spans="62:62" x14ac:dyDescent="0.2">
      <c r="BJ28608" s="201"/>
    </row>
    <row r="28609" spans="62:62" x14ac:dyDescent="0.2">
      <c r="BJ28609" s="201"/>
    </row>
    <row r="28610" spans="62:62" x14ac:dyDescent="0.2">
      <c r="BJ28610" s="201"/>
    </row>
    <row r="28611" spans="62:62" x14ac:dyDescent="0.2">
      <c r="BJ28611" s="201"/>
    </row>
    <row r="28612" spans="62:62" x14ac:dyDescent="0.2">
      <c r="BJ28612" s="201"/>
    </row>
    <row r="28613" spans="62:62" x14ac:dyDescent="0.2">
      <c r="BJ28613" s="201"/>
    </row>
    <row r="28614" spans="62:62" x14ac:dyDescent="0.2">
      <c r="BJ28614" s="201"/>
    </row>
    <row r="28615" spans="62:62" x14ac:dyDescent="0.2">
      <c r="BJ28615" s="201"/>
    </row>
    <row r="28616" spans="62:62" x14ac:dyDescent="0.2">
      <c r="BJ28616" s="201"/>
    </row>
    <row r="28617" spans="62:62" x14ac:dyDescent="0.2">
      <c r="BJ28617" s="201"/>
    </row>
    <row r="28618" spans="62:62" x14ac:dyDescent="0.2">
      <c r="BJ28618" s="201"/>
    </row>
    <row r="28619" spans="62:62" x14ac:dyDescent="0.2">
      <c r="BJ28619" s="201"/>
    </row>
    <row r="28620" spans="62:62" x14ac:dyDescent="0.2">
      <c r="BJ28620" s="201"/>
    </row>
    <row r="28621" spans="62:62" x14ac:dyDescent="0.2">
      <c r="BJ28621" s="201"/>
    </row>
    <row r="28622" spans="62:62" x14ac:dyDescent="0.2">
      <c r="BJ28622" s="201"/>
    </row>
    <row r="28623" spans="62:62" x14ac:dyDescent="0.2">
      <c r="BJ28623" s="201"/>
    </row>
    <row r="28624" spans="62:62" x14ac:dyDescent="0.2">
      <c r="BJ28624" s="201"/>
    </row>
    <row r="28625" spans="62:62" x14ac:dyDescent="0.2">
      <c r="BJ28625" s="201"/>
    </row>
    <row r="28626" spans="62:62" x14ac:dyDescent="0.2">
      <c r="BJ28626" s="201"/>
    </row>
    <row r="28627" spans="62:62" x14ac:dyDescent="0.2">
      <c r="BJ28627" s="201"/>
    </row>
    <row r="28628" spans="62:62" x14ac:dyDescent="0.2">
      <c r="BJ28628" s="201"/>
    </row>
    <row r="28629" spans="62:62" x14ac:dyDescent="0.2">
      <c r="BJ28629" s="201"/>
    </row>
    <row r="28630" spans="62:62" x14ac:dyDescent="0.2">
      <c r="BJ28630" s="201"/>
    </row>
    <row r="28631" spans="62:62" x14ac:dyDescent="0.2">
      <c r="BJ28631" s="201"/>
    </row>
    <row r="28632" spans="62:62" x14ac:dyDescent="0.2">
      <c r="BJ28632" s="201"/>
    </row>
    <row r="28633" spans="62:62" x14ac:dyDescent="0.2">
      <c r="BJ28633" s="201"/>
    </row>
    <row r="28634" spans="62:62" x14ac:dyDescent="0.2">
      <c r="BJ28634" s="201"/>
    </row>
    <row r="28635" spans="62:62" x14ac:dyDescent="0.2">
      <c r="BJ28635" s="201"/>
    </row>
    <row r="28636" spans="62:62" x14ac:dyDescent="0.2">
      <c r="BJ28636" s="201"/>
    </row>
    <row r="28637" spans="62:62" x14ac:dyDescent="0.2">
      <c r="BJ28637" s="201"/>
    </row>
    <row r="28638" spans="62:62" x14ac:dyDescent="0.2">
      <c r="BJ28638" s="201"/>
    </row>
    <row r="28639" spans="62:62" x14ac:dyDescent="0.2">
      <c r="BJ28639" s="201"/>
    </row>
    <row r="28640" spans="62:62" x14ac:dyDescent="0.2">
      <c r="BJ28640" s="201"/>
    </row>
    <row r="28641" spans="62:62" x14ac:dyDescent="0.2">
      <c r="BJ28641" s="201"/>
    </row>
    <row r="28642" spans="62:62" x14ac:dyDescent="0.2">
      <c r="BJ28642" s="201"/>
    </row>
    <row r="28643" spans="62:62" x14ac:dyDescent="0.2">
      <c r="BJ28643" s="201"/>
    </row>
    <row r="28644" spans="62:62" x14ac:dyDescent="0.2">
      <c r="BJ28644" s="201"/>
    </row>
    <row r="28645" spans="62:62" x14ac:dyDescent="0.2">
      <c r="BJ28645" s="201"/>
    </row>
    <row r="28646" spans="62:62" x14ac:dyDescent="0.2">
      <c r="BJ28646" s="201"/>
    </row>
    <row r="28647" spans="62:62" x14ac:dyDescent="0.2">
      <c r="BJ28647" s="201"/>
    </row>
    <row r="28648" spans="62:62" x14ac:dyDescent="0.2">
      <c r="BJ28648" s="201"/>
    </row>
    <row r="28649" spans="62:62" x14ac:dyDescent="0.2">
      <c r="BJ28649" s="201"/>
    </row>
    <row r="28650" spans="62:62" x14ac:dyDescent="0.2">
      <c r="BJ28650" s="201"/>
    </row>
    <row r="28651" spans="62:62" x14ac:dyDescent="0.2">
      <c r="BJ28651" s="201"/>
    </row>
    <row r="28652" spans="62:62" x14ac:dyDescent="0.2">
      <c r="BJ28652" s="201"/>
    </row>
    <row r="28653" spans="62:62" x14ac:dyDescent="0.2">
      <c r="BJ28653" s="201"/>
    </row>
    <row r="28654" spans="62:62" x14ac:dyDescent="0.2">
      <c r="BJ28654" s="201"/>
    </row>
    <row r="28655" spans="62:62" x14ac:dyDescent="0.2">
      <c r="BJ28655" s="201"/>
    </row>
    <row r="28656" spans="62:62" x14ac:dyDescent="0.2">
      <c r="BJ28656" s="201"/>
    </row>
    <row r="28657" spans="62:62" x14ac:dyDescent="0.2">
      <c r="BJ28657" s="201"/>
    </row>
    <row r="28658" spans="62:62" x14ac:dyDescent="0.2">
      <c r="BJ28658" s="201"/>
    </row>
    <row r="28659" spans="62:62" x14ac:dyDescent="0.2">
      <c r="BJ28659" s="201"/>
    </row>
    <row r="28660" spans="62:62" x14ac:dyDescent="0.2">
      <c r="BJ28660" s="201"/>
    </row>
    <row r="28661" spans="62:62" x14ac:dyDescent="0.2">
      <c r="BJ28661" s="201"/>
    </row>
    <row r="28662" spans="62:62" x14ac:dyDescent="0.2">
      <c r="BJ28662" s="201"/>
    </row>
    <row r="28663" spans="62:62" x14ac:dyDescent="0.2">
      <c r="BJ28663" s="201"/>
    </row>
    <row r="28664" spans="62:62" x14ac:dyDescent="0.2">
      <c r="BJ28664" s="201"/>
    </row>
    <row r="28665" spans="62:62" x14ac:dyDescent="0.2">
      <c r="BJ28665" s="201"/>
    </row>
    <row r="28666" spans="62:62" x14ac:dyDescent="0.2">
      <c r="BJ28666" s="201"/>
    </row>
    <row r="28667" spans="62:62" x14ac:dyDescent="0.2">
      <c r="BJ28667" s="201"/>
    </row>
    <row r="28668" spans="62:62" x14ac:dyDescent="0.2">
      <c r="BJ28668" s="201"/>
    </row>
    <row r="28669" spans="62:62" x14ac:dyDescent="0.2">
      <c r="BJ28669" s="201"/>
    </row>
    <row r="28670" spans="62:62" x14ac:dyDescent="0.2">
      <c r="BJ28670" s="201"/>
    </row>
    <row r="28671" spans="62:62" x14ac:dyDescent="0.2">
      <c r="BJ28671" s="201"/>
    </row>
    <row r="28672" spans="62:62" x14ac:dyDescent="0.2">
      <c r="BJ28672" s="201"/>
    </row>
    <row r="28673" spans="62:62" x14ac:dyDescent="0.2">
      <c r="BJ28673" s="201"/>
    </row>
    <row r="28674" spans="62:62" x14ac:dyDescent="0.2">
      <c r="BJ28674" s="201"/>
    </row>
    <row r="28675" spans="62:62" x14ac:dyDescent="0.2">
      <c r="BJ28675" s="201"/>
    </row>
    <row r="28676" spans="62:62" x14ac:dyDescent="0.2">
      <c r="BJ28676" s="201"/>
    </row>
    <row r="28677" spans="62:62" x14ac:dyDescent="0.2">
      <c r="BJ28677" s="201"/>
    </row>
    <row r="28678" spans="62:62" x14ac:dyDescent="0.2">
      <c r="BJ28678" s="201"/>
    </row>
    <row r="28679" spans="62:62" x14ac:dyDescent="0.2">
      <c r="BJ28679" s="201"/>
    </row>
    <row r="28680" spans="62:62" x14ac:dyDescent="0.2">
      <c r="BJ28680" s="201"/>
    </row>
    <row r="28681" spans="62:62" x14ac:dyDescent="0.2">
      <c r="BJ28681" s="201"/>
    </row>
    <row r="28682" spans="62:62" x14ac:dyDescent="0.2">
      <c r="BJ28682" s="201"/>
    </row>
    <row r="28683" spans="62:62" x14ac:dyDescent="0.2">
      <c r="BJ28683" s="201"/>
    </row>
    <row r="28684" spans="62:62" x14ac:dyDescent="0.2">
      <c r="BJ28684" s="201"/>
    </row>
    <row r="28685" spans="62:62" x14ac:dyDescent="0.2">
      <c r="BJ28685" s="201"/>
    </row>
    <row r="28686" spans="62:62" x14ac:dyDescent="0.2">
      <c r="BJ28686" s="201"/>
    </row>
    <row r="28687" spans="62:62" x14ac:dyDescent="0.2">
      <c r="BJ28687" s="201"/>
    </row>
    <row r="28688" spans="62:62" x14ac:dyDescent="0.2">
      <c r="BJ28688" s="201"/>
    </row>
    <row r="28689" spans="62:62" x14ac:dyDescent="0.2">
      <c r="BJ28689" s="201"/>
    </row>
    <row r="28690" spans="62:62" x14ac:dyDescent="0.2">
      <c r="BJ28690" s="201"/>
    </row>
    <row r="28691" spans="62:62" x14ac:dyDescent="0.2">
      <c r="BJ28691" s="201"/>
    </row>
    <row r="28692" spans="62:62" x14ac:dyDescent="0.2">
      <c r="BJ28692" s="201"/>
    </row>
    <row r="28693" spans="62:62" x14ac:dyDescent="0.2">
      <c r="BJ28693" s="201"/>
    </row>
    <row r="28694" spans="62:62" x14ac:dyDescent="0.2">
      <c r="BJ28694" s="201"/>
    </row>
    <row r="28695" spans="62:62" x14ac:dyDescent="0.2">
      <c r="BJ28695" s="201"/>
    </row>
    <row r="28696" spans="62:62" x14ac:dyDescent="0.2">
      <c r="BJ28696" s="201"/>
    </row>
    <row r="28697" spans="62:62" x14ac:dyDescent="0.2">
      <c r="BJ28697" s="201"/>
    </row>
    <row r="28698" spans="62:62" x14ac:dyDescent="0.2">
      <c r="BJ28698" s="201"/>
    </row>
    <row r="28699" spans="62:62" x14ac:dyDescent="0.2">
      <c r="BJ28699" s="201"/>
    </row>
    <row r="28700" spans="62:62" x14ac:dyDescent="0.2">
      <c r="BJ28700" s="201"/>
    </row>
    <row r="28701" spans="62:62" x14ac:dyDescent="0.2">
      <c r="BJ28701" s="201"/>
    </row>
    <row r="28702" spans="62:62" x14ac:dyDescent="0.2">
      <c r="BJ28702" s="201"/>
    </row>
    <row r="28703" spans="62:62" x14ac:dyDescent="0.2">
      <c r="BJ28703" s="201"/>
    </row>
    <row r="28704" spans="62:62" x14ac:dyDescent="0.2">
      <c r="BJ28704" s="201"/>
    </row>
    <row r="28705" spans="62:62" x14ac:dyDescent="0.2">
      <c r="BJ28705" s="201"/>
    </row>
    <row r="28706" spans="62:62" x14ac:dyDescent="0.2">
      <c r="BJ28706" s="201"/>
    </row>
    <row r="28707" spans="62:62" x14ac:dyDescent="0.2">
      <c r="BJ28707" s="201"/>
    </row>
    <row r="28708" spans="62:62" x14ac:dyDescent="0.2">
      <c r="BJ28708" s="201"/>
    </row>
    <row r="28709" spans="62:62" x14ac:dyDescent="0.2">
      <c r="BJ28709" s="201"/>
    </row>
    <row r="28710" spans="62:62" x14ac:dyDescent="0.2">
      <c r="BJ28710" s="201"/>
    </row>
    <row r="28711" spans="62:62" x14ac:dyDescent="0.2">
      <c r="BJ28711" s="201"/>
    </row>
    <row r="28712" spans="62:62" x14ac:dyDescent="0.2">
      <c r="BJ28712" s="201"/>
    </row>
    <row r="28713" spans="62:62" x14ac:dyDescent="0.2">
      <c r="BJ28713" s="201"/>
    </row>
    <row r="28714" spans="62:62" x14ac:dyDescent="0.2">
      <c r="BJ28714" s="201"/>
    </row>
    <row r="28715" spans="62:62" x14ac:dyDescent="0.2">
      <c r="BJ28715" s="201"/>
    </row>
    <row r="28716" spans="62:62" x14ac:dyDescent="0.2">
      <c r="BJ28716" s="201"/>
    </row>
    <row r="28717" spans="62:62" x14ac:dyDescent="0.2">
      <c r="BJ28717" s="201"/>
    </row>
    <row r="28718" spans="62:62" x14ac:dyDescent="0.2">
      <c r="BJ28718" s="201"/>
    </row>
    <row r="28719" spans="62:62" x14ac:dyDescent="0.2">
      <c r="BJ28719" s="201"/>
    </row>
    <row r="28720" spans="62:62" x14ac:dyDescent="0.2">
      <c r="BJ28720" s="201"/>
    </row>
    <row r="28721" spans="62:62" x14ac:dyDescent="0.2">
      <c r="BJ28721" s="201"/>
    </row>
    <row r="28722" spans="62:62" x14ac:dyDescent="0.2">
      <c r="BJ28722" s="201"/>
    </row>
    <row r="28723" spans="62:62" x14ac:dyDescent="0.2">
      <c r="BJ28723" s="201"/>
    </row>
    <row r="28724" spans="62:62" x14ac:dyDescent="0.2">
      <c r="BJ28724" s="201"/>
    </row>
    <row r="28725" spans="62:62" x14ac:dyDescent="0.2">
      <c r="BJ28725" s="201"/>
    </row>
    <row r="28726" spans="62:62" x14ac:dyDescent="0.2">
      <c r="BJ28726" s="201"/>
    </row>
    <row r="28727" spans="62:62" x14ac:dyDescent="0.2">
      <c r="BJ28727" s="201"/>
    </row>
    <row r="28728" spans="62:62" x14ac:dyDescent="0.2">
      <c r="BJ28728" s="201"/>
    </row>
    <row r="28729" spans="62:62" x14ac:dyDescent="0.2">
      <c r="BJ28729" s="201"/>
    </row>
    <row r="28730" spans="62:62" x14ac:dyDescent="0.2">
      <c r="BJ28730" s="201"/>
    </row>
    <row r="28731" spans="62:62" x14ac:dyDescent="0.2">
      <c r="BJ28731" s="201"/>
    </row>
    <row r="28732" spans="62:62" x14ac:dyDescent="0.2">
      <c r="BJ28732" s="201"/>
    </row>
    <row r="28733" spans="62:62" x14ac:dyDescent="0.2">
      <c r="BJ28733" s="201"/>
    </row>
    <row r="28734" spans="62:62" x14ac:dyDescent="0.2">
      <c r="BJ28734" s="201"/>
    </row>
    <row r="28735" spans="62:62" x14ac:dyDescent="0.2">
      <c r="BJ28735" s="201"/>
    </row>
    <row r="28736" spans="62:62" x14ac:dyDescent="0.2">
      <c r="BJ28736" s="201"/>
    </row>
    <row r="28737" spans="62:62" x14ac:dyDescent="0.2">
      <c r="BJ28737" s="201"/>
    </row>
    <row r="28738" spans="62:62" x14ac:dyDescent="0.2">
      <c r="BJ28738" s="201"/>
    </row>
    <row r="28739" spans="62:62" x14ac:dyDescent="0.2">
      <c r="BJ28739" s="201"/>
    </row>
    <row r="28740" spans="62:62" x14ac:dyDescent="0.2">
      <c r="BJ28740" s="201"/>
    </row>
    <row r="28741" spans="62:62" x14ac:dyDescent="0.2">
      <c r="BJ28741" s="201"/>
    </row>
    <row r="28742" spans="62:62" x14ac:dyDescent="0.2">
      <c r="BJ28742" s="201"/>
    </row>
    <row r="28743" spans="62:62" x14ac:dyDescent="0.2">
      <c r="BJ28743" s="201"/>
    </row>
    <row r="28744" spans="62:62" x14ac:dyDescent="0.2">
      <c r="BJ28744" s="201"/>
    </row>
    <row r="28745" spans="62:62" x14ac:dyDescent="0.2">
      <c r="BJ28745" s="201"/>
    </row>
    <row r="28746" spans="62:62" x14ac:dyDescent="0.2">
      <c r="BJ28746" s="201"/>
    </row>
    <row r="28747" spans="62:62" x14ac:dyDescent="0.2">
      <c r="BJ28747" s="201"/>
    </row>
    <row r="28748" spans="62:62" x14ac:dyDescent="0.2">
      <c r="BJ28748" s="201"/>
    </row>
    <row r="28749" spans="62:62" x14ac:dyDescent="0.2">
      <c r="BJ28749" s="201"/>
    </row>
    <row r="28750" spans="62:62" x14ac:dyDescent="0.2">
      <c r="BJ28750" s="201"/>
    </row>
    <row r="28751" spans="62:62" x14ac:dyDescent="0.2">
      <c r="BJ28751" s="201"/>
    </row>
    <row r="28752" spans="62:62" x14ac:dyDescent="0.2">
      <c r="BJ28752" s="201"/>
    </row>
    <row r="28753" spans="62:62" x14ac:dyDescent="0.2">
      <c r="BJ28753" s="201"/>
    </row>
    <row r="28754" spans="62:62" x14ac:dyDescent="0.2">
      <c r="BJ28754" s="201"/>
    </row>
    <row r="28755" spans="62:62" x14ac:dyDescent="0.2">
      <c r="BJ28755" s="201"/>
    </row>
    <row r="28756" spans="62:62" x14ac:dyDescent="0.2">
      <c r="BJ28756" s="201"/>
    </row>
    <row r="28757" spans="62:62" x14ac:dyDescent="0.2">
      <c r="BJ28757" s="201"/>
    </row>
    <row r="28758" spans="62:62" x14ac:dyDescent="0.2">
      <c r="BJ28758" s="201"/>
    </row>
    <row r="28759" spans="62:62" x14ac:dyDescent="0.2">
      <c r="BJ28759" s="201"/>
    </row>
    <row r="28760" spans="62:62" x14ac:dyDescent="0.2">
      <c r="BJ28760" s="201"/>
    </row>
    <row r="28761" spans="62:62" x14ac:dyDescent="0.2">
      <c r="BJ28761" s="201"/>
    </row>
    <row r="28762" spans="62:62" x14ac:dyDescent="0.2">
      <c r="BJ28762" s="201"/>
    </row>
    <row r="28763" spans="62:62" x14ac:dyDescent="0.2">
      <c r="BJ28763" s="201"/>
    </row>
    <row r="28764" spans="62:62" x14ac:dyDescent="0.2">
      <c r="BJ28764" s="201"/>
    </row>
    <row r="28765" spans="62:62" x14ac:dyDescent="0.2">
      <c r="BJ28765" s="201"/>
    </row>
    <row r="28766" spans="62:62" x14ac:dyDescent="0.2">
      <c r="BJ28766" s="201"/>
    </row>
    <row r="28767" spans="62:62" x14ac:dyDescent="0.2">
      <c r="BJ28767" s="201"/>
    </row>
    <row r="28768" spans="62:62" x14ac:dyDescent="0.2">
      <c r="BJ28768" s="201"/>
    </row>
    <row r="28769" spans="62:62" x14ac:dyDescent="0.2">
      <c r="BJ28769" s="201"/>
    </row>
    <row r="28770" spans="62:62" x14ac:dyDescent="0.2">
      <c r="BJ28770" s="201"/>
    </row>
    <row r="28771" spans="62:62" x14ac:dyDescent="0.2">
      <c r="BJ28771" s="201"/>
    </row>
    <row r="28772" spans="62:62" x14ac:dyDescent="0.2">
      <c r="BJ28772" s="201"/>
    </row>
    <row r="28773" spans="62:62" x14ac:dyDescent="0.2">
      <c r="BJ28773" s="201"/>
    </row>
    <row r="28774" spans="62:62" x14ac:dyDescent="0.2">
      <c r="BJ28774" s="201"/>
    </row>
    <row r="28775" spans="62:62" x14ac:dyDescent="0.2">
      <c r="BJ28775" s="201"/>
    </row>
    <row r="28776" spans="62:62" x14ac:dyDescent="0.2">
      <c r="BJ28776" s="201"/>
    </row>
    <row r="28777" spans="62:62" x14ac:dyDescent="0.2">
      <c r="BJ28777" s="201"/>
    </row>
    <row r="28778" spans="62:62" x14ac:dyDescent="0.2">
      <c r="BJ28778" s="201"/>
    </row>
    <row r="28779" spans="62:62" x14ac:dyDescent="0.2">
      <c r="BJ28779" s="201"/>
    </row>
    <row r="28780" spans="62:62" x14ac:dyDescent="0.2">
      <c r="BJ28780" s="201"/>
    </row>
    <row r="28781" spans="62:62" x14ac:dyDescent="0.2">
      <c r="BJ28781" s="201"/>
    </row>
    <row r="28782" spans="62:62" x14ac:dyDescent="0.2">
      <c r="BJ28782" s="201"/>
    </row>
    <row r="28783" spans="62:62" x14ac:dyDescent="0.2">
      <c r="BJ28783" s="201"/>
    </row>
    <row r="28784" spans="62:62" x14ac:dyDescent="0.2">
      <c r="BJ28784" s="201"/>
    </row>
    <row r="28785" spans="62:62" x14ac:dyDescent="0.2">
      <c r="BJ28785" s="201"/>
    </row>
    <row r="28786" spans="62:62" x14ac:dyDescent="0.2">
      <c r="BJ28786" s="201"/>
    </row>
    <row r="28787" spans="62:62" x14ac:dyDescent="0.2">
      <c r="BJ28787" s="201"/>
    </row>
    <row r="28788" spans="62:62" x14ac:dyDescent="0.2">
      <c r="BJ28788" s="201"/>
    </row>
    <row r="28789" spans="62:62" x14ac:dyDescent="0.2">
      <c r="BJ28789" s="201"/>
    </row>
    <row r="28790" spans="62:62" x14ac:dyDescent="0.2">
      <c r="BJ28790" s="201"/>
    </row>
    <row r="28791" spans="62:62" x14ac:dyDescent="0.2">
      <c r="BJ28791" s="201"/>
    </row>
    <row r="28792" spans="62:62" x14ac:dyDescent="0.2">
      <c r="BJ28792" s="201"/>
    </row>
    <row r="28793" spans="62:62" x14ac:dyDescent="0.2">
      <c r="BJ28793" s="201"/>
    </row>
    <row r="28794" spans="62:62" x14ac:dyDescent="0.2">
      <c r="BJ28794" s="201"/>
    </row>
    <row r="28795" spans="62:62" x14ac:dyDescent="0.2">
      <c r="BJ28795" s="201"/>
    </row>
    <row r="28796" spans="62:62" x14ac:dyDescent="0.2">
      <c r="BJ28796" s="201"/>
    </row>
    <row r="28797" spans="62:62" x14ac:dyDescent="0.2">
      <c r="BJ28797" s="201"/>
    </row>
    <row r="28798" spans="62:62" x14ac:dyDescent="0.2">
      <c r="BJ28798" s="201"/>
    </row>
    <row r="28799" spans="62:62" x14ac:dyDescent="0.2">
      <c r="BJ28799" s="201"/>
    </row>
    <row r="28800" spans="62:62" x14ac:dyDescent="0.2">
      <c r="BJ28800" s="201"/>
    </row>
    <row r="28801" spans="62:62" x14ac:dyDescent="0.2">
      <c r="BJ28801" s="201"/>
    </row>
    <row r="28802" spans="62:62" x14ac:dyDescent="0.2">
      <c r="BJ28802" s="201"/>
    </row>
    <row r="28803" spans="62:62" x14ac:dyDescent="0.2">
      <c r="BJ28803" s="201"/>
    </row>
    <row r="28804" spans="62:62" x14ac:dyDescent="0.2">
      <c r="BJ28804" s="201"/>
    </row>
    <row r="28805" spans="62:62" x14ac:dyDescent="0.2">
      <c r="BJ28805" s="201"/>
    </row>
    <row r="28806" spans="62:62" x14ac:dyDescent="0.2">
      <c r="BJ28806" s="201"/>
    </row>
    <row r="28807" spans="62:62" x14ac:dyDescent="0.2">
      <c r="BJ28807" s="201"/>
    </row>
    <row r="28808" spans="62:62" x14ac:dyDescent="0.2">
      <c r="BJ28808" s="201"/>
    </row>
    <row r="28809" spans="62:62" x14ac:dyDescent="0.2">
      <c r="BJ28809" s="201"/>
    </row>
    <row r="28810" spans="62:62" x14ac:dyDescent="0.2">
      <c r="BJ28810" s="201"/>
    </row>
    <row r="28811" spans="62:62" x14ac:dyDescent="0.2">
      <c r="BJ28811" s="201"/>
    </row>
    <row r="28812" spans="62:62" x14ac:dyDescent="0.2">
      <c r="BJ28812" s="201"/>
    </row>
    <row r="28813" spans="62:62" x14ac:dyDescent="0.2">
      <c r="BJ28813" s="201"/>
    </row>
    <row r="28814" spans="62:62" x14ac:dyDescent="0.2">
      <c r="BJ28814" s="201"/>
    </row>
    <row r="28815" spans="62:62" x14ac:dyDescent="0.2">
      <c r="BJ28815" s="201"/>
    </row>
    <row r="28816" spans="62:62" x14ac:dyDescent="0.2">
      <c r="BJ28816" s="201"/>
    </row>
    <row r="28817" spans="62:62" x14ac:dyDescent="0.2">
      <c r="BJ28817" s="201"/>
    </row>
    <row r="28818" spans="62:62" x14ac:dyDescent="0.2">
      <c r="BJ28818" s="201"/>
    </row>
    <row r="28819" spans="62:62" x14ac:dyDescent="0.2">
      <c r="BJ28819" s="201"/>
    </row>
    <row r="28820" spans="62:62" x14ac:dyDescent="0.2">
      <c r="BJ28820" s="201"/>
    </row>
    <row r="28821" spans="62:62" x14ac:dyDescent="0.2">
      <c r="BJ28821" s="201"/>
    </row>
    <row r="28822" spans="62:62" x14ac:dyDescent="0.2">
      <c r="BJ28822" s="201"/>
    </row>
    <row r="28823" spans="62:62" x14ac:dyDescent="0.2">
      <c r="BJ28823" s="201"/>
    </row>
    <row r="28824" spans="62:62" x14ac:dyDescent="0.2">
      <c r="BJ28824" s="201"/>
    </row>
    <row r="28825" spans="62:62" x14ac:dyDescent="0.2">
      <c r="BJ28825" s="201"/>
    </row>
    <row r="28826" spans="62:62" x14ac:dyDescent="0.2">
      <c r="BJ28826" s="201"/>
    </row>
    <row r="28827" spans="62:62" x14ac:dyDescent="0.2">
      <c r="BJ28827" s="201"/>
    </row>
    <row r="28828" spans="62:62" x14ac:dyDescent="0.2">
      <c r="BJ28828" s="201"/>
    </row>
    <row r="28829" spans="62:62" x14ac:dyDescent="0.2">
      <c r="BJ28829" s="201"/>
    </row>
    <row r="28830" spans="62:62" x14ac:dyDescent="0.2">
      <c r="BJ28830" s="201"/>
    </row>
    <row r="28831" spans="62:62" x14ac:dyDescent="0.2">
      <c r="BJ28831" s="201"/>
    </row>
    <row r="28832" spans="62:62" x14ac:dyDescent="0.2">
      <c r="BJ28832" s="201"/>
    </row>
    <row r="28833" spans="62:62" x14ac:dyDescent="0.2">
      <c r="BJ28833" s="201"/>
    </row>
    <row r="28834" spans="62:62" x14ac:dyDescent="0.2">
      <c r="BJ28834" s="201"/>
    </row>
    <row r="28835" spans="62:62" x14ac:dyDescent="0.2">
      <c r="BJ28835" s="201"/>
    </row>
    <row r="28836" spans="62:62" x14ac:dyDescent="0.2">
      <c r="BJ28836" s="201"/>
    </row>
    <row r="28837" spans="62:62" x14ac:dyDescent="0.2">
      <c r="BJ28837" s="201"/>
    </row>
    <row r="28838" spans="62:62" x14ac:dyDescent="0.2">
      <c r="BJ28838" s="201"/>
    </row>
    <row r="28839" spans="62:62" x14ac:dyDescent="0.2">
      <c r="BJ28839" s="201"/>
    </row>
    <row r="28840" spans="62:62" x14ac:dyDescent="0.2">
      <c r="BJ28840" s="201"/>
    </row>
    <row r="28841" spans="62:62" x14ac:dyDescent="0.2">
      <c r="BJ28841" s="201"/>
    </row>
    <row r="28842" spans="62:62" x14ac:dyDescent="0.2">
      <c r="BJ28842" s="201"/>
    </row>
    <row r="28843" spans="62:62" x14ac:dyDescent="0.2">
      <c r="BJ28843" s="201"/>
    </row>
    <row r="28844" spans="62:62" x14ac:dyDescent="0.2">
      <c r="BJ28844" s="201"/>
    </row>
    <row r="28845" spans="62:62" x14ac:dyDescent="0.2">
      <c r="BJ28845" s="201"/>
    </row>
    <row r="28846" spans="62:62" x14ac:dyDescent="0.2">
      <c r="BJ28846" s="201"/>
    </row>
    <row r="28847" spans="62:62" x14ac:dyDescent="0.2">
      <c r="BJ28847" s="201"/>
    </row>
    <row r="28848" spans="62:62" x14ac:dyDescent="0.2">
      <c r="BJ28848" s="201"/>
    </row>
    <row r="28849" spans="62:62" x14ac:dyDescent="0.2">
      <c r="BJ28849" s="201"/>
    </row>
    <row r="28850" spans="62:62" x14ac:dyDescent="0.2">
      <c r="BJ28850" s="201"/>
    </row>
    <row r="28851" spans="62:62" x14ac:dyDescent="0.2">
      <c r="BJ28851" s="201"/>
    </row>
    <row r="28852" spans="62:62" x14ac:dyDescent="0.2">
      <c r="BJ28852" s="201"/>
    </row>
    <row r="28853" spans="62:62" x14ac:dyDescent="0.2">
      <c r="BJ28853" s="201"/>
    </row>
    <row r="28854" spans="62:62" x14ac:dyDescent="0.2">
      <c r="BJ28854" s="201"/>
    </row>
    <row r="28855" spans="62:62" x14ac:dyDescent="0.2">
      <c r="BJ28855" s="201"/>
    </row>
    <row r="28856" spans="62:62" x14ac:dyDescent="0.2">
      <c r="BJ28856" s="201"/>
    </row>
    <row r="28857" spans="62:62" x14ac:dyDescent="0.2">
      <c r="BJ28857" s="201"/>
    </row>
    <row r="28858" spans="62:62" x14ac:dyDescent="0.2">
      <c r="BJ28858" s="201"/>
    </row>
    <row r="28859" spans="62:62" x14ac:dyDescent="0.2">
      <c r="BJ28859" s="201"/>
    </row>
    <row r="28860" spans="62:62" x14ac:dyDescent="0.2">
      <c r="BJ28860" s="201"/>
    </row>
    <row r="28861" spans="62:62" x14ac:dyDescent="0.2">
      <c r="BJ28861" s="201"/>
    </row>
    <row r="28862" spans="62:62" x14ac:dyDescent="0.2">
      <c r="BJ28862" s="201"/>
    </row>
    <row r="28863" spans="62:62" x14ac:dyDescent="0.2">
      <c r="BJ28863" s="201"/>
    </row>
    <row r="28864" spans="62:62" x14ac:dyDescent="0.2">
      <c r="BJ28864" s="201"/>
    </row>
    <row r="28865" spans="62:62" x14ac:dyDescent="0.2">
      <c r="BJ28865" s="201"/>
    </row>
    <row r="28866" spans="62:62" x14ac:dyDescent="0.2">
      <c r="BJ28866" s="201"/>
    </row>
    <row r="28867" spans="62:62" x14ac:dyDescent="0.2">
      <c r="BJ28867" s="201"/>
    </row>
    <row r="28868" spans="62:62" x14ac:dyDescent="0.2">
      <c r="BJ28868" s="201"/>
    </row>
    <row r="28869" spans="62:62" x14ac:dyDescent="0.2">
      <c r="BJ28869" s="201"/>
    </row>
    <row r="28870" spans="62:62" x14ac:dyDescent="0.2">
      <c r="BJ28870" s="201"/>
    </row>
    <row r="28871" spans="62:62" x14ac:dyDescent="0.2">
      <c r="BJ28871" s="201"/>
    </row>
    <row r="28872" spans="62:62" x14ac:dyDescent="0.2">
      <c r="BJ28872" s="201"/>
    </row>
    <row r="28873" spans="62:62" x14ac:dyDescent="0.2">
      <c r="BJ28873" s="201"/>
    </row>
    <row r="28874" spans="62:62" x14ac:dyDescent="0.2">
      <c r="BJ28874" s="201"/>
    </row>
    <row r="28875" spans="62:62" x14ac:dyDescent="0.2">
      <c r="BJ28875" s="201"/>
    </row>
    <row r="28876" spans="62:62" x14ac:dyDescent="0.2">
      <c r="BJ28876" s="201"/>
    </row>
    <row r="28877" spans="62:62" x14ac:dyDescent="0.2">
      <c r="BJ28877" s="201"/>
    </row>
    <row r="28878" spans="62:62" x14ac:dyDescent="0.2">
      <c r="BJ28878" s="201"/>
    </row>
    <row r="28879" spans="62:62" x14ac:dyDescent="0.2">
      <c r="BJ28879" s="201"/>
    </row>
    <row r="28880" spans="62:62" x14ac:dyDescent="0.2">
      <c r="BJ28880" s="201"/>
    </row>
    <row r="28881" spans="62:62" x14ac:dyDescent="0.2">
      <c r="BJ28881" s="201"/>
    </row>
    <row r="28882" spans="62:62" x14ac:dyDescent="0.2">
      <c r="BJ28882" s="201"/>
    </row>
    <row r="28883" spans="62:62" x14ac:dyDescent="0.2">
      <c r="BJ28883" s="201"/>
    </row>
    <row r="28884" spans="62:62" x14ac:dyDescent="0.2">
      <c r="BJ28884" s="201"/>
    </row>
    <row r="28885" spans="62:62" x14ac:dyDescent="0.2">
      <c r="BJ28885" s="201"/>
    </row>
    <row r="28886" spans="62:62" x14ac:dyDescent="0.2">
      <c r="BJ28886" s="201"/>
    </row>
    <row r="28887" spans="62:62" x14ac:dyDescent="0.2">
      <c r="BJ28887" s="201"/>
    </row>
    <row r="28888" spans="62:62" x14ac:dyDescent="0.2">
      <c r="BJ28888" s="201"/>
    </row>
    <row r="28889" spans="62:62" x14ac:dyDescent="0.2">
      <c r="BJ28889" s="201"/>
    </row>
    <row r="28890" spans="62:62" x14ac:dyDescent="0.2">
      <c r="BJ28890" s="201"/>
    </row>
    <row r="28891" spans="62:62" x14ac:dyDescent="0.2">
      <c r="BJ28891" s="201"/>
    </row>
    <row r="28892" spans="62:62" x14ac:dyDescent="0.2">
      <c r="BJ28892" s="201"/>
    </row>
    <row r="28893" spans="62:62" x14ac:dyDescent="0.2">
      <c r="BJ28893" s="201"/>
    </row>
    <row r="28894" spans="62:62" x14ac:dyDescent="0.2">
      <c r="BJ28894" s="201"/>
    </row>
    <row r="28895" spans="62:62" x14ac:dyDescent="0.2">
      <c r="BJ28895" s="201"/>
    </row>
    <row r="28896" spans="62:62" x14ac:dyDescent="0.2">
      <c r="BJ28896" s="201"/>
    </row>
    <row r="28897" spans="62:62" x14ac:dyDescent="0.2">
      <c r="BJ28897" s="201"/>
    </row>
    <row r="28898" spans="62:62" x14ac:dyDescent="0.2">
      <c r="BJ28898" s="201"/>
    </row>
    <row r="28899" spans="62:62" x14ac:dyDescent="0.2">
      <c r="BJ28899" s="201"/>
    </row>
    <row r="28900" spans="62:62" x14ac:dyDescent="0.2">
      <c r="BJ28900" s="201"/>
    </row>
    <row r="28901" spans="62:62" x14ac:dyDescent="0.2">
      <c r="BJ28901" s="201"/>
    </row>
    <row r="28902" spans="62:62" x14ac:dyDescent="0.2">
      <c r="BJ28902" s="201"/>
    </row>
    <row r="28903" spans="62:62" x14ac:dyDescent="0.2">
      <c r="BJ28903" s="201"/>
    </row>
    <row r="28904" spans="62:62" x14ac:dyDescent="0.2">
      <c r="BJ28904" s="201"/>
    </row>
    <row r="28905" spans="62:62" x14ac:dyDescent="0.2">
      <c r="BJ28905" s="201"/>
    </row>
    <row r="28906" spans="62:62" x14ac:dyDescent="0.2">
      <c r="BJ28906" s="201"/>
    </row>
    <row r="28907" spans="62:62" x14ac:dyDescent="0.2">
      <c r="BJ28907" s="201"/>
    </row>
    <row r="28908" spans="62:62" x14ac:dyDescent="0.2">
      <c r="BJ28908" s="201"/>
    </row>
    <row r="28909" spans="62:62" x14ac:dyDescent="0.2">
      <c r="BJ28909" s="201"/>
    </row>
    <row r="28910" spans="62:62" x14ac:dyDescent="0.2">
      <c r="BJ28910" s="201"/>
    </row>
    <row r="28911" spans="62:62" x14ac:dyDescent="0.2">
      <c r="BJ28911" s="201"/>
    </row>
    <row r="28912" spans="62:62" x14ac:dyDescent="0.2">
      <c r="BJ28912" s="201"/>
    </row>
    <row r="28913" spans="62:62" x14ac:dyDescent="0.2">
      <c r="BJ28913" s="201"/>
    </row>
    <row r="28914" spans="62:62" x14ac:dyDescent="0.2">
      <c r="BJ28914" s="201"/>
    </row>
    <row r="28915" spans="62:62" x14ac:dyDescent="0.2">
      <c r="BJ28915" s="201"/>
    </row>
    <row r="28916" spans="62:62" x14ac:dyDescent="0.2">
      <c r="BJ28916" s="201"/>
    </row>
    <row r="28917" spans="62:62" x14ac:dyDescent="0.2">
      <c r="BJ28917" s="201"/>
    </row>
    <row r="28918" spans="62:62" x14ac:dyDescent="0.2">
      <c r="BJ28918" s="201"/>
    </row>
    <row r="28919" spans="62:62" x14ac:dyDescent="0.2">
      <c r="BJ28919" s="201"/>
    </row>
    <row r="28920" spans="62:62" x14ac:dyDescent="0.2">
      <c r="BJ28920" s="201"/>
    </row>
    <row r="28921" spans="62:62" x14ac:dyDescent="0.2">
      <c r="BJ28921" s="201"/>
    </row>
    <row r="28922" spans="62:62" x14ac:dyDescent="0.2">
      <c r="BJ28922" s="201"/>
    </row>
    <row r="28923" spans="62:62" x14ac:dyDescent="0.2">
      <c r="BJ28923" s="201"/>
    </row>
    <row r="28924" spans="62:62" x14ac:dyDescent="0.2">
      <c r="BJ28924" s="201"/>
    </row>
    <row r="28925" spans="62:62" x14ac:dyDescent="0.2">
      <c r="BJ28925" s="201"/>
    </row>
    <row r="28926" spans="62:62" x14ac:dyDescent="0.2">
      <c r="BJ28926" s="201"/>
    </row>
    <row r="28927" spans="62:62" x14ac:dyDescent="0.2">
      <c r="BJ28927" s="201"/>
    </row>
    <row r="28928" spans="62:62" x14ac:dyDescent="0.2">
      <c r="BJ28928" s="201"/>
    </row>
    <row r="28929" spans="62:62" x14ac:dyDescent="0.2">
      <c r="BJ28929" s="201"/>
    </row>
    <row r="28930" spans="62:62" x14ac:dyDescent="0.2">
      <c r="BJ28930" s="201"/>
    </row>
    <row r="28931" spans="62:62" x14ac:dyDescent="0.2">
      <c r="BJ28931" s="201"/>
    </row>
    <row r="28932" spans="62:62" x14ac:dyDescent="0.2">
      <c r="BJ28932" s="201"/>
    </row>
    <row r="28933" spans="62:62" x14ac:dyDescent="0.2">
      <c r="BJ28933" s="201"/>
    </row>
    <row r="28934" spans="62:62" x14ac:dyDescent="0.2">
      <c r="BJ28934" s="201"/>
    </row>
    <row r="28935" spans="62:62" x14ac:dyDescent="0.2">
      <c r="BJ28935" s="201"/>
    </row>
    <row r="28936" spans="62:62" x14ac:dyDescent="0.2">
      <c r="BJ28936" s="201"/>
    </row>
    <row r="28937" spans="62:62" x14ac:dyDescent="0.2">
      <c r="BJ28937" s="201"/>
    </row>
    <row r="28938" spans="62:62" x14ac:dyDescent="0.2">
      <c r="BJ28938" s="201"/>
    </row>
    <row r="28939" spans="62:62" x14ac:dyDescent="0.2">
      <c r="BJ28939" s="201"/>
    </row>
    <row r="28940" spans="62:62" x14ac:dyDescent="0.2">
      <c r="BJ28940" s="201"/>
    </row>
    <row r="28941" spans="62:62" x14ac:dyDescent="0.2">
      <c r="BJ28941" s="201"/>
    </row>
    <row r="28942" spans="62:62" x14ac:dyDescent="0.2">
      <c r="BJ28942" s="201"/>
    </row>
    <row r="28943" spans="62:62" x14ac:dyDescent="0.2">
      <c r="BJ28943" s="201"/>
    </row>
    <row r="28944" spans="62:62" x14ac:dyDescent="0.2">
      <c r="BJ28944" s="201"/>
    </row>
    <row r="28945" spans="62:62" x14ac:dyDescent="0.2">
      <c r="BJ28945" s="201"/>
    </row>
    <row r="28946" spans="62:62" x14ac:dyDescent="0.2">
      <c r="BJ28946" s="201"/>
    </row>
    <row r="28947" spans="62:62" x14ac:dyDescent="0.2">
      <c r="BJ28947" s="201"/>
    </row>
    <row r="28948" spans="62:62" x14ac:dyDescent="0.2">
      <c r="BJ28948" s="201"/>
    </row>
    <row r="28949" spans="62:62" x14ac:dyDescent="0.2">
      <c r="BJ28949" s="201"/>
    </row>
    <row r="28950" spans="62:62" x14ac:dyDescent="0.2">
      <c r="BJ28950" s="201"/>
    </row>
    <row r="28951" spans="62:62" x14ac:dyDescent="0.2">
      <c r="BJ28951" s="201"/>
    </row>
    <row r="28952" spans="62:62" x14ac:dyDescent="0.2">
      <c r="BJ28952" s="201"/>
    </row>
    <row r="28953" spans="62:62" x14ac:dyDescent="0.2">
      <c r="BJ28953" s="201"/>
    </row>
    <row r="28954" spans="62:62" x14ac:dyDescent="0.2">
      <c r="BJ28954" s="201"/>
    </row>
    <row r="28955" spans="62:62" x14ac:dyDescent="0.2">
      <c r="BJ28955" s="201"/>
    </row>
    <row r="28956" spans="62:62" x14ac:dyDescent="0.2">
      <c r="BJ28956" s="201"/>
    </row>
    <row r="28957" spans="62:62" x14ac:dyDescent="0.2">
      <c r="BJ28957" s="201"/>
    </row>
    <row r="28958" spans="62:62" x14ac:dyDescent="0.2">
      <c r="BJ28958" s="201"/>
    </row>
    <row r="28959" spans="62:62" x14ac:dyDescent="0.2">
      <c r="BJ28959" s="201"/>
    </row>
    <row r="28960" spans="62:62" x14ac:dyDescent="0.2">
      <c r="BJ28960" s="201"/>
    </row>
    <row r="28961" spans="62:62" x14ac:dyDescent="0.2">
      <c r="BJ28961" s="201"/>
    </row>
    <row r="28962" spans="62:62" x14ac:dyDescent="0.2">
      <c r="BJ28962" s="201"/>
    </row>
    <row r="28963" spans="62:62" x14ac:dyDescent="0.2">
      <c r="BJ28963" s="201"/>
    </row>
    <row r="28964" spans="62:62" x14ac:dyDescent="0.2">
      <c r="BJ28964" s="201"/>
    </row>
    <row r="28965" spans="62:62" x14ac:dyDescent="0.2">
      <c r="BJ28965" s="201"/>
    </row>
    <row r="28966" spans="62:62" x14ac:dyDescent="0.2">
      <c r="BJ28966" s="201"/>
    </row>
    <row r="28967" spans="62:62" x14ac:dyDescent="0.2">
      <c r="BJ28967" s="201"/>
    </row>
    <row r="28968" spans="62:62" x14ac:dyDescent="0.2">
      <c r="BJ28968" s="201"/>
    </row>
    <row r="28969" spans="62:62" x14ac:dyDescent="0.2">
      <c r="BJ28969" s="201"/>
    </row>
    <row r="28970" spans="62:62" x14ac:dyDescent="0.2">
      <c r="BJ28970" s="201"/>
    </row>
    <row r="28971" spans="62:62" x14ac:dyDescent="0.2">
      <c r="BJ28971" s="201"/>
    </row>
    <row r="28972" spans="62:62" x14ac:dyDescent="0.2">
      <c r="BJ28972" s="201"/>
    </row>
    <row r="28973" spans="62:62" x14ac:dyDescent="0.2">
      <c r="BJ28973" s="201"/>
    </row>
    <row r="28974" spans="62:62" x14ac:dyDescent="0.2">
      <c r="BJ28974" s="201"/>
    </row>
    <row r="28975" spans="62:62" x14ac:dyDescent="0.2">
      <c r="BJ28975" s="201"/>
    </row>
    <row r="28976" spans="62:62" x14ac:dyDescent="0.2">
      <c r="BJ28976" s="201"/>
    </row>
    <row r="28977" spans="62:62" x14ac:dyDescent="0.2">
      <c r="BJ28977" s="201"/>
    </row>
    <row r="28978" spans="62:62" x14ac:dyDescent="0.2">
      <c r="BJ28978" s="201"/>
    </row>
    <row r="28979" spans="62:62" x14ac:dyDescent="0.2">
      <c r="BJ28979" s="201"/>
    </row>
    <row r="28980" spans="62:62" x14ac:dyDescent="0.2">
      <c r="BJ28980" s="201"/>
    </row>
    <row r="28981" spans="62:62" x14ac:dyDescent="0.2">
      <c r="BJ28981" s="201"/>
    </row>
    <row r="28982" spans="62:62" x14ac:dyDescent="0.2">
      <c r="BJ28982" s="201"/>
    </row>
    <row r="28983" spans="62:62" x14ac:dyDescent="0.2">
      <c r="BJ28983" s="201"/>
    </row>
    <row r="28984" spans="62:62" x14ac:dyDescent="0.2">
      <c r="BJ28984" s="201"/>
    </row>
    <row r="28985" spans="62:62" x14ac:dyDescent="0.2">
      <c r="BJ28985" s="201"/>
    </row>
    <row r="28986" spans="62:62" x14ac:dyDescent="0.2">
      <c r="BJ28986" s="201"/>
    </row>
    <row r="28987" spans="62:62" x14ac:dyDescent="0.2">
      <c r="BJ28987" s="201"/>
    </row>
    <row r="28988" spans="62:62" x14ac:dyDescent="0.2">
      <c r="BJ28988" s="201"/>
    </row>
    <row r="28989" spans="62:62" x14ac:dyDescent="0.2">
      <c r="BJ28989" s="201"/>
    </row>
    <row r="28990" spans="62:62" x14ac:dyDescent="0.2">
      <c r="BJ28990" s="201"/>
    </row>
    <row r="28991" spans="62:62" x14ac:dyDescent="0.2">
      <c r="BJ28991" s="201"/>
    </row>
    <row r="28992" spans="62:62" x14ac:dyDescent="0.2">
      <c r="BJ28992" s="201"/>
    </row>
    <row r="28993" spans="62:62" x14ac:dyDescent="0.2">
      <c r="BJ28993" s="201"/>
    </row>
    <row r="28994" spans="62:62" x14ac:dyDescent="0.2">
      <c r="BJ28994" s="201"/>
    </row>
    <row r="28995" spans="62:62" x14ac:dyDescent="0.2">
      <c r="BJ28995" s="201"/>
    </row>
    <row r="28996" spans="62:62" x14ac:dyDescent="0.2">
      <c r="BJ28996" s="201"/>
    </row>
    <row r="28997" spans="62:62" x14ac:dyDescent="0.2">
      <c r="BJ28997" s="201"/>
    </row>
    <row r="28998" spans="62:62" x14ac:dyDescent="0.2">
      <c r="BJ28998" s="201"/>
    </row>
    <row r="28999" spans="62:62" x14ac:dyDescent="0.2">
      <c r="BJ28999" s="201"/>
    </row>
    <row r="29000" spans="62:62" x14ac:dyDescent="0.2">
      <c r="BJ29000" s="201"/>
    </row>
    <row r="29001" spans="62:62" x14ac:dyDescent="0.2">
      <c r="BJ29001" s="201"/>
    </row>
    <row r="29002" spans="62:62" x14ac:dyDescent="0.2">
      <c r="BJ29002" s="201"/>
    </row>
    <row r="29003" spans="62:62" x14ac:dyDescent="0.2">
      <c r="BJ29003" s="201"/>
    </row>
    <row r="29004" spans="62:62" x14ac:dyDescent="0.2">
      <c r="BJ29004" s="201"/>
    </row>
    <row r="29005" spans="62:62" x14ac:dyDescent="0.2">
      <c r="BJ29005" s="201"/>
    </row>
    <row r="29006" spans="62:62" x14ac:dyDescent="0.2">
      <c r="BJ29006" s="201"/>
    </row>
    <row r="29007" spans="62:62" x14ac:dyDescent="0.2">
      <c r="BJ29007" s="201"/>
    </row>
    <row r="29008" spans="62:62" x14ac:dyDescent="0.2">
      <c r="BJ29008" s="201"/>
    </row>
    <row r="29009" spans="62:62" x14ac:dyDescent="0.2">
      <c r="BJ29009" s="201"/>
    </row>
    <row r="29010" spans="62:62" x14ac:dyDescent="0.2">
      <c r="BJ29010" s="201"/>
    </row>
    <row r="29011" spans="62:62" x14ac:dyDescent="0.2">
      <c r="BJ29011" s="201"/>
    </row>
    <row r="29012" spans="62:62" x14ac:dyDescent="0.2">
      <c r="BJ29012" s="201"/>
    </row>
    <row r="29013" spans="62:62" x14ac:dyDescent="0.2">
      <c r="BJ29013" s="201"/>
    </row>
    <row r="29014" spans="62:62" x14ac:dyDescent="0.2">
      <c r="BJ29014" s="201"/>
    </row>
    <row r="29015" spans="62:62" x14ac:dyDescent="0.2">
      <c r="BJ29015" s="201"/>
    </row>
    <row r="29016" spans="62:62" x14ac:dyDescent="0.2">
      <c r="BJ29016" s="201"/>
    </row>
    <row r="29017" spans="62:62" x14ac:dyDescent="0.2">
      <c r="BJ29017" s="201"/>
    </row>
    <row r="29018" spans="62:62" x14ac:dyDescent="0.2">
      <c r="BJ29018" s="201"/>
    </row>
    <row r="29019" spans="62:62" x14ac:dyDescent="0.2">
      <c r="BJ29019" s="201"/>
    </row>
    <row r="29020" spans="62:62" x14ac:dyDescent="0.2">
      <c r="BJ29020" s="201"/>
    </row>
    <row r="29021" spans="62:62" x14ac:dyDescent="0.2">
      <c r="BJ29021" s="201"/>
    </row>
    <row r="29022" spans="62:62" x14ac:dyDescent="0.2">
      <c r="BJ29022" s="201"/>
    </row>
    <row r="29023" spans="62:62" x14ac:dyDescent="0.2">
      <c r="BJ29023" s="201"/>
    </row>
    <row r="29024" spans="62:62" x14ac:dyDescent="0.2">
      <c r="BJ29024" s="201"/>
    </row>
    <row r="29025" spans="62:62" x14ac:dyDescent="0.2">
      <c r="BJ29025" s="201"/>
    </row>
    <row r="29026" spans="62:62" x14ac:dyDescent="0.2">
      <c r="BJ29026" s="201"/>
    </row>
    <row r="29027" spans="62:62" x14ac:dyDescent="0.2">
      <c r="BJ29027" s="201"/>
    </row>
    <row r="29028" spans="62:62" x14ac:dyDescent="0.2">
      <c r="BJ29028" s="201"/>
    </row>
    <row r="29029" spans="62:62" x14ac:dyDescent="0.2">
      <c r="BJ29029" s="201"/>
    </row>
    <row r="29030" spans="62:62" x14ac:dyDescent="0.2">
      <c r="BJ29030" s="201"/>
    </row>
    <row r="29031" spans="62:62" x14ac:dyDescent="0.2">
      <c r="BJ29031" s="201"/>
    </row>
    <row r="29032" spans="62:62" x14ac:dyDescent="0.2">
      <c r="BJ29032" s="201"/>
    </row>
    <row r="29033" spans="62:62" x14ac:dyDescent="0.2">
      <c r="BJ29033" s="201"/>
    </row>
    <row r="29034" spans="62:62" x14ac:dyDescent="0.2">
      <c r="BJ29034" s="201"/>
    </row>
    <row r="29035" spans="62:62" x14ac:dyDescent="0.2">
      <c r="BJ29035" s="201"/>
    </row>
    <row r="29036" spans="62:62" x14ac:dyDescent="0.2">
      <c r="BJ29036" s="201"/>
    </row>
    <row r="29037" spans="62:62" x14ac:dyDescent="0.2">
      <c r="BJ29037" s="201"/>
    </row>
    <row r="29038" spans="62:62" x14ac:dyDescent="0.2">
      <c r="BJ29038" s="201"/>
    </row>
    <row r="29039" spans="62:62" x14ac:dyDescent="0.2">
      <c r="BJ29039" s="201"/>
    </row>
    <row r="29040" spans="62:62" x14ac:dyDescent="0.2">
      <c r="BJ29040" s="201"/>
    </row>
    <row r="29041" spans="62:62" x14ac:dyDescent="0.2">
      <c r="BJ29041" s="201"/>
    </row>
    <row r="29042" spans="62:62" x14ac:dyDescent="0.2">
      <c r="BJ29042" s="201"/>
    </row>
    <row r="29043" spans="62:62" x14ac:dyDescent="0.2">
      <c r="BJ29043" s="201"/>
    </row>
    <row r="29044" spans="62:62" x14ac:dyDescent="0.2">
      <c r="BJ29044" s="201"/>
    </row>
    <row r="29045" spans="62:62" x14ac:dyDescent="0.2">
      <c r="BJ29045" s="201"/>
    </row>
    <row r="29046" spans="62:62" x14ac:dyDescent="0.2">
      <c r="BJ29046" s="201"/>
    </row>
    <row r="29047" spans="62:62" x14ac:dyDescent="0.2">
      <c r="BJ29047" s="201"/>
    </row>
    <row r="29048" spans="62:62" x14ac:dyDescent="0.2">
      <c r="BJ29048" s="201"/>
    </row>
    <row r="29049" spans="62:62" x14ac:dyDescent="0.2">
      <c r="BJ29049" s="201"/>
    </row>
    <row r="29050" spans="62:62" x14ac:dyDescent="0.2">
      <c r="BJ29050" s="201"/>
    </row>
    <row r="29051" spans="62:62" x14ac:dyDescent="0.2">
      <c r="BJ29051" s="201"/>
    </row>
    <row r="29052" spans="62:62" x14ac:dyDescent="0.2">
      <c r="BJ29052" s="201"/>
    </row>
    <row r="29053" spans="62:62" x14ac:dyDescent="0.2">
      <c r="BJ29053" s="201"/>
    </row>
    <row r="29054" spans="62:62" x14ac:dyDescent="0.2">
      <c r="BJ29054" s="201"/>
    </row>
    <row r="29055" spans="62:62" x14ac:dyDescent="0.2">
      <c r="BJ29055" s="201"/>
    </row>
    <row r="29056" spans="62:62" x14ac:dyDescent="0.2">
      <c r="BJ29056" s="201"/>
    </row>
    <row r="29057" spans="62:62" x14ac:dyDescent="0.2">
      <c r="BJ29057" s="201"/>
    </row>
    <row r="29058" spans="62:62" x14ac:dyDescent="0.2">
      <c r="BJ29058" s="201"/>
    </row>
    <row r="29059" spans="62:62" x14ac:dyDescent="0.2">
      <c r="BJ29059" s="201"/>
    </row>
    <row r="29060" spans="62:62" x14ac:dyDescent="0.2">
      <c r="BJ29060" s="201"/>
    </row>
    <row r="29061" spans="62:62" x14ac:dyDescent="0.2">
      <c r="BJ29061" s="201"/>
    </row>
    <row r="29062" spans="62:62" x14ac:dyDescent="0.2">
      <c r="BJ29062" s="201"/>
    </row>
    <row r="29063" spans="62:62" x14ac:dyDescent="0.2">
      <c r="BJ29063" s="201"/>
    </row>
    <row r="29064" spans="62:62" x14ac:dyDescent="0.2">
      <c r="BJ29064" s="201"/>
    </row>
    <row r="29065" spans="62:62" x14ac:dyDescent="0.2">
      <c r="BJ29065" s="201"/>
    </row>
    <row r="29066" spans="62:62" x14ac:dyDescent="0.2">
      <c r="BJ29066" s="201"/>
    </row>
    <row r="29067" spans="62:62" x14ac:dyDescent="0.2">
      <c r="BJ29067" s="201"/>
    </row>
    <row r="29068" spans="62:62" x14ac:dyDescent="0.2">
      <c r="BJ29068" s="201"/>
    </row>
    <row r="29069" spans="62:62" x14ac:dyDescent="0.2">
      <c r="BJ29069" s="201"/>
    </row>
    <row r="29070" spans="62:62" x14ac:dyDescent="0.2">
      <c r="BJ29070" s="201"/>
    </row>
    <row r="29071" spans="62:62" x14ac:dyDescent="0.2">
      <c r="BJ29071" s="201"/>
    </row>
    <row r="29072" spans="62:62" x14ac:dyDescent="0.2">
      <c r="BJ29072" s="201"/>
    </row>
    <row r="29073" spans="62:62" x14ac:dyDescent="0.2">
      <c r="BJ29073" s="201"/>
    </row>
    <row r="29074" spans="62:62" x14ac:dyDescent="0.2">
      <c r="BJ29074" s="201"/>
    </row>
    <row r="29075" spans="62:62" x14ac:dyDescent="0.2">
      <c r="BJ29075" s="201"/>
    </row>
    <row r="29076" spans="62:62" x14ac:dyDescent="0.2">
      <c r="BJ29076" s="201"/>
    </row>
    <row r="29077" spans="62:62" x14ac:dyDescent="0.2">
      <c r="BJ29077" s="201"/>
    </row>
    <row r="29078" spans="62:62" x14ac:dyDescent="0.2">
      <c r="BJ29078" s="201"/>
    </row>
    <row r="29079" spans="62:62" x14ac:dyDescent="0.2">
      <c r="BJ29079" s="201"/>
    </row>
    <row r="29080" spans="62:62" x14ac:dyDescent="0.2">
      <c r="BJ29080" s="201"/>
    </row>
    <row r="29081" spans="62:62" x14ac:dyDescent="0.2">
      <c r="BJ29081" s="201"/>
    </row>
    <row r="29082" spans="62:62" x14ac:dyDescent="0.2">
      <c r="BJ29082" s="201"/>
    </row>
    <row r="29083" spans="62:62" x14ac:dyDescent="0.2">
      <c r="BJ29083" s="201"/>
    </row>
    <row r="29084" spans="62:62" x14ac:dyDescent="0.2">
      <c r="BJ29084" s="201"/>
    </row>
    <row r="29085" spans="62:62" x14ac:dyDescent="0.2">
      <c r="BJ29085" s="201"/>
    </row>
    <row r="29086" spans="62:62" x14ac:dyDescent="0.2">
      <c r="BJ29086" s="201"/>
    </row>
    <row r="29087" spans="62:62" x14ac:dyDescent="0.2">
      <c r="BJ29087" s="201"/>
    </row>
    <row r="29088" spans="62:62" x14ac:dyDescent="0.2">
      <c r="BJ29088" s="201"/>
    </row>
    <row r="29089" spans="62:62" x14ac:dyDescent="0.2">
      <c r="BJ29089" s="201"/>
    </row>
    <row r="29090" spans="62:62" x14ac:dyDescent="0.2">
      <c r="BJ29090" s="201"/>
    </row>
    <row r="29091" spans="62:62" x14ac:dyDescent="0.2">
      <c r="BJ29091" s="201"/>
    </row>
    <row r="29092" spans="62:62" x14ac:dyDescent="0.2">
      <c r="BJ29092" s="201"/>
    </row>
    <row r="29093" spans="62:62" x14ac:dyDescent="0.2">
      <c r="BJ29093" s="201"/>
    </row>
    <row r="29094" spans="62:62" x14ac:dyDescent="0.2">
      <c r="BJ29094" s="201"/>
    </row>
    <row r="29095" spans="62:62" x14ac:dyDescent="0.2">
      <c r="BJ29095" s="201"/>
    </row>
    <row r="29096" spans="62:62" x14ac:dyDescent="0.2">
      <c r="BJ29096" s="201"/>
    </row>
    <row r="29097" spans="62:62" x14ac:dyDescent="0.2">
      <c r="BJ29097" s="201"/>
    </row>
    <row r="29098" spans="62:62" x14ac:dyDescent="0.2">
      <c r="BJ29098" s="201"/>
    </row>
    <row r="29099" spans="62:62" x14ac:dyDescent="0.2">
      <c r="BJ29099" s="201"/>
    </row>
    <row r="29100" spans="62:62" x14ac:dyDescent="0.2">
      <c r="BJ29100" s="201"/>
    </row>
    <row r="29101" spans="62:62" x14ac:dyDescent="0.2">
      <c r="BJ29101" s="201"/>
    </row>
    <row r="29102" spans="62:62" x14ac:dyDescent="0.2">
      <c r="BJ29102" s="201"/>
    </row>
    <row r="29103" spans="62:62" x14ac:dyDescent="0.2">
      <c r="BJ29103" s="201"/>
    </row>
    <row r="29104" spans="62:62" x14ac:dyDescent="0.2">
      <c r="BJ29104" s="201"/>
    </row>
    <row r="29105" spans="62:62" x14ac:dyDescent="0.2">
      <c r="BJ29105" s="201"/>
    </row>
    <row r="29106" spans="62:62" x14ac:dyDescent="0.2">
      <c r="BJ29106" s="201"/>
    </row>
    <row r="29107" spans="62:62" x14ac:dyDescent="0.2">
      <c r="BJ29107" s="201"/>
    </row>
    <row r="29108" spans="62:62" x14ac:dyDescent="0.2">
      <c r="BJ29108" s="201"/>
    </row>
    <row r="29109" spans="62:62" x14ac:dyDescent="0.2">
      <c r="BJ29109" s="201"/>
    </row>
    <row r="29110" spans="62:62" x14ac:dyDescent="0.2">
      <c r="BJ29110" s="201"/>
    </row>
    <row r="29111" spans="62:62" x14ac:dyDescent="0.2">
      <c r="BJ29111" s="201"/>
    </row>
    <row r="29112" spans="62:62" x14ac:dyDescent="0.2">
      <c r="BJ29112" s="201"/>
    </row>
    <row r="29113" spans="62:62" x14ac:dyDescent="0.2">
      <c r="BJ29113" s="201"/>
    </row>
    <row r="29114" spans="62:62" x14ac:dyDescent="0.2">
      <c r="BJ29114" s="201"/>
    </row>
    <row r="29115" spans="62:62" x14ac:dyDescent="0.2">
      <c r="BJ29115" s="201"/>
    </row>
    <row r="29116" spans="62:62" x14ac:dyDescent="0.2">
      <c r="BJ29116" s="201"/>
    </row>
    <row r="29117" spans="62:62" x14ac:dyDescent="0.2">
      <c r="BJ29117" s="201"/>
    </row>
    <row r="29118" spans="62:62" x14ac:dyDescent="0.2">
      <c r="BJ29118" s="201"/>
    </row>
    <row r="29119" spans="62:62" x14ac:dyDescent="0.2">
      <c r="BJ29119" s="201"/>
    </row>
    <row r="29120" spans="62:62" x14ac:dyDescent="0.2">
      <c r="BJ29120" s="201"/>
    </row>
    <row r="29121" spans="62:62" x14ac:dyDescent="0.2">
      <c r="BJ29121" s="201"/>
    </row>
    <row r="29122" spans="62:62" x14ac:dyDescent="0.2">
      <c r="BJ29122" s="201"/>
    </row>
    <row r="29123" spans="62:62" x14ac:dyDescent="0.2">
      <c r="BJ29123" s="201"/>
    </row>
    <row r="29124" spans="62:62" x14ac:dyDescent="0.2">
      <c r="BJ29124" s="201"/>
    </row>
    <row r="29125" spans="62:62" x14ac:dyDescent="0.2">
      <c r="BJ29125" s="201"/>
    </row>
    <row r="29126" spans="62:62" x14ac:dyDescent="0.2">
      <c r="BJ29126" s="201"/>
    </row>
    <row r="29127" spans="62:62" x14ac:dyDescent="0.2">
      <c r="BJ29127" s="201"/>
    </row>
    <row r="29128" spans="62:62" x14ac:dyDescent="0.2">
      <c r="BJ29128" s="201"/>
    </row>
    <row r="29129" spans="62:62" x14ac:dyDescent="0.2">
      <c r="BJ29129" s="201"/>
    </row>
    <row r="29130" spans="62:62" x14ac:dyDescent="0.2">
      <c r="BJ29130" s="201"/>
    </row>
    <row r="29131" spans="62:62" x14ac:dyDescent="0.2">
      <c r="BJ29131" s="201"/>
    </row>
    <row r="29132" spans="62:62" x14ac:dyDescent="0.2">
      <c r="BJ29132" s="201"/>
    </row>
    <row r="29133" spans="62:62" x14ac:dyDescent="0.2">
      <c r="BJ29133" s="201"/>
    </row>
    <row r="29134" spans="62:62" x14ac:dyDescent="0.2">
      <c r="BJ29134" s="201"/>
    </row>
    <row r="29135" spans="62:62" x14ac:dyDescent="0.2">
      <c r="BJ29135" s="201"/>
    </row>
    <row r="29136" spans="62:62" x14ac:dyDescent="0.2">
      <c r="BJ29136" s="201"/>
    </row>
    <row r="29137" spans="62:62" x14ac:dyDescent="0.2">
      <c r="BJ29137" s="201"/>
    </row>
    <row r="29138" spans="62:62" x14ac:dyDescent="0.2">
      <c r="BJ29138" s="201"/>
    </row>
    <row r="29139" spans="62:62" x14ac:dyDescent="0.2">
      <c r="BJ29139" s="201"/>
    </row>
    <row r="29140" spans="62:62" x14ac:dyDescent="0.2">
      <c r="BJ29140" s="201"/>
    </row>
    <row r="29141" spans="62:62" x14ac:dyDescent="0.2">
      <c r="BJ29141" s="201"/>
    </row>
    <row r="29142" spans="62:62" x14ac:dyDescent="0.2">
      <c r="BJ29142" s="201"/>
    </row>
    <row r="29143" spans="62:62" x14ac:dyDescent="0.2">
      <c r="BJ29143" s="201"/>
    </row>
    <row r="29144" spans="62:62" x14ac:dyDescent="0.2">
      <c r="BJ29144" s="201"/>
    </row>
    <row r="29145" spans="62:62" x14ac:dyDescent="0.2">
      <c r="BJ29145" s="201"/>
    </row>
    <row r="29146" spans="62:62" x14ac:dyDescent="0.2">
      <c r="BJ29146" s="201"/>
    </row>
    <row r="29147" spans="62:62" x14ac:dyDescent="0.2">
      <c r="BJ29147" s="201"/>
    </row>
    <row r="29148" spans="62:62" x14ac:dyDescent="0.2">
      <c r="BJ29148" s="201"/>
    </row>
    <row r="29149" spans="62:62" x14ac:dyDescent="0.2">
      <c r="BJ29149" s="201"/>
    </row>
    <row r="29150" spans="62:62" x14ac:dyDescent="0.2">
      <c r="BJ29150" s="201"/>
    </row>
    <row r="29151" spans="62:62" x14ac:dyDescent="0.2">
      <c r="BJ29151" s="201"/>
    </row>
    <row r="29152" spans="62:62" x14ac:dyDescent="0.2">
      <c r="BJ29152" s="201"/>
    </row>
    <row r="29153" spans="62:62" x14ac:dyDescent="0.2">
      <c r="BJ29153" s="201"/>
    </row>
    <row r="29154" spans="62:62" x14ac:dyDescent="0.2">
      <c r="BJ29154" s="201"/>
    </row>
    <row r="29155" spans="62:62" x14ac:dyDescent="0.2">
      <c r="BJ29155" s="201"/>
    </row>
    <row r="29156" spans="62:62" x14ac:dyDescent="0.2">
      <c r="BJ29156" s="201"/>
    </row>
    <row r="29157" spans="62:62" x14ac:dyDescent="0.2">
      <c r="BJ29157" s="201"/>
    </row>
    <row r="29158" spans="62:62" x14ac:dyDescent="0.2">
      <c r="BJ29158" s="201"/>
    </row>
    <row r="29159" spans="62:62" x14ac:dyDescent="0.2">
      <c r="BJ29159" s="201"/>
    </row>
    <row r="29160" spans="62:62" x14ac:dyDescent="0.2">
      <c r="BJ29160" s="201"/>
    </row>
    <row r="29161" spans="62:62" x14ac:dyDescent="0.2">
      <c r="BJ29161" s="201"/>
    </row>
    <row r="29162" spans="62:62" x14ac:dyDescent="0.2">
      <c r="BJ29162" s="201"/>
    </row>
    <row r="29163" spans="62:62" x14ac:dyDescent="0.2">
      <c r="BJ29163" s="201"/>
    </row>
    <row r="29164" spans="62:62" x14ac:dyDescent="0.2">
      <c r="BJ29164" s="201"/>
    </row>
    <row r="29165" spans="62:62" x14ac:dyDescent="0.2">
      <c r="BJ29165" s="201"/>
    </row>
    <row r="29166" spans="62:62" x14ac:dyDescent="0.2">
      <c r="BJ29166" s="201"/>
    </row>
    <row r="29167" spans="62:62" x14ac:dyDescent="0.2">
      <c r="BJ29167" s="201"/>
    </row>
    <row r="29168" spans="62:62" x14ac:dyDescent="0.2">
      <c r="BJ29168" s="201"/>
    </row>
    <row r="29169" spans="62:62" x14ac:dyDescent="0.2">
      <c r="BJ29169" s="201"/>
    </row>
    <row r="29170" spans="62:62" x14ac:dyDescent="0.2">
      <c r="BJ29170" s="201"/>
    </row>
    <row r="29171" spans="62:62" x14ac:dyDescent="0.2">
      <c r="BJ29171" s="201"/>
    </row>
    <row r="29172" spans="62:62" x14ac:dyDescent="0.2">
      <c r="BJ29172" s="201"/>
    </row>
    <row r="29173" spans="62:62" x14ac:dyDescent="0.2">
      <c r="BJ29173" s="201"/>
    </row>
    <row r="29174" spans="62:62" x14ac:dyDescent="0.2">
      <c r="BJ29174" s="201"/>
    </row>
    <row r="29175" spans="62:62" x14ac:dyDescent="0.2">
      <c r="BJ29175" s="201"/>
    </row>
    <row r="29176" spans="62:62" x14ac:dyDescent="0.2">
      <c r="BJ29176" s="201"/>
    </row>
    <row r="29177" spans="62:62" x14ac:dyDescent="0.2">
      <c r="BJ29177" s="201"/>
    </row>
    <row r="29178" spans="62:62" x14ac:dyDescent="0.2">
      <c r="BJ29178" s="201"/>
    </row>
    <row r="29179" spans="62:62" x14ac:dyDescent="0.2">
      <c r="BJ29179" s="201"/>
    </row>
    <row r="29180" spans="62:62" x14ac:dyDescent="0.2">
      <c r="BJ29180" s="201"/>
    </row>
    <row r="29181" spans="62:62" x14ac:dyDescent="0.2">
      <c r="BJ29181" s="201"/>
    </row>
    <row r="29182" spans="62:62" x14ac:dyDescent="0.2">
      <c r="BJ29182" s="201"/>
    </row>
    <row r="29183" spans="62:62" x14ac:dyDescent="0.2">
      <c r="BJ29183" s="201"/>
    </row>
    <row r="29184" spans="62:62" x14ac:dyDescent="0.2">
      <c r="BJ29184" s="201"/>
    </row>
    <row r="29185" spans="62:62" x14ac:dyDescent="0.2">
      <c r="BJ29185" s="201"/>
    </row>
    <row r="29186" spans="62:62" x14ac:dyDescent="0.2">
      <c r="BJ29186" s="201"/>
    </row>
    <row r="29187" spans="62:62" x14ac:dyDescent="0.2">
      <c r="BJ29187" s="201"/>
    </row>
    <row r="29188" spans="62:62" x14ac:dyDescent="0.2">
      <c r="BJ29188" s="201"/>
    </row>
    <row r="29189" spans="62:62" x14ac:dyDescent="0.2">
      <c r="BJ29189" s="201"/>
    </row>
    <row r="29190" spans="62:62" x14ac:dyDescent="0.2">
      <c r="BJ29190" s="201"/>
    </row>
    <row r="29191" spans="62:62" x14ac:dyDescent="0.2">
      <c r="BJ29191" s="201"/>
    </row>
    <row r="29192" spans="62:62" x14ac:dyDescent="0.2">
      <c r="BJ29192" s="201"/>
    </row>
    <row r="29193" spans="62:62" x14ac:dyDescent="0.2">
      <c r="BJ29193" s="201"/>
    </row>
    <row r="29194" spans="62:62" x14ac:dyDescent="0.2">
      <c r="BJ29194" s="201"/>
    </row>
    <row r="29195" spans="62:62" x14ac:dyDescent="0.2">
      <c r="BJ29195" s="201"/>
    </row>
    <row r="29196" spans="62:62" x14ac:dyDescent="0.2">
      <c r="BJ29196" s="201"/>
    </row>
    <row r="29197" spans="62:62" x14ac:dyDescent="0.2">
      <c r="BJ29197" s="201"/>
    </row>
    <row r="29198" spans="62:62" x14ac:dyDescent="0.2">
      <c r="BJ29198" s="201"/>
    </row>
    <row r="29199" spans="62:62" x14ac:dyDescent="0.2">
      <c r="BJ29199" s="201"/>
    </row>
    <row r="29200" spans="62:62" x14ac:dyDescent="0.2">
      <c r="BJ29200" s="201"/>
    </row>
    <row r="29201" spans="62:62" x14ac:dyDescent="0.2">
      <c r="BJ29201" s="201"/>
    </row>
    <row r="29202" spans="62:62" x14ac:dyDescent="0.2">
      <c r="BJ29202" s="201"/>
    </row>
    <row r="29203" spans="62:62" x14ac:dyDescent="0.2">
      <c r="BJ29203" s="201"/>
    </row>
    <row r="29204" spans="62:62" x14ac:dyDescent="0.2">
      <c r="BJ29204" s="201"/>
    </row>
    <row r="29205" spans="62:62" x14ac:dyDescent="0.2">
      <c r="BJ29205" s="201"/>
    </row>
    <row r="29206" spans="62:62" x14ac:dyDescent="0.2">
      <c r="BJ29206" s="201"/>
    </row>
    <row r="29207" spans="62:62" x14ac:dyDescent="0.2">
      <c r="BJ29207" s="201"/>
    </row>
    <row r="29208" spans="62:62" x14ac:dyDescent="0.2">
      <c r="BJ29208" s="201"/>
    </row>
    <row r="29209" spans="62:62" x14ac:dyDescent="0.2">
      <c r="BJ29209" s="201"/>
    </row>
    <row r="29210" spans="62:62" x14ac:dyDescent="0.2">
      <c r="BJ29210" s="201"/>
    </row>
    <row r="29211" spans="62:62" x14ac:dyDescent="0.2">
      <c r="BJ29211" s="201"/>
    </row>
    <row r="29212" spans="62:62" x14ac:dyDescent="0.2">
      <c r="BJ29212" s="201"/>
    </row>
    <row r="29213" spans="62:62" x14ac:dyDescent="0.2">
      <c r="BJ29213" s="201"/>
    </row>
    <row r="29214" spans="62:62" x14ac:dyDescent="0.2">
      <c r="BJ29214" s="201"/>
    </row>
    <row r="29215" spans="62:62" x14ac:dyDescent="0.2">
      <c r="BJ29215" s="201"/>
    </row>
    <row r="29216" spans="62:62" x14ac:dyDescent="0.2">
      <c r="BJ29216" s="201"/>
    </row>
    <row r="29217" spans="62:62" x14ac:dyDescent="0.2">
      <c r="BJ29217" s="201"/>
    </row>
    <row r="29218" spans="62:62" x14ac:dyDescent="0.2">
      <c r="BJ29218" s="201"/>
    </row>
    <row r="29219" spans="62:62" x14ac:dyDescent="0.2">
      <c r="BJ29219" s="201"/>
    </row>
    <row r="29220" spans="62:62" x14ac:dyDescent="0.2">
      <c r="BJ29220" s="201"/>
    </row>
    <row r="29221" spans="62:62" x14ac:dyDescent="0.2">
      <c r="BJ29221" s="201"/>
    </row>
    <row r="29222" spans="62:62" x14ac:dyDescent="0.2">
      <c r="BJ29222" s="201"/>
    </row>
    <row r="29223" spans="62:62" x14ac:dyDescent="0.2">
      <c r="BJ29223" s="201"/>
    </row>
    <row r="29224" spans="62:62" x14ac:dyDescent="0.2">
      <c r="BJ29224" s="201"/>
    </row>
    <row r="29225" spans="62:62" x14ac:dyDescent="0.2">
      <c r="BJ29225" s="201"/>
    </row>
    <row r="29226" spans="62:62" x14ac:dyDescent="0.2">
      <c r="BJ29226" s="201"/>
    </row>
    <row r="29227" spans="62:62" x14ac:dyDescent="0.2">
      <c r="BJ29227" s="201"/>
    </row>
    <row r="29228" spans="62:62" x14ac:dyDescent="0.2">
      <c r="BJ29228" s="201"/>
    </row>
    <row r="29229" spans="62:62" x14ac:dyDescent="0.2">
      <c r="BJ29229" s="201"/>
    </row>
    <row r="29230" spans="62:62" x14ac:dyDescent="0.2">
      <c r="BJ29230" s="201"/>
    </row>
    <row r="29231" spans="62:62" x14ac:dyDescent="0.2">
      <c r="BJ29231" s="201"/>
    </row>
    <row r="29232" spans="62:62" x14ac:dyDescent="0.2">
      <c r="BJ29232" s="201"/>
    </row>
    <row r="29233" spans="62:62" x14ac:dyDescent="0.2">
      <c r="BJ29233" s="201"/>
    </row>
    <row r="29234" spans="62:62" x14ac:dyDescent="0.2">
      <c r="BJ29234" s="201"/>
    </row>
    <row r="29235" spans="62:62" x14ac:dyDescent="0.2">
      <c r="BJ29235" s="201"/>
    </row>
    <row r="29236" spans="62:62" x14ac:dyDescent="0.2">
      <c r="BJ29236" s="201"/>
    </row>
    <row r="29237" spans="62:62" x14ac:dyDescent="0.2">
      <c r="BJ29237" s="201"/>
    </row>
    <row r="29238" spans="62:62" x14ac:dyDescent="0.2">
      <c r="BJ29238" s="201"/>
    </row>
    <row r="29239" spans="62:62" x14ac:dyDescent="0.2">
      <c r="BJ29239" s="201"/>
    </row>
    <row r="29240" spans="62:62" x14ac:dyDescent="0.2">
      <c r="BJ29240" s="201"/>
    </row>
    <row r="29241" spans="62:62" x14ac:dyDescent="0.2">
      <c r="BJ29241" s="201"/>
    </row>
    <row r="29242" spans="62:62" x14ac:dyDescent="0.2">
      <c r="BJ29242" s="201"/>
    </row>
    <row r="29243" spans="62:62" x14ac:dyDescent="0.2">
      <c r="BJ29243" s="201"/>
    </row>
    <row r="29244" spans="62:62" x14ac:dyDescent="0.2">
      <c r="BJ29244" s="201"/>
    </row>
    <row r="29245" spans="62:62" x14ac:dyDescent="0.2">
      <c r="BJ29245" s="201"/>
    </row>
    <row r="29246" spans="62:62" x14ac:dyDescent="0.2">
      <c r="BJ29246" s="201"/>
    </row>
    <row r="29247" spans="62:62" x14ac:dyDescent="0.2">
      <c r="BJ29247" s="201"/>
    </row>
    <row r="29248" spans="62:62" x14ac:dyDescent="0.2">
      <c r="BJ29248" s="201"/>
    </row>
    <row r="29249" spans="62:62" x14ac:dyDescent="0.2">
      <c r="BJ29249" s="201"/>
    </row>
    <row r="29250" spans="62:62" x14ac:dyDescent="0.2">
      <c r="BJ29250" s="201"/>
    </row>
    <row r="29251" spans="62:62" x14ac:dyDescent="0.2">
      <c r="BJ29251" s="201"/>
    </row>
    <row r="29252" spans="62:62" x14ac:dyDescent="0.2">
      <c r="BJ29252" s="201"/>
    </row>
    <row r="29253" spans="62:62" x14ac:dyDescent="0.2">
      <c r="BJ29253" s="201"/>
    </row>
    <row r="29254" spans="62:62" x14ac:dyDescent="0.2">
      <c r="BJ29254" s="201"/>
    </row>
    <row r="29255" spans="62:62" x14ac:dyDescent="0.2">
      <c r="BJ29255" s="201"/>
    </row>
    <row r="29256" spans="62:62" x14ac:dyDescent="0.2">
      <c r="BJ29256" s="201"/>
    </row>
    <row r="29257" spans="62:62" x14ac:dyDescent="0.2">
      <c r="BJ29257" s="201"/>
    </row>
    <row r="29258" spans="62:62" x14ac:dyDescent="0.2">
      <c r="BJ29258" s="201"/>
    </row>
    <row r="29259" spans="62:62" x14ac:dyDescent="0.2">
      <c r="BJ29259" s="201"/>
    </row>
    <row r="29260" spans="62:62" x14ac:dyDescent="0.2">
      <c r="BJ29260" s="201"/>
    </row>
    <row r="29261" spans="62:62" x14ac:dyDescent="0.2">
      <c r="BJ29261" s="201"/>
    </row>
    <row r="29262" spans="62:62" x14ac:dyDescent="0.2">
      <c r="BJ29262" s="201"/>
    </row>
    <row r="29263" spans="62:62" x14ac:dyDescent="0.2">
      <c r="BJ29263" s="201"/>
    </row>
    <row r="29264" spans="62:62" x14ac:dyDescent="0.2">
      <c r="BJ29264" s="201"/>
    </row>
    <row r="29265" spans="62:62" x14ac:dyDescent="0.2">
      <c r="BJ29265" s="201"/>
    </row>
    <row r="29266" spans="62:62" x14ac:dyDescent="0.2">
      <c r="BJ29266" s="201"/>
    </row>
    <row r="29267" spans="62:62" x14ac:dyDescent="0.2">
      <c r="BJ29267" s="201"/>
    </row>
    <row r="29268" spans="62:62" x14ac:dyDescent="0.2">
      <c r="BJ29268" s="201"/>
    </row>
    <row r="29269" spans="62:62" x14ac:dyDescent="0.2">
      <c r="BJ29269" s="201"/>
    </row>
    <row r="29270" spans="62:62" x14ac:dyDescent="0.2">
      <c r="BJ29270" s="201"/>
    </row>
    <row r="29271" spans="62:62" x14ac:dyDescent="0.2">
      <c r="BJ29271" s="201"/>
    </row>
    <row r="29272" spans="62:62" x14ac:dyDescent="0.2">
      <c r="BJ29272" s="201"/>
    </row>
    <row r="29273" spans="62:62" x14ac:dyDescent="0.2">
      <c r="BJ29273" s="201"/>
    </row>
    <row r="29274" spans="62:62" x14ac:dyDescent="0.2">
      <c r="BJ29274" s="201"/>
    </row>
    <row r="29275" spans="62:62" x14ac:dyDescent="0.2">
      <c r="BJ29275" s="201"/>
    </row>
    <row r="29276" spans="62:62" x14ac:dyDescent="0.2">
      <c r="BJ29276" s="201"/>
    </row>
    <row r="29277" spans="62:62" x14ac:dyDescent="0.2">
      <c r="BJ29277" s="201"/>
    </row>
    <row r="29278" spans="62:62" x14ac:dyDescent="0.2">
      <c r="BJ29278" s="201"/>
    </row>
    <row r="29279" spans="62:62" x14ac:dyDescent="0.2">
      <c r="BJ29279" s="201"/>
    </row>
    <row r="29280" spans="62:62" x14ac:dyDescent="0.2">
      <c r="BJ29280" s="201"/>
    </row>
    <row r="29281" spans="62:62" x14ac:dyDescent="0.2">
      <c r="BJ29281" s="201"/>
    </row>
    <row r="29282" spans="62:62" x14ac:dyDescent="0.2">
      <c r="BJ29282" s="201"/>
    </row>
    <row r="29283" spans="62:62" x14ac:dyDescent="0.2">
      <c r="BJ29283" s="201"/>
    </row>
    <row r="29284" spans="62:62" x14ac:dyDescent="0.2">
      <c r="BJ29284" s="201"/>
    </row>
    <row r="29285" spans="62:62" x14ac:dyDescent="0.2">
      <c r="BJ29285" s="201"/>
    </row>
    <row r="29286" spans="62:62" x14ac:dyDescent="0.2">
      <c r="BJ29286" s="201"/>
    </row>
    <row r="29287" spans="62:62" x14ac:dyDescent="0.2">
      <c r="BJ29287" s="201"/>
    </row>
    <row r="29288" spans="62:62" x14ac:dyDescent="0.2">
      <c r="BJ29288" s="201"/>
    </row>
    <row r="29289" spans="62:62" x14ac:dyDescent="0.2">
      <c r="BJ29289" s="201"/>
    </row>
    <row r="29290" spans="62:62" x14ac:dyDescent="0.2">
      <c r="BJ29290" s="201"/>
    </row>
    <row r="29291" spans="62:62" x14ac:dyDescent="0.2">
      <c r="BJ29291" s="201"/>
    </row>
    <row r="29292" spans="62:62" x14ac:dyDescent="0.2">
      <c r="BJ29292" s="201"/>
    </row>
    <row r="29293" spans="62:62" x14ac:dyDescent="0.2">
      <c r="BJ29293" s="201"/>
    </row>
    <row r="29294" spans="62:62" x14ac:dyDescent="0.2">
      <c r="BJ29294" s="201"/>
    </row>
    <row r="29295" spans="62:62" x14ac:dyDescent="0.2">
      <c r="BJ29295" s="201"/>
    </row>
    <row r="29296" spans="62:62" x14ac:dyDescent="0.2">
      <c r="BJ29296" s="201"/>
    </row>
    <row r="29297" spans="62:62" x14ac:dyDescent="0.2">
      <c r="BJ29297" s="201"/>
    </row>
    <row r="29298" spans="62:62" x14ac:dyDescent="0.2">
      <c r="BJ29298" s="201"/>
    </row>
    <row r="29299" spans="62:62" x14ac:dyDescent="0.2">
      <c r="BJ29299" s="201"/>
    </row>
    <row r="29300" spans="62:62" x14ac:dyDescent="0.2">
      <c r="BJ29300" s="201"/>
    </row>
    <row r="29301" spans="62:62" x14ac:dyDescent="0.2">
      <c r="BJ29301" s="201"/>
    </row>
    <row r="29302" spans="62:62" x14ac:dyDescent="0.2">
      <c r="BJ29302" s="201"/>
    </row>
    <row r="29303" spans="62:62" x14ac:dyDescent="0.2">
      <c r="BJ29303" s="201"/>
    </row>
    <row r="29304" spans="62:62" x14ac:dyDescent="0.2">
      <c r="BJ29304" s="201"/>
    </row>
    <row r="29305" spans="62:62" x14ac:dyDescent="0.2">
      <c r="BJ29305" s="201"/>
    </row>
    <row r="29306" spans="62:62" x14ac:dyDescent="0.2">
      <c r="BJ29306" s="201"/>
    </row>
    <row r="29307" spans="62:62" x14ac:dyDescent="0.2">
      <c r="BJ29307" s="201"/>
    </row>
    <row r="29308" spans="62:62" x14ac:dyDescent="0.2">
      <c r="BJ29308" s="201"/>
    </row>
    <row r="29309" spans="62:62" x14ac:dyDescent="0.2">
      <c r="BJ29309" s="201"/>
    </row>
    <row r="29310" spans="62:62" x14ac:dyDescent="0.2">
      <c r="BJ29310" s="201"/>
    </row>
    <row r="29311" spans="62:62" x14ac:dyDescent="0.2">
      <c r="BJ29311" s="201"/>
    </row>
    <row r="29312" spans="62:62" x14ac:dyDescent="0.2">
      <c r="BJ29312" s="201"/>
    </row>
    <row r="29313" spans="62:62" x14ac:dyDescent="0.2">
      <c r="BJ29313" s="201"/>
    </row>
    <row r="29314" spans="62:62" x14ac:dyDescent="0.2">
      <c r="BJ29314" s="201"/>
    </row>
    <row r="29315" spans="62:62" x14ac:dyDescent="0.2">
      <c r="BJ29315" s="201"/>
    </row>
    <row r="29316" spans="62:62" x14ac:dyDescent="0.2">
      <c r="BJ29316" s="201"/>
    </row>
    <row r="29317" spans="62:62" x14ac:dyDescent="0.2">
      <c r="BJ29317" s="201"/>
    </row>
    <row r="29318" spans="62:62" x14ac:dyDescent="0.2">
      <c r="BJ29318" s="201"/>
    </row>
    <row r="29319" spans="62:62" x14ac:dyDescent="0.2">
      <c r="BJ29319" s="201"/>
    </row>
    <row r="29320" spans="62:62" x14ac:dyDescent="0.2">
      <c r="BJ29320" s="201"/>
    </row>
    <row r="29321" spans="62:62" x14ac:dyDescent="0.2">
      <c r="BJ29321" s="201"/>
    </row>
    <row r="29322" spans="62:62" x14ac:dyDescent="0.2">
      <c r="BJ29322" s="201"/>
    </row>
    <row r="29323" spans="62:62" x14ac:dyDescent="0.2">
      <c r="BJ29323" s="201"/>
    </row>
    <row r="29324" spans="62:62" x14ac:dyDescent="0.2">
      <c r="BJ29324" s="201"/>
    </row>
    <row r="29325" spans="62:62" x14ac:dyDescent="0.2">
      <c r="BJ29325" s="201"/>
    </row>
    <row r="29326" spans="62:62" x14ac:dyDescent="0.2">
      <c r="BJ29326" s="201"/>
    </row>
    <row r="29327" spans="62:62" x14ac:dyDescent="0.2">
      <c r="BJ29327" s="201"/>
    </row>
    <row r="29328" spans="62:62" x14ac:dyDescent="0.2">
      <c r="BJ29328" s="201"/>
    </row>
    <row r="29329" spans="62:62" x14ac:dyDescent="0.2">
      <c r="BJ29329" s="201"/>
    </row>
    <row r="29330" spans="62:62" x14ac:dyDescent="0.2">
      <c r="BJ29330" s="201"/>
    </row>
    <row r="29331" spans="62:62" x14ac:dyDescent="0.2">
      <c r="BJ29331" s="201"/>
    </row>
    <row r="29332" spans="62:62" x14ac:dyDescent="0.2">
      <c r="BJ29332" s="201"/>
    </row>
    <row r="29333" spans="62:62" x14ac:dyDescent="0.2">
      <c r="BJ29333" s="201"/>
    </row>
    <row r="29334" spans="62:62" x14ac:dyDescent="0.2">
      <c r="BJ29334" s="201"/>
    </row>
    <row r="29335" spans="62:62" x14ac:dyDescent="0.2">
      <c r="BJ29335" s="201"/>
    </row>
    <row r="29336" spans="62:62" x14ac:dyDescent="0.2">
      <c r="BJ29336" s="201"/>
    </row>
    <row r="29337" spans="62:62" x14ac:dyDescent="0.2">
      <c r="BJ29337" s="201"/>
    </row>
    <row r="29338" spans="62:62" x14ac:dyDescent="0.2">
      <c r="BJ29338" s="201"/>
    </row>
    <row r="29339" spans="62:62" x14ac:dyDescent="0.2">
      <c r="BJ29339" s="201"/>
    </row>
    <row r="29340" spans="62:62" x14ac:dyDescent="0.2">
      <c r="BJ29340" s="201"/>
    </row>
    <row r="29341" spans="62:62" x14ac:dyDescent="0.2">
      <c r="BJ29341" s="201"/>
    </row>
    <row r="29342" spans="62:62" x14ac:dyDescent="0.2">
      <c r="BJ29342" s="201"/>
    </row>
    <row r="29343" spans="62:62" x14ac:dyDescent="0.2">
      <c r="BJ29343" s="201"/>
    </row>
    <row r="29344" spans="62:62" x14ac:dyDescent="0.2">
      <c r="BJ29344" s="201"/>
    </row>
    <row r="29345" spans="62:62" x14ac:dyDescent="0.2">
      <c r="BJ29345" s="201"/>
    </row>
    <row r="29346" spans="62:62" x14ac:dyDescent="0.2">
      <c r="BJ29346" s="201"/>
    </row>
    <row r="29347" spans="62:62" x14ac:dyDescent="0.2">
      <c r="BJ29347" s="201"/>
    </row>
    <row r="29348" spans="62:62" x14ac:dyDescent="0.2">
      <c r="BJ29348" s="201"/>
    </row>
    <row r="29349" spans="62:62" x14ac:dyDescent="0.2">
      <c r="BJ29349" s="201"/>
    </row>
    <row r="29350" spans="62:62" x14ac:dyDescent="0.2">
      <c r="BJ29350" s="201"/>
    </row>
    <row r="29351" spans="62:62" x14ac:dyDescent="0.2">
      <c r="BJ29351" s="201"/>
    </row>
    <row r="29352" spans="62:62" x14ac:dyDescent="0.2">
      <c r="BJ29352" s="201"/>
    </row>
    <row r="29353" spans="62:62" x14ac:dyDescent="0.2">
      <c r="BJ29353" s="201"/>
    </row>
    <row r="29354" spans="62:62" x14ac:dyDescent="0.2">
      <c r="BJ29354" s="201"/>
    </row>
    <row r="29355" spans="62:62" x14ac:dyDescent="0.2">
      <c r="BJ29355" s="201"/>
    </row>
    <row r="29356" spans="62:62" x14ac:dyDescent="0.2">
      <c r="BJ29356" s="201"/>
    </row>
    <row r="29357" spans="62:62" x14ac:dyDescent="0.2">
      <c r="BJ29357" s="201"/>
    </row>
    <row r="29358" spans="62:62" x14ac:dyDescent="0.2">
      <c r="BJ29358" s="201"/>
    </row>
    <row r="29359" spans="62:62" x14ac:dyDescent="0.2">
      <c r="BJ29359" s="201"/>
    </row>
    <row r="29360" spans="62:62" x14ac:dyDescent="0.2">
      <c r="BJ29360" s="201"/>
    </row>
    <row r="29361" spans="62:62" x14ac:dyDescent="0.2">
      <c r="BJ29361" s="201"/>
    </row>
    <row r="29362" spans="62:62" x14ac:dyDescent="0.2">
      <c r="BJ29362" s="201"/>
    </row>
    <row r="29363" spans="62:62" x14ac:dyDescent="0.2">
      <c r="BJ29363" s="201"/>
    </row>
    <row r="29364" spans="62:62" x14ac:dyDescent="0.2">
      <c r="BJ29364" s="201"/>
    </row>
    <row r="29365" spans="62:62" x14ac:dyDescent="0.2">
      <c r="BJ29365" s="201"/>
    </row>
    <row r="29366" spans="62:62" x14ac:dyDescent="0.2">
      <c r="BJ29366" s="201"/>
    </row>
    <row r="29367" spans="62:62" x14ac:dyDescent="0.2">
      <c r="BJ29367" s="201"/>
    </row>
    <row r="29368" spans="62:62" x14ac:dyDescent="0.2">
      <c r="BJ29368" s="201"/>
    </row>
    <row r="29369" spans="62:62" x14ac:dyDescent="0.2">
      <c r="BJ29369" s="201"/>
    </row>
    <row r="29370" spans="62:62" x14ac:dyDescent="0.2">
      <c r="BJ29370" s="201"/>
    </row>
    <row r="29371" spans="62:62" x14ac:dyDescent="0.2">
      <c r="BJ29371" s="201"/>
    </row>
    <row r="29372" spans="62:62" x14ac:dyDescent="0.2">
      <c r="BJ29372" s="201"/>
    </row>
    <row r="29373" spans="62:62" x14ac:dyDescent="0.2">
      <c r="BJ29373" s="201"/>
    </row>
    <row r="29374" spans="62:62" x14ac:dyDescent="0.2">
      <c r="BJ29374" s="201"/>
    </row>
    <row r="29375" spans="62:62" x14ac:dyDescent="0.2">
      <c r="BJ29375" s="201"/>
    </row>
    <row r="29376" spans="62:62" x14ac:dyDescent="0.2">
      <c r="BJ29376" s="201"/>
    </row>
    <row r="29377" spans="62:62" x14ac:dyDescent="0.2">
      <c r="BJ29377" s="201"/>
    </row>
    <row r="29378" spans="62:62" x14ac:dyDescent="0.2">
      <c r="BJ29378" s="201"/>
    </row>
    <row r="29379" spans="62:62" x14ac:dyDescent="0.2">
      <c r="BJ29379" s="201"/>
    </row>
    <row r="29380" spans="62:62" x14ac:dyDescent="0.2">
      <c r="BJ29380" s="201"/>
    </row>
    <row r="29381" spans="62:62" x14ac:dyDescent="0.2">
      <c r="BJ29381" s="201"/>
    </row>
    <row r="29382" spans="62:62" x14ac:dyDescent="0.2">
      <c r="BJ29382" s="201"/>
    </row>
    <row r="29383" spans="62:62" x14ac:dyDescent="0.2">
      <c r="BJ29383" s="201"/>
    </row>
    <row r="29384" spans="62:62" x14ac:dyDescent="0.2">
      <c r="BJ29384" s="201"/>
    </row>
    <row r="29385" spans="62:62" x14ac:dyDescent="0.2">
      <c r="BJ29385" s="201"/>
    </row>
    <row r="29386" spans="62:62" x14ac:dyDescent="0.2">
      <c r="BJ29386" s="201"/>
    </row>
    <row r="29387" spans="62:62" x14ac:dyDescent="0.2">
      <c r="BJ29387" s="201"/>
    </row>
    <row r="29388" spans="62:62" x14ac:dyDescent="0.2">
      <c r="BJ29388" s="201"/>
    </row>
    <row r="29389" spans="62:62" x14ac:dyDescent="0.2">
      <c r="BJ29389" s="201"/>
    </row>
    <row r="29390" spans="62:62" x14ac:dyDescent="0.2">
      <c r="BJ29390" s="201"/>
    </row>
    <row r="29391" spans="62:62" x14ac:dyDescent="0.2">
      <c r="BJ29391" s="201"/>
    </row>
    <row r="29392" spans="62:62" x14ac:dyDescent="0.2">
      <c r="BJ29392" s="201"/>
    </row>
    <row r="29393" spans="62:62" x14ac:dyDescent="0.2">
      <c r="BJ29393" s="201"/>
    </row>
    <row r="29394" spans="62:62" x14ac:dyDescent="0.2">
      <c r="BJ29394" s="201"/>
    </row>
    <row r="29395" spans="62:62" x14ac:dyDescent="0.2">
      <c r="BJ29395" s="201"/>
    </row>
    <row r="29396" spans="62:62" x14ac:dyDescent="0.2">
      <c r="BJ29396" s="201"/>
    </row>
    <row r="29397" spans="62:62" x14ac:dyDescent="0.2">
      <c r="BJ29397" s="201"/>
    </row>
    <row r="29398" spans="62:62" x14ac:dyDescent="0.2">
      <c r="BJ29398" s="201"/>
    </row>
    <row r="29399" spans="62:62" x14ac:dyDescent="0.2">
      <c r="BJ29399" s="201"/>
    </row>
    <row r="29400" spans="62:62" x14ac:dyDescent="0.2">
      <c r="BJ29400" s="201"/>
    </row>
    <row r="29401" spans="62:62" x14ac:dyDescent="0.2">
      <c r="BJ29401" s="201"/>
    </row>
    <row r="29402" spans="62:62" x14ac:dyDescent="0.2">
      <c r="BJ29402" s="201"/>
    </row>
    <row r="29403" spans="62:62" x14ac:dyDescent="0.2">
      <c r="BJ29403" s="201"/>
    </row>
    <row r="29404" spans="62:62" x14ac:dyDescent="0.2">
      <c r="BJ29404" s="201"/>
    </row>
    <row r="29405" spans="62:62" x14ac:dyDescent="0.2">
      <c r="BJ29405" s="201"/>
    </row>
    <row r="29406" spans="62:62" x14ac:dyDescent="0.2">
      <c r="BJ29406" s="201"/>
    </row>
    <row r="29407" spans="62:62" x14ac:dyDescent="0.2">
      <c r="BJ29407" s="201"/>
    </row>
    <row r="29408" spans="62:62" x14ac:dyDescent="0.2">
      <c r="BJ29408" s="201"/>
    </row>
    <row r="29409" spans="62:62" x14ac:dyDescent="0.2">
      <c r="BJ29409" s="201"/>
    </row>
    <row r="29410" spans="62:62" x14ac:dyDescent="0.2">
      <c r="BJ29410" s="201"/>
    </row>
    <row r="29411" spans="62:62" x14ac:dyDescent="0.2">
      <c r="BJ29411" s="201"/>
    </row>
    <row r="29412" spans="62:62" x14ac:dyDescent="0.2">
      <c r="BJ29412" s="201"/>
    </row>
    <row r="29413" spans="62:62" x14ac:dyDescent="0.2">
      <c r="BJ29413" s="201"/>
    </row>
    <row r="29414" spans="62:62" x14ac:dyDescent="0.2">
      <c r="BJ29414" s="201"/>
    </row>
    <row r="29415" spans="62:62" x14ac:dyDescent="0.2">
      <c r="BJ29415" s="201"/>
    </row>
    <row r="29416" spans="62:62" x14ac:dyDescent="0.2">
      <c r="BJ29416" s="201"/>
    </row>
    <row r="29417" spans="62:62" x14ac:dyDescent="0.2">
      <c r="BJ29417" s="201"/>
    </row>
    <row r="29418" spans="62:62" x14ac:dyDescent="0.2">
      <c r="BJ29418" s="201"/>
    </row>
    <row r="29419" spans="62:62" x14ac:dyDescent="0.2">
      <c r="BJ29419" s="201"/>
    </row>
    <row r="29420" spans="62:62" x14ac:dyDescent="0.2">
      <c r="BJ29420" s="201"/>
    </row>
    <row r="29421" spans="62:62" x14ac:dyDescent="0.2">
      <c r="BJ29421" s="201"/>
    </row>
    <row r="29422" spans="62:62" x14ac:dyDescent="0.2">
      <c r="BJ29422" s="201"/>
    </row>
    <row r="29423" spans="62:62" x14ac:dyDescent="0.2">
      <c r="BJ29423" s="201"/>
    </row>
    <row r="29424" spans="62:62" x14ac:dyDescent="0.2">
      <c r="BJ29424" s="201"/>
    </row>
    <row r="29425" spans="62:62" x14ac:dyDescent="0.2">
      <c r="BJ29425" s="201"/>
    </row>
    <row r="29426" spans="62:62" x14ac:dyDescent="0.2">
      <c r="BJ29426" s="201"/>
    </row>
    <row r="29427" spans="62:62" x14ac:dyDescent="0.2">
      <c r="BJ29427" s="201"/>
    </row>
    <row r="29428" spans="62:62" x14ac:dyDescent="0.2">
      <c r="BJ29428" s="201"/>
    </row>
    <row r="29429" spans="62:62" x14ac:dyDescent="0.2">
      <c r="BJ29429" s="201"/>
    </row>
    <row r="29430" spans="62:62" x14ac:dyDescent="0.2">
      <c r="BJ29430" s="201"/>
    </row>
    <row r="29431" spans="62:62" x14ac:dyDescent="0.2">
      <c r="BJ29431" s="201"/>
    </row>
    <row r="29432" spans="62:62" x14ac:dyDescent="0.2">
      <c r="BJ29432" s="201"/>
    </row>
    <row r="29433" spans="62:62" x14ac:dyDescent="0.2">
      <c r="BJ29433" s="201"/>
    </row>
    <row r="29434" spans="62:62" x14ac:dyDescent="0.2">
      <c r="BJ29434" s="201"/>
    </row>
    <row r="29435" spans="62:62" x14ac:dyDescent="0.2">
      <c r="BJ29435" s="201"/>
    </row>
    <row r="29436" spans="62:62" x14ac:dyDescent="0.2">
      <c r="BJ29436" s="201"/>
    </row>
    <row r="29437" spans="62:62" x14ac:dyDescent="0.2">
      <c r="BJ29437" s="201"/>
    </row>
    <row r="29438" spans="62:62" x14ac:dyDescent="0.2">
      <c r="BJ29438" s="201"/>
    </row>
    <row r="29439" spans="62:62" x14ac:dyDescent="0.2">
      <c r="BJ29439" s="201"/>
    </row>
    <row r="29440" spans="62:62" x14ac:dyDescent="0.2">
      <c r="BJ29440" s="201"/>
    </row>
    <row r="29441" spans="62:62" x14ac:dyDescent="0.2">
      <c r="BJ29441" s="201"/>
    </row>
    <row r="29442" spans="62:62" x14ac:dyDescent="0.2">
      <c r="BJ29442" s="201"/>
    </row>
    <row r="29443" spans="62:62" x14ac:dyDescent="0.2">
      <c r="BJ29443" s="201"/>
    </row>
    <row r="29444" spans="62:62" x14ac:dyDescent="0.2">
      <c r="BJ29444" s="201"/>
    </row>
    <row r="29445" spans="62:62" x14ac:dyDescent="0.2">
      <c r="BJ29445" s="201"/>
    </row>
    <row r="29446" spans="62:62" x14ac:dyDescent="0.2">
      <c r="BJ29446" s="201"/>
    </row>
    <row r="29447" spans="62:62" x14ac:dyDescent="0.2">
      <c r="BJ29447" s="201"/>
    </row>
    <row r="29448" spans="62:62" x14ac:dyDescent="0.2">
      <c r="BJ29448" s="201"/>
    </row>
    <row r="29449" spans="62:62" x14ac:dyDescent="0.2">
      <c r="BJ29449" s="201"/>
    </row>
    <row r="29450" spans="62:62" x14ac:dyDescent="0.2">
      <c r="BJ29450" s="201"/>
    </row>
    <row r="29451" spans="62:62" x14ac:dyDescent="0.2">
      <c r="BJ29451" s="201"/>
    </row>
    <row r="29452" spans="62:62" x14ac:dyDescent="0.2">
      <c r="BJ29452" s="201"/>
    </row>
    <row r="29453" spans="62:62" x14ac:dyDescent="0.2">
      <c r="BJ29453" s="201"/>
    </row>
    <row r="29454" spans="62:62" x14ac:dyDescent="0.2">
      <c r="BJ29454" s="201"/>
    </row>
    <row r="29455" spans="62:62" x14ac:dyDescent="0.2">
      <c r="BJ29455" s="201"/>
    </row>
    <row r="29456" spans="62:62" x14ac:dyDescent="0.2">
      <c r="BJ29456" s="201"/>
    </row>
    <row r="29457" spans="62:62" x14ac:dyDescent="0.2">
      <c r="BJ29457" s="201"/>
    </row>
    <row r="29458" spans="62:62" x14ac:dyDescent="0.2">
      <c r="BJ29458" s="201"/>
    </row>
    <row r="29459" spans="62:62" x14ac:dyDescent="0.2">
      <c r="BJ29459" s="201"/>
    </row>
    <row r="29460" spans="62:62" x14ac:dyDescent="0.2">
      <c r="BJ29460" s="201"/>
    </row>
    <row r="29461" spans="62:62" x14ac:dyDescent="0.2">
      <c r="BJ29461" s="201"/>
    </row>
    <row r="29462" spans="62:62" x14ac:dyDescent="0.2">
      <c r="BJ29462" s="201"/>
    </row>
    <row r="29463" spans="62:62" x14ac:dyDescent="0.2">
      <c r="BJ29463" s="201"/>
    </row>
    <row r="29464" spans="62:62" x14ac:dyDescent="0.2">
      <c r="BJ29464" s="201"/>
    </row>
    <row r="29465" spans="62:62" x14ac:dyDescent="0.2">
      <c r="BJ29465" s="201"/>
    </row>
    <row r="29466" spans="62:62" x14ac:dyDescent="0.2">
      <c r="BJ29466" s="201"/>
    </row>
    <row r="29467" spans="62:62" x14ac:dyDescent="0.2">
      <c r="BJ29467" s="201"/>
    </row>
    <row r="29468" spans="62:62" x14ac:dyDescent="0.2">
      <c r="BJ29468" s="201"/>
    </row>
    <row r="29469" spans="62:62" x14ac:dyDescent="0.2">
      <c r="BJ29469" s="201"/>
    </row>
    <row r="29470" spans="62:62" x14ac:dyDescent="0.2">
      <c r="BJ29470" s="201"/>
    </row>
    <row r="29471" spans="62:62" x14ac:dyDescent="0.2">
      <c r="BJ29471" s="201"/>
    </row>
    <row r="29472" spans="62:62" x14ac:dyDescent="0.2">
      <c r="BJ29472" s="201"/>
    </row>
    <row r="29473" spans="62:62" x14ac:dyDescent="0.2">
      <c r="BJ29473" s="201"/>
    </row>
    <row r="29474" spans="62:62" x14ac:dyDescent="0.2">
      <c r="BJ29474" s="201"/>
    </row>
    <row r="29475" spans="62:62" x14ac:dyDescent="0.2">
      <c r="BJ29475" s="201"/>
    </row>
    <row r="29476" spans="62:62" x14ac:dyDescent="0.2">
      <c r="BJ29476" s="201"/>
    </row>
    <row r="29477" spans="62:62" x14ac:dyDescent="0.2">
      <c r="BJ29477" s="201"/>
    </row>
    <row r="29478" spans="62:62" x14ac:dyDescent="0.2">
      <c r="BJ29478" s="201"/>
    </row>
    <row r="29479" spans="62:62" x14ac:dyDescent="0.2">
      <c r="BJ29479" s="201"/>
    </row>
    <row r="29480" spans="62:62" x14ac:dyDescent="0.2">
      <c r="BJ29480" s="201"/>
    </row>
    <row r="29481" spans="62:62" x14ac:dyDescent="0.2">
      <c r="BJ29481" s="201"/>
    </row>
    <row r="29482" spans="62:62" x14ac:dyDescent="0.2">
      <c r="BJ29482" s="201"/>
    </row>
    <row r="29483" spans="62:62" x14ac:dyDescent="0.2">
      <c r="BJ29483" s="201"/>
    </row>
    <row r="29484" spans="62:62" x14ac:dyDescent="0.2">
      <c r="BJ29484" s="201"/>
    </row>
    <row r="29485" spans="62:62" x14ac:dyDescent="0.2">
      <c r="BJ29485" s="201"/>
    </row>
    <row r="29486" spans="62:62" x14ac:dyDescent="0.2">
      <c r="BJ29486" s="201"/>
    </row>
    <row r="29487" spans="62:62" x14ac:dyDescent="0.2">
      <c r="BJ29487" s="201"/>
    </row>
    <row r="29488" spans="62:62" x14ac:dyDescent="0.2">
      <c r="BJ29488" s="201"/>
    </row>
    <row r="29489" spans="62:62" x14ac:dyDescent="0.2">
      <c r="BJ29489" s="201"/>
    </row>
    <row r="29490" spans="62:62" x14ac:dyDescent="0.2">
      <c r="BJ29490" s="201"/>
    </row>
    <row r="29491" spans="62:62" x14ac:dyDescent="0.2">
      <c r="BJ29491" s="201"/>
    </row>
    <row r="29492" spans="62:62" x14ac:dyDescent="0.2">
      <c r="BJ29492" s="201"/>
    </row>
    <row r="29493" spans="62:62" x14ac:dyDescent="0.2">
      <c r="BJ29493" s="201"/>
    </row>
    <row r="29494" spans="62:62" x14ac:dyDescent="0.2">
      <c r="BJ29494" s="201"/>
    </row>
    <row r="29495" spans="62:62" x14ac:dyDescent="0.2">
      <c r="BJ29495" s="201"/>
    </row>
    <row r="29496" spans="62:62" x14ac:dyDescent="0.2">
      <c r="BJ29496" s="201"/>
    </row>
    <row r="29497" spans="62:62" x14ac:dyDescent="0.2">
      <c r="BJ29497" s="201"/>
    </row>
    <row r="29498" spans="62:62" x14ac:dyDescent="0.2">
      <c r="BJ29498" s="201"/>
    </row>
    <row r="29499" spans="62:62" x14ac:dyDescent="0.2">
      <c r="BJ29499" s="201"/>
    </row>
    <row r="29500" spans="62:62" x14ac:dyDescent="0.2">
      <c r="BJ29500" s="201"/>
    </row>
    <row r="29501" spans="62:62" x14ac:dyDescent="0.2">
      <c r="BJ29501" s="201"/>
    </row>
    <row r="29502" spans="62:62" x14ac:dyDescent="0.2">
      <c r="BJ29502" s="201"/>
    </row>
    <row r="29503" spans="62:62" x14ac:dyDescent="0.2">
      <c r="BJ29503" s="201"/>
    </row>
    <row r="29504" spans="62:62" x14ac:dyDescent="0.2">
      <c r="BJ29504" s="201"/>
    </row>
    <row r="29505" spans="62:62" x14ac:dyDescent="0.2">
      <c r="BJ29505" s="201"/>
    </row>
    <row r="29506" spans="62:62" x14ac:dyDescent="0.2">
      <c r="BJ29506" s="201"/>
    </row>
    <row r="29507" spans="62:62" x14ac:dyDescent="0.2">
      <c r="BJ29507" s="201"/>
    </row>
    <row r="29508" spans="62:62" x14ac:dyDescent="0.2">
      <c r="BJ29508" s="201"/>
    </row>
    <row r="29509" spans="62:62" x14ac:dyDescent="0.2">
      <c r="BJ29509" s="201"/>
    </row>
    <row r="29510" spans="62:62" x14ac:dyDescent="0.2">
      <c r="BJ29510" s="201"/>
    </row>
    <row r="29511" spans="62:62" x14ac:dyDescent="0.2">
      <c r="BJ29511" s="201"/>
    </row>
    <row r="29512" spans="62:62" x14ac:dyDescent="0.2">
      <c r="BJ29512" s="201"/>
    </row>
    <row r="29513" spans="62:62" x14ac:dyDescent="0.2">
      <c r="BJ29513" s="201"/>
    </row>
    <row r="29514" spans="62:62" x14ac:dyDescent="0.2">
      <c r="BJ29514" s="201"/>
    </row>
    <row r="29515" spans="62:62" x14ac:dyDescent="0.2">
      <c r="BJ29515" s="201"/>
    </row>
    <row r="29516" spans="62:62" x14ac:dyDescent="0.2">
      <c r="BJ29516" s="201"/>
    </row>
    <row r="29517" spans="62:62" x14ac:dyDescent="0.2">
      <c r="BJ29517" s="201"/>
    </row>
    <row r="29518" spans="62:62" x14ac:dyDescent="0.2">
      <c r="BJ29518" s="201"/>
    </row>
    <row r="29519" spans="62:62" x14ac:dyDescent="0.2">
      <c r="BJ29519" s="201"/>
    </row>
    <row r="29520" spans="62:62" x14ac:dyDescent="0.2">
      <c r="BJ29520" s="201"/>
    </row>
    <row r="29521" spans="62:62" x14ac:dyDescent="0.2">
      <c r="BJ29521" s="201"/>
    </row>
    <row r="29522" spans="62:62" x14ac:dyDescent="0.2">
      <c r="BJ29522" s="201"/>
    </row>
    <row r="29523" spans="62:62" x14ac:dyDescent="0.2">
      <c r="BJ29523" s="201"/>
    </row>
    <row r="29524" spans="62:62" x14ac:dyDescent="0.2">
      <c r="BJ29524" s="201"/>
    </row>
    <row r="29525" spans="62:62" x14ac:dyDescent="0.2">
      <c r="BJ29525" s="201"/>
    </row>
    <row r="29526" spans="62:62" x14ac:dyDescent="0.2">
      <c r="BJ29526" s="201"/>
    </row>
    <row r="29527" spans="62:62" x14ac:dyDescent="0.2">
      <c r="BJ29527" s="201"/>
    </row>
    <row r="29528" spans="62:62" x14ac:dyDescent="0.2">
      <c r="BJ29528" s="201"/>
    </row>
    <row r="29529" spans="62:62" x14ac:dyDescent="0.2">
      <c r="BJ29529" s="201"/>
    </row>
    <row r="29530" spans="62:62" x14ac:dyDescent="0.2">
      <c r="BJ29530" s="201"/>
    </row>
    <row r="29531" spans="62:62" x14ac:dyDescent="0.2">
      <c r="BJ29531" s="201"/>
    </row>
    <row r="29532" spans="62:62" x14ac:dyDescent="0.2">
      <c r="BJ29532" s="201"/>
    </row>
    <row r="29533" spans="62:62" x14ac:dyDescent="0.2">
      <c r="BJ29533" s="201"/>
    </row>
    <row r="29534" spans="62:62" x14ac:dyDescent="0.2">
      <c r="BJ29534" s="201"/>
    </row>
    <row r="29535" spans="62:62" x14ac:dyDescent="0.2">
      <c r="BJ29535" s="201"/>
    </row>
    <row r="29536" spans="62:62" x14ac:dyDescent="0.2">
      <c r="BJ29536" s="201"/>
    </row>
    <row r="29537" spans="62:62" x14ac:dyDescent="0.2">
      <c r="BJ29537" s="201"/>
    </row>
    <row r="29538" spans="62:62" x14ac:dyDescent="0.2">
      <c r="BJ29538" s="201"/>
    </row>
    <row r="29539" spans="62:62" x14ac:dyDescent="0.2">
      <c r="BJ29539" s="201"/>
    </row>
    <row r="29540" spans="62:62" x14ac:dyDescent="0.2">
      <c r="BJ29540" s="201"/>
    </row>
    <row r="29541" spans="62:62" x14ac:dyDescent="0.2">
      <c r="BJ29541" s="201"/>
    </row>
    <row r="29542" spans="62:62" x14ac:dyDescent="0.2">
      <c r="BJ29542" s="201"/>
    </row>
    <row r="29543" spans="62:62" x14ac:dyDescent="0.2">
      <c r="BJ29543" s="201"/>
    </row>
    <row r="29544" spans="62:62" x14ac:dyDescent="0.2">
      <c r="BJ29544" s="201"/>
    </row>
    <row r="29545" spans="62:62" x14ac:dyDescent="0.2">
      <c r="BJ29545" s="201"/>
    </row>
    <row r="29546" spans="62:62" x14ac:dyDescent="0.2">
      <c r="BJ29546" s="201"/>
    </row>
    <row r="29547" spans="62:62" x14ac:dyDescent="0.2">
      <c r="BJ29547" s="201"/>
    </row>
    <row r="29548" spans="62:62" x14ac:dyDescent="0.2">
      <c r="BJ29548" s="201"/>
    </row>
    <row r="29549" spans="62:62" x14ac:dyDescent="0.2">
      <c r="BJ29549" s="201"/>
    </row>
    <row r="29550" spans="62:62" x14ac:dyDescent="0.2">
      <c r="BJ29550" s="201"/>
    </row>
    <row r="29551" spans="62:62" x14ac:dyDescent="0.2">
      <c r="BJ29551" s="201"/>
    </row>
    <row r="29552" spans="62:62" x14ac:dyDescent="0.2">
      <c r="BJ29552" s="201"/>
    </row>
    <row r="29553" spans="62:62" x14ac:dyDescent="0.2">
      <c r="BJ29553" s="201"/>
    </row>
    <row r="29554" spans="62:62" x14ac:dyDescent="0.2">
      <c r="BJ29554" s="201"/>
    </row>
    <row r="29555" spans="62:62" x14ac:dyDescent="0.2">
      <c r="BJ29555" s="201"/>
    </row>
    <row r="29556" spans="62:62" x14ac:dyDescent="0.2">
      <c r="BJ29556" s="201"/>
    </row>
    <row r="29557" spans="62:62" x14ac:dyDescent="0.2">
      <c r="BJ29557" s="201"/>
    </row>
    <row r="29558" spans="62:62" x14ac:dyDescent="0.2">
      <c r="BJ29558" s="201"/>
    </row>
    <row r="29559" spans="62:62" x14ac:dyDescent="0.2">
      <c r="BJ29559" s="201"/>
    </row>
    <row r="29560" spans="62:62" x14ac:dyDescent="0.2">
      <c r="BJ29560" s="201"/>
    </row>
    <row r="29561" spans="62:62" x14ac:dyDescent="0.2">
      <c r="BJ29561" s="201"/>
    </row>
    <row r="29562" spans="62:62" x14ac:dyDescent="0.2">
      <c r="BJ29562" s="201"/>
    </row>
    <row r="29563" spans="62:62" x14ac:dyDescent="0.2">
      <c r="BJ29563" s="201"/>
    </row>
    <row r="29564" spans="62:62" x14ac:dyDescent="0.2">
      <c r="BJ29564" s="201"/>
    </row>
    <row r="29565" spans="62:62" x14ac:dyDescent="0.2">
      <c r="BJ29565" s="201"/>
    </row>
    <row r="29566" spans="62:62" x14ac:dyDescent="0.2">
      <c r="BJ29566" s="201"/>
    </row>
    <row r="29567" spans="62:62" x14ac:dyDescent="0.2">
      <c r="BJ29567" s="201"/>
    </row>
    <row r="29568" spans="62:62" x14ac:dyDescent="0.2">
      <c r="BJ29568" s="201"/>
    </row>
    <row r="29569" spans="62:62" x14ac:dyDescent="0.2">
      <c r="BJ29569" s="201"/>
    </row>
    <row r="29570" spans="62:62" x14ac:dyDescent="0.2">
      <c r="BJ29570" s="201"/>
    </row>
    <row r="29571" spans="62:62" x14ac:dyDescent="0.2">
      <c r="BJ29571" s="201"/>
    </row>
    <row r="29572" spans="62:62" x14ac:dyDescent="0.2">
      <c r="BJ29572" s="201"/>
    </row>
    <row r="29573" spans="62:62" x14ac:dyDescent="0.2">
      <c r="BJ29573" s="201"/>
    </row>
    <row r="29574" spans="62:62" x14ac:dyDescent="0.2">
      <c r="BJ29574" s="201"/>
    </row>
    <row r="29575" spans="62:62" x14ac:dyDescent="0.2">
      <c r="BJ29575" s="201"/>
    </row>
    <row r="29576" spans="62:62" x14ac:dyDescent="0.2">
      <c r="BJ29576" s="201"/>
    </row>
    <row r="29577" spans="62:62" x14ac:dyDescent="0.2">
      <c r="BJ29577" s="201"/>
    </row>
    <row r="29578" spans="62:62" x14ac:dyDescent="0.2">
      <c r="BJ29578" s="201"/>
    </row>
    <row r="29579" spans="62:62" x14ac:dyDescent="0.2">
      <c r="BJ29579" s="201"/>
    </row>
    <row r="29580" spans="62:62" x14ac:dyDescent="0.2">
      <c r="BJ29580" s="201"/>
    </row>
    <row r="29581" spans="62:62" x14ac:dyDescent="0.2">
      <c r="BJ29581" s="201"/>
    </row>
    <row r="29582" spans="62:62" x14ac:dyDescent="0.2">
      <c r="BJ29582" s="201"/>
    </row>
    <row r="29583" spans="62:62" x14ac:dyDescent="0.2">
      <c r="BJ29583" s="201"/>
    </row>
    <row r="29584" spans="62:62" x14ac:dyDescent="0.2">
      <c r="BJ29584" s="201"/>
    </row>
    <row r="29585" spans="62:62" x14ac:dyDescent="0.2">
      <c r="BJ29585" s="201"/>
    </row>
    <row r="29586" spans="62:62" x14ac:dyDescent="0.2">
      <c r="BJ29586" s="201"/>
    </row>
    <row r="29587" spans="62:62" x14ac:dyDescent="0.2">
      <c r="BJ29587" s="201"/>
    </row>
    <row r="29588" spans="62:62" x14ac:dyDescent="0.2">
      <c r="BJ29588" s="201"/>
    </row>
    <row r="29589" spans="62:62" x14ac:dyDescent="0.2">
      <c r="BJ29589" s="201"/>
    </row>
    <row r="29590" spans="62:62" x14ac:dyDescent="0.2">
      <c r="BJ29590" s="201"/>
    </row>
    <row r="29591" spans="62:62" x14ac:dyDescent="0.2">
      <c r="BJ29591" s="201"/>
    </row>
    <row r="29592" spans="62:62" x14ac:dyDescent="0.2">
      <c r="BJ29592" s="201"/>
    </row>
    <row r="29593" spans="62:62" x14ac:dyDescent="0.2">
      <c r="BJ29593" s="201"/>
    </row>
    <row r="29594" spans="62:62" x14ac:dyDescent="0.2">
      <c r="BJ29594" s="201"/>
    </row>
    <row r="29595" spans="62:62" x14ac:dyDescent="0.2">
      <c r="BJ29595" s="201"/>
    </row>
    <row r="29596" spans="62:62" x14ac:dyDescent="0.2">
      <c r="BJ29596" s="201"/>
    </row>
    <row r="29597" spans="62:62" x14ac:dyDescent="0.2">
      <c r="BJ29597" s="201"/>
    </row>
    <row r="29598" spans="62:62" x14ac:dyDescent="0.2">
      <c r="BJ29598" s="201"/>
    </row>
    <row r="29599" spans="62:62" x14ac:dyDescent="0.2">
      <c r="BJ29599" s="201"/>
    </row>
    <row r="29600" spans="62:62" x14ac:dyDescent="0.2">
      <c r="BJ29600" s="201"/>
    </row>
    <row r="29601" spans="62:62" x14ac:dyDescent="0.2">
      <c r="BJ29601" s="201"/>
    </row>
    <row r="29602" spans="62:62" x14ac:dyDescent="0.2">
      <c r="BJ29602" s="201"/>
    </row>
    <row r="29603" spans="62:62" x14ac:dyDescent="0.2">
      <c r="BJ29603" s="201"/>
    </row>
    <row r="29604" spans="62:62" x14ac:dyDescent="0.2">
      <c r="BJ29604" s="201"/>
    </row>
    <row r="29605" spans="62:62" x14ac:dyDescent="0.2">
      <c r="BJ29605" s="201"/>
    </row>
    <row r="29606" spans="62:62" x14ac:dyDescent="0.2">
      <c r="BJ29606" s="201"/>
    </row>
    <row r="29607" spans="62:62" x14ac:dyDescent="0.2">
      <c r="BJ29607" s="201"/>
    </row>
    <row r="29608" spans="62:62" x14ac:dyDescent="0.2">
      <c r="BJ29608" s="201"/>
    </row>
    <row r="29609" spans="62:62" x14ac:dyDescent="0.2">
      <c r="BJ29609" s="201"/>
    </row>
    <row r="29610" spans="62:62" x14ac:dyDescent="0.2">
      <c r="BJ29610" s="201"/>
    </row>
    <row r="29611" spans="62:62" x14ac:dyDescent="0.2">
      <c r="BJ29611" s="201"/>
    </row>
    <row r="29612" spans="62:62" x14ac:dyDescent="0.2">
      <c r="BJ29612" s="201"/>
    </row>
    <row r="29613" spans="62:62" x14ac:dyDescent="0.2">
      <c r="BJ29613" s="201"/>
    </row>
    <row r="29614" spans="62:62" x14ac:dyDescent="0.2">
      <c r="BJ29614" s="201"/>
    </row>
    <row r="29615" spans="62:62" x14ac:dyDescent="0.2">
      <c r="BJ29615" s="201"/>
    </row>
    <row r="29616" spans="62:62" x14ac:dyDescent="0.2">
      <c r="BJ29616" s="201"/>
    </row>
    <row r="29617" spans="62:62" x14ac:dyDescent="0.2">
      <c r="BJ29617" s="201"/>
    </row>
    <row r="29618" spans="62:62" x14ac:dyDescent="0.2">
      <c r="BJ29618" s="201"/>
    </row>
    <row r="29619" spans="62:62" x14ac:dyDescent="0.2">
      <c r="BJ29619" s="201"/>
    </row>
    <row r="29620" spans="62:62" x14ac:dyDescent="0.2">
      <c r="BJ29620" s="201"/>
    </row>
    <row r="29621" spans="62:62" x14ac:dyDescent="0.2">
      <c r="BJ29621" s="201"/>
    </row>
    <row r="29622" spans="62:62" x14ac:dyDescent="0.2">
      <c r="BJ29622" s="201"/>
    </row>
    <row r="29623" spans="62:62" x14ac:dyDescent="0.2">
      <c r="BJ29623" s="201"/>
    </row>
    <row r="29624" spans="62:62" x14ac:dyDescent="0.2">
      <c r="BJ29624" s="201"/>
    </row>
    <row r="29625" spans="62:62" x14ac:dyDescent="0.2">
      <c r="BJ29625" s="201"/>
    </row>
    <row r="29626" spans="62:62" x14ac:dyDescent="0.2">
      <c r="BJ29626" s="201"/>
    </row>
    <row r="29627" spans="62:62" x14ac:dyDescent="0.2">
      <c r="BJ29627" s="201"/>
    </row>
    <row r="29628" spans="62:62" x14ac:dyDescent="0.2">
      <c r="BJ29628" s="201"/>
    </row>
    <row r="29629" spans="62:62" x14ac:dyDescent="0.2">
      <c r="BJ29629" s="201"/>
    </row>
    <row r="29630" spans="62:62" x14ac:dyDescent="0.2">
      <c r="BJ29630" s="201"/>
    </row>
    <row r="29631" spans="62:62" x14ac:dyDescent="0.2">
      <c r="BJ29631" s="201"/>
    </row>
    <row r="29632" spans="62:62" x14ac:dyDescent="0.2">
      <c r="BJ29632" s="201"/>
    </row>
    <row r="29633" spans="62:62" x14ac:dyDescent="0.2">
      <c r="BJ29633" s="201"/>
    </row>
    <row r="29634" spans="62:62" x14ac:dyDescent="0.2">
      <c r="BJ29634" s="201"/>
    </row>
    <row r="29635" spans="62:62" x14ac:dyDescent="0.2">
      <c r="BJ29635" s="201"/>
    </row>
    <row r="29636" spans="62:62" x14ac:dyDescent="0.2">
      <c r="BJ29636" s="201"/>
    </row>
    <row r="29637" spans="62:62" x14ac:dyDescent="0.2">
      <c r="BJ29637" s="201"/>
    </row>
    <row r="29638" spans="62:62" x14ac:dyDescent="0.2">
      <c r="BJ29638" s="201"/>
    </row>
    <row r="29639" spans="62:62" x14ac:dyDescent="0.2">
      <c r="BJ29639" s="201"/>
    </row>
    <row r="29640" spans="62:62" x14ac:dyDescent="0.2">
      <c r="BJ29640" s="201"/>
    </row>
    <row r="29641" spans="62:62" x14ac:dyDescent="0.2">
      <c r="BJ29641" s="201"/>
    </row>
    <row r="29642" spans="62:62" x14ac:dyDescent="0.2">
      <c r="BJ29642" s="201"/>
    </row>
    <row r="29643" spans="62:62" x14ac:dyDescent="0.2">
      <c r="BJ29643" s="201"/>
    </row>
    <row r="29644" spans="62:62" x14ac:dyDescent="0.2">
      <c r="BJ29644" s="201"/>
    </row>
    <row r="29645" spans="62:62" x14ac:dyDescent="0.2">
      <c r="BJ29645" s="201"/>
    </row>
    <row r="29646" spans="62:62" x14ac:dyDescent="0.2">
      <c r="BJ29646" s="201"/>
    </row>
    <row r="29647" spans="62:62" x14ac:dyDescent="0.2">
      <c r="BJ29647" s="201"/>
    </row>
    <row r="29648" spans="62:62" x14ac:dyDescent="0.2">
      <c r="BJ29648" s="201"/>
    </row>
    <row r="29649" spans="62:62" x14ac:dyDescent="0.2">
      <c r="BJ29649" s="201"/>
    </row>
    <row r="29650" spans="62:62" x14ac:dyDescent="0.2">
      <c r="BJ29650" s="201"/>
    </row>
    <row r="29651" spans="62:62" x14ac:dyDescent="0.2">
      <c r="BJ29651" s="201"/>
    </row>
    <row r="29652" spans="62:62" x14ac:dyDescent="0.2">
      <c r="BJ29652" s="201"/>
    </row>
    <row r="29653" spans="62:62" x14ac:dyDescent="0.2">
      <c r="BJ29653" s="201"/>
    </row>
    <row r="29654" spans="62:62" x14ac:dyDescent="0.2">
      <c r="BJ29654" s="201"/>
    </row>
    <row r="29655" spans="62:62" x14ac:dyDescent="0.2">
      <c r="BJ29655" s="201"/>
    </row>
    <row r="29656" spans="62:62" x14ac:dyDescent="0.2">
      <c r="BJ29656" s="201"/>
    </row>
    <row r="29657" spans="62:62" x14ac:dyDescent="0.2">
      <c r="BJ29657" s="201"/>
    </row>
    <row r="29658" spans="62:62" x14ac:dyDescent="0.2">
      <c r="BJ29658" s="201"/>
    </row>
    <row r="29659" spans="62:62" x14ac:dyDescent="0.2">
      <c r="BJ29659" s="201"/>
    </row>
    <row r="29660" spans="62:62" x14ac:dyDescent="0.2">
      <c r="BJ29660" s="201"/>
    </row>
    <row r="29661" spans="62:62" x14ac:dyDescent="0.2">
      <c r="BJ29661" s="201"/>
    </row>
    <row r="29662" spans="62:62" x14ac:dyDescent="0.2">
      <c r="BJ29662" s="201"/>
    </row>
    <row r="29663" spans="62:62" x14ac:dyDescent="0.2">
      <c r="BJ29663" s="201"/>
    </row>
    <row r="29664" spans="62:62" x14ac:dyDescent="0.2">
      <c r="BJ29664" s="201"/>
    </row>
    <row r="29665" spans="62:62" x14ac:dyDescent="0.2">
      <c r="BJ29665" s="201"/>
    </row>
    <row r="29666" spans="62:62" x14ac:dyDescent="0.2">
      <c r="BJ29666" s="201"/>
    </row>
    <row r="29667" spans="62:62" x14ac:dyDescent="0.2">
      <c r="BJ29667" s="201"/>
    </row>
    <row r="29668" spans="62:62" x14ac:dyDescent="0.2">
      <c r="BJ29668" s="201"/>
    </row>
    <row r="29669" spans="62:62" x14ac:dyDescent="0.2">
      <c r="BJ29669" s="201"/>
    </row>
    <row r="29670" spans="62:62" x14ac:dyDescent="0.2">
      <c r="BJ29670" s="201"/>
    </row>
    <row r="29671" spans="62:62" x14ac:dyDescent="0.2">
      <c r="BJ29671" s="201"/>
    </row>
    <row r="29672" spans="62:62" x14ac:dyDescent="0.2">
      <c r="BJ29672" s="201"/>
    </row>
    <row r="29673" spans="62:62" x14ac:dyDescent="0.2">
      <c r="BJ29673" s="201"/>
    </row>
    <row r="29674" spans="62:62" x14ac:dyDescent="0.2">
      <c r="BJ29674" s="201"/>
    </row>
    <row r="29675" spans="62:62" x14ac:dyDescent="0.2">
      <c r="BJ29675" s="201"/>
    </row>
    <row r="29676" spans="62:62" x14ac:dyDescent="0.2">
      <c r="BJ29676" s="201"/>
    </row>
    <row r="29677" spans="62:62" x14ac:dyDescent="0.2">
      <c r="BJ29677" s="201"/>
    </row>
    <row r="29678" spans="62:62" x14ac:dyDescent="0.2">
      <c r="BJ29678" s="201"/>
    </row>
    <row r="29679" spans="62:62" x14ac:dyDescent="0.2">
      <c r="BJ29679" s="201"/>
    </row>
    <row r="29680" spans="62:62" x14ac:dyDescent="0.2">
      <c r="BJ29680" s="201"/>
    </row>
    <row r="29681" spans="62:62" x14ac:dyDescent="0.2">
      <c r="BJ29681" s="201"/>
    </row>
    <row r="29682" spans="62:62" x14ac:dyDescent="0.2">
      <c r="BJ29682" s="201"/>
    </row>
    <row r="29683" spans="62:62" x14ac:dyDescent="0.2">
      <c r="BJ29683" s="201"/>
    </row>
    <row r="29684" spans="62:62" x14ac:dyDescent="0.2">
      <c r="BJ29684" s="201"/>
    </row>
    <row r="29685" spans="62:62" x14ac:dyDescent="0.2">
      <c r="BJ29685" s="201"/>
    </row>
    <row r="29686" spans="62:62" x14ac:dyDescent="0.2">
      <c r="BJ29686" s="201"/>
    </row>
    <row r="29687" spans="62:62" x14ac:dyDescent="0.2">
      <c r="BJ29687" s="201"/>
    </row>
    <row r="29688" spans="62:62" x14ac:dyDescent="0.2">
      <c r="BJ29688" s="201"/>
    </row>
    <row r="29689" spans="62:62" x14ac:dyDescent="0.2">
      <c r="BJ29689" s="201"/>
    </row>
    <row r="29690" spans="62:62" x14ac:dyDescent="0.2">
      <c r="BJ29690" s="201"/>
    </row>
    <row r="29691" spans="62:62" x14ac:dyDescent="0.2">
      <c r="BJ29691" s="201"/>
    </row>
    <row r="29692" spans="62:62" x14ac:dyDescent="0.2">
      <c r="BJ29692" s="201"/>
    </row>
    <row r="29693" spans="62:62" x14ac:dyDescent="0.2">
      <c r="BJ29693" s="201"/>
    </row>
    <row r="29694" spans="62:62" x14ac:dyDescent="0.2">
      <c r="BJ29694" s="201"/>
    </row>
    <row r="29695" spans="62:62" x14ac:dyDescent="0.2">
      <c r="BJ29695" s="201"/>
    </row>
    <row r="29696" spans="62:62" x14ac:dyDescent="0.2">
      <c r="BJ29696" s="201"/>
    </row>
    <row r="29697" spans="62:62" x14ac:dyDescent="0.2">
      <c r="BJ29697" s="201"/>
    </row>
    <row r="29698" spans="62:62" x14ac:dyDescent="0.2">
      <c r="BJ29698" s="201"/>
    </row>
    <row r="29699" spans="62:62" x14ac:dyDescent="0.2">
      <c r="BJ29699" s="201"/>
    </row>
    <row r="29700" spans="62:62" x14ac:dyDescent="0.2">
      <c r="BJ29700" s="201"/>
    </row>
    <row r="29701" spans="62:62" x14ac:dyDescent="0.2">
      <c r="BJ29701" s="201"/>
    </row>
    <row r="29702" spans="62:62" x14ac:dyDescent="0.2">
      <c r="BJ29702" s="201"/>
    </row>
    <row r="29703" spans="62:62" x14ac:dyDescent="0.2">
      <c r="BJ29703" s="201"/>
    </row>
    <row r="29704" spans="62:62" x14ac:dyDescent="0.2">
      <c r="BJ29704" s="201"/>
    </row>
    <row r="29705" spans="62:62" x14ac:dyDescent="0.2">
      <c r="BJ29705" s="201"/>
    </row>
    <row r="29706" spans="62:62" x14ac:dyDescent="0.2">
      <c r="BJ29706" s="201"/>
    </row>
    <row r="29707" spans="62:62" x14ac:dyDescent="0.2">
      <c r="BJ29707" s="201"/>
    </row>
    <row r="29708" spans="62:62" x14ac:dyDescent="0.2">
      <c r="BJ29708" s="201"/>
    </row>
    <row r="29709" spans="62:62" x14ac:dyDescent="0.2">
      <c r="BJ29709" s="201"/>
    </row>
    <row r="29710" spans="62:62" x14ac:dyDescent="0.2">
      <c r="BJ29710" s="201"/>
    </row>
    <row r="29711" spans="62:62" x14ac:dyDescent="0.2">
      <c r="BJ29711" s="201"/>
    </row>
    <row r="29712" spans="62:62" x14ac:dyDescent="0.2">
      <c r="BJ29712" s="201"/>
    </row>
    <row r="29713" spans="62:62" x14ac:dyDescent="0.2">
      <c r="BJ29713" s="201"/>
    </row>
    <row r="29714" spans="62:62" x14ac:dyDescent="0.2">
      <c r="BJ29714" s="201"/>
    </row>
    <row r="29715" spans="62:62" x14ac:dyDescent="0.2">
      <c r="BJ29715" s="201"/>
    </row>
    <row r="29716" spans="62:62" x14ac:dyDescent="0.2">
      <c r="BJ29716" s="201"/>
    </row>
    <row r="29717" spans="62:62" x14ac:dyDescent="0.2">
      <c r="BJ29717" s="201"/>
    </row>
    <row r="29718" spans="62:62" x14ac:dyDescent="0.2">
      <c r="BJ29718" s="201"/>
    </row>
    <row r="29719" spans="62:62" x14ac:dyDescent="0.2">
      <c r="BJ29719" s="201"/>
    </row>
    <row r="29720" spans="62:62" x14ac:dyDescent="0.2">
      <c r="BJ29720" s="201"/>
    </row>
    <row r="29721" spans="62:62" x14ac:dyDescent="0.2">
      <c r="BJ29721" s="201"/>
    </row>
    <row r="29722" spans="62:62" x14ac:dyDescent="0.2">
      <c r="BJ29722" s="201"/>
    </row>
    <row r="29723" spans="62:62" x14ac:dyDescent="0.2">
      <c r="BJ29723" s="201"/>
    </row>
    <row r="29724" spans="62:62" x14ac:dyDescent="0.2">
      <c r="BJ29724" s="201"/>
    </row>
    <row r="29725" spans="62:62" x14ac:dyDescent="0.2">
      <c r="BJ29725" s="201"/>
    </row>
    <row r="29726" spans="62:62" x14ac:dyDescent="0.2">
      <c r="BJ29726" s="201"/>
    </row>
    <row r="29727" spans="62:62" x14ac:dyDescent="0.2">
      <c r="BJ29727" s="201"/>
    </row>
    <row r="29728" spans="62:62" x14ac:dyDescent="0.2">
      <c r="BJ29728" s="201"/>
    </row>
    <row r="29729" spans="62:62" x14ac:dyDescent="0.2">
      <c r="BJ29729" s="201"/>
    </row>
    <row r="29730" spans="62:62" x14ac:dyDescent="0.2">
      <c r="BJ29730" s="201"/>
    </row>
    <row r="29731" spans="62:62" x14ac:dyDescent="0.2">
      <c r="BJ29731" s="201"/>
    </row>
    <row r="29732" spans="62:62" x14ac:dyDescent="0.2">
      <c r="BJ29732" s="201"/>
    </row>
    <row r="29733" spans="62:62" x14ac:dyDescent="0.2">
      <c r="BJ29733" s="201"/>
    </row>
    <row r="29734" spans="62:62" x14ac:dyDescent="0.2">
      <c r="BJ29734" s="201"/>
    </row>
    <row r="29735" spans="62:62" x14ac:dyDescent="0.2">
      <c r="BJ29735" s="201"/>
    </row>
    <row r="29736" spans="62:62" x14ac:dyDescent="0.2">
      <c r="BJ29736" s="201"/>
    </row>
    <row r="29737" spans="62:62" x14ac:dyDescent="0.2">
      <c r="BJ29737" s="201"/>
    </row>
    <row r="29738" spans="62:62" x14ac:dyDescent="0.2">
      <c r="BJ29738" s="201"/>
    </row>
    <row r="29739" spans="62:62" x14ac:dyDescent="0.2">
      <c r="BJ29739" s="201"/>
    </row>
    <row r="29740" spans="62:62" x14ac:dyDescent="0.2">
      <c r="BJ29740" s="201"/>
    </row>
    <row r="29741" spans="62:62" x14ac:dyDescent="0.2">
      <c r="BJ29741" s="201"/>
    </row>
    <row r="29742" spans="62:62" x14ac:dyDescent="0.2">
      <c r="BJ29742" s="201"/>
    </row>
    <row r="29743" spans="62:62" x14ac:dyDescent="0.2">
      <c r="BJ29743" s="201"/>
    </row>
    <row r="29744" spans="62:62" x14ac:dyDescent="0.2">
      <c r="BJ29744" s="201"/>
    </row>
    <row r="29745" spans="62:62" x14ac:dyDescent="0.2">
      <c r="BJ29745" s="201"/>
    </row>
    <row r="29746" spans="62:62" x14ac:dyDescent="0.2">
      <c r="BJ29746" s="201"/>
    </row>
    <row r="29747" spans="62:62" x14ac:dyDescent="0.2">
      <c r="BJ29747" s="201"/>
    </row>
    <row r="29748" spans="62:62" x14ac:dyDescent="0.2">
      <c r="BJ29748" s="201"/>
    </row>
    <row r="29749" spans="62:62" x14ac:dyDescent="0.2">
      <c r="BJ29749" s="201"/>
    </row>
    <row r="29750" spans="62:62" x14ac:dyDescent="0.2">
      <c r="BJ29750" s="201"/>
    </row>
    <row r="29751" spans="62:62" x14ac:dyDescent="0.2">
      <c r="BJ29751" s="201"/>
    </row>
    <row r="29752" spans="62:62" x14ac:dyDescent="0.2">
      <c r="BJ29752" s="201"/>
    </row>
    <row r="29753" spans="62:62" x14ac:dyDescent="0.2">
      <c r="BJ29753" s="201"/>
    </row>
    <row r="29754" spans="62:62" x14ac:dyDescent="0.2">
      <c r="BJ29754" s="201"/>
    </row>
    <row r="29755" spans="62:62" x14ac:dyDescent="0.2">
      <c r="BJ29755" s="201"/>
    </row>
    <row r="29756" spans="62:62" x14ac:dyDescent="0.2">
      <c r="BJ29756" s="201"/>
    </row>
    <row r="29757" spans="62:62" x14ac:dyDescent="0.2">
      <c r="BJ29757" s="201"/>
    </row>
    <row r="29758" spans="62:62" x14ac:dyDescent="0.2">
      <c r="BJ29758" s="201"/>
    </row>
    <row r="29759" spans="62:62" x14ac:dyDescent="0.2">
      <c r="BJ29759" s="201"/>
    </row>
    <row r="29760" spans="62:62" x14ac:dyDescent="0.2">
      <c r="BJ29760" s="201"/>
    </row>
    <row r="29761" spans="62:62" x14ac:dyDescent="0.2">
      <c r="BJ29761" s="201"/>
    </row>
    <row r="29762" spans="62:62" x14ac:dyDescent="0.2">
      <c r="BJ29762" s="201"/>
    </row>
    <row r="29763" spans="62:62" x14ac:dyDescent="0.2">
      <c r="BJ29763" s="201"/>
    </row>
    <row r="29764" spans="62:62" x14ac:dyDescent="0.2">
      <c r="BJ29764" s="201"/>
    </row>
    <row r="29765" spans="62:62" x14ac:dyDescent="0.2">
      <c r="BJ29765" s="201"/>
    </row>
    <row r="29766" spans="62:62" x14ac:dyDescent="0.2">
      <c r="BJ29766" s="201"/>
    </row>
    <row r="29767" spans="62:62" x14ac:dyDescent="0.2">
      <c r="BJ29767" s="201"/>
    </row>
    <row r="29768" spans="62:62" x14ac:dyDescent="0.2">
      <c r="BJ29768" s="201"/>
    </row>
    <row r="29769" spans="62:62" x14ac:dyDescent="0.2">
      <c r="BJ29769" s="201"/>
    </row>
    <row r="29770" spans="62:62" x14ac:dyDescent="0.2">
      <c r="BJ29770" s="201"/>
    </row>
    <row r="29771" spans="62:62" x14ac:dyDescent="0.2">
      <c r="BJ29771" s="201"/>
    </row>
    <row r="29772" spans="62:62" x14ac:dyDescent="0.2">
      <c r="BJ29772" s="201"/>
    </row>
    <row r="29773" spans="62:62" x14ac:dyDescent="0.2">
      <c r="BJ29773" s="201"/>
    </row>
    <row r="29774" spans="62:62" x14ac:dyDescent="0.2">
      <c r="BJ29774" s="201"/>
    </row>
    <row r="29775" spans="62:62" x14ac:dyDescent="0.2">
      <c r="BJ29775" s="201"/>
    </row>
    <row r="29776" spans="62:62" x14ac:dyDescent="0.2">
      <c r="BJ29776" s="201"/>
    </row>
    <row r="29777" spans="62:62" x14ac:dyDescent="0.2">
      <c r="BJ29777" s="201"/>
    </row>
    <row r="29778" spans="62:62" x14ac:dyDescent="0.2">
      <c r="BJ29778" s="201"/>
    </row>
    <row r="29779" spans="62:62" x14ac:dyDescent="0.2">
      <c r="BJ29779" s="201"/>
    </row>
    <row r="29780" spans="62:62" x14ac:dyDescent="0.2">
      <c r="BJ29780" s="201"/>
    </row>
    <row r="29781" spans="62:62" x14ac:dyDescent="0.2">
      <c r="BJ29781" s="201"/>
    </row>
    <row r="29782" spans="62:62" x14ac:dyDescent="0.2">
      <c r="BJ29782" s="201"/>
    </row>
    <row r="29783" spans="62:62" x14ac:dyDescent="0.2">
      <c r="BJ29783" s="201"/>
    </row>
    <row r="29784" spans="62:62" x14ac:dyDescent="0.2">
      <c r="BJ29784" s="201"/>
    </row>
    <row r="29785" spans="62:62" x14ac:dyDescent="0.2">
      <c r="BJ29785" s="201"/>
    </row>
    <row r="29786" spans="62:62" x14ac:dyDescent="0.2">
      <c r="BJ29786" s="201"/>
    </row>
    <row r="29787" spans="62:62" x14ac:dyDescent="0.2">
      <c r="BJ29787" s="201"/>
    </row>
    <row r="29788" spans="62:62" x14ac:dyDescent="0.2">
      <c r="BJ29788" s="201"/>
    </row>
    <row r="29789" spans="62:62" x14ac:dyDescent="0.2">
      <c r="BJ29789" s="201"/>
    </row>
    <row r="29790" spans="62:62" x14ac:dyDescent="0.2">
      <c r="BJ29790" s="201"/>
    </row>
    <row r="29791" spans="62:62" x14ac:dyDescent="0.2">
      <c r="BJ29791" s="201"/>
    </row>
    <row r="29792" spans="62:62" x14ac:dyDescent="0.2">
      <c r="BJ29792" s="201"/>
    </row>
    <row r="29793" spans="62:62" x14ac:dyDescent="0.2">
      <c r="BJ29793" s="201"/>
    </row>
    <row r="29794" spans="62:62" x14ac:dyDescent="0.2">
      <c r="BJ29794" s="201"/>
    </row>
    <row r="29795" spans="62:62" x14ac:dyDescent="0.2">
      <c r="BJ29795" s="201"/>
    </row>
    <row r="29796" spans="62:62" x14ac:dyDescent="0.2">
      <c r="BJ29796" s="201"/>
    </row>
    <row r="29797" spans="62:62" x14ac:dyDescent="0.2">
      <c r="BJ29797" s="201"/>
    </row>
    <row r="29798" spans="62:62" x14ac:dyDescent="0.2">
      <c r="BJ29798" s="201"/>
    </row>
    <row r="29799" spans="62:62" x14ac:dyDescent="0.2">
      <c r="BJ29799" s="201"/>
    </row>
    <row r="29800" spans="62:62" x14ac:dyDescent="0.2">
      <c r="BJ29800" s="201"/>
    </row>
    <row r="29801" spans="62:62" x14ac:dyDescent="0.2">
      <c r="BJ29801" s="201"/>
    </row>
    <row r="29802" spans="62:62" x14ac:dyDescent="0.2">
      <c r="BJ29802" s="201"/>
    </row>
    <row r="29803" spans="62:62" x14ac:dyDescent="0.2">
      <c r="BJ29803" s="201"/>
    </row>
    <row r="29804" spans="62:62" x14ac:dyDescent="0.2">
      <c r="BJ29804" s="201"/>
    </row>
    <row r="29805" spans="62:62" x14ac:dyDescent="0.2">
      <c r="BJ29805" s="201"/>
    </row>
    <row r="29806" spans="62:62" x14ac:dyDescent="0.2">
      <c r="BJ29806" s="201"/>
    </row>
    <row r="29807" spans="62:62" x14ac:dyDescent="0.2">
      <c r="BJ29807" s="201"/>
    </row>
    <row r="29808" spans="62:62" x14ac:dyDescent="0.2">
      <c r="BJ29808" s="201"/>
    </row>
    <row r="29809" spans="62:62" x14ac:dyDescent="0.2">
      <c r="BJ29809" s="201"/>
    </row>
    <row r="29810" spans="62:62" x14ac:dyDescent="0.2">
      <c r="BJ29810" s="201"/>
    </row>
    <row r="29811" spans="62:62" x14ac:dyDescent="0.2">
      <c r="BJ29811" s="201"/>
    </row>
    <row r="29812" spans="62:62" x14ac:dyDescent="0.2">
      <c r="BJ29812" s="201"/>
    </row>
    <row r="29813" spans="62:62" x14ac:dyDescent="0.2">
      <c r="BJ29813" s="201"/>
    </row>
    <row r="29814" spans="62:62" x14ac:dyDescent="0.2">
      <c r="BJ29814" s="201"/>
    </row>
    <row r="29815" spans="62:62" x14ac:dyDescent="0.2">
      <c r="BJ29815" s="201"/>
    </row>
    <row r="29816" spans="62:62" x14ac:dyDescent="0.2">
      <c r="BJ29816" s="201"/>
    </row>
    <row r="29817" spans="62:62" x14ac:dyDescent="0.2">
      <c r="BJ29817" s="201"/>
    </row>
    <row r="29818" spans="62:62" x14ac:dyDescent="0.2">
      <c r="BJ29818" s="201"/>
    </row>
    <row r="29819" spans="62:62" x14ac:dyDescent="0.2">
      <c r="BJ29819" s="201"/>
    </row>
    <row r="29820" spans="62:62" x14ac:dyDescent="0.2">
      <c r="BJ29820" s="201"/>
    </row>
    <row r="29821" spans="62:62" x14ac:dyDescent="0.2">
      <c r="BJ29821" s="201"/>
    </row>
    <row r="29822" spans="62:62" x14ac:dyDescent="0.2">
      <c r="BJ29822" s="201"/>
    </row>
    <row r="29823" spans="62:62" x14ac:dyDescent="0.2">
      <c r="BJ29823" s="201"/>
    </row>
    <row r="29824" spans="62:62" x14ac:dyDescent="0.2">
      <c r="BJ29824" s="201"/>
    </row>
    <row r="29825" spans="62:62" x14ac:dyDescent="0.2">
      <c r="BJ29825" s="201"/>
    </row>
    <row r="29826" spans="62:62" x14ac:dyDescent="0.2">
      <c r="BJ29826" s="201"/>
    </row>
    <row r="29827" spans="62:62" x14ac:dyDescent="0.2">
      <c r="BJ29827" s="201"/>
    </row>
    <row r="29828" spans="62:62" x14ac:dyDescent="0.2">
      <c r="BJ29828" s="201"/>
    </row>
    <row r="29829" spans="62:62" x14ac:dyDescent="0.2">
      <c r="BJ29829" s="201"/>
    </row>
    <row r="29830" spans="62:62" x14ac:dyDescent="0.2">
      <c r="BJ29830" s="201"/>
    </row>
    <row r="29831" spans="62:62" x14ac:dyDescent="0.2">
      <c r="BJ29831" s="201"/>
    </row>
    <row r="29832" spans="62:62" x14ac:dyDescent="0.2">
      <c r="BJ29832" s="201"/>
    </row>
    <row r="29833" spans="62:62" x14ac:dyDescent="0.2">
      <c r="BJ29833" s="201"/>
    </row>
    <row r="29834" spans="62:62" x14ac:dyDescent="0.2">
      <c r="BJ29834" s="201"/>
    </row>
    <row r="29835" spans="62:62" x14ac:dyDescent="0.2">
      <c r="BJ29835" s="201"/>
    </row>
    <row r="29836" spans="62:62" x14ac:dyDescent="0.2">
      <c r="BJ29836" s="201"/>
    </row>
    <row r="29837" spans="62:62" x14ac:dyDescent="0.2">
      <c r="BJ29837" s="201"/>
    </row>
    <row r="29838" spans="62:62" x14ac:dyDescent="0.2">
      <c r="BJ29838" s="201"/>
    </row>
    <row r="29839" spans="62:62" x14ac:dyDescent="0.2">
      <c r="BJ29839" s="201"/>
    </row>
    <row r="29840" spans="62:62" x14ac:dyDescent="0.2">
      <c r="BJ29840" s="201"/>
    </row>
    <row r="29841" spans="62:62" x14ac:dyDescent="0.2">
      <c r="BJ29841" s="201"/>
    </row>
    <row r="29842" spans="62:62" x14ac:dyDescent="0.2">
      <c r="BJ29842" s="201"/>
    </row>
    <row r="29843" spans="62:62" x14ac:dyDescent="0.2">
      <c r="BJ29843" s="201"/>
    </row>
    <row r="29844" spans="62:62" x14ac:dyDescent="0.2">
      <c r="BJ29844" s="201"/>
    </row>
    <row r="29845" spans="62:62" x14ac:dyDescent="0.2">
      <c r="BJ29845" s="201"/>
    </row>
    <row r="29846" spans="62:62" x14ac:dyDescent="0.2">
      <c r="BJ29846" s="201"/>
    </row>
    <row r="29847" spans="62:62" x14ac:dyDescent="0.2">
      <c r="BJ29847" s="201"/>
    </row>
    <row r="29848" spans="62:62" x14ac:dyDescent="0.2">
      <c r="BJ29848" s="201"/>
    </row>
    <row r="29849" spans="62:62" x14ac:dyDescent="0.2">
      <c r="BJ29849" s="201"/>
    </row>
    <row r="29850" spans="62:62" x14ac:dyDescent="0.2">
      <c r="BJ29850" s="201"/>
    </row>
    <row r="29851" spans="62:62" x14ac:dyDescent="0.2">
      <c r="BJ29851" s="201"/>
    </row>
    <row r="29852" spans="62:62" x14ac:dyDescent="0.2">
      <c r="BJ29852" s="201"/>
    </row>
    <row r="29853" spans="62:62" x14ac:dyDescent="0.2">
      <c r="BJ29853" s="201"/>
    </row>
    <row r="29854" spans="62:62" x14ac:dyDescent="0.2">
      <c r="BJ29854" s="201"/>
    </row>
    <row r="29855" spans="62:62" x14ac:dyDescent="0.2">
      <c r="BJ29855" s="201"/>
    </row>
    <row r="29856" spans="62:62" x14ac:dyDescent="0.2">
      <c r="BJ29856" s="201"/>
    </row>
    <row r="29857" spans="62:62" x14ac:dyDescent="0.2">
      <c r="BJ29857" s="201"/>
    </row>
    <row r="29858" spans="62:62" x14ac:dyDescent="0.2">
      <c r="BJ29858" s="201"/>
    </row>
    <row r="29859" spans="62:62" x14ac:dyDescent="0.2">
      <c r="BJ29859" s="201"/>
    </row>
    <row r="29860" spans="62:62" x14ac:dyDescent="0.2">
      <c r="BJ29860" s="201"/>
    </row>
    <row r="29861" spans="62:62" x14ac:dyDescent="0.2">
      <c r="BJ29861" s="201"/>
    </row>
    <row r="29862" spans="62:62" x14ac:dyDescent="0.2">
      <c r="BJ29862" s="201"/>
    </row>
    <row r="29863" spans="62:62" x14ac:dyDescent="0.2">
      <c r="BJ29863" s="201"/>
    </row>
    <row r="29864" spans="62:62" x14ac:dyDescent="0.2">
      <c r="BJ29864" s="201"/>
    </row>
    <row r="29865" spans="62:62" x14ac:dyDescent="0.2">
      <c r="BJ29865" s="201"/>
    </row>
    <row r="29866" spans="62:62" x14ac:dyDescent="0.2">
      <c r="BJ29866" s="201"/>
    </row>
    <row r="29867" spans="62:62" x14ac:dyDescent="0.2">
      <c r="BJ29867" s="201"/>
    </row>
    <row r="29868" spans="62:62" x14ac:dyDescent="0.2">
      <c r="BJ29868" s="201"/>
    </row>
    <row r="29869" spans="62:62" x14ac:dyDescent="0.2">
      <c r="BJ29869" s="201"/>
    </row>
    <row r="29870" spans="62:62" x14ac:dyDescent="0.2">
      <c r="BJ29870" s="201"/>
    </row>
    <row r="29871" spans="62:62" x14ac:dyDescent="0.2">
      <c r="BJ29871" s="201"/>
    </row>
    <row r="29872" spans="62:62" x14ac:dyDescent="0.2">
      <c r="BJ29872" s="201"/>
    </row>
    <row r="29873" spans="62:62" x14ac:dyDescent="0.2">
      <c r="BJ29873" s="201"/>
    </row>
    <row r="29874" spans="62:62" x14ac:dyDescent="0.2">
      <c r="BJ29874" s="201"/>
    </row>
    <row r="29875" spans="62:62" x14ac:dyDescent="0.2">
      <c r="BJ29875" s="201"/>
    </row>
    <row r="29876" spans="62:62" x14ac:dyDescent="0.2">
      <c r="BJ29876" s="201"/>
    </row>
    <row r="29877" spans="62:62" x14ac:dyDescent="0.2">
      <c r="BJ29877" s="201"/>
    </row>
    <row r="29878" spans="62:62" x14ac:dyDescent="0.2">
      <c r="BJ29878" s="201"/>
    </row>
    <row r="29879" spans="62:62" x14ac:dyDescent="0.2">
      <c r="BJ29879" s="201"/>
    </row>
    <row r="29880" spans="62:62" x14ac:dyDescent="0.2">
      <c r="BJ29880" s="201"/>
    </row>
    <row r="29881" spans="62:62" x14ac:dyDescent="0.2">
      <c r="BJ29881" s="201"/>
    </row>
    <row r="29882" spans="62:62" x14ac:dyDescent="0.2">
      <c r="BJ29882" s="201"/>
    </row>
    <row r="29883" spans="62:62" x14ac:dyDescent="0.2">
      <c r="BJ29883" s="201"/>
    </row>
    <row r="29884" spans="62:62" x14ac:dyDescent="0.2">
      <c r="BJ29884" s="201"/>
    </row>
    <row r="29885" spans="62:62" x14ac:dyDescent="0.2">
      <c r="BJ29885" s="201"/>
    </row>
    <row r="29886" spans="62:62" x14ac:dyDescent="0.2">
      <c r="BJ29886" s="201"/>
    </row>
    <row r="29887" spans="62:62" x14ac:dyDescent="0.2">
      <c r="BJ29887" s="201"/>
    </row>
    <row r="29888" spans="62:62" x14ac:dyDescent="0.2">
      <c r="BJ29888" s="201"/>
    </row>
    <row r="29889" spans="62:62" x14ac:dyDescent="0.2">
      <c r="BJ29889" s="201"/>
    </row>
    <row r="29890" spans="62:62" x14ac:dyDescent="0.2">
      <c r="BJ29890" s="201"/>
    </row>
    <row r="29891" spans="62:62" x14ac:dyDescent="0.2">
      <c r="BJ29891" s="201"/>
    </row>
    <row r="29892" spans="62:62" x14ac:dyDescent="0.2">
      <c r="BJ29892" s="201"/>
    </row>
    <row r="29893" spans="62:62" x14ac:dyDescent="0.2">
      <c r="BJ29893" s="201"/>
    </row>
    <row r="29894" spans="62:62" x14ac:dyDescent="0.2">
      <c r="BJ29894" s="201"/>
    </row>
    <row r="29895" spans="62:62" x14ac:dyDescent="0.2">
      <c r="BJ29895" s="201"/>
    </row>
    <row r="29896" spans="62:62" x14ac:dyDescent="0.2">
      <c r="BJ29896" s="201"/>
    </row>
    <row r="29897" spans="62:62" x14ac:dyDescent="0.2">
      <c r="BJ29897" s="201"/>
    </row>
    <row r="29898" spans="62:62" x14ac:dyDescent="0.2">
      <c r="BJ29898" s="201"/>
    </row>
    <row r="29899" spans="62:62" x14ac:dyDescent="0.2">
      <c r="BJ29899" s="201"/>
    </row>
    <row r="29900" spans="62:62" x14ac:dyDescent="0.2">
      <c r="BJ29900" s="201"/>
    </row>
    <row r="29901" spans="62:62" x14ac:dyDescent="0.2">
      <c r="BJ29901" s="201"/>
    </row>
    <row r="29902" spans="62:62" x14ac:dyDescent="0.2">
      <c r="BJ29902" s="201"/>
    </row>
    <row r="29903" spans="62:62" x14ac:dyDescent="0.2">
      <c r="BJ29903" s="201"/>
    </row>
    <row r="29904" spans="62:62" x14ac:dyDescent="0.2">
      <c r="BJ29904" s="201"/>
    </row>
    <row r="29905" spans="62:62" x14ac:dyDescent="0.2">
      <c r="BJ29905" s="201"/>
    </row>
    <row r="29906" spans="62:62" x14ac:dyDescent="0.2">
      <c r="BJ29906" s="201"/>
    </row>
    <row r="29907" spans="62:62" x14ac:dyDescent="0.2">
      <c r="BJ29907" s="201"/>
    </row>
    <row r="29908" spans="62:62" x14ac:dyDescent="0.2">
      <c r="BJ29908" s="201"/>
    </row>
    <row r="29909" spans="62:62" x14ac:dyDescent="0.2">
      <c r="BJ29909" s="201"/>
    </row>
    <row r="29910" spans="62:62" x14ac:dyDescent="0.2">
      <c r="BJ29910" s="201"/>
    </row>
    <row r="29911" spans="62:62" x14ac:dyDescent="0.2">
      <c r="BJ29911" s="201"/>
    </row>
    <row r="29912" spans="62:62" x14ac:dyDescent="0.2">
      <c r="BJ29912" s="201"/>
    </row>
    <row r="29913" spans="62:62" x14ac:dyDescent="0.2">
      <c r="BJ29913" s="201"/>
    </row>
    <row r="29914" spans="62:62" x14ac:dyDescent="0.2">
      <c r="BJ29914" s="201"/>
    </row>
    <row r="29915" spans="62:62" x14ac:dyDescent="0.2">
      <c r="BJ29915" s="201"/>
    </row>
    <row r="29916" spans="62:62" x14ac:dyDescent="0.2">
      <c r="BJ29916" s="201"/>
    </row>
    <row r="29917" spans="62:62" x14ac:dyDescent="0.2">
      <c r="BJ29917" s="201"/>
    </row>
    <row r="29918" spans="62:62" x14ac:dyDescent="0.2">
      <c r="BJ29918" s="201"/>
    </row>
    <row r="29919" spans="62:62" x14ac:dyDescent="0.2">
      <c r="BJ29919" s="201"/>
    </row>
    <row r="29920" spans="62:62" x14ac:dyDescent="0.2">
      <c r="BJ29920" s="201"/>
    </row>
    <row r="29921" spans="62:62" x14ac:dyDescent="0.2">
      <c r="BJ29921" s="201"/>
    </row>
    <row r="29922" spans="62:62" x14ac:dyDescent="0.2">
      <c r="BJ29922" s="201"/>
    </row>
    <row r="29923" spans="62:62" x14ac:dyDescent="0.2">
      <c r="BJ29923" s="201"/>
    </row>
    <row r="29924" spans="62:62" x14ac:dyDescent="0.2">
      <c r="BJ29924" s="201"/>
    </row>
    <row r="29925" spans="62:62" x14ac:dyDescent="0.2">
      <c r="BJ29925" s="201"/>
    </row>
    <row r="29926" spans="62:62" x14ac:dyDescent="0.2">
      <c r="BJ29926" s="201"/>
    </row>
    <row r="29927" spans="62:62" x14ac:dyDescent="0.2">
      <c r="BJ29927" s="201"/>
    </row>
    <row r="29928" spans="62:62" x14ac:dyDescent="0.2">
      <c r="BJ29928" s="201"/>
    </row>
    <row r="29929" spans="62:62" x14ac:dyDescent="0.2">
      <c r="BJ29929" s="201"/>
    </row>
    <row r="29930" spans="62:62" x14ac:dyDescent="0.2">
      <c r="BJ29930" s="201"/>
    </row>
    <row r="29931" spans="62:62" x14ac:dyDescent="0.2">
      <c r="BJ29931" s="201"/>
    </row>
    <row r="29932" spans="62:62" x14ac:dyDescent="0.2">
      <c r="BJ29932" s="201"/>
    </row>
    <row r="29933" spans="62:62" x14ac:dyDescent="0.2">
      <c r="BJ29933" s="201"/>
    </row>
    <row r="29934" spans="62:62" x14ac:dyDescent="0.2">
      <c r="BJ29934" s="201"/>
    </row>
    <row r="29935" spans="62:62" x14ac:dyDescent="0.2">
      <c r="BJ29935" s="201"/>
    </row>
    <row r="29936" spans="62:62" x14ac:dyDescent="0.2">
      <c r="BJ29936" s="201"/>
    </row>
    <row r="29937" spans="62:62" x14ac:dyDescent="0.2">
      <c r="BJ29937" s="201"/>
    </row>
    <row r="29938" spans="62:62" x14ac:dyDescent="0.2">
      <c r="BJ29938" s="201"/>
    </row>
    <row r="29939" spans="62:62" x14ac:dyDescent="0.2">
      <c r="BJ29939" s="201"/>
    </row>
    <row r="29940" spans="62:62" x14ac:dyDescent="0.2">
      <c r="BJ29940" s="201"/>
    </row>
    <row r="29941" spans="62:62" x14ac:dyDescent="0.2">
      <c r="BJ29941" s="201"/>
    </row>
    <row r="29942" spans="62:62" x14ac:dyDescent="0.2">
      <c r="BJ29942" s="201"/>
    </row>
    <row r="29943" spans="62:62" x14ac:dyDescent="0.2">
      <c r="BJ29943" s="201"/>
    </row>
    <row r="29944" spans="62:62" x14ac:dyDescent="0.2">
      <c r="BJ29944" s="201"/>
    </row>
    <row r="29945" spans="62:62" x14ac:dyDescent="0.2">
      <c r="BJ29945" s="201"/>
    </row>
    <row r="29946" spans="62:62" x14ac:dyDescent="0.2">
      <c r="BJ29946" s="201"/>
    </row>
    <row r="29947" spans="62:62" x14ac:dyDescent="0.2">
      <c r="BJ29947" s="201"/>
    </row>
    <row r="29948" spans="62:62" x14ac:dyDescent="0.2">
      <c r="BJ29948" s="201"/>
    </row>
    <row r="29949" spans="62:62" x14ac:dyDescent="0.2">
      <c r="BJ29949" s="201"/>
    </row>
    <row r="29950" spans="62:62" x14ac:dyDescent="0.2">
      <c r="BJ29950" s="201"/>
    </row>
    <row r="29951" spans="62:62" x14ac:dyDescent="0.2">
      <c r="BJ29951" s="201"/>
    </row>
    <row r="29952" spans="62:62" x14ac:dyDescent="0.2">
      <c r="BJ29952" s="201"/>
    </row>
    <row r="29953" spans="62:62" x14ac:dyDescent="0.2">
      <c r="BJ29953" s="201"/>
    </row>
    <row r="29954" spans="62:62" x14ac:dyDescent="0.2">
      <c r="BJ29954" s="201"/>
    </row>
    <row r="29955" spans="62:62" x14ac:dyDescent="0.2">
      <c r="BJ29955" s="201"/>
    </row>
    <row r="29956" spans="62:62" x14ac:dyDescent="0.2">
      <c r="BJ29956" s="201"/>
    </row>
    <row r="29957" spans="62:62" x14ac:dyDescent="0.2">
      <c r="BJ29957" s="201"/>
    </row>
    <row r="29958" spans="62:62" x14ac:dyDescent="0.2">
      <c r="BJ29958" s="201"/>
    </row>
    <row r="29959" spans="62:62" x14ac:dyDescent="0.2">
      <c r="BJ29959" s="201"/>
    </row>
    <row r="29960" spans="62:62" x14ac:dyDescent="0.2">
      <c r="BJ29960" s="201"/>
    </row>
    <row r="29961" spans="62:62" x14ac:dyDescent="0.2">
      <c r="BJ29961" s="201"/>
    </row>
    <row r="29962" spans="62:62" x14ac:dyDescent="0.2">
      <c r="BJ29962" s="201"/>
    </row>
    <row r="29963" spans="62:62" x14ac:dyDescent="0.2">
      <c r="BJ29963" s="201"/>
    </row>
    <row r="29964" spans="62:62" x14ac:dyDescent="0.2">
      <c r="BJ29964" s="201"/>
    </row>
    <row r="29965" spans="62:62" x14ac:dyDescent="0.2">
      <c r="BJ29965" s="201"/>
    </row>
    <row r="29966" spans="62:62" x14ac:dyDescent="0.2">
      <c r="BJ29966" s="201"/>
    </row>
    <row r="29967" spans="62:62" x14ac:dyDescent="0.2">
      <c r="BJ29967" s="201"/>
    </row>
    <row r="29968" spans="62:62" x14ac:dyDescent="0.2">
      <c r="BJ29968" s="201"/>
    </row>
    <row r="29969" spans="62:62" x14ac:dyDescent="0.2">
      <c r="BJ29969" s="201"/>
    </row>
    <row r="29970" spans="62:62" x14ac:dyDescent="0.2">
      <c r="BJ29970" s="201"/>
    </row>
    <row r="29971" spans="62:62" x14ac:dyDescent="0.2">
      <c r="BJ29971" s="201"/>
    </row>
    <row r="29972" spans="62:62" x14ac:dyDescent="0.2">
      <c r="BJ29972" s="201"/>
    </row>
    <row r="29973" spans="62:62" x14ac:dyDescent="0.2">
      <c r="BJ29973" s="201"/>
    </row>
    <row r="29974" spans="62:62" x14ac:dyDescent="0.2">
      <c r="BJ29974" s="201"/>
    </row>
    <row r="29975" spans="62:62" x14ac:dyDescent="0.2">
      <c r="BJ29975" s="201"/>
    </row>
    <row r="29976" spans="62:62" x14ac:dyDescent="0.2">
      <c r="BJ29976" s="201"/>
    </row>
    <row r="29977" spans="62:62" x14ac:dyDescent="0.2">
      <c r="BJ29977" s="201"/>
    </row>
    <row r="29978" spans="62:62" x14ac:dyDescent="0.2">
      <c r="BJ29978" s="201"/>
    </row>
    <row r="29979" spans="62:62" x14ac:dyDescent="0.2">
      <c r="BJ29979" s="201"/>
    </row>
    <row r="29980" spans="62:62" x14ac:dyDescent="0.2">
      <c r="BJ29980" s="201"/>
    </row>
    <row r="29981" spans="62:62" x14ac:dyDescent="0.2">
      <c r="BJ29981" s="201"/>
    </row>
    <row r="29982" spans="62:62" x14ac:dyDescent="0.2">
      <c r="BJ29982" s="201"/>
    </row>
    <row r="29983" spans="62:62" x14ac:dyDescent="0.2">
      <c r="BJ29983" s="201"/>
    </row>
    <row r="29984" spans="62:62" x14ac:dyDescent="0.2">
      <c r="BJ29984" s="201"/>
    </row>
    <row r="29985" spans="62:62" x14ac:dyDescent="0.2">
      <c r="BJ29985" s="201"/>
    </row>
    <row r="29986" spans="62:62" x14ac:dyDescent="0.2">
      <c r="BJ29986" s="201"/>
    </row>
    <row r="29987" spans="62:62" x14ac:dyDescent="0.2">
      <c r="BJ29987" s="201"/>
    </row>
    <row r="29988" spans="62:62" x14ac:dyDescent="0.2">
      <c r="BJ29988" s="201"/>
    </row>
    <row r="29989" spans="62:62" x14ac:dyDescent="0.2">
      <c r="BJ29989" s="201"/>
    </row>
    <row r="29990" spans="62:62" x14ac:dyDescent="0.2">
      <c r="BJ29990" s="201"/>
    </row>
    <row r="29991" spans="62:62" x14ac:dyDescent="0.2">
      <c r="BJ29991" s="201"/>
    </row>
    <row r="29992" spans="62:62" x14ac:dyDescent="0.2">
      <c r="BJ29992" s="201"/>
    </row>
    <row r="29993" spans="62:62" x14ac:dyDescent="0.2">
      <c r="BJ29993" s="201"/>
    </row>
    <row r="29994" spans="62:62" x14ac:dyDescent="0.2">
      <c r="BJ29994" s="201"/>
    </row>
    <row r="29995" spans="62:62" x14ac:dyDescent="0.2">
      <c r="BJ29995" s="201"/>
    </row>
    <row r="29996" spans="62:62" x14ac:dyDescent="0.2">
      <c r="BJ29996" s="201"/>
    </row>
    <row r="29997" spans="62:62" x14ac:dyDescent="0.2">
      <c r="BJ29997" s="201"/>
    </row>
    <row r="29998" spans="62:62" x14ac:dyDescent="0.2">
      <c r="BJ29998" s="201"/>
    </row>
    <row r="29999" spans="62:62" x14ac:dyDescent="0.2">
      <c r="BJ29999" s="201"/>
    </row>
    <row r="30000" spans="62:62" x14ac:dyDescent="0.2">
      <c r="BJ30000" s="201"/>
    </row>
    <row r="30001" spans="62:62" x14ac:dyDescent="0.2">
      <c r="BJ30001" s="201"/>
    </row>
    <row r="30002" spans="62:62" x14ac:dyDescent="0.2">
      <c r="BJ30002" s="201"/>
    </row>
    <row r="30003" spans="62:62" x14ac:dyDescent="0.2">
      <c r="BJ30003" s="201"/>
    </row>
    <row r="30004" spans="62:62" x14ac:dyDescent="0.2">
      <c r="BJ30004" s="201"/>
    </row>
    <row r="30005" spans="62:62" x14ac:dyDescent="0.2">
      <c r="BJ30005" s="201"/>
    </row>
    <row r="30006" spans="62:62" x14ac:dyDescent="0.2">
      <c r="BJ30006" s="201"/>
    </row>
    <row r="30007" spans="62:62" x14ac:dyDescent="0.2">
      <c r="BJ30007" s="201"/>
    </row>
    <row r="30008" spans="62:62" x14ac:dyDescent="0.2">
      <c r="BJ30008" s="201"/>
    </row>
    <row r="30009" spans="62:62" x14ac:dyDescent="0.2">
      <c r="BJ30009" s="201"/>
    </row>
    <row r="30010" spans="62:62" x14ac:dyDescent="0.2">
      <c r="BJ30010" s="201"/>
    </row>
    <row r="30011" spans="62:62" x14ac:dyDescent="0.2">
      <c r="BJ30011" s="201"/>
    </row>
    <row r="30012" spans="62:62" x14ac:dyDescent="0.2">
      <c r="BJ30012" s="201"/>
    </row>
    <row r="30013" spans="62:62" x14ac:dyDescent="0.2">
      <c r="BJ30013" s="201"/>
    </row>
    <row r="30014" spans="62:62" x14ac:dyDescent="0.2">
      <c r="BJ30014" s="201"/>
    </row>
    <row r="30015" spans="62:62" x14ac:dyDescent="0.2">
      <c r="BJ30015" s="201"/>
    </row>
    <row r="30016" spans="62:62" x14ac:dyDescent="0.2">
      <c r="BJ30016" s="201"/>
    </row>
    <row r="30017" spans="62:62" x14ac:dyDescent="0.2">
      <c r="BJ30017" s="201"/>
    </row>
    <row r="30018" spans="62:62" x14ac:dyDescent="0.2">
      <c r="BJ30018" s="201"/>
    </row>
    <row r="30019" spans="62:62" x14ac:dyDescent="0.2">
      <c r="BJ30019" s="201"/>
    </row>
    <row r="30020" spans="62:62" x14ac:dyDescent="0.2">
      <c r="BJ30020" s="201"/>
    </row>
    <row r="30021" spans="62:62" x14ac:dyDescent="0.2">
      <c r="BJ30021" s="201"/>
    </row>
    <row r="30022" spans="62:62" x14ac:dyDescent="0.2">
      <c r="BJ30022" s="201"/>
    </row>
    <row r="30023" spans="62:62" x14ac:dyDescent="0.2">
      <c r="BJ30023" s="201"/>
    </row>
    <row r="30024" spans="62:62" x14ac:dyDescent="0.2">
      <c r="BJ30024" s="201"/>
    </row>
    <row r="30025" spans="62:62" x14ac:dyDescent="0.2">
      <c r="BJ30025" s="201"/>
    </row>
    <row r="30026" spans="62:62" x14ac:dyDescent="0.2">
      <c r="BJ30026" s="201"/>
    </row>
    <row r="30027" spans="62:62" x14ac:dyDescent="0.2">
      <c r="BJ30027" s="201"/>
    </row>
    <row r="30028" spans="62:62" x14ac:dyDescent="0.2">
      <c r="BJ30028" s="201"/>
    </row>
    <row r="30029" spans="62:62" x14ac:dyDescent="0.2">
      <c r="BJ30029" s="201"/>
    </row>
    <row r="30030" spans="62:62" x14ac:dyDescent="0.2">
      <c r="BJ30030" s="201"/>
    </row>
    <row r="30031" spans="62:62" x14ac:dyDescent="0.2">
      <c r="BJ30031" s="201"/>
    </row>
    <row r="30032" spans="62:62" x14ac:dyDescent="0.2">
      <c r="BJ30032" s="201"/>
    </row>
    <row r="30033" spans="62:62" x14ac:dyDescent="0.2">
      <c r="BJ30033" s="201"/>
    </row>
    <row r="30034" spans="62:62" x14ac:dyDescent="0.2">
      <c r="BJ30034" s="201"/>
    </row>
    <row r="30035" spans="62:62" x14ac:dyDescent="0.2">
      <c r="BJ30035" s="201"/>
    </row>
    <row r="30036" spans="62:62" x14ac:dyDescent="0.2">
      <c r="BJ30036" s="201"/>
    </row>
    <row r="30037" spans="62:62" x14ac:dyDescent="0.2">
      <c r="BJ30037" s="201"/>
    </row>
    <row r="30038" spans="62:62" x14ac:dyDescent="0.2">
      <c r="BJ30038" s="201"/>
    </row>
    <row r="30039" spans="62:62" x14ac:dyDescent="0.2">
      <c r="BJ30039" s="201"/>
    </row>
    <row r="30040" spans="62:62" x14ac:dyDescent="0.2">
      <c r="BJ30040" s="201"/>
    </row>
    <row r="30041" spans="62:62" x14ac:dyDescent="0.2">
      <c r="BJ30041" s="201"/>
    </row>
    <row r="30042" spans="62:62" x14ac:dyDescent="0.2">
      <c r="BJ30042" s="201"/>
    </row>
    <row r="30043" spans="62:62" x14ac:dyDescent="0.2">
      <c r="BJ30043" s="201"/>
    </row>
    <row r="30044" spans="62:62" x14ac:dyDescent="0.2">
      <c r="BJ30044" s="201"/>
    </row>
    <row r="30045" spans="62:62" x14ac:dyDescent="0.2">
      <c r="BJ30045" s="201"/>
    </row>
    <row r="30046" spans="62:62" x14ac:dyDescent="0.2">
      <c r="BJ30046" s="201"/>
    </row>
    <row r="30047" spans="62:62" x14ac:dyDescent="0.2">
      <c r="BJ30047" s="201"/>
    </row>
    <row r="30048" spans="62:62" x14ac:dyDescent="0.2">
      <c r="BJ30048" s="201"/>
    </row>
    <row r="30049" spans="62:62" x14ac:dyDescent="0.2">
      <c r="BJ30049" s="201"/>
    </row>
    <row r="30050" spans="62:62" x14ac:dyDescent="0.2">
      <c r="BJ30050" s="201"/>
    </row>
    <row r="30051" spans="62:62" x14ac:dyDescent="0.2">
      <c r="BJ30051" s="201"/>
    </row>
    <row r="30052" spans="62:62" x14ac:dyDescent="0.2">
      <c r="BJ30052" s="201"/>
    </row>
    <row r="30053" spans="62:62" x14ac:dyDescent="0.2">
      <c r="BJ30053" s="201"/>
    </row>
    <row r="30054" spans="62:62" x14ac:dyDescent="0.2">
      <c r="BJ30054" s="201"/>
    </row>
    <row r="30055" spans="62:62" x14ac:dyDescent="0.2">
      <c r="BJ30055" s="201"/>
    </row>
    <row r="30056" spans="62:62" x14ac:dyDescent="0.2">
      <c r="BJ30056" s="201"/>
    </row>
    <row r="30057" spans="62:62" x14ac:dyDescent="0.2">
      <c r="BJ30057" s="201"/>
    </row>
    <row r="30058" spans="62:62" x14ac:dyDescent="0.2">
      <c r="BJ30058" s="201"/>
    </row>
    <row r="30059" spans="62:62" x14ac:dyDescent="0.2">
      <c r="BJ30059" s="201"/>
    </row>
    <row r="30060" spans="62:62" x14ac:dyDescent="0.2">
      <c r="BJ30060" s="201"/>
    </row>
    <row r="30061" spans="62:62" x14ac:dyDescent="0.2">
      <c r="BJ30061" s="201"/>
    </row>
    <row r="30062" spans="62:62" x14ac:dyDescent="0.2">
      <c r="BJ30062" s="201"/>
    </row>
    <row r="30063" spans="62:62" x14ac:dyDescent="0.2">
      <c r="BJ30063" s="201"/>
    </row>
    <row r="30064" spans="62:62" x14ac:dyDescent="0.2">
      <c r="BJ30064" s="201"/>
    </row>
    <row r="30065" spans="62:62" x14ac:dyDescent="0.2">
      <c r="BJ30065" s="201"/>
    </row>
    <row r="30066" spans="62:62" x14ac:dyDescent="0.2">
      <c r="BJ30066" s="201"/>
    </row>
    <row r="30067" spans="62:62" x14ac:dyDescent="0.2">
      <c r="BJ30067" s="201"/>
    </row>
    <row r="30068" spans="62:62" x14ac:dyDescent="0.2">
      <c r="BJ30068" s="201"/>
    </row>
    <row r="30069" spans="62:62" x14ac:dyDescent="0.2">
      <c r="BJ30069" s="201"/>
    </row>
    <row r="30070" spans="62:62" x14ac:dyDescent="0.2">
      <c r="BJ30070" s="201"/>
    </row>
    <row r="30071" spans="62:62" x14ac:dyDescent="0.2">
      <c r="BJ30071" s="201"/>
    </row>
    <row r="30072" spans="62:62" x14ac:dyDescent="0.2">
      <c r="BJ30072" s="201"/>
    </row>
    <row r="30073" spans="62:62" x14ac:dyDescent="0.2">
      <c r="BJ30073" s="201"/>
    </row>
    <row r="30074" spans="62:62" x14ac:dyDescent="0.2">
      <c r="BJ30074" s="201"/>
    </row>
    <row r="30075" spans="62:62" x14ac:dyDescent="0.2">
      <c r="BJ30075" s="201"/>
    </row>
    <row r="30076" spans="62:62" x14ac:dyDescent="0.2">
      <c r="BJ30076" s="201"/>
    </row>
    <row r="30077" spans="62:62" x14ac:dyDescent="0.2">
      <c r="BJ30077" s="201"/>
    </row>
    <row r="30078" spans="62:62" x14ac:dyDescent="0.2">
      <c r="BJ30078" s="201"/>
    </row>
    <row r="30079" spans="62:62" x14ac:dyDescent="0.2">
      <c r="BJ30079" s="201"/>
    </row>
    <row r="30080" spans="62:62" x14ac:dyDescent="0.2">
      <c r="BJ30080" s="201"/>
    </row>
    <row r="30081" spans="62:62" x14ac:dyDescent="0.2">
      <c r="BJ30081" s="201"/>
    </row>
    <row r="30082" spans="62:62" x14ac:dyDescent="0.2">
      <c r="BJ30082" s="201"/>
    </row>
    <row r="30083" spans="62:62" x14ac:dyDescent="0.2">
      <c r="BJ30083" s="201"/>
    </row>
    <row r="30084" spans="62:62" x14ac:dyDescent="0.2">
      <c r="BJ30084" s="201"/>
    </row>
    <row r="30085" spans="62:62" x14ac:dyDescent="0.2">
      <c r="BJ30085" s="201"/>
    </row>
    <row r="30086" spans="62:62" x14ac:dyDescent="0.2">
      <c r="BJ30086" s="201"/>
    </row>
    <row r="30087" spans="62:62" x14ac:dyDescent="0.2">
      <c r="BJ30087" s="201"/>
    </row>
    <row r="30088" spans="62:62" x14ac:dyDescent="0.2">
      <c r="BJ30088" s="201"/>
    </row>
    <row r="30089" spans="62:62" x14ac:dyDescent="0.2">
      <c r="BJ30089" s="201"/>
    </row>
    <row r="30090" spans="62:62" x14ac:dyDescent="0.2">
      <c r="BJ30090" s="201"/>
    </row>
    <row r="30091" spans="62:62" x14ac:dyDescent="0.2">
      <c r="BJ30091" s="201"/>
    </row>
    <row r="30092" spans="62:62" x14ac:dyDescent="0.2">
      <c r="BJ30092" s="201"/>
    </row>
    <row r="30093" spans="62:62" x14ac:dyDescent="0.2">
      <c r="BJ30093" s="201"/>
    </row>
    <row r="30094" spans="62:62" x14ac:dyDescent="0.2">
      <c r="BJ30094" s="201"/>
    </row>
    <row r="30095" spans="62:62" x14ac:dyDescent="0.2">
      <c r="BJ30095" s="201"/>
    </row>
    <row r="30096" spans="62:62" x14ac:dyDescent="0.2">
      <c r="BJ30096" s="201"/>
    </row>
    <row r="30097" spans="62:62" x14ac:dyDescent="0.2">
      <c r="BJ30097" s="201"/>
    </row>
    <row r="30098" spans="62:62" x14ac:dyDescent="0.2">
      <c r="BJ30098" s="201"/>
    </row>
    <row r="30099" spans="62:62" x14ac:dyDescent="0.2">
      <c r="BJ30099" s="201"/>
    </row>
    <row r="30100" spans="62:62" x14ac:dyDescent="0.2">
      <c r="BJ30100" s="201"/>
    </row>
    <row r="30101" spans="62:62" x14ac:dyDescent="0.2">
      <c r="BJ30101" s="201"/>
    </row>
    <row r="30102" spans="62:62" x14ac:dyDescent="0.2">
      <c r="BJ30102" s="201"/>
    </row>
    <row r="30103" spans="62:62" x14ac:dyDescent="0.2">
      <c r="BJ30103" s="201"/>
    </row>
    <row r="30104" spans="62:62" x14ac:dyDescent="0.2">
      <c r="BJ30104" s="201"/>
    </row>
    <row r="30105" spans="62:62" x14ac:dyDescent="0.2">
      <c r="BJ30105" s="201"/>
    </row>
    <row r="30106" spans="62:62" x14ac:dyDescent="0.2">
      <c r="BJ30106" s="201"/>
    </row>
    <row r="30107" spans="62:62" x14ac:dyDescent="0.2">
      <c r="BJ30107" s="201"/>
    </row>
    <row r="30108" spans="62:62" x14ac:dyDescent="0.2">
      <c r="BJ30108" s="201"/>
    </row>
    <row r="30109" spans="62:62" x14ac:dyDescent="0.2">
      <c r="BJ30109" s="201"/>
    </row>
    <row r="30110" spans="62:62" x14ac:dyDescent="0.2">
      <c r="BJ30110" s="201"/>
    </row>
    <row r="30111" spans="62:62" x14ac:dyDescent="0.2">
      <c r="BJ30111" s="201"/>
    </row>
    <row r="30112" spans="62:62" x14ac:dyDescent="0.2">
      <c r="BJ30112" s="201"/>
    </row>
    <row r="30113" spans="62:62" x14ac:dyDescent="0.2">
      <c r="BJ30113" s="201"/>
    </row>
    <row r="30114" spans="62:62" x14ac:dyDescent="0.2">
      <c r="BJ30114" s="201"/>
    </row>
    <row r="30115" spans="62:62" x14ac:dyDescent="0.2">
      <c r="BJ30115" s="201"/>
    </row>
    <row r="30116" spans="62:62" x14ac:dyDescent="0.2">
      <c r="BJ30116" s="201"/>
    </row>
    <row r="30117" spans="62:62" x14ac:dyDescent="0.2">
      <c r="BJ30117" s="201"/>
    </row>
    <row r="30118" spans="62:62" x14ac:dyDescent="0.2">
      <c r="BJ30118" s="201"/>
    </row>
    <row r="30119" spans="62:62" x14ac:dyDescent="0.2">
      <c r="BJ30119" s="201"/>
    </row>
    <row r="30120" spans="62:62" x14ac:dyDescent="0.2">
      <c r="BJ30120" s="201"/>
    </row>
    <row r="30121" spans="62:62" x14ac:dyDescent="0.2">
      <c r="BJ30121" s="201"/>
    </row>
    <row r="30122" spans="62:62" x14ac:dyDescent="0.2">
      <c r="BJ30122" s="201"/>
    </row>
    <row r="30123" spans="62:62" x14ac:dyDescent="0.2">
      <c r="BJ30123" s="201"/>
    </row>
    <row r="30124" spans="62:62" x14ac:dyDescent="0.2">
      <c r="BJ30124" s="201"/>
    </row>
    <row r="30125" spans="62:62" x14ac:dyDescent="0.2">
      <c r="BJ30125" s="201"/>
    </row>
    <row r="30126" spans="62:62" x14ac:dyDescent="0.2">
      <c r="BJ30126" s="201"/>
    </row>
    <row r="30127" spans="62:62" x14ac:dyDescent="0.2">
      <c r="BJ30127" s="201"/>
    </row>
    <row r="30128" spans="62:62" x14ac:dyDescent="0.2">
      <c r="BJ30128" s="201"/>
    </row>
    <row r="30129" spans="62:62" x14ac:dyDescent="0.2">
      <c r="BJ30129" s="201"/>
    </row>
    <row r="30130" spans="62:62" x14ac:dyDescent="0.2">
      <c r="BJ30130" s="201"/>
    </row>
    <row r="30131" spans="62:62" x14ac:dyDescent="0.2">
      <c r="BJ30131" s="201"/>
    </row>
    <row r="30132" spans="62:62" x14ac:dyDescent="0.2">
      <c r="BJ30132" s="201"/>
    </row>
    <row r="30133" spans="62:62" x14ac:dyDescent="0.2">
      <c r="BJ30133" s="201"/>
    </row>
    <row r="30134" spans="62:62" x14ac:dyDescent="0.2">
      <c r="BJ30134" s="201"/>
    </row>
    <row r="30135" spans="62:62" x14ac:dyDescent="0.2">
      <c r="BJ30135" s="201"/>
    </row>
    <row r="30136" spans="62:62" x14ac:dyDescent="0.2">
      <c r="BJ30136" s="201"/>
    </row>
    <row r="30137" spans="62:62" x14ac:dyDescent="0.2">
      <c r="BJ30137" s="201"/>
    </row>
    <row r="30138" spans="62:62" x14ac:dyDescent="0.2">
      <c r="BJ30138" s="201"/>
    </row>
    <row r="30139" spans="62:62" x14ac:dyDescent="0.2">
      <c r="BJ30139" s="201"/>
    </row>
    <row r="30140" spans="62:62" x14ac:dyDescent="0.2">
      <c r="BJ30140" s="201"/>
    </row>
    <row r="30141" spans="62:62" x14ac:dyDescent="0.2">
      <c r="BJ30141" s="201"/>
    </row>
    <row r="30142" spans="62:62" x14ac:dyDescent="0.2">
      <c r="BJ30142" s="201"/>
    </row>
    <row r="30143" spans="62:62" x14ac:dyDescent="0.2">
      <c r="BJ30143" s="201"/>
    </row>
    <row r="30144" spans="62:62" x14ac:dyDescent="0.2">
      <c r="BJ30144" s="201"/>
    </row>
    <row r="30145" spans="62:62" x14ac:dyDescent="0.2">
      <c r="BJ30145" s="201"/>
    </row>
    <row r="30146" spans="62:62" x14ac:dyDescent="0.2">
      <c r="BJ30146" s="201"/>
    </row>
    <row r="30147" spans="62:62" x14ac:dyDescent="0.2">
      <c r="BJ30147" s="201"/>
    </row>
    <row r="30148" spans="62:62" x14ac:dyDescent="0.2">
      <c r="BJ30148" s="201"/>
    </row>
    <row r="30149" spans="62:62" x14ac:dyDescent="0.2">
      <c r="BJ30149" s="201"/>
    </row>
    <row r="30150" spans="62:62" x14ac:dyDescent="0.2">
      <c r="BJ30150" s="201"/>
    </row>
    <row r="30151" spans="62:62" x14ac:dyDescent="0.2">
      <c r="BJ30151" s="201"/>
    </row>
    <row r="30152" spans="62:62" x14ac:dyDescent="0.2">
      <c r="BJ30152" s="201"/>
    </row>
    <row r="30153" spans="62:62" x14ac:dyDescent="0.2">
      <c r="BJ30153" s="201"/>
    </row>
    <row r="30154" spans="62:62" x14ac:dyDescent="0.2">
      <c r="BJ30154" s="201"/>
    </row>
    <row r="30155" spans="62:62" x14ac:dyDescent="0.2">
      <c r="BJ30155" s="201"/>
    </row>
    <row r="30156" spans="62:62" x14ac:dyDescent="0.2">
      <c r="BJ30156" s="201"/>
    </row>
    <row r="30157" spans="62:62" x14ac:dyDescent="0.2">
      <c r="BJ30157" s="201"/>
    </row>
    <row r="30158" spans="62:62" x14ac:dyDescent="0.2">
      <c r="BJ30158" s="201"/>
    </row>
    <row r="30159" spans="62:62" x14ac:dyDescent="0.2">
      <c r="BJ30159" s="201"/>
    </row>
    <row r="30160" spans="62:62" x14ac:dyDescent="0.2">
      <c r="BJ30160" s="201"/>
    </row>
    <row r="30161" spans="62:62" x14ac:dyDescent="0.2">
      <c r="BJ30161" s="201"/>
    </row>
    <row r="30162" spans="62:62" x14ac:dyDescent="0.2">
      <c r="BJ30162" s="201"/>
    </row>
    <row r="30163" spans="62:62" x14ac:dyDescent="0.2">
      <c r="BJ30163" s="201"/>
    </row>
    <row r="30164" spans="62:62" x14ac:dyDescent="0.2">
      <c r="BJ30164" s="201"/>
    </row>
    <row r="30165" spans="62:62" x14ac:dyDescent="0.2">
      <c r="BJ30165" s="201"/>
    </row>
    <row r="30166" spans="62:62" x14ac:dyDescent="0.2">
      <c r="BJ30166" s="201"/>
    </row>
    <row r="30167" spans="62:62" x14ac:dyDescent="0.2">
      <c r="BJ30167" s="201"/>
    </row>
    <row r="30168" spans="62:62" x14ac:dyDescent="0.2">
      <c r="BJ30168" s="201"/>
    </row>
    <row r="30169" spans="62:62" x14ac:dyDescent="0.2">
      <c r="BJ30169" s="201"/>
    </row>
    <row r="30170" spans="62:62" x14ac:dyDescent="0.2">
      <c r="BJ30170" s="201"/>
    </row>
    <row r="30171" spans="62:62" x14ac:dyDescent="0.2">
      <c r="BJ30171" s="201"/>
    </row>
    <row r="30172" spans="62:62" x14ac:dyDescent="0.2">
      <c r="BJ30172" s="201"/>
    </row>
    <row r="30173" spans="62:62" x14ac:dyDescent="0.2">
      <c r="BJ30173" s="201"/>
    </row>
    <row r="30174" spans="62:62" x14ac:dyDescent="0.2">
      <c r="BJ30174" s="201"/>
    </row>
    <row r="30175" spans="62:62" x14ac:dyDescent="0.2">
      <c r="BJ30175" s="201"/>
    </row>
    <row r="30176" spans="62:62" x14ac:dyDescent="0.2">
      <c r="BJ30176" s="201"/>
    </row>
    <row r="30177" spans="62:62" x14ac:dyDescent="0.2">
      <c r="BJ30177" s="201"/>
    </row>
    <row r="30178" spans="62:62" x14ac:dyDescent="0.2">
      <c r="BJ30178" s="201"/>
    </row>
    <row r="30179" spans="62:62" x14ac:dyDescent="0.2">
      <c r="BJ30179" s="201"/>
    </row>
    <row r="30180" spans="62:62" x14ac:dyDescent="0.2">
      <c r="BJ30180" s="201"/>
    </row>
    <row r="30181" spans="62:62" x14ac:dyDescent="0.2">
      <c r="BJ30181" s="201"/>
    </row>
    <row r="30182" spans="62:62" x14ac:dyDescent="0.2">
      <c r="BJ30182" s="201"/>
    </row>
    <row r="30183" spans="62:62" x14ac:dyDescent="0.2">
      <c r="BJ30183" s="201"/>
    </row>
    <row r="30184" spans="62:62" x14ac:dyDescent="0.2">
      <c r="BJ30184" s="201"/>
    </row>
    <row r="30185" spans="62:62" x14ac:dyDescent="0.2">
      <c r="BJ30185" s="201"/>
    </row>
    <row r="30186" spans="62:62" x14ac:dyDescent="0.2">
      <c r="BJ30186" s="201"/>
    </row>
    <row r="30187" spans="62:62" x14ac:dyDescent="0.2">
      <c r="BJ30187" s="201"/>
    </row>
    <row r="30188" spans="62:62" x14ac:dyDescent="0.2">
      <c r="BJ30188" s="201"/>
    </row>
    <row r="30189" spans="62:62" x14ac:dyDescent="0.2">
      <c r="BJ30189" s="201"/>
    </row>
    <row r="30190" spans="62:62" x14ac:dyDescent="0.2">
      <c r="BJ30190" s="201"/>
    </row>
    <row r="30191" spans="62:62" x14ac:dyDescent="0.2">
      <c r="BJ30191" s="201"/>
    </row>
    <row r="30192" spans="62:62" x14ac:dyDescent="0.2">
      <c r="BJ30192" s="201"/>
    </row>
    <row r="30193" spans="62:62" x14ac:dyDescent="0.2">
      <c r="BJ30193" s="201"/>
    </row>
    <row r="30194" spans="62:62" x14ac:dyDescent="0.2">
      <c r="BJ30194" s="201"/>
    </row>
    <row r="30195" spans="62:62" x14ac:dyDescent="0.2">
      <c r="BJ30195" s="201"/>
    </row>
    <row r="30196" spans="62:62" x14ac:dyDescent="0.2">
      <c r="BJ30196" s="201"/>
    </row>
    <row r="30197" spans="62:62" x14ac:dyDescent="0.2">
      <c r="BJ30197" s="201"/>
    </row>
    <row r="30198" spans="62:62" x14ac:dyDescent="0.2">
      <c r="BJ30198" s="201"/>
    </row>
    <row r="30199" spans="62:62" x14ac:dyDescent="0.2">
      <c r="BJ30199" s="201"/>
    </row>
    <row r="30200" spans="62:62" x14ac:dyDescent="0.2">
      <c r="BJ30200" s="201"/>
    </row>
    <row r="30201" spans="62:62" x14ac:dyDescent="0.2">
      <c r="BJ30201" s="201"/>
    </row>
    <row r="30202" spans="62:62" x14ac:dyDescent="0.2">
      <c r="BJ30202" s="201"/>
    </row>
    <row r="30203" spans="62:62" x14ac:dyDescent="0.2">
      <c r="BJ30203" s="201"/>
    </row>
    <row r="30204" spans="62:62" x14ac:dyDescent="0.2">
      <c r="BJ30204" s="201"/>
    </row>
    <row r="30205" spans="62:62" x14ac:dyDescent="0.2">
      <c r="BJ30205" s="201"/>
    </row>
    <row r="30206" spans="62:62" x14ac:dyDescent="0.2">
      <c r="BJ30206" s="201"/>
    </row>
    <row r="30207" spans="62:62" x14ac:dyDescent="0.2">
      <c r="BJ30207" s="201"/>
    </row>
    <row r="30208" spans="62:62" x14ac:dyDescent="0.2">
      <c r="BJ30208" s="201"/>
    </row>
    <row r="30209" spans="62:62" x14ac:dyDescent="0.2">
      <c r="BJ30209" s="201"/>
    </row>
    <row r="30210" spans="62:62" x14ac:dyDescent="0.2">
      <c r="BJ30210" s="201"/>
    </row>
    <row r="30211" spans="62:62" x14ac:dyDescent="0.2">
      <c r="BJ30211" s="201"/>
    </row>
    <row r="30212" spans="62:62" x14ac:dyDescent="0.2">
      <c r="BJ30212" s="201"/>
    </row>
    <row r="30213" spans="62:62" x14ac:dyDescent="0.2">
      <c r="BJ30213" s="201"/>
    </row>
    <row r="30214" spans="62:62" x14ac:dyDescent="0.2">
      <c r="BJ30214" s="201"/>
    </row>
    <row r="30215" spans="62:62" x14ac:dyDescent="0.2">
      <c r="BJ30215" s="201"/>
    </row>
    <row r="30216" spans="62:62" x14ac:dyDescent="0.2">
      <c r="BJ30216" s="201"/>
    </row>
    <row r="30217" spans="62:62" x14ac:dyDescent="0.2">
      <c r="BJ30217" s="201"/>
    </row>
    <row r="30218" spans="62:62" x14ac:dyDescent="0.2">
      <c r="BJ30218" s="201"/>
    </row>
    <row r="30219" spans="62:62" x14ac:dyDescent="0.2">
      <c r="BJ30219" s="201"/>
    </row>
    <row r="30220" spans="62:62" x14ac:dyDescent="0.2">
      <c r="BJ30220" s="201"/>
    </row>
    <row r="30221" spans="62:62" x14ac:dyDescent="0.2">
      <c r="BJ30221" s="201"/>
    </row>
    <row r="30222" spans="62:62" x14ac:dyDescent="0.2">
      <c r="BJ30222" s="201"/>
    </row>
    <row r="30223" spans="62:62" x14ac:dyDescent="0.2">
      <c r="BJ30223" s="201"/>
    </row>
    <row r="30224" spans="62:62" x14ac:dyDescent="0.2">
      <c r="BJ30224" s="201"/>
    </row>
    <row r="30225" spans="62:62" x14ac:dyDescent="0.2">
      <c r="BJ30225" s="201"/>
    </row>
    <row r="30226" spans="62:62" x14ac:dyDescent="0.2">
      <c r="BJ30226" s="201"/>
    </row>
    <row r="30227" spans="62:62" x14ac:dyDescent="0.2">
      <c r="BJ30227" s="201"/>
    </row>
    <row r="30228" spans="62:62" x14ac:dyDescent="0.2">
      <c r="BJ30228" s="201"/>
    </row>
    <row r="30229" spans="62:62" x14ac:dyDescent="0.2">
      <c r="BJ30229" s="201"/>
    </row>
    <row r="30230" spans="62:62" x14ac:dyDescent="0.2">
      <c r="BJ30230" s="201"/>
    </row>
    <row r="30231" spans="62:62" x14ac:dyDescent="0.2">
      <c r="BJ30231" s="201"/>
    </row>
    <row r="30232" spans="62:62" x14ac:dyDescent="0.2">
      <c r="BJ30232" s="201"/>
    </row>
    <row r="30233" spans="62:62" x14ac:dyDescent="0.2">
      <c r="BJ30233" s="201"/>
    </row>
    <row r="30234" spans="62:62" x14ac:dyDescent="0.2">
      <c r="BJ30234" s="201"/>
    </row>
    <row r="30235" spans="62:62" x14ac:dyDescent="0.2">
      <c r="BJ30235" s="201"/>
    </row>
    <row r="30236" spans="62:62" x14ac:dyDescent="0.2">
      <c r="BJ30236" s="201"/>
    </row>
    <row r="30237" spans="62:62" x14ac:dyDescent="0.2">
      <c r="BJ30237" s="201"/>
    </row>
    <row r="30238" spans="62:62" x14ac:dyDescent="0.2">
      <c r="BJ30238" s="201"/>
    </row>
    <row r="30239" spans="62:62" x14ac:dyDescent="0.2">
      <c r="BJ30239" s="201"/>
    </row>
    <row r="30240" spans="62:62" x14ac:dyDescent="0.2">
      <c r="BJ30240" s="201"/>
    </row>
    <row r="30241" spans="62:62" x14ac:dyDescent="0.2">
      <c r="BJ30241" s="201"/>
    </row>
    <row r="30242" spans="62:62" x14ac:dyDescent="0.2">
      <c r="BJ30242" s="201"/>
    </row>
    <row r="30243" spans="62:62" x14ac:dyDescent="0.2">
      <c r="BJ30243" s="201"/>
    </row>
    <row r="30244" spans="62:62" x14ac:dyDescent="0.2">
      <c r="BJ30244" s="201"/>
    </row>
    <row r="30245" spans="62:62" x14ac:dyDescent="0.2">
      <c r="BJ30245" s="201"/>
    </row>
    <row r="30246" spans="62:62" x14ac:dyDescent="0.2">
      <c r="BJ30246" s="201"/>
    </row>
    <row r="30247" spans="62:62" x14ac:dyDescent="0.2">
      <c r="BJ30247" s="201"/>
    </row>
    <row r="30248" spans="62:62" x14ac:dyDescent="0.2">
      <c r="BJ30248" s="201"/>
    </row>
    <row r="30249" spans="62:62" x14ac:dyDescent="0.2">
      <c r="BJ30249" s="201"/>
    </row>
    <row r="30250" spans="62:62" x14ac:dyDescent="0.2">
      <c r="BJ30250" s="201"/>
    </row>
    <row r="30251" spans="62:62" x14ac:dyDescent="0.2">
      <c r="BJ30251" s="201"/>
    </row>
    <row r="30252" spans="62:62" x14ac:dyDescent="0.2">
      <c r="BJ30252" s="201"/>
    </row>
    <row r="30253" spans="62:62" x14ac:dyDescent="0.2">
      <c r="BJ30253" s="201"/>
    </row>
    <row r="30254" spans="62:62" x14ac:dyDescent="0.2">
      <c r="BJ30254" s="201"/>
    </row>
    <row r="30255" spans="62:62" x14ac:dyDescent="0.2">
      <c r="BJ30255" s="201"/>
    </row>
    <row r="30256" spans="62:62" x14ac:dyDescent="0.2">
      <c r="BJ30256" s="201"/>
    </row>
    <row r="30257" spans="62:62" x14ac:dyDescent="0.2">
      <c r="BJ30257" s="201"/>
    </row>
    <row r="30258" spans="62:62" x14ac:dyDescent="0.2">
      <c r="BJ30258" s="201"/>
    </row>
    <row r="30259" spans="62:62" x14ac:dyDescent="0.2">
      <c r="BJ30259" s="201"/>
    </row>
    <row r="30260" spans="62:62" x14ac:dyDescent="0.2">
      <c r="BJ30260" s="201"/>
    </row>
    <row r="30261" spans="62:62" x14ac:dyDescent="0.2">
      <c r="BJ30261" s="201"/>
    </row>
    <row r="30262" spans="62:62" x14ac:dyDescent="0.2">
      <c r="BJ30262" s="201"/>
    </row>
    <row r="30263" spans="62:62" x14ac:dyDescent="0.2">
      <c r="BJ30263" s="201"/>
    </row>
    <row r="30264" spans="62:62" x14ac:dyDescent="0.2">
      <c r="BJ30264" s="201"/>
    </row>
    <row r="30265" spans="62:62" x14ac:dyDescent="0.2">
      <c r="BJ30265" s="201"/>
    </row>
    <row r="30266" spans="62:62" x14ac:dyDescent="0.2">
      <c r="BJ30266" s="201"/>
    </row>
    <row r="30267" spans="62:62" x14ac:dyDescent="0.2">
      <c r="BJ30267" s="201"/>
    </row>
    <row r="30268" spans="62:62" x14ac:dyDescent="0.2">
      <c r="BJ30268" s="201"/>
    </row>
    <row r="30269" spans="62:62" x14ac:dyDescent="0.2">
      <c r="BJ30269" s="201"/>
    </row>
    <row r="30270" spans="62:62" x14ac:dyDescent="0.2">
      <c r="BJ30270" s="201"/>
    </row>
    <row r="30271" spans="62:62" x14ac:dyDescent="0.2">
      <c r="BJ30271" s="201"/>
    </row>
    <row r="30272" spans="62:62" x14ac:dyDescent="0.2">
      <c r="BJ30272" s="201"/>
    </row>
    <row r="30273" spans="62:62" x14ac:dyDescent="0.2">
      <c r="BJ30273" s="201"/>
    </row>
    <row r="30274" spans="62:62" x14ac:dyDescent="0.2">
      <c r="BJ30274" s="201"/>
    </row>
    <row r="30275" spans="62:62" x14ac:dyDescent="0.2">
      <c r="BJ30275" s="201"/>
    </row>
    <row r="30276" spans="62:62" x14ac:dyDescent="0.2">
      <c r="BJ30276" s="201"/>
    </row>
    <row r="30277" spans="62:62" x14ac:dyDescent="0.2">
      <c r="BJ30277" s="201"/>
    </row>
    <row r="30278" spans="62:62" x14ac:dyDescent="0.2">
      <c r="BJ30278" s="201"/>
    </row>
    <row r="30279" spans="62:62" x14ac:dyDescent="0.2">
      <c r="BJ30279" s="201"/>
    </row>
    <row r="30280" spans="62:62" x14ac:dyDescent="0.2">
      <c r="BJ30280" s="201"/>
    </row>
    <row r="30281" spans="62:62" x14ac:dyDescent="0.2">
      <c r="BJ30281" s="201"/>
    </row>
    <row r="30282" spans="62:62" x14ac:dyDescent="0.2">
      <c r="BJ30282" s="201"/>
    </row>
    <row r="30283" spans="62:62" x14ac:dyDescent="0.2">
      <c r="BJ30283" s="201"/>
    </row>
    <row r="30284" spans="62:62" x14ac:dyDescent="0.2">
      <c r="BJ30284" s="201"/>
    </row>
    <row r="30285" spans="62:62" x14ac:dyDescent="0.2">
      <c r="BJ30285" s="201"/>
    </row>
    <row r="30286" spans="62:62" x14ac:dyDescent="0.2">
      <c r="BJ30286" s="201"/>
    </row>
    <row r="30287" spans="62:62" x14ac:dyDescent="0.2">
      <c r="BJ30287" s="201"/>
    </row>
    <row r="30288" spans="62:62" x14ac:dyDescent="0.2">
      <c r="BJ30288" s="201"/>
    </row>
    <row r="30289" spans="62:62" x14ac:dyDescent="0.2">
      <c r="BJ30289" s="201"/>
    </row>
    <row r="30290" spans="62:62" x14ac:dyDescent="0.2">
      <c r="BJ30290" s="201"/>
    </row>
    <row r="30291" spans="62:62" x14ac:dyDescent="0.2">
      <c r="BJ30291" s="201"/>
    </row>
    <row r="30292" spans="62:62" x14ac:dyDescent="0.2">
      <c r="BJ30292" s="201"/>
    </row>
    <row r="30293" spans="62:62" x14ac:dyDescent="0.2">
      <c r="BJ30293" s="201"/>
    </row>
    <row r="30294" spans="62:62" x14ac:dyDescent="0.2">
      <c r="BJ30294" s="201"/>
    </row>
    <row r="30295" spans="62:62" x14ac:dyDescent="0.2">
      <c r="BJ30295" s="201"/>
    </row>
    <row r="30296" spans="62:62" x14ac:dyDescent="0.2">
      <c r="BJ30296" s="201"/>
    </row>
    <row r="30297" spans="62:62" x14ac:dyDescent="0.2">
      <c r="BJ30297" s="201"/>
    </row>
    <row r="30298" spans="62:62" x14ac:dyDescent="0.2">
      <c r="BJ30298" s="201"/>
    </row>
    <row r="30299" spans="62:62" x14ac:dyDescent="0.2">
      <c r="BJ30299" s="201"/>
    </row>
    <row r="30300" spans="62:62" x14ac:dyDescent="0.2">
      <c r="BJ30300" s="201"/>
    </row>
    <row r="30301" spans="62:62" x14ac:dyDescent="0.2">
      <c r="BJ30301" s="201"/>
    </row>
    <row r="30302" spans="62:62" x14ac:dyDescent="0.2">
      <c r="BJ30302" s="201"/>
    </row>
    <row r="30303" spans="62:62" x14ac:dyDescent="0.2">
      <c r="BJ30303" s="201"/>
    </row>
    <row r="30304" spans="62:62" x14ac:dyDescent="0.2">
      <c r="BJ30304" s="201"/>
    </row>
    <row r="30305" spans="62:62" x14ac:dyDescent="0.2">
      <c r="BJ30305" s="201"/>
    </row>
    <row r="30306" spans="62:62" x14ac:dyDescent="0.2">
      <c r="BJ30306" s="201"/>
    </row>
    <row r="30307" spans="62:62" x14ac:dyDescent="0.2">
      <c r="BJ30307" s="201"/>
    </row>
    <row r="30308" spans="62:62" x14ac:dyDescent="0.2">
      <c r="BJ30308" s="201"/>
    </row>
    <row r="30309" spans="62:62" x14ac:dyDescent="0.2">
      <c r="BJ30309" s="201"/>
    </row>
    <row r="30310" spans="62:62" x14ac:dyDescent="0.2">
      <c r="BJ30310" s="201"/>
    </row>
    <row r="30311" spans="62:62" x14ac:dyDescent="0.2">
      <c r="BJ30311" s="201"/>
    </row>
    <row r="30312" spans="62:62" x14ac:dyDescent="0.2">
      <c r="BJ30312" s="201"/>
    </row>
    <row r="30313" spans="62:62" x14ac:dyDescent="0.2">
      <c r="BJ30313" s="201"/>
    </row>
    <row r="30314" spans="62:62" x14ac:dyDescent="0.2">
      <c r="BJ30314" s="201"/>
    </row>
    <row r="30315" spans="62:62" x14ac:dyDescent="0.2">
      <c r="BJ30315" s="201"/>
    </row>
    <row r="30316" spans="62:62" x14ac:dyDescent="0.2">
      <c r="BJ30316" s="201"/>
    </row>
    <row r="30317" spans="62:62" x14ac:dyDescent="0.2">
      <c r="BJ30317" s="201"/>
    </row>
    <row r="30318" spans="62:62" x14ac:dyDescent="0.2">
      <c r="BJ30318" s="201"/>
    </row>
    <row r="30319" spans="62:62" x14ac:dyDescent="0.2">
      <c r="BJ30319" s="201"/>
    </row>
    <row r="30320" spans="62:62" x14ac:dyDescent="0.2">
      <c r="BJ30320" s="201"/>
    </row>
    <row r="30321" spans="62:62" x14ac:dyDescent="0.2">
      <c r="BJ30321" s="201"/>
    </row>
    <row r="30322" spans="62:62" x14ac:dyDescent="0.2">
      <c r="BJ30322" s="201"/>
    </row>
    <row r="30323" spans="62:62" x14ac:dyDescent="0.2">
      <c r="BJ30323" s="201"/>
    </row>
    <row r="30324" spans="62:62" x14ac:dyDescent="0.2">
      <c r="BJ30324" s="201"/>
    </row>
    <row r="30325" spans="62:62" x14ac:dyDescent="0.2">
      <c r="BJ30325" s="201"/>
    </row>
    <row r="30326" spans="62:62" x14ac:dyDescent="0.2">
      <c r="BJ30326" s="201"/>
    </row>
    <row r="30327" spans="62:62" x14ac:dyDescent="0.2">
      <c r="BJ30327" s="201"/>
    </row>
    <row r="30328" spans="62:62" x14ac:dyDescent="0.2">
      <c r="BJ30328" s="201"/>
    </row>
    <row r="30329" spans="62:62" x14ac:dyDescent="0.2">
      <c r="BJ30329" s="201"/>
    </row>
    <row r="30330" spans="62:62" x14ac:dyDescent="0.2">
      <c r="BJ30330" s="201"/>
    </row>
    <row r="30331" spans="62:62" x14ac:dyDescent="0.2">
      <c r="BJ30331" s="201"/>
    </row>
    <row r="30332" spans="62:62" x14ac:dyDescent="0.2">
      <c r="BJ30332" s="201"/>
    </row>
    <row r="30333" spans="62:62" x14ac:dyDescent="0.2">
      <c r="BJ30333" s="201"/>
    </row>
    <row r="30334" spans="62:62" x14ac:dyDescent="0.2">
      <c r="BJ30334" s="201"/>
    </row>
    <row r="30335" spans="62:62" x14ac:dyDescent="0.2">
      <c r="BJ30335" s="201"/>
    </row>
    <row r="30336" spans="62:62" x14ac:dyDescent="0.2">
      <c r="BJ30336" s="201"/>
    </row>
    <row r="30337" spans="62:62" x14ac:dyDescent="0.2">
      <c r="BJ30337" s="201"/>
    </row>
    <row r="30338" spans="62:62" x14ac:dyDescent="0.2">
      <c r="BJ30338" s="201"/>
    </row>
    <row r="30339" spans="62:62" x14ac:dyDescent="0.2">
      <c r="BJ30339" s="201"/>
    </row>
    <row r="30340" spans="62:62" x14ac:dyDescent="0.2">
      <c r="BJ30340" s="201"/>
    </row>
    <row r="30341" spans="62:62" x14ac:dyDescent="0.2">
      <c r="BJ30341" s="201"/>
    </row>
    <row r="30342" spans="62:62" x14ac:dyDescent="0.2">
      <c r="BJ30342" s="201"/>
    </row>
    <row r="30343" spans="62:62" x14ac:dyDescent="0.2">
      <c r="BJ30343" s="201"/>
    </row>
    <row r="30344" spans="62:62" x14ac:dyDescent="0.2">
      <c r="BJ30344" s="201"/>
    </row>
    <row r="30345" spans="62:62" x14ac:dyDescent="0.2">
      <c r="BJ30345" s="201"/>
    </row>
    <row r="30346" spans="62:62" x14ac:dyDescent="0.2">
      <c r="BJ30346" s="201"/>
    </row>
    <row r="30347" spans="62:62" x14ac:dyDescent="0.2">
      <c r="BJ30347" s="201"/>
    </row>
    <row r="30348" spans="62:62" x14ac:dyDescent="0.2">
      <c r="BJ30348" s="201"/>
    </row>
    <row r="30349" spans="62:62" x14ac:dyDescent="0.2">
      <c r="BJ30349" s="201"/>
    </row>
    <row r="30350" spans="62:62" x14ac:dyDescent="0.2">
      <c r="BJ30350" s="201"/>
    </row>
    <row r="30351" spans="62:62" x14ac:dyDescent="0.2">
      <c r="BJ30351" s="201"/>
    </row>
    <row r="30352" spans="62:62" x14ac:dyDescent="0.2">
      <c r="BJ30352" s="201"/>
    </row>
    <row r="30353" spans="62:62" x14ac:dyDescent="0.2">
      <c r="BJ30353" s="201"/>
    </row>
    <row r="30354" spans="62:62" x14ac:dyDescent="0.2">
      <c r="BJ30354" s="201"/>
    </row>
    <row r="30355" spans="62:62" x14ac:dyDescent="0.2">
      <c r="BJ30355" s="201"/>
    </row>
    <row r="30356" spans="62:62" x14ac:dyDescent="0.2">
      <c r="BJ30356" s="201"/>
    </row>
    <row r="30357" spans="62:62" x14ac:dyDescent="0.2">
      <c r="BJ30357" s="201"/>
    </row>
    <row r="30358" spans="62:62" x14ac:dyDescent="0.2">
      <c r="BJ30358" s="201"/>
    </row>
    <row r="30359" spans="62:62" x14ac:dyDescent="0.2">
      <c r="BJ30359" s="201"/>
    </row>
    <row r="30360" spans="62:62" x14ac:dyDescent="0.2">
      <c r="BJ30360" s="201"/>
    </row>
    <row r="30361" spans="62:62" x14ac:dyDescent="0.2">
      <c r="BJ30361" s="201"/>
    </row>
    <row r="30362" spans="62:62" x14ac:dyDescent="0.2">
      <c r="BJ30362" s="201"/>
    </row>
    <row r="30363" spans="62:62" x14ac:dyDescent="0.2">
      <c r="BJ30363" s="201"/>
    </row>
    <row r="30364" spans="62:62" x14ac:dyDescent="0.2">
      <c r="BJ30364" s="201"/>
    </row>
    <row r="30365" spans="62:62" x14ac:dyDescent="0.2">
      <c r="BJ30365" s="201"/>
    </row>
    <row r="30366" spans="62:62" x14ac:dyDescent="0.2">
      <c r="BJ30366" s="201"/>
    </row>
    <row r="30367" spans="62:62" x14ac:dyDescent="0.2">
      <c r="BJ30367" s="201"/>
    </row>
    <row r="30368" spans="62:62" x14ac:dyDescent="0.2">
      <c r="BJ30368" s="201"/>
    </row>
    <row r="30369" spans="62:62" x14ac:dyDescent="0.2">
      <c r="BJ30369" s="201"/>
    </row>
    <row r="30370" spans="62:62" x14ac:dyDescent="0.2">
      <c r="BJ30370" s="201"/>
    </row>
    <row r="30371" spans="62:62" x14ac:dyDescent="0.2">
      <c r="BJ30371" s="201"/>
    </row>
    <row r="30372" spans="62:62" x14ac:dyDescent="0.2">
      <c r="BJ30372" s="201"/>
    </row>
    <row r="30373" spans="62:62" x14ac:dyDescent="0.2">
      <c r="BJ30373" s="201"/>
    </row>
    <row r="30374" spans="62:62" x14ac:dyDescent="0.2">
      <c r="BJ30374" s="201"/>
    </row>
    <row r="30375" spans="62:62" x14ac:dyDescent="0.2">
      <c r="BJ30375" s="201"/>
    </row>
    <row r="30376" spans="62:62" x14ac:dyDescent="0.2">
      <c r="BJ30376" s="201"/>
    </row>
    <row r="30377" spans="62:62" x14ac:dyDescent="0.2">
      <c r="BJ30377" s="201"/>
    </row>
    <row r="30378" spans="62:62" x14ac:dyDescent="0.2">
      <c r="BJ30378" s="201"/>
    </row>
    <row r="30379" spans="62:62" x14ac:dyDescent="0.2">
      <c r="BJ30379" s="201"/>
    </row>
    <row r="30380" spans="62:62" x14ac:dyDescent="0.2">
      <c r="BJ30380" s="201"/>
    </row>
    <row r="30381" spans="62:62" x14ac:dyDescent="0.2">
      <c r="BJ30381" s="201"/>
    </row>
    <row r="30382" spans="62:62" x14ac:dyDescent="0.2">
      <c r="BJ30382" s="201"/>
    </row>
    <row r="30383" spans="62:62" x14ac:dyDescent="0.2">
      <c r="BJ30383" s="201"/>
    </row>
    <row r="30384" spans="62:62" x14ac:dyDescent="0.2">
      <c r="BJ30384" s="201"/>
    </row>
    <row r="30385" spans="62:62" x14ac:dyDescent="0.2">
      <c r="BJ30385" s="201"/>
    </row>
    <row r="30386" spans="62:62" x14ac:dyDescent="0.2">
      <c r="BJ30386" s="201"/>
    </row>
    <row r="30387" spans="62:62" x14ac:dyDescent="0.2">
      <c r="BJ30387" s="201"/>
    </row>
    <row r="30388" spans="62:62" x14ac:dyDescent="0.2">
      <c r="BJ30388" s="201"/>
    </row>
    <row r="30389" spans="62:62" x14ac:dyDescent="0.2">
      <c r="BJ30389" s="201"/>
    </row>
    <row r="30390" spans="62:62" x14ac:dyDescent="0.2">
      <c r="BJ30390" s="201"/>
    </row>
    <row r="30391" spans="62:62" x14ac:dyDescent="0.2">
      <c r="BJ30391" s="201"/>
    </row>
    <row r="30392" spans="62:62" x14ac:dyDescent="0.2">
      <c r="BJ30392" s="201"/>
    </row>
    <row r="30393" spans="62:62" x14ac:dyDescent="0.2">
      <c r="BJ30393" s="201"/>
    </row>
    <row r="30394" spans="62:62" x14ac:dyDescent="0.2">
      <c r="BJ30394" s="201"/>
    </row>
    <row r="30395" spans="62:62" x14ac:dyDescent="0.2">
      <c r="BJ30395" s="201"/>
    </row>
    <row r="30396" spans="62:62" x14ac:dyDescent="0.2">
      <c r="BJ30396" s="201"/>
    </row>
    <row r="30397" spans="62:62" x14ac:dyDescent="0.2">
      <c r="BJ30397" s="201"/>
    </row>
    <row r="30398" spans="62:62" x14ac:dyDescent="0.2">
      <c r="BJ30398" s="201"/>
    </row>
    <row r="30399" spans="62:62" x14ac:dyDescent="0.2">
      <c r="BJ30399" s="201"/>
    </row>
    <row r="30400" spans="62:62" x14ac:dyDescent="0.2">
      <c r="BJ30400" s="201"/>
    </row>
    <row r="30401" spans="62:62" x14ac:dyDescent="0.2">
      <c r="BJ30401" s="201"/>
    </row>
    <row r="30402" spans="62:62" x14ac:dyDescent="0.2">
      <c r="BJ30402" s="201"/>
    </row>
    <row r="30403" spans="62:62" x14ac:dyDescent="0.2">
      <c r="BJ30403" s="201"/>
    </row>
    <row r="30404" spans="62:62" x14ac:dyDescent="0.2">
      <c r="BJ30404" s="201"/>
    </row>
    <row r="30405" spans="62:62" x14ac:dyDescent="0.2">
      <c r="BJ30405" s="201"/>
    </row>
    <row r="30406" spans="62:62" x14ac:dyDescent="0.2">
      <c r="BJ30406" s="201"/>
    </row>
    <row r="30407" spans="62:62" x14ac:dyDescent="0.2">
      <c r="BJ30407" s="201"/>
    </row>
    <row r="30408" spans="62:62" x14ac:dyDescent="0.2">
      <c r="BJ30408" s="201"/>
    </row>
    <row r="30409" spans="62:62" x14ac:dyDescent="0.2">
      <c r="BJ30409" s="201"/>
    </row>
    <row r="30410" spans="62:62" x14ac:dyDescent="0.2">
      <c r="BJ30410" s="201"/>
    </row>
    <row r="30411" spans="62:62" x14ac:dyDescent="0.2">
      <c r="BJ30411" s="201"/>
    </row>
    <row r="30412" spans="62:62" x14ac:dyDescent="0.2">
      <c r="BJ30412" s="201"/>
    </row>
    <row r="30413" spans="62:62" x14ac:dyDescent="0.2">
      <c r="BJ30413" s="201"/>
    </row>
    <row r="30414" spans="62:62" x14ac:dyDescent="0.2">
      <c r="BJ30414" s="201"/>
    </row>
    <row r="30415" spans="62:62" x14ac:dyDescent="0.2">
      <c r="BJ30415" s="201"/>
    </row>
    <row r="30416" spans="62:62" x14ac:dyDescent="0.2">
      <c r="BJ30416" s="201"/>
    </row>
    <row r="30417" spans="62:62" x14ac:dyDescent="0.2">
      <c r="BJ30417" s="201"/>
    </row>
    <row r="30418" spans="62:62" x14ac:dyDescent="0.2">
      <c r="BJ30418" s="201"/>
    </row>
    <row r="30419" spans="62:62" x14ac:dyDescent="0.2">
      <c r="BJ30419" s="201"/>
    </row>
    <row r="30420" spans="62:62" x14ac:dyDescent="0.2">
      <c r="BJ30420" s="201"/>
    </row>
    <row r="30421" spans="62:62" x14ac:dyDescent="0.2">
      <c r="BJ30421" s="201"/>
    </row>
    <row r="30422" spans="62:62" x14ac:dyDescent="0.2">
      <c r="BJ30422" s="201"/>
    </row>
    <row r="30423" spans="62:62" x14ac:dyDescent="0.2">
      <c r="BJ30423" s="201"/>
    </row>
    <row r="30424" spans="62:62" x14ac:dyDescent="0.2">
      <c r="BJ30424" s="201"/>
    </row>
    <row r="30425" spans="62:62" x14ac:dyDescent="0.2">
      <c r="BJ30425" s="201"/>
    </row>
    <row r="30426" spans="62:62" x14ac:dyDescent="0.2">
      <c r="BJ30426" s="201"/>
    </row>
    <row r="30427" spans="62:62" x14ac:dyDescent="0.2">
      <c r="BJ30427" s="201"/>
    </row>
    <row r="30428" spans="62:62" x14ac:dyDescent="0.2">
      <c r="BJ30428" s="201"/>
    </row>
    <row r="30429" spans="62:62" x14ac:dyDescent="0.2">
      <c r="BJ30429" s="201"/>
    </row>
    <row r="30430" spans="62:62" x14ac:dyDescent="0.2">
      <c r="BJ30430" s="201"/>
    </row>
    <row r="30431" spans="62:62" x14ac:dyDescent="0.2">
      <c r="BJ30431" s="201"/>
    </row>
    <row r="30432" spans="62:62" x14ac:dyDescent="0.2">
      <c r="BJ30432" s="201"/>
    </row>
    <row r="30433" spans="62:62" x14ac:dyDescent="0.2">
      <c r="BJ30433" s="201"/>
    </row>
    <row r="30434" spans="62:62" x14ac:dyDescent="0.2">
      <c r="BJ30434" s="201"/>
    </row>
    <row r="30435" spans="62:62" x14ac:dyDescent="0.2">
      <c r="BJ30435" s="201"/>
    </row>
    <row r="30436" spans="62:62" x14ac:dyDescent="0.2">
      <c r="BJ30436" s="201"/>
    </row>
    <row r="30437" spans="62:62" x14ac:dyDescent="0.2">
      <c r="BJ30437" s="201"/>
    </row>
    <row r="30438" spans="62:62" x14ac:dyDescent="0.2">
      <c r="BJ30438" s="201"/>
    </row>
    <row r="30439" spans="62:62" x14ac:dyDescent="0.2">
      <c r="BJ30439" s="201"/>
    </row>
    <row r="30440" spans="62:62" x14ac:dyDescent="0.2">
      <c r="BJ30440" s="201"/>
    </row>
    <row r="30441" spans="62:62" x14ac:dyDescent="0.2">
      <c r="BJ30441" s="201"/>
    </row>
    <row r="30442" spans="62:62" x14ac:dyDescent="0.2">
      <c r="BJ30442" s="201"/>
    </row>
    <row r="30443" spans="62:62" x14ac:dyDescent="0.2">
      <c r="BJ30443" s="201"/>
    </row>
    <row r="30444" spans="62:62" x14ac:dyDescent="0.2">
      <c r="BJ30444" s="201"/>
    </row>
    <row r="30445" spans="62:62" x14ac:dyDescent="0.2">
      <c r="BJ30445" s="201"/>
    </row>
    <row r="30446" spans="62:62" x14ac:dyDescent="0.2">
      <c r="BJ30446" s="201"/>
    </row>
    <row r="30447" spans="62:62" x14ac:dyDescent="0.2">
      <c r="BJ30447" s="201"/>
    </row>
    <row r="30448" spans="62:62" x14ac:dyDescent="0.2">
      <c r="BJ30448" s="201"/>
    </row>
    <row r="30449" spans="62:62" x14ac:dyDescent="0.2">
      <c r="BJ30449" s="201"/>
    </row>
    <row r="30450" spans="62:62" x14ac:dyDescent="0.2">
      <c r="BJ30450" s="201"/>
    </row>
    <row r="30451" spans="62:62" x14ac:dyDescent="0.2">
      <c r="BJ30451" s="201"/>
    </row>
    <row r="30452" spans="62:62" x14ac:dyDescent="0.2">
      <c r="BJ30452" s="201"/>
    </row>
    <row r="30453" spans="62:62" x14ac:dyDescent="0.2">
      <c r="BJ30453" s="201"/>
    </row>
    <row r="30454" spans="62:62" x14ac:dyDescent="0.2">
      <c r="BJ30454" s="201"/>
    </row>
    <row r="30455" spans="62:62" x14ac:dyDescent="0.2">
      <c r="BJ30455" s="201"/>
    </row>
    <row r="30456" spans="62:62" x14ac:dyDescent="0.2">
      <c r="BJ30456" s="201"/>
    </row>
    <row r="30457" spans="62:62" x14ac:dyDescent="0.2">
      <c r="BJ30457" s="201"/>
    </row>
    <row r="30458" spans="62:62" x14ac:dyDescent="0.2">
      <c r="BJ30458" s="201"/>
    </row>
    <row r="30459" spans="62:62" x14ac:dyDescent="0.2">
      <c r="BJ30459" s="201"/>
    </row>
    <row r="30460" spans="62:62" x14ac:dyDescent="0.2">
      <c r="BJ30460" s="201"/>
    </row>
    <row r="30461" spans="62:62" x14ac:dyDescent="0.2">
      <c r="BJ30461" s="201"/>
    </row>
    <row r="30462" spans="62:62" x14ac:dyDescent="0.2">
      <c r="BJ30462" s="201"/>
    </row>
    <row r="30463" spans="62:62" x14ac:dyDescent="0.2">
      <c r="BJ30463" s="201"/>
    </row>
    <row r="30464" spans="62:62" x14ac:dyDescent="0.2">
      <c r="BJ30464" s="201"/>
    </row>
    <row r="30465" spans="62:62" x14ac:dyDescent="0.2">
      <c r="BJ30465" s="201"/>
    </row>
    <row r="30466" spans="62:62" x14ac:dyDescent="0.2">
      <c r="BJ30466" s="201"/>
    </row>
    <row r="30467" spans="62:62" x14ac:dyDescent="0.2">
      <c r="BJ30467" s="201"/>
    </row>
    <row r="30468" spans="62:62" x14ac:dyDescent="0.2">
      <c r="BJ30468" s="201"/>
    </row>
    <row r="30469" spans="62:62" x14ac:dyDescent="0.2">
      <c r="BJ30469" s="201"/>
    </row>
    <row r="30470" spans="62:62" x14ac:dyDescent="0.2">
      <c r="BJ30470" s="201"/>
    </row>
    <row r="30471" spans="62:62" x14ac:dyDescent="0.2">
      <c r="BJ30471" s="201"/>
    </row>
    <row r="30472" spans="62:62" x14ac:dyDescent="0.2">
      <c r="BJ30472" s="201"/>
    </row>
    <row r="30473" spans="62:62" x14ac:dyDescent="0.2">
      <c r="BJ30473" s="201"/>
    </row>
    <row r="30474" spans="62:62" x14ac:dyDescent="0.2">
      <c r="BJ30474" s="201"/>
    </row>
    <row r="30475" spans="62:62" x14ac:dyDescent="0.2">
      <c r="BJ30475" s="201"/>
    </row>
    <row r="30476" spans="62:62" x14ac:dyDescent="0.2">
      <c r="BJ30476" s="201"/>
    </row>
    <row r="30477" spans="62:62" x14ac:dyDescent="0.2">
      <c r="BJ30477" s="201"/>
    </row>
    <row r="30478" spans="62:62" x14ac:dyDescent="0.2">
      <c r="BJ30478" s="201"/>
    </row>
    <row r="30479" spans="62:62" x14ac:dyDescent="0.2">
      <c r="BJ30479" s="201"/>
    </row>
    <row r="30480" spans="62:62" x14ac:dyDescent="0.2">
      <c r="BJ30480" s="201"/>
    </row>
    <row r="30481" spans="62:62" x14ac:dyDescent="0.2">
      <c r="BJ30481" s="201"/>
    </row>
    <row r="30482" spans="62:62" x14ac:dyDescent="0.2">
      <c r="BJ30482" s="201"/>
    </row>
    <row r="30483" spans="62:62" x14ac:dyDescent="0.2">
      <c r="BJ30483" s="201"/>
    </row>
    <row r="30484" spans="62:62" x14ac:dyDescent="0.2">
      <c r="BJ30484" s="201"/>
    </row>
    <row r="30485" spans="62:62" x14ac:dyDescent="0.2">
      <c r="BJ30485" s="201"/>
    </row>
    <row r="30486" spans="62:62" x14ac:dyDescent="0.2">
      <c r="BJ30486" s="201"/>
    </row>
    <row r="30487" spans="62:62" x14ac:dyDescent="0.2">
      <c r="BJ30487" s="201"/>
    </row>
    <row r="30488" spans="62:62" x14ac:dyDescent="0.2">
      <c r="BJ30488" s="201"/>
    </row>
    <row r="30489" spans="62:62" x14ac:dyDescent="0.2">
      <c r="BJ30489" s="201"/>
    </row>
    <row r="30490" spans="62:62" x14ac:dyDescent="0.2">
      <c r="BJ30490" s="201"/>
    </row>
    <row r="30491" spans="62:62" x14ac:dyDescent="0.2">
      <c r="BJ30491" s="201"/>
    </row>
    <row r="30492" spans="62:62" x14ac:dyDescent="0.2">
      <c r="BJ30492" s="201"/>
    </row>
    <row r="30493" spans="62:62" x14ac:dyDescent="0.2">
      <c r="BJ30493" s="201"/>
    </row>
    <row r="30494" spans="62:62" x14ac:dyDescent="0.2">
      <c r="BJ30494" s="201"/>
    </row>
    <row r="30495" spans="62:62" x14ac:dyDescent="0.2">
      <c r="BJ30495" s="201"/>
    </row>
    <row r="30496" spans="62:62" x14ac:dyDescent="0.2">
      <c r="BJ30496" s="201"/>
    </row>
    <row r="30497" spans="62:62" x14ac:dyDescent="0.2">
      <c r="BJ30497" s="201"/>
    </row>
    <row r="30498" spans="62:62" x14ac:dyDescent="0.2">
      <c r="BJ30498" s="201"/>
    </row>
    <row r="30499" spans="62:62" x14ac:dyDescent="0.2">
      <c r="BJ30499" s="201"/>
    </row>
    <row r="30500" spans="62:62" x14ac:dyDescent="0.2">
      <c r="BJ30500" s="201"/>
    </row>
    <row r="30501" spans="62:62" x14ac:dyDescent="0.2">
      <c r="BJ30501" s="201"/>
    </row>
    <row r="30502" spans="62:62" x14ac:dyDescent="0.2">
      <c r="BJ30502" s="201"/>
    </row>
    <row r="30503" spans="62:62" x14ac:dyDescent="0.2">
      <c r="BJ30503" s="201"/>
    </row>
    <row r="30504" spans="62:62" x14ac:dyDescent="0.2">
      <c r="BJ30504" s="201"/>
    </row>
    <row r="30505" spans="62:62" x14ac:dyDescent="0.2">
      <c r="BJ30505" s="201"/>
    </row>
    <row r="30506" spans="62:62" x14ac:dyDescent="0.2">
      <c r="BJ30506" s="201"/>
    </row>
    <row r="30507" spans="62:62" x14ac:dyDescent="0.2">
      <c r="BJ30507" s="201"/>
    </row>
    <row r="30508" spans="62:62" x14ac:dyDescent="0.2">
      <c r="BJ30508" s="201"/>
    </row>
    <row r="30509" spans="62:62" x14ac:dyDescent="0.2">
      <c r="BJ30509" s="201"/>
    </row>
    <row r="30510" spans="62:62" x14ac:dyDescent="0.2">
      <c r="BJ30510" s="201"/>
    </row>
    <row r="30511" spans="62:62" x14ac:dyDescent="0.2">
      <c r="BJ30511" s="201"/>
    </row>
    <row r="30512" spans="62:62" x14ac:dyDescent="0.2">
      <c r="BJ30512" s="201"/>
    </row>
    <row r="30513" spans="62:62" x14ac:dyDescent="0.2">
      <c r="BJ30513" s="201"/>
    </row>
    <row r="30514" spans="62:62" x14ac:dyDescent="0.2">
      <c r="BJ30514" s="201"/>
    </row>
    <row r="30515" spans="62:62" x14ac:dyDescent="0.2">
      <c r="BJ30515" s="201"/>
    </row>
    <row r="30516" spans="62:62" x14ac:dyDescent="0.2">
      <c r="BJ30516" s="201"/>
    </row>
    <row r="30517" spans="62:62" x14ac:dyDescent="0.2">
      <c r="BJ30517" s="201"/>
    </row>
    <row r="30518" spans="62:62" x14ac:dyDescent="0.2">
      <c r="BJ30518" s="201"/>
    </row>
    <row r="30519" spans="62:62" x14ac:dyDescent="0.2">
      <c r="BJ30519" s="201"/>
    </row>
    <row r="30520" spans="62:62" x14ac:dyDescent="0.2">
      <c r="BJ30520" s="201"/>
    </row>
    <row r="30521" spans="62:62" x14ac:dyDescent="0.2">
      <c r="BJ30521" s="201"/>
    </row>
    <row r="30522" spans="62:62" x14ac:dyDescent="0.2">
      <c r="BJ30522" s="201"/>
    </row>
    <row r="30523" spans="62:62" x14ac:dyDescent="0.2">
      <c r="BJ30523" s="201"/>
    </row>
    <row r="30524" spans="62:62" x14ac:dyDescent="0.2">
      <c r="BJ30524" s="201"/>
    </row>
    <row r="30525" spans="62:62" x14ac:dyDescent="0.2">
      <c r="BJ30525" s="201"/>
    </row>
    <row r="30526" spans="62:62" x14ac:dyDescent="0.2">
      <c r="BJ30526" s="201"/>
    </row>
    <row r="30527" spans="62:62" x14ac:dyDescent="0.2">
      <c r="BJ30527" s="201"/>
    </row>
    <row r="30528" spans="62:62" x14ac:dyDescent="0.2">
      <c r="BJ30528" s="201"/>
    </row>
    <row r="30529" spans="62:62" x14ac:dyDescent="0.2">
      <c r="BJ30529" s="201"/>
    </row>
    <row r="30530" spans="62:62" x14ac:dyDescent="0.2">
      <c r="BJ30530" s="201"/>
    </row>
    <row r="30531" spans="62:62" x14ac:dyDescent="0.2">
      <c r="BJ30531" s="201"/>
    </row>
    <row r="30532" spans="62:62" x14ac:dyDescent="0.2">
      <c r="BJ30532" s="201"/>
    </row>
    <row r="30533" spans="62:62" x14ac:dyDescent="0.2">
      <c r="BJ30533" s="201"/>
    </row>
    <row r="30534" spans="62:62" x14ac:dyDescent="0.2">
      <c r="BJ30534" s="201"/>
    </row>
    <row r="30535" spans="62:62" x14ac:dyDescent="0.2">
      <c r="BJ30535" s="201"/>
    </row>
    <row r="30536" spans="62:62" x14ac:dyDescent="0.2">
      <c r="BJ30536" s="201"/>
    </row>
    <row r="30537" spans="62:62" x14ac:dyDescent="0.2">
      <c r="BJ30537" s="201"/>
    </row>
    <row r="30538" spans="62:62" x14ac:dyDescent="0.2">
      <c r="BJ30538" s="201"/>
    </row>
    <row r="30539" spans="62:62" x14ac:dyDescent="0.2">
      <c r="BJ30539" s="201"/>
    </row>
    <row r="30540" spans="62:62" x14ac:dyDescent="0.2">
      <c r="BJ30540" s="201"/>
    </row>
    <row r="30541" spans="62:62" x14ac:dyDescent="0.2">
      <c r="BJ30541" s="201"/>
    </row>
    <row r="30542" spans="62:62" x14ac:dyDescent="0.2">
      <c r="BJ30542" s="201"/>
    </row>
    <row r="30543" spans="62:62" x14ac:dyDescent="0.2">
      <c r="BJ30543" s="201"/>
    </row>
    <row r="30544" spans="62:62" x14ac:dyDescent="0.2">
      <c r="BJ30544" s="201"/>
    </row>
    <row r="30545" spans="62:62" x14ac:dyDescent="0.2">
      <c r="BJ30545" s="201"/>
    </row>
    <row r="30546" spans="62:62" x14ac:dyDescent="0.2">
      <c r="BJ30546" s="201"/>
    </row>
    <row r="30547" spans="62:62" x14ac:dyDescent="0.2">
      <c r="BJ30547" s="201"/>
    </row>
    <row r="30548" spans="62:62" x14ac:dyDescent="0.2">
      <c r="BJ30548" s="201"/>
    </row>
    <row r="30549" spans="62:62" x14ac:dyDescent="0.2">
      <c r="BJ30549" s="201"/>
    </row>
    <row r="30550" spans="62:62" x14ac:dyDescent="0.2">
      <c r="BJ30550" s="201"/>
    </row>
    <row r="30551" spans="62:62" x14ac:dyDescent="0.2">
      <c r="BJ30551" s="201"/>
    </row>
    <row r="30552" spans="62:62" x14ac:dyDescent="0.2">
      <c r="BJ30552" s="201"/>
    </row>
    <row r="30553" spans="62:62" x14ac:dyDescent="0.2">
      <c r="BJ30553" s="201"/>
    </row>
    <row r="30554" spans="62:62" x14ac:dyDescent="0.2">
      <c r="BJ30554" s="201"/>
    </row>
    <row r="30555" spans="62:62" x14ac:dyDescent="0.2">
      <c r="BJ30555" s="201"/>
    </row>
    <row r="30556" spans="62:62" x14ac:dyDescent="0.2">
      <c r="BJ30556" s="201"/>
    </row>
    <row r="30557" spans="62:62" x14ac:dyDescent="0.2">
      <c r="BJ30557" s="201"/>
    </row>
    <row r="30558" spans="62:62" x14ac:dyDescent="0.2">
      <c r="BJ30558" s="201"/>
    </row>
    <row r="30559" spans="62:62" x14ac:dyDescent="0.2">
      <c r="BJ30559" s="201"/>
    </row>
    <row r="30560" spans="62:62" x14ac:dyDescent="0.2">
      <c r="BJ30560" s="201"/>
    </row>
    <row r="30561" spans="62:62" x14ac:dyDescent="0.2">
      <c r="BJ30561" s="201"/>
    </row>
    <row r="30562" spans="62:62" x14ac:dyDescent="0.2">
      <c r="BJ30562" s="201"/>
    </row>
    <row r="30563" spans="62:62" x14ac:dyDescent="0.2">
      <c r="BJ30563" s="201"/>
    </row>
    <row r="30564" spans="62:62" x14ac:dyDescent="0.2">
      <c r="BJ30564" s="201"/>
    </row>
    <row r="30565" spans="62:62" x14ac:dyDescent="0.2">
      <c r="BJ30565" s="201"/>
    </row>
    <row r="30566" spans="62:62" x14ac:dyDescent="0.2">
      <c r="BJ30566" s="201"/>
    </row>
    <row r="30567" spans="62:62" x14ac:dyDescent="0.2">
      <c r="BJ30567" s="201"/>
    </row>
    <row r="30568" spans="62:62" x14ac:dyDescent="0.2">
      <c r="BJ30568" s="201"/>
    </row>
    <row r="30569" spans="62:62" x14ac:dyDescent="0.2">
      <c r="BJ30569" s="201"/>
    </row>
    <row r="30570" spans="62:62" x14ac:dyDescent="0.2">
      <c r="BJ30570" s="201"/>
    </row>
    <row r="30571" spans="62:62" x14ac:dyDescent="0.2">
      <c r="BJ30571" s="201"/>
    </row>
    <row r="30572" spans="62:62" x14ac:dyDescent="0.2">
      <c r="BJ30572" s="201"/>
    </row>
    <row r="30573" spans="62:62" x14ac:dyDescent="0.2">
      <c r="BJ30573" s="201"/>
    </row>
    <row r="30574" spans="62:62" x14ac:dyDescent="0.2">
      <c r="BJ30574" s="201"/>
    </row>
    <row r="30575" spans="62:62" x14ac:dyDescent="0.2">
      <c r="BJ30575" s="201"/>
    </row>
    <row r="30576" spans="62:62" x14ac:dyDescent="0.2">
      <c r="BJ30576" s="201"/>
    </row>
    <row r="30577" spans="62:62" x14ac:dyDescent="0.2">
      <c r="BJ30577" s="201"/>
    </row>
    <row r="30578" spans="62:62" x14ac:dyDescent="0.2">
      <c r="BJ30578" s="201"/>
    </row>
    <row r="30579" spans="62:62" x14ac:dyDescent="0.2">
      <c r="BJ30579" s="201"/>
    </row>
    <row r="30580" spans="62:62" x14ac:dyDescent="0.2">
      <c r="BJ30580" s="201"/>
    </row>
    <row r="30581" spans="62:62" x14ac:dyDescent="0.2">
      <c r="BJ30581" s="201"/>
    </row>
    <row r="30582" spans="62:62" x14ac:dyDescent="0.2">
      <c r="BJ30582" s="201"/>
    </row>
    <row r="30583" spans="62:62" x14ac:dyDescent="0.2">
      <c r="BJ30583" s="201"/>
    </row>
    <row r="30584" spans="62:62" x14ac:dyDescent="0.2">
      <c r="BJ30584" s="201"/>
    </row>
    <row r="30585" spans="62:62" x14ac:dyDescent="0.2">
      <c r="BJ30585" s="201"/>
    </row>
    <row r="30586" spans="62:62" x14ac:dyDescent="0.2">
      <c r="BJ30586" s="201"/>
    </row>
    <row r="30587" spans="62:62" x14ac:dyDescent="0.2">
      <c r="BJ30587" s="201"/>
    </row>
    <row r="30588" spans="62:62" x14ac:dyDescent="0.2">
      <c r="BJ30588" s="201"/>
    </row>
    <row r="30589" spans="62:62" x14ac:dyDescent="0.2">
      <c r="BJ30589" s="201"/>
    </row>
    <row r="30590" spans="62:62" x14ac:dyDescent="0.2">
      <c r="BJ30590" s="201"/>
    </row>
    <row r="30591" spans="62:62" x14ac:dyDescent="0.2">
      <c r="BJ30591" s="201"/>
    </row>
    <row r="30592" spans="62:62" x14ac:dyDescent="0.2">
      <c r="BJ30592" s="201"/>
    </row>
    <row r="30593" spans="62:62" x14ac:dyDescent="0.2">
      <c r="BJ30593" s="201"/>
    </row>
    <row r="30594" spans="62:62" x14ac:dyDescent="0.2">
      <c r="BJ30594" s="201"/>
    </row>
    <row r="30595" spans="62:62" x14ac:dyDescent="0.2">
      <c r="BJ30595" s="201"/>
    </row>
    <row r="30596" spans="62:62" x14ac:dyDescent="0.2">
      <c r="BJ30596" s="201"/>
    </row>
    <row r="30597" spans="62:62" x14ac:dyDescent="0.2">
      <c r="BJ30597" s="201"/>
    </row>
    <row r="30598" spans="62:62" x14ac:dyDescent="0.2">
      <c r="BJ30598" s="201"/>
    </row>
    <row r="30599" spans="62:62" x14ac:dyDescent="0.2">
      <c r="BJ30599" s="201"/>
    </row>
    <row r="30600" spans="62:62" x14ac:dyDescent="0.2">
      <c r="BJ30600" s="201"/>
    </row>
    <row r="30601" spans="62:62" x14ac:dyDescent="0.2">
      <c r="BJ30601" s="201"/>
    </row>
    <row r="30602" spans="62:62" x14ac:dyDescent="0.2">
      <c r="BJ30602" s="201"/>
    </row>
    <row r="30603" spans="62:62" x14ac:dyDescent="0.2">
      <c r="BJ30603" s="201"/>
    </row>
    <row r="30604" spans="62:62" x14ac:dyDescent="0.2">
      <c r="BJ30604" s="201"/>
    </row>
    <row r="30605" spans="62:62" x14ac:dyDescent="0.2">
      <c r="BJ30605" s="201"/>
    </row>
    <row r="30606" spans="62:62" x14ac:dyDescent="0.2">
      <c r="BJ30606" s="201"/>
    </row>
    <row r="30607" spans="62:62" x14ac:dyDescent="0.2">
      <c r="BJ30607" s="201"/>
    </row>
    <row r="30608" spans="62:62" x14ac:dyDescent="0.2">
      <c r="BJ30608" s="201"/>
    </row>
    <row r="30609" spans="62:62" x14ac:dyDescent="0.2">
      <c r="BJ30609" s="201"/>
    </row>
    <row r="30610" spans="62:62" x14ac:dyDescent="0.2">
      <c r="BJ30610" s="201"/>
    </row>
    <row r="30611" spans="62:62" x14ac:dyDescent="0.2">
      <c r="BJ30611" s="201"/>
    </row>
    <row r="30612" spans="62:62" x14ac:dyDescent="0.2">
      <c r="BJ30612" s="201"/>
    </row>
    <row r="30613" spans="62:62" x14ac:dyDescent="0.2">
      <c r="BJ30613" s="201"/>
    </row>
    <row r="30614" spans="62:62" x14ac:dyDescent="0.2">
      <c r="BJ30614" s="201"/>
    </row>
    <row r="30615" spans="62:62" x14ac:dyDescent="0.2">
      <c r="BJ30615" s="201"/>
    </row>
    <row r="30616" spans="62:62" x14ac:dyDescent="0.2">
      <c r="BJ30616" s="201"/>
    </row>
    <row r="30617" spans="62:62" x14ac:dyDescent="0.2">
      <c r="BJ30617" s="201"/>
    </row>
    <row r="30618" spans="62:62" x14ac:dyDescent="0.2">
      <c r="BJ30618" s="201"/>
    </row>
    <row r="30619" spans="62:62" x14ac:dyDescent="0.2">
      <c r="BJ30619" s="201"/>
    </row>
    <row r="30620" spans="62:62" x14ac:dyDescent="0.2">
      <c r="BJ30620" s="201"/>
    </row>
    <row r="30621" spans="62:62" x14ac:dyDescent="0.2">
      <c r="BJ30621" s="201"/>
    </row>
    <row r="30622" spans="62:62" x14ac:dyDescent="0.2">
      <c r="BJ30622" s="201"/>
    </row>
    <row r="30623" spans="62:62" x14ac:dyDescent="0.2">
      <c r="BJ30623" s="201"/>
    </row>
    <row r="30624" spans="62:62" x14ac:dyDescent="0.2">
      <c r="BJ30624" s="201"/>
    </row>
    <row r="30625" spans="62:62" x14ac:dyDescent="0.2">
      <c r="BJ30625" s="201"/>
    </row>
    <row r="30626" spans="62:62" x14ac:dyDescent="0.2">
      <c r="BJ30626" s="201"/>
    </row>
    <row r="30627" spans="62:62" x14ac:dyDescent="0.2">
      <c r="BJ30627" s="201"/>
    </row>
    <row r="30628" spans="62:62" x14ac:dyDescent="0.2">
      <c r="BJ30628" s="201"/>
    </row>
    <row r="30629" spans="62:62" x14ac:dyDescent="0.2">
      <c r="BJ30629" s="201"/>
    </row>
    <row r="30630" spans="62:62" x14ac:dyDescent="0.2">
      <c r="BJ30630" s="201"/>
    </row>
    <row r="30631" spans="62:62" x14ac:dyDescent="0.2">
      <c r="BJ30631" s="201"/>
    </row>
    <row r="30632" spans="62:62" x14ac:dyDescent="0.2">
      <c r="BJ30632" s="201"/>
    </row>
    <row r="30633" spans="62:62" x14ac:dyDescent="0.2">
      <c r="BJ30633" s="201"/>
    </row>
    <row r="30634" spans="62:62" x14ac:dyDescent="0.2">
      <c r="BJ30634" s="201"/>
    </row>
    <row r="30635" spans="62:62" x14ac:dyDescent="0.2">
      <c r="BJ30635" s="201"/>
    </row>
    <row r="30636" spans="62:62" x14ac:dyDescent="0.2">
      <c r="BJ30636" s="201"/>
    </row>
    <row r="30637" spans="62:62" x14ac:dyDescent="0.2">
      <c r="BJ30637" s="201"/>
    </row>
    <row r="30638" spans="62:62" x14ac:dyDescent="0.2">
      <c r="BJ30638" s="201"/>
    </row>
    <row r="30639" spans="62:62" x14ac:dyDescent="0.2">
      <c r="BJ30639" s="201"/>
    </row>
    <row r="30640" spans="62:62" x14ac:dyDescent="0.2">
      <c r="BJ30640" s="201"/>
    </row>
    <row r="30641" spans="62:62" x14ac:dyDescent="0.2">
      <c r="BJ30641" s="201"/>
    </row>
    <row r="30642" spans="62:62" x14ac:dyDescent="0.2">
      <c r="BJ30642" s="201"/>
    </row>
    <row r="30643" spans="62:62" x14ac:dyDescent="0.2">
      <c r="BJ30643" s="201"/>
    </row>
    <row r="30644" spans="62:62" x14ac:dyDescent="0.2">
      <c r="BJ30644" s="201"/>
    </row>
    <row r="30645" spans="62:62" x14ac:dyDescent="0.2">
      <c r="BJ30645" s="201"/>
    </row>
    <row r="30646" spans="62:62" x14ac:dyDescent="0.2">
      <c r="BJ30646" s="201"/>
    </row>
    <row r="30647" spans="62:62" x14ac:dyDescent="0.2">
      <c r="BJ30647" s="201"/>
    </row>
    <row r="30648" spans="62:62" x14ac:dyDescent="0.2">
      <c r="BJ30648" s="201"/>
    </row>
    <row r="30649" spans="62:62" x14ac:dyDescent="0.2">
      <c r="BJ30649" s="201"/>
    </row>
    <row r="30650" spans="62:62" x14ac:dyDescent="0.2">
      <c r="BJ30650" s="201"/>
    </row>
    <row r="30651" spans="62:62" x14ac:dyDescent="0.2">
      <c r="BJ30651" s="201"/>
    </row>
    <row r="30652" spans="62:62" x14ac:dyDescent="0.2">
      <c r="BJ30652" s="201"/>
    </row>
    <row r="30653" spans="62:62" x14ac:dyDescent="0.2">
      <c r="BJ30653" s="201"/>
    </row>
    <row r="30654" spans="62:62" x14ac:dyDescent="0.2">
      <c r="BJ30654" s="201"/>
    </row>
    <row r="30655" spans="62:62" x14ac:dyDescent="0.2">
      <c r="BJ30655" s="201"/>
    </row>
    <row r="30656" spans="62:62" x14ac:dyDescent="0.2">
      <c r="BJ30656" s="201"/>
    </row>
    <row r="30657" spans="62:62" x14ac:dyDescent="0.2">
      <c r="BJ30657" s="201"/>
    </row>
    <row r="30658" spans="62:62" x14ac:dyDescent="0.2">
      <c r="BJ30658" s="201"/>
    </row>
    <row r="30659" spans="62:62" x14ac:dyDescent="0.2">
      <c r="BJ30659" s="201"/>
    </row>
    <row r="30660" spans="62:62" x14ac:dyDescent="0.2">
      <c r="BJ30660" s="201"/>
    </row>
    <row r="30661" spans="62:62" x14ac:dyDescent="0.2">
      <c r="BJ30661" s="201"/>
    </row>
    <row r="30662" spans="62:62" x14ac:dyDescent="0.2">
      <c r="BJ30662" s="201"/>
    </row>
    <row r="30663" spans="62:62" x14ac:dyDescent="0.2">
      <c r="BJ30663" s="201"/>
    </row>
    <row r="30664" spans="62:62" x14ac:dyDescent="0.2">
      <c r="BJ30664" s="201"/>
    </row>
    <row r="30665" spans="62:62" x14ac:dyDescent="0.2">
      <c r="BJ30665" s="201"/>
    </row>
    <row r="30666" spans="62:62" x14ac:dyDescent="0.2">
      <c r="BJ30666" s="201"/>
    </row>
    <row r="30667" spans="62:62" x14ac:dyDescent="0.2">
      <c r="BJ30667" s="201"/>
    </row>
    <row r="30668" spans="62:62" x14ac:dyDescent="0.2">
      <c r="BJ30668" s="201"/>
    </row>
    <row r="30669" spans="62:62" x14ac:dyDescent="0.2">
      <c r="BJ30669" s="201"/>
    </row>
    <row r="30670" spans="62:62" x14ac:dyDescent="0.2">
      <c r="BJ30670" s="201"/>
    </row>
    <row r="30671" spans="62:62" x14ac:dyDescent="0.2">
      <c r="BJ30671" s="201"/>
    </row>
    <row r="30672" spans="62:62" x14ac:dyDescent="0.2">
      <c r="BJ30672" s="201"/>
    </row>
    <row r="30673" spans="62:62" x14ac:dyDescent="0.2">
      <c r="BJ30673" s="201"/>
    </row>
    <row r="30674" spans="62:62" x14ac:dyDescent="0.2">
      <c r="BJ30674" s="201"/>
    </row>
    <row r="30675" spans="62:62" x14ac:dyDescent="0.2">
      <c r="BJ30675" s="201"/>
    </row>
    <row r="30676" spans="62:62" x14ac:dyDescent="0.2">
      <c r="BJ30676" s="201"/>
    </row>
    <row r="30677" spans="62:62" x14ac:dyDescent="0.2">
      <c r="BJ30677" s="201"/>
    </row>
    <row r="30678" spans="62:62" x14ac:dyDescent="0.2">
      <c r="BJ30678" s="201"/>
    </row>
    <row r="30679" spans="62:62" x14ac:dyDescent="0.2">
      <c r="BJ30679" s="201"/>
    </row>
    <row r="30680" spans="62:62" x14ac:dyDescent="0.2">
      <c r="BJ30680" s="201"/>
    </row>
    <row r="30681" spans="62:62" x14ac:dyDescent="0.2">
      <c r="BJ30681" s="201"/>
    </row>
    <row r="30682" spans="62:62" x14ac:dyDescent="0.2">
      <c r="BJ30682" s="201"/>
    </row>
    <row r="30683" spans="62:62" x14ac:dyDescent="0.2">
      <c r="BJ30683" s="201"/>
    </row>
    <row r="30684" spans="62:62" x14ac:dyDescent="0.2">
      <c r="BJ30684" s="201"/>
    </row>
    <row r="30685" spans="62:62" x14ac:dyDescent="0.2">
      <c r="BJ30685" s="201"/>
    </row>
    <row r="30686" spans="62:62" x14ac:dyDescent="0.2">
      <c r="BJ30686" s="201"/>
    </row>
    <row r="30687" spans="62:62" x14ac:dyDescent="0.2">
      <c r="BJ30687" s="201"/>
    </row>
    <row r="30688" spans="62:62" x14ac:dyDescent="0.2">
      <c r="BJ30688" s="201"/>
    </row>
    <row r="30689" spans="62:62" x14ac:dyDescent="0.2">
      <c r="BJ30689" s="201"/>
    </row>
    <row r="30690" spans="62:62" x14ac:dyDescent="0.2">
      <c r="BJ30690" s="201"/>
    </row>
    <row r="30691" spans="62:62" x14ac:dyDescent="0.2">
      <c r="BJ30691" s="201"/>
    </row>
    <row r="30692" spans="62:62" x14ac:dyDescent="0.2">
      <c r="BJ30692" s="201"/>
    </row>
    <row r="30693" spans="62:62" x14ac:dyDescent="0.2">
      <c r="BJ30693" s="201"/>
    </row>
    <row r="30694" spans="62:62" x14ac:dyDescent="0.2">
      <c r="BJ30694" s="201"/>
    </row>
    <row r="30695" spans="62:62" x14ac:dyDescent="0.2">
      <c r="BJ30695" s="201"/>
    </row>
    <row r="30696" spans="62:62" x14ac:dyDescent="0.2">
      <c r="BJ30696" s="201"/>
    </row>
    <row r="30697" spans="62:62" x14ac:dyDescent="0.2">
      <c r="BJ30697" s="201"/>
    </row>
    <row r="30698" spans="62:62" x14ac:dyDescent="0.2">
      <c r="BJ30698" s="201"/>
    </row>
    <row r="30699" spans="62:62" x14ac:dyDescent="0.2">
      <c r="BJ30699" s="201"/>
    </row>
    <row r="30700" spans="62:62" x14ac:dyDescent="0.2">
      <c r="BJ30700" s="201"/>
    </row>
    <row r="30701" spans="62:62" x14ac:dyDescent="0.2">
      <c r="BJ30701" s="201"/>
    </row>
    <row r="30702" spans="62:62" x14ac:dyDescent="0.2">
      <c r="BJ30702" s="201"/>
    </row>
    <row r="30703" spans="62:62" x14ac:dyDescent="0.2">
      <c r="BJ30703" s="201"/>
    </row>
    <row r="30704" spans="62:62" x14ac:dyDescent="0.2">
      <c r="BJ30704" s="201"/>
    </row>
    <row r="30705" spans="62:62" x14ac:dyDescent="0.2">
      <c r="BJ30705" s="201"/>
    </row>
    <row r="30706" spans="62:62" x14ac:dyDescent="0.2">
      <c r="BJ30706" s="201"/>
    </row>
    <row r="30707" spans="62:62" x14ac:dyDescent="0.2">
      <c r="BJ30707" s="201"/>
    </row>
    <row r="30708" spans="62:62" x14ac:dyDescent="0.2">
      <c r="BJ30708" s="201"/>
    </row>
    <row r="30709" spans="62:62" x14ac:dyDescent="0.2">
      <c r="BJ30709" s="201"/>
    </row>
    <row r="30710" spans="62:62" x14ac:dyDescent="0.2">
      <c r="BJ30710" s="201"/>
    </row>
    <row r="30711" spans="62:62" x14ac:dyDescent="0.2">
      <c r="BJ30711" s="201"/>
    </row>
    <row r="30712" spans="62:62" x14ac:dyDescent="0.2">
      <c r="BJ30712" s="201"/>
    </row>
    <row r="30713" spans="62:62" x14ac:dyDescent="0.2">
      <c r="BJ30713" s="201"/>
    </row>
    <row r="30714" spans="62:62" x14ac:dyDescent="0.2">
      <c r="BJ30714" s="201"/>
    </row>
    <row r="30715" spans="62:62" x14ac:dyDescent="0.2">
      <c r="BJ30715" s="201"/>
    </row>
    <row r="30716" spans="62:62" x14ac:dyDescent="0.2">
      <c r="BJ30716" s="201"/>
    </row>
    <row r="30717" spans="62:62" x14ac:dyDescent="0.2">
      <c r="BJ30717" s="201"/>
    </row>
    <row r="30718" spans="62:62" x14ac:dyDescent="0.2">
      <c r="BJ30718" s="201"/>
    </row>
    <row r="30719" spans="62:62" x14ac:dyDescent="0.2">
      <c r="BJ30719" s="201"/>
    </row>
    <row r="30720" spans="62:62" x14ac:dyDescent="0.2">
      <c r="BJ30720" s="201"/>
    </row>
    <row r="30721" spans="62:62" x14ac:dyDescent="0.2">
      <c r="BJ30721" s="201"/>
    </row>
    <row r="30722" spans="62:62" x14ac:dyDescent="0.2">
      <c r="BJ30722" s="201"/>
    </row>
    <row r="30723" spans="62:62" x14ac:dyDescent="0.2">
      <c r="BJ30723" s="201"/>
    </row>
    <row r="30724" spans="62:62" x14ac:dyDescent="0.2">
      <c r="BJ30724" s="201"/>
    </row>
    <row r="30725" spans="62:62" x14ac:dyDescent="0.2">
      <c r="BJ30725" s="201"/>
    </row>
    <row r="30726" spans="62:62" x14ac:dyDescent="0.2">
      <c r="BJ30726" s="201"/>
    </row>
    <row r="30727" spans="62:62" x14ac:dyDescent="0.2">
      <c r="BJ30727" s="201"/>
    </row>
    <row r="30728" spans="62:62" x14ac:dyDescent="0.2">
      <c r="BJ30728" s="201"/>
    </row>
    <row r="30729" spans="62:62" x14ac:dyDescent="0.2">
      <c r="BJ30729" s="201"/>
    </row>
    <row r="30730" spans="62:62" x14ac:dyDescent="0.2">
      <c r="BJ30730" s="201"/>
    </row>
    <row r="30731" spans="62:62" x14ac:dyDescent="0.2">
      <c r="BJ30731" s="201"/>
    </row>
    <row r="30732" spans="62:62" x14ac:dyDescent="0.2">
      <c r="BJ30732" s="201"/>
    </row>
    <row r="30733" spans="62:62" x14ac:dyDescent="0.2">
      <c r="BJ30733" s="201"/>
    </row>
    <row r="30734" spans="62:62" x14ac:dyDescent="0.2">
      <c r="BJ30734" s="201"/>
    </row>
    <row r="30735" spans="62:62" x14ac:dyDescent="0.2">
      <c r="BJ30735" s="201"/>
    </row>
    <row r="30736" spans="62:62" x14ac:dyDescent="0.2">
      <c r="BJ30736" s="201"/>
    </row>
    <row r="30737" spans="62:62" x14ac:dyDescent="0.2">
      <c r="BJ30737" s="201"/>
    </row>
    <row r="30738" spans="62:62" x14ac:dyDescent="0.2">
      <c r="BJ30738" s="201"/>
    </row>
    <row r="30739" spans="62:62" x14ac:dyDescent="0.2">
      <c r="BJ30739" s="201"/>
    </row>
    <row r="30740" spans="62:62" x14ac:dyDescent="0.2">
      <c r="BJ30740" s="201"/>
    </row>
    <row r="30741" spans="62:62" x14ac:dyDescent="0.2">
      <c r="BJ30741" s="201"/>
    </row>
    <row r="30742" spans="62:62" x14ac:dyDescent="0.2">
      <c r="BJ30742" s="201"/>
    </row>
    <row r="30743" spans="62:62" x14ac:dyDescent="0.2">
      <c r="BJ30743" s="201"/>
    </row>
    <row r="30744" spans="62:62" x14ac:dyDescent="0.2">
      <c r="BJ30744" s="201"/>
    </row>
    <row r="30745" spans="62:62" x14ac:dyDescent="0.2">
      <c r="BJ30745" s="201"/>
    </row>
    <row r="30746" spans="62:62" x14ac:dyDescent="0.2">
      <c r="BJ30746" s="201"/>
    </row>
    <row r="30747" spans="62:62" x14ac:dyDescent="0.2">
      <c r="BJ30747" s="201"/>
    </row>
    <row r="30748" spans="62:62" x14ac:dyDescent="0.2">
      <c r="BJ30748" s="201"/>
    </row>
    <row r="30749" spans="62:62" x14ac:dyDescent="0.2">
      <c r="BJ30749" s="201"/>
    </row>
    <row r="30750" spans="62:62" x14ac:dyDescent="0.2">
      <c r="BJ30750" s="201"/>
    </row>
    <row r="30751" spans="62:62" x14ac:dyDescent="0.2">
      <c r="BJ30751" s="201"/>
    </row>
    <row r="30752" spans="62:62" x14ac:dyDescent="0.2">
      <c r="BJ30752" s="201"/>
    </row>
    <row r="30753" spans="62:62" x14ac:dyDescent="0.2">
      <c r="BJ30753" s="201"/>
    </row>
    <row r="30754" spans="62:62" x14ac:dyDescent="0.2">
      <c r="BJ30754" s="201"/>
    </row>
    <row r="30755" spans="62:62" x14ac:dyDescent="0.2">
      <c r="BJ30755" s="201"/>
    </row>
    <row r="30756" spans="62:62" x14ac:dyDescent="0.2">
      <c r="BJ30756" s="201"/>
    </row>
    <row r="30757" spans="62:62" x14ac:dyDescent="0.2">
      <c r="BJ30757" s="201"/>
    </row>
    <row r="30758" spans="62:62" x14ac:dyDescent="0.2">
      <c r="BJ30758" s="201"/>
    </row>
    <row r="30759" spans="62:62" x14ac:dyDescent="0.2">
      <c r="BJ30759" s="201"/>
    </row>
    <row r="30760" spans="62:62" x14ac:dyDescent="0.2">
      <c r="BJ30760" s="201"/>
    </row>
    <row r="30761" spans="62:62" x14ac:dyDescent="0.2">
      <c r="BJ30761" s="201"/>
    </row>
    <row r="30762" spans="62:62" x14ac:dyDescent="0.2">
      <c r="BJ30762" s="201"/>
    </row>
    <row r="30763" spans="62:62" x14ac:dyDescent="0.2">
      <c r="BJ30763" s="201"/>
    </row>
    <row r="30764" spans="62:62" x14ac:dyDescent="0.2">
      <c r="BJ30764" s="201"/>
    </row>
    <row r="30765" spans="62:62" x14ac:dyDescent="0.2">
      <c r="BJ30765" s="201"/>
    </row>
    <row r="30766" spans="62:62" x14ac:dyDescent="0.2">
      <c r="BJ30766" s="201"/>
    </row>
    <row r="30767" spans="62:62" x14ac:dyDescent="0.2">
      <c r="BJ30767" s="201"/>
    </row>
    <row r="30768" spans="62:62" x14ac:dyDescent="0.2">
      <c r="BJ30768" s="201"/>
    </row>
    <row r="30769" spans="62:62" x14ac:dyDescent="0.2">
      <c r="BJ30769" s="201"/>
    </row>
    <row r="30770" spans="62:62" x14ac:dyDescent="0.2">
      <c r="BJ30770" s="201"/>
    </row>
    <row r="30771" spans="62:62" x14ac:dyDescent="0.2">
      <c r="BJ30771" s="201"/>
    </row>
    <row r="30772" spans="62:62" x14ac:dyDescent="0.2">
      <c r="BJ30772" s="201"/>
    </row>
    <row r="30773" spans="62:62" x14ac:dyDescent="0.2">
      <c r="BJ30773" s="201"/>
    </row>
    <row r="30774" spans="62:62" x14ac:dyDescent="0.2">
      <c r="BJ30774" s="201"/>
    </row>
    <row r="30775" spans="62:62" x14ac:dyDescent="0.2">
      <c r="BJ30775" s="201"/>
    </row>
    <row r="30776" spans="62:62" x14ac:dyDescent="0.2">
      <c r="BJ30776" s="201"/>
    </row>
    <row r="30777" spans="62:62" x14ac:dyDescent="0.2">
      <c r="BJ30777" s="201"/>
    </row>
    <row r="30778" spans="62:62" x14ac:dyDescent="0.2">
      <c r="BJ30778" s="201"/>
    </row>
    <row r="30779" spans="62:62" x14ac:dyDescent="0.2">
      <c r="BJ30779" s="201"/>
    </row>
    <row r="30780" spans="62:62" x14ac:dyDescent="0.2">
      <c r="BJ30780" s="201"/>
    </row>
    <row r="30781" spans="62:62" x14ac:dyDescent="0.2">
      <c r="BJ30781" s="201"/>
    </row>
    <row r="30782" spans="62:62" x14ac:dyDescent="0.2">
      <c r="BJ30782" s="201"/>
    </row>
    <row r="30783" spans="62:62" x14ac:dyDescent="0.2">
      <c r="BJ30783" s="201"/>
    </row>
    <row r="30784" spans="62:62" x14ac:dyDescent="0.2">
      <c r="BJ30784" s="201"/>
    </row>
    <row r="30785" spans="62:62" x14ac:dyDescent="0.2">
      <c r="BJ30785" s="201"/>
    </row>
    <row r="30786" spans="62:62" x14ac:dyDescent="0.2">
      <c r="BJ30786" s="201"/>
    </row>
    <row r="30787" spans="62:62" x14ac:dyDescent="0.2">
      <c r="BJ30787" s="201"/>
    </row>
    <row r="30788" spans="62:62" x14ac:dyDescent="0.2">
      <c r="BJ30788" s="201"/>
    </row>
    <row r="30789" spans="62:62" x14ac:dyDescent="0.2">
      <c r="BJ30789" s="201"/>
    </row>
    <row r="30790" spans="62:62" x14ac:dyDescent="0.2">
      <c r="BJ30790" s="201"/>
    </row>
    <row r="30791" spans="62:62" x14ac:dyDescent="0.2">
      <c r="BJ30791" s="201"/>
    </row>
    <row r="30792" spans="62:62" x14ac:dyDescent="0.2">
      <c r="BJ30792" s="201"/>
    </row>
    <row r="30793" spans="62:62" x14ac:dyDescent="0.2">
      <c r="BJ30793" s="201"/>
    </row>
    <row r="30794" spans="62:62" x14ac:dyDescent="0.2">
      <c r="BJ30794" s="201"/>
    </row>
    <row r="30795" spans="62:62" x14ac:dyDescent="0.2">
      <c r="BJ30795" s="201"/>
    </row>
    <row r="30796" spans="62:62" x14ac:dyDescent="0.2">
      <c r="BJ30796" s="201"/>
    </row>
    <row r="30797" spans="62:62" x14ac:dyDescent="0.2">
      <c r="BJ30797" s="201"/>
    </row>
    <row r="30798" spans="62:62" x14ac:dyDescent="0.2">
      <c r="BJ30798" s="201"/>
    </row>
    <row r="30799" spans="62:62" x14ac:dyDescent="0.2">
      <c r="BJ30799" s="201"/>
    </row>
    <row r="30800" spans="62:62" x14ac:dyDescent="0.2">
      <c r="BJ30800" s="201"/>
    </row>
    <row r="30801" spans="62:62" x14ac:dyDescent="0.2">
      <c r="BJ30801" s="201"/>
    </row>
    <row r="30802" spans="62:62" x14ac:dyDescent="0.2">
      <c r="BJ30802" s="201"/>
    </row>
    <row r="30803" spans="62:62" x14ac:dyDescent="0.2">
      <c r="BJ30803" s="201"/>
    </row>
    <row r="30804" spans="62:62" x14ac:dyDescent="0.2">
      <c r="BJ30804" s="201"/>
    </row>
    <row r="30805" spans="62:62" x14ac:dyDescent="0.2">
      <c r="BJ30805" s="201"/>
    </row>
    <row r="30806" spans="62:62" x14ac:dyDescent="0.2">
      <c r="BJ30806" s="201"/>
    </row>
    <row r="30807" spans="62:62" x14ac:dyDescent="0.2">
      <c r="BJ30807" s="201"/>
    </row>
    <row r="30808" spans="62:62" x14ac:dyDescent="0.2">
      <c r="BJ30808" s="201"/>
    </row>
    <row r="30809" spans="62:62" x14ac:dyDescent="0.2">
      <c r="BJ30809" s="201"/>
    </row>
    <row r="30810" spans="62:62" x14ac:dyDescent="0.2">
      <c r="BJ30810" s="201"/>
    </row>
    <row r="30811" spans="62:62" x14ac:dyDescent="0.2">
      <c r="BJ30811" s="201"/>
    </row>
    <row r="30812" spans="62:62" x14ac:dyDescent="0.2">
      <c r="BJ30812" s="201"/>
    </row>
    <row r="30813" spans="62:62" x14ac:dyDescent="0.2">
      <c r="BJ30813" s="201"/>
    </row>
    <row r="30814" spans="62:62" x14ac:dyDescent="0.2">
      <c r="BJ30814" s="201"/>
    </row>
    <row r="30815" spans="62:62" x14ac:dyDescent="0.2">
      <c r="BJ30815" s="201"/>
    </row>
    <row r="30816" spans="62:62" x14ac:dyDescent="0.2">
      <c r="BJ30816" s="201"/>
    </row>
    <row r="30817" spans="62:62" x14ac:dyDescent="0.2">
      <c r="BJ30817" s="201"/>
    </row>
    <row r="30818" spans="62:62" x14ac:dyDescent="0.2">
      <c r="BJ30818" s="201"/>
    </row>
    <row r="30819" spans="62:62" x14ac:dyDescent="0.2">
      <c r="BJ30819" s="201"/>
    </row>
    <row r="30820" spans="62:62" x14ac:dyDescent="0.2">
      <c r="BJ30820" s="201"/>
    </row>
    <row r="30821" spans="62:62" x14ac:dyDescent="0.2">
      <c r="BJ30821" s="201"/>
    </row>
    <row r="30822" spans="62:62" x14ac:dyDescent="0.2">
      <c r="BJ30822" s="201"/>
    </row>
    <row r="30823" spans="62:62" x14ac:dyDescent="0.2">
      <c r="BJ30823" s="201"/>
    </row>
    <row r="30824" spans="62:62" x14ac:dyDescent="0.2">
      <c r="BJ30824" s="201"/>
    </row>
    <row r="30825" spans="62:62" x14ac:dyDescent="0.2">
      <c r="BJ30825" s="201"/>
    </row>
    <row r="30826" spans="62:62" x14ac:dyDescent="0.2">
      <c r="BJ30826" s="201"/>
    </row>
    <row r="30827" spans="62:62" x14ac:dyDescent="0.2">
      <c r="BJ30827" s="201"/>
    </row>
    <row r="30828" spans="62:62" x14ac:dyDescent="0.2">
      <c r="BJ30828" s="201"/>
    </row>
    <row r="30829" spans="62:62" x14ac:dyDescent="0.2">
      <c r="BJ30829" s="201"/>
    </row>
    <row r="30830" spans="62:62" x14ac:dyDescent="0.2">
      <c r="BJ30830" s="201"/>
    </row>
    <row r="30831" spans="62:62" x14ac:dyDescent="0.2">
      <c r="BJ30831" s="201"/>
    </row>
    <row r="30832" spans="62:62" x14ac:dyDescent="0.2">
      <c r="BJ30832" s="201"/>
    </row>
    <row r="30833" spans="62:62" x14ac:dyDescent="0.2">
      <c r="BJ30833" s="201"/>
    </row>
    <row r="30834" spans="62:62" x14ac:dyDescent="0.2">
      <c r="BJ30834" s="201"/>
    </row>
    <row r="30835" spans="62:62" x14ac:dyDescent="0.2">
      <c r="BJ30835" s="201"/>
    </row>
    <row r="30836" spans="62:62" x14ac:dyDescent="0.2">
      <c r="BJ30836" s="201"/>
    </row>
    <row r="30837" spans="62:62" x14ac:dyDescent="0.2">
      <c r="BJ30837" s="201"/>
    </row>
    <row r="30838" spans="62:62" x14ac:dyDescent="0.2">
      <c r="BJ30838" s="201"/>
    </row>
    <row r="30839" spans="62:62" x14ac:dyDescent="0.2">
      <c r="BJ30839" s="201"/>
    </row>
    <row r="30840" spans="62:62" x14ac:dyDescent="0.2">
      <c r="BJ30840" s="201"/>
    </row>
    <row r="30841" spans="62:62" x14ac:dyDescent="0.2">
      <c r="BJ30841" s="201"/>
    </row>
    <row r="30842" spans="62:62" x14ac:dyDescent="0.2">
      <c r="BJ30842" s="201"/>
    </row>
    <row r="30843" spans="62:62" x14ac:dyDescent="0.2">
      <c r="BJ30843" s="201"/>
    </row>
    <row r="30844" spans="62:62" x14ac:dyDescent="0.2">
      <c r="BJ30844" s="201"/>
    </row>
    <row r="30845" spans="62:62" x14ac:dyDescent="0.2">
      <c r="BJ30845" s="201"/>
    </row>
    <row r="30846" spans="62:62" x14ac:dyDescent="0.2">
      <c r="BJ30846" s="201"/>
    </row>
    <row r="30847" spans="62:62" x14ac:dyDescent="0.2">
      <c r="BJ30847" s="201"/>
    </row>
    <row r="30848" spans="62:62" x14ac:dyDescent="0.2">
      <c r="BJ30848" s="201"/>
    </row>
    <row r="30849" spans="62:62" x14ac:dyDescent="0.2">
      <c r="BJ30849" s="201"/>
    </row>
    <row r="30850" spans="62:62" x14ac:dyDescent="0.2">
      <c r="BJ30850" s="201"/>
    </row>
    <row r="30851" spans="62:62" x14ac:dyDescent="0.2">
      <c r="BJ30851" s="201"/>
    </row>
    <row r="30852" spans="62:62" x14ac:dyDescent="0.2">
      <c r="BJ30852" s="201"/>
    </row>
    <row r="30853" spans="62:62" x14ac:dyDescent="0.2">
      <c r="BJ30853" s="201"/>
    </row>
    <row r="30854" spans="62:62" x14ac:dyDescent="0.2">
      <c r="BJ30854" s="201"/>
    </row>
    <row r="30855" spans="62:62" x14ac:dyDescent="0.2">
      <c r="BJ30855" s="201"/>
    </row>
    <row r="30856" spans="62:62" x14ac:dyDescent="0.2">
      <c r="BJ30856" s="201"/>
    </row>
    <row r="30857" spans="62:62" x14ac:dyDescent="0.2">
      <c r="BJ30857" s="201"/>
    </row>
    <row r="30858" spans="62:62" x14ac:dyDescent="0.2">
      <c r="BJ30858" s="201"/>
    </row>
    <row r="30859" spans="62:62" x14ac:dyDescent="0.2">
      <c r="BJ30859" s="201"/>
    </row>
    <row r="30860" spans="62:62" x14ac:dyDescent="0.2">
      <c r="BJ30860" s="201"/>
    </row>
    <row r="30861" spans="62:62" x14ac:dyDescent="0.2">
      <c r="BJ30861" s="201"/>
    </row>
    <row r="30862" spans="62:62" x14ac:dyDescent="0.2">
      <c r="BJ30862" s="201"/>
    </row>
    <row r="30863" spans="62:62" x14ac:dyDescent="0.2">
      <c r="BJ30863" s="201"/>
    </row>
    <row r="30864" spans="62:62" x14ac:dyDescent="0.2">
      <c r="BJ30864" s="201"/>
    </row>
    <row r="30865" spans="62:62" x14ac:dyDescent="0.2">
      <c r="BJ30865" s="201"/>
    </row>
    <row r="30866" spans="62:62" x14ac:dyDescent="0.2">
      <c r="BJ30866" s="201"/>
    </row>
    <row r="30867" spans="62:62" x14ac:dyDescent="0.2">
      <c r="BJ30867" s="201"/>
    </row>
    <row r="30868" spans="62:62" x14ac:dyDescent="0.2">
      <c r="BJ30868" s="201"/>
    </row>
    <row r="30869" spans="62:62" x14ac:dyDescent="0.2">
      <c r="BJ30869" s="201"/>
    </row>
    <row r="30870" spans="62:62" x14ac:dyDescent="0.2">
      <c r="BJ30870" s="201"/>
    </row>
    <row r="30871" spans="62:62" x14ac:dyDescent="0.2">
      <c r="BJ30871" s="201"/>
    </row>
    <row r="30872" spans="62:62" x14ac:dyDescent="0.2">
      <c r="BJ30872" s="201"/>
    </row>
    <row r="30873" spans="62:62" x14ac:dyDescent="0.2">
      <c r="BJ30873" s="201"/>
    </row>
    <row r="30874" spans="62:62" x14ac:dyDescent="0.2">
      <c r="BJ30874" s="201"/>
    </row>
    <row r="30875" spans="62:62" x14ac:dyDescent="0.2">
      <c r="BJ30875" s="201"/>
    </row>
    <row r="30876" spans="62:62" x14ac:dyDescent="0.2">
      <c r="BJ30876" s="201"/>
    </row>
    <row r="30877" spans="62:62" x14ac:dyDescent="0.2">
      <c r="BJ30877" s="201"/>
    </row>
    <row r="30878" spans="62:62" x14ac:dyDescent="0.2">
      <c r="BJ30878" s="201"/>
    </row>
    <row r="30879" spans="62:62" x14ac:dyDescent="0.2">
      <c r="BJ30879" s="201"/>
    </row>
    <row r="30880" spans="62:62" x14ac:dyDescent="0.2">
      <c r="BJ30880" s="201"/>
    </row>
    <row r="30881" spans="62:62" x14ac:dyDescent="0.2">
      <c r="BJ30881" s="201"/>
    </row>
    <row r="30882" spans="62:62" x14ac:dyDescent="0.2">
      <c r="BJ30882" s="201"/>
    </row>
    <row r="30883" spans="62:62" x14ac:dyDescent="0.2">
      <c r="BJ30883" s="201"/>
    </row>
    <row r="30884" spans="62:62" x14ac:dyDescent="0.2">
      <c r="BJ30884" s="201"/>
    </row>
    <row r="30885" spans="62:62" x14ac:dyDescent="0.2">
      <c r="BJ30885" s="201"/>
    </row>
    <row r="30886" spans="62:62" x14ac:dyDescent="0.2">
      <c r="BJ30886" s="201"/>
    </row>
    <row r="30887" spans="62:62" x14ac:dyDescent="0.2">
      <c r="BJ30887" s="201"/>
    </row>
    <row r="30888" spans="62:62" x14ac:dyDescent="0.2">
      <c r="BJ30888" s="201"/>
    </row>
    <row r="30889" spans="62:62" x14ac:dyDescent="0.2">
      <c r="BJ30889" s="201"/>
    </row>
    <row r="30890" spans="62:62" x14ac:dyDescent="0.2">
      <c r="BJ30890" s="201"/>
    </row>
    <row r="30891" spans="62:62" x14ac:dyDescent="0.2">
      <c r="BJ30891" s="201"/>
    </row>
    <row r="30892" spans="62:62" x14ac:dyDescent="0.2">
      <c r="BJ30892" s="201"/>
    </row>
    <row r="30893" spans="62:62" x14ac:dyDescent="0.2">
      <c r="BJ30893" s="201"/>
    </row>
    <row r="30894" spans="62:62" x14ac:dyDescent="0.2">
      <c r="BJ30894" s="201"/>
    </row>
    <row r="30895" spans="62:62" x14ac:dyDescent="0.2">
      <c r="BJ30895" s="201"/>
    </row>
    <row r="30896" spans="62:62" x14ac:dyDescent="0.2">
      <c r="BJ30896" s="201"/>
    </row>
    <row r="30897" spans="62:62" x14ac:dyDescent="0.2">
      <c r="BJ30897" s="201"/>
    </row>
    <row r="30898" spans="62:62" x14ac:dyDescent="0.2">
      <c r="BJ30898" s="201"/>
    </row>
    <row r="30899" spans="62:62" x14ac:dyDescent="0.2">
      <c r="BJ30899" s="201"/>
    </row>
    <row r="30900" spans="62:62" x14ac:dyDescent="0.2">
      <c r="BJ30900" s="201"/>
    </row>
    <row r="30901" spans="62:62" x14ac:dyDescent="0.2">
      <c r="BJ30901" s="201"/>
    </row>
    <row r="30902" spans="62:62" x14ac:dyDescent="0.2">
      <c r="BJ30902" s="201"/>
    </row>
    <row r="30903" spans="62:62" x14ac:dyDescent="0.2">
      <c r="BJ30903" s="201"/>
    </row>
    <row r="30904" spans="62:62" x14ac:dyDescent="0.2">
      <c r="BJ30904" s="201"/>
    </row>
    <row r="30905" spans="62:62" x14ac:dyDescent="0.2">
      <c r="BJ30905" s="201"/>
    </row>
    <row r="30906" spans="62:62" x14ac:dyDescent="0.2">
      <c r="BJ30906" s="201"/>
    </row>
    <row r="30907" spans="62:62" x14ac:dyDescent="0.2">
      <c r="BJ30907" s="201"/>
    </row>
    <row r="30908" spans="62:62" x14ac:dyDescent="0.2">
      <c r="BJ30908" s="201"/>
    </row>
    <row r="30909" spans="62:62" x14ac:dyDescent="0.2">
      <c r="BJ30909" s="201"/>
    </row>
    <row r="30910" spans="62:62" x14ac:dyDescent="0.2">
      <c r="BJ30910" s="201"/>
    </row>
    <row r="30911" spans="62:62" x14ac:dyDescent="0.2">
      <c r="BJ30911" s="201"/>
    </row>
    <row r="30912" spans="62:62" x14ac:dyDescent="0.2">
      <c r="BJ30912" s="201"/>
    </row>
    <row r="30913" spans="62:62" x14ac:dyDescent="0.2">
      <c r="BJ30913" s="201"/>
    </row>
    <row r="30914" spans="62:62" x14ac:dyDescent="0.2">
      <c r="BJ30914" s="201"/>
    </row>
    <row r="30915" spans="62:62" x14ac:dyDescent="0.2">
      <c r="BJ30915" s="201"/>
    </row>
    <row r="30916" spans="62:62" x14ac:dyDescent="0.2">
      <c r="BJ30916" s="201"/>
    </row>
    <row r="30917" spans="62:62" x14ac:dyDescent="0.2">
      <c r="BJ30917" s="201"/>
    </row>
    <row r="30918" spans="62:62" x14ac:dyDescent="0.2">
      <c r="BJ30918" s="201"/>
    </row>
    <row r="30919" spans="62:62" x14ac:dyDescent="0.2">
      <c r="BJ30919" s="201"/>
    </row>
    <row r="30920" spans="62:62" x14ac:dyDescent="0.2">
      <c r="BJ30920" s="201"/>
    </row>
    <row r="30921" spans="62:62" x14ac:dyDescent="0.2">
      <c r="BJ30921" s="201"/>
    </row>
    <row r="30922" spans="62:62" x14ac:dyDescent="0.2">
      <c r="BJ30922" s="201"/>
    </row>
    <row r="30923" spans="62:62" x14ac:dyDescent="0.2">
      <c r="BJ30923" s="201"/>
    </row>
    <row r="30924" spans="62:62" x14ac:dyDescent="0.2">
      <c r="BJ30924" s="201"/>
    </row>
    <row r="30925" spans="62:62" x14ac:dyDescent="0.2">
      <c r="BJ30925" s="201"/>
    </row>
    <row r="30926" spans="62:62" x14ac:dyDescent="0.2">
      <c r="BJ30926" s="201"/>
    </row>
    <row r="30927" spans="62:62" x14ac:dyDescent="0.2">
      <c r="BJ30927" s="201"/>
    </row>
    <row r="30928" spans="62:62" x14ac:dyDescent="0.2">
      <c r="BJ30928" s="201"/>
    </row>
    <row r="30929" spans="62:62" x14ac:dyDescent="0.2">
      <c r="BJ30929" s="201"/>
    </row>
    <row r="30930" spans="62:62" x14ac:dyDescent="0.2">
      <c r="BJ30930" s="201"/>
    </row>
    <row r="30931" spans="62:62" x14ac:dyDescent="0.2">
      <c r="BJ30931" s="201"/>
    </row>
    <row r="30932" spans="62:62" x14ac:dyDescent="0.2">
      <c r="BJ30932" s="201"/>
    </row>
    <row r="30933" spans="62:62" x14ac:dyDescent="0.2">
      <c r="BJ30933" s="201"/>
    </row>
    <row r="30934" spans="62:62" x14ac:dyDescent="0.2">
      <c r="BJ30934" s="201"/>
    </row>
    <row r="30935" spans="62:62" x14ac:dyDescent="0.2">
      <c r="BJ30935" s="201"/>
    </row>
    <row r="30936" spans="62:62" x14ac:dyDescent="0.2">
      <c r="BJ30936" s="201"/>
    </row>
    <row r="30937" spans="62:62" x14ac:dyDescent="0.2">
      <c r="BJ30937" s="201"/>
    </row>
    <row r="30938" spans="62:62" x14ac:dyDescent="0.2">
      <c r="BJ30938" s="201"/>
    </row>
    <row r="30939" spans="62:62" x14ac:dyDescent="0.2">
      <c r="BJ30939" s="201"/>
    </row>
    <row r="30940" spans="62:62" x14ac:dyDescent="0.2">
      <c r="BJ30940" s="201"/>
    </row>
    <row r="30941" spans="62:62" x14ac:dyDescent="0.2">
      <c r="BJ30941" s="201"/>
    </row>
    <row r="30942" spans="62:62" x14ac:dyDescent="0.2">
      <c r="BJ30942" s="201"/>
    </row>
    <row r="30943" spans="62:62" x14ac:dyDescent="0.2">
      <c r="BJ30943" s="201"/>
    </row>
    <row r="30944" spans="62:62" x14ac:dyDescent="0.2">
      <c r="BJ30944" s="201"/>
    </row>
    <row r="30945" spans="62:62" x14ac:dyDescent="0.2">
      <c r="BJ30945" s="201"/>
    </row>
    <row r="30946" spans="62:62" x14ac:dyDescent="0.2">
      <c r="BJ30946" s="201"/>
    </row>
    <row r="30947" spans="62:62" x14ac:dyDescent="0.2">
      <c r="BJ30947" s="201"/>
    </row>
    <row r="30948" spans="62:62" x14ac:dyDescent="0.2">
      <c r="BJ30948" s="201"/>
    </row>
    <row r="30949" spans="62:62" x14ac:dyDescent="0.2">
      <c r="BJ30949" s="201"/>
    </row>
    <row r="30950" spans="62:62" x14ac:dyDescent="0.2">
      <c r="BJ30950" s="201"/>
    </row>
    <row r="30951" spans="62:62" x14ac:dyDescent="0.2">
      <c r="BJ30951" s="201"/>
    </row>
    <row r="30952" spans="62:62" x14ac:dyDescent="0.2">
      <c r="BJ30952" s="201"/>
    </row>
    <row r="30953" spans="62:62" x14ac:dyDescent="0.2">
      <c r="BJ30953" s="201"/>
    </row>
    <row r="30954" spans="62:62" x14ac:dyDescent="0.2">
      <c r="BJ30954" s="201"/>
    </row>
    <row r="30955" spans="62:62" x14ac:dyDescent="0.2">
      <c r="BJ30955" s="201"/>
    </row>
    <row r="30956" spans="62:62" x14ac:dyDescent="0.2">
      <c r="BJ30956" s="201"/>
    </row>
    <row r="30957" spans="62:62" x14ac:dyDescent="0.2">
      <c r="BJ30957" s="201"/>
    </row>
    <row r="30958" spans="62:62" x14ac:dyDescent="0.2">
      <c r="BJ30958" s="201"/>
    </row>
    <row r="30959" spans="62:62" x14ac:dyDescent="0.2">
      <c r="BJ30959" s="201"/>
    </row>
    <row r="30960" spans="62:62" x14ac:dyDescent="0.2">
      <c r="BJ30960" s="201"/>
    </row>
    <row r="30961" spans="62:62" x14ac:dyDescent="0.2">
      <c r="BJ30961" s="201"/>
    </row>
    <row r="30962" spans="62:62" x14ac:dyDescent="0.2">
      <c r="BJ30962" s="201"/>
    </row>
    <row r="30963" spans="62:62" x14ac:dyDescent="0.2">
      <c r="BJ30963" s="201"/>
    </row>
    <row r="30964" spans="62:62" x14ac:dyDescent="0.2">
      <c r="BJ30964" s="201"/>
    </row>
    <row r="30965" spans="62:62" x14ac:dyDescent="0.2">
      <c r="BJ30965" s="201"/>
    </row>
    <row r="30966" spans="62:62" x14ac:dyDescent="0.2">
      <c r="BJ30966" s="201"/>
    </row>
    <row r="30967" spans="62:62" x14ac:dyDescent="0.2">
      <c r="BJ30967" s="201"/>
    </row>
    <row r="30968" spans="62:62" x14ac:dyDescent="0.2">
      <c r="BJ30968" s="201"/>
    </row>
    <row r="30969" spans="62:62" x14ac:dyDescent="0.2">
      <c r="BJ30969" s="201"/>
    </row>
    <row r="30970" spans="62:62" x14ac:dyDescent="0.2">
      <c r="BJ30970" s="201"/>
    </row>
    <row r="30971" spans="62:62" x14ac:dyDescent="0.2">
      <c r="BJ30971" s="201"/>
    </row>
    <row r="30972" spans="62:62" x14ac:dyDescent="0.2">
      <c r="BJ30972" s="201"/>
    </row>
    <row r="30973" spans="62:62" x14ac:dyDescent="0.2">
      <c r="BJ30973" s="201"/>
    </row>
    <row r="30974" spans="62:62" x14ac:dyDescent="0.2">
      <c r="BJ30974" s="201"/>
    </row>
    <row r="30975" spans="62:62" x14ac:dyDescent="0.2">
      <c r="BJ30975" s="201"/>
    </row>
    <row r="30976" spans="62:62" x14ac:dyDescent="0.2">
      <c r="BJ30976" s="201"/>
    </row>
    <row r="30977" spans="62:62" x14ac:dyDescent="0.2">
      <c r="BJ30977" s="201"/>
    </row>
    <row r="30978" spans="62:62" x14ac:dyDescent="0.2">
      <c r="BJ30978" s="201"/>
    </row>
    <row r="30979" spans="62:62" x14ac:dyDescent="0.2">
      <c r="BJ30979" s="201"/>
    </row>
    <row r="30980" spans="62:62" x14ac:dyDescent="0.2">
      <c r="BJ30980" s="201"/>
    </row>
    <row r="30981" spans="62:62" x14ac:dyDescent="0.2">
      <c r="BJ30981" s="201"/>
    </row>
    <row r="30982" spans="62:62" x14ac:dyDescent="0.2">
      <c r="BJ30982" s="201"/>
    </row>
    <row r="30983" spans="62:62" x14ac:dyDescent="0.2">
      <c r="BJ30983" s="201"/>
    </row>
    <row r="30984" spans="62:62" x14ac:dyDescent="0.2">
      <c r="BJ30984" s="201"/>
    </row>
    <row r="30985" spans="62:62" x14ac:dyDescent="0.2">
      <c r="BJ30985" s="201"/>
    </row>
    <row r="30986" spans="62:62" x14ac:dyDescent="0.2">
      <c r="BJ30986" s="201"/>
    </row>
    <row r="30987" spans="62:62" x14ac:dyDescent="0.2">
      <c r="BJ30987" s="201"/>
    </row>
    <row r="30988" spans="62:62" x14ac:dyDescent="0.2">
      <c r="BJ30988" s="201"/>
    </row>
    <row r="30989" spans="62:62" x14ac:dyDescent="0.2">
      <c r="BJ30989" s="201"/>
    </row>
    <row r="30990" spans="62:62" x14ac:dyDescent="0.2">
      <c r="BJ30990" s="201"/>
    </row>
    <row r="30991" spans="62:62" x14ac:dyDescent="0.2">
      <c r="BJ30991" s="201"/>
    </row>
    <row r="30992" spans="62:62" x14ac:dyDescent="0.2">
      <c r="BJ30992" s="201"/>
    </row>
    <row r="30993" spans="62:62" x14ac:dyDescent="0.2">
      <c r="BJ30993" s="201"/>
    </row>
    <row r="30994" spans="62:62" x14ac:dyDescent="0.2">
      <c r="BJ30994" s="201"/>
    </row>
    <row r="30995" spans="62:62" x14ac:dyDescent="0.2">
      <c r="BJ30995" s="201"/>
    </row>
    <row r="30996" spans="62:62" x14ac:dyDescent="0.2">
      <c r="BJ30996" s="201"/>
    </row>
    <row r="30997" spans="62:62" x14ac:dyDescent="0.2">
      <c r="BJ30997" s="201"/>
    </row>
    <row r="30998" spans="62:62" x14ac:dyDescent="0.2">
      <c r="BJ30998" s="201"/>
    </row>
    <row r="30999" spans="62:62" x14ac:dyDescent="0.2">
      <c r="BJ30999" s="201"/>
    </row>
    <row r="31000" spans="62:62" x14ac:dyDescent="0.2">
      <c r="BJ31000" s="201"/>
    </row>
    <row r="31001" spans="62:62" x14ac:dyDescent="0.2">
      <c r="BJ31001" s="201"/>
    </row>
    <row r="31002" spans="62:62" x14ac:dyDescent="0.2">
      <c r="BJ31002" s="201"/>
    </row>
    <row r="31003" spans="62:62" x14ac:dyDescent="0.2">
      <c r="BJ31003" s="201"/>
    </row>
    <row r="31004" spans="62:62" x14ac:dyDescent="0.2">
      <c r="BJ31004" s="201"/>
    </row>
    <row r="31005" spans="62:62" x14ac:dyDescent="0.2">
      <c r="BJ31005" s="201"/>
    </row>
    <row r="31006" spans="62:62" x14ac:dyDescent="0.2">
      <c r="BJ31006" s="201"/>
    </row>
    <row r="31007" spans="62:62" x14ac:dyDescent="0.2">
      <c r="BJ31007" s="201"/>
    </row>
    <row r="31008" spans="62:62" x14ac:dyDescent="0.2">
      <c r="BJ31008" s="201"/>
    </row>
    <row r="31009" spans="62:62" x14ac:dyDescent="0.2">
      <c r="BJ31009" s="201"/>
    </row>
    <row r="31010" spans="62:62" x14ac:dyDescent="0.2">
      <c r="BJ31010" s="201"/>
    </row>
    <row r="31011" spans="62:62" x14ac:dyDescent="0.2">
      <c r="BJ31011" s="201"/>
    </row>
    <row r="31012" spans="62:62" x14ac:dyDescent="0.2">
      <c r="BJ31012" s="201"/>
    </row>
    <row r="31013" spans="62:62" x14ac:dyDescent="0.2">
      <c r="BJ31013" s="201"/>
    </row>
    <row r="31014" spans="62:62" x14ac:dyDescent="0.2">
      <c r="BJ31014" s="201"/>
    </row>
    <row r="31015" spans="62:62" x14ac:dyDescent="0.2">
      <c r="BJ31015" s="201"/>
    </row>
    <row r="31016" spans="62:62" x14ac:dyDescent="0.2">
      <c r="BJ31016" s="201"/>
    </row>
    <row r="31017" spans="62:62" x14ac:dyDescent="0.2">
      <c r="BJ31017" s="201"/>
    </row>
    <row r="31018" spans="62:62" x14ac:dyDescent="0.2">
      <c r="BJ31018" s="201"/>
    </row>
    <row r="31019" spans="62:62" x14ac:dyDescent="0.2">
      <c r="BJ31019" s="201"/>
    </row>
    <row r="31020" spans="62:62" x14ac:dyDescent="0.2">
      <c r="BJ31020" s="201"/>
    </row>
    <row r="31021" spans="62:62" x14ac:dyDescent="0.2">
      <c r="BJ31021" s="201"/>
    </row>
    <row r="31022" spans="62:62" x14ac:dyDescent="0.2">
      <c r="BJ31022" s="201"/>
    </row>
    <row r="31023" spans="62:62" x14ac:dyDescent="0.2">
      <c r="BJ31023" s="201"/>
    </row>
    <row r="31024" spans="62:62" x14ac:dyDescent="0.2">
      <c r="BJ31024" s="201"/>
    </row>
    <row r="31025" spans="62:62" x14ac:dyDescent="0.2">
      <c r="BJ31025" s="201"/>
    </row>
    <row r="31026" spans="62:62" x14ac:dyDescent="0.2">
      <c r="BJ31026" s="201"/>
    </row>
    <row r="31027" spans="62:62" x14ac:dyDescent="0.2">
      <c r="BJ31027" s="201"/>
    </row>
    <row r="31028" spans="62:62" x14ac:dyDescent="0.2">
      <c r="BJ31028" s="201"/>
    </row>
    <row r="31029" spans="62:62" x14ac:dyDescent="0.2">
      <c r="BJ31029" s="201"/>
    </row>
    <row r="31030" spans="62:62" x14ac:dyDescent="0.2">
      <c r="BJ31030" s="201"/>
    </row>
    <row r="31031" spans="62:62" x14ac:dyDescent="0.2">
      <c r="BJ31031" s="201"/>
    </row>
    <row r="31032" spans="62:62" x14ac:dyDescent="0.2">
      <c r="BJ31032" s="201"/>
    </row>
    <row r="31033" spans="62:62" x14ac:dyDescent="0.2">
      <c r="BJ31033" s="201"/>
    </row>
    <row r="31034" spans="62:62" x14ac:dyDescent="0.2">
      <c r="BJ31034" s="201"/>
    </row>
    <row r="31035" spans="62:62" x14ac:dyDescent="0.2">
      <c r="BJ31035" s="201"/>
    </row>
    <row r="31036" spans="62:62" x14ac:dyDescent="0.2">
      <c r="BJ31036" s="201"/>
    </row>
    <row r="31037" spans="62:62" x14ac:dyDescent="0.2">
      <c r="BJ31037" s="201"/>
    </row>
    <row r="31038" spans="62:62" x14ac:dyDescent="0.2">
      <c r="BJ31038" s="201"/>
    </row>
    <row r="31039" spans="62:62" x14ac:dyDescent="0.2">
      <c r="BJ31039" s="201"/>
    </row>
    <row r="31040" spans="62:62" x14ac:dyDescent="0.2">
      <c r="BJ31040" s="201"/>
    </row>
    <row r="31041" spans="62:62" x14ac:dyDescent="0.2">
      <c r="BJ31041" s="201"/>
    </row>
    <row r="31042" spans="62:62" x14ac:dyDescent="0.2">
      <c r="BJ31042" s="201"/>
    </row>
    <row r="31043" spans="62:62" x14ac:dyDescent="0.2">
      <c r="BJ31043" s="201"/>
    </row>
    <row r="31044" spans="62:62" x14ac:dyDescent="0.2">
      <c r="BJ31044" s="201"/>
    </row>
    <row r="31045" spans="62:62" x14ac:dyDescent="0.2">
      <c r="BJ31045" s="201"/>
    </row>
    <row r="31046" spans="62:62" x14ac:dyDescent="0.2">
      <c r="BJ31046" s="201"/>
    </row>
    <row r="31047" spans="62:62" x14ac:dyDescent="0.2">
      <c r="BJ31047" s="201"/>
    </row>
    <row r="31048" spans="62:62" x14ac:dyDescent="0.2">
      <c r="BJ31048" s="201"/>
    </row>
    <row r="31049" spans="62:62" x14ac:dyDescent="0.2">
      <c r="BJ31049" s="201"/>
    </row>
    <row r="31050" spans="62:62" x14ac:dyDescent="0.2">
      <c r="BJ31050" s="201"/>
    </row>
    <row r="31051" spans="62:62" x14ac:dyDescent="0.2">
      <c r="BJ31051" s="201"/>
    </row>
    <row r="31052" spans="62:62" x14ac:dyDescent="0.2">
      <c r="BJ31052" s="201"/>
    </row>
    <row r="31053" spans="62:62" x14ac:dyDescent="0.2">
      <c r="BJ31053" s="201"/>
    </row>
    <row r="31054" spans="62:62" x14ac:dyDescent="0.2">
      <c r="BJ31054" s="201"/>
    </row>
    <row r="31055" spans="62:62" x14ac:dyDescent="0.2">
      <c r="BJ31055" s="201"/>
    </row>
    <row r="31056" spans="62:62" x14ac:dyDescent="0.2">
      <c r="BJ31056" s="201"/>
    </row>
    <row r="31057" spans="62:62" x14ac:dyDescent="0.2">
      <c r="BJ31057" s="201"/>
    </row>
    <row r="31058" spans="62:62" x14ac:dyDescent="0.2">
      <c r="BJ31058" s="201"/>
    </row>
    <row r="31059" spans="62:62" x14ac:dyDescent="0.2">
      <c r="BJ31059" s="201"/>
    </row>
    <row r="31060" spans="62:62" x14ac:dyDescent="0.2">
      <c r="BJ31060" s="201"/>
    </row>
    <row r="31061" spans="62:62" x14ac:dyDescent="0.2">
      <c r="BJ31061" s="201"/>
    </row>
    <row r="31062" spans="62:62" x14ac:dyDescent="0.2">
      <c r="BJ31062" s="201"/>
    </row>
    <row r="31063" spans="62:62" x14ac:dyDescent="0.2">
      <c r="BJ31063" s="201"/>
    </row>
    <row r="31064" spans="62:62" x14ac:dyDescent="0.2">
      <c r="BJ31064" s="201"/>
    </row>
    <row r="31065" spans="62:62" x14ac:dyDescent="0.2">
      <c r="BJ31065" s="201"/>
    </row>
    <row r="31066" spans="62:62" x14ac:dyDescent="0.2">
      <c r="BJ31066" s="201"/>
    </row>
    <row r="31067" spans="62:62" x14ac:dyDescent="0.2">
      <c r="BJ31067" s="201"/>
    </row>
    <row r="31068" spans="62:62" x14ac:dyDescent="0.2">
      <c r="BJ31068" s="201"/>
    </row>
    <row r="31069" spans="62:62" x14ac:dyDescent="0.2">
      <c r="BJ31069" s="201"/>
    </row>
    <row r="31070" spans="62:62" x14ac:dyDescent="0.2">
      <c r="BJ31070" s="201"/>
    </row>
    <row r="31071" spans="62:62" x14ac:dyDescent="0.2">
      <c r="BJ31071" s="201"/>
    </row>
    <row r="31072" spans="62:62" x14ac:dyDescent="0.2">
      <c r="BJ31072" s="201"/>
    </row>
    <row r="31073" spans="62:62" x14ac:dyDescent="0.2">
      <c r="BJ31073" s="201"/>
    </row>
    <row r="31074" spans="62:62" x14ac:dyDescent="0.2">
      <c r="BJ31074" s="201"/>
    </row>
    <row r="31075" spans="62:62" x14ac:dyDescent="0.2">
      <c r="BJ31075" s="201"/>
    </row>
    <row r="31076" spans="62:62" x14ac:dyDescent="0.2">
      <c r="BJ31076" s="201"/>
    </row>
    <row r="31077" spans="62:62" x14ac:dyDescent="0.2">
      <c r="BJ31077" s="201"/>
    </row>
    <row r="31078" spans="62:62" x14ac:dyDescent="0.2">
      <c r="BJ31078" s="201"/>
    </row>
    <row r="31079" spans="62:62" x14ac:dyDescent="0.2">
      <c r="BJ31079" s="201"/>
    </row>
    <row r="31080" spans="62:62" x14ac:dyDescent="0.2">
      <c r="BJ31080" s="201"/>
    </row>
    <row r="31081" spans="62:62" x14ac:dyDescent="0.2">
      <c r="BJ31081" s="201"/>
    </row>
    <row r="31082" spans="62:62" x14ac:dyDescent="0.2">
      <c r="BJ31082" s="201"/>
    </row>
    <row r="31083" spans="62:62" x14ac:dyDescent="0.2">
      <c r="BJ31083" s="201"/>
    </row>
    <row r="31084" spans="62:62" x14ac:dyDescent="0.2">
      <c r="BJ31084" s="201"/>
    </row>
    <row r="31085" spans="62:62" x14ac:dyDescent="0.2">
      <c r="BJ31085" s="201"/>
    </row>
    <row r="31086" spans="62:62" x14ac:dyDescent="0.2">
      <c r="BJ31086" s="201"/>
    </row>
    <row r="31087" spans="62:62" x14ac:dyDescent="0.2">
      <c r="BJ31087" s="201"/>
    </row>
    <row r="31088" spans="62:62" x14ac:dyDescent="0.2">
      <c r="BJ31088" s="201"/>
    </row>
    <row r="31089" spans="62:62" x14ac:dyDescent="0.2">
      <c r="BJ31089" s="201"/>
    </row>
    <row r="31090" spans="62:62" x14ac:dyDescent="0.2">
      <c r="BJ31090" s="201"/>
    </row>
    <row r="31091" spans="62:62" x14ac:dyDescent="0.2">
      <c r="BJ31091" s="201"/>
    </row>
    <row r="31092" spans="62:62" x14ac:dyDescent="0.2">
      <c r="BJ31092" s="201"/>
    </row>
    <row r="31093" spans="62:62" x14ac:dyDescent="0.2">
      <c r="BJ31093" s="201"/>
    </row>
    <row r="31094" spans="62:62" x14ac:dyDescent="0.2">
      <c r="BJ31094" s="201"/>
    </row>
    <row r="31095" spans="62:62" x14ac:dyDescent="0.2">
      <c r="BJ31095" s="201"/>
    </row>
    <row r="31096" spans="62:62" x14ac:dyDescent="0.2">
      <c r="BJ31096" s="201"/>
    </row>
    <row r="31097" spans="62:62" x14ac:dyDescent="0.2">
      <c r="BJ31097" s="201"/>
    </row>
    <row r="31098" spans="62:62" x14ac:dyDescent="0.2">
      <c r="BJ31098" s="201"/>
    </row>
    <row r="31099" spans="62:62" x14ac:dyDescent="0.2">
      <c r="BJ31099" s="201"/>
    </row>
    <row r="31100" spans="62:62" x14ac:dyDescent="0.2">
      <c r="BJ31100" s="201"/>
    </row>
    <row r="31101" spans="62:62" x14ac:dyDescent="0.2">
      <c r="BJ31101" s="201"/>
    </row>
    <row r="31102" spans="62:62" x14ac:dyDescent="0.2">
      <c r="BJ31102" s="201"/>
    </row>
    <row r="31103" spans="62:62" x14ac:dyDescent="0.2">
      <c r="BJ31103" s="201"/>
    </row>
    <row r="31104" spans="62:62" x14ac:dyDescent="0.2">
      <c r="BJ31104" s="201"/>
    </row>
    <row r="31105" spans="62:62" x14ac:dyDescent="0.2">
      <c r="BJ31105" s="201"/>
    </row>
    <row r="31106" spans="62:62" x14ac:dyDescent="0.2">
      <c r="BJ31106" s="201"/>
    </row>
    <row r="31107" spans="62:62" x14ac:dyDescent="0.2">
      <c r="BJ31107" s="201"/>
    </row>
    <row r="31108" spans="62:62" x14ac:dyDescent="0.2">
      <c r="BJ31108" s="201"/>
    </row>
    <row r="31109" spans="62:62" x14ac:dyDescent="0.2">
      <c r="BJ31109" s="201"/>
    </row>
    <row r="31110" spans="62:62" x14ac:dyDescent="0.2">
      <c r="BJ31110" s="201"/>
    </row>
    <row r="31111" spans="62:62" x14ac:dyDescent="0.2">
      <c r="BJ31111" s="201"/>
    </row>
    <row r="31112" spans="62:62" x14ac:dyDescent="0.2">
      <c r="BJ31112" s="201"/>
    </row>
    <row r="31113" spans="62:62" x14ac:dyDescent="0.2">
      <c r="BJ31113" s="201"/>
    </row>
    <row r="31114" spans="62:62" x14ac:dyDescent="0.2">
      <c r="BJ31114" s="201"/>
    </row>
    <row r="31115" spans="62:62" x14ac:dyDescent="0.2">
      <c r="BJ31115" s="201"/>
    </row>
    <row r="31116" spans="62:62" x14ac:dyDescent="0.2">
      <c r="BJ31116" s="201"/>
    </row>
    <row r="31117" spans="62:62" x14ac:dyDescent="0.2">
      <c r="BJ31117" s="201"/>
    </row>
    <row r="31118" spans="62:62" x14ac:dyDescent="0.2">
      <c r="BJ31118" s="201"/>
    </row>
    <row r="31119" spans="62:62" x14ac:dyDescent="0.2">
      <c r="BJ31119" s="201"/>
    </row>
    <row r="31120" spans="62:62" x14ac:dyDescent="0.2">
      <c r="BJ31120" s="201"/>
    </row>
    <row r="31121" spans="62:62" x14ac:dyDescent="0.2">
      <c r="BJ31121" s="201"/>
    </row>
    <row r="31122" spans="62:62" x14ac:dyDescent="0.2">
      <c r="BJ31122" s="201"/>
    </row>
    <row r="31123" spans="62:62" x14ac:dyDescent="0.2">
      <c r="BJ31123" s="201"/>
    </row>
    <row r="31124" spans="62:62" x14ac:dyDescent="0.2">
      <c r="BJ31124" s="201"/>
    </row>
    <row r="31125" spans="62:62" x14ac:dyDescent="0.2">
      <c r="BJ31125" s="201"/>
    </row>
    <row r="31126" spans="62:62" x14ac:dyDescent="0.2">
      <c r="BJ31126" s="201"/>
    </row>
    <row r="31127" spans="62:62" x14ac:dyDescent="0.2">
      <c r="BJ31127" s="201"/>
    </row>
    <row r="31128" spans="62:62" x14ac:dyDescent="0.2">
      <c r="BJ31128" s="201"/>
    </row>
    <row r="31129" spans="62:62" x14ac:dyDescent="0.2">
      <c r="BJ31129" s="201"/>
    </row>
    <row r="31130" spans="62:62" x14ac:dyDescent="0.2">
      <c r="BJ31130" s="201"/>
    </row>
    <row r="31131" spans="62:62" x14ac:dyDescent="0.2">
      <c r="BJ31131" s="201"/>
    </row>
    <row r="31132" spans="62:62" x14ac:dyDescent="0.2">
      <c r="BJ31132" s="201"/>
    </row>
    <row r="31133" spans="62:62" x14ac:dyDescent="0.2">
      <c r="BJ31133" s="201"/>
    </row>
    <row r="31134" spans="62:62" x14ac:dyDescent="0.2">
      <c r="BJ31134" s="201"/>
    </row>
    <row r="31135" spans="62:62" x14ac:dyDescent="0.2">
      <c r="BJ31135" s="201"/>
    </row>
    <row r="31136" spans="62:62" x14ac:dyDescent="0.2">
      <c r="BJ31136" s="201"/>
    </row>
    <row r="31137" spans="62:62" x14ac:dyDescent="0.2">
      <c r="BJ31137" s="201"/>
    </row>
    <row r="31138" spans="62:62" x14ac:dyDescent="0.2">
      <c r="BJ31138" s="201"/>
    </row>
    <row r="31139" spans="62:62" x14ac:dyDescent="0.2">
      <c r="BJ31139" s="201"/>
    </row>
    <row r="31140" spans="62:62" x14ac:dyDescent="0.2">
      <c r="BJ31140" s="201"/>
    </row>
    <row r="31141" spans="62:62" x14ac:dyDescent="0.2">
      <c r="BJ31141" s="201"/>
    </row>
    <row r="31142" spans="62:62" x14ac:dyDescent="0.2">
      <c r="BJ31142" s="201"/>
    </row>
    <row r="31143" spans="62:62" x14ac:dyDescent="0.2">
      <c r="BJ31143" s="201"/>
    </row>
    <row r="31144" spans="62:62" x14ac:dyDescent="0.2">
      <c r="BJ31144" s="201"/>
    </row>
    <row r="31145" spans="62:62" x14ac:dyDescent="0.2">
      <c r="BJ31145" s="201"/>
    </row>
    <row r="31146" spans="62:62" x14ac:dyDescent="0.2">
      <c r="BJ31146" s="201"/>
    </row>
    <row r="31147" spans="62:62" x14ac:dyDescent="0.2">
      <c r="BJ31147" s="201"/>
    </row>
    <row r="31148" spans="62:62" x14ac:dyDescent="0.2">
      <c r="BJ31148" s="201"/>
    </row>
    <row r="31149" spans="62:62" x14ac:dyDescent="0.2">
      <c r="BJ31149" s="201"/>
    </row>
    <row r="31150" spans="62:62" x14ac:dyDescent="0.2">
      <c r="BJ31150" s="201"/>
    </row>
    <row r="31151" spans="62:62" x14ac:dyDescent="0.2">
      <c r="BJ31151" s="201"/>
    </row>
    <row r="31152" spans="62:62" x14ac:dyDescent="0.2">
      <c r="BJ31152" s="201"/>
    </row>
    <row r="31153" spans="62:62" x14ac:dyDescent="0.2">
      <c r="BJ31153" s="201"/>
    </row>
    <row r="31154" spans="62:62" x14ac:dyDescent="0.2">
      <c r="BJ31154" s="201"/>
    </row>
    <row r="31155" spans="62:62" x14ac:dyDescent="0.2">
      <c r="BJ31155" s="201"/>
    </row>
    <row r="31156" spans="62:62" x14ac:dyDescent="0.2">
      <c r="BJ31156" s="201"/>
    </row>
    <row r="31157" spans="62:62" x14ac:dyDescent="0.2">
      <c r="BJ31157" s="201"/>
    </row>
    <row r="31158" spans="62:62" x14ac:dyDescent="0.2">
      <c r="BJ31158" s="201"/>
    </row>
    <row r="31159" spans="62:62" x14ac:dyDescent="0.2">
      <c r="BJ31159" s="201"/>
    </row>
    <row r="31160" spans="62:62" x14ac:dyDescent="0.2">
      <c r="BJ31160" s="201"/>
    </row>
    <row r="31161" spans="62:62" x14ac:dyDescent="0.2">
      <c r="BJ31161" s="201"/>
    </row>
    <row r="31162" spans="62:62" x14ac:dyDescent="0.2">
      <c r="BJ31162" s="201"/>
    </row>
    <row r="31163" spans="62:62" x14ac:dyDescent="0.2">
      <c r="BJ31163" s="201"/>
    </row>
    <row r="31164" spans="62:62" x14ac:dyDescent="0.2">
      <c r="BJ31164" s="201"/>
    </row>
    <row r="31165" spans="62:62" x14ac:dyDescent="0.2">
      <c r="BJ31165" s="201"/>
    </row>
    <row r="31166" spans="62:62" x14ac:dyDescent="0.2">
      <c r="BJ31166" s="201"/>
    </row>
    <row r="31167" spans="62:62" x14ac:dyDescent="0.2">
      <c r="BJ31167" s="201"/>
    </row>
    <row r="31168" spans="62:62" x14ac:dyDescent="0.2">
      <c r="BJ31168" s="201"/>
    </row>
    <row r="31169" spans="62:62" x14ac:dyDescent="0.2">
      <c r="BJ31169" s="201"/>
    </row>
    <row r="31170" spans="62:62" x14ac:dyDescent="0.2">
      <c r="BJ31170" s="201"/>
    </row>
    <row r="31171" spans="62:62" x14ac:dyDescent="0.2">
      <c r="BJ31171" s="201"/>
    </row>
    <row r="31172" spans="62:62" x14ac:dyDescent="0.2">
      <c r="BJ31172" s="201"/>
    </row>
    <row r="31173" spans="62:62" x14ac:dyDescent="0.2">
      <c r="BJ31173" s="201"/>
    </row>
    <row r="31174" spans="62:62" x14ac:dyDescent="0.2">
      <c r="BJ31174" s="201"/>
    </row>
    <row r="31175" spans="62:62" x14ac:dyDescent="0.2">
      <c r="BJ31175" s="201"/>
    </row>
    <row r="31176" spans="62:62" x14ac:dyDescent="0.2">
      <c r="BJ31176" s="201"/>
    </row>
    <row r="31177" spans="62:62" x14ac:dyDescent="0.2">
      <c r="BJ31177" s="201"/>
    </row>
    <row r="31178" spans="62:62" x14ac:dyDescent="0.2">
      <c r="BJ31178" s="201"/>
    </row>
    <row r="31179" spans="62:62" x14ac:dyDescent="0.2">
      <c r="BJ31179" s="201"/>
    </row>
    <row r="31180" spans="62:62" x14ac:dyDescent="0.2">
      <c r="BJ31180" s="201"/>
    </row>
    <row r="31181" spans="62:62" x14ac:dyDescent="0.2">
      <c r="BJ31181" s="201"/>
    </row>
    <row r="31182" spans="62:62" x14ac:dyDescent="0.2">
      <c r="BJ31182" s="201"/>
    </row>
    <row r="31183" spans="62:62" x14ac:dyDescent="0.2">
      <c r="BJ31183" s="201"/>
    </row>
    <row r="31184" spans="62:62" x14ac:dyDescent="0.2">
      <c r="BJ31184" s="201"/>
    </row>
    <row r="31185" spans="62:62" x14ac:dyDescent="0.2">
      <c r="BJ31185" s="201"/>
    </row>
    <row r="31186" spans="62:62" x14ac:dyDescent="0.2">
      <c r="BJ31186" s="201"/>
    </row>
    <row r="31187" spans="62:62" x14ac:dyDescent="0.2">
      <c r="BJ31187" s="201"/>
    </row>
    <row r="31188" spans="62:62" x14ac:dyDescent="0.2">
      <c r="BJ31188" s="201"/>
    </row>
    <row r="31189" spans="62:62" x14ac:dyDescent="0.2">
      <c r="BJ31189" s="201"/>
    </row>
    <row r="31190" spans="62:62" x14ac:dyDescent="0.2">
      <c r="BJ31190" s="201"/>
    </row>
    <row r="31191" spans="62:62" x14ac:dyDescent="0.2">
      <c r="BJ31191" s="201"/>
    </row>
    <row r="31192" spans="62:62" x14ac:dyDescent="0.2">
      <c r="BJ31192" s="201"/>
    </row>
    <row r="31193" spans="62:62" x14ac:dyDescent="0.2">
      <c r="BJ31193" s="201"/>
    </row>
    <row r="31194" spans="62:62" x14ac:dyDescent="0.2">
      <c r="BJ31194" s="201"/>
    </row>
    <row r="31195" spans="62:62" x14ac:dyDescent="0.2">
      <c r="BJ31195" s="201"/>
    </row>
    <row r="31196" spans="62:62" x14ac:dyDescent="0.2">
      <c r="BJ31196" s="201"/>
    </row>
    <row r="31197" spans="62:62" x14ac:dyDescent="0.2">
      <c r="BJ31197" s="201"/>
    </row>
    <row r="31198" spans="62:62" x14ac:dyDescent="0.2">
      <c r="BJ31198" s="201"/>
    </row>
    <row r="31199" spans="62:62" x14ac:dyDescent="0.2">
      <c r="BJ31199" s="201"/>
    </row>
    <row r="31200" spans="62:62" x14ac:dyDescent="0.2">
      <c r="BJ31200" s="201"/>
    </row>
    <row r="31201" spans="62:62" x14ac:dyDescent="0.2">
      <c r="BJ31201" s="201"/>
    </row>
    <row r="31202" spans="62:62" x14ac:dyDescent="0.2">
      <c r="BJ31202" s="201"/>
    </row>
    <row r="31203" spans="62:62" x14ac:dyDescent="0.2">
      <c r="BJ31203" s="201"/>
    </row>
    <row r="31204" spans="62:62" x14ac:dyDescent="0.2">
      <c r="BJ31204" s="201"/>
    </row>
    <row r="31205" spans="62:62" x14ac:dyDescent="0.2">
      <c r="BJ31205" s="201"/>
    </row>
    <row r="31206" spans="62:62" x14ac:dyDescent="0.2">
      <c r="BJ31206" s="201"/>
    </row>
    <row r="31207" spans="62:62" x14ac:dyDescent="0.2">
      <c r="BJ31207" s="201"/>
    </row>
    <row r="31208" spans="62:62" x14ac:dyDescent="0.2">
      <c r="BJ31208" s="201"/>
    </row>
    <row r="31209" spans="62:62" x14ac:dyDescent="0.2">
      <c r="BJ31209" s="201"/>
    </row>
    <row r="31210" spans="62:62" x14ac:dyDescent="0.2">
      <c r="BJ31210" s="201"/>
    </row>
    <row r="31211" spans="62:62" x14ac:dyDescent="0.2">
      <c r="BJ31211" s="201"/>
    </row>
    <row r="31212" spans="62:62" x14ac:dyDescent="0.2">
      <c r="BJ31212" s="201"/>
    </row>
    <row r="31213" spans="62:62" x14ac:dyDescent="0.2">
      <c r="BJ31213" s="201"/>
    </row>
    <row r="31214" spans="62:62" x14ac:dyDescent="0.2">
      <c r="BJ31214" s="201"/>
    </row>
    <row r="31215" spans="62:62" x14ac:dyDescent="0.2">
      <c r="BJ31215" s="201"/>
    </row>
    <row r="31216" spans="62:62" x14ac:dyDescent="0.2">
      <c r="BJ31216" s="201"/>
    </row>
    <row r="31217" spans="62:62" x14ac:dyDescent="0.2">
      <c r="BJ31217" s="201"/>
    </row>
    <row r="31218" spans="62:62" x14ac:dyDescent="0.2">
      <c r="BJ31218" s="201"/>
    </row>
    <row r="31219" spans="62:62" x14ac:dyDescent="0.2">
      <c r="BJ31219" s="201"/>
    </row>
    <row r="31220" spans="62:62" x14ac:dyDescent="0.2">
      <c r="BJ31220" s="201"/>
    </row>
    <row r="31221" spans="62:62" x14ac:dyDescent="0.2">
      <c r="BJ31221" s="201"/>
    </row>
    <row r="31222" spans="62:62" x14ac:dyDescent="0.2">
      <c r="BJ31222" s="201"/>
    </row>
    <row r="31223" spans="62:62" x14ac:dyDescent="0.2">
      <c r="BJ31223" s="201"/>
    </row>
    <row r="31224" spans="62:62" x14ac:dyDescent="0.2">
      <c r="BJ31224" s="201"/>
    </row>
    <row r="31225" spans="62:62" x14ac:dyDescent="0.2">
      <c r="BJ31225" s="201"/>
    </row>
    <row r="31226" spans="62:62" x14ac:dyDescent="0.2">
      <c r="BJ31226" s="201"/>
    </row>
    <row r="31227" spans="62:62" x14ac:dyDescent="0.2">
      <c r="BJ31227" s="201"/>
    </row>
    <row r="31228" spans="62:62" x14ac:dyDescent="0.2">
      <c r="BJ31228" s="201"/>
    </row>
    <row r="31229" spans="62:62" x14ac:dyDescent="0.2">
      <c r="BJ31229" s="201"/>
    </row>
    <row r="31230" spans="62:62" x14ac:dyDescent="0.2">
      <c r="BJ31230" s="201"/>
    </row>
    <row r="31231" spans="62:62" x14ac:dyDescent="0.2">
      <c r="BJ31231" s="201"/>
    </row>
    <row r="31232" spans="62:62" x14ac:dyDescent="0.2">
      <c r="BJ31232" s="201"/>
    </row>
    <row r="31233" spans="62:62" x14ac:dyDescent="0.2">
      <c r="BJ31233" s="201"/>
    </row>
    <row r="31234" spans="62:62" x14ac:dyDescent="0.2">
      <c r="BJ31234" s="201"/>
    </row>
    <row r="31235" spans="62:62" x14ac:dyDescent="0.2">
      <c r="BJ31235" s="201"/>
    </row>
    <row r="31236" spans="62:62" x14ac:dyDescent="0.2">
      <c r="BJ31236" s="201"/>
    </row>
    <row r="31237" spans="62:62" x14ac:dyDescent="0.2">
      <c r="BJ31237" s="201"/>
    </row>
    <row r="31238" spans="62:62" x14ac:dyDescent="0.2">
      <c r="BJ31238" s="201"/>
    </row>
    <row r="31239" spans="62:62" x14ac:dyDescent="0.2">
      <c r="BJ31239" s="201"/>
    </row>
    <row r="31240" spans="62:62" x14ac:dyDescent="0.2">
      <c r="BJ31240" s="201"/>
    </row>
    <row r="31241" spans="62:62" x14ac:dyDescent="0.2">
      <c r="BJ31241" s="201"/>
    </row>
    <row r="31242" spans="62:62" x14ac:dyDescent="0.2">
      <c r="BJ31242" s="201"/>
    </row>
    <row r="31243" spans="62:62" x14ac:dyDescent="0.2">
      <c r="BJ31243" s="201"/>
    </row>
    <row r="31244" spans="62:62" x14ac:dyDescent="0.2">
      <c r="BJ31244" s="201"/>
    </row>
    <row r="31245" spans="62:62" x14ac:dyDescent="0.2">
      <c r="BJ31245" s="201"/>
    </row>
    <row r="31246" spans="62:62" x14ac:dyDescent="0.2">
      <c r="BJ31246" s="201"/>
    </row>
    <row r="31247" spans="62:62" x14ac:dyDescent="0.2">
      <c r="BJ31247" s="201"/>
    </row>
    <row r="31248" spans="62:62" x14ac:dyDescent="0.2">
      <c r="BJ31248" s="201"/>
    </row>
    <row r="31249" spans="62:62" x14ac:dyDescent="0.2">
      <c r="BJ31249" s="201"/>
    </row>
    <row r="31250" spans="62:62" x14ac:dyDescent="0.2">
      <c r="BJ31250" s="201"/>
    </row>
    <row r="31251" spans="62:62" x14ac:dyDescent="0.2">
      <c r="BJ31251" s="201"/>
    </row>
    <row r="31252" spans="62:62" x14ac:dyDescent="0.2">
      <c r="BJ31252" s="201"/>
    </row>
    <row r="31253" spans="62:62" x14ac:dyDescent="0.2">
      <c r="BJ31253" s="201"/>
    </row>
    <row r="31254" spans="62:62" x14ac:dyDescent="0.2">
      <c r="BJ31254" s="201"/>
    </row>
    <row r="31255" spans="62:62" x14ac:dyDescent="0.2">
      <c r="BJ31255" s="201"/>
    </row>
    <row r="31256" spans="62:62" x14ac:dyDescent="0.2">
      <c r="BJ31256" s="201"/>
    </row>
    <row r="31257" spans="62:62" x14ac:dyDescent="0.2">
      <c r="BJ31257" s="201"/>
    </row>
    <row r="31258" spans="62:62" x14ac:dyDescent="0.2">
      <c r="BJ31258" s="201"/>
    </row>
    <row r="31259" spans="62:62" x14ac:dyDescent="0.2">
      <c r="BJ31259" s="201"/>
    </row>
    <row r="31260" spans="62:62" x14ac:dyDescent="0.2">
      <c r="BJ31260" s="201"/>
    </row>
    <row r="31261" spans="62:62" x14ac:dyDescent="0.2">
      <c r="BJ31261" s="201"/>
    </row>
    <row r="31262" spans="62:62" x14ac:dyDescent="0.2">
      <c r="BJ31262" s="201"/>
    </row>
    <row r="31263" spans="62:62" x14ac:dyDescent="0.2">
      <c r="BJ31263" s="201"/>
    </row>
    <row r="31264" spans="62:62" x14ac:dyDescent="0.2">
      <c r="BJ31264" s="201"/>
    </row>
    <row r="31265" spans="62:62" x14ac:dyDescent="0.2">
      <c r="BJ31265" s="201"/>
    </row>
    <row r="31266" spans="62:62" x14ac:dyDescent="0.2">
      <c r="BJ31266" s="201"/>
    </row>
    <row r="31267" spans="62:62" x14ac:dyDescent="0.2">
      <c r="BJ31267" s="201"/>
    </row>
    <row r="31268" spans="62:62" x14ac:dyDescent="0.2">
      <c r="BJ31268" s="201"/>
    </row>
    <row r="31269" spans="62:62" x14ac:dyDescent="0.2">
      <c r="BJ31269" s="201"/>
    </row>
    <row r="31270" spans="62:62" x14ac:dyDescent="0.2">
      <c r="BJ31270" s="201"/>
    </row>
    <row r="31271" spans="62:62" x14ac:dyDescent="0.2">
      <c r="BJ31271" s="201"/>
    </row>
    <row r="31272" spans="62:62" x14ac:dyDescent="0.2">
      <c r="BJ31272" s="201"/>
    </row>
    <row r="31273" spans="62:62" x14ac:dyDescent="0.2">
      <c r="BJ31273" s="201"/>
    </row>
    <row r="31274" spans="62:62" x14ac:dyDescent="0.2">
      <c r="BJ31274" s="201"/>
    </row>
    <row r="31275" spans="62:62" x14ac:dyDescent="0.2">
      <c r="BJ31275" s="201"/>
    </row>
    <row r="31276" spans="62:62" x14ac:dyDescent="0.2">
      <c r="BJ31276" s="201"/>
    </row>
    <row r="31277" spans="62:62" x14ac:dyDescent="0.2">
      <c r="BJ31277" s="201"/>
    </row>
    <row r="31278" spans="62:62" x14ac:dyDescent="0.2">
      <c r="BJ31278" s="201"/>
    </row>
    <row r="31279" spans="62:62" x14ac:dyDescent="0.2">
      <c r="BJ31279" s="201"/>
    </row>
    <row r="31280" spans="62:62" x14ac:dyDescent="0.2">
      <c r="BJ31280" s="201"/>
    </row>
    <row r="31281" spans="62:62" x14ac:dyDescent="0.2">
      <c r="BJ31281" s="201"/>
    </row>
    <row r="31282" spans="62:62" x14ac:dyDescent="0.2">
      <c r="BJ31282" s="201"/>
    </row>
    <row r="31283" spans="62:62" x14ac:dyDescent="0.2">
      <c r="BJ31283" s="201"/>
    </row>
    <row r="31284" spans="62:62" x14ac:dyDescent="0.2">
      <c r="BJ31284" s="201"/>
    </row>
    <row r="31285" spans="62:62" x14ac:dyDescent="0.2">
      <c r="BJ31285" s="201"/>
    </row>
    <row r="31286" spans="62:62" x14ac:dyDescent="0.2">
      <c r="BJ31286" s="201"/>
    </row>
    <row r="31287" spans="62:62" x14ac:dyDescent="0.2">
      <c r="BJ31287" s="201"/>
    </row>
    <row r="31288" spans="62:62" x14ac:dyDescent="0.2">
      <c r="BJ31288" s="201"/>
    </row>
    <row r="31289" spans="62:62" x14ac:dyDescent="0.2">
      <c r="BJ31289" s="201"/>
    </row>
    <row r="31290" spans="62:62" x14ac:dyDescent="0.2">
      <c r="BJ31290" s="201"/>
    </row>
    <row r="31291" spans="62:62" x14ac:dyDescent="0.2">
      <c r="BJ31291" s="201"/>
    </row>
    <row r="31292" spans="62:62" x14ac:dyDescent="0.2">
      <c r="BJ31292" s="201"/>
    </row>
    <row r="31293" spans="62:62" x14ac:dyDescent="0.2">
      <c r="BJ31293" s="201"/>
    </row>
    <row r="31294" spans="62:62" x14ac:dyDescent="0.2">
      <c r="BJ31294" s="201"/>
    </row>
    <row r="31295" spans="62:62" x14ac:dyDescent="0.2">
      <c r="BJ31295" s="201"/>
    </row>
    <row r="31296" spans="62:62" x14ac:dyDescent="0.2">
      <c r="BJ31296" s="201"/>
    </row>
    <row r="31297" spans="62:62" x14ac:dyDescent="0.2">
      <c r="BJ31297" s="201"/>
    </row>
    <row r="31298" spans="62:62" x14ac:dyDescent="0.2">
      <c r="BJ31298" s="201"/>
    </row>
    <row r="31299" spans="62:62" x14ac:dyDescent="0.2">
      <c r="BJ31299" s="201"/>
    </row>
    <row r="31300" spans="62:62" x14ac:dyDescent="0.2">
      <c r="BJ31300" s="201"/>
    </row>
    <row r="31301" spans="62:62" x14ac:dyDescent="0.2">
      <c r="BJ31301" s="201"/>
    </row>
    <row r="31302" spans="62:62" x14ac:dyDescent="0.2">
      <c r="BJ31302" s="201"/>
    </row>
    <row r="31303" spans="62:62" x14ac:dyDescent="0.2">
      <c r="BJ31303" s="201"/>
    </row>
    <row r="31304" spans="62:62" x14ac:dyDescent="0.2">
      <c r="BJ31304" s="201"/>
    </row>
    <row r="31305" spans="62:62" x14ac:dyDescent="0.2">
      <c r="BJ31305" s="201"/>
    </row>
    <row r="31306" spans="62:62" x14ac:dyDescent="0.2">
      <c r="BJ31306" s="201"/>
    </row>
    <row r="31307" spans="62:62" x14ac:dyDescent="0.2">
      <c r="BJ31307" s="201"/>
    </row>
    <row r="31308" spans="62:62" x14ac:dyDescent="0.2">
      <c r="BJ31308" s="201"/>
    </row>
    <row r="31309" spans="62:62" x14ac:dyDescent="0.2">
      <c r="BJ31309" s="201"/>
    </row>
    <row r="31310" spans="62:62" x14ac:dyDescent="0.2">
      <c r="BJ31310" s="201"/>
    </row>
    <row r="31311" spans="62:62" x14ac:dyDescent="0.2">
      <c r="BJ31311" s="201"/>
    </row>
    <row r="31312" spans="62:62" x14ac:dyDescent="0.2">
      <c r="BJ31312" s="201"/>
    </row>
    <row r="31313" spans="62:62" x14ac:dyDescent="0.2">
      <c r="BJ31313" s="201"/>
    </row>
    <row r="31314" spans="62:62" x14ac:dyDescent="0.2">
      <c r="BJ31314" s="201"/>
    </row>
    <row r="31315" spans="62:62" x14ac:dyDescent="0.2">
      <c r="BJ31315" s="201"/>
    </row>
    <row r="31316" spans="62:62" x14ac:dyDescent="0.2">
      <c r="BJ31316" s="201"/>
    </row>
    <row r="31317" spans="62:62" x14ac:dyDescent="0.2">
      <c r="BJ31317" s="201"/>
    </row>
    <row r="31318" spans="62:62" x14ac:dyDescent="0.2">
      <c r="BJ31318" s="201"/>
    </row>
    <row r="31319" spans="62:62" x14ac:dyDescent="0.2">
      <c r="BJ31319" s="201"/>
    </row>
    <row r="31320" spans="62:62" x14ac:dyDescent="0.2">
      <c r="BJ31320" s="201"/>
    </row>
    <row r="31321" spans="62:62" x14ac:dyDescent="0.2">
      <c r="BJ31321" s="201"/>
    </row>
    <row r="31322" spans="62:62" x14ac:dyDescent="0.2">
      <c r="BJ31322" s="201"/>
    </row>
    <row r="31323" spans="62:62" x14ac:dyDescent="0.2">
      <c r="BJ31323" s="201"/>
    </row>
    <row r="31324" spans="62:62" x14ac:dyDescent="0.2">
      <c r="BJ31324" s="201"/>
    </row>
    <row r="31325" spans="62:62" x14ac:dyDescent="0.2">
      <c r="BJ31325" s="201"/>
    </row>
    <row r="31326" spans="62:62" x14ac:dyDescent="0.2">
      <c r="BJ31326" s="201"/>
    </row>
    <row r="31327" spans="62:62" x14ac:dyDescent="0.2">
      <c r="BJ31327" s="201"/>
    </row>
    <row r="31328" spans="62:62" x14ac:dyDescent="0.2">
      <c r="BJ31328" s="201"/>
    </row>
    <row r="31329" spans="62:62" x14ac:dyDescent="0.2">
      <c r="BJ31329" s="201"/>
    </row>
    <row r="31330" spans="62:62" x14ac:dyDescent="0.2">
      <c r="BJ31330" s="201"/>
    </row>
    <row r="31331" spans="62:62" x14ac:dyDescent="0.2">
      <c r="BJ31331" s="201"/>
    </row>
    <row r="31332" spans="62:62" x14ac:dyDescent="0.2">
      <c r="BJ31332" s="201"/>
    </row>
    <row r="31333" spans="62:62" x14ac:dyDescent="0.2">
      <c r="BJ31333" s="201"/>
    </row>
    <row r="31334" spans="62:62" x14ac:dyDescent="0.2">
      <c r="BJ31334" s="201"/>
    </row>
    <row r="31335" spans="62:62" x14ac:dyDescent="0.2">
      <c r="BJ31335" s="201"/>
    </row>
    <row r="31336" spans="62:62" x14ac:dyDescent="0.2">
      <c r="BJ31336" s="201"/>
    </row>
    <row r="31337" spans="62:62" x14ac:dyDescent="0.2">
      <c r="BJ31337" s="201"/>
    </row>
    <row r="31338" spans="62:62" x14ac:dyDescent="0.2">
      <c r="BJ31338" s="201"/>
    </row>
    <row r="31339" spans="62:62" x14ac:dyDescent="0.2">
      <c r="BJ31339" s="201"/>
    </row>
    <row r="31340" spans="62:62" x14ac:dyDescent="0.2">
      <c r="BJ31340" s="201"/>
    </row>
    <row r="31341" spans="62:62" x14ac:dyDescent="0.2">
      <c r="BJ31341" s="201"/>
    </row>
    <row r="31342" spans="62:62" x14ac:dyDescent="0.2">
      <c r="BJ31342" s="201"/>
    </row>
    <row r="31343" spans="62:62" x14ac:dyDescent="0.2">
      <c r="BJ31343" s="201"/>
    </row>
    <row r="31344" spans="62:62" x14ac:dyDescent="0.2">
      <c r="BJ31344" s="201"/>
    </row>
    <row r="31345" spans="62:62" x14ac:dyDescent="0.2">
      <c r="BJ31345" s="201"/>
    </row>
    <row r="31346" spans="62:62" x14ac:dyDescent="0.2">
      <c r="BJ31346" s="201"/>
    </row>
    <row r="31347" spans="62:62" x14ac:dyDescent="0.2">
      <c r="BJ31347" s="201"/>
    </row>
    <row r="31348" spans="62:62" x14ac:dyDescent="0.2">
      <c r="BJ31348" s="201"/>
    </row>
    <row r="31349" spans="62:62" x14ac:dyDescent="0.2">
      <c r="BJ31349" s="201"/>
    </row>
    <row r="31350" spans="62:62" x14ac:dyDescent="0.2">
      <c r="BJ31350" s="201"/>
    </row>
    <row r="31351" spans="62:62" x14ac:dyDescent="0.2">
      <c r="BJ31351" s="201"/>
    </row>
    <row r="31352" spans="62:62" x14ac:dyDescent="0.2">
      <c r="BJ31352" s="201"/>
    </row>
    <row r="31353" spans="62:62" x14ac:dyDescent="0.2">
      <c r="BJ31353" s="201"/>
    </row>
    <row r="31354" spans="62:62" x14ac:dyDescent="0.2">
      <c r="BJ31354" s="201"/>
    </row>
    <row r="31355" spans="62:62" x14ac:dyDescent="0.2">
      <c r="BJ31355" s="201"/>
    </row>
    <row r="31356" spans="62:62" x14ac:dyDescent="0.2">
      <c r="BJ31356" s="201"/>
    </row>
    <row r="31357" spans="62:62" x14ac:dyDescent="0.2">
      <c r="BJ31357" s="201"/>
    </row>
    <row r="31358" spans="62:62" x14ac:dyDescent="0.2">
      <c r="BJ31358" s="201"/>
    </row>
    <row r="31359" spans="62:62" x14ac:dyDescent="0.2">
      <c r="BJ31359" s="201"/>
    </row>
    <row r="31360" spans="62:62" x14ac:dyDescent="0.2">
      <c r="BJ31360" s="201"/>
    </row>
    <row r="31361" spans="62:62" x14ac:dyDescent="0.2">
      <c r="BJ31361" s="201"/>
    </row>
    <row r="31362" spans="62:62" x14ac:dyDescent="0.2">
      <c r="BJ31362" s="201"/>
    </row>
    <row r="31363" spans="62:62" x14ac:dyDescent="0.2">
      <c r="BJ31363" s="201"/>
    </row>
    <row r="31364" spans="62:62" x14ac:dyDescent="0.2">
      <c r="BJ31364" s="201"/>
    </row>
    <row r="31365" spans="62:62" x14ac:dyDescent="0.2">
      <c r="BJ31365" s="201"/>
    </row>
    <row r="31366" spans="62:62" x14ac:dyDescent="0.2">
      <c r="BJ31366" s="201"/>
    </row>
    <row r="31367" spans="62:62" x14ac:dyDescent="0.2">
      <c r="BJ31367" s="201"/>
    </row>
    <row r="31368" spans="62:62" x14ac:dyDescent="0.2">
      <c r="BJ31368" s="201"/>
    </row>
    <row r="31369" spans="62:62" x14ac:dyDescent="0.2">
      <c r="BJ31369" s="201"/>
    </row>
    <row r="31370" spans="62:62" x14ac:dyDescent="0.2">
      <c r="BJ31370" s="201"/>
    </row>
    <row r="31371" spans="62:62" x14ac:dyDescent="0.2">
      <c r="BJ31371" s="201"/>
    </row>
    <row r="31372" spans="62:62" x14ac:dyDescent="0.2">
      <c r="BJ31372" s="201"/>
    </row>
    <row r="31373" spans="62:62" x14ac:dyDescent="0.2">
      <c r="BJ31373" s="201"/>
    </row>
    <row r="31374" spans="62:62" x14ac:dyDescent="0.2">
      <c r="BJ31374" s="201"/>
    </row>
    <row r="31375" spans="62:62" x14ac:dyDescent="0.2">
      <c r="BJ31375" s="201"/>
    </row>
    <row r="31376" spans="62:62" x14ac:dyDescent="0.2">
      <c r="BJ31376" s="201"/>
    </row>
    <row r="31377" spans="62:62" x14ac:dyDescent="0.2">
      <c r="BJ31377" s="201"/>
    </row>
    <row r="31378" spans="62:62" x14ac:dyDescent="0.2">
      <c r="BJ31378" s="201"/>
    </row>
    <row r="31379" spans="62:62" x14ac:dyDescent="0.2">
      <c r="BJ31379" s="201"/>
    </row>
    <row r="31380" spans="62:62" x14ac:dyDescent="0.2">
      <c r="BJ31380" s="201"/>
    </row>
    <row r="31381" spans="62:62" x14ac:dyDescent="0.2">
      <c r="BJ31381" s="201"/>
    </row>
    <row r="31382" spans="62:62" x14ac:dyDescent="0.2">
      <c r="BJ31382" s="201"/>
    </row>
    <row r="31383" spans="62:62" x14ac:dyDescent="0.2">
      <c r="BJ31383" s="201"/>
    </row>
    <row r="31384" spans="62:62" x14ac:dyDescent="0.2">
      <c r="BJ31384" s="201"/>
    </row>
    <row r="31385" spans="62:62" x14ac:dyDescent="0.2">
      <c r="BJ31385" s="201"/>
    </row>
    <row r="31386" spans="62:62" x14ac:dyDescent="0.2">
      <c r="BJ31386" s="201"/>
    </row>
    <row r="31387" spans="62:62" x14ac:dyDescent="0.2">
      <c r="BJ31387" s="201"/>
    </row>
    <row r="31388" spans="62:62" x14ac:dyDescent="0.2">
      <c r="BJ31388" s="201"/>
    </row>
    <row r="31389" spans="62:62" x14ac:dyDescent="0.2">
      <c r="BJ31389" s="201"/>
    </row>
    <row r="31390" spans="62:62" x14ac:dyDescent="0.2">
      <c r="BJ31390" s="201"/>
    </row>
    <row r="31391" spans="62:62" x14ac:dyDescent="0.2">
      <c r="BJ31391" s="201"/>
    </row>
    <row r="31392" spans="62:62" x14ac:dyDescent="0.2">
      <c r="BJ31392" s="201"/>
    </row>
    <row r="31393" spans="62:62" x14ac:dyDescent="0.2">
      <c r="BJ31393" s="201"/>
    </row>
    <row r="31394" spans="62:62" x14ac:dyDescent="0.2">
      <c r="BJ31394" s="201"/>
    </row>
    <row r="31395" spans="62:62" x14ac:dyDescent="0.2">
      <c r="BJ31395" s="201"/>
    </row>
    <row r="31396" spans="62:62" x14ac:dyDescent="0.2">
      <c r="BJ31396" s="201"/>
    </row>
    <row r="31397" spans="62:62" x14ac:dyDescent="0.2">
      <c r="BJ31397" s="201"/>
    </row>
    <row r="31398" spans="62:62" x14ac:dyDescent="0.2">
      <c r="BJ31398" s="201"/>
    </row>
    <row r="31399" spans="62:62" x14ac:dyDescent="0.2">
      <c r="BJ31399" s="201"/>
    </row>
    <row r="31400" spans="62:62" x14ac:dyDescent="0.2">
      <c r="BJ31400" s="201"/>
    </row>
    <row r="31401" spans="62:62" x14ac:dyDescent="0.2">
      <c r="BJ31401" s="201"/>
    </row>
    <row r="31402" spans="62:62" x14ac:dyDescent="0.2">
      <c r="BJ31402" s="201"/>
    </row>
    <row r="31403" spans="62:62" x14ac:dyDescent="0.2">
      <c r="BJ31403" s="201"/>
    </row>
    <row r="31404" spans="62:62" x14ac:dyDescent="0.2">
      <c r="BJ31404" s="201"/>
    </row>
    <row r="31405" spans="62:62" x14ac:dyDescent="0.2">
      <c r="BJ31405" s="201"/>
    </row>
    <row r="31406" spans="62:62" x14ac:dyDescent="0.2">
      <c r="BJ31406" s="201"/>
    </row>
    <row r="31407" spans="62:62" x14ac:dyDescent="0.2">
      <c r="BJ31407" s="201"/>
    </row>
    <row r="31408" spans="62:62" x14ac:dyDescent="0.2">
      <c r="BJ31408" s="201"/>
    </row>
    <row r="31409" spans="62:62" x14ac:dyDescent="0.2">
      <c r="BJ31409" s="201"/>
    </row>
    <row r="31410" spans="62:62" x14ac:dyDescent="0.2">
      <c r="BJ31410" s="201"/>
    </row>
    <row r="31411" spans="62:62" x14ac:dyDescent="0.2">
      <c r="BJ31411" s="201"/>
    </row>
    <row r="31412" spans="62:62" x14ac:dyDescent="0.2">
      <c r="BJ31412" s="201"/>
    </row>
    <row r="31413" spans="62:62" x14ac:dyDescent="0.2">
      <c r="BJ31413" s="201"/>
    </row>
    <row r="31414" spans="62:62" x14ac:dyDescent="0.2">
      <c r="BJ31414" s="201"/>
    </row>
    <row r="31415" spans="62:62" x14ac:dyDescent="0.2">
      <c r="BJ31415" s="201"/>
    </row>
    <row r="31416" spans="62:62" x14ac:dyDescent="0.2">
      <c r="BJ31416" s="201"/>
    </row>
    <row r="31417" spans="62:62" x14ac:dyDescent="0.2">
      <c r="BJ31417" s="201"/>
    </row>
    <row r="31418" spans="62:62" x14ac:dyDescent="0.2">
      <c r="BJ31418" s="201"/>
    </row>
    <row r="31419" spans="62:62" x14ac:dyDescent="0.2">
      <c r="BJ31419" s="201"/>
    </row>
    <row r="31420" spans="62:62" x14ac:dyDescent="0.2">
      <c r="BJ31420" s="201"/>
    </row>
    <row r="31421" spans="62:62" x14ac:dyDescent="0.2">
      <c r="BJ31421" s="201"/>
    </row>
    <row r="31422" spans="62:62" x14ac:dyDescent="0.2">
      <c r="BJ31422" s="201"/>
    </row>
    <row r="31423" spans="62:62" x14ac:dyDescent="0.2">
      <c r="BJ31423" s="201"/>
    </row>
    <row r="31424" spans="62:62" x14ac:dyDescent="0.2">
      <c r="BJ31424" s="201"/>
    </row>
    <row r="31425" spans="62:62" x14ac:dyDescent="0.2">
      <c r="BJ31425" s="201"/>
    </row>
    <row r="31426" spans="62:62" x14ac:dyDescent="0.2">
      <c r="BJ31426" s="201"/>
    </row>
    <row r="31427" spans="62:62" x14ac:dyDescent="0.2">
      <c r="BJ31427" s="201"/>
    </row>
    <row r="31428" spans="62:62" x14ac:dyDescent="0.2">
      <c r="BJ31428" s="201"/>
    </row>
    <row r="31429" spans="62:62" x14ac:dyDescent="0.2">
      <c r="BJ31429" s="201"/>
    </row>
    <row r="31430" spans="62:62" x14ac:dyDescent="0.2">
      <c r="BJ31430" s="201"/>
    </row>
    <row r="31431" spans="62:62" x14ac:dyDescent="0.2">
      <c r="BJ31431" s="201"/>
    </row>
    <row r="31432" spans="62:62" x14ac:dyDescent="0.2">
      <c r="BJ31432" s="201"/>
    </row>
    <row r="31433" spans="62:62" x14ac:dyDescent="0.2">
      <c r="BJ31433" s="201"/>
    </row>
    <row r="31434" spans="62:62" x14ac:dyDescent="0.2">
      <c r="BJ31434" s="201"/>
    </row>
    <row r="31435" spans="62:62" x14ac:dyDescent="0.2">
      <c r="BJ31435" s="201"/>
    </row>
    <row r="31436" spans="62:62" x14ac:dyDescent="0.2">
      <c r="BJ31436" s="201"/>
    </row>
    <row r="31437" spans="62:62" x14ac:dyDescent="0.2">
      <c r="BJ31437" s="201"/>
    </row>
    <row r="31438" spans="62:62" x14ac:dyDescent="0.2">
      <c r="BJ31438" s="201"/>
    </row>
    <row r="31439" spans="62:62" x14ac:dyDescent="0.2">
      <c r="BJ31439" s="201"/>
    </row>
    <row r="31440" spans="62:62" x14ac:dyDescent="0.2">
      <c r="BJ31440" s="201"/>
    </row>
    <row r="31441" spans="62:62" x14ac:dyDescent="0.2">
      <c r="BJ31441" s="201"/>
    </row>
    <row r="31442" spans="62:62" x14ac:dyDescent="0.2">
      <c r="BJ31442" s="201"/>
    </row>
    <row r="31443" spans="62:62" x14ac:dyDescent="0.2">
      <c r="BJ31443" s="201"/>
    </row>
    <row r="31444" spans="62:62" x14ac:dyDescent="0.2">
      <c r="BJ31444" s="201"/>
    </row>
    <row r="31445" spans="62:62" x14ac:dyDescent="0.2">
      <c r="BJ31445" s="201"/>
    </row>
    <row r="31446" spans="62:62" x14ac:dyDescent="0.2">
      <c r="BJ31446" s="201"/>
    </row>
    <row r="31447" spans="62:62" x14ac:dyDescent="0.2">
      <c r="BJ31447" s="201"/>
    </row>
    <row r="31448" spans="62:62" x14ac:dyDescent="0.2">
      <c r="BJ31448" s="201"/>
    </row>
    <row r="31449" spans="62:62" x14ac:dyDescent="0.2">
      <c r="BJ31449" s="201"/>
    </row>
    <row r="31450" spans="62:62" x14ac:dyDescent="0.2">
      <c r="BJ31450" s="201"/>
    </row>
    <row r="31451" spans="62:62" x14ac:dyDescent="0.2">
      <c r="BJ31451" s="201"/>
    </row>
    <row r="31452" spans="62:62" x14ac:dyDescent="0.2">
      <c r="BJ31452" s="201"/>
    </row>
    <row r="31453" spans="62:62" x14ac:dyDescent="0.2">
      <c r="BJ31453" s="201"/>
    </row>
    <row r="31454" spans="62:62" x14ac:dyDescent="0.2">
      <c r="BJ31454" s="201"/>
    </row>
    <row r="31455" spans="62:62" x14ac:dyDescent="0.2">
      <c r="BJ31455" s="201"/>
    </row>
    <row r="31456" spans="62:62" x14ac:dyDescent="0.2">
      <c r="BJ31456" s="201"/>
    </row>
    <row r="31457" spans="62:62" x14ac:dyDescent="0.2">
      <c r="BJ31457" s="201"/>
    </row>
    <row r="31458" spans="62:62" x14ac:dyDescent="0.2">
      <c r="BJ31458" s="201"/>
    </row>
    <row r="31459" spans="62:62" x14ac:dyDescent="0.2">
      <c r="BJ31459" s="201"/>
    </row>
    <row r="31460" spans="62:62" x14ac:dyDescent="0.2">
      <c r="BJ31460" s="201"/>
    </row>
    <row r="31461" spans="62:62" x14ac:dyDescent="0.2">
      <c r="BJ31461" s="201"/>
    </row>
    <row r="31462" spans="62:62" x14ac:dyDescent="0.2">
      <c r="BJ31462" s="201"/>
    </row>
    <row r="31463" spans="62:62" x14ac:dyDescent="0.2">
      <c r="BJ31463" s="201"/>
    </row>
    <row r="31464" spans="62:62" x14ac:dyDescent="0.2">
      <c r="BJ31464" s="201"/>
    </row>
    <row r="31465" spans="62:62" x14ac:dyDescent="0.2">
      <c r="BJ31465" s="201"/>
    </row>
    <row r="31466" spans="62:62" x14ac:dyDescent="0.2">
      <c r="BJ31466" s="201"/>
    </row>
    <row r="31467" spans="62:62" x14ac:dyDescent="0.2">
      <c r="BJ31467" s="201"/>
    </row>
    <row r="31468" spans="62:62" x14ac:dyDescent="0.2">
      <c r="BJ31468" s="201"/>
    </row>
    <row r="31469" spans="62:62" x14ac:dyDescent="0.2">
      <c r="BJ31469" s="201"/>
    </row>
    <row r="31470" spans="62:62" x14ac:dyDescent="0.2">
      <c r="BJ31470" s="201"/>
    </row>
    <row r="31471" spans="62:62" x14ac:dyDescent="0.2">
      <c r="BJ31471" s="201"/>
    </row>
    <row r="31472" spans="62:62" x14ac:dyDescent="0.2">
      <c r="BJ31472" s="201"/>
    </row>
    <row r="31473" spans="62:62" x14ac:dyDescent="0.2">
      <c r="BJ31473" s="201"/>
    </row>
    <row r="31474" spans="62:62" x14ac:dyDescent="0.2">
      <c r="BJ31474" s="201"/>
    </row>
    <row r="31475" spans="62:62" x14ac:dyDescent="0.2">
      <c r="BJ31475" s="201"/>
    </row>
    <row r="31476" spans="62:62" x14ac:dyDescent="0.2">
      <c r="BJ31476" s="201"/>
    </row>
    <row r="31477" spans="62:62" x14ac:dyDescent="0.2">
      <c r="BJ31477" s="201"/>
    </row>
    <row r="31478" spans="62:62" x14ac:dyDescent="0.2">
      <c r="BJ31478" s="201"/>
    </row>
    <row r="31479" spans="62:62" x14ac:dyDescent="0.2">
      <c r="BJ31479" s="201"/>
    </row>
    <row r="31480" spans="62:62" x14ac:dyDescent="0.2">
      <c r="BJ31480" s="201"/>
    </row>
    <row r="31481" spans="62:62" x14ac:dyDescent="0.2">
      <c r="BJ31481" s="201"/>
    </row>
    <row r="31482" spans="62:62" x14ac:dyDescent="0.2">
      <c r="BJ31482" s="201"/>
    </row>
    <row r="31483" spans="62:62" x14ac:dyDescent="0.2">
      <c r="BJ31483" s="201"/>
    </row>
    <row r="31484" spans="62:62" x14ac:dyDescent="0.2">
      <c r="BJ31484" s="201"/>
    </row>
    <row r="31485" spans="62:62" x14ac:dyDescent="0.2">
      <c r="BJ31485" s="201"/>
    </row>
    <row r="31486" spans="62:62" x14ac:dyDescent="0.2">
      <c r="BJ31486" s="201"/>
    </row>
    <row r="31487" spans="62:62" x14ac:dyDescent="0.2">
      <c r="BJ31487" s="201"/>
    </row>
    <row r="31488" spans="62:62" x14ac:dyDescent="0.2">
      <c r="BJ31488" s="201"/>
    </row>
    <row r="31489" spans="62:62" x14ac:dyDescent="0.2">
      <c r="BJ31489" s="201"/>
    </row>
    <row r="31490" spans="62:62" x14ac:dyDescent="0.2">
      <c r="BJ31490" s="201"/>
    </row>
    <row r="31491" spans="62:62" x14ac:dyDescent="0.2">
      <c r="BJ31491" s="201"/>
    </row>
    <row r="31492" spans="62:62" x14ac:dyDescent="0.2">
      <c r="BJ31492" s="201"/>
    </row>
    <row r="31493" spans="62:62" x14ac:dyDescent="0.2">
      <c r="BJ31493" s="201"/>
    </row>
    <row r="31494" spans="62:62" x14ac:dyDescent="0.2">
      <c r="BJ31494" s="201"/>
    </row>
    <row r="31495" spans="62:62" x14ac:dyDescent="0.2">
      <c r="BJ31495" s="201"/>
    </row>
    <row r="31496" spans="62:62" x14ac:dyDescent="0.2">
      <c r="BJ31496" s="201"/>
    </row>
    <row r="31497" spans="62:62" x14ac:dyDescent="0.2">
      <c r="BJ31497" s="201"/>
    </row>
    <row r="31498" spans="62:62" x14ac:dyDescent="0.2">
      <c r="BJ31498" s="201"/>
    </row>
    <row r="31499" spans="62:62" x14ac:dyDescent="0.2">
      <c r="BJ31499" s="201"/>
    </row>
    <row r="31500" spans="62:62" x14ac:dyDescent="0.2">
      <c r="BJ31500" s="201"/>
    </row>
    <row r="31501" spans="62:62" x14ac:dyDescent="0.2">
      <c r="BJ31501" s="201"/>
    </row>
    <row r="31502" spans="62:62" x14ac:dyDescent="0.2">
      <c r="BJ31502" s="201"/>
    </row>
    <row r="31503" spans="62:62" x14ac:dyDescent="0.2">
      <c r="BJ31503" s="201"/>
    </row>
    <row r="31504" spans="62:62" x14ac:dyDescent="0.2">
      <c r="BJ31504" s="201"/>
    </row>
    <row r="31505" spans="62:62" x14ac:dyDescent="0.2">
      <c r="BJ31505" s="201"/>
    </row>
    <row r="31506" spans="62:62" x14ac:dyDescent="0.2">
      <c r="BJ31506" s="201"/>
    </row>
    <row r="31507" spans="62:62" x14ac:dyDescent="0.2">
      <c r="BJ31507" s="201"/>
    </row>
    <row r="31508" spans="62:62" x14ac:dyDescent="0.2">
      <c r="BJ31508" s="201"/>
    </row>
    <row r="31509" spans="62:62" x14ac:dyDescent="0.2">
      <c r="BJ31509" s="201"/>
    </row>
    <row r="31510" spans="62:62" x14ac:dyDescent="0.2">
      <c r="BJ31510" s="201"/>
    </row>
    <row r="31511" spans="62:62" x14ac:dyDescent="0.2">
      <c r="BJ31511" s="201"/>
    </row>
    <row r="31512" spans="62:62" x14ac:dyDescent="0.2">
      <c r="BJ31512" s="201"/>
    </row>
    <row r="31513" spans="62:62" x14ac:dyDescent="0.2">
      <c r="BJ31513" s="201"/>
    </row>
    <row r="31514" spans="62:62" x14ac:dyDescent="0.2">
      <c r="BJ31514" s="201"/>
    </row>
    <row r="31515" spans="62:62" x14ac:dyDescent="0.2">
      <c r="BJ31515" s="201"/>
    </row>
    <row r="31516" spans="62:62" x14ac:dyDescent="0.2">
      <c r="BJ31516" s="201"/>
    </row>
    <row r="31517" spans="62:62" x14ac:dyDescent="0.2">
      <c r="BJ31517" s="201"/>
    </row>
    <row r="31518" spans="62:62" x14ac:dyDescent="0.2">
      <c r="BJ31518" s="201"/>
    </row>
    <row r="31519" spans="62:62" x14ac:dyDescent="0.2">
      <c r="BJ31519" s="201"/>
    </row>
    <row r="31520" spans="62:62" x14ac:dyDescent="0.2">
      <c r="BJ31520" s="201"/>
    </row>
    <row r="31521" spans="62:62" x14ac:dyDescent="0.2">
      <c r="BJ31521" s="201"/>
    </row>
    <row r="31522" spans="62:62" x14ac:dyDescent="0.2">
      <c r="BJ31522" s="201"/>
    </row>
    <row r="31523" spans="62:62" x14ac:dyDescent="0.2">
      <c r="BJ31523" s="201"/>
    </row>
    <row r="31524" spans="62:62" x14ac:dyDescent="0.2">
      <c r="BJ31524" s="201"/>
    </row>
    <row r="31525" spans="62:62" x14ac:dyDescent="0.2">
      <c r="BJ31525" s="201"/>
    </row>
    <row r="31526" spans="62:62" x14ac:dyDescent="0.2">
      <c r="BJ31526" s="201"/>
    </row>
    <row r="31527" spans="62:62" x14ac:dyDescent="0.2">
      <c r="BJ31527" s="201"/>
    </row>
    <row r="31528" spans="62:62" x14ac:dyDescent="0.2">
      <c r="BJ31528" s="201"/>
    </row>
    <row r="31529" spans="62:62" x14ac:dyDescent="0.2">
      <c r="BJ31529" s="201"/>
    </row>
    <row r="31530" spans="62:62" x14ac:dyDescent="0.2">
      <c r="BJ31530" s="201"/>
    </row>
    <row r="31531" spans="62:62" x14ac:dyDescent="0.2">
      <c r="BJ31531" s="201"/>
    </row>
    <row r="31532" spans="62:62" x14ac:dyDescent="0.2">
      <c r="BJ31532" s="201"/>
    </row>
    <row r="31533" spans="62:62" x14ac:dyDescent="0.2">
      <c r="BJ31533" s="201"/>
    </row>
    <row r="31534" spans="62:62" x14ac:dyDescent="0.2">
      <c r="BJ31534" s="201"/>
    </row>
    <row r="31535" spans="62:62" x14ac:dyDescent="0.2">
      <c r="BJ31535" s="201"/>
    </row>
    <row r="31536" spans="62:62" x14ac:dyDescent="0.2">
      <c r="BJ31536" s="201"/>
    </row>
    <row r="31537" spans="62:62" x14ac:dyDescent="0.2">
      <c r="BJ31537" s="201"/>
    </row>
    <row r="31538" spans="62:62" x14ac:dyDescent="0.2">
      <c r="BJ31538" s="201"/>
    </row>
    <row r="31539" spans="62:62" x14ac:dyDescent="0.2">
      <c r="BJ31539" s="201"/>
    </row>
    <row r="31540" spans="62:62" x14ac:dyDescent="0.2">
      <c r="BJ31540" s="201"/>
    </row>
    <row r="31541" spans="62:62" x14ac:dyDescent="0.2">
      <c r="BJ31541" s="201"/>
    </row>
    <row r="31542" spans="62:62" x14ac:dyDescent="0.2">
      <c r="BJ31542" s="201"/>
    </row>
    <row r="31543" spans="62:62" x14ac:dyDescent="0.2">
      <c r="BJ31543" s="201"/>
    </row>
    <row r="31544" spans="62:62" x14ac:dyDescent="0.2">
      <c r="BJ31544" s="201"/>
    </row>
    <row r="31545" spans="62:62" x14ac:dyDescent="0.2">
      <c r="BJ31545" s="201"/>
    </row>
    <row r="31546" spans="62:62" x14ac:dyDescent="0.2">
      <c r="BJ31546" s="201"/>
    </row>
    <row r="31547" spans="62:62" x14ac:dyDescent="0.2">
      <c r="BJ31547" s="201"/>
    </row>
    <row r="31548" spans="62:62" x14ac:dyDescent="0.2">
      <c r="BJ31548" s="201"/>
    </row>
    <row r="31549" spans="62:62" x14ac:dyDescent="0.2">
      <c r="BJ31549" s="201"/>
    </row>
    <row r="31550" spans="62:62" x14ac:dyDescent="0.2">
      <c r="BJ31550" s="201"/>
    </row>
    <row r="31551" spans="62:62" x14ac:dyDescent="0.2">
      <c r="BJ31551" s="201"/>
    </row>
    <row r="31552" spans="62:62" x14ac:dyDescent="0.2">
      <c r="BJ31552" s="201"/>
    </row>
    <row r="31553" spans="62:62" x14ac:dyDescent="0.2">
      <c r="BJ31553" s="201"/>
    </row>
    <row r="31554" spans="62:62" x14ac:dyDescent="0.2">
      <c r="BJ31554" s="201"/>
    </row>
    <row r="31555" spans="62:62" x14ac:dyDescent="0.2">
      <c r="BJ31555" s="201"/>
    </row>
    <row r="31556" spans="62:62" x14ac:dyDescent="0.2">
      <c r="BJ31556" s="201"/>
    </row>
    <row r="31557" spans="62:62" x14ac:dyDescent="0.2">
      <c r="BJ31557" s="201"/>
    </row>
    <row r="31558" spans="62:62" x14ac:dyDescent="0.2">
      <c r="BJ31558" s="201"/>
    </row>
    <row r="31559" spans="62:62" x14ac:dyDescent="0.2">
      <c r="BJ31559" s="201"/>
    </row>
    <row r="31560" spans="62:62" x14ac:dyDescent="0.2">
      <c r="BJ31560" s="201"/>
    </row>
    <row r="31561" spans="62:62" x14ac:dyDescent="0.2">
      <c r="BJ31561" s="201"/>
    </row>
    <row r="31562" spans="62:62" x14ac:dyDescent="0.2">
      <c r="BJ31562" s="201"/>
    </row>
    <row r="31563" spans="62:62" x14ac:dyDescent="0.2">
      <c r="BJ31563" s="201"/>
    </row>
    <row r="31564" spans="62:62" x14ac:dyDescent="0.2">
      <c r="BJ31564" s="201"/>
    </row>
    <row r="31565" spans="62:62" x14ac:dyDescent="0.2">
      <c r="BJ31565" s="201"/>
    </row>
    <row r="31566" spans="62:62" x14ac:dyDescent="0.2">
      <c r="BJ31566" s="201"/>
    </row>
    <row r="31567" spans="62:62" x14ac:dyDescent="0.2">
      <c r="BJ31567" s="201"/>
    </row>
    <row r="31568" spans="62:62" x14ac:dyDescent="0.2">
      <c r="BJ31568" s="201"/>
    </row>
    <row r="31569" spans="62:62" x14ac:dyDescent="0.2">
      <c r="BJ31569" s="201"/>
    </row>
    <row r="31570" spans="62:62" x14ac:dyDescent="0.2">
      <c r="BJ31570" s="201"/>
    </row>
    <row r="31571" spans="62:62" x14ac:dyDescent="0.2">
      <c r="BJ31571" s="201"/>
    </row>
    <row r="31572" spans="62:62" x14ac:dyDescent="0.2">
      <c r="BJ31572" s="201"/>
    </row>
    <row r="31573" spans="62:62" x14ac:dyDescent="0.2">
      <c r="BJ31573" s="201"/>
    </row>
    <row r="31574" spans="62:62" x14ac:dyDescent="0.2">
      <c r="BJ31574" s="201"/>
    </row>
    <row r="31575" spans="62:62" x14ac:dyDescent="0.2">
      <c r="BJ31575" s="201"/>
    </row>
    <row r="31576" spans="62:62" x14ac:dyDescent="0.2">
      <c r="BJ31576" s="201"/>
    </row>
    <row r="31577" spans="62:62" x14ac:dyDescent="0.2">
      <c r="BJ31577" s="201"/>
    </row>
    <row r="31578" spans="62:62" x14ac:dyDescent="0.2">
      <c r="BJ31578" s="201"/>
    </row>
    <row r="31579" spans="62:62" x14ac:dyDescent="0.2">
      <c r="BJ31579" s="201"/>
    </row>
    <row r="31580" spans="62:62" x14ac:dyDescent="0.2">
      <c r="BJ31580" s="201"/>
    </row>
    <row r="31581" spans="62:62" x14ac:dyDescent="0.2">
      <c r="BJ31581" s="201"/>
    </row>
    <row r="31582" spans="62:62" x14ac:dyDescent="0.2">
      <c r="BJ31582" s="201"/>
    </row>
    <row r="31583" spans="62:62" x14ac:dyDescent="0.2">
      <c r="BJ31583" s="201"/>
    </row>
    <row r="31584" spans="62:62" x14ac:dyDescent="0.2">
      <c r="BJ31584" s="201"/>
    </row>
    <row r="31585" spans="62:62" x14ac:dyDescent="0.2">
      <c r="BJ31585" s="201"/>
    </row>
    <row r="31586" spans="62:62" x14ac:dyDescent="0.2">
      <c r="BJ31586" s="201"/>
    </row>
    <row r="31587" spans="62:62" x14ac:dyDescent="0.2">
      <c r="BJ31587" s="201"/>
    </row>
    <row r="31588" spans="62:62" x14ac:dyDescent="0.2">
      <c r="BJ31588" s="201"/>
    </row>
    <row r="31589" spans="62:62" x14ac:dyDescent="0.2">
      <c r="BJ31589" s="201"/>
    </row>
    <row r="31590" spans="62:62" x14ac:dyDescent="0.2">
      <c r="BJ31590" s="201"/>
    </row>
    <row r="31591" spans="62:62" x14ac:dyDescent="0.2">
      <c r="BJ31591" s="201"/>
    </row>
    <row r="31592" spans="62:62" x14ac:dyDescent="0.2">
      <c r="BJ31592" s="201"/>
    </row>
    <row r="31593" spans="62:62" x14ac:dyDescent="0.2">
      <c r="BJ31593" s="201"/>
    </row>
    <row r="31594" spans="62:62" x14ac:dyDescent="0.2">
      <c r="BJ31594" s="201"/>
    </row>
    <row r="31595" spans="62:62" x14ac:dyDescent="0.2">
      <c r="BJ31595" s="201"/>
    </row>
    <row r="31596" spans="62:62" x14ac:dyDescent="0.2">
      <c r="BJ31596" s="201"/>
    </row>
    <row r="31597" spans="62:62" x14ac:dyDescent="0.2">
      <c r="BJ31597" s="201"/>
    </row>
    <row r="31598" spans="62:62" x14ac:dyDescent="0.2">
      <c r="BJ31598" s="201"/>
    </row>
    <row r="31599" spans="62:62" x14ac:dyDescent="0.2">
      <c r="BJ31599" s="201"/>
    </row>
    <row r="31600" spans="62:62" x14ac:dyDescent="0.2">
      <c r="BJ31600" s="201"/>
    </row>
    <row r="31601" spans="62:62" x14ac:dyDescent="0.2">
      <c r="BJ31601" s="201"/>
    </row>
    <row r="31602" spans="62:62" x14ac:dyDescent="0.2">
      <c r="BJ31602" s="201"/>
    </row>
    <row r="31603" spans="62:62" x14ac:dyDescent="0.2">
      <c r="BJ31603" s="201"/>
    </row>
    <row r="31604" spans="62:62" x14ac:dyDescent="0.2">
      <c r="BJ31604" s="201"/>
    </row>
    <row r="31605" spans="62:62" x14ac:dyDescent="0.2">
      <c r="BJ31605" s="201"/>
    </row>
    <row r="31606" spans="62:62" x14ac:dyDescent="0.2">
      <c r="BJ31606" s="201"/>
    </row>
    <row r="31607" spans="62:62" x14ac:dyDescent="0.2">
      <c r="BJ31607" s="201"/>
    </row>
    <row r="31608" spans="62:62" x14ac:dyDescent="0.2">
      <c r="BJ31608" s="201"/>
    </row>
    <row r="31609" spans="62:62" x14ac:dyDescent="0.2">
      <c r="BJ31609" s="201"/>
    </row>
    <row r="31610" spans="62:62" x14ac:dyDescent="0.2">
      <c r="BJ31610" s="201"/>
    </row>
    <row r="31611" spans="62:62" x14ac:dyDescent="0.2">
      <c r="BJ31611" s="201"/>
    </row>
    <row r="31612" spans="62:62" x14ac:dyDescent="0.2">
      <c r="BJ31612" s="201"/>
    </row>
    <row r="31613" spans="62:62" x14ac:dyDescent="0.2">
      <c r="BJ31613" s="201"/>
    </row>
    <row r="31614" spans="62:62" x14ac:dyDescent="0.2">
      <c r="BJ31614" s="201"/>
    </row>
    <row r="31615" spans="62:62" x14ac:dyDescent="0.2">
      <c r="BJ31615" s="201"/>
    </row>
    <row r="31616" spans="62:62" x14ac:dyDescent="0.2">
      <c r="BJ31616" s="201"/>
    </row>
    <row r="31617" spans="62:62" x14ac:dyDescent="0.2">
      <c r="BJ31617" s="201"/>
    </row>
    <row r="31618" spans="62:62" x14ac:dyDescent="0.2">
      <c r="BJ31618" s="201"/>
    </row>
    <row r="31619" spans="62:62" x14ac:dyDescent="0.2">
      <c r="BJ31619" s="201"/>
    </row>
    <row r="31620" spans="62:62" x14ac:dyDescent="0.2">
      <c r="BJ31620" s="201"/>
    </row>
    <row r="31621" spans="62:62" x14ac:dyDescent="0.2">
      <c r="BJ31621" s="201"/>
    </row>
    <row r="31622" spans="62:62" x14ac:dyDescent="0.2">
      <c r="BJ31622" s="201"/>
    </row>
    <row r="31623" spans="62:62" x14ac:dyDescent="0.2">
      <c r="BJ31623" s="201"/>
    </row>
    <row r="31624" spans="62:62" x14ac:dyDescent="0.2">
      <c r="BJ31624" s="201"/>
    </row>
    <row r="31625" spans="62:62" x14ac:dyDescent="0.2">
      <c r="BJ31625" s="201"/>
    </row>
    <row r="31626" spans="62:62" x14ac:dyDescent="0.2">
      <c r="BJ31626" s="201"/>
    </row>
    <row r="31627" spans="62:62" x14ac:dyDescent="0.2">
      <c r="BJ31627" s="201"/>
    </row>
    <row r="31628" spans="62:62" x14ac:dyDescent="0.2">
      <c r="BJ31628" s="201"/>
    </row>
    <row r="31629" spans="62:62" x14ac:dyDescent="0.2">
      <c r="BJ31629" s="201"/>
    </row>
    <row r="31630" spans="62:62" x14ac:dyDescent="0.2">
      <c r="BJ31630" s="201"/>
    </row>
    <row r="31631" spans="62:62" x14ac:dyDescent="0.2">
      <c r="BJ31631" s="201"/>
    </row>
    <row r="31632" spans="62:62" x14ac:dyDescent="0.2">
      <c r="BJ31632" s="201"/>
    </row>
    <row r="31633" spans="62:62" x14ac:dyDescent="0.2">
      <c r="BJ31633" s="201"/>
    </row>
    <row r="31634" spans="62:62" x14ac:dyDescent="0.2">
      <c r="BJ31634" s="201"/>
    </row>
    <row r="31635" spans="62:62" x14ac:dyDescent="0.2">
      <c r="BJ31635" s="201"/>
    </row>
    <row r="31636" spans="62:62" x14ac:dyDescent="0.2">
      <c r="BJ31636" s="201"/>
    </row>
    <row r="31637" spans="62:62" x14ac:dyDescent="0.2">
      <c r="BJ31637" s="201"/>
    </row>
    <row r="31638" spans="62:62" x14ac:dyDescent="0.2">
      <c r="BJ31638" s="201"/>
    </row>
    <row r="31639" spans="62:62" x14ac:dyDescent="0.2">
      <c r="BJ31639" s="201"/>
    </row>
    <row r="31640" spans="62:62" x14ac:dyDescent="0.2">
      <c r="BJ31640" s="201"/>
    </row>
    <row r="31641" spans="62:62" x14ac:dyDescent="0.2">
      <c r="BJ31641" s="201"/>
    </row>
    <row r="31642" spans="62:62" x14ac:dyDescent="0.2">
      <c r="BJ31642" s="201"/>
    </row>
    <row r="31643" spans="62:62" x14ac:dyDescent="0.2">
      <c r="BJ31643" s="201"/>
    </row>
    <row r="31644" spans="62:62" x14ac:dyDescent="0.2">
      <c r="BJ31644" s="201"/>
    </row>
    <row r="31645" spans="62:62" x14ac:dyDescent="0.2">
      <c r="BJ31645" s="201"/>
    </row>
    <row r="31646" spans="62:62" x14ac:dyDescent="0.2">
      <c r="BJ31646" s="201"/>
    </row>
    <row r="31647" spans="62:62" x14ac:dyDescent="0.2">
      <c r="BJ31647" s="201"/>
    </row>
    <row r="31648" spans="62:62" x14ac:dyDescent="0.2">
      <c r="BJ31648" s="201"/>
    </row>
    <row r="31649" spans="62:62" x14ac:dyDescent="0.2">
      <c r="BJ31649" s="201"/>
    </row>
    <row r="31650" spans="62:62" x14ac:dyDescent="0.2">
      <c r="BJ31650" s="201"/>
    </row>
    <row r="31651" spans="62:62" x14ac:dyDescent="0.2">
      <c r="BJ31651" s="201"/>
    </row>
    <row r="31652" spans="62:62" x14ac:dyDescent="0.2">
      <c r="BJ31652" s="201"/>
    </row>
    <row r="31653" spans="62:62" x14ac:dyDescent="0.2">
      <c r="BJ31653" s="201"/>
    </row>
    <row r="31654" spans="62:62" x14ac:dyDescent="0.2">
      <c r="BJ31654" s="201"/>
    </row>
    <row r="31655" spans="62:62" x14ac:dyDescent="0.2">
      <c r="BJ31655" s="201"/>
    </row>
    <row r="31656" spans="62:62" x14ac:dyDescent="0.2">
      <c r="BJ31656" s="201"/>
    </row>
    <row r="31657" spans="62:62" x14ac:dyDescent="0.2">
      <c r="BJ31657" s="201"/>
    </row>
    <row r="31658" spans="62:62" x14ac:dyDescent="0.2">
      <c r="BJ31658" s="201"/>
    </row>
    <row r="31659" spans="62:62" x14ac:dyDescent="0.2">
      <c r="BJ31659" s="201"/>
    </row>
    <row r="31660" spans="62:62" x14ac:dyDescent="0.2">
      <c r="BJ31660" s="201"/>
    </row>
    <row r="31661" spans="62:62" x14ac:dyDescent="0.2">
      <c r="BJ31661" s="201"/>
    </row>
    <row r="31662" spans="62:62" x14ac:dyDescent="0.2">
      <c r="BJ31662" s="201"/>
    </row>
    <row r="31663" spans="62:62" x14ac:dyDescent="0.2">
      <c r="BJ31663" s="201"/>
    </row>
    <row r="31664" spans="62:62" x14ac:dyDescent="0.2">
      <c r="BJ31664" s="201"/>
    </row>
    <row r="31665" spans="62:62" x14ac:dyDescent="0.2">
      <c r="BJ31665" s="201"/>
    </row>
    <row r="31666" spans="62:62" x14ac:dyDescent="0.2">
      <c r="BJ31666" s="201"/>
    </row>
    <row r="31667" spans="62:62" x14ac:dyDescent="0.2">
      <c r="BJ31667" s="201"/>
    </row>
    <row r="31668" spans="62:62" x14ac:dyDescent="0.2">
      <c r="BJ31668" s="201"/>
    </row>
    <row r="31669" spans="62:62" x14ac:dyDescent="0.2">
      <c r="BJ31669" s="201"/>
    </row>
    <row r="31670" spans="62:62" x14ac:dyDescent="0.2">
      <c r="BJ31670" s="201"/>
    </row>
    <row r="31671" spans="62:62" x14ac:dyDescent="0.2">
      <c r="BJ31671" s="201"/>
    </row>
    <row r="31672" spans="62:62" x14ac:dyDescent="0.2">
      <c r="BJ31672" s="201"/>
    </row>
    <row r="31673" spans="62:62" x14ac:dyDescent="0.2">
      <c r="BJ31673" s="201"/>
    </row>
    <row r="31674" spans="62:62" x14ac:dyDescent="0.2">
      <c r="BJ31674" s="201"/>
    </row>
    <row r="31675" spans="62:62" x14ac:dyDescent="0.2">
      <c r="BJ31675" s="201"/>
    </row>
    <row r="31676" spans="62:62" x14ac:dyDescent="0.2">
      <c r="BJ31676" s="201"/>
    </row>
    <row r="31677" spans="62:62" x14ac:dyDescent="0.2">
      <c r="BJ31677" s="201"/>
    </row>
    <row r="31678" spans="62:62" x14ac:dyDescent="0.2">
      <c r="BJ31678" s="201"/>
    </row>
    <row r="31679" spans="62:62" x14ac:dyDescent="0.2">
      <c r="BJ31679" s="201"/>
    </row>
    <row r="31680" spans="62:62" x14ac:dyDescent="0.2">
      <c r="BJ31680" s="201"/>
    </row>
    <row r="31681" spans="62:62" x14ac:dyDescent="0.2">
      <c r="BJ31681" s="201"/>
    </row>
    <row r="31682" spans="62:62" x14ac:dyDescent="0.2">
      <c r="BJ31682" s="201"/>
    </row>
    <row r="31683" spans="62:62" x14ac:dyDescent="0.2">
      <c r="BJ31683" s="201"/>
    </row>
    <row r="31684" spans="62:62" x14ac:dyDescent="0.2">
      <c r="BJ31684" s="201"/>
    </row>
    <row r="31685" spans="62:62" x14ac:dyDescent="0.2">
      <c r="BJ31685" s="201"/>
    </row>
    <row r="31686" spans="62:62" x14ac:dyDescent="0.2">
      <c r="BJ31686" s="201"/>
    </row>
    <row r="31687" spans="62:62" x14ac:dyDescent="0.2">
      <c r="BJ31687" s="201"/>
    </row>
    <row r="31688" spans="62:62" x14ac:dyDescent="0.2">
      <c r="BJ31688" s="201"/>
    </row>
    <row r="31689" spans="62:62" x14ac:dyDescent="0.2">
      <c r="BJ31689" s="201"/>
    </row>
    <row r="31690" spans="62:62" x14ac:dyDescent="0.2">
      <c r="BJ31690" s="201"/>
    </row>
    <row r="31691" spans="62:62" x14ac:dyDescent="0.2">
      <c r="BJ31691" s="201"/>
    </row>
    <row r="31692" spans="62:62" x14ac:dyDescent="0.2">
      <c r="BJ31692" s="201"/>
    </row>
    <row r="31693" spans="62:62" x14ac:dyDescent="0.2">
      <c r="BJ31693" s="201"/>
    </row>
    <row r="31694" spans="62:62" x14ac:dyDescent="0.2">
      <c r="BJ31694" s="201"/>
    </row>
    <row r="31695" spans="62:62" x14ac:dyDescent="0.2">
      <c r="BJ31695" s="201"/>
    </row>
    <row r="31696" spans="62:62" x14ac:dyDescent="0.2">
      <c r="BJ31696" s="201"/>
    </row>
    <row r="31697" spans="62:62" x14ac:dyDescent="0.2">
      <c r="BJ31697" s="201"/>
    </row>
    <row r="31698" spans="62:62" x14ac:dyDescent="0.2">
      <c r="BJ31698" s="201"/>
    </row>
    <row r="31699" spans="62:62" x14ac:dyDescent="0.2">
      <c r="BJ31699" s="201"/>
    </row>
    <row r="31700" spans="62:62" x14ac:dyDescent="0.2">
      <c r="BJ31700" s="201"/>
    </row>
    <row r="31701" spans="62:62" x14ac:dyDescent="0.2">
      <c r="BJ31701" s="201"/>
    </row>
    <row r="31702" spans="62:62" x14ac:dyDescent="0.2">
      <c r="BJ31702" s="201"/>
    </row>
    <row r="31703" spans="62:62" x14ac:dyDescent="0.2">
      <c r="BJ31703" s="201"/>
    </row>
    <row r="31704" spans="62:62" x14ac:dyDescent="0.2">
      <c r="BJ31704" s="201"/>
    </row>
    <row r="31705" spans="62:62" x14ac:dyDescent="0.2">
      <c r="BJ31705" s="201"/>
    </row>
    <row r="31706" spans="62:62" x14ac:dyDescent="0.2">
      <c r="BJ31706" s="201"/>
    </row>
    <row r="31707" spans="62:62" x14ac:dyDescent="0.2">
      <c r="BJ31707" s="201"/>
    </row>
    <row r="31708" spans="62:62" x14ac:dyDescent="0.2">
      <c r="BJ31708" s="201"/>
    </row>
    <row r="31709" spans="62:62" x14ac:dyDescent="0.2">
      <c r="BJ31709" s="201"/>
    </row>
    <row r="31710" spans="62:62" x14ac:dyDescent="0.2">
      <c r="BJ31710" s="201"/>
    </row>
    <row r="31711" spans="62:62" x14ac:dyDescent="0.2">
      <c r="BJ31711" s="201"/>
    </row>
    <row r="31712" spans="62:62" x14ac:dyDescent="0.2">
      <c r="BJ31712" s="201"/>
    </row>
    <row r="31713" spans="62:62" x14ac:dyDescent="0.2">
      <c r="BJ31713" s="201"/>
    </row>
    <row r="31714" spans="62:62" x14ac:dyDescent="0.2">
      <c r="BJ31714" s="201"/>
    </row>
    <row r="31715" spans="62:62" x14ac:dyDescent="0.2">
      <c r="BJ31715" s="201"/>
    </row>
    <row r="31716" spans="62:62" x14ac:dyDescent="0.2">
      <c r="BJ31716" s="201"/>
    </row>
    <row r="31717" spans="62:62" x14ac:dyDescent="0.2">
      <c r="BJ31717" s="201"/>
    </row>
    <row r="31718" spans="62:62" x14ac:dyDescent="0.2">
      <c r="BJ31718" s="201"/>
    </row>
    <row r="31719" spans="62:62" x14ac:dyDescent="0.2">
      <c r="BJ31719" s="201"/>
    </row>
    <row r="31720" spans="62:62" x14ac:dyDescent="0.2">
      <c r="BJ31720" s="201"/>
    </row>
    <row r="31721" spans="62:62" x14ac:dyDescent="0.2">
      <c r="BJ31721" s="201"/>
    </row>
    <row r="31722" spans="62:62" x14ac:dyDescent="0.2">
      <c r="BJ31722" s="201"/>
    </row>
    <row r="31723" spans="62:62" x14ac:dyDescent="0.2">
      <c r="BJ31723" s="201"/>
    </row>
    <row r="31724" spans="62:62" x14ac:dyDescent="0.2">
      <c r="BJ31724" s="201"/>
    </row>
    <row r="31725" spans="62:62" x14ac:dyDescent="0.2">
      <c r="BJ31725" s="201"/>
    </row>
    <row r="31726" spans="62:62" x14ac:dyDescent="0.2">
      <c r="BJ31726" s="201"/>
    </row>
    <row r="31727" spans="62:62" x14ac:dyDescent="0.2">
      <c r="BJ31727" s="201"/>
    </row>
    <row r="31728" spans="62:62" x14ac:dyDescent="0.2">
      <c r="BJ31728" s="201"/>
    </row>
    <row r="31729" spans="62:62" x14ac:dyDescent="0.2">
      <c r="BJ31729" s="201"/>
    </row>
    <row r="31730" spans="62:62" x14ac:dyDescent="0.2">
      <c r="BJ31730" s="201"/>
    </row>
    <row r="31731" spans="62:62" x14ac:dyDescent="0.2">
      <c r="BJ31731" s="201"/>
    </row>
    <row r="31732" spans="62:62" x14ac:dyDescent="0.2">
      <c r="BJ31732" s="201"/>
    </row>
    <row r="31733" spans="62:62" x14ac:dyDescent="0.2">
      <c r="BJ31733" s="201"/>
    </row>
    <row r="31734" spans="62:62" x14ac:dyDescent="0.2">
      <c r="BJ31734" s="201"/>
    </row>
    <row r="31735" spans="62:62" x14ac:dyDescent="0.2">
      <c r="BJ31735" s="201"/>
    </row>
    <row r="31736" spans="62:62" x14ac:dyDescent="0.2">
      <c r="BJ31736" s="201"/>
    </row>
    <row r="31737" spans="62:62" x14ac:dyDescent="0.2">
      <c r="BJ31737" s="201"/>
    </row>
    <row r="31738" spans="62:62" x14ac:dyDescent="0.2">
      <c r="BJ31738" s="201"/>
    </row>
    <row r="31739" spans="62:62" x14ac:dyDescent="0.2">
      <c r="BJ31739" s="201"/>
    </row>
    <row r="31740" spans="62:62" x14ac:dyDescent="0.2">
      <c r="BJ31740" s="201"/>
    </row>
    <row r="31741" spans="62:62" x14ac:dyDescent="0.2">
      <c r="BJ31741" s="201"/>
    </row>
    <row r="31742" spans="62:62" x14ac:dyDescent="0.2">
      <c r="BJ31742" s="201"/>
    </row>
    <row r="31743" spans="62:62" x14ac:dyDescent="0.2">
      <c r="BJ31743" s="201"/>
    </row>
    <row r="31744" spans="62:62" x14ac:dyDescent="0.2">
      <c r="BJ31744" s="201"/>
    </row>
    <row r="31745" spans="62:62" x14ac:dyDescent="0.2">
      <c r="BJ31745" s="201"/>
    </row>
    <row r="31746" spans="62:62" x14ac:dyDescent="0.2">
      <c r="BJ31746" s="201"/>
    </row>
    <row r="31747" spans="62:62" x14ac:dyDescent="0.2">
      <c r="BJ31747" s="201"/>
    </row>
    <row r="31748" spans="62:62" x14ac:dyDescent="0.2">
      <c r="BJ31748" s="201"/>
    </row>
    <row r="31749" spans="62:62" x14ac:dyDescent="0.2">
      <c r="BJ31749" s="201"/>
    </row>
    <row r="31750" spans="62:62" x14ac:dyDescent="0.2">
      <c r="BJ31750" s="201"/>
    </row>
    <row r="31751" spans="62:62" x14ac:dyDescent="0.2">
      <c r="BJ31751" s="201"/>
    </row>
    <row r="31752" spans="62:62" x14ac:dyDescent="0.2">
      <c r="BJ31752" s="201"/>
    </row>
    <row r="31753" spans="62:62" x14ac:dyDescent="0.2">
      <c r="BJ31753" s="201"/>
    </row>
    <row r="31754" spans="62:62" x14ac:dyDescent="0.2">
      <c r="BJ31754" s="201"/>
    </row>
    <row r="31755" spans="62:62" x14ac:dyDescent="0.2">
      <c r="BJ31755" s="201"/>
    </row>
    <row r="31756" spans="62:62" x14ac:dyDescent="0.2">
      <c r="BJ31756" s="201"/>
    </row>
    <row r="31757" spans="62:62" x14ac:dyDescent="0.2">
      <c r="BJ31757" s="201"/>
    </row>
    <row r="31758" spans="62:62" x14ac:dyDescent="0.2">
      <c r="BJ31758" s="201"/>
    </row>
    <row r="31759" spans="62:62" x14ac:dyDescent="0.2">
      <c r="BJ31759" s="201"/>
    </row>
    <row r="31760" spans="62:62" x14ac:dyDescent="0.2">
      <c r="BJ31760" s="201"/>
    </row>
    <row r="31761" spans="62:62" x14ac:dyDescent="0.2">
      <c r="BJ31761" s="201"/>
    </row>
    <row r="31762" spans="62:62" x14ac:dyDescent="0.2">
      <c r="BJ31762" s="201"/>
    </row>
    <row r="31763" spans="62:62" x14ac:dyDescent="0.2">
      <c r="BJ31763" s="201"/>
    </row>
    <row r="31764" spans="62:62" x14ac:dyDescent="0.2">
      <c r="BJ31764" s="201"/>
    </row>
    <row r="31765" spans="62:62" x14ac:dyDescent="0.2">
      <c r="BJ31765" s="201"/>
    </row>
    <row r="31766" spans="62:62" x14ac:dyDescent="0.2">
      <c r="BJ31766" s="201"/>
    </row>
    <row r="31767" spans="62:62" x14ac:dyDescent="0.2">
      <c r="BJ31767" s="201"/>
    </row>
    <row r="31768" spans="62:62" x14ac:dyDescent="0.2">
      <c r="BJ31768" s="201"/>
    </row>
    <row r="31769" spans="62:62" x14ac:dyDescent="0.2">
      <c r="BJ31769" s="201"/>
    </row>
    <row r="31770" spans="62:62" x14ac:dyDescent="0.2">
      <c r="BJ31770" s="201"/>
    </row>
    <row r="31771" spans="62:62" x14ac:dyDescent="0.2">
      <c r="BJ31771" s="201"/>
    </row>
    <row r="31772" spans="62:62" x14ac:dyDescent="0.2">
      <c r="BJ31772" s="201"/>
    </row>
    <row r="31773" spans="62:62" x14ac:dyDescent="0.2">
      <c r="BJ31773" s="201"/>
    </row>
    <row r="31774" spans="62:62" x14ac:dyDescent="0.2">
      <c r="BJ31774" s="201"/>
    </row>
    <row r="31775" spans="62:62" x14ac:dyDescent="0.2">
      <c r="BJ31775" s="201"/>
    </row>
    <row r="31776" spans="62:62" x14ac:dyDescent="0.2">
      <c r="BJ31776" s="201"/>
    </row>
    <row r="31777" spans="62:62" x14ac:dyDescent="0.2">
      <c r="BJ31777" s="201"/>
    </row>
    <row r="31778" spans="62:62" x14ac:dyDescent="0.2">
      <c r="BJ31778" s="201"/>
    </row>
    <row r="31779" spans="62:62" x14ac:dyDescent="0.2">
      <c r="BJ31779" s="201"/>
    </row>
    <row r="31780" spans="62:62" x14ac:dyDescent="0.2">
      <c r="BJ31780" s="201"/>
    </row>
    <row r="31781" spans="62:62" x14ac:dyDescent="0.2">
      <c r="BJ31781" s="201"/>
    </row>
    <row r="31782" spans="62:62" x14ac:dyDescent="0.2">
      <c r="BJ31782" s="201"/>
    </row>
    <row r="31783" spans="62:62" x14ac:dyDescent="0.2">
      <c r="BJ31783" s="201"/>
    </row>
    <row r="31784" spans="62:62" x14ac:dyDescent="0.2">
      <c r="BJ31784" s="201"/>
    </row>
    <row r="31785" spans="62:62" x14ac:dyDescent="0.2">
      <c r="BJ31785" s="201"/>
    </row>
    <row r="31786" spans="62:62" x14ac:dyDescent="0.2">
      <c r="BJ31786" s="201"/>
    </row>
    <row r="31787" spans="62:62" x14ac:dyDescent="0.2">
      <c r="BJ31787" s="201"/>
    </row>
    <row r="31788" spans="62:62" x14ac:dyDescent="0.2">
      <c r="BJ31788" s="201"/>
    </row>
    <row r="31789" spans="62:62" x14ac:dyDescent="0.2">
      <c r="BJ31789" s="201"/>
    </row>
    <row r="31790" spans="62:62" x14ac:dyDescent="0.2">
      <c r="BJ31790" s="201"/>
    </row>
    <row r="31791" spans="62:62" x14ac:dyDescent="0.2">
      <c r="BJ31791" s="201"/>
    </row>
    <row r="31792" spans="62:62" x14ac:dyDescent="0.2">
      <c r="BJ31792" s="201"/>
    </row>
    <row r="31793" spans="62:62" x14ac:dyDescent="0.2">
      <c r="BJ31793" s="201"/>
    </row>
    <row r="31794" spans="62:62" x14ac:dyDescent="0.2">
      <c r="BJ31794" s="201"/>
    </row>
    <row r="31795" spans="62:62" x14ac:dyDescent="0.2">
      <c r="BJ31795" s="201"/>
    </row>
    <row r="31796" spans="62:62" x14ac:dyDescent="0.2">
      <c r="BJ31796" s="201"/>
    </row>
    <row r="31797" spans="62:62" x14ac:dyDescent="0.2">
      <c r="BJ31797" s="201"/>
    </row>
    <row r="31798" spans="62:62" x14ac:dyDescent="0.2">
      <c r="BJ31798" s="201"/>
    </row>
    <row r="31799" spans="62:62" x14ac:dyDescent="0.2">
      <c r="BJ31799" s="201"/>
    </row>
    <row r="31800" spans="62:62" x14ac:dyDescent="0.2">
      <c r="BJ31800" s="201"/>
    </row>
    <row r="31801" spans="62:62" x14ac:dyDescent="0.2">
      <c r="BJ31801" s="201"/>
    </row>
    <row r="31802" spans="62:62" x14ac:dyDescent="0.2">
      <c r="BJ31802" s="201"/>
    </row>
    <row r="31803" spans="62:62" x14ac:dyDescent="0.2">
      <c r="BJ31803" s="201"/>
    </row>
    <row r="31804" spans="62:62" x14ac:dyDescent="0.2">
      <c r="BJ31804" s="201"/>
    </row>
    <row r="31805" spans="62:62" x14ac:dyDescent="0.2">
      <c r="BJ31805" s="201"/>
    </row>
    <row r="31806" spans="62:62" x14ac:dyDescent="0.2">
      <c r="BJ31806" s="201"/>
    </row>
    <row r="31807" spans="62:62" x14ac:dyDescent="0.2">
      <c r="BJ31807" s="201"/>
    </row>
    <row r="31808" spans="62:62" x14ac:dyDescent="0.2">
      <c r="BJ31808" s="201"/>
    </row>
    <row r="31809" spans="62:62" x14ac:dyDescent="0.2">
      <c r="BJ31809" s="201"/>
    </row>
    <row r="31810" spans="62:62" x14ac:dyDescent="0.2">
      <c r="BJ31810" s="201"/>
    </row>
    <row r="31811" spans="62:62" x14ac:dyDescent="0.2">
      <c r="BJ31811" s="201"/>
    </row>
    <row r="31812" spans="62:62" x14ac:dyDescent="0.2">
      <c r="BJ31812" s="201"/>
    </row>
    <row r="31813" spans="62:62" x14ac:dyDescent="0.2">
      <c r="BJ31813" s="201"/>
    </row>
    <row r="31814" spans="62:62" x14ac:dyDescent="0.2">
      <c r="BJ31814" s="201"/>
    </row>
    <row r="31815" spans="62:62" x14ac:dyDescent="0.2">
      <c r="BJ31815" s="201"/>
    </row>
    <row r="31816" spans="62:62" x14ac:dyDescent="0.2">
      <c r="BJ31816" s="201"/>
    </row>
    <row r="31817" spans="62:62" x14ac:dyDescent="0.2">
      <c r="BJ31817" s="201"/>
    </row>
    <row r="31818" spans="62:62" x14ac:dyDescent="0.2">
      <c r="BJ31818" s="201"/>
    </row>
    <row r="31819" spans="62:62" x14ac:dyDescent="0.2">
      <c r="BJ31819" s="201"/>
    </row>
    <row r="31820" spans="62:62" x14ac:dyDescent="0.2">
      <c r="BJ31820" s="201"/>
    </row>
    <row r="31821" spans="62:62" x14ac:dyDescent="0.2">
      <c r="BJ31821" s="201"/>
    </row>
    <row r="31822" spans="62:62" x14ac:dyDescent="0.2">
      <c r="BJ31822" s="201"/>
    </row>
    <row r="31823" spans="62:62" x14ac:dyDescent="0.2">
      <c r="BJ31823" s="201"/>
    </row>
    <row r="31824" spans="62:62" x14ac:dyDescent="0.2">
      <c r="BJ31824" s="201"/>
    </row>
    <row r="31825" spans="62:62" x14ac:dyDescent="0.2">
      <c r="BJ31825" s="201"/>
    </row>
    <row r="31826" spans="62:62" x14ac:dyDescent="0.2">
      <c r="BJ31826" s="201"/>
    </row>
    <row r="31827" spans="62:62" x14ac:dyDescent="0.2">
      <c r="BJ31827" s="201"/>
    </row>
    <row r="31828" spans="62:62" x14ac:dyDescent="0.2">
      <c r="BJ31828" s="201"/>
    </row>
    <row r="31829" spans="62:62" x14ac:dyDescent="0.2">
      <c r="BJ31829" s="201"/>
    </row>
    <row r="31830" spans="62:62" x14ac:dyDescent="0.2">
      <c r="BJ31830" s="201"/>
    </row>
    <row r="31831" spans="62:62" x14ac:dyDescent="0.2">
      <c r="BJ31831" s="201"/>
    </row>
    <row r="31832" spans="62:62" x14ac:dyDescent="0.2">
      <c r="BJ31832" s="201"/>
    </row>
    <row r="31833" spans="62:62" x14ac:dyDescent="0.2">
      <c r="BJ31833" s="201"/>
    </row>
    <row r="31834" spans="62:62" x14ac:dyDescent="0.2">
      <c r="BJ31834" s="201"/>
    </row>
    <row r="31835" spans="62:62" x14ac:dyDescent="0.2">
      <c r="BJ31835" s="201"/>
    </row>
    <row r="31836" spans="62:62" x14ac:dyDescent="0.2">
      <c r="BJ31836" s="201"/>
    </row>
    <row r="31837" spans="62:62" x14ac:dyDescent="0.2">
      <c r="BJ31837" s="201"/>
    </row>
    <row r="31838" spans="62:62" x14ac:dyDescent="0.2">
      <c r="BJ31838" s="201"/>
    </row>
    <row r="31839" spans="62:62" x14ac:dyDescent="0.2">
      <c r="BJ31839" s="201"/>
    </row>
    <row r="31840" spans="62:62" x14ac:dyDescent="0.2">
      <c r="BJ31840" s="201"/>
    </row>
    <row r="31841" spans="62:62" x14ac:dyDescent="0.2">
      <c r="BJ31841" s="201"/>
    </row>
    <row r="31842" spans="62:62" x14ac:dyDescent="0.2">
      <c r="BJ31842" s="201"/>
    </row>
    <row r="31843" spans="62:62" x14ac:dyDescent="0.2">
      <c r="BJ31843" s="201"/>
    </row>
    <row r="31844" spans="62:62" x14ac:dyDescent="0.2">
      <c r="BJ31844" s="201"/>
    </row>
    <row r="31845" spans="62:62" x14ac:dyDescent="0.2">
      <c r="BJ31845" s="201"/>
    </row>
    <row r="31846" spans="62:62" x14ac:dyDescent="0.2">
      <c r="BJ31846" s="201"/>
    </row>
    <row r="31847" spans="62:62" x14ac:dyDescent="0.2">
      <c r="BJ31847" s="201"/>
    </row>
    <row r="31848" spans="62:62" x14ac:dyDescent="0.2">
      <c r="BJ31848" s="201"/>
    </row>
    <row r="31849" spans="62:62" x14ac:dyDescent="0.2">
      <c r="BJ31849" s="201"/>
    </row>
    <row r="31850" spans="62:62" x14ac:dyDescent="0.2">
      <c r="BJ31850" s="201"/>
    </row>
    <row r="31851" spans="62:62" x14ac:dyDescent="0.2">
      <c r="BJ31851" s="201"/>
    </row>
    <row r="31852" spans="62:62" x14ac:dyDescent="0.2">
      <c r="BJ31852" s="201"/>
    </row>
    <row r="31853" spans="62:62" x14ac:dyDescent="0.2">
      <c r="BJ31853" s="201"/>
    </row>
    <row r="31854" spans="62:62" x14ac:dyDescent="0.2">
      <c r="BJ31854" s="201"/>
    </row>
    <row r="31855" spans="62:62" x14ac:dyDescent="0.2">
      <c r="BJ31855" s="201"/>
    </row>
    <row r="31856" spans="62:62" x14ac:dyDescent="0.2">
      <c r="BJ31856" s="201"/>
    </row>
    <row r="31857" spans="62:62" x14ac:dyDescent="0.2">
      <c r="BJ31857" s="201"/>
    </row>
    <row r="31858" spans="62:62" x14ac:dyDescent="0.2">
      <c r="BJ31858" s="201"/>
    </row>
    <row r="31859" spans="62:62" x14ac:dyDescent="0.2">
      <c r="BJ31859" s="201"/>
    </row>
    <row r="31860" spans="62:62" x14ac:dyDescent="0.2">
      <c r="BJ31860" s="201"/>
    </row>
    <row r="31861" spans="62:62" x14ac:dyDescent="0.2">
      <c r="BJ31861" s="201"/>
    </row>
    <row r="31862" spans="62:62" x14ac:dyDescent="0.2">
      <c r="BJ31862" s="201"/>
    </row>
    <row r="31863" spans="62:62" x14ac:dyDescent="0.2">
      <c r="BJ31863" s="201"/>
    </row>
    <row r="31864" spans="62:62" x14ac:dyDescent="0.2">
      <c r="BJ31864" s="201"/>
    </row>
    <row r="31865" spans="62:62" x14ac:dyDescent="0.2">
      <c r="BJ31865" s="201"/>
    </row>
    <row r="31866" spans="62:62" x14ac:dyDescent="0.2">
      <c r="BJ31866" s="201"/>
    </row>
    <row r="31867" spans="62:62" x14ac:dyDescent="0.2">
      <c r="BJ31867" s="201"/>
    </row>
    <row r="31868" spans="62:62" x14ac:dyDescent="0.2">
      <c r="BJ31868" s="201"/>
    </row>
    <row r="31869" spans="62:62" x14ac:dyDescent="0.2">
      <c r="BJ31869" s="201"/>
    </row>
    <row r="31870" spans="62:62" x14ac:dyDescent="0.2">
      <c r="BJ31870" s="201"/>
    </row>
    <row r="31871" spans="62:62" x14ac:dyDescent="0.2">
      <c r="BJ31871" s="201"/>
    </row>
    <row r="31872" spans="62:62" x14ac:dyDescent="0.2">
      <c r="BJ31872" s="201"/>
    </row>
    <row r="31873" spans="62:62" x14ac:dyDescent="0.2">
      <c r="BJ31873" s="201"/>
    </row>
    <row r="31874" spans="62:62" x14ac:dyDescent="0.2">
      <c r="BJ31874" s="201"/>
    </row>
    <row r="31875" spans="62:62" x14ac:dyDescent="0.2">
      <c r="BJ31875" s="201"/>
    </row>
    <row r="31876" spans="62:62" x14ac:dyDescent="0.2">
      <c r="BJ31876" s="201"/>
    </row>
    <row r="31877" spans="62:62" x14ac:dyDescent="0.2">
      <c r="BJ31877" s="201"/>
    </row>
    <row r="31878" spans="62:62" x14ac:dyDescent="0.2">
      <c r="BJ31878" s="201"/>
    </row>
    <row r="31879" spans="62:62" x14ac:dyDescent="0.2">
      <c r="BJ31879" s="201"/>
    </row>
    <row r="31880" spans="62:62" x14ac:dyDescent="0.2">
      <c r="BJ31880" s="201"/>
    </row>
    <row r="31881" spans="62:62" x14ac:dyDescent="0.2">
      <c r="BJ31881" s="201"/>
    </row>
    <row r="31882" spans="62:62" x14ac:dyDescent="0.2">
      <c r="BJ31882" s="201"/>
    </row>
    <row r="31883" spans="62:62" x14ac:dyDescent="0.2">
      <c r="BJ31883" s="201"/>
    </row>
    <row r="31884" spans="62:62" x14ac:dyDescent="0.2">
      <c r="BJ31884" s="201"/>
    </row>
    <row r="31885" spans="62:62" x14ac:dyDescent="0.2">
      <c r="BJ31885" s="201"/>
    </row>
    <row r="31886" spans="62:62" x14ac:dyDescent="0.2">
      <c r="BJ31886" s="201"/>
    </row>
    <row r="31887" spans="62:62" x14ac:dyDescent="0.2">
      <c r="BJ31887" s="201"/>
    </row>
    <row r="31888" spans="62:62" x14ac:dyDescent="0.2">
      <c r="BJ31888" s="201"/>
    </row>
    <row r="31889" spans="62:62" x14ac:dyDescent="0.2">
      <c r="BJ31889" s="201"/>
    </row>
    <row r="31890" spans="62:62" x14ac:dyDescent="0.2">
      <c r="BJ31890" s="201"/>
    </row>
    <row r="31891" spans="62:62" x14ac:dyDescent="0.2">
      <c r="BJ31891" s="201"/>
    </row>
    <row r="31892" spans="62:62" x14ac:dyDescent="0.2">
      <c r="BJ31892" s="201"/>
    </row>
    <row r="31893" spans="62:62" x14ac:dyDescent="0.2">
      <c r="BJ31893" s="201"/>
    </row>
    <row r="31894" spans="62:62" x14ac:dyDescent="0.2">
      <c r="BJ31894" s="201"/>
    </row>
    <row r="31895" spans="62:62" x14ac:dyDescent="0.2">
      <c r="BJ31895" s="201"/>
    </row>
    <row r="31896" spans="62:62" x14ac:dyDescent="0.2">
      <c r="BJ31896" s="201"/>
    </row>
    <row r="31897" spans="62:62" x14ac:dyDescent="0.2">
      <c r="BJ31897" s="201"/>
    </row>
    <row r="31898" spans="62:62" x14ac:dyDescent="0.2">
      <c r="BJ31898" s="201"/>
    </row>
    <row r="31899" spans="62:62" x14ac:dyDescent="0.2">
      <c r="BJ31899" s="201"/>
    </row>
    <row r="31900" spans="62:62" x14ac:dyDescent="0.2">
      <c r="BJ31900" s="201"/>
    </row>
    <row r="31901" spans="62:62" x14ac:dyDescent="0.2">
      <c r="BJ31901" s="201"/>
    </row>
    <row r="31902" spans="62:62" x14ac:dyDescent="0.2">
      <c r="BJ31902" s="201"/>
    </row>
    <row r="31903" spans="62:62" x14ac:dyDescent="0.2">
      <c r="BJ31903" s="201"/>
    </row>
    <row r="31904" spans="62:62" x14ac:dyDescent="0.2">
      <c r="BJ31904" s="201"/>
    </row>
    <row r="31905" spans="62:62" x14ac:dyDescent="0.2">
      <c r="BJ31905" s="201"/>
    </row>
    <row r="31906" spans="62:62" x14ac:dyDescent="0.2">
      <c r="BJ31906" s="201"/>
    </row>
    <row r="31907" spans="62:62" x14ac:dyDescent="0.2">
      <c r="BJ31907" s="201"/>
    </row>
    <row r="31908" spans="62:62" x14ac:dyDescent="0.2">
      <c r="BJ31908" s="201"/>
    </row>
    <row r="31909" spans="62:62" x14ac:dyDescent="0.2">
      <c r="BJ31909" s="201"/>
    </row>
    <row r="31910" spans="62:62" x14ac:dyDescent="0.2">
      <c r="BJ31910" s="201"/>
    </row>
    <row r="31911" spans="62:62" x14ac:dyDescent="0.2">
      <c r="BJ31911" s="201"/>
    </row>
    <row r="31912" spans="62:62" x14ac:dyDescent="0.2">
      <c r="BJ31912" s="201"/>
    </row>
    <row r="31913" spans="62:62" x14ac:dyDescent="0.2">
      <c r="BJ31913" s="201"/>
    </row>
    <row r="31914" spans="62:62" x14ac:dyDescent="0.2">
      <c r="BJ31914" s="201"/>
    </row>
    <row r="31915" spans="62:62" x14ac:dyDescent="0.2">
      <c r="BJ31915" s="201"/>
    </row>
    <row r="31916" spans="62:62" x14ac:dyDescent="0.2">
      <c r="BJ31916" s="201"/>
    </row>
    <row r="31917" spans="62:62" x14ac:dyDescent="0.2">
      <c r="BJ31917" s="201"/>
    </row>
    <row r="31918" spans="62:62" x14ac:dyDescent="0.2">
      <c r="BJ31918" s="201"/>
    </row>
    <row r="31919" spans="62:62" x14ac:dyDescent="0.2">
      <c r="BJ31919" s="201"/>
    </row>
    <row r="31920" spans="62:62" x14ac:dyDescent="0.2">
      <c r="BJ31920" s="201"/>
    </row>
    <row r="31921" spans="62:62" x14ac:dyDescent="0.2">
      <c r="BJ31921" s="201"/>
    </row>
    <row r="31922" spans="62:62" x14ac:dyDescent="0.2">
      <c r="BJ31922" s="201"/>
    </row>
    <row r="31923" spans="62:62" x14ac:dyDescent="0.2">
      <c r="BJ31923" s="201"/>
    </row>
    <row r="31924" spans="62:62" x14ac:dyDescent="0.2">
      <c r="BJ31924" s="201"/>
    </row>
    <row r="31925" spans="62:62" x14ac:dyDescent="0.2">
      <c r="BJ31925" s="201"/>
    </row>
    <row r="31926" spans="62:62" x14ac:dyDescent="0.2">
      <c r="BJ31926" s="201"/>
    </row>
    <row r="31927" spans="62:62" x14ac:dyDescent="0.2">
      <c r="BJ31927" s="201"/>
    </row>
    <row r="31928" spans="62:62" x14ac:dyDescent="0.2">
      <c r="BJ31928" s="201"/>
    </row>
    <row r="31929" spans="62:62" x14ac:dyDescent="0.2">
      <c r="BJ31929" s="201"/>
    </row>
    <row r="31930" spans="62:62" x14ac:dyDescent="0.2">
      <c r="BJ31930" s="201"/>
    </row>
    <row r="31931" spans="62:62" x14ac:dyDescent="0.2">
      <c r="BJ31931" s="201"/>
    </row>
    <row r="31932" spans="62:62" x14ac:dyDescent="0.2">
      <c r="BJ31932" s="201"/>
    </row>
    <row r="31933" spans="62:62" x14ac:dyDescent="0.2">
      <c r="BJ31933" s="201"/>
    </row>
    <row r="31934" spans="62:62" x14ac:dyDescent="0.2">
      <c r="BJ31934" s="201"/>
    </row>
    <row r="31935" spans="62:62" x14ac:dyDescent="0.2">
      <c r="BJ31935" s="201"/>
    </row>
    <row r="31936" spans="62:62" x14ac:dyDescent="0.2">
      <c r="BJ31936" s="201"/>
    </row>
    <row r="31937" spans="62:62" x14ac:dyDescent="0.2">
      <c r="BJ31937" s="201"/>
    </row>
    <row r="31938" spans="62:62" x14ac:dyDescent="0.2">
      <c r="BJ31938" s="201"/>
    </row>
    <row r="31939" spans="62:62" x14ac:dyDescent="0.2">
      <c r="BJ31939" s="201"/>
    </row>
    <row r="31940" spans="62:62" x14ac:dyDescent="0.2">
      <c r="BJ31940" s="201"/>
    </row>
    <row r="31941" spans="62:62" x14ac:dyDescent="0.2">
      <c r="BJ31941" s="201"/>
    </row>
    <row r="31942" spans="62:62" x14ac:dyDescent="0.2">
      <c r="BJ31942" s="201"/>
    </row>
    <row r="31943" spans="62:62" x14ac:dyDescent="0.2">
      <c r="BJ31943" s="201"/>
    </row>
    <row r="31944" spans="62:62" x14ac:dyDescent="0.2">
      <c r="BJ31944" s="201"/>
    </row>
    <row r="31945" spans="62:62" x14ac:dyDescent="0.2">
      <c r="BJ31945" s="201"/>
    </row>
    <row r="31946" spans="62:62" x14ac:dyDescent="0.2">
      <c r="BJ31946" s="201"/>
    </row>
    <row r="31947" spans="62:62" x14ac:dyDescent="0.2">
      <c r="BJ31947" s="201"/>
    </row>
    <row r="31948" spans="62:62" x14ac:dyDescent="0.2">
      <c r="BJ31948" s="201"/>
    </row>
    <row r="31949" spans="62:62" x14ac:dyDescent="0.2">
      <c r="BJ31949" s="201"/>
    </row>
    <row r="31950" spans="62:62" x14ac:dyDescent="0.2">
      <c r="BJ31950" s="201"/>
    </row>
    <row r="31951" spans="62:62" x14ac:dyDescent="0.2">
      <c r="BJ31951" s="201"/>
    </row>
    <row r="31952" spans="62:62" x14ac:dyDescent="0.2">
      <c r="BJ31952" s="201"/>
    </row>
    <row r="31953" spans="62:62" x14ac:dyDescent="0.2">
      <c r="BJ31953" s="201"/>
    </row>
    <row r="31954" spans="62:62" x14ac:dyDescent="0.2">
      <c r="BJ31954" s="201"/>
    </row>
    <row r="31955" spans="62:62" x14ac:dyDescent="0.2">
      <c r="BJ31955" s="201"/>
    </row>
    <row r="31956" spans="62:62" x14ac:dyDescent="0.2">
      <c r="BJ31956" s="201"/>
    </row>
    <row r="31957" spans="62:62" x14ac:dyDescent="0.2">
      <c r="BJ31957" s="201"/>
    </row>
    <row r="31958" spans="62:62" x14ac:dyDescent="0.2">
      <c r="BJ31958" s="201"/>
    </row>
    <row r="31959" spans="62:62" x14ac:dyDescent="0.2">
      <c r="BJ31959" s="201"/>
    </row>
    <row r="31960" spans="62:62" x14ac:dyDescent="0.2">
      <c r="BJ31960" s="201"/>
    </row>
    <row r="31961" spans="62:62" x14ac:dyDescent="0.2">
      <c r="BJ31961" s="201"/>
    </row>
    <row r="31962" spans="62:62" x14ac:dyDescent="0.2">
      <c r="BJ31962" s="201"/>
    </row>
    <row r="31963" spans="62:62" x14ac:dyDescent="0.2">
      <c r="BJ31963" s="201"/>
    </row>
    <row r="31964" spans="62:62" x14ac:dyDescent="0.2">
      <c r="BJ31964" s="201"/>
    </row>
    <row r="31965" spans="62:62" x14ac:dyDescent="0.2">
      <c r="BJ31965" s="201"/>
    </row>
    <row r="31966" spans="62:62" x14ac:dyDescent="0.2">
      <c r="BJ31966" s="201"/>
    </row>
    <row r="31967" spans="62:62" x14ac:dyDescent="0.2">
      <c r="BJ31967" s="201"/>
    </row>
    <row r="31968" spans="62:62" x14ac:dyDescent="0.2">
      <c r="BJ31968" s="201"/>
    </row>
    <row r="31969" spans="62:62" x14ac:dyDescent="0.2">
      <c r="BJ31969" s="201"/>
    </row>
    <row r="31970" spans="62:62" x14ac:dyDescent="0.2">
      <c r="BJ31970" s="201"/>
    </row>
    <row r="31971" spans="62:62" x14ac:dyDescent="0.2">
      <c r="BJ31971" s="201"/>
    </row>
    <row r="31972" spans="62:62" x14ac:dyDescent="0.2">
      <c r="BJ31972" s="201"/>
    </row>
    <row r="31973" spans="62:62" x14ac:dyDescent="0.2">
      <c r="BJ31973" s="201"/>
    </row>
    <row r="31974" spans="62:62" x14ac:dyDescent="0.2">
      <c r="BJ31974" s="201"/>
    </row>
    <row r="31975" spans="62:62" x14ac:dyDescent="0.2">
      <c r="BJ31975" s="201"/>
    </row>
    <row r="31976" spans="62:62" x14ac:dyDescent="0.2">
      <c r="BJ31976" s="201"/>
    </row>
    <row r="31977" spans="62:62" x14ac:dyDescent="0.2">
      <c r="BJ31977" s="201"/>
    </row>
    <row r="31978" spans="62:62" x14ac:dyDescent="0.2">
      <c r="BJ31978" s="201"/>
    </row>
    <row r="31979" spans="62:62" x14ac:dyDescent="0.2">
      <c r="BJ31979" s="201"/>
    </row>
    <row r="31980" spans="62:62" x14ac:dyDescent="0.2">
      <c r="BJ31980" s="201"/>
    </row>
    <row r="31981" spans="62:62" x14ac:dyDescent="0.2">
      <c r="BJ31981" s="201"/>
    </row>
    <row r="31982" spans="62:62" x14ac:dyDescent="0.2">
      <c r="BJ31982" s="201"/>
    </row>
    <row r="31983" spans="62:62" x14ac:dyDescent="0.2">
      <c r="BJ31983" s="201"/>
    </row>
    <row r="31984" spans="62:62" x14ac:dyDescent="0.2">
      <c r="BJ31984" s="201"/>
    </row>
    <row r="31985" spans="62:62" x14ac:dyDescent="0.2">
      <c r="BJ31985" s="201"/>
    </row>
    <row r="31986" spans="62:62" x14ac:dyDescent="0.2">
      <c r="BJ31986" s="201"/>
    </row>
    <row r="31987" spans="62:62" x14ac:dyDescent="0.2">
      <c r="BJ31987" s="201"/>
    </row>
    <row r="31988" spans="62:62" x14ac:dyDescent="0.2">
      <c r="BJ31988" s="201"/>
    </row>
    <row r="31989" spans="62:62" x14ac:dyDescent="0.2">
      <c r="BJ31989" s="201"/>
    </row>
    <row r="31990" spans="62:62" x14ac:dyDescent="0.2">
      <c r="BJ31990" s="201"/>
    </row>
    <row r="31991" spans="62:62" x14ac:dyDescent="0.2">
      <c r="BJ31991" s="201"/>
    </row>
    <row r="31992" spans="62:62" x14ac:dyDescent="0.2">
      <c r="BJ31992" s="201"/>
    </row>
    <row r="31993" spans="62:62" x14ac:dyDescent="0.2">
      <c r="BJ31993" s="201"/>
    </row>
    <row r="31994" spans="62:62" x14ac:dyDescent="0.2">
      <c r="BJ31994" s="201"/>
    </row>
    <row r="31995" spans="62:62" x14ac:dyDescent="0.2">
      <c r="BJ31995" s="201"/>
    </row>
    <row r="31996" spans="62:62" x14ac:dyDescent="0.2">
      <c r="BJ31996" s="201"/>
    </row>
    <row r="31997" spans="62:62" x14ac:dyDescent="0.2">
      <c r="BJ31997" s="201"/>
    </row>
    <row r="31998" spans="62:62" x14ac:dyDescent="0.2">
      <c r="BJ31998" s="201"/>
    </row>
    <row r="31999" spans="62:62" x14ac:dyDescent="0.2">
      <c r="BJ31999" s="201"/>
    </row>
    <row r="32000" spans="62:62" x14ac:dyDescent="0.2">
      <c r="BJ32000" s="201"/>
    </row>
    <row r="32001" spans="62:62" x14ac:dyDescent="0.2">
      <c r="BJ32001" s="201"/>
    </row>
    <row r="32002" spans="62:62" x14ac:dyDescent="0.2">
      <c r="BJ32002" s="201"/>
    </row>
    <row r="32003" spans="62:62" x14ac:dyDescent="0.2">
      <c r="BJ32003" s="201"/>
    </row>
    <row r="32004" spans="62:62" x14ac:dyDescent="0.2">
      <c r="BJ32004" s="201"/>
    </row>
    <row r="32005" spans="62:62" x14ac:dyDescent="0.2">
      <c r="BJ32005" s="201"/>
    </row>
    <row r="32006" spans="62:62" x14ac:dyDescent="0.2">
      <c r="BJ32006" s="201"/>
    </row>
    <row r="32007" spans="62:62" x14ac:dyDescent="0.2">
      <c r="BJ32007" s="201"/>
    </row>
    <row r="32008" spans="62:62" x14ac:dyDescent="0.2">
      <c r="BJ32008" s="201"/>
    </row>
    <row r="32009" spans="62:62" x14ac:dyDescent="0.2">
      <c r="BJ32009" s="201"/>
    </row>
    <row r="32010" spans="62:62" x14ac:dyDescent="0.2">
      <c r="BJ32010" s="201"/>
    </row>
    <row r="32011" spans="62:62" x14ac:dyDescent="0.2">
      <c r="BJ32011" s="201"/>
    </row>
    <row r="32012" spans="62:62" x14ac:dyDescent="0.2">
      <c r="BJ32012" s="201"/>
    </row>
    <row r="32013" spans="62:62" x14ac:dyDescent="0.2">
      <c r="BJ32013" s="201"/>
    </row>
    <row r="32014" spans="62:62" x14ac:dyDescent="0.2">
      <c r="BJ32014" s="201"/>
    </row>
    <row r="32015" spans="62:62" x14ac:dyDescent="0.2">
      <c r="BJ32015" s="201"/>
    </row>
    <row r="32016" spans="62:62" x14ac:dyDescent="0.2">
      <c r="BJ32016" s="201"/>
    </row>
    <row r="32017" spans="62:62" x14ac:dyDescent="0.2">
      <c r="BJ32017" s="201"/>
    </row>
    <row r="32018" spans="62:62" x14ac:dyDescent="0.2">
      <c r="BJ32018" s="201"/>
    </row>
    <row r="32019" spans="62:62" x14ac:dyDescent="0.2">
      <c r="BJ32019" s="201"/>
    </row>
    <row r="32020" spans="62:62" x14ac:dyDescent="0.2">
      <c r="BJ32020" s="201"/>
    </row>
    <row r="32021" spans="62:62" x14ac:dyDescent="0.2">
      <c r="BJ32021" s="201"/>
    </row>
    <row r="32022" spans="62:62" x14ac:dyDescent="0.2">
      <c r="BJ32022" s="201"/>
    </row>
    <row r="32023" spans="62:62" x14ac:dyDescent="0.2">
      <c r="BJ32023" s="201"/>
    </row>
    <row r="32024" spans="62:62" x14ac:dyDescent="0.2">
      <c r="BJ32024" s="201"/>
    </row>
    <row r="32025" spans="62:62" x14ac:dyDescent="0.2">
      <c r="BJ32025" s="201"/>
    </row>
    <row r="32026" spans="62:62" x14ac:dyDescent="0.2">
      <c r="BJ32026" s="201"/>
    </row>
    <row r="32027" spans="62:62" x14ac:dyDescent="0.2">
      <c r="BJ32027" s="201"/>
    </row>
    <row r="32028" spans="62:62" x14ac:dyDescent="0.2">
      <c r="BJ32028" s="201"/>
    </row>
    <row r="32029" spans="62:62" x14ac:dyDescent="0.2">
      <c r="BJ32029" s="201"/>
    </row>
    <row r="32030" spans="62:62" x14ac:dyDescent="0.2">
      <c r="BJ32030" s="201"/>
    </row>
    <row r="32031" spans="62:62" x14ac:dyDescent="0.2">
      <c r="BJ32031" s="201"/>
    </row>
    <row r="32032" spans="62:62" x14ac:dyDescent="0.2">
      <c r="BJ32032" s="201"/>
    </row>
    <row r="32033" spans="62:62" x14ac:dyDescent="0.2">
      <c r="BJ32033" s="201"/>
    </row>
    <row r="32034" spans="62:62" x14ac:dyDescent="0.2">
      <c r="BJ32034" s="201"/>
    </row>
    <row r="32035" spans="62:62" x14ac:dyDescent="0.2">
      <c r="BJ32035" s="201"/>
    </row>
    <row r="32036" spans="62:62" x14ac:dyDescent="0.2">
      <c r="BJ32036" s="201"/>
    </row>
    <row r="32037" spans="62:62" x14ac:dyDescent="0.2">
      <c r="BJ32037" s="201"/>
    </row>
    <row r="32038" spans="62:62" x14ac:dyDescent="0.2">
      <c r="BJ32038" s="201"/>
    </row>
    <row r="32039" spans="62:62" x14ac:dyDescent="0.2">
      <c r="BJ32039" s="201"/>
    </row>
    <row r="32040" spans="62:62" x14ac:dyDescent="0.2">
      <c r="BJ32040" s="201"/>
    </row>
    <row r="32041" spans="62:62" x14ac:dyDescent="0.2">
      <c r="BJ32041" s="201"/>
    </row>
    <row r="32042" spans="62:62" x14ac:dyDescent="0.2">
      <c r="BJ32042" s="201"/>
    </row>
    <row r="32043" spans="62:62" x14ac:dyDescent="0.2">
      <c r="BJ32043" s="201"/>
    </row>
    <row r="32044" spans="62:62" x14ac:dyDescent="0.2">
      <c r="BJ32044" s="201"/>
    </row>
    <row r="32045" spans="62:62" x14ac:dyDescent="0.2">
      <c r="BJ32045" s="201"/>
    </row>
    <row r="32046" spans="62:62" x14ac:dyDescent="0.2">
      <c r="BJ32046" s="201"/>
    </row>
    <row r="32047" spans="62:62" x14ac:dyDescent="0.2">
      <c r="BJ32047" s="201"/>
    </row>
    <row r="32048" spans="62:62" x14ac:dyDescent="0.2">
      <c r="BJ32048" s="201"/>
    </row>
    <row r="32049" spans="62:62" x14ac:dyDescent="0.2">
      <c r="BJ32049" s="201"/>
    </row>
    <row r="32050" spans="62:62" x14ac:dyDescent="0.2">
      <c r="BJ32050" s="201"/>
    </row>
    <row r="32051" spans="62:62" x14ac:dyDescent="0.2">
      <c r="BJ32051" s="201"/>
    </row>
    <row r="32052" spans="62:62" x14ac:dyDescent="0.2">
      <c r="BJ32052" s="201"/>
    </row>
    <row r="32053" spans="62:62" x14ac:dyDescent="0.2">
      <c r="BJ32053" s="201"/>
    </row>
    <row r="32054" spans="62:62" x14ac:dyDescent="0.2">
      <c r="BJ32054" s="201"/>
    </row>
    <row r="32055" spans="62:62" x14ac:dyDescent="0.2">
      <c r="BJ32055" s="201"/>
    </row>
    <row r="32056" spans="62:62" x14ac:dyDescent="0.2">
      <c r="BJ32056" s="201"/>
    </row>
    <row r="32057" spans="62:62" x14ac:dyDescent="0.2">
      <c r="BJ32057" s="201"/>
    </row>
    <row r="32058" spans="62:62" x14ac:dyDescent="0.2">
      <c r="BJ32058" s="201"/>
    </row>
    <row r="32059" spans="62:62" x14ac:dyDescent="0.2">
      <c r="BJ32059" s="201"/>
    </row>
    <row r="32060" spans="62:62" x14ac:dyDescent="0.2">
      <c r="BJ32060" s="201"/>
    </row>
    <row r="32061" spans="62:62" x14ac:dyDescent="0.2">
      <c r="BJ32061" s="201"/>
    </row>
    <row r="32062" spans="62:62" x14ac:dyDescent="0.2">
      <c r="BJ32062" s="201"/>
    </row>
    <row r="32063" spans="62:62" x14ac:dyDescent="0.2">
      <c r="BJ32063" s="201"/>
    </row>
    <row r="32064" spans="62:62" x14ac:dyDescent="0.2">
      <c r="BJ32064" s="201"/>
    </row>
    <row r="32065" spans="62:62" x14ac:dyDescent="0.2">
      <c r="BJ32065" s="201"/>
    </row>
    <row r="32066" spans="62:62" x14ac:dyDescent="0.2">
      <c r="BJ32066" s="201"/>
    </row>
    <row r="32067" spans="62:62" x14ac:dyDescent="0.2">
      <c r="BJ32067" s="201"/>
    </row>
    <row r="32068" spans="62:62" x14ac:dyDescent="0.2">
      <c r="BJ32068" s="201"/>
    </row>
    <row r="32069" spans="62:62" x14ac:dyDescent="0.2">
      <c r="BJ32069" s="201"/>
    </row>
    <row r="32070" spans="62:62" x14ac:dyDescent="0.2">
      <c r="BJ32070" s="201"/>
    </row>
    <row r="32071" spans="62:62" x14ac:dyDescent="0.2">
      <c r="BJ32071" s="201"/>
    </row>
    <row r="32072" spans="62:62" x14ac:dyDescent="0.2">
      <c r="BJ32072" s="201"/>
    </row>
    <row r="32073" spans="62:62" x14ac:dyDescent="0.2">
      <c r="BJ32073" s="201"/>
    </row>
    <row r="32074" spans="62:62" x14ac:dyDescent="0.2">
      <c r="BJ32074" s="201"/>
    </row>
    <row r="32075" spans="62:62" x14ac:dyDescent="0.2">
      <c r="BJ32075" s="201"/>
    </row>
    <row r="32076" spans="62:62" x14ac:dyDescent="0.2">
      <c r="BJ32076" s="201"/>
    </row>
    <row r="32077" spans="62:62" x14ac:dyDescent="0.2">
      <c r="BJ32077" s="201"/>
    </row>
    <row r="32078" spans="62:62" x14ac:dyDescent="0.2">
      <c r="BJ32078" s="201"/>
    </row>
    <row r="32079" spans="62:62" x14ac:dyDescent="0.2">
      <c r="BJ32079" s="201"/>
    </row>
    <row r="32080" spans="62:62" x14ac:dyDescent="0.2">
      <c r="BJ32080" s="201"/>
    </row>
    <row r="32081" spans="62:62" x14ac:dyDescent="0.2">
      <c r="BJ32081" s="201"/>
    </row>
    <row r="32082" spans="62:62" x14ac:dyDescent="0.2">
      <c r="BJ32082" s="201"/>
    </row>
    <row r="32083" spans="62:62" x14ac:dyDescent="0.2">
      <c r="BJ32083" s="201"/>
    </row>
    <row r="32084" spans="62:62" x14ac:dyDescent="0.2">
      <c r="BJ32084" s="201"/>
    </row>
    <row r="32085" spans="62:62" x14ac:dyDescent="0.2">
      <c r="BJ32085" s="201"/>
    </row>
    <row r="32086" spans="62:62" x14ac:dyDescent="0.2">
      <c r="BJ32086" s="201"/>
    </row>
    <row r="32087" spans="62:62" x14ac:dyDescent="0.2">
      <c r="BJ32087" s="201"/>
    </row>
    <row r="32088" spans="62:62" x14ac:dyDescent="0.2">
      <c r="BJ32088" s="201"/>
    </row>
    <row r="32089" spans="62:62" x14ac:dyDescent="0.2">
      <c r="BJ32089" s="201"/>
    </row>
    <row r="32090" spans="62:62" x14ac:dyDescent="0.2">
      <c r="BJ32090" s="201"/>
    </row>
    <row r="32091" spans="62:62" x14ac:dyDescent="0.2">
      <c r="BJ32091" s="201"/>
    </row>
    <row r="32092" spans="62:62" x14ac:dyDescent="0.2">
      <c r="BJ32092" s="201"/>
    </row>
    <row r="32093" spans="62:62" x14ac:dyDescent="0.2">
      <c r="BJ32093" s="201"/>
    </row>
    <row r="32094" spans="62:62" x14ac:dyDescent="0.2">
      <c r="BJ32094" s="201"/>
    </row>
    <row r="32095" spans="62:62" x14ac:dyDescent="0.2">
      <c r="BJ32095" s="201"/>
    </row>
    <row r="32096" spans="62:62" x14ac:dyDescent="0.2">
      <c r="BJ32096" s="201"/>
    </row>
    <row r="32097" spans="62:62" x14ac:dyDescent="0.2">
      <c r="BJ32097" s="201"/>
    </row>
    <row r="32098" spans="62:62" x14ac:dyDescent="0.2">
      <c r="BJ32098" s="201"/>
    </row>
    <row r="32099" spans="62:62" x14ac:dyDescent="0.2">
      <c r="BJ32099" s="201"/>
    </row>
    <row r="32100" spans="62:62" x14ac:dyDescent="0.2">
      <c r="BJ32100" s="201"/>
    </row>
    <row r="32101" spans="62:62" x14ac:dyDescent="0.2">
      <c r="BJ32101" s="201"/>
    </row>
    <row r="32102" spans="62:62" x14ac:dyDescent="0.2">
      <c r="BJ32102" s="201"/>
    </row>
    <row r="32103" spans="62:62" x14ac:dyDescent="0.2">
      <c r="BJ32103" s="201"/>
    </row>
    <row r="32104" spans="62:62" x14ac:dyDescent="0.2">
      <c r="BJ32104" s="201"/>
    </row>
    <row r="32105" spans="62:62" x14ac:dyDescent="0.2">
      <c r="BJ32105" s="201"/>
    </row>
    <row r="32106" spans="62:62" x14ac:dyDescent="0.2">
      <c r="BJ32106" s="201"/>
    </row>
    <row r="32107" spans="62:62" x14ac:dyDescent="0.2">
      <c r="BJ32107" s="201"/>
    </row>
    <row r="32108" spans="62:62" x14ac:dyDescent="0.2">
      <c r="BJ32108" s="201"/>
    </row>
    <row r="32109" spans="62:62" x14ac:dyDescent="0.2">
      <c r="BJ32109" s="201"/>
    </row>
    <row r="32110" spans="62:62" x14ac:dyDescent="0.2">
      <c r="BJ32110" s="201"/>
    </row>
    <row r="32111" spans="62:62" x14ac:dyDescent="0.2">
      <c r="BJ32111" s="201"/>
    </row>
    <row r="32112" spans="62:62" x14ac:dyDescent="0.2">
      <c r="BJ32112" s="201"/>
    </row>
    <row r="32113" spans="62:62" x14ac:dyDescent="0.2">
      <c r="BJ32113" s="201"/>
    </row>
    <row r="32114" spans="62:62" x14ac:dyDescent="0.2">
      <c r="BJ32114" s="201"/>
    </row>
    <row r="32115" spans="62:62" x14ac:dyDescent="0.2">
      <c r="BJ32115" s="201"/>
    </row>
    <row r="32116" spans="62:62" x14ac:dyDescent="0.2">
      <c r="BJ32116" s="201"/>
    </row>
    <row r="32117" spans="62:62" x14ac:dyDescent="0.2">
      <c r="BJ32117" s="201"/>
    </row>
    <row r="32118" spans="62:62" x14ac:dyDescent="0.2">
      <c r="BJ32118" s="201"/>
    </row>
    <row r="32119" spans="62:62" x14ac:dyDescent="0.2">
      <c r="BJ32119" s="201"/>
    </row>
    <row r="32120" spans="62:62" x14ac:dyDescent="0.2">
      <c r="BJ32120" s="201"/>
    </row>
    <row r="32121" spans="62:62" x14ac:dyDescent="0.2">
      <c r="BJ32121" s="201"/>
    </row>
    <row r="32122" spans="62:62" x14ac:dyDescent="0.2">
      <c r="BJ32122" s="201"/>
    </row>
    <row r="32123" spans="62:62" x14ac:dyDescent="0.2">
      <c r="BJ32123" s="201"/>
    </row>
    <row r="32124" spans="62:62" x14ac:dyDescent="0.2">
      <c r="BJ32124" s="201"/>
    </row>
    <row r="32125" spans="62:62" x14ac:dyDescent="0.2">
      <c r="BJ32125" s="201"/>
    </row>
    <row r="32126" spans="62:62" x14ac:dyDescent="0.2">
      <c r="BJ32126" s="201"/>
    </row>
    <row r="32127" spans="62:62" x14ac:dyDescent="0.2">
      <c r="BJ32127" s="201"/>
    </row>
    <row r="32128" spans="62:62" x14ac:dyDescent="0.2">
      <c r="BJ32128" s="201"/>
    </row>
    <row r="32129" spans="62:62" x14ac:dyDescent="0.2">
      <c r="BJ32129" s="201"/>
    </row>
    <row r="32130" spans="62:62" x14ac:dyDescent="0.2">
      <c r="BJ32130" s="201"/>
    </row>
    <row r="32131" spans="62:62" x14ac:dyDescent="0.2">
      <c r="BJ32131" s="201"/>
    </row>
    <row r="32132" spans="62:62" x14ac:dyDescent="0.2">
      <c r="BJ32132" s="201"/>
    </row>
    <row r="32133" spans="62:62" x14ac:dyDescent="0.2">
      <c r="BJ32133" s="201"/>
    </row>
    <row r="32134" spans="62:62" x14ac:dyDescent="0.2">
      <c r="BJ32134" s="201"/>
    </row>
    <row r="32135" spans="62:62" x14ac:dyDescent="0.2">
      <c r="BJ32135" s="201"/>
    </row>
    <row r="32136" spans="62:62" x14ac:dyDescent="0.2">
      <c r="BJ32136" s="201"/>
    </row>
    <row r="32137" spans="62:62" x14ac:dyDescent="0.2">
      <c r="BJ32137" s="201"/>
    </row>
    <row r="32138" spans="62:62" x14ac:dyDescent="0.2">
      <c r="BJ32138" s="201"/>
    </row>
    <row r="32139" spans="62:62" x14ac:dyDescent="0.2">
      <c r="BJ32139" s="201"/>
    </row>
    <row r="32140" spans="62:62" x14ac:dyDescent="0.2">
      <c r="BJ32140" s="201"/>
    </row>
    <row r="32141" spans="62:62" x14ac:dyDescent="0.2">
      <c r="BJ32141" s="201"/>
    </row>
    <row r="32142" spans="62:62" x14ac:dyDescent="0.2">
      <c r="BJ32142" s="201"/>
    </row>
    <row r="32143" spans="62:62" x14ac:dyDescent="0.2">
      <c r="BJ32143" s="201"/>
    </row>
    <row r="32144" spans="62:62" x14ac:dyDescent="0.2">
      <c r="BJ32144" s="201"/>
    </row>
    <row r="32145" spans="62:62" x14ac:dyDescent="0.2">
      <c r="BJ32145" s="201"/>
    </row>
    <row r="32146" spans="62:62" x14ac:dyDescent="0.2">
      <c r="BJ32146" s="201"/>
    </row>
    <row r="32147" spans="62:62" x14ac:dyDescent="0.2">
      <c r="BJ32147" s="201"/>
    </row>
    <row r="32148" spans="62:62" x14ac:dyDescent="0.2">
      <c r="BJ32148" s="201"/>
    </row>
    <row r="32149" spans="62:62" x14ac:dyDescent="0.2">
      <c r="BJ32149" s="201"/>
    </row>
    <row r="32150" spans="62:62" x14ac:dyDescent="0.2">
      <c r="BJ32150" s="201"/>
    </row>
    <row r="32151" spans="62:62" x14ac:dyDescent="0.2">
      <c r="BJ32151" s="201"/>
    </row>
    <row r="32152" spans="62:62" x14ac:dyDescent="0.2">
      <c r="BJ32152" s="201"/>
    </row>
    <row r="32153" spans="62:62" x14ac:dyDescent="0.2">
      <c r="BJ32153" s="201"/>
    </row>
    <row r="32154" spans="62:62" x14ac:dyDescent="0.2">
      <c r="BJ32154" s="201"/>
    </row>
    <row r="32155" spans="62:62" x14ac:dyDescent="0.2">
      <c r="BJ32155" s="201"/>
    </row>
    <row r="32156" spans="62:62" x14ac:dyDescent="0.2">
      <c r="BJ32156" s="201"/>
    </row>
    <row r="32157" spans="62:62" x14ac:dyDescent="0.2">
      <c r="BJ32157" s="201"/>
    </row>
    <row r="32158" spans="62:62" x14ac:dyDescent="0.2">
      <c r="BJ32158" s="201"/>
    </row>
    <row r="32159" spans="62:62" x14ac:dyDescent="0.2">
      <c r="BJ32159" s="201"/>
    </row>
    <row r="32160" spans="62:62" x14ac:dyDescent="0.2">
      <c r="BJ32160" s="201"/>
    </row>
    <row r="32161" spans="62:62" x14ac:dyDescent="0.2">
      <c r="BJ32161" s="201"/>
    </row>
    <row r="32162" spans="62:62" x14ac:dyDescent="0.2">
      <c r="BJ32162" s="201"/>
    </row>
    <row r="32163" spans="62:62" x14ac:dyDescent="0.2">
      <c r="BJ32163" s="201"/>
    </row>
    <row r="32164" spans="62:62" x14ac:dyDescent="0.2">
      <c r="BJ32164" s="201"/>
    </row>
    <row r="32165" spans="62:62" x14ac:dyDescent="0.2">
      <c r="BJ32165" s="201"/>
    </row>
    <row r="32166" spans="62:62" x14ac:dyDescent="0.2">
      <c r="BJ32166" s="201"/>
    </row>
    <row r="32167" spans="62:62" x14ac:dyDescent="0.2">
      <c r="BJ32167" s="201"/>
    </row>
    <row r="32168" spans="62:62" x14ac:dyDescent="0.2">
      <c r="BJ32168" s="201"/>
    </row>
    <row r="32169" spans="62:62" x14ac:dyDescent="0.2">
      <c r="BJ32169" s="201"/>
    </row>
    <row r="32170" spans="62:62" x14ac:dyDescent="0.2">
      <c r="BJ32170" s="201"/>
    </row>
    <row r="32171" spans="62:62" x14ac:dyDescent="0.2">
      <c r="BJ32171" s="201"/>
    </row>
    <row r="32172" spans="62:62" x14ac:dyDescent="0.2">
      <c r="BJ32172" s="201"/>
    </row>
    <row r="32173" spans="62:62" x14ac:dyDescent="0.2">
      <c r="BJ32173" s="201"/>
    </row>
    <row r="32174" spans="62:62" x14ac:dyDescent="0.2">
      <c r="BJ32174" s="201"/>
    </row>
    <row r="32175" spans="62:62" x14ac:dyDescent="0.2">
      <c r="BJ32175" s="201"/>
    </row>
    <row r="32176" spans="62:62" x14ac:dyDescent="0.2">
      <c r="BJ32176" s="201"/>
    </row>
    <row r="32177" spans="62:62" x14ac:dyDescent="0.2">
      <c r="BJ32177" s="201"/>
    </row>
    <row r="32178" spans="62:62" x14ac:dyDescent="0.2">
      <c r="BJ32178" s="201"/>
    </row>
    <row r="32179" spans="62:62" x14ac:dyDescent="0.2">
      <c r="BJ32179" s="201"/>
    </row>
    <row r="32180" spans="62:62" x14ac:dyDescent="0.2">
      <c r="BJ32180" s="201"/>
    </row>
    <row r="32181" spans="62:62" x14ac:dyDescent="0.2">
      <c r="BJ32181" s="201"/>
    </row>
    <row r="32182" spans="62:62" x14ac:dyDescent="0.2">
      <c r="BJ32182" s="201"/>
    </row>
    <row r="32183" spans="62:62" x14ac:dyDescent="0.2">
      <c r="BJ32183" s="201"/>
    </row>
    <row r="32184" spans="62:62" x14ac:dyDescent="0.2">
      <c r="BJ32184" s="201"/>
    </row>
    <row r="32185" spans="62:62" x14ac:dyDescent="0.2">
      <c r="BJ32185" s="201"/>
    </row>
    <row r="32186" spans="62:62" x14ac:dyDescent="0.2">
      <c r="BJ32186" s="201"/>
    </row>
    <row r="32187" spans="62:62" x14ac:dyDescent="0.2">
      <c r="BJ32187" s="201"/>
    </row>
    <row r="32188" spans="62:62" x14ac:dyDescent="0.2">
      <c r="BJ32188" s="201"/>
    </row>
    <row r="32189" spans="62:62" x14ac:dyDescent="0.2">
      <c r="BJ32189" s="201"/>
    </row>
    <row r="32190" spans="62:62" x14ac:dyDescent="0.2">
      <c r="BJ32190" s="201"/>
    </row>
    <row r="32191" spans="62:62" x14ac:dyDescent="0.2">
      <c r="BJ32191" s="201"/>
    </row>
    <row r="32192" spans="62:62" x14ac:dyDescent="0.2">
      <c r="BJ32192" s="201"/>
    </row>
    <row r="32193" spans="62:62" x14ac:dyDescent="0.2">
      <c r="BJ32193" s="201"/>
    </row>
    <row r="32194" spans="62:62" x14ac:dyDescent="0.2">
      <c r="BJ32194" s="201"/>
    </row>
    <row r="32195" spans="62:62" x14ac:dyDescent="0.2">
      <c r="BJ32195" s="201"/>
    </row>
    <row r="32196" spans="62:62" x14ac:dyDescent="0.2">
      <c r="BJ32196" s="201"/>
    </row>
    <row r="32197" spans="62:62" x14ac:dyDescent="0.2">
      <c r="BJ32197" s="201"/>
    </row>
    <row r="32198" spans="62:62" x14ac:dyDescent="0.2">
      <c r="BJ32198" s="201"/>
    </row>
    <row r="32199" spans="62:62" x14ac:dyDescent="0.2">
      <c r="BJ32199" s="201"/>
    </row>
    <row r="32200" spans="62:62" x14ac:dyDescent="0.2">
      <c r="BJ32200" s="201"/>
    </row>
    <row r="32201" spans="62:62" x14ac:dyDescent="0.2">
      <c r="BJ32201" s="201"/>
    </row>
    <row r="32202" spans="62:62" x14ac:dyDescent="0.2">
      <c r="BJ32202" s="201"/>
    </row>
    <row r="32203" spans="62:62" x14ac:dyDescent="0.2">
      <c r="BJ32203" s="201"/>
    </row>
    <row r="32204" spans="62:62" x14ac:dyDescent="0.2">
      <c r="BJ32204" s="201"/>
    </row>
    <row r="32205" spans="62:62" x14ac:dyDescent="0.2">
      <c r="BJ32205" s="201"/>
    </row>
    <row r="32206" spans="62:62" x14ac:dyDescent="0.2">
      <c r="BJ32206" s="201"/>
    </row>
    <row r="32207" spans="62:62" x14ac:dyDescent="0.2">
      <c r="BJ32207" s="201"/>
    </row>
    <row r="32208" spans="62:62" x14ac:dyDescent="0.2">
      <c r="BJ32208" s="201"/>
    </row>
    <row r="32209" spans="62:62" x14ac:dyDescent="0.2">
      <c r="BJ32209" s="201"/>
    </row>
    <row r="32210" spans="62:62" x14ac:dyDescent="0.2">
      <c r="BJ32210" s="201"/>
    </row>
    <row r="32211" spans="62:62" x14ac:dyDescent="0.2">
      <c r="BJ32211" s="201"/>
    </row>
    <row r="32212" spans="62:62" x14ac:dyDescent="0.2">
      <c r="BJ32212" s="201"/>
    </row>
    <row r="32213" spans="62:62" x14ac:dyDescent="0.2">
      <c r="BJ32213" s="201"/>
    </row>
    <row r="32214" spans="62:62" x14ac:dyDescent="0.2">
      <c r="BJ32214" s="201"/>
    </row>
    <row r="32215" spans="62:62" x14ac:dyDescent="0.2">
      <c r="BJ32215" s="201"/>
    </row>
    <row r="32216" spans="62:62" x14ac:dyDescent="0.2">
      <c r="BJ32216" s="201"/>
    </row>
    <row r="32217" spans="62:62" x14ac:dyDescent="0.2">
      <c r="BJ32217" s="201"/>
    </row>
    <row r="32218" spans="62:62" x14ac:dyDescent="0.2">
      <c r="BJ32218" s="201"/>
    </row>
    <row r="32219" spans="62:62" x14ac:dyDescent="0.2">
      <c r="BJ32219" s="201"/>
    </row>
    <row r="32220" spans="62:62" x14ac:dyDescent="0.2">
      <c r="BJ32220" s="201"/>
    </row>
    <row r="32221" spans="62:62" x14ac:dyDescent="0.2">
      <c r="BJ32221" s="201"/>
    </row>
    <row r="32222" spans="62:62" x14ac:dyDescent="0.2">
      <c r="BJ32222" s="201"/>
    </row>
    <row r="32223" spans="62:62" x14ac:dyDescent="0.2">
      <c r="BJ32223" s="201"/>
    </row>
    <row r="32224" spans="62:62" x14ac:dyDescent="0.2">
      <c r="BJ32224" s="201"/>
    </row>
    <row r="32225" spans="62:62" x14ac:dyDescent="0.2">
      <c r="BJ32225" s="201"/>
    </row>
    <row r="32226" spans="62:62" x14ac:dyDescent="0.2">
      <c r="BJ32226" s="201"/>
    </row>
    <row r="32227" spans="62:62" x14ac:dyDescent="0.2">
      <c r="BJ32227" s="201"/>
    </row>
    <row r="32228" spans="62:62" x14ac:dyDescent="0.2">
      <c r="BJ32228" s="201"/>
    </row>
    <row r="32229" spans="62:62" x14ac:dyDescent="0.2">
      <c r="BJ32229" s="201"/>
    </row>
    <row r="32230" spans="62:62" x14ac:dyDescent="0.2">
      <c r="BJ32230" s="201"/>
    </row>
    <row r="32231" spans="62:62" x14ac:dyDescent="0.2">
      <c r="BJ32231" s="201"/>
    </row>
    <row r="32232" spans="62:62" x14ac:dyDescent="0.2">
      <c r="BJ32232" s="201"/>
    </row>
    <row r="32233" spans="62:62" x14ac:dyDescent="0.2">
      <c r="BJ32233" s="201"/>
    </row>
    <row r="32234" spans="62:62" x14ac:dyDescent="0.2">
      <c r="BJ32234" s="201"/>
    </row>
    <row r="32235" spans="62:62" x14ac:dyDescent="0.2">
      <c r="BJ32235" s="201"/>
    </row>
    <row r="32236" spans="62:62" x14ac:dyDescent="0.2">
      <c r="BJ32236" s="201"/>
    </row>
    <row r="32237" spans="62:62" x14ac:dyDescent="0.2">
      <c r="BJ32237" s="201"/>
    </row>
    <row r="32238" spans="62:62" x14ac:dyDescent="0.2">
      <c r="BJ32238" s="201"/>
    </row>
    <row r="32239" spans="62:62" x14ac:dyDescent="0.2">
      <c r="BJ32239" s="201"/>
    </row>
    <row r="32240" spans="62:62" x14ac:dyDescent="0.2">
      <c r="BJ32240" s="201"/>
    </row>
    <row r="32241" spans="62:62" x14ac:dyDescent="0.2">
      <c r="BJ32241" s="201"/>
    </row>
    <row r="32242" spans="62:62" x14ac:dyDescent="0.2">
      <c r="BJ32242" s="201"/>
    </row>
    <row r="32243" spans="62:62" x14ac:dyDescent="0.2">
      <c r="BJ32243" s="201"/>
    </row>
    <row r="32244" spans="62:62" x14ac:dyDescent="0.2">
      <c r="BJ32244" s="201"/>
    </row>
    <row r="32245" spans="62:62" x14ac:dyDescent="0.2">
      <c r="BJ32245" s="201"/>
    </row>
    <row r="32246" spans="62:62" x14ac:dyDescent="0.2">
      <c r="BJ32246" s="201"/>
    </row>
    <row r="32247" spans="62:62" x14ac:dyDescent="0.2">
      <c r="BJ32247" s="201"/>
    </row>
    <row r="32248" spans="62:62" x14ac:dyDescent="0.2">
      <c r="BJ32248" s="201"/>
    </row>
    <row r="32249" spans="62:62" x14ac:dyDescent="0.2">
      <c r="BJ32249" s="201"/>
    </row>
    <row r="32250" spans="62:62" x14ac:dyDescent="0.2">
      <c r="BJ32250" s="201"/>
    </row>
    <row r="32251" spans="62:62" x14ac:dyDescent="0.2">
      <c r="BJ32251" s="201"/>
    </row>
    <row r="32252" spans="62:62" x14ac:dyDescent="0.2">
      <c r="BJ32252" s="201"/>
    </row>
    <row r="32253" spans="62:62" x14ac:dyDescent="0.2">
      <c r="BJ32253" s="201"/>
    </row>
    <row r="32254" spans="62:62" x14ac:dyDescent="0.2">
      <c r="BJ32254" s="201"/>
    </row>
    <row r="32255" spans="62:62" x14ac:dyDescent="0.2">
      <c r="BJ32255" s="201"/>
    </row>
    <row r="32256" spans="62:62" x14ac:dyDescent="0.2">
      <c r="BJ32256" s="201"/>
    </row>
    <row r="32257" spans="62:62" x14ac:dyDescent="0.2">
      <c r="BJ32257" s="201"/>
    </row>
    <row r="32258" spans="62:62" x14ac:dyDescent="0.2">
      <c r="BJ32258" s="201"/>
    </row>
    <row r="32259" spans="62:62" x14ac:dyDescent="0.2">
      <c r="BJ32259" s="201"/>
    </row>
    <row r="32260" spans="62:62" x14ac:dyDescent="0.2">
      <c r="BJ32260" s="201"/>
    </row>
    <row r="32261" spans="62:62" x14ac:dyDescent="0.2">
      <c r="BJ32261" s="201"/>
    </row>
    <row r="32262" spans="62:62" x14ac:dyDescent="0.2">
      <c r="BJ32262" s="201"/>
    </row>
    <row r="32263" spans="62:62" x14ac:dyDescent="0.2">
      <c r="BJ32263" s="201"/>
    </row>
    <row r="32264" spans="62:62" x14ac:dyDescent="0.2">
      <c r="BJ32264" s="201"/>
    </row>
    <row r="32265" spans="62:62" x14ac:dyDescent="0.2">
      <c r="BJ32265" s="201"/>
    </row>
    <row r="32266" spans="62:62" x14ac:dyDescent="0.2">
      <c r="BJ32266" s="201"/>
    </row>
    <row r="32267" spans="62:62" x14ac:dyDescent="0.2">
      <c r="BJ32267" s="201"/>
    </row>
    <row r="32268" spans="62:62" x14ac:dyDescent="0.2">
      <c r="BJ32268" s="201"/>
    </row>
    <row r="32269" spans="62:62" x14ac:dyDescent="0.2">
      <c r="BJ32269" s="201"/>
    </row>
    <row r="32270" spans="62:62" x14ac:dyDescent="0.2">
      <c r="BJ32270" s="201"/>
    </row>
    <row r="32271" spans="62:62" x14ac:dyDescent="0.2">
      <c r="BJ32271" s="201"/>
    </row>
    <row r="32272" spans="62:62" x14ac:dyDescent="0.2">
      <c r="BJ32272" s="201"/>
    </row>
    <row r="32273" spans="62:62" x14ac:dyDescent="0.2">
      <c r="BJ32273" s="201"/>
    </row>
    <row r="32274" spans="62:62" x14ac:dyDescent="0.2">
      <c r="BJ32274" s="201"/>
    </row>
    <row r="32275" spans="62:62" x14ac:dyDescent="0.2">
      <c r="BJ32275" s="201"/>
    </row>
    <row r="32276" spans="62:62" x14ac:dyDescent="0.2">
      <c r="BJ32276" s="201"/>
    </row>
    <row r="32277" spans="62:62" x14ac:dyDescent="0.2">
      <c r="BJ32277" s="201"/>
    </row>
    <row r="32278" spans="62:62" x14ac:dyDescent="0.2">
      <c r="BJ32278" s="201"/>
    </row>
    <row r="32279" spans="62:62" x14ac:dyDescent="0.2">
      <c r="BJ32279" s="201"/>
    </row>
    <row r="32280" spans="62:62" x14ac:dyDescent="0.2">
      <c r="BJ32280" s="201"/>
    </row>
    <row r="32281" spans="62:62" x14ac:dyDescent="0.2">
      <c r="BJ32281" s="201"/>
    </row>
    <row r="32282" spans="62:62" x14ac:dyDescent="0.2">
      <c r="BJ32282" s="201"/>
    </row>
    <row r="32283" spans="62:62" x14ac:dyDescent="0.2">
      <c r="BJ32283" s="201"/>
    </row>
    <row r="32284" spans="62:62" x14ac:dyDescent="0.2">
      <c r="BJ32284" s="201"/>
    </row>
    <row r="32285" spans="62:62" x14ac:dyDescent="0.2">
      <c r="BJ32285" s="201"/>
    </row>
    <row r="32286" spans="62:62" x14ac:dyDescent="0.2">
      <c r="BJ32286" s="201"/>
    </row>
    <row r="32287" spans="62:62" x14ac:dyDescent="0.2">
      <c r="BJ32287" s="201"/>
    </row>
    <row r="32288" spans="62:62" x14ac:dyDescent="0.2">
      <c r="BJ32288" s="201"/>
    </row>
    <row r="32289" spans="62:62" x14ac:dyDescent="0.2">
      <c r="BJ32289" s="201"/>
    </row>
    <row r="32290" spans="62:62" x14ac:dyDescent="0.2">
      <c r="BJ32290" s="201"/>
    </row>
    <row r="32291" spans="62:62" x14ac:dyDescent="0.2">
      <c r="BJ32291" s="201"/>
    </row>
    <row r="32292" spans="62:62" x14ac:dyDescent="0.2">
      <c r="BJ32292" s="201"/>
    </row>
    <row r="32293" spans="62:62" x14ac:dyDescent="0.2">
      <c r="BJ32293" s="201"/>
    </row>
    <row r="32294" spans="62:62" x14ac:dyDescent="0.2">
      <c r="BJ32294" s="201"/>
    </row>
    <row r="32295" spans="62:62" x14ac:dyDescent="0.2">
      <c r="BJ32295" s="201"/>
    </row>
    <row r="32296" spans="62:62" x14ac:dyDescent="0.2">
      <c r="BJ32296" s="201"/>
    </row>
    <row r="32297" spans="62:62" x14ac:dyDescent="0.2">
      <c r="BJ32297" s="201"/>
    </row>
    <row r="32298" spans="62:62" x14ac:dyDescent="0.2">
      <c r="BJ32298" s="201"/>
    </row>
    <row r="32299" spans="62:62" x14ac:dyDescent="0.2">
      <c r="BJ32299" s="201"/>
    </row>
    <row r="32300" spans="62:62" x14ac:dyDescent="0.2">
      <c r="BJ32300" s="201"/>
    </row>
    <row r="32301" spans="62:62" x14ac:dyDescent="0.2">
      <c r="BJ32301" s="201"/>
    </row>
    <row r="32302" spans="62:62" x14ac:dyDescent="0.2">
      <c r="BJ32302" s="201"/>
    </row>
    <row r="32303" spans="62:62" x14ac:dyDescent="0.2">
      <c r="BJ32303" s="201"/>
    </row>
    <row r="32304" spans="62:62" x14ac:dyDescent="0.2">
      <c r="BJ32304" s="201"/>
    </row>
    <row r="32305" spans="62:62" x14ac:dyDescent="0.2">
      <c r="BJ32305" s="201"/>
    </row>
    <row r="32306" spans="62:62" x14ac:dyDescent="0.2">
      <c r="BJ32306" s="201"/>
    </row>
    <row r="32307" spans="62:62" x14ac:dyDescent="0.2">
      <c r="BJ32307" s="201"/>
    </row>
    <row r="32308" spans="62:62" x14ac:dyDescent="0.2">
      <c r="BJ32308" s="201"/>
    </row>
    <row r="32309" spans="62:62" x14ac:dyDescent="0.2">
      <c r="BJ32309" s="201"/>
    </row>
    <row r="32310" spans="62:62" x14ac:dyDescent="0.2">
      <c r="BJ32310" s="201"/>
    </row>
    <row r="32311" spans="62:62" x14ac:dyDescent="0.2">
      <c r="BJ32311" s="201"/>
    </row>
    <row r="32312" spans="62:62" x14ac:dyDescent="0.2">
      <c r="BJ32312" s="201"/>
    </row>
    <row r="32313" spans="62:62" x14ac:dyDescent="0.2">
      <c r="BJ32313" s="201"/>
    </row>
    <row r="32314" spans="62:62" x14ac:dyDescent="0.2">
      <c r="BJ32314" s="201"/>
    </row>
    <row r="32315" spans="62:62" x14ac:dyDescent="0.2">
      <c r="BJ32315" s="201"/>
    </row>
    <row r="32316" spans="62:62" x14ac:dyDescent="0.2">
      <c r="BJ32316" s="201"/>
    </row>
    <row r="32317" spans="62:62" x14ac:dyDescent="0.2">
      <c r="BJ32317" s="201"/>
    </row>
    <row r="32318" spans="62:62" x14ac:dyDescent="0.2">
      <c r="BJ32318" s="201"/>
    </row>
    <row r="32319" spans="62:62" x14ac:dyDescent="0.2">
      <c r="BJ32319" s="201"/>
    </row>
    <row r="32320" spans="62:62" x14ac:dyDescent="0.2">
      <c r="BJ32320" s="201"/>
    </row>
    <row r="32321" spans="62:62" x14ac:dyDescent="0.2">
      <c r="BJ32321" s="201"/>
    </row>
    <row r="32322" spans="62:62" x14ac:dyDescent="0.2">
      <c r="BJ32322" s="201"/>
    </row>
    <row r="32323" spans="62:62" x14ac:dyDescent="0.2">
      <c r="BJ32323" s="201"/>
    </row>
    <row r="32324" spans="62:62" x14ac:dyDescent="0.2">
      <c r="BJ32324" s="201"/>
    </row>
    <row r="32325" spans="62:62" x14ac:dyDescent="0.2">
      <c r="BJ32325" s="201"/>
    </row>
    <row r="32326" spans="62:62" x14ac:dyDescent="0.2">
      <c r="BJ32326" s="201"/>
    </row>
    <row r="32327" spans="62:62" x14ac:dyDescent="0.2">
      <c r="BJ32327" s="201"/>
    </row>
    <row r="32328" spans="62:62" x14ac:dyDescent="0.2">
      <c r="BJ32328" s="201"/>
    </row>
    <row r="32329" spans="62:62" x14ac:dyDescent="0.2">
      <c r="BJ32329" s="201"/>
    </row>
    <row r="32330" spans="62:62" x14ac:dyDescent="0.2">
      <c r="BJ32330" s="201"/>
    </row>
    <row r="32331" spans="62:62" x14ac:dyDescent="0.2">
      <c r="BJ32331" s="201"/>
    </row>
    <row r="32332" spans="62:62" x14ac:dyDescent="0.2">
      <c r="BJ32332" s="201"/>
    </row>
    <row r="32333" spans="62:62" x14ac:dyDescent="0.2">
      <c r="BJ32333" s="201"/>
    </row>
    <row r="32334" spans="62:62" x14ac:dyDescent="0.2">
      <c r="BJ32334" s="201"/>
    </row>
    <row r="32335" spans="62:62" x14ac:dyDescent="0.2">
      <c r="BJ32335" s="201"/>
    </row>
    <row r="32336" spans="62:62" x14ac:dyDescent="0.2">
      <c r="BJ32336" s="201"/>
    </row>
    <row r="32337" spans="62:62" x14ac:dyDescent="0.2">
      <c r="BJ32337" s="201"/>
    </row>
    <row r="32338" spans="62:62" x14ac:dyDescent="0.2">
      <c r="BJ32338" s="201"/>
    </row>
    <row r="32339" spans="62:62" x14ac:dyDescent="0.2">
      <c r="BJ32339" s="201"/>
    </row>
    <row r="32340" spans="62:62" x14ac:dyDescent="0.2">
      <c r="BJ32340" s="201"/>
    </row>
    <row r="32341" spans="62:62" x14ac:dyDescent="0.2">
      <c r="BJ32341" s="201"/>
    </row>
    <row r="32342" spans="62:62" x14ac:dyDescent="0.2">
      <c r="BJ32342" s="201"/>
    </row>
    <row r="32343" spans="62:62" x14ac:dyDescent="0.2">
      <c r="BJ32343" s="201"/>
    </row>
    <row r="32344" spans="62:62" x14ac:dyDescent="0.2">
      <c r="BJ32344" s="201"/>
    </row>
    <row r="32345" spans="62:62" x14ac:dyDescent="0.2">
      <c r="BJ32345" s="201"/>
    </row>
    <row r="32346" spans="62:62" x14ac:dyDescent="0.2">
      <c r="BJ32346" s="201"/>
    </row>
    <row r="32347" spans="62:62" x14ac:dyDescent="0.2">
      <c r="BJ32347" s="201"/>
    </row>
    <row r="32348" spans="62:62" x14ac:dyDescent="0.2">
      <c r="BJ32348" s="201"/>
    </row>
    <row r="32349" spans="62:62" x14ac:dyDescent="0.2">
      <c r="BJ32349" s="201"/>
    </row>
    <row r="32350" spans="62:62" x14ac:dyDescent="0.2">
      <c r="BJ32350" s="201"/>
    </row>
    <row r="32351" spans="62:62" x14ac:dyDescent="0.2">
      <c r="BJ32351" s="201"/>
    </row>
    <row r="32352" spans="62:62" x14ac:dyDescent="0.2">
      <c r="BJ32352" s="201"/>
    </row>
    <row r="32353" spans="62:62" x14ac:dyDescent="0.2">
      <c r="BJ32353" s="201"/>
    </row>
    <row r="32354" spans="62:62" x14ac:dyDescent="0.2">
      <c r="BJ32354" s="201"/>
    </row>
    <row r="32355" spans="62:62" x14ac:dyDescent="0.2">
      <c r="BJ32355" s="201"/>
    </row>
    <row r="32356" spans="62:62" x14ac:dyDescent="0.2">
      <c r="BJ32356" s="201"/>
    </row>
    <row r="32357" spans="62:62" x14ac:dyDescent="0.2">
      <c r="BJ32357" s="201"/>
    </row>
    <row r="32358" spans="62:62" x14ac:dyDescent="0.2">
      <c r="BJ32358" s="201"/>
    </row>
    <row r="32359" spans="62:62" x14ac:dyDescent="0.2">
      <c r="BJ32359" s="201"/>
    </row>
    <row r="32360" spans="62:62" x14ac:dyDescent="0.2">
      <c r="BJ32360" s="201"/>
    </row>
    <row r="32361" spans="62:62" x14ac:dyDescent="0.2">
      <c r="BJ32361" s="201"/>
    </row>
    <row r="32362" spans="62:62" x14ac:dyDescent="0.2">
      <c r="BJ32362" s="201"/>
    </row>
    <row r="32363" spans="62:62" x14ac:dyDescent="0.2">
      <c r="BJ32363" s="201"/>
    </row>
    <row r="32364" spans="62:62" x14ac:dyDescent="0.2">
      <c r="BJ32364" s="201"/>
    </row>
    <row r="32365" spans="62:62" x14ac:dyDescent="0.2">
      <c r="BJ32365" s="201"/>
    </row>
    <row r="32366" spans="62:62" x14ac:dyDescent="0.2">
      <c r="BJ32366" s="201"/>
    </row>
    <row r="32367" spans="62:62" x14ac:dyDescent="0.2">
      <c r="BJ32367" s="201"/>
    </row>
    <row r="32368" spans="62:62" x14ac:dyDescent="0.2">
      <c r="BJ32368" s="201"/>
    </row>
    <row r="32369" spans="62:62" x14ac:dyDescent="0.2">
      <c r="BJ32369" s="201"/>
    </row>
    <row r="32370" spans="62:62" x14ac:dyDescent="0.2">
      <c r="BJ32370" s="201"/>
    </row>
    <row r="32371" spans="62:62" x14ac:dyDescent="0.2">
      <c r="BJ32371" s="201"/>
    </row>
    <row r="32372" spans="62:62" x14ac:dyDescent="0.2">
      <c r="BJ32372" s="201"/>
    </row>
    <row r="32373" spans="62:62" x14ac:dyDescent="0.2">
      <c r="BJ32373" s="201"/>
    </row>
    <row r="32374" spans="62:62" x14ac:dyDescent="0.2">
      <c r="BJ32374" s="201"/>
    </row>
    <row r="32375" spans="62:62" x14ac:dyDescent="0.2">
      <c r="BJ32375" s="201"/>
    </row>
    <row r="32376" spans="62:62" x14ac:dyDescent="0.2">
      <c r="BJ32376" s="201"/>
    </row>
    <row r="32377" spans="62:62" x14ac:dyDescent="0.2">
      <c r="BJ32377" s="201"/>
    </row>
    <row r="32378" spans="62:62" x14ac:dyDescent="0.2">
      <c r="BJ32378" s="201"/>
    </row>
    <row r="32379" spans="62:62" x14ac:dyDescent="0.2">
      <c r="BJ32379" s="201"/>
    </row>
    <row r="32380" spans="62:62" x14ac:dyDescent="0.2">
      <c r="BJ32380" s="201"/>
    </row>
    <row r="32381" spans="62:62" x14ac:dyDescent="0.2">
      <c r="BJ32381" s="201"/>
    </row>
    <row r="32382" spans="62:62" x14ac:dyDescent="0.2">
      <c r="BJ32382" s="201"/>
    </row>
    <row r="32383" spans="62:62" x14ac:dyDescent="0.2">
      <c r="BJ32383" s="201"/>
    </row>
    <row r="32384" spans="62:62" x14ac:dyDescent="0.2">
      <c r="BJ32384" s="201"/>
    </row>
    <row r="32385" spans="62:62" x14ac:dyDescent="0.2">
      <c r="BJ32385" s="201"/>
    </row>
    <row r="32386" spans="62:62" x14ac:dyDescent="0.2">
      <c r="BJ32386" s="201"/>
    </row>
    <row r="32387" spans="62:62" x14ac:dyDescent="0.2">
      <c r="BJ32387" s="201"/>
    </row>
    <row r="32388" spans="62:62" x14ac:dyDescent="0.2">
      <c r="BJ32388" s="201"/>
    </row>
    <row r="32389" spans="62:62" x14ac:dyDescent="0.2">
      <c r="BJ32389" s="201"/>
    </row>
    <row r="32390" spans="62:62" x14ac:dyDescent="0.2">
      <c r="BJ32390" s="201"/>
    </row>
    <row r="32391" spans="62:62" x14ac:dyDescent="0.2">
      <c r="BJ32391" s="201"/>
    </row>
    <row r="32392" spans="62:62" x14ac:dyDescent="0.2">
      <c r="BJ32392" s="201"/>
    </row>
    <row r="32393" spans="62:62" x14ac:dyDescent="0.2">
      <c r="BJ32393" s="201"/>
    </row>
    <row r="32394" spans="62:62" x14ac:dyDescent="0.2">
      <c r="BJ32394" s="201"/>
    </row>
    <row r="32395" spans="62:62" x14ac:dyDescent="0.2">
      <c r="BJ32395" s="201"/>
    </row>
    <row r="32396" spans="62:62" x14ac:dyDescent="0.2">
      <c r="BJ32396" s="201"/>
    </row>
    <row r="32397" spans="62:62" x14ac:dyDescent="0.2">
      <c r="BJ32397" s="201"/>
    </row>
    <row r="32398" spans="62:62" x14ac:dyDescent="0.2">
      <c r="BJ32398" s="201"/>
    </row>
    <row r="32399" spans="62:62" x14ac:dyDescent="0.2">
      <c r="BJ32399" s="201"/>
    </row>
    <row r="32400" spans="62:62" x14ac:dyDescent="0.2">
      <c r="BJ32400" s="201"/>
    </row>
    <row r="32401" spans="62:62" x14ac:dyDescent="0.2">
      <c r="BJ32401" s="201"/>
    </row>
    <row r="32402" spans="62:62" x14ac:dyDescent="0.2">
      <c r="BJ32402" s="201"/>
    </row>
    <row r="32403" spans="62:62" x14ac:dyDescent="0.2">
      <c r="BJ32403" s="201"/>
    </row>
    <row r="32404" spans="62:62" x14ac:dyDescent="0.2">
      <c r="BJ32404" s="201"/>
    </row>
    <row r="32405" spans="62:62" x14ac:dyDescent="0.2">
      <c r="BJ32405" s="201"/>
    </row>
    <row r="32406" spans="62:62" x14ac:dyDescent="0.2">
      <c r="BJ32406" s="201"/>
    </row>
    <row r="32407" spans="62:62" x14ac:dyDescent="0.2">
      <c r="BJ32407" s="201"/>
    </row>
    <row r="32408" spans="62:62" x14ac:dyDescent="0.2">
      <c r="BJ32408" s="201"/>
    </row>
    <row r="32409" spans="62:62" x14ac:dyDescent="0.2">
      <c r="BJ32409" s="201"/>
    </row>
    <row r="32410" spans="62:62" x14ac:dyDescent="0.2">
      <c r="BJ32410" s="201"/>
    </row>
    <row r="32411" spans="62:62" x14ac:dyDescent="0.2">
      <c r="BJ32411" s="201"/>
    </row>
    <row r="32412" spans="62:62" x14ac:dyDescent="0.2">
      <c r="BJ32412" s="201"/>
    </row>
    <row r="32413" spans="62:62" x14ac:dyDescent="0.2">
      <c r="BJ32413" s="201"/>
    </row>
    <row r="32414" spans="62:62" x14ac:dyDescent="0.2">
      <c r="BJ32414" s="201"/>
    </row>
    <row r="32415" spans="62:62" x14ac:dyDescent="0.2">
      <c r="BJ32415" s="201"/>
    </row>
    <row r="32416" spans="62:62" x14ac:dyDescent="0.2">
      <c r="BJ32416" s="201"/>
    </row>
    <row r="32417" spans="62:62" x14ac:dyDescent="0.2">
      <c r="BJ32417" s="201"/>
    </row>
    <row r="32418" spans="62:62" x14ac:dyDescent="0.2">
      <c r="BJ32418" s="201"/>
    </row>
    <row r="32419" spans="62:62" x14ac:dyDescent="0.2">
      <c r="BJ32419" s="201"/>
    </row>
    <row r="32420" spans="62:62" x14ac:dyDescent="0.2">
      <c r="BJ32420" s="201"/>
    </row>
    <row r="32421" spans="62:62" x14ac:dyDescent="0.2">
      <c r="BJ32421" s="201"/>
    </row>
    <row r="32422" spans="62:62" x14ac:dyDescent="0.2">
      <c r="BJ32422" s="201"/>
    </row>
    <row r="32423" spans="62:62" x14ac:dyDescent="0.2">
      <c r="BJ32423" s="201"/>
    </row>
    <row r="32424" spans="62:62" x14ac:dyDescent="0.2">
      <c r="BJ32424" s="201"/>
    </row>
    <row r="32425" spans="62:62" x14ac:dyDescent="0.2">
      <c r="BJ32425" s="201"/>
    </row>
    <row r="32426" spans="62:62" x14ac:dyDescent="0.2">
      <c r="BJ32426" s="201"/>
    </row>
    <row r="32427" spans="62:62" x14ac:dyDescent="0.2">
      <c r="BJ32427" s="201"/>
    </row>
    <row r="32428" spans="62:62" x14ac:dyDescent="0.2">
      <c r="BJ32428" s="201"/>
    </row>
    <row r="32429" spans="62:62" x14ac:dyDescent="0.2">
      <c r="BJ32429" s="201"/>
    </row>
    <row r="32430" spans="62:62" x14ac:dyDescent="0.2">
      <c r="BJ32430" s="201"/>
    </row>
    <row r="32431" spans="62:62" x14ac:dyDescent="0.2">
      <c r="BJ32431" s="201"/>
    </row>
    <row r="32432" spans="62:62" x14ac:dyDescent="0.2">
      <c r="BJ32432" s="201"/>
    </row>
    <row r="32433" spans="62:62" x14ac:dyDescent="0.2">
      <c r="BJ32433" s="201"/>
    </row>
    <row r="32434" spans="62:62" x14ac:dyDescent="0.2">
      <c r="BJ32434" s="201"/>
    </row>
    <row r="32435" spans="62:62" x14ac:dyDescent="0.2">
      <c r="BJ32435" s="201"/>
    </row>
    <row r="32436" spans="62:62" x14ac:dyDescent="0.2">
      <c r="BJ32436" s="201"/>
    </row>
    <row r="32437" spans="62:62" x14ac:dyDescent="0.2">
      <c r="BJ32437" s="201"/>
    </row>
    <row r="32438" spans="62:62" x14ac:dyDescent="0.2">
      <c r="BJ32438" s="201"/>
    </row>
    <row r="32439" spans="62:62" x14ac:dyDescent="0.2">
      <c r="BJ32439" s="201"/>
    </row>
    <row r="32440" spans="62:62" x14ac:dyDescent="0.2">
      <c r="BJ32440" s="201"/>
    </row>
    <row r="32441" spans="62:62" x14ac:dyDescent="0.2">
      <c r="BJ32441" s="201"/>
    </row>
    <row r="32442" spans="62:62" x14ac:dyDescent="0.2">
      <c r="BJ32442" s="201"/>
    </row>
    <row r="32443" spans="62:62" x14ac:dyDescent="0.2">
      <c r="BJ32443" s="201"/>
    </row>
    <row r="32444" spans="62:62" x14ac:dyDescent="0.2">
      <c r="BJ32444" s="201"/>
    </row>
    <row r="32445" spans="62:62" x14ac:dyDescent="0.2">
      <c r="BJ32445" s="201"/>
    </row>
    <row r="32446" spans="62:62" x14ac:dyDescent="0.2">
      <c r="BJ32446" s="201"/>
    </row>
    <row r="32447" spans="62:62" x14ac:dyDescent="0.2">
      <c r="BJ32447" s="201"/>
    </row>
    <row r="32448" spans="62:62" x14ac:dyDescent="0.2">
      <c r="BJ32448" s="201"/>
    </row>
    <row r="32449" spans="62:62" x14ac:dyDescent="0.2">
      <c r="BJ32449" s="201"/>
    </row>
    <row r="32450" spans="62:62" x14ac:dyDescent="0.2">
      <c r="BJ32450" s="201"/>
    </row>
    <row r="32451" spans="62:62" x14ac:dyDescent="0.2">
      <c r="BJ32451" s="201"/>
    </row>
    <row r="32452" spans="62:62" x14ac:dyDescent="0.2">
      <c r="BJ32452" s="201"/>
    </row>
    <row r="32453" spans="62:62" x14ac:dyDescent="0.2">
      <c r="BJ32453" s="201"/>
    </row>
    <row r="32454" spans="62:62" x14ac:dyDescent="0.2">
      <c r="BJ32454" s="201"/>
    </row>
    <row r="32455" spans="62:62" x14ac:dyDescent="0.2">
      <c r="BJ32455" s="201"/>
    </row>
    <row r="32456" spans="62:62" x14ac:dyDescent="0.2">
      <c r="BJ32456" s="201"/>
    </row>
    <row r="32457" spans="62:62" x14ac:dyDescent="0.2">
      <c r="BJ32457" s="201"/>
    </row>
    <row r="32458" spans="62:62" x14ac:dyDescent="0.2">
      <c r="BJ32458" s="201"/>
    </row>
    <row r="32459" spans="62:62" x14ac:dyDescent="0.2">
      <c r="BJ32459" s="201"/>
    </row>
    <row r="32460" spans="62:62" x14ac:dyDescent="0.2">
      <c r="BJ32460" s="201"/>
    </row>
    <row r="32461" spans="62:62" x14ac:dyDescent="0.2">
      <c r="BJ32461" s="201"/>
    </row>
    <row r="32462" spans="62:62" x14ac:dyDescent="0.2">
      <c r="BJ32462" s="201"/>
    </row>
    <row r="32463" spans="62:62" x14ac:dyDescent="0.2">
      <c r="BJ32463" s="201"/>
    </row>
    <row r="32464" spans="62:62" x14ac:dyDescent="0.2">
      <c r="BJ32464" s="201"/>
    </row>
    <row r="32465" spans="62:62" x14ac:dyDescent="0.2">
      <c r="BJ32465" s="201"/>
    </row>
    <row r="32466" spans="62:62" x14ac:dyDescent="0.2">
      <c r="BJ32466" s="201"/>
    </row>
    <row r="32467" spans="62:62" x14ac:dyDescent="0.2">
      <c r="BJ32467" s="201"/>
    </row>
    <row r="32468" spans="62:62" x14ac:dyDescent="0.2">
      <c r="BJ32468" s="201"/>
    </row>
    <row r="32469" spans="62:62" x14ac:dyDescent="0.2">
      <c r="BJ32469" s="201"/>
    </row>
    <row r="32470" spans="62:62" x14ac:dyDescent="0.2">
      <c r="BJ32470" s="201"/>
    </row>
    <row r="32471" spans="62:62" x14ac:dyDescent="0.2">
      <c r="BJ32471" s="201"/>
    </row>
    <row r="32472" spans="62:62" x14ac:dyDescent="0.2">
      <c r="BJ32472" s="201"/>
    </row>
    <row r="32473" spans="62:62" x14ac:dyDescent="0.2">
      <c r="BJ32473" s="201"/>
    </row>
    <row r="32474" spans="62:62" x14ac:dyDescent="0.2">
      <c r="BJ32474" s="201"/>
    </row>
    <row r="32475" spans="62:62" x14ac:dyDescent="0.2">
      <c r="BJ32475" s="201"/>
    </row>
    <row r="32476" spans="62:62" x14ac:dyDescent="0.2">
      <c r="BJ32476" s="201"/>
    </row>
    <row r="32477" spans="62:62" x14ac:dyDescent="0.2">
      <c r="BJ32477" s="201"/>
    </row>
    <row r="32478" spans="62:62" x14ac:dyDescent="0.2">
      <c r="BJ32478" s="201"/>
    </row>
    <row r="32479" spans="62:62" x14ac:dyDescent="0.2">
      <c r="BJ32479" s="201"/>
    </row>
    <row r="32480" spans="62:62" x14ac:dyDescent="0.2">
      <c r="BJ32480" s="201"/>
    </row>
    <row r="32481" spans="62:62" x14ac:dyDescent="0.2">
      <c r="BJ32481" s="201"/>
    </row>
    <row r="32482" spans="62:62" x14ac:dyDescent="0.2">
      <c r="BJ32482" s="201"/>
    </row>
    <row r="32483" spans="62:62" x14ac:dyDescent="0.2">
      <c r="BJ32483" s="201"/>
    </row>
    <row r="32484" spans="62:62" x14ac:dyDescent="0.2">
      <c r="BJ32484" s="201"/>
    </row>
    <row r="32485" spans="62:62" x14ac:dyDescent="0.2">
      <c r="BJ32485" s="201"/>
    </row>
    <row r="32486" spans="62:62" x14ac:dyDescent="0.2">
      <c r="BJ32486" s="201"/>
    </row>
    <row r="32487" spans="62:62" x14ac:dyDescent="0.2">
      <c r="BJ32487" s="201"/>
    </row>
    <row r="32488" spans="62:62" x14ac:dyDescent="0.2">
      <c r="BJ32488" s="201"/>
    </row>
    <row r="32489" spans="62:62" x14ac:dyDescent="0.2">
      <c r="BJ32489" s="201"/>
    </row>
    <row r="32490" spans="62:62" x14ac:dyDescent="0.2">
      <c r="BJ32490" s="201"/>
    </row>
    <row r="32491" spans="62:62" x14ac:dyDescent="0.2">
      <c r="BJ32491" s="201"/>
    </row>
    <row r="32492" spans="62:62" x14ac:dyDescent="0.2">
      <c r="BJ32492" s="201"/>
    </row>
    <row r="32493" spans="62:62" x14ac:dyDescent="0.2">
      <c r="BJ32493" s="201"/>
    </row>
    <row r="32494" spans="62:62" x14ac:dyDescent="0.2">
      <c r="BJ32494" s="201"/>
    </row>
    <row r="32495" spans="62:62" x14ac:dyDescent="0.2">
      <c r="BJ32495" s="201"/>
    </row>
    <row r="32496" spans="62:62" x14ac:dyDescent="0.2">
      <c r="BJ32496" s="201"/>
    </row>
    <row r="32497" spans="62:62" x14ac:dyDescent="0.2">
      <c r="BJ32497" s="201"/>
    </row>
    <row r="32498" spans="62:62" x14ac:dyDescent="0.2">
      <c r="BJ32498" s="201"/>
    </row>
    <row r="32499" spans="62:62" x14ac:dyDescent="0.2">
      <c r="BJ32499" s="201"/>
    </row>
    <row r="32500" spans="62:62" x14ac:dyDescent="0.2">
      <c r="BJ32500" s="201"/>
    </row>
    <row r="32501" spans="62:62" x14ac:dyDescent="0.2">
      <c r="BJ32501" s="201"/>
    </row>
    <row r="32502" spans="62:62" x14ac:dyDescent="0.2">
      <c r="BJ32502" s="201"/>
    </row>
    <row r="32503" spans="62:62" x14ac:dyDescent="0.2">
      <c r="BJ32503" s="201"/>
    </row>
    <row r="32504" spans="62:62" x14ac:dyDescent="0.2">
      <c r="BJ32504" s="201"/>
    </row>
    <row r="32505" spans="62:62" x14ac:dyDescent="0.2">
      <c r="BJ32505" s="201"/>
    </row>
    <row r="32506" spans="62:62" x14ac:dyDescent="0.2">
      <c r="BJ32506" s="201"/>
    </row>
    <row r="32507" spans="62:62" x14ac:dyDescent="0.2">
      <c r="BJ32507" s="201"/>
    </row>
    <row r="32508" spans="62:62" x14ac:dyDescent="0.2">
      <c r="BJ32508" s="201"/>
    </row>
    <row r="32509" spans="62:62" x14ac:dyDescent="0.2">
      <c r="BJ32509" s="201"/>
    </row>
    <row r="32510" spans="62:62" x14ac:dyDescent="0.2">
      <c r="BJ32510" s="201"/>
    </row>
    <row r="32511" spans="62:62" x14ac:dyDescent="0.2">
      <c r="BJ32511" s="201"/>
    </row>
    <row r="32512" spans="62:62" x14ac:dyDescent="0.2">
      <c r="BJ32512" s="201"/>
    </row>
    <row r="32513" spans="62:62" x14ac:dyDescent="0.2">
      <c r="BJ32513" s="201"/>
    </row>
    <row r="32514" spans="62:62" x14ac:dyDescent="0.2">
      <c r="BJ32514" s="201"/>
    </row>
    <row r="32515" spans="62:62" x14ac:dyDescent="0.2">
      <c r="BJ32515" s="201"/>
    </row>
    <row r="32516" spans="62:62" x14ac:dyDescent="0.2">
      <c r="BJ32516" s="201"/>
    </row>
    <row r="32517" spans="62:62" x14ac:dyDescent="0.2">
      <c r="BJ32517" s="201"/>
    </row>
    <row r="32518" spans="62:62" x14ac:dyDescent="0.2">
      <c r="BJ32518" s="201"/>
    </row>
    <row r="32519" spans="62:62" x14ac:dyDescent="0.2">
      <c r="BJ32519" s="201"/>
    </row>
    <row r="32520" spans="62:62" x14ac:dyDescent="0.2">
      <c r="BJ32520" s="201"/>
    </row>
    <row r="32521" spans="62:62" x14ac:dyDescent="0.2">
      <c r="BJ32521" s="201"/>
    </row>
    <row r="32522" spans="62:62" x14ac:dyDescent="0.2">
      <c r="BJ32522" s="201"/>
    </row>
    <row r="32523" spans="62:62" x14ac:dyDescent="0.2">
      <c r="BJ32523" s="201"/>
    </row>
    <row r="32524" spans="62:62" x14ac:dyDescent="0.2">
      <c r="BJ32524" s="201"/>
    </row>
    <row r="32525" spans="62:62" x14ac:dyDescent="0.2">
      <c r="BJ32525" s="201"/>
    </row>
    <row r="32526" spans="62:62" x14ac:dyDescent="0.2">
      <c r="BJ32526" s="201"/>
    </row>
    <row r="32527" spans="62:62" x14ac:dyDescent="0.2">
      <c r="BJ32527" s="201"/>
    </row>
    <row r="32528" spans="62:62" x14ac:dyDescent="0.2">
      <c r="BJ32528" s="201"/>
    </row>
    <row r="32529" spans="62:62" x14ac:dyDescent="0.2">
      <c r="BJ32529" s="201"/>
    </row>
    <row r="32530" spans="62:62" x14ac:dyDescent="0.2">
      <c r="BJ32530" s="201"/>
    </row>
    <row r="32531" spans="62:62" x14ac:dyDescent="0.2">
      <c r="BJ32531" s="201"/>
    </row>
    <row r="32532" spans="62:62" x14ac:dyDescent="0.2">
      <c r="BJ32532" s="201"/>
    </row>
    <row r="32533" spans="62:62" x14ac:dyDescent="0.2">
      <c r="BJ32533" s="201"/>
    </row>
    <row r="32534" spans="62:62" x14ac:dyDescent="0.2">
      <c r="BJ32534" s="201"/>
    </row>
    <row r="32535" spans="62:62" x14ac:dyDescent="0.2">
      <c r="BJ32535" s="201"/>
    </row>
    <row r="32536" spans="62:62" x14ac:dyDescent="0.2">
      <c r="BJ32536" s="201"/>
    </row>
    <row r="32537" spans="62:62" x14ac:dyDescent="0.2">
      <c r="BJ32537" s="201"/>
    </row>
    <row r="32538" spans="62:62" x14ac:dyDescent="0.2">
      <c r="BJ32538" s="201"/>
    </row>
    <row r="32539" spans="62:62" x14ac:dyDescent="0.2">
      <c r="BJ32539" s="201"/>
    </row>
    <row r="32540" spans="62:62" x14ac:dyDescent="0.2">
      <c r="BJ32540" s="201"/>
    </row>
    <row r="32541" spans="62:62" x14ac:dyDescent="0.2">
      <c r="BJ32541" s="201"/>
    </row>
    <row r="32542" spans="62:62" x14ac:dyDescent="0.2">
      <c r="BJ32542" s="201"/>
    </row>
    <row r="32543" spans="62:62" x14ac:dyDescent="0.2">
      <c r="BJ32543" s="201"/>
    </row>
    <row r="32544" spans="62:62" x14ac:dyDescent="0.2">
      <c r="BJ32544" s="201"/>
    </row>
    <row r="32545" spans="62:62" x14ac:dyDescent="0.2">
      <c r="BJ32545" s="201"/>
    </row>
    <row r="32546" spans="62:62" x14ac:dyDescent="0.2">
      <c r="BJ32546" s="201"/>
    </row>
    <row r="32547" spans="62:62" x14ac:dyDescent="0.2">
      <c r="BJ32547" s="201"/>
    </row>
    <row r="32548" spans="62:62" x14ac:dyDescent="0.2">
      <c r="BJ32548" s="201"/>
    </row>
    <row r="32549" spans="62:62" x14ac:dyDescent="0.2">
      <c r="BJ32549" s="201"/>
    </row>
    <row r="32550" spans="62:62" x14ac:dyDescent="0.2">
      <c r="BJ32550" s="201"/>
    </row>
    <row r="32551" spans="62:62" x14ac:dyDescent="0.2">
      <c r="BJ32551" s="201"/>
    </row>
    <row r="32552" spans="62:62" x14ac:dyDescent="0.2">
      <c r="BJ32552" s="201"/>
    </row>
    <row r="32553" spans="62:62" x14ac:dyDescent="0.2">
      <c r="BJ32553" s="201"/>
    </row>
    <row r="32554" spans="62:62" x14ac:dyDescent="0.2">
      <c r="BJ32554" s="201"/>
    </row>
    <row r="32555" spans="62:62" x14ac:dyDescent="0.2">
      <c r="BJ32555" s="201"/>
    </row>
    <row r="32556" spans="62:62" x14ac:dyDescent="0.2">
      <c r="BJ32556" s="201"/>
    </row>
    <row r="32557" spans="62:62" x14ac:dyDescent="0.2">
      <c r="BJ32557" s="201"/>
    </row>
    <row r="32558" spans="62:62" x14ac:dyDescent="0.2">
      <c r="BJ32558" s="201"/>
    </row>
    <row r="32559" spans="62:62" x14ac:dyDescent="0.2">
      <c r="BJ32559" s="201"/>
    </row>
    <row r="32560" spans="62:62" x14ac:dyDescent="0.2">
      <c r="BJ32560" s="201"/>
    </row>
    <row r="32561" spans="62:62" x14ac:dyDescent="0.2">
      <c r="BJ32561" s="201"/>
    </row>
    <row r="32562" spans="62:62" x14ac:dyDescent="0.2">
      <c r="BJ32562" s="201"/>
    </row>
    <row r="32563" spans="62:62" x14ac:dyDescent="0.2">
      <c r="BJ32563" s="201"/>
    </row>
    <row r="32564" spans="62:62" x14ac:dyDescent="0.2">
      <c r="BJ32564" s="201"/>
    </row>
    <row r="32565" spans="62:62" x14ac:dyDescent="0.2">
      <c r="BJ32565" s="201"/>
    </row>
    <row r="32566" spans="62:62" x14ac:dyDescent="0.2">
      <c r="BJ32566" s="201"/>
    </row>
    <row r="32567" spans="62:62" x14ac:dyDescent="0.2">
      <c r="BJ32567" s="201"/>
    </row>
    <row r="32568" spans="62:62" x14ac:dyDescent="0.2">
      <c r="BJ32568" s="201"/>
    </row>
    <row r="32569" spans="62:62" x14ac:dyDescent="0.2">
      <c r="BJ32569" s="201"/>
    </row>
    <row r="32570" spans="62:62" x14ac:dyDescent="0.2">
      <c r="BJ32570" s="201"/>
    </row>
    <row r="32571" spans="62:62" x14ac:dyDescent="0.2">
      <c r="BJ32571" s="201"/>
    </row>
    <row r="32572" spans="62:62" x14ac:dyDescent="0.2">
      <c r="BJ32572" s="201"/>
    </row>
    <row r="32573" spans="62:62" x14ac:dyDescent="0.2">
      <c r="BJ32573" s="201"/>
    </row>
    <row r="32574" spans="62:62" x14ac:dyDescent="0.2">
      <c r="BJ32574" s="201"/>
    </row>
    <row r="32575" spans="62:62" x14ac:dyDescent="0.2">
      <c r="BJ32575" s="201"/>
    </row>
    <row r="32576" spans="62:62" x14ac:dyDescent="0.2">
      <c r="BJ32576" s="201"/>
    </row>
    <row r="32577" spans="62:62" x14ac:dyDescent="0.2">
      <c r="BJ32577" s="201"/>
    </row>
    <row r="32578" spans="62:62" x14ac:dyDescent="0.2">
      <c r="BJ32578" s="201"/>
    </row>
    <row r="32579" spans="62:62" x14ac:dyDescent="0.2">
      <c r="BJ32579" s="201"/>
    </row>
    <row r="32580" spans="62:62" x14ac:dyDescent="0.2">
      <c r="BJ32580" s="201"/>
    </row>
    <row r="32581" spans="62:62" x14ac:dyDescent="0.2">
      <c r="BJ32581" s="201"/>
    </row>
    <row r="32582" spans="62:62" x14ac:dyDescent="0.2">
      <c r="BJ32582" s="201"/>
    </row>
    <row r="32583" spans="62:62" x14ac:dyDescent="0.2">
      <c r="BJ32583" s="201"/>
    </row>
    <row r="32584" spans="62:62" x14ac:dyDescent="0.2">
      <c r="BJ32584" s="201"/>
    </row>
    <row r="32585" spans="62:62" x14ac:dyDescent="0.2">
      <c r="BJ32585" s="201"/>
    </row>
    <row r="32586" spans="62:62" x14ac:dyDescent="0.2">
      <c r="BJ32586" s="201"/>
    </row>
    <row r="32587" spans="62:62" x14ac:dyDescent="0.2">
      <c r="BJ32587" s="201"/>
    </row>
    <row r="32588" spans="62:62" x14ac:dyDescent="0.2">
      <c r="BJ32588" s="201"/>
    </row>
    <row r="32589" spans="62:62" x14ac:dyDescent="0.2">
      <c r="BJ32589" s="201"/>
    </row>
    <row r="32590" spans="62:62" x14ac:dyDescent="0.2">
      <c r="BJ32590" s="201"/>
    </row>
    <row r="32591" spans="62:62" x14ac:dyDescent="0.2">
      <c r="BJ32591" s="201"/>
    </row>
    <row r="32592" spans="62:62" x14ac:dyDescent="0.2">
      <c r="BJ32592" s="201"/>
    </row>
    <row r="32593" spans="62:62" x14ac:dyDescent="0.2">
      <c r="BJ32593" s="201"/>
    </row>
    <row r="32594" spans="62:62" x14ac:dyDescent="0.2">
      <c r="BJ32594" s="201"/>
    </row>
    <row r="32595" spans="62:62" x14ac:dyDescent="0.2">
      <c r="BJ32595" s="201"/>
    </row>
    <row r="32596" spans="62:62" x14ac:dyDescent="0.2">
      <c r="BJ32596" s="201"/>
    </row>
    <row r="32597" spans="62:62" x14ac:dyDescent="0.2">
      <c r="BJ32597" s="201"/>
    </row>
    <row r="32598" spans="62:62" x14ac:dyDescent="0.2">
      <c r="BJ32598" s="201"/>
    </row>
    <row r="32599" spans="62:62" x14ac:dyDescent="0.2">
      <c r="BJ32599" s="201"/>
    </row>
    <row r="32600" spans="62:62" x14ac:dyDescent="0.2">
      <c r="BJ32600" s="201"/>
    </row>
    <row r="32601" spans="62:62" x14ac:dyDescent="0.2">
      <c r="BJ32601" s="201"/>
    </row>
    <row r="32602" spans="62:62" x14ac:dyDescent="0.2">
      <c r="BJ32602" s="201"/>
    </row>
    <row r="32603" spans="62:62" x14ac:dyDescent="0.2">
      <c r="BJ32603" s="201"/>
    </row>
    <row r="32604" spans="62:62" x14ac:dyDescent="0.2">
      <c r="BJ32604" s="201"/>
    </row>
    <row r="32605" spans="62:62" x14ac:dyDescent="0.2">
      <c r="BJ32605" s="201"/>
    </row>
    <row r="32606" spans="62:62" x14ac:dyDescent="0.2">
      <c r="BJ32606" s="201"/>
    </row>
    <row r="32607" spans="62:62" x14ac:dyDescent="0.2">
      <c r="BJ32607" s="201"/>
    </row>
    <row r="32608" spans="62:62" x14ac:dyDescent="0.2">
      <c r="BJ32608" s="201"/>
    </row>
    <row r="32609" spans="62:62" x14ac:dyDescent="0.2">
      <c r="BJ32609" s="201"/>
    </row>
    <row r="32610" spans="62:62" x14ac:dyDescent="0.2">
      <c r="BJ32610" s="201"/>
    </row>
    <row r="32611" spans="62:62" x14ac:dyDescent="0.2">
      <c r="BJ32611" s="201"/>
    </row>
    <row r="32612" spans="62:62" x14ac:dyDescent="0.2">
      <c r="BJ32612" s="201"/>
    </row>
    <row r="32613" spans="62:62" x14ac:dyDescent="0.2">
      <c r="BJ32613" s="201"/>
    </row>
    <row r="32614" spans="62:62" x14ac:dyDescent="0.2">
      <c r="BJ32614" s="201"/>
    </row>
    <row r="32615" spans="62:62" x14ac:dyDescent="0.2">
      <c r="BJ32615" s="201"/>
    </row>
    <row r="32616" spans="62:62" x14ac:dyDescent="0.2">
      <c r="BJ32616" s="201"/>
    </row>
    <row r="32617" spans="62:62" x14ac:dyDescent="0.2">
      <c r="BJ32617" s="201"/>
    </row>
    <row r="32618" spans="62:62" x14ac:dyDescent="0.2">
      <c r="BJ32618" s="201"/>
    </row>
    <row r="32619" spans="62:62" x14ac:dyDescent="0.2">
      <c r="BJ32619" s="201"/>
    </row>
    <row r="32620" spans="62:62" x14ac:dyDescent="0.2">
      <c r="BJ32620" s="201"/>
    </row>
    <row r="32621" spans="62:62" x14ac:dyDescent="0.2">
      <c r="BJ32621" s="201"/>
    </row>
    <row r="32622" spans="62:62" x14ac:dyDescent="0.2">
      <c r="BJ32622" s="201"/>
    </row>
    <row r="32623" spans="62:62" x14ac:dyDescent="0.2">
      <c r="BJ32623" s="201"/>
    </row>
    <row r="32624" spans="62:62" x14ac:dyDescent="0.2">
      <c r="BJ32624" s="201"/>
    </row>
    <row r="32625" spans="62:62" x14ac:dyDescent="0.2">
      <c r="BJ32625" s="201"/>
    </row>
    <row r="32626" spans="62:62" x14ac:dyDescent="0.2">
      <c r="BJ32626" s="201"/>
    </row>
    <row r="32627" spans="62:62" x14ac:dyDescent="0.2">
      <c r="BJ32627" s="201"/>
    </row>
    <row r="32628" spans="62:62" x14ac:dyDescent="0.2">
      <c r="BJ32628" s="201"/>
    </row>
    <row r="32629" spans="62:62" x14ac:dyDescent="0.2">
      <c r="BJ32629" s="201"/>
    </row>
    <row r="32630" spans="62:62" x14ac:dyDescent="0.2">
      <c r="BJ32630" s="201"/>
    </row>
    <row r="32631" spans="62:62" x14ac:dyDescent="0.2">
      <c r="BJ32631" s="201"/>
    </row>
    <row r="32632" spans="62:62" x14ac:dyDescent="0.2">
      <c r="BJ32632" s="201"/>
    </row>
    <row r="32633" spans="62:62" x14ac:dyDescent="0.2">
      <c r="BJ32633" s="201"/>
    </row>
    <row r="32634" spans="62:62" x14ac:dyDescent="0.2">
      <c r="BJ32634" s="201"/>
    </row>
    <row r="32635" spans="62:62" x14ac:dyDescent="0.2">
      <c r="BJ32635" s="201"/>
    </row>
    <row r="32636" spans="62:62" x14ac:dyDescent="0.2">
      <c r="BJ32636" s="201"/>
    </row>
    <row r="32637" spans="62:62" x14ac:dyDescent="0.2">
      <c r="BJ32637" s="201"/>
    </row>
    <row r="32638" spans="62:62" x14ac:dyDescent="0.2">
      <c r="BJ32638" s="201"/>
    </row>
    <row r="32639" spans="62:62" x14ac:dyDescent="0.2">
      <c r="BJ32639" s="201"/>
    </row>
    <row r="32640" spans="62:62" x14ac:dyDescent="0.2">
      <c r="BJ32640" s="201"/>
    </row>
    <row r="32641" spans="62:62" x14ac:dyDescent="0.2">
      <c r="BJ32641" s="201"/>
    </row>
    <row r="32642" spans="62:62" x14ac:dyDescent="0.2">
      <c r="BJ32642" s="201"/>
    </row>
    <row r="32643" spans="62:62" x14ac:dyDescent="0.2">
      <c r="BJ32643" s="201"/>
    </row>
    <row r="32644" spans="62:62" x14ac:dyDescent="0.2">
      <c r="BJ32644" s="201"/>
    </row>
    <row r="32645" spans="62:62" x14ac:dyDescent="0.2">
      <c r="BJ32645" s="201"/>
    </row>
    <row r="32646" spans="62:62" x14ac:dyDescent="0.2">
      <c r="BJ32646" s="201"/>
    </row>
    <row r="32647" spans="62:62" x14ac:dyDescent="0.2">
      <c r="BJ32647" s="201"/>
    </row>
    <row r="32648" spans="62:62" x14ac:dyDescent="0.2">
      <c r="BJ32648" s="201"/>
    </row>
    <row r="32649" spans="62:62" x14ac:dyDescent="0.2">
      <c r="BJ32649" s="201"/>
    </row>
    <row r="32650" spans="62:62" x14ac:dyDescent="0.2">
      <c r="BJ32650" s="201"/>
    </row>
    <row r="32651" spans="62:62" x14ac:dyDescent="0.2">
      <c r="BJ32651" s="201"/>
    </row>
    <row r="32652" spans="62:62" x14ac:dyDescent="0.2">
      <c r="BJ32652" s="201"/>
    </row>
    <row r="32653" spans="62:62" x14ac:dyDescent="0.2">
      <c r="BJ32653" s="201"/>
    </row>
    <row r="32654" spans="62:62" x14ac:dyDescent="0.2">
      <c r="BJ32654" s="201"/>
    </row>
    <row r="32655" spans="62:62" x14ac:dyDescent="0.2">
      <c r="BJ32655" s="201"/>
    </row>
    <row r="32656" spans="62:62" x14ac:dyDescent="0.2">
      <c r="BJ32656" s="201"/>
    </row>
    <row r="32657" spans="62:62" x14ac:dyDescent="0.2">
      <c r="BJ32657" s="201"/>
    </row>
    <row r="32658" spans="62:62" x14ac:dyDescent="0.2">
      <c r="BJ32658" s="201"/>
    </row>
    <row r="32659" spans="62:62" x14ac:dyDescent="0.2">
      <c r="BJ32659" s="201"/>
    </row>
    <row r="32660" spans="62:62" x14ac:dyDescent="0.2">
      <c r="BJ32660" s="201"/>
    </row>
    <row r="32661" spans="62:62" x14ac:dyDescent="0.2">
      <c r="BJ32661" s="201"/>
    </row>
    <row r="32662" spans="62:62" x14ac:dyDescent="0.2">
      <c r="BJ32662" s="201"/>
    </row>
    <row r="32663" spans="62:62" x14ac:dyDescent="0.2">
      <c r="BJ32663" s="201"/>
    </row>
    <row r="32664" spans="62:62" x14ac:dyDescent="0.2">
      <c r="BJ32664" s="201"/>
    </row>
    <row r="32665" spans="62:62" x14ac:dyDescent="0.2">
      <c r="BJ32665" s="201"/>
    </row>
    <row r="32666" spans="62:62" x14ac:dyDescent="0.2">
      <c r="BJ32666" s="201"/>
    </row>
    <row r="32667" spans="62:62" x14ac:dyDescent="0.2">
      <c r="BJ32667" s="201"/>
    </row>
    <row r="32668" spans="62:62" x14ac:dyDescent="0.2">
      <c r="BJ32668" s="201"/>
    </row>
    <row r="32669" spans="62:62" x14ac:dyDescent="0.2">
      <c r="BJ32669" s="201"/>
    </row>
    <row r="32670" spans="62:62" x14ac:dyDescent="0.2">
      <c r="BJ32670" s="201"/>
    </row>
    <row r="32671" spans="62:62" x14ac:dyDescent="0.2">
      <c r="BJ32671" s="201"/>
    </row>
    <row r="32672" spans="62:62" x14ac:dyDescent="0.2">
      <c r="BJ32672" s="201"/>
    </row>
    <row r="32673" spans="62:62" x14ac:dyDescent="0.2">
      <c r="BJ32673" s="201"/>
    </row>
    <row r="32674" spans="62:62" x14ac:dyDescent="0.2">
      <c r="BJ32674" s="201"/>
    </row>
    <row r="32675" spans="62:62" x14ac:dyDescent="0.2">
      <c r="BJ32675" s="201"/>
    </row>
    <row r="32676" spans="62:62" x14ac:dyDescent="0.2">
      <c r="BJ32676" s="201"/>
    </row>
    <row r="32677" spans="62:62" x14ac:dyDescent="0.2">
      <c r="BJ32677" s="201"/>
    </row>
    <row r="32678" spans="62:62" x14ac:dyDescent="0.2">
      <c r="BJ32678" s="201"/>
    </row>
    <row r="32679" spans="62:62" x14ac:dyDescent="0.2">
      <c r="BJ32679" s="201"/>
    </row>
    <row r="32680" spans="62:62" x14ac:dyDescent="0.2">
      <c r="BJ32680" s="201"/>
    </row>
    <row r="32681" spans="62:62" x14ac:dyDescent="0.2">
      <c r="BJ32681" s="201"/>
    </row>
    <row r="32682" spans="62:62" x14ac:dyDescent="0.2">
      <c r="BJ32682" s="201"/>
    </row>
    <row r="32683" spans="62:62" x14ac:dyDescent="0.2">
      <c r="BJ32683" s="201"/>
    </row>
    <row r="32684" spans="62:62" x14ac:dyDescent="0.2">
      <c r="BJ32684" s="201"/>
    </row>
    <row r="32685" spans="62:62" x14ac:dyDescent="0.2">
      <c r="BJ32685" s="201"/>
    </row>
    <row r="32686" spans="62:62" x14ac:dyDescent="0.2">
      <c r="BJ32686" s="201"/>
    </row>
    <row r="32687" spans="62:62" x14ac:dyDescent="0.2">
      <c r="BJ32687" s="201"/>
    </row>
    <row r="32688" spans="62:62" x14ac:dyDescent="0.2">
      <c r="BJ32688" s="201"/>
    </row>
    <row r="32689" spans="62:62" x14ac:dyDescent="0.2">
      <c r="BJ32689" s="201"/>
    </row>
    <row r="32690" spans="62:62" x14ac:dyDescent="0.2">
      <c r="BJ32690" s="201"/>
    </row>
    <row r="32691" spans="62:62" x14ac:dyDescent="0.2">
      <c r="BJ32691" s="201"/>
    </row>
    <row r="32692" spans="62:62" x14ac:dyDescent="0.2">
      <c r="BJ32692" s="201"/>
    </row>
    <row r="32693" spans="62:62" x14ac:dyDescent="0.2">
      <c r="BJ32693" s="201"/>
    </row>
    <row r="32694" spans="62:62" x14ac:dyDescent="0.2">
      <c r="BJ32694" s="201"/>
    </row>
    <row r="32695" spans="62:62" x14ac:dyDescent="0.2">
      <c r="BJ32695" s="201"/>
    </row>
    <row r="32696" spans="62:62" x14ac:dyDescent="0.2">
      <c r="BJ32696" s="201"/>
    </row>
    <row r="32697" spans="62:62" x14ac:dyDescent="0.2">
      <c r="BJ32697" s="201"/>
    </row>
    <row r="32698" spans="62:62" x14ac:dyDescent="0.2">
      <c r="BJ32698" s="201"/>
    </row>
    <row r="32699" spans="62:62" x14ac:dyDescent="0.2">
      <c r="BJ32699" s="201"/>
    </row>
    <row r="32700" spans="62:62" x14ac:dyDescent="0.2">
      <c r="BJ32700" s="201"/>
    </row>
    <row r="32701" spans="62:62" x14ac:dyDescent="0.2">
      <c r="BJ32701" s="201"/>
    </row>
    <row r="32702" spans="62:62" x14ac:dyDescent="0.2">
      <c r="BJ32702" s="201"/>
    </row>
    <row r="32703" spans="62:62" x14ac:dyDescent="0.2">
      <c r="BJ32703" s="201"/>
    </row>
    <row r="32704" spans="62:62" x14ac:dyDescent="0.2">
      <c r="BJ32704" s="201"/>
    </row>
    <row r="32705" spans="62:62" x14ac:dyDescent="0.2">
      <c r="BJ32705" s="201"/>
    </row>
    <row r="32706" spans="62:62" x14ac:dyDescent="0.2">
      <c r="BJ32706" s="201"/>
    </row>
    <row r="32707" spans="62:62" x14ac:dyDescent="0.2">
      <c r="BJ32707" s="201"/>
    </row>
    <row r="32708" spans="62:62" x14ac:dyDescent="0.2">
      <c r="BJ32708" s="201"/>
    </row>
    <row r="32709" spans="62:62" x14ac:dyDescent="0.2">
      <c r="BJ32709" s="201"/>
    </row>
    <row r="32710" spans="62:62" x14ac:dyDescent="0.2">
      <c r="BJ32710" s="201"/>
    </row>
    <row r="32711" spans="62:62" x14ac:dyDescent="0.2">
      <c r="BJ32711" s="201"/>
    </row>
    <row r="32712" spans="62:62" x14ac:dyDescent="0.2">
      <c r="BJ32712" s="201"/>
    </row>
    <row r="32713" spans="62:62" x14ac:dyDescent="0.2">
      <c r="BJ32713" s="201"/>
    </row>
    <row r="32714" spans="62:62" x14ac:dyDescent="0.2">
      <c r="BJ32714" s="201"/>
    </row>
    <row r="32715" spans="62:62" x14ac:dyDescent="0.2">
      <c r="BJ32715" s="201"/>
    </row>
    <row r="32716" spans="62:62" x14ac:dyDescent="0.2">
      <c r="BJ32716" s="201"/>
    </row>
    <row r="32717" spans="62:62" x14ac:dyDescent="0.2">
      <c r="BJ32717" s="201"/>
    </row>
    <row r="32718" spans="62:62" x14ac:dyDescent="0.2">
      <c r="BJ32718" s="201"/>
    </row>
    <row r="32719" spans="62:62" x14ac:dyDescent="0.2">
      <c r="BJ32719" s="201"/>
    </row>
    <row r="32720" spans="62:62" x14ac:dyDescent="0.2">
      <c r="BJ32720" s="201"/>
    </row>
    <row r="32721" spans="62:62" x14ac:dyDescent="0.2">
      <c r="BJ32721" s="201"/>
    </row>
    <row r="32722" spans="62:62" x14ac:dyDescent="0.2">
      <c r="BJ32722" s="201"/>
    </row>
    <row r="32723" spans="62:62" x14ac:dyDescent="0.2">
      <c r="BJ32723" s="201"/>
    </row>
    <row r="32724" spans="62:62" x14ac:dyDescent="0.2">
      <c r="BJ32724" s="201"/>
    </row>
    <row r="32725" spans="62:62" x14ac:dyDescent="0.2">
      <c r="BJ32725" s="201"/>
    </row>
    <row r="32726" spans="62:62" x14ac:dyDescent="0.2">
      <c r="BJ32726" s="201"/>
    </row>
    <row r="32727" spans="62:62" x14ac:dyDescent="0.2">
      <c r="BJ32727" s="201"/>
    </row>
    <row r="32728" spans="62:62" x14ac:dyDescent="0.2">
      <c r="BJ32728" s="201"/>
    </row>
    <row r="32729" spans="62:62" x14ac:dyDescent="0.2">
      <c r="BJ32729" s="201"/>
    </row>
    <row r="32730" spans="62:62" x14ac:dyDescent="0.2">
      <c r="BJ32730" s="201"/>
    </row>
    <row r="32731" spans="62:62" x14ac:dyDescent="0.2">
      <c r="BJ32731" s="201"/>
    </row>
    <row r="32732" spans="62:62" x14ac:dyDescent="0.2">
      <c r="BJ32732" s="201"/>
    </row>
    <row r="32733" spans="62:62" x14ac:dyDescent="0.2">
      <c r="BJ32733" s="201"/>
    </row>
    <row r="32734" spans="62:62" x14ac:dyDescent="0.2">
      <c r="BJ32734" s="201"/>
    </row>
    <row r="32735" spans="62:62" x14ac:dyDescent="0.2">
      <c r="BJ32735" s="201"/>
    </row>
    <row r="32736" spans="62:62" x14ac:dyDescent="0.2">
      <c r="BJ32736" s="201"/>
    </row>
    <row r="32737" spans="62:62" x14ac:dyDescent="0.2">
      <c r="BJ32737" s="201"/>
    </row>
    <row r="32738" spans="62:62" x14ac:dyDescent="0.2">
      <c r="BJ32738" s="201"/>
    </row>
    <row r="32739" spans="62:62" x14ac:dyDescent="0.2">
      <c r="BJ32739" s="201"/>
    </row>
    <row r="32740" spans="62:62" x14ac:dyDescent="0.2">
      <c r="BJ32740" s="201"/>
    </row>
    <row r="32741" spans="62:62" x14ac:dyDescent="0.2">
      <c r="BJ32741" s="201"/>
    </row>
    <row r="32742" spans="62:62" x14ac:dyDescent="0.2">
      <c r="BJ32742" s="201"/>
    </row>
    <row r="32743" spans="62:62" x14ac:dyDescent="0.2">
      <c r="BJ32743" s="201"/>
    </row>
    <row r="32744" spans="62:62" x14ac:dyDescent="0.2">
      <c r="BJ32744" s="201"/>
    </row>
    <row r="32745" spans="62:62" x14ac:dyDescent="0.2">
      <c r="BJ32745" s="201"/>
    </row>
    <row r="32746" spans="62:62" x14ac:dyDescent="0.2">
      <c r="BJ32746" s="201"/>
    </row>
    <row r="32747" spans="62:62" x14ac:dyDescent="0.2">
      <c r="BJ32747" s="201"/>
    </row>
    <row r="32748" spans="62:62" x14ac:dyDescent="0.2">
      <c r="BJ32748" s="201"/>
    </row>
    <row r="32749" spans="62:62" x14ac:dyDescent="0.2">
      <c r="BJ32749" s="201"/>
    </row>
    <row r="32750" spans="62:62" x14ac:dyDescent="0.2">
      <c r="BJ32750" s="201"/>
    </row>
    <row r="32751" spans="62:62" x14ac:dyDescent="0.2">
      <c r="BJ32751" s="201"/>
    </row>
    <row r="32752" spans="62:62" x14ac:dyDescent="0.2">
      <c r="BJ32752" s="201"/>
    </row>
    <row r="32753" spans="62:62" x14ac:dyDescent="0.2">
      <c r="BJ32753" s="201"/>
    </row>
    <row r="32754" spans="62:62" x14ac:dyDescent="0.2">
      <c r="BJ32754" s="201"/>
    </row>
    <row r="32755" spans="62:62" x14ac:dyDescent="0.2">
      <c r="BJ32755" s="201"/>
    </row>
    <row r="32756" spans="62:62" x14ac:dyDescent="0.2">
      <c r="BJ32756" s="201"/>
    </row>
    <row r="32757" spans="62:62" x14ac:dyDescent="0.2">
      <c r="BJ32757" s="201"/>
    </row>
    <row r="32758" spans="62:62" x14ac:dyDescent="0.2">
      <c r="BJ32758" s="201"/>
    </row>
    <row r="32759" spans="62:62" x14ac:dyDescent="0.2">
      <c r="BJ32759" s="201"/>
    </row>
    <row r="32760" spans="62:62" x14ac:dyDescent="0.2">
      <c r="BJ32760" s="201"/>
    </row>
    <row r="32761" spans="62:62" x14ac:dyDescent="0.2">
      <c r="BJ32761" s="201"/>
    </row>
    <row r="32762" spans="62:62" x14ac:dyDescent="0.2">
      <c r="BJ32762" s="201"/>
    </row>
    <row r="32763" spans="62:62" x14ac:dyDescent="0.2">
      <c r="BJ32763" s="201"/>
    </row>
    <row r="32764" spans="62:62" x14ac:dyDescent="0.2">
      <c r="BJ32764" s="201"/>
    </row>
    <row r="32765" spans="62:62" x14ac:dyDescent="0.2">
      <c r="BJ32765" s="201"/>
    </row>
    <row r="32766" spans="62:62" x14ac:dyDescent="0.2">
      <c r="BJ32766" s="201"/>
    </row>
    <row r="32767" spans="62:62" x14ac:dyDescent="0.2">
      <c r="BJ32767" s="201"/>
    </row>
    <row r="32768" spans="62:62" x14ac:dyDescent="0.2">
      <c r="BJ32768" s="201"/>
    </row>
    <row r="32769" spans="62:62" x14ac:dyDescent="0.2">
      <c r="BJ32769" s="201"/>
    </row>
    <row r="32770" spans="62:62" x14ac:dyDescent="0.2">
      <c r="BJ32770" s="201"/>
    </row>
    <row r="32771" spans="62:62" x14ac:dyDescent="0.2">
      <c r="BJ32771" s="201"/>
    </row>
    <row r="32772" spans="62:62" x14ac:dyDescent="0.2">
      <c r="BJ32772" s="201"/>
    </row>
    <row r="32773" spans="62:62" x14ac:dyDescent="0.2">
      <c r="BJ32773" s="201"/>
    </row>
    <row r="32774" spans="62:62" x14ac:dyDescent="0.2">
      <c r="BJ32774" s="201"/>
    </row>
    <row r="32775" spans="62:62" x14ac:dyDescent="0.2">
      <c r="BJ32775" s="201"/>
    </row>
    <row r="32776" spans="62:62" x14ac:dyDescent="0.2">
      <c r="BJ32776" s="201"/>
    </row>
    <row r="32777" spans="62:62" x14ac:dyDescent="0.2">
      <c r="BJ32777" s="201"/>
    </row>
    <row r="32778" spans="62:62" x14ac:dyDescent="0.2">
      <c r="BJ32778" s="201"/>
    </row>
    <row r="32779" spans="62:62" x14ac:dyDescent="0.2">
      <c r="BJ32779" s="201"/>
    </row>
    <row r="32780" spans="62:62" x14ac:dyDescent="0.2">
      <c r="BJ32780" s="201"/>
    </row>
    <row r="32781" spans="62:62" x14ac:dyDescent="0.2">
      <c r="BJ32781" s="201"/>
    </row>
    <row r="32782" spans="62:62" x14ac:dyDescent="0.2">
      <c r="BJ32782" s="201"/>
    </row>
    <row r="32783" spans="62:62" x14ac:dyDescent="0.2">
      <c r="BJ32783" s="201"/>
    </row>
    <row r="32784" spans="62:62" x14ac:dyDescent="0.2">
      <c r="BJ32784" s="201"/>
    </row>
    <row r="32785" spans="62:62" x14ac:dyDescent="0.2">
      <c r="BJ32785" s="201"/>
    </row>
    <row r="32786" spans="62:62" x14ac:dyDescent="0.2">
      <c r="BJ32786" s="201"/>
    </row>
    <row r="32787" spans="62:62" x14ac:dyDescent="0.2">
      <c r="BJ32787" s="201"/>
    </row>
    <row r="32788" spans="62:62" x14ac:dyDescent="0.2">
      <c r="BJ32788" s="201"/>
    </row>
    <row r="32789" spans="62:62" x14ac:dyDescent="0.2">
      <c r="BJ32789" s="201"/>
    </row>
    <row r="32790" spans="62:62" x14ac:dyDescent="0.2">
      <c r="BJ32790" s="201"/>
    </row>
    <row r="32791" spans="62:62" x14ac:dyDescent="0.2">
      <c r="BJ32791" s="201"/>
    </row>
    <row r="32792" spans="62:62" x14ac:dyDescent="0.2">
      <c r="BJ32792" s="201"/>
    </row>
    <row r="32793" spans="62:62" x14ac:dyDescent="0.2">
      <c r="BJ32793" s="201"/>
    </row>
    <row r="32794" spans="62:62" x14ac:dyDescent="0.2">
      <c r="BJ32794" s="201"/>
    </row>
    <row r="32795" spans="62:62" x14ac:dyDescent="0.2">
      <c r="BJ32795" s="201"/>
    </row>
    <row r="32796" spans="62:62" x14ac:dyDescent="0.2">
      <c r="BJ32796" s="201"/>
    </row>
    <row r="32797" spans="62:62" x14ac:dyDescent="0.2">
      <c r="BJ32797" s="201"/>
    </row>
    <row r="32798" spans="62:62" x14ac:dyDescent="0.2">
      <c r="BJ32798" s="201"/>
    </row>
    <row r="32799" spans="62:62" x14ac:dyDescent="0.2">
      <c r="BJ32799" s="201"/>
    </row>
    <row r="32800" spans="62:62" x14ac:dyDescent="0.2">
      <c r="BJ32800" s="201"/>
    </row>
    <row r="32801" spans="62:62" x14ac:dyDescent="0.2">
      <c r="BJ32801" s="201"/>
    </row>
    <row r="32802" spans="62:62" x14ac:dyDescent="0.2">
      <c r="BJ32802" s="201"/>
    </row>
    <row r="32803" spans="62:62" x14ac:dyDescent="0.2">
      <c r="BJ32803" s="201"/>
    </row>
    <row r="32804" spans="62:62" x14ac:dyDescent="0.2">
      <c r="BJ32804" s="201"/>
    </row>
    <row r="32805" spans="62:62" x14ac:dyDescent="0.2">
      <c r="BJ32805" s="201"/>
    </row>
    <row r="32806" spans="62:62" x14ac:dyDescent="0.2">
      <c r="BJ32806" s="201"/>
    </row>
    <row r="32807" spans="62:62" x14ac:dyDescent="0.2">
      <c r="BJ32807" s="201"/>
    </row>
    <row r="32808" spans="62:62" x14ac:dyDescent="0.2">
      <c r="BJ32808" s="201"/>
    </row>
    <row r="32809" spans="62:62" x14ac:dyDescent="0.2">
      <c r="BJ32809" s="201"/>
    </row>
    <row r="32810" spans="62:62" x14ac:dyDescent="0.2">
      <c r="BJ32810" s="201"/>
    </row>
    <row r="32811" spans="62:62" x14ac:dyDescent="0.2">
      <c r="BJ32811" s="201"/>
    </row>
    <row r="32812" spans="62:62" x14ac:dyDescent="0.2">
      <c r="BJ32812" s="201"/>
    </row>
    <row r="32813" spans="62:62" x14ac:dyDescent="0.2">
      <c r="BJ32813" s="201"/>
    </row>
    <row r="32814" spans="62:62" x14ac:dyDescent="0.2">
      <c r="BJ32814" s="201"/>
    </row>
    <row r="32815" spans="62:62" x14ac:dyDescent="0.2">
      <c r="BJ32815" s="201"/>
    </row>
    <row r="32816" spans="62:62" x14ac:dyDescent="0.2">
      <c r="BJ32816" s="201"/>
    </row>
    <row r="32817" spans="62:62" x14ac:dyDescent="0.2">
      <c r="BJ32817" s="201"/>
    </row>
    <row r="32818" spans="62:62" x14ac:dyDescent="0.2">
      <c r="BJ32818" s="201"/>
    </row>
    <row r="32819" spans="62:62" x14ac:dyDescent="0.2">
      <c r="BJ32819" s="201"/>
    </row>
    <row r="32820" spans="62:62" x14ac:dyDescent="0.2">
      <c r="BJ32820" s="201"/>
    </row>
    <row r="32821" spans="62:62" x14ac:dyDescent="0.2">
      <c r="BJ32821" s="201"/>
    </row>
    <row r="32822" spans="62:62" x14ac:dyDescent="0.2">
      <c r="BJ32822" s="201"/>
    </row>
    <row r="32823" spans="62:62" x14ac:dyDescent="0.2">
      <c r="BJ32823" s="201"/>
    </row>
    <row r="32824" spans="62:62" x14ac:dyDescent="0.2">
      <c r="BJ32824" s="201"/>
    </row>
    <row r="32825" spans="62:62" x14ac:dyDescent="0.2">
      <c r="BJ32825" s="201"/>
    </row>
    <row r="32826" spans="62:62" x14ac:dyDescent="0.2">
      <c r="BJ32826" s="201"/>
    </row>
    <row r="32827" spans="62:62" x14ac:dyDescent="0.2">
      <c r="BJ32827" s="201"/>
    </row>
    <row r="32828" spans="62:62" x14ac:dyDescent="0.2">
      <c r="BJ32828" s="201"/>
    </row>
    <row r="32829" spans="62:62" x14ac:dyDescent="0.2">
      <c r="BJ32829" s="201"/>
    </row>
    <row r="32830" spans="62:62" x14ac:dyDescent="0.2">
      <c r="BJ32830" s="201"/>
    </row>
    <row r="32831" spans="62:62" x14ac:dyDescent="0.2">
      <c r="BJ32831" s="201"/>
    </row>
    <row r="32832" spans="62:62" x14ac:dyDescent="0.2">
      <c r="BJ32832" s="201"/>
    </row>
    <row r="32833" spans="62:62" x14ac:dyDescent="0.2">
      <c r="BJ32833" s="201"/>
    </row>
    <row r="32834" spans="62:62" x14ac:dyDescent="0.2">
      <c r="BJ32834" s="201"/>
    </row>
    <row r="32835" spans="62:62" x14ac:dyDescent="0.2">
      <c r="BJ32835" s="201"/>
    </row>
    <row r="32836" spans="62:62" x14ac:dyDescent="0.2">
      <c r="BJ32836" s="201"/>
    </row>
    <row r="32837" spans="62:62" x14ac:dyDescent="0.2">
      <c r="BJ32837" s="201"/>
    </row>
    <row r="32838" spans="62:62" x14ac:dyDescent="0.2">
      <c r="BJ32838" s="201"/>
    </row>
    <row r="32839" spans="62:62" x14ac:dyDescent="0.2">
      <c r="BJ32839" s="201"/>
    </row>
    <row r="32840" spans="62:62" x14ac:dyDescent="0.2">
      <c r="BJ32840" s="201"/>
    </row>
    <row r="32841" spans="62:62" x14ac:dyDescent="0.2">
      <c r="BJ32841" s="201"/>
    </row>
    <row r="32842" spans="62:62" x14ac:dyDescent="0.2">
      <c r="BJ32842" s="201"/>
    </row>
    <row r="32843" spans="62:62" x14ac:dyDescent="0.2">
      <c r="BJ32843" s="201"/>
    </row>
    <row r="32844" spans="62:62" x14ac:dyDescent="0.2">
      <c r="BJ32844" s="201"/>
    </row>
    <row r="32845" spans="62:62" x14ac:dyDescent="0.2">
      <c r="BJ32845" s="201"/>
    </row>
    <row r="32846" spans="62:62" x14ac:dyDescent="0.2">
      <c r="BJ32846" s="201"/>
    </row>
    <row r="32847" spans="62:62" x14ac:dyDescent="0.2">
      <c r="BJ32847" s="201"/>
    </row>
    <row r="32848" spans="62:62" x14ac:dyDescent="0.2">
      <c r="BJ32848" s="201"/>
    </row>
    <row r="32849" spans="62:62" x14ac:dyDescent="0.2">
      <c r="BJ32849" s="201"/>
    </row>
    <row r="32850" spans="62:62" x14ac:dyDescent="0.2">
      <c r="BJ32850" s="201"/>
    </row>
    <row r="32851" spans="62:62" x14ac:dyDescent="0.2">
      <c r="BJ32851" s="201"/>
    </row>
    <row r="32852" spans="62:62" x14ac:dyDescent="0.2">
      <c r="BJ32852" s="201"/>
    </row>
    <row r="32853" spans="62:62" x14ac:dyDescent="0.2">
      <c r="BJ32853" s="201"/>
    </row>
    <row r="32854" spans="62:62" x14ac:dyDescent="0.2">
      <c r="BJ32854" s="201"/>
    </row>
    <row r="32855" spans="62:62" x14ac:dyDescent="0.2">
      <c r="BJ32855" s="201"/>
    </row>
    <row r="32856" spans="62:62" x14ac:dyDescent="0.2">
      <c r="BJ32856" s="201"/>
    </row>
    <row r="32857" spans="62:62" x14ac:dyDescent="0.2">
      <c r="BJ32857" s="201"/>
    </row>
    <row r="32858" spans="62:62" x14ac:dyDescent="0.2">
      <c r="BJ32858" s="201"/>
    </row>
    <row r="32859" spans="62:62" x14ac:dyDescent="0.2">
      <c r="BJ32859" s="201"/>
    </row>
    <row r="32860" spans="62:62" x14ac:dyDescent="0.2">
      <c r="BJ32860" s="201"/>
    </row>
    <row r="32861" spans="62:62" x14ac:dyDescent="0.2">
      <c r="BJ32861" s="201"/>
    </row>
    <row r="32862" spans="62:62" x14ac:dyDescent="0.2">
      <c r="BJ32862" s="201"/>
    </row>
    <row r="32863" spans="62:62" x14ac:dyDescent="0.2">
      <c r="BJ32863" s="201"/>
    </row>
    <row r="32864" spans="62:62" x14ac:dyDescent="0.2">
      <c r="BJ32864" s="201"/>
    </row>
    <row r="32865" spans="62:62" x14ac:dyDescent="0.2">
      <c r="BJ32865" s="201"/>
    </row>
    <row r="32866" spans="62:62" x14ac:dyDescent="0.2">
      <c r="BJ32866" s="201"/>
    </row>
    <row r="32867" spans="62:62" x14ac:dyDescent="0.2">
      <c r="BJ32867" s="201"/>
    </row>
    <row r="32868" spans="62:62" x14ac:dyDescent="0.2">
      <c r="BJ32868" s="201"/>
    </row>
    <row r="32869" spans="62:62" x14ac:dyDescent="0.2">
      <c r="BJ32869" s="201"/>
    </row>
    <row r="32870" spans="62:62" x14ac:dyDescent="0.2">
      <c r="BJ32870" s="201"/>
    </row>
    <row r="32871" spans="62:62" x14ac:dyDescent="0.2">
      <c r="BJ32871" s="201"/>
    </row>
    <row r="32872" spans="62:62" x14ac:dyDescent="0.2">
      <c r="BJ32872" s="201"/>
    </row>
    <row r="32873" spans="62:62" x14ac:dyDescent="0.2">
      <c r="BJ32873" s="201"/>
    </row>
    <row r="32874" spans="62:62" x14ac:dyDescent="0.2">
      <c r="BJ32874" s="201"/>
    </row>
    <row r="32875" spans="62:62" x14ac:dyDescent="0.2">
      <c r="BJ32875" s="201"/>
    </row>
    <row r="32876" spans="62:62" x14ac:dyDescent="0.2">
      <c r="BJ32876" s="201"/>
    </row>
    <row r="32877" spans="62:62" x14ac:dyDescent="0.2">
      <c r="BJ32877" s="201"/>
    </row>
    <row r="32878" spans="62:62" x14ac:dyDescent="0.2">
      <c r="BJ32878" s="201"/>
    </row>
    <row r="32879" spans="62:62" x14ac:dyDescent="0.2">
      <c r="BJ32879" s="201"/>
    </row>
    <row r="32880" spans="62:62" x14ac:dyDescent="0.2">
      <c r="BJ32880" s="201"/>
    </row>
    <row r="32881" spans="62:62" x14ac:dyDescent="0.2">
      <c r="BJ32881" s="201"/>
    </row>
    <row r="32882" spans="62:62" x14ac:dyDescent="0.2">
      <c r="BJ32882" s="201"/>
    </row>
    <row r="32883" spans="62:62" x14ac:dyDescent="0.2">
      <c r="BJ32883" s="201"/>
    </row>
    <row r="32884" spans="62:62" x14ac:dyDescent="0.2">
      <c r="BJ32884" s="201"/>
    </row>
    <row r="32885" spans="62:62" x14ac:dyDescent="0.2">
      <c r="BJ32885" s="201"/>
    </row>
    <row r="32886" spans="62:62" x14ac:dyDescent="0.2">
      <c r="BJ32886" s="201"/>
    </row>
    <row r="32887" spans="62:62" x14ac:dyDescent="0.2">
      <c r="BJ32887" s="201"/>
    </row>
    <row r="32888" spans="62:62" x14ac:dyDescent="0.2">
      <c r="BJ32888" s="201"/>
    </row>
    <row r="32889" spans="62:62" x14ac:dyDescent="0.2">
      <c r="BJ32889" s="201"/>
    </row>
    <row r="32890" spans="62:62" x14ac:dyDescent="0.2">
      <c r="BJ32890" s="201"/>
    </row>
    <row r="32891" spans="62:62" x14ac:dyDescent="0.2">
      <c r="BJ32891" s="201"/>
    </row>
    <row r="32892" spans="62:62" x14ac:dyDescent="0.2">
      <c r="BJ32892" s="201"/>
    </row>
    <row r="32893" spans="62:62" x14ac:dyDescent="0.2">
      <c r="BJ32893" s="201"/>
    </row>
    <row r="32894" spans="62:62" x14ac:dyDescent="0.2">
      <c r="BJ32894" s="201"/>
    </row>
    <row r="32895" spans="62:62" x14ac:dyDescent="0.2">
      <c r="BJ32895" s="201"/>
    </row>
    <row r="32896" spans="62:62" x14ac:dyDescent="0.2">
      <c r="BJ32896" s="201"/>
    </row>
    <row r="32897" spans="62:62" x14ac:dyDescent="0.2">
      <c r="BJ32897" s="201"/>
    </row>
    <row r="32898" spans="62:62" x14ac:dyDescent="0.2">
      <c r="BJ32898" s="201"/>
    </row>
    <row r="32899" spans="62:62" x14ac:dyDescent="0.2">
      <c r="BJ32899" s="201"/>
    </row>
    <row r="32900" spans="62:62" x14ac:dyDescent="0.2">
      <c r="BJ32900" s="201"/>
    </row>
    <row r="32901" spans="62:62" x14ac:dyDescent="0.2">
      <c r="BJ32901" s="201"/>
    </row>
    <row r="32902" spans="62:62" x14ac:dyDescent="0.2">
      <c r="BJ32902" s="201"/>
    </row>
    <row r="32903" spans="62:62" x14ac:dyDescent="0.2">
      <c r="BJ32903" s="201"/>
    </row>
    <row r="32904" spans="62:62" x14ac:dyDescent="0.2">
      <c r="BJ32904" s="201"/>
    </row>
    <row r="32905" spans="62:62" x14ac:dyDescent="0.2">
      <c r="BJ32905" s="201"/>
    </row>
    <row r="32906" spans="62:62" x14ac:dyDescent="0.2">
      <c r="BJ32906" s="201"/>
    </row>
    <row r="32907" spans="62:62" x14ac:dyDescent="0.2">
      <c r="BJ32907" s="201"/>
    </row>
    <row r="32908" spans="62:62" x14ac:dyDescent="0.2">
      <c r="BJ32908" s="201"/>
    </row>
    <row r="32909" spans="62:62" x14ac:dyDescent="0.2">
      <c r="BJ32909" s="201"/>
    </row>
    <row r="32910" spans="62:62" x14ac:dyDescent="0.2">
      <c r="BJ32910" s="201"/>
    </row>
    <row r="32911" spans="62:62" x14ac:dyDescent="0.2">
      <c r="BJ32911" s="201"/>
    </row>
    <row r="32912" spans="62:62" x14ac:dyDescent="0.2">
      <c r="BJ32912" s="201"/>
    </row>
    <row r="32913" spans="62:62" x14ac:dyDescent="0.2">
      <c r="BJ32913" s="201"/>
    </row>
    <row r="32914" spans="62:62" x14ac:dyDescent="0.2">
      <c r="BJ32914" s="201"/>
    </row>
    <row r="32915" spans="62:62" x14ac:dyDescent="0.2">
      <c r="BJ32915" s="201"/>
    </row>
    <row r="32916" spans="62:62" x14ac:dyDescent="0.2">
      <c r="BJ32916" s="201"/>
    </row>
    <row r="32917" spans="62:62" x14ac:dyDescent="0.2">
      <c r="BJ32917" s="201"/>
    </row>
    <row r="32918" spans="62:62" x14ac:dyDescent="0.2">
      <c r="BJ32918" s="201"/>
    </row>
    <row r="32919" spans="62:62" x14ac:dyDescent="0.2">
      <c r="BJ32919" s="201"/>
    </row>
    <row r="32920" spans="62:62" x14ac:dyDescent="0.2">
      <c r="BJ32920" s="201"/>
    </row>
    <row r="32921" spans="62:62" x14ac:dyDescent="0.2">
      <c r="BJ32921" s="201"/>
    </row>
    <row r="32922" spans="62:62" x14ac:dyDescent="0.2">
      <c r="BJ32922" s="201"/>
    </row>
    <row r="32923" spans="62:62" x14ac:dyDescent="0.2">
      <c r="BJ32923" s="201"/>
    </row>
    <row r="32924" spans="62:62" x14ac:dyDescent="0.2">
      <c r="BJ32924" s="201"/>
    </row>
    <row r="32925" spans="62:62" x14ac:dyDescent="0.2">
      <c r="BJ32925" s="201"/>
    </row>
    <row r="32926" spans="62:62" x14ac:dyDescent="0.2">
      <c r="BJ32926" s="201"/>
    </row>
    <row r="32927" spans="62:62" x14ac:dyDescent="0.2">
      <c r="BJ32927" s="201"/>
    </row>
    <row r="32928" spans="62:62" x14ac:dyDescent="0.2">
      <c r="BJ32928" s="201"/>
    </row>
    <row r="32929" spans="62:62" x14ac:dyDescent="0.2">
      <c r="BJ32929" s="201"/>
    </row>
    <row r="32930" spans="62:62" x14ac:dyDescent="0.2">
      <c r="BJ32930" s="201"/>
    </row>
    <row r="32931" spans="62:62" x14ac:dyDescent="0.2">
      <c r="BJ32931" s="201"/>
    </row>
    <row r="32932" spans="62:62" x14ac:dyDescent="0.2">
      <c r="BJ32932" s="201"/>
    </row>
    <row r="32933" spans="62:62" x14ac:dyDescent="0.2">
      <c r="BJ32933" s="201"/>
    </row>
    <row r="32934" spans="62:62" x14ac:dyDescent="0.2">
      <c r="BJ32934" s="201"/>
    </row>
    <row r="32935" spans="62:62" x14ac:dyDescent="0.2">
      <c r="BJ32935" s="201"/>
    </row>
    <row r="32936" spans="62:62" x14ac:dyDescent="0.2">
      <c r="BJ32936" s="201"/>
    </row>
    <row r="32937" spans="62:62" x14ac:dyDescent="0.2">
      <c r="BJ32937" s="201"/>
    </row>
    <row r="32938" spans="62:62" x14ac:dyDescent="0.2">
      <c r="BJ32938" s="201"/>
    </row>
    <row r="32939" spans="62:62" x14ac:dyDescent="0.2">
      <c r="BJ32939" s="201"/>
    </row>
    <row r="32940" spans="62:62" x14ac:dyDescent="0.2">
      <c r="BJ32940" s="201"/>
    </row>
    <row r="32941" spans="62:62" x14ac:dyDescent="0.2">
      <c r="BJ32941" s="201"/>
    </row>
    <row r="32942" spans="62:62" x14ac:dyDescent="0.2">
      <c r="BJ32942" s="201"/>
    </row>
    <row r="32943" spans="62:62" x14ac:dyDescent="0.2">
      <c r="BJ32943" s="201"/>
    </row>
    <row r="32944" spans="62:62" x14ac:dyDescent="0.2">
      <c r="BJ32944" s="201"/>
    </row>
    <row r="32945" spans="62:62" x14ac:dyDescent="0.2">
      <c r="BJ32945" s="201"/>
    </row>
    <row r="32946" spans="62:62" x14ac:dyDescent="0.2">
      <c r="BJ32946" s="201"/>
    </row>
    <row r="32947" spans="62:62" x14ac:dyDescent="0.2">
      <c r="BJ32947" s="201"/>
    </row>
    <row r="32948" spans="62:62" x14ac:dyDescent="0.2">
      <c r="BJ32948" s="201"/>
    </row>
    <row r="32949" spans="62:62" x14ac:dyDescent="0.2">
      <c r="BJ32949" s="201"/>
    </row>
    <row r="32950" spans="62:62" x14ac:dyDescent="0.2">
      <c r="BJ32950" s="201"/>
    </row>
    <row r="32951" spans="62:62" x14ac:dyDescent="0.2">
      <c r="BJ32951" s="201"/>
    </row>
    <row r="32952" spans="62:62" x14ac:dyDescent="0.2">
      <c r="BJ32952" s="201"/>
    </row>
    <row r="32953" spans="62:62" x14ac:dyDescent="0.2">
      <c r="BJ32953" s="201"/>
    </row>
    <row r="32954" spans="62:62" x14ac:dyDescent="0.2">
      <c r="BJ32954" s="201"/>
    </row>
    <row r="32955" spans="62:62" x14ac:dyDescent="0.2">
      <c r="BJ32955" s="201"/>
    </row>
    <row r="32956" spans="62:62" x14ac:dyDescent="0.2">
      <c r="BJ32956" s="201"/>
    </row>
    <row r="32957" spans="62:62" x14ac:dyDescent="0.2">
      <c r="BJ32957" s="201"/>
    </row>
    <row r="32958" spans="62:62" x14ac:dyDescent="0.2">
      <c r="BJ32958" s="201"/>
    </row>
    <row r="32959" spans="62:62" x14ac:dyDescent="0.2">
      <c r="BJ32959" s="201"/>
    </row>
    <row r="32960" spans="62:62" x14ac:dyDescent="0.2">
      <c r="BJ32960" s="201"/>
    </row>
    <row r="32961" spans="62:62" x14ac:dyDescent="0.2">
      <c r="BJ32961" s="201"/>
    </row>
    <row r="32962" spans="62:62" x14ac:dyDescent="0.2">
      <c r="BJ32962" s="201"/>
    </row>
    <row r="32963" spans="62:62" x14ac:dyDescent="0.2">
      <c r="BJ32963" s="201"/>
    </row>
    <row r="32964" spans="62:62" x14ac:dyDescent="0.2">
      <c r="BJ32964" s="201"/>
    </row>
    <row r="32965" spans="62:62" x14ac:dyDescent="0.2">
      <c r="BJ32965" s="201"/>
    </row>
    <row r="32966" spans="62:62" x14ac:dyDescent="0.2">
      <c r="BJ32966" s="201"/>
    </row>
    <row r="32967" spans="62:62" x14ac:dyDescent="0.2">
      <c r="BJ32967" s="201"/>
    </row>
    <row r="32968" spans="62:62" x14ac:dyDescent="0.2">
      <c r="BJ32968" s="201"/>
    </row>
    <row r="32969" spans="62:62" x14ac:dyDescent="0.2">
      <c r="BJ32969" s="201"/>
    </row>
    <row r="32970" spans="62:62" x14ac:dyDescent="0.2">
      <c r="BJ32970" s="201"/>
    </row>
    <row r="32971" spans="62:62" x14ac:dyDescent="0.2">
      <c r="BJ32971" s="201"/>
    </row>
    <row r="32972" spans="62:62" x14ac:dyDescent="0.2">
      <c r="BJ32972" s="201"/>
    </row>
    <row r="32973" spans="62:62" x14ac:dyDescent="0.2">
      <c r="BJ32973" s="201"/>
    </row>
    <row r="32974" spans="62:62" x14ac:dyDescent="0.2">
      <c r="BJ32974" s="201"/>
    </row>
    <row r="32975" spans="62:62" x14ac:dyDescent="0.2">
      <c r="BJ32975" s="201"/>
    </row>
    <row r="32976" spans="62:62" x14ac:dyDescent="0.2">
      <c r="BJ32976" s="201"/>
    </row>
    <row r="32977" spans="62:62" x14ac:dyDescent="0.2">
      <c r="BJ32977" s="201"/>
    </row>
    <row r="32978" spans="62:62" x14ac:dyDescent="0.2">
      <c r="BJ32978" s="201"/>
    </row>
    <row r="32979" spans="62:62" x14ac:dyDescent="0.2">
      <c r="BJ32979" s="201"/>
    </row>
    <row r="32980" spans="62:62" x14ac:dyDescent="0.2">
      <c r="BJ32980" s="201"/>
    </row>
    <row r="32981" spans="62:62" x14ac:dyDescent="0.2">
      <c r="BJ32981" s="201"/>
    </row>
    <row r="32982" spans="62:62" x14ac:dyDescent="0.2">
      <c r="BJ32982" s="201"/>
    </row>
    <row r="32983" spans="62:62" x14ac:dyDescent="0.2">
      <c r="BJ32983" s="201"/>
    </row>
    <row r="32984" spans="62:62" x14ac:dyDescent="0.2">
      <c r="BJ32984" s="201"/>
    </row>
    <row r="32985" spans="62:62" x14ac:dyDescent="0.2">
      <c r="BJ32985" s="201"/>
    </row>
    <row r="32986" spans="62:62" x14ac:dyDescent="0.2">
      <c r="BJ32986" s="201"/>
    </row>
    <row r="32987" spans="62:62" x14ac:dyDescent="0.2">
      <c r="BJ32987" s="201"/>
    </row>
    <row r="32988" spans="62:62" x14ac:dyDescent="0.2">
      <c r="BJ32988" s="201"/>
    </row>
    <row r="32989" spans="62:62" x14ac:dyDescent="0.2">
      <c r="BJ32989" s="201"/>
    </row>
    <row r="32990" spans="62:62" x14ac:dyDescent="0.2">
      <c r="BJ32990" s="201"/>
    </row>
    <row r="32991" spans="62:62" x14ac:dyDescent="0.2">
      <c r="BJ32991" s="201"/>
    </row>
    <row r="32992" spans="62:62" x14ac:dyDescent="0.2">
      <c r="BJ32992" s="201"/>
    </row>
    <row r="32993" spans="62:62" x14ac:dyDescent="0.2">
      <c r="BJ32993" s="201"/>
    </row>
    <row r="32994" spans="62:62" x14ac:dyDescent="0.2">
      <c r="BJ32994" s="201"/>
    </row>
    <row r="32995" spans="62:62" x14ac:dyDescent="0.2">
      <c r="BJ32995" s="201"/>
    </row>
    <row r="32996" spans="62:62" x14ac:dyDescent="0.2">
      <c r="BJ32996" s="201"/>
    </row>
    <row r="32997" spans="62:62" x14ac:dyDescent="0.2">
      <c r="BJ32997" s="201"/>
    </row>
    <row r="32998" spans="62:62" x14ac:dyDescent="0.2">
      <c r="BJ32998" s="201"/>
    </row>
    <row r="32999" spans="62:62" x14ac:dyDescent="0.2">
      <c r="BJ32999" s="201"/>
    </row>
    <row r="33000" spans="62:62" x14ac:dyDescent="0.2">
      <c r="BJ33000" s="201"/>
    </row>
    <row r="33001" spans="62:62" x14ac:dyDescent="0.2">
      <c r="BJ33001" s="201"/>
    </row>
    <row r="33002" spans="62:62" x14ac:dyDescent="0.2">
      <c r="BJ33002" s="201"/>
    </row>
    <row r="33003" spans="62:62" x14ac:dyDescent="0.2">
      <c r="BJ33003" s="201"/>
    </row>
    <row r="33004" spans="62:62" x14ac:dyDescent="0.2">
      <c r="BJ33004" s="201"/>
    </row>
    <row r="33005" spans="62:62" x14ac:dyDescent="0.2">
      <c r="BJ33005" s="201"/>
    </row>
    <row r="33006" spans="62:62" x14ac:dyDescent="0.2">
      <c r="BJ33006" s="201"/>
    </row>
    <row r="33007" spans="62:62" x14ac:dyDescent="0.2">
      <c r="BJ33007" s="201"/>
    </row>
    <row r="33008" spans="62:62" x14ac:dyDescent="0.2">
      <c r="BJ33008" s="201"/>
    </row>
    <row r="33009" spans="62:62" x14ac:dyDescent="0.2">
      <c r="BJ33009" s="201"/>
    </row>
    <row r="33010" spans="62:62" x14ac:dyDescent="0.2">
      <c r="BJ33010" s="201"/>
    </row>
    <row r="33011" spans="62:62" x14ac:dyDescent="0.2">
      <c r="BJ33011" s="201"/>
    </row>
    <row r="33012" spans="62:62" x14ac:dyDescent="0.2">
      <c r="BJ33012" s="201"/>
    </row>
    <row r="33013" spans="62:62" x14ac:dyDescent="0.2">
      <c r="BJ33013" s="201"/>
    </row>
    <row r="33014" spans="62:62" x14ac:dyDescent="0.2">
      <c r="BJ33014" s="201"/>
    </row>
    <row r="33015" spans="62:62" x14ac:dyDescent="0.2">
      <c r="BJ33015" s="201"/>
    </row>
    <row r="33016" spans="62:62" x14ac:dyDescent="0.2">
      <c r="BJ33016" s="201"/>
    </row>
    <row r="33017" spans="62:62" x14ac:dyDescent="0.2">
      <c r="BJ33017" s="201"/>
    </row>
    <row r="33018" spans="62:62" x14ac:dyDescent="0.2">
      <c r="BJ33018" s="201"/>
    </row>
    <row r="33019" spans="62:62" x14ac:dyDescent="0.2">
      <c r="BJ33019" s="201"/>
    </row>
    <row r="33020" spans="62:62" x14ac:dyDescent="0.2">
      <c r="BJ33020" s="201"/>
    </row>
    <row r="33021" spans="62:62" x14ac:dyDescent="0.2">
      <c r="BJ33021" s="201"/>
    </row>
    <row r="33022" spans="62:62" x14ac:dyDescent="0.2">
      <c r="BJ33022" s="201"/>
    </row>
    <row r="33023" spans="62:62" x14ac:dyDescent="0.2">
      <c r="BJ33023" s="201"/>
    </row>
    <row r="33024" spans="62:62" x14ac:dyDescent="0.2">
      <c r="BJ33024" s="201"/>
    </row>
    <row r="33025" spans="62:62" x14ac:dyDescent="0.2">
      <c r="BJ33025" s="201"/>
    </row>
    <row r="33026" spans="62:62" x14ac:dyDescent="0.2">
      <c r="BJ33026" s="201"/>
    </row>
    <row r="33027" spans="62:62" x14ac:dyDescent="0.2">
      <c r="BJ33027" s="201"/>
    </row>
    <row r="33028" spans="62:62" x14ac:dyDescent="0.2">
      <c r="BJ33028" s="201"/>
    </row>
    <row r="33029" spans="62:62" x14ac:dyDescent="0.2">
      <c r="BJ33029" s="201"/>
    </row>
    <row r="33030" spans="62:62" x14ac:dyDescent="0.2">
      <c r="BJ33030" s="201"/>
    </row>
    <row r="33031" spans="62:62" x14ac:dyDescent="0.2">
      <c r="BJ33031" s="201"/>
    </row>
    <row r="33032" spans="62:62" x14ac:dyDescent="0.2">
      <c r="BJ33032" s="201"/>
    </row>
    <row r="33033" spans="62:62" x14ac:dyDescent="0.2">
      <c r="BJ33033" s="201"/>
    </row>
    <row r="33034" spans="62:62" x14ac:dyDescent="0.2">
      <c r="BJ33034" s="201"/>
    </row>
    <row r="33035" spans="62:62" x14ac:dyDescent="0.2">
      <c r="BJ33035" s="201"/>
    </row>
    <row r="33036" spans="62:62" x14ac:dyDescent="0.2">
      <c r="BJ33036" s="201"/>
    </row>
    <row r="33037" spans="62:62" x14ac:dyDescent="0.2">
      <c r="BJ33037" s="201"/>
    </row>
    <row r="33038" spans="62:62" x14ac:dyDescent="0.2">
      <c r="BJ33038" s="201"/>
    </row>
    <row r="33039" spans="62:62" x14ac:dyDescent="0.2">
      <c r="BJ33039" s="201"/>
    </row>
    <row r="33040" spans="62:62" x14ac:dyDescent="0.2">
      <c r="BJ33040" s="201"/>
    </row>
    <row r="33041" spans="62:62" x14ac:dyDescent="0.2">
      <c r="BJ33041" s="201"/>
    </row>
    <row r="33042" spans="62:62" x14ac:dyDescent="0.2">
      <c r="BJ33042" s="201"/>
    </row>
    <row r="33043" spans="62:62" x14ac:dyDescent="0.2">
      <c r="BJ33043" s="201"/>
    </row>
    <row r="33044" spans="62:62" x14ac:dyDescent="0.2">
      <c r="BJ33044" s="201"/>
    </row>
    <row r="33045" spans="62:62" x14ac:dyDescent="0.2">
      <c r="BJ33045" s="201"/>
    </row>
    <row r="33046" spans="62:62" x14ac:dyDescent="0.2">
      <c r="BJ33046" s="201"/>
    </row>
    <row r="33047" spans="62:62" x14ac:dyDescent="0.2">
      <c r="BJ33047" s="201"/>
    </row>
    <row r="33048" spans="62:62" x14ac:dyDescent="0.2">
      <c r="BJ33048" s="201"/>
    </row>
    <row r="33049" spans="62:62" x14ac:dyDescent="0.2">
      <c r="BJ33049" s="201"/>
    </row>
    <row r="33050" spans="62:62" x14ac:dyDescent="0.2">
      <c r="BJ33050" s="201"/>
    </row>
    <row r="33051" spans="62:62" x14ac:dyDescent="0.2">
      <c r="BJ33051" s="201"/>
    </row>
    <row r="33052" spans="62:62" x14ac:dyDescent="0.2">
      <c r="BJ33052" s="201"/>
    </row>
    <row r="33053" spans="62:62" x14ac:dyDescent="0.2">
      <c r="BJ33053" s="201"/>
    </row>
    <row r="33054" spans="62:62" x14ac:dyDescent="0.2">
      <c r="BJ33054" s="201"/>
    </row>
    <row r="33055" spans="62:62" x14ac:dyDescent="0.2">
      <c r="BJ33055" s="201"/>
    </row>
    <row r="33056" spans="62:62" x14ac:dyDescent="0.2">
      <c r="BJ33056" s="201"/>
    </row>
    <row r="33057" spans="62:62" x14ac:dyDescent="0.2">
      <c r="BJ33057" s="201"/>
    </row>
    <row r="33058" spans="62:62" x14ac:dyDescent="0.2">
      <c r="BJ33058" s="201"/>
    </row>
    <row r="33059" spans="62:62" x14ac:dyDescent="0.2">
      <c r="BJ33059" s="201"/>
    </row>
    <row r="33060" spans="62:62" x14ac:dyDescent="0.2">
      <c r="BJ33060" s="201"/>
    </row>
    <row r="33061" spans="62:62" x14ac:dyDescent="0.2">
      <c r="BJ33061" s="201"/>
    </row>
    <row r="33062" spans="62:62" x14ac:dyDescent="0.2">
      <c r="BJ33062" s="201"/>
    </row>
    <row r="33063" spans="62:62" x14ac:dyDescent="0.2">
      <c r="BJ33063" s="201"/>
    </row>
    <row r="33064" spans="62:62" x14ac:dyDescent="0.2">
      <c r="BJ33064" s="201"/>
    </row>
    <row r="33065" spans="62:62" x14ac:dyDescent="0.2">
      <c r="BJ33065" s="201"/>
    </row>
    <row r="33066" spans="62:62" x14ac:dyDescent="0.2">
      <c r="BJ33066" s="201"/>
    </row>
    <row r="33067" spans="62:62" x14ac:dyDescent="0.2">
      <c r="BJ33067" s="201"/>
    </row>
    <row r="33068" spans="62:62" x14ac:dyDescent="0.2">
      <c r="BJ33068" s="201"/>
    </row>
    <row r="33069" spans="62:62" x14ac:dyDescent="0.2">
      <c r="BJ33069" s="201"/>
    </row>
    <row r="33070" spans="62:62" x14ac:dyDescent="0.2">
      <c r="BJ33070" s="201"/>
    </row>
    <row r="33071" spans="62:62" x14ac:dyDescent="0.2">
      <c r="BJ33071" s="201"/>
    </row>
    <row r="33072" spans="62:62" x14ac:dyDescent="0.2">
      <c r="BJ33072" s="201"/>
    </row>
    <row r="33073" spans="62:62" x14ac:dyDescent="0.2">
      <c r="BJ33073" s="201"/>
    </row>
    <row r="33074" spans="62:62" x14ac:dyDescent="0.2">
      <c r="BJ33074" s="201"/>
    </row>
    <row r="33075" spans="62:62" x14ac:dyDescent="0.2">
      <c r="BJ33075" s="201"/>
    </row>
    <row r="33076" spans="62:62" x14ac:dyDescent="0.2">
      <c r="BJ33076" s="201"/>
    </row>
    <row r="33077" spans="62:62" x14ac:dyDescent="0.2">
      <c r="BJ33077" s="201"/>
    </row>
    <row r="33078" spans="62:62" x14ac:dyDescent="0.2">
      <c r="BJ33078" s="201"/>
    </row>
    <row r="33079" spans="62:62" x14ac:dyDescent="0.2">
      <c r="BJ33079" s="201"/>
    </row>
    <row r="33080" spans="62:62" x14ac:dyDescent="0.2">
      <c r="BJ33080" s="201"/>
    </row>
    <row r="33081" spans="62:62" x14ac:dyDescent="0.2">
      <c r="BJ33081" s="201"/>
    </row>
    <row r="33082" spans="62:62" x14ac:dyDescent="0.2">
      <c r="BJ33082" s="201"/>
    </row>
    <row r="33083" spans="62:62" x14ac:dyDescent="0.2">
      <c r="BJ33083" s="201"/>
    </row>
    <row r="33084" spans="62:62" x14ac:dyDescent="0.2">
      <c r="BJ33084" s="201"/>
    </row>
    <row r="33085" spans="62:62" x14ac:dyDescent="0.2">
      <c r="BJ33085" s="201"/>
    </row>
    <row r="33086" spans="62:62" x14ac:dyDescent="0.2">
      <c r="BJ33086" s="201"/>
    </row>
    <row r="33087" spans="62:62" x14ac:dyDescent="0.2">
      <c r="BJ33087" s="201"/>
    </row>
    <row r="33088" spans="62:62" x14ac:dyDescent="0.2">
      <c r="BJ33088" s="201"/>
    </row>
    <row r="33089" spans="62:62" x14ac:dyDescent="0.2">
      <c r="BJ33089" s="201"/>
    </row>
    <row r="33090" spans="62:62" x14ac:dyDescent="0.2">
      <c r="BJ33090" s="201"/>
    </row>
    <row r="33091" spans="62:62" x14ac:dyDescent="0.2">
      <c r="BJ33091" s="201"/>
    </row>
    <row r="33092" spans="62:62" x14ac:dyDescent="0.2">
      <c r="BJ33092" s="201"/>
    </row>
    <row r="33093" spans="62:62" x14ac:dyDescent="0.2">
      <c r="BJ33093" s="201"/>
    </row>
    <row r="33094" spans="62:62" x14ac:dyDescent="0.2">
      <c r="BJ33094" s="201"/>
    </row>
    <row r="33095" spans="62:62" x14ac:dyDescent="0.2">
      <c r="BJ33095" s="201"/>
    </row>
    <row r="33096" spans="62:62" x14ac:dyDescent="0.2">
      <c r="BJ33096" s="201"/>
    </row>
    <row r="33097" spans="62:62" x14ac:dyDescent="0.2">
      <c r="BJ33097" s="201"/>
    </row>
    <row r="33098" spans="62:62" x14ac:dyDescent="0.2">
      <c r="BJ33098" s="201"/>
    </row>
    <row r="33099" spans="62:62" x14ac:dyDescent="0.2">
      <c r="BJ33099" s="201"/>
    </row>
    <row r="33100" spans="62:62" x14ac:dyDescent="0.2">
      <c r="BJ33100" s="201"/>
    </row>
    <row r="33101" spans="62:62" x14ac:dyDescent="0.2">
      <c r="BJ33101" s="201"/>
    </row>
    <row r="33102" spans="62:62" x14ac:dyDescent="0.2">
      <c r="BJ33102" s="201"/>
    </row>
    <row r="33103" spans="62:62" x14ac:dyDescent="0.2">
      <c r="BJ33103" s="201"/>
    </row>
    <row r="33104" spans="62:62" x14ac:dyDescent="0.2">
      <c r="BJ33104" s="201"/>
    </row>
    <row r="33105" spans="62:62" x14ac:dyDescent="0.2">
      <c r="BJ33105" s="201"/>
    </row>
    <row r="33106" spans="62:62" x14ac:dyDescent="0.2">
      <c r="BJ33106" s="201"/>
    </row>
    <row r="33107" spans="62:62" x14ac:dyDescent="0.2">
      <c r="BJ33107" s="201"/>
    </row>
    <row r="33108" spans="62:62" x14ac:dyDescent="0.2">
      <c r="BJ33108" s="201"/>
    </row>
    <row r="33109" spans="62:62" x14ac:dyDescent="0.2">
      <c r="BJ33109" s="201"/>
    </row>
    <row r="33110" spans="62:62" x14ac:dyDescent="0.2">
      <c r="BJ33110" s="201"/>
    </row>
    <row r="33111" spans="62:62" x14ac:dyDescent="0.2">
      <c r="BJ33111" s="201"/>
    </row>
    <row r="33112" spans="62:62" x14ac:dyDescent="0.2">
      <c r="BJ33112" s="201"/>
    </row>
    <row r="33113" spans="62:62" x14ac:dyDescent="0.2">
      <c r="BJ33113" s="201"/>
    </row>
    <row r="33114" spans="62:62" x14ac:dyDescent="0.2">
      <c r="BJ33114" s="201"/>
    </row>
    <row r="33115" spans="62:62" x14ac:dyDescent="0.2">
      <c r="BJ33115" s="201"/>
    </row>
    <row r="33116" spans="62:62" x14ac:dyDescent="0.2">
      <c r="BJ33116" s="201"/>
    </row>
    <row r="33117" spans="62:62" x14ac:dyDescent="0.2">
      <c r="BJ33117" s="201"/>
    </row>
    <row r="33118" spans="62:62" x14ac:dyDescent="0.2">
      <c r="BJ33118" s="201"/>
    </row>
    <row r="33119" spans="62:62" x14ac:dyDescent="0.2">
      <c r="BJ33119" s="201"/>
    </row>
    <row r="33120" spans="62:62" x14ac:dyDescent="0.2">
      <c r="BJ33120" s="201"/>
    </row>
    <row r="33121" spans="62:62" x14ac:dyDescent="0.2">
      <c r="BJ33121" s="201"/>
    </row>
    <row r="33122" spans="62:62" x14ac:dyDescent="0.2">
      <c r="BJ33122" s="201"/>
    </row>
    <row r="33123" spans="62:62" x14ac:dyDescent="0.2">
      <c r="BJ33123" s="201"/>
    </row>
    <row r="33124" spans="62:62" x14ac:dyDescent="0.2">
      <c r="BJ33124" s="201"/>
    </row>
    <row r="33125" spans="62:62" x14ac:dyDescent="0.2">
      <c r="BJ33125" s="201"/>
    </row>
    <row r="33126" spans="62:62" x14ac:dyDescent="0.2">
      <c r="BJ33126" s="201"/>
    </row>
    <row r="33127" spans="62:62" x14ac:dyDescent="0.2">
      <c r="BJ33127" s="201"/>
    </row>
    <row r="33128" spans="62:62" x14ac:dyDescent="0.2">
      <c r="BJ33128" s="201"/>
    </row>
    <row r="33129" spans="62:62" x14ac:dyDescent="0.2">
      <c r="BJ33129" s="201"/>
    </row>
    <row r="33130" spans="62:62" x14ac:dyDescent="0.2">
      <c r="BJ33130" s="201"/>
    </row>
    <row r="33131" spans="62:62" x14ac:dyDescent="0.2">
      <c r="BJ33131" s="201"/>
    </row>
    <row r="33132" spans="62:62" x14ac:dyDescent="0.2">
      <c r="BJ33132" s="201"/>
    </row>
    <row r="33133" spans="62:62" x14ac:dyDescent="0.2">
      <c r="BJ33133" s="201"/>
    </row>
    <row r="33134" spans="62:62" x14ac:dyDescent="0.2">
      <c r="BJ33134" s="201"/>
    </row>
    <row r="33135" spans="62:62" x14ac:dyDescent="0.2">
      <c r="BJ33135" s="201"/>
    </row>
    <row r="33136" spans="62:62" x14ac:dyDescent="0.2">
      <c r="BJ33136" s="201"/>
    </row>
    <row r="33137" spans="62:62" x14ac:dyDescent="0.2">
      <c r="BJ33137" s="201"/>
    </row>
    <row r="33138" spans="62:62" x14ac:dyDescent="0.2">
      <c r="BJ33138" s="201"/>
    </row>
    <row r="33139" spans="62:62" x14ac:dyDescent="0.2">
      <c r="BJ33139" s="201"/>
    </row>
    <row r="33140" spans="62:62" x14ac:dyDescent="0.2">
      <c r="BJ33140" s="201"/>
    </row>
    <row r="33141" spans="62:62" x14ac:dyDescent="0.2">
      <c r="BJ33141" s="201"/>
    </row>
    <row r="33142" spans="62:62" x14ac:dyDescent="0.2">
      <c r="BJ33142" s="201"/>
    </row>
    <row r="33143" spans="62:62" x14ac:dyDescent="0.2">
      <c r="BJ33143" s="201"/>
    </row>
    <row r="33144" spans="62:62" x14ac:dyDescent="0.2">
      <c r="BJ33144" s="201"/>
    </row>
    <row r="33145" spans="62:62" x14ac:dyDescent="0.2">
      <c r="BJ33145" s="201"/>
    </row>
    <row r="33146" spans="62:62" x14ac:dyDescent="0.2">
      <c r="BJ33146" s="201"/>
    </row>
    <row r="33147" spans="62:62" x14ac:dyDescent="0.2">
      <c r="BJ33147" s="201"/>
    </row>
    <row r="33148" spans="62:62" x14ac:dyDescent="0.2">
      <c r="BJ33148" s="201"/>
    </row>
    <row r="33149" spans="62:62" x14ac:dyDescent="0.2">
      <c r="BJ33149" s="201"/>
    </row>
    <row r="33150" spans="62:62" x14ac:dyDescent="0.2">
      <c r="BJ33150" s="201"/>
    </row>
    <row r="33151" spans="62:62" x14ac:dyDescent="0.2">
      <c r="BJ33151" s="201"/>
    </row>
    <row r="33152" spans="62:62" x14ac:dyDescent="0.2">
      <c r="BJ33152" s="201"/>
    </row>
    <row r="33153" spans="62:62" x14ac:dyDescent="0.2">
      <c r="BJ33153" s="201"/>
    </row>
    <row r="33154" spans="62:62" x14ac:dyDescent="0.2">
      <c r="BJ33154" s="201"/>
    </row>
    <row r="33155" spans="62:62" x14ac:dyDescent="0.2">
      <c r="BJ33155" s="201"/>
    </row>
    <row r="33156" spans="62:62" x14ac:dyDescent="0.2">
      <c r="BJ33156" s="201"/>
    </row>
    <row r="33157" spans="62:62" x14ac:dyDescent="0.2">
      <c r="BJ33157" s="201"/>
    </row>
    <row r="33158" spans="62:62" x14ac:dyDescent="0.2">
      <c r="BJ33158" s="201"/>
    </row>
    <row r="33159" spans="62:62" x14ac:dyDescent="0.2">
      <c r="BJ33159" s="201"/>
    </row>
    <row r="33160" spans="62:62" x14ac:dyDescent="0.2">
      <c r="BJ33160" s="201"/>
    </row>
    <row r="33161" spans="62:62" x14ac:dyDescent="0.2">
      <c r="BJ33161" s="201"/>
    </row>
    <row r="33162" spans="62:62" x14ac:dyDescent="0.2">
      <c r="BJ33162" s="201"/>
    </row>
    <row r="33163" spans="62:62" x14ac:dyDescent="0.2">
      <c r="BJ33163" s="201"/>
    </row>
    <row r="33164" spans="62:62" x14ac:dyDescent="0.2">
      <c r="BJ33164" s="201"/>
    </row>
    <row r="33165" spans="62:62" x14ac:dyDescent="0.2">
      <c r="BJ33165" s="201"/>
    </row>
    <row r="33166" spans="62:62" x14ac:dyDescent="0.2">
      <c r="BJ33166" s="201"/>
    </row>
    <row r="33167" spans="62:62" x14ac:dyDescent="0.2">
      <c r="BJ33167" s="201"/>
    </row>
    <row r="33168" spans="62:62" x14ac:dyDescent="0.2">
      <c r="BJ33168" s="201"/>
    </row>
    <row r="33169" spans="62:62" x14ac:dyDescent="0.2">
      <c r="BJ33169" s="201"/>
    </row>
    <row r="33170" spans="62:62" x14ac:dyDescent="0.2">
      <c r="BJ33170" s="201"/>
    </row>
    <row r="33171" spans="62:62" x14ac:dyDescent="0.2">
      <c r="BJ33171" s="201"/>
    </row>
    <row r="33172" spans="62:62" x14ac:dyDescent="0.2">
      <c r="BJ33172" s="201"/>
    </row>
    <row r="33173" spans="62:62" x14ac:dyDescent="0.2">
      <c r="BJ33173" s="201"/>
    </row>
    <row r="33174" spans="62:62" x14ac:dyDescent="0.2">
      <c r="BJ33174" s="201"/>
    </row>
    <row r="33175" spans="62:62" x14ac:dyDescent="0.2">
      <c r="BJ33175" s="201"/>
    </row>
    <row r="33176" spans="62:62" x14ac:dyDescent="0.2">
      <c r="BJ33176" s="201"/>
    </row>
    <row r="33177" spans="62:62" x14ac:dyDescent="0.2">
      <c r="BJ33177" s="201"/>
    </row>
    <row r="33178" spans="62:62" x14ac:dyDescent="0.2">
      <c r="BJ33178" s="201"/>
    </row>
    <row r="33179" spans="62:62" x14ac:dyDescent="0.2">
      <c r="BJ33179" s="201"/>
    </row>
    <row r="33180" spans="62:62" x14ac:dyDescent="0.2">
      <c r="BJ33180" s="201"/>
    </row>
    <row r="33181" spans="62:62" x14ac:dyDescent="0.2">
      <c r="BJ33181" s="201"/>
    </row>
    <row r="33182" spans="62:62" x14ac:dyDescent="0.2">
      <c r="BJ33182" s="201"/>
    </row>
    <row r="33183" spans="62:62" x14ac:dyDescent="0.2">
      <c r="BJ33183" s="201"/>
    </row>
    <row r="33184" spans="62:62" x14ac:dyDescent="0.2">
      <c r="BJ33184" s="201"/>
    </row>
    <row r="33185" spans="62:62" x14ac:dyDescent="0.2">
      <c r="BJ33185" s="201"/>
    </row>
    <row r="33186" spans="62:62" x14ac:dyDescent="0.2">
      <c r="BJ33186" s="201"/>
    </row>
    <row r="33187" spans="62:62" x14ac:dyDescent="0.2">
      <c r="BJ33187" s="201"/>
    </row>
    <row r="33188" spans="62:62" x14ac:dyDescent="0.2">
      <c r="BJ33188" s="201"/>
    </row>
    <row r="33189" spans="62:62" x14ac:dyDescent="0.2">
      <c r="BJ33189" s="201"/>
    </row>
    <row r="33190" spans="62:62" x14ac:dyDescent="0.2">
      <c r="BJ33190" s="201"/>
    </row>
    <row r="33191" spans="62:62" x14ac:dyDescent="0.2">
      <c r="BJ33191" s="201"/>
    </row>
    <row r="33192" spans="62:62" x14ac:dyDescent="0.2">
      <c r="BJ33192" s="201"/>
    </row>
    <row r="33193" spans="62:62" x14ac:dyDescent="0.2">
      <c r="BJ33193" s="201"/>
    </row>
    <row r="33194" spans="62:62" x14ac:dyDescent="0.2">
      <c r="BJ33194" s="201"/>
    </row>
    <row r="33195" spans="62:62" x14ac:dyDescent="0.2">
      <c r="BJ33195" s="201"/>
    </row>
    <row r="33196" spans="62:62" x14ac:dyDescent="0.2">
      <c r="BJ33196" s="201"/>
    </row>
    <row r="33197" spans="62:62" x14ac:dyDescent="0.2">
      <c r="BJ33197" s="201"/>
    </row>
    <row r="33198" spans="62:62" x14ac:dyDescent="0.2">
      <c r="BJ33198" s="201"/>
    </row>
    <row r="33199" spans="62:62" x14ac:dyDescent="0.2">
      <c r="BJ33199" s="201"/>
    </row>
    <row r="33200" spans="62:62" x14ac:dyDescent="0.2">
      <c r="BJ33200" s="201"/>
    </row>
    <row r="33201" spans="62:62" x14ac:dyDescent="0.2">
      <c r="BJ33201" s="201"/>
    </row>
    <row r="33202" spans="62:62" x14ac:dyDescent="0.2">
      <c r="BJ33202" s="201"/>
    </row>
    <row r="33203" spans="62:62" x14ac:dyDescent="0.2">
      <c r="BJ33203" s="201"/>
    </row>
    <row r="33204" spans="62:62" x14ac:dyDescent="0.2">
      <c r="BJ33204" s="201"/>
    </row>
    <row r="33205" spans="62:62" x14ac:dyDescent="0.2">
      <c r="BJ33205" s="201"/>
    </row>
    <row r="33206" spans="62:62" x14ac:dyDescent="0.2">
      <c r="BJ33206" s="201"/>
    </row>
    <row r="33207" spans="62:62" x14ac:dyDescent="0.2">
      <c r="BJ33207" s="201"/>
    </row>
    <row r="33208" spans="62:62" x14ac:dyDescent="0.2">
      <c r="BJ33208" s="201"/>
    </row>
    <row r="33209" spans="62:62" x14ac:dyDescent="0.2">
      <c r="BJ33209" s="201"/>
    </row>
    <row r="33210" spans="62:62" x14ac:dyDescent="0.2">
      <c r="BJ33210" s="201"/>
    </row>
    <row r="33211" spans="62:62" x14ac:dyDescent="0.2">
      <c r="BJ33211" s="201"/>
    </row>
    <row r="33212" spans="62:62" x14ac:dyDescent="0.2">
      <c r="BJ33212" s="201"/>
    </row>
    <row r="33213" spans="62:62" x14ac:dyDescent="0.2">
      <c r="BJ33213" s="201"/>
    </row>
    <row r="33214" spans="62:62" x14ac:dyDescent="0.2">
      <c r="BJ33214" s="201"/>
    </row>
    <row r="33215" spans="62:62" x14ac:dyDescent="0.2">
      <c r="BJ33215" s="201"/>
    </row>
    <row r="33216" spans="62:62" x14ac:dyDescent="0.2">
      <c r="BJ33216" s="201"/>
    </row>
    <row r="33217" spans="62:62" x14ac:dyDescent="0.2">
      <c r="BJ33217" s="201"/>
    </row>
    <row r="33218" spans="62:62" x14ac:dyDescent="0.2">
      <c r="BJ33218" s="201"/>
    </row>
    <row r="33219" spans="62:62" x14ac:dyDescent="0.2">
      <c r="BJ33219" s="201"/>
    </row>
    <row r="33220" spans="62:62" x14ac:dyDescent="0.2">
      <c r="BJ33220" s="201"/>
    </row>
    <row r="33221" spans="62:62" x14ac:dyDescent="0.2">
      <c r="BJ33221" s="201"/>
    </row>
    <row r="33222" spans="62:62" x14ac:dyDescent="0.2">
      <c r="BJ33222" s="201"/>
    </row>
    <row r="33223" spans="62:62" x14ac:dyDescent="0.2">
      <c r="BJ33223" s="201"/>
    </row>
    <row r="33224" spans="62:62" x14ac:dyDescent="0.2">
      <c r="BJ33224" s="201"/>
    </row>
    <row r="33225" spans="62:62" x14ac:dyDescent="0.2">
      <c r="BJ33225" s="201"/>
    </row>
    <row r="33226" spans="62:62" x14ac:dyDescent="0.2">
      <c r="BJ33226" s="201"/>
    </row>
    <row r="33227" spans="62:62" x14ac:dyDescent="0.2">
      <c r="BJ33227" s="201"/>
    </row>
    <row r="33228" spans="62:62" x14ac:dyDescent="0.2">
      <c r="BJ33228" s="201"/>
    </row>
    <row r="33229" spans="62:62" x14ac:dyDescent="0.2">
      <c r="BJ33229" s="201"/>
    </row>
    <row r="33230" spans="62:62" x14ac:dyDescent="0.2">
      <c r="BJ33230" s="201"/>
    </row>
    <row r="33231" spans="62:62" x14ac:dyDescent="0.2">
      <c r="BJ33231" s="201"/>
    </row>
    <row r="33232" spans="62:62" x14ac:dyDescent="0.2">
      <c r="BJ33232" s="201"/>
    </row>
    <row r="33233" spans="62:62" x14ac:dyDescent="0.2">
      <c r="BJ33233" s="201"/>
    </row>
    <row r="33234" spans="62:62" x14ac:dyDescent="0.2">
      <c r="BJ33234" s="201"/>
    </row>
    <row r="33235" spans="62:62" x14ac:dyDescent="0.2">
      <c r="BJ33235" s="201"/>
    </row>
    <row r="33236" spans="62:62" x14ac:dyDescent="0.2">
      <c r="BJ33236" s="201"/>
    </row>
    <row r="33237" spans="62:62" x14ac:dyDescent="0.2">
      <c r="BJ33237" s="201"/>
    </row>
    <row r="33238" spans="62:62" x14ac:dyDescent="0.2">
      <c r="BJ33238" s="201"/>
    </row>
    <row r="33239" spans="62:62" x14ac:dyDescent="0.2">
      <c r="BJ33239" s="201"/>
    </row>
    <row r="33240" spans="62:62" x14ac:dyDescent="0.2">
      <c r="BJ33240" s="201"/>
    </row>
    <row r="33241" spans="62:62" x14ac:dyDescent="0.2">
      <c r="BJ33241" s="201"/>
    </row>
    <row r="33242" spans="62:62" x14ac:dyDescent="0.2">
      <c r="BJ33242" s="201"/>
    </row>
    <row r="33243" spans="62:62" x14ac:dyDescent="0.2">
      <c r="BJ33243" s="201"/>
    </row>
    <row r="33244" spans="62:62" x14ac:dyDescent="0.2">
      <c r="BJ33244" s="201"/>
    </row>
    <row r="33245" spans="62:62" x14ac:dyDescent="0.2">
      <c r="BJ33245" s="201"/>
    </row>
    <row r="33246" spans="62:62" x14ac:dyDescent="0.2">
      <c r="BJ33246" s="201"/>
    </row>
    <row r="33247" spans="62:62" x14ac:dyDescent="0.2">
      <c r="BJ33247" s="201"/>
    </row>
    <row r="33248" spans="62:62" x14ac:dyDescent="0.2">
      <c r="BJ33248" s="201"/>
    </row>
    <row r="33249" spans="62:62" x14ac:dyDescent="0.2">
      <c r="BJ33249" s="201"/>
    </row>
    <row r="33250" spans="62:62" x14ac:dyDescent="0.2">
      <c r="BJ33250" s="201"/>
    </row>
    <row r="33251" spans="62:62" x14ac:dyDescent="0.2">
      <c r="BJ33251" s="201"/>
    </row>
    <row r="33252" spans="62:62" x14ac:dyDescent="0.2">
      <c r="BJ33252" s="201"/>
    </row>
    <row r="33253" spans="62:62" x14ac:dyDescent="0.2">
      <c r="BJ33253" s="201"/>
    </row>
    <row r="33254" spans="62:62" x14ac:dyDescent="0.2">
      <c r="BJ33254" s="201"/>
    </row>
    <row r="33255" spans="62:62" x14ac:dyDescent="0.2">
      <c r="BJ33255" s="201"/>
    </row>
    <row r="33256" spans="62:62" x14ac:dyDescent="0.2">
      <c r="BJ33256" s="201"/>
    </row>
    <row r="33257" spans="62:62" x14ac:dyDescent="0.2">
      <c r="BJ33257" s="201"/>
    </row>
    <row r="33258" spans="62:62" x14ac:dyDescent="0.2">
      <c r="BJ33258" s="201"/>
    </row>
    <row r="33259" spans="62:62" x14ac:dyDescent="0.2">
      <c r="BJ33259" s="201"/>
    </row>
    <row r="33260" spans="62:62" x14ac:dyDescent="0.2">
      <c r="BJ33260" s="201"/>
    </row>
    <row r="33261" spans="62:62" x14ac:dyDescent="0.2">
      <c r="BJ33261" s="201"/>
    </row>
    <row r="33262" spans="62:62" x14ac:dyDescent="0.2">
      <c r="BJ33262" s="201"/>
    </row>
    <row r="33263" spans="62:62" x14ac:dyDescent="0.2">
      <c r="BJ33263" s="201"/>
    </row>
    <row r="33264" spans="62:62" x14ac:dyDescent="0.2">
      <c r="BJ33264" s="201"/>
    </row>
    <row r="33265" spans="62:62" x14ac:dyDescent="0.2">
      <c r="BJ33265" s="201"/>
    </row>
    <row r="33266" spans="62:62" x14ac:dyDescent="0.2">
      <c r="BJ33266" s="201"/>
    </row>
    <row r="33267" spans="62:62" x14ac:dyDescent="0.2">
      <c r="BJ33267" s="201"/>
    </row>
    <row r="33268" spans="62:62" x14ac:dyDescent="0.2">
      <c r="BJ33268" s="201"/>
    </row>
    <row r="33269" spans="62:62" x14ac:dyDescent="0.2">
      <c r="BJ33269" s="201"/>
    </row>
    <row r="33270" spans="62:62" x14ac:dyDescent="0.2">
      <c r="BJ33270" s="201"/>
    </row>
    <row r="33271" spans="62:62" x14ac:dyDescent="0.2">
      <c r="BJ33271" s="201"/>
    </row>
    <row r="33272" spans="62:62" x14ac:dyDescent="0.2">
      <c r="BJ33272" s="201"/>
    </row>
    <row r="33273" spans="62:62" x14ac:dyDescent="0.2">
      <c r="BJ33273" s="201"/>
    </row>
    <row r="33274" spans="62:62" x14ac:dyDescent="0.2">
      <c r="BJ33274" s="201"/>
    </row>
    <row r="33275" spans="62:62" x14ac:dyDescent="0.2">
      <c r="BJ33275" s="201"/>
    </row>
    <row r="33276" spans="62:62" x14ac:dyDescent="0.2">
      <c r="BJ33276" s="201"/>
    </row>
    <row r="33277" spans="62:62" x14ac:dyDescent="0.2">
      <c r="BJ33277" s="201"/>
    </row>
    <row r="33278" spans="62:62" x14ac:dyDescent="0.2">
      <c r="BJ33278" s="201"/>
    </row>
    <row r="33279" spans="62:62" x14ac:dyDescent="0.2">
      <c r="BJ33279" s="201"/>
    </row>
    <row r="33280" spans="62:62" x14ac:dyDescent="0.2">
      <c r="BJ33280" s="201"/>
    </row>
    <row r="33281" spans="62:62" x14ac:dyDescent="0.2">
      <c r="BJ33281" s="201"/>
    </row>
    <row r="33282" spans="62:62" x14ac:dyDescent="0.2">
      <c r="BJ33282" s="201"/>
    </row>
    <row r="33283" spans="62:62" x14ac:dyDescent="0.2">
      <c r="BJ33283" s="201"/>
    </row>
    <row r="33284" spans="62:62" x14ac:dyDescent="0.2">
      <c r="BJ33284" s="201"/>
    </row>
    <row r="33285" spans="62:62" x14ac:dyDescent="0.2">
      <c r="BJ33285" s="201"/>
    </row>
    <row r="33286" spans="62:62" x14ac:dyDescent="0.2">
      <c r="BJ33286" s="201"/>
    </row>
    <row r="33287" spans="62:62" x14ac:dyDescent="0.2">
      <c r="BJ33287" s="201"/>
    </row>
    <row r="33288" spans="62:62" x14ac:dyDescent="0.2">
      <c r="BJ33288" s="201"/>
    </row>
    <row r="33289" spans="62:62" x14ac:dyDescent="0.2">
      <c r="BJ33289" s="201"/>
    </row>
    <row r="33290" spans="62:62" x14ac:dyDescent="0.2">
      <c r="BJ33290" s="201"/>
    </row>
    <row r="33291" spans="62:62" x14ac:dyDescent="0.2">
      <c r="BJ33291" s="201"/>
    </row>
    <row r="33292" spans="62:62" x14ac:dyDescent="0.2">
      <c r="BJ33292" s="201"/>
    </row>
    <row r="33293" spans="62:62" x14ac:dyDescent="0.2">
      <c r="BJ33293" s="201"/>
    </row>
    <row r="33294" spans="62:62" x14ac:dyDescent="0.2">
      <c r="BJ33294" s="201"/>
    </row>
    <row r="33295" spans="62:62" x14ac:dyDescent="0.2">
      <c r="BJ33295" s="201"/>
    </row>
    <row r="33296" spans="62:62" x14ac:dyDescent="0.2">
      <c r="BJ33296" s="201"/>
    </row>
    <row r="33297" spans="62:62" x14ac:dyDescent="0.2">
      <c r="BJ33297" s="201"/>
    </row>
    <row r="33298" spans="62:62" x14ac:dyDescent="0.2">
      <c r="BJ33298" s="201"/>
    </row>
    <row r="33299" spans="62:62" x14ac:dyDescent="0.2">
      <c r="BJ33299" s="201"/>
    </row>
    <row r="33300" spans="62:62" x14ac:dyDescent="0.2">
      <c r="BJ33300" s="201"/>
    </row>
    <row r="33301" spans="62:62" x14ac:dyDescent="0.2">
      <c r="BJ33301" s="201"/>
    </row>
    <row r="33302" spans="62:62" x14ac:dyDescent="0.2">
      <c r="BJ33302" s="201"/>
    </row>
    <row r="33303" spans="62:62" x14ac:dyDescent="0.2">
      <c r="BJ33303" s="201"/>
    </row>
    <row r="33304" spans="62:62" x14ac:dyDescent="0.2">
      <c r="BJ33304" s="201"/>
    </row>
    <row r="33305" spans="62:62" x14ac:dyDescent="0.2">
      <c r="BJ33305" s="201"/>
    </row>
    <row r="33306" spans="62:62" x14ac:dyDescent="0.2">
      <c r="BJ33306" s="201"/>
    </row>
    <row r="33307" spans="62:62" x14ac:dyDescent="0.2">
      <c r="BJ33307" s="201"/>
    </row>
    <row r="33308" spans="62:62" x14ac:dyDescent="0.2">
      <c r="BJ33308" s="201"/>
    </row>
    <row r="33309" spans="62:62" x14ac:dyDescent="0.2">
      <c r="BJ33309" s="201"/>
    </row>
    <row r="33310" spans="62:62" x14ac:dyDescent="0.2">
      <c r="BJ33310" s="201"/>
    </row>
    <row r="33311" spans="62:62" x14ac:dyDescent="0.2">
      <c r="BJ33311" s="201"/>
    </row>
    <row r="33312" spans="62:62" x14ac:dyDescent="0.2">
      <c r="BJ33312" s="201"/>
    </row>
    <row r="33313" spans="62:62" x14ac:dyDescent="0.2">
      <c r="BJ33313" s="201"/>
    </row>
    <row r="33314" spans="62:62" x14ac:dyDescent="0.2">
      <c r="BJ33314" s="201"/>
    </row>
    <row r="33315" spans="62:62" x14ac:dyDescent="0.2">
      <c r="BJ33315" s="201"/>
    </row>
    <row r="33316" spans="62:62" x14ac:dyDescent="0.2">
      <c r="BJ33316" s="201"/>
    </row>
    <row r="33317" spans="62:62" x14ac:dyDescent="0.2">
      <c r="BJ33317" s="201"/>
    </row>
    <row r="33318" spans="62:62" x14ac:dyDescent="0.2">
      <c r="BJ33318" s="201"/>
    </row>
    <row r="33319" spans="62:62" x14ac:dyDescent="0.2">
      <c r="BJ33319" s="201"/>
    </row>
    <row r="33320" spans="62:62" x14ac:dyDescent="0.2">
      <c r="BJ33320" s="201"/>
    </row>
    <row r="33321" spans="62:62" x14ac:dyDescent="0.2">
      <c r="BJ33321" s="201"/>
    </row>
    <row r="33322" spans="62:62" x14ac:dyDescent="0.2">
      <c r="BJ33322" s="201"/>
    </row>
    <row r="33323" spans="62:62" x14ac:dyDescent="0.2">
      <c r="BJ33323" s="201"/>
    </row>
    <row r="33324" spans="62:62" x14ac:dyDescent="0.2">
      <c r="BJ33324" s="201"/>
    </row>
    <row r="33325" spans="62:62" x14ac:dyDescent="0.2">
      <c r="BJ33325" s="201"/>
    </row>
    <row r="33326" spans="62:62" x14ac:dyDescent="0.2">
      <c r="BJ33326" s="201"/>
    </row>
    <row r="33327" spans="62:62" x14ac:dyDescent="0.2">
      <c r="BJ33327" s="201"/>
    </row>
    <row r="33328" spans="62:62" x14ac:dyDescent="0.2">
      <c r="BJ33328" s="201"/>
    </row>
    <row r="33329" spans="62:62" x14ac:dyDescent="0.2">
      <c r="BJ33329" s="201"/>
    </row>
    <row r="33330" spans="62:62" x14ac:dyDescent="0.2">
      <c r="BJ33330" s="201"/>
    </row>
    <row r="33331" spans="62:62" x14ac:dyDescent="0.2">
      <c r="BJ33331" s="201"/>
    </row>
    <row r="33332" spans="62:62" x14ac:dyDescent="0.2">
      <c r="BJ33332" s="201"/>
    </row>
    <row r="33333" spans="62:62" x14ac:dyDescent="0.2">
      <c r="BJ33333" s="201"/>
    </row>
    <row r="33334" spans="62:62" x14ac:dyDescent="0.2">
      <c r="BJ33334" s="201"/>
    </row>
    <row r="33335" spans="62:62" x14ac:dyDescent="0.2">
      <c r="BJ33335" s="201"/>
    </row>
    <row r="33336" spans="62:62" x14ac:dyDescent="0.2">
      <c r="BJ33336" s="201"/>
    </row>
    <row r="33337" spans="62:62" x14ac:dyDescent="0.2">
      <c r="BJ33337" s="201"/>
    </row>
    <row r="33338" spans="62:62" x14ac:dyDescent="0.2">
      <c r="BJ33338" s="201"/>
    </row>
    <row r="33339" spans="62:62" x14ac:dyDescent="0.2">
      <c r="BJ33339" s="201"/>
    </row>
    <row r="33340" spans="62:62" x14ac:dyDescent="0.2">
      <c r="BJ33340" s="201"/>
    </row>
    <row r="33341" spans="62:62" x14ac:dyDescent="0.2">
      <c r="BJ33341" s="201"/>
    </row>
    <row r="33342" spans="62:62" x14ac:dyDescent="0.2">
      <c r="BJ33342" s="201"/>
    </row>
    <row r="33343" spans="62:62" x14ac:dyDescent="0.2">
      <c r="BJ33343" s="201"/>
    </row>
    <row r="33344" spans="62:62" x14ac:dyDescent="0.2">
      <c r="BJ33344" s="201"/>
    </row>
    <row r="33345" spans="62:62" x14ac:dyDescent="0.2">
      <c r="BJ33345" s="201"/>
    </row>
    <row r="33346" spans="62:62" x14ac:dyDescent="0.2">
      <c r="BJ33346" s="201"/>
    </row>
    <row r="33347" spans="62:62" x14ac:dyDescent="0.2">
      <c r="BJ33347" s="201"/>
    </row>
    <row r="33348" spans="62:62" x14ac:dyDescent="0.2">
      <c r="BJ33348" s="201"/>
    </row>
    <row r="33349" spans="62:62" x14ac:dyDescent="0.2">
      <c r="BJ33349" s="201"/>
    </row>
    <row r="33350" spans="62:62" x14ac:dyDescent="0.2">
      <c r="BJ33350" s="201"/>
    </row>
    <row r="33351" spans="62:62" x14ac:dyDescent="0.2">
      <c r="BJ33351" s="201"/>
    </row>
    <row r="33352" spans="62:62" x14ac:dyDescent="0.2">
      <c r="BJ33352" s="201"/>
    </row>
    <row r="33353" spans="62:62" x14ac:dyDescent="0.2">
      <c r="BJ33353" s="201"/>
    </row>
    <row r="33354" spans="62:62" x14ac:dyDescent="0.2">
      <c r="BJ33354" s="201"/>
    </row>
    <row r="33355" spans="62:62" x14ac:dyDescent="0.2">
      <c r="BJ33355" s="201"/>
    </row>
    <row r="33356" spans="62:62" x14ac:dyDescent="0.2">
      <c r="BJ33356" s="201"/>
    </row>
    <row r="33357" spans="62:62" x14ac:dyDescent="0.2">
      <c r="BJ33357" s="201"/>
    </row>
    <row r="33358" spans="62:62" x14ac:dyDescent="0.2">
      <c r="BJ33358" s="201"/>
    </row>
    <row r="33359" spans="62:62" x14ac:dyDescent="0.2">
      <c r="BJ33359" s="201"/>
    </row>
    <row r="33360" spans="62:62" x14ac:dyDescent="0.2">
      <c r="BJ33360" s="201"/>
    </row>
    <row r="33361" spans="62:62" x14ac:dyDescent="0.2">
      <c r="BJ33361" s="201"/>
    </row>
    <row r="33362" spans="62:62" x14ac:dyDescent="0.2">
      <c r="BJ33362" s="201"/>
    </row>
    <row r="33363" spans="62:62" x14ac:dyDescent="0.2">
      <c r="BJ33363" s="201"/>
    </row>
    <row r="33364" spans="62:62" x14ac:dyDescent="0.2">
      <c r="BJ33364" s="201"/>
    </row>
    <row r="33365" spans="62:62" x14ac:dyDescent="0.2">
      <c r="BJ33365" s="201"/>
    </row>
    <row r="33366" spans="62:62" x14ac:dyDescent="0.2">
      <c r="BJ33366" s="201"/>
    </row>
    <row r="33367" spans="62:62" x14ac:dyDescent="0.2">
      <c r="BJ33367" s="201"/>
    </row>
    <row r="33368" spans="62:62" x14ac:dyDescent="0.2">
      <c r="BJ33368" s="201"/>
    </row>
    <row r="33369" spans="62:62" x14ac:dyDescent="0.2">
      <c r="BJ33369" s="201"/>
    </row>
    <row r="33370" spans="62:62" x14ac:dyDescent="0.2">
      <c r="BJ33370" s="201"/>
    </row>
    <row r="33371" spans="62:62" x14ac:dyDescent="0.2">
      <c r="BJ33371" s="201"/>
    </row>
    <row r="33372" spans="62:62" x14ac:dyDescent="0.2">
      <c r="BJ33372" s="201"/>
    </row>
    <row r="33373" spans="62:62" x14ac:dyDescent="0.2">
      <c r="BJ33373" s="201"/>
    </row>
    <row r="33374" spans="62:62" x14ac:dyDescent="0.2">
      <c r="BJ33374" s="201"/>
    </row>
    <row r="33375" spans="62:62" x14ac:dyDescent="0.2">
      <c r="BJ33375" s="201"/>
    </row>
    <row r="33376" spans="62:62" x14ac:dyDescent="0.2">
      <c r="BJ33376" s="201"/>
    </row>
    <row r="33377" spans="62:62" x14ac:dyDescent="0.2">
      <c r="BJ33377" s="201"/>
    </row>
    <row r="33378" spans="62:62" x14ac:dyDescent="0.2">
      <c r="BJ33378" s="201"/>
    </row>
    <row r="33379" spans="62:62" x14ac:dyDescent="0.2">
      <c r="BJ33379" s="201"/>
    </row>
    <row r="33380" spans="62:62" x14ac:dyDescent="0.2">
      <c r="BJ33380" s="201"/>
    </row>
    <row r="33381" spans="62:62" x14ac:dyDescent="0.2">
      <c r="BJ33381" s="201"/>
    </row>
    <row r="33382" spans="62:62" x14ac:dyDescent="0.2">
      <c r="BJ33382" s="201"/>
    </row>
    <row r="33383" spans="62:62" x14ac:dyDescent="0.2">
      <c r="BJ33383" s="201"/>
    </row>
    <row r="33384" spans="62:62" x14ac:dyDescent="0.2">
      <c r="BJ33384" s="201"/>
    </row>
    <row r="33385" spans="62:62" x14ac:dyDescent="0.2">
      <c r="BJ33385" s="201"/>
    </row>
    <row r="33386" spans="62:62" x14ac:dyDescent="0.2">
      <c r="BJ33386" s="201"/>
    </row>
    <row r="33387" spans="62:62" x14ac:dyDescent="0.2">
      <c r="BJ33387" s="201"/>
    </row>
    <row r="33388" spans="62:62" x14ac:dyDescent="0.2">
      <c r="BJ33388" s="201"/>
    </row>
    <row r="33389" spans="62:62" x14ac:dyDescent="0.2">
      <c r="BJ33389" s="201"/>
    </row>
    <row r="33390" spans="62:62" x14ac:dyDescent="0.2">
      <c r="BJ33390" s="201"/>
    </row>
    <row r="33391" spans="62:62" x14ac:dyDescent="0.2">
      <c r="BJ33391" s="201"/>
    </row>
    <row r="33392" spans="62:62" x14ac:dyDescent="0.2">
      <c r="BJ33392" s="201"/>
    </row>
    <row r="33393" spans="62:62" x14ac:dyDescent="0.2">
      <c r="BJ33393" s="201"/>
    </row>
    <row r="33394" spans="62:62" x14ac:dyDescent="0.2">
      <c r="BJ33394" s="201"/>
    </row>
    <row r="33395" spans="62:62" x14ac:dyDescent="0.2">
      <c r="BJ33395" s="201"/>
    </row>
    <row r="33396" spans="62:62" x14ac:dyDescent="0.2">
      <c r="BJ33396" s="201"/>
    </row>
    <row r="33397" spans="62:62" x14ac:dyDescent="0.2">
      <c r="BJ33397" s="201"/>
    </row>
    <row r="33398" spans="62:62" x14ac:dyDescent="0.2">
      <c r="BJ33398" s="201"/>
    </row>
    <row r="33399" spans="62:62" x14ac:dyDescent="0.2">
      <c r="BJ33399" s="201"/>
    </row>
    <row r="33400" spans="62:62" x14ac:dyDescent="0.2">
      <c r="BJ33400" s="201"/>
    </row>
    <row r="33401" spans="62:62" x14ac:dyDescent="0.2">
      <c r="BJ33401" s="201"/>
    </row>
    <row r="33402" spans="62:62" x14ac:dyDescent="0.2">
      <c r="BJ33402" s="201"/>
    </row>
    <row r="33403" spans="62:62" x14ac:dyDescent="0.2">
      <c r="BJ33403" s="201"/>
    </row>
    <row r="33404" spans="62:62" x14ac:dyDescent="0.2">
      <c r="BJ33404" s="201"/>
    </row>
    <row r="33405" spans="62:62" x14ac:dyDescent="0.2">
      <c r="BJ33405" s="201"/>
    </row>
    <row r="33406" spans="62:62" x14ac:dyDescent="0.2">
      <c r="BJ33406" s="201"/>
    </row>
    <row r="33407" spans="62:62" x14ac:dyDescent="0.2">
      <c r="BJ33407" s="201"/>
    </row>
    <row r="33408" spans="62:62" x14ac:dyDescent="0.2">
      <c r="BJ33408" s="201"/>
    </row>
    <row r="33409" spans="62:62" x14ac:dyDescent="0.2">
      <c r="BJ33409" s="201"/>
    </row>
    <row r="33410" spans="62:62" x14ac:dyDescent="0.2">
      <c r="BJ33410" s="201"/>
    </row>
    <row r="33411" spans="62:62" x14ac:dyDescent="0.2">
      <c r="BJ33411" s="201"/>
    </row>
    <row r="33412" spans="62:62" x14ac:dyDescent="0.2">
      <c r="BJ33412" s="201"/>
    </row>
    <row r="33413" spans="62:62" x14ac:dyDescent="0.2">
      <c r="BJ33413" s="201"/>
    </row>
    <row r="33414" spans="62:62" x14ac:dyDescent="0.2">
      <c r="BJ33414" s="201"/>
    </row>
    <row r="33415" spans="62:62" x14ac:dyDescent="0.2">
      <c r="BJ33415" s="201"/>
    </row>
    <row r="33416" spans="62:62" x14ac:dyDescent="0.2">
      <c r="BJ33416" s="201"/>
    </row>
    <row r="33417" spans="62:62" x14ac:dyDescent="0.2">
      <c r="BJ33417" s="201"/>
    </row>
    <row r="33418" spans="62:62" x14ac:dyDescent="0.2">
      <c r="BJ33418" s="201"/>
    </row>
    <row r="33419" spans="62:62" x14ac:dyDescent="0.2">
      <c r="BJ33419" s="201"/>
    </row>
    <row r="33420" spans="62:62" x14ac:dyDescent="0.2">
      <c r="BJ33420" s="201"/>
    </row>
    <row r="33421" spans="62:62" x14ac:dyDescent="0.2">
      <c r="BJ33421" s="201"/>
    </row>
    <row r="33422" spans="62:62" x14ac:dyDescent="0.2">
      <c r="BJ33422" s="201"/>
    </row>
    <row r="33423" spans="62:62" x14ac:dyDescent="0.2">
      <c r="BJ33423" s="201"/>
    </row>
    <row r="33424" spans="62:62" x14ac:dyDescent="0.2">
      <c r="BJ33424" s="201"/>
    </row>
    <row r="33425" spans="62:62" x14ac:dyDescent="0.2">
      <c r="BJ33425" s="201"/>
    </row>
    <row r="33426" spans="62:62" x14ac:dyDescent="0.2">
      <c r="BJ33426" s="201"/>
    </row>
    <row r="33427" spans="62:62" x14ac:dyDescent="0.2">
      <c r="BJ33427" s="201"/>
    </row>
    <row r="33428" spans="62:62" x14ac:dyDescent="0.2">
      <c r="BJ33428" s="201"/>
    </row>
    <row r="33429" spans="62:62" x14ac:dyDescent="0.2">
      <c r="BJ33429" s="201"/>
    </row>
    <row r="33430" spans="62:62" x14ac:dyDescent="0.2">
      <c r="BJ33430" s="201"/>
    </row>
    <row r="33431" spans="62:62" x14ac:dyDescent="0.2">
      <c r="BJ33431" s="201"/>
    </row>
    <row r="33432" spans="62:62" x14ac:dyDescent="0.2">
      <c r="BJ33432" s="201"/>
    </row>
    <row r="33433" spans="62:62" x14ac:dyDescent="0.2">
      <c r="BJ33433" s="201"/>
    </row>
    <row r="33434" spans="62:62" x14ac:dyDescent="0.2">
      <c r="BJ33434" s="201"/>
    </row>
    <row r="33435" spans="62:62" x14ac:dyDescent="0.2">
      <c r="BJ33435" s="201"/>
    </row>
    <row r="33436" spans="62:62" x14ac:dyDescent="0.2">
      <c r="BJ33436" s="201"/>
    </row>
    <row r="33437" spans="62:62" x14ac:dyDescent="0.2">
      <c r="BJ33437" s="201"/>
    </row>
    <row r="33438" spans="62:62" x14ac:dyDescent="0.2">
      <c r="BJ33438" s="201"/>
    </row>
    <row r="33439" spans="62:62" x14ac:dyDescent="0.2">
      <c r="BJ33439" s="201"/>
    </row>
    <row r="33440" spans="62:62" x14ac:dyDescent="0.2">
      <c r="BJ33440" s="201"/>
    </row>
    <row r="33441" spans="62:62" x14ac:dyDescent="0.2">
      <c r="BJ33441" s="201"/>
    </row>
    <row r="33442" spans="62:62" x14ac:dyDescent="0.2">
      <c r="BJ33442" s="201"/>
    </row>
    <row r="33443" spans="62:62" x14ac:dyDescent="0.2">
      <c r="BJ33443" s="201"/>
    </row>
    <row r="33444" spans="62:62" x14ac:dyDescent="0.2">
      <c r="BJ33444" s="201"/>
    </row>
    <row r="33445" spans="62:62" x14ac:dyDescent="0.2">
      <c r="BJ33445" s="201"/>
    </row>
    <row r="33446" spans="62:62" x14ac:dyDescent="0.2">
      <c r="BJ33446" s="201"/>
    </row>
    <row r="33447" spans="62:62" x14ac:dyDescent="0.2">
      <c r="BJ33447" s="201"/>
    </row>
    <row r="33448" spans="62:62" x14ac:dyDescent="0.2">
      <c r="BJ33448" s="201"/>
    </row>
    <row r="33449" spans="62:62" x14ac:dyDescent="0.2">
      <c r="BJ33449" s="201"/>
    </row>
    <row r="33450" spans="62:62" x14ac:dyDescent="0.2">
      <c r="BJ33450" s="201"/>
    </row>
    <row r="33451" spans="62:62" x14ac:dyDescent="0.2">
      <c r="BJ33451" s="201"/>
    </row>
    <row r="33452" spans="62:62" x14ac:dyDescent="0.2">
      <c r="BJ33452" s="201"/>
    </row>
    <row r="33453" spans="62:62" x14ac:dyDescent="0.2">
      <c r="BJ33453" s="201"/>
    </row>
    <row r="33454" spans="62:62" x14ac:dyDescent="0.2">
      <c r="BJ33454" s="201"/>
    </row>
    <row r="33455" spans="62:62" x14ac:dyDescent="0.2">
      <c r="BJ33455" s="201"/>
    </row>
    <row r="33456" spans="62:62" x14ac:dyDescent="0.2">
      <c r="BJ33456" s="201"/>
    </row>
    <row r="33457" spans="62:62" x14ac:dyDescent="0.2">
      <c r="BJ33457" s="201"/>
    </row>
    <row r="33458" spans="62:62" x14ac:dyDescent="0.2">
      <c r="BJ33458" s="201"/>
    </row>
    <row r="33459" spans="62:62" x14ac:dyDescent="0.2">
      <c r="BJ33459" s="201"/>
    </row>
    <row r="33460" spans="62:62" x14ac:dyDescent="0.2">
      <c r="BJ33460" s="201"/>
    </row>
    <row r="33461" spans="62:62" x14ac:dyDescent="0.2">
      <c r="BJ33461" s="201"/>
    </row>
    <row r="33462" spans="62:62" x14ac:dyDescent="0.2">
      <c r="BJ33462" s="201"/>
    </row>
    <row r="33463" spans="62:62" x14ac:dyDescent="0.2">
      <c r="BJ33463" s="201"/>
    </row>
    <row r="33464" spans="62:62" x14ac:dyDescent="0.2">
      <c r="BJ33464" s="201"/>
    </row>
    <row r="33465" spans="62:62" x14ac:dyDescent="0.2">
      <c r="BJ33465" s="201"/>
    </row>
    <row r="33466" spans="62:62" x14ac:dyDescent="0.2">
      <c r="BJ33466" s="201"/>
    </row>
    <row r="33467" spans="62:62" x14ac:dyDescent="0.2">
      <c r="BJ33467" s="201"/>
    </row>
    <row r="33468" spans="62:62" x14ac:dyDescent="0.2">
      <c r="BJ33468" s="201"/>
    </row>
    <row r="33469" spans="62:62" x14ac:dyDescent="0.2">
      <c r="BJ33469" s="201"/>
    </row>
    <row r="33470" spans="62:62" x14ac:dyDescent="0.2">
      <c r="BJ33470" s="201"/>
    </row>
    <row r="33471" spans="62:62" x14ac:dyDescent="0.2">
      <c r="BJ33471" s="201"/>
    </row>
    <row r="33472" spans="62:62" x14ac:dyDescent="0.2">
      <c r="BJ33472" s="201"/>
    </row>
    <row r="33473" spans="62:62" x14ac:dyDescent="0.2">
      <c r="BJ33473" s="201"/>
    </row>
    <row r="33474" spans="62:62" x14ac:dyDescent="0.2">
      <c r="BJ33474" s="201"/>
    </row>
    <row r="33475" spans="62:62" x14ac:dyDescent="0.2">
      <c r="BJ33475" s="201"/>
    </row>
    <row r="33476" spans="62:62" x14ac:dyDescent="0.2">
      <c r="BJ33476" s="201"/>
    </row>
    <row r="33477" spans="62:62" x14ac:dyDescent="0.2">
      <c r="BJ33477" s="201"/>
    </row>
    <row r="33478" spans="62:62" x14ac:dyDescent="0.2">
      <c r="BJ33478" s="201"/>
    </row>
    <row r="33479" spans="62:62" x14ac:dyDescent="0.2">
      <c r="BJ33479" s="201"/>
    </row>
    <row r="33480" spans="62:62" x14ac:dyDescent="0.2">
      <c r="BJ33480" s="201"/>
    </row>
    <row r="33481" spans="62:62" x14ac:dyDescent="0.2">
      <c r="BJ33481" s="201"/>
    </row>
    <row r="33482" spans="62:62" x14ac:dyDescent="0.2">
      <c r="BJ33482" s="201"/>
    </row>
    <row r="33483" spans="62:62" x14ac:dyDescent="0.2">
      <c r="BJ33483" s="201"/>
    </row>
    <row r="33484" spans="62:62" x14ac:dyDescent="0.2">
      <c r="BJ33484" s="201"/>
    </row>
    <row r="33485" spans="62:62" x14ac:dyDescent="0.2">
      <c r="BJ33485" s="201"/>
    </row>
    <row r="33486" spans="62:62" x14ac:dyDescent="0.2">
      <c r="BJ33486" s="201"/>
    </row>
    <row r="33487" spans="62:62" x14ac:dyDescent="0.2">
      <c r="BJ33487" s="201"/>
    </row>
    <row r="33488" spans="62:62" x14ac:dyDescent="0.2">
      <c r="BJ33488" s="201"/>
    </row>
    <row r="33489" spans="62:62" x14ac:dyDescent="0.2">
      <c r="BJ33489" s="201"/>
    </row>
    <row r="33490" spans="62:62" x14ac:dyDescent="0.2">
      <c r="BJ33490" s="201"/>
    </row>
    <row r="33491" spans="62:62" x14ac:dyDescent="0.2">
      <c r="BJ33491" s="201"/>
    </row>
    <row r="33492" spans="62:62" x14ac:dyDescent="0.2">
      <c r="BJ33492" s="201"/>
    </row>
    <row r="33493" spans="62:62" x14ac:dyDescent="0.2">
      <c r="BJ33493" s="201"/>
    </row>
    <row r="33494" spans="62:62" x14ac:dyDescent="0.2">
      <c r="BJ33494" s="201"/>
    </row>
    <row r="33495" spans="62:62" x14ac:dyDescent="0.2">
      <c r="BJ33495" s="201"/>
    </row>
    <row r="33496" spans="62:62" x14ac:dyDescent="0.2">
      <c r="BJ33496" s="201"/>
    </row>
    <row r="33497" spans="62:62" x14ac:dyDescent="0.2">
      <c r="BJ33497" s="201"/>
    </row>
    <row r="33498" spans="62:62" x14ac:dyDescent="0.2">
      <c r="BJ33498" s="201"/>
    </row>
    <row r="33499" spans="62:62" x14ac:dyDescent="0.2">
      <c r="BJ33499" s="201"/>
    </row>
    <row r="33500" spans="62:62" x14ac:dyDescent="0.2">
      <c r="BJ33500" s="201"/>
    </row>
    <row r="33501" spans="62:62" x14ac:dyDescent="0.2">
      <c r="BJ33501" s="201"/>
    </row>
    <row r="33502" spans="62:62" x14ac:dyDescent="0.2">
      <c r="BJ33502" s="201"/>
    </row>
    <row r="33503" spans="62:62" x14ac:dyDescent="0.2">
      <c r="BJ33503" s="201"/>
    </row>
    <row r="33504" spans="62:62" x14ac:dyDescent="0.2">
      <c r="BJ33504" s="201"/>
    </row>
    <row r="33505" spans="62:62" x14ac:dyDescent="0.2">
      <c r="BJ33505" s="201"/>
    </row>
    <row r="33506" spans="62:62" x14ac:dyDescent="0.2">
      <c r="BJ33506" s="201"/>
    </row>
    <row r="33507" spans="62:62" x14ac:dyDescent="0.2">
      <c r="BJ33507" s="201"/>
    </row>
    <row r="33508" spans="62:62" x14ac:dyDescent="0.2">
      <c r="BJ33508" s="201"/>
    </row>
    <row r="33509" spans="62:62" x14ac:dyDescent="0.2">
      <c r="BJ33509" s="201"/>
    </row>
    <row r="33510" spans="62:62" x14ac:dyDescent="0.2">
      <c r="BJ33510" s="201"/>
    </row>
    <row r="33511" spans="62:62" x14ac:dyDescent="0.2">
      <c r="BJ33511" s="201"/>
    </row>
    <row r="33512" spans="62:62" x14ac:dyDescent="0.2">
      <c r="BJ33512" s="201"/>
    </row>
    <row r="33513" spans="62:62" x14ac:dyDescent="0.2">
      <c r="BJ33513" s="201"/>
    </row>
    <row r="33514" spans="62:62" x14ac:dyDescent="0.2">
      <c r="BJ33514" s="201"/>
    </row>
    <row r="33515" spans="62:62" x14ac:dyDescent="0.2">
      <c r="BJ33515" s="201"/>
    </row>
    <row r="33516" spans="62:62" x14ac:dyDescent="0.2">
      <c r="BJ33516" s="201"/>
    </row>
    <row r="33517" spans="62:62" x14ac:dyDescent="0.2">
      <c r="BJ33517" s="201"/>
    </row>
    <row r="33518" spans="62:62" x14ac:dyDescent="0.2">
      <c r="BJ33518" s="201"/>
    </row>
    <row r="33519" spans="62:62" x14ac:dyDescent="0.2">
      <c r="BJ33519" s="201"/>
    </row>
    <row r="33520" spans="62:62" x14ac:dyDescent="0.2">
      <c r="BJ33520" s="201"/>
    </row>
    <row r="33521" spans="62:62" x14ac:dyDescent="0.2">
      <c r="BJ33521" s="201"/>
    </row>
    <row r="33522" spans="62:62" x14ac:dyDescent="0.2">
      <c r="BJ33522" s="201"/>
    </row>
    <row r="33523" spans="62:62" x14ac:dyDescent="0.2">
      <c r="BJ33523" s="201"/>
    </row>
    <row r="33524" spans="62:62" x14ac:dyDescent="0.2">
      <c r="BJ33524" s="201"/>
    </row>
    <row r="33525" spans="62:62" x14ac:dyDescent="0.2">
      <c r="BJ33525" s="201"/>
    </row>
    <row r="33526" spans="62:62" x14ac:dyDescent="0.2">
      <c r="BJ33526" s="201"/>
    </row>
    <row r="33527" spans="62:62" x14ac:dyDescent="0.2">
      <c r="BJ33527" s="201"/>
    </row>
    <row r="33528" spans="62:62" x14ac:dyDescent="0.2">
      <c r="BJ33528" s="201"/>
    </row>
    <row r="33529" spans="62:62" x14ac:dyDescent="0.2">
      <c r="BJ33529" s="201"/>
    </row>
    <row r="33530" spans="62:62" x14ac:dyDescent="0.2">
      <c r="BJ33530" s="201"/>
    </row>
    <row r="33531" spans="62:62" x14ac:dyDescent="0.2">
      <c r="BJ33531" s="201"/>
    </row>
    <row r="33532" spans="62:62" x14ac:dyDescent="0.2">
      <c r="BJ33532" s="201"/>
    </row>
    <row r="33533" spans="62:62" x14ac:dyDescent="0.2">
      <c r="BJ33533" s="201"/>
    </row>
    <row r="33534" spans="62:62" x14ac:dyDescent="0.2">
      <c r="BJ33534" s="201"/>
    </row>
    <row r="33535" spans="62:62" x14ac:dyDescent="0.2">
      <c r="BJ33535" s="201"/>
    </row>
    <row r="33536" spans="62:62" x14ac:dyDescent="0.2">
      <c r="BJ33536" s="201"/>
    </row>
    <row r="33537" spans="62:62" x14ac:dyDescent="0.2">
      <c r="BJ33537" s="201"/>
    </row>
    <row r="33538" spans="62:62" x14ac:dyDescent="0.2">
      <c r="BJ33538" s="201"/>
    </row>
    <row r="33539" spans="62:62" x14ac:dyDescent="0.2">
      <c r="BJ33539" s="201"/>
    </row>
    <row r="33540" spans="62:62" x14ac:dyDescent="0.2">
      <c r="BJ33540" s="201"/>
    </row>
    <row r="33541" spans="62:62" x14ac:dyDescent="0.2">
      <c r="BJ33541" s="201"/>
    </row>
    <row r="33542" spans="62:62" x14ac:dyDescent="0.2">
      <c r="BJ33542" s="201"/>
    </row>
    <row r="33543" spans="62:62" x14ac:dyDescent="0.2">
      <c r="BJ33543" s="201"/>
    </row>
    <row r="33544" spans="62:62" x14ac:dyDescent="0.2">
      <c r="BJ33544" s="201"/>
    </row>
    <row r="33545" spans="62:62" x14ac:dyDescent="0.2">
      <c r="BJ33545" s="201"/>
    </row>
    <row r="33546" spans="62:62" x14ac:dyDescent="0.2">
      <c r="BJ33546" s="201"/>
    </row>
    <row r="33547" spans="62:62" x14ac:dyDescent="0.2">
      <c r="BJ33547" s="201"/>
    </row>
    <row r="33548" spans="62:62" x14ac:dyDescent="0.2">
      <c r="BJ33548" s="201"/>
    </row>
    <row r="33549" spans="62:62" x14ac:dyDescent="0.2">
      <c r="BJ33549" s="201"/>
    </row>
    <row r="33550" spans="62:62" x14ac:dyDescent="0.2">
      <c r="BJ33550" s="201"/>
    </row>
    <row r="33551" spans="62:62" x14ac:dyDescent="0.2">
      <c r="BJ33551" s="201"/>
    </row>
    <row r="33552" spans="62:62" x14ac:dyDescent="0.2">
      <c r="BJ33552" s="201"/>
    </row>
    <row r="33553" spans="62:62" x14ac:dyDescent="0.2">
      <c r="BJ33553" s="201"/>
    </row>
    <row r="33554" spans="62:62" x14ac:dyDescent="0.2">
      <c r="BJ33554" s="201"/>
    </row>
    <row r="33555" spans="62:62" x14ac:dyDescent="0.2">
      <c r="BJ33555" s="201"/>
    </row>
    <row r="33556" spans="62:62" x14ac:dyDescent="0.2">
      <c r="BJ33556" s="201"/>
    </row>
    <row r="33557" spans="62:62" x14ac:dyDescent="0.2">
      <c r="BJ33557" s="201"/>
    </row>
    <row r="33558" spans="62:62" x14ac:dyDescent="0.2">
      <c r="BJ33558" s="201"/>
    </row>
    <row r="33559" spans="62:62" x14ac:dyDescent="0.2">
      <c r="BJ33559" s="201"/>
    </row>
    <row r="33560" spans="62:62" x14ac:dyDescent="0.2">
      <c r="BJ33560" s="201"/>
    </row>
    <row r="33561" spans="62:62" x14ac:dyDescent="0.2">
      <c r="BJ33561" s="201"/>
    </row>
    <row r="33562" spans="62:62" x14ac:dyDescent="0.2">
      <c r="BJ33562" s="201"/>
    </row>
    <row r="33563" spans="62:62" x14ac:dyDescent="0.2">
      <c r="BJ33563" s="201"/>
    </row>
    <row r="33564" spans="62:62" x14ac:dyDescent="0.2">
      <c r="BJ33564" s="201"/>
    </row>
    <row r="33565" spans="62:62" x14ac:dyDescent="0.2">
      <c r="BJ33565" s="201"/>
    </row>
    <row r="33566" spans="62:62" x14ac:dyDescent="0.2">
      <c r="BJ33566" s="201"/>
    </row>
    <row r="33567" spans="62:62" x14ac:dyDescent="0.2">
      <c r="BJ33567" s="201"/>
    </row>
    <row r="33568" spans="62:62" x14ac:dyDescent="0.2">
      <c r="BJ33568" s="201"/>
    </row>
    <row r="33569" spans="62:62" x14ac:dyDescent="0.2">
      <c r="BJ33569" s="201"/>
    </row>
    <row r="33570" spans="62:62" x14ac:dyDescent="0.2">
      <c r="BJ33570" s="201"/>
    </row>
    <row r="33571" spans="62:62" x14ac:dyDescent="0.2">
      <c r="BJ33571" s="201"/>
    </row>
    <row r="33572" spans="62:62" x14ac:dyDescent="0.2">
      <c r="BJ33572" s="201"/>
    </row>
    <row r="33573" spans="62:62" x14ac:dyDescent="0.2">
      <c r="BJ33573" s="201"/>
    </row>
    <row r="33574" spans="62:62" x14ac:dyDescent="0.2">
      <c r="BJ33574" s="201"/>
    </row>
    <row r="33575" spans="62:62" x14ac:dyDescent="0.2">
      <c r="BJ33575" s="201"/>
    </row>
    <row r="33576" spans="62:62" x14ac:dyDescent="0.2">
      <c r="BJ33576" s="201"/>
    </row>
    <row r="33577" spans="62:62" x14ac:dyDescent="0.2">
      <c r="BJ33577" s="201"/>
    </row>
    <row r="33578" spans="62:62" x14ac:dyDescent="0.2">
      <c r="BJ33578" s="201"/>
    </row>
    <row r="33579" spans="62:62" x14ac:dyDescent="0.2">
      <c r="BJ33579" s="201"/>
    </row>
    <row r="33580" spans="62:62" x14ac:dyDescent="0.2">
      <c r="BJ33580" s="201"/>
    </row>
    <row r="33581" spans="62:62" x14ac:dyDescent="0.2">
      <c r="BJ33581" s="201"/>
    </row>
    <row r="33582" spans="62:62" x14ac:dyDescent="0.2">
      <c r="BJ33582" s="201"/>
    </row>
    <row r="33583" spans="62:62" x14ac:dyDescent="0.2">
      <c r="BJ33583" s="201"/>
    </row>
    <row r="33584" spans="62:62" x14ac:dyDescent="0.2">
      <c r="BJ33584" s="201"/>
    </row>
    <row r="33585" spans="62:62" x14ac:dyDescent="0.2">
      <c r="BJ33585" s="201"/>
    </row>
    <row r="33586" spans="62:62" x14ac:dyDescent="0.2">
      <c r="BJ33586" s="201"/>
    </row>
    <row r="33587" spans="62:62" x14ac:dyDescent="0.2">
      <c r="BJ33587" s="201"/>
    </row>
    <row r="33588" spans="62:62" x14ac:dyDescent="0.2">
      <c r="BJ33588" s="201"/>
    </row>
    <row r="33589" spans="62:62" x14ac:dyDescent="0.2">
      <c r="BJ33589" s="201"/>
    </row>
    <row r="33590" spans="62:62" x14ac:dyDescent="0.2">
      <c r="BJ33590" s="201"/>
    </row>
    <row r="33591" spans="62:62" x14ac:dyDescent="0.2">
      <c r="BJ33591" s="201"/>
    </row>
    <row r="33592" spans="62:62" x14ac:dyDescent="0.2">
      <c r="BJ33592" s="201"/>
    </row>
    <row r="33593" spans="62:62" x14ac:dyDescent="0.2">
      <c r="BJ33593" s="201"/>
    </row>
    <row r="33594" spans="62:62" x14ac:dyDescent="0.2">
      <c r="BJ33594" s="201"/>
    </row>
    <row r="33595" spans="62:62" x14ac:dyDescent="0.2">
      <c r="BJ33595" s="201"/>
    </row>
    <row r="33596" spans="62:62" x14ac:dyDescent="0.2">
      <c r="BJ33596" s="201"/>
    </row>
    <row r="33597" spans="62:62" x14ac:dyDescent="0.2">
      <c r="BJ33597" s="201"/>
    </row>
    <row r="33598" spans="62:62" x14ac:dyDescent="0.2">
      <c r="BJ33598" s="201"/>
    </row>
    <row r="33599" spans="62:62" x14ac:dyDescent="0.2">
      <c r="BJ33599" s="201"/>
    </row>
    <row r="33600" spans="62:62" x14ac:dyDescent="0.2">
      <c r="BJ33600" s="201"/>
    </row>
    <row r="33601" spans="62:62" x14ac:dyDescent="0.2">
      <c r="BJ33601" s="201"/>
    </row>
    <row r="33602" spans="62:62" x14ac:dyDescent="0.2">
      <c r="BJ33602" s="201"/>
    </row>
    <row r="33603" spans="62:62" x14ac:dyDescent="0.2">
      <c r="BJ33603" s="201"/>
    </row>
    <row r="33604" spans="62:62" x14ac:dyDescent="0.2">
      <c r="BJ33604" s="201"/>
    </row>
    <row r="33605" spans="62:62" x14ac:dyDescent="0.2">
      <c r="BJ33605" s="201"/>
    </row>
    <row r="33606" spans="62:62" x14ac:dyDescent="0.2">
      <c r="BJ33606" s="201"/>
    </row>
    <row r="33607" spans="62:62" x14ac:dyDescent="0.2">
      <c r="BJ33607" s="201"/>
    </row>
    <row r="33608" spans="62:62" x14ac:dyDescent="0.2">
      <c r="BJ33608" s="201"/>
    </row>
    <row r="33609" spans="62:62" x14ac:dyDescent="0.2">
      <c r="BJ33609" s="201"/>
    </row>
    <row r="33610" spans="62:62" x14ac:dyDescent="0.2">
      <c r="BJ33610" s="201"/>
    </row>
    <row r="33611" spans="62:62" x14ac:dyDescent="0.2">
      <c r="BJ33611" s="201"/>
    </row>
    <row r="33612" spans="62:62" x14ac:dyDescent="0.2">
      <c r="BJ33612" s="201"/>
    </row>
    <row r="33613" spans="62:62" x14ac:dyDescent="0.2">
      <c r="BJ33613" s="201"/>
    </row>
    <row r="33614" spans="62:62" x14ac:dyDescent="0.2">
      <c r="BJ33614" s="201"/>
    </row>
    <row r="33615" spans="62:62" x14ac:dyDescent="0.2">
      <c r="BJ33615" s="201"/>
    </row>
    <row r="33616" spans="62:62" x14ac:dyDescent="0.2">
      <c r="BJ33616" s="201"/>
    </row>
    <row r="33617" spans="62:62" x14ac:dyDescent="0.2">
      <c r="BJ33617" s="201"/>
    </row>
    <row r="33618" spans="62:62" x14ac:dyDescent="0.2">
      <c r="BJ33618" s="201"/>
    </row>
    <row r="33619" spans="62:62" x14ac:dyDescent="0.2">
      <c r="BJ33619" s="201"/>
    </row>
    <row r="33620" spans="62:62" x14ac:dyDescent="0.2">
      <c r="BJ33620" s="201"/>
    </row>
    <row r="33621" spans="62:62" x14ac:dyDescent="0.2">
      <c r="BJ33621" s="201"/>
    </row>
    <row r="33622" spans="62:62" x14ac:dyDescent="0.2">
      <c r="BJ33622" s="201"/>
    </row>
    <row r="33623" spans="62:62" x14ac:dyDescent="0.2">
      <c r="BJ33623" s="201"/>
    </row>
    <row r="33624" spans="62:62" x14ac:dyDescent="0.2">
      <c r="BJ33624" s="201"/>
    </row>
    <row r="33625" spans="62:62" x14ac:dyDescent="0.2">
      <c r="BJ33625" s="201"/>
    </row>
    <row r="33626" spans="62:62" x14ac:dyDescent="0.2">
      <c r="BJ33626" s="201"/>
    </row>
    <row r="33627" spans="62:62" x14ac:dyDescent="0.2">
      <c r="BJ33627" s="201"/>
    </row>
    <row r="33628" spans="62:62" x14ac:dyDescent="0.2">
      <c r="BJ33628" s="201"/>
    </row>
    <row r="33629" spans="62:62" x14ac:dyDescent="0.2">
      <c r="BJ33629" s="201"/>
    </row>
    <row r="33630" spans="62:62" x14ac:dyDescent="0.2">
      <c r="BJ33630" s="201"/>
    </row>
    <row r="33631" spans="62:62" x14ac:dyDescent="0.2">
      <c r="BJ33631" s="201"/>
    </row>
    <row r="33632" spans="62:62" x14ac:dyDescent="0.2">
      <c r="BJ33632" s="201"/>
    </row>
    <row r="33633" spans="62:62" x14ac:dyDescent="0.2">
      <c r="BJ33633" s="201"/>
    </row>
    <row r="33634" spans="62:62" x14ac:dyDescent="0.2">
      <c r="BJ33634" s="201"/>
    </row>
    <row r="33635" spans="62:62" x14ac:dyDescent="0.2">
      <c r="BJ33635" s="201"/>
    </row>
    <row r="33636" spans="62:62" x14ac:dyDescent="0.2">
      <c r="BJ33636" s="201"/>
    </row>
    <row r="33637" spans="62:62" x14ac:dyDescent="0.2">
      <c r="BJ33637" s="201"/>
    </row>
    <row r="33638" spans="62:62" x14ac:dyDescent="0.2">
      <c r="BJ33638" s="201"/>
    </row>
    <row r="33639" spans="62:62" x14ac:dyDescent="0.2">
      <c r="BJ33639" s="201"/>
    </row>
    <row r="33640" spans="62:62" x14ac:dyDescent="0.2">
      <c r="BJ33640" s="201"/>
    </row>
    <row r="33641" spans="62:62" x14ac:dyDescent="0.2">
      <c r="BJ33641" s="201"/>
    </row>
    <row r="33642" spans="62:62" x14ac:dyDescent="0.2">
      <c r="BJ33642" s="201"/>
    </row>
    <row r="33643" spans="62:62" x14ac:dyDescent="0.2">
      <c r="BJ33643" s="201"/>
    </row>
    <row r="33644" spans="62:62" x14ac:dyDescent="0.2">
      <c r="BJ33644" s="201"/>
    </row>
    <row r="33645" spans="62:62" x14ac:dyDescent="0.2">
      <c r="BJ33645" s="201"/>
    </row>
    <row r="33646" spans="62:62" x14ac:dyDescent="0.2">
      <c r="BJ33646" s="201"/>
    </row>
    <row r="33647" spans="62:62" x14ac:dyDescent="0.2">
      <c r="BJ33647" s="201"/>
    </row>
    <row r="33648" spans="62:62" x14ac:dyDescent="0.2">
      <c r="BJ33648" s="201"/>
    </row>
    <row r="33649" spans="62:62" x14ac:dyDescent="0.2">
      <c r="BJ33649" s="201"/>
    </row>
    <row r="33650" spans="62:62" x14ac:dyDescent="0.2">
      <c r="BJ33650" s="201"/>
    </row>
    <row r="33651" spans="62:62" x14ac:dyDescent="0.2">
      <c r="BJ33651" s="201"/>
    </row>
    <row r="33652" spans="62:62" x14ac:dyDescent="0.2">
      <c r="BJ33652" s="201"/>
    </row>
    <row r="33653" spans="62:62" x14ac:dyDescent="0.2">
      <c r="BJ33653" s="201"/>
    </row>
    <row r="33654" spans="62:62" x14ac:dyDescent="0.2">
      <c r="BJ33654" s="201"/>
    </row>
    <row r="33655" spans="62:62" x14ac:dyDescent="0.2">
      <c r="BJ33655" s="201"/>
    </row>
    <row r="33656" spans="62:62" x14ac:dyDescent="0.2">
      <c r="BJ33656" s="201"/>
    </row>
    <row r="33657" spans="62:62" x14ac:dyDescent="0.2">
      <c r="BJ33657" s="201"/>
    </row>
    <row r="33658" spans="62:62" x14ac:dyDescent="0.2">
      <c r="BJ33658" s="201"/>
    </row>
    <row r="33659" spans="62:62" x14ac:dyDescent="0.2">
      <c r="BJ33659" s="201"/>
    </row>
    <row r="33660" spans="62:62" x14ac:dyDescent="0.2">
      <c r="BJ33660" s="201"/>
    </row>
    <row r="33661" spans="62:62" x14ac:dyDescent="0.2">
      <c r="BJ33661" s="201"/>
    </row>
    <row r="33662" spans="62:62" x14ac:dyDescent="0.2">
      <c r="BJ33662" s="201"/>
    </row>
    <row r="33663" spans="62:62" x14ac:dyDescent="0.2">
      <c r="BJ33663" s="201"/>
    </row>
    <row r="33664" spans="62:62" x14ac:dyDescent="0.2">
      <c r="BJ33664" s="201"/>
    </row>
    <row r="33665" spans="62:62" x14ac:dyDescent="0.2">
      <c r="BJ33665" s="201"/>
    </row>
    <row r="33666" spans="62:62" x14ac:dyDescent="0.2">
      <c r="BJ33666" s="201"/>
    </row>
    <row r="33667" spans="62:62" x14ac:dyDescent="0.2">
      <c r="BJ33667" s="201"/>
    </row>
    <row r="33668" spans="62:62" x14ac:dyDescent="0.2">
      <c r="BJ33668" s="201"/>
    </row>
    <row r="33669" spans="62:62" x14ac:dyDescent="0.2">
      <c r="BJ33669" s="201"/>
    </row>
    <row r="33670" spans="62:62" x14ac:dyDescent="0.2">
      <c r="BJ33670" s="201"/>
    </row>
    <row r="33671" spans="62:62" x14ac:dyDescent="0.2">
      <c r="BJ33671" s="201"/>
    </row>
    <row r="33672" spans="62:62" x14ac:dyDescent="0.2">
      <c r="BJ33672" s="201"/>
    </row>
    <row r="33673" spans="62:62" x14ac:dyDescent="0.2">
      <c r="BJ33673" s="201"/>
    </row>
    <row r="33674" spans="62:62" x14ac:dyDescent="0.2">
      <c r="BJ33674" s="201"/>
    </row>
    <row r="33675" spans="62:62" x14ac:dyDescent="0.2">
      <c r="BJ33675" s="201"/>
    </row>
    <row r="33676" spans="62:62" x14ac:dyDescent="0.2">
      <c r="BJ33676" s="201"/>
    </row>
    <row r="33677" spans="62:62" x14ac:dyDescent="0.2">
      <c r="BJ33677" s="201"/>
    </row>
    <row r="33678" spans="62:62" x14ac:dyDescent="0.2">
      <c r="BJ33678" s="201"/>
    </row>
    <row r="33679" spans="62:62" x14ac:dyDescent="0.2">
      <c r="BJ33679" s="201"/>
    </row>
    <row r="33680" spans="62:62" x14ac:dyDescent="0.2">
      <c r="BJ33680" s="201"/>
    </row>
    <row r="33681" spans="62:62" x14ac:dyDescent="0.2">
      <c r="BJ33681" s="201"/>
    </row>
    <row r="33682" spans="62:62" x14ac:dyDescent="0.2">
      <c r="BJ33682" s="201"/>
    </row>
    <row r="33683" spans="62:62" x14ac:dyDescent="0.2">
      <c r="BJ33683" s="201"/>
    </row>
    <row r="33684" spans="62:62" x14ac:dyDescent="0.2">
      <c r="BJ33684" s="201"/>
    </row>
    <row r="33685" spans="62:62" x14ac:dyDescent="0.2">
      <c r="BJ33685" s="201"/>
    </row>
    <row r="33686" spans="62:62" x14ac:dyDescent="0.2">
      <c r="BJ33686" s="201"/>
    </row>
    <row r="33687" spans="62:62" x14ac:dyDescent="0.2">
      <c r="BJ33687" s="201"/>
    </row>
    <row r="33688" spans="62:62" x14ac:dyDescent="0.2">
      <c r="BJ33688" s="201"/>
    </row>
    <row r="33689" spans="62:62" x14ac:dyDescent="0.2">
      <c r="BJ33689" s="201"/>
    </row>
    <row r="33690" spans="62:62" x14ac:dyDescent="0.2">
      <c r="BJ33690" s="201"/>
    </row>
    <row r="33691" spans="62:62" x14ac:dyDescent="0.2">
      <c r="BJ33691" s="201"/>
    </row>
    <row r="33692" spans="62:62" x14ac:dyDescent="0.2">
      <c r="BJ33692" s="201"/>
    </row>
    <row r="33693" spans="62:62" x14ac:dyDescent="0.2">
      <c r="BJ33693" s="201"/>
    </row>
    <row r="33694" spans="62:62" x14ac:dyDescent="0.2">
      <c r="BJ33694" s="201"/>
    </row>
    <row r="33695" spans="62:62" x14ac:dyDescent="0.2">
      <c r="BJ33695" s="201"/>
    </row>
    <row r="33696" spans="62:62" x14ac:dyDescent="0.2">
      <c r="BJ33696" s="201"/>
    </row>
    <row r="33697" spans="62:62" x14ac:dyDescent="0.2">
      <c r="BJ33697" s="201"/>
    </row>
    <row r="33698" spans="62:62" x14ac:dyDescent="0.2">
      <c r="BJ33698" s="201"/>
    </row>
    <row r="33699" spans="62:62" x14ac:dyDescent="0.2">
      <c r="BJ33699" s="201"/>
    </row>
    <row r="33700" spans="62:62" x14ac:dyDescent="0.2">
      <c r="BJ33700" s="201"/>
    </row>
    <row r="33701" spans="62:62" x14ac:dyDescent="0.2">
      <c r="BJ33701" s="201"/>
    </row>
    <row r="33702" spans="62:62" x14ac:dyDescent="0.2">
      <c r="BJ33702" s="201"/>
    </row>
    <row r="33703" spans="62:62" x14ac:dyDescent="0.2">
      <c r="BJ33703" s="201"/>
    </row>
    <row r="33704" spans="62:62" x14ac:dyDescent="0.2">
      <c r="BJ33704" s="201"/>
    </row>
    <row r="33705" spans="62:62" x14ac:dyDescent="0.2">
      <c r="BJ33705" s="201"/>
    </row>
    <row r="33706" spans="62:62" x14ac:dyDescent="0.2">
      <c r="BJ33706" s="201"/>
    </row>
    <row r="33707" spans="62:62" x14ac:dyDescent="0.2">
      <c r="BJ33707" s="201"/>
    </row>
    <row r="33708" spans="62:62" x14ac:dyDescent="0.2">
      <c r="BJ33708" s="201"/>
    </row>
    <row r="33709" spans="62:62" x14ac:dyDescent="0.2">
      <c r="BJ33709" s="201"/>
    </row>
    <row r="33710" spans="62:62" x14ac:dyDescent="0.2">
      <c r="BJ33710" s="201"/>
    </row>
    <row r="33711" spans="62:62" x14ac:dyDescent="0.2">
      <c r="BJ33711" s="201"/>
    </row>
    <row r="33712" spans="62:62" x14ac:dyDescent="0.2">
      <c r="BJ33712" s="201"/>
    </row>
    <row r="33713" spans="62:62" x14ac:dyDescent="0.2">
      <c r="BJ33713" s="201"/>
    </row>
    <row r="33714" spans="62:62" x14ac:dyDescent="0.2">
      <c r="BJ33714" s="201"/>
    </row>
    <row r="33715" spans="62:62" x14ac:dyDescent="0.2">
      <c r="BJ33715" s="201"/>
    </row>
    <row r="33716" spans="62:62" x14ac:dyDescent="0.2">
      <c r="BJ33716" s="201"/>
    </row>
    <row r="33717" spans="62:62" x14ac:dyDescent="0.2">
      <c r="BJ33717" s="201"/>
    </row>
    <row r="33718" spans="62:62" x14ac:dyDescent="0.2">
      <c r="BJ33718" s="201"/>
    </row>
    <row r="33719" spans="62:62" x14ac:dyDescent="0.2">
      <c r="BJ33719" s="201"/>
    </row>
    <row r="33720" spans="62:62" x14ac:dyDescent="0.2">
      <c r="BJ33720" s="201"/>
    </row>
    <row r="33721" spans="62:62" x14ac:dyDescent="0.2">
      <c r="BJ33721" s="201"/>
    </row>
    <row r="33722" spans="62:62" x14ac:dyDescent="0.2">
      <c r="BJ33722" s="201"/>
    </row>
    <row r="33723" spans="62:62" x14ac:dyDescent="0.2">
      <c r="BJ33723" s="201"/>
    </row>
    <row r="33724" spans="62:62" x14ac:dyDescent="0.2">
      <c r="BJ33724" s="201"/>
    </row>
    <row r="33725" spans="62:62" x14ac:dyDescent="0.2">
      <c r="BJ33725" s="201"/>
    </row>
    <row r="33726" spans="62:62" x14ac:dyDescent="0.2">
      <c r="BJ33726" s="201"/>
    </row>
    <row r="33727" spans="62:62" x14ac:dyDescent="0.2">
      <c r="BJ33727" s="201"/>
    </row>
    <row r="33728" spans="62:62" x14ac:dyDescent="0.2">
      <c r="BJ33728" s="201"/>
    </row>
    <row r="33729" spans="62:62" x14ac:dyDescent="0.2">
      <c r="BJ33729" s="201"/>
    </row>
    <row r="33730" spans="62:62" x14ac:dyDescent="0.2">
      <c r="BJ33730" s="201"/>
    </row>
    <row r="33731" spans="62:62" x14ac:dyDescent="0.2">
      <c r="BJ33731" s="201"/>
    </row>
    <row r="33732" spans="62:62" x14ac:dyDescent="0.2">
      <c r="BJ33732" s="201"/>
    </row>
    <row r="33733" spans="62:62" x14ac:dyDescent="0.2">
      <c r="BJ33733" s="201"/>
    </row>
    <row r="33734" spans="62:62" x14ac:dyDescent="0.2">
      <c r="BJ33734" s="201"/>
    </row>
    <row r="33735" spans="62:62" x14ac:dyDescent="0.2">
      <c r="BJ33735" s="201"/>
    </row>
    <row r="33736" spans="62:62" x14ac:dyDescent="0.2">
      <c r="BJ33736" s="201"/>
    </row>
    <row r="33737" spans="62:62" x14ac:dyDescent="0.2">
      <c r="BJ33737" s="201"/>
    </row>
    <row r="33738" spans="62:62" x14ac:dyDescent="0.2">
      <c r="BJ33738" s="201"/>
    </row>
    <row r="33739" spans="62:62" x14ac:dyDescent="0.2">
      <c r="BJ33739" s="201"/>
    </row>
    <row r="33740" spans="62:62" x14ac:dyDescent="0.2">
      <c r="BJ33740" s="201"/>
    </row>
    <row r="33741" spans="62:62" x14ac:dyDescent="0.2">
      <c r="BJ33741" s="201"/>
    </row>
    <row r="33742" spans="62:62" x14ac:dyDescent="0.2">
      <c r="BJ33742" s="201"/>
    </row>
    <row r="33743" spans="62:62" x14ac:dyDescent="0.2">
      <c r="BJ33743" s="201"/>
    </row>
    <row r="33744" spans="62:62" x14ac:dyDescent="0.2">
      <c r="BJ33744" s="201"/>
    </row>
    <row r="33745" spans="62:62" x14ac:dyDescent="0.2">
      <c r="BJ33745" s="201"/>
    </row>
    <row r="33746" spans="62:62" x14ac:dyDescent="0.2">
      <c r="BJ33746" s="201"/>
    </row>
    <row r="33747" spans="62:62" x14ac:dyDescent="0.2">
      <c r="BJ33747" s="201"/>
    </row>
    <row r="33748" spans="62:62" x14ac:dyDescent="0.2">
      <c r="BJ33748" s="201"/>
    </row>
    <row r="33749" spans="62:62" x14ac:dyDescent="0.2">
      <c r="BJ33749" s="201"/>
    </row>
    <row r="33750" spans="62:62" x14ac:dyDescent="0.2">
      <c r="BJ33750" s="201"/>
    </row>
    <row r="33751" spans="62:62" x14ac:dyDescent="0.2">
      <c r="BJ33751" s="201"/>
    </row>
    <row r="33752" spans="62:62" x14ac:dyDescent="0.2">
      <c r="BJ33752" s="201"/>
    </row>
    <row r="33753" spans="62:62" x14ac:dyDescent="0.2">
      <c r="BJ33753" s="201"/>
    </row>
    <row r="33754" spans="62:62" x14ac:dyDescent="0.2">
      <c r="BJ33754" s="201"/>
    </row>
    <row r="33755" spans="62:62" x14ac:dyDescent="0.2">
      <c r="BJ33755" s="201"/>
    </row>
    <row r="33756" spans="62:62" x14ac:dyDescent="0.2">
      <c r="BJ33756" s="201"/>
    </row>
    <row r="33757" spans="62:62" x14ac:dyDescent="0.2">
      <c r="BJ33757" s="201"/>
    </row>
    <row r="33758" spans="62:62" x14ac:dyDescent="0.2">
      <c r="BJ33758" s="201"/>
    </row>
    <row r="33759" spans="62:62" x14ac:dyDescent="0.2">
      <c r="BJ33759" s="201"/>
    </row>
    <row r="33760" spans="62:62" x14ac:dyDescent="0.2">
      <c r="BJ33760" s="201"/>
    </row>
    <row r="33761" spans="62:62" x14ac:dyDescent="0.2">
      <c r="BJ33761" s="201"/>
    </row>
    <row r="33762" spans="62:62" x14ac:dyDescent="0.2">
      <c r="BJ33762" s="201"/>
    </row>
    <row r="33763" spans="62:62" x14ac:dyDescent="0.2">
      <c r="BJ33763" s="201"/>
    </row>
    <row r="33764" spans="62:62" x14ac:dyDescent="0.2">
      <c r="BJ33764" s="201"/>
    </row>
    <row r="33765" spans="62:62" x14ac:dyDescent="0.2">
      <c r="BJ33765" s="201"/>
    </row>
    <row r="33766" spans="62:62" x14ac:dyDescent="0.2">
      <c r="BJ33766" s="201"/>
    </row>
    <row r="33767" spans="62:62" x14ac:dyDescent="0.2">
      <c r="BJ33767" s="201"/>
    </row>
    <row r="33768" spans="62:62" x14ac:dyDescent="0.2">
      <c r="BJ33768" s="201"/>
    </row>
    <row r="33769" spans="62:62" x14ac:dyDescent="0.2">
      <c r="BJ33769" s="201"/>
    </row>
    <row r="33770" spans="62:62" x14ac:dyDescent="0.2">
      <c r="BJ33770" s="201"/>
    </row>
    <row r="33771" spans="62:62" x14ac:dyDescent="0.2">
      <c r="BJ33771" s="201"/>
    </row>
    <row r="33772" spans="62:62" x14ac:dyDescent="0.2">
      <c r="BJ33772" s="201"/>
    </row>
    <row r="33773" spans="62:62" x14ac:dyDescent="0.2">
      <c r="BJ33773" s="201"/>
    </row>
    <row r="33774" spans="62:62" x14ac:dyDescent="0.2">
      <c r="BJ33774" s="201"/>
    </row>
    <row r="33775" spans="62:62" x14ac:dyDescent="0.2">
      <c r="BJ33775" s="201"/>
    </row>
    <row r="33776" spans="62:62" x14ac:dyDescent="0.2">
      <c r="BJ33776" s="201"/>
    </row>
    <row r="33777" spans="62:62" x14ac:dyDescent="0.2">
      <c r="BJ33777" s="201"/>
    </row>
    <row r="33778" spans="62:62" x14ac:dyDescent="0.2">
      <c r="BJ33778" s="201"/>
    </row>
    <row r="33779" spans="62:62" x14ac:dyDescent="0.2">
      <c r="BJ33779" s="201"/>
    </row>
    <row r="33780" spans="62:62" x14ac:dyDescent="0.2">
      <c r="BJ33780" s="201"/>
    </row>
    <row r="33781" spans="62:62" x14ac:dyDescent="0.2">
      <c r="BJ33781" s="201"/>
    </row>
    <row r="33782" spans="62:62" x14ac:dyDescent="0.2">
      <c r="BJ33782" s="201"/>
    </row>
    <row r="33783" spans="62:62" x14ac:dyDescent="0.2">
      <c r="BJ33783" s="201"/>
    </row>
    <row r="33784" spans="62:62" x14ac:dyDescent="0.2">
      <c r="BJ33784" s="201"/>
    </row>
    <row r="33785" spans="62:62" x14ac:dyDescent="0.2">
      <c r="BJ33785" s="201"/>
    </row>
    <row r="33786" spans="62:62" x14ac:dyDescent="0.2">
      <c r="BJ33786" s="201"/>
    </row>
    <row r="33787" spans="62:62" x14ac:dyDescent="0.2">
      <c r="BJ33787" s="201"/>
    </row>
    <row r="33788" spans="62:62" x14ac:dyDescent="0.2">
      <c r="BJ33788" s="201"/>
    </row>
    <row r="33789" spans="62:62" x14ac:dyDescent="0.2">
      <c r="BJ33789" s="201"/>
    </row>
    <row r="33790" spans="62:62" x14ac:dyDescent="0.2">
      <c r="BJ33790" s="201"/>
    </row>
    <row r="33791" spans="62:62" x14ac:dyDescent="0.2">
      <c r="BJ33791" s="201"/>
    </row>
    <row r="33792" spans="62:62" x14ac:dyDescent="0.2">
      <c r="BJ33792" s="201"/>
    </row>
    <row r="33793" spans="62:62" x14ac:dyDescent="0.2">
      <c r="BJ33793" s="201"/>
    </row>
    <row r="33794" spans="62:62" x14ac:dyDescent="0.2">
      <c r="BJ33794" s="201"/>
    </row>
    <row r="33795" spans="62:62" x14ac:dyDescent="0.2">
      <c r="BJ33795" s="201"/>
    </row>
    <row r="33796" spans="62:62" x14ac:dyDescent="0.2">
      <c r="BJ33796" s="201"/>
    </row>
    <row r="33797" spans="62:62" x14ac:dyDescent="0.2">
      <c r="BJ33797" s="201"/>
    </row>
    <row r="33798" spans="62:62" x14ac:dyDescent="0.2">
      <c r="BJ33798" s="201"/>
    </row>
    <row r="33799" spans="62:62" x14ac:dyDescent="0.2">
      <c r="BJ33799" s="201"/>
    </row>
    <row r="33800" spans="62:62" x14ac:dyDescent="0.2">
      <c r="BJ33800" s="201"/>
    </row>
    <row r="33801" spans="62:62" x14ac:dyDescent="0.2">
      <c r="BJ33801" s="201"/>
    </row>
    <row r="33802" spans="62:62" x14ac:dyDescent="0.2">
      <c r="BJ33802" s="201"/>
    </row>
    <row r="33803" spans="62:62" x14ac:dyDescent="0.2">
      <c r="BJ33803" s="201"/>
    </row>
    <row r="33804" spans="62:62" x14ac:dyDescent="0.2">
      <c r="BJ33804" s="201"/>
    </row>
    <row r="33805" spans="62:62" x14ac:dyDescent="0.2">
      <c r="BJ33805" s="201"/>
    </row>
    <row r="33806" spans="62:62" x14ac:dyDescent="0.2">
      <c r="BJ33806" s="201"/>
    </row>
    <row r="33807" spans="62:62" x14ac:dyDescent="0.2">
      <c r="BJ33807" s="201"/>
    </row>
    <row r="33808" spans="62:62" x14ac:dyDescent="0.2">
      <c r="BJ33808" s="201"/>
    </row>
    <row r="33809" spans="62:62" x14ac:dyDescent="0.2">
      <c r="BJ33809" s="201"/>
    </row>
    <row r="33810" spans="62:62" x14ac:dyDescent="0.2">
      <c r="BJ33810" s="201"/>
    </row>
    <row r="33811" spans="62:62" x14ac:dyDescent="0.2">
      <c r="BJ33811" s="201"/>
    </row>
    <row r="33812" spans="62:62" x14ac:dyDescent="0.2">
      <c r="BJ33812" s="201"/>
    </row>
    <row r="33813" spans="62:62" x14ac:dyDescent="0.2">
      <c r="BJ33813" s="201"/>
    </row>
    <row r="33814" spans="62:62" x14ac:dyDescent="0.2">
      <c r="BJ33814" s="201"/>
    </row>
    <row r="33815" spans="62:62" x14ac:dyDescent="0.2">
      <c r="BJ33815" s="201"/>
    </row>
    <row r="33816" spans="62:62" x14ac:dyDescent="0.2">
      <c r="BJ33816" s="201"/>
    </row>
    <row r="33817" spans="62:62" x14ac:dyDescent="0.2">
      <c r="BJ33817" s="201"/>
    </row>
    <row r="33818" spans="62:62" x14ac:dyDescent="0.2">
      <c r="BJ33818" s="201"/>
    </row>
    <row r="33819" spans="62:62" x14ac:dyDescent="0.2">
      <c r="BJ33819" s="201"/>
    </row>
    <row r="33820" spans="62:62" x14ac:dyDescent="0.2">
      <c r="BJ33820" s="201"/>
    </row>
    <row r="33821" spans="62:62" x14ac:dyDescent="0.2">
      <c r="BJ33821" s="201"/>
    </row>
    <row r="33822" spans="62:62" x14ac:dyDescent="0.2">
      <c r="BJ33822" s="201"/>
    </row>
    <row r="33823" spans="62:62" x14ac:dyDescent="0.2">
      <c r="BJ33823" s="201"/>
    </row>
    <row r="33824" spans="62:62" x14ac:dyDescent="0.2">
      <c r="BJ33824" s="201"/>
    </row>
    <row r="33825" spans="62:62" x14ac:dyDescent="0.2">
      <c r="BJ33825" s="201"/>
    </row>
    <row r="33826" spans="62:62" x14ac:dyDescent="0.2">
      <c r="BJ33826" s="201"/>
    </row>
    <row r="33827" spans="62:62" x14ac:dyDescent="0.2">
      <c r="BJ33827" s="201"/>
    </row>
    <row r="33828" spans="62:62" x14ac:dyDescent="0.2">
      <c r="BJ33828" s="201"/>
    </row>
    <row r="33829" spans="62:62" x14ac:dyDescent="0.2">
      <c r="BJ33829" s="201"/>
    </row>
    <row r="33830" spans="62:62" x14ac:dyDescent="0.2">
      <c r="BJ33830" s="201"/>
    </row>
    <row r="33831" spans="62:62" x14ac:dyDescent="0.2">
      <c r="BJ33831" s="201"/>
    </row>
    <row r="33832" spans="62:62" x14ac:dyDescent="0.2">
      <c r="BJ33832" s="201"/>
    </row>
    <row r="33833" spans="62:62" x14ac:dyDescent="0.2">
      <c r="BJ33833" s="201"/>
    </row>
    <row r="33834" spans="62:62" x14ac:dyDescent="0.2">
      <c r="BJ33834" s="201"/>
    </row>
    <row r="33835" spans="62:62" x14ac:dyDescent="0.2">
      <c r="BJ33835" s="201"/>
    </row>
    <row r="33836" spans="62:62" x14ac:dyDescent="0.2">
      <c r="BJ33836" s="201"/>
    </row>
    <row r="33837" spans="62:62" x14ac:dyDescent="0.2">
      <c r="BJ33837" s="201"/>
    </row>
    <row r="33838" spans="62:62" x14ac:dyDescent="0.2">
      <c r="BJ33838" s="201"/>
    </row>
    <row r="33839" spans="62:62" x14ac:dyDescent="0.2">
      <c r="BJ33839" s="201"/>
    </row>
    <row r="33840" spans="62:62" x14ac:dyDescent="0.2">
      <c r="BJ33840" s="201"/>
    </row>
    <row r="33841" spans="62:62" x14ac:dyDescent="0.2">
      <c r="BJ33841" s="201"/>
    </row>
    <row r="33842" spans="62:62" x14ac:dyDescent="0.2">
      <c r="BJ33842" s="201"/>
    </row>
    <row r="33843" spans="62:62" x14ac:dyDescent="0.2">
      <c r="BJ33843" s="201"/>
    </row>
    <row r="33844" spans="62:62" x14ac:dyDescent="0.2">
      <c r="BJ33844" s="201"/>
    </row>
    <row r="33845" spans="62:62" x14ac:dyDescent="0.2">
      <c r="BJ33845" s="201"/>
    </row>
    <row r="33846" spans="62:62" x14ac:dyDescent="0.2">
      <c r="BJ33846" s="201"/>
    </row>
    <row r="33847" spans="62:62" x14ac:dyDescent="0.2">
      <c r="BJ33847" s="201"/>
    </row>
    <row r="33848" spans="62:62" x14ac:dyDescent="0.2">
      <c r="BJ33848" s="201"/>
    </row>
    <row r="33849" spans="62:62" x14ac:dyDescent="0.2">
      <c r="BJ33849" s="201"/>
    </row>
    <row r="33850" spans="62:62" x14ac:dyDescent="0.2">
      <c r="BJ33850" s="201"/>
    </row>
    <row r="33851" spans="62:62" x14ac:dyDescent="0.2">
      <c r="BJ33851" s="201"/>
    </row>
    <row r="33852" spans="62:62" x14ac:dyDescent="0.2">
      <c r="BJ33852" s="201"/>
    </row>
    <row r="33853" spans="62:62" x14ac:dyDescent="0.2">
      <c r="BJ33853" s="201"/>
    </row>
    <row r="33854" spans="62:62" x14ac:dyDescent="0.2">
      <c r="BJ33854" s="201"/>
    </row>
    <row r="33855" spans="62:62" x14ac:dyDescent="0.2">
      <c r="BJ33855" s="201"/>
    </row>
    <row r="33856" spans="62:62" x14ac:dyDescent="0.2">
      <c r="BJ33856" s="201"/>
    </row>
    <row r="33857" spans="62:62" x14ac:dyDescent="0.2">
      <c r="BJ33857" s="201"/>
    </row>
    <row r="33858" spans="62:62" x14ac:dyDescent="0.2">
      <c r="BJ33858" s="201"/>
    </row>
    <row r="33859" spans="62:62" x14ac:dyDescent="0.2">
      <c r="BJ33859" s="201"/>
    </row>
    <row r="33860" spans="62:62" x14ac:dyDescent="0.2">
      <c r="BJ33860" s="201"/>
    </row>
    <row r="33861" spans="62:62" x14ac:dyDescent="0.2">
      <c r="BJ33861" s="201"/>
    </row>
    <row r="33862" spans="62:62" x14ac:dyDescent="0.2">
      <c r="BJ33862" s="201"/>
    </row>
    <row r="33863" spans="62:62" x14ac:dyDescent="0.2">
      <c r="BJ33863" s="201"/>
    </row>
    <row r="33864" spans="62:62" x14ac:dyDescent="0.2">
      <c r="BJ33864" s="201"/>
    </row>
    <row r="33865" spans="62:62" x14ac:dyDescent="0.2">
      <c r="BJ33865" s="201"/>
    </row>
    <row r="33866" spans="62:62" x14ac:dyDescent="0.2">
      <c r="BJ33866" s="201"/>
    </row>
    <row r="33867" spans="62:62" x14ac:dyDescent="0.2">
      <c r="BJ33867" s="201"/>
    </row>
    <row r="33868" spans="62:62" x14ac:dyDescent="0.2">
      <c r="BJ33868" s="201"/>
    </row>
    <row r="33869" spans="62:62" x14ac:dyDescent="0.2">
      <c r="BJ33869" s="201"/>
    </row>
    <row r="33870" spans="62:62" x14ac:dyDescent="0.2">
      <c r="BJ33870" s="201"/>
    </row>
    <row r="33871" spans="62:62" x14ac:dyDescent="0.2">
      <c r="BJ33871" s="201"/>
    </row>
    <row r="33872" spans="62:62" x14ac:dyDescent="0.2">
      <c r="BJ33872" s="201"/>
    </row>
    <row r="33873" spans="62:62" x14ac:dyDescent="0.2">
      <c r="BJ33873" s="201"/>
    </row>
    <row r="33874" spans="62:62" x14ac:dyDescent="0.2">
      <c r="BJ33874" s="201"/>
    </row>
    <row r="33875" spans="62:62" x14ac:dyDescent="0.2">
      <c r="BJ33875" s="201"/>
    </row>
    <row r="33876" spans="62:62" x14ac:dyDescent="0.2">
      <c r="BJ33876" s="201"/>
    </row>
    <row r="33877" spans="62:62" x14ac:dyDescent="0.2">
      <c r="BJ33877" s="201"/>
    </row>
    <row r="33878" spans="62:62" x14ac:dyDescent="0.2">
      <c r="BJ33878" s="201"/>
    </row>
    <row r="33879" spans="62:62" x14ac:dyDescent="0.2">
      <c r="BJ33879" s="201"/>
    </row>
    <row r="33880" spans="62:62" x14ac:dyDescent="0.2">
      <c r="BJ33880" s="201"/>
    </row>
    <row r="33881" spans="62:62" x14ac:dyDescent="0.2">
      <c r="BJ33881" s="201"/>
    </row>
    <row r="33882" spans="62:62" x14ac:dyDescent="0.2">
      <c r="BJ33882" s="201"/>
    </row>
    <row r="33883" spans="62:62" x14ac:dyDescent="0.2">
      <c r="BJ33883" s="201"/>
    </row>
    <row r="33884" spans="62:62" x14ac:dyDescent="0.2">
      <c r="BJ33884" s="201"/>
    </row>
    <row r="33885" spans="62:62" x14ac:dyDescent="0.2">
      <c r="BJ33885" s="201"/>
    </row>
    <row r="33886" spans="62:62" x14ac:dyDescent="0.2">
      <c r="BJ33886" s="201"/>
    </row>
    <row r="33887" spans="62:62" x14ac:dyDescent="0.2">
      <c r="BJ33887" s="201"/>
    </row>
    <row r="33888" spans="62:62" x14ac:dyDescent="0.2">
      <c r="BJ33888" s="201"/>
    </row>
    <row r="33889" spans="62:62" x14ac:dyDescent="0.2">
      <c r="BJ33889" s="201"/>
    </row>
    <row r="33890" spans="62:62" x14ac:dyDescent="0.2">
      <c r="BJ33890" s="201"/>
    </row>
    <row r="33891" spans="62:62" x14ac:dyDescent="0.2">
      <c r="BJ33891" s="201"/>
    </row>
    <row r="33892" spans="62:62" x14ac:dyDescent="0.2">
      <c r="BJ33892" s="201"/>
    </row>
    <row r="33893" spans="62:62" x14ac:dyDescent="0.2">
      <c r="BJ33893" s="201"/>
    </row>
    <row r="33894" spans="62:62" x14ac:dyDescent="0.2">
      <c r="BJ33894" s="201"/>
    </row>
    <row r="33895" spans="62:62" x14ac:dyDescent="0.2">
      <c r="BJ33895" s="201"/>
    </row>
    <row r="33896" spans="62:62" x14ac:dyDescent="0.2">
      <c r="BJ33896" s="201"/>
    </row>
    <row r="33897" spans="62:62" x14ac:dyDescent="0.2">
      <c r="BJ33897" s="201"/>
    </row>
    <row r="33898" spans="62:62" x14ac:dyDescent="0.2">
      <c r="BJ33898" s="201"/>
    </row>
    <row r="33899" spans="62:62" x14ac:dyDescent="0.2">
      <c r="BJ33899" s="201"/>
    </row>
    <row r="33900" spans="62:62" x14ac:dyDescent="0.2">
      <c r="BJ33900" s="201"/>
    </row>
    <row r="33901" spans="62:62" x14ac:dyDescent="0.2">
      <c r="BJ33901" s="201"/>
    </row>
    <row r="33902" spans="62:62" x14ac:dyDescent="0.2">
      <c r="BJ33902" s="201"/>
    </row>
    <row r="33903" spans="62:62" x14ac:dyDescent="0.2">
      <c r="BJ33903" s="201"/>
    </row>
    <row r="33904" spans="62:62" x14ac:dyDescent="0.2">
      <c r="BJ33904" s="201"/>
    </row>
    <row r="33905" spans="62:62" x14ac:dyDescent="0.2">
      <c r="BJ33905" s="201"/>
    </row>
    <row r="33906" spans="62:62" x14ac:dyDescent="0.2">
      <c r="BJ33906" s="201"/>
    </row>
    <row r="33907" spans="62:62" x14ac:dyDescent="0.2">
      <c r="BJ33907" s="201"/>
    </row>
    <row r="33908" spans="62:62" x14ac:dyDescent="0.2">
      <c r="BJ33908" s="201"/>
    </row>
    <row r="33909" spans="62:62" x14ac:dyDescent="0.2">
      <c r="BJ33909" s="201"/>
    </row>
    <row r="33910" spans="62:62" x14ac:dyDescent="0.2">
      <c r="BJ33910" s="201"/>
    </row>
    <row r="33911" spans="62:62" x14ac:dyDescent="0.2">
      <c r="BJ33911" s="201"/>
    </row>
    <row r="33912" spans="62:62" x14ac:dyDescent="0.2">
      <c r="BJ33912" s="201"/>
    </row>
    <row r="33913" spans="62:62" x14ac:dyDescent="0.2">
      <c r="BJ33913" s="201"/>
    </row>
    <row r="33914" spans="62:62" x14ac:dyDescent="0.2">
      <c r="BJ33914" s="201"/>
    </row>
    <row r="33915" spans="62:62" x14ac:dyDescent="0.2">
      <c r="BJ33915" s="201"/>
    </row>
    <row r="33916" spans="62:62" x14ac:dyDescent="0.2">
      <c r="BJ33916" s="201"/>
    </row>
    <row r="33917" spans="62:62" x14ac:dyDescent="0.2">
      <c r="BJ33917" s="201"/>
    </row>
    <row r="33918" spans="62:62" x14ac:dyDescent="0.2">
      <c r="BJ33918" s="201"/>
    </row>
    <row r="33919" spans="62:62" x14ac:dyDescent="0.2">
      <c r="BJ33919" s="201"/>
    </row>
    <row r="33920" spans="62:62" x14ac:dyDescent="0.2">
      <c r="BJ33920" s="201"/>
    </row>
    <row r="33921" spans="62:62" x14ac:dyDescent="0.2">
      <c r="BJ33921" s="201"/>
    </row>
    <row r="33922" spans="62:62" x14ac:dyDescent="0.2">
      <c r="BJ33922" s="201"/>
    </row>
    <row r="33923" spans="62:62" x14ac:dyDescent="0.2">
      <c r="BJ33923" s="201"/>
    </row>
    <row r="33924" spans="62:62" x14ac:dyDescent="0.2">
      <c r="BJ33924" s="201"/>
    </row>
    <row r="33925" spans="62:62" x14ac:dyDescent="0.2">
      <c r="BJ33925" s="201"/>
    </row>
    <row r="33926" spans="62:62" x14ac:dyDescent="0.2">
      <c r="BJ33926" s="201"/>
    </row>
    <row r="33927" spans="62:62" x14ac:dyDescent="0.2">
      <c r="BJ33927" s="201"/>
    </row>
    <row r="33928" spans="62:62" x14ac:dyDescent="0.2">
      <c r="BJ33928" s="201"/>
    </row>
    <row r="33929" spans="62:62" x14ac:dyDescent="0.2">
      <c r="BJ33929" s="201"/>
    </row>
    <row r="33930" spans="62:62" x14ac:dyDescent="0.2">
      <c r="BJ33930" s="201"/>
    </row>
    <row r="33931" spans="62:62" x14ac:dyDescent="0.2">
      <c r="BJ33931" s="201"/>
    </row>
    <row r="33932" spans="62:62" x14ac:dyDescent="0.2">
      <c r="BJ33932" s="201"/>
    </row>
    <row r="33933" spans="62:62" x14ac:dyDescent="0.2">
      <c r="BJ33933" s="201"/>
    </row>
    <row r="33934" spans="62:62" x14ac:dyDescent="0.2">
      <c r="BJ33934" s="201"/>
    </row>
    <row r="33935" spans="62:62" x14ac:dyDescent="0.2">
      <c r="BJ33935" s="201"/>
    </row>
    <row r="33936" spans="62:62" x14ac:dyDescent="0.2">
      <c r="BJ33936" s="201"/>
    </row>
    <row r="33937" spans="62:62" x14ac:dyDescent="0.2">
      <c r="BJ33937" s="201"/>
    </row>
    <row r="33938" spans="62:62" x14ac:dyDescent="0.2">
      <c r="BJ33938" s="201"/>
    </row>
    <row r="33939" spans="62:62" x14ac:dyDescent="0.2">
      <c r="BJ33939" s="201"/>
    </row>
    <row r="33940" spans="62:62" x14ac:dyDescent="0.2">
      <c r="BJ33940" s="201"/>
    </row>
    <row r="33941" spans="62:62" x14ac:dyDescent="0.2">
      <c r="BJ33941" s="201"/>
    </row>
    <row r="33942" spans="62:62" x14ac:dyDescent="0.2">
      <c r="BJ33942" s="201"/>
    </row>
    <row r="33943" spans="62:62" x14ac:dyDescent="0.2">
      <c r="BJ33943" s="201"/>
    </row>
    <row r="33944" spans="62:62" x14ac:dyDescent="0.2">
      <c r="BJ33944" s="201"/>
    </row>
    <row r="33945" spans="62:62" x14ac:dyDescent="0.2">
      <c r="BJ33945" s="201"/>
    </row>
    <row r="33946" spans="62:62" x14ac:dyDescent="0.2">
      <c r="BJ33946" s="201"/>
    </row>
    <row r="33947" spans="62:62" x14ac:dyDescent="0.2">
      <c r="BJ33947" s="201"/>
    </row>
    <row r="33948" spans="62:62" x14ac:dyDescent="0.2">
      <c r="BJ33948" s="201"/>
    </row>
    <row r="33949" spans="62:62" x14ac:dyDescent="0.2">
      <c r="BJ33949" s="201"/>
    </row>
    <row r="33950" spans="62:62" x14ac:dyDescent="0.2">
      <c r="BJ33950" s="201"/>
    </row>
    <row r="33951" spans="62:62" x14ac:dyDescent="0.2">
      <c r="BJ33951" s="201"/>
    </row>
    <row r="33952" spans="62:62" x14ac:dyDescent="0.2">
      <c r="BJ33952" s="201"/>
    </row>
    <row r="33953" spans="62:62" x14ac:dyDescent="0.2">
      <c r="BJ33953" s="201"/>
    </row>
    <row r="33954" spans="62:62" x14ac:dyDescent="0.2">
      <c r="BJ33954" s="201"/>
    </row>
    <row r="33955" spans="62:62" x14ac:dyDescent="0.2">
      <c r="BJ33955" s="201"/>
    </row>
    <row r="33956" spans="62:62" x14ac:dyDescent="0.2">
      <c r="BJ33956" s="201"/>
    </row>
    <row r="33957" spans="62:62" x14ac:dyDescent="0.2">
      <c r="BJ33957" s="201"/>
    </row>
    <row r="33958" spans="62:62" x14ac:dyDescent="0.2">
      <c r="BJ33958" s="201"/>
    </row>
    <row r="33959" spans="62:62" x14ac:dyDescent="0.2">
      <c r="BJ33959" s="201"/>
    </row>
    <row r="33960" spans="62:62" x14ac:dyDescent="0.2">
      <c r="BJ33960" s="201"/>
    </row>
    <row r="33961" spans="62:62" x14ac:dyDescent="0.2">
      <c r="BJ33961" s="201"/>
    </row>
    <row r="33962" spans="62:62" x14ac:dyDescent="0.2">
      <c r="BJ33962" s="201"/>
    </row>
    <row r="33963" spans="62:62" x14ac:dyDescent="0.2">
      <c r="BJ33963" s="201"/>
    </row>
    <row r="33964" spans="62:62" x14ac:dyDescent="0.2">
      <c r="BJ33964" s="201"/>
    </row>
    <row r="33965" spans="62:62" x14ac:dyDescent="0.2">
      <c r="BJ33965" s="201"/>
    </row>
    <row r="33966" spans="62:62" x14ac:dyDescent="0.2">
      <c r="BJ33966" s="201"/>
    </row>
    <row r="33967" spans="62:62" x14ac:dyDescent="0.2">
      <c r="BJ33967" s="201"/>
    </row>
    <row r="33968" spans="62:62" x14ac:dyDescent="0.2">
      <c r="BJ33968" s="201"/>
    </row>
    <row r="33969" spans="62:62" x14ac:dyDescent="0.2">
      <c r="BJ33969" s="201"/>
    </row>
    <row r="33970" spans="62:62" x14ac:dyDescent="0.2">
      <c r="BJ33970" s="201"/>
    </row>
    <row r="33971" spans="62:62" x14ac:dyDescent="0.2">
      <c r="BJ33971" s="201"/>
    </row>
    <row r="33972" spans="62:62" x14ac:dyDescent="0.2">
      <c r="BJ33972" s="201"/>
    </row>
    <row r="33973" spans="62:62" x14ac:dyDescent="0.2">
      <c r="BJ33973" s="201"/>
    </row>
    <row r="33974" spans="62:62" x14ac:dyDescent="0.2">
      <c r="BJ33974" s="201"/>
    </row>
    <row r="33975" spans="62:62" x14ac:dyDescent="0.2">
      <c r="BJ33975" s="201"/>
    </row>
    <row r="33976" spans="62:62" x14ac:dyDescent="0.2">
      <c r="BJ33976" s="201"/>
    </row>
    <row r="33977" spans="62:62" x14ac:dyDescent="0.2">
      <c r="BJ33977" s="201"/>
    </row>
    <row r="33978" spans="62:62" x14ac:dyDescent="0.2">
      <c r="BJ33978" s="201"/>
    </row>
    <row r="33979" spans="62:62" x14ac:dyDescent="0.2">
      <c r="BJ33979" s="201"/>
    </row>
    <row r="33980" spans="62:62" x14ac:dyDescent="0.2">
      <c r="BJ33980" s="201"/>
    </row>
    <row r="33981" spans="62:62" x14ac:dyDescent="0.2">
      <c r="BJ33981" s="201"/>
    </row>
    <row r="33982" spans="62:62" x14ac:dyDescent="0.2">
      <c r="BJ33982" s="201"/>
    </row>
    <row r="33983" spans="62:62" x14ac:dyDescent="0.2">
      <c r="BJ33983" s="201"/>
    </row>
    <row r="33984" spans="62:62" x14ac:dyDescent="0.2">
      <c r="BJ33984" s="201"/>
    </row>
    <row r="33985" spans="62:62" x14ac:dyDescent="0.2">
      <c r="BJ33985" s="201"/>
    </row>
    <row r="33986" spans="62:62" x14ac:dyDescent="0.2">
      <c r="BJ33986" s="201"/>
    </row>
    <row r="33987" spans="62:62" x14ac:dyDescent="0.2">
      <c r="BJ33987" s="201"/>
    </row>
    <row r="33988" spans="62:62" x14ac:dyDescent="0.2">
      <c r="BJ33988" s="201"/>
    </row>
    <row r="33989" spans="62:62" x14ac:dyDescent="0.2">
      <c r="BJ33989" s="201"/>
    </row>
    <row r="33990" spans="62:62" x14ac:dyDescent="0.2">
      <c r="BJ33990" s="201"/>
    </row>
    <row r="33991" spans="62:62" x14ac:dyDescent="0.2">
      <c r="BJ33991" s="201"/>
    </row>
    <row r="33992" spans="62:62" x14ac:dyDescent="0.2">
      <c r="BJ33992" s="201"/>
    </row>
    <row r="33993" spans="62:62" x14ac:dyDescent="0.2">
      <c r="BJ33993" s="201"/>
    </row>
    <row r="33994" spans="62:62" x14ac:dyDescent="0.2">
      <c r="BJ33994" s="201"/>
    </row>
    <row r="33995" spans="62:62" x14ac:dyDescent="0.2">
      <c r="BJ33995" s="201"/>
    </row>
    <row r="33996" spans="62:62" x14ac:dyDescent="0.2">
      <c r="BJ33996" s="201"/>
    </row>
    <row r="33997" spans="62:62" x14ac:dyDescent="0.2">
      <c r="BJ33997" s="201"/>
    </row>
    <row r="33998" spans="62:62" x14ac:dyDescent="0.2">
      <c r="BJ33998" s="201"/>
    </row>
    <row r="33999" spans="62:62" x14ac:dyDescent="0.2">
      <c r="BJ33999" s="201"/>
    </row>
    <row r="34000" spans="62:62" x14ac:dyDescent="0.2">
      <c r="BJ34000" s="201"/>
    </row>
    <row r="34001" spans="62:62" x14ac:dyDescent="0.2">
      <c r="BJ34001" s="201"/>
    </row>
    <row r="34002" spans="62:62" x14ac:dyDescent="0.2">
      <c r="BJ34002" s="201"/>
    </row>
    <row r="34003" spans="62:62" x14ac:dyDescent="0.2">
      <c r="BJ34003" s="201"/>
    </row>
    <row r="34004" spans="62:62" x14ac:dyDescent="0.2">
      <c r="BJ34004" s="201"/>
    </row>
    <row r="34005" spans="62:62" x14ac:dyDescent="0.2">
      <c r="BJ34005" s="201"/>
    </row>
    <row r="34006" spans="62:62" x14ac:dyDescent="0.2">
      <c r="BJ34006" s="201"/>
    </row>
    <row r="34007" spans="62:62" x14ac:dyDescent="0.2">
      <c r="BJ34007" s="201"/>
    </row>
    <row r="34008" spans="62:62" x14ac:dyDescent="0.2">
      <c r="BJ34008" s="201"/>
    </row>
    <row r="34009" spans="62:62" x14ac:dyDescent="0.2">
      <c r="BJ34009" s="201"/>
    </row>
    <row r="34010" spans="62:62" x14ac:dyDescent="0.2">
      <c r="BJ34010" s="201"/>
    </row>
    <row r="34011" spans="62:62" x14ac:dyDescent="0.2">
      <c r="BJ34011" s="201"/>
    </row>
    <row r="34012" spans="62:62" x14ac:dyDescent="0.2">
      <c r="BJ34012" s="201"/>
    </row>
    <row r="34013" spans="62:62" x14ac:dyDescent="0.2">
      <c r="BJ34013" s="201"/>
    </row>
    <row r="34014" spans="62:62" x14ac:dyDescent="0.2">
      <c r="BJ34014" s="201"/>
    </row>
    <row r="34015" spans="62:62" x14ac:dyDescent="0.2">
      <c r="BJ34015" s="201"/>
    </row>
    <row r="34016" spans="62:62" x14ac:dyDescent="0.2">
      <c r="BJ34016" s="201"/>
    </row>
    <row r="34017" spans="62:62" x14ac:dyDescent="0.2">
      <c r="BJ34017" s="201"/>
    </row>
    <row r="34018" spans="62:62" x14ac:dyDescent="0.2">
      <c r="BJ34018" s="201"/>
    </row>
    <row r="34019" spans="62:62" x14ac:dyDescent="0.2">
      <c r="BJ34019" s="201"/>
    </row>
    <row r="34020" spans="62:62" x14ac:dyDescent="0.2">
      <c r="BJ34020" s="201"/>
    </row>
    <row r="34021" spans="62:62" x14ac:dyDescent="0.2">
      <c r="BJ34021" s="201"/>
    </row>
    <row r="34022" spans="62:62" x14ac:dyDescent="0.2">
      <c r="BJ34022" s="201"/>
    </row>
    <row r="34023" spans="62:62" x14ac:dyDescent="0.2">
      <c r="BJ34023" s="201"/>
    </row>
    <row r="34024" spans="62:62" x14ac:dyDescent="0.2">
      <c r="BJ34024" s="201"/>
    </row>
    <row r="34025" spans="62:62" x14ac:dyDescent="0.2">
      <c r="BJ34025" s="201"/>
    </row>
    <row r="34026" spans="62:62" x14ac:dyDescent="0.2">
      <c r="BJ34026" s="201"/>
    </row>
    <row r="34027" spans="62:62" x14ac:dyDescent="0.2">
      <c r="BJ34027" s="201"/>
    </row>
    <row r="34028" spans="62:62" x14ac:dyDescent="0.2">
      <c r="BJ34028" s="201"/>
    </row>
    <row r="34029" spans="62:62" x14ac:dyDescent="0.2">
      <c r="BJ34029" s="201"/>
    </row>
    <row r="34030" spans="62:62" x14ac:dyDescent="0.2">
      <c r="BJ34030" s="201"/>
    </row>
    <row r="34031" spans="62:62" x14ac:dyDescent="0.2">
      <c r="BJ34031" s="201"/>
    </row>
    <row r="34032" spans="62:62" x14ac:dyDescent="0.2">
      <c r="BJ34032" s="201"/>
    </row>
    <row r="34033" spans="62:62" x14ac:dyDescent="0.2">
      <c r="BJ34033" s="201"/>
    </row>
    <row r="34034" spans="62:62" x14ac:dyDescent="0.2">
      <c r="BJ34034" s="201"/>
    </row>
    <row r="34035" spans="62:62" x14ac:dyDescent="0.2">
      <c r="BJ34035" s="201"/>
    </row>
    <row r="34036" spans="62:62" x14ac:dyDescent="0.2">
      <c r="BJ34036" s="201"/>
    </row>
    <row r="34037" spans="62:62" x14ac:dyDescent="0.2">
      <c r="BJ34037" s="201"/>
    </row>
    <row r="34038" spans="62:62" x14ac:dyDescent="0.2">
      <c r="BJ34038" s="201"/>
    </row>
    <row r="34039" spans="62:62" x14ac:dyDescent="0.2">
      <c r="BJ34039" s="201"/>
    </row>
    <row r="34040" spans="62:62" x14ac:dyDescent="0.2">
      <c r="BJ34040" s="201"/>
    </row>
    <row r="34041" spans="62:62" x14ac:dyDescent="0.2">
      <c r="BJ34041" s="201"/>
    </row>
    <row r="34042" spans="62:62" x14ac:dyDescent="0.2">
      <c r="BJ34042" s="201"/>
    </row>
    <row r="34043" spans="62:62" x14ac:dyDescent="0.2">
      <c r="BJ34043" s="201"/>
    </row>
    <row r="34044" spans="62:62" x14ac:dyDescent="0.2">
      <c r="BJ34044" s="201"/>
    </row>
    <row r="34045" spans="62:62" x14ac:dyDescent="0.2">
      <c r="BJ34045" s="201"/>
    </row>
    <row r="34046" spans="62:62" x14ac:dyDescent="0.2">
      <c r="BJ34046" s="201"/>
    </row>
    <row r="34047" spans="62:62" x14ac:dyDescent="0.2">
      <c r="BJ34047" s="201"/>
    </row>
    <row r="34048" spans="62:62" x14ac:dyDescent="0.2">
      <c r="BJ34048" s="201"/>
    </row>
    <row r="34049" spans="62:62" x14ac:dyDescent="0.2">
      <c r="BJ34049" s="201"/>
    </row>
    <row r="34050" spans="62:62" x14ac:dyDescent="0.2">
      <c r="BJ34050" s="201"/>
    </row>
    <row r="34051" spans="62:62" x14ac:dyDescent="0.2">
      <c r="BJ34051" s="201"/>
    </row>
    <row r="34052" spans="62:62" x14ac:dyDescent="0.2">
      <c r="BJ34052" s="201"/>
    </row>
    <row r="34053" spans="62:62" x14ac:dyDescent="0.2">
      <c r="BJ34053" s="201"/>
    </row>
    <row r="34054" spans="62:62" x14ac:dyDescent="0.2">
      <c r="BJ34054" s="201"/>
    </row>
    <row r="34055" spans="62:62" x14ac:dyDescent="0.2">
      <c r="BJ34055" s="201"/>
    </row>
    <row r="34056" spans="62:62" x14ac:dyDescent="0.2">
      <c r="BJ34056" s="201"/>
    </row>
    <row r="34057" spans="62:62" x14ac:dyDescent="0.2">
      <c r="BJ34057" s="201"/>
    </row>
    <row r="34058" spans="62:62" x14ac:dyDescent="0.2">
      <c r="BJ34058" s="201"/>
    </row>
    <row r="34059" spans="62:62" x14ac:dyDescent="0.2">
      <c r="BJ34059" s="201"/>
    </row>
    <row r="34060" spans="62:62" x14ac:dyDescent="0.2">
      <c r="BJ34060" s="201"/>
    </row>
    <row r="34061" spans="62:62" x14ac:dyDescent="0.2">
      <c r="BJ34061" s="201"/>
    </row>
    <row r="34062" spans="62:62" x14ac:dyDescent="0.2">
      <c r="BJ34062" s="201"/>
    </row>
    <row r="34063" spans="62:62" x14ac:dyDescent="0.2">
      <c r="BJ34063" s="201"/>
    </row>
    <row r="34064" spans="62:62" x14ac:dyDescent="0.2">
      <c r="BJ34064" s="201"/>
    </row>
    <row r="34065" spans="62:62" x14ac:dyDescent="0.2">
      <c r="BJ34065" s="201"/>
    </row>
    <row r="34066" spans="62:62" x14ac:dyDescent="0.2">
      <c r="BJ34066" s="201"/>
    </row>
    <row r="34067" spans="62:62" x14ac:dyDescent="0.2">
      <c r="BJ34067" s="201"/>
    </row>
    <row r="34068" spans="62:62" x14ac:dyDescent="0.2">
      <c r="BJ34068" s="201"/>
    </row>
    <row r="34069" spans="62:62" x14ac:dyDescent="0.2">
      <c r="BJ34069" s="201"/>
    </row>
    <row r="34070" spans="62:62" x14ac:dyDescent="0.2">
      <c r="BJ34070" s="201"/>
    </row>
    <row r="34071" spans="62:62" x14ac:dyDescent="0.2">
      <c r="BJ34071" s="201"/>
    </row>
    <row r="34072" spans="62:62" x14ac:dyDescent="0.2">
      <c r="BJ34072" s="201"/>
    </row>
    <row r="34073" spans="62:62" x14ac:dyDescent="0.2">
      <c r="BJ34073" s="201"/>
    </row>
    <row r="34074" spans="62:62" x14ac:dyDescent="0.2">
      <c r="BJ34074" s="201"/>
    </row>
    <row r="34075" spans="62:62" x14ac:dyDescent="0.2">
      <c r="BJ34075" s="201"/>
    </row>
    <row r="34076" spans="62:62" x14ac:dyDescent="0.2">
      <c r="BJ34076" s="201"/>
    </row>
    <row r="34077" spans="62:62" x14ac:dyDescent="0.2">
      <c r="BJ34077" s="201"/>
    </row>
    <row r="34078" spans="62:62" x14ac:dyDescent="0.2">
      <c r="BJ34078" s="201"/>
    </row>
    <row r="34079" spans="62:62" x14ac:dyDescent="0.2">
      <c r="BJ34079" s="201"/>
    </row>
    <row r="34080" spans="62:62" x14ac:dyDescent="0.2">
      <c r="BJ34080" s="201"/>
    </row>
    <row r="34081" spans="62:62" x14ac:dyDescent="0.2">
      <c r="BJ34081" s="201"/>
    </row>
    <row r="34082" spans="62:62" x14ac:dyDescent="0.2">
      <c r="BJ34082" s="201"/>
    </row>
    <row r="34083" spans="62:62" x14ac:dyDescent="0.2">
      <c r="BJ34083" s="201"/>
    </row>
    <row r="34084" spans="62:62" x14ac:dyDescent="0.2">
      <c r="BJ34084" s="201"/>
    </row>
    <row r="34085" spans="62:62" x14ac:dyDescent="0.2">
      <c r="BJ34085" s="201"/>
    </row>
    <row r="34086" spans="62:62" x14ac:dyDescent="0.2">
      <c r="BJ34086" s="201"/>
    </row>
    <row r="34087" spans="62:62" x14ac:dyDescent="0.2">
      <c r="BJ34087" s="201"/>
    </row>
    <row r="34088" spans="62:62" x14ac:dyDescent="0.2">
      <c r="BJ34088" s="201"/>
    </row>
    <row r="34089" spans="62:62" x14ac:dyDescent="0.2">
      <c r="BJ34089" s="201"/>
    </row>
    <row r="34090" spans="62:62" x14ac:dyDescent="0.2">
      <c r="BJ34090" s="201"/>
    </row>
    <row r="34091" spans="62:62" x14ac:dyDescent="0.2">
      <c r="BJ34091" s="201"/>
    </row>
    <row r="34092" spans="62:62" x14ac:dyDescent="0.2">
      <c r="BJ34092" s="201"/>
    </row>
    <row r="34093" spans="62:62" x14ac:dyDescent="0.2">
      <c r="BJ34093" s="201"/>
    </row>
    <row r="34094" spans="62:62" x14ac:dyDescent="0.2">
      <c r="BJ34094" s="201"/>
    </row>
    <row r="34095" spans="62:62" x14ac:dyDescent="0.2">
      <c r="BJ34095" s="201"/>
    </row>
    <row r="34096" spans="62:62" x14ac:dyDescent="0.2">
      <c r="BJ34096" s="201"/>
    </row>
    <row r="34097" spans="62:62" x14ac:dyDescent="0.2">
      <c r="BJ34097" s="201"/>
    </row>
    <row r="34098" spans="62:62" x14ac:dyDescent="0.2">
      <c r="BJ34098" s="201"/>
    </row>
    <row r="34099" spans="62:62" x14ac:dyDescent="0.2">
      <c r="BJ34099" s="201"/>
    </row>
    <row r="34100" spans="62:62" x14ac:dyDescent="0.2">
      <c r="BJ34100" s="201"/>
    </row>
    <row r="34101" spans="62:62" x14ac:dyDescent="0.2">
      <c r="BJ34101" s="201"/>
    </row>
    <row r="34102" spans="62:62" x14ac:dyDescent="0.2">
      <c r="BJ34102" s="201"/>
    </row>
    <row r="34103" spans="62:62" x14ac:dyDescent="0.2">
      <c r="BJ34103" s="201"/>
    </row>
    <row r="34104" spans="62:62" x14ac:dyDescent="0.2">
      <c r="BJ34104" s="201"/>
    </row>
    <row r="34105" spans="62:62" x14ac:dyDescent="0.2">
      <c r="BJ34105" s="201"/>
    </row>
    <row r="34106" spans="62:62" x14ac:dyDescent="0.2">
      <c r="BJ34106" s="201"/>
    </row>
    <row r="34107" spans="62:62" x14ac:dyDescent="0.2">
      <c r="BJ34107" s="201"/>
    </row>
    <row r="34108" spans="62:62" x14ac:dyDescent="0.2">
      <c r="BJ34108" s="201"/>
    </row>
    <row r="34109" spans="62:62" x14ac:dyDescent="0.2">
      <c r="BJ34109" s="201"/>
    </row>
    <row r="34110" spans="62:62" x14ac:dyDescent="0.2">
      <c r="BJ34110" s="201"/>
    </row>
    <row r="34111" spans="62:62" x14ac:dyDescent="0.2">
      <c r="BJ34111" s="201"/>
    </row>
    <row r="34112" spans="62:62" x14ac:dyDescent="0.2">
      <c r="BJ34112" s="201"/>
    </row>
    <row r="34113" spans="62:62" x14ac:dyDescent="0.2">
      <c r="BJ34113" s="201"/>
    </row>
    <row r="34114" spans="62:62" x14ac:dyDescent="0.2">
      <c r="BJ34114" s="201"/>
    </row>
    <row r="34115" spans="62:62" x14ac:dyDescent="0.2">
      <c r="BJ34115" s="201"/>
    </row>
    <row r="34116" spans="62:62" x14ac:dyDescent="0.2">
      <c r="BJ34116" s="201"/>
    </row>
    <row r="34117" spans="62:62" x14ac:dyDescent="0.2">
      <c r="BJ34117" s="201"/>
    </row>
    <row r="34118" spans="62:62" x14ac:dyDescent="0.2">
      <c r="BJ34118" s="201"/>
    </row>
    <row r="34119" spans="62:62" x14ac:dyDescent="0.2">
      <c r="BJ34119" s="201"/>
    </row>
    <row r="34120" spans="62:62" x14ac:dyDescent="0.2">
      <c r="BJ34120" s="201"/>
    </row>
    <row r="34121" spans="62:62" x14ac:dyDescent="0.2">
      <c r="BJ34121" s="201"/>
    </row>
    <row r="34122" spans="62:62" x14ac:dyDescent="0.2">
      <c r="BJ34122" s="201"/>
    </row>
    <row r="34123" spans="62:62" x14ac:dyDescent="0.2">
      <c r="BJ34123" s="201"/>
    </row>
    <row r="34124" spans="62:62" x14ac:dyDescent="0.2">
      <c r="BJ34124" s="201"/>
    </row>
    <row r="34125" spans="62:62" x14ac:dyDescent="0.2">
      <c r="BJ34125" s="201"/>
    </row>
    <row r="34126" spans="62:62" x14ac:dyDescent="0.2">
      <c r="BJ34126" s="201"/>
    </row>
    <row r="34127" spans="62:62" x14ac:dyDescent="0.2">
      <c r="BJ34127" s="201"/>
    </row>
    <row r="34128" spans="62:62" x14ac:dyDescent="0.2">
      <c r="BJ34128" s="201"/>
    </row>
    <row r="34129" spans="62:62" x14ac:dyDescent="0.2">
      <c r="BJ34129" s="201"/>
    </row>
    <row r="34130" spans="62:62" x14ac:dyDescent="0.2">
      <c r="BJ34130" s="201"/>
    </row>
    <row r="34131" spans="62:62" x14ac:dyDescent="0.2">
      <c r="BJ34131" s="201"/>
    </row>
    <row r="34132" spans="62:62" x14ac:dyDescent="0.2">
      <c r="BJ34132" s="201"/>
    </row>
    <row r="34133" spans="62:62" x14ac:dyDescent="0.2">
      <c r="BJ34133" s="201"/>
    </row>
    <row r="34134" spans="62:62" x14ac:dyDescent="0.2">
      <c r="BJ34134" s="201"/>
    </row>
    <row r="34135" spans="62:62" x14ac:dyDescent="0.2">
      <c r="BJ34135" s="201"/>
    </row>
    <row r="34136" spans="62:62" x14ac:dyDescent="0.2">
      <c r="BJ34136" s="201"/>
    </row>
    <row r="34137" spans="62:62" x14ac:dyDescent="0.2">
      <c r="BJ34137" s="201"/>
    </row>
    <row r="34138" spans="62:62" x14ac:dyDescent="0.2">
      <c r="BJ34138" s="201"/>
    </row>
    <row r="34139" spans="62:62" x14ac:dyDescent="0.2">
      <c r="BJ34139" s="201"/>
    </row>
    <row r="34140" spans="62:62" x14ac:dyDescent="0.2">
      <c r="BJ34140" s="201"/>
    </row>
    <row r="34141" spans="62:62" x14ac:dyDescent="0.2">
      <c r="BJ34141" s="201"/>
    </row>
    <row r="34142" spans="62:62" x14ac:dyDescent="0.2">
      <c r="BJ34142" s="201"/>
    </row>
    <row r="34143" spans="62:62" x14ac:dyDescent="0.2">
      <c r="BJ34143" s="201"/>
    </row>
    <row r="34144" spans="62:62" x14ac:dyDescent="0.2">
      <c r="BJ34144" s="201"/>
    </row>
    <row r="34145" spans="62:62" x14ac:dyDescent="0.2">
      <c r="BJ34145" s="201"/>
    </row>
    <row r="34146" spans="62:62" x14ac:dyDescent="0.2">
      <c r="BJ34146" s="201"/>
    </row>
    <row r="34147" spans="62:62" x14ac:dyDescent="0.2">
      <c r="BJ34147" s="201"/>
    </row>
    <row r="34148" spans="62:62" x14ac:dyDescent="0.2">
      <c r="BJ34148" s="201"/>
    </row>
    <row r="34149" spans="62:62" x14ac:dyDescent="0.2">
      <c r="BJ34149" s="201"/>
    </row>
    <row r="34150" spans="62:62" x14ac:dyDescent="0.2">
      <c r="BJ34150" s="201"/>
    </row>
    <row r="34151" spans="62:62" x14ac:dyDescent="0.2">
      <c r="BJ34151" s="201"/>
    </row>
    <row r="34152" spans="62:62" x14ac:dyDescent="0.2">
      <c r="BJ34152" s="201"/>
    </row>
    <row r="34153" spans="62:62" x14ac:dyDescent="0.2">
      <c r="BJ34153" s="201"/>
    </row>
    <row r="34154" spans="62:62" x14ac:dyDescent="0.2">
      <c r="BJ34154" s="201"/>
    </row>
    <row r="34155" spans="62:62" x14ac:dyDescent="0.2">
      <c r="BJ34155" s="201"/>
    </row>
    <row r="34156" spans="62:62" x14ac:dyDescent="0.2">
      <c r="BJ34156" s="201"/>
    </row>
    <row r="34157" spans="62:62" x14ac:dyDescent="0.2">
      <c r="BJ34157" s="201"/>
    </row>
    <row r="34158" spans="62:62" x14ac:dyDescent="0.2">
      <c r="BJ34158" s="201"/>
    </row>
    <row r="34159" spans="62:62" x14ac:dyDescent="0.2">
      <c r="BJ34159" s="201"/>
    </row>
    <row r="34160" spans="62:62" x14ac:dyDescent="0.2">
      <c r="BJ34160" s="201"/>
    </row>
    <row r="34161" spans="62:62" x14ac:dyDescent="0.2">
      <c r="BJ34161" s="201"/>
    </row>
    <row r="34162" spans="62:62" x14ac:dyDescent="0.2">
      <c r="BJ34162" s="201"/>
    </row>
    <row r="34163" spans="62:62" x14ac:dyDescent="0.2">
      <c r="BJ34163" s="201"/>
    </row>
    <row r="34164" spans="62:62" x14ac:dyDescent="0.2">
      <c r="BJ34164" s="201"/>
    </row>
    <row r="34165" spans="62:62" x14ac:dyDescent="0.2">
      <c r="BJ34165" s="201"/>
    </row>
    <row r="34166" spans="62:62" x14ac:dyDescent="0.2">
      <c r="BJ34166" s="201"/>
    </row>
    <row r="34167" spans="62:62" x14ac:dyDescent="0.2">
      <c r="BJ34167" s="201"/>
    </row>
    <row r="34168" spans="62:62" x14ac:dyDescent="0.2">
      <c r="BJ34168" s="201"/>
    </row>
    <row r="34169" spans="62:62" x14ac:dyDescent="0.2">
      <c r="BJ34169" s="201"/>
    </row>
    <row r="34170" spans="62:62" x14ac:dyDescent="0.2">
      <c r="BJ34170" s="201"/>
    </row>
    <row r="34171" spans="62:62" x14ac:dyDescent="0.2">
      <c r="BJ34171" s="201"/>
    </row>
    <row r="34172" spans="62:62" x14ac:dyDescent="0.2">
      <c r="BJ34172" s="201"/>
    </row>
    <row r="34173" spans="62:62" x14ac:dyDescent="0.2">
      <c r="BJ34173" s="201"/>
    </row>
    <row r="34174" spans="62:62" x14ac:dyDescent="0.2">
      <c r="BJ34174" s="201"/>
    </row>
    <row r="34175" spans="62:62" x14ac:dyDescent="0.2">
      <c r="BJ34175" s="201"/>
    </row>
    <row r="34176" spans="62:62" x14ac:dyDescent="0.2">
      <c r="BJ34176" s="201"/>
    </row>
    <row r="34177" spans="62:62" x14ac:dyDescent="0.2">
      <c r="BJ34177" s="201"/>
    </row>
    <row r="34178" spans="62:62" x14ac:dyDescent="0.2">
      <c r="BJ34178" s="201"/>
    </row>
    <row r="34179" spans="62:62" x14ac:dyDescent="0.2">
      <c r="BJ34179" s="201"/>
    </row>
    <row r="34180" spans="62:62" x14ac:dyDescent="0.2">
      <c r="BJ34180" s="201"/>
    </row>
    <row r="34181" spans="62:62" x14ac:dyDescent="0.2">
      <c r="BJ34181" s="201"/>
    </row>
    <row r="34182" spans="62:62" x14ac:dyDescent="0.2">
      <c r="BJ34182" s="201"/>
    </row>
    <row r="34183" spans="62:62" x14ac:dyDescent="0.2">
      <c r="BJ34183" s="201"/>
    </row>
    <row r="34184" spans="62:62" x14ac:dyDescent="0.2">
      <c r="BJ34184" s="201"/>
    </row>
    <row r="34185" spans="62:62" x14ac:dyDescent="0.2">
      <c r="BJ34185" s="201"/>
    </row>
    <row r="34186" spans="62:62" x14ac:dyDescent="0.2">
      <c r="BJ34186" s="201"/>
    </row>
    <row r="34187" spans="62:62" x14ac:dyDescent="0.2">
      <c r="BJ34187" s="201"/>
    </row>
    <row r="34188" spans="62:62" x14ac:dyDescent="0.2">
      <c r="BJ34188" s="201"/>
    </row>
    <row r="34189" spans="62:62" x14ac:dyDescent="0.2">
      <c r="BJ34189" s="201"/>
    </row>
    <row r="34190" spans="62:62" x14ac:dyDescent="0.2">
      <c r="BJ34190" s="201"/>
    </row>
    <row r="34191" spans="62:62" x14ac:dyDescent="0.2">
      <c r="BJ34191" s="201"/>
    </row>
    <row r="34192" spans="62:62" x14ac:dyDescent="0.2">
      <c r="BJ34192" s="201"/>
    </row>
    <row r="34193" spans="62:62" x14ac:dyDescent="0.2">
      <c r="BJ34193" s="201"/>
    </row>
    <row r="34194" spans="62:62" x14ac:dyDescent="0.2">
      <c r="BJ34194" s="201"/>
    </row>
    <row r="34195" spans="62:62" x14ac:dyDescent="0.2">
      <c r="BJ34195" s="201"/>
    </row>
    <row r="34196" spans="62:62" x14ac:dyDescent="0.2">
      <c r="BJ34196" s="201"/>
    </row>
    <row r="34197" spans="62:62" x14ac:dyDescent="0.2">
      <c r="BJ34197" s="201"/>
    </row>
    <row r="34198" spans="62:62" x14ac:dyDescent="0.2">
      <c r="BJ34198" s="201"/>
    </row>
    <row r="34199" spans="62:62" x14ac:dyDescent="0.2">
      <c r="BJ34199" s="201"/>
    </row>
    <row r="34200" spans="62:62" x14ac:dyDescent="0.2">
      <c r="BJ34200" s="201"/>
    </row>
    <row r="34201" spans="62:62" x14ac:dyDescent="0.2">
      <c r="BJ34201" s="201"/>
    </row>
    <row r="34202" spans="62:62" x14ac:dyDescent="0.2">
      <c r="BJ34202" s="201"/>
    </row>
    <row r="34203" spans="62:62" x14ac:dyDescent="0.2">
      <c r="BJ34203" s="201"/>
    </row>
    <row r="34204" spans="62:62" x14ac:dyDescent="0.2">
      <c r="BJ34204" s="201"/>
    </row>
    <row r="34205" spans="62:62" x14ac:dyDescent="0.2">
      <c r="BJ34205" s="201"/>
    </row>
    <row r="34206" spans="62:62" x14ac:dyDescent="0.2">
      <c r="BJ34206" s="201"/>
    </row>
    <row r="34207" spans="62:62" x14ac:dyDescent="0.2">
      <c r="BJ34207" s="201"/>
    </row>
    <row r="34208" spans="62:62" x14ac:dyDescent="0.2">
      <c r="BJ34208" s="201"/>
    </row>
    <row r="34209" spans="62:62" x14ac:dyDescent="0.2">
      <c r="BJ34209" s="201"/>
    </row>
    <row r="34210" spans="62:62" x14ac:dyDescent="0.2">
      <c r="BJ34210" s="201"/>
    </row>
    <row r="34211" spans="62:62" x14ac:dyDescent="0.2">
      <c r="BJ34211" s="201"/>
    </row>
    <row r="34212" spans="62:62" x14ac:dyDescent="0.2">
      <c r="BJ34212" s="201"/>
    </row>
    <row r="34213" spans="62:62" x14ac:dyDescent="0.2">
      <c r="BJ34213" s="201"/>
    </row>
    <row r="34214" spans="62:62" x14ac:dyDescent="0.2">
      <c r="BJ34214" s="201"/>
    </row>
    <row r="34215" spans="62:62" x14ac:dyDescent="0.2">
      <c r="BJ34215" s="201"/>
    </row>
    <row r="34216" spans="62:62" x14ac:dyDescent="0.2">
      <c r="BJ34216" s="201"/>
    </row>
    <row r="34217" spans="62:62" x14ac:dyDescent="0.2">
      <c r="BJ34217" s="201"/>
    </row>
    <row r="34218" spans="62:62" x14ac:dyDescent="0.2">
      <c r="BJ34218" s="201"/>
    </row>
    <row r="34219" spans="62:62" x14ac:dyDescent="0.2">
      <c r="BJ34219" s="201"/>
    </row>
    <row r="34220" spans="62:62" x14ac:dyDescent="0.2">
      <c r="BJ34220" s="201"/>
    </row>
    <row r="34221" spans="62:62" x14ac:dyDescent="0.2">
      <c r="BJ34221" s="201"/>
    </row>
    <row r="34222" spans="62:62" x14ac:dyDescent="0.2">
      <c r="BJ34222" s="201"/>
    </row>
    <row r="34223" spans="62:62" x14ac:dyDescent="0.2">
      <c r="BJ34223" s="201"/>
    </row>
    <row r="34224" spans="62:62" x14ac:dyDescent="0.2">
      <c r="BJ34224" s="201"/>
    </row>
    <row r="34225" spans="62:62" x14ac:dyDescent="0.2">
      <c r="BJ34225" s="201"/>
    </row>
    <row r="34226" spans="62:62" x14ac:dyDescent="0.2">
      <c r="BJ34226" s="201"/>
    </row>
    <row r="34227" spans="62:62" x14ac:dyDescent="0.2">
      <c r="BJ34227" s="201"/>
    </row>
    <row r="34228" spans="62:62" x14ac:dyDescent="0.2">
      <c r="BJ34228" s="201"/>
    </row>
    <row r="34229" spans="62:62" x14ac:dyDescent="0.2">
      <c r="BJ34229" s="201"/>
    </row>
    <row r="34230" spans="62:62" x14ac:dyDescent="0.2">
      <c r="BJ34230" s="201"/>
    </row>
    <row r="34231" spans="62:62" x14ac:dyDescent="0.2">
      <c r="BJ34231" s="201"/>
    </row>
    <row r="34232" spans="62:62" x14ac:dyDescent="0.2">
      <c r="BJ34232" s="201"/>
    </row>
    <row r="34233" spans="62:62" x14ac:dyDescent="0.2">
      <c r="BJ34233" s="201"/>
    </row>
    <row r="34234" spans="62:62" x14ac:dyDescent="0.2">
      <c r="BJ34234" s="201"/>
    </row>
    <row r="34235" spans="62:62" x14ac:dyDescent="0.2">
      <c r="BJ34235" s="201"/>
    </row>
    <row r="34236" spans="62:62" x14ac:dyDescent="0.2">
      <c r="BJ34236" s="201"/>
    </row>
    <row r="34237" spans="62:62" x14ac:dyDescent="0.2">
      <c r="BJ34237" s="201"/>
    </row>
    <row r="34238" spans="62:62" x14ac:dyDescent="0.2">
      <c r="BJ34238" s="201"/>
    </row>
    <row r="34239" spans="62:62" x14ac:dyDescent="0.2">
      <c r="BJ34239" s="201"/>
    </row>
    <row r="34240" spans="62:62" x14ac:dyDescent="0.2">
      <c r="BJ34240" s="201"/>
    </row>
    <row r="34241" spans="62:62" x14ac:dyDescent="0.2">
      <c r="BJ34241" s="201"/>
    </row>
    <row r="34242" spans="62:62" x14ac:dyDescent="0.2">
      <c r="BJ34242" s="201"/>
    </row>
    <row r="34243" spans="62:62" x14ac:dyDescent="0.2">
      <c r="BJ34243" s="201"/>
    </row>
    <row r="34244" spans="62:62" x14ac:dyDescent="0.2">
      <c r="BJ34244" s="201"/>
    </row>
    <row r="34245" spans="62:62" x14ac:dyDescent="0.2">
      <c r="BJ34245" s="201"/>
    </row>
    <row r="34246" spans="62:62" x14ac:dyDescent="0.2">
      <c r="BJ34246" s="201"/>
    </row>
    <row r="34247" spans="62:62" x14ac:dyDescent="0.2">
      <c r="BJ34247" s="201"/>
    </row>
    <row r="34248" spans="62:62" x14ac:dyDescent="0.2">
      <c r="BJ34248" s="201"/>
    </row>
    <row r="34249" spans="62:62" x14ac:dyDescent="0.2">
      <c r="BJ34249" s="201"/>
    </row>
    <row r="34250" spans="62:62" x14ac:dyDescent="0.2">
      <c r="BJ34250" s="201"/>
    </row>
    <row r="34251" spans="62:62" x14ac:dyDescent="0.2">
      <c r="BJ34251" s="201"/>
    </row>
    <row r="34252" spans="62:62" x14ac:dyDescent="0.2">
      <c r="BJ34252" s="201"/>
    </row>
    <row r="34253" spans="62:62" x14ac:dyDescent="0.2">
      <c r="BJ34253" s="201"/>
    </row>
    <row r="34254" spans="62:62" x14ac:dyDescent="0.2">
      <c r="BJ34254" s="201"/>
    </row>
    <row r="34255" spans="62:62" x14ac:dyDescent="0.2">
      <c r="BJ34255" s="201"/>
    </row>
    <row r="34256" spans="62:62" x14ac:dyDescent="0.2">
      <c r="BJ34256" s="201"/>
    </row>
    <row r="34257" spans="62:62" x14ac:dyDescent="0.2">
      <c r="BJ34257" s="201"/>
    </row>
    <row r="34258" spans="62:62" x14ac:dyDescent="0.2">
      <c r="BJ34258" s="201"/>
    </row>
    <row r="34259" spans="62:62" x14ac:dyDescent="0.2">
      <c r="BJ34259" s="201"/>
    </row>
    <row r="34260" spans="62:62" x14ac:dyDescent="0.2">
      <c r="BJ34260" s="201"/>
    </row>
    <row r="34261" spans="62:62" x14ac:dyDescent="0.2">
      <c r="BJ34261" s="201"/>
    </row>
    <row r="34262" spans="62:62" x14ac:dyDescent="0.2">
      <c r="BJ34262" s="201"/>
    </row>
    <row r="34263" spans="62:62" x14ac:dyDescent="0.2">
      <c r="BJ34263" s="201"/>
    </row>
    <row r="34264" spans="62:62" x14ac:dyDescent="0.2">
      <c r="BJ34264" s="201"/>
    </row>
    <row r="34265" spans="62:62" x14ac:dyDescent="0.2">
      <c r="BJ34265" s="201"/>
    </row>
    <row r="34266" spans="62:62" x14ac:dyDescent="0.2">
      <c r="BJ34266" s="201"/>
    </row>
    <row r="34267" spans="62:62" x14ac:dyDescent="0.2">
      <c r="BJ34267" s="201"/>
    </row>
    <row r="34268" spans="62:62" x14ac:dyDescent="0.2">
      <c r="BJ34268" s="201"/>
    </row>
    <row r="34269" spans="62:62" x14ac:dyDescent="0.2">
      <c r="BJ34269" s="201"/>
    </row>
    <row r="34270" spans="62:62" x14ac:dyDescent="0.2">
      <c r="BJ34270" s="201"/>
    </row>
    <row r="34271" spans="62:62" x14ac:dyDescent="0.2">
      <c r="BJ34271" s="201"/>
    </row>
    <row r="34272" spans="62:62" x14ac:dyDescent="0.2">
      <c r="BJ34272" s="201"/>
    </row>
    <row r="34273" spans="62:62" x14ac:dyDescent="0.2">
      <c r="BJ34273" s="201"/>
    </row>
    <row r="34274" spans="62:62" x14ac:dyDescent="0.2">
      <c r="BJ34274" s="201"/>
    </row>
    <row r="34275" spans="62:62" x14ac:dyDescent="0.2">
      <c r="BJ34275" s="201"/>
    </row>
    <row r="34276" spans="62:62" x14ac:dyDescent="0.2">
      <c r="BJ34276" s="201"/>
    </row>
    <row r="34277" spans="62:62" x14ac:dyDescent="0.2">
      <c r="BJ34277" s="201"/>
    </row>
    <row r="34278" spans="62:62" x14ac:dyDescent="0.2">
      <c r="BJ34278" s="201"/>
    </row>
    <row r="34279" spans="62:62" x14ac:dyDescent="0.2">
      <c r="BJ34279" s="201"/>
    </row>
    <row r="34280" spans="62:62" x14ac:dyDescent="0.2">
      <c r="BJ34280" s="201"/>
    </row>
    <row r="34281" spans="62:62" x14ac:dyDescent="0.2">
      <c r="BJ34281" s="201"/>
    </row>
    <row r="34282" spans="62:62" x14ac:dyDescent="0.2">
      <c r="BJ34282" s="201"/>
    </row>
    <row r="34283" spans="62:62" x14ac:dyDescent="0.2">
      <c r="BJ34283" s="201"/>
    </row>
    <row r="34284" spans="62:62" x14ac:dyDescent="0.2">
      <c r="BJ34284" s="201"/>
    </row>
    <row r="34285" spans="62:62" x14ac:dyDescent="0.2">
      <c r="BJ34285" s="201"/>
    </row>
    <row r="34286" spans="62:62" x14ac:dyDescent="0.2">
      <c r="BJ34286" s="201"/>
    </row>
    <row r="34287" spans="62:62" x14ac:dyDescent="0.2">
      <c r="BJ34287" s="201"/>
    </row>
    <row r="34288" spans="62:62" x14ac:dyDescent="0.2">
      <c r="BJ34288" s="201"/>
    </row>
    <row r="34289" spans="62:62" x14ac:dyDescent="0.2">
      <c r="BJ34289" s="201"/>
    </row>
    <row r="34290" spans="62:62" x14ac:dyDescent="0.2">
      <c r="BJ34290" s="201"/>
    </row>
    <row r="34291" spans="62:62" x14ac:dyDescent="0.2">
      <c r="BJ34291" s="201"/>
    </row>
    <row r="34292" spans="62:62" x14ac:dyDescent="0.2">
      <c r="BJ34292" s="201"/>
    </row>
    <row r="34293" spans="62:62" x14ac:dyDescent="0.2">
      <c r="BJ34293" s="201"/>
    </row>
    <row r="34294" spans="62:62" x14ac:dyDescent="0.2">
      <c r="BJ34294" s="201"/>
    </row>
    <row r="34295" spans="62:62" x14ac:dyDescent="0.2">
      <c r="BJ34295" s="201"/>
    </row>
    <row r="34296" spans="62:62" x14ac:dyDescent="0.2">
      <c r="BJ34296" s="201"/>
    </row>
    <row r="34297" spans="62:62" x14ac:dyDescent="0.2">
      <c r="BJ34297" s="201"/>
    </row>
    <row r="34298" spans="62:62" x14ac:dyDescent="0.2">
      <c r="BJ34298" s="201"/>
    </row>
    <row r="34299" spans="62:62" x14ac:dyDescent="0.2">
      <c r="BJ34299" s="201"/>
    </row>
    <row r="34300" spans="62:62" x14ac:dyDescent="0.2">
      <c r="BJ34300" s="201"/>
    </row>
    <row r="34301" spans="62:62" x14ac:dyDescent="0.2">
      <c r="BJ34301" s="201"/>
    </row>
    <row r="34302" spans="62:62" x14ac:dyDescent="0.2">
      <c r="BJ34302" s="201"/>
    </row>
    <row r="34303" spans="62:62" x14ac:dyDescent="0.2">
      <c r="BJ34303" s="201"/>
    </row>
    <row r="34304" spans="62:62" x14ac:dyDescent="0.2">
      <c r="BJ34304" s="201"/>
    </row>
    <row r="34305" spans="62:62" x14ac:dyDescent="0.2">
      <c r="BJ34305" s="201"/>
    </row>
    <row r="34306" spans="62:62" x14ac:dyDescent="0.2">
      <c r="BJ34306" s="201"/>
    </row>
    <row r="34307" spans="62:62" x14ac:dyDescent="0.2">
      <c r="BJ34307" s="201"/>
    </row>
    <row r="34308" spans="62:62" x14ac:dyDescent="0.2">
      <c r="BJ34308" s="201"/>
    </row>
    <row r="34309" spans="62:62" x14ac:dyDescent="0.2">
      <c r="BJ34309" s="201"/>
    </row>
    <row r="34310" spans="62:62" x14ac:dyDescent="0.2">
      <c r="BJ34310" s="201"/>
    </row>
    <row r="34311" spans="62:62" x14ac:dyDescent="0.2">
      <c r="BJ34311" s="201"/>
    </row>
    <row r="34312" spans="62:62" x14ac:dyDescent="0.2">
      <c r="BJ34312" s="201"/>
    </row>
    <row r="34313" spans="62:62" x14ac:dyDescent="0.2">
      <c r="BJ34313" s="201"/>
    </row>
    <row r="34314" spans="62:62" x14ac:dyDescent="0.2">
      <c r="BJ34314" s="201"/>
    </row>
    <row r="34315" spans="62:62" x14ac:dyDescent="0.2">
      <c r="BJ34315" s="201"/>
    </row>
    <row r="34316" spans="62:62" x14ac:dyDescent="0.2">
      <c r="BJ34316" s="201"/>
    </row>
    <row r="34317" spans="62:62" x14ac:dyDescent="0.2">
      <c r="BJ34317" s="201"/>
    </row>
    <row r="34318" spans="62:62" x14ac:dyDescent="0.2">
      <c r="BJ34318" s="201"/>
    </row>
    <row r="34319" spans="62:62" x14ac:dyDescent="0.2">
      <c r="BJ34319" s="201"/>
    </row>
    <row r="34320" spans="62:62" x14ac:dyDescent="0.2">
      <c r="BJ34320" s="201"/>
    </row>
    <row r="34321" spans="62:62" x14ac:dyDescent="0.2">
      <c r="BJ34321" s="201"/>
    </row>
    <row r="34322" spans="62:62" x14ac:dyDescent="0.2">
      <c r="BJ34322" s="201"/>
    </row>
    <row r="34323" spans="62:62" x14ac:dyDescent="0.2">
      <c r="BJ34323" s="201"/>
    </row>
    <row r="34324" spans="62:62" x14ac:dyDescent="0.2">
      <c r="BJ34324" s="201"/>
    </row>
    <row r="34325" spans="62:62" x14ac:dyDescent="0.2">
      <c r="BJ34325" s="201"/>
    </row>
    <row r="34326" spans="62:62" x14ac:dyDescent="0.2">
      <c r="BJ34326" s="201"/>
    </row>
    <row r="34327" spans="62:62" x14ac:dyDescent="0.2">
      <c r="BJ34327" s="201"/>
    </row>
    <row r="34328" spans="62:62" x14ac:dyDescent="0.2">
      <c r="BJ34328" s="201"/>
    </row>
    <row r="34329" spans="62:62" x14ac:dyDescent="0.2">
      <c r="BJ34329" s="201"/>
    </row>
    <row r="34330" spans="62:62" x14ac:dyDescent="0.2">
      <c r="BJ34330" s="201"/>
    </row>
    <row r="34331" spans="62:62" x14ac:dyDescent="0.2">
      <c r="BJ34331" s="201"/>
    </row>
    <row r="34332" spans="62:62" x14ac:dyDescent="0.2">
      <c r="BJ34332" s="201"/>
    </row>
    <row r="34333" spans="62:62" x14ac:dyDescent="0.2">
      <c r="BJ34333" s="201"/>
    </row>
    <row r="34334" spans="62:62" x14ac:dyDescent="0.2">
      <c r="BJ34334" s="201"/>
    </row>
    <row r="34335" spans="62:62" x14ac:dyDescent="0.2">
      <c r="BJ34335" s="201"/>
    </row>
    <row r="34336" spans="62:62" x14ac:dyDescent="0.2">
      <c r="BJ34336" s="201"/>
    </row>
    <row r="34337" spans="62:62" x14ac:dyDescent="0.2">
      <c r="BJ34337" s="201"/>
    </row>
    <row r="34338" spans="62:62" x14ac:dyDescent="0.2">
      <c r="BJ34338" s="201"/>
    </row>
    <row r="34339" spans="62:62" x14ac:dyDescent="0.2">
      <c r="BJ34339" s="201"/>
    </row>
    <row r="34340" spans="62:62" x14ac:dyDescent="0.2">
      <c r="BJ34340" s="201"/>
    </row>
    <row r="34341" spans="62:62" x14ac:dyDescent="0.2">
      <c r="BJ34341" s="201"/>
    </row>
    <row r="34342" spans="62:62" x14ac:dyDescent="0.2">
      <c r="BJ34342" s="201"/>
    </row>
    <row r="34343" spans="62:62" x14ac:dyDescent="0.2">
      <c r="BJ34343" s="201"/>
    </row>
    <row r="34344" spans="62:62" x14ac:dyDescent="0.2">
      <c r="BJ34344" s="201"/>
    </row>
    <row r="34345" spans="62:62" x14ac:dyDescent="0.2">
      <c r="BJ34345" s="201"/>
    </row>
    <row r="34346" spans="62:62" x14ac:dyDescent="0.2">
      <c r="BJ34346" s="201"/>
    </row>
    <row r="34347" spans="62:62" x14ac:dyDescent="0.2">
      <c r="BJ34347" s="201"/>
    </row>
    <row r="34348" spans="62:62" x14ac:dyDescent="0.2">
      <c r="BJ34348" s="201"/>
    </row>
    <row r="34349" spans="62:62" x14ac:dyDescent="0.2">
      <c r="BJ34349" s="201"/>
    </row>
    <row r="34350" spans="62:62" x14ac:dyDescent="0.2">
      <c r="BJ34350" s="201"/>
    </row>
    <row r="34351" spans="62:62" x14ac:dyDescent="0.2">
      <c r="BJ34351" s="201"/>
    </row>
    <row r="34352" spans="62:62" x14ac:dyDescent="0.2">
      <c r="BJ34352" s="201"/>
    </row>
    <row r="34353" spans="62:62" x14ac:dyDescent="0.2">
      <c r="BJ34353" s="201"/>
    </row>
    <row r="34354" spans="62:62" x14ac:dyDescent="0.2">
      <c r="BJ34354" s="201"/>
    </row>
    <row r="34355" spans="62:62" x14ac:dyDescent="0.2">
      <c r="BJ34355" s="201"/>
    </row>
    <row r="34356" spans="62:62" x14ac:dyDescent="0.2">
      <c r="BJ34356" s="201"/>
    </row>
    <row r="34357" spans="62:62" x14ac:dyDescent="0.2">
      <c r="BJ34357" s="201"/>
    </row>
    <row r="34358" spans="62:62" x14ac:dyDescent="0.2">
      <c r="BJ34358" s="201"/>
    </row>
    <row r="34359" spans="62:62" x14ac:dyDescent="0.2">
      <c r="BJ34359" s="201"/>
    </row>
    <row r="34360" spans="62:62" x14ac:dyDescent="0.2">
      <c r="BJ34360" s="201"/>
    </row>
    <row r="34361" spans="62:62" x14ac:dyDescent="0.2">
      <c r="BJ34361" s="201"/>
    </row>
    <row r="34362" spans="62:62" x14ac:dyDescent="0.2">
      <c r="BJ34362" s="201"/>
    </row>
    <row r="34363" spans="62:62" x14ac:dyDescent="0.2">
      <c r="BJ34363" s="201"/>
    </row>
    <row r="34364" spans="62:62" x14ac:dyDescent="0.2">
      <c r="BJ34364" s="201"/>
    </row>
    <row r="34365" spans="62:62" x14ac:dyDescent="0.2">
      <c r="BJ34365" s="201"/>
    </row>
    <row r="34366" spans="62:62" x14ac:dyDescent="0.2">
      <c r="BJ34366" s="201"/>
    </row>
    <row r="34367" spans="62:62" x14ac:dyDescent="0.2">
      <c r="BJ34367" s="201"/>
    </row>
    <row r="34368" spans="62:62" x14ac:dyDescent="0.2">
      <c r="BJ34368" s="201"/>
    </row>
    <row r="34369" spans="62:62" x14ac:dyDescent="0.2">
      <c r="BJ34369" s="201"/>
    </row>
    <row r="34370" spans="62:62" x14ac:dyDescent="0.2">
      <c r="BJ34370" s="201"/>
    </row>
    <row r="34371" spans="62:62" x14ac:dyDescent="0.2">
      <c r="BJ34371" s="201"/>
    </row>
    <row r="34372" spans="62:62" x14ac:dyDescent="0.2">
      <c r="BJ34372" s="201"/>
    </row>
    <row r="34373" spans="62:62" x14ac:dyDescent="0.2">
      <c r="BJ34373" s="201"/>
    </row>
    <row r="34374" spans="62:62" x14ac:dyDescent="0.2">
      <c r="BJ34374" s="201"/>
    </row>
    <row r="34375" spans="62:62" x14ac:dyDescent="0.2">
      <c r="BJ34375" s="201"/>
    </row>
    <row r="34376" spans="62:62" x14ac:dyDescent="0.2">
      <c r="BJ34376" s="201"/>
    </row>
    <row r="34377" spans="62:62" x14ac:dyDescent="0.2">
      <c r="BJ34377" s="201"/>
    </row>
    <row r="34378" spans="62:62" x14ac:dyDescent="0.2">
      <c r="BJ34378" s="201"/>
    </row>
    <row r="34379" spans="62:62" x14ac:dyDescent="0.2">
      <c r="BJ34379" s="201"/>
    </row>
    <row r="34380" spans="62:62" x14ac:dyDescent="0.2">
      <c r="BJ34380" s="201"/>
    </row>
    <row r="34381" spans="62:62" x14ac:dyDescent="0.2">
      <c r="BJ34381" s="201"/>
    </row>
    <row r="34382" spans="62:62" x14ac:dyDescent="0.2">
      <c r="BJ34382" s="201"/>
    </row>
    <row r="34383" spans="62:62" x14ac:dyDescent="0.2">
      <c r="BJ34383" s="201"/>
    </row>
    <row r="34384" spans="62:62" x14ac:dyDescent="0.2">
      <c r="BJ34384" s="201"/>
    </row>
    <row r="34385" spans="62:62" x14ac:dyDescent="0.2">
      <c r="BJ34385" s="201"/>
    </row>
    <row r="34386" spans="62:62" x14ac:dyDescent="0.2">
      <c r="BJ34386" s="201"/>
    </row>
    <row r="34387" spans="62:62" x14ac:dyDescent="0.2">
      <c r="BJ34387" s="201"/>
    </row>
    <row r="34388" spans="62:62" x14ac:dyDescent="0.2">
      <c r="BJ34388" s="201"/>
    </row>
    <row r="34389" spans="62:62" x14ac:dyDescent="0.2">
      <c r="BJ34389" s="201"/>
    </row>
    <row r="34390" spans="62:62" x14ac:dyDescent="0.2">
      <c r="BJ34390" s="201"/>
    </row>
    <row r="34391" spans="62:62" x14ac:dyDescent="0.2">
      <c r="BJ34391" s="201"/>
    </row>
    <row r="34392" spans="62:62" x14ac:dyDescent="0.2">
      <c r="BJ34392" s="201"/>
    </row>
    <row r="34393" spans="62:62" x14ac:dyDescent="0.2">
      <c r="BJ34393" s="201"/>
    </row>
    <row r="34394" spans="62:62" x14ac:dyDescent="0.2">
      <c r="BJ34394" s="201"/>
    </row>
    <row r="34395" spans="62:62" x14ac:dyDescent="0.2">
      <c r="BJ34395" s="201"/>
    </row>
    <row r="34396" spans="62:62" x14ac:dyDescent="0.2">
      <c r="BJ34396" s="201"/>
    </row>
    <row r="34397" spans="62:62" x14ac:dyDescent="0.2">
      <c r="BJ34397" s="201"/>
    </row>
    <row r="34398" spans="62:62" x14ac:dyDescent="0.2">
      <c r="BJ34398" s="201"/>
    </row>
    <row r="34399" spans="62:62" x14ac:dyDescent="0.2">
      <c r="BJ34399" s="201"/>
    </row>
    <row r="34400" spans="62:62" x14ac:dyDescent="0.2">
      <c r="BJ34400" s="201"/>
    </row>
    <row r="34401" spans="62:62" x14ac:dyDescent="0.2">
      <c r="BJ34401" s="201"/>
    </row>
    <row r="34402" spans="62:62" x14ac:dyDescent="0.2">
      <c r="BJ34402" s="201"/>
    </row>
    <row r="34403" spans="62:62" x14ac:dyDescent="0.2">
      <c r="BJ34403" s="201"/>
    </row>
    <row r="34404" spans="62:62" x14ac:dyDescent="0.2">
      <c r="BJ34404" s="201"/>
    </row>
    <row r="34405" spans="62:62" x14ac:dyDescent="0.2">
      <c r="BJ34405" s="201"/>
    </row>
    <row r="34406" spans="62:62" x14ac:dyDescent="0.2">
      <c r="BJ34406" s="201"/>
    </row>
    <row r="34407" spans="62:62" x14ac:dyDescent="0.2">
      <c r="BJ34407" s="201"/>
    </row>
    <row r="34408" spans="62:62" x14ac:dyDescent="0.2">
      <c r="BJ34408" s="201"/>
    </row>
    <row r="34409" spans="62:62" x14ac:dyDescent="0.2">
      <c r="BJ34409" s="201"/>
    </row>
    <row r="34410" spans="62:62" x14ac:dyDescent="0.2">
      <c r="BJ34410" s="201"/>
    </row>
    <row r="34411" spans="62:62" x14ac:dyDescent="0.2">
      <c r="BJ34411" s="201"/>
    </row>
    <row r="34412" spans="62:62" x14ac:dyDescent="0.2">
      <c r="BJ34412" s="201"/>
    </row>
    <row r="34413" spans="62:62" x14ac:dyDescent="0.2">
      <c r="BJ34413" s="201"/>
    </row>
    <row r="34414" spans="62:62" x14ac:dyDescent="0.2">
      <c r="BJ34414" s="201"/>
    </row>
    <row r="34415" spans="62:62" x14ac:dyDescent="0.2">
      <c r="BJ34415" s="201"/>
    </row>
    <row r="34416" spans="62:62" x14ac:dyDescent="0.2">
      <c r="BJ34416" s="201"/>
    </row>
    <row r="34417" spans="62:62" x14ac:dyDescent="0.2">
      <c r="BJ34417" s="201"/>
    </row>
    <row r="34418" spans="62:62" x14ac:dyDescent="0.2">
      <c r="BJ34418" s="201"/>
    </row>
    <row r="34419" spans="62:62" x14ac:dyDescent="0.2">
      <c r="BJ34419" s="201"/>
    </row>
    <row r="34420" spans="62:62" x14ac:dyDescent="0.2">
      <c r="BJ34420" s="201"/>
    </row>
    <row r="34421" spans="62:62" x14ac:dyDescent="0.2">
      <c r="BJ34421" s="201"/>
    </row>
    <row r="34422" spans="62:62" x14ac:dyDescent="0.2">
      <c r="BJ34422" s="201"/>
    </row>
    <row r="34423" spans="62:62" x14ac:dyDescent="0.2">
      <c r="BJ34423" s="201"/>
    </row>
    <row r="34424" spans="62:62" x14ac:dyDescent="0.2">
      <c r="BJ34424" s="201"/>
    </row>
    <row r="34425" spans="62:62" x14ac:dyDescent="0.2">
      <c r="BJ34425" s="201"/>
    </row>
    <row r="34426" spans="62:62" x14ac:dyDescent="0.2">
      <c r="BJ34426" s="201"/>
    </row>
    <row r="34427" spans="62:62" x14ac:dyDescent="0.2">
      <c r="BJ34427" s="201"/>
    </row>
    <row r="34428" spans="62:62" x14ac:dyDescent="0.2">
      <c r="BJ34428" s="201"/>
    </row>
    <row r="34429" spans="62:62" x14ac:dyDescent="0.2">
      <c r="BJ34429" s="201"/>
    </row>
    <row r="34430" spans="62:62" x14ac:dyDescent="0.2">
      <c r="BJ34430" s="201"/>
    </row>
    <row r="34431" spans="62:62" x14ac:dyDescent="0.2">
      <c r="BJ34431" s="201"/>
    </row>
    <row r="34432" spans="62:62" x14ac:dyDescent="0.2">
      <c r="BJ34432" s="201"/>
    </row>
    <row r="34433" spans="62:62" x14ac:dyDescent="0.2">
      <c r="BJ34433" s="201"/>
    </row>
    <row r="34434" spans="62:62" x14ac:dyDescent="0.2">
      <c r="BJ34434" s="201"/>
    </row>
    <row r="34435" spans="62:62" x14ac:dyDescent="0.2">
      <c r="BJ34435" s="201"/>
    </row>
    <row r="34436" spans="62:62" x14ac:dyDescent="0.2">
      <c r="BJ34436" s="201"/>
    </row>
    <row r="34437" spans="62:62" x14ac:dyDescent="0.2">
      <c r="BJ34437" s="201"/>
    </row>
    <row r="34438" spans="62:62" x14ac:dyDescent="0.2">
      <c r="BJ34438" s="201"/>
    </row>
    <row r="34439" spans="62:62" x14ac:dyDescent="0.2">
      <c r="BJ34439" s="201"/>
    </row>
    <row r="34440" spans="62:62" x14ac:dyDescent="0.2">
      <c r="BJ34440" s="201"/>
    </row>
    <row r="34441" spans="62:62" x14ac:dyDescent="0.2">
      <c r="BJ34441" s="201"/>
    </row>
    <row r="34442" spans="62:62" x14ac:dyDescent="0.2">
      <c r="BJ34442" s="201"/>
    </row>
    <row r="34443" spans="62:62" x14ac:dyDescent="0.2">
      <c r="BJ34443" s="201"/>
    </row>
    <row r="34444" spans="62:62" x14ac:dyDescent="0.2">
      <c r="BJ34444" s="201"/>
    </row>
    <row r="34445" spans="62:62" x14ac:dyDescent="0.2">
      <c r="BJ34445" s="201"/>
    </row>
    <row r="34446" spans="62:62" x14ac:dyDescent="0.2">
      <c r="BJ34446" s="201"/>
    </row>
    <row r="34447" spans="62:62" x14ac:dyDescent="0.2">
      <c r="BJ34447" s="201"/>
    </row>
    <row r="34448" spans="62:62" x14ac:dyDescent="0.2">
      <c r="BJ34448" s="201"/>
    </row>
    <row r="34449" spans="62:62" x14ac:dyDescent="0.2">
      <c r="BJ34449" s="201"/>
    </row>
    <row r="34450" spans="62:62" x14ac:dyDescent="0.2">
      <c r="BJ34450" s="201"/>
    </row>
    <row r="34451" spans="62:62" x14ac:dyDescent="0.2">
      <c r="BJ34451" s="201"/>
    </row>
    <row r="34452" spans="62:62" x14ac:dyDescent="0.2">
      <c r="BJ34452" s="201"/>
    </row>
    <row r="34453" spans="62:62" x14ac:dyDescent="0.2">
      <c r="BJ34453" s="201"/>
    </row>
    <row r="34454" spans="62:62" x14ac:dyDescent="0.2">
      <c r="BJ34454" s="201"/>
    </row>
    <row r="34455" spans="62:62" x14ac:dyDescent="0.2">
      <c r="BJ34455" s="201"/>
    </row>
    <row r="34456" spans="62:62" x14ac:dyDescent="0.2">
      <c r="BJ34456" s="201"/>
    </row>
    <row r="34457" spans="62:62" x14ac:dyDescent="0.2">
      <c r="BJ34457" s="201"/>
    </row>
    <row r="34458" spans="62:62" x14ac:dyDescent="0.2">
      <c r="BJ34458" s="201"/>
    </row>
    <row r="34459" spans="62:62" x14ac:dyDescent="0.2">
      <c r="BJ34459" s="201"/>
    </row>
    <row r="34460" spans="62:62" x14ac:dyDescent="0.2">
      <c r="BJ34460" s="201"/>
    </row>
    <row r="34461" spans="62:62" x14ac:dyDescent="0.2">
      <c r="BJ34461" s="201"/>
    </row>
    <row r="34462" spans="62:62" x14ac:dyDescent="0.2">
      <c r="BJ34462" s="201"/>
    </row>
    <row r="34463" spans="62:62" x14ac:dyDescent="0.2">
      <c r="BJ34463" s="201"/>
    </row>
    <row r="34464" spans="62:62" x14ac:dyDescent="0.2">
      <c r="BJ34464" s="201"/>
    </row>
    <row r="34465" spans="62:62" x14ac:dyDescent="0.2">
      <c r="BJ34465" s="201"/>
    </row>
    <row r="34466" spans="62:62" x14ac:dyDescent="0.2">
      <c r="BJ34466" s="201"/>
    </row>
    <row r="34467" spans="62:62" x14ac:dyDescent="0.2">
      <c r="BJ34467" s="201"/>
    </row>
    <row r="34468" spans="62:62" x14ac:dyDescent="0.2">
      <c r="BJ34468" s="201"/>
    </row>
    <row r="34469" spans="62:62" x14ac:dyDescent="0.2">
      <c r="BJ34469" s="201"/>
    </row>
    <row r="34470" spans="62:62" x14ac:dyDescent="0.2">
      <c r="BJ34470" s="201"/>
    </row>
    <row r="34471" spans="62:62" x14ac:dyDescent="0.2">
      <c r="BJ34471" s="201"/>
    </row>
    <row r="34472" spans="62:62" x14ac:dyDescent="0.2">
      <c r="BJ34472" s="201"/>
    </row>
    <row r="34473" spans="62:62" x14ac:dyDescent="0.2">
      <c r="BJ34473" s="201"/>
    </row>
    <row r="34474" spans="62:62" x14ac:dyDescent="0.2">
      <c r="BJ34474" s="201"/>
    </row>
    <row r="34475" spans="62:62" x14ac:dyDescent="0.2">
      <c r="BJ34475" s="201"/>
    </row>
    <row r="34476" spans="62:62" x14ac:dyDescent="0.2">
      <c r="BJ34476" s="201"/>
    </row>
    <row r="34477" spans="62:62" x14ac:dyDescent="0.2">
      <c r="BJ34477" s="201"/>
    </row>
    <row r="34478" spans="62:62" x14ac:dyDescent="0.2">
      <c r="BJ34478" s="201"/>
    </row>
    <row r="34479" spans="62:62" x14ac:dyDescent="0.2">
      <c r="BJ34479" s="201"/>
    </row>
    <row r="34480" spans="62:62" x14ac:dyDescent="0.2">
      <c r="BJ34480" s="201"/>
    </row>
    <row r="34481" spans="62:62" x14ac:dyDescent="0.2">
      <c r="BJ34481" s="201"/>
    </row>
    <row r="34482" spans="62:62" x14ac:dyDescent="0.2">
      <c r="BJ34482" s="201"/>
    </row>
    <row r="34483" spans="62:62" x14ac:dyDescent="0.2">
      <c r="BJ34483" s="201"/>
    </row>
    <row r="34484" spans="62:62" x14ac:dyDescent="0.2">
      <c r="BJ34484" s="201"/>
    </row>
    <row r="34485" spans="62:62" x14ac:dyDescent="0.2">
      <c r="BJ34485" s="201"/>
    </row>
    <row r="34486" spans="62:62" x14ac:dyDescent="0.2">
      <c r="BJ34486" s="201"/>
    </row>
    <row r="34487" spans="62:62" x14ac:dyDescent="0.2">
      <c r="BJ34487" s="201"/>
    </row>
    <row r="34488" spans="62:62" x14ac:dyDescent="0.2">
      <c r="BJ34488" s="201"/>
    </row>
    <row r="34489" spans="62:62" x14ac:dyDescent="0.2">
      <c r="BJ34489" s="201"/>
    </row>
    <row r="34490" spans="62:62" x14ac:dyDescent="0.2">
      <c r="BJ34490" s="201"/>
    </row>
    <row r="34491" spans="62:62" x14ac:dyDescent="0.2">
      <c r="BJ34491" s="201"/>
    </row>
    <row r="34492" spans="62:62" x14ac:dyDescent="0.2">
      <c r="BJ34492" s="201"/>
    </row>
    <row r="34493" spans="62:62" x14ac:dyDescent="0.2">
      <c r="BJ34493" s="201"/>
    </row>
    <row r="34494" spans="62:62" x14ac:dyDescent="0.2">
      <c r="BJ34494" s="201"/>
    </row>
    <row r="34495" spans="62:62" x14ac:dyDescent="0.2">
      <c r="BJ34495" s="201"/>
    </row>
    <row r="34496" spans="62:62" x14ac:dyDescent="0.2">
      <c r="BJ34496" s="201"/>
    </row>
    <row r="34497" spans="62:62" x14ac:dyDescent="0.2">
      <c r="BJ34497" s="201"/>
    </row>
    <row r="34498" spans="62:62" x14ac:dyDescent="0.2">
      <c r="BJ34498" s="201"/>
    </row>
    <row r="34499" spans="62:62" x14ac:dyDescent="0.2">
      <c r="BJ34499" s="201"/>
    </row>
    <row r="34500" spans="62:62" x14ac:dyDescent="0.2">
      <c r="BJ34500" s="201"/>
    </row>
    <row r="34501" spans="62:62" x14ac:dyDescent="0.2">
      <c r="BJ34501" s="201"/>
    </row>
    <row r="34502" spans="62:62" x14ac:dyDescent="0.2">
      <c r="BJ34502" s="201"/>
    </row>
    <row r="34503" spans="62:62" x14ac:dyDescent="0.2">
      <c r="BJ34503" s="201"/>
    </row>
    <row r="34504" spans="62:62" x14ac:dyDescent="0.2">
      <c r="BJ34504" s="201"/>
    </row>
    <row r="34505" spans="62:62" x14ac:dyDescent="0.2">
      <c r="BJ34505" s="201"/>
    </row>
    <row r="34506" spans="62:62" x14ac:dyDescent="0.2">
      <c r="BJ34506" s="201"/>
    </row>
    <row r="34507" spans="62:62" x14ac:dyDescent="0.2">
      <c r="BJ34507" s="201"/>
    </row>
    <row r="34508" spans="62:62" x14ac:dyDescent="0.2">
      <c r="BJ34508" s="201"/>
    </row>
    <row r="34509" spans="62:62" x14ac:dyDescent="0.2">
      <c r="BJ34509" s="201"/>
    </row>
    <row r="34510" spans="62:62" x14ac:dyDescent="0.2">
      <c r="BJ34510" s="201"/>
    </row>
    <row r="34511" spans="62:62" x14ac:dyDescent="0.2">
      <c r="BJ34511" s="201"/>
    </row>
    <row r="34512" spans="62:62" x14ac:dyDescent="0.2">
      <c r="BJ34512" s="201"/>
    </row>
    <row r="34513" spans="62:62" x14ac:dyDescent="0.2">
      <c r="BJ34513" s="201"/>
    </row>
    <row r="34514" spans="62:62" x14ac:dyDescent="0.2">
      <c r="BJ34514" s="201"/>
    </row>
    <row r="34515" spans="62:62" x14ac:dyDescent="0.2">
      <c r="BJ34515" s="201"/>
    </row>
    <row r="34516" spans="62:62" x14ac:dyDescent="0.2">
      <c r="BJ34516" s="201"/>
    </row>
    <row r="34517" spans="62:62" x14ac:dyDescent="0.2">
      <c r="BJ34517" s="201"/>
    </row>
    <row r="34518" spans="62:62" x14ac:dyDescent="0.2">
      <c r="BJ34518" s="201"/>
    </row>
    <row r="34519" spans="62:62" x14ac:dyDescent="0.2">
      <c r="BJ34519" s="201"/>
    </row>
    <row r="34520" spans="62:62" x14ac:dyDescent="0.2">
      <c r="BJ34520" s="201"/>
    </row>
    <row r="34521" spans="62:62" x14ac:dyDescent="0.2">
      <c r="BJ34521" s="201"/>
    </row>
    <row r="34522" spans="62:62" x14ac:dyDescent="0.2">
      <c r="BJ34522" s="201"/>
    </row>
    <row r="34523" spans="62:62" x14ac:dyDescent="0.2">
      <c r="BJ34523" s="201"/>
    </row>
    <row r="34524" spans="62:62" x14ac:dyDescent="0.2">
      <c r="BJ34524" s="201"/>
    </row>
    <row r="34525" spans="62:62" x14ac:dyDescent="0.2">
      <c r="BJ34525" s="201"/>
    </row>
    <row r="34526" spans="62:62" x14ac:dyDescent="0.2">
      <c r="BJ34526" s="201"/>
    </row>
    <row r="34527" spans="62:62" x14ac:dyDescent="0.2">
      <c r="BJ34527" s="201"/>
    </row>
    <row r="34528" spans="62:62" x14ac:dyDescent="0.2">
      <c r="BJ34528" s="201"/>
    </row>
    <row r="34529" spans="62:62" x14ac:dyDescent="0.2">
      <c r="BJ34529" s="201"/>
    </row>
    <row r="34530" spans="62:62" x14ac:dyDescent="0.2">
      <c r="BJ34530" s="201"/>
    </row>
    <row r="34531" spans="62:62" x14ac:dyDescent="0.2">
      <c r="BJ34531" s="201"/>
    </row>
    <row r="34532" spans="62:62" x14ac:dyDescent="0.2">
      <c r="BJ34532" s="201"/>
    </row>
    <row r="34533" spans="62:62" x14ac:dyDescent="0.2">
      <c r="BJ34533" s="201"/>
    </row>
    <row r="34534" spans="62:62" x14ac:dyDescent="0.2">
      <c r="BJ34534" s="201"/>
    </row>
    <row r="34535" spans="62:62" x14ac:dyDescent="0.2">
      <c r="BJ34535" s="201"/>
    </row>
    <row r="34536" spans="62:62" x14ac:dyDescent="0.2">
      <c r="BJ34536" s="201"/>
    </row>
    <row r="34537" spans="62:62" x14ac:dyDescent="0.2">
      <c r="BJ34537" s="201"/>
    </row>
    <row r="34538" spans="62:62" x14ac:dyDescent="0.2">
      <c r="BJ34538" s="201"/>
    </row>
    <row r="34539" spans="62:62" x14ac:dyDescent="0.2">
      <c r="BJ34539" s="201"/>
    </row>
    <row r="34540" spans="62:62" x14ac:dyDescent="0.2">
      <c r="BJ34540" s="201"/>
    </row>
    <row r="34541" spans="62:62" x14ac:dyDescent="0.2">
      <c r="BJ34541" s="201"/>
    </row>
    <row r="34542" spans="62:62" x14ac:dyDescent="0.2">
      <c r="BJ34542" s="201"/>
    </row>
    <row r="34543" spans="62:62" x14ac:dyDescent="0.2">
      <c r="BJ34543" s="201"/>
    </row>
    <row r="34544" spans="62:62" x14ac:dyDescent="0.2">
      <c r="BJ34544" s="201"/>
    </row>
    <row r="34545" spans="62:62" x14ac:dyDescent="0.2">
      <c r="BJ34545" s="201"/>
    </row>
    <row r="34546" spans="62:62" x14ac:dyDescent="0.2">
      <c r="BJ34546" s="201"/>
    </row>
    <row r="34547" spans="62:62" x14ac:dyDescent="0.2">
      <c r="BJ34547" s="201"/>
    </row>
    <row r="34548" spans="62:62" x14ac:dyDescent="0.2">
      <c r="BJ34548" s="201"/>
    </row>
    <row r="34549" spans="62:62" x14ac:dyDescent="0.2">
      <c r="BJ34549" s="201"/>
    </row>
    <row r="34550" spans="62:62" x14ac:dyDescent="0.2">
      <c r="BJ34550" s="201"/>
    </row>
    <row r="34551" spans="62:62" x14ac:dyDescent="0.2">
      <c r="BJ34551" s="201"/>
    </row>
    <row r="34552" spans="62:62" x14ac:dyDescent="0.2">
      <c r="BJ34552" s="201"/>
    </row>
    <row r="34553" spans="62:62" x14ac:dyDescent="0.2">
      <c r="BJ34553" s="201"/>
    </row>
    <row r="34554" spans="62:62" x14ac:dyDescent="0.2">
      <c r="BJ34554" s="201"/>
    </row>
    <row r="34555" spans="62:62" x14ac:dyDescent="0.2">
      <c r="BJ34555" s="201"/>
    </row>
    <row r="34556" spans="62:62" x14ac:dyDescent="0.2">
      <c r="BJ34556" s="201"/>
    </row>
    <row r="34557" spans="62:62" x14ac:dyDescent="0.2">
      <c r="BJ34557" s="201"/>
    </row>
    <row r="34558" spans="62:62" x14ac:dyDescent="0.2">
      <c r="BJ34558" s="201"/>
    </row>
    <row r="34559" spans="62:62" x14ac:dyDescent="0.2">
      <c r="BJ34559" s="201"/>
    </row>
    <row r="34560" spans="62:62" x14ac:dyDescent="0.2">
      <c r="BJ34560" s="201"/>
    </row>
    <row r="34561" spans="62:62" x14ac:dyDescent="0.2">
      <c r="BJ34561" s="201"/>
    </row>
    <row r="34562" spans="62:62" x14ac:dyDescent="0.2">
      <c r="BJ34562" s="201"/>
    </row>
    <row r="34563" spans="62:62" x14ac:dyDescent="0.2">
      <c r="BJ34563" s="201"/>
    </row>
    <row r="34564" spans="62:62" x14ac:dyDescent="0.2">
      <c r="BJ34564" s="201"/>
    </row>
    <row r="34565" spans="62:62" x14ac:dyDescent="0.2">
      <c r="BJ34565" s="201"/>
    </row>
    <row r="34566" spans="62:62" x14ac:dyDescent="0.2">
      <c r="BJ34566" s="201"/>
    </row>
    <row r="34567" spans="62:62" x14ac:dyDescent="0.2">
      <c r="BJ34567" s="201"/>
    </row>
    <row r="34568" spans="62:62" x14ac:dyDescent="0.2">
      <c r="BJ34568" s="201"/>
    </row>
    <row r="34569" spans="62:62" x14ac:dyDescent="0.2">
      <c r="BJ34569" s="201"/>
    </row>
    <row r="34570" spans="62:62" x14ac:dyDescent="0.2">
      <c r="BJ34570" s="201"/>
    </row>
    <row r="34571" spans="62:62" x14ac:dyDescent="0.2">
      <c r="BJ34571" s="201"/>
    </row>
    <row r="34572" spans="62:62" x14ac:dyDescent="0.2">
      <c r="BJ34572" s="201"/>
    </row>
    <row r="34573" spans="62:62" x14ac:dyDescent="0.2">
      <c r="BJ34573" s="201"/>
    </row>
    <row r="34574" spans="62:62" x14ac:dyDescent="0.2">
      <c r="BJ34574" s="201"/>
    </row>
    <row r="34575" spans="62:62" x14ac:dyDescent="0.2">
      <c r="BJ34575" s="201"/>
    </row>
    <row r="34576" spans="62:62" x14ac:dyDescent="0.2">
      <c r="BJ34576" s="201"/>
    </row>
    <row r="34577" spans="62:62" x14ac:dyDescent="0.2">
      <c r="BJ34577" s="201"/>
    </row>
    <row r="34578" spans="62:62" x14ac:dyDescent="0.2">
      <c r="BJ34578" s="201"/>
    </row>
    <row r="34579" spans="62:62" x14ac:dyDescent="0.2">
      <c r="BJ34579" s="201"/>
    </row>
    <row r="34580" spans="62:62" x14ac:dyDescent="0.2">
      <c r="BJ34580" s="201"/>
    </row>
    <row r="34581" spans="62:62" x14ac:dyDescent="0.2">
      <c r="BJ34581" s="201"/>
    </row>
    <row r="34582" spans="62:62" x14ac:dyDescent="0.2">
      <c r="BJ34582" s="201"/>
    </row>
    <row r="34583" spans="62:62" x14ac:dyDescent="0.2">
      <c r="BJ34583" s="201"/>
    </row>
    <row r="34584" spans="62:62" x14ac:dyDescent="0.2">
      <c r="BJ34584" s="201"/>
    </row>
    <row r="34585" spans="62:62" x14ac:dyDescent="0.2">
      <c r="BJ34585" s="201"/>
    </row>
    <row r="34586" spans="62:62" x14ac:dyDescent="0.2">
      <c r="BJ34586" s="201"/>
    </row>
    <row r="34587" spans="62:62" x14ac:dyDescent="0.2">
      <c r="BJ34587" s="201"/>
    </row>
    <row r="34588" spans="62:62" x14ac:dyDescent="0.2">
      <c r="BJ34588" s="201"/>
    </row>
    <row r="34589" spans="62:62" x14ac:dyDescent="0.2">
      <c r="BJ34589" s="201"/>
    </row>
    <row r="34590" spans="62:62" x14ac:dyDescent="0.2">
      <c r="BJ34590" s="201"/>
    </row>
    <row r="34591" spans="62:62" x14ac:dyDescent="0.2">
      <c r="BJ34591" s="201"/>
    </row>
    <row r="34592" spans="62:62" x14ac:dyDescent="0.2">
      <c r="BJ34592" s="201"/>
    </row>
    <row r="34593" spans="62:62" x14ac:dyDescent="0.2">
      <c r="BJ34593" s="201"/>
    </row>
    <row r="34594" spans="62:62" x14ac:dyDescent="0.2">
      <c r="BJ34594" s="201"/>
    </row>
    <row r="34595" spans="62:62" x14ac:dyDescent="0.2">
      <c r="BJ34595" s="201"/>
    </row>
    <row r="34596" spans="62:62" x14ac:dyDescent="0.2">
      <c r="BJ34596" s="201"/>
    </row>
    <row r="34597" spans="62:62" x14ac:dyDescent="0.2">
      <c r="BJ34597" s="201"/>
    </row>
    <row r="34598" spans="62:62" x14ac:dyDescent="0.2">
      <c r="BJ34598" s="201"/>
    </row>
    <row r="34599" spans="62:62" x14ac:dyDescent="0.2">
      <c r="BJ34599" s="201"/>
    </row>
    <row r="34600" spans="62:62" x14ac:dyDescent="0.2">
      <c r="BJ34600" s="201"/>
    </row>
    <row r="34601" spans="62:62" x14ac:dyDescent="0.2">
      <c r="BJ34601" s="201"/>
    </row>
    <row r="34602" spans="62:62" x14ac:dyDescent="0.2">
      <c r="BJ34602" s="201"/>
    </row>
    <row r="34603" spans="62:62" x14ac:dyDescent="0.2">
      <c r="BJ34603" s="201"/>
    </row>
    <row r="34604" spans="62:62" x14ac:dyDescent="0.2">
      <c r="BJ34604" s="201"/>
    </row>
    <row r="34605" spans="62:62" x14ac:dyDescent="0.2">
      <c r="BJ34605" s="201"/>
    </row>
    <row r="34606" spans="62:62" x14ac:dyDescent="0.2">
      <c r="BJ34606" s="201"/>
    </row>
    <row r="34607" spans="62:62" x14ac:dyDescent="0.2">
      <c r="BJ34607" s="201"/>
    </row>
    <row r="34608" spans="62:62" x14ac:dyDescent="0.2">
      <c r="BJ34608" s="201"/>
    </row>
    <row r="34609" spans="62:62" x14ac:dyDescent="0.2">
      <c r="BJ34609" s="201"/>
    </row>
    <row r="34610" spans="62:62" x14ac:dyDescent="0.2">
      <c r="BJ34610" s="201"/>
    </row>
    <row r="34611" spans="62:62" x14ac:dyDescent="0.2">
      <c r="BJ34611" s="201"/>
    </row>
    <row r="34612" spans="62:62" x14ac:dyDescent="0.2">
      <c r="BJ34612" s="201"/>
    </row>
    <row r="34613" spans="62:62" x14ac:dyDescent="0.2">
      <c r="BJ34613" s="201"/>
    </row>
    <row r="34614" spans="62:62" x14ac:dyDescent="0.2">
      <c r="BJ34614" s="201"/>
    </row>
    <row r="34615" spans="62:62" x14ac:dyDescent="0.2">
      <c r="BJ34615" s="201"/>
    </row>
    <row r="34616" spans="62:62" x14ac:dyDescent="0.2">
      <c r="BJ34616" s="201"/>
    </row>
    <row r="34617" spans="62:62" x14ac:dyDescent="0.2">
      <c r="BJ34617" s="201"/>
    </row>
    <row r="34618" spans="62:62" x14ac:dyDescent="0.2">
      <c r="BJ34618" s="201"/>
    </row>
    <row r="34619" spans="62:62" x14ac:dyDescent="0.2">
      <c r="BJ34619" s="201"/>
    </row>
    <row r="34620" spans="62:62" x14ac:dyDescent="0.2">
      <c r="BJ34620" s="201"/>
    </row>
    <row r="34621" spans="62:62" x14ac:dyDescent="0.2">
      <c r="BJ34621" s="201"/>
    </row>
    <row r="34622" spans="62:62" x14ac:dyDescent="0.2">
      <c r="BJ34622" s="201"/>
    </row>
    <row r="34623" spans="62:62" x14ac:dyDescent="0.2">
      <c r="BJ34623" s="201"/>
    </row>
    <row r="34624" spans="62:62" x14ac:dyDescent="0.2">
      <c r="BJ34624" s="201"/>
    </row>
    <row r="34625" spans="62:62" x14ac:dyDescent="0.2">
      <c r="BJ34625" s="201"/>
    </row>
    <row r="34626" spans="62:62" x14ac:dyDescent="0.2">
      <c r="BJ34626" s="201"/>
    </row>
    <row r="34627" spans="62:62" x14ac:dyDescent="0.2">
      <c r="BJ34627" s="201"/>
    </row>
    <row r="34628" spans="62:62" x14ac:dyDescent="0.2">
      <c r="BJ34628" s="201"/>
    </row>
    <row r="34629" spans="62:62" x14ac:dyDescent="0.2">
      <c r="BJ34629" s="201"/>
    </row>
    <row r="34630" spans="62:62" x14ac:dyDescent="0.2">
      <c r="BJ34630" s="201"/>
    </row>
    <row r="34631" spans="62:62" x14ac:dyDescent="0.2">
      <c r="BJ34631" s="201"/>
    </row>
    <row r="34632" spans="62:62" x14ac:dyDescent="0.2">
      <c r="BJ34632" s="201"/>
    </row>
    <row r="34633" spans="62:62" x14ac:dyDescent="0.2">
      <c r="BJ34633" s="201"/>
    </row>
    <row r="34634" spans="62:62" x14ac:dyDescent="0.2">
      <c r="BJ34634" s="201"/>
    </row>
    <row r="34635" spans="62:62" x14ac:dyDescent="0.2">
      <c r="BJ34635" s="201"/>
    </row>
    <row r="34636" spans="62:62" x14ac:dyDescent="0.2">
      <c r="BJ34636" s="201"/>
    </row>
    <row r="34637" spans="62:62" x14ac:dyDescent="0.2">
      <c r="BJ34637" s="201"/>
    </row>
    <row r="34638" spans="62:62" x14ac:dyDescent="0.2">
      <c r="BJ34638" s="201"/>
    </row>
    <row r="34639" spans="62:62" x14ac:dyDescent="0.2">
      <c r="BJ34639" s="201"/>
    </row>
    <row r="34640" spans="62:62" x14ac:dyDescent="0.2">
      <c r="BJ34640" s="201"/>
    </row>
    <row r="34641" spans="62:62" x14ac:dyDescent="0.2">
      <c r="BJ34641" s="201"/>
    </row>
    <row r="34642" spans="62:62" x14ac:dyDescent="0.2">
      <c r="BJ34642" s="201"/>
    </row>
    <row r="34643" spans="62:62" x14ac:dyDescent="0.2">
      <c r="BJ34643" s="201"/>
    </row>
    <row r="34644" spans="62:62" x14ac:dyDescent="0.2">
      <c r="BJ34644" s="201"/>
    </row>
    <row r="34645" spans="62:62" x14ac:dyDescent="0.2">
      <c r="BJ34645" s="201"/>
    </row>
    <row r="34646" spans="62:62" x14ac:dyDescent="0.2">
      <c r="BJ34646" s="201"/>
    </row>
    <row r="34647" spans="62:62" x14ac:dyDescent="0.2">
      <c r="BJ34647" s="201"/>
    </row>
    <row r="34648" spans="62:62" x14ac:dyDescent="0.2">
      <c r="BJ34648" s="201"/>
    </row>
    <row r="34649" spans="62:62" x14ac:dyDescent="0.2">
      <c r="BJ34649" s="201"/>
    </row>
    <row r="34650" spans="62:62" x14ac:dyDescent="0.2">
      <c r="BJ34650" s="201"/>
    </row>
    <row r="34651" spans="62:62" x14ac:dyDescent="0.2">
      <c r="BJ34651" s="201"/>
    </row>
    <row r="34652" spans="62:62" x14ac:dyDescent="0.2">
      <c r="BJ34652" s="201"/>
    </row>
    <row r="34653" spans="62:62" x14ac:dyDescent="0.2">
      <c r="BJ34653" s="201"/>
    </row>
    <row r="34654" spans="62:62" x14ac:dyDescent="0.2">
      <c r="BJ34654" s="201"/>
    </row>
    <row r="34655" spans="62:62" x14ac:dyDescent="0.2">
      <c r="BJ34655" s="201"/>
    </row>
    <row r="34656" spans="62:62" x14ac:dyDescent="0.2">
      <c r="BJ34656" s="201"/>
    </row>
    <row r="34657" spans="62:62" x14ac:dyDescent="0.2">
      <c r="BJ34657" s="201"/>
    </row>
    <row r="34658" spans="62:62" x14ac:dyDescent="0.2">
      <c r="BJ34658" s="201"/>
    </row>
    <row r="34659" spans="62:62" x14ac:dyDescent="0.2">
      <c r="BJ34659" s="201"/>
    </row>
    <row r="34660" spans="62:62" x14ac:dyDescent="0.2">
      <c r="BJ34660" s="201"/>
    </row>
    <row r="34661" spans="62:62" x14ac:dyDescent="0.2">
      <c r="BJ34661" s="201"/>
    </row>
    <row r="34662" spans="62:62" x14ac:dyDescent="0.2">
      <c r="BJ34662" s="201"/>
    </row>
    <row r="34663" spans="62:62" x14ac:dyDescent="0.2">
      <c r="BJ34663" s="201"/>
    </row>
    <row r="34664" spans="62:62" x14ac:dyDescent="0.2">
      <c r="BJ34664" s="201"/>
    </row>
    <row r="34665" spans="62:62" x14ac:dyDescent="0.2">
      <c r="BJ34665" s="201"/>
    </row>
    <row r="34666" spans="62:62" x14ac:dyDescent="0.2">
      <c r="BJ34666" s="201"/>
    </row>
    <row r="34667" spans="62:62" x14ac:dyDescent="0.2">
      <c r="BJ34667" s="201"/>
    </row>
    <row r="34668" spans="62:62" x14ac:dyDescent="0.2">
      <c r="BJ34668" s="201"/>
    </row>
    <row r="34669" spans="62:62" x14ac:dyDescent="0.2">
      <c r="BJ34669" s="201"/>
    </row>
    <row r="34670" spans="62:62" x14ac:dyDescent="0.2">
      <c r="BJ34670" s="201"/>
    </row>
    <row r="34671" spans="62:62" x14ac:dyDescent="0.2">
      <c r="BJ34671" s="201"/>
    </row>
    <row r="34672" spans="62:62" x14ac:dyDescent="0.2">
      <c r="BJ34672" s="201"/>
    </row>
    <row r="34673" spans="62:62" x14ac:dyDescent="0.2">
      <c r="BJ34673" s="201"/>
    </row>
    <row r="34674" spans="62:62" x14ac:dyDescent="0.2">
      <c r="BJ34674" s="201"/>
    </row>
    <row r="34675" spans="62:62" x14ac:dyDescent="0.2">
      <c r="BJ34675" s="201"/>
    </row>
    <row r="34676" spans="62:62" x14ac:dyDescent="0.2">
      <c r="BJ34676" s="201"/>
    </row>
    <row r="34677" spans="62:62" x14ac:dyDescent="0.2">
      <c r="BJ34677" s="201"/>
    </row>
    <row r="34678" spans="62:62" x14ac:dyDescent="0.2">
      <c r="BJ34678" s="201"/>
    </row>
    <row r="34679" spans="62:62" x14ac:dyDescent="0.2">
      <c r="BJ34679" s="201"/>
    </row>
    <row r="34680" spans="62:62" x14ac:dyDescent="0.2">
      <c r="BJ34680" s="201"/>
    </row>
    <row r="34681" spans="62:62" x14ac:dyDescent="0.2">
      <c r="BJ34681" s="201"/>
    </row>
    <row r="34682" spans="62:62" x14ac:dyDescent="0.2">
      <c r="BJ34682" s="201"/>
    </row>
    <row r="34683" spans="62:62" x14ac:dyDescent="0.2">
      <c r="BJ34683" s="201"/>
    </row>
    <row r="34684" spans="62:62" x14ac:dyDescent="0.2">
      <c r="BJ34684" s="201"/>
    </row>
    <row r="34685" spans="62:62" x14ac:dyDescent="0.2">
      <c r="BJ34685" s="201"/>
    </row>
    <row r="34686" spans="62:62" x14ac:dyDescent="0.2">
      <c r="BJ34686" s="201"/>
    </row>
    <row r="34687" spans="62:62" x14ac:dyDescent="0.2">
      <c r="BJ34687" s="201"/>
    </row>
    <row r="34688" spans="62:62" x14ac:dyDescent="0.2">
      <c r="BJ34688" s="201"/>
    </row>
    <row r="34689" spans="62:62" x14ac:dyDescent="0.2">
      <c r="BJ34689" s="201"/>
    </row>
    <row r="34690" spans="62:62" x14ac:dyDescent="0.2">
      <c r="BJ34690" s="201"/>
    </row>
    <row r="34691" spans="62:62" x14ac:dyDescent="0.2">
      <c r="BJ34691" s="201"/>
    </row>
    <row r="34692" spans="62:62" x14ac:dyDescent="0.2">
      <c r="BJ34692" s="201"/>
    </row>
    <row r="34693" spans="62:62" x14ac:dyDescent="0.2">
      <c r="BJ34693" s="201"/>
    </row>
    <row r="34694" spans="62:62" x14ac:dyDescent="0.2">
      <c r="BJ34694" s="201"/>
    </row>
    <row r="34695" spans="62:62" x14ac:dyDescent="0.2">
      <c r="BJ34695" s="201"/>
    </row>
    <row r="34696" spans="62:62" x14ac:dyDescent="0.2">
      <c r="BJ34696" s="201"/>
    </row>
    <row r="34697" spans="62:62" x14ac:dyDescent="0.2">
      <c r="BJ34697" s="201"/>
    </row>
    <row r="34698" spans="62:62" x14ac:dyDescent="0.2">
      <c r="BJ34698" s="201"/>
    </row>
    <row r="34699" spans="62:62" x14ac:dyDescent="0.2">
      <c r="BJ34699" s="201"/>
    </row>
    <row r="34700" spans="62:62" x14ac:dyDescent="0.2">
      <c r="BJ34700" s="201"/>
    </row>
    <row r="34701" spans="62:62" x14ac:dyDescent="0.2">
      <c r="BJ34701" s="201"/>
    </row>
    <row r="34702" spans="62:62" x14ac:dyDescent="0.2">
      <c r="BJ34702" s="201"/>
    </row>
    <row r="34703" spans="62:62" x14ac:dyDescent="0.2">
      <c r="BJ34703" s="201"/>
    </row>
    <row r="34704" spans="62:62" x14ac:dyDescent="0.2">
      <c r="BJ34704" s="201"/>
    </row>
    <row r="34705" spans="62:62" x14ac:dyDescent="0.2">
      <c r="BJ34705" s="201"/>
    </row>
    <row r="34706" spans="62:62" x14ac:dyDescent="0.2">
      <c r="BJ34706" s="201"/>
    </row>
    <row r="34707" spans="62:62" x14ac:dyDescent="0.2">
      <c r="BJ34707" s="201"/>
    </row>
    <row r="34708" spans="62:62" x14ac:dyDescent="0.2">
      <c r="BJ34708" s="201"/>
    </row>
    <row r="34709" spans="62:62" x14ac:dyDescent="0.2">
      <c r="BJ34709" s="201"/>
    </row>
    <row r="34710" spans="62:62" x14ac:dyDescent="0.2">
      <c r="BJ34710" s="201"/>
    </row>
    <row r="34711" spans="62:62" x14ac:dyDescent="0.2">
      <c r="BJ34711" s="201"/>
    </row>
    <row r="34712" spans="62:62" x14ac:dyDescent="0.2">
      <c r="BJ34712" s="201"/>
    </row>
    <row r="34713" spans="62:62" x14ac:dyDescent="0.2">
      <c r="BJ34713" s="201"/>
    </row>
    <row r="34714" spans="62:62" x14ac:dyDescent="0.2">
      <c r="BJ34714" s="201"/>
    </row>
    <row r="34715" spans="62:62" x14ac:dyDescent="0.2">
      <c r="BJ34715" s="201"/>
    </row>
    <row r="34716" spans="62:62" x14ac:dyDescent="0.2">
      <c r="BJ34716" s="201"/>
    </row>
    <row r="34717" spans="62:62" x14ac:dyDescent="0.2">
      <c r="BJ34717" s="201"/>
    </row>
    <row r="34718" spans="62:62" x14ac:dyDescent="0.2">
      <c r="BJ34718" s="201"/>
    </row>
    <row r="34719" spans="62:62" x14ac:dyDescent="0.2">
      <c r="BJ34719" s="201"/>
    </row>
    <row r="34720" spans="62:62" x14ac:dyDescent="0.2">
      <c r="BJ34720" s="201"/>
    </row>
    <row r="34721" spans="62:62" x14ac:dyDescent="0.2">
      <c r="BJ34721" s="201"/>
    </row>
    <row r="34722" spans="62:62" x14ac:dyDescent="0.2">
      <c r="BJ34722" s="201"/>
    </row>
    <row r="34723" spans="62:62" x14ac:dyDescent="0.2">
      <c r="BJ34723" s="201"/>
    </row>
    <row r="34724" spans="62:62" x14ac:dyDescent="0.2">
      <c r="BJ34724" s="201"/>
    </row>
    <row r="34725" spans="62:62" x14ac:dyDescent="0.2">
      <c r="BJ34725" s="201"/>
    </row>
    <row r="34726" spans="62:62" x14ac:dyDescent="0.2">
      <c r="BJ34726" s="201"/>
    </row>
    <row r="34727" spans="62:62" x14ac:dyDescent="0.2">
      <c r="BJ34727" s="201"/>
    </row>
    <row r="34728" spans="62:62" x14ac:dyDescent="0.2">
      <c r="BJ34728" s="201"/>
    </row>
    <row r="34729" spans="62:62" x14ac:dyDescent="0.2">
      <c r="BJ34729" s="201"/>
    </row>
    <row r="34730" spans="62:62" x14ac:dyDescent="0.2">
      <c r="BJ34730" s="201"/>
    </row>
    <row r="34731" spans="62:62" x14ac:dyDescent="0.2">
      <c r="BJ34731" s="201"/>
    </row>
    <row r="34732" spans="62:62" x14ac:dyDescent="0.2">
      <c r="BJ34732" s="201"/>
    </row>
    <row r="34733" spans="62:62" x14ac:dyDescent="0.2">
      <c r="BJ34733" s="201"/>
    </row>
    <row r="34734" spans="62:62" x14ac:dyDescent="0.2">
      <c r="BJ34734" s="201"/>
    </row>
    <row r="34735" spans="62:62" x14ac:dyDescent="0.2">
      <c r="BJ34735" s="201"/>
    </row>
    <row r="34736" spans="62:62" x14ac:dyDescent="0.2">
      <c r="BJ34736" s="201"/>
    </row>
    <row r="34737" spans="62:62" x14ac:dyDescent="0.2">
      <c r="BJ34737" s="201"/>
    </row>
    <row r="34738" spans="62:62" x14ac:dyDescent="0.2">
      <c r="BJ34738" s="201"/>
    </row>
    <row r="34739" spans="62:62" x14ac:dyDescent="0.2">
      <c r="BJ34739" s="201"/>
    </row>
    <row r="34740" spans="62:62" x14ac:dyDescent="0.2">
      <c r="BJ34740" s="201"/>
    </row>
    <row r="34741" spans="62:62" x14ac:dyDescent="0.2">
      <c r="BJ34741" s="201"/>
    </row>
    <row r="34742" spans="62:62" x14ac:dyDescent="0.2">
      <c r="BJ34742" s="201"/>
    </row>
    <row r="34743" spans="62:62" x14ac:dyDescent="0.2">
      <c r="BJ34743" s="201"/>
    </row>
    <row r="34744" spans="62:62" x14ac:dyDescent="0.2">
      <c r="BJ34744" s="201"/>
    </row>
    <row r="34745" spans="62:62" x14ac:dyDescent="0.2">
      <c r="BJ34745" s="201"/>
    </row>
    <row r="34746" spans="62:62" x14ac:dyDescent="0.2">
      <c r="BJ34746" s="201"/>
    </row>
    <row r="34747" spans="62:62" x14ac:dyDescent="0.2">
      <c r="BJ34747" s="201"/>
    </row>
    <row r="34748" spans="62:62" x14ac:dyDescent="0.2">
      <c r="BJ34748" s="201"/>
    </row>
    <row r="34749" spans="62:62" x14ac:dyDescent="0.2">
      <c r="BJ34749" s="201"/>
    </row>
    <row r="34750" spans="62:62" x14ac:dyDescent="0.2">
      <c r="BJ34750" s="201"/>
    </row>
    <row r="34751" spans="62:62" x14ac:dyDescent="0.2">
      <c r="BJ34751" s="201"/>
    </row>
    <row r="34752" spans="62:62" x14ac:dyDescent="0.2">
      <c r="BJ34752" s="201"/>
    </row>
    <row r="34753" spans="62:62" x14ac:dyDescent="0.2">
      <c r="BJ34753" s="201"/>
    </row>
    <row r="34754" spans="62:62" x14ac:dyDescent="0.2">
      <c r="BJ34754" s="201"/>
    </row>
    <row r="34755" spans="62:62" x14ac:dyDescent="0.2">
      <c r="BJ34755" s="201"/>
    </row>
    <row r="34756" spans="62:62" x14ac:dyDescent="0.2">
      <c r="BJ34756" s="201"/>
    </row>
    <row r="34757" spans="62:62" x14ac:dyDescent="0.2">
      <c r="BJ34757" s="201"/>
    </row>
    <row r="34758" spans="62:62" x14ac:dyDescent="0.2">
      <c r="BJ34758" s="201"/>
    </row>
    <row r="34759" spans="62:62" x14ac:dyDescent="0.2">
      <c r="BJ34759" s="201"/>
    </row>
    <row r="34760" spans="62:62" x14ac:dyDescent="0.2">
      <c r="BJ34760" s="201"/>
    </row>
    <row r="34761" spans="62:62" x14ac:dyDescent="0.2">
      <c r="BJ34761" s="201"/>
    </row>
    <row r="34762" spans="62:62" x14ac:dyDescent="0.2">
      <c r="BJ34762" s="201"/>
    </row>
    <row r="34763" spans="62:62" x14ac:dyDescent="0.2">
      <c r="BJ34763" s="201"/>
    </row>
    <row r="34764" spans="62:62" x14ac:dyDescent="0.2">
      <c r="BJ34764" s="201"/>
    </row>
    <row r="34765" spans="62:62" x14ac:dyDescent="0.2">
      <c r="BJ34765" s="201"/>
    </row>
    <row r="34766" spans="62:62" x14ac:dyDescent="0.2">
      <c r="BJ34766" s="201"/>
    </row>
    <row r="34767" spans="62:62" x14ac:dyDescent="0.2">
      <c r="BJ34767" s="201"/>
    </row>
    <row r="34768" spans="62:62" x14ac:dyDescent="0.2">
      <c r="BJ34768" s="201"/>
    </row>
    <row r="34769" spans="62:62" x14ac:dyDescent="0.2">
      <c r="BJ34769" s="201"/>
    </row>
    <row r="34770" spans="62:62" x14ac:dyDescent="0.2">
      <c r="BJ34770" s="201"/>
    </row>
    <row r="34771" spans="62:62" x14ac:dyDescent="0.2">
      <c r="BJ34771" s="201"/>
    </row>
    <row r="34772" spans="62:62" x14ac:dyDescent="0.2">
      <c r="BJ34772" s="201"/>
    </row>
    <row r="34773" spans="62:62" x14ac:dyDescent="0.2">
      <c r="BJ34773" s="201"/>
    </row>
    <row r="34774" spans="62:62" x14ac:dyDescent="0.2">
      <c r="BJ34774" s="201"/>
    </row>
    <row r="34775" spans="62:62" x14ac:dyDescent="0.2">
      <c r="BJ34775" s="201"/>
    </row>
    <row r="34776" spans="62:62" x14ac:dyDescent="0.2">
      <c r="BJ34776" s="201"/>
    </row>
    <row r="34777" spans="62:62" x14ac:dyDescent="0.2">
      <c r="BJ34777" s="201"/>
    </row>
    <row r="34778" spans="62:62" x14ac:dyDescent="0.2">
      <c r="BJ34778" s="201"/>
    </row>
    <row r="34779" spans="62:62" x14ac:dyDescent="0.2">
      <c r="BJ34779" s="201"/>
    </row>
    <row r="34780" spans="62:62" x14ac:dyDescent="0.2">
      <c r="BJ34780" s="201"/>
    </row>
    <row r="34781" spans="62:62" x14ac:dyDescent="0.2">
      <c r="BJ34781" s="201"/>
    </row>
    <row r="34782" spans="62:62" x14ac:dyDescent="0.2">
      <c r="BJ34782" s="201"/>
    </row>
    <row r="34783" spans="62:62" x14ac:dyDescent="0.2">
      <c r="BJ34783" s="201"/>
    </row>
    <row r="34784" spans="62:62" x14ac:dyDescent="0.2">
      <c r="BJ34784" s="201"/>
    </row>
    <row r="34785" spans="62:62" x14ac:dyDescent="0.2">
      <c r="BJ34785" s="201"/>
    </row>
    <row r="34786" spans="62:62" x14ac:dyDescent="0.2">
      <c r="BJ34786" s="201"/>
    </row>
    <row r="34787" spans="62:62" x14ac:dyDescent="0.2">
      <c r="BJ34787" s="201"/>
    </row>
    <row r="34788" spans="62:62" x14ac:dyDescent="0.2">
      <c r="BJ34788" s="201"/>
    </row>
    <row r="34789" spans="62:62" x14ac:dyDescent="0.2">
      <c r="BJ34789" s="201"/>
    </row>
    <row r="34790" spans="62:62" x14ac:dyDescent="0.2">
      <c r="BJ34790" s="201"/>
    </row>
    <row r="34791" spans="62:62" x14ac:dyDescent="0.2">
      <c r="BJ34791" s="201"/>
    </row>
    <row r="34792" spans="62:62" x14ac:dyDescent="0.2">
      <c r="BJ34792" s="201"/>
    </row>
    <row r="34793" spans="62:62" x14ac:dyDescent="0.2">
      <c r="BJ34793" s="201"/>
    </row>
    <row r="34794" spans="62:62" x14ac:dyDescent="0.2">
      <c r="BJ34794" s="201"/>
    </row>
    <row r="34795" spans="62:62" x14ac:dyDescent="0.2">
      <c r="BJ34795" s="201"/>
    </row>
    <row r="34796" spans="62:62" x14ac:dyDescent="0.2">
      <c r="BJ34796" s="201"/>
    </row>
    <row r="34797" spans="62:62" x14ac:dyDescent="0.2">
      <c r="BJ34797" s="201"/>
    </row>
    <row r="34798" spans="62:62" x14ac:dyDescent="0.2">
      <c r="BJ34798" s="201"/>
    </row>
    <row r="34799" spans="62:62" x14ac:dyDescent="0.2">
      <c r="BJ34799" s="201"/>
    </row>
    <row r="34800" spans="62:62" x14ac:dyDescent="0.2">
      <c r="BJ34800" s="201"/>
    </row>
    <row r="34801" spans="62:62" x14ac:dyDescent="0.2">
      <c r="BJ34801" s="201"/>
    </row>
    <row r="34802" spans="62:62" x14ac:dyDescent="0.2">
      <c r="BJ34802" s="201"/>
    </row>
    <row r="34803" spans="62:62" x14ac:dyDescent="0.2">
      <c r="BJ34803" s="201"/>
    </row>
    <row r="34804" spans="62:62" x14ac:dyDescent="0.2">
      <c r="BJ34804" s="201"/>
    </row>
    <row r="34805" spans="62:62" x14ac:dyDescent="0.2">
      <c r="BJ34805" s="201"/>
    </row>
    <row r="34806" spans="62:62" x14ac:dyDescent="0.2">
      <c r="BJ34806" s="201"/>
    </row>
    <row r="34807" spans="62:62" x14ac:dyDescent="0.2">
      <c r="BJ34807" s="201"/>
    </row>
    <row r="34808" spans="62:62" x14ac:dyDescent="0.2">
      <c r="BJ34808" s="201"/>
    </row>
    <row r="34809" spans="62:62" x14ac:dyDescent="0.2">
      <c r="BJ34809" s="201"/>
    </row>
    <row r="34810" spans="62:62" x14ac:dyDescent="0.2">
      <c r="BJ34810" s="201"/>
    </row>
    <row r="34811" spans="62:62" x14ac:dyDescent="0.2">
      <c r="BJ34811" s="201"/>
    </row>
    <row r="34812" spans="62:62" x14ac:dyDescent="0.2">
      <c r="BJ34812" s="201"/>
    </row>
    <row r="34813" spans="62:62" x14ac:dyDescent="0.2">
      <c r="BJ34813" s="201"/>
    </row>
    <row r="34814" spans="62:62" x14ac:dyDescent="0.2">
      <c r="BJ34814" s="201"/>
    </row>
    <row r="34815" spans="62:62" x14ac:dyDescent="0.2">
      <c r="BJ34815" s="201"/>
    </row>
    <row r="34816" spans="62:62" x14ac:dyDescent="0.2">
      <c r="BJ34816" s="201"/>
    </row>
    <row r="34817" spans="62:62" x14ac:dyDescent="0.2">
      <c r="BJ34817" s="201"/>
    </row>
    <row r="34818" spans="62:62" x14ac:dyDescent="0.2">
      <c r="BJ34818" s="201"/>
    </row>
    <row r="34819" spans="62:62" x14ac:dyDescent="0.2">
      <c r="BJ34819" s="201"/>
    </row>
    <row r="34820" spans="62:62" x14ac:dyDescent="0.2">
      <c r="BJ34820" s="201"/>
    </row>
    <row r="34821" spans="62:62" x14ac:dyDescent="0.2">
      <c r="BJ34821" s="201"/>
    </row>
    <row r="34822" spans="62:62" x14ac:dyDescent="0.2">
      <c r="BJ34822" s="201"/>
    </row>
    <row r="34823" spans="62:62" x14ac:dyDescent="0.2">
      <c r="BJ34823" s="201"/>
    </row>
    <row r="34824" spans="62:62" x14ac:dyDescent="0.2">
      <c r="BJ34824" s="201"/>
    </row>
    <row r="34825" spans="62:62" x14ac:dyDescent="0.2">
      <c r="BJ34825" s="201"/>
    </row>
    <row r="34826" spans="62:62" x14ac:dyDescent="0.2">
      <c r="BJ34826" s="201"/>
    </row>
    <row r="34827" spans="62:62" x14ac:dyDescent="0.2">
      <c r="BJ34827" s="201"/>
    </row>
    <row r="34828" spans="62:62" x14ac:dyDescent="0.2">
      <c r="BJ34828" s="201"/>
    </row>
    <row r="34829" spans="62:62" x14ac:dyDescent="0.2">
      <c r="BJ34829" s="201"/>
    </row>
    <row r="34830" spans="62:62" x14ac:dyDescent="0.2">
      <c r="BJ34830" s="201"/>
    </row>
    <row r="34831" spans="62:62" x14ac:dyDescent="0.2">
      <c r="BJ34831" s="201"/>
    </row>
    <row r="34832" spans="62:62" x14ac:dyDescent="0.2">
      <c r="BJ34832" s="201"/>
    </row>
    <row r="34833" spans="62:62" x14ac:dyDescent="0.2">
      <c r="BJ34833" s="201"/>
    </row>
    <row r="34834" spans="62:62" x14ac:dyDescent="0.2">
      <c r="BJ34834" s="201"/>
    </row>
    <row r="34835" spans="62:62" x14ac:dyDescent="0.2">
      <c r="BJ34835" s="201"/>
    </row>
    <row r="34836" spans="62:62" x14ac:dyDescent="0.2">
      <c r="BJ34836" s="201"/>
    </row>
    <row r="34837" spans="62:62" x14ac:dyDescent="0.2">
      <c r="BJ34837" s="201"/>
    </row>
    <row r="34838" spans="62:62" x14ac:dyDescent="0.2">
      <c r="BJ34838" s="201"/>
    </row>
    <row r="34839" spans="62:62" x14ac:dyDescent="0.2">
      <c r="BJ34839" s="201"/>
    </row>
    <row r="34840" spans="62:62" x14ac:dyDescent="0.2">
      <c r="BJ34840" s="201"/>
    </row>
    <row r="34841" spans="62:62" x14ac:dyDescent="0.2">
      <c r="BJ34841" s="201"/>
    </row>
    <row r="34842" spans="62:62" x14ac:dyDescent="0.2">
      <c r="BJ34842" s="201"/>
    </row>
    <row r="34843" spans="62:62" x14ac:dyDescent="0.2">
      <c r="BJ34843" s="201"/>
    </row>
    <row r="34844" spans="62:62" x14ac:dyDescent="0.2">
      <c r="BJ34844" s="201"/>
    </row>
    <row r="34845" spans="62:62" x14ac:dyDescent="0.2">
      <c r="BJ34845" s="201"/>
    </row>
    <row r="34846" spans="62:62" x14ac:dyDescent="0.2">
      <c r="BJ34846" s="201"/>
    </row>
    <row r="34847" spans="62:62" x14ac:dyDescent="0.2">
      <c r="BJ34847" s="201"/>
    </row>
    <row r="34848" spans="62:62" x14ac:dyDescent="0.2">
      <c r="BJ34848" s="201"/>
    </row>
    <row r="34849" spans="62:62" x14ac:dyDescent="0.2">
      <c r="BJ34849" s="201"/>
    </row>
    <row r="34850" spans="62:62" x14ac:dyDescent="0.2">
      <c r="BJ34850" s="201"/>
    </row>
    <row r="34851" spans="62:62" x14ac:dyDescent="0.2">
      <c r="BJ34851" s="201"/>
    </row>
    <row r="34852" spans="62:62" x14ac:dyDescent="0.2">
      <c r="BJ34852" s="201"/>
    </row>
    <row r="34853" spans="62:62" x14ac:dyDescent="0.2">
      <c r="BJ34853" s="201"/>
    </row>
    <row r="34854" spans="62:62" x14ac:dyDescent="0.2">
      <c r="BJ34854" s="201"/>
    </row>
    <row r="34855" spans="62:62" x14ac:dyDescent="0.2">
      <c r="BJ34855" s="201"/>
    </row>
    <row r="34856" spans="62:62" x14ac:dyDescent="0.2">
      <c r="BJ34856" s="201"/>
    </row>
    <row r="34857" spans="62:62" x14ac:dyDescent="0.2">
      <c r="BJ34857" s="201"/>
    </row>
    <row r="34858" spans="62:62" x14ac:dyDescent="0.2">
      <c r="BJ34858" s="201"/>
    </row>
    <row r="34859" spans="62:62" x14ac:dyDescent="0.2">
      <c r="BJ34859" s="201"/>
    </row>
    <row r="34860" spans="62:62" x14ac:dyDescent="0.2">
      <c r="BJ34860" s="201"/>
    </row>
    <row r="34861" spans="62:62" x14ac:dyDescent="0.2">
      <c r="BJ34861" s="201"/>
    </row>
    <row r="34862" spans="62:62" x14ac:dyDescent="0.2">
      <c r="BJ34862" s="201"/>
    </row>
    <row r="34863" spans="62:62" x14ac:dyDescent="0.2">
      <c r="BJ34863" s="201"/>
    </row>
    <row r="34864" spans="62:62" x14ac:dyDescent="0.2">
      <c r="BJ34864" s="201"/>
    </row>
    <row r="34865" spans="62:62" x14ac:dyDescent="0.2">
      <c r="BJ34865" s="201"/>
    </row>
    <row r="34866" spans="62:62" x14ac:dyDescent="0.2">
      <c r="BJ34866" s="201"/>
    </row>
    <row r="34867" spans="62:62" x14ac:dyDescent="0.2">
      <c r="BJ34867" s="201"/>
    </row>
    <row r="34868" spans="62:62" x14ac:dyDescent="0.2">
      <c r="BJ34868" s="201"/>
    </row>
    <row r="34869" spans="62:62" x14ac:dyDescent="0.2">
      <c r="BJ34869" s="201"/>
    </row>
    <row r="34870" spans="62:62" x14ac:dyDescent="0.2">
      <c r="BJ34870" s="201"/>
    </row>
    <row r="34871" spans="62:62" x14ac:dyDescent="0.2">
      <c r="BJ34871" s="201"/>
    </row>
    <row r="34872" spans="62:62" x14ac:dyDescent="0.2">
      <c r="BJ34872" s="201"/>
    </row>
    <row r="34873" spans="62:62" x14ac:dyDescent="0.2">
      <c r="BJ34873" s="201"/>
    </row>
    <row r="34874" spans="62:62" x14ac:dyDescent="0.2">
      <c r="BJ34874" s="201"/>
    </row>
    <row r="34875" spans="62:62" x14ac:dyDescent="0.2">
      <c r="BJ34875" s="201"/>
    </row>
    <row r="34876" spans="62:62" x14ac:dyDescent="0.2">
      <c r="BJ34876" s="201"/>
    </row>
    <row r="34877" spans="62:62" x14ac:dyDescent="0.2">
      <c r="BJ34877" s="201"/>
    </row>
    <row r="34878" spans="62:62" x14ac:dyDescent="0.2">
      <c r="BJ34878" s="201"/>
    </row>
    <row r="34879" spans="62:62" x14ac:dyDescent="0.2">
      <c r="BJ34879" s="201"/>
    </row>
    <row r="34880" spans="62:62" x14ac:dyDescent="0.2">
      <c r="BJ34880" s="201"/>
    </row>
    <row r="34881" spans="62:62" x14ac:dyDescent="0.2">
      <c r="BJ34881" s="201"/>
    </row>
    <row r="34882" spans="62:62" x14ac:dyDescent="0.2">
      <c r="BJ34882" s="201"/>
    </row>
    <row r="34883" spans="62:62" x14ac:dyDescent="0.2">
      <c r="BJ34883" s="201"/>
    </row>
    <row r="34884" spans="62:62" x14ac:dyDescent="0.2">
      <c r="BJ34884" s="201"/>
    </row>
    <row r="34885" spans="62:62" x14ac:dyDescent="0.2">
      <c r="BJ34885" s="201"/>
    </row>
    <row r="34886" spans="62:62" x14ac:dyDescent="0.2">
      <c r="BJ34886" s="201"/>
    </row>
    <row r="34887" spans="62:62" x14ac:dyDescent="0.2">
      <c r="BJ34887" s="201"/>
    </row>
    <row r="34888" spans="62:62" x14ac:dyDescent="0.2">
      <c r="BJ34888" s="201"/>
    </row>
    <row r="34889" spans="62:62" x14ac:dyDescent="0.2">
      <c r="BJ34889" s="201"/>
    </row>
    <row r="34890" spans="62:62" x14ac:dyDescent="0.2">
      <c r="BJ34890" s="201"/>
    </row>
    <row r="34891" spans="62:62" x14ac:dyDescent="0.2">
      <c r="BJ34891" s="201"/>
    </row>
    <row r="34892" spans="62:62" x14ac:dyDescent="0.2">
      <c r="BJ34892" s="201"/>
    </row>
    <row r="34893" spans="62:62" x14ac:dyDescent="0.2">
      <c r="BJ34893" s="201"/>
    </row>
    <row r="34894" spans="62:62" x14ac:dyDescent="0.2">
      <c r="BJ34894" s="201"/>
    </row>
    <row r="34895" spans="62:62" x14ac:dyDescent="0.2">
      <c r="BJ34895" s="201"/>
    </row>
    <row r="34896" spans="62:62" x14ac:dyDescent="0.2">
      <c r="BJ34896" s="201"/>
    </row>
    <row r="34897" spans="62:62" x14ac:dyDescent="0.2">
      <c r="BJ34897" s="201"/>
    </row>
    <row r="34898" spans="62:62" x14ac:dyDescent="0.2">
      <c r="BJ34898" s="201"/>
    </row>
    <row r="34899" spans="62:62" x14ac:dyDescent="0.2">
      <c r="BJ34899" s="201"/>
    </row>
    <row r="34900" spans="62:62" x14ac:dyDescent="0.2">
      <c r="BJ34900" s="201"/>
    </row>
    <row r="34901" spans="62:62" x14ac:dyDescent="0.2">
      <c r="BJ34901" s="201"/>
    </row>
    <row r="34902" spans="62:62" x14ac:dyDescent="0.2">
      <c r="BJ34902" s="201"/>
    </row>
    <row r="34903" spans="62:62" x14ac:dyDescent="0.2">
      <c r="BJ34903" s="201"/>
    </row>
    <row r="34904" spans="62:62" x14ac:dyDescent="0.2">
      <c r="BJ34904" s="201"/>
    </row>
    <row r="34905" spans="62:62" x14ac:dyDescent="0.2">
      <c r="BJ34905" s="201"/>
    </row>
    <row r="34906" spans="62:62" x14ac:dyDescent="0.2">
      <c r="BJ34906" s="201"/>
    </row>
    <row r="34907" spans="62:62" x14ac:dyDescent="0.2">
      <c r="BJ34907" s="201"/>
    </row>
    <row r="34908" spans="62:62" x14ac:dyDescent="0.2">
      <c r="BJ34908" s="201"/>
    </row>
    <row r="34909" spans="62:62" x14ac:dyDescent="0.2">
      <c r="BJ34909" s="201"/>
    </row>
    <row r="34910" spans="62:62" x14ac:dyDescent="0.2">
      <c r="BJ34910" s="201"/>
    </row>
    <row r="34911" spans="62:62" x14ac:dyDescent="0.2">
      <c r="BJ34911" s="201"/>
    </row>
    <row r="34912" spans="62:62" x14ac:dyDescent="0.2">
      <c r="BJ34912" s="201"/>
    </row>
    <row r="34913" spans="62:62" x14ac:dyDescent="0.2">
      <c r="BJ34913" s="201"/>
    </row>
    <row r="34914" spans="62:62" x14ac:dyDescent="0.2">
      <c r="BJ34914" s="201"/>
    </row>
    <row r="34915" spans="62:62" x14ac:dyDescent="0.2">
      <c r="BJ34915" s="201"/>
    </row>
    <row r="34916" spans="62:62" x14ac:dyDescent="0.2">
      <c r="BJ34916" s="201"/>
    </row>
    <row r="34917" spans="62:62" x14ac:dyDescent="0.2">
      <c r="BJ34917" s="201"/>
    </row>
    <row r="34918" spans="62:62" x14ac:dyDescent="0.2">
      <c r="BJ34918" s="201"/>
    </row>
    <row r="34919" spans="62:62" x14ac:dyDescent="0.2">
      <c r="BJ34919" s="201"/>
    </row>
    <row r="34920" spans="62:62" x14ac:dyDescent="0.2">
      <c r="BJ34920" s="201"/>
    </row>
    <row r="34921" spans="62:62" x14ac:dyDescent="0.2">
      <c r="BJ34921" s="201"/>
    </row>
    <row r="34922" spans="62:62" x14ac:dyDescent="0.2">
      <c r="BJ34922" s="201"/>
    </row>
    <row r="34923" spans="62:62" x14ac:dyDescent="0.2">
      <c r="BJ34923" s="201"/>
    </row>
    <row r="34924" spans="62:62" x14ac:dyDescent="0.2">
      <c r="BJ34924" s="201"/>
    </row>
    <row r="34925" spans="62:62" x14ac:dyDescent="0.2">
      <c r="BJ34925" s="201"/>
    </row>
    <row r="34926" spans="62:62" x14ac:dyDescent="0.2">
      <c r="BJ34926" s="201"/>
    </row>
    <row r="34927" spans="62:62" x14ac:dyDescent="0.2">
      <c r="BJ34927" s="201"/>
    </row>
    <row r="34928" spans="62:62" x14ac:dyDescent="0.2">
      <c r="BJ34928" s="201"/>
    </row>
    <row r="34929" spans="62:62" x14ac:dyDescent="0.2">
      <c r="BJ34929" s="201"/>
    </row>
    <row r="34930" spans="62:62" x14ac:dyDescent="0.2">
      <c r="BJ34930" s="201"/>
    </row>
    <row r="34931" spans="62:62" x14ac:dyDescent="0.2">
      <c r="BJ34931" s="201"/>
    </row>
    <row r="34932" spans="62:62" x14ac:dyDescent="0.2">
      <c r="BJ34932" s="201"/>
    </row>
    <row r="34933" spans="62:62" x14ac:dyDescent="0.2">
      <c r="BJ34933" s="201"/>
    </row>
    <row r="34934" spans="62:62" x14ac:dyDescent="0.2">
      <c r="BJ34934" s="201"/>
    </row>
    <row r="34935" spans="62:62" x14ac:dyDescent="0.2">
      <c r="BJ34935" s="201"/>
    </row>
    <row r="34936" spans="62:62" x14ac:dyDescent="0.2">
      <c r="BJ34936" s="201"/>
    </row>
    <row r="34937" spans="62:62" x14ac:dyDescent="0.2">
      <c r="BJ34937" s="201"/>
    </row>
    <row r="34938" spans="62:62" x14ac:dyDescent="0.2">
      <c r="BJ34938" s="201"/>
    </row>
    <row r="34939" spans="62:62" x14ac:dyDescent="0.2">
      <c r="BJ34939" s="201"/>
    </row>
    <row r="34940" spans="62:62" x14ac:dyDescent="0.2">
      <c r="BJ34940" s="201"/>
    </row>
    <row r="34941" spans="62:62" x14ac:dyDescent="0.2">
      <c r="BJ34941" s="201"/>
    </row>
    <row r="34942" spans="62:62" x14ac:dyDescent="0.2">
      <c r="BJ34942" s="201"/>
    </row>
    <row r="34943" spans="62:62" x14ac:dyDescent="0.2">
      <c r="BJ34943" s="201"/>
    </row>
    <row r="34944" spans="62:62" x14ac:dyDescent="0.2">
      <c r="BJ34944" s="201"/>
    </row>
    <row r="34945" spans="62:62" x14ac:dyDescent="0.2">
      <c r="BJ34945" s="201"/>
    </row>
    <row r="34946" spans="62:62" x14ac:dyDescent="0.2">
      <c r="BJ34946" s="201"/>
    </row>
    <row r="34947" spans="62:62" x14ac:dyDescent="0.2">
      <c r="BJ34947" s="201"/>
    </row>
    <row r="34948" spans="62:62" x14ac:dyDescent="0.2">
      <c r="BJ34948" s="201"/>
    </row>
    <row r="34949" spans="62:62" x14ac:dyDescent="0.2">
      <c r="BJ34949" s="201"/>
    </row>
    <row r="34950" spans="62:62" x14ac:dyDescent="0.2">
      <c r="BJ34950" s="201"/>
    </row>
    <row r="34951" spans="62:62" x14ac:dyDescent="0.2">
      <c r="BJ34951" s="201"/>
    </row>
    <row r="34952" spans="62:62" x14ac:dyDescent="0.2">
      <c r="BJ34952" s="201"/>
    </row>
    <row r="34953" spans="62:62" x14ac:dyDescent="0.2">
      <c r="BJ34953" s="201"/>
    </row>
    <row r="34954" spans="62:62" x14ac:dyDescent="0.2">
      <c r="BJ34954" s="201"/>
    </row>
    <row r="34955" spans="62:62" x14ac:dyDescent="0.2">
      <c r="BJ34955" s="201"/>
    </row>
    <row r="34956" spans="62:62" x14ac:dyDescent="0.2">
      <c r="BJ34956" s="201"/>
    </row>
    <row r="34957" spans="62:62" x14ac:dyDescent="0.2">
      <c r="BJ34957" s="201"/>
    </row>
    <row r="34958" spans="62:62" x14ac:dyDescent="0.2">
      <c r="BJ34958" s="201"/>
    </row>
    <row r="34959" spans="62:62" x14ac:dyDescent="0.2">
      <c r="BJ34959" s="201"/>
    </row>
    <row r="34960" spans="62:62" x14ac:dyDescent="0.2">
      <c r="BJ34960" s="201"/>
    </row>
    <row r="34961" spans="62:62" x14ac:dyDescent="0.2">
      <c r="BJ34961" s="201"/>
    </row>
    <row r="34962" spans="62:62" x14ac:dyDescent="0.2">
      <c r="BJ34962" s="201"/>
    </row>
    <row r="34963" spans="62:62" x14ac:dyDescent="0.2">
      <c r="BJ34963" s="201"/>
    </row>
    <row r="34964" spans="62:62" x14ac:dyDescent="0.2">
      <c r="BJ34964" s="201"/>
    </row>
    <row r="34965" spans="62:62" x14ac:dyDescent="0.2">
      <c r="BJ34965" s="201"/>
    </row>
    <row r="34966" spans="62:62" x14ac:dyDescent="0.2">
      <c r="BJ34966" s="201"/>
    </row>
    <row r="34967" spans="62:62" x14ac:dyDescent="0.2">
      <c r="BJ34967" s="201"/>
    </row>
    <row r="34968" spans="62:62" x14ac:dyDescent="0.2">
      <c r="BJ34968" s="201"/>
    </row>
    <row r="34969" spans="62:62" x14ac:dyDescent="0.2">
      <c r="BJ34969" s="201"/>
    </row>
    <row r="34970" spans="62:62" x14ac:dyDescent="0.2">
      <c r="BJ34970" s="201"/>
    </row>
    <row r="34971" spans="62:62" x14ac:dyDescent="0.2">
      <c r="BJ34971" s="201"/>
    </row>
    <row r="34972" spans="62:62" x14ac:dyDescent="0.2">
      <c r="BJ34972" s="201"/>
    </row>
    <row r="34973" spans="62:62" x14ac:dyDescent="0.2">
      <c r="BJ34973" s="201"/>
    </row>
    <row r="34974" spans="62:62" x14ac:dyDescent="0.2">
      <c r="BJ34974" s="201"/>
    </row>
    <row r="34975" spans="62:62" x14ac:dyDescent="0.2">
      <c r="BJ34975" s="201"/>
    </row>
    <row r="34976" spans="62:62" x14ac:dyDescent="0.2">
      <c r="BJ34976" s="201"/>
    </row>
    <row r="34977" spans="62:62" x14ac:dyDescent="0.2">
      <c r="BJ34977" s="201"/>
    </row>
    <row r="34978" spans="62:62" x14ac:dyDescent="0.2">
      <c r="BJ34978" s="201"/>
    </row>
    <row r="34979" spans="62:62" x14ac:dyDescent="0.2">
      <c r="BJ34979" s="201"/>
    </row>
    <row r="34980" spans="62:62" x14ac:dyDescent="0.2">
      <c r="BJ34980" s="201"/>
    </row>
    <row r="34981" spans="62:62" x14ac:dyDescent="0.2">
      <c r="BJ34981" s="201"/>
    </row>
    <row r="34982" spans="62:62" x14ac:dyDescent="0.2">
      <c r="BJ34982" s="201"/>
    </row>
    <row r="34983" spans="62:62" x14ac:dyDescent="0.2">
      <c r="BJ34983" s="201"/>
    </row>
    <row r="34984" spans="62:62" x14ac:dyDescent="0.2">
      <c r="BJ34984" s="201"/>
    </row>
    <row r="34985" spans="62:62" x14ac:dyDescent="0.2">
      <c r="BJ34985" s="201"/>
    </row>
    <row r="34986" spans="62:62" x14ac:dyDescent="0.2">
      <c r="BJ34986" s="201"/>
    </row>
    <row r="34987" spans="62:62" x14ac:dyDescent="0.2">
      <c r="BJ34987" s="201"/>
    </row>
    <row r="34988" spans="62:62" x14ac:dyDescent="0.2">
      <c r="BJ34988" s="201"/>
    </row>
    <row r="34989" spans="62:62" x14ac:dyDescent="0.2">
      <c r="BJ34989" s="201"/>
    </row>
    <row r="34990" spans="62:62" x14ac:dyDescent="0.2">
      <c r="BJ34990" s="201"/>
    </row>
    <row r="34991" spans="62:62" x14ac:dyDescent="0.2">
      <c r="BJ34991" s="201"/>
    </row>
    <row r="34992" spans="62:62" x14ac:dyDescent="0.2">
      <c r="BJ34992" s="201"/>
    </row>
    <row r="34993" spans="62:62" x14ac:dyDescent="0.2">
      <c r="BJ34993" s="201"/>
    </row>
    <row r="34994" spans="62:62" x14ac:dyDescent="0.2">
      <c r="BJ34994" s="201"/>
    </row>
    <row r="34995" spans="62:62" x14ac:dyDescent="0.2">
      <c r="BJ34995" s="201"/>
    </row>
    <row r="34996" spans="62:62" x14ac:dyDescent="0.2">
      <c r="BJ34996" s="201"/>
    </row>
    <row r="34997" spans="62:62" x14ac:dyDescent="0.2">
      <c r="BJ34997" s="201"/>
    </row>
    <row r="34998" spans="62:62" x14ac:dyDescent="0.2">
      <c r="BJ34998" s="201"/>
    </row>
    <row r="34999" spans="62:62" x14ac:dyDescent="0.2">
      <c r="BJ34999" s="201"/>
    </row>
    <row r="35000" spans="62:62" x14ac:dyDescent="0.2">
      <c r="BJ35000" s="201"/>
    </row>
    <row r="35001" spans="62:62" x14ac:dyDescent="0.2">
      <c r="BJ35001" s="201"/>
    </row>
    <row r="35002" spans="62:62" x14ac:dyDescent="0.2">
      <c r="BJ35002" s="201"/>
    </row>
    <row r="35003" spans="62:62" x14ac:dyDescent="0.2">
      <c r="BJ35003" s="201"/>
    </row>
    <row r="35004" spans="62:62" x14ac:dyDescent="0.2">
      <c r="BJ35004" s="201"/>
    </row>
    <row r="35005" spans="62:62" x14ac:dyDescent="0.2">
      <c r="BJ35005" s="201"/>
    </row>
    <row r="35006" spans="62:62" x14ac:dyDescent="0.2">
      <c r="BJ35006" s="201"/>
    </row>
    <row r="35007" spans="62:62" x14ac:dyDescent="0.2">
      <c r="BJ35007" s="201"/>
    </row>
    <row r="35008" spans="62:62" x14ac:dyDescent="0.2">
      <c r="BJ35008" s="201"/>
    </row>
    <row r="35009" spans="62:62" x14ac:dyDescent="0.2">
      <c r="BJ35009" s="201"/>
    </row>
    <row r="35010" spans="62:62" x14ac:dyDescent="0.2">
      <c r="BJ35010" s="201"/>
    </row>
    <row r="35011" spans="62:62" x14ac:dyDescent="0.2">
      <c r="BJ35011" s="201"/>
    </row>
    <row r="35012" spans="62:62" x14ac:dyDescent="0.2">
      <c r="BJ35012" s="201"/>
    </row>
    <row r="35013" spans="62:62" x14ac:dyDescent="0.2">
      <c r="BJ35013" s="201"/>
    </row>
    <row r="35014" spans="62:62" x14ac:dyDescent="0.2">
      <c r="BJ35014" s="201"/>
    </row>
    <row r="35015" spans="62:62" x14ac:dyDescent="0.2">
      <c r="BJ35015" s="201"/>
    </row>
    <row r="35016" spans="62:62" x14ac:dyDescent="0.2">
      <c r="BJ35016" s="201"/>
    </row>
    <row r="35017" spans="62:62" x14ac:dyDescent="0.2">
      <c r="BJ35017" s="201"/>
    </row>
    <row r="35018" spans="62:62" x14ac:dyDescent="0.2">
      <c r="BJ35018" s="201"/>
    </row>
    <row r="35019" spans="62:62" x14ac:dyDescent="0.2">
      <c r="BJ35019" s="201"/>
    </row>
    <row r="35020" spans="62:62" x14ac:dyDescent="0.2">
      <c r="BJ35020" s="201"/>
    </row>
    <row r="35021" spans="62:62" x14ac:dyDescent="0.2">
      <c r="BJ35021" s="201"/>
    </row>
    <row r="35022" spans="62:62" x14ac:dyDescent="0.2">
      <c r="BJ35022" s="201"/>
    </row>
    <row r="35023" spans="62:62" x14ac:dyDescent="0.2">
      <c r="BJ35023" s="201"/>
    </row>
    <row r="35024" spans="62:62" x14ac:dyDescent="0.2">
      <c r="BJ35024" s="201"/>
    </row>
    <row r="35025" spans="62:62" x14ac:dyDescent="0.2">
      <c r="BJ35025" s="201"/>
    </row>
    <row r="35026" spans="62:62" x14ac:dyDescent="0.2">
      <c r="BJ35026" s="201"/>
    </row>
    <row r="35027" spans="62:62" x14ac:dyDescent="0.2">
      <c r="BJ35027" s="201"/>
    </row>
    <row r="35028" spans="62:62" x14ac:dyDescent="0.2">
      <c r="BJ35028" s="201"/>
    </row>
    <row r="35029" spans="62:62" x14ac:dyDescent="0.2">
      <c r="BJ35029" s="201"/>
    </row>
    <row r="35030" spans="62:62" x14ac:dyDescent="0.2">
      <c r="BJ35030" s="201"/>
    </row>
    <row r="35031" spans="62:62" x14ac:dyDescent="0.2">
      <c r="BJ35031" s="201"/>
    </row>
    <row r="35032" spans="62:62" x14ac:dyDescent="0.2">
      <c r="BJ35032" s="201"/>
    </row>
    <row r="35033" spans="62:62" x14ac:dyDescent="0.2">
      <c r="BJ35033" s="201"/>
    </row>
    <row r="35034" spans="62:62" x14ac:dyDescent="0.2">
      <c r="BJ35034" s="201"/>
    </row>
    <row r="35035" spans="62:62" x14ac:dyDescent="0.2">
      <c r="BJ35035" s="201"/>
    </row>
    <row r="35036" spans="62:62" x14ac:dyDescent="0.2">
      <c r="BJ35036" s="201"/>
    </row>
    <row r="35037" spans="62:62" x14ac:dyDescent="0.2">
      <c r="BJ35037" s="201"/>
    </row>
    <row r="35038" spans="62:62" x14ac:dyDescent="0.2">
      <c r="BJ35038" s="201"/>
    </row>
    <row r="35039" spans="62:62" x14ac:dyDescent="0.2">
      <c r="BJ35039" s="201"/>
    </row>
    <row r="35040" spans="62:62" x14ac:dyDescent="0.2">
      <c r="BJ35040" s="201"/>
    </row>
    <row r="35041" spans="62:62" x14ac:dyDescent="0.2">
      <c r="BJ35041" s="201"/>
    </row>
    <row r="35042" spans="62:62" x14ac:dyDescent="0.2">
      <c r="BJ35042" s="201"/>
    </row>
    <row r="35043" spans="62:62" x14ac:dyDescent="0.2">
      <c r="BJ35043" s="201"/>
    </row>
    <row r="35044" spans="62:62" x14ac:dyDescent="0.2">
      <c r="BJ35044" s="201"/>
    </row>
    <row r="35045" spans="62:62" x14ac:dyDescent="0.2">
      <c r="BJ35045" s="201"/>
    </row>
    <row r="35046" spans="62:62" x14ac:dyDescent="0.2">
      <c r="BJ35046" s="201"/>
    </row>
    <row r="35047" spans="62:62" x14ac:dyDescent="0.2">
      <c r="BJ35047" s="201"/>
    </row>
    <row r="35048" spans="62:62" x14ac:dyDescent="0.2">
      <c r="BJ35048" s="201"/>
    </row>
    <row r="35049" spans="62:62" x14ac:dyDescent="0.2">
      <c r="BJ35049" s="201"/>
    </row>
    <row r="35050" spans="62:62" x14ac:dyDescent="0.2">
      <c r="BJ35050" s="201"/>
    </row>
    <row r="35051" spans="62:62" x14ac:dyDescent="0.2">
      <c r="BJ35051" s="201"/>
    </row>
    <row r="35052" spans="62:62" x14ac:dyDescent="0.2">
      <c r="BJ35052" s="201"/>
    </row>
    <row r="35053" spans="62:62" x14ac:dyDescent="0.2">
      <c r="BJ35053" s="201"/>
    </row>
    <row r="35054" spans="62:62" x14ac:dyDescent="0.2">
      <c r="BJ35054" s="201"/>
    </row>
    <row r="35055" spans="62:62" x14ac:dyDescent="0.2">
      <c r="BJ35055" s="201"/>
    </row>
    <row r="35056" spans="62:62" x14ac:dyDescent="0.2">
      <c r="BJ35056" s="201"/>
    </row>
    <row r="35057" spans="62:62" x14ac:dyDescent="0.2">
      <c r="BJ35057" s="201"/>
    </row>
    <row r="35058" spans="62:62" x14ac:dyDescent="0.2">
      <c r="BJ35058" s="201"/>
    </row>
    <row r="35059" spans="62:62" x14ac:dyDescent="0.2">
      <c r="BJ35059" s="201"/>
    </row>
    <row r="35060" spans="62:62" x14ac:dyDescent="0.2">
      <c r="BJ35060" s="201"/>
    </row>
    <row r="35061" spans="62:62" x14ac:dyDescent="0.2">
      <c r="BJ35061" s="201"/>
    </row>
    <row r="35062" spans="62:62" x14ac:dyDescent="0.2">
      <c r="BJ35062" s="201"/>
    </row>
    <row r="35063" spans="62:62" x14ac:dyDescent="0.2">
      <c r="BJ35063" s="201"/>
    </row>
    <row r="35064" spans="62:62" x14ac:dyDescent="0.2">
      <c r="BJ35064" s="201"/>
    </row>
    <row r="35065" spans="62:62" x14ac:dyDescent="0.2">
      <c r="BJ35065" s="201"/>
    </row>
    <row r="35066" spans="62:62" x14ac:dyDescent="0.2">
      <c r="BJ35066" s="201"/>
    </row>
    <row r="35067" spans="62:62" x14ac:dyDescent="0.2">
      <c r="BJ35067" s="201"/>
    </row>
    <row r="35068" spans="62:62" x14ac:dyDescent="0.2">
      <c r="BJ35068" s="201"/>
    </row>
    <row r="35069" spans="62:62" x14ac:dyDescent="0.2">
      <c r="BJ35069" s="201"/>
    </row>
    <row r="35070" spans="62:62" x14ac:dyDescent="0.2">
      <c r="BJ35070" s="201"/>
    </row>
    <row r="35071" spans="62:62" x14ac:dyDescent="0.2">
      <c r="BJ35071" s="201"/>
    </row>
    <row r="35072" spans="62:62" x14ac:dyDescent="0.2">
      <c r="BJ35072" s="201"/>
    </row>
    <row r="35073" spans="62:62" x14ac:dyDescent="0.2">
      <c r="BJ35073" s="201"/>
    </row>
    <row r="35074" spans="62:62" x14ac:dyDescent="0.2">
      <c r="BJ35074" s="201"/>
    </row>
    <row r="35075" spans="62:62" x14ac:dyDescent="0.2">
      <c r="BJ35075" s="201"/>
    </row>
    <row r="35076" spans="62:62" x14ac:dyDescent="0.2">
      <c r="BJ35076" s="201"/>
    </row>
    <row r="35077" spans="62:62" x14ac:dyDescent="0.2">
      <c r="BJ35077" s="201"/>
    </row>
    <row r="35078" spans="62:62" x14ac:dyDescent="0.2">
      <c r="BJ35078" s="201"/>
    </row>
    <row r="35079" spans="62:62" x14ac:dyDescent="0.2">
      <c r="BJ35079" s="201"/>
    </row>
    <row r="35080" spans="62:62" x14ac:dyDescent="0.2">
      <c r="BJ35080" s="201"/>
    </row>
    <row r="35081" spans="62:62" x14ac:dyDescent="0.2">
      <c r="BJ35081" s="201"/>
    </row>
    <row r="35082" spans="62:62" x14ac:dyDescent="0.2">
      <c r="BJ35082" s="201"/>
    </row>
    <row r="35083" spans="62:62" x14ac:dyDescent="0.2">
      <c r="BJ35083" s="201"/>
    </row>
    <row r="35084" spans="62:62" x14ac:dyDescent="0.2">
      <c r="BJ35084" s="201"/>
    </row>
    <row r="35085" spans="62:62" x14ac:dyDescent="0.2">
      <c r="BJ35085" s="201"/>
    </row>
    <row r="35086" spans="62:62" x14ac:dyDescent="0.2">
      <c r="BJ35086" s="201"/>
    </row>
    <row r="35087" spans="62:62" x14ac:dyDescent="0.2">
      <c r="BJ35087" s="201"/>
    </row>
    <row r="35088" spans="62:62" x14ac:dyDescent="0.2">
      <c r="BJ35088" s="201"/>
    </row>
    <row r="35089" spans="62:62" x14ac:dyDescent="0.2">
      <c r="BJ35089" s="201"/>
    </row>
    <row r="35090" spans="62:62" x14ac:dyDescent="0.2">
      <c r="BJ35090" s="201"/>
    </row>
    <row r="35091" spans="62:62" x14ac:dyDescent="0.2">
      <c r="BJ35091" s="201"/>
    </row>
    <row r="35092" spans="62:62" x14ac:dyDescent="0.2">
      <c r="BJ35092" s="201"/>
    </row>
    <row r="35093" spans="62:62" x14ac:dyDescent="0.2">
      <c r="BJ35093" s="201"/>
    </row>
    <row r="35094" spans="62:62" x14ac:dyDescent="0.2">
      <c r="BJ35094" s="201"/>
    </row>
    <row r="35095" spans="62:62" x14ac:dyDescent="0.2">
      <c r="BJ35095" s="201"/>
    </row>
    <row r="35096" spans="62:62" x14ac:dyDescent="0.2">
      <c r="BJ35096" s="201"/>
    </row>
    <row r="35097" spans="62:62" x14ac:dyDescent="0.2">
      <c r="BJ35097" s="201"/>
    </row>
    <row r="35098" spans="62:62" x14ac:dyDescent="0.2">
      <c r="BJ35098" s="201"/>
    </row>
    <row r="35099" spans="62:62" x14ac:dyDescent="0.2">
      <c r="BJ35099" s="201"/>
    </row>
    <row r="35100" spans="62:62" x14ac:dyDescent="0.2">
      <c r="BJ35100" s="201"/>
    </row>
    <row r="35101" spans="62:62" x14ac:dyDescent="0.2">
      <c r="BJ35101" s="201"/>
    </row>
    <row r="35102" spans="62:62" x14ac:dyDescent="0.2">
      <c r="BJ35102" s="201"/>
    </row>
    <row r="35103" spans="62:62" x14ac:dyDescent="0.2">
      <c r="BJ35103" s="201"/>
    </row>
    <row r="35104" spans="62:62" x14ac:dyDescent="0.2">
      <c r="BJ35104" s="201"/>
    </row>
    <row r="35105" spans="62:62" x14ac:dyDescent="0.2">
      <c r="BJ35105" s="201"/>
    </row>
    <row r="35106" spans="62:62" x14ac:dyDescent="0.2">
      <c r="BJ35106" s="201"/>
    </row>
    <row r="35107" spans="62:62" x14ac:dyDescent="0.2">
      <c r="BJ35107" s="201"/>
    </row>
    <row r="35108" spans="62:62" x14ac:dyDescent="0.2">
      <c r="BJ35108" s="201"/>
    </row>
    <row r="35109" spans="62:62" x14ac:dyDescent="0.2">
      <c r="BJ35109" s="201"/>
    </row>
    <row r="35110" spans="62:62" x14ac:dyDescent="0.2">
      <c r="BJ35110" s="201"/>
    </row>
    <row r="35111" spans="62:62" x14ac:dyDescent="0.2">
      <c r="BJ35111" s="201"/>
    </row>
    <row r="35112" spans="62:62" x14ac:dyDescent="0.2">
      <c r="BJ35112" s="201"/>
    </row>
    <row r="35113" spans="62:62" x14ac:dyDescent="0.2">
      <c r="BJ35113" s="201"/>
    </row>
    <row r="35114" spans="62:62" x14ac:dyDescent="0.2">
      <c r="BJ35114" s="201"/>
    </row>
    <row r="35115" spans="62:62" x14ac:dyDescent="0.2">
      <c r="BJ35115" s="201"/>
    </row>
    <row r="35116" spans="62:62" x14ac:dyDescent="0.2">
      <c r="BJ35116" s="201"/>
    </row>
    <row r="35117" spans="62:62" x14ac:dyDescent="0.2">
      <c r="BJ35117" s="201"/>
    </row>
    <row r="35118" spans="62:62" x14ac:dyDescent="0.2">
      <c r="BJ35118" s="201"/>
    </row>
    <row r="35119" spans="62:62" x14ac:dyDescent="0.2">
      <c r="BJ35119" s="201"/>
    </row>
    <row r="35120" spans="62:62" x14ac:dyDescent="0.2">
      <c r="BJ35120" s="201"/>
    </row>
    <row r="35121" spans="62:62" x14ac:dyDescent="0.2">
      <c r="BJ35121" s="201"/>
    </row>
    <row r="35122" spans="62:62" x14ac:dyDescent="0.2">
      <c r="BJ35122" s="201"/>
    </row>
    <row r="35123" spans="62:62" x14ac:dyDescent="0.2">
      <c r="BJ35123" s="201"/>
    </row>
    <row r="35124" spans="62:62" x14ac:dyDescent="0.2">
      <c r="BJ35124" s="201"/>
    </row>
    <row r="35125" spans="62:62" x14ac:dyDescent="0.2">
      <c r="BJ35125" s="201"/>
    </row>
    <row r="35126" spans="62:62" x14ac:dyDescent="0.2">
      <c r="BJ35126" s="201"/>
    </row>
    <row r="35127" spans="62:62" x14ac:dyDescent="0.2">
      <c r="BJ35127" s="201"/>
    </row>
    <row r="35128" spans="62:62" x14ac:dyDescent="0.2">
      <c r="BJ35128" s="201"/>
    </row>
    <row r="35129" spans="62:62" x14ac:dyDescent="0.2">
      <c r="BJ35129" s="201"/>
    </row>
    <row r="35130" spans="62:62" x14ac:dyDescent="0.2">
      <c r="BJ35130" s="201"/>
    </row>
    <row r="35131" spans="62:62" x14ac:dyDescent="0.2">
      <c r="BJ35131" s="201"/>
    </row>
    <row r="35132" spans="62:62" x14ac:dyDescent="0.2">
      <c r="BJ35132" s="201"/>
    </row>
    <row r="35133" spans="62:62" x14ac:dyDescent="0.2">
      <c r="BJ35133" s="201"/>
    </row>
    <row r="35134" spans="62:62" x14ac:dyDescent="0.2">
      <c r="BJ35134" s="201"/>
    </row>
    <row r="35135" spans="62:62" x14ac:dyDescent="0.2">
      <c r="BJ35135" s="201"/>
    </row>
    <row r="35136" spans="62:62" x14ac:dyDescent="0.2">
      <c r="BJ35136" s="201"/>
    </row>
    <row r="35137" spans="62:62" x14ac:dyDescent="0.2">
      <c r="BJ35137" s="201"/>
    </row>
    <row r="35138" spans="62:62" x14ac:dyDescent="0.2">
      <c r="BJ35138" s="201"/>
    </row>
    <row r="35139" spans="62:62" x14ac:dyDescent="0.2">
      <c r="BJ35139" s="201"/>
    </row>
    <row r="35140" spans="62:62" x14ac:dyDescent="0.2">
      <c r="BJ35140" s="201"/>
    </row>
    <row r="35141" spans="62:62" x14ac:dyDescent="0.2">
      <c r="BJ35141" s="201"/>
    </row>
    <row r="35142" spans="62:62" x14ac:dyDescent="0.2">
      <c r="BJ35142" s="201"/>
    </row>
    <row r="35143" spans="62:62" x14ac:dyDescent="0.2">
      <c r="BJ35143" s="201"/>
    </row>
    <row r="35144" spans="62:62" x14ac:dyDescent="0.2">
      <c r="BJ35144" s="201"/>
    </row>
    <row r="35145" spans="62:62" x14ac:dyDescent="0.2">
      <c r="BJ35145" s="201"/>
    </row>
    <row r="35146" spans="62:62" x14ac:dyDescent="0.2">
      <c r="BJ35146" s="201"/>
    </row>
    <row r="35147" spans="62:62" x14ac:dyDescent="0.2">
      <c r="BJ35147" s="201"/>
    </row>
    <row r="35148" spans="62:62" x14ac:dyDescent="0.2">
      <c r="BJ35148" s="201"/>
    </row>
    <row r="35149" spans="62:62" x14ac:dyDescent="0.2">
      <c r="BJ35149" s="201"/>
    </row>
    <row r="35150" spans="62:62" x14ac:dyDescent="0.2">
      <c r="BJ35150" s="201"/>
    </row>
    <row r="35151" spans="62:62" x14ac:dyDescent="0.2">
      <c r="BJ35151" s="201"/>
    </row>
    <row r="35152" spans="62:62" x14ac:dyDescent="0.2">
      <c r="BJ35152" s="201"/>
    </row>
    <row r="35153" spans="62:62" x14ac:dyDescent="0.2">
      <c r="BJ35153" s="201"/>
    </row>
    <row r="35154" spans="62:62" x14ac:dyDescent="0.2">
      <c r="BJ35154" s="201"/>
    </row>
    <row r="35155" spans="62:62" x14ac:dyDescent="0.2">
      <c r="BJ35155" s="201"/>
    </row>
    <row r="35156" spans="62:62" x14ac:dyDescent="0.2">
      <c r="BJ35156" s="201"/>
    </row>
    <row r="35157" spans="62:62" x14ac:dyDescent="0.2">
      <c r="BJ35157" s="201"/>
    </row>
    <row r="35158" spans="62:62" x14ac:dyDescent="0.2">
      <c r="BJ35158" s="201"/>
    </row>
    <row r="35159" spans="62:62" x14ac:dyDescent="0.2">
      <c r="BJ35159" s="201"/>
    </row>
    <row r="35160" spans="62:62" x14ac:dyDescent="0.2">
      <c r="BJ35160" s="201"/>
    </row>
    <row r="35161" spans="62:62" x14ac:dyDescent="0.2">
      <c r="BJ35161" s="201"/>
    </row>
    <row r="35162" spans="62:62" x14ac:dyDescent="0.2">
      <c r="BJ35162" s="201"/>
    </row>
    <row r="35163" spans="62:62" x14ac:dyDescent="0.2">
      <c r="BJ35163" s="201"/>
    </row>
    <row r="35164" spans="62:62" x14ac:dyDescent="0.2">
      <c r="BJ35164" s="201"/>
    </row>
    <row r="35165" spans="62:62" x14ac:dyDescent="0.2">
      <c r="BJ35165" s="201"/>
    </row>
    <row r="35166" spans="62:62" x14ac:dyDescent="0.2">
      <c r="BJ35166" s="201"/>
    </row>
    <row r="35167" spans="62:62" x14ac:dyDescent="0.2">
      <c r="BJ35167" s="201"/>
    </row>
    <row r="35168" spans="62:62" x14ac:dyDescent="0.2">
      <c r="BJ35168" s="201"/>
    </row>
    <row r="35169" spans="62:62" x14ac:dyDescent="0.2">
      <c r="BJ35169" s="201"/>
    </row>
    <row r="35170" spans="62:62" x14ac:dyDescent="0.2">
      <c r="BJ35170" s="201"/>
    </row>
    <row r="35171" spans="62:62" x14ac:dyDescent="0.2">
      <c r="BJ35171" s="201"/>
    </row>
    <row r="35172" spans="62:62" x14ac:dyDescent="0.2">
      <c r="BJ35172" s="201"/>
    </row>
    <row r="35173" spans="62:62" x14ac:dyDescent="0.2">
      <c r="BJ35173" s="201"/>
    </row>
    <row r="35174" spans="62:62" x14ac:dyDescent="0.2">
      <c r="BJ35174" s="201"/>
    </row>
    <row r="35175" spans="62:62" x14ac:dyDescent="0.2">
      <c r="BJ35175" s="201"/>
    </row>
    <row r="35176" spans="62:62" x14ac:dyDescent="0.2">
      <c r="BJ35176" s="201"/>
    </row>
    <row r="35177" spans="62:62" x14ac:dyDescent="0.2">
      <c r="BJ35177" s="201"/>
    </row>
    <row r="35178" spans="62:62" x14ac:dyDescent="0.2">
      <c r="BJ35178" s="201"/>
    </row>
    <row r="35179" spans="62:62" x14ac:dyDescent="0.2">
      <c r="BJ35179" s="201"/>
    </row>
    <row r="35180" spans="62:62" x14ac:dyDescent="0.2">
      <c r="BJ35180" s="201"/>
    </row>
    <row r="35181" spans="62:62" x14ac:dyDescent="0.2">
      <c r="BJ35181" s="201"/>
    </row>
    <row r="35182" spans="62:62" x14ac:dyDescent="0.2">
      <c r="BJ35182" s="201"/>
    </row>
    <row r="35183" spans="62:62" x14ac:dyDescent="0.2">
      <c r="BJ35183" s="201"/>
    </row>
    <row r="35184" spans="62:62" x14ac:dyDescent="0.2">
      <c r="BJ35184" s="201"/>
    </row>
    <row r="35185" spans="62:62" x14ac:dyDescent="0.2">
      <c r="BJ35185" s="201"/>
    </row>
    <row r="35186" spans="62:62" x14ac:dyDescent="0.2">
      <c r="BJ35186" s="201"/>
    </row>
    <row r="35187" spans="62:62" x14ac:dyDescent="0.2">
      <c r="BJ35187" s="201"/>
    </row>
    <row r="35188" spans="62:62" x14ac:dyDescent="0.2">
      <c r="BJ35188" s="201"/>
    </row>
    <row r="35189" spans="62:62" x14ac:dyDescent="0.2">
      <c r="BJ35189" s="201"/>
    </row>
    <row r="35190" spans="62:62" x14ac:dyDescent="0.2">
      <c r="BJ35190" s="201"/>
    </row>
    <row r="35191" spans="62:62" x14ac:dyDescent="0.2">
      <c r="BJ35191" s="201"/>
    </row>
    <row r="35192" spans="62:62" x14ac:dyDescent="0.2">
      <c r="BJ35192" s="201"/>
    </row>
    <row r="35193" spans="62:62" x14ac:dyDescent="0.2">
      <c r="BJ35193" s="201"/>
    </row>
    <row r="35194" spans="62:62" x14ac:dyDescent="0.2">
      <c r="BJ35194" s="201"/>
    </row>
    <row r="35195" spans="62:62" x14ac:dyDescent="0.2">
      <c r="BJ35195" s="201"/>
    </row>
    <row r="35196" spans="62:62" x14ac:dyDescent="0.2">
      <c r="BJ35196" s="201"/>
    </row>
    <row r="35197" spans="62:62" x14ac:dyDescent="0.2">
      <c r="BJ35197" s="201"/>
    </row>
    <row r="35198" spans="62:62" x14ac:dyDescent="0.2">
      <c r="BJ35198" s="201"/>
    </row>
    <row r="35199" spans="62:62" x14ac:dyDescent="0.2">
      <c r="BJ35199" s="201"/>
    </row>
    <row r="35200" spans="62:62" x14ac:dyDescent="0.2">
      <c r="BJ35200" s="201"/>
    </row>
    <row r="35201" spans="62:62" x14ac:dyDescent="0.2">
      <c r="BJ35201" s="201"/>
    </row>
    <row r="35202" spans="62:62" x14ac:dyDescent="0.2">
      <c r="BJ35202" s="201"/>
    </row>
    <row r="35203" spans="62:62" x14ac:dyDescent="0.2">
      <c r="BJ35203" s="201"/>
    </row>
    <row r="35204" spans="62:62" x14ac:dyDescent="0.2">
      <c r="BJ35204" s="201"/>
    </row>
    <row r="35205" spans="62:62" x14ac:dyDescent="0.2">
      <c r="BJ35205" s="201"/>
    </row>
    <row r="35206" spans="62:62" x14ac:dyDescent="0.2">
      <c r="BJ35206" s="201"/>
    </row>
    <row r="35207" spans="62:62" x14ac:dyDescent="0.2">
      <c r="BJ35207" s="201"/>
    </row>
    <row r="35208" spans="62:62" x14ac:dyDescent="0.2">
      <c r="BJ35208" s="201"/>
    </row>
    <row r="35209" spans="62:62" x14ac:dyDescent="0.2">
      <c r="BJ35209" s="201"/>
    </row>
    <row r="35210" spans="62:62" x14ac:dyDescent="0.2">
      <c r="BJ35210" s="201"/>
    </row>
    <row r="35211" spans="62:62" x14ac:dyDescent="0.2">
      <c r="BJ35211" s="201"/>
    </row>
    <row r="35212" spans="62:62" x14ac:dyDescent="0.2">
      <c r="BJ35212" s="201"/>
    </row>
    <row r="35213" spans="62:62" x14ac:dyDescent="0.2">
      <c r="BJ35213" s="201"/>
    </row>
    <row r="35214" spans="62:62" x14ac:dyDescent="0.2">
      <c r="BJ35214" s="201"/>
    </row>
    <row r="35215" spans="62:62" x14ac:dyDescent="0.2">
      <c r="BJ35215" s="201"/>
    </row>
    <row r="35216" spans="62:62" x14ac:dyDescent="0.2">
      <c r="BJ35216" s="201"/>
    </row>
    <row r="35217" spans="62:62" x14ac:dyDescent="0.2">
      <c r="BJ35217" s="201"/>
    </row>
    <row r="35218" spans="62:62" x14ac:dyDescent="0.2">
      <c r="BJ35218" s="201"/>
    </row>
    <row r="35219" spans="62:62" x14ac:dyDescent="0.2">
      <c r="BJ35219" s="201"/>
    </row>
    <row r="35220" spans="62:62" x14ac:dyDescent="0.2">
      <c r="BJ35220" s="201"/>
    </row>
    <row r="35221" spans="62:62" x14ac:dyDescent="0.2">
      <c r="BJ35221" s="201"/>
    </row>
    <row r="35222" spans="62:62" x14ac:dyDescent="0.2">
      <c r="BJ35222" s="201"/>
    </row>
    <row r="35223" spans="62:62" x14ac:dyDescent="0.2">
      <c r="BJ35223" s="201"/>
    </row>
    <row r="35224" spans="62:62" x14ac:dyDescent="0.2">
      <c r="BJ35224" s="201"/>
    </row>
    <row r="35225" spans="62:62" x14ac:dyDescent="0.2">
      <c r="BJ35225" s="201"/>
    </row>
    <row r="35226" spans="62:62" x14ac:dyDescent="0.2">
      <c r="BJ35226" s="201"/>
    </row>
    <row r="35227" spans="62:62" x14ac:dyDescent="0.2">
      <c r="BJ35227" s="201"/>
    </row>
    <row r="35228" spans="62:62" x14ac:dyDescent="0.2">
      <c r="BJ35228" s="201"/>
    </row>
    <row r="35229" spans="62:62" x14ac:dyDescent="0.2">
      <c r="BJ35229" s="201"/>
    </row>
    <row r="35230" spans="62:62" x14ac:dyDescent="0.2">
      <c r="BJ35230" s="201"/>
    </row>
    <row r="35231" spans="62:62" x14ac:dyDescent="0.2">
      <c r="BJ35231" s="201"/>
    </row>
    <row r="35232" spans="62:62" x14ac:dyDescent="0.2">
      <c r="BJ35232" s="201"/>
    </row>
    <row r="35233" spans="62:62" x14ac:dyDescent="0.2">
      <c r="BJ35233" s="201"/>
    </row>
    <row r="35234" spans="62:62" x14ac:dyDescent="0.2">
      <c r="BJ35234" s="201"/>
    </row>
    <row r="35235" spans="62:62" x14ac:dyDescent="0.2">
      <c r="BJ35235" s="201"/>
    </row>
    <row r="35236" spans="62:62" x14ac:dyDescent="0.2">
      <c r="BJ35236" s="201"/>
    </row>
    <row r="35237" spans="62:62" x14ac:dyDescent="0.2">
      <c r="BJ35237" s="201"/>
    </row>
    <row r="35238" spans="62:62" x14ac:dyDescent="0.2">
      <c r="BJ35238" s="201"/>
    </row>
    <row r="35239" spans="62:62" x14ac:dyDescent="0.2">
      <c r="BJ35239" s="201"/>
    </row>
    <row r="35240" spans="62:62" x14ac:dyDescent="0.2">
      <c r="BJ35240" s="201"/>
    </row>
    <row r="35241" spans="62:62" x14ac:dyDescent="0.2">
      <c r="BJ35241" s="201"/>
    </row>
    <row r="35242" spans="62:62" x14ac:dyDescent="0.2">
      <c r="BJ35242" s="201"/>
    </row>
    <row r="35243" spans="62:62" x14ac:dyDescent="0.2">
      <c r="BJ35243" s="201"/>
    </row>
    <row r="35244" spans="62:62" x14ac:dyDescent="0.2">
      <c r="BJ35244" s="201"/>
    </row>
    <row r="35245" spans="62:62" x14ac:dyDescent="0.2">
      <c r="BJ35245" s="201"/>
    </row>
    <row r="35246" spans="62:62" x14ac:dyDescent="0.2">
      <c r="BJ35246" s="201"/>
    </row>
    <row r="35247" spans="62:62" x14ac:dyDescent="0.2">
      <c r="BJ35247" s="201"/>
    </row>
    <row r="35248" spans="62:62" x14ac:dyDescent="0.2">
      <c r="BJ35248" s="201"/>
    </row>
    <row r="35249" spans="62:62" x14ac:dyDescent="0.2">
      <c r="BJ35249" s="201"/>
    </row>
    <row r="35250" spans="62:62" x14ac:dyDescent="0.2">
      <c r="BJ35250" s="201"/>
    </row>
    <row r="35251" spans="62:62" x14ac:dyDescent="0.2">
      <c r="BJ35251" s="201"/>
    </row>
    <row r="35252" spans="62:62" x14ac:dyDescent="0.2">
      <c r="BJ35252" s="201"/>
    </row>
    <row r="35253" spans="62:62" x14ac:dyDescent="0.2">
      <c r="BJ35253" s="201"/>
    </row>
    <row r="35254" spans="62:62" x14ac:dyDescent="0.2">
      <c r="BJ35254" s="201"/>
    </row>
    <row r="35255" spans="62:62" x14ac:dyDescent="0.2">
      <c r="BJ35255" s="201"/>
    </row>
    <row r="35256" spans="62:62" x14ac:dyDescent="0.2">
      <c r="BJ35256" s="201"/>
    </row>
    <row r="35257" spans="62:62" x14ac:dyDescent="0.2">
      <c r="BJ35257" s="201"/>
    </row>
    <row r="35258" spans="62:62" x14ac:dyDescent="0.2">
      <c r="BJ35258" s="201"/>
    </row>
    <row r="35259" spans="62:62" x14ac:dyDescent="0.2">
      <c r="BJ35259" s="201"/>
    </row>
    <row r="35260" spans="62:62" x14ac:dyDescent="0.2">
      <c r="BJ35260" s="201"/>
    </row>
    <row r="35261" spans="62:62" x14ac:dyDescent="0.2">
      <c r="BJ35261" s="201"/>
    </row>
    <row r="35262" spans="62:62" x14ac:dyDescent="0.2">
      <c r="BJ35262" s="201"/>
    </row>
    <row r="35263" spans="62:62" x14ac:dyDescent="0.2">
      <c r="BJ35263" s="201"/>
    </row>
    <row r="35264" spans="62:62" x14ac:dyDescent="0.2">
      <c r="BJ35264" s="201"/>
    </row>
    <row r="35265" spans="62:62" x14ac:dyDescent="0.2">
      <c r="BJ35265" s="201"/>
    </row>
    <row r="35266" spans="62:62" x14ac:dyDescent="0.2">
      <c r="BJ35266" s="201"/>
    </row>
    <row r="35267" spans="62:62" x14ac:dyDescent="0.2">
      <c r="BJ35267" s="201"/>
    </row>
    <row r="35268" spans="62:62" x14ac:dyDescent="0.2">
      <c r="BJ35268" s="201"/>
    </row>
    <row r="35269" spans="62:62" x14ac:dyDescent="0.2">
      <c r="BJ35269" s="201"/>
    </row>
    <row r="35270" spans="62:62" x14ac:dyDescent="0.2">
      <c r="BJ35270" s="201"/>
    </row>
    <row r="35271" spans="62:62" x14ac:dyDescent="0.2">
      <c r="BJ35271" s="201"/>
    </row>
    <row r="35272" spans="62:62" x14ac:dyDescent="0.2">
      <c r="BJ35272" s="201"/>
    </row>
    <row r="35273" spans="62:62" x14ac:dyDescent="0.2">
      <c r="BJ35273" s="201"/>
    </row>
    <row r="35274" spans="62:62" x14ac:dyDescent="0.2">
      <c r="BJ35274" s="201"/>
    </row>
    <row r="35275" spans="62:62" x14ac:dyDescent="0.2">
      <c r="BJ35275" s="201"/>
    </row>
    <row r="35276" spans="62:62" x14ac:dyDescent="0.2">
      <c r="BJ35276" s="201"/>
    </row>
    <row r="35277" spans="62:62" x14ac:dyDescent="0.2">
      <c r="BJ35277" s="201"/>
    </row>
    <row r="35278" spans="62:62" x14ac:dyDescent="0.2">
      <c r="BJ35278" s="201"/>
    </row>
    <row r="35279" spans="62:62" x14ac:dyDescent="0.2">
      <c r="BJ35279" s="201"/>
    </row>
    <row r="35280" spans="62:62" x14ac:dyDescent="0.2">
      <c r="BJ35280" s="201"/>
    </row>
    <row r="35281" spans="62:62" x14ac:dyDescent="0.2">
      <c r="BJ35281" s="201"/>
    </row>
    <row r="35282" spans="62:62" x14ac:dyDescent="0.2">
      <c r="BJ35282" s="201"/>
    </row>
    <row r="35283" spans="62:62" x14ac:dyDescent="0.2">
      <c r="BJ35283" s="201"/>
    </row>
    <row r="35284" spans="62:62" x14ac:dyDescent="0.2">
      <c r="BJ35284" s="201"/>
    </row>
    <row r="35285" spans="62:62" x14ac:dyDescent="0.2">
      <c r="BJ35285" s="201"/>
    </row>
    <row r="35286" spans="62:62" x14ac:dyDescent="0.2">
      <c r="BJ35286" s="201"/>
    </row>
    <row r="35287" spans="62:62" x14ac:dyDescent="0.2">
      <c r="BJ35287" s="201"/>
    </row>
    <row r="35288" spans="62:62" x14ac:dyDescent="0.2">
      <c r="BJ35288" s="201"/>
    </row>
    <row r="35289" spans="62:62" x14ac:dyDescent="0.2">
      <c r="BJ35289" s="201"/>
    </row>
    <row r="35290" spans="62:62" x14ac:dyDescent="0.2">
      <c r="BJ35290" s="201"/>
    </row>
    <row r="35291" spans="62:62" x14ac:dyDescent="0.2">
      <c r="BJ35291" s="201"/>
    </row>
    <row r="35292" spans="62:62" x14ac:dyDescent="0.2">
      <c r="BJ35292" s="201"/>
    </row>
    <row r="35293" spans="62:62" x14ac:dyDescent="0.2">
      <c r="BJ35293" s="201"/>
    </row>
    <row r="35294" spans="62:62" x14ac:dyDescent="0.2">
      <c r="BJ35294" s="201"/>
    </row>
    <row r="35295" spans="62:62" x14ac:dyDescent="0.2">
      <c r="BJ35295" s="201"/>
    </row>
    <row r="35296" spans="62:62" x14ac:dyDescent="0.2">
      <c r="BJ35296" s="201"/>
    </row>
    <row r="35297" spans="62:62" x14ac:dyDescent="0.2">
      <c r="BJ35297" s="201"/>
    </row>
    <row r="35298" spans="62:62" x14ac:dyDescent="0.2">
      <c r="BJ35298" s="201"/>
    </row>
    <row r="35299" spans="62:62" x14ac:dyDescent="0.2">
      <c r="BJ35299" s="201"/>
    </row>
    <row r="35300" spans="62:62" x14ac:dyDescent="0.2">
      <c r="BJ35300" s="201"/>
    </row>
    <row r="35301" spans="62:62" x14ac:dyDescent="0.2">
      <c r="BJ35301" s="201"/>
    </row>
    <row r="35302" spans="62:62" x14ac:dyDescent="0.2">
      <c r="BJ35302" s="201"/>
    </row>
    <row r="35303" spans="62:62" x14ac:dyDescent="0.2">
      <c r="BJ35303" s="201"/>
    </row>
    <row r="35304" spans="62:62" x14ac:dyDescent="0.2">
      <c r="BJ35304" s="201"/>
    </row>
    <row r="35305" spans="62:62" x14ac:dyDescent="0.2">
      <c r="BJ35305" s="201"/>
    </row>
    <row r="35306" spans="62:62" x14ac:dyDescent="0.2">
      <c r="BJ35306" s="201"/>
    </row>
    <row r="35307" spans="62:62" x14ac:dyDescent="0.2">
      <c r="BJ35307" s="201"/>
    </row>
    <row r="35308" spans="62:62" x14ac:dyDescent="0.2">
      <c r="BJ35308" s="201"/>
    </row>
    <row r="35309" spans="62:62" x14ac:dyDescent="0.2">
      <c r="BJ35309" s="201"/>
    </row>
    <row r="35310" spans="62:62" x14ac:dyDescent="0.2">
      <c r="BJ35310" s="201"/>
    </row>
    <row r="35311" spans="62:62" x14ac:dyDescent="0.2">
      <c r="BJ35311" s="201"/>
    </row>
    <row r="35312" spans="62:62" x14ac:dyDescent="0.2">
      <c r="BJ35312" s="201"/>
    </row>
    <row r="35313" spans="62:62" x14ac:dyDescent="0.2">
      <c r="BJ35313" s="201"/>
    </row>
    <row r="35314" spans="62:62" x14ac:dyDescent="0.2">
      <c r="BJ35314" s="201"/>
    </row>
    <row r="35315" spans="62:62" x14ac:dyDescent="0.2">
      <c r="BJ35315" s="201"/>
    </row>
    <row r="35316" spans="62:62" x14ac:dyDescent="0.2">
      <c r="BJ35316" s="201"/>
    </row>
    <row r="35317" spans="62:62" x14ac:dyDescent="0.2">
      <c r="BJ35317" s="201"/>
    </row>
    <row r="35318" spans="62:62" x14ac:dyDescent="0.2">
      <c r="BJ35318" s="201"/>
    </row>
    <row r="35319" spans="62:62" x14ac:dyDescent="0.2">
      <c r="BJ35319" s="201"/>
    </row>
    <row r="35320" spans="62:62" x14ac:dyDescent="0.2">
      <c r="BJ35320" s="201"/>
    </row>
    <row r="35321" spans="62:62" x14ac:dyDescent="0.2">
      <c r="BJ35321" s="201"/>
    </row>
    <row r="35322" spans="62:62" x14ac:dyDescent="0.2">
      <c r="BJ35322" s="201"/>
    </row>
    <row r="35323" spans="62:62" x14ac:dyDescent="0.2">
      <c r="BJ35323" s="201"/>
    </row>
    <row r="35324" spans="62:62" x14ac:dyDescent="0.2">
      <c r="BJ35324" s="201"/>
    </row>
    <row r="35325" spans="62:62" x14ac:dyDescent="0.2">
      <c r="BJ35325" s="201"/>
    </row>
    <row r="35326" spans="62:62" x14ac:dyDescent="0.2">
      <c r="BJ35326" s="201"/>
    </row>
    <row r="35327" spans="62:62" x14ac:dyDescent="0.2">
      <c r="BJ35327" s="201"/>
    </row>
    <row r="35328" spans="62:62" x14ac:dyDescent="0.2">
      <c r="BJ35328" s="201"/>
    </row>
    <row r="35329" spans="62:62" x14ac:dyDescent="0.2">
      <c r="BJ35329" s="201"/>
    </row>
    <row r="35330" spans="62:62" x14ac:dyDescent="0.2">
      <c r="BJ35330" s="201"/>
    </row>
    <row r="35331" spans="62:62" x14ac:dyDescent="0.2">
      <c r="BJ35331" s="201"/>
    </row>
    <row r="35332" spans="62:62" x14ac:dyDescent="0.2">
      <c r="BJ35332" s="201"/>
    </row>
    <row r="35333" spans="62:62" x14ac:dyDescent="0.2">
      <c r="BJ35333" s="201"/>
    </row>
    <row r="35334" spans="62:62" x14ac:dyDescent="0.2">
      <c r="BJ35334" s="201"/>
    </row>
    <row r="35335" spans="62:62" x14ac:dyDescent="0.2">
      <c r="BJ35335" s="201"/>
    </row>
    <row r="35336" spans="62:62" x14ac:dyDescent="0.2">
      <c r="BJ35336" s="201"/>
    </row>
    <row r="35337" spans="62:62" x14ac:dyDescent="0.2">
      <c r="BJ35337" s="201"/>
    </row>
    <row r="35338" spans="62:62" x14ac:dyDescent="0.2">
      <c r="BJ35338" s="201"/>
    </row>
    <row r="35339" spans="62:62" x14ac:dyDescent="0.2">
      <c r="BJ35339" s="201"/>
    </row>
    <row r="35340" spans="62:62" x14ac:dyDescent="0.2">
      <c r="BJ35340" s="201"/>
    </row>
    <row r="35341" spans="62:62" x14ac:dyDescent="0.2">
      <c r="BJ35341" s="201"/>
    </row>
    <row r="35342" spans="62:62" x14ac:dyDescent="0.2">
      <c r="BJ35342" s="201"/>
    </row>
    <row r="35343" spans="62:62" x14ac:dyDescent="0.2">
      <c r="BJ35343" s="201"/>
    </row>
    <row r="35344" spans="62:62" x14ac:dyDescent="0.2">
      <c r="BJ35344" s="201"/>
    </row>
    <row r="35345" spans="62:62" x14ac:dyDescent="0.2">
      <c r="BJ35345" s="201"/>
    </row>
    <row r="35346" spans="62:62" x14ac:dyDescent="0.2">
      <c r="BJ35346" s="201"/>
    </row>
    <row r="35347" spans="62:62" x14ac:dyDescent="0.2">
      <c r="BJ35347" s="201"/>
    </row>
    <row r="35348" spans="62:62" x14ac:dyDescent="0.2">
      <c r="BJ35348" s="201"/>
    </row>
    <row r="35349" spans="62:62" x14ac:dyDescent="0.2">
      <c r="BJ35349" s="201"/>
    </row>
    <row r="35350" spans="62:62" x14ac:dyDescent="0.2">
      <c r="BJ35350" s="201"/>
    </row>
    <row r="35351" spans="62:62" x14ac:dyDescent="0.2">
      <c r="BJ35351" s="201"/>
    </row>
    <row r="35352" spans="62:62" x14ac:dyDescent="0.2">
      <c r="BJ35352" s="201"/>
    </row>
    <row r="35353" spans="62:62" x14ac:dyDescent="0.2">
      <c r="BJ35353" s="201"/>
    </row>
    <row r="35354" spans="62:62" x14ac:dyDescent="0.2">
      <c r="BJ35354" s="201"/>
    </row>
    <row r="35355" spans="62:62" x14ac:dyDescent="0.2">
      <c r="BJ35355" s="201"/>
    </row>
    <row r="35356" spans="62:62" x14ac:dyDescent="0.2">
      <c r="BJ35356" s="201"/>
    </row>
    <row r="35357" spans="62:62" x14ac:dyDescent="0.2">
      <c r="BJ35357" s="201"/>
    </row>
    <row r="35358" spans="62:62" x14ac:dyDescent="0.2">
      <c r="BJ35358" s="201"/>
    </row>
    <row r="35359" spans="62:62" x14ac:dyDescent="0.2">
      <c r="BJ35359" s="201"/>
    </row>
    <row r="35360" spans="62:62" x14ac:dyDescent="0.2">
      <c r="BJ35360" s="201"/>
    </row>
    <row r="35361" spans="62:62" x14ac:dyDescent="0.2">
      <c r="BJ35361" s="201"/>
    </row>
    <row r="35362" spans="62:62" x14ac:dyDescent="0.2">
      <c r="BJ35362" s="201"/>
    </row>
    <row r="35363" spans="62:62" x14ac:dyDescent="0.2">
      <c r="BJ35363" s="201"/>
    </row>
    <row r="35364" spans="62:62" x14ac:dyDescent="0.2">
      <c r="BJ35364" s="201"/>
    </row>
    <row r="35365" spans="62:62" x14ac:dyDescent="0.2">
      <c r="BJ35365" s="201"/>
    </row>
    <row r="35366" spans="62:62" x14ac:dyDescent="0.2">
      <c r="BJ35366" s="201"/>
    </row>
    <row r="35367" spans="62:62" x14ac:dyDescent="0.2">
      <c r="BJ35367" s="201"/>
    </row>
    <row r="35368" spans="62:62" x14ac:dyDescent="0.2">
      <c r="BJ35368" s="201"/>
    </row>
    <row r="35369" spans="62:62" x14ac:dyDescent="0.2">
      <c r="BJ35369" s="201"/>
    </row>
    <row r="35370" spans="62:62" x14ac:dyDescent="0.2">
      <c r="BJ35370" s="201"/>
    </row>
    <row r="35371" spans="62:62" x14ac:dyDescent="0.2">
      <c r="BJ35371" s="201"/>
    </row>
    <row r="35372" spans="62:62" x14ac:dyDescent="0.2">
      <c r="BJ35372" s="201"/>
    </row>
    <row r="35373" spans="62:62" x14ac:dyDescent="0.2">
      <c r="BJ35373" s="201"/>
    </row>
    <row r="35374" spans="62:62" x14ac:dyDescent="0.2">
      <c r="BJ35374" s="201"/>
    </row>
    <row r="35375" spans="62:62" x14ac:dyDescent="0.2">
      <c r="BJ35375" s="201"/>
    </row>
    <row r="35376" spans="62:62" x14ac:dyDescent="0.2">
      <c r="BJ35376" s="201"/>
    </row>
    <row r="35377" spans="62:62" x14ac:dyDescent="0.2">
      <c r="BJ35377" s="201"/>
    </row>
    <row r="35378" spans="62:62" x14ac:dyDescent="0.2">
      <c r="BJ35378" s="201"/>
    </row>
    <row r="35379" spans="62:62" x14ac:dyDescent="0.2">
      <c r="BJ35379" s="201"/>
    </row>
    <row r="35380" spans="62:62" x14ac:dyDescent="0.2">
      <c r="BJ35380" s="201"/>
    </row>
    <row r="35381" spans="62:62" x14ac:dyDescent="0.2">
      <c r="BJ35381" s="201"/>
    </row>
    <row r="35382" spans="62:62" x14ac:dyDescent="0.2">
      <c r="BJ35382" s="201"/>
    </row>
    <row r="35383" spans="62:62" x14ac:dyDescent="0.2">
      <c r="BJ35383" s="201"/>
    </row>
    <row r="35384" spans="62:62" x14ac:dyDescent="0.2">
      <c r="BJ35384" s="201"/>
    </row>
    <row r="35385" spans="62:62" x14ac:dyDescent="0.2">
      <c r="BJ35385" s="201"/>
    </row>
    <row r="35386" spans="62:62" x14ac:dyDescent="0.2">
      <c r="BJ35386" s="201"/>
    </row>
    <row r="35387" spans="62:62" x14ac:dyDescent="0.2">
      <c r="BJ35387" s="201"/>
    </row>
    <row r="35388" spans="62:62" x14ac:dyDescent="0.2">
      <c r="BJ35388" s="201"/>
    </row>
    <row r="35389" spans="62:62" x14ac:dyDescent="0.2">
      <c r="BJ35389" s="201"/>
    </row>
    <row r="35390" spans="62:62" x14ac:dyDescent="0.2">
      <c r="BJ35390" s="201"/>
    </row>
    <row r="35391" spans="62:62" x14ac:dyDescent="0.2">
      <c r="BJ35391" s="201"/>
    </row>
    <row r="35392" spans="62:62" x14ac:dyDescent="0.2">
      <c r="BJ35392" s="201"/>
    </row>
    <row r="35393" spans="62:62" x14ac:dyDescent="0.2">
      <c r="BJ35393" s="201"/>
    </row>
    <row r="35394" spans="62:62" x14ac:dyDescent="0.2">
      <c r="BJ35394" s="201"/>
    </row>
    <row r="35395" spans="62:62" x14ac:dyDescent="0.2">
      <c r="BJ35395" s="201"/>
    </row>
    <row r="35396" spans="62:62" x14ac:dyDescent="0.2">
      <c r="BJ35396" s="201"/>
    </row>
    <row r="35397" spans="62:62" x14ac:dyDescent="0.2">
      <c r="BJ35397" s="201"/>
    </row>
    <row r="35398" spans="62:62" x14ac:dyDescent="0.2">
      <c r="BJ35398" s="201"/>
    </row>
    <row r="35399" spans="62:62" x14ac:dyDescent="0.2">
      <c r="BJ35399" s="201"/>
    </row>
    <row r="35400" spans="62:62" x14ac:dyDescent="0.2">
      <c r="BJ35400" s="201"/>
    </row>
    <row r="35401" spans="62:62" x14ac:dyDescent="0.2">
      <c r="BJ35401" s="201"/>
    </row>
    <row r="35402" spans="62:62" x14ac:dyDescent="0.2">
      <c r="BJ35402" s="201"/>
    </row>
    <row r="35403" spans="62:62" x14ac:dyDescent="0.2">
      <c r="BJ35403" s="201"/>
    </row>
    <row r="35404" spans="62:62" x14ac:dyDescent="0.2">
      <c r="BJ35404" s="201"/>
    </row>
    <row r="35405" spans="62:62" x14ac:dyDescent="0.2">
      <c r="BJ35405" s="201"/>
    </row>
    <row r="35406" spans="62:62" x14ac:dyDescent="0.2">
      <c r="BJ35406" s="201"/>
    </row>
    <row r="35407" spans="62:62" x14ac:dyDescent="0.2">
      <c r="BJ35407" s="201"/>
    </row>
    <row r="35408" spans="62:62" x14ac:dyDescent="0.2">
      <c r="BJ35408" s="201"/>
    </row>
    <row r="35409" spans="62:62" x14ac:dyDescent="0.2">
      <c r="BJ35409" s="201"/>
    </row>
    <row r="35410" spans="62:62" x14ac:dyDescent="0.2">
      <c r="BJ35410" s="201"/>
    </row>
    <row r="35411" spans="62:62" x14ac:dyDescent="0.2">
      <c r="BJ35411" s="201"/>
    </row>
    <row r="35412" spans="62:62" x14ac:dyDescent="0.2">
      <c r="BJ35412" s="201"/>
    </row>
    <row r="35413" spans="62:62" x14ac:dyDescent="0.2">
      <c r="BJ35413" s="201"/>
    </row>
    <row r="35414" spans="62:62" x14ac:dyDescent="0.2">
      <c r="BJ35414" s="201"/>
    </row>
    <row r="35415" spans="62:62" x14ac:dyDescent="0.2">
      <c r="BJ35415" s="201"/>
    </row>
    <row r="35416" spans="62:62" x14ac:dyDescent="0.2">
      <c r="BJ35416" s="201"/>
    </row>
    <row r="35417" spans="62:62" x14ac:dyDescent="0.2">
      <c r="BJ35417" s="201"/>
    </row>
    <row r="35418" spans="62:62" x14ac:dyDescent="0.2">
      <c r="BJ35418" s="201"/>
    </row>
    <row r="35419" spans="62:62" x14ac:dyDescent="0.2">
      <c r="BJ35419" s="201"/>
    </row>
    <row r="35420" spans="62:62" x14ac:dyDescent="0.2">
      <c r="BJ35420" s="201"/>
    </row>
    <row r="35421" spans="62:62" x14ac:dyDescent="0.2">
      <c r="BJ35421" s="201"/>
    </row>
    <row r="35422" spans="62:62" x14ac:dyDescent="0.2">
      <c r="BJ35422" s="201"/>
    </row>
    <row r="35423" spans="62:62" x14ac:dyDescent="0.2">
      <c r="BJ35423" s="201"/>
    </row>
    <row r="35424" spans="62:62" x14ac:dyDescent="0.2">
      <c r="BJ35424" s="201"/>
    </row>
    <row r="35425" spans="62:62" x14ac:dyDescent="0.2">
      <c r="BJ35425" s="201"/>
    </row>
    <row r="35426" spans="62:62" x14ac:dyDescent="0.2">
      <c r="BJ35426" s="201"/>
    </row>
    <row r="35427" spans="62:62" x14ac:dyDescent="0.2">
      <c r="BJ35427" s="201"/>
    </row>
    <row r="35428" spans="62:62" x14ac:dyDescent="0.2">
      <c r="BJ35428" s="201"/>
    </row>
    <row r="35429" spans="62:62" x14ac:dyDescent="0.2">
      <c r="BJ35429" s="201"/>
    </row>
    <row r="35430" spans="62:62" x14ac:dyDescent="0.2">
      <c r="BJ35430" s="201"/>
    </row>
    <row r="35431" spans="62:62" x14ac:dyDescent="0.2">
      <c r="BJ35431" s="201"/>
    </row>
    <row r="35432" spans="62:62" x14ac:dyDescent="0.2">
      <c r="BJ35432" s="201"/>
    </row>
    <row r="35433" spans="62:62" x14ac:dyDescent="0.2">
      <c r="BJ35433" s="201"/>
    </row>
    <row r="35434" spans="62:62" x14ac:dyDescent="0.2">
      <c r="BJ35434" s="201"/>
    </row>
    <row r="35435" spans="62:62" x14ac:dyDescent="0.2">
      <c r="BJ35435" s="201"/>
    </row>
    <row r="35436" spans="62:62" x14ac:dyDescent="0.2">
      <c r="BJ35436" s="201"/>
    </row>
    <row r="35437" spans="62:62" x14ac:dyDescent="0.2">
      <c r="BJ35437" s="201"/>
    </row>
    <row r="35438" spans="62:62" x14ac:dyDescent="0.2">
      <c r="BJ35438" s="201"/>
    </row>
    <row r="35439" spans="62:62" x14ac:dyDescent="0.2">
      <c r="BJ35439" s="201"/>
    </row>
    <row r="35440" spans="62:62" x14ac:dyDescent="0.2">
      <c r="BJ35440" s="201"/>
    </row>
    <row r="35441" spans="62:62" x14ac:dyDescent="0.2">
      <c r="BJ35441" s="201"/>
    </row>
    <row r="35442" spans="62:62" x14ac:dyDescent="0.2">
      <c r="BJ35442" s="201"/>
    </row>
    <row r="35443" spans="62:62" x14ac:dyDescent="0.2">
      <c r="BJ35443" s="201"/>
    </row>
    <row r="35444" spans="62:62" x14ac:dyDescent="0.2">
      <c r="BJ35444" s="201"/>
    </row>
    <row r="35445" spans="62:62" x14ac:dyDescent="0.2">
      <c r="BJ35445" s="201"/>
    </row>
    <row r="35446" spans="62:62" x14ac:dyDescent="0.2">
      <c r="BJ35446" s="201"/>
    </row>
    <row r="35447" spans="62:62" x14ac:dyDescent="0.2">
      <c r="BJ35447" s="201"/>
    </row>
    <row r="35448" spans="62:62" x14ac:dyDescent="0.2">
      <c r="BJ35448" s="201"/>
    </row>
    <row r="35449" spans="62:62" x14ac:dyDescent="0.2">
      <c r="BJ35449" s="201"/>
    </row>
    <row r="35450" spans="62:62" x14ac:dyDescent="0.2">
      <c r="BJ35450" s="201"/>
    </row>
    <row r="35451" spans="62:62" x14ac:dyDescent="0.2">
      <c r="BJ35451" s="201"/>
    </row>
    <row r="35452" spans="62:62" x14ac:dyDescent="0.2">
      <c r="BJ35452" s="201"/>
    </row>
    <row r="35453" spans="62:62" x14ac:dyDescent="0.2">
      <c r="BJ35453" s="201"/>
    </row>
    <row r="35454" spans="62:62" x14ac:dyDescent="0.2">
      <c r="BJ35454" s="201"/>
    </row>
    <row r="35455" spans="62:62" x14ac:dyDescent="0.2">
      <c r="BJ35455" s="201"/>
    </row>
    <row r="35456" spans="62:62" x14ac:dyDescent="0.2">
      <c r="BJ35456" s="201"/>
    </row>
    <row r="35457" spans="62:62" x14ac:dyDescent="0.2">
      <c r="BJ35457" s="201"/>
    </row>
    <row r="35458" spans="62:62" x14ac:dyDescent="0.2">
      <c r="BJ35458" s="201"/>
    </row>
    <row r="35459" spans="62:62" x14ac:dyDescent="0.2">
      <c r="BJ35459" s="201"/>
    </row>
    <row r="35460" spans="62:62" x14ac:dyDescent="0.2">
      <c r="BJ35460" s="201"/>
    </row>
    <row r="35461" spans="62:62" x14ac:dyDescent="0.2">
      <c r="BJ35461" s="201"/>
    </row>
    <row r="35462" spans="62:62" x14ac:dyDescent="0.2">
      <c r="BJ35462" s="201"/>
    </row>
    <row r="35463" spans="62:62" x14ac:dyDescent="0.2">
      <c r="BJ35463" s="201"/>
    </row>
    <row r="35464" spans="62:62" x14ac:dyDescent="0.2">
      <c r="BJ35464" s="201"/>
    </row>
    <row r="35465" spans="62:62" x14ac:dyDescent="0.2">
      <c r="BJ35465" s="201"/>
    </row>
    <row r="35466" spans="62:62" x14ac:dyDescent="0.2">
      <c r="BJ35466" s="201"/>
    </row>
    <row r="35467" spans="62:62" x14ac:dyDescent="0.2">
      <c r="BJ35467" s="201"/>
    </row>
    <row r="35468" spans="62:62" x14ac:dyDescent="0.2">
      <c r="BJ35468" s="201"/>
    </row>
    <row r="35469" spans="62:62" x14ac:dyDescent="0.2">
      <c r="BJ35469" s="201"/>
    </row>
    <row r="35470" spans="62:62" x14ac:dyDescent="0.2">
      <c r="BJ35470" s="201"/>
    </row>
    <row r="35471" spans="62:62" x14ac:dyDescent="0.2">
      <c r="BJ35471" s="201"/>
    </row>
    <row r="35472" spans="62:62" x14ac:dyDescent="0.2">
      <c r="BJ35472" s="201"/>
    </row>
    <row r="35473" spans="62:62" x14ac:dyDescent="0.2">
      <c r="BJ35473" s="201"/>
    </row>
    <row r="35474" spans="62:62" x14ac:dyDescent="0.2">
      <c r="BJ35474" s="201"/>
    </row>
    <row r="35475" spans="62:62" x14ac:dyDescent="0.2">
      <c r="BJ35475" s="201"/>
    </row>
    <row r="35476" spans="62:62" x14ac:dyDescent="0.2">
      <c r="BJ35476" s="201"/>
    </row>
    <row r="35477" spans="62:62" x14ac:dyDescent="0.2">
      <c r="BJ35477" s="201"/>
    </row>
    <row r="35478" spans="62:62" x14ac:dyDescent="0.2">
      <c r="BJ35478" s="201"/>
    </row>
    <row r="35479" spans="62:62" x14ac:dyDescent="0.2">
      <c r="BJ35479" s="201"/>
    </row>
    <row r="35480" spans="62:62" x14ac:dyDescent="0.2">
      <c r="BJ35480" s="201"/>
    </row>
    <row r="35481" spans="62:62" x14ac:dyDescent="0.2">
      <c r="BJ35481" s="201"/>
    </row>
    <row r="35482" spans="62:62" x14ac:dyDescent="0.2">
      <c r="BJ35482" s="201"/>
    </row>
    <row r="35483" spans="62:62" x14ac:dyDescent="0.2">
      <c r="BJ35483" s="201"/>
    </row>
    <row r="35484" spans="62:62" x14ac:dyDescent="0.2">
      <c r="BJ35484" s="201"/>
    </row>
    <row r="35485" spans="62:62" x14ac:dyDescent="0.2">
      <c r="BJ35485" s="201"/>
    </row>
    <row r="35486" spans="62:62" x14ac:dyDescent="0.2">
      <c r="BJ35486" s="201"/>
    </row>
    <row r="35487" spans="62:62" x14ac:dyDescent="0.2">
      <c r="BJ35487" s="201"/>
    </row>
    <row r="35488" spans="62:62" x14ac:dyDescent="0.2">
      <c r="BJ35488" s="201"/>
    </row>
    <row r="35489" spans="62:62" x14ac:dyDescent="0.2">
      <c r="BJ35489" s="201"/>
    </row>
    <row r="35490" spans="62:62" x14ac:dyDescent="0.2">
      <c r="BJ35490" s="201"/>
    </row>
    <row r="35491" spans="62:62" x14ac:dyDescent="0.2">
      <c r="BJ35491" s="201"/>
    </row>
    <row r="35492" spans="62:62" x14ac:dyDescent="0.2">
      <c r="BJ35492" s="201"/>
    </row>
    <row r="35493" spans="62:62" x14ac:dyDescent="0.2">
      <c r="BJ35493" s="201"/>
    </row>
    <row r="35494" spans="62:62" x14ac:dyDescent="0.2">
      <c r="BJ35494" s="201"/>
    </row>
    <row r="35495" spans="62:62" x14ac:dyDescent="0.2">
      <c r="BJ35495" s="201"/>
    </row>
    <row r="35496" spans="62:62" x14ac:dyDescent="0.2">
      <c r="BJ35496" s="201"/>
    </row>
    <row r="35497" spans="62:62" x14ac:dyDescent="0.2">
      <c r="BJ35497" s="201"/>
    </row>
    <row r="35498" spans="62:62" x14ac:dyDescent="0.2">
      <c r="BJ35498" s="201"/>
    </row>
    <row r="35499" spans="62:62" x14ac:dyDescent="0.2">
      <c r="BJ35499" s="201"/>
    </row>
    <row r="35500" spans="62:62" x14ac:dyDescent="0.2">
      <c r="BJ35500" s="201"/>
    </row>
    <row r="35501" spans="62:62" x14ac:dyDescent="0.2">
      <c r="BJ35501" s="201"/>
    </row>
    <row r="35502" spans="62:62" x14ac:dyDescent="0.2">
      <c r="BJ35502" s="201"/>
    </row>
    <row r="35503" spans="62:62" x14ac:dyDescent="0.2">
      <c r="BJ35503" s="201"/>
    </row>
    <row r="35504" spans="62:62" x14ac:dyDescent="0.2">
      <c r="BJ35504" s="201"/>
    </row>
    <row r="35505" spans="62:62" x14ac:dyDescent="0.2">
      <c r="BJ35505" s="201"/>
    </row>
    <row r="35506" spans="62:62" x14ac:dyDescent="0.2">
      <c r="BJ35506" s="201"/>
    </row>
    <row r="35507" spans="62:62" x14ac:dyDescent="0.2">
      <c r="BJ35507" s="201"/>
    </row>
    <row r="35508" spans="62:62" x14ac:dyDescent="0.2">
      <c r="BJ35508" s="201"/>
    </row>
    <row r="35509" spans="62:62" x14ac:dyDescent="0.2">
      <c r="BJ35509" s="201"/>
    </row>
    <row r="35510" spans="62:62" x14ac:dyDescent="0.2">
      <c r="BJ35510" s="201"/>
    </row>
    <row r="35511" spans="62:62" x14ac:dyDescent="0.2">
      <c r="BJ35511" s="201"/>
    </row>
    <row r="35512" spans="62:62" x14ac:dyDescent="0.2">
      <c r="BJ35512" s="201"/>
    </row>
    <row r="35513" spans="62:62" x14ac:dyDescent="0.2">
      <c r="BJ35513" s="201"/>
    </row>
    <row r="35514" spans="62:62" x14ac:dyDescent="0.2">
      <c r="BJ35514" s="201"/>
    </row>
    <row r="35515" spans="62:62" x14ac:dyDescent="0.2">
      <c r="BJ35515" s="201"/>
    </row>
    <row r="35516" spans="62:62" x14ac:dyDescent="0.2">
      <c r="BJ35516" s="201"/>
    </row>
    <row r="35517" spans="62:62" x14ac:dyDescent="0.2">
      <c r="BJ35517" s="201"/>
    </row>
    <row r="35518" spans="62:62" x14ac:dyDescent="0.2">
      <c r="BJ35518" s="201"/>
    </row>
    <row r="35519" spans="62:62" x14ac:dyDescent="0.2">
      <c r="BJ35519" s="201"/>
    </row>
    <row r="35520" spans="62:62" x14ac:dyDescent="0.2">
      <c r="BJ35520" s="201"/>
    </row>
    <row r="35521" spans="62:62" x14ac:dyDescent="0.2">
      <c r="BJ35521" s="201"/>
    </row>
    <row r="35522" spans="62:62" x14ac:dyDescent="0.2">
      <c r="BJ35522" s="201"/>
    </row>
    <row r="35523" spans="62:62" x14ac:dyDescent="0.2">
      <c r="BJ35523" s="201"/>
    </row>
    <row r="35524" spans="62:62" x14ac:dyDescent="0.2">
      <c r="BJ35524" s="201"/>
    </row>
    <row r="35525" spans="62:62" x14ac:dyDescent="0.2">
      <c r="BJ35525" s="201"/>
    </row>
    <row r="35526" spans="62:62" x14ac:dyDescent="0.2">
      <c r="BJ35526" s="201"/>
    </row>
    <row r="35527" spans="62:62" x14ac:dyDescent="0.2">
      <c r="BJ35527" s="201"/>
    </row>
    <row r="35528" spans="62:62" x14ac:dyDescent="0.2">
      <c r="BJ35528" s="201"/>
    </row>
    <row r="35529" spans="62:62" x14ac:dyDescent="0.2">
      <c r="BJ35529" s="201"/>
    </row>
    <row r="35530" spans="62:62" x14ac:dyDescent="0.2">
      <c r="BJ35530" s="201"/>
    </row>
    <row r="35531" spans="62:62" x14ac:dyDescent="0.2">
      <c r="BJ35531" s="201"/>
    </row>
    <row r="35532" spans="62:62" x14ac:dyDescent="0.2">
      <c r="BJ35532" s="201"/>
    </row>
    <row r="35533" spans="62:62" x14ac:dyDescent="0.2">
      <c r="BJ35533" s="201"/>
    </row>
    <row r="35534" spans="62:62" x14ac:dyDescent="0.2">
      <c r="BJ35534" s="201"/>
    </row>
    <row r="35535" spans="62:62" x14ac:dyDescent="0.2">
      <c r="BJ35535" s="201"/>
    </row>
    <row r="35536" spans="62:62" x14ac:dyDescent="0.2">
      <c r="BJ35536" s="201"/>
    </row>
    <row r="35537" spans="62:62" x14ac:dyDescent="0.2">
      <c r="BJ35537" s="201"/>
    </row>
    <row r="35538" spans="62:62" x14ac:dyDescent="0.2">
      <c r="BJ35538" s="201"/>
    </row>
    <row r="35539" spans="62:62" x14ac:dyDescent="0.2">
      <c r="BJ35539" s="201"/>
    </row>
    <row r="35540" spans="62:62" x14ac:dyDescent="0.2">
      <c r="BJ35540" s="201"/>
    </row>
    <row r="35541" spans="62:62" x14ac:dyDescent="0.2">
      <c r="BJ35541" s="201"/>
    </row>
    <row r="35542" spans="62:62" x14ac:dyDescent="0.2">
      <c r="BJ35542" s="201"/>
    </row>
    <row r="35543" spans="62:62" x14ac:dyDescent="0.2">
      <c r="BJ35543" s="201"/>
    </row>
    <row r="35544" spans="62:62" x14ac:dyDescent="0.2">
      <c r="BJ35544" s="201"/>
    </row>
    <row r="35545" spans="62:62" x14ac:dyDescent="0.2">
      <c r="BJ35545" s="201"/>
    </row>
    <row r="35546" spans="62:62" x14ac:dyDescent="0.2">
      <c r="BJ35546" s="201"/>
    </row>
    <row r="35547" spans="62:62" x14ac:dyDescent="0.2">
      <c r="BJ35547" s="201"/>
    </row>
    <row r="35548" spans="62:62" x14ac:dyDescent="0.2">
      <c r="BJ35548" s="201"/>
    </row>
    <row r="35549" spans="62:62" x14ac:dyDescent="0.2">
      <c r="BJ35549" s="201"/>
    </row>
    <row r="35550" spans="62:62" x14ac:dyDescent="0.2">
      <c r="BJ35550" s="201"/>
    </row>
    <row r="35551" spans="62:62" x14ac:dyDescent="0.2">
      <c r="BJ35551" s="201"/>
    </row>
    <row r="35552" spans="62:62" x14ac:dyDescent="0.2">
      <c r="BJ35552" s="201"/>
    </row>
    <row r="35553" spans="62:62" x14ac:dyDescent="0.2">
      <c r="BJ35553" s="201"/>
    </row>
    <row r="35554" spans="62:62" x14ac:dyDescent="0.2">
      <c r="BJ35554" s="201"/>
    </row>
    <row r="35555" spans="62:62" x14ac:dyDescent="0.2">
      <c r="BJ35555" s="201"/>
    </row>
    <row r="35556" spans="62:62" x14ac:dyDescent="0.2">
      <c r="BJ35556" s="201"/>
    </row>
    <row r="35557" spans="62:62" x14ac:dyDescent="0.2">
      <c r="BJ35557" s="201"/>
    </row>
    <row r="35558" spans="62:62" x14ac:dyDescent="0.2">
      <c r="BJ35558" s="201"/>
    </row>
    <row r="35559" spans="62:62" x14ac:dyDescent="0.2">
      <c r="BJ35559" s="201"/>
    </row>
    <row r="35560" spans="62:62" x14ac:dyDescent="0.2">
      <c r="BJ35560" s="201"/>
    </row>
    <row r="35561" spans="62:62" x14ac:dyDescent="0.2">
      <c r="BJ35561" s="201"/>
    </row>
    <row r="35562" spans="62:62" x14ac:dyDescent="0.2">
      <c r="BJ35562" s="201"/>
    </row>
    <row r="35563" spans="62:62" x14ac:dyDescent="0.2">
      <c r="BJ35563" s="201"/>
    </row>
    <row r="35564" spans="62:62" x14ac:dyDescent="0.2">
      <c r="BJ35564" s="201"/>
    </row>
    <row r="35565" spans="62:62" x14ac:dyDescent="0.2">
      <c r="BJ35565" s="201"/>
    </row>
    <row r="35566" spans="62:62" x14ac:dyDescent="0.2">
      <c r="BJ35566" s="201"/>
    </row>
    <row r="35567" spans="62:62" x14ac:dyDescent="0.2">
      <c r="BJ35567" s="201"/>
    </row>
    <row r="35568" spans="62:62" x14ac:dyDescent="0.2">
      <c r="BJ35568" s="201"/>
    </row>
    <row r="35569" spans="62:62" x14ac:dyDescent="0.2">
      <c r="BJ35569" s="201"/>
    </row>
    <row r="35570" spans="62:62" x14ac:dyDescent="0.2">
      <c r="BJ35570" s="201"/>
    </row>
    <row r="35571" spans="62:62" x14ac:dyDescent="0.2">
      <c r="BJ35571" s="201"/>
    </row>
    <row r="35572" spans="62:62" x14ac:dyDescent="0.2">
      <c r="BJ35572" s="201"/>
    </row>
    <row r="35573" spans="62:62" x14ac:dyDescent="0.2">
      <c r="BJ35573" s="201"/>
    </row>
    <row r="35574" spans="62:62" x14ac:dyDescent="0.2">
      <c r="BJ35574" s="201"/>
    </row>
    <row r="35575" spans="62:62" x14ac:dyDescent="0.2">
      <c r="BJ35575" s="201"/>
    </row>
    <row r="35576" spans="62:62" x14ac:dyDescent="0.2">
      <c r="BJ35576" s="201"/>
    </row>
    <row r="35577" spans="62:62" x14ac:dyDescent="0.2">
      <c r="BJ35577" s="201"/>
    </row>
    <row r="35578" spans="62:62" x14ac:dyDescent="0.2">
      <c r="BJ35578" s="201"/>
    </row>
    <row r="35579" spans="62:62" x14ac:dyDescent="0.2">
      <c r="BJ35579" s="201"/>
    </row>
    <row r="35580" spans="62:62" x14ac:dyDescent="0.2">
      <c r="BJ35580" s="201"/>
    </row>
    <row r="35581" spans="62:62" x14ac:dyDescent="0.2">
      <c r="BJ35581" s="201"/>
    </row>
    <row r="35582" spans="62:62" x14ac:dyDescent="0.2">
      <c r="BJ35582" s="201"/>
    </row>
    <row r="35583" spans="62:62" x14ac:dyDescent="0.2">
      <c r="BJ35583" s="201"/>
    </row>
    <row r="35584" spans="62:62" x14ac:dyDescent="0.2">
      <c r="BJ35584" s="201"/>
    </row>
    <row r="35585" spans="62:62" x14ac:dyDescent="0.2">
      <c r="BJ35585" s="201"/>
    </row>
    <row r="35586" spans="62:62" x14ac:dyDescent="0.2">
      <c r="BJ35586" s="201"/>
    </row>
    <row r="35587" spans="62:62" x14ac:dyDescent="0.2">
      <c r="BJ35587" s="201"/>
    </row>
    <row r="35588" spans="62:62" x14ac:dyDescent="0.2">
      <c r="BJ35588" s="201"/>
    </row>
    <row r="35589" spans="62:62" x14ac:dyDescent="0.2">
      <c r="BJ35589" s="201"/>
    </row>
    <row r="35590" spans="62:62" x14ac:dyDescent="0.2">
      <c r="BJ35590" s="201"/>
    </row>
    <row r="35591" spans="62:62" x14ac:dyDescent="0.2">
      <c r="BJ35591" s="201"/>
    </row>
    <row r="35592" spans="62:62" x14ac:dyDescent="0.2">
      <c r="BJ35592" s="201"/>
    </row>
    <row r="35593" spans="62:62" x14ac:dyDescent="0.2">
      <c r="BJ35593" s="201"/>
    </row>
    <row r="35594" spans="62:62" x14ac:dyDescent="0.2">
      <c r="BJ35594" s="201"/>
    </row>
    <row r="35595" spans="62:62" x14ac:dyDescent="0.2">
      <c r="BJ35595" s="201"/>
    </row>
    <row r="35596" spans="62:62" x14ac:dyDescent="0.2">
      <c r="BJ35596" s="201"/>
    </row>
    <row r="35597" spans="62:62" x14ac:dyDescent="0.2">
      <c r="BJ35597" s="201"/>
    </row>
    <row r="35598" spans="62:62" x14ac:dyDescent="0.2">
      <c r="BJ35598" s="201"/>
    </row>
    <row r="35599" spans="62:62" x14ac:dyDescent="0.2">
      <c r="BJ35599" s="201"/>
    </row>
    <row r="35600" spans="62:62" x14ac:dyDescent="0.2">
      <c r="BJ35600" s="201"/>
    </row>
    <row r="35601" spans="62:62" x14ac:dyDescent="0.2">
      <c r="BJ35601" s="201"/>
    </row>
    <row r="35602" spans="62:62" x14ac:dyDescent="0.2">
      <c r="BJ35602" s="201"/>
    </row>
    <row r="35603" spans="62:62" x14ac:dyDescent="0.2">
      <c r="BJ35603" s="201"/>
    </row>
    <row r="35604" spans="62:62" x14ac:dyDescent="0.2">
      <c r="BJ35604" s="201"/>
    </row>
    <row r="35605" spans="62:62" x14ac:dyDescent="0.2">
      <c r="BJ35605" s="201"/>
    </row>
    <row r="35606" spans="62:62" x14ac:dyDescent="0.2">
      <c r="BJ35606" s="201"/>
    </row>
    <row r="35607" spans="62:62" x14ac:dyDescent="0.2">
      <c r="BJ35607" s="201"/>
    </row>
    <row r="35608" spans="62:62" x14ac:dyDescent="0.2">
      <c r="BJ35608" s="201"/>
    </row>
    <row r="35609" spans="62:62" x14ac:dyDescent="0.2">
      <c r="BJ35609" s="201"/>
    </row>
    <row r="35610" spans="62:62" x14ac:dyDescent="0.2">
      <c r="BJ35610" s="201"/>
    </row>
    <row r="35611" spans="62:62" x14ac:dyDescent="0.2">
      <c r="BJ35611" s="201"/>
    </row>
    <row r="35612" spans="62:62" x14ac:dyDescent="0.2">
      <c r="BJ35612" s="201"/>
    </row>
    <row r="35613" spans="62:62" x14ac:dyDescent="0.2">
      <c r="BJ35613" s="201"/>
    </row>
    <row r="35614" spans="62:62" x14ac:dyDescent="0.2">
      <c r="BJ35614" s="201"/>
    </row>
    <row r="35615" spans="62:62" x14ac:dyDescent="0.2">
      <c r="BJ35615" s="201"/>
    </row>
    <row r="35616" spans="62:62" x14ac:dyDescent="0.2">
      <c r="BJ35616" s="201"/>
    </row>
    <row r="35617" spans="62:62" x14ac:dyDescent="0.2">
      <c r="BJ35617" s="201"/>
    </row>
    <row r="35618" spans="62:62" x14ac:dyDescent="0.2">
      <c r="BJ35618" s="201"/>
    </row>
    <row r="35619" spans="62:62" x14ac:dyDescent="0.2">
      <c r="BJ35619" s="201"/>
    </row>
    <row r="35620" spans="62:62" x14ac:dyDescent="0.2">
      <c r="BJ35620" s="201"/>
    </row>
    <row r="35621" spans="62:62" x14ac:dyDescent="0.2">
      <c r="BJ35621" s="201"/>
    </row>
    <row r="35622" spans="62:62" x14ac:dyDescent="0.2">
      <c r="BJ35622" s="201"/>
    </row>
    <row r="35623" spans="62:62" x14ac:dyDescent="0.2">
      <c r="BJ35623" s="201"/>
    </row>
    <row r="35624" spans="62:62" x14ac:dyDescent="0.2">
      <c r="BJ35624" s="201"/>
    </row>
    <row r="35625" spans="62:62" x14ac:dyDescent="0.2">
      <c r="BJ35625" s="201"/>
    </row>
    <row r="35626" spans="62:62" x14ac:dyDescent="0.2">
      <c r="BJ35626" s="201"/>
    </row>
    <row r="35627" spans="62:62" x14ac:dyDescent="0.2">
      <c r="BJ35627" s="201"/>
    </row>
    <row r="35628" spans="62:62" x14ac:dyDescent="0.2">
      <c r="BJ35628" s="201"/>
    </row>
    <row r="35629" spans="62:62" x14ac:dyDescent="0.2">
      <c r="BJ35629" s="201"/>
    </row>
    <row r="35630" spans="62:62" x14ac:dyDescent="0.2">
      <c r="BJ35630" s="201"/>
    </row>
    <row r="35631" spans="62:62" x14ac:dyDescent="0.2">
      <c r="BJ35631" s="201"/>
    </row>
    <row r="35632" spans="62:62" x14ac:dyDescent="0.2">
      <c r="BJ35632" s="201"/>
    </row>
    <row r="35633" spans="62:62" x14ac:dyDescent="0.2">
      <c r="BJ35633" s="201"/>
    </row>
    <row r="35634" spans="62:62" x14ac:dyDescent="0.2">
      <c r="BJ35634" s="201"/>
    </row>
    <row r="35635" spans="62:62" x14ac:dyDescent="0.2">
      <c r="BJ35635" s="201"/>
    </row>
    <row r="35636" spans="62:62" x14ac:dyDescent="0.2">
      <c r="BJ35636" s="201"/>
    </row>
    <row r="35637" spans="62:62" x14ac:dyDescent="0.2">
      <c r="BJ35637" s="201"/>
    </row>
    <row r="35638" spans="62:62" x14ac:dyDescent="0.2">
      <c r="BJ35638" s="201"/>
    </row>
    <row r="35639" spans="62:62" x14ac:dyDescent="0.2">
      <c r="BJ35639" s="201"/>
    </row>
    <row r="35640" spans="62:62" x14ac:dyDescent="0.2">
      <c r="BJ35640" s="201"/>
    </row>
    <row r="35641" spans="62:62" x14ac:dyDescent="0.2">
      <c r="BJ35641" s="201"/>
    </row>
    <row r="35642" spans="62:62" x14ac:dyDescent="0.2">
      <c r="BJ35642" s="201"/>
    </row>
    <row r="35643" spans="62:62" x14ac:dyDescent="0.2">
      <c r="BJ35643" s="201"/>
    </row>
    <row r="35644" spans="62:62" x14ac:dyDescent="0.2">
      <c r="BJ35644" s="201"/>
    </row>
    <row r="35645" spans="62:62" x14ac:dyDescent="0.2">
      <c r="BJ35645" s="201"/>
    </row>
    <row r="35646" spans="62:62" x14ac:dyDescent="0.2">
      <c r="BJ35646" s="201"/>
    </row>
    <row r="35647" spans="62:62" x14ac:dyDescent="0.2">
      <c r="BJ35647" s="201"/>
    </row>
    <row r="35648" spans="62:62" x14ac:dyDescent="0.2">
      <c r="BJ35648" s="201"/>
    </row>
    <row r="35649" spans="62:62" x14ac:dyDescent="0.2">
      <c r="BJ35649" s="201"/>
    </row>
    <row r="35650" spans="62:62" x14ac:dyDescent="0.2">
      <c r="BJ35650" s="201"/>
    </row>
    <row r="35651" spans="62:62" x14ac:dyDescent="0.2">
      <c r="BJ35651" s="201"/>
    </row>
    <row r="35652" spans="62:62" x14ac:dyDescent="0.2">
      <c r="BJ35652" s="201"/>
    </row>
    <row r="35653" spans="62:62" x14ac:dyDescent="0.2">
      <c r="BJ35653" s="201"/>
    </row>
    <row r="35654" spans="62:62" x14ac:dyDescent="0.2">
      <c r="BJ35654" s="201"/>
    </row>
    <row r="35655" spans="62:62" x14ac:dyDescent="0.2">
      <c r="BJ35655" s="201"/>
    </row>
    <row r="35656" spans="62:62" x14ac:dyDescent="0.2">
      <c r="BJ35656" s="201"/>
    </row>
    <row r="35657" spans="62:62" x14ac:dyDescent="0.2">
      <c r="BJ35657" s="201"/>
    </row>
    <row r="35658" spans="62:62" x14ac:dyDescent="0.2">
      <c r="BJ35658" s="201"/>
    </row>
    <row r="35659" spans="62:62" x14ac:dyDescent="0.2">
      <c r="BJ35659" s="201"/>
    </row>
    <row r="35660" spans="62:62" x14ac:dyDescent="0.2">
      <c r="BJ35660" s="201"/>
    </row>
    <row r="35661" spans="62:62" x14ac:dyDescent="0.2">
      <c r="BJ35661" s="201"/>
    </row>
    <row r="35662" spans="62:62" x14ac:dyDescent="0.2">
      <c r="BJ35662" s="201"/>
    </row>
    <row r="35663" spans="62:62" x14ac:dyDescent="0.2">
      <c r="BJ35663" s="201"/>
    </row>
    <row r="35664" spans="62:62" x14ac:dyDescent="0.2">
      <c r="BJ35664" s="201"/>
    </row>
    <row r="35665" spans="62:62" x14ac:dyDescent="0.2">
      <c r="BJ35665" s="201"/>
    </row>
    <row r="35666" spans="62:62" x14ac:dyDescent="0.2">
      <c r="BJ35666" s="201"/>
    </row>
    <row r="35667" spans="62:62" x14ac:dyDescent="0.2">
      <c r="BJ35667" s="201"/>
    </row>
    <row r="35668" spans="62:62" x14ac:dyDescent="0.2">
      <c r="BJ35668" s="201"/>
    </row>
    <row r="35669" spans="62:62" x14ac:dyDescent="0.2">
      <c r="BJ35669" s="201"/>
    </row>
    <row r="35670" spans="62:62" x14ac:dyDescent="0.2">
      <c r="BJ35670" s="201"/>
    </row>
    <row r="35671" spans="62:62" x14ac:dyDescent="0.2">
      <c r="BJ35671" s="201"/>
    </row>
    <row r="35672" spans="62:62" x14ac:dyDescent="0.2">
      <c r="BJ35672" s="201"/>
    </row>
    <row r="35673" spans="62:62" x14ac:dyDescent="0.2">
      <c r="BJ35673" s="201"/>
    </row>
    <row r="35674" spans="62:62" x14ac:dyDescent="0.2">
      <c r="BJ35674" s="201"/>
    </row>
    <row r="35675" spans="62:62" x14ac:dyDescent="0.2">
      <c r="BJ35675" s="201"/>
    </row>
    <row r="35676" spans="62:62" x14ac:dyDescent="0.2">
      <c r="BJ35676" s="201"/>
    </row>
    <row r="35677" spans="62:62" x14ac:dyDescent="0.2">
      <c r="BJ35677" s="201"/>
    </row>
    <row r="35678" spans="62:62" x14ac:dyDescent="0.2">
      <c r="BJ35678" s="201"/>
    </row>
    <row r="35679" spans="62:62" x14ac:dyDescent="0.2">
      <c r="BJ35679" s="201"/>
    </row>
    <row r="35680" spans="62:62" x14ac:dyDescent="0.2">
      <c r="BJ35680" s="201"/>
    </row>
    <row r="35681" spans="62:62" x14ac:dyDescent="0.2">
      <c r="BJ35681" s="201"/>
    </row>
    <row r="35682" spans="62:62" x14ac:dyDescent="0.2">
      <c r="BJ35682" s="201"/>
    </row>
    <row r="35683" spans="62:62" x14ac:dyDescent="0.2">
      <c r="BJ35683" s="201"/>
    </row>
    <row r="35684" spans="62:62" x14ac:dyDescent="0.2">
      <c r="BJ35684" s="201"/>
    </row>
    <row r="35685" spans="62:62" x14ac:dyDescent="0.2">
      <c r="BJ35685" s="201"/>
    </row>
    <row r="35686" spans="62:62" x14ac:dyDescent="0.2">
      <c r="BJ35686" s="201"/>
    </row>
    <row r="35687" spans="62:62" x14ac:dyDescent="0.2">
      <c r="BJ35687" s="201"/>
    </row>
    <row r="35688" spans="62:62" x14ac:dyDescent="0.2">
      <c r="BJ35688" s="201"/>
    </row>
    <row r="35689" spans="62:62" x14ac:dyDescent="0.2">
      <c r="BJ35689" s="201"/>
    </row>
    <row r="35690" spans="62:62" x14ac:dyDescent="0.2">
      <c r="BJ35690" s="201"/>
    </row>
    <row r="35691" spans="62:62" x14ac:dyDescent="0.2">
      <c r="BJ35691" s="201"/>
    </row>
    <row r="35692" spans="62:62" x14ac:dyDescent="0.2">
      <c r="BJ35692" s="201"/>
    </row>
    <row r="35693" spans="62:62" x14ac:dyDescent="0.2">
      <c r="BJ35693" s="201"/>
    </row>
    <row r="35694" spans="62:62" x14ac:dyDescent="0.2">
      <c r="BJ35694" s="201"/>
    </row>
    <row r="35695" spans="62:62" x14ac:dyDescent="0.2">
      <c r="BJ35695" s="201"/>
    </row>
    <row r="35696" spans="62:62" x14ac:dyDescent="0.2">
      <c r="BJ35696" s="201"/>
    </row>
    <row r="35697" spans="62:62" x14ac:dyDescent="0.2">
      <c r="BJ35697" s="201"/>
    </row>
    <row r="35698" spans="62:62" x14ac:dyDescent="0.2">
      <c r="BJ35698" s="201"/>
    </row>
    <row r="35699" spans="62:62" x14ac:dyDescent="0.2">
      <c r="BJ35699" s="201"/>
    </row>
    <row r="35700" spans="62:62" x14ac:dyDescent="0.2">
      <c r="BJ35700" s="201"/>
    </row>
    <row r="35701" spans="62:62" x14ac:dyDescent="0.2">
      <c r="BJ35701" s="201"/>
    </row>
    <row r="35702" spans="62:62" x14ac:dyDescent="0.2">
      <c r="BJ35702" s="201"/>
    </row>
    <row r="35703" spans="62:62" x14ac:dyDescent="0.2">
      <c r="BJ35703" s="201"/>
    </row>
    <row r="35704" spans="62:62" x14ac:dyDescent="0.2">
      <c r="BJ35704" s="201"/>
    </row>
    <row r="35705" spans="62:62" x14ac:dyDescent="0.2">
      <c r="BJ35705" s="201"/>
    </row>
    <row r="35706" spans="62:62" x14ac:dyDescent="0.2">
      <c r="BJ35706" s="201"/>
    </row>
    <row r="35707" spans="62:62" x14ac:dyDescent="0.2">
      <c r="BJ35707" s="201"/>
    </row>
    <row r="35708" spans="62:62" x14ac:dyDescent="0.2">
      <c r="BJ35708" s="201"/>
    </row>
    <row r="35709" spans="62:62" x14ac:dyDescent="0.2">
      <c r="BJ35709" s="201"/>
    </row>
    <row r="35710" spans="62:62" x14ac:dyDescent="0.2">
      <c r="BJ35710" s="201"/>
    </row>
    <row r="35711" spans="62:62" x14ac:dyDescent="0.2">
      <c r="BJ35711" s="201"/>
    </row>
    <row r="35712" spans="62:62" x14ac:dyDescent="0.2">
      <c r="BJ35712" s="201"/>
    </row>
    <row r="35713" spans="62:62" x14ac:dyDescent="0.2">
      <c r="BJ35713" s="201"/>
    </row>
    <row r="35714" spans="62:62" x14ac:dyDescent="0.2">
      <c r="BJ35714" s="201"/>
    </row>
    <row r="35715" spans="62:62" x14ac:dyDescent="0.2">
      <c r="BJ35715" s="201"/>
    </row>
    <row r="35716" spans="62:62" x14ac:dyDescent="0.2">
      <c r="BJ35716" s="201"/>
    </row>
    <row r="35717" spans="62:62" x14ac:dyDescent="0.2">
      <c r="BJ35717" s="201"/>
    </row>
    <row r="35718" spans="62:62" x14ac:dyDescent="0.2">
      <c r="BJ35718" s="201"/>
    </row>
    <row r="35719" spans="62:62" x14ac:dyDescent="0.2">
      <c r="BJ35719" s="201"/>
    </row>
    <row r="35720" spans="62:62" x14ac:dyDescent="0.2">
      <c r="BJ35720" s="201"/>
    </row>
    <row r="35721" spans="62:62" x14ac:dyDescent="0.2">
      <c r="BJ35721" s="201"/>
    </row>
    <row r="35722" spans="62:62" x14ac:dyDescent="0.2">
      <c r="BJ35722" s="201"/>
    </row>
    <row r="35723" spans="62:62" x14ac:dyDescent="0.2">
      <c r="BJ35723" s="201"/>
    </row>
    <row r="35724" spans="62:62" x14ac:dyDescent="0.2">
      <c r="BJ35724" s="201"/>
    </row>
    <row r="35725" spans="62:62" x14ac:dyDescent="0.2">
      <c r="BJ35725" s="201"/>
    </row>
    <row r="35726" spans="62:62" x14ac:dyDescent="0.2">
      <c r="BJ35726" s="201"/>
    </row>
    <row r="35727" spans="62:62" x14ac:dyDescent="0.2">
      <c r="BJ35727" s="201"/>
    </row>
    <row r="35728" spans="62:62" x14ac:dyDescent="0.2">
      <c r="BJ35728" s="201"/>
    </row>
    <row r="35729" spans="62:62" x14ac:dyDescent="0.2">
      <c r="BJ35729" s="201"/>
    </row>
    <row r="35730" spans="62:62" x14ac:dyDescent="0.2">
      <c r="BJ35730" s="201"/>
    </row>
    <row r="35731" spans="62:62" x14ac:dyDescent="0.2">
      <c r="BJ35731" s="201"/>
    </row>
    <row r="35732" spans="62:62" x14ac:dyDescent="0.2">
      <c r="BJ35732" s="201"/>
    </row>
    <row r="35733" spans="62:62" x14ac:dyDescent="0.2">
      <c r="BJ35733" s="201"/>
    </row>
    <row r="35734" spans="62:62" x14ac:dyDescent="0.2">
      <c r="BJ35734" s="201"/>
    </row>
    <row r="35735" spans="62:62" x14ac:dyDescent="0.2">
      <c r="BJ35735" s="201"/>
    </row>
    <row r="35736" spans="62:62" x14ac:dyDescent="0.2">
      <c r="BJ35736" s="201"/>
    </row>
    <row r="35737" spans="62:62" x14ac:dyDescent="0.2">
      <c r="BJ35737" s="201"/>
    </row>
    <row r="35738" spans="62:62" x14ac:dyDescent="0.2">
      <c r="BJ35738" s="201"/>
    </row>
    <row r="35739" spans="62:62" x14ac:dyDescent="0.2">
      <c r="BJ35739" s="201"/>
    </row>
    <row r="35740" spans="62:62" x14ac:dyDescent="0.2">
      <c r="BJ35740" s="201"/>
    </row>
    <row r="35741" spans="62:62" x14ac:dyDescent="0.2">
      <c r="BJ35741" s="201"/>
    </row>
    <row r="35742" spans="62:62" x14ac:dyDescent="0.2">
      <c r="BJ35742" s="201"/>
    </row>
    <row r="35743" spans="62:62" x14ac:dyDescent="0.2">
      <c r="BJ35743" s="201"/>
    </row>
    <row r="35744" spans="62:62" x14ac:dyDescent="0.2">
      <c r="BJ35744" s="201"/>
    </row>
    <row r="35745" spans="62:62" x14ac:dyDescent="0.2">
      <c r="BJ35745" s="201"/>
    </row>
    <row r="35746" spans="62:62" x14ac:dyDescent="0.2">
      <c r="BJ35746" s="201"/>
    </row>
    <row r="35747" spans="62:62" x14ac:dyDescent="0.2">
      <c r="BJ35747" s="201"/>
    </row>
    <row r="35748" spans="62:62" x14ac:dyDescent="0.2">
      <c r="BJ35748" s="201"/>
    </row>
    <row r="35749" spans="62:62" x14ac:dyDescent="0.2">
      <c r="BJ35749" s="201"/>
    </row>
    <row r="35750" spans="62:62" x14ac:dyDescent="0.2">
      <c r="BJ35750" s="201"/>
    </row>
    <row r="35751" spans="62:62" x14ac:dyDescent="0.2">
      <c r="BJ35751" s="201"/>
    </row>
    <row r="35752" spans="62:62" x14ac:dyDescent="0.2">
      <c r="BJ35752" s="201"/>
    </row>
    <row r="35753" spans="62:62" x14ac:dyDescent="0.2">
      <c r="BJ35753" s="201"/>
    </row>
    <row r="35754" spans="62:62" x14ac:dyDescent="0.2">
      <c r="BJ35754" s="201"/>
    </row>
    <row r="35755" spans="62:62" x14ac:dyDescent="0.2">
      <c r="BJ35755" s="201"/>
    </row>
    <row r="35756" spans="62:62" x14ac:dyDescent="0.2">
      <c r="BJ35756" s="201"/>
    </row>
    <row r="35757" spans="62:62" x14ac:dyDescent="0.2">
      <c r="BJ35757" s="201"/>
    </row>
    <row r="35758" spans="62:62" x14ac:dyDescent="0.2">
      <c r="BJ35758" s="201"/>
    </row>
    <row r="35759" spans="62:62" x14ac:dyDescent="0.2">
      <c r="BJ35759" s="201"/>
    </row>
    <row r="35760" spans="62:62" x14ac:dyDescent="0.2">
      <c r="BJ35760" s="201"/>
    </row>
    <row r="35761" spans="62:62" x14ac:dyDescent="0.2">
      <c r="BJ35761" s="201"/>
    </row>
    <row r="35762" spans="62:62" x14ac:dyDescent="0.2">
      <c r="BJ35762" s="201"/>
    </row>
    <row r="35763" spans="62:62" x14ac:dyDescent="0.2">
      <c r="BJ35763" s="201"/>
    </row>
    <row r="35764" spans="62:62" x14ac:dyDescent="0.2">
      <c r="BJ35764" s="201"/>
    </row>
    <row r="35765" spans="62:62" x14ac:dyDescent="0.2">
      <c r="BJ35765" s="201"/>
    </row>
    <row r="35766" spans="62:62" x14ac:dyDescent="0.2">
      <c r="BJ35766" s="201"/>
    </row>
    <row r="35767" spans="62:62" x14ac:dyDescent="0.2">
      <c r="BJ35767" s="201"/>
    </row>
    <row r="35768" spans="62:62" x14ac:dyDescent="0.2">
      <c r="BJ35768" s="201"/>
    </row>
    <row r="35769" spans="62:62" x14ac:dyDescent="0.2">
      <c r="BJ35769" s="201"/>
    </row>
    <row r="35770" spans="62:62" x14ac:dyDescent="0.2">
      <c r="BJ35770" s="201"/>
    </row>
    <row r="35771" spans="62:62" x14ac:dyDescent="0.2">
      <c r="BJ35771" s="201"/>
    </row>
    <row r="35772" spans="62:62" x14ac:dyDescent="0.2">
      <c r="BJ35772" s="201"/>
    </row>
    <row r="35773" spans="62:62" x14ac:dyDescent="0.2">
      <c r="BJ35773" s="201"/>
    </row>
    <row r="35774" spans="62:62" x14ac:dyDescent="0.2">
      <c r="BJ35774" s="201"/>
    </row>
    <row r="35775" spans="62:62" x14ac:dyDescent="0.2">
      <c r="BJ35775" s="201"/>
    </row>
    <row r="35776" spans="62:62" x14ac:dyDescent="0.2">
      <c r="BJ35776" s="201"/>
    </row>
    <row r="35777" spans="62:62" x14ac:dyDescent="0.2">
      <c r="BJ35777" s="201"/>
    </row>
    <row r="35778" spans="62:62" x14ac:dyDescent="0.2">
      <c r="BJ35778" s="201"/>
    </row>
    <row r="35779" spans="62:62" x14ac:dyDescent="0.2">
      <c r="BJ35779" s="201"/>
    </row>
    <row r="35780" spans="62:62" x14ac:dyDescent="0.2">
      <c r="BJ35780" s="201"/>
    </row>
    <row r="35781" spans="62:62" x14ac:dyDescent="0.2">
      <c r="BJ35781" s="201"/>
    </row>
    <row r="35782" spans="62:62" x14ac:dyDescent="0.2">
      <c r="BJ35782" s="201"/>
    </row>
    <row r="35783" spans="62:62" x14ac:dyDescent="0.2">
      <c r="BJ35783" s="201"/>
    </row>
    <row r="35784" spans="62:62" x14ac:dyDescent="0.2">
      <c r="BJ35784" s="201"/>
    </row>
    <row r="35785" spans="62:62" x14ac:dyDescent="0.2">
      <c r="BJ35785" s="201"/>
    </row>
    <row r="35786" spans="62:62" x14ac:dyDescent="0.2">
      <c r="BJ35786" s="201"/>
    </row>
    <row r="35787" spans="62:62" x14ac:dyDescent="0.2">
      <c r="BJ35787" s="201"/>
    </row>
    <row r="35788" spans="62:62" x14ac:dyDescent="0.2">
      <c r="BJ35788" s="201"/>
    </row>
    <row r="35789" spans="62:62" x14ac:dyDescent="0.2">
      <c r="BJ35789" s="201"/>
    </row>
    <row r="35790" spans="62:62" x14ac:dyDescent="0.2">
      <c r="BJ35790" s="201"/>
    </row>
    <row r="35791" spans="62:62" x14ac:dyDescent="0.2">
      <c r="BJ35791" s="201"/>
    </row>
    <row r="35792" spans="62:62" x14ac:dyDescent="0.2">
      <c r="BJ35792" s="201"/>
    </row>
    <row r="35793" spans="62:62" x14ac:dyDescent="0.2">
      <c r="BJ35793" s="201"/>
    </row>
    <row r="35794" spans="62:62" x14ac:dyDescent="0.2">
      <c r="BJ35794" s="201"/>
    </row>
    <row r="35795" spans="62:62" x14ac:dyDescent="0.2">
      <c r="BJ35795" s="201"/>
    </row>
    <row r="35796" spans="62:62" x14ac:dyDescent="0.2">
      <c r="BJ35796" s="201"/>
    </row>
    <row r="35797" spans="62:62" x14ac:dyDescent="0.2">
      <c r="BJ35797" s="201"/>
    </row>
    <row r="35798" spans="62:62" x14ac:dyDescent="0.2">
      <c r="BJ35798" s="201"/>
    </row>
    <row r="35799" spans="62:62" x14ac:dyDescent="0.2">
      <c r="BJ35799" s="201"/>
    </row>
    <row r="35800" spans="62:62" x14ac:dyDescent="0.2">
      <c r="BJ35800" s="201"/>
    </row>
    <row r="35801" spans="62:62" x14ac:dyDescent="0.2">
      <c r="BJ35801" s="201"/>
    </row>
    <row r="35802" spans="62:62" x14ac:dyDescent="0.2">
      <c r="BJ35802" s="201"/>
    </row>
    <row r="35803" spans="62:62" x14ac:dyDescent="0.2">
      <c r="BJ35803" s="201"/>
    </row>
    <row r="35804" spans="62:62" x14ac:dyDescent="0.2">
      <c r="BJ35804" s="201"/>
    </row>
    <row r="35805" spans="62:62" x14ac:dyDescent="0.2">
      <c r="BJ35805" s="201"/>
    </row>
    <row r="35806" spans="62:62" x14ac:dyDescent="0.2">
      <c r="BJ35806" s="201"/>
    </row>
    <row r="35807" spans="62:62" x14ac:dyDescent="0.2">
      <c r="BJ35807" s="201"/>
    </row>
    <row r="35808" spans="62:62" x14ac:dyDescent="0.2">
      <c r="BJ35808" s="201"/>
    </row>
    <row r="35809" spans="62:62" x14ac:dyDescent="0.2">
      <c r="BJ35809" s="201"/>
    </row>
    <row r="35810" spans="62:62" x14ac:dyDescent="0.2">
      <c r="BJ35810" s="201"/>
    </row>
    <row r="35811" spans="62:62" x14ac:dyDescent="0.2">
      <c r="BJ35811" s="201"/>
    </row>
    <row r="35812" spans="62:62" x14ac:dyDescent="0.2">
      <c r="BJ35812" s="201"/>
    </row>
    <row r="35813" spans="62:62" x14ac:dyDescent="0.2">
      <c r="BJ35813" s="201"/>
    </row>
    <row r="35814" spans="62:62" x14ac:dyDescent="0.2">
      <c r="BJ35814" s="201"/>
    </row>
    <row r="35815" spans="62:62" x14ac:dyDescent="0.2">
      <c r="BJ35815" s="201"/>
    </row>
    <row r="35816" spans="62:62" x14ac:dyDescent="0.2">
      <c r="BJ35816" s="201"/>
    </row>
    <row r="35817" spans="62:62" x14ac:dyDescent="0.2">
      <c r="BJ35817" s="201"/>
    </row>
    <row r="35818" spans="62:62" x14ac:dyDescent="0.2">
      <c r="BJ35818" s="201"/>
    </row>
    <row r="35819" spans="62:62" x14ac:dyDescent="0.2">
      <c r="BJ35819" s="201"/>
    </row>
    <row r="35820" spans="62:62" x14ac:dyDescent="0.2">
      <c r="BJ35820" s="201"/>
    </row>
    <row r="35821" spans="62:62" x14ac:dyDescent="0.2">
      <c r="BJ35821" s="201"/>
    </row>
    <row r="35822" spans="62:62" x14ac:dyDescent="0.2">
      <c r="BJ35822" s="201"/>
    </row>
    <row r="35823" spans="62:62" x14ac:dyDescent="0.2">
      <c r="BJ35823" s="201"/>
    </row>
    <row r="35824" spans="62:62" x14ac:dyDescent="0.2">
      <c r="BJ35824" s="201"/>
    </row>
    <row r="35825" spans="62:62" x14ac:dyDescent="0.2">
      <c r="BJ35825" s="201"/>
    </row>
    <row r="35826" spans="62:62" x14ac:dyDescent="0.2">
      <c r="BJ35826" s="201"/>
    </row>
    <row r="35827" spans="62:62" x14ac:dyDescent="0.2">
      <c r="BJ35827" s="201"/>
    </row>
    <row r="35828" spans="62:62" x14ac:dyDescent="0.2">
      <c r="BJ35828" s="201"/>
    </row>
    <row r="35829" spans="62:62" x14ac:dyDescent="0.2">
      <c r="BJ35829" s="201"/>
    </row>
    <row r="35830" spans="62:62" x14ac:dyDescent="0.2">
      <c r="BJ35830" s="201"/>
    </row>
    <row r="35831" spans="62:62" x14ac:dyDescent="0.2">
      <c r="BJ35831" s="201"/>
    </row>
    <row r="35832" spans="62:62" x14ac:dyDescent="0.2">
      <c r="BJ35832" s="201"/>
    </row>
    <row r="35833" spans="62:62" x14ac:dyDescent="0.2">
      <c r="BJ35833" s="201"/>
    </row>
    <row r="35834" spans="62:62" x14ac:dyDescent="0.2">
      <c r="BJ35834" s="201"/>
    </row>
    <row r="35835" spans="62:62" x14ac:dyDescent="0.2">
      <c r="BJ35835" s="201"/>
    </row>
    <row r="35836" spans="62:62" x14ac:dyDescent="0.2">
      <c r="BJ35836" s="201"/>
    </row>
    <row r="35837" spans="62:62" x14ac:dyDescent="0.2">
      <c r="BJ35837" s="201"/>
    </row>
    <row r="35838" spans="62:62" x14ac:dyDescent="0.2">
      <c r="BJ35838" s="201"/>
    </row>
    <row r="35839" spans="62:62" x14ac:dyDescent="0.2">
      <c r="BJ35839" s="201"/>
    </row>
    <row r="35840" spans="62:62" x14ac:dyDescent="0.2">
      <c r="BJ35840" s="201"/>
    </row>
    <row r="35841" spans="62:62" x14ac:dyDescent="0.2">
      <c r="BJ35841" s="201"/>
    </row>
    <row r="35842" spans="62:62" x14ac:dyDescent="0.2">
      <c r="BJ35842" s="201"/>
    </row>
    <row r="35843" spans="62:62" x14ac:dyDescent="0.2">
      <c r="BJ35843" s="201"/>
    </row>
    <row r="35844" spans="62:62" x14ac:dyDescent="0.2">
      <c r="BJ35844" s="201"/>
    </row>
    <row r="35845" spans="62:62" x14ac:dyDescent="0.2">
      <c r="BJ35845" s="201"/>
    </row>
    <row r="35846" spans="62:62" x14ac:dyDescent="0.2">
      <c r="BJ35846" s="201"/>
    </row>
    <row r="35847" spans="62:62" x14ac:dyDescent="0.2">
      <c r="BJ35847" s="201"/>
    </row>
    <row r="35848" spans="62:62" x14ac:dyDescent="0.2">
      <c r="BJ35848" s="201"/>
    </row>
    <row r="35849" spans="62:62" x14ac:dyDescent="0.2">
      <c r="BJ35849" s="201"/>
    </row>
    <row r="35850" spans="62:62" x14ac:dyDescent="0.2">
      <c r="BJ35850" s="201"/>
    </row>
    <row r="35851" spans="62:62" x14ac:dyDescent="0.2">
      <c r="BJ35851" s="201"/>
    </row>
    <row r="35852" spans="62:62" x14ac:dyDescent="0.2">
      <c r="BJ35852" s="201"/>
    </row>
    <row r="35853" spans="62:62" x14ac:dyDescent="0.2">
      <c r="BJ35853" s="201"/>
    </row>
    <row r="35854" spans="62:62" x14ac:dyDescent="0.2">
      <c r="BJ35854" s="201"/>
    </row>
    <row r="35855" spans="62:62" x14ac:dyDescent="0.2">
      <c r="BJ35855" s="201"/>
    </row>
    <row r="35856" spans="62:62" x14ac:dyDescent="0.2">
      <c r="BJ35856" s="201"/>
    </row>
    <row r="35857" spans="62:62" x14ac:dyDescent="0.2">
      <c r="BJ35857" s="201"/>
    </row>
    <row r="35858" spans="62:62" x14ac:dyDescent="0.2">
      <c r="BJ35858" s="201"/>
    </row>
    <row r="35859" spans="62:62" x14ac:dyDescent="0.2">
      <c r="BJ35859" s="201"/>
    </row>
    <row r="35860" spans="62:62" x14ac:dyDescent="0.2">
      <c r="BJ35860" s="201"/>
    </row>
    <row r="35861" spans="62:62" x14ac:dyDescent="0.2">
      <c r="BJ35861" s="201"/>
    </row>
    <row r="35862" spans="62:62" x14ac:dyDescent="0.2">
      <c r="BJ35862" s="201"/>
    </row>
    <row r="35863" spans="62:62" x14ac:dyDescent="0.2">
      <c r="BJ35863" s="201"/>
    </row>
    <row r="35864" spans="62:62" x14ac:dyDescent="0.2">
      <c r="BJ35864" s="201"/>
    </row>
    <row r="35865" spans="62:62" x14ac:dyDescent="0.2">
      <c r="BJ35865" s="201"/>
    </row>
    <row r="35866" spans="62:62" x14ac:dyDescent="0.2">
      <c r="BJ35866" s="201"/>
    </row>
    <row r="35867" spans="62:62" x14ac:dyDescent="0.2">
      <c r="BJ35867" s="201"/>
    </row>
    <row r="35868" spans="62:62" x14ac:dyDescent="0.2">
      <c r="BJ35868" s="201"/>
    </row>
    <row r="35869" spans="62:62" x14ac:dyDescent="0.2">
      <c r="BJ35869" s="201"/>
    </row>
    <row r="35870" spans="62:62" x14ac:dyDescent="0.2">
      <c r="BJ35870" s="201"/>
    </row>
    <row r="35871" spans="62:62" x14ac:dyDescent="0.2">
      <c r="BJ35871" s="201"/>
    </row>
    <row r="35872" spans="62:62" x14ac:dyDescent="0.2">
      <c r="BJ35872" s="201"/>
    </row>
    <row r="35873" spans="62:62" x14ac:dyDescent="0.2">
      <c r="BJ35873" s="201"/>
    </row>
    <row r="35874" spans="62:62" x14ac:dyDescent="0.2">
      <c r="BJ35874" s="201"/>
    </row>
    <row r="35875" spans="62:62" x14ac:dyDescent="0.2">
      <c r="BJ35875" s="201"/>
    </row>
    <row r="35876" spans="62:62" x14ac:dyDescent="0.2">
      <c r="BJ35876" s="201"/>
    </row>
    <row r="35877" spans="62:62" x14ac:dyDescent="0.2">
      <c r="BJ35877" s="201"/>
    </row>
    <row r="35878" spans="62:62" x14ac:dyDescent="0.2">
      <c r="BJ35878" s="201"/>
    </row>
    <row r="35879" spans="62:62" x14ac:dyDescent="0.2">
      <c r="BJ35879" s="201"/>
    </row>
    <row r="35880" spans="62:62" x14ac:dyDescent="0.2">
      <c r="BJ35880" s="201"/>
    </row>
    <row r="35881" spans="62:62" x14ac:dyDescent="0.2">
      <c r="BJ35881" s="201"/>
    </row>
    <row r="35882" spans="62:62" x14ac:dyDescent="0.2">
      <c r="BJ35882" s="201"/>
    </row>
    <row r="35883" spans="62:62" x14ac:dyDescent="0.2">
      <c r="BJ35883" s="201"/>
    </row>
    <row r="35884" spans="62:62" x14ac:dyDescent="0.2">
      <c r="BJ35884" s="201"/>
    </row>
    <row r="35885" spans="62:62" x14ac:dyDescent="0.2">
      <c r="BJ35885" s="201"/>
    </row>
    <row r="35886" spans="62:62" x14ac:dyDescent="0.2">
      <c r="BJ35886" s="201"/>
    </row>
    <row r="35887" spans="62:62" x14ac:dyDescent="0.2">
      <c r="BJ35887" s="201"/>
    </row>
    <row r="35888" spans="62:62" x14ac:dyDescent="0.2">
      <c r="BJ35888" s="201"/>
    </row>
    <row r="35889" spans="62:62" x14ac:dyDescent="0.2">
      <c r="BJ35889" s="201"/>
    </row>
    <row r="35890" spans="62:62" x14ac:dyDescent="0.2">
      <c r="BJ35890" s="201"/>
    </row>
    <row r="35891" spans="62:62" x14ac:dyDescent="0.2">
      <c r="BJ35891" s="201"/>
    </row>
    <row r="35892" spans="62:62" x14ac:dyDescent="0.2">
      <c r="BJ35892" s="201"/>
    </row>
    <row r="35893" spans="62:62" x14ac:dyDescent="0.2">
      <c r="BJ35893" s="201"/>
    </row>
    <row r="35894" spans="62:62" x14ac:dyDescent="0.2">
      <c r="BJ35894" s="201"/>
    </row>
    <row r="35895" spans="62:62" x14ac:dyDescent="0.2">
      <c r="BJ35895" s="201"/>
    </row>
    <row r="35896" spans="62:62" x14ac:dyDescent="0.2">
      <c r="BJ35896" s="201"/>
    </row>
    <row r="35897" spans="62:62" x14ac:dyDescent="0.2">
      <c r="BJ35897" s="201"/>
    </row>
    <row r="35898" spans="62:62" x14ac:dyDescent="0.2">
      <c r="BJ35898" s="201"/>
    </row>
    <row r="35899" spans="62:62" x14ac:dyDescent="0.2">
      <c r="BJ35899" s="201"/>
    </row>
    <row r="35900" spans="62:62" x14ac:dyDescent="0.2">
      <c r="BJ35900" s="201"/>
    </row>
    <row r="35901" spans="62:62" x14ac:dyDescent="0.2">
      <c r="BJ35901" s="201"/>
    </row>
    <row r="35902" spans="62:62" x14ac:dyDescent="0.2">
      <c r="BJ35902" s="201"/>
    </row>
    <row r="35903" spans="62:62" x14ac:dyDescent="0.2">
      <c r="BJ35903" s="201"/>
    </row>
    <row r="35904" spans="62:62" x14ac:dyDescent="0.2">
      <c r="BJ35904" s="201"/>
    </row>
    <row r="35905" spans="62:62" x14ac:dyDescent="0.2">
      <c r="BJ35905" s="201"/>
    </row>
    <row r="35906" spans="62:62" x14ac:dyDescent="0.2">
      <c r="BJ35906" s="201"/>
    </row>
    <row r="35907" spans="62:62" x14ac:dyDescent="0.2">
      <c r="BJ35907" s="201"/>
    </row>
    <row r="35908" spans="62:62" x14ac:dyDescent="0.2">
      <c r="BJ35908" s="201"/>
    </row>
    <row r="35909" spans="62:62" x14ac:dyDescent="0.2">
      <c r="BJ35909" s="201"/>
    </row>
    <row r="35910" spans="62:62" x14ac:dyDescent="0.2">
      <c r="BJ35910" s="201"/>
    </row>
    <row r="35911" spans="62:62" x14ac:dyDescent="0.2">
      <c r="BJ35911" s="201"/>
    </row>
    <row r="35912" spans="62:62" x14ac:dyDescent="0.2">
      <c r="BJ35912" s="201"/>
    </row>
    <row r="35913" spans="62:62" x14ac:dyDescent="0.2">
      <c r="BJ35913" s="201"/>
    </row>
    <row r="35914" spans="62:62" x14ac:dyDescent="0.2">
      <c r="BJ35914" s="201"/>
    </row>
    <row r="35915" spans="62:62" x14ac:dyDescent="0.2">
      <c r="BJ35915" s="201"/>
    </row>
    <row r="35916" spans="62:62" x14ac:dyDescent="0.2">
      <c r="BJ35916" s="201"/>
    </row>
    <row r="35917" spans="62:62" x14ac:dyDescent="0.2">
      <c r="BJ35917" s="201"/>
    </row>
    <row r="35918" spans="62:62" x14ac:dyDescent="0.2">
      <c r="BJ35918" s="201"/>
    </row>
    <row r="35919" spans="62:62" x14ac:dyDescent="0.2">
      <c r="BJ35919" s="201"/>
    </row>
    <row r="35920" spans="62:62" x14ac:dyDescent="0.2">
      <c r="BJ35920" s="201"/>
    </row>
    <row r="35921" spans="62:62" x14ac:dyDescent="0.2">
      <c r="BJ35921" s="201"/>
    </row>
    <row r="35922" spans="62:62" x14ac:dyDescent="0.2">
      <c r="BJ35922" s="201"/>
    </row>
    <row r="35923" spans="62:62" x14ac:dyDescent="0.2">
      <c r="BJ35923" s="201"/>
    </row>
    <row r="35924" spans="62:62" x14ac:dyDescent="0.2">
      <c r="BJ35924" s="201"/>
    </row>
    <row r="35925" spans="62:62" x14ac:dyDescent="0.2">
      <c r="BJ35925" s="201"/>
    </row>
    <row r="35926" spans="62:62" x14ac:dyDescent="0.2">
      <c r="BJ35926" s="201"/>
    </row>
    <row r="35927" spans="62:62" x14ac:dyDescent="0.2">
      <c r="BJ35927" s="201"/>
    </row>
    <row r="35928" spans="62:62" x14ac:dyDescent="0.2">
      <c r="BJ35928" s="201"/>
    </row>
    <row r="35929" spans="62:62" x14ac:dyDescent="0.2">
      <c r="BJ35929" s="201"/>
    </row>
    <row r="35930" spans="62:62" x14ac:dyDescent="0.2">
      <c r="BJ35930" s="201"/>
    </row>
    <row r="35931" spans="62:62" x14ac:dyDescent="0.2">
      <c r="BJ35931" s="201"/>
    </row>
    <row r="35932" spans="62:62" x14ac:dyDescent="0.2">
      <c r="BJ35932" s="201"/>
    </row>
    <row r="35933" spans="62:62" x14ac:dyDescent="0.2">
      <c r="BJ35933" s="201"/>
    </row>
    <row r="35934" spans="62:62" x14ac:dyDescent="0.2">
      <c r="BJ35934" s="201"/>
    </row>
    <row r="35935" spans="62:62" x14ac:dyDescent="0.2">
      <c r="BJ35935" s="201"/>
    </row>
    <row r="35936" spans="62:62" x14ac:dyDescent="0.2">
      <c r="BJ35936" s="201"/>
    </row>
    <row r="35937" spans="62:62" x14ac:dyDescent="0.2">
      <c r="BJ35937" s="201"/>
    </row>
    <row r="35938" spans="62:62" x14ac:dyDescent="0.2">
      <c r="BJ35938" s="201"/>
    </row>
    <row r="35939" spans="62:62" x14ac:dyDescent="0.2">
      <c r="BJ35939" s="201"/>
    </row>
    <row r="35940" spans="62:62" x14ac:dyDescent="0.2">
      <c r="BJ35940" s="201"/>
    </row>
    <row r="35941" spans="62:62" x14ac:dyDescent="0.2">
      <c r="BJ35941" s="201"/>
    </row>
    <row r="35942" spans="62:62" x14ac:dyDescent="0.2">
      <c r="BJ35942" s="201"/>
    </row>
    <row r="35943" spans="62:62" x14ac:dyDescent="0.2">
      <c r="BJ35943" s="201"/>
    </row>
    <row r="35944" spans="62:62" x14ac:dyDescent="0.2">
      <c r="BJ35944" s="201"/>
    </row>
    <row r="35945" spans="62:62" x14ac:dyDescent="0.2">
      <c r="BJ35945" s="201"/>
    </row>
    <row r="35946" spans="62:62" x14ac:dyDescent="0.2">
      <c r="BJ35946" s="201"/>
    </row>
    <row r="35947" spans="62:62" x14ac:dyDescent="0.2">
      <c r="BJ35947" s="201"/>
    </row>
    <row r="35948" spans="62:62" x14ac:dyDescent="0.2">
      <c r="BJ35948" s="201"/>
    </row>
    <row r="35949" spans="62:62" x14ac:dyDescent="0.2">
      <c r="BJ35949" s="201"/>
    </row>
    <row r="35950" spans="62:62" x14ac:dyDescent="0.2">
      <c r="BJ35950" s="201"/>
    </row>
    <row r="35951" spans="62:62" x14ac:dyDescent="0.2">
      <c r="BJ35951" s="201"/>
    </row>
    <row r="35952" spans="62:62" x14ac:dyDescent="0.2">
      <c r="BJ35952" s="201"/>
    </row>
    <row r="35953" spans="62:62" x14ac:dyDescent="0.2">
      <c r="BJ35953" s="201"/>
    </row>
    <row r="35954" spans="62:62" x14ac:dyDescent="0.2">
      <c r="BJ35954" s="201"/>
    </row>
    <row r="35955" spans="62:62" x14ac:dyDescent="0.2">
      <c r="BJ35955" s="201"/>
    </row>
    <row r="35956" spans="62:62" x14ac:dyDescent="0.2">
      <c r="BJ35956" s="201"/>
    </row>
    <row r="35957" spans="62:62" x14ac:dyDescent="0.2">
      <c r="BJ35957" s="201"/>
    </row>
    <row r="35958" spans="62:62" x14ac:dyDescent="0.2">
      <c r="BJ35958" s="201"/>
    </row>
    <row r="35959" spans="62:62" x14ac:dyDescent="0.2">
      <c r="BJ35959" s="201"/>
    </row>
    <row r="35960" spans="62:62" x14ac:dyDescent="0.2">
      <c r="BJ35960" s="201"/>
    </row>
    <row r="35961" spans="62:62" x14ac:dyDescent="0.2">
      <c r="BJ35961" s="201"/>
    </row>
    <row r="35962" spans="62:62" x14ac:dyDescent="0.2">
      <c r="BJ35962" s="201"/>
    </row>
    <row r="35963" spans="62:62" x14ac:dyDescent="0.2">
      <c r="BJ35963" s="201"/>
    </row>
    <row r="35964" spans="62:62" x14ac:dyDescent="0.2">
      <c r="BJ35964" s="201"/>
    </row>
    <row r="35965" spans="62:62" x14ac:dyDescent="0.2">
      <c r="BJ35965" s="201"/>
    </row>
    <row r="35966" spans="62:62" x14ac:dyDescent="0.2">
      <c r="BJ35966" s="201"/>
    </row>
    <row r="35967" spans="62:62" x14ac:dyDescent="0.2">
      <c r="BJ35967" s="201"/>
    </row>
    <row r="35968" spans="62:62" x14ac:dyDescent="0.2">
      <c r="BJ35968" s="201"/>
    </row>
    <row r="35969" spans="62:62" x14ac:dyDescent="0.2">
      <c r="BJ35969" s="201"/>
    </row>
    <row r="35970" spans="62:62" x14ac:dyDescent="0.2">
      <c r="BJ35970" s="201"/>
    </row>
    <row r="35971" spans="62:62" x14ac:dyDescent="0.2">
      <c r="BJ35971" s="201"/>
    </row>
    <row r="35972" spans="62:62" x14ac:dyDescent="0.2">
      <c r="BJ35972" s="201"/>
    </row>
    <row r="35973" spans="62:62" x14ac:dyDescent="0.2">
      <c r="BJ35973" s="201"/>
    </row>
    <row r="35974" spans="62:62" x14ac:dyDescent="0.2">
      <c r="BJ35974" s="201"/>
    </row>
    <row r="35975" spans="62:62" x14ac:dyDescent="0.2">
      <c r="BJ35975" s="201"/>
    </row>
    <row r="35976" spans="62:62" x14ac:dyDescent="0.2">
      <c r="BJ35976" s="201"/>
    </row>
    <row r="35977" spans="62:62" x14ac:dyDescent="0.2">
      <c r="BJ35977" s="201"/>
    </row>
    <row r="35978" spans="62:62" x14ac:dyDescent="0.2">
      <c r="BJ35978" s="201"/>
    </row>
    <row r="35979" spans="62:62" x14ac:dyDescent="0.2">
      <c r="BJ35979" s="201"/>
    </row>
    <row r="35980" spans="62:62" x14ac:dyDescent="0.2">
      <c r="BJ35980" s="201"/>
    </row>
    <row r="35981" spans="62:62" x14ac:dyDescent="0.2">
      <c r="BJ35981" s="201"/>
    </row>
    <row r="35982" spans="62:62" x14ac:dyDescent="0.2">
      <c r="BJ35982" s="201"/>
    </row>
    <row r="35983" spans="62:62" x14ac:dyDescent="0.2">
      <c r="BJ35983" s="201"/>
    </row>
    <row r="35984" spans="62:62" x14ac:dyDescent="0.2">
      <c r="BJ35984" s="201"/>
    </row>
    <row r="35985" spans="62:62" x14ac:dyDescent="0.2">
      <c r="BJ35985" s="201"/>
    </row>
    <row r="35986" spans="62:62" x14ac:dyDescent="0.2">
      <c r="BJ35986" s="201"/>
    </row>
    <row r="35987" spans="62:62" x14ac:dyDescent="0.2">
      <c r="BJ35987" s="201"/>
    </row>
    <row r="35988" spans="62:62" x14ac:dyDescent="0.2">
      <c r="BJ35988" s="201"/>
    </row>
    <row r="35989" spans="62:62" x14ac:dyDescent="0.2">
      <c r="BJ35989" s="201"/>
    </row>
    <row r="35990" spans="62:62" x14ac:dyDescent="0.2">
      <c r="BJ35990" s="201"/>
    </row>
    <row r="35991" spans="62:62" x14ac:dyDescent="0.2">
      <c r="BJ35991" s="201"/>
    </row>
    <row r="35992" spans="62:62" x14ac:dyDescent="0.2">
      <c r="BJ35992" s="201"/>
    </row>
    <row r="35993" spans="62:62" x14ac:dyDescent="0.2">
      <c r="BJ35993" s="201"/>
    </row>
    <row r="35994" spans="62:62" x14ac:dyDescent="0.2">
      <c r="BJ35994" s="201"/>
    </row>
    <row r="35995" spans="62:62" x14ac:dyDescent="0.2">
      <c r="BJ35995" s="201"/>
    </row>
    <row r="35996" spans="62:62" x14ac:dyDescent="0.2">
      <c r="BJ35996" s="201"/>
    </row>
    <row r="35997" spans="62:62" x14ac:dyDescent="0.2">
      <c r="BJ35997" s="201"/>
    </row>
    <row r="35998" spans="62:62" x14ac:dyDescent="0.2">
      <c r="BJ35998" s="201"/>
    </row>
    <row r="35999" spans="62:62" x14ac:dyDescent="0.2">
      <c r="BJ35999" s="201"/>
    </row>
    <row r="36000" spans="62:62" x14ac:dyDescent="0.2">
      <c r="BJ36000" s="201"/>
    </row>
    <row r="36001" spans="62:62" x14ac:dyDescent="0.2">
      <c r="BJ36001" s="201"/>
    </row>
    <row r="36002" spans="62:62" x14ac:dyDescent="0.2">
      <c r="BJ36002" s="201"/>
    </row>
    <row r="36003" spans="62:62" x14ac:dyDescent="0.2">
      <c r="BJ36003" s="201"/>
    </row>
    <row r="36004" spans="62:62" x14ac:dyDescent="0.2">
      <c r="BJ36004" s="201"/>
    </row>
    <row r="36005" spans="62:62" x14ac:dyDescent="0.2">
      <c r="BJ36005" s="201"/>
    </row>
    <row r="36006" spans="62:62" x14ac:dyDescent="0.2">
      <c r="BJ36006" s="201"/>
    </row>
    <row r="36007" spans="62:62" x14ac:dyDescent="0.2">
      <c r="BJ36007" s="201"/>
    </row>
    <row r="36008" spans="62:62" x14ac:dyDescent="0.2">
      <c r="BJ36008" s="201"/>
    </row>
    <row r="36009" spans="62:62" x14ac:dyDescent="0.2">
      <c r="BJ36009" s="201"/>
    </row>
    <row r="36010" spans="62:62" x14ac:dyDescent="0.2">
      <c r="BJ36010" s="201"/>
    </row>
    <row r="36011" spans="62:62" x14ac:dyDescent="0.2">
      <c r="BJ36011" s="201"/>
    </row>
    <row r="36012" spans="62:62" x14ac:dyDescent="0.2">
      <c r="BJ36012" s="201"/>
    </row>
    <row r="36013" spans="62:62" x14ac:dyDescent="0.2">
      <c r="BJ36013" s="201"/>
    </row>
    <row r="36014" spans="62:62" x14ac:dyDescent="0.2">
      <c r="BJ36014" s="201"/>
    </row>
    <row r="36015" spans="62:62" x14ac:dyDescent="0.2">
      <c r="BJ36015" s="201"/>
    </row>
    <row r="36016" spans="62:62" x14ac:dyDescent="0.2">
      <c r="BJ36016" s="201"/>
    </row>
    <row r="36017" spans="62:62" x14ac:dyDescent="0.2">
      <c r="BJ36017" s="201"/>
    </row>
    <row r="36018" spans="62:62" x14ac:dyDescent="0.2">
      <c r="BJ36018" s="201"/>
    </row>
    <row r="36019" spans="62:62" x14ac:dyDescent="0.2">
      <c r="BJ36019" s="201"/>
    </row>
    <row r="36020" spans="62:62" x14ac:dyDescent="0.2">
      <c r="BJ36020" s="201"/>
    </row>
    <row r="36021" spans="62:62" x14ac:dyDescent="0.2">
      <c r="BJ36021" s="201"/>
    </row>
    <row r="36022" spans="62:62" x14ac:dyDescent="0.2">
      <c r="BJ36022" s="201"/>
    </row>
    <row r="36023" spans="62:62" x14ac:dyDescent="0.2">
      <c r="BJ36023" s="201"/>
    </row>
    <row r="36024" spans="62:62" x14ac:dyDescent="0.2">
      <c r="BJ36024" s="201"/>
    </row>
    <row r="36025" spans="62:62" x14ac:dyDescent="0.2">
      <c r="BJ36025" s="201"/>
    </row>
    <row r="36026" spans="62:62" x14ac:dyDescent="0.2">
      <c r="BJ36026" s="201"/>
    </row>
    <row r="36027" spans="62:62" x14ac:dyDescent="0.2">
      <c r="BJ36027" s="201"/>
    </row>
    <row r="36028" spans="62:62" x14ac:dyDescent="0.2">
      <c r="BJ36028" s="201"/>
    </row>
    <row r="36029" spans="62:62" x14ac:dyDescent="0.2">
      <c r="BJ36029" s="201"/>
    </row>
    <row r="36030" spans="62:62" x14ac:dyDescent="0.2">
      <c r="BJ36030" s="201"/>
    </row>
    <row r="36031" spans="62:62" x14ac:dyDescent="0.2">
      <c r="BJ36031" s="201"/>
    </row>
    <row r="36032" spans="62:62" x14ac:dyDescent="0.2">
      <c r="BJ36032" s="201"/>
    </row>
    <row r="36033" spans="62:62" x14ac:dyDescent="0.2">
      <c r="BJ36033" s="201"/>
    </row>
    <row r="36034" spans="62:62" x14ac:dyDescent="0.2">
      <c r="BJ36034" s="201"/>
    </row>
    <row r="36035" spans="62:62" x14ac:dyDescent="0.2">
      <c r="BJ36035" s="201"/>
    </row>
    <row r="36036" spans="62:62" x14ac:dyDescent="0.2">
      <c r="BJ36036" s="201"/>
    </row>
    <row r="36037" spans="62:62" x14ac:dyDescent="0.2">
      <c r="BJ36037" s="201"/>
    </row>
    <row r="36038" spans="62:62" x14ac:dyDescent="0.2">
      <c r="BJ36038" s="201"/>
    </row>
    <row r="36039" spans="62:62" x14ac:dyDescent="0.2">
      <c r="BJ36039" s="201"/>
    </row>
    <row r="36040" spans="62:62" x14ac:dyDescent="0.2">
      <c r="BJ36040" s="201"/>
    </row>
    <row r="36041" spans="62:62" x14ac:dyDescent="0.2">
      <c r="BJ36041" s="201"/>
    </row>
    <row r="36042" spans="62:62" x14ac:dyDescent="0.2">
      <c r="BJ36042" s="201"/>
    </row>
    <row r="36043" spans="62:62" x14ac:dyDescent="0.2">
      <c r="BJ36043" s="201"/>
    </row>
    <row r="36044" spans="62:62" x14ac:dyDescent="0.2">
      <c r="BJ36044" s="201"/>
    </row>
    <row r="36045" spans="62:62" x14ac:dyDescent="0.2">
      <c r="BJ36045" s="201"/>
    </row>
    <row r="36046" spans="62:62" x14ac:dyDescent="0.2">
      <c r="BJ36046" s="201"/>
    </row>
    <row r="36047" spans="62:62" x14ac:dyDescent="0.2">
      <c r="BJ36047" s="201"/>
    </row>
    <row r="36048" spans="62:62" x14ac:dyDescent="0.2">
      <c r="BJ36048" s="201"/>
    </row>
    <row r="36049" spans="62:62" x14ac:dyDescent="0.2">
      <c r="BJ36049" s="201"/>
    </row>
    <row r="36050" spans="62:62" x14ac:dyDescent="0.2">
      <c r="BJ36050" s="201"/>
    </row>
    <row r="36051" spans="62:62" x14ac:dyDescent="0.2">
      <c r="BJ36051" s="201"/>
    </row>
    <row r="36052" spans="62:62" x14ac:dyDescent="0.2">
      <c r="BJ36052" s="201"/>
    </row>
    <row r="36053" spans="62:62" x14ac:dyDescent="0.2">
      <c r="BJ36053" s="201"/>
    </row>
    <row r="36054" spans="62:62" x14ac:dyDescent="0.2">
      <c r="BJ36054" s="201"/>
    </row>
    <row r="36055" spans="62:62" x14ac:dyDescent="0.2">
      <c r="BJ36055" s="201"/>
    </row>
    <row r="36056" spans="62:62" x14ac:dyDescent="0.2">
      <c r="BJ36056" s="201"/>
    </row>
    <row r="36057" spans="62:62" x14ac:dyDescent="0.2">
      <c r="BJ36057" s="201"/>
    </row>
    <row r="36058" spans="62:62" x14ac:dyDescent="0.2">
      <c r="BJ36058" s="201"/>
    </row>
    <row r="36059" spans="62:62" x14ac:dyDescent="0.2">
      <c r="BJ36059" s="201"/>
    </row>
    <row r="36060" spans="62:62" x14ac:dyDescent="0.2">
      <c r="BJ36060" s="201"/>
    </row>
    <row r="36061" spans="62:62" x14ac:dyDescent="0.2">
      <c r="BJ36061" s="201"/>
    </row>
    <row r="36062" spans="62:62" x14ac:dyDescent="0.2">
      <c r="BJ36062" s="201"/>
    </row>
    <row r="36063" spans="62:62" x14ac:dyDescent="0.2">
      <c r="BJ36063" s="201"/>
    </row>
    <row r="36064" spans="62:62" x14ac:dyDescent="0.2">
      <c r="BJ36064" s="201"/>
    </row>
    <row r="36065" spans="62:62" x14ac:dyDescent="0.2">
      <c r="BJ36065" s="201"/>
    </row>
    <row r="36066" spans="62:62" x14ac:dyDescent="0.2">
      <c r="BJ36066" s="201"/>
    </row>
    <row r="36067" spans="62:62" x14ac:dyDescent="0.2">
      <c r="BJ36067" s="201"/>
    </row>
    <row r="36068" spans="62:62" x14ac:dyDescent="0.2">
      <c r="BJ36068" s="201"/>
    </row>
    <row r="36069" spans="62:62" x14ac:dyDescent="0.2">
      <c r="BJ36069" s="201"/>
    </row>
    <row r="36070" spans="62:62" x14ac:dyDescent="0.2">
      <c r="BJ36070" s="201"/>
    </row>
    <row r="36071" spans="62:62" x14ac:dyDescent="0.2">
      <c r="BJ36071" s="201"/>
    </row>
    <row r="36072" spans="62:62" x14ac:dyDescent="0.2">
      <c r="BJ36072" s="201"/>
    </row>
    <row r="36073" spans="62:62" x14ac:dyDescent="0.2">
      <c r="BJ36073" s="201"/>
    </row>
    <row r="36074" spans="62:62" x14ac:dyDescent="0.2">
      <c r="BJ36074" s="201"/>
    </row>
    <row r="36075" spans="62:62" x14ac:dyDescent="0.2">
      <c r="BJ36075" s="201"/>
    </row>
    <row r="36076" spans="62:62" x14ac:dyDescent="0.2">
      <c r="BJ36076" s="201"/>
    </row>
    <row r="36077" spans="62:62" x14ac:dyDescent="0.2">
      <c r="BJ36077" s="201"/>
    </row>
    <row r="36078" spans="62:62" x14ac:dyDescent="0.2">
      <c r="BJ36078" s="201"/>
    </row>
    <row r="36079" spans="62:62" x14ac:dyDescent="0.2">
      <c r="BJ36079" s="201"/>
    </row>
    <row r="36080" spans="62:62" x14ac:dyDescent="0.2">
      <c r="BJ36080" s="201"/>
    </row>
    <row r="36081" spans="62:62" x14ac:dyDescent="0.2">
      <c r="BJ36081" s="201"/>
    </row>
    <row r="36082" spans="62:62" x14ac:dyDescent="0.2">
      <c r="BJ36082" s="201"/>
    </row>
    <row r="36083" spans="62:62" x14ac:dyDescent="0.2">
      <c r="BJ36083" s="201"/>
    </row>
    <row r="36084" spans="62:62" x14ac:dyDescent="0.2">
      <c r="BJ36084" s="201"/>
    </row>
    <row r="36085" spans="62:62" x14ac:dyDescent="0.2">
      <c r="BJ36085" s="201"/>
    </row>
    <row r="36086" spans="62:62" x14ac:dyDescent="0.2">
      <c r="BJ36086" s="201"/>
    </row>
    <row r="36087" spans="62:62" x14ac:dyDescent="0.2">
      <c r="BJ36087" s="201"/>
    </row>
    <row r="36088" spans="62:62" x14ac:dyDescent="0.2">
      <c r="BJ36088" s="201"/>
    </row>
    <row r="36089" spans="62:62" x14ac:dyDescent="0.2">
      <c r="BJ36089" s="201"/>
    </row>
    <row r="36090" spans="62:62" x14ac:dyDescent="0.2">
      <c r="BJ36090" s="201"/>
    </row>
    <row r="36091" spans="62:62" x14ac:dyDescent="0.2">
      <c r="BJ36091" s="201"/>
    </row>
    <row r="36092" spans="62:62" x14ac:dyDescent="0.2">
      <c r="BJ36092" s="201"/>
    </row>
    <row r="36093" spans="62:62" x14ac:dyDescent="0.2">
      <c r="BJ36093" s="201"/>
    </row>
    <row r="36094" spans="62:62" x14ac:dyDescent="0.2">
      <c r="BJ36094" s="201"/>
    </row>
    <row r="36095" spans="62:62" x14ac:dyDescent="0.2">
      <c r="BJ36095" s="201"/>
    </row>
    <row r="36096" spans="62:62" x14ac:dyDescent="0.2">
      <c r="BJ36096" s="201"/>
    </row>
    <row r="36097" spans="62:62" x14ac:dyDescent="0.2">
      <c r="BJ36097" s="201"/>
    </row>
    <row r="36098" spans="62:62" x14ac:dyDescent="0.2">
      <c r="BJ36098" s="201"/>
    </row>
    <row r="36099" spans="62:62" x14ac:dyDescent="0.2">
      <c r="BJ36099" s="201"/>
    </row>
    <row r="36100" spans="62:62" x14ac:dyDescent="0.2">
      <c r="BJ36100" s="201"/>
    </row>
    <row r="36101" spans="62:62" x14ac:dyDescent="0.2">
      <c r="BJ36101" s="201"/>
    </row>
    <row r="36102" spans="62:62" x14ac:dyDescent="0.2">
      <c r="BJ36102" s="201"/>
    </row>
    <row r="36103" spans="62:62" x14ac:dyDescent="0.2">
      <c r="BJ36103" s="201"/>
    </row>
    <row r="36104" spans="62:62" x14ac:dyDescent="0.2">
      <c r="BJ36104" s="201"/>
    </row>
    <row r="36105" spans="62:62" x14ac:dyDescent="0.2">
      <c r="BJ36105" s="201"/>
    </row>
    <row r="36106" spans="62:62" x14ac:dyDescent="0.2">
      <c r="BJ36106" s="201"/>
    </row>
    <row r="36107" spans="62:62" x14ac:dyDescent="0.2">
      <c r="BJ36107" s="201"/>
    </row>
    <row r="36108" spans="62:62" x14ac:dyDescent="0.2">
      <c r="BJ36108" s="201"/>
    </row>
    <row r="36109" spans="62:62" x14ac:dyDescent="0.2">
      <c r="BJ36109" s="201"/>
    </row>
    <row r="36110" spans="62:62" x14ac:dyDescent="0.2">
      <c r="BJ36110" s="201"/>
    </row>
    <row r="36111" spans="62:62" x14ac:dyDescent="0.2">
      <c r="BJ36111" s="201"/>
    </row>
    <row r="36112" spans="62:62" x14ac:dyDescent="0.2">
      <c r="BJ36112" s="201"/>
    </row>
    <row r="36113" spans="62:62" x14ac:dyDescent="0.2">
      <c r="BJ36113" s="201"/>
    </row>
    <row r="36114" spans="62:62" x14ac:dyDescent="0.2">
      <c r="BJ36114" s="201"/>
    </row>
    <row r="36115" spans="62:62" x14ac:dyDescent="0.2">
      <c r="BJ36115" s="201"/>
    </row>
    <row r="36116" spans="62:62" x14ac:dyDescent="0.2">
      <c r="BJ36116" s="201"/>
    </row>
    <row r="36117" spans="62:62" x14ac:dyDescent="0.2">
      <c r="BJ36117" s="201"/>
    </row>
    <row r="36118" spans="62:62" x14ac:dyDescent="0.2">
      <c r="BJ36118" s="201"/>
    </row>
    <row r="36119" spans="62:62" x14ac:dyDescent="0.2">
      <c r="BJ36119" s="201"/>
    </row>
    <row r="36120" spans="62:62" x14ac:dyDescent="0.2">
      <c r="BJ36120" s="201"/>
    </row>
    <row r="36121" spans="62:62" x14ac:dyDescent="0.2">
      <c r="BJ36121" s="201"/>
    </row>
    <row r="36122" spans="62:62" x14ac:dyDescent="0.2">
      <c r="BJ36122" s="201"/>
    </row>
    <row r="36123" spans="62:62" x14ac:dyDescent="0.2">
      <c r="BJ36123" s="201"/>
    </row>
    <row r="36124" spans="62:62" x14ac:dyDescent="0.2">
      <c r="BJ36124" s="201"/>
    </row>
    <row r="36125" spans="62:62" x14ac:dyDescent="0.2">
      <c r="BJ36125" s="201"/>
    </row>
    <row r="36126" spans="62:62" x14ac:dyDescent="0.2">
      <c r="BJ36126" s="201"/>
    </row>
    <row r="36127" spans="62:62" x14ac:dyDescent="0.2">
      <c r="BJ36127" s="201"/>
    </row>
    <row r="36128" spans="62:62" x14ac:dyDescent="0.2">
      <c r="BJ36128" s="201"/>
    </row>
    <row r="36129" spans="62:62" x14ac:dyDescent="0.2">
      <c r="BJ36129" s="201"/>
    </row>
    <row r="36130" spans="62:62" x14ac:dyDescent="0.2">
      <c r="BJ36130" s="201"/>
    </row>
    <row r="36131" spans="62:62" x14ac:dyDescent="0.2">
      <c r="BJ36131" s="201"/>
    </row>
    <row r="36132" spans="62:62" x14ac:dyDescent="0.2">
      <c r="BJ36132" s="201"/>
    </row>
    <row r="36133" spans="62:62" x14ac:dyDescent="0.2">
      <c r="BJ36133" s="201"/>
    </row>
    <row r="36134" spans="62:62" x14ac:dyDescent="0.2">
      <c r="BJ36134" s="201"/>
    </row>
    <row r="36135" spans="62:62" x14ac:dyDescent="0.2">
      <c r="BJ36135" s="201"/>
    </row>
    <row r="36136" spans="62:62" x14ac:dyDescent="0.2">
      <c r="BJ36136" s="201"/>
    </row>
    <row r="36137" spans="62:62" x14ac:dyDescent="0.2">
      <c r="BJ36137" s="201"/>
    </row>
    <row r="36138" spans="62:62" x14ac:dyDescent="0.2">
      <c r="BJ36138" s="201"/>
    </row>
    <row r="36139" spans="62:62" x14ac:dyDescent="0.2">
      <c r="BJ36139" s="201"/>
    </row>
    <row r="36140" spans="62:62" x14ac:dyDescent="0.2">
      <c r="BJ36140" s="201"/>
    </row>
    <row r="36141" spans="62:62" x14ac:dyDescent="0.2">
      <c r="BJ36141" s="201"/>
    </row>
    <row r="36142" spans="62:62" x14ac:dyDescent="0.2">
      <c r="BJ36142" s="201"/>
    </row>
    <row r="36143" spans="62:62" x14ac:dyDescent="0.2">
      <c r="BJ36143" s="201"/>
    </row>
    <row r="36144" spans="62:62" x14ac:dyDescent="0.2">
      <c r="BJ36144" s="201"/>
    </row>
    <row r="36145" spans="62:62" x14ac:dyDescent="0.2">
      <c r="BJ36145" s="201"/>
    </row>
    <row r="36146" spans="62:62" x14ac:dyDescent="0.2">
      <c r="BJ36146" s="201"/>
    </row>
    <row r="36147" spans="62:62" x14ac:dyDescent="0.2">
      <c r="BJ36147" s="201"/>
    </row>
    <row r="36148" spans="62:62" x14ac:dyDescent="0.2">
      <c r="BJ36148" s="201"/>
    </row>
    <row r="36149" spans="62:62" x14ac:dyDescent="0.2">
      <c r="BJ36149" s="201"/>
    </row>
    <row r="36150" spans="62:62" x14ac:dyDescent="0.2">
      <c r="BJ36150" s="201"/>
    </row>
    <row r="36151" spans="62:62" x14ac:dyDescent="0.2">
      <c r="BJ36151" s="201"/>
    </row>
    <row r="36152" spans="62:62" x14ac:dyDescent="0.2">
      <c r="BJ36152" s="201"/>
    </row>
    <row r="36153" spans="62:62" x14ac:dyDescent="0.2">
      <c r="BJ36153" s="201"/>
    </row>
    <row r="36154" spans="62:62" x14ac:dyDescent="0.2">
      <c r="BJ36154" s="201"/>
    </row>
    <row r="36155" spans="62:62" x14ac:dyDescent="0.2">
      <c r="BJ36155" s="201"/>
    </row>
    <row r="36156" spans="62:62" x14ac:dyDescent="0.2">
      <c r="BJ36156" s="201"/>
    </row>
    <row r="36157" spans="62:62" x14ac:dyDescent="0.2">
      <c r="BJ36157" s="201"/>
    </row>
    <row r="36158" spans="62:62" x14ac:dyDescent="0.2">
      <c r="BJ36158" s="201"/>
    </row>
    <row r="36159" spans="62:62" x14ac:dyDescent="0.2">
      <c r="BJ36159" s="201"/>
    </row>
    <row r="36160" spans="62:62" x14ac:dyDescent="0.2">
      <c r="BJ36160" s="201"/>
    </row>
    <row r="36161" spans="62:62" x14ac:dyDescent="0.2">
      <c r="BJ36161" s="201"/>
    </row>
    <row r="36162" spans="62:62" x14ac:dyDescent="0.2">
      <c r="BJ36162" s="201"/>
    </row>
    <row r="36163" spans="62:62" x14ac:dyDescent="0.2">
      <c r="BJ36163" s="201"/>
    </row>
    <row r="36164" spans="62:62" x14ac:dyDescent="0.2">
      <c r="BJ36164" s="201"/>
    </row>
    <row r="36165" spans="62:62" x14ac:dyDescent="0.2">
      <c r="BJ36165" s="201"/>
    </row>
    <row r="36166" spans="62:62" x14ac:dyDescent="0.2">
      <c r="BJ36166" s="201"/>
    </row>
    <row r="36167" spans="62:62" x14ac:dyDescent="0.2">
      <c r="BJ36167" s="201"/>
    </row>
    <row r="36168" spans="62:62" x14ac:dyDescent="0.2">
      <c r="BJ36168" s="201"/>
    </row>
    <row r="36169" spans="62:62" x14ac:dyDescent="0.2">
      <c r="BJ36169" s="201"/>
    </row>
    <row r="36170" spans="62:62" x14ac:dyDescent="0.2">
      <c r="BJ36170" s="201"/>
    </row>
    <row r="36171" spans="62:62" x14ac:dyDescent="0.2">
      <c r="BJ36171" s="201"/>
    </row>
    <row r="36172" spans="62:62" x14ac:dyDescent="0.2">
      <c r="BJ36172" s="201"/>
    </row>
    <row r="36173" spans="62:62" x14ac:dyDescent="0.2">
      <c r="BJ36173" s="201"/>
    </row>
    <row r="36174" spans="62:62" x14ac:dyDescent="0.2">
      <c r="BJ36174" s="201"/>
    </row>
    <row r="36175" spans="62:62" x14ac:dyDescent="0.2">
      <c r="BJ36175" s="201"/>
    </row>
    <row r="36176" spans="62:62" x14ac:dyDescent="0.2">
      <c r="BJ36176" s="201"/>
    </row>
    <row r="36177" spans="62:62" x14ac:dyDescent="0.2">
      <c r="BJ36177" s="201"/>
    </row>
    <row r="36178" spans="62:62" x14ac:dyDescent="0.2">
      <c r="BJ36178" s="201"/>
    </row>
    <row r="36179" spans="62:62" x14ac:dyDescent="0.2">
      <c r="BJ36179" s="201"/>
    </row>
    <row r="36180" spans="62:62" x14ac:dyDescent="0.2">
      <c r="BJ36180" s="201"/>
    </row>
    <row r="36181" spans="62:62" x14ac:dyDescent="0.2">
      <c r="BJ36181" s="201"/>
    </row>
    <row r="36182" spans="62:62" x14ac:dyDescent="0.2">
      <c r="BJ36182" s="201"/>
    </row>
    <row r="36183" spans="62:62" x14ac:dyDescent="0.2">
      <c r="BJ36183" s="201"/>
    </row>
    <row r="36184" spans="62:62" x14ac:dyDescent="0.2">
      <c r="BJ36184" s="201"/>
    </row>
    <row r="36185" spans="62:62" x14ac:dyDescent="0.2">
      <c r="BJ36185" s="201"/>
    </row>
    <row r="36186" spans="62:62" x14ac:dyDescent="0.2">
      <c r="BJ36186" s="201"/>
    </row>
    <row r="36187" spans="62:62" x14ac:dyDescent="0.2">
      <c r="BJ36187" s="201"/>
    </row>
    <row r="36188" spans="62:62" x14ac:dyDescent="0.2">
      <c r="BJ36188" s="201"/>
    </row>
    <row r="36189" spans="62:62" x14ac:dyDescent="0.2">
      <c r="BJ36189" s="201"/>
    </row>
    <row r="36190" spans="62:62" x14ac:dyDescent="0.2">
      <c r="BJ36190" s="201"/>
    </row>
    <row r="36191" spans="62:62" x14ac:dyDescent="0.2">
      <c r="BJ36191" s="201"/>
    </row>
    <row r="36192" spans="62:62" x14ac:dyDescent="0.2">
      <c r="BJ36192" s="201"/>
    </row>
    <row r="36193" spans="62:62" x14ac:dyDescent="0.2">
      <c r="BJ36193" s="201"/>
    </row>
    <row r="36194" spans="62:62" x14ac:dyDescent="0.2">
      <c r="BJ36194" s="201"/>
    </row>
    <row r="36195" spans="62:62" x14ac:dyDescent="0.2">
      <c r="BJ36195" s="201"/>
    </row>
    <row r="36196" spans="62:62" x14ac:dyDescent="0.2">
      <c r="BJ36196" s="201"/>
    </row>
    <row r="36197" spans="62:62" x14ac:dyDescent="0.2">
      <c r="BJ36197" s="201"/>
    </row>
    <row r="36198" spans="62:62" x14ac:dyDescent="0.2">
      <c r="BJ36198" s="201"/>
    </row>
    <row r="36199" spans="62:62" x14ac:dyDescent="0.2">
      <c r="BJ36199" s="201"/>
    </row>
    <row r="36200" spans="62:62" x14ac:dyDescent="0.2">
      <c r="BJ36200" s="201"/>
    </row>
    <row r="36201" spans="62:62" x14ac:dyDescent="0.2">
      <c r="BJ36201" s="201"/>
    </row>
    <row r="36202" spans="62:62" x14ac:dyDescent="0.2">
      <c r="BJ36202" s="201"/>
    </row>
    <row r="36203" spans="62:62" x14ac:dyDescent="0.2">
      <c r="BJ36203" s="201"/>
    </row>
    <row r="36204" spans="62:62" x14ac:dyDescent="0.2">
      <c r="BJ36204" s="201"/>
    </row>
    <row r="36205" spans="62:62" x14ac:dyDescent="0.2">
      <c r="BJ36205" s="201"/>
    </row>
    <row r="36206" spans="62:62" x14ac:dyDescent="0.2">
      <c r="BJ36206" s="201"/>
    </row>
    <row r="36207" spans="62:62" x14ac:dyDescent="0.2">
      <c r="BJ36207" s="201"/>
    </row>
    <row r="36208" spans="62:62" x14ac:dyDescent="0.2">
      <c r="BJ36208" s="201"/>
    </row>
    <row r="36209" spans="62:62" x14ac:dyDescent="0.2">
      <c r="BJ36209" s="201"/>
    </row>
    <row r="36210" spans="62:62" x14ac:dyDescent="0.2">
      <c r="BJ36210" s="201"/>
    </row>
    <row r="36211" spans="62:62" x14ac:dyDescent="0.2">
      <c r="BJ36211" s="201"/>
    </row>
    <row r="36212" spans="62:62" x14ac:dyDescent="0.2">
      <c r="BJ36212" s="201"/>
    </row>
    <row r="36213" spans="62:62" x14ac:dyDescent="0.2">
      <c r="BJ36213" s="201"/>
    </row>
    <row r="36214" spans="62:62" x14ac:dyDescent="0.2">
      <c r="BJ36214" s="201"/>
    </row>
    <row r="36215" spans="62:62" x14ac:dyDescent="0.2">
      <c r="BJ36215" s="201"/>
    </row>
    <row r="36216" spans="62:62" x14ac:dyDescent="0.2">
      <c r="BJ36216" s="201"/>
    </row>
    <row r="36217" spans="62:62" x14ac:dyDescent="0.2">
      <c r="BJ36217" s="201"/>
    </row>
    <row r="36218" spans="62:62" x14ac:dyDescent="0.2">
      <c r="BJ36218" s="201"/>
    </row>
    <row r="36219" spans="62:62" x14ac:dyDescent="0.2">
      <c r="BJ36219" s="201"/>
    </row>
    <row r="36220" spans="62:62" x14ac:dyDescent="0.2">
      <c r="BJ36220" s="201"/>
    </row>
    <row r="36221" spans="62:62" x14ac:dyDescent="0.2">
      <c r="BJ36221" s="201"/>
    </row>
    <row r="36222" spans="62:62" x14ac:dyDescent="0.2">
      <c r="BJ36222" s="201"/>
    </row>
    <row r="36223" spans="62:62" x14ac:dyDescent="0.2">
      <c r="BJ36223" s="201"/>
    </row>
    <row r="36224" spans="62:62" x14ac:dyDescent="0.2">
      <c r="BJ36224" s="201"/>
    </row>
    <row r="36225" spans="62:62" x14ac:dyDescent="0.2">
      <c r="BJ36225" s="201"/>
    </row>
    <row r="36226" spans="62:62" x14ac:dyDescent="0.2">
      <c r="BJ36226" s="201"/>
    </row>
    <row r="36227" spans="62:62" x14ac:dyDescent="0.2">
      <c r="BJ36227" s="201"/>
    </row>
    <row r="36228" spans="62:62" x14ac:dyDescent="0.2">
      <c r="BJ36228" s="201"/>
    </row>
    <row r="36229" spans="62:62" x14ac:dyDescent="0.2">
      <c r="BJ36229" s="201"/>
    </row>
    <row r="36230" spans="62:62" x14ac:dyDescent="0.2">
      <c r="BJ36230" s="201"/>
    </row>
    <row r="36231" spans="62:62" x14ac:dyDescent="0.2">
      <c r="BJ36231" s="201"/>
    </row>
    <row r="36232" spans="62:62" x14ac:dyDescent="0.2">
      <c r="BJ36232" s="201"/>
    </row>
    <row r="36233" spans="62:62" x14ac:dyDescent="0.2">
      <c r="BJ36233" s="201"/>
    </row>
    <row r="36234" spans="62:62" x14ac:dyDescent="0.2">
      <c r="BJ36234" s="201"/>
    </row>
    <row r="36235" spans="62:62" x14ac:dyDescent="0.2">
      <c r="BJ36235" s="201"/>
    </row>
    <row r="36236" spans="62:62" x14ac:dyDescent="0.2">
      <c r="BJ36236" s="201"/>
    </row>
    <row r="36237" spans="62:62" x14ac:dyDescent="0.2">
      <c r="BJ36237" s="201"/>
    </row>
    <row r="36238" spans="62:62" x14ac:dyDescent="0.2">
      <c r="BJ36238" s="201"/>
    </row>
    <row r="36239" spans="62:62" x14ac:dyDescent="0.2">
      <c r="BJ36239" s="201"/>
    </row>
    <row r="36240" spans="62:62" x14ac:dyDescent="0.2">
      <c r="BJ36240" s="201"/>
    </row>
    <row r="36241" spans="62:62" x14ac:dyDescent="0.2">
      <c r="BJ36241" s="201"/>
    </row>
    <row r="36242" spans="62:62" x14ac:dyDescent="0.2">
      <c r="BJ36242" s="201"/>
    </row>
    <row r="36243" spans="62:62" x14ac:dyDescent="0.2">
      <c r="BJ36243" s="201"/>
    </row>
    <row r="36244" spans="62:62" x14ac:dyDescent="0.2">
      <c r="BJ36244" s="201"/>
    </row>
    <row r="36245" spans="62:62" x14ac:dyDescent="0.2">
      <c r="BJ36245" s="201"/>
    </row>
    <row r="36246" spans="62:62" x14ac:dyDescent="0.2">
      <c r="BJ36246" s="201"/>
    </row>
    <row r="36247" spans="62:62" x14ac:dyDescent="0.2">
      <c r="BJ36247" s="201"/>
    </row>
    <row r="36248" spans="62:62" x14ac:dyDescent="0.2">
      <c r="BJ36248" s="201"/>
    </row>
    <row r="36249" spans="62:62" x14ac:dyDescent="0.2">
      <c r="BJ36249" s="201"/>
    </row>
    <row r="36250" spans="62:62" x14ac:dyDescent="0.2">
      <c r="BJ36250" s="201"/>
    </row>
    <row r="36251" spans="62:62" x14ac:dyDescent="0.2">
      <c r="BJ36251" s="201"/>
    </row>
    <row r="36252" spans="62:62" x14ac:dyDescent="0.2">
      <c r="BJ36252" s="201"/>
    </row>
    <row r="36253" spans="62:62" x14ac:dyDescent="0.2">
      <c r="BJ36253" s="201"/>
    </row>
    <row r="36254" spans="62:62" x14ac:dyDescent="0.2">
      <c r="BJ36254" s="201"/>
    </row>
    <row r="36255" spans="62:62" x14ac:dyDescent="0.2">
      <c r="BJ36255" s="201"/>
    </row>
    <row r="36256" spans="62:62" x14ac:dyDescent="0.2">
      <c r="BJ36256" s="201"/>
    </row>
    <row r="36257" spans="62:62" x14ac:dyDescent="0.2">
      <c r="BJ36257" s="201"/>
    </row>
    <row r="36258" spans="62:62" x14ac:dyDescent="0.2">
      <c r="BJ36258" s="201"/>
    </row>
    <row r="36259" spans="62:62" x14ac:dyDescent="0.2">
      <c r="BJ36259" s="201"/>
    </row>
    <row r="36260" spans="62:62" x14ac:dyDescent="0.2">
      <c r="BJ36260" s="201"/>
    </row>
    <row r="36261" spans="62:62" x14ac:dyDescent="0.2">
      <c r="BJ36261" s="201"/>
    </row>
    <row r="36262" spans="62:62" x14ac:dyDescent="0.2">
      <c r="BJ36262" s="201"/>
    </row>
    <row r="36263" spans="62:62" x14ac:dyDescent="0.2">
      <c r="BJ36263" s="201"/>
    </row>
    <row r="36264" spans="62:62" x14ac:dyDescent="0.2">
      <c r="BJ36264" s="201"/>
    </row>
    <row r="36265" spans="62:62" x14ac:dyDescent="0.2">
      <c r="BJ36265" s="201"/>
    </row>
    <row r="36266" spans="62:62" x14ac:dyDescent="0.2">
      <c r="BJ36266" s="201"/>
    </row>
    <row r="36267" spans="62:62" x14ac:dyDescent="0.2">
      <c r="BJ36267" s="201"/>
    </row>
    <row r="36268" spans="62:62" x14ac:dyDescent="0.2">
      <c r="BJ36268" s="201"/>
    </row>
    <row r="36269" spans="62:62" x14ac:dyDescent="0.2">
      <c r="BJ36269" s="201"/>
    </row>
    <row r="36270" spans="62:62" x14ac:dyDescent="0.2">
      <c r="BJ36270" s="201"/>
    </row>
    <row r="36271" spans="62:62" x14ac:dyDescent="0.2">
      <c r="BJ36271" s="201"/>
    </row>
    <row r="36272" spans="62:62" x14ac:dyDescent="0.2">
      <c r="BJ36272" s="201"/>
    </row>
    <row r="36273" spans="62:62" x14ac:dyDescent="0.2">
      <c r="BJ36273" s="201"/>
    </row>
    <row r="36274" spans="62:62" x14ac:dyDescent="0.2">
      <c r="BJ36274" s="201"/>
    </row>
    <row r="36275" spans="62:62" x14ac:dyDescent="0.2">
      <c r="BJ36275" s="201"/>
    </row>
    <row r="36276" spans="62:62" x14ac:dyDescent="0.2">
      <c r="BJ36276" s="201"/>
    </row>
    <row r="36277" spans="62:62" x14ac:dyDescent="0.2">
      <c r="BJ36277" s="201"/>
    </row>
    <row r="36278" spans="62:62" x14ac:dyDescent="0.2">
      <c r="BJ36278" s="201"/>
    </row>
    <row r="36279" spans="62:62" x14ac:dyDescent="0.2">
      <c r="BJ36279" s="201"/>
    </row>
    <row r="36280" spans="62:62" x14ac:dyDescent="0.2">
      <c r="BJ36280" s="201"/>
    </row>
    <row r="36281" spans="62:62" x14ac:dyDescent="0.2">
      <c r="BJ36281" s="201"/>
    </row>
    <row r="36282" spans="62:62" x14ac:dyDescent="0.2">
      <c r="BJ36282" s="201"/>
    </row>
    <row r="36283" spans="62:62" x14ac:dyDescent="0.2">
      <c r="BJ36283" s="201"/>
    </row>
    <row r="36284" spans="62:62" x14ac:dyDescent="0.2">
      <c r="BJ36284" s="201"/>
    </row>
    <row r="36285" spans="62:62" x14ac:dyDescent="0.2">
      <c r="BJ36285" s="201"/>
    </row>
    <row r="36286" spans="62:62" x14ac:dyDescent="0.2">
      <c r="BJ36286" s="201"/>
    </row>
    <row r="36287" spans="62:62" x14ac:dyDescent="0.2">
      <c r="BJ36287" s="201"/>
    </row>
    <row r="36288" spans="62:62" x14ac:dyDescent="0.2">
      <c r="BJ36288" s="201"/>
    </row>
    <row r="36289" spans="62:62" x14ac:dyDescent="0.2">
      <c r="BJ36289" s="201"/>
    </row>
    <row r="36290" spans="62:62" x14ac:dyDescent="0.2">
      <c r="BJ36290" s="201"/>
    </row>
    <row r="36291" spans="62:62" x14ac:dyDescent="0.2">
      <c r="BJ36291" s="201"/>
    </row>
    <row r="36292" spans="62:62" x14ac:dyDescent="0.2">
      <c r="BJ36292" s="201"/>
    </row>
    <row r="36293" spans="62:62" x14ac:dyDescent="0.2">
      <c r="BJ36293" s="201"/>
    </row>
    <row r="36294" spans="62:62" x14ac:dyDescent="0.2">
      <c r="BJ36294" s="201"/>
    </row>
    <row r="36295" spans="62:62" x14ac:dyDescent="0.2">
      <c r="BJ36295" s="201"/>
    </row>
    <row r="36296" spans="62:62" x14ac:dyDescent="0.2">
      <c r="BJ36296" s="201"/>
    </row>
    <row r="36297" spans="62:62" x14ac:dyDescent="0.2">
      <c r="BJ36297" s="201"/>
    </row>
    <row r="36298" spans="62:62" x14ac:dyDescent="0.2">
      <c r="BJ36298" s="201"/>
    </row>
    <row r="36299" spans="62:62" x14ac:dyDescent="0.2">
      <c r="BJ36299" s="201"/>
    </row>
    <row r="36300" spans="62:62" x14ac:dyDescent="0.2">
      <c r="BJ36300" s="201"/>
    </row>
    <row r="36301" spans="62:62" x14ac:dyDescent="0.2">
      <c r="BJ36301" s="201"/>
    </row>
    <row r="36302" spans="62:62" x14ac:dyDescent="0.2">
      <c r="BJ36302" s="201"/>
    </row>
    <row r="36303" spans="62:62" x14ac:dyDescent="0.2">
      <c r="BJ36303" s="201"/>
    </row>
    <row r="36304" spans="62:62" x14ac:dyDescent="0.2">
      <c r="BJ36304" s="201"/>
    </row>
    <row r="36305" spans="62:62" x14ac:dyDescent="0.2">
      <c r="BJ36305" s="201"/>
    </row>
    <row r="36306" spans="62:62" x14ac:dyDescent="0.2">
      <c r="BJ36306" s="201"/>
    </row>
    <row r="36307" spans="62:62" x14ac:dyDescent="0.2">
      <c r="BJ36307" s="201"/>
    </row>
    <row r="36308" spans="62:62" x14ac:dyDescent="0.2">
      <c r="BJ36308" s="201"/>
    </row>
    <row r="36309" spans="62:62" x14ac:dyDescent="0.2">
      <c r="BJ36309" s="201"/>
    </row>
    <row r="36310" spans="62:62" x14ac:dyDescent="0.2">
      <c r="BJ36310" s="201"/>
    </row>
    <row r="36311" spans="62:62" x14ac:dyDescent="0.2">
      <c r="BJ36311" s="201"/>
    </row>
    <row r="36312" spans="62:62" x14ac:dyDescent="0.2">
      <c r="BJ36312" s="201"/>
    </row>
    <row r="36313" spans="62:62" x14ac:dyDescent="0.2">
      <c r="BJ36313" s="201"/>
    </row>
    <row r="36314" spans="62:62" x14ac:dyDescent="0.2">
      <c r="BJ36314" s="201"/>
    </row>
    <row r="36315" spans="62:62" x14ac:dyDescent="0.2">
      <c r="BJ36315" s="201"/>
    </row>
    <row r="36316" spans="62:62" x14ac:dyDescent="0.2">
      <c r="BJ36316" s="201"/>
    </row>
    <row r="36317" spans="62:62" x14ac:dyDescent="0.2">
      <c r="BJ36317" s="201"/>
    </row>
    <row r="36318" spans="62:62" x14ac:dyDescent="0.2">
      <c r="BJ36318" s="201"/>
    </row>
    <row r="36319" spans="62:62" x14ac:dyDescent="0.2">
      <c r="BJ36319" s="201"/>
    </row>
    <row r="36320" spans="62:62" x14ac:dyDescent="0.2">
      <c r="BJ36320" s="201"/>
    </row>
    <row r="36321" spans="62:62" x14ac:dyDescent="0.2">
      <c r="BJ36321" s="201"/>
    </row>
    <row r="36322" spans="62:62" x14ac:dyDescent="0.2">
      <c r="BJ36322" s="201"/>
    </row>
    <row r="36323" spans="62:62" x14ac:dyDescent="0.2">
      <c r="BJ36323" s="201"/>
    </row>
    <row r="36324" spans="62:62" x14ac:dyDescent="0.2">
      <c r="BJ36324" s="201"/>
    </row>
    <row r="36325" spans="62:62" x14ac:dyDescent="0.2">
      <c r="BJ36325" s="201"/>
    </row>
    <row r="36326" spans="62:62" x14ac:dyDescent="0.2">
      <c r="BJ36326" s="201"/>
    </row>
    <row r="36327" spans="62:62" x14ac:dyDescent="0.2">
      <c r="BJ36327" s="201"/>
    </row>
    <row r="36328" spans="62:62" x14ac:dyDescent="0.2">
      <c r="BJ36328" s="201"/>
    </row>
    <row r="36329" spans="62:62" x14ac:dyDescent="0.2">
      <c r="BJ36329" s="201"/>
    </row>
    <row r="36330" spans="62:62" x14ac:dyDescent="0.2">
      <c r="BJ36330" s="201"/>
    </row>
    <row r="36331" spans="62:62" x14ac:dyDescent="0.2">
      <c r="BJ36331" s="201"/>
    </row>
    <row r="36332" spans="62:62" x14ac:dyDescent="0.2">
      <c r="BJ36332" s="201"/>
    </row>
    <row r="36333" spans="62:62" x14ac:dyDescent="0.2">
      <c r="BJ36333" s="201"/>
    </row>
    <row r="36334" spans="62:62" x14ac:dyDescent="0.2">
      <c r="BJ36334" s="201"/>
    </row>
    <row r="36335" spans="62:62" x14ac:dyDescent="0.2">
      <c r="BJ36335" s="201"/>
    </row>
    <row r="36336" spans="62:62" x14ac:dyDescent="0.2">
      <c r="BJ36336" s="201"/>
    </row>
    <row r="36337" spans="62:62" x14ac:dyDescent="0.2">
      <c r="BJ36337" s="201"/>
    </row>
    <row r="36338" spans="62:62" x14ac:dyDescent="0.2">
      <c r="BJ36338" s="201"/>
    </row>
    <row r="36339" spans="62:62" x14ac:dyDescent="0.2">
      <c r="BJ36339" s="201"/>
    </row>
    <row r="36340" spans="62:62" x14ac:dyDescent="0.2">
      <c r="BJ36340" s="201"/>
    </row>
    <row r="36341" spans="62:62" x14ac:dyDescent="0.2">
      <c r="BJ36341" s="201"/>
    </row>
    <row r="36342" spans="62:62" x14ac:dyDescent="0.2">
      <c r="BJ36342" s="201"/>
    </row>
    <row r="36343" spans="62:62" x14ac:dyDescent="0.2">
      <c r="BJ36343" s="201"/>
    </row>
    <row r="36344" spans="62:62" x14ac:dyDescent="0.2">
      <c r="BJ36344" s="201"/>
    </row>
    <row r="36345" spans="62:62" x14ac:dyDescent="0.2">
      <c r="BJ36345" s="201"/>
    </row>
    <row r="36346" spans="62:62" x14ac:dyDescent="0.2">
      <c r="BJ36346" s="201"/>
    </row>
    <row r="36347" spans="62:62" x14ac:dyDescent="0.2">
      <c r="BJ36347" s="201"/>
    </row>
    <row r="36348" spans="62:62" x14ac:dyDescent="0.2">
      <c r="BJ36348" s="201"/>
    </row>
    <row r="36349" spans="62:62" x14ac:dyDescent="0.2">
      <c r="BJ36349" s="201"/>
    </row>
    <row r="36350" spans="62:62" x14ac:dyDescent="0.2">
      <c r="BJ36350" s="201"/>
    </row>
    <row r="36351" spans="62:62" x14ac:dyDescent="0.2">
      <c r="BJ36351" s="201"/>
    </row>
    <row r="36352" spans="62:62" x14ac:dyDescent="0.2">
      <c r="BJ36352" s="201"/>
    </row>
    <row r="36353" spans="62:62" x14ac:dyDescent="0.2">
      <c r="BJ36353" s="201"/>
    </row>
    <row r="36354" spans="62:62" x14ac:dyDescent="0.2">
      <c r="BJ36354" s="201"/>
    </row>
    <row r="36355" spans="62:62" x14ac:dyDescent="0.2">
      <c r="BJ36355" s="201"/>
    </row>
    <row r="36356" spans="62:62" x14ac:dyDescent="0.2">
      <c r="BJ36356" s="201"/>
    </row>
    <row r="36357" spans="62:62" x14ac:dyDescent="0.2">
      <c r="BJ36357" s="201"/>
    </row>
    <row r="36358" spans="62:62" x14ac:dyDescent="0.2">
      <c r="BJ36358" s="201"/>
    </row>
    <row r="36359" spans="62:62" x14ac:dyDescent="0.2">
      <c r="BJ36359" s="201"/>
    </row>
    <row r="36360" spans="62:62" x14ac:dyDescent="0.2">
      <c r="BJ36360" s="201"/>
    </row>
    <row r="36361" spans="62:62" x14ac:dyDescent="0.2">
      <c r="BJ36361" s="201"/>
    </row>
    <row r="36362" spans="62:62" x14ac:dyDescent="0.2">
      <c r="BJ36362" s="201"/>
    </row>
    <row r="36363" spans="62:62" x14ac:dyDescent="0.2">
      <c r="BJ36363" s="201"/>
    </row>
    <row r="36364" spans="62:62" x14ac:dyDescent="0.2">
      <c r="BJ36364" s="201"/>
    </row>
    <row r="36365" spans="62:62" x14ac:dyDescent="0.2">
      <c r="BJ36365" s="201"/>
    </row>
    <row r="36366" spans="62:62" x14ac:dyDescent="0.2">
      <c r="BJ36366" s="201"/>
    </row>
    <row r="36367" spans="62:62" x14ac:dyDescent="0.2">
      <c r="BJ36367" s="201"/>
    </row>
    <row r="36368" spans="62:62" x14ac:dyDescent="0.2">
      <c r="BJ36368" s="201"/>
    </row>
    <row r="36369" spans="62:62" x14ac:dyDescent="0.2">
      <c r="BJ36369" s="201"/>
    </row>
    <row r="36370" spans="62:62" x14ac:dyDescent="0.2">
      <c r="BJ36370" s="201"/>
    </row>
    <row r="36371" spans="62:62" x14ac:dyDescent="0.2">
      <c r="BJ36371" s="201"/>
    </row>
    <row r="36372" spans="62:62" x14ac:dyDescent="0.2">
      <c r="BJ36372" s="201"/>
    </row>
    <row r="36373" spans="62:62" x14ac:dyDescent="0.2">
      <c r="BJ36373" s="201"/>
    </row>
    <row r="36374" spans="62:62" x14ac:dyDescent="0.2">
      <c r="BJ36374" s="201"/>
    </row>
    <row r="36375" spans="62:62" x14ac:dyDescent="0.2">
      <c r="BJ36375" s="201"/>
    </row>
    <row r="36376" spans="62:62" x14ac:dyDescent="0.2">
      <c r="BJ36376" s="201"/>
    </row>
    <row r="36377" spans="62:62" x14ac:dyDescent="0.2">
      <c r="BJ36377" s="201"/>
    </row>
    <row r="36378" spans="62:62" x14ac:dyDescent="0.2">
      <c r="BJ36378" s="201"/>
    </row>
    <row r="36379" spans="62:62" x14ac:dyDescent="0.2">
      <c r="BJ36379" s="201"/>
    </row>
    <row r="36380" spans="62:62" x14ac:dyDescent="0.2">
      <c r="BJ36380" s="201"/>
    </row>
    <row r="36381" spans="62:62" x14ac:dyDescent="0.2">
      <c r="BJ36381" s="201"/>
    </row>
    <row r="36382" spans="62:62" x14ac:dyDescent="0.2">
      <c r="BJ36382" s="201"/>
    </row>
    <row r="36383" spans="62:62" x14ac:dyDescent="0.2">
      <c r="BJ36383" s="201"/>
    </row>
    <row r="36384" spans="62:62" x14ac:dyDescent="0.2">
      <c r="BJ36384" s="201"/>
    </row>
    <row r="36385" spans="62:62" x14ac:dyDescent="0.2">
      <c r="BJ36385" s="201"/>
    </row>
    <row r="36386" spans="62:62" x14ac:dyDescent="0.2">
      <c r="BJ36386" s="201"/>
    </row>
    <row r="36387" spans="62:62" x14ac:dyDescent="0.2">
      <c r="BJ36387" s="201"/>
    </row>
    <row r="36388" spans="62:62" x14ac:dyDescent="0.2">
      <c r="BJ36388" s="201"/>
    </row>
    <row r="36389" spans="62:62" x14ac:dyDescent="0.2">
      <c r="BJ36389" s="201"/>
    </row>
    <row r="36390" spans="62:62" x14ac:dyDescent="0.2">
      <c r="BJ36390" s="201"/>
    </row>
    <row r="36391" spans="62:62" x14ac:dyDescent="0.2">
      <c r="BJ36391" s="201"/>
    </row>
    <row r="36392" spans="62:62" x14ac:dyDescent="0.2">
      <c r="BJ36392" s="201"/>
    </row>
    <row r="36393" spans="62:62" x14ac:dyDescent="0.2">
      <c r="BJ36393" s="201"/>
    </row>
    <row r="36394" spans="62:62" x14ac:dyDescent="0.2">
      <c r="BJ36394" s="201"/>
    </row>
    <row r="36395" spans="62:62" x14ac:dyDescent="0.2">
      <c r="BJ36395" s="201"/>
    </row>
    <row r="36396" spans="62:62" x14ac:dyDescent="0.2">
      <c r="BJ36396" s="201"/>
    </row>
    <row r="36397" spans="62:62" x14ac:dyDescent="0.2">
      <c r="BJ36397" s="201"/>
    </row>
    <row r="36398" spans="62:62" x14ac:dyDescent="0.2">
      <c r="BJ36398" s="201"/>
    </row>
    <row r="36399" spans="62:62" x14ac:dyDescent="0.2">
      <c r="BJ36399" s="201"/>
    </row>
    <row r="36400" spans="62:62" x14ac:dyDescent="0.2">
      <c r="BJ36400" s="201"/>
    </row>
    <row r="36401" spans="62:62" x14ac:dyDescent="0.2">
      <c r="BJ36401" s="201"/>
    </row>
    <row r="36402" spans="62:62" x14ac:dyDescent="0.2">
      <c r="BJ36402" s="201"/>
    </row>
    <row r="36403" spans="62:62" x14ac:dyDescent="0.2">
      <c r="BJ36403" s="201"/>
    </row>
    <row r="36404" spans="62:62" x14ac:dyDescent="0.2">
      <c r="BJ36404" s="201"/>
    </row>
    <row r="36405" spans="62:62" x14ac:dyDescent="0.2">
      <c r="BJ36405" s="201"/>
    </row>
    <row r="36406" spans="62:62" x14ac:dyDescent="0.2">
      <c r="BJ36406" s="201"/>
    </row>
    <row r="36407" spans="62:62" x14ac:dyDescent="0.2">
      <c r="BJ36407" s="201"/>
    </row>
    <row r="36408" spans="62:62" x14ac:dyDescent="0.2">
      <c r="BJ36408" s="201"/>
    </row>
    <row r="36409" spans="62:62" x14ac:dyDescent="0.2">
      <c r="BJ36409" s="201"/>
    </row>
    <row r="36410" spans="62:62" x14ac:dyDescent="0.2">
      <c r="BJ36410" s="201"/>
    </row>
    <row r="36411" spans="62:62" x14ac:dyDescent="0.2">
      <c r="BJ36411" s="201"/>
    </row>
    <row r="36412" spans="62:62" x14ac:dyDescent="0.2">
      <c r="BJ36412" s="201"/>
    </row>
    <row r="36413" spans="62:62" x14ac:dyDescent="0.2">
      <c r="BJ36413" s="201"/>
    </row>
    <row r="36414" spans="62:62" x14ac:dyDescent="0.2">
      <c r="BJ36414" s="201"/>
    </row>
    <row r="36415" spans="62:62" x14ac:dyDescent="0.2">
      <c r="BJ36415" s="201"/>
    </row>
    <row r="36416" spans="62:62" x14ac:dyDescent="0.2">
      <c r="BJ36416" s="201"/>
    </row>
    <row r="36417" spans="62:62" x14ac:dyDescent="0.2">
      <c r="BJ36417" s="201"/>
    </row>
    <row r="36418" spans="62:62" x14ac:dyDescent="0.2">
      <c r="BJ36418" s="201"/>
    </row>
    <row r="36419" spans="62:62" x14ac:dyDescent="0.2">
      <c r="BJ36419" s="201"/>
    </row>
    <row r="36420" spans="62:62" x14ac:dyDescent="0.2">
      <c r="BJ36420" s="201"/>
    </row>
    <row r="36421" spans="62:62" x14ac:dyDescent="0.2">
      <c r="BJ36421" s="201"/>
    </row>
    <row r="36422" spans="62:62" x14ac:dyDescent="0.2">
      <c r="BJ36422" s="201"/>
    </row>
    <row r="36423" spans="62:62" x14ac:dyDescent="0.2">
      <c r="BJ36423" s="201"/>
    </row>
    <row r="36424" spans="62:62" x14ac:dyDescent="0.2">
      <c r="BJ36424" s="201"/>
    </row>
    <row r="36425" spans="62:62" x14ac:dyDescent="0.2">
      <c r="BJ36425" s="201"/>
    </row>
    <row r="36426" spans="62:62" x14ac:dyDescent="0.2">
      <c r="BJ36426" s="201"/>
    </row>
    <row r="36427" spans="62:62" x14ac:dyDescent="0.2">
      <c r="BJ36427" s="201"/>
    </row>
    <row r="36428" spans="62:62" x14ac:dyDescent="0.2">
      <c r="BJ36428" s="201"/>
    </row>
    <row r="36429" spans="62:62" x14ac:dyDescent="0.2">
      <c r="BJ36429" s="201"/>
    </row>
    <row r="36430" spans="62:62" x14ac:dyDescent="0.2">
      <c r="BJ36430" s="201"/>
    </row>
    <row r="36431" spans="62:62" x14ac:dyDescent="0.2">
      <c r="BJ36431" s="201"/>
    </row>
    <row r="36432" spans="62:62" x14ac:dyDescent="0.2">
      <c r="BJ36432" s="201"/>
    </row>
    <row r="36433" spans="62:62" x14ac:dyDescent="0.2">
      <c r="BJ36433" s="201"/>
    </row>
    <row r="36434" spans="62:62" x14ac:dyDescent="0.2">
      <c r="BJ36434" s="201"/>
    </row>
    <row r="36435" spans="62:62" x14ac:dyDescent="0.2">
      <c r="BJ36435" s="201"/>
    </row>
    <row r="36436" spans="62:62" x14ac:dyDescent="0.2">
      <c r="BJ36436" s="201"/>
    </row>
    <row r="36437" spans="62:62" x14ac:dyDescent="0.2">
      <c r="BJ36437" s="201"/>
    </row>
    <row r="36438" spans="62:62" x14ac:dyDescent="0.2">
      <c r="BJ36438" s="201"/>
    </row>
    <row r="36439" spans="62:62" x14ac:dyDescent="0.2">
      <c r="BJ36439" s="201"/>
    </row>
    <row r="36440" spans="62:62" x14ac:dyDescent="0.2">
      <c r="BJ36440" s="201"/>
    </row>
    <row r="36441" spans="62:62" x14ac:dyDescent="0.2">
      <c r="BJ36441" s="201"/>
    </row>
    <row r="36442" spans="62:62" x14ac:dyDescent="0.2">
      <c r="BJ36442" s="201"/>
    </row>
    <row r="36443" spans="62:62" x14ac:dyDescent="0.2">
      <c r="BJ36443" s="201"/>
    </row>
    <row r="36444" spans="62:62" x14ac:dyDescent="0.2">
      <c r="BJ36444" s="201"/>
    </row>
    <row r="36445" spans="62:62" x14ac:dyDescent="0.2">
      <c r="BJ36445" s="201"/>
    </row>
    <row r="36446" spans="62:62" x14ac:dyDescent="0.2">
      <c r="BJ36446" s="201"/>
    </row>
    <row r="36447" spans="62:62" x14ac:dyDescent="0.2">
      <c r="BJ36447" s="201"/>
    </row>
    <row r="36448" spans="62:62" x14ac:dyDescent="0.2">
      <c r="BJ36448" s="201"/>
    </row>
    <row r="36449" spans="62:62" x14ac:dyDescent="0.2">
      <c r="BJ36449" s="201"/>
    </row>
    <row r="36450" spans="62:62" x14ac:dyDescent="0.2">
      <c r="BJ36450" s="201"/>
    </row>
    <row r="36451" spans="62:62" x14ac:dyDescent="0.2">
      <c r="BJ36451" s="201"/>
    </row>
    <row r="36452" spans="62:62" x14ac:dyDescent="0.2">
      <c r="BJ36452" s="201"/>
    </row>
    <row r="36453" spans="62:62" x14ac:dyDescent="0.2">
      <c r="BJ36453" s="201"/>
    </row>
    <row r="36454" spans="62:62" x14ac:dyDescent="0.2">
      <c r="BJ36454" s="201"/>
    </row>
    <row r="36455" spans="62:62" x14ac:dyDescent="0.2">
      <c r="BJ36455" s="201"/>
    </row>
    <row r="36456" spans="62:62" x14ac:dyDescent="0.2">
      <c r="BJ36456" s="201"/>
    </row>
    <row r="36457" spans="62:62" x14ac:dyDescent="0.2">
      <c r="BJ36457" s="201"/>
    </row>
    <row r="36458" spans="62:62" x14ac:dyDescent="0.2">
      <c r="BJ36458" s="201"/>
    </row>
    <row r="36459" spans="62:62" x14ac:dyDescent="0.2">
      <c r="BJ36459" s="201"/>
    </row>
    <row r="36460" spans="62:62" x14ac:dyDescent="0.2">
      <c r="BJ36460" s="201"/>
    </row>
    <row r="36461" spans="62:62" x14ac:dyDescent="0.2">
      <c r="BJ36461" s="201"/>
    </row>
    <row r="36462" spans="62:62" x14ac:dyDescent="0.2">
      <c r="BJ36462" s="201"/>
    </row>
    <row r="36463" spans="62:62" x14ac:dyDescent="0.2">
      <c r="BJ36463" s="201"/>
    </row>
    <row r="36464" spans="62:62" x14ac:dyDescent="0.2">
      <c r="BJ36464" s="201"/>
    </row>
    <row r="36465" spans="62:62" x14ac:dyDescent="0.2">
      <c r="BJ36465" s="201"/>
    </row>
    <row r="36466" spans="62:62" x14ac:dyDescent="0.2">
      <c r="BJ36466" s="201"/>
    </row>
    <row r="36467" spans="62:62" x14ac:dyDescent="0.2">
      <c r="BJ36467" s="201"/>
    </row>
    <row r="36468" spans="62:62" x14ac:dyDescent="0.2">
      <c r="BJ36468" s="201"/>
    </row>
    <row r="36469" spans="62:62" x14ac:dyDescent="0.2">
      <c r="BJ36469" s="201"/>
    </row>
    <row r="36470" spans="62:62" x14ac:dyDescent="0.2">
      <c r="BJ36470" s="201"/>
    </row>
    <row r="36471" spans="62:62" x14ac:dyDescent="0.2">
      <c r="BJ36471" s="201"/>
    </row>
    <row r="36472" spans="62:62" x14ac:dyDescent="0.2">
      <c r="BJ36472" s="201"/>
    </row>
    <row r="36473" spans="62:62" x14ac:dyDescent="0.2">
      <c r="BJ36473" s="201"/>
    </row>
    <row r="36474" spans="62:62" x14ac:dyDescent="0.2">
      <c r="BJ36474" s="201"/>
    </row>
    <row r="36475" spans="62:62" x14ac:dyDescent="0.2">
      <c r="BJ36475" s="201"/>
    </row>
    <row r="36476" spans="62:62" x14ac:dyDescent="0.2">
      <c r="BJ36476" s="201"/>
    </row>
    <row r="36477" spans="62:62" x14ac:dyDescent="0.2">
      <c r="BJ36477" s="201"/>
    </row>
    <row r="36478" spans="62:62" x14ac:dyDescent="0.2">
      <c r="BJ36478" s="201"/>
    </row>
    <row r="36479" spans="62:62" x14ac:dyDescent="0.2">
      <c r="BJ36479" s="201"/>
    </row>
    <row r="36480" spans="62:62" x14ac:dyDescent="0.2">
      <c r="BJ36480" s="201"/>
    </row>
    <row r="36481" spans="62:62" x14ac:dyDescent="0.2">
      <c r="BJ36481" s="201"/>
    </row>
    <row r="36482" spans="62:62" x14ac:dyDescent="0.2">
      <c r="BJ36482" s="201"/>
    </row>
    <row r="36483" spans="62:62" x14ac:dyDescent="0.2">
      <c r="BJ36483" s="201"/>
    </row>
    <row r="36484" spans="62:62" x14ac:dyDescent="0.2">
      <c r="BJ36484" s="201"/>
    </row>
    <row r="36485" spans="62:62" x14ac:dyDescent="0.2">
      <c r="BJ36485" s="201"/>
    </row>
    <row r="36486" spans="62:62" x14ac:dyDescent="0.2">
      <c r="BJ36486" s="201"/>
    </row>
    <row r="36487" spans="62:62" x14ac:dyDescent="0.2">
      <c r="BJ36487" s="201"/>
    </row>
    <row r="36488" spans="62:62" x14ac:dyDescent="0.2">
      <c r="BJ36488" s="201"/>
    </row>
    <row r="36489" spans="62:62" x14ac:dyDescent="0.2">
      <c r="BJ36489" s="201"/>
    </row>
    <row r="36490" spans="62:62" x14ac:dyDescent="0.2">
      <c r="BJ36490" s="201"/>
    </row>
    <row r="36491" spans="62:62" x14ac:dyDescent="0.2">
      <c r="BJ36491" s="201"/>
    </row>
    <row r="36492" spans="62:62" x14ac:dyDescent="0.2">
      <c r="BJ36492" s="201"/>
    </row>
    <row r="36493" spans="62:62" x14ac:dyDescent="0.2">
      <c r="BJ36493" s="201"/>
    </row>
    <row r="36494" spans="62:62" x14ac:dyDescent="0.2">
      <c r="BJ36494" s="201"/>
    </row>
    <row r="36495" spans="62:62" x14ac:dyDescent="0.2">
      <c r="BJ36495" s="201"/>
    </row>
    <row r="36496" spans="62:62" x14ac:dyDescent="0.2">
      <c r="BJ36496" s="201"/>
    </row>
    <row r="36497" spans="62:62" x14ac:dyDescent="0.2">
      <c r="BJ36497" s="201"/>
    </row>
    <row r="36498" spans="62:62" x14ac:dyDescent="0.2">
      <c r="BJ36498" s="201"/>
    </row>
    <row r="36499" spans="62:62" x14ac:dyDescent="0.2">
      <c r="BJ36499" s="201"/>
    </row>
    <row r="36500" spans="62:62" x14ac:dyDescent="0.2">
      <c r="BJ36500" s="201"/>
    </row>
    <row r="36501" spans="62:62" x14ac:dyDescent="0.2">
      <c r="BJ36501" s="201"/>
    </row>
    <row r="36502" spans="62:62" x14ac:dyDescent="0.2">
      <c r="BJ36502" s="201"/>
    </row>
    <row r="36503" spans="62:62" x14ac:dyDescent="0.2">
      <c r="BJ36503" s="201"/>
    </row>
    <row r="36504" spans="62:62" x14ac:dyDescent="0.2">
      <c r="BJ36504" s="201"/>
    </row>
    <row r="36505" spans="62:62" x14ac:dyDescent="0.2">
      <c r="BJ36505" s="201"/>
    </row>
    <row r="36506" spans="62:62" x14ac:dyDescent="0.2">
      <c r="BJ36506" s="201"/>
    </row>
    <row r="36507" spans="62:62" x14ac:dyDescent="0.2">
      <c r="BJ36507" s="201"/>
    </row>
    <row r="36508" spans="62:62" x14ac:dyDescent="0.2">
      <c r="BJ36508" s="201"/>
    </row>
    <row r="36509" spans="62:62" x14ac:dyDescent="0.2">
      <c r="BJ36509" s="201"/>
    </row>
    <row r="36510" spans="62:62" x14ac:dyDescent="0.2">
      <c r="BJ36510" s="201"/>
    </row>
    <row r="36511" spans="62:62" x14ac:dyDescent="0.2">
      <c r="BJ36511" s="201"/>
    </row>
    <row r="36512" spans="62:62" x14ac:dyDescent="0.2">
      <c r="BJ36512" s="201"/>
    </row>
    <row r="36513" spans="62:62" x14ac:dyDescent="0.2">
      <c r="BJ36513" s="201"/>
    </row>
    <row r="36514" spans="62:62" x14ac:dyDescent="0.2">
      <c r="BJ36514" s="201"/>
    </row>
    <row r="36515" spans="62:62" x14ac:dyDescent="0.2">
      <c r="BJ36515" s="201"/>
    </row>
    <row r="36516" spans="62:62" x14ac:dyDescent="0.2">
      <c r="BJ36516" s="201"/>
    </row>
    <row r="36517" spans="62:62" x14ac:dyDescent="0.2">
      <c r="BJ36517" s="201"/>
    </row>
    <row r="36518" spans="62:62" x14ac:dyDescent="0.2">
      <c r="BJ36518" s="201"/>
    </row>
    <row r="36519" spans="62:62" x14ac:dyDescent="0.2">
      <c r="BJ36519" s="201"/>
    </row>
    <row r="36520" spans="62:62" x14ac:dyDescent="0.2">
      <c r="BJ36520" s="201"/>
    </row>
    <row r="36521" spans="62:62" x14ac:dyDescent="0.2">
      <c r="BJ36521" s="201"/>
    </row>
    <row r="36522" spans="62:62" x14ac:dyDescent="0.2">
      <c r="BJ36522" s="201"/>
    </row>
    <row r="36523" spans="62:62" x14ac:dyDescent="0.2">
      <c r="BJ36523" s="201"/>
    </row>
    <row r="36524" spans="62:62" x14ac:dyDescent="0.2">
      <c r="BJ36524" s="201"/>
    </row>
    <row r="36525" spans="62:62" x14ac:dyDescent="0.2">
      <c r="BJ36525" s="201"/>
    </row>
    <row r="36526" spans="62:62" x14ac:dyDescent="0.2">
      <c r="BJ36526" s="201"/>
    </row>
    <row r="36527" spans="62:62" x14ac:dyDescent="0.2">
      <c r="BJ36527" s="201"/>
    </row>
    <row r="36528" spans="62:62" x14ac:dyDescent="0.2">
      <c r="BJ36528" s="201"/>
    </row>
    <row r="36529" spans="62:62" x14ac:dyDescent="0.2">
      <c r="BJ36529" s="201"/>
    </row>
    <row r="36530" spans="62:62" x14ac:dyDescent="0.2">
      <c r="BJ36530" s="201"/>
    </row>
    <row r="36531" spans="62:62" x14ac:dyDescent="0.2">
      <c r="BJ36531" s="201"/>
    </row>
    <row r="36532" spans="62:62" x14ac:dyDescent="0.2">
      <c r="BJ36532" s="201"/>
    </row>
    <row r="36533" spans="62:62" x14ac:dyDescent="0.2">
      <c r="BJ36533" s="201"/>
    </row>
    <row r="36534" spans="62:62" x14ac:dyDescent="0.2">
      <c r="BJ36534" s="201"/>
    </row>
    <row r="36535" spans="62:62" x14ac:dyDescent="0.2">
      <c r="BJ36535" s="201"/>
    </row>
    <row r="36536" spans="62:62" x14ac:dyDescent="0.2">
      <c r="BJ36536" s="201"/>
    </row>
    <row r="36537" spans="62:62" x14ac:dyDescent="0.2">
      <c r="BJ36537" s="201"/>
    </row>
    <row r="36538" spans="62:62" x14ac:dyDescent="0.2">
      <c r="BJ36538" s="201"/>
    </row>
    <row r="36539" spans="62:62" x14ac:dyDescent="0.2">
      <c r="BJ36539" s="201"/>
    </row>
    <row r="36540" spans="62:62" x14ac:dyDescent="0.2">
      <c r="BJ36540" s="201"/>
    </row>
    <row r="36541" spans="62:62" x14ac:dyDescent="0.2">
      <c r="BJ36541" s="201"/>
    </row>
    <row r="36542" spans="62:62" x14ac:dyDescent="0.2">
      <c r="BJ36542" s="201"/>
    </row>
    <row r="36543" spans="62:62" x14ac:dyDescent="0.2">
      <c r="BJ36543" s="201"/>
    </row>
    <row r="36544" spans="62:62" x14ac:dyDescent="0.2">
      <c r="BJ36544" s="201"/>
    </row>
    <row r="36545" spans="62:62" x14ac:dyDescent="0.2">
      <c r="BJ36545" s="201"/>
    </row>
    <row r="36546" spans="62:62" x14ac:dyDescent="0.2">
      <c r="BJ36546" s="201"/>
    </row>
    <row r="36547" spans="62:62" x14ac:dyDescent="0.2">
      <c r="BJ36547" s="201"/>
    </row>
    <row r="36548" spans="62:62" x14ac:dyDescent="0.2">
      <c r="BJ36548" s="201"/>
    </row>
    <row r="36549" spans="62:62" x14ac:dyDescent="0.2">
      <c r="BJ36549" s="201"/>
    </row>
    <row r="36550" spans="62:62" x14ac:dyDescent="0.2">
      <c r="BJ36550" s="201"/>
    </row>
    <row r="36551" spans="62:62" x14ac:dyDescent="0.2">
      <c r="BJ36551" s="201"/>
    </row>
    <row r="36552" spans="62:62" x14ac:dyDescent="0.2">
      <c r="BJ36552" s="201"/>
    </row>
    <row r="36553" spans="62:62" x14ac:dyDescent="0.2">
      <c r="BJ36553" s="201"/>
    </row>
    <row r="36554" spans="62:62" x14ac:dyDescent="0.2">
      <c r="BJ36554" s="201"/>
    </row>
    <row r="36555" spans="62:62" x14ac:dyDescent="0.2">
      <c r="BJ36555" s="201"/>
    </row>
    <row r="36556" spans="62:62" x14ac:dyDescent="0.2">
      <c r="BJ36556" s="201"/>
    </row>
    <row r="36557" spans="62:62" x14ac:dyDescent="0.2">
      <c r="BJ36557" s="201"/>
    </row>
    <row r="36558" spans="62:62" x14ac:dyDescent="0.2">
      <c r="BJ36558" s="201"/>
    </row>
    <row r="36559" spans="62:62" x14ac:dyDescent="0.2">
      <c r="BJ36559" s="201"/>
    </row>
    <row r="36560" spans="62:62" x14ac:dyDescent="0.2">
      <c r="BJ36560" s="201"/>
    </row>
    <row r="36561" spans="62:62" x14ac:dyDescent="0.2">
      <c r="BJ36561" s="201"/>
    </row>
    <row r="36562" spans="62:62" x14ac:dyDescent="0.2">
      <c r="BJ36562" s="201"/>
    </row>
    <row r="36563" spans="62:62" x14ac:dyDescent="0.2">
      <c r="BJ36563" s="201"/>
    </row>
    <row r="36564" spans="62:62" x14ac:dyDescent="0.2">
      <c r="BJ36564" s="201"/>
    </row>
    <row r="36565" spans="62:62" x14ac:dyDescent="0.2">
      <c r="BJ36565" s="201"/>
    </row>
    <row r="36566" spans="62:62" x14ac:dyDescent="0.2">
      <c r="BJ36566" s="201"/>
    </row>
    <row r="36567" spans="62:62" x14ac:dyDescent="0.2">
      <c r="BJ36567" s="201"/>
    </row>
    <row r="36568" spans="62:62" x14ac:dyDescent="0.2">
      <c r="BJ36568" s="201"/>
    </row>
    <row r="36569" spans="62:62" x14ac:dyDescent="0.2">
      <c r="BJ36569" s="201"/>
    </row>
    <row r="36570" spans="62:62" x14ac:dyDescent="0.2">
      <c r="BJ36570" s="201"/>
    </row>
    <row r="36571" spans="62:62" x14ac:dyDescent="0.2">
      <c r="BJ36571" s="201"/>
    </row>
    <row r="36572" spans="62:62" x14ac:dyDescent="0.2">
      <c r="BJ36572" s="201"/>
    </row>
    <row r="36573" spans="62:62" x14ac:dyDescent="0.2">
      <c r="BJ36573" s="201"/>
    </row>
    <row r="36574" spans="62:62" x14ac:dyDescent="0.2">
      <c r="BJ36574" s="201"/>
    </row>
    <row r="36575" spans="62:62" x14ac:dyDescent="0.2">
      <c r="BJ36575" s="201"/>
    </row>
    <row r="36576" spans="62:62" x14ac:dyDescent="0.2">
      <c r="BJ36576" s="201"/>
    </row>
    <row r="36577" spans="62:62" x14ac:dyDescent="0.2">
      <c r="BJ36577" s="201"/>
    </row>
    <row r="36578" spans="62:62" x14ac:dyDescent="0.2">
      <c r="BJ36578" s="201"/>
    </row>
    <row r="36579" spans="62:62" x14ac:dyDescent="0.2">
      <c r="BJ36579" s="201"/>
    </row>
    <row r="36580" spans="62:62" x14ac:dyDescent="0.2">
      <c r="BJ36580" s="201"/>
    </row>
    <row r="36581" spans="62:62" x14ac:dyDescent="0.2">
      <c r="BJ36581" s="201"/>
    </row>
    <row r="36582" spans="62:62" x14ac:dyDescent="0.2">
      <c r="BJ36582" s="201"/>
    </row>
    <row r="36583" spans="62:62" x14ac:dyDescent="0.2">
      <c r="BJ36583" s="201"/>
    </row>
    <row r="36584" spans="62:62" x14ac:dyDescent="0.2">
      <c r="BJ36584" s="201"/>
    </row>
    <row r="36585" spans="62:62" x14ac:dyDescent="0.2">
      <c r="BJ36585" s="201"/>
    </row>
    <row r="36586" spans="62:62" x14ac:dyDescent="0.2">
      <c r="BJ36586" s="201"/>
    </row>
    <row r="36587" spans="62:62" x14ac:dyDescent="0.2">
      <c r="BJ36587" s="201"/>
    </row>
    <row r="36588" spans="62:62" x14ac:dyDescent="0.2">
      <c r="BJ36588" s="201"/>
    </row>
    <row r="36589" spans="62:62" x14ac:dyDescent="0.2">
      <c r="BJ36589" s="201"/>
    </row>
    <row r="36590" spans="62:62" x14ac:dyDescent="0.2">
      <c r="BJ36590" s="201"/>
    </row>
    <row r="36591" spans="62:62" x14ac:dyDescent="0.2">
      <c r="BJ36591" s="201"/>
    </row>
    <row r="36592" spans="62:62" x14ac:dyDescent="0.2">
      <c r="BJ36592" s="201"/>
    </row>
    <row r="36593" spans="62:62" x14ac:dyDescent="0.2">
      <c r="BJ36593" s="201"/>
    </row>
    <row r="36594" spans="62:62" x14ac:dyDescent="0.2">
      <c r="BJ36594" s="201"/>
    </row>
    <row r="36595" spans="62:62" x14ac:dyDescent="0.2">
      <c r="BJ36595" s="201"/>
    </row>
    <row r="36596" spans="62:62" x14ac:dyDescent="0.2">
      <c r="BJ36596" s="201"/>
    </row>
    <row r="36597" spans="62:62" x14ac:dyDescent="0.2">
      <c r="BJ36597" s="201"/>
    </row>
    <row r="36598" spans="62:62" x14ac:dyDescent="0.2">
      <c r="BJ36598" s="201"/>
    </row>
    <row r="36599" spans="62:62" x14ac:dyDescent="0.2">
      <c r="BJ36599" s="201"/>
    </row>
    <row r="36600" spans="62:62" x14ac:dyDescent="0.2">
      <c r="BJ36600" s="201"/>
    </row>
    <row r="36601" spans="62:62" x14ac:dyDescent="0.2">
      <c r="BJ36601" s="201"/>
    </row>
    <row r="36602" spans="62:62" x14ac:dyDescent="0.2">
      <c r="BJ36602" s="201"/>
    </row>
    <row r="36603" spans="62:62" x14ac:dyDescent="0.2">
      <c r="BJ36603" s="201"/>
    </row>
    <row r="36604" spans="62:62" x14ac:dyDescent="0.2">
      <c r="BJ36604" s="201"/>
    </row>
    <row r="36605" spans="62:62" x14ac:dyDescent="0.2">
      <c r="BJ36605" s="201"/>
    </row>
    <row r="36606" spans="62:62" x14ac:dyDescent="0.2">
      <c r="BJ36606" s="201"/>
    </row>
    <row r="36607" spans="62:62" x14ac:dyDescent="0.2">
      <c r="BJ36607" s="201"/>
    </row>
    <row r="36608" spans="62:62" x14ac:dyDescent="0.2">
      <c r="BJ36608" s="201"/>
    </row>
    <row r="36609" spans="62:62" x14ac:dyDescent="0.2">
      <c r="BJ36609" s="201"/>
    </row>
    <row r="36610" spans="62:62" x14ac:dyDescent="0.2">
      <c r="BJ36610" s="201"/>
    </row>
    <row r="36611" spans="62:62" x14ac:dyDescent="0.2">
      <c r="BJ36611" s="201"/>
    </row>
    <row r="36612" spans="62:62" x14ac:dyDescent="0.2">
      <c r="BJ36612" s="201"/>
    </row>
    <row r="36613" spans="62:62" x14ac:dyDescent="0.2">
      <c r="BJ36613" s="201"/>
    </row>
    <row r="36614" spans="62:62" x14ac:dyDescent="0.2">
      <c r="BJ36614" s="201"/>
    </row>
    <row r="36615" spans="62:62" x14ac:dyDescent="0.2">
      <c r="BJ36615" s="201"/>
    </row>
    <row r="36616" spans="62:62" x14ac:dyDescent="0.2">
      <c r="BJ36616" s="201"/>
    </row>
    <row r="36617" spans="62:62" x14ac:dyDescent="0.2">
      <c r="BJ36617" s="201"/>
    </row>
    <row r="36618" spans="62:62" x14ac:dyDescent="0.2">
      <c r="BJ36618" s="201"/>
    </row>
    <row r="36619" spans="62:62" x14ac:dyDescent="0.2">
      <c r="BJ36619" s="201"/>
    </row>
    <row r="36620" spans="62:62" x14ac:dyDescent="0.2">
      <c r="BJ36620" s="201"/>
    </row>
    <row r="36621" spans="62:62" x14ac:dyDescent="0.2">
      <c r="BJ36621" s="201"/>
    </row>
    <row r="36622" spans="62:62" x14ac:dyDescent="0.2">
      <c r="BJ36622" s="201"/>
    </row>
    <row r="36623" spans="62:62" x14ac:dyDescent="0.2">
      <c r="BJ36623" s="201"/>
    </row>
    <row r="36624" spans="62:62" x14ac:dyDescent="0.2">
      <c r="BJ36624" s="201"/>
    </row>
    <row r="36625" spans="62:62" x14ac:dyDescent="0.2">
      <c r="BJ36625" s="201"/>
    </row>
    <row r="36626" spans="62:62" x14ac:dyDescent="0.2">
      <c r="BJ36626" s="201"/>
    </row>
    <row r="36627" spans="62:62" x14ac:dyDescent="0.2">
      <c r="BJ36627" s="201"/>
    </row>
    <row r="36628" spans="62:62" x14ac:dyDescent="0.2">
      <c r="BJ36628" s="201"/>
    </row>
    <row r="36629" spans="62:62" x14ac:dyDescent="0.2">
      <c r="BJ36629" s="201"/>
    </row>
    <row r="36630" spans="62:62" x14ac:dyDescent="0.2">
      <c r="BJ36630" s="201"/>
    </row>
    <row r="36631" spans="62:62" x14ac:dyDescent="0.2">
      <c r="BJ36631" s="201"/>
    </row>
    <row r="36632" spans="62:62" x14ac:dyDescent="0.2">
      <c r="BJ36632" s="201"/>
    </row>
    <row r="36633" spans="62:62" x14ac:dyDescent="0.2">
      <c r="BJ36633" s="201"/>
    </row>
    <row r="36634" spans="62:62" x14ac:dyDescent="0.2">
      <c r="BJ36634" s="201"/>
    </row>
    <row r="36635" spans="62:62" x14ac:dyDescent="0.2">
      <c r="BJ36635" s="201"/>
    </row>
    <row r="36636" spans="62:62" x14ac:dyDescent="0.2">
      <c r="BJ36636" s="201"/>
    </row>
    <row r="36637" spans="62:62" x14ac:dyDescent="0.2">
      <c r="BJ36637" s="201"/>
    </row>
    <row r="36638" spans="62:62" x14ac:dyDescent="0.2">
      <c r="BJ36638" s="201"/>
    </row>
    <row r="36639" spans="62:62" x14ac:dyDescent="0.2">
      <c r="BJ36639" s="201"/>
    </row>
    <row r="36640" spans="62:62" x14ac:dyDescent="0.2">
      <c r="BJ36640" s="201"/>
    </row>
    <row r="36641" spans="62:62" x14ac:dyDescent="0.2">
      <c r="BJ36641" s="201"/>
    </row>
    <row r="36642" spans="62:62" x14ac:dyDescent="0.2">
      <c r="BJ36642" s="201"/>
    </row>
    <row r="36643" spans="62:62" x14ac:dyDescent="0.2">
      <c r="BJ36643" s="201"/>
    </row>
    <row r="36644" spans="62:62" x14ac:dyDescent="0.2">
      <c r="BJ36644" s="201"/>
    </row>
    <row r="36645" spans="62:62" x14ac:dyDescent="0.2">
      <c r="BJ36645" s="201"/>
    </row>
    <row r="36646" spans="62:62" x14ac:dyDescent="0.2">
      <c r="BJ36646" s="201"/>
    </row>
    <row r="36647" spans="62:62" x14ac:dyDescent="0.2">
      <c r="BJ36647" s="201"/>
    </row>
    <row r="36648" spans="62:62" x14ac:dyDescent="0.2">
      <c r="BJ36648" s="201"/>
    </row>
    <row r="36649" spans="62:62" x14ac:dyDescent="0.2">
      <c r="BJ36649" s="201"/>
    </row>
    <row r="36650" spans="62:62" x14ac:dyDescent="0.2">
      <c r="BJ36650" s="201"/>
    </row>
    <row r="36651" spans="62:62" x14ac:dyDescent="0.2">
      <c r="BJ36651" s="201"/>
    </row>
    <row r="36652" spans="62:62" x14ac:dyDescent="0.2">
      <c r="BJ36652" s="201"/>
    </row>
    <row r="36653" spans="62:62" x14ac:dyDescent="0.2">
      <c r="BJ36653" s="201"/>
    </row>
    <row r="36654" spans="62:62" x14ac:dyDescent="0.2">
      <c r="BJ36654" s="201"/>
    </row>
    <row r="36655" spans="62:62" x14ac:dyDescent="0.2">
      <c r="BJ36655" s="201"/>
    </row>
    <row r="36656" spans="62:62" x14ac:dyDescent="0.2">
      <c r="BJ36656" s="201"/>
    </row>
    <row r="36657" spans="62:62" x14ac:dyDescent="0.2">
      <c r="BJ36657" s="201"/>
    </row>
    <row r="36658" spans="62:62" x14ac:dyDescent="0.2">
      <c r="BJ36658" s="201"/>
    </row>
    <row r="36659" spans="62:62" x14ac:dyDescent="0.2">
      <c r="BJ36659" s="201"/>
    </row>
    <row r="36660" spans="62:62" x14ac:dyDescent="0.2">
      <c r="BJ36660" s="201"/>
    </row>
    <row r="36661" spans="62:62" x14ac:dyDescent="0.2">
      <c r="BJ36661" s="201"/>
    </row>
    <row r="36662" spans="62:62" x14ac:dyDescent="0.2">
      <c r="BJ36662" s="201"/>
    </row>
    <row r="36663" spans="62:62" x14ac:dyDescent="0.2">
      <c r="BJ36663" s="201"/>
    </row>
    <row r="36664" spans="62:62" x14ac:dyDescent="0.2">
      <c r="BJ36664" s="201"/>
    </row>
    <row r="36665" spans="62:62" x14ac:dyDescent="0.2">
      <c r="BJ36665" s="201"/>
    </row>
    <row r="36666" spans="62:62" x14ac:dyDescent="0.2">
      <c r="BJ36666" s="201"/>
    </row>
    <row r="36667" spans="62:62" x14ac:dyDescent="0.2">
      <c r="BJ36667" s="201"/>
    </row>
    <row r="36668" spans="62:62" x14ac:dyDescent="0.2">
      <c r="BJ36668" s="201"/>
    </row>
    <row r="36669" spans="62:62" x14ac:dyDescent="0.2">
      <c r="BJ36669" s="201"/>
    </row>
    <row r="36670" spans="62:62" x14ac:dyDescent="0.2">
      <c r="BJ36670" s="201"/>
    </row>
    <row r="36671" spans="62:62" x14ac:dyDescent="0.2">
      <c r="BJ36671" s="201"/>
    </row>
    <row r="36672" spans="62:62" x14ac:dyDescent="0.2">
      <c r="BJ36672" s="201"/>
    </row>
    <row r="36673" spans="62:62" x14ac:dyDescent="0.2">
      <c r="BJ36673" s="201"/>
    </row>
    <row r="36674" spans="62:62" x14ac:dyDescent="0.2">
      <c r="BJ36674" s="201"/>
    </row>
    <row r="36675" spans="62:62" x14ac:dyDescent="0.2">
      <c r="BJ36675" s="201"/>
    </row>
    <row r="36676" spans="62:62" x14ac:dyDescent="0.2">
      <c r="BJ36676" s="201"/>
    </row>
    <row r="36677" spans="62:62" x14ac:dyDescent="0.2">
      <c r="BJ36677" s="201"/>
    </row>
    <row r="36678" spans="62:62" x14ac:dyDescent="0.2">
      <c r="BJ36678" s="201"/>
    </row>
    <row r="36679" spans="62:62" x14ac:dyDescent="0.2">
      <c r="BJ36679" s="201"/>
    </row>
    <row r="36680" spans="62:62" x14ac:dyDescent="0.2">
      <c r="BJ36680" s="201"/>
    </row>
    <row r="36681" spans="62:62" x14ac:dyDescent="0.2">
      <c r="BJ36681" s="201"/>
    </row>
    <row r="36682" spans="62:62" x14ac:dyDescent="0.2">
      <c r="BJ36682" s="201"/>
    </row>
    <row r="36683" spans="62:62" x14ac:dyDescent="0.2">
      <c r="BJ36683" s="201"/>
    </row>
    <row r="36684" spans="62:62" x14ac:dyDescent="0.2">
      <c r="BJ36684" s="201"/>
    </row>
    <row r="36685" spans="62:62" x14ac:dyDescent="0.2">
      <c r="BJ36685" s="201"/>
    </row>
    <row r="36686" spans="62:62" x14ac:dyDescent="0.2">
      <c r="BJ36686" s="201"/>
    </row>
    <row r="36687" spans="62:62" x14ac:dyDescent="0.2">
      <c r="BJ36687" s="201"/>
    </row>
    <row r="36688" spans="62:62" x14ac:dyDescent="0.2">
      <c r="BJ36688" s="201"/>
    </row>
    <row r="36689" spans="62:62" x14ac:dyDescent="0.2">
      <c r="BJ36689" s="201"/>
    </row>
    <row r="36690" spans="62:62" x14ac:dyDescent="0.2">
      <c r="BJ36690" s="201"/>
    </row>
    <row r="36691" spans="62:62" x14ac:dyDescent="0.2">
      <c r="BJ36691" s="201"/>
    </row>
    <row r="36692" spans="62:62" x14ac:dyDescent="0.2">
      <c r="BJ36692" s="201"/>
    </row>
    <row r="36693" spans="62:62" x14ac:dyDescent="0.2">
      <c r="BJ36693" s="201"/>
    </row>
    <row r="36694" spans="62:62" x14ac:dyDescent="0.2">
      <c r="BJ36694" s="201"/>
    </row>
    <row r="36695" spans="62:62" x14ac:dyDescent="0.2">
      <c r="BJ36695" s="201"/>
    </row>
    <row r="36696" spans="62:62" x14ac:dyDescent="0.2">
      <c r="BJ36696" s="201"/>
    </row>
    <row r="36697" spans="62:62" x14ac:dyDescent="0.2">
      <c r="BJ36697" s="201"/>
    </row>
    <row r="36698" spans="62:62" x14ac:dyDescent="0.2">
      <c r="BJ36698" s="201"/>
    </row>
    <row r="36699" spans="62:62" x14ac:dyDescent="0.2">
      <c r="BJ36699" s="201"/>
    </row>
    <row r="36700" spans="62:62" x14ac:dyDescent="0.2">
      <c r="BJ36700" s="201"/>
    </row>
    <row r="36701" spans="62:62" x14ac:dyDescent="0.2">
      <c r="BJ36701" s="201"/>
    </row>
    <row r="36702" spans="62:62" x14ac:dyDescent="0.2">
      <c r="BJ36702" s="201"/>
    </row>
    <row r="36703" spans="62:62" x14ac:dyDescent="0.2">
      <c r="BJ36703" s="201"/>
    </row>
    <row r="36704" spans="62:62" x14ac:dyDescent="0.2">
      <c r="BJ36704" s="201"/>
    </row>
    <row r="36705" spans="62:62" x14ac:dyDescent="0.2">
      <c r="BJ36705" s="201"/>
    </row>
    <row r="36706" spans="62:62" x14ac:dyDescent="0.2">
      <c r="BJ36706" s="201"/>
    </row>
    <row r="36707" spans="62:62" x14ac:dyDescent="0.2">
      <c r="BJ36707" s="201"/>
    </row>
    <row r="36708" spans="62:62" x14ac:dyDescent="0.2">
      <c r="BJ36708" s="201"/>
    </row>
    <row r="36709" spans="62:62" x14ac:dyDescent="0.2">
      <c r="BJ36709" s="201"/>
    </row>
    <row r="36710" spans="62:62" x14ac:dyDescent="0.2">
      <c r="BJ36710" s="201"/>
    </row>
    <row r="36711" spans="62:62" x14ac:dyDescent="0.2">
      <c r="BJ36711" s="201"/>
    </row>
    <row r="36712" spans="62:62" x14ac:dyDescent="0.2">
      <c r="BJ36712" s="201"/>
    </row>
    <row r="36713" spans="62:62" x14ac:dyDescent="0.2">
      <c r="BJ36713" s="201"/>
    </row>
    <row r="36714" spans="62:62" x14ac:dyDescent="0.2">
      <c r="BJ36714" s="201"/>
    </row>
    <row r="36715" spans="62:62" x14ac:dyDescent="0.2">
      <c r="BJ36715" s="201"/>
    </row>
    <row r="36716" spans="62:62" x14ac:dyDescent="0.2">
      <c r="BJ36716" s="201"/>
    </row>
    <row r="36717" spans="62:62" x14ac:dyDescent="0.2">
      <c r="BJ36717" s="201"/>
    </row>
    <row r="36718" spans="62:62" x14ac:dyDescent="0.2">
      <c r="BJ36718" s="201"/>
    </row>
    <row r="36719" spans="62:62" x14ac:dyDescent="0.2">
      <c r="BJ36719" s="201"/>
    </row>
    <row r="36720" spans="62:62" x14ac:dyDescent="0.2">
      <c r="BJ36720" s="201"/>
    </row>
    <row r="36721" spans="62:62" x14ac:dyDescent="0.2">
      <c r="BJ36721" s="201"/>
    </row>
    <row r="36722" spans="62:62" x14ac:dyDescent="0.2">
      <c r="BJ36722" s="201"/>
    </row>
    <row r="36723" spans="62:62" x14ac:dyDescent="0.2">
      <c r="BJ36723" s="201"/>
    </row>
    <row r="36724" spans="62:62" x14ac:dyDescent="0.2">
      <c r="BJ36724" s="201"/>
    </row>
    <row r="36725" spans="62:62" x14ac:dyDescent="0.2">
      <c r="BJ36725" s="201"/>
    </row>
    <row r="36726" spans="62:62" x14ac:dyDescent="0.2">
      <c r="BJ36726" s="201"/>
    </row>
    <row r="36727" spans="62:62" x14ac:dyDescent="0.2">
      <c r="BJ36727" s="201"/>
    </row>
    <row r="36728" spans="62:62" x14ac:dyDescent="0.2">
      <c r="BJ36728" s="201"/>
    </row>
    <row r="36729" spans="62:62" x14ac:dyDescent="0.2">
      <c r="BJ36729" s="201"/>
    </row>
    <row r="36730" spans="62:62" x14ac:dyDescent="0.2">
      <c r="BJ36730" s="201"/>
    </row>
    <row r="36731" spans="62:62" x14ac:dyDescent="0.2">
      <c r="BJ36731" s="201"/>
    </row>
    <row r="36732" spans="62:62" x14ac:dyDescent="0.2">
      <c r="BJ36732" s="201"/>
    </row>
    <row r="36733" spans="62:62" x14ac:dyDescent="0.2">
      <c r="BJ36733" s="201"/>
    </row>
    <row r="36734" spans="62:62" x14ac:dyDescent="0.2">
      <c r="BJ36734" s="201"/>
    </row>
    <row r="36735" spans="62:62" x14ac:dyDescent="0.2">
      <c r="BJ36735" s="201"/>
    </row>
    <row r="36736" spans="62:62" x14ac:dyDescent="0.2">
      <c r="BJ36736" s="201"/>
    </row>
    <row r="36737" spans="62:62" x14ac:dyDescent="0.2">
      <c r="BJ36737" s="201"/>
    </row>
    <row r="36738" spans="62:62" x14ac:dyDescent="0.2">
      <c r="BJ36738" s="201"/>
    </row>
    <row r="36739" spans="62:62" x14ac:dyDescent="0.2">
      <c r="BJ36739" s="201"/>
    </row>
    <row r="36740" spans="62:62" x14ac:dyDescent="0.2">
      <c r="BJ36740" s="201"/>
    </row>
    <row r="36741" spans="62:62" x14ac:dyDescent="0.2">
      <c r="BJ36741" s="201"/>
    </row>
    <row r="36742" spans="62:62" x14ac:dyDescent="0.2">
      <c r="BJ36742" s="201"/>
    </row>
    <row r="36743" spans="62:62" x14ac:dyDescent="0.2">
      <c r="BJ36743" s="201"/>
    </row>
    <row r="36744" spans="62:62" x14ac:dyDescent="0.2">
      <c r="BJ36744" s="201"/>
    </row>
    <row r="36745" spans="62:62" x14ac:dyDescent="0.2">
      <c r="BJ36745" s="201"/>
    </row>
    <row r="36746" spans="62:62" x14ac:dyDescent="0.2">
      <c r="BJ36746" s="201"/>
    </row>
    <row r="36747" spans="62:62" x14ac:dyDescent="0.2">
      <c r="BJ36747" s="201"/>
    </row>
    <row r="36748" spans="62:62" x14ac:dyDescent="0.2">
      <c r="BJ36748" s="201"/>
    </row>
    <row r="36749" spans="62:62" x14ac:dyDescent="0.2">
      <c r="BJ36749" s="201"/>
    </row>
    <row r="36750" spans="62:62" x14ac:dyDescent="0.2">
      <c r="BJ36750" s="201"/>
    </row>
    <row r="36751" spans="62:62" x14ac:dyDescent="0.2">
      <c r="BJ36751" s="201"/>
    </row>
    <row r="36752" spans="62:62" x14ac:dyDescent="0.2">
      <c r="BJ36752" s="201"/>
    </row>
    <row r="36753" spans="62:62" x14ac:dyDescent="0.2">
      <c r="BJ36753" s="201"/>
    </row>
    <row r="36754" spans="62:62" x14ac:dyDescent="0.2">
      <c r="BJ36754" s="201"/>
    </row>
    <row r="36755" spans="62:62" x14ac:dyDescent="0.2">
      <c r="BJ36755" s="201"/>
    </row>
    <row r="36756" spans="62:62" x14ac:dyDescent="0.2">
      <c r="BJ36756" s="201"/>
    </row>
    <row r="36757" spans="62:62" x14ac:dyDescent="0.2">
      <c r="BJ36757" s="201"/>
    </row>
    <row r="36758" spans="62:62" x14ac:dyDescent="0.2">
      <c r="BJ36758" s="201"/>
    </row>
    <row r="36759" spans="62:62" x14ac:dyDescent="0.2">
      <c r="BJ36759" s="201"/>
    </row>
    <row r="36760" spans="62:62" x14ac:dyDescent="0.2">
      <c r="BJ36760" s="201"/>
    </row>
    <row r="36761" spans="62:62" x14ac:dyDescent="0.2">
      <c r="BJ36761" s="201"/>
    </row>
    <row r="36762" spans="62:62" x14ac:dyDescent="0.2">
      <c r="BJ36762" s="201"/>
    </row>
    <row r="36763" spans="62:62" x14ac:dyDescent="0.2">
      <c r="BJ36763" s="201"/>
    </row>
    <row r="36764" spans="62:62" x14ac:dyDescent="0.2">
      <c r="BJ36764" s="201"/>
    </row>
    <row r="36765" spans="62:62" x14ac:dyDescent="0.2">
      <c r="BJ36765" s="201"/>
    </row>
    <row r="36766" spans="62:62" x14ac:dyDescent="0.2">
      <c r="BJ36766" s="201"/>
    </row>
    <row r="36767" spans="62:62" x14ac:dyDescent="0.2">
      <c r="BJ36767" s="201"/>
    </row>
    <row r="36768" spans="62:62" x14ac:dyDescent="0.2">
      <c r="BJ36768" s="201"/>
    </row>
    <row r="36769" spans="62:62" x14ac:dyDescent="0.2">
      <c r="BJ36769" s="201"/>
    </row>
    <row r="36770" spans="62:62" x14ac:dyDescent="0.2">
      <c r="BJ36770" s="201"/>
    </row>
    <row r="36771" spans="62:62" x14ac:dyDescent="0.2">
      <c r="BJ36771" s="201"/>
    </row>
    <row r="36772" spans="62:62" x14ac:dyDescent="0.2">
      <c r="BJ36772" s="201"/>
    </row>
    <row r="36773" spans="62:62" x14ac:dyDescent="0.2">
      <c r="BJ36773" s="201"/>
    </row>
    <row r="36774" spans="62:62" x14ac:dyDescent="0.2">
      <c r="BJ36774" s="201"/>
    </row>
    <row r="36775" spans="62:62" x14ac:dyDescent="0.2">
      <c r="BJ36775" s="201"/>
    </row>
    <row r="36776" spans="62:62" x14ac:dyDescent="0.2">
      <c r="BJ36776" s="201"/>
    </row>
    <row r="36777" spans="62:62" x14ac:dyDescent="0.2">
      <c r="BJ36777" s="201"/>
    </row>
    <row r="36778" spans="62:62" x14ac:dyDescent="0.2">
      <c r="BJ36778" s="201"/>
    </row>
    <row r="36779" spans="62:62" x14ac:dyDescent="0.2">
      <c r="BJ36779" s="201"/>
    </row>
    <row r="36780" spans="62:62" x14ac:dyDescent="0.2">
      <c r="BJ36780" s="201"/>
    </row>
    <row r="36781" spans="62:62" x14ac:dyDescent="0.2">
      <c r="BJ36781" s="201"/>
    </row>
    <row r="36782" spans="62:62" x14ac:dyDescent="0.2">
      <c r="BJ36782" s="201"/>
    </row>
    <row r="36783" spans="62:62" x14ac:dyDescent="0.2">
      <c r="BJ36783" s="201"/>
    </row>
    <row r="36784" spans="62:62" x14ac:dyDescent="0.2">
      <c r="BJ36784" s="201"/>
    </row>
    <row r="36785" spans="62:62" x14ac:dyDescent="0.2">
      <c r="BJ36785" s="201"/>
    </row>
    <row r="36786" spans="62:62" x14ac:dyDescent="0.2">
      <c r="BJ36786" s="201"/>
    </row>
    <row r="36787" spans="62:62" x14ac:dyDescent="0.2">
      <c r="BJ36787" s="201"/>
    </row>
    <row r="36788" spans="62:62" x14ac:dyDescent="0.2">
      <c r="BJ36788" s="201"/>
    </row>
    <row r="36789" spans="62:62" x14ac:dyDescent="0.2">
      <c r="BJ36789" s="201"/>
    </row>
    <row r="36790" spans="62:62" x14ac:dyDescent="0.2">
      <c r="BJ36790" s="201"/>
    </row>
    <row r="36791" spans="62:62" x14ac:dyDescent="0.2">
      <c r="BJ36791" s="201"/>
    </row>
    <row r="36792" spans="62:62" x14ac:dyDescent="0.2">
      <c r="BJ36792" s="201"/>
    </row>
    <row r="36793" spans="62:62" x14ac:dyDescent="0.2">
      <c r="BJ36793" s="201"/>
    </row>
    <row r="36794" spans="62:62" x14ac:dyDescent="0.2">
      <c r="BJ36794" s="201"/>
    </row>
    <row r="36795" spans="62:62" x14ac:dyDescent="0.2">
      <c r="BJ36795" s="201"/>
    </row>
    <row r="36796" spans="62:62" x14ac:dyDescent="0.2">
      <c r="BJ36796" s="201"/>
    </row>
    <row r="36797" spans="62:62" x14ac:dyDescent="0.2">
      <c r="BJ36797" s="201"/>
    </row>
    <row r="36798" spans="62:62" x14ac:dyDescent="0.2">
      <c r="BJ36798" s="201"/>
    </row>
    <row r="36799" spans="62:62" x14ac:dyDescent="0.2">
      <c r="BJ36799" s="201"/>
    </row>
    <row r="36800" spans="62:62" x14ac:dyDescent="0.2">
      <c r="BJ36800" s="201"/>
    </row>
    <row r="36801" spans="62:62" x14ac:dyDescent="0.2">
      <c r="BJ36801" s="201"/>
    </row>
    <row r="36802" spans="62:62" x14ac:dyDescent="0.2">
      <c r="BJ36802" s="201"/>
    </row>
    <row r="36803" spans="62:62" x14ac:dyDescent="0.2">
      <c r="BJ36803" s="201"/>
    </row>
    <row r="36804" spans="62:62" x14ac:dyDescent="0.2">
      <c r="BJ36804" s="201"/>
    </row>
    <row r="36805" spans="62:62" x14ac:dyDescent="0.2">
      <c r="BJ36805" s="201"/>
    </row>
    <row r="36806" spans="62:62" x14ac:dyDescent="0.2">
      <c r="BJ36806" s="201"/>
    </row>
    <row r="36807" spans="62:62" x14ac:dyDescent="0.2">
      <c r="BJ36807" s="201"/>
    </row>
    <row r="36808" spans="62:62" x14ac:dyDescent="0.2">
      <c r="BJ36808" s="201"/>
    </row>
    <row r="36809" spans="62:62" x14ac:dyDescent="0.2">
      <c r="BJ36809" s="201"/>
    </row>
    <row r="36810" spans="62:62" x14ac:dyDescent="0.2">
      <c r="BJ36810" s="201"/>
    </row>
    <row r="36811" spans="62:62" x14ac:dyDescent="0.2">
      <c r="BJ36811" s="201"/>
    </row>
    <row r="36812" spans="62:62" x14ac:dyDescent="0.2">
      <c r="BJ36812" s="201"/>
    </row>
    <row r="36813" spans="62:62" x14ac:dyDescent="0.2">
      <c r="BJ36813" s="201"/>
    </row>
    <row r="36814" spans="62:62" x14ac:dyDescent="0.2">
      <c r="BJ36814" s="201"/>
    </row>
    <row r="36815" spans="62:62" x14ac:dyDescent="0.2">
      <c r="BJ36815" s="201"/>
    </row>
    <row r="36816" spans="62:62" x14ac:dyDescent="0.2">
      <c r="BJ36816" s="201"/>
    </row>
    <row r="36817" spans="62:62" x14ac:dyDescent="0.2">
      <c r="BJ36817" s="201"/>
    </row>
    <row r="36818" spans="62:62" x14ac:dyDescent="0.2">
      <c r="BJ36818" s="201"/>
    </row>
    <row r="36819" spans="62:62" x14ac:dyDescent="0.2">
      <c r="BJ36819" s="201"/>
    </row>
    <row r="36820" spans="62:62" x14ac:dyDescent="0.2">
      <c r="BJ36820" s="201"/>
    </row>
    <row r="36821" spans="62:62" x14ac:dyDescent="0.2">
      <c r="BJ36821" s="201"/>
    </row>
    <row r="36822" spans="62:62" x14ac:dyDescent="0.2">
      <c r="BJ36822" s="201"/>
    </row>
    <row r="36823" spans="62:62" x14ac:dyDescent="0.2">
      <c r="BJ36823" s="201"/>
    </row>
    <row r="36824" spans="62:62" x14ac:dyDescent="0.2">
      <c r="BJ36824" s="201"/>
    </row>
    <row r="36825" spans="62:62" x14ac:dyDescent="0.2">
      <c r="BJ36825" s="201"/>
    </row>
    <row r="36826" spans="62:62" x14ac:dyDescent="0.2">
      <c r="BJ36826" s="201"/>
    </row>
    <row r="36827" spans="62:62" x14ac:dyDescent="0.2">
      <c r="BJ36827" s="201"/>
    </row>
    <row r="36828" spans="62:62" x14ac:dyDescent="0.2">
      <c r="BJ36828" s="201"/>
    </row>
    <row r="36829" spans="62:62" x14ac:dyDescent="0.2">
      <c r="BJ36829" s="201"/>
    </row>
    <row r="36830" spans="62:62" x14ac:dyDescent="0.2">
      <c r="BJ36830" s="201"/>
    </row>
    <row r="36831" spans="62:62" x14ac:dyDescent="0.2">
      <c r="BJ36831" s="201"/>
    </row>
    <row r="36832" spans="62:62" x14ac:dyDescent="0.2">
      <c r="BJ36832" s="201"/>
    </row>
    <row r="36833" spans="62:62" x14ac:dyDescent="0.2">
      <c r="BJ36833" s="201"/>
    </row>
    <row r="36834" spans="62:62" x14ac:dyDescent="0.2">
      <c r="BJ36834" s="201"/>
    </row>
    <row r="36835" spans="62:62" x14ac:dyDescent="0.2">
      <c r="BJ36835" s="201"/>
    </row>
    <row r="36836" spans="62:62" x14ac:dyDescent="0.2">
      <c r="BJ36836" s="201"/>
    </row>
    <row r="36837" spans="62:62" x14ac:dyDescent="0.2">
      <c r="BJ36837" s="201"/>
    </row>
    <row r="36838" spans="62:62" x14ac:dyDescent="0.2">
      <c r="BJ36838" s="201"/>
    </row>
    <row r="36839" spans="62:62" x14ac:dyDescent="0.2">
      <c r="BJ36839" s="201"/>
    </row>
    <row r="36840" spans="62:62" x14ac:dyDescent="0.2">
      <c r="BJ36840" s="201"/>
    </row>
    <row r="36841" spans="62:62" x14ac:dyDescent="0.2">
      <c r="BJ36841" s="201"/>
    </row>
    <row r="36842" spans="62:62" x14ac:dyDescent="0.2">
      <c r="BJ36842" s="201"/>
    </row>
    <row r="36843" spans="62:62" x14ac:dyDescent="0.2">
      <c r="BJ36843" s="201"/>
    </row>
    <row r="36844" spans="62:62" x14ac:dyDescent="0.2">
      <c r="BJ36844" s="201"/>
    </row>
    <row r="36845" spans="62:62" x14ac:dyDescent="0.2">
      <c r="BJ36845" s="201"/>
    </row>
    <row r="36846" spans="62:62" x14ac:dyDescent="0.2">
      <c r="BJ36846" s="201"/>
    </row>
    <row r="36847" spans="62:62" x14ac:dyDescent="0.2">
      <c r="BJ36847" s="201"/>
    </row>
    <row r="36848" spans="62:62" x14ac:dyDescent="0.2">
      <c r="BJ36848" s="201"/>
    </row>
    <row r="36849" spans="62:62" x14ac:dyDescent="0.2">
      <c r="BJ36849" s="201"/>
    </row>
    <row r="36850" spans="62:62" x14ac:dyDescent="0.2">
      <c r="BJ36850" s="201"/>
    </row>
    <row r="36851" spans="62:62" x14ac:dyDescent="0.2">
      <c r="BJ36851" s="201"/>
    </row>
    <row r="36852" spans="62:62" x14ac:dyDescent="0.2">
      <c r="BJ36852" s="201"/>
    </row>
    <row r="36853" spans="62:62" x14ac:dyDescent="0.2">
      <c r="BJ36853" s="201"/>
    </row>
    <row r="36854" spans="62:62" x14ac:dyDescent="0.2">
      <c r="BJ36854" s="201"/>
    </row>
    <row r="36855" spans="62:62" x14ac:dyDescent="0.2">
      <c r="BJ36855" s="201"/>
    </row>
    <row r="36856" spans="62:62" x14ac:dyDescent="0.2">
      <c r="BJ36856" s="201"/>
    </row>
    <row r="36857" spans="62:62" x14ac:dyDescent="0.2">
      <c r="BJ36857" s="201"/>
    </row>
    <row r="36858" spans="62:62" x14ac:dyDescent="0.2">
      <c r="BJ36858" s="201"/>
    </row>
    <row r="36859" spans="62:62" x14ac:dyDescent="0.2">
      <c r="BJ36859" s="201"/>
    </row>
    <row r="36860" spans="62:62" x14ac:dyDescent="0.2">
      <c r="BJ36860" s="201"/>
    </row>
    <row r="36861" spans="62:62" x14ac:dyDescent="0.2">
      <c r="BJ36861" s="201"/>
    </row>
    <row r="36862" spans="62:62" x14ac:dyDescent="0.2">
      <c r="BJ36862" s="201"/>
    </row>
    <row r="36863" spans="62:62" x14ac:dyDescent="0.2">
      <c r="BJ36863" s="201"/>
    </row>
    <row r="36864" spans="62:62" x14ac:dyDescent="0.2">
      <c r="BJ36864" s="201"/>
    </row>
    <row r="36865" spans="62:62" x14ac:dyDescent="0.2">
      <c r="BJ36865" s="201"/>
    </row>
    <row r="36866" spans="62:62" x14ac:dyDescent="0.2">
      <c r="BJ36866" s="201"/>
    </row>
    <row r="36867" spans="62:62" x14ac:dyDescent="0.2">
      <c r="BJ36867" s="201"/>
    </row>
    <row r="36868" spans="62:62" x14ac:dyDescent="0.2">
      <c r="BJ36868" s="201"/>
    </row>
    <row r="36869" spans="62:62" x14ac:dyDescent="0.2">
      <c r="BJ36869" s="201"/>
    </row>
    <row r="36870" spans="62:62" x14ac:dyDescent="0.2">
      <c r="BJ36870" s="201"/>
    </row>
    <row r="36871" spans="62:62" x14ac:dyDescent="0.2">
      <c r="BJ36871" s="201"/>
    </row>
    <row r="36872" spans="62:62" x14ac:dyDescent="0.2">
      <c r="BJ36872" s="201"/>
    </row>
    <row r="36873" spans="62:62" x14ac:dyDescent="0.2">
      <c r="BJ36873" s="201"/>
    </row>
    <row r="36874" spans="62:62" x14ac:dyDescent="0.2">
      <c r="BJ36874" s="201"/>
    </row>
    <row r="36875" spans="62:62" x14ac:dyDescent="0.2">
      <c r="BJ36875" s="201"/>
    </row>
    <row r="36876" spans="62:62" x14ac:dyDescent="0.2">
      <c r="BJ36876" s="201"/>
    </row>
    <row r="36877" spans="62:62" x14ac:dyDescent="0.2">
      <c r="BJ36877" s="201"/>
    </row>
    <row r="36878" spans="62:62" x14ac:dyDescent="0.2">
      <c r="BJ36878" s="201"/>
    </row>
    <row r="36879" spans="62:62" x14ac:dyDescent="0.2">
      <c r="BJ36879" s="201"/>
    </row>
    <row r="36880" spans="62:62" x14ac:dyDescent="0.2">
      <c r="BJ36880" s="201"/>
    </row>
    <row r="36881" spans="62:62" x14ac:dyDescent="0.2">
      <c r="BJ36881" s="201"/>
    </row>
    <row r="36882" spans="62:62" x14ac:dyDescent="0.2">
      <c r="BJ36882" s="201"/>
    </row>
    <row r="36883" spans="62:62" x14ac:dyDescent="0.2">
      <c r="BJ36883" s="201"/>
    </row>
    <row r="36884" spans="62:62" x14ac:dyDescent="0.2">
      <c r="BJ36884" s="201"/>
    </row>
    <row r="36885" spans="62:62" x14ac:dyDescent="0.2">
      <c r="BJ36885" s="201"/>
    </row>
    <row r="36886" spans="62:62" x14ac:dyDescent="0.2">
      <c r="BJ36886" s="201"/>
    </row>
    <row r="36887" spans="62:62" x14ac:dyDescent="0.2">
      <c r="BJ36887" s="201"/>
    </row>
    <row r="36888" spans="62:62" x14ac:dyDescent="0.2">
      <c r="BJ36888" s="201"/>
    </row>
    <row r="36889" spans="62:62" x14ac:dyDescent="0.2">
      <c r="BJ36889" s="201"/>
    </row>
    <row r="36890" spans="62:62" x14ac:dyDescent="0.2">
      <c r="BJ36890" s="201"/>
    </row>
    <row r="36891" spans="62:62" x14ac:dyDescent="0.2">
      <c r="BJ36891" s="201"/>
    </row>
    <row r="36892" spans="62:62" x14ac:dyDescent="0.2">
      <c r="BJ36892" s="201"/>
    </row>
    <row r="36893" spans="62:62" x14ac:dyDescent="0.2">
      <c r="BJ36893" s="201"/>
    </row>
    <row r="36894" spans="62:62" x14ac:dyDescent="0.2">
      <c r="BJ36894" s="201"/>
    </row>
    <row r="36895" spans="62:62" x14ac:dyDescent="0.2">
      <c r="BJ36895" s="201"/>
    </row>
    <row r="36896" spans="62:62" x14ac:dyDescent="0.2">
      <c r="BJ36896" s="201"/>
    </row>
    <row r="36897" spans="62:62" x14ac:dyDescent="0.2">
      <c r="BJ36897" s="201"/>
    </row>
    <row r="36898" spans="62:62" x14ac:dyDescent="0.2">
      <c r="BJ36898" s="201"/>
    </row>
    <row r="36899" spans="62:62" x14ac:dyDescent="0.2">
      <c r="BJ36899" s="201"/>
    </row>
    <row r="36900" spans="62:62" x14ac:dyDescent="0.2">
      <c r="BJ36900" s="201"/>
    </row>
    <row r="36901" spans="62:62" x14ac:dyDescent="0.2">
      <c r="BJ36901" s="201"/>
    </row>
    <row r="36902" spans="62:62" x14ac:dyDescent="0.2">
      <c r="BJ36902" s="201"/>
    </row>
    <row r="36903" spans="62:62" x14ac:dyDescent="0.2">
      <c r="BJ36903" s="201"/>
    </row>
    <row r="36904" spans="62:62" x14ac:dyDescent="0.2">
      <c r="BJ36904" s="201"/>
    </row>
    <row r="36905" spans="62:62" x14ac:dyDescent="0.2">
      <c r="BJ36905" s="201"/>
    </row>
    <row r="36906" spans="62:62" x14ac:dyDescent="0.2">
      <c r="BJ36906" s="201"/>
    </row>
    <row r="36907" spans="62:62" x14ac:dyDescent="0.2">
      <c r="BJ36907" s="201"/>
    </row>
    <row r="36908" spans="62:62" x14ac:dyDescent="0.2">
      <c r="BJ36908" s="201"/>
    </row>
    <row r="36909" spans="62:62" x14ac:dyDescent="0.2">
      <c r="BJ36909" s="201"/>
    </row>
    <row r="36910" spans="62:62" x14ac:dyDescent="0.2">
      <c r="BJ36910" s="201"/>
    </row>
    <row r="36911" spans="62:62" x14ac:dyDescent="0.2">
      <c r="BJ36911" s="201"/>
    </row>
    <row r="36912" spans="62:62" x14ac:dyDescent="0.2">
      <c r="BJ36912" s="201"/>
    </row>
    <row r="36913" spans="62:62" x14ac:dyDescent="0.2">
      <c r="BJ36913" s="201"/>
    </row>
    <row r="36914" spans="62:62" x14ac:dyDescent="0.2">
      <c r="BJ36914" s="201"/>
    </row>
    <row r="36915" spans="62:62" x14ac:dyDescent="0.2">
      <c r="BJ36915" s="201"/>
    </row>
    <row r="36916" spans="62:62" x14ac:dyDescent="0.2">
      <c r="BJ36916" s="201"/>
    </row>
    <row r="36917" spans="62:62" x14ac:dyDescent="0.2">
      <c r="BJ36917" s="201"/>
    </row>
    <row r="36918" spans="62:62" x14ac:dyDescent="0.2">
      <c r="BJ36918" s="201"/>
    </row>
    <row r="36919" spans="62:62" x14ac:dyDescent="0.2">
      <c r="BJ36919" s="201"/>
    </row>
    <row r="36920" spans="62:62" x14ac:dyDescent="0.2">
      <c r="BJ36920" s="201"/>
    </row>
    <row r="36921" spans="62:62" x14ac:dyDescent="0.2">
      <c r="BJ36921" s="201"/>
    </row>
    <row r="36922" spans="62:62" x14ac:dyDescent="0.2">
      <c r="BJ36922" s="201"/>
    </row>
    <row r="36923" spans="62:62" x14ac:dyDescent="0.2">
      <c r="BJ36923" s="201"/>
    </row>
    <row r="36924" spans="62:62" x14ac:dyDescent="0.2">
      <c r="BJ36924" s="201"/>
    </row>
    <row r="36925" spans="62:62" x14ac:dyDescent="0.2">
      <c r="BJ36925" s="201"/>
    </row>
    <row r="36926" spans="62:62" x14ac:dyDescent="0.2">
      <c r="BJ36926" s="201"/>
    </row>
    <row r="36927" spans="62:62" x14ac:dyDescent="0.2">
      <c r="BJ36927" s="201"/>
    </row>
    <row r="36928" spans="62:62" x14ac:dyDescent="0.2">
      <c r="BJ36928" s="201"/>
    </row>
    <row r="36929" spans="62:62" x14ac:dyDescent="0.2">
      <c r="BJ36929" s="201"/>
    </row>
    <row r="36930" spans="62:62" x14ac:dyDescent="0.2">
      <c r="BJ36930" s="201"/>
    </row>
    <row r="36931" spans="62:62" x14ac:dyDescent="0.2">
      <c r="BJ36931" s="201"/>
    </row>
    <row r="36932" spans="62:62" x14ac:dyDescent="0.2">
      <c r="BJ36932" s="201"/>
    </row>
    <row r="36933" spans="62:62" x14ac:dyDescent="0.2">
      <c r="BJ36933" s="201"/>
    </row>
    <row r="36934" spans="62:62" x14ac:dyDescent="0.2">
      <c r="BJ36934" s="201"/>
    </row>
    <row r="36935" spans="62:62" x14ac:dyDescent="0.2">
      <c r="BJ36935" s="201"/>
    </row>
    <row r="36936" spans="62:62" x14ac:dyDescent="0.2">
      <c r="BJ36936" s="201"/>
    </row>
    <row r="36937" spans="62:62" x14ac:dyDescent="0.2">
      <c r="BJ36937" s="201"/>
    </row>
    <row r="36938" spans="62:62" x14ac:dyDescent="0.2">
      <c r="BJ36938" s="201"/>
    </row>
    <row r="36939" spans="62:62" x14ac:dyDescent="0.2">
      <c r="BJ36939" s="201"/>
    </row>
    <row r="36940" spans="62:62" x14ac:dyDescent="0.2">
      <c r="BJ36940" s="201"/>
    </row>
    <row r="36941" spans="62:62" x14ac:dyDescent="0.2">
      <c r="BJ36941" s="201"/>
    </row>
    <row r="36942" spans="62:62" x14ac:dyDescent="0.2">
      <c r="BJ36942" s="201"/>
    </row>
    <row r="36943" spans="62:62" x14ac:dyDescent="0.2">
      <c r="BJ36943" s="201"/>
    </row>
    <row r="36944" spans="62:62" x14ac:dyDescent="0.2">
      <c r="BJ36944" s="201"/>
    </row>
    <row r="36945" spans="62:62" x14ac:dyDescent="0.2">
      <c r="BJ36945" s="201"/>
    </row>
    <row r="36946" spans="62:62" x14ac:dyDescent="0.2">
      <c r="BJ36946" s="201"/>
    </row>
    <row r="36947" spans="62:62" x14ac:dyDescent="0.2">
      <c r="BJ36947" s="201"/>
    </row>
    <row r="36948" spans="62:62" x14ac:dyDescent="0.2">
      <c r="BJ36948" s="201"/>
    </row>
    <row r="36949" spans="62:62" x14ac:dyDescent="0.2">
      <c r="BJ36949" s="201"/>
    </row>
    <row r="36950" spans="62:62" x14ac:dyDescent="0.2">
      <c r="BJ36950" s="201"/>
    </row>
    <row r="36951" spans="62:62" x14ac:dyDescent="0.2">
      <c r="BJ36951" s="201"/>
    </row>
    <row r="36952" spans="62:62" x14ac:dyDescent="0.2">
      <c r="BJ36952" s="201"/>
    </row>
    <row r="36953" spans="62:62" x14ac:dyDescent="0.2">
      <c r="BJ36953" s="201"/>
    </row>
    <row r="36954" spans="62:62" x14ac:dyDescent="0.2">
      <c r="BJ36954" s="201"/>
    </row>
    <row r="36955" spans="62:62" x14ac:dyDescent="0.2">
      <c r="BJ36955" s="201"/>
    </row>
    <row r="36956" spans="62:62" x14ac:dyDescent="0.2">
      <c r="BJ36956" s="201"/>
    </row>
    <row r="36957" spans="62:62" x14ac:dyDescent="0.2">
      <c r="BJ36957" s="201"/>
    </row>
    <row r="36958" spans="62:62" x14ac:dyDescent="0.2">
      <c r="BJ36958" s="201"/>
    </row>
    <row r="36959" spans="62:62" x14ac:dyDescent="0.2">
      <c r="BJ36959" s="201"/>
    </row>
    <row r="36960" spans="62:62" x14ac:dyDescent="0.2">
      <c r="BJ36960" s="201"/>
    </row>
    <row r="36961" spans="62:62" x14ac:dyDescent="0.2">
      <c r="BJ36961" s="201"/>
    </row>
    <row r="36962" spans="62:62" x14ac:dyDescent="0.2">
      <c r="BJ36962" s="201"/>
    </row>
    <row r="36963" spans="62:62" x14ac:dyDescent="0.2">
      <c r="BJ36963" s="201"/>
    </row>
    <row r="36964" spans="62:62" x14ac:dyDescent="0.2">
      <c r="BJ36964" s="201"/>
    </row>
    <row r="36965" spans="62:62" x14ac:dyDescent="0.2">
      <c r="BJ36965" s="201"/>
    </row>
    <row r="36966" spans="62:62" x14ac:dyDescent="0.2">
      <c r="BJ36966" s="201"/>
    </row>
    <row r="36967" spans="62:62" x14ac:dyDescent="0.2">
      <c r="BJ36967" s="201"/>
    </row>
    <row r="36968" spans="62:62" x14ac:dyDescent="0.2">
      <c r="BJ36968" s="201"/>
    </row>
    <row r="36969" spans="62:62" x14ac:dyDescent="0.2">
      <c r="BJ36969" s="201"/>
    </row>
    <row r="36970" spans="62:62" x14ac:dyDescent="0.2">
      <c r="BJ36970" s="201"/>
    </row>
    <row r="36971" spans="62:62" x14ac:dyDescent="0.2">
      <c r="BJ36971" s="201"/>
    </row>
    <row r="36972" spans="62:62" x14ac:dyDescent="0.2">
      <c r="BJ36972" s="201"/>
    </row>
    <row r="36973" spans="62:62" x14ac:dyDescent="0.2">
      <c r="BJ36973" s="201"/>
    </row>
    <row r="36974" spans="62:62" x14ac:dyDescent="0.2">
      <c r="BJ36974" s="201"/>
    </row>
    <row r="36975" spans="62:62" x14ac:dyDescent="0.2">
      <c r="BJ36975" s="201"/>
    </row>
    <row r="36976" spans="62:62" x14ac:dyDescent="0.2">
      <c r="BJ36976" s="201"/>
    </row>
    <row r="36977" spans="62:62" x14ac:dyDescent="0.2">
      <c r="BJ36977" s="201"/>
    </row>
    <row r="36978" spans="62:62" x14ac:dyDescent="0.2">
      <c r="BJ36978" s="201"/>
    </row>
    <row r="36979" spans="62:62" x14ac:dyDescent="0.2">
      <c r="BJ36979" s="201"/>
    </row>
    <row r="36980" spans="62:62" x14ac:dyDescent="0.2">
      <c r="BJ36980" s="201"/>
    </row>
    <row r="36981" spans="62:62" x14ac:dyDescent="0.2">
      <c r="BJ36981" s="201"/>
    </row>
    <row r="36982" spans="62:62" x14ac:dyDescent="0.2">
      <c r="BJ36982" s="201"/>
    </row>
    <row r="36983" spans="62:62" x14ac:dyDescent="0.2">
      <c r="BJ36983" s="201"/>
    </row>
    <row r="36984" spans="62:62" x14ac:dyDescent="0.2">
      <c r="BJ36984" s="201"/>
    </row>
    <row r="36985" spans="62:62" x14ac:dyDescent="0.2">
      <c r="BJ36985" s="201"/>
    </row>
    <row r="36986" spans="62:62" x14ac:dyDescent="0.2">
      <c r="BJ36986" s="201"/>
    </row>
    <row r="36987" spans="62:62" x14ac:dyDescent="0.2">
      <c r="BJ36987" s="201"/>
    </row>
    <row r="36988" spans="62:62" x14ac:dyDescent="0.2">
      <c r="BJ36988" s="201"/>
    </row>
    <row r="36989" spans="62:62" x14ac:dyDescent="0.2">
      <c r="BJ36989" s="201"/>
    </row>
    <row r="36990" spans="62:62" x14ac:dyDescent="0.2">
      <c r="BJ36990" s="201"/>
    </row>
    <row r="36991" spans="62:62" x14ac:dyDescent="0.2">
      <c r="BJ36991" s="201"/>
    </row>
    <row r="36992" spans="62:62" x14ac:dyDescent="0.2">
      <c r="BJ36992" s="201"/>
    </row>
    <row r="36993" spans="62:62" x14ac:dyDescent="0.2">
      <c r="BJ36993" s="201"/>
    </row>
    <row r="36994" spans="62:62" x14ac:dyDescent="0.2">
      <c r="BJ36994" s="201"/>
    </row>
    <row r="36995" spans="62:62" x14ac:dyDescent="0.2">
      <c r="BJ36995" s="201"/>
    </row>
    <row r="36996" spans="62:62" x14ac:dyDescent="0.2">
      <c r="BJ36996" s="201"/>
    </row>
    <row r="36997" spans="62:62" x14ac:dyDescent="0.2">
      <c r="BJ36997" s="201"/>
    </row>
    <row r="36998" spans="62:62" x14ac:dyDescent="0.2">
      <c r="BJ36998" s="201"/>
    </row>
    <row r="36999" spans="62:62" x14ac:dyDescent="0.2">
      <c r="BJ36999" s="201"/>
    </row>
    <row r="37000" spans="62:62" x14ac:dyDescent="0.2">
      <c r="BJ37000" s="201"/>
    </row>
    <row r="37001" spans="62:62" x14ac:dyDescent="0.2">
      <c r="BJ37001" s="201"/>
    </row>
    <row r="37002" spans="62:62" x14ac:dyDescent="0.2">
      <c r="BJ37002" s="201"/>
    </row>
    <row r="37003" spans="62:62" x14ac:dyDescent="0.2">
      <c r="BJ37003" s="201"/>
    </row>
    <row r="37004" spans="62:62" x14ac:dyDescent="0.2">
      <c r="BJ37004" s="201"/>
    </row>
    <row r="37005" spans="62:62" x14ac:dyDescent="0.2">
      <c r="BJ37005" s="201"/>
    </row>
    <row r="37006" spans="62:62" x14ac:dyDescent="0.2">
      <c r="BJ37006" s="201"/>
    </row>
    <row r="37007" spans="62:62" x14ac:dyDescent="0.2">
      <c r="BJ37007" s="201"/>
    </row>
    <row r="37008" spans="62:62" x14ac:dyDescent="0.2">
      <c r="BJ37008" s="201"/>
    </row>
    <row r="37009" spans="62:62" x14ac:dyDescent="0.2">
      <c r="BJ37009" s="201"/>
    </row>
    <row r="37010" spans="62:62" x14ac:dyDescent="0.2">
      <c r="BJ37010" s="201"/>
    </row>
    <row r="37011" spans="62:62" x14ac:dyDescent="0.2">
      <c r="BJ37011" s="201"/>
    </row>
    <row r="37012" spans="62:62" x14ac:dyDescent="0.2">
      <c r="BJ37012" s="201"/>
    </row>
    <row r="37013" spans="62:62" x14ac:dyDescent="0.2">
      <c r="BJ37013" s="201"/>
    </row>
    <row r="37014" spans="62:62" x14ac:dyDescent="0.2">
      <c r="BJ37014" s="201"/>
    </row>
    <row r="37015" spans="62:62" x14ac:dyDescent="0.2">
      <c r="BJ37015" s="201"/>
    </row>
    <row r="37016" spans="62:62" x14ac:dyDescent="0.2">
      <c r="BJ37016" s="201"/>
    </row>
    <row r="37017" spans="62:62" x14ac:dyDescent="0.2">
      <c r="BJ37017" s="201"/>
    </row>
    <row r="37018" spans="62:62" x14ac:dyDescent="0.2">
      <c r="BJ37018" s="201"/>
    </row>
    <row r="37019" spans="62:62" x14ac:dyDescent="0.2">
      <c r="BJ37019" s="201"/>
    </row>
    <row r="37020" spans="62:62" x14ac:dyDescent="0.2">
      <c r="BJ37020" s="201"/>
    </row>
    <row r="37021" spans="62:62" x14ac:dyDescent="0.2">
      <c r="BJ37021" s="201"/>
    </row>
    <row r="37022" spans="62:62" x14ac:dyDescent="0.2">
      <c r="BJ37022" s="201"/>
    </row>
    <row r="37023" spans="62:62" x14ac:dyDescent="0.2">
      <c r="BJ37023" s="201"/>
    </row>
    <row r="37024" spans="62:62" x14ac:dyDescent="0.2">
      <c r="BJ37024" s="201"/>
    </row>
    <row r="37025" spans="62:62" x14ac:dyDescent="0.2">
      <c r="BJ37025" s="201"/>
    </row>
    <row r="37026" spans="62:62" x14ac:dyDescent="0.2">
      <c r="BJ37026" s="201"/>
    </row>
    <row r="37027" spans="62:62" x14ac:dyDescent="0.2">
      <c r="BJ37027" s="201"/>
    </row>
    <row r="37028" spans="62:62" x14ac:dyDescent="0.2">
      <c r="BJ37028" s="201"/>
    </row>
    <row r="37029" spans="62:62" x14ac:dyDescent="0.2">
      <c r="BJ37029" s="201"/>
    </row>
    <row r="37030" spans="62:62" x14ac:dyDescent="0.2">
      <c r="BJ37030" s="201"/>
    </row>
    <row r="37031" spans="62:62" x14ac:dyDescent="0.2">
      <c r="BJ37031" s="201"/>
    </row>
    <row r="37032" spans="62:62" x14ac:dyDescent="0.2">
      <c r="BJ37032" s="201"/>
    </row>
    <row r="37033" spans="62:62" x14ac:dyDescent="0.2">
      <c r="BJ37033" s="201"/>
    </row>
    <row r="37034" spans="62:62" x14ac:dyDescent="0.2">
      <c r="BJ37034" s="201"/>
    </row>
    <row r="37035" spans="62:62" x14ac:dyDescent="0.2">
      <c r="BJ37035" s="201"/>
    </row>
    <row r="37036" spans="62:62" x14ac:dyDescent="0.2">
      <c r="BJ37036" s="201"/>
    </row>
    <row r="37037" spans="62:62" x14ac:dyDescent="0.2">
      <c r="BJ37037" s="201"/>
    </row>
    <row r="37038" spans="62:62" x14ac:dyDescent="0.2">
      <c r="BJ37038" s="201"/>
    </row>
    <row r="37039" spans="62:62" x14ac:dyDescent="0.2">
      <c r="BJ37039" s="201"/>
    </row>
    <row r="37040" spans="62:62" x14ac:dyDescent="0.2">
      <c r="BJ37040" s="201"/>
    </row>
    <row r="37041" spans="62:62" x14ac:dyDescent="0.2">
      <c r="BJ37041" s="201"/>
    </row>
    <row r="37042" spans="62:62" x14ac:dyDescent="0.2">
      <c r="BJ37042" s="201"/>
    </row>
    <row r="37043" spans="62:62" x14ac:dyDescent="0.2">
      <c r="BJ37043" s="201"/>
    </row>
    <row r="37044" spans="62:62" x14ac:dyDescent="0.2">
      <c r="BJ37044" s="201"/>
    </row>
    <row r="37045" spans="62:62" x14ac:dyDescent="0.2">
      <c r="BJ37045" s="201"/>
    </row>
    <row r="37046" spans="62:62" x14ac:dyDescent="0.2">
      <c r="BJ37046" s="201"/>
    </row>
    <row r="37047" spans="62:62" x14ac:dyDescent="0.2">
      <c r="BJ37047" s="201"/>
    </row>
    <row r="37048" spans="62:62" x14ac:dyDescent="0.2">
      <c r="BJ37048" s="201"/>
    </row>
    <row r="37049" spans="62:62" x14ac:dyDescent="0.2">
      <c r="BJ37049" s="201"/>
    </row>
    <row r="37050" spans="62:62" x14ac:dyDescent="0.2">
      <c r="BJ37050" s="201"/>
    </row>
    <row r="37051" spans="62:62" x14ac:dyDescent="0.2">
      <c r="BJ37051" s="201"/>
    </row>
    <row r="37052" spans="62:62" x14ac:dyDescent="0.2">
      <c r="BJ37052" s="201"/>
    </row>
    <row r="37053" spans="62:62" x14ac:dyDescent="0.2">
      <c r="BJ37053" s="201"/>
    </row>
    <row r="37054" spans="62:62" x14ac:dyDescent="0.2">
      <c r="BJ37054" s="201"/>
    </row>
    <row r="37055" spans="62:62" x14ac:dyDescent="0.2">
      <c r="BJ37055" s="201"/>
    </row>
    <row r="37056" spans="62:62" x14ac:dyDescent="0.2">
      <c r="BJ37056" s="201"/>
    </row>
    <row r="37057" spans="62:62" x14ac:dyDescent="0.2">
      <c r="BJ37057" s="201"/>
    </row>
    <row r="37058" spans="62:62" x14ac:dyDescent="0.2">
      <c r="BJ37058" s="201"/>
    </row>
    <row r="37059" spans="62:62" x14ac:dyDescent="0.2">
      <c r="BJ37059" s="201"/>
    </row>
    <row r="37060" spans="62:62" x14ac:dyDescent="0.2">
      <c r="BJ37060" s="201"/>
    </row>
    <row r="37061" spans="62:62" x14ac:dyDescent="0.2">
      <c r="BJ37061" s="201"/>
    </row>
    <row r="37062" spans="62:62" x14ac:dyDescent="0.2">
      <c r="BJ37062" s="201"/>
    </row>
    <row r="37063" spans="62:62" x14ac:dyDescent="0.2">
      <c r="BJ37063" s="201"/>
    </row>
    <row r="37064" spans="62:62" x14ac:dyDescent="0.2">
      <c r="BJ37064" s="201"/>
    </row>
    <row r="37065" spans="62:62" x14ac:dyDescent="0.2">
      <c r="BJ37065" s="201"/>
    </row>
    <row r="37066" spans="62:62" x14ac:dyDescent="0.2">
      <c r="BJ37066" s="201"/>
    </row>
    <row r="37067" spans="62:62" x14ac:dyDescent="0.2">
      <c r="BJ37067" s="201"/>
    </row>
    <row r="37068" spans="62:62" x14ac:dyDescent="0.2">
      <c r="BJ37068" s="201"/>
    </row>
    <row r="37069" spans="62:62" x14ac:dyDescent="0.2">
      <c r="BJ37069" s="201"/>
    </row>
    <row r="37070" spans="62:62" x14ac:dyDescent="0.2">
      <c r="BJ37070" s="201"/>
    </row>
    <row r="37071" spans="62:62" x14ac:dyDescent="0.2">
      <c r="BJ37071" s="201"/>
    </row>
    <row r="37072" spans="62:62" x14ac:dyDescent="0.2">
      <c r="BJ37072" s="201"/>
    </row>
    <row r="37073" spans="62:62" x14ac:dyDescent="0.2">
      <c r="BJ37073" s="201"/>
    </row>
    <row r="37074" spans="62:62" x14ac:dyDescent="0.2">
      <c r="BJ37074" s="201"/>
    </row>
    <row r="37075" spans="62:62" x14ac:dyDescent="0.2">
      <c r="BJ37075" s="201"/>
    </row>
    <row r="37076" spans="62:62" x14ac:dyDescent="0.2">
      <c r="BJ37076" s="201"/>
    </row>
    <row r="37077" spans="62:62" x14ac:dyDescent="0.2">
      <c r="BJ37077" s="201"/>
    </row>
    <row r="37078" spans="62:62" x14ac:dyDescent="0.2">
      <c r="BJ37078" s="201"/>
    </row>
    <row r="37079" spans="62:62" x14ac:dyDescent="0.2">
      <c r="BJ37079" s="201"/>
    </row>
    <row r="37080" spans="62:62" x14ac:dyDescent="0.2">
      <c r="BJ37080" s="201"/>
    </row>
    <row r="37081" spans="62:62" x14ac:dyDescent="0.2">
      <c r="BJ37081" s="201"/>
    </row>
    <row r="37082" spans="62:62" x14ac:dyDescent="0.2">
      <c r="BJ37082" s="201"/>
    </row>
    <row r="37083" spans="62:62" x14ac:dyDescent="0.2">
      <c r="BJ37083" s="201"/>
    </row>
    <row r="37084" spans="62:62" x14ac:dyDescent="0.2">
      <c r="BJ37084" s="201"/>
    </row>
    <row r="37085" spans="62:62" x14ac:dyDescent="0.2">
      <c r="BJ37085" s="201"/>
    </row>
    <row r="37086" spans="62:62" x14ac:dyDescent="0.2">
      <c r="BJ37086" s="201"/>
    </row>
    <row r="37087" spans="62:62" x14ac:dyDescent="0.2">
      <c r="BJ37087" s="201"/>
    </row>
    <row r="37088" spans="62:62" x14ac:dyDescent="0.2">
      <c r="BJ37088" s="201"/>
    </row>
    <row r="37089" spans="62:62" x14ac:dyDescent="0.2">
      <c r="BJ37089" s="201"/>
    </row>
    <row r="37090" spans="62:62" x14ac:dyDescent="0.2">
      <c r="BJ37090" s="201"/>
    </row>
    <row r="37091" spans="62:62" x14ac:dyDescent="0.2">
      <c r="BJ37091" s="201"/>
    </row>
    <row r="37092" spans="62:62" x14ac:dyDescent="0.2">
      <c r="BJ37092" s="201"/>
    </row>
    <row r="37093" spans="62:62" x14ac:dyDescent="0.2">
      <c r="BJ37093" s="201"/>
    </row>
    <row r="37094" spans="62:62" x14ac:dyDescent="0.2">
      <c r="BJ37094" s="201"/>
    </row>
    <row r="37095" spans="62:62" x14ac:dyDescent="0.2">
      <c r="BJ37095" s="201"/>
    </row>
    <row r="37096" spans="62:62" x14ac:dyDescent="0.2">
      <c r="BJ37096" s="201"/>
    </row>
    <row r="37097" spans="62:62" x14ac:dyDescent="0.2">
      <c r="BJ37097" s="201"/>
    </row>
    <row r="37098" spans="62:62" x14ac:dyDescent="0.2">
      <c r="BJ37098" s="201"/>
    </row>
    <row r="37099" spans="62:62" x14ac:dyDescent="0.2">
      <c r="BJ37099" s="201"/>
    </row>
    <row r="37100" spans="62:62" x14ac:dyDescent="0.2">
      <c r="BJ37100" s="201"/>
    </row>
    <row r="37101" spans="62:62" x14ac:dyDescent="0.2">
      <c r="BJ37101" s="201"/>
    </row>
    <row r="37102" spans="62:62" x14ac:dyDescent="0.2">
      <c r="BJ37102" s="201"/>
    </row>
    <row r="37103" spans="62:62" x14ac:dyDescent="0.2">
      <c r="BJ37103" s="201"/>
    </row>
    <row r="37104" spans="62:62" x14ac:dyDescent="0.2">
      <c r="BJ37104" s="201"/>
    </row>
    <row r="37105" spans="62:62" x14ac:dyDescent="0.2">
      <c r="BJ37105" s="201"/>
    </row>
    <row r="37106" spans="62:62" x14ac:dyDescent="0.2">
      <c r="BJ37106" s="201"/>
    </row>
    <row r="37107" spans="62:62" x14ac:dyDescent="0.2">
      <c r="BJ37107" s="201"/>
    </row>
    <row r="37108" spans="62:62" x14ac:dyDescent="0.2">
      <c r="BJ37108" s="201"/>
    </row>
    <row r="37109" spans="62:62" x14ac:dyDescent="0.2">
      <c r="BJ37109" s="201"/>
    </row>
    <row r="37110" spans="62:62" x14ac:dyDescent="0.2">
      <c r="BJ37110" s="201"/>
    </row>
    <row r="37111" spans="62:62" x14ac:dyDescent="0.2">
      <c r="BJ37111" s="201"/>
    </row>
    <row r="37112" spans="62:62" x14ac:dyDescent="0.2">
      <c r="BJ37112" s="201"/>
    </row>
    <row r="37113" spans="62:62" x14ac:dyDescent="0.2">
      <c r="BJ37113" s="201"/>
    </row>
    <row r="37114" spans="62:62" x14ac:dyDescent="0.2">
      <c r="BJ37114" s="201"/>
    </row>
    <row r="37115" spans="62:62" x14ac:dyDescent="0.2">
      <c r="BJ37115" s="201"/>
    </row>
    <row r="37116" spans="62:62" x14ac:dyDescent="0.2">
      <c r="BJ37116" s="201"/>
    </row>
    <row r="37117" spans="62:62" x14ac:dyDescent="0.2">
      <c r="BJ37117" s="201"/>
    </row>
    <row r="37118" spans="62:62" x14ac:dyDescent="0.2">
      <c r="BJ37118" s="201"/>
    </row>
    <row r="37119" spans="62:62" x14ac:dyDescent="0.2">
      <c r="BJ37119" s="201"/>
    </row>
    <row r="37120" spans="62:62" x14ac:dyDescent="0.2">
      <c r="BJ37120" s="201"/>
    </row>
    <row r="37121" spans="62:62" x14ac:dyDescent="0.2">
      <c r="BJ37121" s="201"/>
    </row>
    <row r="37122" spans="62:62" x14ac:dyDescent="0.2">
      <c r="BJ37122" s="201"/>
    </row>
    <row r="37123" spans="62:62" x14ac:dyDescent="0.2">
      <c r="BJ37123" s="201"/>
    </row>
    <row r="37124" spans="62:62" x14ac:dyDescent="0.2">
      <c r="BJ37124" s="201"/>
    </row>
    <row r="37125" spans="62:62" x14ac:dyDescent="0.2">
      <c r="BJ37125" s="201"/>
    </row>
    <row r="37126" spans="62:62" x14ac:dyDescent="0.2">
      <c r="BJ37126" s="201"/>
    </row>
    <row r="37127" spans="62:62" x14ac:dyDescent="0.2">
      <c r="BJ37127" s="201"/>
    </row>
    <row r="37128" spans="62:62" x14ac:dyDescent="0.2">
      <c r="BJ37128" s="201"/>
    </row>
    <row r="37129" spans="62:62" x14ac:dyDescent="0.2">
      <c r="BJ37129" s="201"/>
    </row>
    <row r="37130" spans="62:62" x14ac:dyDescent="0.2">
      <c r="BJ37130" s="201"/>
    </row>
    <row r="37131" spans="62:62" x14ac:dyDescent="0.2">
      <c r="BJ37131" s="201"/>
    </row>
    <row r="37132" spans="62:62" x14ac:dyDescent="0.2">
      <c r="BJ37132" s="201"/>
    </row>
    <row r="37133" spans="62:62" x14ac:dyDescent="0.2">
      <c r="BJ37133" s="201"/>
    </row>
    <row r="37134" spans="62:62" x14ac:dyDescent="0.2">
      <c r="BJ37134" s="201"/>
    </row>
    <row r="37135" spans="62:62" x14ac:dyDescent="0.2">
      <c r="BJ37135" s="201"/>
    </row>
    <row r="37136" spans="62:62" x14ac:dyDescent="0.2">
      <c r="BJ37136" s="201"/>
    </row>
    <row r="37137" spans="62:62" x14ac:dyDescent="0.2">
      <c r="BJ37137" s="201"/>
    </row>
    <row r="37138" spans="62:62" x14ac:dyDescent="0.2">
      <c r="BJ37138" s="201"/>
    </row>
    <row r="37139" spans="62:62" x14ac:dyDescent="0.2">
      <c r="BJ37139" s="201"/>
    </row>
    <row r="37140" spans="62:62" x14ac:dyDescent="0.2">
      <c r="BJ37140" s="201"/>
    </row>
    <row r="37141" spans="62:62" x14ac:dyDescent="0.2">
      <c r="BJ37141" s="201"/>
    </row>
    <row r="37142" spans="62:62" x14ac:dyDescent="0.2">
      <c r="BJ37142" s="201"/>
    </row>
    <row r="37143" spans="62:62" x14ac:dyDescent="0.2">
      <c r="BJ37143" s="201"/>
    </row>
    <row r="37144" spans="62:62" x14ac:dyDescent="0.2">
      <c r="BJ37144" s="201"/>
    </row>
    <row r="37145" spans="62:62" x14ac:dyDescent="0.2">
      <c r="BJ37145" s="201"/>
    </row>
    <row r="37146" spans="62:62" x14ac:dyDescent="0.2">
      <c r="BJ37146" s="201"/>
    </row>
    <row r="37147" spans="62:62" x14ac:dyDescent="0.2">
      <c r="BJ37147" s="201"/>
    </row>
    <row r="37148" spans="62:62" x14ac:dyDescent="0.2">
      <c r="BJ37148" s="201"/>
    </row>
    <row r="37149" spans="62:62" x14ac:dyDescent="0.2">
      <c r="BJ37149" s="201"/>
    </row>
    <row r="37150" spans="62:62" x14ac:dyDescent="0.2">
      <c r="BJ37150" s="201"/>
    </row>
    <row r="37151" spans="62:62" x14ac:dyDescent="0.2">
      <c r="BJ37151" s="201"/>
    </row>
    <row r="37152" spans="62:62" x14ac:dyDescent="0.2">
      <c r="BJ37152" s="201"/>
    </row>
    <row r="37153" spans="62:62" x14ac:dyDescent="0.2">
      <c r="BJ37153" s="201"/>
    </row>
    <row r="37154" spans="62:62" x14ac:dyDescent="0.2">
      <c r="BJ37154" s="201"/>
    </row>
    <row r="37155" spans="62:62" x14ac:dyDescent="0.2">
      <c r="BJ37155" s="201"/>
    </row>
    <row r="37156" spans="62:62" x14ac:dyDescent="0.2">
      <c r="BJ37156" s="201"/>
    </row>
    <row r="37157" spans="62:62" x14ac:dyDescent="0.2">
      <c r="BJ37157" s="201"/>
    </row>
    <row r="37158" spans="62:62" x14ac:dyDescent="0.2">
      <c r="BJ37158" s="201"/>
    </row>
    <row r="37159" spans="62:62" x14ac:dyDescent="0.2">
      <c r="BJ37159" s="201"/>
    </row>
    <row r="37160" spans="62:62" x14ac:dyDescent="0.2">
      <c r="BJ37160" s="201"/>
    </row>
    <row r="37161" spans="62:62" x14ac:dyDescent="0.2">
      <c r="BJ37161" s="201"/>
    </row>
    <row r="37162" spans="62:62" x14ac:dyDescent="0.2">
      <c r="BJ37162" s="201"/>
    </row>
    <row r="37163" spans="62:62" x14ac:dyDescent="0.2">
      <c r="BJ37163" s="201"/>
    </row>
    <row r="37164" spans="62:62" x14ac:dyDescent="0.2">
      <c r="BJ37164" s="201"/>
    </row>
    <row r="37165" spans="62:62" x14ac:dyDescent="0.2">
      <c r="BJ37165" s="201"/>
    </row>
    <row r="37166" spans="62:62" x14ac:dyDescent="0.2">
      <c r="BJ37166" s="201"/>
    </row>
    <row r="37167" spans="62:62" x14ac:dyDescent="0.2">
      <c r="BJ37167" s="201"/>
    </row>
    <row r="37168" spans="62:62" x14ac:dyDescent="0.2">
      <c r="BJ37168" s="201"/>
    </row>
    <row r="37169" spans="62:62" x14ac:dyDescent="0.2">
      <c r="BJ37169" s="201"/>
    </row>
    <row r="37170" spans="62:62" x14ac:dyDescent="0.2">
      <c r="BJ37170" s="201"/>
    </row>
    <row r="37171" spans="62:62" x14ac:dyDescent="0.2">
      <c r="BJ37171" s="201"/>
    </row>
    <row r="37172" spans="62:62" x14ac:dyDescent="0.2">
      <c r="BJ37172" s="201"/>
    </row>
    <row r="37173" spans="62:62" x14ac:dyDescent="0.2">
      <c r="BJ37173" s="201"/>
    </row>
    <row r="37174" spans="62:62" x14ac:dyDescent="0.2">
      <c r="BJ37174" s="201"/>
    </row>
    <row r="37175" spans="62:62" x14ac:dyDescent="0.2">
      <c r="BJ37175" s="201"/>
    </row>
    <row r="37176" spans="62:62" x14ac:dyDescent="0.2">
      <c r="BJ37176" s="201"/>
    </row>
    <row r="37177" spans="62:62" x14ac:dyDescent="0.2">
      <c r="BJ37177" s="201"/>
    </row>
    <row r="37178" spans="62:62" x14ac:dyDescent="0.2">
      <c r="BJ37178" s="201"/>
    </row>
    <row r="37179" spans="62:62" x14ac:dyDescent="0.2">
      <c r="BJ37179" s="201"/>
    </row>
    <row r="37180" spans="62:62" x14ac:dyDescent="0.2">
      <c r="BJ37180" s="201"/>
    </row>
    <row r="37181" spans="62:62" x14ac:dyDescent="0.2">
      <c r="BJ37181" s="201"/>
    </row>
    <row r="37182" spans="62:62" x14ac:dyDescent="0.2">
      <c r="BJ37182" s="201"/>
    </row>
    <row r="37183" spans="62:62" x14ac:dyDescent="0.2">
      <c r="BJ37183" s="201"/>
    </row>
    <row r="37184" spans="62:62" x14ac:dyDescent="0.2">
      <c r="BJ37184" s="201"/>
    </row>
    <row r="37185" spans="62:62" x14ac:dyDescent="0.2">
      <c r="BJ37185" s="201"/>
    </row>
    <row r="37186" spans="62:62" x14ac:dyDescent="0.2">
      <c r="BJ37186" s="201"/>
    </row>
    <row r="37187" spans="62:62" x14ac:dyDescent="0.2">
      <c r="BJ37187" s="201"/>
    </row>
    <row r="37188" spans="62:62" x14ac:dyDescent="0.2">
      <c r="BJ37188" s="201"/>
    </row>
    <row r="37189" spans="62:62" x14ac:dyDescent="0.2">
      <c r="BJ37189" s="201"/>
    </row>
    <row r="37190" spans="62:62" x14ac:dyDescent="0.2">
      <c r="BJ37190" s="201"/>
    </row>
    <row r="37191" spans="62:62" x14ac:dyDescent="0.2">
      <c r="BJ37191" s="201"/>
    </row>
    <row r="37192" spans="62:62" x14ac:dyDescent="0.2">
      <c r="BJ37192" s="201"/>
    </row>
    <row r="37193" spans="62:62" x14ac:dyDescent="0.2">
      <c r="BJ37193" s="201"/>
    </row>
    <row r="37194" spans="62:62" x14ac:dyDescent="0.2">
      <c r="BJ37194" s="201"/>
    </row>
    <row r="37195" spans="62:62" x14ac:dyDescent="0.2">
      <c r="BJ37195" s="201"/>
    </row>
    <row r="37196" spans="62:62" x14ac:dyDescent="0.2">
      <c r="BJ37196" s="201"/>
    </row>
    <row r="37197" spans="62:62" x14ac:dyDescent="0.2">
      <c r="BJ37197" s="201"/>
    </row>
    <row r="37198" spans="62:62" x14ac:dyDescent="0.2">
      <c r="BJ37198" s="201"/>
    </row>
    <row r="37199" spans="62:62" x14ac:dyDescent="0.2">
      <c r="BJ37199" s="201"/>
    </row>
    <row r="37200" spans="62:62" x14ac:dyDescent="0.2">
      <c r="BJ37200" s="201"/>
    </row>
    <row r="37201" spans="62:62" x14ac:dyDescent="0.2">
      <c r="BJ37201" s="201"/>
    </row>
    <row r="37202" spans="62:62" x14ac:dyDescent="0.2">
      <c r="BJ37202" s="201"/>
    </row>
    <row r="37203" spans="62:62" x14ac:dyDescent="0.2">
      <c r="BJ37203" s="201"/>
    </row>
    <row r="37204" spans="62:62" x14ac:dyDescent="0.2">
      <c r="BJ37204" s="201"/>
    </row>
    <row r="37205" spans="62:62" x14ac:dyDescent="0.2">
      <c r="BJ37205" s="201"/>
    </row>
    <row r="37206" spans="62:62" x14ac:dyDescent="0.2">
      <c r="BJ37206" s="201"/>
    </row>
    <row r="37207" spans="62:62" x14ac:dyDescent="0.2">
      <c r="BJ37207" s="201"/>
    </row>
    <row r="37208" spans="62:62" x14ac:dyDescent="0.2">
      <c r="BJ37208" s="201"/>
    </row>
    <row r="37209" spans="62:62" x14ac:dyDescent="0.2">
      <c r="BJ37209" s="201"/>
    </row>
    <row r="37210" spans="62:62" x14ac:dyDescent="0.2">
      <c r="BJ37210" s="201"/>
    </row>
    <row r="37211" spans="62:62" x14ac:dyDescent="0.2">
      <c r="BJ37211" s="201"/>
    </row>
    <row r="37212" spans="62:62" x14ac:dyDescent="0.2">
      <c r="BJ37212" s="201"/>
    </row>
    <row r="37213" spans="62:62" x14ac:dyDescent="0.2">
      <c r="BJ37213" s="201"/>
    </row>
    <row r="37214" spans="62:62" x14ac:dyDescent="0.2">
      <c r="BJ37214" s="201"/>
    </row>
    <row r="37215" spans="62:62" x14ac:dyDescent="0.2">
      <c r="BJ37215" s="201"/>
    </row>
    <row r="37216" spans="62:62" x14ac:dyDescent="0.2">
      <c r="BJ37216" s="201"/>
    </row>
    <row r="37217" spans="62:62" x14ac:dyDescent="0.2">
      <c r="BJ37217" s="201"/>
    </row>
    <row r="37218" spans="62:62" x14ac:dyDescent="0.2">
      <c r="BJ37218" s="201"/>
    </row>
    <row r="37219" spans="62:62" x14ac:dyDescent="0.2">
      <c r="BJ37219" s="201"/>
    </row>
    <row r="37220" spans="62:62" x14ac:dyDescent="0.2">
      <c r="BJ37220" s="201"/>
    </row>
    <row r="37221" spans="62:62" x14ac:dyDescent="0.2">
      <c r="BJ37221" s="201"/>
    </row>
    <row r="37222" spans="62:62" x14ac:dyDescent="0.2">
      <c r="BJ37222" s="201"/>
    </row>
    <row r="37223" spans="62:62" x14ac:dyDescent="0.2">
      <c r="BJ37223" s="201"/>
    </row>
    <row r="37224" spans="62:62" x14ac:dyDescent="0.2">
      <c r="BJ37224" s="201"/>
    </row>
    <row r="37225" spans="62:62" x14ac:dyDescent="0.2">
      <c r="BJ37225" s="201"/>
    </row>
    <row r="37226" spans="62:62" x14ac:dyDescent="0.2">
      <c r="BJ37226" s="201"/>
    </row>
    <row r="37227" spans="62:62" x14ac:dyDescent="0.2">
      <c r="BJ37227" s="201"/>
    </row>
    <row r="37228" spans="62:62" x14ac:dyDescent="0.2">
      <c r="BJ37228" s="201"/>
    </row>
    <row r="37229" spans="62:62" x14ac:dyDescent="0.2">
      <c r="BJ37229" s="201"/>
    </row>
    <row r="37230" spans="62:62" x14ac:dyDescent="0.2">
      <c r="BJ37230" s="201"/>
    </row>
    <row r="37231" spans="62:62" x14ac:dyDescent="0.2">
      <c r="BJ37231" s="201"/>
    </row>
    <row r="37232" spans="62:62" x14ac:dyDescent="0.2">
      <c r="BJ37232" s="201"/>
    </row>
    <row r="37233" spans="62:62" x14ac:dyDescent="0.2">
      <c r="BJ37233" s="201"/>
    </row>
    <row r="37234" spans="62:62" x14ac:dyDescent="0.2">
      <c r="BJ37234" s="201"/>
    </row>
    <row r="37235" spans="62:62" x14ac:dyDescent="0.2">
      <c r="BJ37235" s="201"/>
    </row>
    <row r="37236" spans="62:62" x14ac:dyDescent="0.2">
      <c r="BJ37236" s="201"/>
    </row>
    <row r="37237" spans="62:62" x14ac:dyDescent="0.2">
      <c r="BJ37237" s="201"/>
    </row>
    <row r="37238" spans="62:62" x14ac:dyDescent="0.2">
      <c r="BJ37238" s="201"/>
    </row>
    <row r="37239" spans="62:62" x14ac:dyDescent="0.2">
      <c r="BJ37239" s="201"/>
    </row>
    <row r="37240" spans="62:62" x14ac:dyDescent="0.2">
      <c r="BJ37240" s="201"/>
    </row>
    <row r="37241" spans="62:62" x14ac:dyDescent="0.2">
      <c r="BJ37241" s="201"/>
    </row>
    <row r="37242" spans="62:62" x14ac:dyDescent="0.2">
      <c r="BJ37242" s="201"/>
    </row>
    <row r="37243" spans="62:62" x14ac:dyDescent="0.2">
      <c r="BJ37243" s="201"/>
    </row>
    <row r="37244" spans="62:62" x14ac:dyDescent="0.2">
      <c r="BJ37244" s="201"/>
    </row>
    <row r="37245" spans="62:62" x14ac:dyDescent="0.2">
      <c r="BJ37245" s="201"/>
    </row>
    <row r="37246" spans="62:62" x14ac:dyDescent="0.2">
      <c r="BJ37246" s="201"/>
    </row>
    <row r="37247" spans="62:62" x14ac:dyDescent="0.2">
      <c r="BJ37247" s="201"/>
    </row>
    <row r="37248" spans="62:62" x14ac:dyDescent="0.2">
      <c r="BJ37248" s="201"/>
    </row>
    <row r="37249" spans="62:62" x14ac:dyDescent="0.2">
      <c r="BJ37249" s="201"/>
    </row>
    <row r="37250" spans="62:62" x14ac:dyDescent="0.2">
      <c r="BJ37250" s="201"/>
    </row>
    <row r="37251" spans="62:62" x14ac:dyDescent="0.2">
      <c r="BJ37251" s="201"/>
    </row>
    <row r="37252" spans="62:62" x14ac:dyDescent="0.2">
      <c r="BJ37252" s="201"/>
    </row>
    <row r="37253" spans="62:62" x14ac:dyDescent="0.2">
      <c r="BJ37253" s="201"/>
    </row>
    <row r="37254" spans="62:62" x14ac:dyDescent="0.2">
      <c r="BJ37254" s="201"/>
    </row>
    <row r="37255" spans="62:62" x14ac:dyDescent="0.2">
      <c r="BJ37255" s="201"/>
    </row>
    <row r="37256" spans="62:62" x14ac:dyDescent="0.2">
      <c r="BJ37256" s="201"/>
    </row>
    <row r="37257" spans="62:62" x14ac:dyDescent="0.2">
      <c r="BJ37257" s="201"/>
    </row>
    <row r="37258" spans="62:62" x14ac:dyDescent="0.2">
      <c r="BJ37258" s="201"/>
    </row>
    <row r="37259" spans="62:62" x14ac:dyDescent="0.2">
      <c r="BJ37259" s="201"/>
    </row>
    <row r="37260" spans="62:62" x14ac:dyDescent="0.2">
      <c r="BJ37260" s="201"/>
    </row>
    <row r="37261" spans="62:62" x14ac:dyDescent="0.2">
      <c r="BJ37261" s="201"/>
    </row>
    <row r="37262" spans="62:62" x14ac:dyDescent="0.2">
      <c r="BJ37262" s="201"/>
    </row>
    <row r="37263" spans="62:62" x14ac:dyDescent="0.2">
      <c r="BJ37263" s="201"/>
    </row>
    <row r="37264" spans="62:62" x14ac:dyDescent="0.2">
      <c r="BJ37264" s="201"/>
    </row>
    <row r="37265" spans="62:62" x14ac:dyDescent="0.2">
      <c r="BJ37265" s="201"/>
    </row>
    <row r="37266" spans="62:62" x14ac:dyDescent="0.2">
      <c r="BJ37266" s="201"/>
    </row>
    <row r="37267" spans="62:62" x14ac:dyDescent="0.2">
      <c r="BJ37267" s="201"/>
    </row>
    <row r="37268" spans="62:62" x14ac:dyDescent="0.2">
      <c r="BJ37268" s="201"/>
    </row>
    <row r="37269" spans="62:62" x14ac:dyDescent="0.2">
      <c r="BJ37269" s="201"/>
    </row>
    <row r="37270" spans="62:62" x14ac:dyDescent="0.2">
      <c r="BJ37270" s="201"/>
    </row>
    <row r="37271" spans="62:62" x14ac:dyDescent="0.2">
      <c r="BJ37271" s="201"/>
    </row>
    <row r="37272" spans="62:62" x14ac:dyDescent="0.2">
      <c r="BJ37272" s="201"/>
    </row>
    <row r="37273" spans="62:62" x14ac:dyDescent="0.2">
      <c r="BJ37273" s="201"/>
    </row>
    <row r="37274" spans="62:62" x14ac:dyDescent="0.2">
      <c r="BJ37274" s="201"/>
    </row>
    <row r="37275" spans="62:62" x14ac:dyDescent="0.2">
      <c r="BJ37275" s="201"/>
    </row>
    <row r="37276" spans="62:62" x14ac:dyDescent="0.2">
      <c r="BJ37276" s="201"/>
    </row>
    <row r="37277" spans="62:62" x14ac:dyDescent="0.2">
      <c r="BJ37277" s="201"/>
    </row>
    <row r="37278" spans="62:62" x14ac:dyDescent="0.2">
      <c r="BJ37278" s="201"/>
    </row>
    <row r="37279" spans="62:62" x14ac:dyDescent="0.2">
      <c r="BJ37279" s="201"/>
    </row>
    <row r="37280" spans="62:62" x14ac:dyDescent="0.2">
      <c r="BJ37280" s="201"/>
    </row>
    <row r="37281" spans="62:62" x14ac:dyDescent="0.2">
      <c r="BJ37281" s="201"/>
    </row>
    <row r="37282" spans="62:62" x14ac:dyDescent="0.2">
      <c r="BJ37282" s="201"/>
    </row>
    <row r="37283" spans="62:62" x14ac:dyDescent="0.2">
      <c r="BJ37283" s="201"/>
    </row>
    <row r="37284" spans="62:62" x14ac:dyDescent="0.2">
      <c r="BJ37284" s="201"/>
    </row>
    <row r="37285" spans="62:62" x14ac:dyDescent="0.2">
      <c r="BJ37285" s="201"/>
    </row>
    <row r="37286" spans="62:62" x14ac:dyDescent="0.2">
      <c r="BJ37286" s="201"/>
    </row>
    <row r="37287" spans="62:62" x14ac:dyDescent="0.2">
      <c r="BJ37287" s="201"/>
    </row>
    <row r="37288" spans="62:62" x14ac:dyDescent="0.2">
      <c r="BJ37288" s="201"/>
    </row>
    <row r="37289" spans="62:62" x14ac:dyDescent="0.2">
      <c r="BJ37289" s="201"/>
    </row>
    <row r="37290" spans="62:62" x14ac:dyDescent="0.2">
      <c r="BJ37290" s="201"/>
    </row>
    <row r="37291" spans="62:62" x14ac:dyDescent="0.2">
      <c r="BJ37291" s="201"/>
    </row>
    <row r="37292" spans="62:62" x14ac:dyDescent="0.2">
      <c r="BJ37292" s="201"/>
    </row>
    <row r="37293" spans="62:62" x14ac:dyDescent="0.2">
      <c r="BJ37293" s="201"/>
    </row>
    <row r="37294" spans="62:62" x14ac:dyDescent="0.2">
      <c r="BJ37294" s="201"/>
    </row>
    <row r="37295" spans="62:62" x14ac:dyDescent="0.2">
      <c r="BJ37295" s="201"/>
    </row>
    <row r="37296" spans="62:62" x14ac:dyDescent="0.2">
      <c r="BJ37296" s="201"/>
    </row>
    <row r="37297" spans="62:62" x14ac:dyDescent="0.2">
      <c r="BJ37297" s="201"/>
    </row>
    <row r="37298" spans="62:62" x14ac:dyDescent="0.2">
      <c r="BJ37298" s="201"/>
    </row>
    <row r="37299" spans="62:62" x14ac:dyDescent="0.2">
      <c r="BJ37299" s="201"/>
    </row>
    <row r="37300" spans="62:62" x14ac:dyDescent="0.2">
      <c r="BJ37300" s="201"/>
    </row>
    <row r="37301" spans="62:62" x14ac:dyDescent="0.2">
      <c r="BJ37301" s="201"/>
    </row>
    <row r="37302" spans="62:62" x14ac:dyDescent="0.2">
      <c r="BJ37302" s="201"/>
    </row>
    <row r="37303" spans="62:62" x14ac:dyDescent="0.2">
      <c r="BJ37303" s="201"/>
    </row>
    <row r="37304" spans="62:62" x14ac:dyDescent="0.2">
      <c r="BJ37304" s="201"/>
    </row>
    <row r="37305" spans="62:62" x14ac:dyDescent="0.2">
      <c r="BJ37305" s="201"/>
    </row>
    <row r="37306" spans="62:62" x14ac:dyDescent="0.2">
      <c r="BJ37306" s="201"/>
    </row>
    <row r="37307" spans="62:62" x14ac:dyDescent="0.2">
      <c r="BJ37307" s="201"/>
    </row>
    <row r="37308" spans="62:62" x14ac:dyDescent="0.2">
      <c r="BJ37308" s="201"/>
    </row>
    <row r="37309" spans="62:62" x14ac:dyDescent="0.2">
      <c r="BJ37309" s="201"/>
    </row>
    <row r="37310" spans="62:62" x14ac:dyDescent="0.2">
      <c r="BJ37310" s="201"/>
    </row>
    <row r="37311" spans="62:62" x14ac:dyDescent="0.2">
      <c r="BJ37311" s="201"/>
    </row>
    <row r="37312" spans="62:62" x14ac:dyDescent="0.2">
      <c r="BJ37312" s="201"/>
    </row>
    <row r="37313" spans="62:62" x14ac:dyDescent="0.2">
      <c r="BJ37313" s="201"/>
    </row>
    <row r="37314" spans="62:62" x14ac:dyDescent="0.2">
      <c r="BJ37314" s="201"/>
    </row>
    <row r="37315" spans="62:62" x14ac:dyDescent="0.2">
      <c r="BJ37315" s="201"/>
    </row>
    <row r="37316" spans="62:62" x14ac:dyDescent="0.2">
      <c r="BJ37316" s="201"/>
    </row>
    <row r="37317" spans="62:62" x14ac:dyDescent="0.2">
      <c r="BJ37317" s="201"/>
    </row>
    <row r="37318" spans="62:62" x14ac:dyDescent="0.2">
      <c r="BJ37318" s="201"/>
    </row>
    <row r="37319" spans="62:62" x14ac:dyDescent="0.2">
      <c r="BJ37319" s="201"/>
    </row>
    <row r="37320" spans="62:62" x14ac:dyDescent="0.2">
      <c r="BJ37320" s="201"/>
    </row>
    <row r="37321" spans="62:62" x14ac:dyDescent="0.2">
      <c r="BJ37321" s="201"/>
    </row>
    <row r="37322" spans="62:62" x14ac:dyDescent="0.2">
      <c r="BJ37322" s="201"/>
    </row>
    <row r="37323" spans="62:62" x14ac:dyDescent="0.2">
      <c r="BJ37323" s="201"/>
    </row>
    <row r="37324" spans="62:62" x14ac:dyDescent="0.2">
      <c r="BJ37324" s="201"/>
    </row>
    <row r="37325" spans="62:62" x14ac:dyDescent="0.2">
      <c r="BJ37325" s="201"/>
    </row>
    <row r="37326" spans="62:62" x14ac:dyDescent="0.2">
      <c r="BJ37326" s="201"/>
    </row>
    <row r="37327" spans="62:62" x14ac:dyDescent="0.2">
      <c r="BJ37327" s="201"/>
    </row>
    <row r="37328" spans="62:62" x14ac:dyDescent="0.2">
      <c r="BJ37328" s="201"/>
    </row>
    <row r="37329" spans="62:62" x14ac:dyDescent="0.2">
      <c r="BJ37329" s="201"/>
    </row>
    <row r="37330" spans="62:62" x14ac:dyDescent="0.2">
      <c r="BJ37330" s="201"/>
    </row>
    <row r="37331" spans="62:62" x14ac:dyDescent="0.2">
      <c r="BJ37331" s="201"/>
    </row>
    <row r="37332" spans="62:62" x14ac:dyDescent="0.2">
      <c r="BJ37332" s="201"/>
    </row>
    <row r="37333" spans="62:62" x14ac:dyDescent="0.2">
      <c r="BJ37333" s="201"/>
    </row>
    <row r="37334" spans="62:62" x14ac:dyDescent="0.2">
      <c r="BJ37334" s="201"/>
    </row>
    <row r="37335" spans="62:62" x14ac:dyDescent="0.2">
      <c r="BJ37335" s="201"/>
    </row>
    <row r="37336" spans="62:62" x14ac:dyDescent="0.2">
      <c r="BJ37336" s="201"/>
    </row>
    <row r="37337" spans="62:62" x14ac:dyDescent="0.2">
      <c r="BJ37337" s="201"/>
    </row>
    <row r="37338" spans="62:62" x14ac:dyDescent="0.2">
      <c r="BJ37338" s="201"/>
    </row>
    <row r="37339" spans="62:62" x14ac:dyDescent="0.2">
      <c r="BJ37339" s="201"/>
    </row>
    <row r="37340" spans="62:62" x14ac:dyDescent="0.2">
      <c r="BJ37340" s="201"/>
    </row>
    <row r="37341" spans="62:62" x14ac:dyDescent="0.2">
      <c r="BJ37341" s="201"/>
    </row>
    <row r="37342" spans="62:62" x14ac:dyDescent="0.2">
      <c r="BJ37342" s="201"/>
    </row>
    <row r="37343" spans="62:62" x14ac:dyDescent="0.2">
      <c r="BJ37343" s="201"/>
    </row>
    <row r="37344" spans="62:62" x14ac:dyDescent="0.2">
      <c r="BJ37344" s="201"/>
    </row>
    <row r="37345" spans="62:62" x14ac:dyDescent="0.2">
      <c r="BJ37345" s="201"/>
    </row>
    <row r="37346" spans="62:62" x14ac:dyDescent="0.2">
      <c r="BJ37346" s="201"/>
    </row>
    <row r="37347" spans="62:62" x14ac:dyDescent="0.2">
      <c r="BJ37347" s="201"/>
    </row>
    <row r="37348" spans="62:62" x14ac:dyDescent="0.2">
      <c r="BJ37348" s="201"/>
    </row>
    <row r="37349" spans="62:62" x14ac:dyDescent="0.2">
      <c r="BJ37349" s="201"/>
    </row>
    <row r="37350" spans="62:62" x14ac:dyDescent="0.2">
      <c r="BJ37350" s="201"/>
    </row>
    <row r="37351" spans="62:62" x14ac:dyDescent="0.2">
      <c r="BJ37351" s="201"/>
    </row>
    <row r="37352" spans="62:62" x14ac:dyDescent="0.2">
      <c r="BJ37352" s="201"/>
    </row>
    <row r="37353" spans="62:62" x14ac:dyDescent="0.2">
      <c r="BJ37353" s="201"/>
    </row>
    <row r="37354" spans="62:62" x14ac:dyDescent="0.2">
      <c r="BJ37354" s="201"/>
    </row>
    <row r="37355" spans="62:62" x14ac:dyDescent="0.2">
      <c r="BJ37355" s="201"/>
    </row>
    <row r="37356" spans="62:62" x14ac:dyDescent="0.2">
      <c r="BJ37356" s="201"/>
    </row>
    <row r="37357" spans="62:62" x14ac:dyDescent="0.2">
      <c r="BJ37357" s="201"/>
    </row>
    <row r="37358" spans="62:62" x14ac:dyDescent="0.2">
      <c r="BJ37358" s="201"/>
    </row>
    <row r="37359" spans="62:62" x14ac:dyDescent="0.2">
      <c r="BJ37359" s="201"/>
    </row>
    <row r="37360" spans="62:62" x14ac:dyDescent="0.2">
      <c r="BJ37360" s="201"/>
    </row>
    <row r="37361" spans="62:62" x14ac:dyDescent="0.2">
      <c r="BJ37361" s="201"/>
    </row>
    <row r="37362" spans="62:62" x14ac:dyDescent="0.2">
      <c r="BJ37362" s="201"/>
    </row>
    <row r="37363" spans="62:62" x14ac:dyDescent="0.2">
      <c r="BJ37363" s="201"/>
    </row>
    <row r="37364" spans="62:62" x14ac:dyDescent="0.2">
      <c r="BJ37364" s="201"/>
    </row>
    <row r="37365" spans="62:62" x14ac:dyDescent="0.2">
      <c r="BJ37365" s="201"/>
    </row>
    <row r="37366" spans="62:62" x14ac:dyDescent="0.2">
      <c r="BJ37366" s="201"/>
    </row>
    <row r="37367" spans="62:62" x14ac:dyDescent="0.2">
      <c r="BJ37367" s="201"/>
    </row>
    <row r="37368" spans="62:62" x14ac:dyDescent="0.2">
      <c r="BJ37368" s="201"/>
    </row>
    <row r="37369" spans="62:62" x14ac:dyDescent="0.2">
      <c r="BJ37369" s="201"/>
    </row>
    <row r="37370" spans="62:62" x14ac:dyDescent="0.2">
      <c r="BJ37370" s="201"/>
    </row>
    <row r="37371" spans="62:62" x14ac:dyDescent="0.2">
      <c r="BJ37371" s="201"/>
    </row>
    <row r="37372" spans="62:62" x14ac:dyDescent="0.2">
      <c r="BJ37372" s="201"/>
    </row>
    <row r="37373" spans="62:62" x14ac:dyDescent="0.2">
      <c r="BJ37373" s="201"/>
    </row>
    <row r="37374" spans="62:62" x14ac:dyDescent="0.2">
      <c r="BJ37374" s="201"/>
    </row>
    <row r="37375" spans="62:62" x14ac:dyDescent="0.2">
      <c r="BJ37375" s="201"/>
    </row>
    <row r="37376" spans="62:62" x14ac:dyDescent="0.2">
      <c r="BJ37376" s="201"/>
    </row>
    <row r="37377" spans="62:62" x14ac:dyDescent="0.2">
      <c r="BJ37377" s="201"/>
    </row>
    <row r="37378" spans="62:62" x14ac:dyDescent="0.2">
      <c r="BJ37378" s="201"/>
    </row>
    <row r="37379" spans="62:62" x14ac:dyDescent="0.2">
      <c r="BJ37379" s="201"/>
    </row>
    <row r="37380" spans="62:62" x14ac:dyDescent="0.2">
      <c r="BJ37380" s="201"/>
    </row>
    <row r="37381" spans="62:62" x14ac:dyDescent="0.2">
      <c r="BJ37381" s="201"/>
    </row>
    <row r="37382" spans="62:62" x14ac:dyDescent="0.2">
      <c r="BJ37382" s="201"/>
    </row>
    <row r="37383" spans="62:62" x14ac:dyDescent="0.2">
      <c r="BJ37383" s="201"/>
    </row>
    <row r="37384" spans="62:62" x14ac:dyDescent="0.2">
      <c r="BJ37384" s="201"/>
    </row>
    <row r="37385" spans="62:62" x14ac:dyDescent="0.2">
      <c r="BJ37385" s="201"/>
    </row>
    <row r="37386" spans="62:62" x14ac:dyDescent="0.2">
      <c r="BJ37386" s="201"/>
    </row>
    <row r="37387" spans="62:62" x14ac:dyDescent="0.2">
      <c r="BJ37387" s="201"/>
    </row>
    <row r="37388" spans="62:62" x14ac:dyDescent="0.2">
      <c r="BJ37388" s="201"/>
    </row>
    <row r="37389" spans="62:62" x14ac:dyDescent="0.2">
      <c r="BJ37389" s="201"/>
    </row>
    <row r="37390" spans="62:62" x14ac:dyDescent="0.2">
      <c r="BJ37390" s="201"/>
    </row>
    <row r="37391" spans="62:62" x14ac:dyDescent="0.2">
      <c r="BJ37391" s="201"/>
    </row>
    <row r="37392" spans="62:62" x14ac:dyDescent="0.2">
      <c r="BJ37392" s="201"/>
    </row>
    <row r="37393" spans="62:62" x14ac:dyDescent="0.2">
      <c r="BJ37393" s="201"/>
    </row>
    <row r="37394" spans="62:62" x14ac:dyDescent="0.2">
      <c r="BJ37394" s="201"/>
    </row>
    <row r="37395" spans="62:62" x14ac:dyDescent="0.2">
      <c r="BJ37395" s="201"/>
    </row>
    <row r="37396" spans="62:62" x14ac:dyDescent="0.2">
      <c r="BJ37396" s="201"/>
    </row>
    <row r="37397" spans="62:62" x14ac:dyDescent="0.2">
      <c r="BJ37397" s="201"/>
    </row>
    <row r="37398" spans="62:62" x14ac:dyDescent="0.2">
      <c r="BJ37398" s="201"/>
    </row>
    <row r="37399" spans="62:62" x14ac:dyDescent="0.2">
      <c r="BJ37399" s="201"/>
    </row>
    <row r="37400" spans="62:62" x14ac:dyDescent="0.2">
      <c r="BJ37400" s="201"/>
    </row>
    <row r="37401" spans="62:62" x14ac:dyDescent="0.2">
      <c r="BJ37401" s="201"/>
    </row>
    <row r="37402" spans="62:62" x14ac:dyDescent="0.2">
      <c r="BJ37402" s="201"/>
    </row>
    <row r="37403" spans="62:62" x14ac:dyDescent="0.2">
      <c r="BJ37403" s="201"/>
    </row>
    <row r="37404" spans="62:62" x14ac:dyDescent="0.2">
      <c r="BJ37404" s="201"/>
    </row>
    <row r="37405" spans="62:62" x14ac:dyDescent="0.2">
      <c r="BJ37405" s="201"/>
    </row>
    <row r="37406" spans="62:62" x14ac:dyDescent="0.2">
      <c r="BJ37406" s="201"/>
    </row>
    <row r="37407" spans="62:62" x14ac:dyDescent="0.2">
      <c r="BJ37407" s="201"/>
    </row>
    <row r="37408" spans="62:62" x14ac:dyDescent="0.2">
      <c r="BJ37408" s="201"/>
    </row>
    <row r="37409" spans="62:62" x14ac:dyDescent="0.2">
      <c r="BJ37409" s="201"/>
    </row>
    <row r="37410" spans="62:62" x14ac:dyDescent="0.2">
      <c r="BJ37410" s="201"/>
    </row>
    <row r="37411" spans="62:62" x14ac:dyDescent="0.2">
      <c r="BJ37411" s="201"/>
    </row>
    <row r="37412" spans="62:62" x14ac:dyDescent="0.2">
      <c r="BJ37412" s="201"/>
    </row>
    <row r="37413" spans="62:62" x14ac:dyDescent="0.2">
      <c r="BJ37413" s="201"/>
    </row>
    <row r="37414" spans="62:62" x14ac:dyDescent="0.2">
      <c r="BJ37414" s="201"/>
    </row>
    <row r="37415" spans="62:62" x14ac:dyDescent="0.2">
      <c r="BJ37415" s="201"/>
    </row>
    <row r="37416" spans="62:62" x14ac:dyDescent="0.2">
      <c r="BJ37416" s="201"/>
    </row>
    <row r="37417" spans="62:62" x14ac:dyDescent="0.2">
      <c r="BJ37417" s="201"/>
    </row>
    <row r="37418" spans="62:62" x14ac:dyDescent="0.2">
      <c r="BJ37418" s="201"/>
    </row>
    <row r="37419" spans="62:62" x14ac:dyDescent="0.2">
      <c r="BJ37419" s="201"/>
    </row>
    <row r="37420" spans="62:62" x14ac:dyDescent="0.2">
      <c r="BJ37420" s="201"/>
    </row>
    <row r="37421" spans="62:62" x14ac:dyDescent="0.2">
      <c r="BJ37421" s="201"/>
    </row>
    <row r="37422" spans="62:62" x14ac:dyDescent="0.2">
      <c r="BJ37422" s="201"/>
    </row>
    <row r="37423" spans="62:62" x14ac:dyDescent="0.2">
      <c r="BJ37423" s="201"/>
    </row>
    <row r="37424" spans="62:62" x14ac:dyDescent="0.2">
      <c r="BJ37424" s="201"/>
    </row>
    <row r="37425" spans="62:62" x14ac:dyDescent="0.2">
      <c r="BJ37425" s="201"/>
    </row>
    <row r="37426" spans="62:62" x14ac:dyDescent="0.2">
      <c r="BJ37426" s="201"/>
    </row>
    <row r="37427" spans="62:62" x14ac:dyDescent="0.2">
      <c r="BJ37427" s="201"/>
    </row>
    <row r="37428" spans="62:62" x14ac:dyDescent="0.2">
      <c r="BJ37428" s="201"/>
    </row>
    <row r="37429" spans="62:62" x14ac:dyDescent="0.2">
      <c r="BJ37429" s="201"/>
    </row>
    <row r="37430" spans="62:62" x14ac:dyDescent="0.2">
      <c r="BJ37430" s="201"/>
    </row>
    <row r="37431" spans="62:62" x14ac:dyDescent="0.2">
      <c r="BJ37431" s="201"/>
    </row>
    <row r="37432" spans="62:62" x14ac:dyDescent="0.2">
      <c r="BJ37432" s="201"/>
    </row>
    <row r="37433" spans="62:62" x14ac:dyDescent="0.2">
      <c r="BJ37433" s="201"/>
    </row>
    <row r="37434" spans="62:62" x14ac:dyDescent="0.2">
      <c r="BJ37434" s="201"/>
    </row>
    <row r="37435" spans="62:62" x14ac:dyDescent="0.2">
      <c r="BJ37435" s="201"/>
    </row>
    <row r="37436" spans="62:62" x14ac:dyDescent="0.2">
      <c r="BJ37436" s="201"/>
    </row>
    <row r="37437" spans="62:62" x14ac:dyDescent="0.2">
      <c r="BJ37437" s="201"/>
    </row>
    <row r="37438" spans="62:62" x14ac:dyDescent="0.2">
      <c r="BJ37438" s="201"/>
    </row>
    <row r="37439" spans="62:62" x14ac:dyDescent="0.2">
      <c r="BJ37439" s="201"/>
    </row>
    <row r="37440" spans="62:62" x14ac:dyDescent="0.2">
      <c r="BJ37440" s="201"/>
    </row>
    <row r="37441" spans="62:62" x14ac:dyDescent="0.2">
      <c r="BJ37441" s="201"/>
    </row>
    <row r="37442" spans="62:62" x14ac:dyDescent="0.2">
      <c r="BJ37442" s="201"/>
    </row>
    <row r="37443" spans="62:62" x14ac:dyDescent="0.2">
      <c r="BJ37443" s="201"/>
    </row>
    <row r="37444" spans="62:62" x14ac:dyDescent="0.2">
      <c r="BJ37444" s="201"/>
    </row>
    <row r="37445" spans="62:62" x14ac:dyDescent="0.2">
      <c r="BJ37445" s="201"/>
    </row>
    <row r="37446" spans="62:62" x14ac:dyDescent="0.2">
      <c r="BJ37446" s="201"/>
    </row>
    <row r="37447" spans="62:62" x14ac:dyDescent="0.2">
      <c r="BJ37447" s="201"/>
    </row>
    <row r="37448" spans="62:62" x14ac:dyDescent="0.2">
      <c r="BJ37448" s="201"/>
    </row>
    <row r="37449" spans="62:62" x14ac:dyDescent="0.2">
      <c r="BJ37449" s="201"/>
    </row>
    <row r="37450" spans="62:62" x14ac:dyDescent="0.2">
      <c r="BJ37450" s="201"/>
    </row>
    <row r="37451" spans="62:62" x14ac:dyDescent="0.2">
      <c r="BJ37451" s="201"/>
    </row>
    <row r="37452" spans="62:62" x14ac:dyDescent="0.2">
      <c r="BJ37452" s="201"/>
    </row>
    <row r="37453" spans="62:62" x14ac:dyDescent="0.2">
      <c r="BJ37453" s="201"/>
    </row>
    <row r="37454" spans="62:62" x14ac:dyDescent="0.2">
      <c r="BJ37454" s="201"/>
    </row>
    <row r="37455" spans="62:62" x14ac:dyDescent="0.2">
      <c r="BJ37455" s="201"/>
    </row>
    <row r="37456" spans="62:62" x14ac:dyDescent="0.2">
      <c r="BJ37456" s="201"/>
    </row>
    <row r="37457" spans="62:62" x14ac:dyDescent="0.2">
      <c r="BJ37457" s="201"/>
    </row>
    <row r="37458" spans="62:62" x14ac:dyDescent="0.2">
      <c r="BJ37458" s="201"/>
    </row>
    <row r="37459" spans="62:62" x14ac:dyDescent="0.2">
      <c r="BJ37459" s="201"/>
    </row>
    <row r="37460" spans="62:62" x14ac:dyDescent="0.2">
      <c r="BJ37460" s="201"/>
    </row>
    <row r="37461" spans="62:62" x14ac:dyDescent="0.2">
      <c r="BJ37461" s="201"/>
    </row>
    <row r="37462" spans="62:62" x14ac:dyDescent="0.2">
      <c r="BJ37462" s="201"/>
    </row>
    <row r="37463" spans="62:62" x14ac:dyDescent="0.2">
      <c r="BJ37463" s="201"/>
    </row>
    <row r="37464" spans="62:62" x14ac:dyDescent="0.2">
      <c r="BJ37464" s="201"/>
    </row>
    <row r="37465" spans="62:62" x14ac:dyDescent="0.2">
      <c r="BJ37465" s="201"/>
    </row>
    <row r="37466" spans="62:62" x14ac:dyDescent="0.2">
      <c r="BJ37466" s="201"/>
    </row>
    <row r="37467" spans="62:62" x14ac:dyDescent="0.2">
      <c r="BJ37467" s="201"/>
    </row>
    <row r="37468" spans="62:62" x14ac:dyDescent="0.2">
      <c r="BJ37468" s="201"/>
    </row>
    <row r="37469" spans="62:62" x14ac:dyDescent="0.2">
      <c r="BJ37469" s="201"/>
    </row>
    <row r="37470" spans="62:62" x14ac:dyDescent="0.2">
      <c r="BJ37470" s="201"/>
    </row>
    <row r="37471" spans="62:62" x14ac:dyDescent="0.2">
      <c r="BJ37471" s="201"/>
    </row>
    <row r="37472" spans="62:62" x14ac:dyDescent="0.2">
      <c r="BJ37472" s="201"/>
    </row>
    <row r="37473" spans="62:62" x14ac:dyDescent="0.2">
      <c r="BJ37473" s="201"/>
    </row>
    <row r="37474" spans="62:62" x14ac:dyDescent="0.2">
      <c r="BJ37474" s="201"/>
    </row>
    <row r="37475" spans="62:62" x14ac:dyDescent="0.2">
      <c r="BJ37475" s="201"/>
    </row>
    <row r="37476" spans="62:62" x14ac:dyDescent="0.2">
      <c r="BJ37476" s="201"/>
    </row>
    <row r="37477" spans="62:62" x14ac:dyDescent="0.2">
      <c r="BJ37477" s="201"/>
    </row>
    <row r="37478" spans="62:62" x14ac:dyDescent="0.2">
      <c r="BJ37478" s="201"/>
    </row>
    <row r="37479" spans="62:62" x14ac:dyDescent="0.2">
      <c r="BJ37479" s="201"/>
    </row>
    <row r="37480" spans="62:62" x14ac:dyDescent="0.2">
      <c r="BJ37480" s="201"/>
    </row>
    <row r="37481" spans="62:62" x14ac:dyDescent="0.2">
      <c r="BJ37481" s="201"/>
    </row>
    <row r="37482" spans="62:62" x14ac:dyDescent="0.2">
      <c r="BJ37482" s="201"/>
    </row>
    <row r="37483" spans="62:62" x14ac:dyDescent="0.2">
      <c r="BJ37483" s="201"/>
    </row>
    <row r="37484" spans="62:62" x14ac:dyDescent="0.2">
      <c r="BJ37484" s="201"/>
    </row>
    <row r="37485" spans="62:62" x14ac:dyDescent="0.2">
      <c r="BJ37485" s="201"/>
    </row>
    <row r="37486" spans="62:62" x14ac:dyDescent="0.2">
      <c r="BJ37486" s="201"/>
    </row>
    <row r="37487" spans="62:62" x14ac:dyDescent="0.2">
      <c r="BJ37487" s="201"/>
    </row>
    <row r="37488" spans="62:62" x14ac:dyDescent="0.2">
      <c r="BJ37488" s="201"/>
    </row>
    <row r="37489" spans="62:62" x14ac:dyDescent="0.2">
      <c r="BJ37489" s="201"/>
    </row>
    <row r="37490" spans="62:62" x14ac:dyDescent="0.2">
      <c r="BJ37490" s="201"/>
    </row>
    <row r="37491" spans="62:62" x14ac:dyDescent="0.2">
      <c r="BJ37491" s="201"/>
    </row>
    <row r="37492" spans="62:62" x14ac:dyDescent="0.2">
      <c r="BJ37492" s="201"/>
    </row>
    <row r="37493" spans="62:62" x14ac:dyDescent="0.2">
      <c r="BJ37493" s="201"/>
    </row>
    <row r="37494" spans="62:62" x14ac:dyDescent="0.2">
      <c r="BJ37494" s="201"/>
    </row>
    <row r="37495" spans="62:62" x14ac:dyDescent="0.2">
      <c r="BJ37495" s="201"/>
    </row>
    <row r="37496" spans="62:62" x14ac:dyDescent="0.2">
      <c r="BJ37496" s="201"/>
    </row>
    <row r="37497" spans="62:62" x14ac:dyDescent="0.2">
      <c r="BJ37497" s="201"/>
    </row>
    <row r="37498" spans="62:62" x14ac:dyDescent="0.2">
      <c r="BJ37498" s="201"/>
    </row>
    <row r="37499" spans="62:62" x14ac:dyDescent="0.2">
      <c r="BJ37499" s="201"/>
    </row>
    <row r="37500" spans="62:62" x14ac:dyDescent="0.2">
      <c r="BJ37500" s="201"/>
    </row>
    <row r="37501" spans="62:62" x14ac:dyDescent="0.2">
      <c r="BJ37501" s="201"/>
    </row>
    <row r="37502" spans="62:62" x14ac:dyDescent="0.2">
      <c r="BJ37502" s="201"/>
    </row>
    <row r="37503" spans="62:62" x14ac:dyDescent="0.2">
      <c r="BJ37503" s="201"/>
    </row>
    <row r="37504" spans="62:62" x14ac:dyDescent="0.2">
      <c r="BJ37504" s="201"/>
    </row>
    <row r="37505" spans="62:62" x14ac:dyDescent="0.2">
      <c r="BJ37505" s="201"/>
    </row>
    <row r="37506" spans="62:62" x14ac:dyDescent="0.2">
      <c r="BJ37506" s="201"/>
    </row>
    <row r="37507" spans="62:62" x14ac:dyDescent="0.2">
      <c r="BJ37507" s="201"/>
    </row>
    <row r="37508" spans="62:62" x14ac:dyDescent="0.2">
      <c r="BJ37508" s="201"/>
    </row>
    <row r="37509" spans="62:62" x14ac:dyDescent="0.2">
      <c r="BJ37509" s="201"/>
    </row>
    <row r="37510" spans="62:62" x14ac:dyDescent="0.2">
      <c r="BJ37510" s="201"/>
    </row>
    <row r="37511" spans="62:62" x14ac:dyDescent="0.2">
      <c r="BJ37511" s="201"/>
    </row>
    <row r="37512" spans="62:62" x14ac:dyDescent="0.2">
      <c r="BJ37512" s="201"/>
    </row>
    <row r="37513" spans="62:62" x14ac:dyDescent="0.2">
      <c r="BJ37513" s="201"/>
    </row>
    <row r="37514" spans="62:62" x14ac:dyDescent="0.2">
      <c r="BJ37514" s="201"/>
    </row>
    <row r="37515" spans="62:62" x14ac:dyDescent="0.2">
      <c r="BJ37515" s="201"/>
    </row>
    <row r="37516" spans="62:62" x14ac:dyDescent="0.2">
      <c r="BJ37516" s="201"/>
    </row>
    <row r="37517" spans="62:62" x14ac:dyDescent="0.2">
      <c r="BJ37517" s="201"/>
    </row>
    <row r="37518" spans="62:62" x14ac:dyDescent="0.2">
      <c r="BJ37518" s="201"/>
    </row>
    <row r="37519" spans="62:62" x14ac:dyDescent="0.2">
      <c r="BJ37519" s="201"/>
    </row>
    <row r="37520" spans="62:62" x14ac:dyDescent="0.2">
      <c r="BJ37520" s="201"/>
    </row>
    <row r="37521" spans="62:62" x14ac:dyDescent="0.2">
      <c r="BJ37521" s="201"/>
    </row>
    <row r="37522" spans="62:62" x14ac:dyDescent="0.2">
      <c r="BJ37522" s="201"/>
    </row>
    <row r="37523" spans="62:62" x14ac:dyDescent="0.2">
      <c r="BJ37523" s="201"/>
    </row>
    <row r="37524" spans="62:62" x14ac:dyDescent="0.2">
      <c r="BJ37524" s="201"/>
    </row>
    <row r="37525" spans="62:62" x14ac:dyDescent="0.2">
      <c r="BJ37525" s="201"/>
    </row>
    <row r="37526" spans="62:62" x14ac:dyDescent="0.2">
      <c r="BJ37526" s="201"/>
    </row>
    <row r="37527" spans="62:62" x14ac:dyDescent="0.2">
      <c r="BJ37527" s="201"/>
    </row>
    <row r="37528" spans="62:62" x14ac:dyDescent="0.2">
      <c r="BJ37528" s="201"/>
    </row>
    <row r="37529" spans="62:62" x14ac:dyDescent="0.2">
      <c r="BJ37529" s="201"/>
    </row>
    <row r="37530" spans="62:62" x14ac:dyDescent="0.2">
      <c r="BJ37530" s="201"/>
    </row>
    <row r="37531" spans="62:62" x14ac:dyDescent="0.2">
      <c r="BJ37531" s="201"/>
    </row>
    <row r="37532" spans="62:62" x14ac:dyDescent="0.2">
      <c r="BJ37532" s="201"/>
    </row>
    <row r="37533" spans="62:62" x14ac:dyDescent="0.2">
      <c r="BJ37533" s="201"/>
    </row>
    <row r="37534" spans="62:62" x14ac:dyDescent="0.2">
      <c r="BJ37534" s="201"/>
    </row>
    <row r="37535" spans="62:62" x14ac:dyDescent="0.2">
      <c r="BJ37535" s="201"/>
    </row>
    <row r="37536" spans="62:62" x14ac:dyDescent="0.2">
      <c r="BJ37536" s="201"/>
    </row>
    <row r="37537" spans="62:62" x14ac:dyDescent="0.2">
      <c r="BJ37537" s="201"/>
    </row>
    <row r="37538" spans="62:62" x14ac:dyDescent="0.2">
      <c r="BJ37538" s="201"/>
    </row>
    <row r="37539" spans="62:62" x14ac:dyDescent="0.2">
      <c r="BJ37539" s="201"/>
    </row>
    <row r="37540" spans="62:62" x14ac:dyDescent="0.2">
      <c r="BJ37540" s="201"/>
    </row>
    <row r="37541" spans="62:62" x14ac:dyDescent="0.2">
      <c r="BJ37541" s="201"/>
    </row>
    <row r="37542" spans="62:62" x14ac:dyDescent="0.2">
      <c r="BJ37542" s="201"/>
    </row>
    <row r="37543" spans="62:62" x14ac:dyDescent="0.2">
      <c r="BJ37543" s="201"/>
    </row>
    <row r="37544" spans="62:62" x14ac:dyDescent="0.2">
      <c r="BJ37544" s="201"/>
    </row>
    <row r="37545" spans="62:62" x14ac:dyDescent="0.2">
      <c r="BJ37545" s="201"/>
    </row>
    <row r="37546" spans="62:62" x14ac:dyDescent="0.2">
      <c r="BJ37546" s="201"/>
    </row>
    <row r="37547" spans="62:62" x14ac:dyDescent="0.2">
      <c r="BJ37547" s="201"/>
    </row>
    <row r="37548" spans="62:62" x14ac:dyDescent="0.2">
      <c r="BJ37548" s="201"/>
    </row>
    <row r="37549" spans="62:62" x14ac:dyDescent="0.2">
      <c r="BJ37549" s="201"/>
    </row>
    <row r="37550" spans="62:62" x14ac:dyDescent="0.2">
      <c r="BJ37550" s="201"/>
    </row>
    <row r="37551" spans="62:62" x14ac:dyDescent="0.2">
      <c r="BJ37551" s="201"/>
    </row>
    <row r="37552" spans="62:62" x14ac:dyDescent="0.2">
      <c r="BJ37552" s="201"/>
    </row>
    <row r="37553" spans="62:62" x14ac:dyDescent="0.2">
      <c r="BJ37553" s="201"/>
    </row>
    <row r="37554" spans="62:62" x14ac:dyDescent="0.2">
      <c r="BJ37554" s="201"/>
    </row>
    <row r="37555" spans="62:62" x14ac:dyDescent="0.2">
      <c r="BJ37555" s="201"/>
    </row>
    <row r="37556" spans="62:62" x14ac:dyDescent="0.2">
      <c r="BJ37556" s="201"/>
    </row>
    <row r="37557" spans="62:62" x14ac:dyDescent="0.2">
      <c r="BJ37557" s="201"/>
    </row>
    <row r="37558" spans="62:62" x14ac:dyDescent="0.2">
      <c r="BJ37558" s="201"/>
    </row>
    <row r="37559" spans="62:62" x14ac:dyDescent="0.2">
      <c r="BJ37559" s="201"/>
    </row>
    <row r="37560" spans="62:62" x14ac:dyDescent="0.2">
      <c r="BJ37560" s="201"/>
    </row>
    <row r="37561" spans="62:62" x14ac:dyDescent="0.2">
      <c r="BJ37561" s="201"/>
    </row>
    <row r="37562" spans="62:62" x14ac:dyDescent="0.2">
      <c r="BJ37562" s="201"/>
    </row>
    <row r="37563" spans="62:62" x14ac:dyDescent="0.2">
      <c r="BJ37563" s="201"/>
    </row>
    <row r="37564" spans="62:62" x14ac:dyDescent="0.2">
      <c r="BJ37564" s="201"/>
    </row>
    <row r="37565" spans="62:62" x14ac:dyDescent="0.2">
      <c r="BJ37565" s="201"/>
    </row>
    <row r="37566" spans="62:62" x14ac:dyDescent="0.2">
      <c r="BJ37566" s="201"/>
    </row>
    <row r="37567" spans="62:62" x14ac:dyDescent="0.2">
      <c r="BJ37567" s="201"/>
    </row>
    <row r="37568" spans="62:62" x14ac:dyDescent="0.2">
      <c r="BJ37568" s="201"/>
    </row>
    <row r="37569" spans="62:62" x14ac:dyDescent="0.2">
      <c r="BJ37569" s="201"/>
    </row>
    <row r="37570" spans="62:62" x14ac:dyDescent="0.2">
      <c r="BJ37570" s="201"/>
    </row>
    <row r="37571" spans="62:62" x14ac:dyDescent="0.2">
      <c r="BJ37571" s="201"/>
    </row>
    <row r="37572" spans="62:62" x14ac:dyDescent="0.2">
      <c r="BJ37572" s="201"/>
    </row>
    <row r="37573" spans="62:62" x14ac:dyDescent="0.2">
      <c r="BJ37573" s="201"/>
    </row>
    <row r="37574" spans="62:62" x14ac:dyDescent="0.2">
      <c r="BJ37574" s="201"/>
    </row>
    <row r="37575" spans="62:62" x14ac:dyDescent="0.2">
      <c r="BJ37575" s="201"/>
    </row>
    <row r="37576" spans="62:62" x14ac:dyDescent="0.2">
      <c r="BJ37576" s="201"/>
    </row>
    <row r="37577" spans="62:62" x14ac:dyDescent="0.2">
      <c r="BJ37577" s="201"/>
    </row>
    <row r="37578" spans="62:62" x14ac:dyDescent="0.2">
      <c r="BJ37578" s="201"/>
    </row>
    <row r="37579" spans="62:62" x14ac:dyDescent="0.2">
      <c r="BJ37579" s="201"/>
    </row>
    <row r="37580" spans="62:62" x14ac:dyDescent="0.2">
      <c r="BJ37580" s="201"/>
    </row>
    <row r="37581" spans="62:62" x14ac:dyDescent="0.2">
      <c r="BJ37581" s="201"/>
    </row>
    <row r="37582" spans="62:62" x14ac:dyDescent="0.2">
      <c r="BJ37582" s="201"/>
    </row>
    <row r="37583" spans="62:62" x14ac:dyDescent="0.2">
      <c r="BJ37583" s="201"/>
    </row>
    <row r="37584" spans="62:62" x14ac:dyDescent="0.2">
      <c r="BJ37584" s="201"/>
    </row>
    <row r="37585" spans="62:62" x14ac:dyDescent="0.2">
      <c r="BJ37585" s="201"/>
    </row>
    <row r="37586" spans="62:62" x14ac:dyDescent="0.2">
      <c r="BJ37586" s="201"/>
    </row>
    <row r="37587" spans="62:62" x14ac:dyDescent="0.2">
      <c r="BJ37587" s="201"/>
    </row>
    <row r="37588" spans="62:62" x14ac:dyDescent="0.2">
      <c r="BJ37588" s="201"/>
    </row>
    <row r="37589" spans="62:62" x14ac:dyDescent="0.2">
      <c r="BJ37589" s="201"/>
    </row>
    <row r="37590" spans="62:62" x14ac:dyDescent="0.2">
      <c r="BJ37590" s="201"/>
    </row>
    <row r="37591" spans="62:62" x14ac:dyDescent="0.2">
      <c r="BJ37591" s="201"/>
    </row>
    <row r="37592" spans="62:62" x14ac:dyDescent="0.2">
      <c r="BJ37592" s="201"/>
    </row>
    <row r="37593" spans="62:62" x14ac:dyDescent="0.2">
      <c r="BJ37593" s="201"/>
    </row>
    <row r="37594" spans="62:62" x14ac:dyDescent="0.2">
      <c r="BJ37594" s="201"/>
    </row>
    <row r="37595" spans="62:62" x14ac:dyDescent="0.2">
      <c r="BJ37595" s="201"/>
    </row>
    <row r="37596" spans="62:62" x14ac:dyDescent="0.2">
      <c r="BJ37596" s="201"/>
    </row>
    <row r="37597" spans="62:62" x14ac:dyDescent="0.2">
      <c r="BJ37597" s="201"/>
    </row>
    <row r="37598" spans="62:62" x14ac:dyDescent="0.2">
      <c r="BJ37598" s="201"/>
    </row>
    <row r="37599" spans="62:62" x14ac:dyDescent="0.2">
      <c r="BJ37599" s="201"/>
    </row>
    <row r="37600" spans="62:62" x14ac:dyDescent="0.2">
      <c r="BJ37600" s="201"/>
    </row>
    <row r="37601" spans="62:62" x14ac:dyDescent="0.2">
      <c r="BJ37601" s="201"/>
    </row>
    <row r="37602" spans="62:62" x14ac:dyDescent="0.2">
      <c r="BJ37602" s="201"/>
    </row>
    <row r="37603" spans="62:62" x14ac:dyDescent="0.2">
      <c r="BJ37603" s="201"/>
    </row>
    <row r="37604" spans="62:62" x14ac:dyDescent="0.2">
      <c r="BJ37604" s="201"/>
    </row>
    <row r="37605" spans="62:62" x14ac:dyDescent="0.2">
      <c r="BJ37605" s="201"/>
    </row>
    <row r="37606" spans="62:62" x14ac:dyDescent="0.2">
      <c r="BJ37606" s="201"/>
    </row>
    <row r="37607" spans="62:62" x14ac:dyDescent="0.2">
      <c r="BJ37607" s="201"/>
    </row>
    <row r="37608" spans="62:62" x14ac:dyDescent="0.2">
      <c r="BJ37608" s="201"/>
    </row>
    <row r="37609" spans="62:62" x14ac:dyDescent="0.2">
      <c r="BJ37609" s="201"/>
    </row>
    <row r="37610" spans="62:62" x14ac:dyDescent="0.2">
      <c r="BJ37610" s="201"/>
    </row>
    <row r="37611" spans="62:62" x14ac:dyDescent="0.2">
      <c r="BJ37611" s="201"/>
    </row>
    <row r="37612" spans="62:62" x14ac:dyDescent="0.2">
      <c r="BJ37612" s="201"/>
    </row>
    <row r="37613" spans="62:62" x14ac:dyDescent="0.2">
      <c r="BJ37613" s="201"/>
    </row>
    <row r="37614" spans="62:62" x14ac:dyDescent="0.2">
      <c r="BJ37614" s="201"/>
    </row>
    <row r="37615" spans="62:62" x14ac:dyDescent="0.2">
      <c r="BJ37615" s="201"/>
    </row>
    <row r="37616" spans="62:62" x14ac:dyDescent="0.2">
      <c r="BJ37616" s="201"/>
    </row>
    <row r="37617" spans="62:62" x14ac:dyDescent="0.2">
      <c r="BJ37617" s="201"/>
    </row>
    <row r="37618" spans="62:62" x14ac:dyDescent="0.2">
      <c r="BJ37618" s="201"/>
    </row>
    <row r="37619" spans="62:62" x14ac:dyDescent="0.2">
      <c r="BJ37619" s="201"/>
    </row>
    <row r="37620" spans="62:62" x14ac:dyDescent="0.2">
      <c r="BJ37620" s="201"/>
    </row>
    <row r="37621" spans="62:62" x14ac:dyDescent="0.2">
      <c r="BJ37621" s="201"/>
    </row>
    <row r="37622" spans="62:62" x14ac:dyDescent="0.2">
      <c r="BJ37622" s="201"/>
    </row>
    <row r="37623" spans="62:62" x14ac:dyDescent="0.2">
      <c r="BJ37623" s="201"/>
    </row>
    <row r="37624" spans="62:62" x14ac:dyDescent="0.2">
      <c r="BJ37624" s="201"/>
    </row>
    <row r="37625" spans="62:62" x14ac:dyDescent="0.2">
      <c r="BJ37625" s="201"/>
    </row>
    <row r="37626" spans="62:62" x14ac:dyDescent="0.2">
      <c r="BJ37626" s="201"/>
    </row>
    <row r="37627" spans="62:62" x14ac:dyDescent="0.2">
      <c r="BJ37627" s="201"/>
    </row>
    <row r="37628" spans="62:62" x14ac:dyDescent="0.2">
      <c r="BJ37628" s="201"/>
    </row>
    <row r="37629" spans="62:62" x14ac:dyDescent="0.2">
      <c r="BJ37629" s="201"/>
    </row>
    <row r="37630" spans="62:62" x14ac:dyDescent="0.2">
      <c r="BJ37630" s="201"/>
    </row>
    <row r="37631" spans="62:62" x14ac:dyDescent="0.2">
      <c r="BJ37631" s="201"/>
    </row>
    <row r="37632" spans="62:62" x14ac:dyDescent="0.2">
      <c r="BJ37632" s="201"/>
    </row>
    <row r="37633" spans="62:62" x14ac:dyDescent="0.2">
      <c r="BJ37633" s="201"/>
    </row>
    <row r="37634" spans="62:62" x14ac:dyDescent="0.2">
      <c r="BJ37634" s="201"/>
    </row>
    <row r="37635" spans="62:62" x14ac:dyDescent="0.2">
      <c r="BJ37635" s="201"/>
    </row>
    <row r="37636" spans="62:62" x14ac:dyDescent="0.2">
      <c r="BJ37636" s="201"/>
    </row>
    <row r="37637" spans="62:62" x14ac:dyDescent="0.2">
      <c r="BJ37637" s="201"/>
    </row>
    <row r="37638" spans="62:62" x14ac:dyDescent="0.2">
      <c r="BJ37638" s="201"/>
    </row>
    <row r="37639" spans="62:62" x14ac:dyDescent="0.2">
      <c r="BJ37639" s="201"/>
    </row>
    <row r="37640" spans="62:62" x14ac:dyDescent="0.2">
      <c r="BJ37640" s="201"/>
    </row>
    <row r="37641" spans="62:62" x14ac:dyDescent="0.2">
      <c r="BJ37641" s="201"/>
    </row>
    <row r="37642" spans="62:62" x14ac:dyDescent="0.2">
      <c r="BJ37642" s="201"/>
    </row>
    <row r="37643" spans="62:62" x14ac:dyDescent="0.2">
      <c r="BJ37643" s="201"/>
    </row>
    <row r="37644" spans="62:62" x14ac:dyDescent="0.2">
      <c r="BJ37644" s="201"/>
    </row>
    <row r="37645" spans="62:62" x14ac:dyDescent="0.2">
      <c r="BJ37645" s="201"/>
    </row>
    <row r="37646" spans="62:62" x14ac:dyDescent="0.2">
      <c r="BJ37646" s="201"/>
    </row>
    <row r="37647" spans="62:62" x14ac:dyDescent="0.2">
      <c r="BJ37647" s="201"/>
    </row>
    <row r="37648" spans="62:62" x14ac:dyDescent="0.2">
      <c r="BJ37648" s="201"/>
    </row>
    <row r="37649" spans="62:62" x14ac:dyDescent="0.2">
      <c r="BJ37649" s="201"/>
    </row>
    <row r="37650" spans="62:62" x14ac:dyDescent="0.2">
      <c r="BJ37650" s="201"/>
    </row>
    <row r="37651" spans="62:62" x14ac:dyDescent="0.2">
      <c r="BJ37651" s="201"/>
    </row>
    <row r="37652" spans="62:62" x14ac:dyDescent="0.2">
      <c r="BJ37652" s="201"/>
    </row>
    <row r="37653" spans="62:62" x14ac:dyDescent="0.2">
      <c r="BJ37653" s="201"/>
    </row>
    <row r="37654" spans="62:62" x14ac:dyDescent="0.2">
      <c r="BJ37654" s="201"/>
    </row>
    <row r="37655" spans="62:62" x14ac:dyDescent="0.2">
      <c r="BJ37655" s="201"/>
    </row>
    <row r="37656" spans="62:62" x14ac:dyDescent="0.2">
      <c r="BJ37656" s="201"/>
    </row>
    <row r="37657" spans="62:62" x14ac:dyDescent="0.2">
      <c r="BJ37657" s="201"/>
    </row>
    <row r="37658" spans="62:62" x14ac:dyDescent="0.2">
      <c r="BJ37658" s="201"/>
    </row>
    <row r="37659" spans="62:62" x14ac:dyDescent="0.2">
      <c r="BJ37659" s="201"/>
    </row>
    <row r="37660" spans="62:62" x14ac:dyDescent="0.2">
      <c r="BJ37660" s="201"/>
    </row>
    <row r="37661" spans="62:62" x14ac:dyDescent="0.2">
      <c r="BJ37661" s="201"/>
    </row>
    <row r="37662" spans="62:62" x14ac:dyDescent="0.2">
      <c r="BJ37662" s="201"/>
    </row>
    <row r="37663" spans="62:62" x14ac:dyDescent="0.2">
      <c r="BJ37663" s="201"/>
    </row>
    <row r="37664" spans="62:62" x14ac:dyDescent="0.2">
      <c r="BJ37664" s="201"/>
    </row>
    <row r="37665" spans="62:62" x14ac:dyDescent="0.2">
      <c r="BJ37665" s="201"/>
    </row>
    <row r="37666" spans="62:62" x14ac:dyDescent="0.2">
      <c r="BJ37666" s="201"/>
    </row>
    <row r="37667" spans="62:62" x14ac:dyDescent="0.2">
      <c r="BJ37667" s="201"/>
    </row>
    <row r="37668" spans="62:62" x14ac:dyDescent="0.2">
      <c r="BJ37668" s="201"/>
    </row>
    <row r="37669" spans="62:62" x14ac:dyDescent="0.2">
      <c r="BJ37669" s="201"/>
    </row>
    <row r="37670" spans="62:62" x14ac:dyDescent="0.2">
      <c r="BJ37670" s="201"/>
    </row>
    <row r="37671" spans="62:62" x14ac:dyDescent="0.2">
      <c r="BJ37671" s="201"/>
    </row>
    <row r="37672" spans="62:62" x14ac:dyDescent="0.2">
      <c r="BJ37672" s="201"/>
    </row>
    <row r="37673" spans="62:62" x14ac:dyDescent="0.2">
      <c r="BJ37673" s="201"/>
    </row>
    <row r="37674" spans="62:62" x14ac:dyDescent="0.2">
      <c r="BJ37674" s="201"/>
    </row>
    <row r="37675" spans="62:62" x14ac:dyDescent="0.2">
      <c r="BJ37675" s="201"/>
    </row>
    <row r="37676" spans="62:62" x14ac:dyDescent="0.2">
      <c r="BJ37676" s="201"/>
    </row>
    <row r="37677" spans="62:62" x14ac:dyDescent="0.2">
      <c r="BJ37677" s="201"/>
    </row>
    <row r="37678" spans="62:62" x14ac:dyDescent="0.2">
      <c r="BJ37678" s="201"/>
    </row>
    <row r="37679" spans="62:62" x14ac:dyDescent="0.2">
      <c r="BJ37679" s="201"/>
    </row>
    <row r="37680" spans="62:62" x14ac:dyDescent="0.2">
      <c r="BJ37680" s="201"/>
    </row>
    <row r="37681" spans="62:62" x14ac:dyDescent="0.2">
      <c r="BJ37681" s="201"/>
    </row>
    <row r="37682" spans="62:62" x14ac:dyDescent="0.2">
      <c r="BJ37682" s="201"/>
    </row>
    <row r="37683" spans="62:62" x14ac:dyDescent="0.2">
      <c r="BJ37683" s="201"/>
    </row>
    <row r="37684" spans="62:62" x14ac:dyDescent="0.2">
      <c r="BJ37684" s="201"/>
    </row>
    <row r="37685" spans="62:62" x14ac:dyDescent="0.2">
      <c r="BJ37685" s="201"/>
    </row>
    <row r="37686" spans="62:62" x14ac:dyDescent="0.2">
      <c r="BJ37686" s="201"/>
    </row>
    <row r="37687" spans="62:62" x14ac:dyDescent="0.2">
      <c r="BJ37687" s="201"/>
    </row>
    <row r="37688" spans="62:62" x14ac:dyDescent="0.2">
      <c r="BJ37688" s="201"/>
    </row>
    <row r="37689" spans="62:62" x14ac:dyDescent="0.2">
      <c r="BJ37689" s="201"/>
    </row>
    <row r="37690" spans="62:62" x14ac:dyDescent="0.2">
      <c r="BJ37690" s="201"/>
    </row>
    <row r="37691" spans="62:62" x14ac:dyDescent="0.2">
      <c r="BJ37691" s="201"/>
    </row>
    <row r="37692" spans="62:62" x14ac:dyDescent="0.2">
      <c r="BJ37692" s="201"/>
    </row>
    <row r="37693" spans="62:62" x14ac:dyDescent="0.2">
      <c r="BJ37693" s="201"/>
    </row>
    <row r="37694" spans="62:62" x14ac:dyDescent="0.2">
      <c r="BJ37694" s="201"/>
    </row>
    <row r="37695" spans="62:62" x14ac:dyDescent="0.2">
      <c r="BJ37695" s="201"/>
    </row>
    <row r="37696" spans="62:62" x14ac:dyDescent="0.2">
      <c r="BJ37696" s="201"/>
    </row>
    <row r="37697" spans="62:62" x14ac:dyDescent="0.2">
      <c r="BJ37697" s="201"/>
    </row>
    <row r="37698" spans="62:62" x14ac:dyDescent="0.2">
      <c r="BJ37698" s="201"/>
    </row>
    <row r="37699" spans="62:62" x14ac:dyDescent="0.2">
      <c r="BJ37699" s="201"/>
    </row>
    <row r="37700" spans="62:62" x14ac:dyDescent="0.2">
      <c r="BJ37700" s="201"/>
    </row>
    <row r="37701" spans="62:62" x14ac:dyDescent="0.2">
      <c r="BJ37701" s="201"/>
    </row>
    <row r="37702" spans="62:62" x14ac:dyDescent="0.2">
      <c r="BJ37702" s="201"/>
    </row>
    <row r="37703" spans="62:62" x14ac:dyDescent="0.2">
      <c r="BJ37703" s="201"/>
    </row>
    <row r="37704" spans="62:62" x14ac:dyDescent="0.2">
      <c r="BJ37704" s="201"/>
    </row>
    <row r="37705" spans="62:62" x14ac:dyDescent="0.2">
      <c r="BJ37705" s="201"/>
    </row>
    <row r="37706" spans="62:62" x14ac:dyDescent="0.2">
      <c r="BJ37706" s="201"/>
    </row>
    <row r="37707" spans="62:62" x14ac:dyDescent="0.2">
      <c r="BJ37707" s="201"/>
    </row>
    <row r="37708" spans="62:62" x14ac:dyDescent="0.2">
      <c r="BJ37708" s="201"/>
    </row>
    <row r="37709" spans="62:62" x14ac:dyDescent="0.2">
      <c r="BJ37709" s="201"/>
    </row>
    <row r="37710" spans="62:62" x14ac:dyDescent="0.2">
      <c r="BJ37710" s="201"/>
    </row>
    <row r="37711" spans="62:62" x14ac:dyDescent="0.2">
      <c r="BJ37711" s="201"/>
    </row>
    <row r="37712" spans="62:62" x14ac:dyDescent="0.2">
      <c r="BJ37712" s="201"/>
    </row>
    <row r="37713" spans="62:62" x14ac:dyDescent="0.2">
      <c r="BJ37713" s="201"/>
    </row>
    <row r="37714" spans="62:62" x14ac:dyDescent="0.2">
      <c r="BJ37714" s="201"/>
    </row>
    <row r="37715" spans="62:62" x14ac:dyDescent="0.2">
      <c r="BJ37715" s="201"/>
    </row>
    <row r="37716" spans="62:62" x14ac:dyDescent="0.2">
      <c r="BJ37716" s="201"/>
    </row>
    <row r="37717" spans="62:62" x14ac:dyDescent="0.2">
      <c r="BJ37717" s="201"/>
    </row>
    <row r="37718" spans="62:62" x14ac:dyDescent="0.2">
      <c r="BJ37718" s="201"/>
    </row>
    <row r="37719" spans="62:62" x14ac:dyDescent="0.2">
      <c r="BJ37719" s="201"/>
    </row>
    <row r="37720" spans="62:62" x14ac:dyDescent="0.2">
      <c r="BJ37720" s="201"/>
    </row>
    <row r="37721" spans="62:62" x14ac:dyDescent="0.2">
      <c r="BJ37721" s="201"/>
    </row>
    <row r="37722" spans="62:62" x14ac:dyDescent="0.2">
      <c r="BJ37722" s="201"/>
    </row>
    <row r="37723" spans="62:62" x14ac:dyDescent="0.2">
      <c r="BJ37723" s="201"/>
    </row>
    <row r="37724" spans="62:62" x14ac:dyDescent="0.2">
      <c r="BJ37724" s="201"/>
    </row>
    <row r="37725" spans="62:62" x14ac:dyDescent="0.2">
      <c r="BJ37725" s="201"/>
    </row>
    <row r="37726" spans="62:62" x14ac:dyDescent="0.2">
      <c r="BJ37726" s="201"/>
    </row>
    <row r="37727" spans="62:62" x14ac:dyDescent="0.2">
      <c r="BJ37727" s="201"/>
    </row>
    <row r="37728" spans="62:62" x14ac:dyDescent="0.2">
      <c r="BJ37728" s="201"/>
    </row>
    <row r="37729" spans="62:62" x14ac:dyDescent="0.2">
      <c r="BJ37729" s="201"/>
    </row>
    <row r="37730" spans="62:62" x14ac:dyDescent="0.2">
      <c r="BJ37730" s="201"/>
    </row>
    <row r="37731" spans="62:62" x14ac:dyDescent="0.2">
      <c r="BJ37731" s="201"/>
    </row>
    <row r="37732" spans="62:62" x14ac:dyDescent="0.2">
      <c r="BJ37732" s="201"/>
    </row>
    <row r="37733" spans="62:62" x14ac:dyDescent="0.2">
      <c r="BJ37733" s="201"/>
    </row>
    <row r="37734" spans="62:62" x14ac:dyDescent="0.2">
      <c r="BJ37734" s="201"/>
    </row>
    <row r="37735" spans="62:62" x14ac:dyDescent="0.2">
      <c r="BJ37735" s="201"/>
    </row>
    <row r="37736" spans="62:62" x14ac:dyDescent="0.2">
      <c r="BJ37736" s="201"/>
    </row>
    <row r="37737" spans="62:62" x14ac:dyDescent="0.2">
      <c r="BJ37737" s="201"/>
    </row>
    <row r="37738" spans="62:62" x14ac:dyDescent="0.2">
      <c r="BJ37738" s="201"/>
    </row>
    <row r="37739" spans="62:62" x14ac:dyDescent="0.2">
      <c r="BJ37739" s="201"/>
    </row>
    <row r="37740" spans="62:62" x14ac:dyDescent="0.2">
      <c r="BJ37740" s="201"/>
    </row>
    <row r="37741" spans="62:62" x14ac:dyDescent="0.2">
      <c r="BJ37741" s="201"/>
    </row>
    <row r="37742" spans="62:62" x14ac:dyDescent="0.2">
      <c r="BJ37742" s="201"/>
    </row>
    <row r="37743" spans="62:62" x14ac:dyDescent="0.2">
      <c r="BJ37743" s="201"/>
    </row>
    <row r="37744" spans="62:62" x14ac:dyDescent="0.2">
      <c r="BJ37744" s="201"/>
    </row>
    <row r="37745" spans="62:62" x14ac:dyDescent="0.2">
      <c r="BJ37745" s="201"/>
    </row>
    <row r="37746" spans="62:62" x14ac:dyDescent="0.2">
      <c r="BJ37746" s="201"/>
    </row>
    <row r="37747" spans="62:62" x14ac:dyDescent="0.2">
      <c r="BJ37747" s="201"/>
    </row>
    <row r="37748" spans="62:62" x14ac:dyDescent="0.2">
      <c r="BJ37748" s="201"/>
    </row>
    <row r="37749" spans="62:62" x14ac:dyDescent="0.2">
      <c r="BJ37749" s="201"/>
    </row>
    <row r="37750" spans="62:62" x14ac:dyDescent="0.2">
      <c r="BJ37750" s="201"/>
    </row>
    <row r="37751" spans="62:62" x14ac:dyDescent="0.2">
      <c r="BJ37751" s="201"/>
    </row>
    <row r="37752" spans="62:62" x14ac:dyDescent="0.2">
      <c r="BJ37752" s="201"/>
    </row>
    <row r="37753" spans="62:62" x14ac:dyDescent="0.2">
      <c r="BJ37753" s="201"/>
    </row>
    <row r="37754" spans="62:62" x14ac:dyDescent="0.2">
      <c r="BJ37754" s="201"/>
    </row>
    <row r="37755" spans="62:62" x14ac:dyDescent="0.2">
      <c r="BJ37755" s="201"/>
    </row>
    <row r="37756" spans="62:62" x14ac:dyDescent="0.2">
      <c r="BJ37756" s="201"/>
    </row>
    <row r="37757" spans="62:62" x14ac:dyDescent="0.2">
      <c r="BJ37757" s="201"/>
    </row>
    <row r="37758" spans="62:62" x14ac:dyDescent="0.2">
      <c r="BJ37758" s="201"/>
    </row>
    <row r="37759" spans="62:62" x14ac:dyDescent="0.2">
      <c r="BJ37759" s="201"/>
    </row>
    <row r="37760" spans="62:62" x14ac:dyDescent="0.2">
      <c r="BJ37760" s="201"/>
    </row>
    <row r="37761" spans="62:62" x14ac:dyDescent="0.2">
      <c r="BJ37761" s="201"/>
    </row>
    <row r="37762" spans="62:62" x14ac:dyDescent="0.2">
      <c r="BJ37762" s="201"/>
    </row>
    <row r="37763" spans="62:62" x14ac:dyDescent="0.2">
      <c r="BJ37763" s="201"/>
    </row>
    <row r="37764" spans="62:62" x14ac:dyDescent="0.2">
      <c r="BJ37764" s="201"/>
    </row>
    <row r="37765" spans="62:62" x14ac:dyDescent="0.2">
      <c r="BJ37765" s="201"/>
    </row>
    <row r="37766" spans="62:62" x14ac:dyDescent="0.2">
      <c r="BJ37766" s="201"/>
    </row>
    <row r="37767" spans="62:62" x14ac:dyDescent="0.2">
      <c r="BJ37767" s="201"/>
    </row>
    <row r="37768" spans="62:62" x14ac:dyDescent="0.2">
      <c r="BJ37768" s="201"/>
    </row>
    <row r="37769" spans="62:62" x14ac:dyDescent="0.2">
      <c r="BJ37769" s="201"/>
    </row>
    <row r="37770" spans="62:62" x14ac:dyDescent="0.2">
      <c r="BJ37770" s="201"/>
    </row>
    <row r="37771" spans="62:62" x14ac:dyDescent="0.2">
      <c r="BJ37771" s="201"/>
    </row>
    <row r="37772" spans="62:62" x14ac:dyDescent="0.2">
      <c r="BJ37772" s="201"/>
    </row>
    <row r="37773" spans="62:62" x14ac:dyDescent="0.2">
      <c r="BJ37773" s="201"/>
    </row>
    <row r="37774" spans="62:62" x14ac:dyDescent="0.2">
      <c r="BJ37774" s="201"/>
    </row>
    <row r="37775" spans="62:62" x14ac:dyDescent="0.2">
      <c r="BJ37775" s="201"/>
    </row>
    <row r="37776" spans="62:62" x14ac:dyDescent="0.2">
      <c r="BJ37776" s="201"/>
    </row>
    <row r="37777" spans="62:62" x14ac:dyDescent="0.2">
      <c r="BJ37777" s="201"/>
    </row>
    <row r="37778" spans="62:62" x14ac:dyDescent="0.2">
      <c r="BJ37778" s="201"/>
    </row>
    <row r="37779" spans="62:62" x14ac:dyDescent="0.2">
      <c r="BJ37779" s="201"/>
    </row>
    <row r="37780" spans="62:62" x14ac:dyDescent="0.2">
      <c r="BJ37780" s="201"/>
    </row>
    <row r="37781" spans="62:62" x14ac:dyDescent="0.2">
      <c r="BJ37781" s="201"/>
    </row>
    <row r="37782" spans="62:62" x14ac:dyDescent="0.2">
      <c r="BJ37782" s="201"/>
    </row>
    <row r="37783" spans="62:62" x14ac:dyDescent="0.2">
      <c r="BJ37783" s="201"/>
    </row>
    <row r="37784" spans="62:62" x14ac:dyDescent="0.2">
      <c r="BJ37784" s="201"/>
    </row>
    <row r="37785" spans="62:62" x14ac:dyDescent="0.2">
      <c r="BJ37785" s="201"/>
    </row>
    <row r="37786" spans="62:62" x14ac:dyDescent="0.2">
      <c r="BJ37786" s="201"/>
    </row>
    <row r="37787" spans="62:62" x14ac:dyDescent="0.2">
      <c r="BJ37787" s="201"/>
    </row>
    <row r="37788" spans="62:62" x14ac:dyDescent="0.2">
      <c r="BJ37788" s="201"/>
    </row>
    <row r="37789" spans="62:62" x14ac:dyDescent="0.2">
      <c r="BJ37789" s="201"/>
    </row>
    <row r="37790" spans="62:62" x14ac:dyDescent="0.2">
      <c r="BJ37790" s="201"/>
    </row>
    <row r="37791" spans="62:62" x14ac:dyDescent="0.2">
      <c r="BJ37791" s="201"/>
    </row>
    <row r="37792" spans="62:62" x14ac:dyDescent="0.2">
      <c r="BJ37792" s="201"/>
    </row>
    <row r="37793" spans="62:62" x14ac:dyDescent="0.2">
      <c r="BJ37793" s="201"/>
    </row>
    <row r="37794" spans="62:62" x14ac:dyDescent="0.2">
      <c r="BJ37794" s="201"/>
    </row>
    <row r="37795" spans="62:62" x14ac:dyDescent="0.2">
      <c r="BJ37795" s="201"/>
    </row>
    <row r="37796" spans="62:62" x14ac:dyDescent="0.2">
      <c r="BJ37796" s="201"/>
    </row>
    <row r="37797" spans="62:62" x14ac:dyDescent="0.2">
      <c r="BJ37797" s="201"/>
    </row>
    <row r="37798" spans="62:62" x14ac:dyDescent="0.2">
      <c r="BJ37798" s="201"/>
    </row>
    <row r="37799" spans="62:62" x14ac:dyDescent="0.2">
      <c r="BJ37799" s="201"/>
    </row>
    <row r="37800" spans="62:62" x14ac:dyDescent="0.2">
      <c r="BJ37800" s="201"/>
    </row>
    <row r="37801" spans="62:62" x14ac:dyDescent="0.2">
      <c r="BJ37801" s="201"/>
    </row>
    <row r="37802" spans="62:62" x14ac:dyDescent="0.2">
      <c r="BJ37802" s="201"/>
    </row>
    <row r="37803" spans="62:62" x14ac:dyDescent="0.2">
      <c r="BJ37803" s="201"/>
    </row>
    <row r="37804" spans="62:62" x14ac:dyDescent="0.2">
      <c r="BJ37804" s="201"/>
    </row>
    <row r="37805" spans="62:62" x14ac:dyDescent="0.2">
      <c r="BJ37805" s="201"/>
    </row>
    <row r="37806" spans="62:62" x14ac:dyDescent="0.2">
      <c r="BJ37806" s="201"/>
    </row>
    <row r="37807" spans="62:62" x14ac:dyDescent="0.2">
      <c r="BJ37807" s="201"/>
    </row>
    <row r="37808" spans="62:62" x14ac:dyDescent="0.2">
      <c r="BJ37808" s="201"/>
    </row>
    <row r="37809" spans="62:62" x14ac:dyDescent="0.2">
      <c r="BJ37809" s="201"/>
    </row>
    <row r="37810" spans="62:62" x14ac:dyDescent="0.2">
      <c r="BJ37810" s="201"/>
    </row>
    <row r="37811" spans="62:62" x14ac:dyDescent="0.2">
      <c r="BJ37811" s="201"/>
    </row>
    <row r="37812" spans="62:62" x14ac:dyDescent="0.2">
      <c r="BJ37812" s="201"/>
    </row>
    <row r="37813" spans="62:62" x14ac:dyDescent="0.2">
      <c r="BJ37813" s="201"/>
    </row>
    <row r="37814" spans="62:62" x14ac:dyDescent="0.2">
      <c r="BJ37814" s="201"/>
    </row>
    <row r="37815" spans="62:62" x14ac:dyDescent="0.2">
      <c r="BJ37815" s="201"/>
    </row>
    <row r="37816" spans="62:62" x14ac:dyDescent="0.2">
      <c r="BJ37816" s="201"/>
    </row>
    <row r="37817" spans="62:62" x14ac:dyDescent="0.2">
      <c r="BJ37817" s="201"/>
    </row>
    <row r="37818" spans="62:62" x14ac:dyDescent="0.2">
      <c r="BJ37818" s="201"/>
    </row>
    <row r="37819" spans="62:62" x14ac:dyDescent="0.2">
      <c r="BJ37819" s="201"/>
    </row>
    <row r="37820" spans="62:62" x14ac:dyDescent="0.2">
      <c r="BJ37820" s="201"/>
    </row>
    <row r="37821" spans="62:62" x14ac:dyDescent="0.2">
      <c r="BJ37821" s="201"/>
    </row>
    <row r="37822" spans="62:62" x14ac:dyDescent="0.2">
      <c r="BJ37822" s="201"/>
    </row>
    <row r="37823" spans="62:62" x14ac:dyDescent="0.2">
      <c r="BJ37823" s="201"/>
    </row>
    <row r="37824" spans="62:62" x14ac:dyDescent="0.2">
      <c r="BJ37824" s="201"/>
    </row>
    <row r="37825" spans="62:62" x14ac:dyDescent="0.2">
      <c r="BJ37825" s="201"/>
    </row>
    <row r="37826" spans="62:62" x14ac:dyDescent="0.2">
      <c r="BJ37826" s="201"/>
    </row>
    <row r="37827" spans="62:62" x14ac:dyDescent="0.2">
      <c r="BJ37827" s="201"/>
    </row>
    <row r="37828" spans="62:62" x14ac:dyDescent="0.2">
      <c r="BJ37828" s="201"/>
    </row>
    <row r="37829" spans="62:62" x14ac:dyDescent="0.2">
      <c r="BJ37829" s="201"/>
    </row>
    <row r="37830" spans="62:62" x14ac:dyDescent="0.2">
      <c r="BJ37830" s="201"/>
    </row>
    <row r="37831" spans="62:62" x14ac:dyDescent="0.2">
      <c r="BJ37831" s="201"/>
    </row>
    <row r="37832" spans="62:62" x14ac:dyDescent="0.2">
      <c r="BJ37832" s="201"/>
    </row>
    <row r="37833" spans="62:62" x14ac:dyDescent="0.2">
      <c r="BJ37833" s="201"/>
    </row>
    <row r="37834" spans="62:62" x14ac:dyDescent="0.2">
      <c r="BJ37834" s="201"/>
    </row>
    <row r="37835" spans="62:62" x14ac:dyDescent="0.2">
      <c r="BJ37835" s="201"/>
    </row>
    <row r="37836" spans="62:62" x14ac:dyDescent="0.2">
      <c r="BJ37836" s="201"/>
    </row>
    <row r="37837" spans="62:62" x14ac:dyDescent="0.2">
      <c r="BJ37837" s="201"/>
    </row>
    <row r="37838" spans="62:62" x14ac:dyDescent="0.2">
      <c r="BJ37838" s="201"/>
    </row>
    <row r="37839" spans="62:62" x14ac:dyDescent="0.2">
      <c r="BJ37839" s="201"/>
    </row>
    <row r="37840" spans="62:62" x14ac:dyDescent="0.2">
      <c r="BJ37840" s="201"/>
    </row>
    <row r="37841" spans="62:62" x14ac:dyDescent="0.2">
      <c r="BJ37841" s="201"/>
    </row>
    <row r="37842" spans="62:62" x14ac:dyDescent="0.2">
      <c r="BJ37842" s="201"/>
    </row>
    <row r="37843" spans="62:62" x14ac:dyDescent="0.2">
      <c r="BJ37843" s="201"/>
    </row>
    <row r="37844" spans="62:62" x14ac:dyDescent="0.2">
      <c r="BJ37844" s="201"/>
    </row>
    <row r="37845" spans="62:62" x14ac:dyDescent="0.2">
      <c r="BJ37845" s="201"/>
    </row>
    <row r="37846" spans="62:62" x14ac:dyDescent="0.2">
      <c r="BJ37846" s="201"/>
    </row>
    <row r="37847" spans="62:62" x14ac:dyDescent="0.2">
      <c r="BJ37847" s="201"/>
    </row>
    <row r="37848" spans="62:62" x14ac:dyDescent="0.2">
      <c r="BJ37848" s="201"/>
    </row>
    <row r="37849" spans="62:62" x14ac:dyDescent="0.2">
      <c r="BJ37849" s="201"/>
    </row>
    <row r="37850" spans="62:62" x14ac:dyDescent="0.2">
      <c r="BJ37850" s="201"/>
    </row>
    <row r="37851" spans="62:62" x14ac:dyDescent="0.2">
      <c r="BJ37851" s="201"/>
    </row>
    <row r="37852" spans="62:62" x14ac:dyDescent="0.2">
      <c r="BJ37852" s="201"/>
    </row>
    <row r="37853" spans="62:62" x14ac:dyDescent="0.2">
      <c r="BJ37853" s="201"/>
    </row>
    <row r="37854" spans="62:62" x14ac:dyDescent="0.2">
      <c r="BJ37854" s="201"/>
    </row>
    <row r="37855" spans="62:62" x14ac:dyDescent="0.2">
      <c r="BJ37855" s="201"/>
    </row>
    <row r="37856" spans="62:62" x14ac:dyDescent="0.2">
      <c r="BJ37856" s="201"/>
    </row>
    <row r="37857" spans="62:62" x14ac:dyDescent="0.2">
      <c r="BJ37857" s="201"/>
    </row>
    <row r="37858" spans="62:62" x14ac:dyDescent="0.2">
      <c r="BJ37858" s="201"/>
    </row>
    <row r="37859" spans="62:62" x14ac:dyDescent="0.2">
      <c r="BJ37859" s="201"/>
    </row>
    <row r="37860" spans="62:62" x14ac:dyDescent="0.2">
      <c r="BJ37860" s="201"/>
    </row>
    <row r="37861" spans="62:62" x14ac:dyDescent="0.2">
      <c r="BJ37861" s="201"/>
    </row>
    <row r="37862" spans="62:62" x14ac:dyDescent="0.2">
      <c r="BJ37862" s="201"/>
    </row>
    <row r="37863" spans="62:62" x14ac:dyDescent="0.2">
      <c r="BJ37863" s="201"/>
    </row>
    <row r="37864" spans="62:62" x14ac:dyDescent="0.2">
      <c r="BJ37864" s="201"/>
    </row>
    <row r="37865" spans="62:62" x14ac:dyDescent="0.2">
      <c r="BJ37865" s="201"/>
    </row>
    <row r="37866" spans="62:62" x14ac:dyDescent="0.2">
      <c r="BJ37866" s="201"/>
    </row>
    <row r="37867" spans="62:62" x14ac:dyDescent="0.2">
      <c r="BJ37867" s="201"/>
    </row>
    <row r="37868" spans="62:62" x14ac:dyDescent="0.2">
      <c r="BJ37868" s="201"/>
    </row>
    <row r="37869" spans="62:62" x14ac:dyDescent="0.2">
      <c r="BJ37869" s="201"/>
    </row>
    <row r="37870" spans="62:62" x14ac:dyDescent="0.2">
      <c r="BJ37870" s="201"/>
    </row>
    <row r="37871" spans="62:62" x14ac:dyDescent="0.2">
      <c r="BJ37871" s="201"/>
    </row>
    <row r="37872" spans="62:62" x14ac:dyDescent="0.2">
      <c r="BJ37872" s="201"/>
    </row>
    <row r="37873" spans="62:62" x14ac:dyDescent="0.2">
      <c r="BJ37873" s="201"/>
    </row>
    <row r="37874" spans="62:62" x14ac:dyDescent="0.2">
      <c r="BJ37874" s="201"/>
    </row>
    <row r="37875" spans="62:62" x14ac:dyDescent="0.2">
      <c r="BJ37875" s="201"/>
    </row>
    <row r="37876" spans="62:62" x14ac:dyDescent="0.2">
      <c r="BJ37876" s="201"/>
    </row>
    <row r="37877" spans="62:62" x14ac:dyDescent="0.2">
      <c r="BJ37877" s="201"/>
    </row>
    <row r="37878" spans="62:62" x14ac:dyDescent="0.2">
      <c r="BJ37878" s="201"/>
    </row>
    <row r="37879" spans="62:62" x14ac:dyDescent="0.2">
      <c r="BJ37879" s="201"/>
    </row>
    <row r="37880" spans="62:62" x14ac:dyDescent="0.2">
      <c r="BJ37880" s="201"/>
    </row>
    <row r="37881" spans="62:62" x14ac:dyDescent="0.2">
      <c r="BJ37881" s="201"/>
    </row>
    <row r="37882" spans="62:62" x14ac:dyDescent="0.2">
      <c r="BJ37882" s="201"/>
    </row>
    <row r="37883" spans="62:62" x14ac:dyDescent="0.2">
      <c r="BJ37883" s="201"/>
    </row>
    <row r="37884" spans="62:62" x14ac:dyDescent="0.2">
      <c r="BJ37884" s="201"/>
    </row>
    <row r="37885" spans="62:62" x14ac:dyDescent="0.2">
      <c r="BJ37885" s="201"/>
    </row>
    <row r="37886" spans="62:62" x14ac:dyDescent="0.2">
      <c r="BJ37886" s="201"/>
    </row>
    <row r="37887" spans="62:62" x14ac:dyDescent="0.2">
      <c r="BJ37887" s="201"/>
    </row>
    <row r="37888" spans="62:62" x14ac:dyDescent="0.2">
      <c r="BJ37888" s="201"/>
    </row>
    <row r="37889" spans="62:62" x14ac:dyDescent="0.2">
      <c r="BJ37889" s="201"/>
    </row>
    <row r="37890" spans="62:62" x14ac:dyDescent="0.2">
      <c r="BJ37890" s="201"/>
    </row>
    <row r="37891" spans="62:62" x14ac:dyDescent="0.2">
      <c r="BJ37891" s="201"/>
    </row>
    <row r="37892" spans="62:62" x14ac:dyDescent="0.2">
      <c r="BJ37892" s="201"/>
    </row>
    <row r="37893" spans="62:62" x14ac:dyDescent="0.2">
      <c r="BJ37893" s="201"/>
    </row>
    <row r="37894" spans="62:62" x14ac:dyDescent="0.2">
      <c r="BJ37894" s="201"/>
    </row>
    <row r="37895" spans="62:62" x14ac:dyDescent="0.2">
      <c r="BJ37895" s="201"/>
    </row>
    <row r="37896" spans="62:62" x14ac:dyDescent="0.2">
      <c r="BJ37896" s="201"/>
    </row>
    <row r="37897" spans="62:62" x14ac:dyDescent="0.2">
      <c r="BJ37897" s="201"/>
    </row>
    <row r="37898" spans="62:62" x14ac:dyDescent="0.2">
      <c r="BJ37898" s="201"/>
    </row>
    <row r="37899" spans="62:62" x14ac:dyDescent="0.2">
      <c r="BJ37899" s="201"/>
    </row>
    <row r="37900" spans="62:62" x14ac:dyDescent="0.2">
      <c r="BJ37900" s="201"/>
    </row>
    <row r="37901" spans="62:62" x14ac:dyDescent="0.2">
      <c r="BJ37901" s="201"/>
    </row>
    <row r="37902" spans="62:62" x14ac:dyDescent="0.2">
      <c r="BJ37902" s="201"/>
    </row>
    <row r="37903" spans="62:62" x14ac:dyDescent="0.2">
      <c r="BJ37903" s="201"/>
    </row>
    <row r="37904" spans="62:62" x14ac:dyDescent="0.2">
      <c r="BJ37904" s="201"/>
    </row>
    <row r="37905" spans="62:62" x14ac:dyDescent="0.2">
      <c r="BJ37905" s="201"/>
    </row>
    <row r="37906" spans="62:62" x14ac:dyDescent="0.2">
      <c r="BJ37906" s="201"/>
    </row>
    <row r="37907" spans="62:62" x14ac:dyDescent="0.2">
      <c r="BJ37907" s="201"/>
    </row>
    <row r="37908" spans="62:62" x14ac:dyDescent="0.2">
      <c r="BJ37908" s="201"/>
    </row>
    <row r="37909" spans="62:62" x14ac:dyDescent="0.2">
      <c r="BJ37909" s="201"/>
    </row>
    <row r="37910" spans="62:62" x14ac:dyDescent="0.2">
      <c r="BJ37910" s="201"/>
    </row>
    <row r="37911" spans="62:62" x14ac:dyDescent="0.2">
      <c r="BJ37911" s="201"/>
    </row>
    <row r="37912" spans="62:62" x14ac:dyDescent="0.2">
      <c r="BJ37912" s="201"/>
    </row>
    <row r="37913" spans="62:62" x14ac:dyDescent="0.2">
      <c r="BJ37913" s="201"/>
    </row>
    <row r="37914" spans="62:62" x14ac:dyDescent="0.2">
      <c r="BJ37914" s="201"/>
    </row>
    <row r="37915" spans="62:62" x14ac:dyDescent="0.2">
      <c r="BJ37915" s="201"/>
    </row>
    <row r="37916" spans="62:62" x14ac:dyDescent="0.2">
      <c r="BJ37916" s="201"/>
    </row>
    <row r="37917" spans="62:62" x14ac:dyDescent="0.2">
      <c r="BJ37917" s="201"/>
    </row>
    <row r="37918" spans="62:62" x14ac:dyDescent="0.2">
      <c r="BJ37918" s="201"/>
    </row>
    <row r="37919" spans="62:62" x14ac:dyDescent="0.2">
      <c r="BJ37919" s="201"/>
    </row>
    <row r="37920" spans="62:62" x14ac:dyDescent="0.2">
      <c r="BJ37920" s="201"/>
    </row>
    <row r="37921" spans="62:62" x14ac:dyDescent="0.2">
      <c r="BJ37921" s="201"/>
    </row>
    <row r="37922" spans="62:62" x14ac:dyDescent="0.2">
      <c r="BJ37922" s="201"/>
    </row>
    <row r="37923" spans="62:62" x14ac:dyDescent="0.2">
      <c r="BJ37923" s="201"/>
    </row>
    <row r="37924" spans="62:62" x14ac:dyDescent="0.2">
      <c r="BJ37924" s="201"/>
    </row>
    <row r="37925" spans="62:62" x14ac:dyDescent="0.2">
      <c r="BJ37925" s="201"/>
    </row>
    <row r="37926" spans="62:62" x14ac:dyDescent="0.2">
      <c r="BJ37926" s="201"/>
    </row>
    <row r="37927" spans="62:62" x14ac:dyDescent="0.2">
      <c r="BJ37927" s="201"/>
    </row>
    <row r="37928" spans="62:62" x14ac:dyDescent="0.2">
      <c r="BJ37928" s="201"/>
    </row>
    <row r="37929" spans="62:62" x14ac:dyDescent="0.2">
      <c r="BJ37929" s="201"/>
    </row>
    <row r="37930" spans="62:62" x14ac:dyDescent="0.2">
      <c r="BJ37930" s="201"/>
    </row>
    <row r="37931" spans="62:62" x14ac:dyDescent="0.2">
      <c r="BJ37931" s="201"/>
    </row>
    <row r="37932" spans="62:62" x14ac:dyDescent="0.2">
      <c r="BJ37932" s="201"/>
    </row>
    <row r="37933" spans="62:62" x14ac:dyDescent="0.2">
      <c r="BJ37933" s="201"/>
    </row>
    <row r="37934" spans="62:62" x14ac:dyDescent="0.2">
      <c r="BJ37934" s="201"/>
    </row>
    <row r="37935" spans="62:62" x14ac:dyDescent="0.2">
      <c r="BJ37935" s="201"/>
    </row>
    <row r="37936" spans="62:62" x14ac:dyDescent="0.2">
      <c r="BJ37936" s="201"/>
    </row>
    <row r="37937" spans="62:62" x14ac:dyDescent="0.2">
      <c r="BJ37937" s="201"/>
    </row>
    <row r="37938" spans="62:62" x14ac:dyDescent="0.2">
      <c r="BJ37938" s="201"/>
    </row>
    <row r="37939" spans="62:62" x14ac:dyDescent="0.2">
      <c r="BJ37939" s="201"/>
    </row>
    <row r="37940" spans="62:62" x14ac:dyDescent="0.2">
      <c r="BJ37940" s="201"/>
    </row>
    <row r="37941" spans="62:62" x14ac:dyDescent="0.2">
      <c r="BJ37941" s="201"/>
    </row>
    <row r="37942" spans="62:62" x14ac:dyDescent="0.2">
      <c r="BJ37942" s="201"/>
    </row>
    <row r="37943" spans="62:62" x14ac:dyDescent="0.2">
      <c r="BJ37943" s="201"/>
    </row>
    <row r="37944" spans="62:62" x14ac:dyDescent="0.2">
      <c r="BJ37944" s="201"/>
    </row>
    <row r="37945" spans="62:62" x14ac:dyDescent="0.2">
      <c r="BJ37945" s="201"/>
    </row>
    <row r="37946" spans="62:62" x14ac:dyDescent="0.2">
      <c r="BJ37946" s="201"/>
    </row>
    <row r="37947" spans="62:62" x14ac:dyDescent="0.2">
      <c r="BJ37947" s="201"/>
    </row>
    <row r="37948" spans="62:62" x14ac:dyDescent="0.2">
      <c r="BJ37948" s="201"/>
    </row>
    <row r="37949" spans="62:62" x14ac:dyDescent="0.2">
      <c r="BJ37949" s="201"/>
    </row>
    <row r="37950" spans="62:62" x14ac:dyDescent="0.2">
      <c r="BJ37950" s="201"/>
    </row>
    <row r="37951" spans="62:62" x14ac:dyDescent="0.2">
      <c r="BJ37951" s="201"/>
    </row>
    <row r="37952" spans="62:62" x14ac:dyDescent="0.2">
      <c r="BJ37952" s="201"/>
    </row>
    <row r="37953" spans="62:62" x14ac:dyDescent="0.2">
      <c r="BJ37953" s="201"/>
    </row>
    <row r="37954" spans="62:62" x14ac:dyDescent="0.2">
      <c r="BJ37954" s="201"/>
    </row>
    <row r="37955" spans="62:62" x14ac:dyDescent="0.2">
      <c r="BJ37955" s="201"/>
    </row>
    <row r="37956" spans="62:62" x14ac:dyDescent="0.2">
      <c r="BJ37956" s="201"/>
    </row>
    <row r="37957" spans="62:62" x14ac:dyDescent="0.2">
      <c r="BJ37957" s="201"/>
    </row>
    <row r="37958" spans="62:62" x14ac:dyDescent="0.2">
      <c r="BJ37958" s="201"/>
    </row>
    <row r="37959" spans="62:62" x14ac:dyDescent="0.2">
      <c r="BJ37959" s="201"/>
    </row>
    <row r="37960" spans="62:62" x14ac:dyDescent="0.2">
      <c r="BJ37960" s="201"/>
    </row>
    <row r="37961" spans="62:62" x14ac:dyDescent="0.2">
      <c r="BJ37961" s="201"/>
    </row>
    <row r="37962" spans="62:62" x14ac:dyDescent="0.2">
      <c r="BJ37962" s="201"/>
    </row>
    <row r="37963" spans="62:62" x14ac:dyDescent="0.2">
      <c r="BJ37963" s="201"/>
    </row>
    <row r="37964" spans="62:62" x14ac:dyDescent="0.2">
      <c r="BJ37964" s="201"/>
    </row>
    <row r="37965" spans="62:62" x14ac:dyDescent="0.2">
      <c r="BJ37965" s="201"/>
    </row>
    <row r="37966" spans="62:62" x14ac:dyDescent="0.2">
      <c r="BJ37966" s="201"/>
    </row>
    <row r="37967" spans="62:62" x14ac:dyDescent="0.2">
      <c r="BJ37967" s="201"/>
    </row>
    <row r="37968" spans="62:62" x14ac:dyDescent="0.2">
      <c r="BJ37968" s="201"/>
    </row>
    <row r="37969" spans="62:62" x14ac:dyDescent="0.2">
      <c r="BJ37969" s="201"/>
    </row>
    <row r="37970" spans="62:62" x14ac:dyDescent="0.2">
      <c r="BJ37970" s="201"/>
    </row>
    <row r="37971" spans="62:62" x14ac:dyDescent="0.2">
      <c r="BJ37971" s="201"/>
    </row>
    <row r="37972" spans="62:62" x14ac:dyDescent="0.2">
      <c r="BJ37972" s="201"/>
    </row>
    <row r="37973" spans="62:62" x14ac:dyDescent="0.2">
      <c r="BJ37973" s="201"/>
    </row>
    <row r="37974" spans="62:62" x14ac:dyDescent="0.2">
      <c r="BJ37974" s="201"/>
    </row>
    <row r="37975" spans="62:62" x14ac:dyDescent="0.2">
      <c r="BJ37975" s="201"/>
    </row>
    <row r="37976" spans="62:62" x14ac:dyDescent="0.2">
      <c r="BJ37976" s="201"/>
    </row>
    <row r="37977" spans="62:62" x14ac:dyDescent="0.2">
      <c r="BJ37977" s="201"/>
    </row>
    <row r="37978" spans="62:62" x14ac:dyDescent="0.2">
      <c r="BJ37978" s="201"/>
    </row>
    <row r="37979" spans="62:62" x14ac:dyDescent="0.2">
      <c r="BJ37979" s="201"/>
    </row>
    <row r="37980" spans="62:62" x14ac:dyDescent="0.2">
      <c r="BJ37980" s="201"/>
    </row>
    <row r="37981" spans="62:62" x14ac:dyDescent="0.2">
      <c r="BJ37981" s="201"/>
    </row>
    <row r="37982" spans="62:62" x14ac:dyDescent="0.2">
      <c r="BJ37982" s="201"/>
    </row>
    <row r="37983" spans="62:62" x14ac:dyDescent="0.2">
      <c r="BJ37983" s="201"/>
    </row>
    <row r="37984" spans="62:62" x14ac:dyDescent="0.2">
      <c r="BJ37984" s="201"/>
    </row>
    <row r="37985" spans="62:62" x14ac:dyDescent="0.2">
      <c r="BJ37985" s="201"/>
    </row>
    <row r="37986" spans="62:62" x14ac:dyDescent="0.2">
      <c r="BJ37986" s="201"/>
    </row>
    <row r="37987" spans="62:62" x14ac:dyDescent="0.2">
      <c r="BJ37987" s="201"/>
    </row>
    <row r="37988" spans="62:62" x14ac:dyDescent="0.2">
      <c r="BJ37988" s="201"/>
    </row>
    <row r="37989" spans="62:62" x14ac:dyDescent="0.2">
      <c r="BJ37989" s="201"/>
    </row>
    <row r="37990" spans="62:62" x14ac:dyDescent="0.2">
      <c r="BJ37990" s="201"/>
    </row>
    <row r="37991" spans="62:62" x14ac:dyDescent="0.2">
      <c r="BJ37991" s="201"/>
    </row>
    <row r="37992" spans="62:62" x14ac:dyDescent="0.2">
      <c r="BJ37992" s="201"/>
    </row>
    <row r="37993" spans="62:62" x14ac:dyDescent="0.2">
      <c r="BJ37993" s="201"/>
    </row>
    <row r="37994" spans="62:62" x14ac:dyDescent="0.2">
      <c r="BJ37994" s="201"/>
    </row>
    <row r="37995" spans="62:62" x14ac:dyDescent="0.2">
      <c r="BJ37995" s="201"/>
    </row>
    <row r="37996" spans="62:62" x14ac:dyDescent="0.2">
      <c r="BJ37996" s="201"/>
    </row>
    <row r="37997" spans="62:62" x14ac:dyDescent="0.2">
      <c r="BJ37997" s="201"/>
    </row>
    <row r="37998" spans="62:62" x14ac:dyDescent="0.2">
      <c r="BJ37998" s="201"/>
    </row>
    <row r="37999" spans="62:62" x14ac:dyDescent="0.2">
      <c r="BJ37999" s="201"/>
    </row>
    <row r="38000" spans="62:62" x14ac:dyDescent="0.2">
      <c r="BJ38000" s="201"/>
    </row>
    <row r="38001" spans="62:62" x14ac:dyDescent="0.2">
      <c r="BJ38001" s="201"/>
    </row>
    <row r="38002" spans="62:62" x14ac:dyDescent="0.2">
      <c r="BJ38002" s="201"/>
    </row>
    <row r="38003" spans="62:62" x14ac:dyDescent="0.2">
      <c r="BJ38003" s="201"/>
    </row>
    <row r="38004" spans="62:62" x14ac:dyDescent="0.2">
      <c r="BJ38004" s="201"/>
    </row>
    <row r="38005" spans="62:62" x14ac:dyDescent="0.2">
      <c r="BJ38005" s="201"/>
    </row>
    <row r="38006" spans="62:62" x14ac:dyDescent="0.2">
      <c r="BJ38006" s="201"/>
    </row>
    <row r="38007" spans="62:62" x14ac:dyDescent="0.2">
      <c r="BJ38007" s="201"/>
    </row>
    <row r="38008" spans="62:62" x14ac:dyDescent="0.2">
      <c r="BJ38008" s="201"/>
    </row>
    <row r="38009" spans="62:62" x14ac:dyDescent="0.2">
      <c r="BJ38009" s="201"/>
    </row>
    <row r="38010" spans="62:62" x14ac:dyDescent="0.2">
      <c r="BJ38010" s="201"/>
    </row>
    <row r="38011" spans="62:62" x14ac:dyDescent="0.2">
      <c r="BJ38011" s="201"/>
    </row>
    <row r="38012" spans="62:62" x14ac:dyDescent="0.2">
      <c r="BJ38012" s="201"/>
    </row>
    <row r="38013" spans="62:62" x14ac:dyDescent="0.2">
      <c r="BJ38013" s="201"/>
    </row>
    <row r="38014" spans="62:62" x14ac:dyDescent="0.2">
      <c r="BJ38014" s="201"/>
    </row>
    <row r="38015" spans="62:62" x14ac:dyDescent="0.2">
      <c r="BJ38015" s="201"/>
    </row>
    <row r="38016" spans="62:62" x14ac:dyDescent="0.2">
      <c r="BJ38016" s="201"/>
    </row>
    <row r="38017" spans="62:62" x14ac:dyDescent="0.2">
      <c r="BJ38017" s="201"/>
    </row>
    <row r="38018" spans="62:62" x14ac:dyDescent="0.2">
      <c r="BJ38018" s="201"/>
    </row>
    <row r="38019" spans="62:62" x14ac:dyDescent="0.2">
      <c r="BJ38019" s="201"/>
    </row>
    <row r="38020" spans="62:62" x14ac:dyDescent="0.2">
      <c r="BJ38020" s="201"/>
    </row>
    <row r="38021" spans="62:62" x14ac:dyDescent="0.2">
      <c r="BJ38021" s="201"/>
    </row>
    <row r="38022" spans="62:62" x14ac:dyDescent="0.2">
      <c r="BJ38022" s="201"/>
    </row>
    <row r="38023" spans="62:62" x14ac:dyDescent="0.2">
      <c r="BJ38023" s="201"/>
    </row>
    <row r="38024" spans="62:62" x14ac:dyDescent="0.2">
      <c r="BJ38024" s="201"/>
    </row>
    <row r="38025" spans="62:62" x14ac:dyDescent="0.2">
      <c r="BJ38025" s="201"/>
    </row>
    <row r="38026" spans="62:62" x14ac:dyDescent="0.2">
      <c r="BJ38026" s="201"/>
    </row>
    <row r="38027" spans="62:62" x14ac:dyDescent="0.2">
      <c r="BJ38027" s="201"/>
    </row>
    <row r="38028" spans="62:62" x14ac:dyDescent="0.2">
      <c r="BJ38028" s="201"/>
    </row>
    <row r="38029" spans="62:62" x14ac:dyDescent="0.2">
      <c r="BJ38029" s="201"/>
    </row>
    <row r="38030" spans="62:62" x14ac:dyDescent="0.2">
      <c r="BJ38030" s="201"/>
    </row>
    <row r="38031" spans="62:62" x14ac:dyDescent="0.2">
      <c r="BJ38031" s="201"/>
    </row>
    <row r="38032" spans="62:62" x14ac:dyDescent="0.2">
      <c r="BJ38032" s="201"/>
    </row>
    <row r="38033" spans="62:62" x14ac:dyDescent="0.2">
      <c r="BJ38033" s="201"/>
    </row>
    <row r="38034" spans="62:62" x14ac:dyDescent="0.2">
      <c r="BJ38034" s="201"/>
    </row>
    <row r="38035" spans="62:62" x14ac:dyDescent="0.2">
      <c r="BJ38035" s="201"/>
    </row>
    <row r="38036" spans="62:62" x14ac:dyDescent="0.2">
      <c r="BJ38036" s="201"/>
    </row>
    <row r="38037" spans="62:62" x14ac:dyDescent="0.2">
      <c r="BJ38037" s="201"/>
    </row>
    <row r="38038" spans="62:62" x14ac:dyDescent="0.2">
      <c r="BJ38038" s="201"/>
    </row>
    <row r="38039" spans="62:62" x14ac:dyDescent="0.2">
      <c r="BJ38039" s="201"/>
    </row>
    <row r="38040" spans="62:62" x14ac:dyDescent="0.2">
      <c r="BJ38040" s="201"/>
    </row>
    <row r="38041" spans="62:62" x14ac:dyDescent="0.2">
      <c r="BJ38041" s="201"/>
    </row>
    <row r="38042" spans="62:62" x14ac:dyDescent="0.2">
      <c r="BJ38042" s="201"/>
    </row>
    <row r="38043" spans="62:62" x14ac:dyDescent="0.2">
      <c r="BJ38043" s="201"/>
    </row>
    <row r="38044" spans="62:62" x14ac:dyDescent="0.2">
      <c r="BJ38044" s="201"/>
    </row>
    <row r="38045" spans="62:62" x14ac:dyDescent="0.2">
      <c r="BJ38045" s="201"/>
    </row>
    <row r="38046" spans="62:62" x14ac:dyDescent="0.2">
      <c r="BJ38046" s="201"/>
    </row>
    <row r="38047" spans="62:62" x14ac:dyDescent="0.2">
      <c r="BJ38047" s="201"/>
    </row>
    <row r="38048" spans="62:62" x14ac:dyDescent="0.2">
      <c r="BJ38048" s="201"/>
    </row>
    <row r="38049" spans="62:62" x14ac:dyDescent="0.2">
      <c r="BJ38049" s="201"/>
    </row>
    <row r="38050" spans="62:62" x14ac:dyDescent="0.2">
      <c r="BJ38050" s="201"/>
    </row>
    <row r="38051" spans="62:62" x14ac:dyDescent="0.2">
      <c r="BJ38051" s="201"/>
    </row>
    <row r="38052" spans="62:62" x14ac:dyDescent="0.2">
      <c r="BJ38052" s="201"/>
    </row>
    <row r="38053" spans="62:62" x14ac:dyDescent="0.2">
      <c r="BJ38053" s="201"/>
    </row>
    <row r="38054" spans="62:62" x14ac:dyDescent="0.2">
      <c r="BJ38054" s="201"/>
    </row>
    <row r="38055" spans="62:62" x14ac:dyDescent="0.2">
      <c r="BJ38055" s="201"/>
    </row>
    <row r="38056" spans="62:62" x14ac:dyDescent="0.2">
      <c r="BJ38056" s="201"/>
    </row>
    <row r="38057" spans="62:62" x14ac:dyDescent="0.2">
      <c r="BJ38057" s="201"/>
    </row>
    <row r="38058" spans="62:62" x14ac:dyDescent="0.2">
      <c r="BJ38058" s="201"/>
    </row>
    <row r="38059" spans="62:62" x14ac:dyDescent="0.2">
      <c r="BJ38059" s="201"/>
    </row>
    <row r="38060" spans="62:62" x14ac:dyDescent="0.2">
      <c r="BJ38060" s="201"/>
    </row>
    <row r="38061" spans="62:62" x14ac:dyDescent="0.2">
      <c r="BJ38061" s="201"/>
    </row>
    <row r="38062" spans="62:62" x14ac:dyDescent="0.2">
      <c r="BJ38062" s="201"/>
    </row>
    <row r="38063" spans="62:62" x14ac:dyDescent="0.2">
      <c r="BJ38063" s="201"/>
    </row>
    <row r="38064" spans="62:62" x14ac:dyDescent="0.2">
      <c r="BJ38064" s="201"/>
    </row>
    <row r="38065" spans="62:62" x14ac:dyDescent="0.2">
      <c r="BJ38065" s="201"/>
    </row>
    <row r="38066" spans="62:62" x14ac:dyDescent="0.2">
      <c r="BJ38066" s="201"/>
    </row>
    <row r="38067" spans="62:62" x14ac:dyDescent="0.2">
      <c r="BJ38067" s="201"/>
    </row>
    <row r="38068" spans="62:62" x14ac:dyDescent="0.2">
      <c r="BJ38068" s="201"/>
    </row>
    <row r="38069" spans="62:62" x14ac:dyDescent="0.2">
      <c r="BJ38069" s="201"/>
    </row>
    <row r="38070" spans="62:62" x14ac:dyDescent="0.2">
      <c r="BJ38070" s="201"/>
    </row>
    <row r="38071" spans="62:62" x14ac:dyDescent="0.2">
      <c r="BJ38071" s="201"/>
    </row>
    <row r="38072" spans="62:62" x14ac:dyDescent="0.2">
      <c r="BJ38072" s="201"/>
    </row>
    <row r="38073" spans="62:62" x14ac:dyDescent="0.2">
      <c r="BJ38073" s="201"/>
    </row>
    <row r="38074" spans="62:62" x14ac:dyDescent="0.2">
      <c r="BJ38074" s="201"/>
    </row>
    <row r="38075" spans="62:62" x14ac:dyDescent="0.2">
      <c r="BJ38075" s="201"/>
    </row>
    <row r="38076" spans="62:62" x14ac:dyDescent="0.2">
      <c r="BJ38076" s="201"/>
    </row>
    <row r="38077" spans="62:62" x14ac:dyDescent="0.2">
      <c r="BJ38077" s="201"/>
    </row>
    <row r="38078" spans="62:62" x14ac:dyDescent="0.2">
      <c r="BJ38078" s="201"/>
    </row>
    <row r="38079" spans="62:62" x14ac:dyDescent="0.2">
      <c r="BJ38079" s="201"/>
    </row>
    <row r="38080" spans="62:62" x14ac:dyDescent="0.2">
      <c r="BJ38080" s="201"/>
    </row>
    <row r="38081" spans="62:62" x14ac:dyDescent="0.2">
      <c r="BJ38081" s="201"/>
    </row>
    <row r="38082" spans="62:62" x14ac:dyDescent="0.2">
      <c r="BJ38082" s="201"/>
    </row>
    <row r="38083" spans="62:62" x14ac:dyDescent="0.2">
      <c r="BJ38083" s="201"/>
    </row>
    <row r="38084" spans="62:62" x14ac:dyDescent="0.2">
      <c r="BJ38084" s="201"/>
    </row>
    <row r="38085" spans="62:62" x14ac:dyDescent="0.2">
      <c r="BJ38085" s="201"/>
    </row>
    <row r="38086" spans="62:62" x14ac:dyDescent="0.2">
      <c r="BJ38086" s="201"/>
    </row>
    <row r="38087" spans="62:62" x14ac:dyDescent="0.2">
      <c r="BJ38087" s="201"/>
    </row>
    <row r="38088" spans="62:62" x14ac:dyDescent="0.2">
      <c r="BJ38088" s="201"/>
    </row>
    <row r="38089" spans="62:62" x14ac:dyDescent="0.2">
      <c r="BJ38089" s="201"/>
    </row>
    <row r="38090" spans="62:62" x14ac:dyDescent="0.2">
      <c r="BJ38090" s="201"/>
    </row>
    <row r="38091" spans="62:62" x14ac:dyDescent="0.2">
      <c r="BJ38091" s="201"/>
    </row>
    <row r="38092" spans="62:62" x14ac:dyDescent="0.2">
      <c r="BJ38092" s="201"/>
    </row>
    <row r="38093" spans="62:62" x14ac:dyDescent="0.2">
      <c r="BJ38093" s="201"/>
    </row>
    <row r="38094" spans="62:62" x14ac:dyDescent="0.2">
      <c r="BJ38094" s="201"/>
    </row>
    <row r="38095" spans="62:62" x14ac:dyDescent="0.2">
      <c r="BJ38095" s="201"/>
    </row>
    <row r="38096" spans="62:62" x14ac:dyDescent="0.2">
      <c r="BJ38096" s="201"/>
    </row>
    <row r="38097" spans="62:62" x14ac:dyDescent="0.2">
      <c r="BJ38097" s="201"/>
    </row>
    <row r="38098" spans="62:62" x14ac:dyDescent="0.2">
      <c r="BJ38098" s="201"/>
    </row>
    <row r="38099" spans="62:62" x14ac:dyDescent="0.2">
      <c r="BJ38099" s="201"/>
    </row>
    <row r="38100" spans="62:62" x14ac:dyDescent="0.2">
      <c r="BJ38100" s="201"/>
    </row>
    <row r="38101" spans="62:62" x14ac:dyDescent="0.2">
      <c r="BJ38101" s="201"/>
    </row>
    <row r="38102" spans="62:62" x14ac:dyDescent="0.2">
      <c r="BJ38102" s="201"/>
    </row>
    <row r="38103" spans="62:62" x14ac:dyDescent="0.2">
      <c r="BJ38103" s="201"/>
    </row>
    <row r="38104" spans="62:62" x14ac:dyDescent="0.2">
      <c r="BJ38104" s="201"/>
    </row>
    <row r="38105" spans="62:62" x14ac:dyDescent="0.2">
      <c r="BJ38105" s="201"/>
    </row>
    <row r="38106" spans="62:62" x14ac:dyDescent="0.2">
      <c r="BJ38106" s="201"/>
    </row>
    <row r="38107" spans="62:62" x14ac:dyDescent="0.2">
      <c r="BJ38107" s="201"/>
    </row>
    <row r="38108" spans="62:62" x14ac:dyDescent="0.2">
      <c r="BJ38108" s="201"/>
    </row>
    <row r="38109" spans="62:62" x14ac:dyDescent="0.2">
      <c r="BJ38109" s="201"/>
    </row>
    <row r="38110" spans="62:62" x14ac:dyDescent="0.2">
      <c r="BJ38110" s="201"/>
    </row>
    <row r="38111" spans="62:62" x14ac:dyDescent="0.2">
      <c r="BJ38111" s="201"/>
    </row>
    <row r="38112" spans="62:62" x14ac:dyDescent="0.2">
      <c r="BJ38112" s="201"/>
    </row>
    <row r="38113" spans="62:62" x14ac:dyDescent="0.2">
      <c r="BJ38113" s="201"/>
    </row>
    <row r="38114" spans="62:62" x14ac:dyDescent="0.2">
      <c r="BJ38114" s="201"/>
    </row>
    <row r="38115" spans="62:62" x14ac:dyDescent="0.2">
      <c r="BJ38115" s="201"/>
    </row>
    <row r="38116" spans="62:62" x14ac:dyDescent="0.2">
      <c r="BJ38116" s="201"/>
    </row>
    <row r="38117" spans="62:62" x14ac:dyDescent="0.2">
      <c r="BJ38117" s="201"/>
    </row>
    <row r="38118" spans="62:62" x14ac:dyDescent="0.2">
      <c r="BJ38118" s="201"/>
    </row>
    <row r="38119" spans="62:62" x14ac:dyDescent="0.2">
      <c r="BJ38119" s="201"/>
    </row>
    <row r="38120" spans="62:62" x14ac:dyDescent="0.2">
      <c r="BJ38120" s="201"/>
    </row>
    <row r="38121" spans="62:62" x14ac:dyDescent="0.2">
      <c r="BJ38121" s="201"/>
    </row>
    <row r="38122" spans="62:62" x14ac:dyDescent="0.2">
      <c r="BJ38122" s="201"/>
    </row>
    <row r="38123" spans="62:62" x14ac:dyDescent="0.2">
      <c r="BJ38123" s="201"/>
    </row>
    <row r="38124" spans="62:62" x14ac:dyDescent="0.2">
      <c r="BJ38124" s="201"/>
    </row>
    <row r="38125" spans="62:62" x14ac:dyDescent="0.2">
      <c r="BJ38125" s="201"/>
    </row>
    <row r="38126" spans="62:62" x14ac:dyDescent="0.2">
      <c r="BJ38126" s="201"/>
    </row>
    <row r="38127" spans="62:62" x14ac:dyDescent="0.2">
      <c r="BJ38127" s="201"/>
    </row>
    <row r="38128" spans="62:62" x14ac:dyDescent="0.2">
      <c r="BJ38128" s="201"/>
    </row>
    <row r="38129" spans="62:62" x14ac:dyDescent="0.2">
      <c r="BJ38129" s="201"/>
    </row>
    <row r="38130" spans="62:62" x14ac:dyDescent="0.2">
      <c r="BJ38130" s="201"/>
    </row>
    <row r="38131" spans="62:62" x14ac:dyDescent="0.2">
      <c r="BJ38131" s="201"/>
    </row>
    <row r="38132" spans="62:62" x14ac:dyDescent="0.2">
      <c r="BJ38132" s="201"/>
    </row>
    <row r="38133" spans="62:62" x14ac:dyDescent="0.2">
      <c r="BJ38133" s="201"/>
    </row>
    <row r="38134" spans="62:62" x14ac:dyDescent="0.2">
      <c r="BJ38134" s="201"/>
    </row>
    <row r="38135" spans="62:62" x14ac:dyDescent="0.2">
      <c r="BJ38135" s="201"/>
    </row>
    <row r="38136" spans="62:62" x14ac:dyDescent="0.2">
      <c r="BJ38136" s="201"/>
    </row>
    <row r="38137" spans="62:62" x14ac:dyDescent="0.2">
      <c r="BJ38137" s="201"/>
    </row>
    <row r="38138" spans="62:62" x14ac:dyDescent="0.2">
      <c r="BJ38138" s="201"/>
    </row>
    <row r="38139" spans="62:62" x14ac:dyDescent="0.2">
      <c r="BJ38139" s="201"/>
    </row>
    <row r="38140" spans="62:62" x14ac:dyDescent="0.2">
      <c r="BJ38140" s="201"/>
    </row>
    <row r="38141" spans="62:62" x14ac:dyDescent="0.2">
      <c r="BJ38141" s="201"/>
    </row>
    <row r="38142" spans="62:62" x14ac:dyDescent="0.2">
      <c r="BJ38142" s="201"/>
    </row>
    <row r="38143" spans="62:62" x14ac:dyDescent="0.2">
      <c r="BJ38143" s="201"/>
    </row>
    <row r="38144" spans="62:62" x14ac:dyDescent="0.2">
      <c r="BJ38144" s="201"/>
    </row>
    <row r="38145" spans="62:62" x14ac:dyDescent="0.2">
      <c r="BJ38145" s="201"/>
    </row>
    <row r="38146" spans="62:62" x14ac:dyDescent="0.2">
      <c r="BJ38146" s="201"/>
    </row>
    <row r="38147" spans="62:62" x14ac:dyDescent="0.2">
      <c r="BJ38147" s="201"/>
    </row>
    <row r="38148" spans="62:62" x14ac:dyDescent="0.2">
      <c r="BJ38148" s="201"/>
    </row>
    <row r="38149" spans="62:62" x14ac:dyDescent="0.2">
      <c r="BJ38149" s="201"/>
    </row>
    <row r="38150" spans="62:62" x14ac:dyDescent="0.2">
      <c r="BJ38150" s="201"/>
    </row>
    <row r="38151" spans="62:62" x14ac:dyDescent="0.2">
      <c r="BJ38151" s="201"/>
    </row>
    <row r="38152" spans="62:62" x14ac:dyDescent="0.2">
      <c r="BJ38152" s="201"/>
    </row>
    <row r="38153" spans="62:62" x14ac:dyDescent="0.2">
      <c r="BJ38153" s="201"/>
    </row>
    <row r="38154" spans="62:62" x14ac:dyDescent="0.2">
      <c r="BJ38154" s="201"/>
    </row>
    <row r="38155" spans="62:62" x14ac:dyDescent="0.2">
      <c r="BJ38155" s="201"/>
    </row>
    <row r="38156" spans="62:62" x14ac:dyDescent="0.2">
      <c r="BJ38156" s="201"/>
    </row>
    <row r="38157" spans="62:62" x14ac:dyDescent="0.2">
      <c r="BJ38157" s="201"/>
    </row>
    <row r="38158" spans="62:62" x14ac:dyDescent="0.2">
      <c r="BJ38158" s="201"/>
    </row>
    <row r="38159" spans="62:62" x14ac:dyDescent="0.2">
      <c r="BJ38159" s="201"/>
    </row>
    <row r="38160" spans="62:62" x14ac:dyDescent="0.2">
      <c r="BJ38160" s="201"/>
    </row>
    <row r="38161" spans="62:62" x14ac:dyDescent="0.2">
      <c r="BJ38161" s="201"/>
    </row>
    <row r="38162" spans="62:62" x14ac:dyDescent="0.2">
      <c r="BJ38162" s="201"/>
    </row>
    <row r="38163" spans="62:62" x14ac:dyDescent="0.2">
      <c r="BJ38163" s="201"/>
    </row>
    <row r="38164" spans="62:62" x14ac:dyDescent="0.2">
      <c r="BJ38164" s="201"/>
    </row>
    <row r="38165" spans="62:62" x14ac:dyDescent="0.2">
      <c r="BJ38165" s="201"/>
    </row>
    <row r="38166" spans="62:62" x14ac:dyDescent="0.2">
      <c r="BJ38166" s="201"/>
    </row>
    <row r="38167" spans="62:62" x14ac:dyDescent="0.2">
      <c r="BJ38167" s="201"/>
    </row>
    <row r="38168" spans="62:62" x14ac:dyDescent="0.2">
      <c r="BJ38168" s="201"/>
    </row>
    <row r="38169" spans="62:62" x14ac:dyDescent="0.2">
      <c r="BJ38169" s="201"/>
    </row>
    <row r="38170" spans="62:62" x14ac:dyDescent="0.2">
      <c r="BJ38170" s="201"/>
    </row>
    <row r="38171" spans="62:62" x14ac:dyDescent="0.2">
      <c r="BJ38171" s="201"/>
    </row>
    <row r="38172" spans="62:62" x14ac:dyDescent="0.2">
      <c r="BJ38172" s="201"/>
    </row>
    <row r="38173" spans="62:62" x14ac:dyDescent="0.2">
      <c r="BJ38173" s="201"/>
    </row>
    <row r="38174" spans="62:62" x14ac:dyDescent="0.2">
      <c r="BJ38174" s="201"/>
    </row>
    <row r="38175" spans="62:62" x14ac:dyDescent="0.2">
      <c r="BJ38175" s="201"/>
    </row>
    <row r="38176" spans="62:62" x14ac:dyDescent="0.2">
      <c r="BJ38176" s="201"/>
    </row>
    <row r="38177" spans="62:62" x14ac:dyDescent="0.2">
      <c r="BJ38177" s="201"/>
    </row>
    <row r="38178" spans="62:62" x14ac:dyDescent="0.2">
      <c r="BJ38178" s="201"/>
    </row>
    <row r="38179" spans="62:62" x14ac:dyDescent="0.2">
      <c r="BJ38179" s="201"/>
    </row>
    <row r="38180" spans="62:62" x14ac:dyDescent="0.2">
      <c r="BJ38180" s="201"/>
    </row>
    <row r="38181" spans="62:62" x14ac:dyDescent="0.2">
      <c r="BJ38181" s="201"/>
    </row>
    <row r="38182" spans="62:62" x14ac:dyDescent="0.2">
      <c r="BJ38182" s="201"/>
    </row>
    <row r="38183" spans="62:62" x14ac:dyDescent="0.2">
      <c r="BJ38183" s="201"/>
    </row>
    <row r="38184" spans="62:62" x14ac:dyDescent="0.2">
      <c r="BJ38184" s="201"/>
    </row>
    <row r="38185" spans="62:62" x14ac:dyDescent="0.2">
      <c r="BJ38185" s="201"/>
    </row>
    <row r="38186" spans="62:62" x14ac:dyDescent="0.2">
      <c r="BJ38186" s="201"/>
    </row>
    <row r="38187" spans="62:62" x14ac:dyDescent="0.2">
      <c r="BJ38187" s="201"/>
    </row>
    <row r="38188" spans="62:62" x14ac:dyDescent="0.2">
      <c r="BJ38188" s="201"/>
    </row>
    <row r="38189" spans="62:62" x14ac:dyDescent="0.2">
      <c r="BJ38189" s="201"/>
    </row>
    <row r="38190" spans="62:62" x14ac:dyDescent="0.2">
      <c r="BJ38190" s="201"/>
    </row>
    <row r="38191" spans="62:62" x14ac:dyDescent="0.2">
      <c r="BJ38191" s="201"/>
    </row>
    <row r="38192" spans="62:62" x14ac:dyDescent="0.2">
      <c r="BJ38192" s="201"/>
    </row>
    <row r="38193" spans="62:62" x14ac:dyDescent="0.2">
      <c r="BJ38193" s="201"/>
    </row>
    <row r="38194" spans="62:62" x14ac:dyDescent="0.2">
      <c r="BJ38194" s="201"/>
    </row>
    <row r="38195" spans="62:62" x14ac:dyDescent="0.2">
      <c r="BJ38195" s="201"/>
    </row>
    <row r="38196" spans="62:62" x14ac:dyDescent="0.2">
      <c r="BJ38196" s="201"/>
    </row>
    <row r="38197" spans="62:62" x14ac:dyDescent="0.2">
      <c r="BJ38197" s="201"/>
    </row>
    <row r="38198" spans="62:62" x14ac:dyDescent="0.2">
      <c r="BJ38198" s="201"/>
    </row>
    <row r="38199" spans="62:62" x14ac:dyDescent="0.2">
      <c r="BJ38199" s="201"/>
    </row>
    <row r="38200" spans="62:62" x14ac:dyDescent="0.2">
      <c r="BJ38200" s="201"/>
    </row>
    <row r="38201" spans="62:62" x14ac:dyDescent="0.2">
      <c r="BJ38201" s="201"/>
    </row>
    <row r="38202" spans="62:62" x14ac:dyDescent="0.2">
      <c r="BJ38202" s="201"/>
    </row>
    <row r="38203" spans="62:62" x14ac:dyDescent="0.2">
      <c r="BJ38203" s="201"/>
    </row>
    <row r="38204" spans="62:62" x14ac:dyDescent="0.2">
      <c r="BJ38204" s="201"/>
    </row>
    <row r="38205" spans="62:62" x14ac:dyDescent="0.2">
      <c r="BJ38205" s="201"/>
    </row>
    <row r="38206" spans="62:62" x14ac:dyDescent="0.2">
      <c r="BJ38206" s="201"/>
    </row>
    <row r="38207" spans="62:62" x14ac:dyDescent="0.2">
      <c r="BJ38207" s="201"/>
    </row>
    <row r="38208" spans="62:62" x14ac:dyDescent="0.2">
      <c r="BJ38208" s="201"/>
    </row>
    <row r="38209" spans="62:62" x14ac:dyDescent="0.2">
      <c r="BJ38209" s="201"/>
    </row>
    <row r="38210" spans="62:62" x14ac:dyDescent="0.2">
      <c r="BJ38210" s="201"/>
    </row>
    <row r="38211" spans="62:62" x14ac:dyDescent="0.2">
      <c r="BJ38211" s="201"/>
    </row>
    <row r="38212" spans="62:62" x14ac:dyDescent="0.2">
      <c r="BJ38212" s="201"/>
    </row>
    <row r="38213" spans="62:62" x14ac:dyDescent="0.2">
      <c r="BJ38213" s="201"/>
    </row>
    <row r="38214" spans="62:62" x14ac:dyDescent="0.2">
      <c r="BJ38214" s="201"/>
    </row>
    <row r="38215" spans="62:62" x14ac:dyDescent="0.2">
      <c r="BJ38215" s="201"/>
    </row>
    <row r="38216" spans="62:62" x14ac:dyDescent="0.2">
      <c r="BJ38216" s="201"/>
    </row>
    <row r="38217" spans="62:62" x14ac:dyDescent="0.2">
      <c r="BJ38217" s="201"/>
    </row>
    <row r="38218" spans="62:62" x14ac:dyDescent="0.2">
      <c r="BJ38218" s="201"/>
    </row>
    <row r="38219" spans="62:62" x14ac:dyDescent="0.2">
      <c r="BJ38219" s="201"/>
    </row>
    <row r="38220" spans="62:62" x14ac:dyDescent="0.2">
      <c r="BJ38220" s="201"/>
    </row>
    <row r="38221" spans="62:62" x14ac:dyDescent="0.2">
      <c r="BJ38221" s="201"/>
    </row>
    <row r="38222" spans="62:62" x14ac:dyDescent="0.2">
      <c r="BJ38222" s="201"/>
    </row>
    <row r="38223" spans="62:62" x14ac:dyDescent="0.2">
      <c r="BJ38223" s="201"/>
    </row>
    <row r="38224" spans="62:62" x14ac:dyDescent="0.2">
      <c r="BJ38224" s="201"/>
    </row>
    <row r="38225" spans="62:62" x14ac:dyDescent="0.2">
      <c r="BJ38225" s="201"/>
    </row>
    <row r="38226" spans="62:62" x14ac:dyDescent="0.2">
      <c r="BJ38226" s="201"/>
    </row>
    <row r="38227" spans="62:62" x14ac:dyDescent="0.2">
      <c r="BJ38227" s="201"/>
    </row>
    <row r="38228" spans="62:62" x14ac:dyDescent="0.2">
      <c r="BJ38228" s="201"/>
    </row>
    <row r="38229" spans="62:62" x14ac:dyDescent="0.2">
      <c r="BJ38229" s="201"/>
    </row>
    <row r="38230" spans="62:62" x14ac:dyDescent="0.2">
      <c r="BJ38230" s="201"/>
    </row>
    <row r="38231" spans="62:62" x14ac:dyDescent="0.2">
      <c r="BJ38231" s="201"/>
    </row>
    <row r="38232" spans="62:62" x14ac:dyDescent="0.2">
      <c r="BJ38232" s="201"/>
    </row>
    <row r="38233" spans="62:62" x14ac:dyDescent="0.2">
      <c r="BJ38233" s="201"/>
    </row>
    <row r="38234" spans="62:62" x14ac:dyDescent="0.2">
      <c r="BJ38234" s="201"/>
    </row>
    <row r="38235" spans="62:62" x14ac:dyDescent="0.2">
      <c r="BJ38235" s="201"/>
    </row>
    <row r="38236" spans="62:62" x14ac:dyDescent="0.2">
      <c r="BJ38236" s="201"/>
    </row>
    <row r="38237" spans="62:62" x14ac:dyDescent="0.2">
      <c r="BJ38237" s="201"/>
    </row>
    <row r="38238" spans="62:62" x14ac:dyDescent="0.2">
      <c r="BJ38238" s="201"/>
    </row>
    <row r="38239" spans="62:62" x14ac:dyDescent="0.2">
      <c r="BJ38239" s="201"/>
    </row>
    <row r="38240" spans="62:62" x14ac:dyDescent="0.2">
      <c r="BJ38240" s="201"/>
    </row>
    <row r="38241" spans="62:62" x14ac:dyDescent="0.2">
      <c r="BJ38241" s="201"/>
    </row>
    <row r="38242" spans="62:62" x14ac:dyDescent="0.2">
      <c r="BJ38242" s="201"/>
    </row>
    <row r="38243" spans="62:62" x14ac:dyDescent="0.2">
      <c r="BJ38243" s="201"/>
    </row>
    <row r="38244" spans="62:62" x14ac:dyDescent="0.2">
      <c r="BJ38244" s="201"/>
    </row>
    <row r="38245" spans="62:62" x14ac:dyDescent="0.2">
      <c r="BJ38245" s="201"/>
    </row>
    <row r="38246" spans="62:62" x14ac:dyDescent="0.2">
      <c r="BJ38246" s="201"/>
    </row>
    <row r="38247" spans="62:62" x14ac:dyDescent="0.2">
      <c r="BJ38247" s="201"/>
    </row>
    <row r="38248" spans="62:62" x14ac:dyDescent="0.2">
      <c r="BJ38248" s="201"/>
    </row>
    <row r="38249" spans="62:62" x14ac:dyDescent="0.2">
      <c r="BJ38249" s="201"/>
    </row>
    <row r="38250" spans="62:62" x14ac:dyDescent="0.2">
      <c r="BJ38250" s="201"/>
    </row>
    <row r="38251" spans="62:62" x14ac:dyDescent="0.2">
      <c r="BJ38251" s="201"/>
    </row>
    <row r="38252" spans="62:62" x14ac:dyDescent="0.2">
      <c r="BJ38252" s="201"/>
    </row>
    <row r="38253" spans="62:62" x14ac:dyDescent="0.2">
      <c r="BJ38253" s="201"/>
    </row>
    <row r="38254" spans="62:62" x14ac:dyDescent="0.2">
      <c r="BJ38254" s="201"/>
    </row>
    <row r="38255" spans="62:62" x14ac:dyDescent="0.2">
      <c r="BJ38255" s="201"/>
    </row>
    <row r="38256" spans="62:62" x14ac:dyDescent="0.2">
      <c r="BJ38256" s="201"/>
    </row>
    <row r="38257" spans="62:62" x14ac:dyDescent="0.2">
      <c r="BJ38257" s="201"/>
    </row>
    <row r="38258" spans="62:62" x14ac:dyDescent="0.2">
      <c r="BJ38258" s="201"/>
    </row>
    <row r="38259" spans="62:62" x14ac:dyDescent="0.2">
      <c r="BJ38259" s="201"/>
    </row>
    <row r="38260" spans="62:62" x14ac:dyDescent="0.2">
      <c r="BJ38260" s="201"/>
    </row>
    <row r="38261" spans="62:62" x14ac:dyDescent="0.2">
      <c r="BJ38261" s="201"/>
    </row>
    <row r="38262" spans="62:62" x14ac:dyDescent="0.2">
      <c r="BJ38262" s="201"/>
    </row>
    <row r="38263" spans="62:62" x14ac:dyDescent="0.2">
      <c r="BJ38263" s="201"/>
    </row>
    <row r="38264" spans="62:62" x14ac:dyDescent="0.2">
      <c r="BJ38264" s="201"/>
    </row>
    <row r="38265" spans="62:62" x14ac:dyDescent="0.2">
      <c r="BJ38265" s="201"/>
    </row>
    <row r="38266" spans="62:62" x14ac:dyDescent="0.2">
      <c r="BJ38266" s="201"/>
    </row>
    <row r="38267" spans="62:62" x14ac:dyDescent="0.2">
      <c r="BJ38267" s="201"/>
    </row>
    <row r="38268" spans="62:62" x14ac:dyDescent="0.2">
      <c r="BJ38268" s="201"/>
    </row>
    <row r="38269" spans="62:62" x14ac:dyDescent="0.2">
      <c r="BJ38269" s="201"/>
    </row>
    <row r="38270" spans="62:62" x14ac:dyDescent="0.2">
      <c r="BJ38270" s="201"/>
    </row>
    <row r="38271" spans="62:62" x14ac:dyDescent="0.2">
      <c r="BJ38271" s="201"/>
    </row>
    <row r="38272" spans="62:62" x14ac:dyDescent="0.2">
      <c r="BJ38272" s="201"/>
    </row>
    <row r="38273" spans="62:62" x14ac:dyDescent="0.2">
      <c r="BJ38273" s="201"/>
    </row>
    <row r="38274" spans="62:62" x14ac:dyDescent="0.2">
      <c r="BJ38274" s="201"/>
    </row>
    <row r="38275" spans="62:62" x14ac:dyDescent="0.2">
      <c r="BJ38275" s="201"/>
    </row>
    <row r="38276" spans="62:62" x14ac:dyDescent="0.2">
      <c r="BJ38276" s="201"/>
    </row>
    <row r="38277" spans="62:62" x14ac:dyDescent="0.2">
      <c r="BJ38277" s="201"/>
    </row>
    <row r="38278" spans="62:62" x14ac:dyDescent="0.2">
      <c r="BJ38278" s="201"/>
    </row>
    <row r="38279" spans="62:62" x14ac:dyDescent="0.2">
      <c r="BJ38279" s="201"/>
    </row>
    <row r="38280" spans="62:62" x14ac:dyDescent="0.2">
      <c r="BJ38280" s="201"/>
    </row>
    <row r="38281" spans="62:62" x14ac:dyDescent="0.2">
      <c r="BJ38281" s="201"/>
    </row>
    <row r="38282" spans="62:62" x14ac:dyDescent="0.2">
      <c r="BJ38282" s="201"/>
    </row>
    <row r="38283" spans="62:62" x14ac:dyDescent="0.2">
      <c r="BJ38283" s="201"/>
    </row>
    <row r="38284" spans="62:62" x14ac:dyDescent="0.2">
      <c r="BJ38284" s="201"/>
    </row>
    <row r="38285" spans="62:62" x14ac:dyDescent="0.2">
      <c r="BJ38285" s="201"/>
    </row>
    <row r="38286" spans="62:62" x14ac:dyDescent="0.2">
      <c r="BJ38286" s="201"/>
    </row>
    <row r="38287" spans="62:62" x14ac:dyDescent="0.2">
      <c r="BJ38287" s="201"/>
    </row>
    <row r="38288" spans="62:62" x14ac:dyDescent="0.2">
      <c r="BJ38288" s="201"/>
    </row>
    <row r="38289" spans="62:62" x14ac:dyDescent="0.2">
      <c r="BJ38289" s="201"/>
    </row>
    <row r="38290" spans="62:62" x14ac:dyDescent="0.2">
      <c r="BJ38290" s="201"/>
    </row>
    <row r="38291" spans="62:62" x14ac:dyDescent="0.2">
      <c r="BJ38291" s="201"/>
    </row>
    <row r="38292" spans="62:62" x14ac:dyDescent="0.2">
      <c r="BJ38292" s="201"/>
    </row>
    <row r="38293" spans="62:62" x14ac:dyDescent="0.2">
      <c r="BJ38293" s="201"/>
    </row>
    <row r="38294" spans="62:62" x14ac:dyDescent="0.2">
      <c r="BJ38294" s="201"/>
    </row>
    <row r="38295" spans="62:62" x14ac:dyDescent="0.2">
      <c r="BJ38295" s="201"/>
    </row>
    <row r="38296" spans="62:62" x14ac:dyDescent="0.2">
      <c r="BJ38296" s="201"/>
    </row>
    <row r="38297" spans="62:62" x14ac:dyDescent="0.2">
      <c r="BJ38297" s="201"/>
    </row>
    <row r="38298" spans="62:62" x14ac:dyDescent="0.2">
      <c r="BJ38298" s="201"/>
    </row>
    <row r="38299" spans="62:62" x14ac:dyDescent="0.2">
      <c r="BJ38299" s="201"/>
    </row>
    <row r="38300" spans="62:62" x14ac:dyDescent="0.2">
      <c r="BJ38300" s="201"/>
    </row>
    <row r="38301" spans="62:62" x14ac:dyDescent="0.2">
      <c r="BJ38301" s="201"/>
    </row>
    <row r="38302" spans="62:62" x14ac:dyDescent="0.2">
      <c r="BJ38302" s="201"/>
    </row>
    <row r="38303" spans="62:62" x14ac:dyDescent="0.2">
      <c r="BJ38303" s="201"/>
    </row>
    <row r="38304" spans="62:62" x14ac:dyDescent="0.2">
      <c r="BJ38304" s="201"/>
    </row>
    <row r="38305" spans="62:62" x14ac:dyDescent="0.2">
      <c r="BJ38305" s="201"/>
    </row>
    <row r="38306" spans="62:62" x14ac:dyDescent="0.2">
      <c r="BJ38306" s="201"/>
    </row>
    <row r="38307" spans="62:62" x14ac:dyDescent="0.2">
      <c r="BJ38307" s="201"/>
    </row>
    <row r="38308" spans="62:62" x14ac:dyDescent="0.2">
      <c r="BJ38308" s="201"/>
    </row>
    <row r="38309" spans="62:62" x14ac:dyDescent="0.2">
      <c r="BJ38309" s="201"/>
    </row>
    <row r="38310" spans="62:62" x14ac:dyDescent="0.2">
      <c r="BJ38310" s="201"/>
    </row>
    <row r="38311" spans="62:62" x14ac:dyDescent="0.2">
      <c r="BJ38311" s="201"/>
    </row>
    <row r="38312" spans="62:62" x14ac:dyDescent="0.2">
      <c r="BJ38312" s="201"/>
    </row>
    <row r="38313" spans="62:62" x14ac:dyDescent="0.2">
      <c r="BJ38313" s="201"/>
    </row>
    <row r="38314" spans="62:62" x14ac:dyDescent="0.2">
      <c r="BJ38314" s="201"/>
    </row>
    <row r="38315" spans="62:62" x14ac:dyDescent="0.2">
      <c r="BJ38315" s="201"/>
    </row>
    <row r="38316" spans="62:62" x14ac:dyDescent="0.2">
      <c r="BJ38316" s="201"/>
    </row>
    <row r="38317" spans="62:62" x14ac:dyDescent="0.2">
      <c r="BJ38317" s="201"/>
    </row>
    <row r="38318" spans="62:62" x14ac:dyDescent="0.2">
      <c r="BJ38318" s="201"/>
    </row>
    <row r="38319" spans="62:62" x14ac:dyDescent="0.2">
      <c r="BJ38319" s="201"/>
    </row>
    <row r="38320" spans="62:62" x14ac:dyDescent="0.2">
      <c r="BJ38320" s="201"/>
    </row>
    <row r="38321" spans="62:62" x14ac:dyDescent="0.2">
      <c r="BJ38321" s="201"/>
    </row>
    <row r="38322" spans="62:62" x14ac:dyDescent="0.2">
      <c r="BJ38322" s="201"/>
    </row>
    <row r="38323" spans="62:62" x14ac:dyDescent="0.2">
      <c r="BJ38323" s="201"/>
    </row>
    <row r="38324" spans="62:62" x14ac:dyDescent="0.2">
      <c r="BJ38324" s="201"/>
    </row>
    <row r="38325" spans="62:62" x14ac:dyDescent="0.2">
      <c r="BJ38325" s="201"/>
    </row>
    <row r="38326" spans="62:62" x14ac:dyDescent="0.2">
      <c r="BJ38326" s="201"/>
    </row>
    <row r="38327" spans="62:62" x14ac:dyDescent="0.2">
      <c r="BJ38327" s="201"/>
    </row>
    <row r="38328" spans="62:62" x14ac:dyDescent="0.2">
      <c r="BJ38328" s="201"/>
    </row>
    <row r="38329" spans="62:62" x14ac:dyDescent="0.2">
      <c r="BJ38329" s="201"/>
    </row>
    <row r="38330" spans="62:62" x14ac:dyDescent="0.2">
      <c r="BJ38330" s="201"/>
    </row>
    <row r="38331" spans="62:62" x14ac:dyDescent="0.2">
      <c r="BJ38331" s="201"/>
    </row>
    <row r="38332" spans="62:62" x14ac:dyDescent="0.2">
      <c r="BJ38332" s="201"/>
    </row>
    <row r="38333" spans="62:62" x14ac:dyDescent="0.2">
      <c r="BJ38333" s="201"/>
    </row>
    <row r="38334" spans="62:62" x14ac:dyDescent="0.2">
      <c r="BJ38334" s="201"/>
    </row>
    <row r="38335" spans="62:62" x14ac:dyDescent="0.2">
      <c r="BJ38335" s="201"/>
    </row>
    <row r="38336" spans="62:62" x14ac:dyDescent="0.2">
      <c r="BJ38336" s="201"/>
    </row>
    <row r="38337" spans="62:62" x14ac:dyDescent="0.2">
      <c r="BJ38337" s="201"/>
    </row>
    <row r="38338" spans="62:62" x14ac:dyDescent="0.2">
      <c r="BJ38338" s="201"/>
    </row>
    <row r="38339" spans="62:62" x14ac:dyDescent="0.2">
      <c r="BJ38339" s="201"/>
    </row>
    <row r="38340" spans="62:62" x14ac:dyDescent="0.2">
      <c r="BJ38340" s="201"/>
    </row>
    <row r="38341" spans="62:62" x14ac:dyDescent="0.2">
      <c r="BJ38341" s="201"/>
    </row>
    <row r="38342" spans="62:62" x14ac:dyDescent="0.2">
      <c r="BJ38342" s="201"/>
    </row>
    <row r="38343" spans="62:62" x14ac:dyDescent="0.2">
      <c r="BJ38343" s="201"/>
    </row>
    <row r="38344" spans="62:62" x14ac:dyDescent="0.2">
      <c r="BJ38344" s="201"/>
    </row>
    <row r="38345" spans="62:62" x14ac:dyDescent="0.2">
      <c r="BJ38345" s="201"/>
    </row>
    <row r="38346" spans="62:62" x14ac:dyDescent="0.2">
      <c r="BJ38346" s="201"/>
    </row>
    <row r="38347" spans="62:62" x14ac:dyDescent="0.2">
      <c r="BJ38347" s="201"/>
    </row>
    <row r="38348" spans="62:62" x14ac:dyDescent="0.2">
      <c r="BJ38348" s="201"/>
    </row>
    <row r="38349" spans="62:62" x14ac:dyDescent="0.2">
      <c r="BJ38349" s="201"/>
    </row>
    <row r="38350" spans="62:62" x14ac:dyDescent="0.2">
      <c r="BJ38350" s="201"/>
    </row>
    <row r="38351" spans="62:62" x14ac:dyDescent="0.2">
      <c r="BJ38351" s="201"/>
    </row>
    <row r="38352" spans="62:62" x14ac:dyDescent="0.2">
      <c r="BJ38352" s="201"/>
    </row>
    <row r="38353" spans="62:62" x14ac:dyDescent="0.2">
      <c r="BJ38353" s="201"/>
    </row>
    <row r="38354" spans="62:62" x14ac:dyDescent="0.2">
      <c r="BJ38354" s="201"/>
    </row>
    <row r="38355" spans="62:62" x14ac:dyDescent="0.2">
      <c r="BJ38355" s="201"/>
    </row>
    <row r="38356" spans="62:62" x14ac:dyDescent="0.2">
      <c r="BJ38356" s="201"/>
    </row>
    <row r="38357" spans="62:62" x14ac:dyDescent="0.2">
      <c r="BJ38357" s="201"/>
    </row>
    <row r="38358" spans="62:62" x14ac:dyDescent="0.2">
      <c r="BJ38358" s="201"/>
    </row>
    <row r="38359" spans="62:62" x14ac:dyDescent="0.2">
      <c r="BJ38359" s="201"/>
    </row>
    <row r="38360" spans="62:62" x14ac:dyDescent="0.2">
      <c r="BJ38360" s="201"/>
    </row>
    <row r="38361" spans="62:62" x14ac:dyDescent="0.2">
      <c r="BJ38361" s="201"/>
    </row>
    <row r="38362" spans="62:62" x14ac:dyDescent="0.2">
      <c r="BJ38362" s="201"/>
    </row>
    <row r="38363" spans="62:62" x14ac:dyDescent="0.2">
      <c r="BJ38363" s="201"/>
    </row>
    <row r="38364" spans="62:62" x14ac:dyDescent="0.2">
      <c r="BJ38364" s="201"/>
    </row>
    <row r="38365" spans="62:62" x14ac:dyDescent="0.2">
      <c r="BJ38365" s="201"/>
    </row>
    <row r="38366" spans="62:62" x14ac:dyDescent="0.2">
      <c r="BJ38366" s="201"/>
    </row>
    <row r="38367" spans="62:62" x14ac:dyDescent="0.2">
      <c r="BJ38367" s="201"/>
    </row>
    <row r="38368" spans="62:62" x14ac:dyDescent="0.2">
      <c r="BJ38368" s="201"/>
    </row>
    <row r="38369" spans="62:62" x14ac:dyDescent="0.2">
      <c r="BJ38369" s="201"/>
    </row>
    <row r="38370" spans="62:62" x14ac:dyDescent="0.2">
      <c r="BJ38370" s="201"/>
    </row>
    <row r="38371" spans="62:62" x14ac:dyDescent="0.2">
      <c r="BJ38371" s="201"/>
    </row>
    <row r="38372" spans="62:62" x14ac:dyDescent="0.2">
      <c r="BJ38372" s="201"/>
    </row>
    <row r="38373" spans="62:62" x14ac:dyDescent="0.2">
      <c r="BJ38373" s="201"/>
    </row>
    <row r="38374" spans="62:62" x14ac:dyDescent="0.2">
      <c r="BJ38374" s="201"/>
    </row>
    <row r="38375" spans="62:62" x14ac:dyDescent="0.2">
      <c r="BJ38375" s="201"/>
    </row>
    <row r="38376" spans="62:62" x14ac:dyDescent="0.2">
      <c r="BJ38376" s="201"/>
    </row>
    <row r="38377" spans="62:62" x14ac:dyDescent="0.2">
      <c r="BJ38377" s="201"/>
    </row>
    <row r="38378" spans="62:62" x14ac:dyDescent="0.2">
      <c r="BJ38378" s="201"/>
    </row>
    <row r="38379" spans="62:62" x14ac:dyDescent="0.2">
      <c r="BJ38379" s="201"/>
    </row>
    <row r="38380" spans="62:62" x14ac:dyDescent="0.2">
      <c r="BJ38380" s="201"/>
    </row>
    <row r="38381" spans="62:62" x14ac:dyDescent="0.2">
      <c r="BJ38381" s="201"/>
    </row>
    <row r="38382" spans="62:62" x14ac:dyDescent="0.2">
      <c r="BJ38382" s="201"/>
    </row>
    <row r="38383" spans="62:62" x14ac:dyDescent="0.2">
      <c r="BJ38383" s="201"/>
    </row>
    <row r="38384" spans="62:62" x14ac:dyDescent="0.2">
      <c r="BJ38384" s="201"/>
    </row>
    <row r="38385" spans="62:62" x14ac:dyDescent="0.2">
      <c r="BJ38385" s="201"/>
    </row>
    <row r="38386" spans="62:62" x14ac:dyDescent="0.2">
      <c r="BJ38386" s="201"/>
    </row>
    <row r="38387" spans="62:62" x14ac:dyDescent="0.2">
      <c r="BJ38387" s="201"/>
    </row>
    <row r="38388" spans="62:62" x14ac:dyDescent="0.2">
      <c r="BJ38388" s="201"/>
    </row>
    <row r="38389" spans="62:62" x14ac:dyDescent="0.2">
      <c r="BJ38389" s="201"/>
    </row>
    <row r="38390" spans="62:62" x14ac:dyDescent="0.2">
      <c r="BJ38390" s="201"/>
    </row>
    <row r="38391" spans="62:62" x14ac:dyDescent="0.2">
      <c r="BJ38391" s="201"/>
    </row>
    <row r="38392" spans="62:62" x14ac:dyDescent="0.2">
      <c r="BJ38392" s="201"/>
    </row>
    <row r="38393" spans="62:62" x14ac:dyDescent="0.2">
      <c r="BJ38393" s="201"/>
    </row>
    <row r="38394" spans="62:62" x14ac:dyDescent="0.2">
      <c r="BJ38394" s="201"/>
    </row>
    <row r="38395" spans="62:62" x14ac:dyDescent="0.2">
      <c r="BJ38395" s="201"/>
    </row>
    <row r="38396" spans="62:62" x14ac:dyDescent="0.2">
      <c r="BJ38396" s="201"/>
    </row>
    <row r="38397" spans="62:62" x14ac:dyDescent="0.2">
      <c r="BJ38397" s="201"/>
    </row>
    <row r="38398" spans="62:62" x14ac:dyDescent="0.2">
      <c r="BJ38398" s="201"/>
    </row>
    <row r="38399" spans="62:62" x14ac:dyDescent="0.2">
      <c r="BJ38399" s="201"/>
    </row>
    <row r="38400" spans="62:62" x14ac:dyDescent="0.2">
      <c r="BJ38400" s="201"/>
    </row>
    <row r="38401" spans="62:62" x14ac:dyDescent="0.2">
      <c r="BJ38401" s="201"/>
    </row>
    <row r="38402" spans="62:62" x14ac:dyDescent="0.2">
      <c r="BJ38402" s="201"/>
    </row>
    <row r="38403" spans="62:62" x14ac:dyDescent="0.2">
      <c r="BJ38403" s="201"/>
    </row>
    <row r="38404" spans="62:62" x14ac:dyDescent="0.2">
      <c r="BJ38404" s="201"/>
    </row>
    <row r="38405" spans="62:62" x14ac:dyDescent="0.2">
      <c r="BJ38405" s="201"/>
    </row>
    <row r="38406" spans="62:62" x14ac:dyDescent="0.2">
      <c r="BJ38406" s="201"/>
    </row>
    <row r="38407" spans="62:62" x14ac:dyDescent="0.2">
      <c r="BJ38407" s="201"/>
    </row>
    <row r="38408" spans="62:62" x14ac:dyDescent="0.2">
      <c r="BJ38408" s="201"/>
    </row>
    <row r="38409" spans="62:62" x14ac:dyDescent="0.2">
      <c r="BJ38409" s="201"/>
    </row>
    <row r="38410" spans="62:62" x14ac:dyDescent="0.2">
      <c r="BJ38410" s="201"/>
    </row>
    <row r="38411" spans="62:62" x14ac:dyDescent="0.2">
      <c r="BJ38411" s="201"/>
    </row>
    <row r="38412" spans="62:62" x14ac:dyDescent="0.2">
      <c r="BJ38412" s="201"/>
    </row>
    <row r="38413" spans="62:62" x14ac:dyDescent="0.2">
      <c r="BJ38413" s="201"/>
    </row>
    <row r="38414" spans="62:62" x14ac:dyDescent="0.2">
      <c r="BJ38414" s="201"/>
    </row>
    <row r="38415" spans="62:62" x14ac:dyDescent="0.2">
      <c r="BJ38415" s="201"/>
    </row>
    <row r="38416" spans="62:62" x14ac:dyDescent="0.2">
      <c r="BJ38416" s="201"/>
    </row>
    <row r="38417" spans="62:62" x14ac:dyDescent="0.2">
      <c r="BJ38417" s="201"/>
    </row>
    <row r="38418" spans="62:62" x14ac:dyDescent="0.2">
      <c r="BJ38418" s="201"/>
    </row>
    <row r="38419" spans="62:62" x14ac:dyDescent="0.2">
      <c r="BJ38419" s="201"/>
    </row>
    <row r="38420" spans="62:62" x14ac:dyDescent="0.2">
      <c r="BJ38420" s="201"/>
    </row>
    <row r="38421" spans="62:62" x14ac:dyDescent="0.2">
      <c r="BJ38421" s="201"/>
    </row>
    <row r="38422" spans="62:62" x14ac:dyDescent="0.2">
      <c r="BJ38422" s="201"/>
    </row>
    <row r="38423" spans="62:62" x14ac:dyDescent="0.2">
      <c r="BJ38423" s="201"/>
    </row>
    <row r="38424" spans="62:62" x14ac:dyDescent="0.2">
      <c r="BJ38424" s="201"/>
    </row>
    <row r="38425" spans="62:62" x14ac:dyDescent="0.2">
      <c r="BJ38425" s="201"/>
    </row>
    <row r="38426" spans="62:62" x14ac:dyDescent="0.2">
      <c r="BJ38426" s="201"/>
    </row>
    <row r="38427" spans="62:62" x14ac:dyDescent="0.2">
      <c r="BJ38427" s="201"/>
    </row>
    <row r="38428" spans="62:62" x14ac:dyDescent="0.2">
      <c r="BJ38428" s="201"/>
    </row>
    <row r="38429" spans="62:62" x14ac:dyDescent="0.2">
      <c r="BJ38429" s="201"/>
    </row>
    <row r="38430" spans="62:62" x14ac:dyDescent="0.2">
      <c r="BJ38430" s="201"/>
    </row>
    <row r="38431" spans="62:62" x14ac:dyDescent="0.2">
      <c r="BJ38431" s="201"/>
    </row>
    <row r="38432" spans="62:62" x14ac:dyDescent="0.2">
      <c r="BJ38432" s="201"/>
    </row>
    <row r="38433" spans="62:62" x14ac:dyDescent="0.2">
      <c r="BJ38433" s="201"/>
    </row>
    <row r="38434" spans="62:62" x14ac:dyDescent="0.2">
      <c r="BJ38434" s="201"/>
    </row>
    <row r="38435" spans="62:62" x14ac:dyDescent="0.2">
      <c r="BJ38435" s="201"/>
    </row>
    <row r="38436" spans="62:62" x14ac:dyDescent="0.2">
      <c r="BJ38436" s="201"/>
    </row>
    <row r="38437" spans="62:62" x14ac:dyDescent="0.2">
      <c r="BJ38437" s="201"/>
    </row>
    <row r="38438" spans="62:62" x14ac:dyDescent="0.2">
      <c r="BJ38438" s="201"/>
    </row>
    <row r="38439" spans="62:62" x14ac:dyDescent="0.2">
      <c r="BJ38439" s="201"/>
    </row>
    <row r="38440" spans="62:62" x14ac:dyDescent="0.2">
      <c r="BJ38440" s="201"/>
    </row>
    <row r="38441" spans="62:62" x14ac:dyDescent="0.2">
      <c r="BJ38441" s="201"/>
    </row>
    <row r="38442" spans="62:62" x14ac:dyDescent="0.2">
      <c r="BJ38442" s="201"/>
    </row>
    <row r="38443" spans="62:62" x14ac:dyDescent="0.2">
      <c r="BJ38443" s="201"/>
    </row>
    <row r="38444" spans="62:62" x14ac:dyDescent="0.2">
      <c r="BJ38444" s="201"/>
    </row>
    <row r="38445" spans="62:62" x14ac:dyDescent="0.2">
      <c r="BJ38445" s="201"/>
    </row>
    <row r="38446" spans="62:62" x14ac:dyDescent="0.2">
      <c r="BJ38446" s="201"/>
    </row>
    <row r="38447" spans="62:62" x14ac:dyDescent="0.2">
      <c r="BJ38447" s="201"/>
    </row>
    <row r="38448" spans="62:62" x14ac:dyDescent="0.2">
      <c r="BJ38448" s="201"/>
    </row>
    <row r="38449" spans="62:62" x14ac:dyDescent="0.2">
      <c r="BJ38449" s="201"/>
    </row>
    <row r="38450" spans="62:62" x14ac:dyDescent="0.2">
      <c r="BJ38450" s="201"/>
    </row>
    <row r="38451" spans="62:62" x14ac:dyDescent="0.2">
      <c r="BJ38451" s="201"/>
    </row>
    <row r="38452" spans="62:62" x14ac:dyDescent="0.2">
      <c r="BJ38452" s="201"/>
    </row>
    <row r="38453" spans="62:62" x14ac:dyDescent="0.2">
      <c r="BJ38453" s="201"/>
    </row>
    <row r="38454" spans="62:62" x14ac:dyDescent="0.2">
      <c r="BJ38454" s="201"/>
    </row>
    <row r="38455" spans="62:62" x14ac:dyDescent="0.2">
      <c r="BJ38455" s="201"/>
    </row>
    <row r="38456" spans="62:62" x14ac:dyDescent="0.2">
      <c r="BJ38456" s="201"/>
    </row>
    <row r="38457" spans="62:62" x14ac:dyDescent="0.2">
      <c r="BJ38457" s="201"/>
    </row>
    <row r="38458" spans="62:62" x14ac:dyDescent="0.2">
      <c r="BJ38458" s="201"/>
    </row>
    <row r="38459" spans="62:62" x14ac:dyDescent="0.2">
      <c r="BJ38459" s="201"/>
    </row>
    <row r="38460" spans="62:62" x14ac:dyDescent="0.2">
      <c r="BJ38460" s="201"/>
    </row>
    <row r="38461" spans="62:62" x14ac:dyDescent="0.2">
      <c r="BJ38461" s="201"/>
    </row>
    <row r="38462" spans="62:62" x14ac:dyDescent="0.2">
      <c r="BJ38462" s="201"/>
    </row>
    <row r="38463" spans="62:62" x14ac:dyDescent="0.2">
      <c r="BJ38463" s="201"/>
    </row>
    <row r="38464" spans="62:62" x14ac:dyDescent="0.2">
      <c r="BJ38464" s="201"/>
    </row>
    <row r="38465" spans="62:62" x14ac:dyDescent="0.2">
      <c r="BJ38465" s="201"/>
    </row>
    <row r="38466" spans="62:62" x14ac:dyDescent="0.2">
      <c r="BJ38466" s="201"/>
    </row>
    <row r="38467" spans="62:62" x14ac:dyDescent="0.2">
      <c r="BJ38467" s="201"/>
    </row>
    <row r="38468" spans="62:62" x14ac:dyDescent="0.2">
      <c r="BJ38468" s="201"/>
    </row>
    <row r="38469" spans="62:62" x14ac:dyDescent="0.2">
      <c r="BJ38469" s="201"/>
    </row>
    <row r="38470" spans="62:62" x14ac:dyDescent="0.2">
      <c r="BJ38470" s="201"/>
    </row>
    <row r="38471" spans="62:62" x14ac:dyDescent="0.2">
      <c r="BJ38471" s="201"/>
    </row>
    <row r="38472" spans="62:62" x14ac:dyDescent="0.2">
      <c r="BJ38472" s="201"/>
    </row>
    <row r="38473" spans="62:62" x14ac:dyDescent="0.2">
      <c r="BJ38473" s="201"/>
    </row>
    <row r="38474" spans="62:62" x14ac:dyDescent="0.2">
      <c r="BJ38474" s="201"/>
    </row>
    <row r="38475" spans="62:62" x14ac:dyDescent="0.2">
      <c r="BJ38475" s="201"/>
    </row>
    <row r="38476" spans="62:62" x14ac:dyDescent="0.2">
      <c r="BJ38476" s="201"/>
    </row>
    <row r="38477" spans="62:62" x14ac:dyDescent="0.2">
      <c r="BJ38477" s="201"/>
    </row>
    <row r="38478" spans="62:62" x14ac:dyDescent="0.2">
      <c r="BJ38478" s="201"/>
    </row>
    <row r="38479" spans="62:62" x14ac:dyDescent="0.2">
      <c r="BJ38479" s="201"/>
    </row>
    <row r="38480" spans="62:62" x14ac:dyDescent="0.2">
      <c r="BJ38480" s="201"/>
    </row>
    <row r="38481" spans="62:62" x14ac:dyDescent="0.2">
      <c r="BJ38481" s="201"/>
    </row>
    <row r="38482" spans="62:62" x14ac:dyDescent="0.2">
      <c r="BJ38482" s="201"/>
    </row>
    <row r="38483" spans="62:62" x14ac:dyDescent="0.2">
      <c r="BJ38483" s="201"/>
    </row>
    <row r="38484" spans="62:62" x14ac:dyDescent="0.2">
      <c r="BJ38484" s="201"/>
    </row>
    <row r="38485" spans="62:62" x14ac:dyDescent="0.2">
      <c r="BJ38485" s="201"/>
    </row>
    <row r="38486" spans="62:62" x14ac:dyDescent="0.2">
      <c r="BJ38486" s="201"/>
    </row>
    <row r="38487" spans="62:62" x14ac:dyDescent="0.2">
      <c r="BJ38487" s="201"/>
    </row>
    <row r="38488" spans="62:62" x14ac:dyDescent="0.2">
      <c r="BJ38488" s="201"/>
    </row>
    <row r="38489" spans="62:62" x14ac:dyDescent="0.2">
      <c r="BJ38489" s="201"/>
    </row>
    <row r="38490" spans="62:62" x14ac:dyDescent="0.2">
      <c r="BJ38490" s="201"/>
    </row>
    <row r="38491" spans="62:62" x14ac:dyDescent="0.2">
      <c r="BJ38491" s="201"/>
    </row>
    <row r="38492" spans="62:62" x14ac:dyDescent="0.2">
      <c r="BJ38492" s="201"/>
    </row>
    <row r="38493" spans="62:62" x14ac:dyDescent="0.2">
      <c r="BJ38493" s="201"/>
    </row>
    <row r="38494" spans="62:62" x14ac:dyDescent="0.2">
      <c r="BJ38494" s="201"/>
    </row>
    <row r="38495" spans="62:62" x14ac:dyDescent="0.2">
      <c r="BJ38495" s="201"/>
    </row>
    <row r="38496" spans="62:62" x14ac:dyDescent="0.2">
      <c r="BJ38496" s="201"/>
    </row>
    <row r="38497" spans="62:62" x14ac:dyDescent="0.2">
      <c r="BJ38497" s="201"/>
    </row>
    <row r="38498" spans="62:62" x14ac:dyDescent="0.2">
      <c r="BJ38498" s="201"/>
    </row>
    <row r="38499" spans="62:62" x14ac:dyDescent="0.2">
      <c r="BJ38499" s="201"/>
    </row>
    <row r="38500" spans="62:62" x14ac:dyDescent="0.2">
      <c r="BJ38500" s="201"/>
    </row>
    <row r="38501" spans="62:62" x14ac:dyDescent="0.2">
      <c r="BJ38501" s="201"/>
    </row>
    <row r="38502" spans="62:62" x14ac:dyDescent="0.2">
      <c r="BJ38502" s="201"/>
    </row>
    <row r="38503" spans="62:62" x14ac:dyDescent="0.2">
      <c r="BJ38503" s="201"/>
    </row>
    <row r="38504" spans="62:62" x14ac:dyDescent="0.2">
      <c r="BJ38504" s="201"/>
    </row>
    <row r="38505" spans="62:62" x14ac:dyDescent="0.2">
      <c r="BJ38505" s="201"/>
    </row>
    <row r="38506" spans="62:62" x14ac:dyDescent="0.2">
      <c r="BJ38506" s="201"/>
    </row>
    <row r="38507" spans="62:62" x14ac:dyDescent="0.2">
      <c r="BJ38507" s="201"/>
    </row>
    <row r="38508" spans="62:62" x14ac:dyDescent="0.2">
      <c r="BJ38508" s="201"/>
    </row>
    <row r="38509" spans="62:62" x14ac:dyDescent="0.2">
      <c r="BJ38509" s="201"/>
    </row>
    <row r="38510" spans="62:62" x14ac:dyDescent="0.2">
      <c r="BJ38510" s="201"/>
    </row>
    <row r="38511" spans="62:62" x14ac:dyDescent="0.2">
      <c r="BJ38511" s="201"/>
    </row>
    <row r="38512" spans="62:62" x14ac:dyDescent="0.2">
      <c r="BJ38512" s="201"/>
    </row>
    <row r="38513" spans="62:62" x14ac:dyDescent="0.2">
      <c r="BJ38513" s="201"/>
    </row>
    <row r="38514" spans="62:62" x14ac:dyDescent="0.2">
      <c r="BJ38514" s="201"/>
    </row>
    <row r="38515" spans="62:62" x14ac:dyDescent="0.2">
      <c r="BJ38515" s="201"/>
    </row>
    <row r="38516" spans="62:62" x14ac:dyDescent="0.2">
      <c r="BJ38516" s="201"/>
    </row>
    <row r="38517" spans="62:62" x14ac:dyDescent="0.2">
      <c r="BJ38517" s="201"/>
    </row>
    <row r="38518" spans="62:62" x14ac:dyDescent="0.2">
      <c r="BJ38518" s="201"/>
    </row>
    <row r="38519" spans="62:62" x14ac:dyDescent="0.2">
      <c r="BJ38519" s="201"/>
    </row>
    <row r="38520" spans="62:62" x14ac:dyDescent="0.2">
      <c r="BJ38520" s="201"/>
    </row>
    <row r="38521" spans="62:62" x14ac:dyDescent="0.2">
      <c r="BJ38521" s="201"/>
    </row>
    <row r="38522" spans="62:62" x14ac:dyDescent="0.2">
      <c r="BJ38522" s="201"/>
    </row>
    <row r="38523" spans="62:62" x14ac:dyDescent="0.2">
      <c r="BJ38523" s="201"/>
    </row>
    <row r="38524" spans="62:62" x14ac:dyDescent="0.2">
      <c r="BJ38524" s="201"/>
    </row>
    <row r="38525" spans="62:62" x14ac:dyDescent="0.2">
      <c r="BJ38525" s="201"/>
    </row>
    <row r="38526" spans="62:62" x14ac:dyDescent="0.2">
      <c r="BJ38526" s="201"/>
    </row>
    <row r="38527" spans="62:62" x14ac:dyDescent="0.2">
      <c r="BJ38527" s="201"/>
    </row>
    <row r="38528" spans="62:62" x14ac:dyDescent="0.2">
      <c r="BJ38528" s="201"/>
    </row>
    <row r="38529" spans="62:62" x14ac:dyDescent="0.2">
      <c r="BJ38529" s="201"/>
    </row>
    <row r="38530" spans="62:62" x14ac:dyDescent="0.2">
      <c r="BJ38530" s="201"/>
    </row>
    <row r="38531" spans="62:62" x14ac:dyDescent="0.2">
      <c r="BJ38531" s="201"/>
    </row>
    <row r="38532" spans="62:62" x14ac:dyDescent="0.2">
      <c r="BJ38532" s="201"/>
    </row>
    <row r="38533" spans="62:62" x14ac:dyDescent="0.2">
      <c r="BJ38533" s="201"/>
    </row>
    <row r="38534" spans="62:62" x14ac:dyDescent="0.2">
      <c r="BJ38534" s="201"/>
    </row>
    <row r="38535" spans="62:62" x14ac:dyDescent="0.2">
      <c r="BJ38535" s="201"/>
    </row>
    <row r="38536" spans="62:62" x14ac:dyDescent="0.2">
      <c r="BJ38536" s="201"/>
    </row>
    <row r="38537" spans="62:62" x14ac:dyDescent="0.2">
      <c r="BJ38537" s="201"/>
    </row>
    <row r="38538" spans="62:62" x14ac:dyDescent="0.2">
      <c r="BJ38538" s="201"/>
    </row>
    <row r="38539" spans="62:62" x14ac:dyDescent="0.2">
      <c r="BJ38539" s="201"/>
    </row>
    <row r="38540" spans="62:62" x14ac:dyDescent="0.2">
      <c r="BJ38540" s="201"/>
    </row>
    <row r="38541" spans="62:62" x14ac:dyDescent="0.2">
      <c r="BJ38541" s="201"/>
    </row>
    <row r="38542" spans="62:62" x14ac:dyDescent="0.2">
      <c r="BJ38542" s="201"/>
    </row>
    <row r="38543" spans="62:62" x14ac:dyDescent="0.2">
      <c r="BJ38543" s="201"/>
    </row>
    <row r="38544" spans="62:62" x14ac:dyDescent="0.2">
      <c r="BJ38544" s="201"/>
    </row>
    <row r="38545" spans="62:62" x14ac:dyDescent="0.2">
      <c r="BJ38545" s="201"/>
    </row>
    <row r="38546" spans="62:62" x14ac:dyDescent="0.2">
      <c r="BJ38546" s="201"/>
    </row>
    <row r="38547" spans="62:62" x14ac:dyDescent="0.2">
      <c r="BJ38547" s="201"/>
    </row>
    <row r="38548" spans="62:62" x14ac:dyDescent="0.2">
      <c r="BJ38548" s="201"/>
    </row>
    <row r="38549" spans="62:62" x14ac:dyDescent="0.2">
      <c r="BJ38549" s="201"/>
    </row>
    <row r="38550" spans="62:62" x14ac:dyDescent="0.2">
      <c r="BJ38550" s="201"/>
    </row>
    <row r="38551" spans="62:62" x14ac:dyDescent="0.2">
      <c r="BJ38551" s="201"/>
    </row>
    <row r="38552" spans="62:62" x14ac:dyDescent="0.2">
      <c r="BJ38552" s="201"/>
    </row>
    <row r="38553" spans="62:62" x14ac:dyDescent="0.2">
      <c r="BJ38553" s="201"/>
    </row>
    <row r="38554" spans="62:62" x14ac:dyDescent="0.2">
      <c r="BJ38554" s="201"/>
    </row>
    <row r="38555" spans="62:62" x14ac:dyDescent="0.2">
      <c r="BJ38555" s="201"/>
    </row>
    <row r="38556" spans="62:62" x14ac:dyDescent="0.2">
      <c r="BJ38556" s="201"/>
    </row>
    <row r="38557" spans="62:62" x14ac:dyDescent="0.2">
      <c r="BJ38557" s="201"/>
    </row>
    <row r="38558" spans="62:62" x14ac:dyDescent="0.2">
      <c r="BJ38558" s="201"/>
    </row>
    <row r="38559" spans="62:62" x14ac:dyDescent="0.2">
      <c r="BJ38559" s="201"/>
    </row>
    <row r="38560" spans="62:62" x14ac:dyDescent="0.2">
      <c r="BJ38560" s="201"/>
    </row>
    <row r="38561" spans="62:62" x14ac:dyDescent="0.2">
      <c r="BJ38561" s="201"/>
    </row>
    <row r="38562" spans="62:62" x14ac:dyDescent="0.2">
      <c r="BJ38562" s="201"/>
    </row>
    <row r="38563" spans="62:62" x14ac:dyDescent="0.2">
      <c r="BJ38563" s="201"/>
    </row>
    <row r="38564" spans="62:62" x14ac:dyDescent="0.2">
      <c r="BJ38564" s="201"/>
    </row>
    <row r="38565" spans="62:62" x14ac:dyDescent="0.2">
      <c r="BJ38565" s="201"/>
    </row>
    <row r="38566" spans="62:62" x14ac:dyDescent="0.2">
      <c r="BJ38566" s="201"/>
    </row>
    <row r="38567" spans="62:62" x14ac:dyDescent="0.2">
      <c r="BJ38567" s="201"/>
    </row>
    <row r="38568" spans="62:62" x14ac:dyDescent="0.2">
      <c r="BJ38568" s="201"/>
    </row>
    <row r="38569" spans="62:62" x14ac:dyDescent="0.2">
      <c r="BJ38569" s="201"/>
    </row>
    <row r="38570" spans="62:62" x14ac:dyDescent="0.2">
      <c r="BJ38570" s="201"/>
    </row>
    <row r="38571" spans="62:62" x14ac:dyDescent="0.2">
      <c r="BJ38571" s="201"/>
    </row>
    <row r="38572" spans="62:62" x14ac:dyDescent="0.2">
      <c r="BJ38572" s="201"/>
    </row>
    <row r="38573" spans="62:62" x14ac:dyDescent="0.2">
      <c r="BJ38573" s="201"/>
    </row>
    <row r="38574" spans="62:62" x14ac:dyDescent="0.2">
      <c r="BJ38574" s="201"/>
    </row>
    <row r="38575" spans="62:62" x14ac:dyDescent="0.2">
      <c r="BJ38575" s="201"/>
    </row>
    <row r="38576" spans="62:62" x14ac:dyDescent="0.2">
      <c r="BJ38576" s="201"/>
    </row>
    <row r="38577" spans="62:62" x14ac:dyDescent="0.2">
      <c r="BJ38577" s="201"/>
    </row>
    <row r="38578" spans="62:62" x14ac:dyDescent="0.2">
      <c r="BJ38578" s="201"/>
    </row>
    <row r="38579" spans="62:62" x14ac:dyDescent="0.2">
      <c r="BJ38579" s="201"/>
    </row>
    <row r="38580" spans="62:62" x14ac:dyDescent="0.2">
      <c r="BJ38580" s="201"/>
    </row>
    <row r="38581" spans="62:62" x14ac:dyDescent="0.2">
      <c r="BJ38581" s="201"/>
    </row>
    <row r="38582" spans="62:62" x14ac:dyDescent="0.2">
      <c r="BJ38582" s="201"/>
    </row>
    <row r="38583" spans="62:62" x14ac:dyDescent="0.2">
      <c r="BJ38583" s="201"/>
    </row>
    <row r="38584" spans="62:62" x14ac:dyDescent="0.2">
      <c r="BJ38584" s="201"/>
    </row>
    <row r="38585" spans="62:62" x14ac:dyDescent="0.2">
      <c r="BJ38585" s="201"/>
    </row>
    <row r="38586" spans="62:62" x14ac:dyDescent="0.2">
      <c r="BJ38586" s="201"/>
    </row>
    <row r="38587" spans="62:62" x14ac:dyDescent="0.2">
      <c r="BJ38587" s="201"/>
    </row>
    <row r="38588" spans="62:62" x14ac:dyDescent="0.2">
      <c r="BJ38588" s="201"/>
    </row>
    <row r="38589" spans="62:62" x14ac:dyDescent="0.2">
      <c r="BJ38589" s="201"/>
    </row>
    <row r="38590" spans="62:62" x14ac:dyDescent="0.2">
      <c r="BJ38590" s="201"/>
    </row>
    <row r="38591" spans="62:62" x14ac:dyDescent="0.2">
      <c r="BJ38591" s="201"/>
    </row>
    <row r="38592" spans="62:62" x14ac:dyDescent="0.2">
      <c r="BJ38592" s="201"/>
    </row>
    <row r="38593" spans="62:62" x14ac:dyDescent="0.2">
      <c r="BJ38593" s="201"/>
    </row>
    <row r="38594" spans="62:62" x14ac:dyDescent="0.2">
      <c r="BJ38594" s="201"/>
    </row>
    <row r="38595" spans="62:62" x14ac:dyDescent="0.2">
      <c r="BJ38595" s="201"/>
    </row>
    <row r="38596" spans="62:62" x14ac:dyDescent="0.2">
      <c r="BJ38596" s="201"/>
    </row>
    <row r="38597" spans="62:62" x14ac:dyDescent="0.2">
      <c r="BJ38597" s="201"/>
    </row>
    <row r="38598" spans="62:62" x14ac:dyDescent="0.2">
      <c r="BJ38598" s="201"/>
    </row>
    <row r="38599" spans="62:62" x14ac:dyDescent="0.2">
      <c r="BJ38599" s="201"/>
    </row>
    <row r="38600" spans="62:62" x14ac:dyDescent="0.2">
      <c r="BJ38600" s="201"/>
    </row>
    <row r="38601" spans="62:62" x14ac:dyDescent="0.2">
      <c r="BJ38601" s="201"/>
    </row>
    <row r="38602" spans="62:62" x14ac:dyDescent="0.2">
      <c r="BJ38602" s="201"/>
    </row>
    <row r="38603" spans="62:62" x14ac:dyDescent="0.2">
      <c r="BJ38603" s="201"/>
    </row>
    <row r="38604" spans="62:62" x14ac:dyDescent="0.2">
      <c r="BJ38604" s="201"/>
    </row>
    <row r="38605" spans="62:62" x14ac:dyDescent="0.2">
      <c r="BJ38605" s="201"/>
    </row>
    <row r="38606" spans="62:62" x14ac:dyDescent="0.2">
      <c r="BJ38606" s="201"/>
    </row>
    <row r="38607" spans="62:62" x14ac:dyDescent="0.2">
      <c r="BJ38607" s="201"/>
    </row>
    <row r="38608" spans="62:62" x14ac:dyDescent="0.2">
      <c r="BJ38608" s="201"/>
    </row>
    <row r="38609" spans="62:62" x14ac:dyDescent="0.2">
      <c r="BJ38609" s="201"/>
    </row>
    <row r="38610" spans="62:62" x14ac:dyDescent="0.2">
      <c r="BJ38610" s="201"/>
    </row>
    <row r="38611" spans="62:62" x14ac:dyDescent="0.2">
      <c r="BJ38611" s="201"/>
    </row>
    <row r="38612" spans="62:62" x14ac:dyDescent="0.2">
      <c r="BJ38612" s="201"/>
    </row>
    <row r="38613" spans="62:62" x14ac:dyDescent="0.2">
      <c r="BJ38613" s="201"/>
    </row>
    <row r="38614" spans="62:62" x14ac:dyDescent="0.2">
      <c r="BJ38614" s="201"/>
    </row>
    <row r="38615" spans="62:62" x14ac:dyDescent="0.2">
      <c r="BJ38615" s="201"/>
    </row>
    <row r="38616" spans="62:62" x14ac:dyDescent="0.2">
      <c r="BJ38616" s="201"/>
    </row>
    <row r="38617" spans="62:62" x14ac:dyDescent="0.2">
      <c r="BJ38617" s="201"/>
    </row>
    <row r="38618" spans="62:62" x14ac:dyDescent="0.2">
      <c r="BJ38618" s="201"/>
    </row>
    <row r="38619" spans="62:62" x14ac:dyDescent="0.2">
      <c r="BJ38619" s="201"/>
    </row>
    <row r="38620" spans="62:62" x14ac:dyDescent="0.2">
      <c r="BJ38620" s="201"/>
    </row>
    <row r="38621" spans="62:62" x14ac:dyDescent="0.2">
      <c r="BJ38621" s="201"/>
    </row>
    <row r="38622" spans="62:62" x14ac:dyDescent="0.2">
      <c r="BJ38622" s="201"/>
    </row>
    <row r="38623" spans="62:62" x14ac:dyDescent="0.2">
      <c r="BJ38623" s="201"/>
    </row>
    <row r="38624" spans="62:62" x14ac:dyDescent="0.2">
      <c r="BJ38624" s="201"/>
    </row>
    <row r="38625" spans="62:62" x14ac:dyDescent="0.2">
      <c r="BJ38625" s="201"/>
    </row>
    <row r="38626" spans="62:62" x14ac:dyDescent="0.2">
      <c r="BJ38626" s="201"/>
    </row>
    <row r="38627" spans="62:62" x14ac:dyDescent="0.2">
      <c r="BJ38627" s="201"/>
    </row>
    <row r="38628" spans="62:62" x14ac:dyDescent="0.2">
      <c r="BJ38628" s="201"/>
    </row>
    <row r="38629" spans="62:62" x14ac:dyDescent="0.2">
      <c r="BJ38629" s="201"/>
    </row>
    <row r="38630" spans="62:62" x14ac:dyDescent="0.2">
      <c r="BJ38630" s="201"/>
    </row>
    <row r="38631" spans="62:62" x14ac:dyDescent="0.2">
      <c r="BJ38631" s="201"/>
    </row>
    <row r="38632" spans="62:62" x14ac:dyDescent="0.2">
      <c r="BJ38632" s="201"/>
    </row>
    <row r="38633" spans="62:62" x14ac:dyDescent="0.2">
      <c r="BJ38633" s="201"/>
    </row>
    <row r="38634" spans="62:62" x14ac:dyDescent="0.2">
      <c r="BJ38634" s="201"/>
    </row>
    <row r="38635" spans="62:62" x14ac:dyDescent="0.2">
      <c r="BJ38635" s="201"/>
    </row>
    <row r="38636" spans="62:62" x14ac:dyDescent="0.2">
      <c r="BJ38636" s="201"/>
    </row>
    <row r="38637" spans="62:62" x14ac:dyDescent="0.2">
      <c r="BJ38637" s="201"/>
    </row>
    <row r="38638" spans="62:62" x14ac:dyDescent="0.2">
      <c r="BJ38638" s="201"/>
    </row>
    <row r="38639" spans="62:62" x14ac:dyDescent="0.2">
      <c r="BJ38639" s="201"/>
    </row>
    <row r="38640" spans="62:62" x14ac:dyDescent="0.2">
      <c r="BJ38640" s="201"/>
    </row>
    <row r="38641" spans="62:62" x14ac:dyDescent="0.2">
      <c r="BJ38641" s="201"/>
    </row>
    <row r="38642" spans="62:62" x14ac:dyDescent="0.2">
      <c r="BJ38642" s="201"/>
    </row>
    <row r="38643" spans="62:62" x14ac:dyDescent="0.2">
      <c r="BJ38643" s="201"/>
    </row>
    <row r="38644" spans="62:62" x14ac:dyDescent="0.2">
      <c r="BJ38644" s="201"/>
    </row>
    <row r="38645" spans="62:62" x14ac:dyDescent="0.2">
      <c r="BJ38645" s="201"/>
    </row>
    <row r="38646" spans="62:62" x14ac:dyDescent="0.2">
      <c r="BJ38646" s="201"/>
    </row>
    <row r="38647" spans="62:62" x14ac:dyDescent="0.2">
      <c r="BJ38647" s="201"/>
    </row>
    <row r="38648" spans="62:62" x14ac:dyDescent="0.2">
      <c r="BJ38648" s="201"/>
    </row>
    <row r="38649" spans="62:62" x14ac:dyDescent="0.2">
      <c r="BJ38649" s="201"/>
    </row>
    <row r="38650" spans="62:62" x14ac:dyDescent="0.2">
      <c r="BJ38650" s="201"/>
    </row>
    <row r="38651" spans="62:62" x14ac:dyDescent="0.2">
      <c r="BJ38651" s="201"/>
    </row>
    <row r="38652" spans="62:62" x14ac:dyDescent="0.2">
      <c r="BJ38652" s="201"/>
    </row>
    <row r="38653" spans="62:62" x14ac:dyDescent="0.2">
      <c r="BJ38653" s="201"/>
    </row>
    <row r="38654" spans="62:62" x14ac:dyDescent="0.2">
      <c r="BJ38654" s="201"/>
    </row>
    <row r="38655" spans="62:62" x14ac:dyDescent="0.2">
      <c r="BJ38655" s="201"/>
    </row>
    <row r="38656" spans="62:62" x14ac:dyDescent="0.2">
      <c r="BJ38656" s="201"/>
    </row>
    <row r="38657" spans="62:62" x14ac:dyDescent="0.2">
      <c r="BJ38657" s="201"/>
    </row>
    <row r="38658" spans="62:62" x14ac:dyDescent="0.2">
      <c r="BJ38658" s="201"/>
    </row>
    <row r="38659" spans="62:62" x14ac:dyDescent="0.2">
      <c r="BJ38659" s="201"/>
    </row>
    <row r="38660" spans="62:62" x14ac:dyDescent="0.2">
      <c r="BJ38660" s="201"/>
    </row>
    <row r="38661" spans="62:62" x14ac:dyDescent="0.2">
      <c r="BJ38661" s="201"/>
    </row>
    <row r="38662" spans="62:62" x14ac:dyDescent="0.2">
      <c r="BJ38662" s="201"/>
    </row>
    <row r="38663" spans="62:62" x14ac:dyDescent="0.2">
      <c r="BJ38663" s="201"/>
    </row>
    <row r="38664" spans="62:62" x14ac:dyDescent="0.2">
      <c r="BJ38664" s="201"/>
    </row>
    <row r="38665" spans="62:62" x14ac:dyDescent="0.2">
      <c r="BJ38665" s="201"/>
    </row>
    <row r="38666" spans="62:62" x14ac:dyDescent="0.2">
      <c r="BJ38666" s="201"/>
    </row>
    <row r="38667" spans="62:62" x14ac:dyDescent="0.2">
      <c r="BJ38667" s="201"/>
    </row>
    <row r="38668" spans="62:62" x14ac:dyDescent="0.2">
      <c r="BJ38668" s="201"/>
    </row>
    <row r="38669" spans="62:62" x14ac:dyDescent="0.2">
      <c r="BJ38669" s="201"/>
    </row>
    <row r="38670" spans="62:62" x14ac:dyDescent="0.2">
      <c r="BJ38670" s="201"/>
    </row>
    <row r="38671" spans="62:62" x14ac:dyDescent="0.2">
      <c r="BJ38671" s="201"/>
    </row>
    <row r="38672" spans="62:62" x14ac:dyDescent="0.2">
      <c r="BJ38672" s="201"/>
    </row>
    <row r="38673" spans="62:62" x14ac:dyDescent="0.2">
      <c r="BJ38673" s="201"/>
    </row>
    <row r="38674" spans="62:62" x14ac:dyDescent="0.2">
      <c r="BJ38674" s="201"/>
    </row>
    <row r="38675" spans="62:62" x14ac:dyDescent="0.2">
      <c r="BJ38675" s="201"/>
    </row>
    <row r="38676" spans="62:62" x14ac:dyDescent="0.2">
      <c r="BJ38676" s="201"/>
    </row>
    <row r="38677" spans="62:62" x14ac:dyDescent="0.2">
      <c r="BJ38677" s="201"/>
    </row>
    <row r="38678" spans="62:62" x14ac:dyDescent="0.2">
      <c r="BJ38678" s="201"/>
    </row>
    <row r="38679" spans="62:62" x14ac:dyDescent="0.2">
      <c r="BJ38679" s="201"/>
    </row>
    <row r="38680" spans="62:62" x14ac:dyDescent="0.2">
      <c r="BJ38680" s="201"/>
    </row>
    <row r="38681" spans="62:62" x14ac:dyDescent="0.2">
      <c r="BJ38681" s="201"/>
    </row>
    <row r="38682" spans="62:62" x14ac:dyDescent="0.2">
      <c r="BJ38682" s="201"/>
    </row>
    <row r="38683" spans="62:62" x14ac:dyDescent="0.2">
      <c r="BJ38683" s="201"/>
    </row>
    <row r="38684" spans="62:62" x14ac:dyDescent="0.2">
      <c r="BJ38684" s="201"/>
    </row>
    <row r="38685" spans="62:62" x14ac:dyDescent="0.2">
      <c r="BJ38685" s="201"/>
    </row>
    <row r="38686" spans="62:62" x14ac:dyDescent="0.2">
      <c r="BJ38686" s="201"/>
    </row>
    <row r="38687" spans="62:62" x14ac:dyDescent="0.2">
      <c r="BJ38687" s="201"/>
    </row>
    <row r="38688" spans="62:62" x14ac:dyDescent="0.2">
      <c r="BJ38688" s="201"/>
    </row>
    <row r="38689" spans="62:62" x14ac:dyDescent="0.2">
      <c r="BJ38689" s="201"/>
    </row>
    <row r="38690" spans="62:62" x14ac:dyDescent="0.2">
      <c r="BJ38690" s="201"/>
    </row>
    <row r="38691" spans="62:62" x14ac:dyDescent="0.2">
      <c r="BJ38691" s="201"/>
    </row>
    <row r="38692" spans="62:62" x14ac:dyDescent="0.2">
      <c r="BJ38692" s="201"/>
    </row>
    <row r="38693" spans="62:62" x14ac:dyDescent="0.2">
      <c r="BJ38693" s="201"/>
    </row>
    <row r="38694" spans="62:62" x14ac:dyDescent="0.2">
      <c r="BJ38694" s="201"/>
    </row>
    <row r="38695" spans="62:62" x14ac:dyDescent="0.2">
      <c r="BJ38695" s="201"/>
    </row>
    <row r="38696" spans="62:62" x14ac:dyDescent="0.2">
      <c r="BJ38696" s="201"/>
    </row>
    <row r="38697" spans="62:62" x14ac:dyDescent="0.2">
      <c r="BJ38697" s="201"/>
    </row>
    <row r="38698" spans="62:62" x14ac:dyDescent="0.2">
      <c r="BJ38698" s="201"/>
    </row>
    <row r="38699" spans="62:62" x14ac:dyDescent="0.2">
      <c r="BJ38699" s="201"/>
    </row>
    <row r="38700" spans="62:62" x14ac:dyDescent="0.2">
      <c r="BJ38700" s="201"/>
    </row>
    <row r="38701" spans="62:62" x14ac:dyDescent="0.2">
      <c r="BJ38701" s="201"/>
    </row>
    <row r="38702" spans="62:62" x14ac:dyDescent="0.2">
      <c r="BJ38702" s="201"/>
    </row>
    <row r="38703" spans="62:62" x14ac:dyDescent="0.2">
      <c r="BJ38703" s="201"/>
    </row>
    <row r="38704" spans="62:62" x14ac:dyDescent="0.2">
      <c r="BJ38704" s="201"/>
    </row>
    <row r="38705" spans="62:62" x14ac:dyDescent="0.2">
      <c r="BJ38705" s="201"/>
    </row>
    <row r="38706" spans="62:62" x14ac:dyDescent="0.2">
      <c r="BJ38706" s="201"/>
    </row>
    <row r="38707" spans="62:62" x14ac:dyDescent="0.2">
      <c r="BJ38707" s="201"/>
    </row>
    <row r="38708" spans="62:62" x14ac:dyDescent="0.2">
      <c r="BJ38708" s="201"/>
    </row>
    <row r="38709" spans="62:62" x14ac:dyDescent="0.2">
      <c r="BJ38709" s="201"/>
    </row>
    <row r="38710" spans="62:62" x14ac:dyDescent="0.2">
      <c r="BJ38710" s="201"/>
    </row>
    <row r="38711" spans="62:62" x14ac:dyDescent="0.2">
      <c r="BJ38711" s="201"/>
    </row>
    <row r="38712" spans="62:62" x14ac:dyDescent="0.2">
      <c r="BJ38712" s="201"/>
    </row>
    <row r="38713" spans="62:62" x14ac:dyDescent="0.2">
      <c r="BJ38713" s="201"/>
    </row>
    <row r="38714" spans="62:62" x14ac:dyDescent="0.2">
      <c r="BJ38714" s="201"/>
    </row>
    <row r="38715" spans="62:62" x14ac:dyDescent="0.2">
      <c r="BJ38715" s="201"/>
    </row>
    <row r="38716" spans="62:62" x14ac:dyDescent="0.2">
      <c r="BJ38716" s="201"/>
    </row>
    <row r="38717" spans="62:62" x14ac:dyDescent="0.2">
      <c r="BJ38717" s="201"/>
    </row>
    <row r="38718" spans="62:62" x14ac:dyDescent="0.2">
      <c r="BJ38718" s="201"/>
    </row>
    <row r="38719" spans="62:62" x14ac:dyDescent="0.2">
      <c r="BJ38719" s="201"/>
    </row>
    <row r="38720" spans="62:62" x14ac:dyDescent="0.2">
      <c r="BJ38720" s="201"/>
    </row>
    <row r="38721" spans="62:62" x14ac:dyDescent="0.2">
      <c r="BJ38721" s="201"/>
    </row>
    <row r="38722" spans="62:62" x14ac:dyDescent="0.2">
      <c r="BJ38722" s="201"/>
    </row>
    <row r="38723" spans="62:62" x14ac:dyDescent="0.2">
      <c r="BJ38723" s="201"/>
    </row>
    <row r="38724" spans="62:62" x14ac:dyDescent="0.2">
      <c r="BJ38724" s="201"/>
    </row>
    <row r="38725" spans="62:62" x14ac:dyDescent="0.2">
      <c r="BJ38725" s="201"/>
    </row>
    <row r="38726" spans="62:62" x14ac:dyDescent="0.2">
      <c r="BJ38726" s="201"/>
    </row>
    <row r="38727" spans="62:62" x14ac:dyDescent="0.2">
      <c r="BJ38727" s="201"/>
    </row>
    <row r="38728" spans="62:62" x14ac:dyDescent="0.2">
      <c r="BJ38728" s="201"/>
    </row>
    <row r="38729" spans="62:62" x14ac:dyDescent="0.2">
      <c r="BJ38729" s="201"/>
    </row>
    <row r="38730" spans="62:62" x14ac:dyDescent="0.2">
      <c r="BJ38730" s="201"/>
    </row>
    <row r="38731" spans="62:62" x14ac:dyDescent="0.2">
      <c r="BJ38731" s="201"/>
    </row>
    <row r="38732" spans="62:62" x14ac:dyDescent="0.2">
      <c r="BJ38732" s="201"/>
    </row>
    <row r="38733" spans="62:62" x14ac:dyDescent="0.2">
      <c r="BJ38733" s="201"/>
    </row>
    <row r="38734" spans="62:62" x14ac:dyDescent="0.2">
      <c r="BJ38734" s="201"/>
    </row>
    <row r="38735" spans="62:62" x14ac:dyDescent="0.2">
      <c r="BJ38735" s="201"/>
    </row>
    <row r="38736" spans="62:62" x14ac:dyDescent="0.2">
      <c r="BJ38736" s="201"/>
    </row>
    <row r="38737" spans="62:62" x14ac:dyDescent="0.2">
      <c r="BJ38737" s="201"/>
    </row>
    <row r="38738" spans="62:62" x14ac:dyDescent="0.2">
      <c r="BJ38738" s="201"/>
    </row>
    <row r="38739" spans="62:62" x14ac:dyDescent="0.2">
      <c r="BJ38739" s="201"/>
    </row>
    <row r="38740" spans="62:62" x14ac:dyDescent="0.2">
      <c r="BJ38740" s="201"/>
    </row>
    <row r="38741" spans="62:62" x14ac:dyDescent="0.2">
      <c r="BJ38741" s="201"/>
    </row>
    <row r="38742" spans="62:62" x14ac:dyDescent="0.2">
      <c r="BJ38742" s="201"/>
    </row>
    <row r="38743" spans="62:62" x14ac:dyDescent="0.2">
      <c r="BJ38743" s="201"/>
    </row>
    <row r="38744" spans="62:62" x14ac:dyDescent="0.2">
      <c r="BJ38744" s="201"/>
    </row>
    <row r="38745" spans="62:62" x14ac:dyDescent="0.2">
      <c r="BJ38745" s="201"/>
    </row>
    <row r="38746" spans="62:62" x14ac:dyDescent="0.2">
      <c r="BJ38746" s="201"/>
    </row>
    <row r="38747" spans="62:62" x14ac:dyDescent="0.2">
      <c r="BJ38747" s="201"/>
    </row>
    <row r="38748" spans="62:62" x14ac:dyDescent="0.2">
      <c r="BJ38748" s="201"/>
    </row>
    <row r="38749" spans="62:62" x14ac:dyDescent="0.2">
      <c r="BJ38749" s="201"/>
    </row>
    <row r="38750" spans="62:62" x14ac:dyDescent="0.2">
      <c r="BJ38750" s="201"/>
    </row>
    <row r="38751" spans="62:62" x14ac:dyDescent="0.2">
      <c r="BJ38751" s="201"/>
    </row>
    <row r="38752" spans="62:62" x14ac:dyDescent="0.2">
      <c r="BJ38752" s="201"/>
    </row>
    <row r="38753" spans="62:62" x14ac:dyDescent="0.2">
      <c r="BJ38753" s="201"/>
    </row>
    <row r="38754" spans="62:62" x14ac:dyDescent="0.2">
      <c r="BJ38754" s="201"/>
    </row>
    <row r="38755" spans="62:62" x14ac:dyDescent="0.2">
      <c r="BJ38755" s="201"/>
    </row>
    <row r="38756" spans="62:62" x14ac:dyDescent="0.2">
      <c r="BJ38756" s="201"/>
    </row>
    <row r="38757" spans="62:62" x14ac:dyDescent="0.2">
      <c r="BJ38757" s="201"/>
    </row>
    <row r="38758" spans="62:62" x14ac:dyDescent="0.2">
      <c r="BJ38758" s="201"/>
    </row>
    <row r="38759" spans="62:62" x14ac:dyDescent="0.2">
      <c r="BJ38759" s="201"/>
    </row>
    <row r="38760" spans="62:62" x14ac:dyDescent="0.2">
      <c r="BJ38760" s="201"/>
    </row>
    <row r="38761" spans="62:62" x14ac:dyDescent="0.2">
      <c r="BJ38761" s="201"/>
    </row>
    <row r="38762" spans="62:62" x14ac:dyDescent="0.2">
      <c r="BJ38762" s="201"/>
    </row>
    <row r="38763" spans="62:62" x14ac:dyDescent="0.2">
      <c r="BJ38763" s="201"/>
    </row>
    <row r="38764" spans="62:62" x14ac:dyDescent="0.2">
      <c r="BJ38764" s="201"/>
    </row>
    <row r="38765" spans="62:62" x14ac:dyDescent="0.2">
      <c r="BJ38765" s="201"/>
    </row>
    <row r="38766" spans="62:62" x14ac:dyDescent="0.2">
      <c r="BJ38766" s="201"/>
    </row>
    <row r="38767" spans="62:62" x14ac:dyDescent="0.2">
      <c r="BJ38767" s="201"/>
    </row>
    <row r="38768" spans="62:62" x14ac:dyDescent="0.2">
      <c r="BJ38768" s="201"/>
    </row>
    <row r="38769" spans="62:62" x14ac:dyDescent="0.2">
      <c r="BJ38769" s="201"/>
    </row>
    <row r="38770" spans="62:62" x14ac:dyDescent="0.2">
      <c r="BJ38770" s="201"/>
    </row>
    <row r="38771" spans="62:62" x14ac:dyDescent="0.2">
      <c r="BJ38771" s="201"/>
    </row>
    <row r="38772" spans="62:62" x14ac:dyDescent="0.2">
      <c r="BJ38772" s="201"/>
    </row>
    <row r="38773" spans="62:62" x14ac:dyDescent="0.2">
      <c r="BJ38773" s="201"/>
    </row>
    <row r="38774" spans="62:62" x14ac:dyDescent="0.2">
      <c r="BJ38774" s="201"/>
    </row>
    <row r="38775" spans="62:62" x14ac:dyDescent="0.2">
      <c r="BJ38775" s="201"/>
    </row>
    <row r="38776" spans="62:62" x14ac:dyDescent="0.2">
      <c r="BJ38776" s="201"/>
    </row>
    <row r="38777" spans="62:62" x14ac:dyDescent="0.2">
      <c r="BJ38777" s="201"/>
    </row>
    <row r="38778" spans="62:62" x14ac:dyDescent="0.2">
      <c r="BJ38778" s="201"/>
    </row>
    <row r="38779" spans="62:62" x14ac:dyDescent="0.2">
      <c r="BJ38779" s="201"/>
    </row>
    <row r="38780" spans="62:62" x14ac:dyDescent="0.2">
      <c r="BJ38780" s="201"/>
    </row>
    <row r="38781" spans="62:62" x14ac:dyDescent="0.2">
      <c r="BJ38781" s="201"/>
    </row>
    <row r="38782" spans="62:62" x14ac:dyDescent="0.2">
      <c r="BJ38782" s="201"/>
    </row>
    <row r="38783" spans="62:62" x14ac:dyDescent="0.2">
      <c r="BJ38783" s="201"/>
    </row>
    <row r="38784" spans="62:62" x14ac:dyDescent="0.2">
      <c r="BJ38784" s="201"/>
    </row>
    <row r="38785" spans="62:62" x14ac:dyDescent="0.2">
      <c r="BJ38785" s="201"/>
    </row>
    <row r="38786" spans="62:62" x14ac:dyDescent="0.2">
      <c r="BJ38786" s="201"/>
    </row>
    <row r="38787" spans="62:62" x14ac:dyDescent="0.2">
      <c r="BJ38787" s="201"/>
    </row>
    <row r="38788" spans="62:62" x14ac:dyDescent="0.2">
      <c r="BJ38788" s="201"/>
    </row>
    <row r="38789" spans="62:62" x14ac:dyDescent="0.2">
      <c r="BJ38789" s="201"/>
    </row>
    <row r="38790" spans="62:62" x14ac:dyDescent="0.2">
      <c r="BJ38790" s="201"/>
    </row>
    <row r="38791" spans="62:62" x14ac:dyDescent="0.2">
      <c r="BJ38791" s="201"/>
    </row>
    <row r="38792" spans="62:62" x14ac:dyDescent="0.2">
      <c r="BJ38792" s="201"/>
    </row>
    <row r="38793" spans="62:62" x14ac:dyDescent="0.2">
      <c r="BJ38793" s="201"/>
    </row>
    <row r="38794" spans="62:62" x14ac:dyDescent="0.2">
      <c r="BJ38794" s="201"/>
    </row>
    <row r="38795" spans="62:62" x14ac:dyDescent="0.2">
      <c r="BJ38795" s="201"/>
    </row>
    <row r="38796" spans="62:62" x14ac:dyDescent="0.2">
      <c r="BJ38796" s="201"/>
    </row>
    <row r="38797" spans="62:62" x14ac:dyDescent="0.2">
      <c r="BJ38797" s="201"/>
    </row>
    <row r="38798" spans="62:62" x14ac:dyDescent="0.2">
      <c r="BJ38798" s="201"/>
    </row>
    <row r="38799" spans="62:62" x14ac:dyDescent="0.2">
      <c r="BJ38799" s="201"/>
    </row>
    <row r="38800" spans="62:62" x14ac:dyDescent="0.2">
      <c r="BJ38800" s="201"/>
    </row>
    <row r="38801" spans="62:62" x14ac:dyDescent="0.2">
      <c r="BJ38801" s="201"/>
    </row>
    <row r="38802" spans="62:62" x14ac:dyDescent="0.2">
      <c r="BJ38802" s="201"/>
    </row>
    <row r="38803" spans="62:62" x14ac:dyDescent="0.2">
      <c r="BJ38803" s="201"/>
    </row>
    <row r="38804" spans="62:62" x14ac:dyDescent="0.2">
      <c r="BJ38804" s="201"/>
    </row>
    <row r="38805" spans="62:62" x14ac:dyDescent="0.2">
      <c r="BJ38805" s="201"/>
    </row>
    <row r="38806" spans="62:62" x14ac:dyDescent="0.2">
      <c r="BJ38806" s="201"/>
    </row>
    <row r="38807" spans="62:62" x14ac:dyDescent="0.2">
      <c r="BJ38807" s="201"/>
    </row>
    <row r="38808" spans="62:62" x14ac:dyDescent="0.2">
      <c r="BJ38808" s="201"/>
    </row>
    <row r="38809" spans="62:62" x14ac:dyDescent="0.2">
      <c r="BJ38809" s="201"/>
    </row>
    <row r="38810" spans="62:62" x14ac:dyDescent="0.2">
      <c r="BJ38810" s="201"/>
    </row>
    <row r="38811" spans="62:62" x14ac:dyDescent="0.2">
      <c r="BJ38811" s="201"/>
    </row>
    <row r="38812" spans="62:62" x14ac:dyDescent="0.2">
      <c r="BJ38812" s="201"/>
    </row>
    <row r="38813" spans="62:62" x14ac:dyDescent="0.2">
      <c r="BJ38813" s="201"/>
    </row>
    <row r="38814" spans="62:62" x14ac:dyDescent="0.2">
      <c r="BJ38814" s="201"/>
    </row>
    <row r="38815" spans="62:62" x14ac:dyDescent="0.2">
      <c r="BJ38815" s="201"/>
    </row>
    <row r="38816" spans="62:62" x14ac:dyDescent="0.2">
      <c r="BJ38816" s="201"/>
    </row>
    <row r="38817" spans="62:62" x14ac:dyDescent="0.2">
      <c r="BJ38817" s="201"/>
    </row>
    <row r="38818" spans="62:62" x14ac:dyDescent="0.2">
      <c r="BJ38818" s="201"/>
    </row>
    <row r="38819" spans="62:62" x14ac:dyDescent="0.2">
      <c r="BJ38819" s="201"/>
    </row>
    <row r="38820" spans="62:62" x14ac:dyDescent="0.2">
      <c r="BJ38820" s="201"/>
    </row>
    <row r="38821" spans="62:62" x14ac:dyDescent="0.2">
      <c r="BJ38821" s="201"/>
    </row>
    <row r="38822" spans="62:62" x14ac:dyDescent="0.2">
      <c r="BJ38822" s="201"/>
    </row>
    <row r="38823" spans="62:62" x14ac:dyDescent="0.2">
      <c r="BJ38823" s="201"/>
    </row>
    <row r="38824" spans="62:62" x14ac:dyDescent="0.2">
      <c r="BJ38824" s="201"/>
    </row>
    <row r="38825" spans="62:62" x14ac:dyDescent="0.2">
      <c r="BJ38825" s="201"/>
    </row>
    <row r="38826" spans="62:62" x14ac:dyDescent="0.2">
      <c r="BJ38826" s="201"/>
    </row>
    <row r="38827" spans="62:62" x14ac:dyDescent="0.2">
      <c r="BJ38827" s="201"/>
    </row>
    <row r="38828" spans="62:62" x14ac:dyDescent="0.2">
      <c r="BJ38828" s="201"/>
    </row>
    <row r="38829" spans="62:62" x14ac:dyDescent="0.2">
      <c r="BJ38829" s="201"/>
    </row>
    <row r="38830" spans="62:62" x14ac:dyDescent="0.2">
      <c r="BJ38830" s="201"/>
    </row>
    <row r="38831" spans="62:62" x14ac:dyDescent="0.2">
      <c r="BJ38831" s="201"/>
    </row>
    <row r="38832" spans="62:62" x14ac:dyDescent="0.2">
      <c r="BJ38832" s="201"/>
    </row>
    <row r="38833" spans="62:62" x14ac:dyDescent="0.2">
      <c r="BJ38833" s="201"/>
    </row>
    <row r="38834" spans="62:62" x14ac:dyDescent="0.2">
      <c r="BJ38834" s="201"/>
    </row>
    <row r="38835" spans="62:62" x14ac:dyDescent="0.2">
      <c r="BJ38835" s="201"/>
    </row>
    <row r="38836" spans="62:62" x14ac:dyDescent="0.2">
      <c r="BJ38836" s="201"/>
    </row>
    <row r="38837" spans="62:62" x14ac:dyDescent="0.2">
      <c r="BJ38837" s="201"/>
    </row>
    <row r="38838" spans="62:62" x14ac:dyDescent="0.2">
      <c r="BJ38838" s="201"/>
    </row>
    <row r="38839" spans="62:62" x14ac:dyDescent="0.2">
      <c r="BJ38839" s="201"/>
    </row>
    <row r="38840" spans="62:62" x14ac:dyDescent="0.2">
      <c r="BJ38840" s="201"/>
    </row>
    <row r="38841" spans="62:62" x14ac:dyDescent="0.2">
      <c r="BJ38841" s="201"/>
    </row>
    <row r="38842" spans="62:62" x14ac:dyDescent="0.2">
      <c r="BJ38842" s="201"/>
    </row>
    <row r="38843" spans="62:62" x14ac:dyDescent="0.2">
      <c r="BJ38843" s="201"/>
    </row>
    <row r="38844" spans="62:62" x14ac:dyDescent="0.2">
      <c r="BJ38844" s="201"/>
    </row>
    <row r="38845" spans="62:62" x14ac:dyDescent="0.2">
      <c r="BJ38845" s="201"/>
    </row>
    <row r="38846" spans="62:62" x14ac:dyDescent="0.2">
      <c r="BJ38846" s="201"/>
    </row>
    <row r="38847" spans="62:62" x14ac:dyDescent="0.2">
      <c r="BJ38847" s="201"/>
    </row>
    <row r="38848" spans="62:62" x14ac:dyDescent="0.2">
      <c r="BJ38848" s="201"/>
    </row>
    <row r="38849" spans="62:62" x14ac:dyDescent="0.2">
      <c r="BJ38849" s="201"/>
    </row>
    <row r="38850" spans="62:62" x14ac:dyDescent="0.2">
      <c r="BJ38850" s="201"/>
    </row>
    <row r="38851" spans="62:62" x14ac:dyDescent="0.2">
      <c r="BJ38851" s="201"/>
    </row>
    <row r="38852" spans="62:62" x14ac:dyDescent="0.2">
      <c r="BJ38852" s="201"/>
    </row>
    <row r="38853" spans="62:62" x14ac:dyDescent="0.2">
      <c r="BJ38853" s="201"/>
    </row>
    <row r="38854" spans="62:62" x14ac:dyDescent="0.2">
      <c r="BJ38854" s="201"/>
    </row>
    <row r="38855" spans="62:62" x14ac:dyDescent="0.2">
      <c r="BJ38855" s="201"/>
    </row>
    <row r="38856" spans="62:62" x14ac:dyDescent="0.2">
      <c r="BJ38856" s="201"/>
    </row>
    <row r="38857" spans="62:62" x14ac:dyDescent="0.2">
      <c r="BJ38857" s="201"/>
    </row>
    <row r="38858" spans="62:62" x14ac:dyDescent="0.2">
      <c r="BJ38858" s="201"/>
    </row>
    <row r="38859" spans="62:62" x14ac:dyDescent="0.2">
      <c r="BJ38859" s="201"/>
    </row>
    <row r="38860" spans="62:62" x14ac:dyDescent="0.2">
      <c r="BJ38860" s="201"/>
    </row>
    <row r="38861" spans="62:62" x14ac:dyDescent="0.2">
      <c r="BJ38861" s="201"/>
    </row>
    <row r="38862" spans="62:62" x14ac:dyDescent="0.2">
      <c r="BJ38862" s="201"/>
    </row>
    <row r="38863" spans="62:62" x14ac:dyDescent="0.2">
      <c r="BJ38863" s="201"/>
    </row>
    <row r="38864" spans="62:62" x14ac:dyDescent="0.2">
      <c r="BJ38864" s="201"/>
    </row>
    <row r="38865" spans="62:62" x14ac:dyDescent="0.2">
      <c r="BJ38865" s="201"/>
    </row>
    <row r="38866" spans="62:62" x14ac:dyDescent="0.2">
      <c r="BJ38866" s="201"/>
    </row>
    <row r="38867" spans="62:62" x14ac:dyDescent="0.2">
      <c r="BJ38867" s="201"/>
    </row>
    <row r="38868" spans="62:62" x14ac:dyDescent="0.2">
      <c r="BJ38868" s="201"/>
    </row>
    <row r="38869" spans="62:62" x14ac:dyDescent="0.2">
      <c r="BJ38869" s="201"/>
    </row>
    <row r="38870" spans="62:62" x14ac:dyDescent="0.2">
      <c r="BJ38870" s="201"/>
    </row>
    <row r="38871" spans="62:62" x14ac:dyDescent="0.2">
      <c r="BJ38871" s="201"/>
    </row>
    <row r="38872" spans="62:62" x14ac:dyDescent="0.2">
      <c r="BJ38872" s="201"/>
    </row>
    <row r="38873" spans="62:62" x14ac:dyDescent="0.2">
      <c r="BJ38873" s="201"/>
    </row>
    <row r="38874" spans="62:62" x14ac:dyDescent="0.2">
      <c r="BJ38874" s="201"/>
    </row>
    <row r="38875" spans="62:62" x14ac:dyDescent="0.2">
      <c r="BJ38875" s="201"/>
    </row>
    <row r="38876" spans="62:62" x14ac:dyDescent="0.2">
      <c r="BJ38876" s="201"/>
    </row>
    <row r="38877" spans="62:62" x14ac:dyDescent="0.2">
      <c r="BJ38877" s="201"/>
    </row>
    <row r="38878" spans="62:62" x14ac:dyDescent="0.2">
      <c r="BJ38878" s="201"/>
    </row>
    <row r="38879" spans="62:62" x14ac:dyDescent="0.2">
      <c r="BJ38879" s="201"/>
    </row>
    <row r="38880" spans="62:62" x14ac:dyDescent="0.2">
      <c r="BJ38880" s="201"/>
    </row>
    <row r="38881" spans="62:62" x14ac:dyDescent="0.2">
      <c r="BJ38881" s="201"/>
    </row>
    <row r="38882" spans="62:62" x14ac:dyDescent="0.2">
      <c r="BJ38882" s="201"/>
    </row>
    <row r="38883" spans="62:62" x14ac:dyDescent="0.2">
      <c r="BJ38883" s="201"/>
    </row>
    <row r="38884" spans="62:62" x14ac:dyDescent="0.2">
      <c r="BJ38884" s="201"/>
    </row>
    <row r="38885" spans="62:62" x14ac:dyDescent="0.2">
      <c r="BJ38885" s="201"/>
    </row>
    <row r="38886" spans="62:62" x14ac:dyDescent="0.2">
      <c r="BJ38886" s="201"/>
    </row>
    <row r="38887" spans="62:62" x14ac:dyDescent="0.2">
      <c r="BJ38887" s="201"/>
    </row>
    <row r="38888" spans="62:62" x14ac:dyDescent="0.2">
      <c r="BJ38888" s="201"/>
    </row>
    <row r="38889" spans="62:62" x14ac:dyDescent="0.2">
      <c r="BJ38889" s="201"/>
    </row>
    <row r="38890" spans="62:62" x14ac:dyDescent="0.2">
      <c r="BJ38890" s="201"/>
    </row>
    <row r="38891" spans="62:62" x14ac:dyDescent="0.2">
      <c r="BJ38891" s="201"/>
    </row>
    <row r="38892" spans="62:62" x14ac:dyDescent="0.2">
      <c r="BJ38892" s="201"/>
    </row>
    <row r="38893" spans="62:62" x14ac:dyDescent="0.2">
      <c r="BJ38893" s="201"/>
    </row>
    <row r="38894" spans="62:62" x14ac:dyDescent="0.2">
      <c r="BJ38894" s="201"/>
    </row>
    <row r="38895" spans="62:62" x14ac:dyDescent="0.2">
      <c r="BJ38895" s="201"/>
    </row>
    <row r="38896" spans="62:62" x14ac:dyDescent="0.2">
      <c r="BJ38896" s="201"/>
    </row>
    <row r="38897" spans="62:62" x14ac:dyDescent="0.2">
      <c r="BJ38897" s="201"/>
    </row>
    <row r="38898" spans="62:62" x14ac:dyDescent="0.2">
      <c r="BJ38898" s="201"/>
    </row>
    <row r="38899" spans="62:62" x14ac:dyDescent="0.2">
      <c r="BJ38899" s="201"/>
    </row>
    <row r="38900" spans="62:62" x14ac:dyDescent="0.2">
      <c r="BJ38900" s="201"/>
    </row>
    <row r="38901" spans="62:62" x14ac:dyDescent="0.2">
      <c r="BJ38901" s="201"/>
    </row>
    <row r="38902" spans="62:62" x14ac:dyDescent="0.2">
      <c r="BJ38902" s="201"/>
    </row>
    <row r="38903" spans="62:62" x14ac:dyDescent="0.2">
      <c r="BJ38903" s="201"/>
    </row>
    <row r="38904" spans="62:62" x14ac:dyDescent="0.2">
      <c r="BJ38904" s="201"/>
    </row>
    <row r="38905" spans="62:62" x14ac:dyDescent="0.2">
      <c r="BJ38905" s="201"/>
    </row>
    <row r="38906" spans="62:62" x14ac:dyDescent="0.2">
      <c r="BJ38906" s="201"/>
    </row>
    <row r="38907" spans="62:62" x14ac:dyDescent="0.2">
      <c r="BJ38907" s="201"/>
    </row>
    <row r="38908" spans="62:62" x14ac:dyDescent="0.2">
      <c r="BJ38908" s="201"/>
    </row>
    <row r="38909" spans="62:62" x14ac:dyDescent="0.2">
      <c r="BJ38909" s="201"/>
    </row>
    <row r="38910" spans="62:62" x14ac:dyDescent="0.2">
      <c r="BJ38910" s="201"/>
    </row>
    <row r="38911" spans="62:62" x14ac:dyDescent="0.2">
      <c r="BJ38911" s="201"/>
    </row>
    <row r="38912" spans="62:62" x14ac:dyDescent="0.2">
      <c r="BJ38912" s="201"/>
    </row>
    <row r="38913" spans="62:62" x14ac:dyDescent="0.2">
      <c r="BJ38913" s="201"/>
    </row>
    <row r="38914" spans="62:62" x14ac:dyDescent="0.2">
      <c r="BJ38914" s="201"/>
    </row>
    <row r="38915" spans="62:62" x14ac:dyDescent="0.2">
      <c r="BJ38915" s="201"/>
    </row>
    <row r="38916" spans="62:62" x14ac:dyDescent="0.2">
      <c r="BJ38916" s="201"/>
    </row>
    <row r="38917" spans="62:62" x14ac:dyDescent="0.2">
      <c r="BJ38917" s="201"/>
    </row>
    <row r="38918" spans="62:62" x14ac:dyDescent="0.2">
      <c r="BJ38918" s="201"/>
    </row>
    <row r="38919" spans="62:62" x14ac:dyDescent="0.2">
      <c r="BJ38919" s="201"/>
    </row>
    <row r="38920" spans="62:62" x14ac:dyDescent="0.2">
      <c r="BJ38920" s="201"/>
    </row>
    <row r="38921" spans="62:62" x14ac:dyDescent="0.2">
      <c r="BJ38921" s="201"/>
    </row>
    <row r="38922" spans="62:62" x14ac:dyDescent="0.2">
      <c r="BJ38922" s="201"/>
    </row>
    <row r="38923" spans="62:62" x14ac:dyDescent="0.2">
      <c r="BJ38923" s="201"/>
    </row>
    <row r="38924" spans="62:62" x14ac:dyDescent="0.2">
      <c r="BJ38924" s="201"/>
    </row>
    <row r="38925" spans="62:62" x14ac:dyDescent="0.2">
      <c r="BJ38925" s="201"/>
    </row>
    <row r="38926" spans="62:62" x14ac:dyDescent="0.2">
      <c r="BJ38926" s="201"/>
    </row>
    <row r="38927" spans="62:62" x14ac:dyDescent="0.2">
      <c r="BJ38927" s="201"/>
    </row>
    <row r="38928" spans="62:62" x14ac:dyDescent="0.2">
      <c r="BJ38928" s="201"/>
    </row>
    <row r="38929" spans="62:62" x14ac:dyDescent="0.2">
      <c r="BJ38929" s="201"/>
    </row>
    <row r="38930" spans="62:62" x14ac:dyDescent="0.2">
      <c r="BJ38930" s="201"/>
    </row>
    <row r="38931" spans="62:62" x14ac:dyDescent="0.2">
      <c r="BJ38931" s="201"/>
    </row>
    <row r="38932" spans="62:62" x14ac:dyDescent="0.2">
      <c r="BJ38932" s="201"/>
    </row>
    <row r="38933" spans="62:62" x14ac:dyDescent="0.2">
      <c r="BJ38933" s="201"/>
    </row>
    <row r="38934" spans="62:62" x14ac:dyDescent="0.2">
      <c r="BJ38934" s="201"/>
    </row>
    <row r="38935" spans="62:62" x14ac:dyDescent="0.2">
      <c r="BJ38935" s="201"/>
    </row>
    <row r="38936" spans="62:62" x14ac:dyDescent="0.2">
      <c r="BJ38936" s="201"/>
    </row>
    <row r="38937" spans="62:62" x14ac:dyDescent="0.2">
      <c r="BJ38937" s="201"/>
    </row>
    <row r="38938" spans="62:62" x14ac:dyDescent="0.2">
      <c r="BJ38938" s="201"/>
    </row>
    <row r="38939" spans="62:62" x14ac:dyDescent="0.2">
      <c r="BJ38939" s="201"/>
    </row>
    <row r="38940" spans="62:62" x14ac:dyDescent="0.2">
      <c r="BJ38940" s="201"/>
    </row>
    <row r="38941" spans="62:62" x14ac:dyDescent="0.2">
      <c r="BJ38941" s="201"/>
    </row>
    <row r="38942" spans="62:62" x14ac:dyDescent="0.2">
      <c r="BJ38942" s="201"/>
    </row>
    <row r="38943" spans="62:62" x14ac:dyDescent="0.2">
      <c r="BJ38943" s="201"/>
    </row>
    <row r="38944" spans="62:62" x14ac:dyDescent="0.2">
      <c r="BJ38944" s="201"/>
    </row>
    <row r="38945" spans="62:62" x14ac:dyDescent="0.2">
      <c r="BJ38945" s="201"/>
    </row>
    <row r="38946" spans="62:62" x14ac:dyDescent="0.2">
      <c r="BJ38946" s="201"/>
    </row>
    <row r="38947" spans="62:62" x14ac:dyDescent="0.2">
      <c r="BJ38947" s="201"/>
    </row>
    <row r="38948" spans="62:62" x14ac:dyDescent="0.2">
      <c r="BJ38948" s="201"/>
    </row>
    <row r="38949" spans="62:62" x14ac:dyDescent="0.2">
      <c r="BJ38949" s="201"/>
    </row>
    <row r="38950" spans="62:62" x14ac:dyDescent="0.2">
      <c r="BJ38950" s="201"/>
    </row>
    <row r="38951" spans="62:62" x14ac:dyDescent="0.2">
      <c r="BJ38951" s="201"/>
    </row>
    <row r="38952" spans="62:62" x14ac:dyDescent="0.2">
      <c r="BJ38952" s="201"/>
    </row>
    <row r="38953" spans="62:62" x14ac:dyDescent="0.2">
      <c r="BJ38953" s="201"/>
    </row>
    <row r="38954" spans="62:62" x14ac:dyDescent="0.2">
      <c r="BJ38954" s="201"/>
    </row>
    <row r="38955" spans="62:62" x14ac:dyDescent="0.2">
      <c r="BJ38955" s="201"/>
    </row>
    <row r="38956" spans="62:62" x14ac:dyDescent="0.2">
      <c r="BJ38956" s="201"/>
    </row>
    <row r="38957" spans="62:62" x14ac:dyDescent="0.2">
      <c r="BJ38957" s="201"/>
    </row>
    <row r="38958" spans="62:62" x14ac:dyDescent="0.2">
      <c r="BJ38958" s="201"/>
    </row>
    <row r="38959" spans="62:62" x14ac:dyDescent="0.2">
      <c r="BJ38959" s="201"/>
    </row>
    <row r="38960" spans="62:62" x14ac:dyDescent="0.2">
      <c r="BJ38960" s="201"/>
    </row>
    <row r="38961" spans="62:62" x14ac:dyDescent="0.2">
      <c r="BJ38961" s="201"/>
    </row>
    <row r="38962" spans="62:62" x14ac:dyDescent="0.2">
      <c r="BJ38962" s="201"/>
    </row>
    <row r="38963" spans="62:62" x14ac:dyDescent="0.2">
      <c r="BJ38963" s="201"/>
    </row>
    <row r="38964" spans="62:62" x14ac:dyDescent="0.2">
      <c r="BJ38964" s="201"/>
    </row>
    <row r="38965" spans="62:62" x14ac:dyDescent="0.2">
      <c r="BJ38965" s="201"/>
    </row>
    <row r="38966" spans="62:62" x14ac:dyDescent="0.2">
      <c r="BJ38966" s="201"/>
    </row>
    <row r="38967" spans="62:62" x14ac:dyDescent="0.2">
      <c r="BJ38967" s="201"/>
    </row>
    <row r="38968" spans="62:62" x14ac:dyDescent="0.2">
      <c r="BJ38968" s="201"/>
    </row>
    <row r="38969" spans="62:62" x14ac:dyDescent="0.2">
      <c r="BJ38969" s="201"/>
    </row>
    <row r="38970" spans="62:62" x14ac:dyDescent="0.2">
      <c r="BJ38970" s="201"/>
    </row>
    <row r="38971" spans="62:62" x14ac:dyDescent="0.2">
      <c r="BJ38971" s="201"/>
    </row>
    <row r="38972" spans="62:62" x14ac:dyDescent="0.2">
      <c r="BJ38972" s="201"/>
    </row>
    <row r="38973" spans="62:62" x14ac:dyDescent="0.2">
      <c r="BJ38973" s="201"/>
    </row>
    <row r="38974" spans="62:62" x14ac:dyDescent="0.2">
      <c r="BJ38974" s="201"/>
    </row>
    <row r="38975" spans="62:62" x14ac:dyDescent="0.2">
      <c r="BJ38975" s="201"/>
    </row>
    <row r="38976" spans="62:62" x14ac:dyDescent="0.2">
      <c r="BJ38976" s="201"/>
    </row>
    <row r="38977" spans="62:62" x14ac:dyDescent="0.2">
      <c r="BJ38977" s="201"/>
    </row>
    <row r="38978" spans="62:62" x14ac:dyDescent="0.2">
      <c r="BJ38978" s="201"/>
    </row>
    <row r="38979" spans="62:62" x14ac:dyDescent="0.2">
      <c r="BJ38979" s="201"/>
    </row>
    <row r="38980" spans="62:62" x14ac:dyDescent="0.2">
      <c r="BJ38980" s="201"/>
    </row>
    <row r="38981" spans="62:62" x14ac:dyDescent="0.2">
      <c r="BJ38981" s="201"/>
    </row>
    <row r="38982" spans="62:62" x14ac:dyDescent="0.2">
      <c r="BJ38982" s="201"/>
    </row>
    <row r="38983" spans="62:62" x14ac:dyDescent="0.2">
      <c r="BJ38983" s="201"/>
    </row>
    <row r="38984" spans="62:62" x14ac:dyDescent="0.2">
      <c r="BJ38984" s="201"/>
    </row>
    <row r="38985" spans="62:62" x14ac:dyDescent="0.2">
      <c r="BJ38985" s="201"/>
    </row>
    <row r="38986" spans="62:62" x14ac:dyDescent="0.2">
      <c r="BJ38986" s="201"/>
    </row>
    <row r="38987" spans="62:62" x14ac:dyDescent="0.2">
      <c r="BJ38987" s="201"/>
    </row>
    <row r="38988" spans="62:62" x14ac:dyDescent="0.2">
      <c r="BJ38988" s="201"/>
    </row>
    <row r="38989" spans="62:62" x14ac:dyDescent="0.2">
      <c r="BJ38989" s="201"/>
    </row>
    <row r="38990" spans="62:62" x14ac:dyDescent="0.2">
      <c r="BJ38990" s="201"/>
    </row>
    <row r="38991" spans="62:62" x14ac:dyDescent="0.2">
      <c r="BJ38991" s="201"/>
    </row>
    <row r="38992" spans="62:62" x14ac:dyDescent="0.2">
      <c r="BJ38992" s="201"/>
    </row>
    <row r="38993" spans="62:62" x14ac:dyDescent="0.2">
      <c r="BJ38993" s="201"/>
    </row>
    <row r="38994" spans="62:62" x14ac:dyDescent="0.2">
      <c r="BJ38994" s="201"/>
    </row>
    <row r="38995" spans="62:62" x14ac:dyDescent="0.2">
      <c r="BJ38995" s="201"/>
    </row>
    <row r="38996" spans="62:62" x14ac:dyDescent="0.2">
      <c r="BJ38996" s="201"/>
    </row>
    <row r="38997" spans="62:62" x14ac:dyDescent="0.2">
      <c r="BJ38997" s="201"/>
    </row>
    <row r="38998" spans="62:62" x14ac:dyDescent="0.2">
      <c r="BJ38998" s="201"/>
    </row>
    <row r="38999" spans="62:62" x14ac:dyDescent="0.2">
      <c r="BJ38999" s="201"/>
    </row>
    <row r="39000" spans="62:62" x14ac:dyDescent="0.2">
      <c r="BJ39000" s="201"/>
    </row>
    <row r="39001" spans="62:62" x14ac:dyDescent="0.2">
      <c r="BJ39001" s="201"/>
    </row>
    <row r="39002" spans="62:62" x14ac:dyDescent="0.2">
      <c r="BJ39002" s="201"/>
    </row>
    <row r="39003" spans="62:62" x14ac:dyDescent="0.2">
      <c r="BJ39003" s="201"/>
    </row>
    <row r="39004" spans="62:62" x14ac:dyDescent="0.2">
      <c r="BJ39004" s="201"/>
    </row>
    <row r="39005" spans="62:62" x14ac:dyDescent="0.2">
      <c r="BJ39005" s="201"/>
    </row>
    <row r="39006" spans="62:62" x14ac:dyDescent="0.2">
      <c r="BJ39006" s="201"/>
    </row>
    <row r="39007" spans="62:62" x14ac:dyDescent="0.2">
      <c r="BJ39007" s="201"/>
    </row>
    <row r="39008" spans="62:62" x14ac:dyDescent="0.2">
      <c r="BJ39008" s="201"/>
    </row>
    <row r="39009" spans="62:62" x14ac:dyDescent="0.2">
      <c r="BJ39009" s="201"/>
    </row>
    <row r="39010" spans="62:62" x14ac:dyDescent="0.2">
      <c r="BJ39010" s="201"/>
    </row>
    <row r="39011" spans="62:62" x14ac:dyDescent="0.2">
      <c r="BJ39011" s="201"/>
    </row>
    <row r="39012" spans="62:62" x14ac:dyDescent="0.2">
      <c r="BJ39012" s="201"/>
    </row>
    <row r="39013" spans="62:62" x14ac:dyDescent="0.2">
      <c r="BJ39013" s="201"/>
    </row>
    <row r="39014" spans="62:62" x14ac:dyDescent="0.2">
      <c r="BJ39014" s="201"/>
    </row>
    <row r="39015" spans="62:62" x14ac:dyDescent="0.2">
      <c r="BJ39015" s="201"/>
    </row>
    <row r="39016" spans="62:62" x14ac:dyDescent="0.2">
      <c r="BJ39016" s="201"/>
    </row>
    <row r="39017" spans="62:62" x14ac:dyDescent="0.2">
      <c r="BJ39017" s="201"/>
    </row>
    <row r="39018" spans="62:62" x14ac:dyDescent="0.2">
      <c r="BJ39018" s="201"/>
    </row>
    <row r="39019" spans="62:62" x14ac:dyDescent="0.2">
      <c r="BJ39019" s="201"/>
    </row>
    <row r="39020" spans="62:62" x14ac:dyDescent="0.2">
      <c r="BJ39020" s="201"/>
    </row>
    <row r="39021" spans="62:62" x14ac:dyDescent="0.2">
      <c r="BJ39021" s="201"/>
    </row>
    <row r="39022" spans="62:62" x14ac:dyDescent="0.2">
      <c r="BJ39022" s="201"/>
    </row>
    <row r="39023" spans="62:62" x14ac:dyDescent="0.2">
      <c r="BJ39023" s="201"/>
    </row>
    <row r="39024" spans="62:62" x14ac:dyDescent="0.2">
      <c r="BJ39024" s="201"/>
    </row>
    <row r="39025" spans="62:62" x14ac:dyDescent="0.2">
      <c r="BJ39025" s="201"/>
    </row>
    <row r="39026" spans="62:62" x14ac:dyDescent="0.2">
      <c r="BJ39026" s="201"/>
    </row>
    <row r="39027" spans="62:62" x14ac:dyDescent="0.2">
      <c r="BJ39027" s="201"/>
    </row>
    <row r="39028" spans="62:62" x14ac:dyDescent="0.2">
      <c r="BJ39028" s="201"/>
    </row>
    <row r="39029" spans="62:62" x14ac:dyDescent="0.2">
      <c r="BJ39029" s="201"/>
    </row>
    <row r="39030" spans="62:62" x14ac:dyDescent="0.2">
      <c r="BJ39030" s="201"/>
    </row>
    <row r="39031" spans="62:62" x14ac:dyDescent="0.2">
      <c r="BJ39031" s="201"/>
    </row>
    <row r="39032" spans="62:62" x14ac:dyDescent="0.2">
      <c r="BJ39032" s="201"/>
    </row>
    <row r="39033" spans="62:62" x14ac:dyDescent="0.2">
      <c r="BJ39033" s="201"/>
    </row>
    <row r="39034" spans="62:62" x14ac:dyDescent="0.2">
      <c r="BJ39034" s="201"/>
    </row>
    <row r="39035" spans="62:62" x14ac:dyDescent="0.2">
      <c r="BJ39035" s="201"/>
    </row>
    <row r="39036" spans="62:62" x14ac:dyDescent="0.2">
      <c r="BJ39036" s="201"/>
    </row>
    <row r="39037" spans="62:62" x14ac:dyDescent="0.2">
      <c r="BJ39037" s="201"/>
    </row>
    <row r="39038" spans="62:62" x14ac:dyDescent="0.2">
      <c r="BJ39038" s="201"/>
    </row>
    <row r="39039" spans="62:62" x14ac:dyDescent="0.2">
      <c r="BJ39039" s="201"/>
    </row>
    <row r="39040" spans="62:62" x14ac:dyDescent="0.2">
      <c r="BJ39040" s="201"/>
    </row>
    <row r="39041" spans="62:62" x14ac:dyDescent="0.2">
      <c r="BJ39041" s="201"/>
    </row>
    <row r="39042" spans="62:62" x14ac:dyDescent="0.2">
      <c r="BJ39042" s="201"/>
    </row>
    <row r="39043" spans="62:62" x14ac:dyDescent="0.2">
      <c r="BJ39043" s="201"/>
    </row>
    <row r="39044" spans="62:62" x14ac:dyDescent="0.2">
      <c r="BJ39044" s="201"/>
    </row>
    <row r="39045" spans="62:62" x14ac:dyDescent="0.2">
      <c r="BJ39045" s="201"/>
    </row>
    <row r="39046" spans="62:62" x14ac:dyDescent="0.2">
      <c r="BJ39046" s="201"/>
    </row>
    <row r="39047" spans="62:62" x14ac:dyDescent="0.2">
      <c r="BJ39047" s="201"/>
    </row>
    <row r="39048" spans="62:62" x14ac:dyDescent="0.2">
      <c r="BJ39048" s="201"/>
    </row>
    <row r="39049" spans="62:62" x14ac:dyDescent="0.2">
      <c r="BJ39049" s="201"/>
    </row>
    <row r="39050" spans="62:62" x14ac:dyDescent="0.2">
      <c r="BJ39050" s="201"/>
    </row>
    <row r="39051" spans="62:62" x14ac:dyDescent="0.2">
      <c r="BJ39051" s="201"/>
    </row>
    <row r="39052" spans="62:62" x14ac:dyDescent="0.2">
      <c r="BJ39052" s="201"/>
    </row>
    <row r="39053" spans="62:62" x14ac:dyDescent="0.2">
      <c r="BJ39053" s="201"/>
    </row>
    <row r="39054" spans="62:62" x14ac:dyDescent="0.2">
      <c r="BJ39054" s="201"/>
    </row>
    <row r="39055" spans="62:62" x14ac:dyDescent="0.2">
      <c r="BJ39055" s="201"/>
    </row>
    <row r="39056" spans="62:62" x14ac:dyDescent="0.2">
      <c r="BJ39056" s="201"/>
    </row>
    <row r="39057" spans="62:62" x14ac:dyDescent="0.2">
      <c r="BJ39057" s="201"/>
    </row>
    <row r="39058" spans="62:62" x14ac:dyDescent="0.2">
      <c r="BJ39058" s="201"/>
    </row>
    <row r="39059" spans="62:62" x14ac:dyDescent="0.2">
      <c r="BJ39059" s="201"/>
    </row>
    <row r="39060" spans="62:62" x14ac:dyDescent="0.2">
      <c r="BJ39060" s="201"/>
    </row>
    <row r="39061" spans="62:62" x14ac:dyDescent="0.2">
      <c r="BJ39061" s="201"/>
    </row>
    <row r="39062" spans="62:62" x14ac:dyDescent="0.2">
      <c r="BJ39062" s="201"/>
    </row>
    <row r="39063" spans="62:62" x14ac:dyDescent="0.2">
      <c r="BJ39063" s="201"/>
    </row>
    <row r="39064" spans="62:62" x14ac:dyDescent="0.2">
      <c r="BJ39064" s="201"/>
    </row>
    <row r="39065" spans="62:62" x14ac:dyDescent="0.2">
      <c r="BJ39065" s="201"/>
    </row>
    <row r="39066" spans="62:62" x14ac:dyDescent="0.2">
      <c r="BJ39066" s="201"/>
    </row>
    <row r="39067" spans="62:62" x14ac:dyDescent="0.2">
      <c r="BJ39067" s="201"/>
    </row>
    <row r="39068" spans="62:62" x14ac:dyDescent="0.2">
      <c r="BJ39068" s="201"/>
    </row>
    <row r="39069" spans="62:62" x14ac:dyDescent="0.2">
      <c r="BJ39069" s="201"/>
    </row>
    <row r="39070" spans="62:62" x14ac:dyDescent="0.2">
      <c r="BJ39070" s="201"/>
    </row>
    <row r="39071" spans="62:62" x14ac:dyDescent="0.2">
      <c r="BJ39071" s="201"/>
    </row>
    <row r="39072" spans="62:62" x14ac:dyDescent="0.2">
      <c r="BJ39072" s="201"/>
    </row>
    <row r="39073" spans="62:62" x14ac:dyDescent="0.2">
      <c r="BJ39073" s="201"/>
    </row>
    <row r="39074" spans="62:62" x14ac:dyDescent="0.2">
      <c r="BJ39074" s="201"/>
    </row>
    <row r="39075" spans="62:62" x14ac:dyDescent="0.2">
      <c r="BJ39075" s="201"/>
    </row>
    <row r="39076" spans="62:62" x14ac:dyDescent="0.2">
      <c r="BJ39076" s="201"/>
    </row>
    <row r="39077" spans="62:62" x14ac:dyDescent="0.2">
      <c r="BJ39077" s="201"/>
    </row>
    <row r="39078" spans="62:62" x14ac:dyDescent="0.2">
      <c r="BJ39078" s="201"/>
    </row>
    <row r="39079" spans="62:62" x14ac:dyDescent="0.2">
      <c r="BJ39079" s="201"/>
    </row>
    <row r="39080" spans="62:62" x14ac:dyDescent="0.2">
      <c r="BJ39080" s="201"/>
    </row>
    <row r="39081" spans="62:62" x14ac:dyDescent="0.2">
      <c r="BJ39081" s="201"/>
    </row>
    <row r="39082" spans="62:62" x14ac:dyDescent="0.2">
      <c r="BJ39082" s="201"/>
    </row>
    <row r="39083" spans="62:62" x14ac:dyDescent="0.2">
      <c r="BJ39083" s="201"/>
    </row>
    <row r="39084" spans="62:62" x14ac:dyDescent="0.2">
      <c r="BJ39084" s="201"/>
    </row>
    <row r="39085" spans="62:62" x14ac:dyDescent="0.2">
      <c r="BJ39085" s="201"/>
    </row>
    <row r="39086" spans="62:62" x14ac:dyDescent="0.2">
      <c r="BJ39086" s="201"/>
    </row>
    <row r="39087" spans="62:62" x14ac:dyDescent="0.2">
      <c r="BJ39087" s="201"/>
    </row>
    <row r="39088" spans="62:62" x14ac:dyDescent="0.2">
      <c r="BJ39088" s="201"/>
    </row>
    <row r="39089" spans="62:62" x14ac:dyDescent="0.2">
      <c r="BJ39089" s="201"/>
    </row>
    <row r="39090" spans="62:62" x14ac:dyDescent="0.2">
      <c r="BJ39090" s="201"/>
    </row>
    <row r="39091" spans="62:62" x14ac:dyDescent="0.2">
      <c r="BJ39091" s="201"/>
    </row>
    <row r="39092" spans="62:62" x14ac:dyDescent="0.2">
      <c r="BJ39092" s="201"/>
    </row>
    <row r="39093" spans="62:62" x14ac:dyDescent="0.2">
      <c r="BJ39093" s="201"/>
    </row>
    <row r="39094" spans="62:62" x14ac:dyDescent="0.2">
      <c r="BJ39094" s="201"/>
    </row>
    <row r="39095" spans="62:62" x14ac:dyDescent="0.2">
      <c r="BJ39095" s="201"/>
    </row>
    <row r="39096" spans="62:62" x14ac:dyDescent="0.2">
      <c r="BJ39096" s="201"/>
    </row>
    <row r="39097" spans="62:62" x14ac:dyDescent="0.2">
      <c r="BJ39097" s="201"/>
    </row>
    <row r="39098" spans="62:62" x14ac:dyDescent="0.2">
      <c r="BJ39098" s="201"/>
    </row>
    <row r="39099" spans="62:62" x14ac:dyDescent="0.2">
      <c r="BJ39099" s="201"/>
    </row>
    <row r="39100" spans="62:62" x14ac:dyDescent="0.2">
      <c r="BJ39100" s="201"/>
    </row>
    <row r="39101" spans="62:62" x14ac:dyDescent="0.2">
      <c r="BJ39101" s="201"/>
    </row>
    <row r="39102" spans="62:62" x14ac:dyDescent="0.2">
      <c r="BJ39102" s="201"/>
    </row>
    <row r="39103" spans="62:62" x14ac:dyDescent="0.2">
      <c r="BJ39103" s="201"/>
    </row>
    <row r="39104" spans="62:62" x14ac:dyDescent="0.2">
      <c r="BJ39104" s="201"/>
    </row>
    <row r="39105" spans="62:62" x14ac:dyDescent="0.2">
      <c r="BJ39105" s="201"/>
    </row>
    <row r="39106" spans="62:62" x14ac:dyDescent="0.2">
      <c r="BJ39106" s="201"/>
    </row>
    <row r="39107" spans="62:62" x14ac:dyDescent="0.2">
      <c r="BJ39107" s="201"/>
    </row>
    <row r="39108" spans="62:62" x14ac:dyDescent="0.2">
      <c r="BJ39108" s="201"/>
    </row>
    <row r="39109" spans="62:62" x14ac:dyDescent="0.2">
      <c r="BJ39109" s="201"/>
    </row>
    <row r="39110" spans="62:62" x14ac:dyDescent="0.2">
      <c r="BJ39110" s="201"/>
    </row>
    <row r="39111" spans="62:62" x14ac:dyDescent="0.2">
      <c r="BJ39111" s="201"/>
    </row>
    <row r="39112" spans="62:62" x14ac:dyDescent="0.2">
      <c r="BJ39112" s="201"/>
    </row>
    <row r="39113" spans="62:62" x14ac:dyDescent="0.2">
      <c r="BJ39113" s="201"/>
    </row>
    <row r="39114" spans="62:62" x14ac:dyDescent="0.2">
      <c r="BJ39114" s="201"/>
    </row>
    <row r="39115" spans="62:62" x14ac:dyDescent="0.2">
      <c r="BJ39115" s="201"/>
    </row>
    <row r="39116" spans="62:62" x14ac:dyDescent="0.2">
      <c r="BJ39116" s="201"/>
    </row>
    <row r="39117" spans="62:62" x14ac:dyDescent="0.2">
      <c r="BJ39117" s="201"/>
    </row>
    <row r="39118" spans="62:62" x14ac:dyDescent="0.2">
      <c r="BJ39118" s="201"/>
    </row>
    <row r="39119" spans="62:62" x14ac:dyDescent="0.2">
      <c r="BJ39119" s="201"/>
    </row>
    <row r="39120" spans="62:62" x14ac:dyDescent="0.2">
      <c r="BJ39120" s="201"/>
    </row>
    <row r="39121" spans="62:62" x14ac:dyDescent="0.2">
      <c r="BJ39121" s="201"/>
    </row>
    <row r="39122" spans="62:62" x14ac:dyDescent="0.2">
      <c r="BJ39122" s="201"/>
    </row>
    <row r="39123" spans="62:62" x14ac:dyDescent="0.2">
      <c r="BJ39123" s="201"/>
    </row>
    <row r="39124" spans="62:62" x14ac:dyDescent="0.2">
      <c r="BJ39124" s="201"/>
    </row>
    <row r="39125" spans="62:62" x14ac:dyDescent="0.2">
      <c r="BJ39125" s="201"/>
    </row>
    <row r="39126" spans="62:62" x14ac:dyDescent="0.2">
      <c r="BJ39126" s="201"/>
    </row>
    <row r="39127" spans="62:62" x14ac:dyDescent="0.2">
      <c r="BJ39127" s="201"/>
    </row>
    <row r="39128" spans="62:62" x14ac:dyDescent="0.2">
      <c r="BJ39128" s="201"/>
    </row>
    <row r="39129" spans="62:62" x14ac:dyDescent="0.2">
      <c r="BJ39129" s="201"/>
    </row>
    <row r="39130" spans="62:62" x14ac:dyDescent="0.2">
      <c r="BJ39130" s="201"/>
    </row>
    <row r="39131" spans="62:62" x14ac:dyDescent="0.2">
      <c r="BJ39131" s="201"/>
    </row>
    <row r="39132" spans="62:62" x14ac:dyDescent="0.2">
      <c r="BJ39132" s="201"/>
    </row>
    <row r="39133" spans="62:62" x14ac:dyDescent="0.2">
      <c r="BJ39133" s="201"/>
    </row>
    <row r="39134" spans="62:62" x14ac:dyDescent="0.2">
      <c r="BJ39134" s="201"/>
    </row>
    <row r="39135" spans="62:62" x14ac:dyDescent="0.2">
      <c r="BJ39135" s="201"/>
    </row>
    <row r="39136" spans="62:62" x14ac:dyDescent="0.2">
      <c r="BJ39136" s="201"/>
    </row>
    <row r="39137" spans="62:62" x14ac:dyDescent="0.2">
      <c r="BJ39137" s="201"/>
    </row>
    <row r="39138" spans="62:62" x14ac:dyDescent="0.2">
      <c r="BJ39138" s="201"/>
    </row>
    <row r="39139" spans="62:62" x14ac:dyDescent="0.2">
      <c r="BJ39139" s="201"/>
    </row>
    <row r="39140" spans="62:62" x14ac:dyDescent="0.2">
      <c r="BJ39140" s="201"/>
    </row>
    <row r="39141" spans="62:62" x14ac:dyDescent="0.2">
      <c r="BJ39141" s="201"/>
    </row>
    <row r="39142" spans="62:62" x14ac:dyDescent="0.2">
      <c r="BJ39142" s="201"/>
    </row>
    <row r="39143" spans="62:62" x14ac:dyDescent="0.2">
      <c r="BJ39143" s="201"/>
    </row>
    <row r="39144" spans="62:62" x14ac:dyDescent="0.2">
      <c r="BJ39144" s="201"/>
    </row>
    <row r="39145" spans="62:62" x14ac:dyDescent="0.2">
      <c r="BJ39145" s="201"/>
    </row>
    <row r="39146" spans="62:62" x14ac:dyDescent="0.2">
      <c r="BJ39146" s="201"/>
    </row>
    <row r="39147" spans="62:62" x14ac:dyDescent="0.2">
      <c r="BJ39147" s="201"/>
    </row>
    <row r="39148" spans="62:62" x14ac:dyDescent="0.2">
      <c r="BJ39148" s="201"/>
    </row>
    <row r="39149" spans="62:62" x14ac:dyDescent="0.2">
      <c r="BJ39149" s="201"/>
    </row>
    <row r="39150" spans="62:62" x14ac:dyDescent="0.2">
      <c r="BJ39150" s="201"/>
    </row>
    <row r="39151" spans="62:62" x14ac:dyDescent="0.2">
      <c r="BJ39151" s="201"/>
    </row>
    <row r="39152" spans="62:62" x14ac:dyDescent="0.2">
      <c r="BJ39152" s="201"/>
    </row>
    <row r="39153" spans="62:62" x14ac:dyDescent="0.2">
      <c r="BJ39153" s="201"/>
    </row>
    <row r="39154" spans="62:62" x14ac:dyDescent="0.2">
      <c r="BJ39154" s="201"/>
    </row>
    <row r="39155" spans="62:62" x14ac:dyDescent="0.2">
      <c r="BJ39155" s="201"/>
    </row>
    <row r="39156" spans="62:62" x14ac:dyDescent="0.2">
      <c r="BJ39156" s="201"/>
    </row>
    <row r="39157" spans="62:62" x14ac:dyDescent="0.2">
      <c r="BJ39157" s="201"/>
    </row>
    <row r="39158" spans="62:62" x14ac:dyDescent="0.2">
      <c r="BJ39158" s="201"/>
    </row>
    <row r="39159" spans="62:62" x14ac:dyDescent="0.2">
      <c r="BJ39159" s="201"/>
    </row>
    <row r="39160" spans="62:62" x14ac:dyDescent="0.2">
      <c r="BJ39160" s="201"/>
    </row>
    <row r="39161" spans="62:62" x14ac:dyDescent="0.2">
      <c r="BJ39161" s="201"/>
    </row>
    <row r="39162" spans="62:62" x14ac:dyDescent="0.2">
      <c r="BJ39162" s="201"/>
    </row>
    <row r="39163" spans="62:62" x14ac:dyDescent="0.2">
      <c r="BJ39163" s="201"/>
    </row>
    <row r="39164" spans="62:62" x14ac:dyDescent="0.2">
      <c r="BJ39164" s="201"/>
    </row>
    <row r="39165" spans="62:62" x14ac:dyDescent="0.2">
      <c r="BJ39165" s="201"/>
    </row>
    <row r="39166" spans="62:62" x14ac:dyDescent="0.2">
      <c r="BJ39166" s="201"/>
    </row>
    <row r="39167" spans="62:62" x14ac:dyDescent="0.2">
      <c r="BJ39167" s="201"/>
    </row>
    <row r="39168" spans="62:62" x14ac:dyDescent="0.2">
      <c r="BJ39168" s="201"/>
    </row>
    <row r="39169" spans="62:62" x14ac:dyDescent="0.2">
      <c r="BJ39169" s="201"/>
    </row>
    <row r="39170" spans="62:62" x14ac:dyDescent="0.2">
      <c r="BJ39170" s="201"/>
    </row>
    <row r="39171" spans="62:62" x14ac:dyDescent="0.2">
      <c r="BJ39171" s="201"/>
    </row>
    <row r="39172" spans="62:62" x14ac:dyDescent="0.2">
      <c r="BJ39172" s="201"/>
    </row>
    <row r="39173" spans="62:62" x14ac:dyDescent="0.2">
      <c r="BJ39173" s="201"/>
    </row>
    <row r="39174" spans="62:62" x14ac:dyDescent="0.2">
      <c r="BJ39174" s="201"/>
    </row>
    <row r="39175" spans="62:62" x14ac:dyDescent="0.2">
      <c r="BJ39175" s="201"/>
    </row>
    <row r="39176" spans="62:62" x14ac:dyDescent="0.2">
      <c r="BJ39176" s="201"/>
    </row>
    <row r="39177" spans="62:62" x14ac:dyDescent="0.2">
      <c r="BJ39177" s="201"/>
    </row>
    <row r="39178" spans="62:62" x14ac:dyDescent="0.2">
      <c r="BJ39178" s="201"/>
    </row>
    <row r="39179" spans="62:62" x14ac:dyDescent="0.2">
      <c r="BJ39179" s="201"/>
    </row>
    <row r="39180" spans="62:62" x14ac:dyDescent="0.2">
      <c r="BJ39180" s="201"/>
    </row>
    <row r="39181" spans="62:62" x14ac:dyDescent="0.2">
      <c r="BJ39181" s="201"/>
    </row>
    <row r="39182" spans="62:62" x14ac:dyDescent="0.2">
      <c r="BJ39182" s="201"/>
    </row>
    <row r="39183" spans="62:62" x14ac:dyDescent="0.2">
      <c r="BJ39183" s="201"/>
    </row>
    <row r="39184" spans="62:62" x14ac:dyDescent="0.2">
      <c r="BJ39184" s="201"/>
    </row>
    <row r="39185" spans="62:62" x14ac:dyDescent="0.2">
      <c r="BJ39185" s="201"/>
    </row>
    <row r="39186" spans="62:62" x14ac:dyDescent="0.2">
      <c r="BJ39186" s="201"/>
    </row>
    <row r="39187" spans="62:62" x14ac:dyDescent="0.2">
      <c r="BJ39187" s="201"/>
    </row>
    <row r="39188" spans="62:62" x14ac:dyDescent="0.2">
      <c r="BJ39188" s="201"/>
    </row>
    <row r="39189" spans="62:62" x14ac:dyDescent="0.2">
      <c r="BJ39189" s="201"/>
    </row>
    <row r="39190" spans="62:62" x14ac:dyDescent="0.2">
      <c r="BJ39190" s="201"/>
    </row>
    <row r="39191" spans="62:62" x14ac:dyDescent="0.2">
      <c r="BJ39191" s="201"/>
    </row>
    <row r="39192" spans="62:62" x14ac:dyDescent="0.2">
      <c r="BJ39192" s="201"/>
    </row>
    <row r="39193" spans="62:62" x14ac:dyDescent="0.2">
      <c r="BJ39193" s="201"/>
    </row>
    <row r="39194" spans="62:62" x14ac:dyDescent="0.2">
      <c r="BJ39194" s="201"/>
    </row>
    <row r="39195" spans="62:62" x14ac:dyDescent="0.2">
      <c r="BJ39195" s="201"/>
    </row>
    <row r="39196" spans="62:62" x14ac:dyDescent="0.2">
      <c r="BJ39196" s="201"/>
    </row>
    <row r="39197" spans="62:62" x14ac:dyDescent="0.2">
      <c r="BJ39197" s="201"/>
    </row>
    <row r="39198" spans="62:62" x14ac:dyDescent="0.2">
      <c r="BJ39198" s="201"/>
    </row>
    <row r="39199" spans="62:62" x14ac:dyDescent="0.2">
      <c r="BJ39199" s="201"/>
    </row>
    <row r="39200" spans="62:62" x14ac:dyDescent="0.2">
      <c r="BJ39200" s="201"/>
    </row>
    <row r="39201" spans="62:62" x14ac:dyDescent="0.2">
      <c r="BJ39201" s="201"/>
    </row>
    <row r="39202" spans="62:62" x14ac:dyDescent="0.2">
      <c r="BJ39202" s="201"/>
    </row>
    <row r="39203" spans="62:62" x14ac:dyDescent="0.2">
      <c r="BJ39203" s="201"/>
    </row>
    <row r="39204" spans="62:62" x14ac:dyDescent="0.2">
      <c r="BJ39204" s="201"/>
    </row>
    <row r="39205" spans="62:62" x14ac:dyDescent="0.2">
      <c r="BJ39205" s="201"/>
    </row>
    <row r="39206" spans="62:62" x14ac:dyDescent="0.2">
      <c r="BJ39206" s="201"/>
    </row>
    <row r="39207" spans="62:62" x14ac:dyDescent="0.2">
      <c r="BJ39207" s="201"/>
    </row>
    <row r="39208" spans="62:62" x14ac:dyDescent="0.2">
      <c r="BJ39208" s="201"/>
    </row>
    <row r="39209" spans="62:62" x14ac:dyDescent="0.2">
      <c r="BJ39209" s="201"/>
    </row>
    <row r="39210" spans="62:62" x14ac:dyDescent="0.2">
      <c r="BJ39210" s="201"/>
    </row>
    <row r="39211" spans="62:62" x14ac:dyDescent="0.2">
      <c r="BJ39211" s="201"/>
    </row>
    <row r="39212" spans="62:62" x14ac:dyDescent="0.2">
      <c r="BJ39212" s="201"/>
    </row>
    <row r="39213" spans="62:62" x14ac:dyDescent="0.2">
      <c r="BJ39213" s="201"/>
    </row>
    <row r="39214" spans="62:62" x14ac:dyDescent="0.2">
      <c r="BJ39214" s="201"/>
    </row>
    <row r="39215" spans="62:62" x14ac:dyDescent="0.2">
      <c r="BJ39215" s="201"/>
    </row>
    <row r="39216" spans="62:62" x14ac:dyDescent="0.2">
      <c r="BJ39216" s="201"/>
    </row>
    <row r="39217" spans="62:62" x14ac:dyDescent="0.2">
      <c r="BJ39217" s="201"/>
    </row>
    <row r="39218" spans="62:62" x14ac:dyDescent="0.2">
      <c r="BJ39218" s="201"/>
    </row>
    <row r="39219" spans="62:62" x14ac:dyDescent="0.2">
      <c r="BJ39219" s="201"/>
    </row>
    <row r="39220" spans="62:62" x14ac:dyDescent="0.2">
      <c r="BJ39220" s="201"/>
    </row>
    <row r="39221" spans="62:62" x14ac:dyDescent="0.2">
      <c r="BJ39221" s="201"/>
    </row>
    <row r="39222" spans="62:62" x14ac:dyDescent="0.2">
      <c r="BJ39222" s="201"/>
    </row>
    <row r="39223" spans="62:62" x14ac:dyDescent="0.2">
      <c r="BJ39223" s="201"/>
    </row>
    <row r="39224" spans="62:62" x14ac:dyDescent="0.2">
      <c r="BJ39224" s="201"/>
    </row>
    <row r="39225" spans="62:62" x14ac:dyDescent="0.2">
      <c r="BJ39225" s="201"/>
    </row>
    <row r="39226" spans="62:62" x14ac:dyDescent="0.2">
      <c r="BJ39226" s="201"/>
    </row>
    <row r="39227" spans="62:62" x14ac:dyDescent="0.2">
      <c r="BJ39227" s="201"/>
    </row>
    <row r="39228" spans="62:62" x14ac:dyDescent="0.2">
      <c r="BJ39228" s="201"/>
    </row>
    <row r="39229" spans="62:62" x14ac:dyDescent="0.2">
      <c r="BJ39229" s="201"/>
    </row>
    <row r="39230" spans="62:62" x14ac:dyDescent="0.2">
      <c r="BJ39230" s="201"/>
    </row>
    <row r="39231" spans="62:62" x14ac:dyDescent="0.2">
      <c r="BJ39231" s="201"/>
    </row>
    <row r="39232" spans="62:62" x14ac:dyDescent="0.2">
      <c r="BJ39232" s="201"/>
    </row>
    <row r="39233" spans="62:62" x14ac:dyDescent="0.2">
      <c r="BJ39233" s="201"/>
    </row>
    <row r="39234" spans="62:62" x14ac:dyDescent="0.2">
      <c r="BJ39234" s="201"/>
    </row>
    <row r="39235" spans="62:62" x14ac:dyDescent="0.2">
      <c r="BJ39235" s="201"/>
    </row>
    <row r="39236" spans="62:62" x14ac:dyDescent="0.2">
      <c r="BJ39236" s="201"/>
    </row>
    <row r="39237" spans="62:62" x14ac:dyDescent="0.2">
      <c r="BJ39237" s="201"/>
    </row>
    <row r="39238" spans="62:62" x14ac:dyDescent="0.2">
      <c r="BJ39238" s="201"/>
    </row>
    <row r="39239" spans="62:62" x14ac:dyDescent="0.2">
      <c r="BJ39239" s="201"/>
    </row>
    <row r="39240" spans="62:62" x14ac:dyDescent="0.2">
      <c r="BJ39240" s="201"/>
    </row>
    <row r="39241" spans="62:62" x14ac:dyDescent="0.2">
      <c r="BJ39241" s="201"/>
    </row>
    <row r="39242" spans="62:62" x14ac:dyDescent="0.2">
      <c r="BJ39242" s="201"/>
    </row>
    <row r="39243" spans="62:62" x14ac:dyDescent="0.2">
      <c r="BJ39243" s="201"/>
    </row>
    <row r="39244" spans="62:62" x14ac:dyDescent="0.2">
      <c r="BJ39244" s="201"/>
    </row>
    <row r="39245" spans="62:62" x14ac:dyDescent="0.2">
      <c r="BJ39245" s="201"/>
    </row>
    <row r="39246" spans="62:62" x14ac:dyDescent="0.2">
      <c r="BJ39246" s="201"/>
    </row>
    <row r="39247" spans="62:62" x14ac:dyDescent="0.2">
      <c r="BJ39247" s="201"/>
    </row>
    <row r="39248" spans="62:62" x14ac:dyDescent="0.2">
      <c r="BJ39248" s="201"/>
    </row>
    <row r="39249" spans="62:62" x14ac:dyDescent="0.2">
      <c r="BJ39249" s="201"/>
    </row>
    <row r="39250" spans="62:62" x14ac:dyDescent="0.2">
      <c r="BJ39250" s="201"/>
    </row>
    <row r="39251" spans="62:62" x14ac:dyDescent="0.2">
      <c r="BJ39251" s="201"/>
    </row>
    <row r="39252" spans="62:62" x14ac:dyDescent="0.2">
      <c r="BJ39252" s="201"/>
    </row>
    <row r="39253" spans="62:62" x14ac:dyDescent="0.2">
      <c r="BJ39253" s="201"/>
    </row>
    <row r="39254" spans="62:62" x14ac:dyDescent="0.2">
      <c r="BJ39254" s="201"/>
    </row>
    <row r="39255" spans="62:62" x14ac:dyDescent="0.2">
      <c r="BJ39255" s="201"/>
    </row>
    <row r="39256" spans="62:62" x14ac:dyDescent="0.2">
      <c r="BJ39256" s="201"/>
    </row>
    <row r="39257" spans="62:62" x14ac:dyDescent="0.2">
      <c r="BJ39257" s="201"/>
    </row>
    <row r="39258" spans="62:62" x14ac:dyDescent="0.2">
      <c r="BJ39258" s="201"/>
    </row>
    <row r="39259" spans="62:62" x14ac:dyDescent="0.2">
      <c r="BJ39259" s="201"/>
    </row>
    <row r="39260" spans="62:62" x14ac:dyDescent="0.2">
      <c r="BJ39260" s="201"/>
    </row>
    <row r="39261" spans="62:62" x14ac:dyDescent="0.2">
      <c r="BJ39261" s="201"/>
    </row>
    <row r="39262" spans="62:62" x14ac:dyDescent="0.2">
      <c r="BJ39262" s="201"/>
    </row>
    <row r="39263" spans="62:62" x14ac:dyDescent="0.2">
      <c r="BJ39263" s="201"/>
    </row>
    <row r="39264" spans="62:62" x14ac:dyDescent="0.2">
      <c r="BJ39264" s="201"/>
    </row>
    <row r="39265" spans="62:62" x14ac:dyDescent="0.2">
      <c r="BJ39265" s="201"/>
    </row>
    <row r="39266" spans="62:62" x14ac:dyDescent="0.2">
      <c r="BJ39266" s="201"/>
    </row>
    <row r="39267" spans="62:62" x14ac:dyDescent="0.2">
      <c r="BJ39267" s="201"/>
    </row>
    <row r="39268" spans="62:62" x14ac:dyDescent="0.2">
      <c r="BJ39268" s="201"/>
    </row>
    <row r="39269" spans="62:62" x14ac:dyDescent="0.2">
      <c r="BJ39269" s="201"/>
    </row>
    <row r="39270" spans="62:62" x14ac:dyDescent="0.2">
      <c r="BJ39270" s="201"/>
    </row>
    <row r="39271" spans="62:62" x14ac:dyDescent="0.2">
      <c r="BJ39271" s="201"/>
    </row>
    <row r="39272" spans="62:62" x14ac:dyDescent="0.2">
      <c r="BJ39272" s="201"/>
    </row>
    <row r="39273" spans="62:62" x14ac:dyDescent="0.2">
      <c r="BJ39273" s="201"/>
    </row>
    <row r="39274" spans="62:62" x14ac:dyDescent="0.2">
      <c r="BJ39274" s="201"/>
    </row>
    <row r="39275" spans="62:62" x14ac:dyDescent="0.2">
      <c r="BJ39275" s="201"/>
    </row>
    <row r="39276" spans="62:62" x14ac:dyDescent="0.2">
      <c r="BJ39276" s="201"/>
    </row>
    <row r="39277" spans="62:62" x14ac:dyDescent="0.2">
      <c r="BJ39277" s="201"/>
    </row>
    <row r="39278" spans="62:62" x14ac:dyDescent="0.2">
      <c r="BJ39278" s="201"/>
    </row>
    <row r="39279" spans="62:62" x14ac:dyDescent="0.2">
      <c r="BJ39279" s="201"/>
    </row>
    <row r="39280" spans="62:62" x14ac:dyDescent="0.2">
      <c r="BJ39280" s="201"/>
    </row>
    <row r="39281" spans="62:62" x14ac:dyDescent="0.2">
      <c r="BJ39281" s="201"/>
    </row>
    <row r="39282" spans="62:62" x14ac:dyDescent="0.2">
      <c r="BJ39282" s="201"/>
    </row>
    <row r="39283" spans="62:62" x14ac:dyDescent="0.2">
      <c r="BJ39283" s="201"/>
    </row>
    <row r="39284" spans="62:62" x14ac:dyDescent="0.2">
      <c r="BJ39284" s="201"/>
    </row>
    <row r="39285" spans="62:62" x14ac:dyDescent="0.2">
      <c r="BJ39285" s="201"/>
    </row>
    <row r="39286" spans="62:62" x14ac:dyDescent="0.2">
      <c r="BJ39286" s="201"/>
    </row>
    <row r="39287" spans="62:62" x14ac:dyDescent="0.2">
      <c r="BJ39287" s="201"/>
    </row>
    <row r="39288" spans="62:62" x14ac:dyDescent="0.2">
      <c r="BJ39288" s="201"/>
    </row>
    <row r="39289" spans="62:62" x14ac:dyDescent="0.2">
      <c r="BJ39289" s="201"/>
    </row>
    <row r="39290" spans="62:62" x14ac:dyDescent="0.2">
      <c r="BJ39290" s="201"/>
    </row>
    <row r="39291" spans="62:62" x14ac:dyDescent="0.2">
      <c r="BJ39291" s="201"/>
    </row>
    <row r="39292" spans="62:62" x14ac:dyDescent="0.2">
      <c r="BJ39292" s="201"/>
    </row>
    <row r="39293" spans="62:62" x14ac:dyDescent="0.2">
      <c r="BJ39293" s="201"/>
    </row>
    <row r="39294" spans="62:62" x14ac:dyDescent="0.2">
      <c r="BJ39294" s="201"/>
    </row>
    <row r="39295" spans="62:62" x14ac:dyDescent="0.2">
      <c r="BJ39295" s="201"/>
    </row>
    <row r="39296" spans="62:62" x14ac:dyDescent="0.2">
      <c r="BJ39296" s="201"/>
    </row>
    <row r="39297" spans="62:62" x14ac:dyDescent="0.2">
      <c r="BJ39297" s="201"/>
    </row>
    <row r="39298" spans="62:62" x14ac:dyDescent="0.2">
      <c r="BJ39298" s="201"/>
    </row>
    <row r="39299" spans="62:62" x14ac:dyDescent="0.2">
      <c r="BJ39299" s="201"/>
    </row>
    <row r="39300" spans="62:62" x14ac:dyDescent="0.2">
      <c r="BJ39300" s="201"/>
    </row>
    <row r="39301" spans="62:62" x14ac:dyDescent="0.2">
      <c r="BJ39301" s="201"/>
    </row>
    <row r="39302" spans="62:62" x14ac:dyDescent="0.2">
      <c r="BJ39302" s="201"/>
    </row>
    <row r="39303" spans="62:62" x14ac:dyDescent="0.2">
      <c r="BJ39303" s="201"/>
    </row>
    <row r="39304" spans="62:62" x14ac:dyDescent="0.2">
      <c r="BJ39304" s="201"/>
    </row>
    <row r="39305" spans="62:62" x14ac:dyDescent="0.2">
      <c r="BJ39305" s="201"/>
    </row>
    <row r="39306" spans="62:62" x14ac:dyDescent="0.2">
      <c r="BJ39306" s="201"/>
    </row>
    <row r="39307" spans="62:62" x14ac:dyDescent="0.2">
      <c r="BJ39307" s="201"/>
    </row>
    <row r="39308" spans="62:62" x14ac:dyDescent="0.2">
      <c r="BJ39308" s="201"/>
    </row>
    <row r="39309" spans="62:62" x14ac:dyDescent="0.2">
      <c r="BJ39309" s="201"/>
    </row>
    <row r="39310" spans="62:62" x14ac:dyDescent="0.2">
      <c r="BJ39310" s="201"/>
    </row>
    <row r="39311" spans="62:62" x14ac:dyDescent="0.2">
      <c r="BJ39311" s="201"/>
    </row>
    <row r="39312" spans="62:62" x14ac:dyDescent="0.2">
      <c r="BJ39312" s="201"/>
    </row>
    <row r="39313" spans="62:62" x14ac:dyDescent="0.2">
      <c r="BJ39313" s="201"/>
    </row>
    <row r="39314" spans="62:62" x14ac:dyDescent="0.2">
      <c r="BJ39314" s="201"/>
    </row>
    <row r="39315" spans="62:62" x14ac:dyDescent="0.2">
      <c r="BJ39315" s="201"/>
    </row>
    <row r="39316" spans="62:62" x14ac:dyDescent="0.2">
      <c r="BJ39316" s="201"/>
    </row>
    <row r="39317" spans="62:62" x14ac:dyDescent="0.2">
      <c r="BJ39317" s="201"/>
    </row>
    <row r="39318" spans="62:62" x14ac:dyDescent="0.2">
      <c r="BJ39318" s="201"/>
    </row>
    <row r="39319" spans="62:62" x14ac:dyDescent="0.2">
      <c r="BJ39319" s="201"/>
    </row>
    <row r="39320" spans="62:62" x14ac:dyDescent="0.2">
      <c r="BJ39320" s="201"/>
    </row>
    <row r="39321" spans="62:62" x14ac:dyDescent="0.2">
      <c r="BJ39321" s="201"/>
    </row>
    <row r="39322" spans="62:62" x14ac:dyDescent="0.2">
      <c r="BJ39322" s="201"/>
    </row>
    <row r="39323" spans="62:62" x14ac:dyDescent="0.2">
      <c r="BJ39323" s="201"/>
    </row>
    <row r="39324" spans="62:62" x14ac:dyDescent="0.2">
      <c r="BJ39324" s="201"/>
    </row>
    <row r="39325" spans="62:62" x14ac:dyDescent="0.2">
      <c r="BJ39325" s="201"/>
    </row>
    <row r="39326" spans="62:62" x14ac:dyDescent="0.2">
      <c r="BJ39326" s="201"/>
    </row>
    <row r="39327" spans="62:62" x14ac:dyDescent="0.2">
      <c r="BJ39327" s="201"/>
    </row>
    <row r="39328" spans="62:62" x14ac:dyDescent="0.2">
      <c r="BJ39328" s="201"/>
    </row>
    <row r="39329" spans="62:62" x14ac:dyDescent="0.2">
      <c r="BJ39329" s="201"/>
    </row>
    <row r="39330" spans="62:62" x14ac:dyDescent="0.2">
      <c r="BJ39330" s="201"/>
    </row>
    <row r="39331" spans="62:62" x14ac:dyDescent="0.2">
      <c r="BJ39331" s="201"/>
    </row>
    <row r="39332" spans="62:62" x14ac:dyDescent="0.2">
      <c r="BJ39332" s="201"/>
    </row>
    <row r="39333" spans="62:62" x14ac:dyDescent="0.2">
      <c r="BJ39333" s="201"/>
    </row>
    <row r="39334" spans="62:62" x14ac:dyDescent="0.2">
      <c r="BJ39334" s="201"/>
    </row>
    <row r="39335" spans="62:62" x14ac:dyDescent="0.2">
      <c r="BJ39335" s="201"/>
    </row>
    <row r="39336" spans="62:62" x14ac:dyDescent="0.2">
      <c r="BJ39336" s="201"/>
    </row>
    <row r="39337" spans="62:62" x14ac:dyDescent="0.2">
      <c r="BJ39337" s="201"/>
    </row>
    <row r="39338" spans="62:62" x14ac:dyDescent="0.2">
      <c r="BJ39338" s="201"/>
    </row>
    <row r="39339" spans="62:62" x14ac:dyDescent="0.2">
      <c r="BJ39339" s="201"/>
    </row>
    <row r="39340" spans="62:62" x14ac:dyDescent="0.2">
      <c r="BJ39340" s="201"/>
    </row>
    <row r="39341" spans="62:62" x14ac:dyDescent="0.2">
      <c r="BJ39341" s="201"/>
    </row>
    <row r="39342" spans="62:62" x14ac:dyDescent="0.2">
      <c r="BJ39342" s="201"/>
    </row>
    <row r="39343" spans="62:62" x14ac:dyDescent="0.2">
      <c r="BJ39343" s="201"/>
    </row>
    <row r="39344" spans="62:62" x14ac:dyDescent="0.2">
      <c r="BJ39344" s="201"/>
    </row>
    <row r="39345" spans="62:62" x14ac:dyDescent="0.2">
      <c r="BJ39345" s="201"/>
    </row>
    <row r="39346" spans="62:62" x14ac:dyDescent="0.2">
      <c r="BJ39346" s="201"/>
    </row>
    <row r="39347" spans="62:62" x14ac:dyDescent="0.2">
      <c r="BJ39347" s="201"/>
    </row>
    <row r="39348" spans="62:62" x14ac:dyDescent="0.2">
      <c r="BJ39348" s="201"/>
    </row>
    <row r="39349" spans="62:62" x14ac:dyDescent="0.2">
      <c r="BJ39349" s="201"/>
    </row>
    <row r="39350" spans="62:62" x14ac:dyDescent="0.2">
      <c r="BJ39350" s="201"/>
    </row>
    <row r="39351" spans="62:62" x14ac:dyDescent="0.2">
      <c r="BJ39351" s="201"/>
    </row>
    <row r="39352" spans="62:62" x14ac:dyDescent="0.2">
      <c r="BJ39352" s="201"/>
    </row>
    <row r="39353" spans="62:62" x14ac:dyDescent="0.2">
      <c r="BJ39353" s="201"/>
    </row>
    <row r="39354" spans="62:62" x14ac:dyDescent="0.2">
      <c r="BJ39354" s="201"/>
    </row>
    <row r="39355" spans="62:62" x14ac:dyDescent="0.2">
      <c r="BJ39355" s="201"/>
    </row>
    <row r="39356" spans="62:62" x14ac:dyDescent="0.2">
      <c r="BJ39356" s="201"/>
    </row>
    <row r="39357" spans="62:62" x14ac:dyDescent="0.2">
      <c r="BJ39357" s="201"/>
    </row>
    <row r="39358" spans="62:62" x14ac:dyDescent="0.2">
      <c r="BJ39358" s="201"/>
    </row>
    <row r="39359" spans="62:62" x14ac:dyDescent="0.2">
      <c r="BJ39359" s="201"/>
    </row>
    <row r="39360" spans="62:62" x14ac:dyDescent="0.2">
      <c r="BJ39360" s="201"/>
    </row>
    <row r="39361" spans="62:62" x14ac:dyDescent="0.2">
      <c r="BJ39361" s="201"/>
    </row>
    <row r="39362" spans="62:62" x14ac:dyDescent="0.2">
      <c r="BJ39362" s="201"/>
    </row>
    <row r="39363" spans="62:62" x14ac:dyDescent="0.2">
      <c r="BJ39363" s="201"/>
    </row>
    <row r="39364" spans="62:62" x14ac:dyDescent="0.2">
      <c r="BJ39364" s="201"/>
    </row>
    <row r="39365" spans="62:62" x14ac:dyDescent="0.2">
      <c r="BJ39365" s="201"/>
    </row>
    <row r="39366" spans="62:62" x14ac:dyDescent="0.2">
      <c r="BJ39366" s="201"/>
    </row>
    <row r="39367" spans="62:62" x14ac:dyDescent="0.2">
      <c r="BJ39367" s="201"/>
    </row>
    <row r="39368" spans="62:62" x14ac:dyDescent="0.2">
      <c r="BJ39368" s="201"/>
    </row>
    <row r="39369" spans="62:62" x14ac:dyDescent="0.2">
      <c r="BJ39369" s="201"/>
    </row>
    <row r="39370" spans="62:62" x14ac:dyDescent="0.2">
      <c r="BJ39370" s="201"/>
    </row>
    <row r="39371" spans="62:62" x14ac:dyDescent="0.2">
      <c r="BJ39371" s="201"/>
    </row>
    <row r="39372" spans="62:62" x14ac:dyDescent="0.2">
      <c r="BJ39372" s="201"/>
    </row>
    <row r="39373" spans="62:62" x14ac:dyDescent="0.2">
      <c r="BJ39373" s="201"/>
    </row>
    <row r="39374" spans="62:62" x14ac:dyDescent="0.2">
      <c r="BJ39374" s="201"/>
    </row>
    <row r="39375" spans="62:62" x14ac:dyDescent="0.2">
      <c r="BJ39375" s="201"/>
    </row>
    <row r="39376" spans="62:62" x14ac:dyDescent="0.2">
      <c r="BJ39376" s="201"/>
    </row>
    <row r="39377" spans="62:62" x14ac:dyDescent="0.2">
      <c r="BJ39377" s="201"/>
    </row>
    <row r="39378" spans="62:62" x14ac:dyDescent="0.2">
      <c r="BJ39378" s="201"/>
    </row>
    <row r="39379" spans="62:62" x14ac:dyDescent="0.2">
      <c r="BJ39379" s="201"/>
    </row>
    <row r="39380" spans="62:62" x14ac:dyDescent="0.2">
      <c r="BJ39380" s="201"/>
    </row>
    <row r="39381" spans="62:62" x14ac:dyDescent="0.2">
      <c r="BJ39381" s="201"/>
    </row>
    <row r="39382" spans="62:62" x14ac:dyDescent="0.2">
      <c r="BJ39382" s="201"/>
    </row>
    <row r="39383" spans="62:62" x14ac:dyDescent="0.2">
      <c r="BJ39383" s="201"/>
    </row>
    <row r="39384" spans="62:62" x14ac:dyDescent="0.2">
      <c r="BJ39384" s="201"/>
    </row>
    <row r="39385" spans="62:62" x14ac:dyDescent="0.2">
      <c r="BJ39385" s="201"/>
    </row>
    <row r="39386" spans="62:62" x14ac:dyDescent="0.2">
      <c r="BJ39386" s="201"/>
    </row>
    <row r="39387" spans="62:62" x14ac:dyDescent="0.2">
      <c r="BJ39387" s="201"/>
    </row>
    <row r="39388" spans="62:62" x14ac:dyDescent="0.2">
      <c r="BJ39388" s="201"/>
    </row>
    <row r="39389" spans="62:62" x14ac:dyDescent="0.2">
      <c r="BJ39389" s="201"/>
    </row>
    <row r="39390" spans="62:62" x14ac:dyDescent="0.2">
      <c r="BJ39390" s="201"/>
    </row>
    <row r="39391" spans="62:62" x14ac:dyDescent="0.2">
      <c r="BJ39391" s="201"/>
    </row>
    <row r="39392" spans="62:62" x14ac:dyDescent="0.2">
      <c r="BJ39392" s="201"/>
    </row>
    <row r="39393" spans="62:62" x14ac:dyDescent="0.2">
      <c r="BJ39393" s="201"/>
    </row>
    <row r="39394" spans="62:62" x14ac:dyDescent="0.2">
      <c r="BJ39394" s="201"/>
    </row>
    <row r="39395" spans="62:62" x14ac:dyDescent="0.2">
      <c r="BJ39395" s="201"/>
    </row>
    <row r="39396" spans="62:62" x14ac:dyDescent="0.2">
      <c r="BJ39396" s="201"/>
    </row>
    <row r="39397" spans="62:62" x14ac:dyDescent="0.2">
      <c r="BJ39397" s="201"/>
    </row>
    <row r="39398" spans="62:62" x14ac:dyDescent="0.2">
      <c r="BJ39398" s="201"/>
    </row>
    <row r="39399" spans="62:62" x14ac:dyDescent="0.2">
      <c r="BJ39399" s="201"/>
    </row>
    <row r="39400" spans="62:62" x14ac:dyDescent="0.2">
      <c r="BJ39400" s="201"/>
    </row>
    <row r="39401" spans="62:62" x14ac:dyDescent="0.2">
      <c r="BJ39401" s="201"/>
    </row>
    <row r="39402" spans="62:62" x14ac:dyDescent="0.2">
      <c r="BJ39402" s="201"/>
    </row>
    <row r="39403" spans="62:62" x14ac:dyDescent="0.2">
      <c r="BJ39403" s="201"/>
    </row>
    <row r="39404" spans="62:62" x14ac:dyDescent="0.2">
      <c r="BJ39404" s="201"/>
    </row>
    <row r="39405" spans="62:62" x14ac:dyDescent="0.2">
      <c r="BJ39405" s="201"/>
    </row>
    <row r="39406" spans="62:62" x14ac:dyDescent="0.2">
      <c r="BJ39406" s="201"/>
    </row>
    <row r="39407" spans="62:62" x14ac:dyDescent="0.2">
      <c r="BJ39407" s="201"/>
    </row>
    <row r="39408" spans="62:62" x14ac:dyDescent="0.2">
      <c r="BJ39408" s="201"/>
    </row>
    <row r="39409" spans="62:62" x14ac:dyDescent="0.2">
      <c r="BJ39409" s="201"/>
    </row>
    <row r="39410" spans="62:62" x14ac:dyDescent="0.2">
      <c r="BJ39410" s="201"/>
    </row>
    <row r="39411" spans="62:62" x14ac:dyDescent="0.2">
      <c r="BJ39411" s="201"/>
    </row>
    <row r="39412" spans="62:62" x14ac:dyDescent="0.2">
      <c r="BJ39412" s="201"/>
    </row>
    <row r="39413" spans="62:62" x14ac:dyDescent="0.2">
      <c r="BJ39413" s="201"/>
    </row>
    <row r="39414" spans="62:62" x14ac:dyDescent="0.2">
      <c r="BJ39414" s="201"/>
    </row>
    <row r="39415" spans="62:62" x14ac:dyDescent="0.2">
      <c r="BJ39415" s="201"/>
    </row>
    <row r="39416" spans="62:62" x14ac:dyDescent="0.2">
      <c r="BJ39416" s="201"/>
    </row>
    <row r="39417" spans="62:62" x14ac:dyDescent="0.2">
      <c r="BJ39417" s="201"/>
    </row>
    <row r="39418" spans="62:62" x14ac:dyDescent="0.2">
      <c r="BJ39418" s="201"/>
    </row>
    <row r="39419" spans="62:62" x14ac:dyDescent="0.2">
      <c r="BJ39419" s="201"/>
    </row>
    <row r="39420" spans="62:62" x14ac:dyDescent="0.2">
      <c r="BJ39420" s="201"/>
    </row>
    <row r="39421" spans="62:62" x14ac:dyDescent="0.2">
      <c r="BJ39421" s="201"/>
    </row>
    <row r="39422" spans="62:62" x14ac:dyDescent="0.2">
      <c r="BJ39422" s="201"/>
    </row>
    <row r="39423" spans="62:62" x14ac:dyDescent="0.2">
      <c r="BJ39423" s="201"/>
    </row>
    <row r="39424" spans="62:62" x14ac:dyDescent="0.2">
      <c r="BJ39424" s="201"/>
    </row>
    <row r="39425" spans="62:62" x14ac:dyDescent="0.2">
      <c r="BJ39425" s="201"/>
    </row>
    <row r="39426" spans="62:62" x14ac:dyDescent="0.2">
      <c r="BJ39426" s="201"/>
    </row>
    <row r="39427" spans="62:62" x14ac:dyDescent="0.2">
      <c r="BJ39427" s="201"/>
    </row>
    <row r="39428" spans="62:62" x14ac:dyDescent="0.2">
      <c r="BJ39428" s="201"/>
    </row>
    <row r="39429" spans="62:62" x14ac:dyDescent="0.2">
      <c r="BJ39429" s="201"/>
    </row>
    <row r="39430" spans="62:62" x14ac:dyDescent="0.2">
      <c r="BJ39430" s="201"/>
    </row>
    <row r="39431" spans="62:62" x14ac:dyDescent="0.2">
      <c r="BJ39431" s="201"/>
    </row>
    <row r="39432" spans="62:62" x14ac:dyDescent="0.2">
      <c r="BJ39432" s="201"/>
    </row>
    <row r="39433" spans="62:62" x14ac:dyDescent="0.2">
      <c r="BJ39433" s="201"/>
    </row>
    <row r="39434" spans="62:62" x14ac:dyDescent="0.2">
      <c r="BJ39434" s="201"/>
    </row>
    <row r="39435" spans="62:62" x14ac:dyDescent="0.2">
      <c r="BJ39435" s="201"/>
    </row>
    <row r="39436" spans="62:62" x14ac:dyDescent="0.2">
      <c r="BJ39436" s="201"/>
    </row>
    <row r="39437" spans="62:62" x14ac:dyDescent="0.2">
      <c r="BJ39437" s="201"/>
    </row>
    <row r="39438" spans="62:62" x14ac:dyDescent="0.2">
      <c r="BJ39438" s="201"/>
    </row>
    <row r="39439" spans="62:62" x14ac:dyDescent="0.2">
      <c r="BJ39439" s="201"/>
    </row>
    <row r="39440" spans="62:62" x14ac:dyDescent="0.2">
      <c r="BJ39440" s="201"/>
    </row>
    <row r="39441" spans="62:62" x14ac:dyDescent="0.2">
      <c r="BJ39441" s="201"/>
    </row>
    <row r="39442" spans="62:62" x14ac:dyDescent="0.2">
      <c r="BJ39442" s="201"/>
    </row>
    <row r="39443" spans="62:62" x14ac:dyDescent="0.2">
      <c r="BJ39443" s="201"/>
    </row>
    <row r="39444" spans="62:62" x14ac:dyDescent="0.2">
      <c r="BJ39444" s="201"/>
    </row>
    <row r="39445" spans="62:62" x14ac:dyDescent="0.2">
      <c r="BJ39445" s="201"/>
    </row>
    <row r="39446" spans="62:62" x14ac:dyDescent="0.2">
      <c r="BJ39446" s="201"/>
    </row>
    <row r="39447" spans="62:62" x14ac:dyDescent="0.2">
      <c r="BJ39447" s="201"/>
    </row>
    <row r="39448" spans="62:62" x14ac:dyDescent="0.2">
      <c r="BJ39448" s="201"/>
    </row>
    <row r="39449" spans="62:62" x14ac:dyDescent="0.2">
      <c r="BJ39449" s="201"/>
    </row>
    <row r="39450" spans="62:62" x14ac:dyDescent="0.2">
      <c r="BJ39450" s="201"/>
    </row>
    <row r="39451" spans="62:62" x14ac:dyDescent="0.2">
      <c r="BJ39451" s="201"/>
    </row>
    <row r="39452" spans="62:62" x14ac:dyDescent="0.2">
      <c r="BJ39452" s="201"/>
    </row>
    <row r="39453" spans="62:62" x14ac:dyDescent="0.2">
      <c r="BJ39453" s="201"/>
    </row>
    <row r="39454" spans="62:62" x14ac:dyDescent="0.2">
      <c r="BJ39454" s="201"/>
    </row>
    <row r="39455" spans="62:62" x14ac:dyDescent="0.2">
      <c r="BJ39455" s="201"/>
    </row>
    <row r="39456" spans="62:62" x14ac:dyDescent="0.2">
      <c r="BJ39456" s="201"/>
    </row>
    <row r="39457" spans="62:62" x14ac:dyDescent="0.2">
      <c r="BJ39457" s="201"/>
    </row>
    <row r="39458" spans="62:62" x14ac:dyDescent="0.2">
      <c r="BJ39458" s="201"/>
    </row>
    <row r="39459" spans="62:62" x14ac:dyDescent="0.2">
      <c r="BJ39459" s="201"/>
    </row>
    <row r="39460" spans="62:62" x14ac:dyDescent="0.2">
      <c r="BJ39460" s="201"/>
    </row>
    <row r="39461" spans="62:62" x14ac:dyDescent="0.2">
      <c r="BJ39461" s="201"/>
    </row>
    <row r="39462" spans="62:62" x14ac:dyDescent="0.2">
      <c r="BJ39462" s="201"/>
    </row>
    <row r="39463" spans="62:62" x14ac:dyDescent="0.2">
      <c r="BJ39463" s="201"/>
    </row>
    <row r="39464" spans="62:62" x14ac:dyDescent="0.2">
      <c r="BJ39464" s="201"/>
    </row>
    <row r="39465" spans="62:62" x14ac:dyDescent="0.2">
      <c r="BJ39465" s="201"/>
    </row>
    <row r="39466" spans="62:62" x14ac:dyDescent="0.2">
      <c r="BJ39466" s="201"/>
    </row>
    <row r="39467" spans="62:62" x14ac:dyDescent="0.2">
      <c r="BJ39467" s="201"/>
    </row>
    <row r="39468" spans="62:62" x14ac:dyDescent="0.2">
      <c r="BJ39468" s="201"/>
    </row>
    <row r="39469" spans="62:62" x14ac:dyDescent="0.2">
      <c r="BJ39469" s="201"/>
    </row>
    <row r="39470" spans="62:62" x14ac:dyDescent="0.2">
      <c r="BJ39470" s="201"/>
    </row>
    <row r="39471" spans="62:62" x14ac:dyDescent="0.2">
      <c r="BJ39471" s="201"/>
    </row>
    <row r="39472" spans="62:62" x14ac:dyDescent="0.2">
      <c r="BJ39472" s="201"/>
    </row>
    <row r="39473" spans="62:62" x14ac:dyDescent="0.2">
      <c r="BJ39473" s="201"/>
    </row>
    <row r="39474" spans="62:62" x14ac:dyDescent="0.2">
      <c r="BJ39474" s="201"/>
    </row>
    <row r="39475" spans="62:62" x14ac:dyDescent="0.2">
      <c r="BJ39475" s="201"/>
    </row>
    <row r="39476" spans="62:62" x14ac:dyDescent="0.2">
      <c r="BJ39476" s="201"/>
    </row>
    <row r="39477" spans="62:62" x14ac:dyDescent="0.2">
      <c r="BJ39477" s="201"/>
    </row>
    <row r="39478" spans="62:62" x14ac:dyDescent="0.2">
      <c r="BJ39478" s="201"/>
    </row>
    <row r="39479" spans="62:62" x14ac:dyDescent="0.2">
      <c r="BJ39479" s="201"/>
    </row>
    <row r="39480" spans="62:62" x14ac:dyDescent="0.2">
      <c r="BJ39480" s="201"/>
    </row>
    <row r="39481" spans="62:62" x14ac:dyDescent="0.2">
      <c r="BJ39481" s="201"/>
    </row>
    <row r="39482" spans="62:62" x14ac:dyDescent="0.2">
      <c r="BJ39482" s="201"/>
    </row>
    <row r="39483" spans="62:62" x14ac:dyDescent="0.2">
      <c r="BJ39483" s="201"/>
    </row>
    <row r="39484" spans="62:62" x14ac:dyDescent="0.2">
      <c r="BJ39484" s="201"/>
    </row>
    <row r="39485" spans="62:62" x14ac:dyDescent="0.2">
      <c r="BJ39485" s="201"/>
    </row>
    <row r="39486" spans="62:62" x14ac:dyDescent="0.2">
      <c r="BJ39486" s="201"/>
    </row>
    <row r="39487" spans="62:62" x14ac:dyDescent="0.2">
      <c r="BJ39487" s="201"/>
    </row>
    <row r="39488" spans="62:62" x14ac:dyDescent="0.2">
      <c r="BJ39488" s="201"/>
    </row>
    <row r="39489" spans="62:62" x14ac:dyDescent="0.2">
      <c r="BJ39489" s="201"/>
    </row>
    <row r="39490" spans="62:62" x14ac:dyDescent="0.2">
      <c r="BJ39490" s="201"/>
    </row>
    <row r="39491" spans="62:62" x14ac:dyDescent="0.2">
      <c r="BJ39491" s="201"/>
    </row>
    <row r="39492" spans="62:62" x14ac:dyDescent="0.2">
      <c r="BJ39492" s="201"/>
    </row>
    <row r="39493" spans="62:62" x14ac:dyDescent="0.2">
      <c r="BJ39493" s="201"/>
    </row>
    <row r="39494" spans="62:62" x14ac:dyDescent="0.2">
      <c r="BJ39494" s="201"/>
    </row>
    <row r="39495" spans="62:62" x14ac:dyDescent="0.2">
      <c r="BJ39495" s="201"/>
    </row>
    <row r="39496" spans="62:62" x14ac:dyDescent="0.2">
      <c r="BJ39496" s="201"/>
    </row>
    <row r="39497" spans="62:62" x14ac:dyDescent="0.2">
      <c r="BJ39497" s="201"/>
    </row>
    <row r="39498" spans="62:62" x14ac:dyDescent="0.2">
      <c r="BJ39498" s="201"/>
    </row>
    <row r="39499" spans="62:62" x14ac:dyDescent="0.2">
      <c r="BJ39499" s="201"/>
    </row>
    <row r="39500" spans="62:62" x14ac:dyDescent="0.2">
      <c r="BJ39500" s="201"/>
    </row>
    <row r="39501" spans="62:62" x14ac:dyDescent="0.2">
      <c r="BJ39501" s="201"/>
    </row>
    <row r="39502" spans="62:62" x14ac:dyDescent="0.2">
      <c r="BJ39502" s="201"/>
    </row>
    <row r="39503" spans="62:62" x14ac:dyDescent="0.2">
      <c r="BJ39503" s="201"/>
    </row>
    <row r="39504" spans="62:62" x14ac:dyDescent="0.2">
      <c r="BJ39504" s="201"/>
    </row>
    <row r="39505" spans="62:62" x14ac:dyDescent="0.2">
      <c r="BJ39505" s="201"/>
    </row>
    <row r="39506" spans="62:62" x14ac:dyDescent="0.2">
      <c r="BJ39506" s="201"/>
    </row>
    <row r="39507" spans="62:62" x14ac:dyDescent="0.2">
      <c r="BJ39507" s="201"/>
    </row>
    <row r="39508" spans="62:62" x14ac:dyDescent="0.2">
      <c r="BJ39508" s="201"/>
    </row>
    <row r="39509" spans="62:62" x14ac:dyDescent="0.2">
      <c r="BJ39509" s="201"/>
    </row>
    <row r="39510" spans="62:62" x14ac:dyDescent="0.2">
      <c r="BJ39510" s="201"/>
    </row>
    <row r="39511" spans="62:62" x14ac:dyDescent="0.2">
      <c r="BJ39511" s="201"/>
    </row>
    <row r="39512" spans="62:62" x14ac:dyDescent="0.2">
      <c r="BJ39512" s="201"/>
    </row>
    <row r="39513" spans="62:62" x14ac:dyDescent="0.2">
      <c r="BJ39513" s="201"/>
    </row>
    <row r="39514" spans="62:62" x14ac:dyDescent="0.2">
      <c r="BJ39514" s="201"/>
    </row>
    <row r="39515" spans="62:62" x14ac:dyDescent="0.2">
      <c r="BJ39515" s="201"/>
    </row>
    <row r="39516" spans="62:62" x14ac:dyDescent="0.2">
      <c r="BJ39516" s="201"/>
    </row>
    <row r="39517" spans="62:62" x14ac:dyDescent="0.2">
      <c r="BJ39517" s="201"/>
    </row>
    <row r="39518" spans="62:62" x14ac:dyDescent="0.2">
      <c r="BJ39518" s="201"/>
    </row>
    <row r="39519" spans="62:62" x14ac:dyDescent="0.2">
      <c r="BJ39519" s="201"/>
    </row>
    <row r="39520" spans="62:62" x14ac:dyDescent="0.2">
      <c r="BJ39520" s="201"/>
    </row>
    <row r="39521" spans="62:62" x14ac:dyDescent="0.2">
      <c r="BJ39521" s="201"/>
    </row>
    <row r="39522" spans="62:62" x14ac:dyDescent="0.2">
      <c r="BJ39522" s="201"/>
    </row>
    <row r="39523" spans="62:62" x14ac:dyDescent="0.2">
      <c r="BJ39523" s="201"/>
    </row>
    <row r="39524" spans="62:62" x14ac:dyDescent="0.2">
      <c r="BJ39524" s="201"/>
    </row>
    <row r="39525" spans="62:62" x14ac:dyDescent="0.2">
      <c r="BJ39525" s="201"/>
    </row>
    <row r="39526" spans="62:62" x14ac:dyDescent="0.2">
      <c r="BJ39526" s="201"/>
    </row>
    <row r="39527" spans="62:62" x14ac:dyDescent="0.2">
      <c r="BJ39527" s="201"/>
    </row>
    <row r="39528" spans="62:62" x14ac:dyDescent="0.2">
      <c r="BJ39528" s="201"/>
    </row>
    <row r="39529" spans="62:62" x14ac:dyDescent="0.2">
      <c r="BJ39529" s="201"/>
    </row>
    <row r="39530" spans="62:62" x14ac:dyDescent="0.2">
      <c r="BJ39530" s="201"/>
    </row>
    <row r="39531" spans="62:62" x14ac:dyDescent="0.2">
      <c r="BJ39531" s="201"/>
    </row>
    <row r="39532" spans="62:62" x14ac:dyDescent="0.2">
      <c r="BJ39532" s="201"/>
    </row>
    <row r="39533" spans="62:62" x14ac:dyDescent="0.2">
      <c r="BJ39533" s="201"/>
    </row>
    <row r="39534" spans="62:62" x14ac:dyDescent="0.2">
      <c r="BJ39534" s="201"/>
    </row>
    <row r="39535" spans="62:62" x14ac:dyDescent="0.2">
      <c r="BJ39535" s="201"/>
    </row>
    <row r="39536" spans="62:62" x14ac:dyDescent="0.2">
      <c r="BJ39536" s="201"/>
    </row>
    <row r="39537" spans="62:62" x14ac:dyDescent="0.2">
      <c r="BJ39537" s="201"/>
    </row>
    <row r="39538" spans="62:62" x14ac:dyDescent="0.2">
      <c r="BJ39538" s="201"/>
    </row>
    <row r="39539" spans="62:62" x14ac:dyDescent="0.2">
      <c r="BJ39539" s="201"/>
    </row>
    <row r="39540" spans="62:62" x14ac:dyDescent="0.2">
      <c r="BJ39540" s="201"/>
    </row>
    <row r="39541" spans="62:62" x14ac:dyDescent="0.2">
      <c r="BJ39541" s="201"/>
    </row>
    <row r="39542" spans="62:62" x14ac:dyDescent="0.2">
      <c r="BJ39542" s="201"/>
    </row>
    <row r="39543" spans="62:62" x14ac:dyDescent="0.2">
      <c r="BJ39543" s="201"/>
    </row>
    <row r="39544" spans="62:62" x14ac:dyDescent="0.2">
      <c r="BJ39544" s="201"/>
    </row>
    <row r="39545" spans="62:62" x14ac:dyDescent="0.2">
      <c r="BJ39545" s="201"/>
    </row>
    <row r="39546" spans="62:62" x14ac:dyDescent="0.2">
      <c r="BJ39546" s="201"/>
    </row>
    <row r="39547" spans="62:62" x14ac:dyDescent="0.2">
      <c r="BJ39547" s="201"/>
    </row>
    <row r="39548" spans="62:62" x14ac:dyDescent="0.2">
      <c r="BJ39548" s="201"/>
    </row>
    <row r="39549" spans="62:62" x14ac:dyDescent="0.2">
      <c r="BJ39549" s="201"/>
    </row>
    <row r="39550" spans="62:62" x14ac:dyDescent="0.2">
      <c r="BJ39550" s="201"/>
    </row>
    <row r="39551" spans="62:62" x14ac:dyDescent="0.2">
      <c r="BJ39551" s="201"/>
    </row>
    <row r="39552" spans="62:62" x14ac:dyDescent="0.2">
      <c r="BJ39552" s="201"/>
    </row>
    <row r="39553" spans="62:62" x14ac:dyDescent="0.2">
      <c r="BJ39553" s="201"/>
    </row>
    <row r="39554" spans="62:62" x14ac:dyDescent="0.2">
      <c r="BJ39554" s="201"/>
    </row>
    <row r="39555" spans="62:62" x14ac:dyDescent="0.2">
      <c r="BJ39555" s="201"/>
    </row>
    <row r="39556" spans="62:62" x14ac:dyDescent="0.2">
      <c r="BJ39556" s="201"/>
    </row>
    <row r="39557" spans="62:62" x14ac:dyDescent="0.2">
      <c r="BJ39557" s="201"/>
    </row>
    <row r="39558" spans="62:62" x14ac:dyDescent="0.2">
      <c r="BJ39558" s="201"/>
    </row>
    <row r="39559" spans="62:62" x14ac:dyDescent="0.2">
      <c r="BJ39559" s="201"/>
    </row>
    <row r="39560" spans="62:62" x14ac:dyDescent="0.2">
      <c r="BJ39560" s="201"/>
    </row>
    <row r="39561" spans="62:62" x14ac:dyDescent="0.2">
      <c r="BJ39561" s="201"/>
    </row>
    <row r="39562" spans="62:62" x14ac:dyDescent="0.2">
      <c r="BJ39562" s="201"/>
    </row>
    <row r="39563" spans="62:62" x14ac:dyDescent="0.2">
      <c r="BJ39563" s="201"/>
    </row>
    <row r="39564" spans="62:62" x14ac:dyDescent="0.2">
      <c r="BJ39564" s="201"/>
    </row>
    <row r="39565" spans="62:62" x14ac:dyDescent="0.2">
      <c r="BJ39565" s="201"/>
    </row>
    <row r="39566" spans="62:62" x14ac:dyDescent="0.2">
      <c r="BJ39566" s="201"/>
    </row>
    <row r="39567" spans="62:62" x14ac:dyDescent="0.2">
      <c r="BJ39567" s="201"/>
    </row>
    <row r="39568" spans="62:62" x14ac:dyDescent="0.2">
      <c r="BJ39568" s="201"/>
    </row>
    <row r="39569" spans="62:62" x14ac:dyDescent="0.2">
      <c r="BJ39569" s="201"/>
    </row>
    <row r="39570" spans="62:62" x14ac:dyDescent="0.2">
      <c r="BJ39570" s="201"/>
    </row>
    <row r="39571" spans="62:62" x14ac:dyDescent="0.2">
      <c r="BJ39571" s="201"/>
    </row>
    <row r="39572" spans="62:62" x14ac:dyDescent="0.2">
      <c r="BJ39572" s="201"/>
    </row>
    <row r="39573" spans="62:62" x14ac:dyDescent="0.2">
      <c r="BJ39573" s="201"/>
    </row>
    <row r="39574" spans="62:62" x14ac:dyDescent="0.2">
      <c r="BJ39574" s="201"/>
    </row>
    <row r="39575" spans="62:62" x14ac:dyDescent="0.2">
      <c r="BJ39575" s="201"/>
    </row>
    <row r="39576" spans="62:62" x14ac:dyDescent="0.2">
      <c r="BJ39576" s="201"/>
    </row>
    <row r="39577" spans="62:62" x14ac:dyDescent="0.2">
      <c r="BJ39577" s="201"/>
    </row>
    <row r="39578" spans="62:62" x14ac:dyDescent="0.2">
      <c r="BJ39578" s="201"/>
    </row>
    <row r="39579" spans="62:62" x14ac:dyDescent="0.2">
      <c r="BJ39579" s="201"/>
    </row>
    <row r="39580" spans="62:62" x14ac:dyDescent="0.2">
      <c r="BJ39580" s="201"/>
    </row>
    <row r="39581" spans="62:62" x14ac:dyDescent="0.2">
      <c r="BJ39581" s="201"/>
    </row>
    <row r="39582" spans="62:62" x14ac:dyDescent="0.2">
      <c r="BJ39582" s="201"/>
    </row>
    <row r="39583" spans="62:62" x14ac:dyDescent="0.2">
      <c r="BJ39583" s="201"/>
    </row>
    <row r="39584" spans="62:62" x14ac:dyDescent="0.2">
      <c r="BJ39584" s="201"/>
    </row>
    <row r="39585" spans="62:62" x14ac:dyDescent="0.2">
      <c r="BJ39585" s="201"/>
    </row>
    <row r="39586" spans="62:62" x14ac:dyDescent="0.2">
      <c r="BJ39586" s="201"/>
    </row>
    <row r="39587" spans="62:62" x14ac:dyDescent="0.2">
      <c r="BJ39587" s="201"/>
    </row>
    <row r="39588" spans="62:62" x14ac:dyDescent="0.2">
      <c r="BJ39588" s="201"/>
    </row>
    <row r="39589" spans="62:62" x14ac:dyDescent="0.2">
      <c r="BJ39589" s="201"/>
    </row>
    <row r="39590" spans="62:62" x14ac:dyDescent="0.2">
      <c r="BJ39590" s="201"/>
    </row>
    <row r="39591" spans="62:62" x14ac:dyDescent="0.2">
      <c r="BJ39591" s="201"/>
    </row>
    <row r="39592" spans="62:62" x14ac:dyDescent="0.2">
      <c r="BJ39592" s="201"/>
    </row>
    <row r="39593" spans="62:62" x14ac:dyDescent="0.2">
      <c r="BJ39593" s="201"/>
    </row>
    <row r="39594" spans="62:62" x14ac:dyDescent="0.2">
      <c r="BJ39594" s="201"/>
    </row>
    <row r="39595" spans="62:62" x14ac:dyDescent="0.2">
      <c r="BJ39595" s="201"/>
    </row>
    <row r="39596" spans="62:62" x14ac:dyDescent="0.2">
      <c r="BJ39596" s="201"/>
    </row>
    <row r="39597" spans="62:62" x14ac:dyDescent="0.2">
      <c r="BJ39597" s="201"/>
    </row>
    <row r="39598" spans="62:62" x14ac:dyDescent="0.2">
      <c r="BJ39598" s="201"/>
    </row>
    <row r="39599" spans="62:62" x14ac:dyDescent="0.2">
      <c r="BJ39599" s="201"/>
    </row>
    <row r="39600" spans="62:62" x14ac:dyDescent="0.2">
      <c r="BJ39600" s="201"/>
    </row>
    <row r="39601" spans="62:62" x14ac:dyDescent="0.2">
      <c r="BJ39601" s="201"/>
    </row>
    <row r="39602" spans="62:62" x14ac:dyDescent="0.2">
      <c r="BJ39602" s="201"/>
    </row>
    <row r="39603" spans="62:62" x14ac:dyDescent="0.2">
      <c r="BJ39603" s="201"/>
    </row>
    <row r="39604" spans="62:62" x14ac:dyDescent="0.2">
      <c r="BJ39604" s="201"/>
    </row>
    <row r="39605" spans="62:62" x14ac:dyDescent="0.2">
      <c r="BJ39605" s="201"/>
    </row>
    <row r="39606" spans="62:62" x14ac:dyDescent="0.2">
      <c r="BJ39606" s="201"/>
    </row>
    <row r="39607" spans="62:62" x14ac:dyDescent="0.2">
      <c r="BJ39607" s="201"/>
    </row>
    <row r="39608" spans="62:62" x14ac:dyDescent="0.2">
      <c r="BJ39608" s="201"/>
    </row>
    <row r="39609" spans="62:62" x14ac:dyDescent="0.2">
      <c r="BJ39609" s="201"/>
    </row>
    <row r="39610" spans="62:62" x14ac:dyDescent="0.2">
      <c r="BJ39610" s="201"/>
    </row>
    <row r="39611" spans="62:62" x14ac:dyDescent="0.2">
      <c r="BJ39611" s="201"/>
    </row>
    <row r="39612" spans="62:62" x14ac:dyDescent="0.2">
      <c r="BJ39612" s="201"/>
    </row>
    <row r="39613" spans="62:62" x14ac:dyDescent="0.2">
      <c r="BJ39613" s="201"/>
    </row>
    <row r="39614" spans="62:62" x14ac:dyDescent="0.2">
      <c r="BJ39614" s="201"/>
    </row>
    <row r="39615" spans="62:62" x14ac:dyDescent="0.2">
      <c r="BJ39615" s="201"/>
    </row>
    <row r="39616" spans="62:62" x14ac:dyDescent="0.2">
      <c r="BJ39616" s="201"/>
    </row>
    <row r="39617" spans="62:62" x14ac:dyDescent="0.2">
      <c r="BJ39617" s="201"/>
    </row>
    <row r="39618" spans="62:62" x14ac:dyDescent="0.2">
      <c r="BJ39618" s="201"/>
    </row>
    <row r="39619" spans="62:62" x14ac:dyDescent="0.2">
      <c r="BJ39619" s="201"/>
    </row>
    <row r="39620" spans="62:62" x14ac:dyDescent="0.2">
      <c r="BJ39620" s="201"/>
    </row>
    <row r="39621" spans="62:62" x14ac:dyDescent="0.2">
      <c r="BJ39621" s="201"/>
    </row>
    <row r="39622" spans="62:62" x14ac:dyDescent="0.2">
      <c r="BJ39622" s="201"/>
    </row>
    <row r="39623" spans="62:62" x14ac:dyDescent="0.2">
      <c r="BJ39623" s="201"/>
    </row>
    <row r="39624" spans="62:62" x14ac:dyDescent="0.2">
      <c r="BJ39624" s="201"/>
    </row>
    <row r="39625" spans="62:62" x14ac:dyDescent="0.2">
      <c r="BJ39625" s="201"/>
    </row>
    <row r="39626" spans="62:62" x14ac:dyDescent="0.2">
      <c r="BJ39626" s="201"/>
    </row>
    <row r="39627" spans="62:62" x14ac:dyDescent="0.2">
      <c r="BJ39627" s="201"/>
    </row>
    <row r="39628" spans="62:62" x14ac:dyDescent="0.2">
      <c r="BJ39628" s="201"/>
    </row>
    <row r="39629" spans="62:62" x14ac:dyDescent="0.2">
      <c r="BJ39629" s="201"/>
    </row>
    <row r="39630" spans="62:62" x14ac:dyDescent="0.2">
      <c r="BJ39630" s="201"/>
    </row>
    <row r="39631" spans="62:62" x14ac:dyDescent="0.2">
      <c r="BJ39631" s="201"/>
    </row>
    <row r="39632" spans="62:62" x14ac:dyDescent="0.2">
      <c r="BJ39632" s="201"/>
    </row>
    <row r="39633" spans="62:62" x14ac:dyDescent="0.2">
      <c r="BJ39633" s="201"/>
    </row>
    <row r="39634" spans="62:62" x14ac:dyDescent="0.2">
      <c r="BJ39634" s="201"/>
    </row>
    <row r="39635" spans="62:62" x14ac:dyDescent="0.2">
      <c r="BJ39635" s="201"/>
    </row>
    <row r="39636" spans="62:62" x14ac:dyDescent="0.2">
      <c r="BJ39636" s="201"/>
    </row>
    <row r="39637" spans="62:62" x14ac:dyDescent="0.2">
      <c r="BJ39637" s="201"/>
    </row>
    <row r="39638" spans="62:62" x14ac:dyDescent="0.2">
      <c r="BJ39638" s="201"/>
    </row>
    <row r="39639" spans="62:62" x14ac:dyDescent="0.2">
      <c r="BJ39639" s="201"/>
    </row>
    <row r="39640" spans="62:62" x14ac:dyDescent="0.2">
      <c r="BJ39640" s="201"/>
    </row>
    <row r="39641" spans="62:62" x14ac:dyDescent="0.2">
      <c r="BJ39641" s="201"/>
    </row>
    <row r="39642" spans="62:62" x14ac:dyDescent="0.2">
      <c r="BJ39642" s="201"/>
    </row>
    <row r="39643" spans="62:62" x14ac:dyDescent="0.2">
      <c r="BJ39643" s="201"/>
    </row>
    <row r="39644" spans="62:62" x14ac:dyDescent="0.2">
      <c r="BJ39644" s="201"/>
    </row>
    <row r="39645" spans="62:62" x14ac:dyDescent="0.2">
      <c r="BJ39645" s="201"/>
    </row>
    <row r="39646" spans="62:62" x14ac:dyDescent="0.2">
      <c r="BJ39646" s="201"/>
    </row>
    <row r="39647" spans="62:62" x14ac:dyDescent="0.2">
      <c r="BJ39647" s="201"/>
    </row>
    <row r="39648" spans="62:62" x14ac:dyDescent="0.2">
      <c r="BJ39648" s="201"/>
    </row>
    <row r="39649" spans="62:62" x14ac:dyDescent="0.2">
      <c r="BJ39649" s="201"/>
    </row>
    <row r="39650" spans="62:62" x14ac:dyDescent="0.2">
      <c r="BJ39650" s="201"/>
    </row>
    <row r="39651" spans="62:62" x14ac:dyDescent="0.2">
      <c r="BJ39651" s="201"/>
    </row>
    <row r="39652" spans="62:62" x14ac:dyDescent="0.2">
      <c r="BJ39652" s="201"/>
    </row>
    <row r="39653" spans="62:62" x14ac:dyDescent="0.2">
      <c r="BJ39653" s="201"/>
    </row>
    <row r="39654" spans="62:62" x14ac:dyDescent="0.2">
      <c r="BJ39654" s="201"/>
    </row>
    <row r="39655" spans="62:62" x14ac:dyDescent="0.2">
      <c r="BJ39655" s="201"/>
    </row>
    <row r="39656" spans="62:62" x14ac:dyDescent="0.2">
      <c r="BJ39656" s="201"/>
    </row>
    <row r="39657" spans="62:62" x14ac:dyDescent="0.2">
      <c r="BJ39657" s="201"/>
    </row>
    <row r="39658" spans="62:62" x14ac:dyDescent="0.2">
      <c r="BJ39658" s="201"/>
    </row>
    <row r="39659" spans="62:62" x14ac:dyDescent="0.2">
      <c r="BJ39659" s="201"/>
    </row>
    <row r="39660" spans="62:62" x14ac:dyDescent="0.2">
      <c r="BJ39660" s="201"/>
    </row>
    <row r="39661" spans="62:62" x14ac:dyDescent="0.2">
      <c r="BJ39661" s="201"/>
    </row>
    <row r="39662" spans="62:62" x14ac:dyDescent="0.2">
      <c r="BJ39662" s="201"/>
    </row>
    <row r="39663" spans="62:62" x14ac:dyDescent="0.2">
      <c r="BJ39663" s="201"/>
    </row>
    <row r="39664" spans="62:62" x14ac:dyDescent="0.2">
      <c r="BJ39664" s="201"/>
    </row>
    <row r="39665" spans="62:62" x14ac:dyDescent="0.2">
      <c r="BJ39665" s="201"/>
    </row>
    <row r="39666" spans="62:62" x14ac:dyDescent="0.2">
      <c r="BJ39666" s="201"/>
    </row>
    <row r="39667" spans="62:62" x14ac:dyDescent="0.2">
      <c r="BJ39667" s="201"/>
    </row>
    <row r="39668" spans="62:62" x14ac:dyDescent="0.2">
      <c r="BJ39668" s="201"/>
    </row>
    <row r="39669" spans="62:62" x14ac:dyDescent="0.2">
      <c r="BJ39669" s="201"/>
    </row>
    <row r="39670" spans="62:62" x14ac:dyDescent="0.2">
      <c r="BJ39670" s="201"/>
    </row>
    <row r="39671" spans="62:62" x14ac:dyDescent="0.2">
      <c r="BJ39671" s="201"/>
    </row>
    <row r="39672" spans="62:62" x14ac:dyDescent="0.2">
      <c r="BJ39672" s="201"/>
    </row>
    <row r="39673" spans="62:62" x14ac:dyDescent="0.2">
      <c r="BJ39673" s="201"/>
    </row>
    <row r="39674" spans="62:62" x14ac:dyDescent="0.2">
      <c r="BJ39674" s="201"/>
    </row>
    <row r="39675" spans="62:62" x14ac:dyDescent="0.2">
      <c r="BJ39675" s="201"/>
    </row>
    <row r="39676" spans="62:62" x14ac:dyDescent="0.2">
      <c r="BJ39676" s="201"/>
    </row>
    <row r="39677" spans="62:62" x14ac:dyDescent="0.2">
      <c r="BJ39677" s="201"/>
    </row>
    <row r="39678" spans="62:62" x14ac:dyDescent="0.2">
      <c r="BJ39678" s="201"/>
    </row>
    <row r="39679" spans="62:62" x14ac:dyDescent="0.2">
      <c r="BJ39679" s="201"/>
    </row>
    <row r="39680" spans="62:62" x14ac:dyDescent="0.2">
      <c r="BJ39680" s="201"/>
    </row>
    <row r="39681" spans="62:62" x14ac:dyDescent="0.2">
      <c r="BJ39681" s="201"/>
    </row>
    <row r="39682" spans="62:62" x14ac:dyDescent="0.2">
      <c r="BJ39682" s="201"/>
    </row>
    <row r="39683" spans="62:62" x14ac:dyDescent="0.2">
      <c r="BJ39683" s="201"/>
    </row>
    <row r="39684" spans="62:62" x14ac:dyDescent="0.2">
      <c r="BJ39684" s="201"/>
    </row>
    <row r="39685" spans="62:62" x14ac:dyDescent="0.2">
      <c r="BJ39685" s="201"/>
    </row>
    <row r="39686" spans="62:62" x14ac:dyDescent="0.2">
      <c r="BJ39686" s="201"/>
    </row>
    <row r="39687" spans="62:62" x14ac:dyDescent="0.2">
      <c r="BJ39687" s="201"/>
    </row>
    <row r="39688" spans="62:62" x14ac:dyDescent="0.2">
      <c r="BJ39688" s="201"/>
    </row>
    <row r="39689" spans="62:62" x14ac:dyDescent="0.2">
      <c r="BJ39689" s="201"/>
    </row>
    <row r="39690" spans="62:62" x14ac:dyDescent="0.2">
      <c r="BJ39690" s="201"/>
    </row>
    <row r="39691" spans="62:62" x14ac:dyDescent="0.2">
      <c r="BJ39691" s="201"/>
    </row>
    <row r="39692" spans="62:62" x14ac:dyDescent="0.2">
      <c r="BJ39692" s="201"/>
    </row>
    <row r="39693" spans="62:62" x14ac:dyDescent="0.2">
      <c r="BJ39693" s="201"/>
    </row>
    <row r="39694" spans="62:62" x14ac:dyDescent="0.2">
      <c r="BJ39694" s="201"/>
    </row>
    <row r="39695" spans="62:62" x14ac:dyDescent="0.2">
      <c r="BJ39695" s="201"/>
    </row>
    <row r="39696" spans="62:62" x14ac:dyDescent="0.2">
      <c r="BJ39696" s="201"/>
    </row>
    <row r="39697" spans="62:62" x14ac:dyDescent="0.2">
      <c r="BJ39697" s="201"/>
    </row>
    <row r="39698" spans="62:62" x14ac:dyDescent="0.2">
      <c r="BJ39698" s="201"/>
    </row>
    <row r="39699" spans="62:62" x14ac:dyDescent="0.2">
      <c r="BJ39699" s="201"/>
    </row>
    <row r="39700" spans="62:62" x14ac:dyDescent="0.2">
      <c r="BJ39700" s="201"/>
    </row>
    <row r="39701" spans="62:62" x14ac:dyDescent="0.2">
      <c r="BJ39701" s="201"/>
    </row>
    <row r="39702" spans="62:62" x14ac:dyDescent="0.2">
      <c r="BJ39702" s="201"/>
    </row>
    <row r="39703" spans="62:62" x14ac:dyDescent="0.2">
      <c r="BJ39703" s="201"/>
    </row>
    <row r="39704" spans="62:62" x14ac:dyDescent="0.2">
      <c r="BJ39704" s="201"/>
    </row>
    <row r="39705" spans="62:62" x14ac:dyDescent="0.2">
      <c r="BJ39705" s="201"/>
    </row>
    <row r="39706" spans="62:62" x14ac:dyDescent="0.2">
      <c r="BJ39706" s="201"/>
    </row>
    <row r="39707" spans="62:62" x14ac:dyDescent="0.2">
      <c r="BJ39707" s="201"/>
    </row>
    <row r="39708" spans="62:62" x14ac:dyDescent="0.2">
      <c r="BJ39708" s="201"/>
    </row>
    <row r="39709" spans="62:62" x14ac:dyDescent="0.2">
      <c r="BJ39709" s="201"/>
    </row>
    <row r="39710" spans="62:62" x14ac:dyDescent="0.2">
      <c r="BJ39710" s="201"/>
    </row>
    <row r="39711" spans="62:62" x14ac:dyDescent="0.2">
      <c r="BJ39711" s="201"/>
    </row>
    <row r="39712" spans="62:62" x14ac:dyDescent="0.2">
      <c r="BJ39712" s="201"/>
    </row>
    <row r="39713" spans="62:62" x14ac:dyDescent="0.2">
      <c r="BJ39713" s="201"/>
    </row>
    <row r="39714" spans="62:62" x14ac:dyDescent="0.2">
      <c r="BJ39714" s="201"/>
    </row>
    <row r="39715" spans="62:62" x14ac:dyDescent="0.2">
      <c r="BJ39715" s="201"/>
    </row>
    <row r="39716" spans="62:62" x14ac:dyDescent="0.2">
      <c r="BJ39716" s="201"/>
    </row>
    <row r="39717" spans="62:62" x14ac:dyDescent="0.2">
      <c r="BJ39717" s="201"/>
    </row>
    <row r="39718" spans="62:62" x14ac:dyDescent="0.2">
      <c r="BJ39718" s="201"/>
    </row>
    <row r="39719" spans="62:62" x14ac:dyDescent="0.2">
      <c r="BJ39719" s="201"/>
    </row>
    <row r="39720" spans="62:62" x14ac:dyDescent="0.2">
      <c r="BJ39720" s="201"/>
    </row>
    <row r="39721" spans="62:62" x14ac:dyDescent="0.2">
      <c r="BJ39721" s="201"/>
    </row>
    <row r="39722" spans="62:62" x14ac:dyDescent="0.2">
      <c r="BJ39722" s="201"/>
    </row>
    <row r="39723" spans="62:62" x14ac:dyDescent="0.2">
      <c r="BJ39723" s="201"/>
    </row>
    <row r="39724" spans="62:62" x14ac:dyDescent="0.2">
      <c r="BJ39724" s="201"/>
    </row>
    <row r="39725" spans="62:62" x14ac:dyDescent="0.2">
      <c r="BJ39725" s="201"/>
    </row>
    <row r="39726" spans="62:62" x14ac:dyDescent="0.2">
      <c r="BJ39726" s="201"/>
    </row>
    <row r="39727" spans="62:62" x14ac:dyDescent="0.2">
      <c r="BJ39727" s="201"/>
    </row>
    <row r="39728" spans="62:62" x14ac:dyDescent="0.2">
      <c r="BJ39728" s="201"/>
    </row>
    <row r="39729" spans="62:62" x14ac:dyDescent="0.2">
      <c r="BJ39729" s="201"/>
    </row>
    <row r="39730" spans="62:62" x14ac:dyDescent="0.2">
      <c r="BJ39730" s="201"/>
    </row>
    <row r="39731" spans="62:62" x14ac:dyDescent="0.2">
      <c r="BJ39731" s="201"/>
    </row>
    <row r="39732" spans="62:62" x14ac:dyDescent="0.2">
      <c r="BJ39732" s="201"/>
    </row>
    <row r="39733" spans="62:62" x14ac:dyDescent="0.2">
      <c r="BJ39733" s="201"/>
    </row>
    <row r="39734" spans="62:62" x14ac:dyDescent="0.2">
      <c r="BJ39734" s="201"/>
    </row>
    <row r="39735" spans="62:62" x14ac:dyDescent="0.2">
      <c r="BJ39735" s="201"/>
    </row>
    <row r="39736" spans="62:62" x14ac:dyDescent="0.2">
      <c r="BJ39736" s="201"/>
    </row>
    <row r="39737" spans="62:62" x14ac:dyDescent="0.2">
      <c r="BJ39737" s="201"/>
    </row>
    <row r="39738" spans="62:62" x14ac:dyDescent="0.2">
      <c r="BJ39738" s="201"/>
    </row>
    <row r="39739" spans="62:62" x14ac:dyDescent="0.2">
      <c r="BJ39739" s="201"/>
    </row>
    <row r="39740" spans="62:62" x14ac:dyDescent="0.2">
      <c r="BJ39740" s="201"/>
    </row>
    <row r="39741" spans="62:62" x14ac:dyDescent="0.2">
      <c r="BJ39741" s="201"/>
    </row>
    <row r="39742" spans="62:62" x14ac:dyDescent="0.2">
      <c r="BJ39742" s="201"/>
    </row>
    <row r="39743" spans="62:62" x14ac:dyDescent="0.2">
      <c r="BJ39743" s="201"/>
    </row>
    <row r="39744" spans="62:62" x14ac:dyDescent="0.2">
      <c r="BJ39744" s="201"/>
    </row>
    <row r="39745" spans="62:62" x14ac:dyDescent="0.2">
      <c r="BJ39745" s="201"/>
    </row>
    <row r="39746" spans="62:62" x14ac:dyDescent="0.2">
      <c r="BJ39746" s="201"/>
    </row>
    <row r="39747" spans="62:62" x14ac:dyDescent="0.2">
      <c r="BJ39747" s="201"/>
    </row>
    <row r="39748" spans="62:62" x14ac:dyDescent="0.2">
      <c r="BJ39748" s="201"/>
    </row>
    <row r="39749" spans="62:62" x14ac:dyDescent="0.2">
      <c r="BJ39749" s="201"/>
    </row>
    <row r="39750" spans="62:62" x14ac:dyDescent="0.2">
      <c r="BJ39750" s="201"/>
    </row>
    <row r="39751" spans="62:62" x14ac:dyDescent="0.2">
      <c r="BJ39751" s="201"/>
    </row>
    <row r="39752" spans="62:62" x14ac:dyDescent="0.2">
      <c r="BJ39752" s="201"/>
    </row>
    <row r="39753" spans="62:62" x14ac:dyDescent="0.2">
      <c r="BJ39753" s="201"/>
    </row>
    <row r="39754" spans="62:62" x14ac:dyDescent="0.2">
      <c r="BJ39754" s="201"/>
    </row>
    <row r="39755" spans="62:62" x14ac:dyDescent="0.2">
      <c r="BJ39755" s="201"/>
    </row>
    <row r="39756" spans="62:62" x14ac:dyDescent="0.2">
      <c r="BJ39756" s="201"/>
    </row>
    <row r="39757" spans="62:62" x14ac:dyDescent="0.2">
      <c r="BJ39757" s="201"/>
    </row>
    <row r="39758" spans="62:62" x14ac:dyDescent="0.2">
      <c r="BJ39758" s="201"/>
    </row>
    <row r="39759" spans="62:62" x14ac:dyDescent="0.2">
      <c r="BJ39759" s="201"/>
    </row>
    <row r="39760" spans="62:62" x14ac:dyDescent="0.2">
      <c r="BJ39760" s="201"/>
    </row>
    <row r="39761" spans="62:62" x14ac:dyDescent="0.2">
      <c r="BJ39761" s="201"/>
    </row>
    <row r="39762" spans="62:62" x14ac:dyDescent="0.2">
      <c r="BJ39762" s="201"/>
    </row>
    <row r="39763" spans="62:62" x14ac:dyDescent="0.2">
      <c r="BJ39763" s="201"/>
    </row>
    <row r="39764" spans="62:62" x14ac:dyDescent="0.2">
      <c r="BJ39764" s="201"/>
    </row>
    <row r="39765" spans="62:62" x14ac:dyDescent="0.2">
      <c r="BJ39765" s="201"/>
    </row>
    <row r="39766" spans="62:62" x14ac:dyDescent="0.2">
      <c r="BJ39766" s="201"/>
    </row>
    <row r="39767" spans="62:62" x14ac:dyDescent="0.2">
      <c r="BJ39767" s="201"/>
    </row>
    <row r="39768" spans="62:62" x14ac:dyDescent="0.2">
      <c r="BJ39768" s="201"/>
    </row>
    <row r="39769" spans="62:62" x14ac:dyDescent="0.2">
      <c r="BJ39769" s="201"/>
    </row>
    <row r="39770" spans="62:62" x14ac:dyDescent="0.2">
      <c r="BJ39770" s="201"/>
    </row>
    <row r="39771" spans="62:62" x14ac:dyDescent="0.2">
      <c r="BJ39771" s="201"/>
    </row>
    <row r="39772" spans="62:62" x14ac:dyDescent="0.2">
      <c r="BJ39772" s="201"/>
    </row>
    <row r="39773" spans="62:62" x14ac:dyDescent="0.2">
      <c r="BJ39773" s="201"/>
    </row>
    <row r="39774" spans="62:62" x14ac:dyDescent="0.2">
      <c r="BJ39774" s="201"/>
    </row>
    <row r="39775" spans="62:62" x14ac:dyDescent="0.2">
      <c r="BJ39775" s="201"/>
    </row>
    <row r="39776" spans="62:62" x14ac:dyDescent="0.2">
      <c r="BJ39776" s="201"/>
    </row>
    <row r="39777" spans="62:62" x14ac:dyDescent="0.2">
      <c r="BJ39777" s="201"/>
    </row>
    <row r="39778" spans="62:62" x14ac:dyDescent="0.2">
      <c r="BJ39778" s="201"/>
    </row>
    <row r="39779" spans="62:62" x14ac:dyDescent="0.2">
      <c r="BJ39779" s="201"/>
    </row>
    <row r="39780" spans="62:62" x14ac:dyDescent="0.2">
      <c r="BJ39780" s="201"/>
    </row>
    <row r="39781" spans="62:62" x14ac:dyDescent="0.2">
      <c r="BJ39781" s="201"/>
    </row>
    <row r="39782" spans="62:62" x14ac:dyDescent="0.2">
      <c r="BJ39782" s="201"/>
    </row>
    <row r="39783" spans="62:62" x14ac:dyDescent="0.2">
      <c r="BJ39783" s="201"/>
    </row>
    <row r="39784" spans="62:62" x14ac:dyDescent="0.2">
      <c r="BJ39784" s="201"/>
    </row>
    <row r="39785" spans="62:62" x14ac:dyDescent="0.2">
      <c r="BJ39785" s="201"/>
    </row>
    <row r="39786" spans="62:62" x14ac:dyDescent="0.2">
      <c r="BJ39786" s="201"/>
    </row>
    <row r="39787" spans="62:62" x14ac:dyDescent="0.2">
      <c r="BJ39787" s="201"/>
    </row>
    <row r="39788" spans="62:62" x14ac:dyDescent="0.2">
      <c r="BJ39788" s="201"/>
    </row>
    <row r="39789" spans="62:62" x14ac:dyDescent="0.2">
      <c r="BJ39789" s="201"/>
    </row>
    <row r="39790" spans="62:62" x14ac:dyDescent="0.2">
      <c r="BJ39790" s="201"/>
    </row>
    <row r="39791" spans="62:62" x14ac:dyDescent="0.2">
      <c r="BJ39791" s="201"/>
    </row>
    <row r="39792" spans="62:62" x14ac:dyDescent="0.2">
      <c r="BJ39792" s="201"/>
    </row>
    <row r="39793" spans="62:62" x14ac:dyDescent="0.2">
      <c r="BJ39793" s="201"/>
    </row>
    <row r="39794" spans="62:62" x14ac:dyDescent="0.2">
      <c r="BJ39794" s="201"/>
    </row>
    <row r="39795" spans="62:62" x14ac:dyDescent="0.2">
      <c r="BJ39795" s="201"/>
    </row>
    <row r="39796" spans="62:62" x14ac:dyDescent="0.2">
      <c r="BJ39796" s="201"/>
    </row>
    <row r="39797" spans="62:62" x14ac:dyDescent="0.2">
      <c r="BJ39797" s="201"/>
    </row>
    <row r="39798" spans="62:62" x14ac:dyDescent="0.2">
      <c r="BJ39798" s="201"/>
    </row>
    <row r="39799" spans="62:62" x14ac:dyDescent="0.2">
      <c r="BJ39799" s="201"/>
    </row>
    <row r="39800" spans="62:62" x14ac:dyDescent="0.2">
      <c r="BJ39800" s="201"/>
    </row>
    <row r="39801" spans="62:62" x14ac:dyDescent="0.2">
      <c r="BJ39801" s="201"/>
    </row>
    <row r="39802" spans="62:62" x14ac:dyDescent="0.2">
      <c r="BJ39802" s="201"/>
    </row>
    <row r="39803" spans="62:62" x14ac:dyDescent="0.2">
      <c r="BJ39803" s="201"/>
    </row>
    <row r="39804" spans="62:62" x14ac:dyDescent="0.2">
      <c r="BJ39804" s="201"/>
    </row>
    <row r="39805" spans="62:62" x14ac:dyDescent="0.2">
      <c r="BJ39805" s="201"/>
    </row>
    <row r="39806" spans="62:62" x14ac:dyDescent="0.2">
      <c r="BJ39806" s="201"/>
    </row>
    <row r="39807" spans="62:62" x14ac:dyDescent="0.2">
      <c r="BJ39807" s="201"/>
    </row>
    <row r="39808" spans="62:62" x14ac:dyDescent="0.2">
      <c r="BJ39808" s="201"/>
    </row>
    <row r="39809" spans="62:62" x14ac:dyDescent="0.2">
      <c r="BJ39809" s="201"/>
    </row>
    <row r="39810" spans="62:62" x14ac:dyDescent="0.2">
      <c r="BJ39810" s="201"/>
    </row>
    <row r="39811" spans="62:62" x14ac:dyDescent="0.2">
      <c r="BJ39811" s="201"/>
    </row>
    <row r="39812" spans="62:62" x14ac:dyDescent="0.2">
      <c r="BJ39812" s="201"/>
    </row>
    <row r="39813" spans="62:62" x14ac:dyDescent="0.2">
      <c r="BJ39813" s="201"/>
    </row>
    <row r="39814" spans="62:62" x14ac:dyDescent="0.2">
      <c r="BJ39814" s="201"/>
    </row>
    <row r="39815" spans="62:62" x14ac:dyDescent="0.2">
      <c r="BJ39815" s="201"/>
    </row>
    <row r="39816" spans="62:62" x14ac:dyDescent="0.2">
      <c r="BJ39816" s="201"/>
    </row>
    <row r="39817" spans="62:62" x14ac:dyDescent="0.2">
      <c r="BJ39817" s="201"/>
    </row>
    <row r="39818" spans="62:62" x14ac:dyDescent="0.2">
      <c r="BJ39818" s="201"/>
    </row>
    <row r="39819" spans="62:62" x14ac:dyDescent="0.2">
      <c r="BJ39819" s="201"/>
    </row>
    <row r="39820" spans="62:62" x14ac:dyDescent="0.2">
      <c r="BJ39820" s="201"/>
    </row>
    <row r="39821" spans="62:62" x14ac:dyDescent="0.2">
      <c r="BJ39821" s="201"/>
    </row>
    <row r="39822" spans="62:62" x14ac:dyDescent="0.2">
      <c r="BJ39822" s="201"/>
    </row>
    <row r="39823" spans="62:62" x14ac:dyDescent="0.2">
      <c r="BJ39823" s="201"/>
    </row>
    <row r="39824" spans="62:62" x14ac:dyDescent="0.2">
      <c r="BJ39824" s="201"/>
    </row>
    <row r="39825" spans="62:62" x14ac:dyDescent="0.2">
      <c r="BJ39825" s="201"/>
    </row>
    <row r="39826" spans="62:62" x14ac:dyDescent="0.2">
      <c r="BJ39826" s="201"/>
    </row>
    <row r="39827" spans="62:62" x14ac:dyDescent="0.2">
      <c r="BJ39827" s="201"/>
    </row>
    <row r="39828" spans="62:62" x14ac:dyDescent="0.2">
      <c r="BJ39828" s="201"/>
    </row>
    <row r="39829" spans="62:62" x14ac:dyDescent="0.2">
      <c r="BJ39829" s="201"/>
    </row>
    <row r="39830" spans="62:62" x14ac:dyDescent="0.2">
      <c r="BJ39830" s="201"/>
    </row>
    <row r="39831" spans="62:62" x14ac:dyDescent="0.2">
      <c r="BJ39831" s="201"/>
    </row>
    <row r="39832" spans="62:62" x14ac:dyDescent="0.2">
      <c r="BJ39832" s="201"/>
    </row>
    <row r="39833" spans="62:62" x14ac:dyDescent="0.2">
      <c r="BJ39833" s="201"/>
    </row>
    <row r="39834" spans="62:62" x14ac:dyDescent="0.2">
      <c r="BJ39834" s="201"/>
    </row>
    <row r="39835" spans="62:62" x14ac:dyDescent="0.2">
      <c r="BJ39835" s="201"/>
    </row>
    <row r="39836" spans="62:62" x14ac:dyDescent="0.2">
      <c r="BJ39836" s="201"/>
    </row>
    <row r="39837" spans="62:62" x14ac:dyDescent="0.2">
      <c r="BJ39837" s="201"/>
    </row>
    <row r="39838" spans="62:62" x14ac:dyDescent="0.2">
      <c r="BJ39838" s="201"/>
    </row>
    <row r="39839" spans="62:62" x14ac:dyDescent="0.2">
      <c r="BJ39839" s="201"/>
    </row>
    <row r="39840" spans="62:62" x14ac:dyDescent="0.2">
      <c r="BJ39840" s="201"/>
    </row>
    <row r="39841" spans="62:62" x14ac:dyDescent="0.2">
      <c r="BJ39841" s="201"/>
    </row>
    <row r="39842" spans="62:62" x14ac:dyDescent="0.2">
      <c r="BJ39842" s="201"/>
    </row>
    <row r="39843" spans="62:62" x14ac:dyDescent="0.2">
      <c r="BJ39843" s="201"/>
    </row>
    <row r="39844" spans="62:62" x14ac:dyDescent="0.2">
      <c r="BJ39844" s="201"/>
    </row>
    <row r="39845" spans="62:62" x14ac:dyDescent="0.2">
      <c r="BJ39845" s="201"/>
    </row>
    <row r="39846" spans="62:62" x14ac:dyDescent="0.2">
      <c r="BJ39846" s="201"/>
    </row>
    <row r="39847" spans="62:62" x14ac:dyDescent="0.2">
      <c r="BJ39847" s="201"/>
    </row>
    <row r="39848" spans="62:62" x14ac:dyDescent="0.2">
      <c r="BJ39848" s="201"/>
    </row>
    <row r="39849" spans="62:62" x14ac:dyDescent="0.2">
      <c r="BJ39849" s="201"/>
    </row>
    <row r="39850" spans="62:62" x14ac:dyDescent="0.2">
      <c r="BJ39850" s="201"/>
    </row>
    <row r="39851" spans="62:62" x14ac:dyDescent="0.2">
      <c r="BJ39851" s="201"/>
    </row>
    <row r="39852" spans="62:62" x14ac:dyDescent="0.2">
      <c r="BJ39852" s="201"/>
    </row>
    <row r="39853" spans="62:62" x14ac:dyDescent="0.2">
      <c r="BJ39853" s="201"/>
    </row>
    <row r="39854" spans="62:62" x14ac:dyDescent="0.2">
      <c r="BJ39854" s="201"/>
    </row>
    <row r="39855" spans="62:62" x14ac:dyDescent="0.2">
      <c r="BJ39855" s="201"/>
    </row>
    <row r="39856" spans="62:62" x14ac:dyDescent="0.2">
      <c r="BJ39856" s="201"/>
    </row>
    <row r="39857" spans="62:62" x14ac:dyDescent="0.2">
      <c r="BJ39857" s="201"/>
    </row>
    <row r="39858" spans="62:62" x14ac:dyDescent="0.2">
      <c r="BJ39858" s="201"/>
    </row>
    <row r="39859" spans="62:62" x14ac:dyDescent="0.2">
      <c r="BJ39859" s="201"/>
    </row>
    <row r="39860" spans="62:62" x14ac:dyDescent="0.2">
      <c r="BJ39860" s="201"/>
    </row>
    <row r="39861" spans="62:62" x14ac:dyDescent="0.2">
      <c r="BJ39861" s="201"/>
    </row>
    <row r="39862" spans="62:62" x14ac:dyDescent="0.2">
      <c r="BJ39862" s="201"/>
    </row>
    <row r="39863" spans="62:62" x14ac:dyDescent="0.2">
      <c r="BJ39863" s="201"/>
    </row>
    <row r="39864" spans="62:62" x14ac:dyDescent="0.2">
      <c r="BJ39864" s="201"/>
    </row>
    <row r="39865" spans="62:62" x14ac:dyDescent="0.2">
      <c r="BJ39865" s="201"/>
    </row>
    <row r="39866" spans="62:62" x14ac:dyDescent="0.2">
      <c r="BJ39866" s="201"/>
    </row>
    <row r="39867" spans="62:62" x14ac:dyDescent="0.2">
      <c r="BJ39867" s="201"/>
    </row>
    <row r="39868" spans="62:62" x14ac:dyDescent="0.2">
      <c r="BJ39868" s="201"/>
    </row>
    <row r="39869" spans="62:62" x14ac:dyDescent="0.2">
      <c r="BJ39869" s="201"/>
    </row>
    <row r="39870" spans="62:62" x14ac:dyDescent="0.2">
      <c r="BJ39870" s="201"/>
    </row>
    <row r="39871" spans="62:62" x14ac:dyDescent="0.2">
      <c r="BJ39871" s="201"/>
    </row>
    <row r="39872" spans="62:62" x14ac:dyDescent="0.2">
      <c r="BJ39872" s="201"/>
    </row>
    <row r="39873" spans="62:62" x14ac:dyDescent="0.2">
      <c r="BJ39873" s="201"/>
    </row>
    <row r="39874" spans="62:62" x14ac:dyDescent="0.2">
      <c r="BJ39874" s="201"/>
    </row>
    <row r="39875" spans="62:62" x14ac:dyDescent="0.2">
      <c r="BJ39875" s="201"/>
    </row>
    <row r="39876" spans="62:62" x14ac:dyDescent="0.2">
      <c r="BJ39876" s="201"/>
    </row>
    <row r="39877" spans="62:62" x14ac:dyDescent="0.2">
      <c r="BJ39877" s="201"/>
    </row>
    <row r="39878" spans="62:62" x14ac:dyDescent="0.2">
      <c r="BJ39878" s="201"/>
    </row>
    <row r="39879" spans="62:62" x14ac:dyDescent="0.2">
      <c r="BJ39879" s="201"/>
    </row>
    <row r="39880" spans="62:62" x14ac:dyDescent="0.2">
      <c r="BJ39880" s="201"/>
    </row>
    <row r="39881" spans="62:62" x14ac:dyDescent="0.2">
      <c r="BJ39881" s="201"/>
    </row>
    <row r="39882" spans="62:62" x14ac:dyDescent="0.2">
      <c r="BJ39882" s="201"/>
    </row>
    <row r="39883" spans="62:62" x14ac:dyDescent="0.2">
      <c r="BJ39883" s="201"/>
    </row>
    <row r="39884" spans="62:62" x14ac:dyDescent="0.2">
      <c r="BJ39884" s="201"/>
    </row>
    <row r="39885" spans="62:62" x14ac:dyDescent="0.2">
      <c r="BJ39885" s="201"/>
    </row>
    <row r="39886" spans="62:62" x14ac:dyDescent="0.2">
      <c r="BJ39886" s="201"/>
    </row>
    <row r="39887" spans="62:62" x14ac:dyDescent="0.2">
      <c r="BJ39887" s="201"/>
    </row>
    <row r="39888" spans="62:62" x14ac:dyDescent="0.2">
      <c r="BJ39888" s="201"/>
    </row>
    <row r="39889" spans="62:62" x14ac:dyDescent="0.2">
      <c r="BJ39889" s="201"/>
    </row>
    <row r="39890" spans="62:62" x14ac:dyDescent="0.2">
      <c r="BJ39890" s="201"/>
    </row>
    <row r="39891" spans="62:62" x14ac:dyDescent="0.2">
      <c r="BJ39891" s="201"/>
    </row>
    <row r="39892" spans="62:62" x14ac:dyDescent="0.2">
      <c r="BJ39892" s="201"/>
    </row>
    <row r="39893" spans="62:62" x14ac:dyDescent="0.2">
      <c r="BJ39893" s="201"/>
    </row>
    <row r="39894" spans="62:62" x14ac:dyDescent="0.2">
      <c r="BJ39894" s="201"/>
    </row>
    <row r="39895" spans="62:62" x14ac:dyDescent="0.2">
      <c r="BJ39895" s="201"/>
    </row>
    <row r="39896" spans="62:62" x14ac:dyDescent="0.2">
      <c r="BJ39896" s="201"/>
    </row>
    <row r="39897" spans="62:62" x14ac:dyDescent="0.2">
      <c r="BJ39897" s="201"/>
    </row>
    <row r="39898" spans="62:62" x14ac:dyDescent="0.2">
      <c r="BJ39898" s="201"/>
    </row>
    <row r="39899" spans="62:62" x14ac:dyDescent="0.2">
      <c r="BJ39899" s="201"/>
    </row>
    <row r="39900" spans="62:62" x14ac:dyDescent="0.2">
      <c r="BJ39900" s="201"/>
    </row>
    <row r="39901" spans="62:62" x14ac:dyDescent="0.2">
      <c r="BJ39901" s="201"/>
    </row>
    <row r="39902" spans="62:62" x14ac:dyDescent="0.2">
      <c r="BJ39902" s="201"/>
    </row>
    <row r="39903" spans="62:62" x14ac:dyDescent="0.2">
      <c r="BJ39903" s="201"/>
    </row>
    <row r="39904" spans="62:62" x14ac:dyDescent="0.2">
      <c r="BJ39904" s="201"/>
    </row>
    <row r="39905" spans="62:62" x14ac:dyDescent="0.2">
      <c r="BJ39905" s="201"/>
    </row>
    <row r="39906" spans="62:62" x14ac:dyDescent="0.2">
      <c r="BJ39906" s="201"/>
    </row>
    <row r="39907" spans="62:62" x14ac:dyDescent="0.2">
      <c r="BJ39907" s="201"/>
    </row>
    <row r="39908" spans="62:62" x14ac:dyDescent="0.2">
      <c r="BJ39908" s="201"/>
    </row>
    <row r="39909" spans="62:62" x14ac:dyDescent="0.2">
      <c r="BJ39909" s="201"/>
    </row>
    <row r="39910" spans="62:62" x14ac:dyDescent="0.2">
      <c r="BJ39910" s="201"/>
    </row>
    <row r="39911" spans="62:62" x14ac:dyDescent="0.2">
      <c r="BJ39911" s="201"/>
    </row>
    <row r="39912" spans="62:62" x14ac:dyDescent="0.2">
      <c r="BJ39912" s="201"/>
    </row>
    <row r="39913" spans="62:62" x14ac:dyDescent="0.2">
      <c r="BJ39913" s="201"/>
    </row>
    <row r="39914" spans="62:62" x14ac:dyDescent="0.2">
      <c r="BJ39914" s="201"/>
    </row>
    <row r="39915" spans="62:62" x14ac:dyDescent="0.2">
      <c r="BJ39915" s="201"/>
    </row>
    <row r="39916" spans="62:62" x14ac:dyDescent="0.2">
      <c r="BJ39916" s="201"/>
    </row>
    <row r="39917" spans="62:62" x14ac:dyDescent="0.2">
      <c r="BJ39917" s="201"/>
    </row>
    <row r="39918" spans="62:62" x14ac:dyDescent="0.2">
      <c r="BJ39918" s="201"/>
    </row>
    <row r="39919" spans="62:62" x14ac:dyDescent="0.2">
      <c r="BJ39919" s="201"/>
    </row>
    <row r="39920" spans="62:62" x14ac:dyDescent="0.2">
      <c r="BJ39920" s="201"/>
    </row>
    <row r="39921" spans="62:62" x14ac:dyDescent="0.2">
      <c r="BJ39921" s="201"/>
    </row>
    <row r="39922" spans="62:62" x14ac:dyDescent="0.2">
      <c r="BJ39922" s="201"/>
    </row>
    <row r="39923" spans="62:62" x14ac:dyDescent="0.2">
      <c r="BJ39923" s="201"/>
    </row>
    <row r="39924" spans="62:62" x14ac:dyDescent="0.2">
      <c r="BJ39924" s="201"/>
    </row>
    <row r="39925" spans="62:62" x14ac:dyDescent="0.2">
      <c r="BJ39925" s="201"/>
    </row>
    <row r="39926" spans="62:62" x14ac:dyDescent="0.2">
      <c r="BJ39926" s="201"/>
    </row>
    <row r="39927" spans="62:62" x14ac:dyDescent="0.2">
      <c r="BJ39927" s="201"/>
    </row>
    <row r="39928" spans="62:62" x14ac:dyDescent="0.2">
      <c r="BJ39928" s="201"/>
    </row>
    <row r="39929" spans="62:62" x14ac:dyDescent="0.2">
      <c r="BJ39929" s="201"/>
    </row>
    <row r="39930" spans="62:62" x14ac:dyDescent="0.2">
      <c r="BJ39930" s="201"/>
    </row>
    <row r="39931" spans="62:62" x14ac:dyDescent="0.2">
      <c r="BJ39931" s="201"/>
    </row>
    <row r="39932" spans="62:62" x14ac:dyDescent="0.2">
      <c r="BJ39932" s="201"/>
    </row>
    <row r="39933" spans="62:62" x14ac:dyDescent="0.2">
      <c r="BJ39933" s="201"/>
    </row>
    <row r="39934" spans="62:62" x14ac:dyDescent="0.2">
      <c r="BJ39934" s="201"/>
    </row>
    <row r="39935" spans="62:62" x14ac:dyDescent="0.2">
      <c r="BJ39935" s="201"/>
    </row>
    <row r="39936" spans="62:62" x14ac:dyDescent="0.2">
      <c r="BJ39936" s="201"/>
    </row>
    <row r="39937" spans="62:62" x14ac:dyDescent="0.2">
      <c r="BJ39937" s="201"/>
    </row>
    <row r="39938" spans="62:62" x14ac:dyDescent="0.2">
      <c r="BJ39938" s="201"/>
    </row>
    <row r="39939" spans="62:62" x14ac:dyDescent="0.2">
      <c r="BJ39939" s="201"/>
    </row>
    <row r="39940" spans="62:62" x14ac:dyDescent="0.2">
      <c r="BJ39940" s="201"/>
    </row>
    <row r="39941" spans="62:62" x14ac:dyDescent="0.2">
      <c r="BJ39941" s="201"/>
    </row>
    <row r="39942" spans="62:62" x14ac:dyDescent="0.2">
      <c r="BJ39942" s="201"/>
    </row>
    <row r="39943" spans="62:62" x14ac:dyDescent="0.2">
      <c r="BJ39943" s="201"/>
    </row>
    <row r="39944" spans="62:62" x14ac:dyDescent="0.2">
      <c r="BJ39944" s="201"/>
    </row>
    <row r="39945" spans="62:62" x14ac:dyDescent="0.2">
      <c r="BJ39945" s="201"/>
    </row>
    <row r="39946" spans="62:62" x14ac:dyDescent="0.2">
      <c r="BJ39946" s="201"/>
    </row>
    <row r="39947" spans="62:62" x14ac:dyDescent="0.2">
      <c r="BJ39947" s="201"/>
    </row>
    <row r="39948" spans="62:62" x14ac:dyDescent="0.2">
      <c r="BJ39948" s="201"/>
    </row>
    <row r="39949" spans="62:62" x14ac:dyDescent="0.2">
      <c r="BJ39949" s="201"/>
    </row>
    <row r="39950" spans="62:62" x14ac:dyDescent="0.2">
      <c r="BJ39950" s="201"/>
    </row>
    <row r="39951" spans="62:62" x14ac:dyDescent="0.2">
      <c r="BJ39951" s="201"/>
    </row>
    <row r="39952" spans="62:62" x14ac:dyDescent="0.2">
      <c r="BJ39952" s="201"/>
    </row>
    <row r="39953" spans="62:62" x14ac:dyDescent="0.2">
      <c r="BJ39953" s="201"/>
    </row>
    <row r="39954" spans="62:62" x14ac:dyDescent="0.2">
      <c r="BJ39954" s="201"/>
    </row>
    <row r="39955" spans="62:62" x14ac:dyDescent="0.2">
      <c r="BJ39955" s="201"/>
    </row>
    <row r="39956" spans="62:62" x14ac:dyDescent="0.2">
      <c r="BJ39956" s="201"/>
    </row>
    <row r="39957" spans="62:62" x14ac:dyDescent="0.2">
      <c r="BJ39957" s="201"/>
    </row>
    <row r="39958" spans="62:62" x14ac:dyDescent="0.2">
      <c r="BJ39958" s="201"/>
    </row>
    <row r="39959" spans="62:62" x14ac:dyDescent="0.2">
      <c r="BJ39959" s="201"/>
    </row>
    <row r="39960" spans="62:62" x14ac:dyDescent="0.2">
      <c r="BJ39960" s="201"/>
    </row>
    <row r="39961" spans="62:62" x14ac:dyDescent="0.2">
      <c r="BJ39961" s="201"/>
    </row>
    <row r="39962" spans="62:62" x14ac:dyDescent="0.2">
      <c r="BJ39962" s="201"/>
    </row>
    <row r="39963" spans="62:62" x14ac:dyDescent="0.2">
      <c r="BJ39963" s="201"/>
    </row>
    <row r="39964" spans="62:62" x14ac:dyDescent="0.2">
      <c r="BJ39964" s="201"/>
    </row>
    <row r="39965" spans="62:62" x14ac:dyDescent="0.2">
      <c r="BJ39965" s="201"/>
    </row>
    <row r="39966" spans="62:62" x14ac:dyDescent="0.2">
      <c r="BJ39966" s="201"/>
    </row>
    <row r="39967" spans="62:62" x14ac:dyDescent="0.2">
      <c r="BJ39967" s="201"/>
    </row>
    <row r="39968" spans="62:62" x14ac:dyDescent="0.2">
      <c r="BJ39968" s="201"/>
    </row>
    <row r="39969" spans="62:62" x14ac:dyDescent="0.2">
      <c r="BJ39969" s="201"/>
    </row>
    <row r="39970" spans="62:62" x14ac:dyDescent="0.2">
      <c r="BJ39970" s="201"/>
    </row>
    <row r="39971" spans="62:62" x14ac:dyDescent="0.2">
      <c r="BJ39971" s="201"/>
    </row>
    <row r="39972" spans="62:62" x14ac:dyDescent="0.2">
      <c r="BJ39972" s="201"/>
    </row>
    <row r="39973" spans="62:62" x14ac:dyDescent="0.2">
      <c r="BJ39973" s="201"/>
    </row>
    <row r="39974" spans="62:62" x14ac:dyDescent="0.2">
      <c r="BJ39974" s="201"/>
    </row>
    <row r="39975" spans="62:62" x14ac:dyDescent="0.2">
      <c r="BJ39975" s="201"/>
    </row>
    <row r="39976" spans="62:62" x14ac:dyDescent="0.2">
      <c r="BJ39976" s="201"/>
    </row>
    <row r="39977" spans="62:62" x14ac:dyDescent="0.2">
      <c r="BJ39977" s="201"/>
    </row>
    <row r="39978" spans="62:62" x14ac:dyDescent="0.2">
      <c r="BJ39978" s="201"/>
    </row>
    <row r="39979" spans="62:62" x14ac:dyDescent="0.2">
      <c r="BJ39979" s="201"/>
    </row>
    <row r="39980" spans="62:62" x14ac:dyDescent="0.2">
      <c r="BJ39980" s="201"/>
    </row>
    <row r="39981" spans="62:62" x14ac:dyDescent="0.2">
      <c r="BJ39981" s="201"/>
    </row>
    <row r="39982" spans="62:62" x14ac:dyDescent="0.2">
      <c r="BJ39982" s="201"/>
    </row>
    <row r="39983" spans="62:62" x14ac:dyDescent="0.2">
      <c r="BJ39983" s="201"/>
    </row>
    <row r="39984" spans="62:62" x14ac:dyDescent="0.2">
      <c r="BJ39984" s="201"/>
    </row>
    <row r="39985" spans="62:62" x14ac:dyDescent="0.2">
      <c r="BJ39985" s="201"/>
    </row>
    <row r="39986" spans="62:62" x14ac:dyDescent="0.2">
      <c r="BJ39986" s="201"/>
    </row>
    <row r="39987" spans="62:62" x14ac:dyDescent="0.2">
      <c r="BJ39987" s="201"/>
    </row>
    <row r="39988" spans="62:62" x14ac:dyDescent="0.2">
      <c r="BJ39988" s="201"/>
    </row>
    <row r="39989" spans="62:62" x14ac:dyDescent="0.2">
      <c r="BJ39989" s="201"/>
    </row>
    <row r="39990" spans="62:62" x14ac:dyDescent="0.2">
      <c r="BJ39990" s="201"/>
    </row>
    <row r="39991" spans="62:62" x14ac:dyDescent="0.2">
      <c r="BJ39991" s="201"/>
    </row>
    <row r="39992" spans="62:62" x14ac:dyDescent="0.2">
      <c r="BJ39992" s="201"/>
    </row>
    <row r="39993" spans="62:62" x14ac:dyDescent="0.2">
      <c r="BJ39993" s="201"/>
    </row>
    <row r="39994" spans="62:62" x14ac:dyDescent="0.2">
      <c r="BJ39994" s="201"/>
    </row>
    <row r="39995" spans="62:62" x14ac:dyDescent="0.2">
      <c r="BJ39995" s="201"/>
    </row>
    <row r="39996" spans="62:62" x14ac:dyDescent="0.2">
      <c r="BJ39996" s="201"/>
    </row>
    <row r="39997" spans="62:62" x14ac:dyDescent="0.2">
      <c r="BJ39997" s="201"/>
    </row>
    <row r="39998" spans="62:62" x14ac:dyDescent="0.2">
      <c r="BJ39998" s="201"/>
    </row>
    <row r="39999" spans="62:62" x14ac:dyDescent="0.2">
      <c r="BJ39999" s="201"/>
    </row>
    <row r="40000" spans="62:62" x14ac:dyDescent="0.2">
      <c r="BJ40000" s="201"/>
    </row>
    <row r="40001" spans="62:62" x14ac:dyDescent="0.2">
      <c r="BJ40001" s="201"/>
    </row>
    <row r="40002" spans="62:62" x14ac:dyDescent="0.2">
      <c r="BJ40002" s="201"/>
    </row>
    <row r="40003" spans="62:62" x14ac:dyDescent="0.2">
      <c r="BJ40003" s="201"/>
    </row>
    <row r="40004" spans="62:62" x14ac:dyDescent="0.2">
      <c r="BJ40004" s="201"/>
    </row>
    <row r="40005" spans="62:62" x14ac:dyDescent="0.2">
      <c r="BJ40005" s="201"/>
    </row>
    <row r="40006" spans="62:62" x14ac:dyDescent="0.2">
      <c r="BJ40006" s="201"/>
    </row>
    <row r="40007" spans="62:62" x14ac:dyDescent="0.2">
      <c r="BJ40007" s="201"/>
    </row>
    <row r="40008" spans="62:62" x14ac:dyDescent="0.2">
      <c r="BJ40008" s="201"/>
    </row>
    <row r="40009" spans="62:62" x14ac:dyDescent="0.2">
      <c r="BJ40009" s="201"/>
    </row>
    <row r="40010" spans="62:62" x14ac:dyDescent="0.2">
      <c r="BJ40010" s="201"/>
    </row>
    <row r="40011" spans="62:62" x14ac:dyDescent="0.2">
      <c r="BJ40011" s="201"/>
    </row>
    <row r="40012" spans="62:62" x14ac:dyDescent="0.2">
      <c r="BJ40012" s="201"/>
    </row>
    <row r="40013" spans="62:62" x14ac:dyDescent="0.2">
      <c r="BJ40013" s="201"/>
    </row>
    <row r="40014" spans="62:62" x14ac:dyDescent="0.2">
      <c r="BJ40014" s="201"/>
    </row>
    <row r="40015" spans="62:62" x14ac:dyDescent="0.2">
      <c r="BJ40015" s="201"/>
    </row>
    <row r="40016" spans="62:62" x14ac:dyDescent="0.2">
      <c r="BJ40016" s="201"/>
    </row>
    <row r="40017" spans="62:62" x14ac:dyDescent="0.2">
      <c r="BJ40017" s="201"/>
    </row>
    <row r="40018" spans="62:62" x14ac:dyDescent="0.2">
      <c r="BJ40018" s="201"/>
    </row>
    <row r="40019" spans="62:62" x14ac:dyDescent="0.2">
      <c r="BJ40019" s="201"/>
    </row>
    <row r="40020" spans="62:62" x14ac:dyDescent="0.2">
      <c r="BJ40020" s="201"/>
    </row>
    <row r="40021" spans="62:62" x14ac:dyDescent="0.2">
      <c r="BJ40021" s="201"/>
    </row>
    <row r="40022" spans="62:62" x14ac:dyDescent="0.2">
      <c r="BJ40022" s="201"/>
    </row>
    <row r="40023" spans="62:62" x14ac:dyDescent="0.2">
      <c r="BJ40023" s="201"/>
    </row>
    <row r="40024" spans="62:62" x14ac:dyDescent="0.2">
      <c r="BJ40024" s="201"/>
    </row>
    <row r="40025" spans="62:62" x14ac:dyDescent="0.2">
      <c r="BJ40025" s="201"/>
    </row>
    <row r="40026" spans="62:62" x14ac:dyDescent="0.2">
      <c r="BJ40026" s="201"/>
    </row>
    <row r="40027" spans="62:62" x14ac:dyDescent="0.2">
      <c r="BJ40027" s="201"/>
    </row>
    <row r="40028" spans="62:62" x14ac:dyDescent="0.2">
      <c r="BJ40028" s="201"/>
    </row>
    <row r="40029" spans="62:62" x14ac:dyDescent="0.2">
      <c r="BJ40029" s="201"/>
    </row>
    <row r="40030" spans="62:62" x14ac:dyDescent="0.2">
      <c r="BJ40030" s="201"/>
    </row>
    <row r="40031" spans="62:62" x14ac:dyDescent="0.2">
      <c r="BJ40031" s="201"/>
    </row>
    <row r="40032" spans="62:62" x14ac:dyDescent="0.2">
      <c r="BJ40032" s="201"/>
    </row>
    <row r="40033" spans="62:62" x14ac:dyDescent="0.2">
      <c r="BJ40033" s="201"/>
    </row>
    <row r="40034" spans="62:62" x14ac:dyDescent="0.2">
      <c r="BJ40034" s="201"/>
    </row>
    <row r="40035" spans="62:62" x14ac:dyDescent="0.2">
      <c r="BJ40035" s="201"/>
    </row>
    <row r="40036" spans="62:62" x14ac:dyDescent="0.2">
      <c r="BJ40036" s="201"/>
    </row>
    <row r="40037" spans="62:62" x14ac:dyDescent="0.2">
      <c r="BJ40037" s="201"/>
    </row>
    <row r="40038" spans="62:62" x14ac:dyDescent="0.2">
      <c r="BJ40038" s="201"/>
    </row>
    <row r="40039" spans="62:62" x14ac:dyDescent="0.2">
      <c r="BJ40039" s="201"/>
    </row>
    <row r="40040" spans="62:62" x14ac:dyDescent="0.2">
      <c r="BJ40040" s="201"/>
    </row>
    <row r="40041" spans="62:62" x14ac:dyDescent="0.2">
      <c r="BJ40041" s="201"/>
    </row>
    <row r="40042" spans="62:62" x14ac:dyDescent="0.2">
      <c r="BJ40042" s="201"/>
    </row>
    <row r="40043" spans="62:62" x14ac:dyDescent="0.2">
      <c r="BJ40043" s="201"/>
    </row>
    <row r="40044" spans="62:62" x14ac:dyDescent="0.2">
      <c r="BJ40044" s="201"/>
    </row>
    <row r="40045" spans="62:62" x14ac:dyDescent="0.2">
      <c r="BJ40045" s="201"/>
    </row>
    <row r="40046" spans="62:62" x14ac:dyDescent="0.2">
      <c r="BJ40046" s="201"/>
    </row>
    <row r="40047" spans="62:62" x14ac:dyDescent="0.2">
      <c r="BJ40047" s="201"/>
    </row>
    <row r="40048" spans="62:62" x14ac:dyDescent="0.2">
      <c r="BJ40048" s="201"/>
    </row>
    <row r="40049" spans="62:62" x14ac:dyDescent="0.2">
      <c r="BJ40049" s="201"/>
    </row>
    <row r="40050" spans="62:62" x14ac:dyDescent="0.2">
      <c r="BJ40050" s="201"/>
    </row>
    <row r="40051" spans="62:62" x14ac:dyDescent="0.2">
      <c r="BJ40051" s="201"/>
    </row>
    <row r="40052" spans="62:62" x14ac:dyDescent="0.2">
      <c r="BJ40052" s="201"/>
    </row>
    <row r="40053" spans="62:62" x14ac:dyDescent="0.2">
      <c r="BJ40053" s="201"/>
    </row>
    <row r="40054" spans="62:62" x14ac:dyDescent="0.2">
      <c r="BJ40054" s="201"/>
    </row>
    <row r="40055" spans="62:62" x14ac:dyDescent="0.2">
      <c r="BJ40055" s="201"/>
    </row>
    <row r="40056" spans="62:62" x14ac:dyDescent="0.2">
      <c r="BJ40056" s="201"/>
    </row>
    <row r="40057" spans="62:62" x14ac:dyDescent="0.2">
      <c r="BJ40057" s="201"/>
    </row>
    <row r="40058" spans="62:62" x14ac:dyDescent="0.2">
      <c r="BJ40058" s="201"/>
    </row>
    <row r="40059" spans="62:62" x14ac:dyDescent="0.2">
      <c r="BJ40059" s="201"/>
    </row>
    <row r="40060" spans="62:62" x14ac:dyDescent="0.2">
      <c r="BJ40060" s="201"/>
    </row>
    <row r="40061" spans="62:62" x14ac:dyDescent="0.2">
      <c r="BJ40061" s="201"/>
    </row>
    <row r="40062" spans="62:62" x14ac:dyDescent="0.2">
      <c r="BJ40062" s="201"/>
    </row>
    <row r="40063" spans="62:62" x14ac:dyDescent="0.2">
      <c r="BJ40063" s="201"/>
    </row>
    <row r="40064" spans="62:62" x14ac:dyDescent="0.2">
      <c r="BJ40064" s="201"/>
    </row>
    <row r="40065" spans="62:62" x14ac:dyDescent="0.2">
      <c r="BJ40065" s="201"/>
    </row>
    <row r="40066" spans="62:62" x14ac:dyDescent="0.2">
      <c r="BJ40066" s="201"/>
    </row>
    <row r="40067" spans="62:62" x14ac:dyDescent="0.2">
      <c r="BJ40067" s="201"/>
    </row>
    <row r="40068" spans="62:62" x14ac:dyDescent="0.2">
      <c r="BJ40068" s="201"/>
    </row>
    <row r="40069" spans="62:62" x14ac:dyDescent="0.2">
      <c r="BJ40069" s="201"/>
    </row>
    <row r="40070" spans="62:62" x14ac:dyDescent="0.2">
      <c r="BJ40070" s="201"/>
    </row>
    <row r="40071" spans="62:62" x14ac:dyDescent="0.2">
      <c r="BJ40071" s="201"/>
    </row>
    <row r="40072" spans="62:62" x14ac:dyDescent="0.2">
      <c r="BJ40072" s="201"/>
    </row>
    <row r="40073" spans="62:62" x14ac:dyDescent="0.2">
      <c r="BJ40073" s="201"/>
    </row>
    <row r="40074" spans="62:62" x14ac:dyDescent="0.2">
      <c r="BJ40074" s="201"/>
    </row>
    <row r="40075" spans="62:62" x14ac:dyDescent="0.2">
      <c r="BJ40075" s="201"/>
    </row>
    <row r="40076" spans="62:62" x14ac:dyDescent="0.2">
      <c r="BJ40076" s="201"/>
    </row>
    <row r="40077" spans="62:62" x14ac:dyDescent="0.2">
      <c r="BJ40077" s="201"/>
    </row>
    <row r="40078" spans="62:62" x14ac:dyDescent="0.2">
      <c r="BJ40078" s="201"/>
    </row>
    <row r="40079" spans="62:62" x14ac:dyDescent="0.2">
      <c r="BJ40079" s="201"/>
    </row>
    <row r="40080" spans="62:62" x14ac:dyDescent="0.2">
      <c r="BJ40080" s="201"/>
    </row>
    <row r="40081" spans="62:62" x14ac:dyDescent="0.2">
      <c r="BJ40081" s="201"/>
    </row>
    <row r="40082" spans="62:62" x14ac:dyDescent="0.2">
      <c r="BJ40082" s="201"/>
    </row>
    <row r="40083" spans="62:62" x14ac:dyDescent="0.2">
      <c r="BJ40083" s="201"/>
    </row>
    <row r="40084" spans="62:62" x14ac:dyDescent="0.2">
      <c r="BJ40084" s="201"/>
    </row>
    <row r="40085" spans="62:62" x14ac:dyDescent="0.2">
      <c r="BJ40085" s="201"/>
    </row>
    <row r="40086" spans="62:62" x14ac:dyDescent="0.2">
      <c r="BJ40086" s="201"/>
    </row>
    <row r="40087" spans="62:62" x14ac:dyDescent="0.2">
      <c r="BJ40087" s="201"/>
    </row>
    <row r="40088" spans="62:62" x14ac:dyDescent="0.2">
      <c r="BJ40088" s="201"/>
    </row>
    <row r="40089" spans="62:62" x14ac:dyDescent="0.2">
      <c r="BJ40089" s="201"/>
    </row>
    <row r="40090" spans="62:62" x14ac:dyDescent="0.2">
      <c r="BJ40090" s="201"/>
    </row>
    <row r="40091" spans="62:62" x14ac:dyDescent="0.2">
      <c r="BJ40091" s="201"/>
    </row>
    <row r="40092" spans="62:62" x14ac:dyDescent="0.2">
      <c r="BJ40092" s="201"/>
    </row>
    <row r="40093" spans="62:62" x14ac:dyDescent="0.2">
      <c r="BJ40093" s="201"/>
    </row>
    <row r="40094" spans="62:62" x14ac:dyDescent="0.2">
      <c r="BJ40094" s="201"/>
    </row>
    <row r="40095" spans="62:62" x14ac:dyDescent="0.2">
      <c r="BJ40095" s="201"/>
    </row>
    <row r="40096" spans="62:62" x14ac:dyDescent="0.2">
      <c r="BJ40096" s="201"/>
    </row>
    <row r="40097" spans="62:62" x14ac:dyDescent="0.2">
      <c r="BJ40097" s="201"/>
    </row>
    <row r="40098" spans="62:62" x14ac:dyDescent="0.2">
      <c r="BJ40098" s="201"/>
    </row>
    <row r="40099" spans="62:62" x14ac:dyDescent="0.2">
      <c r="BJ40099" s="201"/>
    </row>
    <row r="40100" spans="62:62" x14ac:dyDescent="0.2">
      <c r="BJ40100" s="201"/>
    </row>
    <row r="40101" spans="62:62" x14ac:dyDescent="0.2">
      <c r="BJ40101" s="201"/>
    </row>
    <row r="40102" spans="62:62" x14ac:dyDescent="0.2">
      <c r="BJ40102" s="201"/>
    </row>
    <row r="40103" spans="62:62" x14ac:dyDescent="0.2">
      <c r="BJ40103" s="201"/>
    </row>
    <row r="40104" spans="62:62" x14ac:dyDescent="0.2">
      <c r="BJ40104" s="201"/>
    </row>
    <row r="40105" spans="62:62" x14ac:dyDescent="0.2">
      <c r="BJ40105" s="201"/>
    </row>
    <row r="40106" spans="62:62" x14ac:dyDescent="0.2">
      <c r="BJ40106" s="201"/>
    </row>
    <row r="40107" spans="62:62" x14ac:dyDescent="0.2">
      <c r="BJ40107" s="201"/>
    </row>
    <row r="40108" spans="62:62" x14ac:dyDescent="0.2">
      <c r="BJ40108" s="201"/>
    </row>
    <row r="40109" spans="62:62" x14ac:dyDescent="0.2">
      <c r="BJ40109" s="201"/>
    </row>
    <row r="40110" spans="62:62" x14ac:dyDescent="0.2">
      <c r="BJ40110" s="201"/>
    </row>
    <row r="40111" spans="62:62" x14ac:dyDescent="0.2">
      <c r="BJ40111" s="201"/>
    </row>
    <row r="40112" spans="62:62" x14ac:dyDescent="0.2">
      <c r="BJ40112" s="201"/>
    </row>
    <row r="40113" spans="62:62" x14ac:dyDescent="0.2">
      <c r="BJ40113" s="201"/>
    </row>
    <row r="40114" spans="62:62" x14ac:dyDescent="0.2">
      <c r="BJ40114" s="201"/>
    </row>
    <row r="40115" spans="62:62" x14ac:dyDescent="0.2">
      <c r="BJ40115" s="201"/>
    </row>
    <row r="40116" spans="62:62" x14ac:dyDescent="0.2">
      <c r="BJ40116" s="201"/>
    </row>
    <row r="40117" spans="62:62" x14ac:dyDescent="0.2">
      <c r="BJ40117" s="201"/>
    </row>
    <row r="40118" spans="62:62" x14ac:dyDescent="0.2">
      <c r="BJ40118" s="201"/>
    </row>
    <row r="40119" spans="62:62" x14ac:dyDescent="0.2">
      <c r="BJ40119" s="201"/>
    </row>
    <row r="40120" spans="62:62" x14ac:dyDescent="0.2">
      <c r="BJ40120" s="201"/>
    </row>
    <row r="40121" spans="62:62" x14ac:dyDescent="0.2">
      <c r="BJ40121" s="201"/>
    </row>
    <row r="40122" spans="62:62" x14ac:dyDescent="0.2">
      <c r="BJ40122" s="201"/>
    </row>
    <row r="40123" spans="62:62" x14ac:dyDescent="0.2">
      <c r="BJ40123" s="201"/>
    </row>
    <row r="40124" spans="62:62" x14ac:dyDescent="0.2">
      <c r="BJ40124" s="201"/>
    </row>
    <row r="40125" spans="62:62" x14ac:dyDescent="0.2">
      <c r="BJ40125" s="201"/>
    </row>
    <row r="40126" spans="62:62" x14ac:dyDescent="0.2">
      <c r="BJ40126" s="201"/>
    </row>
    <row r="40127" spans="62:62" x14ac:dyDescent="0.2">
      <c r="BJ40127" s="201"/>
    </row>
    <row r="40128" spans="62:62" x14ac:dyDescent="0.2">
      <c r="BJ40128" s="201"/>
    </row>
    <row r="40129" spans="62:62" x14ac:dyDescent="0.2">
      <c r="BJ40129" s="201"/>
    </row>
    <row r="40130" spans="62:62" x14ac:dyDescent="0.2">
      <c r="BJ40130" s="201"/>
    </row>
    <row r="40131" spans="62:62" x14ac:dyDescent="0.2">
      <c r="BJ40131" s="201"/>
    </row>
    <row r="40132" spans="62:62" x14ac:dyDescent="0.2">
      <c r="BJ40132" s="201"/>
    </row>
    <row r="40133" spans="62:62" x14ac:dyDescent="0.2">
      <c r="BJ40133" s="201"/>
    </row>
    <row r="40134" spans="62:62" x14ac:dyDescent="0.2">
      <c r="BJ40134" s="201"/>
    </row>
    <row r="40135" spans="62:62" x14ac:dyDescent="0.2">
      <c r="BJ40135" s="201"/>
    </row>
    <row r="40136" spans="62:62" x14ac:dyDescent="0.2">
      <c r="BJ40136" s="201"/>
    </row>
    <row r="40137" spans="62:62" x14ac:dyDescent="0.2">
      <c r="BJ40137" s="201"/>
    </row>
    <row r="40138" spans="62:62" x14ac:dyDescent="0.2">
      <c r="BJ40138" s="201"/>
    </row>
    <row r="40139" spans="62:62" x14ac:dyDescent="0.2">
      <c r="BJ40139" s="201"/>
    </row>
    <row r="40140" spans="62:62" x14ac:dyDescent="0.2">
      <c r="BJ40140" s="201"/>
    </row>
    <row r="40141" spans="62:62" x14ac:dyDescent="0.2">
      <c r="BJ40141" s="201"/>
    </row>
    <row r="40142" spans="62:62" x14ac:dyDescent="0.2">
      <c r="BJ40142" s="201"/>
    </row>
    <row r="40143" spans="62:62" x14ac:dyDescent="0.2">
      <c r="BJ40143" s="201"/>
    </row>
    <row r="40144" spans="62:62" x14ac:dyDescent="0.2">
      <c r="BJ40144" s="201"/>
    </row>
    <row r="40145" spans="62:62" x14ac:dyDescent="0.2">
      <c r="BJ40145" s="201"/>
    </row>
    <row r="40146" spans="62:62" x14ac:dyDescent="0.2">
      <c r="BJ40146" s="201"/>
    </row>
    <row r="40147" spans="62:62" x14ac:dyDescent="0.2">
      <c r="BJ40147" s="201"/>
    </row>
    <row r="40148" spans="62:62" x14ac:dyDescent="0.2">
      <c r="BJ40148" s="201"/>
    </row>
    <row r="40149" spans="62:62" x14ac:dyDescent="0.2">
      <c r="BJ40149" s="201"/>
    </row>
    <row r="40150" spans="62:62" x14ac:dyDescent="0.2">
      <c r="BJ40150" s="201"/>
    </row>
    <row r="40151" spans="62:62" x14ac:dyDescent="0.2">
      <c r="BJ40151" s="201"/>
    </row>
    <row r="40152" spans="62:62" x14ac:dyDescent="0.2">
      <c r="BJ40152" s="201"/>
    </row>
    <row r="40153" spans="62:62" x14ac:dyDescent="0.2">
      <c r="BJ40153" s="201"/>
    </row>
    <row r="40154" spans="62:62" x14ac:dyDescent="0.2">
      <c r="BJ40154" s="201"/>
    </row>
    <row r="40155" spans="62:62" x14ac:dyDescent="0.2">
      <c r="BJ40155" s="201"/>
    </row>
    <row r="40156" spans="62:62" x14ac:dyDescent="0.2">
      <c r="BJ40156" s="201"/>
    </row>
    <row r="40157" spans="62:62" x14ac:dyDescent="0.2">
      <c r="BJ40157" s="201"/>
    </row>
    <row r="40158" spans="62:62" x14ac:dyDescent="0.2">
      <c r="BJ40158" s="201"/>
    </row>
    <row r="40159" spans="62:62" x14ac:dyDescent="0.2">
      <c r="BJ40159" s="201"/>
    </row>
    <row r="40160" spans="62:62" x14ac:dyDescent="0.2">
      <c r="BJ40160" s="201"/>
    </row>
    <row r="40161" spans="62:62" x14ac:dyDescent="0.2">
      <c r="BJ40161" s="201"/>
    </row>
    <row r="40162" spans="62:62" x14ac:dyDescent="0.2">
      <c r="BJ40162" s="201"/>
    </row>
    <row r="40163" spans="62:62" x14ac:dyDescent="0.2">
      <c r="BJ40163" s="201"/>
    </row>
    <row r="40164" spans="62:62" x14ac:dyDescent="0.2">
      <c r="BJ40164" s="201"/>
    </row>
    <row r="40165" spans="62:62" x14ac:dyDescent="0.2">
      <c r="BJ40165" s="201"/>
    </row>
    <row r="40166" spans="62:62" x14ac:dyDescent="0.2">
      <c r="BJ40166" s="201"/>
    </row>
    <row r="40167" spans="62:62" x14ac:dyDescent="0.2">
      <c r="BJ40167" s="201"/>
    </row>
    <row r="40168" spans="62:62" x14ac:dyDescent="0.2">
      <c r="BJ40168" s="201"/>
    </row>
    <row r="40169" spans="62:62" x14ac:dyDescent="0.2">
      <c r="BJ40169" s="201"/>
    </row>
    <row r="40170" spans="62:62" x14ac:dyDescent="0.2">
      <c r="BJ40170" s="201"/>
    </row>
    <row r="40171" spans="62:62" x14ac:dyDescent="0.2">
      <c r="BJ40171" s="201"/>
    </row>
    <row r="40172" spans="62:62" x14ac:dyDescent="0.2">
      <c r="BJ40172" s="201"/>
    </row>
    <row r="40173" spans="62:62" x14ac:dyDescent="0.2">
      <c r="BJ40173" s="201"/>
    </row>
    <row r="40174" spans="62:62" x14ac:dyDescent="0.2">
      <c r="BJ40174" s="201"/>
    </row>
    <row r="40175" spans="62:62" x14ac:dyDescent="0.2">
      <c r="BJ40175" s="201"/>
    </row>
    <row r="40176" spans="62:62" x14ac:dyDescent="0.2">
      <c r="BJ40176" s="201"/>
    </row>
    <row r="40177" spans="62:62" x14ac:dyDescent="0.2">
      <c r="BJ40177" s="201"/>
    </row>
    <row r="40178" spans="62:62" x14ac:dyDescent="0.2">
      <c r="BJ40178" s="201"/>
    </row>
    <row r="40179" spans="62:62" x14ac:dyDescent="0.2">
      <c r="BJ40179" s="201"/>
    </row>
    <row r="40180" spans="62:62" x14ac:dyDescent="0.2">
      <c r="BJ40180" s="201"/>
    </row>
    <row r="40181" spans="62:62" x14ac:dyDescent="0.2">
      <c r="BJ40181" s="201"/>
    </row>
    <row r="40182" spans="62:62" x14ac:dyDescent="0.2">
      <c r="BJ40182" s="201"/>
    </row>
    <row r="40183" spans="62:62" x14ac:dyDescent="0.2">
      <c r="BJ40183" s="201"/>
    </row>
    <row r="40184" spans="62:62" x14ac:dyDescent="0.2">
      <c r="BJ40184" s="201"/>
    </row>
    <row r="40185" spans="62:62" x14ac:dyDescent="0.2">
      <c r="BJ40185" s="201"/>
    </row>
    <row r="40186" spans="62:62" x14ac:dyDescent="0.2">
      <c r="BJ40186" s="201"/>
    </row>
    <row r="40187" spans="62:62" x14ac:dyDescent="0.2">
      <c r="BJ40187" s="201"/>
    </row>
    <row r="40188" spans="62:62" x14ac:dyDescent="0.2">
      <c r="BJ40188" s="201"/>
    </row>
    <row r="40189" spans="62:62" x14ac:dyDescent="0.2">
      <c r="BJ40189" s="201"/>
    </row>
    <row r="40190" spans="62:62" x14ac:dyDescent="0.2">
      <c r="BJ40190" s="201"/>
    </row>
    <row r="40191" spans="62:62" x14ac:dyDescent="0.2">
      <c r="BJ40191" s="201"/>
    </row>
    <row r="40192" spans="62:62" x14ac:dyDescent="0.2">
      <c r="BJ40192" s="201"/>
    </row>
    <row r="40193" spans="62:62" x14ac:dyDescent="0.2">
      <c r="BJ40193" s="201"/>
    </row>
    <row r="40194" spans="62:62" x14ac:dyDescent="0.2">
      <c r="BJ40194" s="201"/>
    </row>
    <row r="40195" spans="62:62" x14ac:dyDescent="0.2">
      <c r="BJ40195" s="201"/>
    </row>
    <row r="40196" spans="62:62" x14ac:dyDescent="0.2">
      <c r="BJ40196" s="201"/>
    </row>
    <row r="40197" spans="62:62" x14ac:dyDescent="0.2">
      <c r="BJ40197" s="201"/>
    </row>
    <row r="40198" spans="62:62" x14ac:dyDescent="0.2">
      <c r="BJ40198" s="201"/>
    </row>
    <row r="40199" spans="62:62" x14ac:dyDescent="0.2">
      <c r="BJ40199" s="201"/>
    </row>
    <row r="40200" spans="62:62" x14ac:dyDescent="0.2">
      <c r="BJ40200" s="201"/>
    </row>
    <row r="40201" spans="62:62" x14ac:dyDescent="0.2">
      <c r="BJ40201" s="201"/>
    </row>
    <row r="40202" spans="62:62" x14ac:dyDescent="0.2">
      <c r="BJ40202" s="201"/>
    </row>
    <row r="40203" spans="62:62" x14ac:dyDescent="0.2">
      <c r="BJ40203" s="201"/>
    </row>
    <row r="40204" spans="62:62" x14ac:dyDescent="0.2">
      <c r="BJ40204" s="201"/>
    </row>
    <row r="40205" spans="62:62" x14ac:dyDescent="0.2">
      <c r="BJ40205" s="201"/>
    </row>
    <row r="40206" spans="62:62" x14ac:dyDescent="0.2">
      <c r="BJ40206" s="201"/>
    </row>
    <row r="40207" spans="62:62" x14ac:dyDescent="0.2">
      <c r="BJ40207" s="201"/>
    </row>
    <row r="40208" spans="62:62" x14ac:dyDescent="0.2">
      <c r="BJ40208" s="201"/>
    </row>
    <row r="40209" spans="62:62" x14ac:dyDescent="0.2">
      <c r="BJ40209" s="201"/>
    </row>
    <row r="40210" spans="62:62" x14ac:dyDescent="0.2">
      <c r="BJ40210" s="201"/>
    </row>
    <row r="40211" spans="62:62" x14ac:dyDescent="0.2">
      <c r="BJ40211" s="201"/>
    </row>
    <row r="40212" spans="62:62" x14ac:dyDescent="0.2">
      <c r="BJ40212" s="201"/>
    </row>
    <row r="40213" spans="62:62" x14ac:dyDescent="0.2">
      <c r="BJ40213" s="201"/>
    </row>
    <row r="40214" spans="62:62" x14ac:dyDescent="0.2">
      <c r="BJ40214" s="201"/>
    </row>
    <row r="40215" spans="62:62" x14ac:dyDescent="0.2">
      <c r="BJ40215" s="201"/>
    </row>
    <row r="40216" spans="62:62" x14ac:dyDescent="0.2">
      <c r="BJ40216" s="201"/>
    </row>
    <row r="40217" spans="62:62" x14ac:dyDescent="0.2">
      <c r="BJ40217" s="201"/>
    </row>
    <row r="40218" spans="62:62" x14ac:dyDescent="0.2">
      <c r="BJ40218" s="201"/>
    </row>
    <row r="40219" spans="62:62" x14ac:dyDescent="0.2">
      <c r="BJ40219" s="201"/>
    </row>
    <row r="40220" spans="62:62" x14ac:dyDescent="0.2">
      <c r="BJ40220" s="201"/>
    </row>
    <row r="40221" spans="62:62" x14ac:dyDescent="0.2">
      <c r="BJ40221" s="201"/>
    </row>
    <row r="40222" spans="62:62" x14ac:dyDescent="0.2">
      <c r="BJ40222" s="201"/>
    </row>
    <row r="40223" spans="62:62" x14ac:dyDescent="0.2">
      <c r="BJ40223" s="201"/>
    </row>
    <row r="40224" spans="62:62" x14ac:dyDescent="0.2">
      <c r="BJ40224" s="201"/>
    </row>
    <row r="40225" spans="62:62" x14ac:dyDescent="0.2">
      <c r="BJ40225" s="201"/>
    </row>
    <row r="40226" spans="62:62" x14ac:dyDescent="0.2">
      <c r="BJ40226" s="201"/>
    </row>
    <row r="40227" spans="62:62" x14ac:dyDescent="0.2">
      <c r="BJ40227" s="201"/>
    </row>
    <row r="40228" spans="62:62" x14ac:dyDescent="0.2">
      <c r="BJ40228" s="201"/>
    </row>
    <row r="40229" spans="62:62" x14ac:dyDescent="0.2">
      <c r="BJ40229" s="201"/>
    </row>
    <row r="40230" spans="62:62" x14ac:dyDescent="0.2">
      <c r="BJ40230" s="201"/>
    </row>
    <row r="40231" spans="62:62" x14ac:dyDescent="0.2">
      <c r="BJ40231" s="201"/>
    </row>
    <row r="40232" spans="62:62" x14ac:dyDescent="0.2">
      <c r="BJ40232" s="201"/>
    </row>
    <row r="40233" spans="62:62" x14ac:dyDescent="0.2">
      <c r="BJ40233" s="201"/>
    </row>
    <row r="40234" spans="62:62" x14ac:dyDescent="0.2">
      <c r="BJ40234" s="201"/>
    </row>
    <row r="40235" spans="62:62" x14ac:dyDescent="0.2">
      <c r="BJ40235" s="201"/>
    </row>
    <row r="40236" spans="62:62" x14ac:dyDescent="0.2">
      <c r="BJ40236" s="201"/>
    </row>
    <row r="40237" spans="62:62" x14ac:dyDescent="0.2">
      <c r="BJ40237" s="201"/>
    </row>
    <row r="40238" spans="62:62" x14ac:dyDescent="0.2">
      <c r="BJ40238" s="201"/>
    </row>
    <row r="40239" spans="62:62" x14ac:dyDescent="0.2">
      <c r="BJ40239" s="201"/>
    </row>
    <row r="40240" spans="62:62" x14ac:dyDescent="0.2">
      <c r="BJ40240" s="201"/>
    </row>
    <row r="40241" spans="62:62" x14ac:dyDescent="0.2">
      <c r="BJ40241" s="201"/>
    </row>
    <row r="40242" spans="62:62" x14ac:dyDescent="0.2">
      <c r="BJ40242" s="201"/>
    </row>
    <row r="40243" spans="62:62" x14ac:dyDescent="0.2">
      <c r="BJ40243" s="201"/>
    </row>
    <row r="40244" spans="62:62" x14ac:dyDescent="0.2">
      <c r="BJ40244" s="201"/>
    </row>
    <row r="40245" spans="62:62" x14ac:dyDescent="0.2">
      <c r="BJ40245" s="201"/>
    </row>
    <row r="40246" spans="62:62" x14ac:dyDescent="0.2">
      <c r="BJ40246" s="201"/>
    </row>
    <row r="40247" spans="62:62" x14ac:dyDescent="0.2">
      <c r="BJ40247" s="201"/>
    </row>
    <row r="40248" spans="62:62" x14ac:dyDescent="0.2">
      <c r="BJ40248" s="201"/>
    </row>
    <row r="40249" spans="62:62" x14ac:dyDescent="0.2">
      <c r="BJ40249" s="201"/>
    </row>
    <row r="40250" spans="62:62" x14ac:dyDescent="0.2">
      <c r="BJ40250" s="201"/>
    </row>
    <row r="40251" spans="62:62" x14ac:dyDescent="0.2">
      <c r="BJ40251" s="201"/>
    </row>
    <row r="40252" spans="62:62" x14ac:dyDescent="0.2">
      <c r="BJ40252" s="201"/>
    </row>
    <row r="40253" spans="62:62" x14ac:dyDescent="0.2">
      <c r="BJ40253" s="201"/>
    </row>
    <row r="40254" spans="62:62" x14ac:dyDescent="0.2">
      <c r="BJ40254" s="201"/>
    </row>
    <row r="40255" spans="62:62" x14ac:dyDescent="0.2">
      <c r="BJ40255" s="201"/>
    </row>
    <row r="40256" spans="62:62" x14ac:dyDescent="0.2">
      <c r="BJ40256" s="201"/>
    </row>
    <row r="40257" spans="62:62" x14ac:dyDescent="0.2">
      <c r="BJ40257" s="201"/>
    </row>
    <row r="40258" spans="62:62" x14ac:dyDescent="0.2">
      <c r="BJ40258" s="201"/>
    </row>
    <row r="40259" spans="62:62" x14ac:dyDescent="0.2">
      <c r="BJ40259" s="201"/>
    </row>
    <row r="40260" spans="62:62" x14ac:dyDescent="0.2">
      <c r="BJ40260" s="201"/>
    </row>
    <row r="40261" spans="62:62" x14ac:dyDescent="0.2">
      <c r="BJ40261" s="201"/>
    </row>
    <row r="40262" spans="62:62" x14ac:dyDescent="0.2">
      <c r="BJ40262" s="201"/>
    </row>
    <row r="40263" spans="62:62" x14ac:dyDescent="0.2">
      <c r="BJ40263" s="201"/>
    </row>
    <row r="40264" spans="62:62" x14ac:dyDescent="0.2">
      <c r="BJ40264" s="201"/>
    </row>
    <row r="40265" spans="62:62" x14ac:dyDescent="0.2">
      <c r="BJ40265" s="201"/>
    </row>
    <row r="40266" spans="62:62" x14ac:dyDescent="0.2">
      <c r="BJ40266" s="201"/>
    </row>
    <row r="40267" spans="62:62" x14ac:dyDescent="0.2">
      <c r="BJ40267" s="201"/>
    </row>
    <row r="40268" spans="62:62" x14ac:dyDescent="0.2">
      <c r="BJ40268" s="201"/>
    </row>
    <row r="40269" spans="62:62" x14ac:dyDescent="0.2">
      <c r="BJ40269" s="201"/>
    </row>
    <row r="40270" spans="62:62" x14ac:dyDescent="0.2">
      <c r="BJ40270" s="201"/>
    </row>
    <row r="40271" spans="62:62" x14ac:dyDescent="0.2">
      <c r="BJ40271" s="201"/>
    </row>
    <row r="40272" spans="62:62" x14ac:dyDescent="0.2">
      <c r="BJ40272" s="201"/>
    </row>
    <row r="40273" spans="62:62" x14ac:dyDescent="0.2">
      <c r="BJ40273" s="201"/>
    </row>
    <row r="40274" spans="62:62" x14ac:dyDescent="0.2">
      <c r="BJ40274" s="201"/>
    </row>
    <row r="40275" spans="62:62" x14ac:dyDescent="0.2">
      <c r="BJ40275" s="201"/>
    </row>
    <row r="40276" spans="62:62" x14ac:dyDescent="0.2">
      <c r="BJ40276" s="201"/>
    </row>
    <row r="40277" spans="62:62" x14ac:dyDescent="0.2">
      <c r="BJ40277" s="201"/>
    </row>
    <row r="40278" spans="62:62" x14ac:dyDescent="0.2">
      <c r="BJ40278" s="201"/>
    </row>
    <row r="40279" spans="62:62" x14ac:dyDescent="0.2">
      <c r="BJ40279" s="201"/>
    </row>
    <row r="40280" spans="62:62" x14ac:dyDescent="0.2">
      <c r="BJ40280" s="201"/>
    </row>
    <row r="40281" spans="62:62" x14ac:dyDescent="0.2">
      <c r="BJ40281" s="201"/>
    </row>
    <row r="40282" spans="62:62" x14ac:dyDescent="0.2">
      <c r="BJ40282" s="201"/>
    </row>
    <row r="40283" spans="62:62" x14ac:dyDescent="0.2">
      <c r="BJ40283" s="201"/>
    </row>
    <row r="40284" spans="62:62" x14ac:dyDescent="0.2">
      <c r="BJ40284" s="201"/>
    </row>
    <row r="40285" spans="62:62" x14ac:dyDescent="0.2">
      <c r="BJ40285" s="201"/>
    </row>
    <row r="40286" spans="62:62" x14ac:dyDescent="0.2">
      <c r="BJ40286" s="201"/>
    </row>
    <row r="40287" spans="62:62" x14ac:dyDescent="0.2">
      <c r="BJ40287" s="201"/>
    </row>
    <row r="40288" spans="62:62" x14ac:dyDescent="0.2">
      <c r="BJ40288" s="201"/>
    </row>
    <row r="40289" spans="62:62" x14ac:dyDescent="0.2">
      <c r="BJ40289" s="201"/>
    </row>
    <row r="40290" spans="62:62" x14ac:dyDescent="0.2">
      <c r="BJ40290" s="201"/>
    </row>
    <row r="40291" spans="62:62" x14ac:dyDescent="0.2">
      <c r="BJ40291" s="201"/>
    </row>
    <row r="40292" spans="62:62" x14ac:dyDescent="0.2">
      <c r="BJ40292" s="201"/>
    </row>
    <row r="40293" spans="62:62" x14ac:dyDescent="0.2">
      <c r="BJ40293" s="201"/>
    </row>
    <row r="40294" spans="62:62" x14ac:dyDescent="0.2">
      <c r="BJ40294" s="201"/>
    </row>
    <row r="40295" spans="62:62" x14ac:dyDescent="0.2">
      <c r="BJ40295" s="201"/>
    </row>
    <row r="40296" spans="62:62" x14ac:dyDescent="0.2">
      <c r="BJ40296" s="201"/>
    </row>
    <row r="40297" spans="62:62" x14ac:dyDescent="0.2">
      <c r="BJ40297" s="201"/>
    </row>
    <row r="40298" spans="62:62" x14ac:dyDescent="0.2">
      <c r="BJ40298" s="201"/>
    </row>
    <row r="40299" spans="62:62" x14ac:dyDescent="0.2">
      <c r="BJ40299" s="201"/>
    </row>
    <row r="40300" spans="62:62" x14ac:dyDescent="0.2">
      <c r="BJ40300" s="201"/>
    </row>
    <row r="40301" spans="62:62" x14ac:dyDescent="0.2">
      <c r="BJ40301" s="201"/>
    </row>
    <row r="40302" spans="62:62" x14ac:dyDescent="0.2">
      <c r="BJ40302" s="201"/>
    </row>
    <row r="40303" spans="62:62" x14ac:dyDescent="0.2">
      <c r="BJ40303" s="201"/>
    </row>
    <row r="40304" spans="62:62" x14ac:dyDescent="0.2">
      <c r="BJ40304" s="201"/>
    </row>
    <row r="40305" spans="62:62" x14ac:dyDescent="0.2">
      <c r="BJ40305" s="201"/>
    </row>
    <row r="40306" spans="62:62" x14ac:dyDescent="0.2">
      <c r="BJ40306" s="201"/>
    </row>
    <row r="40307" spans="62:62" x14ac:dyDescent="0.2">
      <c r="BJ40307" s="201"/>
    </row>
    <row r="40308" spans="62:62" x14ac:dyDescent="0.2">
      <c r="BJ40308" s="201"/>
    </row>
    <row r="40309" spans="62:62" x14ac:dyDescent="0.2">
      <c r="BJ40309" s="201"/>
    </row>
    <row r="40310" spans="62:62" x14ac:dyDescent="0.2">
      <c r="BJ40310" s="201"/>
    </row>
    <row r="40311" spans="62:62" x14ac:dyDescent="0.2">
      <c r="BJ40311" s="201"/>
    </row>
    <row r="40312" spans="62:62" x14ac:dyDescent="0.2">
      <c r="BJ40312" s="201"/>
    </row>
    <row r="40313" spans="62:62" x14ac:dyDescent="0.2">
      <c r="BJ40313" s="201"/>
    </row>
    <row r="40314" spans="62:62" x14ac:dyDescent="0.2">
      <c r="BJ40314" s="201"/>
    </row>
    <row r="40315" spans="62:62" x14ac:dyDescent="0.2">
      <c r="BJ40315" s="201"/>
    </row>
    <row r="40316" spans="62:62" x14ac:dyDescent="0.2">
      <c r="BJ40316" s="201"/>
    </row>
    <row r="40317" spans="62:62" x14ac:dyDescent="0.2">
      <c r="BJ40317" s="201"/>
    </row>
    <row r="40318" spans="62:62" x14ac:dyDescent="0.2">
      <c r="BJ40318" s="201"/>
    </row>
    <row r="40319" spans="62:62" x14ac:dyDescent="0.2">
      <c r="BJ40319" s="201"/>
    </row>
    <row r="40320" spans="62:62" x14ac:dyDescent="0.2">
      <c r="BJ40320" s="201"/>
    </row>
    <row r="40321" spans="62:62" x14ac:dyDescent="0.2">
      <c r="BJ40321" s="201"/>
    </row>
    <row r="40322" spans="62:62" x14ac:dyDescent="0.2">
      <c r="BJ40322" s="201"/>
    </row>
    <row r="40323" spans="62:62" x14ac:dyDescent="0.2">
      <c r="BJ40323" s="201"/>
    </row>
    <row r="40324" spans="62:62" x14ac:dyDescent="0.2">
      <c r="BJ40324" s="201"/>
    </row>
    <row r="40325" spans="62:62" x14ac:dyDescent="0.2">
      <c r="BJ40325" s="201"/>
    </row>
    <row r="40326" spans="62:62" x14ac:dyDescent="0.2">
      <c r="BJ40326" s="201"/>
    </row>
    <row r="40327" spans="62:62" x14ac:dyDescent="0.2">
      <c r="BJ40327" s="201"/>
    </row>
    <row r="40328" spans="62:62" x14ac:dyDescent="0.2">
      <c r="BJ40328" s="201"/>
    </row>
    <row r="40329" spans="62:62" x14ac:dyDescent="0.2">
      <c r="BJ40329" s="201"/>
    </row>
    <row r="40330" spans="62:62" x14ac:dyDescent="0.2">
      <c r="BJ40330" s="201"/>
    </row>
    <row r="40331" spans="62:62" x14ac:dyDescent="0.2">
      <c r="BJ40331" s="201"/>
    </row>
    <row r="40332" spans="62:62" x14ac:dyDescent="0.2">
      <c r="BJ40332" s="201"/>
    </row>
    <row r="40333" spans="62:62" x14ac:dyDescent="0.2">
      <c r="BJ40333" s="201"/>
    </row>
    <row r="40334" spans="62:62" x14ac:dyDescent="0.2">
      <c r="BJ40334" s="201"/>
    </row>
    <row r="40335" spans="62:62" x14ac:dyDescent="0.2">
      <c r="BJ40335" s="201"/>
    </row>
    <row r="40336" spans="62:62" x14ac:dyDescent="0.2">
      <c r="BJ40336" s="201"/>
    </row>
    <row r="40337" spans="62:62" x14ac:dyDescent="0.2">
      <c r="BJ40337" s="201"/>
    </row>
    <row r="40338" spans="62:62" x14ac:dyDescent="0.2">
      <c r="BJ40338" s="201"/>
    </row>
    <row r="40339" spans="62:62" x14ac:dyDescent="0.2">
      <c r="BJ40339" s="201"/>
    </row>
    <row r="40340" spans="62:62" x14ac:dyDescent="0.2">
      <c r="BJ40340" s="201"/>
    </row>
    <row r="40341" spans="62:62" x14ac:dyDescent="0.2">
      <c r="BJ40341" s="201"/>
    </row>
    <row r="40342" spans="62:62" x14ac:dyDescent="0.2">
      <c r="BJ40342" s="201"/>
    </row>
    <row r="40343" spans="62:62" x14ac:dyDescent="0.2">
      <c r="BJ40343" s="201"/>
    </row>
    <row r="40344" spans="62:62" x14ac:dyDescent="0.2">
      <c r="BJ40344" s="201"/>
    </row>
    <row r="40345" spans="62:62" x14ac:dyDescent="0.2">
      <c r="BJ40345" s="201"/>
    </row>
    <row r="40346" spans="62:62" x14ac:dyDescent="0.2">
      <c r="BJ40346" s="201"/>
    </row>
    <row r="40347" spans="62:62" x14ac:dyDescent="0.2">
      <c r="BJ40347" s="201"/>
    </row>
    <row r="40348" spans="62:62" x14ac:dyDescent="0.2">
      <c r="BJ40348" s="201"/>
    </row>
    <row r="40349" spans="62:62" x14ac:dyDescent="0.2">
      <c r="BJ40349" s="201"/>
    </row>
    <row r="40350" spans="62:62" x14ac:dyDescent="0.2">
      <c r="BJ40350" s="201"/>
    </row>
    <row r="40351" spans="62:62" x14ac:dyDescent="0.2">
      <c r="BJ40351" s="201"/>
    </row>
    <row r="40352" spans="62:62" x14ac:dyDescent="0.2">
      <c r="BJ40352" s="201"/>
    </row>
    <row r="40353" spans="62:62" x14ac:dyDescent="0.2">
      <c r="BJ40353" s="201"/>
    </row>
    <row r="40354" spans="62:62" x14ac:dyDescent="0.2">
      <c r="BJ40354" s="201"/>
    </row>
    <row r="40355" spans="62:62" x14ac:dyDescent="0.2">
      <c r="BJ40355" s="201"/>
    </row>
    <row r="40356" spans="62:62" x14ac:dyDescent="0.2">
      <c r="BJ40356" s="201"/>
    </row>
    <row r="40357" spans="62:62" x14ac:dyDescent="0.2">
      <c r="BJ40357" s="201"/>
    </row>
    <row r="40358" spans="62:62" x14ac:dyDescent="0.2">
      <c r="BJ40358" s="201"/>
    </row>
    <row r="40359" spans="62:62" x14ac:dyDescent="0.2">
      <c r="BJ40359" s="201"/>
    </row>
    <row r="40360" spans="62:62" x14ac:dyDescent="0.2">
      <c r="BJ40360" s="201"/>
    </row>
    <row r="40361" spans="62:62" x14ac:dyDescent="0.2">
      <c r="BJ40361" s="201"/>
    </row>
    <row r="40362" spans="62:62" x14ac:dyDescent="0.2">
      <c r="BJ40362" s="201"/>
    </row>
    <row r="40363" spans="62:62" x14ac:dyDescent="0.2">
      <c r="BJ40363" s="201"/>
    </row>
    <row r="40364" spans="62:62" x14ac:dyDescent="0.2">
      <c r="BJ40364" s="201"/>
    </row>
    <row r="40365" spans="62:62" x14ac:dyDescent="0.2">
      <c r="BJ40365" s="201"/>
    </row>
    <row r="40366" spans="62:62" x14ac:dyDescent="0.2">
      <c r="BJ40366" s="201"/>
    </row>
    <row r="40367" spans="62:62" x14ac:dyDescent="0.2">
      <c r="BJ40367" s="201"/>
    </row>
    <row r="40368" spans="62:62" x14ac:dyDescent="0.2">
      <c r="BJ40368" s="201"/>
    </row>
    <row r="40369" spans="62:62" x14ac:dyDescent="0.2">
      <c r="BJ40369" s="201"/>
    </row>
    <row r="40370" spans="62:62" x14ac:dyDescent="0.2">
      <c r="BJ40370" s="201"/>
    </row>
    <row r="40371" spans="62:62" x14ac:dyDescent="0.2">
      <c r="BJ40371" s="201"/>
    </row>
    <row r="40372" spans="62:62" x14ac:dyDescent="0.2">
      <c r="BJ40372" s="201"/>
    </row>
    <row r="40373" spans="62:62" x14ac:dyDescent="0.2">
      <c r="BJ40373" s="201"/>
    </row>
    <row r="40374" spans="62:62" x14ac:dyDescent="0.2">
      <c r="BJ40374" s="201"/>
    </row>
    <row r="40375" spans="62:62" x14ac:dyDescent="0.2">
      <c r="BJ40375" s="201"/>
    </row>
    <row r="40376" spans="62:62" x14ac:dyDescent="0.2">
      <c r="BJ40376" s="201"/>
    </row>
    <row r="40377" spans="62:62" x14ac:dyDescent="0.2">
      <c r="BJ40377" s="201"/>
    </row>
    <row r="40378" spans="62:62" x14ac:dyDescent="0.2">
      <c r="BJ40378" s="201"/>
    </row>
    <row r="40379" spans="62:62" x14ac:dyDescent="0.2">
      <c r="BJ40379" s="201"/>
    </row>
    <row r="40380" spans="62:62" x14ac:dyDescent="0.2">
      <c r="BJ40380" s="201"/>
    </row>
    <row r="40381" spans="62:62" x14ac:dyDescent="0.2">
      <c r="BJ40381" s="201"/>
    </row>
    <row r="40382" spans="62:62" x14ac:dyDescent="0.2">
      <c r="BJ40382" s="201"/>
    </row>
    <row r="40383" spans="62:62" x14ac:dyDescent="0.2">
      <c r="BJ40383" s="201"/>
    </row>
    <row r="40384" spans="62:62" x14ac:dyDescent="0.2">
      <c r="BJ40384" s="201"/>
    </row>
    <row r="40385" spans="62:62" x14ac:dyDescent="0.2">
      <c r="BJ40385" s="201"/>
    </row>
    <row r="40386" spans="62:62" x14ac:dyDescent="0.2">
      <c r="BJ40386" s="201"/>
    </row>
    <row r="40387" spans="62:62" x14ac:dyDescent="0.2">
      <c r="BJ40387" s="201"/>
    </row>
    <row r="40388" spans="62:62" x14ac:dyDescent="0.2">
      <c r="BJ40388" s="201"/>
    </row>
    <row r="40389" spans="62:62" x14ac:dyDescent="0.2">
      <c r="BJ40389" s="201"/>
    </row>
    <row r="40390" spans="62:62" x14ac:dyDescent="0.2">
      <c r="BJ40390" s="201"/>
    </row>
    <row r="40391" spans="62:62" x14ac:dyDescent="0.2">
      <c r="BJ40391" s="201"/>
    </row>
    <row r="40392" spans="62:62" x14ac:dyDescent="0.2">
      <c r="BJ40392" s="201"/>
    </row>
    <row r="40393" spans="62:62" x14ac:dyDescent="0.2">
      <c r="BJ40393" s="201"/>
    </row>
    <row r="40394" spans="62:62" x14ac:dyDescent="0.2">
      <c r="BJ40394" s="201"/>
    </row>
    <row r="40395" spans="62:62" x14ac:dyDescent="0.2">
      <c r="BJ40395" s="201"/>
    </row>
    <row r="40396" spans="62:62" x14ac:dyDescent="0.2">
      <c r="BJ40396" s="201"/>
    </row>
    <row r="40397" spans="62:62" x14ac:dyDescent="0.2">
      <c r="BJ40397" s="201"/>
    </row>
    <row r="40398" spans="62:62" x14ac:dyDescent="0.2">
      <c r="BJ40398" s="201"/>
    </row>
    <row r="40399" spans="62:62" x14ac:dyDescent="0.2">
      <c r="BJ40399" s="201"/>
    </row>
    <row r="40400" spans="62:62" x14ac:dyDescent="0.2">
      <c r="BJ40400" s="201"/>
    </row>
    <row r="40401" spans="62:62" x14ac:dyDescent="0.2">
      <c r="BJ40401" s="201"/>
    </row>
    <row r="40402" spans="62:62" x14ac:dyDescent="0.2">
      <c r="BJ40402" s="201"/>
    </row>
    <row r="40403" spans="62:62" x14ac:dyDescent="0.2">
      <c r="BJ40403" s="201"/>
    </row>
    <row r="40404" spans="62:62" x14ac:dyDescent="0.2">
      <c r="BJ40404" s="201"/>
    </row>
    <row r="40405" spans="62:62" x14ac:dyDescent="0.2">
      <c r="BJ40405" s="201"/>
    </row>
    <row r="40406" spans="62:62" x14ac:dyDescent="0.2">
      <c r="BJ40406" s="201"/>
    </row>
    <row r="40407" spans="62:62" x14ac:dyDescent="0.2">
      <c r="BJ40407" s="201"/>
    </row>
    <row r="40408" spans="62:62" x14ac:dyDescent="0.2">
      <c r="BJ40408" s="201"/>
    </row>
    <row r="40409" spans="62:62" x14ac:dyDescent="0.2">
      <c r="BJ40409" s="201"/>
    </row>
    <row r="40410" spans="62:62" x14ac:dyDescent="0.2">
      <c r="BJ40410" s="201"/>
    </row>
    <row r="40411" spans="62:62" x14ac:dyDescent="0.2">
      <c r="BJ40411" s="201"/>
    </row>
    <row r="40412" spans="62:62" x14ac:dyDescent="0.2">
      <c r="BJ40412" s="201"/>
    </row>
    <row r="40413" spans="62:62" x14ac:dyDescent="0.2">
      <c r="BJ40413" s="201"/>
    </row>
    <row r="40414" spans="62:62" x14ac:dyDescent="0.2">
      <c r="BJ40414" s="201"/>
    </row>
    <row r="40415" spans="62:62" x14ac:dyDescent="0.2">
      <c r="BJ40415" s="201"/>
    </row>
    <row r="40416" spans="62:62" x14ac:dyDescent="0.2">
      <c r="BJ40416" s="201"/>
    </row>
    <row r="40417" spans="62:62" x14ac:dyDescent="0.2">
      <c r="BJ40417" s="201"/>
    </row>
    <row r="40418" spans="62:62" x14ac:dyDescent="0.2">
      <c r="BJ40418" s="201"/>
    </row>
    <row r="40419" spans="62:62" x14ac:dyDescent="0.2">
      <c r="BJ40419" s="201"/>
    </row>
    <row r="40420" spans="62:62" x14ac:dyDescent="0.2">
      <c r="BJ40420" s="201"/>
    </row>
    <row r="40421" spans="62:62" x14ac:dyDescent="0.2">
      <c r="BJ40421" s="201"/>
    </row>
    <row r="40422" spans="62:62" x14ac:dyDescent="0.2">
      <c r="BJ40422" s="201"/>
    </row>
    <row r="40423" spans="62:62" x14ac:dyDescent="0.2">
      <c r="BJ40423" s="201"/>
    </row>
    <row r="40424" spans="62:62" x14ac:dyDescent="0.2">
      <c r="BJ40424" s="201"/>
    </row>
    <row r="40425" spans="62:62" x14ac:dyDescent="0.2">
      <c r="BJ40425" s="201"/>
    </row>
    <row r="40426" spans="62:62" x14ac:dyDescent="0.2">
      <c r="BJ40426" s="201"/>
    </row>
    <row r="40427" spans="62:62" x14ac:dyDescent="0.2">
      <c r="BJ40427" s="201"/>
    </row>
    <row r="40428" spans="62:62" x14ac:dyDescent="0.2">
      <c r="BJ40428" s="201"/>
    </row>
    <row r="40429" spans="62:62" x14ac:dyDescent="0.2">
      <c r="BJ40429" s="201"/>
    </row>
    <row r="40430" spans="62:62" x14ac:dyDescent="0.2">
      <c r="BJ40430" s="201"/>
    </row>
    <row r="40431" spans="62:62" x14ac:dyDescent="0.2">
      <c r="BJ40431" s="201"/>
    </row>
    <row r="40432" spans="62:62" x14ac:dyDescent="0.2">
      <c r="BJ40432" s="201"/>
    </row>
    <row r="40433" spans="62:62" x14ac:dyDescent="0.2">
      <c r="BJ40433" s="201"/>
    </row>
    <row r="40434" spans="62:62" x14ac:dyDescent="0.2">
      <c r="BJ40434" s="201"/>
    </row>
    <row r="40435" spans="62:62" x14ac:dyDescent="0.2">
      <c r="BJ40435" s="201"/>
    </row>
    <row r="40436" spans="62:62" x14ac:dyDescent="0.2">
      <c r="BJ40436" s="201"/>
    </row>
    <row r="40437" spans="62:62" x14ac:dyDescent="0.2">
      <c r="BJ40437" s="201"/>
    </row>
    <row r="40438" spans="62:62" x14ac:dyDescent="0.2">
      <c r="BJ40438" s="201"/>
    </row>
    <row r="40439" spans="62:62" x14ac:dyDescent="0.2">
      <c r="BJ40439" s="201"/>
    </row>
    <row r="40440" spans="62:62" x14ac:dyDescent="0.2">
      <c r="BJ40440" s="201"/>
    </row>
    <row r="40441" spans="62:62" x14ac:dyDescent="0.2">
      <c r="BJ40441" s="201"/>
    </row>
    <row r="40442" spans="62:62" x14ac:dyDescent="0.2">
      <c r="BJ40442" s="201"/>
    </row>
    <row r="40443" spans="62:62" x14ac:dyDescent="0.2">
      <c r="BJ40443" s="201"/>
    </row>
    <row r="40444" spans="62:62" x14ac:dyDescent="0.2">
      <c r="BJ40444" s="201"/>
    </row>
    <row r="40445" spans="62:62" x14ac:dyDescent="0.2">
      <c r="BJ40445" s="201"/>
    </row>
    <row r="40446" spans="62:62" x14ac:dyDescent="0.2">
      <c r="BJ40446" s="201"/>
    </row>
    <row r="40447" spans="62:62" x14ac:dyDescent="0.2">
      <c r="BJ40447" s="201"/>
    </row>
    <row r="40448" spans="62:62" x14ac:dyDescent="0.2">
      <c r="BJ40448" s="201"/>
    </row>
    <row r="40449" spans="62:62" x14ac:dyDescent="0.2">
      <c r="BJ40449" s="201"/>
    </row>
    <row r="40450" spans="62:62" x14ac:dyDescent="0.2">
      <c r="BJ40450" s="201"/>
    </row>
    <row r="40451" spans="62:62" x14ac:dyDescent="0.2">
      <c r="BJ40451" s="201"/>
    </row>
    <row r="40452" spans="62:62" x14ac:dyDescent="0.2">
      <c r="BJ40452" s="201"/>
    </row>
    <row r="40453" spans="62:62" x14ac:dyDescent="0.2">
      <c r="BJ40453" s="201"/>
    </row>
    <row r="40454" spans="62:62" x14ac:dyDescent="0.2">
      <c r="BJ40454" s="201"/>
    </row>
    <row r="40455" spans="62:62" x14ac:dyDescent="0.2">
      <c r="BJ40455" s="201"/>
    </row>
    <row r="40456" spans="62:62" x14ac:dyDescent="0.2">
      <c r="BJ40456" s="201"/>
    </row>
    <row r="40457" spans="62:62" x14ac:dyDescent="0.2">
      <c r="BJ40457" s="201"/>
    </row>
    <row r="40458" spans="62:62" x14ac:dyDescent="0.2">
      <c r="BJ40458" s="201"/>
    </row>
    <row r="40459" spans="62:62" x14ac:dyDescent="0.2">
      <c r="BJ40459" s="201"/>
    </row>
    <row r="40460" spans="62:62" x14ac:dyDescent="0.2">
      <c r="BJ40460" s="201"/>
    </row>
    <row r="40461" spans="62:62" x14ac:dyDescent="0.2">
      <c r="BJ40461" s="201"/>
    </row>
    <row r="40462" spans="62:62" x14ac:dyDescent="0.2">
      <c r="BJ40462" s="201"/>
    </row>
    <row r="40463" spans="62:62" x14ac:dyDescent="0.2">
      <c r="BJ40463" s="201"/>
    </row>
    <row r="40464" spans="62:62" x14ac:dyDescent="0.2">
      <c r="BJ40464" s="201"/>
    </row>
    <row r="40465" spans="62:62" x14ac:dyDescent="0.2">
      <c r="BJ40465" s="201"/>
    </row>
    <row r="40466" spans="62:62" x14ac:dyDescent="0.2">
      <c r="BJ40466" s="201"/>
    </row>
    <row r="40467" spans="62:62" x14ac:dyDescent="0.2">
      <c r="BJ40467" s="201"/>
    </row>
    <row r="40468" spans="62:62" x14ac:dyDescent="0.2">
      <c r="BJ40468" s="201"/>
    </row>
    <row r="40469" spans="62:62" x14ac:dyDescent="0.2">
      <c r="BJ40469" s="201"/>
    </row>
    <row r="40470" spans="62:62" x14ac:dyDescent="0.2">
      <c r="BJ40470" s="201"/>
    </row>
    <row r="40471" spans="62:62" x14ac:dyDescent="0.2">
      <c r="BJ40471" s="201"/>
    </row>
    <row r="40472" spans="62:62" x14ac:dyDescent="0.2">
      <c r="BJ40472" s="201"/>
    </row>
    <row r="40473" spans="62:62" x14ac:dyDescent="0.2">
      <c r="BJ40473" s="201"/>
    </row>
    <row r="40474" spans="62:62" x14ac:dyDescent="0.2">
      <c r="BJ40474" s="201"/>
    </row>
    <row r="40475" spans="62:62" x14ac:dyDescent="0.2">
      <c r="BJ40475" s="201"/>
    </row>
    <row r="40476" spans="62:62" x14ac:dyDescent="0.2">
      <c r="BJ40476" s="201"/>
    </row>
    <row r="40477" spans="62:62" x14ac:dyDescent="0.2">
      <c r="BJ40477" s="201"/>
    </row>
    <row r="40478" spans="62:62" x14ac:dyDescent="0.2">
      <c r="BJ40478" s="201"/>
    </row>
    <row r="40479" spans="62:62" x14ac:dyDescent="0.2">
      <c r="BJ40479" s="201"/>
    </row>
    <row r="40480" spans="62:62" x14ac:dyDescent="0.2">
      <c r="BJ40480" s="201"/>
    </row>
    <row r="40481" spans="62:62" x14ac:dyDescent="0.2">
      <c r="BJ40481" s="201"/>
    </row>
    <row r="40482" spans="62:62" x14ac:dyDescent="0.2">
      <c r="BJ40482" s="201"/>
    </row>
    <row r="40483" spans="62:62" x14ac:dyDescent="0.2">
      <c r="BJ40483" s="201"/>
    </row>
    <row r="40484" spans="62:62" x14ac:dyDescent="0.2">
      <c r="BJ40484" s="201"/>
    </row>
    <row r="40485" spans="62:62" x14ac:dyDescent="0.2">
      <c r="BJ40485" s="201"/>
    </row>
    <row r="40486" spans="62:62" x14ac:dyDescent="0.2">
      <c r="BJ40486" s="201"/>
    </row>
    <row r="40487" spans="62:62" x14ac:dyDescent="0.2">
      <c r="BJ40487" s="201"/>
    </row>
    <row r="40488" spans="62:62" x14ac:dyDescent="0.2">
      <c r="BJ40488" s="201"/>
    </row>
    <row r="40489" spans="62:62" x14ac:dyDescent="0.2">
      <c r="BJ40489" s="201"/>
    </row>
    <row r="40490" spans="62:62" x14ac:dyDescent="0.2">
      <c r="BJ40490" s="201"/>
    </row>
    <row r="40491" spans="62:62" x14ac:dyDescent="0.2">
      <c r="BJ40491" s="201"/>
    </row>
    <row r="40492" spans="62:62" x14ac:dyDescent="0.2">
      <c r="BJ40492" s="201"/>
    </row>
    <row r="40493" spans="62:62" x14ac:dyDescent="0.2">
      <c r="BJ40493" s="201"/>
    </row>
    <row r="40494" spans="62:62" x14ac:dyDescent="0.2">
      <c r="BJ40494" s="201"/>
    </row>
    <row r="40495" spans="62:62" x14ac:dyDescent="0.2">
      <c r="BJ40495" s="201"/>
    </row>
    <row r="40496" spans="62:62" x14ac:dyDescent="0.2">
      <c r="BJ40496" s="201"/>
    </row>
    <row r="40497" spans="62:62" x14ac:dyDescent="0.2">
      <c r="BJ40497" s="201"/>
    </row>
    <row r="40498" spans="62:62" x14ac:dyDescent="0.2">
      <c r="BJ40498" s="201"/>
    </row>
    <row r="40499" spans="62:62" x14ac:dyDescent="0.2">
      <c r="BJ40499" s="201"/>
    </row>
    <row r="40500" spans="62:62" x14ac:dyDescent="0.2">
      <c r="BJ40500" s="201"/>
    </row>
    <row r="40501" spans="62:62" x14ac:dyDescent="0.2">
      <c r="BJ40501" s="201"/>
    </row>
    <row r="40502" spans="62:62" x14ac:dyDescent="0.2">
      <c r="BJ40502" s="201"/>
    </row>
    <row r="40503" spans="62:62" x14ac:dyDescent="0.2">
      <c r="BJ40503" s="201"/>
    </row>
    <row r="40504" spans="62:62" x14ac:dyDescent="0.2">
      <c r="BJ40504" s="201"/>
    </row>
    <row r="40505" spans="62:62" x14ac:dyDescent="0.2">
      <c r="BJ40505" s="201"/>
    </row>
    <row r="40506" spans="62:62" x14ac:dyDescent="0.2">
      <c r="BJ40506" s="201"/>
    </row>
    <row r="40507" spans="62:62" x14ac:dyDescent="0.2">
      <c r="BJ40507" s="201"/>
    </row>
    <row r="40508" spans="62:62" x14ac:dyDescent="0.2">
      <c r="BJ40508" s="201"/>
    </row>
    <row r="40509" spans="62:62" x14ac:dyDescent="0.2">
      <c r="BJ40509" s="201"/>
    </row>
    <row r="40510" spans="62:62" x14ac:dyDescent="0.2">
      <c r="BJ40510" s="201"/>
    </row>
    <row r="40511" spans="62:62" x14ac:dyDescent="0.2">
      <c r="BJ40511" s="201"/>
    </row>
    <row r="40512" spans="62:62" x14ac:dyDescent="0.2">
      <c r="BJ40512" s="201"/>
    </row>
    <row r="40513" spans="62:62" x14ac:dyDescent="0.2">
      <c r="BJ40513" s="201"/>
    </row>
    <row r="40514" spans="62:62" x14ac:dyDescent="0.2">
      <c r="BJ40514" s="201"/>
    </row>
    <row r="40515" spans="62:62" x14ac:dyDescent="0.2">
      <c r="BJ40515" s="201"/>
    </row>
    <row r="40516" spans="62:62" x14ac:dyDescent="0.2">
      <c r="BJ40516" s="201"/>
    </row>
    <row r="40517" spans="62:62" x14ac:dyDescent="0.2">
      <c r="BJ40517" s="201"/>
    </row>
    <row r="40518" spans="62:62" x14ac:dyDescent="0.2">
      <c r="BJ40518" s="201"/>
    </row>
    <row r="40519" spans="62:62" x14ac:dyDescent="0.2">
      <c r="BJ40519" s="201"/>
    </row>
    <row r="40520" spans="62:62" x14ac:dyDescent="0.2">
      <c r="BJ40520" s="201"/>
    </row>
    <row r="40521" spans="62:62" x14ac:dyDescent="0.2">
      <c r="BJ40521" s="201"/>
    </row>
    <row r="40522" spans="62:62" x14ac:dyDescent="0.2">
      <c r="BJ40522" s="201"/>
    </row>
    <row r="40523" spans="62:62" x14ac:dyDescent="0.2">
      <c r="BJ40523" s="201"/>
    </row>
    <row r="40524" spans="62:62" x14ac:dyDescent="0.2">
      <c r="BJ40524" s="201"/>
    </row>
    <row r="40525" spans="62:62" x14ac:dyDescent="0.2">
      <c r="BJ40525" s="201"/>
    </row>
    <row r="40526" spans="62:62" x14ac:dyDescent="0.2">
      <c r="BJ40526" s="201"/>
    </row>
    <row r="40527" spans="62:62" x14ac:dyDescent="0.2">
      <c r="BJ40527" s="201"/>
    </row>
    <row r="40528" spans="62:62" x14ac:dyDescent="0.2">
      <c r="BJ40528" s="201"/>
    </row>
    <row r="40529" spans="62:62" x14ac:dyDescent="0.2">
      <c r="BJ40529" s="201"/>
    </row>
    <row r="40530" spans="62:62" x14ac:dyDescent="0.2">
      <c r="BJ40530" s="201"/>
    </row>
    <row r="40531" spans="62:62" x14ac:dyDescent="0.2">
      <c r="BJ40531" s="201"/>
    </row>
    <row r="40532" spans="62:62" x14ac:dyDescent="0.2">
      <c r="BJ40532" s="201"/>
    </row>
    <row r="40533" spans="62:62" x14ac:dyDescent="0.2">
      <c r="BJ40533" s="201"/>
    </row>
    <row r="40534" spans="62:62" x14ac:dyDescent="0.2">
      <c r="BJ40534" s="201"/>
    </row>
    <row r="40535" spans="62:62" x14ac:dyDescent="0.2">
      <c r="BJ40535" s="201"/>
    </row>
    <row r="40536" spans="62:62" x14ac:dyDescent="0.2">
      <c r="BJ40536" s="201"/>
    </row>
    <row r="40537" spans="62:62" x14ac:dyDescent="0.2">
      <c r="BJ40537" s="201"/>
    </row>
    <row r="40538" spans="62:62" x14ac:dyDescent="0.2">
      <c r="BJ40538" s="201"/>
    </row>
    <row r="40539" spans="62:62" x14ac:dyDescent="0.2">
      <c r="BJ40539" s="201"/>
    </row>
    <row r="40540" spans="62:62" x14ac:dyDescent="0.2">
      <c r="BJ40540" s="201"/>
    </row>
    <row r="40541" spans="62:62" x14ac:dyDescent="0.2">
      <c r="BJ40541" s="201"/>
    </row>
    <row r="40542" spans="62:62" x14ac:dyDescent="0.2">
      <c r="BJ40542" s="201"/>
    </row>
    <row r="40543" spans="62:62" x14ac:dyDescent="0.2">
      <c r="BJ40543" s="201"/>
    </row>
    <row r="40544" spans="62:62" x14ac:dyDescent="0.2">
      <c r="BJ40544" s="201"/>
    </row>
    <row r="40545" spans="62:62" x14ac:dyDescent="0.2">
      <c r="BJ40545" s="201"/>
    </row>
    <row r="40546" spans="62:62" x14ac:dyDescent="0.2">
      <c r="BJ40546" s="201"/>
    </row>
    <row r="40547" spans="62:62" x14ac:dyDescent="0.2">
      <c r="BJ40547" s="201"/>
    </row>
    <row r="40548" spans="62:62" x14ac:dyDescent="0.2">
      <c r="BJ40548" s="201"/>
    </row>
    <row r="40549" spans="62:62" x14ac:dyDescent="0.2">
      <c r="BJ40549" s="201"/>
    </row>
    <row r="40550" spans="62:62" x14ac:dyDescent="0.2">
      <c r="BJ40550" s="201"/>
    </row>
    <row r="40551" spans="62:62" x14ac:dyDescent="0.2">
      <c r="BJ40551" s="201"/>
    </row>
    <row r="40552" spans="62:62" x14ac:dyDescent="0.2">
      <c r="BJ40552" s="201"/>
    </row>
    <row r="40553" spans="62:62" x14ac:dyDescent="0.2">
      <c r="BJ40553" s="201"/>
    </row>
    <row r="40554" spans="62:62" x14ac:dyDescent="0.2">
      <c r="BJ40554" s="201"/>
    </row>
    <row r="40555" spans="62:62" x14ac:dyDescent="0.2">
      <c r="BJ40555" s="201"/>
    </row>
    <row r="40556" spans="62:62" x14ac:dyDescent="0.2">
      <c r="BJ40556" s="201"/>
    </row>
    <row r="40557" spans="62:62" x14ac:dyDescent="0.2">
      <c r="BJ40557" s="201"/>
    </row>
    <row r="40558" spans="62:62" x14ac:dyDescent="0.2">
      <c r="BJ40558" s="201"/>
    </row>
    <row r="40559" spans="62:62" x14ac:dyDescent="0.2">
      <c r="BJ40559" s="201"/>
    </row>
    <row r="40560" spans="62:62" x14ac:dyDescent="0.2">
      <c r="BJ40560" s="201"/>
    </row>
    <row r="40561" spans="62:62" x14ac:dyDescent="0.2">
      <c r="BJ40561" s="201"/>
    </row>
    <row r="40562" spans="62:62" x14ac:dyDescent="0.2">
      <c r="BJ40562" s="201"/>
    </row>
    <row r="40563" spans="62:62" x14ac:dyDescent="0.2">
      <c r="BJ40563" s="201"/>
    </row>
    <row r="40564" spans="62:62" x14ac:dyDescent="0.2">
      <c r="BJ40564" s="201"/>
    </row>
    <row r="40565" spans="62:62" x14ac:dyDescent="0.2">
      <c r="BJ40565" s="201"/>
    </row>
    <row r="40566" spans="62:62" x14ac:dyDescent="0.2">
      <c r="BJ40566" s="201"/>
    </row>
    <row r="40567" spans="62:62" x14ac:dyDescent="0.2">
      <c r="BJ40567" s="201"/>
    </row>
    <row r="40568" spans="62:62" x14ac:dyDescent="0.2">
      <c r="BJ40568" s="201"/>
    </row>
    <row r="40569" spans="62:62" x14ac:dyDescent="0.2">
      <c r="BJ40569" s="201"/>
    </row>
    <row r="40570" spans="62:62" x14ac:dyDescent="0.2">
      <c r="BJ40570" s="201"/>
    </row>
    <row r="40571" spans="62:62" x14ac:dyDescent="0.2">
      <c r="BJ40571" s="201"/>
    </row>
    <row r="40572" spans="62:62" x14ac:dyDescent="0.2">
      <c r="BJ40572" s="201"/>
    </row>
    <row r="40573" spans="62:62" x14ac:dyDescent="0.2">
      <c r="BJ40573" s="201"/>
    </row>
    <row r="40574" spans="62:62" x14ac:dyDescent="0.2">
      <c r="BJ40574" s="201"/>
    </row>
    <row r="40575" spans="62:62" x14ac:dyDescent="0.2">
      <c r="BJ40575" s="201"/>
    </row>
    <row r="40576" spans="62:62" x14ac:dyDescent="0.2">
      <c r="BJ40576" s="201"/>
    </row>
    <row r="40577" spans="62:62" x14ac:dyDescent="0.2">
      <c r="BJ40577" s="201"/>
    </row>
    <row r="40578" spans="62:62" x14ac:dyDescent="0.2">
      <c r="BJ40578" s="201"/>
    </row>
    <row r="40579" spans="62:62" x14ac:dyDescent="0.2">
      <c r="BJ40579" s="201"/>
    </row>
    <row r="40580" spans="62:62" x14ac:dyDescent="0.2">
      <c r="BJ40580" s="201"/>
    </row>
    <row r="40581" spans="62:62" x14ac:dyDescent="0.2">
      <c r="BJ40581" s="201"/>
    </row>
    <row r="40582" spans="62:62" x14ac:dyDescent="0.2">
      <c r="BJ40582" s="201"/>
    </row>
    <row r="40583" spans="62:62" x14ac:dyDescent="0.2">
      <c r="BJ40583" s="201"/>
    </row>
    <row r="40584" spans="62:62" x14ac:dyDescent="0.2">
      <c r="BJ40584" s="201"/>
    </row>
    <row r="40585" spans="62:62" x14ac:dyDescent="0.2">
      <c r="BJ40585" s="201"/>
    </row>
    <row r="40586" spans="62:62" x14ac:dyDescent="0.2">
      <c r="BJ40586" s="201"/>
    </row>
    <row r="40587" spans="62:62" x14ac:dyDescent="0.2">
      <c r="BJ40587" s="201"/>
    </row>
    <row r="40588" spans="62:62" x14ac:dyDescent="0.2">
      <c r="BJ40588" s="201"/>
    </row>
    <row r="40589" spans="62:62" x14ac:dyDescent="0.2">
      <c r="BJ40589" s="201"/>
    </row>
    <row r="40590" spans="62:62" x14ac:dyDescent="0.2">
      <c r="BJ40590" s="201"/>
    </row>
    <row r="40591" spans="62:62" x14ac:dyDescent="0.2">
      <c r="BJ40591" s="201"/>
    </row>
    <row r="40592" spans="62:62" x14ac:dyDescent="0.2">
      <c r="BJ40592" s="201"/>
    </row>
    <row r="40593" spans="62:62" x14ac:dyDescent="0.2">
      <c r="BJ40593" s="201"/>
    </row>
    <row r="40594" spans="62:62" x14ac:dyDescent="0.2">
      <c r="BJ40594" s="201"/>
    </row>
    <row r="40595" spans="62:62" x14ac:dyDescent="0.2">
      <c r="BJ40595" s="201"/>
    </row>
    <row r="40596" spans="62:62" x14ac:dyDescent="0.2">
      <c r="BJ40596" s="201"/>
    </row>
    <row r="40597" spans="62:62" x14ac:dyDescent="0.2">
      <c r="BJ40597" s="201"/>
    </row>
    <row r="40598" spans="62:62" x14ac:dyDescent="0.2">
      <c r="BJ40598" s="201"/>
    </row>
    <row r="40599" spans="62:62" x14ac:dyDescent="0.2">
      <c r="BJ40599" s="201"/>
    </row>
    <row r="40600" spans="62:62" x14ac:dyDescent="0.2">
      <c r="BJ40600" s="201"/>
    </row>
    <row r="40601" spans="62:62" x14ac:dyDescent="0.2">
      <c r="BJ40601" s="201"/>
    </row>
    <row r="40602" spans="62:62" x14ac:dyDescent="0.2">
      <c r="BJ40602" s="201"/>
    </row>
    <row r="40603" spans="62:62" x14ac:dyDescent="0.2">
      <c r="BJ40603" s="201"/>
    </row>
    <row r="40604" spans="62:62" x14ac:dyDescent="0.2">
      <c r="BJ40604" s="201"/>
    </row>
    <row r="40605" spans="62:62" x14ac:dyDescent="0.2">
      <c r="BJ40605" s="201"/>
    </row>
    <row r="40606" spans="62:62" x14ac:dyDescent="0.2">
      <c r="BJ40606" s="201"/>
    </row>
    <row r="40607" spans="62:62" x14ac:dyDescent="0.2">
      <c r="BJ40607" s="201"/>
    </row>
    <row r="40608" spans="62:62" x14ac:dyDescent="0.2">
      <c r="BJ40608" s="201"/>
    </row>
    <row r="40609" spans="62:62" x14ac:dyDescent="0.2">
      <c r="BJ40609" s="201"/>
    </row>
    <row r="40610" spans="62:62" x14ac:dyDescent="0.2">
      <c r="BJ40610" s="201"/>
    </row>
    <row r="40611" spans="62:62" x14ac:dyDescent="0.2">
      <c r="BJ40611" s="201"/>
    </row>
    <row r="40612" spans="62:62" x14ac:dyDescent="0.2">
      <c r="BJ40612" s="201"/>
    </row>
    <row r="40613" spans="62:62" x14ac:dyDescent="0.2">
      <c r="BJ40613" s="201"/>
    </row>
    <row r="40614" spans="62:62" x14ac:dyDescent="0.2">
      <c r="BJ40614" s="201"/>
    </row>
    <row r="40615" spans="62:62" x14ac:dyDescent="0.2">
      <c r="BJ40615" s="201"/>
    </row>
    <row r="40616" spans="62:62" x14ac:dyDescent="0.2">
      <c r="BJ40616" s="201"/>
    </row>
    <row r="40617" spans="62:62" x14ac:dyDescent="0.2">
      <c r="BJ40617" s="201"/>
    </row>
    <row r="40618" spans="62:62" x14ac:dyDescent="0.2">
      <c r="BJ40618" s="201"/>
    </row>
    <row r="40619" spans="62:62" x14ac:dyDescent="0.2">
      <c r="BJ40619" s="201"/>
    </row>
    <row r="40620" spans="62:62" x14ac:dyDescent="0.2">
      <c r="BJ40620" s="201"/>
    </row>
    <row r="40621" spans="62:62" x14ac:dyDescent="0.2">
      <c r="BJ40621" s="201"/>
    </row>
    <row r="40622" spans="62:62" x14ac:dyDescent="0.2">
      <c r="BJ40622" s="201"/>
    </row>
    <row r="40623" spans="62:62" x14ac:dyDescent="0.2">
      <c r="BJ40623" s="201"/>
    </row>
    <row r="40624" spans="62:62" x14ac:dyDescent="0.2">
      <c r="BJ40624" s="201"/>
    </row>
    <row r="40625" spans="62:62" x14ac:dyDescent="0.2">
      <c r="BJ40625" s="201"/>
    </row>
    <row r="40626" spans="62:62" x14ac:dyDescent="0.2">
      <c r="BJ40626" s="201"/>
    </row>
    <row r="40627" spans="62:62" x14ac:dyDescent="0.2">
      <c r="BJ40627" s="201"/>
    </row>
    <row r="40628" spans="62:62" x14ac:dyDescent="0.2">
      <c r="BJ40628" s="201"/>
    </row>
    <row r="40629" spans="62:62" x14ac:dyDescent="0.2">
      <c r="BJ40629" s="201"/>
    </row>
    <row r="40630" spans="62:62" x14ac:dyDescent="0.2">
      <c r="BJ40630" s="201"/>
    </row>
    <row r="40631" spans="62:62" x14ac:dyDescent="0.2">
      <c r="BJ40631" s="201"/>
    </row>
    <row r="40632" spans="62:62" x14ac:dyDescent="0.2">
      <c r="BJ40632" s="201"/>
    </row>
    <row r="40633" spans="62:62" x14ac:dyDescent="0.2">
      <c r="BJ40633" s="201"/>
    </row>
    <row r="40634" spans="62:62" x14ac:dyDescent="0.2">
      <c r="BJ40634" s="201"/>
    </row>
    <row r="40635" spans="62:62" x14ac:dyDescent="0.2">
      <c r="BJ40635" s="201"/>
    </row>
    <row r="40636" spans="62:62" x14ac:dyDescent="0.2">
      <c r="BJ40636" s="201"/>
    </row>
    <row r="40637" spans="62:62" x14ac:dyDescent="0.2">
      <c r="BJ40637" s="201"/>
    </row>
    <row r="40638" spans="62:62" x14ac:dyDescent="0.2">
      <c r="BJ40638" s="201"/>
    </row>
    <row r="40639" spans="62:62" x14ac:dyDescent="0.2">
      <c r="BJ40639" s="201"/>
    </row>
    <row r="40640" spans="62:62" x14ac:dyDescent="0.2">
      <c r="BJ40640" s="201"/>
    </row>
    <row r="40641" spans="62:62" x14ac:dyDescent="0.2">
      <c r="BJ40641" s="201"/>
    </row>
    <row r="40642" spans="62:62" x14ac:dyDescent="0.2">
      <c r="BJ40642" s="201"/>
    </row>
    <row r="40643" spans="62:62" x14ac:dyDescent="0.2">
      <c r="BJ40643" s="201"/>
    </row>
    <row r="40644" spans="62:62" x14ac:dyDescent="0.2">
      <c r="BJ40644" s="201"/>
    </row>
    <row r="40645" spans="62:62" x14ac:dyDescent="0.2">
      <c r="BJ40645" s="201"/>
    </row>
    <row r="40646" spans="62:62" x14ac:dyDescent="0.2">
      <c r="BJ40646" s="201"/>
    </row>
    <row r="40647" spans="62:62" x14ac:dyDescent="0.2">
      <c r="BJ40647" s="201"/>
    </row>
    <row r="40648" spans="62:62" x14ac:dyDescent="0.2">
      <c r="BJ40648" s="201"/>
    </row>
    <row r="40649" spans="62:62" x14ac:dyDescent="0.2">
      <c r="BJ40649" s="201"/>
    </row>
    <row r="40650" spans="62:62" x14ac:dyDescent="0.2">
      <c r="BJ40650" s="201"/>
    </row>
    <row r="40651" spans="62:62" x14ac:dyDescent="0.2">
      <c r="BJ40651" s="201"/>
    </row>
    <row r="40652" spans="62:62" x14ac:dyDescent="0.2">
      <c r="BJ40652" s="201"/>
    </row>
    <row r="40653" spans="62:62" x14ac:dyDescent="0.2">
      <c r="BJ40653" s="201"/>
    </row>
    <row r="40654" spans="62:62" x14ac:dyDescent="0.2">
      <c r="BJ40654" s="201"/>
    </row>
    <row r="40655" spans="62:62" x14ac:dyDescent="0.2">
      <c r="BJ40655" s="201"/>
    </row>
    <row r="40656" spans="62:62" x14ac:dyDescent="0.2">
      <c r="BJ40656" s="201"/>
    </row>
    <row r="40657" spans="62:62" x14ac:dyDescent="0.2">
      <c r="BJ40657" s="201"/>
    </row>
    <row r="40658" spans="62:62" x14ac:dyDescent="0.2">
      <c r="BJ40658" s="201"/>
    </row>
    <row r="40659" spans="62:62" x14ac:dyDescent="0.2">
      <c r="BJ40659" s="201"/>
    </row>
    <row r="40660" spans="62:62" x14ac:dyDescent="0.2">
      <c r="BJ40660" s="201"/>
    </row>
    <row r="40661" spans="62:62" x14ac:dyDescent="0.2">
      <c r="BJ40661" s="201"/>
    </row>
    <row r="40662" spans="62:62" x14ac:dyDescent="0.2">
      <c r="BJ40662" s="201"/>
    </row>
    <row r="40663" spans="62:62" x14ac:dyDescent="0.2">
      <c r="BJ40663" s="201"/>
    </row>
    <row r="40664" spans="62:62" x14ac:dyDescent="0.2">
      <c r="BJ40664" s="201"/>
    </row>
    <row r="40665" spans="62:62" x14ac:dyDescent="0.2">
      <c r="BJ40665" s="201"/>
    </row>
    <row r="40666" spans="62:62" x14ac:dyDescent="0.2">
      <c r="BJ40666" s="201"/>
    </row>
    <row r="40667" spans="62:62" x14ac:dyDescent="0.2">
      <c r="BJ40667" s="201"/>
    </row>
    <row r="40668" spans="62:62" x14ac:dyDescent="0.2">
      <c r="BJ40668" s="201"/>
    </row>
    <row r="40669" spans="62:62" x14ac:dyDescent="0.2">
      <c r="BJ40669" s="201"/>
    </row>
    <row r="40670" spans="62:62" x14ac:dyDescent="0.2">
      <c r="BJ40670" s="201"/>
    </row>
    <row r="40671" spans="62:62" x14ac:dyDescent="0.2">
      <c r="BJ40671" s="201"/>
    </row>
    <row r="40672" spans="62:62" x14ac:dyDescent="0.2">
      <c r="BJ40672" s="201"/>
    </row>
    <row r="40673" spans="62:62" x14ac:dyDescent="0.2">
      <c r="BJ40673" s="201"/>
    </row>
    <row r="40674" spans="62:62" x14ac:dyDescent="0.2">
      <c r="BJ40674" s="201"/>
    </row>
    <row r="40675" spans="62:62" x14ac:dyDescent="0.2">
      <c r="BJ40675" s="201"/>
    </row>
    <row r="40676" spans="62:62" x14ac:dyDescent="0.2">
      <c r="BJ40676" s="201"/>
    </row>
    <row r="40677" spans="62:62" x14ac:dyDescent="0.2">
      <c r="BJ40677" s="201"/>
    </row>
    <row r="40678" spans="62:62" x14ac:dyDescent="0.2">
      <c r="BJ40678" s="201"/>
    </row>
    <row r="40679" spans="62:62" x14ac:dyDescent="0.2">
      <c r="BJ40679" s="201"/>
    </row>
    <row r="40680" spans="62:62" x14ac:dyDescent="0.2">
      <c r="BJ40680" s="201"/>
    </row>
    <row r="40681" spans="62:62" x14ac:dyDescent="0.2">
      <c r="BJ40681" s="201"/>
    </row>
    <row r="40682" spans="62:62" x14ac:dyDescent="0.2">
      <c r="BJ40682" s="201"/>
    </row>
    <row r="40683" spans="62:62" x14ac:dyDescent="0.2">
      <c r="BJ40683" s="201"/>
    </row>
    <row r="40684" spans="62:62" x14ac:dyDescent="0.2">
      <c r="BJ40684" s="201"/>
    </row>
    <row r="40685" spans="62:62" x14ac:dyDescent="0.2">
      <c r="BJ40685" s="201"/>
    </row>
    <row r="40686" spans="62:62" x14ac:dyDescent="0.2">
      <c r="BJ40686" s="201"/>
    </row>
    <row r="40687" spans="62:62" x14ac:dyDescent="0.2">
      <c r="BJ40687" s="201"/>
    </row>
    <row r="40688" spans="62:62" x14ac:dyDescent="0.2">
      <c r="BJ40688" s="201"/>
    </row>
    <row r="40689" spans="62:62" x14ac:dyDescent="0.2">
      <c r="BJ40689" s="201"/>
    </row>
    <row r="40690" spans="62:62" x14ac:dyDescent="0.2">
      <c r="BJ40690" s="201"/>
    </row>
    <row r="40691" spans="62:62" x14ac:dyDescent="0.2">
      <c r="BJ40691" s="201"/>
    </row>
    <row r="40692" spans="62:62" x14ac:dyDescent="0.2">
      <c r="BJ40692" s="201"/>
    </row>
    <row r="40693" spans="62:62" x14ac:dyDescent="0.2">
      <c r="BJ40693" s="201"/>
    </row>
    <row r="40694" spans="62:62" x14ac:dyDescent="0.2">
      <c r="BJ40694" s="201"/>
    </row>
    <row r="40695" spans="62:62" x14ac:dyDescent="0.2">
      <c r="BJ40695" s="201"/>
    </row>
    <row r="40696" spans="62:62" x14ac:dyDescent="0.2">
      <c r="BJ40696" s="201"/>
    </row>
    <row r="40697" spans="62:62" x14ac:dyDescent="0.2">
      <c r="BJ40697" s="201"/>
    </row>
    <row r="40698" spans="62:62" x14ac:dyDescent="0.2">
      <c r="BJ40698" s="201"/>
    </row>
    <row r="40699" spans="62:62" x14ac:dyDescent="0.2">
      <c r="BJ40699" s="201"/>
    </row>
    <row r="40700" spans="62:62" x14ac:dyDescent="0.2">
      <c r="BJ40700" s="201"/>
    </row>
    <row r="40701" spans="62:62" x14ac:dyDescent="0.2">
      <c r="BJ40701" s="201"/>
    </row>
    <row r="40702" spans="62:62" x14ac:dyDescent="0.2">
      <c r="BJ40702" s="201"/>
    </row>
    <row r="40703" spans="62:62" x14ac:dyDescent="0.2">
      <c r="BJ40703" s="201"/>
    </row>
    <row r="40704" spans="62:62" x14ac:dyDescent="0.2">
      <c r="BJ40704" s="201"/>
    </row>
    <row r="40705" spans="62:62" x14ac:dyDescent="0.2">
      <c r="BJ40705" s="201"/>
    </row>
    <row r="40706" spans="62:62" x14ac:dyDescent="0.2">
      <c r="BJ40706" s="201"/>
    </row>
    <row r="40707" spans="62:62" x14ac:dyDescent="0.2">
      <c r="BJ40707" s="201"/>
    </row>
    <row r="40708" spans="62:62" x14ac:dyDescent="0.2">
      <c r="BJ40708" s="201"/>
    </row>
    <row r="40709" spans="62:62" x14ac:dyDescent="0.2">
      <c r="BJ40709" s="201"/>
    </row>
    <row r="40710" spans="62:62" x14ac:dyDescent="0.2">
      <c r="BJ40710" s="201"/>
    </row>
    <row r="40711" spans="62:62" x14ac:dyDescent="0.2">
      <c r="BJ40711" s="201"/>
    </row>
    <row r="40712" spans="62:62" x14ac:dyDescent="0.2">
      <c r="BJ40712" s="201"/>
    </row>
    <row r="40713" spans="62:62" x14ac:dyDescent="0.2">
      <c r="BJ40713" s="201"/>
    </row>
    <row r="40714" spans="62:62" x14ac:dyDescent="0.2">
      <c r="BJ40714" s="201"/>
    </row>
    <row r="40715" spans="62:62" x14ac:dyDescent="0.2">
      <c r="BJ40715" s="201"/>
    </row>
    <row r="40716" spans="62:62" x14ac:dyDescent="0.2">
      <c r="BJ40716" s="201"/>
    </row>
    <row r="40717" spans="62:62" x14ac:dyDescent="0.2">
      <c r="BJ40717" s="201"/>
    </row>
    <row r="40718" spans="62:62" x14ac:dyDescent="0.2">
      <c r="BJ40718" s="201"/>
    </row>
    <row r="40719" spans="62:62" x14ac:dyDescent="0.2">
      <c r="BJ40719" s="201"/>
    </row>
    <row r="40720" spans="62:62" x14ac:dyDescent="0.2">
      <c r="BJ40720" s="201"/>
    </row>
    <row r="40721" spans="62:62" x14ac:dyDescent="0.2">
      <c r="BJ40721" s="201"/>
    </row>
    <row r="40722" spans="62:62" x14ac:dyDescent="0.2">
      <c r="BJ40722" s="201"/>
    </row>
    <row r="40723" spans="62:62" x14ac:dyDescent="0.2">
      <c r="BJ40723" s="201"/>
    </row>
    <row r="40724" spans="62:62" x14ac:dyDescent="0.2">
      <c r="BJ40724" s="201"/>
    </row>
    <row r="40725" spans="62:62" x14ac:dyDescent="0.2">
      <c r="BJ40725" s="201"/>
    </row>
    <row r="40726" spans="62:62" x14ac:dyDescent="0.2">
      <c r="BJ40726" s="201"/>
    </row>
    <row r="40727" spans="62:62" x14ac:dyDescent="0.2">
      <c r="BJ40727" s="201"/>
    </row>
    <row r="40728" spans="62:62" x14ac:dyDescent="0.2">
      <c r="BJ40728" s="201"/>
    </row>
    <row r="40729" spans="62:62" x14ac:dyDescent="0.2">
      <c r="BJ40729" s="201"/>
    </row>
    <row r="40730" spans="62:62" x14ac:dyDescent="0.2">
      <c r="BJ40730" s="201"/>
    </row>
    <row r="40731" spans="62:62" x14ac:dyDescent="0.2">
      <c r="BJ40731" s="201"/>
    </row>
    <row r="40732" spans="62:62" x14ac:dyDescent="0.2">
      <c r="BJ40732" s="201"/>
    </row>
    <row r="40733" spans="62:62" x14ac:dyDescent="0.2">
      <c r="BJ40733" s="201"/>
    </row>
    <row r="40734" spans="62:62" x14ac:dyDescent="0.2">
      <c r="BJ40734" s="201"/>
    </row>
    <row r="40735" spans="62:62" x14ac:dyDescent="0.2">
      <c r="BJ40735" s="201"/>
    </row>
    <row r="40736" spans="62:62" x14ac:dyDescent="0.2">
      <c r="BJ40736" s="201"/>
    </row>
    <row r="40737" spans="62:62" x14ac:dyDescent="0.2">
      <c r="BJ40737" s="201"/>
    </row>
    <row r="40738" spans="62:62" x14ac:dyDescent="0.2">
      <c r="BJ40738" s="201"/>
    </row>
    <row r="40739" spans="62:62" x14ac:dyDescent="0.2">
      <c r="BJ40739" s="201"/>
    </row>
    <row r="40740" spans="62:62" x14ac:dyDescent="0.2">
      <c r="BJ40740" s="201"/>
    </row>
    <row r="40741" spans="62:62" x14ac:dyDescent="0.2">
      <c r="BJ40741" s="201"/>
    </row>
    <row r="40742" spans="62:62" x14ac:dyDescent="0.2">
      <c r="BJ40742" s="201"/>
    </row>
    <row r="40743" spans="62:62" x14ac:dyDescent="0.2">
      <c r="BJ40743" s="201"/>
    </row>
    <row r="40744" spans="62:62" x14ac:dyDescent="0.2">
      <c r="BJ40744" s="201"/>
    </row>
    <row r="40745" spans="62:62" x14ac:dyDescent="0.2">
      <c r="BJ40745" s="201"/>
    </row>
    <row r="40746" spans="62:62" x14ac:dyDescent="0.2">
      <c r="BJ40746" s="201"/>
    </row>
    <row r="40747" spans="62:62" x14ac:dyDescent="0.2">
      <c r="BJ40747" s="201"/>
    </row>
    <row r="40748" spans="62:62" x14ac:dyDescent="0.2">
      <c r="BJ40748" s="201"/>
    </row>
    <row r="40749" spans="62:62" x14ac:dyDescent="0.2">
      <c r="BJ40749" s="201"/>
    </row>
    <row r="40750" spans="62:62" x14ac:dyDescent="0.2">
      <c r="BJ40750" s="201"/>
    </row>
    <row r="40751" spans="62:62" x14ac:dyDescent="0.2">
      <c r="BJ40751" s="201"/>
    </row>
    <row r="40752" spans="62:62" x14ac:dyDescent="0.2">
      <c r="BJ40752" s="201"/>
    </row>
    <row r="40753" spans="62:62" x14ac:dyDescent="0.2">
      <c r="BJ40753" s="201"/>
    </row>
    <row r="40754" spans="62:62" x14ac:dyDescent="0.2">
      <c r="BJ40754" s="201"/>
    </row>
    <row r="40755" spans="62:62" x14ac:dyDescent="0.2">
      <c r="BJ40755" s="201"/>
    </row>
    <row r="40756" spans="62:62" x14ac:dyDescent="0.2">
      <c r="BJ40756" s="201"/>
    </row>
    <row r="40757" spans="62:62" x14ac:dyDescent="0.2">
      <c r="BJ40757" s="201"/>
    </row>
    <row r="40758" spans="62:62" x14ac:dyDescent="0.2">
      <c r="BJ40758" s="201"/>
    </row>
    <row r="40759" spans="62:62" x14ac:dyDescent="0.2">
      <c r="BJ40759" s="201"/>
    </row>
    <row r="40760" spans="62:62" x14ac:dyDescent="0.2">
      <c r="BJ40760" s="201"/>
    </row>
    <row r="40761" spans="62:62" x14ac:dyDescent="0.2">
      <c r="BJ40761" s="201"/>
    </row>
    <row r="40762" spans="62:62" x14ac:dyDescent="0.2">
      <c r="BJ40762" s="201"/>
    </row>
    <row r="40763" spans="62:62" x14ac:dyDescent="0.2">
      <c r="BJ40763" s="201"/>
    </row>
    <row r="40764" spans="62:62" x14ac:dyDescent="0.2">
      <c r="BJ40764" s="201"/>
    </row>
    <row r="40765" spans="62:62" x14ac:dyDescent="0.2">
      <c r="BJ40765" s="201"/>
    </row>
    <row r="40766" spans="62:62" x14ac:dyDescent="0.2">
      <c r="BJ40766" s="201"/>
    </row>
    <row r="40767" spans="62:62" x14ac:dyDescent="0.2">
      <c r="BJ40767" s="201"/>
    </row>
    <row r="40768" spans="62:62" x14ac:dyDescent="0.2">
      <c r="BJ40768" s="201"/>
    </row>
    <row r="40769" spans="62:62" x14ac:dyDescent="0.2">
      <c r="BJ40769" s="201"/>
    </row>
    <row r="40770" spans="62:62" x14ac:dyDescent="0.2">
      <c r="BJ40770" s="201"/>
    </row>
    <row r="40771" spans="62:62" x14ac:dyDescent="0.2">
      <c r="BJ40771" s="201"/>
    </row>
    <row r="40772" spans="62:62" x14ac:dyDescent="0.2">
      <c r="BJ40772" s="201"/>
    </row>
    <row r="40773" spans="62:62" x14ac:dyDescent="0.2">
      <c r="BJ40773" s="201"/>
    </row>
    <row r="40774" spans="62:62" x14ac:dyDescent="0.2">
      <c r="BJ40774" s="201"/>
    </row>
    <row r="40775" spans="62:62" x14ac:dyDescent="0.2">
      <c r="BJ40775" s="201"/>
    </row>
    <row r="40776" spans="62:62" x14ac:dyDescent="0.2">
      <c r="BJ40776" s="201"/>
    </row>
    <row r="40777" spans="62:62" x14ac:dyDescent="0.2">
      <c r="BJ40777" s="201"/>
    </row>
    <row r="40778" spans="62:62" x14ac:dyDescent="0.2">
      <c r="BJ40778" s="201"/>
    </row>
    <row r="40779" spans="62:62" x14ac:dyDescent="0.2">
      <c r="BJ40779" s="201"/>
    </row>
    <row r="40780" spans="62:62" x14ac:dyDescent="0.2">
      <c r="BJ40780" s="201"/>
    </row>
    <row r="40781" spans="62:62" x14ac:dyDescent="0.2">
      <c r="BJ40781" s="201"/>
    </row>
    <row r="40782" spans="62:62" x14ac:dyDescent="0.2">
      <c r="BJ40782" s="201"/>
    </row>
    <row r="40783" spans="62:62" x14ac:dyDescent="0.2">
      <c r="BJ40783" s="201"/>
    </row>
    <row r="40784" spans="62:62" x14ac:dyDescent="0.2">
      <c r="BJ40784" s="201"/>
    </row>
    <row r="40785" spans="62:62" x14ac:dyDescent="0.2">
      <c r="BJ40785" s="201"/>
    </row>
    <row r="40786" spans="62:62" x14ac:dyDescent="0.2">
      <c r="BJ40786" s="201"/>
    </row>
    <row r="40787" spans="62:62" x14ac:dyDescent="0.2">
      <c r="BJ40787" s="201"/>
    </row>
    <row r="40788" spans="62:62" x14ac:dyDescent="0.2">
      <c r="BJ40788" s="201"/>
    </row>
    <row r="40789" spans="62:62" x14ac:dyDescent="0.2">
      <c r="BJ40789" s="201"/>
    </row>
    <row r="40790" spans="62:62" x14ac:dyDescent="0.2">
      <c r="BJ40790" s="201"/>
    </row>
    <row r="40791" spans="62:62" x14ac:dyDescent="0.2">
      <c r="BJ40791" s="201"/>
    </row>
    <row r="40792" spans="62:62" x14ac:dyDescent="0.2">
      <c r="BJ40792" s="201"/>
    </row>
    <row r="40793" spans="62:62" x14ac:dyDescent="0.2">
      <c r="BJ40793" s="201"/>
    </row>
    <row r="40794" spans="62:62" x14ac:dyDescent="0.2">
      <c r="BJ40794" s="201"/>
    </row>
    <row r="40795" spans="62:62" x14ac:dyDescent="0.2">
      <c r="BJ40795" s="201"/>
    </row>
    <row r="40796" spans="62:62" x14ac:dyDescent="0.2">
      <c r="BJ40796" s="201"/>
    </row>
    <row r="40797" spans="62:62" x14ac:dyDescent="0.2">
      <c r="BJ40797" s="201"/>
    </row>
    <row r="40798" spans="62:62" x14ac:dyDescent="0.2">
      <c r="BJ40798" s="201"/>
    </row>
    <row r="40799" spans="62:62" x14ac:dyDescent="0.2">
      <c r="BJ40799" s="201"/>
    </row>
    <row r="40800" spans="62:62" x14ac:dyDescent="0.2">
      <c r="BJ40800" s="201"/>
    </row>
    <row r="40801" spans="62:62" x14ac:dyDescent="0.2">
      <c r="BJ40801" s="201"/>
    </row>
    <row r="40802" spans="62:62" x14ac:dyDescent="0.2">
      <c r="BJ40802" s="201"/>
    </row>
    <row r="40803" spans="62:62" x14ac:dyDescent="0.2">
      <c r="BJ40803" s="201"/>
    </row>
    <row r="40804" spans="62:62" x14ac:dyDescent="0.2">
      <c r="BJ40804" s="201"/>
    </row>
    <row r="40805" spans="62:62" x14ac:dyDescent="0.2">
      <c r="BJ40805" s="201"/>
    </row>
    <row r="40806" spans="62:62" x14ac:dyDescent="0.2">
      <c r="BJ40806" s="201"/>
    </row>
    <row r="40807" spans="62:62" x14ac:dyDescent="0.2">
      <c r="BJ40807" s="201"/>
    </row>
    <row r="40808" spans="62:62" x14ac:dyDescent="0.2">
      <c r="BJ40808" s="201"/>
    </row>
    <row r="40809" spans="62:62" x14ac:dyDescent="0.2">
      <c r="BJ40809" s="201"/>
    </row>
    <row r="40810" spans="62:62" x14ac:dyDescent="0.2">
      <c r="BJ40810" s="201"/>
    </row>
    <row r="40811" spans="62:62" x14ac:dyDescent="0.2">
      <c r="BJ40811" s="201"/>
    </row>
    <row r="40812" spans="62:62" x14ac:dyDescent="0.2">
      <c r="BJ40812" s="201"/>
    </row>
    <row r="40813" spans="62:62" x14ac:dyDescent="0.2">
      <c r="BJ40813" s="201"/>
    </row>
    <row r="40814" spans="62:62" x14ac:dyDescent="0.2">
      <c r="BJ40814" s="201"/>
    </row>
    <row r="40815" spans="62:62" x14ac:dyDescent="0.2">
      <c r="BJ40815" s="201"/>
    </row>
    <row r="40816" spans="62:62" x14ac:dyDescent="0.2">
      <c r="BJ40816" s="201"/>
    </row>
    <row r="40817" spans="62:62" x14ac:dyDescent="0.2">
      <c r="BJ40817" s="201"/>
    </row>
    <row r="40818" spans="62:62" x14ac:dyDescent="0.2">
      <c r="BJ40818" s="201"/>
    </row>
    <row r="40819" spans="62:62" x14ac:dyDescent="0.2">
      <c r="BJ40819" s="201"/>
    </row>
    <row r="40820" spans="62:62" x14ac:dyDescent="0.2">
      <c r="BJ40820" s="201"/>
    </row>
    <row r="40821" spans="62:62" x14ac:dyDescent="0.2">
      <c r="BJ40821" s="201"/>
    </row>
    <row r="40822" spans="62:62" x14ac:dyDescent="0.2">
      <c r="BJ40822" s="201"/>
    </row>
    <row r="40823" spans="62:62" x14ac:dyDescent="0.2">
      <c r="BJ40823" s="201"/>
    </row>
    <row r="40824" spans="62:62" x14ac:dyDescent="0.2">
      <c r="BJ40824" s="201"/>
    </row>
    <row r="40825" spans="62:62" x14ac:dyDescent="0.2">
      <c r="BJ40825" s="201"/>
    </row>
    <row r="40826" spans="62:62" x14ac:dyDescent="0.2">
      <c r="BJ40826" s="201"/>
    </row>
    <row r="40827" spans="62:62" x14ac:dyDescent="0.2">
      <c r="BJ40827" s="201"/>
    </row>
    <row r="40828" spans="62:62" x14ac:dyDescent="0.2">
      <c r="BJ40828" s="201"/>
    </row>
    <row r="40829" spans="62:62" x14ac:dyDescent="0.2">
      <c r="BJ40829" s="201"/>
    </row>
    <row r="40830" spans="62:62" x14ac:dyDescent="0.2">
      <c r="BJ40830" s="201"/>
    </row>
    <row r="40831" spans="62:62" x14ac:dyDescent="0.2">
      <c r="BJ40831" s="201"/>
    </row>
    <row r="40832" spans="62:62" x14ac:dyDescent="0.2">
      <c r="BJ40832" s="201"/>
    </row>
    <row r="40833" spans="62:62" x14ac:dyDescent="0.2">
      <c r="BJ40833" s="201"/>
    </row>
    <row r="40834" spans="62:62" x14ac:dyDescent="0.2">
      <c r="BJ40834" s="201"/>
    </row>
    <row r="40835" spans="62:62" x14ac:dyDescent="0.2">
      <c r="BJ40835" s="201"/>
    </row>
    <row r="40836" spans="62:62" x14ac:dyDescent="0.2">
      <c r="BJ40836" s="201"/>
    </row>
    <row r="40837" spans="62:62" x14ac:dyDescent="0.2">
      <c r="BJ40837" s="201"/>
    </row>
    <row r="40838" spans="62:62" x14ac:dyDescent="0.2">
      <c r="BJ40838" s="201"/>
    </row>
    <row r="40839" spans="62:62" x14ac:dyDescent="0.2">
      <c r="BJ40839" s="201"/>
    </row>
    <row r="40840" spans="62:62" x14ac:dyDescent="0.2">
      <c r="BJ40840" s="201"/>
    </row>
    <row r="40841" spans="62:62" x14ac:dyDescent="0.2">
      <c r="BJ40841" s="201"/>
    </row>
    <row r="40842" spans="62:62" x14ac:dyDescent="0.2">
      <c r="BJ40842" s="201"/>
    </row>
    <row r="40843" spans="62:62" x14ac:dyDescent="0.2">
      <c r="BJ40843" s="201"/>
    </row>
    <row r="40844" spans="62:62" x14ac:dyDescent="0.2">
      <c r="BJ40844" s="201"/>
    </row>
    <row r="40845" spans="62:62" x14ac:dyDescent="0.2">
      <c r="BJ40845" s="201"/>
    </row>
    <row r="40846" spans="62:62" x14ac:dyDescent="0.2">
      <c r="BJ40846" s="201"/>
    </row>
    <row r="40847" spans="62:62" x14ac:dyDescent="0.2">
      <c r="BJ40847" s="201"/>
    </row>
    <row r="40848" spans="62:62" x14ac:dyDescent="0.2">
      <c r="BJ40848" s="201"/>
    </row>
    <row r="40849" spans="62:62" x14ac:dyDescent="0.2">
      <c r="BJ40849" s="201"/>
    </row>
    <row r="40850" spans="62:62" x14ac:dyDescent="0.2">
      <c r="BJ40850" s="201"/>
    </row>
    <row r="40851" spans="62:62" x14ac:dyDescent="0.2">
      <c r="BJ40851" s="201"/>
    </row>
    <row r="40852" spans="62:62" x14ac:dyDescent="0.2">
      <c r="BJ40852" s="201"/>
    </row>
    <row r="40853" spans="62:62" x14ac:dyDescent="0.2">
      <c r="BJ40853" s="201"/>
    </row>
    <row r="40854" spans="62:62" x14ac:dyDescent="0.2">
      <c r="BJ40854" s="201"/>
    </row>
    <row r="40855" spans="62:62" x14ac:dyDescent="0.2">
      <c r="BJ40855" s="201"/>
    </row>
    <row r="40856" spans="62:62" x14ac:dyDescent="0.2">
      <c r="BJ40856" s="201"/>
    </row>
    <row r="40857" spans="62:62" x14ac:dyDescent="0.2">
      <c r="BJ40857" s="201"/>
    </row>
    <row r="40858" spans="62:62" x14ac:dyDescent="0.2">
      <c r="BJ40858" s="201"/>
    </row>
    <row r="40859" spans="62:62" x14ac:dyDescent="0.2">
      <c r="BJ40859" s="201"/>
    </row>
    <row r="40860" spans="62:62" x14ac:dyDescent="0.2">
      <c r="BJ40860" s="201"/>
    </row>
    <row r="40861" spans="62:62" x14ac:dyDescent="0.2">
      <c r="BJ40861" s="201"/>
    </row>
    <row r="40862" spans="62:62" x14ac:dyDescent="0.2">
      <c r="BJ40862" s="201"/>
    </row>
    <row r="40863" spans="62:62" x14ac:dyDescent="0.2">
      <c r="BJ40863" s="201"/>
    </row>
    <row r="40864" spans="62:62" x14ac:dyDescent="0.2">
      <c r="BJ40864" s="201"/>
    </row>
    <row r="40865" spans="62:62" x14ac:dyDescent="0.2">
      <c r="BJ40865" s="201"/>
    </row>
    <row r="40866" spans="62:62" x14ac:dyDescent="0.2">
      <c r="BJ40866" s="201"/>
    </row>
    <row r="40867" spans="62:62" x14ac:dyDescent="0.2">
      <c r="BJ40867" s="201"/>
    </row>
    <row r="40868" spans="62:62" x14ac:dyDescent="0.2">
      <c r="BJ40868" s="201"/>
    </row>
    <row r="40869" spans="62:62" x14ac:dyDescent="0.2">
      <c r="BJ40869" s="201"/>
    </row>
    <row r="40870" spans="62:62" x14ac:dyDescent="0.2">
      <c r="BJ40870" s="201"/>
    </row>
    <row r="40871" spans="62:62" x14ac:dyDescent="0.2">
      <c r="BJ40871" s="201"/>
    </row>
    <row r="40872" spans="62:62" x14ac:dyDescent="0.2">
      <c r="BJ40872" s="201"/>
    </row>
    <row r="40873" spans="62:62" x14ac:dyDescent="0.2">
      <c r="BJ40873" s="201"/>
    </row>
    <row r="40874" spans="62:62" x14ac:dyDescent="0.2">
      <c r="BJ40874" s="201"/>
    </row>
    <row r="40875" spans="62:62" x14ac:dyDescent="0.2">
      <c r="BJ40875" s="201"/>
    </row>
    <row r="40876" spans="62:62" x14ac:dyDescent="0.2">
      <c r="BJ40876" s="201"/>
    </row>
    <row r="40877" spans="62:62" x14ac:dyDescent="0.2">
      <c r="BJ40877" s="201"/>
    </row>
    <row r="40878" spans="62:62" x14ac:dyDescent="0.2">
      <c r="BJ40878" s="201"/>
    </row>
    <row r="40879" spans="62:62" x14ac:dyDescent="0.2">
      <c r="BJ40879" s="201"/>
    </row>
    <row r="40880" spans="62:62" x14ac:dyDescent="0.2">
      <c r="BJ40880" s="201"/>
    </row>
    <row r="40881" spans="62:62" x14ac:dyDescent="0.2">
      <c r="BJ40881" s="201"/>
    </row>
    <row r="40882" spans="62:62" x14ac:dyDescent="0.2">
      <c r="BJ40882" s="201"/>
    </row>
    <row r="40883" spans="62:62" x14ac:dyDescent="0.2">
      <c r="BJ40883" s="201"/>
    </row>
    <row r="40884" spans="62:62" x14ac:dyDescent="0.2">
      <c r="BJ40884" s="201"/>
    </row>
    <row r="40885" spans="62:62" x14ac:dyDescent="0.2">
      <c r="BJ40885" s="201"/>
    </row>
    <row r="40886" spans="62:62" x14ac:dyDescent="0.2">
      <c r="BJ40886" s="201"/>
    </row>
    <row r="40887" spans="62:62" x14ac:dyDescent="0.2">
      <c r="BJ40887" s="201"/>
    </row>
    <row r="40888" spans="62:62" x14ac:dyDescent="0.2">
      <c r="BJ40888" s="201"/>
    </row>
    <row r="40889" spans="62:62" x14ac:dyDescent="0.2">
      <c r="BJ40889" s="201"/>
    </row>
    <row r="40890" spans="62:62" x14ac:dyDescent="0.2">
      <c r="BJ40890" s="201"/>
    </row>
    <row r="40891" spans="62:62" x14ac:dyDescent="0.2">
      <c r="BJ40891" s="201"/>
    </row>
    <row r="40892" spans="62:62" x14ac:dyDescent="0.2">
      <c r="BJ40892" s="201"/>
    </row>
    <row r="40893" spans="62:62" x14ac:dyDescent="0.2">
      <c r="BJ40893" s="201"/>
    </row>
    <row r="40894" spans="62:62" x14ac:dyDescent="0.2">
      <c r="BJ40894" s="201"/>
    </row>
    <row r="40895" spans="62:62" x14ac:dyDescent="0.2">
      <c r="BJ40895" s="201"/>
    </row>
    <row r="40896" spans="62:62" x14ac:dyDescent="0.2">
      <c r="BJ40896" s="201"/>
    </row>
    <row r="40897" spans="62:62" x14ac:dyDescent="0.2">
      <c r="BJ40897" s="201"/>
    </row>
    <row r="40898" spans="62:62" x14ac:dyDescent="0.2">
      <c r="BJ40898" s="201"/>
    </row>
    <row r="40899" spans="62:62" x14ac:dyDescent="0.2">
      <c r="BJ40899" s="201"/>
    </row>
    <row r="40900" spans="62:62" x14ac:dyDescent="0.2">
      <c r="BJ40900" s="201"/>
    </row>
    <row r="40901" spans="62:62" x14ac:dyDescent="0.2">
      <c r="BJ40901" s="201"/>
    </row>
    <row r="40902" spans="62:62" x14ac:dyDescent="0.2">
      <c r="BJ40902" s="201"/>
    </row>
    <row r="40903" spans="62:62" x14ac:dyDescent="0.2">
      <c r="BJ40903" s="201"/>
    </row>
    <row r="40904" spans="62:62" x14ac:dyDescent="0.2">
      <c r="BJ40904" s="201"/>
    </row>
    <row r="40905" spans="62:62" x14ac:dyDescent="0.2">
      <c r="BJ40905" s="201"/>
    </row>
    <row r="40906" spans="62:62" x14ac:dyDescent="0.2">
      <c r="BJ40906" s="201"/>
    </row>
    <row r="40907" spans="62:62" x14ac:dyDescent="0.2">
      <c r="BJ40907" s="201"/>
    </row>
    <row r="40908" spans="62:62" x14ac:dyDescent="0.2">
      <c r="BJ40908" s="201"/>
    </row>
    <row r="40909" spans="62:62" x14ac:dyDescent="0.2">
      <c r="BJ40909" s="201"/>
    </row>
    <row r="40910" spans="62:62" x14ac:dyDescent="0.2">
      <c r="BJ40910" s="201"/>
    </row>
    <row r="40911" spans="62:62" x14ac:dyDescent="0.2">
      <c r="BJ40911" s="201"/>
    </row>
    <row r="40912" spans="62:62" x14ac:dyDescent="0.2">
      <c r="BJ40912" s="201"/>
    </row>
    <row r="40913" spans="62:62" x14ac:dyDescent="0.2">
      <c r="BJ40913" s="201"/>
    </row>
    <row r="40914" spans="62:62" x14ac:dyDescent="0.2">
      <c r="BJ40914" s="201"/>
    </row>
    <row r="40915" spans="62:62" x14ac:dyDescent="0.2">
      <c r="BJ40915" s="201"/>
    </row>
    <row r="40916" spans="62:62" x14ac:dyDescent="0.2">
      <c r="BJ40916" s="201"/>
    </row>
    <row r="40917" spans="62:62" x14ac:dyDescent="0.2">
      <c r="BJ40917" s="201"/>
    </row>
    <row r="40918" spans="62:62" x14ac:dyDescent="0.2">
      <c r="BJ40918" s="201"/>
    </row>
    <row r="40919" spans="62:62" x14ac:dyDescent="0.2">
      <c r="BJ40919" s="201"/>
    </row>
    <row r="40920" spans="62:62" x14ac:dyDescent="0.2">
      <c r="BJ40920" s="201"/>
    </row>
    <row r="40921" spans="62:62" x14ac:dyDescent="0.2">
      <c r="BJ40921" s="201"/>
    </row>
    <row r="40922" spans="62:62" x14ac:dyDescent="0.2">
      <c r="BJ40922" s="201"/>
    </row>
    <row r="40923" spans="62:62" x14ac:dyDescent="0.2">
      <c r="BJ40923" s="201"/>
    </row>
    <row r="40924" spans="62:62" x14ac:dyDescent="0.2">
      <c r="BJ40924" s="201"/>
    </row>
    <row r="40925" spans="62:62" x14ac:dyDescent="0.2">
      <c r="BJ40925" s="201"/>
    </row>
    <row r="40926" spans="62:62" x14ac:dyDescent="0.2">
      <c r="BJ40926" s="201"/>
    </row>
    <row r="40927" spans="62:62" x14ac:dyDescent="0.2">
      <c r="BJ40927" s="201"/>
    </row>
    <row r="40928" spans="62:62" x14ac:dyDescent="0.2">
      <c r="BJ40928" s="201"/>
    </row>
    <row r="40929" spans="62:62" x14ac:dyDescent="0.2">
      <c r="BJ40929" s="201"/>
    </row>
    <row r="40930" spans="62:62" x14ac:dyDescent="0.2">
      <c r="BJ40930" s="201"/>
    </row>
    <row r="40931" spans="62:62" x14ac:dyDescent="0.2">
      <c r="BJ40931" s="201"/>
    </row>
    <row r="40932" spans="62:62" x14ac:dyDescent="0.2">
      <c r="BJ40932" s="201"/>
    </row>
    <row r="40933" spans="62:62" x14ac:dyDescent="0.2">
      <c r="BJ40933" s="201"/>
    </row>
    <row r="40934" spans="62:62" x14ac:dyDescent="0.2">
      <c r="BJ40934" s="201"/>
    </row>
    <row r="40935" spans="62:62" x14ac:dyDescent="0.2">
      <c r="BJ40935" s="201"/>
    </row>
    <row r="40936" spans="62:62" x14ac:dyDescent="0.2">
      <c r="BJ40936" s="201"/>
    </row>
    <row r="40937" spans="62:62" x14ac:dyDescent="0.2">
      <c r="BJ40937" s="201"/>
    </row>
    <row r="40938" spans="62:62" x14ac:dyDescent="0.2">
      <c r="BJ40938" s="201"/>
    </row>
    <row r="40939" spans="62:62" x14ac:dyDescent="0.2">
      <c r="BJ40939" s="201"/>
    </row>
    <row r="40940" spans="62:62" x14ac:dyDescent="0.2">
      <c r="BJ40940" s="201"/>
    </row>
    <row r="40941" spans="62:62" x14ac:dyDescent="0.2">
      <c r="BJ40941" s="201"/>
    </row>
    <row r="40942" spans="62:62" x14ac:dyDescent="0.2">
      <c r="BJ40942" s="201"/>
    </row>
    <row r="40943" spans="62:62" x14ac:dyDescent="0.2">
      <c r="BJ40943" s="201"/>
    </row>
    <row r="40944" spans="62:62" x14ac:dyDescent="0.2">
      <c r="BJ40944" s="201"/>
    </row>
    <row r="40945" spans="62:62" x14ac:dyDescent="0.2">
      <c r="BJ40945" s="201"/>
    </row>
    <row r="40946" spans="62:62" x14ac:dyDescent="0.2">
      <c r="BJ40946" s="201"/>
    </row>
    <row r="40947" spans="62:62" x14ac:dyDescent="0.2">
      <c r="BJ40947" s="201"/>
    </row>
    <row r="40948" spans="62:62" x14ac:dyDescent="0.2">
      <c r="BJ40948" s="201"/>
    </row>
    <row r="40949" spans="62:62" x14ac:dyDescent="0.2">
      <c r="BJ40949" s="201"/>
    </row>
    <row r="40950" spans="62:62" x14ac:dyDescent="0.2">
      <c r="BJ40950" s="201"/>
    </row>
    <row r="40951" spans="62:62" x14ac:dyDescent="0.2">
      <c r="BJ40951" s="201"/>
    </row>
    <row r="40952" spans="62:62" x14ac:dyDescent="0.2">
      <c r="BJ40952" s="201"/>
    </row>
    <row r="40953" spans="62:62" x14ac:dyDescent="0.2">
      <c r="BJ40953" s="201"/>
    </row>
    <row r="40954" spans="62:62" x14ac:dyDescent="0.2">
      <c r="BJ40954" s="201"/>
    </row>
    <row r="40955" spans="62:62" x14ac:dyDescent="0.2">
      <c r="BJ40955" s="201"/>
    </row>
    <row r="40956" spans="62:62" x14ac:dyDescent="0.2">
      <c r="BJ40956" s="201"/>
    </row>
    <row r="40957" spans="62:62" x14ac:dyDescent="0.2">
      <c r="BJ40957" s="201"/>
    </row>
    <row r="40958" spans="62:62" x14ac:dyDescent="0.2">
      <c r="BJ40958" s="201"/>
    </row>
    <row r="40959" spans="62:62" x14ac:dyDescent="0.2">
      <c r="BJ40959" s="201"/>
    </row>
    <row r="40960" spans="62:62" x14ac:dyDescent="0.2">
      <c r="BJ40960" s="201"/>
    </row>
    <row r="40961" spans="62:62" x14ac:dyDescent="0.2">
      <c r="BJ40961" s="201"/>
    </row>
    <row r="40962" spans="62:62" x14ac:dyDescent="0.2">
      <c r="BJ40962" s="201"/>
    </row>
    <row r="40963" spans="62:62" x14ac:dyDescent="0.2">
      <c r="BJ40963" s="201"/>
    </row>
    <row r="40964" spans="62:62" x14ac:dyDescent="0.2">
      <c r="BJ40964" s="201"/>
    </row>
    <row r="40965" spans="62:62" x14ac:dyDescent="0.2">
      <c r="BJ40965" s="201"/>
    </row>
    <row r="40966" spans="62:62" x14ac:dyDescent="0.2">
      <c r="BJ40966" s="201"/>
    </row>
    <row r="40967" spans="62:62" x14ac:dyDescent="0.2">
      <c r="BJ40967" s="201"/>
    </row>
    <row r="40968" spans="62:62" x14ac:dyDescent="0.2">
      <c r="BJ40968" s="201"/>
    </row>
    <row r="40969" spans="62:62" x14ac:dyDescent="0.2">
      <c r="BJ40969" s="201"/>
    </row>
    <row r="40970" spans="62:62" x14ac:dyDescent="0.2">
      <c r="BJ40970" s="201"/>
    </row>
    <row r="40971" spans="62:62" x14ac:dyDescent="0.2">
      <c r="BJ40971" s="201"/>
    </row>
    <row r="40972" spans="62:62" x14ac:dyDescent="0.2">
      <c r="BJ40972" s="201"/>
    </row>
    <row r="40973" spans="62:62" x14ac:dyDescent="0.2">
      <c r="BJ40973" s="201"/>
    </row>
    <row r="40974" spans="62:62" x14ac:dyDescent="0.2">
      <c r="BJ40974" s="201"/>
    </row>
    <row r="40975" spans="62:62" x14ac:dyDescent="0.2">
      <c r="BJ40975" s="201"/>
    </row>
    <row r="40976" spans="62:62" x14ac:dyDescent="0.2">
      <c r="BJ40976" s="201"/>
    </row>
    <row r="40977" spans="62:62" x14ac:dyDescent="0.2">
      <c r="BJ40977" s="201"/>
    </row>
    <row r="40978" spans="62:62" x14ac:dyDescent="0.2">
      <c r="BJ40978" s="201"/>
    </row>
    <row r="40979" spans="62:62" x14ac:dyDescent="0.2">
      <c r="BJ40979" s="201"/>
    </row>
    <row r="40980" spans="62:62" x14ac:dyDescent="0.2">
      <c r="BJ40980" s="201"/>
    </row>
    <row r="40981" spans="62:62" x14ac:dyDescent="0.2">
      <c r="BJ40981" s="201"/>
    </row>
    <row r="40982" spans="62:62" x14ac:dyDescent="0.2">
      <c r="BJ40982" s="201"/>
    </row>
    <row r="40983" spans="62:62" x14ac:dyDescent="0.2">
      <c r="BJ40983" s="201"/>
    </row>
    <row r="40984" spans="62:62" x14ac:dyDescent="0.2">
      <c r="BJ40984" s="201"/>
    </row>
    <row r="40985" spans="62:62" x14ac:dyDescent="0.2">
      <c r="BJ40985" s="201"/>
    </row>
    <row r="40986" spans="62:62" x14ac:dyDescent="0.2">
      <c r="BJ40986" s="201"/>
    </row>
    <row r="40987" spans="62:62" x14ac:dyDescent="0.2">
      <c r="BJ40987" s="201"/>
    </row>
    <row r="40988" spans="62:62" x14ac:dyDescent="0.2">
      <c r="BJ40988" s="201"/>
    </row>
    <row r="40989" spans="62:62" x14ac:dyDescent="0.2">
      <c r="BJ40989" s="201"/>
    </row>
    <row r="40990" spans="62:62" x14ac:dyDescent="0.2">
      <c r="BJ40990" s="201"/>
    </row>
    <row r="40991" spans="62:62" x14ac:dyDescent="0.2">
      <c r="BJ40991" s="201"/>
    </row>
    <row r="40992" spans="62:62" x14ac:dyDescent="0.2">
      <c r="BJ40992" s="201"/>
    </row>
    <row r="40993" spans="62:62" x14ac:dyDescent="0.2">
      <c r="BJ40993" s="201"/>
    </row>
    <row r="40994" spans="62:62" x14ac:dyDescent="0.2">
      <c r="BJ40994" s="201"/>
    </row>
    <row r="40995" spans="62:62" x14ac:dyDescent="0.2">
      <c r="BJ40995" s="201"/>
    </row>
    <row r="40996" spans="62:62" x14ac:dyDescent="0.2">
      <c r="BJ40996" s="201"/>
    </row>
    <row r="40997" spans="62:62" x14ac:dyDescent="0.2">
      <c r="BJ40997" s="201"/>
    </row>
    <row r="40998" spans="62:62" x14ac:dyDescent="0.2">
      <c r="BJ40998" s="201"/>
    </row>
    <row r="40999" spans="62:62" x14ac:dyDescent="0.2">
      <c r="BJ40999" s="201"/>
    </row>
    <row r="41000" spans="62:62" x14ac:dyDescent="0.2">
      <c r="BJ41000" s="201"/>
    </row>
    <row r="41001" spans="62:62" x14ac:dyDescent="0.2">
      <c r="BJ41001" s="201"/>
    </row>
    <row r="41002" spans="62:62" x14ac:dyDescent="0.2">
      <c r="BJ41002" s="201"/>
    </row>
    <row r="41003" spans="62:62" x14ac:dyDescent="0.2">
      <c r="BJ41003" s="201"/>
    </row>
    <row r="41004" spans="62:62" x14ac:dyDescent="0.2">
      <c r="BJ41004" s="201"/>
    </row>
    <row r="41005" spans="62:62" x14ac:dyDescent="0.2">
      <c r="BJ41005" s="201"/>
    </row>
    <row r="41006" spans="62:62" x14ac:dyDescent="0.2">
      <c r="BJ41006" s="201"/>
    </row>
    <row r="41007" spans="62:62" x14ac:dyDescent="0.2">
      <c r="BJ41007" s="201"/>
    </row>
    <row r="41008" spans="62:62" x14ac:dyDescent="0.2">
      <c r="BJ41008" s="201"/>
    </row>
    <row r="41009" spans="62:62" x14ac:dyDescent="0.2">
      <c r="BJ41009" s="201"/>
    </row>
    <row r="41010" spans="62:62" x14ac:dyDescent="0.2">
      <c r="BJ41010" s="201"/>
    </row>
    <row r="41011" spans="62:62" x14ac:dyDescent="0.2">
      <c r="BJ41011" s="201"/>
    </row>
    <row r="41012" spans="62:62" x14ac:dyDescent="0.2">
      <c r="BJ41012" s="201"/>
    </row>
    <row r="41013" spans="62:62" x14ac:dyDescent="0.2">
      <c r="BJ41013" s="201"/>
    </row>
    <row r="41014" spans="62:62" x14ac:dyDescent="0.2">
      <c r="BJ41014" s="201"/>
    </row>
    <row r="41015" spans="62:62" x14ac:dyDescent="0.2">
      <c r="BJ41015" s="201"/>
    </row>
    <row r="41016" spans="62:62" x14ac:dyDescent="0.2">
      <c r="BJ41016" s="201"/>
    </row>
    <row r="41017" spans="62:62" x14ac:dyDescent="0.2">
      <c r="BJ41017" s="201"/>
    </row>
    <row r="41018" spans="62:62" x14ac:dyDescent="0.2">
      <c r="BJ41018" s="201"/>
    </row>
    <row r="41019" spans="62:62" x14ac:dyDescent="0.2">
      <c r="BJ41019" s="201"/>
    </row>
    <row r="41020" spans="62:62" x14ac:dyDescent="0.2">
      <c r="BJ41020" s="201"/>
    </row>
    <row r="41021" spans="62:62" x14ac:dyDescent="0.2">
      <c r="BJ41021" s="201"/>
    </row>
    <row r="41022" spans="62:62" x14ac:dyDescent="0.2">
      <c r="BJ41022" s="201"/>
    </row>
    <row r="41023" spans="62:62" x14ac:dyDescent="0.2">
      <c r="BJ41023" s="201"/>
    </row>
    <row r="41024" spans="62:62" x14ac:dyDescent="0.2">
      <c r="BJ41024" s="201"/>
    </row>
    <row r="41025" spans="62:62" x14ac:dyDescent="0.2">
      <c r="BJ41025" s="201"/>
    </row>
    <row r="41026" spans="62:62" x14ac:dyDescent="0.2">
      <c r="BJ41026" s="201"/>
    </row>
    <row r="41027" spans="62:62" x14ac:dyDescent="0.2">
      <c r="BJ41027" s="201"/>
    </row>
    <row r="41028" spans="62:62" x14ac:dyDescent="0.2">
      <c r="BJ41028" s="201"/>
    </row>
    <row r="41029" spans="62:62" x14ac:dyDescent="0.2">
      <c r="BJ41029" s="201"/>
    </row>
    <row r="41030" spans="62:62" x14ac:dyDescent="0.2">
      <c r="BJ41030" s="201"/>
    </row>
    <row r="41031" spans="62:62" x14ac:dyDescent="0.2">
      <c r="BJ41031" s="201"/>
    </row>
    <row r="41032" spans="62:62" x14ac:dyDescent="0.2">
      <c r="BJ41032" s="201"/>
    </row>
    <row r="41033" spans="62:62" x14ac:dyDescent="0.2">
      <c r="BJ41033" s="201"/>
    </row>
    <row r="41034" spans="62:62" x14ac:dyDescent="0.2">
      <c r="BJ41034" s="201"/>
    </row>
    <row r="41035" spans="62:62" x14ac:dyDescent="0.2">
      <c r="BJ41035" s="201"/>
    </row>
    <row r="41036" spans="62:62" x14ac:dyDescent="0.2">
      <c r="BJ41036" s="201"/>
    </row>
    <row r="41037" spans="62:62" x14ac:dyDescent="0.2">
      <c r="BJ41037" s="201"/>
    </row>
    <row r="41038" spans="62:62" x14ac:dyDescent="0.2">
      <c r="BJ41038" s="201"/>
    </row>
    <row r="41039" spans="62:62" x14ac:dyDescent="0.2">
      <c r="BJ41039" s="201"/>
    </row>
    <row r="41040" spans="62:62" x14ac:dyDescent="0.2">
      <c r="BJ41040" s="201"/>
    </row>
    <row r="41041" spans="62:62" x14ac:dyDescent="0.2">
      <c r="BJ41041" s="201"/>
    </row>
    <row r="41042" spans="62:62" x14ac:dyDescent="0.2">
      <c r="BJ41042" s="201"/>
    </row>
    <row r="41043" spans="62:62" x14ac:dyDescent="0.2">
      <c r="BJ41043" s="201"/>
    </row>
    <row r="41044" spans="62:62" x14ac:dyDescent="0.2">
      <c r="BJ41044" s="201"/>
    </row>
    <row r="41045" spans="62:62" x14ac:dyDescent="0.2">
      <c r="BJ41045" s="201"/>
    </row>
    <row r="41046" spans="62:62" x14ac:dyDescent="0.2">
      <c r="BJ41046" s="201"/>
    </row>
    <row r="41047" spans="62:62" x14ac:dyDescent="0.2">
      <c r="BJ41047" s="201"/>
    </row>
    <row r="41048" spans="62:62" x14ac:dyDescent="0.2">
      <c r="BJ41048" s="201"/>
    </row>
    <row r="41049" spans="62:62" x14ac:dyDescent="0.2">
      <c r="BJ41049" s="201"/>
    </row>
    <row r="41050" spans="62:62" x14ac:dyDescent="0.2">
      <c r="BJ41050" s="201"/>
    </row>
    <row r="41051" spans="62:62" x14ac:dyDescent="0.2">
      <c r="BJ41051" s="201"/>
    </row>
    <row r="41052" spans="62:62" x14ac:dyDescent="0.2">
      <c r="BJ41052" s="201"/>
    </row>
    <row r="41053" spans="62:62" x14ac:dyDescent="0.2">
      <c r="BJ41053" s="201"/>
    </row>
    <row r="41054" spans="62:62" x14ac:dyDescent="0.2">
      <c r="BJ41054" s="201"/>
    </row>
    <row r="41055" spans="62:62" x14ac:dyDescent="0.2">
      <c r="BJ41055" s="201"/>
    </row>
    <row r="41056" spans="62:62" x14ac:dyDescent="0.2">
      <c r="BJ41056" s="201"/>
    </row>
    <row r="41057" spans="62:62" x14ac:dyDescent="0.2">
      <c r="BJ41057" s="201"/>
    </row>
    <row r="41058" spans="62:62" x14ac:dyDescent="0.2">
      <c r="BJ41058" s="201"/>
    </row>
    <row r="41059" spans="62:62" x14ac:dyDescent="0.2">
      <c r="BJ41059" s="201"/>
    </row>
    <row r="41060" spans="62:62" x14ac:dyDescent="0.2">
      <c r="BJ41060" s="201"/>
    </row>
    <row r="41061" spans="62:62" x14ac:dyDescent="0.2">
      <c r="BJ41061" s="201"/>
    </row>
    <row r="41062" spans="62:62" x14ac:dyDescent="0.2">
      <c r="BJ41062" s="201"/>
    </row>
    <row r="41063" spans="62:62" x14ac:dyDescent="0.2">
      <c r="BJ41063" s="201"/>
    </row>
    <row r="41064" spans="62:62" x14ac:dyDescent="0.2">
      <c r="BJ41064" s="201"/>
    </row>
    <row r="41065" spans="62:62" x14ac:dyDescent="0.2">
      <c r="BJ41065" s="201"/>
    </row>
    <row r="41066" spans="62:62" x14ac:dyDescent="0.2">
      <c r="BJ41066" s="201"/>
    </row>
    <row r="41067" spans="62:62" x14ac:dyDescent="0.2">
      <c r="BJ41067" s="201"/>
    </row>
    <row r="41068" spans="62:62" x14ac:dyDescent="0.2">
      <c r="BJ41068" s="201"/>
    </row>
    <row r="41069" spans="62:62" x14ac:dyDescent="0.2">
      <c r="BJ41069" s="201"/>
    </row>
    <row r="41070" spans="62:62" x14ac:dyDescent="0.2">
      <c r="BJ41070" s="201"/>
    </row>
    <row r="41071" spans="62:62" x14ac:dyDescent="0.2">
      <c r="BJ41071" s="201"/>
    </row>
    <row r="41072" spans="62:62" x14ac:dyDescent="0.2">
      <c r="BJ41072" s="201"/>
    </row>
    <row r="41073" spans="62:62" x14ac:dyDescent="0.2">
      <c r="BJ41073" s="201"/>
    </row>
    <row r="41074" spans="62:62" x14ac:dyDescent="0.2">
      <c r="BJ41074" s="201"/>
    </row>
    <row r="41075" spans="62:62" x14ac:dyDescent="0.2">
      <c r="BJ41075" s="201"/>
    </row>
    <row r="41076" spans="62:62" x14ac:dyDescent="0.2">
      <c r="BJ41076" s="201"/>
    </row>
    <row r="41077" spans="62:62" x14ac:dyDescent="0.2">
      <c r="BJ41077" s="201"/>
    </row>
    <row r="41078" spans="62:62" x14ac:dyDescent="0.2">
      <c r="BJ41078" s="201"/>
    </row>
    <row r="41079" spans="62:62" x14ac:dyDescent="0.2">
      <c r="BJ41079" s="201"/>
    </row>
    <row r="41080" spans="62:62" x14ac:dyDescent="0.2">
      <c r="BJ41080" s="201"/>
    </row>
    <row r="41081" spans="62:62" x14ac:dyDescent="0.2">
      <c r="BJ41081" s="201"/>
    </row>
    <row r="41082" spans="62:62" x14ac:dyDescent="0.2">
      <c r="BJ41082" s="201"/>
    </row>
    <row r="41083" spans="62:62" x14ac:dyDescent="0.2">
      <c r="BJ41083" s="201"/>
    </row>
    <row r="41084" spans="62:62" x14ac:dyDescent="0.2">
      <c r="BJ41084" s="201"/>
    </row>
    <row r="41085" spans="62:62" x14ac:dyDescent="0.2">
      <c r="BJ41085" s="201"/>
    </row>
    <row r="41086" spans="62:62" x14ac:dyDescent="0.2">
      <c r="BJ41086" s="201"/>
    </row>
    <row r="41087" spans="62:62" x14ac:dyDescent="0.2">
      <c r="BJ41087" s="201"/>
    </row>
    <row r="41088" spans="62:62" x14ac:dyDescent="0.2">
      <c r="BJ41088" s="201"/>
    </row>
    <row r="41089" spans="62:62" x14ac:dyDescent="0.2">
      <c r="BJ41089" s="201"/>
    </row>
    <row r="41090" spans="62:62" x14ac:dyDescent="0.2">
      <c r="BJ41090" s="201"/>
    </row>
    <row r="41091" spans="62:62" x14ac:dyDescent="0.2">
      <c r="BJ41091" s="201"/>
    </row>
    <row r="41092" spans="62:62" x14ac:dyDescent="0.2">
      <c r="BJ41092" s="201"/>
    </row>
    <row r="41093" spans="62:62" x14ac:dyDescent="0.2">
      <c r="BJ41093" s="201"/>
    </row>
    <row r="41094" spans="62:62" x14ac:dyDescent="0.2">
      <c r="BJ41094" s="201"/>
    </row>
    <row r="41095" spans="62:62" x14ac:dyDescent="0.2">
      <c r="BJ41095" s="201"/>
    </row>
    <row r="41096" spans="62:62" x14ac:dyDescent="0.2">
      <c r="BJ41096" s="201"/>
    </row>
    <row r="41097" spans="62:62" x14ac:dyDescent="0.2">
      <c r="BJ41097" s="201"/>
    </row>
    <row r="41098" spans="62:62" x14ac:dyDescent="0.2">
      <c r="BJ41098" s="201"/>
    </row>
    <row r="41099" spans="62:62" x14ac:dyDescent="0.2">
      <c r="BJ41099" s="201"/>
    </row>
    <row r="41100" spans="62:62" x14ac:dyDescent="0.2">
      <c r="BJ41100" s="201"/>
    </row>
    <row r="41101" spans="62:62" x14ac:dyDescent="0.2">
      <c r="BJ41101" s="201"/>
    </row>
    <row r="41102" spans="62:62" x14ac:dyDescent="0.2">
      <c r="BJ41102" s="201"/>
    </row>
    <row r="41103" spans="62:62" x14ac:dyDescent="0.2">
      <c r="BJ41103" s="201"/>
    </row>
    <row r="41104" spans="62:62" x14ac:dyDescent="0.2">
      <c r="BJ41104" s="201"/>
    </row>
    <row r="41105" spans="62:62" x14ac:dyDescent="0.2">
      <c r="BJ41105" s="201"/>
    </row>
    <row r="41106" spans="62:62" x14ac:dyDescent="0.2">
      <c r="BJ41106" s="201"/>
    </row>
    <row r="41107" spans="62:62" x14ac:dyDescent="0.2">
      <c r="BJ41107" s="201"/>
    </row>
    <row r="41108" spans="62:62" x14ac:dyDescent="0.2">
      <c r="BJ41108" s="201"/>
    </row>
    <row r="41109" spans="62:62" x14ac:dyDescent="0.2">
      <c r="BJ41109" s="201"/>
    </row>
    <row r="41110" spans="62:62" x14ac:dyDescent="0.2">
      <c r="BJ41110" s="201"/>
    </row>
    <row r="41111" spans="62:62" x14ac:dyDescent="0.2">
      <c r="BJ41111" s="201"/>
    </row>
    <row r="41112" spans="62:62" x14ac:dyDescent="0.2">
      <c r="BJ41112" s="201"/>
    </row>
    <row r="41113" spans="62:62" x14ac:dyDescent="0.2">
      <c r="BJ41113" s="201"/>
    </row>
    <row r="41114" spans="62:62" x14ac:dyDescent="0.2">
      <c r="BJ41114" s="201"/>
    </row>
    <row r="41115" spans="62:62" x14ac:dyDescent="0.2">
      <c r="BJ41115" s="201"/>
    </row>
    <row r="41116" spans="62:62" x14ac:dyDescent="0.2">
      <c r="BJ41116" s="201"/>
    </row>
    <row r="41117" spans="62:62" x14ac:dyDescent="0.2">
      <c r="BJ41117" s="201"/>
    </row>
    <row r="41118" spans="62:62" x14ac:dyDescent="0.2">
      <c r="BJ41118" s="201"/>
    </row>
    <row r="41119" spans="62:62" x14ac:dyDescent="0.2">
      <c r="BJ41119" s="201"/>
    </row>
    <row r="41120" spans="62:62" x14ac:dyDescent="0.2">
      <c r="BJ41120" s="201"/>
    </row>
    <row r="41121" spans="62:62" x14ac:dyDescent="0.2">
      <c r="BJ41121" s="201"/>
    </row>
    <row r="41122" spans="62:62" x14ac:dyDescent="0.2">
      <c r="BJ41122" s="201"/>
    </row>
    <row r="41123" spans="62:62" x14ac:dyDescent="0.2">
      <c r="BJ41123" s="201"/>
    </row>
    <row r="41124" spans="62:62" x14ac:dyDescent="0.2">
      <c r="BJ41124" s="201"/>
    </row>
    <row r="41125" spans="62:62" x14ac:dyDescent="0.2">
      <c r="BJ41125" s="201"/>
    </row>
    <row r="41126" spans="62:62" x14ac:dyDescent="0.2">
      <c r="BJ41126" s="201"/>
    </row>
    <row r="41127" spans="62:62" x14ac:dyDescent="0.2">
      <c r="BJ41127" s="201"/>
    </row>
    <row r="41128" spans="62:62" x14ac:dyDescent="0.2">
      <c r="BJ41128" s="201"/>
    </row>
    <row r="41129" spans="62:62" x14ac:dyDescent="0.2">
      <c r="BJ41129" s="201"/>
    </row>
    <row r="41130" spans="62:62" x14ac:dyDescent="0.2">
      <c r="BJ41130" s="201"/>
    </row>
    <row r="41131" spans="62:62" x14ac:dyDescent="0.2">
      <c r="BJ41131" s="201"/>
    </row>
    <row r="41132" spans="62:62" x14ac:dyDescent="0.2">
      <c r="BJ41132" s="201"/>
    </row>
    <row r="41133" spans="62:62" x14ac:dyDescent="0.2">
      <c r="BJ41133" s="201"/>
    </row>
    <row r="41134" spans="62:62" x14ac:dyDescent="0.2">
      <c r="BJ41134" s="201"/>
    </row>
    <row r="41135" spans="62:62" x14ac:dyDescent="0.2">
      <c r="BJ41135" s="201"/>
    </row>
    <row r="41136" spans="62:62" x14ac:dyDescent="0.2">
      <c r="BJ41136" s="201"/>
    </row>
    <row r="41137" spans="62:62" x14ac:dyDescent="0.2">
      <c r="BJ41137" s="201"/>
    </row>
    <row r="41138" spans="62:62" x14ac:dyDescent="0.2">
      <c r="BJ41138" s="201"/>
    </row>
    <row r="41139" spans="62:62" x14ac:dyDescent="0.2">
      <c r="BJ41139" s="201"/>
    </row>
    <row r="41140" spans="62:62" x14ac:dyDescent="0.2">
      <c r="BJ41140" s="201"/>
    </row>
    <row r="41141" spans="62:62" x14ac:dyDescent="0.2">
      <c r="BJ41141" s="201"/>
    </row>
    <row r="41142" spans="62:62" x14ac:dyDescent="0.2">
      <c r="BJ41142" s="201"/>
    </row>
    <row r="41143" spans="62:62" x14ac:dyDescent="0.2">
      <c r="BJ41143" s="201"/>
    </row>
    <row r="41144" spans="62:62" x14ac:dyDescent="0.2">
      <c r="BJ41144" s="201"/>
    </row>
    <row r="41145" spans="62:62" x14ac:dyDescent="0.2">
      <c r="BJ41145" s="201"/>
    </row>
    <row r="41146" spans="62:62" x14ac:dyDescent="0.2">
      <c r="BJ41146" s="201"/>
    </row>
    <row r="41147" spans="62:62" x14ac:dyDescent="0.2">
      <c r="BJ41147" s="201"/>
    </row>
    <row r="41148" spans="62:62" x14ac:dyDescent="0.2">
      <c r="BJ41148" s="201"/>
    </row>
    <row r="41149" spans="62:62" x14ac:dyDescent="0.2">
      <c r="BJ41149" s="201"/>
    </row>
    <row r="41150" spans="62:62" x14ac:dyDescent="0.2">
      <c r="BJ41150" s="201"/>
    </row>
    <row r="41151" spans="62:62" x14ac:dyDescent="0.2">
      <c r="BJ41151" s="201"/>
    </row>
    <row r="41152" spans="62:62" x14ac:dyDescent="0.2">
      <c r="BJ41152" s="201"/>
    </row>
    <row r="41153" spans="62:62" x14ac:dyDescent="0.2">
      <c r="BJ41153" s="201"/>
    </row>
    <row r="41154" spans="62:62" x14ac:dyDescent="0.2">
      <c r="BJ41154" s="201"/>
    </row>
    <row r="41155" spans="62:62" x14ac:dyDescent="0.2">
      <c r="BJ41155" s="201"/>
    </row>
    <row r="41156" spans="62:62" x14ac:dyDescent="0.2">
      <c r="BJ41156" s="201"/>
    </row>
    <row r="41157" spans="62:62" x14ac:dyDescent="0.2">
      <c r="BJ41157" s="201"/>
    </row>
    <row r="41158" spans="62:62" x14ac:dyDescent="0.2">
      <c r="BJ41158" s="201"/>
    </row>
    <row r="41159" spans="62:62" x14ac:dyDescent="0.2">
      <c r="BJ41159" s="201"/>
    </row>
    <row r="41160" spans="62:62" x14ac:dyDescent="0.2">
      <c r="BJ41160" s="201"/>
    </row>
    <row r="41161" spans="62:62" x14ac:dyDescent="0.2">
      <c r="BJ41161" s="201"/>
    </row>
    <row r="41162" spans="62:62" x14ac:dyDescent="0.2">
      <c r="BJ41162" s="201"/>
    </row>
    <row r="41163" spans="62:62" x14ac:dyDescent="0.2">
      <c r="BJ41163" s="201"/>
    </row>
    <row r="41164" spans="62:62" x14ac:dyDescent="0.2">
      <c r="BJ41164" s="201"/>
    </row>
    <row r="41165" spans="62:62" x14ac:dyDescent="0.2">
      <c r="BJ41165" s="201"/>
    </row>
    <row r="41166" spans="62:62" x14ac:dyDescent="0.2">
      <c r="BJ41166" s="201"/>
    </row>
    <row r="41167" spans="62:62" x14ac:dyDescent="0.2">
      <c r="BJ41167" s="201"/>
    </row>
    <row r="41168" spans="62:62" x14ac:dyDescent="0.2">
      <c r="BJ41168" s="201"/>
    </row>
    <row r="41169" spans="62:62" x14ac:dyDescent="0.2">
      <c r="BJ41169" s="201"/>
    </row>
    <row r="41170" spans="62:62" x14ac:dyDescent="0.2">
      <c r="BJ41170" s="201"/>
    </row>
    <row r="41171" spans="62:62" x14ac:dyDescent="0.2">
      <c r="BJ41171" s="201"/>
    </row>
    <row r="41172" spans="62:62" x14ac:dyDescent="0.2">
      <c r="BJ41172" s="201"/>
    </row>
    <row r="41173" spans="62:62" x14ac:dyDescent="0.2">
      <c r="BJ41173" s="201"/>
    </row>
    <row r="41174" spans="62:62" x14ac:dyDescent="0.2">
      <c r="BJ41174" s="201"/>
    </row>
    <row r="41175" spans="62:62" x14ac:dyDescent="0.2">
      <c r="BJ41175" s="201"/>
    </row>
    <row r="41176" spans="62:62" x14ac:dyDescent="0.2">
      <c r="BJ41176" s="201"/>
    </row>
    <row r="41177" spans="62:62" x14ac:dyDescent="0.2">
      <c r="BJ41177" s="201"/>
    </row>
    <row r="41178" spans="62:62" x14ac:dyDescent="0.2">
      <c r="BJ41178" s="201"/>
    </row>
    <row r="41179" spans="62:62" x14ac:dyDescent="0.2">
      <c r="BJ41179" s="201"/>
    </row>
    <row r="41180" spans="62:62" x14ac:dyDescent="0.2">
      <c r="BJ41180" s="201"/>
    </row>
    <row r="41181" spans="62:62" x14ac:dyDescent="0.2">
      <c r="BJ41181" s="201"/>
    </row>
    <row r="41182" spans="62:62" x14ac:dyDescent="0.2">
      <c r="BJ41182" s="201"/>
    </row>
    <row r="41183" spans="62:62" x14ac:dyDescent="0.2">
      <c r="BJ41183" s="201"/>
    </row>
    <row r="41184" spans="62:62" x14ac:dyDescent="0.2">
      <c r="BJ41184" s="201"/>
    </row>
    <row r="41185" spans="62:62" x14ac:dyDescent="0.2">
      <c r="BJ41185" s="201"/>
    </row>
    <row r="41186" spans="62:62" x14ac:dyDescent="0.2">
      <c r="BJ41186" s="201"/>
    </row>
    <row r="41187" spans="62:62" x14ac:dyDescent="0.2">
      <c r="BJ41187" s="201"/>
    </row>
    <row r="41188" spans="62:62" x14ac:dyDescent="0.2">
      <c r="BJ41188" s="201"/>
    </row>
    <row r="41189" spans="62:62" x14ac:dyDescent="0.2">
      <c r="BJ41189" s="201"/>
    </row>
    <row r="41190" spans="62:62" x14ac:dyDescent="0.2">
      <c r="BJ41190" s="201"/>
    </row>
    <row r="41191" spans="62:62" x14ac:dyDescent="0.2">
      <c r="BJ41191" s="201"/>
    </row>
    <row r="41192" spans="62:62" x14ac:dyDescent="0.2">
      <c r="BJ41192" s="201"/>
    </row>
    <row r="41193" spans="62:62" x14ac:dyDescent="0.2">
      <c r="BJ41193" s="201"/>
    </row>
    <row r="41194" spans="62:62" x14ac:dyDescent="0.2">
      <c r="BJ41194" s="201"/>
    </row>
    <row r="41195" spans="62:62" x14ac:dyDescent="0.2">
      <c r="BJ41195" s="201"/>
    </row>
    <row r="41196" spans="62:62" x14ac:dyDescent="0.2">
      <c r="BJ41196" s="201"/>
    </row>
    <row r="41197" spans="62:62" x14ac:dyDescent="0.2">
      <c r="BJ41197" s="201"/>
    </row>
    <row r="41198" spans="62:62" x14ac:dyDescent="0.2">
      <c r="BJ41198" s="201"/>
    </row>
    <row r="41199" spans="62:62" x14ac:dyDescent="0.2">
      <c r="BJ41199" s="201"/>
    </row>
    <row r="41200" spans="62:62" x14ac:dyDescent="0.2">
      <c r="BJ41200" s="201"/>
    </row>
    <row r="41201" spans="62:62" x14ac:dyDescent="0.2">
      <c r="BJ41201" s="201"/>
    </row>
    <row r="41202" spans="62:62" x14ac:dyDescent="0.2">
      <c r="BJ41202" s="201"/>
    </row>
    <row r="41203" spans="62:62" x14ac:dyDescent="0.2">
      <c r="BJ41203" s="201"/>
    </row>
    <row r="41204" spans="62:62" x14ac:dyDescent="0.2">
      <c r="BJ41204" s="201"/>
    </row>
    <row r="41205" spans="62:62" x14ac:dyDescent="0.2">
      <c r="BJ41205" s="201"/>
    </row>
    <row r="41206" spans="62:62" x14ac:dyDescent="0.2">
      <c r="BJ41206" s="201"/>
    </row>
    <row r="41207" spans="62:62" x14ac:dyDescent="0.2">
      <c r="BJ41207" s="201"/>
    </row>
    <row r="41208" spans="62:62" x14ac:dyDescent="0.2">
      <c r="BJ41208" s="201"/>
    </row>
    <row r="41209" spans="62:62" x14ac:dyDescent="0.2">
      <c r="BJ41209" s="201"/>
    </row>
    <row r="41210" spans="62:62" x14ac:dyDescent="0.2">
      <c r="BJ41210" s="201"/>
    </row>
    <row r="41211" spans="62:62" x14ac:dyDescent="0.2">
      <c r="BJ41211" s="201"/>
    </row>
    <row r="41212" spans="62:62" x14ac:dyDescent="0.2">
      <c r="BJ41212" s="201"/>
    </row>
    <row r="41213" spans="62:62" x14ac:dyDescent="0.2">
      <c r="BJ41213" s="201"/>
    </row>
    <row r="41214" spans="62:62" x14ac:dyDescent="0.2">
      <c r="BJ41214" s="201"/>
    </row>
    <row r="41215" spans="62:62" x14ac:dyDescent="0.2">
      <c r="BJ41215" s="201"/>
    </row>
    <row r="41216" spans="62:62" x14ac:dyDescent="0.2">
      <c r="BJ41216" s="201"/>
    </row>
    <row r="41217" spans="62:62" x14ac:dyDescent="0.2">
      <c r="BJ41217" s="201"/>
    </row>
    <row r="41218" spans="62:62" x14ac:dyDescent="0.2">
      <c r="BJ41218" s="201"/>
    </row>
    <row r="41219" spans="62:62" x14ac:dyDescent="0.2">
      <c r="BJ41219" s="201"/>
    </row>
    <row r="41220" spans="62:62" x14ac:dyDescent="0.2">
      <c r="BJ41220" s="201"/>
    </row>
    <row r="41221" spans="62:62" x14ac:dyDescent="0.2">
      <c r="BJ41221" s="201"/>
    </row>
    <row r="41222" spans="62:62" x14ac:dyDescent="0.2">
      <c r="BJ41222" s="201"/>
    </row>
    <row r="41223" spans="62:62" x14ac:dyDescent="0.2">
      <c r="BJ41223" s="201"/>
    </row>
    <row r="41224" spans="62:62" x14ac:dyDescent="0.2">
      <c r="BJ41224" s="201"/>
    </row>
    <row r="41225" spans="62:62" x14ac:dyDescent="0.2">
      <c r="BJ41225" s="201"/>
    </row>
    <row r="41226" spans="62:62" x14ac:dyDescent="0.2">
      <c r="BJ41226" s="201"/>
    </row>
    <row r="41227" spans="62:62" x14ac:dyDescent="0.2">
      <c r="BJ41227" s="201"/>
    </row>
    <row r="41228" spans="62:62" x14ac:dyDescent="0.2">
      <c r="BJ41228" s="201"/>
    </row>
    <row r="41229" spans="62:62" x14ac:dyDescent="0.2">
      <c r="BJ41229" s="201"/>
    </row>
    <row r="41230" spans="62:62" x14ac:dyDescent="0.2">
      <c r="BJ41230" s="201"/>
    </row>
    <row r="41231" spans="62:62" x14ac:dyDescent="0.2">
      <c r="BJ41231" s="201"/>
    </row>
    <row r="41232" spans="62:62" x14ac:dyDescent="0.2">
      <c r="BJ41232" s="201"/>
    </row>
    <row r="41233" spans="62:62" x14ac:dyDescent="0.2">
      <c r="BJ41233" s="201"/>
    </row>
    <row r="41234" spans="62:62" x14ac:dyDescent="0.2">
      <c r="BJ41234" s="201"/>
    </row>
    <row r="41235" spans="62:62" x14ac:dyDescent="0.2">
      <c r="BJ41235" s="201"/>
    </row>
    <row r="41236" spans="62:62" x14ac:dyDescent="0.2">
      <c r="BJ41236" s="201"/>
    </row>
    <row r="41237" spans="62:62" x14ac:dyDescent="0.2">
      <c r="BJ41237" s="201"/>
    </row>
    <row r="41238" spans="62:62" x14ac:dyDescent="0.2">
      <c r="BJ41238" s="201"/>
    </row>
    <row r="41239" spans="62:62" x14ac:dyDescent="0.2">
      <c r="BJ41239" s="201"/>
    </row>
    <row r="41240" spans="62:62" x14ac:dyDescent="0.2">
      <c r="BJ41240" s="201"/>
    </row>
    <row r="41241" spans="62:62" x14ac:dyDescent="0.2">
      <c r="BJ41241" s="201"/>
    </row>
    <row r="41242" spans="62:62" x14ac:dyDescent="0.2">
      <c r="BJ41242" s="201"/>
    </row>
    <row r="41243" spans="62:62" x14ac:dyDescent="0.2">
      <c r="BJ41243" s="201"/>
    </row>
    <row r="41244" spans="62:62" x14ac:dyDescent="0.2">
      <c r="BJ41244" s="201"/>
    </row>
    <row r="41245" spans="62:62" x14ac:dyDescent="0.2">
      <c r="BJ41245" s="201"/>
    </row>
    <row r="41246" spans="62:62" x14ac:dyDescent="0.2">
      <c r="BJ41246" s="201"/>
    </row>
    <row r="41247" spans="62:62" x14ac:dyDescent="0.2">
      <c r="BJ41247" s="201"/>
    </row>
    <row r="41248" spans="62:62" x14ac:dyDescent="0.2">
      <c r="BJ41248" s="201"/>
    </row>
    <row r="41249" spans="62:62" x14ac:dyDescent="0.2">
      <c r="BJ41249" s="201"/>
    </row>
    <row r="41250" spans="62:62" x14ac:dyDescent="0.2">
      <c r="BJ41250" s="201"/>
    </row>
    <row r="41251" spans="62:62" x14ac:dyDescent="0.2">
      <c r="BJ41251" s="201"/>
    </row>
    <row r="41252" spans="62:62" x14ac:dyDescent="0.2">
      <c r="BJ41252" s="201"/>
    </row>
    <row r="41253" spans="62:62" x14ac:dyDescent="0.2">
      <c r="BJ41253" s="201"/>
    </row>
    <row r="41254" spans="62:62" x14ac:dyDescent="0.2">
      <c r="BJ41254" s="201"/>
    </row>
    <row r="41255" spans="62:62" x14ac:dyDescent="0.2">
      <c r="BJ41255" s="201"/>
    </row>
    <row r="41256" spans="62:62" x14ac:dyDescent="0.2">
      <c r="BJ41256" s="201"/>
    </row>
    <row r="41257" spans="62:62" x14ac:dyDescent="0.2">
      <c r="BJ41257" s="201"/>
    </row>
    <row r="41258" spans="62:62" x14ac:dyDescent="0.2">
      <c r="BJ41258" s="201"/>
    </row>
    <row r="41259" spans="62:62" x14ac:dyDescent="0.2">
      <c r="BJ41259" s="201"/>
    </row>
    <row r="41260" spans="62:62" x14ac:dyDescent="0.2">
      <c r="BJ41260" s="201"/>
    </row>
    <row r="41261" spans="62:62" x14ac:dyDescent="0.2">
      <c r="BJ41261" s="201"/>
    </row>
    <row r="41262" spans="62:62" x14ac:dyDescent="0.2">
      <c r="BJ41262" s="201"/>
    </row>
    <row r="41263" spans="62:62" x14ac:dyDescent="0.2">
      <c r="BJ41263" s="201"/>
    </row>
    <row r="41264" spans="62:62" x14ac:dyDescent="0.2">
      <c r="BJ41264" s="201"/>
    </row>
    <row r="41265" spans="62:62" x14ac:dyDescent="0.2">
      <c r="BJ41265" s="201"/>
    </row>
    <row r="41266" spans="62:62" x14ac:dyDescent="0.2">
      <c r="BJ41266" s="201"/>
    </row>
    <row r="41267" spans="62:62" x14ac:dyDescent="0.2">
      <c r="BJ41267" s="201"/>
    </row>
    <row r="41268" spans="62:62" x14ac:dyDescent="0.2">
      <c r="BJ41268" s="201"/>
    </row>
    <row r="41269" spans="62:62" x14ac:dyDescent="0.2">
      <c r="BJ41269" s="201"/>
    </row>
    <row r="41270" spans="62:62" x14ac:dyDescent="0.2">
      <c r="BJ41270" s="201"/>
    </row>
    <row r="41271" spans="62:62" x14ac:dyDescent="0.2">
      <c r="BJ41271" s="201"/>
    </row>
    <row r="41272" spans="62:62" x14ac:dyDescent="0.2">
      <c r="BJ41272" s="201"/>
    </row>
    <row r="41273" spans="62:62" x14ac:dyDescent="0.2">
      <c r="BJ41273" s="201"/>
    </row>
    <row r="41274" spans="62:62" x14ac:dyDescent="0.2">
      <c r="BJ41274" s="201"/>
    </row>
    <row r="41275" spans="62:62" x14ac:dyDescent="0.2">
      <c r="BJ41275" s="201"/>
    </row>
    <row r="41276" spans="62:62" x14ac:dyDescent="0.2">
      <c r="BJ41276" s="201"/>
    </row>
    <row r="41277" spans="62:62" x14ac:dyDescent="0.2">
      <c r="BJ41277" s="201"/>
    </row>
    <row r="41278" spans="62:62" x14ac:dyDescent="0.2">
      <c r="BJ41278" s="201"/>
    </row>
    <row r="41279" spans="62:62" x14ac:dyDescent="0.2">
      <c r="BJ41279" s="201"/>
    </row>
    <row r="41280" spans="62:62" x14ac:dyDescent="0.2">
      <c r="BJ41280" s="201"/>
    </row>
    <row r="41281" spans="62:62" x14ac:dyDescent="0.2">
      <c r="BJ41281" s="201"/>
    </row>
    <row r="41282" spans="62:62" x14ac:dyDescent="0.2">
      <c r="BJ41282" s="201"/>
    </row>
    <row r="41283" spans="62:62" x14ac:dyDescent="0.2">
      <c r="BJ41283" s="201"/>
    </row>
    <row r="41284" spans="62:62" x14ac:dyDescent="0.2">
      <c r="BJ41284" s="201"/>
    </row>
    <row r="41285" spans="62:62" x14ac:dyDescent="0.2">
      <c r="BJ41285" s="201"/>
    </row>
    <row r="41286" spans="62:62" x14ac:dyDescent="0.2">
      <c r="BJ41286" s="201"/>
    </row>
    <row r="41287" spans="62:62" x14ac:dyDescent="0.2">
      <c r="BJ41287" s="201"/>
    </row>
    <row r="41288" spans="62:62" x14ac:dyDescent="0.2">
      <c r="BJ41288" s="201"/>
    </row>
    <row r="41289" spans="62:62" x14ac:dyDescent="0.2">
      <c r="BJ41289" s="201"/>
    </row>
    <row r="41290" spans="62:62" x14ac:dyDescent="0.2">
      <c r="BJ41290" s="201"/>
    </row>
    <row r="41291" spans="62:62" x14ac:dyDescent="0.2">
      <c r="BJ41291" s="201"/>
    </row>
    <row r="41292" spans="62:62" x14ac:dyDescent="0.2">
      <c r="BJ41292" s="201"/>
    </row>
    <row r="41293" spans="62:62" x14ac:dyDescent="0.2">
      <c r="BJ41293" s="201"/>
    </row>
    <row r="41294" spans="62:62" x14ac:dyDescent="0.2">
      <c r="BJ41294" s="201"/>
    </row>
    <row r="41295" spans="62:62" x14ac:dyDescent="0.2">
      <c r="BJ41295" s="201"/>
    </row>
    <row r="41296" spans="62:62" x14ac:dyDescent="0.2">
      <c r="BJ41296" s="201"/>
    </row>
    <row r="41297" spans="62:62" x14ac:dyDescent="0.2">
      <c r="BJ41297" s="201"/>
    </row>
    <row r="41298" spans="62:62" x14ac:dyDescent="0.2">
      <c r="BJ41298" s="201"/>
    </row>
    <row r="41299" spans="62:62" x14ac:dyDescent="0.2">
      <c r="BJ41299" s="201"/>
    </row>
    <row r="41300" spans="62:62" x14ac:dyDescent="0.2">
      <c r="BJ41300" s="201"/>
    </row>
    <row r="41301" spans="62:62" x14ac:dyDescent="0.2">
      <c r="BJ41301" s="201"/>
    </row>
    <row r="41302" spans="62:62" x14ac:dyDescent="0.2">
      <c r="BJ41302" s="201"/>
    </row>
    <row r="41303" spans="62:62" x14ac:dyDescent="0.2">
      <c r="BJ41303" s="201"/>
    </row>
    <row r="41304" spans="62:62" x14ac:dyDescent="0.2">
      <c r="BJ41304" s="201"/>
    </row>
    <row r="41305" spans="62:62" x14ac:dyDescent="0.2">
      <c r="BJ41305" s="201"/>
    </row>
    <row r="41306" spans="62:62" x14ac:dyDescent="0.2">
      <c r="BJ41306" s="201"/>
    </row>
    <row r="41307" spans="62:62" x14ac:dyDescent="0.2">
      <c r="BJ41307" s="201"/>
    </row>
    <row r="41308" spans="62:62" x14ac:dyDescent="0.2">
      <c r="BJ41308" s="201"/>
    </row>
    <row r="41309" spans="62:62" x14ac:dyDescent="0.2">
      <c r="BJ41309" s="201"/>
    </row>
    <row r="41310" spans="62:62" x14ac:dyDescent="0.2">
      <c r="BJ41310" s="201"/>
    </row>
    <row r="41311" spans="62:62" x14ac:dyDescent="0.2">
      <c r="BJ41311" s="201"/>
    </row>
    <row r="41312" spans="62:62" x14ac:dyDescent="0.2">
      <c r="BJ41312" s="201"/>
    </row>
    <row r="41313" spans="62:62" x14ac:dyDescent="0.2">
      <c r="BJ41313" s="201"/>
    </row>
    <row r="41314" spans="62:62" x14ac:dyDescent="0.2">
      <c r="BJ41314" s="201"/>
    </row>
    <row r="41315" spans="62:62" x14ac:dyDescent="0.2">
      <c r="BJ41315" s="201"/>
    </row>
    <row r="41316" spans="62:62" x14ac:dyDescent="0.2">
      <c r="BJ41316" s="201"/>
    </row>
    <row r="41317" spans="62:62" x14ac:dyDescent="0.2">
      <c r="BJ41317" s="201"/>
    </row>
    <row r="41318" spans="62:62" x14ac:dyDescent="0.2">
      <c r="BJ41318" s="201"/>
    </row>
    <row r="41319" spans="62:62" x14ac:dyDescent="0.2">
      <c r="BJ41319" s="201"/>
    </row>
    <row r="41320" spans="62:62" x14ac:dyDescent="0.2">
      <c r="BJ41320" s="201"/>
    </row>
    <row r="41321" spans="62:62" x14ac:dyDescent="0.2">
      <c r="BJ41321" s="201"/>
    </row>
    <row r="41322" spans="62:62" x14ac:dyDescent="0.2">
      <c r="BJ41322" s="201"/>
    </row>
    <row r="41323" spans="62:62" x14ac:dyDescent="0.2">
      <c r="BJ41323" s="201"/>
    </row>
    <row r="41324" spans="62:62" x14ac:dyDescent="0.2">
      <c r="BJ41324" s="201"/>
    </row>
    <row r="41325" spans="62:62" x14ac:dyDescent="0.2">
      <c r="BJ41325" s="201"/>
    </row>
    <row r="41326" spans="62:62" x14ac:dyDescent="0.2">
      <c r="BJ41326" s="201"/>
    </row>
    <row r="41327" spans="62:62" x14ac:dyDescent="0.2">
      <c r="BJ41327" s="201"/>
    </row>
    <row r="41328" spans="62:62" x14ac:dyDescent="0.2">
      <c r="BJ41328" s="201"/>
    </row>
    <row r="41329" spans="62:62" x14ac:dyDescent="0.2">
      <c r="BJ41329" s="201"/>
    </row>
    <row r="41330" spans="62:62" x14ac:dyDescent="0.2">
      <c r="BJ41330" s="201"/>
    </row>
    <row r="41331" spans="62:62" x14ac:dyDescent="0.2">
      <c r="BJ41331" s="201"/>
    </row>
    <row r="41332" spans="62:62" x14ac:dyDescent="0.2">
      <c r="BJ41332" s="201"/>
    </row>
    <row r="41333" spans="62:62" x14ac:dyDescent="0.2">
      <c r="BJ41333" s="201"/>
    </row>
    <row r="41334" spans="62:62" x14ac:dyDescent="0.2">
      <c r="BJ41334" s="201"/>
    </row>
    <row r="41335" spans="62:62" x14ac:dyDescent="0.2">
      <c r="BJ41335" s="201"/>
    </row>
    <row r="41336" spans="62:62" x14ac:dyDescent="0.2">
      <c r="BJ41336" s="201"/>
    </row>
    <row r="41337" spans="62:62" x14ac:dyDescent="0.2">
      <c r="BJ41337" s="201"/>
    </row>
    <row r="41338" spans="62:62" x14ac:dyDescent="0.2">
      <c r="BJ41338" s="201"/>
    </row>
    <row r="41339" spans="62:62" x14ac:dyDescent="0.2">
      <c r="BJ41339" s="201"/>
    </row>
    <row r="41340" spans="62:62" x14ac:dyDescent="0.2">
      <c r="BJ41340" s="201"/>
    </row>
    <row r="41341" spans="62:62" x14ac:dyDescent="0.2">
      <c r="BJ41341" s="201"/>
    </row>
    <row r="41342" spans="62:62" x14ac:dyDescent="0.2">
      <c r="BJ41342" s="201"/>
    </row>
    <row r="41343" spans="62:62" x14ac:dyDescent="0.2">
      <c r="BJ41343" s="201"/>
    </row>
    <row r="41344" spans="62:62" x14ac:dyDescent="0.2">
      <c r="BJ41344" s="201"/>
    </row>
    <row r="41345" spans="62:62" x14ac:dyDescent="0.2">
      <c r="BJ41345" s="201"/>
    </row>
    <row r="41346" spans="62:62" x14ac:dyDescent="0.2">
      <c r="BJ41346" s="201"/>
    </row>
    <row r="41347" spans="62:62" x14ac:dyDescent="0.2">
      <c r="BJ41347" s="201"/>
    </row>
    <row r="41348" spans="62:62" x14ac:dyDescent="0.2">
      <c r="BJ41348" s="201"/>
    </row>
    <row r="41349" spans="62:62" x14ac:dyDescent="0.2">
      <c r="BJ41349" s="201"/>
    </row>
    <row r="41350" spans="62:62" x14ac:dyDescent="0.2">
      <c r="BJ41350" s="201"/>
    </row>
    <row r="41351" spans="62:62" x14ac:dyDescent="0.2">
      <c r="BJ41351" s="201"/>
    </row>
    <row r="41352" spans="62:62" x14ac:dyDescent="0.2">
      <c r="BJ41352" s="201"/>
    </row>
    <row r="41353" spans="62:62" x14ac:dyDescent="0.2">
      <c r="BJ41353" s="201"/>
    </row>
    <row r="41354" spans="62:62" x14ac:dyDescent="0.2">
      <c r="BJ41354" s="201"/>
    </row>
    <row r="41355" spans="62:62" x14ac:dyDescent="0.2">
      <c r="BJ41355" s="201"/>
    </row>
    <row r="41356" spans="62:62" x14ac:dyDescent="0.2">
      <c r="BJ41356" s="201"/>
    </row>
    <row r="41357" spans="62:62" x14ac:dyDescent="0.2">
      <c r="BJ41357" s="201"/>
    </row>
    <row r="41358" spans="62:62" x14ac:dyDescent="0.2">
      <c r="BJ41358" s="201"/>
    </row>
    <row r="41359" spans="62:62" x14ac:dyDescent="0.2">
      <c r="BJ41359" s="201"/>
    </row>
    <row r="41360" spans="62:62" x14ac:dyDescent="0.2">
      <c r="BJ41360" s="201"/>
    </row>
    <row r="41361" spans="62:62" x14ac:dyDescent="0.2">
      <c r="BJ41361" s="201"/>
    </row>
    <row r="41362" spans="62:62" x14ac:dyDescent="0.2">
      <c r="BJ41362" s="201"/>
    </row>
    <row r="41363" spans="62:62" x14ac:dyDescent="0.2">
      <c r="BJ41363" s="201"/>
    </row>
    <row r="41364" spans="62:62" x14ac:dyDescent="0.2">
      <c r="BJ41364" s="201"/>
    </row>
    <row r="41365" spans="62:62" x14ac:dyDescent="0.2">
      <c r="BJ41365" s="201"/>
    </row>
    <row r="41366" spans="62:62" x14ac:dyDescent="0.2">
      <c r="BJ41366" s="201"/>
    </row>
    <row r="41367" spans="62:62" x14ac:dyDescent="0.2">
      <c r="BJ41367" s="201"/>
    </row>
    <row r="41368" spans="62:62" x14ac:dyDescent="0.2">
      <c r="BJ41368" s="201"/>
    </row>
    <row r="41369" spans="62:62" x14ac:dyDescent="0.2">
      <c r="BJ41369" s="201"/>
    </row>
    <row r="41370" spans="62:62" x14ac:dyDescent="0.2">
      <c r="BJ41370" s="201"/>
    </row>
    <row r="41371" spans="62:62" x14ac:dyDescent="0.2">
      <c r="BJ41371" s="201"/>
    </row>
    <row r="41372" spans="62:62" x14ac:dyDescent="0.2">
      <c r="BJ41372" s="201"/>
    </row>
    <row r="41373" spans="62:62" x14ac:dyDescent="0.2">
      <c r="BJ41373" s="201"/>
    </row>
    <row r="41374" spans="62:62" x14ac:dyDescent="0.2">
      <c r="BJ41374" s="201"/>
    </row>
    <row r="41375" spans="62:62" x14ac:dyDescent="0.2">
      <c r="BJ41375" s="201"/>
    </row>
    <row r="41376" spans="62:62" x14ac:dyDescent="0.2">
      <c r="BJ41376" s="201"/>
    </row>
    <row r="41377" spans="62:62" x14ac:dyDescent="0.2">
      <c r="BJ41377" s="201"/>
    </row>
    <row r="41378" spans="62:62" x14ac:dyDescent="0.2">
      <c r="BJ41378" s="201"/>
    </row>
    <row r="41379" spans="62:62" x14ac:dyDescent="0.2">
      <c r="BJ41379" s="201"/>
    </row>
    <row r="41380" spans="62:62" x14ac:dyDescent="0.2">
      <c r="BJ41380" s="201"/>
    </row>
    <row r="41381" spans="62:62" x14ac:dyDescent="0.2">
      <c r="BJ41381" s="201"/>
    </row>
    <row r="41382" spans="62:62" x14ac:dyDescent="0.2">
      <c r="BJ41382" s="201"/>
    </row>
    <row r="41383" spans="62:62" x14ac:dyDescent="0.2">
      <c r="BJ41383" s="201"/>
    </row>
    <row r="41384" spans="62:62" x14ac:dyDescent="0.2">
      <c r="BJ41384" s="201"/>
    </row>
    <row r="41385" spans="62:62" x14ac:dyDescent="0.2">
      <c r="BJ41385" s="201"/>
    </row>
    <row r="41386" spans="62:62" x14ac:dyDescent="0.2">
      <c r="BJ41386" s="201"/>
    </row>
    <row r="41387" spans="62:62" x14ac:dyDescent="0.2">
      <c r="BJ41387" s="201"/>
    </row>
    <row r="41388" spans="62:62" x14ac:dyDescent="0.2">
      <c r="BJ41388" s="201"/>
    </row>
    <row r="41389" spans="62:62" x14ac:dyDescent="0.2">
      <c r="BJ41389" s="201"/>
    </row>
    <row r="41390" spans="62:62" x14ac:dyDescent="0.2">
      <c r="BJ41390" s="201"/>
    </row>
    <row r="41391" spans="62:62" x14ac:dyDescent="0.2">
      <c r="BJ41391" s="201"/>
    </row>
    <row r="41392" spans="62:62" x14ac:dyDescent="0.2">
      <c r="BJ41392" s="201"/>
    </row>
    <row r="41393" spans="62:62" x14ac:dyDescent="0.2">
      <c r="BJ41393" s="201"/>
    </row>
    <row r="41394" spans="62:62" x14ac:dyDescent="0.2">
      <c r="BJ41394" s="201"/>
    </row>
    <row r="41395" spans="62:62" x14ac:dyDescent="0.2">
      <c r="BJ41395" s="201"/>
    </row>
    <row r="41396" spans="62:62" x14ac:dyDescent="0.2">
      <c r="BJ41396" s="201"/>
    </row>
    <row r="41397" spans="62:62" x14ac:dyDescent="0.2">
      <c r="BJ41397" s="201"/>
    </row>
    <row r="41398" spans="62:62" x14ac:dyDescent="0.2">
      <c r="BJ41398" s="201"/>
    </row>
    <row r="41399" spans="62:62" x14ac:dyDescent="0.2">
      <c r="BJ41399" s="201"/>
    </row>
    <row r="41400" spans="62:62" x14ac:dyDescent="0.2">
      <c r="BJ41400" s="201"/>
    </row>
    <row r="41401" spans="62:62" x14ac:dyDescent="0.2">
      <c r="BJ41401" s="201"/>
    </row>
    <row r="41402" spans="62:62" x14ac:dyDescent="0.2">
      <c r="BJ41402" s="201"/>
    </row>
    <row r="41403" spans="62:62" x14ac:dyDescent="0.2">
      <c r="BJ41403" s="201"/>
    </row>
    <row r="41404" spans="62:62" x14ac:dyDescent="0.2">
      <c r="BJ41404" s="201"/>
    </row>
    <row r="41405" spans="62:62" x14ac:dyDescent="0.2">
      <c r="BJ41405" s="201"/>
    </row>
    <row r="41406" spans="62:62" x14ac:dyDescent="0.2">
      <c r="BJ41406" s="201"/>
    </row>
    <row r="41407" spans="62:62" x14ac:dyDescent="0.2">
      <c r="BJ41407" s="201"/>
    </row>
    <row r="41408" spans="62:62" x14ac:dyDescent="0.2">
      <c r="BJ41408" s="201"/>
    </row>
    <row r="41409" spans="62:62" x14ac:dyDescent="0.2">
      <c r="BJ41409" s="201"/>
    </row>
    <row r="41410" spans="62:62" x14ac:dyDescent="0.2">
      <c r="BJ41410" s="201"/>
    </row>
    <row r="41411" spans="62:62" x14ac:dyDescent="0.2">
      <c r="BJ41411" s="201"/>
    </row>
    <row r="41412" spans="62:62" x14ac:dyDescent="0.2">
      <c r="BJ41412" s="201"/>
    </row>
    <row r="41413" spans="62:62" x14ac:dyDescent="0.2">
      <c r="BJ41413" s="201"/>
    </row>
    <row r="41414" spans="62:62" x14ac:dyDescent="0.2">
      <c r="BJ41414" s="201"/>
    </row>
    <row r="41415" spans="62:62" x14ac:dyDescent="0.2">
      <c r="BJ41415" s="201"/>
    </row>
    <row r="41416" spans="62:62" x14ac:dyDescent="0.2">
      <c r="BJ41416" s="201"/>
    </row>
    <row r="41417" spans="62:62" x14ac:dyDescent="0.2">
      <c r="BJ41417" s="201"/>
    </row>
    <row r="41418" spans="62:62" x14ac:dyDescent="0.2">
      <c r="BJ41418" s="201"/>
    </row>
    <row r="41419" spans="62:62" x14ac:dyDescent="0.2">
      <c r="BJ41419" s="201"/>
    </row>
    <row r="41420" spans="62:62" x14ac:dyDescent="0.2">
      <c r="BJ41420" s="201"/>
    </row>
    <row r="41421" spans="62:62" x14ac:dyDescent="0.2">
      <c r="BJ41421" s="201"/>
    </row>
    <row r="41422" spans="62:62" x14ac:dyDescent="0.2">
      <c r="BJ41422" s="201"/>
    </row>
    <row r="41423" spans="62:62" x14ac:dyDescent="0.2">
      <c r="BJ41423" s="201"/>
    </row>
    <row r="41424" spans="62:62" x14ac:dyDescent="0.2">
      <c r="BJ41424" s="201"/>
    </row>
    <row r="41425" spans="62:62" x14ac:dyDescent="0.2">
      <c r="BJ41425" s="201"/>
    </row>
    <row r="41426" spans="62:62" x14ac:dyDescent="0.2">
      <c r="BJ41426" s="201"/>
    </row>
    <row r="41427" spans="62:62" x14ac:dyDescent="0.2">
      <c r="BJ41427" s="201"/>
    </row>
    <row r="41428" spans="62:62" x14ac:dyDescent="0.2">
      <c r="BJ41428" s="201"/>
    </row>
    <row r="41429" spans="62:62" x14ac:dyDescent="0.2">
      <c r="BJ41429" s="201"/>
    </row>
    <row r="41430" spans="62:62" x14ac:dyDescent="0.2">
      <c r="BJ41430" s="201"/>
    </row>
    <row r="41431" spans="62:62" x14ac:dyDescent="0.2">
      <c r="BJ41431" s="201"/>
    </row>
    <row r="41432" spans="62:62" x14ac:dyDescent="0.2">
      <c r="BJ41432" s="201"/>
    </row>
    <row r="41433" spans="62:62" x14ac:dyDescent="0.2">
      <c r="BJ41433" s="201"/>
    </row>
    <row r="41434" spans="62:62" x14ac:dyDescent="0.2">
      <c r="BJ41434" s="201"/>
    </row>
    <row r="41435" spans="62:62" x14ac:dyDescent="0.2">
      <c r="BJ41435" s="201"/>
    </row>
    <row r="41436" spans="62:62" x14ac:dyDescent="0.2">
      <c r="BJ41436" s="201"/>
    </row>
    <row r="41437" spans="62:62" x14ac:dyDescent="0.2">
      <c r="BJ41437" s="201"/>
    </row>
    <row r="41438" spans="62:62" x14ac:dyDescent="0.2">
      <c r="BJ41438" s="201"/>
    </row>
    <row r="41439" spans="62:62" x14ac:dyDescent="0.2">
      <c r="BJ41439" s="201"/>
    </row>
    <row r="41440" spans="62:62" x14ac:dyDescent="0.2">
      <c r="BJ41440" s="201"/>
    </row>
    <row r="41441" spans="62:62" x14ac:dyDescent="0.2">
      <c r="BJ41441" s="201"/>
    </row>
    <row r="41442" spans="62:62" x14ac:dyDescent="0.2">
      <c r="BJ41442" s="201"/>
    </row>
    <row r="41443" spans="62:62" x14ac:dyDescent="0.2">
      <c r="BJ41443" s="201"/>
    </row>
    <row r="41444" spans="62:62" x14ac:dyDescent="0.2">
      <c r="BJ41444" s="201"/>
    </row>
    <row r="41445" spans="62:62" x14ac:dyDescent="0.2">
      <c r="BJ41445" s="201"/>
    </row>
    <row r="41446" spans="62:62" x14ac:dyDescent="0.2">
      <c r="BJ41446" s="201"/>
    </row>
    <row r="41447" spans="62:62" x14ac:dyDescent="0.2">
      <c r="BJ41447" s="201"/>
    </row>
    <row r="41448" spans="62:62" x14ac:dyDescent="0.2">
      <c r="BJ41448" s="201"/>
    </row>
    <row r="41449" spans="62:62" x14ac:dyDescent="0.2">
      <c r="BJ41449" s="201"/>
    </row>
    <row r="41450" spans="62:62" x14ac:dyDescent="0.2">
      <c r="BJ41450" s="201"/>
    </row>
    <row r="41451" spans="62:62" x14ac:dyDescent="0.2">
      <c r="BJ41451" s="201"/>
    </row>
    <row r="41452" spans="62:62" x14ac:dyDescent="0.2">
      <c r="BJ41452" s="201"/>
    </row>
    <row r="41453" spans="62:62" x14ac:dyDescent="0.2">
      <c r="BJ41453" s="201"/>
    </row>
    <row r="41454" spans="62:62" x14ac:dyDescent="0.2">
      <c r="BJ41454" s="201"/>
    </row>
    <row r="41455" spans="62:62" x14ac:dyDescent="0.2">
      <c r="BJ41455" s="201"/>
    </row>
    <row r="41456" spans="62:62" x14ac:dyDescent="0.2">
      <c r="BJ41456" s="201"/>
    </row>
    <row r="41457" spans="62:62" x14ac:dyDescent="0.2">
      <c r="BJ41457" s="201"/>
    </row>
    <row r="41458" spans="62:62" x14ac:dyDescent="0.2">
      <c r="BJ41458" s="201"/>
    </row>
    <row r="41459" spans="62:62" x14ac:dyDescent="0.2">
      <c r="BJ41459" s="201"/>
    </row>
    <row r="41460" spans="62:62" x14ac:dyDescent="0.2">
      <c r="BJ41460" s="201"/>
    </row>
    <row r="41461" spans="62:62" x14ac:dyDescent="0.2">
      <c r="BJ41461" s="201"/>
    </row>
    <row r="41462" spans="62:62" x14ac:dyDescent="0.2">
      <c r="BJ41462" s="201"/>
    </row>
    <row r="41463" spans="62:62" x14ac:dyDescent="0.2">
      <c r="BJ41463" s="201"/>
    </row>
    <row r="41464" spans="62:62" x14ac:dyDescent="0.2">
      <c r="BJ41464" s="201"/>
    </row>
    <row r="41465" spans="62:62" x14ac:dyDescent="0.2">
      <c r="BJ41465" s="201"/>
    </row>
    <row r="41466" spans="62:62" x14ac:dyDescent="0.2">
      <c r="BJ41466" s="201"/>
    </row>
    <row r="41467" spans="62:62" x14ac:dyDescent="0.2">
      <c r="BJ41467" s="201"/>
    </row>
    <row r="41468" spans="62:62" x14ac:dyDescent="0.2">
      <c r="BJ41468" s="201"/>
    </row>
    <row r="41469" spans="62:62" x14ac:dyDescent="0.2">
      <c r="BJ41469" s="201"/>
    </row>
    <row r="41470" spans="62:62" x14ac:dyDescent="0.2">
      <c r="BJ41470" s="201"/>
    </row>
    <row r="41471" spans="62:62" x14ac:dyDescent="0.2">
      <c r="BJ41471" s="201"/>
    </row>
    <row r="41472" spans="62:62" x14ac:dyDescent="0.2">
      <c r="BJ41472" s="201"/>
    </row>
    <row r="41473" spans="62:62" x14ac:dyDescent="0.2">
      <c r="BJ41473" s="201"/>
    </row>
    <row r="41474" spans="62:62" x14ac:dyDescent="0.2">
      <c r="BJ41474" s="201"/>
    </row>
    <row r="41475" spans="62:62" x14ac:dyDescent="0.2">
      <c r="BJ41475" s="201"/>
    </row>
    <row r="41476" spans="62:62" x14ac:dyDescent="0.2">
      <c r="BJ41476" s="201"/>
    </row>
    <row r="41477" spans="62:62" x14ac:dyDescent="0.2">
      <c r="BJ41477" s="201"/>
    </row>
    <row r="41478" spans="62:62" x14ac:dyDescent="0.2">
      <c r="BJ41478" s="201"/>
    </row>
    <row r="41479" spans="62:62" x14ac:dyDescent="0.2">
      <c r="BJ41479" s="201"/>
    </row>
    <row r="41480" spans="62:62" x14ac:dyDescent="0.2">
      <c r="BJ41480" s="201"/>
    </row>
    <row r="41481" spans="62:62" x14ac:dyDescent="0.2">
      <c r="BJ41481" s="201"/>
    </row>
    <row r="41482" spans="62:62" x14ac:dyDescent="0.2">
      <c r="BJ41482" s="201"/>
    </row>
    <row r="41483" spans="62:62" x14ac:dyDescent="0.2">
      <c r="BJ41483" s="201"/>
    </row>
    <row r="41484" spans="62:62" x14ac:dyDescent="0.2">
      <c r="BJ41484" s="201"/>
    </row>
    <row r="41485" spans="62:62" x14ac:dyDescent="0.2">
      <c r="BJ41485" s="201"/>
    </row>
    <row r="41486" spans="62:62" x14ac:dyDescent="0.2">
      <c r="BJ41486" s="201"/>
    </row>
    <row r="41487" spans="62:62" x14ac:dyDescent="0.2">
      <c r="BJ41487" s="201"/>
    </row>
    <row r="41488" spans="62:62" x14ac:dyDescent="0.2">
      <c r="BJ41488" s="201"/>
    </row>
    <row r="41489" spans="62:62" x14ac:dyDescent="0.2">
      <c r="BJ41489" s="201"/>
    </row>
    <row r="41490" spans="62:62" x14ac:dyDescent="0.2">
      <c r="BJ41490" s="201"/>
    </row>
    <row r="41491" spans="62:62" x14ac:dyDescent="0.2">
      <c r="BJ41491" s="201"/>
    </row>
    <row r="41492" spans="62:62" x14ac:dyDescent="0.2">
      <c r="BJ41492" s="201"/>
    </row>
    <row r="41493" spans="62:62" x14ac:dyDescent="0.2">
      <c r="BJ41493" s="201"/>
    </row>
    <row r="41494" spans="62:62" x14ac:dyDescent="0.2">
      <c r="BJ41494" s="201"/>
    </row>
    <row r="41495" spans="62:62" x14ac:dyDescent="0.2">
      <c r="BJ41495" s="201"/>
    </row>
    <row r="41496" spans="62:62" x14ac:dyDescent="0.2">
      <c r="BJ41496" s="201"/>
    </row>
    <row r="41497" spans="62:62" x14ac:dyDescent="0.2">
      <c r="BJ41497" s="201"/>
    </row>
    <row r="41498" spans="62:62" x14ac:dyDescent="0.2">
      <c r="BJ41498" s="201"/>
    </row>
    <row r="41499" spans="62:62" x14ac:dyDescent="0.2">
      <c r="BJ41499" s="201"/>
    </row>
    <row r="41500" spans="62:62" x14ac:dyDescent="0.2">
      <c r="BJ41500" s="201"/>
    </row>
    <row r="41501" spans="62:62" x14ac:dyDescent="0.2">
      <c r="BJ41501" s="201"/>
    </row>
    <row r="41502" spans="62:62" x14ac:dyDescent="0.2">
      <c r="BJ41502" s="201"/>
    </row>
    <row r="41503" spans="62:62" x14ac:dyDescent="0.2">
      <c r="BJ41503" s="201"/>
    </row>
    <row r="41504" spans="62:62" x14ac:dyDescent="0.2">
      <c r="BJ41504" s="201"/>
    </row>
    <row r="41505" spans="62:62" x14ac:dyDescent="0.2">
      <c r="BJ41505" s="201"/>
    </row>
    <row r="41506" spans="62:62" x14ac:dyDescent="0.2">
      <c r="BJ41506" s="201"/>
    </row>
    <row r="41507" spans="62:62" x14ac:dyDescent="0.2">
      <c r="BJ41507" s="201"/>
    </row>
    <row r="41508" spans="62:62" x14ac:dyDescent="0.2">
      <c r="BJ41508" s="201"/>
    </row>
    <row r="41509" spans="62:62" x14ac:dyDescent="0.2">
      <c r="BJ41509" s="201"/>
    </row>
    <row r="41510" spans="62:62" x14ac:dyDescent="0.2">
      <c r="BJ41510" s="201"/>
    </row>
    <row r="41511" spans="62:62" x14ac:dyDescent="0.2">
      <c r="BJ41511" s="201"/>
    </row>
    <row r="41512" spans="62:62" x14ac:dyDescent="0.2">
      <c r="BJ41512" s="201"/>
    </row>
    <row r="41513" spans="62:62" x14ac:dyDescent="0.2">
      <c r="BJ41513" s="201"/>
    </row>
    <row r="41514" spans="62:62" x14ac:dyDescent="0.2">
      <c r="BJ41514" s="201"/>
    </row>
    <row r="41515" spans="62:62" x14ac:dyDescent="0.2">
      <c r="BJ41515" s="201"/>
    </row>
    <row r="41516" spans="62:62" x14ac:dyDescent="0.2">
      <c r="BJ41516" s="201"/>
    </row>
    <row r="41517" spans="62:62" x14ac:dyDescent="0.2">
      <c r="BJ41517" s="201"/>
    </row>
    <row r="41518" spans="62:62" x14ac:dyDescent="0.2">
      <c r="BJ41518" s="201"/>
    </row>
    <row r="41519" spans="62:62" x14ac:dyDescent="0.2">
      <c r="BJ41519" s="201"/>
    </row>
    <row r="41520" spans="62:62" x14ac:dyDescent="0.2">
      <c r="BJ41520" s="201"/>
    </row>
    <row r="41521" spans="62:62" x14ac:dyDescent="0.2">
      <c r="BJ41521" s="201"/>
    </row>
    <row r="41522" spans="62:62" x14ac:dyDescent="0.2">
      <c r="BJ41522" s="201"/>
    </row>
    <row r="41523" spans="62:62" x14ac:dyDescent="0.2">
      <c r="BJ41523" s="201"/>
    </row>
    <row r="41524" spans="62:62" x14ac:dyDescent="0.2">
      <c r="BJ41524" s="201"/>
    </row>
    <row r="41525" spans="62:62" x14ac:dyDescent="0.2">
      <c r="BJ41525" s="201"/>
    </row>
    <row r="41526" spans="62:62" x14ac:dyDescent="0.2">
      <c r="BJ41526" s="201"/>
    </row>
    <row r="41527" spans="62:62" x14ac:dyDescent="0.2">
      <c r="BJ41527" s="201"/>
    </row>
    <row r="41528" spans="62:62" x14ac:dyDescent="0.2">
      <c r="BJ41528" s="201"/>
    </row>
    <row r="41529" spans="62:62" x14ac:dyDescent="0.2">
      <c r="BJ41529" s="201"/>
    </row>
    <row r="41530" spans="62:62" x14ac:dyDescent="0.2">
      <c r="BJ41530" s="201"/>
    </row>
    <row r="41531" spans="62:62" x14ac:dyDescent="0.2">
      <c r="BJ41531" s="201"/>
    </row>
    <row r="41532" spans="62:62" x14ac:dyDescent="0.2">
      <c r="BJ41532" s="201"/>
    </row>
    <row r="41533" spans="62:62" x14ac:dyDescent="0.2">
      <c r="BJ41533" s="201"/>
    </row>
    <row r="41534" spans="62:62" x14ac:dyDescent="0.2">
      <c r="BJ41534" s="201"/>
    </row>
    <row r="41535" spans="62:62" x14ac:dyDescent="0.2">
      <c r="BJ41535" s="201"/>
    </row>
    <row r="41536" spans="62:62" x14ac:dyDescent="0.2">
      <c r="BJ41536" s="201"/>
    </row>
    <row r="41537" spans="62:62" x14ac:dyDescent="0.2">
      <c r="BJ41537" s="201"/>
    </row>
    <row r="41538" spans="62:62" x14ac:dyDescent="0.2">
      <c r="BJ41538" s="201"/>
    </row>
    <row r="41539" spans="62:62" x14ac:dyDescent="0.2">
      <c r="BJ41539" s="201"/>
    </row>
    <row r="41540" spans="62:62" x14ac:dyDescent="0.2">
      <c r="BJ41540" s="201"/>
    </row>
    <row r="41541" spans="62:62" x14ac:dyDescent="0.2">
      <c r="BJ41541" s="201"/>
    </row>
    <row r="41542" spans="62:62" x14ac:dyDescent="0.2">
      <c r="BJ41542" s="201"/>
    </row>
    <row r="41543" spans="62:62" x14ac:dyDescent="0.2">
      <c r="BJ41543" s="201"/>
    </row>
    <row r="41544" spans="62:62" x14ac:dyDescent="0.2">
      <c r="BJ41544" s="201"/>
    </row>
    <row r="41545" spans="62:62" x14ac:dyDescent="0.2">
      <c r="BJ41545" s="201"/>
    </row>
    <row r="41546" spans="62:62" x14ac:dyDescent="0.2">
      <c r="BJ41546" s="201"/>
    </row>
    <row r="41547" spans="62:62" x14ac:dyDescent="0.2">
      <c r="BJ41547" s="201"/>
    </row>
    <row r="41548" spans="62:62" x14ac:dyDescent="0.2">
      <c r="BJ41548" s="201"/>
    </row>
    <row r="41549" spans="62:62" x14ac:dyDescent="0.2">
      <c r="BJ41549" s="201"/>
    </row>
    <row r="41550" spans="62:62" x14ac:dyDescent="0.2">
      <c r="BJ41550" s="201"/>
    </row>
    <row r="41551" spans="62:62" x14ac:dyDescent="0.2">
      <c r="BJ41551" s="201"/>
    </row>
    <row r="41552" spans="62:62" x14ac:dyDescent="0.2">
      <c r="BJ41552" s="201"/>
    </row>
    <row r="41553" spans="62:62" x14ac:dyDescent="0.2">
      <c r="BJ41553" s="201"/>
    </row>
    <row r="41554" spans="62:62" x14ac:dyDescent="0.2">
      <c r="BJ41554" s="201"/>
    </row>
    <row r="41555" spans="62:62" x14ac:dyDescent="0.2">
      <c r="BJ41555" s="201"/>
    </row>
    <row r="41556" spans="62:62" x14ac:dyDescent="0.2">
      <c r="BJ41556" s="201"/>
    </row>
    <row r="41557" spans="62:62" x14ac:dyDescent="0.2">
      <c r="BJ41557" s="201"/>
    </row>
    <row r="41558" spans="62:62" x14ac:dyDescent="0.2">
      <c r="BJ41558" s="201"/>
    </row>
    <row r="41559" spans="62:62" x14ac:dyDescent="0.2">
      <c r="BJ41559" s="201"/>
    </row>
    <row r="41560" spans="62:62" x14ac:dyDescent="0.2">
      <c r="BJ41560" s="201"/>
    </row>
    <row r="41561" spans="62:62" x14ac:dyDescent="0.2">
      <c r="BJ41561" s="201"/>
    </row>
    <row r="41562" spans="62:62" x14ac:dyDescent="0.2">
      <c r="BJ41562" s="201"/>
    </row>
    <row r="41563" spans="62:62" x14ac:dyDescent="0.2">
      <c r="BJ41563" s="201"/>
    </row>
    <row r="41564" spans="62:62" x14ac:dyDescent="0.2">
      <c r="BJ41564" s="201"/>
    </row>
    <row r="41565" spans="62:62" x14ac:dyDescent="0.2">
      <c r="BJ41565" s="201"/>
    </row>
    <row r="41566" spans="62:62" x14ac:dyDescent="0.2">
      <c r="BJ41566" s="201"/>
    </row>
    <row r="41567" spans="62:62" x14ac:dyDescent="0.2">
      <c r="BJ41567" s="201"/>
    </row>
    <row r="41568" spans="62:62" x14ac:dyDescent="0.2">
      <c r="BJ41568" s="201"/>
    </row>
    <row r="41569" spans="62:62" x14ac:dyDescent="0.2">
      <c r="BJ41569" s="201"/>
    </row>
    <row r="41570" spans="62:62" x14ac:dyDescent="0.2">
      <c r="BJ41570" s="201"/>
    </row>
    <row r="41571" spans="62:62" x14ac:dyDescent="0.2">
      <c r="BJ41571" s="201"/>
    </row>
    <row r="41572" spans="62:62" x14ac:dyDescent="0.2">
      <c r="BJ41572" s="201"/>
    </row>
    <row r="41573" spans="62:62" x14ac:dyDescent="0.2">
      <c r="BJ41573" s="201"/>
    </row>
    <row r="41574" spans="62:62" x14ac:dyDescent="0.2">
      <c r="BJ41574" s="201"/>
    </row>
    <row r="41575" spans="62:62" x14ac:dyDescent="0.2">
      <c r="BJ41575" s="201"/>
    </row>
    <row r="41576" spans="62:62" x14ac:dyDescent="0.2">
      <c r="BJ41576" s="201"/>
    </row>
    <row r="41577" spans="62:62" x14ac:dyDescent="0.2">
      <c r="BJ41577" s="201"/>
    </row>
    <row r="41578" spans="62:62" x14ac:dyDescent="0.2">
      <c r="BJ41578" s="201"/>
    </row>
    <row r="41579" spans="62:62" x14ac:dyDescent="0.2">
      <c r="BJ41579" s="201"/>
    </row>
    <row r="41580" spans="62:62" x14ac:dyDescent="0.2">
      <c r="BJ41580" s="201"/>
    </row>
    <row r="41581" spans="62:62" x14ac:dyDescent="0.2">
      <c r="BJ41581" s="201"/>
    </row>
    <row r="41582" spans="62:62" x14ac:dyDescent="0.2">
      <c r="BJ41582" s="201"/>
    </row>
    <row r="41583" spans="62:62" x14ac:dyDescent="0.2">
      <c r="BJ41583" s="201"/>
    </row>
    <row r="41584" spans="62:62" x14ac:dyDescent="0.2">
      <c r="BJ41584" s="201"/>
    </row>
    <row r="41585" spans="62:62" x14ac:dyDescent="0.2">
      <c r="BJ41585" s="201"/>
    </row>
    <row r="41586" spans="62:62" x14ac:dyDescent="0.2">
      <c r="BJ41586" s="201"/>
    </row>
    <row r="41587" spans="62:62" x14ac:dyDescent="0.2">
      <c r="BJ41587" s="201"/>
    </row>
    <row r="41588" spans="62:62" x14ac:dyDescent="0.2">
      <c r="BJ41588" s="201"/>
    </row>
    <row r="41589" spans="62:62" x14ac:dyDescent="0.2">
      <c r="BJ41589" s="201"/>
    </row>
    <row r="41590" spans="62:62" x14ac:dyDescent="0.2">
      <c r="BJ41590" s="201"/>
    </row>
    <row r="41591" spans="62:62" x14ac:dyDescent="0.2">
      <c r="BJ41591" s="201"/>
    </row>
    <row r="41592" spans="62:62" x14ac:dyDescent="0.2">
      <c r="BJ41592" s="201"/>
    </row>
    <row r="41593" spans="62:62" x14ac:dyDescent="0.2">
      <c r="BJ41593" s="201"/>
    </row>
    <row r="41594" spans="62:62" x14ac:dyDescent="0.2">
      <c r="BJ41594" s="201"/>
    </row>
    <row r="41595" spans="62:62" x14ac:dyDescent="0.2">
      <c r="BJ41595" s="201"/>
    </row>
    <row r="41596" spans="62:62" x14ac:dyDescent="0.2">
      <c r="BJ41596" s="201"/>
    </row>
    <row r="41597" spans="62:62" x14ac:dyDescent="0.2">
      <c r="BJ41597" s="201"/>
    </row>
    <row r="41598" spans="62:62" x14ac:dyDescent="0.2">
      <c r="BJ41598" s="201"/>
    </row>
    <row r="41599" spans="62:62" x14ac:dyDescent="0.2">
      <c r="BJ41599" s="201"/>
    </row>
    <row r="41600" spans="62:62" x14ac:dyDescent="0.2">
      <c r="BJ41600" s="201"/>
    </row>
    <row r="41601" spans="62:62" x14ac:dyDescent="0.2">
      <c r="BJ41601" s="201"/>
    </row>
    <row r="41602" spans="62:62" x14ac:dyDescent="0.2">
      <c r="BJ41602" s="201"/>
    </row>
    <row r="41603" spans="62:62" x14ac:dyDescent="0.2">
      <c r="BJ41603" s="201"/>
    </row>
    <row r="41604" spans="62:62" x14ac:dyDescent="0.2">
      <c r="BJ41604" s="201"/>
    </row>
    <row r="41605" spans="62:62" x14ac:dyDescent="0.2">
      <c r="BJ41605" s="201"/>
    </row>
    <row r="41606" spans="62:62" x14ac:dyDescent="0.2">
      <c r="BJ41606" s="201"/>
    </row>
    <row r="41607" spans="62:62" x14ac:dyDescent="0.2">
      <c r="BJ41607" s="201"/>
    </row>
    <row r="41608" spans="62:62" x14ac:dyDescent="0.2">
      <c r="BJ41608" s="201"/>
    </row>
    <row r="41609" spans="62:62" x14ac:dyDescent="0.2">
      <c r="BJ41609" s="201"/>
    </row>
    <row r="41610" spans="62:62" x14ac:dyDescent="0.2">
      <c r="BJ41610" s="201"/>
    </row>
    <row r="41611" spans="62:62" x14ac:dyDescent="0.2">
      <c r="BJ41611" s="201"/>
    </row>
    <row r="41612" spans="62:62" x14ac:dyDescent="0.2">
      <c r="BJ41612" s="201"/>
    </row>
    <row r="41613" spans="62:62" x14ac:dyDescent="0.2">
      <c r="BJ41613" s="201"/>
    </row>
    <row r="41614" spans="62:62" x14ac:dyDescent="0.2">
      <c r="BJ41614" s="201"/>
    </row>
    <row r="41615" spans="62:62" x14ac:dyDescent="0.2">
      <c r="BJ41615" s="201"/>
    </row>
    <row r="41616" spans="62:62" x14ac:dyDescent="0.2">
      <c r="BJ41616" s="201"/>
    </row>
    <row r="41617" spans="62:62" x14ac:dyDescent="0.2">
      <c r="BJ41617" s="201"/>
    </row>
    <row r="41618" spans="62:62" x14ac:dyDescent="0.2">
      <c r="BJ41618" s="201"/>
    </row>
    <row r="41619" spans="62:62" x14ac:dyDescent="0.2">
      <c r="BJ41619" s="201"/>
    </row>
    <row r="41620" spans="62:62" x14ac:dyDescent="0.2">
      <c r="BJ41620" s="201"/>
    </row>
    <row r="41621" spans="62:62" x14ac:dyDescent="0.2">
      <c r="BJ41621" s="201"/>
    </row>
    <row r="41622" spans="62:62" x14ac:dyDescent="0.2">
      <c r="BJ41622" s="201"/>
    </row>
    <row r="41623" spans="62:62" x14ac:dyDescent="0.2">
      <c r="BJ41623" s="201"/>
    </row>
    <row r="41624" spans="62:62" x14ac:dyDescent="0.2">
      <c r="BJ41624" s="201"/>
    </row>
    <row r="41625" spans="62:62" x14ac:dyDescent="0.2">
      <c r="BJ41625" s="201"/>
    </row>
    <row r="41626" spans="62:62" x14ac:dyDescent="0.2">
      <c r="BJ41626" s="201"/>
    </row>
    <row r="41627" spans="62:62" x14ac:dyDescent="0.2">
      <c r="BJ41627" s="201"/>
    </row>
    <row r="41628" spans="62:62" x14ac:dyDescent="0.2">
      <c r="BJ41628" s="201"/>
    </row>
    <row r="41629" spans="62:62" x14ac:dyDescent="0.2">
      <c r="BJ41629" s="201"/>
    </row>
    <row r="41630" spans="62:62" x14ac:dyDescent="0.2">
      <c r="BJ41630" s="201"/>
    </row>
    <row r="41631" spans="62:62" x14ac:dyDescent="0.2">
      <c r="BJ41631" s="201"/>
    </row>
    <row r="41632" spans="62:62" x14ac:dyDescent="0.2">
      <c r="BJ41632" s="201"/>
    </row>
    <row r="41633" spans="62:62" x14ac:dyDescent="0.2">
      <c r="BJ41633" s="201"/>
    </row>
    <row r="41634" spans="62:62" x14ac:dyDescent="0.2">
      <c r="BJ41634" s="201"/>
    </row>
    <row r="41635" spans="62:62" x14ac:dyDescent="0.2">
      <c r="BJ41635" s="201"/>
    </row>
    <row r="41636" spans="62:62" x14ac:dyDescent="0.2">
      <c r="BJ41636" s="201"/>
    </row>
    <row r="41637" spans="62:62" x14ac:dyDescent="0.2">
      <c r="BJ41637" s="201"/>
    </row>
    <row r="41638" spans="62:62" x14ac:dyDescent="0.2">
      <c r="BJ41638" s="201"/>
    </row>
    <row r="41639" spans="62:62" x14ac:dyDescent="0.2">
      <c r="BJ41639" s="201"/>
    </row>
    <row r="41640" spans="62:62" x14ac:dyDescent="0.2">
      <c r="BJ41640" s="201"/>
    </row>
    <row r="41641" spans="62:62" x14ac:dyDescent="0.2">
      <c r="BJ41641" s="201"/>
    </row>
    <row r="41642" spans="62:62" x14ac:dyDescent="0.2">
      <c r="BJ41642" s="201"/>
    </row>
    <row r="41643" spans="62:62" x14ac:dyDescent="0.2">
      <c r="BJ41643" s="201"/>
    </row>
    <row r="41644" spans="62:62" x14ac:dyDescent="0.2">
      <c r="BJ41644" s="201"/>
    </row>
    <row r="41645" spans="62:62" x14ac:dyDescent="0.2">
      <c r="BJ41645" s="201"/>
    </row>
    <row r="41646" spans="62:62" x14ac:dyDescent="0.2">
      <c r="BJ41646" s="201"/>
    </row>
    <row r="41647" spans="62:62" x14ac:dyDescent="0.2">
      <c r="BJ41647" s="201"/>
    </row>
    <row r="41648" spans="62:62" x14ac:dyDescent="0.2">
      <c r="BJ41648" s="201"/>
    </row>
    <row r="41649" spans="62:62" x14ac:dyDescent="0.2">
      <c r="BJ41649" s="201"/>
    </row>
    <row r="41650" spans="62:62" x14ac:dyDescent="0.2">
      <c r="BJ41650" s="201"/>
    </row>
    <row r="41651" spans="62:62" x14ac:dyDescent="0.2">
      <c r="BJ41651" s="201"/>
    </row>
    <row r="41652" spans="62:62" x14ac:dyDescent="0.2">
      <c r="BJ41652" s="201"/>
    </row>
    <row r="41653" spans="62:62" x14ac:dyDescent="0.2">
      <c r="BJ41653" s="201"/>
    </row>
    <row r="41654" spans="62:62" x14ac:dyDescent="0.2">
      <c r="BJ41654" s="201"/>
    </row>
    <row r="41655" spans="62:62" x14ac:dyDescent="0.2">
      <c r="BJ41655" s="201"/>
    </row>
    <row r="41656" spans="62:62" x14ac:dyDescent="0.2">
      <c r="BJ41656" s="201"/>
    </row>
    <row r="41657" spans="62:62" x14ac:dyDescent="0.2">
      <c r="BJ41657" s="201"/>
    </row>
    <row r="41658" spans="62:62" x14ac:dyDescent="0.2">
      <c r="BJ41658" s="201"/>
    </row>
    <row r="41659" spans="62:62" x14ac:dyDescent="0.2">
      <c r="BJ41659" s="201"/>
    </row>
    <row r="41660" spans="62:62" x14ac:dyDescent="0.2">
      <c r="BJ41660" s="201"/>
    </row>
    <row r="41661" spans="62:62" x14ac:dyDescent="0.2">
      <c r="BJ41661" s="201"/>
    </row>
    <row r="41662" spans="62:62" x14ac:dyDescent="0.2">
      <c r="BJ41662" s="201"/>
    </row>
    <row r="41663" spans="62:62" x14ac:dyDescent="0.2">
      <c r="BJ41663" s="201"/>
    </row>
    <row r="41664" spans="62:62" x14ac:dyDescent="0.2">
      <c r="BJ41664" s="201"/>
    </row>
    <row r="41665" spans="62:62" x14ac:dyDescent="0.2">
      <c r="BJ41665" s="201"/>
    </row>
    <row r="41666" spans="62:62" x14ac:dyDescent="0.2">
      <c r="BJ41666" s="201"/>
    </row>
    <row r="41667" spans="62:62" x14ac:dyDescent="0.2">
      <c r="BJ41667" s="201"/>
    </row>
    <row r="41668" spans="62:62" x14ac:dyDescent="0.2">
      <c r="BJ41668" s="201"/>
    </row>
    <row r="41669" spans="62:62" x14ac:dyDescent="0.2">
      <c r="BJ41669" s="201"/>
    </row>
    <row r="41670" spans="62:62" x14ac:dyDescent="0.2">
      <c r="BJ41670" s="201"/>
    </row>
    <row r="41671" spans="62:62" x14ac:dyDescent="0.2">
      <c r="BJ41671" s="201"/>
    </row>
    <row r="41672" spans="62:62" x14ac:dyDescent="0.2">
      <c r="BJ41672" s="201"/>
    </row>
    <row r="41673" spans="62:62" x14ac:dyDescent="0.2">
      <c r="BJ41673" s="201"/>
    </row>
    <row r="41674" spans="62:62" x14ac:dyDescent="0.2">
      <c r="BJ41674" s="201"/>
    </row>
    <row r="41675" spans="62:62" x14ac:dyDescent="0.2">
      <c r="BJ41675" s="201"/>
    </row>
    <row r="41676" spans="62:62" x14ac:dyDescent="0.2">
      <c r="BJ41676" s="201"/>
    </row>
    <row r="41677" spans="62:62" x14ac:dyDescent="0.2">
      <c r="BJ41677" s="201"/>
    </row>
    <row r="41678" spans="62:62" x14ac:dyDescent="0.2">
      <c r="BJ41678" s="201"/>
    </row>
    <row r="41679" spans="62:62" x14ac:dyDescent="0.2">
      <c r="BJ41679" s="201"/>
    </row>
    <row r="41680" spans="62:62" x14ac:dyDescent="0.2">
      <c r="BJ41680" s="201"/>
    </row>
    <row r="41681" spans="62:62" x14ac:dyDescent="0.2">
      <c r="BJ41681" s="201"/>
    </row>
    <row r="41682" spans="62:62" x14ac:dyDescent="0.2">
      <c r="BJ41682" s="201"/>
    </row>
    <row r="41683" spans="62:62" x14ac:dyDescent="0.2">
      <c r="BJ41683" s="201"/>
    </row>
    <row r="41684" spans="62:62" x14ac:dyDescent="0.2">
      <c r="BJ41684" s="201"/>
    </row>
    <row r="41685" spans="62:62" x14ac:dyDescent="0.2">
      <c r="BJ41685" s="201"/>
    </row>
    <row r="41686" spans="62:62" x14ac:dyDescent="0.2">
      <c r="BJ41686" s="201"/>
    </row>
    <row r="41687" spans="62:62" x14ac:dyDescent="0.2">
      <c r="BJ41687" s="201"/>
    </row>
    <row r="41688" spans="62:62" x14ac:dyDescent="0.2">
      <c r="BJ41688" s="201"/>
    </row>
    <row r="41689" spans="62:62" x14ac:dyDescent="0.2">
      <c r="BJ41689" s="201"/>
    </row>
    <row r="41690" spans="62:62" x14ac:dyDescent="0.2">
      <c r="BJ41690" s="201"/>
    </row>
    <row r="41691" spans="62:62" x14ac:dyDescent="0.2">
      <c r="BJ41691" s="201"/>
    </row>
    <row r="41692" spans="62:62" x14ac:dyDescent="0.2">
      <c r="BJ41692" s="201"/>
    </row>
    <row r="41693" spans="62:62" x14ac:dyDescent="0.2">
      <c r="BJ41693" s="201"/>
    </row>
    <row r="41694" spans="62:62" x14ac:dyDescent="0.2">
      <c r="BJ41694" s="201"/>
    </row>
    <row r="41695" spans="62:62" x14ac:dyDescent="0.2">
      <c r="BJ41695" s="201"/>
    </row>
    <row r="41696" spans="62:62" x14ac:dyDescent="0.2">
      <c r="BJ41696" s="201"/>
    </row>
    <row r="41697" spans="62:62" x14ac:dyDescent="0.2">
      <c r="BJ41697" s="201"/>
    </row>
    <row r="41698" spans="62:62" x14ac:dyDescent="0.2">
      <c r="BJ41698" s="201"/>
    </row>
    <row r="41699" spans="62:62" x14ac:dyDescent="0.2">
      <c r="BJ41699" s="201"/>
    </row>
    <row r="41700" spans="62:62" x14ac:dyDescent="0.2">
      <c r="BJ41700" s="201"/>
    </row>
    <row r="41701" spans="62:62" x14ac:dyDescent="0.2">
      <c r="BJ41701" s="201"/>
    </row>
    <row r="41702" spans="62:62" x14ac:dyDescent="0.2">
      <c r="BJ41702" s="201"/>
    </row>
    <row r="41703" spans="62:62" x14ac:dyDescent="0.2">
      <c r="BJ41703" s="201"/>
    </row>
    <row r="41704" spans="62:62" x14ac:dyDescent="0.2">
      <c r="BJ41704" s="201"/>
    </row>
    <row r="41705" spans="62:62" x14ac:dyDescent="0.2">
      <c r="BJ41705" s="201"/>
    </row>
    <row r="41706" spans="62:62" x14ac:dyDescent="0.2">
      <c r="BJ41706" s="201"/>
    </row>
    <row r="41707" spans="62:62" x14ac:dyDescent="0.2">
      <c r="BJ41707" s="201"/>
    </row>
    <row r="41708" spans="62:62" x14ac:dyDescent="0.2">
      <c r="BJ41708" s="201"/>
    </row>
    <row r="41709" spans="62:62" x14ac:dyDescent="0.2">
      <c r="BJ41709" s="201"/>
    </row>
    <row r="41710" spans="62:62" x14ac:dyDescent="0.2">
      <c r="BJ41710" s="201"/>
    </row>
    <row r="41711" spans="62:62" x14ac:dyDescent="0.2">
      <c r="BJ41711" s="201"/>
    </row>
    <row r="41712" spans="62:62" x14ac:dyDescent="0.2">
      <c r="BJ41712" s="201"/>
    </row>
    <row r="41713" spans="62:62" x14ac:dyDescent="0.2">
      <c r="BJ41713" s="201"/>
    </row>
    <row r="41714" spans="62:62" x14ac:dyDescent="0.2">
      <c r="BJ41714" s="201"/>
    </row>
    <row r="41715" spans="62:62" x14ac:dyDescent="0.2">
      <c r="BJ41715" s="201"/>
    </row>
    <row r="41716" spans="62:62" x14ac:dyDescent="0.2">
      <c r="BJ41716" s="201"/>
    </row>
    <row r="41717" spans="62:62" x14ac:dyDescent="0.2">
      <c r="BJ41717" s="201"/>
    </row>
    <row r="41718" spans="62:62" x14ac:dyDescent="0.2">
      <c r="BJ41718" s="201"/>
    </row>
    <row r="41719" spans="62:62" x14ac:dyDescent="0.2">
      <c r="BJ41719" s="201"/>
    </row>
    <row r="41720" spans="62:62" x14ac:dyDescent="0.2">
      <c r="BJ41720" s="201"/>
    </row>
    <row r="41721" spans="62:62" x14ac:dyDescent="0.2">
      <c r="BJ41721" s="201"/>
    </row>
    <row r="41722" spans="62:62" x14ac:dyDescent="0.2">
      <c r="BJ41722" s="201"/>
    </row>
    <row r="41723" spans="62:62" x14ac:dyDescent="0.2">
      <c r="BJ41723" s="201"/>
    </row>
    <row r="41724" spans="62:62" x14ac:dyDescent="0.2">
      <c r="BJ41724" s="201"/>
    </row>
    <row r="41725" spans="62:62" x14ac:dyDescent="0.2">
      <c r="BJ41725" s="201"/>
    </row>
    <row r="41726" spans="62:62" x14ac:dyDescent="0.2">
      <c r="BJ41726" s="201"/>
    </row>
    <row r="41727" spans="62:62" x14ac:dyDescent="0.2">
      <c r="BJ41727" s="201"/>
    </row>
    <row r="41728" spans="62:62" x14ac:dyDescent="0.2">
      <c r="BJ41728" s="201"/>
    </row>
    <row r="41729" spans="62:62" x14ac:dyDescent="0.2">
      <c r="BJ41729" s="201"/>
    </row>
    <row r="41730" spans="62:62" x14ac:dyDescent="0.2">
      <c r="BJ41730" s="201"/>
    </row>
    <row r="41731" spans="62:62" x14ac:dyDescent="0.2">
      <c r="BJ41731" s="201"/>
    </row>
    <row r="41732" spans="62:62" x14ac:dyDescent="0.2">
      <c r="BJ41732" s="201"/>
    </row>
    <row r="41733" spans="62:62" x14ac:dyDescent="0.2">
      <c r="BJ41733" s="201"/>
    </row>
    <row r="41734" spans="62:62" x14ac:dyDescent="0.2">
      <c r="BJ41734" s="201"/>
    </row>
    <row r="41735" spans="62:62" x14ac:dyDescent="0.2">
      <c r="BJ41735" s="201"/>
    </row>
    <row r="41736" spans="62:62" x14ac:dyDescent="0.2">
      <c r="BJ41736" s="201"/>
    </row>
    <row r="41737" spans="62:62" x14ac:dyDescent="0.2">
      <c r="BJ41737" s="201"/>
    </row>
    <row r="41738" spans="62:62" x14ac:dyDescent="0.2">
      <c r="BJ41738" s="201"/>
    </row>
    <row r="41739" spans="62:62" x14ac:dyDescent="0.2">
      <c r="BJ41739" s="201"/>
    </row>
    <row r="41740" spans="62:62" x14ac:dyDescent="0.2">
      <c r="BJ41740" s="201"/>
    </row>
    <row r="41741" spans="62:62" x14ac:dyDescent="0.2">
      <c r="BJ41741" s="201"/>
    </row>
    <row r="41742" spans="62:62" x14ac:dyDescent="0.2">
      <c r="BJ41742" s="201"/>
    </row>
    <row r="41743" spans="62:62" x14ac:dyDescent="0.2">
      <c r="BJ41743" s="201"/>
    </row>
    <row r="41744" spans="62:62" x14ac:dyDescent="0.2">
      <c r="BJ41744" s="201"/>
    </row>
    <row r="41745" spans="62:62" x14ac:dyDescent="0.2">
      <c r="BJ41745" s="201"/>
    </row>
    <row r="41746" spans="62:62" x14ac:dyDescent="0.2">
      <c r="BJ41746" s="201"/>
    </row>
    <row r="41747" spans="62:62" x14ac:dyDescent="0.2">
      <c r="BJ41747" s="201"/>
    </row>
    <row r="41748" spans="62:62" x14ac:dyDescent="0.2">
      <c r="BJ41748" s="201"/>
    </row>
    <row r="41749" spans="62:62" x14ac:dyDescent="0.2">
      <c r="BJ41749" s="201"/>
    </row>
    <row r="41750" spans="62:62" x14ac:dyDescent="0.2">
      <c r="BJ41750" s="201"/>
    </row>
    <row r="41751" spans="62:62" x14ac:dyDescent="0.2">
      <c r="BJ41751" s="201"/>
    </row>
    <row r="41752" spans="62:62" x14ac:dyDescent="0.2">
      <c r="BJ41752" s="201"/>
    </row>
    <row r="41753" spans="62:62" x14ac:dyDescent="0.2">
      <c r="BJ41753" s="201"/>
    </row>
    <row r="41754" spans="62:62" x14ac:dyDescent="0.2">
      <c r="BJ41754" s="201"/>
    </row>
    <row r="41755" spans="62:62" x14ac:dyDescent="0.2">
      <c r="BJ41755" s="201"/>
    </row>
    <row r="41756" spans="62:62" x14ac:dyDescent="0.2">
      <c r="BJ41756" s="201"/>
    </row>
    <row r="41757" spans="62:62" x14ac:dyDescent="0.2">
      <c r="BJ41757" s="201"/>
    </row>
    <row r="41758" spans="62:62" x14ac:dyDescent="0.2">
      <c r="BJ41758" s="201"/>
    </row>
    <row r="41759" spans="62:62" x14ac:dyDescent="0.2">
      <c r="BJ41759" s="201"/>
    </row>
    <row r="41760" spans="62:62" x14ac:dyDescent="0.2">
      <c r="BJ41760" s="201"/>
    </row>
    <row r="41761" spans="62:62" x14ac:dyDescent="0.2">
      <c r="BJ41761" s="201"/>
    </row>
    <row r="41762" spans="62:62" x14ac:dyDescent="0.2">
      <c r="BJ41762" s="201"/>
    </row>
    <row r="41763" spans="62:62" x14ac:dyDescent="0.2">
      <c r="BJ41763" s="201"/>
    </row>
    <row r="41764" spans="62:62" x14ac:dyDescent="0.2">
      <c r="BJ41764" s="201"/>
    </row>
    <row r="41765" spans="62:62" x14ac:dyDescent="0.2">
      <c r="BJ41765" s="201"/>
    </row>
    <row r="41766" spans="62:62" x14ac:dyDescent="0.2">
      <c r="BJ41766" s="201"/>
    </row>
    <row r="41767" spans="62:62" x14ac:dyDescent="0.2">
      <c r="BJ41767" s="201"/>
    </row>
    <row r="41768" spans="62:62" x14ac:dyDescent="0.2">
      <c r="BJ41768" s="201"/>
    </row>
    <row r="41769" spans="62:62" x14ac:dyDescent="0.2">
      <c r="BJ41769" s="201"/>
    </row>
    <row r="41770" spans="62:62" x14ac:dyDescent="0.2">
      <c r="BJ41770" s="201"/>
    </row>
    <row r="41771" spans="62:62" x14ac:dyDescent="0.2">
      <c r="BJ41771" s="201"/>
    </row>
    <row r="41772" spans="62:62" x14ac:dyDescent="0.2">
      <c r="BJ41772" s="201"/>
    </row>
    <row r="41773" spans="62:62" x14ac:dyDescent="0.2">
      <c r="BJ41773" s="201"/>
    </row>
    <row r="41774" spans="62:62" x14ac:dyDescent="0.2">
      <c r="BJ41774" s="201"/>
    </row>
    <row r="41775" spans="62:62" x14ac:dyDescent="0.2">
      <c r="BJ41775" s="201"/>
    </row>
    <row r="41776" spans="62:62" x14ac:dyDescent="0.2">
      <c r="BJ41776" s="201"/>
    </row>
    <row r="41777" spans="62:62" x14ac:dyDescent="0.2">
      <c r="BJ41777" s="201"/>
    </row>
    <row r="41778" spans="62:62" x14ac:dyDescent="0.2">
      <c r="BJ41778" s="201"/>
    </row>
    <row r="41779" spans="62:62" x14ac:dyDescent="0.2">
      <c r="BJ41779" s="201"/>
    </row>
    <row r="41780" spans="62:62" x14ac:dyDescent="0.2">
      <c r="BJ41780" s="201"/>
    </row>
    <row r="41781" spans="62:62" x14ac:dyDescent="0.2">
      <c r="BJ41781" s="201"/>
    </row>
    <row r="41782" spans="62:62" x14ac:dyDescent="0.2">
      <c r="BJ41782" s="201"/>
    </row>
    <row r="41783" spans="62:62" x14ac:dyDescent="0.2">
      <c r="BJ41783" s="201"/>
    </row>
    <row r="41784" spans="62:62" x14ac:dyDescent="0.2">
      <c r="BJ41784" s="201"/>
    </row>
    <row r="41785" spans="62:62" x14ac:dyDescent="0.2">
      <c r="BJ41785" s="201"/>
    </row>
    <row r="41786" spans="62:62" x14ac:dyDescent="0.2">
      <c r="BJ41786" s="201"/>
    </row>
    <row r="41787" spans="62:62" x14ac:dyDescent="0.2">
      <c r="BJ41787" s="201"/>
    </row>
    <row r="41788" spans="62:62" x14ac:dyDescent="0.2">
      <c r="BJ41788" s="201"/>
    </row>
    <row r="41789" spans="62:62" x14ac:dyDescent="0.2">
      <c r="BJ41789" s="201"/>
    </row>
    <row r="41790" spans="62:62" x14ac:dyDescent="0.2">
      <c r="BJ41790" s="201"/>
    </row>
    <row r="41791" spans="62:62" x14ac:dyDescent="0.2">
      <c r="BJ41791" s="201"/>
    </row>
    <row r="41792" spans="62:62" x14ac:dyDescent="0.2">
      <c r="BJ41792" s="201"/>
    </row>
    <row r="41793" spans="62:62" x14ac:dyDescent="0.2">
      <c r="BJ41793" s="201"/>
    </row>
    <row r="41794" spans="62:62" x14ac:dyDescent="0.2">
      <c r="BJ41794" s="201"/>
    </row>
    <row r="41795" spans="62:62" x14ac:dyDescent="0.2">
      <c r="BJ41795" s="201"/>
    </row>
    <row r="41796" spans="62:62" x14ac:dyDescent="0.2">
      <c r="BJ41796" s="201"/>
    </row>
    <row r="41797" spans="62:62" x14ac:dyDescent="0.2">
      <c r="BJ41797" s="201"/>
    </row>
    <row r="41798" spans="62:62" x14ac:dyDescent="0.2">
      <c r="BJ41798" s="201"/>
    </row>
    <row r="41799" spans="62:62" x14ac:dyDescent="0.2">
      <c r="BJ41799" s="201"/>
    </row>
    <row r="41800" spans="62:62" x14ac:dyDescent="0.2">
      <c r="BJ41800" s="201"/>
    </row>
    <row r="41801" spans="62:62" x14ac:dyDescent="0.2">
      <c r="BJ41801" s="201"/>
    </row>
    <row r="41802" spans="62:62" x14ac:dyDescent="0.2">
      <c r="BJ41802" s="201"/>
    </row>
    <row r="41803" spans="62:62" x14ac:dyDescent="0.2">
      <c r="BJ41803" s="201"/>
    </row>
    <row r="41804" spans="62:62" x14ac:dyDescent="0.2">
      <c r="BJ41804" s="201"/>
    </row>
    <row r="41805" spans="62:62" x14ac:dyDescent="0.2">
      <c r="BJ41805" s="201"/>
    </row>
    <row r="41806" spans="62:62" x14ac:dyDescent="0.2">
      <c r="BJ41806" s="201"/>
    </row>
    <row r="41807" spans="62:62" x14ac:dyDescent="0.2">
      <c r="BJ41807" s="201"/>
    </row>
    <row r="41808" spans="62:62" x14ac:dyDescent="0.2">
      <c r="BJ41808" s="201"/>
    </row>
    <row r="41809" spans="62:62" x14ac:dyDescent="0.2">
      <c r="BJ41809" s="201"/>
    </row>
    <row r="41810" spans="62:62" x14ac:dyDescent="0.2">
      <c r="BJ41810" s="201"/>
    </row>
    <row r="41811" spans="62:62" x14ac:dyDescent="0.2">
      <c r="BJ41811" s="201"/>
    </row>
    <row r="41812" spans="62:62" x14ac:dyDescent="0.2">
      <c r="BJ41812" s="201"/>
    </row>
    <row r="41813" spans="62:62" x14ac:dyDescent="0.2">
      <c r="BJ41813" s="201"/>
    </row>
    <row r="41814" spans="62:62" x14ac:dyDescent="0.2">
      <c r="BJ41814" s="201"/>
    </row>
    <row r="41815" spans="62:62" x14ac:dyDescent="0.2">
      <c r="BJ41815" s="201"/>
    </row>
    <row r="41816" spans="62:62" x14ac:dyDescent="0.2">
      <c r="BJ41816" s="201"/>
    </row>
    <row r="41817" spans="62:62" x14ac:dyDescent="0.2">
      <c r="BJ41817" s="201"/>
    </row>
    <row r="41818" spans="62:62" x14ac:dyDescent="0.2">
      <c r="BJ41818" s="201"/>
    </row>
    <row r="41819" spans="62:62" x14ac:dyDescent="0.2">
      <c r="BJ41819" s="201"/>
    </row>
    <row r="41820" spans="62:62" x14ac:dyDescent="0.2">
      <c r="BJ41820" s="201"/>
    </row>
    <row r="41821" spans="62:62" x14ac:dyDescent="0.2">
      <c r="BJ41821" s="201"/>
    </row>
    <row r="41822" spans="62:62" x14ac:dyDescent="0.2">
      <c r="BJ41822" s="201"/>
    </row>
    <row r="41823" spans="62:62" x14ac:dyDescent="0.2">
      <c r="BJ41823" s="201"/>
    </row>
    <row r="41824" spans="62:62" x14ac:dyDescent="0.2">
      <c r="BJ41824" s="201"/>
    </row>
    <row r="41825" spans="62:62" x14ac:dyDescent="0.2">
      <c r="BJ41825" s="201"/>
    </row>
    <row r="41826" spans="62:62" x14ac:dyDescent="0.2">
      <c r="BJ41826" s="201"/>
    </row>
    <row r="41827" spans="62:62" x14ac:dyDescent="0.2">
      <c r="BJ41827" s="201"/>
    </row>
    <row r="41828" spans="62:62" x14ac:dyDescent="0.2">
      <c r="BJ41828" s="201"/>
    </row>
    <row r="41829" spans="62:62" x14ac:dyDescent="0.2">
      <c r="BJ41829" s="201"/>
    </row>
    <row r="41830" spans="62:62" x14ac:dyDescent="0.2">
      <c r="BJ41830" s="201"/>
    </row>
    <row r="41831" spans="62:62" x14ac:dyDescent="0.2">
      <c r="BJ41831" s="201"/>
    </row>
    <row r="41832" spans="62:62" x14ac:dyDescent="0.2">
      <c r="BJ41832" s="201"/>
    </row>
    <row r="41833" spans="62:62" x14ac:dyDescent="0.2">
      <c r="BJ41833" s="201"/>
    </row>
    <row r="41834" spans="62:62" x14ac:dyDescent="0.2">
      <c r="BJ41834" s="201"/>
    </row>
    <row r="41835" spans="62:62" x14ac:dyDescent="0.2">
      <c r="BJ41835" s="201"/>
    </row>
    <row r="41836" spans="62:62" x14ac:dyDescent="0.2">
      <c r="BJ41836" s="201"/>
    </row>
    <row r="41837" spans="62:62" x14ac:dyDescent="0.2">
      <c r="BJ41837" s="201"/>
    </row>
    <row r="41838" spans="62:62" x14ac:dyDescent="0.2">
      <c r="BJ41838" s="201"/>
    </row>
    <row r="41839" spans="62:62" x14ac:dyDescent="0.2">
      <c r="BJ41839" s="201"/>
    </row>
    <row r="41840" spans="62:62" x14ac:dyDescent="0.2">
      <c r="BJ41840" s="201"/>
    </row>
    <row r="41841" spans="62:62" x14ac:dyDescent="0.2">
      <c r="BJ41841" s="201"/>
    </row>
    <row r="41842" spans="62:62" x14ac:dyDescent="0.2">
      <c r="BJ41842" s="201"/>
    </row>
    <row r="41843" spans="62:62" x14ac:dyDescent="0.2">
      <c r="BJ41843" s="201"/>
    </row>
    <row r="41844" spans="62:62" x14ac:dyDescent="0.2">
      <c r="BJ41844" s="201"/>
    </row>
    <row r="41845" spans="62:62" x14ac:dyDescent="0.2">
      <c r="BJ41845" s="201"/>
    </row>
    <row r="41846" spans="62:62" x14ac:dyDescent="0.2">
      <c r="BJ41846" s="201"/>
    </row>
    <row r="41847" spans="62:62" x14ac:dyDescent="0.2">
      <c r="BJ41847" s="201"/>
    </row>
    <row r="41848" spans="62:62" x14ac:dyDescent="0.2">
      <c r="BJ41848" s="201"/>
    </row>
    <row r="41849" spans="62:62" x14ac:dyDescent="0.2">
      <c r="BJ41849" s="201"/>
    </row>
    <row r="41850" spans="62:62" x14ac:dyDescent="0.2">
      <c r="BJ41850" s="201"/>
    </row>
    <row r="41851" spans="62:62" x14ac:dyDescent="0.2">
      <c r="BJ41851" s="201"/>
    </row>
    <row r="41852" spans="62:62" x14ac:dyDescent="0.2">
      <c r="BJ41852" s="201"/>
    </row>
    <row r="41853" spans="62:62" x14ac:dyDescent="0.2">
      <c r="BJ41853" s="201"/>
    </row>
    <row r="41854" spans="62:62" x14ac:dyDescent="0.2">
      <c r="BJ41854" s="201"/>
    </row>
    <row r="41855" spans="62:62" x14ac:dyDescent="0.2">
      <c r="BJ41855" s="201"/>
    </row>
    <row r="41856" spans="62:62" x14ac:dyDescent="0.2">
      <c r="BJ41856" s="201"/>
    </row>
    <row r="41857" spans="62:62" x14ac:dyDescent="0.2">
      <c r="BJ41857" s="201"/>
    </row>
    <row r="41858" spans="62:62" x14ac:dyDescent="0.2">
      <c r="BJ41858" s="201"/>
    </row>
    <row r="41859" spans="62:62" x14ac:dyDescent="0.2">
      <c r="BJ41859" s="201"/>
    </row>
    <row r="41860" spans="62:62" x14ac:dyDescent="0.2">
      <c r="BJ41860" s="201"/>
    </row>
    <row r="41861" spans="62:62" x14ac:dyDescent="0.2">
      <c r="BJ41861" s="201"/>
    </row>
    <row r="41862" spans="62:62" x14ac:dyDescent="0.2">
      <c r="BJ41862" s="201"/>
    </row>
    <row r="41863" spans="62:62" x14ac:dyDescent="0.2">
      <c r="BJ41863" s="201"/>
    </row>
    <row r="41864" spans="62:62" x14ac:dyDescent="0.2">
      <c r="BJ41864" s="201"/>
    </row>
    <row r="41865" spans="62:62" x14ac:dyDescent="0.2">
      <c r="BJ41865" s="201"/>
    </row>
    <row r="41866" spans="62:62" x14ac:dyDescent="0.2">
      <c r="BJ41866" s="201"/>
    </row>
    <row r="41867" spans="62:62" x14ac:dyDescent="0.2">
      <c r="BJ41867" s="201"/>
    </row>
    <row r="41868" spans="62:62" x14ac:dyDescent="0.2">
      <c r="BJ41868" s="201"/>
    </row>
    <row r="41869" spans="62:62" x14ac:dyDescent="0.2">
      <c r="BJ41869" s="201"/>
    </row>
    <row r="41870" spans="62:62" x14ac:dyDescent="0.2">
      <c r="BJ41870" s="201"/>
    </row>
    <row r="41871" spans="62:62" x14ac:dyDescent="0.2">
      <c r="BJ41871" s="201"/>
    </row>
    <row r="41872" spans="62:62" x14ac:dyDescent="0.2">
      <c r="BJ41872" s="201"/>
    </row>
    <row r="41873" spans="62:62" x14ac:dyDescent="0.2">
      <c r="BJ41873" s="201"/>
    </row>
    <row r="41874" spans="62:62" x14ac:dyDescent="0.2">
      <c r="BJ41874" s="201"/>
    </row>
    <row r="41875" spans="62:62" x14ac:dyDescent="0.2">
      <c r="BJ41875" s="201"/>
    </row>
    <row r="41876" spans="62:62" x14ac:dyDescent="0.2">
      <c r="BJ41876" s="201"/>
    </row>
    <row r="41877" spans="62:62" x14ac:dyDescent="0.2">
      <c r="BJ41877" s="201"/>
    </row>
    <row r="41878" spans="62:62" x14ac:dyDescent="0.2">
      <c r="BJ41878" s="201"/>
    </row>
    <row r="41879" spans="62:62" x14ac:dyDescent="0.2">
      <c r="BJ41879" s="201"/>
    </row>
    <row r="41880" spans="62:62" x14ac:dyDescent="0.2">
      <c r="BJ41880" s="201"/>
    </row>
    <row r="41881" spans="62:62" x14ac:dyDescent="0.2">
      <c r="BJ41881" s="201"/>
    </row>
    <row r="41882" spans="62:62" x14ac:dyDescent="0.2">
      <c r="BJ41882" s="201"/>
    </row>
    <row r="41883" spans="62:62" x14ac:dyDescent="0.2">
      <c r="BJ41883" s="201"/>
    </row>
    <row r="41884" spans="62:62" x14ac:dyDescent="0.2">
      <c r="BJ41884" s="201"/>
    </row>
    <row r="41885" spans="62:62" x14ac:dyDescent="0.2">
      <c r="BJ41885" s="201"/>
    </row>
    <row r="41886" spans="62:62" x14ac:dyDescent="0.2">
      <c r="BJ41886" s="201"/>
    </row>
    <row r="41887" spans="62:62" x14ac:dyDescent="0.2">
      <c r="BJ41887" s="201"/>
    </row>
    <row r="41888" spans="62:62" x14ac:dyDescent="0.2">
      <c r="BJ41888" s="201"/>
    </row>
    <row r="41889" spans="62:62" x14ac:dyDescent="0.2">
      <c r="BJ41889" s="201"/>
    </row>
    <row r="41890" spans="62:62" x14ac:dyDescent="0.2">
      <c r="BJ41890" s="201"/>
    </row>
    <row r="41891" spans="62:62" x14ac:dyDescent="0.2">
      <c r="BJ41891" s="201"/>
    </row>
    <row r="41892" spans="62:62" x14ac:dyDescent="0.2">
      <c r="BJ41892" s="201"/>
    </row>
    <row r="41893" spans="62:62" x14ac:dyDescent="0.2">
      <c r="BJ41893" s="201"/>
    </row>
    <row r="41894" spans="62:62" x14ac:dyDescent="0.2">
      <c r="BJ41894" s="201"/>
    </row>
    <row r="41895" spans="62:62" x14ac:dyDescent="0.2">
      <c r="BJ41895" s="201"/>
    </row>
    <row r="41896" spans="62:62" x14ac:dyDescent="0.2">
      <c r="BJ41896" s="201"/>
    </row>
    <row r="41897" spans="62:62" x14ac:dyDescent="0.2">
      <c r="BJ41897" s="201"/>
    </row>
    <row r="41898" spans="62:62" x14ac:dyDescent="0.2">
      <c r="BJ41898" s="201"/>
    </row>
    <row r="41899" spans="62:62" x14ac:dyDescent="0.2">
      <c r="BJ41899" s="201"/>
    </row>
    <row r="41900" spans="62:62" x14ac:dyDescent="0.2">
      <c r="BJ41900" s="201"/>
    </row>
    <row r="41901" spans="62:62" x14ac:dyDescent="0.2">
      <c r="BJ41901" s="201"/>
    </row>
    <row r="41902" spans="62:62" x14ac:dyDescent="0.2">
      <c r="BJ41902" s="201"/>
    </row>
    <row r="41903" spans="62:62" x14ac:dyDescent="0.2">
      <c r="BJ41903" s="201"/>
    </row>
    <row r="41904" spans="62:62" x14ac:dyDescent="0.2">
      <c r="BJ41904" s="201"/>
    </row>
    <row r="41905" spans="62:62" x14ac:dyDescent="0.2">
      <c r="BJ41905" s="201"/>
    </row>
    <row r="41906" spans="62:62" x14ac:dyDescent="0.2">
      <c r="BJ41906" s="201"/>
    </row>
    <row r="41907" spans="62:62" x14ac:dyDescent="0.2">
      <c r="BJ41907" s="201"/>
    </row>
    <row r="41908" spans="62:62" x14ac:dyDescent="0.2">
      <c r="BJ41908" s="201"/>
    </row>
    <row r="41909" spans="62:62" x14ac:dyDescent="0.2">
      <c r="BJ41909" s="201"/>
    </row>
    <row r="41910" spans="62:62" x14ac:dyDescent="0.2">
      <c r="BJ41910" s="201"/>
    </row>
    <row r="41911" spans="62:62" x14ac:dyDescent="0.2">
      <c r="BJ41911" s="201"/>
    </row>
    <row r="41912" spans="62:62" x14ac:dyDescent="0.2">
      <c r="BJ41912" s="201"/>
    </row>
    <row r="41913" spans="62:62" x14ac:dyDescent="0.2">
      <c r="BJ41913" s="201"/>
    </row>
    <row r="41914" spans="62:62" x14ac:dyDescent="0.2">
      <c r="BJ41914" s="201"/>
    </row>
    <row r="41915" spans="62:62" x14ac:dyDescent="0.2">
      <c r="BJ41915" s="201"/>
    </row>
    <row r="41916" spans="62:62" x14ac:dyDescent="0.2">
      <c r="BJ41916" s="201"/>
    </row>
    <row r="41917" spans="62:62" x14ac:dyDescent="0.2">
      <c r="BJ41917" s="201"/>
    </row>
    <row r="41918" spans="62:62" x14ac:dyDescent="0.2">
      <c r="BJ41918" s="201"/>
    </row>
    <row r="41919" spans="62:62" x14ac:dyDescent="0.2">
      <c r="BJ41919" s="201"/>
    </row>
    <row r="41920" spans="62:62" x14ac:dyDescent="0.2">
      <c r="BJ41920" s="201"/>
    </row>
    <row r="41921" spans="62:62" x14ac:dyDescent="0.2">
      <c r="BJ41921" s="201"/>
    </row>
    <row r="41922" spans="62:62" x14ac:dyDescent="0.2">
      <c r="BJ41922" s="201"/>
    </row>
    <row r="41923" spans="62:62" x14ac:dyDescent="0.2">
      <c r="BJ41923" s="201"/>
    </row>
    <row r="41924" spans="62:62" x14ac:dyDescent="0.2">
      <c r="BJ41924" s="201"/>
    </row>
    <row r="41925" spans="62:62" x14ac:dyDescent="0.2">
      <c r="BJ41925" s="201"/>
    </row>
    <row r="41926" spans="62:62" x14ac:dyDescent="0.2">
      <c r="BJ41926" s="201"/>
    </row>
    <row r="41927" spans="62:62" x14ac:dyDescent="0.2">
      <c r="BJ41927" s="201"/>
    </row>
    <row r="41928" spans="62:62" x14ac:dyDescent="0.2">
      <c r="BJ41928" s="201"/>
    </row>
    <row r="41929" spans="62:62" x14ac:dyDescent="0.2">
      <c r="BJ41929" s="201"/>
    </row>
    <row r="41930" spans="62:62" x14ac:dyDescent="0.2">
      <c r="BJ41930" s="201"/>
    </row>
    <row r="41931" spans="62:62" x14ac:dyDescent="0.2">
      <c r="BJ41931" s="201"/>
    </row>
    <row r="41932" spans="62:62" x14ac:dyDescent="0.2">
      <c r="BJ41932" s="201"/>
    </row>
    <row r="41933" spans="62:62" x14ac:dyDescent="0.2">
      <c r="BJ41933" s="201"/>
    </row>
    <row r="41934" spans="62:62" x14ac:dyDescent="0.2">
      <c r="BJ41934" s="201"/>
    </row>
    <row r="41935" spans="62:62" x14ac:dyDescent="0.2">
      <c r="BJ41935" s="201"/>
    </row>
    <row r="41936" spans="62:62" x14ac:dyDescent="0.2">
      <c r="BJ41936" s="201"/>
    </row>
    <row r="41937" spans="62:62" x14ac:dyDescent="0.2">
      <c r="BJ41937" s="201"/>
    </row>
    <row r="41938" spans="62:62" x14ac:dyDescent="0.2">
      <c r="BJ41938" s="201"/>
    </row>
    <row r="41939" spans="62:62" x14ac:dyDescent="0.2">
      <c r="BJ41939" s="201"/>
    </row>
    <row r="41940" spans="62:62" x14ac:dyDescent="0.2">
      <c r="BJ41940" s="201"/>
    </row>
    <row r="41941" spans="62:62" x14ac:dyDescent="0.2">
      <c r="BJ41941" s="201"/>
    </row>
    <row r="41942" spans="62:62" x14ac:dyDescent="0.2">
      <c r="BJ41942" s="201"/>
    </row>
    <row r="41943" spans="62:62" x14ac:dyDescent="0.2">
      <c r="BJ41943" s="201"/>
    </row>
    <row r="41944" spans="62:62" x14ac:dyDescent="0.2">
      <c r="BJ41944" s="201"/>
    </row>
    <row r="41945" spans="62:62" x14ac:dyDescent="0.2">
      <c r="BJ41945" s="201"/>
    </row>
    <row r="41946" spans="62:62" x14ac:dyDescent="0.2">
      <c r="BJ41946" s="201"/>
    </row>
    <row r="41947" spans="62:62" x14ac:dyDescent="0.2">
      <c r="BJ41947" s="201"/>
    </row>
    <row r="41948" spans="62:62" x14ac:dyDescent="0.2">
      <c r="BJ41948" s="201"/>
    </row>
    <row r="41949" spans="62:62" x14ac:dyDescent="0.2">
      <c r="BJ41949" s="201"/>
    </row>
    <row r="41950" spans="62:62" x14ac:dyDescent="0.2">
      <c r="BJ41950" s="201"/>
    </row>
    <row r="41951" spans="62:62" x14ac:dyDescent="0.2">
      <c r="BJ41951" s="201"/>
    </row>
    <row r="41952" spans="62:62" x14ac:dyDescent="0.2">
      <c r="BJ41952" s="201"/>
    </row>
    <row r="41953" spans="62:62" x14ac:dyDescent="0.2">
      <c r="BJ41953" s="201"/>
    </row>
    <row r="41954" spans="62:62" x14ac:dyDescent="0.2">
      <c r="BJ41954" s="201"/>
    </row>
    <row r="41955" spans="62:62" x14ac:dyDescent="0.2">
      <c r="BJ41955" s="201"/>
    </row>
    <row r="41956" spans="62:62" x14ac:dyDescent="0.2">
      <c r="BJ41956" s="201"/>
    </row>
    <row r="41957" spans="62:62" x14ac:dyDescent="0.2">
      <c r="BJ41957" s="201"/>
    </row>
    <row r="41958" spans="62:62" x14ac:dyDescent="0.2">
      <c r="BJ41958" s="201"/>
    </row>
    <row r="41959" spans="62:62" x14ac:dyDescent="0.2">
      <c r="BJ41959" s="201"/>
    </row>
    <row r="41960" spans="62:62" x14ac:dyDescent="0.2">
      <c r="BJ41960" s="201"/>
    </row>
    <row r="41961" spans="62:62" x14ac:dyDescent="0.2">
      <c r="BJ41961" s="201"/>
    </row>
    <row r="41962" spans="62:62" x14ac:dyDescent="0.2">
      <c r="BJ41962" s="201"/>
    </row>
    <row r="41963" spans="62:62" x14ac:dyDescent="0.2">
      <c r="BJ41963" s="201"/>
    </row>
    <row r="41964" spans="62:62" x14ac:dyDescent="0.2">
      <c r="BJ41964" s="201"/>
    </row>
    <row r="41965" spans="62:62" x14ac:dyDescent="0.2">
      <c r="BJ41965" s="201"/>
    </row>
    <row r="41966" spans="62:62" x14ac:dyDescent="0.2">
      <c r="BJ41966" s="201"/>
    </row>
    <row r="41967" spans="62:62" x14ac:dyDescent="0.2">
      <c r="BJ41967" s="201"/>
    </row>
    <row r="41968" spans="62:62" x14ac:dyDescent="0.2">
      <c r="BJ41968" s="201"/>
    </row>
    <row r="41969" spans="62:62" x14ac:dyDescent="0.2">
      <c r="BJ41969" s="201"/>
    </row>
    <row r="41970" spans="62:62" x14ac:dyDescent="0.2">
      <c r="BJ41970" s="201"/>
    </row>
    <row r="41971" spans="62:62" x14ac:dyDescent="0.2">
      <c r="BJ41971" s="201"/>
    </row>
    <row r="41972" spans="62:62" x14ac:dyDescent="0.2">
      <c r="BJ41972" s="201"/>
    </row>
    <row r="41973" spans="62:62" x14ac:dyDescent="0.2">
      <c r="BJ41973" s="201"/>
    </row>
    <row r="41974" spans="62:62" x14ac:dyDescent="0.2">
      <c r="BJ41974" s="201"/>
    </row>
    <row r="41975" spans="62:62" x14ac:dyDescent="0.2">
      <c r="BJ41975" s="201"/>
    </row>
    <row r="41976" spans="62:62" x14ac:dyDescent="0.2">
      <c r="BJ41976" s="201"/>
    </row>
    <row r="41977" spans="62:62" x14ac:dyDescent="0.2">
      <c r="BJ41977" s="201"/>
    </row>
    <row r="41978" spans="62:62" x14ac:dyDescent="0.2">
      <c r="BJ41978" s="201"/>
    </row>
    <row r="41979" spans="62:62" x14ac:dyDescent="0.2">
      <c r="BJ41979" s="201"/>
    </row>
    <row r="41980" spans="62:62" x14ac:dyDescent="0.2">
      <c r="BJ41980" s="201"/>
    </row>
    <row r="41981" spans="62:62" x14ac:dyDescent="0.2">
      <c r="BJ41981" s="201"/>
    </row>
    <row r="41982" spans="62:62" x14ac:dyDescent="0.2">
      <c r="BJ41982" s="201"/>
    </row>
    <row r="41983" spans="62:62" x14ac:dyDescent="0.2">
      <c r="BJ41983" s="201"/>
    </row>
    <row r="41984" spans="62:62" x14ac:dyDescent="0.2">
      <c r="BJ41984" s="201"/>
    </row>
    <row r="41985" spans="62:62" x14ac:dyDescent="0.2">
      <c r="BJ41985" s="201"/>
    </row>
    <row r="41986" spans="62:62" x14ac:dyDescent="0.2">
      <c r="BJ41986" s="201"/>
    </row>
    <row r="41987" spans="62:62" x14ac:dyDescent="0.2">
      <c r="BJ41987" s="201"/>
    </row>
    <row r="41988" spans="62:62" x14ac:dyDescent="0.2">
      <c r="BJ41988" s="201"/>
    </row>
    <row r="41989" spans="62:62" x14ac:dyDescent="0.2">
      <c r="BJ41989" s="201"/>
    </row>
    <row r="41990" spans="62:62" x14ac:dyDescent="0.2">
      <c r="BJ41990" s="201"/>
    </row>
    <row r="41991" spans="62:62" x14ac:dyDescent="0.2">
      <c r="BJ41991" s="201"/>
    </row>
    <row r="41992" spans="62:62" x14ac:dyDescent="0.2">
      <c r="BJ41992" s="201"/>
    </row>
    <row r="41993" spans="62:62" x14ac:dyDescent="0.2">
      <c r="BJ41993" s="201"/>
    </row>
    <row r="41994" spans="62:62" x14ac:dyDescent="0.2">
      <c r="BJ41994" s="201"/>
    </row>
    <row r="41995" spans="62:62" x14ac:dyDescent="0.2">
      <c r="BJ41995" s="201"/>
    </row>
    <row r="41996" spans="62:62" x14ac:dyDescent="0.2">
      <c r="BJ41996" s="201"/>
    </row>
    <row r="41997" spans="62:62" x14ac:dyDescent="0.2">
      <c r="BJ41997" s="201"/>
    </row>
    <row r="41998" spans="62:62" x14ac:dyDescent="0.2">
      <c r="BJ41998" s="201"/>
    </row>
    <row r="41999" spans="62:62" x14ac:dyDescent="0.2">
      <c r="BJ41999" s="201"/>
    </row>
    <row r="42000" spans="62:62" x14ac:dyDescent="0.2">
      <c r="BJ42000" s="201"/>
    </row>
    <row r="42001" spans="62:62" x14ac:dyDescent="0.2">
      <c r="BJ42001" s="201"/>
    </row>
    <row r="42002" spans="62:62" x14ac:dyDescent="0.2">
      <c r="BJ42002" s="201"/>
    </row>
    <row r="42003" spans="62:62" x14ac:dyDescent="0.2">
      <c r="BJ42003" s="201"/>
    </row>
    <row r="42004" spans="62:62" x14ac:dyDescent="0.2">
      <c r="BJ42004" s="201"/>
    </row>
    <row r="42005" spans="62:62" x14ac:dyDescent="0.2">
      <c r="BJ42005" s="201"/>
    </row>
    <row r="42006" spans="62:62" x14ac:dyDescent="0.2">
      <c r="BJ42006" s="201"/>
    </row>
    <row r="42007" spans="62:62" x14ac:dyDescent="0.2">
      <c r="BJ42007" s="201"/>
    </row>
    <row r="42008" spans="62:62" x14ac:dyDescent="0.2">
      <c r="BJ42008" s="201"/>
    </row>
    <row r="42009" spans="62:62" x14ac:dyDescent="0.2">
      <c r="BJ42009" s="201"/>
    </row>
    <row r="42010" spans="62:62" x14ac:dyDescent="0.2">
      <c r="BJ42010" s="201"/>
    </row>
    <row r="42011" spans="62:62" x14ac:dyDescent="0.2">
      <c r="BJ42011" s="201"/>
    </row>
    <row r="42012" spans="62:62" x14ac:dyDescent="0.2">
      <c r="BJ42012" s="201"/>
    </row>
    <row r="42013" spans="62:62" x14ac:dyDescent="0.2">
      <c r="BJ42013" s="201"/>
    </row>
    <row r="42014" spans="62:62" x14ac:dyDescent="0.2">
      <c r="BJ42014" s="201"/>
    </row>
    <row r="42015" spans="62:62" x14ac:dyDescent="0.2">
      <c r="BJ42015" s="201"/>
    </row>
    <row r="42016" spans="62:62" x14ac:dyDescent="0.2">
      <c r="BJ42016" s="201"/>
    </row>
    <row r="42017" spans="62:62" x14ac:dyDescent="0.2">
      <c r="BJ42017" s="201"/>
    </row>
    <row r="42018" spans="62:62" x14ac:dyDescent="0.2">
      <c r="BJ42018" s="201"/>
    </row>
    <row r="42019" spans="62:62" x14ac:dyDescent="0.2">
      <c r="BJ42019" s="201"/>
    </row>
    <row r="42020" spans="62:62" x14ac:dyDescent="0.2">
      <c r="BJ42020" s="201"/>
    </row>
    <row r="42021" spans="62:62" x14ac:dyDescent="0.2">
      <c r="BJ42021" s="201"/>
    </row>
    <row r="42022" spans="62:62" x14ac:dyDescent="0.2">
      <c r="BJ42022" s="201"/>
    </row>
    <row r="42023" spans="62:62" x14ac:dyDescent="0.2">
      <c r="BJ42023" s="201"/>
    </row>
    <row r="42024" spans="62:62" x14ac:dyDescent="0.2">
      <c r="BJ42024" s="201"/>
    </row>
    <row r="42025" spans="62:62" x14ac:dyDescent="0.2">
      <c r="BJ42025" s="201"/>
    </row>
    <row r="42026" spans="62:62" x14ac:dyDescent="0.2">
      <c r="BJ42026" s="201"/>
    </row>
    <row r="42027" spans="62:62" x14ac:dyDescent="0.2">
      <c r="BJ42027" s="201"/>
    </row>
    <row r="42028" spans="62:62" x14ac:dyDescent="0.2">
      <c r="BJ42028" s="201"/>
    </row>
    <row r="42029" spans="62:62" x14ac:dyDescent="0.2">
      <c r="BJ42029" s="201"/>
    </row>
    <row r="42030" spans="62:62" x14ac:dyDescent="0.2">
      <c r="BJ42030" s="201"/>
    </row>
    <row r="42031" spans="62:62" x14ac:dyDescent="0.2">
      <c r="BJ42031" s="201"/>
    </row>
    <row r="42032" spans="62:62" x14ac:dyDescent="0.2">
      <c r="BJ42032" s="201"/>
    </row>
    <row r="42033" spans="62:62" x14ac:dyDescent="0.2">
      <c r="BJ42033" s="201"/>
    </row>
    <row r="42034" spans="62:62" x14ac:dyDescent="0.2">
      <c r="BJ42034" s="201"/>
    </row>
    <row r="42035" spans="62:62" x14ac:dyDescent="0.2">
      <c r="BJ42035" s="201"/>
    </row>
    <row r="42036" spans="62:62" x14ac:dyDescent="0.2">
      <c r="BJ42036" s="201"/>
    </row>
    <row r="42037" spans="62:62" x14ac:dyDescent="0.2">
      <c r="BJ42037" s="201"/>
    </row>
    <row r="42038" spans="62:62" x14ac:dyDescent="0.2">
      <c r="BJ42038" s="201"/>
    </row>
    <row r="42039" spans="62:62" x14ac:dyDescent="0.2">
      <c r="BJ42039" s="201"/>
    </row>
    <row r="42040" spans="62:62" x14ac:dyDescent="0.2">
      <c r="BJ42040" s="201"/>
    </row>
    <row r="42041" spans="62:62" x14ac:dyDescent="0.2">
      <c r="BJ42041" s="201"/>
    </row>
    <row r="42042" spans="62:62" x14ac:dyDescent="0.2">
      <c r="BJ42042" s="201"/>
    </row>
    <row r="42043" spans="62:62" x14ac:dyDescent="0.2">
      <c r="BJ42043" s="201"/>
    </row>
    <row r="42044" spans="62:62" x14ac:dyDescent="0.2">
      <c r="BJ42044" s="201"/>
    </row>
    <row r="42045" spans="62:62" x14ac:dyDescent="0.2">
      <c r="BJ42045" s="201"/>
    </row>
    <row r="42046" spans="62:62" x14ac:dyDescent="0.2">
      <c r="BJ42046" s="201"/>
    </row>
    <row r="42047" spans="62:62" x14ac:dyDescent="0.2">
      <c r="BJ42047" s="201"/>
    </row>
    <row r="42048" spans="62:62" x14ac:dyDescent="0.2">
      <c r="BJ42048" s="201"/>
    </row>
    <row r="42049" spans="62:62" x14ac:dyDescent="0.2">
      <c r="BJ42049" s="201"/>
    </row>
    <row r="42050" spans="62:62" x14ac:dyDescent="0.2">
      <c r="BJ42050" s="201"/>
    </row>
    <row r="42051" spans="62:62" x14ac:dyDescent="0.2">
      <c r="BJ42051" s="201"/>
    </row>
    <row r="42052" spans="62:62" x14ac:dyDescent="0.2">
      <c r="BJ42052" s="201"/>
    </row>
    <row r="42053" spans="62:62" x14ac:dyDescent="0.2">
      <c r="BJ42053" s="201"/>
    </row>
    <row r="42054" spans="62:62" x14ac:dyDescent="0.2">
      <c r="BJ42054" s="201"/>
    </row>
    <row r="42055" spans="62:62" x14ac:dyDescent="0.2">
      <c r="BJ42055" s="201"/>
    </row>
    <row r="42056" spans="62:62" x14ac:dyDescent="0.2">
      <c r="BJ42056" s="201"/>
    </row>
    <row r="42057" spans="62:62" x14ac:dyDescent="0.2">
      <c r="BJ42057" s="201"/>
    </row>
    <row r="42058" spans="62:62" x14ac:dyDescent="0.2">
      <c r="BJ42058" s="201"/>
    </row>
    <row r="42059" spans="62:62" x14ac:dyDescent="0.2">
      <c r="BJ42059" s="201"/>
    </row>
    <row r="42060" spans="62:62" x14ac:dyDescent="0.2">
      <c r="BJ42060" s="201"/>
    </row>
    <row r="42061" spans="62:62" x14ac:dyDescent="0.2">
      <c r="BJ42061" s="201"/>
    </row>
    <row r="42062" spans="62:62" x14ac:dyDescent="0.2">
      <c r="BJ42062" s="201"/>
    </row>
    <row r="42063" spans="62:62" x14ac:dyDescent="0.2">
      <c r="BJ42063" s="201"/>
    </row>
    <row r="42064" spans="62:62" x14ac:dyDescent="0.2">
      <c r="BJ42064" s="201"/>
    </row>
    <row r="42065" spans="62:62" x14ac:dyDescent="0.2">
      <c r="BJ42065" s="201"/>
    </row>
    <row r="42066" spans="62:62" x14ac:dyDescent="0.2">
      <c r="BJ42066" s="201"/>
    </row>
    <row r="42067" spans="62:62" x14ac:dyDescent="0.2">
      <c r="BJ42067" s="201"/>
    </row>
    <row r="42068" spans="62:62" x14ac:dyDescent="0.2">
      <c r="BJ42068" s="201"/>
    </row>
    <row r="42069" spans="62:62" x14ac:dyDescent="0.2">
      <c r="BJ42069" s="201"/>
    </row>
    <row r="42070" spans="62:62" x14ac:dyDescent="0.2">
      <c r="BJ42070" s="201"/>
    </row>
    <row r="42071" spans="62:62" x14ac:dyDescent="0.2">
      <c r="BJ42071" s="201"/>
    </row>
    <row r="42072" spans="62:62" x14ac:dyDescent="0.2">
      <c r="BJ42072" s="201"/>
    </row>
    <row r="42073" spans="62:62" x14ac:dyDescent="0.2">
      <c r="BJ42073" s="201"/>
    </row>
    <row r="42074" spans="62:62" x14ac:dyDescent="0.2">
      <c r="BJ42074" s="201"/>
    </row>
    <row r="42075" spans="62:62" x14ac:dyDescent="0.2">
      <c r="BJ42075" s="201"/>
    </row>
    <row r="42076" spans="62:62" x14ac:dyDescent="0.2">
      <c r="BJ42076" s="201"/>
    </row>
    <row r="42077" spans="62:62" x14ac:dyDescent="0.2">
      <c r="BJ42077" s="201"/>
    </row>
    <row r="42078" spans="62:62" x14ac:dyDescent="0.2">
      <c r="BJ42078" s="201"/>
    </row>
    <row r="42079" spans="62:62" x14ac:dyDescent="0.2">
      <c r="BJ42079" s="201"/>
    </row>
    <row r="42080" spans="62:62" x14ac:dyDescent="0.2">
      <c r="BJ42080" s="201"/>
    </row>
    <row r="42081" spans="62:62" x14ac:dyDescent="0.2">
      <c r="BJ42081" s="201"/>
    </row>
    <row r="42082" spans="62:62" x14ac:dyDescent="0.2">
      <c r="BJ42082" s="201"/>
    </row>
    <row r="42083" spans="62:62" x14ac:dyDescent="0.2">
      <c r="BJ42083" s="201"/>
    </row>
    <row r="42084" spans="62:62" x14ac:dyDescent="0.2">
      <c r="BJ42084" s="201"/>
    </row>
    <row r="42085" spans="62:62" x14ac:dyDescent="0.2">
      <c r="BJ42085" s="201"/>
    </row>
    <row r="42086" spans="62:62" x14ac:dyDescent="0.2">
      <c r="BJ42086" s="201"/>
    </row>
    <row r="42087" spans="62:62" x14ac:dyDescent="0.2">
      <c r="BJ42087" s="201"/>
    </row>
    <row r="42088" spans="62:62" x14ac:dyDescent="0.2">
      <c r="BJ42088" s="201"/>
    </row>
    <row r="42089" spans="62:62" x14ac:dyDescent="0.2">
      <c r="BJ42089" s="201"/>
    </row>
    <row r="42090" spans="62:62" x14ac:dyDescent="0.2">
      <c r="BJ42090" s="201"/>
    </row>
    <row r="42091" spans="62:62" x14ac:dyDescent="0.2">
      <c r="BJ42091" s="201"/>
    </row>
    <row r="42092" spans="62:62" x14ac:dyDescent="0.2">
      <c r="BJ42092" s="201"/>
    </row>
    <row r="42093" spans="62:62" x14ac:dyDescent="0.2">
      <c r="BJ42093" s="201"/>
    </row>
    <row r="42094" spans="62:62" x14ac:dyDescent="0.2">
      <c r="BJ42094" s="201"/>
    </row>
    <row r="42095" spans="62:62" x14ac:dyDescent="0.2">
      <c r="BJ42095" s="201"/>
    </row>
    <row r="42096" spans="62:62" x14ac:dyDescent="0.2">
      <c r="BJ42096" s="201"/>
    </row>
    <row r="42097" spans="62:62" x14ac:dyDescent="0.2">
      <c r="BJ42097" s="201"/>
    </row>
    <row r="42098" spans="62:62" x14ac:dyDescent="0.2">
      <c r="BJ42098" s="201"/>
    </row>
    <row r="42099" spans="62:62" x14ac:dyDescent="0.2">
      <c r="BJ42099" s="201"/>
    </row>
    <row r="42100" spans="62:62" x14ac:dyDescent="0.2">
      <c r="BJ42100" s="201"/>
    </row>
    <row r="42101" spans="62:62" x14ac:dyDescent="0.2">
      <c r="BJ42101" s="201"/>
    </row>
    <row r="42102" spans="62:62" x14ac:dyDescent="0.2">
      <c r="BJ42102" s="201"/>
    </row>
    <row r="42103" spans="62:62" x14ac:dyDescent="0.2">
      <c r="BJ42103" s="201"/>
    </row>
    <row r="42104" spans="62:62" x14ac:dyDescent="0.2">
      <c r="BJ42104" s="201"/>
    </row>
    <row r="42105" spans="62:62" x14ac:dyDescent="0.2">
      <c r="BJ42105" s="201"/>
    </row>
    <row r="42106" spans="62:62" x14ac:dyDescent="0.2">
      <c r="BJ42106" s="201"/>
    </row>
    <row r="42107" spans="62:62" x14ac:dyDescent="0.2">
      <c r="BJ42107" s="201"/>
    </row>
    <row r="42108" spans="62:62" x14ac:dyDescent="0.2">
      <c r="BJ42108" s="201"/>
    </row>
    <row r="42109" spans="62:62" x14ac:dyDescent="0.2">
      <c r="BJ42109" s="201"/>
    </row>
    <row r="42110" spans="62:62" x14ac:dyDescent="0.2">
      <c r="BJ42110" s="201"/>
    </row>
    <row r="42111" spans="62:62" x14ac:dyDescent="0.2">
      <c r="BJ42111" s="201"/>
    </row>
    <row r="42112" spans="62:62" x14ac:dyDescent="0.2">
      <c r="BJ42112" s="201"/>
    </row>
    <row r="42113" spans="62:62" x14ac:dyDescent="0.2">
      <c r="BJ42113" s="201"/>
    </row>
    <row r="42114" spans="62:62" x14ac:dyDescent="0.2">
      <c r="BJ42114" s="201"/>
    </row>
    <row r="42115" spans="62:62" x14ac:dyDescent="0.2">
      <c r="BJ42115" s="201"/>
    </row>
    <row r="42116" spans="62:62" x14ac:dyDescent="0.2">
      <c r="BJ42116" s="201"/>
    </row>
    <row r="42117" spans="62:62" x14ac:dyDescent="0.2">
      <c r="BJ42117" s="201"/>
    </row>
    <row r="42118" spans="62:62" x14ac:dyDescent="0.2">
      <c r="BJ42118" s="201"/>
    </row>
    <row r="42119" spans="62:62" x14ac:dyDescent="0.2">
      <c r="BJ42119" s="201"/>
    </row>
    <row r="42120" spans="62:62" x14ac:dyDescent="0.2">
      <c r="BJ42120" s="201"/>
    </row>
    <row r="42121" spans="62:62" x14ac:dyDescent="0.2">
      <c r="BJ42121" s="201"/>
    </row>
    <row r="42122" spans="62:62" x14ac:dyDescent="0.2">
      <c r="BJ42122" s="201"/>
    </row>
    <row r="42123" spans="62:62" x14ac:dyDescent="0.2">
      <c r="BJ42123" s="201"/>
    </row>
    <row r="42124" spans="62:62" x14ac:dyDescent="0.2">
      <c r="BJ42124" s="201"/>
    </row>
    <row r="42125" spans="62:62" x14ac:dyDescent="0.2">
      <c r="BJ42125" s="201"/>
    </row>
    <row r="42126" spans="62:62" x14ac:dyDescent="0.2">
      <c r="BJ42126" s="201"/>
    </row>
    <row r="42127" spans="62:62" x14ac:dyDescent="0.2">
      <c r="BJ42127" s="201"/>
    </row>
    <row r="42128" spans="62:62" x14ac:dyDescent="0.2">
      <c r="BJ42128" s="201"/>
    </row>
    <row r="42129" spans="62:62" x14ac:dyDescent="0.2">
      <c r="BJ42129" s="201"/>
    </row>
    <row r="42130" spans="62:62" x14ac:dyDescent="0.2">
      <c r="BJ42130" s="201"/>
    </row>
    <row r="42131" spans="62:62" x14ac:dyDescent="0.2">
      <c r="BJ42131" s="201"/>
    </row>
    <row r="42132" spans="62:62" x14ac:dyDescent="0.2">
      <c r="BJ42132" s="201"/>
    </row>
    <row r="42133" spans="62:62" x14ac:dyDescent="0.2">
      <c r="BJ42133" s="201"/>
    </row>
    <row r="42134" spans="62:62" x14ac:dyDescent="0.2">
      <c r="BJ42134" s="201"/>
    </row>
    <row r="42135" spans="62:62" x14ac:dyDescent="0.2">
      <c r="BJ42135" s="201"/>
    </row>
    <row r="42136" spans="62:62" x14ac:dyDescent="0.2">
      <c r="BJ42136" s="201"/>
    </row>
    <row r="42137" spans="62:62" x14ac:dyDescent="0.2">
      <c r="BJ42137" s="201"/>
    </row>
    <row r="42138" spans="62:62" x14ac:dyDescent="0.2">
      <c r="BJ42138" s="201"/>
    </row>
    <row r="42139" spans="62:62" x14ac:dyDescent="0.2">
      <c r="BJ42139" s="201"/>
    </row>
    <row r="42140" spans="62:62" x14ac:dyDescent="0.2">
      <c r="BJ42140" s="201"/>
    </row>
    <row r="42141" spans="62:62" x14ac:dyDescent="0.2">
      <c r="BJ42141" s="201"/>
    </row>
    <row r="42142" spans="62:62" x14ac:dyDescent="0.2">
      <c r="BJ42142" s="201"/>
    </row>
    <row r="42143" spans="62:62" x14ac:dyDescent="0.2">
      <c r="BJ42143" s="201"/>
    </row>
    <row r="42144" spans="62:62" x14ac:dyDescent="0.2">
      <c r="BJ42144" s="201"/>
    </row>
    <row r="42145" spans="62:62" x14ac:dyDescent="0.2">
      <c r="BJ42145" s="201"/>
    </row>
    <row r="42146" spans="62:62" x14ac:dyDescent="0.2">
      <c r="BJ42146" s="201"/>
    </row>
    <row r="42147" spans="62:62" x14ac:dyDescent="0.2">
      <c r="BJ42147" s="201"/>
    </row>
    <row r="42148" spans="62:62" x14ac:dyDescent="0.2">
      <c r="BJ42148" s="201"/>
    </row>
    <row r="42149" spans="62:62" x14ac:dyDescent="0.2">
      <c r="BJ42149" s="201"/>
    </row>
    <row r="42150" spans="62:62" x14ac:dyDescent="0.2">
      <c r="BJ42150" s="201"/>
    </row>
    <row r="42151" spans="62:62" x14ac:dyDescent="0.2">
      <c r="BJ42151" s="201"/>
    </row>
    <row r="42152" spans="62:62" x14ac:dyDescent="0.2">
      <c r="BJ42152" s="201"/>
    </row>
    <row r="42153" spans="62:62" x14ac:dyDescent="0.2">
      <c r="BJ42153" s="201"/>
    </row>
    <row r="42154" spans="62:62" x14ac:dyDescent="0.2">
      <c r="BJ42154" s="201"/>
    </row>
    <row r="42155" spans="62:62" x14ac:dyDescent="0.2">
      <c r="BJ42155" s="201"/>
    </row>
    <row r="42156" spans="62:62" x14ac:dyDescent="0.2">
      <c r="BJ42156" s="201"/>
    </row>
    <row r="42157" spans="62:62" x14ac:dyDescent="0.2">
      <c r="BJ42157" s="201"/>
    </row>
    <row r="42158" spans="62:62" x14ac:dyDescent="0.2">
      <c r="BJ42158" s="201"/>
    </row>
    <row r="42159" spans="62:62" x14ac:dyDescent="0.2">
      <c r="BJ42159" s="201"/>
    </row>
    <row r="42160" spans="62:62" x14ac:dyDescent="0.2">
      <c r="BJ42160" s="201"/>
    </row>
    <row r="42161" spans="62:62" x14ac:dyDescent="0.2">
      <c r="BJ42161" s="201"/>
    </row>
    <row r="42162" spans="62:62" x14ac:dyDescent="0.2">
      <c r="BJ42162" s="201"/>
    </row>
    <row r="42163" spans="62:62" x14ac:dyDescent="0.2">
      <c r="BJ42163" s="201"/>
    </row>
    <row r="42164" spans="62:62" x14ac:dyDescent="0.2">
      <c r="BJ42164" s="201"/>
    </row>
    <row r="42165" spans="62:62" x14ac:dyDescent="0.2">
      <c r="BJ42165" s="201"/>
    </row>
    <row r="42166" spans="62:62" x14ac:dyDescent="0.2">
      <c r="BJ42166" s="201"/>
    </row>
    <row r="42167" spans="62:62" x14ac:dyDescent="0.2">
      <c r="BJ42167" s="201"/>
    </row>
    <row r="42168" spans="62:62" x14ac:dyDescent="0.2">
      <c r="BJ42168" s="201"/>
    </row>
    <row r="42169" spans="62:62" x14ac:dyDescent="0.2">
      <c r="BJ42169" s="201"/>
    </row>
    <row r="42170" spans="62:62" x14ac:dyDescent="0.2">
      <c r="BJ42170" s="201"/>
    </row>
    <row r="42171" spans="62:62" x14ac:dyDescent="0.2">
      <c r="BJ42171" s="201"/>
    </row>
    <row r="42172" spans="62:62" x14ac:dyDescent="0.2">
      <c r="BJ42172" s="201"/>
    </row>
    <row r="42173" spans="62:62" x14ac:dyDescent="0.2">
      <c r="BJ42173" s="201"/>
    </row>
    <row r="42174" spans="62:62" x14ac:dyDescent="0.2">
      <c r="BJ42174" s="201"/>
    </row>
    <row r="42175" spans="62:62" x14ac:dyDescent="0.2">
      <c r="BJ42175" s="201"/>
    </row>
    <row r="42176" spans="62:62" x14ac:dyDescent="0.2">
      <c r="BJ42176" s="201"/>
    </row>
    <row r="42177" spans="62:62" x14ac:dyDescent="0.2">
      <c r="BJ42177" s="201"/>
    </row>
    <row r="42178" spans="62:62" x14ac:dyDescent="0.2">
      <c r="BJ42178" s="201"/>
    </row>
    <row r="42179" spans="62:62" x14ac:dyDescent="0.2">
      <c r="BJ42179" s="201"/>
    </row>
    <row r="42180" spans="62:62" x14ac:dyDescent="0.2">
      <c r="BJ42180" s="201"/>
    </row>
    <row r="42181" spans="62:62" x14ac:dyDescent="0.2">
      <c r="BJ42181" s="201"/>
    </row>
    <row r="42182" spans="62:62" x14ac:dyDescent="0.2">
      <c r="BJ42182" s="201"/>
    </row>
    <row r="42183" spans="62:62" x14ac:dyDescent="0.2">
      <c r="BJ42183" s="201"/>
    </row>
    <row r="42184" spans="62:62" x14ac:dyDescent="0.2">
      <c r="BJ42184" s="201"/>
    </row>
    <row r="42185" spans="62:62" x14ac:dyDescent="0.2">
      <c r="BJ42185" s="201"/>
    </row>
    <row r="42186" spans="62:62" x14ac:dyDescent="0.2">
      <c r="BJ42186" s="201"/>
    </row>
    <row r="42187" spans="62:62" x14ac:dyDescent="0.2">
      <c r="BJ42187" s="201"/>
    </row>
    <row r="42188" spans="62:62" x14ac:dyDescent="0.2">
      <c r="BJ42188" s="201"/>
    </row>
    <row r="42189" spans="62:62" x14ac:dyDescent="0.2">
      <c r="BJ42189" s="201"/>
    </row>
    <row r="42190" spans="62:62" x14ac:dyDescent="0.2">
      <c r="BJ42190" s="201"/>
    </row>
    <row r="42191" spans="62:62" x14ac:dyDescent="0.2">
      <c r="BJ42191" s="201"/>
    </row>
    <row r="42192" spans="62:62" x14ac:dyDescent="0.2">
      <c r="BJ42192" s="201"/>
    </row>
    <row r="42193" spans="62:62" x14ac:dyDescent="0.2">
      <c r="BJ42193" s="201"/>
    </row>
    <row r="42194" spans="62:62" x14ac:dyDescent="0.2">
      <c r="BJ42194" s="201"/>
    </row>
    <row r="42195" spans="62:62" x14ac:dyDescent="0.2">
      <c r="BJ42195" s="201"/>
    </row>
    <row r="42196" spans="62:62" x14ac:dyDescent="0.2">
      <c r="BJ42196" s="201"/>
    </row>
    <row r="42197" spans="62:62" x14ac:dyDescent="0.2">
      <c r="BJ42197" s="201"/>
    </row>
    <row r="42198" spans="62:62" x14ac:dyDescent="0.2">
      <c r="BJ42198" s="201"/>
    </row>
    <row r="42199" spans="62:62" x14ac:dyDescent="0.2">
      <c r="BJ42199" s="201"/>
    </row>
    <row r="42200" spans="62:62" x14ac:dyDescent="0.2">
      <c r="BJ42200" s="201"/>
    </row>
    <row r="42201" spans="62:62" x14ac:dyDescent="0.2">
      <c r="BJ42201" s="201"/>
    </row>
    <row r="42202" spans="62:62" x14ac:dyDescent="0.2">
      <c r="BJ42202" s="201"/>
    </row>
    <row r="42203" spans="62:62" x14ac:dyDescent="0.2">
      <c r="BJ42203" s="201"/>
    </row>
    <row r="42204" spans="62:62" x14ac:dyDescent="0.2">
      <c r="BJ42204" s="201"/>
    </row>
    <row r="42205" spans="62:62" x14ac:dyDescent="0.2">
      <c r="BJ42205" s="201"/>
    </row>
    <row r="42206" spans="62:62" x14ac:dyDescent="0.2">
      <c r="BJ42206" s="201"/>
    </row>
    <row r="42207" spans="62:62" x14ac:dyDescent="0.2">
      <c r="BJ42207" s="201"/>
    </row>
    <row r="42208" spans="62:62" x14ac:dyDescent="0.2">
      <c r="BJ42208" s="201"/>
    </row>
    <row r="42209" spans="62:62" x14ac:dyDescent="0.2">
      <c r="BJ42209" s="201"/>
    </row>
    <row r="42210" spans="62:62" x14ac:dyDescent="0.2">
      <c r="BJ42210" s="201"/>
    </row>
    <row r="42211" spans="62:62" x14ac:dyDescent="0.2">
      <c r="BJ42211" s="201"/>
    </row>
    <row r="42212" spans="62:62" x14ac:dyDescent="0.2">
      <c r="BJ42212" s="201"/>
    </row>
    <row r="42213" spans="62:62" x14ac:dyDescent="0.2">
      <c r="BJ42213" s="201"/>
    </row>
    <row r="42214" spans="62:62" x14ac:dyDescent="0.2">
      <c r="BJ42214" s="201"/>
    </row>
    <row r="42215" spans="62:62" x14ac:dyDescent="0.2">
      <c r="BJ42215" s="201"/>
    </row>
    <row r="42216" spans="62:62" x14ac:dyDescent="0.2">
      <c r="BJ42216" s="201"/>
    </row>
    <row r="42217" spans="62:62" x14ac:dyDescent="0.2">
      <c r="BJ42217" s="201"/>
    </row>
    <row r="42218" spans="62:62" x14ac:dyDescent="0.2">
      <c r="BJ42218" s="201"/>
    </row>
    <row r="42219" spans="62:62" x14ac:dyDescent="0.2">
      <c r="BJ42219" s="201"/>
    </row>
    <row r="42220" spans="62:62" x14ac:dyDescent="0.2">
      <c r="BJ42220" s="201"/>
    </row>
    <row r="42221" spans="62:62" x14ac:dyDescent="0.2">
      <c r="BJ42221" s="201"/>
    </row>
    <row r="42222" spans="62:62" x14ac:dyDescent="0.2">
      <c r="BJ42222" s="201"/>
    </row>
    <row r="42223" spans="62:62" x14ac:dyDescent="0.2">
      <c r="BJ42223" s="201"/>
    </row>
    <row r="42224" spans="62:62" x14ac:dyDescent="0.2">
      <c r="BJ42224" s="201"/>
    </row>
    <row r="42225" spans="62:62" x14ac:dyDescent="0.2">
      <c r="BJ42225" s="201"/>
    </row>
    <row r="42226" spans="62:62" x14ac:dyDescent="0.2">
      <c r="BJ42226" s="201"/>
    </row>
    <row r="42227" spans="62:62" x14ac:dyDescent="0.2">
      <c r="BJ42227" s="201"/>
    </row>
    <row r="42228" spans="62:62" x14ac:dyDescent="0.2">
      <c r="BJ42228" s="201"/>
    </row>
    <row r="42229" spans="62:62" x14ac:dyDescent="0.2">
      <c r="BJ42229" s="201"/>
    </row>
    <row r="42230" spans="62:62" x14ac:dyDescent="0.2">
      <c r="BJ42230" s="201"/>
    </row>
    <row r="42231" spans="62:62" x14ac:dyDescent="0.2">
      <c r="BJ42231" s="201"/>
    </row>
    <row r="42232" spans="62:62" x14ac:dyDescent="0.2">
      <c r="BJ42232" s="201"/>
    </row>
    <row r="42233" spans="62:62" x14ac:dyDescent="0.2">
      <c r="BJ42233" s="201"/>
    </row>
    <row r="42234" spans="62:62" x14ac:dyDescent="0.2">
      <c r="BJ42234" s="201"/>
    </row>
    <row r="42235" spans="62:62" x14ac:dyDescent="0.2">
      <c r="BJ42235" s="201"/>
    </row>
    <row r="42236" spans="62:62" x14ac:dyDescent="0.2">
      <c r="BJ42236" s="201"/>
    </row>
    <row r="42237" spans="62:62" x14ac:dyDescent="0.2">
      <c r="BJ42237" s="201"/>
    </row>
    <row r="42238" spans="62:62" x14ac:dyDescent="0.2">
      <c r="BJ42238" s="201"/>
    </row>
    <row r="42239" spans="62:62" x14ac:dyDescent="0.2">
      <c r="BJ42239" s="201"/>
    </row>
    <row r="42240" spans="62:62" x14ac:dyDescent="0.2">
      <c r="BJ42240" s="201"/>
    </row>
    <row r="42241" spans="62:62" x14ac:dyDescent="0.2">
      <c r="BJ42241" s="201"/>
    </row>
    <row r="42242" spans="62:62" x14ac:dyDescent="0.2">
      <c r="BJ42242" s="201"/>
    </row>
    <row r="42243" spans="62:62" x14ac:dyDescent="0.2">
      <c r="BJ42243" s="201"/>
    </row>
    <row r="42244" spans="62:62" x14ac:dyDescent="0.2">
      <c r="BJ42244" s="201"/>
    </row>
    <row r="42245" spans="62:62" x14ac:dyDescent="0.2">
      <c r="BJ42245" s="201"/>
    </row>
    <row r="42246" spans="62:62" x14ac:dyDescent="0.2">
      <c r="BJ42246" s="201"/>
    </row>
    <row r="42247" spans="62:62" x14ac:dyDescent="0.2">
      <c r="BJ42247" s="201"/>
    </row>
    <row r="42248" spans="62:62" x14ac:dyDescent="0.2">
      <c r="BJ42248" s="201"/>
    </row>
    <row r="42249" spans="62:62" x14ac:dyDescent="0.2">
      <c r="BJ42249" s="201"/>
    </row>
    <row r="42250" spans="62:62" x14ac:dyDescent="0.2">
      <c r="BJ42250" s="201"/>
    </row>
    <row r="42251" spans="62:62" x14ac:dyDescent="0.2">
      <c r="BJ42251" s="201"/>
    </row>
    <row r="42252" spans="62:62" x14ac:dyDescent="0.2">
      <c r="BJ42252" s="201"/>
    </row>
    <row r="42253" spans="62:62" x14ac:dyDescent="0.2">
      <c r="BJ42253" s="201"/>
    </row>
    <row r="42254" spans="62:62" x14ac:dyDescent="0.2">
      <c r="BJ42254" s="201"/>
    </row>
    <row r="42255" spans="62:62" x14ac:dyDescent="0.2">
      <c r="BJ42255" s="201"/>
    </row>
    <row r="42256" spans="62:62" x14ac:dyDescent="0.2">
      <c r="BJ42256" s="201"/>
    </row>
    <row r="42257" spans="62:62" x14ac:dyDescent="0.2">
      <c r="BJ42257" s="201"/>
    </row>
    <row r="42258" spans="62:62" x14ac:dyDescent="0.2">
      <c r="BJ42258" s="201"/>
    </row>
    <row r="42259" spans="62:62" x14ac:dyDescent="0.2">
      <c r="BJ42259" s="201"/>
    </row>
    <row r="42260" spans="62:62" x14ac:dyDescent="0.2">
      <c r="BJ42260" s="201"/>
    </row>
    <row r="42261" spans="62:62" x14ac:dyDescent="0.2">
      <c r="BJ42261" s="201"/>
    </row>
    <row r="42262" spans="62:62" x14ac:dyDescent="0.2">
      <c r="BJ42262" s="201"/>
    </row>
    <row r="42263" spans="62:62" x14ac:dyDescent="0.2">
      <c r="BJ42263" s="201"/>
    </row>
    <row r="42264" spans="62:62" x14ac:dyDescent="0.2">
      <c r="BJ42264" s="201"/>
    </row>
    <row r="42265" spans="62:62" x14ac:dyDescent="0.2">
      <c r="BJ42265" s="201"/>
    </row>
    <row r="42266" spans="62:62" x14ac:dyDescent="0.2">
      <c r="BJ42266" s="201"/>
    </row>
    <row r="42267" spans="62:62" x14ac:dyDescent="0.2">
      <c r="BJ42267" s="201"/>
    </row>
    <row r="42268" spans="62:62" x14ac:dyDescent="0.2">
      <c r="BJ42268" s="201"/>
    </row>
    <row r="42269" spans="62:62" x14ac:dyDescent="0.2">
      <c r="BJ42269" s="201"/>
    </row>
    <row r="42270" spans="62:62" x14ac:dyDescent="0.2">
      <c r="BJ42270" s="201"/>
    </row>
    <row r="42271" spans="62:62" x14ac:dyDescent="0.2">
      <c r="BJ42271" s="201"/>
    </row>
    <row r="42272" spans="62:62" x14ac:dyDescent="0.2">
      <c r="BJ42272" s="201"/>
    </row>
    <row r="42273" spans="62:62" x14ac:dyDescent="0.2">
      <c r="BJ42273" s="201"/>
    </row>
    <row r="42274" spans="62:62" x14ac:dyDescent="0.2">
      <c r="BJ42274" s="201"/>
    </row>
    <row r="42275" spans="62:62" x14ac:dyDescent="0.2">
      <c r="BJ42275" s="201"/>
    </row>
    <row r="42276" spans="62:62" x14ac:dyDescent="0.2">
      <c r="BJ42276" s="201"/>
    </row>
    <row r="42277" spans="62:62" x14ac:dyDescent="0.2">
      <c r="BJ42277" s="201"/>
    </row>
    <row r="42278" spans="62:62" x14ac:dyDescent="0.2">
      <c r="BJ42278" s="201"/>
    </row>
    <row r="42279" spans="62:62" x14ac:dyDescent="0.2">
      <c r="BJ42279" s="201"/>
    </row>
    <row r="42280" spans="62:62" x14ac:dyDescent="0.2">
      <c r="BJ42280" s="201"/>
    </row>
    <row r="42281" spans="62:62" x14ac:dyDescent="0.2">
      <c r="BJ42281" s="201"/>
    </row>
    <row r="42282" spans="62:62" x14ac:dyDescent="0.2">
      <c r="BJ42282" s="201"/>
    </row>
    <row r="42283" spans="62:62" x14ac:dyDescent="0.2">
      <c r="BJ42283" s="201"/>
    </row>
    <row r="42284" spans="62:62" x14ac:dyDescent="0.2">
      <c r="BJ42284" s="201"/>
    </row>
    <row r="42285" spans="62:62" x14ac:dyDescent="0.2">
      <c r="BJ42285" s="201"/>
    </row>
    <row r="42286" spans="62:62" x14ac:dyDescent="0.2">
      <c r="BJ42286" s="201"/>
    </row>
    <row r="42287" spans="62:62" x14ac:dyDescent="0.2">
      <c r="BJ42287" s="201"/>
    </row>
    <row r="42288" spans="62:62" x14ac:dyDescent="0.2">
      <c r="BJ42288" s="201"/>
    </row>
    <row r="42289" spans="62:62" x14ac:dyDescent="0.2">
      <c r="BJ42289" s="201"/>
    </row>
    <row r="42290" spans="62:62" x14ac:dyDescent="0.2">
      <c r="BJ42290" s="201"/>
    </row>
    <row r="42291" spans="62:62" x14ac:dyDescent="0.2">
      <c r="BJ42291" s="201"/>
    </row>
    <row r="42292" spans="62:62" x14ac:dyDescent="0.2">
      <c r="BJ42292" s="201"/>
    </row>
    <row r="42293" spans="62:62" x14ac:dyDescent="0.2">
      <c r="BJ42293" s="201"/>
    </row>
    <row r="42294" spans="62:62" x14ac:dyDescent="0.2">
      <c r="BJ42294" s="201"/>
    </row>
    <row r="42295" spans="62:62" x14ac:dyDescent="0.2">
      <c r="BJ42295" s="201"/>
    </row>
    <row r="42296" spans="62:62" x14ac:dyDescent="0.2">
      <c r="BJ42296" s="201"/>
    </row>
    <row r="42297" spans="62:62" x14ac:dyDescent="0.2">
      <c r="BJ42297" s="201"/>
    </row>
    <row r="42298" spans="62:62" x14ac:dyDescent="0.2">
      <c r="BJ42298" s="201"/>
    </row>
    <row r="42299" spans="62:62" x14ac:dyDescent="0.2">
      <c r="BJ42299" s="201"/>
    </row>
    <row r="42300" spans="62:62" x14ac:dyDescent="0.2">
      <c r="BJ42300" s="201"/>
    </row>
    <row r="42301" spans="62:62" x14ac:dyDescent="0.2">
      <c r="BJ42301" s="201"/>
    </row>
    <row r="42302" spans="62:62" x14ac:dyDescent="0.2">
      <c r="BJ42302" s="201"/>
    </row>
    <row r="42303" spans="62:62" x14ac:dyDescent="0.2">
      <c r="BJ42303" s="201"/>
    </row>
    <row r="42304" spans="62:62" x14ac:dyDescent="0.2">
      <c r="BJ42304" s="201"/>
    </row>
    <row r="42305" spans="62:62" x14ac:dyDescent="0.2">
      <c r="BJ42305" s="201"/>
    </row>
    <row r="42306" spans="62:62" x14ac:dyDescent="0.2">
      <c r="BJ42306" s="201"/>
    </row>
    <row r="42307" spans="62:62" x14ac:dyDescent="0.2">
      <c r="BJ42307" s="201"/>
    </row>
    <row r="42308" spans="62:62" x14ac:dyDescent="0.2">
      <c r="BJ42308" s="201"/>
    </row>
    <row r="42309" spans="62:62" x14ac:dyDescent="0.2">
      <c r="BJ42309" s="201"/>
    </row>
    <row r="42310" spans="62:62" x14ac:dyDescent="0.2">
      <c r="BJ42310" s="201"/>
    </row>
    <row r="42311" spans="62:62" x14ac:dyDescent="0.2">
      <c r="BJ42311" s="201"/>
    </row>
    <row r="42312" spans="62:62" x14ac:dyDescent="0.2">
      <c r="BJ42312" s="201"/>
    </row>
    <row r="42313" spans="62:62" x14ac:dyDescent="0.2">
      <c r="BJ42313" s="201"/>
    </row>
    <row r="42314" spans="62:62" x14ac:dyDescent="0.2">
      <c r="BJ42314" s="201"/>
    </row>
    <row r="42315" spans="62:62" x14ac:dyDescent="0.2">
      <c r="BJ42315" s="201"/>
    </row>
    <row r="42316" spans="62:62" x14ac:dyDescent="0.2">
      <c r="BJ42316" s="201"/>
    </row>
    <row r="42317" spans="62:62" x14ac:dyDescent="0.2">
      <c r="BJ42317" s="201"/>
    </row>
    <row r="42318" spans="62:62" x14ac:dyDescent="0.2">
      <c r="BJ42318" s="201"/>
    </row>
    <row r="42319" spans="62:62" x14ac:dyDescent="0.2">
      <c r="BJ42319" s="201"/>
    </row>
    <row r="42320" spans="62:62" x14ac:dyDescent="0.2">
      <c r="BJ42320" s="201"/>
    </row>
    <row r="42321" spans="62:62" x14ac:dyDescent="0.2">
      <c r="BJ42321" s="201"/>
    </row>
    <row r="42322" spans="62:62" x14ac:dyDescent="0.2">
      <c r="BJ42322" s="201"/>
    </row>
    <row r="42323" spans="62:62" x14ac:dyDescent="0.2">
      <c r="BJ42323" s="201"/>
    </row>
    <row r="42324" spans="62:62" x14ac:dyDescent="0.2">
      <c r="BJ42324" s="201"/>
    </row>
    <row r="42325" spans="62:62" x14ac:dyDescent="0.2">
      <c r="BJ42325" s="201"/>
    </row>
    <row r="42326" spans="62:62" x14ac:dyDescent="0.2">
      <c r="BJ42326" s="201"/>
    </row>
    <row r="42327" spans="62:62" x14ac:dyDescent="0.2">
      <c r="BJ42327" s="201"/>
    </row>
    <row r="42328" spans="62:62" x14ac:dyDescent="0.2">
      <c r="BJ42328" s="201"/>
    </row>
    <row r="42329" spans="62:62" x14ac:dyDescent="0.2">
      <c r="BJ42329" s="201"/>
    </row>
    <row r="42330" spans="62:62" x14ac:dyDescent="0.2">
      <c r="BJ42330" s="201"/>
    </row>
    <row r="42331" spans="62:62" x14ac:dyDescent="0.2">
      <c r="BJ42331" s="201"/>
    </row>
    <row r="42332" spans="62:62" x14ac:dyDescent="0.2">
      <c r="BJ42332" s="201"/>
    </row>
    <row r="42333" spans="62:62" x14ac:dyDescent="0.2">
      <c r="BJ42333" s="201"/>
    </row>
    <row r="42334" spans="62:62" x14ac:dyDescent="0.2">
      <c r="BJ42334" s="201"/>
    </row>
    <row r="42335" spans="62:62" x14ac:dyDescent="0.2">
      <c r="BJ42335" s="201"/>
    </row>
    <row r="42336" spans="62:62" x14ac:dyDescent="0.2">
      <c r="BJ42336" s="201"/>
    </row>
    <row r="42337" spans="62:62" x14ac:dyDescent="0.2">
      <c r="BJ42337" s="201"/>
    </row>
    <row r="42338" spans="62:62" x14ac:dyDescent="0.2">
      <c r="BJ42338" s="201"/>
    </row>
    <row r="42339" spans="62:62" x14ac:dyDescent="0.2">
      <c r="BJ42339" s="201"/>
    </row>
    <row r="42340" spans="62:62" x14ac:dyDescent="0.2">
      <c r="BJ42340" s="201"/>
    </row>
    <row r="42341" spans="62:62" x14ac:dyDescent="0.2">
      <c r="BJ42341" s="201"/>
    </row>
    <row r="42342" spans="62:62" x14ac:dyDescent="0.2">
      <c r="BJ42342" s="201"/>
    </row>
    <row r="42343" spans="62:62" x14ac:dyDescent="0.2">
      <c r="BJ42343" s="201"/>
    </row>
    <row r="42344" spans="62:62" x14ac:dyDescent="0.2">
      <c r="BJ42344" s="201"/>
    </row>
    <row r="42345" spans="62:62" x14ac:dyDescent="0.2">
      <c r="BJ42345" s="201"/>
    </row>
    <row r="42346" spans="62:62" x14ac:dyDescent="0.2">
      <c r="BJ42346" s="201"/>
    </row>
    <row r="42347" spans="62:62" x14ac:dyDescent="0.2">
      <c r="BJ42347" s="201"/>
    </row>
    <row r="42348" spans="62:62" x14ac:dyDescent="0.2">
      <c r="BJ42348" s="201"/>
    </row>
    <row r="42349" spans="62:62" x14ac:dyDescent="0.2">
      <c r="BJ42349" s="201"/>
    </row>
    <row r="42350" spans="62:62" x14ac:dyDescent="0.2">
      <c r="BJ42350" s="201"/>
    </row>
    <row r="42351" spans="62:62" x14ac:dyDescent="0.2">
      <c r="BJ42351" s="201"/>
    </row>
    <row r="42352" spans="62:62" x14ac:dyDescent="0.2">
      <c r="BJ42352" s="201"/>
    </row>
    <row r="42353" spans="62:62" x14ac:dyDescent="0.2">
      <c r="BJ42353" s="201"/>
    </row>
    <row r="42354" spans="62:62" x14ac:dyDescent="0.2">
      <c r="BJ42354" s="201"/>
    </row>
    <row r="42355" spans="62:62" x14ac:dyDescent="0.2">
      <c r="BJ42355" s="201"/>
    </row>
    <row r="42356" spans="62:62" x14ac:dyDescent="0.2">
      <c r="BJ42356" s="201"/>
    </row>
    <row r="42357" spans="62:62" x14ac:dyDescent="0.2">
      <c r="BJ42357" s="201"/>
    </row>
    <row r="42358" spans="62:62" x14ac:dyDescent="0.2">
      <c r="BJ42358" s="201"/>
    </row>
    <row r="42359" spans="62:62" x14ac:dyDescent="0.2">
      <c r="BJ42359" s="201"/>
    </row>
    <row r="42360" spans="62:62" x14ac:dyDescent="0.2">
      <c r="BJ42360" s="201"/>
    </row>
    <row r="42361" spans="62:62" x14ac:dyDescent="0.2">
      <c r="BJ42361" s="201"/>
    </row>
    <row r="42362" spans="62:62" x14ac:dyDescent="0.2">
      <c r="BJ42362" s="201"/>
    </row>
    <row r="42363" spans="62:62" x14ac:dyDescent="0.2">
      <c r="BJ42363" s="201"/>
    </row>
    <row r="42364" spans="62:62" x14ac:dyDescent="0.2">
      <c r="BJ42364" s="201"/>
    </row>
    <row r="42365" spans="62:62" x14ac:dyDescent="0.2">
      <c r="BJ42365" s="201"/>
    </row>
    <row r="42366" spans="62:62" x14ac:dyDescent="0.2">
      <c r="BJ42366" s="201"/>
    </row>
    <row r="42367" spans="62:62" x14ac:dyDescent="0.2">
      <c r="BJ42367" s="201"/>
    </row>
    <row r="42368" spans="62:62" x14ac:dyDescent="0.2">
      <c r="BJ42368" s="201"/>
    </row>
    <row r="42369" spans="62:62" x14ac:dyDescent="0.2">
      <c r="BJ42369" s="201"/>
    </row>
    <row r="42370" spans="62:62" x14ac:dyDescent="0.2">
      <c r="BJ42370" s="201"/>
    </row>
    <row r="42371" spans="62:62" x14ac:dyDescent="0.2">
      <c r="BJ42371" s="201"/>
    </row>
    <row r="42372" spans="62:62" x14ac:dyDescent="0.2">
      <c r="BJ42372" s="201"/>
    </row>
    <row r="42373" spans="62:62" x14ac:dyDescent="0.2">
      <c r="BJ42373" s="201"/>
    </row>
    <row r="42374" spans="62:62" x14ac:dyDescent="0.2">
      <c r="BJ42374" s="201"/>
    </row>
    <row r="42375" spans="62:62" x14ac:dyDescent="0.2">
      <c r="BJ42375" s="201"/>
    </row>
    <row r="42376" spans="62:62" x14ac:dyDescent="0.2">
      <c r="BJ42376" s="201"/>
    </row>
    <row r="42377" spans="62:62" x14ac:dyDescent="0.2">
      <c r="BJ42377" s="201"/>
    </row>
    <row r="42378" spans="62:62" x14ac:dyDescent="0.2">
      <c r="BJ42378" s="201"/>
    </row>
    <row r="42379" spans="62:62" x14ac:dyDescent="0.2">
      <c r="BJ42379" s="201"/>
    </row>
    <row r="42380" spans="62:62" x14ac:dyDescent="0.2">
      <c r="BJ42380" s="201"/>
    </row>
    <row r="42381" spans="62:62" x14ac:dyDescent="0.2">
      <c r="BJ42381" s="201"/>
    </row>
    <row r="42382" spans="62:62" x14ac:dyDescent="0.2">
      <c r="BJ42382" s="201"/>
    </row>
    <row r="42383" spans="62:62" x14ac:dyDescent="0.2">
      <c r="BJ42383" s="201"/>
    </row>
    <row r="42384" spans="62:62" x14ac:dyDescent="0.2">
      <c r="BJ42384" s="201"/>
    </row>
    <row r="42385" spans="62:62" x14ac:dyDescent="0.2">
      <c r="BJ42385" s="201"/>
    </row>
    <row r="42386" spans="62:62" x14ac:dyDescent="0.2">
      <c r="BJ42386" s="201"/>
    </row>
    <row r="42387" spans="62:62" x14ac:dyDescent="0.2">
      <c r="BJ42387" s="201"/>
    </row>
    <row r="42388" spans="62:62" x14ac:dyDescent="0.2">
      <c r="BJ42388" s="201"/>
    </row>
    <row r="42389" spans="62:62" x14ac:dyDescent="0.2">
      <c r="BJ42389" s="201"/>
    </row>
    <row r="42390" spans="62:62" x14ac:dyDescent="0.2">
      <c r="BJ42390" s="201"/>
    </row>
    <row r="42391" spans="62:62" x14ac:dyDescent="0.2">
      <c r="BJ42391" s="201"/>
    </row>
    <row r="42392" spans="62:62" x14ac:dyDescent="0.2">
      <c r="BJ42392" s="201"/>
    </row>
    <row r="42393" spans="62:62" x14ac:dyDescent="0.2">
      <c r="BJ42393" s="201"/>
    </row>
    <row r="42394" spans="62:62" x14ac:dyDescent="0.2">
      <c r="BJ42394" s="201"/>
    </row>
    <row r="42395" spans="62:62" x14ac:dyDescent="0.2">
      <c r="BJ42395" s="201"/>
    </row>
    <row r="42396" spans="62:62" x14ac:dyDescent="0.2">
      <c r="BJ42396" s="201"/>
    </row>
    <row r="42397" spans="62:62" x14ac:dyDescent="0.2">
      <c r="BJ42397" s="201"/>
    </row>
    <row r="42398" spans="62:62" x14ac:dyDescent="0.2">
      <c r="BJ42398" s="201"/>
    </row>
    <row r="42399" spans="62:62" x14ac:dyDescent="0.2">
      <c r="BJ42399" s="201"/>
    </row>
    <row r="42400" spans="62:62" x14ac:dyDescent="0.2">
      <c r="BJ42400" s="201"/>
    </row>
    <row r="42401" spans="62:62" x14ac:dyDescent="0.2">
      <c r="BJ42401" s="201"/>
    </row>
    <row r="42402" spans="62:62" x14ac:dyDescent="0.2">
      <c r="BJ42402" s="201"/>
    </row>
    <row r="42403" spans="62:62" x14ac:dyDescent="0.2">
      <c r="BJ42403" s="201"/>
    </row>
    <row r="42404" spans="62:62" x14ac:dyDescent="0.2">
      <c r="BJ42404" s="201"/>
    </row>
    <row r="42405" spans="62:62" x14ac:dyDescent="0.2">
      <c r="BJ42405" s="201"/>
    </row>
    <row r="42406" spans="62:62" x14ac:dyDescent="0.2">
      <c r="BJ42406" s="201"/>
    </row>
    <row r="42407" spans="62:62" x14ac:dyDescent="0.2">
      <c r="BJ42407" s="201"/>
    </row>
    <row r="42408" spans="62:62" x14ac:dyDescent="0.2">
      <c r="BJ42408" s="201"/>
    </row>
    <row r="42409" spans="62:62" x14ac:dyDescent="0.2">
      <c r="BJ42409" s="201"/>
    </row>
    <row r="42410" spans="62:62" x14ac:dyDescent="0.2">
      <c r="BJ42410" s="201"/>
    </row>
    <row r="42411" spans="62:62" x14ac:dyDescent="0.2">
      <c r="BJ42411" s="201"/>
    </row>
    <row r="42412" spans="62:62" x14ac:dyDescent="0.2">
      <c r="BJ42412" s="201"/>
    </row>
    <row r="42413" spans="62:62" x14ac:dyDescent="0.2">
      <c r="BJ42413" s="201"/>
    </row>
    <row r="42414" spans="62:62" x14ac:dyDescent="0.2">
      <c r="BJ42414" s="201"/>
    </row>
    <row r="42415" spans="62:62" x14ac:dyDescent="0.2">
      <c r="BJ42415" s="201"/>
    </row>
    <row r="42416" spans="62:62" x14ac:dyDescent="0.2">
      <c r="BJ42416" s="201"/>
    </row>
    <row r="42417" spans="62:62" x14ac:dyDescent="0.2">
      <c r="BJ42417" s="201"/>
    </row>
    <row r="42418" spans="62:62" x14ac:dyDescent="0.2">
      <c r="BJ42418" s="201"/>
    </row>
    <row r="42419" spans="62:62" x14ac:dyDescent="0.2">
      <c r="BJ42419" s="201"/>
    </row>
    <row r="42420" spans="62:62" x14ac:dyDescent="0.2">
      <c r="BJ42420" s="201"/>
    </row>
    <row r="42421" spans="62:62" x14ac:dyDescent="0.2">
      <c r="BJ42421" s="201"/>
    </row>
    <row r="42422" spans="62:62" x14ac:dyDescent="0.2">
      <c r="BJ42422" s="201"/>
    </row>
    <row r="42423" spans="62:62" x14ac:dyDescent="0.2">
      <c r="BJ42423" s="201"/>
    </row>
    <row r="42424" spans="62:62" x14ac:dyDescent="0.2">
      <c r="BJ42424" s="201"/>
    </row>
    <row r="42425" spans="62:62" x14ac:dyDescent="0.2">
      <c r="BJ42425" s="201"/>
    </row>
    <row r="42426" spans="62:62" x14ac:dyDescent="0.2">
      <c r="BJ42426" s="201"/>
    </row>
    <row r="42427" spans="62:62" x14ac:dyDescent="0.2">
      <c r="BJ42427" s="201"/>
    </row>
    <row r="42428" spans="62:62" x14ac:dyDescent="0.2">
      <c r="BJ42428" s="201"/>
    </row>
    <row r="42429" spans="62:62" x14ac:dyDescent="0.2">
      <c r="BJ42429" s="201"/>
    </row>
    <row r="42430" spans="62:62" x14ac:dyDescent="0.2">
      <c r="BJ42430" s="201"/>
    </row>
    <row r="42431" spans="62:62" x14ac:dyDescent="0.2">
      <c r="BJ42431" s="201"/>
    </row>
    <row r="42432" spans="62:62" x14ac:dyDescent="0.2">
      <c r="BJ42432" s="201"/>
    </row>
    <row r="42433" spans="62:62" x14ac:dyDescent="0.2">
      <c r="BJ42433" s="201"/>
    </row>
    <row r="42434" spans="62:62" x14ac:dyDescent="0.2">
      <c r="BJ42434" s="201"/>
    </row>
    <row r="42435" spans="62:62" x14ac:dyDescent="0.2">
      <c r="BJ42435" s="201"/>
    </row>
    <row r="42436" spans="62:62" x14ac:dyDescent="0.2">
      <c r="BJ42436" s="201"/>
    </row>
    <row r="42437" spans="62:62" x14ac:dyDescent="0.2">
      <c r="BJ42437" s="201"/>
    </row>
    <row r="42438" spans="62:62" x14ac:dyDescent="0.2">
      <c r="BJ42438" s="201"/>
    </row>
    <row r="42439" spans="62:62" x14ac:dyDescent="0.2">
      <c r="BJ42439" s="201"/>
    </row>
    <row r="42440" spans="62:62" x14ac:dyDescent="0.2">
      <c r="BJ42440" s="201"/>
    </row>
    <row r="42441" spans="62:62" x14ac:dyDescent="0.2">
      <c r="BJ42441" s="201"/>
    </row>
    <row r="42442" spans="62:62" x14ac:dyDescent="0.2">
      <c r="BJ42442" s="201"/>
    </row>
    <row r="42443" spans="62:62" x14ac:dyDescent="0.2">
      <c r="BJ42443" s="201"/>
    </row>
    <row r="42444" spans="62:62" x14ac:dyDescent="0.2">
      <c r="BJ42444" s="201"/>
    </row>
    <row r="42445" spans="62:62" x14ac:dyDescent="0.2">
      <c r="BJ42445" s="201"/>
    </row>
    <row r="42446" spans="62:62" x14ac:dyDescent="0.2">
      <c r="BJ42446" s="201"/>
    </row>
    <row r="42447" spans="62:62" x14ac:dyDescent="0.2">
      <c r="BJ42447" s="201"/>
    </row>
    <row r="42448" spans="62:62" x14ac:dyDescent="0.2">
      <c r="BJ42448" s="201"/>
    </row>
    <row r="42449" spans="62:62" x14ac:dyDescent="0.2">
      <c r="BJ42449" s="201"/>
    </row>
    <row r="42450" spans="62:62" x14ac:dyDescent="0.2">
      <c r="BJ42450" s="201"/>
    </row>
    <row r="42451" spans="62:62" x14ac:dyDescent="0.2">
      <c r="BJ42451" s="201"/>
    </row>
    <row r="42452" spans="62:62" x14ac:dyDescent="0.2">
      <c r="BJ42452" s="201"/>
    </row>
    <row r="42453" spans="62:62" x14ac:dyDescent="0.2">
      <c r="BJ42453" s="201"/>
    </row>
    <row r="42454" spans="62:62" x14ac:dyDescent="0.2">
      <c r="BJ42454" s="201"/>
    </row>
    <row r="42455" spans="62:62" x14ac:dyDescent="0.2">
      <c r="BJ42455" s="201"/>
    </row>
    <row r="42456" spans="62:62" x14ac:dyDescent="0.2">
      <c r="BJ42456" s="201"/>
    </row>
    <row r="42457" spans="62:62" x14ac:dyDescent="0.2">
      <c r="BJ42457" s="201"/>
    </row>
    <row r="42458" spans="62:62" x14ac:dyDescent="0.2">
      <c r="BJ42458" s="201"/>
    </row>
    <row r="42459" spans="62:62" x14ac:dyDescent="0.2">
      <c r="BJ42459" s="201"/>
    </row>
    <row r="42460" spans="62:62" x14ac:dyDescent="0.2">
      <c r="BJ42460" s="201"/>
    </row>
    <row r="42461" spans="62:62" x14ac:dyDescent="0.2">
      <c r="BJ42461" s="201"/>
    </row>
    <row r="42462" spans="62:62" x14ac:dyDescent="0.2">
      <c r="BJ42462" s="201"/>
    </row>
    <row r="42463" spans="62:62" x14ac:dyDescent="0.2">
      <c r="BJ42463" s="201"/>
    </row>
    <row r="42464" spans="62:62" x14ac:dyDescent="0.2">
      <c r="BJ42464" s="201"/>
    </row>
    <row r="42465" spans="62:62" x14ac:dyDescent="0.2">
      <c r="BJ42465" s="201"/>
    </row>
    <row r="42466" spans="62:62" x14ac:dyDescent="0.2">
      <c r="BJ42466" s="201"/>
    </row>
    <row r="42467" spans="62:62" x14ac:dyDescent="0.2">
      <c r="BJ42467" s="201"/>
    </row>
    <row r="42468" spans="62:62" x14ac:dyDescent="0.2">
      <c r="BJ42468" s="201"/>
    </row>
    <row r="42469" spans="62:62" x14ac:dyDescent="0.2">
      <c r="BJ42469" s="201"/>
    </row>
    <row r="42470" spans="62:62" x14ac:dyDescent="0.2">
      <c r="BJ42470" s="201"/>
    </row>
    <row r="42471" spans="62:62" x14ac:dyDescent="0.2">
      <c r="BJ42471" s="201"/>
    </row>
    <row r="42472" spans="62:62" x14ac:dyDescent="0.2">
      <c r="BJ42472" s="201"/>
    </row>
    <row r="42473" spans="62:62" x14ac:dyDescent="0.2">
      <c r="BJ42473" s="201"/>
    </row>
    <row r="42474" spans="62:62" x14ac:dyDescent="0.2">
      <c r="BJ42474" s="201"/>
    </row>
    <row r="42475" spans="62:62" x14ac:dyDescent="0.2">
      <c r="BJ42475" s="201"/>
    </row>
    <row r="42476" spans="62:62" x14ac:dyDescent="0.2">
      <c r="BJ42476" s="201"/>
    </row>
    <row r="42477" spans="62:62" x14ac:dyDescent="0.2">
      <c r="BJ42477" s="201"/>
    </row>
    <row r="42478" spans="62:62" x14ac:dyDescent="0.2">
      <c r="BJ42478" s="201"/>
    </row>
    <row r="42479" spans="62:62" x14ac:dyDescent="0.2">
      <c r="BJ42479" s="201"/>
    </row>
    <row r="42480" spans="62:62" x14ac:dyDescent="0.2">
      <c r="BJ42480" s="201"/>
    </row>
    <row r="42481" spans="62:62" x14ac:dyDescent="0.2">
      <c r="BJ42481" s="201"/>
    </row>
    <row r="42482" spans="62:62" x14ac:dyDescent="0.2">
      <c r="BJ42482" s="201"/>
    </row>
    <row r="42483" spans="62:62" x14ac:dyDescent="0.2">
      <c r="BJ42483" s="201"/>
    </row>
    <row r="42484" spans="62:62" x14ac:dyDescent="0.2">
      <c r="BJ42484" s="201"/>
    </row>
    <row r="42485" spans="62:62" x14ac:dyDescent="0.2">
      <c r="BJ42485" s="201"/>
    </row>
    <row r="42486" spans="62:62" x14ac:dyDescent="0.2">
      <c r="BJ42486" s="201"/>
    </row>
    <row r="42487" spans="62:62" x14ac:dyDescent="0.2">
      <c r="BJ42487" s="201"/>
    </row>
    <row r="42488" spans="62:62" x14ac:dyDescent="0.2">
      <c r="BJ42488" s="201"/>
    </row>
    <row r="42489" spans="62:62" x14ac:dyDescent="0.2">
      <c r="BJ42489" s="201"/>
    </row>
    <row r="42490" spans="62:62" x14ac:dyDescent="0.2">
      <c r="BJ42490" s="201"/>
    </row>
    <row r="42491" spans="62:62" x14ac:dyDescent="0.2">
      <c r="BJ42491" s="201"/>
    </row>
    <row r="42492" spans="62:62" x14ac:dyDescent="0.2">
      <c r="BJ42492" s="201"/>
    </row>
    <row r="42493" spans="62:62" x14ac:dyDescent="0.2">
      <c r="BJ42493" s="201"/>
    </row>
    <row r="42494" spans="62:62" x14ac:dyDescent="0.2">
      <c r="BJ42494" s="201"/>
    </row>
    <row r="42495" spans="62:62" x14ac:dyDescent="0.2">
      <c r="BJ42495" s="201"/>
    </row>
    <row r="42496" spans="62:62" x14ac:dyDescent="0.2">
      <c r="BJ42496" s="201"/>
    </row>
    <row r="42497" spans="62:62" x14ac:dyDescent="0.2">
      <c r="BJ42497" s="201"/>
    </row>
    <row r="42498" spans="62:62" x14ac:dyDescent="0.2">
      <c r="BJ42498" s="201"/>
    </row>
    <row r="42499" spans="62:62" x14ac:dyDescent="0.2">
      <c r="BJ42499" s="201"/>
    </row>
    <row r="42500" spans="62:62" x14ac:dyDescent="0.2">
      <c r="BJ42500" s="201"/>
    </row>
    <row r="42501" spans="62:62" x14ac:dyDescent="0.2">
      <c r="BJ42501" s="201"/>
    </row>
    <row r="42502" spans="62:62" x14ac:dyDescent="0.2">
      <c r="BJ42502" s="201"/>
    </row>
    <row r="42503" spans="62:62" x14ac:dyDescent="0.2">
      <c r="BJ42503" s="201"/>
    </row>
    <row r="42504" spans="62:62" x14ac:dyDescent="0.2">
      <c r="BJ42504" s="201"/>
    </row>
    <row r="42505" spans="62:62" x14ac:dyDescent="0.2">
      <c r="BJ42505" s="201"/>
    </row>
    <row r="42506" spans="62:62" x14ac:dyDescent="0.2">
      <c r="BJ42506" s="201"/>
    </row>
    <row r="42507" spans="62:62" x14ac:dyDescent="0.2">
      <c r="BJ42507" s="201"/>
    </row>
    <row r="42508" spans="62:62" x14ac:dyDescent="0.2">
      <c r="BJ42508" s="201"/>
    </row>
    <row r="42509" spans="62:62" x14ac:dyDescent="0.2">
      <c r="BJ42509" s="201"/>
    </row>
    <row r="42510" spans="62:62" x14ac:dyDescent="0.2">
      <c r="BJ42510" s="201"/>
    </row>
    <row r="42511" spans="62:62" x14ac:dyDescent="0.2">
      <c r="BJ42511" s="201"/>
    </row>
    <row r="42512" spans="62:62" x14ac:dyDescent="0.2">
      <c r="BJ42512" s="201"/>
    </row>
    <row r="42513" spans="62:62" x14ac:dyDescent="0.2">
      <c r="BJ42513" s="201"/>
    </row>
    <row r="42514" spans="62:62" x14ac:dyDescent="0.2">
      <c r="BJ42514" s="201"/>
    </row>
    <row r="42515" spans="62:62" x14ac:dyDescent="0.2">
      <c r="BJ42515" s="201"/>
    </row>
    <row r="42516" spans="62:62" x14ac:dyDescent="0.2">
      <c r="BJ42516" s="201"/>
    </row>
    <row r="42517" spans="62:62" x14ac:dyDescent="0.2">
      <c r="BJ42517" s="201"/>
    </row>
    <row r="42518" spans="62:62" x14ac:dyDescent="0.2">
      <c r="BJ42518" s="201"/>
    </row>
    <row r="42519" spans="62:62" x14ac:dyDescent="0.2">
      <c r="BJ42519" s="201"/>
    </row>
    <row r="42520" spans="62:62" x14ac:dyDescent="0.2">
      <c r="BJ42520" s="201"/>
    </row>
    <row r="42521" spans="62:62" x14ac:dyDescent="0.2">
      <c r="BJ42521" s="201"/>
    </row>
    <row r="42522" spans="62:62" x14ac:dyDescent="0.2">
      <c r="BJ42522" s="201"/>
    </row>
    <row r="42523" spans="62:62" x14ac:dyDescent="0.2">
      <c r="BJ42523" s="201"/>
    </row>
    <row r="42524" spans="62:62" x14ac:dyDescent="0.2">
      <c r="BJ42524" s="201"/>
    </row>
    <row r="42525" spans="62:62" x14ac:dyDescent="0.2">
      <c r="BJ42525" s="201"/>
    </row>
    <row r="42526" spans="62:62" x14ac:dyDescent="0.2">
      <c r="BJ42526" s="201"/>
    </row>
    <row r="42527" spans="62:62" x14ac:dyDescent="0.2">
      <c r="BJ42527" s="201"/>
    </row>
    <row r="42528" spans="62:62" x14ac:dyDescent="0.2">
      <c r="BJ42528" s="201"/>
    </row>
    <row r="42529" spans="62:62" x14ac:dyDescent="0.2">
      <c r="BJ42529" s="201"/>
    </row>
    <row r="42530" spans="62:62" x14ac:dyDescent="0.2">
      <c r="BJ42530" s="201"/>
    </row>
    <row r="42531" spans="62:62" x14ac:dyDescent="0.2">
      <c r="BJ42531" s="201"/>
    </row>
    <row r="42532" spans="62:62" x14ac:dyDescent="0.2">
      <c r="BJ42532" s="201"/>
    </row>
    <row r="42533" spans="62:62" x14ac:dyDescent="0.2">
      <c r="BJ42533" s="201"/>
    </row>
    <row r="42534" spans="62:62" x14ac:dyDescent="0.2">
      <c r="BJ42534" s="201"/>
    </row>
    <row r="42535" spans="62:62" x14ac:dyDescent="0.2">
      <c r="BJ42535" s="201"/>
    </row>
    <row r="42536" spans="62:62" x14ac:dyDescent="0.2">
      <c r="BJ42536" s="201"/>
    </row>
    <row r="42537" spans="62:62" x14ac:dyDescent="0.2">
      <c r="BJ42537" s="201"/>
    </row>
    <row r="42538" spans="62:62" x14ac:dyDescent="0.2">
      <c r="BJ42538" s="201"/>
    </row>
    <row r="42539" spans="62:62" x14ac:dyDescent="0.2">
      <c r="BJ42539" s="201"/>
    </row>
    <row r="42540" spans="62:62" x14ac:dyDescent="0.2">
      <c r="BJ42540" s="201"/>
    </row>
    <row r="42541" spans="62:62" x14ac:dyDescent="0.2">
      <c r="BJ42541" s="201"/>
    </row>
    <row r="42542" spans="62:62" x14ac:dyDescent="0.2">
      <c r="BJ42542" s="201"/>
    </row>
    <row r="42543" spans="62:62" x14ac:dyDescent="0.2">
      <c r="BJ42543" s="201"/>
    </row>
    <row r="42544" spans="62:62" x14ac:dyDescent="0.2">
      <c r="BJ42544" s="201"/>
    </row>
    <row r="42545" spans="62:62" x14ac:dyDescent="0.2">
      <c r="BJ42545" s="201"/>
    </row>
    <row r="42546" spans="62:62" x14ac:dyDescent="0.2">
      <c r="BJ42546" s="201"/>
    </row>
    <row r="42547" spans="62:62" x14ac:dyDescent="0.2">
      <c r="BJ42547" s="201"/>
    </row>
    <row r="42548" spans="62:62" x14ac:dyDescent="0.2">
      <c r="BJ42548" s="201"/>
    </row>
    <row r="42549" spans="62:62" x14ac:dyDescent="0.2">
      <c r="BJ42549" s="201"/>
    </row>
    <row r="42550" spans="62:62" x14ac:dyDescent="0.2">
      <c r="BJ42550" s="201"/>
    </row>
    <row r="42551" spans="62:62" x14ac:dyDescent="0.2">
      <c r="BJ42551" s="201"/>
    </row>
    <row r="42552" spans="62:62" x14ac:dyDescent="0.2">
      <c r="BJ42552" s="201"/>
    </row>
    <row r="42553" spans="62:62" x14ac:dyDescent="0.2">
      <c r="BJ42553" s="201"/>
    </row>
    <row r="42554" spans="62:62" x14ac:dyDescent="0.2">
      <c r="BJ42554" s="201"/>
    </row>
    <row r="42555" spans="62:62" x14ac:dyDescent="0.2">
      <c r="BJ42555" s="201"/>
    </row>
    <row r="42556" spans="62:62" x14ac:dyDescent="0.2">
      <c r="BJ42556" s="201"/>
    </row>
    <row r="42557" spans="62:62" x14ac:dyDescent="0.2">
      <c r="BJ42557" s="201"/>
    </row>
    <row r="42558" spans="62:62" x14ac:dyDescent="0.2">
      <c r="BJ42558" s="201"/>
    </row>
    <row r="42559" spans="62:62" x14ac:dyDescent="0.2">
      <c r="BJ42559" s="201"/>
    </row>
    <row r="42560" spans="62:62" x14ac:dyDescent="0.2">
      <c r="BJ42560" s="201"/>
    </row>
    <row r="42561" spans="62:62" x14ac:dyDescent="0.2">
      <c r="BJ42561" s="201"/>
    </row>
    <row r="42562" spans="62:62" x14ac:dyDescent="0.2">
      <c r="BJ42562" s="201"/>
    </row>
    <row r="42563" spans="62:62" x14ac:dyDescent="0.2">
      <c r="BJ42563" s="201"/>
    </row>
    <row r="42564" spans="62:62" x14ac:dyDescent="0.2">
      <c r="BJ42564" s="201"/>
    </row>
    <row r="42565" spans="62:62" x14ac:dyDescent="0.2">
      <c r="BJ42565" s="201"/>
    </row>
    <row r="42566" spans="62:62" x14ac:dyDescent="0.2">
      <c r="BJ42566" s="201"/>
    </row>
    <row r="42567" spans="62:62" x14ac:dyDescent="0.2">
      <c r="BJ42567" s="201"/>
    </row>
    <row r="42568" spans="62:62" x14ac:dyDescent="0.2">
      <c r="BJ42568" s="201"/>
    </row>
    <row r="42569" spans="62:62" x14ac:dyDescent="0.2">
      <c r="BJ42569" s="201"/>
    </row>
    <row r="42570" spans="62:62" x14ac:dyDescent="0.2">
      <c r="BJ42570" s="201"/>
    </row>
    <row r="42571" spans="62:62" x14ac:dyDescent="0.2">
      <c r="BJ42571" s="201"/>
    </row>
    <row r="42572" spans="62:62" x14ac:dyDescent="0.2">
      <c r="BJ42572" s="201"/>
    </row>
    <row r="42573" spans="62:62" x14ac:dyDescent="0.2">
      <c r="BJ42573" s="201"/>
    </row>
    <row r="42574" spans="62:62" x14ac:dyDescent="0.2">
      <c r="BJ42574" s="201"/>
    </row>
    <row r="42575" spans="62:62" x14ac:dyDescent="0.2">
      <c r="BJ42575" s="201"/>
    </row>
    <row r="42576" spans="62:62" x14ac:dyDescent="0.2">
      <c r="BJ42576" s="201"/>
    </row>
    <row r="42577" spans="62:62" x14ac:dyDescent="0.2">
      <c r="BJ42577" s="201"/>
    </row>
    <row r="42578" spans="62:62" x14ac:dyDescent="0.2">
      <c r="BJ42578" s="201"/>
    </row>
    <row r="42579" spans="62:62" x14ac:dyDescent="0.2">
      <c r="BJ42579" s="201"/>
    </row>
    <row r="42580" spans="62:62" x14ac:dyDescent="0.2">
      <c r="BJ42580" s="201"/>
    </row>
    <row r="42581" spans="62:62" x14ac:dyDescent="0.2">
      <c r="BJ42581" s="201"/>
    </row>
    <row r="42582" spans="62:62" x14ac:dyDescent="0.2">
      <c r="BJ42582" s="201"/>
    </row>
    <row r="42583" spans="62:62" x14ac:dyDescent="0.2">
      <c r="BJ42583" s="201"/>
    </row>
    <row r="42584" spans="62:62" x14ac:dyDescent="0.2">
      <c r="BJ42584" s="201"/>
    </row>
    <row r="42585" spans="62:62" x14ac:dyDescent="0.2">
      <c r="BJ42585" s="201"/>
    </row>
    <row r="42586" spans="62:62" x14ac:dyDescent="0.2">
      <c r="BJ42586" s="201"/>
    </row>
    <row r="42587" spans="62:62" x14ac:dyDescent="0.2">
      <c r="BJ42587" s="201"/>
    </row>
    <row r="42588" spans="62:62" x14ac:dyDescent="0.2">
      <c r="BJ42588" s="201"/>
    </row>
    <row r="42589" spans="62:62" x14ac:dyDescent="0.2">
      <c r="BJ42589" s="201"/>
    </row>
    <row r="42590" spans="62:62" x14ac:dyDescent="0.2">
      <c r="BJ42590" s="201"/>
    </row>
    <row r="42591" spans="62:62" x14ac:dyDescent="0.2">
      <c r="BJ42591" s="201"/>
    </row>
    <row r="42592" spans="62:62" x14ac:dyDescent="0.2">
      <c r="BJ42592" s="201"/>
    </row>
    <row r="42593" spans="62:62" x14ac:dyDescent="0.2">
      <c r="BJ42593" s="201"/>
    </row>
    <row r="42594" spans="62:62" x14ac:dyDescent="0.2">
      <c r="BJ42594" s="201"/>
    </row>
    <row r="42595" spans="62:62" x14ac:dyDescent="0.2">
      <c r="BJ42595" s="201"/>
    </row>
    <row r="42596" spans="62:62" x14ac:dyDescent="0.2">
      <c r="BJ42596" s="201"/>
    </row>
    <row r="42597" spans="62:62" x14ac:dyDescent="0.2">
      <c r="BJ42597" s="201"/>
    </row>
    <row r="42598" spans="62:62" x14ac:dyDescent="0.2">
      <c r="BJ42598" s="201"/>
    </row>
    <row r="42599" spans="62:62" x14ac:dyDescent="0.2">
      <c r="BJ42599" s="201"/>
    </row>
    <row r="42600" spans="62:62" x14ac:dyDescent="0.2">
      <c r="BJ42600" s="201"/>
    </row>
    <row r="42601" spans="62:62" x14ac:dyDescent="0.2">
      <c r="BJ42601" s="201"/>
    </row>
    <row r="42602" spans="62:62" x14ac:dyDescent="0.2">
      <c r="BJ42602" s="201"/>
    </row>
    <row r="42603" spans="62:62" x14ac:dyDescent="0.2">
      <c r="BJ42603" s="201"/>
    </row>
    <row r="42604" spans="62:62" x14ac:dyDescent="0.2">
      <c r="BJ42604" s="201"/>
    </row>
    <row r="42605" spans="62:62" x14ac:dyDescent="0.2">
      <c r="BJ42605" s="201"/>
    </row>
    <row r="42606" spans="62:62" x14ac:dyDescent="0.2">
      <c r="BJ42606" s="201"/>
    </row>
    <row r="42607" spans="62:62" x14ac:dyDescent="0.2">
      <c r="BJ42607" s="201"/>
    </row>
    <row r="42608" spans="62:62" x14ac:dyDescent="0.2">
      <c r="BJ42608" s="201"/>
    </row>
    <row r="42609" spans="62:62" x14ac:dyDescent="0.2">
      <c r="BJ42609" s="201"/>
    </row>
    <row r="42610" spans="62:62" x14ac:dyDescent="0.2">
      <c r="BJ42610" s="201"/>
    </row>
    <row r="42611" spans="62:62" x14ac:dyDescent="0.2">
      <c r="BJ42611" s="201"/>
    </row>
    <row r="42612" spans="62:62" x14ac:dyDescent="0.2">
      <c r="BJ42612" s="201"/>
    </row>
    <row r="42613" spans="62:62" x14ac:dyDescent="0.2">
      <c r="BJ42613" s="201"/>
    </row>
    <row r="42614" spans="62:62" x14ac:dyDescent="0.2">
      <c r="BJ42614" s="201"/>
    </row>
    <row r="42615" spans="62:62" x14ac:dyDescent="0.2">
      <c r="BJ42615" s="201"/>
    </row>
    <row r="42616" spans="62:62" x14ac:dyDescent="0.2">
      <c r="BJ42616" s="201"/>
    </row>
    <row r="42617" spans="62:62" x14ac:dyDescent="0.2">
      <c r="BJ42617" s="201"/>
    </row>
    <row r="42618" spans="62:62" x14ac:dyDescent="0.2">
      <c r="BJ42618" s="201"/>
    </row>
    <row r="42619" spans="62:62" x14ac:dyDescent="0.2">
      <c r="BJ42619" s="201"/>
    </row>
    <row r="42620" spans="62:62" x14ac:dyDescent="0.2">
      <c r="BJ42620" s="201"/>
    </row>
    <row r="42621" spans="62:62" x14ac:dyDescent="0.2">
      <c r="BJ42621" s="201"/>
    </row>
    <row r="42622" spans="62:62" x14ac:dyDescent="0.2">
      <c r="BJ42622" s="201"/>
    </row>
    <row r="42623" spans="62:62" x14ac:dyDescent="0.2">
      <c r="BJ42623" s="201"/>
    </row>
    <row r="42624" spans="62:62" x14ac:dyDescent="0.2">
      <c r="BJ42624" s="201"/>
    </row>
    <row r="42625" spans="62:62" x14ac:dyDescent="0.2">
      <c r="BJ42625" s="201"/>
    </row>
    <row r="42626" spans="62:62" x14ac:dyDescent="0.2">
      <c r="BJ42626" s="201"/>
    </row>
    <row r="42627" spans="62:62" x14ac:dyDescent="0.2">
      <c r="BJ42627" s="201"/>
    </row>
    <row r="42628" spans="62:62" x14ac:dyDescent="0.2">
      <c r="BJ42628" s="201"/>
    </row>
    <row r="42629" spans="62:62" x14ac:dyDescent="0.2">
      <c r="BJ42629" s="201"/>
    </row>
    <row r="42630" spans="62:62" x14ac:dyDescent="0.2">
      <c r="BJ42630" s="201"/>
    </row>
    <row r="42631" spans="62:62" x14ac:dyDescent="0.2">
      <c r="BJ42631" s="201"/>
    </row>
    <row r="42632" spans="62:62" x14ac:dyDescent="0.2">
      <c r="BJ42632" s="201"/>
    </row>
    <row r="42633" spans="62:62" x14ac:dyDescent="0.2">
      <c r="BJ42633" s="201"/>
    </row>
    <row r="42634" spans="62:62" x14ac:dyDescent="0.2">
      <c r="BJ42634" s="201"/>
    </row>
    <row r="42635" spans="62:62" x14ac:dyDescent="0.2">
      <c r="BJ42635" s="201"/>
    </row>
    <row r="42636" spans="62:62" x14ac:dyDescent="0.2">
      <c r="BJ42636" s="201"/>
    </row>
    <row r="42637" spans="62:62" x14ac:dyDescent="0.2">
      <c r="BJ42637" s="201"/>
    </row>
    <row r="42638" spans="62:62" x14ac:dyDescent="0.2">
      <c r="BJ42638" s="201"/>
    </row>
    <row r="42639" spans="62:62" x14ac:dyDescent="0.2">
      <c r="BJ42639" s="201"/>
    </row>
    <row r="42640" spans="62:62" x14ac:dyDescent="0.2">
      <c r="BJ42640" s="201"/>
    </row>
    <row r="42641" spans="62:62" x14ac:dyDescent="0.2">
      <c r="BJ42641" s="201"/>
    </row>
    <row r="42642" spans="62:62" x14ac:dyDescent="0.2">
      <c r="BJ42642" s="201"/>
    </row>
    <row r="42643" spans="62:62" x14ac:dyDescent="0.2">
      <c r="BJ42643" s="201"/>
    </row>
    <row r="42644" spans="62:62" x14ac:dyDescent="0.2">
      <c r="BJ42644" s="201"/>
    </row>
    <row r="42645" spans="62:62" x14ac:dyDescent="0.2">
      <c r="BJ42645" s="201"/>
    </row>
    <row r="42646" spans="62:62" x14ac:dyDescent="0.2">
      <c r="BJ42646" s="201"/>
    </row>
    <row r="42647" spans="62:62" x14ac:dyDescent="0.2">
      <c r="BJ42647" s="201"/>
    </row>
    <row r="42648" spans="62:62" x14ac:dyDescent="0.2">
      <c r="BJ42648" s="201"/>
    </row>
    <row r="42649" spans="62:62" x14ac:dyDescent="0.2">
      <c r="BJ42649" s="201"/>
    </row>
    <row r="42650" spans="62:62" x14ac:dyDescent="0.2">
      <c r="BJ42650" s="201"/>
    </row>
    <row r="42651" spans="62:62" x14ac:dyDescent="0.2">
      <c r="BJ42651" s="201"/>
    </row>
    <row r="42652" spans="62:62" x14ac:dyDescent="0.2">
      <c r="BJ42652" s="201"/>
    </row>
    <row r="42653" spans="62:62" x14ac:dyDescent="0.2">
      <c r="BJ42653" s="201"/>
    </row>
    <row r="42654" spans="62:62" x14ac:dyDescent="0.2">
      <c r="BJ42654" s="201"/>
    </row>
    <row r="42655" spans="62:62" x14ac:dyDescent="0.2">
      <c r="BJ42655" s="201"/>
    </row>
    <row r="42656" spans="62:62" x14ac:dyDescent="0.2">
      <c r="BJ42656" s="201"/>
    </row>
    <row r="42657" spans="62:62" x14ac:dyDescent="0.2">
      <c r="BJ42657" s="201"/>
    </row>
    <row r="42658" spans="62:62" x14ac:dyDescent="0.2">
      <c r="BJ42658" s="201"/>
    </row>
    <row r="42659" spans="62:62" x14ac:dyDescent="0.2">
      <c r="BJ42659" s="201"/>
    </row>
    <row r="42660" spans="62:62" x14ac:dyDescent="0.2">
      <c r="BJ42660" s="201"/>
    </row>
    <row r="42661" spans="62:62" x14ac:dyDescent="0.2">
      <c r="BJ42661" s="201"/>
    </row>
    <row r="42662" spans="62:62" x14ac:dyDescent="0.2">
      <c r="BJ42662" s="201"/>
    </row>
    <row r="42663" spans="62:62" x14ac:dyDescent="0.2">
      <c r="BJ42663" s="201"/>
    </row>
    <row r="42664" spans="62:62" x14ac:dyDescent="0.2">
      <c r="BJ42664" s="201"/>
    </row>
    <row r="42665" spans="62:62" x14ac:dyDescent="0.2">
      <c r="BJ42665" s="201"/>
    </row>
    <row r="42666" spans="62:62" x14ac:dyDescent="0.2">
      <c r="BJ42666" s="201"/>
    </row>
    <row r="42667" spans="62:62" x14ac:dyDescent="0.2">
      <c r="BJ42667" s="201"/>
    </row>
    <row r="42668" spans="62:62" x14ac:dyDescent="0.2">
      <c r="BJ42668" s="201"/>
    </row>
    <row r="42669" spans="62:62" x14ac:dyDescent="0.2">
      <c r="BJ42669" s="201"/>
    </row>
    <row r="42670" spans="62:62" x14ac:dyDescent="0.2">
      <c r="BJ42670" s="201"/>
    </row>
    <row r="42671" spans="62:62" x14ac:dyDescent="0.2">
      <c r="BJ42671" s="201"/>
    </row>
    <row r="42672" spans="62:62" x14ac:dyDescent="0.2">
      <c r="BJ42672" s="201"/>
    </row>
    <row r="42673" spans="62:62" x14ac:dyDescent="0.2">
      <c r="BJ42673" s="201"/>
    </row>
    <row r="42674" spans="62:62" x14ac:dyDescent="0.2">
      <c r="BJ42674" s="201"/>
    </row>
    <row r="42675" spans="62:62" x14ac:dyDescent="0.2">
      <c r="BJ42675" s="201"/>
    </row>
    <row r="42676" spans="62:62" x14ac:dyDescent="0.2">
      <c r="BJ42676" s="201"/>
    </row>
    <row r="42677" spans="62:62" x14ac:dyDescent="0.2">
      <c r="BJ42677" s="201"/>
    </row>
    <row r="42678" spans="62:62" x14ac:dyDescent="0.2">
      <c r="BJ42678" s="201"/>
    </row>
    <row r="42679" spans="62:62" x14ac:dyDescent="0.2">
      <c r="BJ42679" s="201"/>
    </row>
    <row r="42680" spans="62:62" x14ac:dyDescent="0.2">
      <c r="BJ42680" s="201"/>
    </row>
    <row r="42681" spans="62:62" x14ac:dyDescent="0.2">
      <c r="BJ42681" s="201"/>
    </row>
    <row r="42682" spans="62:62" x14ac:dyDescent="0.2">
      <c r="BJ42682" s="201"/>
    </row>
    <row r="42683" spans="62:62" x14ac:dyDescent="0.2">
      <c r="BJ42683" s="201"/>
    </row>
    <row r="42684" spans="62:62" x14ac:dyDescent="0.2">
      <c r="BJ42684" s="201"/>
    </row>
    <row r="42685" spans="62:62" x14ac:dyDescent="0.2">
      <c r="BJ42685" s="201"/>
    </row>
    <row r="42686" spans="62:62" x14ac:dyDescent="0.2">
      <c r="BJ42686" s="201"/>
    </row>
    <row r="42687" spans="62:62" x14ac:dyDescent="0.2">
      <c r="BJ42687" s="201"/>
    </row>
    <row r="42688" spans="62:62" x14ac:dyDescent="0.2">
      <c r="BJ42688" s="201"/>
    </row>
    <row r="42689" spans="62:62" x14ac:dyDescent="0.2">
      <c r="BJ42689" s="201"/>
    </row>
    <row r="42690" spans="62:62" x14ac:dyDescent="0.2">
      <c r="BJ42690" s="201"/>
    </row>
    <row r="42691" spans="62:62" x14ac:dyDescent="0.2">
      <c r="BJ42691" s="201"/>
    </row>
    <row r="42692" spans="62:62" x14ac:dyDescent="0.2">
      <c r="BJ42692" s="201"/>
    </row>
    <row r="42693" spans="62:62" x14ac:dyDescent="0.2">
      <c r="BJ42693" s="201"/>
    </row>
    <row r="42694" spans="62:62" x14ac:dyDescent="0.2">
      <c r="BJ42694" s="201"/>
    </row>
    <row r="42695" spans="62:62" x14ac:dyDescent="0.2">
      <c r="BJ42695" s="201"/>
    </row>
    <row r="42696" spans="62:62" x14ac:dyDescent="0.2">
      <c r="BJ42696" s="201"/>
    </row>
    <row r="42697" spans="62:62" x14ac:dyDescent="0.2">
      <c r="BJ42697" s="201"/>
    </row>
    <row r="42698" spans="62:62" x14ac:dyDescent="0.2">
      <c r="BJ42698" s="201"/>
    </row>
    <row r="42699" spans="62:62" x14ac:dyDescent="0.2">
      <c r="BJ42699" s="201"/>
    </row>
    <row r="42700" spans="62:62" x14ac:dyDescent="0.2">
      <c r="BJ42700" s="201"/>
    </row>
    <row r="42701" spans="62:62" x14ac:dyDescent="0.2">
      <c r="BJ42701" s="201"/>
    </row>
    <row r="42702" spans="62:62" x14ac:dyDescent="0.2">
      <c r="BJ42702" s="201"/>
    </row>
    <row r="42703" spans="62:62" x14ac:dyDescent="0.2">
      <c r="BJ42703" s="201"/>
    </row>
    <row r="42704" spans="62:62" x14ac:dyDescent="0.2">
      <c r="BJ42704" s="201"/>
    </row>
    <row r="42705" spans="62:62" x14ac:dyDescent="0.2">
      <c r="BJ42705" s="201"/>
    </row>
    <row r="42706" spans="62:62" x14ac:dyDescent="0.2">
      <c r="BJ42706" s="201"/>
    </row>
    <row r="42707" spans="62:62" x14ac:dyDescent="0.2">
      <c r="BJ42707" s="201"/>
    </row>
    <row r="42708" spans="62:62" x14ac:dyDescent="0.2">
      <c r="BJ42708" s="201"/>
    </row>
    <row r="42709" spans="62:62" x14ac:dyDescent="0.2">
      <c r="BJ42709" s="201"/>
    </row>
    <row r="42710" spans="62:62" x14ac:dyDescent="0.2">
      <c r="BJ42710" s="201"/>
    </row>
    <row r="42711" spans="62:62" x14ac:dyDescent="0.2">
      <c r="BJ42711" s="201"/>
    </row>
    <row r="42712" spans="62:62" x14ac:dyDescent="0.2">
      <c r="BJ42712" s="201"/>
    </row>
    <row r="42713" spans="62:62" x14ac:dyDescent="0.2">
      <c r="BJ42713" s="201"/>
    </row>
    <row r="42714" spans="62:62" x14ac:dyDescent="0.2">
      <c r="BJ42714" s="201"/>
    </row>
    <row r="42715" spans="62:62" x14ac:dyDescent="0.2">
      <c r="BJ42715" s="201"/>
    </row>
    <row r="42716" spans="62:62" x14ac:dyDescent="0.2">
      <c r="BJ42716" s="201"/>
    </row>
    <row r="42717" spans="62:62" x14ac:dyDescent="0.2">
      <c r="BJ42717" s="201"/>
    </row>
    <row r="42718" spans="62:62" x14ac:dyDescent="0.2">
      <c r="BJ42718" s="201"/>
    </row>
    <row r="42719" spans="62:62" x14ac:dyDescent="0.2">
      <c r="BJ42719" s="201"/>
    </row>
    <row r="42720" spans="62:62" x14ac:dyDescent="0.2">
      <c r="BJ42720" s="201"/>
    </row>
    <row r="42721" spans="62:62" x14ac:dyDescent="0.2">
      <c r="BJ42721" s="201"/>
    </row>
    <row r="42722" spans="62:62" x14ac:dyDescent="0.2">
      <c r="BJ42722" s="201"/>
    </row>
    <row r="42723" spans="62:62" x14ac:dyDescent="0.2">
      <c r="BJ42723" s="201"/>
    </row>
    <row r="42724" spans="62:62" x14ac:dyDescent="0.2">
      <c r="BJ42724" s="201"/>
    </row>
    <row r="42725" spans="62:62" x14ac:dyDescent="0.2">
      <c r="BJ42725" s="201"/>
    </row>
    <row r="42726" spans="62:62" x14ac:dyDescent="0.2">
      <c r="BJ42726" s="201"/>
    </row>
    <row r="42727" spans="62:62" x14ac:dyDescent="0.2">
      <c r="BJ42727" s="201"/>
    </row>
    <row r="42728" spans="62:62" x14ac:dyDescent="0.2">
      <c r="BJ42728" s="201"/>
    </row>
    <row r="42729" spans="62:62" x14ac:dyDescent="0.2">
      <c r="BJ42729" s="201"/>
    </row>
    <row r="42730" spans="62:62" x14ac:dyDescent="0.2">
      <c r="BJ42730" s="201"/>
    </row>
    <row r="42731" spans="62:62" x14ac:dyDescent="0.2">
      <c r="BJ42731" s="201"/>
    </row>
    <row r="42732" spans="62:62" x14ac:dyDescent="0.2">
      <c r="BJ42732" s="201"/>
    </row>
    <row r="42733" spans="62:62" x14ac:dyDescent="0.2">
      <c r="BJ42733" s="201"/>
    </row>
    <row r="42734" spans="62:62" x14ac:dyDescent="0.2">
      <c r="BJ42734" s="201"/>
    </row>
    <row r="42735" spans="62:62" x14ac:dyDescent="0.2">
      <c r="BJ42735" s="201"/>
    </row>
    <row r="42736" spans="62:62" x14ac:dyDescent="0.2">
      <c r="BJ42736" s="201"/>
    </row>
    <row r="42737" spans="62:62" x14ac:dyDescent="0.2">
      <c r="BJ42737" s="201"/>
    </row>
    <row r="42738" spans="62:62" x14ac:dyDescent="0.2">
      <c r="BJ42738" s="201"/>
    </row>
    <row r="42739" spans="62:62" x14ac:dyDescent="0.2">
      <c r="BJ42739" s="201"/>
    </row>
    <row r="42740" spans="62:62" x14ac:dyDescent="0.2">
      <c r="BJ42740" s="201"/>
    </row>
    <row r="42741" spans="62:62" x14ac:dyDescent="0.2">
      <c r="BJ42741" s="201"/>
    </row>
    <row r="42742" spans="62:62" x14ac:dyDescent="0.2">
      <c r="BJ42742" s="201"/>
    </row>
    <row r="42743" spans="62:62" x14ac:dyDescent="0.2">
      <c r="BJ42743" s="201"/>
    </row>
    <row r="42744" spans="62:62" x14ac:dyDescent="0.2">
      <c r="BJ42744" s="201"/>
    </row>
    <row r="42745" spans="62:62" x14ac:dyDescent="0.2">
      <c r="BJ42745" s="201"/>
    </row>
    <row r="42746" spans="62:62" x14ac:dyDescent="0.2">
      <c r="BJ42746" s="201"/>
    </row>
    <row r="42747" spans="62:62" x14ac:dyDescent="0.2">
      <c r="BJ42747" s="201"/>
    </row>
    <row r="42748" spans="62:62" x14ac:dyDescent="0.2">
      <c r="BJ42748" s="201"/>
    </row>
    <row r="42749" spans="62:62" x14ac:dyDescent="0.2">
      <c r="BJ42749" s="201"/>
    </row>
    <row r="42750" spans="62:62" x14ac:dyDescent="0.2">
      <c r="BJ42750" s="201"/>
    </row>
    <row r="42751" spans="62:62" x14ac:dyDescent="0.2">
      <c r="BJ42751" s="201"/>
    </row>
    <row r="42752" spans="62:62" x14ac:dyDescent="0.2">
      <c r="BJ42752" s="201"/>
    </row>
    <row r="42753" spans="62:62" x14ac:dyDescent="0.2">
      <c r="BJ42753" s="201"/>
    </row>
    <row r="42754" spans="62:62" x14ac:dyDescent="0.2">
      <c r="BJ42754" s="201"/>
    </row>
    <row r="42755" spans="62:62" x14ac:dyDescent="0.2">
      <c r="BJ42755" s="201"/>
    </row>
    <row r="42756" spans="62:62" x14ac:dyDescent="0.2">
      <c r="BJ42756" s="201"/>
    </row>
    <row r="42757" spans="62:62" x14ac:dyDescent="0.2">
      <c r="BJ42757" s="201"/>
    </row>
    <row r="42758" spans="62:62" x14ac:dyDescent="0.2">
      <c r="BJ42758" s="201"/>
    </row>
    <row r="42759" spans="62:62" x14ac:dyDescent="0.2">
      <c r="BJ42759" s="201"/>
    </row>
    <row r="42760" spans="62:62" x14ac:dyDescent="0.2">
      <c r="BJ42760" s="201"/>
    </row>
    <row r="42761" spans="62:62" x14ac:dyDescent="0.2">
      <c r="BJ42761" s="201"/>
    </row>
    <row r="42762" spans="62:62" x14ac:dyDescent="0.2">
      <c r="BJ42762" s="201"/>
    </row>
    <row r="42763" spans="62:62" x14ac:dyDescent="0.2">
      <c r="BJ42763" s="201"/>
    </row>
    <row r="42764" spans="62:62" x14ac:dyDescent="0.2">
      <c r="BJ42764" s="201"/>
    </row>
    <row r="42765" spans="62:62" x14ac:dyDescent="0.2">
      <c r="BJ42765" s="201"/>
    </row>
    <row r="42766" spans="62:62" x14ac:dyDescent="0.2">
      <c r="BJ42766" s="201"/>
    </row>
    <row r="42767" spans="62:62" x14ac:dyDescent="0.2">
      <c r="BJ42767" s="201"/>
    </row>
    <row r="42768" spans="62:62" x14ac:dyDescent="0.2">
      <c r="BJ42768" s="201"/>
    </row>
    <row r="42769" spans="62:62" x14ac:dyDescent="0.2">
      <c r="BJ42769" s="201"/>
    </row>
    <row r="42770" spans="62:62" x14ac:dyDescent="0.2">
      <c r="BJ42770" s="201"/>
    </row>
    <row r="42771" spans="62:62" x14ac:dyDescent="0.2">
      <c r="BJ42771" s="201"/>
    </row>
    <row r="42772" spans="62:62" x14ac:dyDescent="0.2">
      <c r="BJ42772" s="201"/>
    </row>
    <row r="42773" spans="62:62" x14ac:dyDescent="0.2">
      <c r="BJ42773" s="201"/>
    </row>
    <row r="42774" spans="62:62" x14ac:dyDescent="0.2">
      <c r="BJ42774" s="201"/>
    </row>
    <row r="42775" spans="62:62" x14ac:dyDescent="0.2">
      <c r="BJ42775" s="201"/>
    </row>
    <row r="42776" spans="62:62" x14ac:dyDescent="0.2">
      <c r="BJ42776" s="201"/>
    </row>
    <row r="42777" spans="62:62" x14ac:dyDescent="0.2">
      <c r="BJ42777" s="201"/>
    </row>
    <row r="42778" spans="62:62" x14ac:dyDescent="0.2">
      <c r="BJ42778" s="201"/>
    </row>
    <row r="42779" spans="62:62" x14ac:dyDescent="0.2">
      <c r="BJ42779" s="201"/>
    </row>
    <row r="42780" spans="62:62" x14ac:dyDescent="0.2">
      <c r="BJ42780" s="201"/>
    </row>
    <row r="42781" spans="62:62" x14ac:dyDescent="0.2">
      <c r="BJ42781" s="201"/>
    </row>
    <row r="42782" spans="62:62" x14ac:dyDescent="0.2">
      <c r="BJ42782" s="201"/>
    </row>
    <row r="42783" spans="62:62" x14ac:dyDescent="0.2">
      <c r="BJ42783" s="201"/>
    </row>
    <row r="42784" spans="62:62" x14ac:dyDescent="0.2">
      <c r="BJ42784" s="201"/>
    </row>
    <row r="42785" spans="62:62" x14ac:dyDescent="0.2">
      <c r="BJ42785" s="201"/>
    </row>
    <row r="42786" spans="62:62" x14ac:dyDescent="0.2">
      <c r="BJ42786" s="201"/>
    </row>
    <row r="42787" spans="62:62" x14ac:dyDescent="0.2">
      <c r="BJ42787" s="201"/>
    </row>
    <row r="42788" spans="62:62" x14ac:dyDescent="0.2">
      <c r="BJ42788" s="201"/>
    </row>
    <row r="42789" spans="62:62" x14ac:dyDescent="0.2">
      <c r="BJ42789" s="201"/>
    </row>
    <row r="42790" spans="62:62" x14ac:dyDescent="0.2">
      <c r="BJ42790" s="201"/>
    </row>
    <row r="42791" spans="62:62" x14ac:dyDescent="0.2">
      <c r="BJ42791" s="201"/>
    </row>
    <row r="42792" spans="62:62" x14ac:dyDescent="0.2">
      <c r="BJ42792" s="201"/>
    </row>
    <row r="42793" spans="62:62" x14ac:dyDescent="0.2">
      <c r="BJ42793" s="201"/>
    </row>
    <row r="42794" spans="62:62" x14ac:dyDescent="0.2">
      <c r="BJ42794" s="201"/>
    </row>
    <row r="42795" spans="62:62" x14ac:dyDescent="0.2">
      <c r="BJ42795" s="201"/>
    </row>
    <row r="42796" spans="62:62" x14ac:dyDescent="0.2">
      <c r="BJ42796" s="201"/>
    </row>
    <row r="42797" spans="62:62" x14ac:dyDescent="0.2">
      <c r="BJ42797" s="201"/>
    </row>
    <row r="42798" spans="62:62" x14ac:dyDescent="0.2">
      <c r="BJ42798" s="201"/>
    </row>
    <row r="42799" spans="62:62" x14ac:dyDescent="0.2">
      <c r="BJ42799" s="201"/>
    </row>
    <row r="42800" spans="62:62" x14ac:dyDescent="0.2">
      <c r="BJ42800" s="201"/>
    </row>
    <row r="42801" spans="62:62" x14ac:dyDescent="0.2">
      <c r="BJ42801" s="201"/>
    </row>
    <row r="42802" spans="62:62" x14ac:dyDescent="0.2">
      <c r="BJ42802" s="201"/>
    </row>
    <row r="42803" spans="62:62" x14ac:dyDescent="0.2">
      <c r="BJ42803" s="201"/>
    </row>
    <row r="42804" spans="62:62" x14ac:dyDescent="0.2">
      <c r="BJ42804" s="201"/>
    </row>
    <row r="42805" spans="62:62" x14ac:dyDescent="0.2">
      <c r="BJ42805" s="201"/>
    </row>
    <row r="42806" spans="62:62" x14ac:dyDescent="0.2">
      <c r="BJ42806" s="201"/>
    </row>
    <row r="42807" spans="62:62" x14ac:dyDescent="0.2">
      <c r="BJ42807" s="201"/>
    </row>
    <row r="42808" spans="62:62" x14ac:dyDescent="0.2">
      <c r="BJ42808" s="201"/>
    </row>
    <row r="42809" spans="62:62" x14ac:dyDescent="0.2">
      <c r="BJ42809" s="201"/>
    </row>
    <row r="42810" spans="62:62" x14ac:dyDescent="0.2">
      <c r="BJ42810" s="201"/>
    </row>
    <row r="42811" spans="62:62" x14ac:dyDescent="0.2">
      <c r="BJ42811" s="201"/>
    </row>
    <row r="42812" spans="62:62" x14ac:dyDescent="0.2">
      <c r="BJ42812" s="201"/>
    </row>
    <row r="42813" spans="62:62" x14ac:dyDescent="0.2">
      <c r="BJ42813" s="201"/>
    </row>
    <row r="42814" spans="62:62" x14ac:dyDescent="0.2">
      <c r="BJ42814" s="201"/>
    </row>
    <row r="42815" spans="62:62" x14ac:dyDescent="0.2">
      <c r="BJ42815" s="201"/>
    </row>
    <row r="42816" spans="62:62" x14ac:dyDescent="0.2">
      <c r="BJ42816" s="201"/>
    </row>
    <row r="42817" spans="62:62" x14ac:dyDescent="0.2">
      <c r="BJ42817" s="201"/>
    </row>
    <row r="42818" spans="62:62" x14ac:dyDescent="0.2">
      <c r="BJ42818" s="201"/>
    </row>
    <row r="42819" spans="62:62" x14ac:dyDescent="0.2">
      <c r="BJ42819" s="201"/>
    </row>
    <row r="42820" spans="62:62" x14ac:dyDescent="0.2">
      <c r="BJ42820" s="201"/>
    </row>
    <row r="42821" spans="62:62" x14ac:dyDescent="0.2">
      <c r="BJ42821" s="201"/>
    </row>
    <row r="42822" spans="62:62" x14ac:dyDescent="0.2">
      <c r="BJ42822" s="201"/>
    </row>
    <row r="42823" spans="62:62" x14ac:dyDescent="0.2">
      <c r="BJ42823" s="201"/>
    </row>
    <row r="42824" spans="62:62" x14ac:dyDescent="0.2">
      <c r="BJ42824" s="201"/>
    </row>
    <row r="42825" spans="62:62" x14ac:dyDescent="0.2">
      <c r="BJ42825" s="201"/>
    </row>
    <row r="42826" spans="62:62" x14ac:dyDescent="0.2">
      <c r="BJ42826" s="201"/>
    </row>
    <row r="42827" spans="62:62" x14ac:dyDescent="0.2">
      <c r="BJ42827" s="201"/>
    </row>
    <row r="42828" spans="62:62" x14ac:dyDescent="0.2">
      <c r="BJ42828" s="201"/>
    </row>
    <row r="42829" spans="62:62" x14ac:dyDescent="0.2">
      <c r="BJ42829" s="201"/>
    </row>
    <row r="42830" spans="62:62" x14ac:dyDescent="0.2">
      <c r="BJ42830" s="201"/>
    </row>
    <row r="42831" spans="62:62" x14ac:dyDescent="0.2">
      <c r="BJ42831" s="201"/>
    </row>
    <row r="42832" spans="62:62" x14ac:dyDescent="0.2">
      <c r="BJ42832" s="201"/>
    </row>
    <row r="42833" spans="62:62" x14ac:dyDescent="0.2">
      <c r="BJ42833" s="201"/>
    </row>
    <row r="42834" spans="62:62" x14ac:dyDescent="0.2">
      <c r="BJ42834" s="201"/>
    </row>
    <row r="42835" spans="62:62" x14ac:dyDescent="0.2">
      <c r="BJ42835" s="201"/>
    </row>
    <row r="42836" spans="62:62" x14ac:dyDescent="0.2">
      <c r="BJ42836" s="201"/>
    </row>
    <row r="42837" spans="62:62" x14ac:dyDescent="0.2">
      <c r="BJ42837" s="201"/>
    </row>
    <row r="42838" spans="62:62" x14ac:dyDescent="0.2">
      <c r="BJ42838" s="201"/>
    </row>
    <row r="42839" spans="62:62" x14ac:dyDescent="0.2">
      <c r="BJ42839" s="201"/>
    </row>
    <row r="42840" spans="62:62" x14ac:dyDescent="0.2">
      <c r="BJ42840" s="201"/>
    </row>
    <row r="42841" spans="62:62" x14ac:dyDescent="0.2">
      <c r="BJ42841" s="201"/>
    </row>
    <row r="42842" spans="62:62" x14ac:dyDescent="0.2">
      <c r="BJ42842" s="201"/>
    </row>
    <row r="42843" spans="62:62" x14ac:dyDescent="0.2">
      <c r="BJ42843" s="201"/>
    </row>
    <row r="42844" spans="62:62" x14ac:dyDescent="0.2">
      <c r="BJ42844" s="201"/>
    </row>
    <row r="42845" spans="62:62" x14ac:dyDescent="0.2">
      <c r="BJ42845" s="201"/>
    </row>
    <row r="42846" spans="62:62" x14ac:dyDescent="0.2">
      <c r="BJ42846" s="201"/>
    </row>
    <row r="42847" spans="62:62" x14ac:dyDescent="0.2">
      <c r="BJ42847" s="201"/>
    </row>
    <row r="42848" spans="62:62" x14ac:dyDescent="0.2">
      <c r="BJ42848" s="201"/>
    </row>
    <row r="42849" spans="62:62" x14ac:dyDescent="0.2">
      <c r="BJ42849" s="201"/>
    </row>
    <row r="42850" spans="62:62" x14ac:dyDescent="0.2">
      <c r="BJ42850" s="201"/>
    </row>
    <row r="42851" spans="62:62" x14ac:dyDescent="0.2">
      <c r="BJ42851" s="201"/>
    </row>
    <row r="42852" spans="62:62" x14ac:dyDescent="0.2">
      <c r="BJ42852" s="201"/>
    </row>
    <row r="42853" spans="62:62" x14ac:dyDescent="0.2">
      <c r="BJ42853" s="201"/>
    </row>
    <row r="42854" spans="62:62" x14ac:dyDescent="0.2">
      <c r="BJ42854" s="201"/>
    </row>
    <row r="42855" spans="62:62" x14ac:dyDescent="0.2">
      <c r="BJ42855" s="201"/>
    </row>
    <row r="42856" spans="62:62" x14ac:dyDescent="0.2">
      <c r="BJ42856" s="201"/>
    </row>
    <row r="42857" spans="62:62" x14ac:dyDescent="0.2">
      <c r="BJ42857" s="201"/>
    </row>
    <row r="42858" spans="62:62" x14ac:dyDescent="0.2">
      <c r="BJ42858" s="201"/>
    </row>
    <row r="42859" spans="62:62" x14ac:dyDescent="0.2">
      <c r="BJ42859" s="201"/>
    </row>
    <row r="42860" spans="62:62" x14ac:dyDescent="0.2">
      <c r="BJ42860" s="201"/>
    </row>
    <row r="42861" spans="62:62" x14ac:dyDescent="0.2">
      <c r="BJ42861" s="201"/>
    </row>
    <row r="42862" spans="62:62" x14ac:dyDescent="0.2">
      <c r="BJ42862" s="201"/>
    </row>
    <row r="42863" spans="62:62" x14ac:dyDescent="0.2">
      <c r="BJ42863" s="201"/>
    </row>
    <row r="42864" spans="62:62" x14ac:dyDescent="0.2">
      <c r="BJ42864" s="201"/>
    </row>
    <row r="42865" spans="62:62" x14ac:dyDescent="0.2">
      <c r="BJ42865" s="201"/>
    </row>
    <row r="42866" spans="62:62" x14ac:dyDescent="0.2">
      <c r="BJ42866" s="201"/>
    </row>
    <row r="42867" spans="62:62" x14ac:dyDescent="0.2">
      <c r="BJ42867" s="201"/>
    </row>
    <row r="42868" spans="62:62" x14ac:dyDescent="0.2">
      <c r="BJ42868" s="201"/>
    </row>
    <row r="42869" spans="62:62" x14ac:dyDescent="0.2">
      <c r="BJ42869" s="201"/>
    </row>
    <row r="42870" spans="62:62" x14ac:dyDescent="0.2">
      <c r="BJ42870" s="201"/>
    </row>
    <row r="42871" spans="62:62" x14ac:dyDescent="0.2">
      <c r="BJ42871" s="201"/>
    </row>
    <row r="42872" spans="62:62" x14ac:dyDescent="0.2">
      <c r="BJ42872" s="201"/>
    </row>
    <row r="42873" spans="62:62" x14ac:dyDescent="0.2">
      <c r="BJ42873" s="201"/>
    </row>
    <row r="42874" spans="62:62" x14ac:dyDescent="0.2">
      <c r="BJ42874" s="201"/>
    </row>
    <row r="42875" spans="62:62" x14ac:dyDescent="0.2">
      <c r="BJ42875" s="201"/>
    </row>
    <row r="42876" spans="62:62" x14ac:dyDescent="0.2">
      <c r="BJ42876" s="201"/>
    </row>
    <row r="42877" spans="62:62" x14ac:dyDescent="0.2">
      <c r="BJ42877" s="201"/>
    </row>
    <row r="42878" spans="62:62" x14ac:dyDescent="0.2">
      <c r="BJ42878" s="201"/>
    </row>
    <row r="42879" spans="62:62" x14ac:dyDescent="0.2">
      <c r="BJ42879" s="201"/>
    </row>
    <row r="42880" spans="62:62" x14ac:dyDescent="0.2">
      <c r="BJ42880" s="201"/>
    </row>
    <row r="42881" spans="62:62" x14ac:dyDescent="0.2">
      <c r="BJ42881" s="201"/>
    </row>
    <row r="42882" spans="62:62" x14ac:dyDescent="0.2">
      <c r="BJ42882" s="201"/>
    </row>
    <row r="42883" spans="62:62" x14ac:dyDescent="0.2">
      <c r="BJ42883" s="201"/>
    </row>
    <row r="42884" spans="62:62" x14ac:dyDescent="0.2">
      <c r="BJ42884" s="201"/>
    </row>
    <row r="42885" spans="62:62" x14ac:dyDescent="0.2">
      <c r="BJ42885" s="201"/>
    </row>
    <row r="42886" spans="62:62" x14ac:dyDescent="0.2">
      <c r="BJ42886" s="201"/>
    </row>
    <row r="42887" spans="62:62" x14ac:dyDescent="0.2">
      <c r="BJ42887" s="201"/>
    </row>
    <row r="42888" spans="62:62" x14ac:dyDescent="0.2">
      <c r="BJ42888" s="201"/>
    </row>
    <row r="42889" spans="62:62" x14ac:dyDescent="0.2">
      <c r="BJ42889" s="201"/>
    </row>
    <row r="42890" spans="62:62" x14ac:dyDescent="0.2">
      <c r="BJ42890" s="201"/>
    </row>
    <row r="42891" spans="62:62" x14ac:dyDescent="0.2">
      <c r="BJ42891" s="201"/>
    </row>
    <row r="42892" spans="62:62" x14ac:dyDescent="0.2">
      <c r="BJ42892" s="201"/>
    </row>
    <row r="42893" spans="62:62" x14ac:dyDescent="0.2">
      <c r="BJ42893" s="201"/>
    </row>
    <row r="42894" spans="62:62" x14ac:dyDescent="0.2">
      <c r="BJ42894" s="201"/>
    </row>
    <row r="42895" spans="62:62" x14ac:dyDescent="0.2">
      <c r="BJ42895" s="201"/>
    </row>
    <row r="42896" spans="62:62" x14ac:dyDescent="0.2">
      <c r="BJ42896" s="201"/>
    </row>
    <row r="42897" spans="62:62" x14ac:dyDescent="0.2">
      <c r="BJ42897" s="201"/>
    </row>
    <row r="42898" spans="62:62" x14ac:dyDescent="0.2">
      <c r="BJ42898" s="201"/>
    </row>
    <row r="42899" spans="62:62" x14ac:dyDescent="0.2">
      <c r="BJ42899" s="201"/>
    </row>
    <row r="42900" spans="62:62" x14ac:dyDescent="0.2">
      <c r="BJ42900" s="201"/>
    </row>
    <row r="42901" spans="62:62" x14ac:dyDescent="0.2">
      <c r="BJ42901" s="201"/>
    </row>
    <row r="42902" spans="62:62" x14ac:dyDescent="0.2">
      <c r="BJ42902" s="201"/>
    </row>
    <row r="42903" spans="62:62" x14ac:dyDescent="0.2">
      <c r="BJ42903" s="201"/>
    </row>
    <row r="42904" spans="62:62" x14ac:dyDescent="0.2">
      <c r="BJ42904" s="201"/>
    </row>
    <row r="42905" spans="62:62" x14ac:dyDescent="0.2">
      <c r="BJ42905" s="201"/>
    </row>
    <row r="42906" spans="62:62" x14ac:dyDescent="0.2">
      <c r="BJ42906" s="201"/>
    </row>
    <row r="42907" spans="62:62" x14ac:dyDescent="0.2">
      <c r="BJ42907" s="201"/>
    </row>
    <row r="42908" spans="62:62" x14ac:dyDescent="0.2">
      <c r="BJ42908" s="201"/>
    </row>
    <row r="42909" spans="62:62" x14ac:dyDescent="0.2">
      <c r="BJ42909" s="201"/>
    </row>
    <row r="42910" spans="62:62" x14ac:dyDescent="0.2">
      <c r="BJ42910" s="201"/>
    </row>
    <row r="42911" spans="62:62" x14ac:dyDescent="0.2">
      <c r="BJ42911" s="201"/>
    </row>
    <row r="42912" spans="62:62" x14ac:dyDescent="0.2">
      <c r="BJ42912" s="201"/>
    </row>
    <row r="42913" spans="62:62" x14ac:dyDescent="0.2">
      <c r="BJ42913" s="201"/>
    </row>
    <row r="42914" spans="62:62" x14ac:dyDescent="0.2">
      <c r="BJ42914" s="201"/>
    </row>
    <row r="42915" spans="62:62" x14ac:dyDescent="0.2">
      <c r="BJ42915" s="201"/>
    </row>
    <row r="42916" spans="62:62" x14ac:dyDescent="0.2">
      <c r="BJ42916" s="201"/>
    </row>
    <row r="42917" spans="62:62" x14ac:dyDescent="0.2">
      <c r="BJ42917" s="201"/>
    </row>
    <row r="42918" spans="62:62" x14ac:dyDescent="0.2">
      <c r="BJ42918" s="201"/>
    </row>
    <row r="42919" spans="62:62" x14ac:dyDescent="0.2">
      <c r="BJ42919" s="201"/>
    </row>
    <row r="42920" spans="62:62" x14ac:dyDescent="0.2">
      <c r="BJ42920" s="201"/>
    </row>
    <row r="42921" spans="62:62" x14ac:dyDescent="0.2">
      <c r="BJ42921" s="201"/>
    </row>
    <row r="42922" spans="62:62" x14ac:dyDescent="0.2">
      <c r="BJ42922" s="201"/>
    </row>
    <row r="42923" spans="62:62" x14ac:dyDescent="0.2">
      <c r="BJ42923" s="201"/>
    </row>
    <row r="42924" spans="62:62" x14ac:dyDescent="0.2">
      <c r="BJ42924" s="201"/>
    </row>
    <row r="42925" spans="62:62" x14ac:dyDescent="0.2">
      <c r="BJ42925" s="201"/>
    </row>
    <row r="42926" spans="62:62" x14ac:dyDescent="0.2">
      <c r="BJ42926" s="201"/>
    </row>
    <row r="42927" spans="62:62" x14ac:dyDescent="0.2">
      <c r="BJ42927" s="201"/>
    </row>
    <row r="42928" spans="62:62" x14ac:dyDescent="0.2">
      <c r="BJ42928" s="201"/>
    </row>
    <row r="42929" spans="62:62" x14ac:dyDescent="0.2">
      <c r="BJ42929" s="201"/>
    </row>
    <row r="42930" spans="62:62" x14ac:dyDescent="0.2">
      <c r="BJ42930" s="201"/>
    </row>
    <row r="42931" spans="62:62" x14ac:dyDescent="0.2">
      <c r="BJ42931" s="201"/>
    </row>
    <row r="42932" spans="62:62" x14ac:dyDescent="0.2">
      <c r="BJ42932" s="201"/>
    </row>
    <row r="42933" spans="62:62" x14ac:dyDescent="0.2">
      <c r="BJ42933" s="201"/>
    </row>
    <row r="42934" spans="62:62" x14ac:dyDescent="0.2">
      <c r="BJ42934" s="201"/>
    </row>
    <row r="42935" spans="62:62" x14ac:dyDescent="0.2">
      <c r="BJ42935" s="201"/>
    </row>
    <row r="42936" spans="62:62" x14ac:dyDescent="0.2">
      <c r="BJ42936" s="201"/>
    </row>
    <row r="42937" spans="62:62" x14ac:dyDescent="0.2">
      <c r="BJ42937" s="201"/>
    </row>
    <row r="42938" spans="62:62" x14ac:dyDescent="0.2">
      <c r="BJ42938" s="201"/>
    </row>
    <row r="42939" spans="62:62" x14ac:dyDescent="0.2">
      <c r="BJ42939" s="201"/>
    </row>
    <row r="42940" spans="62:62" x14ac:dyDescent="0.2">
      <c r="BJ42940" s="201"/>
    </row>
    <row r="42941" spans="62:62" x14ac:dyDescent="0.2">
      <c r="BJ42941" s="201"/>
    </row>
    <row r="42942" spans="62:62" x14ac:dyDescent="0.2">
      <c r="BJ42942" s="201"/>
    </row>
    <row r="42943" spans="62:62" x14ac:dyDescent="0.2">
      <c r="BJ42943" s="201"/>
    </row>
    <row r="42944" spans="62:62" x14ac:dyDescent="0.2">
      <c r="BJ42944" s="201"/>
    </row>
    <row r="42945" spans="62:62" x14ac:dyDescent="0.2">
      <c r="BJ42945" s="201"/>
    </row>
    <row r="42946" spans="62:62" x14ac:dyDescent="0.2">
      <c r="BJ42946" s="201"/>
    </row>
    <row r="42947" spans="62:62" x14ac:dyDescent="0.2">
      <c r="BJ42947" s="201"/>
    </row>
    <row r="42948" spans="62:62" x14ac:dyDescent="0.2">
      <c r="BJ42948" s="201"/>
    </row>
    <row r="42949" spans="62:62" x14ac:dyDescent="0.2">
      <c r="BJ42949" s="201"/>
    </row>
    <row r="42950" spans="62:62" x14ac:dyDescent="0.2">
      <c r="BJ42950" s="201"/>
    </row>
    <row r="42951" spans="62:62" x14ac:dyDescent="0.2">
      <c r="BJ42951" s="201"/>
    </row>
    <row r="42952" spans="62:62" x14ac:dyDescent="0.2">
      <c r="BJ42952" s="201"/>
    </row>
    <row r="42953" spans="62:62" x14ac:dyDescent="0.2">
      <c r="BJ42953" s="201"/>
    </row>
    <row r="42954" spans="62:62" x14ac:dyDescent="0.2">
      <c r="BJ42954" s="201"/>
    </row>
    <row r="42955" spans="62:62" x14ac:dyDescent="0.2">
      <c r="BJ42955" s="201"/>
    </row>
    <row r="42956" spans="62:62" x14ac:dyDescent="0.2">
      <c r="BJ42956" s="201"/>
    </row>
    <row r="42957" spans="62:62" x14ac:dyDescent="0.2">
      <c r="BJ42957" s="201"/>
    </row>
    <row r="42958" spans="62:62" x14ac:dyDescent="0.2">
      <c r="BJ42958" s="201"/>
    </row>
    <row r="42959" spans="62:62" x14ac:dyDescent="0.2">
      <c r="BJ42959" s="201"/>
    </row>
    <row r="42960" spans="62:62" x14ac:dyDescent="0.2">
      <c r="BJ42960" s="201"/>
    </row>
    <row r="42961" spans="62:62" x14ac:dyDescent="0.2">
      <c r="BJ42961" s="201"/>
    </row>
    <row r="42962" spans="62:62" x14ac:dyDescent="0.2">
      <c r="BJ42962" s="201"/>
    </row>
    <row r="42963" spans="62:62" x14ac:dyDescent="0.2">
      <c r="BJ42963" s="201"/>
    </row>
    <row r="42964" spans="62:62" x14ac:dyDescent="0.2">
      <c r="BJ42964" s="201"/>
    </row>
    <row r="42965" spans="62:62" x14ac:dyDescent="0.2">
      <c r="BJ42965" s="201"/>
    </row>
    <row r="42966" spans="62:62" x14ac:dyDescent="0.2">
      <c r="BJ42966" s="201"/>
    </row>
    <row r="42967" spans="62:62" x14ac:dyDescent="0.2">
      <c r="BJ42967" s="201"/>
    </row>
    <row r="42968" spans="62:62" x14ac:dyDescent="0.2">
      <c r="BJ42968" s="201"/>
    </row>
    <row r="42969" spans="62:62" x14ac:dyDescent="0.2">
      <c r="BJ42969" s="201"/>
    </row>
    <row r="42970" spans="62:62" x14ac:dyDescent="0.2">
      <c r="BJ42970" s="201"/>
    </row>
    <row r="42971" spans="62:62" x14ac:dyDescent="0.2">
      <c r="BJ42971" s="201"/>
    </row>
    <row r="42972" spans="62:62" x14ac:dyDescent="0.2">
      <c r="BJ42972" s="201"/>
    </row>
    <row r="42973" spans="62:62" x14ac:dyDescent="0.2">
      <c r="BJ42973" s="201"/>
    </row>
    <row r="42974" spans="62:62" x14ac:dyDescent="0.2">
      <c r="BJ42974" s="201"/>
    </row>
    <row r="42975" spans="62:62" x14ac:dyDescent="0.2">
      <c r="BJ42975" s="201"/>
    </row>
    <row r="42976" spans="62:62" x14ac:dyDescent="0.2">
      <c r="BJ42976" s="201"/>
    </row>
    <row r="42977" spans="62:62" x14ac:dyDescent="0.2">
      <c r="BJ42977" s="201"/>
    </row>
    <row r="42978" spans="62:62" x14ac:dyDescent="0.2">
      <c r="BJ42978" s="201"/>
    </row>
    <row r="42979" spans="62:62" x14ac:dyDescent="0.2">
      <c r="BJ42979" s="201"/>
    </row>
    <row r="42980" spans="62:62" x14ac:dyDescent="0.2">
      <c r="BJ42980" s="201"/>
    </row>
    <row r="42981" spans="62:62" x14ac:dyDescent="0.2">
      <c r="BJ42981" s="201"/>
    </row>
    <row r="42982" spans="62:62" x14ac:dyDescent="0.2">
      <c r="BJ42982" s="201"/>
    </row>
    <row r="42983" spans="62:62" x14ac:dyDescent="0.2">
      <c r="BJ42983" s="201"/>
    </row>
    <row r="42984" spans="62:62" x14ac:dyDescent="0.2">
      <c r="BJ42984" s="201"/>
    </row>
    <row r="42985" spans="62:62" x14ac:dyDescent="0.2">
      <c r="BJ42985" s="201"/>
    </row>
    <row r="42986" spans="62:62" x14ac:dyDescent="0.2">
      <c r="BJ42986" s="201"/>
    </row>
    <row r="42987" spans="62:62" x14ac:dyDescent="0.2">
      <c r="BJ42987" s="201"/>
    </row>
    <row r="42988" spans="62:62" x14ac:dyDescent="0.2">
      <c r="BJ42988" s="201"/>
    </row>
    <row r="42989" spans="62:62" x14ac:dyDescent="0.2">
      <c r="BJ42989" s="201"/>
    </row>
    <row r="42990" spans="62:62" x14ac:dyDescent="0.2">
      <c r="BJ42990" s="201"/>
    </row>
    <row r="42991" spans="62:62" x14ac:dyDescent="0.2">
      <c r="BJ42991" s="201"/>
    </row>
    <row r="42992" spans="62:62" x14ac:dyDescent="0.2">
      <c r="BJ42992" s="201"/>
    </row>
    <row r="42993" spans="62:62" x14ac:dyDescent="0.2">
      <c r="BJ42993" s="201"/>
    </row>
    <row r="42994" spans="62:62" x14ac:dyDescent="0.2">
      <c r="BJ42994" s="201"/>
    </row>
    <row r="42995" spans="62:62" x14ac:dyDescent="0.2">
      <c r="BJ42995" s="201"/>
    </row>
    <row r="42996" spans="62:62" x14ac:dyDescent="0.2">
      <c r="BJ42996" s="201"/>
    </row>
    <row r="42997" spans="62:62" x14ac:dyDescent="0.2">
      <c r="BJ42997" s="201"/>
    </row>
    <row r="42998" spans="62:62" x14ac:dyDescent="0.2">
      <c r="BJ42998" s="201"/>
    </row>
    <row r="42999" spans="62:62" x14ac:dyDescent="0.2">
      <c r="BJ42999" s="201"/>
    </row>
    <row r="43000" spans="62:62" x14ac:dyDescent="0.2">
      <c r="BJ43000" s="201"/>
    </row>
    <row r="43001" spans="62:62" x14ac:dyDescent="0.2">
      <c r="BJ43001" s="201"/>
    </row>
    <row r="43002" spans="62:62" x14ac:dyDescent="0.2">
      <c r="BJ43002" s="201"/>
    </row>
    <row r="43003" spans="62:62" x14ac:dyDescent="0.2">
      <c r="BJ43003" s="201"/>
    </row>
    <row r="43004" spans="62:62" x14ac:dyDescent="0.2">
      <c r="BJ43004" s="201"/>
    </row>
    <row r="43005" spans="62:62" x14ac:dyDescent="0.2">
      <c r="BJ43005" s="201"/>
    </row>
    <row r="43006" spans="62:62" x14ac:dyDescent="0.2">
      <c r="BJ43006" s="201"/>
    </row>
    <row r="43007" spans="62:62" x14ac:dyDescent="0.2">
      <c r="BJ43007" s="201"/>
    </row>
    <row r="43008" spans="62:62" x14ac:dyDescent="0.2">
      <c r="BJ43008" s="201"/>
    </row>
    <row r="43009" spans="62:62" x14ac:dyDescent="0.2">
      <c r="BJ43009" s="201"/>
    </row>
    <row r="43010" spans="62:62" x14ac:dyDescent="0.2">
      <c r="BJ43010" s="201"/>
    </row>
    <row r="43011" spans="62:62" x14ac:dyDescent="0.2">
      <c r="BJ43011" s="201"/>
    </row>
    <row r="43012" spans="62:62" x14ac:dyDescent="0.2">
      <c r="BJ43012" s="201"/>
    </row>
    <row r="43013" spans="62:62" x14ac:dyDescent="0.2">
      <c r="BJ43013" s="201"/>
    </row>
    <row r="43014" spans="62:62" x14ac:dyDescent="0.2">
      <c r="BJ43014" s="201"/>
    </row>
    <row r="43015" spans="62:62" x14ac:dyDescent="0.2">
      <c r="BJ43015" s="201"/>
    </row>
    <row r="43016" spans="62:62" x14ac:dyDescent="0.2">
      <c r="BJ43016" s="201"/>
    </row>
    <row r="43017" spans="62:62" x14ac:dyDescent="0.2">
      <c r="BJ43017" s="201"/>
    </row>
    <row r="43018" spans="62:62" x14ac:dyDescent="0.2">
      <c r="BJ43018" s="201"/>
    </row>
    <row r="43019" spans="62:62" x14ac:dyDescent="0.2">
      <c r="BJ43019" s="201"/>
    </row>
    <row r="43020" spans="62:62" x14ac:dyDescent="0.2">
      <c r="BJ43020" s="201"/>
    </row>
    <row r="43021" spans="62:62" x14ac:dyDescent="0.2">
      <c r="BJ43021" s="201"/>
    </row>
    <row r="43022" spans="62:62" x14ac:dyDescent="0.2">
      <c r="BJ43022" s="201"/>
    </row>
    <row r="43023" spans="62:62" x14ac:dyDescent="0.2">
      <c r="BJ43023" s="201"/>
    </row>
    <row r="43024" spans="62:62" x14ac:dyDescent="0.2">
      <c r="BJ43024" s="201"/>
    </row>
    <row r="43025" spans="62:62" x14ac:dyDescent="0.2">
      <c r="BJ43025" s="201"/>
    </row>
    <row r="43026" spans="62:62" x14ac:dyDescent="0.2">
      <c r="BJ43026" s="201"/>
    </row>
    <row r="43027" spans="62:62" x14ac:dyDescent="0.2">
      <c r="BJ43027" s="201"/>
    </row>
    <row r="43028" spans="62:62" x14ac:dyDescent="0.2">
      <c r="BJ43028" s="201"/>
    </row>
    <row r="43029" spans="62:62" x14ac:dyDescent="0.2">
      <c r="BJ43029" s="201"/>
    </row>
    <row r="43030" spans="62:62" x14ac:dyDescent="0.2">
      <c r="BJ43030" s="201"/>
    </row>
    <row r="43031" spans="62:62" x14ac:dyDescent="0.2">
      <c r="BJ43031" s="201"/>
    </row>
    <row r="43032" spans="62:62" x14ac:dyDescent="0.2">
      <c r="BJ43032" s="201"/>
    </row>
    <row r="43033" spans="62:62" x14ac:dyDescent="0.2">
      <c r="BJ43033" s="201"/>
    </row>
    <row r="43034" spans="62:62" x14ac:dyDescent="0.2">
      <c r="BJ43034" s="201"/>
    </row>
    <row r="43035" spans="62:62" x14ac:dyDescent="0.2">
      <c r="BJ43035" s="201"/>
    </row>
    <row r="43036" spans="62:62" x14ac:dyDescent="0.2">
      <c r="BJ43036" s="201"/>
    </row>
    <row r="43037" spans="62:62" x14ac:dyDescent="0.2">
      <c r="BJ43037" s="201"/>
    </row>
    <row r="43038" spans="62:62" x14ac:dyDescent="0.2">
      <c r="BJ43038" s="201"/>
    </row>
    <row r="43039" spans="62:62" x14ac:dyDescent="0.2">
      <c r="BJ43039" s="201"/>
    </row>
    <row r="43040" spans="62:62" x14ac:dyDescent="0.2">
      <c r="BJ43040" s="201"/>
    </row>
    <row r="43041" spans="62:62" x14ac:dyDescent="0.2">
      <c r="BJ43041" s="201"/>
    </row>
    <row r="43042" spans="62:62" x14ac:dyDescent="0.2">
      <c r="BJ43042" s="201"/>
    </row>
    <row r="43043" spans="62:62" x14ac:dyDescent="0.2">
      <c r="BJ43043" s="201"/>
    </row>
    <row r="43044" spans="62:62" x14ac:dyDescent="0.2">
      <c r="BJ43044" s="201"/>
    </row>
    <row r="43045" spans="62:62" x14ac:dyDescent="0.2">
      <c r="BJ43045" s="201"/>
    </row>
    <row r="43046" spans="62:62" x14ac:dyDescent="0.2">
      <c r="BJ43046" s="201"/>
    </row>
    <row r="43047" spans="62:62" x14ac:dyDescent="0.2">
      <c r="BJ43047" s="201"/>
    </row>
    <row r="43048" spans="62:62" x14ac:dyDescent="0.2">
      <c r="BJ43048" s="201"/>
    </row>
    <row r="43049" spans="62:62" x14ac:dyDescent="0.2">
      <c r="BJ43049" s="201"/>
    </row>
    <row r="43050" spans="62:62" x14ac:dyDescent="0.2">
      <c r="BJ43050" s="201"/>
    </row>
    <row r="43051" spans="62:62" x14ac:dyDescent="0.2">
      <c r="BJ43051" s="201"/>
    </row>
    <row r="43052" spans="62:62" x14ac:dyDescent="0.2">
      <c r="BJ43052" s="201"/>
    </row>
    <row r="43053" spans="62:62" x14ac:dyDescent="0.2">
      <c r="BJ43053" s="201"/>
    </row>
    <row r="43054" spans="62:62" x14ac:dyDescent="0.2">
      <c r="BJ43054" s="201"/>
    </row>
    <row r="43055" spans="62:62" x14ac:dyDescent="0.2">
      <c r="BJ43055" s="201"/>
    </row>
    <row r="43056" spans="62:62" x14ac:dyDescent="0.2">
      <c r="BJ43056" s="201"/>
    </row>
    <row r="43057" spans="62:62" x14ac:dyDescent="0.2">
      <c r="BJ43057" s="201"/>
    </row>
    <row r="43058" spans="62:62" x14ac:dyDescent="0.2">
      <c r="BJ43058" s="201"/>
    </row>
    <row r="43059" spans="62:62" x14ac:dyDescent="0.2">
      <c r="BJ43059" s="201"/>
    </row>
    <row r="43060" spans="62:62" x14ac:dyDescent="0.2">
      <c r="BJ43060" s="201"/>
    </row>
    <row r="43061" spans="62:62" x14ac:dyDescent="0.2">
      <c r="BJ43061" s="201"/>
    </row>
    <row r="43062" spans="62:62" x14ac:dyDescent="0.2">
      <c r="BJ43062" s="201"/>
    </row>
    <row r="43063" spans="62:62" x14ac:dyDescent="0.2">
      <c r="BJ43063" s="201"/>
    </row>
    <row r="43064" spans="62:62" x14ac:dyDescent="0.2">
      <c r="BJ43064" s="201"/>
    </row>
    <row r="43065" spans="62:62" x14ac:dyDescent="0.2">
      <c r="BJ43065" s="201"/>
    </row>
    <row r="43066" spans="62:62" x14ac:dyDescent="0.2">
      <c r="BJ43066" s="201"/>
    </row>
    <row r="43067" spans="62:62" x14ac:dyDescent="0.2">
      <c r="BJ43067" s="201"/>
    </row>
    <row r="43068" spans="62:62" x14ac:dyDescent="0.2">
      <c r="BJ43068" s="201"/>
    </row>
    <row r="43069" spans="62:62" x14ac:dyDescent="0.2">
      <c r="BJ43069" s="201"/>
    </row>
    <row r="43070" spans="62:62" x14ac:dyDescent="0.2">
      <c r="BJ43070" s="201"/>
    </row>
    <row r="43071" spans="62:62" x14ac:dyDescent="0.2">
      <c r="BJ43071" s="201"/>
    </row>
    <row r="43072" spans="62:62" x14ac:dyDescent="0.2">
      <c r="BJ43072" s="201"/>
    </row>
    <row r="43073" spans="62:62" x14ac:dyDescent="0.2">
      <c r="BJ43073" s="201"/>
    </row>
    <row r="43074" spans="62:62" x14ac:dyDescent="0.2">
      <c r="BJ43074" s="201"/>
    </row>
    <row r="43075" spans="62:62" x14ac:dyDescent="0.2">
      <c r="BJ43075" s="201"/>
    </row>
    <row r="43076" spans="62:62" x14ac:dyDescent="0.2">
      <c r="BJ43076" s="201"/>
    </row>
    <row r="43077" spans="62:62" x14ac:dyDescent="0.2">
      <c r="BJ43077" s="201"/>
    </row>
    <row r="43078" spans="62:62" x14ac:dyDescent="0.2">
      <c r="BJ43078" s="201"/>
    </row>
    <row r="43079" spans="62:62" x14ac:dyDescent="0.2">
      <c r="BJ43079" s="201"/>
    </row>
    <row r="43080" spans="62:62" x14ac:dyDescent="0.2">
      <c r="BJ43080" s="201"/>
    </row>
    <row r="43081" spans="62:62" x14ac:dyDescent="0.2">
      <c r="BJ43081" s="201"/>
    </row>
    <row r="43082" spans="62:62" x14ac:dyDescent="0.2">
      <c r="BJ43082" s="201"/>
    </row>
    <row r="43083" spans="62:62" x14ac:dyDescent="0.2">
      <c r="BJ43083" s="201"/>
    </row>
    <row r="43084" spans="62:62" x14ac:dyDescent="0.2">
      <c r="BJ43084" s="201"/>
    </row>
    <row r="43085" spans="62:62" x14ac:dyDescent="0.2">
      <c r="BJ43085" s="201"/>
    </row>
    <row r="43086" spans="62:62" x14ac:dyDescent="0.2">
      <c r="BJ43086" s="201"/>
    </row>
    <row r="43087" spans="62:62" x14ac:dyDescent="0.2">
      <c r="BJ43087" s="201"/>
    </row>
    <row r="43088" spans="62:62" x14ac:dyDescent="0.2">
      <c r="BJ43088" s="201"/>
    </row>
    <row r="43089" spans="62:62" x14ac:dyDescent="0.2">
      <c r="BJ43089" s="201"/>
    </row>
    <row r="43090" spans="62:62" x14ac:dyDescent="0.2">
      <c r="BJ43090" s="201"/>
    </row>
    <row r="43091" spans="62:62" x14ac:dyDescent="0.2">
      <c r="BJ43091" s="201"/>
    </row>
    <row r="43092" spans="62:62" x14ac:dyDescent="0.2">
      <c r="BJ43092" s="201"/>
    </row>
    <row r="43093" spans="62:62" x14ac:dyDescent="0.2">
      <c r="BJ43093" s="201"/>
    </row>
    <row r="43094" spans="62:62" x14ac:dyDescent="0.2">
      <c r="BJ43094" s="201"/>
    </row>
    <row r="43095" spans="62:62" x14ac:dyDescent="0.2">
      <c r="BJ43095" s="201"/>
    </row>
    <row r="43096" spans="62:62" x14ac:dyDescent="0.2">
      <c r="BJ43096" s="201"/>
    </row>
    <row r="43097" spans="62:62" x14ac:dyDescent="0.2">
      <c r="BJ43097" s="201"/>
    </row>
    <row r="43098" spans="62:62" x14ac:dyDescent="0.2">
      <c r="BJ43098" s="201"/>
    </row>
    <row r="43099" spans="62:62" x14ac:dyDescent="0.2">
      <c r="BJ43099" s="201"/>
    </row>
    <row r="43100" spans="62:62" x14ac:dyDescent="0.2">
      <c r="BJ43100" s="201"/>
    </row>
    <row r="43101" spans="62:62" x14ac:dyDescent="0.2">
      <c r="BJ43101" s="201"/>
    </row>
    <row r="43102" spans="62:62" x14ac:dyDescent="0.2">
      <c r="BJ43102" s="201"/>
    </row>
    <row r="43103" spans="62:62" x14ac:dyDescent="0.2">
      <c r="BJ43103" s="201"/>
    </row>
    <row r="43104" spans="62:62" x14ac:dyDescent="0.2">
      <c r="BJ43104" s="201"/>
    </row>
    <row r="43105" spans="62:62" x14ac:dyDescent="0.2">
      <c r="BJ43105" s="201"/>
    </row>
    <row r="43106" spans="62:62" x14ac:dyDescent="0.2">
      <c r="BJ43106" s="201"/>
    </row>
    <row r="43107" spans="62:62" x14ac:dyDescent="0.2">
      <c r="BJ43107" s="201"/>
    </row>
    <row r="43108" spans="62:62" x14ac:dyDescent="0.2">
      <c r="BJ43108" s="201"/>
    </row>
    <row r="43109" spans="62:62" x14ac:dyDescent="0.2">
      <c r="BJ43109" s="201"/>
    </row>
    <row r="43110" spans="62:62" x14ac:dyDescent="0.2">
      <c r="BJ43110" s="201"/>
    </row>
    <row r="43111" spans="62:62" x14ac:dyDescent="0.2">
      <c r="BJ43111" s="201"/>
    </row>
    <row r="43112" spans="62:62" x14ac:dyDescent="0.2">
      <c r="BJ43112" s="201"/>
    </row>
    <row r="43113" spans="62:62" x14ac:dyDescent="0.2">
      <c r="BJ43113" s="201"/>
    </row>
    <row r="43114" spans="62:62" x14ac:dyDescent="0.2">
      <c r="BJ43114" s="201"/>
    </row>
    <row r="43115" spans="62:62" x14ac:dyDescent="0.2">
      <c r="BJ43115" s="201"/>
    </row>
    <row r="43116" spans="62:62" x14ac:dyDescent="0.2">
      <c r="BJ43116" s="201"/>
    </row>
    <row r="43117" spans="62:62" x14ac:dyDescent="0.2">
      <c r="BJ43117" s="201"/>
    </row>
    <row r="43118" spans="62:62" x14ac:dyDescent="0.2">
      <c r="BJ43118" s="201"/>
    </row>
    <row r="43119" spans="62:62" x14ac:dyDescent="0.2">
      <c r="BJ43119" s="201"/>
    </row>
    <row r="43120" spans="62:62" x14ac:dyDescent="0.2">
      <c r="BJ43120" s="201"/>
    </row>
    <row r="43121" spans="62:62" x14ac:dyDescent="0.2">
      <c r="BJ43121" s="201"/>
    </row>
    <row r="43122" spans="62:62" x14ac:dyDescent="0.2">
      <c r="BJ43122" s="201"/>
    </row>
    <row r="43123" spans="62:62" x14ac:dyDescent="0.2">
      <c r="BJ43123" s="201"/>
    </row>
    <row r="43124" spans="62:62" x14ac:dyDescent="0.2">
      <c r="BJ43124" s="201"/>
    </row>
    <row r="43125" spans="62:62" x14ac:dyDescent="0.2">
      <c r="BJ43125" s="201"/>
    </row>
    <row r="43126" spans="62:62" x14ac:dyDescent="0.2">
      <c r="BJ43126" s="201"/>
    </row>
    <row r="43127" spans="62:62" x14ac:dyDescent="0.2">
      <c r="BJ43127" s="201"/>
    </row>
    <row r="43128" spans="62:62" x14ac:dyDescent="0.2">
      <c r="BJ43128" s="201"/>
    </row>
    <row r="43129" spans="62:62" x14ac:dyDescent="0.2">
      <c r="BJ43129" s="201"/>
    </row>
    <row r="43130" spans="62:62" x14ac:dyDescent="0.2">
      <c r="BJ43130" s="201"/>
    </row>
    <row r="43131" spans="62:62" x14ac:dyDescent="0.2">
      <c r="BJ43131" s="201"/>
    </row>
    <row r="43132" spans="62:62" x14ac:dyDescent="0.2">
      <c r="BJ43132" s="201"/>
    </row>
    <row r="43133" spans="62:62" x14ac:dyDescent="0.2">
      <c r="BJ43133" s="201"/>
    </row>
    <row r="43134" spans="62:62" x14ac:dyDescent="0.2">
      <c r="BJ43134" s="201"/>
    </row>
    <row r="43135" spans="62:62" x14ac:dyDescent="0.2">
      <c r="BJ43135" s="201"/>
    </row>
    <row r="43136" spans="62:62" x14ac:dyDescent="0.2">
      <c r="BJ43136" s="201"/>
    </row>
    <row r="43137" spans="62:62" x14ac:dyDescent="0.2">
      <c r="BJ43137" s="201"/>
    </row>
    <row r="43138" spans="62:62" x14ac:dyDescent="0.2">
      <c r="BJ43138" s="201"/>
    </row>
    <row r="43139" spans="62:62" x14ac:dyDescent="0.2">
      <c r="BJ43139" s="201"/>
    </row>
    <row r="43140" spans="62:62" x14ac:dyDescent="0.2">
      <c r="BJ43140" s="201"/>
    </row>
    <row r="43141" spans="62:62" x14ac:dyDescent="0.2">
      <c r="BJ43141" s="201"/>
    </row>
    <row r="43142" spans="62:62" x14ac:dyDescent="0.2">
      <c r="BJ43142" s="201"/>
    </row>
    <row r="43143" spans="62:62" x14ac:dyDescent="0.2">
      <c r="BJ43143" s="201"/>
    </row>
    <row r="43144" spans="62:62" x14ac:dyDescent="0.2">
      <c r="BJ43144" s="201"/>
    </row>
    <row r="43145" spans="62:62" x14ac:dyDescent="0.2">
      <c r="BJ43145" s="201"/>
    </row>
    <row r="43146" spans="62:62" x14ac:dyDescent="0.2">
      <c r="BJ43146" s="201"/>
    </row>
    <row r="43147" spans="62:62" x14ac:dyDescent="0.2">
      <c r="BJ43147" s="201"/>
    </row>
    <row r="43148" spans="62:62" x14ac:dyDescent="0.2">
      <c r="BJ43148" s="201"/>
    </row>
    <row r="43149" spans="62:62" x14ac:dyDescent="0.2">
      <c r="BJ43149" s="201"/>
    </row>
    <row r="43150" spans="62:62" x14ac:dyDescent="0.2">
      <c r="BJ43150" s="201"/>
    </row>
    <row r="43151" spans="62:62" x14ac:dyDescent="0.2">
      <c r="BJ43151" s="201"/>
    </row>
    <row r="43152" spans="62:62" x14ac:dyDescent="0.2">
      <c r="BJ43152" s="201"/>
    </row>
    <row r="43153" spans="62:62" x14ac:dyDescent="0.2">
      <c r="BJ43153" s="201"/>
    </row>
    <row r="43154" spans="62:62" x14ac:dyDescent="0.2">
      <c r="BJ43154" s="201"/>
    </row>
    <row r="43155" spans="62:62" x14ac:dyDescent="0.2">
      <c r="BJ43155" s="201"/>
    </row>
    <row r="43156" spans="62:62" x14ac:dyDescent="0.2">
      <c r="BJ43156" s="201"/>
    </row>
    <row r="43157" spans="62:62" x14ac:dyDescent="0.2">
      <c r="BJ43157" s="201"/>
    </row>
    <row r="43158" spans="62:62" x14ac:dyDescent="0.2">
      <c r="BJ43158" s="201"/>
    </row>
    <row r="43159" spans="62:62" x14ac:dyDescent="0.2">
      <c r="BJ43159" s="201"/>
    </row>
    <row r="43160" spans="62:62" x14ac:dyDescent="0.2">
      <c r="BJ43160" s="201"/>
    </row>
    <row r="43161" spans="62:62" x14ac:dyDescent="0.2">
      <c r="BJ43161" s="201"/>
    </row>
    <row r="43162" spans="62:62" x14ac:dyDescent="0.2">
      <c r="BJ43162" s="201"/>
    </row>
    <row r="43163" spans="62:62" x14ac:dyDescent="0.2">
      <c r="BJ43163" s="201"/>
    </row>
    <row r="43164" spans="62:62" x14ac:dyDescent="0.2">
      <c r="BJ43164" s="201"/>
    </row>
    <row r="43165" spans="62:62" x14ac:dyDescent="0.2">
      <c r="BJ43165" s="201"/>
    </row>
    <row r="43166" spans="62:62" x14ac:dyDescent="0.2">
      <c r="BJ43166" s="201"/>
    </row>
    <row r="43167" spans="62:62" x14ac:dyDescent="0.2">
      <c r="BJ43167" s="201"/>
    </row>
    <row r="43168" spans="62:62" x14ac:dyDescent="0.2">
      <c r="BJ43168" s="201"/>
    </row>
    <row r="43169" spans="62:62" x14ac:dyDescent="0.2">
      <c r="BJ43169" s="201"/>
    </row>
    <row r="43170" spans="62:62" x14ac:dyDescent="0.2">
      <c r="BJ43170" s="201"/>
    </row>
    <row r="43171" spans="62:62" x14ac:dyDescent="0.2">
      <c r="BJ43171" s="201"/>
    </row>
    <row r="43172" spans="62:62" x14ac:dyDescent="0.2">
      <c r="BJ43172" s="201"/>
    </row>
    <row r="43173" spans="62:62" x14ac:dyDescent="0.2">
      <c r="BJ43173" s="201"/>
    </row>
    <row r="43174" spans="62:62" x14ac:dyDescent="0.2">
      <c r="BJ43174" s="201"/>
    </row>
    <row r="43175" spans="62:62" x14ac:dyDescent="0.2">
      <c r="BJ43175" s="201"/>
    </row>
    <row r="43176" spans="62:62" x14ac:dyDescent="0.2">
      <c r="BJ43176" s="201"/>
    </row>
    <row r="43177" spans="62:62" x14ac:dyDescent="0.2">
      <c r="BJ43177" s="201"/>
    </row>
    <row r="43178" spans="62:62" x14ac:dyDescent="0.2">
      <c r="BJ43178" s="201"/>
    </row>
    <row r="43179" spans="62:62" x14ac:dyDescent="0.2">
      <c r="BJ43179" s="201"/>
    </row>
    <row r="43180" spans="62:62" x14ac:dyDescent="0.2">
      <c r="BJ43180" s="201"/>
    </row>
    <row r="43181" spans="62:62" x14ac:dyDescent="0.2">
      <c r="BJ43181" s="201"/>
    </row>
    <row r="43182" spans="62:62" x14ac:dyDescent="0.2">
      <c r="BJ43182" s="201"/>
    </row>
    <row r="43183" spans="62:62" x14ac:dyDescent="0.2">
      <c r="BJ43183" s="201"/>
    </row>
    <row r="43184" spans="62:62" x14ac:dyDescent="0.2">
      <c r="BJ43184" s="201"/>
    </row>
    <row r="43185" spans="62:62" x14ac:dyDescent="0.2">
      <c r="BJ43185" s="201"/>
    </row>
    <row r="43186" spans="62:62" x14ac:dyDescent="0.2">
      <c r="BJ43186" s="201"/>
    </row>
    <row r="43187" spans="62:62" x14ac:dyDescent="0.2">
      <c r="BJ43187" s="201"/>
    </row>
    <row r="43188" spans="62:62" x14ac:dyDescent="0.2">
      <c r="BJ43188" s="201"/>
    </row>
    <row r="43189" spans="62:62" x14ac:dyDescent="0.2">
      <c r="BJ43189" s="201"/>
    </row>
    <row r="43190" spans="62:62" x14ac:dyDescent="0.2">
      <c r="BJ43190" s="201"/>
    </row>
    <row r="43191" spans="62:62" x14ac:dyDescent="0.2">
      <c r="BJ43191" s="201"/>
    </row>
    <row r="43192" spans="62:62" x14ac:dyDescent="0.2">
      <c r="BJ43192" s="201"/>
    </row>
    <row r="43193" spans="62:62" x14ac:dyDescent="0.2">
      <c r="BJ43193" s="201"/>
    </row>
    <row r="43194" spans="62:62" x14ac:dyDescent="0.2">
      <c r="BJ43194" s="201"/>
    </row>
    <row r="43195" spans="62:62" x14ac:dyDescent="0.2">
      <c r="BJ43195" s="201"/>
    </row>
    <row r="43196" spans="62:62" x14ac:dyDescent="0.2">
      <c r="BJ43196" s="201"/>
    </row>
    <row r="43197" spans="62:62" x14ac:dyDescent="0.2">
      <c r="BJ43197" s="201"/>
    </row>
    <row r="43198" spans="62:62" x14ac:dyDescent="0.2">
      <c r="BJ43198" s="201"/>
    </row>
    <row r="43199" spans="62:62" x14ac:dyDescent="0.2">
      <c r="BJ43199" s="201"/>
    </row>
    <row r="43200" spans="62:62" x14ac:dyDescent="0.2">
      <c r="BJ43200" s="201"/>
    </row>
    <row r="43201" spans="62:62" x14ac:dyDescent="0.2">
      <c r="BJ43201" s="201"/>
    </row>
    <row r="43202" spans="62:62" x14ac:dyDescent="0.2">
      <c r="BJ43202" s="201"/>
    </row>
    <row r="43203" spans="62:62" x14ac:dyDescent="0.2">
      <c r="BJ43203" s="201"/>
    </row>
    <row r="43204" spans="62:62" x14ac:dyDescent="0.2">
      <c r="BJ43204" s="201"/>
    </row>
    <row r="43205" spans="62:62" x14ac:dyDescent="0.2">
      <c r="BJ43205" s="201"/>
    </row>
    <row r="43206" spans="62:62" x14ac:dyDescent="0.2">
      <c r="BJ43206" s="201"/>
    </row>
    <row r="43207" spans="62:62" x14ac:dyDescent="0.2">
      <c r="BJ43207" s="201"/>
    </row>
    <row r="43208" spans="62:62" x14ac:dyDescent="0.2">
      <c r="BJ43208" s="201"/>
    </row>
    <row r="43209" spans="62:62" x14ac:dyDescent="0.2">
      <c r="BJ43209" s="201"/>
    </row>
    <row r="43210" spans="62:62" x14ac:dyDescent="0.2">
      <c r="BJ43210" s="201"/>
    </row>
    <row r="43211" spans="62:62" x14ac:dyDescent="0.2">
      <c r="BJ43211" s="201"/>
    </row>
    <row r="43212" spans="62:62" x14ac:dyDescent="0.2">
      <c r="BJ43212" s="201"/>
    </row>
    <row r="43213" spans="62:62" x14ac:dyDescent="0.2">
      <c r="BJ43213" s="201"/>
    </row>
    <row r="43214" spans="62:62" x14ac:dyDescent="0.2">
      <c r="BJ43214" s="201"/>
    </row>
    <row r="43215" spans="62:62" x14ac:dyDescent="0.2">
      <c r="BJ43215" s="201"/>
    </row>
    <row r="43216" spans="62:62" x14ac:dyDescent="0.2">
      <c r="BJ43216" s="201"/>
    </row>
    <row r="43217" spans="62:62" x14ac:dyDescent="0.2">
      <c r="BJ43217" s="201"/>
    </row>
    <row r="43218" spans="62:62" x14ac:dyDescent="0.2">
      <c r="BJ43218" s="201"/>
    </row>
    <row r="43219" spans="62:62" x14ac:dyDescent="0.2">
      <c r="BJ43219" s="201"/>
    </row>
    <row r="43220" spans="62:62" x14ac:dyDescent="0.2">
      <c r="BJ43220" s="201"/>
    </row>
    <row r="43221" spans="62:62" x14ac:dyDescent="0.2">
      <c r="BJ43221" s="201"/>
    </row>
    <row r="43222" spans="62:62" x14ac:dyDescent="0.2">
      <c r="BJ43222" s="201"/>
    </row>
    <row r="43223" spans="62:62" x14ac:dyDescent="0.2">
      <c r="BJ43223" s="201"/>
    </row>
    <row r="43224" spans="62:62" x14ac:dyDescent="0.2">
      <c r="BJ43224" s="201"/>
    </row>
    <row r="43225" spans="62:62" x14ac:dyDescent="0.2">
      <c r="BJ43225" s="201"/>
    </row>
    <row r="43226" spans="62:62" x14ac:dyDescent="0.2">
      <c r="BJ43226" s="201"/>
    </row>
    <row r="43227" spans="62:62" x14ac:dyDescent="0.2">
      <c r="BJ43227" s="201"/>
    </row>
    <row r="43228" spans="62:62" x14ac:dyDescent="0.2">
      <c r="BJ43228" s="201"/>
    </row>
    <row r="43229" spans="62:62" x14ac:dyDescent="0.2">
      <c r="BJ43229" s="201"/>
    </row>
    <row r="43230" spans="62:62" x14ac:dyDescent="0.2">
      <c r="BJ43230" s="201"/>
    </row>
    <row r="43231" spans="62:62" x14ac:dyDescent="0.2">
      <c r="BJ43231" s="201"/>
    </row>
    <row r="43232" spans="62:62" x14ac:dyDescent="0.2">
      <c r="BJ43232" s="201"/>
    </row>
    <row r="43233" spans="62:62" x14ac:dyDescent="0.2">
      <c r="BJ43233" s="201"/>
    </row>
    <row r="43234" spans="62:62" x14ac:dyDescent="0.2">
      <c r="BJ43234" s="201"/>
    </row>
    <row r="43235" spans="62:62" x14ac:dyDescent="0.2">
      <c r="BJ43235" s="201"/>
    </row>
    <row r="43236" spans="62:62" x14ac:dyDescent="0.2">
      <c r="BJ43236" s="201"/>
    </row>
    <row r="43237" spans="62:62" x14ac:dyDescent="0.2">
      <c r="BJ43237" s="201"/>
    </row>
    <row r="43238" spans="62:62" x14ac:dyDescent="0.2">
      <c r="BJ43238" s="201"/>
    </row>
    <row r="43239" spans="62:62" x14ac:dyDescent="0.2">
      <c r="BJ43239" s="201"/>
    </row>
    <row r="43240" spans="62:62" x14ac:dyDescent="0.2">
      <c r="BJ43240" s="201"/>
    </row>
    <row r="43241" spans="62:62" x14ac:dyDescent="0.2">
      <c r="BJ43241" s="201"/>
    </row>
    <row r="43242" spans="62:62" x14ac:dyDescent="0.2">
      <c r="BJ43242" s="201"/>
    </row>
    <row r="43243" spans="62:62" x14ac:dyDescent="0.2">
      <c r="BJ43243" s="201"/>
    </row>
    <row r="43244" spans="62:62" x14ac:dyDescent="0.2">
      <c r="BJ43244" s="201"/>
    </row>
    <row r="43245" spans="62:62" x14ac:dyDescent="0.2">
      <c r="BJ43245" s="201"/>
    </row>
    <row r="43246" spans="62:62" x14ac:dyDescent="0.2">
      <c r="BJ43246" s="201"/>
    </row>
    <row r="43247" spans="62:62" x14ac:dyDescent="0.2">
      <c r="BJ43247" s="201"/>
    </row>
    <row r="43248" spans="62:62" x14ac:dyDescent="0.2">
      <c r="BJ43248" s="201"/>
    </row>
    <row r="43249" spans="62:62" x14ac:dyDescent="0.2">
      <c r="BJ43249" s="201"/>
    </row>
    <row r="43250" spans="62:62" x14ac:dyDescent="0.2">
      <c r="BJ43250" s="201"/>
    </row>
    <row r="43251" spans="62:62" x14ac:dyDescent="0.2">
      <c r="BJ43251" s="201"/>
    </row>
    <row r="43252" spans="62:62" x14ac:dyDescent="0.2">
      <c r="BJ43252" s="201"/>
    </row>
    <row r="43253" spans="62:62" x14ac:dyDescent="0.2">
      <c r="BJ43253" s="201"/>
    </row>
    <row r="43254" spans="62:62" x14ac:dyDescent="0.2">
      <c r="BJ43254" s="201"/>
    </row>
    <row r="43255" spans="62:62" x14ac:dyDescent="0.2">
      <c r="BJ43255" s="201"/>
    </row>
    <row r="43256" spans="62:62" x14ac:dyDescent="0.2">
      <c r="BJ43256" s="201"/>
    </row>
    <row r="43257" spans="62:62" x14ac:dyDescent="0.2">
      <c r="BJ43257" s="201"/>
    </row>
    <row r="43258" spans="62:62" x14ac:dyDescent="0.2">
      <c r="BJ43258" s="201"/>
    </row>
    <row r="43259" spans="62:62" x14ac:dyDescent="0.2">
      <c r="BJ43259" s="201"/>
    </row>
    <row r="43260" spans="62:62" x14ac:dyDescent="0.2">
      <c r="BJ43260" s="201"/>
    </row>
    <row r="43261" spans="62:62" x14ac:dyDescent="0.2">
      <c r="BJ43261" s="201"/>
    </row>
    <row r="43262" spans="62:62" x14ac:dyDescent="0.2">
      <c r="BJ43262" s="201"/>
    </row>
    <row r="43263" spans="62:62" x14ac:dyDescent="0.2">
      <c r="BJ43263" s="201"/>
    </row>
    <row r="43264" spans="62:62" x14ac:dyDescent="0.2">
      <c r="BJ43264" s="201"/>
    </row>
    <row r="43265" spans="62:62" x14ac:dyDescent="0.2">
      <c r="BJ43265" s="201"/>
    </row>
    <row r="43266" spans="62:62" x14ac:dyDescent="0.2">
      <c r="BJ43266" s="201"/>
    </row>
    <row r="43267" spans="62:62" x14ac:dyDescent="0.2">
      <c r="BJ43267" s="201"/>
    </row>
    <row r="43268" spans="62:62" x14ac:dyDescent="0.2">
      <c r="BJ43268" s="201"/>
    </row>
    <row r="43269" spans="62:62" x14ac:dyDescent="0.2">
      <c r="BJ43269" s="201"/>
    </row>
    <row r="43270" spans="62:62" x14ac:dyDescent="0.2">
      <c r="BJ43270" s="201"/>
    </row>
    <row r="43271" spans="62:62" x14ac:dyDescent="0.2">
      <c r="BJ43271" s="201"/>
    </row>
    <row r="43272" spans="62:62" x14ac:dyDescent="0.2">
      <c r="BJ43272" s="201"/>
    </row>
    <row r="43273" spans="62:62" x14ac:dyDescent="0.2">
      <c r="BJ43273" s="201"/>
    </row>
    <row r="43274" spans="62:62" x14ac:dyDescent="0.2">
      <c r="BJ43274" s="201"/>
    </row>
    <row r="43275" spans="62:62" x14ac:dyDescent="0.2">
      <c r="BJ43275" s="201"/>
    </row>
    <row r="43276" spans="62:62" x14ac:dyDescent="0.2">
      <c r="BJ43276" s="201"/>
    </row>
    <row r="43277" spans="62:62" x14ac:dyDescent="0.2">
      <c r="BJ43277" s="201"/>
    </row>
    <row r="43278" spans="62:62" x14ac:dyDescent="0.2">
      <c r="BJ43278" s="201"/>
    </row>
    <row r="43279" spans="62:62" x14ac:dyDescent="0.2">
      <c r="BJ43279" s="201"/>
    </row>
    <row r="43280" spans="62:62" x14ac:dyDescent="0.2">
      <c r="BJ43280" s="201"/>
    </row>
    <row r="43281" spans="62:62" x14ac:dyDescent="0.2">
      <c r="BJ43281" s="201"/>
    </row>
    <row r="43282" spans="62:62" x14ac:dyDescent="0.2">
      <c r="BJ43282" s="201"/>
    </row>
    <row r="43283" spans="62:62" x14ac:dyDescent="0.2">
      <c r="BJ43283" s="201"/>
    </row>
    <row r="43284" spans="62:62" x14ac:dyDescent="0.2">
      <c r="BJ43284" s="201"/>
    </row>
    <row r="43285" spans="62:62" x14ac:dyDescent="0.2">
      <c r="BJ43285" s="201"/>
    </row>
    <row r="43286" spans="62:62" x14ac:dyDescent="0.2">
      <c r="BJ43286" s="201"/>
    </row>
    <row r="43287" spans="62:62" x14ac:dyDescent="0.2">
      <c r="BJ43287" s="201"/>
    </row>
    <row r="43288" spans="62:62" x14ac:dyDescent="0.2">
      <c r="BJ43288" s="201"/>
    </row>
    <row r="43289" spans="62:62" x14ac:dyDescent="0.2">
      <c r="BJ43289" s="201"/>
    </row>
    <row r="43290" spans="62:62" x14ac:dyDescent="0.2">
      <c r="BJ43290" s="201"/>
    </row>
    <row r="43291" spans="62:62" x14ac:dyDescent="0.2">
      <c r="BJ43291" s="201"/>
    </row>
    <row r="43292" spans="62:62" x14ac:dyDescent="0.2">
      <c r="BJ43292" s="201"/>
    </row>
    <row r="43293" spans="62:62" x14ac:dyDescent="0.2">
      <c r="BJ43293" s="201"/>
    </row>
    <row r="43294" spans="62:62" x14ac:dyDescent="0.2">
      <c r="BJ43294" s="201"/>
    </row>
    <row r="43295" spans="62:62" x14ac:dyDescent="0.2">
      <c r="BJ43295" s="201"/>
    </row>
    <row r="43296" spans="62:62" x14ac:dyDescent="0.2">
      <c r="BJ43296" s="201"/>
    </row>
    <row r="43297" spans="62:62" x14ac:dyDescent="0.2">
      <c r="BJ43297" s="201"/>
    </row>
    <row r="43298" spans="62:62" x14ac:dyDescent="0.2">
      <c r="BJ43298" s="201"/>
    </row>
    <row r="43299" spans="62:62" x14ac:dyDescent="0.2">
      <c r="BJ43299" s="201"/>
    </row>
    <row r="43300" spans="62:62" x14ac:dyDescent="0.2">
      <c r="BJ43300" s="201"/>
    </row>
    <row r="43301" spans="62:62" x14ac:dyDescent="0.2">
      <c r="BJ43301" s="201"/>
    </row>
    <row r="43302" spans="62:62" x14ac:dyDescent="0.2">
      <c r="BJ43302" s="201"/>
    </row>
    <row r="43303" spans="62:62" x14ac:dyDescent="0.2">
      <c r="BJ43303" s="201"/>
    </row>
    <row r="43304" spans="62:62" x14ac:dyDescent="0.2">
      <c r="BJ43304" s="201"/>
    </row>
    <row r="43305" spans="62:62" x14ac:dyDescent="0.2">
      <c r="BJ43305" s="201"/>
    </row>
    <row r="43306" spans="62:62" x14ac:dyDescent="0.2">
      <c r="BJ43306" s="201"/>
    </row>
    <row r="43307" spans="62:62" x14ac:dyDescent="0.2">
      <c r="BJ43307" s="201"/>
    </row>
    <row r="43308" spans="62:62" x14ac:dyDescent="0.2">
      <c r="BJ43308" s="201"/>
    </row>
    <row r="43309" spans="62:62" x14ac:dyDescent="0.2">
      <c r="BJ43309" s="201"/>
    </row>
    <row r="43310" spans="62:62" x14ac:dyDescent="0.2">
      <c r="BJ43310" s="201"/>
    </row>
    <row r="43311" spans="62:62" x14ac:dyDescent="0.2">
      <c r="BJ43311" s="201"/>
    </row>
    <row r="43312" spans="62:62" x14ac:dyDescent="0.2">
      <c r="BJ43312" s="201"/>
    </row>
    <row r="43313" spans="62:62" x14ac:dyDescent="0.2">
      <c r="BJ43313" s="201"/>
    </row>
    <row r="43314" spans="62:62" x14ac:dyDescent="0.2">
      <c r="BJ43314" s="201"/>
    </row>
    <row r="43315" spans="62:62" x14ac:dyDescent="0.2">
      <c r="BJ43315" s="201"/>
    </row>
    <row r="43316" spans="62:62" x14ac:dyDescent="0.2">
      <c r="BJ43316" s="201"/>
    </row>
    <row r="43317" spans="62:62" x14ac:dyDescent="0.2">
      <c r="BJ43317" s="201"/>
    </row>
    <row r="43318" spans="62:62" x14ac:dyDescent="0.2">
      <c r="BJ43318" s="201"/>
    </row>
    <row r="43319" spans="62:62" x14ac:dyDescent="0.2">
      <c r="BJ43319" s="201"/>
    </row>
    <row r="43320" spans="62:62" x14ac:dyDescent="0.2">
      <c r="BJ43320" s="201"/>
    </row>
    <row r="43321" spans="62:62" x14ac:dyDescent="0.2">
      <c r="BJ43321" s="201"/>
    </row>
    <row r="43322" spans="62:62" x14ac:dyDescent="0.2">
      <c r="BJ43322" s="201"/>
    </row>
    <row r="43323" spans="62:62" x14ac:dyDescent="0.2">
      <c r="BJ43323" s="201"/>
    </row>
    <row r="43324" spans="62:62" x14ac:dyDescent="0.2">
      <c r="BJ43324" s="201"/>
    </row>
    <row r="43325" spans="62:62" x14ac:dyDescent="0.2">
      <c r="BJ43325" s="201"/>
    </row>
    <row r="43326" spans="62:62" x14ac:dyDescent="0.2">
      <c r="BJ43326" s="201"/>
    </row>
    <row r="43327" spans="62:62" x14ac:dyDescent="0.2">
      <c r="BJ43327" s="201"/>
    </row>
    <row r="43328" spans="62:62" x14ac:dyDescent="0.2">
      <c r="BJ43328" s="201"/>
    </row>
    <row r="43329" spans="62:62" x14ac:dyDescent="0.2">
      <c r="BJ43329" s="201"/>
    </row>
    <row r="43330" spans="62:62" x14ac:dyDescent="0.2">
      <c r="BJ43330" s="201"/>
    </row>
    <row r="43331" spans="62:62" x14ac:dyDescent="0.2">
      <c r="BJ43331" s="201"/>
    </row>
    <row r="43332" spans="62:62" x14ac:dyDescent="0.2">
      <c r="BJ43332" s="201"/>
    </row>
    <row r="43333" spans="62:62" x14ac:dyDescent="0.2">
      <c r="BJ43333" s="201"/>
    </row>
    <row r="43334" spans="62:62" x14ac:dyDescent="0.2">
      <c r="BJ43334" s="201"/>
    </row>
    <row r="43335" spans="62:62" x14ac:dyDescent="0.2">
      <c r="BJ43335" s="201"/>
    </row>
    <row r="43336" spans="62:62" x14ac:dyDescent="0.2">
      <c r="BJ43336" s="201"/>
    </row>
    <row r="43337" spans="62:62" x14ac:dyDescent="0.2">
      <c r="BJ43337" s="201"/>
    </row>
    <row r="43338" spans="62:62" x14ac:dyDescent="0.2">
      <c r="BJ43338" s="201"/>
    </row>
    <row r="43339" spans="62:62" x14ac:dyDescent="0.2">
      <c r="BJ43339" s="201"/>
    </row>
    <row r="43340" spans="62:62" x14ac:dyDescent="0.2">
      <c r="BJ43340" s="201"/>
    </row>
    <row r="43341" spans="62:62" x14ac:dyDescent="0.2">
      <c r="BJ43341" s="201"/>
    </row>
    <row r="43342" spans="62:62" x14ac:dyDescent="0.2">
      <c r="BJ43342" s="201"/>
    </row>
    <row r="43343" spans="62:62" x14ac:dyDescent="0.2">
      <c r="BJ43343" s="201"/>
    </row>
    <row r="43344" spans="62:62" x14ac:dyDescent="0.2">
      <c r="BJ43344" s="201"/>
    </row>
    <row r="43345" spans="62:62" x14ac:dyDescent="0.2">
      <c r="BJ43345" s="201"/>
    </row>
    <row r="43346" spans="62:62" x14ac:dyDescent="0.2">
      <c r="BJ43346" s="201"/>
    </row>
    <row r="43347" spans="62:62" x14ac:dyDescent="0.2">
      <c r="BJ43347" s="201"/>
    </row>
    <row r="43348" spans="62:62" x14ac:dyDescent="0.2">
      <c r="BJ43348" s="201"/>
    </row>
    <row r="43349" spans="62:62" x14ac:dyDescent="0.2">
      <c r="BJ43349" s="201"/>
    </row>
    <row r="43350" spans="62:62" x14ac:dyDescent="0.2">
      <c r="BJ43350" s="201"/>
    </row>
    <row r="43351" spans="62:62" x14ac:dyDescent="0.2">
      <c r="BJ43351" s="201"/>
    </row>
    <row r="43352" spans="62:62" x14ac:dyDescent="0.2">
      <c r="BJ43352" s="201"/>
    </row>
    <row r="43353" spans="62:62" x14ac:dyDescent="0.2">
      <c r="BJ43353" s="201"/>
    </row>
    <row r="43354" spans="62:62" x14ac:dyDescent="0.2">
      <c r="BJ43354" s="201"/>
    </row>
    <row r="43355" spans="62:62" x14ac:dyDescent="0.2">
      <c r="BJ43355" s="201"/>
    </row>
    <row r="43356" spans="62:62" x14ac:dyDescent="0.2">
      <c r="BJ43356" s="201"/>
    </row>
    <row r="43357" spans="62:62" x14ac:dyDescent="0.2">
      <c r="BJ43357" s="201"/>
    </row>
    <row r="43358" spans="62:62" x14ac:dyDescent="0.2">
      <c r="BJ43358" s="201"/>
    </row>
    <row r="43359" spans="62:62" x14ac:dyDescent="0.2">
      <c r="BJ43359" s="201"/>
    </row>
    <row r="43360" spans="62:62" x14ac:dyDescent="0.2">
      <c r="BJ43360" s="201"/>
    </row>
    <row r="43361" spans="62:62" x14ac:dyDescent="0.2">
      <c r="BJ43361" s="201"/>
    </row>
    <row r="43362" spans="62:62" x14ac:dyDescent="0.2">
      <c r="BJ43362" s="201"/>
    </row>
    <row r="43363" spans="62:62" x14ac:dyDescent="0.2">
      <c r="BJ43363" s="201"/>
    </row>
    <row r="43364" spans="62:62" x14ac:dyDescent="0.2">
      <c r="BJ43364" s="201"/>
    </row>
    <row r="43365" spans="62:62" x14ac:dyDescent="0.2">
      <c r="BJ43365" s="201"/>
    </row>
    <row r="43366" spans="62:62" x14ac:dyDescent="0.2">
      <c r="BJ43366" s="201"/>
    </row>
    <row r="43367" spans="62:62" x14ac:dyDescent="0.2">
      <c r="BJ43367" s="201"/>
    </row>
    <row r="43368" spans="62:62" x14ac:dyDescent="0.2">
      <c r="BJ43368" s="201"/>
    </row>
    <row r="43369" spans="62:62" x14ac:dyDescent="0.2">
      <c r="BJ43369" s="201"/>
    </row>
    <row r="43370" spans="62:62" x14ac:dyDescent="0.2">
      <c r="BJ43370" s="201"/>
    </row>
    <row r="43371" spans="62:62" x14ac:dyDescent="0.2">
      <c r="BJ43371" s="201"/>
    </row>
    <row r="43372" spans="62:62" x14ac:dyDescent="0.2">
      <c r="BJ43372" s="201"/>
    </row>
    <row r="43373" spans="62:62" x14ac:dyDescent="0.2">
      <c r="BJ43373" s="201"/>
    </row>
    <row r="43374" spans="62:62" x14ac:dyDescent="0.2">
      <c r="BJ43374" s="201"/>
    </row>
    <row r="43375" spans="62:62" x14ac:dyDescent="0.2">
      <c r="BJ43375" s="201"/>
    </row>
    <row r="43376" spans="62:62" x14ac:dyDescent="0.2">
      <c r="BJ43376" s="201"/>
    </row>
    <row r="43377" spans="62:62" x14ac:dyDescent="0.2">
      <c r="BJ43377" s="201"/>
    </row>
    <row r="43378" spans="62:62" x14ac:dyDescent="0.2">
      <c r="BJ43378" s="201"/>
    </row>
    <row r="43379" spans="62:62" x14ac:dyDescent="0.2">
      <c r="BJ43379" s="201"/>
    </row>
    <row r="43380" spans="62:62" x14ac:dyDescent="0.2">
      <c r="BJ43380" s="201"/>
    </row>
    <row r="43381" spans="62:62" x14ac:dyDescent="0.2">
      <c r="BJ43381" s="201"/>
    </row>
    <row r="43382" spans="62:62" x14ac:dyDescent="0.2">
      <c r="BJ43382" s="201"/>
    </row>
    <row r="43383" spans="62:62" x14ac:dyDescent="0.2">
      <c r="BJ43383" s="201"/>
    </row>
    <row r="43384" spans="62:62" x14ac:dyDescent="0.2">
      <c r="BJ43384" s="201"/>
    </row>
    <row r="43385" spans="62:62" x14ac:dyDescent="0.2">
      <c r="BJ43385" s="201"/>
    </row>
    <row r="43386" spans="62:62" x14ac:dyDescent="0.2">
      <c r="BJ43386" s="201"/>
    </row>
    <row r="43387" spans="62:62" x14ac:dyDescent="0.2">
      <c r="BJ43387" s="201"/>
    </row>
    <row r="43388" spans="62:62" x14ac:dyDescent="0.2">
      <c r="BJ43388" s="201"/>
    </row>
    <row r="43389" spans="62:62" x14ac:dyDescent="0.2">
      <c r="BJ43389" s="201"/>
    </row>
    <row r="43390" spans="62:62" x14ac:dyDescent="0.2">
      <c r="BJ43390" s="201"/>
    </row>
    <row r="43391" spans="62:62" x14ac:dyDescent="0.2">
      <c r="BJ43391" s="201"/>
    </row>
    <row r="43392" spans="62:62" x14ac:dyDescent="0.2">
      <c r="BJ43392" s="201"/>
    </row>
    <row r="43393" spans="62:62" x14ac:dyDescent="0.2">
      <c r="BJ43393" s="201"/>
    </row>
    <row r="43394" spans="62:62" x14ac:dyDescent="0.2">
      <c r="BJ43394" s="201"/>
    </row>
    <row r="43395" spans="62:62" x14ac:dyDescent="0.2">
      <c r="BJ43395" s="201"/>
    </row>
    <row r="43396" spans="62:62" x14ac:dyDescent="0.2">
      <c r="BJ43396" s="201"/>
    </row>
    <row r="43397" spans="62:62" x14ac:dyDescent="0.2">
      <c r="BJ43397" s="201"/>
    </row>
    <row r="43398" spans="62:62" x14ac:dyDescent="0.2">
      <c r="BJ43398" s="201"/>
    </row>
    <row r="43399" spans="62:62" x14ac:dyDescent="0.2">
      <c r="BJ43399" s="201"/>
    </row>
    <row r="43400" spans="62:62" x14ac:dyDescent="0.2">
      <c r="BJ43400" s="201"/>
    </row>
    <row r="43401" spans="62:62" x14ac:dyDescent="0.2">
      <c r="BJ43401" s="201"/>
    </row>
    <row r="43402" spans="62:62" x14ac:dyDescent="0.2">
      <c r="BJ43402" s="201"/>
    </row>
    <row r="43403" spans="62:62" x14ac:dyDescent="0.2">
      <c r="BJ43403" s="201"/>
    </row>
    <row r="43404" spans="62:62" x14ac:dyDescent="0.2">
      <c r="BJ43404" s="201"/>
    </row>
    <row r="43405" spans="62:62" x14ac:dyDescent="0.2">
      <c r="BJ43405" s="201"/>
    </row>
    <row r="43406" spans="62:62" x14ac:dyDescent="0.2">
      <c r="BJ43406" s="201"/>
    </row>
    <row r="43407" spans="62:62" x14ac:dyDescent="0.2">
      <c r="BJ43407" s="201"/>
    </row>
    <row r="43408" spans="62:62" x14ac:dyDescent="0.2">
      <c r="BJ43408" s="201"/>
    </row>
    <row r="43409" spans="62:62" x14ac:dyDescent="0.2">
      <c r="BJ43409" s="201"/>
    </row>
    <row r="43410" spans="62:62" x14ac:dyDescent="0.2">
      <c r="BJ43410" s="201"/>
    </row>
    <row r="43411" spans="62:62" x14ac:dyDescent="0.2">
      <c r="BJ43411" s="201"/>
    </row>
    <row r="43412" spans="62:62" x14ac:dyDescent="0.2">
      <c r="BJ43412" s="201"/>
    </row>
    <row r="43413" spans="62:62" x14ac:dyDescent="0.2">
      <c r="BJ43413" s="201"/>
    </row>
    <row r="43414" spans="62:62" x14ac:dyDescent="0.2">
      <c r="BJ43414" s="201"/>
    </row>
    <row r="43415" spans="62:62" x14ac:dyDescent="0.2">
      <c r="BJ43415" s="201"/>
    </row>
    <row r="43416" spans="62:62" x14ac:dyDescent="0.2">
      <c r="BJ43416" s="201"/>
    </row>
    <row r="43417" spans="62:62" x14ac:dyDescent="0.2">
      <c r="BJ43417" s="201"/>
    </row>
    <row r="43418" spans="62:62" x14ac:dyDescent="0.2">
      <c r="BJ43418" s="201"/>
    </row>
    <row r="43419" spans="62:62" x14ac:dyDescent="0.2">
      <c r="BJ43419" s="201"/>
    </row>
    <row r="43420" spans="62:62" x14ac:dyDescent="0.2">
      <c r="BJ43420" s="201"/>
    </row>
    <row r="43421" spans="62:62" x14ac:dyDescent="0.2">
      <c r="BJ43421" s="201"/>
    </row>
    <row r="43422" spans="62:62" x14ac:dyDescent="0.2">
      <c r="BJ43422" s="201"/>
    </row>
    <row r="43423" spans="62:62" x14ac:dyDescent="0.2">
      <c r="BJ43423" s="201"/>
    </row>
    <row r="43424" spans="62:62" x14ac:dyDescent="0.2">
      <c r="BJ43424" s="201"/>
    </row>
    <row r="43425" spans="62:62" x14ac:dyDescent="0.2">
      <c r="BJ43425" s="201"/>
    </row>
    <row r="43426" spans="62:62" x14ac:dyDescent="0.2">
      <c r="BJ43426" s="201"/>
    </row>
    <row r="43427" spans="62:62" x14ac:dyDescent="0.2">
      <c r="BJ43427" s="201"/>
    </row>
    <row r="43428" spans="62:62" x14ac:dyDescent="0.2">
      <c r="BJ43428" s="201"/>
    </row>
    <row r="43429" spans="62:62" x14ac:dyDescent="0.2">
      <c r="BJ43429" s="201"/>
    </row>
    <row r="43430" spans="62:62" x14ac:dyDescent="0.2">
      <c r="BJ43430" s="201"/>
    </row>
    <row r="43431" spans="62:62" x14ac:dyDescent="0.2">
      <c r="BJ43431" s="201"/>
    </row>
    <row r="43432" spans="62:62" x14ac:dyDescent="0.2">
      <c r="BJ43432" s="201"/>
    </row>
    <row r="43433" spans="62:62" x14ac:dyDescent="0.2">
      <c r="BJ43433" s="201"/>
    </row>
    <row r="43434" spans="62:62" x14ac:dyDescent="0.2">
      <c r="BJ43434" s="201"/>
    </row>
    <row r="43435" spans="62:62" x14ac:dyDescent="0.2">
      <c r="BJ43435" s="201"/>
    </row>
    <row r="43436" spans="62:62" x14ac:dyDescent="0.2">
      <c r="BJ43436" s="201"/>
    </row>
    <row r="43437" spans="62:62" x14ac:dyDescent="0.2">
      <c r="BJ43437" s="201"/>
    </row>
    <row r="43438" spans="62:62" x14ac:dyDescent="0.2">
      <c r="BJ43438" s="201"/>
    </row>
    <row r="43439" spans="62:62" x14ac:dyDescent="0.2">
      <c r="BJ43439" s="201"/>
    </row>
    <row r="43440" spans="62:62" x14ac:dyDescent="0.2">
      <c r="BJ43440" s="201"/>
    </row>
    <row r="43441" spans="62:62" x14ac:dyDescent="0.2">
      <c r="BJ43441" s="201"/>
    </row>
    <row r="43442" spans="62:62" x14ac:dyDescent="0.2">
      <c r="BJ43442" s="201"/>
    </row>
    <row r="43443" spans="62:62" x14ac:dyDescent="0.2">
      <c r="BJ43443" s="201"/>
    </row>
    <row r="43444" spans="62:62" x14ac:dyDescent="0.2">
      <c r="BJ43444" s="201"/>
    </row>
    <row r="43445" spans="62:62" x14ac:dyDescent="0.2">
      <c r="BJ43445" s="201"/>
    </row>
    <row r="43446" spans="62:62" x14ac:dyDescent="0.2">
      <c r="BJ43446" s="201"/>
    </row>
    <row r="43447" spans="62:62" x14ac:dyDescent="0.2">
      <c r="BJ43447" s="201"/>
    </row>
    <row r="43448" spans="62:62" x14ac:dyDescent="0.2">
      <c r="BJ43448" s="201"/>
    </row>
    <row r="43449" spans="62:62" x14ac:dyDescent="0.2">
      <c r="BJ43449" s="201"/>
    </row>
    <row r="43450" spans="62:62" x14ac:dyDescent="0.2">
      <c r="BJ43450" s="201"/>
    </row>
    <row r="43451" spans="62:62" x14ac:dyDescent="0.2">
      <c r="BJ43451" s="201"/>
    </row>
    <row r="43452" spans="62:62" x14ac:dyDescent="0.2">
      <c r="BJ43452" s="201"/>
    </row>
    <row r="43453" spans="62:62" x14ac:dyDescent="0.2">
      <c r="BJ43453" s="201"/>
    </row>
    <row r="43454" spans="62:62" x14ac:dyDescent="0.2">
      <c r="BJ43454" s="201"/>
    </row>
    <row r="43455" spans="62:62" x14ac:dyDescent="0.2">
      <c r="BJ43455" s="201"/>
    </row>
    <row r="43456" spans="62:62" x14ac:dyDescent="0.2">
      <c r="BJ43456" s="201"/>
    </row>
    <row r="43457" spans="62:62" x14ac:dyDescent="0.2">
      <c r="BJ43457" s="201"/>
    </row>
    <row r="43458" spans="62:62" x14ac:dyDescent="0.2">
      <c r="BJ43458" s="201"/>
    </row>
    <row r="43459" spans="62:62" x14ac:dyDescent="0.2">
      <c r="BJ43459" s="201"/>
    </row>
    <row r="43460" spans="62:62" x14ac:dyDescent="0.2">
      <c r="BJ43460" s="201"/>
    </row>
    <row r="43461" spans="62:62" x14ac:dyDescent="0.2">
      <c r="BJ43461" s="201"/>
    </row>
    <row r="43462" spans="62:62" x14ac:dyDescent="0.2">
      <c r="BJ43462" s="201"/>
    </row>
    <row r="43463" spans="62:62" x14ac:dyDescent="0.2">
      <c r="BJ43463" s="201"/>
    </row>
    <row r="43464" spans="62:62" x14ac:dyDescent="0.2">
      <c r="BJ43464" s="201"/>
    </row>
    <row r="43465" spans="62:62" x14ac:dyDescent="0.2">
      <c r="BJ43465" s="201"/>
    </row>
    <row r="43466" spans="62:62" x14ac:dyDescent="0.2">
      <c r="BJ43466" s="201"/>
    </row>
    <row r="43467" spans="62:62" x14ac:dyDescent="0.2">
      <c r="BJ43467" s="201"/>
    </row>
    <row r="43468" spans="62:62" x14ac:dyDescent="0.2">
      <c r="BJ43468" s="201"/>
    </row>
    <row r="43469" spans="62:62" x14ac:dyDescent="0.2">
      <c r="BJ43469" s="201"/>
    </row>
    <row r="43470" spans="62:62" x14ac:dyDescent="0.2">
      <c r="BJ43470" s="201"/>
    </row>
    <row r="43471" spans="62:62" x14ac:dyDescent="0.2">
      <c r="BJ43471" s="201"/>
    </row>
    <row r="43472" spans="62:62" x14ac:dyDescent="0.2">
      <c r="BJ43472" s="201"/>
    </row>
    <row r="43473" spans="62:62" x14ac:dyDescent="0.2">
      <c r="BJ43473" s="201"/>
    </row>
    <row r="43474" spans="62:62" x14ac:dyDescent="0.2">
      <c r="BJ43474" s="201"/>
    </row>
    <row r="43475" spans="62:62" x14ac:dyDescent="0.2">
      <c r="BJ43475" s="201"/>
    </row>
    <row r="43476" spans="62:62" x14ac:dyDescent="0.2">
      <c r="BJ43476" s="201"/>
    </row>
    <row r="43477" spans="62:62" x14ac:dyDescent="0.2">
      <c r="BJ43477" s="201"/>
    </row>
    <row r="43478" spans="62:62" x14ac:dyDescent="0.2">
      <c r="BJ43478" s="201"/>
    </row>
    <row r="43479" spans="62:62" x14ac:dyDescent="0.2">
      <c r="BJ43479" s="201"/>
    </row>
    <row r="43480" spans="62:62" x14ac:dyDescent="0.2">
      <c r="BJ43480" s="201"/>
    </row>
    <row r="43481" spans="62:62" x14ac:dyDescent="0.2">
      <c r="BJ43481" s="201"/>
    </row>
    <row r="43482" spans="62:62" x14ac:dyDescent="0.2">
      <c r="BJ43482" s="201"/>
    </row>
    <row r="43483" spans="62:62" x14ac:dyDescent="0.2">
      <c r="BJ43483" s="201"/>
    </row>
    <row r="43484" spans="62:62" x14ac:dyDescent="0.2">
      <c r="BJ43484" s="201"/>
    </row>
    <row r="43485" spans="62:62" x14ac:dyDescent="0.2">
      <c r="BJ43485" s="201"/>
    </row>
    <row r="43486" spans="62:62" x14ac:dyDescent="0.2">
      <c r="BJ43486" s="201"/>
    </row>
    <row r="43487" spans="62:62" x14ac:dyDescent="0.2">
      <c r="BJ43487" s="201"/>
    </row>
    <row r="43488" spans="62:62" x14ac:dyDescent="0.2">
      <c r="BJ43488" s="201"/>
    </row>
    <row r="43489" spans="62:62" x14ac:dyDescent="0.2">
      <c r="BJ43489" s="201"/>
    </row>
    <row r="43490" spans="62:62" x14ac:dyDescent="0.2">
      <c r="BJ43490" s="201"/>
    </row>
    <row r="43491" spans="62:62" x14ac:dyDescent="0.2">
      <c r="BJ43491" s="201"/>
    </row>
    <row r="43492" spans="62:62" x14ac:dyDescent="0.2">
      <c r="BJ43492" s="201"/>
    </row>
    <row r="43493" spans="62:62" x14ac:dyDescent="0.2">
      <c r="BJ43493" s="201"/>
    </row>
    <row r="43494" spans="62:62" x14ac:dyDescent="0.2">
      <c r="BJ43494" s="201"/>
    </row>
    <row r="43495" spans="62:62" x14ac:dyDescent="0.2">
      <c r="BJ43495" s="201"/>
    </row>
    <row r="43496" spans="62:62" x14ac:dyDescent="0.2">
      <c r="BJ43496" s="201"/>
    </row>
    <row r="43497" spans="62:62" x14ac:dyDescent="0.2">
      <c r="BJ43497" s="201"/>
    </row>
    <row r="43498" spans="62:62" x14ac:dyDescent="0.2">
      <c r="BJ43498" s="201"/>
    </row>
    <row r="43499" spans="62:62" x14ac:dyDescent="0.2">
      <c r="BJ43499" s="201"/>
    </row>
    <row r="43500" spans="62:62" x14ac:dyDescent="0.2">
      <c r="BJ43500" s="201"/>
    </row>
    <row r="43501" spans="62:62" x14ac:dyDescent="0.2">
      <c r="BJ43501" s="201"/>
    </row>
    <row r="43502" spans="62:62" x14ac:dyDescent="0.2">
      <c r="BJ43502" s="201"/>
    </row>
    <row r="43503" spans="62:62" x14ac:dyDescent="0.2">
      <c r="BJ43503" s="201"/>
    </row>
    <row r="43504" spans="62:62" x14ac:dyDescent="0.2">
      <c r="BJ43504" s="201"/>
    </row>
    <row r="43505" spans="62:62" x14ac:dyDescent="0.2">
      <c r="BJ43505" s="201"/>
    </row>
    <row r="43506" spans="62:62" x14ac:dyDescent="0.2">
      <c r="BJ43506" s="201"/>
    </row>
    <row r="43507" spans="62:62" x14ac:dyDescent="0.2">
      <c r="BJ43507" s="201"/>
    </row>
    <row r="43508" spans="62:62" x14ac:dyDescent="0.2">
      <c r="BJ43508" s="201"/>
    </row>
    <row r="43509" spans="62:62" x14ac:dyDescent="0.2">
      <c r="BJ43509" s="201"/>
    </row>
    <row r="43510" spans="62:62" x14ac:dyDescent="0.2">
      <c r="BJ43510" s="201"/>
    </row>
    <row r="43511" spans="62:62" x14ac:dyDescent="0.2">
      <c r="BJ43511" s="201"/>
    </row>
    <row r="43512" spans="62:62" x14ac:dyDescent="0.2">
      <c r="BJ43512" s="201"/>
    </row>
    <row r="43513" spans="62:62" x14ac:dyDescent="0.2">
      <c r="BJ43513" s="201"/>
    </row>
    <row r="43514" spans="62:62" x14ac:dyDescent="0.2">
      <c r="BJ43514" s="201"/>
    </row>
    <row r="43515" spans="62:62" x14ac:dyDescent="0.2">
      <c r="BJ43515" s="201"/>
    </row>
    <row r="43516" spans="62:62" x14ac:dyDescent="0.2">
      <c r="BJ43516" s="201"/>
    </row>
    <row r="43517" spans="62:62" x14ac:dyDescent="0.2">
      <c r="BJ43517" s="201"/>
    </row>
    <row r="43518" spans="62:62" x14ac:dyDescent="0.2">
      <c r="BJ43518" s="201"/>
    </row>
    <row r="43519" spans="62:62" x14ac:dyDescent="0.2">
      <c r="BJ43519" s="201"/>
    </row>
    <row r="43520" spans="62:62" x14ac:dyDescent="0.2">
      <c r="BJ43520" s="201"/>
    </row>
    <row r="43521" spans="62:62" x14ac:dyDescent="0.2">
      <c r="BJ43521" s="201"/>
    </row>
    <row r="43522" spans="62:62" x14ac:dyDescent="0.2">
      <c r="BJ43522" s="201"/>
    </row>
    <row r="43523" spans="62:62" x14ac:dyDescent="0.2">
      <c r="BJ43523" s="201"/>
    </row>
    <row r="43524" spans="62:62" x14ac:dyDescent="0.2">
      <c r="BJ43524" s="201"/>
    </row>
    <row r="43525" spans="62:62" x14ac:dyDescent="0.2">
      <c r="BJ43525" s="201"/>
    </row>
    <row r="43526" spans="62:62" x14ac:dyDescent="0.2">
      <c r="BJ43526" s="201"/>
    </row>
    <row r="43527" spans="62:62" x14ac:dyDescent="0.2">
      <c r="BJ43527" s="201"/>
    </row>
    <row r="43528" spans="62:62" x14ac:dyDescent="0.2">
      <c r="BJ43528" s="201"/>
    </row>
    <row r="43529" spans="62:62" x14ac:dyDescent="0.2">
      <c r="BJ43529" s="201"/>
    </row>
    <row r="43530" spans="62:62" x14ac:dyDescent="0.2">
      <c r="BJ43530" s="201"/>
    </row>
    <row r="43531" spans="62:62" x14ac:dyDescent="0.2">
      <c r="BJ43531" s="201"/>
    </row>
    <row r="43532" spans="62:62" x14ac:dyDescent="0.2">
      <c r="BJ43532" s="201"/>
    </row>
    <row r="43533" spans="62:62" x14ac:dyDescent="0.2">
      <c r="BJ43533" s="201"/>
    </row>
    <row r="43534" spans="62:62" x14ac:dyDescent="0.2">
      <c r="BJ43534" s="201"/>
    </row>
    <row r="43535" spans="62:62" x14ac:dyDescent="0.2">
      <c r="BJ43535" s="201"/>
    </row>
    <row r="43536" spans="62:62" x14ac:dyDescent="0.2">
      <c r="BJ43536" s="201"/>
    </row>
    <row r="43537" spans="62:62" x14ac:dyDescent="0.2">
      <c r="BJ43537" s="201"/>
    </row>
    <row r="43538" spans="62:62" x14ac:dyDescent="0.2">
      <c r="BJ43538" s="201"/>
    </row>
    <row r="43539" spans="62:62" x14ac:dyDescent="0.2">
      <c r="BJ43539" s="201"/>
    </row>
    <row r="43540" spans="62:62" x14ac:dyDescent="0.2">
      <c r="BJ43540" s="201"/>
    </row>
    <row r="43541" spans="62:62" x14ac:dyDescent="0.2">
      <c r="BJ43541" s="201"/>
    </row>
    <row r="43542" spans="62:62" x14ac:dyDescent="0.2">
      <c r="BJ43542" s="201"/>
    </row>
    <row r="43543" spans="62:62" x14ac:dyDescent="0.2">
      <c r="BJ43543" s="201"/>
    </row>
    <row r="43544" spans="62:62" x14ac:dyDescent="0.2">
      <c r="BJ43544" s="201"/>
    </row>
    <row r="43545" spans="62:62" x14ac:dyDescent="0.2">
      <c r="BJ43545" s="201"/>
    </row>
    <row r="43546" spans="62:62" x14ac:dyDescent="0.2">
      <c r="BJ43546" s="201"/>
    </row>
    <row r="43547" spans="62:62" x14ac:dyDescent="0.2">
      <c r="BJ43547" s="201"/>
    </row>
    <row r="43548" spans="62:62" x14ac:dyDescent="0.2">
      <c r="BJ43548" s="201"/>
    </row>
    <row r="43549" spans="62:62" x14ac:dyDescent="0.2">
      <c r="BJ43549" s="201"/>
    </row>
    <row r="43550" spans="62:62" x14ac:dyDescent="0.2">
      <c r="BJ43550" s="201"/>
    </row>
    <row r="43551" spans="62:62" x14ac:dyDescent="0.2">
      <c r="BJ43551" s="201"/>
    </row>
    <row r="43552" spans="62:62" x14ac:dyDescent="0.2">
      <c r="BJ43552" s="201"/>
    </row>
    <row r="43553" spans="62:62" x14ac:dyDescent="0.2">
      <c r="BJ43553" s="201"/>
    </row>
    <row r="43554" spans="62:62" x14ac:dyDescent="0.2">
      <c r="BJ43554" s="201"/>
    </row>
    <row r="43555" spans="62:62" x14ac:dyDescent="0.2">
      <c r="BJ43555" s="201"/>
    </row>
    <row r="43556" spans="62:62" x14ac:dyDescent="0.2">
      <c r="BJ43556" s="201"/>
    </row>
    <row r="43557" spans="62:62" x14ac:dyDescent="0.2">
      <c r="BJ43557" s="201"/>
    </row>
    <row r="43558" spans="62:62" x14ac:dyDescent="0.2">
      <c r="BJ43558" s="201"/>
    </row>
    <row r="43559" spans="62:62" x14ac:dyDescent="0.2">
      <c r="BJ43559" s="201"/>
    </row>
    <row r="43560" spans="62:62" x14ac:dyDescent="0.2">
      <c r="BJ43560" s="201"/>
    </row>
    <row r="43561" spans="62:62" x14ac:dyDescent="0.2">
      <c r="BJ43561" s="201"/>
    </row>
    <row r="43562" spans="62:62" x14ac:dyDescent="0.2">
      <c r="BJ43562" s="201"/>
    </row>
    <row r="43563" spans="62:62" x14ac:dyDescent="0.2">
      <c r="BJ43563" s="201"/>
    </row>
    <row r="43564" spans="62:62" x14ac:dyDescent="0.2">
      <c r="BJ43564" s="201"/>
    </row>
    <row r="43565" spans="62:62" x14ac:dyDescent="0.2">
      <c r="BJ43565" s="201"/>
    </row>
    <row r="43566" spans="62:62" x14ac:dyDescent="0.2">
      <c r="BJ43566" s="201"/>
    </row>
    <row r="43567" spans="62:62" x14ac:dyDescent="0.2">
      <c r="BJ43567" s="201"/>
    </row>
    <row r="43568" spans="62:62" x14ac:dyDescent="0.2">
      <c r="BJ43568" s="201"/>
    </row>
    <row r="43569" spans="62:62" x14ac:dyDescent="0.2">
      <c r="BJ43569" s="201"/>
    </row>
    <row r="43570" spans="62:62" x14ac:dyDescent="0.2">
      <c r="BJ43570" s="201"/>
    </row>
    <row r="43571" spans="62:62" x14ac:dyDescent="0.2">
      <c r="BJ43571" s="201"/>
    </row>
    <row r="43572" spans="62:62" x14ac:dyDescent="0.2">
      <c r="BJ43572" s="201"/>
    </row>
    <row r="43573" spans="62:62" x14ac:dyDescent="0.2">
      <c r="BJ43573" s="201"/>
    </row>
    <row r="43574" spans="62:62" x14ac:dyDescent="0.2">
      <c r="BJ43574" s="201"/>
    </row>
    <row r="43575" spans="62:62" x14ac:dyDescent="0.2">
      <c r="BJ43575" s="201"/>
    </row>
    <row r="43576" spans="62:62" x14ac:dyDescent="0.2">
      <c r="BJ43576" s="201"/>
    </row>
    <row r="43577" spans="62:62" x14ac:dyDescent="0.2">
      <c r="BJ43577" s="201"/>
    </row>
    <row r="43578" spans="62:62" x14ac:dyDescent="0.2">
      <c r="BJ43578" s="201"/>
    </row>
    <row r="43579" spans="62:62" x14ac:dyDescent="0.2">
      <c r="BJ43579" s="201"/>
    </row>
    <row r="43580" spans="62:62" x14ac:dyDescent="0.2">
      <c r="BJ43580" s="201"/>
    </row>
    <row r="43581" spans="62:62" x14ac:dyDescent="0.2">
      <c r="BJ43581" s="201"/>
    </row>
    <row r="43582" spans="62:62" x14ac:dyDescent="0.2">
      <c r="BJ43582" s="201"/>
    </row>
    <row r="43583" spans="62:62" x14ac:dyDescent="0.2">
      <c r="BJ43583" s="201"/>
    </row>
    <row r="43584" spans="62:62" x14ac:dyDescent="0.2">
      <c r="BJ43584" s="201"/>
    </row>
    <row r="43585" spans="62:62" x14ac:dyDescent="0.2">
      <c r="BJ43585" s="201"/>
    </row>
    <row r="43586" spans="62:62" x14ac:dyDescent="0.2">
      <c r="BJ43586" s="201"/>
    </row>
    <row r="43587" spans="62:62" x14ac:dyDescent="0.2">
      <c r="BJ43587" s="201"/>
    </row>
    <row r="43588" spans="62:62" x14ac:dyDescent="0.2">
      <c r="BJ43588" s="201"/>
    </row>
    <row r="43589" spans="62:62" x14ac:dyDescent="0.2">
      <c r="BJ43589" s="201"/>
    </row>
    <row r="43590" spans="62:62" x14ac:dyDescent="0.2">
      <c r="BJ43590" s="201"/>
    </row>
    <row r="43591" spans="62:62" x14ac:dyDescent="0.2">
      <c r="BJ43591" s="201"/>
    </row>
    <row r="43592" spans="62:62" x14ac:dyDescent="0.2">
      <c r="BJ43592" s="201"/>
    </row>
    <row r="43593" spans="62:62" x14ac:dyDescent="0.2">
      <c r="BJ43593" s="201"/>
    </row>
    <row r="43594" spans="62:62" x14ac:dyDescent="0.2">
      <c r="BJ43594" s="201"/>
    </row>
    <row r="43595" spans="62:62" x14ac:dyDescent="0.2">
      <c r="BJ43595" s="201"/>
    </row>
    <row r="43596" spans="62:62" x14ac:dyDescent="0.2">
      <c r="BJ43596" s="201"/>
    </row>
    <row r="43597" spans="62:62" x14ac:dyDescent="0.2">
      <c r="BJ43597" s="201"/>
    </row>
    <row r="43598" spans="62:62" x14ac:dyDescent="0.2">
      <c r="BJ43598" s="201"/>
    </row>
    <row r="43599" spans="62:62" x14ac:dyDescent="0.2">
      <c r="BJ43599" s="201"/>
    </row>
    <row r="43600" spans="62:62" x14ac:dyDescent="0.2">
      <c r="BJ43600" s="201"/>
    </row>
    <row r="43601" spans="62:62" x14ac:dyDescent="0.2">
      <c r="BJ43601" s="201"/>
    </row>
    <row r="43602" spans="62:62" x14ac:dyDescent="0.2">
      <c r="BJ43602" s="201"/>
    </row>
    <row r="43603" spans="62:62" x14ac:dyDescent="0.2">
      <c r="BJ43603" s="201"/>
    </row>
    <row r="43604" spans="62:62" x14ac:dyDescent="0.2">
      <c r="BJ43604" s="201"/>
    </row>
    <row r="43605" spans="62:62" x14ac:dyDescent="0.2">
      <c r="BJ43605" s="201"/>
    </row>
    <row r="43606" spans="62:62" x14ac:dyDescent="0.2">
      <c r="BJ43606" s="201"/>
    </row>
    <row r="43607" spans="62:62" x14ac:dyDescent="0.2">
      <c r="BJ43607" s="201"/>
    </row>
    <row r="43608" spans="62:62" x14ac:dyDescent="0.2">
      <c r="BJ43608" s="201"/>
    </row>
    <row r="43609" spans="62:62" x14ac:dyDescent="0.2">
      <c r="BJ43609" s="201"/>
    </row>
    <row r="43610" spans="62:62" x14ac:dyDescent="0.2">
      <c r="BJ43610" s="201"/>
    </row>
    <row r="43611" spans="62:62" x14ac:dyDescent="0.2">
      <c r="BJ43611" s="201"/>
    </row>
    <row r="43612" spans="62:62" x14ac:dyDescent="0.2">
      <c r="BJ43612" s="201"/>
    </row>
    <row r="43613" spans="62:62" x14ac:dyDescent="0.2">
      <c r="BJ43613" s="201"/>
    </row>
    <row r="43614" spans="62:62" x14ac:dyDescent="0.2">
      <c r="BJ43614" s="201"/>
    </row>
    <row r="43615" spans="62:62" x14ac:dyDescent="0.2">
      <c r="BJ43615" s="201"/>
    </row>
    <row r="43616" spans="62:62" x14ac:dyDescent="0.2">
      <c r="BJ43616" s="201"/>
    </row>
    <row r="43617" spans="62:62" x14ac:dyDescent="0.2">
      <c r="BJ43617" s="201"/>
    </row>
    <row r="43618" spans="62:62" x14ac:dyDescent="0.2">
      <c r="BJ43618" s="201"/>
    </row>
    <row r="43619" spans="62:62" x14ac:dyDescent="0.2">
      <c r="BJ43619" s="201"/>
    </row>
    <row r="43620" spans="62:62" x14ac:dyDescent="0.2">
      <c r="BJ43620" s="201"/>
    </row>
    <row r="43621" spans="62:62" x14ac:dyDescent="0.2">
      <c r="BJ43621" s="201"/>
    </row>
    <row r="43622" spans="62:62" x14ac:dyDescent="0.2">
      <c r="BJ43622" s="201"/>
    </row>
    <row r="43623" spans="62:62" x14ac:dyDescent="0.2">
      <c r="BJ43623" s="201"/>
    </row>
    <row r="43624" spans="62:62" x14ac:dyDescent="0.2">
      <c r="BJ43624" s="201"/>
    </row>
    <row r="43625" spans="62:62" x14ac:dyDescent="0.2">
      <c r="BJ43625" s="201"/>
    </row>
    <row r="43626" spans="62:62" x14ac:dyDescent="0.2">
      <c r="BJ43626" s="201"/>
    </row>
    <row r="43627" spans="62:62" x14ac:dyDescent="0.2">
      <c r="BJ43627" s="201"/>
    </row>
    <row r="43628" spans="62:62" x14ac:dyDescent="0.2">
      <c r="BJ43628" s="201"/>
    </row>
    <row r="43629" spans="62:62" x14ac:dyDescent="0.2">
      <c r="BJ43629" s="201"/>
    </row>
    <row r="43630" spans="62:62" x14ac:dyDescent="0.2">
      <c r="BJ43630" s="201"/>
    </row>
    <row r="43631" spans="62:62" x14ac:dyDescent="0.2">
      <c r="BJ43631" s="201"/>
    </row>
    <row r="43632" spans="62:62" x14ac:dyDescent="0.2">
      <c r="BJ43632" s="201"/>
    </row>
    <row r="43633" spans="62:62" x14ac:dyDescent="0.2">
      <c r="BJ43633" s="201"/>
    </row>
    <row r="43634" spans="62:62" x14ac:dyDescent="0.2">
      <c r="BJ43634" s="201"/>
    </row>
    <row r="43635" spans="62:62" x14ac:dyDescent="0.2">
      <c r="BJ43635" s="201"/>
    </row>
    <row r="43636" spans="62:62" x14ac:dyDescent="0.2">
      <c r="BJ43636" s="201"/>
    </row>
    <row r="43637" spans="62:62" x14ac:dyDescent="0.2">
      <c r="BJ43637" s="201"/>
    </row>
    <row r="43638" spans="62:62" x14ac:dyDescent="0.2">
      <c r="BJ43638" s="201"/>
    </row>
    <row r="43639" spans="62:62" x14ac:dyDescent="0.2">
      <c r="BJ43639" s="201"/>
    </row>
    <row r="43640" spans="62:62" x14ac:dyDescent="0.2">
      <c r="BJ43640" s="201"/>
    </row>
    <row r="43641" spans="62:62" x14ac:dyDescent="0.2">
      <c r="BJ43641" s="201"/>
    </row>
    <row r="43642" spans="62:62" x14ac:dyDescent="0.2">
      <c r="BJ43642" s="201"/>
    </row>
    <row r="43643" spans="62:62" x14ac:dyDescent="0.2">
      <c r="BJ43643" s="201"/>
    </row>
    <row r="43644" spans="62:62" x14ac:dyDescent="0.2">
      <c r="BJ43644" s="201"/>
    </row>
    <row r="43645" spans="62:62" x14ac:dyDescent="0.2">
      <c r="BJ43645" s="201"/>
    </row>
    <row r="43646" spans="62:62" x14ac:dyDescent="0.2">
      <c r="BJ43646" s="201"/>
    </row>
    <row r="43647" spans="62:62" x14ac:dyDescent="0.2">
      <c r="BJ43647" s="201"/>
    </row>
    <row r="43648" spans="62:62" x14ac:dyDescent="0.2">
      <c r="BJ43648" s="201"/>
    </row>
    <row r="43649" spans="62:62" x14ac:dyDescent="0.2">
      <c r="BJ43649" s="201"/>
    </row>
    <row r="43650" spans="62:62" x14ac:dyDescent="0.2">
      <c r="BJ43650" s="201"/>
    </row>
    <row r="43651" spans="62:62" x14ac:dyDescent="0.2">
      <c r="BJ43651" s="201"/>
    </row>
    <row r="43652" spans="62:62" x14ac:dyDescent="0.2">
      <c r="BJ43652" s="201"/>
    </row>
    <row r="43653" spans="62:62" x14ac:dyDescent="0.2">
      <c r="BJ43653" s="201"/>
    </row>
    <row r="43654" spans="62:62" x14ac:dyDescent="0.2">
      <c r="BJ43654" s="201"/>
    </row>
    <row r="43655" spans="62:62" x14ac:dyDescent="0.2">
      <c r="BJ43655" s="201"/>
    </row>
    <row r="43656" spans="62:62" x14ac:dyDescent="0.2">
      <c r="BJ43656" s="201"/>
    </row>
    <row r="43657" spans="62:62" x14ac:dyDescent="0.2">
      <c r="BJ43657" s="201"/>
    </row>
    <row r="43658" spans="62:62" x14ac:dyDescent="0.2">
      <c r="BJ43658" s="201"/>
    </row>
    <row r="43659" spans="62:62" x14ac:dyDescent="0.2">
      <c r="BJ43659" s="201"/>
    </row>
    <row r="43660" spans="62:62" x14ac:dyDescent="0.2">
      <c r="BJ43660" s="201"/>
    </row>
    <row r="43661" spans="62:62" x14ac:dyDescent="0.2">
      <c r="BJ43661" s="201"/>
    </row>
    <row r="43662" spans="62:62" x14ac:dyDescent="0.2">
      <c r="BJ43662" s="201"/>
    </row>
    <row r="43663" spans="62:62" x14ac:dyDescent="0.2">
      <c r="BJ43663" s="201"/>
    </row>
    <row r="43664" spans="62:62" x14ac:dyDescent="0.2">
      <c r="BJ43664" s="201"/>
    </row>
    <row r="43665" spans="62:62" x14ac:dyDescent="0.2">
      <c r="BJ43665" s="201"/>
    </row>
    <row r="43666" spans="62:62" x14ac:dyDescent="0.2">
      <c r="BJ43666" s="201"/>
    </row>
    <row r="43667" spans="62:62" x14ac:dyDescent="0.2">
      <c r="BJ43667" s="201"/>
    </row>
    <row r="43668" spans="62:62" x14ac:dyDescent="0.2">
      <c r="BJ43668" s="201"/>
    </row>
    <row r="43669" spans="62:62" x14ac:dyDescent="0.2">
      <c r="BJ43669" s="201"/>
    </row>
    <row r="43670" spans="62:62" x14ac:dyDescent="0.2">
      <c r="BJ43670" s="201"/>
    </row>
    <row r="43671" spans="62:62" x14ac:dyDescent="0.2">
      <c r="BJ43671" s="201"/>
    </row>
    <row r="43672" spans="62:62" x14ac:dyDescent="0.2">
      <c r="BJ43672" s="201"/>
    </row>
    <row r="43673" spans="62:62" x14ac:dyDescent="0.2">
      <c r="BJ43673" s="201"/>
    </row>
    <row r="43674" spans="62:62" x14ac:dyDescent="0.2">
      <c r="BJ43674" s="201"/>
    </row>
    <row r="43675" spans="62:62" x14ac:dyDescent="0.2">
      <c r="BJ43675" s="201"/>
    </row>
    <row r="43676" spans="62:62" x14ac:dyDescent="0.2">
      <c r="BJ43676" s="201"/>
    </row>
    <row r="43677" spans="62:62" x14ac:dyDescent="0.2">
      <c r="BJ43677" s="201"/>
    </row>
    <row r="43678" spans="62:62" x14ac:dyDescent="0.2">
      <c r="BJ43678" s="201"/>
    </row>
    <row r="43679" spans="62:62" x14ac:dyDescent="0.2">
      <c r="BJ43679" s="201"/>
    </row>
    <row r="43680" spans="62:62" x14ac:dyDescent="0.2">
      <c r="BJ43680" s="201"/>
    </row>
    <row r="43681" spans="62:62" x14ac:dyDescent="0.2">
      <c r="BJ43681" s="201"/>
    </row>
    <row r="43682" spans="62:62" x14ac:dyDescent="0.2">
      <c r="BJ43682" s="201"/>
    </row>
    <row r="43683" spans="62:62" x14ac:dyDescent="0.2">
      <c r="BJ43683" s="201"/>
    </row>
    <row r="43684" spans="62:62" x14ac:dyDescent="0.2">
      <c r="BJ43684" s="201"/>
    </row>
    <row r="43685" spans="62:62" x14ac:dyDescent="0.2">
      <c r="BJ43685" s="201"/>
    </row>
    <row r="43686" spans="62:62" x14ac:dyDescent="0.2">
      <c r="BJ43686" s="201"/>
    </row>
    <row r="43687" spans="62:62" x14ac:dyDescent="0.2">
      <c r="BJ43687" s="201"/>
    </row>
    <row r="43688" spans="62:62" x14ac:dyDescent="0.2">
      <c r="BJ43688" s="201"/>
    </row>
    <row r="43689" spans="62:62" x14ac:dyDescent="0.2">
      <c r="BJ43689" s="201"/>
    </row>
    <row r="43690" spans="62:62" x14ac:dyDescent="0.2">
      <c r="BJ43690" s="201"/>
    </row>
    <row r="43691" spans="62:62" x14ac:dyDescent="0.2">
      <c r="BJ43691" s="201"/>
    </row>
    <row r="43692" spans="62:62" x14ac:dyDescent="0.2">
      <c r="BJ43692" s="201"/>
    </row>
    <row r="43693" spans="62:62" x14ac:dyDescent="0.2">
      <c r="BJ43693" s="201"/>
    </row>
    <row r="43694" spans="62:62" x14ac:dyDescent="0.2">
      <c r="BJ43694" s="201"/>
    </row>
    <row r="43695" spans="62:62" x14ac:dyDescent="0.2">
      <c r="BJ43695" s="201"/>
    </row>
    <row r="43696" spans="62:62" x14ac:dyDescent="0.2">
      <c r="BJ43696" s="201"/>
    </row>
    <row r="43697" spans="62:62" x14ac:dyDescent="0.2">
      <c r="BJ43697" s="201"/>
    </row>
    <row r="43698" spans="62:62" x14ac:dyDescent="0.2">
      <c r="BJ43698" s="201"/>
    </row>
    <row r="43699" spans="62:62" x14ac:dyDescent="0.2">
      <c r="BJ43699" s="201"/>
    </row>
    <row r="43700" spans="62:62" x14ac:dyDescent="0.2">
      <c r="BJ43700" s="201"/>
    </row>
    <row r="43701" spans="62:62" x14ac:dyDescent="0.2">
      <c r="BJ43701" s="201"/>
    </row>
    <row r="43702" spans="62:62" x14ac:dyDescent="0.2">
      <c r="BJ43702" s="201"/>
    </row>
    <row r="43703" spans="62:62" x14ac:dyDescent="0.2">
      <c r="BJ43703" s="201"/>
    </row>
    <row r="43704" spans="62:62" x14ac:dyDescent="0.2">
      <c r="BJ43704" s="201"/>
    </row>
    <row r="43705" spans="62:62" x14ac:dyDescent="0.2">
      <c r="BJ43705" s="201"/>
    </row>
    <row r="43706" spans="62:62" x14ac:dyDescent="0.2">
      <c r="BJ43706" s="201"/>
    </row>
    <row r="43707" spans="62:62" x14ac:dyDescent="0.2">
      <c r="BJ43707" s="201"/>
    </row>
    <row r="43708" spans="62:62" x14ac:dyDescent="0.2">
      <c r="BJ43708" s="201"/>
    </row>
    <row r="43709" spans="62:62" x14ac:dyDescent="0.2">
      <c r="BJ43709" s="201"/>
    </row>
    <row r="43710" spans="62:62" x14ac:dyDescent="0.2">
      <c r="BJ43710" s="201"/>
    </row>
    <row r="43711" spans="62:62" x14ac:dyDescent="0.2">
      <c r="BJ43711" s="201"/>
    </row>
    <row r="43712" spans="62:62" x14ac:dyDescent="0.2">
      <c r="BJ43712" s="201"/>
    </row>
    <row r="43713" spans="62:62" x14ac:dyDescent="0.2">
      <c r="BJ43713" s="201"/>
    </row>
    <row r="43714" spans="62:62" x14ac:dyDescent="0.2">
      <c r="BJ43714" s="201"/>
    </row>
    <row r="43715" spans="62:62" x14ac:dyDescent="0.2">
      <c r="BJ43715" s="201"/>
    </row>
    <row r="43716" spans="62:62" x14ac:dyDescent="0.2">
      <c r="BJ43716" s="201"/>
    </row>
    <row r="43717" spans="62:62" x14ac:dyDescent="0.2">
      <c r="BJ43717" s="201"/>
    </row>
    <row r="43718" spans="62:62" x14ac:dyDescent="0.2">
      <c r="BJ43718" s="201"/>
    </row>
    <row r="43719" spans="62:62" x14ac:dyDescent="0.2">
      <c r="BJ43719" s="201"/>
    </row>
    <row r="43720" spans="62:62" x14ac:dyDescent="0.2">
      <c r="BJ43720" s="201"/>
    </row>
    <row r="43721" spans="62:62" x14ac:dyDescent="0.2">
      <c r="BJ43721" s="201"/>
    </row>
    <row r="43722" spans="62:62" x14ac:dyDescent="0.2">
      <c r="BJ43722" s="201"/>
    </row>
    <row r="43723" spans="62:62" x14ac:dyDescent="0.2">
      <c r="BJ43723" s="201"/>
    </row>
    <row r="43724" spans="62:62" x14ac:dyDescent="0.2">
      <c r="BJ43724" s="201"/>
    </row>
    <row r="43725" spans="62:62" x14ac:dyDescent="0.2">
      <c r="BJ43725" s="201"/>
    </row>
    <row r="43726" spans="62:62" x14ac:dyDescent="0.2">
      <c r="BJ43726" s="201"/>
    </row>
    <row r="43727" spans="62:62" x14ac:dyDescent="0.2">
      <c r="BJ43727" s="201"/>
    </row>
    <row r="43728" spans="62:62" x14ac:dyDescent="0.2">
      <c r="BJ43728" s="201"/>
    </row>
    <row r="43729" spans="62:62" x14ac:dyDescent="0.2">
      <c r="BJ43729" s="201"/>
    </row>
    <row r="43730" spans="62:62" x14ac:dyDescent="0.2">
      <c r="BJ43730" s="201"/>
    </row>
    <row r="43731" spans="62:62" x14ac:dyDescent="0.2">
      <c r="BJ43731" s="201"/>
    </row>
    <row r="43732" spans="62:62" x14ac:dyDescent="0.2">
      <c r="BJ43732" s="201"/>
    </row>
    <row r="43733" spans="62:62" x14ac:dyDescent="0.2">
      <c r="BJ43733" s="201"/>
    </row>
    <row r="43734" spans="62:62" x14ac:dyDescent="0.2">
      <c r="BJ43734" s="201"/>
    </row>
    <row r="43735" spans="62:62" x14ac:dyDescent="0.2">
      <c r="BJ43735" s="201"/>
    </row>
    <row r="43736" spans="62:62" x14ac:dyDescent="0.2">
      <c r="BJ43736" s="201"/>
    </row>
    <row r="43737" spans="62:62" x14ac:dyDescent="0.2">
      <c r="BJ43737" s="201"/>
    </row>
    <row r="43738" spans="62:62" x14ac:dyDescent="0.2">
      <c r="BJ43738" s="201"/>
    </row>
    <row r="43739" spans="62:62" x14ac:dyDescent="0.2">
      <c r="BJ43739" s="201"/>
    </row>
    <row r="43740" spans="62:62" x14ac:dyDescent="0.2">
      <c r="BJ43740" s="201"/>
    </row>
    <row r="43741" spans="62:62" x14ac:dyDescent="0.2">
      <c r="BJ43741" s="201"/>
    </row>
    <row r="43742" spans="62:62" x14ac:dyDescent="0.2">
      <c r="BJ43742" s="201"/>
    </row>
    <row r="43743" spans="62:62" x14ac:dyDescent="0.2">
      <c r="BJ43743" s="201"/>
    </row>
    <row r="43744" spans="62:62" x14ac:dyDescent="0.2">
      <c r="BJ43744" s="201"/>
    </row>
    <row r="43745" spans="62:62" x14ac:dyDescent="0.2">
      <c r="BJ43745" s="201"/>
    </row>
    <row r="43746" spans="62:62" x14ac:dyDescent="0.2">
      <c r="BJ43746" s="201"/>
    </row>
    <row r="43747" spans="62:62" x14ac:dyDescent="0.2">
      <c r="BJ43747" s="201"/>
    </row>
    <row r="43748" spans="62:62" x14ac:dyDescent="0.2">
      <c r="BJ43748" s="201"/>
    </row>
    <row r="43749" spans="62:62" x14ac:dyDescent="0.2">
      <c r="BJ43749" s="201"/>
    </row>
    <row r="43750" spans="62:62" x14ac:dyDescent="0.2">
      <c r="BJ43750" s="201"/>
    </row>
    <row r="43751" spans="62:62" x14ac:dyDescent="0.2">
      <c r="BJ43751" s="201"/>
    </row>
    <row r="43752" spans="62:62" x14ac:dyDescent="0.2">
      <c r="BJ43752" s="201"/>
    </row>
    <row r="43753" spans="62:62" x14ac:dyDescent="0.2">
      <c r="BJ43753" s="201"/>
    </row>
    <row r="43754" spans="62:62" x14ac:dyDescent="0.2">
      <c r="BJ43754" s="201"/>
    </row>
    <row r="43755" spans="62:62" x14ac:dyDescent="0.2">
      <c r="BJ43755" s="201"/>
    </row>
    <row r="43756" spans="62:62" x14ac:dyDescent="0.2">
      <c r="BJ43756" s="201"/>
    </row>
    <row r="43757" spans="62:62" x14ac:dyDescent="0.2">
      <c r="BJ43757" s="201"/>
    </row>
    <row r="43758" spans="62:62" x14ac:dyDescent="0.2">
      <c r="BJ43758" s="201"/>
    </row>
    <row r="43759" spans="62:62" x14ac:dyDescent="0.2">
      <c r="BJ43759" s="201"/>
    </row>
    <row r="43760" spans="62:62" x14ac:dyDescent="0.2">
      <c r="BJ43760" s="201"/>
    </row>
    <row r="43761" spans="62:62" x14ac:dyDescent="0.2">
      <c r="BJ43761" s="201"/>
    </row>
    <row r="43762" spans="62:62" x14ac:dyDescent="0.2">
      <c r="BJ43762" s="201"/>
    </row>
    <row r="43763" spans="62:62" x14ac:dyDescent="0.2">
      <c r="BJ43763" s="201"/>
    </row>
    <row r="43764" spans="62:62" x14ac:dyDescent="0.2">
      <c r="BJ43764" s="201"/>
    </row>
    <row r="43765" spans="62:62" x14ac:dyDescent="0.2">
      <c r="BJ43765" s="201"/>
    </row>
    <row r="43766" spans="62:62" x14ac:dyDescent="0.2">
      <c r="BJ43766" s="201"/>
    </row>
    <row r="43767" spans="62:62" x14ac:dyDescent="0.2">
      <c r="BJ43767" s="201"/>
    </row>
    <row r="43768" spans="62:62" x14ac:dyDescent="0.2">
      <c r="BJ43768" s="201"/>
    </row>
    <row r="43769" spans="62:62" x14ac:dyDescent="0.2">
      <c r="BJ43769" s="201"/>
    </row>
    <row r="43770" spans="62:62" x14ac:dyDescent="0.2">
      <c r="BJ43770" s="201"/>
    </row>
    <row r="43771" spans="62:62" x14ac:dyDescent="0.2">
      <c r="BJ43771" s="201"/>
    </row>
    <row r="43772" spans="62:62" x14ac:dyDescent="0.2">
      <c r="BJ43772" s="201"/>
    </row>
    <row r="43773" spans="62:62" x14ac:dyDescent="0.2">
      <c r="BJ43773" s="201"/>
    </row>
    <row r="43774" spans="62:62" x14ac:dyDescent="0.2">
      <c r="BJ43774" s="201"/>
    </row>
    <row r="43775" spans="62:62" x14ac:dyDescent="0.2">
      <c r="BJ43775" s="201"/>
    </row>
    <row r="43776" spans="62:62" x14ac:dyDescent="0.2">
      <c r="BJ43776" s="201"/>
    </row>
    <row r="43777" spans="62:62" x14ac:dyDescent="0.2">
      <c r="BJ43777" s="201"/>
    </row>
    <row r="43778" spans="62:62" x14ac:dyDescent="0.2">
      <c r="BJ43778" s="201"/>
    </row>
    <row r="43779" spans="62:62" x14ac:dyDescent="0.2">
      <c r="BJ43779" s="201"/>
    </row>
    <row r="43780" spans="62:62" x14ac:dyDescent="0.2">
      <c r="BJ43780" s="201"/>
    </row>
    <row r="43781" spans="62:62" x14ac:dyDescent="0.2">
      <c r="BJ43781" s="201"/>
    </row>
    <row r="43782" spans="62:62" x14ac:dyDescent="0.2">
      <c r="BJ43782" s="201"/>
    </row>
    <row r="43783" spans="62:62" x14ac:dyDescent="0.2">
      <c r="BJ43783" s="201"/>
    </row>
    <row r="43784" spans="62:62" x14ac:dyDescent="0.2">
      <c r="BJ43784" s="201"/>
    </row>
    <row r="43785" spans="62:62" x14ac:dyDescent="0.2">
      <c r="BJ43785" s="201"/>
    </row>
    <row r="43786" spans="62:62" x14ac:dyDescent="0.2">
      <c r="BJ43786" s="201"/>
    </row>
    <row r="43787" spans="62:62" x14ac:dyDescent="0.2">
      <c r="BJ43787" s="201"/>
    </row>
    <row r="43788" spans="62:62" x14ac:dyDescent="0.2">
      <c r="BJ43788" s="201"/>
    </row>
    <row r="43789" spans="62:62" x14ac:dyDescent="0.2">
      <c r="BJ43789" s="201"/>
    </row>
    <row r="43790" spans="62:62" x14ac:dyDescent="0.2">
      <c r="BJ43790" s="201"/>
    </row>
    <row r="43791" spans="62:62" x14ac:dyDescent="0.2">
      <c r="BJ43791" s="201"/>
    </row>
    <row r="43792" spans="62:62" x14ac:dyDescent="0.2">
      <c r="BJ43792" s="201"/>
    </row>
    <row r="43793" spans="62:62" x14ac:dyDescent="0.2">
      <c r="BJ43793" s="201"/>
    </row>
    <row r="43794" spans="62:62" x14ac:dyDescent="0.2">
      <c r="BJ43794" s="201"/>
    </row>
    <row r="43795" spans="62:62" x14ac:dyDescent="0.2">
      <c r="BJ43795" s="201"/>
    </row>
    <row r="43796" spans="62:62" x14ac:dyDescent="0.2">
      <c r="BJ43796" s="201"/>
    </row>
    <row r="43797" spans="62:62" x14ac:dyDescent="0.2">
      <c r="BJ43797" s="201"/>
    </row>
    <row r="43798" spans="62:62" x14ac:dyDescent="0.2">
      <c r="BJ43798" s="201"/>
    </row>
    <row r="43799" spans="62:62" x14ac:dyDescent="0.2">
      <c r="BJ43799" s="201"/>
    </row>
    <row r="43800" spans="62:62" x14ac:dyDescent="0.2">
      <c r="BJ43800" s="201"/>
    </row>
    <row r="43801" spans="62:62" x14ac:dyDescent="0.2">
      <c r="BJ43801" s="201"/>
    </row>
    <row r="43802" spans="62:62" x14ac:dyDescent="0.2">
      <c r="BJ43802" s="201"/>
    </row>
    <row r="43803" spans="62:62" x14ac:dyDescent="0.2">
      <c r="BJ43803" s="201"/>
    </row>
    <row r="43804" spans="62:62" x14ac:dyDescent="0.2">
      <c r="BJ43804" s="201"/>
    </row>
    <row r="43805" spans="62:62" x14ac:dyDescent="0.2">
      <c r="BJ43805" s="201"/>
    </row>
    <row r="43806" spans="62:62" x14ac:dyDescent="0.2">
      <c r="BJ43806" s="201"/>
    </row>
    <row r="43807" spans="62:62" x14ac:dyDescent="0.2">
      <c r="BJ43807" s="201"/>
    </row>
    <row r="43808" spans="62:62" x14ac:dyDescent="0.2">
      <c r="BJ43808" s="201"/>
    </row>
    <row r="43809" spans="62:62" x14ac:dyDescent="0.2">
      <c r="BJ43809" s="201"/>
    </row>
    <row r="43810" spans="62:62" x14ac:dyDescent="0.2">
      <c r="BJ43810" s="201"/>
    </row>
    <row r="43811" spans="62:62" x14ac:dyDescent="0.2">
      <c r="BJ43811" s="201"/>
    </row>
    <row r="43812" spans="62:62" x14ac:dyDescent="0.2">
      <c r="BJ43812" s="201"/>
    </row>
    <row r="43813" spans="62:62" x14ac:dyDescent="0.2">
      <c r="BJ43813" s="201"/>
    </row>
    <row r="43814" spans="62:62" x14ac:dyDescent="0.2">
      <c r="BJ43814" s="201"/>
    </row>
    <row r="43815" spans="62:62" x14ac:dyDescent="0.2">
      <c r="BJ43815" s="201"/>
    </row>
    <row r="43816" spans="62:62" x14ac:dyDescent="0.2">
      <c r="BJ43816" s="201"/>
    </row>
    <row r="43817" spans="62:62" x14ac:dyDescent="0.2">
      <c r="BJ43817" s="201"/>
    </row>
    <row r="43818" spans="62:62" x14ac:dyDescent="0.2">
      <c r="BJ43818" s="201"/>
    </row>
    <row r="43819" spans="62:62" x14ac:dyDescent="0.2">
      <c r="BJ43819" s="201"/>
    </row>
    <row r="43820" spans="62:62" x14ac:dyDescent="0.2">
      <c r="BJ43820" s="201"/>
    </row>
    <row r="43821" spans="62:62" x14ac:dyDescent="0.2">
      <c r="BJ43821" s="201"/>
    </row>
    <row r="43822" spans="62:62" x14ac:dyDescent="0.2">
      <c r="BJ43822" s="201"/>
    </row>
    <row r="43823" spans="62:62" x14ac:dyDescent="0.2">
      <c r="BJ43823" s="201"/>
    </row>
    <row r="43824" spans="62:62" x14ac:dyDescent="0.2">
      <c r="BJ43824" s="201"/>
    </row>
    <row r="43825" spans="62:62" x14ac:dyDescent="0.2">
      <c r="BJ43825" s="201"/>
    </row>
    <row r="43826" spans="62:62" x14ac:dyDescent="0.2">
      <c r="BJ43826" s="201"/>
    </row>
    <row r="43827" spans="62:62" x14ac:dyDescent="0.2">
      <c r="BJ43827" s="201"/>
    </row>
    <row r="43828" spans="62:62" x14ac:dyDescent="0.2">
      <c r="BJ43828" s="201"/>
    </row>
    <row r="43829" spans="62:62" x14ac:dyDescent="0.2">
      <c r="BJ43829" s="201"/>
    </row>
    <row r="43830" spans="62:62" x14ac:dyDescent="0.2">
      <c r="BJ43830" s="201"/>
    </row>
    <row r="43831" spans="62:62" x14ac:dyDescent="0.2">
      <c r="BJ43831" s="201"/>
    </row>
    <row r="43832" spans="62:62" x14ac:dyDescent="0.2">
      <c r="BJ43832" s="201"/>
    </row>
    <row r="43833" spans="62:62" x14ac:dyDescent="0.2">
      <c r="BJ43833" s="201"/>
    </row>
    <row r="43834" spans="62:62" x14ac:dyDescent="0.2">
      <c r="BJ43834" s="201"/>
    </row>
    <row r="43835" spans="62:62" x14ac:dyDescent="0.2">
      <c r="BJ43835" s="201"/>
    </row>
    <row r="43836" spans="62:62" x14ac:dyDescent="0.2">
      <c r="BJ43836" s="201"/>
    </row>
    <row r="43837" spans="62:62" x14ac:dyDescent="0.2">
      <c r="BJ43837" s="201"/>
    </row>
    <row r="43838" spans="62:62" x14ac:dyDescent="0.2">
      <c r="BJ43838" s="201"/>
    </row>
    <row r="43839" spans="62:62" x14ac:dyDescent="0.2">
      <c r="BJ43839" s="201"/>
    </row>
    <row r="43840" spans="62:62" x14ac:dyDescent="0.2">
      <c r="BJ43840" s="201"/>
    </row>
    <row r="43841" spans="62:62" x14ac:dyDescent="0.2">
      <c r="BJ43841" s="201"/>
    </row>
    <row r="43842" spans="62:62" x14ac:dyDescent="0.2">
      <c r="BJ43842" s="201"/>
    </row>
    <row r="43843" spans="62:62" x14ac:dyDescent="0.2">
      <c r="BJ43843" s="201"/>
    </row>
    <row r="43844" spans="62:62" x14ac:dyDescent="0.2">
      <c r="BJ43844" s="201"/>
    </row>
    <row r="43845" spans="62:62" x14ac:dyDescent="0.2">
      <c r="BJ43845" s="201"/>
    </row>
    <row r="43846" spans="62:62" x14ac:dyDescent="0.2">
      <c r="BJ43846" s="201"/>
    </row>
    <row r="43847" spans="62:62" x14ac:dyDescent="0.2">
      <c r="BJ43847" s="201"/>
    </row>
    <row r="43848" spans="62:62" x14ac:dyDescent="0.2">
      <c r="BJ43848" s="201"/>
    </row>
    <row r="43849" spans="62:62" x14ac:dyDescent="0.2">
      <c r="BJ43849" s="201"/>
    </row>
    <row r="43850" spans="62:62" x14ac:dyDescent="0.2">
      <c r="BJ43850" s="201"/>
    </row>
    <row r="43851" spans="62:62" x14ac:dyDescent="0.2">
      <c r="BJ43851" s="201"/>
    </row>
    <row r="43852" spans="62:62" x14ac:dyDescent="0.2">
      <c r="BJ43852" s="201"/>
    </row>
    <row r="43853" spans="62:62" x14ac:dyDescent="0.2">
      <c r="BJ43853" s="201"/>
    </row>
    <row r="43854" spans="62:62" x14ac:dyDescent="0.2">
      <c r="BJ43854" s="201"/>
    </row>
    <row r="43855" spans="62:62" x14ac:dyDescent="0.2">
      <c r="BJ43855" s="201"/>
    </row>
    <row r="43856" spans="62:62" x14ac:dyDescent="0.2">
      <c r="BJ43856" s="201"/>
    </row>
    <row r="43857" spans="62:62" x14ac:dyDescent="0.2">
      <c r="BJ43857" s="201"/>
    </row>
    <row r="43858" spans="62:62" x14ac:dyDescent="0.2">
      <c r="BJ43858" s="201"/>
    </row>
    <row r="43859" spans="62:62" x14ac:dyDescent="0.2">
      <c r="BJ43859" s="201"/>
    </row>
    <row r="43860" spans="62:62" x14ac:dyDescent="0.2">
      <c r="BJ43860" s="201"/>
    </row>
    <row r="43861" spans="62:62" x14ac:dyDescent="0.2">
      <c r="BJ43861" s="201"/>
    </row>
    <row r="43862" spans="62:62" x14ac:dyDescent="0.2">
      <c r="BJ43862" s="201"/>
    </row>
    <row r="43863" spans="62:62" x14ac:dyDescent="0.2">
      <c r="BJ43863" s="201"/>
    </row>
    <row r="43864" spans="62:62" x14ac:dyDescent="0.2">
      <c r="BJ43864" s="201"/>
    </row>
    <row r="43865" spans="62:62" x14ac:dyDescent="0.2">
      <c r="BJ43865" s="201"/>
    </row>
    <row r="43866" spans="62:62" x14ac:dyDescent="0.2">
      <c r="BJ43866" s="201"/>
    </row>
    <row r="43867" spans="62:62" x14ac:dyDescent="0.2">
      <c r="BJ43867" s="201"/>
    </row>
    <row r="43868" spans="62:62" x14ac:dyDescent="0.2">
      <c r="BJ43868" s="201"/>
    </row>
    <row r="43869" spans="62:62" x14ac:dyDescent="0.2">
      <c r="BJ43869" s="201"/>
    </row>
    <row r="43870" spans="62:62" x14ac:dyDescent="0.2">
      <c r="BJ43870" s="201"/>
    </row>
    <row r="43871" spans="62:62" x14ac:dyDescent="0.2">
      <c r="BJ43871" s="201"/>
    </row>
    <row r="43872" spans="62:62" x14ac:dyDescent="0.2">
      <c r="BJ43872" s="201"/>
    </row>
    <row r="43873" spans="62:62" x14ac:dyDescent="0.2">
      <c r="BJ43873" s="201"/>
    </row>
    <row r="43874" spans="62:62" x14ac:dyDescent="0.2">
      <c r="BJ43874" s="201"/>
    </row>
    <row r="43875" spans="62:62" x14ac:dyDescent="0.2">
      <c r="BJ43875" s="201"/>
    </row>
    <row r="43876" spans="62:62" x14ac:dyDescent="0.2">
      <c r="BJ43876" s="201"/>
    </row>
    <row r="43877" spans="62:62" x14ac:dyDescent="0.2">
      <c r="BJ43877" s="201"/>
    </row>
    <row r="43878" spans="62:62" x14ac:dyDescent="0.2">
      <c r="BJ43878" s="201"/>
    </row>
    <row r="43879" spans="62:62" x14ac:dyDescent="0.2">
      <c r="BJ43879" s="201"/>
    </row>
    <row r="43880" spans="62:62" x14ac:dyDescent="0.2">
      <c r="BJ43880" s="201"/>
    </row>
    <row r="43881" spans="62:62" x14ac:dyDescent="0.2">
      <c r="BJ43881" s="201"/>
    </row>
    <row r="43882" spans="62:62" x14ac:dyDescent="0.2">
      <c r="BJ43882" s="201"/>
    </row>
    <row r="43883" spans="62:62" x14ac:dyDescent="0.2">
      <c r="BJ43883" s="201"/>
    </row>
    <row r="43884" spans="62:62" x14ac:dyDescent="0.2">
      <c r="BJ43884" s="201"/>
    </row>
    <row r="43885" spans="62:62" x14ac:dyDescent="0.2">
      <c r="BJ43885" s="201"/>
    </row>
    <row r="43886" spans="62:62" x14ac:dyDescent="0.2">
      <c r="BJ43886" s="201"/>
    </row>
    <row r="43887" spans="62:62" x14ac:dyDescent="0.2">
      <c r="BJ43887" s="201"/>
    </row>
    <row r="43888" spans="62:62" x14ac:dyDescent="0.2">
      <c r="BJ43888" s="201"/>
    </row>
    <row r="43889" spans="62:62" x14ac:dyDescent="0.2">
      <c r="BJ43889" s="201"/>
    </row>
    <row r="43890" spans="62:62" x14ac:dyDescent="0.2">
      <c r="BJ43890" s="201"/>
    </row>
    <row r="43891" spans="62:62" x14ac:dyDescent="0.2">
      <c r="BJ43891" s="201"/>
    </row>
    <row r="43892" spans="62:62" x14ac:dyDescent="0.2">
      <c r="BJ43892" s="201"/>
    </row>
    <row r="43893" spans="62:62" x14ac:dyDescent="0.2">
      <c r="BJ43893" s="201"/>
    </row>
    <row r="43894" spans="62:62" x14ac:dyDescent="0.2">
      <c r="BJ43894" s="201"/>
    </row>
    <row r="43895" spans="62:62" x14ac:dyDescent="0.2">
      <c r="BJ43895" s="201"/>
    </row>
    <row r="43896" spans="62:62" x14ac:dyDescent="0.2">
      <c r="BJ43896" s="201"/>
    </row>
    <row r="43897" spans="62:62" x14ac:dyDescent="0.2">
      <c r="BJ43897" s="201"/>
    </row>
    <row r="43898" spans="62:62" x14ac:dyDescent="0.2">
      <c r="BJ43898" s="201"/>
    </row>
    <row r="43899" spans="62:62" x14ac:dyDescent="0.2">
      <c r="BJ43899" s="201"/>
    </row>
    <row r="43900" spans="62:62" x14ac:dyDescent="0.2">
      <c r="BJ43900" s="201"/>
    </row>
    <row r="43901" spans="62:62" x14ac:dyDescent="0.2">
      <c r="BJ43901" s="201"/>
    </row>
    <row r="43902" spans="62:62" x14ac:dyDescent="0.2">
      <c r="BJ43902" s="201"/>
    </row>
    <row r="43903" spans="62:62" x14ac:dyDescent="0.2">
      <c r="BJ43903" s="201"/>
    </row>
    <row r="43904" spans="62:62" x14ac:dyDescent="0.2">
      <c r="BJ43904" s="201"/>
    </row>
    <row r="43905" spans="62:62" x14ac:dyDescent="0.2">
      <c r="BJ43905" s="201"/>
    </row>
    <row r="43906" spans="62:62" x14ac:dyDescent="0.2">
      <c r="BJ43906" s="201"/>
    </row>
    <row r="43907" spans="62:62" x14ac:dyDescent="0.2">
      <c r="BJ43907" s="201"/>
    </row>
    <row r="43908" spans="62:62" x14ac:dyDescent="0.2">
      <c r="BJ43908" s="201"/>
    </row>
    <row r="43909" spans="62:62" x14ac:dyDescent="0.2">
      <c r="BJ43909" s="201"/>
    </row>
    <row r="43910" spans="62:62" x14ac:dyDescent="0.2">
      <c r="BJ43910" s="201"/>
    </row>
    <row r="43911" spans="62:62" x14ac:dyDescent="0.2">
      <c r="BJ43911" s="201"/>
    </row>
    <row r="43912" spans="62:62" x14ac:dyDescent="0.2">
      <c r="BJ43912" s="201"/>
    </row>
    <row r="43913" spans="62:62" x14ac:dyDescent="0.2">
      <c r="BJ43913" s="201"/>
    </row>
    <row r="43914" spans="62:62" x14ac:dyDescent="0.2">
      <c r="BJ43914" s="201"/>
    </row>
    <row r="43915" spans="62:62" x14ac:dyDescent="0.2">
      <c r="BJ43915" s="201"/>
    </row>
    <row r="43916" spans="62:62" x14ac:dyDescent="0.2">
      <c r="BJ43916" s="201"/>
    </row>
    <row r="43917" spans="62:62" x14ac:dyDescent="0.2">
      <c r="BJ43917" s="201"/>
    </row>
    <row r="43918" spans="62:62" x14ac:dyDescent="0.2">
      <c r="BJ43918" s="201"/>
    </row>
    <row r="43919" spans="62:62" x14ac:dyDescent="0.2">
      <c r="BJ43919" s="201"/>
    </row>
    <row r="43920" spans="62:62" x14ac:dyDescent="0.2">
      <c r="BJ43920" s="201"/>
    </row>
    <row r="43921" spans="62:62" x14ac:dyDescent="0.2">
      <c r="BJ43921" s="201"/>
    </row>
    <row r="43922" spans="62:62" x14ac:dyDescent="0.2">
      <c r="BJ43922" s="201"/>
    </row>
    <row r="43923" spans="62:62" x14ac:dyDescent="0.2">
      <c r="BJ43923" s="201"/>
    </row>
    <row r="43924" spans="62:62" x14ac:dyDescent="0.2">
      <c r="BJ43924" s="201"/>
    </row>
    <row r="43925" spans="62:62" x14ac:dyDescent="0.2">
      <c r="BJ43925" s="201"/>
    </row>
    <row r="43926" spans="62:62" x14ac:dyDescent="0.2">
      <c r="BJ43926" s="201"/>
    </row>
    <row r="43927" spans="62:62" x14ac:dyDescent="0.2">
      <c r="BJ43927" s="201"/>
    </row>
    <row r="43928" spans="62:62" x14ac:dyDescent="0.2">
      <c r="BJ43928" s="201"/>
    </row>
    <row r="43929" spans="62:62" x14ac:dyDescent="0.2">
      <c r="BJ43929" s="201"/>
    </row>
    <row r="43930" spans="62:62" x14ac:dyDescent="0.2">
      <c r="BJ43930" s="201"/>
    </row>
    <row r="43931" spans="62:62" x14ac:dyDescent="0.2">
      <c r="BJ43931" s="201"/>
    </row>
    <row r="43932" spans="62:62" x14ac:dyDescent="0.2">
      <c r="BJ43932" s="201"/>
    </row>
    <row r="43933" spans="62:62" x14ac:dyDescent="0.2">
      <c r="BJ43933" s="201"/>
    </row>
    <row r="43934" spans="62:62" x14ac:dyDescent="0.2">
      <c r="BJ43934" s="201"/>
    </row>
    <row r="43935" spans="62:62" x14ac:dyDescent="0.2">
      <c r="BJ43935" s="201"/>
    </row>
    <row r="43936" spans="62:62" x14ac:dyDescent="0.2">
      <c r="BJ43936" s="201"/>
    </row>
    <row r="43937" spans="62:62" x14ac:dyDescent="0.2">
      <c r="BJ43937" s="201"/>
    </row>
    <row r="43938" spans="62:62" x14ac:dyDescent="0.2">
      <c r="BJ43938" s="201"/>
    </row>
    <row r="43939" spans="62:62" x14ac:dyDescent="0.2">
      <c r="BJ43939" s="201"/>
    </row>
    <row r="43940" spans="62:62" x14ac:dyDescent="0.2">
      <c r="BJ43940" s="201"/>
    </row>
    <row r="43941" spans="62:62" x14ac:dyDescent="0.2">
      <c r="BJ43941" s="201"/>
    </row>
    <row r="43942" spans="62:62" x14ac:dyDescent="0.2">
      <c r="BJ43942" s="201"/>
    </row>
    <row r="43943" spans="62:62" x14ac:dyDescent="0.2">
      <c r="BJ43943" s="201"/>
    </row>
    <row r="43944" spans="62:62" x14ac:dyDescent="0.2">
      <c r="BJ43944" s="201"/>
    </row>
    <row r="43945" spans="62:62" x14ac:dyDescent="0.2">
      <c r="BJ43945" s="201"/>
    </row>
    <row r="43946" spans="62:62" x14ac:dyDescent="0.2">
      <c r="BJ43946" s="201"/>
    </row>
    <row r="43947" spans="62:62" x14ac:dyDescent="0.2">
      <c r="BJ43947" s="201"/>
    </row>
    <row r="43948" spans="62:62" x14ac:dyDescent="0.2">
      <c r="BJ43948" s="201"/>
    </row>
    <row r="43949" spans="62:62" x14ac:dyDescent="0.2">
      <c r="BJ43949" s="201"/>
    </row>
    <row r="43950" spans="62:62" x14ac:dyDescent="0.2">
      <c r="BJ43950" s="201"/>
    </row>
    <row r="43951" spans="62:62" x14ac:dyDescent="0.2">
      <c r="BJ43951" s="201"/>
    </row>
    <row r="43952" spans="62:62" x14ac:dyDescent="0.2">
      <c r="BJ43952" s="201"/>
    </row>
    <row r="43953" spans="62:62" x14ac:dyDescent="0.2">
      <c r="BJ43953" s="201"/>
    </row>
    <row r="43954" spans="62:62" x14ac:dyDescent="0.2">
      <c r="BJ43954" s="201"/>
    </row>
    <row r="43955" spans="62:62" x14ac:dyDescent="0.2">
      <c r="BJ43955" s="201"/>
    </row>
    <row r="43956" spans="62:62" x14ac:dyDescent="0.2">
      <c r="BJ43956" s="201"/>
    </row>
    <row r="43957" spans="62:62" x14ac:dyDescent="0.2">
      <c r="BJ43957" s="201"/>
    </row>
    <row r="43958" spans="62:62" x14ac:dyDescent="0.2">
      <c r="BJ43958" s="201"/>
    </row>
    <row r="43959" spans="62:62" x14ac:dyDescent="0.2">
      <c r="BJ43959" s="201"/>
    </row>
    <row r="43960" spans="62:62" x14ac:dyDescent="0.2">
      <c r="BJ43960" s="201"/>
    </row>
    <row r="43961" spans="62:62" x14ac:dyDescent="0.2">
      <c r="BJ43961" s="201"/>
    </row>
    <row r="43962" spans="62:62" x14ac:dyDescent="0.2">
      <c r="BJ43962" s="201"/>
    </row>
    <row r="43963" spans="62:62" x14ac:dyDescent="0.2">
      <c r="BJ43963" s="201"/>
    </row>
    <row r="43964" spans="62:62" x14ac:dyDescent="0.2">
      <c r="BJ43964" s="201"/>
    </row>
    <row r="43965" spans="62:62" x14ac:dyDescent="0.2">
      <c r="BJ43965" s="201"/>
    </row>
    <row r="43966" spans="62:62" x14ac:dyDescent="0.2">
      <c r="BJ43966" s="201"/>
    </row>
    <row r="43967" spans="62:62" x14ac:dyDescent="0.2">
      <c r="BJ43967" s="201"/>
    </row>
    <row r="43968" spans="62:62" x14ac:dyDescent="0.2">
      <c r="BJ43968" s="201"/>
    </row>
    <row r="43969" spans="62:62" x14ac:dyDescent="0.2">
      <c r="BJ43969" s="201"/>
    </row>
    <row r="43970" spans="62:62" x14ac:dyDescent="0.2">
      <c r="BJ43970" s="201"/>
    </row>
    <row r="43971" spans="62:62" x14ac:dyDescent="0.2">
      <c r="BJ43971" s="201"/>
    </row>
    <row r="43972" spans="62:62" x14ac:dyDescent="0.2">
      <c r="BJ43972" s="201"/>
    </row>
    <row r="43973" spans="62:62" x14ac:dyDescent="0.2">
      <c r="BJ43973" s="201"/>
    </row>
    <row r="43974" spans="62:62" x14ac:dyDescent="0.2">
      <c r="BJ43974" s="201"/>
    </row>
    <row r="43975" spans="62:62" x14ac:dyDescent="0.2">
      <c r="BJ43975" s="201"/>
    </row>
    <row r="43976" spans="62:62" x14ac:dyDescent="0.2">
      <c r="BJ43976" s="201"/>
    </row>
    <row r="43977" spans="62:62" x14ac:dyDescent="0.2">
      <c r="BJ43977" s="201"/>
    </row>
    <row r="43978" spans="62:62" x14ac:dyDescent="0.2">
      <c r="BJ43978" s="201"/>
    </row>
    <row r="43979" spans="62:62" x14ac:dyDescent="0.2">
      <c r="BJ43979" s="201"/>
    </row>
    <row r="43980" spans="62:62" x14ac:dyDescent="0.2">
      <c r="BJ43980" s="201"/>
    </row>
    <row r="43981" spans="62:62" x14ac:dyDescent="0.2">
      <c r="BJ43981" s="201"/>
    </row>
    <row r="43982" spans="62:62" x14ac:dyDescent="0.2">
      <c r="BJ43982" s="201"/>
    </row>
    <row r="43983" spans="62:62" x14ac:dyDescent="0.2">
      <c r="BJ43983" s="201"/>
    </row>
    <row r="43984" spans="62:62" x14ac:dyDescent="0.2">
      <c r="BJ43984" s="201"/>
    </row>
    <row r="43985" spans="62:62" x14ac:dyDescent="0.2">
      <c r="BJ43985" s="201"/>
    </row>
    <row r="43986" spans="62:62" x14ac:dyDescent="0.2">
      <c r="BJ43986" s="201"/>
    </row>
    <row r="43987" spans="62:62" x14ac:dyDescent="0.2">
      <c r="BJ43987" s="201"/>
    </row>
    <row r="43988" spans="62:62" x14ac:dyDescent="0.2">
      <c r="BJ43988" s="201"/>
    </row>
    <row r="43989" spans="62:62" x14ac:dyDescent="0.2">
      <c r="BJ43989" s="201"/>
    </row>
    <row r="43990" spans="62:62" x14ac:dyDescent="0.2">
      <c r="BJ43990" s="201"/>
    </row>
    <row r="43991" spans="62:62" x14ac:dyDescent="0.2">
      <c r="BJ43991" s="201"/>
    </row>
    <row r="43992" spans="62:62" x14ac:dyDescent="0.2">
      <c r="BJ43992" s="201"/>
    </row>
    <row r="43993" spans="62:62" x14ac:dyDescent="0.2">
      <c r="BJ43993" s="201"/>
    </row>
    <row r="43994" spans="62:62" x14ac:dyDescent="0.2">
      <c r="BJ43994" s="201"/>
    </row>
    <row r="43995" spans="62:62" x14ac:dyDescent="0.2">
      <c r="BJ43995" s="201"/>
    </row>
    <row r="43996" spans="62:62" x14ac:dyDescent="0.2">
      <c r="BJ43996" s="201"/>
    </row>
    <row r="43997" spans="62:62" x14ac:dyDescent="0.2">
      <c r="BJ43997" s="201"/>
    </row>
    <row r="43998" spans="62:62" x14ac:dyDescent="0.2">
      <c r="BJ43998" s="201"/>
    </row>
    <row r="43999" spans="62:62" x14ac:dyDescent="0.2">
      <c r="BJ43999" s="201"/>
    </row>
    <row r="44000" spans="62:62" x14ac:dyDescent="0.2">
      <c r="BJ44000" s="201"/>
    </row>
    <row r="44001" spans="62:62" x14ac:dyDescent="0.2">
      <c r="BJ44001" s="201"/>
    </row>
    <row r="44002" spans="62:62" x14ac:dyDescent="0.2">
      <c r="BJ44002" s="201"/>
    </row>
    <row r="44003" spans="62:62" x14ac:dyDescent="0.2">
      <c r="BJ44003" s="201"/>
    </row>
    <row r="44004" spans="62:62" x14ac:dyDescent="0.2">
      <c r="BJ44004" s="201"/>
    </row>
    <row r="44005" spans="62:62" x14ac:dyDescent="0.2">
      <c r="BJ44005" s="201"/>
    </row>
    <row r="44006" spans="62:62" x14ac:dyDescent="0.2">
      <c r="BJ44006" s="201"/>
    </row>
    <row r="44007" spans="62:62" x14ac:dyDescent="0.2">
      <c r="BJ44007" s="201"/>
    </row>
    <row r="44008" spans="62:62" x14ac:dyDescent="0.2">
      <c r="BJ44008" s="201"/>
    </row>
    <row r="44009" spans="62:62" x14ac:dyDescent="0.2">
      <c r="BJ44009" s="201"/>
    </row>
    <row r="44010" spans="62:62" x14ac:dyDescent="0.2">
      <c r="BJ44010" s="201"/>
    </row>
    <row r="44011" spans="62:62" x14ac:dyDescent="0.2">
      <c r="BJ44011" s="201"/>
    </row>
    <row r="44012" spans="62:62" x14ac:dyDescent="0.2">
      <c r="BJ44012" s="201"/>
    </row>
    <row r="44013" spans="62:62" x14ac:dyDescent="0.2">
      <c r="BJ44013" s="201"/>
    </row>
    <row r="44014" spans="62:62" x14ac:dyDescent="0.2">
      <c r="BJ44014" s="201"/>
    </row>
    <row r="44015" spans="62:62" x14ac:dyDescent="0.2">
      <c r="BJ44015" s="201"/>
    </row>
    <row r="44016" spans="62:62" x14ac:dyDescent="0.2">
      <c r="BJ44016" s="201"/>
    </row>
    <row r="44017" spans="62:62" x14ac:dyDescent="0.2">
      <c r="BJ44017" s="201"/>
    </row>
    <row r="44018" spans="62:62" x14ac:dyDescent="0.2">
      <c r="BJ44018" s="201"/>
    </row>
    <row r="44019" spans="62:62" x14ac:dyDescent="0.2">
      <c r="BJ44019" s="201"/>
    </row>
    <row r="44020" spans="62:62" x14ac:dyDescent="0.2">
      <c r="BJ44020" s="201"/>
    </row>
    <row r="44021" spans="62:62" x14ac:dyDescent="0.2">
      <c r="BJ44021" s="201"/>
    </row>
    <row r="44022" spans="62:62" x14ac:dyDescent="0.2">
      <c r="BJ44022" s="201"/>
    </row>
    <row r="44023" spans="62:62" x14ac:dyDescent="0.2">
      <c r="BJ44023" s="201"/>
    </row>
    <row r="44024" spans="62:62" x14ac:dyDescent="0.2">
      <c r="BJ44024" s="201"/>
    </row>
    <row r="44025" spans="62:62" x14ac:dyDescent="0.2">
      <c r="BJ44025" s="201"/>
    </row>
    <row r="44026" spans="62:62" x14ac:dyDescent="0.2">
      <c r="BJ44026" s="201"/>
    </row>
    <row r="44027" spans="62:62" x14ac:dyDescent="0.2">
      <c r="BJ44027" s="201"/>
    </row>
    <row r="44028" spans="62:62" x14ac:dyDescent="0.2">
      <c r="BJ44028" s="201"/>
    </row>
    <row r="44029" spans="62:62" x14ac:dyDescent="0.2">
      <c r="BJ44029" s="201"/>
    </row>
    <row r="44030" spans="62:62" x14ac:dyDescent="0.2">
      <c r="BJ44030" s="201"/>
    </row>
    <row r="44031" spans="62:62" x14ac:dyDescent="0.2">
      <c r="BJ44031" s="201"/>
    </row>
    <row r="44032" spans="62:62" x14ac:dyDescent="0.2">
      <c r="BJ44032" s="201"/>
    </row>
    <row r="44033" spans="62:62" x14ac:dyDescent="0.2">
      <c r="BJ44033" s="201"/>
    </row>
    <row r="44034" spans="62:62" x14ac:dyDescent="0.2">
      <c r="BJ44034" s="201"/>
    </row>
    <row r="44035" spans="62:62" x14ac:dyDescent="0.2">
      <c r="BJ44035" s="201"/>
    </row>
    <row r="44036" spans="62:62" x14ac:dyDescent="0.2">
      <c r="BJ44036" s="201"/>
    </row>
    <row r="44037" spans="62:62" x14ac:dyDescent="0.2">
      <c r="BJ44037" s="201"/>
    </row>
    <row r="44038" spans="62:62" x14ac:dyDescent="0.2">
      <c r="BJ44038" s="201"/>
    </row>
    <row r="44039" spans="62:62" x14ac:dyDescent="0.2">
      <c r="BJ44039" s="201"/>
    </row>
    <row r="44040" spans="62:62" x14ac:dyDescent="0.2">
      <c r="BJ44040" s="201"/>
    </row>
    <row r="44041" spans="62:62" x14ac:dyDescent="0.2">
      <c r="BJ44041" s="201"/>
    </row>
    <row r="44042" spans="62:62" x14ac:dyDescent="0.2">
      <c r="BJ44042" s="201"/>
    </row>
    <row r="44043" spans="62:62" x14ac:dyDescent="0.2">
      <c r="BJ44043" s="201"/>
    </row>
    <row r="44044" spans="62:62" x14ac:dyDescent="0.2">
      <c r="BJ44044" s="201"/>
    </row>
    <row r="44045" spans="62:62" x14ac:dyDescent="0.2">
      <c r="BJ44045" s="201"/>
    </row>
    <row r="44046" spans="62:62" x14ac:dyDescent="0.2">
      <c r="BJ44046" s="201"/>
    </row>
    <row r="44047" spans="62:62" x14ac:dyDescent="0.2">
      <c r="BJ44047" s="201"/>
    </row>
    <row r="44048" spans="62:62" x14ac:dyDescent="0.2">
      <c r="BJ44048" s="201"/>
    </row>
    <row r="44049" spans="62:62" x14ac:dyDescent="0.2">
      <c r="BJ44049" s="201"/>
    </row>
    <row r="44050" spans="62:62" x14ac:dyDescent="0.2">
      <c r="BJ44050" s="201"/>
    </row>
    <row r="44051" spans="62:62" x14ac:dyDescent="0.2">
      <c r="BJ44051" s="201"/>
    </row>
    <row r="44052" spans="62:62" x14ac:dyDescent="0.2">
      <c r="BJ44052" s="201"/>
    </row>
    <row r="44053" spans="62:62" x14ac:dyDescent="0.2">
      <c r="BJ44053" s="201"/>
    </row>
    <row r="44054" spans="62:62" x14ac:dyDescent="0.2">
      <c r="BJ44054" s="201"/>
    </row>
    <row r="44055" spans="62:62" x14ac:dyDescent="0.2">
      <c r="BJ44055" s="201"/>
    </row>
    <row r="44056" spans="62:62" x14ac:dyDescent="0.2">
      <c r="BJ44056" s="201"/>
    </row>
    <row r="44057" spans="62:62" x14ac:dyDescent="0.2">
      <c r="BJ44057" s="201"/>
    </row>
    <row r="44058" spans="62:62" x14ac:dyDescent="0.2">
      <c r="BJ44058" s="201"/>
    </row>
    <row r="44059" spans="62:62" x14ac:dyDescent="0.2">
      <c r="BJ44059" s="201"/>
    </row>
    <row r="44060" spans="62:62" x14ac:dyDescent="0.2">
      <c r="BJ44060" s="201"/>
    </row>
    <row r="44061" spans="62:62" x14ac:dyDescent="0.2">
      <c r="BJ44061" s="201"/>
    </row>
    <row r="44062" spans="62:62" x14ac:dyDescent="0.2">
      <c r="BJ44062" s="201"/>
    </row>
    <row r="44063" spans="62:62" x14ac:dyDescent="0.2">
      <c r="BJ44063" s="201"/>
    </row>
    <row r="44064" spans="62:62" x14ac:dyDescent="0.2">
      <c r="BJ44064" s="201"/>
    </row>
    <row r="44065" spans="62:62" x14ac:dyDescent="0.2">
      <c r="BJ44065" s="201"/>
    </row>
    <row r="44066" spans="62:62" x14ac:dyDescent="0.2">
      <c r="BJ44066" s="201"/>
    </row>
    <row r="44067" spans="62:62" x14ac:dyDescent="0.2">
      <c r="BJ44067" s="201"/>
    </row>
    <row r="44068" spans="62:62" x14ac:dyDescent="0.2">
      <c r="BJ44068" s="201"/>
    </row>
    <row r="44069" spans="62:62" x14ac:dyDescent="0.2">
      <c r="BJ44069" s="201"/>
    </row>
    <row r="44070" spans="62:62" x14ac:dyDescent="0.2">
      <c r="BJ44070" s="201"/>
    </row>
    <row r="44071" spans="62:62" x14ac:dyDescent="0.2">
      <c r="BJ44071" s="201"/>
    </row>
    <row r="44072" spans="62:62" x14ac:dyDescent="0.2">
      <c r="BJ44072" s="201"/>
    </row>
    <row r="44073" spans="62:62" x14ac:dyDescent="0.2">
      <c r="BJ44073" s="201"/>
    </row>
    <row r="44074" spans="62:62" x14ac:dyDescent="0.2">
      <c r="BJ44074" s="201"/>
    </row>
    <row r="44075" spans="62:62" x14ac:dyDescent="0.2">
      <c r="BJ44075" s="201"/>
    </row>
    <row r="44076" spans="62:62" x14ac:dyDescent="0.2">
      <c r="BJ44076" s="201"/>
    </row>
    <row r="44077" spans="62:62" x14ac:dyDescent="0.2">
      <c r="BJ44077" s="201"/>
    </row>
    <row r="44078" spans="62:62" x14ac:dyDescent="0.2">
      <c r="BJ44078" s="201"/>
    </row>
    <row r="44079" spans="62:62" x14ac:dyDescent="0.2">
      <c r="BJ44079" s="201"/>
    </row>
    <row r="44080" spans="62:62" x14ac:dyDescent="0.2">
      <c r="BJ44080" s="201"/>
    </row>
    <row r="44081" spans="62:62" x14ac:dyDescent="0.2">
      <c r="BJ44081" s="201"/>
    </row>
    <row r="44082" spans="62:62" x14ac:dyDescent="0.2">
      <c r="BJ44082" s="201"/>
    </row>
    <row r="44083" spans="62:62" x14ac:dyDescent="0.2">
      <c r="BJ44083" s="201"/>
    </row>
    <row r="44084" spans="62:62" x14ac:dyDescent="0.2">
      <c r="BJ44084" s="201"/>
    </row>
    <row r="44085" spans="62:62" x14ac:dyDescent="0.2">
      <c r="BJ44085" s="201"/>
    </row>
    <row r="44086" spans="62:62" x14ac:dyDescent="0.2">
      <c r="BJ44086" s="201"/>
    </row>
    <row r="44087" spans="62:62" x14ac:dyDescent="0.2">
      <c r="BJ44087" s="201"/>
    </row>
    <row r="44088" spans="62:62" x14ac:dyDescent="0.2">
      <c r="BJ44088" s="201"/>
    </row>
    <row r="44089" spans="62:62" x14ac:dyDescent="0.2">
      <c r="BJ44089" s="201"/>
    </row>
    <row r="44090" spans="62:62" x14ac:dyDescent="0.2">
      <c r="BJ44090" s="201"/>
    </row>
    <row r="44091" spans="62:62" x14ac:dyDescent="0.2">
      <c r="BJ44091" s="201"/>
    </row>
    <row r="44092" spans="62:62" x14ac:dyDescent="0.2">
      <c r="BJ44092" s="201"/>
    </row>
    <row r="44093" spans="62:62" x14ac:dyDescent="0.2">
      <c r="BJ44093" s="201"/>
    </row>
    <row r="44094" spans="62:62" x14ac:dyDescent="0.2">
      <c r="BJ44094" s="201"/>
    </row>
    <row r="44095" spans="62:62" x14ac:dyDescent="0.2">
      <c r="BJ44095" s="201"/>
    </row>
    <row r="44096" spans="62:62" x14ac:dyDescent="0.2">
      <c r="BJ44096" s="201"/>
    </row>
    <row r="44097" spans="62:62" x14ac:dyDescent="0.2">
      <c r="BJ44097" s="201"/>
    </row>
    <row r="44098" spans="62:62" x14ac:dyDescent="0.2">
      <c r="BJ44098" s="201"/>
    </row>
    <row r="44099" spans="62:62" x14ac:dyDescent="0.2">
      <c r="BJ44099" s="201"/>
    </row>
    <row r="44100" spans="62:62" x14ac:dyDescent="0.2">
      <c r="BJ44100" s="201"/>
    </row>
    <row r="44101" spans="62:62" x14ac:dyDescent="0.2">
      <c r="BJ44101" s="201"/>
    </row>
    <row r="44102" spans="62:62" x14ac:dyDescent="0.2">
      <c r="BJ44102" s="201"/>
    </row>
    <row r="44103" spans="62:62" x14ac:dyDescent="0.2">
      <c r="BJ44103" s="201"/>
    </row>
    <row r="44104" spans="62:62" x14ac:dyDescent="0.2">
      <c r="BJ44104" s="201"/>
    </row>
    <row r="44105" spans="62:62" x14ac:dyDescent="0.2">
      <c r="BJ44105" s="201"/>
    </row>
    <row r="44106" spans="62:62" x14ac:dyDescent="0.2">
      <c r="BJ44106" s="201"/>
    </row>
    <row r="44107" spans="62:62" x14ac:dyDescent="0.2">
      <c r="BJ44107" s="201"/>
    </row>
    <row r="44108" spans="62:62" x14ac:dyDescent="0.2">
      <c r="BJ44108" s="201"/>
    </row>
    <row r="44109" spans="62:62" x14ac:dyDescent="0.2">
      <c r="BJ44109" s="201"/>
    </row>
    <row r="44110" spans="62:62" x14ac:dyDescent="0.2">
      <c r="BJ44110" s="201"/>
    </row>
    <row r="44111" spans="62:62" x14ac:dyDescent="0.2">
      <c r="BJ44111" s="201"/>
    </row>
    <row r="44112" spans="62:62" x14ac:dyDescent="0.2">
      <c r="BJ44112" s="201"/>
    </row>
    <row r="44113" spans="62:62" x14ac:dyDescent="0.2">
      <c r="BJ44113" s="201"/>
    </row>
    <row r="44114" spans="62:62" x14ac:dyDescent="0.2">
      <c r="BJ44114" s="201"/>
    </row>
    <row r="44115" spans="62:62" x14ac:dyDescent="0.2">
      <c r="BJ44115" s="201"/>
    </row>
    <row r="44116" spans="62:62" x14ac:dyDescent="0.2">
      <c r="BJ44116" s="201"/>
    </row>
    <row r="44117" spans="62:62" x14ac:dyDescent="0.2">
      <c r="BJ44117" s="201"/>
    </row>
    <row r="44118" spans="62:62" x14ac:dyDescent="0.2">
      <c r="BJ44118" s="201"/>
    </row>
    <row r="44119" spans="62:62" x14ac:dyDescent="0.2">
      <c r="BJ44119" s="201"/>
    </row>
    <row r="44120" spans="62:62" x14ac:dyDescent="0.2">
      <c r="BJ44120" s="201"/>
    </row>
    <row r="44121" spans="62:62" x14ac:dyDescent="0.2">
      <c r="BJ44121" s="201"/>
    </row>
    <row r="44122" spans="62:62" x14ac:dyDescent="0.2">
      <c r="BJ44122" s="201"/>
    </row>
    <row r="44123" spans="62:62" x14ac:dyDescent="0.2">
      <c r="BJ44123" s="201"/>
    </row>
    <row r="44124" spans="62:62" x14ac:dyDescent="0.2">
      <c r="BJ44124" s="201"/>
    </row>
    <row r="44125" spans="62:62" x14ac:dyDescent="0.2">
      <c r="BJ44125" s="201"/>
    </row>
    <row r="44126" spans="62:62" x14ac:dyDescent="0.2">
      <c r="BJ44126" s="201"/>
    </row>
    <row r="44127" spans="62:62" x14ac:dyDescent="0.2">
      <c r="BJ44127" s="201"/>
    </row>
    <row r="44128" spans="62:62" x14ac:dyDescent="0.2">
      <c r="BJ44128" s="201"/>
    </row>
    <row r="44129" spans="62:62" x14ac:dyDescent="0.2">
      <c r="BJ44129" s="201"/>
    </row>
    <row r="44130" spans="62:62" x14ac:dyDescent="0.2">
      <c r="BJ44130" s="201"/>
    </row>
    <row r="44131" spans="62:62" x14ac:dyDescent="0.2">
      <c r="BJ44131" s="201"/>
    </row>
    <row r="44132" spans="62:62" x14ac:dyDescent="0.2">
      <c r="BJ44132" s="201"/>
    </row>
    <row r="44133" spans="62:62" x14ac:dyDescent="0.2">
      <c r="BJ44133" s="201"/>
    </row>
    <row r="44134" spans="62:62" x14ac:dyDescent="0.2">
      <c r="BJ44134" s="201"/>
    </row>
    <row r="44135" spans="62:62" x14ac:dyDescent="0.2">
      <c r="BJ44135" s="201"/>
    </row>
    <row r="44136" spans="62:62" x14ac:dyDescent="0.2">
      <c r="BJ44136" s="201"/>
    </row>
    <row r="44137" spans="62:62" x14ac:dyDescent="0.2">
      <c r="BJ44137" s="201"/>
    </row>
    <row r="44138" spans="62:62" x14ac:dyDescent="0.2">
      <c r="BJ44138" s="201"/>
    </row>
    <row r="44139" spans="62:62" x14ac:dyDescent="0.2">
      <c r="BJ44139" s="201"/>
    </row>
    <row r="44140" spans="62:62" x14ac:dyDescent="0.2">
      <c r="BJ44140" s="201"/>
    </row>
    <row r="44141" spans="62:62" x14ac:dyDescent="0.2">
      <c r="BJ44141" s="201"/>
    </row>
    <row r="44142" spans="62:62" x14ac:dyDescent="0.2">
      <c r="BJ44142" s="201"/>
    </row>
    <row r="44143" spans="62:62" x14ac:dyDescent="0.2">
      <c r="BJ44143" s="201"/>
    </row>
    <row r="44144" spans="62:62" x14ac:dyDescent="0.2">
      <c r="BJ44144" s="201"/>
    </row>
    <row r="44145" spans="62:62" x14ac:dyDescent="0.2">
      <c r="BJ44145" s="201"/>
    </row>
    <row r="44146" spans="62:62" x14ac:dyDescent="0.2">
      <c r="BJ44146" s="201"/>
    </row>
    <row r="44147" spans="62:62" x14ac:dyDescent="0.2">
      <c r="BJ44147" s="201"/>
    </row>
    <row r="44148" spans="62:62" x14ac:dyDescent="0.2">
      <c r="BJ44148" s="201"/>
    </row>
    <row r="44149" spans="62:62" x14ac:dyDescent="0.2">
      <c r="BJ44149" s="201"/>
    </row>
    <row r="44150" spans="62:62" x14ac:dyDescent="0.2">
      <c r="BJ44150" s="201"/>
    </row>
    <row r="44151" spans="62:62" x14ac:dyDescent="0.2">
      <c r="BJ44151" s="201"/>
    </row>
    <row r="44152" spans="62:62" x14ac:dyDescent="0.2">
      <c r="BJ44152" s="201"/>
    </row>
    <row r="44153" spans="62:62" x14ac:dyDescent="0.2">
      <c r="BJ44153" s="201"/>
    </row>
    <row r="44154" spans="62:62" x14ac:dyDescent="0.2">
      <c r="BJ44154" s="201"/>
    </row>
    <row r="44155" spans="62:62" x14ac:dyDescent="0.2">
      <c r="BJ44155" s="201"/>
    </row>
    <row r="44156" spans="62:62" x14ac:dyDescent="0.2">
      <c r="BJ44156" s="201"/>
    </row>
    <row r="44157" spans="62:62" x14ac:dyDescent="0.2">
      <c r="BJ44157" s="201"/>
    </row>
    <row r="44158" spans="62:62" x14ac:dyDescent="0.2">
      <c r="BJ44158" s="201"/>
    </row>
    <row r="44159" spans="62:62" x14ac:dyDescent="0.2">
      <c r="BJ44159" s="201"/>
    </row>
    <row r="44160" spans="62:62" x14ac:dyDescent="0.2">
      <c r="BJ44160" s="201"/>
    </row>
    <row r="44161" spans="62:62" x14ac:dyDescent="0.2">
      <c r="BJ44161" s="201"/>
    </row>
    <row r="44162" spans="62:62" x14ac:dyDescent="0.2">
      <c r="BJ44162" s="201"/>
    </row>
    <row r="44163" spans="62:62" x14ac:dyDescent="0.2">
      <c r="BJ44163" s="201"/>
    </row>
    <row r="44164" spans="62:62" x14ac:dyDescent="0.2">
      <c r="BJ44164" s="201"/>
    </row>
    <row r="44165" spans="62:62" x14ac:dyDescent="0.2">
      <c r="BJ44165" s="201"/>
    </row>
    <row r="44166" spans="62:62" x14ac:dyDescent="0.2">
      <c r="BJ44166" s="201"/>
    </row>
    <row r="44167" spans="62:62" x14ac:dyDescent="0.2">
      <c r="BJ44167" s="201"/>
    </row>
    <row r="44168" spans="62:62" x14ac:dyDescent="0.2">
      <c r="BJ44168" s="201"/>
    </row>
    <row r="44169" spans="62:62" x14ac:dyDescent="0.2">
      <c r="BJ44169" s="201"/>
    </row>
    <row r="44170" spans="62:62" x14ac:dyDescent="0.2">
      <c r="BJ44170" s="201"/>
    </row>
    <row r="44171" spans="62:62" x14ac:dyDescent="0.2">
      <c r="BJ44171" s="201"/>
    </row>
    <row r="44172" spans="62:62" x14ac:dyDescent="0.2">
      <c r="BJ44172" s="201"/>
    </row>
    <row r="44173" spans="62:62" x14ac:dyDescent="0.2">
      <c r="BJ44173" s="201"/>
    </row>
    <row r="44174" spans="62:62" x14ac:dyDescent="0.2">
      <c r="BJ44174" s="201"/>
    </row>
    <row r="44175" spans="62:62" x14ac:dyDescent="0.2">
      <c r="BJ44175" s="201"/>
    </row>
    <row r="44176" spans="62:62" x14ac:dyDescent="0.2">
      <c r="BJ44176" s="201"/>
    </row>
    <row r="44177" spans="62:62" x14ac:dyDescent="0.2">
      <c r="BJ44177" s="201"/>
    </row>
    <row r="44178" spans="62:62" x14ac:dyDescent="0.2">
      <c r="BJ44178" s="201"/>
    </row>
    <row r="44179" spans="62:62" x14ac:dyDescent="0.2">
      <c r="BJ44179" s="201"/>
    </row>
    <row r="44180" spans="62:62" x14ac:dyDescent="0.2">
      <c r="BJ44180" s="201"/>
    </row>
    <row r="44181" spans="62:62" x14ac:dyDescent="0.2">
      <c r="BJ44181" s="201"/>
    </row>
    <row r="44182" spans="62:62" x14ac:dyDescent="0.2">
      <c r="BJ44182" s="201"/>
    </row>
    <row r="44183" spans="62:62" x14ac:dyDescent="0.2">
      <c r="BJ44183" s="201"/>
    </row>
    <row r="44184" spans="62:62" x14ac:dyDescent="0.2">
      <c r="BJ44184" s="201"/>
    </row>
    <row r="44185" spans="62:62" x14ac:dyDescent="0.2">
      <c r="BJ44185" s="201"/>
    </row>
    <row r="44186" spans="62:62" x14ac:dyDescent="0.2">
      <c r="BJ44186" s="201"/>
    </row>
    <row r="44187" spans="62:62" x14ac:dyDescent="0.2">
      <c r="BJ44187" s="201"/>
    </row>
    <row r="44188" spans="62:62" x14ac:dyDescent="0.2">
      <c r="BJ44188" s="201"/>
    </row>
    <row r="44189" spans="62:62" x14ac:dyDescent="0.2">
      <c r="BJ44189" s="201"/>
    </row>
    <row r="44190" spans="62:62" x14ac:dyDescent="0.2">
      <c r="BJ44190" s="201"/>
    </row>
    <row r="44191" spans="62:62" x14ac:dyDescent="0.2">
      <c r="BJ44191" s="201"/>
    </row>
    <row r="44192" spans="62:62" x14ac:dyDescent="0.2">
      <c r="BJ44192" s="201"/>
    </row>
    <row r="44193" spans="62:62" x14ac:dyDescent="0.2">
      <c r="BJ44193" s="201"/>
    </row>
    <row r="44194" spans="62:62" x14ac:dyDescent="0.2">
      <c r="BJ44194" s="201"/>
    </row>
    <row r="44195" spans="62:62" x14ac:dyDescent="0.2">
      <c r="BJ44195" s="201"/>
    </row>
    <row r="44196" spans="62:62" x14ac:dyDescent="0.2">
      <c r="BJ44196" s="201"/>
    </row>
    <row r="44197" spans="62:62" x14ac:dyDescent="0.2">
      <c r="BJ44197" s="201"/>
    </row>
    <row r="44198" spans="62:62" x14ac:dyDescent="0.2">
      <c r="BJ44198" s="201"/>
    </row>
    <row r="44199" spans="62:62" x14ac:dyDescent="0.2">
      <c r="BJ44199" s="201"/>
    </row>
    <row r="44200" spans="62:62" x14ac:dyDescent="0.2">
      <c r="BJ44200" s="201"/>
    </row>
    <row r="44201" spans="62:62" x14ac:dyDescent="0.2">
      <c r="BJ44201" s="201"/>
    </row>
    <row r="44202" spans="62:62" x14ac:dyDescent="0.2">
      <c r="BJ44202" s="201"/>
    </row>
    <row r="44203" spans="62:62" x14ac:dyDescent="0.2">
      <c r="BJ44203" s="201"/>
    </row>
    <row r="44204" spans="62:62" x14ac:dyDescent="0.2">
      <c r="BJ44204" s="201"/>
    </row>
    <row r="44205" spans="62:62" x14ac:dyDescent="0.2">
      <c r="BJ44205" s="201"/>
    </row>
    <row r="44206" spans="62:62" x14ac:dyDescent="0.2">
      <c r="BJ44206" s="201"/>
    </row>
    <row r="44207" spans="62:62" x14ac:dyDescent="0.2">
      <c r="BJ44207" s="201"/>
    </row>
    <row r="44208" spans="62:62" x14ac:dyDescent="0.2">
      <c r="BJ44208" s="201"/>
    </row>
    <row r="44209" spans="62:62" x14ac:dyDescent="0.2">
      <c r="BJ44209" s="201"/>
    </row>
    <row r="44210" spans="62:62" x14ac:dyDescent="0.2">
      <c r="BJ44210" s="201"/>
    </row>
    <row r="44211" spans="62:62" x14ac:dyDescent="0.2">
      <c r="BJ44211" s="201"/>
    </row>
    <row r="44212" spans="62:62" x14ac:dyDescent="0.2">
      <c r="BJ44212" s="201"/>
    </row>
    <row r="44213" spans="62:62" x14ac:dyDescent="0.2">
      <c r="BJ44213" s="201"/>
    </row>
    <row r="44214" spans="62:62" x14ac:dyDescent="0.2">
      <c r="BJ44214" s="201"/>
    </row>
    <row r="44215" spans="62:62" x14ac:dyDescent="0.2">
      <c r="BJ44215" s="201"/>
    </row>
    <row r="44216" spans="62:62" x14ac:dyDescent="0.2">
      <c r="BJ44216" s="201"/>
    </row>
    <row r="44217" spans="62:62" x14ac:dyDescent="0.2">
      <c r="BJ44217" s="201"/>
    </row>
    <row r="44218" spans="62:62" x14ac:dyDescent="0.2">
      <c r="BJ44218" s="201"/>
    </row>
    <row r="44219" spans="62:62" x14ac:dyDescent="0.2">
      <c r="BJ44219" s="201"/>
    </row>
    <row r="44220" spans="62:62" x14ac:dyDescent="0.2">
      <c r="BJ44220" s="201"/>
    </row>
    <row r="44221" spans="62:62" x14ac:dyDescent="0.2">
      <c r="BJ44221" s="201"/>
    </row>
    <row r="44222" spans="62:62" x14ac:dyDescent="0.2">
      <c r="BJ44222" s="201"/>
    </row>
    <row r="44223" spans="62:62" x14ac:dyDescent="0.2">
      <c r="BJ44223" s="201"/>
    </row>
    <row r="44224" spans="62:62" x14ac:dyDescent="0.2">
      <c r="BJ44224" s="201"/>
    </row>
    <row r="44225" spans="62:62" x14ac:dyDescent="0.2">
      <c r="BJ44225" s="201"/>
    </row>
    <row r="44226" spans="62:62" x14ac:dyDescent="0.2">
      <c r="BJ44226" s="201"/>
    </row>
    <row r="44227" spans="62:62" x14ac:dyDescent="0.2">
      <c r="BJ44227" s="201"/>
    </row>
    <row r="44228" spans="62:62" x14ac:dyDescent="0.2">
      <c r="BJ44228" s="201"/>
    </row>
    <row r="44229" spans="62:62" x14ac:dyDescent="0.2">
      <c r="BJ44229" s="201"/>
    </row>
    <row r="44230" spans="62:62" x14ac:dyDescent="0.2">
      <c r="BJ44230" s="201"/>
    </row>
    <row r="44231" spans="62:62" x14ac:dyDescent="0.2">
      <c r="BJ44231" s="201"/>
    </row>
    <row r="44232" spans="62:62" x14ac:dyDescent="0.2">
      <c r="BJ44232" s="201"/>
    </row>
    <row r="44233" spans="62:62" x14ac:dyDescent="0.2">
      <c r="BJ44233" s="201"/>
    </row>
    <row r="44234" spans="62:62" x14ac:dyDescent="0.2">
      <c r="BJ44234" s="201"/>
    </row>
    <row r="44235" spans="62:62" x14ac:dyDescent="0.2">
      <c r="BJ44235" s="201"/>
    </row>
    <row r="44236" spans="62:62" x14ac:dyDescent="0.2">
      <c r="BJ44236" s="201"/>
    </row>
    <row r="44237" spans="62:62" x14ac:dyDescent="0.2">
      <c r="BJ44237" s="201"/>
    </row>
    <row r="44238" spans="62:62" x14ac:dyDescent="0.2">
      <c r="BJ44238" s="201"/>
    </row>
    <row r="44239" spans="62:62" x14ac:dyDescent="0.2">
      <c r="BJ44239" s="201"/>
    </row>
    <row r="44240" spans="62:62" x14ac:dyDescent="0.2">
      <c r="BJ44240" s="201"/>
    </row>
    <row r="44241" spans="62:62" x14ac:dyDescent="0.2">
      <c r="BJ44241" s="201"/>
    </row>
    <row r="44242" spans="62:62" x14ac:dyDescent="0.2">
      <c r="BJ44242" s="201"/>
    </row>
    <row r="44243" spans="62:62" x14ac:dyDescent="0.2">
      <c r="BJ44243" s="201"/>
    </row>
    <row r="44244" spans="62:62" x14ac:dyDescent="0.2">
      <c r="BJ44244" s="201"/>
    </row>
    <row r="44245" spans="62:62" x14ac:dyDescent="0.2">
      <c r="BJ44245" s="201"/>
    </row>
    <row r="44246" spans="62:62" x14ac:dyDescent="0.2">
      <c r="BJ44246" s="201"/>
    </row>
    <row r="44247" spans="62:62" x14ac:dyDescent="0.2">
      <c r="BJ44247" s="201"/>
    </row>
    <row r="44248" spans="62:62" x14ac:dyDescent="0.2">
      <c r="BJ44248" s="201"/>
    </row>
    <row r="44249" spans="62:62" x14ac:dyDescent="0.2">
      <c r="BJ44249" s="201"/>
    </row>
    <row r="44250" spans="62:62" x14ac:dyDescent="0.2">
      <c r="BJ44250" s="201"/>
    </row>
    <row r="44251" spans="62:62" x14ac:dyDescent="0.2">
      <c r="BJ44251" s="201"/>
    </row>
    <row r="44252" spans="62:62" x14ac:dyDescent="0.2">
      <c r="BJ44252" s="201"/>
    </row>
    <row r="44253" spans="62:62" x14ac:dyDescent="0.2">
      <c r="BJ44253" s="201"/>
    </row>
    <row r="44254" spans="62:62" x14ac:dyDescent="0.2">
      <c r="BJ44254" s="201"/>
    </row>
    <row r="44255" spans="62:62" x14ac:dyDescent="0.2">
      <c r="BJ44255" s="201"/>
    </row>
    <row r="44256" spans="62:62" x14ac:dyDescent="0.2">
      <c r="BJ44256" s="201"/>
    </row>
    <row r="44257" spans="62:62" x14ac:dyDescent="0.2">
      <c r="BJ44257" s="201"/>
    </row>
    <row r="44258" spans="62:62" x14ac:dyDescent="0.2">
      <c r="BJ44258" s="201"/>
    </row>
    <row r="44259" spans="62:62" x14ac:dyDescent="0.2">
      <c r="BJ44259" s="201"/>
    </row>
    <row r="44260" spans="62:62" x14ac:dyDescent="0.2">
      <c r="BJ44260" s="201"/>
    </row>
    <row r="44261" spans="62:62" x14ac:dyDescent="0.2">
      <c r="BJ44261" s="201"/>
    </row>
    <row r="44262" spans="62:62" x14ac:dyDescent="0.2">
      <c r="BJ44262" s="201"/>
    </row>
    <row r="44263" spans="62:62" x14ac:dyDescent="0.2">
      <c r="BJ44263" s="201"/>
    </row>
    <row r="44264" spans="62:62" x14ac:dyDescent="0.2">
      <c r="BJ44264" s="201"/>
    </row>
    <row r="44265" spans="62:62" x14ac:dyDescent="0.2">
      <c r="BJ44265" s="201"/>
    </row>
    <row r="44266" spans="62:62" x14ac:dyDescent="0.2">
      <c r="BJ44266" s="201"/>
    </row>
    <row r="44267" spans="62:62" x14ac:dyDescent="0.2">
      <c r="BJ44267" s="201"/>
    </row>
    <row r="44268" spans="62:62" x14ac:dyDescent="0.2">
      <c r="BJ44268" s="201"/>
    </row>
    <row r="44269" spans="62:62" x14ac:dyDescent="0.2">
      <c r="BJ44269" s="201"/>
    </row>
    <row r="44270" spans="62:62" x14ac:dyDescent="0.2">
      <c r="BJ44270" s="201"/>
    </row>
    <row r="44271" spans="62:62" x14ac:dyDescent="0.2">
      <c r="BJ44271" s="201"/>
    </row>
    <row r="44272" spans="62:62" x14ac:dyDescent="0.2">
      <c r="BJ44272" s="201"/>
    </row>
    <row r="44273" spans="62:62" x14ac:dyDescent="0.2">
      <c r="BJ44273" s="201"/>
    </row>
    <row r="44274" spans="62:62" x14ac:dyDescent="0.2">
      <c r="BJ44274" s="201"/>
    </row>
    <row r="44275" spans="62:62" x14ac:dyDescent="0.2">
      <c r="BJ44275" s="201"/>
    </row>
    <row r="44276" spans="62:62" x14ac:dyDescent="0.2">
      <c r="BJ44276" s="201"/>
    </row>
    <row r="44277" spans="62:62" x14ac:dyDescent="0.2">
      <c r="BJ44277" s="201"/>
    </row>
    <row r="44278" spans="62:62" x14ac:dyDescent="0.2">
      <c r="BJ44278" s="201"/>
    </row>
    <row r="44279" spans="62:62" x14ac:dyDescent="0.2">
      <c r="BJ44279" s="201"/>
    </row>
    <row r="44280" spans="62:62" x14ac:dyDescent="0.2">
      <c r="BJ44280" s="201"/>
    </row>
    <row r="44281" spans="62:62" x14ac:dyDescent="0.2">
      <c r="BJ44281" s="201"/>
    </row>
    <row r="44282" spans="62:62" x14ac:dyDescent="0.2">
      <c r="BJ44282" s="201"/>
    </row>
    <row r="44283" spans="62:62" x14ac:dyDescent="0.2">
      <c r="BJ44283" s="201"/>
    </row>
    <row r="44284" spans="62:62" x14ac:dyDescent="0.2">
      <c r="BJ44284" s="201"/>
    </row>
    <row r="44285" spans="62:62" x14ac:dyDescent="0.2">
      <c r="BJ44285" s="201"/>
    </row>
    <row r="44286" spans="62:62" x14ac:dyDescent="0.2">
      <c r="BJ44286" s="201"/>
    </row>
    <row r="44287" spans="62:62" x14ac:dyDescent="0.2">
      <c r="BJ44287" s="201"/>
    </row>
    <row r="44288" spans="62:62" x14ac:dyDescent="0.2">
      <c r="BJ44288" s="201"/>
    </row>
    <row r="44289" spans="62:62" x14ac:dyDescent="0.2">
      <c r="BJ44289" s="201"/>
    </row>
    <row r="44290" spans="62:62" x14ac:dyDescent="0.2">
      <c r="BJ44290" s="201"/>
    </row>
    <row r="44291" spans="62:62" x14ac:dyDescent="0.2">
      <c r="BJ44291" s="201"/>
    </row>
    <row r="44292" spans="62:62" x14ac:dyDescent="0.2">
      <c r="BJ44292" s="201"/>
    </row>
    <row r="44293" spans="62:62" x14ac:dyDescent="0.2">
      <c r="BJ44293" s="201"/>
    </row>
    <row r="44294" spans="62:62" x14ac:dyDescent="0.2">
      <c r="BJ44294" s="201"/>
    </row>
    <row r="44295" spans="62:62" x14ac:dyDescent="0.2">
      <c r="BJ44295" s="201"/>
    </row>
    <row r="44296" spans="62:62" x14ac:dyDescent="0.2">
      <c r="BJ44296" s="201"/>
    </row>
    <row r="44297" spans="62:62" x14ac:dyDescent="0.2">
      <c r="BJ44297" s="201"/>
    </row>
    <row r="44298" spans="62:62" x14ac:dyDescent="0.2">
      <c r="BJ44298" s="201"/>
    </row>
    <row r="44299" spans="62:62" x14ac:dyDescent="0.2">
      <c r="BJ44299" s="201"/>
    </row>
    <row r="44300" spans="62:62" x14ac:dyDescent="0.2">
      <c r="BJ44300" s="201"/>
    </row>
    <row r="44301" spans="62:62" x14ac:dyDescent="0.2">
      <c r="BJ44301" s="201"/>
    </row>
    <row r="44302" spans="62:62" x14ac:dyDescent="0.2">
      <c r="BJ44302" s="201"/>
    </row>
    <row r="44303" spans="62:62" x14ac:dyDescent="0.2">
      <c r="BJ44303" s="201"/>
    </row>
    <row r="44304" spans="62:62" x14ac:dyDescent="0.2">
      <c r="BJ44304" s="201"/>
    </row>
    <row r="44305" spans="62:62" x14ac:dyDescent="0.2">
      <c r="BJ44305" s="201"/>
    </row>
    <row r="44306" spans="62:62" x14ac:dyDescent="0.2">
      <c r="BJ44306" s="201"/>
    </row>
    <row r="44307" spans="62:62" x14ac:dyDescent="0.2">
      <c r="BJ44307" s="201"/>
    </row>
    <row r="44308" spans="62:62" x14ac:dyDescent="0.2">
      <c r="BJ44308" s="201"/>
    </row>
    <row r="44309" spans="62:62" x14ac:dyDescent="0.2">
      <c r="BJ44309" s="201"/>
    </row>
    <row r="44310" spans="62:62" x14ac:dyDescent="0.2">
      <c r="BJ44310" s="201"/>
    </row>
    <row r="44311" spans="62:62" x14ac:dyDescent="0.2">
      <c r="BJ44311" s="201"/>
    </row>
    <row r="44312" spans="62:62" x14ac:dyDescent="0.2">
      <c r="BJ44312" s="201"/>
    </row>
    <row r="44313" spans="62:62" x14ac:dyDescent="0.2">
      <c r="BJ44313" s="201"/>
    </row>
    <row r="44314" spans="62:62" x14ac:dyDescent="0.2">
      <c r="BJ44314" s="201"/>
    </row>
    <row r="44315" spans="62:62" x14ac:dyDescent="0.2">
      <c r="BJ44315" s="201"/>
    </row>
    <row r="44316" spans="62:62" x14ac:dyDescent="0.2">
      <c r="BJ44316" s="201"/>
    </row>
    <row r="44317" spans="62:62" x14ac:dyDescent="0.2">
      <c r="BJ44317" s="201"/>
    </row>
    <row r="44318" spans="62:62" x14ac:dyDescent="0.2">
      <c r="BJ44318" s="201"/>
    </row>
    <row r="44319" spans="62:62" x14ac:dyDescent="0.2">
      <c r="BJ44319" s="201"/>
    </row>
    <row r="44320" spans="62:62" x14ac:dyDescent="0.2">
      <c r="BJ44320" s="201"/>
    </row>
    <row r="44321" spans="62:62" x14ac:dyDescent="0.2">
      <c r="BJ44321" s="201"/>
    </row>
    <row r="44322" spans="62:62" x14ac:dyDescent="0.2">
      <c r="BJ44322" s="201"/>
    </row>
    <row r="44323" spans="62:62" x14ac:dyDescent="0.2">
      <c r="BJ44323" s="201"/>
    </row>
    <row r="44324" spans="62:62" x14ac:dyDescent="0.2">
      <c r="BJ44324" s="201"/>
    </row>
    <row r="44325" spans="62:62" x14ac:dyDescent="0.2">
      <c r="BJ44325" s="201"/>
    </row>
    <row r="44326" spans="62:62" x14ac:dyDescent="0.2">
      <c r="BJ44326" s="201"/>
    </row>
    <row r="44327" spans="62:62" x14ac:dyDescent="0.2">
      <c r="BJ44327" s="201"/>
    </row>
    <row r="44328" spans="62:62" x14ac:dyDescent="0.2">
      <c r="BJ44328" s="201"/>
    </row>
    <row r="44329" spans="62:62" x14ac:dyDescent="0.2">
      <c r="BJ44329" s="201"/>
    </row>
    <row r="44330" spans="62:62" x14ac:dyDescent="0.2">
      <c r="BJ44330" s="201"/>
    </row>
    <row r="44331" spans="62:62" x14ac:dyDescent="0.2">
      <c r="BJ44331" s="201"/>
    </row>
    <row r="44332" spans="62:62" x14ac:dyDescent="0.2">
      <c r="BJ44332" s="201"/>
    </row>
    <row r="44333" spans="62:62" x14ac:dyDescent="0.2">
      <c r="BJ44333" s="201"/>
    </row>
    <row r="44334" spans="62:62" x14ac:dyDescent="0.2">
      <c r="BJ44334" s="201"/>
    </row>
    <row r="44335" spans="62:62" x14ac:dyDescent="0.2">
      <c r="BJ44335" s="201"/>
    </row>
    <row r="44336" spans="62:62" x14ac:dyDescent="0.2">
      <c r="BJ44336" s="201"/>
    </row>
    <row r="44337" spans="62:62" x14ac:dyDescent="0.2">
      <c r="BJ44337" s="201"/>
    </row>
    <row r="44338" spans="62:62" x14ac:dyDescent="0.2">
      <c r="BJ44338" s="201"/>
    </row>
    <row r="44339" spans="62:62" x14ac:dyDescent="0.2">
      <c r="BJ44339" s="201"/>
    </row>
    <row r="44340" spans="62:62" x14ac:dyDescent="0.2">
      <c r="BJ44340" s="201"/>
    </row>
    <row r="44341" spans="62:62" x14ac:dyDescent="0.2">
      <c r="BJ44341" s="201"/>
    </row>
    <row r="44342" spans="62:62" x14ac:dyDescent="0.2">
      <c r="BJ44342" s="201"/>
    </row>
    <row r="44343" spans="62:62" x14ac:dyDescent="0.2">
      <c r="BJ44343" s="201"/>
    </row>
    <row r="44344" spans="62:62" x14ac:dyDescent="0.2">
      <c r="BJ44344" s="201"/>
    </row>
    <row r="44345" spans="62:62" x14ac:dyDescent="0.2">
      <c r="BJ44345" s="201"/>
    </row>
    <row r="44346" spans="62:62" x14ac:dyDescent="0.2">
      <c r="BJ44346" s="201"/>
    </row>
    <row r="44347" spans="62:62" x14ac:dyDescent="0.2">
      <c r="BJ44347" s="201"/>
    </row>
    <row r="44348" spans="62:62" x14ac:dyDescent="0.2">
      <c r="BJ44348" s="201"/>
    </row>
    <row r="44349" spans="62:62" x14ac:dyDescent="0.2">
      <c r="BJ44349" s="201"/>
    </row>
    <row r="44350" spans="62:62" x14ac:dyDescent="0.2">
      <c r="BJ44350" s="201"/>
    </row>
    <row r="44351" spans="62:62" x14ac:dyDescent="0.2">
      <c r="BJ44351" s="201"/>
    </row>
    <row r="44352" spans="62:62" x14ac:dyDescent="0.2">
      <c r="BJ44352" s="201"/>
    </row>
    <row r="44353" spans="62:62" x14ac:dyDescent="0.2">
      <c r="BJ44353" s="201"/>
    </row>
    <row r="44354" spans="62:62" x14ac:dyDescent="0.2">
      <c r="BJ44354" s="201"/>
    </row>
    <row r="44355" spans="62:62" x14ac:dyDescent="0.2">
      <c r="BJ44355" s="201"/>
    </row>
    <row r="44356" spans="62:62" x14ac:dyDescent="0.2">
      <c r="BJ44356" s="201"/>
    </row>
    <row r="44357" spans="62:62" x14ac:dyDescent="0.2">
      <c r="BJ44357" s="201"/>
    </row>
    <row r="44358" spans="62:62" x14ac:dyDescent="0.2">
      <c r="BJ44358" s="201"/>
    </row>
    <row r="44359" spans="62:62" x14ac:dyDescent="0.2">
      <c r="BJ44359" s="201"/>
    </row>
    <row r="44360" spans="62:62" x14ac:dyDescent="0.2">
      <c r="BJ44360" s="201"/>
    </row>
    <row r="44361" spans="62:62" x14ac:dyDescent="0.2">
      <c r="BJ44361" s="201"/>
    </row>
    <row r="44362" spans="62:62" x14ac:dyDescent="0.2">
      <c r="BJ44362" s="201"/>
    </row>
    <row r="44363" spans="62:62" x14ac:dyDescent="0.2">
      <c r="BJ44363" s="201"/>
    </row>
    <row r="44364" spans="62:62" x14ac:dyDescent="0.2">
      <c r="BJ44364" s="201"/>
    </row>
    <row r="44365" spans="62:62" x14ac:dyDescent="0.2">
      <c r="BJ44365" s="201"/>
    </row>
    <row r="44366" spans="62:62" x14ac:dyDescent="0.2">
      <c r="BJ44366" s="201"/>
    </row>
    <row r="44367" spans="62:62" x14ac:dyDescent="0.2">
      <c r="BJ44367" s="201"/>
    </row>
    <row r="44368" spans="62:62" x14ac:dyDescent="0.2">
      <c r="BJ44368" s="201"/>
    </row>
    <row r="44369" spans="62:62" x14ac:dyDescent="0.2">
      <c r="BJ44369" s="201"/>
    </row>
    <row r="44370" spans="62:62" x14ac:dyDescent="0.2">
      <c r="BJ44370" s="201"/>
    </row>
    <row r="44371" spans="62:62" x14ac:dyDescent="0.2">
      <c r="BJ44371" s="201"/>
    </row>
    <row r="44372" spans="62:62" x14ac:dyDescent="0.2">
      <c r="BJ44372" s="201"/>
    </row>
    <row r="44373" spans="62:62" x14ac:dyDescent="0.2">
      <c r="BJ44373" s="201"/>
    </row>
    <row r="44374" spans="62:62" x14ac:dyDescent="0.2">
      <c r="BJ44374" s="201"/>
    </row>
    <row r="44375" spans="62:62" x14ac:dyDescent="0.2">
      <c r="BJ44375" s="201"/>
    </row>
    <row r="44376" spans="62:62" x14ac:dyDescent="0.2">
      <c r="BJ44376" s="201"/>
    </row>
    <row r="44377" spans="62:62" x14ac:dyDescent="0.2">
      <c r="BJ44377" s="201"/>
    </row>
    <row r="44378" spans="62:62" x14ac:dyDescent="0.2">
      <c r="BJ44378" s="201"/>
    </row>
    <row r="44379" spans="62:62" x14ac:dyDescent="0.2">
      <c r="BJ44379" s="201"/>
    </row>
    <row r="44380" spans="62:62" x14ac:dyDescent="0.2">
      <c r="BJ44380" s="201"/>
    </row>
    <row r="44381" spans="62:62" x14ac:dyDescent="0.2">
      <c r="BJ44381" s="201"/>
    </row>
    <row r="44382" spans="62:62" x14ac:dyDescent="0.2">
      <c r="BJ44382" s="201"/>
    </row>
    <row r="44383" spans="62:62" x14ac:dyDescent="0.2">
      <c r="BJ44383" s="201"/>
    </row>
    <row r="44384" spans="62:62" x14ac:dyDescent="0.2">
      <c r="BJ44384" s="201"/>
    </row>
    <row r="44385" spans="62:62" x14ac:dyDescent="0.2">
      <c r="BJ44385" s="201"/>
    </row>
    <row r="44386" spans="62:62" x14ac:dyDescent="0.2">
      <c r="BJ44386" s="201"/>
    </row>
    <row r="44387" spans="62:62" x14ac:dyDescent="0.2">
      <c r="BJ44387" s="201"/>
    </row>
    <row r="44388" spans="62:62" x14ac:dyDescent="0.2">
      <c r="BJ44388" s="201"/>
    </row>
    <row r="44389" spans="62:62" x14ac:dyDescent="0.2">
      <c r="BJ44389" s="201"/>
    </row>
    <row r="44390" spans="62:62" x14ac:dyDescent="0.2">
      <c r="BJ44390" s="201"/>
    </row>
    <row r="44391" spans="62:62" x14ac:dyDescent="0.2">
      <c r="BJ44391" s="201"/>
    </row>
    <row r="44392" spans="62:62" x14ac:dyDescent="0.2">
      <c r="BJ44392" s="201"/>
    </row>
    <row r="44393" spans="62:62" x14ac:dyDescent="0.2">
      <c r="BJ44393" s="201"/>
    </row>
    <row r="44394" spans="62:62" x14ac:dyDescent="0.2">
      <c r="BJ44394" s="201"/>
    </row>
    <row r="44395" spans="62:62" x14ac:dyDescent="0.2">
      <c r="BJ44395" s="201"/>
    </row>
    <row r="44396" spans="62:62" x14ac:dyDescent="0.2">
      <c r="BJ44396" s="201"/>
    </row>
    <row r="44397" spans="62:62" x14ac:dyDescent="0.2">
      <c r="BJ44397" s="201"/>
    </row>
    <row r="44398" spans="62:62" x14ac:dyDescent="0.2">
      <c r="BJ44398" s="201"/>
    </row>
    <row r="44399" spans="62:62" x14ac:dyDescent="0.2">
      <c r="BJ44399" s="201"/>
    </row>
    <row r="44400" spans="62:62" x14ac:dyDescent="0.2">
      <c r="BJ44400" s="201"/>
    </row>
    <row r="44401" spans="62:62" x14ac:dyDescent="0.2">
      <c r="BJ44401" s="201"/>
    </row>
    <row r="44402" spans="62:62" x14ac:dyDescent="0.2">
      <c r="BJ44402" s="201"/>
    </row>
    <row r="44403" spans="62:62" x14ac:dyDescent="0.2">
      <c r="BJ44403" s="201"/>
    </row>
    <row r="44404" spans="62:62" x14ac:dyDescent="0.2">
      <c r="BJ44404" s="201"/>
    </row>
    <row r="44405" spans="62:62" x14ac:dyDescent="0.2">
      <c r="BJ44405" s="201"/>
    </row>
    <row r="44406" spans="62:62" x14ac:dyDescent="0.2">
      <c r="BJ44406" s="201"/>
    </row>
    <row r="44407" spans="62:62" x14ac:dyDescent="0.2">
      <c r="BJ44407" s="201"/>
    </row>
    <row r="44408" spans="62:62" x14ac:dyDescent="0.2">
      <c r="BJ44408" s="201"/>
    </row>
    <row r="44409" spans="62:62" x14ac:dyDescent="0.2">
      <c r="BJ44409" s="201"/>
    </row>
    <row r="44410" spans="62:62" x14ac:dyDescent="0.2">
      <c r="BJ44410" s="201"/>
    </row>
    <row r="44411" spans="62:62" x14ac:dyDescent="0.2">
      <c r="BJ44411" s="201"/>
    </row>
    <row r="44412" spans="62:62" x14ac:dyDescent="0.2">
      <c r="BJ44412" s="201"/>
    </row>
    <row r="44413" spans="62:62" x14ac:dyDescent="0.2">
      <c r="BJ44413" s="201"/>
    </row>
    <row r="44414" spans="62:62" x14ac:dyDescent="0.2">
      <c r="BJ44414" s="201"/>
    </row>
    <row r="44415" spans="62:62" x14ac:dyDescent="0.2">
      <c r="BJ44415" s="201"/>
    </row>
    <row r="44416" spans="62:62" x14ac:dyDescent="0.2">
      <c r="BJ44416" s="201"/>
    </row>
    <row r="44417" spans="62:62" x14ac:dyDescent="0.2">
      <c r="BJ44417" s="201"/>
    </row>
    <row r="44418" spans="62:62" x14ac:dyDescent="0.2">
      <c r="BJ44418" s="201"/>
    </row>
    <row r="44419" spans="62:62" x14ac:dyDescent="0.2">
      <c r="BJ44419" s="201"/>
    </row>
    <row r="44420" spans="62:62" x14ac:dyDescent="0.2">
      <c r="BJ44420" s="201"/>
    </row>
    <row r="44421" spans="62:62" x14ac:dyDescent="0.2">
      <c r="BJ44421" s="201"/>
    </row>
    <row r="44422" spans="62:62" x14ac:dyDescent="0.2">
      <c r="BJ44422" s="201"/>
    </row>
    <row r="44423" spans="62:62" x14ac:dyDescent="0.2">
      <c r="BJ44423" s="201"/>
    </row>
    <row r="44424" spans="62:62" x14ac:dyDescent="0.2">
      <c r="BJ44424" s="201"/>
    </row>
    <row r="44425" spans="62:62" x14ac:dyDescent="0.2">
      <c r="BJ44425" s="201"/>
    </row>
    <row r="44426" spans="62:62" x14ac:dyDescent="0.2">
      <c r="BJ44426" s="201"/>
    </row>
    <row r="44427" spans="62:62" x14ac:dyDescent="0.2">
      <c r="BJ44427" s="201"/>
    </row>
    <row r="44428" spans="62:62" x14ac:dyDescent="0.2">
      <c r="BJ44428" s="201"/>
    </row>
    <row r="44429" spans="62:62" x14ac:dyDescent="0.2">
      <c r="BJ44429" s="201"/>
    </row>
    <row r="44430" spans="62:62" x14ac:dyDescent="0.2">
      <c r="BJ44430" s="201"/>
    </row>
    <row r="44431" spans="62:62" x14ac:dyDescent="0.2">
      <c r="BJ44431" s="201"/>
    </row>
    <row r="44432" spans="62:62" x14ac:dyDescent="0.2">
      <c r="BJ44432" s="201"/>
    </row>
    <row r="44433" spans="62:62" x14ac:dyDescent="0.2">
      <c r="BJ44433" s="201"/>
    </row>
    <row r="44434" spans="62:62" x14ac:dyDescent="0.2">
      <c r="BJ44434" s="201"/>
    </row>
    <row r="44435" spans="62:62" x14ac:dyDescent="0.2">
      <c r="BJ44435" s="201"/>
    </row>
    <row r="44436" spans="62:62" x14ac:dyDescent="0.2">
      <c r="BJ44436" s="201"/>
    </row>
    <row r="44437" spans="62:62" x14ac:dyDescent="0.2">
      <c r="BJ44437" s="201"/>
    </row>
    <row r="44438" spans="62:62" x14ac:dyDescent="0.2">
      <c r="BJ44438" s="201"/>
    </row>
    <row r="44439" spans="62:62" x14ac:dyDescent="0.2">
      <c r="BJ44439" s="201"/>
    </row>
    <row r="44440" spans="62:62" x14ac:dyDescent="0.2">
      <c r="BJ44440" s="201"/>
    </row>
    <row r="44441" spans="62:62" x14ac:dyDescent="0.2">
      <c r="BJ44441" s="201"/>
    </row>
    <row r="44442" spans="62:62" x14ac:dyDescent="0.2">
      <c r="BJ44442" s="201"/>
    </row>
    <row r="44443" spans="62:62" x14ac:dyDescent="0.2">
      <c r="BJ44443" s="201"/>
    </row>
    <row r="44444" spans="62:62" x14ac:dyDescent="0.2">
      <c r="BJ44444" s="201"/>
    </row>
    <row r="44445" spans="62:62" x14ac:dyDescent="0.2">
      <c r="BJ44445" s="201"/>
    </row>
    <row r="44446" spans="62:62" x14ac:dyDescent="0.2">
      <c r="BJ44446" s="201"/>
    </row>
    <row r="44447" spans="62:62" x14ac:dyDescent="0.2">
      <c r="BJ44447" s="201"/>
    </row>
    <row r="44448" spans="62:62" x14ac:dyDescent="0.2">
      <c r="BJ44448" s="201"/>
    </row>
    <row r="44449" spans="62:62" x14ac:dyDescent="0.2">
      <c r="BJ44449" s="201"/>
    </row>
    <row r="44450" spans="62:62" x14ac:dyDescent="0.2">
      <c r="BJ44450" s="201"/>
    </row>
    <row r="44451" spans="62:62" x14ac:dyDescent="0.2">
      <c r="BJ44451" s="201"/>
    </row>
    <row r="44452" spans="62:62" x14ac:dyDescent="0.2">
      <c r="BJ44452" s="201"/>
    </row>
    <row r="44453" spans="62:62" x14ac:dyDescent="0.2">
      <c r="BJ44453" s="201"/>
    </row>
    <row r="44454" spans="62:62" x14ac:dyDescent="0.2">
      <c r="BJ44454" s="201"/>
    </row>
    <row r="44455" spans="62:62" x14ac:dyDescent="0.2">
      <c r="BJ44455" s="201"/>
    </row>
    <row r="44456" spans="62:62" x14ac:dyDescent="0.2">
      <c r="BJ44456" s="201"/>
    </row>
    <row r="44457" spans="62:62" x14ac:dyDescent="0.2">
      <c r="BJ44457" s="201"/>
    </row>
    <row r="44458" spans="62:62" x14ac:dyDescent="0.2">
      <c r="BJ44458" s="201"/>
    </row>
    <row r="44459" spans="62:62" x14ac:dyDescent="0.2">
      <c r="BJ44459" s="201"/>
    </row>
    <row r="44460" spans="62:62" x14ac:dyDescent="0.2">
      <c r="BJ44460" s="201"/>
    </row>
    <row r="44461" spans="62:62" x14ac:dyDescent="0.2">
      <c r="BJ44461" s="201"/>
    </row>
    <row r="44462" spans="62:62" x14ac:dyDescent="0.2">
      <c r="BJ44462" s="201"/>
    </row>
    <row r="44463" spans="62:62" x14ac:dyDescent="0.2">
      <c r="BJ44463" s="201"/>
    </row>
    <row r="44464" spans="62:62" x14ac:dyDescent="0.2">
      <c r="BJ44464" s="201"/>
    </row>
    <row r="44465" spans="62:62" x14ac:dyDescent="0.2">
      <c r="BJ44465" s="201"/>
    </row>
    <row r="44466" spans="62:62" x14ac:dyDescent="0.2">
      <c r="BJ44466" s="201"/>
    </row>
    <row r="44467" spans="62:62" x14ac:dyDescent="0.2">
      <c r="BJ44467" s="201"/>
    </row>
    <row r="44468" spans="62:62" x14ac:dyDescent="0.2">
      <c r="BJ44468" s="201"/>
    </row>
    <row r="44469" spans="62:62" x14ac:dyDescent="0.2">
      <c r="BJ44469" s="201"/>
    </row>
    <row r="44470" spans="62:62" x14ac:dyDescent="0.2">
      <c r="BJ44470" s="201"/>
    </row>
    <row r="44471" spans="62:62" x14ac:dyDescent="0.2">
      <c r="BJ44471" s="201"/>
    </row>
    <row r="44472" spans="62:62" x14ac:dyDescent="0.2">
      <c r="BJ44472" s="201"/>
    </row>
    <row r="44473" spans="62:62" x14ac:dyDescent="0.2">
      <c r="BJ44473" s="201"/>
    </row>
    <row r="44474" spans="62:62" x14ac:dyDescent="0.2">
      <c r="BJ44474" s="201"/>
    </row>
    <row r="44475" spans="62:62" x14ac:dyDescent="0.2">
      <c r="BJ44475" s="201"/>
    </row>
    <row r="44476" spans="62:62" x14ac:dyDescent="0.2">
      <c r="BJ44476" s="201"/>
    </row>
    <row r="44477" spans="62:62" x14ac:dyDescent="0.2">
      <c r="BJ44477" s="201"/>
    </row>
    <row r="44478" spans="62:62" x14ac:dyDescent="0.2">
      <c r="BJ44478" s="201"/>
    </row>
    <row r="44479" spans="62:62" x14ac:dyDescent="0.2">
      <c r="BJ44479" s="201"/>
    </row>
    <row r="44480" spans="62:62" x14ac:dyDescent="0.2">
      <c r="BJ44480" s="201"/>
    </row>
    <row r="44481" spans="62:62" x14ac:dyDescent="0.2">
      <c r="BJ44481" s="201"/>
    </row>
    <row r="44482" spans="62:62" x14ac:dyDescent="0.2">
      <c r="BJ44482" s="201"/>
    </row>
    <row r="44483" spans="62:62" x14ac:dyDescent="0.2">
      <c r="BJ44483" s="201"/>
    </row>
    <row r="44484" spans="62:62" x14ac:dyDescent="0.2">
      <c r="BJ44484" s="201"/>
    </row>
    <row r="44485" spans="62:62" x14ac:dyDescent="0.2">
      <c r="BJ44485" s="201"/>
    </row>
    <row r="44486" spans="62:62" x14ac:dyDescent="0.2">
      <c r="BJ44486" s="201"/>
    </row>
    <row r="44487" spans="62:62" x14ac:dyDescent="0.2">
      <c r="BJ44487" s="201"/>
    </row>
    <row r="44488" spans="62:62" x14ac:dyDescent="0.2">
      <c r="BJ44488" s="201"/>
    </row>
    <row r="44489" spans="62:62" x14ac:dyDescent="0.2">
      <c r="BJ44489" s="201"/>
    </row>
    <row r="44490" spans="62:62" x14ac:dyDescent="0.2">
      <c r="BJ44490" s="201"/>
    </row>
    <row r="44491" spans="62:62" x14ac:dyDescent="0.2">
      <c r="BJ44491" s="201"/>
    </row>
    <row r="44492" spans="62:62" x14ac:dyDescent="0.2">
      <c r="BJ44492" s="201"/>
    </row>
    <row r="44493" spans="62:62" x14ac:dyDescent="0.2">
      <c r="BJ44493" s="201"/>
    </row>
    <row r="44494" spans="62:62" x14ac:dyDescent="0.2">
      <c r="BJ44494" s="201"/>
    </row>
    <row r="44495" spans="62:62" x14ac:dyDescent="0.2">
      <c r="BJ44495" s="201"/>
    </row>
    <row r="44496" spans="62:62" x14ac:dyDescent="0.2">
      <c r="BJ44496" s="201"/>
    </row>
    <row r="44497" spans="62:62" x14ac:dyDescent="0.2">
      <c r="BJ44497" s="201"/>
    </row>
    <row r="44498" spans="62:62" x14ac:dyDescent="0.2">
      <c r="BJ44498" s="201"/>
    </row>
    <row r="44499" spans="62:62" x14ac:dyDescent="0.2">
      <c r="BJ44499" s="201"/>
    </row>
    <row r="44500" spans="62:62" x14ac:dyDescent="0.2">
      <c r="BJ44500" s="201"/>
    </row>
    <row r="44501" spans="62:62" x14ac:dyDescent="0.2">
      <c r="BJ44501" s="201"/>
    </row>
    <row r="44502" spans="62:62" x14ac:dyDescent="0.2">
      <c r="BJ44502" s="201"/>
    </row>
    <row r="44503" spans="62:62" x14ac:dyDescent="0.2">
      <c r="BJ44503" s="201"/>
    </row>
    <row r="44504" spans="62:62" x14ac:dyDescent="0.2">
      <c r="BJ44504" s="201"/>
    </row>
    <row r="44505" spans="62:62" x14ac:dyDescent="0.2">
      <c r="BJ44505" s="201"/>
    </row>
    <row r="44506" spans="62:62" x14ac:dyDescent="0.2">
      <c r="BJ44506" s="201"/>
    </row>
    <row r="44507" spans="62:62" x14ac:dyDescent="0.2">
      <c r="BJ44507" s="201"/>
    </row>
    <row r="44508" spans="62:62" x14ac:dyDescent="0.2">
      <c r="BJ44508" s="201"/>
    </row>
    <row r="44509" spans="62:62" x14ac:dyDescent="0.2">
      <c r="BJ44509" s="201"/>
    </row>
    <row r="44510" spans="62:62" x14ac:dyDescent="0.2">
      <c r="BJ44510" s="201"/>
    </row>
    <row r="44511" spans="62:62" x14ac:dyDescent="0.2">
      <c r="BJ44511" s="201"/>
    </row>
    <row r="44512" spans="62:62" x14ac:dyDescent="0.2">
      <c r="BJ44512" s="201"/>
    </row>
    <row r="44513" spans="62:62" x14ac:dyDescent="0.2">
      <c r="BJ44513" s="201"/>
    </row>
    <row r="44514" spans="62:62" x14ac:dyDescent="0.2">
      <c r="BJ44514" s="201"/>
    </row>
    <row r="44515" spans="62:62" x14ac:dyDescent="0.2">
      <c r="BJ44515" s="201"/>
    </row>
    <row r="44516" spans="62:62" x14ac:dyDescent="0.2">
      <c r="BJ44516" s="201"/>
    </row>
    <row r="44517" spans="62:62" x14ac:dyDescent="0.2">
      <c r="BJ44517" s="201"/>
    </row>
    <row r="44518" spans="62:62" x14ac:dyDescent="0.2">
      <c r="BJ44518" s="201"/>
    </row>
    <row r="44519" spans="62:62" x14ac:dyDescent="0.2">
      <c r="BJ44519" s="201"/>
    </row>
    <row r="44520" spans="62:62" x14ac:dyDescent="0.2">
      <c r="BJ44520" s="201"/>
    </row>
    <row r="44521" spans="62:62" x14ac:dyDescent="0.2">
      <c r="BJ44521" s="201"/>
    </row>
    <row r="44522" spans="62:62" x14ac:dyDescent="0.2">
      <c r="BJ44522" s="201"/>
    </row>
    <row r="44523" spans="62:62" x14ac:dyDescent="0.2">
      <c r="BJ44523" s="201"/>
    </row>
    <row r="44524" spans="62:62" x14ac:dyDescent="0.2">
      <c r="BJ44524" s="201"/>
    </row>
    <row r="44525" spans="62:62" x14ac:dyDescent="0.2">
      <c r="BJ44525" s="201"/>
    </row>
    <row r="44526" spans="62:62" x14ac:dyDescent="0.2">
      <c r="BJ44526" s="201"/>
    </row>
    <row r="44527" spans="62:62" x14ac:dyDescent="0.2">
      <c r="BJ44527" s="201"/>
    </row>
    <row r="44528" spans="62:62" x14ac:dyDescent="0.2">
      <c r="BJ44528" s="201"/>
    </row>
    <row r="44529" spans="62:62" x14ac:dyDescent="0.2">
      <c r="BJ44529" s="201"/>
    </row>
    <row r="44530" spans="62:62" x14ac:dyDescent="0.2">
      <c r="BJ44530" s="201"/>
    </row>
    <row r="44531" spans="62:62" x14ac:dyDescent="0.2">
      <c r="BJ44531" s="201"/>
    </row>
    <row r="44532" spans="62:62" x14ac:dyDescent="0.2">
      <c r="BJ44532" s="201"/>
    </row>
    <row r="44533" spans="62:62" x14ac:dyDescent="0.2">
      <c r="BJ44533" s="201"/>
    </row>
    <row r="44534" spans="62:62" x14ac:dyDescent="0.2">
      <c r="BJ44534" s="201"/>
    </row>
    <row r="44535" spans="62:62" x14ac:dyDescent="0.2">
      <c r="BJ44535" s="201"/>
    </row>
    <row r="44536" spans="62:62" x14ac:dyDescent="0.2">
      <c r="BJ44536" s="201"/>
    </row>
    <row r="44537" spans="62:62" x14ac:dyDescent="0.2">
      <c r="BJ44537" s="201"/>
    </row>
    <row r="44538" spans="62:62" x14ac:dyDescent="0.2">
      <c r="BJ44538" s="201"/>
    </row>
    <row r="44539" spans="62:62" x14ac:dyDescent="0.2">
      <c r="BJ44539" s="201"/>
    </row>
    <row r="44540" spans="62:62" x14ac:dyDescent="0.2">
      <c r="BJ44540" s="201"/>
    </row>
    <row r="44541" spans="62:62" x14ac:dyDescent="0.2">
      <c r="BJ44541" s="201"/>
    </row>
    <row r="44542" spans="62:62" x14ac:dyDescent="0.2">
      <c r="BJ44542" s="201"/>
    </row>
    <row r="44543" spans="62:62" x14ac:dyDescent="0.2">
      <c r="BJ44543" s="201"/>
    </row>
    <row r="44544" spans="62:62" x14ac:dyDescent="0.2">
      <c r="BJ44544" s="201"/>
    </row>
    <row r="44545" spans="62:62" x14ac:dyDescent="0.2">
      <c r="BJ44545" s="201"/>
    </row>
    <row r="44546" spans="62:62" x14ac:dyDescent="0.2">
      <c r="BJ44546" s="201"/>
    </row>
    <row r="44547" spans="62:62" x14ac:dyDescent="0.2">
      <c r="BJ44547" s="201"/>
    </row>
    <row r="44548" spans="62:62" x14ac:dyDescent="0.2">
      <c r="BJ44548" s="201"/>
    </row>
    <row r="44549" spans="62:62" x14ac:dyDescent="0.2">
      <c r="BJ44549" s="201"/>
    </row>
    <row r="44550" spans="62:62" x14ac:dyDescent="0.2">
      <c r="BJ44550" s="201"/>
    </row>
    <row r="44551" spans="62:62" x14ac:dyDescent="0.2">
      <c r="BJ44551" s="201"/>
    </row>
    <row r="44552" spans="62:62" x14ac:dyDescent="0.2">
      <c r="BJ44552" s="201"/>
    </row>
    <row r="44553" spans="62:62" x14ac:dyDescent="0.2">
      <c r="BJ44553" s="201"/>
    </row>
    <row r="44554" spans="62:62" x14ac:dyDescent="0.2">
      <c r="BJ44554" s="201"/>
    </row>
    <row r="44555" spans="62:62" x14ac:dyDescent="0.2">
      <c r="BJ44555" s="201"/>
    </row>
    <row r="44556" spans="62:62" x14ac:dyDescent="0.2">
      <c r="BJ44556" s="201"/>
    </row>
    <row r="44557" spans="62:62" x14ac:dyDescent="0.2">
      <c r="BJ44557" s="201"/>
    </row>
    <row r="44558" spans="62:62" x14ac:dyDescent="0.2">
      <c r="BJ44558" s="201"/>
    </row>
    <row r="44559" spans="62:62" x14ac:dyDescent="0.2">
      <c r="BJ44559" s="201"/>
    </row>
    <row r="44560" spans="62:62" x14ac:dyDescent="0.2">
      <c r="BJ44560" s="201"/>
    </row>
    <row r="44561" spans="62:62" x14ac:dyDescent="0.2">
      <c r="BJ44561" s="201"/>
    </row>
    <row r="44562" spans="62:62" x14ac:dyDescent="0.2">
      <c r="BJ44562" s="201"/>
    </row>
    <row r="44563" spans="62:62" x14ac:dyDescent="0.2">
      <c r="BJ44563" s="201"/>
    </row>
    <row r="44564" spans="62:62" x14ac:dyDescent="0.2">
      <c r="BJ44564" s="201"/>
    </row>
    <row r="44565" spans="62:62" x14ac:dyDescent="0.2">
      <c r="BJ44565" s="201"/>
    </row>
    <row r="44566" spans="62:62" x14ac:dyDescent="0.2">
      <c r="BJ44566" s="201"/>
    </row>
    <row r="44567" spans="62:62" x14ac:dyDescent="0.2">
      <c r="BJ44567" s="201"/>
    </row>
    <row r="44568" spans="62:62" x14ac:dyDescent="0.2">
      <c r="BJ44568" s="201"/>
    </row>
    <row r="44569" spans="62:62" x14ac:dyDescent="0.2">
      <c r="BJ44569" s="201"/>
    </row>
    <row r="44570" spans="62:62" x14ac:dyDescent="0.2">
      <c r="BJ44570" s="201"/>
    </row>
    <row r="44571" spans="62:62" x14ac:dyDescent="0.2">
      <c r="BJ44571" s="201"/>
    </row>
    <row r="44572" spans="62:62" x14ac:dyDescent="0.2">
      <c r="BJ44572" s="201"/>
    </row>
    <row r="44573" spans="62:62" x14ac:dyDescent="0.2">
      <c r="BJ44573" s="201"/>
    </row>
    <row r="44574" spans="62:62" x14ac:dyDescent="0.2">
      <c r="BJ44574" s="201"/>
    </row>
    <row r="44575" spans="62:62" x14ac:dyDescent="0.2">
      <c r="BJ44575" s="201"/>
    </row>
    <row r="44576" spans="62:62" x14ac:dyDescent="0.2">
      <c r="BJ44576" s="201"/>
    </row>
    <row r="44577" spans="62:62" x14ac:dyDescent="0.2">
      <c r="BJ44577" s="201"/>
    </row>
    <row r="44578" spans="62:62" x14ac:dyDescent="0.2">
      <c r="BJ44578" s="201"/>
    </row>
    <row r="44579" spans="62:62" x14ac:dyDescent="0.2">
      <c r="BJ44579" s="201"/>
    </row>
    <row r="44580" spans="62:62" x14ac:dyDescent="0.2">
      <c r="BJ44580" s="201"/>
    </row>
    <row r="44581" spans="62:62" x14ac:dyDescent="0.2">
      <c r="BJ44581" s="201"/>
    </row>
    <row r="44582" spans="62:62" x14ac:dyDescent="0.2">
      <c r="BJ44582" s="201"/>
    </row>
    <row r="44583" spans="62:62" x14ac:dyDescent="0.2">
      <c r="BJ44583" s="201"/>
    </row>
    <row r="44584" spans="62:62" x14ac:dyDescent="0.2">
      <c r="BJ44584" s="201"/>
    </row>
    <row r="44585" spans="62:62" x14ac:dyDescent="0.2">
      <c r="BJ44585" s="201"/>
    </row>
    <row r="44586" spans="62:62" x14ac:dyDescent="0.2">
      <c r="BJ44586" s="201"/>
    </row>
    <row r="44587" spans="62:62" x14ac:dyDescent="0.2">
      <c r="BJ44587" s="201"/>
    </row>
    <row r="44588" spans="62:62" x14ac:dyDescent="0.2">
      <c r="BJ44588" s="201"/>
    </row>
    <row r="44589" spans="62:62" x14ac:dyDescent="0.2">
      <c r="BJ44589" s="201"/>
    </row>
    <row r="44590" spans="62:62" x14ac:dyDescent="0.2">
      <c r="BJ44590" s="201"/>
    </row>
    <row r="44591" spans="62:62" x14ac:dyDescent="0.2">
      <c r="BJ44591" s="201"/>
    </row>
    <row r="44592" spans="62:62" x14ac:dyDescent="0.2">
      <c r="BJ44592" s="201"/>
    </row>
    <row r="44593" spans="62:62" x14ac:dyDescent="0.2">
      <c r="BJ44593" s="201"/>
    </row>
    <row r="44594" spans="62:62" x14ac:dyDescent="0.2">
      <c r="BJ44594" s="201"/>
    </row>
    <row r="44595" spans="62:62" x14ac:dyDescent="0.2">
      <c r="BJ44595" s="201"/>
    </row>
    <row r="44596" spans="62:62" x14ac:dyDescent="0.2">
      <c r="BJ44596" s="201"/>
    </row>
    <row r="44597" spans="62:62" x14ac:dyDescent="0.2">
      <c r="BJ44597" s="201"/>
    </row>
    <row r="44598" spans="62:62" x14ac:dyDescent="0.2">
      <c r="BJ44598" s="201"/>
    </row>
    <row r="44599" spans="62:62" x14ac:dyDescent="0.2">
      <c r="BJ44599" s="201"/>
    </row>
    <row r="44600" spans="62:62" x14ac:dyDescent="0.2">
      <c r="BJ44600" s="201"/>
    </row>
    <row r="44601" spans="62:62" x14ac:dyDescent="0.2">
      <c r="BJ44601" s="201"/>
    </row>
    <row r="44602" spans="62:62" x14ac:dyDescent="0.2">
      <c r="BJ44602" s="201"/>
    </row>
    <row r="44603" spans="62:62" x14ac:dyDescent="0.2">
      <c r="BJ44603" s="201"/>
    </row>
    <row r="44604" spans="62:62" x14ac:dyDescent="0.2">
      <c r="BJ44604" s="201"/>
    </row>
    <row r="44605" spans="62:62" x14ac:dyDescent="0.2">
      <c r="BJ44605" s="201"/>
    </row>
    <row r="44606" spans="62:62" x14ac:dyDescent="0.2">
      <c r="BJ44606" s="201"/>
    </row>
    <row r="44607" spans="62:62" x14ac:dyDescent="0.2">
      <c r="BJ44607" s="201"/>
    </row>
    <row r="44608" spans="62:62" x14ac:dyDescent="0.2">
      <c r="BJ44608" s="201"/>
    </row>
    <row r="44609" spans="62:62" x14ac:dyDescent="0.2">
      <c r="BJ44609" s="201"/>
    </row>
    <row r="44610" spans="62:62" x14ac:dyDescent="0.2">
      <c r="BJ44610" s="201"/>
    </row>
    <row r="44611" spans="62:62" x14ac:dyDescent="0.2">
      <c r="BJ44611" s="201"/>
    </row>
    <row r="44612" spans="62:62" x14ac:dyDescent="0.2">
      <c r="BJ44612" s="201"/>
    </row>
    <row r="44613" spans="62:62" x14ac:dyDescent="0.2">
      <c r="BJ44613" s="201"/>
    </row>
    <row r="44614" spans="62:62" x14ac:dyDescent="0.2">
      <c r="BJ44614" s="201"/>
    </row>
    <row r="44615" spans="62:62" x14ac:dyDescent="0.2">
      <c r="BJ44615" s="201"/>
    </row>
    <row r="44616" spans="62:62" x14ac:dyDescent="0.2">
      <c r="BJ44616" s="201"/>
    </row>
    <row r="44617" spans="62:62" x14ac:dyDescent="0.2">
      <c r="BJ44617" s="201"/>
    </row>
    <row r="44618" spans="62:62" x14ac:dyDescent="0.2">
      <c r="BJ44618" s="201"/>
    </row>
    <row r="44619" spans="62:62" x14ac:dyDescent="0.2">
      <c r="BJ44619" s="201"/>
    </row>
    <row r="44620" spans="62:62" x14ac:dyDescent="0.2">
      <c r="BJ44620" s="201"/>
    </row>
    <row r="44621" spans="62:62" x14ac:dyDescent="0.2">
      <c r="BJ44621" s="201"/>
    </row>
    <row r="44622" spans="62:62" x14ac:dyDescent="0.2">
      <c r="BJ44622" s="201"/>
    </row>
    <row r="44623" spans="62:62" x14ac:dyDescent="0.2">
      <c r="BJ44623" s="201"/>
    </row>
    <row r="44624" spans="62:62" x14ac:dyDescent="0.2">
      <c r="BJ44624" s="201"/>
    </row>
    <row r="44625" spans="62:62" x14ac:dyDescent="0.2">
      <c r="BJ44625" s="201"/>
    </row>
    <row r="44626" spans="62:62" x14ac:dyDescent="0.2">
      <c r="BJ44626" s="201"/>
    </row>
    <row r="44627" spans="62:62" x14ac:dyDescent="0.2">
      <c r="BJ44627" s="201"/>
    </row>
    <row r="44628" spans="62:62" x14ac:dyDescent="0.2">
      <c r="BJ44628" s="201"/>
    </row>
    <row r="44629" spans="62:62" x14ac:dyDescent="0.2">
      <c r="BJ44629" s="201"/>
    </row>
    <row r="44630" spans="62:62" x14ac:dyDescent="0.2">
      <c r="BJ44630" s="201"/>
    </row>
    <row r="44631" spans="62:62" x14ac:dyDescent="0.2">
      <c r="BJ44631" s="201"/>
    </row>
    <row r="44632" spans="62:62" x14ac:dyDescent="0.2">
      <c r="BJ44632" s="201"/>
    </row>
    <row r="44633" spans="62:62" x14ac:dyDescent="0.2">
      <c r="BJ44633" s="201"/>
    </row>
    <row r="44634" spans="62:62" x14ac:dyDescent="0.2">
      <c r="BJ44634" s="201"/>
    </row>
    <row r="44635" spans="62:62" x14ac:dyDescent="0.2">
      <c r="BJ44635" s="201"/>
    </row>
    <row r="44636" spans="62:62" x14ac:dyDescent="0.2">
      <c r="BJ44636" s="201"/>
    </row>
    <row r="44637" spans="62:62" x14ac:dyDescent="0.2">
      <c r="BJ44637" s="201"/>
    </row>
    <row r="44638" spans="62:62" x14ac:dyDescent="0.2">
      <c r="BJ44638" s="201"/>
    </row>
    <row r="44639" spans="62:62" x14ac:dyDescent="0.2">
      <c r="BJ44639" s="201"/>
    </row>
    <row r="44640" spans="62:62" x14ac:dyDescent="0.2">
      <c r="BJ44640" s="201"/>
    </row>
    <row r="44641" spans="62:62" x14ac:dyDescent="0.2">
      <c r="BJ44641" s="201"/>
    </row>
    <row r="44642" spans="62:62" x14ac:dyDescent="0.2">
      <c r="BJ44642" s="201"/>
    </row>
    <row r="44643" spans="62:62" x14ac:dyDescent="0.2">
      <c r="BJ44643" s="201"/>
    </row>
    <row r="44644" spans="62:62" x14ac:dyDescent="0.2">
      <c r="BJ44644" s="201"/>
    </row>
    <row r="44645" spans="62:62" x14ac:dyDescent="0.2">
      <c r="BJ44645" s="201"/>
    </row>
    <row r="44646" spans="62:62" x14ac:dyDescent="0.2">
      <c r="BJ44646" s="201"/>
    </row>
    <row r="44647" spans="62:62" x14ac:dyDescent="0.2">
      <c r="BJ44647" s="201"/>
    </row>
    <row r="44648" spans="62:62" x14ac:dyDescent="0.2">
      <c r="BJ44648" s="201"/>
    </row>
    <row r="44649" spans="62:62" x14ac:dyDescent="0.2">
      <c r="BJ44649" s="201"/>
    </row>
    <row r="44650" spans="62:62" x14ac:dyDescent="0.2">
      <c r="BJ44650" s="201"/>
    </row>
    <row r="44651" spans="62:62" x14ac:dyDescent="0.2">
      <c r="BJ44651" s="201"/>
    </row>
    <row r="44652" spans="62:62" x14ac:dyDescent="0.2">
      <c r="BJ44652" s="201"/>
    </row>
    <row r="44653" spans="62:62" x14ac:dyDescent="0.2">
      <c r="BJ44653" s="201"/>
    </row>
    <row r="44654" spans="62:62" x14ac:dyDescent="0.2">
      <c r="BJ44654" s="201"/>
    </row>
    <row r="44655" spans="62:62" x14ac:dyDescent="0.2">
      <c r="BJ44655" s="201"/>
    </row>
    <row r="44656" spans="62:62" x14ac:dyDescent="0.2">
      <c r="BJ44656" s="201"/>
    </row>
    <row r="44657" spans="62:62" x14ac:dyDescent="0.2">
      <c r="BJ44657" s="201"/>
    </row>
    <row r="44658" spans="62:62" x14ac:dyDescent="0.2">
      <c r="BJ44658" s="201"/>
    </row>
    <row r="44659" spans="62:62" x14ac:dyDescent="0.2">
      <c r="BJ44659" s="201"/>
    </row>
    <row r="44660" spans="62:62" x14ac:dyDescent="0.2">
      <c r="BJ44660" s="201"/>
    </row>
    <row r="44661" spans="62:62" x14ac:dyDescent="0.2">
      <c r="BJ44661" s="201"/>
    </row>
    <row r="44662" spans="62:62" x14ac:dyDescent="0.2">
      <c r="BJ44662" s="201"/>
    </row>
    <row r="44663" spans="62:62" x14ac:dyDescent="0.2">
      <c r="BJ44663" s="201"/>
    </row>
    <row r="44664" spans="62:62" x14ac:dyDescent="0.2">
      <c r="BJ44664" s="201"/>
    </row>
    <row r="44665" spans="62:62" x14ac:dyDescent="0.2">
      <c r="BJ44665" s="201"/>
    </row>
    <row r="44666" spans="62:62" x14ac:dyDescent="0.2">
      <c r="BJ44666" s="201"/>
    </row>
    <row r="44667" spans="62:62" x14ac:dyDescent="0.2">
      <c r="BJ44667" s="201"/>
    </row>
    <row r="44668" spans="62:62" x14ac:dyDescent="0.2">
      <c r="BJ44668" s="201"/>
    </row>
    <row r="44669" spans="62:62" x14ac:dyDescent="0.2">
      <c r="BJ44669" s="201"/>
    </row>
    <row r="44670" spans="62:62" x14ac:dyDescent="0.2">
      <c r="BJ44670" s="201"/>
    </row>
    <row r="44671" spans="62:62" x14ac:dyDescent="0.2">
      <c r="BJ44671" s="201"/>
    </row>
    <row r="44672" spans="62:62" x14ac:dyDescent="0.2">
      <c r="BJ44672" s="201"/>
    </row>
    <row r="44673" spans="62:62" x14ac:dyDescent="0.2">
      <c r="BJ44673" s="201"/>
    </row>
    <row r="44674" spans="62:62" x14ac:dyDescent="0.2">
      <c r="BJ44674" s="201"/>
    </row>
    <row r="44675" spans="62:62" x14ac:dyDescent="0.2">
      <c r="BJ44675" s="201"/>
    </row>
    <row r="44676" spans="62:62" x14ac:dyDescent="0.2">
      <c r="BJ44676" s="201"/>
    </row>
    <row r="44677" spans="62:62" x14ac:dyDescent="0.2">
      <c r="BJ44677" s="201"/>
    </row>
    <row r="44678" spans="62:62" x14ac:dyDescent="0.2">
      <c r="BJ44678" s="201"/>
    </row>
    <row r="44679" spans="62:62" x14ac:dyDescent="0.2">
      <c r="BJ44679" s="201"/>
    </row>
    <row r="44680" spans="62:62" x14ac:dyDescent="0.2">
      <c r="BJ44680" s="201"/>
    </row>
    <row r="44681" spans="62:62" x14ac:dyDescent="0.2">
      <c r="BJ44681" s="201"/>
    </row>
    <row r="44682" spans="62:62" x14ac:dyDescent="0.2">
      <c r="BJ44682" s="201"/>
    </row>
    <row r="44683" spans="62:62" x14ac:dyDescent="0.2">
      <c r="BJ44683" s="201"/>
    </row>
    <row r="44684" spans="62:62" x14ac:dyDescent="0.2">
      <c r="BJ44684" s="201"/>
    </row>
    <row r="44685" spans="62:62" x14ac:dyDescent="0.2">
      <c r="BJ44685" s="201"/>
    </row>
    <row r="44686" spans="62:62" x14ac:dyDescent="0.2">
      <c r="BJ44686" s="201"/>
    </row>
    <row r="44687" spans="62:62" x14ac:dyDescent="0.2">
      <c r="BJ44687" s="201"/>
    </row>
    <row r="44688" spans="62:62" x14ac:dyDescent="0.2">
      <c r="BJ44688" s="201"/>
    </row>
    <row r="44689" spans="62:62" x14ac:dyDescent="0.2">
      <c r="BJ44689" s="201"/>
    </row>
    <row r="44690" spans="62:62" x14ac:dyDescent="0.2">
      <c r="BJ44690" s="201"/>
    </row>
    <row r="44691" spans="62:62" x14ac:dyDescent="0.2">
      <c r="BJ44691" s="201"/>
    </row>
    <row r="44692" spans="62:62" x14ac:dyDescent="0.2">
      <c r="BJ44692" s="201"/>
    </row>
    <row r="44693" spans="62:62" x14ac:dyDescent="0.2">
      <c r="BJ44693" s="201"/>
    </row>
    <row r="44694" spans="62:62" x14ac:dyDescent="0.2">
      <c r="BJ44694" s="201"/>
    </row>
    <row r="44695" spans="62:62" x14ac:dyDescent="0.2">
      <c r="BJ44695" s="201"/>
    </row>
    <row r="44696" spans="62:62" x14ac:dyDescent="0.2">
      <c r="BJ44696" s="201"/>
    </row>
    <row r="44697" spans="62:62" x14ac:dyDescent="0.2">
      <c r="BJ44697" s="201"/>
    </row>
    <row r="44698" spans="62:62" x14ac:dyDescent="0.2">
      <c r="BJ44698" s="201"/>
    </row>
    <row r="44699" spans="62:62" x14ac:dyDescent="0.2">
      <c r="BJ44699" s="201"/>
    </row>
    <row r="44700" spans="62:62" x14ac:dyDescent="0.2">
      <c r="BJ44700" s="201"/>
    </row>
    <row r="44701" spans="62:62" x14ac:dyDescent="0.2">
      <c r="BJ44701" s="201"/>
    </row>
    <row r="44702" spans="62:62" x14ac:dyDescent="0.2">
      <c r="BJ44702" s="201"/>
    </row>
    <row r="44703" spans="62:62" x14ac:dyDescent="0.2">
      <c r="BJ44703" s="201"/>
    </row>
    <row r="44704" spans="62:62" x14ac:dyDescent="0.2">
      <c r="BJ44704" s="201"/>
    </row>
    <row r="44705" spans="62:62" x14ac:dyDescent="0.2">
      <c r="BJ44705" s="201"/>
    </row>
    <row r="44706" spans="62:62" x14ac:dyDescent="0.2">
      <c r="BJ44706" s="201"/>
    </row>
    <row r="44707" spans="62:62" x14ac:dyDescent="0.2">
      <c r="BJ44707" s="201"/>
    </row>
    <row r="44708" spans="62:62" x14ac:dyDescent="0.2">
      <c r="BJ44708" s="201"/>
    </row>
    <row r="44709" spans="62:62" x14ac:dyDescent="0.2">
      <c r="BJ44709" s="201"/>
    </row>
    <row r="44710" spans="62:62" x14ac:dyDescent="0.2">
      <c r="BJ44710" s="201"/>
    </row>
    <row r="44711" spans="62:62" x14ac:dyDescent="0.2">
      <c r="BJ44711" s="201"/>
    </row>
    <row r="44712" spans="62:62" x14ac:dyDescent="0.2">
      <c r="BJ44712" s="201"/>
    </row>
    <row r="44713" spans="62:62" x14ac:dyDescent="0.2">
      <c r="BJ44713" s="201"/>
    </row>
    <row r="44714" spans="62:62" x14ac:dyDescent="0.2">
      <c r="BJ44714" s="201"/>
    </row>
    <row r="44715" spans="62:62" x14ac:dyDescent="0.2">
      <c r="BJ44715" s="201"/>
    </row>
    <row r="44716" spans="62:62" x14ac:dyDescent="0.2">
      <c r="BJ44716" s="201"/>
    </row>
    <row r="44717" spans="62:62" x14ac:dyDescent="0.2">
      <c r="BJ44717" s="201"/>
    </row>
    <row r="44718" spans="62:62" x14ac:dyDescent="0.2">
      <c r="BJ44718" s="201"/>
    </row>
    <row r="44719" spans="62:62" x14ac:dyDescent="0.2">
      <c r="BJ44719" s="201"/>
    </row>
    <row r="44720" spans="62:62" x14ac:dyDescent="0.2">
      <c r="BJ44720" s="201"/>
    </row>
    <row r="44721" spans="62:62" x14ac:dyDescent="0.2">
      <c r="BJ44721" s="201"/>
    </row>
    <row r="44722" spans="62:62" x14ac:dyDescent="0.2">
      <c r="BJ44722" s="201"/>
    </row>
    <row r="44723" spans="62:62" x14ac:dyDescent="0.2">
      <c r="BJ44723" s="201"/>
    </row>
    <row r="44724" spans="62:62" x14ac:dyDescent="0.2">
      <c r="BJ44724" s="201"/>
    </row>
    <row r="44725" spans="62:62" x14ac:dyDescent="0.2">
      <c r="BJ44725" s="201"/>
    </row>
    <row r="44726" spans="62:62" x14ac:dyDescent="0.2">
      <c r="BJ44726" s="201"/>
    </row>
    <row r="44727" spans="62:62" x14ac:dyDescent="0.2">
      <c r="BJ44727" s="201"/>
    </row>
    <row r="44728" spans="62:62" x14ac:dyDescent="0.2">
      <c r="BJ44728" s="201"/>
    </row>
    <row r="44729" spans="62:62" x14ac:dyDescent="0.2">
      <c r="BJ44729" s="201"/>
    </row>
    <row r="44730" spans="62:62" x14ac:dyDescent="0.2">
      <c r="BJ44730" s="201"/>
    </row>
    <row r="44731" spans="62:62" x14ac:dyDescent="0.2">
      <c r="BJ44731" s="201"/>
    </row>
    <row r="44732" spans="62:62" x14ac:dyDescent="0.2">
      <c r="BJ44732" s="201"/>
    </row>
    <row r="44733" spans="62:62" x14ac:dyDescent="0.2">
      <c r="BJ44733" s="201"/>
    </row>
    <row r="44734" spans="62:62" x14ac:dyDescent="0.2">
      <c r="BJ44734" s="201"/>
    </row>
    <row r="44735" spans="62:62" x14ac:dyDescent="0.2">
      <c r="BJ44735" s="201"/>
    </row>
    <row r="44736" spans="62:62" x14ac:dyDescent="0.2">
      <c r="BJ44736" s="201"/>
    </row>
    <row r="44737" spans="62:62" x14ac:dyDescent="0.2">
      <c r="BJ44737" s="201"/>
    </row>
    <row r="44738" spans="62:62" x14ac:dyDescent="0.2">
      <c r="BJ44738" s="201"/>
    </row>
    <row r="44739" spans="62:62" x14ac:dyDescent="0.2">
      <c r="BJ44739" s="201"/>
    </row>
    <row r="44740" spans="62:62" x14ac:dyDescent="0.2">
      <c r="BJ44740" s="201"/>
    </row>
    <row r="44741" spans="62:62" x14ac:dyDescent="0.2">
      <c r="BJ44741" s="201"/>
    </row>
    <row r="44742" spans="62:62" x14ac:dyDescent="0.2">
      <c r="BJ44742" s="201"/>
    </row>
    <row r="44743" spans="62:62" x14ac:dyDescent="0.2">
      <c r="BJ44743" s="201"/>
    </row>
    <row r="44744" spans="62:62" x14ac:dyDescent="0.2">
      <c r="BJ44744" s="201"/>
    </row>
    <row r="44745" spans="62:62" x14ac:dyDescent="0.2">
      <c r="BJ44745" s="201"/>
    </row>
    <row r="44746" spans="62:62" x14ac:dyDescent="0.2">
      <c r="BJ44746" s="201"/>
    </row>
    <row r="44747" spans="62:62" x14ac:dyDescent="0.2">
      <c r="BJ44747" s="201"/>
    </row>
    <row r="44748" spans="62:62" x14ac:dyDescent="0.2">
      <c r="BJ44748" s="201"/>
    </row>
    <row r="44749" spans="62:62" x14ac:dyDescent="0.2">
      <c r="BJ44749" s="201"/>
    </row>
    <row r="44750" spans="62:62" x14ac:dyDescent="0.2">
      <c r="BJ44750" s="201"/>
    </row>
    <row r="44751" spans="62:62" x14ac:dyDescent="0.2">
      <c r="BJ44751" s="201"/>
    </row>
    <row r="44752" spans="62:62" x14ac:dyDescent="0.2">
      <c r="BJ44752" s="201"/>
    </row>
    <row r="44753" spans="62:62" x14ac:dyDescent="0.2">
      <c r="BJ44753" s="201"/>
    </row>
    <row r="44754" spans="62:62" x14ac:dyDescent="0.2">
      <c r="BJ44754" s="201"/>
    </row>
    <row r="44755" spans="62:62" x14ac:dyDescent="0.2">
      <c r="BJ44755" s="201"/>
    </row>
    <row r="44756" spans="62:62" x14ac:dyDescent="0.2">
      <c r="BJ44756" s="201"/>
    </row>
    <row r="44757" spans="62:62" x14ac:dyDescent="0.2">
      <c r="BJ44757" s="201"/>
    </row>
    <row r="44758" spans="62:62" x14ac:dyDescent="0.2">
      <c r="BJ44758" s="201"/>
    </row>
    <row r="44759" spans="62:62" x14ac:dyDescent="0.2">
      <c r="BJ44759" s="201"/>
    </row>
    <row r="44760" spans="62:62" x14ac:dyDescent="0.2">
      <c r="BJ44760" s="201"/>
    </row>
    <row r="44761" spans="62:62" x14ac:dyDescent="0.2">
      <c r="BJ44761" s="201"/>
    </row>
    <row r="44762" spans="62:62" x14ac:dyDescent="0.2">
      <c r="BJ44762" s="201"/>
    </row>
    <row r="44763" spans="62:62" x14ac:dyDescent="0.2">
      <c r="BJ44763" s="201"/>
    </row>
    <row r="44764" spans="62:62" x14ac:dyDescent="0.2">
      <c r="BJ44764" s="201"/>
    </row>
    <row r="44765" spans="62:62" x14ac:dyDescent="0.2">
      <c r="BJ44765" s="201"/>
    </row>
    <row r="44766" spans="62:62" x14ac:dyDescent="0.2">
      <c r="BJ44766" s="201"/>
    </row>
    <row r="44767" spans="62:62" x14ac:dyDescent="0.2">
      <c r="BJ44767" s="201"/>
    </row>
    <row r="44768" spans="62:62" x14ac:dyDescent="0.2">
      <c r="BJ44768" s="201"/>
    </row>
    <row r="44769" spans="62:62" x14ac:dyDescent="0.2">
      <c r="BJ44769" s="201"/>
    </row>
    <row r="44770" spans="62:62" x14ac:dyDescent="0.2">
      <c r="BJ44770" s="201"/>
    </row>
    <row r="44771" spans="62:62" x14ac:dyDescent="0.2">
      <c r="BJ44771" s="201"/>
    </row>
    <row r="44772" spans="62:62" x14ac:dyDescent="0.2">
      <c r="BJ44772" s="201"/>
    </row>
    <row r="44773" spans="62:62" x14ac:dyDescent="0.2">
      <c r="BJ44773" s="201"/>
    </row>
    <row r="44774" spans="62:62" x14ac:dyDescent="0.2">
      <c r="BJ44774" s="201"/>
    </row>
    <row r="44775" spans="62:62" x14ac:dyDescent="0.2">
      <c r="BJ44775" s="201"/>
    </row>
    <row r="44776" spans="62:62" x14ac:dyDescent="0.2">
      <c r="BJ44776" s="201"/>
    </row>
    <row r="44777" spans="62:62" x14ac:dyDescent="0.2">
      <c r="BJ44777" s="201"/>
    </row>
    <row r="44778" spans="62:62" x14ac:dyDescent="0.2">
      <c r="BJ44778" s="201"/>
    </row>
    <row r="44779" spans="62:62" x14ac:dyDescent="0.2">
      <c r="BJ44779" s="201"/>
    </row>
    <row r="44780" spans="62:62" x14ac:dyDescent="0.2">
      <c r="BJ44780" s="201"/>
    </row>
    <row r="44781" spans="62:62" x14ac:dyDescent="0.2">
      <c r="BJ44781" s="201"/>
    </row>
    <row r="44782" spans="62:62" x14ac:dyDescent="0.2">
      <c r="BJ44782" s="201"/>
    </row>
    <row r="44783" spans="62:62" x14ac:dyDescent="0.2">
      <c r="BJ44783" s="201"/>
    </row>
    <row r="44784" spans="62:62" x14ac:dyDescent="0.2">
      <c r="BJ44784" s="201"/>
    </row>
    <row r="44785" spans="62:62" x14ac:dyDescent="0.2">
      <c r="BJ44785" s="201"/>
    </row>
    <row r="44786" spans="62:62" x14ac:dyDescent="0.2">
      <c r="BJ44786" s="201"/>
    </row>
    <row r="44787" spans="62:62" x14ac:dyDescent="0.2">
      <c r="BJ44787" s="201"/>
    </row>
    <row r="44788" spans="62:62" x14ac:dyDescent="0.2">
      <c r="BJ44788" s="201"/>
    </row>
    <row r="44789" spans="62:62" x14ac:dyDescent="0.2">
      <c r="BJ44789" s="201"/>
    </row>
    <row r="44790" spans="62:62" x14ac:dyDescent="0.2">
      <c r="BJ44790" s="201"/>
    </row>
    <row r="44791" spans="62:62" x14ac:dyDescent="0.2">
      <c r="BJ44791" s="201"/>
    </row>
    <row r="44792" spans="62:62" x14ac:dyDescent="0.2">
      <c r="BJ44792" s="201"/>
    </row>
    <row r="44793" spans="62:62" x14ac:dyDescent="0.2">
      <c r="BJ44793" s="201"/>
    </row>
    <row r="44794" spans="62:62" x14ac:dyDescent="0.2">
      <c r="BJ44794" s="201"/>
    </row>
    <row r="44795" spans="62:62" x14ac:dyDescent="0.2">
      <c r="BJ44795" s="201"/>
    </row>
    <row r="44796" spans="62:62" x14ac:dyDescent="0.2">
      <c r="BJ44796" s="201"/>
    </row>
    <row r="44797" spans="62:62" x14ac:dyDescent="0.2">
      <c r="BJ44797" s="201"/>
    </row>
    <row r="44798" spans="62:62" x14ac:dyDescent="0.2">
      <c r="BJ44798" s="201"/>
    </row>
    <row r="44799" spans="62:62" x14ac:dyDescent="0.2">
      <c r="BJ44799" s="201"/>
    </row>
    <row r="44800" spans="62:62" x14ac:dyDescent="0.2">
      <c r="BJ44800" s="201"/>
    </row>
    <row r="44801" spans="62:62" x14ac:dyDescent="0.2">
      <c r="BJ44801" s="201"/>
    </row>
    <row r="44802" spans="62:62" x14ac:dyDescent="0.2">
      <c r="BJ44802" s="201"/>
    </row>
    <row r="44803" spans="62:62" x14ac:dyDescent="0.2">
      <c r="BJ44803" s="201"/>
    </row>
    <row r="44804" spans="62:62" x14ac:dyDescent="0.2">
      <c r="BJ44804" s="201"/>
    </row>
    <row r="44805" spans="62:62" x14ac:dyDescent="0.2">
      <c r="BJ44805" s="201"/>
    </row>
    <row r="44806" spans="62:62" x14ac:dyDescent="0.2">
      <c r="BJ44806" s="201"/>
    </row>
    <row r="44807" spans="62:62" x14ac:dyDescent="0.2">
      <c r="BJ44807" s="201"/>
    </row>
    <row r="44808" spans="62:62" x14ac:dyDescent="0.2">
      <c r="BJ44808" s="201"/>
    </row>
    <row r="44809" spans="62:62" x14ac:dyDescent="0.2">
      <c r="BJ44809" s="201"/>
    </row>
    <row r="44810" spans="62:62" x14ac:dyDescent="0.2">
      <c r="BJ44810" s="201"/>
    </row>
    <row r="44811" spans="62:62" x14ac:dyDescent="0.2">
      <c r="BJ44811" s="201"/>
    </row>
    <row r="44812" spans="62:62" x14ac:dyDescent="0.2">
      <c r="BJ44812" s="201"/>
    </row>
    <row r="44813" spans="62:62" x14ac:dyDescent="0.2">
      <c r="BJ44813" s="201"/>
    </row>
    <row r="44814" spans="62:62" x14ac:dyDescent="0.2">
      <c r="BJ44814" s="201"/>
    </row>
    <row r="44815" spans="62:62" x14ac:dyDescent="0.2">
      <c r="BJ44815" s="201"/>
    </row>
    <row r="44816" spans="62:62" x14ac:dyDescent="0.2">
      <c r="BJ44816" s="201"/>
    </row>
    <row r="44817" spans="62:62" x14ac:dyDescent="0.2">
      <c r="BJ44817" s="201"/>
    </row>
    <row r="44818" spans="62:62" x14ac:dyDescent="0.2">
      <c r="BJ44818" s="201"/>
    </row>
    <row r="44819" spans="62:62" x14ac:dyDescent="0.2">
      <c r="BJ44819" s="201"/>
    </row>
    <row r="44820" spans="62:62" x14ac:dyDescent="0.2">
      <c r="BJ44820" s="201"/>
    </row>
    <row r="44821" spans="62:62" x14ac:dyDescent="0.2">
      <c r="BJ44821" s="201"/>
    </row>
    <row r="44822" spans="62:62" x14ac:dyDescent="0.2">
      <c r="BJ44822" s="201"/>
    </row>
    <row r="44823" spans="62:62" x14ac:dyDescent="0.2">
      <c r="BJ44823" s="201"/>
    </row>
    <row r="44824" spans="62:62" x14ac:dyDescent="0.2">
      <c r="BJ44824" s="201"/>
    </row>
    <row r="44825" spans="62:62" x14ac:dyDescent="0.2">
      <c r="BJ44825" s="201"/>
    </row>
    <row r="44826" spans="62:62" x14ac:dyDescent="0.2">
      <c r="BJ44826" s="201"/>
    </row>
    <row r="44827" spans="62:62" x14ac:dyDescent="0.2">
      <c r="BJ44827" s="201"/>
    </row>
    <row r="44828" spans="62:62" x14ac:dyDescent="0.2">
      <c r="BJ44828" s="201"/>
    </row>
    <row r="44829" spans="62:62" x14ac:dyDescent="0.2">
      <c r="BJ44829" s="201"/>
    </row>
    <row r="44830" spans="62:62" x14ac:dyDescent="0.2">
      <c r="BJ44830" s="201"/>
    </row>
    <row r="44831" spans="62:62" x14ac:dyDescent="0.2">
      <c r="BJ44831" s="201"/>
    </row>
    <row r="44832" spans="62:62" x14ac:dyDescent="0.2">
      <c r="BJ44832" s="201"/>
    </row>
    <row r="44833" spans="62:62" x14ac:dyDescent="0.2">
      <c r="BJ44833" s="201"/>
    </row>
    <row r="44834" spans="62:62" x14ac:dyDescent="0.2">
      <c r="BJ44834" s="201"/>
    </row>
    <row r="44835" spans="62:62" x14ac:dyDescent="0.2">
      <c r="BJ44835" s="201"/>
    </row>
    <row r="44836" spans="62:62" x14ac:dyDescent="0.2">
      <c r="BJ44836" s="201"/>
    </row>
    <row r="44837" spans="62:62" x14ac:dyDescent="0.2">
      <c r="BJ44837" s="201"/>
    </row>
    <row r="44838" spans="62:62" x14ac:dyDescent="0.2">
      <c r="BJ44838" s="201"/>
    </row>
    <row r="44839" spans="62:62" x14ac:dyDescent="0.2">
      <c r="BJ44839" s="201"/>
    </row>
    <row r="44840" spans="62:62" x14ac:dyDescent="0.2">
      <c r="BJ44840" s="201"/>
    </row>
    <row r="44841" spans="62:62" x14ac:dyDescent="0.2">
      <c r="BJ44841" s="201"/>
    </row>
    <row r="44842" spans="62:62" x14ac:dyDescent="0.2">
      <c r="BJ44842" s="201"/>
    </row>
    <row r="44843" spans="62:62" x14ac:dyDescent="0.2">
      <c r="BJ44843" s="201"/>
    </row>
    <row r="44844" spans="62:62" x14ac:dyDescent="0.2">
      <c r="BJ44844" s="201"/>
    </row>
    <row r="44845" spans="62:62" x14ac:dyDescent="0.2">
      <c r="BJ44845" s="201"/>
    </row>
    <row r="44846" spans="62:62" x14ac:dyDescent="0.2">
      <c r="BJ44846" s="201"/>
    </row>
    <row r="44847" spans="62:62" x14ac:dyDescent="0.2">
      <c r="BJ44847" s="201"/>
    </row>
    <row r="44848" spans="62:62" x14ac:dyDescent="0.2">
      <c r="BJ44848" s="201"/>
    </row>
    <row r="44849" spans="62:62" x14ac:dyDescent="0.2">
      <c r="BJ44849" s="201"/>
    </row>
    <row r="44850" spans="62:62" x14ac:dyDescent="0.2">
      <c r="BJ44850" s="201"/>
    </row>
    <row r="44851" spans="62:62" x14ac:dyDescent="0.2">
      <c r="BJ44851" s="201"/>
    </row>
    <row r="44852" spans="62:62" x14ac:dyDescent="0.2">
      <c r="BJ44852" s="201"/>
    </row>
    <row r="44853" spans="62:62" x14ac:dyDescent="0.2">
      <c r="BJ44853" s="201"/>
    </row>
    <row r="44854" spans="62:62" x14ac:dyDescent="0.2">
      <c r="BJ44854" s="201"/>
    </row>
    <row r="44855" spans="62:62" x14ac:dyDescent="0.2">
      <c r="BJ44855" s="201"/>
    </row>
    <row r="44856" spans="62:62" x14ac:dyDescent="0.2">
      <c r="BJ44856" s="201"/>
    </row>
    <row r="44857" spans="62:62" x14ac:dyDescent="0.2">
      <c r="BJ44857" s="201"/>
    </row>
    <row r="44858" spans="62:62" x14ac:dyDescent="0.2">
      <c r="BJ44858" s="201"/>
    </row>
    <row r="44859" spans="62:62" x14ac:dyDescent="0.2">
      <c r="BJ44859" s="201"/>
    </row>
    <row r="44860" spans="62:62" x14ac:dyDescent="0.2">
      <c r="BJ44860" s="201"/>
    </row>
    <row r="44861" spans="62:62" x14ac:dyDescent="0.2">
      <c r="BJ44861" s="201"/>
    </row>
    <row r="44862" spans="62:62" x14ac:dyDescent="0.2">
      <c r="BJ44862" s="201"/>
    </row>
    <row r="44863" spans="62:62" x14ac:dyDescent="0.2">
      <c r="BJ44863" s="201"/>
    </row>
    <row r="44864" spans="62:62" x14ac:dyDescent="0.2">
      <c r="BJ44864" s="201"/>
    </row>
    <row r="44865" spans="62:62" x14ac:dyDescent="0.2">
      <c r="BJ44865" s="201"/>
    </row>
    <row r="44866" spans="62:62" x14ac:dyDescent="0.2">
      <c r="BJ44866" s="201"/>
    </row>
    <row r="44867" spans="62:62" x14ac:dyDescent="0.2">
      <c r="BJ44867" s="201"/>
    </row>
    <row r="44868" spans="62:62" x14ac:dyDescent="0.2">
      <c r="BJ44868" s="201"/>
    </row>
    <row r="44869" spans="62:62" x14ac:dyDescent="0.2">
      <c r="BJ44869" s="201"/>
    </row>
    <row r="44870" spans="62:62" x14ac:dyDescent="0.2">
      <c r="BJ44870" s="201"/>
    </row>
    <row r="44871" spans="62:62" x14ac:dyDescent="0.2">
      <c r="BJ44871" s="201"/>
    </row>
    <row r="44872" spans="62:62" x14ac:dyDescent="0.2">
      <c r="BJ44872" s="201"/>
    </row>
    <row r="44873" spans="62:62" x14ac:dyDescent="0.2">
      <c r="BJ44873" s="201"/>
    </row>
    <row r="44874" spans="62:62" x14ac:dyDescent="0.2">
      <c r="BJ44874" s="201"/>
    </row>
    <row r="44875" spans="62:62" x14ac:dyDescent="0.2">
      <c r="BJ44875" s="201"/>
    </row>
    <row r="44876" spans="62:62" x14ac:dyDescent="0.2">
      <c r="BJ44876" s="201"/>
    </row>
    <row r="44877" spans="62:62" x14ac:dyDescent="0.2">
      <c r="BJ44877" s="201"/>
    </row>
    <row r="44878" spans="62:62" x14ac:dyDescent="0.2">
      <c r="BJ44878" s="201"/>
    </row>
    <row r="44879" spans="62:62" x14ac:dyDescent="0.2">
      <c r="BJ44879" s="201"/>
    </row>
    <row r="44880" spans="62:62" x14ac:dyDescent="0.2">
      <c r="BJ44880" s="201"/>
    </row>
    <row r="44881" spans="62:62" x14ac:dyDescent="0.2">
      <c r="BJ44881" s="201"/>
    </row>
    <row r="44882" spans="62:62" x14ac:dyDescent="0.2">
      <c r="BJ44882" s="201"/>
    </row>
    <row r="44883" spans="62:62" x14ac:dyDescent="0.2">
      <c r="BJ44883" s="201"/>
    </row>
    <row r="44884" spans="62:62" x14ac:dyDescent="0.2">
      <c r="BJ44884" s="201"/>
    </row>
    <row r="44885" spans="62:62" x14ac:dyDescent="0.2">
      <c r="BJ44885" s="201"/>
    </row>
    <row r="44886" spans="62:62" x14ac:dyDescent="0.2">
      <c r="BJ44886" s="201"/>
    </row>
    <row r="44887" spans="62:62" x14ac:dyDescent="0.2">
      <c r="BJ44887" s="201"/>
    </row>
    <row r="44888" spans="62:62" x14ac:dyDescent="0.2">
      <c r="BJ44888" s="201"/>
    </row>
    <row r="44889" spans="62:62" x14ac:dyDescent="0.2">
      <c r="BJ44889" s="201"/>
    </row>
    <row r="44890" spans="62:62" x14ac:dyDescent="0.2">
      <c r="BJ44890" s="201"/>
    </row>
    <row r="44891" spans="62:62" x14ac:dyDescent="0.2">
      <c r="BJ44891" s="201"/>
    </row>
    <row r="44892" spans="62:62" x14ac:dyDescent="0.2">
      <c r="BJ44892" s="201"/>
    </row>
    <row r="44893" spans="62:62" x14ac:dyDescent="0.2">
      <c r="BJ44893" s="201"/>
    </row>
    <row r="44894" spans="62:62" x14ac:dyDescent="0.2">
      <c r="BJ44894" s="201"/>
    </row>
    <row r="44895" spans="62:62" x14ac:dyDescent="0.2">
      <c r="BJ44895" s="201"/>
    </row>
    <row r="44896" spans="62:62" x14ac:dyDescent="0.2">
      <c r="BJ44896" s="201"/>
    </row>
    <row r="44897" spans="62:62" x14ac:dyDescent="0.2">
      <c r="BJ44897" s="201"/>
    </row>
    <row r="44898" spans="62:62" x14ac:dyDescent="0.2">
      <c r="BJ44898" s="201"/>
    </row>
    <row r="44899" spans="62:62" x14ac:dyDescent="0.2">
      <c r="BJ44899" s="201"/>
    </row>
    <row r="44900" spans="62:62" x14ac:dyDescent="0.2">
      <c r="BJ44900" s="201"/>
    </row>
    <row r="44901" spans="62:62" x14ac:dyDescent="0.2">
      <c r="BJ44901" s="201"/>
    </row>
    <row r="44902" spans="62:62" x14ac:dyDescent="0.2">
      <c r="BJ44902" s="201"/>
    </row>
    <row r="44903" spans="62:62" x14ac:dyDescent="0.2">
      <c r="BJ44903" s="201"/>
    </row>
    <row r="44904" spans="62:62" x14ac:dyDescent="0.2">
      <c r="BJ44904" s="201"/>
    </row>
    <row r="44905" spans="62:62" x14ac:dyDescent="0.2">
      <c r="BJ44905" s="201"/>
    </row>
    <row r="44906" spans="62:62" x14ac:dyDescent="0.2">
      <c r="BJ44906" s="201"/>
    </row>
    <row r="44907" spans="62:62" x14ac:dyDescent="0.2">
      <c r="BJ44907" s="201"/>
    </row>
    <row r="44908" spans="62:62" x14ac:dyDescent="0.2">
      <c r="BJ44908" s="201"/>
    </row>
    <row r="44909" spans="62:62" x14ac:dyDescent="0.2">
      <c r="BJ44909" s="201"/>
    </row>
    <row r="44910" spans="62:62" x14ac:dyDescent="0.2">
      <c r="BJ44910" s="201"/>
    </row>
    <row r="44911" spans="62:62" x14ac:dyDescent="0.2">
      <c r="BJ44911" s="201"/>
    </row>
    <row r="44912" spans="62:62" x14ac:dyDescent="0.2">
      <c r="BJ44912" s="201"/>
    </row>
    <row r="44913" spans="62:62" x14ac:dyDescent="0.2">
      <c r="BJ44913" s="201"/>
    </row>
    <row r="44914" spans="62:62" x14ac:dyDescent="0.2">
      <c r="BJ44914" s="201"/>
    </row>
    <row r="44915" spans="62:62" x14ac:dyDescent="0.2">
      <c r="BJ44915" s="201"/>
    </row>
    <row r="44916" spans="62:62" x14ac:dyDescent="0.2">
      <c r="BJ44916" s="201"/>
    </row>
    <row r="44917" spans="62:62" x14ac:dyDescent="0.2">
      <c r="BJ44917" s="201"/>
    </row>
    <row r="44918" spans="62:62" x14ac:dyDescent="0.2">
      <c r="BJ44918" s="201"/>
    </row>
    <row r="44919" spans="62:62" x14ac:dyDescent="0.2">
      <c r="BJ44919" s="201"/>
    </row>
    <row r="44920" spans="62:62" x14ac:dyDescent="0.2">
      <c r="BJ44920" s="201"/>
    </row>
    <row r="44921" spans="62:62" x14ac:dyDescent="0.2">
      <c r="BJ44921" s="201"/>
    </row>
    <row r="44922" spans="62:62" x14ac:dyDescent="0.2">
      <c r="BJ44922" s="201"/>
    </row>
    <row r="44923" spans="62:62" x14ac:dyDescent="0.2">
      <c r="BJ44923" s="201"/>
    </row>
    <row r="44924" spans="62:62" x14ac:dyDescent="0.2">
      <c r="BJ44924" s="201"/>
    </row>
    <row r="44925" spans="62:62" x14ac:dyDescent="0.2">
      <c r="BJ44925" s="201"/>
    </row>
    <row r="44926" spans="62:62" x14ac:dyDescent="0.2">
      <c r="BJ44926" s="201"/>
    </row>
    <row r="44927" spans="62:62" x14ac:dyDescent="0.2">
      <c r="BJ44927" s="201"/>
    </row>
    <row r="44928" spans="62:62" x14ac:dyDescent="0.2">
      <c r="BJ44928" s="201"/>
    </row>
    <row r="44929" spans="62:62" x14ac:dyDescent="0.2">
      <c r="BJ44929" s="201"/>
    </row>
    <row r="44930" spans="62:62" x14ac:dyDescent="0.2">
      <c r="BJ44930" s="201"/>
    </row>
    <row r="44931" spans="62:62" x14ac:dyDescent="0.2">
      <c r="BJ44931" s="201"/>
    </row>
    <row r="44932" spans="62:62" x14ac:dyDescent="0.2">
      <c r="BJ44932" s="201"/>
    </row>
    <row r="44933" spans="62:62" x14ac:dyDescent="0.2">
      <c r="BJ44933" s="201"/>
    </row>
    <row r="44934" spans="62:62" x14ac:dyDescent="0.2">
      <c r="BJ44934" s="201"/>
    </row>
    <row r="44935" spans="62:62" x14ac:dyDescent="0.2">
      <c r="BJ44935" s="201"/>
    </row>
    <row r="44936" spans="62:62" x14ac:dyDescent="0.2">
      <c r="BJ44936" s="201"/>
    </row>
    <row r="44937" spans="62:62" x14ac:dyDescent="0.2">
      <c r="BJ44937" s="201"/>
    </row>
    <row r="44938" spans="62:62" x14ac:dyDescent="0.2">
      <c r="BJ44938" s="201"/>
    </row>
    <row r="44939" spans="62:62" x14ac:dyDescent="0.2">
      <c r="BJ44939" s="201"/>
    </row>
    <row r="44940" spans="62:62" x14ac:dyDescent="0.2">
      <c r="BJ44940" s="201"/>
    </row>
    <row r="44941" spans="62:62" x14ac:dyDescent="0.2">
      <c r="BJ44941" s="201"/>
    </row>
    <row r="44942" spans="62:62" x14ac:dyDescent="0.2">
      <c r="BJ44942" s="201"/>
    </row>
    <row r="44943" spans="62:62" x14ac:dyDescent="0.2">
      <c r="BJ44943" s="201"/>
    </row>
    <row r="44944" spans="62:62" x14ac:dyDescent="0.2">
      <c r="BJ44944" s="201"/>
    </row>
    <row r="44945" spans="62:62" x14ac:dyDescent="0.2">
      <c r="BJ44945" s="201"/>
    </row>
    <row r="44946" spans="62:62" x14ac:dyDescent="0.2">
      <c r="BJ44946" s="201"/>
    </row>
    <row r="44947" spans="62:62" x14ac:dyDescent="0.2">
      <c r="BJ44947" s="201"/>
    </row>
    <row r="44948" spans="62:62" x14ac:dyDescent="0.2">
      <c r="BJ44948" s="201"/>
    </row>
    <row r="44949" spans="62:62" x14ac:dyDescent="0.2">
      <c r="BJ44949" s="201"/>
    </row>
    <row r="44950" spans="62:62" x14ac:dyDescent="0.2">
      <c r="BJ44950" s="201"/>
    </row>
    <row r="44951" spans="62:62" x14ac:dyDescent="0.2">
      <c r="BJ44951" s="201"/>
    </row>
    <row r="44952" spans="62:62" x14ac:dyDescent="0.2">
      <c r="BJ44952" s="201"/>
    </row>
    <row r="44953" spans="62:62" x14ac:dyDescent="0.2">
      <c r="BJ44953" s="201"/>
    </row>
    <row r="44954" spans="62:62" x14ac:dyDescent="0.2">
      <c r="BJ44954" s="201"/>
    </row>
    <row r="44955" spans="62:62" x14ac:dyDescent="0.2">
      <c r="BJ44955" s="201"/>
    </row>
    <row r="44956" spans="62:62" x14ac:dyDescent="0.2">
      <c r="BJ44956" s="201"/>
    </row>
    <row r="44957" spans="62:62" x14ac:dyDescent="0.2">
      <c r="BJ44957" s="201"/>
    </row>
    <row r="44958" spans="62:62" x14ac:dyDescent="0.2">
      <c r="BJ44958" s="201"/>
    </row>
    <row r="44959" spans="62:62" x14ac:dyDescent="0.2">
      <c r="BJ44959" s="201"/>
    </row>
    <row r="44960" spans="62:62" x14ac:dyDescent="0.2">
      <c r="BJ44960" s="201"/>
    </row>
    <row r="44961" spans="62:62" x14ac:dyDescent="0.2">
      <c r="BJ44961" s="201"/>
    </row>
    <row r="44962" spans="62:62" x14ac:dyDescent="0.2">
      <c r="BJ44962" s="201"/>
    </row>
    <row r="44963" spans="62:62" x14ac:dyDescent="0.2">
      <c r="BJ44963" s="201"/>
    </row>
    <row r="44964" spans="62:62" x14ac:dyDescent="0.2">
      <c r="BJ44964" s="201"/>
    </row>
    <row r="44965" spans="62:62" x14ac:dyDescent="0.2">
      <c r="BJ44965" s="201"/>
    </row>
    <row r="44966" spans="62:62" x14ac:dyDescent="0.2">
      <c r="BJ44966" s="201"/>
    </row>
    <row r="44967" spans="62:62" x14ac:dyDescent="0.2">
      <c r="BJ44967" s="201"/>
    </row>
    <row r="44968" spans="62:62" x14ac:dyDescent="0.2">
      <c r="BJ44968" s="201"/>
    </row>
    <row r="44969" spans="62:62" x14ac:dyDescent="0.2">
      <c r="BJ44969" s="201"/>
    </row>
    <row r="44970" spans="62:62" x14ac:dyDescent="0.2">
      <c r="BJ44970" s="201"/>
    </row>
    <row r="44971" spans="62:62" x14ac:dyDescent="0.2">
      <c r="BJ44971" s="201"/>
    </row>
    <row r="44972" spans="62:62" x14ac:dyDescent="0.2">
      <c r="BJ44972" s="201"/>
    </row>
    <row r="44973" spans="62:62" x14ac:dyDescent="0.2">
      <c r="BJ44973" s="201"/>
    </row>
    <row r="44974" spans="62:62" x14ac:dyDescent="0.2">
      <c r="BJ44974" s="201"/>
    </row>
    <row r="44975" spans="62:62" x14ac:dyDescent="0.2">
      <c r="BJ44975" s="201"/>
    </row>
    <row r="44976" spans="62:62" x14ac:dyDescent="0.2">
      <c r="BJ44976" s="201"/>
    </row>
    <row r="44977" spans="62:62" x14ac:dyDescent="0.2">
      <c r="BJ44977" s="201"/>
    </row>
    <row r="44978" spans="62:62" x14ac:dyDescent="0.2">
      <c r="BJ44978" s="201"/>
    </row>
    <row r="44979" spans="62:62" x14ac:dyDescent="0.2">
      <c r="BJ44979" s="201"/>
    </row>
    <row r="44980" spans="62:62" x14ac:dyDescent="0.2">
      <c r="BJ44980" s="201"/>
    </row>
    <row r="44981" spans="62:62" x14ac:dyDescent="0.2">
      <c r="BJ44981" s="201"/>
    </row>
    <row r="44982" spans="62:62" x14ac:dyDescent="0.2">
      <c r="BJ44982" s="201"/>
    </row>
    <row r="44983" spans="62:62" x14ac:dyDescent="0.2">
      <c r="BJ44983" s="201"/>
    </row>
    <row r="44984" spans="62:62" x14ac:dyDescent="0.2">
      <c r="BJ44984" s="201"/>
    </row>
    <row r="44985" spans="62:62" x14ac:dyDescent="0.2">
      <c r="BJ44985" s="201"/>
    </row>
    <row r="44986" spans="62:62" x14ac:dyDescent="0.2">
      <c r="BJ44986" s="201"/>
    </row>
    <row r="44987" spans="62:62" x14ac:dyDescent="0.2">
      <c r="BJ44987" s="201"/>
    </row>
    <row r="44988" spans="62:62" x14ac:dyDescent="0.2">
      <c r="BJ44988" s="201"/>
    </row>
    <row r="44989" spans="62:62" x14ac:dyDescent="0.2">
      <c r="BJ44989" s="201"/>
    </row>
    <row r="44990" spans="62:62" x14ac:dyDescent="0.2">
      <c r="BJ44990" s="201"/>
    </row>
    <row r="44991" spans="62:62" x14ac:dyDescent="0.2">
      <c r="BJ44991" s="201"/>
    </row>
    <row r="44992" spans="62:62" x14ac:dyDescent="0.2">
      <c r="BJ44992" s="201"/>
    </row>
    <row r="44993" spans="62:62" x14ac:dyDescent="0.2">
      <c r="BJ44993" s="201"/>
    </row>
    <row r="44994" spans="62:62" x14ac:dyDescent="0.2">
      <c r="BJ44994" s="201"/>
    </row>
    <row r="44995" spans="62:62" x14ac:dyDescent="0.2">
      <c r="BJ44995" s="201"/>
    </row>
    <row r="44996" spans="62:62" x14ac:dyDescent="0.2">
      <c r="BJ44996" s="201"/>
    </row>
    <row r="44997" spans="62:62" x14ac:dyDescent="0.2">
      <c r="BJ44997" s="201"/>
    </row>
    <row r="44998" spans="62:62" x14ac:dyDescent="0.2">
      <c r="BJ44998" s="201"/>
    </row>
    <row r="44999" spans="62:62" x14ac:dyDescent="0.2">
      <c r="BJ44999" s="201"/>
    </row>
    <row r="45000" spans="62:62" x14ac:dyDescent="0.2">
      <c r="BJ45000" s="201"/>
    </row>
    <row r="45001" spans="62:62" x14ac:dyDescent="0.2">
      <c r="BJ45001" s="201"/>
    </row>
    <row r="45002" spans="62:62" x14ac:dyDescent="0.2">
      <c r="BJ45002" s="201"/>
    </row>
    <row r="45003" spans="62:62" x14ac:dyDescent="0.2">
      <c r="BJ45003" s="201"/>
    </row>
    <row r="45004" spans="62:62" x14ac:dyDescent="0.2">
      <c r="BJ45004" s="201"/>
    </row>
    <row r="45005" spans="62:62" x14ac:dyDescent="0.2">
      <c r="BJ45005" s="201"/>
    </row>
    <row r="45006" spans="62:62" x14ac:dyDescent="0.2">
      <c r="BJ45006" s="201"/>
    </row>
    <row r="45007" spans="62:62" x14ac:dyDescent="0.2">
      <c r="BJ45007" s="201"/>
    </row>
    <row r="45008" spans="62:62" x14ac:dyDescent="0.2">
      <c r="BJ45008" s="201"/>
    </row>
    <row r="45009" spans="62:62" x14ac:dyDescent="0.2">
      <c r="BJ45009" s="201"/>
    </row>
    <row r="45010" spans="62:62" x14ac:dyDescent="0.2">
      <c r="BJ45010" s="201"/>
    </row>
    <row r="45011" spans="62:62" x14ac:dyDescent="0.2">
      <c r="BJ45011" s="201"/>
    </row>
    <row r="45012" spans="62:62" x14ac:dyDescent="0.2">
      <c r="BJ45012" s="201"/>
    </row>
    <row r="45013" spans="62:62" x14ac:dyDescent="0.2">
      <c r="BJ45013" s="201"/>
    </row>
    <row r="45014" spans="62:62" x14ac:dyDescent="0.2">
      <c r="BJ45014" s="201"/>
    </row>
    <row r="45015" spans="62:62" x14ac:dyDescent="0.2">
      <c r="BJ45015" s="201"/>
    </row>
    <row r="45016" spans="62:62" x14ac:dyDescent="0.2">
      <c r="BJ45016" s="201"/>
    </row>
    <row r="45017" spans="62:62" x14ac:dyDescent="0.2">
      <c r="BJ45017" s="201"/>
    </row>
    <row r="45018" spans="62:62" x14ac:dyDescent="0.2">
      <c r="BJ45018" s="201"/>
    </row>
    <row r="45019" spans="62:62" x14ac:dyDescent="0.2">
      <c r="BJ45019" s="201"/>
    </row>
    <row r="45020" spans="62:62" x14ac:dyDescent="0.2">
      <c r="BJ45020" s="201"/>
    </row>
    <row r="45021" spans="62:62" x14ac:dyDescent="0.2">
      <c r="BJ45021" s="201"/>
    </row>
    <row r="45022" spans="62:62" x14ac:dyDescent="0.2">
      <c r="BJ45022" s="201"/>
    </row>
    <row r="45023" spans="62:62" x14ac:dyDescent="0.2">
      <c r="BJ45023" s="201"/>
    </row>
    <row r="45024" spans="62:62" x14ac:dyDescent="0.2">
      <c r="BJ45024" s="201"/>
    </row>
    <row r="45025" spans="62:62" x14ac:dyDescent="0.2">
      <c r="BJ45025" s="201"/>
    </row>
    <row r="45026" spans="62:62" x14ac:dyDescent="0.2">
      <c r="BJ45026" s="201"/>
    </row>
    <row r="45027" spans="62:62" x14ac:dyDescent="0.2">
      <c r="BJ45027" s="201"/>
    </row>
    <row r="45028" spans="62:62" x14ac:dyDescent="0.2">
      <c r="BJ45028" s="201"/>
    </row>
    <row r="45029" spans="62:62" x14ac:dyDescent="0.2">
      <c r="BJ45029" s="201"/>
    </row>
    <row r="45030" spans="62:62" x14ac:dyDescent="0.2">
      <c r="BJ45030" s="201"/>
    </row>
    <row r="45031" spans="62:62" x14ac:dyDescent="0.2">
      <c r="BJ45031" s="201"/>
    </row>
    <row r="45032" spans="62:62" x14ac:dyDescent="0.2">
      <c r="BJ45032" s="201"/>
    </row>
    <row r="45033" spans="62:62" x14ac:dyDescent="0.2">
      <c r="BJ45033" s="201"/>
    </row>
    <row r="45034" spans="62:62" x14ac:dyDescent="0.2">
      <c r="BJ45034" s="201"/>
    </row>
    <row r="45035" spans="62:62" x14ac:dyDescent="0.2">
      <c r="BJ45035" s="201"/>
    </row>
    <row r="45036" spans="62:62" x14ac:dyDescent="0.2">
      <c r="BJ45036" s="201"/>
    </row>
    <row r="45037" spans="62:62" x14ac:dyDescent="0.2">
      <c r="BJ45037" s="201"/>
    </row>
    <row r="45038" spans="62:62" x14ac:dyDescent="0.2">
      <c r="BJ45038" s="201"/>
    </row>
    <row r="45039" spans="62:62" x14ac:dyDescent="0.2">
      <c r="BJ45039" s="201"/>
    </row>
    <row r="45040" spans="62:62" x14ac:dyDescent="0.2">
      <c r="BJ45040" s="201"/>
    </row>
    <row r="45041" spans="62:62" x14ac:dyDescent="0.2">
      <c r="BJ45041" s="201"/>
    </row>
    <row r="45042" spans="62:62" x14ac:dyDescent="0.2">
      <c r="BJ45042" s="201"/>
    </row>
    <row r="45043" spans="62:62" x14ac:dyDescent="0.2">
      <c r="BJ45043" s="201"/>
    </row>
    <row r="45044" spans="62:62" x14ac:dyDescent="0.2">
      <c r="BJ45044" s="201"/>
    </row>
    <row r="45045" spans="62:62" x14ac:dyDescent="0.2">
      <c r="BJ45045" s="201"/>
    </row>
    <row r="45046" spans="62:62" x14ac:dyDescent="0.2">
      <c r="BJ45046" s="201"/>
    </row>
    <row r="45047" spans="62:62" x14ac:dyDescent="0.2">
      <c r="BJ45047" s="201"/>
    </row>
    <row r="45048" spans="62:62" x14ac:dyDescent="0.2">
      <c r="BJ45048" s="201"/>
    </row>
    <row r="45049" spans="62:62" x14ac:dyDescent="0.2">
      <c r="BJ45049" s="201"/>
    </row>
    <row r="45050" spans="62:62" x14ac:dyDescent="0.2">
      <c r="BJ45050" s="201"/>
    </row>
    <row r="45051" spans="62:62" x14ac:dyDescent="0.2">
      <c r="BJ45051" s="201"/>
    </row>
    <row r="45052" spans="62:62" x14ac:dyDescent="0.2">
      <c r="BJ45052" s="201"/>
    </row>
    <row r="45053" spans="62:62" x14ac:dyDescent="0.2">
      <c r="BJ45053" s="201"/>
    </row>
    <row r="45054" spans="62:62" x14ac:dyDescent="0.2">
      <c r="BJ45054" s="201"/>
    </row>
    <row r="45055" spans="62:62" x14ac:dyDescent="0.2">
      <c r="BJ45055" s="201"/>
    </row>
    <row r="45056" spans="62:62" x14ac:dyDescent="0.2">
      <c r="BJ45056" s="201"/>
    </row>
    <row r="45057" spans="62:62" x14ac:dyDescent="0.2">
      <c r="BJ45057" s="201"/>
    </row>
    <row r="45058" spans="62:62" x14ac:dyDescent="0.2">
      <c r="BJ45058" s="201"/>
    </row>
    <row r="45059" spans="62:62" x14ac:dyDescent="0.2">
      <c r="BJ45059" s="201"/>
    </row>
    <row r="45060" spans="62:62" x14ac:dyDescent="0.2">
      <c r="BJ45060" s="201"/>
    </row>
    <row r="45061" spans="62:62" x14ac:dyDescent="0.2">
      <c r="BJ45061" s="201"/>
    </row>
    <row r="45062" spans="62:62" x14ac:dyDescent="0.2">
      <c r="BJ45062" s="201"/>
    </row>
    <row r="45063" spans="62:62" x14ac:dyDescent="0.2">
      <c r="BJ45063" s="201"/>
    </row>
    <row r="45064" spans="62:62" x14ac:dyDescent="0.2">
      <c r="BJ45064" s="201"/>
    </row>
    <row r="45065" spans="62:62" x14ac:dyDescent="0.2">
      <c r="BJ45065" s="201"/>
    </row>
    <row r="45066" spans="62:62" x14ac:dyDescent="0.2">
      <c r="BJ45066" s="201"/>
    </row>
    <row r="45067" spans="62:62" x14ac:dyDescent="0.2">
      <c r="BJ45067" s="201"/>
    </row>
    <row r="45068" spans="62:62" x14ac:dyDescent="0.2">
      <c r="BJ45068" s="201"/>
    </row>
    <row r="45069" spans="62:62" x14ac:dyDescent="0.2">
      <c r="BJ45069" s="201"/>
    </row>
    <row r="45070" spans="62:62" x14ac:dyDescent="0.2">
      <c r="BJ45070" s="201"/>
    </row>
    <row r="45071" spans="62:62" x14ac:dyDescent="0.2">
      <c r="BJ45071" s="201"/>
    </row>
    <row r="45072" spans="62:62" x14ac:dyDescent="0.2">
      <c r="BJ45072" s="201"/>
    </row>
    <row r="45073" spans="62:62" x14ac:dyDescent="0.2">
      <c r="BJ45073" s="201"/>
    </row>
    <row r="45074" spans="62:62" x14ac:dyDescent="0.2">
      <c r="BJ45074" s="201"/>
    </row>
    <row r="45075" spans="62:62" x14ac:dyDescent="0.2">
      <c r="BJ45075" s="201"/>
    </row>
    <row r="45076" spans="62:62" x14ac:dyDescent="0.2">
      <c r="BJ45076" s="201"/>
    </row>
    <row r="45077" spans="62:62" x14ac:dyDescent="0.2">
      <c r="BJ45077" s="201"/>
    </row>
    <row r="45078" spans="62:62" x14ac:dyDescent="0.2">
      <c r="BJ45078" s="201"/>
    </row>
    <row r="45079" spans="62:62" x14ac:dyDescent="0.2">
      <c r="BJ45079" s="201"/>
    </row>
    <row r="45080" spans="62:62" x14ac:dyDescent="0.2">
      <c r="BJ45080" s="201"/>
    </row>
    <row r="45081" spans="62:62" x14ac:dyDescent="0.2">
      <c r="BJ45081" s="201"/>
    </row>
    <row r="45082" spans="62:62" x14ac:dyDescent="0.2">
      <c r="BJ45082" s="201"/>
    </row>
    <row r="45083" spans="62:62" x14ac:dyDescent="0.2">
      <c r="BJ45083" s="201"/>
    </row>
    <row r="45084" spans="62:62" x14ac:dyDescent="0.2">
      <c r="BJ45084" s="201"/>
    </row>
    <row r="45085" spans="62:62" x14ac:dyDescent="0.2">
      <c r="BJ45085" s="201"/>
    </row>
    <row r="45086" spans="62:62" x14ac:dyDescent="0.2">
      <c r="BJ45086" s="201"/>
    </row>
    <row r="45087" spans="62:62" x14ac:dyDescent="0.2">
      <c r="BJ45087" s="201"/>
    </row>
    <row r="45088" spans="62:62" x14ac:dyDescent="0.2">
      <c r="BJ45088" s="201"/>
    </row>
    <row r="45089" spans="62:62" x14ac:dyDescent="0.2">
      <c r="BJ45089" s="201"/>
    </row>
    <row r="45090" spans="62:62" x14ac:dyDescent="0.2">
      <c r="BJ45090" s="201"/>
    </row>
    <row r="45091" spans="62:62" x14ac:dyDescent="0.2">
      <c r="BJ45091" s="201"/>
    </row>
    <row r="45092" spans="62:62" x14ac:dyDescent="0.2">
      <c r="BJ45092" s="201"/>
    </row>
    <row r="45093" spans="62:62" x14ac:dyDescent="0.2">
      <c r="BJ45093" s="201"/>
    </row>
    <row r="45094" spans="62:62" x14ac:dyDescent="0.2">
      <c r="BJ45094" s="201"/>
    </row>
    <row r="45095" spans="62:62" x14ac:dyDescent="0.2">
      <c r="BJ45095" s="201"/>
    </row>
    <row r="45096" spans="62:62" x14ac:dyDescent="0.2">
      <c r="BJ45096" s="201"/>
    </row>
    <row r="45097" spans="62:62" x14ac:dyDescent="0.2">
      <c r="BJ45097" s="201"/>
    </row>
    <row r="45098" spans="62:62" x14ac:dyDescent="0.2">
      <c r="BJ45098" s="201"/>
    </row>
    <row r="45099" spans="62:62" x14ac:dyDescent="0.2">
      <c r="BJ45099" s="201"/>
    </row>
    <row r="45100" spans="62:62" x14ac:dyDescent="0.2">
      <c r="BJ45100" s="201"/>
    </row>
    <row r="45101" spans="62:62" x14ac:dyDescent="0.2">
      <c r="BJ45101" s="201"/>
    </row>
    <row r="45102" spans="62:62" x14ac:dyDescent="0.2">
      <c r="BJ45102" s="201"/>
    </row>
    <row r="45103" spans="62:62" x14ac:dyDescent="0.2">
      <c r="BJ45103" s="201"/>
    </row>
    <row r="45104" spans="62:62" x14ac:dyDescent="0.2">
      <c r="BJ45104" s="201"/>
    </row>
    <row r="45105" spans="62:62" x14ac:dyDescent="0.2">
      <c r="BJ45105" s="201"/>
    </row>
    <row r="45106" spans="62:62" x14ac:dyDescent="0.2">
      <c r="BJ45106" s="201"/>
    </row>
    <row r="45107" spans="62:62" x14ac:dyDescent="0.2">
      <c r="BJ45107" s="201"/>
    </row>
    <row r="45108" spans="62:62" x14ac:dyDescent="0.2">
      <c r="BJ45108" s="201"/>
    </row>
    <row r="45109" spans="62:62" x14ac:dyDescent="0.2">
      <c r="BJ45109" s="201"/>
    </row>
    <row r="45110" spans="62:62" x14ac:dyDescent="0.2">
      <c r="BJ45110" s="201"/>
    </row>
    <row r="45111" spans="62:62" x14ac:dyDescent="0.2">
      <c r="BJ45111" s="201"/>
    </row>
    <row r="45112" spans="62:62" x14ac:dyDescent="0.2">
      <c r="BJ45112" s="201"/>
    </row>
    <row r="45113" spans="62:62" x14ac:dyDescent="0.2">
      <c r="BJ45113" s="201"/>
    </row>
    <row r="45114" spans="62:62" x14ac:dyDescent="0.2">
      <c r="BJ45114" s="201"/>
    </row>
    <row r="45115" spans="62:62" x14ac:dyDescent="0.2">
      <c r="BJ45115" s="201"/>
    </row>
    <row r="45116" spans="62:62" x14ac:dyDescent="0.2">
      <c r="BJ45116" s="201"/>
    </row>
    <row r="45117" spans="62:62" x14ac:dyDescent="0.2">
      <c r="BJ45117" s="201"/>
    </row>
    <row r="45118" spans="62:62" x14ac:dyDescent="0.2">
      <c r="BJ45118" s="201"/>
    </row>
    <row r="45119" spans="62:62" x14ac:dyDescent="0.2">
      <c r="BJ45119" s="201"/>
    </row>
    <row r="45120" spans="62:62" x14ac:dyDescent="0.2">
      <c r="BJ45120" s="201"/>
    </row>
    <row r="45121" spans="62:62" x14ac:dyDescent="0.2">
      <c r="BJ45121" s="201"/>
    </row>
    <row r="45122" spans="62:62" x14ac:dyDescent="0.2">
      <c r="BJ45122" s="201"/>
    </row>
    <row r="45123" spans="62:62" x14ac:dyDescent="0.2">
      <c r="BJ45123" s="201"/>
    </row>
    <row r="45124" spans="62:62" x14ac:dyDescent="0.2">
      <c r="BJ45124" s="201"/>
    </row>
    <row r="45125" spans="62:62" x14ac:dyDescent="0.2">
      <c r="BJ45125" s="201"/>
    </row>
    <row r="45126" spans="62:62" x14ac:dyDescent="0.2">
      <c r="BJ45126" s="201"/>
    </row>
    <row r="45127" spans="62:62" x14ac:dyDescent="0.2">
      <c r="BJ45127" s="201"/>
    </row>
    <row r="45128" spans="62:62" x14ac:dyDescent="0.2">
      <c r="BJ45128" s="201"/>
    </row>
    <row r="45129" spans="62:62" x14ac:dyDescent="0.2">
      <c r="BJ45129" s="201"/>
    </row>
    <row r="45130" spans="62:62" x14ac:dyDescent="0.2">
      <c r="BJ45130" s="201"/>
    </row>
    <row r="45131" spans="62:62" x14ac:dyDescent="0.2">
      <c r="BJ45131" s="201"/>
    </row>
    <row r="45132" spans="62:62" x14ac:dyDescent="0.2">
      <c r="BJ45132" s="201"/>
    </row>
    <row r="45133" spans="62:62" x14ac:dyDescent="0.2">
      <c r="BJ45133" s="201"/>
    </row>
    <row r="45134" spans="62:62" x14ac:dyDescent="0.2">
      <c r="BJ45134" s="201"/>
    </row>
    <row r="45135" spans="62:62" x14ac:dyDescent="0.2">
      <c r="BJ45135" s="201"/>
    </row>
    <row r="45136" spans="62:62" x14ac:dyDescent="0.2">
      <c r="BJ45136" s="201"/>
    </row>
    <row r="45137" spans="62:62" x14ac:dyDescent="0.2">
      <c r="BJ45137" s="201"/>
    </row>
    <row r="45138" spans="62:62" x14ac:dyDescent="0.2">
      <c r="BJ45138" s="201"/>
    </row>
    <row r="45139" spans="62:62" x14ac:dyDescent="0.2">
      <c r="BJ45139" s="201"/>
    </row>
    <row r="45140" spans="62:62" x14ac:dyDescent="0.2">
      <c r="BJ45140" s="201"/>
    </row>
    <row r="45141" spans="62:62" x14ac:dyDescent="0.2">
      <c r="BJ45141" s="201"/>
    </row>
    <row r="45142" spans="62:62" x14ac:dyDescent="0.2">
      <c r="BJ45142" s="201"/>
    </row>
    <row r="45143" spans="62:62" x14ac:dyDescent="0.2">
      <c r="BJ45143" s="201"/>
    </row>
    <row r="45144" spans="62:62" x14ac:dyDescent="0.2">
      <c r="BJ45144" s="201"/>
    </row>
    <row r="45145" spans="62:62" x14ac:dyDescent="0.2">
      <c r="BJ45145" s="201"/>
    </row>
    <row r="45146" spans="62:62" x14ac:dyDescent="0.2">
      <c r="BJ45146" s="201"/>
    </row>
    <row r="45147" spans="62:62" x14ac:dyDescent="0.2">
      <c r="BJ45147" s="201"/>
    </row>
    <row r="45148" spans="62:62" x14ac:dyDescent="0.2">
      <c r="BJ45148" s="201"/>
    </row>
    <row r="45149" spans="62:62" x14ac:dyDescent="0.2">
      <c r="BJ45149" s="201"/>
    </row>
    <row r="45150" spans="62:62" x14ac:dyDescent="0.2">
      <c r="BJ45150" s="201"/>
    </row>
    <row r="45151" spans="62:62" x14ac:dyDescent="0.2">
      <c r="BJ45151" s="201"/>
    </row>
    <row r="45152" spans="62:62" x14ac:dyDescent="0.2">
      <c r="BJ45152" s="201"/>
    </row>
    <row r="45153" spans="62:62" x14ac:dyDescent="0.2">
      <c r="BJ45153" s="201"/>
    </row>
    <row r="45154" spans="62:62" x14ac:dyDescent="0.2">
      <c r="BJ45154" s="201"/>
    </row>
    <row r="45155" spans="62:62" x14ac:dyDescent="0.2">
      <c r="BJ45155" s="201"/>
    </row>
    <row r="45156" spans="62:62" x14ac:dyDescent="0.2">
      <c r="BJ45156" s="201"/>
    </row>
    <row r="45157" spans="62:62" x14ac:dyDescent="0.2">
      <c r="BJ45157" s="201"/>
    </row>
    <row r="45158" spans="62:62" x14ac:dyDescent="0.2">
      <c r="BJ45158" s="201"/>
    </row>
    <row r="45159" spans="62:62" x14ac:dyDescent="0.2">
      <c r="BJ45159" s="201"/>
    </row>
    <row r="45160" spans="62:62" x14ac:dyDescent="0.2">
      <c r="BJ45160" s="201"/>
    </row>
    <row r="45161" spans="62:62" x14ac:dyDescent="0.2">
      <c r="BJ45161" s="201"/>
    </row>
    <row r="45162" spans="62:62" x14ac:dyDescent="0.2">
      <c r="BJ45162" s="201"/>
    </row>
    <row r="45163" spans="62:62" x14ac:dyDescent="0.2">
      <c r="BJ45163" s="201"/>
    </row>
    <row r="45164" spans="62:62" x14ac:dyDescent="0.2">
      <c r="BJ45164" s="201"/>
    </row>
    <row r="45165" spans="62:62" x14ac:dyDescent="0.2">
      <c r="BJ45165" s="201"/>
    </row>
    <row r="45166" spans="62:62" x14ac:dyDescent="0.2">
      <c r="BJ45166" s="201"/>
    </row>
    <row r="45167" spans="62:62" x14ac:dyDescent="0.2">
      <c r="BJ45167" s="201"/>
    </row>
    <row r="45168" spans="62:62" x14ac:dyDescent="0.2">
      <c r="BJ45168" s="201"/>
    </row>
    <row r="45169" spans="62:62" x14ac:dyDescent="0.2">
      <c r="BJ45169" s="201"/>
    </row>
    <row r="45170" spans="62:62" x14ac:dyDescent="0.2">
      <c r="BJ45170" s="201"/>
    </row>
    <row r="45171" spans="62:62" x14ac:dyDescent="0.2">
      <c r="BJ45171" s="201"/>
    </row>
    <row r="45172" spans="62:62" x14ac:dyDescent="0.2">
      <c r="BJ45172" s="201"/>
    </row>
    <row r="45173" spans="62:62" x14ac:dyDescent="0.2">
      <c r="BJ45173" s="201"/>
    </row>
    <row r="45174" spans="62:62" x14ac:dyDescent="0.2">
      <c r="BJ45174" s="201"/>
    </row>
    <row r="45175" spans="62:62" x14ac:dyDescent="0.2">
      <c r="BJ45175" s="201"/>
    </row>
    <row r="45176" spans="62:62" x14ac:dyDescent="0.2">
      <c r="BJ45176" s="201"/>
    </row>
    <row r="45177" spans="62:62" x14ac:dyDescent="0.2">
      <c r="BJ45177" s="201"/>
    </row>
    <row r="45178" spans="62:62" x14ac:dyDescent="0.2">
      <c r="BJ45178" s="201"/>
    </row>
    <row r="45179" spans="62:62" x14ac:dyDescent="0.2">
      <c r="BJ45179" s="201"/>
    </row>
    <row r="45180" spans="62:62" x14ac:dyDescent="0.2">
      <c r="BJ45180" s="201"/>
    </row>
    <row r="45181" spans="62:62" x14ac:dyDescent="0.2">
      <c r="BJ45181" s="201"/>
    </row>
    <row r="45182" spans="62:62" x14ac:dyDescent="0.2">
      <c r="BJ45182" s="201"/>
    </row>
    <row r="45183" spans="62:62" x14ac:dyDescent="0.2">
      <c r="BJ45183" s="201"/>
    </row>
    <row r="45184" spans="62:62" x14ac:dyDescent="0.2">
      <c r="BJ45184" s="201"/>
    </row>
    <row r="45185" spans="62:62" x14ac:dyDescent="0.2">
      <c r="BJ45185" s="201"/>
    </row>
    <row r="45186" spans="62:62" x14ac:dyDescent="0.2">
      <c r="BJ45186" s="201"/>
    </row>
    <row r="45187" spans="62:62" x14ac:dyDescent="0.2">
      <c r="BJ45187" s="201"/>
    </row>
    <row r="45188" spans="62:62" x14ac:dyDescent="0.2">
      <c r="BJ45188" s="201"/>
    </row>
    <row r="45189" spans="62:62" x14ac:dyDescent="0.2">
      <c r="BJ45189" s="201"/>
    </row>
    <row r="45190" spans="62:62" x14ac:dyDescent="0.2">
      <c r="BJ45190" s="201"/>
    </row>
    <row r="45191" spans="62:62" x14ac:dyDescent="0.2">
      <c r="BJ45191" s="201"/>
    </row>
    <row r="45192" spans="62:62" x14ac:dyDescent="0.2">
      <c r="BJ45192" s="201"/>
    </row>
    <row r="45193" spans="62:62" x14ac:dyDescent="0.2">
      <c r="BJ45193" s="201"/>
    </row>
    <row r="45194" spans="62:62" x14ac:dyDescent="0.2">
      <c r="BJ45194" s="201"/>
    </row>
    <row r="45195" spans="62:62" x14ac:dyDescent="0.2">
      <c r="BJ45195" s="201"/>
    </row>
    <row r="45196" spans="62:62" x14ac:dyDescent="0.2">
      <c r="BJ45196" s="201"/>
    </row>
    <row r="45197" spans="62:62" x14ac:dyDescent="0.2">
      <c r="BJ45197" s="201"/>
    </row>
    <row r="45198" spans="62:62" x14ac:dyDescent="0.2">
      <c r="BJ45198" s="201"/>
    </row>
    <row r="45199" spans="62:62" x14ac:dyDescent="0.2">
      <c r="BJ45199" s="201"/>
    </row>
    <row r="45200" spans="62:62" x14ac:dyDescent="0.2">
      <c r="BJ45200" s="201"/>
    </row>
    <row r="45201" spans="62:62" x14ac:dyDescent="0.2">
      <c r="BJ45201" s="201"/>
    </row>
    <row r="45202" spans="62:62" x14ac:dyDescent="0.2">
      <c r="BJ45202" s="201"/>
    </row>
    <row r="45203" spans="62:62" x14ac:dyDescent="0.2">
      <c r="BJ45203" s="201"/>
    </row>
    <row r="45204" spans="62:62" x14ac:dyDescent="0.2">
      <c r="BJ45204" s="201"/>
    </row>
    <row r="45205" spans="62:62" x14ac:dyDescent="0.2">
      <c r="BJ45205" s="201"/>
    </row>
    <row r="45206" spans="62:62" x14ac:dyDescent="0.2">
      <c r="BJ45206" s="201"/>
    </row>
    <row r="45207" spans="62:62" x14ac:dyDescent="0.2">
      <c r="BJ45207" s="201"/>
    </row>
    <row r="45208" spans="62:62" x14ac:dyDescent="0.2">
      <c r="BJ45208" s="201"/>
    </row>
    <row r="45209" spans="62:62" x14ac:dyDescent="0.2">
      <c r="BJ45209" s="201"/>
    </row>
    <row r="45210" spans="62:62" x14ac:dyDescent="0.2">
      <c r="BJ45210" s="201"/>
    </row>
    <row r="45211" spans="62:62" x14ac:dyDescent="0.2">
      <c r="BJ45211" s="201"/>
    </row>
    <row r="45212" spans="62:62" x14ac:dyDescent="0.2">
      <c r="BJ45212" s="201"/>
    </row>
    <row r="45213" spans="62:62" x14ac:dyDescent="0.2">
      <c r="BJ45213" s="201"/>
    </row>
    <row r="45214" spans="62:62" x14ac:dyDescent="0.2">
      <c r="BJ45214" s="201"/>
    </row>
    <row r="45215" spans="62:62" x14ac:dyDescent="0.2">
      <c r="BJ45215" s="201"/>
    </row>
    <row r="45216" spans="62:62" x14ac:dyDescent="0.2">
      <c r="BJ45216" s="201"/>
    </row>
    <row r="45217" spans="62:62" x14ac:dyDescent="0.2">
      <c r="BJ45217" s="201"/>
    </row>
    <row r="45218" spans="62:62" x14ac:dyDescent="0.2">
      <c r="BJ45218" s="201"/>
    </row>
    <row r="45219" spans="62:62" x14ac:dyDescent="0.2">
      <c r="BJ45219" s="201"/>
    </row>
    <row r="45220" spans="62:62" x14ac:dyDescent="0.2">
      <c r="BJ45220" s="201"/>
    </row>
    <row r="45221" spans="62:62" x14ac:dyDescent="0.2">
      <c r="BJ45221" s="201"/>
    </row>
    <row r="45222" spans="62:62" x14ac:dyDescent="0.2">
      <c r="BJ45222" s="201"/>
    </row>
    <row r="45223" spans="62:62" x14ac:dyDescent="0.2">
      <c r="BJ45223" s="201"/>
    </row>
    <row r="45224" spans="62:62" x14ac:dyDescent="0.2">
      <c r="BJ45224" s="201"/>
    </row>
    <row r="45225" spans="62:62" x14ac:dyDescent="0.2">
      <c r="BJ45225" s="201"/>
    </row>
    <row r="45226" spans="62:62" x14ac:dyDescent="0.2">
      <c r="BJ45226" s="201"/>
    </row>
    <row r="45227" spans="62:62" x14ac:dyDescent="0.2">
      <c r="BJ45227" s="201"/>
    </row>
    <row r="45228" spans="62:62" x14ac:dyDescent="0.2">
      <c r="BJ45228" s="201"/>
    </row>
    <row r="45229" spans="62:62" x14ac:dyDescent="0.2">
      <c r="BJ45229" s="201"/>
    </row>
    <row r="45230" spans="62:62" x14ac:dyDescent="0.2">
      <c r="BJ45230" s="201"/>
    </row>
    <row r="45231" spans="62:62" x14ac:dyDescent="0.2">
      <c r="BJ45231" s="201"/>
    </row>
    <row r="45232" spans="62:62" x14ac:dyDescent="0.2">
      <c r="BJ45232" s="201"/>
    </row>
    <row r="45233" spans="62:62" x14ac:dyDescent="0.2">
      <c r="BJ45233" s="201"/>
    </row>
    <row r="45234" spans="62:62" x14ac:dyDescent="0.2">
      <c r="BJ45234" s="201"/>
    </row>
    <row r="45235" spans="62:62" x14ac:dyDescent="0.2">
      <c r="BJ45235" s="201"/>
    </row>
    <row r="45236" spans="62:62" x14ac:dyDescent="0.2">
      <c r="BJ45236" s="201"/>
    </row>
    <row r="45237" spans="62:62" x14ac:dyDescent="0.2">
      <c r="BJ45237" s="201"/>
    </row>
    <row r="45238" spans="62:62" x14ac:dyDescent="0.2">
      <c r="BJ45238" s="201"/>
    </row>
    <row r="45239" spans="62:62" x14ac:dyDescent="0.2">
      <c r="BJ45239" s="201"/>
    </row>
    <row r="45240" spans="62:62" x14ac:dyDescent="0.2">
      <c r="BJ45240" s="201"/>
    </row>
    <row r="45241" spans="62:62" x14ac:dyDescent="0.2">
      <c r="BJ45241" s="201"/>
    </row>
    <row r="45242" spans="62:62" x14ac:dyDescent="0.2">
      <c r="BJ45242" s="201"/>
    </row>
    <row r="45243" spans="62:62" x14ac:dyDescent="0.2">
      <c r="BJ45243" s="201"/>
    </row>
    <row r="45244" spans="62:62" x14ac:dyDescent="0.2">
      <c r="BJ45244" s="201"/>
    </row>
    <row r="45245" spans="62:62" x14ac:dyDescent="0.2">
      <c r="BJ45245" s="201"/>
    </row>
    <row r="45246" spans="62:62" x14ac:dyDescent="0.2">
      <c r="BJ45246" s="201"/>
    </row>
    <row r="45247" spans="62:62" x14ac:dyDescent="0.2">
      <c r="BJ45247" s="201"/>
    </row>
    <row r="45248" spans="62:62" x14ac:dyDescent="0.2">
      <c r="BJ45248" s="201"/>
    </row>
    <row r="45249" spans="62:62" x14ac:dyDescent="0.2">
      <c r="BJ45249" s="201"/>
    </row>
    <row r="45250" spans="62:62" x14ac:dyDescent="0.2">
      <c r="BJ45250" s="201"/>
    </row>
    <row r="45251" spans="62:62" x14ac:dyDescent="0.2">
      <c r="BJ45251" s="201"/>
    </row>
    <row r="45252" spans="62:62" x14ac:dyDescent="0.2">
      <c r="BJ45252" s="201"/>
    </row>
    <row r="45253" spans="62:62" x14ac:dyDescent="0.2">
      <c r="BJ45253" s="201"/>
    </row>
    <row r="45254" spans="62:62" x14ac:dyDescent="0.2">
      <c r="BJ45254" s="201"/>
    </row>
    <row r="45255" spans="62:62" x14ac:dyDescent="0.2">
      <c r="BJ45255" s="201"/>
    </row>
    <row r="45256" spans="62:62" x14ac:dyDescent="0.2">
      <c r="BJ45256" s="201"/>
    </row>
    <row r="45257" spans="62:62" x14ac:dyDescent="0.2">
      <c r="BJ45257" s="201"/>
    </row>
    <row r="45258" spans="62:62" x14ac:dyDescent="0.2">
      <c r="BJ45258" s="201"/>
    </row>
    <row r="45259" spans="62:62" x14ac:dyDescent="0.2">
      <c r="BJ45259" s="201"/>
    </row>
    <row r="45260" spans="62:62" x14ac:dyDescent="0.2">
      <c r="BJ45260" s="201"/>
    </row>
    <row r="45261" spans="62:62" x14ac:dyDescent="0.2">
      <c r="BJ45261" s="201"/>
    </row>
    <row r="45262" spans="62:62" x14ac:dyDescent="0.2">
      <c r="BJ45262" s="201"/>
    </row>
    <row r="45263" spans="62:62" x14ac:dyDescent="0.2">
      <c r="BJ45263" s="201"/>
    </row>
    <row r="45264" spans="62:62" x14ac:dyDescent="0.2">
      <c r="BJ45264" s="201"/>
    </row>
    <row r="45265" spans="62:62" x14ac:dyDescent="0.2">
      <c r="BJ45265" s="201"/>
    </row>
    <row r="45266" spans="62:62" x14ac:dyDescent="0.2">
      <c r="BJ45266" s="201"/>
    </row>
    <row r="45267" spans="62:62" x14ac:dyDescent="0.2">
      <c r="BJ45267" s="201"/>
    </row>
    <row r="45268" spans="62:62" x14ac:dyDescent="0.2">
      <c r="BJ45268" s="201"/>
    </row>
    <row r="45269" spans="62:62" x14ac:dyDescent="0.2">
      <c r="BJ45269" s="201"/>
    </row>
    <row r="45270" spans="62:62" x14ac:dyDescent="0.2">
      <c r="BJ45270" s="201"/>
    </row>
    <row r="45271" spans="62:62" x14ac:dyDescent="0.2">
      <c r="BJ45271" s="201"/>
    </row>
    <row r="45272" spans="62:62" x14ac:dyDescent="0.2">
      <c r="BJ45272" s="201"/>
    </row>
    <row r="45273" spans="62:62" x14ac:dyDescent="0.2">
      <c r="BJ45273" s="201"/>
    </row>
    <row r="45274" spans="62:62" x14ac:dyDescent="0.2">
      <c r="BJ45274" s="201"/>
    </row>
    <row r="45275" spans="62:62" x14ac:dyDescent="0.2">
      <c r="BJ45275" s="201"/>
    </row>
    <row r="45276" spans="62:62" x14ac:dyDescent="0.2">
      <c r="BJ45276" s="201"/>
    </row>
    <row r="45277" spans="62:62" x14ac:dyDescent="0.2">
      <c r="BJ45277" s="201"/>
    </row>
    <row r="45278" spans="62:62" x14ac:dyDescent="0.2">
      <c r="BJ45278" s="201"/>
    </row>
    <row r="45279" spans="62:62" x14ac:dyDescent="0.2">
      <c r="BJ45279" s="201"/>
    </row>
    <row r="45280" spans="62:62" x14ac:dyDescent="0.2">
      <c r="BJ45280" s="201"/>
    </row>
    <row r="45281" spans="62:62" x14ac:dyDescent="0.2">
      <c r="BJ45281" s="201"/>
    </row>
    <row r="45282" spans="62:62" x14ac:dyDescent="0.2">
      <c r="BJ45282" s="201"/>
    </row>
    <row r="45283" spans="62:62" x14ac:dyDescent="0.2">
      <c r="BJ45283" s="201"/>
    </row>
    <row r="45284" spans="62:62" x14ac:dyDescent="0.2">
      <c r="BJ45284" s="201"/>
    </row>
    <row r="45285" spans="62:62" x14ac:dyDescent="0.2">
      <c r="BJ45285" s="201"/>
    </row>
    <row r="45286" spans="62:62" x14ac:dyDescent="0.2">
      <c r="BJ45286" s="201"/>
    </row>
    <row r="45287" spans="62:62" x14ac:dyDescent="0.2">
      <c r="BJ45287" s="201"/>
    </row>
    <row r="45288" spans="62:62" x14ac:dyDescent="0.2">
      <c r="BJ45288" s="201"/>
    </row>
    <row r="45289" spans="62:62" x14ac:dyDescent="0.2">
      <c r="BJ45289" s="201"/>
    </row>
    <row r="45290" spans="62:62" x14ac:dyDescent="0.2">
      <c r="BJ45290" s="201"/>
    </row>
    <row r="45291" spans="62:62" x14ac:dyDescent="0.2">
      <c r="BJ45291" s="201"/>
    </row>
    <row r="45292" spans="62:62" x14ac:dyDescent="0.2">
      <c r="BJ45292" s="201"/>
    </row>
    <row r="45293" spans="62:62" x14ac:dyDescent="0.2">
      <c r="BJ45293" s="201"/>
    </row>
    <row r="45294" spans="62:62" x14ac:dyDescent="0.2">
      <c r="BJ45294" s="201"/>
    </row>
    <row r="45295" spans="62:62" x14ac:dyDescent="0.2">
      <c r="BJ45295" s="201"/>
    </row>
    <row r="45296" spans="62:62" x14ac:dyDescent="0.2">
      <c r="BJ45296" s="201"/>
    </row>
    <row r="45297" spans="62:62" x14ac:dyDescent="0.2">
      <c r="BJ45297" s="201"/>
    </row>
    <row r="45298" spans="62:62" x14ac:dyDescent="0.2">
      <c r="BJ45298" s="201"/>
    </row>
    <row r="45299" spans="62:62" x14ac:dyDescent="0.2">
      <c r="BJ45299" s="201"/>
    </row>
    <row r="45300" spans="62:62" x14ac:dyDescent="0.2">
      <c r="BJ45300" s="201"/>
    </row>
    <row r="45301" spans="62:62" x14ac:dyDescent="0.2">
      <c r="BJ45301" s="201"/>
    </row>
    <row r="45302" spans="62:62" x14ac:dyDescent="0.2">
      <c r="BJ45302" s="201"/>
    </row>
    <row r="45303" spans="62:62" x14ac:dyDescent="0.2">
      <c r="BJ45303" s="201"/>
    </row>
    <row r="45304" spans="62:62" x14ac:dyDescent="0.2">
      <c r="BJ45304" s="201"/>
    </row>
    <row r="45305" spans="62:62" x14ac:dyDescent="0.2">
      <c r="BJ45305" s="201"/>
    </row>
    <row r="45306" spans="62:62" x14ac:dyDescent="0.2">
      <c r="BJ45306" s="201"/>
    </row>
    <row r="45307" spans="62:62" x14ac:dyDescent="0.2">
      <c r="BJ45307" s="201"/>
    </row>
    <row r="45308" spans="62:62" x14ac:dyDescent="0.2">
      <c r="BJ45308" s="201"/>
    </row>
    <row r="45309" spans="62:62" x14ac:dyDescent="0.2">
      <c r="BJ45309" s="201"/>
    </row>
    <row r="45310" spans="62:62" x14ac:dyDescent="0.2">
      <c r="BJ45310" s="201"/>
    </row>
    <row r="45311" spans="62:62" x14ac:dyDescent="0.2">
      <c r="BJ45311" s="201"/>
    </row>
    <row r="45312" spans="62:62" x14ac:dyDescent="0.2">
      <c r="BJ45312" s="201"/>
    </row>
    <row r="45313" spans="62:62" x14ac:dyDescent="0.2">
      <c r="BJ45313" s="201"/>
    </row>
    <row r="45314" spans="62:62" x14ac:dyDescent="0.2">
      <c r="BJ45314" s="201"/>
    </row>
    <row r="45315" spans="62:62" x14ac:dyDescent="0.2">
      <c r="BJ45315" s="201"/>
    </row>
    <row r="45316" spans="62:62" x14ac:dyDescent="0.2">
      <c r="BJ45316" s="201"/>
    </row>
    <row r="45317" spans="62:62" x14ac:dyDescent="0.2">
      <c r="BJ45317" s="201"/>
    </row>
    <row r="45318" spans="62:62" x14ac:dyDescent="0.2">
      <c r="BJ45318" s="201"/>
    </row>
    <row r="45319" spans="62:62" x14ac:dyDescent="0.2">
      <c r="BJ45319" s="201"/>
    </row>
    <row r="45320" spans="62:62" x14ac:dyDescent="0.2">
      <c r="BJ45320" s="201"/>
    </row>
    <row r="45321" spans="62:62" x14ac:dyDescent="0.2">
      <c r="BJ45321" s="201"/>
    </row>
    <row r="45322" spans="62:62" x14ac:dyDescent="0.2">
      <c r="BJ45322" s="201"/>
    </row>
    <row r="45323" spans="62:62" x14ac:dyDescent="0.2">
      <c r="BJ45323" s="201"/>
    </row>
    <row r="45324" spans="62:62" x14ac:dyDescent="0.2">
      <c r="BJ45324" s="201"/>
    </row>
    <row r="45325" spans="62:62" x14ac:dyDescent="0.2">
      <c r="BJ45325" s="201"/>
    </row>
    <row r="45326" spans="62:62" x14ac:dyDescent="0.2">
      <c r="BJ45326" s="201"/>
    </row>
    <row r="45327" spans="62:62" x14ac:dyDescent="0.2">
      <c r="BJ45327" s="201"/>
    </row>
    <row r="45328" spans="62:62" x14ac:dyDescent="0.2">
      <c r="BJ45328" s="201"/>
    </row>
    <row r="45329" spans="62:62" x14ac:dyDescent="0.2">
      <c r="BJ45329" s="201"/>
    </row>
    <row r="45330" spans="62:62" x14ac:dyDescent="0.2">
      <c r="BJ45330" s="201"/>
    </row>
    <row r="45331" spans="62:62" x14ac:dyDescent="0.2">
      <c r="BJ45331" s="201"/>
    </row>
    <row r="45332" spans="62:62" x14ac:dyDescent="0.2">
      <c r="BJ45332" s="201"/>
    </row>
    <row r="45333" spans="62:62" x14ac:dyDescent="0.2">
      <c r="BJ45333" s="201"/>
    </row>
    <row r="45334" spans="62:62" x14ac:dyDescent="0.2">
      <c r="BJ45334" s="201"/>
    </row>
    <row r="45335" spans="62:62" x14ac:dyDescent="0.2">
      <c r="BJ45335" s="201"/>
    </row>
    <row r="45336" spans="62:62" x14ac:dyDescent="0.2">
      <c r="BJ45336" s="201"/>
    </row>
    <row r="45337" spans="62:62" x14ac:dyDescent="0.2">
      <c r="BJ45337" s="201"/>
    </row>
    <row r="45338" spans="62:62" x14ac:dyDescent="0.2">
      <c r="BJ45338" s="201"/>
    </row>
    <row r="45339" spans="62:62" x14ac:dyDescent="0.2">
      <c r="BJ45339" s="201"/>
    </row>
    <row r="45340" spans="62:62" x14ac:dyDescent="0.2">
      <c r="BJ45340" s="201"/>
    </row>
    <row r="45341" spans="62:62" x14ac:dyDescent="0.2">
      <c r="BJ45341" s="201"/>
    </row>
    <row r="45342" spans="62:62" x14ac:dyDescent="0.2">
      <c r="BJ45342" s="201"/>
    </row>
    <row r="45343" spans="62:62" x14ac:dyDescent="0.2">
      <c r="BJ45343" s="201"/>
    </row>
    <row r="45344" spans="62:62" x14ac:dyDescent="0.2">
      <c r="BJ45344" s="201"/>
    </row>
    <row r="45345" spans="62:62" x14ac:dyDescent="0.2">
      <c r="BJ45345" s="201"/>
    </row>
    <row r="45346" spans="62:62" x14ac:dyDescent="0.2">
      <c r="BJ45346" s="201"/>
    </row>
    <row r="45347" spans="62:62" x14ac:dyDescent="0.2">
      <c r="BJ45347" s="201"/>
    </row>
    <row r="45348" spans="62:62" x14ac:dyDescent="0.2">
      <c r="BJ45348" s="201"/>
    </row>
    <row r="45349" spans="62:62" x14ac:dyDescent="0.2">
      <c r="BJ45349" s="201"/>
    </row>
    <row r="45350" spans="62:62" x14ac:dyDescent="0.2">
      <c r="BJ45350" s="201"/>
    </row>
    <row r="45351" spans="62:62" x14ac:dyDescent="0.2">
      <c r="BJ45351" s="201"/>
    </row>
    <row r="45352" spans="62:62" x14ac:dyDescent="0.2">
      <c r="BJ45352" s="201"/>
    </row>
    <row r="45353" spans="62:62" x14ac:dyDescent="0.2">
      <c r="BJ45353" s="201"/>
    </row>
    <row r="45354" spans="62:62" x14ac:dyDescent="0.2">
      <c r="BJ45354" s="201"/>
    </row>
    <row r="45355" spans="62:62" x14ac:dyDescent="0.2">
      <c r="BJ45355" s="201"/>
    </row>
    <row r="45356" spans="62:62" x14ac:dyDescent="0.2">
      <c r="BJ45356" s="201"/>
    </row>
    <row r="45357" spans="62:62" x14ac:dyDescent="0.2">
      <c r="BJ45357" s="201"/>
    </row>
    <row r="45358" spans="62:62" x14ac:dyDescent="0.2">
      <c r="BJ45358" s="201"/>
    </row>
    <row r="45359" spans="62:62" x14ac:dyDescent="0.2">
      <c r="BJ45359" s="201"/>
    </row>
    <row r="45360" spans="62:62" x14ac:dyDescent="0.2">
      <c r="BJ45360" s="201"/>
    </row>
    <row r="45361" spans="62:62" x14ac:dyDescent="0.2">
      <c r="BJ45361" s="201"/>
    </row>
    <row r="45362" spans="62:62" x14ac:dyDescent="0.2">
      <c r="BJ45362" s="201"/>
    </row>
    <row r="45363" spans="62:62" x14ac:dyDescent="0.2">
      <c r="BJ45363" s="201"/>
    </row>
    <row r="45364" spans="62:62" x14ac:dyDescent="0.2">
      <c r="BJ45364" s="201"/>
    </row>
    <row r="45365" spans="62:62" x14ac:dyDescent="0.2">
      <c r="BJ45365" s="201"/>
    </row>
    <row r="45366" spans="62:62" x14ac:dyDescent="0.2">
      <c r="BJ45366" s="201"/>
    </row>
    <row r="45367" spans="62:62" x14ac:dyDescent="0.2">
      <c r="BJ45367" s="201"/>
    </row>
    <row r="45368" spans="62:62" x14ac:dyDescent="0.2">
      <c r="BJ45368" s="201"/>
    </row>
    <row r="45369" spans="62:62" x14ac:dyDescent="0.2">
      <c r="BJ45369" s="201"/>
    </row>
    <row r="45370" spans="62:62" x14ac:dyDescent="0.2">
      <c r="BJ45370" s="201"/>
    </row>
    <row r="45371" spans="62:62" x14ac:dyDescent="0.2">
      <c r="BJ45371" s="201"/>
    </row>
    <row r="45372" spans="62:62" x14ac:dyDescent="0.2">
      <c r="BJ45372" s="201"/>
    </row>
    <row r="45373" spans="62:62" x14ac:dyDescent="0.2">
      <c r="BJ45373" s="201"/>
    </row>
    <row r="45374" spans="62:62" x14ac:dyDescent="0.2">
      <c r="BJ45374" s="201"/>
    </row>
    <row r="45375" spans="62:62" x14ac:dyDescent="0.2">
      <c r="BJ45375" s="201"/>
    </row>
    <row r="45376" spans="62:62" x14ac:dyDescent="0.2">
      <c r="BJ45376" s="201"/>
    </row>
    <row r="45377" spans="62:62" x14ac:dyDescent="0.2">
      <c r="BJ45377" s="201"/>
    </row>
    <row r="45378" spans="62:62" x14ac:dyDescent="0.2">
      <c r="BJ45378" s="201"/>
    </row>
    <row r="45379" spans="62:62" x14ac:dyDescent="0.2">
      <c r="BJ45379" s="201"/>
    </row>
    <row r="45380" spans="62:62" x14ac:dyDescent="0.2">
      <c r="BJ45380" s="201"/>
    </row>
    <row r="45381" spans="62:62" x14ac:dyDescent="0.2">
      <c r="BJ45381" s="201"/>
    </row>
    <row r="45382" spans="62:62" x14ac:dyDescent="0.2">
      <c r="BJ45382" s="201"/>
    </row>
    <row r="45383" spans="62:62" x14ac:dyDescent="0.2">
      <c r="BJ45383" s="201"/>
    </row>
    <row r="45384" spans="62:62" x14ac:dyDescent="0.2">
      <c r="BJ45384" s="201"/>
    </row>
    <row r="45385" spans="62:62" x14ac:dyDescent="0.2">
      <c r="BJ45385" s="201"/>
    </row>
    <row r="45386" spans="62:62" x14ac:dyDescent="0.2">
      <c r="BJ45386" s="201"/>
    </row>
    <row r="45387" spans="62:62" x14ac:dyDescent="0.2">
      <c r="BJ45387" s="201"/>
    </row>
    <row r="45388" spans="62:62" x14ac:dyDescent="0.2">
      <c r="BJ45388" s="201"/>
    </row>
    <row r="45389" spans="62:62" x14ac:dyDescent="0.2">
      <c r="BJ45389" s="201"/>
    </row>
    <row r="45390" spans="62:62" x14ac:dyDescent="0.2">
      <c r="BJ45390" s="201"/>
    </row>
    <row r="45391" spans="62:62" x14ac:dyDescent="0.2">
      <c r="BJ45391" s="201"/>
    </row>
    <row r="45392" spans="62:62" x14ac:dyDescent="0.2">
      <c r="BJ45392" s="201"/>
    </row>
    <row r="45393" spans="62:62" x14ac:dyDescent="0.2">
      <c r="BJ45393" s="201"/>
    </row>
    <row r="45394" spans="62:62" x14ac:dyDescent="0.2">
      <c r="BJ45394" s="201"/>
    </row>
    <row r="45395" spans="62:62" x14ac:dyDescent="0.2">
      <c r="BJ45395" s="201"/>
    </row>
    <row r="45396" spans="62:62" x14ac:dyDescent="0.2">
      <c r="BJ45396" s="201"/>
    </row>
    <row r="45397" spans="62:62" x14ac:dyDescent="0.2">
      <c r="BJ45397" s="201"/>
    </row>
    <row r="45398" spans="62:62" x14ac:dyDescent="0.2">
      <c r="BJ45398" s="201"/>
    </row>
    <row r="45399" spans="62:62" x14ac:dyDescent="0.2">
      <c r="BJ45399" s="201"/>
    </row>
    <row r="45400" spans="62:62" x14ac:dyDescent="0.2">
      <c r="BJ45400" s="201"/>
    </row>
    <row r="45401" spans="62:62" x14ac:dyDescent="0.2">
      <c r="BJ45401" s="201"/>
    </row>
    <row r="45402" spans="62:62" x14ac:dyDescent="0.2">
      <c r="BJ45402" s="201"/>
    </row>
    <row r="45403" spans="62:62" x14ac:dyDescent="0.2">
      <c r="BJ45403" s="201"/>
    </row>
    <row r="45404" spans="62:62" x14ac:dyDescent="0.2">
      <c r="BJ45404" s="201"/>
    </row>
    <row r="45405" spans="62:62" x14ac:dyDescent="0.2">
      <c r="BJ45405" s="201"/>
    </row>
    <row r="45406" spans="62:62" x14ac:dyDescent="0.2">
      <c r="BJ45406" s="201"/>
    </row>
    <row r="45407" spans="62:62" x14ac:dyDescent="0.2">
      <c r="BJ45407" s="201"/>
    </row>
    <row r="45408" spans="62:62" x14ac:dyDescent="0.2">
      <c r="BJ45408" s="201"/>
    </row>
    <row r="45409" spans="62:62" x14ac:dyDescent="0.2">
      <c r="BJ45409" s="201"/>
    </row>
    <row r="45410" spans="62:62" x14ac:dyDescent="0.2">
      <c r="BJ45410" s="201"/>
    </row>
    <row r="45411" spans="62:62" x14ac:dyDescent="0.2">
      <c r="BJ45411" s="201"/>
    </row>
    <row r="45412" spans="62:62" x14ac:dyDescent="0.2">
      <c r="BJ45412" s="201"/>
    </row>
    <row r="45413" spans="62:62" x14ac:dyDescent="0.2">
      <c r="BJ45413" s="201"/>
    </row>
    <row r="45414" spans="62:62" x14ac:dyDescent="0.2">
      <c r="BJ45414" s="201"/>
    </row>
    <row r="45415" spans="62:62" x14ac:dyDescent="0.2">
      <c r="BJ45415" s="201"/>
    </row>
    <row r="45416" spans="62:62" x14ac:dyDescent="0.2">
      <c r="BJ45416" s="201"/>
    </row>
    <row r="45417" spans="62:62" x14ac:dyDescent="0.2">
      <c r="BJ45417" s="201"/>
    </row>
    <row r="45418" spans="62:62" x14ac:dyDescent="0.2">
      <c r="BJ45418" s="201"/>
    </row>
    <row r="45419" spans="62:62" x14ac:dyDescent="0.2">
      <c r="BJ45419" s="201"/>
    </row>
    <row r="45420" spans="62:62" x14ac:dyDescent="0.2">
      <c r="BJ45420" s="201"/>
    </row>
    <row r="45421" spans="62:62" x14ac:dyDescent="0.2">
      <c r="BJ45421" s="201"/>
    </row>
    <row r="45422" spans="62:62" x14ac:dyDescent="0.2">
      <c r="BJ45422" s="201"/>
    </row>
    <row r="45423" spans="62:62" x14ac:dyDescent="0.2">
      <c r="BJ45423" s="201"/>
    </row>
    <row r="45424" spans="62:62" x14ac:dyDescent="0.2">
      <c r="BJ45424" s="201"/>
    </row>
    <row r="45425" spans="62:62" x14ac:dyDescent="0.2">
      <c r="BJ45425" s="201"/>
    </row>
    <row r="45426" spans="62:62" x14ac:dyDescent="0.2">
      <c r="BJ45426" s="201"/>
    </row>
    <row r="45427" spans="62:62" x14ac:dyDescent="0.2">
      <c r="BJ45427" s="201"/>
    </row>
    <row r="45428" spans="62:62" x14ac:dyDescent="0.2">
      <c r="BJ45428" s="201"/>
    </row>
    <row r="45429" spans="62:62" x14ac:dyDescent="0.2">
      <c r="BJ45429" s="201"/>
    </row>
    <row r="45430" spans="62:62" x14ac:dyDescent="0.2">
      <c r="BJ45430" s="201"/>
    </row>
    <row r="45431" spans="62:62" x14ac:dyDescent="0.2">
      <c r="BJ45431" s="201"/>
    </row>
    <row r="45432" spans="62:62" x14ac:dyDescent="0.2">
      <c r="BJ45432" s="201"/>
    </row>
    <row r="45433" spans="62:62" x14ac:dyDescent="0.2">
      <c r="BJ45433" s="201"/>
    </row>
    <row r="45434" spans="62:62" x14ac:dyDescent="0.2">
      <c r="BJ45434" s="201"/>
    </row>
    <row r="45435" spans="62:62" x14ac:dyDescent="0.2">
      <c r="BJ45435" s="201"/>
    </row>
    <row r="45436" spans="62:62" x14ac:dyDescent="0.2">
      <c r="BJ45436" s="201"/>
    </row>
    <row r="45437" spans="62:62" x14ac:dyDescent="0.2">
      <c r="BJ45437" s="201"/>
    </row>
    <row r="45438" spans="62:62" x14ac:dyDescent="0.2">
      <c r="BJ45438" s="201"/>
    </row>
    <row r="45439" spans="62:62" x14ac:dyDescent="0.2">
      <c r="BJ45439" s="201"/>
    </row>
    <row r="45440" spans="62:62" x14ac:dyDescent="0.2">
      <c r="BJ45440" s="201"/>
    </row>
    <row r="45441" spans="62:62" x14ac:dyDescent="0.2">
      <c r="BJ45441" s="201"/>
    </row>
    <row r="45442" spans="62:62" x14ac:dyDescent="0.2">
      <c r="BJ45442" s="201"/>
    </row>
    <row r="45443" spans="62:62" x14ac:dyDescent="0.2">
      <c r="BJ45443" s="201"/>
    </row>
    <row r="45444" spans="62:62" x14ac:dyDescent="0.2">
      <c r="BJ45444" s="201"/>
    </row>
    <row r="45445" spans="62:62" x14ac:dyDescent="0.2">
      <c r="BJ45445" s="201"/>
    </row>
    <row r="45446" spans="62:62" x14ac:dyDescent="0.2">
      <c r="BJ45446" s="201"/>
    </row>
    <row r="45447" spans="62:62" x14ac:dyDescent="0.2">
      <c r="BJ45447" s="201"/>
    </row>
    <row r="45448" spans="62:62" x14ac:dyDescent="0.2">
      <c r="BJ45448" s="201"/>
    </row>
    <row r="45449" spans="62:62" x14ac:dyDescent="0.2">
      <c r="BJ45449" s="201"/>
    </row>
    <row r="45450" spans="62:62" x14ac:dyDescent="0.2">
      <c r="BJ45450" s="201"/>
    </row>
    <row r="45451" spans="62:62" x14ac:dyDescent="0.2">
      <c r="BJ45451" s="201"/>
    </row>
    <row r="45452" spans="62:62" x14ac:dyDescent="0.2">
      <c r="BJ45452" s="201"/>
    </row>
    <row r="45453" spans="62:62" x14ac:dyDescent="0.2">
      <c r="BJ45453" s="201"/>
    </row>
    <row r="45454" spans="62:62" x14ac:dyDescent="0.2">
      <c r="BJ45454" s="201"/>
    </row>
    <row r="45455" spans="62:62" x14ac:dyDescent="0.2">
      <c r="BJ45455" s="201"/>
    </row>
    <row r="45456" spans="62:62" x14ac:dyDescent="0.2">
      <c r="BJ45456" s="201"/>
    </row>
    <row r="45457" spans="62:62" x14ac:dyDescent="0.2">
      <c r="BJ45457" s="201"/>
    </row>
    <row r="45458" spans="62:62" x14ac:dyDescent="0.2">
      <c r="BJ45458" s="201"/>
    </row>
    <row r="45459" spans="62:62" x14ac:dyDescent="0.2">
      <c r="BJ45459" s="201"/>
    </row>
    <row r="45460" spans="62:62" x14ac:dyDescent="0.2">
      <c r="BJ45460" s="201"/>
    </row>
    <row r="45461" spans="62:62" x14ac:dyDescent="0.2">
      <c r="BJ45461" s="201"/>
    </row>
    <row r="45462" spans="62:62" x14ac:dyDescent="0.2">
      <c r="BJ45462" s="201"/>
    </row>
    <row r="45463" spans="62:62" x14ac:dyDescent="0.2">
      <c r="BJ45463" s="201"/>
    </row>
    <row r="45464" spans="62:62" x14ac:dyDescent="0.2">
      <c r="BJ45464" s="201"/>
    </row>
    <row r="45465" spans="62:62" x14ac:dyDescent="0.2">
      <c r="BJ45465" s="201"/>
    </row>
    <row r="45466" spans="62:62" x14ac:dyDescent="0.2">
      <c r="BJ45466" s="201"/>
    </row>
    <row r="45467" spans="62:62" x14ac:dyDescent="0.2">
      <c r="BJ45467" s="201"/>
    </row>
    <row r="45468" spans="62:62" x14ac:dyDescent="0.2">
      <c r="BJ45468" s="201"/>
    </row>
    <row r="45469" spans="62:62" x14ac:dyDescent="0.2">
      <c r="BJ45469" s="201"/>
    </row>
    <row r="45470" spans="62:62" x14ac:dyDescent="0.2">
      <c r="BJ45470" s="201"/>
    </row>
    <row r="45471" spans="62:62" x14ac:dyDescent="0.2">
      <c r="BJ45471" s="201"/>
    </row>
    <row r="45472" spans="62:62" x14ac:dyDescent="0.2">
      <c r="BJ45472" s="201"/>
    </row>
    <row r="45473" spans="62:62" x14ac:dyDescent="0.2">
      <c r="BJ45473" s="201"/>
    </row>
    <row r="45474" spans="62:62" x14ac:dyDescent="0.2">
      <c r="BJ45474" s="201"/>
    </row>
    <row r="45475" spans="62:62" x14ac:dyDescent="0.2">
      <c r="BJ45475" s="201"/>
    </row>
    <row r="45476" spans="62:62" x14ac:dyDescent="0.2">
      <c r="BJ45476" s="201"/>
    </row>
    <row r="45477" spans="62:62" x14ac:dyDescent="0.2">
      <c r="BJ45477" s="201"/>
    </row>
    <row r="45478" spans="62:62" x14ac:dyDescent="0.2">
      <c r="BJ45478" s="201"/>
    </row>
    <row r="45479" spans="62:62" x14ac:dyDescent="0.2">
      <c r="BJ45479" s="201"/>
    </row>
    <row r="45480" spans="62:62" x14ac:dyDescent="0.2">
      <c r="BJ45480" s="201"/>
    </row>
    <row r="45481" spans="62:62" x14ac:dyDescent="0.2">
      <c r="BJ45481" s="201"/>
    </row>
    <row r="45482" spans="62:62" x14ac:dyDescent="0.2">
      <c r="BJ45482" s="201"/>
    </row>
    <row r="45483" spans="62:62" x14ac:dyDescent="0.2">
      <c r="BJ45483" s="201"/>
    </row>
    <row r="45484" spans="62:62" x14ac:dyDescent="0.2">
      <c r="BJ45484" s="201"/>
    </row>
    <row r="45485" spans="62:62" x14ac:dyDescent="0.2">
      <c r="BJ45485" s="201"/>
    </row>
    <row r="45486" spans="62:62" x14ac:dyDescent="0.2">
      <c r="BJ45486" s="201"/>
    </row>
    <row r="45487" spans="62:62" x14ac:dyDescent="0.2">
      <c r="BJ45487" s="201"/>
    </row>
    <row r="45488" spans="62:62" x14ac:dyDescent="0.2">
      <c r="BJ45488" s="201"/>
    </row>
    <row r="45489" spans="62:62" x14ac:dyDescent="0.2">
      <c r="BJ45489" s="201"/>
    </row>
    <row r="45490" spans="62:62" x14ac:dyDescent="0.2">
      <c r="BJ45490" s="201"/>
    </row>
    <row r="45491" spans="62:62" x14ac:dyDescent="0.2">
      <c r="BJ45491" s="201"/>
    </row>
    <row r="45492" spans="62:62" x14ac:dyDescent="0.2">
      <c r="BJ45492" s="201"/>
    </row>
    <row r="45493" spans="62:62" x14ac:dyDescent="0.2">
      <c r="BJ45493" s="201"/>
    </row>
    <row r="45494" spans="62:62" x14ac:dyDescent="0.2">
      <c r="BJ45494" s="201"/>
    </row>
    <row r="45495" spans="62:62" x14ac:dyDescent="0.2">
      <c r="BJ45495" s="201"/>
    </row>
    <row r="45496" spans="62:62" x14ac:dyDescent="0.2">
      <c r="BJ45496" s="201"/>
    </row>
    <row r="45497" spans="62:62" x14ac:dyDescent="0.2">
      <c r="BJ45497" s="201"/>
    </row>
    <row r="45498" spans="62:62" x14ac:dyDescent="0.2">
      <c r="BJ45498" s="201"/>
    </row>
    <row r="45499" spans="62:62" x14ac:dyDescent="0.2">
      <c r="BJ45499" s="201"/>
    </row>
    <row r="45500" spans="62:62" x14ac:dyDescent="0.2">
      <c r="BJ45500" s="201"/>
    </row>
    <row r="45501" spans="62:62" x14ac:dyDescent="0.2">
      <c r="BJ45501" s="201"/>
    </row>
    <row r="45502" spans="62:62" x14ac:dyDescent="0.2">
      <c r="BJ45502" s="201"/>
    </row>
    <row r="45503" spans="62:62" x14ac:dyDescent="0.2">
      <c r="BJ45503" s="201"/>
    </row>
    <row r="45504" spans="62:62" x14ac:dyDescent="0.2">
      <c r="BJ45504" s="201"/>
    </row>
    <row r="45505" spans="62:62" x14ac:dyDescent="0.2">
      <c r="BJ45505" s="201"/>
    </row>
    <row r="45506" spans="62:62" x14ac:dyDescent="0.2">
      <c r="BJ45506" s="201"/>
    </row>
    <row r="45507" spans="62:62" x14ac:dyDescent="0.2">
      <c r="BJ45507" s="201"/>
    </row>
    <row r="45508" spans="62:62" x14ac:dyDescent="0.2">
      <c r="BJ45508" s="201"/>
    </row>
    <row r="45509" spans="62:62" x14ac:dyDescent="0.2">
      <c r="BJ45509" s="201"/>
    </row>
    <row r="45510" spans="62:62" x14ac:dyDescent="0.2">
      <c r="BJ45510" s="201"/>
    </row>
    <row r="45511" spans="62:62" x14ac:dyDescent="0.2">
      <c r="BJ45511" s="201"/>
    </row>
    <row r="45512" spans="62:62" x14ac:dyDescent="0.2">
      <c r="BJ45512" s="201"/>
    </row>
    <row r="45513" spans="62:62" x14ac:dyDescent="0.2">
      <c r="BJ45513" s="201"/>
    </row>
    <row r="45514" spans="62:62" x14ac:dyDescent="0.2">
      <c r="BJ45514" s="201"/>
    </row>
    <row r="45515" spans="62:62" x14ac:dyDescent="0.2">
      <c r="BJ45515" s="201"/>
    </row>
    <row r="45516" spans="62:62" x14ac:dyDescent="0.2">
      <c r="BJ45516" s="201"/>
    </row>
    <row r="45517" spans="62:62" x14ac:dyDescent="0.2">
      <c r="BJ45517" s="201"/>
    </row>
    <row r="45518" spans="62:62" x14ac:dyDescent="0.2">
      <c r="BJ45518" s="201"/>
    </row>
    <row r="45519" spans="62:62" x14ac:dyDescent="0.2">
      <c r="BJ45519" s="201"/>
    </row>
    <row r="45520" spans="62:62" x14ac:dyDescent="0.2">
      <c r="BJ45520" s="201"/>
    </row>
    <row r="45521" spans="62:62" x14ac:dyDescent="0.2">
      <c r="BJ45521" s="201"/>
    </row>
    <row r="45522" spans="62:62" x14ac:dyDescent="0.2">
      <c r="BJ45522" s="201"/>
    </row>
    <row r="45523" spans="62:62" x14ac:dyDescent="0.2">
      <c r="BJ45523" s="201"/>
    </row>
    <row r="45524" spans="62:62" x14ac:dyDescent="0.2">
      <c r="BJ45524" s="201"/>
    </row>
    <row r="45525" spans="62:62" x14ac:dyDescent="0.2">
      <c r="BJ45525" s="201"/>
    </row>
    <row r="45526" spans="62:62" x14ac:dyDescent="0.2">
      <c r="BJ45526" s="201"/>
    </row>
    <row r="45527" spans="62:62" x14ac:dyDescent="0.2">
      <c r="BJ45527" s="201"/>
    </row>
    <row r="45528" spans="62:62" x14ac:dyDescent="0.2">
      <c r="BJ45528" s="201"/>
    </row>
    <row r="45529" spans="62:62" x14ac:dyDescent="0.2">
      <c r="BJ45529" s="201"/>
    </row>
    <row r="45530" spans="62:62" x14ac:dyDescent="0.2">
      <c r="BJ45530" s="201"/>
    </row>
    <row r="45531" spans="62:62" x14ac:dyDescent="0.2">
      <c r="BJ45531" s="201"/>
    </row>
    <row r="45532" spans="62:62" x14ac:dyDescent="0.2">
      <c r="BJ45532" s="201"/>
    </row>
    <row r="45533" spans="62:62" x14ac:dyDescent="0.2">
      <c r="BJ45533" s="201"/>
    </row>
    <row r="45534" spans="62:62" x14ac:dyDescent="0.2">
      <c r="BJ45534" s="201"/>
    </row>
    <row r="45535" spans="62:62" x14ac:dyDescent="0.2">
      <c r="BJ45535" s="201"/>
    </row>
    <row r="45536" spans="62:62" x14ac:dyDescent="0.2">
      <c r="BJ45536" s="201"/>
    </row>
    <row r="45537" spans="62:62" x14ac:dyDescent="0.2">
      <c r="BJ45537" s="201"/>
    </row>
    <row r="45538" spans="62:62" x14ac:dyDescent="0.2">
      <c r="BJ45538" s="201"/>
    </row>
    <row r="45539" spans="62:62" x14ac:dyDescent="0.2">
      <c r="BJ45539" s="201"/>
    </row>
    <row r="45540" spans="62:62" x14ac:dyDescent="0.2">
      <c r="BJ45540" s="201"/>
    </row>
    <row r="45541" spans="62:62" x14ac:dyDescent="0.2">
      <c r="BJ45541" s="201"/>
    </row>
    <row r="45542" spans="62:62" x14ac:dyDescent="0.2">
      <c r="BJ45542" s="201"/>
    </row>
    <row r="45543" spans="62:62" x14ac:dyDescent="0.2">
      <c r="BJ45543" s="201"/>
    </row>
    <row r="45544" spans="62:62" x14ac:dyDescent="0.2">
      <c r="BJ45544" s="201"/>
    </row>
    <row r="45545" spans="62:62" x14ac:dyDescent="0.2">
      <c r="BJ45545" s="201"/>
    </row>
    <row r="45546" spans="62:62" x14ac:dyDescent="0.2">
      <c r="BJ45546" s="201"/>
    </row>
    <row r="45547" spans="62:62" x14ac:dyDescent="0.2">
      <c r="BJ45547" s="201"/>
    </row>
    <row r="45548" spans="62:62" x14ac:dyDescent="0.2">
      <c r="BJ45548" s="201"/>
    </row>
    <row r="45549" spans="62:62" x14ac:dyDescent="0.2">
      <c r="BJ45549" s="201"/>
    </row>
    <row r="45550" spans="62:62" x14ac:dyDescent="0.2">
      <c r="BJ45550" s="201"/>
    </row>
    <row r="45551" spans="62:62" x14ac:dyDescent="0.2">
      <c r="BJ45551" s="201"/>
    </row>
    <row r="45552" spans="62:62" x14ac:dyDescent="0.2">
      <c r="BJ45552" s="201"/>
    </row>
    <row r="45553" spans="62:62" x14ac:dyDescent="0.2">
      <c r="BJ45553" s="201"/>
    </row>
    <row r="45554" spans="62:62" x14ac:dyDescent="0.2">
      <c r="BJ45554" s="201"/>
    </row>
    <row r="45555" spans="62:62" x14ac:dyDescent="0.2">
      <c r="BJ45555" s="201"/>
    </row>
    <row r="45556" spans="62:62" x14ac:dyDescent="0.2">
      <c r="BJ45556" s="201"/>
    </row>
    <row r="45557" spans="62:62" x14ac:dyDescent="0.2">
      <c r="BJ45557" s="201"/>
    </row>
    <row r="45558" spans="62:62" x14ac:dyDescent="0.2">
      <c r="BJ45558" s="201"/>
    </row>
    <row r="45559" spans="62:62" x14ac:dyDescent="0.2">
      <c r="BJ45559" s="201"/>
    </row>
    <row r="45560" spans="62:62" x14ac:dyDescent="0.2">
      <c r="BJ45560" s="201"/>
    </row>
    <row r="45561" spans="62:62" x14ac:dyDescent="0.2">
      <c r="BJ45561" s="201"/>
    </row>
    <row r="45562" spans="62:62" x14ac:dyDescent="0.2">
      <c r="BJ45562" s="201"/>
    </row>
    <row r="45563" spans="62:62" x14ac:dyDescent="0.2">
      <c r="BJ45563" s="201"/>
    </row>
    <row r="45564" spans="62:62" x14ac:dyDescent="0.2">
      <c r="BJ45564" s="201"/>
    </row>
    <row r="45565" spans="62:62" x14ac:dyDescent="0.2">
      <c r="BJ45565" s="201"/>
    </row>
    <row r="45566" spans="62:62" x14ac:dyDescent="0.2">
      <c r="BJ45566" s="201"/>
    </row>
    <row r="45567" spans="62:62" x14ac:dyDescent="0.2">
      <c r="BJ45567" s="201"/>
    </row>
    <row r="45568" spans="62:62" x14ac:dyDescent="0.2">
      <c r="BJ45568" s="201"/>
    </row>
    <row r="45569" spans="62:62" x14ac:dyDescent="0.2">
      <c r="BJ45569" s="201"/>
    </row>
    <row r="45570" spans="62:62" x14ac:dyDescent="0.2">
      <c r="BJ45570" s="201"/>
    </row>
    <row r="45571" spans="62:62" x14ac:dyDescent="0.2">
      <c r="BJ45571" s="201"/>
    </row>
    <row r="45572" spans="62:62" x14ac:dyDescent="0.2">
      <c r="BJ45572" s="201"/>
    </row>
    <row r="45573" spans="62:62" x14ac:dyDescent="0.2">
      <c r="BJ45573" s="201"/>
    </row>
    <row r="45574" spans="62:62" x14ac:dyDescent="0.2">
      <c r="BJ45574" s="201"/>
    </row>
    <row r="45575" spans="62:62" x14ac:dyDescent="0.2">
      <c r="BJ45575" s="201"/>
    </row>
    <row r="45576" spans="62:62" x14ac:dyDescent="0.2">
      <c r="BJ45576" s="201"/>
    </row>
    <row r="45577" spans="62:62" x14ac:dyDescent="0.2">
      <c r="BJ45577" s="201"/>
    </row>
    <row r="45578" spans="62:62" x14ac:dyDescent="0.2">
      <c r="BJ45578" s="201"/>
    </row>
    <row r="45579" spans="62:62" x14ac:dyDescent="0.2">
      <c r="BJ45579" s="201"/>
    </row>
    <row r="45580" spans="62:62" x14ac:dyDescent="0.2">
      <c r="BJ45580" s="201"/>
    </row>
    <row r="45581" spans="62:62" x14ac:dyDescent="0.2">
      <c r="BJ45581" s="201"/>
    </row>
    <row r="45582" spans="62:62" x14ac:dyDescent="0.2">
      <c r="BJ45582" s="201"/>
    </row>
    <row r="45583" spans="62:62" x14ac:dyDescent="0.2">
      <c r="BJ45583" s="201"/>
    </row>
    <row r="45584" spans="62:62" x14ac:dyDescent="0.2">
      <c r="BJ45584" s="201"/>
    </row>
    <row r="45585" spans="62:62" x14ac:dyDescent="0.2">
      <c r="BJ45585" s="201"/>
    </row>
    <row r="45586" spans="62:62" x14ac:dyDescent="0.2">
      <c r="BJ45586" s="201"/>
    </row>
    <row r="45587" spans="62:62" x14ac:dyDescent="0.2">
      <c r="BJ45587" s="201"/>
    </row>
    <row r="45588" spans="62:62" x14ac:dyDescent="0.2">
      <c r="BJ45588" s="201"/>
    </row>
    <row r="45589" spans="62:62" x14ac:dyDescent="0.2">
      <c r="BJ45589" s="201"/>
    </row>
    <row r="45590" spans="62:62" x14ac:dyDescent="0.2">
      <c r="BJ45590" s="201"/>
    </row>
    <row r="45591" spans="62:62" x14ac:dyDescent="0.2">
      <c r="BJ45591" s="201"/>
    </row>
    <row r="45592" spans="62:62" x14ac:dyDescent="0.2">
      <c r="BJ45592" s="201"/>
    </row>
    <row r="45593" spans="62:62" x14ac:dyDescent="0.2">
      <c r="BJ45593" s="201"/>
    </row>
    <row r="45594" spans="62:62" x14ac:dyDescent="0.2">
      <c r="BJ45594" s="201"/>
    </row>
    <row r="45595" spans="62:62" x14ac:dyDescent="0.2">
      <c r="BJ45595" s="201"/>
    </row>
    <row r="45596" spans="62:62" x14ac:dyDescent="0.2">
      <c r="BJ45596" s="201"/>
    </row>
    <row r="45597" spans="62:62" x14ac:dyDescent="0.2">
      <c r="BJ45597" s="201"/>
    </row>
    <row r="45598" spans="62:62" x14ac:dyDescent="0.2">
      <c r="BJ45598" s="201"/>
    </row>
    <row r="45599" spans="62:62" x14ac:dyDescent="0.2">
      <c r="BJ45599" s="201"/>
    </row>
    <row r="45600" spans="62:62" x14ac:dyDescent="0.2">
      <c r="BJ45600" s="201"/>
    </row>
    <row r="45601" spans="62:62" x14ac:dyDescent="0.2">
      <c r="BJ45601" s="201"/>
    </row>
    <row r="45602" spans="62:62" x14ac:dyDescent="0.2">
      <c r="BJ45602" s="201"/>
    </row>
    <row r="45603" spans="62:62" x14ac:dyDescent="0.2">
      <c r="BJ45603" s="201"/>
    </row>
    <row r="45604" spans="62:62" x14ac:dyDescent="0.2">
      <c r="BJ45604" s="201"/>
    </row>
    <row r="45605" spans="62:62" x14ac:dyDescent="0.2">
      <c r="BJ45605" s="201"/>
    </row>
    <row r="45606" spans="62:62" x14ac:dyDescent="0.2">
      <c r="BJ45606" s="201"/>
    </row>
    <row r="45607" spans="62:62" x14ac:dyDescent="0.2">
      <c r="BJ45607" s="201"/>
    </row>
    <row r="45608" spans="62:62" x14ac:dyDescent="0.2">
      <c r="BJ45608" s="201"/>
    </row>
    <row r="45609" spans="62:62" x14ac:dyDescent="0.2">
      <c r="BJ45609" s="201"/>
    </row>
    <row r="45610" spans="62:62" x14ac:dyDescent="0.2">
      <c r="BJ45610" s="201"/>
    </row>
    <row r="45611" spans="62:62" x14ac:dyDescent="0.2">
      <c r="BJ45611" s="201"/>
    </row>
    <row r="45612" spans="62:62" x14ac:dyDescent="0.2">
      <c r="BJ45612" s="201"/>
    </row>
    <row r="45613" spans="62:62" x14ac:dyDescent="0.2">
      <c r="BJ45613" s="201"/>
    </row>
    <row r="45614" spans="62:62" x14ac:dyDescent="0.2">
      <c r="BJ45614" s="201"/>
    </row>
    <row r="45615" spans="62:62" x14ac:dyDescent="0.2">
      <c r="BJ45615" s="201"/>
    </row>
    <row r="45616" spans="62:62" x14ac:dyDescent="0.2">
      <c r="BJ45616" s="201"/>
    </row>
    <row r="45617" spans="62:62" x14ac:dyDescent="0.2">
      <c r="BJ45617" s="201"/>
    </row>
    <row r="45618" spans="62:62" x14ac:dyDescent="0.2">
      <c r="BJ45618" s="201"/>
    </row>
    <row r="45619" spans="62:62" x14ac:dyDescent="0.2">
      <c r="BJ45619" s="201"/>
    </row>
    <row r="45620" spans="62:62" x14ac:dyDescent="0.2">
      <c r="BJ45620" s="201"/>
    </row>
    <row r="45621" spans="62:62" x14ac:dyDescent="0.2">
      <c r="BJ45621" s="201"/>
    </row>
    <row r="45622" spans="62:62" x14ac:dyDescent="0.2">
      <c r="BJ45622" s="201"/>
    </row>
    <row r="45623" spans="62:62" x14ac:dyDescent="0.2">
      <c r="BJ45623" s="201"/>
    </row>
    <row r="45624" spans="62:62" x14ac:dyDescent="0.2">
      <c r="BJ45624" s="201"/>
    </row>
    <row r="45625" spans="62:62" x14ac:dyDescent="0.2">
      <c r="BJ45625" s="201"/>
    </row>
    <row r="45626" spans="62:62" x14ac:dyDescent="0.2">
      <c r="BJ45626" s="201"/>
    </row>
    <row r="45627" spans="62:62" x14ac:dyDescent="0.2">
      <c r="BJ45627" s="201"/>
    </row>
    <row r="45628" spans="62:62" x14ac:dyDescent="0.2">
      <c r="BJ45628" s="201"/>
    </row>
    <row r="45629" spans="62:62" x14ac:dyDescent="0.2">
      <c r="BJ45629" s="201"/>
    </row>
    <row r="45630" spans="62:62" x14ac:dyDescent="0.2">
      <c r="BJ45630" s="201"/>
    </row>
    <row r="45631" spans="62:62" x14ac:dyDescent="0.2">
      <c r="BJ45631" s="201"/>
    </row>
    <row r="45632" spans="62:62" x14ac:dyDescent="0.2">
      <c r="BJ45632" s="201"/>
    </row>
    <row r="45633" spans="62:62" x14ac:dyDescent="0.2">
      <c r="BJ45633" s="201"/>
    </row>
    <row r="45634" spans="62:62" x14ac:dyDescent="0.2">
      <c r="BJ45634" s="201"/>
    </row>
    <row r="45635" spans="62:62" x14ac:dyDescent="0.2">
      <c r="BJ45635" s="201"/>
    </row>
    <row r="45636" spans="62:62" x14ac:dyDescent="0.2">
      <c r="BJ45636" s="201"/>
    </row>
    <row r="45637" spans="62:62" x14ac:dyDescent="0.2">
      <c r="BJ45637" s="201"/>
    </row>
    <row r="45638" spans="62:62" x14ac:dyDescent="0.2">
      <c r="BJ45638" s="201"/>
    </row>
    <row r="45639" spans="62:62" x14ac:dyDescent="0.2">
      <c r="BJ45639" s="201"/>
    </row>
    <row r="45640" spans="62:62" x14ac:dyDescent="0.2">
      <c r="BJ45640" s="201"/>
    </row>
    <row r="45641" spans="62:62" x14ac:dyDescent="0.2">
      <c r="BJ45641" s="201"/>
    </row>
    <row r="45642" spans="62:62" x14ac:dyDescent="0.2">
      <c r="BJ45642" s="201"/>
    </row>
    <row r="45643" spans="62:62" x14ac:dyDescent="0.2">
      <c r="BJ45643" s="201"/>
    </row>
    <row r="45644" spans="62:62" x14ac:dyDescent="0.2">
      <c r="BJ45644" s="201"/>
    </row>
    <row r="45645" spans="62:62" x14ac:dyDescent="0.2">
      <c r="BJ45645" s="201"/>
    </row>
    <row r="45646" spans="62:62" x14ac:dyDescent="0.2">
      <c r="BJ45646" s="201"/>
    </row>
    <row r="45647" spans="62:62" x14ac:dyDescent="0.2">
      <c r="BJ45647" s="201"/>
    </row>
    <row r="45648" spans="62:62" x14ac:dyDescent="0.2">
      <c r="BJ45648" s="201"/>
    </row>
    <row r="45649" spans="62:62" x14ac:dyDescent="0.2">
      <c r="BJ45649" s="201"/>
    </row>
    <row r="45650" spans="62:62" x14ac:dyDescent="0.2">
      <c r="BJ45650" s="201"/>
    </row>
    <row r="45651" spans="62:62" x14ac:dyDescent="0.2">
      <c r="BJ45651" s="201"/>
    </row>
    <row r="45652" spans="62:62" x14ac:dyDescent="0.2">
      <c r="BJ45652" s="201"/>
    </row>
    <row r="45653" spans="62:62" x14ac:dyDescent="0.2">
      <c r="BJ45653" s="201"/>
    </row>
    <row r="45654" spans="62:62" x14ac:dyDescent="0.2">
      <c r="BJ45654" s="201"/>
    </row>
    <row r="45655" spans="62:62" x14ac:dyDescent="0.2">
      <c r="BJ45655" s="201"/>
    </row>
    <row r="45656" spans="62:62" x14ac:dyDescent="0.2">
      <c r="BJ45656" s="201"/>
    </row>
    <row r="45657" spans="62:62" x14ac:dyDescent="0.2">
      <c r="BJ45657" s="201"/>
    </row>
    <row r="45658" spans="62:62" x14ac:dyDescent="0.2">
      <c r="BJ45658" s="201"/>
    </row>
    <row r="45659" spans="62:62" x14ac:dyDescent="0.2">
      <c r="BJ45659" s="201"/>
    </row>
    <row r="45660" spans="62:62" x14ac:dyDescent="0.2">
      <c r="BJ45660" s="201"/>
    </row>
    <row r="45661" spans="62:62" x14ac:dyDescent="0.2">
      <c r="BJ45661" s="201"/>
    </row>
    <row r="45662" spans="62:62" x14ac:dyDescent="0.2">
      <c r="BJ45662" s="201"/>
    </row>
    <row r="45663" spans="62:62" x14ac:dyDescent="0.2">
      <c r="BJ45663" s="201"/>
    </row>
    <row r="45664" spans="62:62" x14ac:dyDescent="0.2">
      <c r="BJ45664" s="201"/>
    </row>
    <row r="45665" spans="62:62" x14ac:dyDescent="0.2">
      <c r="BJ45665" s="201"/>
    </row>
    <row r="45666" spans="62:62" x14ac:dyDescent="0.2">
      <c r="BJ45666" s="201"/>
    </row>
    <row r="45667" spans="62:62" x14ac:dyDescent="0.2">
      <c r="BJ45667" s="201"/>
    </row>
    <row r="45668" spans="62:62" x14ac:dyDescent="0.2">
      <c r="BJ45668" s="201"/>
    </row>
    <row r="45669" spans="62:62" x14ac:dyDescent="0.2">
      <c r="BJ45669" s="201"/>
    </row>
    <row r="45670" spans="62:62" x14ac:dyDescent="0.2">
      <c r="BJ45670" s="201"/>
    </row>
    <row r="45671" spans="62:62" x14ac:dyDescent="0.2">
      <c r="BJ45671" s="201"/>
    </row>
    <row r="45672" spans="62:62" x14ac:dyDescent="0.2">
      <c r="BJ45672" s="201"/>
    </row>
    <row r="45673" spans="62:62" x14ac:dyDescent="0.2">
      <c r="BJ45673" s="201"/>
    </row>
    <row r="45674" spans="62:62" x14ac:dyDescent="0.2">
      <c r="BJ45674" s="201"/>
    </row>
    <row r="45675" spans="62:62" x14ac:dyDescent="0.2">
      <c r="BJ45675" s="201"/>
    </row>
    <row r="45676" spans="62:62" x14ac:dyDescent="0.2">
      <c r="BJ45676" s="201"/>
    </row>
    <row r="45677" spans="62:62" x14ac:dyDescent="0.2">
      <c r="BJ45677" s="201"/>
    </row>
    <row r="45678" spans="62:62" x14ac:dyDescent="0.2">
      <c r="BJ45678" s="201"/>
    </row>
    <row r="45679" spans="62:62" x14ac:dyDescent="0.2">
      <c r="BJ45679" s="201"/>
    </row>
    <row r="45680" spans="62:62" x14ac:dyDescent="0.2">
      <c r="BJ45680" s="201"/>
    </row>
    <row r="45681" spans="62:62" x14ac:dyDescent="0.2">
      <c r="BJ45681" s="201"/>
    </row>
    <row r="45682" spans="62:62" x14ac:dyDescent="0.2">
      <c r="BJ45682" s="201"/>
    </row>
    <row r="45683" spans="62:62" x14ac:dyDescent="0.2">
      <c r="BJ45683" s="201"/>
    </row>
    <row r="45684" spans="62:62" x14ac:dyDescent="0.2">
      <c r="BJ45684" s="201"/>
    </row>
    <row r="45685" spans="62:62" x14ac:dyDescent="0.2">
      <c r="BJ45685" s="201"/>
    </row>
    <row r="45686" spans="62:62" x14ac:dyDescent="0.2">
      <c r="BJ45686" s="201"/>
    </row>
    <row r="45687" spans="62:62" x14ac:dyDescent="0.2">
      <c r="BJ45687" s="201"/>
    </row>
    <row r="45688" spans="62:62" x14ac:dyDescent="0.2">
      <c r="BJ45688" s="201"/>
    </row>
    <row r="45689" spans="62:62" x14ac:dyDescent="0.2">
      <c r="BJ45689" s="201"/>
    </row>
    <row r="45690" spans="62:62" x14ac:dyDescent="0.2">
      <c r="BJ45690" s="201"/>
    </row>
    <row r="45691" spans="62:62" x14ac:dyDescent="0.2">
      <c r="BJ45691" s="201"/>
    </row>
    <row r="45692" spans="62:62" x14ac:dyDescent="0.2">
      <c r="BJ45692" s="201"/>
    </row>
    <row r="45693" spans="62:62" x14ac:dyDescent="0.2">
      <c r="BJ45693" s="201"/>
    </row>
    <row r="45694" spans="62:62" x14ac:dyDescent="0.2">
      <c r="BJ45694" s="201"/>
    </row>
    <row r="45695" spans="62:62" x14ac:dyDescent="0.2">
      <c r="BJ45695" s="201"/>
    </row>
    <row r="45696" spans="62:62" x14ac:dyDescent="0.2">
      <c r="BJ45696" s="201"/>
    </row>
    <row r="45697" spans="62:62" x14ac:dyDescent="0.2">
      <c r="BJ45697" s="201"/>
    </row>
    <row r="45698" spans="62:62" x14ac:dyDescent="0.2">
      <c r="BJ45698" s="201"/>
    </row>
    <row r="45699" spans="62:62" x14ac:dyDescent="0.2">
      <c r="BJ45699" s="201"/>
    </row>
    <row r="45700" spans="62:62" x14ac:dyDescent="0.2">
      <c r="BJ45700" s="201"/>
    </row>
    <row r="45701" spans="62:62" x14ac:dyDescent="0.2">
      <c r="BJ45701" s="201"/>
    </row>
    <row r="45702" spans="62:62" x14ac:dyDescent="0.2">
      <c r="BJ45702" s="201"/>
    </row>
    <row r="45703" spans="62:62" x14ac:dyDescent="0.2">
      <c r="BJ45703" s="201"/>
    </row>
    <row r="45704" spans="62:62" x14ac:dyDescent="0.2">
      <c r="BJ45704" s="201"/>
    </row>
    <row r="45705" spans="62:62" x14ac:dyDescent="0.2">
      <c r="BJ45705" s="201"/>
    </row>
    <row r="45706" spans="62:62" x14ac:dyDescent="0.2">
      <c r="BJ45706" s="201"/>
    </row>
    <row r="45707" spans="62:62" x14ac:dyDescent="0.2">
      <c r="BJ45707" s="201"/>
    </row>
    <row r="45708" spans="62:62" x14ac:dyDescent="0.2">
      <c r="BJ45708" s="201"/>
    </row>
    <row r="45709" spans="62:62" x14ac:dyDescent="0.2">
      <c r="BJ45709" s="201"/>
    </row>
    <row r="45710" spans="62:62" x14ac:dyDescent="0.2">
      <c r="BJ45710" s="201"/>
    </row>
    <row r="45711" spans="62:62" x14ac:dyDescent="0.2">
      <c r="BJ45711" s="201"/>
    </row>
    <row r="45712" spans="62:62" x14ac:dyDescent="0.2">
      <c r="BJ45712" s="201"/>
    </row>
    <row r="45713" spans="62:62" x14ac:dyDescent="0.2">
      <c r="BJ45713" s="201"/>
    </row>
    <row r="45714" spans="62:62" x14ac:dyDescent="0.2">
      <c r="BJ45714" s="201"/>
    </row>
    <row r="45715" spans="62:62" x14ac:dyDescent="0.2">
      <c r="BJ45715" s="201"/>
    </row>
    <row r="45716" spans="62:62" x14ac:dyDescent="0.2">
      <c r="BJ45716" s="201"/>
    </row>
    <row r="45717" spans="62:62" x14ac:dyDescent="0.2">
      <c r="BJ45717" s="201"/>
    </row>
    <row r="45718" spans="62:62" x14ac:dyDescent="0.2">
      <c r="BJ45718" s="201"/>
    </row>
    <row r="45719" spans="62:62" x14ac:dyDescent="0.2">
      <c r="BJ45719" s="201"/>
    </row>
    <row r="45720" spans="62:62" x14ac:dyDescent="0.2">
      <c r="BJ45720" s="201"/>
    </row>
    <row r="45721" spans="62:62" x14ac:dyDescent="0.2">
      <c r="BJ45721" s="201"/>
    </row>
    <row r="45722" spans="62:62" x14ac:dyDescent="0.2">
      <c r="BJ45722" s="201"/>
    </row>
    <row r="45723" spans="62:62" x14ac:dyDescent="0.2">
      <c r="BJ45723" s="201"/>
    </row>
    <row r="45724" spans="62:62" x14ac:dyDescent="0.2">
      <c r="BJ45724" s="201"/>
    </row>
    <row r="45725" spans="62:62" x14ac:dyDescent="0.2">
      <c r="BJ45725" s="201"/>
    </row>
    <row r="45726" spans="62:62" x14ac:dyDescent="0.2">
      <c r="BJ45726" s="201"/>
    </row>
    <row r="45727" spans="62:62" x14ac:dyDescent="0.2">
      <c r="BJ45727" s="201"/>
    </row>
    <row r="45728" spans="62:62" x14ac:dyDescent="0.2">
      <c r="BJ45728" s="201"/>
    </row>
    <row r="45729" spans="62:62" x14ac:dyDescent="0.2">
      <c r="BJ45729" s="201"/>
    </row>
    <row r="45730" spans="62:62" x14ac:dyDescent="0.2">
      <c r="BJ45730" s="201"/>
    </row>
    <row r="45731" spans="62:62" x14ac:dyDescent="0.2">
      <c r="BJ45731" s="201"/>
    </row>
    <row r="45732" spans="62:62" x14ac:dyDescent="0.2">
      <c r="BJ45732" s="201"/>
    </row>
    <row r="45733" spans="62:62" x14ac:dyDescent="0.2">
      <c r="BJ45733" s="201"/>
    </row>
    <row r="45734" spans="62:62" x14ac:dyDescent="0.2">
      <c r="BJ45734" s="201"/>
    </row>
    <row r="45735" spans="62:62" x14ac:dyDescent="0.2">
      <c r="BJ45735" s="201"/>
    </row>
    <row r="45736" spans="62:62" x14ac:dyDescent="0.2">
      <c r="BJ45736" s="201"/>
    </row>
    <row r="45737" spans="62:62" x14ac:dyDescent="0.2">
      <c r="BJ45737" s="201"/>
    </row>
    <row r="45738" spans="62:62" x14ac:dyDescent="0.2">
      <c r="BJ45738" s="201"/>
    </row>
    <row r="45739" spans="62:62" x14ac:dyDescent="0.2">
      <c r="BJ45739" s="201"/>
    </row>
    <row r="45740" spans="62:62" x14ac:dyDescent="0.2">
      <c r="BJ45740" s="201"/>
    </row>
    <row r="45741" spans="62:62" x14ac:dyDescent="0.2">
      <c r="BJ45741" s="201"/>
    </row>
    <row r="45742" spans="62:62" x14ac:dyDescent="0.2">
      <c r="BJ45742" s="201"/>
    </row>
    <row r="45743" spans="62:62" x14ac:dyDescent="0.2">
      <c r="BJ45743" s="201"/>
    </row>
    <row r="45744" spans="62:62" x14ac:dyDescent="0.2">
      <c r="BJ45744" s="201"/>
    </row>
    <row r="45745" spans="62:62" x14ac:dyDescent="0.2">
      <c r="BJ45745" s="201"/>
    </row>
    <row r="45746" spans="62:62" x14ac:dyDescent="0.2">
      <c r="BJ45746" s="201"/>
    </row>
    <row r="45747" spans="62:62" x14ac:dyDescent="0.2">
      <c r="BJ45747" s="201"/>
    </row>
    <row r="45748" spans="62:62" x14ac:dyDescent="0.2">
      <c r="BJ45748" s="201"/>
    </row>
    <row r="45749" spans="62:62" x14ac:dyDescent="0.2">
      <c r="BJ45749" s="201"/>
    </row>
    <row r="45750" spans="62:62" x14ac:dyDescent="0.2">
      <c r="BJ45750" s="201"/>
    </row>
    <row r="45751" spans="62:62" x14ac:dyDescent="0.2">
      <c r="BJ45751" s="201"/>
    </row>
    <row r="45752" spans="62:62" x14ac:dyDescent="0.2">
      <c r="BJ45752" s="201"/>
    </row>
    <row r="45753" spans="62:62" x14ac:dyDescent="0.2">
      <c r="BJ45753" s="201"/>
    </row>
    <row r="45754" spans="62:62" x14ac:dyDescent="0.2">
      <c r="BJ45754" s="201"/>
    </row>
    <row r="45755" spans="62:62" x14ac:dyDescent="0.2">
      <c r="BJ45755" s="201"/>
    </row>
    <row r="45756" spans="62:62" x14ac:dyDescent="0.2">
      <c r="BJ45756" s="201"/>
    </row>
    <row r="45757" spans="62:62" x14ac:dyDescent="0.2">
      <c r="BJ45757" s="201"/>
    </row>
    <row r="45758" spans="62:62" x14ac:dyDescent="0.2">
      <c r="BJ45758" s="201"/>
    </row>
    <row r="45759" spans="62:62" x14ac:dyDescent="0.2">
      <c r="BJ45759" s="201"/>
    </row>
    <row r="45760" spans="62:62" x14ac:dyDescent="0.2">
      <c r="BJ45760" s="201"/>
    </row>
    <row r="45761" spans="62:62" x14ac:dyDescent="0.2">
      <c r="BJ45761" s="201"/>
    </row>
    <row r="45762" spans="62:62" x14ac:dyDescent="0.2">
      <c r="BJ45762" s="201"/>
    </row>
    <row r="45763" spans="62:62" x14ac:dyDescent="0.2">
      <c r="BJ45763" s="201"/>
    </row>
    <row r="45764" spans="62:62" x14ac:dyDescent="0.2">
      <c r="BJ45764" s="201"/>
    </row>
    <row r="45765" spans="62:62" x14ac:dyDescent="0.2">
      <c r="BJ45765" s="201"/>
    </row>
    <row r="45766" spans="62:62" x14ac:dyDescent="0.2">
      <c r="BJ45766" s="201"/>
    </row>
    <row r="45767" spans="62:62" x14ac:dyDescent="0.2">
      <c r="BJ45767" s="201"/>
    </row>
    <row r="45768" spans="62:62" x14ac:dyDescent="0.2">
      <c r="BJ45768" s="201"/>
    </row>
    <row r="45769" spans="62:62" x14ac:dyDescent="0.2">
      <c r="BJ45769" s="201"/>
    </row>
    <row r="45770" spans="62:62" x14ac:dyDescent="0.2">
      <c r="BJ45770" s="201"/>
    </row>
    <row r="45771" spans="62:62" x14ac:dyDescent="0.2">
      <c r="BJ45771" s="201"/>
    </row>
    <row r="45772" spans="62:62" x14ac:dyDescent="0.2">
      <c r="BJ45772" s="201"/>
    </row>
    <row r="45773" spans="62:62" x14ac:dyDescent="0.2">
      <c r="BJ45773" s="201"/>
    </row>
    <row r="45774" spans="62:62" x14ac:dyDescent="0.2">
      <c r="BJ45774" s="201"/>
    </row>
    <row r="45775" spans="62:62" x14ac:dyDescent="0.2">
      <c r="BJ45775" s="201"/>
    </row>
    <row r="45776" spans="62:62" x14ac:dyDescent="0.2">
      <c r="BJ45776" s="201"/>
    </row>
    <row r="45777" spans="62:62" x14ac:dyDescent="0.2">
      <c r="BJ45777" s="201"/>
    </row>
    <row r="45778" spans="62:62" x14ac:dyDescent="0.2">
      <c r="BJ45778" s="201"/>
    </row>
    <row r="45779" spans="62:62" x14ac:dyDescent="0.2">
      <c r="BJ45779" s="201"/>
    </row>
    <row r="45780" spans="62:62" x14ac:dyDescent="0.2">
      <c r="BJ45780" s="201"/>
    </row>
    <row r="45781" spans="62:62" x14ac:dyDescent="0.2">
      <c r="BJ45781" s="201"/>
    </row>
    <row r="45782" spans="62:62" x14ac:dyDescent="0.2">
      <c r="BJ45782" s="201"/>
    </row>
    <row r="45783" spans="62:62" x14ac:dyDescent="0.2">
      <c r="BJ45783" s="201"/>
    </row>
    <row r="45784" spans="62:62" x14ac:dyDescent="0.2">
      <c r="BJ45784" s="201"/>
    </row>
    <row r="45785" spans="62:62" x14ac:dyDescent="0.2">
      <c r="BJ45785" s="201"/>
    </row>
    <row r="45786" spans="62:62" x14ac:dyDescent="0.2">
      <c r="BJ45786" s="201"/>
    </row>
    <row r="45787" spans="62:62" x14ac:dyDescent="0.2">
      <c r="BJ45787" s="201"/>
    </row>
    <row r="45788" spans="62:62" x14ac:dyDescent="0.2">
      <c r="BJ45788" s="201"/>
    </row>
    <row r="45789" spans="62:62" x14ac:dyDescent="0.2">
      <c r="BJ45789" s="201"/>
    </row>
    <row r="45790" spans="62:62" x14ac:dyDescent="0.2">
      <c r="BJ45790" s="201"/>
    </row>
    <row r="45791" spans="62:62" x14ac:dyDescent="0.2">
      <c r="BJ45791" s="201"/>
    </row>
    <row r="45792" spans="62:62" x14ac:dyDescent="0.2">
      <c r="BJ45792" s="201"/>
    </row>
    <row r="45793" spans="62:62" x14ac:dyDescent="0.2">
      <c r="BJ45793" s="201"/>
    </row>
    <row r="45794" spans="62:62" x14ac:dyDescent="0.2">
      <c r="BJ45794" s="201"/>
    </row>
    <row r="45795" spans="62:62" x14ac:dyDescent="0.2">
      <c r="BJ45795" s="201"/>
    </row>
    <row r="45796" spans="62:62" x14ac:dyDescent="0.2">
      <c r="BJ45796" s="201"/>
    </row>
    <row r="45797" spans="62:62" x14ac:dyDescent="0.2">
      <c r="BJ45797" s="201"/>
    </row>
    <row r="45798" spans="62:62" x14ac:dyDescent="0.2">
      <c r="BJ45798" s="201"/>
    </row>
    <row r="45799" spans="62:62" x14ac:dyDescent="0.2">
      <c r="BJ45799" s="201"/>
    </row>
    <row r="45800" spans="62:62" x14ac:dyDescent="0.2">
      <c r="BJ45800" s="201"/>
    </row>
    <row r="45801" spans="62:62" x14ac:dyDescent="0.2">
      <c r="BJ45801" s="201"/>
    </row>
    <row r="45802" spans="62:62" x14ac:dyDescent="0.2">
      <c r="BJ45802" s="201"/>
    </row>
    <row r="45803" spans="62:62" x14ac:dyDescent="0.2">
      <c r="BJ45803" s="201"/>
    </row>
    <row r="45804" spans="62:62" x14ac:dyDescent="0.2">
      <c r="BJ45804" s="201"/>
    </row>
    <row r="45805" spans="62:62" x14ac:dyDescent="0.2">
      <c r="BJ45805" s="201"/>
    </row>
    <row r="45806" spans="62:62" x14ac:dyDescent="0.2">
      <c r="BJ45806" s="201"/>
    </row>
    <row r="45807" spans="62:62" x14ac:dyDescent="0.2">
      <c r="BJ45807" s="201"/>
    </row>
    <row r="45808" spans="62:62" x14ac:dyDescent="0.2">
      <c r="BJ45808" s="201"/>
    </row>
    <row r="45809" spans="62:62" x14ac:dyDescent="0.2">
      <c r="BJ45809" s="201"/>
    </row>
    <row r="45810" spans="62:62" x14ac:dyDescent="0.2">
      <c r="BJ45810" s="201"/>
    </row>
    <row r="45811" spans="62:62" x14ac:dyDescent="0.2">
      <c r="BJ45811" s="201"/>
    </row>
    <row r="45812" spans="62:62" x14ac:dyDescent="0.2">
      <c r="BJ45812" s="201"/>
    </row>
    <row r="45813" spans="62:62" x14ac:dyDescent="0.2">
      <c r="BJ45813" s="201"/>
    </row>
    <row r="45814" spans="62:62" x14ac:dyDescent="0.2">
      <c r="BJ45814" s="201"/>
    </row>
    <row r="45815" spans="62:62" x14ac:dyDescent="0.2">
      <c r="BJ45815" s="201"/>
    </row>
    <row r="45816" spans="62:62" x14ac:dyDescent="0.2">
      <c r="BJ45816" s="201"/>
    </row>
    <row r="45817" spans="62:62" x14ac:dyDescent="0.2">
      <c r="BJ45817" s="201"/>
    </row>
    <row r="45818" spans="62:62" x14ac:dyDescent="0.2">
      <c r="BJ45818" s="201"/>
    </row>
    <row r="45819" spans="62:62" x14ac:dyDescent="0.2">
      <c r="BJ45819" s="201"/>
    </row>
    <row r="45820" spans="62:62" x14ac:dyDescent="0.2">
      <c r="BJ45820" s="201"/>
    </row>
    <row r="45821" spans="62:62" x14ac:dyDescent="0.2">
      <c r="BJ45821" s="201"/>
    </row>
    <row r="45822" spans="62:62" x14ac:dyDescent="0.2">
      <c r="BJ45822" s="201"/>
    </row>
    <row r="45823" spans="62:62" x14ac:dyDescent="0.2">
      <c r="BJ45823" s="201"/>
    </row>
    <row r="45824" spans="62:62" x14ac:dyDescent="0.2">
      <c r="BJ45824" s="201"/>
    </row>
    <row r="45825" spans="62:62" x14ac:dyDescent="0.2">
      <c r="BJ45825" s="201"/>
    </row>
    <row r="45826" spans="62:62" x14ac:dyDescent="0.2">
      <c r="BJ45826" s="201"/>
    </row>
    <row r="45827" spans="62:62" x14ac:dyDescent="0.2">
      <c r="BJ45827" s="201"/>
    </row>
    <row r="45828" spans="62:62" x14ac:dyDescent="0.2">
      <c r="BJ45828" s="201"/>
    </row>
    <row r="45829" spans="62:62" x14ac:dyDescent="0.2">
      <c r="BJ45829" s="201"/>
    </row>
    <row r="45830" spans="62:62" x14ac:dyDescent="0.2">
      <c r="BJ45830" s="201"/>
    </row>
    <row r="45831" spans="62:62" x14ac:dyDescent="0.2">
      <c r="BJ45831" s="201"/>
    </row>
    <row r="45832" spans="62:62" x14ac:dyDescent="0.2">
      <c r="BJ45832" s="201"/>
    </row>
    <row r="45833" spans="62:62" x14ac:dyDescent="0.2">
      <c r="BJ45833" s="201"/>
    </row>
    <row r="45834" spans="62:62" x14ac:dyDescent="0.2">
      <c r="BJ45834" s="201"/>
    </row>
    <row r="45835" spans="62:62" x14ac:dyDescent="0.2">
      <c r="BJ45835" s="201"/>
    </row>
    <row r="45836" spans="62:62" x14ac:dyDescent="0.2">
      <c r="BJ45836" s="201"/>
    </row>
    <row r="45837" spans="62:62" x14ac:dyDescent="0.2">
      <c r="BJ45837" s="201"/>
    </row>
    <row r="45838" spans="62:62" x14ac:dyDescent="0.2">
      <c r="BJ45838" s="201"/>
    </row>
    <row r="45839" spans="62:62" x14ac:dyDescent="0.2">
      <c r="BJ45839" s="201"/>
    </row>
    <row r="45840" spans="62:62" x14ac:dyDescent="0.2">
      <c r="BJ45840" s="201"/>
    </row>
    <row r="45841" spans="62:62" x14ac:dyDescent="0.2">
      <c r="BJ45841" s="201"/>
    </row>
    <row r="45842" spans="62:62" x14ac:dyDescent="0.2">
      <c r="BJ45842" s="201"/>
    </row>
    <row r="45843" spans="62:62" x14ac:dyDescent="0.2">
      <c r="BJ45843" s="201"/>
    </row>
    <row r="45844" spans="62:62" x14ac:dyDescent="0.2">
      <c r="BJ45844" s="201"/>
    </row>
    <row r="45845" spans="62:62" x14ac:dyDescent="0.2">
      <c r="BJ45845" s="201"/>
    </row>
    <row r="45846" spans="62:62" x14ac:dyDescent="0.2">
      <c r="BJ45846" s="201"/>
    </row>
    <row r="45847" spans="62:62" x14ac:dyDescent="0.2">
      <c r="BJ45847" s="201"/>
    </row>
    <row r="45848" spans="62:62" x14ac:dyDescent="0.2">
      <c r="BJ45848" s="201"/>
    </row>
    <row r="45849" spans="62:62" x14ac:dyDescent="0.2">
      <c r="BJ45849" s="201"/>
    </row>
    <row r="45850" spans="62:62" x14ac:dyDescent="0.2">
      <c r="BJ45850" s="201"/>
    </row>
    <row r="45851" spans="62:62" x14ac:dyDescent="0.2">
      <c r="BJ45851" s="201"/>
    </row>
    <row r="45852" spans="62:62" x14ac:dyDescent="0.2">
      <c r="BJ45852" s="201"/>
    </row>
    <row r="45853" spans="62:62" x14ac:dyDescent="0.2">
      <c r="BJ45853" s="201"/>
    </row>
    <row r="45854" spans="62:62" x14ac:dyDescent="0.2">
      <c r="BJ45854" s="201"/>
    </row>
    <row r="45855" spans="62:62" x14ac:dyDescent="0.2">
      <c r="BJ45855" s="201"/>
    </row>
    <row r="45856" spans="62:62" x14ac:dyDescent="0.2">
      <c r="BJ45856" s="201"/>
    </row>
    <row r="45857" spans="62:62" x14ac:dyDescent="0.2">
      <c r="BJ45857" s="201"/>
    </row>
    <row r="45858" spans="62:62" x14ac:dyDescent="0.2">
      <c r="BJ45858" s="201"/>
    </row>
    <row r="45859" spans="62:62" x14ac:dyDescent="0.2">
      <c r="BJ45859" s="201"/>
    </row>
    <row r="45860" spans="62:62" x14ac:dyDescent="0.2">
      <c r="BJ45860" s="201"/>
    </row>
    <row r="45861" spans="62:62" x14ac:dyDescent="0.2">
      <c r="BJ45861" s="201"/>
    </row>
    <row r="45862" spans="62:62" x14ac:dyDescent="0.2">
      <c r="BJ45862" s="201"/>
    </row>
    <row r="45863" spans="62:62" x14ac:dyDescent="0.2">
      <c r="BJ45863" s="201"/>
    </row>
    <row r="45864" spans="62:62" x14ac:dyDescent="0.2">
      <c r="BJ45864" s="201"/>
    </row>
    <row r="45865" spans="62:62" x14ac:dyDescent="0.2">
      <c r="BJ45865" s="201"/>
    </row>
    <row r="45866" spans="62:62" x14ac:dyDescent="0.2">
      <c r="BJ45866" s="201"/>
    </row>
    <row r="45867" spans="62:62" x14ac:dyDescent="0.2">
      <c r="BJ45867" s="201"/>
    </row>
    <row r="45868" spans="62:62" x14ac:dyDescent="0.2">
      <c r="BJ45868" s="201"/>
    </row>
    <row r="45869" spans="62:62" x14ac:dyDescent="0.2">
      <c r="BJ45869" s="201"/>
    </row>
    <row r="45870" spans="62:62" x14ac:dyDescent="0.2">
      <c r="BJ45870" s="201"/>
    </row>
    <row r="45871" spans="62:62" x14ac:dyDescent="0.2">
      <c r="BJ45871" s="201"/>
    </row>
    <row r="45872" spans="62:62" x14ac:dyDescent="0.2">
      <c r="BJ45872" s="201"/>
    </row>
    <row r="45873" spans="62:62" x14ac:dyDescent="0.2">
      <c r="BJ45873" s="201"/>
    </row>
    <row r="45874" spans="62:62" x14ac:dyDescent="0.2">
      <c r="BJ45874" s="201"/>
    </row>
    <row r="45875" spans="62:62" x14ac:dyDescent="0.2">
      <c r="BJ45875" s="201"/>
    </row>
    <row r="45876" spans="62:62" x14ac:dyDescent="0.2">
      <c r="BJ45876" s="201"/>
    </row>
    <row r="45877" spans="62:62" x14ac:dyDescent="0.2">
      <c r="BJ45877" s="201"/>
    </row>
    <row r="45878" spans="62:62" x14ac:dyDescent="0.2">
      <c r="BJ45878" s="201"/>
    </row>
    <row r="45879" spans="62:62" x14ac:dyDescent="0.2">
      <c r="BJ45879" s="201"/>
    </row>
    <row r="45880" spans="62:62" x14ac:dyDescent="0.2">
      <c r="BJ45880" s="201"/>
    </row>
    <row r="45881" spans="62:62" x14ac:dyDescent="0.2">
      <c r="BJ45881" s="201"/>
    </row>
    <row r="45882" spans="62:62" x14ac:dyDescent="0.2">
      <c r="BJ45882" s="201"/>
    </row>
    <row r="45883" spans="62:62" x14ac:dyDescent="0.2">
      <c r="BJ45883" s="201"/>
    </row>
    <row r="45884" spans="62:62" x14ac:dyDescent="0.2">
      <c r="BJ45884" s="201"/>
    </row>
    <row r="45885" spans="62:62" x14ac:dyDescent="0.2">
      <c r="BJ45885" s="201"/>
    </row>
    <row r="45886" spans="62:62" x14ac:dyDescent="0.2">
      <c r="BJ45886" s="201"/>
    </row>
    <row r="45887" spans="62:62" x14ac:dyDescent="0.2">
      <c r="BJ45887" s="201"/>
    </row>
    <row r="45888" spans="62:62" x14ac:dyDescent="0.2">
      <c r="BJ45888" s="201"/>
    </row>
    <row r="45889" spans="62:62" x14ac:dyDescent="0.2">
      <c r="BJ45889" s="201"/>
    </row>
    <row r="45890" spans="62:62" x14ac:dyDescent="0.2">
      <c r="BJ45890" s="201"/>
    </row>
    <row r="45891" spans="62:62" x14ac:dyDescent="0.2">
      <c r="BJ45891" s="201"/>
    </row>
    <row r="45892" spans="62:62" x14ac:dyDescent="0.2">
      <c r="BJ45892" s="201"/>
    </row>
    <row r="45893" spans="62:62" x14ac:dyDescent="0.2">
      <c r="BJ45893" s="201"/>
    </row>
    <row r="45894" spans="62:62" x14ac:dyDescent="0.2">
      <c r="BJ45894" s="201"/>
    </row>
    <row r="45895" spans="62:62" x14ac:dyDescent="0.2">
      <c r="BJ45895" s="201"/>
    </row>
    <row r="45896" spans="62:62" x14ac:dyDescent="0.2">
      <c r="BJ45896" s="201"/>
    </row>
    <row r="45897" spans="62:62" x14ac:dyDescent="0.2">
      <c r="BJ45897" s="201"/>
    </row>
    <row r="45898" spans="62:62" x14ac:dyDescent="0.2">
      <c r="BJ45898" s="201"/>
    </row>
    <row r="45899" spans="62:62" x14ac:dyDescent="0.2">
      <c r="BJ45899" s="201"/>
    </row>
    <row r="45900" spans="62:62" x14ac:dyDescent="0.2">
      <c r="BJ45900" s="201"/>
    </row>
    <row r="45901" spans="62:62" x14ac:dyDescent="0.2">
      <c r="BJ45901" s="201"/>
    </row>
    <row r="45902" spans="62:62" x14ac:dyDescent="0.2">
      <c r="BJ45902" s="201"/>
    </row>
    <row r="45903" spans="62:62" x14ac:dyDescent="0.2">
      <c r="BJ45903" s="201"/>
    </row>
    <row r="45904" spans="62:62" x14ac:dyDescent="0.2">
      <c r="BJ45904" s="201"/>
    </row>
    <row r="45905" spans="62:62" x14ac:dyDescent="0.2">
      <c r="BJ45905" s="201"/>
    </row>
    <row r="45906" spans="62:62" x14ac:dyDescent="0.2">
      <c r="BJ45906" s="201"/>
    </row>
    <row r="45907" spans="62:62" x14ac:dyDescent="0.2">
      <c r="BJ45907" s="201"/>
    </row>
    <row r="45908" spans="62:62" x14ac:dyDescent="0.2">
      <c r="BJ45908" s="201"/>
    </row>
    <row r="45909" spans="62:62" x14ac:dyDescent="0.2">
      <c r="BJ45909" s="201"/>
    </row>
    <row r="45910" spans="62:62" x14ac:dyDescent="0.2">
      <c r="BJ45910" s="201"/>
    </row>
    <row r="45911" spans="62:62" x14ac:dyDescent="0.2">
      <c r="BJ45911" s="201"/>
    </row>
    <row r="45912" spans="62:62" x14ac:dyDescent="0.2">
      <c r="BJ45912" s="201"/>
    </row>
    <row r="45913" spans="62:62" x14ac:dyDescent="0.2">
      <c r="BJ45913" s="201"/>
    </row>
    <row r="45914" spans="62:62" x14ac:dyDescent="0.2">
      <c r="BJ45914" s="201"/>
    </row>
    <row r="45915" spans="62:62" x14ac:dyDescent="0.2">
      <c r="BJ45915" s="201"/>
    </row>
    <row r="45916" spans="62:62" x14ac:dyDescent="0.2">
      <c r="BJ45916" s="201"/>
    </row>
    <row r="45917" spans="62:62" x14ac:dyDescent="0.2">
      <c r="BJ45917" s="201"/>
    </row>
    <row r="45918" spans="62:62" x14ac:dyDescent="0.2">
      <c r="BJ45918" s="201"/>
    </row>
    <row r="45919" spans="62:62" x14ac:dyDescent="0.2">
      <c r="BJ45919" s="201"/>
    </row>
    <row r="45920" spans="62:62" x14ac:dyDescent="0.2">
      <c r="BJ45920" s="201"/>
    </row>
    <row r="45921" spans="62:62" x14ac:dyDescent="0.2">
      <c r="BJ45921" s="201"/>
    </row>
    <row r="45922" spans="62:62" x14ac:dyDescent="0.2">
      <c r="BJ45922" s="201"/>
    </row>
    <row r="45923" spans="62:62" x14ac:dyDescent="0.2">
      <c r="BJ45923" s="201"/>
    </row>
    <row r="45924" spans="62:62" x14ac:dyDescent="0.2">
      <c r="BJ45924" s="201"/>
    </row>
    <row r="45925" spans="62:62" x14ac:dyDescent="0.2">
      <c r="BJ45925" s="201"/>
    </row>
    <row r="45926" spans="62:62" x14ac:dyDescent="0.2">
      <c r="BJ45926" s="201"/>
    </row>
    <row r="45927" spans="62:62" x14ac:dyDescent="0.2">
      <c r="BJ45927" s="201"/>
    </row>
    <row r="45928" spans="62:62" x14ac:dyDescent="0.2">
      <c r="BJ45928" s="201"/>
    </row>
    <row r="45929" spans="62:62" x14ac:dyDescent="0.2">
      <c r="BJ45929" s="201"/>
    </row>
    <row r="45930" spans="62:62" x14ac:dyDescent="0.2">
      <c r="BJ45930" s="201"/>
    </row>
    <row r="45931" spans="62:62" x14ac:dyDescent="0.2">
      <c r="BJ45931" s="201"/>
    </row>
    <row r="45932" spans="62:62" x14ac:dyDescent="0.2">
      <c r="BJ45932" s="201"/>
    </row>
    <row r="45933" spans="62:62" x14ac:dyDescent="0.2">
      <c r="BJ45933" s="201"/>
    </row>
    <row r="45934" spans="62:62" x14ac:dyDescent="0.2">
      <c r="BJ45934" s="201"/>
    </row>
    <row r="45935" spans="62:62" x14ac:dyDescent="0.2">
      <c r="BJ45935" s="201"/>
    </row>
    <row r="45936" spans="62:62" x14ac:dyDescent="0.2">
      <c r="BJ45936" s="201"/>
    </row>
    <row r="45937" spans="62:62" x14ac:dyDescent="0.2">
      <c r="BJ45937" s="201"/>
    </row>
    <row r="45938" spans="62:62" x14ac:dyDescent="0.2">
      <c r="BJ45938" s="201"/>
    </row>
    <row r="45939" spans="62:62" x14ac:dyDescent="0.2">
      <c r="BJ45939" s="201"/>
    </row>
    <row r="45940" spans="62:62" x14ac:dyDescent="0.2">
      <c r="BJ45940" s="201"/>
    </row>
    <row r="45941" spans="62:62" x14ac:dyDescent="0.2">
      <c r="BJ45941" s="201"/>
    </row>
    <row r="45942" spans="62:62" x14ac:dyDescent="0.2">
      <c r="BJ45942" s="201"/>
    </row>
    <row r="45943" spans="62:62" x14ac:dyDescent="0.2">
      <c r="BJ45943" s="201"/>
    </row>
    <row r="45944" spans="62:62" x14ac:dyDescent="0.2">
      <c r="BJ45944" s="201"/>
    </row>
    <row r="45945" spans="62:62" x14ac:dyDescent="0.2">
      <c r="BJ45945" s="201"/>
    </row>
    <row r="45946" spans="62:62" x14ac:dyDescent="0.2">
      <c r="BJ45946" s="201"/>
    </row>
    <row r="45947" spans="62:62" x14ac:dyDescent="0.2">
      <c r="BJ45947" s="201"/>
    </row>
    <row r="45948" spans="62:62" x14ac:dyDescent="0.2">
      <c r="BJ45948" s="201"/>
    </row>
    <row r="45949" spans="62:62" x14ac:dyDescent="0.2">
      <c r="BJ45949" s="201"/>
    </row>
    <row r="45950" spans="62:62" x14ac:dyDescent="0.2">
      <c r="BJ45950" s="201"/>
    </row>
    <row r="45951" spans="62:62" x14ac:dyDescent="0.2">
      <c r="BJ45951" s="201"/>
    </row>
    <row r="45952" spans="62:62" x14ac:dyDescent="0.2">
      <c r="BJ45952" s="201"/>
    </row>
    <row r="45953" spans="62:62" x14ac:dyDescent="0.2">
      <c r="BJ45953" s="201"/>
    </row>
    <row r="45954" spans="62:62" x14ac:dyDescent="0.2">
      <c r="BJ45954" s="201"/>
    </row>
    <row r="45955" spans="62:62" x14ac:dyDescent="0.2">
      <c r="BJ45955" s="201"/>
    </row>
    <row r="45956" spans="62:62" x14ac:dyDescent="0.2">
      <c r="BJ45956" s="201"/>
    </row>
    <row r="45957" spans="62:62" x14ac:dyDescent="0.2">
      <c r="BJ45957" s="201"/>
    </row>
    <row r="45958" spans="62:62" x14ac:dyDescent="0.2">
      <c r="BJ45958" s="201"/>
    </row>
    <row r="45959" spans="62:62" x14ac:dyDescent="0.2">
      <c r="BJ45959" s="201"/>
    </row>
    <row r="45960" spans="62:62" x14ac:dyDescent="0.2">
      <c r="BJ45960" s="201"/>
    </row>
    <row r="45961" spans="62:62" x14ac:dyDescent="0.2">
      <c r="BJ45961" s="201"/>
    </row>
    <row r="45962" spans="62:62" x14ac:dyDescent="0.2">
      <c r="BJ45962" s="201"/>
    </row>
    <row r="45963" spans="62:62" x14ac:dyDescent="0.2">
      <c r="BJ45963" s="201"/>
    </row>
    <row r="45964" spans="62:62" x14ac:dyDescent="0.2">
      <c r="BJ45964" s="201"/>
    </row>
    <row r="45965" spans="62:62" x14ac:dyDescent="0.2">
      <c r="BJ45965" s="201"/>
    </row>
    <row r="45966" spans="62:62" x14ac:dyDescent="0.2">
      <c r="BJ45966" s="201"/>
    </row>
    <row r="45967" spans="62:62" x14ac:dyDescent="0.2">
      <c r="BJ45967" s="201"/>
    </row>
    <row r="45968" spans="62:62" x14ac:dyDescent="0.2">
      <c r="BJ45968" s="201"/>
    </row>
    <row r="45969" spans="62:62" x14ac:dyDescent="0.2">
      <c r="BJ45969" s="201"/>
    </row>
    <row r="45970" spans="62:62" x14ac:dyDescent="0.2">
      <c r="BJ45970" s="201"/>
    </row>
    <row r="45971" spans="62:62" x14ac:dyDescent="0.2">
      <c r="BJ45971" s="201"/>
    </row>
    <row r="45972" spans="62:62" x14ac:dyDescent="0.2">
      <c r="BJ45972" s="201"/>
    </row>
    <row r="45973" spans="62:62" x14ac:dyDescent="0.2">
      <c r="BJ45973" s="201"/>
    </row>
    <row r="45974" spans="62:62" x14ac:dyDescent="0.2">
      <c r="BJ45974" s="201"/>
    </row>
    <row r="45975" spans="62:62" x14ac:dyDescent="0.2">
      <c r="BJ45975" s="201"/>
    </row>
    <row r="45976" spans="62:62" x14ac:dyDescent="0.2">
      <c r="BJ45976" s="201"/>
    </row>
    <row r="45977" spans="62:62" x14ac:dyDescent="0.2">
      <c r="BJ45977" s="201"/>
    </row>
    <row r="45978" spans="62:62" x14ac:dyDescent="0.2">
      <c r="BJ45978" s="201"/>
    </row>
    <row r="45979" spans="62:62" x14ac:dyDescent="0.2">
      <c r="BJ45979" s="201"/>
    </row>
    <row r="45980" spans="62:62" x14ac:dyDescent="0.2">
      <c r="BJ45980" s="201"/>
    </row>
    <row r="45981" spans="62:62" x14ac:dyDescent="0.2">
      <c r="BJ45981" s="201"/>
    </row>
    <row r="45982" spans="62:62" x14ac:dyDescent="0.2">
      <c r="BJ45982" s="201"/>
    </row>
    <row r="45983" spans="62:62" x14ac:dyDescent="0.2">
      <c r="BJ45983" s="201"/>
    </row>
    <row r="45984" spans="62:62" x14ac:dyDescent="0.2">
      <c r="BJ45984" s="201"/>
    </row>
    <row r="45985" spans="62:62" x14ac:dyDescent="0.2">
      <c r="BJ45985" s="201"/>
    </row>
    <row r="45986" spans="62:62" x14ac:dyDescent="0.2">
      <c r="BJ45986" s="201"/>
    </row>
    <row r="45987" spans="62:62" x14ac:dyDescent="0.2">
      <c r="BJ45987" s="201"/>
    </row>
    <row r="45988" spans="62:62" x14ac:dyDescent="0.2">
      <c r="BJ45988" s="201"/>
    </row>
    <row r="45989" spans="62:62" x14ac:dyDescent="0.2">
      <c r="BJ45989" s="201"/>
    </row>
    <row r="45990" spans="62:62" x14ac:dyDescent="0.2">
      <c r="BJ45990" s="201"/>
    </row>
    <row r="45991" spans="62:62" x14ac:dyDescent="0.2">
      <c r="BJ45991" s="201"/>
    </row>
    <row r="45992" spans="62:62" x14ac:dyDescent="0.2">
      <c r="BJ45992" s="201"/>
    </row>
    <row r="45993" spans="62:62" x14ac:dyDescent="0.2">
      <c r="BJ45993" s="201"/>
    </row>
    <row r="45994" spans="62:62" x14ac:dyDescent="0.2">
      <c r="BJ45994" s="201"/>
    </row>
    <row r="45995" spans="62:62" x14ac:dyDescent="0.2">
      <c r="BJ45995" s="201"/>
    </row>
    <row r="45996" spans="62:62" x14ac:dyDescent="0.2">
      <c r="BJ45996" s="201"/>
    </row>
    <row r="45997" spans="62:62" x14ac:dyDescent="0.2">
      <c r="BJ45997" s="201"/>
    </row>
    <row r="45998" spans="62:62" x14ac:dyDescent="0.2">
      <c r="BJ45998" s="201"/>
    </row>
    <row r="45999" spans="62:62" x14ac:dyDescent="0.2">
      <c r="BJ45999" s="201"/>
    </row>
    <row r="46000" spans="62:62" x14ac:dyDescent="0.2">
      <c r="BJ46000" s="201"/>
    </row>
    <row r="46001" spans="62:62" x14ac:dyDescent="0.2">
      <c r="BJ46001" s="201"/>
    </row>
    <row r="46002" spans="62:62" x14ac:dyDescent="0.2">
      <c r="BJ46002" s="201"/>
    </row>
    <row r="46003" spans="62:62" x14ac:dyDescent="0.2">
      <c r="BJ46003" s="201"/>
    </row>
    <row r="46004" spans="62:62" x14ac:dyDescent="0.2">
      <c r="BJ46004" s="201"/>
    </row>
    <row r="46005" spans="62:62" x14ac:dyDescent="0.2">
      <c r="BJ46005" s="201"/>
    </row>
    <row r="46006" spans="62:62" x14ac:dyDescent="0.2">
      <c r="BJ46006" s="201"/>
    </row>
    <row r="46007" spans="62:62" x14ac:dyDescent="0.2">
      <c r="BJ46007" s="201"/>
    </row>
    <row r="46008" spans="62:62" x14ac:dyDescent="0.2">
      <c r="BJ46008" s="201"/>
    </row>
    <row r="46009" spans="62:62" x14ac:dyDescent="0.2">
      <c r="BJ46009" s="201"/>
    </row>
    <row r="46010" spans="62:62" x14ac:dyDescent="0.2">
      <c r="BJ46010" s="201"/>
    </row>
    <row r="46011" spans="62:62" x14ac:dyDescent="0.2">
      <c r="BJ46011" s="201"/>
    </row>
    <row r="46012" spans="62:62" x14ac:dyDescent="0.2">
      <c r="BJ46012" s="201"/>
    </row>
    <row r="46013" spans="62:62" x14ac:dyDescent="0.2">
      <c r="BJ46013" s="201"/>
    </row>
    <row r="46014" spans="62:62" x14ac:dyDescent="0.2">
      <c r="BJ46014" s="201"/>
    </row>
    <row r="46015" spans="62:62" x14ac:dyDescent="0.2">
      <c r="BJ46015" s="201"/>
    </row>
    <row r="46016" spans="62:62" x14ac:dyDescent="0.2">
      <c r="BJ46016" s="201"/>
    </row>
    <row r="46017" spans="62:62" x14ac:dyDescent="0.2">
      <c r="BJ46017" s="201"/>
    </row>
    <row r="46018" spans="62:62" x14ac:dyDescent="0.2">
      <c r="BJ46018" s="201"/>
    </row>
    <row r="46019" spans="62:62" x14ac:dyDescent="0.2">
      <c r="BJ46019" s="201"/>
    </row>
    <row r="46020" spans="62:62" x14ac:dyDescent="0.2">
      <c r="BJ46020" s="201"/>
    </row>
    <row r="46021" spans="62:62" x14ac:dyDescent="0.2">
      <c r="BJ46021" s="201"/>
    </row>
    <row r="46022" spans="62:62" x14ac:dyDescent="0.2">
      <c r="BJ46022" s="201"/>
    </row>
    <row r="46023" spans="62:62" x14ac:dyDescent="0.2">
      <c r="BJ46023" s="201"/>
    </row>
    <row r="46024" spans="62:62" x14ac:dyDescent="0.2">
      <c r="BJ46024" s="201"/>
    </row>
    <row r="46025" spans="62:62" x14ac:dyDescent="0.2">
      <c r="BJ46025" s="201"/>
    </row>
    <row r="46026" spans="62:62" x14ac:dyDescent="0.2">
      <c r="BJ46026" s="201"/>
    </row>
    <row r="46027" spans="62:62" x14ac:dyDescent="0.2">
      <c r="BJ46027" s="201"/>
    </row>
    <row r="46028" spans="62:62" x14ac:dyDescent="0.2">
      <c r="BJ46028" s="201"/>
    </row>
    <row r="46029" spans="62:62" x14ac:dyDescent="0.2">
      <c r="BJ46029" s="201"/>
    </row>
    <row r="46030" spans="62:62" x14ac:dyDescent="0.2">
      <c r="BJ46030" s="201"/>
    </row>
    <row r="46031" spans="62:62" x14ac:dyDescent="0.2">
      <c r="BJ46031" s="201"/>
    </row>
    <row r="46032" spans="62:62" x14ac:dyDescent="0.2">
      <c r="BJ46032" s="201"/>
    </row>
    <row r="46033" spans="62:62" x14ac:dyDescent="0.2">
      <c r="BJ46033" s="201"/>
    </row>
    <row r="46034" spans="62:62" x14ac:dyDescent="0.2">
      <c r="BJ46034" s="201"/>
    </row>
    <row r="46035" spans="62:62" x14ac:dyDescent="0.2">
      <c r="BJ46035" s="201"/>
    </row>
    <row r="46036" spans="62:62" x14ac:dyDescent="0.2">
      <c r="BJ46036" s="201"/>
    </row>
    <row r="46037" spans="62:62" x14ac:dyDescent="0.2">
      <c r="BJ46037" s="201"/>
    </row>
    <row r="46038" spans="62:62" x14ac:dyDescent="0.2">
      <c r="BJ46038" s="201"/>
    </row>
    <row r="46039" spans="62:62" x14ac:dyDescent="0.2">
      <c r="BJ46039" s="201"/>
    </row>
    <row r="46040" spans="62:62" x14ac:dyDescent="0.2">
      <c r="BJ46040" s="201"/>
    </row>
    <row r="46041" spans="62:62" x14ac:dyDescent="0.2">
      <c r="BJ46041" s="201"/>
    </row>
    <row r="46042" spans="62:62" x14ac:dyDescent="0.2">
      <c r="BJ46042" s="201"/>
    </row>
    <row r="46043" spans="62:62" x14ac:dyDescent="0.2">
      <c r="BJ46043" s="201"/>
    </row>
    <row r="46044" spans="62:62" x14ac:dyDescent="0.2">
      <c r="BJ46044" s="201"/>
    </row>
    <row r="46045" spans="62:62" x14ac:dyDescent="0.2">
      <c r="BJ46045" s="201"/>
    </row>
    <row r="46046" spans="62:62" x14ac:dyDescent="0.2">
      <c r="BJ46046" s="201"/>
    </row>
    <row r="46047" spans="62:62" x14ac:dyDescent="0.2">
      <c r="BJ46047" s="201"/>
    </row>
    <row r="46048" spans="62:62" x14ac:dyDescent="0.2">
      <c r="BJ46048" s="201"/>
    </row>
    <row r="46049" spans="62:62" x14ac:dyDescent="0.2">
      <c r="BJ46049" s="201"/>
    </row>
    <row r="46050" spans="62:62" x14ac:dyDescent="0.2">
      <c r="BJ46050" s="201"/>
    </row>
    <row r="46051" spans="62:62" x14ac:dyDescent="0.2">
      <c r="BJ46051" s="201"/>
    </row>
    <row r="46052" spans="62:62" x14ac:dyDescent="0.2">
      <c r="BJ46052" s="201"/>
    </row>
    <row r="46053" spans="62:62" x14ac:dyDescent="0.2">
      <c r="BJ46053" s="201"/>
    </row>
    <row r="46054" spans="62:62" x14ac:dyDescent="0.2">
      <c r="BJ46054" s="201"/>
    </row>
    <row r="46055" spans="62:62" x14ac:dyDescent="0.2">
      <c r="BJ46055" s="201"/>
    </row>
    <row r="46056" spans="62:62" x14ac:dyDescent="0.2">
      <c r="BJ46056" s="201"/>
    </row>
    <row r="46057" spans="62:62" x14ac:dyDescent="0.2">
      <c r="BJ46057" s="201"/>
    </row>
    <row r="46058" spans="62:62" x14ac:dyDescent="0.2">
      <c r="BJ46058" s="201"/>
    </row>
    <row r="46059" spans="62:62" x14ac:dyDescent="0.2">
      <c r="BJ46059" s="201"/>
    </row>
    <row r="46060" spans="62:62" x14ac:dyDescent="0.2">
      <c r="BJ46060" s="201"/>
    </row>
    <row r="46061" spans="62:62" x14ac:dyDescent="0.2">
      <c r="BJ46061" s="201"/>
    </row>
    <row r="46062" spans="62:62" x14ac:dyDescent="0.2">
      <c r="BJ46062" s="201"/>
    </row>
    <row r="46063" spans="62:62" x14ac:dyDescent="0.2">
      <c r="BJ46063" s="201"/>
    </row>
    <row r="46064" spans="62:62" x14ac:dyDescent="0.2">
      <c r="BJ46064" s="201"/>
    </row>
    <row r="46065" spans="62:62" x14ac:dyDescent="0.2">
      <c r="BJ46065" s="201"/>
    </row>
    <row r="46066" spans="62:62" x14ac:dyDescent="0.2">
      <c r="BJ46066" s="201"/>
    </row>
    <row r="46067" spans="62:62" x14ac:dyDescent="0.2">
      <c r="BJ46067" s="201"/>
    </row>
    <row r="46068" spans="62:62" x14ac:dyDescent="0.2">
      <c r="BJ46068" s="201"/>
    </row>
    <row r="46069" spans="62:62" x14ac:dyDescent="0.2">
      <c r="BJ46069" s="201"/>
    </row>
    <row r="46070" spans="62:62" x14ac:dyDescent="0.2">
      <c r="BJ46070" s="201"/>
    </row>
    <row r="46071" spans="62:62" x14ac:dyDescent="0.2">
      <c r="BJ46071" s="201"/>
    </row>
    <row r="46072" spans="62:62" x14ac:dyDescent="0.2">
      <c r="BJ46072" s="201"/>
    </row>
    <row r="46073" spans="62:62" x14ac:dyDescent="0.2">
      <c r="BJ46073" s="201"/>
    </row>
    <row r="46074" spans="62:62" x14ac:dyDescent="0.2">
      <c r="BJ46074" s="201"/>
    </row>
    <row r="46075" spans="62:62" x14ac:dyDescent="0.2">
      <c r="BJ46075" s="201"/>
    </row>
    <row r="46076" spans="62:62" x14ac:dyDescent="0.2">
      <c r="BJ46076" s="201"/>
    </row>
    <row r="46077" spans="62:62" x14ac:dyDescent="0.2">
      <c r="BJ46077" s="201"/>
    </row>
    <row r="46078" spans="62:62" x14ac:dyDescent="0.2">
      <c r="BJ46078" s="201"/>
    </row>
    <row r="46079" spans="62:62" x14ac:dyDescent="0.2">
      <c r="BJ46079" s="201"/>
    </row>
    <row r="46080" spans="62:62" x14ac:dyDescent="0.2">
      <c r="BJ46080" s="201"/>
    </row>
    <row r="46081" spans="62:62" x14ac:dyDescent="0.2">
      <c r="BJ46081" s="201"/>
    </row>
    <row r="46082" spans="62:62" x14ac:dyDescent="0.2">
      <c r="BJ46082" s="201"/>
    </row>
    <row r="46083" spans="62:62" x14ac:dyDescent="0.2">
      <c r="BJ46083" s="201"/>
    </row>
    <row r="46084" spans="62:62" x14ac:dyDescent="0.2">
      <c r="BJ46084" s="201"/>
    </row>
    <row r="46085" spans="62:62" x14ac:dyDescent="0.2">
      <c r="BJ46085" s="201"/>
    </row>
    <row r="46086" spans="62:62" x14ac:dyDescent="0.2">
      <c r="BJ46086" s="201"/>
    </row>
    <row r="46087" spans="62:62" x14ac:dyDescent="0.2">
      <c r="BJ46087" s="201"/>
    </row>
    <row r="46088" spans="62:62" x14ac:dyDescent="0.2">
      <c r="BJ46088" s="201"/>
    </row>
    <row r="46089" spans="62:62" x14ac:dyDescent="0.2">
      <c r="BJ46089" s="201"/>
    </row>
    <row r="46090" spans="62:62" x14ac:dyDescent="0.2">
      <c r="BJ46090" s="201"/>
    </row>
    <row r="46091" spans="62:62" x14ac:dyDescent="0.2">
      <c r="BJ46091" s="201"/>
    </row>
    <row r="46092" spans="62:62" x14ac:dyDescent="0.2">
      <c r="BJ46092" s="201"/>
    </row>
    <row r="46093" spans="62:62" x14ac:dyDescent="0.2">
      <c r="BJ46093" s="201"/>
    </row>
    <row r="46094" spans="62:62" x14ac:dyDescent="0.2">
      <c r="BJ46094" s="201"/>
    </row>
    <row r="46095" spans="62:62" x14ac:dyDescent="0.2">
      <c r="BJ46095" s="201"/>
    </row>
    <row r="46096" spans="62:62" x14ac:dyDescent="0.2">
      <c r="BJ46096" s="201"/>
    </row>
    <row r="46097" spans="62:62" x14ac:dyDescent="0.2">
      <c r="BJ46097" s="201"/>
    </row>
    <row r="46098" spans="62:62" x14ac:dyDescent="0.2">
      <c r="BJ46098" s="201"/>
    </row>
    <row r="46099" spans="62:62" x14ac:dyDescent="0.2">
      <c r="BJ46099" s="201"/>
    </row>
    <row r="46100" spans="62:62" x14ac:dyDescent="0.2">
      <c r="BJ46100" s="201"/>
    </row>
    <row r="46101" spans="62:62" x14ac:dyDescent="0.2">
      <c r="BJ46101" s="201"/>
    </row>
    <row r="46102" spans="62:62" x14ac:dyDescent="0.2">
      <c r="BJ46102" s="201"/>
    </row>
    <row r="46103" spans="62:62" x14ac:dyDescent="0.2">
      <c r="BJ46103" s="201"/>
    </row>
    <row r="46104" spans="62:62" x14ac:dyDescent="0.2">
      <c r="BJ46104" s="201"/>
    </row>
    <row r="46105" spans="62:62" x14ac:dyDescent="0.2">
      <c r="BJ46105" s="201"/>
    </row>
    <row r="46106" spans="62:62" x14ac:dyDescent="0.2">
      <c r="BJ46106" s="201"/>
    </row>
    <row r="46107" spans="62:62" x14ac:dyDescent="0.2">
      <c r="BJ46107" s="201"/>
    </row>
    <row r="46108" spans="62:62" x14ac:dyDescent="0.2">
      <c r="BJ46108" s="201"/>
    </row>
    <row r="46109" spans="62:62" x14ac:dyDescent="0.2">
      <c r="BJ46109" s="201"/>
    </row>
    <row r="46110" spans="62:62" x14ac:dyDescent="0.2">
      <c r="BJ46110" s="201"/>
    </row>
    <row r="46111" spans="62:62" x14ac:dyDescent="0.2">
      <c r="BJ46111" s="201"/>
    </row>
    <row r="46112" spans="62:62" x14ac:dyDescent="0.2">
      <c r="BJ46112" s="201"/>
    </row>
    <row r="46113" spans="62:62" x14ac:dyDescent="0.2">
      <c r="BJ46113" s="201"/>
    </row>
    <row r="46114" spans="62:62" x14ac:dyDescent="0.2">
      <c r="BJ46114" s="201"/>
    </row>
    <row r="46115" spans="62:62" x14ac:dyDescent="0.2">
      <c r="BJ46115" s="201"/>
    </row>
    <row r="46116" spans="62:62" x14ac:dyDescent="0.2">
      <c r="BJ46116" s="201"/>
    </row>
    <row r="46117" spans="62:62" x14ac:dyDescent="0.2">
      <c r="BJ46117" s="201"/>
    </row>
    <row r="46118" spans="62:62" x14ac:dyDescent="0.2">
      <c r="BJ46118" s="201"/>
    </row>
    <row r="46119" spans="62:62" x14ac:dyDescent="0.2">
      <c r="BJ46119" s="201"/>
    </row>
    <row r="46120" spans="62:62" x14ac:dyDescent="0.2">
      <c r="BJ46120" s="201"/>
    </row>
    <row r="46121" spans="62:62" x14ac:dyDescent="0.2">
      <c r="BJ46121" s="201"/>
    </row>
    <row r="46122" spans="62:62" x14ac:dyDescent="0.2">
      <c r="BJ46122" s="201"/>
    </row>
    <row r="46123" spans="62:62" x14ac:dyDescent="0.2">
      <c r="BJ46123" s="201"/>
    </row>
    <row r="46124" spans="62:62" x14ac:dyDescent="0.2">
      <c r="BJ46124" s="201"/>
    </row>
    <row r="46125" spans="62:62" x14ac:dyDescent="0.2">
      <c r="BJ46125" s="201"/>
    </row>
    <row r="46126" spans="62:62" x14ac:dyDescent="0.2">
      <c r="BJ46126" s="201"/>
    </row>
    <row r="46127" spans="62:62" x14ac:dyDescent="0.2">
      <c r="BJ46127" s="201"/>
    </row>
    <row r="46128" spans="62:62" x14ac:dyDescent="0.2">
      <c r="BJ46128" s="201"/>
    </row>
    <row r="46129" spans="62:62" x14ac:dyDescent="0.2">
      <c r="BJ46129" s="201"/>
    </row>
    <row r="46130" spans="62:62" x14ac:dyDescent="0.2">
      <c r="BJ46130" s="201"/>
    </row>
    <row r="46131" spans="62:62" x14ac:dyDescent="0.2">
      <c r="BJ46131" s="201"/>
    </row>
    <row r="46132" spans="62:62" x14ac:dyDescent="0.2">
      <c r="BJ46132" s="201"/>
    </row>
    <row r="46133" spans="62:62" x14ac:dyDescent="0.2">
      <c r="BJ46133" s="201"/>
    </row>
    <row r="46134" spans="62:62" x14ac:dyDescent="0.2">
      <c r="BJ46134" s="201"/>
    </row>
    <row r="46135" spans="62:62" x14ac:dyDescent="0.2">
      <c r="BJ46135" s="201"/>
    </row>
    <row r="46136" spans="62:62" x14ac:dyDescent="0.2">
      <c r="BJ46136" s="201"/>
    </row>
    <row r="46137" spans="62:62" x14ac:dyDescent="0.2">
      <c r="BJ46137" s="201"/>
    </row>
    <row r="46138" spans="62:62" x14ac:dyDescent="0.2">
      <c r="BJ46138" s="201"/>
    </row>
    <row r="46139" spans="62:62" x14ac:dyDescent="0.2">
      <c r="BJ46139" s="201"/>
    </row>
    <row r="46140" spans="62:62" x14ac:dyDescent="0.2">
      <c r="BJ46140" s="201"/>
    </row>
    <row r="46141" spans="62:62" x14ac:dyDescent="0.2">
      <c r="BJ46141" s="201"/>
    </row>
    <row r="46142" spans="62:62" x14ac:dyDescent="0.2">
      <c r="BJ46142" s="201"/>
    </row>
    <row r="46143" spans="62:62" x14ac:dyDescent="0.2">
      <c r="BJ46143" s="201"/>
    </row>
    <row r="46144" spans="62:62" x14ac:dyDescent="0.2">
      <c r="BJ46144" s="201"/>
    </row>
    <row r="46145" spans="62:62" x14ac:dyDescent="0.2">
      <c r="BJ46145" s="201"/>
    </row>
    <row r="46146" spans="62:62" x14ac:dyDescent="0.2">
      <c r="BJ46146" s="201"/>
    </row>
    <row r="46147" spans="62:62" x14ac:dyDescent="0.2">
      <c r="BJ46147" s="201"/>
    </row>
    <row r="46148" spans="62:62" x14ac:dyDescent="0.2">
      <c r="BJ46148" s="201"/>
    </row>
    <row r="46149" spans="62:62" x14ac:dyDescent="0.2">
      <c r="BJ46149" s="201"/>
    </row>
    <row r="46150" spans="62:62" x14ac:dyDescent="0.2">
      <c r="BJ46150" s="201"/>
    </row>
    <row r="46151" spans="62:62" x14ac:dyDescent="0.2">
      <c r="BJ46151" s="201"/>
    </row>
    <row r="46152" spans="62:62" x14ac:dyDescent="0.2">
      <c r="BJ46152" s="201"/>
    </row>
    <row r="46153" spans="62:62" x14ac:dyDescent="0.2">
      <c r="BJ46153" s="201"/>
    </row>
    <row r="46154" spans="62:62" x14ac:dyDescent="0.2">
      <c r="BJ46154" s="201"/>
    </row>
    <row r="46155" spans="62:62" x14ac:dyDescent="0.2">
      <c r="BJ46155" s="201"/>
    </row>
    <row r="46156" spans="62:62" x14ac:dyDescent="0.2">
      <c r="BJ46156" s="201"/>
    </row>
    <row r="46157" spans="62:62" x14ac:dyDescent="0.2">
      <c r="BJ46157" s="201"/>
    </row>
    <row r="46158" spans="62:62" x14ac:dyDescent="0.2">
      <c r="BJ46158" s="201"/>
    </row>
    <row r="46159" spans="62:62" x14ac:dyDescent="0.2">
      <c r="BJ46159" s="201"/>
    </row>
    <row r="46160" spans="62:62" x14ac:dyDescent="0.2">
      <c r="BJ46160" s="201"/>
    </row>
    <row r="46161" spans="62:62" x14ac:dyDescent="0.2">
      <c r="BJ46161" s="201"/>
    </row>
    <row r="46162" spans="62:62" x14ac:dyDescent="0.2">
      <c r="BJ46162" s="201"/>
    </row>
    <row r="46163" spans="62:62" x14ac:dyDescent="0.2">
      <c r="BJ46163" s="201"/>
    </row>
    <row r="46164" spans="62:62" x14ac:dyDescent="0.2">
      <c r="BJ46164" s="201"/>
    </row>
    <row r="46165" spans="62:62" x14ac:dyDescent="0.2">
      <c r="BJ46165" s="201"/>
    </row>
    <row r="46166" spans="62:62" x14ac:dyDescent="0.2">
      <c r="BJ46166" s="201"/>
    </row>
    <row r="46167" spans="62:62" x14ac:dyDescent="0.2">
      <c r="BJ46167" s="201"/>
    </row>
    <row r="46168" spans="62:62" x14ac:dyDescent="0.2">
      <c r="BJ46168" s="201"/>
    </row>
    <row r="46169" spans="62:62" x14ac:dyDescent="0.2">
      <c r="BJ46169" s="201"/>
    </row>
    <row r="46170" spans="62:62" x14ac:dyDescent="0.2">
      <c r="BJ46170" s="201"/>
    </row>
    <row r="46171" spans="62:62" x14ac:dyDescent="0.2">
      <c r="BJ46171" s="201"/>
    </row>
    <row r="46172" spans="62:62" x14ac:dyDescent="0.2">
      <c r="BJ46172" s="201"/>
    </row>
    <row r="46173" spans="62:62" x14ac:dyDescent="0.2">
      <c r="BJ46173" s="201"/>
    </row>
    <row r="46174" spans="62:62" x14ac:dyDescent="0.2">
      <c r="BJ46174" s="201"/>
    </row>
    <row r="46175" spans="62:62" x14ac:dyDescent="0.2">
      <c r="BJ46175" s="201"/>
    </row>
    <row r="46176" spans="62:62" x14ac:dyDescent="0.2">
      <c r="BJ46176" s="201"/>
    </row>
    <row r="46177" spans="62:62" x14ac:dyDescent="0.2">
      <c r="BJ46177" s="201"/>
    </row>
    <row r="46178" spans="62:62" x14ac:dyDescent="0.2">
      <c r="BJ46178" s="201"/>
    </row>
    <row r="46179" spans="62:62" x14ac:dyDescent="0.2">
      <c r="BJ46179" s="201"/>
    </row>
    <row r="46180" spans="62:62" x14ac:dyDescent="0.2">
      <c r="BJ46180" s="201"/>
    </row>
    <row r="46181" spans="62:62" x14ac:dyDescent="0.2">
      <c r="BJ46181" s="201"/>
    </row>
    <row r="46182" spans="62:62" x14ac:dyDescent="0.2">
      <c r="BJ46182" s="201"/>
    </row>
    <row r="46183" spans="62:62" x14ac:dyDescent="0.2">
      <c r="BJ46183" s="201"/>
    </row>
    <row r="46184" spans="62:62" x14ac:dyDescent="0.2">
      <c r="BJ46184" s="201"/>
    </row>
    <row r="46185" spans="62:62" x14ac:dyDescent="0.2">
      <c r="BJ46185" s="201"/>
    </row>
    <row r="46186" spans="62:62" x14ac:dyDescent="0.2">
      <c r="BJ46186" s="201"/>
    </row>
    <row r="46187" spans="62:62" x14ac:dyDescent="0.2">
      <c r="BJ46187" s="201"/>
    </row>
    <row r="46188" spans="62:62" x14ac:dyDescent="0.2">
      <c r="BJ46188" s="201"/>
    </row>
    <row r="46189" spans="62:62" x14ac:dyDescent="0.2">
      <c r="BJ46189" s="201"/>
    </row>
    <row r="46190" spans="62:62" x14ac:dyDescent="0.2">
      <c r="BJ46190" s="201"/>
    </row>
    <row r="46191" spans="62:62" x14ac:dyDescent="0.2">
      <c r="BJ46191" s="201"/>
    </row>
    <row r="46192" spans="62:62" x14ac:dyDescent="0.2">
      <c r="BJ46192" s="201"/>
    </row>
    <row r="46193" spans="62:62" x14ac:dyDescent="0.2">
      <c r="BJ46193" s="201"/>
    </row>
    <row r="46194" spans="62:62" x14ac:dyDescent="0.2">
      <c r="BJ46194" s="201"/>
    </row>
    <row r="46195" spans="62:62" x14ac:dyDescent="0.2">
      <c r="BJ46195" s="201"/>
    </row>
    <row r="46196" spans="62:62" x14ac:dyDescent="0.2">
      <c r="BJ46196" s="201"/>
    </row>
    <row r="46197" spans="62:62" x14ac:dyDescent="0.2">
      <c r="BJ46197" s="201"/>
    </row>
    <row r="46198" spans="62:62" x14ac:dyDescent="0.2">
      <c r="BJ46198" s="201"/>
    </row>
    <row r="46199" spans="62:62" x14ac:dyDescent="0.2">
      <c r="BJ46199" s="201"/>
    </row>
    <row r="46200" spans="62:62" x14ac:dyDescent="0.2">
      <c r="BJ46200" s="201"/>
    </row>
    <row r="46201" spans="62:62" x14ac:dyDescent="0.2">
      <c r="BJ46201" s="201"/>
    </row>
    <row r="46202" spans="62:62" x14ac:dyDescent="0.2">
      <c r="BJ46202" s="201"/>
    </row>
    <row r="46203" spans="62:62" x14ac:dyDescent="0.2">
      <c r="BJ46203" s="201"/>
    </row>
    <row r="46204" spans="62:62" x14ac:dyDescent="0.2">
      <c r="BJ46204" s="201"/>
    </row>
    <row r="46205" spans="62:62" x14ac:dyDescent="0.2">
      <c r="BJ46205" s="201"/>
    </row>
    <row r="46206" spans="62:62" x14ac:dyDescent="0.2">
      <c r="BJ46206" s="201"/>
    </row>
    <row r="46207" spans="62:62" x14ac:dyDescent="0.2">
      <c r="BJ46207" s="201"/>
    </row>
    <row r="46208" spans="62:62" x14ac:dyDescent="0.2">
      <c r="BJ46208" s="201"/>
    </row>
    <row r="46209" spans="62:62" x14ac:dyDescent="0.2">
      <c r="BJ46209" s="201"/>
    </row>
    <row r="46210" spans="62:62" x14ac:dyDescent="0.2">
      <c r="BJ46210" s="201"/>
    </row>
    <row r="46211" spans="62:62" x14ac:dyDescent="0.2">
      <c r="BJ46211" s="201"/>
    </row>
    <row r="46212" spans="62:62" x14ac:dyDescent="0.2">
      <c r="BJ46212" s="201"/>
    </row>
    <row r="46213" spans="62:62" x14ac:dyDescent="0.2">
      <c r="BJ46213" s="201"/>
    </row>
    <row r="46214" spans="62:62" x14ac:dyDescent="0.2">
      <c r="BJ46214" s="201"/>
    </row>
    <row r="46215" spans="62:62" x14ac:dyDescent="0.2">
      <c r="BJ46215" s="201"/>
    </row>
    <row r="46216" spans="62:62" x14ac:dyDescent="0.2">
      <c r="BJ46216" s="201"/>
    </row>
    <row r="46217" spans="62:62" x14ac:dyDescent="0.2">
      <c r="BJ46217" s="201"/>
    </row>
    <row r="46218" spans="62:62" x14ac:dyDescent="0.2">
      <c r="BJ46218" s="201"/>
    </row>
    <row r="46219" spans="62:62" x14ac:dyDescent="0.2">
      <c r="BJ46219" s="201"/>
    </row>
    <row r="46220" spans="62:62" x14ac:dyDescent="0.2">
      <c r="BJ46220" s="201"/>
    </row>
    <row r="46221" spans="62:62" x14ac:dyDescent="0.2">
      <c r="BJ46221" s="201"/>
    </row>
    <row r="46222" spans="62:62" x14ac:dyDescent="0.2">
      <c r="BJ46222" s="201"/>
    </row>
    <row r="46223" spans="62:62" x14ac:dyDescent="0.2">
      <c r="BJ46223" s="201"/>
    </row>
    <row r="46224" spans="62:62" x14ac:dyDescent="0.2">
      <c r="BJ46224" s="201"/>
    </row>
    <row r="46225" spans="62:62" x14ac:dyDescent="0.2">
      <c r="BJ46225" s="201"/>
    </row>
    <row r="46226" spans="62:62" x14ac:dyDescent="0.2">
      <c r="BJ46226" s="201"/>
    </row>
    <row r="46227" spans="62:62" x14ac:dyDescent="0.2">
      <c r="BJ46227" s="201"/>
    </row>
    <row r="46228" spans="62:62" x14ac:dyDescent="0.2">
      <c r="BJ46228" s="201"/>
    </row>
    <row r="46229" spans="62:62" x14ac:dyDescent="0.2">
      <c r="BJ46229" s="201"/>
    </row>
    <row r="46230" spans="62:62" x14ac:dyDescent="0.2">
      <c r="BJ46230" s="201"/>
    </row>
    <row r="46231" spans="62:62" x14ac:dyDescent="0.2">
      <c r="BJ46231" s="201"/>
    </row>
    <row r="46232" spans="62:62" x14ac:dyDescent="0.2">
      <c r="BJ46232" s="201"/>
    </row>
    <row r="46233" spans="62:62" x14ac:dyDescent="0.2">
      <c r="BJ46233" s="201"/>
    </row>
    <row r="46234" spans="62:62" x14ac:dyDescent="0.2">
      <c r="BJ46234" s="201"/>
    </row>
    <row r="46235" spans="62:62" x14ac:dyDescent="0.2">
      <c r="BJ46235" s="201"/>
    </row>
    <row r="46236" spans="62:62" x14ac:dyDescent="0.2">
      <c r="BJ46236" s="201"/>
    </row>
    <row r="46237" spans="62:62" x14ac:dyDescent="0.2">
      <c r="BJ46237" s="201"/>
    </row>
    <row r="46238" spans="62:62" x14ac:dyDescent="0.2">
      <c r="BJ46238" s="201"/>
    </row>
    <row r="46239" spans="62:62" x14ac:dyDescent="0.2">
      <c r="BJ46239" s="201"/>
    </row>
    <row r="46240" spans="62:62" x14ac:dyDescent="0.2">
      <c r="BJ46240" s="201"/>
    </row>
    <row r="46241" spans="62:62" x14ac:dyDescent="0.2">
      <c r="BJ46241" s="201"/>
    </row>
    <row r="46242" spans="62:62" x14ac:dyDescent="0.2">
      <c r="BJ46242" s="201"/>
    </row>
    <row r="46243" spans="62:62" x14ac:dyDescent="0.2">
      <c r="BJ46243" s="201"/>
    </row>
    <row r="46244" spans="62:62" x14ac:dyDescent="0.2">
      <c r="BJ46244" s="201"/>
    </row>
    <row r="46245" spans="62:62" x14ac:dyDescent="0.2">
      <c r="BJ46245" s="201"/>
    </row>
    <row r="46246" spans="62:62" x14ac:dyDescent="0.2">
      <c r="BJ46246" s="201"/>
    </row>
    <row r="46247" spans="62:62" x14ac:dyDescent="0.2">
      <c r="BJ46247" s="201"/>
    </row>
    <row r="46248" spans="62:62" x14ac:dyDescent="0.2">
      <c r="BJ46248" s="201"/>
    </row>
    <row r="46249" spans="62:62" x14ac:dyDescent="0.2">
      <c r="BJ46249" s="201"/>
    </row>
    <row r="46250" spans="62:62" x14ac:dyDescent="0.2">
      <c r="BJ46250" s="201"/>
    </row>
    <row r="46251" spans="62:62" x14ac:dyDescent="0.2">
      <c r="BJ46251" s="201"/>
    </row>
    <row r="46252" spans="62:62" x14ac:dyDescent="0.2">
      <c r="BJ46252" s="201"/>
    </row>
    <row r="46253" spans="62:62" x14ac:dyDescent="0.2">
      <c r="BJ46253" s="201"/>
    </row>
    <row r="46254" spans="62:62" x14ac:dyDescent="0.2">
      <c r="BJ46254" s="201"/>
    </row>
    <row r="46255" spans="62:62" x14ac:dyDescent="0.2">
      <c r="BJ46255" s="201"/>
    </row>
    <row r="46256" spans="62:62" x14ac:dyDescent="0.2">
      <c r="BJ46256" s="201"/>
    </row>
    <row r="46257" spans="62:62" x14ac:dyDescent="0.2">
      <c r="BJ46257" s="201"/>
    </row>
    <row r="46258" spans="62:62" x14ac:dyDescent="0.2">
      <c r="BJ46258" s="201"/>
    </row>
    <row r="46259" spans="62:62" x14ac:dyDescent="0.2">
      <c r="BJ46259" s="201"/>
    </row>
    <row r="46260" spans="62:62" x14ac:dyDescent="0.2">
      <c r="BJ46260" s="201"/>
    </row>
    <row r="46261" spans="62:62" x14ac:dyDescent="0.2">
      <c r="BJ46261" s="201"/>
    </row>
    <row r="46262" spans="62:62" x14ac:dyDescent="0.2">
      <c r="BJ46262" s="201"/>
    </row>
    <row r="46263" spans="62:62" x14ac:dyDescent="0.2">
      <c r="BJ46263" s="201"/>
    </row>
    <row r="46264" spans="62:62" x14ac:dyDescent="0.2">
      <c r="BJ46264" s="201"/>
    </row>
    <row r="46265" spans="62:62" x14ac:dyDescent="0.2">
      <c r="BJ46265" s="201"/>
    </row>
    <row r="46266" spans="62:62" x14ac:dyDescent="0.2">
      <c r="BJ46266" s="201"/>
    </row>
    <row r="46267" spans="62:62" x14ac:dyDescent="0.2">
      <c r="BJ46267" s="201"/>
    </row>
    <row r="46268" spans="62:62" x14ac:dyDescent="0.2">
      <c r="BJ46268" s="201"/>
    </row>
    <row r="46269" spans="62:62" x14ac:dyDescent="0.2">
      <c r="BJ46269" s="201"/>
    </row>
    <row r="46270" spans="62:62" x14ac:dyDescent="0.2">
      <c r="BJ46270" s="201"/>
    </row>
    <row r="46271" spans="62:62" x14ac:dyDescent="0.2">
      <c r="BJ46271" s="201"/>
    </row>
    <row r="46272" spans="62:62" x14ac:dyDescent="0.2">
      <c r="BJ46272" s="201"/>
    </row>
    <row r="46273" spans="62:62" x14ac:dyDescent="0.2">
      <c r="BJ46273" s="201"/>
    </row>
    <row r="46274" spans="62:62" x14ac:dyDescent="0.2">
      <c r="BJ46274" s="201"/>
    </row>
    <row r="46275" spans="62:62" x14ac:dyDescent="0.2">
      <c r="BJ46275" s="201"/>
    </row>
    <row r="46276" spans="62:62" x14ac:dyDescent="0.2">
      <c r="BJ46276" s="201"/>
    </row>
    <row r="46277" spans="62:62" x14ac:dyDescent="0.2">
      <c r="BJ46277" s="201"/>
    </row>
    <row r="46278" spans="62:62" x14ac:dyDescent="0.2">
      <c r="BJ46278" s="201"/>
    </row>
    <row r="46279" spans="62:62" x14ac:dyDescent="0.2">
      <c r="BJ46279" s="201"/>
    </row>
    <row r="46280" spans="62:62" x14ac:dyDescent="0.2">
      <c r="BJ46280" s="201"/>
    </row>
    <row r="46281" spans="62:62" x14ac:dyDescent="0.2">
      <c r="BJ46281" s="201"/>
    </row>
    <row r="46282" spans="62:62" x14ac:dyDescent="0.2">
      <c r="BJ46282" s="201"/>
    </row>
    <row r="46283" spans="62:62" x14ac:dyDescent="0.2">
      <c r="BJ46283" s="201"/>
    </row>
    <row r="46284" spans="62:62" x14ac:dyDescent="0.2">
      <c r="BJ46284" s="201"/>
    </row>
    <row r="46285" spans="62:62" x14ac:dyDescent="0.2">
      <c r="BJ46285" s="201"/>
    </row>
    <row r="46286" spans="62:62" x14ac:dyDescent="0.2">
      <c r="BJ46286" s="201"/>
    </row>
    <row r="46287" spans="62:62" x14ac:dyDescent="0.2">
      <c r="BJ46287" s="201"/>
    </row>
    <row r="46288" spans="62:62" x14ac:dyDescent="0.2">
      <c r="BJ46288" s="201"/>
    </row>
    <row r="46289" spans="62:62" x14ac:dyDescent="0.2">
      <c r="BJ46289" s="201"/>
    </row>
    <row r="46290" spans="62:62" x14ac:dyDescent="0.2">
      <c r="BJ46290" s="201"/>
    </row>
    <row r="46291" spans="62:62" x14ac:dyDescent="0.2">
      <c r="BJ46291" s="201"/>
    </row>
    <row r="46292" spans="62:62" x14ac:dyDescent="0.2">
      <c r="BJ46292" s="201"/>
    </row>
    <row r="46293" spans="62:62" x14ac:dyDescent="0.2">
      <c r="BJ46293" s="201"/>
    </row>
    <row r="46294" spans="62:62" x14ac:dyDescent="0.2">
      <c r="BJ46294" s="201"/>
    </row>
    <row r="46295" spans="62:62" x14ac:dyDescent="0.2">
      <c r="BJ46295" s="201"/>
    </row>
    <row r="46296" spans="62:62" x14ac:dyDescent="0.2">
      <c r="BJ46296" s="201"/>
    </row>
    <row r="46297" spans="62:62" x14ac:dyDescent="0.2">
      <c r="BJ46297" s="201"/>
    </row>
    <row r="46298" spans="62:62" x14ac:dyDescent="0.2">
      <c r="BJ46298" s="201"/>
    </row>
    <row r="46299" spans="62:62" x14ac:dyDescent="0.2">
      <c r="BJ46299" s="201"/>
    </row>
    <row r="46300" spans="62:62" x14ac:dyDescent="0.2">
      <c r="BJ46300" s="201"/>
    </row>
    <row r="46301" spans="62:62" x14ac:dyDescent="0.2">
      <c r="BJ46301" s="201"/>
    </row>
    <row r="46302" spans="62:62" x14ac:dyDescent="0.2">
      <c r="BJ46302" s="201"/>
    </row>
    <row r="46303" spans="62:62" x14ac:dyDescent="0.2">
      <c r="BJ46303" s="201"/>
    </row>
    <row r="46304" spans="62:62" x14ac:dyDescent="0.2">
      <c r="BJ46304" s="201"/>
    </row>
    <row r="46305" spans="62:62" x14ac:dyDescent="0.2">
      <c r="BJ46305" s="201"/>
    </row>
    <row r="46306" spans="62:62" x14ac:dyDescent="0.2">
      <c r="BJ46306" s="201"/>
    </row>
    <row r="46307" spans="62:62" x14ac:dyDescent="0.2">
      <c r="BJ46307" s="201"/>
    </row>
    <row r="46308" spans="62:62" x14ac:dyDescent="0.2">
      <c r="BJ46308" s="201"/>
    </row>
    <row r="46309" spans="62:62" x14ac:dyDescent="0.2">
      <c r="BJ46309" s="201"/>
    </row>
    <row r="46310" spans="62:62" x14ac:dyDescent="0.2">
      <c r="BJ46310" s="201"/>
    </row>
    <row r="46311" spans="62:62" x14ac:dyDescent="0.2">
      <c r="BJ46311" s="201"/>
    </row>
    <row r="46312" spans="62:62" x14ac:dyDescent="0.2">
      <c r="BJ46312" s="201"/>
    </row>
    <row r="46313" spans="62:62" x14ac:dyDescent="0.2">
      <c r="BJ46313" s="201"/>
    </row>
    <row r="46314" spans="62:62" x14ac:dyDescent="0.2">
      <c r="BJ46314" s="201"/>
    </row>
    <row r="46315" spans="62:62" x14ac:dyDescent="0.2">
      <c r="BJ46315" s="201"/>
    </row>
    <row r="46316" spans="62:62" x14ac:dyDescent="0.2">
      <c r="BJ46316" s="201"/>
    </row>
    <row r="46317" spans="62:62" x14ac:dyDescent="0.2">
      <c r="BJ46317" s="201"/>
    </row>
    <row r="46318" spans="62:62" x14ac:dyDescent="0.2">
      <c r="BJ46318" s="201"/>
    </row>
    <row r="46319" spans="62:62" x14ac:dyDescent="0.2">
      <c r="BJ46319" s="201"/>
    </row>
    <row r="46320" spans="62:62" x14ac:dyDescent="0.2">
      <c r="BJ46320" s="201"/>
    </row>
    <row r="46321" spans="62:62" x14ac:dyDescent="0.2">
      <c r="BJ46321" s="201"/>
    </row>
    <row r="46322" spans="62:62" x14ac:dyDescent="0.2">
      <c r="BJ46322" s="201"/>
    </row>
    <row r="46323" spans="62:62" x14ac:dyDescent="0.2">
      <c r="BJ46323" s="201"/>
    </row>
    <row r="46324" spans="62:62" x14ac:dyDescent="0.2">
      <c r="BJ46324" s="201"/>
    </row>
    <row r="46325" spans="62:62" x14ac:dyDescent="0.2">
      <c r="BJ46325" s="201"/>
    </row>
    <row r="46326" spans="62:62" x14ac:dyDescent="0.2">
      <c r="BJ46326" s="201"/>
    </row>
    <row r="46327" spans="62:62" x14ac:dyDescent="0.2">
      <c r="BJ46327" s="201"/>
    </row>
    <row r="46328" spans="62:62" x14ac:dyDescent="0.2">
      <c r="BJ46328" s="201"/>
    </row>
    <row r="46329" spans="62:62" x14ac:dyDescent="0.2">
      <c r="BJ46329" s="201"/>
    </row>
    <row r="46330" spans="62:62" x14ac:dyDescent="0.2">
      <c r="BJ46330" s="201"/>
    </row>
    <row r="46331" spans="62:62" x14ac:dyDescent="0.2">
      <c r="BJ46331" s="201"/>
    </row>
    <row r="46332" spans="62:62" x14ac:dyDescent="0.2">
      <c r="BJ46332" s="201"/>
    </row>
    <row r="46333" spans="62:62" x14ac:dyDescent="0.2">
      <c r="BJ46333" s="201"/>
    </row>
    <row r="46334" spans="62:62" x14ac:dyDescent="0.2">
      <c r="BJ46334" s="201"/>
    </row>
    <row r="46335" spans="62:62" x14ac:dyDescent="0.2">
      <c r="BJ46335" s="201"/>
    </row>
    <row r="46336" spans="62:62" x14ac:dyDescent="0.2">
      <c r="BJ46336" s="201"/>
    </row>
    <row r="46337" spans="62:62" x14ac:dyDescent="0.2">
      <c r="BJ46337" s="201"/>
    </row>
    <row r="46338" spans="62:62" x14ac:dyDescent="0.2">
      <c r="BJ46338" s="201"/>
    </row>
    <row r="46339" spans="62:62" x14ac:dyDescent="0.2">
      <c r="BJ46339" s="201"/>
    </row>
    <row r="46340" spans="62:62" x14ac:dyDescent="0.2">
      <c r="BJ46340" s="201"/>
    </row>
    <row r="46341" spans="62:62" x14ac:dyDescent="0.2">
      <c r="BJ46341" s="201"/>
    </row>
    <row r="46342" spans="62:62" x14ac:dyDescent="0.2">
      <c r="BJ46342" s="201"/>
    </row>
    <row r="46343" spans="62:62" x14ac:dyDescent="0.2">
      <c r="BJ46343" s="201"/>
    </row>
    <row r="46344" spans="62:62" x14ac:dyDescent="0.2">
      <c r="BJ46344" s="201"/>
    </row>
    <row r="46345" spans="62:62" x14ac:dyDescent="0.2">
      <c r="BJ46345" s="201"/>
    </row>
    <row r="46346" spans="62:62" x14ac:dyDescent="0.2">
      <c r="BJ46346" s="201"/>
    </row>
    <row r="46347" spans="62:62" x14ac:dyDescent="0.2">
      <c r="BJ46347" s="201"/>
    </row>
    <row r="46348" spans="62:62" x14ac:dyDescent="0.2">
      <c r="BJ46348" s="201"/>
    </row>
    <row r="46349" spans="62:62" x14ac:dyDescent="0.2">
      <c r="BJ46349" s="201"/>
    </row>
    <row r="46350" spans="62:62" x14ac:dyDescent="0.2">
      <c r="BJ46350" s="201"/>
    </row>
    <row r="46351" spans="62:62" x14ac:dyDescent="0.2">
      <c r="BJ46351" s="201"/>
    </row>
    <row r="46352" spans="62:62" x14ac:dyDescent="0.2">
      <c r="BJ46352" s="201"/>
    </row>
    <row r="46353" spans="62:62" x14ac:dyDescent="0.2">
      <c r="BJ46353" s="201"/>
    </row>
    <row r="46354" spans="62:62" x14ac:dyDescent="0.2">
      <c r="BJ46354" s="201"/>
    </row>
    <row r="46355" spans="62:62" x14ac:dyDescent="0.2">
      <c r="BJ46355" s="201"/>
    </row>
    <row r="46356" spans="62:62" x14ac:dyDescent="0.2">
      <c r="BJ46356" s="201"/>
    </row>
    <row r="46357" spans="62:62" x14ac:dyDescent="0.2">
      <c r="BJ46357" s="201"/>
    </row>
    <row r="46358" spans="62:62" x14ac:dyDescent="0.2">
      <c r="BJ46358" s="201"/>
    </row>
    <row r="46359" spans="62:62" x14ac:dyDescent="0.2">
      <c r="BJ46359" s="201"/>
    </row>
    <row r="46360" spans="62:62" x14ac:dyDescent="0.2">
      <c r="BJ46360" s="201"/>
    </row>
    <row r="46361" spans="62:62" x14ac:dyDescent="0.2">
      <c r="BJ46361" s="201"/>
    </row>
    <row r="46362" spans="62:62" x14ac:dyDescent="0.2">
      <c r="BJ46362" s="201"/>
    </row>
    <row r="46363" spans="62:62" x14ac:dyDescent="0.2">
      <c r="BJ46363" s="201"/>
    </row>
    <row r="46364" spans="62:62" x14ac:dyDescent="0.2">
      <c r="BJ46364" s="201"/>
    </row>
    <row r="46365" spans="62:62" x14ac:dyDescent="0.2">
      <c r="BJ46365" s="201"/>
    </row>
    <row r="46366" spans="62:62" x14ac:dyDescent="0.2">
      <c r="BJ46366" s="201"/>
    </row>
    <row r="46367" spans="62:62" x14ac:dyDescent="0.2">
      <c r="BJ46367" s="201"/>
    </row>
    <row r="46368" spans="62:62" x14ac:dyDescent="0.2">
      <c r="BJ46368" s="201"/>
    </row>
    <row r="46369" spans="62:62" x14ac:dyDescent="0.2">
      <c r="BJ46369" s="201"/>
    </row>
    <row r="46370" spans="62:62" x14ac:dyDescent="0.2">
      <c r="BJ46370" s="201"/>
    </row>
    <row r="46371" spans="62:62" x14ac:dyDescent="0.2">
      <c r="BJ46371" s="201"/>
    </row>
    <row r="46372" spans="62:62" x14ac:dyDescent="0.2">
      <c r="BJ46372" s="201"/>
    </row>
    <row r="46373" spans="62:62" x14ac:dyDescent="0.2">
      <c r="BJ46373" s="201"/>
    </row>
    <row r="46374" spans="62:62" x14ac:dyDescent="0.2">
      <c r="BJ46374" s="201"/>
    </row>
    <row r="46375" spans="62:62" x14ac:dyDescent="0.2">
      <c r="BJ46375" s="201"/>
    </row>
    <row r="46376" spans="62:62" x14ac:dyDescent="0.2">
      <c r="BJ46376" s="201"/>
    </row>
    <row r="46377" spans="62:62" x14ac:dyDescent="0.2">
      <c r="BJ46377" s="201"/>
    </row>
    <row r="46378" spans="62:62" x14ac:dyDescent="0.2">
      <c r="BJ46378" s="201"/>
    </row>
    <row r="46379" spans="62:62" x14ac:dyDescent="0.2">
      <c r="BJ46379" s="201"/>
    </row>
    <row r="46380" spans="62:62" x14ac:dyDescent="0.2">
      <c r="BJ46380" s="201"/>
    </row>
    <row r="46381" spans="62:62" x14ac:dyDescent="0.2">
      <c r="BJ46381" s="201"/>
    </row>
    <row r="46382" spans="62:62" x14ac:dyDescent="0.2">
      <c r="BJ46382" s="201"/>
    </row>
    <row r="46383" spans="62:62" x14ac:dyDescent="0.2">
      <c r="BJ46383" s="201"/>
    </row>
    <row r="46384" spans="62:62" x14ac:dyDescent="0.2">
      <c r="BJ46384" s="201"/>
    </row>
    <row r="46385" spans="62:62" x14ac:dyDescent="0.2">
      <c r="BJ46385" s="201"/>
    </row>
    <row r="46386" spans="62:62" x14ac:dyDescent="0.2">
      <c r="BJ46386" s="201"/>
    </row>
    <row r="46387" spans="62:62" x14ac:dyDescent="0.2">
      <c r="BJ46387" s="201"/>
    </row>
    <row r="46388" spans="62:62" x14ac:dyDescent="0.2">
      <c r="BJ46388" s="201"/>
    </row>
    <row r="46389" spans="62:62" x14ac:dyDescent="0.2">
      <c r="BJ46389" s="201"/>
    </row>
    <row r="46390" spans="62:62" x14ac:dyDescent="0.2">
      <c r="BJ46390" s="201"/>
    </row>
    <row r="46391" spans="62:62" x14ac:dyDescent="0.2">
      <c r="BJ46391" s="201"/>
    </row>
    <row r="46392" spans="62:62" x14ac:dyDescent="0.2">
      <c r="BJ46392" s="201"/>
    </row>
    <row r="46393" spans="62:62" x14ac:dyDescent="0.2">
      <c r="BJ46393" s="201"/>
    </row>
    <row r="46394" spans="62:62" x14ac:dyDescent="0.2">
      <c r="BJ46394" s="201"/>
    </row>
    <row r="46395" spans="62:62" x14ac:dyDescent="0.2">
      <c r="BJ46395" s="201"/>
    </row>
    <row r="46396" spans="62:62" x14ac:dyDescent="0.2">
      <c r="BJ46396" s="201"/>
    </row>
    <row r="46397" spans="62:62" x14ac:dyDescent="0.2">
      <c r="BJ46397" s="201"/>
    </row>
    <row r="46398" spans="62:62" x14ac:dyDescent="0.2">
      <c r="BJ46398" s="201"/>
    </row>
    <row r="46399" spans="62:62" x14ac:dyDescent="0.2">
      <c r="BJ46399" s="201"/>
    </row>
    <row r="46400" spans="62:62" x14ac:dyDescent="0.2">
      <c r="BJ46400" s="201"/>
    </row>
    <row r="46401" spans="62:62" x14ac:dyDescent="0.2">
      <c r="BJ46401" s="201"/>
    </row>
    <row r="46402" spans="62:62" x14ac:dyDescent="0.2">
      <c r="BJ46402" s="201"/>
    </row>
    <row r="46403" spans="62:62" x14ac:dyDescent="0.2">
      <c r="BJ46403" s="201"/>
    </row>
    <row r="46404" spans="62:62" x14ac:dyDescent="0.2">
      <c r="BJ46404" s="201"/>
    </row>
    <row r="46405" spans="62:62" x14ac:dyDescent="0.2">
      <c r="BJ46405" s="201"/>
    </row>
    <row r="46406" spans="62:62" x14ac:dyDescent="0.2">
      <c r="BJ46406" s="201"/>
    </row>
    <row r="46407" spans="62:62" x14ac:dyDescent="0.2">
      <c r="BJ46407" s="201"/>
    </row>
    <row r="46408" spans="62:62" x14ac:dyDescent="0.2">
      <c r="BJ46408" s="201"/>
    </row>
    <row r="46409" spans="62:62" x14ac:dyDescent="0.2">
      <c r="BJ46409" s="201"/>
    </row>
    <row r="46410" spans="62:62" x14ac:dyDescent="0.2">
      <c r="BJ46410" s="201"/>
    </row>
    <row r="46411" spans="62:62" x14ac:dyDescent="0.2">
      <c r="BJ46411" s="201"/>
    </row>
    <row r="46412" spans="62:62" x14ac:dyDescent="0.2">
      <c r="BJ46412" s="201"/>
    </row>
    <row r="46413" spans="62:62" x14ac:dyDescent="0.2">
      <c r="BJ46413" s="201"/>
    </row>
    <row r="46414" spans="62:62" x14ac:dyDescent="0.2">
      <c r="BJ46414" s="201"/>
    </row>
    <row r="46415" spans="62:62" x14ac:dyDescent="0.2">
      <c r="BJ46415" s="201"/>
    </row>
    <row r="46416" spans="62:62" x14ac:dyDescent="0.2">
      <c r="BJ46416" s="201"/>
    </row>
    <row r="46417" spans="62:62" x14ac:dyDescent="0.2">
      <c r="BJ46417" s="201"/>
    </row>
    <row r="46418" spans="62:62" x14ac:dyDescent="0.2">
      <c r="BJ46418" s="201"/>
    </row>
    <row r="46419" spans="62:62" x14ac:dyDescent="0.2">
      <c r="BJ46419" s="201"/>
    </row>
    <row r="46420" spans="62:62" x14ac:dyDescent="0.2">
      <c r="BJ46420" s="201"/>
    </row>
    <row r="46421" spans="62:62" x14ac:dyDescent="0.2">
      <c r="BJ46421" s="201"/>
    </row>
    <row r="46422" spans="62:62" x14ac:dyDescent="0.2">
      <c r="BJ46422" s="201"/>
    </row>
    <row r="46423" spans="62:62" x14ac:dyDescent="0.2">
      <c r="BJ46423" s="201"/>
    </row>
    <row r="46424" spans="62:62" x14ac:dyDescent="0.2">
      <c r="BJ46424" s="201"/>
    </row>
    <row r="46425" spans="62:62" x14ac:dyDescent="0.2">
      <c r="BJ46425" s="201"/>
    </row>
    <row r="46426" spans="62:62" x14ac:dyDescent="0.2">
      <c r="BJ46426" s="201"/>
    </row>
    <row r="46427" spans="62:62" x14ac:dyDescent="0.2">
      <c r="BJ46427" s="201"/>
    </row>
    <row r="46428" spans="62:62" x14ac:dyDescent="0.2">
      <c r="BJ46428" s="201"/>
    </row>
    <row r="46429" spans="62:62" x14ac:dyDescent="0.2">
      <c r="BJ46429" s="201"/>
    </row>
    <row r="46430" spans="62:62" x14ac:dyDescent="0.2">
      <c r="BJ46430" s="201"/>
    </row>
    <row r="46431" spans="62:62" x14ac:dyDescent="0.2">
      <c r="BJ46431" s="201"/>
    </row>
    <row r="46432" spans="62:62" x14ac:dyDescent="0.2">
      <c r="BJ46432" s="201"/>
    </row>
    <row r="46433" spans="62:62" x14ac:dyDescent="0.2">
      <c r="BJ46433" s="201"/>
    </row>
    <row r="46434" spans="62:62" x14ac:dyDescent="0.2">
      <c r="BJ46434" s="201"/>
    </row>
    <row r="46435" spans="62:62" x14ac:dyDescent="0.2">
      <c r="BJ46435" s="201"/>
    </row>
    <row r="46436" spans="62:62" x14ac:dyDescent="0.2">
      <c r="BJ46436" s="201"/>
    </row>
    <row r="46437" spans="62:62" x14ac:dyDescent="0.2">
      <c r="BJ46437" s="201"/>
    </row>
    <row r="46438" spans="62:62" x14ac:dyDescent="0.2">
      <c r="BJ46438" s="201"/>
    </row>
    <row r="46439" spans="62:62" x14ac:dyDescent="0.2">
      <c r="BJ46439" s="201"/>
    </row>
    <row r="46440" spans="62:62" x14ac:dyDescent="0.2">
      <c r="BJ46440" s="201"/>
    </row>
    <row r="46441" spans="62:62" x14ac:dyDescent="0.2">
      <c r="BJ46441" s="201"/>
    </row>
    <row r="46442" spans="62:62" x14ac:dyDescent="0.2">
      <c r="BJ46442" s="201"/>
    </row>
    <row r="46443" spans="62:62" x14ac:dyDescent="0.2">
      <c r="BJ46443" s="201"/>
    </row>
    <row r="46444" spans="62:62" x14ac:dyDescent="0.2">
      <c r="BJ46444" s="201"/>
    </row>
    <row r="46445" spans="62:62" x14ac:dyDescent="0.2">
      <c r="BJ46445" s="201"/>
    </row>
    <row r="46446" spans="62:62" x14ac:dyDescent="0.2">
      <c r="BJ46446" s="201"/>
    </row>
    <row r="46447" spans="62:62" x14ac:dyDescent="0.2">
      <c r="BJ46447" s="201"/>
    </row>
    <row r="46448" spans="62:62" x14ac:dyDescent="0.2">
      <c r="BJ46448" s="201"/>
    </row>
    <row r="46449" spans="62:62" x14ac:dyDescent="0.2">
      <c r="BJ46449" s="201"/>
    </row>
    <row r="46450" spans="62:62" x14ac:dyDescent="0.2">
      <c r="BJ46450" s="201"/>
    </row>
    <row r="46451" spans="62:62" x14ac:dyDescent="0.2">
      <c r="BJ46451" s="201"/>
    </row>
    <row r="46452" spans="62:62" x14ac:dyDescent="0.2">
      <c r="BJ46452" s="201"/>
    </row>
    <row r="46453" spans="62:62" x14ac:dyDescent="0.2">
      <c r="BJ46453" s="201"/>
    </row>
    <row r="46454" spans="62:62" x14ac:dyDescent="0.2">
      <c r="BJ46454" s="201"/>
    </row>
    <row r="46455" spans="62:62" x14ac:dyDescent="0.2">
      <c r="BJ46455" s="201"/>
    </row>
    <row r="46456" spans="62:62" x14ac:dyDescent="0.2">
      <c r="BJ46456" s="201"/>
    </row>
    <row r="46457" spans="62:62" x14ac:dyDescent="0.2">
      <c r="BJ46457" s="201"/>
    </row>
    <row r="46458" spans="62:62" x14ac:dyDescent="0.2">
      <c r="BJ46458" s="201"/>
    </row>
    <row r="46459" spans="62:62" x14ac:dyDescent="0.2">
      <c r="BJ46459" s="201"/>
    </row>
    <row r="46460" spans="62:62" x14ac:dyDescent="0.2">
      <c r="BJ46460" s="201"/>
    </row>
    <row r="46461" spans="62:62" x14ac:dyDescent="0.2">
      <c r="BJ46461" s="201"/>
    </row>
    <row r="46462" spans="62:62" x14ac:dyDescent="0.2">
      <c r="BJ46462" s="201"/>
    </row>
    <row r="46463" spans="62:62" x14ac:dyDescent="0.2">
      <c r="BJ46463" s="201"/>
    </row>
    <row r="46464" spans="62:62" x14ac:dyDescent="0.2">
      <c r="BJ46464" s="201"/>
    </row>
    <row r="46465" spans="62:62" x14ac:dyDescent="0.2">
      <c r="BJ46465" s="201"/>
    </row>
    <row r="46466" spans="62:62" x14ac:dyDescent="0.2">
      <c r="BJ46466" s="201"/>
    </row>
    <row r="46467" spans="62:62" x14ac:dyDescent="0.2">
      <c r="BJ46467" s="201"/>
    </row>
    <row r="46468" spans="62:62" x14ac:dyDescent="0.2">
      <c r="BJ46468" s="201"/>
    </row>
    <row r="46469" spans="62:62" x14ac:dyDescent="0.2">
      <c r="BJ46469" s="201"/>
    </row>
    <row r="46470" spans="62:62" x14ac:dyDescent="0.2">
      <c r="BJ46470" s="201"/>
    </row>
    <row r="46471" spans="62:62" x14ac:dyDescent="0.2">
      <c r="BJ46471" s="201"/>
    </row>
    <row r="46472" spans="62:62" x14ac:dyDescent="0.2">
      <c r="BJ46472" s="201"/>
    </row>
    <row r="46473" spans="62:62" x14ac:dyDescent="0.2">
      <c r="BJ46473" s="201"/>
    </row>
    <row r="46474" spans="62:62" x14ac:dyDescent="0.2">
      <c r="BJ46474" s="201"/>
    </row>
    <row r="46475" spans="62:62" x14ac:dyDescent="0.2">
      <c r="BJ46475" s="201"/>
    </row>
    <row r="46476" spans="62:62" x14ac:dyDescent="0.2">
      <c r="BJ46476" s="201"/>
    </row>
    <row r="46477" spans="62:62" x14ac:dyDescent="0.2">
      <c r="BJ46477" s="201"/>
    </row>
    <row r="46478" spans="62:62" x14ac:dyDescent="0.2">
      <c r="BJ46478" s="201"/>
    </row>
    <row r="46479" spans="62:62" x14ac:dyDescent="0.2">
      <c r="BJ46479" s="201"/>
    </row>
    <row r="46480" spans="62:62" x14ac:dyDescent="0.2">
      <c r="BJ46480" s="201"/>
    </row>
    <row r="46481" spans="62:62" x14ac:dyDescent="0.2">
      <c r="BJ46481" s="201"/>
    </row>
    <row r="46482" spans="62:62" x14ac:dyDescent="0.2">
      <c r="BJ46482" s="201"/>
    </row>
    <row r="46483" spans="62:62" x14ac:dyDescent="0.2">
      <c r="BJ46483" s="201"/>
    </row>
    <row r="46484" spans="62:62" x14ac:dyDescent="0.2">
      <c r="BJ46484" s="201"/>
    </row>
    <row r="46485" spans="62:62" x14ac:dyDescent="0.2">
      <c r="BJ46485" s="201"/>
    </row>
    <row r="46486" spans="62:62" x14ac:dyDescent="0.2">
      <c r="BJ46486" s="201"/>
    </row>
    <row r="46487" spans="62:62" x14ac:dyDescent="0.2">
      <c r="BJ46487" s="201"/>
    </row>
    <row r="46488" spans="62:62" x14ac:dyDescent="0.2">
      <c r="BJ46488" s="201"/>
    </row>
    <row r="46489" spans="62:62" x14ac:dyDescent="0.2">
      <c r="BJ46489" s="201"/>
    </row>
    <row r="46490" spans="62:62" x14ac:dyDescent="0.2">
      <c r="BJ46490" s="201"/>
    </row>
    <row r="46491" spans="62:62" x14ac:dyDescent="0.2">
      <c r="BJ46491" s="201"/>
    </row>
    <row r="46492" spans="62:62" x14ac:dyDescent="0.2">
      <c r="BJ46492" s="201"/>
    </row>
    <row r="46493" spans="62:62" x14ac:dyDescent="0.2">
      <c r="BJ46493" s="201"/>
    </row>
    <row r="46494" spans="62:62" x14ac:dyDescent="0.2">
      <c r="BJ46494" s="201"/>
    </row>
    <row r="46495" spans="62:62" x14ac:dyDescent="0.2">
      <c r="BJ46495" s="201"/>
    </row>
    <row r="46496" spans="62:62" x14ac:dyDescent="0.2">
      <c r="BJ46496" s="201"/>
    </row>
    <row r="46497" spans="62:62" x14ac:dyDescent="0.2">
      <c r="BJ46497" s="201"/>
    </row>
    <row r="46498" spans="62:62" x14ac:dyDescent="0.2">
      <c r="BJ46498" s="201"/>
    </row>
    <row r="46499" spans="62:62" x14ac:dyDescent="0.2">
      <c r="BJ46499" s="201"/>
    </row>
    <row r="46500" spans="62:62" x14ac:dyDescent="0.2">
      <c r="BJ46500" s="201"/>
    </row>
    <row r="46501" spans="62:62" x14ac:dyDescent="0.2">
      <c r="BJ46501" s="201"/>
    </row>
    <row r="46502" spans="62:62" x14ac:dyDescent="0.2">
      <c r="BJ46502" s="201"/>
    </row>
    <row r="46503" spans="62:62" x14ac:dyDescent="0.2">
      <c r="BJ46503" s="201"/>
    </row>
    <row r="46504" spans="62:62" x14ac:dyDescent="0.2">
      <c r="BJ46504" s="201"/>
    </row>
    <row r="46505" spans="62:62" x14ac:dyDescent="0.2">
      <c r="BJ46505" s="201"/>
    </row>
    <row r="46506" spans="62:62" x14ac:dyDescent="0.2">
      <c r="BJ46506" s="201"/>
    </row>
    <row r="46507" spans="62:62" x14ac:dyDescent="0.2">
      <c r="BJ46507" s="201"/>
    </row>
    <row r="46508" spans="62:62" x14ac:dyDescent="0.2">
      <c r="BJ46508" s="201"/>
    </row>
    <row r="46509" spans="62:62" x14ac:dyDescent="0.2">
      <c r="BJ46509" s="201"/>
    </row>
    <row r="46510" spans="62:62" x14ac:dyDescent="0.2">
      <c r="BJ46510" s="201"/>
    </row>
    <row r="46511" spans="62:62" x14ac:dyDescent="0.2">
      <c r="BJ46511" s="201"/>
    </row>
    <row r="46512" spans="62:62" x14ac:dyDescent="0.2">
      <c r="BJ46512" s="201"/>
    </row>
    <row r="46513" spans="62:62" x14ac:dyDescent="0.2">
      <c r="BJ46513" s="201"/>
    </row>
    <row r="46514" spans="62:62" x14ac:dyDescent="0.2">
      <c r="BJ46514" s="201"/>
    </row>
    <row r="46515" spans="62:62" x14ac:dyDescent="0.2">
      <c r="BJ46515" s="201"/>
    </row>
    <row r="46516" spans="62:62" x14ac:dyDescent="0.2">
      <c r="BJ46516" s="201"/>
    </row>
    <row r="46517" spans="62:62" x14ac:dyDescent="0.2">
      <c r="BJ46517" s="201"/>
    </row>
    <row r="46518" spans="62:62" x14ac:dyDescent="0.2">
      <c r="BJ46518" s="201"/>
    </row>
    <row r="46519" spans="62:62" x14ac:dyDescent="0.2">
      <c r="BJ46519" s="201"/>
    </row>
    <row r="46520" spans="62:62" x14ac:dyDescent="0.2">
      <c r="BJ46520" s="201"/>
    </row>
    <row r="46521" spans="62:62" x14ac:dyDescent="0.2">
      <c r="BJ46521" s="201"/>
    </row>
    <row r="46522" spans="62:62" x14ac:dyDescent="0.2">
      <c r="BJ46522" s="201"/>
    </row>
    <row r="46523" spans="62:62" x14ac:dyDescent="0.2">
      <c r="BJ46523" s="201"/>
    </row>
    <row r="46524" spans="62:62" x14ac:dyDescent="0.2">
      <c r="BJ46524" s="201"/>
    </row>
    <row r="46525" spans="62:62" x14ac:dyDescent="0.2">
      <c r="BJ46525" s="201"/>
    </row>
    <row r="46526" spans="62:62" x14ac:dyDescent="0.2">
      <c r="BJ46526" s="201"/>
    </row>
    <row r="46527" spans="62:62" x14ac:dyDescent="0.2">
      <c r="BJ46527" s="201"/>
    </row>
    <row r="46528" spans="62:62" x14ac:dyDescent="0.2">
      <c r="BJ46528" s="201"/>
    </row>
    <row r="46529" spans="62:62" x14ac:dyDescent="0.2">
      <c r="BJ46529" s="201"/>
    </row>
    <row r="46530" spans="62:62" x14ac:dyDescent="0.2">
      <c r="BJ46530" s="201"/>
    </row>
    <row r="46531" spans="62:62" x14ac:dyDescent="0.2">
      <c r="BJ46531" s="201"/>
    </row>
    <row r="46532" spans="62:62" x14ac:dyDescent="0.2">
      <c r="BJ46532" s="201"/>
    </row>
    <row r="46533" spans="62:62" x14ac:dyDescent="0.2">
      <c r="BJ46533" s="201"/>
    </row>
    <row r="46534" spans="62:62" x14ac:dyDescent="0.2">
      <c r="BJ46534" s="201"/>
    </row>
    <row r="46535" spans="62:62" x14ac:dyDescent="0.2">
      <c r="BJ46535" s="201"/>
    </row>
    <row r="46536" spans="62:62" x14ac:dyDescent="0.2">
      <c r="BJ46536" s="201"/>
    </row>
    <row r="46537" spans="62:62" x14ac:dyDescent="0.2">
      <c r="BJ46537" s="201"/>
    </row>
    <row r="46538" spans="62:62" x14ac:dyDescent="0.2">
      <c r="BJ46538" s="201"/>
    </row>
    <row r="46539" spans="62:62" x14ac:dyDescent="0.2">
      <c r="BJ46539" s="201"/>
    </row>
    <row r="46540" spans="62:62" x14ac:dyDescent="0.2">
      <c r="BJ46540" s="201"/>
    </row>
    <row r="46541" spans="62:62" x14ac:dyDescent="0.2">
      <c r="BJ46541" s="201"/>
    </row>
    <row r="46542" spans="62:62" x14ac:dyDescent="0.2">
      <c r="BJ46542" s="201"/>
    </row>
    <row r="46543" spans="62:62" x14ac:dyDescent="0.2">
      <c r="BJ46543" s="201"/>
    </row>
    <row r="46544" spans="62:62" x14ac:dyDescent="0.2">
      <c r="BJ46544" s="201"/>
    </row>
    <row r="46545" spans="62:62" x14ac:dyDescent="0.2">
      <c r="BJ46545" s="201"/>
    </row>
    <row r="46546" spans="62:62" x14ac:dyDescent="0.2">
      <c r="BJ46546" s="201"/>
    </row>
    <row r="46547" spans="62:62" x14ac:dyDescent="0.2">
      <c r="BJ46547" s="201"/>
    </row>
    <row r="46548" spans="62:62" x14ac:dyDescent="0.2">
      <c r="BJ46548" s="201"/>
    </row>
    <row r="46549" spans="62:62" x14ac:dyDescent="0.2">
      <c r="BJ46549" s="201"/>
    </row>
    <row r="46550" spans="62:62" x14ac:dyDescent="0.2">
      <c r="BJ46550" s="201"/>
    </row>
    <row r="46551" spans="62:62" x14ac:dyDescent="0.2">
      <c r="BJ46551" s="201"/>
    </row>
    <row r="46552" spans="62:62" x14ac:dyDescent="0.2">
      <c r="BJ46552" s="201"/>
    </row>
    <row r="46553" spans="62:62" x14ac:dyDescent="0.2">
      <c r="BJ46553" s="201"/>
    </row>
    <row r="46554" spans="62:62" x14ac:dyDescent="0.2">
      <c r="BJ46554" s="201"/>
    </row>
    <row r="46555" spans="62:62" x14ac:dyDescent="0.2">
      <c r="BJ46555" s="201"/>
    </row>
    <row r="46556" spans="62:62" x14ac:dyDescent="0.2">
      <c r="BJ46556" s="201"/>
    </row>
    <row r="46557" spans="62:62" x14ac:dyDescent="0.2">
      <c r="BJ46557" s="201"/>
    </row>
    <row r="46558" spans="62:62" x14ac:dyDescent="0.2">
      <c r="BJ46558" s="201"/>
    </row>
    <row r="46559" spans="62:62" x14ac:dyDescent="0.2">
      <c r="BJ46559" s="201"/>
    </row>
    <row r="46560" spans="62:62" x14ac:dyDescent="0.2">
      <c r="BJ46560" s="201"/>
    </row>
    <row r="46561" spans="62:62" x14ac:dyDescent="0.2">
      <c r="BJ46561" s="201"/>
    </row>
    <row r="46562" spans="62:62" x14ac:dyDescent="0.2">
      <c r="BJ46562" s="201"/>
    </row>
    <row r="46563" spans="62:62" x14ac:dyDescent="0.2">
      <c r="BJ46563" s="201"/>
    </row>
    <row r="46564" spans="62:62" x14ac:dyDescent="0.2">
      <c r="BJ46564" s="201"/>
    </row>
    <row r="46565" spans="62:62" x14ac:dyDescent="0.2">
      <c r="BJ46565" s="201"/>
    </row>
    <row r="46566" spans="62:62" x14ac:dyDescent="0.2">
      <c r="BJ46566" s="201"/>
    </row>
    <row r="46567" spans="62:62" x14ac:dyDescent="0.2">
      <c r="BJ46567" s="201"/>
    </row>
    <row r="46568" spans="62:62" x14ac:dyDescent="0.2">
      <c r="BJ46568" s="201"/>
    </row>
    <row r="46569" spans="62:62" x14ac:dyDescent="0.2">
      <c r="BJ46569" s="201"/>
    </row>
    <row r="46570" spans="62:62" x14ac:dyDescent="0.2">
      <c r="BJ46570" s="201"/>
    </row>
    <row r="46571" spans="62:62" x14ac:dyDescent="0.2">
      <c r="BJ46571" s="201"/>
    </row>
    <row r="46572" spans="62:62" x14ac:dyDescent="0.2">
      <c r="BJ46572" s="201"/>
    </row>
    <row r="46573" spans="62:62" x14ac:dyDescent="0.2">
      <c r="BJ46573" s="201"/>
    </row>
    <row r="46574" spans="62:62" x14ac:dyDescent="0.2">
      <c r="BJ46574" s="201"/>
    </row>
    <row r="46575" spans="62:62" x14ac:dyDescent="0.2">
      <c r="BJ46575" s="201"/>
    </row>
    <row r="46576" spans="62:62" x14ac:dyDescent="0.2">
      <c r="BJ46576" s="201"/>
    </row>
    <row r="46577" spans="62:62" x14ac:dyDescent="0.2">
      <c r="BJ46577" s="201"/>
    </row>
    <row r="46578" spans="62:62" x14ac:dyDescent="0.2">
      <c r="BJ46578" s="201"/>
    </row>
    <row r="46579" spans="62:62" x14ac:dyDescent="0.2">
      <c r="BJ46579" s="201"/>
    </row>
    <row r="46580" spans="62:62" x14ac:dyDescent="0.2">
      <c r="BJ46580" s="201"/>
    </row>
    <row r="46581" spans="62:62" x14ac:dyDescent="0.2">
      <c r="BJ46581" s="201"/>
    </row>
    <row r="46582" spans="62:62" x14ac:dyDescent="0.2">
      <c r="BJ46582" s="201"/>
    </row>
    <row r="46583" spans="62:62" x14ac:dyDescent="0.2">
      <c r="BJ46583" s="201"/>
    </row>
    <row r="46584" spans="62:62" x14ac:dyDescent="0.2">
      <c r="BJ46584" s="201"/>
    </row>
    <row r="46585" spans="62:62" x14ac:dyDescent="0.2">
      <c r="BJ46585" s="201"/>
    </row>
    <row r="46586" spans="62:62" x14ac:dyDescent="0.2">
      <c r="BJ46586" s="201"/>
    </row>
    <row r="46587" spans="62:62" x14ac:dyDescent="0.2">
      <c r="BJ46587" s="201"/>
    </row>
    <row r="46588" spans="62:62" x14ac:dyDescent="0.2">
      <c r="BJ46588" s="201"/>
    </row>
    <row r="46589" spans="62:62" x14ac:dyDescent="0.2">
      <c r="BJ46589" s="201"/>
    </row>
    <row r="46590" spans="62:62" x14ac:dyDescent="0.2">
      <c r="BJ46590" s="201"/>
    </row>
    <row r="46591" spans="62:62" x14ac:dyDescent="0.2">
      <c r="BJ46591" s="201"/>
    </row>
    <row r="46592" spans="62:62" x14ac:dyDescent="0.2">
      <c r="BJ46592" s="201"/>
    </row>
    <row r="46593" spans="62:62" x14ac:dyDescent="0.2">
      <c r="BJ46593" s="201"/>
    </row>
    <row r="46594" spans="62:62" x14ac:dyDescent="0.2">
      <c r="BJ46594" s="201"/>
    </row>
    <row r="46595" spans="62:62" x14ac:dyDescent="0.2">
      <c r="BJ46595" s="201"/>
    </row>
    <row r="46596" spans="62:62" x14ac:dyDescent="0.2">
      <c r="BJ46596" s="201"/>
    </row>
    <row r="46597" spans="62:62" x14ac:dyDescent="0.2">
      <c r="BJ46597" s="201"/>
    </row>
    <row r="46598" spans="62:62" x14ac:dyDescent="0.2">
      <c r="BJ46598" s="201"/>
    </row>
    <row r="46599" spans="62:62" x14ac:dyDescent="0.2">
      <c r="BJ46599" s="201"/>
    </row>
    <row r="46600" spans="62:62" x14ac:dyDescent="0.2">
      <c r="BJ46600" s="201"/>
    </row>
    <row r="46601" spans="62:62" x14ac:dyDescent="0.2">
      <c r="BJ46601" s="201"/>
    </row>
    <row r="46602" spans="62:62" x14ac:dyDescent="0.2">
      <c r="BJ46602" s="201"/>
    </row>
    <row r="46603" spans="62:62" x14ac:dyDescent="0.2">
      <c r="BJ46603" s="201"/>
    </row>
    <row r="46604" spans="62:62" x14ac:dyDescent="0.2">
      <c r="BJ46604" s="201"/>
    </row>
    <row r="46605" spans="62:62" x14ac:dyDescent="0.2">
      <c r="BJ46605" s="201"/>
    </row>
    <row r="46606" spans="62:62" x14ac:dyDescent="0.2">
      <c r="BJ46606" s="201"/>
    </row>
    <row r="46607" spans="62:62" x14ac:dyDescent="0.2">
      <c r="BJ46607" s="201"/>
    </row>
    <row r="46608" spans="62:62" x14ac:dyDescent="0.2">
      <c r="BJ46608" s="201"/>
    </row>
    <row r="46609" spans="62:62" x14ac:dyDescent="0.2">
      <c r="BJ46609" s="201"/>
    </row>
    <row r="46610" spans="62:62" x14ac:dyDescent="0.2">
      <c r="BJ46610" s="201"/>
    </row>
    <row r="46611" spans="62:62" x14ac:dyDescent="0.2">
      <c r="BJ46611" s="201"/>
    </row>
    <row r="46612" spans="62:62" x14ac:dyDescent="0.2">
      <c r="BJ46612" s="201"/>
    </row>
    <row r="46613" spans="62:62" x14ac:dyDescent="0.2">
      <c r="BJ46613" s="201"/>
    </row>
    <row r="46614" spans="62:62" x14ac:dyDescent="0.2">
      <c r="BJ46614" s="201"/>
    </row>
    <row r="46615" spans="62:62" x14ac:dyDescent="0.2">
      <c r="BJ46615" s="201"/>
    </row>
    <row r="46616" spans="62:62" x14ac:dyDescent="0.2">
      <c r="BJ46616" s="201"/>
    </row>
    <row r="46617" spans="62:62" x14ac:dyDescent="0.2">
      <c r="BJ46617" s="201"/>
    </row>
    <row r="46618" spans="62:62" x14ac:dyDescent="0.2">
      <c r="BJ46618" s="201"/>
    </row>
    <row r="46619" spans="62:62" x14ac:dyDescent="0.2">
      <c r="BJ46619" s="201"/>
    </row>
    <row r="46620" spans="62:62" x14ac:dyDescent="0.2">
      <c r="BJ46620" s="201"/>
    </row>
    <row r="46621" spans="62:62" x14ac:dyDescent="0.2">
      <c r="BJ46621" s="201"/>
    </row>
    <row r="46622" spans="62:62" x14ac:dyDescent="0.2">
      <c r="BJ46622" s="201"/>
    </row>
    <row r="46623" spans="62:62" x14ac:dyDescent="0.2">
      <c r="BJ46623" s="201"/>
    </row>
    <row r="46624" spans="62:62" x14ac:dyDescent="0.2">
      <c r="BJ46624" s="201"/>
    </row>
    <row r="46625" spans="62:62" x14ac:dyDescent="0.2">
      <c r="BJ46625" s="201"/>
    </row>
    <row r="46626" spans="62:62" x14ac:dyDescent="0.2">
      <c r="BJ46626" s="201"/>
    </row>
    <row r="46627" spans="62:62" x14ac:dyDescent="0.2">
      <c r="BJ46627" s="201"/>
    </row>
    <row r="46628" spans="62:62" x14ac:dyDescent="0.2">
      <c r="BJ46628" s="201"/>
    </row>
    <row r="46629" spans="62:62" x14ac:dyDescent="0.2">
      <c r="BJ46629" s="201"/>
    </row>
    <row r="46630" spans="62:62" x14ac:dyDescent="0.2">
      <c r="BJ46630" s="201"/>
    </row>
    <row r="46631" spans="62:62" x14ac:dyDescent="0.2">
      <c r="BJ46631" s="201"/>
    </row>
    <row r="46632" spans="62:62" x14ac:dyDescent="0.2">
      <c r="BJ46632" s="201"/>
    </row>
    <row r="46633" spans="62:62" x14ac:dyDescent="0.2">
      <c r="BJ46633" s="201"/>
    </row>
    <row r="46634" spans="62:62" x14ac:dyDescent="0.2">
      <c r="BJ46634" s="201"/>
    </row>
    <row r="46635" spans="62:62" x14ac:dyDescent="0.2">
      <c r="BJ46635" s="201"/>
    </row>
    <row r="46636" spans="62:62" x14ac:dyDescent="0.2">
      <c r="BJ46636" s="201"/>
    </row>
    <row r="46637" spans="62:62" x14ac:dyDescent="0.2">
      <c r="BJ46637" s="201"/>
    </row>
    <row r="46638" spans="62:62" x14ac:dyDescent="0.2">
      <c r="BJ46638" s="201"/>
    </row>
    <row r="46639" spans="62:62" x14ac:dyDescent="0.2">
      <c r="BJ46639" s="201"/>
    </row>
    <row r="46640" spans="62:62" x14ac:dyDescent="0.2">
      <c r="BJ46640" s="201"/>
    </row>
    <row r="46641" spans="62:62" x14ac:dyDescent="0.2">
      <c r="BJ46641" s="201"/>
    </row>
    <row r="46642" spans="62:62" x14ac:dyDescent="0.2">
      <c r="BJ46642" s="201"/>
    </row>
    <row r="46643" spans="62:62" x14ac:dyDescent="0.2">
      <c r="BJ46643" s="201"/>
    </row>
    <row r="46644" spans="62:62" x14ac:dyDescent="0.2">
      <c r="BJ46644" s="201"/>
    </row>
    <row r="46645" spans="62:62" x14ac:dyDescent="0.2">
      <c r="BJ46645" s="201"/>
    </row>
    <row r="46646" spans="62:62" x14ac:dyDescent="0.2">
      <c r="BJ46646" s="201"/>
    </row>
    <row r="46647" spans="62:62" x14ac:dyDescent="0.2">
      <c r="BJ46647" s="201"/>
    </row>
    <row r="46648" spans="62:62" x14ac:dyDescent="0.2">
      <c r="BJ46648" s="201"/>
    </row>
    <row r="46649" spans="62:62" x14ac:dyDescent="0.2">
      <c r="BJ46649" s="201"/>
    </row>
    <row r="46650" spans="62:62" x14ac:dyDescent="0.2">
      <c r="BJ46650" s="201"/>
    </row>
    <row r="46651" spans="62:62" x14ac:dyDescent="0.2">
      <c r="BJ46651" s="201"/>
    </row>
    <row r="46652" spans="62:62" x14ac:dyDescent="0.2">
      <c r="BJ46652" s="201"/>
    </row>
    <row r="46653" spans="62:62" x14ac:dyDescent="0.2">
      <c r="BJ46653" s="201"/>
    </row>
    <row r="46654" spans="62:62" x14ac:dyDescent="0.2">
      <c r="BJ46654" s="201"/>
    </row>
    <row r="46655" spans="62:62" x14ac:dyDescent="0.2">
      <c r="BJ46655" s="201"/>
    </row>
    <row r="46656" spans="62:62" x14ac:dyDescent="0.2">
      <c r="BJ46656" s="201"/>
    </row>
    <row r="46657" spans="62:62" x14ac:dyDescent="0.2">
      <c r="BJ46657" s="201"/>
    </row>
    <row r="46658" spans="62:62" x14ac:dyDescent="0.2">
      <c r="BJ46658" s="201"/>
    </row>
    <row r="46659" spans="62:62" x14ac:dyDescent="0.2">
      <c r="BJ46659" s="201"/>
    </row>
    <row r="46660" spans="62:62" x14ac:dyDescent="0.2">
      <c r="BJ46660" s="201"/>
    </row>
    <row r="46661" spans="62:62" x14ac:dyDescent="0.2">
      <c r="BJ46661" s="201"/>
    </row>
    <row r="46662" spans="62:62" x14ac:dyDescent="0.2">
      <c r="BJ46662" s="201"/>
    </row>
    <row r="46663" spans="62:62" x14ac:dyDescent="0.2">
      <c r="BJ46663" s="201"/>
    </row>
    <row r="46664" spans="62:62" x14ac:dyDescent="0.2">
      <c r="BJ46664" s="201"/>
    </row>
    <row r="46665" spans="62:62" x14ac:dyDescent="0.2">
      <c r="BJ46665" s="201"/>
    </row>
    <row r="46666" spans="62:62" x14ac:dyDescent="0.2">
      <c r="BJ46666" s="201"/>
    </row>
    <row r="46667" spans="62:62" x14ac:dyDescent="0.2">
      <c r="BJ46667" s="201"/>
    </row>
    <row r="46668" spans="62:62" x14ac:dyDescent="0.2">
      <c r="BJ46668" s="201"/>
    </row>
    <row r="46669" spans="62:62" x14ac:dyDescent="0.2">
      <c r="BJ46669" s="201"/>
    </row>
    <row r="46670" spans="62:62" x14ac:dyDescent="0.2">
      <c r="BJ46670" s="201"/>
    </row>
    <row r="46671" spans="62:62" x14ac:dyDescent="0.2">
      <c r="BJ46671" s="201"/>
    </row>
    <row r="46672" spans="62:62" x14ac:dyDescent="0.2">
      <c r="BJ46672" s="201"/>
    </row>
    <row r="46673" spans="62:62" x14ac:dyDescent="0.2">
      <c r="BJ46673" s="201"/>
    </row>
    <row r="46674" spans="62:62" x14ac:dyDescent="0.2">
      <c r="BJ46674" s="201"/>
    </row>
    <row r="46675" spans="62:62" x14ac:dyDescent="0.2">
      <c r="BJ46675" s="201"/>
    </row>
    <row r="46676" spans="62:62" x14ac:dyDescent="0.2">
      <c r="BJ46676" s="201"/>
    </row>
    <row r="46677" spans="62:62" x14ac:dyDescent="0.2">
      <c r="BJ46677" s="201"/>
    </row>
    <row r="46678" spans="62:62" x14ac:dyDescent="0.2">
      <c r="BJ46678" s="201"/>
    </row>
    <row r="46679" spans="62:62" x14ac:dyDescent="0.2">
      <c r="BJ46679" s="201"/>
    </row>
    <row r="46680" spans="62:62" x14ac:dyDescent="0.2">
      <c r="BJ46680" s="201"/>
    </row>
    <row r="46681" spans="62:62" x14ac:dyDescent="0.2">
      <c r="BJ46681" s="201"/>
    </row>
    <row r="46682" spans="62:62" x14ac:dyDescent="0.2">
      <c r="BJ46682" s="201"/>
    </row>
    <row r="46683" spans="62:62" x14ac:dyDescent="0.2">
      <c r="BJ46683" s="201"/>
    </row>
    <row r="46684" spans="62:62" x14ac:dyDescent="0.2">
      <c r="BJ46684" s="201"/>
    </row>
    <row r="46685" spans="62:62" x14ac:dyDescent="0.2">
      <c r="BJ46685" s="201"/>
    </row>
    <row r="46686" spans="62:62" x14ac:dyDescent="0.2">
      <c r="BJ46686" s="201"/>
    </row>
    <row r="46687" spans="62:62" x14ac:dyDescent="0.2">
      <c r="BJ46687" s="201"/>
    </row>
    <row r="46688" spans="62:62" x14ac:dyDescent="0.2">
      <c r="BJ46688" s="201"/>
    </row>
    <row r="46689" spans="62:62" x14ac:dyDescent="0.2">
      <c r="BJ46689" s="201"/>
    </row>
    <row r="46690" spans="62:62" x14ac:dyDescent="0.2">
      <c r="BJ46690" s="201"/>
    </row>
    <row r="46691" spans="62:62" x14ac:dyDescent="0.2">
      <c r="BJ46691" s="201"/>
    </row>
    <row r="46692" spans="62:62" x14ac:dyDescent="0.2">
      <c r="BJ46692" s="201"/>
    </row>
    <row r="46693" spans="62:62" x14ac:dyDescent="0.2">
      <c r="BJ46693" s="201"/>
    </row>
    <row r="46694" spans="62:62" x14ac:dyDescent="0.2">
      <c r="BJ46694" s="201"/>
    </row>
    <row r="46695" spans="62:62" x14ac:dyDescent="0.2">
      <c r="BJ46695" s="201"/>
    </row>
    <row r="46696" spans="62:62" x14ac:dyDescent="0.2">
      <c r="BJ46696" s="201"/>
    </row>
    <row r="46697" spans="62:62" x14ac:dyDescent="0.2">
      <c r="BJ46697" s="201"/>
    </row>
    <row r="46698" spans="62:62" x14ac:dyDescent="0.2">
      <c r="BJ46698" s="201"/>
    </row>
    <row r="46699" spans="62:62" x14ac:dyDescent="0.2">
      <c r="BJ46699" s="201"/>
    </row>
    <row r="46700" spans="62:62" x14ac:dyDescent="0.2">
      <c r="BJ46700" s="201"/>
    </row>
    <row r="46701" spans="62:62" x14ac:dyDescent="0.2">
      <c r="BJ46701" s="201"/>
    </row>
    <row r="46702" spans="62:62" x14ac:dyDescent="0.2">
      <c r="BJ46702" s="201"/>
    </row>
    <row r="46703" spans="62:62" x14ac:dyDescent="0.2">
      <c r="BJ46703" s="201"/>
    </row>
    <row r="46704" spans="62:62" x14ac:dyDescent="0.2">
      <c r="BJ46704" s="201"/>
    </row>
    <row r="46705" spans="62:62" x14ac:dyDescent="0.2">
      <c r="BJ46705" s="201"/>
    </row>
    <row r="46706" spans="62:62" x14ac:dyDescent="0.2">
      <c r="BJ46706" s="201"/>
    </row>
    <row r="46707" spans="62:62" x14ac:dyDescent="0.2">
      <c r="BJ46707" s="201"/>
    </row>
    <row r="46708" spans="62:62" x14ac:dyDescent="0.2">
      <c r="BJ46708" s="201"/>
    </row>
    <row r="46709" spans="62:62" x14ac:dyDescent="0.2">
      <c r="BJ46709" s="201"/>
    </row>
    <row r="46710" spans="62:62" x14ac:dyDescent="0.2">
      <c r="BJ46710" s="201"/>
    </row>
    <row r="46711" spans="62:62" x14ac:dyDescent="0.2">
      <c r="BJ46711" s="201"/>
    </row>
    <row r="46712" spans="62:62" x14ac:dyDescent="0.2">
      <c r="BJ46712" s="201"/>
    </row>
    <row r="46713" spans="62:62" x14ac:dyDescent="0.2">
      <c r="BJ46713" s="201"/>
    </row>
    <row r="46714" spans="62:62" x14ac:dyDescent="0.2">
      <c r="BJ46714" s="201"/>
    </row>
    <row r="46715" spans="62:62" x14ac:dyDescent="0.2">
      <c r="BJ46715" s="201"/>
    </row>
    <row r="46716" spans="62:62" x14ac:dyDescent="0.2">
      <c r="BJ46716" s="201"/>
    </row>
    <row r="46717" spans="62:62" x14ac:dyDescent="0.2">
      <c r="BJ46717" s="201"/>
    </row>
    <row r="46718" spans="62:62" x14ac:dyDescent="0.2">
      <c r="BJ46718" s="201"/>
    </row>
    <row r="46719" spans="62:62" x14ac:dyDescent="0.2">
      <c r="BJ46719" s="201"/>
    </row>
    <row r="46720" spans="62:62" x14ac:dyDescent="0.2">
      <c r="BJ46720" s="201"/>
    </row>
    <row r="46721" spans="62:62" x14ac:dyDescent="0.2">
      <c r="BJ46721" s="201"/>
    </row>
    <row r="46722" spans="62:62" x14ac:dyDescent="0.2">
      <c r="BJ46722" s="201"/>
    </row>
    <row r="46723" spans="62:62" x14ac:dyDescent="0.2">
      <c r="BJ46723" s="201"/>
    </row>
    <row r="46724" spans="62:62" x14ac:dyDescent="0.2">
      <c r="BJ46724" s="201"/>
    </row>
    <row r="46725" spans="62:62" x14ac:dyDescent="0.2">
      <c r="BJ46725" s="201"/>
    </row>
    <row r="46726" spans="62:62" x14ac:dyDescent="0.2">
      <c r="BJ46726" s="201"/>
    </row>
    <row r="46727" spans="62:62" x14ac:dyDescent="0.2">
      <c r="BJ46727" s="201"/>
    </row>
    <row r="46728" spans="62:62" x14ac:dyDescent="0.2">
      <c r="BJ46728" s="201"/>
    </row>
    <row r="46729" spans="62:62" x14ac:dyDescent="0.2">
      <c r="BJ46729" s="201"/>
    </row>
    <row r="46730" spans="62:62" x14ac:dyDescent="0.2">
      <c r="BJ46730" s="201"/>
    </row>
    <row r="46731" spans="62:62" x14ac:dyDescent="0.2">
      <c r="BJ46731" s="201"/>
    </row>
    <row r="46732" spans="62:62" x14ac:dyDescent="0.2">
      <c r="BJ46732" s="201"/>
    </row>
    <row r="46733" spans="62:62" x14ac:dyDescent="0.2">
      <c r="BJ46733" s="201"/>
    </row>
    <row r="46734" spans="62:62" x14ac:dyDescent="0.2">
      <c r="BJ46734" s="201"/>
    </row>
    <row r="46735" spans="62:62" x14ac:dyDescent="0.2">
      <c r="BJ46735" s="201"/>
    </row>
    <row r="46736" spans="62:62" x14ac:dyDescent="0.2">
      <c r="BJ46736" s="201"/>
    </row>
    <row r="46737" spans="62:62" x14ac:dyDescent="0.2">
      <c r="BJ46737" s="201"/>
    </row>
    <row r="46738" spans="62:62" x14ac:dyDescent="0.2">
      <c r="BJ46738" s="201"/>
    </row>
    <row r="46739" spans="62:62" x14ac:dyDescent="0.2">
      <c r="BJ46739" s="201"/>
    </row>
    <row r="46740" spans="62:62" x14ac:dyDescent="0.2">
      <c r="BJ46740" s="201"/>
    </row>
    <row r="46741" spans="62:62" x14ac:dyDescent="0.2">
      <c r="BJ46741" s="201"/>
    </row>
    <row r="46742" spans="62:62" x14ac:dyDescent="0.2">
      <c r="BJ46742" s="201"/>
    </row>
    <row r="46743" spans="62:62" x14ac:dyDescent="0.2">
      <c r="BJ46743" s="201"/>
    </row>
    <row r="46744" spans="62:62" x14ac:dyDescent="0.2">
      <c r="BJ46744" s="201"/>
    </row>
    <row r="46745" spans="62:62" x14ac:dyDescent="0.2">
      <c r="BJ46745" s="201"/>
    </row>
    <row r="46746" spans="62:62" x14ac:dyDescent="0.2">
      <c r="BJ46746" s="201"/>
    </row>
    <row r="46747" spans="62:62" x14ac:dyDescent="0.2">
      <c r="BJ46747" s="201"/>
    </row>
    <row r="46748" spans="62:62" x14ac:dyDescent="0.2">
      <c r="BJ46748" s="201"/>
    </row>
    <row r="46749" spans="62:62" x14ac:dyDescent="0.2">
      <c r="BJ46749" s="201"/>
    </row>
    <row r="46750" spans="62:62" x14ac:dyDescent="0.2">
      <c r="BJ46750" s="201"/>
    </row>
    <row r="46751" spans="62:62" x14ac:dyDescent="0.2">
      <c r="BJ46751" s="201"/>
    </row>
    <row r="46752" spans="62:62" x14ac:dyDescent="0.2">
      <c r="BJ46752" s="201"/>
    </row>
    <row r="46753" spans="62:62" x14ac:dyDescent="0.2">
      <c r="BJ46753" s="201"/>
    </row>
    <row r="46754" spans="62:62" x14ac:dyDescent="0.2">
      <c r="BJ46754" s="201"/>
    </row>
    <row r="46755" spans="62:62" x14ac:dyDescent="0.2">
      <c r="BJ46755" s="201"/>
    </row>
    <row r="46756" spans="62:62" x14ac:dyDescent="0.2">
      <c r="BJ46756" s="201"/>
    </row>
    <row r="46757" spans="62:62" x14ac:dyDescent="0.2">
      <c r="BJ46757" s="201"/>
    </row>
    <row r="46758" spans="62:62" x14ac:dyDescent="0.2">
      <c r="BJ46758" s="201"/>
    </row>
    <row r="46759" spans="62:62" x14ac:dyDescent="0.2">
      <c r="BJ46759" s="201"/>
    </row>
    <row r="46760" spans="62:62" x14ac:dyDescent="0.2">
      <c r="BJ46760" s="201"/>
    </row>
    <row r="46761" spans="62:62" x14ac:dyDescent="0.2">
      <c r="BJ46761" s="201"/>
    </row>
    <row r="46762" spans="62:62" x14ac:dyDescent="0.2">
      <c r="BJ46762" s="201"/>
    </row>
    <row r="46763" spans="62:62" x14ac:dyDescent="0.2">
      <c r="BJ46763" s="201"/>
    </row>
    <row r="46764" spans="62:62" x14ac:dyDescent="0.2">
      <c r="BJ46764" s="201"/>
    </row>
    <row r="46765" spans="62:62" x14ac:dyDescent="0.2">
      <c r="BJ46765" s="201"/>
    </row>
    <row r="46766" spans="62:62" x14ac:dyDescent="0.2">
      <c r="BJ46766" s="201"/>
    </row>
    <row r="46767" spans="62:62" x14ac:dyDescent="0.2">
      <c r="BJ46767" s="201"/>
    </row>
    <row r="46768" spans="62:62" x14ac:dyDescent="0.2">
      <c r="BJ46768" s="201"/>
    </row>
    <row r="46769" spans="62:62" x14ac:dyDescent="0.2">
      <c r="BJ46769" s="201"/>
    </row>
    <row r="46770" spans="62:62" x14ac:dyDescent="0.2">
      <c r="BJ46770" s="201"/>
    </row>
    <row r="46771" spans="62:62" x14ac:dyDescent="0.2">
      <c r="BJ46771" s="201"/>
    </row>
    <row r="46772" spans="62:62" x14ac:dyDescent="0.2">
      <c r="BJ46772" s="201"/>
    </row>
    <row r="46773" spans="62:62" x14ac:dyDescent="0.2">
      <c r="BJ46773" s="201"/>
    </row>
    <row r="46774" spans="62:62" x14ac:dyDescent="0.2">
      <c r="BJ46774" s="201"/>
    </row>
    <row r="46775" spans="62:62" x14ac:dyDescent="0.2">
      <c r="BJ46775" s="201"/>
    </row>
    <row r="46776" spans="62:62" x14ac:dyDescent="0.2">
      <c r="BJ46776" s="201"/>
    </row>
    <row r="46777" spans="62:62" x14ac:dyDescent="0.2">
      <c r="BJ46777" s="201"/>
    </row>
    <row r="46778" spans="62:62" x14ac:dyDescent="0.2">
      <c r="BJ46778" s="201"/>
    </row>
    <row r="46779" spans="62:62" x14ac:dyDescent="0.2">
      <c r="BJ46779" s="201"/>
    </row>
    <row r="46780" spans="62:62" x14ac:dyDescent="0.2">
      <c r="BJ46780" s="201"/>
    </row>
    <row r="46781" spans="62:62" x14ac:dyDescent="0.2">
      <c r="BJ46781" s="201"/>
    </row>
    <row r="46782" spans="62:62" x14ac:dyDescent="0.2">
      <c r="BJ46782" s="201"/>
    </row>
    <row r="46783" spans="62:62" x14ac:dyDescent="0.2">
      <c r="BJ46783" s="201"/>
    </row>
    <row r="46784" spans="62:62" x14ac:dyDescent="0.2">
      <c r="BJ46784" s="201"/>
    </row>
    <row r="46785" spans="62:62" x14ac:dyDescent="0.2">
      <c r="BJ46785" s="201"/>
    </row>
    <row r="46786" spans="62:62" x14ac:dyDescent="0.2">
      <c r="BJ46786" s="201"/>
    </row>
    <row r="46787" spans="62:62" x14ac:dyDescent="0.2">
      <c r="BJ46787" s="201"/>
    </row>
    <row r="46788" spans="62:62" x14ac:dyDescent="0.2">
      <c r="BJ46788" s="201"/>
    </row>
    <row r="46789" spans="62:62" x14ac:dyDescent="0.2">
      <c r="BJ46789" s="201"/>
    </row>
    <row r="46790" spans="62:62" x14ac:dyDescent="0.2">
      <c r="BJ46790" s="201"/>
    </row>
    <row r="46791" spans="62:62" x14ac:dyDescent="0.2">
      <c r="BJ46791" s="201"/>
    </row>
    <row r="46792" spans="62:62" x14ac:dyDescent="0.2">
      <c r="BJ46792" s="201"/>
    </row>
    <row r="46793" spans="62:62" x14ac:dyDescent="0.2">
      <c r="BJ46793" s="201"/>
    </row>
    <row r="46794" spans="62:62" x14ac:dyDescent="0.2">
      <c r="BJ46794" s="201"/>
    </row>
    <row r="46795" spans="62:62" x14ac:dyDescent="0.2">
      <c r="BJ46795" s="201"/>
    </row>
    <row r="46796" spans="62:62" x14ac:dyDescent="0.2">
      <c r="BJ46796" s="201"/>
    </row>
    <row r="46797" spans="62:62" x14ac:dyDescent="0.2">
      <c r="BJ46797" s="201"/>
    </row>
    <row r="46798" spans="62:62" x14ac:dyDescent="0.2">
      <c r="BJ46798" s="201"/>
    </row>
    <row r="46799" spans="62:62" x14ac:dyDescent="0.2">
      <c r="BJ46799" s="201"/>
    </row>
    <row r="46800" spans="62:62" x14ac:dyDescent="0.2">
      <c r="BJ46800" s="201"/>
    </row>
    <row r="46801" spans="62:62" x14ac:dyDescent="0.2">
      <c r="BJ46801" s="201"/>
    </row>
    <row r="46802" spans="62:62" x14ac:dyDescent="0.2">
      <c r="BJ46802" s="201"/>
    </row>
    <row r="46803" spans="62:62" x14ac:dyDescent="0.2">
      <c r="BJ46803" s="201"/>
    </row>
    <row r="46804" spans="62:62" x14ac:dyDescent="0.2">
      <c r="BJ46804" s="201"/>
    </row>
    <row r="46805" spans="62:62" x14ac:dyDescent="0.2">
      <c r="BJ46805" s="201"/>
    </row>
    <row r="46806" spans="62:62" x14ac:dyDescent="0.2">
      <c r="BJ46806" s="201"/>
    </row>
    <row r="46807" spans="62:62" x14ac:dyDescent="0.2">
      <c r="BJ46807" s="201"/>
    </row>
    <row r="46808" spans="62:62" x14ac:dyDescent="0.2">
      <c r="BJ46808" s="201"/>
    </row>
    <row r="46809" spans="62:62" x14ac:dyDescent="0.2">
      <c r="BJ46809" s="201"/>
    </row>
    <row r="46810" spans="62:62" x14ac:dyDescent="0.2">
      <c r="BJ46810" s="201"/>
    </row>
    <row r="46811" spans="62:62" x14ac:dyDescent="0.2">
      <c r="BJ46811" s="201"/>
    </row>
    <row r="46812" spans="62:62" x14ac:dyDescent="0.2">
      <c r="BJ46812" s="201"/>
    </row>
    <row r="46813" spans="62:62" x14ac:dyDescent="0.2">
      <c r="BJ46813" s="201"/>
    </row>
    <row r="46814" spans="62:62" x14ac:dyDescent="0.2">
      <c r="BJ46814" s="201"/>
    </row>
    <row r="46815" spans="62:62" x14ac:dyDescent="0.2">
      <c r="BJ46815" s="201"/>
    </row>
    <row r="46816" spans="62:62" x14ac:dyDescent="0.2">
      <c r="BJ46816" s="201"/>
    </row>
    <row r="46817" spans="62:62" x14ac:dyDescent="0.2">
      <c r="BJ46817" s="201"/>
    </row>
    <row r="46818" spans="62:62" x14ac:dyDescent="0.2">
      <c r="BJ46818" s="201"/>
    </row>
    <row r="46819" spans="62:62" x14ac:dyDescent="0.2">
      <c r="BJ46819" s="201"/>
    </row>
    <row r="46820" spans="62:62" x14ac:dyDescent="0.2">
      <c r="BJ46820" s="201"/>
    </row>
    <row r="46821" spans="62:62" x14ac:dyDescent="0.2">
      <c r="BJ46821" s="201"/>
    </row>
    <row r="46822" spans="62:62" x14ac:dyDescent="0.2">
      <c r="BJ46822" s="201"/>
    </row>
    <row r="46823" spans="62:62" x14ac:dyDescent="0.2">
      <c r="BJ46823" s="201"/>
    </row>
    <row r="46824" spans="62:62" x14ac:dyDescent="0.2">
      <c r="BJ46824" s="201"/>
    </row>
    <row r="46825" spans="62:62" x14ac:dyDescent="0.2">
      <c r="BJ46825" s="201"/>
    </row>
    <row r="46826" spans="62:62" x14ac:dyDescent="0.2">
      <c r="BJ46826" s="201"/>
    </row>
    <row r="46827" spans="62:62" x14ac:dyDescent="0.2">
      <c r="BJ46827" s="201"/>
    </row>
    <row r="46828" spans="62:62" x14ac:dyDescent="0.2">
      <c r="BJ46828" s="201"/>
    </row>
    <row r="46829" spans="62:62" x14ac:dyDescent="0.2">
      <c r="BJ46829" s="201"/>
    </row>
    <row r="46830" spans="62:62" x14ac:dyDescent="0.2">
      <c r="BJ46830" s="201"/>
    </row>
    <row r="46831" spans="62:62" x14ac:dyDescent="0.2">
      <c r="BJ46831" s="201"/>
    </row>
    <row r="46832" spans="62:62" x14ac:dyDescent="0.2">
      <c r="BJ46832" s="201"/>
    </row>
    <row r="46833" spans="62:62" x14ac:dyDescent="0.2">
      <c r="BJ46833" s="201"/>
    </row>
    <row r="46834" spans="62:62" x14ac:dyDescent="0.2">
      <c r="BJ46834" s="201"/>
    </row>
    <row r="46835" spans="62:62" x14ac:dyDescent="0.2">
      <c r="BJ46835" s="201"/>
    </row>
    <row r="46836" spans="62:62" x14ac:dyDescent="0.2">
      <c r="BJ46836" s="201"/>
    </row>
    <row r="46837" spans="62:62" x14ac:dyDescent="0.2">
      <c r="BJ46837" s="201"/>
    </row>
    <row r="46838" spans="62:62" x14ac:dyDescent="0.2">
      <c r="BJ46838" s="201"/>
    </row>
    <row r="46839" spans="62:62" x14ac:dyDescent="0.2">
      <c r="BJ46839" s="201"/>
    </row>
    <row r="46840" spans="62:62" x14ac:dyDescent="0.2">
      <c r="BJ46840" s="201"/>
    </row>
    <row r="46841" spans="62:62" x14ac:dyDescent="0.2">
      <c r="BJ46841" s="201"/>
    </row>
    <row r="46842" spans="62:62" x14ac:dyDescent="0.2">
      <c r="BJ46842" s="201"/>
    </row>
    <row r="46843" spans="62:62" x14ac:dyDescent="0.2">
      <c r="BJ46843" s="201"/>
    </row>
    <row r="46844" spans="62:62" x14ac:dyDescent="0.2">
      <c r="BJ46844" s="201"/>
    </row>
    <row r="46845" spans="62:62" x14ac:dyDescent="0.2">
      <c r="BJ46845" s="201"/>
    </row>
    <row r="46846" spans="62:62" x14ac:dyDescent="0.2">
      <c r="BJ46846" s="201"/>
    </row>
    <row r="46847" spans="62:62" x14ac:dyDescent="0.2">
      <c r="BJ46847" s="201"/>
    </row>
    <row r="46848" spans="62:62" x14ac:dyDescent="0.2">
      <c r="BJ46848" s="201"/>
    </row>
    <row r="46849" spans="62:62" x14ac:dyDescent="0.2">
      <c r="BJ46849" s="201"/>
    </row>
    <row r="46850" spans="62:62" x14ac:dyDescent="0.2">
      <c r="BJ46850" s="201"/>
    </row>
    <row r="46851" spans="62:62" x14ac:dyDescent="0.2">
      <c r="BJ46851" s="201"/>
    </row>
    <row r="46852" spans="62:62" x14ac:dyDescent="0.2">
      <c r="BJ46852" s="201"/>
    </row>
    <row r="46853" spans="62:62" x14ac:dyDescent="0.2">
      <c r="BJ46853" s="201"/>
    </row>
    <row r="46854" spans="62:62" x14ac:dyDescent="0.2">
      <c r="BJ46854" s="201"/>
    </row>
    <row r="46855" spans="62:62" x14ac:dyDescent="0.2">
      <c r="BJ46855" s="201"/>
    </row>
    <row r="46856" spans="62:62" x14ac:dyDescent="0.2">
      <c r="BJ46856" s="201"/>
    </row>
    <row r="46857" spans="62:62" x14ac:dyDescent="0.2">
      <c r="BJ46857" s="201"/>
    </row>
    <row r="46858" spans="62:62" x14ac:dyDescent="0.2">
      <c r="BJ46858" s="201"/>
    </row>
    <row r="46859" spans="62:62" x14ac:dyDescent="0.2">
      <c r="BJ46859" s="201"/>
    </row>
    <row r="46860" spans="62:62" x14ac:dyDescent="0.2">
      <c r="BJ46860" s="201"/>
    </row>
    <row r="46861" spans="62:62" x14ac:dyDescent="0.2">
      <c r="BJ46861" s="201"/>
    </row>
    <row r="46862" spans="62:62" x14ac:dyDescent="0.2">
      <c r="BJ46862" s="201"/>
    </row>
    <row r="46863" spans="62:62" x14ac:dyDescent="0.2">
      <c r="BJ46863" s="201"/>
    </row>
    <row r="46864" spans="62:62" x14ac:dyDescent="0.2">
      <c r="BJ46864" s="201"/>
    </row>
    <row r="46865" spans="62:62" x14ac:dyDescent="0.2">
      <c r="BJ46865" s="201"/>
    </row>
    <row r="46866" spans="62:62" x14ac:dyDescent="0.2">
      <c r="BJ46866" s="201"/>
    </row>
    <row r="46867" spans="62:62" x14ac:dyDescent="0.2">
      <c r="BJ46867" s="201"/>
    </row>
    <row r="46868" spans="62:62" x14ac:dyDescent="0.2">
      <c r="BJ46868" s="201"/>
    </row>
    <row r="46869" spans="62:62" x14ac:dyDescent="0.2">
      <c r="BJ46869" s="201"/>
    </row>
    <row r="46870" spans="62:62" x14ac:dyDescent="0.2">
      <c r="BJ46870" s="201"/>
    </row>
    <row r="46871" spans="62:62" x14ac:dyDescent="0.2">
      <c r="BJ46871" s="201"/>
    </row>
    <row r="46872" spans="62:62" x14ac:dyDescent="0.2">
      <c r="BJ46872" s="201"/>
    </row>
    <row r="46873" spans="62:62" x14ac:dyDescent="0.2">
      <c r="BJ46873" s="201"/>
    </row>
    <row r="46874" spans="62:62" x14ac:dyDescent="0.2">
      <c r="BJ46874" s="201"/>
    </row>
    <row r="46875" spans="62:62" x14ac:dyDescent="0.2">
      <c r="BJ46875" s="201"/>
    </row>
    <row r="46876" spans="62:62" x14ac:dyDescent="0.2">
      <c r="BJ46876" s="201"/>
    </row>
    <row r="46877" spans="62:62" x14ac:dyDescent="0.2">
      <c r="BJ46877" s="201"/>
    </row>
    <row r="46878" spans="62:62" x14ac:dyDescent="0.2">
      <c r="BJ46878" s="201"/>
    </row>
    <row r="46879" spans="62:62" x14ac:dyDescent="0.2">
      <c r="BJ46879" s="201"/>
    </row>
    <row r="46880" spans="62:62" x14ac:dyDescent="0.2">
      <c r="BJ46880" s="201"/>
    </row>
    <row r="46881" spans="62:62" x14ac:dyDescent="0.2">
      <c r="BJ46881" s="201"/>
    </row>
    <row r="46882" spans="62:62" x14ac:dyDescent="0.2">
      <c r="BJ46882" s="201"/>
    </row>
    <row r="46883" spans="62:62" x14ac:dyDescent="0.2">
      <c r="BJ46883" s="201"/>
    </row>
    <row r="46884" spans="62:62" x14ac:dyDescent="0.2">
      <c r="BJ46884" s="201"/>
    </row>
    <row r="46885" spans="62:62" x14ac:dyDescent="0.2">
      <c r="BJ46885" s="201"/>
    </row>
    <row r="46886" spans="62:62" x14ac:dyDescent="0.2">
      <c r="BJ46886" s="201"/>
    </row>
    <row r="46887" spans="62:62" x14ac:dyDescent="0.2">
      <c r="BJ46887" s="201"/>
    </row>
    <row r="46888" spans="62:62" x14ac:dyDescent="0.2">
      <c r="BJ46888" s="201"/>
    </row>
    <row r="46889" spans="62:62" x14ac:dyDescent="0.2">
      <c r="BJ46889" s="201"/>
    </row>
    <row r="46890" spans="62:62" x14ac:dyDescent="0.2">
      <c r="BJ46890" s="201"/>
    </row>
    <row r="46891" spans="62:62" x14ac:dyDescent="0.2">
      <c r="BJ46891" s="201"/>
    </row>
    <row r="46892" spans="62:62" x14ac:dyDescent="0.2">
      <c r="BJ46892" s="201"/>
    </row>
    <row r="46893" spans="62:62" x14ac:dyDescent="0.2">
      <c r="BJ46893" s="201"/>
    </row>
    <row r="46894" spans="62:62" x14ac:dyDescent="0.2">
      <c r="BJ46894" s="201"/>
    </row>
    <row r="46895" spans="62:62" x14ac:dyDescent="0.2">
      <c r="BJ46895" s="201"/>
    </row>
    <row r="46896" spans="62:62" x14ac:dyDescent="0.2">
      <c r="BJ46896" s="201"/>
    </row>
    <row r="46897" spans="62:62" x14ac:dyDescent="0.2">
      <c r="BJ46897" s="201"/>
    </row>
    <row r="46898" spans="62:62" x14ac:dyDescent="0.2">
      <c r="BJ46898" s="201"/>
    </row>
    <row r="46899" spans="62:62" x14ac:dyDescent="0.2">
      <c r="BJ46899" s="201"/>
    </row>
    <row r="46900" spans="62:62" x14ac:dyDescent="0.2">
      <c r="BJ46900" s="201"/>
    </row>
    <row r="46901" spans="62:62" x14ac:dyDescent="0.2">
      <c r="BJ46901" s="201"/>
    </row>
    <row r="46902" spans="62:62" x14ac:dyDescent="0.2">
      <c r="BJ46902" s="201"/>
    </row>
    <row r="46903" spans="62:62" x14ac:dyDescent="0.2">
      <c r="BJ46903" s="201"/>
    </row>
    <row r="46904" spans="62:62" x14ac:dyDescent="0.2">
      <c r="BJ46904" s="201"/>
    </row>
    <row r="46905" spans="62:62" x14ac:dyDescent="0.2">
      <c r="BJ46905" s="201"/>
    </row>
    <row r="46906" spans="62:62" x14ac:dyDescent="0.2">
      <c r="BJ46906" s="201"/>
    </row>
    <row r="46907" spans="62:62" x14ac:dyDescent="0.2">
      <c r="BJ46907" s="201"/>
    </row>
    <row r="46908" spans="62:62" x14ac:dyDescent="0.2">
      <c r="BJ46908" s="201"/>
    </row>
    <row r="46909" spans="62:62" x14ac:dyDescent="0.2">
      <c r="BJ46909" s="201"/>
    </row>
    <row r="46910" spans="62:62" x14ac:dyDescent="0.2">
      <c r="BJ46910" s="201"/>
    </row>
    <row r="46911" spans="62:62" x14ac:dyDescent="0.2">
      <c r="BJ46911" s="201"/>
    </row>
    <row r="46912" spans="62:62" x14ac:dyDescent="0.2">
      <c r="BJ46912" s="201"/>
    </row>
    <row r="46913" spans="62:62" x14ac:dyDescent="0.2">
      <c r="BJ46913" s="201"/>
    </row>
    <row r="46914" spans="62:62" x14ac:dyDescent="0.2">
      <c r="BJ46914" s="201"/>
    </row>
    <row r="46915" spans="62:62" x14ac:dyDescent="0.2">
      <c r="BJ46915" s="201"/>
    </row>
    <row r="46916" spans="62:62" x14ac:dyDescent="0.2">
      <c r="BJ46916" s="201"/>
    </row>
    <row r="46917" spans="62:62" x14ac:dyDescent="0.2">
      <c r="BJ46917" s="201"/>
    </row>
    <row r="46918" spans="62:62" x14ac:dyDescent="0.2">
      <c r="BJ46918" s="201"/>
    </row>
    <row r="46919" spans="62:62" x14ac:dyDescent="0.2">
      <c r="BJ46919" s="201"/>
    </row>
    <row r="46920" spans="62:62" x14ac:dyDescent="0.2">
      <c r="BJ46920" s="201"/>
    </row>
    <row r="46921" spans="62:62" x14ac:dyDescent="0.2">
      <c r="BJ46921" s="201"/>
    </row>
    <row r="46922" spans="62:62" x14ac:dyDescent="0.2">
      <c r="BJ46922" s="201"/>
    </row>
    <row r="46923" spans="62:62" x14ac:dyDescent="0.2">
      <c r="BJ46923" s="201"/>
    </row>
    <row r="46924" spans="62:62" x14ac:dyDescent="0.2">
      <c r="BJ46924" s="201"/>
    </row>
    <row r="46925" spans="62:62" x14ac:dyDescent="0.2">
      <c r="BJ46925" s="201"/>
    </row>
    <row r="46926" spans="62:62" x14ac:dyDescent="0.2">
      <c r="BJ46926" s="201"/>
    </row>
    <row r="46927" spans="62:62" x14ac:dyDescent="0.2">
      <c r="BJ46927" s="201"/>
    </row>
    <row r="46928" spans="62:62" x14ac:dyDescent="0.2">
      <c r="BJ46928" s="201"/>
    </row>
    <row r="46929" spans="62:62" x14ac:dyDescent="0.2">
      <c r="BJ46929" s="201"/>
    </row>
    <row r="46930" spans="62:62" x14ac:dyDescent="0.2">
      <c r="BJ46930" s="201"/>
    </row>
    <row r="46931" spans="62:62" x14ac:dyDescent="0.2">
      <c r="BJ46931" s="201"/>
    </row>
    <row r="46932" spans="62:62" x14ac:dyDescent="0.2">
      <c r="BJ46932" s="201"/>
    </row>
    <row r="46933" spans="62:62" x14ac:dyDescent="0.2">
      <c r="BJ46933" s="201"/>
    </row>
    <row r="46934" spans="62:62" x14ac:dyDescent="0.2">
      <c r="BJ46934" s="201"/>
    </row>
    <row r="46935" spans="62:62" x14ac:dyDescent="0.2">
      <c r="BJ46935" s="201"/>
    </row>
    <row r="46936" spans="62:62" x14ac:dyDescent="0.2">
      <c r="BJ46936" s="201"/>
    </row>
    <row r="46937" spans="62:62" x14ac:dyDescent="0.2">
      <c r="BJ46937" s="201"/>
    </row>
    <row r="46938" spans="62:62" x14ac:dyDescent="0.2">
      <c r="BJ46938" s="201"/>
    </row>
    <row r="46939" spans="62:62" x14ac:dyDescent="0.2">
      <c r="BJ46939" s="201"/>
    </row>
    <row r="46940" spans="62:62" x14ac:dyDescent="0.2">
      <c r="BJ46940" s="201"/>
    </row>
    <row r="46941" spans="62:62" x14ac:dyDescent="0.2">
      <c r="BJ46941" s="201"/>
    </row>
    <row r="46942" spans="62:62" x14ac:dyDescent="0.2">
      <c r="BJ46942" s="201"/>
    </row>
    <row r="46943" spans="62:62" x14ac:dyDescent="0.2">
      <c r="BJ46943" s="201"/>
    </row>
    <row r="46944" spans="62:62" x14ac:dyDescent="0.2">
      <c r="BJ46944" s="201"/>
    </row>
    <row r="46945" spans="62:62" x14ac:dyDescent="0.2">
      <c r="BJ46945" s="201"/>
    </row>
    <row r="46946" spans="62:62" x14ac:dyDescent="0.2">
      <c r="BJ46946" s="201"/>
    </row>
    <row r="46947" spans="62:62" x14ac:dyDescent="0.2">
      <c r="BJ46947" s="201"/>
    </row>
    <row r="46948" spans="62:62" x14ac:dyDescent="0.2">
      <c r="BJ46948" s="201"/>
    </row>
    <row r="46949" spans="62:62" x14ac:dyDescent="0.2">
      <c r="BJ46949" s="201"/>
    </row>
    <row r="46950" spans="62:62" x14ac:dyDescent="0.2">
      <c r="BJ46950" s="201"/>
    </row>
    <row r="46951" spans="62:62" x14ac:dyDescent="0.2">
      <c r="BJ46951" s="201"/>
    </row>
    <row r="46952" spans="62:62" x14ac:dyDescent="0.2">
      <c r="BJ46952" s="201"/>
    </row>
    <row r="46953" spans="62:62" x14ac:dyDescent="0.2">
      <c r="BJ46953" s="201"/>
    </row>
    <row r="46954" spans="62:62" x14ac:dyDescent="0.2">
      <c r="BJ46954" s="201"/>
    </row>
    <row r="46955" spans="62:62" x14ac:dyDescent="0.2">
      <c r="BJ46955" s="201"/>
    </row>
    <row r="46956" spans="62:62" x14ac:dyDescent="0.2">
      <c r="BJ46956" s="201"/>
    </row>
    <row r="46957" spans="62:62" x14ac:dyDescent="0.2">
      <c r="BJ46957" s="201"/>
    </row>
    <row r="46958" spans="62:62" x14ac:dyDescent="0.2">
      <c r="BJ46958" s="201"/>
    </row>
    <row r="46959" spans="62:62" x14ac:dyDescent="0.2">
      <c r="BJ46959" s="201"/>
    </row>
    <row r="46960" spans="62:62" x14ac:dyDescent="0.2">
      <c r="BJ46960" s="201"/>
    </row>
    <row r="46961" spans="62:62" x14ac:dyDescent="0.2">
      <c r="BJ46961" s="201"/>
    </row>
    <row r="46962" spans="62:62" x14ac:dyDescent="0.2">
      <c r="BJ46962" s="201"/>
    </row>
    <row r="46963" spans="62:62" x14ac:dyDescent="0.2">
      <c r="BJ46963" s="201"/>
    </row>
    <row r="46964" spans="62:62" x14ac:dyDescent="0.2">
      <c r="BJ46964" s="201"/>
    </row>
    <row r="46965" spans="62:62" x14ac:dyDescent="0.2">
      <c r="BJ46965" s="201"/>
    </row>
    <row r="46966" spans="62:62" x14ac:dyDescent="0.2">
      <c r="BJ46966" s="201"/>
    </row>
    <row r="46967" spans="62:62" x14ac:dyDescent="0.2">
      <c r="BJ46967" s="201"/>
    </row>
    <row r="46968" spans="62:62" x14ac:dyDescent="0.2">
      <c r="BJ46968" s="201"/>
    </row>
    <row r="46969" spans="62:62" x14ac:dyDescent="0.2">
      <c r="BJ46969" s="201"/>
    </row>
    <row r="46970" spans="62:62" x14ac:dyDescent="0.2">
      <c r="BJ46970" s="201"/>
    </row>
    <row r="46971" spans="62:62" x14ac:dyDescent="0.2">
      <c r="BJ46971" s="201"/>
    </row>
    <row r="46972" spans="62:62" x14ac:dyDescent="0.2">
      <c r="BJ46972" s="201"/>
    </row>
    <row r="46973" spans="62:62" x14ac:dyDescent="0.2">
      <c r="BJ46973" s="201"/>
    </row>
    <row r="46974" spans="62:62" x14ac:dyDescent="0.2">
      <c r="BJ46974" s="201"/>
    </row>
    <row r="46975" spans="62:62" x14ac:dyDescent="0.2">
      <c r="BJ46975" s="201"/>
    </row>
    <row r="46976" spans="62:62" x14ac:dyDescent="0.2">
      <c r="BJ46976" s="201"/>
    </row>
    <row r="46977" spans="62:62" x14ac:dyDescent="0.2">
      <c r="BJ46977" s="201"/>
    </row>
    <row r="46978" spans="62:62" x14ac:dyDescent="0.2">
      <c r="BJ46978" s="201"/>
    </row>
    <row r="46979" spans="62:62" x14ac:dyDescent="0.2">
      <c r="BJ46979" s="201"/>
    </row>
    <row r="46980" spans="62:62" x14ac:dyDescent="0.2">
      <c r="BJ46980" s="201"/>
    </row>
    <row r="46981" spans="62:62" x14ac:dyDescent="0.2">
      <c r="BJ46981" s="201"/>
    </row>
    <row r="46982" spans="62:62" x14ac:dyDescent="0.2">
      <c r="BJ46982" s="201"/>
    </row>
    <row r="46983" spans="62:62" x14ac:dyDescent="0.2">
      <c r="BJ46983" s="201"/>
    </row>
    <row r="46984" spans="62:62" x14ac:dyDescent="0.2">
      <c r="BJ46984" s="201"/>
    </row>
    <row r="46985" spans="62:62" x14ac:dyDescent="0.2">
      <c r="BJ46985" s="201"/>
    </row>
    <row r="46986" spans="62:62" x14ac:dyDescent="0.2">
      <c r="BJ46986" s="201"/>
    </row>
    <row r="46987" spans="62:62" x14ac:dyDescent="0.2">
      <c r="BJ46987" s="201"/>
    </row>
    <row r="46988" spans="62:62" x14ac:dyDescent="0.2">
      <c r="BJ46988" s="201"/>
    </row>
    <row r="46989" spans="62:62" x14ac:dyDescent="0.2">
      <c r="BJ46989" s="201"/>
    </row>
    <row r="46990" spans="62:62" x14ac:dyDescent="0.2">
      <c r="BJ46990" s="201"/>
    </row>
    <row r="46991" spans="62:62" x14ac:dyDescent="0.2">
      <c r="BJ46991" s="201"/>
    </row>
    <row r="46992" spans="62:62" x14ac:dyDescent="0.2">
      <c r="BJ46992" s="201"/>
    </row>
    <row r="46993" spans="62:62" x14ac:dyDescent="0.2">
      <c r="BJ46993" s="201"/>
    </row>
    <row r="46994" spans="62:62" x14ac:dyDescent="0.2">
      <c r="BJ46994" s="201"/>
    </row>
    <row r="46995" spans="62:62" x14ac:dyDescent="0.2">
      <c r="BJ46995" s="201"/>
    </row>
    <row r="46996" spans="62:62" x14ac:dyDescent="0.2">
      <c r="BJ46996" s="201"/>
    </row>
    <row r="46997" spans="62:62" x14ac:dyDescent="0.2">
      <c r="BJ46997" s="201"/>
    </row>
    <row r="46998" spans="62:62" x14ac:dyDescent="0.2">
      <c r="BJ46998" s="201"/>
    </row>
    <row r="46999" spans="62:62" x14ac:dyDescent="0.2">
      <c r="BJ46999" s="201"/>
    </row>
    <row r="47000" spans="62:62" x14ac:dyDescent="0.2">
      <c r="BJ47000" s="201"/>
    </row>
    <row r="47001" spans="62:62" x14ac:dyDescent="0.2">
      <c r="BJ47001" s="201"/>
    </row>
    <row r="47002" spans="62:62" x14ac:dyDescent="0.2">
      <c r="BJ47002" s="201"/>
    </row>
    <row r="47003" spans="62:62" x14ac:dyDescent="0.2">
      <c r="BJ47003" s="201"/>
    </row>
    <row r="47004" spans="62:62" x14ac:dyDescent="0.2">
      <c r="BJ47004" s="201"/>
    </row>
    <row r="47005" spans="62:62" x14ac:dyDescent="0.2">
      <c r="BJ47005" s="201"/>
    </row>
    <row r="47006" spans="62:62" x14ac:dyDescent="0.2">
      <c r="BJ47006" s="201"/>
    </row>
    <row r="47007" spans="62:62" x14ac:dyDescent="0.2">
      <c r="BJ47007" s="201"/>
    </row>
    <row r="47008" spans="62:62" x14ac:dyDescent="0.2">
      <c r="BJ47008" s="201"/>
    </row>
    <row r="47009" spans="62:62" x14ac:dyDescent="0.2">
      <c r="BJ47009" s="201"/>
    </row>
    <row r="47010" spans="62:62" x14ac:dyDescent="0.2">
      <c r="BJ47010" s="201"/>
    </row>
    <row r="47011" spans="62:62" x14ac:dyDescent="0.2">
      <c r="BJ47011" s="201"/>
    </row>
    <row r="47012" spans="62:62" x14ac:dyDescent="0.2">
      <c r="BJ47012" s="201"/>
    </row>
    <row r="47013" spans="62:62" x14ac:dyDescent="0.2">
      <c r="BJ47013" s="201"/>
    </row>
    <row r="47014" spans="62:62" x14ac:dyDescent="0.2">
      <c r="BJ47014" s="201"/>
    </row>
    <row r="47015" spans="62:62" x14ac:dyDescent="0.2">
      <c r="BJ47015" s="201"/>
    </row>
    <row r="47016" spans="62:62" x14ac:dyDescent="0.2">
      <c r="BJ47016" s="201"/>
    </row>
    <row r="47017" spans="62:62" x14ac:dyDescent="0.2">
      <c r="BJ47017" s="201"/>
    </row>
    <row r="47018" spans="62:62" x14ac:dyDescent="0.2">
      <c r="BJ47018" s="201"/>
    </row>
    <row r="47019" spans="62:62" x14ac:dyDescent="0.2">
      <c r="BJ47019" s="201"/>
    </row>
    <row r="47020" spans="62:62" x14ac:dyDescent="0.2">
      <c r="BJ47020" s="201"/>
    </row>
    <row r="47021" spans="62:62" x14ac:dyDescent="0.2">
      <c r="BJ47021" s="201"/>
    </row>
    <row r="47022" spans="62:62" x14ac:dyDescent="0.2">
      <c r="BJ47022" s="201"/>
    </row>
    <row r="47023" spans="62:62" x14ac:dyDescent="0.2">
      <c r="BJ47023" s="201"/>
    </row>
    <row r="47024" spans="62:62" x14ac:dyDescent="0.2">
      <c r="BJ47024" s="201"/>
    </row>
    <row r="47025" spans="62:62" x14ac:dyDescent="0.2">
      <c r="BJ47025" s="201"/>
    </row>
    <row r="47026" spans="62:62" x14ac:dyDescent="0.2">
      <c r="BJ47026" s="201"/>
    </row>
    <row r="47027" spans="62:62" x14ac:dyDescent="0.2">
      <c r="BJ47027" s="201"/>
    </row>
    <row r="47028" spans="62:62" x14ac:dyDescent="0.2">
      <c r="BJ47028" s="201"/>
    </row>
    <row r="47029" spans="62:62" x14ac:dyDescent="0.2">
      <c r="BJ47029" s="201"/>
    </row>
    <row r="47030" spans="62:62" x14ac:dyDescent="0.2">
      <c r="BJ47030" s="201"/>
    </row>
    <row r="47031" spans="62:62" x14ac:dyDescent="0.2">
      <c r="BJ47031" s="201"/>
    </row>
    <row r="47032" spans="62:62" x14ac:dyDescent="0.2">
      <c r="BJ47032" s="201"/>
    </row>
    <row r="47033" spans="62:62" x14ac:dyDescent="0.2">
      <c r="BJ47033" s="201"/>
    </row>
    <row r="47034" spans="62:62" x14ac:dyDescent="0.2">
      <c r="BJ47034" s="201"/>
    </row>
    <row r="47035" spans="62:62" x14ac:dyDescent="0.2">
      <c r="BJ47035" s="201"/>
    </row>
    <row r="47036" spans="62:62" x14ac:dyDescent="0.2">
      <c r="BJ47036" s="201"/>
    </row>
    <row r="47037" spans="62:62" x14ac:dyDescent="0.2">
      <c r="BJ47037" s="201"/>
    </row>
    <row r="47038" spans="62:62" x14ac:dyDescent="0.2">
      <c r="BJ47038" s="201"/>
    </row>
    <row r="47039" spans="62:62" x14ac:dyDescent="0.2">
      <c r="BJ47039" s="201"/>
    </row>
    <row r="47040" spans="62:62" x14ac:dyDescent="0.2">
      <c r="BJ47040" s="201"/>
    </row>
    <row r="47041" spans="62:62" x14ac:dyDescent="0.2">
      <c r="BJ47041" s="201"/>
    </row>
    <row r="47042" spans="62:62" x14ac:dyDescent="0.2">
      <c r="BJ47042" s="201"/>
    </row>
    <row r="47043" spans="62:62" x14ac:dyDescent="0.2">
      <c r="BJ47043" s="201"/>
    </row>
    <row r="47044" spans="62:62" x14ac:dyDescent="0.2">
      <c r="BJ47044" s="201"/>
    </row>
    <row r="47045" spans="62:62" x14ac:dyDescent="0.2">
      <c r="BJ47045" s="201"/>
    </row>
    <row r="47046" spans="62:62" x14ac:dyDescent="0.2">
      <c r="BJ47046" s="201"/>
    </row>
    <row r="47047" spans="62:62" x14ac:dyDescent="0.2">
      <c r="BJ47047" s="201"/>
    </row>
    <row r="47048" spans="62:62" x14ac:dyDescent="0.2">
      <c r="BJ47048" s="201"/>
    </row>
    <row r="47049" spans="62:62" x14ac:dyDescent="0.2">
      <c r="BJ47049" s="201"/>
    </row>
    <row r="47050" spans="62:62" x14ac:dyDescent="0.2">
      <c r="BJ47050" s="201"/>
    </row>
    <row r="47051" spans="62:62" x14ac:dyDescent="0.2">
      <c r="BJ47051" s="201"/>
    </row>
    <row r="47052" spans="62:62" x14ac:dyDescent="0.2">
      <c r="BJ47052" s="201"/>
    </row>
    <row r="47053" spans="62:62" x14ac:dyDescent="0.2">
      <c r="BJ47053" s="201"/>
    </row>
    <row r="47054" spans="62:62" x14ac:dyDescent="0.2">
      <c r="BJ47054" s="201"/>
    </row>
    <row r="47055" spans="62:62" x14ac:dyDescent="0.2">
      <c r="BJ47055" s="201"/>
    </row>
    <row r="47056" spans="62:62" x14ac:dyDescent="0.2">
      <c r="BJ47056" s="201"/>
    </row>
    <row r="47057" spans="62:62" x14ac:dyDescent="0.2">
      <c r="BJ47057" s="201"/>
    </row>
    <row r="47058" spans="62:62" x14ac:dyDescent="0.2">
      <c r="BJ47058" s="201"/>
    </row>
    <row r="47059" spans="62:62" x14ac:dyDescent="0.2">
      <c r="BJ47059" s="201"/>
    </row>
    <row r="47060" spans="62:62" x14ac:dyDescent="0.2">
      <c r="BJ47060" s="201"/>
    </row>
    <row r="47061" spans="62:62" x14ac:dyDescent="0.2">
      <c r="BJ47061" s="201"/>
    </row>
    <row r="47062" spans="62:62" x14ac:dyDescent="0.2">
      <c r="BJ47062" s="201"/>
    </row>
    <row r="47063" spans="62:62" x14ac:dyDescent="0.2">
      <c r="BJ47063" s="201"/>
    </row>
    <row r="47064" spans="62:62" x14ac:dyDescent="0.2">
      <c r="BJ47064" s="201"/>
    </row>
    <row r="47065" spans="62:62" x14ac:dyDescent="0.2">
      <c r="BJ47065" s="201"/>
    </row>
    <row r="47066" spans="62:62" x14ac:dyDescent="0.2">
      <c r="BJ47066" s="201"/>
    </row>
    <row r="47067" spans="62:62" x14ac:dyDescent="0.2">
      <c r="BJ47067" s="201"/>
    </row>
    <row r="47068" spans="62:62" x14ac:dyDescent="0.2">
      <c r="BJ47068" s="201"/>
    </row>
    <row r="47069" spans="62:62" x14ac:dyDescent="0.2">
      <c r="BJ47069" s="201"/>
    </row>
    <row r="47070" spans="62:62" x14ac:dyDescent="0.2">
      <c r="BJ47070" s="201"/>
    </row>
    <row r="47071" spans="62:62" x14ac:dyDescent="0.2">
      <c r="BJ47071" s="201"/>
    </row>
    <row r="47072" spans="62:62" x14ac:dyDescent="0.2">
      <c r="BJ47072" s="201"/>
    </row>
    <row r="47073" spans="62:62" x14ac:dyDescent="0.2">
      <c r="BJ47073" s="201"/>
    </row>
    <row r="47074" spans="62:62" x14ac:dyDescent="0.2">
      <c r="BJ47074" s="201"/>
    </row>
    <row r="47075" spans="62:62" x14ac:dyDescent="0.2">
      <c r="BJ47075" s="201"/>
    </row>
    <row r="47076" spans="62:62" x14ac:dyDescent="0.2">
      <c r="BJ47076" s="201"/>
    </row>
    <row r="47077" spans="62:62" x14ac:dyDescent="0.2">
      <c r="BJ47077" s="201"/>
    </row>
    <row r="47078" spans="62:62" x14ac:dyDescent="0.2">
      <c r="BJ47078" s="201"/>
    </row>
    <row r="47079" spans="62:62" x14ac:dyDescent="0.2">
      <c r="BJ47079" s="201"/>
    </row>
    <row r="47080" spans="62:62" x14ac:dyDescent="0.2">
      <c r="BJ47080" s="201"/>
    </row>
    <row r="47081" spans="62:62" x14ac:dyDescent="0.2">
      <c r="BJ47081" s="201"/>
    </row>
    <row r="47082" spans="62:62" x14ac:dyDescent="0.2">
      <c r="BJ47082" s="201"/>
    </row>
    <row r="47083" spans="62:62" x14ac:dyDescent="0.2">
      <c r="BJ47083" s="201"/>
    </row>
    <row r="47084" spans="62:62" x14ac:dyDescent="0.2">
      <c r="BJ47084" s="201"/>
    </row>
    <row r="47085" spans="62:62" x14ac:dyDescent="0.2">
      <c r="BJ47085" s="201"/>
    </row>
    <row r="47086" spans="62:62" x14ac:dyDescent="0.2">
      <c r="BJ47086" s="201"/>
    </row>
    <row r="47087" spans="62:62" x14ac:dyDescent="0.2">
      <c r="BJ47087" s="201"/>
    </row>
    <row r="47088" spans="62:62" x14ac:dyDescent="0.2">
      <c r="BJ47088" s="201"/>
    </row>
    <row r="47089" spans="62:62" x14ac:dyDescent="0.2">
      <c r="BJ47089" s="201"/>
    </row>
    <row r="47090" spans="62:62" x14ac:dyDescent="0.2">
      <c r="BJ47090" s="201"/>
    </row>
    <row r="47091" spans="62:62" x14ac:dyDescent="0.2">
      <c r="BJ47091" s="201"/>
    </row>
    <row r="47092" spans="62:62" x14ac:dyDescent="0.2">
      <c r="BJ47092" s="201"/>
    </row>
    <row r="47093" spans="62:62" x14ac:dyDescent="0.2">
      <c r="BJ47093" s="201"/>
    </row>
    <row r="47094" spans="62:62" x14ac:dyDescent="0.2">
      <c r="BJ47094" s="201"/>
    </row>
    <row r="47095" spans="62:62" x14ac:dyDescent="0.2">
      <c r="BJ47095" s="201"/>
    </row>
    <row r="47096" spans="62:62" x14ac:dyDescent="0.2">
      <c r="BJ47096" s="201"/>
    </row>
    <row r="47097" spans="62:62" x14ac:dyDescent="0.2">
      <c r="BJ47097" s="201"/>
    </row>
    <row r="47098" spans="62:62" x14ac:dyDescent="0.2">
      <c r="BJ47098" s="201"/>
    </row>
    <row r="47099" spans="62:62" x14ac:dyDescent="0.2">
      <c r="BJ47099" s="201"/>
    </row>
    <row r="47100" spans="62:62" x14ac:dyDescent="0.2">
      <c r="BJ47100" s="201"/>
    </row>
    <row r="47101" spans="62:62" x14ac:dyDescent="0.2">
      <c r="BJ47101" s="201"/>
    </row>
    <row r="47102" spans="62:62" x14ac:dyDescent="0.2">
      <c r="BJ47102" s="201"/>
    </row>
    <row r="47103" spans="62:62" x14ac:dyDescent="0.2">
      <c r="BJ47103" s="201"/>
    </row>
    <row r="47104" spans="62:62" x14ac:dyDescent="0.2">
      <c r="BJ47104" s="201"/>
    </row>
    <row r="47105" spans="62:62" x14ac:dyDescent="0.2">
      <c r="BJ47105" s="201"/>
    </row>
    <row r="47106" spans="62:62" x14ac:dyDescent="0.2">
      <c r="BJ47106" s="201"/>
    </row>
    <row r="47107" spans="62:62" x14ac:dyDescent="0.2">
      <c r="BJ47107" s="201"/>
    </row>
    <row r="47108" spans="62:62" x14ac:dyDescent="0.2">
      <c r="BJ47108" s="201"/>
    </row>
    <row r="47109" spans="62:62" x14ac:dyDescent="0.2">
      <c r="BJ47109" s="201"/>
    </row>
    <row r="47110" spans="62:62" x14ac:dyDescent="0.2">
      <c r="BJ47110" s="201"/>
    </row>
    <row r="47111" spans="62:62" x14ac:dyDescent="0.2">
      <c r="BJ47111" s="201"/>
    </row>
    <row r="47112" spans="62:62" x14ac:dyDescent="0.2">
      <c r="BJ47112" s="201"/>
    </row>
    <row r="47113" spans="62:62" x14ac:dyDescent="0.2">
      <c r="BJ47113" s="201"/>
    </row>
    <row r="47114" spans="62:62" x14ac:dyDescent="0.2">
      <c r="BJ47114" s="201"/>
    </row>
    <row r="47115" spans="62:62" x14ac:dyDescent="0.2">
      <c r="BJ47115" s="201"/>
    </row>
    <row r="47116" spans="62:62" x14ac:dyDescent="0.2">
      <c r="BJ47116" s="201"/>
    </row>
    <row r="47117" spans="62:62" x14ac:dyDescent="0.2">
      <c r="BJ47117" s="201"/>
    </row>
    <row r="47118" spans="62:62" x14ac:dyDescent="0.2">
      <c r="BJ47118" s="201"/>
    </row>
    <row r="47119" spans="62:62" x14ac:dyDescent="0.2">
      <c r="BJ47119" s="201"/>
    </row>
    <row r="47120" spans="62:62" x14ac:dyDescent="0.2">
      <c r="BJ47120" s="201"/>
    </row>
    <row r="47121" spans="62:62" x14ac:dyDescent="0.2">
      <c r="BJ47121" s="201"/>
    </row>
    <row r="47122" spans="62:62" x14ac:dyDescent="0.2">
      <c r="BJ47122" s="201"/>
    </row>
    <row r="47123" spans="62:62" x14ac:dyDescent="0.2">
      <c r="BJ47123" s="201"/>
    </row>
    <row r="47124" spans="62:62" x14ac:dyDescent="0.2">
      <c r="BJ47124" s="201"/>
    </row>
    <row r="47125" spans="62:62" x14ac:dyDescent="0.2">
      <c r="BJ47125" s="201"/>
    </row>
    <row r="47126" spans="62:62" x14ac:dyDescent="0.2">
      <c r="BJ47126" s="201"/>
    </row>
    <row r="47127" spans="62:62" x14ac:dyDescent="0.2">
      <c r="BJ47127" s="201"/>
    </row>
    <row r="47128" spans="62:62" x14ac:dyDescent="0.2">
      <c r="BJ47128" s="201"/>
    </row>
    <row r="47129" spans="62:62" x14ac:dyDescent="0.2">
      <c r="BJ47129" s="201"/>
    </row>
    <row r="47130" spans="62:62" x14ac:dyDescent="0.2">
      <c r="BJ47130" s="201"/>
    </row>
    <row r="47131" spans="62:62" x14ac:dyDescent="0.2">
      <c r="BJ47131" s="201"/>
    </row>
    <row r="47132" spans="62:62" x14ac:dyDescent="0.2">
      <c r="BJ47132" s="201"/>
    </row>
    <row r="47133" spans="62:62" x14ac:dyDescent="0.2">
      <c r="BJ47133" s="201"/>
    </row>
    <row r="47134" spans="62:62" x14ac:dyDescent="0.2">
      <c r="BJ47134" s="201"/>
    </row>
    <row r="47135" spans="62:62" x14ac:dyDescent="0.2">
      <c r="BJ47135" s="201"/>
    </row>
    <row r="47136" spans="62:62" x14ac:dyDescent="0.2">
      <c r="BJ47136" s="201"/>
    </row>
    <row r="47137" spans="62:62" x14ac:dyDescent="0.2">
      <c r="BJ47137" s="201"/>
    </row>
    <row r="47138" spans="62:62" x14ac:dyDescent="0.2">
      <c r="BJ47138" s="201"/>
    </row>
    <row r="47139" spans="62:62" x14ac:dyDescent="0.2">
      <c r="BJ47139" s="201"/>
    </row>
    <row r="47140" spans="62:62" x14ac:dyDescent="0.2">
      <c r="BJ47140" s="201"/>
    </row>
    <row r="47141" spans="62:62" x14ac:dyDescent="0.2">
      <c r="BJ47141" s="201"/>
    </row>
    <row r="47142" spans="62:62" x14ac:dyDescent="0.2">
      <c r="BJ47142" s="201"/>
    </row>
    <row r="47143" spans="62:62" x14ac:dyDescent="0.2">
      <c r="BJ47143" s="201"/>
    </row>
    <row r="47144" spans="62:62" x14ac:dyDescent="0.2">
      <c r="BJ47144" s="201"/>
    </row>
    <row r="47145" spans="62:62" x14ac:dyDescent="0.2">
      <c r="BJ47145" s="201"/>
    </row>
    <row r="47146" spans="62:62" x14ac:dyDescent="0.2">
      <c r="BJ47146" s="201"/>
    </row>
    <row r="47147" spans="62:62" x14ac:dyDescent="0.2">
      <c r="BJ47147" s="201"/>
    </row>
    <row r="47148" spans="62:62" x14ac:dyDescent="0.2">
      <c r="BJ47148" s="201"/>
    </row>
    <row r="47149" spans="62:62" x14ac:dyDescent="0.2">
      <c r="BJ47149" s="201"/>
    </row>
    <row r="47150" spans="62:62" x14ac:dyDescent="0.2">
      <c r="BJ47150" s="201"/>
    </row>
    <row r="47151" spans="62:62" x14ac:dyDescent="0.2">
      <c r="BJ47151" s="201"/>
    </row>
    <row r="47152" spans="62:62" x14ac:dyDescent="0.2">
      <c r="BJ47152" s="201"/>
    </row>
    <row r="47153" spans="62:62" x14ac:dyDescent="0.2">
      <c r="BJ47153" s="201"/>
    </row>
    <row r="47154" spans="62:62" x14ac:dyDescent="0.2">
      <c r="BJ47154" s="201"/>
    </row>
    <row r="47155" spans="62:62" x14ac:dyDescent="0.2">
      <c r="BJ47155" s="201"/>
    </row>
    <row r="47156" spans="62:62" x14ac:dyDescent="0.2">
      <c r="BJ47156" s="201"/>
    </row>
    <row r="47157" spans="62:62" x14ac:dyDescent="0.2">
      <c r="BJ47157" s="201"/>
    </row>
    <row r="47158" spans="62:62" x14ac:dyDescent="0.2">
      <c r="BJ47158" s="201"/>
    </row>
    <row r="47159" spans="62:62" x14ac:dyDescent="0.2">
      <c r="BJ47159" s="201"/>
    </row>
    <row r="47160" spans="62:62" x14ac:dyDescent="0.2">
      <c r="BJ47160" s="201"/>
    </row>
    <row r="47161" spans="62:62" x14ac:dyDescent="0.2">
      <c r="BJ47161" s="201"/>
    </row>
    <row r="47162" spans="62:62" x14ac:dyDescent="0.2">
      <c r="BJ47162" s="201"/>
    </row>
    <row r="47163" spans="62:62" x14ac:dyDescent="0.2">
      <c r="BJ47163" s="201"/>
    </row>
    <row r="47164" spans="62:62" x14ac:dyDescent="0.2">
      <c r="BJ47164" s="201"/>
    </row>
    <row r="47165" spans="62:62" x14ac:dyDescent="0.2">
      <c r="BJ47165" s="201"/>
    </row>
    <row r="47166" spans="62:62" x14ac:dyDescent="0.2">
      <c r="BJ47166" s="201"/>
    </row>
    <row r="47167" spans="62:62" x14ac:dyDescent="0.2">
      <c r="BJ47167" s="201"/>
    </row>
    <row r="47168" spans="62:62" x14ac:dyDescent="0.2">
      <c r="BJ47168" s="201"/>
    </row>
    <row r="47169" spans="62:62" x14ac:dyDescent="0.2">
      <c r="BJ47169" s="201"/>
    </row>
    <row r="47170" spans="62:62" x14ac:dyDescent="0.2">
      <c r="BJ47170" s="201"/>
    </row>
    <row r="47171" spans="62:62" x14ac:dyDescent="0.2">
      <c r="BJ47171" s="201"/>
    </row>
    <row r="47172" spans="62:62" x14ac:dyDescent="0.2">
      <c r="BJ47172" s="201"/>
    </row>
    <row r="47173" spans="62:62" x14ac:dyDescent="0.2">
      <c r="BJ47173" s="201"/>
    </row>
    <row r="47174" spans="62:62" x14ac:dyDescent="0.2">
      <c r="BJ47174" s="201"/>
    </row>
    <row r="47175" spans="62:62" x14ac:dyDescent="0.2">
      <c r="BJ47175" s="201"/>
    </row>
    <row r="47176" spans="62:62" x14ac:dyDescent="0.2">
      <c r="BJ47176" s="201"/>
    </row>
    <row r="47177" spans="62:62" x14ac:dyDescent="0.2">
      <c r="BJ47177" s="201"/>
    </row>
    <row r="47178" spans="62:62" x14ac:dyDescent="0.2">
      <c r="BJ47178" s="201"/>
    </row>
    <row r="47179" spans="62:62" x14ac:dyDescent="0.2">
      <c r="BJ47179" s="201"/>
    </row>
    <row r="47180" spans="62:62" x14ac:dyDescent="0.2">
      <c r="BJ47180" s="201"/>
    </row>
    <row r="47181" spans="62:62" x14ac:dyDescent="0.2">
      <c r="BJ47181" s="201"/>
    </row>
    <row r="47182" spans="62:62" x14ac:dyDescent="0.2">
      <c r="BJ47182" s="201"/>
    </row>
    <row r="47183" spans="62:62" x14ac:dyDescent="0.2">
      <c r="BJ47183" s="201"/>
    </row>
    <row r="47184" spans="62:62" x14ac:dyDescent="0.2">
      <c r="BJ47184" s="201"/>
    </row>
    <row r="47185" spans="62:62" x14ac:dyDescent="0.2">
      <c r="BJ47185" s="201"/>
    </row>
    <row r="47186" spans="62:62" x14ac:dyDescent="0.2">
      <c r="BJ47186" s="201"/>
    </row>
    <row r="47187" spans="62:62" x14ac:dyDescent="0.2">
      <c r="BJ47187" s="201"/>
    </row>
    <row r="47188" spans="62:62" x14ac:dyDescent="0.2">
      <c r="BJ47188" s="201"/>
    </row>
    <row r="47189" spans="62:62" x14ac:dyDescent="0.2">
      <c r="BJ47189" s="201"/>
    </row>
    <row r="47190" spans="62:62" x14ac:dyDescent="0.2">
      <c r="BJ47190" s="201"/>
    </row>
    <row r="47191" spans="62:62" x14ac:dyDescent="0.2">
      <c r="BJ47191" s="201"/>
    </row>
    <row r="47192" spans="62:62" x14ac:dyDescent="0.2">
      <c r="BJ47192" s="201"/>
    </row>
    <row r="47193" spans="62:62" x14ac:dyDescent="0.2">
      <c r="BJ47193" s="201"/>
    </row>
    <row r="47194" spans="62:62" x14ac:dyDescent="0.2">
      <c r="BJ47194" s="201"/>
    </row>
    <row r="47195" spans="62:62" x14ac:dyDescent="0.2">
      <c r="BJ47195" s="201"/>
    </row>
    <row r="47196" spans="62:62" x14ac:dyDescent="0.2">
      <c r="BJ47196" s="201"/>
    </row>
    <row r="47197" spans="62:62" x14ac:dyDescent="0.2">
      <c r="BJ47197" s="201"/>
    </row>
    <row r="47198" spans="62:62" x14ac:dyDescent="0.2">
      <c r="BJ47198" s="201"/>
    </row>
    <row r="47199" spans="62:62" x14ac:dyDescent="0.2">
      <c r="BJ47199" s="201"/>
    </row>
    <row r="47200" spans="62:62" x14ac:dyDescent="0.2">
      <c r="BJ47200" s="201"/>
    </row>
    <row r="47201" spans="62:62" x14ac:dyDescent="0.2">
      <c r="BJ47201" s="201"/>
    </row>
    <row r="47202" spans="62:62" x14ac:dyDescent="0.2">
      <c r="BJ47202" s="201"/>
    </row>
    <row r="47203" spans="62:62" x14ac:dyDescent="0.2">
      <c r="BJ47203" s="201"/>
    </row>
    <row r="47204" spans="62:62" x14ac:dyDescent="0.2">
      <c r="BJ47204" s="201"/>
    </row>
    <row r="47205" spans="62:62" x14ac:dyDescent="0.2">
      <c r="BJ47205" s="201"/>
    </row>
    <row r="47206" spans="62:62" x14ac:dyDescent="0.2">
      <c r="BJ47206" s="201"/>
    </row>
    <row r="47207" spans="62:62" x14ac:dyDescent="0.2">
      <c r="BJ47207" s="201"/>
    </row>
    <row r="47208" spans="62:62" x14ac:dyDescent="0.2">
      <c r="BJ47208" s="201"/>
    </row>
    <row r="47209" spans="62:62" x14ac:dyDescent="0.2">
      <c r="BJ47209" s="201"/>
    </row>
    <row r="47210" spans="62:62" x14ac:dyDescent="0.2">
      <c r="BJ47210" s="201"/>
    </row>
    <row r="47211" spans="62:62" x14ac:dyDescent="0.2">
      <c r="BJ47211" s="201"/>
    </row>
    <row r="47212" spans="62:62" x14ac:dyDescent="0.2">
      <c r="BJ47212" s="201"/>
    </row>
    <row r="47213" spans="62:62" x14ac:dyDescent="0.2">
      <c r="BJ47213" s="201"/>
    </row>
    <row r="47214" spans="62:62" x14ac:dyDescent="0.2">
      <c r="BJ47214" s="201"/>
    </row>
    <row r="47215" spans="62:62" x14ac:dyDescent="0.2">
      <c r="BJ47215" s="201"/>
    </row>
    <row r="47216" spans="62:62" x14ac:dyDescent="0.2">
      <c r="BJ47216" s="201"/>
    </row>
    <row r="47217" spans="62:62" x14ac:dyDescent="0.2">
      <c r="BJ47217" s="201"/>
    </row>
    <row r="47218" spans="62:62" x14ac:dyDescent="0.2">
      <c r="BJ47218" s="201"/>
    </row>
    <row r="47219" spans="62:62" x14ac:dyDescent="0.2">
      <c r="BJ47219" s="201"/>
    </row>
    <row r="47220" spans="62:62" x14ac:dyDescent="0.2">
      <c r="BJ47220" s="201"/>
    </row>
    <row r="47221" spans="62:62" x14ac:dyDescent="0.2">
      <c r="BJ47221" s="201"/>
    </row>
    <row r="47222" spans="62:62" x14ac:dyDescent="0.2">
      <c r="BJ47222" s="201"/>
    </row>
    <row r="47223" spans="62:62" x14ac:dyDescent="0.2">
      <c r="BJ47223" s="201"/>
    </row>
    <row r="47224" spans="62:62" x14ac:dyDescent="0.2">
      <c r="BJ47224" s="201"/>
    </row>
    <row r="47225" spans="62:62" x14ac:dyDescent="0.2">
      <c r="BJ47225" s="201"/>
    </row>
    <row r="47226" spans="62:62" x14ac:dyDescent="0.2">
      <c r="BJ47226" s="201"/>
    </row>
    <row r="47227" spans="62:62" x14ac:dyDescent="0.2">
      <c r="BJ47227" s="201"/>
    </row>
    <row r="47228" spans="62:62" x14ac:dyDescent="0.2">
      <c r="BJ47228" s="201"/>
    </row>
    <row r="47229" spans="62:62" x14ac:dyDescent="0.2">
      <c r="BJ47229" s="201"/>
    </row>
    <row r="47230" spans="62:62" x14ac:dyDescent="0.2">
      <c r="BJ47230" s="201"/>
    </row>
    <row r="47231" spans="62:62" x14ac:dyDescent="0.2">
      <c r="BJ47231" s="201"/>
    </row>
    <row r="47232" spans="62:62" x14ac:dyDescent="0.2">
      <c r="BJ47232" s="201"/>
    </row>
    <row r="47233" spans="62:62" x14ac:dyDescent="0.2">
      <c r="BJ47233" s="201"/>
    </row>
    <row r="47234" spans="62:62" x14ac:dyDescent="0.2">
      <c r="BJ47234" s="201"/>
    </row>
    <row r="47235" spans="62:62" x14ac:dyDescent="0.2">
      <c r="BJ47235" s="201"/>
    </row>
    <row r="47236" spans="62:62" x14ac:dyDescent="0.2">
      <c r="BJ47236" s="201"/>
    </row>
    <row r="47237" spans="62:62" x14ac:dyDescent="0.2">
      <c r="BJ47237" s="201"/>
    </row>
    <row r="47238" spans="62:62" x14ac:dyDescent="0.2">
      <c r="BJ47238" s="201"/>
    </row>
    <row r="47239" spans="62:62" x14ac:dyDescent="0.2">
      <c r="BJ47239" s="201"/>
    </row>
    <row r="47240" spans="62:62" x14ac:dyDescent="0.2">
      <c r="BJ47240" s="201"/>
    </row>
    <row r="47241" spans="62:62" x14ac:dyDescent="0.2">
      <c r="BJ47241" s="201"/>
    </row>
    <row r="47242" spans="62:62" x14ac:dyDescent="0.2">
      <c r="BJ47242" s="201"/>
    </row>
    <row r="47243" spans="62:62" x14ac:dyDescent="0.2">
      <c r="BJ47243" s="201"/>
    </row>
    <row r="47244" spans="62:62" x14ac:dyDescent="0.2">
      <c r="BJ47244" s="201"/>
    </row>
    <row r="47245" spans="62:62" x14ac:dyDescent="0.2">
      <c r="BJ47245" s="201"/>
    </row>
    <row r="47246" spans="62:62" x14ac:dyDescent="0.2">
      <c r="BJ47246" s="201"/>
    </row>
    <row r="47247" spans="62:62" x14ac:dyDescent="0.2">
      <c r="BJ47247" s="201"/>
    </row>
    <row r="47248" spans="62:62" x14ac:dyDescent="0.2">
      <c r="BJ47248" s="201"/>
    </row>
    <row r="47249" spans="62:62" x14ac:dyDescent="0.2">
      <c r="BJ47249" s="201"/>
    </row>
    <row r="47250" spans="62:62" x14ac:dyDescent="0.2">
      <c r="BJ47250" s="201"/>
    </row>
    <row r="47251" spans="62:62" x14ac:dyDescent="0.2">
      <c r="BJ47251" s="201"/>
    </row>
    <row r="47252" spans="62:62" x14ac:dyDescent="0.2">
      <c r="BJ47252" s="201"/>
    </row>
    <row r="47253" spans="62:62" x14ac:dyDescent="0.2">
      <c r="BJ47253" s="201"/>
    </row>
    <row r="47254" spans="62:62" x14ac:dyDescent="0.2">
      <c r="BJ47254" s="201"/>
    </row>
    <row r="47255" spans="62:62" x14ac:dyDescent="0.2">
      <c r="BJ47255" s="201"/>
    </row>
    <row r="47256" spans="62:62" x14ac:dyDescent="0.2">
      <c r="BJ47256" s="201"/>
    </row>
    <row r="47257" spans="62:62" x14ac:dyDescent="0.2">
      <c r="BJ47257" s="201"/>
    </row>
    <row r="47258" spans="62:62" x14ac:dyDescent="0.2">
      <c r="BJ47258" s="201"/>
    </row>
    <row r="47259" spans="62:62" x14ac:dyDescent="0.2">
      <c r="BJ47259" s="201"/>
    </row>
    <row r="47260" spans="62:62" x14ac:dyDescent="0.2">
      <c r="BJ47260" s="201"/>
    </row>
    <row r="47261" spans="62:62" x14ac:dyDescent="0.2">
      <c r="BJ47261" s="201"/>
    </row>
    <row r="47262" spans="62:62" x14ac:dyDescent="0.2">
      <c r="BJ47262" s="201"/>
    </row>
    <row r="47263" spans="62:62" x14ac:dyDescent="0.2">
      <c r="BJ47263" s="201"/>
    </row>
    <row r="47264" spans="62:62" x14ac:dyDescent="0.2">
      <c r="BJ47264" s="201"/>
    </row>
    <row r="47265" spans="62:62" x14ac:dyDescent="0.2">
      <c r="BJ47265" s="201"/>
    </row>
    <row r="47266" spans="62:62" x14ac:dyDescent="0.2">
      <c r="BJ47266" s="201"/>
    </row>
    <row r="47267" spans="62:62" x14ac:dyDescent="0.2">
      <c r="BJ47267" s="201"/>
    </row>
    <row r="47268" spans="62:62" x14ac:dyDescent="0.2">
      <c r="BJ47268" s="201"/>
    </row>
    <row r="47269" spans="62:62" x14ac:dyDescent="0.2">
      <c r="BJ47269" s="201"/>
    </row>
    <row r="47270" spans="62:62" x14ac:dyDescent="0.2">
      <c r="BJ47270" s="201"/>
    </row>
    <row r="47271" spans="62:62" x14ac:dyDescent="0.2">
      <c r="BJ47271" s="201"/>
    </row>
    <row r="47272" spans="62:62" x14ac:dyDescent="0.2">
      <c r="BJ47272" s="201"/>
    </row>
    <row r="47273" spans="62:62" x14ac:dyDescent="0.2">
      <c r="BJ47273" s="201"/>
    </row>
    <row r="47274" spans="62:62" x14ac:dyDescent="0.2">
      <c r="BJ47274" s="201"/>
    </row>
    <row r="47275" spans="62:62" x14ac:dyDescent="0.2">
      <c r="BJ47275" s="201"/>
    </row>
    <row r="47276" spans="62:62" x14ac:dyDescent="0.2">
      <c r="BJ47276" s="201"/>
    </row>
    <row r="47277" spans="62:62" x14ac:dyDescent="0.2">
      <c r="BJ47277" s="201"/>
    </row>
    <row r="47278" spans="62:62" x14ac:dyDescent="0.2">
      <c r="BJ47278" s="201"/>
    </row>
    <row r="47279" spans="62:62" x14ac:dyDescent="0.2">
      <c r="BJ47279" s="201"/>
    </row>
    <row r="47280" spans="62:62" x14ac:dyDescent="0.2">
      <c r="BJ47280" s="201"/>
    </row>
    <row r="47281" spans="62:62" x14ac:dyDescent="0.2">
      <c r="BJ47281" s="201"/>
    </row>
    <row r="47282" spans="62:62" x14ac:dyDescent="0.2">
      <c r="BJ47282" s="201"/>
    </row>
    <row r="47283" spans="62:62" x14ac:dyDescent="0.2">
      <c r="BJ47283" s="201"/>
    </row>
    <row r="47284" spans="62:62" x14ac:dyDescent="0.2">
      <c r="BJ47284" s="201"/>
    </row>
    <row r="47285" spans="62:62" x14ac:dyDescent="0.2">
      <c r="BJ47285" s="201"/>
    </row>
    <row r="47286" spans="62:62" x14ac:dyDescent="0.2">
      <c r="BJ47286" s="201"/>
    </row>
    <row r="47287" spans="62:62" x14ac:dyDescent="0.2">
      <c r="BJ47287" s="201"/>
    </row>
    <row r="47288" spans="62:62" x14ac:dyDescent="0.2">
      <c r="BJ47288" s="201"/>
    </row>
    <row r="47289" spans="62:62" x14ac:dyDescent="0.2">
      <c r="BJ47289" s="201"/>
    </row>
    <row r="47290" spans="62:62" x14ac:dyDescent="0.2">
      <c r="BJ47290" s="201"/>
    </row>
    <row r="47291" spans="62:62" x14ac:dyDescent="0.2">
      <c r="BJ47291" s="201"/>
    </row>
    <row r="47292" spans="62:62" x14ac:dyDescent="0.2">
      <c r="BJ47292" s="201"/>
    </row>
    <row r="47293" spans="62:62" x14ac:dyDescent="0.2">
      <c r="BJ47293" s="201"/>
    </row>
    <row r="47294" spans="62:62" x14ac:dyDescent="0.2">
      <c r="BJ47294" s="201"/>
    </row>
    <row r="47295" spans="62:62" x14ac:dyDescent="0.2">
      <c r="BJ47295" s="201"/>
    </row>
    <row r="47296" spans="62:62" x14ac:dyDescent="0.2">
      <c r="BJ47296" s="201"/>
    </row>
    <row r="47297" spans="62:62" x14ac:dyDescent="0.2">
      <c r="BJ47297" s="201"/>
    </row>
    <row r="47298" spans="62:62" x14ac:dyDescent="0.2">
      <c r="BJ47298" s="201"/>
    </row>
    <row r="47299" spans="62:62" x14ac:dyDescent="0.2">
      <c r="BJ47299" s="201"/>
    </row>
    <row r="47300" spans="62:62" x14ac:dyDescent="0.2">
      <c r="BJ47300" s="201"/>
    </row>
    <row r="47301" spans="62:62" x14ac:dyDescent="0.2">
      <c r="BJ47301" s="201"/>
    </row>
    <row r="47302" spans="62:62" x14ac:dyDescent="0.2">
      <c r="BJ47302" s="201"/>
    </row>
    <row r="47303" spans="62:62" x14ac:dyDescent="0.2">
      <c r="BJ47303" s="201"/>
    </row>
    <row r="47304" spans="62:62" x14ac:dyDescent="0.2">
      <c r="BJ47304" s="201"/>
    </row>
    <row r="47305" spans="62:62" x14ac:dyDescent="0.2">
      <c r="BJ47305" s="201"/>
    </row>
    <row r="47306" spans="62:62" x14ac:dyDescent="0.2">
      <c r="BJ47306" s="201"/>
    </row>
    <row r="47307" spans="62:62" x14ac:dyDescent="0.2">
      <c r="BJ47307" s="201"/>
    </row>
    <row r="47308" spans="62:62" x14ac:dyDescent="0.2">
      <c r="BJ47308" s="201"/>
    </row>
    <row r="47309" spans="62:62" x14ac:dyDescent="0.2">
      <c r="BJ47309" s="201"/>
    </row>
    <row r="47310" spans="62:62" x14ac:dyDescent="0.2">
      <c r="BJ47310" s="201"/>
    </row>
    <row r="47311" spans="62:62" x14ac:dyDescent="0.2">
      <c r="BJ47311" s="201"/>
    </row>
    <row r="47312" spans="62:62" x14ac:dyDescent="0.2">
      <c r="BJ47312" s="201"/>
    </row>
    <row r="47313" spans="62:62" x14ac:dyDescent="0.2">
      <c r="BJ47313" s="201"/>
    </row>
    <row r="47314" spans="62:62" x14ac:dyDescent="0.2">
      <c r="BJ47314" s="201"/>
    </row>
    <row r="47315" spans="62:62" x14ac:dyDescent="0.2">
      <c r="BJ47315" s="201"/>
    </row>
    <row r="47316" spans="62:62" x14ac:dyDescent="0.2">
      <c r="BJ47316" s="201"/>
    </row>
    <row r="47317" spans="62:62" x14ac:dyDescent="0.2">
      <c r="BJ47317" s="201"/>
    </row>
    <row r="47318" spans="62:62" x14ac:dyDescent="0.2">
      <c r="BJ47318" s="201"/>
    </row>
    <row r="47319" spans="62:62" x14ac:dyDescent="0.2">
      <c r="BJ47319" s="201"/>
    </row>
    <row r="47320" spans="62:62" x14ac:dyDescent="0.2">
      <c r="BJ47320" s="201"/>
    </row>
    <row r="47321" spans="62:62" x14ac:dyDescent="0.2">
      <c r="BJ47321" s="201"/>
    </row>
    <row r="47322" spans="62:62" x14ac:dyDescent="0.2">
      <c r="BJ47322" s="201"/>
    </row>
    <row r="47323" spans="62:62" x14ac:dyDescent="0.2">
      <c r="BJ47323" s="201"/>
    </row>
    <row r="47324" spans="62:62" x14ac:dyDescent="0.2">
      <c r="BJ47324" s="201"/>
    </row>
    <row r="47325" spans="62:62" x14ac:dyDescent="0.2">
      <c r="BJ47325" s="201"/>
    </row>
    <row r="47326" spans="62:62" x14ac:dyDescent="0.2">
      <c r="BJ47326" s="201"/>
    </row>
    <row r="47327" spans="62:62" x14ac:dyDescent="0.2">
      <c r="BJ47327" s="201"/>
    </row>
    <row r="47328" spans="62:62" x14ac:dyDescent="0.2">
      <c r="BJ47328" s="201"/>
    </row>
    <row r="47329" spans="62:62" x14ac:dyDescent="0.2">
      <c r="BJ47329" s="201"/>
    </row>
    <row r="47330" spans="62:62" x14ac:dyDescent="0.2">
      <c r="BJ47330" s="201"/>
    </row>
    <row r="47331" spans="62:62" x14ac:dyDescent="0.2">
      <c r="BJ47331" s="201"/>
    </row>
    <row r="47332" spans="62:62" x14ac:dyDescent="0.2">
      <c r="BJ47332" s="201"/>
    </row>
    <row r="47333" spans="62:62" x14ac:dyDescent="0.2">
      <c r="BJ47333" s="201"/>
    </row>
    <row r="47334" spans="62:62" x14ac:dyDescent="0.2">
      <c r="BJ47334" s="201"/>
    </row>
    <row r="47335" spans="62:62" x14ac:dyDescent="0.2">
      <c r="BJ47335" s="201"/>
    </row>
    <row r="47336" spans="62:62" x14ac:dyDescent="0.2">
      <c r="BJ47336" s="201"/>
    </row>
    <row r="47337" spans="62:62" x14ac:dyDescent="0.2">
      <c r="BJ47337" s="201"/>
    </row>
    <row r="47338" spans="62:62" x14ac:dyDescent="0.2">
      <c r="BJ47338" s="201"/>
    </row>
    <row r="47339" spans="62:62" x14ac:dyDescent="0.2">
      <c r="BJ47339" s="201"/>
    </row>
    <row r="47340" spans="62:62" x14ac:dyDescent="0.2">
      <c r="BJ47340" s="201"/>
    </row>
    <row r="47341" spans="62:62" x14ac:dyDescent="0.2">
      <c r="BJ47341" s="201"/>
    </row>
    <row r="47342" spans="62:62" x14ac:dyDescent="0.2">
      <c r="BJ47342" s="201"/>
    </row>
    <row r="47343" spans="62:62" x14ac:dyDescent="0.2">
      <c r="BJ47343" s="201"/>
    </row>
    <row r="47344" spans="62:62" x14ac:dyDescent="0.2">
      <c r="BJ47344" s="201"/>
    </row>
    <row r="47345" spans="62:62" x14ac:dyDescent="0.2">
      <c r="BJ47345" s="201"/>
    </row>
    <row r="47346" spans="62:62" x14ac:dyDescent="0.2">
      <c r="BJ47346" s="201"/>
    </row>
    <row r="47347" spans="62:62" x14ac:dyDescent="0.2">
      <c r="BJ47347" s="201"/>
    </row>
    <row r="47348" spans="62:62" x14ac:dyDescent="0.2">
      <c r="BJ47348" s="201"/>
    </row>
    <row r="47349" spans="62:62" x14ac:dyDescent="0.2">
      <c r="BJ47349" s="201"/>
    </row>
    <row r="47350" spans="62:62" x14ac:dyDescent="0.2">
      <c r="BJ47350" s="201"/>
    </row>
    <row r="47351" spans="62:62" x14ac:dyDescent="0.2">
      <c r="BJ47351" s="201"/>
    </row>
    <row r="47352" spans="62:62" x14ac:dyDescent="0.2">
      <c r="BJ47352" s="201"/>
    </row>
    <row r="47353" spans="62:62" x14ac:dyDescent="0.2">
      <c r="BJ47353" s="201"/>
    </row>
    <row r="47354" spans="62:62" x14ac:dyDescent="0.2">
      <c r="BJ47354" s="201"/>
    </row>
    <row r="47355" spans="62:62" x14ac:dyDescent="0.2">
      <c r="BJ47355" s="201"/>
    </row>
    <row r="47356" spans="62:62" x14ac:dyDescent="0.2">
      <c r="BJ47356" s="201"/>
    </row>
    <row r="47357" spans="62:62" x14ac:dyDescent="0.2">
      <c r="BJ47357" s="201"/>
    </row>
    <row r="47358" spans="62:62" x14ac:dyDescent="0.2">
      <c r="BJ47358" s="201"/>
    </row>
    <row r="47359" spans="62:62" x14ac:dyDescent="0.2">
      <c r="BJ47359" s="201"/>
    </row>
    <row r="47360" spans="62:62" x14ac:dyDescent="0.2">
      <c r="BJ47360" s="201"/>
    </row>
    <row r="47361" spans="62:62" x14ac:dyDescent="0.2">
      <c r="BJ47361" s="201"/>
    </row>
    <row r="47362" spans="62:62" x14ac:dyDescent="0.2">
      <c r="BJ47362" s="201"/>
    </row>
    <row r="47363" spans="62:62" x14ac:dyDescent="0.2">
      <c r="BJ47363" s="201"/>
    </row>
    <row r="47364" spans="62:62" x14ac:dyDescent="0.2">
      <c r="BJ47364" s="201"/>
    </row>
    <row r="47365" spans="62:62" x14ac:dyDescent="0.2">
      <c r="BJ47365" s="201"/>
    </row>
    <row r="47366" spans="62:62" x14ac:dyDescent="0.2">
      <c r="BJ47366" s="201"/>
    </row>
    <row r="47367" spans="62:62" x14ac:dyDescent="0.2">
      <c r="BJ47367" s="201"/>
    </row>
    <row r="47368" spans="62:62" x14ac:dyDescent="0.2">
      <c r="BJ47368" s="201"/>
    </row>
    <row r="47369" spans="62:62" x14ac:dyDescent="0.2">
      <c r="BJ47369" s="201"/>
    </row>
    <row r="47370" spans="62:62" x14ac:dyDescent="0.2">
      <c r="BJ47370" s="201"/>
    </row>
    <row r="47371" spans="62:62" x14ac:dyDescent="0.2">
      <c r="BJ47371" s="201"/>
    </row>
    <row r="47372" spans="62:62" x14ac:dyDescent="0.2">
      <c r="BJ47372" s="201"/>
    </row>
    <row r="47373" spans="62:62" x14ac:dyDescent="0.2">
      <c r="BJ47373" s="201"/>
    </row>
    <row r="47374" spans="62:62" x14ac:dyDescent="0.2">
      <c r="BJ47374" s="201"/>
    </row>
    <row r="47375" spans="62:62" x14ac:dyDescent="0.2">
      <c r="BJ47375" s="201"/>
    </row>
    <row r="47376" spans="62:62" x14ac:dyDescent="0.2">
      <c r="BJ47376" s="201"/>
    </row>
    <row r="47377" spans="62:62" x14ac:dyDescent="0.2">
      <c r="BJ47377" s="201"/>
    </row>
    <row r="47378" spans="62:62" x14ac:dyDescent="0.2">
      <c r="BJ47378" s="201"/>
    </row>
    <row r="47379" spans="62:62" x14ac:dyDescent="0.2">
      <c r="BJ47379" s="201"/>
    </row>
    <row r="47380" spans="62:62" x14ac:dyDescent="0.2">
      <c r="BJ47380" s="201"/>
    </row>
    <row r="47381" spans="62:62" x14ac:dyDescent="0.2">
      <c r="BJ47381" s="201"/>
    </row>
    <row r="47382" spans="62:62" x14ac:dyDescent="0.2">
      <c r="BJ47382" s="201"/>
    </row>
    <row r="47383" spans="62:62" x14ac:dyDescent="0.2">
      <c r="BJ47383" s="201"/>
    </row>
    <row r="47384" spans="62:62" x14ac:dyDescent="0.2">
      <c r="BJ47384" s="201"/>
    </row>
    <row r="47385" spans="62:62" x14ac:dyDescent="0.2">
      <c r="BJ47385" s="201"/>
    </row>
    <row r="47386" spans="62:62" x14ac:dyDescent="0.2">
      <c r="BJ47386" s="201"/>
    </row>
    <row r="47387" spans="62:62" x14ac:dyDescent="0.2">
      <c r="BJ47387" s="201"/>
    </row>
    <row r="47388" spans="62:62" x14ac:dyDescent="0.2">
      <c r="BJ47388" s="201"/>
    </row>
    <row r="47389" spans="62:62" x14ac:dyDescent="0.2">
      <c r="BJ47389" s="201"/>
    </row>
    <row r="47390" spans="62:62" x14ac:dyDescent="0.2">
      <c r="BJ47390" s="201"/>
    </row>
    <row r="47391" spans="62:62" x14ac:dyDescent="0.2">
      <c r="BJ47391" s="201"/>
    </row>
    <row r="47392" spans="62:62" x14ac:dyDescent="0.2">
      <c r="BJ47392" s="201"/>
    </row>
    <row r="47393" spans="62:62" x14ac:dyDescent="0.2">
      <c r="BJ47393" s="201"/>
    </row>
    <row r="47394" spans="62:62" x14ac:dyDescent="0.2">
      <c r="BJ47394" s="201"/>
    </row>
    <row r="47395" spans="62:62" x14ac:dyDescent="0.2">
      <c r="BJ47395" s="201"/>
    </row>
    <row r="47396" spans="62:62" x14ac:dyDescent="0.2">
      <c r="BJ47396" s="201"/>
    </row>
    <row r="47397" spans="62:62" x14ac:dyDescent="0.2">
      <c r="BJ47397" s="201"/>
    </row>
    <row r="47398" spans="62:62" x14ac:dyDescent="0.2">
      <c r="BJ47398" s="201"/>
    </row>
    <row r="47399" spans="62:62" x14ac:dyDescent="0.2">
      <c r="BJ47399" s="201"/>
    </row>
    <row r="47400" spans="62:62" x14ac:dyDescent="0.2">
      <c r="BJ47400" s="201"/>
    </row>
    <row r="47401" spans="62:62" x14ac:dyDescent="0.2">
      <c r="BJ47401" s="201"/>
    </row>
    <row r="47402" spans="62:62" x14ac:dyDescent="0.2">
      <c r="BJ47402" s="201"/>
    </row>
    <row r="47403" spans="62:62" x14ac:dyDescent="0.2">
      <c r="BJ47403" s="201"/>
    </row>
    <row r="47404" spans="62:62" x14ac:dyDescent="0.2">
      <c r="BJ47404" s="201"/>
    </row>
    <row r="47405" spans="62:62" x14ac:dyDescent="0.2">
      <c r="BJ47405" s="201"/>
    </row>
    <row r="47406" spans="62:62" x14ac:dyDescent="0.2">
      <c r="BJ47406" s="201"/>
    </row>
    <row r="47407" spans="62:62" x14ac:dyDescent="0.2">
      <c r="BJ47407" s="201"/>
    </row>
    <row r="47408" spans="62:62" x14ac:dyDescent="0.2">
      <c r="BJ47408" s="201"/>
    </row>
    <row r="47409" spans="62:62" x14ac:dyDescent="0.2">
      <c r="BJ47409" s="201"/>
    </row>
    <row r="47410" spans="62:62" x14ac:dyDescent="0.2">
      <c r="BJ47410" s="201"/>
    </row>
    <row r="47411" spans="62:62" x14ac:dyDescent="0.2">
      <c r="BJ47411" s="201"/>
    </row>
    <row r="47412" spans="62:62" x14ac:dyDescent="0.2">
      <c r="BJ47412" s="201"/>
    </row>
    <row r="47413" spans="62:62" x14ac:dyDescent="0.2">
      <c r="BJ47413" s="201"/>
    </row>
    <row r="47414" spans="62:62" x14ac:dyDescent="0.2">
      <c r="BJ47414" s="201"/>
    </row>
    <row r="47415" spans="62:62" x14ac:dyDescent="0.2">
      <c r="BJ47415" s="201"/>
    </row>
    <row r="47416" spans="62:62" x14ac:dyDescent="0.2">
      <c r="BJ47416" s="201"/>
    </row>
    <row r="47417" spans="62:62" x14ac:dyDescent="0.2">
      <c r="BJ47417" s="201"/>
    </row>
    <row r="47418" spans="62:62" x14ac:dyDescent="0.2">
      <c r="BJ47418" s="201"/>
    </row>
    <row r="47419" spans="62:62" x14ac:dyDescent="0.2">
      <c r="BJ47419" s="201"/>
    </row>
    <row r="47420" spans="62:62" x14ac:dyDescent="0.2">
      <c r="BJ47420" s="201"/>
    </row>
    <row r="47421" spans="62:62" x14ac:dyDescent="0.2">
      <c r="BJ47421" s="201"/>
    </row>
    <row r="47422" spans="62:62" x14ac:dyDescent="0.2">
      <c r="BJ47422" s="201"/>
    </row>
    <row r="47423" spans="62:62" x14ac:dyDescent="0.2">
      <c r="BJ47423" s="201"/>
    </row>
    <row r="47424" spans="62:62" x14ac:dyDescent="0.2">
      <c r="BJ47424" s="201"/>
    </row>
    <row r="47425" spans="62:62" x14ac:dyDescent="0.2">
      <c r="BJ47425" s="201"/>
    </row>
    <row r="47426" spans="62:62" x14ac:dyDescent="0.2">
      <c r="BJ47426" s="201"/>
    </row>
    <row r="47427" spans="62:62" x14ac:dyDescent="0.2">
      <c r="BJ47427" s="201"/>
    </row>
    <row r="47428" spans="62:62" x14ac:dyDescent="0.2">
      <c r="BJ47428" s="201"/>
    </row>
    <row r="47429" spans="62:62" x14ac:dyDescent="0.2">
      <c r="BJ47429" s="201"/>
    </row>
    <row r="47430" spans="62:62" x14ac:dyDescent="0.2">
      <c r="BJ47430" s="201"/>
    </row>
    <row r="47431" spans="62:62" x14ac:dyDescent="0.2">
      <c r="BJ47431" s="201"/>
    </row>
    <row r="47432" spans="62:62" x14ac:dyDescent="0.2">
      <c r="BJ47432" s="201"/>
    </row>
    <row r="47433" spans="62:62" x14ac:dyDescent="0.2">
      <c r="BJ47433" s="201"/>
    </row>
    <row r="47434" spans="62:62" x14ac:dyDescent="0.2">
      <c r="BJ47434" s="201"/>
    </row>
    <row r="47435" spans="62:62" x14ac:dyDescent="0.2">
      <c r="BJ47435" s="201"/>
    </row>
    <row r="47436" spans="62:62" x14ac:dyDescent="0.2">
      <c r="BJ47436" s="201"/>
    </row>
    <row r="47437" spans="62:62" x14ac:dyDescent="0.2">
      <c r="BJ47437" s="201"/>
    </row>
    <row r="47438" spans="62:62" x14ac:dyDescent="0.2">
      <c r="BJ47438" s="201"/>
    </row>
    <row r="47439" spans="62:62" x14ac:dyDescent="0.2">
      <c r="BJ47439" s="201"/>
    </row>
    <row r="47440" spans="62:62" x14ac:dyDescent="0.2">
      <c r="BJ47440" s="201"/>
    </row>
    <row r="47441" spans="62:62" x14ac:dyDescent="0.2">
      <c r="BJ47441" s="201"/>
    </row>
    <row r="47442" spans="62:62" x14ac:dyDescent="0.2">
      <c r="BJ47442" s="201"/>
    </row>
    <row r="47443" spans="62:62" x14ac:dyDescent="0.2">
      <c r="BJ47443" s="201"/>
    </row>
    <row r="47444" spans="62:62" x14ac:dyDescent="0.2">
      <c r="BJ47444" s="201"/>
    </row>
    <row r="47445" spans="62:62" x14ac:dyDescent="0.2">
      <c r="BJ47445" s="201"/>
    </row>
    <row r="47446" spans="62:62" x14ac:dyDescent="0.2">
      <c r="BJ47446" s="201"/>
    </row>
    <row r="47447" spans="62:62" x14ac:dyDescent="0.2">
      <c r="BJ47447" s="201"/>
    </row>
    <row r="47448" spans="62:62" x14ac:dyDescent="0.2">
      <c r="BJ47448" s="201"/>
    </row>
    <row r="47449" spans="62:62" x14ac:dyDescent="0.2">
      <c r="BJ47449" s="201"/>
    </row>
    <row r="47450" spans="62:62" x14ac:dyDescent="0.2">
      <c r="BJ47450" s="201"/>
    </row>
    <row r="47451" spans="62:62" x14ac:dyDescent="0.2">
      <c r="BJ47451" s="201"/>
    </row>
    <row r="47452" spans="62:62" x14ac:dyDescent="0.2">
      <c r="BJ47452" s="201"/>
    </row>
    <row r="47453" spans="62:62" x14ac:dyDescent="0.2">
      <c r="BJ47453" s="201"/>
    </row>
    <row r="47454" spans="62:62" x14ac:dyDescent="0.2">
      <c r="BJ47454" s="201"/>
    </row>
    <row r="47455" spans="62:62" x14ac:dyDescent="0.2">
      <c r="BJ47455" s="201"/>
    </row>
    <row r="47456" spans="62:62" x14ac:dyDescent="0.2">
      <c r="BJ47456" s="201"/>
    </row>
    <row r="47457" spans="62:62" x14ac:dyDescent="0.2">
      <c r="BJ47457" s="201"/>
    </row>
    <row r="47458" spans="62:62" x14ac:dyDescent="0.2">
      <c r="BJ47458" s="201"/>
    </row>
    <row r="47459" spans="62:62" x14ac:dyDescent="0.2">
      <c r="BJ47459" s="201"/>
    </row>
    <row r="47460" spans="62:62" x14ac:dyDescent="0.2">
      <c r="BJ47460" s="201"/>
    </row>
    <row r="47461" spans="62:62" x14ac:dyDescent="0.2">
      <c r="BJ47461" s="201"/>
    </row>
    <row r="47462" spans="62:62" x14ac:dyDescent="0.2">
      <c r="BJ47462" s="201"/>
    </row>
    <row r="47463" spans="62:62" x14ac:dyDescent="0.2">
      <c r="BJ47463" s="201"/>
    </row>
    <row r="47464" spans="62:62" x14ac:dyDescent="0.2">
      <c r="BJ47464" s="201"/>
    </row>
    <row r="47465" spans="62:62" x14ac:dyDescent="0.2">
      <c r="BJ47465" s="201"/>
    </row>
    <row r="47466" spans="62:62" x14ac:dyDescent="0.2">
      <c r="BJ47466" s="201"/>
    </row>
    <row r="47467" spans="62:62" x14ac:dyDescent="0.2">
      <c r="BJ47467" s="201"/>
    </row>
    <row r="47468" spans="62:62" x14ac:dyDescent="0.2">
      <c r="BJ47468" s="201"/>
    </row>
    <row r="47469" spans="62:62" x14ac:dyDescent="0.2">
      <c r="BJ47469" s="201"/>
    </row>
    <row r="47470" spans="62:62" x14ac:dyDescent="0.2">
      <c r="BJ47470" s="201"/>
    </row>
    <row r="47471" spans="62:62" x14ac:dyDescent="0.2">
      <c r="BJ47471" s="201"/>
    </row>
    <row r="47472" spans="62:62" x14ac:dyDescent="0.2">
      <c r="BJ47472" s="201"/>
    </row>
    <row r="47473" spans="62:62" x14ac:dyDescent="0.2">
      <c r="BJ47473" s="201"/>
    </row>
    <row r="47474" spans="62:62" x14ac:dyDescent="0.2">
      <c r="BJ47474" s="201"/>
    </row>
    <row r="47475" spans="62:62" x14ac:dyDescent="0.2">
      <c r="BJ47475" s="201"/>
    </row>
    <row r="47476" spans="62:62" x14ac:dyDescent="0.2">
      <c r="BJ47476" s="201"/>
    </row>
    <row r="47477" spans="62:62" x14ac:dyDescent="0.2">
      <c r="BJ47477" s="201"/>
    </row>
    <row r="47478" spans="62:62" x14ac:dyDescent="0.2">
      <c r="BJ47478" s="201"/>
    </row>
    <row r="47479" spans="62:62" x14ac:dyDescent="0.2">
      <c r="BJ47479" s="201"/>
    </row>
    <row r="47480" spans="62:62" x14ac:dyDescent="0.2">
      <c r="BJ47480" s="201"/>
    </row>
    <row r="47481" spans="62:62" x14ac:dyDescent="0.2">
      <c r="BJ47481" s="201"/>
    </row>
    <row r="47482" spans="62:62" x14ac:dyDescent="0.2">
      <c r="BJ47482" s="201"/>
    </row>
    <row r="47483" spans="62:62" x14ac:dyDescent="0.2">
      <c r="BJ47483" s="201"/>
    </row>
    <row r="47484" spans="62:62" x14ac:dyDescent="0.2">
      <c r="BJ47484" s="201"/>
    </row>
    <row r="47485" spans="62:62" x14ac:dyDescent="0.2">
      <c r="BJ47485" s="201"/>
    </row>
    <row r="47486" spans="62:62" x14ac:dyDescent="0.2">
      <c r="BJ47486" s="201"/>
    </row>
    <row r="47487" spans="62:62" x14ac:dyDescent="0.2">
      <c r="BJ47487" s="201"/>
    </row>
    <row r="47488" spans="62:62" x14ac:dyDescent="0.2">
      <c r="BJ47488" s="201"/>
    </row>
    <row r="47489" spans="62:62" x14ac:dyDescent="0.2">
      <c r="BJ47489" s="201"/>
    </row>
    <row r="47490" spans="62:62" x14ac:dyDescent="0.2">
      <c r="BJ47490" s="201"/>
    </row>
    <row r="47491" spans="62:62" x14ac:dyDescent="0.2">
      <c r="BJ47491" s="201"/>
    </row>
    <row r="47492" spans="62:62" x14ac:dyDescent="0.2">
      <c r="BJ47492" s="201"/>
    </row>
    <row r="47493" spans="62:62" x14ac:dyDescent="0.2">
      <c r="BJ47493" s="201"/>
    </row>
    <row r="47494" spans="62:62" x14ac:dyDescent="0.2">
      <c r="BJ47494" s="201"/>
    </row>
    <row r="47495" spans="62:62" x14ac:dyDescent="0.2">
      <c r="BJ47495" s="201"/>
    </row>
    <row r="47496" spans="62:62" x14ac:dyDescent="0.2">
      <c r="BJ47496" s="201"/>
    </row>
    <row r="47497" spans="62:62" x14ac:dyDescent="0.2">
      <c r="BJ47497" s="201"/>
    </row>
    <row r="47498" spans="62:62" x14ac:dyDescent="0.2">
      <c r="BJ47498" s="201"/>
    </row>
    <row r="47499" spans="62:62" x14ac:dyDescent="0.2">
      <c r="BJ47499" s="201"/>
    </row>
    <row r="47500" spans="62:62" x14ac:dyDescent="0.2">
      <c r="BJ47500" s="201"/>
    </row>
    <row r="47501" spans="62:62" x14ac:dyDescent="0.2">
      <c r="BJ47501" s="201"/>
    </row>
    <row r="47502" spans="62:62" x14ac:dyDescent="0.2">
      <c r="BJ47502" s="201"/>
    </row>
    <row r="47503" spans="62:62" x14ac:dyDescent="0.2">
      <c r="BJ47503" s="201"/>
    </row>
    <row r="47504" spans="62:62" x14ac:dyDescent="0.2">
      <c r="BJ47504" s="201"/>
    </row>
    <row r="47505" spans="62:62" x14ac:dyDescent="0.2">
      <c r="BJ47505" s="201"/>
    </row>
    <row r="47506" spans="62:62" x14ac:dyDescent="0.2">
      <c r="BJ47506" s="201"/>
    </row>
    <row r="47507" spans="62:62" x14ac:dyDescent="0.2">
      <c r="BJ47507" s="201"/>
    </row>
    <row r="47508" spans="62:62" x14ac:dyDescent="0.2">
      <c r="BJ47508" s="201"/>
    </row>
    <row r="47509" spans="62:62" x14ac:dyDescent="0.2">
      <c r="BJ47509" s="201"/>
    </row>
    <row r="47510" spans="62:62" x14ac:dyDescent="0.2">
      <c r="BJ47510" s="201"/>
    </row>
    <row r="47511" spans="62:62" x14ac:dyDescent="0.2">
      <c r="BJ47511" s="201"/>
    </row>
    <row r="47512" spans="62:62" x14ac:dyDescent="0.2">
      <c r="BJ47512" s="201"/>
    </row>
    <row r="47513" spans="62:62" x14ac:dyDescent="0.2">
      <c r="BJ47513" s="201"/>
    </row>
    <row r="47514" spans="62:62" x14ac:dyDescent="0.2">
      <c r="BJ47514" s="201"/>
    </row>
    <row r="47515" spans="62:62" x14ac:dyDescent="0.2">
      <c r="BJ47515" s="201"/>
    </row>
    <row r="47516" spans="62:62" x14ac:dyDescent="0.2">
      <c r="BJ47516" s="201"/>
    </row>
    <row r="47517" spans="62:62" x14ac:dyDescent="0.2">
      <c r="BJ47517" s="201"/>
    </row>
    <row r="47518" spans="62:62" x14ac:dyDescent="0.2">
      <c r="BJ47518" s="201"/>
    </row>
    <row r="47519" spans="62:62" x14ac:dyDescent="0.2">
      <c r="BJ47519" s="201"/>
    </row>
    <row r="47520" spans="62:62" x14ac:dyDescent="0.2">
      <c r="BJ47520" s="201"/>
    </row>
    <row r="47521" spans="62:62" x14ac:dyDescent="0.2">
      <c r="BJ47521" s="201"/>
    </row>
    <row r="47522" spans="62:62" x14ac:dyDescent="0.2">
      <c r="BJ47522" s="201"/>
    </row>
    <row r="47523" spans="62:62" x14ac:dyDescent="0.2">
      <c r="BJ47523" s="201"/>
    </row>
    <row r="47524" spans="62:62" x14ac:dyDescent="0.2">
      <c r="BJ47524" s="201"/>
    </row>
    <row r="47525" spans="62:62" x14ac:dyDescent="0.2">
      <c r="BJ47525" s="201"/>
    </row>
    <row r="47526" spans="62:62" x14ac:dyDescent="0.2">
      <c r="BJ47526" s="201"/>
    </row>
    <row r="47527" spans="62:62" x14ac:dyDescent="0.2">
      <c r="BJ47527" s="201"/>
    </row>
    <row r="47528" spans="62:62" x14ac:dyDescent="0.2">
      <c r="BJ47528" s="201"/>
    </row>
    <row r="47529" spans="62:62" x14ac:dyDescent="0.2">
      <c r="BJ47529" s="201"/>
    </row>
    <row r="47530" spans="62:62" x14ac:dyDescent="0.2">
      <c r="BJ47530" s="201"/>
    </row>
    <row r="47531" spans="62:62" x14ac:dyDescent="0.2">
      <c r="BJ47531" s="201"/>
    </row>
    <row r="47532" spans="62:62" x14ac:dyDescent="0.2">
      <c r="BJ47532" s="201"/>
    </row>
    <row r="47533" spans="62:62" x14ac:dyDescent="0.2">
      <c r="BJ47533" s="201"/>
    </row>
    <row r="47534" spans="62:62" x14ac:dyDescent="0.2">
      <c r="BJ47534" s="201"/>
    </row>
    <row r="47535" spans="62:62" x14ac:dyDescent="0.2">
      <c r="BJ47535" s="201"/>
    </row>
    <row r="47536" spans="62:62" x14ac:dyDescent="0.2">
      <c r="BJ47536" s="201"/>
    </row>
    <row r="47537" spans="62:62" x14ac:dyDescent="0.2">
      <c r="BJ47537" s="201"/>
    </row>
    <row r="47538" spans="62:62" x14ac:dyDescent="0.2">
      <c r="BJ47538" s="201"/>
    </row>
    <row r="47539" spans="62:62" x14ac:dyDescent="0.2">
      <c r="BJ47539" s="201"/>
    </row>
    <row r="47540" spans="62:62" x14ac:dyDescent="0.2">
      <c r="BJ47540" s="201"/>
    </row>
    <row r="47541" spans="62:62" x14ac:dyDescent="0.2">
      <c r="BJ47541" s="201"/>
    </row>
    <row r="47542" spans="62:62" x14ac:dyDescent="0.2">
      <c r="BJ47542" s="201"/>
    </row>
    <row r="47543" spans="62:62" x14ac:dyDescent="0.2">
      <c r="BJ47543" s="201"/>
    </row>
    <row r="47544" spans="62:62" x14ac:dyDescent="0.2">
      <c r="BJ47544" s="201"/>
    </row>
    <row r="47545" spans="62:62" x14ac:dyDescent="0.2">
      <c r="BJ47545" s="201"/>
    </row>
    <row r="47546" spans="62:62" x14ac:dyDescent="0.2">
      <c r="BJ47546" s="201"/>
    </row>
    <row r="47547" spans="62:62" x14ac:dyDescent="0.2">
      <c r="BJ47547" s="201"/>
    </row>
    <row r="47548" spans="62:62" x14ac:dyDescent="0.2">
      <c r="BJ47548" s="201"/>
    </row>
    <row r="47549" spans="62:62" x14ac:dyDescent="0.2">
      <c r="BJ47549" s="201"/>
    </row>
    <row r="47550" spans="62:62" x14ac:dyDescent="0.2">
      <c r="BJ47550" s="201"/>
    </row>
    <row r="47551" spans="62:62" x14ac:dyDescent="0.2">
      <c r="BJ47551" s="201"/>
    </row>
    <row r="47552" spans="62:62" x14ac:dyDescent="0.2">
      <c r="BJ47552" s="201"/>
    </row>
    <row r="47553" spans="62:62" x14ac:dyDescent="0.2">
      <c r="BJ47553" s="201"/>
    </row>
    <row r="47554" spans="62:62" x14ac:dyDescent="0.2">
      <c r="BJ47554" s="201"/>
    </row>
    <row r="47555" spans="62:62" x14ac:dyDescent="0.2">
      <c r="BJ47555" s="201"/>
    </row>
    <row r="47556" spans="62:62" x14ac:dyDescent="0.2">
      <c r="BJ47556" s="201"/>
    </row>
    <row r="47557" spans="62:62" x14ac:dyDescent="0.2">
      <c r="BJ47557" s="201"/>
    </row>
    <row r="47558" spans="62:62" x14ac:dyDescent="0.2">
      <c r="BJ47558" s="201"/>
    </row>
    <row r="47559" spans="62:62" x14ac:dyDescent="0.2">
      <c r="BJ47559" s="201"/>
    </row>
    <row r="47560" spans="62:62" x14ac:dyDescent="0.2">
      <c r="BJ47560" s="201"/>
    </row>
    <row r="47561" spans="62:62" x14ac:dyDescent="0.2">
      <c r="BJ47561" s="201"/>
    </row>
    <row r="47562" spans="62:62" x14ac:dyDescent="0.2">
      <c r="BJ47562" s="201"/>
    </row>
    <row r="47563" spans="62:62" x14ac:dyDescent="0.2">
      <c r="BJ47563" s="201"/>
    </row>
    <row r="47564" spans="62:62" x14ac:dyDescent="0.2">
      <c r="BJ47564" s="201"/>
    </row>
    <row r="47565" spans="62:62" x14ac:dyDescent="0.2">
      <c r="BJ47565" s="201"/>
    </row>
    <row r="47566" spans="62:62" x14ac:dyDescent="0.2">
      <c r="BJ47566" s="201"/>
    </row>
    <row r="47567" spans="62:62" x14ac:dyDescent="0.2">
      <c r="BJ47567" s="201"/>
    </row>
    <row r="47568" spans="62:62" x14ac:dyDescent="0.2">
      <c r="BJ47568" s="201"/>
    </row>
    <row r="47569" spans="62:62" x14ac:dyDescent="0.2">
      <c r="BJ47569" s="201"/>
    </row>
    <row r="47570" spans="62:62" x14ac:dyDescent="0.2">
      <c r="BJ47570" s="201"/>
    </row>
    <row r="47571" spans="62:62" x14ac:dyDescent="0.2">
      <c r="BJ47571" s="201"/>
    </row>
    <row r="47572" spans="62:62" x14ac:dyDescent="0.2">
      <c r="BJ47572" s="201"/>
    </row>
    <row r="47573" spans="62:62" x14ac:dyDescent="0.2">
      <c r="BJ47573" s="201"/>
    </row>
    <row r="47574" spans="62:62" x14ac:dyDescent="0.2">
      <c r="BJ47574" s="201"/>
    </row>
    <row r="47575" spans="62:62" x14ac:dyDescent="0.2">
      <c r="BJ47575" s="201"/>
    </row>
    <row r="47576" spans="62:62" x14ac:dyDescent="0.2">
      <c r="BJ47576" s="201"/>
    </row>
    <row r="47577" spans="62:62" x14ac:dyDescent="0.2">
      <c r="BJ47577" s="201"/>
    </row>
    <row r="47578" spans="62:62" x14ac:dyDescent="0.2">
      <c r="BJ47578" s="201"/>
    </row>
    <row r="47579" spans="62:62" x14ac:dyDescent="0.2">
      <c r="BJ47579" s="201"/>
    </row>
    <row r="47580" spans="62:62" x14ac:dyDescent="0.2">
      <c r="BJ47580" s="201"/>
    </row>
    <row r="47581" spans="62:62" x14ac:dyDescent="0.2">
      <c r="BJ47581" s="201"/>
    </row>
    <row r="47582" spans="62:62" x14ac:dyDescent="0.2">
      <c r="BJ47582" s="201"/>
    </row>
    <row r="47583" spans="62:62" x14ac:dyDescent="0.2">
      <c r="BJ47583" s="201"/>
    </row>
    <row r="47584" spans="62:62" x14ac:dyDescent="0.2">
      <c r="BJ47584" s="201"/>
    </row>
    <row r="47585" spans="62:62" x14ac:dyDescent="0.2">
      <c r="BJ47585" s="201"/>
    </row>
    <row r="47586" spans="62:62" x14ac:dyDescent="0.2">
      <c r="BJ47586" s="201"/>
    </row>
    <row r="47587" spans="62:62" x14ac:dyDescent="0.2">
      <c r="BJ47587" s="201"/>
    </row>
    <row r="47588" spans="62:62" x14ac:dyDescent="0.2">
      <c r="BJ47588" s="201"/>
    </row>
    <row r="47589" spans="62:62" x14ac:dyDescent="0.2">
      <c r="BJ47589" s="201"/>
    </row>
    <row r="47590" spans="62:62" x14ac:dyDescent="0.2">
      <c r="BJ47590" s="201"/>
    </row>
    <row r="47591" spans="62:62" x14ac:dyDescent="0.2">
      <c r="BJ47591" s="201"/>
    </row>
    <row r="47592" spans="62:62" x14ac:dyDescent="0.2">
      <c r="BJ47592" s="201"/>
    </row>
    <row r="47593" spans="62:62" x14ac:dyDescent="0.2">
      <c r="BJ47593" s="201"/>
    </row>
    <row r="47594" spans="62:62" x14ac:dyDescent="0.2">
      <c r="BJ47594" s="201"/>
    </row>
    <row r="47595" spans="62:62" x14ac:dyDescent="0.2">
      <c r="BJ47595" s="201"/>
    </row>
    <row r="47596" spans="62:62" x14ac:dyDescent="0.2">
      <c r="BJ47596" s="201"/>
    </row>
    <row r="47597" spans="62:62" x14ac:dyDescent="0.2">
      <c r="BJ47597" s="201"/>
    </row>
    <row r="47598" spans="62:62" x14ac:dyDescent="0.2">
      <c r="BJ47598" s="201"/>
    </row>
    <row r="47599" spans="62:62" x14ac:dyDescent="0.2">
      <c r="BJ47599" s="201"/>
    </row>
    <row r="47600" spans="62:62" x14ac:dyDescent="0.2">
      <c r="BJ47600" s="201"/>
    </row>
    <row r="47601" spans="62:62" x14ac:dyDescent="0.2">
      <c r="BJ47601" s="201"/>
    </row>
    <row r="47602" spans="62:62" x14ac:dyDescent="0.2">
      <c r="BJ47602" s="201"/>
    </row>
    <row r="47603" spans="62:62" x14ac:dyDescent="0.2">
      <c r="BJ47603" s="201"/>
    </row>
    <row r="47604" spans="62:62" x14ac:dyDescent="0.2">
      <c r="BJ47604" s="201"/>
    </row>
    <row r="47605" spans="62:62" x14ac:dyDescent="0.2">
      <c r="BJ47605" s="201"/>
    </row>
    <row r="47606" spans="62:62" x14ac:dyDescent="0.2">
      <c r="BJ47606" s="201"/>
    </row>
    <row r="47607" spans="62:62" x14ac:dyDescent="0.2">
      <c r="BJ47607" s="201"/>
    </row>
    <row r="47608" spans="62:62" x14ac:dyDescent="0.2">
      <c r="BJ47608" s="201"/>
    </row>
    <row r="47609" spans="62:62" x14ac:dyDescent="0.2">
      <c r="BJ47609" s="201"/>
    </row>
    <row r="47610" spans="62:62" x14ac:dyDescent="0.2">
      <c r="BJ47610" s="201"/>
    </row>
    <row r="47611" spans="62:62" x14ac:dyDescent="0.2">
      <c r="BJ47611" s="201"/>
    </row>
    <row r="47612" spans="62:62" x14ac:dyDescent="0.2">
      <c r="BJ47612" s="201"/>
    </row>
    <row r="47613" spans="62:62" x14ac:dyDescent="0.2">
      <c r="BJ47613" s="201"/>
    </row>
    <row r="47614" spans="62:62" x14ac:dyDescent="0.2">
      <c r="BJ47614" s="201"/>
    </row>
    <row r="47615" spans="62:62" x14ac:dyDescent="0.2">
      <c r="BJ47615" s="201"/>
    </row>
    <row r="47616" spans="62:62" x14ac:dyDescent="0.2">
      <c r="BJ47616" s="201"/>
    </row>
    <row r="47617" spans="62:62" x14ac:dyDescent="0.2">
      <c r="BJ47617" s="201"/>
    </row>
    <row r="47618" spans="62:62" x14ac:dyDescent="0.2">
      <c r="BJ47618" s="201"/>
    </row>
    <row r="47619" spans="62:62" x14ac:dyDescent="0.2">
      <c r="BJ47619" s="201"/>
    </row>
    <row r="47620" spans="62:62" x14ac:dyDescent="0.2">
      <c r="BJ47620" s="201"/>
    </row>
    <row r="47621" spans="62:62" x14ac:dyDescent="0.2">
      <c r="BJ47621" s="201"/>
    </row>
    <row r="47622" spans="62:62" x14ac:dyDescent="0.2">
      <c r="BJ47622" s="201"/>
    </row>
    <row r="47623" spans="62:62" x14ac:dyDescent="0.2">
      <c r="BJ47623" s="201"/>
    </row>
    <row r="47624" spans="62:62" x14ac:dyDescent="0.2">
      <c r="BJ47624" s="201"/>
    </row>
    <row r="47625" spans="62:62" x14ac:dyDescent="0.2">
      <c r="BJ47625" s="201"/>
    </row>
    <row r="47626" spans="62:62" x14ac:dyDescent="0.2">
      <c r="BJ47626" s="201"/>
    </row>
    <row r="47627" spans="62:62" x14ac:dyDescent="0.2">
      <c r="BJ47627" s="201"/>
    </row>
    <row r="47628" spans="62:62" x14ac:dyDescent="0.2">
      <c r="BJ47628" s="201"/>
    </row>
    <row r="47629" spans="62:62" x14ac:dyDescent="0.2">
      <c r="BJ47629" s="201"/>
    </row>
    <row r="47630" spans="62:62" x14ac:dyDescent="0.2">
      <c r="BJ47630" s="201"/>
    </row>
    <row r="47631" spans="62:62" x14ac:dyDescent="0.2">
      <c r="BJ47631" s="201"/>
    </row>
    <row r="47632" spans="62:62" x14ac:dyDescent="0.2">
      <c r="BJ47632" s="201"/>
    </row>
    <row r="47633" spans="62:62" x14ac:dyDescent="0.2">
      <c r="BJ47633" s="201"/>
    </row>
    <row r="47634" spans="62:62" x14ac:dyDescent="0.2">
      <c r="BJ47634" s="201"/>
    </row>
    <row r="47635" spans="62:62" x14ac:dyDescent="0.2">
      <c r="BJ47635" s="201"/>
    </row>
    <row r="47636" spans="62:62" x14ac:dyDescent="0.2">
      <c r="BJ47636" s="201"/>
    </row>
    <row r="47637" spans="62:62" x14ac:dyDescent="0.2">
      <c r="BJ47637" s="201"/>
    </row>
    <row r="47638" spans="62:62" x14ac:dyDescent="0.2">
      <c r="BJ47638" s="201"/>
    </row>
    <row r="47639" spans="62:62" x14ac:dyDescent="0.2">
      <c r="BJ47639" s="201"/>
    </row>
    <row r="47640" spans="62:62" x14ac:dyDescent="0.2">
      <c r="BJ47640" s="201"/>
    </row>
    <row r="47641" spans="62:62" x14ac:dyDescent="0.2">
      <c r="BJ47641" s="201"/>
    </row>
    <row r="47642" spans="62:62" x14ac:dyDescent="0.2">
      <c r="BJ47642" s="201"/>
    </row>
    <row r="47643" spans="62:62" x14ac:dyDescent="0.2">
      <c r="BJ47643" s="201"/>
    </row>
    <row r="47644" spans="62:62" x14ac:dyDescent="0.2">
      <c r="BJ47644" s="201"/>
    </row>
    <row r="47645" spans="62:62" x14ac:dyDescent="0.2">
      <c r="BJ47645" s="201"/>
    </row>
    <row r="47646" spans="62:62" x14ac:dyDescent="0.2">
      <c r="BJ47646" s="201"/>
    </row>
    <row r="47647" spans="62:62" x14ac:dyDescent="0.2">
      <c r="BJ47647" s="201"/>
    </row>
    <row r="47648" spans="62:62" x14ac:dyDescent="0.2">
      <c r="BJ47648" s="201"/>
    </row>
    <row r="47649" spans="62:62" x14ac:dyDescent="0.2">
      <c r="BJ47649" s="201"/>
    </row>
    <row r="47650" spans="62:62" x14ac:dyDescent="0.2">
      <c r="BJ47650" s="201"/>
    </row>
    <row r="47651" spans="62:62" x14ac:dyDescent="0.2">
      <c r="BJ47651" s="201"/>
    </row>
    <row r="47652" spans="62:62" x14ac:dyDescent="0.2">
      <c r="BJ47652" s="201"/>
    </row>
    <row r="47653" spans="62:62" x14ac:dyDescent="0.2">
      <c r="BJ47653" s="201"/>
    </row>
    <row r="47654" spans="62:62" x14ac:dyDescent="0.2">
      <c r="BJ47654" s="201"/>
    </row>
    <row r="47655" spans="62:62" x14ac:dyDescent="0.2">
      <c r="BJ47655" s="201"/>
    </row>
    <row r="47656" spans="62:62" x14ac:dyDescent="0.2">
      <c r="BJ47656" s="201"/>
    </row>
    <row r="47657" spans="62:62" x14ac:dyDescent="0.2">
      <c r="BJ47657" s="201"/>
    </row>
    <row r="47658" spans="62:62" x14ac:dyDescent="0.2">
      <c r="BJ47658" s="201"/>
    </row>
    <row r="47659" spans="62:62" x14ac:dyDescent="0.2">
      <c r="BJ47659" s="201"/>
    </row>
    <row r="47660" spans="62:62" x14ac:dyDescent="0.2">
      <c r="BJ47660" s="201"/>
    </row>
    <row r="47661" spans="62:62" x14ac:dyDescent="0.2">
      <c r="BJ47661" s="201"/>
    </row>
    <row r="47662" spans="62:62" x14ac:dyDescent="0.2">
      <c r="BJ47662" s="201"/>
    </row>
    <row r="47663" spans="62:62" x14ac:dyDescent="0.2">
      <c r="BJ47663" s="201"/>
    </row>
    <row r="47664" spans="62:62" x14ac:dyDescent="0.2">
      <c r="BJ47664" s="201"/>
    </row>
    <row r="47665" spans="62:62" x14ac:dyDescent="0.2">
      <c r="BJ47665" s="201"/>
    </row>
    <row r="47666" spans="62:62" x14ac:dyDescent="0.2">
      <c r="BJ47666" s="201"/>
    </row>
    <row r="47667" spans="62:62" x14ac:dyDescent="0.2">
      <c r="BJ47667" s="201"/>
    </row>
    <row r="47668" spans="62:62" x14ac:dyDescent="0.2">
      <c r="BJ47668" s="201"/>
    </row>
    <row r="47669" spans="62:62" x14ac:dyDescent="0.2">
      <c r="BJ47669" s="201"/>
    </row>
    <row r="47670" spans="62:62" x14ac:dyDescent="0.2">
      <c r="BJ47670" s="201"/>
    </row>
    <row r="47671" spans="62:62" x14ac:dyDescent="0.2">
      <c r="BJ47671" s="201"/>
    </row>
    <row r="47672" spans="62:62" x14ac:dyDescent="0.2">
      <c r="BJ47672" s="201"/>
    </row>
    <row r="47673" spans="62:62" x14ac:dyDescent="0.2">
      <c r="BJ47673" s="201"/>
    </row>
    <row r="47674" spans="62:62" x14ac:dyDescent="0.2">
      <c r="BJ47674" s="201"/>
    </row>
    <row r="47675" spans="62:62" x14ac:dyDescent="0.2">
      <c r="BJ47675" s="201"/>
    </row>
    <row r="47676" spans="62:62" x14ac:dyDescent="0.2">
      <c r="BJ47676" s="201"/>
    </row>
    <row r="47677" spans="62:62" x14ac:dyDescent="0.2">
      <c r="BJ47677" s="201"/>
    </row>
    <row r="47678" spans="62:62" x14ac:dyDescent="0.2">
      <c r="BJ47678" s="201"/>
    </row>
    <row r="47679" spans="62:62" x14ac:dyDescent="0.2">
      <c r="BJ47679" s="201"/>
    </row>
    <row r="47680" spans="62:62" x14ac:dyDescent="0.2">
      <c r="BJ47680" s="201"/>
    </row>
    <row r="47681" spans="62:62" x14ac:dyDescent="0.2">
      <c r="BJ47681" s="201"/>
    </row>
    <row r="47682" spans="62:62" x14ac:dyDescent="0.2">
      <c r="BJ47682" s="201"/>
    </row>
    <row r="47683" spans="62:62" x14ac:dyDescent="0.2">
      <c r="BJ47683" s="201"/>
    </row>
    <row r="47684" spans="62:62" x14ac:dyDescent="0.2">
      <c r="BJ47684" s="201"/>
    </row>
    <row r="47685" spans="62:62" x14ac:dyDescent="0.2">
      <c r="BJ47685" s="201"/>
    </row>
    <row r="47686" spans="62:62" x14ac:dyDescent="0.2">
      <c r="BJ47686" s="201"/>
    </row>
    <row r="47687" spans="62:62" x14ac:dyDescent="0.2">
      <c r="BJ47687" s="201"/>
    </row>
    <row r="47688" spans="62:62" x14ac:dyDescent="0.2">
      <c r="BJ47688" s="201"/>
    </row>
    <row r="47689" spans="62:62" x14ac:dyDescent="0.2">
      <c r="BJ47689" s="201"/>
    </row>
    <row r="47690" spans="62:62" x14ac:dyDescent="0.2">
      <c r="BJ47690" s="201"/>
    </row>
    <row r="47691" spans="62:62" x14ac:dyDescent="0.2">
      <c r="BJ47691" s="201"/>
    </row>
    <row r="47692" spans="62:62" x14ac:dyDescent="0.2">
      <c r="BJ47692" s="201"/>
    </row>
    <row r="47693" spans="62:62" x14ac:dyDescent="0.2">
      <c r="BJ47693" s="201"/>
    </row>
    <row r="47694" spans="62:62" x14ac:dyDescent="0.2">
      <c r="BJ47694" s="201"/>
    </row>
    <row r="47695" spans="62:62" x14ac:dyDescent="0.2">
      <c r="BJ47695" s="201"/>
    </row>
    <row r="47696" spans="62:62" x14ac:dyDescent="0.2">
      <c r="BJ47696" s="201"/>
    </row>
    <row r="47697" spans="62:62" x14ac:dyDescent="0.2">
      <c r="BJ47697" s="201"/>
    </row>
    <row r="47698" spans="62:62" x14ac:dyDescent="0.2">
      <c r="BJ47698" s="201"/>
    </row>
    <row r="47699" spans="62:62" x14ac:dyDescent="0.2">
      <c r="BJ47699" s="201"/>
    </row>
    <row r="47700" spans="62:62" x14ac:dyDescent="0.2">
      <c r="BJ47700" s="201"/>
    </row>
    <row r="47701" spans="62:62" x14ac:dyDescent="0.2">
      <c r="BJ47701" s="201"/>
    </row>
    <row r="47702" spans="62:62" x14ac:dyDescent="0.2">
      <c r="BJ47702" s="201"/>
    </row>
    <row r="47703" spans="62:62" x14ac:dyDescent="0.2">
      <c r="BJ47703" s="201"/>
    </row>
    <row r="47704" spans="62:62" x14ac:dyDescent="0.2">
      <c r="BJ47704" s="201"/>
    </row>
    <row r="47705" spans="62:62" x14ac:dyDescent="0.2">
      <c r="BJ47705" s="201"/>
    </row>
    <row r="47706" spans="62:62" x14ac:dyDescent="0.2">
      <c r="BJ47706" s="201"/>
    </row>
    <row r="47707" spans="62:62" x14ac:dyDescent="0.2">
      <c r="BJ47707" s="201"/>
    </row>
    <row r="47708" spans="62:62" x14ac:dyDescent="0.2">
      <c r="BJ47708" s="201"/>
    </row>
    <row r="47709" spans="62:62" x14ac:dyDescent="0.2">
      <c r="BJ47709" s="201"/>
    </row>
    <row r="47710" spans="62:62" x14ac:dyDescent="0.2">
      <c r="BJ47710" s="201"/>
    </row>
    <row r="47711" spans="62:62" x14ac:dyDescent="0.2">
      <c r="BJ47711" s="201"/>
    </row>
    <row r="47712" spans="62:62" x14ac:dyDescent="0.2">
      <c r="BJ47712" s="201"/>
    </row>
    <row r="47713" spans="62:62" x14ac:dyDescent="0.2">
      <c r="BJ47713" s="201"/>
    </row>
    <row r="47714" spans="62:62" x14ac:dyDescent="0.2">
      <c r="BJ47714" s="201"/>
    </row>
    <row r="47715" spans="62:62" x14ac:dyDescent="0.2">
      <c r="BJ47715" s="201"/>
    </row>
    <row r="47716" spans="62:62" x14ac:dyDescent="0.2">
      <c r="BJ47716" s="201"/>
    </row>
    <row r="47717" spans="62:62" x14ac:dyDescent="0.2">
      <c r="BJ47717" s="201"/>
    </row>
    <row r="47718" spans="62:62" x14ac:dyDescent="0.2">
      <c r="BJ47718" s="201"/>
    </row>
    <row r="47719" spans="62:62" x14ac:dyDescent="0.2">
      <c r="BJ47719" s="201"/>
    </row>
    <row r="47720" spans="62:62" x14ac:dyDescent="0.2">
      <c r="BJ47720" s="201"/>
    </row>
    <row r="47721" spans="62:62" x14ac:dyDescent="0.2">
      <c r="BJ47721" s="201"/>
    </row>
    <row r="47722" spans="62:62" x14ac:dyDescent="0.2">
      <c r="BJ47722" s="201"/>
    </row>
    <row r="47723" spans="62:62" x14ac:dyDescent="0.2">
      <c r="BJ47723" s="201"/>
    </row>
    <row r="47724" spans="62:62" x14ac:dyDescent="0.2">
      <c r="BJ47724" s="201"/>
    </row>
    <row r="47725" spans="62:62" x14ac:dyDescent="0.2">
      <c r="BJ47725" s="201"/>
    </row>
    <row r="47726" spans="62:62" x14ac:dyDescent="0.2">
      <c r="BJ47726" s="201"/>
    </row>
    <row r="47727" spans="62:62" x14ac:dyDescent="0.2">
      <c r="BJ47727" s="201"/>
    </row>
    <row r="47728" spans="62:62" x14ac:dyDescent="0.2">
      <c r="BJ47728" s="201"/>
    </row>
    <row r="47729" spans="62:62" x14ac:dyDescent="0.2">
      <c r="BJ47729" s="201"/>
    </row>
    <row r="47730" spans="62:62" x14ac:dyDescent="0.2">
      <c r="BJ47730" s="201"/>
    </row>
    <row r="47731" spans="62:62" x14ac:dyDescent="0.2">
      <c r="BJ47731" s="201"/>
    </row>
    <row r="47732" spans="62:62" x14ac:dyDescent="0.2">
      <c r="BJ47732" s="201"/>
    </row>
    <row r="47733" spans="62:62" x14ac:dyDescent="0.2">
      <c r="BJ47733" s="201"/>
    </row>
    <row r="47734" spans="62:62" x14ac:dyDescent="0.2">
      <c r="BJ47734" s="201"/>
    </row>
    <row r="47735" spans="62:62" x14ac:dyDescent="0.2">
      <c r="BJ47735" s="201"/>
    </row>
    <row r="47736" spans="62:62" x14ac:dyDescent="0.2">
      <c r="BJ47736" s="201"/>
    </row>
    <row r="47737" spans="62:62" x14ac:dyDescent="0.2">
      <c r="BJ47737" s="201"/>
    </row>
    <row r="47738" spans="62:62" x14ac:dyDescent="0.2">
      <c r="BJ47738" s="201"/>
    </row>
    <row r="47739" spans="62:62" x14ac:dyDescent="0.2">
      <c r="BJ47739" s="201"/>
    </row>
    <row r="47740" spans="62:62" x14ac:dyDescent="0.2">
      <c r="BJ47740" s="201"/>
    </row>
    <row r="47741" spans="62:62" x14ac:dyDescent="0.2">
      <c r="BJ47741" s="201"/>
    </row>
    <row r="47742" spans="62:62" x14ac:dyDescent="0.2">
      <c r="BJ47742" s="201"/>
    </row>
    <row r="47743" spans="62:62" x14ac:dyDescent="0.2">
      <c r="BJ47743" s="201"/>
    </row>
    <row r="47744" spans="62:62" x14ac:dyDescent="0.2">
      <c r="BJ47744" s="201"/>
    </row>
    <row r="47745" spans="62:62" x14ac:dyDescent="0.2">
      <c r="BJ47745" s="201"/>
    </row>
    <row r="47746" spans="62:62" x14ac:dyDescent="0.2">
      <c r="BJ47746" s="201"/>
    </row>
    <row r="47747" spans="62:62" x14ac:dyDescent="0.2">
      <c r="BJ47747" s="201"/>
    </row>
    <row r="47748" spans="62:62" x14ac:dyDescent="0.2">
      <c r="BJ47748" s="201"/>
    </row>
    <row r="47749" spans="62:62" x14ac:dyDescent="0.2">
      <c r="BJ47749" s="201"/>
    </row>
    <row r="47750" spans="62:62" x14ac:dyDescent="0.2">
      <c r="BJ47750" s="201"/>
    </row>
    <row r="47751" spans="62:62" x14ac:dyDescent="0.2">
      <c r="BJ47751" s="201"/>
    </row>
    <row r="47752" spans="62:62" x14ac:dyDescent="0.2">
      <c r="BJ47752" s="201"/>
    </row>
    <row r="47753" spans="62:62" x14ac:dyDescent="0.2">
      <c r="BJ47753" s="201"/>
    </row>
    <row r="47754" spans="62:62" x14ac:dyDescent="0.2">
      <c r="BJ47754" s="201"/>
    </row>
    <row r="47755" spans="62:62" x14ac:dyDescent="0.2">
      <c r="BJ47755" s="201"/>
    </row>
    <row r="47756" spans="62:62" x14ac:dyDescent="0.2">
      <c r="BJ47756" s="201"/>
    </row>
    <row r="47757" spans="62:62" x14ac:dyDescent="0.2">
      <c r="BJ47757" s="201"/>
    </row>
    <row r="47758" spans="62:62" x14ac:dyDescent="0.2">
      <c r="BJ47758" s="201"/>
    </row>
    <row r="47759" spans="62:62" x14ac:dyDescent="0.2">
      <c r="BJ47759" s="201"/>
    </row>
    <row r="47760" spans="62:62" x14ac:dyDescent="0.2">
      <c r="BJ47760" s="201"/>
    </row>
    <row r="47761" spans="62:62" x14ac:dyDescent="0.2">
      <c r="BJ47761" s="201"/>
    </row>
    <row r="47762" spans="62:62" x14ac:dyDescent="0.2">
      <c r="BJ47762" s="201"/>
    </row>
    <row r="47763" spans="62:62" x14ac:dyDescent="0.2">
      <c r="BJ47763" s="201"/>
    </row>
    <row r="47764" spans="62:62" x14ac:dyDescent="0.2">
      <c r="BJ47764" s="201"/>
    </row>
    <row r="47765" spans="62:62" x14ac:dyDescent="0.2">
      <c r="BJ47765" s="201"/>
    </row>
    <row r="47766" spans="62:62" x14ac:dyDescent="0.2">
      <c r="BJ47766" s="201"/>
    </row>
    <row r="47767" spans="62:62" x14ac:dyDescent="0.2">
      <c r="BJ47767" s="201"/>
    </row>
    <row r="47768" spans="62:62" x14ac:dyDescent="0.2">
      <c r="BJ47768" s="201"/>
    </row>
    <row r="47769" spans="62:62" x14ac:dyDescent="0.2">
      <c r="BJ47769" s="201"/>
    </row>
    <row r="47770" spans="62:62" x14ac:dyDescent="0.2">
      <c r="BJ47770" s="201"/>
    </row>
    <row r="47771" spans="62:62" x14ac:dyDescent="0.2">
      <c r="BJ47771" s="201"/>
    </row>
    <row r="47772" spans="62:62" x14ac:dyDescent="0.2">
      <c r="BJ47772" s="201"/>
    </row>
    <row r="47773" spans="62:62" x14ac:dyDescent="0.2">
      <c r="BJ47773" s="201"/>
    </row>
    <row r="47774" spans="62:62" x14ac:dyDescent="0.2">
      <c r="BJ47774" s="201"/>
    </row>
    <row r="47775" spans="62:62" x14ac:dyDescent="0.2">
      <c r="BJ47775" s="201"/>
    </row>
    <row r="47776" spans="62:62" x14ac:dyDescent="0.2">
      <c r="BJ47776" s="201"/>
    </row>
    <row r="47777" spans="62:62" x14ac:dyDescent="0.2">
      <c r="BJ47777" s="201"/>
    </row>
    <row r="47778" spans="62:62" x14ac:dyDescent="0.2">
      <c r="BJ47778" s="201"/>
    </row>
    <row r="47779" spans="62:62" x14ac:dyDescent="0.2">
      <c r="BJ47779" s="201"/>
    </row>
    <row r="47780" spans="62:62" x14ac:dyDescent="0.2">
      <c r="BJ47780" s="201"/>
    </row>
    <row r="47781" spans="62:62" x14ac:dyDescent="0.2">
      <c r="BJ47781" s="201"/>
    </row>
    <row r="47782" spans="62:62" x14ac:dyDescent="0.2">
      <c r="BJ47782" s="201"/>
    </row>
    <row r="47783" spans="62:62" x14ac:dyDescent="0.2">
      <c r="BJ47783" s="201"/>
    </row>
    <row r="47784" spans="62:62" x14ac:dyDescent="0.2">
      <c r="BJ47784" s="201"/>
    </row>
    <row r="47785" spans="62:62" x14ac:dyDescent="0.2">
      <c r="BJ47785" s="201"/>
    </row>
    <row r="47786" spans="62:62" x14ac:dyDescent="0.2">
      <c r="BJ47786" s="201"/>
    </row>
    <row r="47787" spans="62:62" x14ac:dyDescent="0.2">
      <c r="BJ47787" s="201"/>
    </row>
    <row r="47788" spans="62:62" x14ac:dyDescent="0.2">
      <c r="BJ47788" s="201"/>
    </row>
    <row r="47789" spans="62:62" x14ac:dyDescent="0.2">
      <c r="BJ47789" s="201"/>
    </row>
    <row r="47790" spans="62:62" x14ac:dyDescent="0.2">
      <c r="BJ47790" s="201"/>
    </row>
    <row r="47791" spans="62:62" x14ac:dyDescent="0.2">
      <c r="BJ47791" s="201"/>
    </row>
    <row r="47792" spans="62:62" x14ac:dyDescent="0.2">
      <c r="BJ47792" s="201"/>
    </row>
    <row r="47793" spans="62:62" x14ac:dyDescent="0.2">
      <c r="BJ47793" s="201"/>
    </row>
    <row r="47794" spans="62:62" x14ac:dyDescent="0.2">
      <c r="BJ47794" s="201"/>
    </row>
    <row r="47795" spans="62:62" x14ac:dyDescent="0.2">
      <c r="BJ47795" s="201"/>
    </row>
    <row r="47796" spans="62:62" x14ac:dyDescent="0.2">
      <c r="BJ47796" s="201"/>
    </row>
    <row r="47797" spans="62:62" x14ac:dyDescent="0.2">
      <c r="BJ47797" s="201"/>
    </row>
    <row r="47798" spans="62:62" x14ac:dyDescent="0.2">
      <c r="BJ47798" s="201"/>
    </row>
    <row r="47799" spans="62:62" x14ac:dyDescent="0.2">
      <c r="BJ47799" s="201"/>
    </row>
    <row r="47800" spans="62:62" x14ac:dyDescent="0.2">
      <c r="BJ47800" s="201"/>
    </row>
    <row r="47801" spans="62:62" x14ac:dyDescent="0.2">
      <c r="BJ47801" s="201"/>
    </row>
    <row r="47802" spans="62:62" x14ac:dyDescent="0.2">
      <c r="BJ47802" s="201"/>
    </row>
    <row r="47803" spans="62:62" x14ac:dyDescent="0.2">
      <c r="BJ47803" s="201"/>
    </row>
    <row r="47804" spans="62:62" x14ac:dyDescent="0.2">
      <c r="BJ47804" s="201"/>
    </row>
    <row r="47805" spans="62:62" x14ac:dyDescent="0.2">
      <c r="BJ47805" s="201"/>
    </row>
    <row r="47806" spans="62:62" x14ac:dyDescent="0.2">
      <c r="BJ47806" s="201"/>
    </row>
    <row r="47807" spans="62:62" x14ac:dyDescent="0.2">
      <c r="BJ47807" s="201"/>
    </row>
    <row r="47808" spans="62:62" x14ac:dyDescent="0.2">
      <c r="BJ47808" s="201"/>
    </row>
    <row r="47809" spans="62:62" x14ac:dyDescent="0.2">
      <c r="BJ47809" s="201"/>
    </row>
    <row r="47810" spans="62:62" x14ac:dyDescent="0.2">
      <c r="BJ47810" s="201"/>
    </row>
    <row r="47811" spans="62:62" x14ac:dyDescent="0.2">
      <c r="BJ47811" s="201"/>
    </row>
    <row r="47812" spans="62:62" x14ac:dyDescent="0.2">
      <c r="BJ47812" s="201"/>
    </row>
    <row r="47813" spans="62:62" x14ac:dyDescent="0.2">
      <c r="BJ47813" s="201"/>
    </row>
    <row r="47814" spans="62:62" x14ac:dyDescent="0.2">
      <c r="BJ47814" s="201"/>
    </row>
    <row r="47815" spans="62:62" x14ac:dyDescent="0.2">
      <c r="BJ47815" s="201"/>
    </row>
    <row r="47816" spans="62:62" x14ac:dyDescent="0.2">
      <c r="BJ47816" s="201"/>
    </row>
    <row r="47817" spans="62:62" x14ac:dyDescent="0.2">
      <c r="BJ47817" s="201"/>
    </row>
    <row r="47818" spans="62:62" x14ac:dyDescent="0.2">
      <c r="BJ47818" s="201"/>
    </row>
    <row r="47819" spans="62:62" x14ac:dyDescent="0.2">
      <c r="BJ47819" s="201"/>
    </row>
    <row r="47820" spans="62:62" x14ac:dyDescent="0.2">
      <c r="BJ47820" s="201"/>
    </row>
    <row r="47821" spans="62:62" x14ac:dyDescent="0.2">
      <c r="BJ47821" s="201"/>
    </row>
    <row r="47822" spans="62:62" x14ac:dyDescent="0.2">
      <c r="BJ47822" s="201"/>
    </row>
    <row r="47823" spans="62:62" x14ac:dyDescent="0.2">
      <c r="BJ47823" s="201"/>
    </row>
    <row r="47824" spans="62:62" x14ac:dyDescent="0.2">
      <c r="BJ47824" s="201"/>
    </row>
    <row r="47825" spans="62:62" x14ac:dyDescent="0.2">
      <c r="BJ47825" s="201"/>
    </row>
    <row r="47826" spans="62:62" x14ac:dyDescent="0.2">
      <c r="BJ47826" s="201"/>
    </row>
    <row r="47827" spans="62:62" x14ac:dyDescent="0.2">
      <c r="BJ47827" s="201"/>
    </row>
    <row r="47828" spans="62:62" x14ac:dyDescent="0.2">
      <c r="BJ47828" s="201"/>
    </row>
    <row r="47829" spans="62:62" x14ac:dyDescent="0.2">
      <c r="BJ47829" s="201"/>
    </row>
    <row r="47830" spans="62:62" x14ac:dyDescent="0.2">
      <c r="BJ47830" s="201"/>
    </row>
    <row r="47831" spans="62:62" x14ac:dyDescent="0.2">
      <c r="BJ47831" s="201"/>
    </row>
    <row r="47832" spans="62:62" x14ac:dyDescent="0.2">
      <c r="BJ47832" s="201"/>
    </row>
    <row r="47833" spans="62:62" x14ac:dyDescent="0.2">
      <c r="BJ47833" s="201"/>
    </row>
    <row r="47834" spans="62:62" x14ac:dyDescent="0.2">
      <c r="BJ47834" s="201"/>
    </row>
    <row r="47835" spans="62:62" x14ac:dyDescent="0.2">
      <c r="BJ47835" s="201"/>
    </row>
    <row r="47836" spans="62:62" x14ac:dyDescent="0.2">
      <c r="BJ47836" s="201"/>
    </row>
    <row r="47837" spans="62:62" x14ac:dyDescent="0.2">
      <c r="BJ47837" s="201"/>
    </row>
    <row r="47838" spans="62:62" x14ac:dyDescent="0.2">
      <c r="BJ47838" s="201"/>
    </row>
    <row r="47839" spans="62:62" x14ac:dyDescent="0.2">
      <c r="BJ47839" s="201"/>
    </row>
    <row r="47840" spans="62:62" x14ac:dyDescent="0.2">
      <c r="BJ47840" s="201"/>
    </row>
    <row r="47841" spans="62:62" x14ac:dyDescent="0.2">
      <c r="BJ47841" s="201"/>
    </row>
    <row r="47842" spans="62:62" x14ac:dyDescent="0.2">
      <c r="BJ47842" s="201"/>
    </row>
    <row r="47843" spans="62:62" x14ac:dyDescent="0.2">
      <c r="BJ47843" s="201"/>
    </row>
    <row r="47844" spans="62:62" x14ac:dyDescent="0.2">
      <c r="BJ47844" s="201"/>
    </row>
    <row r="47845" spans="62:62" x14ac:dyDescent="0.2">
      <c r="BJ47845" s="201"/>
    </row>
    <row r="47846" spans="62:62" x14ac:dyDescent="0.2">
      <c r="BJ47846" s="201"/>
    </row>
    <row r="47847" spans="62:62" x14ac:dyDescent="0.2">
      <c r="BJ47847" s="201"/>
    </row>
    <row r="47848" spans="62:62" x14ac:dyDescent="0.2">
      <c r="BJ47848" s="201"/>
    </row>
    <row r="47849" spans="62:62" x14ac:dyDescent="0.2">
      <c r="BJ47849" s="201"/>
    </row>
    <row r="47850" spans="62:62" x14ac:dyDescent="0.2">
      <c r="BJ47850" s="201"/>
    </row>
    <row r="47851" spans="62:62" x14ac:dyDescent="0.2">
      <c r="BJ47851" s="201"/>
    </row>
    <row r="47852" spans="62:62" x14ac:dyDescent="0.2">
      <c r="BJ47852" s="201"/>
    </row>
    <row r="47853" spans="62:62" x14ac:dyDescent="0.2">
      <c r="BJ47853" s="201"/>
    </row>
    <row r="47854" spans="62:62" x14ac:dyDescent="0.2">
      <c r="BJ47854" s="201"/>
    </row>
    <row r="47855" spans="62:62" x14ac:dyDescent="0.2">
      <c r="BJ47855" s="201"/>
    </row>
    <row r="47856" spans="62:62" x14ac:dyDescent="0.2">
      <c r="BJ47856" s="201"/>
    </row>
    <row r="47857" spans="62:62" x14ac:dyDescent="0.2">
      <c r="BJ47857" s="201"/>
    </row>
    <row r="47858" spans="62:62" x14ac:dyDescent="0.2">
      <c r="BJ47858" s="201"/>
    </row>
    <row r="47859" spans="62:62" x14ac:dyDescent="0.2">
      <c r="BJ47859" s="201"/>
    </row>
    <row r="47860" spans="62:62" x14ac:dyDescent="0.2">
      <c r="BJ47860" s="201"/>
    </row>
    <row r="47861" spans="62:62" x14ac:dyDescent="0.2">
      <c r="BJ47861" s="201"/>
    </row>
    <row r="47862" spans="62:62" x14ac:dyDescent="0.2">
      <c r="BJ47862" s="201"/>
    </row>
    <row r="47863" spans="62:62" x14ac:dyDescent="0.2">
      <c r="BJ47863" s="201"/>
    </row>
    <row r="47864" spans="62:62" x14ac:dyDescent="0.2">
      <c r="BJ47864" s="201"/>
    </row>
    <row r="47865" spans="62:62" x14ac:dyDescent="0.2">
      <c r="BJ47865" s="201"/>
    </row>
    <row r="47866" spans="62:62" x14ac:dyDescent="0.2">
      <c r="BJ47866" s="201"/>
    </row>
    <row r="47867" spans="62:62" x14ac:dyDescent="0.2">
      <c r="BJ47867" s="201"/>
    </row>
    <row r="47868" spans="62:62" x14ac:dyDescent="0.2">
      <c r="BJ47868" s="201"/>
    </row>
    <row r="47869" spans="62:62" x14ac:dyDescent="0.2">
      <c r="BJ47869" s="201"/>
    </row>
    <row r="47870" spans="62:62" x14ac:dyDescent="0.2">
      <c r="BJ47870" s="201"/>
    </row>
    <row r="47871" spans="62:62" x14ac:dyDescent="0.2">
      <c r="BJ47871" s="201"/>
    </row>
    <row r="47872" spans="62:62" x14ac:dyDescent="0.2">
      <c r="BJ47872" s="201"/>
    </row>
    <row r="47873" spans="62:62" x14ac:dyDescent="0.2">
      <c r="BJ47873" s="201"/>
    </row>
    <row r="47874" spans="62:62" x14ac:dyDescent="0.2">
      <c r="BJ47874" s="201"/>
    </row>
    <row r="47875" spans="62:62" x14ac:dyDescent="0.2">
      <c r="BJ47875" s="201"/>
    </row>
    <row r="47876" spans="62:62" x14ac:dyDescent="0.2">
      <c r="BJ47876" s="201"/>
    </row>
    <row r="47877" spans="62:62" x14ac:dyDescent="0.2">
      <c r="BJ47877" s="201"/>
    </row>
    <row r="47878" spans="62:62" x14ac:dyDescent="0.2">
      <c r="BJ47878" s="201"/>
    </row>
    <row r="47879" spans="62:62" x14ac:dyDescent="0.2">
      <c r="BJ47879" s="201"/>
    </row>
    <row r="47880" spans="62:62" x14ac:dyDescent="0.2">
      <c r="BJ47880" s="201"/>
    </row>
    <row r="47881" spans="62:62" x14ac:dyDescent="0.2">
      <c r="BJ47881" s="201"/>
    </row>
    <row r="47882" spans="62:62" x14ac:dyDescent="0.2">
      <c r="BJ47882" s="201"/>
    </row>
    <row r="47883" spans="62:62" x14ac:dyDescent="0.2">
      <c r="BJ47883" s="201"/>
    </row>
    <row r="47884" spans="62:62" x14ac:dyDescent="0.2">
      <c r="BJ47884" s="201"/>
    </row>
    <row r="47885" spans="62:62" x14ac:dyDescent="0.2">
      <c r="BJ47885" s="201"/>
    </row>
    <row r="47886" spans="62:62" x14ac:dyDescent="0.2">
      <c r="BJ47886" s="201"/>
    </row>
    <row r="47887" spans="62:62" x14ac:dyDescent="0.2">
      <c r="BJ47887" s="201"/>
    </row>
    <row r="47888" spans="62:62" x14ac:dyDescent="0.2">
      <c r="BJ47888" s="201"/>
    </row>
    <row r="47889" spans="62:62" x14ac:dyDescent="0.2">
      <c r="BJ47889" s="201"/>
    </row>
    <row r="47890" spans="62:62" x14ac:dyDescent="0.2">
      <c r="BJ47890" s="201"/>
    </row>
    <row r="47891" spans="62:62" x14ac:dyDescent="0.2">
      <c r="BJ47891" s="201"/>
    </row>
    <row r="47892" spans="62:62" x14ac:dyDescent="0.2">
      <c r="BJ47892" s="201"/>
    </row>
    <row r="47893" spans="62:62" x14ac:dyDescent="0.2">
      <c r="BJ47893" s="201"/>
    </row>
    <row r="47894" spans="62:62" x14ac:dyDescent="0.2">
      <c r="BJ47894" s="201"/>
    </row>
    <row r="47895" spans="62:62" x14ac:dyDescent="0.2">
      <c r="BJ47895" s="201"/>
    </row>
    <row r="47896" spans="62:62" x14ac:dyDescent="0.2">
      <c r="BJ47896" s="201"/>
    </row>
    <row r="47897" spans="62:62" x14ac:dyDescent="0.2">
      <c r="BJ47897" s="201"/>
    </row>
    <row r="47898" spans="62:62" x14ac:dyDescent="0.2">
      <c r="BJ47898" s="201"/>
    </row>
    <row r="47899" spans="62:62" x14ac:dyDescent="0.2">
      <c r="BJ47899" s="201"/>
    </row>
    <row r="47900" spans="62:62" x14ac:dyDescent="0.2">
      <c r="BJ47900" s="201"/>
    </row>
    <row r="47901" spans="62:62" x14ac:dyDescent="0.2">
      <c r="BJ47901" s="201"/>
    </row>
    <row r="47902" spans="62:62" x14ac:dyDescent="0.2">
      <c r="BJ47902" s="201"/>
    </row>
    <row r="47903" spans="62:62" x14ac:dyDescent="0.2">
      <c r="BJ47903" s="201"/>
    </row>
    <row r="47904" spans="62:62" x14ac:dyDescent="0.2">
      <c r="BJ47904" s="201"/>
    </row>
    <row r="47905" spans="62:62" x14ac:dyDescent="0.2">
      <c r="BJ47905" s="201"/>
    </row>
    <row r="47906" spans="62:62" x14ac:dyDescent="0.2">
      <c r="BJ47906" s="201"/>
    </row>
    <row r="47907" spans="62:62" x14ac:dyDescent="0.2">
      <c r="BJ47907" s="201"/>
    </row>
    <row r="47908" spans="62:62" x14ac:dyDescent="0.2">
      <c r="BJ47908" s="201"/>
    </row>
    <row r="47909" spans="62:62" x14ac:dyDescent="0.2">
      <c r="BJ47909" s="201"/>
    </row>
    <row r="47910" spans="62:62" x14ac:dyDescent="0.2">
      <c r="BJ47910" s="201"/>
    </row>
    <row r="47911" spans="62:62" x14ac:dyDescent="0.2">
      <c r="BJ47911" s="201"/>
    </row>
    <row r="47912" spans="62:62" x14ac:dyDescent="0.2">
      <c r="BJ47912" s="201"/>
    </row>
    <row r="47913" spans="62:62" x14ac:dyDescent="0.2">
      <c r="BJ47913" s="201"/>
    </row>
    <row r="47914" spans="62:62" x14ac:dyDescent="0.2">
      <c r="BJ47914" s="201"/>
    </row>
    <row r="47915" spans="62:62" x14ac:dyDescent="0.2">
      <c r="BJ47915" s="201"/>
    </row>
    <row r="47916" spans="62:62" x14ac:dyDescent="0.2">
      <c r="BJ47916" s="201"/>
    </row>
    <row r="47917" spans="62:62" x14ac:dyDescent="0.2">
      <c r="BJ47917" s="201"/>
    </row>
    <row r="47918" spans="62:62" x14ac:dyDescent="0.2">
      <c r="BJ47918" s="201"/>
    </row>
    <row r="47919" spans="62:62" x14ac:dyDescent="0.2">
      <c r="BJ47919" s="201"/>
    </row>
    <row r="47920" spans="62:62" x14ac:dyDescent="0.2">
      <c r="BJ47920" s="201"/>
    </row>
    <row r="47921" spans="62:62" x14ac:dyDescent="0.2">
      <c r="BJ47921" s="201"/>
    </row>
    <row r="47922" spans="62:62" x14ac:dyDescent="0.2">
      <c r="BJ47922" s="201"/>
    </row>
    <row r="47923" spans="62:62" x14ac:dyDescent="0.2">
      <c r="BJ47923" s="201"/>
    </row>
    <row r="47924" spans="62:62" x14ac:dyDescent="0.2">
      <c r="BJ47924" s="201"/>
    </row>
    <row r="47925" spans="62:62" x14ac:dyDescent="0.2">
      <c r="BJ47925" s="201"/>
    </row>
    <row r="47926" spans="62:62" x14ac:dyDescent="0.2">
      <c r="BJ47926" s="201"/>
    </row>
    <row r="47927" spans="62:62" x14ac:dyDescent="0.2">
      <c r="BJ47927" s="201"/>
    </row>
    <row r="47928" spans="62:62" x14ac:dyDescent="0.2">
      <c r="BJ47928" s="201"/>
    </row>
    <row r="47929" spans="62:62" x14ac:dyDescent="0.2">
      <c r="BJ47929" s="201"/>
    </row>
    <row r="47930" spans="62:62" x14ac:dyDescent="0.2">
      <c r="BJ47930" s="201"/>
    </row>
    <row r="47931" spans="62:62" x14ac:dyDescent="0.2">
      <c r="BJ47931" s="201"/>
    </row>
    <row r="47932" spans="62:62" x14ac:dyDescent="0.2">
      <c r="BJ47932" s="201"/>
    </row>
    <row r="47933" spans="62:62" x14ac:dyDescent="0.2">
      <c r="BJ47933" s="201"/>
    </row>
    <row r="47934" spans="62:62" x14ac:dyDescent="0.2">
      <c r="BJ47934" s="201"/>
    </row>
    <row r="47935" spans="62:62" x14ac:dyDescent="0.2">
      <c r="BJ47935" s="201"/>
    </row>
    <row r="47936" spans="62:62" x14ac:dyDescent="0.2">
      <c r="BJ47936" s="201"/>
    </row>
    <row r="47937" spans="62:62" x14ac:dyDescent="0.2">
      <c r="BJ47937" s="201"/>
    </row>
    <row r="47938" spans="62:62" x14ac:dyDescent="0.2">
      <c r="BJ47938" s="201"/>
    </row>
    <row r="47939" spans="62:62" x14ac:dyDescent="0.2">
      <c r="BJ47939" s="201"/>
    </row>
    <row r="47940" spans="62:62" x14ac:dyDescent="0.2">
      <c r="BJ47940" s="201"/>
    </row>
    <row r="47941" spans="62:62" x14ac:dyDescent="0.2">
      <c r="BJ47941" s="201"/>
    </row>
    <row r="47942" spans="62:62" x14ac:dyDescent="0.2">
      <c r="BJ47942" s="201"/>
    </row>
    <row r="47943" spans="62:62" x14ac:dyDescent="0.2">
      <c r="BJ47943" s="201"/>
    </row>
    <row r="47944" spans="62:62" x14ac:dyDescent="0.2">
      <c r="BJ47944" s="201"/>
    </row>
    <row r="47945" spans="62:62" x14ac:dyDescent="0.2">
      <c r="BJ47945" s="201"/>
    </row>
    <row r="47946" spans="62:62" x14ac:dyDescent="0.2">
      <c r="BJ47946" s="201"/>
    </row>
    <row r="47947" spans="62:62" x14ac:dyDescent="0.2">
      <c r="BJ47947" s="201"/>
    </row>
    <row r="47948" spans="62:62" x14ac:dyDescent="0.2">
      <c r="BJ47948" s="201"/>
    </row>
    <row r="47949" spans="62:62" x14ac:dyDescent="0.2">
      <c r="BJ47949" s="201"/>
    </row>
    <row r="47950" spans="62:62" x14ac:dyDescent="0.2">
      <c r="BJ47950" s="201"/>
    </row>
    <row r="47951" spans="62:62" x14ac:dyDescent="0.2">
      <c r="BJ47951" s="201"/>
    </row>
    <row r="47952" spans="62:62" x14ac:dyDescent="0.2">
      <c r="BJ47952" s="201"/>
    </row>
    <row r="47953" spans="62:62" x14ac:dyDescent="0.2">
      <c r="BJ47953" s="201"/>
    </row>
    <row r="47954" spans="62:62" x14ac:dyDescent="0.2">
      <c r="BJ47954" s="201"/>
    </row>
    <row r="47955" spans="62:62" x14ac:dyDescent="0.2">
      <c r="BJ47955" s="201"/>
    </row>
    <row r="47956" spans="62:62" x14ac:dyDescent="0.2">
      <c r="BJ47956" s="201"/>
    </row>
    <row r="47957" spans="62:62" x14ac:dyDescent="0.2">
      <c r="BJ47957" s="201"/>
    </row>
    <row r="47958" spans="62:62" x14ac:dyDescent="0.2">
      <c r="BJ47958" s="201"/>
    </row>
    <row r="47959" spans="62:62" x14ac:dyDescent="0.2">
      <c r="BJ47959" s="201"/>
    </row>
    <row r="47960" spans="62:62" x14ac:dyDescent="0.2">
      <c r="BJ47960" s="201"/>
    </row>
    <row r="47961" spans="62:62" x14ac:dyDescent="0.2">
      <c r="BJ47961" s="201"/>
    </row>
    <row r="47962" spans="62:62" x14ac:dyDescent="0.2">
      <c r="BJ47962" s="201"/>
    </row>
    <row r="47963" spans="62:62" x14ac:dyDescent="0.2">
      <c r="BJ47963" s="201"/>
    </row>
    <row r="47964" spans="62:62" x14ac:dyDescent="0.2">
      <c r="BJ47964" s="201"/>
    </row>
    <row r="47965" spans="62:62" x14ac:dyDescent="0.2">
      <c r="BJ47965" s="201"/>
    </row>
    <row r="47966" spans="62:62" x14ac:dyDescent="0.2">
      <c r="BJ47966" s="201"/>
    </row>
    <row r="47967" spans="62:62" x14ac:dyDescent="0.2">
      <c r="BJ47967" s="201"/>
    </row>
    <row r="47968" spans="62:62" x14ac:dyDescent="0.2">
      <c r="BJ47968" s="201"/>
    </row>
    <row r="47969" spans="62:62" x14ac:dyDescent="0.2">
      <c r="BJ47969" s="201"/>
    </row>
    <row r="47970" spans="62:62" x14ac:dyDescent="0.2">
      <c r="BJ47970" s="201"/>
    </row>
    <row r="47971" spans="62:62" x14ac:dyDescent="0.2">
      <c r="BJ47971" s="201"/>
    </row>
    <row r="47972" spans="62:62" x14ac:dyDescent="0.2">
      <c r="BJ47972" s="201"/>
    </row>
    <row r="47973" spans="62:62" x14ac:dyDescent="0.2">
      <c r="BJ47973" s="201"/>
    </row>
    <row r="47974" spans="62:62" x14ac:dyDescent="0.2">
      <c r="BJ47974" s="201"/>
    </row>
    <row r="47975" spans="62:62" x14ac:dyDescent="0.2">
      <c r="BJ47975" s="201"/>
    </row>
    <row r="47976" spans="62:62" x14ac:dyDescent="0.2">
      <c r="BJ47976" s="201"/>
    </row>
    <row r="47977" spans="62:62" x14ac:dyDescent="0.2">
      <c r="BJ47977" s="201"/>
    </row>
    <row r="47978" spans="62:62" x14ac:dyDescent="0.2">
      <c r="BJ47978" s="201"/>
    </row>
    <row r="47979" spans="62:62" x14ac:dyDescent="0.2">
      <c r="BJ47979" s="201"/>
    </row>
    <row r="47980" spans="62:62" x14ac:dyDescent="0.2">
      <c r="BJ47980" s="201"/>
    </row>
    <row r="47981" spans="62:62" x14ac:dyDescent="0.2">
      <c r="BJ47981" s="201"/>
    </row>
    <row r="47982" spans="62:62" x14ac:dyDescent="0.2">
      <c r="BJ47982" s="201"/>
    </row>
    <row r="47983" spans="62:62" x14ac:dyDescent="0.2">
      <c r="BJ47983" s="201"/>
    </row>
    <row r="47984" spans="62:62" x14ac:dyDescent="0.2">
      <c r="BJ47984" s="201"/>
    </row>
    <row r="47985" spans="62:62" x14ac:dyDescent="0.2">
      <c r="BJ47985" s="201"/>
    </row>
    <row r="47986" spans="62:62" x14ac:dyDescent="0.2">
      <c r="BJ47986" s="201"/>
    </row>
    <row r="47987" spans="62:62" x14ac:dyDescent="0.2">
      <c r="BJ47987" s="201"/>
    </row>
    <row r="47988" spans="62:62" x14ac:dyDescent="0.2">
      <c r="BJ47988" s="201"/>
    </row>
    <row r="47989" spans="62:62" x14ac:dyDescent="0.2">
      <c r="BJ47989" s="201"/>
    </row>
    <row r="47990" spans="62:62" x14ac:dyDescent="0.2">
      <c r="BJ47990" s="201"/>
    </row>
    <row r="47991" spans="62:62" x14ac:dyDescent="0.2">
      <c r="BJ47991" s="201"/>
    </row>
    <row r="47992" spans="62:62" x14ac:dyDescent="0.2">
      <c r="BJ47992" s="201"/>
    </row>
    <row r="47993" spans="62:62" x14ac:dyDescent="0.2">
      <c r="BJ47993" s="201"/>
    </row>
    <row r="47994" spans="62:62" x14ac:dyDescent="0.2">
      <c r="BJ47994" s="201"/>
    </row>
    <row r="47995" spans="62:62" x14ac:dyDescent="0.2">
      <c r="BJ47995" s="201"/>
    </row>
    <row r="47996" spans="62:62" x14ac:dyDescent="0.2">
      <c r="BJ47996" s="201"/>
    </row>
    <row r="47997" spans="62:62" x14ac:dyDescent="0.2">
      <c r="BJ47997" s="201"/>
    </row>
    <row r="47998" spans="62:62" x14ac:dyDescent="0.2">
      <c r="BJ47998" s="201"/>
    </row>
    <row r="47999" spans="62:62" x14ac:dyDescent="0.2">
      <c r="BJ47999" s="201"/>
    </row>
    <row r="48000" spans="62:62" x14ac:dyDescent="0.2">
      <c r="BJ48000" s="201"/>
    </row>
    <row r="48001" spans="62:62" x14ac:dyDescent="0.2">
      <c r="BJ48001" s="201"/>
    </row>
    <row r="48002" spans="62:62" x14ac:dyDescent="0.2">
      <c r="BJ48002" s="201"/>
    </row>
    <row r="48003" spans="62:62" x14ac:dyDescent="0.2">
      <c r="BJ48003" s="201"/>
    </row>
    <row r="48004" spans="62:62" x14ac:dyDescent="0.2">
      <c r="BJ48004" s="201"/>
    </row>
    <row r="48005" spans="62:62" x14ac:dyDescent="0.2">
      <c r="BJ48005" s="201"/>
    </row>
    <row r="48006" spans="62:62" x14ac:dyDescent="0.2">
      <c r="BJ48006" s="201"/>
    </row>
    <row r="48007" spans="62:62" x14ac:dyDescent="0.2">
      <c r="BJ48007" s="201"/>
    </row>
    <row r="48008" spans="62:62" x14ac:dyDescent="0.2">
      <c r="BJ48008" s="201"/>
    </row>
    <row r="48009" spans="62:62" x14ac:dyDescent="0.2">
      <c r="BJ48009" s="201"/>
    </row>
    <row r="48010" spans="62:62" x14ac:dyDescent="0.2">
      <c r="BJ48010" s="201"/>
    </row>
    <row r="48011" spans="62:62" x14ac:dyDescent="0.2">
      <c r="BJ48011" s="201"/>
    </row>
    <row r="48012" spans="62:62" x14ac:dyDescent="0.2">
      <c r="BJ48012" s="201"/>
    </row>
    <row r="48013" spans="62:62" x14ac:dyDescent="0.2">
      <c r="BJ48013" s="201"/>
    </row>
    <row r="48014" spans="62:62" x14ac:dyDescent="0.2">
      <c r="BJ48014" s="201"/>
    </row>
    <row r="48015" spans="62:62" x14ac:dyDescent="0.2">
      <c r="BJ48015" s="201"/>
    </row>
    <row r="48016" spans="62:62" x14ac:dyDescent="0.2">
      <c r="BJ48016" s="201"/>
    </row>
    <row r="48017" spans="62:62" x14ac:dyDescent="0.2">
      <c r="BJ48017" s="201"/>
    </row>
    <row r="48018" spans="62:62" x14ac:dyDescent="0.2">
      <c r="BJ48018" s="201"/>
    </row>
    <row r="48019" spans="62:62" x14ac:dyDescent="0.2">
      <c r="BJ48019" s="201"/>
    </row>
    <row r="48020" spans="62:62" x14ac:dyDescent="0.2">
      <c r="BJ48020" s="201"/>
    </row>
    <row r="48021" spans="62:62" x14ac:dyDescent="0.2">
      <c r="BJ48021" s="201"/>
    </row>
    <row r="48022" spans="62:62" x14ac:dyDescent="0.2">
      <c r="BJ48022" s="201"/>
    </row>
    <row r="48023" spans="62:62" x14ac:dyDescent="0.2">
      <c r="BJ48023" s="201"/>
    </row>
    <row r="48024" spans="62:62" x14ac:dyDescent="0.2">
      <c r="BJ48024" s="201"/>
    </row>
    <row r="48025" spans="62:62" x14ac:dyDescent="0.2">
      <c r="BJ48025" s="201"/>
    </row>
    <row r="48026" spans="62:62" x14ac:dyDescent="0.2">
      <c r="BJ48026" s="201"/>
    </row>
    <row r="48027" spans="62:62" x14ac:dyDescent="0.2">
      <c r="BJ48027" s="201"/>
    </row>
    <row r="48028" spans="62:62" x14ac:dyDescent="0.2">
      <c r="BJ48028" s="201"/>
    </row>
    <row r="48029" spans="62:62" x14ac:dyDescent="0.2">
      <c r="BJ48029" s="201"/>
    </row>
    <row r="48030" spans="62:62" x14ac:dyDescent="0.2">
      <c r="BJ48030" s="201"/>
    </row>
    <row r="48031" spans="62:62" x14ac:dyDescent="0.2">
      <c r="BJ48031" s="201"/>
    </row>
    <row r="48032" spans="62:62" x14ac:dyDescent="0.2">
      <c r="BJ48032" s="201"/>
    </row>
    <row r="48033" spans="62:62" x14ac:dyDescent="0.2">
      <c r="BJ48033" s="201"/>
    </row>
    <row r="48034" spans="62:62" x14ac:dyDescent="0.2">
      <c r="BJ48034" s="201"/>
    </row>
    <row r="48035" spans="62:62" x14ac:dyDescent="0.2">
      <c r="BJ48035" s="201"/>
    </row>
    <row r="48036" spans="62:62" x14ac:dyDescent="0.2">
      <c r="BJ48036" s="201"/>
    </row>
    <row r="48037" spans="62:62" x14ac:dyDescent="0.2">
      <c r="BJ48037" s="201"/>
    </row>
    <row r="48038" spans="62:62" x14ac:dyDescent="0.2">
      <c r="BJ48038" s="201"/>
    </row>
    <row r="48039" spans="62:62" x14ac:dyDescent="0.2">
      <c r="BJ48039" s="201"/>
    </row>
    <row r="48040" spans="62:62" x14ac:dyDescent="0.2">
      <c r="BJ48040" s="201"/>
    </row>
    <row r="48041" spans="62:62" x14ac:dyDescent="0.2">
      <c r="BJ48041" s="201"/>
    </row>
    <row r="48042" spans="62:62" x14ac:dyDescent="0.2">
      <c r="BJ48042" s="201"/>
    </row>
    <row r="48043" spans="62:62" x14ac:dyDescent="0.2">
      <c r="BJ48043" s="201"/>
    </row>
    <row r="48044" spans="62:62" x14ac:dyDescent="0.2">
      <c r="BJ48044" s="201"/>
    </row>
    <row r="48045" spans="62:62" x14ac:dyDescent="0.2">
      <c r="BJ48045" s="201"/>
    </row>
    <row r="48046" spans="62:62" x14ac:dyDescent="0.2">
      <c r="BJ48046" s="201"/>
    </row>
    <row r="48047" spans="62:62" x14ac:dyDescent="0.2">
      <c r="BJ48047" s="201"/>
    </row>
    <row r="48048" spans="62:62" x14ac:dyDescent="0.2">
      <c r="BJ48048" s="201"/>
    </row>
    <row r="48049" spans="62:62" x14ac:dyDescent="0.2">
      <c r="BJ48049" s="201"/>
    </row>
    <row r="48050" spans="62:62" x14ac:dyDescent="0.2">
      <c r="BJ48050" s="201"/>
    </row>
    <row r="48051" spans="62:62" x14ac:dyDescent="0.2">
      <c r="BJ48051" s="201"/>
    </row>
    <row r="48052" spans="62:62" x14ac:dyDescent="0.2">
      <c r="BJ48052" s="201"/>
    </row>
    <row r="48053" spans="62:62" x14ac:dyDescent="0.2">
      <c r="BJ48053" s="201"/>
    </row>
    <row r="48054" spans="62:62" x14ac:dyDescent="0.2">
      <c r="BJ48054" s="201"/>
    </row>
    <row r="48055" spans="62:62" x14ac:dyDescent="0.2">
      <c r="BJ48055" s="201"/>
    </row>
    <row r="48056" spans="62:62" x14ac:dyDescent="0.2">
      <c r="BJ48056" s="201"/>
    </row>
    <row r="48057" spans="62:62" x14ac:dyDescent="0.2">
      <c r="BJ48057" s="201"/>
    </row>
    <row r="48058" spans="62:62" x14ac:dyDescent="0.2">
      <c r="BJ48058" s="201"/>
    </row>
    <row r="48059" spans="62:62" x14ac:dyDescent="0.2">
      <c r="BJ48059" s="201"/>
    </row>
    <row r="48060" spans="62:62" x14ac:dyDescent="0.2">
      <c r="BJ48060" s="201"/>
    </row>
    <row r="48061" spans="62:62" x14ac:dyDescent="0.2">
      <c r="BJ48061" s="201"/>
    </row>
    <row r="48062" spans="62:62" x14ac:dyDescent="0.2">
      <c r="BJ48062" s="201"/>
    </row>
    <row r="48063" spans="62:62" x14ac:dyDescent="0.2">
      <c r="BJ48063" s="201"/>
    </row>
    <row r="48064" spans="62:62" x14ac:dyDescent="0.2">
      <c r="BJ48064" s="201"/>
    </row>
    <row r="48065" spans="62:62" x14ac:dyDescent="0.2">
      <c r="BJ48065" s="201"/>
    </row>
    <row r="48066" spans="62:62" x14ac:dyDescent="0.2">
      <c r="BJ48066" s="201"/>
    </row>
    <row r="48067" spans="62:62" x14ac:dyDescent="0.2">
      <c r="BJ48067" s="201"/>
    </row>
    <row r="48068" spans="62:62" x14ac:dyDescent="0.2">
      <c r="BJ48068" s="201"/>
    </row>
    <row r="48069" spans="62:62" x14ac:dyDescent="0.2">
      <c r="BJ48069" s="201"/>
    </row>
    <row r="48070" spans="62:62" x14ac:dyDescent="0.2">
      <c r="BJ48070" s="201"/>
    </row>
    <row r="48071" spans="62:62" x14ac:dyDescent="0.2">
      <c r="BJ48071" s="201"/>
    </row>
    <row r="48072" spans="62:62" x14ac:dyDescent="0.2">
      <c r="BJ48072" s="201"/>
    </row>
    <row r="48073" spans="62:62" x14ac:dyDescent="0.2">
      <c r="BJ48073" s="201"/>
    </row>
    <row r="48074" spans="62:62" x14ac:dyDescent="0.2">
      <c r="BJ48074" s="201"/>
    </row>
    <row r="48075" spans="62:62" x14ac:dyDescent="0.2">
      <c r="BJ48075" s="201"/>
    </row>
    <row r="48076" spans="62:62" x14ac:dyDescent="0.2">
      <c r="BJ48076" s="201"/>
    </row>
    <row r="48077" spans="62:62" x14ac:dyDescent="0.2">
      <c r="BJ48077" s="201"/>
    </row>
    <row r="48078" spans="62:62" x14ac:dyDescent="0.2">
      <c r="BJ48078" s="201"/>
    </row>
    <row r="48079" spans="62:62" x14ac:dyDescent="0.2">
      <c r="BJ48079" s="201"/>
    </row>
    <row r="48080" spans="62:62" x14ac:dyDescent="0.2">
      <c r="BJ48080" s="201"/>
    </row>
    <row r="48081" spans="62:62" x14ac:dyDescent="0.2">
      <c r="BJ48081" s="201"/>
    </row>
    <row r="48082" spans="62:62" x14ac:dyDescent="0.2">
      <c r="BJ48082" s="201"/>
    </row>
    <row r="48083" spans="62:62" x14ac:dyDescent="0.2">
      <c r="BJ48083" s="201"/>
    </row>
    <row r="48084" spans="62:62" x14ac:dyDescent="0.2">
      <c r="BJ48084" s="201"/>
    </row>
    <row r="48085" spans="62:62" x14ac:dyDescent="0.2">
      <c r="BJ48085" s="201"/>
    </row>
    <row r="48086" spans="62:62" x14ac:dyDescent="0.2">
      <c r="BJ48086" s="201"/>
    </row>
    <row r="48087" spans="62:62" x14ac:dyDescent="0.2">
      <c r="BJ48087" s="201"/>
    </row>
    <row r="48088" spans="62:62" x14ac:dyDescent="0.2">
      <c r="BJ48088" s="201"/>
    </row>
    <row r="48089" spans="62:62" x14ac:dyDescent="0.2">
      <c r="BJ48089" s="201"/>
    </row>
    <row r="48090" spans="62:62" x14ac:dyDescent="0.2">
      <c r="BJ48090" s="201"/>
    </row>
    <row r="48091" spans="62:62" x14ac:dyDescent="0.2">
      <c r="BJ48091" s="201"/>
    </row>
    <row r="48092" spans="62:62" x14ac:dyDescent="0.2">
      <c r="BJ48092" s="201"/>
    </row>
    <row r="48093" spans="62:62" x14ac:dyDescent="0.2">
      <c r="BJ48093" s="201"/>
    </row>
    <row r="48094" spans="62:62" x14ac:dyDescent="0.2">
      <c r="BJ48094" s="201"/>
    </row>
    <row r="48095" spans="62:62" x14ac:dyDescent="0.2">
      <c r="BJ48095" s="201"/>
    </row>
    <row r="48096" spans="62:62" x14ac:dyDescent="0.2">
      <c r="BJ48096" s="201"/>
    </row>
    <row r="48097" spans="62:62" x14ac:dyDescent="0.2">
      <c r="BJ48097" s="201"/>
    </row>
    <row r="48098" spans="62:62" x14ac:dyDescent="0.2">
      <c r="BJ48098" s="201"/>
    </row>
    <row r="48099" spans="62:62" x14ac:dyDescent="0.2">
      <c r="BJ48099" s="201"/>
    </row>
    <row r="48100" spans="62:62" x14ac:dyDescent="0.2">
      <c r="BJ48100" s="201"/>
    </row>
    <row r="48101" spans="62:62" x14ac:dyDescent="0.2">
      <c r="BJ48101" s="201"/>
    </row>
    <row r="48102" spans="62:62" x14ac:dyDescent="0.2">
      <c r="BJ48102" s="201"/>
    </row>
    <row r="48103" spans="62:62" x14ac:dyDescent="0.2">
      <c r="BJ48103" s="201"/>
    </row>
    <row r="48104" spans="62:62" x14ac:dyDescent="0.2">
      <c r="BJ48104" s="201"/>
    </row>
    <row r="48105" spans="62:62" x14ac:dyDescent="0.2">
      <c r="BJ48105" s="201"/>
    </row>
    <row r="48106" spans="62:62" x14ac:dyDescent="0.2">
      <c r="BJ48106" s="201"/>
    </row>
    <row r="48107" spans="62:62" x14ac:dyDescent="0.2">
      <c r="BJ48107" s="201"/>
    </row>
    <row r="48108" spans="62:62" x14ac:dyDescent="0.2">
      <c r="BJ48108" s="201"/>
    </row>
    <row r="48109" spans="62:62" x14ac:dyDescent="0.2">
      <c r="BJ48109" s="201"/>
    </row>
    <row r="48110" spans="62:62" x14ac:dyDescent="0.2">
      <c r="BJ48110" s="201"/>
    </row>
    <row r="48111" spans="62:62" x14ac:dyDescent="0.2">
      <c r="BJ48111" s="201"/>
    </row>
    <row r="48112" spans="62:62" x14ac:dyDescent="0.2">
      <c r="BJ48112" s="201"/>
    </row>
    <row r="48113" spans="62:62" x14ac:dyDescent="0.2">
      <c r="BJ48113" s="201"/>
    </row>
    <row r="48114" spans="62:62" x14ac:dyDescent="0.2">
      <c r="BJ48114" s="201"/>
    </row>
    <row r="48115" spans="62:62" x14ac:dyDescent="0.2">
      <c r="BJ48115" s="201"/>
    </row>
    <row r="48116" spans="62:62" x14ac:dyDescent="0.2">
      <c r="BJ48116" s="201"/>
    </row>
    <row r="48117" spans="62:62" x14ac:dyDescent="0.2">
      <c r="BJ48117" s="201"/>
    </row>
    <row r="48118" spans="62:62" x14ac:dyDescent="0.2">
      <c r="BJ48118" s="201"/>
    </row>
    <row r="48119" spans="62:62" x14ac:dyDescent="0.2">
      <c r="BJ48119" s="201"/>
    </row>
    <row r="48120" spans="62:62" x14ac:dyDescent="0.2">
      <c r="BJ48120" s="201"/>
    </row>
    <row r="48121" spans="62:62" x14ac:dyDescent="0.2">
      <c r="BJ48121" s="201"/>
    </row>
    <row r="48122" spans="62:62" x14ac:dyDescent="0.2">
      <c r="BJ48122" s="201"/>
    </row>
    <row r="48123" spans="62:62" x14ac:dyDescent="0.2">
      <c r="BJ48123" s="201"/>
    </row>
    <row r="48124" spans="62:62" x14ac:dyDescent="0.2">
      <c r="BJ48124" s="201"/>
    </row>
    <row r="48125" spans="62:62" x14ac:dyDescent="0.2">
      <c r="BJ48125" s="201"/>
    </row>
    <row r="48126" spans="62:62" x14ac:dyDescent="0.2">
      <c r="BJ48126" s="201"/>
    </row>
    <row r="48127" spans="62:62" x14ac:dyDescent="0.2">
      <c r="BJ48127" s="201"/>
    </row>
    <row r="48128" spans="62:62" x14ac:dyDescent="0.2">
      <c r="BJ48128" s="201"/>
    </row>
    <row r="48129" spans="62:62" x14ac:dyDescent="0.2">
      <c r="BJ48129" s="201"/>
    </row>
    <row r="48130" spans="62:62" x14ac:dyDescent="0.2">
      <c r="BJ48130" s="201"/>
    </row>
    <row r="48131" spans="62:62" x14ac:dyDescent="0.2">
      <c r="BJ48131" s="201"/>
    </row>
    <row r="48132" spans="62:62" x14ac:dyDescent="0.2">
      <c r="BJ48132" s="201"/>
    </row>
    <row r="48133" spans="62:62" x14ac:dyDescent="0.2">
      <c r="BJ48133" s="201"/>
    </row>
    <row r="48134" spans="62:62" x14ac:dyDescent="0.2">
      <c r="BJ48134" s="201"/>
    </row>
    <row r="48135" spans="62:62" x14ac:dyDescent="0.2">
      <c r="BJ48135" s="201"/>
    </row>
    <row r="48136" spans="62:62" x14ac:dyDescent="0.2">
      <c r="BJ48136" s="201"/>
    </row>
    <row r="48137" spans="62:62" x14ac:dyDescent="0.2">
      <c r="BJ48137" s="201"/>
    </row>
    <row r="48138" spans="62:62" x14ac:dyDescent="0.2">
      <c r="BJ48138" s="201"/>
    </row>
    <row r="48139" spans="62:62" x14ac:dyDescent="0.2">
      <c r="BJ48139" s="201"/>
    </row>
    <row r="48140" spans="62:62" x14ac:dyDescent="0.2">
      <c r="BJ48140" s="201"/>
    </row>
    <row r="48141" spans="62:62" x14ac:dyDescent="0.2">
      <c r="BJ48141" s="201"/>
    </row>
    <row r="48142" spans="62:62" x14ac:dyDescent="0.2">
      <c r="BJ48142" s="201"/>
    </row>
    <row r="48143" spans="62:62" x14ac:dyDescent="0.2">
      <c r="BJ48143" s="201"/>
    </row>
    <row r="48144" spans="62:62" x14ac:dyDescent="0.2">
      <c r="BJ48144" s="201"/>
    </row>
    <row r="48145" spans="62:62" x14ac:dyDescent="0.2">
      <c r="BJ48145" s="201"/>
    </row>
    <row r="48146" spans="62:62" x14ac:dyDescent="0.2">
      <c r="BJ48146" s="201"/>
    </row>
    <row r="48147" spans="62:62" x14ac:dyDescent="0.2">
      <c r="BJ48147" s="201"/>
    </row>
    <row r="48148" spans="62:62" x14ac:dyDescent="0.2">
      <c r="BJ48148" s="201"/>
    </row>
    <row r="48149" spans="62:62" x14ac:dyDescent="0.2">
      <c r="BJ48149" s="201"/>
    </row>
    <row r="48150" spans="62:62" x14ac:dyDescent="0.2">
      <c r="BJ48150" s="201"/>
    </row>
    <row r="48151" spans="62:62" x14ac:dyDescent="0.2">
      <c r="BJ48151" s="201"/>
    </row>
    <row r="48152" spans="62:62" x14ac:dyDescent="0.2">
      <c r="BJ48152" s="201"/>
    </row>
    <row r="48153" spans="62:62" x14ac:dyDescent="0.2">
      <c r="BJ48153" s="201"/>
    </row>
    <row r="48154" spans="62:62" x14ac:dyDescent="0.2">
      <c r="BJ48154" s="201"/>
    </row>
    <row r="48155" spans="62:62" x14ac:dyDescent="0.2">
      <c r="BJ48155" s="201"/>
    </row>
    <row r="48156" spans="62:62" x14ac:dyDescent="0.2">
      <c r="BJ48156" s="201"/>
    </row>
    <row r="48157" spans="62:62" x14ac:dyDescent="0.2">
      <c r="BJ48157" s="201"/>
    </row>
    <row r="48158" spans="62:62" x14ac:dyDescent="0.2">
      <c r="BJ48158" s="201"/>
    </row>
    <row r="48159" spans="62:62" x14ac:dyDescent="0.2">
      <c r="BJ48159" s="201"/>
    </row>
    <row r="48160" spans="62:62" x14ac:dyDescent="0.2">
      <c r="BJ48160" s="201"/>
    </row>
    <row r="48161" spans="62:62" x14ac:dyDescent="0.2">
      <c r="BJ48161" s="201"/>
    </row>
    <row r="48162" spans="62:62" x14ac:dyDescent="0.2">
      <c r="BJ48162" s="201"/>
    </row>
    <row r="48163" spans="62:62" x14ac:dyDescent="0.2">
      <c r="BJ48163" s="201"/>
    </row>
    <row r="48164" spans="62:62" x14ac:dyDescent="0.2">
      <c r="BJ48164" s="201"/>
    </row>
    <row r="48165" spans="62:62" x14ac:dyDescent="0.2">
      <c r="BJ48165" s="201"/>
    </row>
    <row r="48166" spans="62:62" x14ac:dyDescent="0.2">
      <c r="BJ48166" s="201"/>
    </row>
    <row r="48167" spans="62:62" x14ac:dyDescent="0.2">
      <c r="BJ48167" s="201"/>
    </row>
    <row r="48168" spans="62:62" x14ac:dyDescent="0.2">
      <c r="BJ48168" s="201"/>
    </row>
    <row r="48169" spans="62:62" x14ac:dyDescent="0.2">
      <c r="BJ48169" s="201"/>
    </row>
    <row r="48170" spans="62:62" x14ac:dyDescent="0.2">
      <c r="BJ48170" s="201"/>
    </row>
    <row r="48171" spans="62:62" x14ac:dyDescent="0.2">
      <c r="BJ48171" s="201"/>
    </row>
    <row r="48172" spans="62:62" x14ac:dyDescent="0.2">
      <c r="BJ48172" s="201"/>
    </row>
    <row r="48173" spans="62:62" x14ac:dyDescent="0.2">
      <c r="BJ48173" s="201"/>
    </row>
    <row r="48174" spans="62:62" x14ac:dyDescent="0.2">
      <c r="BJ48174" s="201"/>
    </row>
    <row r="48175" spans="62:62" x14ac:dyDescent="0.2">
      <c r="BJ48175" s="201"/>
    </row>
    <row r="48176" spans="62:62" x14ac:dyDescent="0.2">
      <c r="BJ48176" s="201"/>
    </row>
    <row r="48177" spans="62:62" x14ac:dyDescent="0.2">
      <c r="BJ48177" s="201"/>
    </row>
    <row r="48178" spans="62:62" x14ac:dyDescent="0.2">
      <c r="BJ48178" s="201"/>
    </row>
    <row r="48179" spans="62:62" x14ac:dyDescent="0.2">
      <c r="BJ48179" s="201"/>
    </row>
    <row r="48180" spans="62:62" x14ac:dyDescent="0.2">
      <c r="BJ48180" s="201"/>
    </row>
    <row r="48181" spans="62:62" x14ac:dyDescent="0.2">
      <c r="BJ48181" s="201"/>
    </row>
    <row r="48182" spans="62:62" x14ac:dyDescent="0.2">
      <c r="BJ48182" s="201"/>
    </row>
    <row r="48183" spans="62:62" x14ac:dyDescent="0.2">
      <c r="BJ48183" s="201"/>
    </row>
    <row r="48184" spans="62:62" x14ac:dyDescent="0.2">
      <c r="BJ48184" s="201"/>
    </row>
    <row r="48185" spans="62:62" x14ac:dyDescent="0.2">
      <c r="BJ48185" s="201"/>
    </row>
    <row r="48186" spans="62:62" x14ac:dyDescent="0.2">
      <c r="BJ48186" s="201"/>
    </row>
    <row r="48187" spans="62:62" x14ac:dyDescent="0.2">
      <c r="BJ48187" s="201"/>
    </row>
    <row r="48188" spans="62:62" x14ac:dyDescent="0.2">
      <c r="BJ48188" s="201"/>
    </row>
    <row r="48189" spans="62:62" x14ac:dyDescent="0.2">
      <c r="BJ48189" s="201"/>
    </row>
    <row r="48190" spans="62:62" x14ac:dyDescent="0.2">
      <c r="BJ48190" s="201"/>
    </row>
    <row r="48191" spans="62:62" x14ac:dyDescent="0.2">
      <c r="BJ48191" s="201"/>
    </row>
    <row r="48192" spans="62:62" x14ac:dyDescent="0.2">
      <c r="BJ48192" s="201"/>
    </row>
    <row r="48193" spans="62:62" x14ac:dyDescent="0.2">
      <c r="BJ48193" s="201"/>
    </row>
    <row r="48194" spans="62:62" x14ac:dyDescent="0.2">
      <c r="BJ48194" s="201"/>
    </row>
    <row r="48195" spans="62:62" x14ac:dyDescent="0.2">
      <c r="BJ48195" s="201"/>
    </row>
    <row r="48196" spans="62:62" x14ac:dyDescent="0.2">
      <c r="BJ48196" s="201"/>
    </row>
    <row r="48197" spans="62:62" x14ac:dyDescent="0.2">
      <c r="BJ48197" s="201"/>
    </row>
    <row r="48198" spans="62:62" x14ac:dyDescent="0.2">
      <c r="BJ48198" s="201"/>
    </row>
    <row r="48199" spans="62:62" x14ac:dyDescent="0.2">
      <c r="BJ48199" s="201"/>
    </row>
    <row r="48200" spans="62:62" x14ac:dyDescent="0.2">
      <c r="BJ48200" s="201"/>
    </row>
    <row r="48201" spans="62:62" x14ac:dyDescent="0.2">
      <c r="BJ48201" s="201"/>
    </row>
    <row r="48202" spans="62:62" x14ac:dyDescent="0.2">
      <c r="BJ48202" s="201"/>
    </row>
    <row r="48203" spans="62:62" x14ac:dyDescent="0.2">
      <c r="BJ48203" s="201"/>
    </row>
    <row r="48204" spans="62:62" x14ac:dyDescent="0.2">
      <c r="BJ48204" s="201"/>
    </row>
    <row r="48205" spans="62:62" x14ac:dyDescent="0.2">
      <c r="BJ48205" s="201"/>
    </row>
    <row r="48206" spans="62:62" x14ac:dyDescent="0.2">
      <c r="BJ48206" s="201"/>
    </row>
    <row r="48207" spans="62:62" x14ac:dyDescent="0.2">
      <c r="BJ48207" s="201"/>
    </row>
    <row r="48208" spans="62:62" x14ac:dyDescent="0.2">
      <c r="BJ48208" s="201"/>
    </row>
    <row r="48209" spans="62:62" x14ac:dyDescent="0.2">
      <c r="BJ48209" s="201"/>
    </row>
    <row r="48210" spans="62:62" x14ac:dyDescent="0.2">
      <c r="BJ48210" s="201"/>
    </row>
    <row r="48211" spans="62:62" x14ac:dyDescent="0.2">
      <c r="BJ48211" s="201"/>
    </row>
    <row r="48212" spans="62:62" x14ac:dyDescent="0.2">
      <c r="BJ48212" s="201"/>
    </row>
    <row r="48213" spans="62:62" x14ac:dyDescent="0.2">
      <c r="BJ48213" s="201"/>
    </row>
    <row r="48214" spans="62:62" x14ac:dyDescent="0.2">
      <c r="BJ48214" s="201"/>
    </row>
    <row r="48215" spans="62:62" x14ac:dyDescent="0.2">
      <c r="BJ48215" s="201"/>
    </row>
    <row r="48216" spans="62:62" x14ac:dyDescent="0.2">
      <c r="BJ48216" s="201"/>
    </row>
    <row r="48217" spans="62:62" x14ac:dyDescent="0.2">
      <c r="BJ48217" s="201"/>
    </row>
    <row r="48218" spans="62:62" x14ac:dyDescent="0.2">
      <c r="BJ48218" s="201"/>
    </row>
    <row r="48219" spans="62:62" x14ac:dyDescent="0.2">
      <c r="BJ48219" s="201"/>
    </row>
    <row r="48220" spans="62:62" x14ac:dyDescent="0.2">
      <c r="BJ48220" s="201"/>
    </row>
    <row r="48221" spans="62:62" x14ac:dyDescent="0.2">
      <c r="BJ48221" s="201"/>
    </row>
    <row r="48222" spans="62:62" x14ac:dyDescent="0.2">
      <c r="BJ48222" s="201"/>
    </row>
    <row r="48223" spans="62:62" x14ac:dyDescent="0.2">
      <c r="BJ48223" s="201"/>
    </row>
    <row r="48224" spans="62:62" x14ac:dyDescent="0.2">
      <c r="BJ48224" s="201"/>
    </row>
    <row r="48225" spans="62:62" x14ac:dyDescent="0.2">
      <c r="BJ48225" s="201"/>
    </row>
    <row r="48226" spans="62:62" x14ac:dyDescent="0.2">
      <c r="BJ48226" s="201"/>
    </row>
    <row r="48227" spans="62:62" x14ac:dyDescent="0.2">
      <c r="BJ48227" s="201"/>
    </row>
    <row r="48228" spans="62:62" x14ac:dyDescent="0.2">
      <c r="BJ48228" s="201"/>
    </row>
    <row r="48229" spans="62:62" x14ac:dyDescent="0.2">
      <c r="BJ48229" s="201"/>
    </row>
    <row r="48230" spans="62:62" x14ac:dyDescent="0.2">
      <c r="BJ48230" s="201"/>
    </row>
    <row r="48231" spans="62:62" x14ac:dyDescent="0.2">
      <c r="BJ48231" s="201"/>
    </row>
    <row r="48232" spans="62:62" x14ac:dyDescent="0.2">
      <c r="BJ48232" s="201"/>
    </row>
    <row r="48233" spans="62:62" x14ac:dyDescent="0.2">
      <c r="BJ48233" s="201"/>
    </row>
    <row r="48234" spans="62:62" x14ac:dyDescent="0.2">
      <c r="BJ48234" s="201"/>
    </row>
    <row r="48235" spans="62:62" x14ac:dyDescent="0.2">
      <c r="BJ48235" s="201"/>
    </row>
    <row r="48236" spans="62:62" x14ac:dyDescent="0.2">
      <c r="BJ48236" s="201"/>
    </row>
    <row r="48237" spans="62:62" x14ac:dyDescent="0.2">
      <c r="BJ48237" s="201"/>
    </row>
    <row r="48238" spans="62:62" x14ac:dyDescent="0.2">
      <c r="BJ48238" s="201"/>
    </row>
    <row r="48239" spans="62:62" x14ac:dyDescent="0.2">
      <c r="BJ48239" s="201"/>
    </row>
    <row r="48240" spans="62:62" x14ac:dyDescent="0.2">
      <c r="BJ48240" s="201"/>
    </row>
    <row r="48241" spans="62:62" x14ac:dyDescent="0.2">
      <c r="BJ48241" s="201"/>
    </row>
    <row r="48242" spans="62:62" x14ac:dyDescent="0.2">
      <c r="BJ48242" s="201"/>
    </row>
    <row r="48243" spans="62:62" x14ac:dyDescent="0.2">
      <c r="BJ48243" s="201"/>
    </row>
    <row r="48244" spans="62:62" x14ac:dyDescent="0.2">
      <c r="BJ48244" s="201"/>
    </row>
    <row r="48245" spans="62:62" x14ac:dyDescent="0.2">
      <c r="BJ48245" s="201"/>
    </row>
    <row r="48246" spans="62:62" x14ac:dyDescent="0.2">
      <c r="BJ48246" s="201"/>
    </row>
    <row r="48247" spans="62:62" x14ac:dyDescent="0.2">
      <c r="BJ48247" s="201"/>
    </row>
    <row r="48248" spans="62:62" x14ac:dyDescent="0.2">
      <c r="BJ48248" s="201"/>
    </row>
    <row r="48249" spans="62:62" x14ac:dyDescent="0.2">
      <c r="BJ48249" s="201"/>
    </row>
    <row r="48250" spans="62:62" x14ac:dyDescent="0.2">
      <c r="BJ48250" s="201"/>
    </row>
    <row r="48251" spans="62:62" x14ac:dyDescent="0.2">
      <c r="BJ48251" s="201"/>
    </row>
    <row r="48252" spans="62:62" x14ac:dyDescent="0.2">
      <c r="BJ48252" s="201"/>
    </row>
    <row r="48253" spans="62:62" x14ac:dyDescent="0.2">
      <c r="BJ48253" s="201"/>
    </row>
    <row r="48254" spans="62:62" x14ac:dyDescent="0.2">
      <c r="BJ48254" s="201"/>
    </row>
    <row r="48255" spans="62:62" x14ac:dyDescent="0.2">
      <c r="BJ48255" s="201"/>
    </row>
    <row r="48256" spans="62:62" x14ac:dyDescent="0.2">
      <c r="BJ48256" s="201"/>
    </row>
    <row r="48257" spans="62:62" x14ac:dyDescent="0.2">
      <c r="BJ48257" s="201"/>
    </row>
    <row r="48258" spans="62:62" x14ac:dyDescent="0.2">
      <c r="BJ48258" s="201"/>
    </row>
    <row r="48259" spans="62:62" x14ac:dyDescent="0.2">
      <c r="BJ48259" s="201"/>
    </row>
    <row r="48260" spans="62:62" x14ac:dyDescent="0.2">
      <c r="BJ48260" s="201"/>
    </row>
    <row r="48261" spans="62:62" x14ac:dyDescent="0.2">
      <c r="BJ48261" s="201"/>
    </row>
    <row r="48262" spans="62:62" x14ac:dyDescent="0.2">
      <c r="BJ48262" s="201"/>
    </row>
    <row r="48263" spans="62:62" x14ac:dyDescent="0.2">
      <c r="BJ48263" s="201"/>
    </row>
    <row r="48264" spans="62:62" x14ac:dyDescent="0.2">
      <c r="BJ48264" s="201"/>
    </row>
    <row r="48265" spans="62:62" x14ac:dyDescent="0.2">
      <c r="BJ48265" s="201"/>
    </row>
    <row r="48266" spans="62:62" x14ac:dyDescent="0.2">
      <c r="BJ48266" s="201"/>
    </row>
    <row r="48267" spans="62:62" x14ac:dyDescent="0.2">
      <c r="BJ48267" s="201"/>
    </row>
    <row r="48268" spans="62:62" x14ac:dyDescent="0.2">
      <c r="BJ48268" s="201"/>
    </row>
    <row r="48269" spans="62:62" x14ac:dyDescent="0.2">
      <c r="BJ48269" s="201"/>
    </row>
    <row r="48270" spans="62:62" x14ac:dyDescent="0.2">
      <c r="BJ48270" s="201"/>
    </row>
    <row r="48271" spans="62:62" x14ac:dyDescent="0.2">
      <c r="BJ48271" s="201"/>
    </row>
    <row r="48272" spans="62:62" x14ac:dyDescent="0.2">
      <c r="BJ48272" s="201"/>
    </row>
    <row r="48273" spans="62:62" x14ac:dyDescent="0.2">
      <c r="BJ48273" s="201"/>
    </row>
    <row r="48274" spans="62:62" x14ac:dyDescent="0.2">
      <c r="BJ48274" s="201"/>
    </row>
    <row r="48275" spans="62:62" x14ac:dyDescent="0.2">
      <c r="BJ48275" s="201"/>
    </row>
    <row r="48276" spans="62:62" x14ac:dyDescent="0.2">
      <c r="BJ48276" s="201"/>
    </row>
    <row r="48277" spans="62:62" x14ac:dyDescent="0.2">
      <c r="BJ48277" s="201"/>
    </row>
    <row r="48278" spans="62:62" x14ac:dyDescent="0.2">
      <c r="BJ48278" s="201"/>
    </row>
    <row r="48279" spans="62:62" x14ac:dyDescent="0.2">
      <c r="BJ48279" s="201"/>
    </row>
    <row r="48280" spans="62:62" x14ac:dyDescent="0.2">
      <c r="BJ48280" s="201"/>
    </row>
    <row r="48281" spans="62:62" x14ac:dyDescent="0.2">
      <c r="BJ48281" s="201"/>
    </row>
    <row r="48282" spans="62:62" x14ac:dyDescent="0.2">
      <c r="BJ48282" s="201"/>
    </row>
    <row r="48283" spans="62:62" x14ac:dyDescent="0.2">
      <c r="BJ48283" s="201"/>
    </row>
    <row r="48284" spans="62:62" x14ac:dyDescent="0.2">
      <c r="BJ48284" s="201"/>
    </row>
    <row r="48285" spans="62:62" x14ac:dyDescent="0.2">
      <c r="BJ48285" s="201"/>
    </row>
    <row r="48286" spans="62:62" x14ac:dyDescent="0.2">
      <c r="BJ48286" s="201"/>
    </row>
    <row r="48287" spans="62:62" x14ac:dyDescent="0.2">
      <c r="BJ48287" s="201"/>
    </row>
    <row r="48288" spans="62:62" x14ac:dyDescent="0.2">
      <c r="BJ48288" s="201"/>
    </row>
    <row r="48289" spans="62:62" x14ac:dyDescent="0.2">
      <c r="BJ48289" s="201"/>
    </row>
    <row r="48290" spans="62:62" x14ac:dyDescent="0.2">
      <c r="BJ48290" s="201"/>
    </row>
    <row r="48291" spans="62:62" x14ac:dyDescent="0.2">
      <c r="BJ48291" s="201"/>
    </row>
    <row r="48292" spans="62:62" x14ac:dyDescent="0.2">
      <c r="BJ48292" s="201"/>
    </row>
    <row r="48293" spans="62:62" x14ac:dyDescent="0.2">
      <c r="BJ48293" s="201"/>
    </row>
    <row r="48294" spans="62:62" x14ac:dyDescent="0.2">
      <c r="BJ48294" s="201"/>
    </row>
    <row r="48295" spans="62:62" x14ac:dyDescent="0.2">
      <c r="BJ48295" s="201"/>
    </row>
    <row r="48296" spans="62:62" x14ac:dyDescent="0.2">
      <c r="BJ48296" s="201"/>
    </row>
    <row r="48297" spans="62:62" x14ac:dyDescent="0.2">
      <c r="BJ48297" s="201"/>
    </row>
    <row r="48298" spans="62:62" x14ac:dyDescent="0.2">
      <c r="BJ48298" s="201"/>
    </row>
    <row r="48299" spans="62:62" x14ac:dyDescent="0.2">
      <c r="BJ48299" s="201"/>
    </row>
    <row r="48300" spans="62:62" x14ac:dyDescent="0.2">
      <c r="BJ48300" s="201"/>
    </row>
    <row r="48301" spans="62:62" x14ac:dyDescent="0.2">
      <c r="BJ48301" s="201"/>
    </row>
    <row r="48302" spans="62:62" x14ac:dyDescent="0.2">
      <c r="BJ48302" s="201"/>
    </row>
    <row r="48303" spans="62:62" x14ac:dyDescent="0.2">
      <c r="BJ48303" s="201"/>
    </row>
    <row r="48304" spans="62:62" x14ac:dyDescent="0.2">
      <c r="BJ48304" s="201"/>
    </row>
    <row r="48305" spans="62:62" x14ac:dyDescent="0.2">
      <c r="BJ48305" s="201"/>
    </row>
    <row r="48306" spans="62:62" x14ac:dyDescent="0.2">
      <c r="BJ48306" s="201"/>
    </row>
    <row r="48307" spans="62:62" x14ac:dyDescent="0.2">
      <c r="BJ48307" s="201"/>
    </row>
    <row r="48308" spans="62:62" x14ac:dyDescent="0.2">
      <c r="BJ48308" s="201"/>
    </row>
    <row r="48309" spans="62:62" x14ac:dyDescent="0.2">
      <c r="BJ48309" s="201"/>
    </row>
    <row r="48310" spans="62:62" x14ac:dyDescent="0.2">
      <c r="BJ48310" s="201"/>
    </row>
    <row r="48311" spans="62:62" x14ac:dyDescent="0.2">
      <c r="BJ48311" s="201"/>
    </row>
    <row r="48312" spans="62:62" x14ac:dyDescent="0.2">
      <c r="BJ48312" s="201"/>
    </row>
    <row r="48313" spans="62:62" x14ac:dyDescent="0.2">
      <c r="BJ48313" s="201"/>
    </row>
    <row r="48314" spans="62:62" x14ac:dyDescent="0.2">
      <c r="BJ48314" s="201"/>
    </row>
    <row r="48315" spans="62:62" x14ac:dyDescent="0.2">
      <c r="BJ48315" s="201"/>
    </row>
    <row r="48316" spans="62:62" x14ac:dyDescent="0.2">
      <c r="BJ48316" s="201"/>
    </row>
    <row r="48317" spans="62:62" x14ac:dyDescent="0.2">
      <c r="BJ48317" s="201"/>
    </row>
    <row r="48318" spans="62:62" x14ac:dyDescent="0.2">
      <c r="BJ48318" s="201"/>
    </row>
    <row r="48319" spans="62:62" x14ac:dyDescent="0.2">
      <c r="BJ48319" s="201"/>
    </row>
    <row r="48320" spans="62:62" x14ac:dyDescent="0.2">
      <c r="BJ48320" s="201"/>
    </row>
    <row r="48321" spans="62:62" x14ac:dyDescent="0.2">
      <c r="BJ48321" s="201"/>
    </row>
    <row r="48322" spans="62:62" x14ac:dyDescent="0.2">
      <c r="BJ48322" s="201"/>
    </row>
    <row r="48323" spans="62:62" x14ac:dyDescent="0.2">
      <c r="BJ48323" s="201"/>
    </row>
    <row r="48324" spans="62:62" x14ac:dyDescent="0.2">
      <c r="BJ48324" s="201"/>
    </row>
    <row r="48325" spans="62:62" x14ac:dyDescent="0.2">
      <c r="BJ48325" s="201"/>
    </row>
    <row r="48326" spans="62:62" x14ac:dyDescent="0.2">
      <c r="BJ48326" s="201"/>
    </row>
    <row r="48327" spans="62:62" x14ac:dyDescent="0.2">
      <c r="BJ48327" s="201"/>
    </row>
    <row r="48328" spans="62:62" x14ac:dyDescent="0.2">
      <c r="BJ48328" s="201"/>
    </row>
    <row r="48329" spans="62:62" x14ac:dyDescent="0.2">
      <c r="BJ48329" s="201"/>
    </row>
    <row r="48330" spans="62:62" x14ac:dyDescent="0.2">
      <c r="BJ48330" s="201"/>
    </row>
    <row r="48331" spans="62:62" x14ac:dyDescent="0.2">
      <c r="BJ48331" s="201"/>
    </row>
    <row r="48332" spans="62:62" x14ac:dyDescent="0.2">
      <c r="BJ48332" s="201"/>
    </row>
    <row r="48333" spans="62:62" x14ac:dyDescent="0.2">
      <c r="BJ48333" s="201"/>
    </row>
    <row r="48334" spans="62:62" x14ac:dyDescent="0.2">
      <c r="BJ48334" s="201"/>
    </row>
    <row r="48335" spans="62:62" x14ac:dyDescent="0.2">
      <c r="BJ48335" s="201"/>
    </row>
    <row r="48336" spans="62:62" x14ac:dyDescent="0.2">
      <c r="BJ48336" s="201"/>
    </row>
    <row r="48337" spans="62:62" x14ac:dyDescent="0.2">
      <c r="BJ48337" s="201"/>
    </row>
    <row r="48338" spans="62:62" x14ac:dyDescent="0.2">
      <c r="BJ48338" s="201"/>
    </row>
    <row r="48339" spans="62:62" x14ac:dyDescent="0.2">
      <c r="BJ48339" s="201"/>
    </row>
    <row r="48340" spans="62:62" x14ac:dyDescent="0.2">
      <c r="BJ48340" s="201"/>
    </row>
    <row r="48341" spans="62:62" x14ac:dyDescent="0.2">
      <c r="BJ48341" s="201"/>
    </row>
    <row r="48342" spans="62:62" x14ac:dyDescent="0.2">
      <c r="BJ48342" s="201"/>
    </row>
    <row r="48343" spans="62:62" x14ac:dyDescent="0.2">
      <c r="BJ48343" s="201"/>
    </row>
    <row r="48344" spans="62:62" x14ac:dyDescent="0.2">
      <c r="BJ48344" s="201"/>
    </row>
    <row r="48345" spans="62:62" x14ac:dyDescent="0.2">
      <c r="BJ48345" s="201"/>
    </row>
    <row r="48346" spans="62:62" x14ac:dyDescent="0.2">
      <c r="BJ48346" s="201"/>
    </row>
    <row r="48347" spans="62:62" x14ac:dyDescent="0.2">
      <c r="BJ48347" s="201"/>
    </row>
    <row r="48348" spans="62:62" x14ac:dyDescent="0.2">
      <c r="BJ48348" s="201"/>
    </row>
    <row r="48349" spans="62:62" x14ac:dyDescent="0.2">
      <c r="BJ48349" s="201"/>
    </row>
    <row r="48350" spans="62:62" x14ac:dyDescent="0.2">
      <c r="BJ48350" s="201"/>
    </row>
    <row r="48351" spans="62:62" x14ac:dyDescent="0.2">
      <c r="BJ48351" s="201"/>
    </row>
    <row r="48352" spans="62:62" x14ac:dyDescent="0.2">
      <c r="BJ48352" s="201"/>
    </row>
    <row r="48353" spans="62:62" x14ac:dyDescent="0.2">
      <c r="BJ48353" s="201"/>
    </row>
    <row r="48354" spans="62:62" x14ac:dyDescent="0.2">
      <c r="BJ48354" s="201"/>
    </row>
    <row r="48355" spans="62:62" x14ac:dyDescent="0.2">
      <c r="BJ48355" s="201"/>
    </row>
    <row r="48356" spans="62:62" x14ac:dyDescent="0.2">
      <c r="BJ48356" s="201"/>
    </row>
    <row r="48357" spans="62:62" x14ac:dyDescent="0.2">
      <c r="BJ48357" s="201"/>
    </row>
    <row r="48358" spans="62:62" x14ac:dyDescent="0.2">
      <c r="BJ48358" s="201"/>
    </row>
    <row r="48359" spans="62:62" x14ac:dyDescent="0.2">
      <c r="BJ48359" s="201"/>
    </row>
    <row r="48360" spans="62:62" x14ac:dyDescent="0.2">
      <c r="BJ48360" s="201"/>
    </row>
    <row r="48361" spans="62:62" x14ac:dyDescent="0.2">
      <c r="BJ48361" s="201"/>
    </row>
    <row r="48362" spans="62:62" x14ac:dyDescent="0.2">
      <c r="BJ48362" s="201"/>
    </row>
    <row r="48363" spans="62:62" x14ac:dyDescent="0.2">
      <c r="BJ48363" s="201"/>
    </row>
    <row r="48364" spans="62:62" x14ac:dyDescent="0.2">
      <c r="BJ48364" s="201"/>
    </row>
    <row r="48365" spans="62:62" x14ac:dyDescent="0.2">
      <c r="BJ48365" s="201"/>
    </row>
    <row r="48366" spans="62:62" x14ac:dyDescent="0.2">
      <c r="BJ48366" s="201"/>
    </row>
    <row r="48367" spans="62:62" x14ac:dyDescent="0.2">
      <c r="BJ48367" s="201"/>
    </row>
    <row r="48368" spans="62:62" x14ac:dyDescent="0.2">
      <c r="BJ48368" s="201"/>
    </row>
    <row r="48369" spans="62:62" x14ac:dyDescent="0.2">
      <c r="BJ48369" s="201"/>
    </row>
    <row r="48370" spans="62:62" x14ac:dyDescent="0.2">
      <c r="BJ48370" s="201"/>
    </row>
    <row r="48371" spans="62:62" x14ac:dyDescent="0.2">
      <c r="BJ48371" s="201"/>
    </row>
    <row r="48372" spans="62:62" x14ac:dyDescent="0.2">
      <c r="BJ48372" s="201"/>
    </row>
    <row r="48373" spans="62:62" x14ac:dyDescent="0.2">
      <c r="BJ48373" s="201"/>
    </row>
    <row r="48374" spans="62:62" x14ac:dyDescent="0.2">
      <c r="BJ48374" s="201"/>
    </row>
    <row r="48375" spans="62:62" x14ac:dyDescent="0.2">
      <c r="BJ48375" s="201"/>
    </row>
    <row r="48376" spans="62:62" x14ac:dyDescent="0.2">
      <c r="BJ48376" s="201"/>
    </row>
    <row r="48377" spans="62:62" x14ac:dyDescent="0.2">
      <c r="BJ48377" s="201"/>
    </row>
    <row r="48378" spans="62:62" x14ac:dyDescent="0.2">
      <c r="BJ48378" s="201"/>
    </row>
    <row r="48379" spans="62:62" x14ac:dyDescent="0.2">
      <c r="BJ48379" s="201"/>
    </row>
    <row r="48380" spans="62:62" x14ac:dyDescent="0.2">
      <c r="BJ48380" s="201"/>
    </row>
    <row r="48381" spans="62:62" x14ac:dyDescent="0.2">
      <c r="BJ48381" s="201"/>
    </row>
    <row r="48382" spans="62:62" x14ac:dyDescent="0.2">
      <c r="BJ48382" s="201"/>
    </row>
    <row r="48383" spans="62:62" x14ac:dyDescent="0.2">
      <c r="BJ48383" s="201"/>
    </row>
    <row r="48384" spans="62:62" x14ac:dyDescent="0.2">
      <c r="BJ48384" s="201"/>
    </row>
    <row r="48385" spans="62:62" x14ac:dyDescent="0.2">
      <c r="BJ48385" s="201"/>
    </row>
    <row r="48386" spans="62:62" x14ac:dyDescent="0.2">
      <c r="BJ48386" s="201"/>
    </row>
    <row r="48387" spans="62:62" x14ac:dyDescent="0.2">
      <c r="BJ48387" s="201"/>
    </row>
    <row r="48388" spans="62:62" x14ac:dyDescent="0.2">
      <c r="BJ48388" s="201"/>
    </row>
    <row r="48389" spans="62:62" x14ac:dyDescent="0.2">
      <c r="BJ48389" s="201"/>
    </row>
    <row r="48390" spans="62:62" x14ac:dyDescent="0.2">
      <c r="BJ48390" s="201"/>
    </row>
    <row r="48391" spans="62:62" x14ac:dyDescent="0.2">
      <c r="BJ48391" s="201"/>
    </row>
    <row r="48392" spans="62:62" x14ac:dyDescent="0.2">
      <c r="BJ48392" s="201"/>
    </row>
    <row r="48393" spans="62:62" x14ac:dyDescent="0.2">
      <c r="BJ48393" s="201"/>
    </row>
    <row r="48394" spans="62:62" x14ac:dyDescent="0.2">
      <c r="BJ48394" s="201"/>
    </row>
    <row r="48395" spans="62:62" x14ac:dyDescent="0.2">
      <c r="BJ48395" s="201"/>
    </row>
    <row r="48396" spans="62:62" x14ac:dyDescent="0.2">
      <c r="BJ48396" s="201"/>
    </row>
    <row r="48397" spans="62:62" x14ac:dyDescent="0.2">
      <c r="BJ48397" s="201"/>
    </row>
    <row r="48398" spans="62:62" x14ac:dyDescent="0.2">
      <c r="BJ48398" s="201"/>
    </row>
    <row r="48399" spans="62:62" x14ac:dyDescent="0.2">
      <c r="BJ48399" s="201"/>
    </row>
    <row r="48400" spans="62:62" x14ac:dyDescent="0.2">
      <c r="BJ48400" s="201"/>
    </row>
    <row r="48401" spans="62:62" x14ac:dyDescent="0.2">
      <c r="BJ48401" s="201"/>
    </row>
    <row r="48402" spans="62:62" x14ac:dyDescent="0.2">
      <c r="BJ48402" s="201"/>
    </row>
    <row r="48403" spans="62:62" x14ac:dyDescent="0.2">
      <c r="BJ48403" s="201"/>
    </row>
    <row r="48404" spans="62:62" x14ac:dyDescent="0.2">
      <c r="BJ48404" s="201"/>
    </row>
    <row r="48405" spans="62:62" x14ac:dyDescent="0.2">
      <c r="BJ48405" s="201"/>
    </row>
    <row r="48406" spans="62:62" x14ac:dyDescent="0.2">
      <c r="BJ48406" s="201"/>
    </row>
    <row r="48407" spans="62:62" x14ac:dyDescent="0.2">
      <c r="BJ48407" s="201"/>
    </row>
    <row r="48408" spans="62:62" x14ac:dyDescent="0.2">
      <c r="BJ48408" s="201"/>
    </row>
    <row r="48409" spans="62:62" x14ac:dyDescent="0.2">
      <c r="BJ48409" s="201"/>
    </row>
    <row r="48410" spans="62:62" x14ac:dyDescent="0.2">
      <c r="BJ48410" s="201"/>
    </row>
    <row r="48411" spans="62:62" x14ac:dyDescent="0.2">
      <c r="BJ48411" s="201"/>
    </row>
    <row r="48412" spans="62:62" x14ac:dyDescent="0.2">
      <c r="BJ48412" s="201"/>
    </row>
    <row r="48413" spans="62:62" x14ac:dyDescent="0.2">
      <c r="BJ48413" s="201"/>
    </row>
    <row r="48414" spans="62:62" x14ac:dyDescent="0.2">
      <c r="BJ48414" s="201"/>
    </row>
    <row r="48415" spans="62:62" x14ac:dyDescent="0.2">
      <c r="BJ48415" s="201"/>
    </row>
    <row r="48416" spans="62:62" x14ac:dyDescent="0.2">
      <c r="BJ48416" s="201"/>
    </row>
    <row r="48417" spans="62:62" x14ac:dyDescent="0.2">
      <c r="BJ48417" s="201"/>
    </row>
    <row r="48418" spans="62:62" x14ac:dyDescent="0.2">
      <c r="BJ48418" s="201"/>
    </row>
    <row r="48419" spans="62:62" x14ac:dyDescent="0.2">
      <c r="BJ48419" s="201"/>
    </row>
    <row r="48420" spans="62:62" x14ac:dyDescent="0.2">
      <c r="BJ48420" s="201"/>
    </row>
    <row r="48421" spans="62:62" x14ac:dyDescent="0.2">
      <c r="BJ48421" s="201"/>
    </row>
    <row r="48422" spans="62:62" x14ac:dyDescent="0.2">
      <c r="BJ48422" s="201"/>
    </row>
    <row r="48423" spans="62:62" x14ac:dyDescent="0.2">
      <c r="BJ48423" s="201"/>
    </row>
    <row r="48424" spans="62:62" x14ac:dyDescent="0.2">
      <c r="BJ48424" s="201"/>
    </row>
    <row r="48425" spans="62:62" x14ac:dyDescent="0.2">
      <c r="BJ48425" s="201"/>
    </row>
    <row r="48426" spans="62:62" x14ac:dyDescent="0.2">
      <c r="BJ48426" s="201"/>
    </row>
    <row r="48427" spans="62:62" x14ac:dyDescent="0.2">
      <c r="BJ48427" s="201"/>
    </row>
    <row r="48428" spans="62:62" x14ac:dyDescent="0.2">
      <c r="BJ48428" s="201"/>
    </row>
    <row r="48429" spans="62:62" x14ac:dyDescent="0.2">
      <c r="BJ48429" s="201"/>
    </row>
    <row r="48430" spans="62:62" x14ac:dyDescent="0.2">
      <c r="BJ48430" s="201"/>
    </row>
    <row r="48431" spans="62:62" x14ac:dyDescent="0.2">
      <c r="BJ48431" s="201"/>
    </row>
    <row r="48432" spans="62:62" x14ac:dyDescent="0.2">
      <c r="BJ48432" s="201"/>
    </row>
    <row r="48433" spans="62:62" x14ac:dyDescent="0.2">
      <c r="BJ48433" s="201"/>
    </row>
    <row r="48434" spans="62:62" x14ac:dyDescent="0.2">
      <c r="BJ48434" s="201"/>
    </row>
    <row r="48435" spans="62:62" x14ac:dyDescent="0.2">
      <c r="BJ48435" s="201"/>
    </row>
    <row r="48436" spans="62:62" x14ac:dyDescent="0.2">
      <c r="BJ48436" s="201"/>
    </row>
    <row r="48437" spans="62:62" x14ac:dyDescent="0.2">
      <c r="BJ48437" s="201"/>
    </row>
    <row r="48438" spans="62:62" x14ac:dyDescent="0.2">
      <c r="BJ48438" s="201"/>
    </row>
    <row r="48439" spans="62:62" x14ac:dyDescent="0.2">
      <c r="BJ48439" s="201"/>
    </row>
    <row r="48440" spans="62:62" x14ac:dyDescent="0.2">
      <c r="BJ48440" s="201"/>
    </row>
    <row r="48441" spans="62:62" x14ac:dyDescent="0.2">
      <c r="BJ48441" s="201"/>
    </row>
    <row r="48442" spans="62:62" x14ac:dyDescent="0.2">
      <c r="BJ48442" s="201"/>
    </row>
    <row r="48443" spans="62:62" x14ac:dyDescent="0.2">
      <c r="BJ48443" s="201"/>
    </row>
    <row r="48444" spans="62:62" x14ac:dyDescent="0.2">
      <c r="BJ48444" s="201"/>
    </row>
    <row r="48445" spans="62:62" x14ac:dyDescent="0.2">
      <c r="BJ48445" s="201"/>
    </row>
    <row r="48446" spans="62:62" x14ac:dyDescent="0.2">
      <c r="BJ48446" s="201"/>
    </row>
    <row r="48447" spans="62:62" x14ac:dyDescent="0.2">
      <c r="BJ48447" s="201"/>
    </row>
    <row r="48448" spans="62:62" x14ac:dyDescent="0.2">
      <c r="BJ48448" s="201"/>
    </row>
    <row r="48449" spans="62:62" x14ac:dyDescent="0.2">
      <c r="BJ48449" s="201"/>
    </row>
    <row r="48450" spans="62:62" x14ac:dyDescent="0.2">
      <c r="BJ48450" s="201"/>
    </row>
    <row r="48451" spans="62:62" x14ac:dyDescent="0.2">
      <c r="BJ48451" s="201"/>
    </row>
    <row r="48452" spans="62:62" x14ac:dyDescent="0.2">
      <c r="BJ48452" s="201"/>
    </row>
    <row r="48453" spans="62:62" x14ac:dyDescent="0.2">
      <c r="BJ48453" s="201"/>
    </row>
    <row r="48454" spans="62:62" x14ac:dyDescent="0.2">
      <c r="BJ48454" s="201"/>
    </row>
    <row r="48455" spans="62:62" x14ac:dyDescent="0.2">
      <c r="BJ48455" s="201"/>
    </row>
    <row r="48456" spans="62:62" x14ac:dyDescent="0.2">
      <c r="BJ48456" s="201"/>
    </row>
    <row r="48457" spans="62:62" x14ac:dyDescent="0.2">
      <c r="BJ48457" s="201"/>
    </row>
    <row r="48458" spans="62:62" x14ac:dyDescent="0.2">
      <c r="BJ48458" s="201"/>
    </row>
    <row r="48459" spans="62:62" x14ac:dyDescent="0.2">
      <c r="BJ48459" s="201"/>
    </row>
    <row r="48460" spans="62:62" x14ac:dyDescent="0.2">
      <c r="BJ48460" s="201"/>
    </row>
    <row r="48461" spans="62:62" x14ac:dyDescent="0.2">
      <c r="BJ48461" s="201"/>
    </row>
    <row r="48462" spans="62:62" x14ac:dyDescent="0.2">
      <c r="BJ48462" s="201"/>
    </row>
    <row r="48463" spans="62:62" x14ac:dyDescent="0.2">
      <c r="BJ48463" s="201"/>
    </row>
    <row r="48464" spans="62:62" x14ac:dyDescent="0.2">
      <c r="BJ48464" s="201"/>
    </row>
    <row r="48465" spans="62:62" x14ac:dyDescent="0.2">
      <c r="BJ48465" s="201"/>
    </row>
    <row r="48466" spans="62:62" x14ac:dyDescent="0.2">
      <c r="BJ48466" s="201"/>
    </row>
    <row r="48467" spans="62:62" x14ac:dyDescent="0.2">
      <c r="BJ48467" s="201"/>
    </row>
    <row r="48468" spans="62:62" x14ac:dyDescent="0.2">
      <c r="BJ48468" s="201"/>
    </row>
    <row r="48469" spans="62:62" x14ac:dyDescent="0.2">
      <c r="BJ48469" s="201"/>
    </row>
    <row r="48470" spans="62:62" x14ac:dyDescent="0.2">
      <c r="BJ48470" s="201"/>
    </row>
    <row r="48471" spans="62:62" x14ac:dyDescent="0.2">
      <c r="BJ48471" s="201"/>
    </row>
    <row r="48472" spans="62:62" x14ac:dyDescent="0.2">
      <c r="BJ48472" s="201"/>
    </row>
    <row r="48473" spans="62:62" x14ac:dyDescent="0.2">
      <c r="BJ48473" s="201"/>
    </row>
    <row r="48474" spans="62:62" x14ac:dyDescent="0.2">
      <c r="BJ48474" s="201"/>
    </row>
    <row r="48475" spans="62:62" x14ac:dyDescent="0.2">
      <c r="BJ48475" s="201"/>
    </row>
    <row r="48476" spans="62:62" x14ac:dyDescent="0.2">
      <c r="BJ48476" s="201"/>
    </row>
    <row r="48477" spans="62:62" x14ac:dyDescent="0.2">
      <c r="BJ48477" s="201"/>
    </row>
    <row r="48478" spans="62:62" x14ac:dyDescent="0.2">
      <c r="BJ48478" s="201"/>
    </row>
    <row r="48479" spans="62:62" x14ac:dyDescent="0.2">
      <c r="BJ48479" s="201"/>
    </row>
    <row r="48480" spans="62:62" x14ac:dyDescent="0.2">
      <c r="BJ48480" s="201"/>
    </row>
    <row r="48481" spans="62:62" x14ac:dyDescent="0.2">
      <c r="BJ48481" s="201"/>
    </row>
    <row r="48482" spans="62:62" x14ac:dyDescent="0.2">
      <c r="BJ48482" s="201"/>
    </row>
    <row r="48483" spans="62:62" x14ac:dyDescent="0.2">
      <c r="BJ48483" s="201"/>
    </row>
    <row r="48484" spans="62:62" x14ac:dyDescent="0.2">
      <c r="BJ48484" s="201"/>
    </row>
    <row r="48485" spans="62:62" x14ac:dyDescent="0.2">
      <c r="BJ48485" s="201"/>
    </row>
    <row r="48486" spans="62:62" x14ac:dyDescent="0.2">
      <c r="BJ48486" s="201"/>
    </row>
    <row r="48487" spans="62:62" x14ac:dyDescent="0.2">
      <c r="BJ48487" s="201"/>
    </row>
    <row r="48488" spans="62:62" x14ac:dyDescent="0.2">
      <c r="BJ48488" s="201"/>
    </row>
    <row r="48489" spans="62:62" x14ac:dyDescent="0.2">
      <c r="BJ48489" s="201"/>
    </row>
    <row r="48490" spans="62:62" x14ac:dyDescent="0.2">
      <c r="BJ48490" s="201"/>
    </row>
    <row r="48491" spans="62:62" x14ac:dyDescent="0.2">
      <c r="BJ48491" s="201"/>
    </row>
    <row r="48492" spans="62:62" x14ac:dyDescent="0.2">
      <c r="BJ48492" s="201"/>
    </row>
    <row r="48493" spans="62:62" x14ac:dyDescent="0.2">
      <c r="BJ48493" s="201"/>
    </row>
    <row r="48494" spans="62:62" x14ac:dyDescent="0.2">
      <c r="BJ48494" s="201"/>
    </row>
    <row r="48495" spans="62:62" x14ac:dyDescent="0.2">
      <c r="BJ48495" s="201"/>
    </row>
    <row r="48496" spans="62:62" x14ac:dyDescent="0.2">
      <c r="BJ48496" s="201"/>
    </row>
    <row r="48497" spans="62:62" x14ac:dyDescent="0.2">
      <c r="BJ48497" s="201"/>
    </row>
    <row r="48498" spans="62:62" x14ac:dyDescent="0.2">
      <c r="BJ48498" s="201"/>
    </row>
    <row r="48499" spans="62:62" x14ac:dyDescent="0.2">
      <c r="BJ48499" s="201"/>
    </row>
    <row r="48500" spans="62:62" x14ac:dyDescent="0.2">
      <c r="BJ48500" s="201"/>
    </row>
    <row r="48501" spans="62:62" x14ac:dyDescent="0.2">
      <c r="BJ48501" s="201"/>
    </row>
    <row r="48502" spans="62:62" x14ac:dyDescent="0.2">
      <c r="BJ48502" s="201"/>
    </row>
    <row r="48503" spans="62:62" x14ac:dyDescent="0.2">
      <c r="BJ48503" s="201"/>
    </row>
    <row r="48504" spans="62:62" x14ac:dyDescent="0.2">
      <c r="BJ48504" s="201"/>
    </row>
    <row r="48505" spans="62:62" x14ac:dyDescent="0.2">
      <c r="BJ48505" s="201"/>
    </row>
    <row r="48506" spans="62:62" x14ac:dyDescent="0.2">
      <c r="BJ48506" s="201"/>
    </row>
    <row r="48507" spans="62:62" x14ac:dyDescent="0.2">
      <c r="BJ48507" s="201"/>
    </row>
    <row r="48508" spans="62:62" x14ac:dyDescent="0.2">
      <c r="BJ48508" s="201"/>
    </row>
    <row r="48509" spans="62:62" x14ac:dyDescent="0.2">
      <c r="BJ48509" s="201"/>
    </row>
    <row r="48510" spans="62:62" x14ac:dyDescent="0.2">
      <c r="BJ48510" s="201"/>
    </row>
    <row r="48511" spans="62:62" x14ac:dyDescent="0.2">
      <c r="BJ48511" s="201"/>
    </row>
    <row r="48512" spans="62:62" x14ac:dyDescent="0.2">
      <c r="BJ48512" s="201"/>
    </row>
    <row r="48513" spans="62:62" x14ac:dyDescent="0.2">
      <c r="BJ48513" s="201"/>
    </row>
    <row r="48514" spans="62:62" x14ac:dyDescent="0.2">
      <c r="BJ48514" s="201"/>
    </row>
    <row r="48515" spans="62:62" x14ac:dyDescent="0.2">
      <c r="BJ48515" s="201"/>
    </row>
    <row r="48516" spans="62:62" x14ac:dyDescent="0.2">
      <c r="BJ48516" s="201"/>
    </row>
    <row r="48517" spans="62:62" x14ac:dyDescent="0.2">
      <c r="BJ48517" s="201"/>
    </row>
    <row r="48518" spans="62:62" x14ac:dyDescent="0.2">
      <c r="BJ48518" s="201"/>
    </row>
    <row r="48519" spans="62:62" x14ac:dyDescent="0.2">
      <c r="BJ48519" s="201"/>
    </row>
    <row r="48520" spans="62:62" x14ac:dyDescent="0.2">
      <c r="BJ48520" s="201"/>
    </row>
    <row r="48521" spans="62:62" x14ac:dyDescent="0.2">
      <c r="BJ48521" s="201"/>
    </row>
    <row r="48522" spans="62:62" x14ac:dyDescent="0.2">
      <c r="BJ48522" s="201"/>
    </row>
    <row r="48523" spans="62:62" x14ac:dyDescent="0.2">
      <c r="BJ48523" s="201"/>
    </row>
    <row r="48524" spans="62:62" x14ac:dyDescent="0.2">
      <c r="BJ48524" s="201"/>
    </row>
    <row r="48525" spans="62:62" x14ac:dyDescent="0.2">
      <c r="BJ48525" s="201"/>
    </row>
    <row r="48526" spans="62:62" x14ac:dyDescent="0.2">
      <c r="BJ48526" s="201"/>
    </row>
    <row r="48527" spans="62:62" x14ac:dyDescent="0.2">
      <c r="BJ48527" s="201"/>
    </row>
    <row r="48528" spans="62:62" x14ac:dyDescent="0.2">
      <c r="BJ48528" s="201"/>
    </row>
    <row r="48529" spans="62:62" x14ac:dyDescent="0.2">
      <c r="BJ48529" s="201"/>
    </row>
    <row r="48530" spans="62:62" x14ac:dyDescent="0.2">
      <c r="BJ48530" s="201"/>
    </row>
    <row r="48531" spans="62:62" x14ac:dyDescent="0.2">
      <c r="BJ48531" s="201"/>
    </row>
    <row r="48532" spans="62:62" x14ac:dyDescent="0.2">
      <c r="BJ48532" s="201"/>
    </row>
    <row r="48533" spans="62:62" x14ac:dyDescent="0.2">
      <c r="BJ48533" s="201"/>
    </row>
    <row r="48534" spans="62:62" x14ac:dyDescent="0.2">
      <c r="BJ48534" s="201"/>
    </row>
    <row r="48535" spans="62:62" x14ac:dyDescent="0.2">
      <c r="BJ48535" s="201"/>
    </row>
    <row r="48536" spans="62:62" x14ac:dyDescent="0.2">
      <c r="BJ48536" s="201"/>
    </row>
    <row r="48537" spans="62:62" x14ac:dyDescent="0.2">
      <c r="BJ48537" s="201"/>
    </row>
    <row r="48538" spans="62:62" x14ac:dyDescent="0.2">
      <c r="BJ48538" s="201"/>
    </row>
    <row r="48539" spans="62:62" x14ac:dyDescent="0.2">
      <c r="BJ48539" s="201"/>
    </row>
    <row r="48540" spans="62:62" x14ac:dyDescent="0.2">
      <c r="BJ48540" s="201"/>
    </row>
    <row r="48541" spans="62:62" x14ac:dyDescent="0.2">
      <c r="BJ48541" s="201"/>
    </row>
    <row r="48542" spans="62:62" x14ac:dyDescent="0.2">
      <c r="BJ48542" s="201"/>
    </row>
    <row r="48543" spans="62:62" x14ac:dyDescent="0.2">
      <c r="BJ48543" s="201"/>
    </row>
    <row r="48544" spans="62:62" x14ac:dyDescent="0.2">
      <c r="BJ48544" s="201"/>
    </row>
    <row r="48545" spans="62:62" x14ac:dyDescent="0.2">
      <c r="BJ48545" s="201"/>
    </row>
    <row r="48546" spans="62:62" x14ac:dyDescent="0.2">
      <c r="BJ48546" s="201"/>
    </row>
    <row r="48547" spans="62:62" x14ac:dyDescent="0.2">
      <c r="BJ48547" s="201"/>
    </row>
    <row r="48548" spans="62:62" x14ac:dyDescent="0.2">
      <c r="BJ48548" s="201"/>
    </row>
    <row r="48549" spans="62:62" x14ac:dyDescent="0.2">
      <c r="BJ48549" s="201"/>
    </row>
    <row r="48550" spans="62:62" x14ac:dyDescent="0.2">
      <c r="BJ48550" s="201"/>
    </row>
    <row r="48551" spans="62:62" x14ac:dyDescent="0.2">
      <c r="BJ48551" s="201"/>
    </row>
    <row r="48552" spans="62:62" x14ac:dyDescent="0.2">
      <c r="BJ48552" s="201"/>
    </row>
    <row r="48553" spans="62:62" x14ac:dyDescent="0.2">
      <c r="BJ48553" s="201"/>
    </row>
    <row r="48554" spans="62:62" x14ac:dyDescent="0.2">
      <c r="BJ48554" s="201"/>
    </row>
    <row r="48555" spans="62:62" x14ac:dyDescent="0.2">
      <c r="BJ48555" s="201"/>
    </row>
    <row r="48556" spans="62:62" x14ac:dyDescent="0.2">
      <c r="BJ48556" s="201"/>
    </row>
    <row r="48557" spans="62:62" x14ac:dyDescent="0.2">
      <c r="BJ48557" s="201"/>
    </row>
    <row r="48558" spans="62:62" x14ac:dyDescent="0.2">
      <c r="BJ48558" s="201"/>
    </row>
    <row r="48559" spans="62:62" x14ac:dyDescent="0.2">
      <c r="BJ48559" s="201"/>
    </row>
    <row r="48560" spans="62:62" x14ac:dyDescent="0.2">
      <c r="BJ48560" s="201"/>
    </row>
    <row r="48561" spans="62:62" x14ac:dyDescent="0.2">
      <c r="BJ48561" s="201"/>
    </row>
    <row r="48562" spans="62:62" x14ac:dyDescent="0.2">
      <c r="BJ48562" s="201"/>
    </row>
    <row r="48563" spans="62:62" x14ac:dyDescent="0.2">
      <c r="BJ48563" s="201"/>
    </row>
    <row r="48564" spans="62:62" x14ac:dyDescent="0.2">
      <c r="BJ48564" s="201"/>
    </row>
    <row r="48565" spans="62:62" x14ac:dyDescent="0.2">
      <c r="BJ48565" s="201"/>
    </row>
    <row r="48566" spans="62:62" x14ac:dyDescent="0.2">
      <c r="BJ48566" s="201"/>
    </row>
    <row r="48567" spans="62:62" x14ac:dyDescent="0.2">
      <c r="BJ48567" s="201"/>
    </row>
    <row r="48568" spans="62:62" x14ac:dyDescent="0.2">
      <c r="BJ48568" s="201"/>
    </row>
    <row r="48569" spans="62:62" x14ac:dyDescent="0.2">
      <c r="BJ48569" s="201"/>
    </row>
    <row r="48570" spans="62:62" x14ac:dyDescent="0.2">
      <c r="BJ48570" s="201"/>
    </row>
    <row r="48571" spans="62:62" x14ac:dyDescent="0.2">
      <c r="BJ48571" s="201"/>
    </row>
    <row r="48572" spans="62:62" x14ac:dyDescent="0.2">
      <c r="BJ48572" s="201"/>
    </row>
    <row r="48573" spans="62:62" x14ac:dyDescent="0.2">
      <c r="BJ48573" s="201"/>
    </row>
    <row r="48574" spans="62:62" x14ac:dyDescent="0.2">
      <c r="BJ48574" s="201"/>
    </row>
    <row r="48575" spans="62:62" x14ac:dyDescent="0.2">
      <c r="BJ48575" s="201"/>
    </row>
    <row r="48576" spans="62:62" x14ac:dyDescent="0.2">
      <c r="BJ48576" s="201"/>
    </row>
    <row r="48577" spans="62:62" x14ac:dyDescent="0.2">
      <c r="BJ48577" s="201"/>
    </row>
    <row r="48578" spans="62:62" x14ac:dyDescent="0.2">
      <c r="BJ48578" s="201"/>
    </row>
    <row r="48579" spans="62:62" x14ac:dyDescent="0.2">
      <c r="BJ48579" s="201"/>
    </row>
    <row r="48580" spans="62:62" x14ac:dyDescent="0.2">
      <c r="BJ48580" s="201"/>
    </row>
    <row r="48581" spans="62:62" x14ac:dyDescent="0.2">
      <c r="BJ48581" s="201"/>
    </row>
    <row r="48582" spans="62:62" x14ac:dyDescent="0.2">
      <c r="BJ48582" s="201"/>
    </row>
    <row r="48583" spans="62:62" x14ac:dyDescent="0.2">
      <c r="BJ48583" s="201"/>
    </row>
    <row r="48584" spans="62:62" x14ac:dyDescent="0.2">
      <c r="BJ48584" s="201"/>
    </row>
    <row r="48585" spans="62:62" x14ac:dyDescent="0.2">
      <c r="BJ48585" s="201"/>
    </row>
    <row r="48586" spans="62:62" x14ac:dyDescent="0.2">
      <c r="BJ48586" s="201"/>
    </row>
    <row r="48587" spans="62:62" x14ac:dyDescent="0.2">
      <c r="BJ48587" s="201"/>
    </row>
    <row r="48588" spans="62:62" x14ac:dyDescent="0.2">
      <c r="BJ48588" s="201"/>
    </row>
    <row r="48589" spans="62:62" x14ac:dyDescent="0.2">
      <c r="BJ48589" s="201"/>
    </row>
    <row r="48590" spans="62:62" x14ac:dyDescent="0.2">
      <c r="BJ48590" s="201"/>
    </row>
    <row r="48591" spans="62:62" x14ac:dyDescent="0.2">
      <c r="BJ48591" s="201"/>
    </row>
    <row r="48592" spans="62:62" x14ac:dyDescent="0.2">
      <c r="BJ48592" s="201"/>
    </row>
    <row r="48593" spans="62:62" x14ac:dyDescent="0.2">
      <c r="BJ48593" s="201"/>
    </row>
    <row r="48594" spans="62:62" x14ac:dyDescent="0.2">
      <c r="BJ48594" s="201"/>
    </row>
    <row r="48595" spans="62:62" x14ac:dyDescent="0.2">
      <c r="BJ48595" s="201"/>
    </row>
    <row r="48596" spans="62:62" x14ac:dyDescent="0.2">
      <c r="BJ48596" s="201"/>
    </row>
    <row r="48597" spans="62:62" x14ac:dyDescent="0.2">
      <c r="BJ48597" s="201"/>
    </row>
    <row r="48598" spans="62:62" x14ac:dyDescent="0.2">
      <c r="BJ48598" s="201"/>
    </row>
    <row r="48599" spans="62:62" x14ac:dyDescent="0.2">
      <c r="BJ48599" s="201"/>
    </row>
    <row r="48600" spans="62:62" x14ac:dyDescent="0.2">
      <c r="BJ48600" s="201"/>
    </row>
    <row r="48601" spans="62:62" x14ac:dyDescent="0.2">
      <c r="BJ48601" s="201"/>
    </row>
    <row r="48602" spans="62:62" x14ac:dyDescent="0.2">
      <c r="BJ48602" s="201"/>
    </row>
    <row r="48603" spans="62:62" x14ac:dyDescent="0.2">
      <c r="BJ48603" s="201"/>
    </row>
    <row r="48604" spans="62:62" x14ac:dyDescent="0.2">
      <c r="BJ48604" s="201"/>
    </row>
    <row r="48605" spans="62:62" x14ac:dyDescent="0.2">
      <c r="BJ48605" s="201"/>
    </row>
    <row r="48606" spans="62:62" x14ac:dyDescent="0.2">
      <c r="BJ48606" s="201"/>
    </row>
    <row r="48607" spans="62:62" x14ac:dyDescent="0.2">
      <c r="BJ48607" s="201"/>
    </row>
    <row r="48608" spans="62:62" x14ac:dyDescent="0.2">
      <c r="BJ48608" s="201"/>
    </row>
    <row r="48609" spans="62:62" x14ac:dyDescent="0.2">
      <c r="BJ48609" s="201"/>
    </row>
    <row r="48610" spans="62:62" x14ac:dyDescent="0.2">
      <c r="BJ48610" s="201"/>
    </row>
    <row r="48611" spans="62:62" x14ac:dyDescent="0.2">
      <c r="BJ48611" s="201"/>
    </row>
    <row r="48612" spans="62:62" x14ac:dyDescent="0.2">
      <c r="BJ48612" s="201"/>
    </row>
    <row r="48613" spans="62:62" x14ac:dyDescent="0.2">
      <c r="BJ48613" s="201"/>
    </row>
    <row r="48614" spans="62:62" x14ac:dyDescent="0.2">
      <c r="BJ48614" s="201"/>
    </row>
    <row r="48615" spans="62:62" x14ac:dyDescent="0.2">
      <c r="BJ48615" s="201"/>
    </row>
    <row r="48616" spans="62:62" x14ac:dyDescent="0.2">
      <c r="BJ48616" s="201"/>
    </row>
    <row r="48617" spans="62:62" x14ac:dyDescent="0.2">
      <c r="BJ48617" s="201"/>
    </row>
    <row r="48618" spans="62:62" x14ac:dyDescent="0.2">
      <c r="BJ48618" s="201"/>
    </row>
    <row r="48619" spans="62:62" x14ac:dyDescent="0.2">
      <c r="BJ48619" s="201"/>
    </row>
    <row r="48620" spans="62:62" x14ac:dyDescent="0.2">
      <c r="BJ48620" s="201"/>
    </row>
    <row r="48621" spans="62:62" x14ac:dyDescent="0.2">
      <c r="BJ48621" s="201"/>
    </row>
    <row r="48622" spans="62:62" x14ac:dyDescent="0.2">
      <c r="BJ48622" s="201"/>
    </row>
    <row r="48623" spans="62:62" x14ac:dyDescent="0.2">
      <c r="BJ48623" s="201"/>
    </row>
    <row r="48624" spans="62:62" x14ac:dyDescent="0.2">
      <c r="BJ48624" s="201"/>
    </row>
    <row r="48625" spans="62:62" x14ac:dyDescent="0.2">
      <c r="BJ48625" s="201"/>
    </row>
    <row r="48626" spans="62:62" x14ac:dyDescent="0.2">
      <c r="BJ48626" s="201"/>
    </row>
    <row r="48627" spans="62:62" x14ac:dyDescent="0.2">
      <c r="BJ48627" s="201"/>
    </row>
    <row r="48628" spans="62:62" x14ac:dyDescent="0.2">
      <c r="BJ48628" s="201"/>
    </row>
    <row r="48629" spans="62:62" x14ac:dyDescent="0.2">
      <c r="BJ48629" s="201"/>
    </row>
    <row r="48630" spans="62:62" x14ac:dyDescent="0.2">
      <c r="BJ48630" s="201"/>
    </row>
    <row r="48631" spans="62:62" x14ac:dyDescent="0.2">
      <c r="BJ48631" s="201"/>
    </row>
    <row r="48632" spans="62:62" x14ac:dyDescent="0.2">
      <c r="BJ48632" s="201"/>
    </row>
    <row r="48633" spans="62:62" x14ac:dyDescent="0.2">
      <c r="BJ48633" s="201"/>
    </row>
    <row r="48634" spans="62:62" x14ac:dyDescent="0.2">
      <c r="BJ48634" s="201"/>
    </row>
    <row r="48635" spans="62:62" x14ac:dyDescent="0.2">
      <c r="BJ48635" s="201"/>
    </row>
    <row r="48636" spans="62:62" x14ac:dyDescent="0.2">
      <c r="BJ48636" s="201"/>
    </row>
    <row r="48637" spans="62:62" x14ac:dyDescent="0.2">
      <c r="BJ48637" s="201"/>
    </row>
    <row r="48638" spans="62:62" x14ac:dyDescent="0.2">
      <c r="BJ48638" s="201"/>
    </row>
    <row r="48639" spans="62:62" x14ac:dyDescent="0.2">
      <c r="BJ48639" s="201"/>
    </row>
    <row r="48640" spans="62:62" x14ac:dyDescent="0.2">
      <c r="BJ48640" s="201"/>
    </row>
    <row r="48641" spans="62:62" x14ac:dyDescent="0.2">
      <c r="BJ48641" s="201"/>
    </row>
    <row r="48642" spans="62:62" x14ac:dyDescent="0.2">
      <c r="BJ48642" s="201"/>
    </row>
    <row r="48643" spans="62:62" x14ac:dyDescent="0.2">
      <c r="BJ48643" s="201"/>
    </row>
    <row r="48644" spans="62:62" x14ac:dyDescent="0.2">
      <c r="BJ48644" s="201"/>
    </row>
    <row r="48645" spans="62:62" x14ac:dyDescent="0.2">
      <c r="BJ48645" s="201"/>
    </row>
    <row r="48646" spans="62:62" x14ac:dyDescent="0.2">
      <c r="BJ48646" s="201"/>
    </row>
    <row r="48647" spans="62:62" x14ac:dyDescent="0.2">
      <c r="BJ48647" s="201"/>
    </row>
    <row r="48648" spans="62:62" x14ac:dyDescent="0.2">
      <c r="BJ48648" s="201"/>
    </row>
    <row r="48649" spans="62:62" x14ac:dyDescent="0.2">
      <c r="BJ48649" s="201"/>
    </row>
    <row r="48650" spans="62:62" x14ac:dyDescent="0.2">
      <c r="BJ48650" s="201"/>
    </row>
    <row r="48651" spans="62:62" x14ac:dyDescent="0.2">
      <c r="BJ48651" s="201"/>
    </row>
    <row r="48652" spans="62:62" x14ac:dyDescent="0.2">
      <c r="BJ48652" s="201"/>
    </row>
    <row r="48653" spans="62:62" x14ac:dyDescent="0.2">
      <c r="BJ48653" s="201"/>
    </row>
    <row r="48654" spans="62:62" x14ac:dyDescent="0.2">
      <c r="BJ48654" s="201"/>
    </row>
    <row r="48655" spans="62:62" x14ac:dyDescent="0.2">
      <c r="BJ48655" s="201"/>
    </row>
    <row r="48656" spans="62:62" x14ac:dyDescent="0.2">
      <c r="BJ48656" s="201"/>
    </row>
    <row r="48657" spans="62:62" x14ac:dyDescent="0.2">
      <c r="BJ48657" s="201"/>
    </row>
    <row r="48658" spans="62:62" x14ac:dyDescent="0.2">
      <c r="BJ48658" s="201"/>
    </row>
    <row r="48659" spans="62:62" x14ac:dyDescent="0.2">
      <c r="BJ48659" s="201"/>
    </row>
    <row r="48660" spans="62:62" x14ac:dyDescent="0.2">
      <c r="BJ48660" s="201"/>
    </row>
    <row r="48661" spans="62:62" x14ac:dyDescent="0.2">
      <c r="BJ48661" s="201"/>
    </row>
    <row r="48662" spans="62:62" x14ac:dyDescent="0.2">
      <c r="BJ48662" s="201"/>
    </row>
    <row r="48663" spans="62:62" x14ac:dyDescent="0.2">
      <c r="BJ48663" s="201"/>
    </row>
    <row r="48664" spans="62:62" x14ac:dyDescent="0.2">
      <c r="BJ48664" s="201"/>
    </row>
    <row r="48665" spans="62:62" x14ac:dyDescent="0.2">
      <c r="BJ48665" s="201"/>
    </row>
    <row r="48666" spans="62:62" x14ac:dyDescent="0.2">
      <c r="BJ48666" s="201"/>
    </row>
    <row r="48667" spans="62:62" x14ac:dyDescent="0.2">
      <c r="BJ48667" s="201"/>
    </row>
    <row r="48668" spans="62:62" x14ac:dyDescent="0.2">
      <c r="BJ48668" s="201"/>
    </row>
    <row r="48669" spans="62:62" x14ac:dyDescent="0.2">
      <c r="BJ48669" s="201"/>
    </row>
    <row r="48670" spans="62:62" x14ac:dyDescent="0.2">
      <c r="BJ48670" s="201"/>
    </row>
    <row r="48671" spans="62:62" x14ac:dyDescent="0.2">
      <c r="BJ48671" s="201"/>
    </row>
    <row r="48672" spans="62:62" x14ac:dyDescent="0.2">
      <c r="BJ48672" s="201"/>
    </row>
    <row r="48673" spans="62:62" x14ac:dyDescent="0.2">
      <c r="BJ48673" s="201"/>
    </row>
    <row r="48674" spans="62:62" x14ac:dyDescent="0.2">
      <c r="BJ48674" s="201"/>
    </row>
    <row r="48675" spans="62:62" x14ac:dyDescent="0.2">
      <c r="BJ48675" s="201"/>
    </row>
    <row r="48676" spans="62:62" x14ac:dyDescent="0.2">
      <c r="BJ48676" s="201"/>
    </row>
    <row r="48677" spans="62:62" x14ac:dyDescent="0.2">
      <c r="BJ48677" s="201"/>
    </row>
    <row r="48678" spans="62:62" x14ac:dyDescent="0.2">
      <c r="BJ48678" s="201"/>
    </row>
    <row r="48679" spans="62:62" x14ac:dyDescent="0.2">
      <c r="BJ48679" s="201"/>
    </row>
    <row r="48680" spans="62:62" x14ac:dyDescent="0.2">
      <c r="BJ48680" s="201"/>
    </row>
    <row r="48681" spans="62:62" x14ac:dyDescent="0.2">
      <c r="BJ48681" s="201"/>
    </row>
    <row r="48682" spans="62:62" x14ac:dyDescent="0.2">
      <c r="BJ48682" s="201"/>
    </row>
    <row r="48683" spans="62:62" x14ac:dyDescent="0.2">
      <c r="BJ48683" s="201"/>
    </row>
    <row r="48684" spans="62:62" x14ac:dyDescent="0.2">
      <c r="BJ48684" s="201"/>
    </row>
    <row r="48685" spans="62:62" x14ac:dyDescent="0.2">
      <c r="BJ48685" s="201"/>
    </row>
    <row r="48686" spans="62:62" x14ac:dyDescent="0.2">
      <c r="BJ48686" s="201"/>
    </row>
    <row r="48687" spans="62:62" x14ac:dyDescent="0.2">
      <c r="BJ48687" s="201"/>
    </row>
    <row r="48688" spans="62:62" x14ac:dyDescent="0.2">
      <c r="BJ48688" s="201"/>
    </row>
    <row r="48689" spans="62:62" x14ac:dyDescent="0.2">
      <c r="BJ48689" s="201"/>
    </row>
    <row r="48690" spans="62:62" x14ac:dyDescent="0.2">
      <c r="BJ48690" s="201"/>
    </row>
    <row r="48691" spans="62:62" x14ac:dyDescent="0.2">
      <c r="BJ48691" s="201"/>
    </row>
    <row r="48692" spans="62:62" x14ac:dyDescent="0.2">
      <c r="BJ48692" s="201"/>
    </row>
    <row r="48693" spans="62:62" x14ac:dyDescent="0.2">
      <c r="BJ48693" s="201"/>
    </row>
    <row r="48694" spans="62:62" x14ac:dyDescent="0.2">
      <c r="BJ48694" s="201"/>
    </row>
    <row r="48695" spans="62:62" x14ac:dyDescent="0.2">
      <c r="BJ48695" s="201"/>
    </row>
    <row r="48696" spans="62:62" x14ac:dyDescent="0.2">
      <c r="BJ48696" s="201"/>
    </row>
    <row r="48697" spans="62:62" x14ac:dyDescent="0.2">
      <c r="BJ48697" s="201"/>
    </row>
    <row r="48698" spans="62:62" x14ac:dyDescent="0.2">
      <c r="BJ48698" s="201"/>
    </row>
    <row r="48699" spans="62:62" x14ac:dyDescent="0.2">
      <c r="BJ48699" s="201"/>
    </row>
    <row r="48700" spans="62:62" x14ac:dyDescent="0.2">
      <c r="BJ48700" s="201"/>
    </row>
    <row r="48701" spans="62:62" x14ac:dyDescent="0.2">
      <c r="BJ48701" s="201"/>
    </row>
    <row r="48702" spans="62:62" x14ac:dyDescent="0.2">
      <c r="BJ48702" s="201"/>
    </row>
    <row r="48703" spans="62:62" x14ac:dyDescent="0.2">
      <c r="BJ48703" s="201"/>
    </row>
    <row r="48704" spans="62:62" x14ac:dyDescent="0.2">
      <c r="BJ48704" s="201"/>
    </row>
    <row r="48705" spans="62:62" x14ac:dyDescent="0.2">
      <c r="BJ48705" s="201"/>
    </row>
    <row r="48706" spans="62:62" x14ac:dyDescent="0.2">
      <c r="BJ48706" s="201"/>
    </row>
    <row r="48707" spans="62:62" x14ac:dyDescent="0.2">
      <c r="BJ48707" s="201"/>
    </row>
    <row r="48708" spans="62:62" x14ac:dyDescent="0.2">
      <c r="BJ48708" s="201"/>
    </row>
    <row r="48709" spans="62:62" x14ac:dyDescent="0.2">
      <c r="BJ48709" s="201"/>
    </row>
    <row r="48710" spans="62:62" x14ac:dyDescent="0.2">
      <c r="BJ48710" s="201"/>
    </row>
    <row r="48711" spans="62:62" x14ac:dyDescent="0.2">
      <c r="BJ48711" s="201"/>
    </row>
    <row r="48712" spans="62:62" x14ac:dyDescent="0.2">
      <c r="BJ48712" s="201"/>
    </row>
    <row r="48713" spans="62:62" x14ac:dyDescent="0.2">
      <c r="BJ48713" s="201"/>
    </row>
    <row r="48714" spans="62:62" x14ac:dyDescent="0.2">
      <c r="BJ48714" s="201"/>
    </row>
    <row r="48715" spans="62:62" x14ac:dyDescent="0.2">
      <c r="BJ48715" s="201"/>
    </row>
    <row r="48716" spans="62:62" x14ac:dyDescent="0.2">
      <c r="BJ48716" s="201"/>
    </row>
    <row r="48717" spans="62:62" x14ac:dyDescent="0.2">
      <c r="BJ48717" s="201"/>
    </row>
    <row r="48718" spans="62:62" x14ac:dyDescent="0.2">
      <c r="BJ48718" s="201"/>
    </row>
    <row r="48719" spans="62:62" x14ac:dyDescent="0.2">
      <c r="BJ48719" s="201"/>
    </row>
    <row r="48720" spans="62:62" x14ac:dyDescent="0.2">
      <c r="BJ48720" s="201"/>
    </row>
    <row r="48721" spans="62:62" x14ac:dyDescent="0.2">
      <c r="BJ48721" s="201"/>
    </row>
    <row r="48722" spans="62:62" x14ac:dyDescent="0.2">
      <c r="BJ48722" s="201"/>
    </row>
    <row r="48723" spans="62:62" x14ac:dyDescent="0.2">
      <c r="BJ48723" s="201"/>
    </row>
    <row r="48724" spans="62:62" x14ac:dyDescent="0.2">
      <c r="BJ48724" s="201"/>
    </row>
    <row r="48725" spans="62:62" x14ac:dyDescent="0.2">
      <c r="BJ48725" s="201"/>
    </row>
    <row r="48726" spans="62:62" x14ac:dyDescent="0.2">
      <c r="BJ48726" s="201"/>
    </row>
    <row r="48727" spans="62:62" x14ac:dyDescent="0.2">
      <c r="BJ48727" s="201"/>
    </row>
    <row r="48728" spans="62:62" x14ac:dyDescent="0.2">
      <c r="BJ48728" s="201"/>
    </row>
    <row r="48729" spans="62:62" x14ac:dyDescent="0.2">
      <c r="BJ48729" s="201"/>
    </row>
    <row r="48730" spans="62:62" x14ac:dyDescent="0.2">
      <c r="BJ48730" s="201"/>
    </row>
    <row r="48731" spans="62:62" x14ac:dyDescent="0.2">
      <c r="BJ48731" s="201"/>
    </row>
    <row r="48732" spans="62:62" x14ac:dyDescent="0.2">
      <c r="BJ48732" s="201"/>
    </row>
    <row r="48733" spans="62:62" x14ac:dyDescent="0.2">
      <c r="BJ48733" s="201"/>
    </row>
    <row r="48734" spans="62:62" x14ac:dyDescent="0.2">
      <c r="BJ48734" s="201"/>
    </row>
    <row r="48735" spans="62:62" x14ac:dyDescent="0.2">
      <c r="BJ48735" s="201"/>
    </row>
    <row r="48736" spans="62:62" x14ac:dyDescent="0.2">
      <c r="BJ48736" s="201"/>
    </row>
    <row r="48737" spans="62:62" x14ac:dyDescent="0.2">
      <c r="BJ48737" s="201"/>
    </row>
    <row r="48738" spans="62:62" x14ac:dyDescent="0.2">
      <c r="BJ48738" s="201"/>
    </row>
    <row r="48739" spans="62:62" x14ac:dyDescent="0.2">
      <c r="BJ48739" s="201"/>
    </row>
    <row r="48740" spans="62:62" x14ac:dyDescent="0.2">
      <c r="BJ48740" s="201"/>
    </row>
    <row r="48741" spans="62:62" x14ac:dyDescent="0.2">
      <c r="BJ48741" s="201"/>
    </row>
    <row r="48742" spans="62:62" x14ac:dyDescent="0.2">
      <c r="BJ48742" s="201"/>
    </row>
    <row r="48743" spans="62:62" x14ac:dyDescent="0.2">
      <c r="BJ48743" s="201"/>
    </row>
    <row r="48744" spans="62:62" x14ac:dyDescent="0.2">
      <c r="BJ48744" s="201"/>
    </row>
    <row r="48745" spans="62:62" x14ac:dyDescent="0.2">
      <c r="BJ48745" s="201"/>
    </row>
    <row r="48746" spans="62:62" x14ac:dyDescent="0.2">
      <c r="BJ48746" s="201"/>
    </row>
    <row r="48747" spans="62:62" x14ac:dyDescent="0.2">
      <c r="BJ48747" s="201"/>
    </row>
    <row r="48748" spans="62:62" x14ac:dyDescent="0.2">
      <c r="BJ48748" s="201"/>
    </row>
    <row r="48749" spans="62:62" x14ac:dyDescent="0.2">
      <c r="BJ48749" s="201"/>
    </row>
    <row r="48750" spans="62:62" x14ac:dyDescent="0.2">
      <c r="BJ48750" s="201"/>
    </row>
    <row r="48751" spans="62:62" x14ac:dyDescent="0.2">
      <c r="BJ48751" s="201"/>
    </row>
    <row r="48752" spans="62:62" x14ac:dyDescent="0.2">
      <c r="BJ48752" s="201"/>
    </row>
    <row r="48753" spans="62:62" x14ac:dyDescent="0.2">
      <c r="BJ48753" s="201"/>
    </row>
    <row r="48754" spans="62:62" x14ac:dyDescent="0.2">
      <c r="BJ48754" s="201"/>
    </row>
    <row r="48755" spans="62:62" x14ac:dyDescent="0.2">
      <c r="BJ48755" s="201"/>
    </row>
    <row r="48756" spans="62:62" x14ac:dyDescent="0.2">
      <c r="BJ48756" s="201"/>
    </row>
    <row r="48757" spans="62:62" x14ac:dyDescent="0.2">
      <c r="BJ48757" s="201"/>
    </row>
    <row r="48758" spans="62:62" x14ac:dyDescent="0.2">
      <c r="BJ48758" s="201"/>
    </row>
    <row r="48759" spans="62:62" x14ac:dyDescent="0.2">
      <c r="BJ48759" s="201"/>
    </row>
    <row r="48760" spans="62:62" x14ac:dyDescent="0.2">
      <c r="BJ48760" s="201"/>
    </row>
    <row r="48761" spans="62:62" x14ac:dyDescent="0.2">
      <c r="BJ48761" s="201"/>
    </row>
    <row r="48762" spans="62:62" x14ac:dyDescent="0.2">
      <c r="BJ48762" s="201"/>
    </row>
    <row r="48763" spans="62:62" x14ac:dyDescent="0.2">
      <c r="BJ48763" s="201"/>
    </row>
    <row r="48764" spans="62:62" x14ac:dyDescent="0.2">
      <c r="BJ48764" s="201"/>
    </row>
    <row r="48765" spans="62:62" x14ac:dyDescent="0.2">
      <c r="BJ48765" s="201"/>
    </row>
    <row r="48766" spans="62:62" x14ac:dyDescent="0.2">
      <c r="BJ48766" s="201"/>
    </row>
    <row r="48767" spans="62:62" x14ac:dyDescent="0.2">
      <c r="BJ48767" s="201"/>
    </row>
    <row r="48768" spans="62:62" x14ac:dyDescent="0.2">
      <c r="BJ48768" s="201"/>
    </row>
    <row r="48769" spans="62:62" x14ac:dyDescent="0.2">
      <c r="BJ48769" s="201"/>
    </row>
    <row r="48770" spans="62:62" x14ac:dyDescent="0.2">
      <c r="BJ48770" s="201"/>
    </row>
    <row r="48771" spans="62:62" x14ac:dyDescent="0.2">
      <c r="BJ48771" s="201"/>
    </row>
    <row r="48772" spans="62:62" x14ac:dyDescent="0.2">
      <c r="BJ48772" s="201"/>
    </row>
    <row r="48773" spans="62:62" x14ac:dyDescent="0.2">
      <c r="BJ48773" s="201"/>
    </row>
    <row r="48774" spans="62:62" x14ac:dyDescent="0.2">
      <c r="BJ48774" s="201"/>
    </row>
    <row r="48775" spans="62:62" x14ac:dyDescent="0.2">
      <c r="BJ48775" s="201"/>
    </row>
    <row r="48776" spans="62:62" x14ac:dyDescent="0.2">
      <c r="BJ48776" s="201"/>
    </row>
    <row r="48777" spans="62:62" x14ac:dyDescent="0.2">
      <c r="BJ48777" s="201"/>
    </row>
    <row r="48778" spans="62:62" x14ac:dyDescent="0.2">
      <c r="BJ48778" s="201"/>
    </row>
    <row r="48779" spans="62:62" x14ac:dyDescent="0.2">
      <c r="BJ48779" s="201"/>
    </row>
    <row r="48780" spans="62:62" x14ac:dyDescent="0.2">
      <c r="BJ48780" s="201"/>
    </row>
    <row r="48781" spans="62:62" x14ac:dyDescent="0.2">
      <c r="BJ48781" s="201"/>
    </row>
    <row r="48782" spans="62:62" x14ac:dyDescent="0.2">
      <c r="BJ48782" s="201"/>
    </row>
    <row r="48783" spans="62:62" x14ac:dyDescent="0.2">
      <c r="BJ48783" s="201"/>
    </row>
    <row r="48784" spans="62:62" x14ac:dyDescent="0.2">
      <c r="BJ48784" s="201"/>
    </row>
    <row r="48785" spans="62:62" x14ac:dyDescent="0.2">
      <c r="BJ48785" s="201"/>
    </row>
    <row r="48786" spans="62:62" x14ac:dyDescent="0.2">
      <c r="BJ48786" s="201"/>
    </row>
    <row r="48787" spans="62:62" x14ac:dyDescent="0.2">
      <c r="BJ48787" s="201"/>
    </row>
    <row r="48788" spans="62:62" x14ac:dyDescent="0.2">
      <c r="BJ48788" s="201"/>
    </row>
    <row r="48789" spans="62:62" x14ac:dyDescent="0.2">
      <c r="BJ48789" s="201"/>
    </row>
    <row r="48790" spans="62:62" x14ac:dyDescent="0.2">
      <c r="BJ48790" s="201"/>
    </row>
    <row r="48791" spans="62:62" x14ac:dyDescent="0.2">
      <c r="BJ48791" s="201"/>
    </row>
    <row r="48792" spans="62:62" x14ac:dyDescent="0.2">
      <c r="BJ48792" s="201"/>
    </row>
    <row r="48793" spans="62:62" x14ac:dyDescent="0.2">
      <c r="BJ48793" s="201"/>
    </row>
    <row r="48794" spans="62:62" x14ac:dyDescent="0.2">
      <c r="BJ48794" s="201"/>
    </row>
    <row r="48795" spans="62:62" x14ac:dyDescent="0.2">
      <c r="BJ48795" s="201"/>
    </row>
    <row r="48796" spans="62:62" x14ac:dyDescent="0.2">
      <c r="BJ48796" s="201"/>
    </row>
    <row r="48797" spans="62:62" x14ac:dyDescent="0.2">
      <c r="BJ48797" s="201"/>
    </row>
    <row r="48798" spans="62:62" x14ac:dyDescent="0.2">
      <c r="BJ48798" s="201"/>
    </row>
    <row r="48799" spans="62:62" x14ac:dyDescent="0.2">
      <c r="BJ48799" s="201"/>
    </row>
    <row r="48800" spans="62:62" x14ac:dyDescent="0.2">
      <c r="BJ48800" s="201"/>
    </row>
    <row r="48801" spans="62:62" x14ac:dyDescent="0.2">
      <c r="BJ48801" s="201"/>
    </row>
    <row r="48802" spans="62:62" x14ac:dyDescent="0.2">
      <c r="BJ48802" s="201"/>
    </row>
    <row r="48803" spans="62:62" x14ac:dyDescent="0.2">
      <c r="BJ48803" s="201"/>
    </row>
    <row r="48804" spans="62:62" x14ac:dyDescent="0.2">
      <c r="BJ48804" s="201"/>
    </row>
    <row r="48805" spans="62:62" x14ac:dyDescent="0.2">
      <c r="BJ48805" s="201"/>
    </row>
    <row r="48806" spans="62:62" x14ac:dyDescent="0.2">
      <c r="BJ48806" s="201"/>
    </row>
    <row r="48807" spans="62:62" x14ac:dyDescent="0.2">
      <c r="BJ48807" s="201"/>
    </row>
    <row r="48808" spans="62:62" x14ac:dyDescent="0.2">
      <c r="BJ48808" s="201"/>
    </row>
    <row r="48809" spans="62:62" x14ac:dyDescent="0.2">
      <c r="BJ48809" s="201"/>
    </row>
    <row r="48810" spans="62:62" x14ac:dyDescent="0.2">
      <c r="BJ48810" s="201"/>
    </row>
    <row r="48811" spans="62:62" x14ac:dyDescent="0.2">
      <c r="BJ48811" s="201"/>
    </row>
    <row r="48812" spans="62:62" x14ac:dyDescent="0.2">
      <c r="BJ48812" s="201"/>
    </row>
    <row r="48813" spans="62:62" x14ac:dyDescent="0.2">
      <c r="BJ48813" s="201"/>
    </row>
    <row r="48814" spans="62:62" x14ac:dyDescent="0.2">
      <c r="BJ48814" s="201"/>
    </row>
    <row r="48815" spans="62:62" x14ac:dyDescent="0.2">
      <c r="BJ48815" s="201"/>
    </row>
    <row r="48816" spans="62:62" x14ac:dyDescent="0.2">
      <c r="BJ48816" s="201"/>
    </row>
    <row r="48817" spans="62:62" x14ac:dyDescent="0.2">
      <c r="BJ48817" s="201"/>
    </row>
    <row r="48818" spans="62:62" x14ac:dyDescent="0.2">
      <c r="BJ48818" s="201"/>
    </row>
    <row r="48819" spans="62:62" x14ac:dyDescent="0.2">
      <c r="BJ48819" s="201"/>
    </row>
    <row r="48820" spans="62:62" x14ac:dyDescent="0.2">
      <c r="BJ48820" s="201"/>
    </row>
    <row r="48821" spans="62:62" x14ac:dyDescent="0.2">
      <c r="BJ48821" s="201"/>
    </row>
    <row r="48822" spans="62:62" x14ac:dyDescent="0.2">
      <c r="BJ48822" s="201"/>
    </row>
    <row r="48823" spans="62:62" x14ac:dyDescent="0.2">
      <c r="BJ48823" s="201"/>
    </row>
    <row r="48824" spans="62:62" x14ac:dyDescent="0.2">
      <c r="BJ48824" s="201"/>
    </row>
    <row r="48825" spans="62:62" x14ac:dyDescent="0.2">
      <c r="BJ48825" s="201"/>
    </row>
    <row r="48826" spans="62:62" x14ac:dyDescent="0.2">
      <c r="BJ48826" s="201"/>
    </row>
    <row r="48827" spans="62:62" x14ac:dyDescent="0.2">
      <c r="BJ48827" s="201"/>
    </row>
    <row r="48828" spans="62:62" x14ac:dyDescent="0.2">
      <c r="BJ48828" s="201"/>
    </row>
    <row r="48829" spans="62:62" x14ac:dyDescent="0.2">
      <c r="BJ48829" s="201"/>
    </row>
    <row r="48830" spans="62:62" x14ac:dyDescent="0.2">
      <c r="BJ48830" s="201"/>
    </row>
    <row r="48831" spans="62:62" x14ac:dyDescent="0.2">
      <c r="BJ48831" s="201"/>
    </row>
    <row r="48832" spans="62:62" x14ac:dyDescent="0.2">
      <c r="BJ48832" s="201"/>
    </row>
    <row r="48833" spans="62:62" x14ac:dyDescent="0.2">
      <c r="BJ48833" s="201"/>
    </row>
    <row r="48834" spans="62:62" x14ac:dyDescent="0.2">
      <c r="BJ48834" s="201"/>
    </row>
    <row r="48835" spans="62:62" x14ac:dyDescent="0.2">
      <c r="BJ48835" s="201"/>
    </row>
    <row r="48836" spans="62:62" x14ac:dyDescent="0.2">
      <c r="BJ48836" s="201"/>
    </row>
    <row r="48837" spans="62:62" x14ac:dyDescent="0.2">
      <c r="BJ48837" s="201"/>
    </row>
    <row r="48838" spans="62:62" x14ac:dyDescent="0.2">
      <c r="BJ48838" s="201"/>
    </row>
    <row r="48839" spans="62:62" x14ac:dyDescent="0.2">
      <c r="BJ48839" s="201"/>
    </row>
    <row r="48840" spans="62:62" x14ac:dyDescent="0.2">
      <c r="BJ48840" s="201"/>
    </row>
    <row r="48841" spans="62:62" x14ac:dyDescent="0.2">
      <c r="BJ48841" s="201"/>
    </row>
    <row r="48842" spans="62:62" x14ac:dyDescent="0.2">
      <c r="BJ48842" s="201"/>
    </row>
    <row r="48843" spans="62:62" x14ac:dyDescent="0.2">
      <c r="BJ48843" s="201"/>
    </row>
    <row r="48844" spans="62:62" x14ac:dyDescent="0.2">
      <c r="BJ48844" s="201"/>
    </row>
    <row r="48845" spans="62:62" x14ac:dyDescent="0.2">
      <c r="BJ48845" s="201"/>
    </row>
    <row r="48846" spans="62:62" x14ac:dyDescent="0.2">
      <c r="BJ48846" s="201"/>
    </row>
    <row r="48847" spans="62:62" x14ac:dyDescent="0.2">
      <c r="BJ48847" s="201"/>
    </row>
    <row r="48848" spans="62:62" x14ac:dyDescent="0.2">
      <c r="BJ48848" s="201"/>
    </row>
    <row r="48849" spans="62:62" x14ac:dyDescent="0.2">
      <c r="BJ48849" s="201"/>
    </row>
    <row r="48850" spans="62:62" x14ac:dyDescent="0.2">
      <c r="BJ48850" s="201"/>
    </row>
    <row r="48851" spans="62:62" x14ac:dyDescent="0.2">
      <c r="BJ48851" s="201"/>
    </row>
    <row r="48852" spans="62:62" x14ac:dyDescent="0.2">
      <c r="BJ48852" s="201"/>
    </row>
    <row r="48853" spans="62:62" x14ac:dyDescent="0.2">
      <c r="BJ48853" s="201"/>
    </row>
    <row r="48854" spans="62:62" x14ac:dyDescent="0.2">
      <c r="BJ48854" s="201"/>
    </row>
    <row r="48855" spans="62:62" x14ac:dyDescent="0.2">
      <c r="BJ48855" s="201"/>
    </row>
    <row r="48856" spans="62:62" x14ac:dyDescent="0.2">
      <c r="BJ48856" s="201"/>
    </row>
    <row r="48857" spans="62:62" x14ac:dyDescent="0.2">
      <c r="BJ48857" s="201"/>
    </row>
    <row r="48858" spans="62:62" x14ac:dyDescent="0.2">
      <c r="BJ48858" s="201"/>
    </row>
    <row r="48859" spans="62:62" x14ac:dyDescent="0.2">
      <c r="BJ48859" s="201"/>
    </row>
    <row r="48860" spans="62:62" x14ac:dyDescent="0.2">
      <c r="BJ48860" s="201"/>
    </row>
    <row r="48861" spans="62:62" x14ac:dyDescent="0.2">
      <c r="BJ48861" s="201"/>
    </row>
    <row r="48862" spans="62:62" x14ac:dyDescent="0.2">
      <c r="BJ48862" s="201"/>
    </row>
    <row r="48863" spans="62:62" x14ac:dyDescent="0.2">
      <c r="BJ48863" s="201"/>
    </row>
    <row r="48864" spans="62:62" x14ac:dyDescent="0.2">
      <c r="BJ48864" s="201"/>
    </row>
    <row r="48865" spans="62:62" x14ac:dyDescent="0.2">
      <c r="BJ48865" s="201"/>
    </row>
    <row r="48866" spans="62:62" x14ac:dyDescent="0.2">
      <c r="BJ48866" s="201"/>
    </row>
    <row r="48867" spans="62:62" x14ac:dyDescent="0.2">
      <c r="BJ48867" s="201"/>
    </row>
    <row r="48868" spans="62:62" x14ac:dyDescent="0.2">
      <c r="BJ48868" s="201"/>
    </row>
    <row r="48869" spans="62:62" x14ac:dyDescent="0.2">
      <c r="BJ48869" s="201"/>
    </row>
    <row r="48870" spans="62:62" x14ac:dyDescent="0.2">
      <c r="BJ48870" s="201"/>
    </row>
    <row r="48871" spans="62:62" x14ac:dyDescent="0.2">
      <c r="BJ48871" s="201"/>
    </row>
    <row r="48872" spans="62:62" x14ac:dyDescent="0.2">
      <c r="BJ48872" s="201"/>
    </row>
    <row r="48873" spans="62:62" x14ac:dyDescent="0.2">
      <c r="BJ48873" s="201"/>
    </row>
    <row r="48874" spans="62:62" x14ac:dyDescent="0.2">
      <c r="BJ48874" s="201"/>
    </row>
    <row r="48875" spans="62:62" x14ac:dyDescent="0.2">
      <c r="BJ48875" s="201"/>
    </row>
    <row r="48876" spans="62:62" x14ac:dyDescent="0.2">
      <c r="BJ48876" s="201"/>
    </row>
    <row r="48877" spans="62:62" x14ac:dyDescent="0.2">
      <c r="BJ48877" s="201"/>
    </row>
    <row r="48878" spans="62:62" x14ac:dyDescent="0.2">
      <c r="BJ48878" s="201"/>
    </row>
    <row r="48879" spans="62:62" x14ac:dyDescent="0.2">
      <c r="BJ48879" s="201"/>
    </row>
    <row r="48880" spans="62:62" x14ac:dyDescent="0.2">
      <c r="BJ48880" s="201"/>
    </row>
    <row r="48881" spans="62:62" x14ac:dyDescent="0.2">
      <c r="BJ48881" s="201"/>
    </row>
    <row r="48882" spans="62:62" x14ac:dyDescent="0.2">
      <c r="BJ48882" s="201"/>
    </row>
    <row r="48883" spans="62:62" x14ac:dyDescent="0.2">
      <c r="BJ48883" s="201"/>
    </row>
    <row r="48884" spans="62:62" x14ac:dyDescent="0.2">
      <c r="BJ48884" s="201"/>
    </row>
    <row r="48885" spans="62:62" x14ac:dyDescent="0.2">
      <c r="BJ48885" s="201"/>
    </row>
    <row r="48886" spans="62:62" x14ac:dyDescent="0.2">
      <c r="BJ48886" s="201"/>
    </row>
    <row r="48887" spans="62:62" x14ac:dyDescent="0.2">
      <c r="BJ48887" s="201"/>
    </row>
    <row r="48888" spans="62:62" x14ac:dyDescent="0.2">
      <c r="BJ48888" s="201"/>
    </row>
    <row r="48889" spans="62:62" x14ac:dyDescent="0.2">
      <c r="BJ48889" s="201"/>
    </row>
    <row r="48890" spans="62:62" x14ac:dyDescent="0.2">
      <c r="BJ48890" s="201"/>
    </row>
    <row r="48891" spans="62:62" x14ac:dyDescent="0.2">
      <c r="BJ48891" s="201"/>
    </row>
    <row r="48892" spans="62:62" x14ac:dyDescent="0.2">
      <c r="BJ48892" s="201"/>
    </row>
    <row r="48893" spans="62:62" x14ac:dyDescent="0.2">
      <c r="BJ48893" s="201"/>
    </row>
    <row r="48894" spans="62:62" x14ac:dyDescent="0.2">
      <c r="BJ48894" s="201"/>
    </row>
    <row r="48895" spans="62:62" x14ac:dyDescent="0.2">
      <c r="BJ48895" s="201"/>
    </row>
    <row r="48896" spans="62:62" x14ac:dyDescent="0.2">
      <c r="BJ48896" s="201"/>
    </row>
    <row r="48897" spans="62:62" x14ac:dyDescent="0.2">
      <c r="BJ48897" s="201"/>
    </row>
    <row r="48898" spans="62:62" x14ac:dyDescent="0.2">
      <c r="BJ48898" s="201"/>
    </row>
    <row r="48899" spans="62:62" x14ac:dyDescent="0.2">
      <c r="BJ48899" s="201"/>
    </row>
    <row r="48900" spans="62:62" x14ac:dyDescent="0.2">
      <c r="BJ48900" s="201"/>
    </row>
    <row r="48901" spans="62:62" x14ac:dyDescent="0.2">
      <c r="BJ48901" s="201"/>
    </row>
    <row r="48902" spans="62:62" x14ac:dyDescent="0.2">
      <c r="BJ48902" s="201"/>
    </row>
    <row r="48903" spans="62:62" x14ac:dyDescent="0.2">
      <c r="BJ48903" s="201"/>
    </row>
    <row r="48904" spans="62:62" x14ac:dyDescent="0.2">
      <c r="BJ48904" s="201"/>
    </row>
    <row r="48905" spans="62:62" x14ac:dyDescent="0.2">
      <c r="BJ48905" s="201"/>
    </row>
    <row r="48906" spans="62:62" x14ac:dyDescent="0.2">
      <c r="BJ48906" s="201"/>
    </row>
    <row r="48907" spans="62:62" x14ac:dyDescent="0.2">
      <c r="BJ48907" s="201"/>
    </row>
    <row r="48908" spans="62:62" x14ac:dyDescent="0.2">
      <c r="BJ48908" s="201"/>
    </row>
    <row r="48909" spans="62:62" x14ac:dyDescent="0.2">
      <c r="BJ48909" s="201"/>
    </row>
    <row r="48910" spans="62:62" x14ac:dyDescent="0.2">
      <c r="BJ48910" s="201"/>
    </row>
    <row r="48911" spans="62:62" x14ac:dyDescent="0.2">
      <c r="BJ48911" s="201"/>
    </row>
    <row r="48912" spans="62:62" x14ac:dyDescent="0.2">
      <c r="BJ48912" s="201"/>
    </row>
    <row r="48913" spans="62:62" x14ac:dyDescent="0.2">
      <c r="BJ48913" s="201"/>
    </row>
    <row r="48914" spans="62:62" x14ac:dyDescent="0.2">
      <c r="BJ48914" s="201"/>
    </row>
    <row r="48915" spans="62:62" x14ac:dyDescent="0.2">
      <c r="BJ48915" s="201"/>
    </row>
    <row r="48916" spans="62:62" x14ac:dyDescent="0.2">
      <c r="BJ48916" s="201"/>
    </row>
    <row r="48917" spans="62:62" x14ac:dyDescent="0.2">
      <c r="BJ48917" s="201"/>
    </row>
    <row r="48918" spans="62:62" x14ac:dyDescent="0.2">
      <c r="BJ48918" s="201"/>
    </row>
    <row r="48919" spans="62:62" x14ac:dyDescent="0.2">
      <c r="BJ48919" s="201"/>
    </row>
    <row r="48920" spans="62:62" x14ac:dyDescent="0.2">
      <c r="BJ48920" s="201"/>
    </row>
    <row r="48921" spans="62:62" x14ac:dyDescent="0.2">
      <c r="BJ48921" s="201"/>
    </row>
    <row r="48922" spans="62:62" x14ac:dyDescent="0.2">
      <c r="BJ48922" s="201"/>
    </row>
    <row r="48923" spans="62:62" x14ac:dyDescent="0.2">
      <c r="BJ48923" s="201"/>
    </row>
    <row r="48924" spans="62:62" x14ac:dyDescent="0.2">
      <c r="BJ48924" s="201"/>
    </row>
    <row r="48925" spans="62:62" x14ac:dyDescent="0.2">
      <c r="BJ48925" s="201"/>
    </row>
    <row r="48926" spans="62:62" x14ac:dyDescent="0.2">
      <c r="BJ48926" s="201"/>
    </row>
    <row r="48927" spans="62:62" x14ac:dyDescent="0.2">
      <c r="BJ48927" s="201"/>
    </row>
    <row r="48928" spans="62:62" x14ac:dyDescent="0.2">
      <c r="BJ48928" s="201"/>
    </row>
    <row r="48929" spans="62:62" x14ac:dyDescent="0.2">
      <c r="BJ48929" s="201"/>
    </row>
    <row r="48930" spans="62:62" x14ac:dyDescent="0.2">
      <c r="BJ48930" s="201"/>
    </row>
    <row r="48931" spans="62:62" x14ac:dyDescent="0.2">
      <c r="BJ48931" s="201"/>
    </row>
    <row r="48932" spans="62:62" x14ac:dyDescent="0.2">
      <c r="BJ48932" s="201"/>
    </row>
    <row r="48933" spans="62:62" x14ac:dyDescent="0.2">
      <c r="BJ48933" s="201"/>
    </row>
    <row r="48934" spans="62:62" x14ac:dyDescent="0.2">
      <c r="BJ48934" s="201"/>
    </row>
    <row r="48935" spans="62:62" x14ac:dyDescent="0.2">
      <c r="BJ48935" s="201"/>
    </row>
    <row r="48936" spans="62:62" x14ac:dyDescent="0.2">
      <c r="BJ48936" s="201"/>
    </row>
    <row r="48937" spans="62:62" x14ac:dyDescent="0.2">
      <c r="BJ48937" s="201"/>
    </row>
    <row r="48938" spans="62:62" x14ac:dyDescent="0.2">
      <c r="BJ48938" s="201"/>
    </row>
    <row r="48939" spans="62:62" x14ac:dyDescent="0.2">
      <c r="BJ48939" s="201"/>
    </row>
    <row r="48940" spans="62:62" x14ac:dyDescent="0.2">
      <c r="BJ48940" s="201"/>
    </row>
    <row r="48941" spans="62:62" x14ac:dyDescent="0.2">
      <c r="BJ48941" s="201"/>
    </row>
    <row r="48942" spans="62:62" x14ac:dyDescent="0.2">
      <c r="BJ48942" s="201"/>
    </row>
    <row r="48943" spans="62:62" x14ac:dyDescent="0.2">
      <c r="BJ48943" s="201"/>
    </row>
    <row r="48944" spans="62:62" x14ac:dyDescent="0.2">
      <c r="BJ48944" s="201"/>
    </row>
    <row r="48945" spans="62:62" x14ac:dyDescent="0.2">
      <c r="BJ48945" s="201"/>
    </row>
    <row r="48946" spans="62:62" x14ac:dyDescent="0.2">
      <c r="BJ48946" s="201"/>
    </row>
    <row r="48947" spans="62:62" x14ac:dyDescent="0.2">
      <c r="BJ48947" s="201"/>
    </row>
    <row r="48948" spans="62:62" x14ac:dyDescent="0.2">
      <c r="BJ48948" s="201"/>
    </row>
    <row r="48949" spans="62:62" x14ac:dyDescent="0.2">
      <c r="BJ48949" s="201"/>
    </row>
    <row r="48950" spans="62:62" x14ac:dyDescent="0.2">
      <c r="BJ48950" s="201"/>
    </row>
    <row r="48951" spans="62:62" x14ac:dyDescent="0.2">
      <c r="BJ48951" s="201"/>
    </row>
    <row r="48952" spans="62:62" x14ac:dyDescent="0.2">
      <c r="BJ48952" s="201"/>
    </row>
    <row r="48953" spans="62:62" x14ac:dyDescent="0.2">
      <c r="BJ48953" s="201"/>
    </row>
    <row r="48954" spans="62:62" x14ac:dyDescent="0.2">
      <c r="BJ48954" s="201"/>
    </row>
    <row r="48955" spans="62:62" x14ac:dyDescent="0.2">
      <c r="BJ48955" s="201"/>
    </row>
    <row r="48956" spans="62:62" x14ac:dyDescent="0.2">
      <c r="BJ48956" s="201"/>
    </row>
    <row r="48957" spans="62:62" x14ac:dyDescent="0.2">
      <c r="BJ48957" s="201"/>
    </row>
    <row r="48958" spans="62:62" x14ac:dyDescent="0.2">
      <c r="BJ48958" s="201"/>
    </row>
    <row r="48959" spans="62:62" x14ac:dyDescent="0.2">
      <c r="BJ48959" s="201"/>
    </row>
    <row r="48960" spans="62:62" x14ac:dyDescent="0.2">
      <c r="BJ48960" s="201"/>
    </row>
    <row r="48961" spans="62:62" x14ac:dyDescent="0.2">
      <c r="BJ48961" s="201"/>
    </row>
    <row r="48962" spans="62:62" x14ac:dyDescent="0.2">
      <c r="BJ48962" s="201"/>
    </row>
    <row r="48963" spans="62:62" x14ac:dyDescent="0.2">
      <c r="BJ48963" s="201"/>
    </row>
    <row r="48964" spans="62:62" x14ac:dyDescent="0.2">
      <c r="BJ48964" s="201"/>
    </row>
    <row r="48965" spans="62:62" x14ac:dyDescent="0.2">
      <c r="BJ48965" s="201"/>
    </row>
    <row r="48966" spans="62:62" x14ac:dyDescent="0.2">
      <c r="BJ48966" s="201"/>
    </row>
    <row r="48967" spans="62:62" x14ac:dyDescent="0.2">
      <c r="BJ48967" s="201"/>
    </row>
    <row r="48968" spans="62:62" x14ac:dyDescent="0.2">
      <c r="BJ48968" s="201"/>
    </row>
    <row r="48969" spans="62:62" x14ac:dyDescent="0.2">
      <c r="BJ48969" s="201"/>
    </row>
    <row r="48970" spans="62:62" x14ac:dyDescent="0.2">
      <c r="BJ48970" s="201"/>
    </row>
    <row r="48971" spans="62:62" x14ac:dyDescent="0.2">
      <c r="BJ48971" s="201"/>
    </row>
    <row r="48972" spans="62:62" x14ac:dyDescent="0.2">
      <c r="BJ48972" s="201"/>
    </row>
    <row r="48973" spans="62:62" x14ac:dyDescent="0.2">
      <c r="BJ48973" s="201"/>
    </row>
    <row r="48974" spans="62:62" x14ac:dyDescent="0.2">
      <c r="BJ48974" s="201"/>
    </row>
    <row r="48975" spans="62:62" x14ac:dyDescent="0.2">
      <c r="BJ48975" s="201"/>
    </row>
    <row r="48976" spans="62:62" x14ac:dyDescent="0.2">
      <c r="BJ48976" s="201"/>
    </row>
    <row r="48977" spans="62:62" x14ac:dyDescent="0.2">
      <c r="BJ48977" s="201"/>
    </row>
    <row r="48978" spans="62:62" x14ac:dyDescent="0.2">
      <c r="BJ48978" s="201"/>
    </row>
    <row r="48979" spans="62:62" x14ac:dyDescent="0.2">
      <c r="BJ48979" s="201"/>
    </row>
    <row r="48980" spans="62:62" x14ac:dyDescent="0.2">
      <c r="BJ48980" s="201"/>
    </row>
    <row r="48981" spans="62:62" x14ac:dyDescent="0.2">
      <c r="BJ48981" s="201"/>
    </row>
    <row r="48982" spans="62:62" x14ac:dyDescent="0.2">
      <c r="BJ48982" s="201"/>
    </row>
    <row r="48983" spans="62:62" x14ac:dyDescent="0.2">
      <c r="BJ48983" s="201"/>
    </row>
    <row r="48984" spans="62:62" x14ac:dyDescent="0.2">
      <c r="BJ48984" s="201"/>
    </row>
    <row r="48985" spans="62:62" x14ac:dyDescent="0.2">
      <c r="BJ48985" s="201"/>
    </row>
    <row r="48986" spans="62:62" x14ac:dyDescent="0.2">
      <c r="BJ48986" s="201"/>
    </row>
    <row r="48987" spans="62:62" x14ac:dyDescent="0.2">
      <c r="BJ48987" s="201"/>
    </row>
    <row r="48988" spans="62:62" x14ac:dyDescent="0.2">
      <c r="BJ48988" s="201"/>
    </row>
    <row r="48989" spans="62:62" x14ac:dyDescent="0.2">
      <c r="BJ48989" s="201"/>
    </row>
    <row r="48990" spans="62:62" x14ac:dyDescent="0.2">
      <c r="BJ48990" s="201"/>
    </row>
    <row r="48991" spans="62:62" x14ac:dyDescent="0.2">
      <c r="BJ48991" s="201"/>
    </row>
    <row r="48992" spans="62:62" x14ac:dyDescent="0.2">
      <c r="BJ48992" s="201"/>
    </row>
    <row r="48993" spans="62:62" x14ac:dyDescent="0.2">
      <c r="BJ48993" s="201"/>
    </row>
    <row r="48994" spans="62:62" x14ac:dyDescent="0.2">
      <c r="BJ48994" s="201"/>
    </row>
    <row r="48995" spans="62:62" x14ac:dyDescent="0.2">
      <c r="BJ48995" s="201"/>
    </row>
    <row r="48996" spans="62:62" x14ac:dyDescent="0.2">
      <c r="BJ48996" s="201"/>
    </row>
    <row r="48997" spans="62:62" x14ac:dyDescent="0.2">
      <c r="BJ48997" s="201"/>
    </row>
    <row r="48998" spans="62:62" x14ac:dyDescent="0.2">
      <c r="BJ48998" s="201"/>
    </row>
    <row r="48999" spans="62:62" x14ac:dyDescent="0.2">
      <c r="BJ48999" s="201"/>
    </row>
    <row r="49000" spans="62:62" x14ac:dyDescent="0.2">
      <c r="BJ49000" s="201"/>
    </row>
    <row r="49001" spans="62:62" x14ac:dyDescent="0.2">
      <c r="BJ49001" s="201"/>
    </row>
    <row r="49002" spans="62:62" x14ac:dyDescent="0.2">
      <c r="BJ49002" s="201"/>
    </row>
    <row r="49003" spans="62:62" x14ac:dyDescent="0.2">
      <c r="BJ49003" s="201"/>
    </row>
    <row r="49004" spans="62:62" x14ac:dyDescent="0.2">
      <c r="BJ49004" s="201"/>
    </row>
    <row r="49005" spans="62:62" x14ac:dyDescent="0.2">
      <c r="BJ49005" s="201"/>
    </row>
    <row r="49006" spans="62:62" x14ac:dyDescent="0.2">
      <c r="BJ49006" s="201"/>
    </row>
    <row r="49007" spans="62:62" x14ac:dyDescent="0.2">
      <c r="BJ49007" s="201"/>
    </row>
    <row r="49008" spans="62:62" x14ac:dyDescent="0.2">
      <c r="BJ49008" s="201"/>
    </row>
    <row r="49009" spans="62:62" x14ac:dyDescent="0.2">
      <c r="BJ49009" s="201"/>
    </row>
    <row r="49010" spans="62:62" x14ac:dyDescent="0.2">
      <c r="BJ49010" s="201"/>
    </row>
    <row r="49011" spans="62:62" x14ac:dyDescent="0.2">
      <c r="BJ49011" s="201"/>
    </row>
    <row r="49012" spans="62:62" x14ac:dyDescent="0.2">
      <c r="BJ49012" s="201"/>
    </row>
    <row r="49013" spans="62:62" x14ac:dyDescent="0.2">
      <c r="BJ49013" s="201"/>
    </row>
    <row r="49014" spans="62:62" x14ac:dyDescent="0.2">
      <c r="BJ49014" s="201"/>
    </row>
    <row r="49015" spans="62:62" x14ac:dyDescent="0.2">
      <c r="BJ49015" s="201"/>
    </row>
    <row r="49016" spans="62:62" x14ac:dyDescent="0.2">
      <c r="BJ49016" s="201"/>
    </row>
    <row r="49017" spans="62:62" x14ac:dyDescent="0.2">
      <c r="BJ49017" s="201"/>
    </row>
    <row r="49018" spans="62:62" x14ac:dyDescent="0.2">
      <c r="BJ49018" s="201"/>
    </row>
    <row r="49019" spans="62:62" x14ac:dyDescent="0.2">
      <c r="BJ49019" s="201"/>
    </row>
    <row r="49020" spans="62:62" x14ac:dyDescent="0.2">
      <c r="BJ49020" s="201"/>
    </row>
    <row r="49021" spans="62:62" x14ac:dyDescent="0.2">
      <c r="BJ49021" s="201"/>
    </row>
    <row r="49022" spans="62:62" x14ac:dyDescent="0.2">
      <c r="BJ49022" s="201"/>
    </row>
    <row r="49023" spans="62:62" x14ac:dyDescent="0.2">
      <c r="BJ49023" s="201"/>
    </row>
    <row r="49024" spans="62:62" x14ac:dyDescent="0.2">
      <c r="BJ49024" s="201"/>
    </row>
    <row r="49025" spans="62:62" x14ac:dyDescent="0.2">
      <c r="BJ49025" s="201"/>
    </row>
    <row r="49026" spans="62:62" x14ac:dyDescent="0.2">
      <c r="BJ49026" s="201"/>
    </row>
    <row r="49027" spans="62:62" x14ac:dyDescent="0.2">
      <c r="BJ49027" s="201"/>
    </row>
    <row r="49028" spans="62:62" x14ac:dyDescent="0.2">
      <c r="BJ49028" s="201"/>
    </row>
    <row r="49029" spans="62:62" x14ac:dyDescent="0.2">
      <c r="BJ49029" s="201"/>
    </row>
    <row r="49030" spans="62:62" x14ac:dyDescent="0.2">
      <c r="BJ49030" s="201"/>
    </row>
    <row r="49031" spans="62:62" x14ac:dyDescent="0.2">
      <c r="BJ49031" s="201"/>
    </row>
    <row r="49032" spans="62:62" x14ac:dyDescent="0.2">
      <c r="BJ49032" s="201"/>
    </row>
    <row r="49033" spans="62:62" x14ac:dyDescent="0.2">
      <c r="BJ49033" s="201"/>
    </row>
    <row r="49034" spans="62:62" x14ac:dyDescent="0.2">
      <c r="BJ49034" s="201"/>
    </row>
    <row r="49035" spans="62:62" x14ac:dyDescent="0.2">
      <c r="BJ49035" s="201"/>
    </row>
    <row r="49036" spans="62:62" x14ac:dyDescent="0.2">
      <c r="BJ49036" s="201"/>
    </row>
    <row r="49037" spans="62:62" x14ac:dyDescent="0.2">
      <c r="BJ49037" s="201"/>
    </row>
    <row r="49038" spans="62:62" x14ac:dyDescent="0.2">
      <c r="BJ49038" s="201"/>
    </row>
    <row r="49039" spans="62:62" x14ac:dyDescent="0.2">
      <c r="BJ49039" s="201"/>
    </row>
    <row r="49040" spans="62:62" x14ac:dyDescent="0.2">
      <c r="BJ49040" s="201"/>
    </row>
    <row r="49041" spans="62:62" x14ac:dyDescent="0.2">
      <c r="BJ49041" s="201"/>
    </row>
    <row r="49042" spans="62:62" x14ac:dyDescent="0.2">
      <c r="BJ49042" s="201"/>
    </row>
    <row r="49043" spans="62:62" x14ac:dyDescent="0.2">
      <c r="BJ49043" s="201"/>
    </row>
    <row r="49044" spans="62:62" x14ac:dyDescent="0.2">
      <c r="BJ49044" s="201"/>
    </row>
    <row r="49045" spans="62:62" x14ac:dyDescent="0.2">
      <c r="BJ49045" s="201"/>
    </row>
    <row r="49046" spans="62:62" x14ac:dyDescent="0.2">
      <c r="BJ49046" s="201"/>
    </row>
    <row r="49047" spans="62:62" x14ac:dyDescent="0.2">
      <c r="BJ49047" s="201"/>
    </row>
    <row r="49048" spans="62:62" x14ac:dyDescent="0.2">
      <c r="BJ49048" s="201"/>
    </row>
    <row r="49049" spans="62:62" x14ac:dyDescent="0.2">
      <c r="BJ49049" s="201"/>
    </row>
    <row r="49050" spans="62:62" x14ac:dyDescent="0.2">
      <c r="BJ49050" s="201"/>
    </row>
    <row r="49051" spans="62:62" x14ac:dyDescent="0.2">
      <c r="BJ49051" s="201"/>
    </row>
    <row r="49052" spans="62:62" x14ac:dyDescent="0.2">
      <c r="BJ49052" s="201"/>
    </row>
    <row r="49053" spans="62:62" x14ac:dyDescent="0.2">
      <c r="BJ49053" s="201"/>
    </row>
    <row r="49054" spans="62:62" x14ac:dyDescent="0.2">
      <c r="BJ49054" s="201"/>
    </row>
    <row r="49055" spans="62:62" x14ac:dyDescent="0.2">
      <c r="BJ49055" s="201"/>
    </row>
    <row r="49056" spans="62:62" x14ac:dyDescent="0.2">
      <c r="BJ49056" s="201"/>
    </row>
    <row r="49057" spans="62:62" x14ac:dyDescent="0.2">
      <c r="BJ49057" s="201"/>
    </row>
    <row r="49058" spans="62:62" x14ac:dyDescent="0.2">
      <c r="BJ49058" s="201"/>
    </row>
    <row r="49059" spans="62:62" x14ac:dyDescent="0.2">
      <c r="BJ49059" s="201"/>
    </row>
    <row r="49060" spans="62:62" x14ac:dyDescent="0.2">
      <c r="BJ49060" s="201"/>
    </row>
    <row r="49061" spans="62:62" x14ac:dyDescent="0.2">
      <c r="BJ49061" s="201"/>
    </row>
    <row r="49062" spans="62:62" x14ac:dyDescent="0.2">
      <c r="BJ49062" s="201"/>
    </row>
    <row r="49063" spans="62:62" x14ac:dyDescent="0.2">
      <c r="BJ49063" s="201"/>
    </row>
    <row r="49064" spans="62:62" x14ac:dyDescent="0.2">
      <c r="BJ49064" s="201"/>
    </row>
    <row r="49065" spans="62:62" x14ac:dyDescent="0.2">
      <c r="BJ49065" s="201"/>
    </row>
    <row r="49066" spans="62:62" x14ac:dyDescent="0.2">
      <c r="BJ49066" s="201"/>
    </row>
    <row r="49067" spans="62:62" x14ac:dyDescent="0.2">
      <c r="BJ49067" s="201"/>
    </row>
    <row r="49068" spans="62:62" x14ac:dyDescent="0.2">
      <c r="BJ49068" s="201"/>
    </row>
    <row r="49069" spans="62:62" x14ac:dyDescent="0.2">
      <c r="BJ49069" s="201"/>
    </row>
    <row r="49070" spans="62:62" x14ac:dyDescent="0.2">
      <c r="BJ49070" s="201"/>
    </row>
    <row r="49071" spans="62:62" x14ac:dyDescent="0.2">
      <c r="BJ49071" s="201"/>
    </row>
    <row r="49072" spans="62:62" x14ac:dyDescent="0.2">
      <c r="BJ49072" s="201"/>
    </row>
    <row r="49073" spans="62:62" x14ac:dyDescent="0.2">
      <c r="BJ49073" s="201"/>
    </row>
    <row r="49074" spans="62:62" x14ac:dyDescent="0.2">
      <c r="BJ49074" s="201"/>
    </row>
    <row r="49075" spans="62:62" x14ac:dyDescent="0.2">
      <c r="BJ49075" s="201"/>
    </row>
    <row r="49076" spans="62:62" x14ac:dyDescent="0.2">
      <c r="BJ49076" s="201"/>
    </row>
    <row r="49077" spans="62:62" x14ac:dyDescent="0.2">
      <c r="BJ49077" s="201"/>
    </row>
    <row r="49078" spans="62:62" x14ac:dyDescent="0.2">
      <c r="BJ49078" s="201"/>
    </row>
    <row r="49079" spans="62:62" x14ac:dyDescent="0.2">
      <c r="BJ49079" s="201"/>
    </row>
    <row r="49080" spans="62:62" x14ac:dyDescent="0.2">
      <c r="BJ49080" s="201"/>
    </row>
    <row r="49081" spans="62:62" x14ac:dyDescent="0.2">
      <c r="BJ49081" s="201"/>
    </row>
    <row r="49082" spans="62:62" x14ac:dyDescent="0.2">
      <c r="BJ49082" s="201"/>
    </row>
    <row r="49083" spans="62:62" x14ac:dyDescent="0.2">
      <c r="BJ49083" s="201"/>
    </row>
    <row r="49084" spans="62:62" x14ac:dyDescent="0.2">
      <c r="BJ49084" s="201"/>
    </row>
    <row r="49085" spans="62:62" x14ac:dyDescent="0.2">
      <c r="BJ49085" s="201"/>
    </row>
    <row r="49086" spans="62:62" x14ac:dyDescent="0.2">
      <c r="BJ49086" s="201"/>
    </row>
    <row r="49087" spans="62:62" x14ac:dyDescent="0.2">
      <c r="BJ49087" s="201"/>
    </row>
    <row r="49088" spans="62:62" x14ac:dyDescent="0.2">
      <c r="BJ49088" s="201"/>
    </row>
    <row r="49089" spans="62:62" x14ac:dyDescent="0.2">
      <c r="BJ49089" s="201"/>
    </row>
    <row r="49090" spans="62:62" x14ac:dyDescent="0.2">
      <c r="BJ49090" s="201"/>
    </row>
    <row r="49091" spans="62:62" x14ac:dyDescent="0.2">
      <c r="BJ49091" s="201"/>
    </row>
    <row r="49092" spans="62:62" x14ac:dyDescent="0.2">
      <c r="BJ49092" s="201"/>
    </row>
    <row r="49093" spans="62:62" x14ac:dyDescent="0.2">
      <c r="BJ49093" s="201"/>
    </row>
    <row r="49094" spans="62:62" x14ac:dyDescent="0.2">
      <c r="BJ49094" s="201"/>
    </row>
    <row r="49095" spans="62:62" x14ac:dyDescent="0.2">
      <c r="BJ49095" s="201"/>
    </row>
    <row r="49096" spans="62:62" x14ac:dyDescent="0.2">
      <c r="BJ49096" s="201"/>
    </row>
    <row r="49097" spans="62:62" x14ac:dyDescent="0.2">
      <c r="BJ49097" s="201"/>
    </row>
    <row r="49098" spans="62:62" x14ac:dyDescent="0.2">
      <c r="BJ49098" s="201"/>
    </row>
    <row r="49099" spans="62:62" x14ac:dyDescent="0.2">
      <c r="BJ49099" s="201"/>
    </row>
    <row r="49100" spans="62:62" x14ac:dyDescent="0.2">
      <c r="BJ49100" s="201"/>
    </row>
    <row r="49101" spans="62:62" x14ac:dyDescent="0.2">
      <c r="BJ49101" s="201"/>
    </row>
    <row r="49102" spans="62:62" x14ac:dyDescent="0.2">
      <c r="BJ49102" s="201"/>
    </row>
    <row r="49103" spans="62:62" x14ac:dyDescent="0.2">
      <c r="BJ49103" s="201"/>
    </row>
    <row r="49104" spans="62:62" x14ac:dyDescent="0.2">
      <c r="BJ49104" s="201"/>
    </row>
    <row r="49105" spans="62:62" x14ac:dyDescent="0.2">
      <c r="BJ49105" s="201"/>
    </row>
    <row r="49106" spans="62:62" x14ac:dyDescent="0.2">
      <c r="BJ49106" s="201"/>
    </row>
    <row r="49107" spans="62:62" x14ac:dyDescent="0.2">
      <c r="BJ49107" s="201"/>
    </row>
    <row r="49108" spans="62:62" x14ac:dyDescent="0.2">
      <c r="BJ49108" s="201"/>
    </row>
    <row r="49109" spans="62:62" x14ac:dyDescent="0.2">
      <c r="BJ49109" s="201"/>
    </row>
    <row r="49110" spans="62:62" x14ac:dyDescent="0.2">
      <c r="BJ49110" s="201"/>
    </row>
    <row r="49111" spans="62:62" x14ac:dyDescent="0.2">
      <c r="BJ49111" s="201"/>
    </row>
    <row r="49112" spans="62:62" x14ac:dyDescent="0.2">
      <c r="BJ49112" s="201"/>
    </row>
    <row r="49113" spans="62:62" x14ac:dyDescent="0.2">
      <c r="BJ49113" s="201"/>
    </row>
    <row r="49114" spans="62:62" x14ac:dyDescent="0.2">
      <c r="BJ49114" s="201"/>
    </row>
    <row r="49115" spans="62:62" x14ac:dyDescent="0.2">
      <c r="BJ49115" s="201"/>
    </row>
    <row r="49116" spans="62:62" x14ac:dyDescent="0.2">
      <c r="BJ49116" s="201"/>
    </row>
    <row r="49117" spans="62:62" x14ac:dyDescent="0.2">
      <c r="BJ49117" s="201"/>
    </row>
    <row r="49118" spans="62:62" x14ac:dyDescent="0.2">
      <c r="BJ49118" s="201"/>
    </row>
    <row r="49119" spans="62:62" x14ac:dyDescent="0.2">
      <c r="BJ49119" s="201"/>
    </row>
    <row r="49120" spans="62:62" x14ac:dyDescent="0.2">
      <c r="BJ49120" s="201"/>
    </row>
    <row r="49121" spans="62:62" x14ac:dyDescent="0.2">
      <c r="BJ49121" s="201"/>
    </row>
    <row r="49122" spans="62:62" x14ac:dyDescent="0.2">
      <c r="BJ49122" s="201"/>
    </row>
    <row r="49123" spans="62:62" x14ac:dyDescent="0.2">
      <c r="BJ49123" s="201"/>
    </row>
    <row r="49124" spans="62:62" x14ac:dyDescent="0.2">
      <c r="BJ49124" s="201"/>
    </row>
    <row r="49125" spans="62:62" x14ac:dyDescent="0.2">
      <c r="BJ49125" s="201"/>
    </row>
    <row r="49126" spans="62:62" x14ac:dyDescent="0.2">
      <c r="BJ49126" s="201"/>
    </row>
    <row r="49127" spans="62:62" x14ac:dyDescent="0.2">
      <c r="BJ49127" s="201"/>
    </row>
    <row r="49128" spans="62:62" x14ac:dyDescent="0.2">
      <c r="BJ49128" s="201"/>
    </row>
    <row r="49129" spans="62:62" x14ac:dyDescent="0.2">
      <c r="BJ49129" s="201"/>
    </row>
    <row r="49130" spans="62:62" x14ac:dyDescent="0.2">
      <c r="BJ49130" s="201"/>
    </row>
    <row r="49131" spans="62:62" x14ac:dyDescent="0.2">
      <c r="BJ49131" s="201"/>
    </row>
    <row r="49132" spans="62:62" x14ac:dyDescent="0.2">
      <c r="BJ49132" s="201"/>
    </row>
    <row r="49133" spans="62:62" x14ac:dyDescent="0.2">
      <c r="BJ49133" s="201"/>
    </row>
    <row r="49134" spans="62:62" x14ac:dyDescent="0.2">
      <c r="BJ49134" s="201"/>
    </row>
    <row r="49135" spans="62:62" x14ac:dyDescent="0.2">
      <c r="BJ49135" s="201"/>
    </row>
    <row r="49136" spans="62:62" x14ac:dyDescent="0.2">
      <c r="BJ49136" s="201"/>
    </row>
    <row r="49137" spans="62:62" x14ac:dyDescent="0.2">
      <c r="BJ49137" s="201"/>
    </row>
    <row r="49138" spans="62:62" x14ac:dyDescent="0.2">
      <c r="BJ49138" s="201"/>
    </row>
    <row r="49139" spans="62:62" x14ac:dyDescent="0.2">
      <c r="BJ49139" s="201"/>
    </row>
    <row r="49140" spans="62:62" x14ac:dyDescent="0.2">
      <c r="BJ49140" s="201"/>
    </row>
    <row r="49141" spans="62:62" x14ac:dyDescent="0.2">
      <c r="BJ49141" s="201"/>
    </row>
    <row r="49142" spans="62:62" x14ac:dyDescent="0.2">
      <c r="BJ49142" s="201"/>
    </row>
    <row r="49143" spans="62:62" x14ac:dyDescent="0.2">
      <c r="BJ49143" s="201"/>
    </row>
    <row r="49144" spans="62:62" x14ac:dyDescent="0.2">
      <c r="BJ49144" s="201"/>
    </row>
    <row r="49145" spans="62:62" x14ac:dyDescent="0.2">
      <c r="BJ49145" s="201"/>
    </row>
    <row r="49146" spans="62:62" x14ac:dyDescent="0.2">
      <c r="BJ49146" s="201"/>
    </row>
    <row r="49147" spans="62:62" x14ac:dyDescent="0.2">
      <c r="BJ49147" s="201"/>
    </row>
    <row r="49148" spans="62:62" x14ac:dyDescent="0.2">
      <c r="BJ49148" s="201"/>
    </row>
    <row r="49149" spans="62:62" x14ac:dyDescent="0.2">
      <c r="BJ49149" s="201"/>
    </row>
    <row r="49150" spans="62:62" x14ac:dyDescent="0.2">
      <c r="BJ49150" s="201"/>
    </row>
    <row r="49151" spans="62:62" x14ac:dyDescent="0.2">
      <c r="BJ49151" s="201"/>
    </row>
    <row r="49152" spans="62:62" x14ac:dyDescent="0.2">
      <c r="BJ49152" s="201"/>
    </row>
    <row r="49153" spans="62:62" x14ac:dyDescent="0.2">
      <c r="BJ49153" s="201"/>
    </row>
    <row r="49154" spans="62:62" x14ac:dyDescent="0.2">
      <c r="BJ49154" s="201"/>
    </row>
    <row r="49155" spans="62:62" x14ac:dyDescent="0.2">
      <c r="BJ49155" s="201"/>
    </row>
    <row r="49156" spans="62:62" x14ac:dyDescent="0.2">
      <c r="BJ49156" s="201"/>
    </row>
    <row r="49157" spans="62:62" x14ac:dyDescent="0.2">
      <c r="BJ49157" s="201"/>
    </row>
    <row r="49158" spans="62:62" x14ac:dyDescent="0.2">
      <c r="BJ49158" s="201"/>
    </row>
    <row r="49159" spans="62:62" x14ac:dyDescent="0.2">
      <c r="BJ49159" s="201"/>
    </row>
    <row r="49160" spans="62:62" x14ac:dyDescent="0.2">
      <c r="BJ49160" s="201"/>
    </row>
    <row r="49161" spans="62:62" x14ac:dyDescent="0.2">
      <c r="BJ49161" s="201"/>
    </row>
    <row r="49162" spans="62:62" x14ac:dyDescent="0.2">
      <c r="BJ49162" s="201"/>
    </row>
    <row r="49163" spans="62:62" x14ac:dyDescent="0.2">
      <c r="BJ49163" s="201"/>
    </row>
    <row r="49164" spans="62:62" x14ac:dyDescent="0.2">
      <c r="BJ49164" s="201"/>
    </row>
    <row r="49165" spans="62:62" x14ac:dyDescent="0.2">
      <c r="BJ49165" s="201"/>
    </row>
    <row r="49166" spans="62:62" x14ac:dyDescent="0.2">
      <c r="BJ49166" s="201"/>
    </row>
    <row r="49167" spans="62:62" x14ac:dyDescent="0.2">
      <c r="BJ49167" s="201"/>
    </row>
    <row r="49168" spans="62:62" x14ac:dyDescent="0.2">
      <c r="BJ49168" s="201"/>
    </row>
    <row r="49169" spans="62:62" x14ac:dyDescent="0.2">
      <c r="BJ49169" s="201"/>
    </row>
    <row r="49170" spans="62:62" x14ac:dyDescent="0.2">
      <c r="BJ49170" s="201"/>
    </row>
    <row r="49171" spans="62:62" x14ac:dyDescent="0.2">
      <c r="BJ49171" s="201"/>
    </row>
    <row r="49172" spans="62:62" x14ac:dyDescent="0.2">
      <c r="BJ49172" s="201"/>
    </row>
    <row r="49173" spans="62:62" x14ac:dyDescent="0.2">
      <c r="BJ49173" s="201"/>
    </row>
    <row r="49174" spans="62:62" x14ac:dyDescent="0.2">
      <c r="BJ49174" s="201"/>
    </row>
    <row r="49175" spans="62:62" x14ac:dyDescent="0.2">
      <c r="BJ49175" s="201"/>
    </row>
    <row r="49176" spans="62:62" x14ac:dyDescent="0.2">
      <c r="BJ49176" s="201"/>
    </row>
    <row r="49177" spans="62:62" x14ac:dyDescent="0.2">
      <c r="BJ49177" s="201"/>
    </row>
    <row r="49178" spans="62:62" x14ac:dyDescent="0.2">
      <c r="BJ49178" s="201"/>
    </row>
    <row r="49179" spans="62:62" x14ac:dyDescent="0.2">
      <c r="BJ49179" s="201"/>
    </row>
    <row r="49180" spans="62:62" x14ac:dyDescent="0.2">
      <c r="BJ49180" s="201"/>
    </row>
    <row r="49181" spans="62:62" x14ac:dyDescent="0.2">
      <c r="BJ49181" s="201"/>
    </row>
    <row r="49182" spans="62:62" x14ac:dyDescent="0.2">
      <c r="BJ49182" s="201"/>
    </row>
    <row r="49183" spans="62:62" x14ac:dyDescent="0.2">
      <c r="BJ49183" s="201"/>
    </row>
    <row r="49184" spans="62:62" x14ac:dyDescent="0.2">
      <c r="BJ49184" s="201"/>
    </row>
    <row r="49185" spans="62:62" x14ac:dyDescent="0.2">
      <c r="BJ49185" s="201"/>
    </row>
    <row r="49186" spans="62:62" x14ac:dyDescent="0.2">
      <c r="BJ49186" s="201"/>
    </row>
    <row r="49187" spans="62:62" x14ac:dyDescent="0.2">
      <c r="BJ49187" s="201"/>
    </row>
    <row r="49188" spans="62:62" x14ac:dyDescent="0.2">
      <c r="BJ49188" s="201"/>
    </row>
    <row r="49189" spans="62:62" x14ac:dyDescent="0.2">
      <c r="BJ49189" s="201"/>
    </row>
    <row r="49190" spans="62:62" x14ac:dyDescent="0.2">
      <c r="BJ49190" s="201"/>
    </row>
    <row r="49191" spans="62:62" x14ac:dyDescent="0.2">
      <c r="BJ49191" s="201"/>
    </row>
    <row r="49192" spans="62:62" x14ac:dyDescent="0.2">
      <c r="BJ49192" s="201"/>
    </row>
    <row r="49193" spans="62:62" x14ac:dyDescent="0.2">
      <c r="BJ49193" s="201"/>
    </row>
    <row r="49194" spans="62:62" x14ac:dyDescent="0.2">
      <c r="BJ49194" s="201"/>
    </row>
    <row r="49195" spans="62:62" x14ac:dyDescent="0.2">
      <c r="BJ49195" s="201"/>
    </row>
    <row r="49196" spans="62:62" x14ac:dyDescent="0.2">
      <c r="BJ49196" s="201"/>
    </row>
    <row r="49197" spans="62:62" x14ac:dyDescent="0.2">
      <c r="BJ49197" s="201"/>
    </row>
    <row r="49198" spans="62:62" x14ac:dyDescent="0.2">
      <c r="BJ49198" s="201"/>
    </row>
    <row r="49199" spans="62:62" x14ac:dyDescent="0.2">
      <c r="BJ49199" s="201"/>
    </row>
    <row r="49200" spans="62:62" x14ac:dyDescent="0.2">
      <c r="BJ49200" s="201"/>
    </row>
    <row r="49201" spans="62:62" x14ac:dyDescent="0.2">
      <c r="BJ49201" s="201"/>
    </row>
    <row r="49202" spans="62:62" x14ac:dyDescent="0.2">
      <c r="BJ49202" s="201"/>
    </row>
    <row r="49203" spans="62:62" x14ac:dyDescent="0.2">
      <c r="BJ49203" s="201"/>
    </row>
    <row r="49204" spans="62:62" x14ac:dyDescent="0.2">
      <c r="BJ49204" s="201"/>
    </row>
    <row r="49205" spans="62:62" x14ac:dyDescent="0.2">
      <c r="BJ49205" s="201"/>
    </row>
    <row r="49206" spans="62:62" x14ac:dyDescent="0.2">
      <c r="BJ49206" s="201"/>
    </row>
    <row r="49207" spans="62:62" x14ac:dyDescent="0.2">
      <c r="BJ49207" s="201"/>
    </row>
    <row r="49208" spans="62:62" x14ac:dyDescent="0.2">
      <c r="BJ49208" s="201"/>
    </row>
    <row r="49209" spans="62:62" x14ac:dyDescent="0.2">
      <c r="BJ49209" s="201"/>
    </row>
    <row r="49210" spans="62:62" x14ac:dyDescent="0.2">
      <c r="BJ49210" s="201"/>
    </row>
    <row r="49211" spans="62:62" x14ac:dyDescent="0.2">
      <c r="BJ49211" s="201"/>
    </row>
    <row r="49212" spans="62:62" x14ac:dyDescent="0.2">
      <c r="BJ49212" s="201"/>
    </row>
    <row r="49213" spans="62:62" x14ac:dyDescent="0.2">
      <c r="BJ49213" s="201"/>
    </row>
    <row r="49214" spans="62:62" x14ac:dyDescent="0.2">
      <c r="BJ49214" s="201"/>
    </row>
    <row r="49215" spans="62:62" x14ac:dyDescent="0.2">
      <c r="BJ49215" s="201"/>
    </row>
    <row r="49216" spans="62:62" x14ac:dyDescent="0.2">
      <c r="BJ49216" s="201"/>
    </row>
    <row r="49217" spans="62:62" x14ac:dyDescent="0.2">
      <c r="BJ49217" s="201"/>
    </row>
    <row r="49218" spans="62:62" x14ac:dyDescent="0.2">
      <c r="BJ49218" s="201"/>
    </row>
    <row r="49219" spans="62:62" x14ac:dyDescent="0.2">
      <c r="BJ49219" s="201"/>
    </row>
    <row r="49220" spans="62:62" x14ac:dyDescent="0.2">
      <c r="BJ49220" s="201"/>
    </row>
    <row r="49221" spans="62:62" x14ac:dyDescent="0.2">
      <c r="BJ49221" s="201"/>
    </row>
    <row r="49222" spans="62:62" x14ac:dyDescent="0.2">
      <c r="BJ49222" s="201"/>
    </row>
    <row r="49223" spans="62:62" x14ac:dyDescent="0.2">
      <c r="BJ49223" s="201"/>
    </row>
    <row r="49224" spans="62:62" x14ac:dyDescent="0.2">
      <c r="BJ49224" s="201"/>
    </row>
    <row r="49225" spans="62:62" x14ac:dyDescent="0.2">
      <c r="BJ49225" s="201"/>
    </row>
    <row r="49226" spans="62:62" x14ac:dyDescent="0.2">
      <c r="BJ49226" s="201"/>
    </row>
    <row r="49227" spans="62:62" x14ac:dyDescent="0.2">
      <c r="BJ49227" s="201"/>
    </row>
    <row r="49228" spans="62:62" x14ac:dyDescent="0.2">
      <c r="BJ49228" s="201"/>
    </row>
    <row r="49229" spans="62:62" x14ac:dyDescent="0.2">
      <c r="BJ49229" s="201"/>
    </row>
    <row r="49230" spans="62:62" x14ac:dyDescent="0.2">
      <c r="BJ49230" s="201"/>
    </row>
    <row r="49231" spans="62:62" x14ac:dyDescent="0.2">
      <c r="BJ49231" s="201"/>
    </row>
    <row r="49232" spans="62:62" x14ac:dyDescent="0.2">
      <c r="BJ49232" s="201"/>
    </row>
    <row r="49233" spans="62:62" x14ac:dyDescent="0.2">
      <c r="BJ49233" s="201"/>
    </row>
    <row r="49234" spans="62:62" x14ac:dyDescent="0.2">
      <c r="BJ49234" s="201"/>
    </row>
    <row r="49235" spans="62:62" x14ac:dyDescent="0.2">
      <c r="BJ49235" s="201"/>
    </row>
    <row r="49236" spans="62:62" x14ac:dyDescent="0.2">
      <c r="BJ49236" s="201"/>
    </row>
    <row r="49237" spans="62:62" x14ac:dyDescent="0.2">
      <c r="BJ49237" s="201"/>
    </row>
    <row r="49238" spans="62:62" x14ac:dyDescent="0.2">
      <c r="BJ49238" s="201"/>
    </row>
    <row r="49239" spans="62:62" x14ac:dyDescent="0.2">
      <c r="BJ49239" s="201"/>
    </row>
    <row r="49240" spans="62:62" x14ac:dyDescent="0.2">
      <c r="BJ49240" s="201"/>
    </row>
    <row r="49241" spans="62:62" x14ac:dyDescent="0.2">
      <c r="BJ49241" s="201"/>
    </row>
    <row r="49242" spans="62:62" x14ac:dyDescent="0.2">
      <c r="BJ49242" s="201"/>
    </row>
    <row r="49243" spans="62:62" x14ac:dyDescent="0.2">
      <c r="BJ49243" s="201"/>
    </row>
    <row r="49244" spans="62:62" x14ac:dyDescent="0.2">
      <c r="BJ49244" s="201"/>
    </row>
    <row r="49245" spans="62:62" x14ac:dyDescent="0.2">
      <c r="BJ49245" s="201"/>
    </row>
    <row r="49246" spans="62:62" x14ac:dyDescent="0.2">
      <c r="BJ49246" s="201"/>
    </row>
    <row r="49247" spans="62:62" x14ac:dyDescent="0.2">
      <c r="BJ49247" s="201"/>
    </row>
    <row r="49248" spans="62:62" x14ac:dyDescent="0.2">
      <c r="BJ49248" s="201"/>
    </row>
    <row r="49249" spans="62:62" x14ac:dyDescent="0.2">
      <c r="BJ49249" s="201"/>
    </row>
    <row r="49250" spans="62:62" x14ac:dyDescent="0.2">
      <c r="BJ49250" s="201"/>
    </row>
    <row r="49251" spans="62:62" x14ac:dyDescent="0.2">
      <c r="BJ49251" s="201"/>
    </row>
    <row r="49252" spans="62:62" x14ac:dyDescent="0.2">
      <c r="BJ49252" s="201"/>
    </row>
    <row r="49253" spans="62:62" x14ac:dyDescent="0.2">
      <c r="BJ49253" s="201"/>
    </row>
    <row r="49254" spans="62:62" x14ac:dyDescent="0.2">
      <c r="BJ49254" s="201"/>
    </row>
    <row r="49255" spans="62:62" x14ac:dyDescent="0.2">
      <c r="BJ49255" s="201"/>
    </row>
    <row r="49256" spans="62:62" x14ac:dyDescent="0.2">
      <c r="BJ49256" s="201"/>
    </row>
    <row r="49257" spans="62:62" x14ac:dyDescent="0.2">
      <c r="BJ49257" s="201"/>
    </row>
    <row r="49258" spans="62:62" x14ac:dyDescent="0.2">
      <c r="BJ49258" s="201"/>
    </row>
    <row r="49259" spans="62:62" x14ac:dyDescent="0.2">
      <c r="BJ49259" s="201"/>
    </row>
    <row r="49260" spans="62:62" x14ac:dyDescent="0.2">
      <c r="BJ49260" s="201"/>
    </row>
    <row r="49261" spans="62:62" x14ac:dyDescent="0.2">
      <c r="BJ49261" s="201"/>
    </row>
    <row r="49262" spans="62:62" x14ac:dyDescent="0.2">
      <c r="BJ49262" s="201"/>
    </row>
    <row r="49263" spans="62:62" x14ac:dyDescent="0.2">
      <c r="BJ49263" s="201"/>
    </row>
    <row r="49264" spans="62:62" x14ac:dyDescent="0.2">
      <c r="BJ49264" s="201"/>
    </row>
    <row r="49265" spans="62:62" x14ac:dyDescent="0.2">
      <c r="BJ49265" s="201"/>
    </row>
    <row r="49266" spans="62:62" x14ac:dyDescent="0.2">
      <c r="BJ49266" s="201"/>
    </row>
    <row r="49267" spans="62:62" x14ac:dyDescent="0.2">
      <c r="BJ49267" s="201"/>
    </row>
    <row r="49268" spans="62:62" x14ac:dyDescent="0.2">
      <c r="BJ49268" s="201"/>
    </row>
    <row r="49269" spans="62:62" x14ac:dyDescent="0.2">
      <c r="BJ49269" s="201"/>
    </row>
    <row r="49270" spans="62:62" x14ac:dyDescent="0.2">
      <c r="BJ49270" s="201"/>
    </row>
    <row r="49271" spans="62:62" x14ac:dyDescent="0.2">
      <c r="BJ49271" s="201"/>
    </row>
    <row r="49272" spans="62:62" x14ac:dyDescent="0.2">
      <c r="BJ49272" s="201"/>
    </row>
    <row r="49273" spans="62:62" x14ac:dyDescent="0.2">
      <c r="BJ49273" s="201"/>
    </row>
    <row r="49274" spans="62:62" x14ac:dyDescent="0.2">
      <c r="BJ49274" s="201"/>
    </row>
    <row r="49275" spans="62:62" x14ac:dyDescent="0.2">
      <c r="BJ49275" s="201"/>
    </row>
    <row r="49276" spans="62:62" x14ac:dyDescent="0.2">
      <c r="BJ49276" s="201"/>
    </row>
    <row r="49277" spans="62:62" x14ac:dyDescent="0.2">
      <c r="BJ49277" s="201"/>
    </row>
    <row r="49278" spans="62:62" x14ac:dyDescent="0.2">
      <c r="BJ49278" s="201"/>
    </row>
    <row r="49279" spans="62:62" x14ac:dyDescent="0.2">
      <c r="BJ49279" s="201"/>
    </row>
    <row r="49280" spans="62:62" x14ac:dyDescent="0.2">
      <c r="BJ49280" s="201"/>
    </row>
    <row r="49281" spans="62:62" x14ac:dyDescent="0.2">
      <c r="BJ49281" s="201"/>
    </row>
    <row r="49282" spans="62:62" x14ac:dyDescent="0.2">
      <c r="BJ49282" s="201"/>
    </row>
    <row r="49283" spans="62:62" x14ac:dyDescent="0.2">
      <c r="BJ49283" s="201"/>
    </row>
    <row r="49284" spans="62:62" x14ac:dyDescent="0.2">
      <c r="BJ49284" s="201"/>
    </row>
    <row r="49285" spans="62:62" x14ac:dyDescent="0.2">
      <c r="BJ49285" s="201"/>
    </row>
    <row r="49286" spans="62:62" x14ac:dyDescent="0.2">
      <c r="BJ49286" s="201"/>
    </row>
    <row r="49287" spans="62:62" x14ac:dyDescent="0.2">
      <c r="BJ49287" s="201"/>
    </row>
    <row r="49288" spans="62:62" x14ac:dyDescent="0.2">
      <c r="BJ49288" s="201"/>
    </row>
    <row r="49289" spans="62:62" x14ac:dyDescent="0.2">
      <c r="BJ49289" s="201"/>
    </row>
    <row r="49290" spans="62:62" x14ac:dyDescent="0.2">
      <c r="BJ49290" s="201"/>
    </row>
    <row r="49291" spans="62:62" x14ac:dyDescent="0.2">
      <c r="BJ49291" s="201"/>
    </row>
    <row r="49292" spans="62:62" x14ac:dyDescent="0.2">
      <c r="BJ49292" s="201"/>
    </row>
    <row r="49293" spans="62:62" x14ac:dyDescent="0.2">
      <c r="BJ49293" s="201"/>
    </row>
    <row r="49294" spans="62:62" x14ac:dyDescent="0.2">
      <c r="BJ49294" s="201"/>
    </row>
    <row r="49295" spans="62:62" x14ac:dyDescent="0.2">
      <c r="BJ49295" s="201"/>
    </row>
    <row r="49296" spans="62:62" x14ac:dyDescent="0.2">
      <c r="BJ49296" s="201"/>
    </row>
    <row r="49297" spans="62:62" x14ac:dyDescent="0.2">
      <c r="BJ49297" s="201"/>
    </row>
    <row r="49298" spans="62:62" x14ac:dyDescent="0.2">
      <c r="BJ49298" s="201"/>
    </row>
    <row r="49299" spans="62:62" x14ac:dyDescent="0.2">
      <c r="BJ49299" s="201"/>
    </row>
    <row r="49300" spans="62:62" x14ac:dyDescent="0.2">
      <c r="BJ49300" s="201"/>
    </row>
    <row r="49301" spans="62:62" x14ac:dyDescent="0.2">
      <c r="BJ49301" s="201"/>
    </row>
    <row r="49302" spans="62:62" x14ac:dyDescent="0.2">
      <c r="BJ49302" s="201"/>
    </row>
    <row r="49303" spans="62:62" x14ac:dyDescent="0.2">
      <c r="BJ49303" s="201"/>
    </row>
    <row r="49304" spans="62:62" x14ac:dyDescent="0.2">
      <c r="BJ49304" s="201"/>
    </row>
    <row r="49305" spans="62:62" x14ac:dyDescent="0.2">
      <c r="BJ49305" s="201"/>
    </row>
    <row r="49306" spans="62:62" x14ac:dyDescent="0.2">
      <c r="BJ49306" s="201"/>
    </row>
    <row r="49307" spans="62:62" x14ac:dyDescent="0.2">
      <c r="BJ49307" s="201"/>
    </row>
    <row r="49308" spans="62:62" x14ac:dyDescent="0.2">
      <c r="BJ49308" s="201"/>
    </row>
    <row r="49309" spans="62:62" x14ac:dyDescent="0.2">
      <c r="BJ49309" s="201"/>
    </row>
    <row r="49310" spans="62:62" x14ac:dyDescent="0.2">
      <c r="BJ49310" s="201"/>
    </row>
    <row r="49311" spans="62:62" x14ac:dyDescent="0.2">
      <c r="BJ49311" s="201"/>
    </row>
    <row r="49312" spans="62:62" x14ac:dyDescent="0.2">
      <c r="BJ49312" s="201"/>
    </row>
    <row r="49313" spans="62:62" x14ac:dyDescent="0.2">
      <c r="BJ49313" s="201"/>
    </row>
    <row r="49314" spans="62:62" x14ac:dyDescent="0.2">
      <c r="BJ49314" s="201"/>
    </row>
    <row r="49315" spans="62:62" x14ac:dyDescent="0.2">
      <c r="BJ49315" s="201"/>
    </row>
    <row r="49316" spans="62:62" x14ac:dyDescent="0.2">
      <c r="BJ49316" s="201"/>
    </row>
    <row r="49317" spans="62:62" x14ac:dyDescent="0.2">
      <c r="BJ49317" s="201"/>
    </row>
    <row r="49318" spans="62:62" x14ac:dyDescent="0.2">
      <c r="BJ49318" s="201"/>
    </row>
    <row r="49319" spans="62:62" x14ac:dyDescent="0.2">
      <c r="BJ49319" s="201"/>
    </row>
    <row r="49320" spans="62:62" x14ac:dyDescent="0.2">
      <c r="BJ49320" s="201"/>
    </row>
    <row r="49321" spans="62:62" x14ac:dyDescent="0.2">
      <c r="BJ49321" s="201"/>
    </row>
    <row r="49322" spans="62:62" x14ac:dyDescent="0.2">
      <c r="BJ49322" s="201"/>
    </row>
    <row r="49323" spans="62:62" x14ac:dyDescent="0.2">
      <c r="BJ49323" s="201"/>
    </row>
    <row r="49324" spans="62:62" x14ac:dyDescent="0.2">
      <c r="BJ49324" s="201"/>
    </row>
    <row r="49325" spans="62:62" x14ac:dyDescent="0.2">
      <c r="BJ49325" s="201"/>
    </row>
    <row r="49326" spans="62:62" x14ac:dyDescent="0.2">
      <c r="BJ49326" s="201"/>
    </row>
    <row r="49327" spans="62:62" x14ac:dyDescent="0.2">
      <c r="BJ49327" s="201"/>
    </row>
    <row r="49328" spans="62:62" x14ac:dyDescent="0.2">
      <c r="BJ49328" s="201"/>
    </row>
    <row r="49329" spans="62:62" x14ac:dyDescent="0.2">
      <c r="BJ49329" s="201"/>
    </row>
    <row r="49330" spans="62:62" x14ac:dyDescent="0.2">
      <c r="BJ49330" s="201"/>
    </row>
    <row r="49331" spans="62:62" x14ac:dyDescent="0.2">
      <c r="BJ49331" s="201"/>
    </row>
    <row r="49332" spans="62:62" x14ac:dyDescent="0.2">
      <c r="BJ49332" s="201"/>
    </row>
    <row r="49333" spans="62:62" x14ac:dyDescent="0.2">
      <c r="BJ49333" s="201"/>
    </row>
    <row r="49334" spans="62:62" x14ac:dyDescent="0.2">
      <c r="BJ49334" s="201"/>
    </row>
    <row r="49335" spans="62:62" x14ac:dyDescent="0.2">
      <c r="BJ49335" s="201"/>
    </row>
    <row r="49336" spans="62:62" x14ac:dyDescent="0.2">
      <c r="BJ49336" s="201"/>
    </row>
    <row r="49337" spans="62:62" x14ac:dyDescent="0.2">
      <c r="BJ49337" s="201"/>
    </row>
    <row r="49338" spans="62:62" x14ac:dyDescent="0.2">
      <c r="BJ49338" s="201"/>
    </row>
    <row r="49339" spans="62:62" x14ac:dyDescent="0.2">
      <c r="BJ49339" s="201"/>
    </row>
    <row r="49340" spans="62:62" x14ac:dyDescent="0.2">
      <c r="BJ49340" s="201"/>
    </row>
    <row r="49341" spans="62:62" x14ac:dyDescent="0.2">
      <c r="BJ49341" s="201"/>
    </row>
    <row r="49342" spans="62:62" x14ac:dyDescent="0.2">
      <c r="BJ49342" s="201"/>
    </row>
    <row r="49343" spans="62:62" x14ac:dyDescent="0.2">
      <c r="BJ49343" s="201"/>
    </row>
    <row r="49344" spans="62:62" x14ac:dyDescent="0.2">
      <c r="BJ49344" s="201"/>
    </row>
    <row r="49345" spans="62:62" x14ac:dyDescent="0.2">
      <c r="BJ49345" s="201"/>
    </row>
    <row r="49346" spans="62:62" x14ac:dyDescent="0.2">
      <c r="BJ49346" s="201"/>
    </row>
    <row r="49347" spans="62:62" x14ac:dyDescent="0.2">
      <c r="BJ49347" s="201"/>
    </row>
    <row r="49348" spans="62:62" x14ac:dyDescent="0.2">
      <c r="BJ49348" s="201"/>
    </row>
    <row r="49349" spans="62:62" x14ac:dyDescent="0.2">
      <c r="BJ49349" s="201"/>
    </row>
    <row r="49350" spans="62:62" x14ac:dyDescent="0.2">
      <c r="BJ49350" s="201"/>
    </row>
    <row r="49351" spans="62:62" x14ac:dyDescent="0.2">
      <c r="BJ49351" s="201"/>
    </row>
    <row r="49352" spans="62:62" x14ac:dyDescent="0.2">
      <c r="BJ49352" s="201"/>
    </row>
    <row r="49353" spans="62:62" x14ac:dyDescent="0.2">
      <c r="BJ49353" s="201"/>
    </row>
    <row r="49354" spans="62:62" x14ac:dyDescent="0.2">
      <c r="BJ49354" s="201"/>
    </row>
    <row r="49355" spans="62:62" x14ac:dyDescent="0.2">
      <c r="BJ49355" s="201"/>
    </row>
    <row r="49356" spans="62:62" x14ac:dyDescent="0.2">
      <c r="BJ49356" s="201"/>
    </row>
    <row r="49357" spans="62:62" x14ac:dyDescent="0.2">
      <c r="BJ49357" s="201"/>
    </row>
    <row r="49358" spans="62:62" x14ac:dyDescent="0.2">
      <c r="BJ49358" s="201"/>
    </row>
    <row r="49359" spans="62:62" x14ac:dyDescent="0.2">
      <c r="BJ49359" s="201"/>
    </row>
    <row r="49360" spans="62:62" x14ac:dyDescent="0.2">
      <c r="BJ49360" s="201"/>
    </row>
    <row r="49361" spans="62:62" x14ac:dyDescent="0.2">
      <c r="BJ49361" s="201"/>
    </row>
    <row r="49362" spans="62:62" x14ac:dyDescent="0.2">
      <c r="BJ49362" s="201"/>
    </row>
    <row r="49363" spans="62:62" x14ac:dyDescent="0.2">
      <c r="BJ49363" s="201"/>
    </row>
    <row r="49364" spans="62:62" x14ac:dyDescent="0.2">
      <c r="BJ49364" s="201"/>
    </row>
    <row r="49365" spans="62:62" x14ac:dyDescent="0.2">
      <c r="BJ49365" s="201"/>
    </row>
    <row r="49366" spans="62:62" x14ac:dyDescent="0.2">
      <c r="BJ49366" s="201"/>
    </row>
    <row r="49367" spans="62:62" x14ac:dyDescent="0.2">
      <c r="BJ49367" s="201"/>
    </row>
    <row r="49368" spans="62:62" x14ac:dyDescent="0.2">
      <c r="BJ49368" s="201"/>
    </row>
    <row r="49369" spans="62:62" x14ac:dyDescent="0.2">
      <c r="BJ49369" s="201"/>
    </row>
    <row r="49370" spans="62:62" x14ac:dyDescent="0.2">
      <c r="BJ49370" s="201"/>
    </row>
    <row r="49371" spans="62:62" x14ac:dyDescent="0.2">
      <c r="BJ49371" s="201"/>
    </row>
    <row r="49372" spans="62:62" x14ac:dyDescent="0.2">
      <c r="BJ49372" s="201"/>
    </row>
    <row r="49373" spans="62:62" x14ac:dyDescent="0.2">
      <c r="BJ49373" s="201"/>
    </row>
    <row r="49374" spans="62:62" x14ac:dyDescent="0.2">
      <c r="BJ49374" s="201"/>
    </row>
    <row r="49375" spans="62:62" x14ac:dyDescent="0.2">
      <c r="BJ49375" s="201"/>
    </row>
    <row r="49376" spans="62:62" x14ac:dyDescent="0.2">
      <c r="BJ49376" s="201"/>
    </row>
    <row r="49377" spans="62:62" x14ac:dyDescent="0.2">
      <c r="BJ49377" s="201"/>
    </row>
    <row r="49378" spans="62:62" x14ac:dyDescent="0.2">
      <c r="BJ49378" s="201"/>
    </row>
    <row r="49379" spans="62:62" x14ac:dyDescent="0.2">
      <c r="BJ49379" s="201"/>
    </row>
    <row r="49380" spans="62:62" x14ac:dyDescent="0.2">
      <c r="BJ49380" s="201"/>
    </row>
    <row r="49381" spans="62:62" x14ac:dyDescent="0.2">
      <c r="BJ49381" s="201"/>
    </row>
    <row r="49382" spans="62:62" x14ac:dyDescent="0.2">
      <c r="BJ49382" s="201"/>
    </row>
    <row r="49383" spans="62:62" x14ac:dyDescent="0.2">
      <c r="BJ49383" s="201"/>
    </row>
    <row r="49384" spans="62:62" x14ac:dyDescent="0.2">
      <c r="BJ49384" s="201"/>
    </row>
    <row r="49385" spans="62:62" x14ac:dyDescent="0.2">
      <c r="BJ49385" s="201"/>
    </row>
    <row r="49386" spans="62:62" x14ac:dyDescent="0.2">
      <c r="BJ49386" s="201"/>
    </row>
    <row r="49387" spans="62:62" x14ac:dyDescent="0.2">
      <c r="BJ49387" s="201"/>
    </row>
    <row r="49388" spans="62:62" x14ac:dyDescent="0.2">
      <c r="BJ49388" s="201"/>
    </row>
    <row r="49389" spans="62:62" x14ac:dyDescent="0.2">
      <c r="BJ49389" s="201"/>
    </row>
    <row r="49390" spans="62:62" x14ac:dyDescent="0.2">
      <c r="BJ49390" s="201"/>
    </row>
    <row r="49391" spans="62:62" x14ac:dyDescent="0.2">
      <c r="BJ49391" s="201"/>
    </row>
    <row r="49392" spans="62:62" x14ac:dyDescent="0.2">
      <c r="BJ49392" s="201"/>
    </row>
    <row r="49393" spans="62:62" x14ac:dyDescent="0.2">
      <c r="BJ49393" s="201"/>
    </row>
    <row r="49394" spans="62:62" x14ac:dyDescent="0.2">
      <c r="BJ49394" s="201"/>
    </row>
    <row r="49395" spans="62:62" x14ac:dyDescent="0.2">
      <c r="BJ49395" s="201"/>
    </row>
    <row r="49396" spans="62:62" x14ac:dyDescent="0.2">
      <c r="BJ49396" s="201"/>
    </row>
    <row r="49397" spans="62:62" x14ac:dyDescent="0.2">
      <c r="BJ49397" s="201"/>
    </row>
    <row r="49398" spans="62:62" x14ac:dyDescent="0.2">
      <c r="BJ49398" s="201"/>
    </row>
    <row r="49399" spans="62:62" x14ac:dyDescent="0.2">
      <c r="BJ49399" s="201"/>
    </row>
    <row r="49400" spans="62:62" x14ac:dyDescent="0.2">
      <c r="BJ49400" s="201"/>
    </row>
    <row r="49401" spans="62:62" x14ac:dyDescent="0.2">
      <c r="BJ49401" s="201"/>
    </row>
    <row r="49402" spans="62:62" x14ac:dyDescent="0.2">
      <c r="BJ49402" s="201"/>
    </row>
    <row r="49403" spans="62:62" x14ac:dyDescent="0.2">
      <c r="BJ49403" s="201"/>
    </row>
    <row r="49404" spans="62:62" x14ac:dyDescent="0.2">
      <c r="BJ49404" s="201"/>
    </row>
    <row r="49405" spans="62:62" x14ac:dyDescent="0.2">
      <c r="BJ49405" s="201"/>
    </row>
    <row r="49406" spans="62:62" x14ac:dyDescent="0.2">
      <c r="BJ49406" s="201"/>
    </row>
    <row r="49407" spans="62:62" x14ac:dyDescent="0.2">
      <c r="BJ49407" s="201"/>
    </row>
    <row r="49408" spans="62:62" x14ac:dyDescent="0.2">
      <c r="BJ49408" s="201"/>
    </row>
    <row r="49409" spans="62:62" x14ac:dyDescent="0.2">
      <c r="BJ49409" s="201"/>
    </row>
    <row r="49410" spans="62:62" x14ac:dyDescent="0.2">
      <c r="BJ49410" s="201"/>
    </row>
    <row r="49411" spans="62:62" x14ac:dyDescent="0.2">
      <c r="BJ49411" s="201"/>
    </row>
    <row r="49412" spans="62:62" x14ac:dyDescent="0.2">
      <c r="BJ49412" s="201"/>
    </row>
    <row r="49413" spans="62:62" x14ac:dyDescent="0.2">
      <c r="BJ49413" s="201"/>
    </row>
    <row r="49414" spans="62:62" x14ac:dyDescent="0.2">
      <c r="BJ49414" s="201"/>
    </row>
    <row r="49415" spans="62:62" x14ac:dyDescent="0.2">
      <c r="BJ49415" s="201"/>
    </row>
    <row r="49416" spans="62:62" x14ac:dyDescent="0.2">
      <c r="BJ49416" s="201"/>
    </row>
    <row r="49417" spans="62:62" x14ac:dyDescent="0.2">
      <c r="BJ49417" s="201"/>
    </row>
    <row r="49418" spans="62:62" x14ac:dyDescent="0.2">
      <c r="BJ49418" s="201"/>
    </row>
    <row r="49419" spans="62:62" x14ac:dyDescent="0.2">
      <c r="BJ49419" s="201"/>
    </row>
    <row r="49420" spans="62:62" x14ac:dyDescent="0.2">
      <c r="BJ49420" s="201"/>
    </row>
    <row r="49421" spans="62:62" x14ac:dyDescent="0.2">
      <c r="BJ49421" s="201"/>
    </row>
    <row r="49422" spans="62:62" x14ac:dyDescent="0.2">
      <c r="BJ49422" s="201"/>
    </row>
    <row r="49423" spans="62:62" x14ac:dyDescent="0.2">
      <c r="BJ49423" s="201"/>
    </row>
    <row r="49424" spans="62:62" x14ac:dyDescent="0.2">
      <c r="BJ49424" s="201"/>
    </row>
    <row r="49425" spans="62:62" x14ac:dyDescent="0.2">
      <c r="BJ49425" s="201"/>
    </row>
    <row r="49426" spans="62:62" x14ac:dyDescent="0.2">
      <c r="BJ49426" s="201"/>
    </row>
    <row r="49427" spans="62:62" x14ac:dyDescent="0.2">
      <c r="BJ49427" s="201"/>
    </row>
    <row r="49428" spans="62:62" x14ac:dyDescent="0.2">
      <c r="BJ49428" s="201"/>
    </row>
    <row r="49429" spans="62:62" x14ac:dyDescent="0.2">
      <c r="BJ49429" s="201"/>
    </row>
    <row r="49430" spans="62:62" x14ac:dyDescent="0.2">
      <c r="BJ49430" s="201"/>
    </row>
    <row r="49431" spans="62:62" x14ac:dyDescent="0.2">
      <c r="BJ49431" s="201"/>
    </row>
    <row r="49432" spans="62:62" x14ac:dyDescent="0.2">
      <c r="BJ49432" s="201"/>
    </row>
    <row r="49433" spans="62:62" x14ac:dyDescent="0.2">
      <c r="BJ49433" s="201"/>
    </row>
    <row r="49434" spans="62:62" x14ac:dyDescent="0.2">
      <c r="BJ49434" s="201"/>
    </row>
    <row r="49435" spans="62:62" x14ac:dyDescent="0.2">
      <c r="BJ49435" s="201"/>
    </row>
    <row r="49436" spans="62:62" x14ac:dyDescent="0.2">
      <c r="BJ49436" s="201"/>
    </row>
    <row r="49437" spans="62:62" x14ac:dyDescent="0.2">
      <c r="BJ49437" s="201"/>
    </row>
    <row r="49438" spans="62:62" x14ac:dyDescent="0.2">
      <c r="BJ49438" s="201"/>
    </row>
    <row r="49439" spans="62:62" x14ac:dyDescent="0.2">
      <c r="BJ49439" s="201"/>
    </row>
    <row r="49440" spans="62:62" x14ac:dyDescent="0.2">
      <c r="BJ49440" s="201"/>
    </row>
    <row r="49441" spans="62:62" x14ac:dyDescent="0.2">
      <c r="BJ49441" s="201"/>
    </row>
    <row r="49442" spans="62:62" x14ac:dyDescent="0.2">
      <c r="BJ49442" s="201"/>
    </row>
    <row r="49443" spans="62:62" x14ac:dyDescent="0.2">
      <c r="BJ49443" s="201"/>
    </row>
    <row r="49444" spans="62:62" x14ac:dyDescent="0.2">
      <c r="BJ49444" s="201"/>
    </row>
    <row r="49445" spans="62:62" x14ac:dyDescent="0.2">
      <c r="BJ49445" s="201"/>
    </row>
    <row r="49446" spans="62:62" x14ac:dyDescent="0.2">
      <c r="BJ49446" s="201"/>
    </row>
    <row r="49447" spans="62:62" x14ac:dyDescent="0.2">
      <c r="BJ49447" s="201"/>
    </row>
    <row r="49448" spans="62:62" x14ac:dyDescent="0.2">
      <c r="BJ49448" s="201"/>
    </row>
    <row r="49449" spans="62:62" x14ac:dyDescent="0.2">
      <c r="BJ49449" s="201"/>
    </row>
    <row r="49450" spans="62:62" x14ac:dyDescent="0.2">
      <c r="BJ49450" s="201"/>
    </row>
    <row r="49451" spans="62:62" x14ac:dyDescent="0.2">
      <c r="BJ49451" s="201"/>
    </row>
    <row r="49452" spans="62:62" x14ac:dyDescent="0.2">
      <c r="BJ49452" s="201"/>
    </row>
    <row r="49453" spans="62:62" x14ac:dyDescent="0.2">
      <c r="BJ49453" s="201"/>
    </row>
    <row r="49454" spans="62:62" x14ac:dyDescent="0.2">
      <c r="BJ49454" s="201"/>
    </row>
    <row r="49455" spans="62:62" x14ac:dyDescent="0.2">
      <c r="BJ49455" s="201"/>
    </row>
    <row r="49456" spans="62:62" x14ac:dyDescent="0.2">
      <c r="BJ49456" s="201"/>
    </row>
    <row r="49457" spans="62:62" x14ac:dyDescent="0.2">
      <c r="BJ49457" s="201"/>
    </row>
    <row r="49458" spans="62:62" x14ac:dyDescent="0.2">
      <c r="BJ49458" s="201"/>
    </row>
    <row r="49459" spans="62:62" x14ac:dyDescent="0.2">
      <c r="BJ49459" s="201"/>
    </row>
    <row r="49460" spans="62:62" x14ac:dyDescent="0.2">
      <c r="BJ49460" s="201"/>
    </row>
    <row r="49461" spans="62:62" x14ac:dyDescent="0.2">
      <c r="BJ49461" s="201"/>
    </row>
    <row r="49462" spans="62:62" x14ac:dyDescent="0.2">
      <c r="BJ49462" s="201"/>
    </row>
    <row r="49463" spans="62:62" x14ac:dyDescent="0.2">
      <c r="BJ49463" s="201"/>
    </row>
    <row r="49464" spans="62:62" x14ac:dyDescent="0.2">
      <c r="BJ49464" s="201"/>
    </row>
    <row r="49465" spans="62:62" x14ac:dyDescent="0.2">
      <c r="BJ49465" s="201"/>
    </row>
    <row r="49466" spans="62:62" x14ac:dyDescent="0.2">
      <c r="BJ49466" s="201"/>
    </row>
    <row r="49467" spans="62:62" x14ac:dyDescent="0.2">
      <c r="BJ49467" s="201"/>
    </row>
    <row r="49468" spans="62:62" x14ac:dyDescent="0.2">
      <c r="BJ49468" s="201"/>
    </row>
    <row r="49469" spans="62:62" x14ac:dyDescent="0.2">
      <c r="BJ49469" s="201"/>
    </row>
    <row r="49470" spans="62:62" x14ac:dyDescent="0.2">
      <c r="BJ49470" s="201"/>
    </row>
    <row r="49471" spans="62:62" x14ac:dyDescent="0.2">
      <c r="BJ49471" s="201"/>
    </row>
    <row r="49472" spans="62:62" x14ac:dyDescent="0.2">
      <c r="BJ49472" s="201"/>
    </row>
    <row r="49473" spans="62:62" x14ac:dyDescent="0.2">
      <c r="BJ49473" s="201"/>
    </row>
    <row r="49474" spans="62:62" x14ac:dyDescent="0.2">
      <c r="BJ49474" s="201"/>
    </row>
    <row r="49475" spans="62:62" x14ac:dyDescent="0.2">
      <c r="BJ49475" s="201"/>
    </row>
    <row r="49476" spans="62:62" x14ac:dyDescent="0.2">
      <c r="BJ49476" s="201"/>
    </row>
    <row r="49477" spans="62:62" x14ac:dyDescent="0.2">
      <c r="BJ49477" s="201"/>
    </row>
    <row r="49478" spans="62:62" x14ac:dyDescent="0.2">
      <c r="BJ49478" s="201"/>
    </row>
    <row r="49479" spans="62:62" x14ac:dyDescent="0.2">
      <c r="BJ49479" s="201"/>
    </row>
    <row r="49480" spans="62:62" x14ac:dyDescent="0.2">
      <c r="BJ49480" s="201"/>
    </row>
    <row r="49481" spans="62:62" x14ac:dyDescent="0.2">
      <c r="BJ49481" s="201"/>
    </row>
    <row r="49482" spans="62:62" x14ac:dyDescent="0.2">
      <c r="BJ49482" s="201"/>
    </row>
    <row r="49483" spans="62:62" x14ac:dyDescent="0.2">
      <c r="BJ49483" s="201"/>
    </row>
    <row r="49484" spans="62:62" x14ac:dyDescent="0.2">
      <c r="BJ49484" s="201"/>
    </row>
    <row r="49485" spans="62:62" x14ac:dyDescent="0.2">
      <c r="BJ49485" s="201"/>
    </row>
    <row r="49486" spans="62:62" x14ac:dyDescent="0.2">
      <c r="BJ49486" s="201"/>
    </row>
    <row r="49487" spans="62:62" x14ac:dyDescent="0.2">
      <c r="BJ49487" s="201"/>
    </row>
    <row r="49488" spans="62:62" x14ac:dyDescent="0.2">
      <c r="BJ49488" s="201"/>
    </row>
    <row r="49489" spans="62:62" x14ac:dyDescent="0.2">
      <c r="BJ49489" s="201"/>
    </row>
    <row r="49490" spans="62:62" x14ac:dyDescent="0.2">
      <c r="BJ49490" s="201"/>
    </row>
    <row r="49491" spans="62:62" x14ac:dyDescent="0.2">
      <c r="BJ49491" s="201"/>
    </row>
    <row r="49492" spans="62:62" x14ac:dyDescent="0.2">
      <c r="BJ49492" s="201"/>
    </row>
    <row r="49493" spans="62:62" x14ac:dyDescent="0.2">
      <c r="BJ49493" s="201"/>
    </row>
    <row r="49494" spans="62:62" x14ac:dyDescent="0.2">
      <c r="BJ49494" s="201"/>
    </row>
    <row r="49495" spans="62:62" x14ac:dyDescent="0.2">
      <c r="BJ49495" s="201"/>
    </row>
    <row r="49496" spans="62:62" x14ac:dyDescent="0.2">
      <c r="BJ49496" s="201"/>
    </row>
    <row r="49497" spans="62:62" x14ac:dyDescent="0.2">
      <c r="BJ49497" s="201"/>
    </row>
    <row r="49498" spans="62:62" x14ac:dyDescent="0.2">
      <c r="BJ49498" s="201"/>
    </row>
    <row r="49499" spans="62:62" x14ac:dyDescent="0.2">
      <c r="BJ49499" s="201"/>
    </row>
    <row r="49500" spans="62:62" x14ac:dyDescent="0.2">
      <c r="BJ49500" s="201"/>
    </row>
    <row r="49501" spans="62:62" x14ac:dyDescent="0.2">
      <c r="BJ49501" s="201"/>
    </row>
    <row r="49502" spans="62:62" x14ac:dyDescent="0.2">
      <c r="BJ49502" s="201"/>
    </row>
    <row r="49503" spans="62:62" x14ac:dyDescent="0.2">
      <c r="BJ49503" s="201"/>
    </row>
    <row r="49504" spans="62:62" x14ac:dyDescent="0.2">
      <c r="BJ49504" s="201"/>
    </row>
    <row r="49505" spans="62:62" x14ac:dyDescent="0.2">
      <c r="BJ49505" s="201"/>
    </row>
    <row r="49506" spans="62:62" x14ac:dyDescent="0.2">
      <c r="BJ49506" s="201"/>
    </row>
    <row r="49507" spans="62:62" x14ac:dyDescent="0.2">
      <c r="BJ49507" s="201"/>
    </row>
    <row r="49508" spans="62:62" x14ac:dyDescent="0.2">
      <c r="BJ49508" s="201"/>
    </row>
    <row r="49509" spans="62:62" x14ac:dyDescent="0.2">
      <c r="BJ49509" s="201"/>
    </row>
    <row r="49510" spans="62:62" x14ac:dyDescent="0.2">
      <c r="BJ49510" s="201"/>
    </row>
    <row r="49511" spans="62:62" x14ac:dyDescent="0.2">
      <c r="BJ49511" s="201"/>
    </row>
    <row r="49512" spans="62:62" x14ac:dyDescent="0.2">
      <c r="BJ49512" s="201"/>
    </row>
    <row r="49513" spans="62:62" x14ac:dyDescent="0.2">
      <c r="BJ49513" s="201"/>
    </row>
    <row r="49514" spans="62:62" x14ac:dyDescent="0.2">
      <c r="BJ49514" s="201"/>
    </row>
    <row r="49515" spans="62:62" x14ac:dyDescent="0.2">
      <c r="BJ49515" s="201"/>
    </row>
    <row r="49516" spans="62:62" x14ac:dyDescent="0.2">
      <c r="BJ49516" s="201"/>
    </row>
    <row r="49517" spans="62:62" x14ac:dyDescent="0.2">
      <c r="BJ49517" s="201"/>
    </row>
    <row r="49518" spans="62:62" x14ac:dyDescent="0.2">
      <c r="BJ49518" s="201"/>
    </row>
    <row r="49519" spans="62:62" x14ac:dyDescent="0.2">
      <c r="BJ49519" s="201"/>
    </row>
    <row r="49520" spans="62:62" x14ac:dyDescent="0.2">
      <c r="BJ49520" s="201"/>
    </row>
    <row r="49521" spans="62:62" x14ac:dyDescent="0.2">
      <c r="BJ49521" s="201"/>
    </row>
    <row r="49522" spans="62:62" x14ac:dyDescent="0.2">
      <c r="BJ49522" s="201"/>
    </row>
    <row r="49523" spans="62:62" x14ac:dyDescent="0.2">
      <c r="BJ49523" s="201"/>
    </row>
    <row r="49524" spans="62:62" x14ac:dyDescent="0.2">
      <c r="BJ49524" s="201"/>
    </row>
    <row r="49525" spans="62:62" x14ac:dyDescent="0.2">
      <c r="BJ49525" s="201"/>
    </row>
    <row r="49526" spans="62:62" x14ac:dyDescent="0.2">
      <c r="BJ49526" s="201"/>
    </row>
    <row r="49527" spans="62:62" x14ac:dyDescent="0.2">
      <c r="BJ49527" s="201"/>
    </row>
    <row r="49528" spans="62:62" x14ac:dyDescent="0.2">
      <c r="BJ49528" s="201"/>
    </row>
    <row r="49529" spans="62:62" x14ac:dyDescent="0.2">
      <c r="BJ49529" s="201"/>
    </row>
    <row r="49530" spans="62:62" x14ac:dyDescent="0.2">
      <c r="BJ49530" s="201"/>
    </row>
    <row r="49531" spans="62:62" x14ac:dyDescent="0.2">
      <c r="BJ49531" s="201"/>
    </row>
    <row r="49532" spans="62:62" x14ac:dyDescent="0.2">
      <c r="BJ49532" s="201"/>
    </row>
    <row r="49533" spans="62:62" x14ac:dyDescent="0.2">
      <c r="BJ49533" s="201"/>
    </row>
    <row r="49534" spans="62:62" x14ac:dyDescent="0.2">
      <c r="BJ49534" s="201"/>
    </row>
    <row r="49535" spans="62:62" x14ac:dyDescent="0.2">
      <c r="BJ49535" s="201"/>
    </row>
    <row r="49536" spans="62:62" x14ac:dyDescent="0.2">
      <c r="BJ49536" s="201"/>
    </row>
    <row r="49537" spans="62:62" x14ac:dyDescent="0.2">
      <c r="BJ49537" s="201"/>
    </row>
    <row r="49538" spans="62:62" x14ac:dyDescent="0.2">
      <c r="BJ49538" s="201"/>
    </row>
    <row r="49539" spans="62:62" x14ac:dyDescent="0.2">
      <c r="BJ49539" s="201"/>
    </row>
    <row r="49540" spans="62:62" x14ac:dyDescent="0.2">
      <c r="BJ49540" s="201"/>
    </row>
    <row r="49541" spans="62:62" x14ac:dyDescent="0.2">
      <c r="BJ49541" s="201"/>
    </row>
    <row r="49542" spans="62:62" x14ac:dyDescent="0.2">
      <c r="BJ49542" s="201"/>
    </row>
    <row r="49543" spans="62:62" x14ac:dyDescent="0.2">
      <c r="BJ49543" s="201"/>
    </row>
    <row r="49544" spans="62:62" x14ac:dyDescent="0.2">
      <c r="BJ49544" s="201"/>
    </row>
    <row r="49545" spans="62:62" x14ac:dyDescent="0.2">
      <c r="BJ49545" s="201"/>
    </row>
    <row r="49546" spans="62:62" x14ac:dyDescent="0.2">
      <c r="BJ49546" s="201"/>
    </row>
    <row r="49547" spans="62:62" x14ac:dyDescent="0.2">
      <c r="BJ49547" s="201"/>
    </row>
    <row r="49548" spans="62:62" x14ac:dyDescent="0.2">
      <c r="BJ49548" s="201"/>
    </row>
    <row r="49549" spans="62:62" x14ac:dyDescent="0.2">
      <c r="BJ49549" s="201"/>
    </row>
    <row r="49550" spans="62:62" x14ac:dyDescent="0.2">
      <c r="BJ49550" s="201"/>
    </row>
    <row r="49551" spans="62:62" x14ac:dyDescent="0.2">
      <c r="BJ49551" s="201"/>
    </row>
    <row r="49552" spans="62:62" x14ac:dyDescent="0.2">
      <c r="BJ49552" s="201"/>
    </row>
    <row r="49553" spans="62:62" x14ac:dyDescent="0.2">
      <c r="BJ49553" s="201"/>
    </row>
    <row r="49554" spans="62:62" x14ac:dyDescent="0.2">
      <c r="BJ49554" s="201"/>
    </row>
    <row r="49555" spans="62:62" x14ac:dyDescent="0.2">
      <c r="BJ49555" s="201"/>
    </row>
    <row r="49556" spans="62:62" x14ac:dyDescent="0.2">
      <c r="BJ49556" s="201"/>
    </row>
    <row r="49557" spans="62:62" x14ac:dyDescent="0.2">
      <c r="BJ49557" s="201"/>
    </row>
    <row r="49558" spans="62:62" x14ac:dyDescent="0.2">
      <c r="BJ49558" s="201"/>
    </row>
    <row r="49559" spans="62:62" x14ac:dyDescent="0.2">
      <c r="BJ49559" s="201"/>
    </row>
    <row r="49560" spans="62:62" x14ac:dyDescent="0.2">
      <c r="BJ49560" s="201"/>
    </row>
    <row r="49561" spans="62:62" x14ac:dyDescent="0.2">
      <c r="BJ49561" s="201"/>
    </row>
    <row r="49562" spans="62:62" x14ac:dyDescent="0.2">
      <c r="BJ49562" s="201"/>
    </row>
    <row r="49563" spans="62:62" x14ac:dyDescent="0.2">
      <c r="BJ49563" s="201"/>
    </row>
    <row r="49564" spans="62:62" x14ac:dyDescent="0.2">
      <c r="BJ49564" s="201"/>
    </row>
    <row r="49565" spans="62:62" x14ac:dyDescent="0.2">
      <c r="BJ49565" s="201"/>
    </row>
    <row r="49566" spans="62:62" x14ac:dyDescent="0.2">
      <c r="BJ49566" s="201"/>
    </row>
    <row r="49567" spans="62:62" x14ac:dyDescent="0.2">
      <c r="BJ49567" s="201"/>
    </row>
    <row r="49568" spans="62:62" x14ac:dyDescent="0.2">
      <c r="BJ49568" s="201"/>
    </row>
    <row r="49569" spans="62:62" x14ac:dyDescent="0.2">
      <c r="BJ49569" s="201"/>
    </row>
    <row r="49570" spans="62:62" x14ac:dyDescent="0.2">
      <c r="BJ49570" s="201"/>
    </row>
    <row r="49571" spans="62:62" x14ac:dyDescent="0.2">
      <c r="BJ49571" s="201"/>
    </row>
    <row r="49572" spans="62:62" x14ac:dyDescent="0.2">
      <c r="BJ49572" s="201"/>
    </row>
    <row r="49573" spans="62:62" x14ac:dyDescent="0.2">
      <c r="BJ49573" s="201"/>
    </row>
    <row r="49574" spans="62:62" x14ac:dyDescent="0.2">
      <c r="BJ49574" s="201"/>
    </row>
    <row r="49575" spans="62:62" x14ac:dyDescent="0.2">
      <c r="BJ49575" s="201"/>
    </row>
    <row r="49576" spans="62:62" x14ac:dyDescent="0.2">
      <c r="BJ49576" s="201"/>
    </row>
    <row r="49577" spans="62:62" x14ac:dyDescent="0.2">
      <c r="BJ49577" s="201"/>
    </row>
    <row r="49578" spans="62:62" x14ac:dyDescent="0.2">
      <c r="BJ49578" s="201"/>
    </row>
    <row r="49579" spans="62:62" x14ac:dyDescent="0.2">
      <c r="BJ49579" s="201"/>
    </row>
    <row r="49580" spans="62:62" x14ac:dyDescent="0.2">
      <c r="BJ49580" s="201"/>
    </row>
    <row r="49581" spans="62:62" x14ac:dyDescent="0.2">
      <c r="BJ49581" s="201"/>
    </row>
    <row r="49582" spans="62:62" x14ac:dyDescent="0.2">
      <c r="BJ49582" s="201"/>
    </row>
    <row r="49583" spans="62:62" x14ac:dyDescent="0.2">
      <c r="BJ49583" s="201"/>
    </row>
    <row r="49584" spans="62:62" x14ac:dyDescent="0.2">
      <c r="BJ49584" s="201"/>
    </row>
    <row r="49585" spans="62:62" x14ac:dyDescent="0.2">
      <c r="BJ49585" s="201"/>
    </row>
    <row r="49586" spans="62:62" x14ac:dyDescent="0.2">
      <c r="BJ49586" s="201"/>
    </row>
    <row r="49587" spans="62:62" x14ac:dyDescent="0.2">
      <c r="BJ49587" s="201"/>
    </row>
    <row r="49588" spans="62:62" x14ac:dyDescent="0.2">
      <c r="BJ49588" s="201"/>
    </row>
    <row r="49589" spans="62:62" x14ac:dyDescent="0.2">
      <c r="BJ49589" s="201"/>
    </row>
    <row r="49590" spans="62:62" x14ac:dyDescent="0.2">
      <c r="BJ49590" s="201"/>
    </row>
    <row r="49591" spans="62:62" x14ac:dyDescent="0.2">
      <c r="BJ49591" s="201"/>
    </row>
    <row r="49592" spans="62:62" x14ac:dyDescent="0.2">
      <c r="BJ49592" s="201"/>
    </row>
    <row r="49593" spans="62:62" x14ac:dyDescent="0.2">
      <c r="BJ49593" s="201"/>
    </row>
    <row r="49594" spans="62:62" x14ac:dyDescent="0.2">
      <c r="BJ49594" s="201"/>
    </row>
    <row r="49595" spans="62:62" x14ac:dyDescent="0.2">
      <c r="BJ49595" s="201"/>
    </row>
    <row r="49596" spans="62:62" x14ac:dyDescent="0.2">
      <c r="BJ49596" s="201"/>
    </row>
    <row r="49597" spans="62:62" x14ac:dyDescent="0.2">
      <c r="BJ49597" s="201"/>
    </row>
    <row r="49598" spans="62:62" x14ac:dyDescent="0.2">
      <c r="BJ49598" s="201"/>
    </row>
    <row r="49599" spans="62:62" x14ac:dyDescent="0.2">
      <c r="BJ49599" s="201"/>
    </row>
    <row r="49600" spans="62:62" x14ac:dyDescent="0.2">
      <c r="BJ49600" s="201"/>
    </row>
    <row r="49601" spans="62:62" x14ac:dyDescent="0.2">
      <c r="BJ49601" s="201"/>
    </row>
    <row r="49602" spans="62:62" x14ac:dyDescent="0.2">
      <c r="BJ49602" s="201"/>
    </row>
    <row r="49603" spans="62:62" x14ac:dyDescent="0.2">
      <c r="BJ49603" s="201"/>
    </row>
    <row r="49604" spans="62:62" x14ac:dyDescent="0.2">
      <c r="BJ49604" s="201"/>
    </row>
    <row r="49605" spans="62:62" x14ac:dyDescent="0.2">
      <c r="BJ49605" s="201"/>
    </row>
    <row r="49606" spans="62:62" x14ac:dyDescent="0.2">
      <c r="BJ49606" s="201"/>
    </row>
    <row r="49607" spans="62:62" x14ac:dyDescent="0.2">
      <c r="BJ49607" s="201"/>
    </row>
    <row r="49608" spans="62:62" x14ac:dyDescent="0.2">
      <c r="BJ49608" s="201"/>
    </row>
    <row r="49609" spans="62:62" x14ac:dyDescent="0.2">
      <c r="BJ49609" s="201"/>
    </row>
    <row r="49610" spans="62:62" x14ac:dyDescent="0.2">
      <c r="BJ49610" s="201"/>
    </row>
    <row r="49611" spans="62:62" x14ac:dyDescent="0.2">
      <c r="BJ49611" s="201"/>
    </row>
    <row r="49612" spans="62:62" x14ac:dyDescent="0.2">
      <c r="BJ49612" s="201"/>
    </row>
    <row r="49613" spans="62:62" x14ac:dyDescent="0.2">
      <c r="BJ49613" s="201"/>
    </row>
    <row r="49614" spans="62:62" x14ac:dyDescent="0.2">
      <c r="BJ49614" s="201"/>
    </row>
    <row r="49615" spans="62:62" x14ac:dyDescent="0.2">
      <c r="BJ49615" s="201"/>
    </row>
    <row r="49616" spans="62:62" x14ac:dyDescent="0.2">
      <c r="BJ49616" s="201"/>
    </row>
    <row r="49617" spans="62:62" x14ac:dyDescent="0.2">
      <c r="BJ49617" s="201"/>
    </row>
    <row r="49618" spans="62:62" x14ac:dyDescent="0.2">
      <c r="BJ49618" s="201"/>
    </row>
    <row r="49619" spans="62:62" x14ac:dyDescent="0.2">
      <c r="BJ49619" s="201"/>
    </row>
    <row r="49620" spans="62:62" x14ac:dyDescent="0.2">
      <c r="BJ49620" s="201"/>
    </row>
    <row r="49621" spans="62:62" x14ac:dyDescent="0.2">
      <c r="BJ49621" s="201"/>
    </row>
    <row r="49622" spans="62:62" x14ac:dyDescent="0.2">
      <c r="BJ49622" s="201"/>
    </row>
    <row r="49623" spans="62:62" x14ac:dyDescent="0.2">
      <c r="BJ49623" s="201"/>
    </row>
    <row r="49624" spans="62:62" x14ac:dyDescent="0.2">
      <c r="BJ49624" s="201"/>
    </row>
    <row r="49625" spans="62:62" x14ac:dyDescent="0.2">
      <c r="BJ49625" s="201"/>
    </row>
    <row r="49626" spans="62:62" x14ac:dyDescent="0.2">
      <c r="BJ49626" s="201"/>
    </row>
    <row r="49627" spans="62:62" x14ac:dyDescent="0.2">
      <c r="BJ49627" s="201"/>
    </row>
    <row r="49628" spans="62:62" x14ac:dyDescent="0.2">
      <c r="BJ49628" s="201"/>
    </row>
    <row r="49629" spans="62:62" x14ac:dyDescent="0.2">
      <c r="BJ49629" s="201"/>
    </row>
    <row r="49630" spans="62:62" x14ac:dyDescent="0.2">
      <c r="BJ49630" s="201"/>
    </row>
    <row r="49631" spans="62:62" x14ac:dyDescent="0.2">
      <c r="BJ49631" s="201"/>
    </row>
    <row r="49632" spans="62:62" x14ac:dyDescent="0.2">
      <c r="BJ49632" s="201"/>
    </row>
    <row r="49633" spans="62:62" x14ac:dyDescent="0.2">
      <c r="BJ49633" s="201"/>
    </row>
    <row r="49634" spans="62:62" x14ac:dyDescent="0.2">
      <c r="BJ49634" s="201"/>
    </row>
    <row r="49635" spans="62:62" x14ac:dyDescent="0.2">
      <c r="BJ49635" s="201"/>
    </row>
    <row r="49636" spans="62:62" x14ac:dyDescent="0.2">
      <c r="BJ49636" s="201"/>
    </row>
    <row r="49637" spans="62:62" x14ac:dyDescent="0.2">
      <c r="BJ49637" s="201"/>
    </row>
    <row r="49638" spans="62:62" x14ac:dyDescent="0.2">
      <c r="BJ49638" s="201"/>
    </row>
    <row r="49639" spans="62:62" x14ac:dyDescent="0.2">
      <c r="BJ49639" s="201"/>
    </row>
    <row r="49640" spans="62:62" x14ac:dyDescent="0.2">
      <c r="BJ49640" s="201"/>
    </row>
    <row r="49641" spans="62:62" x14ac:dyDescent="0.2">
      <c r="BJ49641" s="201"/>
    </row>
    <row r="49642" spans="62:62" x14ac:dyDescent="0.2">
      <c r="BJ49642" s="201"/>
    </row>
    <row r="49643" spans="62:62" x14ac:dyDescent="0.2">
      <c r="BJ49643" s="201"/>
    </row>
    <row r="49644" spans="62:62" x14ac:dyDescent="0.2">
      <c r="BJ49644" s="201"/>
    </row>
    <row r="49645" spans="62:62" x14ac:dyDescent="0.2">
      <c r="BJ49645" s="201"/>
    </row>
    <row r="49646" spans="62:62" x14ac:dyDescent="0.2">
      <c r="BJ49646" s="201"/>
    </row>
    <row r="49647" spans="62:62" x14ac:dyDescent="0.2">
      <c r="BJ49647" s="201"/>
    </row>
    <row r="49648" spans="62:62" x14ac:dyDescent="0.2">
      <c r="BJ49648" s="201"/>
    </row>
    <row r="49649" spans="62:62" x14ac:dyDescent="0.2">
      <c r="BJ49649" s="201"/>
    </row>
    <row r="49650" spans="62:62" x14ac:dyDescent="0.2">
      <c r="BJ49650" s="201"/>
    </row>
    <row r="49651" spans="62:62" x14ac:dyDescent="0.2">
      <c r="BJ49651" s="201"/>
    </row>
    <row r="49652" spans="62:62" x14ac:dyDescent="0.2">
      <c r="BJ49652" s="201"/>
    </row>
    <row r="49653" spans="62:62" x14ac:dyDescent="0.2">
      <c r="BJ49653" s="201"/>
    </row>
    <row r="49654" spans="62:62" x14ac:dyDescent="0.2">
      <c r="BJ49654" s="201"/>
    </row>
    <row r="49655" spans="62:62" x14ac:dyDescent="0.2">
      <c r="BJ49655" s="201"/>
    </row>
    <row r="49656" spans="62:62" x14ac:dyDescent="0.2">
      <c r="BJ49656" s="201"/>
    </row>
    <row r="49657" spans="62:62" x14ac:dyDescent="0.2">
      <c r="BJ49657" s="201"/>
    </row>
    <row r="49658" spans="62:62" x14ac:dyDescent="0.2">
      <c r="BJ49658" s="201"/>
    </row>
    <row r="49659" spans="62:62" x14ac:dyDescent="0.2">
      <c r="BJ49659" s="201"/>
    </row>
    <row r="49660" spans="62:62" x14ac:dyDescent="0.2">
      <c r="BJ49660" s="201"/>
    </row>
    <row r="49661" spans="62:62" x14ac:dyDescent="0.2">
      <c r="BJ49661" s="201"/>
    </row>
    <row r="49662" spans="62:62" x14ac:dyDescent="0.2">
      <c r="BJ49662" s="201"/>
    </row>
    <row r="49663" spans="62:62" x14ac:dyDescent="0.2">
      <c r="BJ49663" s="201"/>
    </row>
    <row r="49664" spans="62:62" x14ac:dyDescent="0.2">
      <c r="BJ49664" s="201"/>
    </row>
    <row r="49665" spans="62:62" x14ac:dyDescent="0.2">
      <c r="BJ49665" s="201"/>
    </row>
    <row r="49666" spans="62:62" x14ac:dyDescent="0.2">
      <c r="BJ49666" s="201"/>
    </row>
    <row r="49667" spans="62:62" x14ac:dyDescent="0.2">
      <c r="BJ49667" s="201"/>
    </row>
    <row r="49668" spans="62:62" x14ac:dyDescent="0.2">
      <c r="BJ49668" s="201"/>
    </row>
    <row r="49669" spans="62:62" x14ac:dyDescent="0.2">
      <c r="BJ49669" s="201"/>
    </row>
    <row r="49670" spans="62:62" x14ac:dyDescent="0.2">
      <c r="BJ49670" s="201"/>
    </row>
    <row r="49671" spans="62:62" x14ac:dyDescent="0.2">
      <c r="BJ49671" s="201"/>
    </row>
    <row r="49672" spans="62:62" x14ac:dyDescent="0.2">
      <c r="BJ49672" s="201"/>
    </row>
    <row r="49673" spans="62:62" x14ac:dyDescent="0.2">
      <c r="BJ49673" s="201"/>
    </row>
    <row r="49674" spans="62:62" x14ac:dyDescent="0.2">
      <c r="BJ49674" s="201"/>
    </row>
    <row r="49675" spans="62:62" x14ac:dyDescent="0.2">
      <c r="BJ49675" s="201"/>
    </row>
    <row r="49676" spans="62:62" x14ac:dyDescent="0.2">
      <c r="BJ49676" s="201"/>
    </row>
    <row r="49677" spans="62:62" x14ac:dyDescent="0.2">
      <c r="BJ49677" s="201"/>
    </row>
    <row r="49678" spans="62:62" x14ac:dyDescent="0.2">
      <c r="BJ49678" s="201"/>
    </row>
    <row r="49679" spans="62:62" x14ac:dyDescent="0.2">
      <c r="BJ49679" s="201"/>
    </row>
    <row r="49680" spans="62:62" x14ac:dyDescent="0.2">
      <c r="BJ49680" s="201"/>
    </row>
    <row r="49681" spans="62:62" x14ac:dyDescent="0.2">
      <c r="BJ49681" s="201"/>
    </row>
    <row r="49682" spans="62:62" x14ac:dyDescent="0.2">
      <c r="BJ49682" s="201"/>
    </row>
    <row r="49683" spans="62:62" x14ac:dyDescent="0.2">
      <c r="BJ49683" s="201"/>
    </row>
    <row r="49684" spans="62:62" x14ac:dyDescent="0.2">
      <c r="BJ49684" s="201"/>
    </row>
    <row r="49685" spans="62:62" x14ac:dyDescent="0.2">
      <c r="BJ49685" s="201"/>
    </row>
    <row r="49686" spans="62:62" x14ac:dyDescent="0.2">
      <c r="BJ49686" s="201"/>
    </row>
    <row r="49687" spans="62:62" x14ac:dyDescent="0.2">
      <c r="BJ49687" s="201"/>
    </row>
    <row r="49688" spans="62:62" x14ac:dyDescent="0.2">
      <c r="BJ49688" s="201"/>
    </row>
    <row r="49689" spans="62:62" x14ac:dyDescent="0.2">
      <c r="BJ49689" s="201"/>
    </row>
    <row r="49690" spans="62:62" x14ac:dyDescent="0.2">
      <c r="BJ49690" s="201"/>
    </row>
    <row r="49691" spans="62:62" x14ac:dyDescent="0.2">
      <c r="BJ49691" s="201"/>
    </row>
    <row r="49692" spans="62:62" x14ac:dyDescent="0.2">
      <c r="BJ49692" s="201"/>
    </row>
    <row r="49693" spans="62:62" x14ac:dyDescent="0.2">
      <c r="BJ49693" s="201"/>
    </row>
    <row r="49694" spans="62:62" x14ac:dyDescent="0.2">
      <c r="BJ49694" s="201"/>
    </row>
    <row r="49695" spans="62:62" x14ac:dyDescent="0.2">
      <c r="BJ49695" s="201"/>
    </row>
    <row r="49696" spans="62:62" x14ac:dyDescent="0.2">
      <c r="BJ49696" s="201"/>
    </row>
    <row r="49697" spans="62:62" x14ac:dyDescent="0.2">
      <c r="BJ49697" s="201"/>
    </row>
    <row r="49698" spans="62:62" x14ac:dyDescent="0.2">
      <c r="BJ49698" s="201"/>
    </row>
    <row r="49699" spans="62:62" x14ac:dyDescent="0.2">
      <c r="BJ49699" s="201"/>
    </row>
    <row r="49700" spans="62:62" x14ac:dyDescent="0.2">
      <c r="BJ49700" s="201"/>
    </row>
    <row r="49701" spans="62:62" x14ac:dyDescent="0.2">
      <c r="BJ49701" s="201"/>
    </row>
    <row r="49702" spans="62:62" x14ac:dyDescent="0.2">
      <c r="BJ49702" s="201"/>
    </row>
    <row r="49703" spans="62:62" x14ac:dyDescent="0.2">
      <c r="BJ49703" s="201"/>
    </row>
    <row r="49704" spans="62:62" x14ac:dyDescent="0.2">
      <c r="BJ49704" s="201"/>
    </row>
    <row r="49705" spans="62:62" x14ac:dyDescent="0.2">
      <c r="BJ49705" s="201"/>
    </row>
    <row r="49706" spans="62:62" x14ac:dyDescent="0.2">
      <c r="BJ49706" s="201"/>
    </row>
    <row r="49707" spans="62:62" x14ac:dyDescent="0.2">
      <c r="BJ49707" s="201"/>
    </row>
    <row r="49708" spans="62:62" x14ac:dyDescent="0.2">
      <c r="BJ49708" s="201"/>
    </row>
    <row r="49709" spans="62:62" x14ac:dyDescent="0.2">
      <c r="BJ49709" s="201"/>
    </row>
    <row r="49710" spans="62:62" x14ac:dyDescent="0.2">
      <c r="BJ49710" s="201"/>
    </row>
    <row r="49711" spans="62:62" x14ac:dyDescent="0.2">
      <c r="BJ49711" s="201"/>
    </row>
    <row r="49712" spans="62:62" x14ac:dyDescent="0.2">
      <c r="BJ49712" s="201"/>
    </row>
    <row r="49713" spans="62:62" x14ac:dyDescent="0.2">
      <c r="BJ49713" s="201"/>
    </row>
    <row r="49714" spans="62:62" x14ac:dyDescent="0.2">
      <c r="BJ49714" s="201"/>
    </row>
    <row r="49715" spans="62:62" x14ac:dyDescent="0.2">
      <c r="BJ49715" s="201"/>
    </row>
    <row r="49716" spans="62:62" x14ac:dyDescent="0.2">
      <c r="BJ49716" s="201"/>
    </row>
    <row r="49717" spans="62:62" x14ac:dyDescent="0.2">
      <c r="BJ49717" s="201"/>
    </row>
    <row r="49718" spans="62:62" x14ac:dyDescent="0.2">
      <c r="BJ49718" s="201"/>
    </row>
    <row r="49719" spans="62:62" x14ac:dyDescent="0.2">
      <c r="BJ49719" s="201"/>
    </row>
    <row r="49720" spans="62:62" x14ac:dyDescent="0.2">
      <c r="BJ49720" s="201"/>
    </row>
    <row r="49721" spans="62:62" x14ac:dyDescent="0.2">
      <c r="BJ49721" s="201"/>
    </row>
    <row r="49722" spans="62:62" x14ac:dyDescent="0.2">
      <c r="BJ49722" s="201"/>
    </row>
    <row r="49723" spans="62:62" x14ac:dyDescent="0.2">
      <c r="BJ49723" s="201"/>
    </row>
    <row r="49724" spans="62:62" x14ac:dyDescent="0.2">
      <c r="BJ49724" s="201"/>
    </row>
    <row r="49725" spans="62:62" x14ac:dyDescent="0.2">
      <c r="BJ49725" s="201"/>
    </row>
    <row r="49726" spans="62:62" x14ac:dyDescent="0.2">
      <c r="BJ49726" s="201"/>
    </row>
    <row r="49727" spans="62:62" x14ac:dyDescent="0.2">
      <c r="BJ49727" s="201"/>
    </row>
    <row r="49728" spans="62:62" x14ac:dyDescent="0.2">
      <c r="BJ49728" s="201"/>
    </row>
    <row r="49729" spans="62:62" x14ac:dyDescent="0.2">
      <c r="BJ49729" s="201"/>
    </row>
    <row r="49730" spans="62:62" x14ac:dyDescent="0.2">
      <c r="BJ49730" s="201"/>
    </row>
    <row r="49731" spans="62:62" x14ac:dyDescent="0.2">
      <c r="BJ49731" s="201"/>
    </row>
    <row r="49732" spans="62:62" x14ac:dyDescent="0.2">
      <c r="BJ49732" s="201"/>
    </row>
    <row r="49733" spans="62:62" x14ac:dyDescent="0.2">
      <c r="BJ49733" s="201"/>
    </row>
    <row r="49734" spans="62:62" x14ac:dyDescent="0.2">
      <c r="BJ49734" s="201"/>
    </row>
    <row r="49735" spans="62:62" x14ac:dyDescent="0.2">
      <c r="BJ49735" s="201"/>
    </row>
    <row r="49736" spans="62:62" x14ac:dyDescent="0.2">
      <c r="BJ49736" s="201"/>
    </row>
    <row r="49737" spans="62:62" x14ac:dyDescent="0.2">
      <c r="BJ49737" s="201"/>
    </row>
    <row r="49738" spans="62:62" x14ac:dyDescent="0.2">
      <c r="BJ49738" s="201"/>
    </row>
    <row r="49739" spans="62:62" x14ac:dyDescent="0.2">
      <c r="BJ49739" s="201"/>
    </row>
    <row r="49740" spans="62:62" x14ac:dyDescent="0.2">
      <c r="BJ49740" s="201"/>
    </row>
    <row r="49741" spans="62:62" x14ac:dyDescent="0.2">
      <c r="BJ49741" s="201"/>
    </row>
    <row r="49742" spans="62:62" x14ac:dyDescent="0.2">
      <c r="BJ49742" s="201"/>
    </row>
    <row r="49743" spans="62:62" x14ac:dyDescent="0.2">
      <c r="BJ49743" s="201"/>
    </row>
    <row r="49744" spans="62:62" x14ac:dyDescent="0.2">
      <c r="BJ49744" s="201"/>
    </row>
    <row r="49745" spans="62:62" x14ac:dyDescent="0.2">
      <c r="BJ49745" s="201"/>
    </row>
    <row r="49746" spans="62:62" x14ac:dyDescent="0.2">
      <c r="BJ49746" s="201"/>
    </row>
    <row r="49747" spans="62:62" x14ac:dyDescent="0.2">
      <c r="BJ49747" s="201"/>
    </row>
    <row r="49748" spans="62:62" x14ac:dyDescent="0.2">
      <c r="BJ49748" s="201"/>
    </row>
    <row r="49749" spans="62:62" x14ac:dyDescent="0.2">
      <c r="BJ49749" s="201"/>
    </row>
    <row r="49750" spans="62:62" x14ac:dyDescent="0.2">
      <c r="BJ49750" s="201"/>
    </row>
    <row r="49751" spans="62:62" x14ac:dyDescent="0.2">
      <c r="BJ49751" s="201"/>
    </row>
    <row r="49752" spans="62:62" x14ac:dyDescent="0.2">
      <c r="BJ49752" s="201"/>
    </row>
    <row r="49753" spans="62:62" x14ac:dyDescent="0.2">
      <c r="BJ49753" s="201"/>
    </row>
    <row r="49754" spans="62:62" x14ac:dyDescent="0.2">
      <c r="BJ49754" s="201"/>
    </row>
    <row r="49755" spans="62:62" x14ac:dyDescent="0.2">
      <c r="BJ49755" s="201"/>
    </row>
    <row r="49756" spans="62:62" x14ac:dyDescent="0.2">
      <c r="BJ49756" s="201"/>
    </row>
    <row r="49757" spans="62:62" x14ac:dyDescent="0.2">
      <c r="BJ49757" s="201"/>
    </row>
    <row r="49758" spans="62:62" x14ac:dyDescent="0.2">
      <c r="BJ49758" s="201"/>
    </row>
    <row r="49759" spans="62:62" x14ac:dyDescent="0.2">
      <c r="BJ49759" s="201"/>
    </row>
    <row r="49760" spans="62:62" x14ac:dyDescent="0.2">
      <c r="BJ49760" s="201"/>
    </row>
    <row r="49761" spans="62:62" x14ac:dyDescent="0.2">
      <c r="BJ49761" s="201"/>
    </row>
    <row r="49762" spans="62:62" x14ac:dyDescent="0.2">
      <c r="BJ49762" s="201"/>
    </row>
    <row r="49763" spans="62:62" x14ac:dyDescent="0.2">
      <c r="BJ49763" s="201"/>
    </row>
    <row r="49764" spans="62:62" x14ac:dyDescent="0.2">
      <c r="BJ49764" s="201"/>
    </row>
    <row r="49765" spans="62:62" x14ac:dyDescent="0.2">
      <c r="BJ49765" s="201"/>
    </row>
    <row r="49766" spans="62:62" x14ac:dyDescent="0.2">
      <c r="BJ49766" s="201"/>
    </row>
    <row r="49767" spans="62:62" x14ac:dyDescent="0.2">
      <c r="BJ49767" s="201"/>
    </row>
    <row r="49768" spans="62:62" x14ac:dyDescent="0.2">
      <c r="BJ49768" s="201"/>
    </row>
    <row r="49769" spans="62:62" x14ac:dyDescent="0.2">
      <c r="BJ49769" s="201"/>
    </row>
    <row r="49770" spans="62:62" x14ac:dyDescent="0.2">
      <c r="BJ49770" s="201"/>
    </row>
    <row r="49771" spans="62:62" x14ac:dyDescent="0.2">
      <c r="BJ49771" s="201"/>
    </row>
    <row r="49772" spans="62:62" x14ac:dyDescent="0.2">
      <c r="BJ49772" s="201"/>
    </row>
    <row r="49773" spans="62:62" x14ac:dyDescent="0.2">
      <c r="BJ49773" s="201"/>
    </row>
    <row r="49774" spans="62:62" x14ac:dyDescent="0.2">
      <c r="BJ49774" s="201"/>
    </row>
    <row r="49775" spans="62:62" x14ac:dyDescent="0.2">
      <c r="BJ49775" s="201"/>
    </row>
    <row r="49776" spans="62:62" x14ac:dyDescent="0.2">
      <c r="BJ49776" s="201"/>
    </row>
    <row r="49777" spans="62:62" x14ac:dyDescent="0.2">
      <c r="BJ49777" s="201"/>
    </row>
    <row r="49778" spans="62:62" x14ac:dyDescent="0.2">
      <c r="BJ49778" s="201"/>
    </row>
    <row r="49779" spans="62:62" x14ac:dyDescent="0.2">
      <c r="BJ49779" s="201"/>
    </row>
    <row r="49780" spans="62:62" x14ac:dyDescent="0.2">
      <c r="BJ49780" s="201"/>
    </row>
    <row r="49781" spans="62:62" x14ac:dyDescent="0.2">
      <c r="BJ49781" s="201"/>
    </row>
    <row r="49782" spans="62:62" x14ac:dyDescent="0.2">
      <c r="BJ49782" s="201"/>
    </row>
    <row r="49783" spans="62:62" x14ac:dyDescent="0.2">
      <c r="BJ49783" s="201"/>
    </row>
    <row r="49784" spans="62:62" x14ac:dyDescent="0.2">
      <c r="BJ49784" s="201"/>
    </row>
    <row r="49785" spans="62:62" x14ac:dyDescent="0.2">
      <c r="BJ49785" s="201"/>
    </row>
    <row r="49786" spans="62:62" x14ac:dyDescent="0.2">
      <c r="BJ49786" s="201"/>
    </row>
    <row r="49787" spans="62:62" x14ac:dyDescent="0.2">
      <c r="BJ49787" s="201"/>
    </row>
    <row r="49788" spans="62:62" x14ac:dyDescent="0.2">
      <c r="BJ49788" s="201"/>
    </row>
    <row r="49789" spans="62:62" x14ac:dyDescent="0.2">
      <c r="BJ49789" s="201"/>
    </row>
    <row r="49790" spans="62:62" x14ac:dyDescent="0.2">
      <c r="BJ49790" s="201"/>
    </row>
    <row r="49791" spans="62:62" x14ac:dyDescent="0.2">
      <c r="BJ49791" s="201"/>
    </row>
    <row r="49792" spans="62:62" x14ac:dyDescent="0.2">
      <c r="BJ49792" s="201"/>
    </row>
    <row r="49793" spans="62:62" x14ac:dyDescent="0.2">
      <c r="BJ49793" s="201"/>
    </row>
    <row r="49794" spans="62:62" x14ac:dyDescent="0.2">
      <c r="BJ49794" s="201"/>
    </row>
    <row r="49795" spans="62:62" x14ac:dyDescent="0.2">
      <c r="BJ49795" s="201"/>
    </row>
    <row r="49796" spans="62:62" x14ac:dyDescent="0.2">
      <c r="BJ49796" s="201"/>
    </row>
    <row r="49797" spans="62:62" x14ac:dyDescent="0.2">
      <c r="BJ49797" s="201"/>
    </row>
    <row r="49798" spans="62:62" x14ac:dyDescent="0.2">
      <c r="BJ49798" s="201"/>
    </row>
    <row r="49799" spans="62:62" x14ac:dyDescent="0.2">
      <c r="BJ49799" s="201"/>
    </row>
    <row r="49800" spans="62:62" x14ac:dyDescent="0.2">
      <c r="BJ49800" s="201"/>
    </row>
    <row r="49801" spans="62:62" x14ac:dyDescent="0.2">
      <c r="BJ49801" s="201"/>
    </row>
    <row r="49802" spans="62:62" x14ac:dyDescent="0.2">
      <c r="BJ49802" s="201"/>
    </row>
    <row r="49803" spans="62:62" x14ac:dyDescent="0.2">
      <c r="BJ49803" s="201"/>
    </row>
    <row r="49804" spans="62:62" x14ac:dyDescent="0.2">
      <c r="BJ49804" s="201"/>
    </row>
    <row r="49805" spans="62:62" x14ac:dyDescent="0.2">
      <c r="BJ49805" s="201"/>
    </row>
    <row r="49806" spans="62:62" x14ac:dyDescent="0.2">
      <c r="BJ49806" s="201"/>
    </row>
    <row r="49807" spans="62:62" x14ac:dyDescent="0.2">
      <c r="BJ49807" s="201"/>
    </row>
    <row r="49808" spans="62:62" x14ac:dyDescent="0.2">
      <c r="BJ49808" s="201"/>
    </row>
    <row r="49809" spans="62:62" x14ac:dyDescent="0.2">
      <c r="BJ49809" s="201"/>
    </row>
    <row r="49810" spans="62:62" x14ac:dyDescent="0.2">
      <c r="BJ49810" s="201"/>
    </row>
    <row r="49811" spans="62:62" x14ac:dyDescent="0.2">
      <c r="BJ49811" s="201"/>
    </row>
    <row r="49812" spans="62:62" x14ac:dyDescent="0.2">
      <c r="BJ49812" s="201"/>
    </row>
    <row r="49813" spans="62:62" x14ac:dyDescent="0.2">
      <c r="BJ49813" s="201"/>
    </row>
    <row r="49814" spans="62:62" x14ac:dyDescent="0.2">
      <c r="BJ49814" s="201"/>
    </row>
    <row r="49815" spans="62:62" x14ac:dyDescent="0.2">
      <c r="BJ49815" s="201"/>
    </row>
    <row r="49816" spans="62:62" x14ac:dyDescent="0.2">
      <c r="BJ49816" s="201"/>
    </row>
    <row r="49817" spans="62:62" x14ac:dyDescent="0.2">
      <c r="BJ49817" s="201"/>
    </row>
    <row r="49818" spans="62:62" x14ac:dyDescent="0.2">
      <c r="BJ49818" s="201"/>
    </row>
    <row r="49819" spans="62:62" x14ac:dyDescent="0.2">
      <c r="BJ49819" s="201"/>
    </row>
    <row r="49820" spans="62:62" x14ac:dyDescent="0.2">
      <c r="BJ49820" s="201"/>
    </row>
    <row r="49821" spans="62:62" x14ac:dyDescent="0.2">
      <c r="BJ49821" s="201"/>
    </row>
    <row r="49822" spans="62:62" x14ac:dyDescent="0.2">
      <c r="BJ49822" s="201"/>
    </row>
    <row r="49823" spans="62:62" x14ac:dyDescent="0.2">
      <c r="BJ49823" s="201"/>
    </row>
    <row r="49824" spans="62:62" x14ac:dyDescent="0.2">
      <c r="BJ49824" s="201"/>
    </row>
    <row r="49825" spans="62:62" x14ac:dyDescent="0.2">
      <c r="BJ49825" s="201"/>
    </row>
    <row r="49826" spans="62:62" x14ac:dyDescent="0.2">
      <c r="BJ49826" s="201"/>
    </row>
    <row r="49827" spans="62:62" x14ac:dyDescent="0.2">
      <c r="BJ49827" s="201"/>
    </row>
    <row r="49828" spans="62:62" x14ac:dyDescent="0.2">
      <c r="BJ49828" s="201"/>
    </row>
    <row r="49829" spans="62:62" x14ac:dyDescent="0.2">
      <c r="BJ49829" s="201"/>
    </row>
    <row r="49830" spans="62:62" x14ac:dyDescent="0.2">
      <c r="BJ49830" s="201"/>
    </row>
    <row r="49831" spans="62:62" x14ac:dyDescent="0.2">
      <c r="BJ49831" s="201"/>
    </row>
    <row r="49832" spans="62:62" x14ac:dyDescent="0.2">
      <c r="BJ49832" s="201"/>
    </row>
    <row r="49833" spans="62:62" x14ac:dyDescent="0.2">
      <c r="BJ49833" s="201"/>
    </row>
    <row r="49834" spans="62:62" x14ac:dyDescent="0.2">
      <c r="BJ49834" s="201"/>
    </row>
    <row r="49835" spans="62:62" x14ac:dyDescent="0.2">
      <c r="BJ49835" s="201"/>
    </row>
    <row r="49836" spans="62:62" x14ac:dyDescent="0.2">
      <c r="BJ49836" s="201"/>
    </row>
    <row r="49837" spans="62:62" x14ac:dyDescent="0.2">
      <c r="BJ49837" s="201"/>
    </row>
    <row r="49838" spans="62:62" x14ac:dyDescent="0.2">
      <c r="BJ49838" s="201"/>
    </row>
    <row r="49839" spans="62:62" x14ac:dyDescent="0.2">
      <c r="BJ49839" s="201"/>
    </row>
    <row r="49840" spans="62:62" x14ac:dyDescent="0.2">
      <c r="BJ49840" s="201"/>
    </row>
    <row r="49841" spans="62:62" x14ac:dyDescent="0.2">
      <c r="BJ49841" s="201"/>
    </row>
    <row r="49842" spans="62:62" x14ac:dyDescent="0.2">
      <c r="BJ49842" s="201"/>
    </row>
    <row r="49843" spans="62:62" x14ac:dyDescent="0.2">
      <c r="BJ49843" s="201"/>
    </row>
    <row r="49844" spans="62:62" x14ac:dyDescent="0.2">
      <c r="BJ49844" s="201"/>
    </row>
    <row r="49845" spans="62:62" x14ac:dyDescent="0.2">
      <c r="BJ49845" s="201"/>
    </row>
    <row r="49846" spans="62:62" x14ac:dyDescent="0.2">
      <c r="BJ49846" s="201"/>
    </row>
    <row r="49847" spans="62:62" x14ac:dyDescent="0.2">
      <c r="BJ49847" s="201"/>
    </row>
    <row r="49848" spans="62:62" x14ac:dyDescent="0.2">
      <c r="BJ49848" s="201"/>
    </row>
    <row r="49849" spans="62:62" x14ac:dyDescent="0.2">
      <c r="BJ49849" s="201"/>
    </row>
    <row r="49850" spans="62:62" x14ac:dyDescent="0.2">
      <c r="BJ49850" s="201"/>
    </row>
    <row r="49851" spans="62:62" x14ac:dyDescent="0.2">
      <c r="BJ49851" s="201"/>
    </row>
    <row r="49852" spans="62:62" x14ac:dyDescent="0.2">
      <c r="BJ49852" s="201"/>
    </row>
    <row r="49853" spans="62:62" x14ac:dyDescent="0.2">
      <c r="BJ49853" s="201"/>
    </row>
    <row r="49854" spans="62:62" x14ac:dyDescent="0.2">
      <c r="BJ49854" s="201"/>
    </row>
    <row r="49855" spans="62:62" x14ac:dyDescent="0.2">
      <c r="BJ49855" s="201"/>
    </row>
    <row r="49856" spans="62:62" x14ac:dyDescent="0.2">
      <c r="BJ49856" s="201"/>
    </row>
    <row r="49857" spans="62:62" x14ac:dyDescent="0.2">
      <c r="BJ49857" s="201"/>
    </row>
    <row r="49858" spans="62:62" x14ac:dyDescent="0.2">
      <c r="BJ49858" s="201"/>
    </row>
    <row r="49859" spans="62:62" x14ac:dyDescent="0.2">
      <c r="BJ49859" s="201"/>
    </row>
    <row r="49860" spans="62:62" x14ac:dyDescent="0.2">
      <c r="BJ49860" s="201"/>
    </row>
    <row r="49861" spans="62:62" x14ac:dyDescent="0.2">
      <c r="BJ49861" s="201"/>
    </row>
    <row r="49862" spans="62:62" x14ac:dyDescent="0.2">
      <c r="BJ49862" s="201"/>
    </row>
    <row r="49863" spans="62:62" x14ac:dyDescent="0.2">
      <c r="BJ49863" s="201"/>
    </row>
    <row r="49864" spans="62:62" x14ac:dyDescent="0.2">
      <c r="BJ49864" s="201"/>
    </row>
    <row r="49865" spans="62:62" x14ac:dyDescent="0.2">
      <c r="BJ49865" s="201"/>
    </row>
    <row r="49866" spans="62:62" x14ac:dyDescent="0.2">
      <c r="BJ49866" s="201"/>
    </row>
    <row r="49867" spans="62:62" x14ac:dyDescent="0.2">
      <c r="BJ49867" s="201"/>
    </row>
    <row r="49868" spans="62:62" x14ac:dyDescent="0.2">
      <c r="BJ49868" s="201"/>
    </row>
    <row r="49869" spans="62:62" x14ac:dyDescent="0.2">
      <c r="BJ49869" s="201"/>
    </row>
    <row r="49870" spans="62:62" x14ac:dyDescent="0.2">
      <c r="BJ49870" s="201"/>
    </row>
    <row r="49871" spans="62:62" x14ac:dyDescent="0.2">
      <c r="BJ49871" s="201"/>
    </row>
    <row r="49872" spans="62:62" x14ac:dyDescent="0.2">
      <c r="BJ49872" s="201"/>
    </row>
    <row r="49873" spans="62:62" x14ac:dyDescent="0.2">
      <c r="BJ49873" s="201"/>
    </row>
    <row r="49874" spans="62:62" x14ac:dyDescent="0.2">
      <c r="BJ49874" s="201"/>
    </row>
    <row r="49875" spans="62:62" x14ac:dyDescent="0.2">
      <c r="BJ49875" s="201"/>
    </row>
    <row r="49876" spans="62:62" x14ac:dyDescent="0.2">
      <c r="BJ49876" s="201"/>
    </row>
    <row r="49877" spans="62:62" x14ac:dyDescent="0.2">
      <c r="BJ49877" s="201"/>
    </row>
    <row r="49878" spans="62:62" x14ac:dyDescent="0.2">
      <c r="BJ49878" s="201"/>
    </row>
    <row r="49879" spans="62:62" x14ac:dyDescent="0.2">
      <c r="BJ49879" s="201"/>
    </row>
    <row r="49880" spans="62:62" x14ac:dyDescent="0.2">
      <c r="BJ49880" s="201"/>
    </row>
    <row r="49881" spans="62:62" x14ac:dyDescent="0.2">
      <c r="BJ49881" s="201"/>
    </row>
    <row r="49882" spans="62:62" x14ac:dyDescent="0.2">
      <c r="BJ49882" s="201"/>
    </row>
    <row r="49883" spans="62:62" x14ac:dyDescent="0.2">
      <c r="BJ49883" s="201"/>
    </row>
    <row r="49884" spans="62:62" x14ac:dyDescent="0.2">
      <c r="BJ49884" s="201"/>
    </row>
    <row r="49885" spans="62:62" x14ac:dyDescent="0.2">
      <c r="BJ49885" s="201"/>
    </row>
    <row r="49886" spans="62:62" x14ac:dyDescent="0.2">
      <c r="BJ49886" s="201"/>
    </row>
    <row r="49887" spans="62:62" x14ac:dyDescent="0.2">
      <c r="BJ49887" s="201"/>
    </row>
    <row r="49888" spans="62:62" x14ac:dyDescent="0.2">
      <c r="BJ49888" s="201"/>
    </row>
    <row r="49889" spans="62:62" x14ac:dyDescent="0.2">
      <c r="BJ49889" s="201"/>
    </row>
    <row r="49890" spans="62:62" x14ac:dyDescent="0.2">
      <c r="BJ49890" s="201"/>
    </row>
    <row r="49891" spans="62:62" x14ac:dyDescent="0.2">
      <c r="BJ49891" s="201"/>
    </row>
    <row r="49892" spans="62:62" x14ac:dyDescent="0.2">
      <c r="BJ49892" s="201"/>
    </row>
    <row r="49893" spans="62:62" x14ac:dyDescent="0.2">
      <c r="BJ49893" s="201"/>
    </row>
    <row r="49894" spans="62:62" x14ac:dyDescent="0.2">
      <c r="BJ49894" s="201"/>
    </row>
    <row r="49895" spans="62:62" x14ac:dyDescent="0.2">
      <c r="BJ49895" s="201"/>
    </row>
    <row r="49896" spans="62:62" x14ac:dyDescent="0.2">
      <c r="BJ49896" s="201"/>
    </row>
    <row r="49897" spans="62:62" x14ac:dyDescent="0.2">
      <c r="BJ49897" s="201"/>
    </row>
    <row r="49898" spans="62:62" x14ac:dyDescent="0.2">
      <c r="BJ49898" s="201"/>
    </row>
    <row r="49899" spans="62:62" x14ac:dyDescent="0.2">
      <c r="BJ49899" s="201"/>
    </row>
    <row r="49900" spans="62:62" x14ac:dyDescent="0.2">
      <c r="BJ49900" s="201"/>
    </row>
    <row r="49901" spans="62:62" x14ac:dyDescent="0.2">
      <c r="BJ49901" s="201"/>
    </row>
    <row r="49902" spans="62:62" x14ac:dyDescent="0.2">
      <c r="BJ49902" s="201"/>
    </row>
    <row r="49903" spans="62:62" x14ac:dyDescent="0.2">
      <c r="BJ49903" s="201"/>
    </row>
    <row r="49904" spans="62:62" x14ac:dyDescent="0.2">
      <c r="BJ49904" s="201"/>
    </row>
    <row r="49905" spans="62:62" x14ac:dyDescent="0.2">
      <c r="BJ49905" s="201"/>
    </row>
    <row r="49906" spans="62:62" x14ac:dyDescent="0.2">
      <c r="BJ49906" s="201"/>
    </row>
    <row r="49907" spans="62:62" x14ac:dyDescent="0.2">
      <c r="BJ49907" s="201"/>
    </row>
    <row r="49908" spans="62:62" x14ac:dyDescent="0.2">
      <c r="BJ49908" s="201"/>
    </row>
    <row r="49909" spans="62:62" x14ac:dyDescent="0.2">
      <c r="BJ49909" s="201"/>
    </row>
    <row r="49910" spans="62:62" x14ac:dyDescent="0.2">
      <c r="BJ49910" s="201"/>
    </row>
    <row r="49911" spans="62:62" x14ac:dyDescent="0.2">
      <c r="BJ49911" s="201"/>
    </row>
    <row r="49912" spans="62:62" x14ac:dyDescent="0.2">
      <c r="BJ49912" s="201"/>
    </row>
    <row r="49913" spans="62:62" x14ac:dyDescent="0.2">
      <c r="BJ49913" s="201"/>
    </row>
    <row r="49914" spans="62:62" x14ac:dyDescent="0.2">
      <c r="BJ49914" s="201"/>
    </row>
    <row r="49915" spans="62:62" x14ac:dyDescent="0.2">
      <c r="BJ49915" s="201"/>
    </row>
    <row r="49916" spans="62:62" x14ac:dyDescent="0.2">
      <c r="BJ49916" s="201"/>
    </row>
    <row r="49917" spans="62:62" x14ac:dyDescent="0.2">
      <c r="BJ49917" s="201"/>
    </row>
    <row r="49918" spans="62:62" x14ac:dyDescent="0.2">
      <c r="BJ49918" s="201"/>
    </row>
    <row r="49919" spans="62:62" x14ac:dyDescent="0.2">
      <c r="BJ49919" s="201"/>
    </row>
    <row r="49920" spans="62:62" x14ac:dyDescent="0.2">
      <c r="BJ49920" s="201"/>
    </row>
    <row r="49921" spans="62:62" x14ac:dyDescent="0.2">
      <c r="BJ49921" s="201"/>
    </row>
    <row r="49922" spans="62:62" x14ac:dyDescent="0.2">
      <c r="BJ49922" s="201"/>
    </row>
    <row r="49923" spans="62:62" x14ac:dyDescent="0.2">
      <c r="BJ49923" s="201"/>
    </row>
    <row r="49924" spans="62:62" x14ac:dyDescent="0.2">
      <c r="BJ49924" s="201"/>
    </row>
    <row r="49925" spans="62:62" x14ac:dyDescent="0.2">
      <c r="BJ49925" s="201"/>
    </row>
    <row r="49926" spans="62:62" x14ac:dyDescent="0.2">
      <c r="BJ49926" s="201"/>
    </row>
    <row r="49927" spans="62:62" x14ac:dyDescent="0.2">
      <c r="BJ49927" s="201"/>
    </row>
    <row r="49928" spans="62:62" x14ac:dyDescent="0.2">
      <c r="BJ49928" s="201"/>
    </row>
    <row r="49929" spans="62:62" x14ac:dyDescent="0.2">
      <c r="BJ49929" s="201"/>
    </row>
    <row r="49930" spans="62:62" x14ac:dyDescent="0.2">
      <c r="BJ49930" s="201"/>
    </row>
    <row r="49931" spans="62:62" x14ac:dyDescent="0.2">
      <c r="BJ49931" s="201"/>
    </row>
    <row r="49932" spans="62:62" x14ac:dyDescent="0.2">
      <c r="BJ49932" s="201"/>
    </row>
    <row r="49933" spans="62:62" x14ac:dyDescent="0.2">
      <c r="BJ49933" s="201"/>
    </row>
    <row r="49934" spans="62:62" x14ac:dyDescent="0.2">
      <c r="BJ49934" s="201"/>
    </row>
    <row r="49935" spans="62:62" x14ac:dyDescent="0.2">
      <c r="BJ49935" s="201"/>
    </row>
    <row r="49936" spans="62:62" x14ac:dyDescent="0.2">
      <c r="BJ49936" s="201"/>
    </row>
    <row r="49937" spans="62:62" x14ac:dyDescent="0.2">
      <c r="BJ49937" s="201"/>
    </row>
    <row r="49938" spans="62:62" x14ac:dyDescent="0.2">
      <c r="BJ49938" s="201"/>
    </row>
    <row r="49939" spans="62:62" x14ac:dyDescent="0.2">
      <c r="BJ49939" s="201"/>
    </row>
    <row r="49940" spans="62:62" x14ac:dyDescent="0.2">
      <c r="BJ49940" s="201"/>
    </row>
    <row r="49941" spans="62:62" x14ac:dyDescent="0.2">
      <c r="BJ49941" s="201"/>
    </row>
    <row r="49942" spans="62:62" x14ac:dyDescent="0.2">
      <c r="BJ49942" s="201"/>
    </row>
    <row r="49943" spans="62:62" x14ac:dyDescent="0.2">
      <c r="BJ49943" s="201"/>
    </row>
    <row r="49944" spans="62:62" x14ac:dyDescent="0.2">
      <c r="BJ49944" s="201"/>
    </row>
    <row r="49945" spans="62:62" x14ac:dyDescent="0.2">
      <c r="BJ49945" s="201"/>
    </row>
    <row r="49946" spans="62:62" x14ac:dyDescent="0.2">
      <c r="BJ49946" s="201"/>
    </row>
    <row r="49947" spans="62:62" x14ac:dyDescent="0.2">
      <c r="BJ49947" s="201"/>
    </row>
    <row r="49948" spans="62:62" x14ac:dyDescent="0.2">
      <c r="BJ49948" s="201"/>
    </row>
    <row r="49949" spans="62:62" x14ac:dyDescent="0.2">
      <c r="BJ49949" s="201"/>
    </row>
    <row r="49950" spans="62:62" x14ac:dyDescent="0.2">
      <c r="BJ49950" s="201"/>
    </row>
    <row r="49951" spans="62:62" x14ac:dyDescent="0.2">
      <c r="BJ49951" s="201"/>
    </row>
    <row r="49952" spans="62:62" x14ac:dyDescent="0.2">
      <c r="BJ49952" s="201"/>
    </row>
    <row r="49953" spans="62:62" x14ac:dyDescent="0.2">
      <c r="BJ49953" s="201"/>
    </row>
    <row r="49954" spans="62:62" x14ac:dyDescent="0.2">
      <c r="BJ49954" s="201"/>
    </row>
    <row r="49955" spans="62:62" x14ac:dyDescent="0.2">
      <c r="BJ49955" s="201"/>
    </row>
    <row r="49956" spans="62:62" x14ac:dyDescent="0.2">
      <c r="BJ49956" s="201"/>
    </row>
    <row r="49957" spans="62:62" x14ac:dyDescent="0.2">
      <c r="BJ49957" s="201"/>
    </row>
    <row r="49958" spans="62:62" x14ac:dyDescent="0.2">
      <c r="BJ49958" s="201"/>
    </row>
    <row r="49959" spans="62:62" x14ac:dyDescent="0.2">
      <c r="BJ49959" s="201"/>
    </row>
    <row r="49960" spans="62:62" x14ac:dyDescent="0.2">
      <c r="BJ49960" s="201"/>
    </row>
    <row r="49961" spans="62:62" x14ac:dyDescent="0.2">
      <c r="BJ49961" s="201"/>
    </row>
    <row r="49962" spans="62:62" x14ac:dyDescent="0.2">
      <c r="BJ49962" s="201"/>
    </row>
    <row r="49963" spans="62:62" x14ac:dyDescent="0.2">
      <c r="BJ49963" s="201"/>
    </row>
    <row r="49964" spans="62:62" x14ac:dyDescent="0.2">
      <c r="BJ49964" s="201"/>
    </row>
    <row r="49965" spans="62:62" x14ac:dyDescent="0.2">
      <c r="BJ49965" s="201"/>
    </row>
    <row r="49966" spans="62:62" x14ac:dyDescent="0.2">
      <c r="BJ49966" s="201"/>
    </row>
    <row r="49967" spans="62:62" x14ac:dyDescent="0.2">
      <c r="BJ49967" s="201"/>
    </row>
    <row r="49968" spans="62:62" x14ac:dyDescent="0.2">
      <c r="BJ49968" s="201"/>
    </row>
    <row r="49969" spans="62:62" x14ac:dyDescent="0.2">
      <c r="BJ49969" s="201"/>
    </row>
    <row r="49970" spans="62:62" x14ac:dyDescent="0.2">
      <c r="BJ49970" s="201"/>
    </row>
    <row r="49971" spans="62:62" x14ac:dyDescent="0.2">
      <c r="BJ49971" s="201"/>
    </row>
    <row r="49972" spans="62:62" x14ac:dyDescent="0.2">
      <c r="BJ49972" s="201"/>
    </row>
    <row r="49973" spans="62:62" x14ac:dyDescent="0.2">
      <c r="BJ49973" s="201"/>
    </row>
    <row r="49974" spans="62:62" x14ac:dyDescent="0.2">
      <c r="BJ49974" s="201"/>
    </row>
    <row r="49975" spans="62:62" x14ac:dyDescent="0.2">
      <c r="BJ49975" s="201"/>
    </row>
    <row r="49976" spans="62:62" x14ac:dyDescent="0.2">
      <c r="BJ49976" s="201"/>
    </row>
    <row r="49977" spans="62:62" x14ac:dyDescent="0.2">
      <c r="BJ49977" s="201"/>
    </row>
    <row r="49978" spans="62:62" x14ac:dyDescent="0.2">
      <c r="BJ49978" s="201"/>
    </row>
    <row r="49979" spans="62:62" x14ac:dyDescent="0.2">
      <c r="BJ49979" s="201"/>
    </row>
    <row r="49980" spans="62:62" x14ac:dyDescent="0.2">
      <c r="BJ49980" s="201"/>
    </row>
    <row r="49981" spans="62:62" x14ac:dyDescent="0.2">
      <c r="BJ49981" s="201"/>
    </row>
    <row r="49982" spans="62:62" x14ac:dyDescent="0.2">
      <c r="BJ49982" s="201"/>
    </row>
    <row r="49983" spans="62:62" x14ac:dyDescent="0.2">
      <c r="BJ49983" s="201"/>
    </row>
    <row r="49984" spans="62:62" x14ac:dyDescent="0.2">
      <c r="BJ49984" s="201"/>
    </row>
    <row r="49985" spans="62:62" x14ac:dyDescent="0.2">
      <c r="BJ49985" s="201"/>
    </row>
    <row r="49986" spans="62:62" x14ac:dyDescent="0.2">
      <c r="BJ49986" s="201"/>
    </row>
    <row r="49987" spans="62:62" x14ac:dyDescent="0.2">
      <c r="BJ49987" s="201"/>
    </row>
    <row r="49988" spans="62:62" x14ac:dyDescent="0.2">
      <c r="BJ49988" s="201"/>
    </row>
    <row r="49989" spans="62:62" x14ac:dyDescent="0.2">
      <c r="BJ49989" s="201"/>
    </row>
    <row r="49990" spans="62:62" x14ac:dyDescent="0.2">
      <c r="BJ49990" s="201"/>
    </row>
    <row r="49991" spans="62:62" x14ac:dyDescent="0.2">
      <c r="BJ49991" s="201"/>
    </row>
    <row r="49992" spans="62:62" x14ac:dyDescent="0.2">
      <c r="BJ49992" s="201"/>
    </row>
    <row r="49993" spans="62:62" x14ac:dyDescent="0.2">
      <c r="BJ49993" s="201"/>
    </row>
    <row r="49994" spans="62:62" x14ac:dyDescent="0.2">
      <c r="BJ49994" s="201"/>
    </row>
    <row r="49995" spans="62:62" x14ac:dyDescent="0.2">
      <c r="BJ49995" s="201"/>
    </row>
    <row r="49996" spans="62:62" x14ac:dyDescent="0.2">
      <c r="BJ49996" s="201"/>
    </row>
    <row r="49997" spans="62:62" x14ac:dyDescent="0.2">
      <c r="BJ49997" s="201"/>
    </row>
    <row r="49998" spans="62:62" x14ac:dyDescent="0.2">
      <c r="BJ49998" s="201"/>
    </row>
    <row r="49999" spans="62:62" x14ac:dyDescent="0.2">
      <c r="BJ49999" s="201"/>
    </row>
    <row r="50000" spans="62:62" x14ac:dyDescent="0.2">
      <c r="BJ50000" s="201"/>
    </row>
    <row r="50001" spans="62:62" x14ac:dyDescent="0.2">
      <c r="BJ50001" s="201"/>
    </row>
    <row r="50002" spans="62:62" x14ac:dyDescent="0.2">
      <c r="BJ50002" s="201"/>
    </row>
    <row r="50003" spans="62:62" x14ac:dyDescent="0.2">
      <c r="BJ50003" s="201"/>
    </row>
    <row r="50004" spans="62:62" x14ac:dyDescent="0.2">
      <c r="BJ50004" s="201"/>
    </row>
    <row r="50005" spans="62:62" x14ac:dyDescent="0.2">
      <c r="BJ50005" s="201"/>
    </row>
    <row r="50006" spans="62:62" x14ac:dyDescent="0.2">
      <c r="BJ50006" s="201"/>
    </row>
    <row r="50007" spans="62:62" x14ac:dyDescent="0.2">
      <c r="BJ50007" s="201"/>
    </row>
    <row r="50008" spans="62:62" x14ac:dyDescent="0.2">
      <c r="BJ50008" s="201"/>
    </row>
    <row r="50009" spans="62:62" x14ac:dyDescent="0.2">
      <c r="BJ50009" s="201"/>
    </row>
    <row r="50010" spans="62:62" x14ac:dyDescent="0.2">
      <c r="BJ50010" s="201"/>
    </row>
    <row r="50011" spans="62:62" x14ac:dyDescent="0.2">
      <c r="BJ50011" s="201"/>
    </row>
    <row r="50012" spans="62:62" x14ac:dyDescent="0.2">
      <c r="BJ50012" s="201"/>
    </row>
    <row r="50013" spans="62:62" x14ac:dyDescent="0.2">
      <c r="BJ50013" s="201"/>
    </row>
    <row r="50014" spans="62:62" x14ac:dyDescent="0.2">
      <c r="BJ50014" s="201"/>
    </row>
    <row r="50015" spans="62:62" x14ac:dyDescent="0.2">
      <c r="BJ50015" s="201"/>
    </row>
    <row r="50016" spans="62:62" x14ac:dyDescent="0.2">
      <c r="BJ50016" s="201"/>
    </row>
    <row r="50017" spans="62:62" x14ac:dyDescent="0.2">
      <c r="BJ50017" s="201"/>
    </row>
    <row r="50018" spans="62:62" x14ac:dyDescent="0.2">
      <c r="BJ50018" s="201"/>
    </row>
    <row r="50019" spans="62:62" x14ac:dyDescent="0.2">
      <c r="BJ50019" s="201"/>
    </row>
    <row r="50020" spans="62:62" x14ac:dyDescent="0.2">
      <c r="BJ50020" s="201"/>
    </row>
    <row r="50021" spans="62:62" x14ac:dyDescent="0.2">
      <c r="BJ50021" s="201"/>
    </row>
    <row r="50022" spans="62:62" x14ac:dyDescent="0.2">
      <c r="BJ50022" s="201"/>
    </row>
    <row r="50023" spans="62:62" x14ac:dyDescent="0.2">
      <c r="BJ50023" s="201"/>
    </row>
    <row r="50024" spans="62:62" x14ac:dyDescent="0.2">
      <c r="BJ50024" s="201"/>
    </row>
    <row r="50025" spans="62:62" x14ac:dyDescent="0.2">
      <c r="BJ50025" s="201"/>
    </row>
    <row r="50026" spans="62:62" x14ac:dyDescent="0.2">
      <c r="BJ50026" s="201"/>
    </row>
    <row r="50027" spans="62:62" x14ac:dyDescent="0.2">
      <c r="BJ50027" s="201"/>
    </row>
    <row r="50028" spans="62:62" x14ac:dyDescent="0.2">
      <c r="BJ50028" s="201"/>
    </row>
    <row r="50029" spans="62:62" x14ac:dyDescent="0.2">
      <c r="BJ50029" s="201"/>
    </row>
    <row r="50030" spans="62:62" x14ac:dyDescent="0.2">
      <c r="BJ50030" s="201"/>
    </row>
    <row r="50031" spans="62:62" x14ac:dyDescent="0.2">
      <c r="BJ50031" s="201"/>
    </row>
    <row r="50032" spans="62:62" x14ac:dyDescent="0.2">
      <c r="BJ50032" s="201"/>
    </row>
    <row r="50033" spans="62:62" x14ac:dyDescent="0.2">
      <c r="BJ50033" s="201"/>
    </row>
    <row r="50034" spans="62:62" x14ac:dyDescent="0.2">
      <c r="BJ50034" s="201"/>
    </row>
    <row r="50035" spans="62:62" x14ac:dyDescent="0.2">
      <c r="BJ50035" s="201"/>
    </row>
    <row r="50036" spans="62:62" x14ac:dyDescent="0.2">
      <c r="BJ50036" s="201"/>
    </row>
    <row r="50037" spans="62:62" x14ac:dyDescent="0.2">
      <c r="BJ50037" s="201"/>
    </row>
    <row r="50038" spans="62:62" x14ac:dyDescent="0.2">
      <c r="BJ50038" s="201"/>
    </row>
    <row r="50039" spans="62:62" x14ac:dyDescent="0.2">
      <c r="BJ50039" s="201"/>
    </row>
    <row r="50040" spans="62:62" x14ac:dyDescent="0.2">
      <c r="BJ50040" s="201"/>
    </row>
    <row r="50041" spans="62:62" x14ac:dyDescent="0.2">
      <c r="BJ50041" s="201"/>
    </row>
    <row r="50042" spans="62:62" x14ac:dyDescent="0.2">
      <c r="BJ50042" s="201"/>
    </row>
    <row r="50043" spans="62:62" x14ac:dyDescent="0.2">
      <c r="BJ50043" s="201"/>
    </row>
    <row r="50044" spans="62:62" x14ac:dyDescent="0.2">
      <c r="BJ50044" s="201"/>
    </row>
    <row r="50045" spans="62:62" x14ac:dyDescent="0.2">
      <c r="BJ50045" s="201"/>
    </row>
    <row r="50046" spans="62:62" x14ac:dyDescent="0.2">
      <c r="BJ50046" s="201"/>
    </row>
    <row r="50047" spans="62:62" x14ac:dyDescent="0.2">
      <c r="BJ50047" s="201"/>
    </row>
    <row r="50048" spans="62:62" x14ac:dyDescent="0.2">
      <c r="BJ50048" s="201"/>
    </row>
    <row r="50049" spans="62:62" x14ac:dyDescent="0.2">
      <c r="BJ50049" s="201"/>
    </row>
    <row r="50050" spans="62:62" x14ac:dyDescent="0.2">
      <c r="BJ50050" s="201"/>
    </row>
    <row r="50051" spans="62:62" x14ac:dyDescent="0.2">
      <c r="BJ50051" s="201"/>
    </row>
    <row r="50052" spans="62:62" x14ac:dyDescent="0.2">
      <c r="BJ50052" s="201"/>
    </row>
    <row r="50053" spans="62:62" x14ac:dyDescent="0.2">
      <c r="BJ50053" s="201"/>
    </row>
    <row r="50054" spans="62:62" x14ac:dyDescent="0.2">
      <c r="BJ50054" s="201"/>
    </row>
    <row r="50055" spans="62:62" x14ac:dyDescent="0.2">
      <c r="BJ50055" s="201"/>
    </row>
    <row r="50056" spans="62:62" x14ac:dyDescent="0.2">
      <c r="BJ50056" s="201"/>
    </row>
    <row r="50057" spans="62:62" x14ac:dyDescent="0.2">
      <c r="BJ50057" s="201"/>
    </row>
    <row r="50058" spans="62:62" x14ac:dyDescent="0.2">
      <c r="BJ50058" s="201"/>
    </row>
    <row r="50059" spans="62:62" x14ac:dyDescent="0.2">
      <c r="BJ50059" s="201"/>
    </row>
    <row r="50060" spans="62:62" x14ac:dyDescent="0.2">
      <c r="BJ50060" s="201"/>
    </row>
    <row r="50061" spans="62:62" x14ac:dyDescent="0.2">
      <c r="BJ50061" s="201"/>
    </row>
    <row r="50062" spans="62:62" x14ac:dyDescent="0.2">
      <c r="BJ50062" s="201"/>
    </row>
    <row r="50063" spans="62:62" x14ac:dyDescent="0.2">
      <c r="BJ50063" s="201"/>
    </row>
    <row r="50064" spans="62:62" x14ac:dyDescent="0.2">
      <c r="BJ50064" s="201"/>
    </row>
    <row r="50065" spans="62:62" x14ac:dyDescent="0.2">
      <c r="BJ50065" s="201"/>
    </row>
    <row r="50066" spans="62:62" x14ac:dyDescent="0.2">
      <c r="BJ50066" s="201"/>
    </row>
    <row r="50067" spans="62:62" x14ac:dyDescent="0.2">
      <c r="BJ50067" s="201"/>
    </row>
    <row r="50068" spans="62:62" x14ac:dyDescent="0.2">
      <c r="BJ50068" s="201"/>
    </row>
    <row r="50069" spans="62:62" x14ac:dyDescent="0.2">
      <c r="BJ50069" s="201"/>
    </row>
    <row r="50070" spans="62:62" x14ac:dyDescent="0.2">
      <c r="BJ50070" s="201"/>
    </row>
    <row r="50071" spans="62:62" x14ac:dyDescent="0.2">
      <c r="BJ50071" s="201"/>
    </row>
    <row r="50072" spans="62:62" x14ac:dyDescent="0.2">
      <c r="BJ50072" s="201"/>
    </row>
    <row r="50073" spans="62:62" x14ac:dyDescent="0.2">
      <c r="BJ50073" s="201"/>
    </row>
    <row r="50074" spans="62:62" x14ac:dyDescent="0.2">
      <c r="BJ50074" s="201"/>
    </row>
    <row r="50075" spans="62:62" x14ac:dyDescent="0.2">
      <c r="BJ50075" s="201"/>
    </row>
    <row r="50076" spans="62:62" x14ac:dyDescent="0.2">
      <c r="BJ50076" s="201"/>
    </row>
    <row r="50077" spans="62:62" x14ac:dyDescent="0.2">
      <c r="BJ50077" s="201"/>
    </row>
    <row r="50078" spans="62:62" x14ac:dyDescent="0.2">
      <c r="BJ50078" s="201"/>
    </row>
    <row r="50079" spans="62:62" x14ac:dyDescent="0.2">
      <c r="BJ50079" s="201"/>
    </row>
    <row r="50080" spans="62:62" x14ac:dyDescent="0.2">
      <c r="BJ50080" s="201"/>
    </row>
    <row r="50081" spans="62:62" x14ac:dyDescent="0.2">
      <c r="BJ50081" s="201"/>
    </row>
    <row r="50082" spans="62:62" x14ac:dyDescent="0.2">
      <c r="BJ50082" s="201"/>
    </row>
    <row r="50083" spans="62:62" x14ac:dyDescent="0.2">
      <c r="BJ50083" s="201"/>
    </row>
    <row r="50084" spans="62:62" x14ac:dyDescent="0.2">
      <c r="BJ50084" s="201"/>
    </row>
    <row r="50085" spans="62:62" x14ac:dyDescent="0.2">
      <c r="BJ50085" s="201"/>
    </row>
    <row r="50086" spans="62:62" x14ac:dyDescent="0.2">
      <c r="BJ50086" s="201"/>
    </row>
    <row r="50087" spans="62:62" x14ac:dyDescent="0.2">
      <c r="BJ50087" s="201"/>
    </row>
    <row r="50088" spans="62:62" x14ac:dyDescent="0.2">
      <c r="BJ50088" s="201"/>
    </row>
    <row r="50089" spans="62:62" x14ac:dyDescent="0.2">
      <c r="BJ50089" s="201"/>
    </row>
    <row r="50090" spans="62:62" x14ac:dyDescent="0.2">
      <c r="BJ50090" s="201"/>
    </row>
    <row r="50091" spans="62:62" x14ac:dyDescent="0.2">
      <c r="BJ50091" s="201"/>
    </row>
    <row r="50092" spans="62:62" x14ac:dyDescent="0.2">
      <c r="BJ50092" s="201"/>
    </row>
    <row r="50093" spans="62:62" x14ac:dyDescent="0.2">
      <c r="BJ50093" s="201"/>
    </row>
    <row r="50094" spans="62:62" x14ac:dyDescent="0.2">
      <c r="BJ50094" s="201"/>
    </row>
    <row r="50095" spans="62:62" x14ac:dyDescent="0.2">
      <c r="BJ50095" s="201"/>
    </row>
    <row r="50096" spans="62:62" x14ac:dyDescent="0.2">
      <c r="BJ50096" s="201"/>
    </row>
    <row r="50097" spans="62:62" x14ac:dyDescent="0.2">
      <c r="BJ50097" s="201"/>
    </row>
    <row r="50098" spans="62:62" x14ac:dyDescent="0.2">
      <c r="BJ50098" s="201"/>
    </row>
    <row r="50099" spans="62:62" x14ac:dyDescent="0.2">
      <c r="BJ50099" s="201"/>
    </row>
    <row r="50100" spans="62:62" x14ac:dyDescent="0.2">
      <c r="BJ50100" s="201"/>
    </row>
    <row r="50101" spans="62:62" x14ac:dyDescent="0.2">
      <c r="BJ50101" s="201"/>
    </row>
    <row r="50102" spans="62:62" x14ac:dyDescent="0.2">
      <c r="BJ50102" s="201"/>
    </row>
    <row r="50103" spans="62:62" x14ac:dyDescent="0.2">
      <c r="BJ50103" s="201"/>
    </row>
    <row r="50104" spans="62:62" x14ac:dyDescent="0.2">
      <c r="BJ50104" s="201"/>
    </row>
    <row r="50105" spans="62:62" x14ac:dyDescent="0.2">
      <c r="BJ50105" s="201"/>
    </row>
    <row r="50106" spans="62:62" x14ac:dyDescent="0.2">
      <c r="BJ50106" s="201"/>
    </row>
    <row r="50107" spans="62:62" x14ac:dyDescent="0.2">
      <c r="BJ50107" s="201"/>
    </row>
    <row r="50108" spans="62:62" x14ac:dyDescent="0.2">
      <c r="BJ50108" s="201"/>
    </row>
    <row r="50109" spans="62:62" x14ac:dyDescent="0.2">
      <c r="BJ50109" s="201"/>
    </row>
    <row r="50110" spans="62:62" x14ac:dyDescent="0.2">
      <c r="BJ50110" s="201"/>
    </row>
    <row r="50111" spans="62:62" x14ac:dyDescent="0.2">
      <c r="BJ50111" s="201"/>
    </row>
    <row r="50112" spans="62:62" x14ac:dyDescent="0.2">
      <c r="BJ50112" s="201"/>
    </row>
    <row r="50113" spans="62:62" x14ac:dyDescent="0.2">
      <c r="BJ50113" s="201"/>
    </row>
    <row r="50114" spans="62:62" x14ac:dyDescent="0.2">
      <c r="BJ50114" s="201"/>
    </row>
    <row r="50115" spans="62:62" x14ac:dyDescent="0.2">
      <c r="BJ50115" s="201"/>
    </row>
    <row r="50116" spans="62:62" x14ac:dyDescent="0.2">
      <c r="BJ50116" s="201"/>
    </row>
    <row r="50117" spans="62:62" x14ac:dyDescent="0.2">
      <c r="BJ50117" s="201"/>
    </row>
    <row r="50118" spans="62:62" x14ac:dyDescent="0.2">
      <c r="BJ50118" s="201"/>
    </row>
    <row r="50119" spans="62:62" x14ac:dyDescent="0.2">
      <c r="BJ50119" s="201"/>
    </row>
    <row r="50120" spans="62:62" x14ac:dyDescent="0.2">
      <c r="BJ50120" s="201"/>
    </row>
    <row r="50121" spans="62:62" x14ac:dyDescent="0.2">
      <c r="BJ50121" s="201"/>
    </row>
    <row r="50122" spans="62:62" x14ac:dyDescent="0.2">
      <c r="BJ50122" s="201"/>
    </row>
    <row r="50123" spans="62:62" x14ac:dyDescent="0.2">
      <c r="BJ50123" s="201"/>
    </row>
    <row r="50124" spans="62:62" x14ac:dyDescent="0.2">
      <c r="BJ50124" s="201"/>
    </row>
    <row r="50125" spans="62:62" x14ac:dyDescent="0.2">
      <c r="BJ50125" s="201"/>
    </row>
    <row r="50126" spans="62:62" x14ac:dyDescent="0.2">
      <c r="BJ50126" s="201"/>
    </row>
    <row r="50127" spans="62:62" x14ac:dyDescent="0.2">
      <c r="BJ50127" s="201"/>
    </row>
    <row r="50128" spans="62:62" x14ac:dyDescent="0.2">
      <c r="BJ50128" s="201"/>
    </row>
    <row r="50129" spans="62:62" x14ac:dyDescent="0.2">
      <c r="BJ50129" s="201"/>
    </row>
    <row r="50130" spans="62:62" x14ac:dyDescent="0.2">
      <c r="BJ50130" s="201"/>
    </row>
    <row r="50131" spans="62:62" x14ac:dyDescent="0.2">
      <c r="BJ50131" s="201"/>
    </row>
    <row r="50132" spans="62:62" x14ac:dyDescent="0.2">
      <c r="BJ50132" s="201"/>
    </row>
    <row r="50133" spans="62:62" x14ac:dyDescent="0.2">
      <c r="BJ50133" s="201"/>
    </row>
    <row r="50134" spans="62:62" x14ac:dyDescent="0.2">
      <c r="BJ50134" s="201"/>
    </row>
    <row r="50135" spans="62:62" x14ac:dyDescent="0.2">
      <c r="BJ50135" s="201"/>
    </row>
    <row r="50136" spans="62:62" x14ac:dyDescent="0.2">
      <c r="BJ50136" s="201"/>
    </row>
    <row r="50137" spans="62:62" x14ac:dyDescent="0.2">
      <c r="BJ50137" s="201"/>
    </row>
    <row r="50138" spans="62:62" x14ac:dyDescent="0.2">
      <c r="BJ50138" s="201"/>
    </row>
    <row r="50139" spans="62:62" x14ac:dyDescent="0.2">
      <c r="BJ50139" s="201"/>
    </row>
    <row r="50140" spans="62:62" x14ac:dyDescent="0.2">
      <c r="BJ50140" s="201"/>
    </row>
    <row r="50141" spans="62:62" x14ac:dyDescent="0.2">
      <c r="BJ50141" s="201"/>
    </row>
    <row r="50142" spans="62:62" x14ac:dyDescent="0.2">
      <c r="BJ50142" s="201"/>
    </row>
    <row r="50143" spans="62:62" x14ac:dyDescent="0.2">
      <c r="BJ50143" s="201"/>
    </row>
    <row r="50144" spans="62:62" x14ac:dyDescent="0.2">
      <c r="BJ50144" s="201"/>
    </row>
    <row r="50145" spans="62:62" x14ac:dyDescent="0.2">
      <c r="BJ50145" s="201"/>
    </row>
    <row r="50146" spans="62:62" x14ac:dyDescent="0.2">
      <c r="BJ50146" s="201"/>
    </row>
    <row r="50147" spans="62:62" x14ac:dyDescent="0.2">
      <c r="BJ50147" s="201"/>
    </row>
    <row r="50148" spans="62:62" x14ac:dyDescent="0.2">
      <c r="BJ50148" s="201"/>
    </row>
    <row r="50149" spans="62:62" x14ac:dyDescent="0.2">
      <c r="BJ50149" s="201"/>
    </row>
    <row r="50150" spans="62:62" x14ac:dyDescent="0.2">
      <c r="BJ50150" s="201"/>
    </row>
    <row r="50151" spans="62:62" x14ac:dyDescent="0.2">
      <c r="BJ50151" s="201"/>
    </row>
    <row r="50152" spans="62:62" x14ac:dyDescent="0.2">
      <c r="BJ50152" s="201"/>
    </row>
    <row r="50153" spans="62:62" x14ac:dyDescent="0.2">
      <c r="BJ50153" s="201"/>
    </row>
    <row r="50154" spans="62:62" x14ac:dyDescent="0.2">
      <c r="BJ50154" s="201"/>
    </row>
    <row r="50155" spans="62:62" x14ac:dyDescent="0.2">
      <c r="BJ50155" s="201"/>
    </row>
    <row r="50156" spans="62:62" x14ac:dyDescent="0.2">
      <c r="BJ50156" s="201"/>
    </row>
    <row r="50157" spans="62:62" x14ac:dyDescent="0.2">
      <c r="BJ50157" s="201"/>
    </row>
    <row r="50158" spans="62:62" x14ac:dyDescent="0.2">
      <c r="BJ50158" s="201"/>
    </row>
    <row r="50159" spans="62:62" x14ac:dyDescent="0.2">
      <c r="BJ50159" s="201"/>
    </row>
    <row r="50160" spans="62:62" x14ac:dyDescent="0.2">
      <c r="BJ50160" s="201"/>
    </row>
    <row r="50161" spans="62:62" x14ac:dyDescent="0.2">
      <c r="BJ50161" s="201"/>
    </row>
    <row r="50162" spans="62:62" x14ac:dyDescent="0.2">
      <c r="BJ50162" s="201"/>
    </row>
    <row r="50163" spans="62:62" x14ac:dyDescent="0.2">
      <c r="BJ50163" s="201"/>
    </row>
    <row r="50164" spans="62:62" x14ac:dyDescent="0.2">
      <c r="BJ50164" s="201"/>
    </row>
    <row r="50165" spans="62:62" x14ac:dyDescent="0.2">
      <c r="BJ50165" s="201"/>
    </row>
    <row r="50166" spans="62:62" x14ac:dyDescent="0.2">
      <c r="BJ50166" s="201"/>
    </row>
    <row r="50167" spans="62:62" x14ac:dyDescent="0.2">
      <c r="BJ50167" s="201"/>
    </row>
    <row r="50168" spans="62:62" x14ac:dyDescent="0.2">
      <c r="BJ50168" s="201"/>
    </row>
    <row r="50169" spans="62:62" x14ac:dyDescent="0.2">
      <c r="BJ50169" s="201"/>
    </row>
    <row r="50170" spans="62:62" x14ac:dyDescent="0.2">
      <c r="BJ50170" s="201"/>
    </row>
    <row r="50171" spans="62:62" x14ac:dyDescent="0.2">
      <c r="BJ50171" s="201"/>
    </row>
    <row r="50172" spans="62:62" x14ac:dyDescent="0.2">
      <c r="BJ50172" s="201"/>
    </row>
    <row r="50173" spans="62:62" x14ac:dyDescent="0.2">
      <c r="BJ50173" s="201"/>
    </row>
    <row r="50174" spans="62:62" x14ac:dyDescent="0.2">
      <c r="BJ50174" s="201"/>
    </row>
    <row r="50175" spans="62:62" x14ac:dyDescent="0.2">
      <c r="BJ50175" s="201"/>
    </row>
    <row r="50176" spans="62:62" x14ac:dyDescent="0.2">
      <c r="BJ50176" s="201"/>
    </row>
    <row r="50177" spans="62:62" x14ac:dyDescent="0.2">
      <c r="BJ50177" s="201"/>
    </row>
    <row r="50178" spans="62:62" x14ac:dyDescent="0.2">
      <c r="BJ50178" s="201"/>
    </row>
    <row r="50179" spans="62:62" x14ac:dyDescent="0.2">
      <c r="BJ50179" s="201"/>
    </row>
    <row r="50180" spans="62:62" x14ac:dyDescent="0.2">
      <c r="BJ50180" s="201"/>
    </row>
    <row r="50181" spans="62:62" x14ac:dyDescent="0.2">
      <c r="BJ50181" s="201"/>
    </row>
    <row r="50182" spans="62:62" x14ac:dyDescent="0.2">
      <c r="BJ50182" s="201"/>
    </row>
    <row r="50183" spans="62:62" x14ac:dyDescent="0.2">
      <c r="BJ50183" s="201"/>
    </row>
    <row r="50184" spans="62:62" x14ac:dyDescent="0.2">
      <c r="BJ50184" s="201"/>
    </row>
    <row r="50185" spans="62:62" x14ac:dyDescent="0.2">
      <c r="BJ50185" s="201"/>
    </row>
    <row r="50186" spans="62:62" x14ac:dyDescent="0.2">
      <c r="BJ50186" s="201"/>
    </row>
    <row r="50187" spans="62:62" x14ac:dyDescent="0.2">
      <c r="BJ50187" s="201"/>
    </row>
    <row r="50188" spans="62:62" x14ac:dyDescent="0.2">
      <c r="BJ50188" s="201"/>
    </row>
    <row r="50189" spans="62:62" x14ac:dyDescent="0.2">
      <c r="BJ50189" s="201"/>
    </row>
    <row r="50190" spans="62:62" x14ac:dyDescent="0.2">
      <c r="BJ50190" s="201"/>
    </row>
    <row r="50191" spans="62:62" x14ac:dyDescent="0.2">
      <c r="BJ50191" s="201"/>
    </row>
    <row r="50192" spans="62:62" x14ac:dyDescent="0.2">
      <c r="BJ50192" s="201"/>
    </row>
    <row r="50193" spans="62:62" x14ac:dyDescent="0.2">
      <c r="BJ50193" s="201"/>
    </row>
    <row r="50194" spans="62:62" x14ac:dyDescent="0.2">
      <c r="BJ50194" s="201"/>
    </row>
    <row r="50195" spans="62:62" x14ac:dyDescent="0.2">
      <c r="BJ50195" s="201"/>
    </row>
    <row r="50196" spans="62:62" x14ac:dyDescent="0.2">
      <c r="BJ50196" s="201"/>
    </row>
    <row r="50197" spans="62:62" x14ac:dyDescent="0.2">
      <c r="BJ50197" s="201"/>
    </row>
    <row r="50198" spans="62:62" x14ac:dyDescent="0.2">
      <c r="BJ50198" s="201"/>
    </row>
    <row r="50199" spans="62:62" x14ac:dyDescent="0.2">
      <c r="BJ50199" s="201"/>
    </row>
    <row r="50200" spans="62:62" x14ac:dyDescent="0.2">
      <c r="BJ50200" s="201"/>
    </row>
    <row r="50201" spans="62:62" x14ac:dyDescent="0.2">
      <c r="BJ50201" s="201"/>
    </row>
    <row r="50202" spans="62:62" x14ac:dyDescent="0.2">
      <c r="BJ50202" s="201"/>
    </row>
    <row r="50203" spans="62:62" x14ac:dyDescent="0.2">
      <c r="BJ50203" s="201"/>
    </row>
    <row r="50204" spans="62:62" x14ac:dyDescent="0.2">
      <c r="BJ50204" s="201"/>
    </row>
    <row r="50205" spans="62:62" x14ac:dyDescent="0.2">
      <c r="BJ50205" s="201"/>
    </row>
    <row r="50206" spans="62:62" x14ac:dyDescent="0.2">
      <c r="BJ50206" s="201"/>
    </row>
    <row r="50207" spans="62:62" x14ac:dyDescent="0.2">
      <c r="BJ50207" s="201"/>
    </row>
    <row r="50208" spans="62:62" x14ac:dyDescent="0.2">
      <c r="BJ50208" s="201"/>
    </row>
    <row r="50209" spans="62:62" x14ac:dyDescent="0.2">
      <c r="BJ50209" s="201"/>
    </row>
    <row r="50210" spans="62:62" x14ac:dyDescent="0.2">
      <c r="BJ50210" s="201"/>
    </row>
    <row r="50211" spans="62:62" x14ac:dyDescent="0.2">
      <c r="BJ50211" s="201"/>
    </row>
    <row r="50212" spans="62:62" x14ac:dyDescent="0.2">
      <c r="BJ50212" s="201"/>
    </row>
    <row r="50213" spans="62:62" x14ac:dyDescent="0.2">
      <c r="BJ50213" s="201"/>
    </row>
    <row r="50214" spans="62:62" x14ac:dyDescent="0.2">
      <c r="BJ50214" s="201"/>
    </row>
    <row r="50215" spans="62:62" x14ac:dyDescent="0.2">
      <c r="BJ50215" s="201"/>
    </row>
    <row r="50216" spans="62:62" x14ac:dyDescent="0.2">
      <c r="BJ50216" s="201"/>
    </row>
    <row r="50217" spans="62:62" x14ac:dyDescent="0.2">
      <c r="BJ50217" s="201"/>
    </row>
    <row r="50218" spans="62:62" x14ac:dyDescent="0.2">
      <c r="BJ50218" s="201"/>
    </row>
    <row r="50219" spans="62:62" x14ac:dyDescent="0.2">
      <c r="BJ50219" s="201"/>
    </row>
    <row r="50220" spans="62:62" x14ac:dyDescent="0.2">
      <c r="BJ50220" s="201"/>
    </row>
    <row r="50221" spans="62:62" x14ac:dyDescent="0.2">
      <c r="BJ50221" s="201"/>
    </row>
    <row r="50222" spans="62:62" x14ac:dyDescent="0.2">
      <c r="BJ50222" s="201"/>
    </row>
    <row r="50223" spans="62:62" x14ac:dyDescent="0.2">
      <c r="BJ50223" s="201"/>
    </row>
    <row r="50224" spans="62:62" x14ac:dyDescent="0.2">
      <c r="BJ50224" s="201"/>
    </row>
    <row r="50225" spans="62:62" x14ac:dyDescent="0.2">
      <c r="BJ50225" s="201"/>
    </row>
    <row r="50226" spans="62:62" x14ac:dyDescent="0.2">
      <c r="BJ50226" s="201"/>
    </row>
    <row r="50227" spans="62:62" x14ac:dyDescent="0.2">
      <c r="BJ50227" s="201"/>
    </row>
    <row r="50228" spans="62:62" x14ac:dyDescent="0.2">
      <c r="BJ50228" s="201"/>
    </row>
    <row r="50229" spans="62:62" x14ac:dyDescent="0.2">
      <c r="BJ50229" s="201"/>
    </row>
    <row r="50230" spans="62:62" x14ac:dyDescent="0.2">
      <c r="BJ50230" s="201"/>
    </row>
    <row r="50231" spans="62:62" x14ac:dyDescent="0.2">
      <c r="BJ50231" s="201"/>
    </row>
    <row r="50232" spans="62:62" x14ac:dyDescent="0.2">
      <c r="BJ50232" s="201"/>
    </row>
    <row r="50233" spans="62:62" x14ac:dyDescent="0.2">
      <c r="BJ50233" s="201"/>
    </row>
    <row r="50234" spans="62:62" x14ac:dyDescent="0.2">
      <c r="BJ50234" s="201"/>
    </row>
    <row r="50235" spans="62:62" x14ac:dyDescent="0.2">
      <c r="BJ50235" s="201"/>
    </row>
    <row r="50236" spans="62:62" x14ac:dyDescent="0.2">
      <c r="BJ50236" s="201"/>
    </row>
    <row r="50237" spans="62:62" x14ac:dyDescent="0.2">
      <c r="BJ50237" s="201"/>
    </row>
    <row r="50238" spans="62:62" x14ac:dyDescent="0.2">
      <c r="BJ50238" s="201"/>
    </row>
    <row r="50239" spans="62:62" x14ac:dyDescent="0.2">
      <c r="BJ50239" s="201"/>
    </row>
    <row r="50240" spans="62:62" x14ac:dyDescent="0.2">
      <c r="BJ50240" s="201"/>
    </row>
    <row r="50241" spans="62:62" x14ac:dyDescent="0.2">
      <c r="BJ50241" s="201"/>
    </row>
    <row r="50242" spans="62:62" x14ac:dyDescent="0.2">
      <c r="BJ50242" s="201"/>
    </row>
    <row r="50243" spans="62:62" x14ac:dyDescent="0.2">
      <c r="BJ50243" s="201"/>
    </row>
    <row r="50244" spans="62:62" x14ac:dyDescent="0.2">
      <c r="BJ50244" s="201"/>
    </row>
    <row r="50245" spans="62:62" x14ac:dyDescent="0.2">
      <c r="BJ50245" s="201"/>
    </row>
    <row r="50246" spans="62:62" x14ac:dyDescent="0.2">
      <c r="BJ50246" s="201"/>
    </row>
    <row r="50247" spans="62:62" x14ac:dyDescent="0.2">
      <c r="BJ50247" s="201"/>
    </row>
    <row r="50248" spans="62:62" x14ac:dyDescent="0.2">
      <c r="BJ50248" s="201"/>
    </row>
    <row r="50249" spans="62:62" x14ac:dyDescent="0.2">
      <c r="BJ50249" s="201"/>
    </row>
    <row r="50250" spans="62:62" x14ac:dyDescent="0.2">
      <c r="BJ50250" s="201"/>
    </row>
    <row r="50251" spans="62:62" x14ac:dyDescent="0.2">
      <c r="BJ50251" s="201"/>
    </row>
    <row r="50252" spans="62:62" x14ac:dyDescent="0.2">
      <c r="BJ50252" s="201"/>
    </row>
    <row r="50253" spans="62:62" x14ac:dyDescent="0.2">
      <c r="BJ50253" s="201"/>
    </row>
    <row r="50254" spans="62:62" x14ac:dyDescent="0.2">
      <c r="BJ50254" s="201"/>
    </row>
    <row r="50255" spans="62:62" x14ac:dyDescent="0.2">
      <c r="BJ50255" s="201"/>
    </row>
    <row r="50256" spans="62:62" x14ac:dyDescent="0.2">
      <c r="BJ50256" s="201"/>
    </row>
    <row r="50257" spans="62:62" x14ac:dyDescent="0.2">
      <c r="BJ50257" s="201"/>
    </row>
    <row r="50258" spans="62:62" x14ac:dyDescent="0.2">
      <c r="BJ50258" s="201"/>
    </row>
    <row r="50259" spans="62:62" x14ac:dyDescent="0.2">
      <c r="BJ50259" s="201"/>
    </row>
    <row r="50260" spans="62:62" x14ac:dyDescent="0.2">
      <c r="BJ50260" s="201"/>
    </row>
    <row r="50261" spans="62:62" x14ac:dyDescent="0.2">
      <c r="BJ50261" s="201"/>
    </row>
    <row r="50262" spans="62:62" x14ac:dyDescent="0.2">
      <c r="BJ50262" s="201"/>
    </row>
    <row r="50263" spans="62:62" x14ac:dyDescent="0.2">
      <c r="BJ50263" s="201"/>
    </row>
    <row r="50264" spans="62:62" x14ac:dyDescent="0.2">
      <c r="BJ50264" s="201"/>
    </row>
    <row r="50265" spans="62:62" x14ac:dyDescent="0.2">
      <c r="BJ50265" s="201"/>
    </row>
    <row r="50266" spans="62:62" x14ac:dyDescent="0.2">
      <c r="BJ50266" s="201"/>
    </row>
    <row r="50267" spans="62:62" x14ac:dyDescent="0.2">
      <c r="BJ50267" s="201"/>
    </row>
    <row r="50268" spans="62:62" x14ac:dyDescent="0.2">
      <c r="BJ50268" s="201"/>
    </row>
    <row r="50269" spans="62:62" x14ac:dyDescent="0.2">
      <c r="BJ50269" s="201"/>
    </row>
    <row r="50270" spans="62:62" x14ac:dyDescent="0.2">
      <c r="BJ50270" s="201"/>
    </row>
    <row r="50271" spans="62:62" x14ac:dyDescent="0.2">
      <c r="BJ50271" s="201"/>
    </row>
    <row r="50272" spans="62:62" x14ac:dyDescent="0.2">
      <c r="BJ50272" s="201"/>
    </row>
    <row r="50273" spans="62:62" x14ac:dyDescent="0.2">
      <c r="BJ50273" s="201"/>
    </row>
    <row r="50274" spans="62:62" x14ac:dyDescent="0.2">
      <c r="BJ50274" s="201"/>
    </row>
    <row r="50275" spans="62:62" x14ac:dyDescent="0.2">
      <c r="BJ50275" s="201"/>
    </row>
    <row r="50276" spans="62:62" x14ac:dyDescent="0.2">
      <c r="BJ50276" s="201"/>
    </row>
    <row r="50277" spans="62:62" x14ac:dyDescent="0.2">
      <c r="BJ50277" s="201"/>
    </row>
    <row r="50278" spans="62:62" x14ac:dyDescent="0.2">
      <c r="BJ50278" s="201"/>
    </row>
    <row r="50279" spans="62:62" x14ac:dyDescent="0.2">
      <c r="BJ50279" s="201"/>
    </row>
    <row r="50280" spans="62:62" x14ac:dyDescent="0.2">
      <c r="BJ50280" s="201"/>
    </row>
    <row r="50281" spans="62:62" x14ac:dyDescent="0.2">
      <c r="BJ50281" s="201"/>
    </row>
    <row r="50282" spans="62:62" x14ac:dyDescent="0.2">
      <c r="BJ50282" s="201"/>
    </row>
    <row r="50283" spans="62:62" x14ac:dyDescent="0.2">
      <c r="BJ50283" s="201"/>
    </row>
    <row r="50284" spans="62:62" x14ac:dyDescent="0.2">
      <c r="BJ50284" s="201"/>
    </row>
    <row r="50285" spans="62:62" x14ac:dyDescent="0.2">
      <c r="BJ50285" s="201"/>
    </row>
    <row r="50286" spans="62:62" x14ac:dyDescent="0.2">
      <c r="BJ50286" s="201"/>
    </row>
    <row r="50287" spans="62:62" x14ac:dyDescent="0.2">
      <c r="BJ50287" s="201"/>
    </row>
    <row r="50288" spans="62:62" x14ac:dyDescent="0.2">
      <c r="BJ50288" s="201"/>
    </row>
    <row r="50289" spans="62:62" x14ac:dyDescent="0.2">
      <c r="BJ50289" s="201"/>
    </row>
    <row r="50290" spans="62:62" x14ac:dyDescent="0.2">
      <c r="BJ50290" s="201"/>
    </row>
    <row r="50291" spans="62:62" x14ac:dyDescent="0.2">
      <c r="BJ50291" s="201"/>
    </row>
    <row r="50292" spans="62:62" x14ac:dyDescent="0.2">
      <c r="BJ50292" s="201"/>
    </row>
    <row r="50293" spans="62:62" x14ac:dyDescent="0.2">
      <c r="BJ50293" s="201"/>
    </row>
    <row r="50294" spans="62:62" x14ac:dyDescent="0.2">
      <c r="BJ50294" s="201"/>
    </row>
    <row r="50295" spans="62:62" x14ac:dyDescent="0.2">
      <c r="BJ50295" s="201"/>
    </row>
    <row r="50296" spans="62:62" x14ac:dyDescent="0.2">
      <c r="BJ50296" s="201"/>
    </row>
    <row r="50297" spans="62:62" x14ac:dyDescent="0.2">
      <c r="BJ50297" s="201"/>
    </row>
    <row r="50298" spans="62:62" x14ac:dyDescent="0.2">
      <c r="BJ50298" s="201"/>
    </row>
    <row r="50299" spans="62:62" x14ac:dyDescent="0.2">
      <c r="BJ50299" s="201"/>
    </row>
    <row r="50300" spans="62:62" x14ac:dyDescent="0.2">
      <c r="BJ50300" s="201"/>
    </row>
    <row r="50301" spans="62:62" x14ac:dyDescent="0.2">
      <c r="BJ50301" s="201"/>
    </row>
    <row r="50302" spans="62:62" x14ac:dyDescent="0.2">
      <c r="BJ50302" s="201"/>
    </row>
    <row r="50303" spans="62:62" x14ac:dyDescent="0.2">
      <c r="BJ50303" s="201"/>
    </row>
    <row r="50304" spans="62:62" x14ac:dyDescent="0.2">
      <c r="BJ50304" s="201"/>
    </row>
    <row r="50305" spans="62:62" x14ac:dyDescent="0.2">
      <c r="BJ50305" s="201"/>
    </row>
    <row r="50306" spans="62:62" x14ac:dyDescent="0.2">
      <c r="BJ50306" s="201"/>
    </row>
    <row r="50307" spans="62:62" x14ac:dyDescent="0.2">
      <c r="BJ50307" s="201"/>
    </row>
    <row r="50308" spans="62:62" x14ac:dyDescent="0.2">
      <c r="BJ50308" s="201"/>
    </row>
    <row r="50309" spans="62:62" x14ac:dyDescent="0.2">
      <c r="BJ50309" s="201"/>
    </row>
    <row r="50310" spans="62:62" x14ac:dyDescent="0.2">
      <c r="BJ50310" s="201"/>
    </row>
    <row r="50311" spans="62:62" x14ac:dyDescent="0.2">
      <c r="BJ50311" s="201"/>
    </row>
    <row r="50312" spans="62:62" x14ac:dyDescent="0.2">
      <c r="BJ50312" s="201"/>
    </row>
    <row r="50313" spans="62:62" x14ac:dyDescent="0.2">
      <c r="BJ50313" s="201"/>
    </row>
    <row r="50314" spans="62:62" x14ac:dyDescent="0.2">
      <c r="BJ50314" s="201"/>
    </row>
    <row r="50315" spans="62:62" x14ac:dyDescent="0.2">
      <c r="BJ50315" s="201"/>
    </row>
    <row r="50316" spans="62:62" x14ac:dyDescent="0.2">
      <c r="BJ50316" s="201"/>
    </row>
    <row r="50317" spans="62:62" x14ac:dyDescent="0.2">
      <c r="BJ50317" s="201"/>
    </row>
    <row r="50318" spans="62:62" x14ac:dyDescent="0.2">
      <c r="BJ50318" s="201"/>
    </row>
    <row r="50319" spans="62:62" x14ac:dyDescent="0.2">
      <c r="BJ50319" s="201"/>
    </row>
    <row r="50320" spans="62:62" x14ac:dyDescent="0.2">
      <c r="BJ50320" s="201"/>
    </row>
    <row r="50321" spans="62:62" x14ac:dyDescent="0.2">
      <c r="BJ50321" s="201"/>
    </row>
    <row r="50322" spans="62:62" x14ac:dyDescent="0.2">
      <c r="BJ50322" s="201"/>
    </row>
    <row r="50323" spans="62:62" x14ac:dyDescent="0.2">
      <c r="BJ50323" s="201"/>
    </row>
    <row r="50324" spans="62:62" x14ac:dyDescent="0.2">
      <c r="BJ50324" s="201"/>
    </row>
    <row r="50325" spans="62:62" x14ac:dyDescent="0.2">
      <c r="BJ50325" s="201"/>
    </row>
    <row r="50326" spans="62:62" x14ac:dyDescent="0.2">
      <c r="BJ50326" s="201"/>
    </row>
    <row r="50327" spans="62:62" x14ac:dyDescent="0.2">
      <c r="BJ50327" s="201"/>
    </row>
    <row r="50328" spans="62:62" x14ac:dyDescent="0.2">
      <c r="BJ50328" s="201"/>
    </row>
    <row r="50329" spans="62:62" x14ac:dyDescent="0.2">
      <c r="BJ50329" s="201"/>
    </row>
    <row r="50330" spans="62:62" x14ac:dyDescent="0.2">
      <c r="BJ50330" s="201"/>
    </row>
    <row r="50331" spans="62:62" x14ac:dyDescent="0.2">
      <c r="BJ50331" s="201"/>
    </row>
    <row r="50332" spans="62:62" x14ac:dyDescent="0.2">
      <c r="BJ50332" s="201"/>
    </row>
    <row r="50333" spans="62:62" x14ac:dyDescent="0.2">
      <c r="BJ50333" s="201"/>
    </row>
    <row r="50334" spans="62:62" x14ac:dyDescent="0.2">
      <c r="BJ50334" s="201"/>
    </row>
    <row r="50335" spans="62:62" x14ac:dyDescent="0.2">
      <c r="BJ50335" s="201"/>
    </row>
    <row r="50336" spans="62:62" x14ac:dyDescent="0.2">
      <c r="BJ50336" s="201"/>
    </row>
    <row r="50337" spans="62:62" x14ac:dyDescent="0.2">
      <c r="BJ50337" s="201"/>
    </row>
    <row r="50338" spans="62:62" x14ac:dyDescent="0.2">
      <c r="BJ50338" s="201"/>
    </row>
    <row r="50339" spans="62:62" x14ac:dyDescent="0.2">
      <c r="BJ50339" s="201"/>
    </row>
    <row r="50340" spans="62:62" x14ac:dyDescent="0.2">
      <c r="BJ50340" s="201"/>
    </row>
    <row r="50341" spans="62:62" x14ac:dyDescent="0.2">
      <c r="BJ50341" s="201"/>
    </row>
    <row r="50342" spans="62:62" x14ac:dyDescent="0.2">
      <c r="BJ50342" s="201"/>
    </row>
    <row r="50343" spans="62:62" x14ac:dyDescent="0.2">
      <c r="BJ50343" s="201"/>
    </row>
    <row r="50344" spans="62:62" x14ac:dyDescent="0.2">
      <c r="BJ50344" s="201"/>
    </row>
    <row r="50345" spans="62:62" x14ac:dyDescent="0.2">
      <c r="BJ50345" s="201"/>
    </row>
    <row r="50346" spans="62:62" x14ac:dyDescent="0.2">
      <c r="BJ50346" s="201"/>
    </row>
    <row r="50347" spans="62:62" x14ac:dyDescent="0.2">
      <c r="BJ50347" s="201"/>
    </row>
    <row r="50348" spans="62:62" x14ac:dyDescent="0.2">
      <c r="BJ50348" s="201"/>
    </row>
    <row r="50349" spans="62:62" x14ac:dyDescent="0.2">
      <c r="BJ50349" s="201"/>
    </row>
    <row r="50350" spans="62:62" x14ac:dyDescent="0.2">
      <c r="BJ50350" s="201"/>
    </row>
    <row r="50351" spans="62:62" x14ac:dyDescent="0.2">
      <c r="BJ50351" s="201"/>
    </row>
    <row r="50352" spans="62:62" x14ac:dyDescent="0.2">
      <c r="BJ50352" s="201"/>
    </row>
    <row r="50353" spans="62:62" x14ac:dyDescent="0.2">
      <c r="BJ50353" s="201"/>
    </row>
    <row r="50354" spans="62:62" x14ac:dyDescent="0.2">
      <c r="BJ50354" s="201"/>
    </row>
    <row r="50355" spans="62:62" x14ac:dyDescent="0.2">
      <c r="BJ50355" s="201"/>
    </row>
    <row r="50356" spans="62:62" x14ac:dyDescent="0.2">
      <c r="BJ50356" s="201"/>
    </row>
    <row r="50357" spans="62:62" x14ac:dyDescent="0.2">
      <c r="BJ50357" s="201"/>
    </row>
    <row r="50358" spans="62:62" x14ac:dyDescent="0.2">
      <c r="BJ50358" s="201"/>
    </row>
    <row r="50359" spans="62:62" x14ac:dyDescent="0.2">
      <c r="BJ50359" s="201"/>
    </row>
    <row r="50360" spans="62:62" x14ac:dyDescent="0.2">
      <c r="BJ50360" s="201"/>
    </row>
    <row r="50361" spans="62:62" x14ac:dyDescent="0.2">
      <c r="BJ50361" s="201"/>
    </row>
    <row r="50362" spans="62:62" x14ac:dyDescent="0.2">
      <c r="BJ50362" s="201"/>
    </row>
    <row r="50363" spans="62:62" x14ac:dyDescent="0.2">
      <c r="BJ50363" s="201"/>
    </row>
    <row r="50364" spans="62:62" x14ac:dyDescent="0.2">
      <c r="BJ50364" s="201"/>
    </row>
    <row r="50365" spans="62:62" x14ac:dyDescent="0.2">
      <c r="BJ50365" s="201"/>
    </row>
    <row r="50366" spans="62:62" x14ac:dyDescent="0.2">
      <c r="BJ50366" s="201"/>
    </row>
    <row r="50367" spans="62:62" x14ac:dyDescent="0.2">
      <c r="BJ50367" s="201"/>
    </row>
    <row r="50368" spans="62:62" x14ac:dyDescent="0.2">
      <c r="BJ50368" s="201"/>
    </row>
    <row r="50369" spans="62:62" x14ac:dyDescent="0.2">
      <c r="BJ50369" s="201"/>
    </row>
    <row r="50370" spans="62:62" x14ac:dyDescent="0.2">
      <c r="BJ50370" s="201"/>
    </row>
    <row r="50371" spans="62:62" x14ac:dyDescent="0.2">
      <c r="BJ50371" s="201"/>
    </row>
    <row r="50372" spans="62:62" x14ac:dyDescent="0.2">
      <c r="BJ50372" s="201"/>
    </row>
    <row r="50373" spans="62:62" x14ac:dyDescent="0.2">
      <c r="BJ50373" s="201"/>
    </row>
    <row r="50374" spans="62:62" x14ac:dyDescent="0.2">
      <c r="BJ50374" s="201"/>
    </row>
    <row r="50375" spans="62:62" x14ac:dyDescent="0.2">
      <c r="BJ50375" s="201"/>
    </row>
    <row r="50376" spans="62:62" x14ac:dyDescent="0.2">
      <c r="BJ50376" s="201"/>
    </row>
    <row r="50377" spans="62:62" x14ac:dyDescent="0.2">
      <c r="BJ50377" s="201"/>
    </row>
    <row r="50378" spans="62:62" x14ac:dyDescent="0.2">
      <c r="BJ50378" s="201"/>
    </row>
    <row r="50379" spans="62:62" x14ac:dyDescent="0.2">
      <c r="BJ50379" s="201"/>
    </row>
    <row r="50380" spans="62:62" x14ac:dyDescent="0.2">
      <c r="BJ50380" s="201"/>
    </row>
    <row r="50381" spans="62:62" x14ac:dyDescent="0.2">
      <c r="BJ50381" s="201"/>
    </row>
    <row r="50382" spans="62:62" x14ac:dyDescent="0.2">
      <c r="BJ50382" s="201"/>
    </row>
    <row r="50383" spans="62:62" x14ac:dyDescent="0.2">
      <c r="BJ50383" s="201"/>
    </row>
    <row r="50384" spans="62:62" x14ac:dyDescent="0.2">
      <c r="BJ50384" s="201"/>
    </row>
    <row r="50385" spans="62:62" x14ac:dyDescent="0.2">
      <c r="BJ50385" s="201"/>
    </row>
    <row r="50386" spans="62:62" x14ac:dyDescent="0.2">
      <c r="BJ50386" s="201"/>
    </row>
    <row r="50387" spans="62:62" x14ac:dyDescent="0.2">
      <c r="BJ50387" s="201"/>
    </row>
    <row r="50388" spans="62:62" x14ac:dyDescent="0.2">
      <c r="BJ50388" s="201"/>
    </row>
    <row r="50389" spans="62:62" x14ac:dyDescent="0.2">
      <c r="BJ50389" s="201"/>
    </row>
    <row r="50390" spans="62:62" x14ac:dyDescent="0.2">
      <c r="BJ50390" s="201"/>
    </row>
    <row r="50391" spans="62:62" x14ac:dyDescent="0.2">
      <c r="BJ50391" s="201"/>
    </row>
    <row r="50392" spans="62:62" x14ac:dyDescent="0.2">
      <c r="BJ50392" s="201"/>
    </row>
    <row r="50393" spans="62:62" x14ac:dyDescent="0.2">
      <c r="BJ50393" s="201"/>
    </row>
    <row r="50394" spans="62:62" x14ac:dyDescent="0.2">
      <c r="BJ50394" s="201"/>
    </row>
    <row r="50395" spans="62:62" x14ac:dyDescent="0.2">
      <c r="BJ50395" s="201"/>
    </row>
    <row r="50396" spans="62:62" x14ac:dyDescent="0.2">
      <c r="BJ50396" s="201"/>
    </row>
    <row r="50397" spans="62:62" x14ac:dyDescent="0.2">
      <c r="BJ50397" s="201"/>
    </row>
    <row r="50398" spans="62:62" x14ac:dyDescent="0.2">
      <c r="BJ50398" s="201"/>
    </row>
    <row r="50399" spans="62:62" x14ac:dyDescent="0.2">
      <c r="BJ50399" s="201"/>
    </row>
    <row r="50400" spans="62:62" x14ac:dyDescent="0.2">
      <c r="BJ50400" s="201"/>
    </row>
    <row r="50401" spans="62:62" x14ac:dyDescent="0.2">
      <c r="BJ50401" s="201"/>
    </row>
    <row r="50402" spans="62:62" x14ac:dyDescent="0.2">
      <c r="BJ50402" s="201"/>
    </row>
    <row r="50403" spans="62:62" x14ac:dyDescent="0.2">
      <c r="BJ50403" s="201"/>
    </row>
    <row r="50404" spans="62:62" x14ac:dyDescent="0.2">
      <c r="BJ50404" s="201"/>
    </row>
    <row r="50405" spans="62:62" x14ac:dyDescent="0.2">
      <c r="BJ50405" s="201"/>
    </row>
    <row r="50406" spans="62:62" x14ac:dyDescent="0.2">
      <c r="BJ50406" s="201"/>
    </row>
    <row r="50407" spans="62:62" x14ac:dyDescent="0.2">
      <c r="BJ50407" s="201"/>
    </row>
    <row r="50408" spans="62:62" x14ac:dyDescent="0.2">
      <c r="BJ50408" s="201"/>
    </row>
    <row r="50409" spans="62:62" x14ac:dyDescent="0.2">
      <c r="BJ50409" s="201"/>
    </row>
    <row r="50410" spans="62:62" x14ac:dyDescent="0.2">
      <c r="BJ50410" s="201"/>
    </row>
    <row r="50411" spans="62:62" x14ac:dyDescent="0.2">
      <c r="BJ50411" s="201"/>
    </row>
    <row r="50412" spans="62:62" x14ac:dyDescent="0.2">
      <c r="BJ50412" s="201"/>
    </row>
    <row r="50413" spans="62:62" x14ac:dyDescent="0.2">
      <c r="BJ50413" s="201"/>
    </row>
    <row r="50414" spans="62:62" x14ac:dyDescent="0.2">
      <c r="BJ50414" s="201"/>
    </row>
    <row r="50415" spans="62:62" x14ac:dyDescent="0.2">
      <c r="BJ50415" s="201"/>
    </row>
    <row r="50416" spans="62:62" x14ac:dyDescent="0.2">
      <c r="BJ50416" s="201"/>
    </row>
    <row r="50417" spans="62:62" x14ac:dyDescent="0.2">
      <c r="BJ50417" s="201"/>
    </row>
    <row r="50418" spans="62:62" x14ac:dyDescent="0.2">
      <c r="BJ50418" s="201"/>
    </row>
    <row r="50419" spans="62:62" x14ac:dyDescent="0.2">
      <c r="BJ50419" s="201"/>
    </row>
    <row r="50420" spans="62:62" x14ac:dyDescent="0.2">
      <c r="BJ50420" s="201"/>
    </row>
    <row r="50421" spans="62:62" x14ac:dyDescent="0.2">
      <c r="BJ50421" s="201"/>
    </row>
    <row r="50422" spans="62:62" x14ac:dyDescent="0.2">
      <c r="BJ50422" s="201"/>
    </row>
    <row r="50423" spans="62:62" x14ac:dyDescent="0.2">
      <c r="BJ50423" s="201"/>
    </row>
    <row r="50424" spans="62:62" x14ac:dyDescent="0.2">
      <c r="BJ50424" s="201"/>
    </row>
    <row r="50425" spans="62:62" x14ac:dyDescent="0.2">
      <c r="BJ50425" s="201"/>
    </row>
    <row r="50426" spans="62:62" x14ac:dyDescent="0.2">
      <c r="BJ50426" s="201"/>
    </row>
    <row r="50427" spans="62:62" x14ac:dyDescent="0.2">
      <c r="BJ50427" s="201"/>
    </row>
    <row r="50428" spans="62:62" x14ac:dyDescent="0.2">
      <c r="BJ50428" s="201"/>
    </row>
    <row r="50429" spans="62:62" x14ac:dyDescent="0.2">
      <c r="BJ50429" s="201"/>
    </row>
    <row r="50430" spans="62:62" x14ac:dyDescent="0.2">
      <c r="BJ50430" s="201"/>
    </row>
    <row r="50431" spans="62:62" x14ac:dyDescent="0.2">
      <c r="BJ50431" s="201"/>
    </row>
    <row r="50432" spans="62:62" x14ac:dyDescent="0.2">
      <c r="BJ50432" s="201"/>
    </row>
    <row r="50433" spans="62:62" x14ac:dyDescent="0.2">
      <c r="BJ50433" s="201"/>
    </row>
    <row r="50434" spans="62:62" x14ac:dyDescent="0.2">
      <c r="BJ50434" s="201"/>
    </row>
    <row r="50435" spans="62:62" x14ac:dyDescent="0.2">
      <c r="BJ50435" s="201"/>
    </row>
    <row r="50436" spans="62:62" x14ac:dyDescent="0.2">
      <c r="BJ50436" s="201"/>
    </row>
    <row r="50437" spans="62:62" x14ac:dyDescent="0.2">
      <c r="BJ50437" s="201"/>
    </row>
    <row r="50438" spans="62:62" x14ac:dyDescent="0.2">
      <c r="BJ50438" s="201"/>
    </row>
    <row r="50439" spans="62:62" x14ac:dyDescent="0.2">
      <c r="BJ50439" s="201"/>
    </row>
    <row r="50440" spans="62:62" x14ac:dyDescent="0.2">
      <c r="BJ50440" s="201"/>
    </row>
    <row r="50441" spans="62:62" x14ac:dyDescent="0.2">
      <c r="BJ50441" s="201"/>
    </row>
    <row r="50442" spans="62:62" x14ac:dyDescent="0.2">
      <c r="BJ50442" s="201"/>
    </row>
    <row r="50443" spans="62:62" x14ac:dyDescent="0.2">
      <c r="BJ50443" s="201"/>
    </row>
    <row r="50444" spans="62:62" x14ac:dyDescent="0.2">
      <c r="BJ50444" s="201"/>
    </row>
    <row r="50445" spans="62:62" x14ac:dyDescent="0.2">
      <c r="BJ50445" s="201"/>
    </row>
    <row r="50446" spans="62:62" x14ac:dyDescent="0.2">
      <c r="BJ50446" s="201"/>
    </row>
    <row r="50447" spans="62:62" x14ac:dyDescent="0.2">
      <c r="BJ50447" s="201"/>
    </row>
    <row r="50448" spans="62:62" x14ac:dyDescent="0.2">
      <c r="BJ50448" s="201"/>
    </row>
    <row r="50449" spans="62:62" x14ac:dyDescent="0.2">
      <c r="BJ50449" s="201"/>
    </row>
    <row r="50450" spans="62:62" x14ac:dyDescent="0.2">
      <c r="BJ50450" s="201"/>
    </row>
    <row r="50451" spans="62:62" x14ac:dyDescent="0.2">
      <c r="BJ50451" s="201"/>
    </row>
    <row r="50452" spans="62:62" x14ac:dyDescent="0.2">
      <c r="BJ50452" s="201"/>
    </row>
    <row r="50453" spans="62:62" x14ac:dyDescent="0.2">
      <c r="BJ50453" s="201"/>
    </row>
    <row r="50454" spans="62:62" x14ac:dyDescent="0.2">
      <c r="BJ50454" s="201"/>
    </row>
    <row r="50455" spans="62:62" x14ac:dyDescent="0.2">
      <c r="BJ50455" s="201"/>
    </row>
    <row r="50456" spans="62:62" x14ac:dyDescent="0.2">
      <c r="BJ50456" s="201"/>
    </row>
    <row r="50457" spans="62:62" x14ac:dyDescent="0.2">
      <c r="BJ50457" s="201"/>
    </row>
    <row r="50458" spans="62:62" x14ac:dyDescent="0.2">
      <c r="BJ50458" s="201"/>
    </row>
    <row r="50459" spans="62:62" x14ac:dyDescent="0.2">
      <c r="BJ50459" s="201"/>
    </row>
    <row r="50460" spans="62:62" x14ac:dyDescent="0.2">
      <c r="BJ50460" s="201"/>
    </row>
    <row r="50461" spans="62:62" x14ac:dyDescent="0.2">
      <c r="BJ50461" s="201"/>
    </row>
    <row r="50462" spans="62:62" x14ac:dyDescent="0.2">
      <c r="BJ50462" s="201"/>
    </row>
    <row r="50463" spans="62:62" x14ac:dyDescent="0.2">
      <c r="BJ50463" s="201"/>
    </row>
    <row r="50464" spans="62:62" x14ac:dyDescent="0.2">
      <c r="BJ50464" s="201"/>
    </row>
    <row r="50465" spans="62:62" x14ac:dyDescent="0.2">
      <c r="BJ50465" s="201"/>
    </row>
    <row r="50466" spans="62:62" x14ac:dyDescent="0.2">
      <c r="BJ50466" s="201"/>
    </row>
    <row r="50467" spans="62:62" x14ac:dyDescent="0.2">
      <c r="BJ50467" s="201"/>
    </row>
    <row r="50468" spans="62:62" x14ac:dyDescent="0.2">
      <c r="BJ50468" s="201"/>
    </row>
    <row r="50469" spans="62:62" x14ac:dyDescent="0.2">
      <c r="BJ50469" s="201"/>
    </row>
    <row r="50470" spans="62:62" x14ac:dyDescent="0.2">
      <c r="BJ50470" s="201"/>
    </row>
    <row r="50471" spans="62:62" x14ac:dyDescent="0.2">
      <c r="BJ50471" s="201"/>
    </row>
    <row r="50472" spans="62:62" x14ac:dyDescent="0.2">
      <c r="BJ50472" s="201"/>
    </row>
    <row r="50473" spans="62:62" x14ac:dyDescent="0.2">
      <c r="BJ50473" s="201"/>
    </row>
    <row r="50474" spans="62:62" x14ac:dyDescent="0.2">
      <c r="BJ50474" s="201"/>
    </row>
    <row r="50475" spans="62:62" x14ac:dyDescent="0.2">
      <c r="BJ50475" s="201"/>
    </row>
    <row r="50476" spans="62:62" x14ac:dyDescent="0.2">
      <c r="BJ50476" s="201"/>
    </row>
    <row r="50477" spans="62:62" x14ac:dyDescent="0.2">
      <c r="BJ50477" s="201"/>
    </row>
    <row r="50478" spans="62:62" x14ac:dyDescent="0.2">
      <c r="BJ50478" s="201"/>
    </row>
    <row r="50479" spans="62:62" x14ac:dyDescent="0.2">
      <c r="BJ50479" s="201"/>
    </row>
    <row r="50480" spans="62:62" x14ac:dyDescent="0.2">
      <c r="BJ50480" s="201"/>
    </row>
    <row r="50481" spans="62:62" x14ac:dyDescent="0.2">
      <c r="BJ50481" s="201"/>
    </row>
    <row r="50482" spans="62:62" x14ac:dyDescent="0.2">
      <c r="BJ50482" s="201"/>
    </row>
    <row r="50483" spans="62:62" x14ac:dyDescent="0.2">
      <c r="BJ50483" s="201"/>
    </row>
    <row r="50484" spans="62:62" x14ac:dyDescent="0.2">
      <c r="BJ50484" s="201"/>
    </row>
    <row r="50485" spans="62:62" x14ac:dyDescent="0.2">
      <c r="BJ50485" s="201"/>
    </row>
    <row r="50486" spans="62:62" x14ac:dyDescent="0.2">
      <c r="BJ50486" s="201"/>
    </row>
    <row r="50487" spans="62:62" x14ac:dyDescent="0.2">
      <c r="BJ50487" s="201"/>
    </row>
    <row r="50488" spans="62:62" x14ac:dyDescent="0.2">
      <c r="BJ50488" s="201"/>
    </row>
    <row r="50489" spans="62:62" x14ac:dyDescent="0.2">
      <c r="BJ50489" s="201"/>
    </row>
    <row r="50490" spans="62:62" x14ac:dyDescent="0.2">
      <c r="BJ50490" s="201"/>
    </row>
    <row r="50491" spans="62:62" x14ac:dyDescent="0.2">
      <c r="BJ50491" s="201"/>
    </row>
    <row r="50492" spans="62:62" x14ac:dyDescent="0.2">
      <c r="BJ50492" s="201"/>
    </row>
    <row r="50493" spans="62:62" x14ac:dyDescent="0.2">
      <c r="BJ50493" s="201"/>
    </row>
    <row r="50494" spans="62:62" x14ac:dyDescent="0.2">
      <c r="BJ50494" s="201"/>
    </row>
    <row r="50495" spans="62:62" x14ac:dyDescent="0.2">
      <c r="BJ50495" s="201"/>
    </row>
    <row r="50496" spans="62:62" x14ac:dyDescent="0.2">
      <c r="BJ50496" s="201"/>
    </row>
    <row r="50497" spans="62:62" x14ac:dyDescent="0.2">
      <c r="BJ50497" s="201"/>
    </row>
    <row r="50498" spans="62:62" x14ac:dyDescent="0.2">
      <c r="BJ50498" s="201"/>
    </row>
    <row r="50499" spans="62:62" x14ac:dyDescent="0.2">
      <c r="BJ50499" s="201"/>
    </row>
    <row r="50500" spans="62:62" x14ac:dyDescent="0.2">
      <c r="BJ50500" s="201"/>
    </row>
    <row r="50501" spans="62:62" x14ac:dyDescent="0.2">
      <c r="BJ50501" s="201"/>
    </row>
    <row r="50502" spans="62:62" x14ac:dyDescent="0.2">
      <c r="BJ50502" s="201"/>
    </row>
    <row r="50503" spans="62:62" x14ac:dyDescent="0.2">
      <c r="BJ50503" s="201"/>
    </row>
    <row r="50504" spans="62:62" x14ac:dyDescent="0.2">
      <c r="BJ50504" s="201"/>
    </row>
    <row r="50505" spans="62:62" x14ac:dyDescent="0.2">
      <c r="BJ50505" s="201"/>
    </row>
    <row r="50506" spans="62:62" x14ac:dyDescent="0.2">
      <c r="BJ50506" s="201"/>
    </row>
    <row r="50507" spans="62:62" x14ac:dyDescent="0.2">
      <c r="BJ50507" s="201"/>
    </row>
    <row r="50508" spans="62:62" x14ac:dyDescent="0.2">
      <c r="BJ50508" s="201"/>
    </row>
    <row r="50509" spans="62:62" x14ac:dyDescent="0.2">
      <c r="BJ50509" s="201"/>
    </row>
    <row r="50510" spans="62:62" x14ac:dyDescent="0.2">
      <c r="BJ50510" s="201"/>
    </row>
    <row r="50511" spans="62:62" x14ac:dyDescent="0.2">
      <c r="BJ50511" s="201"/>
    </row>
    <row r="50512" spans="62:62" x14ac:dyDescent="0.2">
      <c r="BJ50512" s="201"/>
    </row>
    <row r="50513" spans="62:62" x14ac:dyDescent="0.2">
      <c r="BJ50513" s="201"/>
    </row>
    <row r="50514" spans="62:62" x14ac:dyDescent="0.2">
      <c r="BJ50514" s="201"/>
    </row>
    <row r="50515" spans="62:62" x14ac:dyDescent="0.2">
      <c r="BJ50515" s="201"/>
    </row>
    <row r="50516" spans="62:62" x14ac:dyDescent="0.2">
      <c r="BJ50516" s="201"/>
    </row>
    <row r="50517" spans="62:62" x14ac:dyDescent="0.2">
      <c r="BJ50517" s="201"/>
    </row>
    <row r="50518" spans="62:62" x14ac:dyDescent="0.2">
      <c r="BJ50518" s="201"/>
    </row>
    <row r="50519" spans="62:62" x14ac:dyDescent="0.2">
      <c r="BJ50519" s="201"/>
    </row>
    <row r="50520" spans="62:62" x14ac:dyDescent="0.2">
      <c r="BJ50520" s="201"/>
    </row>
    <row r="50521" spans="62:62" x14ac:dyDescent="0.2">
      <c r="BJ50521" s="201"/>
    </row>
    <row r="50522" spans="62:62" x14ac:dyDescent="0.2">
      <c r="BJ50522" s="201"/>
    </row>
    <row r="50523" spans="62:62" x14ac:dyDescent="0.2">
      <c r="BJ50523" s="201"/>
    </row>
    <row r="50524" spans="62:62" x14ac:dyDescent="0.2">
      <c r="BJ50524" s="201"/>
    </row>
    <row r="50525" spans="62:62" x14ac:dyDescent="0.2">
      <c r="BJ50525" s="201"/>
    </row>
    <row r="50526" spans="62:62" x14ac:dyDescent="0.2">
      <c r="BJ50526" s="201"/>
    </row>
    <row r="50527" spans="62:62" x14ac:dyDescent="0.2">
      <c r="BJ50527" s="201"/>
    </row>
    <row r="50528" spans="62:62" x14ac:dyDescent="0.2">
      <c r="BJ50528" s="201"/>
    </row>
    <row r="50529" spans="62:62" x14ac:dyDescent="0.2">
      <c r="BJ50529" s="201"/>
    </row>
    <row r="50530" spans="62:62" x14ac:dyDescent="0.2">
      <c r="BJ50530" s="201"/>
    </row>
    <row r="50531" spans="62:62" x14ac:dyDescent="0.2">
      <c r="BJ50531" s="201"/>
    </row>
    <row r="50532" spans="62:62" x14ac:dyDescent="0.2">
      <c r="BJ50532" s="201"/>
    </row>
    <row r="50533" spans="62:62" x14ac:dyDescent="0.2">
      <c r="BJ50533" s="201"/>
    </row>
    <row r="50534" spans="62:62" x14ac:dyDescent="0.2">
      <c r="BJ50534" s="201"/>
    </row>
    <row r="50535" spans="62:62" x14ac:dyDescent="0.2">
      <c r="BJ50535" s="201"/>
    </row>
    <row r="50536" spans="62:62" x14ac:dyDescent="0.2">
      <c r="BJ50536" s="201"/>
    </row>
    <row r="50537" spans="62:62" x14ac:dyDescent="0.2">
      <c r="BJ50537" s="201"/>
    </row>
    <row r="50538" spans="62:62" x14ac:dyDescent="0.2">
      <c r="BJ50538" s="201"/>
    </row>
    <row r="50539" spans="62:62" x14ac:dyDescent="0.2">
      <c r="BJ50539" s="201"/>
    </row>
    <row r="50540" spans="62:62" x14ac:dyDescent="0.2">
      <c r="BJ50540" s="201"/>
    </row>
    <row r="50541" spans="62:62" x14ac:dyDescent="0.2">
      <c r="BJ50541" s="201"/>
    </row>
    <row r="50542" spans="62:62" x14ac:dyDescent="0.2">
      <c r="BJ50542" s="201"/>
    </row>
    <row r="50543" spans="62:62" x14ac:dyDescent="0.2">
      <c r="BJ50543" s="201"/>
    </row>
    <row r="50544" spans="62:62" x14ac:dyDescent="0.2">
      <c r="BJ50544" s="201"/>
    </row>
    <row r="50545" spans="62:62" x14ac:dyDescent="0.2">
      <c r="BJ50545" s="201"/>
    </row>
    <row r="50546" spans="62:62" x14ac:dyDescent="0.2">
      <c r="BJ50546" s="201"/>
    </row>
    <row r="50547" spans="62:62" x14ac:dyDescent="0.2">
      <c r="BJ50547" s="201"/>
    </row>
    <row r="50548" spans="62:62" x14ac:dyDescent="0.2">
      <c r="BJ50548" s="201"/>
    </row>
    <row r="50549" spans="62:62" x14ac:dyDescent="0.2">
      <c r="BJ50549" s="201"/>
    </row>
    <row r="50550" spans="62:62" x14ac:dyDescent="0.2">
      <c r="BJ50550" s="201"/>
    </row>
    <row r="50551" spans="62:62" x14ac:dyDescent="0.2">
      <c r="BJ50551" s="201"/>
    </row>
    <row r="50552" spans="62:62" x14ac:dyDescent="0.2">
      <c r="BJ50552" s="201"/>
    </row>
    <row r="50553" spans="62:62" x14ac:dyDescent="0.2">
      <c r="BJ50553" s="201"/>
    </row>
    <row r="50554" spans="62:62" x14ac:dyDescent="0.2">
      <c r="BJ50554" s="201"/>
    </row>
    <row r="50555" spans="62:62" x14ac:dyDescent="0.2">
      <c r="BJ50555" s="201"/>
    </row>
    <row r="50556" spans="62:62" x14ac:dyDescent="0.2">
      <c r="BJ50556" s="201"/>
    </row>
    <row r="50557" spans="62:62" x14ac:dyDescent="0.2">
      <c r="BJ50557" s="201"/>
    </row>
    <row r="50558" spans="62:62" x14ac:dyDescent="0.2">
      <c r="BJ50558" s="201"/>
    </row>
    <row r="50559" spans="62:62" x14ac:dyDescent="0.2">
      <c r="BJ50559" s="201"/>
    </row>
    <row r="50560" spans="62:62" x14ac:dyDescent="0.2">
      <c r="BJ50560" s="201"/>
    </row>
    <row r="50561" spans="62:62" x14ac:dyDescent="0.2">
      <c r="BJ50561" s="201"/>
    </row>
    <row r="50562" spans="62:62" x14ac:dyDescent="0.2">
      <c r="BJ50562" s="201"/>
    </row>
    <row r="50563" spans="62:62" x14ac:dyDescent="0.2">
      <c r="BJ50563" s="201"/>
    </row>
    <row r="50564" spans="62:62" x14ac:dyDescent="0.2">
      <c r="BJ50564" s="201"/>
    </row>
    <row r="50565" spans="62:62" x14ac:dyDescent="0.2">
      <c r="BJ50565" s="201"/>
    </row>
    <row r="50566" spans="62:62" x14ac:dyDescent="0.2">
      <c r="BJ50566" s="201"/>
    </row>
    <row r="50567" spans="62:62" x14ac:dyDescent="0.2">
      <c r="BJ50567" s="201"/>
    </row>
    <row r="50568" spans="62:62" x14ac:dyDescent="0.2">
      <c r="BJ50568" s="201"/>
    </row>
    <row r="50569" spans="62:62" x14ac:dyDescent="0.2">
      <c r="BJ50569" s="201"/>
    </row>
    <row r="50570" spans="62:62" x14ac:dyDescent="0.2">
      <c r="BJ50570" s="201"/>
    </row>
    <row r="50571" spans="62:62" x14ac:dyDescent="0.2">
      <c r="BJ50571" s="201"/>
    </row>
    <row r="50572" spans="62:62" x14ac:dyDescent="0.2">
      <c r="BJ50572" s="201"/>
    </row>
    <row r="50573" spans="62:62" x14ac:dyDescent="0.2">
      <c r="BJ50573" s="201"/>
    </row>
    <row r="50574" spans="62:62" x14ac:dyDescent="0.2">
      <c r="BJ50574" s="201"/>
    </row>
    <row r="50575" spans="62:62" x14ac:dyDescent="0.2">
      <c r="BJ50575" s="201"/>
    </row>
    <row r="50576" spans="62:62" x14ac:dyDescent="0.2">
      <c r="BJ50576" s="201"/>
    </row>
    <row r="50577" spans="62:62" x14ac:dyDescent="0.2">
      <c r="BJ50577" s="201"/>
    </row>
    <row r="50578" spans="62:62" x14ac:dyDescent="0.2">
      <c r="BJ50578" s="201"/>
    </row>
    <row r="50579" spans="62:62" x14ac:dyDescent="0.2">
      <c r="BJ50579" s="201"/>
    </row>
    <row r="50580" spans="62:62" x14ac:dyDescent="0.2">
      <c r="BJ50580" s="201"/>
    </row>
    <row r="50581" spans="62:62" x14ac:dyDescent="0.2">
      <c r="BJ50581" s="201"/>
    </row>
    <row r="50582" spans="62:62" x14ac:dyDescent="0.2">
      <c r="BJ50582" s="201"/>
    </row>
    <row r="50583" spans="62:62" x14ac:dyDescent="0.2">
      <c r="BJ50583" s="201"/>
    </row>
    <row r="50584" spans="62:62" x14ac:dyDescent="0.2">
      <c r="BJ50584" s="201"/>
    </row>
    <row r="50585" spans="62:62" x14ac:dyDescent="0.2">
      <c r="BJ50585" s="201"/>
    </row>
    <row r="50586" spans="62:62" x14ac:dyDescent="0.2">
      <c r="BJ50586" s="201"/>
    </row>
    <row r="50587" spans="62:62" x14ac:dyDescent="0.2">
      <c r="BJ50587" s="201"/>
    </row>
    <row r="50588" spans="62:62" x14ac:dyDescent="0.2">
      <c r="BJ50588" s="201"/>
    </row>
    <row r="50589" spans="62:62" x14ac:dyDescent="0.2">
      <c r="BJ50589" s="201"/>
    </row>
    <row r="50590" spans="62:62" x14ac:dyDescent="0.2">
      <c r="BJ50590" s="201"/>
    </row>
    <row r="50591" spans="62:62" x14ac:dyDescent="0.2">
      <c r="BJ50591" s="201"/>
    </row>
    <row r="50592" spans="62:62" x14ac:dyDescent="0.2">
      <c r="BJ50592" s="201"/>
    </row>
    <row r="50593" spans="62:62" x14ac:dyDescent="0.2">
      <c r="BJ50593" s="201"/>
    </row>
    <row r="50594" spans="62:62" x14ac:dyDescent="0.2">
      <c r="BJ50594" s="201"/>
    </row>
    <row r="50595" spans="62:62" x14ac:dyDescent="0.2">
      <c r="BJ50595" s="201"/>
    </row>
    <row r="50596" spans="62:62" x14ac:dyDescent="0.2">
      <c r="BJ50596" s="201"/>
    </row>
    <row r="50597" spans="62:62" x14ac:dyDescent="0.2">
      <c r="BJ50597" s="201"/>
    </row>
    <row r="50598" spans="62:62" x14ac:dyDescent="0.2">
      <c r="BJ50598" s="201"/>
    </row>
    <row r="50599" spans="62:62" x14ac:dyDescent="0.2">
      <c r="BJ50599" s="201"/>
    </row>
    <row r="50600" spans="62:62" x14ac:dyDescent="0.2">
      <c r="BJ50600" s="201"/>
    </row>
    <row r="50601" spans="62:62" x14ac:dyDescent="0.2">
      <c r="BJ50601" s="201"/>
    </row>
    <row r="50602" spans="62:62" x14ac:dyDescent="0.2">
      <c r="BJ50602" s="201"/>
    </row>
    <row r="50603" spans="62:62" x14ac:dyDescent="0.2">
      <c r="BJ50603" s="201"/>
    </row>
    <row r="50604" spans="62:62" x14ac:dyDescent="0.2">
      <c r="BJ50604" s="201"/>
    </row>
    <row r="50605" spans="62:62" x14ac:dyDescent="0.2">
      <c r="BJ50605" s="201"/>
    </row>
    <row r="50606" spans="62:62" x14ac:dyDescent="0.2">
      <c r="BJ50606" s="201"/>
    </row>
    <row r="50607" spans="62:62" x14ac:dyDescent="0.2">
      <c r="BJ50607" s="201"/>
    </row>
    <row r="50608" spans="62:62" x14ac:dyDescent="0.2">
      <c r="BJ50608" s="201"/>
    </row>
    <row r="50609" spans="62:62" x14ac:dyDescent="0.2">
      <c r="BJ50609" s="201"/>
    </row>
    <row r="50610" spans="62:62" x14ac:dyDescent="0.2">
      <c r="BJ50610" s="201"/>
    </row>
    <row r="50611" spans="62:62" x14ac:dyDescent="0.2">
      <c r="BJ50611" s="201"/>
    </row>
    <row r="50612" spans="62:62" x14ac:dyDescent="0.2">
      <c r="BJ50612" s="201"/>
    </row>
    <row r="50613" spans="62:62" x14ac:dyDescent="0.2">
      <c r="BJ50613" s="201"/>
    </row>
    <row r="50614" spans="62:62" x14ac:dyDescent="0.2">
      <c r="BJ50614" s="201"/>
    </row>
    <row r="50615" spans="62:62" x14ac:dyDescent="0.2">
      <c r="BJ50615" s="201"/>
    </row>
    <row r="50616" spans="62:62" x14ac:dyDescent="0.2">
      <c r="BJ50616" s="201"/>
    </row>
    <row r="50617" spans="62:62" x14ac:dyDescent="0.2">
      <c r="BJ50617" s="201"/>
    </row>
    <row r="50618" spans="62:62" x14ac:dyDescent="0.2">
      <c r="BJ50618" s="201"/>
    </row>
    <row r="50619" spans="62:62" x14ac:dyDescent="0.2">
      <c r="BJ50619" s="201"/>
    </row>
    <row r="50620" spans="62:62" x14ac:dyDescent="0.2">
      <c r="BJ50620" s="201"/>
    </row>
    <row r="50621" spans="62:62" x14ac:dyDescent="0.2">
      <c r="BJ50621" s="201"/>
    </row>
    <row r="50622" spans="62:62" x14ac:dyDescent="0.2">
      <c r="BJ50622" s="201"/>
    </row>
    <row r="50623" spans="62:62" x14ac:dyDescent="0.2">
      <c r="BJ50623" s="201"/>
    </row>
    <row r="50624" spans="62:62" x14ac:dyDescent="0.2">
      <c r="BJ50624" s="201"/>
    </row>
    <row r="50625" spans="62:62" x14ac:dyDescent="0.2">
      <c r="BJ50625" s="201"/>
    </row>
    <row r="50626" spans="62:62" x14ac:dyDescent="0.2">
      <c r="BJ50626" s="201"/>
    </row>
    <row r="50627" spans="62:62" x14ac:dyDescent="0.2">
      <c r="BJ50627" s="201"/>
    </row>
    <row r="50628" spans="62:62" x14ac:dyDescent="0.2">
      <c r="BJ50628" s="201"/>
    </row>
    <row r="50629" spans="62:62" x14ac:dyDescent="0.2">
      <c r="BJ50629" s="201"/>
    </row>
    <row r="50630" spans="62:62" x14ac:dyDescent="0.2">
      <c r="BJ50630" s="201"/>
    </row>
    <row r="50631" spans="62:62" x14ac:dyDescent="0.2">
      <c r="BJ50631" s="201"/>
    </row>
    <row r="50632" spans="62:62" x14ac:dyDescent="0.2">
      <c r="BJ50632" s="201"/>
    </row>
    <row r="50633" spans="62:62" x14ac:dyDescent="0.2">
      <c r="BJ50633" s="201"/>
    </row>
    <row r="50634" spans="62:62" x14ac:dyDescent="0.2">
      <c r="BJ50634" s="201"/>
    </row>
    <row r="50635" spans="62:62" x14ac:dyDescent="0.2">
      <c r="BJ50635" s="201"/>
    </row>
    <row r="50636" spans="62:62" x14ac:dyDescent="0.2">
      <c r="BJ50636" s="201"/>
    </row>
    <row r="50637" spans="62:62" x14ac:dyDescent="0.2">
      <c r="BJ50637" s="201"/>
    </row>
    <row r="50638" spans="62:62" x14ac:dyDescent="0.2">
      <c r="BJ50638" s="201"/>
    </row>
    <row r="50639" spans="62:62" x14ac:dyDescent="0.2">
      <c r="BJ50639" s="201"/>
    </row>
    <row r="50640" spans="62:62" x14ac:dyDescent="0.2">
      <c r="BJ50640" s="201"/>
    </row>
    <row r="50641" spans="62:62" x14ac:dyDescent="0.2">
      <c r="BJ50641" s="201"/>
    </row>
    <row r="50642" spans="62:62" x14ac:dyDescent="0.2">
      <c r="BJ50642" s="201"/>
    </row>
    <row r="50643" spans="62:62" x14ac:dyDescent="0.2">
      <c r="BJ50643" s="201"/>
    </row>
    <row r="50644" spans="62:62" x14ac:dyDescent="0.2">
      <c r="BJ50644" s="201"/>
    </row>
    <row r="50645" spans="62:62" x14ac:dyDescent="0.2">
      <c r="BJ50645" s="201"/>
    </row>
    <row r="50646" spans="62:62" x14ac:dyDescent="0.2">
      <c r="BJ50646" s="201"/>
    </row>
    <row r="50647" spans="62:62" x14ac:dyDescent="0.2">
      <c r="BJ50647" s="201"/>
    </row>
    <row r="50648" spans="62:62" x14ac:dyDescent="0.2">
      <c r="BJ50648" s="201"/>
    </row>
    <row r="50649" spans="62:62" x14ac:dyDescent="0.2">
      <c r="BJ50649" s="201"/>
    </row>
    <row r="50650" spans="62:62" x14ac:dyDescent="0.2">
      <c r="BJ50650" s="201"/>
    </row>
    <row r="50651" spans="62:62" x14ac:dyDescent="0.2">
      <c r="BJ50651" s="201"/>
    </row>
    <row r="50652" spans="62:62" x14ac:dyDescent="0.2">
      <c r="BJ50652" s="201"/>
    </row>
    <row r="50653" spans="62:62" x14ac:dyDescent="0.2">
      <c r="BJ50653" s="201"/>
    </row>
    <row r="50654" spans="62:62" x14ac:dyDescent="0.2">
      <c r="BJ50654" s="201"/>
    </row>
    <row r="50655" spans="62:62" x14ac:dyDescent="0.2">
      <c r="BJ50655" s="201"/>
    </row>
    <row r="50656" spans="62:62" x14ac:dyDescent="0.2">
      <c r="BJ50656" s="201"/>
    </row>
    <row r="50657" spans="62:62" x14ac:dyDescent="0.2">
      <c r="BJ50657" s="201"/>
    </row>
    <row r="50658" spans="62:62" x14ac:dyDescent="0.2">
      <c r="BJ50658" s="201"/>
    </row>
    <row r="50659" spans="62:62" x14ac:dyDescent="0.2">
      <c r="BJ50659" s="201"/>
    </row>
    <row r="50660" spans="62:62" x14ac:dyDescent="0.2">
      <c r="BJ50660" s="201"/>
    </row>
    <row r="50661" spans="62:62" x14ac:dyDescent="0.2">
      <c r="BJ50661" s="201"/>
    </row>
    <row r="50662" spans="62:62" x14ac:dyDescent="0.2">
      <c r="BJ50662" s="201"/>
    </row>
    <row r="50663" spans="62:62" x14ac:dyDescent="0.2">
      <c r="BJ50663" s="201"/>
    </row>
    <row r="50664" spans="62:62" x14ac:dyDescent="0.2">
      <c r="BJ50664" s="201"/>
    </row>
    <row r="50665" spans="62:62" x14ac:dyDescent="0.2">
      <c r="BJ50665" s="201"/>
    </row>
    <row r="50666" spans="62:62" x14ac:dyDescent="0.2">
      <c r="BJ50666" s="201"/>
    </row>
    <row r="50667" spans="62:62" x14ac:dyDescent="0.2">
      <c r="BJ50667" s="201"/>
    </row>
    <row r="50668" spans="62:62" x14ac:dyDescent="0.2">
      <c r="BJ50668" s="201"/>
    </row>
    <row r="50669" spans="62:62" x14ac:dyDescent="0.2">
      <c r="BJ50669" s="201"/>
    </row>
    <row r="50670" spans="62:62" x14ac:dyDescent="0.2">
      <c r="BJ50670" s="201"/>
    </row>
    <row r="50671" spans="62:62" x14ac:dyDescent="0.2">
      <c r="BJ50671" s="201"/>
    </row>
    <row r="50672" spans="62:62" x14ac:dyDescent="0.2">
      <c r="BJ50672" s="201"/>
    </row>
    <row r="50673" spans="62:62" x14ac:dyDescent="0.2">
      <c r="BJ50673" s="201"/>
    </row>
    <row r="50674" spans="62:62" x14ac:dyDescent="0.2">
      <c r="BJ50674" s="201"/>
    </row>
    <row r="50675" spans="62:62" x14ac:dyDescent="0.2">
      <c r="BJ50675" s="201"/>
    </row>
    <row r="50676" spans="62:62" x14ac:dyDescent="0.2">
      <c r="BJ50676" s="201"/>
    </row>
    <row r="50677" spans="62:62" x14ac:dyDescent="0.2">
      <c r="BJ50677" s="201"/>
    </row>
    <row r="50678" spans="62:62" x14ac:dyDescent="0.2">
      <c r="BJ50678" s="201"/>
    </row>
    <row r="50679" spans="62:62" x14ac:dyDescent="0.2">
      <c r="BJ50679" s="201"/>
    </row>
    <row r="50680" spans="62:62" x14ac:dyDescent="0.2">
      <c r="BJ50680" s="201"/>
    </row>
    <row r="50681" spans="62:62" x14ac:dyDescent="0.2">
      <c r="BJ50681" s="201"/>
    </row>
    <row r="50682" spans="62:62" x14ac:dyDescent="0.2">
      <c r="BJ50682" s="201"/>
    </row>
    <row r="50683" spans="62:62" x14ac:dyDescent="0.2">
      <c r="BJ50683" s="201"/>
    </row>
    <row r="50684" spans="62:62" x14ac:dyDescent="0.2">
      <c r="BJ50684" s="201"/>
    </row>
    <row r="50685" spans="62:62" x14ac:dyDescent="0.2">
      <c r="BJ50685" s="201"/>
    </row>
    <row r="50686" spans="62:62" x14ac:dyDescent="0.2">
      <c r="BJ50686" s="201"/>
    </row>
    <row r="50687" spans="62:62" x14ac:dyDescent="0.2">
      <c r="BJ50687" s="201"/>
    </row>
    <row r="50688" spans="62:62" x14ac:dyDescent="0.2">
      <c r="BJ50688" s="201"/>
    </row>
    <row r="50689" spans="62:62" x14ac:dyDescent="0.2">
      <c r="BJ50689" s="201"/>
    </row>
    <row r="50690" spans="62:62" x14ac:dyDescent="0.2">
      <c r="BJ50690" s="201"/>
    </row>
    <row r="50691" spans="62:62" x14ac:dyDescent="0.2">
      <c r="BJ50691" s="201"/>
    </row>
    <row r="50692" spans="62:62" x14ac:dyDescent="0.2">
      <c r="BJ50692" s="201"/>
    </row>
    <row r="50693" spans="62:62" x14ac:dyDescent="0.2">
      <c r="BJ50693" s="201"/>
    </row>
    <row r="50694" spans="62:62" x14ac:dyDescent="0.2">
      <c r="BJ50694" s="201"/>
    </row>
    <row r="50695" spans="62:62" x14ac:dyDescent="0.2">
      <c r="BJ50695" s="201"/>
    </row>
    <row r="50696" spans="62:62" x14ac:dyDescent="0.2">
      <c r="BJ50696" s="201"/>
    </row>
    <row r="50697" spans="62:62" x14ac:dyDescent="0.2">
      <c r="BJ50697" s="201"/>
    </row>
    <row r="50698" spans="62:62" x14ac:dyDescent="0.2">
      <c r="BJ50698" s="201"/>
    </row>
    <row r="50699" spans="62:62" x14ac:dyDescent="0.2">
      <c r="BJ50699" s="201"/>
    </row>
    <row r="50700" spans="62:62" x14ac:dyDescent="0.2">
      <c r="BJ50700" s="201"/>
    </row>
    <row r="50701" spans="62:62" x14ac:dyDescent="0.2">
      <c r="BJ50701" s="201"/>
    </row>
    <row r="50702" spans="62:62" x14ac:dyDescent="0.2">
      <c r="BJ50702" s="201"/>
    </row>
    <row r="50703" spans="62:62" x14ac:dyDescent="0.2">
      <c r="BJ50703" s="201"/>
    </row>
    <row r="50704" spans="62:62" x14ac:dyDescent="0.2">
      <c r="BJ50704" s="201"/>
    </row>
    <row r="50705" spans="62:62" x14ac:dyDescent="0.2">
      <c r="BJ50705" s="201"/>
    </row>
    <row r="50706" spans="62:62" x14ac:dyDescent="0.2">
      <c r="BJ50706" s="201"/>
    </row>
    <row r="50707" spans="62:62" x14ac:dyDescent="0.2">
      <c r="BJ50707" s="201"/>
    </row>
    <row r="50708" spans="62:62" x14ac:dyDescent="0.2">
      <c r="BJ50708" s="201"/>
    </row>
    <row r="50709" spans="62:62" x14ac:dyDescent="0.2">
      <c r="BJ50709" s="201"/>
    </row>
    <row r="50710" spans="62:62" x14ac:dyDescent="0.2">
      <c r="BJ50710" s="201"/>
    </row>
    <row r="50711" spans="62:62" x14ac:dyDescent="0.2">
      <c r="BJ50711" s="201"/>
    </row>
    <row r="50712" spans="62:62" x14ac:dyDescent="0.2">
      <c r="BJ50712" s="201"/>
    </row>
    <row r="50713" spans="62:62" x14ac:dyDescent="0.2">
      <c r="BJ50713" s="201"/>
    </row>
    <row r="50714" spans="62:62" x14ac:dyDescent="0.2">
      <c r="BJ50714" s="201"/>
    </row>
    <row r="50715" spans="62:62" x14ac:dyDescent="0.2">
      <c r="BJ50715" s="201"/>
    </row>
    <row r="50716" spans="62:62" x14ac:dyDescent="0.2">
      <c r="BJ50716" s="201"/>
    </row>
    <row r="50717" spans="62:62" x14ac:dyDescent="0.2">
      <c r="BJ50717" s="201"/>
    </row>
    <row r="50718" spans="62:62" x14ac:dyDescent="0.2">
      <c r="BJ50718" s="201"/>
    </row>
    <row r="50719" spans="62:62" x14ac:dyDescent="0.2">
      <c r="BJ50719" s="201"/>
    </row>
    <row r="50720" spans="62:62" x14ac:dyDescent="0.2">
      <c r="BJ50720" s="201"/>
    </row>
    <row r="50721" spans="62:62" x14ac:dyDescent="0.2">
      <c r="BJ50721" s="201"/>
    </row>
    <row r="50722" spans="62:62" x14ac:dyDescent="0.2">
      <c r="BJ50722" s="201"/>
    </row>
    <row r="50723" spans="62:62" x14ac:dyDescent="0.2">
      <c r="BJ50723" s="201"/>
    </row>
    <row r="50724" spans="62:62" x14ac:dyDescent="0.2">
      <c r="BJ50724" s="201"/>
    </row>
    <row r="50725" spans="62:62" x14ac:dyDescent="0.2">
      <c r="BJ50725" s="201"/>
    </row>
    <row r="50726" spans="62:62" x14ac:dyDescent="0.2">
      <c r="BJ50726" s="201"/>
    </row>
    <row r="50727" spans="62:62" x14ac:dyDescent="0.2">
      <c r="BJ50727" s="201"/>
    </row>
    <row r="50728" spans="62:62" x14ac:dyDescent="0.2">
      <c r="BJ50728" s="201"/>
    </row>
    <row r="50729" spans="62:62" x14ac:dyDescent="0.2">
      <c r="BJ50729" s="201"/>
    </row>
    <row r="50730" spans="62:62" x14ac:dyDescent="0.2">
      <c r="BJ50730" s="201"/>
    </row>
    <row r="50731" spans="62:62" x14ac:dyDescent="0.2">
      <c r="BJ50731" s="201"/>
    </row>
    <row r="50732" spans="62:62" x14ac:dyDescent="0.2">
      <c r="BJ50732" s="201"/>
    </row>
    <row r="50733" spans="62:62" x14ac:dyDescent="0.2">
      <c r="BJ50733" s="201"/>
    </row>
    <row r="50734" spans="62:62" x14ac:dyDescent="0.2">
      <c r="BJ50734" s="201"/>
    </row>
    <row r="50735" spans="62:62" x14ac:dyDescent="0.2">
      <c r="BJ50735" s="201"/>
    </row>
    <row r="50736" spans="62:62" x14ac:dyDescent="0.2">
      <c r="BJ50736" s="201"/>
    </row>
    <row r="50737" spans="62:62" x14ac:dyDescent="0.2">
      <c r="BJ50737" s="201"/>
    </row>
    <row r="50738" spans="62:62" x14ac:dyDescent="0.2">
      <c r="BJ50738" s="201"/>
    </row>
    <row r="50739" spans="62:62" x14ac:dyDescent="0.2">
      <c r="BJ50739" s="201"/>
    </row>
    <row r="50740" spans="62:62" x14ac:dyDescent="0.2">
      <c r="BJ50740" s="201"/>
    </row>
    <row r="50741" spans="62:62" x14ac:dyDescent="0.2">
      <c r="BJ50741" s="201"/>
    </row>
    <row r="50742" spans="62:62" x14ac:dyDescent="0.2">
      <c r="BJ50742" s="201"/>
    </row>
    <row r="50743" spans="62:62" x14ac:dyDescent="0.2">
      <c r="BJ50743" s="201"/>
    </row>
    <row r="50744" spans="62:62" x14ac:dyDescent="0.2">
      <c r="BJ50744" s="201"/>
    </row>
    <row r="50745" spans="62:62" x14ac:dyDescent="0.2">
      <c r="BJ50745" s="201"/>
    </row>
    <row r="50746" spans="62:62" x14ac:dyDescent="0.2">
      <c r="BJ50746" s="201"/>
    </row>
    <row r="50747" spans="62:62" x14ac:dyDescent="0.2">
      <c r="BJ50747" s="201"/>
    </row>
    <row r="50748" spans="62:62" x14ac:dyDescent="0.2">
      <c r="BJ50748" s="201"/>
    </row>
    <row r="50749" spans="62:62" x14ac:dyDescent="0.2">
      <c r="BJ50749" s="201"/>
    </row>
    <row r="50750" spans="62:62" x14ac:dyDescent="0.2">
      <c r="BJ50750" s="201"/>
    </row>
    <row r="50751" spans="62:62" x14ac:dyDescent="0.2">
      <c r="BJ50751" s="201"/>
    </row>
    <row r="50752" spans="62:62" x14ac:dyDescent="0.2">
      <c r="BJ50752" s="201"/>
    </row>
    <row r="50753" spans="62:62" x14ac:dyDescent="0.2">
      <c r="BJ50753" s="201"/>
    </row>
    <row r="50754" spans="62:62" x14ac:dyDescent="0.2">
      <c r="BJ50754" s="201"/>
    </row>
    <row r="50755" spans="62:62" x14ac:dyDescent="0.2">
      <c r="BJ50755" s="201"/>
    </row>
    <row r="50756" spans="62:62" x14ac:dyDescent="0.2">
      <c r="BJ50756" s="201"/>
    </row>
    <row r="50757" spans="62:62" x14ac:dyDescent="0.2">
      <c r="BJ50757" s="201"/>
    </row>
    <row r="50758" spans="62:62" x14ac:dyDescent="0.2">
      <c r="BJ50758" s="201"/>
    </row>
    <row r="50759" spans="62:62" x14ac:dyDescent="0.2">
      <c r="BJ50759" s="201"/>
    </row>
    <row r="50760" spans="62:62" x14ac:dyDescent="0.2">
      <c r="BJ50760" s="201"/>
    </row>
    <row r="50761" spans="62:62" x14ac:dyDescent="0.2">
      <c r="BJ50761" s="201"/>
    </row>
    <row r="50762" spans="62:62" x14ac:dyDescent="0.2">
      <c r="BJ50762" s="201"/>
    </row>
    <row r="50763" spans="62:62" x14ac:dyDescent="0.2">
      <c r="BJ50763" s="201"/>
    </row>
    <row r="50764" spans="62:62" x14ac:dyDescent="0.2">
      <c r="BJ50764" s="201"/>
    </row>
    <row r="50765" spans="62:62" x14ac:dyDescent="0.2">
      <c r="BJ50765" s="201"/>
    </row>
    <row r="50766" spans="62:62" x14ac:dyDescent="0.2">
      <c r="BJ50766" s="201"/>
    </row>
    <row r="50767" spans="62:62" x14ac:dyDescent="0.2">
      <c r="BJ50767" s="201"/>
    </row>
    <row r="50768" spans="62:62" x14ac:dyDescent="0.2">
      <c r="BJ50768" s="201"/>
    </row>
    <row r="50769" spans="62:62" x14ac:dyDescent="0.2">
      <c r="BJ50769" s="201"/>
    </row>
    <row r="50770" spans="62:62" x14ac:dyDescent="0.2">
      <c r="BJ50770" s="201"/>
    </row>
    <row r="50771" spans="62:62" x14ac:dyDescent="0.2">
      <c r="BJ50771" s="201"/>
    </row>
    <row r="50772" spans="62:62" x14ac:dyDescent="0.2">
      <c r="BJ50772" s="201"/>
    </row>
    <row r="50773" spans="62:62" x14ac:dyDescent="0.2">
      <c r="BJ50773" s="201"/>
    </row>
    <row r="50774" spans="62:62" x14ac:dyDescent="0.2">
      <c r="BJ50774" s="201"/>
    </row>
    <row r="50775" spans="62:62" x14ac:dyDescent="0.2">
      <c r="BJ50775" s="201"/>
    </row>
    <row r="50776" spans="62:62" x14ac:dyDescent="0.2">
      <c r="BJ50776" s="201"/>
    </row>
    <row r="50777" spans="62:62" x14ac:dyDescent="0.2">
      <c r="BJ50777" s="201"/>
    </row>
    <row r="50778" spans="62:62" x14ac:dyDescent="0.2">
      <c r="BJ50778" s="201"/>
    </row>
    <row r="50779" spans="62:62" x14ac:dyDescent="0.2">
      <c r="BJ50779" s="201"/>
    </row>
    <row r="50780" spans="62:62" x14ac:dyDescent="0.2">
      <c r="BJ50780" s="201"/>
    </row>
    <row r="50781" spans="62:62" x14ac:dyDescent="0.2">
      <c r="BJ50781" s="201"/>
    </row>
    <row r="50782" spans="62:62" x14ac:dyDescent="0.2">
      <c r="BJ50782" s="201"/>
    </row>
    <row r="50783" spans="62:62" x14ac:dyDescent="0.2">
      <c r="BJ50783" s="201"/>
    </row>
    <row r="50784" spans="62:62" x14ac:dyDescent="0.2">
      <c r="BJ50784" s="201"/>
    </row>
    <row r="50785" spans="62:62" x14ac:dyDescent="0.2">
      <c r="BJ50785" s="201"/>
    </row>
    <row r="50786" spans="62:62" x14ac:dyDescent="0.2">
      <c r="BJ50786" s="201"/>
    </row>
    <row r="50787" spans="62:62" x14ac:dyDescent="0.2">
      <c r="BJ50787" s="201"/>
    </row>
    <row r="50788" spans="62:62" x14ac:dyDescent="0.2">
      <c r="BJ50788" s="201"/>
    </row>
    <row r="50789" spans="62:62" x14ac:dyDescent="0.2">
      <c r="BJ50789" s="201"/>
    </row>
    <row r="50790" spans="62:62" x14ac:dyDescent="0.2">
      <c r="BJ50790" s="201"/>
    </row>
    <row r="50791" spans="62:62" x14ac:dyDescent="0.2">
      <c r="BJ50791" s="201"/>
    </row>
    <row r="50792" spans="62:62" x14ac:dyDescent="0.2">
      <c r="BJ50792" s="201"/>
    </row>
    <row r="50793" spans="62:62" x14ac:dyDescent="0.2">
      <c r="BJ50793" s="201"/>
    </row>
    <row r="50794" spans="62:62" x14ac:dyDescent="0.2">
      <c r="BJ50794" s="201"/>
    </row>
    <row r="50795" spans="62:62" x14ac:dyDescent="0.2">
      <c r="BJ50795" s="201"/>
    </row>
    <row r="50796" spans="62:62" x14ac:dyDescent="0.2">
      <c r="BJ50796" s="201"/>
    </row>
    <row r="50797" spans="62:62" x14ac:dyDescent="0.2">
      <c r="BJ50797" s="201"/>
    </row>
    <row r="50798" spans="62:62" x14ac:dyDescent="0.2">
      <c r="BJ50798" s="201"/>
    </row>
    <row r="50799" spans="62:62" x14ac:dyDescent="0.2">
      <c r="BJ50799" s="201"/>
    </row>
    <row r="50800" spans="62:62" x14ac:dyDescent="0.2">
      <c r="BJ50800" s="201"/>
    </row>
    <row r="50801" spans="62:62" x14ac:dyDescent="0.2">
      <c r="BJ50801" s="201"/>
    </row>
    <row r="50802" spans="62:62" x14ac:dyDescent="0.2">
      <c r="BJ50802" s="201"/>
    </row>
    <row r="50803" spans="62:62" x14ac:dyDescent="0.2">
      <c r="BJ50803" s="201"/>
    </row>
    <row r="50804" spans="62:62" x14ac:dyDescent="0.2">
      <c r="BJ50804" s="201"/>
    </row>
    <row r="50805" spans="62:62" x14ac:dyDescent="0.2">
      <c r="BJ50805" s="201"/>
    </row>
    <row r="50806" spans="62:62" x14ac:dyDescent="0.2">
      <c r="BJ50806" s="201"/>
    </row>
    <row r="50807" spans="62:62" x14ac:dyDescent="0.2">
      <c r="BJ50807" s="201"/>
    </row>
    <row r="50808" spans="62:62" x14ac:dyDescent="0.2">
      <c r="BJ50808" s="201"/>
    </row>
    <row r="50809" spans="62:62" x14ac:dyDescent="0.2">
      <c r="BJ50809" s="201"/>
    </row>
    <row r="50810" spans="62:62" x14ac:dyDescent="0.2">
      <c r="BJ50810" s="201"/>
    </row>
    <row r="50811" spans="62:62" x14ac:dyDescent="0.2">
      <c r="BJ50811" s="201"/>
    </row>
    <row r="50812" spans="62:62" x14ac:dyDescent="0.2">
      <c r="BJ50812" s="201"/>
    </row>
    <row r="50813" spans="62:62" x14ac:dyDescent="0.2">
      <c r="BJ50813" s="201"/>
    </row>
    <row r="50814" spans="62:62" x14ac:dyDescent="0.2">
      <c r="BJ50814" s="201"/>
    </row>
    <row r="50815" spans="62:62" x14ac:dyDescent="0.2">
      <c r="BJ50815" s="201"/>
    </row>
    <row r="50816" spans="62:62" x14ac:dyDescent="0.2">
      <c r="BJ50816" s="201"/>
    </row>
    <row r="50817" spans="62:62" x14ac:dyDescent="0.2">
      <c r="BJ50817" s="201"/>
    </row>
    <row r="50818" spans="62:62" x14ac:dyDescent="0.2">
      <c r="BJ50818" s="201"/>
    </row>
    <row r="50819" spans="62:62" x14ac:dyDescent="0.2">
      <c r="BJ50819" s="201"/>
    </row>
    <row r="50820" spans="62:62" x14ac:dyDescent="0.2">
      <c r="BJ50820" s="201"/>
    </row>
    <row r="50821" spans="62:62" x14ac:dyDescent="0.2">
      <c r="BJ50821" s="201"/>
    </row>
    <row r="50822" spans="62:62" x14ac:dyDescent="0.2">
      <c r="BJ50822" s="201"/>
    </row>
    <row r="50823" spans="62:62" x14ac:dyDescent="0.2">
      <c r="BJ50823" s="201"/>
    </row>
    <row r="50824" spans="62:62" x14ac:dyDescent="0.2">
      <c r="BJ50824" s="201"/>
    </row>
    <row r="50825" spans="62:62" x14ac:dyDescent="0.2">
      <c r="BJ50825" s="201"/>
    </row>
    <row r="50826" spans="62:62" x14ac:dyDescent="0.2">
      <c r="BJ50826" s="201"/>
    </row>
    <row r="50827" spans="62:62" x14ac:dyDescent="0.2">
      <c r="BJ50827" s="201"/>
    </row>
    <row r="50828" spans="62:62" x14ac:dyDescent="0.2">
      <c r="BJ50828" s="201"/>
    </row>
    <row r="50829" spans="62:62" x14ac:dyDescent="0.2">
      <c r="BJ50829" s="201"/>
    </row>
    <row r="50830" spans="62:62" x14ac:dyDescent="0.2">
      <c r="BJ50830" s="201"/>
    </row>
    <row r="50831" spans="62:62" x14ac:dyDescent="0.2">
      <c r="BJ50831" s="201"/>
    </row>
    <row r="50832" spans="62:62" x14ac:dyDescent="0.2">
      <c r="BJ50832" s="201"/>
    </row>
    <row r="50833" spans="62:62" x14ac:dyDescent="0.2">
      <c r="BJ50833" s="201"/>
    </row>
    <row r="50834" spans="62:62" x14ac:dyDescent="0.2">
      <c r="BJ50834" s="201"/>
    </row>
    <row r="50835" spans="62:62" x14ac:dyDescent="0.2">
      <c r="BJ50835" s="201"/>
    </row>
    <row r="50836" spans="62:62" x14ac:dyDescent="0.2">
      <c r="BJ50836" s="201"/>
    </row>
    <row r="50837" spans="62:62" x14ac:dyDescent="0.2">
      <c r="BJ50837" s="201"/>
    </row>
    <row r="50838" spans="62:62" x14ac:dyDescent="0.2">
      <c r="BJ50838" s="201"/>
    </row>
    <row r="50839" spans="62:62" x14ac:dyDescent="0.2">
      <c r="BJ50839" s="201"/>
    </row>
    <row r="50840" spans="62:62" x14ac:dyDescent="0.2">
      <c r="BJ50840" s="201"/>
    </row>
    <row r="50841" spans="62:62" x14ac:dyDescent="0.2">
      <c r="BJ50841" s="201"/>
    </row>
    <row r="50842" spans="62:62" x14ac:dyDescent="0.2">
      <c r="BJ50842" s="201"/>
    </row>
    <row r="50843" spans="62:62" x14ac:dyDescent="0.2">
      <c r="BJ50843" s="201"/>
    </row>
    <row r="50844" spans="62:62" x14ac:dyDescent="0.2">
      <c r="BJ50844" s="201"/>
    </row>
    <row r="50845" spans="62:62" x14ac:dyDescent="0.2">
      <c r="BJ50845" s="201"/>
    </row>
    <row r="50846" spans="62:62" x14ac:dyDescent="0.2">
      <c r="BJ50846" s="201"/>
    </row>
    <row r="50847" spans="62:62" x14ac:dyDescent="0.2">
      <c r="BJ50847" s="201"/>
    </row>
    <row r="50848" spans="62:62" x14ac:dyDescent="0.2">
      <c r="BJ50848" s="201"/>
    </row>
    <row r="50849" spans="62:62" x14ac:dyDescent="0.2">
      <c r="BJ50849" s="201"/>
    </row>
    <row r="50850" spans="62:62" x14ac:dyDescent="0.2">
      <c r="BJ50850" s="201"/>
    </row>
    <row r="50851" spans="62:62" x14ac:dyDescent="0.2">
      <c r="BJ50851" s="201"/>
    </row>
    <row r="50852" spans="62:62" x14ac:dyDescent="0.2">
      <c r="BJ50852" s="201"/>
    </row>
    <row r="50853" spans="62:62" x14ac:dyDescent="0.2">
      <c r="BJ50853" s="201"/>
    </row>
    <row r="50854" spans="62:62" x14ac:dyDescent="0.2">
      <c r="BJ50854" s="201"/>
    </row>
    <row r="50855" spans="62:62" x14ac:dyDescent="0.2">
      <c r="BJ50855" s="201"/>
    </row>
    <row r="50856" spans="62:62" x14ac:dyDescent="0.2">
      <c r="BJ50856" s="201"/>
    </row>
    <row r="50857" spans="62:62" x14ac:dyDescent="0.2">
      <c r="BJ50857" s="201"/>
    </row>
    <row r="50858" spans="62:62" x14ac:dyDescent="0.2">
      <c r="BJ50858" s="201"/>
    </row>
    <row r="50859" spans="62:62" x14ac:dyDescent="0.2">
      <c r="BJ50859" s="201"/>
    </row>
    <row r="50860" spans="62:62" x14ac:dyDescent="0.2">
      <c r="BJ50860" s="201"/>
    </row>
    <row r="50861" spans="62:62" x14ac:dyDescent="0.2">
      <c r="BJ50861" s="201"/>
    </row>
    <row r="50862" spans="62:62" x14ac:dyDescent="0.2">
      <c r="BJ50862" s="201"/>
    </row>
    <row r="50863" spans="62:62" x14ac:dyDescent="0.2">
      <c r="BJ50863" s="201"/>
    </row>
    <row r="50864" spans="62:62" x14ac:dyDescent="0.2">
      <c r="BJ50864" s="201"/>
    </row>
    <row r="50865" spans="62:62" x14ac:dyDescent="0.2">
      <c r="BJ50865" s="201"/>
    </row>
    <row r="50866" spans="62:62" x14ac:dyDescent="0.2">
      <c r="BJ50866" s="201"/>
    </row>
    <row r="50867" spans="62:62" x14ac:dyDescent="0.2">
      <c r="BJ50867" s="201"/>
    </row>
    <row r="50868" spans="62:62" x14ac:dyDescent="0.2">
      <c r="BJ50868" s="201"/>
    </row>
    <row r="50869" spans="62:62" x14ac:dyDescent="0.2">
      <c r="BJ50869" s="201"/>
    </row>
    <row r="50870" spans="62:62" x14ac:dyDescent="0.2">
      <c r="BJ50870" s="201"/>
    </row>
    <row r="50871" spans="62:62" x14ac:dyDescent="0.2">
      <c r="BJ50871" s="201"/>
    </row>
    <row r="50872" spans="62:62" x14ac:dyDescent="0.2">
      <c r="BJ50872" s="201"/>
    </row>
    <row r="50873" spans="62:62" x14ac:dyDescent="0.2">
      <c r="BJ50873" s="201"/>
    </row>
    <row r="50874" spans="62:62" x14ac:dyDescent="0.2">
      <c r="BJ50874" s="201"/>
    </row>
    <row r="50875" spans="62:62" x14ac:dyDescent="0.2">
      <c r="BJ50875" s="201"/>
    </row>
    <row r="50876" spans="62:62" x14ac:dyDescent="0.2">
      <c r="BJ50876" s="201"/>
    </row>
    <row r="50877" spans="62:62" x14ac:dyDescent="0.2">
      <c r="BJ50877" s="201"/>
    </row>
    <row r="50878" spans="62:62" x14ac:dyDescent="0.2">
      <c r="BJ50878" s="201"/>
    </row>
    <row r="50879" spans="62:62" x14ac:dyDescent="0.2">
      <c r="BJ50879" s="201"/>
    </row>
    <row r="50880" spans="62:62" x14ac:dyDescent="0.2">
      <c r="BJ50880" s="201"/>
    </row>
    <row r="50881" spans="62:62" x14ac:dyDescent="0.2">
      <c r="BJ50881" s="201"/>
    </row>
    <row r="50882" spans="62:62" x14ac:dyDescent="0.2">
      <c r="BJ50882" s="201"/>
    </row>
    <row r="50883" spans="62:62" x14ac:dyDescent="0.2">
      <c r="BJ50883" s="201"/>
    </row>
    <row r="50884" spans="62:62" x14ac:dyDescent="0.2">
      <c r="BJ50884" s="201"/>
    </row>
    <row r="50885" spans="62:62" x14ac:dyDescent="0.2">
      <c r="BJ50885" s="201"/>
    </row>
    <row r="50886" spans="62:62" x14ac:dyDescent="0.2">
      <c r="BJ50886" s="201"/>
    </row>
    <row r="50887" spans="62:62" x14ac:dyDescent="0.2">
      <c r="BJ50887" s="201"/>
    </row>
    <row r="50888" spans="62:62" x14ac:dyDescent="0.2">
      <c r="BJ50888" s="201"/>
    </row>
    <row r="50889" spans="62:62" x14ac:dyDescent="0.2">
      <c r="BJ50889" s="201"/>
    </row>
    <row r="50890" spans="62:62" x14ac:dyDescent="0.2">
      <c r="BJ50890" s="201"/>
    </row>
    <row r="50891" spans="62:62" x14ac:dyDescent="0.2">
      <c r="BJ50891" s="201"/>
    </row>
    <row r="50892" spans="62:62" x14ac:dyDescent="0.2">
      <c r="BJ50892" s="201"/>
    </row>
    <row r="50893" spans="62:62" x14ac:dyDescent="0.2">
      <c r="BJ50893" s="201"/>
    </row>
    <row r="50894" spans="62:62" x14ac:dyDescent="0.2">
      <c r="BJ50894" s="201"/>
    </row>
    <row r="50895" spans="62:62" x14ac:dyDescent="0.2">
      <c r="BJ50895" s="201"/>
    </row>
    <row r="50896" spans="62:62" x14ac:dyDescent="0.2">
      <c r="BJ50896" s="201"/>
    </row>
    <row r="50897" spans="62:62" x14ac:dyDescent="0.2">
      <c r="BJ50897" s="201"/>
    </row>
    <row r="50898" spans="62:62" x14ac:dyDescent="0.2">
      <c r="BJ50898" s="201"/>
    </row>
    <row r="50899" spans="62:62" x14ac:dyDescent="0.2">
      <c r="BJ50899" s="201"/>
    </row>
    <row r="50900" spans="62:62" x14ac:dyDescent="0.2">
      <c r="BJ50900" s="201"/>
    </row>
    <row r="50901" spans="62:62" x14ac:dyDescent="0.2">
      <c r="BJ50901" s="201"/>
    </row>
    <row r="50902" spans="62:62" x14ac:dyDescent="0.2">
      <c r="BJ50902" s="201"/>
    </row>
    <row r="50903" spans="62:62" x14ac:dyDescent="0.2">
      <c r="BJ50903" s="201"/>
    </row>
    <row r="50904" spans="62:62" x14ac:dyDescent="0.2">
      <c r="BJ50904" s="201"/>
    </row>
    <row r="50905" spans="62:62" x14ac:dyDescent="0.2">
      <c r="BJ50905" s="201"/>
    </row>
    <row r="50906" spans="62:62" x14ac:dyDescent="0.2">
      <c r="BJ50906" s="201"/>
    </row>
    <row r="50907" spans="62:62" x14ac:dyDescent="0.2">
      <c r="BJ50907" s="201"/>
    </row>
    <row r="50908" spans="62:62" x14ac:dyDescent="0.2">
      <c r="BJ50908" s="201"/>
    </row>
    <row r="50909" spans="62:62" x14ac:dyDescent="0.2">
      <c r="BJ50909" s="201"/>
    </row>
    <row r="50910" spans="62:62" x14ac:dyDescent="0.2">
      <c r="BJ50910" s="201"/>
    </row>
    <row r="50911" spans="62:62" x14ac:dyDescent="0.2">
      <c r="BJ50911" s="201"/>
    </row>
    <row r="50912" spans="62:62" x14ac:dyDescent="0.2">
      <c r="BJ50912" s="201"/>
    </row>
    <row r="50913" spans="62:62" x14ac:dyDescent="0.2">
      <c r="BJ50913" s="201"/>
    </row>
    <row r="50914" spans="62:62" x14ac:dyDescent="0.2">
      <c r="BJ50914" s="201"/>
    </row>
    <row r="50915" spans="62:62" x14ac:dyDescent="0.2">
      <c r="BJ50915" s="201"/>
    </row>
    <row r="50916" spans="62:62" x14ac:dyDescent="0.2">
      <c r="BJ50916" s="201"/>
    </row>
    <row r="50917" spans="62:62" x14ac:dyDescent="0.2">
      <c r="BJ50917" s="201"/>
    </row>
    <row r="50918" spans="62:62" x14ac:dyDescent="0.2">
      <c r="BJ50918" s="201"/>
    </row>
    <row r="50919" spans="62:62" x14ac:dyDescent="0.2">
      <c r="BJ50919" s="201"/>
    </row>
    <row r="50920" spans="62:62" x14ac:dyDescent="0.2">
      <c r="BJ50920" s="201"/>
    </row>
    <row r="50921" spans="62:62" x14ac:dyDescent="0.2">
      <c r="BJ50921" s="201"/>
    </row>
    <row r="50922" spans="62:62" x14ac:dyDescent="0.2">
      <c r="BJ50922" s="201"/>
    </row>
    <row r="50923" spans="62:62" x14ac:dyDescent="0.2">
      <c r="BJ50923" s="201"/>
    </row>
    <row r="50924" spans="62:62" x14ac:dyDescent="0.2">
      <c r="BJ50924" s="201"/>
    </row>
    <row r="50925" spans="62:62" x14ac:dyDescent="0.2">
      <c r="BJ50925" s="201"/>
    </row>
    <row r="50926" spans="62:62" x14ac:dyDescent="0.2">
      <c r="BJ50926" s="201"/>
    </row>
    <row r="50927" spans="62:62" x14ac:dyDescent="0.2">
      <c r="BJ50927" s="201"/>
    </row>
    <row r="50928" spans="62:62" x14ac:dyDescent="0.2">
      <c r="BJ50928" s="201"/>
    </row>
    <row r="50929" spans="62:62" x14ac:dyDescent="0.2">
      <c r="BJ50929" s="201"/>
    </row>
    <row r="50930" spans="62:62" x14ac:dyDescent="0.2">
      <c r="BJ50930" s="201"/>
    </row>
    <row r="50931" spans="62:62" x14ac:dyDescent="0.2">
      <c r="BJ50931" s="201"/>
    </row>
    <row r="50932" spans="62:62" x14ac:dyDescent="0.2">
      <c r="BJ50932" s="201"/>
    </row>
    <row r="50933" spans="62:62" x14ac:dyDescent="0.2">
      <c r="BJ50933" s="201"/>
    </row>
    <row r="50934" spans="62:62" x14ac:dyDescent="0.2">
      <c r="BJ50934" s="201"/>
    </row>
    <row r="50935" spans="62:62" x14ac:dyDescent="0.2">
      <c r="BJ50935" s="201"/>
    </row>
    <row r="50936" spans="62:62" x14ac:dyDescent="0.2">
      <c r="BJ50936" s="201"/>
    </row>
    <row r="50937" spans="62:62" x14ac:dyDescent="0.2">
      <c r="BJ50937" s="201"/>
    </row>
    <row r="50938" spans="62:62" x14ac:dyDescent="0.2">
      <c r="BJ50938" s="201"/>
    </row>
    <row r="50939" spans="62:62" x14ac:dyDescent="0.2">
      <c r="BJ50939" s="201"/>
    </row>
    <row r="50940" spans="62:62" x14ac:dyDescent="0.2">
      <c r="BJ50940" s="201"/>
    </row>
    <row r="50941" spans="62:62" x14ac:dyDescent="0.2">
      <c r="BJ50941" s="201"/>
    </row>
    <row r="50942" spans="62:62" x14ac:dyDescent="0.2">
      <c r="BJ50942" s="201"/>
    </row>
    <row r="50943" spans="62:62" x14ac:dyDescent="0.2">
      <c r="BJ50943" s="201"/>
    </row>
    <row r="50944" spans="62:62" x14ac:dyDescent="0.2">
      <c r="BJ50944" s="201"/>
    </row>
    <row r="50945" spans="62:62" x14ac:dyDescent="0.2">
      <c r="BJ50945" s="201"/>
    </row>
    <row r="50946" spans="62:62" x14ac:dyDescent="0.2">
      <c r="BJ50946" s="201"/>
    </row>
    <row r="50947" spans="62:62" x14ac:dyDescent="0.2">
      <c r="BJ50947" s="201"/>
    </row>
    <row r="50948" spans="62:62" x14ac:dyDescent="0.2">
      <c r="BJ50948" s="201"/>
    </row>
    <row r="50949" spans="62:62" x14ac:dyDescent="0.2">
      <c r="BJ50949" s="201"/>
    </row>
    <row r="50950" spans="62:62" x14ac:dyDescent="0.2">
      <c r="BJ50950" s="201"/>
    </row>
    <row r="50951" spans="62:62" x14ac:dyDescent="0.2">
      <c r="BJ50951" s="201"/>
    </row>
    <row r="50952" spans="62:62" x14ac:dyDescent="0.2">
      <c r="BJ50952" s="201"/>
    </row>
    <row r="50953" spans="62:62" x14ac:dyDescent="0.2">
      <c r="BJ50953" s="201"/>
    </row>
    <row r="50954" spans="62:62" x14ac:dyDescent="0.2">
      <c r="BJ50954" s="201"/>
    </row>
    <row r="50955" spans="62:62" x14ac:dyDescent="0.2">
      <c r="BJ50955" s="201"/>
    </row>
    <row r="50956" spans="62:62" x14ac:dyDescent="0.2">
      <c r="BJ50956" s="201"/>
    </row>
    <row r="50957" spans="62:62" x14ac:dyDescent="0.2">
      <c r="BJ50957" s="201"/>
    </row>
    <row r="50958" spans="62:62" x14ac:dyDescent="0.2">
      <c r="BJ50958" s="201"/>
    </row>
    <row r="50959" spans="62:62" x14ac:dyDescent="0.2">
      <c r="BJ50959" s="201"/>
    </row>
    <row r="50960" spans="62:62" x14ac:dyDescent="0.2">
      <c r="BJ50960" s="201"/>
    </row>
    <row r="50961" spans="62:62" x14ac:dyDescent="0.2">
      <c r="BJ50961" s="201"/>
    </row>
    <row r="50962" spans="62:62" x14ac:dyDescent="0.2">
      <c r="BJ50962" s="201"/>
    </row>
    <row r="50963" spans="62:62" x14ac:dyDescent="0.2">
      <c r="BJ50963" s="201"/>
    </row>
    <row r="50964" spans="62:62" x14ac:dyDescent="0.2">
      <c r="BJ50964" s="201"/>
    </row>
    <row r="50965" spans="62:62" x14ac:dyDescent="0.2">
      <c r="BJ50965" s="201"/>
    </row>
    <row r="50966" spans="62:62" x14ac:dyDescent="0.2">
      <c r="BJ50966" s="201"/>
    </row>
    <row r="50967" spans="62:62" x14ac:dyDescent="0.2">
      <c r="BJ50967" s="201"/>
    </row>
    <row r="50968" spans="62:62" x14ac:dyDescent="0.2">
      <c r="BJ50968" s="201"/>
    </row>
    <row r="50969" spans="62:62" x14ac:dyDescent="0.2">
      <c r="BJ50969" s="201"/>
    </row>
    <row r="50970" spans="62:62" x14ac:dyDescent="0.2">
      <c r="BJ50970" s="201"/>
    </row>
    <row r="50971" spans="62:62" x14ac:dyDescent="0.2">
      <c r="BJ50971" s="201"/>
    </row>
    <row r="50972" spans="62:62" x14ac:dyDescent="0.2">
      <c r="BJ50972" s="201"/>
    </row>
    <row r="50973" spans="62:62" x14ac:dyDescent="0.2">
      <c r="BJ50973" s="201"/>
    </row>
    <row r="50974" spans="62:62" x14ac:dyDescent="0.2">
      <c r="BJ50974" s="201"/>
    </row>
    <row r="50975" spans="62:62" x14ac:dyDescent="0.2">
      <c r="BJ50975" s="201"/>
    </row>
    <row r="50976" spans="62:62" x14ac:dyDescent="0.2">
      <c r="BJ50976" s="201"/>
    </row>
    <row r="50977" spans="62:62" x14ac:dyDescent="0.2">
      <c r="BJ50977" s="201"/>
    </row>
    <row r="50978" spans="62:62" x14ac:dyDescent="0.2">
      <c r="BJ50978" s="201"/>
    </row>
    <row r="50979" spans="62:62" x14ac:dyDescent="0.2">
      <c r="BJ50979" s="201"/>
    </row>
    <row r="50980" spans="62:62" x14ac:dyDescent="0.2">
      <c r="BJ50980" s="201"/>
    </row>
    <row r="50981" spans="62:62" x14ac:dyDescent="0.2">
      <c r="BJ50981" s="201"/>
    </row>
    <row r="50982" spans="62:62" x14ac:dyDescent="0.2">
      <c r="BJ50982" s="201"/>
    </row>
    <row r="50983" spans="62:62" x14ac:dyDescent="0.2">
      <c r="BJ50983" s="201"/>
    </row>
    <row r="50984" spans="62:62" x14ac:dyDescent="0.2">
      <c r="BJ50984" s="201"/>
    </row>
    <row r="50985" spans="62:62" x14ac:dyDescent="0.2">
      <c r="BJ50985" s="201"/>
    </row>
    <row r="50986" spans="62:62" x14ac:dyDescent="0.2">
      <c r="BJ50986" s="201"/>
    </row>
    <row r="50987" spans="62:62" x14ac:dyDescent="0.2">
      <c r="BJ50987" s="201"/>
    </row>
    <row r="50988" spans="62:62" x14ac:dyDescent="0.2">
      <c r="BJ50988" s="201"/>
    </row>
    <row r="50989" spans="62:62" x14ac:dyDescent="0.2">
      <c r="BJ50989" s="201"/>
    </row>
    <row r="50990" spans="62:62" x14ac:dyDescent="0.2">
      <c r="BJ50990" s="201"/>
    </row>
    <row r="50991" spans="62:62" x14ac:dyDescent="0.2">
      <c r="BJ50991" s="201"/>
    </row>
    <row r="50992" spans="62:62" x14ac:dyDescent="0.2">
      <c r="BJ50992" s="201"/>
    </row>
    <row r="50993" spans="62:62" x14ac:dyDescent="0.2">
      <c r="BJ50993" s="201"/>
    </row>
    <row r="50994" spans="62:62" x14ac:dyDescent="0.2">
      <c r="BJ50994" s="201"/>
    </row>
    <row r="50995" spans="62:62" x14ac:dyDescent="0.2">
      <c r="BJ50995" s="201"/>
    </row>
    <row r="50996" spans="62:62" x14ac:dyDescent="0.2">
      <c r="BJ50996" s="201"/>
    </row>
    <row r="50997" spans="62:62" x14ac:dyDescent="0.2">
      <c r="BJ50997" s="201"/>
    </row>
    <row r="50998" spans="62:62" x14ac:dyDescent="0.2">
      <c r="BJ50998" s="201"/>
    </row>
    <row r="50999" spans="62:62" x14ac:dyDescent="0.2">
      <c r="BJ50999" s="201"/>
    </row>
    <row r="51000" spans="62:62" x14ac:dyDescent="0.2">
      <c r="BJ51000" s="201"/>
    </row>
    <row r="51001" spans="62:62" x14ac:dyDescent="0.2">
      <c r="BJ51001" s="201"/>
    </row>
    <row r="51002" spans="62:62" x14ac:dyDescent="0.2">
      <c r="BJ51002" s="201"/>
    </row>
    <row r="51003" spans="62:62" x14ac:dyDescent="0.2">
      <c r="BJ51003" s="201"/>
    </row>
    <row r="51004" spans="62:62" x14ac:dyDescent="0.2">
      <c r="BJ51004" s="201"/>
    </row>
    <row r="51005" spans="62:62" x14ac:dyDescent="0.2">
      <c r="BJ51005" s="201"/>
    </row>
    <row r="51006" spans="62:62" x14ac:dyDescent="0.2">
      <c r="BJ51006" s="201"/>
    </row>
    <row r="51007" spans="62:62" x14ac:dyDescent="0.2">
      <c r="BJ51007" s="201"/>
    </row>
    <row r="51008" spans="62:62" x14ac:dyDescent="0.2">
      <c r="BJ51008" s="201"/>
    </row>
    <row r="51009" spans="62:62" x14ac:dyDescent="0.2">
      <c r="BJ51009" s="201"/>
    </row>
    <row r="51010" spans="62:62" x14ac:dyDescent="0.2">
      <c r="BJ51010" s="201"/>
    </row>
    <row r="51011" spans="62:62" x14ac:dyDescent="0.2">
      <c r="BJ51011" s="201"/>
    </row>
    <row r="51012" spans="62:62" x14ac:dyDescent="0.2">
      <c r="BJ51012" s="201"/>
    </row>
    <row r="51013" spans="62:62" x14ac:dyDescent="0.2">
      <c r="BJ51013" s="201"/>
    </row>
    <row r="51014" spans="62:62" x14ac:dyDescent="0.2">
      <c r="BJ51014" s="201"/>
    </row>
    <row r="51015" spans="62:62" x14ac:dyDescent="0.2">
      <c r="BJ51015" s="201"/>
    </row>
    <row r="51016" spans="62:62" x14ac:dyDescent="0.2">
      <c r="BJ51016" s="201"/>
    </row>
    <row r="51017" spans="62:62" x14ac:dyDescent="0.2">
      <c r="BJ51017" s="201"/>
    </row>
    <row r="51018" spans="62:62" x14ac:dyDescent="0.2">
      <c r="BJ51018" s="201"/>
    </row>
    <row r="51019" spans="62:62" x14ac:dyDescent="0.2">
      <c r="BJ51019" s="201"/>
    </row>
    <row r="51020" spans="62:62" x14ac:dyDescent="0.2">
      <c r="BJ51020" s="201"/>
    </row>
    <row r="51021" spans="62:62" x14ac:dyDescent="0.2">
      <c r="BJ51021" s="201"/>
    </row>
    <row r="51022" spans="62:62" x14ac:dyDescent="0.2">
      <c r="BJ51022" s="201"/>
    </row>
    <row r="51023" spans="62:62" x14ac:dyDescent="0.2">
      <c r="BJ51023" s="201"/>
    </row>
    <row r="51024" spans="62:62" x14ac:dyDescent="0.2">
      <c r="BJ51024" s="201"/>
    </row>
    <row r="51025" spans="62:62" x14ac:dyDescent="0.2">
      <c r="BJ51025" s="201"/>
    </row>
    <row r="51026" spans="62:62" x14ac:dyDescent="0.2">
      <c r="BJ51026" s="201"/>
    </row>
    <row r="51027" spans="62:62" x14ac:dyDescent="0.2">
      <c r="BJ51027" s="201"/>
    </row>
    <row r="51028" spans="62:62" x14ac:dyDescent="0.2">
      <c r="BJ51028" s="201"/>
    </row>
    <row r="51029" spans="62:62" x14ac:dyDescent="0.2">
      <c r="BJ51029" s="201"/>
    </row>
    <row r="51030" spans="62:62" x14ac:dyDescent="0.2">
      <c r="BJ51030" s="201"/>
    </row>
    <row r="51031" spans="62:62" x14ac:dyDescent="0.2">
      <c r="BJ51031" s="201"/>
    </row>
    <row r="51032" spans="62:62" x14ac:dyDescent="0.2">
      <c r="BJ51032" s="201"/>
    </row>
    <row r="51033" spans="62:62" x14ac:dyDescent="0.2">
      <c r="BJ51033" s="201"/>
    </row>
    <row r="51034" spans="62:62" x14ac:dyDescent="0.2">
      <c r="BJ51034" s="201"/>
    </row>
    <row r="51035" spans="62:62" x14ac:dyDescent="0.2">
      <c r="BJ51035" s="201"/>
    </row>
    <row r="51036" spans="62:62" x14ac:dyDescent="0.2">
      <c r="BJ51036" s="201"/>
    </row>
    <row r="51037" spans="62:62" x14ac:dyDescent="0.2">
      <c r="BJ51037" s="201"/>
    </row>
    <row r="51038" spans="62:62" x14ac:dyDescent="0.2">
      <c r="BJ51038" s="201"/>
    </row>
    <row r="51039" spans="62:62" x14ac:dyDescent="0.2">
      <c r="BJ51039" s="201"/>
    </row>
    <row r="51040" spans="62:62" x14ac:dyDescent="0.2">
      <c r="BJ51040" s="201"/>
    </row>
    <row r="51041" spans="62:62" x14ac:dyDescent="0.2">
      <c r="BJ51041" s="201"/>
    </row>
    <row r="51042" spans="62:62" x14ac:dyDescent="0.2">
      <c r="BJ51042" s="201"/>
    </row>
    <row r="51043" spans="62:62" x14ac:dyDescent="0.2">
      <c r="BJ51043" s="201"/>
    </row>
    <row r="51044" spans="62:62" x14ac:dyDescent="0.2">
      <c r="BJ51044" s="201"/>
    </row>
    <row r="51045" spans="62:62" x14ac:dyDescent="0.2">
      <c r="BJ51045" s="201"/>
    </row>
    <row r="51046" spans="62:62" x14ac:dyDescent="0.2">
      <c r="BJ51046" s="201"/>
    </row>
    <row r="51047" spans="62:62" x14ac:dyDescent="0.2">
      <c r="BJ51047" s="201"/>
    </row>
    <row r="51048" spans="62:62" x14ac:dyDescent="0.2">
      <c r="BJ51048" s="201"/>
    </row>
    <row r="51049" spans="62:62" x14ac:dyDescent="0.2">
      <c r="BJ51049" s="201"/>
    </row>
    <row r="51050" spans="62:62" x14ac:dyDescent="0.2">
      <c r="BJ51050" s="201"/>
    </row>
    <row r="51051" spans="62:62" x14ac:dyDescent="0.2">
      <c r="BJ51051" s="201"/>
    </row>
    <row r="51052" spans="62:62" x14ac:dyDescent="0.2">
      <c r="BJ51052" s="201"/>
    </row>
    <row r="51053" spans="62:62" x14ac:dyDescent="0.2">
      <c r="BJ51053" s="201"/>
    </row>
    <row r="51054" spans="62:62" x14ac:dyDescent="0.2">
      <c r="BJ51054" s="201"/>
    </row>
    <row r="51055" spans="62:62" x14ac:dyDescent="0.2">
      <c r="BJ51055" s="201"/>
    </row>
    <row r="51056" spans="62:62" x14ac:dyDescent="0.2">
      <c r="BJ51056" s="201"/>
    </row>
    <row r="51057" spans="62:62" x14ac:dyDescent="0.2">
      <c r="BJ51057" s="201"/>
    </row>
    <row r="51058" spans="62:62" x14ac:dyDescent="0.2">
      <c r="BJ51058" s="201"/>
    </row>
    <row r="51059" spans="62:62" x14ac:dyDescent="0.2">
      <c r="BJ51059" s="201"/>
    </row>
    <row r="51060" spans="62:62" x14ac:dyDescent="0.2">
      <c r="BJ51060" s="201"/>
    </row>
    <row r="51061" spans="62:62" x14ac:dyDescent="0.2">
      <c r="BJ51061" s="201"/>
    </row>
    <row r="51062" spans="62:62" x14ac:dyDescent="0.2">
      <c r="BJ51062" s="201"/>
    </row>
    <row r="51063" spans="62:62" x14ac:dyDescent="0.2">
      <c r="BJ51063" s="201"/>
    </row>
    <row r="51064" spans="62:62" x14ac:dyDescent="0.2">
      <c r="BJ51064" s="201"/>
    </row>
    <row r="51065" spans="62:62" x14ac:dyDescent="0.2">
      <c r="BJ51065" s="201"/>
    </row>
    <row r="51066" spans="62:62" x14ac:dyDescent="0.2">
      <c r="BJ51066" s="201"/>
    </row>
    <row r="51067" spans="62:62" x14ac:dyDescent="0.2">
      <c r="BJ51067" s="201"/>
    </row>
    <row r="51068" spans="62:62" x14ac:dyDescent="0.2">
      <c r="BJ51068" s="201"/>
    </row>
    <row r="51069" spans="62:62" x14ac:dyDescent="0.2">
      <c r="BJ51069" s="201"/>
    </row>
    <row r="51070" spans="62:62" x14ac:dyDescent="0.2">
      <c r="BJ51070" s="201"/>
    </row>
    <row r="51071" spans="62:62" x14ac:dyDescent="0.2">
      <c r="BJ51071" s="201"/>
    </row>
    <row r="51072" spans="62:62" x14ac:dyDescent="0.2">
      <c r="BJ51072" s="201"/>
    </row>
    <row r="51073" spans="62:62" x14ac:dyDescent="0.2">
      <c r="BJ51073" s="201"/>
    </row>
    <row r="51074" spans="62:62" x14ac:dyDescent="0.2">
      <c r="BJ51074" s="201"/>
    </row>
    <row r="51075" spans="62:62" x14ac:dyDescent="0.2">
      <c r="BJ51075" s="201"/>
    </row>
    <row r="51076" spans="62:62" x14ac:dyDescent="0.2">
      <c r="BJ51076" s="201"/>
    </row>
    <row r="51077" spans="62:62" x14ac:dyDescent="0.2">
      <c r="BJ51077" s="201"/>
    </row>
    <row r="51078" spans="62:62" x14ac:dyDescent="0.2">
      <c r="BJ51078" s="201"/>
    </row>
    <row r="51079" spans="62:62" x14ac:dyDescent="0.2">
      <c r="BJ51079" s="201"/>
    </row>
    <row r="51080" spans="62:62" x14ac:dyDescent="0.2">
      <c r="BJ51080" s="201"/>
    </row>
    <row r="51081" spans="62:62" x14ac:dyDescent="0.2">
      <c r="BJ51081" s="201"/>
    </row>
    <row r="51082" spans="62:62" x14ac:dyDescent="0.2">
      <c r="BJ51082" s="201"/>
    </row>
    <row r="51083" spans="62:62" x14ac:dyDescent="0.2">
      <c r="BJ51083" s="201"/>
    </row>
    <row r="51084" spans="62:62" x14ac:dyDescent="0.2">
      <c r="BJ51084" s="201"/>
    </row>
    <row r="51085" spans="62:62" x14ac:dyDescent="0.2">
      <c r="BJ51085" s="201"/>
    </row>
    <row r="51086" spans="62:62" x14ac:dyDescent="0.2">
      <c r="BJ51086" s="201"/>
    </row>
    <row r="51087" spans="62:62" x14ac:dyDescent="0.2">
      <c r="BJ51087" s="201"/>
    </row>
    <row r="51088" spans="62:62" x14ac:dyDescent="0.2">
      <c r="BJ51088" s="201"/>
    </row>
    <row r="51089" spans="62:62" x14ac:dyDescent="0.2">
      <c r="BJ51089" s="201"/>
    </row>
    <row r="51090" spans="62:62" x14ac:dyDescent="0.2">
      <c r="BJ51090" s="201"/>
    </row>
    <row r="51091" spans="62:62" x14ac:dyDescent="0.2">
      <c r="BJ51091" s="201"/>
    </row>
    <row r="51092" spans="62:62" x14ac:dyDescent="0.2">
      <c r="BJ51092" s="201"/>
    </row>
    <row r="51093" spans="62:62" x14ac:dyDescent="0.2">
      <c r="BJ51093" s="201"/>
    </row>
    <row r="51094" spans="62:62" x14ac:dyDescent="0.2">
      <c r="BJ51094" s="201"/>
    </row>
    <row r="51095" spans="62:62" x14ac:dyDescent="0.2">
      <c r="BJ51095" s="201"/>
    </row>
    <row r="51096" spans="62:62" x14ac:dyDescent="0.2">
      <c r="BJ51096" s="201"/>
    </row>
    <row r="51097" spans="62:62" x14ac:dyDescent="0.2">
      <c r="BJ51097" s="201"/>
    </row>
    <row r="51098" spans="62:62" x14ac:dyDescent="0.2">
      <c r="BJ51098" s="201"/>
    </row>
    <row r="51099" spans="62:62" x14ac:dyDescent="0.2">
      <c r="BJ51099" s="201"/>
    </row>
    <row r="51100" spans="62:62" x14ac:dyDescent="0.2">
      <c r="BJ51100" s="201"/>
    </row>
    <row r="51101" spans="62:62" x14ac:dyDescent="0.2">
      <c r="BJ51101" s="201"/>
    </row>
    <row r="51102" spans="62:62" x14ac:dyDescent="0.2">
      <c r="BJ51102" s="201"/>
    </row>
    <row r="51103" spans="62:62" x14ac:dyDescent="0.2">
      <c r="BJ51103" s="201"/>
    </row>
    <row r="51104" spans="62:62" x14ac:dyDescent="0.2">
      <c r="BJ51104" s="201"/>
    </row>
    <row r="51105" spans="62:62" x14ac:dyDescent="0.2">
      <c r="BJ51105" s="201"/>
    </row>
    <row r="51106" spans="62:62" x14ac:dyDescent="0.2">
      <c r="BJ51106" s="201"/>
    </row>
    <row r="51107" spans="62:62" x14ac:dyDescent="0.2">
      <c r="BJ51107" s="201"/>
    </row>
    <row r="51108" spans="62:62" x14ac:dyDescent="0.2">
      <c r="BJ51108" s="201"/>
    </row>
    <row r="51109" spans="62:62" x14ac:dyDescent="0.2">
      <c r="BJ51109" s="201"/>
    </row>
    <row r="51110" spans="62:62" x14ac:dyDescent="0.2">
      <c r="BJ51110" s="201"/>
    </row>
    <row r="51111" spans="62:62" x14ac:dyDescent="0.2">
      <c r="BJ51111" s="201"/>
    </row>
    <row r="51112" spans="62:62" x14ac:dyDescent="0.2">
      <c r="BJ51112" s="201"/>
    </row>
    <row r="51113" spans="62:62" x14ac:dyDescent="0.2">
      <c r="BJ51113" s="201"/>
    </row>
    <row r="51114" spans="62:62" x14ac:dyDescent="0.2">
      <c r="BJ51114" s="201"/>
    </row>
    <row r="51115" spans="62:62" x14ac:dyDescent="0.2">
      <c r="BJ51115" s="201"/>
    </row>
    <row r="51116" spans="62:62" x14ac:dyDescent="0.2">
      <c r="BJ51116" s="201"/>
    </row>
    <row r="51117" spans="62:62" x14ac:dyDescent="0.2">
      <c r="BJ51117" s="201"/>
    </row>
    <row r="51118" spans="62:62" x14ac:dyDescent="0.2">
      <c r="BJ51118" s="201"/>
    </row>
    <row r="51119" spans="62:62" x14ac:dyDescent="0.2">
      <c r="BJ51119" s="201"/>
    </row>
    <row r="51120" spans="62:62" x14ac:dyDescent="0.2">
      <c r="BJ51120" s="201"/>
    </row>
    <row r="51121" spans="62:62" x14ac:dyDescent="0.2">
      <c r="BJ51121" s="201"/>
    </row>
    <row r="51122" spans="62:62" x14ac:dyDescent="0.2">
      <c r="BJ51122" s="201"/>
    </row>
    <row r="51123" spans="62:62" x14ac:dyDescent="0.2">
      <c r="BJ51123" s="201"/>
    </row>
    <row r="51124" spans="62:62" x14ac:dyDescent="0.2">
      <c r="BJ51124" s="201"/>
    </row>
    <row r="51125" spans="62:62" x14ac:dyDescent="0.2">
      <c r="BJ51125" s="201"/>
    </row>
    <row r="51126" spans="62:62" x14ac:dyDescent="0.2">
      <c r="BJ51126" s="201"/>
    </row>
    <row r="51127" spans="62:62" x14ac:dyDescent="0.2">
      <c r="BJ51127" s="201"/>
    </row>
    <row r="51128" spans="62:62" x14ac:dyDescent="0.2">
      <c r="BJ51128" s="201"/>
    </row>
    <row r="51129" spans="62:62" x14ac:dyDescent="0.2">
      <c r="BJ51129" s="201"/>
    </row>
    <row r="51130" spans="62:62" x14ac:dyDescent="0.2">
      <c r="BJ51130" s="201"/>
    </row>
    <row r="51131" spans="62:62" x14ac:dyDescent="0.2">
      <c r="BJ51131" s="201"/>
    </row>
    <row r="51132" spans="62:62" x14ac:dyDescent="0.2">
      <c r="BJ51132" s="201"/>
    </row>
    <row r="51133" spans="62:62" x14ac:dyDescent="0.2">
      <c r="BJ51133" s="201"/>
    </row>
    <row r="51134" spans="62:62" x14ac:dyDescent="0.2">
      <c r="BJ51134" s="201"/>
    </row>
    <row r="51135" spans="62:62" x14ac:dyDescent="0.2">
      <c r="BJ51135" s="201"/>
    </row>
    <row r="51136" spans="62:62" x14ac:dyDescent="0.2">
      <c r="BJ51136" s="201"/>
    </row>
    <row r="51137" spans="62:62" x14ac:dyDescent="0.2">
      <c r="BJ51137" s="201"/>
    </row>
    <row r="51138" spans="62:62" x14ac:dyDescent="0.2">
      <c r="BJ51138" s="201"/>
    </row>
    <row r="51139" spans="62:62" x14ac:dyDescent="0.2">
      <c r="BJ51139" s="201"/>
    </row>
    <row r="51140" spans="62:62" x14ac:dyDescent="0.2">
      <c r="BJ51140" s="201"/>
    </row>
    <row r="51141" spans="62:62" x14ac:dyDescent="0.2">
      <c r="BJ51141" s="201"/>
    </row>
    <row r="51142" spans="62:62" x14ac:dyDescent="0.2">
      <c r="BJ51142" s="201"/>
    </row>
    <row r="51143" spans="62:62" x14ac:dyDescent="0.2">
      <c r="BJ51143" s="201"/>
    </row>
    <row r="51144" spans="62:62" x14ac:dyDescent="0.2">
      <c r="BJ51144" s="201"/>
    </row>
    <row r="51145" spans="62:62" x14ac:dyDescent="0.2">
      <c r="BJ51145" s="201"/>
    </row>
    <row r="51146" spans="62:62" x14ac:dyDescent="0.2">
      <c r="BJ51146" s="201"/>
    </row>
    <row r="51147" spans="62:62" x14ac:dyDescent="0.2">
      <c r="BJ51147" s="201"/>
    </row>
    <row r="51148" spans="62:62" x14ac:dyDescent="0.2">
      <c r="BJ51148" s="201"/>
    </row>
    <row r="51149" spans="62:62" x14ac:dyDescent="0.2">
      <c r="BJ51149" s="201"/>
    </row>
    <row r="51150" spans="62:62" x14ac:dyDescent="0.2">
      <c r="BJ51150" s="201"/>
    </row>
    <row r="51151" spans="62:62" x14ac:dyDescent="0.2">
      <c r="BJ51151" s="201"/>
    </row>
    <row r="51152" spans="62:62" x14ac:dyDescent="0.2">
      <c r="BJ51152" s="201"/>
    </row>
    <row r="51153" spans="62:62" x14ac:dyDescent="0.2">
      <c r="BJ51153" s="201"/>
    </row>
    <row r="51154" spans="62:62" x14ac:dyDescent="0.2">
      <c r="BJ51154" s="201"/>
    </row>
    <row r="51155" spans="62:62" x14ac:dyDescent="0.2">
      <c r="BJ51155" s="201"/>
    </row>
    <row r="51156" spans="62:62" x14ac:dyDescent="0.2">
      <c r="BJ51156" s="201"/>
    </row>
    <row r="51157" spans="62:62" x14ac:dyDescent="0.2">
      <c r="BJ51157" s="201"/>
    </row>
    <row r="51158" spans="62:62" x14ac:dyDescent="0.2">
      <c r="BJ51158" s="201"/>
    </row>
    <row r="51159" spans="62:62" x14ac:dyDescent="0.2">
      <c r="BJ51159" s="201"/>
    </row>
    <row r="51160" spans="62:62" x14ac:dyDescent="0.2">
      <c r="BJ51160" s="201"/>
    </row>
    <row r="51161" spans="62:62" x14ac:dyDescent="0.2">
      <c r="BJ51161" s="201"/>
    </row>
    <row r="51162" spans="62:62" x14ac:dyDescent="0.2">
      <c r="BJ51162" s="201"/>
    </row>
    <row r="51163" spans="62:62" x14ac:dyDescent="0.2">
      <c r="BJ51163" s="201"/>
    </row>
    <row r="51164" spans="62:62" x14ac:dyDescent="0.2">
      <c r="BJ51164" s="201"/>
    </row>
    <row r="51165" spans="62:62" x14ac:dyDescent="0.2">
      <c r="BJ51165" s="201"/>
    </row>
    <row r="51166" spans="62:62" x14ac:dyDescent="0.2">
      <c r="BJ51166" s="201"/>
    </row>
    <row r="51167" spans="62:62" x14ac:dyDescent="0.2">
      <c r="BJ51167" s="201"/>
    </row>
    <row r="51168" spans="62:62" x14ac:dyDescent="0.2">
      <c r="BJ51168" s="201"/>
    </row>
    <row r="51169" spans="62:62" x14ac:dyDescent="0.2">
      <c r="BJ51169" s="201"/>
    </row>
    <row r="51170" spans="62:62" x14ac:dyDescent="0.2">
      <c r="BJ51170" s="201"/>
    </row>
    <row r="51171" spans="62:62" x14ac:dyDescent="0.2">
      <c r="BJ51171" s="201"/>
    </row>
    <row r="51172" spans="62:62" x14ac:dyDescent="0.2">
      <c r="BJ51172" s="201"/>
    </row>
    <row r="51173" spans="62:62" x14ac:dyDescent="0.2">
      <c r="BJ51173" s="201"/>
    </row>
    <row r="51174" spans="62:62" x14ac:dyDescent="0.2">
      <c r="BJ51174" s="201"/>
    </row>
    <row r="51175" spans="62:62" x14ac:dyDescent="0.2">
      <c r="BJ51175" s="201"/>
    </row>
    <row r="51176" spans="62:62" x14ac:dyDescent="0.2">
      <c r="BJ51176" s="201"/>
    </row>
    <row r="51177" spans="62:62" x14ac:dyDescent="0.2">
      <c r="BJ51177" s="201"/>
    </row>
    <row r="51178" spans="62:62" x14ac:dyDescent="0.2">
      <c r="BJ51178" s="201"/>
    </row>
    <row r="51179" spans="62:62" x14ac:dyDescent="0.2">
      <c r="BJ51179" s="201"/>
    </row>
    <row r="51180" spans="62:62" x14ac:dyDescent="0.2">
      <c r="BJ51180" s="201"/>
    </row>
    <row r="51181" spans="62:62" x14ac:dyDescent="0.2">
      <c r="BJ51181" s="201"/>
    </row>
    <row r="51182" spans="62:62" x14ac:dyDescent="0.2">
      <c r="BJ51182" s="201"/>
    </row>
    <row r="51183" spans="62:62" x14ac:dyDescent="0.2">
      <c r="BJ51183" s="201"/>
    </row>
    <row r="51184" spans="62:62" x14ac:dyDescent="0.2">
      <c r="BJ51184" s="201"/>
    </row>
    <row r="51185" spans="62:62" x14ac:dyDescent="0.2">
      <c r="BJ51185" s="201"/>
    </row>
    <row r="51186" spans="62:62" x14ac:dyDescent="0.2">
      <c r="BJ51186" s="201"/>
    </row>
    <row r="51187" spans="62:62" x14ac:dyDescent="0.2">
      <c r="BJ51187" s="201"/>
    </row>
    <row r="51188" spans="62:62" x14ac:dyDescent="0.2">
      <c r="BJ51188" s="201"/>
    </row>
    <row r="51189" spans="62:62" x14ac:dyDescent="0.2">
      <c r="BJ51189" s="201"/>
    </row>
    <row r="51190" spans="62:62" x14ac:dyDescent="0.2">
      <c r="BJ51190" s="201"/>
    </row>
    <row r="51191" spans="62:62" x14ac:dyDescent="0.2">
      <c r="BJ51191" s="201"/>
    </row>
    <row r="51192" spans="62:62" x14ac:dyDescent="0.2">
      <c r="BJ51192" s="201"/>
    </row>
    <row r="51193" spans="62:62" x14ac:dyDescent="0.2">
      <c r="BJ51193" s="201"/>
    </row>
    <row r="51194" spans="62:62" x14ac:dyDescent="0.2">
      <c r="BJ51194" s="201"/>
    </row>
    <row r="51195" spans="62:62" x14ac:dyDescent="0.2">
      <c r="BJ51195" s="201"/>
    </row>
    <row r="51196" spans="62:62" x14ac:dyDescent="0.2">
      <c r="BJ51196" s="201"/>
    </row>
    <row r="51197" spans="62:62" x14ac:dyDescent="0.2">
      <c r="BJ51197" s="201"/>
    </row>
    <row r="51198" spans="62:62" x14ac:dyDescent="0.2">
      <c r="BJ51198" s="201"/>
    </row>
    <row r="51199" spans="62:62" x14ac:dyDescent="0.2">
      <c r="BJ51199" s="201"/>
    </row>
    <row r="51200" spans="62:62" x14ac:dyDescent="0.2">
      <c r="BJ51200" s="201"/>
    </row>
    <row r="51201" spans="62:62" x14ac:dyDescent="0.2">
      <c r="BJ51201" s="201"/>
    </row>
    <row r="51202" spans="62:62" x14ac:dyDescent="0.2">
      <c r="BJ51202" s="201"/>
    </row>
    <row r="51203" spans="62:62" x14ac:dyDescent="0.2">
      <c r="BJ51203" s="201"/>
    </row>
    <row r="51204" spans="62:62" x14ac:dyDescent="0.2">
      <c r="BJ51204" s="201"/>
    </row>
    <row r="51205" spans="62:62" x14ac:dyDescent="0.2">
      <c r="BJ51205" s="201"/>
    </row>
    <row r="51206" spans="62:62" x14ac:dyDescent="0.2">
      <c r="BJ51206" s="201"/>
    </row>
    <row r="51207" spans="62:62" x14ac:dyDescent="0.2">
      <c r="BJ51207" s="201"/>
    </row>
    <row r="51208" spans="62:62" x14ac:dyDescent="0.2">
      <c r="BJ51208" s="201"/>
    </row>
    <row r="51209" spans="62:62" x14ac:dyDescent="0.2">
      <c r="BJ51209" s="201"/>
    </row>
    <row r="51210" spans="62:62" x14ac:dyDescent="0.2">
      <c r="BJ51210" s="201"/>
    </row>
    <row r="51211" spans="62:62" x14ac:dyDescent="0.2">
      <c r="BJ51211" s="201"/>
    </row>
    <row r="51212" spans="62:62" x14ac:dyDescent="0.2">
      <c r="BJ51212" s="201"/>
    </row>
    <row r="51213" spans="62:62" x14ac:dyDescent="0.2">
      <c r="BJ51213" s="201"/>
    </row>
    <row r="51214" spans="62:62" x14ac:dyDescent="0.2">
      <c r="BJ51214" s="201"/>
    </row>
    <row r="51215" spans="62:62" x14ac:dyDescent="0.2">
      <c r="BJ51215" s="201"/>
    </row>
    <row r="51216" spans="62:62" x14ac:dyDescent="0.2">
      <c r="BJ51216" s="201"/>
    </row>
    <row r="51217" spans="62:62" x14ac:dyDescent="0.2">
      <c r="BJ51217" s="201"/>
    </row>
    <row r="51218" spans="62:62" x14ac:dyDescent="0.2">
      <c r="BJ51218" s="201"/>
    </row>
    <row r="51219" spans="62:62" x14ac:dyDescent="0.2">
      <c r="BJ51219" s="201"/>
    </row>
    <row r="51220" spans="62:62" x14ac:dyDescent="0.2">
      <c r="BJ51220" s="201"/>
    </row>
    <row r="51221" spans="62:62" x14ac:dyDescent="0.2">
      <c r="BJ51221" s="201"/>
    </row>
    <row r="51222" spans="62:62" x14ac:dyDescent="0.2">
      <c r="BJ51222" s="201"/>
    </row>
    <row r="51223" spans="62:62" x14ac:dyDescent="0.2">
      <c r="BJ51223" s="201"/>
    </row>
    <row r="51224" spans="62:62" x14ac:dyDescent="0.2">
      <c r="BJ51224" s="201"/>
    </row>
    <row r="51225" spans="62:62" x14ac:dyDescent="0.2">
      <c r="BJ51225" s="201"/>
    </row>
    <row r="51226" spans="62:62" x14ac:dyDescent="0.2">
      <c r="BJ51226" s="201"/>
    </row>
    <row r="51227" spans="62:62" x14ac:dyDescent="0.2">
      <c r="BJ51227" s="201"/>
    </row>
    <row r="51228" spans="62:62" x14ac:dyDescent="0.2">
      <c r="BJ51228" s="201"/>
    </row>
    <row r="51229" spans="62:62" x14ac:dyDescent="0.2">
      <c r="BJ51229" s="201"/>
    </row>
    <row r="51230" spans="62:62" x14ac:dyDescent="0.2">
      <c r="BJ51230" s="201"/>
    </row>
    <row r="51231" spans="62:62" x14ac:dyDescent="0.2">
      <c r="BJ51231" s="201"/>
    </row>
    <row r="51232" spans="62:62" x14ac:dyDescent="0.2">
      <c r="BJ51232" s="201"/>
    </row>
    <row r="51233" spans="62:62" x14ac:dyDescent="0.2">
      <c r="BJ51233" s="201"/>
    </row>
    <row r="51234" spans="62:62" x14ac:dyDescent="0.2">
      <c r="BJ51234" s="201"/>
    </row>
    <row r="51235" spans="62:62" x14ac:dyDescent="0.2">
      <c r="BJ51235" s="201"/>
    </row>
    <row r="51236" spans="62:62" x14ac:dyDescent="0.2">
      <c r="BJ51236" s="201"/>
    </row>
    <row r="51237" spans="62:62" x14ac:dyDescent="0.2">
      <c r="BJ51237" s="201"/>
    </row>
    <row r="51238" spans="62:62" x14ac:dyDescent="0.2">
      <c r="BJ51238" s="201"/>
    </row>
    <row r="51239" spans="62:62" x14ac:dyDescent="0.2">
      <c r="BJ51239" s="201"/>
    </row>
    <row r="51240" spans="62:62" x14ac:dyDescent="0.2">
      <c r="BJ51240" s="201"/>
    </row>
    <row r="51241" spans="62:62" x14ac:dyDescent="0.2">
      <c r="BJ51241" s="201"/>
    </row>
    <row r="51242" spans="62:62" x14ac:dyDescent="0.2">
      <c r="BJ51242" s="201"/>
    </row>
    <row r="51243" spans="62:62" x14ac:dyDescent="0.2">
      <c r="BJ51243" s="201"/>
    </row>
    <row r="51244" spans="62:62" x14ac:dyDescent="0.2">
      <c r="BJ51244" s="201"/>
    </row>
    <row r="51245" spans="62:62" x14ac:dyDescent="0.2">
      <c r="BJ51245" s="201"/>
    </row>
    <row r="51246" spans="62:62" x14ac:dyDescent="0.2">
      <c r="BJ51246" s="201"/>
    </row>
    <row r="51247" spans="62:62" x14ac:dyDescent="0.2">
      <c r="BJ51247" s="201"/>
    </row>
    <row r="51248" spans="62:62" x14ac:dyDescent="0.2">
      <c r="BJ51248" s="201"/>
    </row>
    <row r="51249" spans="62:62" x14ac:dyDescent="0.2">
      <c r="BJ51249" s="201"/>
    </row>
    <row r="51250" spans="62:62" x14ac:dyDescent="0.2">
      <c r="BJ51250" s="201"/>
    </row>
    <row r="51251" spans="62:62" x14ac:dyDescent="0.2">
      <c r="BJ51251" s="201"/>
    </row>
    <row r="51252" spans="62:62" x14ac:dyDescent="0.2">
      <c r="BJ51252" s="201"/>
    </row>
    <row r="51253" spans="62:62" x14ac:dyDescent="0.2">
      <c r="BJ51253" s="201"/>
    </row>
    <row r="51254" spans="62:62" x14ac:dyDescent="0.2">
      <c r="BJ51254" s="201"/>
    </row>
    <row r="51255" spans="62:62" x14ac:dyDescent="0.2">
      <c r="BJ51255" s="201"/>
    </row>
    <row r="51256" spans="62:62" x14ac:dyDescent="0.2">
      <c r="BJ51256" s="201"/>
    </row>
    <row r="51257" spans="62:62" x14ac:dyDescent="0.2">
      <c r="BJ51257" s="201"/>
    </row>
    <row r="51258" spans="62:62" x14ac:dyDescent="0.2">
      <c r="BJ51258" s="201"/>
    </row>
    <row r="51259" spans="62:62" x14ac:dyDescent="0.2">
      <c r="BJ51259" s="201"/>
    </row>
    <row r="51260" spans="62:62" x14ac:dyDescent="0.2">
      <c r="BJ51260" s="201"/>
    </row>
    <row r="51261" spans="62:62" x14ac:dyDescent="0.2">
      <c r="BJ51261" s="201"/>
    </row>
    <row r="51262" spans="62:62" x14ac:dyDescent="0.2">
      <c r="BJ51262" s="201"/>
    </row>
    <row r="51263" spans="62:62" x14ac:dyDescent="0.2">
      <c r="BJ51263" s="201"/>
    </row>
    <row r="51264" spans="62:62" x14ac:dyDescent="0.2">
      <c r="BJ51264" s="201"/>
    </row>
    <row r="51265" spans="62:62" x14ac:dyDescent="0.2">
      <c r="BJ51265" s="201"/>
    </row>
    <row r="51266" spans="62:62" x14ac:dyDescent="0.2">
      <c r="BJ51266" s="201"/>
    </row>
    <row r="51267" spans="62:62" x14ac:dyDescent="0.2">
      <c r="BJ51267" s="201"/>
    </row>
    <row r="51268" spans="62:62" x14ac:dyDescent="0.2">
      <c r="BJ51268" s="201"/>
    </row>
    <row r="51269" spans="62:62" x14ac:dyDescent="0.2">
      <c r="BJ51269" s="201"/>
    </row>
    <row r="51270" spans="62:62" x14ac:dyDescent="0.2">
      <c r="BJ51270" s="201"/>
    </row>
    <row r="51271" spans="62:62" x14ac:dyDescent="0.2">
      <c r="BJ51271" s="201"/>
    </row>
    <row r="51272" spans="62:62" x14ac:dyDescent="0.2">
      <c r="BJ51272" s="201"/>
    </row>
    <row r="51273" spans="62:62" x14ac:dyDescent="0.2">
      <c r="BJ51273" s="201"/>
    </row>
    <row r="51274" spans="62:62" x14ac:dyDescent="0.2">
      <c r="BJ51274" s="201"/>
    </row>
    <row r="51275" spans="62:62" x14ac:dyDescent="0.2">
      <c r="BJ51275" s="201"/>
    </row>
    <row r="51276" spans="62:62" x14ac:dyDescent="0.2">
      <c r="BJ51276" s="201"/>
    </row>
    <row r="51277" spans="62:62" x14ac:dyDescent="0.2">
      <c r="BJ51277" s="201"/>
    </row>
    <row r="51278" spans="62:62" x14ac:dyDescent="0.2">
      <c r="BJ51278" s="201"/>
    </row>
    <row r="51279" spans="62:62" x14ac:dyDescent="0.2">
      <c r="BJ51279" s="201"/>
    </row>
    <row r="51280" spans="62:62" x14ac:dyDescent="0.2">
      <c r="BJ51280" s="201"/>
    </row>
    <row r="51281" spans="62:62" x14ac:dyDescent="0.2">
      <c r="BJ51281" s="201"/>
    </row>
    <row r="51282" spans="62:62" x14ac:dyDescent="0.2">
      <c r="BJ51282" s="201"/>
    </row>
    <row r="51283" spans="62:62" x14ac:dyDescent="0.2">
      <c r="BJ51283" s="201"/>
    </row>
    <row r="51284" spans="62:62" x14ac:dyDescent="0.2">
      <c r="BJ51284" s="201"/>
    </row>
    <row r="51285" spans="62:62" x14ac:dyDescent="0.2">
      <c r="BJ51285" s="201"/>
    </row>
    <row r="51286" spans="62:62" x14ac:dyDescent="0.2">
      <c r="BJ51286" s="201"/>
    </row>
    <row r="51287" spans="62:62" x14ac:dyDescent="0.2">
      <c r="BJ51287" s="201"/>
    </row>
    <row r="51288" spans="62:62" x14ac:dyDescent="0.2">
      <c r="BJ51288" s="201"/>
    </row>
    <row r="51289" spans="62:62" x14ac:dyDescent="0.2">
      <c r="BJ51289" s="201"/>
    </row>
    <row r="51290" spans="62:62" x14ac:dyDescent="0.2">
      <c r="BJ51290" s="201"/>
    </row>
    <row r="51291" spans="62:62" x14ac:dyDescent="0.2">
      <c r="BJ51291" s="201"/>
    </row>
    <row r="51292" spans="62:62" x14ac:dyDescent="0.2">
      <c r="BJ51292" s="201"/>
    </row>
    <row r="51293" spans="62:62" x14ac:dyDescent="0.2">
      <c r="BJ51293" s="201"/>
    </row>
    <row r="51294" spans="62:62" x14ac:dyDescent="0.2">
      <c r="BJ51294" s="201"/>
    </row>
    <row r="51295" spans="62:62" x14ac:dyDescent="0.2">
      <c r="BJ51295" s="201"/>
    </row>
    <row r="51296" spans="62:62" x14ac:dyDescent="0.2">
      <c r="BJ51296" s="201"/>
    </row>
    <row r="51297" spans="62:62" x14ac:dyDescent="0.2">
      <c r="BJ51297" s="201"/>
    </row>
    <row r="51298" spans="62:62" x14ac:dyDescent="0.2">
      <c r="BJ51298" s="201"/>
    </row>
    <row r="51299" spans="62:62" x14ac:dyDescent="0.2">
      <c r="BJ51299" s="201"/>
    </row>
    <row r="51300" spans="62:62" x14ac:dyDescent="0.2">
      <c r="BJ51300" s="201"/>
    </row>
    <row r="51301" spans="62:62" x14ac:dyDescent="0.2">
      <c r="BJ51301" s="201"/>
    </row>
    <row r="51302" spans="62:62" x14ac:dyDescent="0.2">
      <c r="BJ51302" s="201"/>
    </row>
    <row r="51303" spans="62:62" x14ac:dyDescent="0.2">
      <c r="BJ51303" s="201"/>
    </row>
    <row r="51304" spans="62:62" x14ac:dyDescent="0.2">
      <c r="BJ51304" s="201"/>
    </row>
    <row r="51305" spans="62:62" x14ac:dyDescent="0.2">
      <c r="BJ51305" s="201"/>
    </row>
    <row r="51306" spans="62:62" x14ac:dyDescent="0.2">
      <c r="BJ51306" s="201"/>
    </row>
    <row r="51307" spans="62:62" x14ac:dyDescent="0.2">
      <c r="BJ51307" s="201"/>
    </row>
    <row r="51308" spans="62:62" x14ac:dyDescent="0.2">
      <c r="BJ51308" s="201"/>
    </row>
    <row r="51309" spans="62:62" x14ac:dyDescent="0.2">
      <c r="BJ51309" s="201"/>
    </row>
    <row r="51310" spans="62:62" x14ac:dyDescent="0.2">
      <c r="BJ51310" s="201"/>
    </row>
    <row r="51311" spans="62:62" x14ac:dyDescent="0.2">
      <c r="BJ51311" s="201"/>
    </row>
    <row r="51312" spans="62:62" x14ac:dyDescent="0.2">
      <c r="BJ51312" s="201"/>
    </row>
    <row r="51313" spans="62:62" x14ac:dyDescent="0.2">
      <c r="BJ51313" s="201"/>
    </row>
    <row r="51314" spans="62:62" x14ac:dyDescent="0.2">
      <c r="BJ51314" s="201"/>
    </row>
    <row r="51315" spans="62:62" x14ac:dyDescent="0.2">
      <c r="BJ51315" s="201"/>
    </row>
    <row r="51316" spans="62:62" x14ac:dyDescent="0.2">
      <c r="BJ51316" s="201"/>
    </row>
    <row r="51317" spans="62:62" x14ac:dyDescent="0.2">
      <c r="BJ51317" s="201"/>
    </row>
    <row r="51318" spans="62:62" x14ac:dyDescent="0.2">
      <c r="BJ51318" s="201"/>
    </row>
    <row r="51319" spans="62:62" x14ac:dyDescent="0.2">
      <c r="BJ51319" s="201"/>
    </row>
    <row r="51320" spans="62:62" x14ac:dyDescent="0.2">
      <c r="BJ51320" s="201"/>
    </row>
    <row r="51321" spans="62:62" x14ac:dyDescent="0.2">
      <c r="BJ51321" s="201"/>
    </row>
    <row r="51322" spans="62:62" x14ac:dyDescent="0.2">
      <c r="BJ51322" s="201"/>
    </row>
    <row r="51323" spans="62:62" x14ac:dyDescent="0.2">
      <c r="BJ51323" s="201"/>
    </row>
    <row r="51324" spans="62:62" x14ac:dyDescent="0.2">
      <c r="BJ51324" s="201"/>
    </row>
    <row r="51325" spans="62:62" x14ac:dyDescent="0.2">
      <c r="BJ51325" s="201"/>
    </row>
    <row r="51326" spans="62:62" x14ac:dyDescent="0.2">
      <c r="BJ51326" s="201"/>
    </row>
    <row r="51327" spans="62:62" x14ac:dyDescent="0.2">
      <c r="BJ51327" s="201"/>
    </row>
    <row r="51328" spans="62:62" x14ac:dyDescent="0.2">
      <c r="BJ51328" s="201"/>
    </row>
    <row r="51329" spans="62:62" x14ac:dyDescent="0.2">
      <c r="BJ51329" s="201"/>
    </row>
    <row r="51330" spans="62:62" x14ac:dyDescent="0.2">
      <c r="BJ51330" s="201"/>
    </row>
    <row r="51331" spans="62:62" x14ac:dyDescent="0.2">
      <c r="BJ51331" s="201"/>
    </row>
    <row r="51332" spans="62:62" x14ac:dyDescent="0.2">
      <c r="BJ51332" s="201"/>
    </row>
    <row r="51333" spans="62:62" x14ac:dyDescent="0.2">
      <c r="BJ51333" s="201"/>
    </row>
    <row r="51334" spans="62:62" x14ac:dyDescent="0.2">
      <c r="BJ51334" s="201"/>
    </row>
    <row r="51335" spans="62:62" x14ac:dyDescent="0.2">
      <c r="BJ51335" s="201"/>
    </row>
    <row r="51336" spans="62:62" x14ac:dyDescent="0.2">
      <c r="BJ51336" s="201"/>
    </row>
    <row r="51337" spans="62:62" x14ac:dyDescent="0.2">
      <c r="BJ51337" s="201"/>
    </row>
    <row r="51338" spans="62:62" x14ac:dyDescent="0.2">
      <c r="BJ51338" s="201"/>
    </row>
    <row r="51339" spans="62:62" x14ac:dyDescent="0.2">
      <c r="BJ51339" s="201"/>
    </row>
    <row r="51340" spans="62:62" x14ac:dyDescent="0.2">
      <c r="BJ51340" s="201"/>
    </row>
    <row r="51341" spans="62:62" x14ac:dyDescent="0.2">
      <c r="BJ51341" s="201"/>
    </row>
    <row r="51342" spans="62:62" x14ac:dyDescent="0.2">
      <c r="BJ51342" s="201"/>
    </row>
    <row r="51343" spans="62:62" x14ac:dyDescent="0.2">
      <c r="BJ51343" s="201"/>
    </row>
    <row r="51344" spans="62:62" x14ac:dyDescent="0.2">
      <c r="BJ51344" s="201"/>
    </row>
    <row r="51345" spans="62:62" x14ac:dyDescent="0.2">
      <c r="BJ51345" s="201"/>
    </row>
    <row r="51346" spans="62:62" x14ac:dyDescent="0.2">
      <c r="BJ51346" s="201"/>
    </row>
    <row r="51347" spans="62:62" x14ac:dyDescent="0.2">
      <c r="BJ51347" s="201"/>
    </row>
    <row r="51348" spans="62:62" x14ac:dyDescent="0.2">
      <c r="BJ51348" s="201"/>
    </row>
    <row r="51349" spans="62:62" x14ac:dyDescent="0.2">
      <c r="BJ51349" s="201"/>
    </row>
    <row r="51350" spans="62:62" x14ac:dyDescent="0.2">
      <c r="BJ51350" s="201"/>
    </row>
    <row r="51351" spans="62:62" x14ac:dyDescent="0.2">
      <c r="BJ51351" s="201"/>
    </row>
    <row r="51352" spans="62:62" x14ac:dyDescent="0.2">
      <c r="BJ51352" s="201"/>
    </row>
    <row r="51353" spans="62:62" x14ac:dyDescent="0.2">
      <c r="BJ51353" s="201"/>
    </row>
    <row r="51354" spans="62:62" x14ac:dyDescent="0.2">
      <c r="BJ51354" s="201"/>
    </row>
    <row r="51355" spans="62:62" x14ac:dyDescent="0.2">
      <c r="BJ51355" s="201"/>
    </row>
    <row r="51356" spans="62:62" x14ac:dyDescent="0.2">
      <c r="BJ51356" s="201"/>
    </row>
    <row r="51357" spans="62:62" x14ac:dyDescent="0.2">
      <c r="BJ51357" s="201"/>
    </row>
    <row r="51358" spans="62:62" x14ac:dyDescent="0.2">
      <c r="BJ51358" s="201"/>
    </row>
    <row r="51359" spans="62:62" x14ac:dyDescent="0.2">
      <c r="BJ51359" s="201"/>
    </row>
    <row r="51360" spans="62:62" x14ac:dyDescent="0.2">
      <c r="BJ51360" s="201"/>
    </row>
    <row r="51361" spans="62:62" x14ac:dyDescent="0.2">
      <c r="BJ51361" s="201"/>
    </row>
    <row r="51362" spans="62:62" x14ac:dyDescent="0.2">
      <c r="BJ51362" s="201"/>
    </row>
    <row r="51363" spans="62:62" x14ac:dyDescent="0.2">
      <c r="BJ51363" s="201"/>
    </row>
    <row r="51364" spans="62:62" x14ac:dyDescent="0.2">
      <c r="BJ51364" s="201"/>
    </row>
    <row r="51365" spans="62:62" x14ac:dyDescent="0.2">
      <c r="BJ51365" s="201"/>
    </row>
    <row r="51366" spans="62:62" x14ac:dyDescent="0.2">
      <c r="BJ51366" s="201"/>
    </row>
    <row r="51367" spans="62:62" x14ac:dyDescent="0.2">
      <c r="BJ51367" s="201"/>
    </row>
    <row r="51368" spans="62:62" x14ac:dyDescent="0.2">
      <c r="BJ51368" s="201"/>
    </row>
    <row r="51369" spans="62:62" x14ac:dyDescent="0.2">
      <c r="BJ51369" s="201"/>
    </row>
    <row r="51370" spans="62:62" x14ac:dyDescent="0.2">
      <c r="BJ51370" s="201"/>
    </row>
    <row r="51371" spans="62:62" x14ac:dyDescent="0.2">
      <c r="BJ51371" s="201"/>
    </row>
    <row r="51372" spans="62:62" x14ac:dyDescent="0.2">
      <c r="BJ51372" s="201"/>
    </row>
    <row r="51373" spans="62:62" x14ac:dyDescent="0.2">
      <c r="BJ51373" s="201"/>
    </row>
    <row r="51374" spans="62:62" x14ac:dyDescent="0.2">
      <c r="BJ51374" s="201"/>
    </row>
    <row r="51375" spans="62:62" x14ac:dyDescent="0.2">
      <c r="BJ51375" s="201"/>
    </row>
    <row r="51376" spans="62:62" x14ac:dyDescent="0.2">
      <c r="BJ51376" s="201"/>
    </row>
    <row r="51377" spans="62:62" x14ac:dyDescent="0.2">
      <c r="BJ51377" s="201"/>
    </row>
    <row r="51378" spans="62:62" x14ac:dyDescent="0.2">
      <c r="BJ51378" s="201"/>
    </row>
    <row r="51379" spans="62:62" x14ac:dyDescent="0.2">
      <c r="BJ51379" s="201"/>
    </row>
    <row r="51380" spans="62:62" x14ac:dyDescent="0.2">
      <c r="BJ51380" s="201"/>
    </row>
    <row r="51381" spans="62:62" x14ac:dyDescent="0.2">
      <c r="BJ51381" s="201"/>
    </row>
    <row r="51382" spans="62:62" x14ac:dyDescent="0.2">
      <c r="BJ51382" s="201"/>
    </row>
    <row r="51383" spans="62:62" x14ac:dyDescent="0.2">
      <c r="BJ51383" s="201"/>
    </row>
    <row r="51384" spans="62:62" x14ac:dyDescent="0.2">
      <c r="BJ51384" s="201"/>
    </row>
    <row r="51385" spans="62:62" x14ac:dyDescent="0.2">
      <c r="BJ51385" s="201"/>
    </row>
    <row r="51386" spans="62:62" x14ac:dyDescent="0.2">
      <c r="BJ51386" s="201"/>
    </row>
    <row r="51387" spans="62:62" x14ac:dyDescent="0.2">
      <c r="BJ51387" s="201"/>
    </row>
    <row r="51388" spans="62:62" x14ac:dyDescent="0.2">
      <c r="BJ51388" s="201"/>
    </row>
    <row r="51389" spans="62:62" x14ac:dyDescent="0.2">
      <c r="BJ51389" s="201"/>
    </row>
    <row r="51390" spans="62:62" x14ac:dyDescent="0.2">
      <c r="BJ51390" s="201"/>
    </row>
    <row r="51391" spans="62:62" x14ac:dyDescent="0.2">
      <c r="BJ51391" s="201"/>
    </row>
    <row r="51392" spans="62:62" x14ac:dyDescent="0.2">
      <c r="BJ51392" s="201"/>
    </row>
    <row r="51393" spans="62:62" x14ac:dyDescent="0.2">
      <c r="BJ51393" s="201"/>
    </row>
    <row r="51394" spans="62:62" x14ac:dyDescent="0.2">
      <c r="BJ51394" s="201"/>
    </row>
    <row r="51395" spans="62:62" x14ac:dyDescent="0.2">
      <c r="BJ51395" s="201"/>
    </row>
    <row r="51396" spans="62:62" x14ac:dyDescent="0.2">
      <c r="BJ51396" s="201"/>
    </row>
    <row r="51397" spans="62:62" x14ac:dyDescent="0.2">
      <c r="BJ51397" s="201"/>
    </row>
    <row r="51398" spans="62:62" x14ac:dyDescent="0.2">
      <c r="BJ51398" s="201"/>
    </row>
    <row r="51399" spans="62:62" x14ac:dyDescent="0.2">
      <c r="BJ51399" s="201"/>
    </row>
    <row r="51400" spans="62:62" x14ac:dyDescent="0.2">
      <c r="BJ51400" s="201"/>
    </row>
    <row r="51401" spans="62:62" x14ac:dyDescent="0.2">
      <c r="BJ51401" s="201"/>
    </row>
    <row r="51402" spans="62:62" x14ac:dyDescent="0.2">
      <c r="BJ51402" s="201"/>
    </row>
    <row r="51403" spans="62:62" x14ac:dyDescent="0.2">
      <c r="BJ51403" s="201"/>
    </row>
    <row r="51404" spans="62:62" x14ac:dyDescent="0.2">
      <c r="BJ51404" s="201"/>
    </row>
    <row r="51405" spans="62:62" x14ac:dyDescent="0.2">
      <c r="BJ51405" s="201"/>
    </row>
    <row r="51406" spans="62:62" x14ac:dyDescent="0.2">
      <c r="BJ51406" s="201"/>
    </row>
    <row r="51407" spans="62:62" x14ac:dyDescent="0.2">
      <c r="BJ51407" s="201"/>
    </row>
    <row r="51408" spans="62:62" x14ac:dyDescent="0.2">
      <c r="BJ51408" s="201"/>
    </row>
    <row r="51409" spans="62:62" x14ac:dyDescent="0.2">
      <c r="BJ51409" s="201"/>
    </row>
    <row r="51410" spans="62:62" x14ac:dyDescent="0.2">
      <c r="BJ51410" s="201"/>
    </row>
    <row r="51411" spans="62:62" x14ac:dyDescent="0.2">
      <c r="BJ51411" s="201"/>
    </row>
    <row r="51412" spans="62:62" x14ac:dyDescent="0.2">
      <c r="BJ51412" s="201"/>
    </row>
    <row r="51413" spans="62:62" x14ac:dyDescent="0.2">
      <c r="BJ51413" s="201"/>
    </row>
    <row r="51414" spans="62:62" x14ac:dyDescent="0.2">
      <c r="BJ51414" s="201"/>
    </row>
    <row r="51415" spans="62:62" x14ac:dyDescent="0.2">
      <c r="BJ51415" s="201"/>
    </row>
    <row r="51416" spans="62:62" x14ac:dyDescent="0.2">
      <c r="BJ51416" s="201"/>
    </row>
    <row r="51417" spans="62:62" x14ac:dyDescent="0.2">
      <c r="BJ51417" s="201"/>
    </row>
    <row r="51418" spans="62:62" x14ac:dyDescent="0.2">
      <c r="BJ51418" s="201"/>
    </row>
    <row r="51419" spans="62:62" x14ac:dyDescent="0.2">
      <c r="BJ51419" s="201"/>
    </row>
    <row r="51420" spans="62:62" x14ac:dyDescent="0.2">
      <c r="BJ51420" s="201"/>
    </row>
    <row r="51421" spans="62:62" x14ac:dyDescent="0.2">
      <c r="BJ51421" s="201"/>
    </row>
    <row r="51422" spans="62:62" x14ac:dyDescent="0.2">
      <c r="BJ51422" s="201"/>
    </row>
    <row r="51423" spans="62:62" x14ac:dyDescent="0.2">
      <c r="BJ51423" s="201"/>
    </row>
    <row r="51424" spans="62:62" x14ac:dyDescent="0.2">
      <c r="BJ51424" s="201"/>
    </row>
    <row r="51425" spans="62:62" x14ac:dyDescent="0.2">
      <c r="BJ51425" s="201"/>
    </row>
    <row r="51426" spans="62:62" x14ac:dyDescent="0.2">
      <c r="BJ51426" s="201"/>
    </row>
    <row r="51427" spans="62:62" x14ac:dyDescent="0.2">
      <c r="BJ51427" s="201"/>
    </row>
    <row r="51428" spans="62:62" x14ac:dyDescent="0.2">
      <c r="BJ51428" s="201"/>
    </row>
    <row r="51429" spans="62:62" x14ac:dyDescent="0.2">
      <c r="BJ51429" s="201"/>
    </row>
    <row r="51430" spans="62:62" x14ac:dyDescent="0.2">
      <c r="BJ51430" s="201"/>
    </row>
    <row r="51431" spans="62:62" x14ac:dyDescent="0.2">
      <c r="BJ51431" s="201"/>
    </row>
    <row r="51432" spans="62:62" x14ac:dyDescent="0.2">
      <c r="BJ51432" s="201"/>
    </row>
    <row r="51433" spans="62:62" x14ac:dyDescent="0.2">
      <c r="BJ51433" s="201"/>
    </row>
    <row r="51434" spans="62:62" x14ac:dyDescent="0.2">
      <c r="BJ51434" s="201"/>
    </row>
    <row r="51435" spans="62:62" x14ac:dyDescent="0.2">
      <c r="BJ51435" s="201"/>
    </row>
    <row r="51436" spans="62:62" x14ac:dyDescent="0.2">
      <c r="BJ51436" s="201"/>
    </row>
    <row r="51437" spans="62:62" x14ac:dyDescent="0.2">
      <c r="BJ51437" s="201"/>
    </row>
    <row r="51438" spans="62:62" x14ac:dyDescent="0.2">
      <c r="BJ51438" s="201"/>
    </row>
    <row r="51439" spans="62:62" x14ac:dyDescent="0.2">
      <c r="BJ51439" s="201"/>
    </row>
    <row r="51440" spans="62:62" x14ac:dyDescent="0.2">
      <c r="BJ51440" s="201"/>
    </row>
    <row r="51441" spans="62:62" x14ac:dyDescent="0.2">
      <c r="BJ51441" s="201"/>
    </row>
    <row r="51442" spans="62:62" x14ac:dyDescent="0.2">
      <c r="BJ51442" s="201"/>
    </row>
    <row r="51443" spans="62:62" x14ac:dyDescent="0.2">
      <c r="BJ51443" s="201"/>
    </row>
    <row r="51444" spans="62:62" x14ac:dyDescent="0.2">
      <c r="BJ51444" s="201"/>
    </row>
    <row r="51445" spans="62:62" x14ac:dyDescent="0.2">
      <c r="BJ51445" s="201"/>
    </row>
    <row r="51446" spans="62:62" x14ac:dyDescent="0.2">
      <c r="BJ51446" s="201"/>
    </row>
    <row r="51447" spans="62:62" x14ac:dyDescent="0.2">
      <c r="BJ51447" s="201"/>
    </row>
    <row r="51448" spans="62:62" x14ac:dyDescent="0.2">
      <c r="BJ51448" s="201"/>
    </row>
    <row r="51449" spans="62:62" x14ac:dyDescent="0.2">
      <c r="BJ51449" s="201"/>
    </row>
    <row r="51450" spans="62:62" x14ac:dyDescent="0.2">
      <c r="BJ51450" s="201"/>
    </row>
    <row r="51451" spans="62:62" x14ac:dyDescent="0.2">
      <c r="BJ51451" s="201"/>
    </row>
    <row r="51452" spans="62:62" x14ac:dyDescent="0.2">
      <c r="BJ51452" s="201"/>
    </row>
    <row r="51453" spans="62:62" x14ac:dyDescent="0.2">
      <c r="BJ51453" s="201"/>
    </row>
    <row r="51454" spans="62:62" x14ac:dyDescent="0.2">
      <c r="BJ51454" s="201"/>
    </row>
    <row r="51455" spans="62:62" x14ac:dyDescent="0.2">
      <c r="BJ51455" s="201"/>
    </row>
    <row r="51456" spans="62:62" x14ac:dyDescent="0.2">
      <c r="BJ51456" s="201"/>
    </row>
    <row r="51457" spans="62:62" x14ac:dyDescent="0.2">
      <c r="BJ51457" s="201"/>
    </row>
    <row r="51458" spans="62:62" x14ac:dyDescent="0.2">
      <c r="BJ51458" s="201"/>
    </row>
    <row r="51459" spans="62:62" x14ac:dyDescent="0.2">
      <c r="BJ51459" s="201"/>
    </row>
    <row r="51460" spans="62:62" x14ac:dyDescent="0.2">
      <c r="BJ51460" s="201"/>
    </row>
    <row r="51461" spans="62:62" x14ac:dyDescent="0.2">
      <c r="BJ51461" s="201"/>
    </row>
    <row r="51462" spans="62:62" x14ac:dyDescent="0.2">
      <c r="BJ51462" s="201"/>
    </row>
    <row r="51463" spans="62:62" x14ac:dyDescent="0.2">
      <c r="BJ51463" s="201"/>
    </row>
    <row r="51464" spans="62:62" x14ac:dyDescent="0.2">
      <c r="BJ51464" s="201"/>
    </row>
    <row r="51465" spans="62:62" x14ac:dyDescent="0.2">
      <c r="BJ51465" s="201"/>
    </row>
    <row r="51466" spans="62:62" x14ac:dyDescent="0.2">
      <c r="BJ51466" s="201"/>
    </row>
    <row r="51467" spans="62:62" x14ac:dyDescent="0.2">
      <c r="BJ51467" s="201"/>
    </row>
    <row r="51468" spans="62:62" x14ac:dyDescent="0.2">
      <c r="BJ51468" s="201"/>
    </row>
    <row r="51469" spans="62:62" x14ac:dyDescent="0.2">
      <c r="BJ51469" s="201"/>
    </row>
    <row r="51470" spans="62:62" x14ac:dyDescent="0.2">
      <c r="BJ51470" s="201"/>
    </row>
    <row r="51471" spans="62:62" x14ac:dyDescent="0.2">
      <c r="BJ51471" s="201"/>
    </row>
    <row r="51472" spans="62:62" x14ac:dyDescent="0.2">
      <c r="BJ51472" s="201"/>
    </row>
    <row r="51473" spans="62:62" x14ac:dyDescent="0.2">
      <c r="BJ51473" s="201"/>
    </row>
    <row r="51474" spans="62:62" x14ac:dyDescent="0.2">
      <c r="BJ51474" s="201"/>
    </row>
    <row r="51475" spans="62:62" x14ac:dyDescent="0.2">
      <c r="BJ51475" s="201"/>
    </row>
    <row r="51476" spans="62:62" x14ac:dyDescent="0.2">
      <c r="BJ51476" s="201"/>
    </row>
    <row r="51477" spans="62:62" x14ac:dyDescent="0.2">
      <c r="BJ51477" s="201"/>
    </row>
    <row r="51478" spans="62:62" x14ac:dyDescent="0.2">
      <c r="BJ51478" s="201"/>
    </row>
    <row r="51479" spans="62:62" x14ac:dyDescent="0.2">
      <c r="BJ51479" s="201"/>
    </row>
    <row r="51480" spans="62:62" x14ac:dyDescent="0.2">
      <c r="BJ51480" s="201"/>
    </row>
    <row r="51481" spans="62:62" x14ac:dyDescent="0.2">
      <c r="BJ51481" s="201"/>
    </row>
    <row r="51482" spans="62:62" x14ac:dyDescent="0.2">
      <c r="BJ51482" s="201"/>
    </row>
    <row r="51483" spans="62:62" x14ac:dyDescent="0.2">
      <c r="BJ51483" s="201"/>
    </row>
    <row r="51484" spans="62:62" x14ac:dyDescent="0.2">
      <c r="BJ51484" s="201"/>
    </row>
    <row r="51485" spans="62:62" x14ac:dyDescent="0.2">
      <c r="BJ51485" s="201"/>
    </row>
    <row r="51486" spans="62:62" x14ac:dyDescent="0.2">
      <c r="BJ51486" s="201"/>
    </row>
    <row r="51487" spans="62:62" x14ac:dyDescent="0.2">
      <c r="BJ51487" s="201"/>
    </row>
    <row r="51488" spans="62:62" x14ac:dyDescent="0.2">
      <c r="BJ51488" s="201"/>
    </row>
    <row r="51489" spans="62:62" x14ac:dyDescent="0.2">
      <c r="BJ51489" s="201"/>
    </row>
    <row r="51490" spans="62:62" x14ac:dyDescent="0.2">
      <c r="BJ51490" s="201"/>
    </row>
    <row r="51491" spans="62:62" x14ac:dyDescent="0.2">
      <c r="BJ51491" s="201"/>
    </row>
    <row r="51492" spans="62:62" x14ac:dyDescent="0.2">
      <c r="BJ51492" s="201"/>
    </row>
    <row r="51493" spans="62:62" x14ac:dyDescent="0.2">
      <c r="BJ51493" s="201"/>
    </row>
    <row r="51494" spans="62:62" x14ac:dyDescent="0.2">
      <c r="BJ51494" s="201"/>
    </row>
    <row r="51495" spans="62:62" x14ac:dyDescent="0.2">
      <c r="BJ51495" s="201"/>
    </row>
    <row r="51496" spans="62:62" x14ac:dyDescent="0.2">
      <c r="BJ51496" s="201"/>
    </row>
    <row r="51497" spans="62:62" x14ac:dyDescent="0.2">
      <c r="BJ51497" s="201"/>
    </row>
    <row r="51498" spans="62:62" x14ac:dyDescent="0.2">
      <c r="BJ51498" s="201"/>
    </row>
    <row r="51499" spans="62:62" x14ac:dyDescent="0.2">
      <c r="BJ51499" s="201"/>
    </row>
    <row r="51500" spans="62:62" x14ac:dyDescent="0.2">
      <c r="BJ51500" s="201"/>
    </row>
    <row r="51501" spans="62:62" x14ac:dyDescent="0.2">
      <c r="BJ51501" s="201"/>
    </row>
    <row r="51502" spans="62:62" x14ac:dyDescent="0.2">
      <c r="BJ51502" s="201"/>
    </row>
    <row r="51503" spans="62:62" x14ac:dyDescent="0.2">
      <c r="BJ51503" s="201"/>
    </row>
    <row r="51504" spans="62:62" x14ac:dyDescent="0.2">
      <c r="BJ51504" s="201"/>
    </row>
    <row r="51505" spans="62:62" x14ac:dyDescent="0.2">
      <c r="BJ51505" s="201"/>
    </row>
    <row r="51506" spans="62:62" x14ac:dyDescent="0.2">
      <c r="BJ51506" s="201"/>
    </row>
    <row r="51507" spans="62:62" x14ac:dyDescent="0.2">
      <c r="BJ51507" s="201"/>
    </row>
    <row r="51508" spans="62:62" x14ac:dyDescent="0.2">
      <c r="BJ51508" s="201"/>
    </row>
    <row r="51509" spans="62:62" x14ac:dyDescent="0.2">
      <c r="BJ51509" s="201"/>
    </row>
    <row r="51510" spans="62:62" x14ac:dyDescent="0.2">
      <c r="BJ51510" s="201"/>
    </row>
    <row r="51511" spans="62:62" x14ac:dyDescent="0.2">
      <c r="BJ51511" s="201"/>
    </row>
    <row r="51512" spans="62:62" x14ac:dyDescent="0.2">
      <c r="BJ51512" s="201"/>
    </row>
    <row r="51513" spans="62:62" x14ac:dyDescent="0.2">
      <c r="BJ51513" s="201"/>
    </row>
    <row r="51514" spans="62:62" x14ac:dyDescent="0.2">
      <c r="BJ51514" s="201"/>
    </row>
    <row r="51515" spans="62:62" x14ac:dyDescent="0.2">
      <c r="BJ51515" s="201"/>
    </row>
    <row r="51516" spans="62:62" x14ac:dyDescent="0.2">
      <c r="BJ51516" s="201"/>
    </row>
    <row r="51517" spans="62:62" x14ac:dyDescent="0.2">
      <c r="BJ51517" s="201"/>
    </row>
    <row r="51518" spans="62:62" x14ac:dyDescent="0.2">
      <c r="BJ51518" s="201"/>
    </row>
    <row r="51519" spans="62:62" x14ac:dyDescent="0.2">
      <c r="BJ51519" s="201"/>
    </row>
    <row r="51520" spans="62:62" x14ac:dyDescent="0.2">
      <c r="BJ51520" s="201"/>
    </row>
    <row r="51521" spans="62:62" x14ac:dyDescent="0.2">
      <c r="BJ51521" s="201"/>
    </row>
    <row r="51522" spans="62:62" x14ac:dyDescent="0.2">
      <c r="BJ51522" s="201"/>
    </row>
    <row r="51523" spans="62:62" x14ac:dyDescent="0.2">
      <c r="BJ51523" s="201"/>
    </row>
    <row r="51524" spans="62:62" x14ac:dyDescent="0.2">
      <c r="BJ51524" s="201"/>
    </row>
    <row r="51525" spans="62:62" x14ac:dyDescent="0.2">
      <c r="BJ51525" s="201"/>
    </row>
    <row r="51526" spans="62:62" x14ac:dyDescent="0.2">
      <c r="BJ51526" s="201"/>
    </row>
    <row r="51527" spans="62:62" x14ac:dyDescent="0.2">
      <c r="BJ51527" s="201"/>
    </row>
    <row r="51528" spans="62:62" x14ac:dyDescent="0.2">
      <c r="BJ51528" s="201"/>
    </row>
    <row r="51529" spans="62:62" x14ac:dyDescent="0.2">
      <c r="BJ51529" s="201"/>
    </row>
    <row r="51530" spans="62:62" x14ac:dyDescent="0.2">
      <c r="BJ51530" s="201"/>
    </row>
    <row r="51531" spans="62:62" x14ac:dyDescent="0.2">
      <c r="BJ51531" s="201"/>
    </row>
    <row r="51532" spans="62:62" x14ac:dyDescent="0.2">
      <c r="BJ51532" s="201"/>
    </row>
    <row r="51533" spans="62:62" x14ac:dyDescent="0.2">
      <c r="BJ51533" s="201"/>
    </row>
    <row r="51534" spans="62:62" x14ac:dyDescent="0.2">
      <c r="BJ51534" s="201"/>
    </row>
    <row r="51535" spans="62:62" x14ac:dyDescent="0.2">
      <c r="BJ51535" s="201"/>
    </row>
    <row r="51536" spans="62:62" x14ac:dyDescent="0.2">
      <c r="BJ51536" s="201"/>
    </row>
    <row r="51537" spans="62:62" x14ac:dyDescent="0.2">
      <c r="BJ51537" s="201"/>
    </row>
    <row r="51538" spans="62:62" x14ac:dyDescent="0.2">
      <c r="BJ51538" s="201"/>
    </row>
    <row r="51539" spans="62:62" x14ac:dyDescent="0.2">
      <c r="BJ51539" s="201"/>
    </row>
    <row r="51540" spans="62:62" x14ac:dyDescent="0.2">
      <c r="BJ51540" s="201"/>
    </row>
    <row r="51541" spans="62:62" x14ac:dyDescent="0.2">
      <c r="BJ51541" s="201"/>
    </row>
    <row r="51542" spans="62:62" x14ac:dyDescent="0.2">
      <c r="BJ51542" s="201"/>
    </row>
    <row r="51543" spans="62:62" x14ac:dyDescent="0.2">
      <c r="BJ51543" s="201"/>
    </row>
    <row r="51544" spans="62:62" x14ac:dyDescent="0.2">
      <c r="BJ51544" s="201"/>
    </row>
    <row r="51545" spans="62:62" x14ac:dyDescent="0.2">
      <c r="BJ51545" s="201"/>
    </row>
    <row r="51546" spans="62:62" x14ac:dyDescent="0.2">
      <c r="BJ51546" s="201"/>
    </row>
    <row r="51547" spans="62:62" x14ac:dyDescent="0.2">
      <c r="BJ51547" s="201"/>
    </row>
    <row r="51548" spans="62:62" x14ac:dyDescent="0.2">
      <c r="BJ51548" s="201"/>
    </row>
    <row r="51549" spans="62:62" x14ac:dyDescent="0.2">
      <c r="BJ51549" s="201"/>
    </row>
    <row r="51550" spans="62:62" x14ac:dyDescent="0.2">
      <c r="BJ51550" s="201"/>
    </row>
    <row r="51551" spans="62:62" x14ac:dyDescent="0.2">
      <c r="BJ51551" s="201"/>
    </row>
    <row r="51552" spans="62:62" x14ac:dyDescent="0.2">
      <c r="BJ51552" s="201"/>
    </row>
    <row r="51553" spans="62:62" x14ac:dyDescent="0.2">
      <c r="BJ51553" s="201"/>
    </row>
    <row r="51554" spans="62:62" x14ac:dyDescent="0.2">
      <c r="BJ51554" s="201"/>
    </row>
    <row r="51555" spans="62:62" x14ac:dyDescent="0.2">
      <c r="BJ51555" s="201"/>
    </row>
    <row r="51556" spans="62:62" x14ac:dyDescent="0.2">
      <c r="BJ51556" s="201"/>
    </row>
    <row r="51557" spans="62:62" x14ac:dyDescent="0.2">
      <c r="BJ51557" s="201"/>
    </row>
    <row r="51558" spans="62:62" x14ac:dyDescent="0.2">
      <c r="BJ51558" s="201"/>
    </row>
    <row r="51559" spans="62:62" x14ac:dyDescent="0.2">
      <c r="BJ51559" s="201"/>
    </row>
    <row r="51560" spans="62:62" x14ac:dyDescent="0.2">
      <c r="BJ51560" s="201"/>
    </row>
    <row r="51561" spans="62:62" x14ac:dyDescent="0.2">
      <c r="BJ51561" s="201"/>
    </row>
    <row r="51562" spans="62:62" x14ac:dyDescent="0.2">
      <c r="BJ51562" s="201"/>
    </row>
    <row r="51563" spans="62:62" x14ac:dyDescent="0.2">
      <c r="BJ51563" s="201"/>
    </row>
    <row r="51564" spans="62:62" x14ac:dyDescent="0.2">
      <c r="BJ51564" s="201"/>
    </row>
    <row r="51565" spans="62:62" x14ac:dyDescent="0.2">
      <c r="BJ51565" s="201"/>
    </row>
    <row r="51566" spans="62:62" x14ac:dyDescent="0.2">
      <c r="BJ51566" s="201"/>
    </row>
    <row r="51567" spans="62:62" x14ac:dyDescent="0.2">
      <c r="BJ51567" s="201"/>
    </row>
    <row r="51568" spans="62:62" x14ac:dyDescent="0.2">
      <c r="BJ51568" s="201"/>
    </row>
    <row r="51569" spans="62:62" x14ac:dyDescent="0.2">
      <c r="BJ51569" s="201"/>
    </row>
    <row r="51570" spans="62:62" x14ac:dyDescent="0.2">
      <c r="BJ51570" s="201"/>
    </row>
    <row r="51571" spans="62:62" x14ac:dyDescent="0.2">
      <c r="BJ51571" s="201"/>
    </row>
    <row r="51572" spans="62:62" x14ac:dyDescent="0.2">
      <c r="BJ51572" s="201"/>
    </row>
    <row r="51573" spans="62:62" x14ac:dyDescent="0.2">
      <c r="BJ51573" s="201"/>
    </row>
    <row r="51574" spans="62:62" x14ac:dyDescent="0.2">
      <c r="BJ51574" s="201"/>
    </row>
    <row r="51575" spans="62:62" x14ac:dyDescent="0.2">
      <c r="BJ51575" s="201"/>
    </row>
    <row r="51576" spans="62:62" x14ac:dyDescent="0.2">
      <c r="BJ51576" s="201"/>
    </row>
    <row r="51577" spans="62:62" x14ac:dyDescent="0.2">
      <c r="BJ51577" s="201"/>
    </row>
    <row r="51578" spans="62:62" x14ac:dyDescent="0.2">
      <c r="BJ51578" s="201"/>
    </row>
    <row r="51579" spans="62:62" x14ac:dyDescent="0.2">
      <c r="BJ51579" s="201"/>
    </row>
    <row r="51580" spans="62:62" x14ac:dyDescent="0.2">
      <c r="BJ51580" s="201"/>
    </row>
    <row r="51581" spans="62:62" x14ac:dyDescent="0.2">
      <c r="BJ51581" s="201"/>
    </row>
    <row r="51582" spans="62:62" x14ac:dyDescent="0.2">
      <c r="BJ51582" s="201"/>
    </row>
    <row r="51583" spans="62:62" x14ac:dyDescent="0.2">
      <c r="BJ51583" s="201"/>
    </row>
    <row r="51584" spans="62:62" x14ac:dyDescent="0.2">
      <c r="BJ51584" s="201"/>
    </row>
    <row r="51585" spans="62:62" x14ac:dyDescent="0.2">
      <c r="BJ51585" s="201"/>
    </row>
    <row r="51586" spans="62:62" x14ac:dyDescent="0.2">
      <c r="BJ51586" s="201"/>
    </row>
    <row r="51587" spans="62:62" x14ac:dyDescent="0.2">
      <c r="BJ51587" s="201"/>
    </row>
    <row r="51588" spans="62:62" x14ac:dyDescent="0.2">
      <c r="BJ51588" s="201"/>
    </row>
    <row r="51589" spans="62:62" x14ac:dyDescent="0.2">
      <c r="BJ51589" s="201"/>
    </row>
    <row r="51590" spans="62:62" x14ac:dyDescent="0.2">
      <c r="BJ51590" s="201"/>
    </row>
    <row r="51591" spans="62:62" x14ac:dyDescent="0.2">
      <c r="BJ51591" s="201"/>
    </row>
    <row r="51592" spans="62:62" x14ac:dyDescent="0.2">
      <c r="BJ51592" s="201"/>
    </row>
    <row r="51593" spans="62:62" x14ac:dyDescent="0.2">
      <c r="BJ51593" s="201"/>
    </row>
    <row r="51594" spans="62:62" x14ac:dyDescent="0.2">
      <c r="BJ51594" s="201"/>
    </row>
    <row r="51595" spans="62:62" x14ac:dyDescent="0.2">
      <c r="BJ51595" s="201"/>
    </row>
    <row r="51596" spans="62:62" x14ac:dyDescent="0.2">
      <c r="BJ51596" s="201"/>
    </row>
    <row r="51597" spans="62:62" x14ac:dyDescent="0.2">
      <c r="BJ51597" s="201"/>
    </row>
    <row r="51598" spans="62:62" x14ac:dyDescent="0.2">
      <c r="BJ51598" s="201"/>
    </row>
    <row r="51599" spans="62:62" x14ac:dyDescent="0.2">
      <c r="BJ51599" s="201"/>
    </row>
    <row r="51600" spans="62:62" x14ac:dyDescent="0.2">
      <c r="BJ51600" s="201"/>
    </row>
    <row r="51601" spans="62:62" x14ac:dyDescent="0.2">
      <c r="BJ51601" s="201"/>
    </row>
    <row r="51602" spans="62:62" x14ac:dyDescent="0.2">
      <c r="BJ51602" s="201"/>
    </row>
    <row r="51603" spans="62:62" x14ac:dyDescent="0.2">
      <c r="BJ51603" s="201"/>
    </row>
    <row r="51604" spans="62:62" x14ac:dyDescent="0.2">
      <c r="BJ51604" s="201"/>
    </row>
    <row r="51605" spans="62:62" x14ac:dyDescent="0.2">
      <c r="BJ51605" s="201"/>
    </row>
    <row r="51606" spans="62:62" x14ac:dyDescent="0.2">
      <c r="BJ51606" s="201"/>
    </row>
    <row r="51607" spans="62:62" x14ac:dyDescent="0.2">
      <c r="BJ51607" s="201"/>
    </row>
    <row r="51608" spans="62:62" x14ac:dyDescent="0.2">
      <c r="BJ51608" s="201"/>
    </row>
    <row r="51609" spans="62:62" x14ac:dyDescent="0.2">
      <c r="BJ51609" s="201"/>
    </row>
    <row r="51610" spans="62:62" x14ac:dyDescent="0.2">
      <c r="BJ51610" s="201"/>
    </row>
    <row r="51611" spans="62:62" x14ac:dyDescent="0.2">
      <c r="BJ51611" s="201"/>
    </row>
    <row r="51612" spans="62:62" x14ac:dyDescent="0.2">
      <c r="BJ51612" s="201"/>
    </row>
    <row r="51613" spans="62:62" x14ac:dyDescent="0.2">
      <c r="BJ51613" s="201"/>
    </row>
    <row r="51614" spans="62:62" x14ac:dyDescent="0.2">
      <c r="BJ51614" s="201"/>
    </row>
    <row r="51615" spans="62:62" x14ac:dyDescent="0.2">
      <c r="BJ51615" s="201"/>
    </row>
    <row r="51616" spans="62:62" x14ac:dyDescent="0.2">
      <c r="BJ51616" s="201"/>
    </row>
    <row r="51617" spans="62:62" x14ac:dyDescent="0.2">
      <c r="BJ51617" s="201"/>
    </row>
    <row r="51618" spans="62:62" x14ac:dyDescent="0.2">
      <c r="BJ51618" s="201"/>
    </row>
    <row r="51619" spans="62:62" x14ac:dyDescent="0.2">
      <c r="BJ51619" s="201"/>
    </row>
    <row r="51620" spans="62:62" x14ac:dyDescent="0.2">
      <c r="BJ51620" s="201"/>
    </row>
    <row r="51621" spans="62:62" x14ac:dyDescent="0.2">
      <c r="BJ51621" s="201"/>
    </row>
    <row r="51622" spans="62:62" x14ac:dyDescent="0.2">
      <c r="BJ51622" s="201"/>
    </row>
    <row r="51623" spans="62:62" x14ac:dyDescent="0.2">
      <c r="BJ51623" s="201"/>
    </row>
    <row r="51624" spans="62:62" x14ac:dyDescent="0.2">
      <c r="BJ51624" s="201"/>
    </row>
    <row r="51625" spans="62:62" x14ac:dyDescent="0.2">
      <c r="BJ51625" s="201"/>
    </row>
    <row r="51626" spans="62:62" x14ac:dyDescent="0.2">
      <c r="BJ51626" s="201"/>
    </row>
    <row r="51627" spans="62:62" x14ac:dyDescent="0.2">
      <c r="BJ51627" s="201"/>
    </row>
    <row r="51628" spans="62:62" x14ac:dyDescent="0.2">
      <c r="BJ51628" s="201"/>
    </row>
    <row r="51629" spans="62:62" x14ac:dyDescent="0.2">
      <c r="BJ51629" s="201"/>
    </row>
    <row r="51630" spans="62:62" x14ac:dyDescent="0.2">
      <c r="BJ51630" s="201"/>
    </row>
    <row r="51631" spans="62:62" x14ac:dyDescent="0.2">
      <c r="BJ51631" s="201"/>
    </row>
    <row r="51632" spans="62:62" x14ac:dyDescent="0.2">
      <c r="BJ51632" s="201"/>
    </row>
    <row r="51633" spans="62:62" x14ac:dyDescent="0.2">
      <c r="BJ51633" s="201"/>
    </row>
    <row r="51634" spans="62:62" x14ac:dyDescent="0.2">
      <c r="BJ51634" s="201"/>
    </row>
    <row r="51635" spans="62:62" x14ac:dyDescent="0.2">
      <c r="BJ51635" s="201"/>
    </row>
    <row r="51636" spans="62:62" x14ac:dyDescent="0.2">
      <c r="BJ51636" s="201"/>
    </row>
    <row r="51637" spans="62:62" x14ac:dyDescent="0.2">
      <c r="BJ51637" s="201"/>
    </row>
    <row r="51638" spans="62:62" x14ac:dyDescent="0.2">
      <c r="BJ51638" s="201"/>
    </row>
    <row r="51639" spans="62:62" x14ac:dyDescent="0.2">
      <c r="BJ51639" s="201"/>
    </row>
    <row r="51640" spans="62:62" x14ac:dyDescent="0.2">
      <c r="BJ51640" s="201"/>
    </row>
    <row r="51641" spans="62:62" x14ac:dyDescent="0.2">
      <c r="BJ51641" s="201"/>
    </row>
    <row r="51642" spans="62:62" x14ac:dyDescent="0.2">
      <c r="BJ51642" s="201"/>
    </row>
    <row r="51643" spans="62:62" x14ac:dyDescent="0.2">
      <c r="BJ51643" s="201"/>
    </row>
    <row r="51644" spans="62:62" x14ac:dyDescent="0.2">
      <c r="BJ51644" s="201"/>
    </row>
    <row r="51645" spans="62:62" x14ac:dyDescent="0.2">
      <c r="BJ51645" s="201"/>
    </row>
    <row r="51646" spans="62:62" x14ac:dyDescent="0.2">
      <c r="BJ51646" s="201"/>
    </row>
    <row r="51647" spans="62:62" x14ac:dyDescent="0.2">
      <c r="BJ51647" s="201"/>
    </row>
    <row r="51648" spans="62:62" x14ac:dyDescent="0.2">
      <c r="BJ51648" s="201"/>
    </row>
    <row r="51649" spans="62:62" x14ac:dyDescent="0.2">
      <c r="BJ51649" s="201"/>
    </row>
    <row r="51650" spans="62:62" x14ac:dyDescent="0.2">
      <c r="BJ51650" s="201"/>
    </row>
    <row r="51651" spans="62:62" x14ac:dyDescent="0.2">
      <c r="BJ51651" s="201"/>
    </row>
    <row r="51652" spans="62:62" x14ac:dyDescent="0.2">
      <c r="BJ51652" s="201"/>
    </row>
    <row r="51653" spans="62:62" x14ac:dyDescent="0.2">
      <c r="BJ51653" s="201"/>
    </row>
    <row r="51654" spans="62:62" x14ac:dyDescent="0.2">
      <c r="BJ51654" s="201"/>
    </row>
    <row r="51655" spans="62:62" x14ac:dyDescent="0.2">
      <c r="BJ51655" s="201"/>
    </row>
    <row r="51656" spans="62:62" x14ac:dyDescent="0.2">
      <c r="BJ51656" s="201"/>
    </row>
    <row r="51657" spans="62:62" x14ac:dyDescent="0.2">
      <c r="BJ51657" s="201"/>
    </row>
    <row r="51658" spans="62:62" x14ac:dyDescent="0.2">
      <c r="BJ51658" s="201"/>
    </row>
    <row r="51659" spans="62:62" x14ac:dyDescent="0.2">
      <c r="BJ51659" s="201"/>
    </row>
    <row r="51660" spans="62:62" x14ac:dyDescent="0.2">
      <c r="BJ51660" s="201"/>
    </row>
    <row r="51661" spans="62:62" x14ac:dyDescent="0.2">
      <c r="BJ51661" s="201"/>
    </row>
    <row r="51662" spans="62:62" x14ac:dyDescent="0.2">
      <c r="BJ51662" s="201"/>
    </row>
    <row r="51663" spans="62:62" x14ac:dyDescent="0.2">
      <c r="BJ51663" s="201"/>
    </row>
    <row r="51664" spans="62:62" x14ac:dyDescent="0.2">
      <c r="BJ51664" s="201"/>
    </row>
    <row r="51665" spans="62:62" x14ac:dyDescent="0.2">
      <c r="BJ51665" s="201"/>
    </row>
    <row r="51666" spans="62:62" x14ac:dyDescent="0.2">
      <c r="BJ51666" s="201"/>
    </row>
    <row r="51667" spans="62:62" x14ac:dyDescent="0.2">
      <c r="BJ51667" s="201"/>
    </row>
    <row r="51668" spans="62:62" x14ac:dyDescent="0.2">
      <c r="BJ51668" s="201"/>
    </row>
    <row r="51669" spans="62:62" x14ac:dyDescent="0.2">
      <c r="BJ51669" s="201"/>
    </row>
    <row r="51670" spans="62:62" x14ac:dyDescent="0.2">
      <c r="BJ51670" s="201"/>
    </row>
    <row r="51671" spans="62:62" x14ac:dyDescent="0.2">
      <c r="BJ51671" s="201"/>
    </row>
    <row r="51672" spans="62:62" x14ac:dyDescent="0.2">
      <c r="BJ51672" s="201"/>
    </row>
    <row r="51673" spans="62:62" x14ac:dyDescent="0.2">
      <c r="BJ51673" s="201"/>
    </row>
    <row r="51674" spans="62:62" x14ac:dyDescent="0.2">
      <c r="BJ51674" s="201"/>
    </row>
    <row r="51675" spans="62:62" x14ac:dyDescent="0.2">
      <c r="BJ51675" s="201"/>
    </row>
    <row r="51676" spans="62:62" x14ac:dyDescent="0.2">
      <c r="BJ51676" s="201"/>
    </row>
    <row r="51677" spans="62:62" x14ac:dyDescent="0.2">
      <c r="BJ51677" s="201"/>
    </row>
    <row r="51678" spans="62:62" x14ac:dyDescent="0.2">
      <c r="BJ51678" s="201"/>
    </row>
    <row r="51679" spans="62:62" x14ac:dyDescent="0.2">
      <c r="BJ51679" s="201"/>
    </row>
    <row r="51680" spans="62:62" x14ac:dyDescent="0.2">
      <c r="BJ51680" s="201"/>
    </row>
    <row r="51681" spans="62:62" x14ac:dyDescent="0.2">
      <c r="BJ51681" s="201"/>
    </row>
    <row r="51682" spans="62:62" x14ac:dyDescent="0.2">
      <c r="BJ51682" s="201"/>
    </row>
    <row r="51683" spans="62:62" x14ac:dyDescent="0.2">
      <c r="BJ51683" s="201"/>
    </row>
    <row r="51684" spans="62:62" x14ac:dyDescent="0.2">
      <c r="BJ51684" s="201"/>
    </row>
    <row r="51685" spans="62:62" x14ac:dyDescent="0.2">
      <c r="BJ51685" s="201"/>
    </row>
    <row r="51686" spans="62:62" x14ac:dyDescent="0.2">
      <c r="BJ51686" s="201"/>
    </row>
    <row r="51687" spans="62:62" x14ac:dyDescent="0.2">
      <c r="BJ51687" s="201"/>
    </row>
    <row r="51688" spans="62:62" x14ac:dyDescent="0.2">
      <c r="BJ51688" s="201"/>
    </row>
    <row r="51689" spans="62:62" x14ac:dyDescent="0.2">
      <c r="BJ51689" s="201"/>
    </row>
    <row r="51690" spans="62:62" x14ac:dyDescent="0.2">
      <c r="BJ51690" s="201"/>
    </row>
    <row r="51691" spans="62:62" x14ac:dyDescent="0.2">
      <c r="BJ51691" s="201"/>
    </row>
    <row r="51692" spans="62:62" x14ac:dyDescent="0.2">
      <c r="BJ51692" s="201"/>
    </row>
    <row r="51693" spans="62:62" x14ac:dyDescent="0.2">
      <c r="BJ51693" s="201"/>
    </row>
    <row r="51694" spans="62:62" x14ac:dyDescent="0.2">
      <c r="BJ51694" s="201"/>
    </row>
    <row r="51695" spans="62:62" x14ac:dyDescent="0.2">
      <c r="BJ51695" s="201"/>
    </row>
    <row r="51696" spans="62:62" x14ac:dyDescent="0.2">
      <c r="BJ51696" s="201"/>
    </row>
    <row r="51697" spans="62:62" x14ac:dyDescent="0.2">
      <c r="BJ51697" s="201"/>
    </row>
    <row r="51698" spans="62:62" x14ac:dyDescent="0.2">
      <c r="BJ51698" s="201"/>
    </row>
    <row r="51699" spans="62:62" x14ac:dyDescent="0.2">
      <c r="BJ51699" s="201"/>
    </row>
    <row r="51700" spans="62:62" x14ac:dyDescent="0.2">
      <c r="BJ51700" s="201"/>
    </row>
    <row r="51701" spans="62:62" x14ac:dyDescent="0.2">
      <c r="BJ51701" s="201"/>
    </row>
    <row r="51702" spans="62:62" x14ac:dyDescent="0.2">
      <c r="BJ51702" s="201"/>
    </row>
    <row r="51703" spans="62:62" x14ac:dyDescent="0.2">
      <c r="BJ51703" s="201"/>
    </row>
    <row r="51704" spans="62:62" x14ac:dyDescent="0.2">
      <c r="BJ51704" s="201"/>
    </row>
    <row r="51705" spans="62:62" x14ac:dyDescent="0.2">
      <c r="BJ51705" s="201"/>
    </row>
    <row r="51706" spans="62:62" x14ac:dyDescent="0.2">
      <c r="BJ51706" s="201"/>
    </row>
    <row r="51707" spans="62:62" x14ac:dyDescent="0.2">
      <c r="BJ51707" s="201"/>
    </row>
    <row r="51708" spans="62:62" x14ac:dyDescent="0.2">
      <c r="BJ51708" s="201"/>
    </row>
    <row r="51709" spans="62:62" x14ac:dyDescent="0.2">
      <c r="BJ51709" s="201"/>
    </row>
    <row r="51710" spans="62:62" x14ac:dyDescent="0.2">
      <c r="BJ51710" s="201"/>
    </row>
    <row r="51711" spans="62:62" x14ac:dyDescent="0.2">
      <c r="BJ51711" s="201"/>
    </row>
    <row r="51712" spans="62:62" x14ac:dyDescent="0.2">
      <c r="BJ51712" s="201"/>
    </row>
    <row r="51713" spans="62:62" x14ac:dyDescent="0.2">
      <c r="BJ51713" s="201"/>
    </row>
    <row r="51714" spans="62:62" x14ac:dyDescent="0.2">
      <c r="BJ51714" s="201"/>
    </row>
    <row r="51715" spans="62:62" x14ac:dyDescent="0.2">
      <c r="BJ51715" s="201"/>
    </row>
    <row r="51716" spans="62:62" x14ac:dyDescent="0.2">
      <c r="BJ51716" s="201"/>
    </row>
    <row r="51717" spans="62:62" x14ac:dyDescent="0.2">
      <c r="BJ51717" s="201"/>
    </row>
    <row r="51718" spans="62:62" x14ac:dyDescent="0.2">
      <c r="BJ51718" s="201"/>
    </row>
    <row r="51719" spans="62:62" x14ac:dyDescent="0.2">
      <c r="BJ51719" s="201"/>
    </row>
    <row r="51720" spans="62:62" x14ac:dyDescent="0.2">
      <c r="BJ51720" s="201"/>
    </row>
    <row r="51721" spans="62:62" x14ac:dyDescent="0.2">
      <c r="BJ51721" s="201"/>
    </row>
    <row r="51722" spans="62:62" x14ac:dyDescent="0.2">
      <c r="BJ51722" s="201"/>
    </row>
    <row r="51723" spans="62:62" x14ac:dyDescent="0.2">
      <c r="BJ51723" s="201"/>
    </row>
    <row r="51724" spans="62:62" x14ac:dyDescent="0.2">
      <c r="BJ51724" s="201"/>
    </row>
    <row r="51725" spans="62:62" x14ac:dyDescent="0.2">
      <c r="BJ51725" s="201"/>
    </row>
    <row r="51726" spans="62:62" x14ac:dyDescent="0.2">
      <c r="BJ51726" s="201"/>
    </row>
    <row r="51727" spans="62:62" x14ac:dyDescent="0.2">
      <c r="BJ51727" s="201"/>
    </row>
    <row r="51728" spans="62:62" x14ac:dyDescent="0.2">
      <c r="BJ51728" s="201"/>
    </row>
    <row r="51729" spans="62:62" x14ac:dyDescent="0.2">
      <c r="BJ51729" s="201"/>
    </row>
    <row r="51730" spans="62:62" x14ac:dyDescent="0.2">
      <c r="BJ51730" s="201"/>
    </row>
    <row r="51731" spans="62:62" x14ac:dyDescent="0.2">
      <c r="BJ51731" s="201"/>
    </row>
    <row r="51732" spans="62:62" x14ac:dyDescent="0.2">
      <c r="BJ51732" s="201"/>
    </row>
    <row r="51733" spans="62:62" x14ac:dyDescent="0.2">
      <c r="BJ51733" s="201"/>
    </row>
    <row r="51734" spans="62:62" x14ac:dyDescent="0.2">
      <c r="BJ51734" s="201"/>
    </row>
    <row r="51735" spans="62:62" x14ac:dyDescent="0.2">
      <c r="BJ51735" s="201"/>
    </row>
    <row r="51736" spans="62:62" x14ac:dyDescent="0.2">
      <c r="BJ51736" s="201"/>
    </row>
    <row r="51737" spans="62:62" x14ac:dyDescent="0.2">
      <c r="BJ51737" s="201"/>
    </row>
    <row r="51738" spans="62:62" x14ac:dyDescent="0.2">
      <c r="BJ51738" s="201"/>
    </row>
    <row r="51739" spans="62:62" x14ac:dyDescent="0.2">
      <c r="BJ51739" s="201"/>
    </row>
    <row r="51740" spans="62:62" x14ac:dyDescent="0.2">
      <c r="BJ51740" s="201"/>
    </row>
    <row r="51741" spans="62:62" x14ac:dyDescent="0.2">
      <c r="BJ51741" s="201"/>
    </row>
    <row r="51742" spans="62:62" x14ac:dyDescent="0.2">
      <c r="BJ51742" s="201"/>
    </row>
    <row r="51743" spans="62:62" x14ac:dyDescent="0.2">
      <c r="BJ51743" s="201"/>
    </row>
    <row r="51744" spans="62:62" x14ac:dyDescent="0.2">
      <c r="BJ51744" s="201"/>
    </row>
    <row r="51745" spans="62:62" x14ac:dyDescent="0.2">
      <c r="BJ51745" s="201"/>
    </row>
    <row r="51746" spans="62:62" x14ac:dyDescent="0.2">
      <c r="BJ51746" s="201"/>
    </row>
    <row r="51747" spans="62:62" x14ac:dyDescent="0.2">
      <c r="BJ51747" s="201"/>
    </row>
    <row r="51748" spans="62:62" x14ac:dyDescent="0.2">
      <c r="BJ51748" s="201"/>
    </row>
    <row r="51749" spans="62:62" x14ac:dyDescent="0.2">
      <c r="BJ51749" s="201"/>
    </row>
    <row r="51750" spans="62:62" x14ac:dyDescent="0.2">
      <c r="BJ51750" s="201"/>
    </row>
    <row r="51751" spans="62:62" x14ac:dyDescent="0.2">
      <c r="BJ51751" s="201"/>
    </row>
    <row r="51752" spans="62:62" x14ac:dyDescent="0.2">
      <c r="BJ51752" s="201"/>
    </row>
    <row r="51753" spans="62:62" x14ac:dyDescent="0.2">
      <c r="BJ51753" s="201"/>
    </row>
    <row r="51754" spans="62:62" x14ac:dyDescent="0.2">
      <c r="BJ51754" s="201"/>
    </row>
    <row r="51755" spans="62:62" x14ac:dyDescent="0.2">
      <c r="BJ51755" s="201"/>
    </row>
    <row r="51756" spans="62:62" x14ac:dyDescent="0.2">
      <c r="BJ51756" s="201"/>
    </row>
    <row r="51757" spans="62:62" x14ac:dyDescent="0.2">
      <c r="BJ51757" s="201"/>
    </row>
    <row r="51758" spans="62:62" x14ac:dyDescent="0.2">
      <c r="BJ51758" s="201"/>
    </row>
    <row r="51759" spans="62:62" x14ac:dyDescent="0.2">
      <c r="BJ51759" s="201"/>
    </row>
    <row r="51760" spans="62:62" x14ac:dyDescent="0.2">
      <c r="BJ51760" s="201"/>
    </row>
    <row r="51761" spans="62:62" x14ac:dyDescent="0.2">
      <c r="BJ51761" s="201"/>
    </row>
    <row r="51762" spans="62:62" x14ac:dyDescent="0.2">
      <c r="BJ51762" s="201"/>
    </row>
    <row r="51763" spans="62:62" x14ac:dyDescent="0.2">
      <c r="BJ51763" s="201"/>
    </row>
    <row r="51764" spans="62:62" x14ac:dyDescent="0.2">
      <c r="BJ51764" s="201"/>
    </row>
    <row r="51765" spans="62:62" x14ac:dyDescent="0.2">
      <c r="BJ51765" s="201"/>
    </row>
    <row r="51766" spans="62:62" x14ac:dyDescent="0.2">
      <c r="BJ51766" s="201"/>
    </row>
    <row r="51767" spans="62:62" x14ac:dyDescent="0.2">
      <c r="BJ51767" s="201"/>
    </row>
    <row r="51768" spans="62:62" x14ac:dyDescent="0.2">
      <c r="BJ51768" s="201"/>
    </row>
    <row r="51769" spans="62:62" x14ac:dyDescent="0.2">
      <c r="BJ51769" s="201"/>
    </row>
    <row r="51770" spans="62:62" x14ac:dyDescent="0.2">
      <c r="BJ51770" s="201"/>
    </row>
    <row r="51771" spans="62:62" x14ac:dyDescent="0.2">
      <c r="BJ51771" s="201"/>
    </row>
    <row r="51772" spans="62:62" x14ac:dyDescent="0.2">
      <c r="BJ51772" s="201"/>
    </row>
    <row r="51773" spans="62:62" x14ac:dyDescent="0.2">
      <c r="BJ51773" s="201"/>
    </row>
    <row r="51774" spans="62:62" x14ac:dyDescent="0.2">
      <c r="BJ51774" s="201"/>
    </row>
    <row r="51775" spans="62:62" x14ac:dyDescent="0.2">
      <c r="BJ51775" s="201"/>
    </row>
    <row r="51776" spans="62:62" x14ac:dyDescent="0.2">
      <c r="BJ51776" s="201"/>
    </row>
    <row r="51777" spans="62:62" x14ac:dyDescent="0.2">
      <c r="BJ51777" s="201"/>
    </row>
    <row r="51778" spans="62:62" x14ac:dyDescent="0.2">
      <c r="BJ51778" s="201"/>
    </row>
    <row r="51779" spans="62:62" x14ac:dyDescent="0.2">
      <c r="BJ51779" s="201"/>
    </row>
    <row r="51780" spans="62:62" x14ac:dyDescent="0.2">
      <c r="BJ51780" s="201"/>
    </row>
    <row r="51781" spans="62:62" x14ac:dyDescent="0.2">
      <c r="BJ51781" s="201"/>
    </row>
    <row r="51782" spans="62:62" x14ac:dyDescent="0.2">
      <c r="BJ51782" s="201"/>
    </row>
    <row r="51783" spans="62:62" x14ac:dyDescent="0.2">
      <c r="BJ51783" s="201"/>
    </row>
    <row r="51784" spans="62:62" x14ac:dyDescent="0.2">
      <c r="BJ51784" s="201"/>
    </row>
    <row r="51785" spans="62:62" x14ac:dyDescent="0.2">
      <c r="BJ51785" s="201"/>
    </row>
    <row r="51786" spans="62:62" x14ac:dyDescent="0.2">
      <c r="BJ51786" s="201"/>
    </row>
    <row r="51787" spans="62:62" x14ac:dyDescent="0.2">
      <c r="BJ51787" s="201"/>
    </row>
    <row r="51788" spans="62:62" x14ac:dyDescent="0.2">
      <c r="BJ51788" s="201"/>
    </row>
    <row r="51789" spans="62:62" x14ac:dyDescent="0.2">
      <c r="BJ51789" s="201"/>
    </row>
    <row r="51790" spans="62:62" x14ac:dyDescent="0.2">
      <c r="BJ51790" s="201"/>
    </row>
    <row r="51791" spans="62:62" x14ac:dyDescent="0.2">
      <c r="BJ51791" s="201"/>
    </row>
    <row r="51792" spans="62:62" x14ac:dyDescent="0.2">
      <c r="BJ51792" s="201"/>
    </row>
    <row r="51793" spans="62:62" x14ac:dyDescent="0.2">
      <c r="BJ51793" s="201"/>
    </row>
    <row r="51794" spans="62:62" x14ac:dyDescent="0.2">
      <c r="BJ51794" s="201"/>
    </row>
    <row r="51795" spans="62:62" x14ac:dyDescent="0.2">
      <c r="BJ51795" s="201"/>
    </row>
    <row r="51796" spans="62:62" x14ac:dyDescent="0.2">
      <c r="BJ51796" s="201"/>
    </row>
    <row r="51797" spans="62:62" x14ac:dyDescent="0.2">
      <c r="BJ51797" s="201"/>
    </row>
    <row r="51798" spans="62:62" x14ac:dyDescent="0.2">
      <c r="BJ51798" s="201"/>
    </row>
    <row r="51799" spans="62:62" x14ac:dyDescent="0.2">
      <c r="BJ51799" s="201"/>
    </row>
    <row r="51800" spans="62:62" x14ac:dyDescent="0.2">
      <c r="BJ51800" s="201"/>
    </row>
    <row r="51801" spans="62:62" x14ac:dyDescent="0.2">
      <c r="BJ51801" s="201"/>
    </row>
    <row r="51802" spans="62:62" x14ac:dyDescent="0.2">
      <c r="BJ51802" s="201"/>
    </row>
    <row r="51803" spans="62:62" x14ac:dyDescent="0.2">
      <c r="BJ51803" s="201"/>
    </row>
    <row r="51804" spans="62:62" x14ac:dyDescent="0.2">
      <c r="BJ51804" s="201"/>
    </row>
    <row r="51805" spans="62:62" x14ac:dyDescent="0.2">
      <c r="BJ51805" s="201"/>
    </row>
    <row r="51806" spans="62:62" x14ac:dyDescent="0.2">
      <c r="BJ51806" s="201"/>
    </row>
    <row r="51807" spans="62:62" x14ac:dyDescent="0.2">
      <c r="BJ51807" s="201"/>
    </row>
    <row r="51808" spans="62:62" x14ac:dyDescent="0.2">
      <c r="BJ51808" s="201"/>
    </row>
    <row r="51809" spans="62:62" x14ac:dyDescent="0.2">
      <c r="BJ51809" s="201"/>
    </row>
    <row r="51810" spans="62:62" x14ac:dyDescent="0.2">
      <c r="BJ51810" s="201"/>
    </row>
    <row r="51811" spans="62:62" x14ac:dyDescent="0.2">
      <c r="BJ51811" s="201"/>
    </row>
    <row r="51812" spans="62:62" x14ac:dyDescent="0.2">
      <c r="BJ51812" s="201"/>
    </row>
    <row r="51813" spans="62:62" x14ac:dyDescent="0.2">
      <c r="BJ51813" s="201"/>
    </row>
    <row r="51814" spans="62:62" x14ac:dyDescent="0.2">
      <c r="BJ51814" s="201"/>
    </row>
    <row r="51815" spans="62:62" x14ac:dyDescent="0.2">
      <c r="BJ51815" s="201"/>
    </row>
    <row r="51816" spans="62:62" x14ac:dyDescent="0.2">
      <c r="BJ51816" s="201"/>
    </row>
    <row r="51817" spans="62:62" x14ac:dyDescent="0.2">
      <c r="BJ51817" s="201"/>
    </row>
    <row r="51818" spans="62:62" x14ac:dyDescent="0.2">
      <c r="BJ51818" s="201"/>
    </row>
    <row r="51819" spans="62:62" x14ac:dyDescent="0.2">
      <c r="BJ51819" s="201"/>
    </row>
    <row r="51820" spans="62:62" x14ac:dyDescent="0.2">
      <c r="BJ51820" s="201"/>
    </row>
    <row r="51821" spans="62:62" x14ac:dyDescent="0.2">
      <c r="BJ51821" s="201"/>
    </row>
    <row r="51822" spans="62:62" x14ac:dyDescent="0.2">
      <c r="BJ51822" s="201"/>
    </row>
    <row r="51823" spans="62:62" x14ac:dyDescent="0.2">
      <c r="BJ51823" s="201"/>
    </row>
    <row r="51824" spans="62:62" x14ac:dyDescent="0.2">
      <c r="BJ51824" s="201"/>
    </row>
    <row r="51825" spans="62:62" x14ac:dyDescent="0.2">
      <c r="BJ51825" s="201"/>
    </row>
    <row r="51826" spans="62:62" x14ac:dyDescent="0.2">
      <c r="BJ51826" s="201"/>
    </row>
    <row r="51827" spans="62:62" x14ac:dyDescent="0.2">
      <c r="BJ51827" s="201"/>
    </row>
    <row r="51828" spans="62:62" x14ac:dyDescent="0.2">
      <c r="BJ51828" s="201"/>
    </row>
    <row r="51829" spans="62:62" x14ac:dyDescent="0.2">
      <c r="BJ51829" s="201"/>
    </row>
    <row r="51830" spans="62:62" x14ac:dyDescent="0.2">
      <c r="BJ51830" s="201"/>
    </row>
    <row r="51831" spans="62:62" x14ac:dyDescent="0.2">
      <c r="BJ51831" s="201"/>
    </row>
    <row r="51832" spans="62:62" x14ac:dyDescent="0.2">
      <c r="BJ51832" s="201"/>
    </row>
    <row r="51833" spans="62:62" x14ac:dyDescent="0.2">
      <c r="BJ51833" s="201"/>
    </row>
    <row r="51834" spans="62:62" x14ac:dyDescent="0.2">
      <c r="BJ51834" s="201"/>
    </row>
    <row r="51835" spans="62:62" x14ac:dyDescent="0.2">
      <c r="BJ51835" s="201"/>
    </row>
    <row r="51836" spans="62:62" x14ac:dyDescent="0.2">
      <c r="BJ51836" s="201"/>
    </row>
    <row r="51837" spans="62:62" x14ac:dyDescent="0.2">
      <c r="BJ51837" s="201"/>
    </row>
    <row r="51838" spans="62:62" x14ac:dyDescent="0.2">
      <c r="BJ51838" s="201"/>
    </row>
    <row r="51839" spans="62:62" x14ac:dyDescent="0.2">
      <c r="BJ51839" s="201"/>
    </row>
    <row r="51840" spans="62:62" x14ac:dyDescent="0.2">
      <c r="BJ51840" s="201"/>
    </row>
    <row r="51841" spans="62:62" x14ac:dyDescent="0.2">
      <c r="BJ51841" s="201"/>
    </row>
    <row r="51842" spans="62:62" x14ac:dyDescent="0.2">
      <c r="BJ51842" s="201"/>
    </row>
    <row r="51843" spans="62:62" x14ac:dyDescent="0.2">
      <c r="BJ51843" s="201"/>
    </row>
    <row r="51844" spans="62:62" x14ac:dyDescent="0.2">
      <c r="BJ51844" s="201"/>
    </row>
    <row r="51845" spans="62:62" x14ac:dyDescent="0.2">
      <c r="BJ51845" s="201"/>
    </row>
    <row r="51846" spans="62:62" x14ac:dyDescent="0.2">
      <c r="BJ51846" s="201"/>
    </row>
    <row r="51847" spans="62:62" x14ac:dyDescent="0.2">
      <c r="BJ51847" s="201"/>
    </row>
    <row r="51848" spans="62:62" x14ac:dyDescent="0.2">
      <c r="BJ51848" s="201"/>
    </row>
    <row r="51849" spans="62:62" x14ac:dyDescent="0.2">
      <c r="BJ51849" s="201"/>
    </row>
    <row r="51850" spans="62:62" x14ac:dyDescent="0.2">
      <c r="BJ51850" s="201"/>
    </row>
    <row r="51851" spans="62:62" x14ac:dyDescent="0.2">
      <c r="BJ51851" s="201"/>
    </row>
    <row r="51852" spans="62:62" x14ac:dyDescent="0.2">
      <c r="BJ51852" s="201"/>
    </row>
    <row r="51853" spans="62:62" x14ac:dyDescent="0.2">
      <c r="BJ51853" s="201"/>
    </row>
    <row r="51854" spans="62:62" x14ac:dyDescent="0.2">
      <c r="BJ51854" s="201"/>
    </row>
    <row r="51855" spans="62:62" x14ac:dyDescent="0.2">
      <c r="BJ51855" s="201"/>
    </row>
    <row r="51856" spans="62:62" x14ac:dyDescent="0.2">
      <c r="BJ51856" s="201"/>
    </row>
    <row r="51857" spans="62:62" x14ac:dyDescent="0.2">
      <c r="BJ51857" s="201"/>
    </row>
    <row r="51858" spans="62:62" x14ac:dyDescent="0.2">
      <c r="BJ51858" s="201"/>
    </row>
    <row r="51859" spans="62:62" x14ac:dyDescent="0.2">
      <c r="BJ51859" s="201"/>
    </row>
    <row r="51860" spans="62:62" x14ac:dyDescent="0.2">
      <c r="BJ51860" s="201"/>
    </row>
    <row r="51861" spans="62:62" x14ac:dyDescent="0.2">
      <c r="BJ51861" s="201"/>
    </row>
    <row r="51862" spans="62:62" x14ac:dyDescent="0.2">
      <c r="BJ51862" s="201"/>
    </row>
    <row r="51863" spans="62:62" x14ac:dyDescent="0.2">
      <c r="BJ51863" s="201"/>
    </row>
    <row r="51864" spans="62:62" x14ac:dyDescent="0.2">
      <c r="BJ51864" s="201"/>
    </row>
    <row r="51865" spans="62:62" x14ac:dyDescent="0.2">
      <c r="BJ51865" s="201"/>
    </row>
    <row r="51866" spans="62:62" x14ac:dyDescent="0.2">
      <c r="BJ51866" s="201"/>
    </row>
    <row r="51867" spans="62:62" x14ac:dyDescent="0.2">
      <c r="BJ51867" s="201"/>
    </row>
    <row r="51868" spans="62:62" x14ac:dyDescent="0.2">
      <c r="BJ51868" s="201"/>
    </row>
    <row r="51869" spans="62:62" x14ac:dyDescent="0.2">
      <c r="BJ51869" s="201"/>
    </row>
    <row r="51870" spans="62:62" x14ac:dyDescent="0.2">
      <c r="BJ51870" s="201"/>
    </row>
    <row r="51871" spans="62:62" x14ac:dyDescent="0.2">
      <c r="BJ51871" s="201"/>
    </row>
    <row r="51872" spans="62:62" x14ac:dyDescent="0.2">
      <c r="BJ51872" s="201"/>
    </row>
    <row r="51873" spans="62:62" x14ac:dyDescent="0.2">
      <c r="BJ51873" s="201"/>
    </row>
    <row r="51874" spans="62:62" x14ac:dyDescent="0.2">
      <c r="BJ51874" s="201"/>
    </row>
    <row r="51875" spans="62:62" x14ac:dyDescent="0.2">
      <c r="BJ51875" s="201"/>
    </row>
    <row r="51876" spans="62:62" x14ac:dyDescent="0.2">
      <c r="BJ51876" s="201"/>
    </row>
    <row r="51877" spans="62:62" x14ac:dyDescent="0.2">
      <c r="BJ51877" s="201"/>
    </row>
    <row r="51878" spans="62:62" x14ac:dyDescent="0.2">
      <c r="BJ51878" s="201"/>
    </row>
    <row r="51879" spans="62:62" x14ac:dyDescent="0.2">
      <c r="BJ51879" s="201"/>
    </row>
    <row r="51880" spans="62:62" x14ac:dyDescent="0.2">
      <c r="BJ51880" s="201"/>
    </row>
    <row r="51881" spans="62:62" x14ac:dyDescent="0.2">
      <c r="BJ51881" s="201"/>
    </row>
    <row r="51882" spans="62:62" x14ac:dyDescent="0.2">
      <c r="BJ51882" s="201"/>
    </row>
    <row r="51883" spans="62:62" x14ac:dyDescent="0.2">
      <c r="BJ51883" s="201"/>
    </row>
    <row r="51884" spans="62:62" x14ac:dyDescent="0.2">
      <c r="BJ51884" s="201"/>
    </row>
    <row r="51885" spans="62:62" x14ac:dyDescent="0.2">
      <c r="BJ51885" s="201"/>
    </row>
    <row r="51886" spans="62:62" x14ac:dyDescent="0.2">
      <c r="BJ51886" s="201"/>
    </row>
    <row r="51887" spans="62:62" x14ac:dyDescent="0.2">
      <c r="BJ51887" s="201"/>
    </row>
    <row r="51888" spans="62:62" x14ac:dyDescent="0.2">
      <c r="BJ51888" s="201"/>
    </row>
    <row r="51889" spans="62:62" x14ac:dyDescent="0.2">
      <c r="BJ51889" s="201"/>
    </row>
    <row r="51890" spans="62:62" x14ac:dyDescent="0.2">
      <c r="BJ51890" s="201"/>
    </row>
    <row r="51891" spans="62:62" x14ac:dyDescent="0.2">
      <c r="BJ51891" s="201"/>
    </row>
    <row r="51892" spans="62:62" x14ac:dyDescent="0.2">
      <c r="BJ51892" s="201"/>
    </row>
    <row r="51893" spans="62:62" x14ac:dyDescent="0.2">
      <c r="BJ51893" s="201"/>
    </row>
    <row r="51894" spans="62:62" x14ac:dyDescent="0.2">
      <c r="BJ51894" s="201"/>
    </row>
    <row r="51895" spans="62:62" x14ac:dyDescent="0.2">
      <c r="BJ51895" s="201"/>
    </row>
    <row r="51896" spans="62:62" x14ac:dyDescent="0.2">
      <c r="BJ51896" s="201"/>
    </row>
    <row r="51897" spans="62:62" x14ac:dyDescent="0.2">
      <c r="BJ51897" s="201"/>
    </row>
    <row r="51898" spans="62:62" x14ac:dyDescent="0.2">
      <c r="BJ51898" s="201"/>
    </row>
    <row r="51899" spans="62:62" x14ac:dyDescent="0.2">
      <c r="BJ51899" s="201"/>
    </row>
    <row r="51900" spans="62:62" x14ac:dyDescent="0.2">
      <c r="BJ51900" s="201"/>
    </row>
    <row r="51901" spans="62:62" x14ac:dyDescent="0.2">
      <c r="BJ51901" s="201"/>
    </row>
    <row r="51902" spans="62:62" x14ac:dyDescent="0.2">
      <c r="BJ51902" s="201"/>
    </row>
    <row r="51903" spans="62:62" x14ac:dyDescent="0.2">
      <c r="BJ51903" s="201"/>
    </row>
    <row r="51904" spans="62:62" x14ac:dyDescent="0.2">
      <c r="BJ51904" s="201"/>
    </row>
    <row r="51905" spans="62:62" x14ac:dyDescent="0.2">
      <c r="BJ51905" s="201"/>
    </row>
    <row r="51906" spans="62:62" x14ac:dyDescent="0.2">
      <c r="BJ51906" s="201"/>
    </row>
    <row r="51907" spans="62:62" x14ac:dyDescent="0.2">
      <c r="BJ51907" s="201"/>
    </row>
    <row r="51908" spans="62:62" x14ac:dyDescent="0.2">
      <c r="BJ51908" s="201"/>
    </row>
    <row r="51909" spans="62:62" x14ac:dyDescent="0.2">
      <c r="BJ51909" s="201"/>
    </row>
    <row r="51910" spans="62:62" x14ac:dyDescent="0.2">
      <c r="BJ51910" s="201"/>
    </row>
    <row r="51911" spans="62:62" x14ac:dyDescent="0.2">
      <c r="BJ51911" s="201"/>
    </row>
    <row r="51912" spans="62:62" x14ac:dyDescent="0.2">
      <c r="BJ51912" s="201"/>
    </row>
    <row r="51913" spans="62:62" x14ac:dyDescent="0.2">
      <c r="BJ51913" s="201"/>
    </row>
    <row r="51914" spans="62:62" x14ac:dyDescent="0.2">
      <c r="BJ51914" s="201"/>
    </row>
    <row r="51915" spans="62:62" x14ac:dyDescent="0.2">
      <c r="BJ51915" s="201"/>
    </row>
    <row r="51916" spans="62:62" x14ac:dyDescent="0.2">
      <c r="BJ51916" s="201"/>
    </row>
    <row r="51917" spans="62:62" x14ac:dyDescent="0.2">
      <c r="BJ51917" s="201"/>
    </row>
    <row r="51918" spans="62:62" x14ac:dyDescent="0.2">
      <c r="BJ51918" s="201"/>
    </row>
    <row r="51919" spans="62:62" x14ac:dyDescent="0.2">
      <c r="BJ51919" s="201"/>
    </row>
    <row r="51920" spans="62:62" x14ac:dyDescent="0.2">
      <c r="BJ51920" s="201"/>
    </row>
    <row r="51921" spans="62:62" x14ac:dyDescent="0.2">
      <c r="BJ51921" s="201"/>
    </row>
    <row r="51922" spans="62:62" x14ac:dyDescent="0.2">
      <c r="BJ51922" s="201"/>
    </row>
    <row r="51923" spans="62:62" x14ac:dyDescent="0.2">
      <c r="BJ51923" s="201"/>
    </row>
    <row r="51924" spans="62:62" x14ac:dyDescent="0.2">
      <c r="BJ51924" s="201"/>
    </row>
    <row r="51925" spans="62:62" x14ac:dyDescent="0.2">
      <c r="BJ51925" s="201"/>
    </row>
    <row r="51926" spans="62:62" x14ac:dyDescent="0.2">
      <c r="BJ51926" s="201"/>
    </row>
    <row r="51927" spans="62:62" x14ac:dyDescent="0.2">
      <c r="BJ51927" s="201"/>
    </row>
    <row r="51928" spans="62:62" x14ac:dyDescent="0.2">
      <c r="BJ51928" s="201"/>
    </row>
    <row r="51929" spans="62:62" x14ac:dyDescent="0.2">
      <c r="BJ51929" s="201"/>
    </row>
    <row r="51930" spans="62:62" x14ac:dyDescent="0.2">
      <c r="BJ51930" s="201"/>
    </row>
    <row r="51931" spans="62:62" x14ac:dyDescent="0.2">
      <c r="BJ51931" s="201"/>
    </row>
    <row r="51932" spans="62:62" x14ac:dyDescent="0.2">
      <c r="BJ51932" s="201"/>
    </row>
    <row r="51933" spans="62:62" x14ac:dyDescent="0.2">
      <c r="BJ51933" s="201"/>
    </row>
    <row r="51934" spans="62:62" x14ac:dyDescent="0.2">
      <c r="BJ51934" s="201"/>
    </row>
    <row r="51935" spans="62:62" x14ac:dyDescent="0.2">
      <c r="BJ51935" s="201"/>
    </row>
    <row r="51936" spans="62:62" x14ac:dyDescent="0.2">
      <c r="BJ51936" s="201"/>
    </row>
    <row r="51937" spans="62:62" x14ac:dyDescent="0.2">
      <c r="BJ51937" s="201"/>
    </row>
    <row r="51938" spans="62:62" x14ac:dyDescent="0.2">
      <c r="BJ51938" s="201"/>
    </row>
    <row r="51939" spans="62:62" x14ac:dyDescent="0.2">
      <c r="BJ51939" s="201"/>
    </row>
    <row r="51940" spans="62:62" x14ac:dyDescent="0.2">
      <c r="BJ51940" s="201"/>
    </row>
    <row r="51941" spans="62:62" x14ac:dyDescent="0.2">
      <c r="BJ51941" s="201"/>
    </row>
    <row r="51942" spans="62:62" x14ac:dyDescent="0.2">
      <c r="BJ51942" s="201"/>
    </row>
    <row r="51943" spans="62:62" x14ac:dyDescent="0.2">
      <c r="BJ51943" s="201"/>
    </row>
    <row r="51944" spans="62:62" x14ac:dyDescent="0.2">
      <c r="BJ51944" s="201"/>
    </row>
    <row r="51945" spans="62:62" x14ac:dyDescent="0.2">
      <c r="BJ51945" s="201"/>
    </row>
    <row r="51946" spans="62:62" x14ac:dyDescent="0.2">
      <c r="BJ51946" s="201"/>
    </row>
    <row r="51947" spans="62:62" x14ac:dyDescent="0.2">
      <c r="BJ51947" s="201"/>
    </row>
    <row r="51948" spans="62:62" x14ac:dyDescent="0.2">
      <c r="BJ51948" s="201"/>
    </row>
    <row r="51949" spans="62:62" x14ac:dyDescent="0.2">
      <c r="BJ51949" s="201"/>
    </row>
    <row r="51950" spans="62:62" x14ac:dyDescent="0.2">
      <c r="BJ51950" s="201"/>
    </row>
    <row r="51951" spans="62:62" x14ac:dyDescent="0.2">
      <c r="BJ51951" s="201"/>
    </row>
    <row r="51952" spans="62:62" x14ac:dyDescent="0.2">
      <c r="BJ51952" s="201"/>
    </row>
    <row r="51953" spans="62:62" x14ac:dyDescent="0.2">
      <c r="BJ51953" s="201"/>
    </row>
    <row r="51954" spans="62:62" x14ac:dyDescent="0.2">
      <c r="BJ51954" s="201"/>
    </row>
    <row r="51955" spans="62:62" x14ac:dyDescent="0.2">
      <c r="BJ51955" s="201"/>
    </row>
    <row r="51956" spans="62:62" x14ac:dyDescent="0.2">
      <c r="BJ51956" s="201"/>
    </row>
    <row r="51957" spans="62:62" x14ac:dyDescent="0.2">
      <c r="BJ51957" s="201"/>
    </row>
    <row r="51958" spans="62:62" x14ac:dyDescent="0.2">
      <c r="BJ51958" s="201"/>
    </row>
    <row r="51959" spans="62:62" x14ac:dyDescent="0.2">
      <c r="BJ51959" s="201"/>
    </row>
    <row r="51960" spans="62:62" x14ac:dyDescent="0.2">
      <c r="BJ51960" s="201"/>
    </row>
    <row r="51961" spans="62:62" x14ac:dyDescent="0.2">
      <c r="BJ51961" s="201"/>
    </row>
    <row r="51962" spans="62:62" x14ac:dyDescent="0.2">
      <c r="BJ51962" s="201"/>
    </row>
    <row r="51963" spans="62:62" x14ac:dyDescent="0.2">
      <c r="BJ51963" s="201"/>
    </row>
    <row r="51964" spans="62:62" x14ac:dyDescent="0.2">
      <c r="BJ51964" s="201"/>
    </row>
    <row r="51965" spans="62:62" x14ac:dyDescent="0.2">
      <c r="BJ51965" s="201"/>
    </row>
    <row r="51966" spans="62:62" x14ac:dyDescent="0.2">
      <c r="BJ51966" s="201"/>
    </row>
    <row r="51967" spans="62:62" x14ac:dyDescent="0.2">
      <c r="BJ51967" s="201"/>
    </row>
    <row r="51968" spans="62:62" x14ac:dyDescent="0.2">
      <c r="BJ51968" s="201"/>
    </row>
    <row r="51969" spans="62:62" x14ac:dyDescent="0.2">
      <c r="BJ51969" s="201"/>
    </row>
    <row r="51970" spans="62:62" x14ac:dyDescent="0.2">
      <c r="BJ51970" s="201"/>
    </row>
    <row r="51971" spans="62:62" x14ac:dyDescent="0.2">
      <c r="BJ51971" s="201"/>
    </row>
    <row r="51972" spans="62:62" x14ac:dyDescent="0.2">
      <c r="BJ51972" s="201"/>
    </row>
    <row r="51973" spans="62:62" x14ac:dyDescent="0.2">
      <c r="BJ51973" s="201"/>
    </row>
    <row r="51974" spans="62:62" x14ac:dyDescent="0.2">
      <c r="BJ51974" s="201"/>
    </row>
    <row r="51975" spans="62:62" x14ac:dyDescent="0.2">
      <c r="BJ51975" s="201"/>
    </row>
    <row r="51976" spans="62:62" x14ac:dyDescent="0.2">
      <c r="BJ51976" s="201"/>
    </row>
    <row r="51977" spans="62:62" x14ac:dyDescent="0.2">
      <c r="BJ51977" s="201"/>
    </row>
    <row r="51978" spans="62:62" x14ac:dyDescent="0.2">
      <c r="BJ51978" s="201"/>
    </row>
    <row r="51979" spans="62:62" x14ac:dyDescent="0.2">
      <c r="BJ51979" s="201"/>
    </row>
    <row r="51980" spans="62:62" x14ac:dyDescent="0.2">
      <c r="BJ51980" s="201"/>
    </row>
    <row r="51981" spans="62:62" x14ac:dyDescent="0.2">
      <c r="BJ51981" s="201"/>
    </row>
    <row r="51982" spans="62:62" x14ac:dyDescent="0.2">
      <c r="BJ51982" s="201"/>
    </row>
    <row r="51983" spans="62:62" x14ac:dyDescent="0.2">
      <c r="BJ51983" s="201"/>
    </row>
    <row r="51984" spans="62:62" x14ac:dyDescent="0.2">
      <c r="BJ51984" s="201"/>
    </row>
    <row r="51985" spans="62:62" x14ac:dyDescent="0.2">
      <c r="BJ51985" s="201"/>
    </row>
    <row r="51986" spans="62:62" x14ac:dyDescent="0.2">
      <c r="BJ51986" s="201"/>
    </row>
    <row r="51987" spans="62:62" x14ac:dyDescent="0.2">
      <c r="BJ51987" s="201"/>
    </row>
    <row r="51988" spans="62:62" x14ac:dyDescent="0.2">
      <c r="BJ51988" s="201"/>
    </row>
    <row r="51989" spans="62:62" x14ac:dyDescent="0.2">
      <c r="BJ51989" s="201"/>
    </row>
    <row r="51990" spans="62:62" x14ac:dyDescent="0.2">
      <c r="BJ51990" s="201"/>
    </row>
    <row r="51991" spans="62:62" x14ac:dyDescent="0.2">
      <c r="BJ51991" s="201"/>
    </row>
    <row r="51992" spans="62:62" x14ac:dyDescent="0.2">
      <c r="BJ51992" s="201"/>
    </row>
    <row r="51993" spans="62:62" x14ac:dyDescent="0.2">
      <c r="BJ51993" s="201"/>
    </row>
    <row r="51994" spans="62:62" x14ac:dyDescent="0.2">
      <c r="BJ51994" s="201"/>
    </row>
    <row r="51995" spans="62:62" x14ac:dyDescent="0.2">
      <c r="BJ51995" s="201"/>
    </row>
    <row r="51996" spans="62:62" x14ac:dyDescent="0.2">
      <c r="BJ51996" s="201"/>
    </row>
    <row r="51997" spans="62:62" x14ac:dyDescent="0.2">
      <c r="BJ51997" s="201"/>
    </row>
    <row r="51998" spans="62:62" x14ac:dyDescent="0.2">
      <c r="BJ51998" s="201"/>
    </row>
    <row r="51999" spans="62:62" x14ac:dyDescent="0.2">
      <c r="BJ51999" s="201"/>
    </row>
    <row r="52000" spans="62:62" x14ac:dyDescent="0.2">
      <c r="BJ52000" s="201"/>
    </row>
    <row r="52001" spans="62:62" x14ac:dyDescent="0.2">
      <c r="BJ52001" s="201"/>
    </row>
    <row r="52002" spans="62:62" x14ac:dyDescent="0.2">
      <c r="BJ52002" s="201"/>
    </row>
    <row r="52003" spans="62:62" x14ac:dyDescent="0.2">
      <c r="BJ52003" s="201"/>
    </row>
    <row r="52004" spans="62:62" x14ac:dyDescent="0.2">
      <c r="BJ52004" s="201"/>
    </row>
    <row r="52005" spans="62:62" x14ac:dyDescent="0.2">
      <c r="BJ52005" s="201"/>
    </row>
    <row r="52006" spans="62:62" x14ac:dyDescent="0.2">
      <c r="BJ52006" s="201"/>
    </row>
    <row r="52007" spans="62:62" x14ac:dyDescent="0.2">
      <c r="BJ52007" s="201"/>
    </row>
    <row r="52008" spans="62:62" x14ac:dyDescent="0.2">
      <c r="BJ52008" s="201"/>
    </row>
    <row r="52009" spans="62:62" x14ac:dyDescent="0.2">
      <c r="BJ52009" s="201"/>
    </row>
    <row r="52010" spans="62:62" x14ac:dyDescent="0.2">
      <c r="BJ52010" s="201"/>
    </row>
    <row r="52011" spans="62:62" x14ac:dyDescent="0.2">
      <c r="BJ52011" s="201"/>
    </row>
    <row r="52012" spans="62:62" x14ac:dyDescent="0.2">
      <c r="BJ52012" s="201"/>
    </row>
    <row r="52013" spans="62:62" x14ac:dyDescent="0.2">
      <c r="BJ52013" s="201"/>
    </row>
    <row r="52014" spans="62:62" x14ac:dyDescent="0.2">
      <c r="BJ52014" s="201"/>
    </row>
    <row r="52015" spans="62:62" x14ac:dyDescent="0.2">
      <c r="BJ52015" s="201"/>
    </row>
    <row r="52016" spans="62:62" x14ac:dyDescent="0.2">
      <c r="BJ52016" s="201"/>
    </row>
    <row r="52017" spans="62:62" x14ac:dyDescent="0.2">
      <c r="BJ52017" s="201"/>
    </row>
    <row r="52018" spans="62:62" x14ac:dyDescent="0.2">
      <c r="BJ52018" s="201"/>
    </row>
    <row r="52019" spans="62:62" x14ac:dyDescent="0.2">
      <c r="BJ52019" s="201"/>
    </row>
    <row r="52020" spans="62:62" x14ac:dyDescent="0.2">
      <c r="BJ52020" s="201"/>
    </row>
    <row r="52021" spans="62:62" x14ac:dyDescent="0.2">
      <c r="BJ52021" s="201"/>
    </row>
    <row r="52022" spans="62:62" x14ac:dyDescent="0.2">
      <c r="BJ52022" s="201"/>
    </row>
    <row r="52023" spans="62:62" x14ac:dyDescent="0.2">
      <c r="BJ52023" s="201"/>
    </row>
    <row r="52024" spans="62:62" x14ac:dyDescent="0.2">
      <c r="BJ52024" s="201"/>
    </row>
    <row r="52025" spans="62:62" x14ac:dyDescent="0.2">
      <c r="BJ52025" s="201"/>
    </row>
    <row r="52026" spans="62:62" x14ac:dyDescent="0.2">
      <c r="BJ52026" s="201"/>
    </row>
    <row r="52027" spans="62:62" x14ac:dyDescent="0.2">
      <c r="BJ52027" s="201"/>
    </row>
    <row r="52028" spans="62:62" x14ac:dyDescent="0.2">
      <c r="BJ52028" s="201"/>
    </row>
    <row r="52029" spans="62:62" x14ac:dyDescent="0.2">
      <c r="BJ52029" s="201"/>
    </row>
    <row r="52030" spans="62:62" x14ac:dyDescent="0.2">
      <c r="BJ52030" s="201"/>
    </row>
    <row r="52031" spans="62:62" x14ac:dyDescent="0.2">
      <c r="BJ52031" s="201"/>
    </row>
    <row r="52032" spans="62:62" x14ac:dyDescent="0.2">
      <c r="BJ52032" s="201"/>
    </row>
    <row r="52033" spans="62:62" x14ac:dyDescent="0.2">
      <c r="BJ52033" s="201"/>
    </row>
    <row r="52034" spans="62:62" x14ac:dyDescent="0.2">
      <c r="BJ52034" s="201"/>
    </row>
    <row r="52035" spans="62:62" x14ac:dyDescent="0.2">
      <c r="BJ52035" s="201"/>
    </row>
    <row r="52036" spans="62:62" x14ac:dyDescent="0.2">
      <c r="BJ52036" s="201"/>
    </row>
    <row r="52037" spans="62:62" x14ac:dyDescent="0.2">
      <c r="BJ52037" s="201"/>
    </row>
    <row r="52038" spans="62:62" x14ac:dyDescent="0.2">
      <c r="BJ52038" s="201"/>
    </row>
    <row r="52039" spans="62:62" x14ac:dyDescent="0.2">
      <c r="BJ52039" s="201"/>
    </row>
    <row r="52040" spans="62:62" x14ac:dyDescent="0.2">
      <c r="BJ52040" s="201"/>
    </row>
    <row r="52041" spans="62:62" x14ac:dyDescent="0.2">
      <c r="BJ52041" s="201"/>
    </row>
    <row r="52042" spans="62:62" x14ac:dyDescent="0.2">
      <c r="BJ52042" s="201"/>
    </row>
    <row r="52043" spans="62:62" x14ac:dyDescent="0.2">
      <c r="BJ52043" s="201"/>
    </row>
    <row r="52044" spans="62:62" x14ac:dyDescent="0.2">
      <c r="BJ52044" s="201"/>
    </row>
    <row r="52045" spans="62:62" x14ac:dyDescent="0.2">
      <c r="BJ52045" s="201"/>
    </row>
    <row r="52046" spans="62:62" x14ac:dyDescent="0.2">
      <c r="BJ52046" s="201"/>
    </row>
    <row r="52047" spans="62:62" x14ac:dyDescent="0.2">
      <c r="BJ52047" s="201"/>
    </row>
    <row r="52048" spans="62:62" x14ac:dyDescent="0.2">
      <c r="BJ52048" s="201"/>
    </row>
    <row r="52049" spans="62:62" x14ac:dyDescent="0.2">
      <c r="BJ52049" s="201"/>
    </row>
    <row r="52050" spans="62:62" x14ac:dyDescent="0.2">
      <c r="BJ52050" s="201"/>
    </row>
    <row r="52051" spans="62:62" x14ac:dyDescent="0.2">
      <c r="BJ52051" s="201"/>
    </row>
    <row r="52052" spans="62:62" x14ac:dyDescent="0.2">
      <c r="BJ52052" s="201"/>
    </row>
    <row r="52053" spans="62:62" x14ac:dyDescent="0.2">
      <c r="BJ52053" s="201"/>
    </row>
    <row r="52054" spans="62:62" x14ac:dyDescent="0.2">
      <c r="BJ52054" s="201"/>
    </row>
    <row r="52055" spans="62:62" x14ac:dyDescent="0.2">
      <c r="BJ52055" s="201"/>
    </row>
    <row r="52056" spans="62:62" x14ac:dyDescent="0.2">
      <c r="BJ52056" s="201"/>
    </row>
    <row r="52057" spans="62:62" x14ac:dyDescent="0.2">
      <c r="BJ52057" s="201"/>
    </row>
    <row r="52058" spans="62:62" x14ac:dyDescent="0.2">
      <c r="BJ52058" s="201"/>
    </row>
    <row r="52059" spans="62:62" x14ac:dyDescent="0.2">
      <c r="BJ52059" s="201"/>
    </row>
    <row r="52060" spans="62:62" x14ac:dyDescent="0.2">
      <c r="BJ52060" s="201"/>
    </row>
    <row r="52061" spans="62:62" x14ac:dyDescent="0.2">
      <c r="BJ52061" s="201"/>
    </row>
    <row r="52062" spans="62:62" x14ac:dyDescent="0.2">
      <c r="BJ52062" s="201"/>
    </row>
    <row r="52063" spans="62:62" x14ac:dyDescent="0.2">
      <c r="BJ52063" s="201"/>
    </row>
    <row r="52064" spans="62:62" x14ac:dyDescent="0.2">
      <c r="BJ52064" s="201"/>
    </row>
    <row r="52065" spans="62:62" x14ac:dyDescent="0.2">
      <c r="BJ52065" s="201"/>
    </row>
    <row r="52066" spans="62:62" x14ac:dyDescent="0.2">
      <c r="BJ52066" s="201"/>
    </row>
    <row r="52067" spans="62:62" x14ac:dyDescent="0.2">
      <c r="BJ52067" s="201"/>
    </row>
    <row r="52068" spans="62:62" x14ac:dyDescent="0.2">
      <c r="BJ52068" s="201"/>
    </row>
    <row r="52069" spans="62:62" x14ac:dyDescent="0.2">
      <c r="BJ52069" s="201"/>
    </row>
    <row r="52070" spans="62:62" x14ac:dyDescent="0.2">
      <c r="BJ52070" s="201"/>
    </row>
    <row r="52071" spans="62:62" x14ac:dyDescent="0.2">
      <c r="BJ52071" s="201"/>
    </row>
    <row r="52072" spans="62:62" x14ac:dyDescent="0.2">
      <c r="BJ52072" s="201"/>
    </row>
    <row r="52073" spans="62:62" x14ac:dyDescent="0.2">
      <c r="BJ52073" s="201"/>
    </row>
    <row r="52074" spans="62:62" x14ac:dyDescent="0.2">
      <c r="BJ52074" s="201"/>
    </row>
    <row r="52075" spans="62:62" x14ac:dyDescent="0.2">
      <c r="BJ52075" s="201"/>
    </row>
    <row r="52076" spans="62:62" x14ac:dyDescent="0.2">
      <c r="BJ52076" s="201"/>
    </row>
    <row r="52077" spans="62:62" x14ac:dyDescent="0.2">
      <c r="BJ52077" s="201"/>
    </row>
    <row r="52078" spans="62:62" x14ac:dyDescent="0.2">
      <c r="BJ52078" s="201"/>
    </row>
    <row r="52079" spans="62:62" x14ac:dyDescent="0.2">
      <c r="BJ52079" s="201"/>
    </row>
    <row r="52080" spans="62:62" x14ac:dyDescent="0.2">
      <c r="BJ52080" s="201"/>
    </row>
    <row r="52081" spans="62:62" x14ac:dyDescent="0.2">
      <c r="BJ52081" s="201"/>
    </row>
    <row r="52082" spans="62:62" x14ac:dyDescent="0.2">
      <c r="BJ52082" s="201"/>
    </row>
    <row r="52083" spans="62:62" x14ac:dyDescent="0.2">
      <c r="BJ52083" s="201"/>
    </row>
    <row r="52084" spans="62:62" x14ac:dyDescent="0.2">
      <c r="BJ52084" s="201"/>
    </row>
    <row r="52085" spans="62:62" x14ac:dyDescent="0.2">
      <c r="BJ52085" s="201"/>
    </row>
    <row r="52086" spans="62:62" x14ac:dyDescent="0.2">
      <c r="BJ52086" s="201"/>
    </row>
    <row r="52087" spans="62:62" x14ac:dyDescent="0.2">
      <c r="BJ52087" s="201"/>
    </row>
    <row r="52088" spans="62:62" x14ac:dyDescent="0.2">
      <c r="BJ52088" s="201"/>
    </row>
    <row r="52089" spans="62:62" x14ac:dyDescent="0.2">
      <c r="BJ52089" s="201"/>
    </row>
    <row r="52090" spans="62:62" x14ac:dyDescent="0.2">
      <c r="BJ52090" s="201"/>
    </row>
    <row r="52091" spans="62:62" x14ac:dyDescent="0.2">
      <c r="BJ52091" s="201"/>
    </row>
    <row r="52092" spans="62:62" x14ac:dyDescent="0.2">
      <c r="BJ52092" s="201"/>
    </row>
    <row r="52093" spans="62:62" x14ac:dyDescent="0.2">
      <c r="BJ52093" s="201"/>
    </row>
    <row r="52094" spans="62:62" x14ac:dyDescent="0.2">
      <c r="BJ52094" s="201"/>
    </row>
    <row r="52095" spans="62:62" x14ac:dyDescent="0.2">
      <c r="BJ52095" s="201"/>
    </row>
    <row r="52096" spans="62:62" x14ac:dyDescent="0.2">
      <c r="BJ52096" s="201"/>
    </row>
    <row r="52097" spans="62:62" x14ac:dyDescent="0.2">
      <c r="BJ52097" s="201"/>
    </row>
    <row r="52098" spans="62:62" x14ac:dyDescent="0.2">
      <c r="BJ52098" s="201"/>
    </row>
    <row r="52099" spans="62:62" x14ac:dyDescent="0.2">
      <c r="BJ52099" s="201"/>
    </row>
    <row r="52100" spans="62:62" x14ac:dyDescent="0.2">
      <c r="BJ52100" s="201"/>
    </row>
    <row r="52101" spans="62:62" x14ac:dyDescent="0.2">
      <c r="BJ52101" s="201"/>
    </row>
    <row r="52102" spans="62:62" x14ac:dyDescent="0.2">
      <c r="BJ52102" s="201"/>
    </row>
    <row r="52103" spans="62:62" x14ac:dyDescent="0.2">
      <c r="BJ52103" s="201"/>
    </row>
    <row r="52104" spans="62:62" x14ac:dyDescent="0.2">
      <c r="BJ52104" s="201"/>
    </row>
    <row r="52105" spans="62:62" x14ac:dyDescent="0.2">
      <c r="BJ52105" s="201"/>
    </row>
    <row r="52106" spans="62:62" x14ac:dyDescent="0.2">
      <c r="BJ52106" s="201"/>
    </row>
    <row r="52107" spans="62:62" x14ac:dyDescent="0.2">
      <c r="BJ52107" s="201"/>
    </row>
    <row r="52108" spans="62:62" x14ac:dyDescent="0.2">
      <c r="BJ52108" s="201"/>
    </row>
    <row r="52109" spans="62:62" x14ac:dyDescent="0.2">
      <c r="BJ52109" s="201"/>
    </row>
    <row r="52110" spans="62:62" x14ac:dyDescent="0.2">
      <c r="BJ52110" s="201"/>
    </row>
    <row r="52111" spans="62:62" x14ac:dyDescent="0.2">
      <c r="BJ52111" s="201"/>
    </row>
    <row r="52112" spans="62:62" x14ac:dyDescent="0.2">
      <c r="BJ52112" s="201"/>
    </row>
    <row r="52113" spans="62:62" x14ac:dyDescent="0.2">
      <c r="BJ52113" s="201"/>
    </row>
    <row r="52114" spans="62:62" x14ac:dyDescent="0.2">
      <c r="BJ52114" s="201"/>
    </row>
    <row r="52115" spans="62:62" x14ac:dyDescent="0.2">
      <c r="BJ52115" s="201"/>
    </row>
    <row r="52116" spans="62:62" x14ac:dyDescent="0.2">
      <c r="BJ52116" s="201"/>
    </row>
    <row r="52117" spans="62:62" x14ac:dyDescent="0.2">
      <c r="BJ52117" s="201"/>
    </row>
    <row r="52118" spans="62:62" x14ac:dyDescent="0.2">
      <c r="BJ52118" s="201"/>
    </row>
    <row r="52119" spans="62:62" x14ac:dyDescent="0.2">
      <c r="BJ52119" s="201"/>
    </row>
    <row r="52120" spans="62:62" x14ac:dyDescent="0.2">
      <c r="BJ52120" s="201"/>
    </row>
    <row r="52121" spans="62:62" x14ac:dyDescent="0.2">
      <c r="BJ52121" s="201"/>
    </row>
    <row r="52122" spans="62:62" x14ac:dyDescent="0.2">
      <c r="BJ52122" s="201"/>
    </row>
    <row r="52123" spans="62:62" x14ac:dyDescent="0.2">
      <c r="BJ52123" s="201"/>
    </row>
    <row r="52124" spans="62:62" x14ac:dyDescent="0.2">
      <c r="BJ52124" s="201"/>
    </row>
    <row r="52125" spans="62:62" x14ac:dyDescent="0.2">
      <c r="BJ52125" s="201"/>
    </row>
    <row r="52126" spans="62:62" x14ac:dyDescent="0.2">
      <c r="BJ52126" s="201"/>
    </row>
    <row r="52127" spans="62:62" x14ac:dyDescent="0.2">
      <c r="BJ52127" s="201"/>
    </row>
    <row r="52128" spans="62:62" x14ac:dyDescent="0.2">
      <c r="BJ52128" s="201"/>
    </row>
    <row r="52129" spans="62:62" x14ac:dyDescent="0.2">
      <c r="BJ52129" s="201"/>
    </row>
    <row r="52130" spans="62:62" x14ac:dyDescent="0.2">
      <c r="BJ52130" s="201"/>
    </row>
    <row r="52131" spans="62:62" x14ac:dyDescent="0.2">
      <c r="BJ52131" s="201"/>
    </row>
    <row r="52132" spans="62:62" x14ac:dyDescent="0.2">
      <c r="BJ52132" s="201"/>
    </row>
    <row r="52133" spans="62:62" x14ac:dyDescent="0.2">
      <c r="BJ52133" s="201"/>
    </row>
    <row r="52134" spans="62:62" x14ac:dyDescent="0.2">
      <c r="BJ52134" s="201"/>
    </row>
    <row r="52135" spans="62:62" x14ac:dyDescent="0.2">
      <c r="BJ52135" s="201"/>
    </row>
    <row r="52136" spans="62:62" x14ac:dyDescent="0.2">
      <c r="BJ52136" s="201"/>
    </row>
    <row r="52137" spans="62:62" x14ac:dyDescent="0.2">
      <c r="BJ52137" s="201"/>
    </row>
    <row r="52138" spans="62:62" x14ac:dyDescent="0.2">
      <c r="BJ52138" s="201"/>
    </row>
    <row r="52139" spans="62:62" x14ac:dyDescent="0.2">
      <c r="BJ52139" s="201"/>
    </row>
    <row r="52140" spans="62:62" x14ac:dyDescent="0.2">
      <c r="BJ52140" s="201"/>
    </row>
    <row r="52141" spans="62:62" x14ac:dyDescent="0.2">
      <c r="BJ52141" s="201"/>
    </row>
    <row r="52142" spans="62:62" x14ac:dyDescent="0.2">
      <c r="BJ52142" s="201"/>
    </row>
    <row r="52143" spans="62:62" x14ac:dyDescent="0.2">
      <c r="BJ52143" s="201"/>
    </row>
    <row r="52144" spans="62:62" x14ac:dyDescent="0.2">
      <c r="BJ52144" s="201"/>
    </row>
    <row r="52145" spans="62:62" x14ac:dyDescent="0.2">
      <c r="BJ52145" s="201"/>
    </row>
    <row r="52146" spans="62:62" x14ac:dyDescent="0.2">
      <c r="BJ52146" s="201"/>
    </row>
    <row r="52147" spans="62:62" x14ac:dyDescent="0.2">
      <c r="BJ52147" s="201"/>
    </row>
    <row r="52148" spans="62:62" x14ac:dyDescent="0.2">
      <c r="BJ52148" s="201"/>
    </row>
    <row r="52149" spans="62:62" x14ac:dyDescent="0.2">
      <c r="BJ52149" s="201"/>
    </row>
    <row r="52150" spans="62:62" x14ac:dyDescent="0.2">
      <c r="BJ52150" s="201"/>
    </row>
    <row r="52151" spans="62:62" x14ac:dyDescent="0.2">
      <c r="BJ52151" s="201"/>
    </row>
    <row r="52152" spans="62:62" x14ac:dyDescent="0.2">
      <c r="BJ52152" s="201"/>
    </row>
    <row r="52153" spans="62:62" x14ac:dyDescent="0.2">
      <c r="BJ52153" s="201"/>
    </row>
    <row r="52154" spans="62:62" x14ac:dyDescent="0.2">
      <c r="BJ52154" s="201"/>
    </row>
    <row r="52155" spans="62:62" x14ac:dyDescent="0.2">
      <c r="BJ52155" s="201"/>
    </row>
    <row r="52156" spans="62:62" x14ac:dyDescent="0.2">
      <c r="BJ52156" s="201"/>
    </row>
    <row r="52157" spans="62:62" x14ac:dyDescent="0.2">
      <c r="BJ52157" s="201"/>
    </row>
    <row r="52158" spans="62:62" x14ac:dyDescent="0.2">
      <c r="BJ52158" s="201"/>
    </row>
    <row r="52159" spans="62:62" x14ac:dyDescent="0.2">
      <c r="BJ52159" s="201"/>
    </row>
    <row r="52160" spans="62:62" x14ac:dyDescent="0.2">
      <c r="BJ52160" s="201"/>
    </row>
    <row r="52161" spans="62:62" x14ac:dyDescent="0.2">
      <c r="BJ52161" s="201"/>
    </row>
    <row r="52162" spans="62:62" x14ac:dyDescent="0.2">
      <c r="BJ52162" s="201"/>
    </row>
    <row r="52163" spans="62:62" x14ac:dyDescent="0.2">
      <c r="BJ52163" s="201"/>
    </row>
    <row r="52164" spans="62:62" x14ac:dyDescent="0.2">
      <c r="BJ52164" s="201"/>
    </row>
    <row r="52165" spans="62:62" x14ac:dyDescent="0.2">
      <c r="BJ52165" s="201"/>
    </row>
    <row r="52166" spans="62:62" x14ac:dyDescent="0.2">
      <c r="BJ52166" s="201"/>
    </row>
    <row r="52167" spans="62:62" x14ac:dyDescent="0.2">
      <c r="BJ52167" s="201"/>
    </row>
    <row r="52168" spans="62:62" x14ac:dyDescent="0.2">
      <c r="BJ52168" s="201"/>
    </row>
    <row r="52169" spans="62:62" x14ac:dyDescent="0.2">
      <c r="BJ52169" s="201"/>
    </row>
    <row r="52170" spans="62:62" x14ac:dyDescent="0.2">
      <c r="BJ52170" s="201"/>
    </row>
    <row r="52171" spans="62:62" x14ac:dyDescent="0.2">
      <c r="BJ52171" s="201"/>
    </row>
    <row r="52172" spans="62:62" x14ac:dyDescent="0.2">
      <c r="BJ52172" s="201"/>
    </row>
    <row r="52173" spans="62:62" x14ac:dyDescent="0.2">
      <c r="BJ52173" s="201"/>
    </row>
    <row r="52174" spans="62:62" x14ac:dyDescent="0.2">
      <c r="BJ52174" s="201"/>
    </row>
    <row r="52175" spans="62:62" x14ac:dyDescent="0.2">
      <c r="BJ52175" s="201"/>
    </row>
    <row r="52176" spans="62:62" x14ac:dyDescent="0.2">
      <c r="BJ52176" s="201"/>
    </row>
    <row r="52177" spans="62:62" x14ac:dyDescent="0.2">
      <c r="BJ52177" s="201"/>
    </row>
    <row r="52178" spans="62:62" x14ac:dyDescent="0.2">
      <c r="BJ52178" s="201"/>
    </row>
    <row r="52179" spans="62:62" x14ac:dyDescent="0.2">
      <c r="BJ52179" s="201"/>
    </row>
    <row r="52180" spans="62:62" x14ac:dyDescent="0.2">
      <c r="BJ52180" s="201"/>
    </row>
    <row r="52181" spans="62:62" x14ac:dyDescent="0.2">
      <c r="BJ52181" s="201"/>
    </row>
    <row r="52182" spans="62:62" x14ac:dyDescent="0.2">
      <c r="BJ52182" s="201"/>
    </row>
    <row r="52183" spans="62:62" x14ac:dyDescent="0.2">
      <c r="BJ52183" s="201"/>
    </row>
    <row r="52184" spans="62:62" x14ac:dyDescent="0.2">
      <c r="BJ52184" s="201"/>
    </row>
    <row r="52185" spans="62:62" x14ac:dyDescent="0.2">
      <c r="BJ52185" s="201"/>
    </row>
    <row r="52186" spans="62:62" x14ac:dyDescent="0.2">
      <c r="BJ52186" s="201"/>
    </row>
    <row r="52187" spans="62:62" x14ac:dyDescent="0.2">
      <c r="BJ52187" s="201"/>
    </row>
    <row r="52188" spans="62:62" x14ac:dyDescent="0.2">
      <c r="BJ52188" s="201"/>
    </row>
    <row r="52189" spans="62:62" x14ac:dyDescent="0.2">
      <c r="BJ52189" s="201"/>
    </row>
    <row r="52190" spans="62:62" x14ac:dyDescent="0.2">
      <c r="BJ52190" s="201"/>
    </row>
    <row r="52191" spans="62:62" x14ac:dyDescent="0.2">
      <c r="BJ52191" s="201"/>
    </row>
    <row r="52192" spans="62:62" x14ac:dyDescent="0.2">
      <c r="BJ52192" s="201"/>
    </row>
    <row r="52193" spans="62:62" x14ac:dyDescent="0.2">
      <c r="BJ52193" s="201"/>
    </row>
    <row r="52194" spans="62:62" x14ac:dyDescent="0.2">
      <c r="BJ52194" s="201"/>
    </row>
    <row r="52195" spans="62:62" x14ac:dyDescent="0.2">
      <c r="BJ52195" s="201"/>
    </row>
    <row r="52196" spans="62:62" x14ac:dyDescent="0.2">
      <c r="BJ52196" s="201"/>
    </row>
    <row r="52197" spans="62:62" x14ac:dyDescent="0.2">
      <c r="BJ52197" s="201"/>
    </row>
    <row r="52198" spans="62:62" x14ac:dyDescent="0.2">
      <c r="BJ52198" s="201"/>
    </row>
    <row r="52199" spans="62:62" x14ac:dyDescent="0.2">
      <c r="BJ52199" s="201"/>
    </row>
    <row r="52200" spans="62:62" x14ac:dyDescent="0.2">
      <c r="BJ52200" s="201"/>
    </row>
    <row r="52201" spans="62:62" x14ac:dyDescent="0.2">
      <c r="BJ52201" s="201"/>
    </row>
    <row r="52202" spans="62:62" x14ac:dyDescent="0.2">
      <c r="BJ52202" s="201"/>
    </row>
    <row r="52203" spans="62:62" x14ac:dyDescent="0.2">
      <c r="BJ52203" s="201"/>
    </row>
    <row r="52204" spans="62:62" x14ac:dyDescent="0.2">
      <c r="BJ52204" s="201"/>
    </row>
    <row r="52205" spans="62:62" x14ac:dyDescent="0.2">
      <c r="BJ52205" s="201"/>
    </row>
    <row r="52206" spans="62:62" x14ac:dyDescent="0.2">
      <c r="BJ52206" s="201"/>
    </row>
    <row r="52207" spans="62:62" x14ac:dyDescent="0.2">
      <c r="BJ52207" s="201"/>
    </row>
    <row r="52208" spans="62:62" x14ac:dyDescent="0.2">
      <c r="BJ52208" s="201"/>
    </row>
    <row r="52209" spans="62:62" x14ac:dyDescent="0.2">
      <c r="BJ52209" s="201"/>
    </row>
    <row r="52210" spans="62:62" x14ac:dyDescent="0.2">
      <c r="BJ52210" s="201"/>
    </row>
    <row r="52211" spans="62:62" x14ac:dyDescent="0.2">
      <c r="BJ52211" s="201"/>
    </row>
    <row r="52212" spans="62:62" x14ac:dyDescent="0.2">
      <c r="BJ52212" s="201"/>
    </row>
    <row r="52213" spans="62:62" x14ac:dyDescent="0.2">
      <c r="BJ52213" s="201"/>
    </row>
    <row r="52214" spans="62:62" x14ac:dyDescent="0.2">
      <c r="BJ52214" s="201"/>
    </row>
    <row r="52215" spans="62:62" x14ac:dyDescent="0.2">
      <c r="BJ52215" s="201"/>
    </row>
    <row r="52216" spans="62:62" x14ac:dyDescent="0.2">
      <c r="BJ52216" s="201"/>
    </row>
    <row r="52217" spans="62:62" x14ac:dyDescent="0.2">
      <c r="BJ52217" s="201"/>
    </row>
    <row r="52218" spans="62:62" x14ac:dyDescent="0.2">
      <c r="BJ52218" s="201"/>
    </row>
    <row r="52219" spans="62:62" x14ac:dyDescent="0.2">
      <c r="BJ52219" s="201"/>
    </row>
    <row r="52220" spans="62:62" x14ac:dyDescent="0.2">
      <c r="BJ52220" s="201"/>
    </row>
    <row r="52221" spans="62:62" x14ac:dyDescent="0.2">
      <c r="BJ52221" s="201"/>
    </row>
    <row r="52222" spans="62:62" x14ac:dyDescent="0.2">
      <c r="BJ52222" s="201"/>
    </row>
    <row r="52223" spans="62:62" x14ac:dyDescent="0.2">
      <c r="BJ52223" s="201"/>
    </row>
    <row r="52224" spans="62:62" x14ac:dyDescent="0.2">
      <c r="BJ52224" s="201"/>
    </row>
    <row r="52225" spans="62:62" x14ac:dyDescent="0.2">
      <c r="BJ52225" s="201"/>
    </row>
    <row r="52226" spans="62:62" x14ac:dyDescent="0.2">
      <c r="BJ52226" s="201"/>
    </row>
    <row r="52227" spans="62:62" x14ac:dyDescent="0.2">
      <c r="BJ52227" s="201"/>
    </row>
    <row r="52228" spans="62:62" x14ac:dyDescent="0.2">
      <c r="BJ52228" s="201"/>
    </row>
    <row r="52229" spans="62:62" x14ac:dyDescent="0.2">
      <c r="BJ52229" s="201"/>
    </row>
    <row r="52230" spans="62:62" x14ac:dyDescent="0.2">
      <c r="BJ52230" s="201"/>
    </row>
    <row r="52231" spans="62:62" x14ac:dyDescent="0.2">
      <c r="BJ52231" s="201"/>
    </row>
    <row r="52232" spans="62:62" x14ac:dyDescent="0.2">
      <c r="BJ52232" s="201"/>
    </row>
    <row r="52233" spans="62:62" x14ac:dyDescent="0.2">
      <c r="BJ52233" s="201"/>
    </row>
    <row r="52234" spans="62:62" x14ac:dyDescent="0.2">
      <c r="BJ52234" s="201"/>
    </row>
    <row r="52235" spans="62:62" x14ac:dyDescent="0.2">
      <c r="BJ52235" s="201"/>
    </row>
    <row r="52236" spans="62:62" x14ac:dyDescent="0.2">
      <c r="BJ52236" s="201"/>
    </row>
    <row r="52237" spans="62:62" x14ac:dyDescent="0.2">
      <c r="BJ52237" s="201"/>
    </row>
    <row r="52238" spans="62:62" x14ac:dyDescent="0.2">
      <c r="BJ52238" s="201"/>
    </row>
    <row r="52239" spans="62:62" x14ac:dyDescent="0.2">
      <c r="BJ52239" s="201"/>
    </row>
    <row r="52240" spans="62:62" x14ac:dyDescent="0.2">
      <c r="BJ52240" s="201"/>
    </row>
    <row r="52241" spans="62:62" x14ac:dyDescent="0.2">
      <c r="BJ52241" s="201"/>
    </row>
    <row r="52242" spans="62:62" x14ac:dyDescent="0.2">
      <c r="BJ52242" s="201"/>
    </row>
    <row r="52243" spans="62:62" x14ac:dyDescent="0.2">
      <c r="BJ52243" s="201"/>
    </row>
    <row r="52244" spans="62:62" x14ac:dyDescent="0.2">
      <c r="BJ52244" s="201"/>
    </row>
    <row r="52245" spans="62:62" x14ac:dyDescent="0.2">
      <c r="BJ52245" s="201"/>
    </row>
    <row r="52246" spans="62:62" x14ac:dyDescent="0.2">
      <c r="BJ52246" s="201"/>
    </row>
    <row r="52247" spans="62:62" x14ac:dyDescent="0.2">
      <c r="BJ52247" s="201"/>
    </row>
    <row r="52248" spans="62:62" x14ac:dyDescent="0.2">
      <c r="BJ52248" s="201"/>
    </row>
    <row r="52249" spans="62:62" x14ac:dyDescent="0.2">
      <c r="BJ52249" s="201"/>
    </row>
    <row r="52250" spans="62:62" x14ac:dyDescent="0.2">
      <c r="BJ52250" s="201"/>
    </row>
    <row r="52251" spans="62:62" x14ac:dyDescent="0.2">
      <c r="BJ52251" s="201"/>
    </row>
    <row r="52252" spans="62:62" x14ac:dyDescent="0.2">
      <c r="BJ52252" s="201"/>
    </row>
    <row r="52253" spans="62:62" x14ac:dyDescent="0.2">
      <c r="BJ52253" s="201"/>
    </row>
    <row r="52254" spans="62:62" x14ac:dyDescent="0.2">
      <c r="BJ52254" s="201"/>
    </row>
    <row r="52255" spans="62:62" x14ac:dyDescent="0.2">
      <c r="BJ52255" s="201"/>
    </row>
    <row r="52256" spans="62:62" x14ac:dyDescent="0.2">
      <c r="BJ52256" s="201"/>
    </row>
    <row r="52257" spans="62:62" x14ac:dyDescent="0.2">
      <c r="BJ52257" s="201"/>
    </row>
    <row r="52258" spans="62:62" x14ac:dyDescent="0.2">
      <c r="BJ52258" s="201"/>
    </row>
    <row r="52259" spans="62:62" x14ac:dyDescent="0.2">
      <c r="BJ52259" s="201"/>
    </row>
    <row r="52260" spans="62:62" x14ac:dyDescent="0.2">
      <c r="BJ52260" s="201"/>
    </row>
    <row r="52261" spans="62:62" x14ac:dyDescent="0.2">
      <c r="BJ52261" s="201"/>
    </row>
    <row r="52262" spans="62:62" x14ac:dyDescent="0.2">
      <c r="BJ52262" s="201"/>
    </row>
    <row r="52263" spans="62:62" x14ac:dyDescent="0.2">
      <c r="BJ52263" s="201"/>
    </row>
    <row r="52264" spans="62:62" x14ac:dyDescent="0.2">
      <c r="BJ52264" s="201"/>
    </row>
    <row r="52265" spans="62:62" x14ac:dyDescent="0.2">
      <c r="BJ52265" s="201"/>
    </row>
    <row r="52266" spans="62:62" x14ac:dyDescent="0.2">
      <c r="BJ52266" s="201"/>
    </row>
    <row r="52267" spans="62:62" x14ac:dyDescent="0.2">
      <c r="BJ52267" s="201"/>
    </row>
    <row r="52268" spans="62:62" x14ac:dyDescent="0.2">
      <c r="BJ52268" s="201"/>
    </row>
    <row r="52269" spans="62:62" x14ac:dyDescent="0.2">
      <c r="BJ52269" s="201"/>
    </row>
    <row r="52270" spans="62:62" x14ac:dyDescent="0.2">
      <c r="BJ52270" s="201"/>
    </row>
    <row r="52271" spans="62:62" x14ac:dyDescent="0.2">
      <c r="BJ52271" s="201"/>
    </row>
    <row r="52272" spans="62:62" x14ac:dyDescent="0.2">
      <c r="BJ52272" s="201"/>
    </row>
    <row r="52273" spans="62:62" x14ac:dyDescent="0.2">
      <c r="BJ52273" s="201"/>
    </row>
    <row r="52274" spans="62:62" x14ac:dyDescent="0.2">
      <c r="BJ52274" s="201"/>
    </row>
    <row r="52275" spans="62:62" x14ac:dyDescent="0.2">
      <c r="BJ52275" s="201"/>
    </row>
    <row r="52276" spans="62:62" x14ac:dyDescent="0.2">
      <c r="BJ52276" s="201"/>
    </row>
    <row r="52277" spans="62:62" x14ac:dyDescent="0.2">
      <c r="BJ52277" s="201"/>
    </row>
    <row r="52278" spans="62:62" x14ac:dyDescent="0.2">
      <c r="BJ52278" s="201"/>
    </row>
    <row r="52279" spans="62:62" x14ac:dyDescent="0.2">
      <c r="BJ52279" s="201"/>
    </row>
    <row r="52280" spans="62:62" x14ac:dyDescent="0.2">
      <c r="BJ52280" s="201"/>
    </row>
    <row r="52281" spans="62:62" x14ac:dyDescent="0.2">
      <c r="BJ52281" s="201"/>
    </row>
    <row r="52282" spans="62:62" x14ac:dyDescent="0.2">
      <c r="BJ52282" s="201"/>
    </row>
    <row r="52283" spans="62:62" x14ac:dyDescent="0.2">
      <c r="BJ52283" s="201"/>
    </row>
    <row r="52284" spans="62:62" x14ac:dyDescent="0.2">
      <c r="BJ52284" s="201"/>
    </row>
    <row r="52285" spans="62:62" x14ac:dyDescent="0.2">
      <c r="BJ52285" s="201"/>
    </row>
    <row r="52286" spans="62:62" x14ac:dyDescent="0.2">
      <c r="BJ52286" s="201"/>
    </row>
    <row r="52287" spans="62:62" x14ac:dyDescent="0.2">
      <c r="BJ52287" s="201"/>
    </row>
    <row r="52288" spans="62:62" x14ac:dyDescent="0.2">
      <c r="BJ52288" s="201"/>
    </row>
    <row r="52289" spans="62:62" x14ac:dyDescent="0.2">
      <c r="BJ52289" s="201"/>
    </row>
    <row r="52290" spans="62:62" x14ac:dyDescent="0.2">
      <c r="BJ52290" s="201"/>
    </row>
    <row r="52291" spans="62:62" x14ac:dyDescent="0.2">
      <c r="BJ52291" s="201"/>
    </row>
    <row r="52292" spans="62:62" x14ac:dyDescent="0.2">
      <c r="BJ52292" s="201"/>
    </row>
    <row r="52293" spans="62:62" x14ac:dyDescent="0.2">
      <c r="BJ52293" s="201"/>
    </row>
    <row r="52294" spans="62:62" x14ac:dyDescent="0.2">
      <c r="BJ52294" s="201"/>
    </row>
    <row r="52295" spans="62:62" x14ac:dyDescent="0.2">
      <c r="BJ52295" s="201"/>
    </row>
    <row r="52296" spans="62:62" x14ac:dyDescent="0.2">
      <c r="BJ52296" s="201"/>
    </row>
    <row r="52297" spans="62:62" x14ac:dyDescent="0.2">
      <c r="BJ52297" s="201"/>
    </row>
    <row r="52298" spans="62:62" x14ac:dyDescent="0.2">
      <c r="BJ52298" s="201"/>
    </row>
    <row r="52299" spans="62:62" x14ac:dyDescent="0.2">
      <c r="BJ52299" s="201"/>
    </row>
    <row r="52300" spans="62:62" x14ac:dyDescent="0.2">
      <c r="BJ52300" s="201"/>
    </row>
    <row r="52301" spans="62:62" x14ac:dyDescent="0.2">
      <c r="BJ52301" s="201"/>
    </row>
    <row r="52302" spans="62:62" x14ac:dyDescent="0.2">
      <c r="BJ52302" s="201"/>
    </row>
    <row r="52303" spans="62:62" x14ac:dyDescent="0.2">
      <c r="BJ52303" s="201"/>
    </row>
    <row r="52304" spans="62:62" x14ac:dyDescent="0.2">
      <c r="BJ52304" s="201"/>
    </row>
    <row r="52305" spans="62:62" x14ac:dyDescent="0.2">
      <c r="BJ52305" s="201"/>
    </row>
    <row r="52306" spans="62:62" x14ac:dyDescent="0.2">
      <c r="BJ52306" s="201"/>
    </row>
    <row r="52307" spans="62:62" x14ac:dyDescent="0.2">
      <c r="BJ52307" s="201"/>
    </row>
    <row r="52308" spans="62:62" x14ac:dyDescent="0.2">
      <c r="BJ52308" s="201"/>
    </row>
    <row r="52309" spans="62:62" x14ac:dyDescent="0.2">
      <c r="BJ52309" s="201"/>
    </row>
    <row r="52310" spans="62:62" x14ac:dyDescent="0.2">
      <c r="BJ52310" s="201"/>
    </row>
    <row r="52311" spans="62:62" x14ac:dyDescent="0.2">
      <c r="BJ52311" s="201"/>
    </row>
    <row r="52312" spans="62:62" x14ac:dyDescent="0.2">
      <c r="BJ52312" s="201"/>
    </row>
    <row r="52313" spans="62:62" x14ac:dyDescent="0.2">
      <c r="BJ52313" s="201"/>
    </row>
    <row r="52314" spans="62:62" x14ac:dyDescent="0.2">
      <c r="BJ52314" s="201"/>
    </row>
    <row r="52315" spans="62:62" x14ac:dyDescent="0.2">
      <c r="BJ52315" s="201"/>
    </row>
    <row r="52316" spans="62:62" x14ac:dyDescent="0.2">
      <c r="BJ52316" s="201"/>
    </row>
    <row r="52317" spans="62:62" x14ac:dyDescent="0.2">
      <c r="BJ52317" s="201"/>
    </row>
    <row r="52318" spans="62:62" x14ac:dyDescent="0.2">
      <c r="BJ52318" s="201"/>
    </row>
    <row r="52319" spans="62:62" x14ac:dyDescent="0.2">
      <c r="BJ52319" s="201"/>
    </row>
    <row r="52320" spans="62:62" x14ac:dyDescent="0.2">
      <c r="BJ52320" s="201"/>
    </row>
    <row r="52321" spans="62:62" x14ac:dyDescent="0.2">
      <c r="BJ52321" s="201"/>
    </row>
    <row r="52322" spans="62:62" x14ac:dyDescent="0.2">
      <c r="BJ52322" s="201"/>
    </row>
    <row r="52323" spans="62:62" x14ac:dyDescent="0.2">
      <c r="BJ52323" s="201"/>
    </row>
    <row r="52324" spans="62:62" x14ac:dyDescent="0.2">
      <c r="BJ52324" s="201"/>
    </row>
    <row r="52325" spans="62:62" x14ac:dyDescent="0.2">
      <c r="BJ52325" s="201"/>
    </row>
    <row r="52326" spans="62:62" x14ac:dyDescent="0.2">
      <c r="BJ52326" s="201"/>
    </row>
    <row r="52327" spans="62:62" x14ac:dyDescent="0.2">
      <c r="BJ52327" s="201"/>
    </row>
    <row r="52328" spans="62:62" x14ac:dyDescent="0.2">
      <c r="BJ52328" s="201"/>
    </row>
    <row r="52329" spans="62:62" x14ac:dyDescent="0.2">
      <c r="BJ52329" s="201"/>
    </row>
    <row r="52330" spans="62:62" x14ac:dyDescent="0.2">
      <c r="BJ52330" s="201"/>
    </row>
    <row r="52331" spans="62:62" x14ac:dyDescent="0.2">
      <c r="BJ52331" s="201"/>
    </row>
    <row r="52332" spans="62:62" x14ac:dyDescent="0.2">
      <c r="BJ52332" s="201"/>
    </row>
    <row r="52333" spans="62:62" x14ac:dyDescent="0.2">
      <c r="BJ52333" s="201"/>
    </row>
    <row r="52334" spans="62:62" x14ac:dyDescent="0.2">
      <c r="BJ52334" s="201"/>
    </row>
    <row r="52335" spans="62:62" x14ac:dyDescent="0.2">
      <c r="BJ52335" s="201"/>
    </row>
    <row r="52336" spans="62:62" x14ac:dyDescent="0.2">
      <c r="BJ52336" s="201"/>
    </row>
    <row r="52337" spans="62:62" x14ac:dyDescent="0.2">
      <c r="BJ52337" s="201"/>
    </row>
    <row r="52338" spans="62:62" x14ac:dyDescent="0.2">
      <c r="BJ52338" s="201"/>
    </row>
    <row r="52339" spans="62:62" x14ac:dyDescent="0.2">
      <c r="BJ52339" s="201"/>
    </row>
    <row r="52340" spans="62:62" x14ac:dyDescent="0.2">
      <c r="BJ52340" s="201"/>
    </row>
    <row r="52341" spans="62:62" x14ac:dyDescent="0.2">
      <c r="BJ52341" s="201"/>
    </row>
    <row r="52342" spans="62:62" x14ac:dyDescent="0.2">
      <c r="BJ52342" s="201"/>
    </row>
    <row r="52343" spans="62:62" x14ac:dyDescent="0.2">
      <c r="BJ52343" s="201"/>
    </row>
    <row r="52344" spans="62:62" x14ac:dyDescent="0.2">
      <c r="BJ52344" s="201"/>
    </row>
    <row r="52345" spans="62:62" x14ac:dyDescent="0.2">
      <c r="BJ52345" s="201"/>
    </row>
    <row r="52346" spans="62:62" x14ac:dyDescent="0.2">
      <c r="BJ52346" s="201"/>
    </row>
    <row r="52347" spans="62:62" x14ac:dyDescent="0.2">
      <c r="BJ52347" s="201"/>
    </row>
    <row r="52348" spans="62:62" x14ac:dyDescent="0.2">
      <c r="BJ52348" s="201"/>
    </row>
    <row r="52349" spans="62:62" x14ac:dyDescent="0.2">
      <c r="BJ52349" s="201"/>
    </row>
    <row r="52350" spans="62:62" x14ac:dyDescent="0.2">
      <c r="BJ52350" s="201"/>
    </row>
    <row r="52351" spans="62:62" x14ac:dyDescent="0.2">
      <c r="BJ52351" s="201"/>
    </row>
    <row r="52352" spans="62:62" x14ac:dyDescent="0.2">
      <c r="BJ52352" s="201"/>
    </row>
    <row r="52353" spans="62:62" x14ac:dyDescent="0.2">
      <c r="BJ52353" s="201"/>
    </row>
    <row r="52354" spans="62:62" x14ac:dyDescent="0.2">
      <c r="BJ52354" s="201"/>
    </row>
    <row r="52355" spans="62:62" x14ac:dyDescent="0.2">
      <c r="BJ52355" s="201"/>
    </row>
    <row r="52356" spans="62:62" x14ac:dyDescent="0.2">
      <c r="BJ52356" s="201"/>
    </row>
    <row r="52357" spans="62:62" x14ac:dyDescent="0.2">
      <c r="BJ52357" s="201"/>
    </row>
    <row r="52358" spans="62:62" x14ac:dyDescent="0.2">
      <c r="BJ52358" s="201"/>
    </row>
    <row r="52359" spans="62:62" x14ac:dyDescent="0.2">
      <c r="BJ52359" s="201"/>
    </row>
    <row r="52360" spans="62:62" x14ac:dyDescent="0.2">
      <c r="BJ52360" s="201"/>
    </row>
    <row r="52361" spans="62:62" x14ac:dyDescent="0.2">
      <c r="BJ52361" s="201"/>
    </row>
    <row r="52362" spans="62:62" x14ac:dyDescent="0.2">
      <c r="BJ52362" s="201"/>
    </row>
    <row r="52363" spans="62:62" x14ac:dyDescent="0.2">
      <c r="BJ52363" s="201"/>
    </row>
    <row r="52364" spans="62:62" x14ac:dyDescent="0.2">
      <c r="BJ52364" s="201"/>
    </row>
    <row r="52365" spans="62:62" x14ac:dyDescent="0.2">
      <c r="BJ52365" s="201"/>
    </row>
    <row r="52366" spans="62:62" x14ac:dyDescent="0.2">
      <c r="BJ52366" s="201"/>
    </row>
    <row r="52367" spans="62:62" x14ac:dyDescent="0.2">
      <c r="BJ52367" s="201"/>
    </row>
    <row r="52368" spans="62:62" x14ac:dyDescent="0.2">
      <c r="BJ52368" s="201"/>
    </row>
    <row r="52369" spans="62:62" x14ac:dyDescent="0.2">
      <c r="BJ52369" s="201"/>
    </row>
    <row r="52370" spans="62:62" x14ac:dyDescent="0.2">
      <c r="BJ52370" s="201"/>
    </row>
    <row r="52371" spans="62:62" x14ac:dyDescent="0.2">
      <c r="BJ52371" s="201"/>
    </row>
    <row r="52372" spans="62:62" x14ac:dyDescent="0.2">
      <c r="BJ52372" s="201"/>
    </row>
    <row r="52373" spans="62:62" x14ac:dyDescent="0.2">
      <c r="BJ52373" s="201"/>
    </row>
    <row r="52374" spans="62:62" x14ac:dyDescent="0.2">
      <c r="BJ52374" s="201"/>
    </row>
    <row r="52375" spans="62:62" x14ac:dyDescent="0.2">
      <c r="BJ52375" s="201"/>
    </row>
    <row r="52376" spans="62:62" x14ac:dyDescent="0.2">
      <c r="BJ52376" s="201"/>
    </row>
    <row r="52377" spans="62:62" x14ac:dyDescent="0.2">
      <c r="BJ52377" s="201"/>
    </row>
    <row r="52378" spans="62:62" x14ac:dyDescent="0.2">
      <c r="BJ52378" s="201"/>
    </row>
    <row r="52379" spans="62:62" x14ac:dyDescent="0.2">
      <c r="BJ52379" s="201"/>
    </row>
    <row r="52380" spans="62:62" x14ac:dyDescent="0.2">
      <c r="BJ52380" s="201"/>
    </row>
    <row r="52381" spans="62:62" x14ac:dyDescent="0.2">
      <c r="BJ52381" s="201"/>
    </row>
    <row r="52382" spans="62:62" x14ac:dyDescent="0.2">
      <c r="BJ52382" s="201"/>
    </row>
    <row r="52383" spans="62:62" x14ac:dyDescent="0.2">
      <c r="BJ52383" s="201"/>
    </row>
    <row r="52384" spans="62:62" x14ac:dyDescent="0.2">
      <c r="BJ52384" s="201"/>
    </row>
    <row r="52385" spans="62:62" x14ac:dyDescent="0.2">
      <c r="BJ52385" s="201"/>
    </row>
    <row r="52386" spans="62:62" x14ac:dyDescent="0.2">
      <c r="BJ52386" s="201"/>
    </row>
    <row r="52387" spans="62:62" x14ac:dyDescent="0.2">
      <c r="BJ52387" s="201"/>
    </row>
    <row r="52388" spans="62:62" x14ac:dyDescent="0.2">
      <c r="BJ52388" s="201"/>
    </row>
    <row r="52389" spans="62:62" x14ac:dyDescent="0.2">
      <c r="BJ52389" s="201"/>
    </row>
    <row r="52390" spans="62:62" x14ac:dyDescent="0.2">
      <c r="BJ52390" s="201"/>
    </row>
    <row r="52391" spans="62:62" x14ac:dyDescent="0.2">
      <c r="BJ52391" s="201"/>
    </row>
    <row r="52392" spans="62:62" x14ac:dyDescent="0.2">
      <c r="BJ52392" s="201"/>
    </row>
    <row r="52393" spans="62:62" x14ac:dyDescent="0.2">
      <c r="BJ52393" s="201"/>
    </row>
    <row r="52394" spans="62:62" x14ac:dyDescent="0.2">
      <c r="BJ52394" s="201"/>
    </row>
    <row r="52395" spans="62:62" x14ac:dyDescent="0.2">
      <c r="BJ52395" s="201"/>
    </row>
    <row r="52396" spans="62:62" x14ac:dyDescent="0.2">
      <c r="BJ52396" s="201"/>
    </row>
    <row r="52397" spans="62:62" x14ac:dyDescent="0.2">
      <c r="BJ52397" s="201"/>
    </row>
    <row r="52398" spans="62:62" x14ac:dyDescent="0.2">
      <c r="BJ52398" s="201"/>
    </row>
    <row r="52399" spans="62:62" x14ac:dyDescent="0.2">
      <c r="BJ52399" s="201"/>
    </row>
    <row r="52400" spans="62:62" x14ac:dyDescent="0.2">
      <c r="BJ52400" s="201"/>
    </row>
    <row r="52401" spans="62:62" x14ac:dyDescent="0.2">
      <c r="BJ52401" s="201"/>
    </row>
    <row r="52402" spans="62:62" x14ac:dyDescent="0.2">
      <c r="BJ52402" s="201"/>
    </row>
    <row r="52403" spans="62:62" x14ac:dyDescent="0.2">
      <c r="BJ52403" s="201"/>
    </row>
    <row r="52404" spans="62:62" x14ac:dyDescent="0.2">
      <c r="BJ52404" s="201"/>
    </row>
    <row r="52405" spans="62:62" x14ac:dyDescent="0.2">
      <c r="BJ52405" s="201"/>
    </row>
    <row r="52406" spans="62:62" x14ac:dyDescent="0.2">
      <c r="BJ52406" s="201"/>
    </row>
    <row r="52407" spans="62:62" x14ac:dyDescent="0.2">
      <c r="BJ52407" s="201"/>
    </row>
    <row r="52408" spans="62:62" x14ac:dyDescent="0.2">
      <c r="BJ52408" s="201"/>
    </row>
    <row r="52409" spans="62:62" x14ac:dyDescent="0.2">
      <c r="BJ52409" s="201"/>
    </row>
    <row r="52410" spans="62:62" x14ac:dyDescent="0.2">
      <c r="BJ52410" s="201"/>
    </row>
    <row r="52411" spans="62:62" x14ac:dyDescent="0.2">
      <c r="BJ52411" s="201"/>
    </row>
    <row r="52412" spans="62:62" x14ac:dyDescent="0.2">
      <c r="BJ52412" s="201"/>
    </row>
    <row r="52413" spans="62:62" x14ac:dyDescent="0.2">
      <c r="BJ52413" s="201"/>
    </row>
    <row r="52414" spans="62:62" x14ac:dyDescent="0.2">
      <c r="BJ52414" s="201"/>
    </row>
    <row r="52415" spans="62:62" x14ac:dyDescent="0.2">
      <c r="BJ52415" s="201"/>
    </row>
    <row r="52416" spans="62:62" x14ac:dyDescent="0.2">
      <c r="BJ52416" s="201"/>
    </row>
    <row r="52417" spans="62:62" x14ac:dyDescent="0.2">
      <c r="BJ52417" s="201"/>
    </row>
    <row r="52418" spans="62:62" x14ac:dyDescent="0.2">
      <c r="BJ52418" s="201"/>
    </row>
    <row r="52419" spans="62:62" x14ac:dyDescent="0.2">
      <c r="BJ52419" s="201"/>
    </row>
    <row r="52420" spans="62:62" x14ac:dyDescent="0.2">
      <c r="BJ52420" s="201"/>
    </row>
    <row r="52421" spans="62:62" x14ac:dyDescent="0.2">
      <c r="BJ52421" s="201"/>
    </row>
    <row r="52422" spans="62:62" x14ac:dyDescent="0.2">
      <c r="BJ52422" s="201"/>
    </row>
    <row r="52423" spans="62:62" x14ac:dyDescent="0.2">
      <c r="BJ52423" s="201"/>
    </row>
    <row r="52424" spans="62:62" x14ac:dyDescent="0.2">
      <c r="BJ52424" s="201"/>
    </row>
    <row r="52425" spans="62:62" x14ac:dyDescent="0.2">
      <c r="BJ52425" s="201"/>
    </row>
    <row r="52426" spans="62:62" x14ac:dyDescent="0.2">
      <c r="BJ52426" s="201"/>
    </row>
    <row r="52427" spans="62:62" x14ac:dyDescent="0.2">
      <c r="BJ52427" s="201"/>
    </row>
    <row r="52428" spans="62:62" x14ac:dyDescent="0.2">
      <c r="BJ52428" s="201"/>
    </row>
    <row r="52429" spans="62:62" x14ac:dyDescent="0.2">
      <c r="BJ52429" s="201"/>
    </row>
    <row r="52430" spans="62:62" x14ac:dyDescent="0.2">
      <c r="BJ52430" s="201"/>
    </row>
    <row r="52431" spans="62:62" x14ac:dyDescent="0.2">
      <c r="BJ52431" s="201"/>
    </row>
    <row r="52432" spans="62:62" x14ac:dyDescent="0.2">
      <c r="BJ52432" s="201"/>
    </row>
    <row r="52433" spans="62:62" x14ac:dyDescent="0.2">
      <c r="BJ52433" s="201"/>
    </row>
    <row r="52434" spans="62:62" x14ac:dyDescent="0.2">
      <c r="BJ52434" s="201"/>
    </row>
    <row r="52435" spans="62:62" x14ac:dyDescent="0.2">
      <c r="BJ52435" s="201"/>
    </row>
    <row r="52436" spans="62:62" x14ac:dyDescent="0.2">
      <c r="BJ52436" s="201"/>
    </row>
    <row r="52437" spans="62:62" x14ac:dyDescent="0.2">
      <c r="BJ52437" s="201"/>
    </row>
    <row r="52438" spans="62:62" x14ac:dyDescent="0.2">
      <c r="BJ52438" s="201"/>
    </row>
    <row r="52439" spans="62:62" x14ac:dyDescent="0.2">
      <c r="BJ52439" s="201"/>
    </row>
    <row r="52440" spans="62:62" x14ac:dyDescent="0.2">
      <c r="BJ52440" s="201"/>
    </row>
    <row r="52441" spans="62:62" x14ac:dyDescent="0.2">
      <c r="BJ52441" s="201"/>
    </row>
    <row r="52442" spans="62:62" x14ac:dyDescent="0.2">
      <c r="BJ52442" s="201"/>
    </row>
    <row r="52443" spans="62:62" x14ac:dyDescent="0.2">
      <c r="BJ52443" s="201"/>
    </row>
    <row r="52444" spans="62:62" x14ac:dyDescent="0.2">
      <c r="BJ52444" s="201"/>
    </row>
    <row r="52445" spans="62:62" x14ac:dyDescent="0.2">
      <c r="BJ52445" s="201"/>
    </row>
    <row r="52446" spans="62:62" x14ac:dyDescent="0.2">
      <c r="BJ52446" s="201"/>
    </row>
    <row r="52447" spans="62:62" x14ac:dyDescent="0.2">
      <c r="BJ52447" s="201"/>
    </row>
    <row r="52448" spans="62:62" x14ac:dyDescent="0.2">
      <c r="BJ52448" s="201"/>
    </row>
    <row r="52449" spans="62:62" x14ac:dyDescent="0.2">
      <c r="BJ52449" s="201"/>
    </row>
    <row r="52450" spans="62:62" x14ac:dyDescent="0.2">
      <c r="BJ52450" s="201"/>
    </row>
    <row r="52451" spans="62:62" x14ac:dyDescent="0.2">
      <c r="BJ52451" s="201"/>
    </row>
    <row r="52452" spans="62:62" x14ac:dyDescent="0.2">
      <c r="BJ52452" s="201"/>
    </row>
    <row r="52453" spans="62:62" x14ac:dyDescent="0.2">
      <c r="BJ52453" s="201"/>
    </row>
    <row r="52454" spans="62:62" x14ac:dyDescent="0.2">
      <c r="BJ52454" s="201"/>
    </row>
    <row r="52455" spans="62:62" x14ac:dyDescent="0.2">
      <c r="BJ52455" s="201"/>
    </row>
    <row r="52456" spans="62:62" x14ac:dyDescent="0.2">
      <c r="BJ52456" s="201"/>
    </row>
    <row r="52457" spans="62:62" x14ac:dyDescent="0.2">
      <c r="BJ52457" s="201"/>
    </row>
    <row r="52458" spans="62:62" x14ac:dyDescent="0.2">
      <c r="BJ52458" s="201"/>
    </row>
    <row r="52459" spans="62:62" x14ac:dyDescent="0.2">
      <c r="BJ52459" s="201"/>
    </row>
    <row r="52460" spans="62:62" x14ac:dyDescent="0.2">
      <c r="BJ52460" s="201"/>
    </row>
    <row r="52461" spans="62:62" x14ac:dyDescent="0.2">
      <c r="BJ52461" s="201"/>
    </row>
    <row r="52462" spans="62:62" x14ac:dyDescent="0.2">
      <c r="BJ52462" s="201"/>
    </row>
    <row r="52463" spans="62:62" x14ac:dyDescent="0.2">
      <c r="BJ52463" s="201"/>
    </row>
    <row r="52464" spans="62:62" x14ac:dyDescent="0.2">
      <c r="BJ52464" s="201"/>
    </row>
    <row r="52465" spans="62:62" x14ac:dyDescent="0.2">
      <c r="BJ52465" s="201"/>
    </row>
    <row r="52466" spans="62:62" x14ac:dyDescent="0.2">
      <c r="BJ52466" s="201"/>
    </row>
    <row r="52467" spans="62:62" x14ac:dyDescent="0.2">
      <c r="BJ52467" s="201"/>
    </row>
    <row r="52468" spans="62:62" x14ac:dyDescent="0.2">
      <c r="BJ52468" s="201"/>
    </row>
    <row r="52469" spans="62:62" x14ac:dyDescent="0.2">
      <c r="BJ52469" s="201"/>
    </row>
    <row r="52470" spans="62:62" x14ac:dyDescent="0.2">
      <c r="BJ52470" s="201"/>
    </row>
    <row r="52471" spans="62:62" x14ac:dyDescent="0.2">
      <c r="BJ52471" s="201"/>
    </row>
    <row r="52472" spans="62:62" x14ac:dyDescent="0.2">
      <c r="BJ52472" s="201"/>
    </row>
    <row r="52473" spans="62:62" x14ac:dyDescent="0.2">
      <c r="BJ52473" s="201"/>
    </row>
    <row r="52474" spans="62:62" x14ac:dyDescent="0.2">
      <c r="BJ52474" s="201"/>
    </row>
    <row r="52475" spans="62:62" x14ac:dyDescent="0.2">
      <c r="BJ52475" s="201"/>
    </row>
    <row r="52476" spans="62:62" x14ac:dyDescent="0.2">
      <c r="BJ52476" s="201"/>
    </row>
    <row r="52477" spans="62:62" x14ac:dyDescent="0.2">
      <c r="BJ52477" s="201"/>
    </row>
    <row r="52478" spans="62:62" x14ac:dyDescent="0.2">
      <c r="BJ52478" s="201"/>
    </row>
    <row r="52479" spans="62:62" x14ac:dyDescent="0.2">
      <c r="BJ52479" s="201"/>
    </row>
    <row r="52480" spans="62:62" x14ac:dyDescent="0.2">
      <c r="BJ52480" s="201"/>
    </row>
    <row r="52481" spans="62:62" x14ac:dyDescent="0.2">
      <c r="BJ52481" s="201"/>
    </row>
    <row r="52482" spans="62:62" x14ac:dyDescent="0.2">
      <c r="BJ52482" s="201"/>
    </row>
    <row r="52483" spans="62:62" x14ac:dyDescent="0.2">
      <c r="BJ52483" s="201"/>
    </row>
    <row r="52484" spans="62:62" x14ac:dyDescent="0.2">
      <c r="BJ52484" s="201"/>
    </row>
    <row r="52485" spans="62:62" x14ac:dyDescent="0.2">
      <c r="BJ52485" s="201"/>
    </row>
    <row r="52486" spans="62:62" x14ac:dyDescent="0.2">
      <c r="BJ52486" s="201"/>
    </row>
    <row r="52487" spans="62:62" x14ac:dyDescent="0.2">
      <c r="BJ52487" s="201"/>
    </row>
    <row r="52488" spans="62:62" x14ac:dyDescent="0.2">
      <c r="BJ52488" s="201"/>
    </row>
    <row r="52489" spans="62:62" x14ac:dyDescent="0.2">
      <c r="BJ52489" s="201"/>
    </row>
    <row r="52490" spans="62:62" x14ac:dyDescent="0.2">
      <c r="BJ52490" s="201"/>
    </row>
    <row r="52491" spans="62:62" x14ac:dyDescent="0.2">
      <c r="BJ52491" s="201"/>
    </row>
    <row r="52492" spans="62:62" x14ac:dyDescent="0.2">
      <c r="BJ52492" s="201"/>
    </row>
    <row r="52493" spans="62:62" x14ac:dyDescent="0.2">
      <c r="BJ52493" s="201"/>
    </row>
    <row r="52494" spans="62:62" x14ac:dyDescent="0.2">
      <c r="BJ52494" s="201"/>
    </row>
    <row r="52495" spans="62:62" x14ac:dyDescent="0.2">
      <c r="BJ52495" s="201"/>
    </row>
    <row r="52496" spans="62:62" x14ac:dyDescent="0.2">
      <c r="BJ52496" s="201"/>
    </row>
    <row r="52497" spans="62:62" x14ac:dyDescent="0.2">
      <c r="BJ52497" s="201"/>
    </row>
    <row r="52498" spans="62:62" x14ac:dyDescent="0.2">
      <c r="BJ52498" s="201"/>
    </row>
    <row r="52499" spans="62:62" x14ac:dyDescent="0.2">
      <c r="BJ52499" s="201"/>
    </row>
    <row r="52500" spans="62:62" x14ac:dyDescent="0.2">
      <c r="BJ52500" s="201"/>
    </row>
    <row r="52501" spans="62:62" x14ac:dyDescent="0.2">
      <c r="BJ52501" s="201"/>
    </row>
    <row r="52502" spans="62:62" x14ac:dyDescent="0.2">
      <c r="BJ52502" s="201"/>
    </row>
    <row r="52503" spans="62:62" x14ac:dyDescent="0.2">
      <c r="BJ52503" s="201"/>
    </row>
    <row r="52504" spans="62:62" x14ac:dyDescent="0.2">
      <c r="BJ52504" s="201"/>
    </row>
    <row r="52505" spans="62:62" x14ac:dyDescent="0.2">
      <c r="BJ52505" s="201"/>
    </row>
    <row r="52506" spans="62:62" x14ac:dyDescent="0.2">
      <c r="BJ52506" s="201"/>
    </row>
    <row r="52507" spans="62:62" x14ac:dyDescent="0.2">
      <c r="BJ52507" s="201"/>
    </row>
    <row r="52508" spans="62:62" x14ac:dyDescent="0.2">
      <c r="BJ52508" s="201"/>
    </row>
    <row r="52509" spans="62:62" x14ac:dyDescent="0.2">
      <c r="BJ52509" s="201"/>
    </row>
    <row r="52510" spans="62:62" x14ac:dyDescent="0.2">
      <c r="BJ52510" s="201"/>
    </row>
    <row r="52511" spans="62:62" x14ac:dyDescent="0.2">
      <c r="BJ52511" s="201"/>
    </row>
    <row r="52512" spans="62:62" x14ac:dyDescent="0.2">
      <c r="BJ52512" s="201"/>
    </row>
    <row r="52513" spans="62:62" x14ac:dyDescent="0.2">
      <c r="BJ52513" s="201"/>
    </row>
    <row r="52514" spans="62:62" x14ac:dyDescent="0.2">
      <c r="BJ52514" s="201"/>
    </row>
    <row r="52515" spans="62:62" x14ac:dyDescent="0.2">
      <c r="BJ52515" s="201"/>
    </row>
    <row r="52516" spans="62:62" x14ac:dyDescent="0.2">
      <c r="BJ52516" s="201"/>
    </row>
    <row r="52517" spans="62:62" x14ac:dyDescent="0.2">
      <c r="BJ52517" s="201"/>
    </row>
    <row r="52518" spans="62:62" x14ac:dyDescent="0.2">
      <c r="BJ52518" s="201"/>
    </row>
    <row r="52519" spans="62:62" x14ac:dyDescent="0.2">
      <c r="BJ52519" s="201"/>
    </row>
    <row r="52520" spans="62:62" x14ac:dyDescent="0.2">
      <c r="BJ52520" s="201"/>
    </row>
    <row r="52521" spans="62:62" x14ac:dyDescent="0.2">
      <c r="BJ52521" s="201"/>
    </row>
    <row r="52522" spans="62:62" x14ac:dyDescent="0.2">
      <c r="BJ52522" s="201"/>
    </row>
    <row r="52523" spans="62:62" x14ac:dyDescent="0.2">
      <c r="BJ52523" s="201"/>
    </row>
    <row r="52524" spans="62:62" x14ac:dyDescent="0.2">
      <c r="BJ52524" s="201"/>
    </row>
    <row r="52525" spans="62:62" x14ac:dyDescent="0.2">
      <c r="BJ52525" s="201"/>
    </row>
    <row r="52526" spans="62:62" x14ac:dyDescent="0.2">
      <c r="BJ52526" s="201"/>
    </row>
    <row r="52527" spans="62:62" x14ac:dyDescent="0.2">
      <c r="BJ52527" s="201"/>
    </row>
    <row r="52528" spans="62:62" x14ac:dyDescent="0.2">
      <c r="BJ52528" s="201"/>
    </row>
    <row r="52529" spans="62:62" x14ac:dyDescent="0.2">
      <c r="BJ52529" s="201"/>
    </row>
    <row r="52530" spans="62:62" x14ac:dyDescent="0.2">
      <c r="BJ52530" s="201"/>
    </row>
    <row r="52531" spans="62:62" x14ac:dyDescent="0.2">
      <c r="BJ52531" s="201"/>
    </row>
    <row r="52532" spans="62:62" x14ac:dyDescent="0.2">
      <c r="BJ52532" s="201"/>
    </row>
    <row r="52533" spans="62:62" x14ac:dyDescent="0.2">
      <c r="BJ52533" s="201"/>
    </row>
    <row r="52534" spans="62:62" x14ac:dyDescent="0.2">
      <c r="BJ52534" s="201"/>
    </row>
    <row r="52535" spans="62:62" x14ac:dyDescent="0.2">
      <c r="BJ52535" s="201"/>
    </row>
    <row r="52536" spans="62:62" x14ac:dyDescent="0.2">
      <c r="BJ52536" s="201"/>
    </row>
    <row r="52537" spans="62:62" x14ac:dyDescent="0.2">
      <c r="BJ52537" s="201"/>
    </row>
    <row r="52538" spans="62:62" x14ac:dyDescent="0.2">
      <c r="BJ52538" s="201"/>
    </row>
    <row r="52539" spans="62:62" x14ac:dyDescent="0.2">
      <c r="BJ52539" s="201"/>
    </row>
    <row r="52540" spans="62:62" x14ac:dyDescent="0.2">
      <c r="BJ52540" s="201"/>
    </row>
    <row r="52541" spans="62:62" x14ac:dyDescent="0.2">
      <c r="BJ52541" s="201"/>
    </row>
    <row r="52542" spans="62:62" x14ac:dyDescent="0.2">
      <c r="BJ52542" s="201"/>
    </row>
    <row r="52543" spans="62:62" x14ac:dyDescent="0.2">
      <c r="BJ52543" s="201"/>
    </row>
    <row r="52544" spans="62:62" x14ac:dyDescent="0.2">
      <c r="BJ52544" s="201"/>
    </row>
    <row r="52545" spans="62:62" x14ac:dyDescent="0.2">
      <c r="BJ52545" s="201"/>
    </row>
    <row r="52546" spans="62:62" x14ac:dyDescent="0.2">
      <c r="BJ52546" s="201"/>
    </row>
    <row r="52547" spans="62:62" x14ac:dyDescent="0.2">
      <c r="BJ52547" s="201"/>
    </row>
    <row r="52548" spans="62:62" x14ac:dyDescent="0.2">
      <c r="BJ52548" s="201"/>
    </row>
    <row r="52549" spans="62:62" x14ac:dyDescent="0.2">
      <c r="BJ52549" s="201"/>
    </row>
    <row r="52550" spans="62:62" x14ac:dyDescent="0.2">
      <c r="BJ52550" s="201"/>
    </row>
    <row r="52551" spans="62:62" x14ac:dyDescent="0.2">
      <c r="BJ52551" s="201"/>
    </row>
    <row r="52552" spans="62:62" x14ac:dyDescent="0.2">
      <c r="BJ52552" s="201"/>
    </row>
    <row r="52553" spans="62:62" x14ac:dyDescent="0.2">
      <c r="BJ52553" s="201"/>
    </row>
    <row r="52554" spans="62:62" x14ac:dyDescent="0.2">
      <c r="BJ52554" s="201"/>
    </row>
    <row r="52555" spans="62:62" x14ac:dyDescent="0.2">
      <c r="BJ52555" s="201"/>
    </row>
    <row r="52556" spans="62:62" x14ac:dyDescent="0.2">
      <c r="BJ52556" s="201"/>
    </row>
    <row r="52557" spans="62:62" x14ac:dyDescent="0.2">
      <c r="BJ52557" s="201"/>
    </row>
    <row r="52558" spans="62:62" x14ac:dyDescent="0.2">
      <c r="BJ52558" s="201"/>
    </row>
    <row r="52559" spans="62:62" x14ac:dyDescent="0.2">
      <c r="BJ52559" s="201"/>
    </row>
    <row r="52560" spans="62:62" x14ac:dyDescent="0.2">
      <c r="BJ52560" s="201"/>
    </row>
    <row r="52561" spans="62:62" x14ac:dyDescent="0.2">
      <c r="BJ52561" s="201"/>
    </row>
    <row r="52562" spans="62:62" x14ac:dyDescent="0.2">
      <c r="BJ52562" s="201"/>
    </row>
    <row r="52563" spans="62:62" x14ac:dyDescent="0.2">
      <c r="BJ52563" s="201"/>
    </row>
    <row r="52564" spans="62:62" x14ac:dyDescent="0.2">
      <c r="BJ52564" s="201"/>
    </row>
    <row r="52565" spans="62:62" x14ac:dyDescent="0.2">
      <c r="BJ52565" s="201"/>
    </row>
    <row r="52566" spans="62:62" x14ac:dyDescent="0.2">
      <c r="BJ52566" s="201"/>
    </row>
    <row r="52567" spans="62:62" x14ac:dyDescent="0.2">
      <c r="BJ52567" s="201"/>
    </row>
    <row r="52568" spans="62:62" x14ac:dyDescent="0.2">
      <c r="BJ52568" s="201"/>
    </row>
    <row r="52569" spans="62:62" x14ac:dyDescent="0.2">
      <c r="BJ52569" s="201"/>
    </row>
    <row r="52570" spans="62:62" x14ac:dyDescent="0.2">
      <c r="BJ52570" s="201"/>
    </row>
    <row r="52571" spans="62:62" x14ac:dyDescent="0.2">
      <c r="BJ52571" s="201"/>
    </row>
    <row r="52572" spans="62:62" x14ac:dyDescent="0.2">
      <c r="BJ52572" s="201"/>
    </row>
    <row r="52573" spans="62:62" x14ac:dyDescent="0.2">
      <c r="BJ52573" s="201"/>
    </row>
    <row r="52574" spans="62:62" x14ac:dyDescent="0.2">
      <c r="BJ52574" s="201"/>
    </row>
    <row r="52575" spans="62:62" x14ac:dyDescent="0.2">
      <c r="BJ52575" s="201"/>
    </row>
    <row r="52576" spans="62:62" x14ac:dyDescent="0.2">
      <c r="BJ52576" s="201"/>
    </row>
    <row r="52577" spans="62:62" x14ac:dyDescent="0.2">
      <c r="BJ52577" s="201"/>
    </row>
    <row r="52578" spans="62:62" x14ac:dyDescent="0.2">
      <c r="BJ52578" s="201"/>
    </row>
    <row r="52579" spans="62:62" x14ac:dyDescent="0.2">
      <c r="BJ52579" s="201"/>
    </row>
    <row r="52580" spans="62:62" x14ac:dyDescent="0.2">
      <c r="BJ52580" s="201"/>
    </row>
    <row r="52581" spans="62:62" x14ac:dyDescent="0.2">
      <c r="BJ52581" s="201"/>
    </row>
    <row r="52582" spans="62:62" x14ac:dyDescent="0.2">
      <c r="BJ52582" s="201"/>
    </row>
    <row r="52583" spans="62:62" x14ac:dyDescent="0.2">
      <c r="BJ52583" s="201"/>
    </row>
    <row r="52584" spans="62:62" x14ac:dyDescent="0.2">
      <c r="BJ52584" s="201"/>
    </row>
    <row r="52585" spans="62:62" x14ac:dyDescent="0.2">
      <c r="BJ52585" s="201"/>
    </row>
    <row r="52586" spans="62:62" x14ac:dyDescent="0.2">
      <c r="BJ52586" s="201"/>
    </row>
    <row r="52587" spans="62:62" x14ac:dyDescent="0.2">
      <c r="BJ52587" s="201"/>
    </row>
    <row r="52588" spans="62:62" x14ac:dyDescent="0.2">
      <c r="BJ52588" s="201"/>
    </row>
    <row r="52589" spans="62:62" x14ac:dyDescent="0.2">
      <c r="BJ52589" s="201"/>
    </row>
    <row r="52590" spans="62:62" x14ac:dyDescent="0.2">
      <c r="BJ52590" s="201"/>
    </row>
    <row r="52591" spans="62:62" x14ac:dyDescent="0.2">
      <c r="BJ52591" s="201"/>
    </row>
    <row r="52592" spans="62:62" x14ac:dyDescent="0.2">
      <c r="BJ52592" s="201"/>
    </row>
    <row r="52593" spans="62:62" x14ac:dyDescent="0.2">
      <c r="BJ52593" s="201"/>
    </row>
    <row r="52594" spans="62:62" x14ac:dyDescent="0.2">
      <c r="BJ52594" s="201"/>
    </row>
    <row r="52595" spans="62:62" x14ac:dyDescent="0.2">
      <c r="BJ52595" s="201"/>
    </row>
    <row r="52596" spans="62:62" x14ac:dyDescent="0.2">
      <c r="BJ52596" s="201"/>
    </row>
    <row r="52597" spans="62:62" x14ac:dyDescent="0.2">
      <c r="BJ52597" s="201"/>
    </row>
    <row r="52598" spans="62:62" x14ac:dyDescent="0.2">
      <c r="BJ52598" s="201"/>
    </row>
    <row r="52599" spans="62:62" x14ac:dyDescent="0.2">
      <c r="BJ52599" s="201"/>
    </row>
    <row r="52600" spans="62:62" x14ac:dyDescent="0.2">
      <c r="BJ52600" s="201"/>
    </row>
    <row r="52601" spans="62:62" x14ac:dyDescent="0.2">
      <c r="BJ52601" s="201"/>
    </row>
    <row r="52602" spans="62:62" x14ac:dyDescent="0.2">
      <c r="BJ52602" s="201"/>
    </row>
    <row r="52603" spans="62:62" x14ac:dyDescent="0.2">
      <c r="BJ52603" s="201"/>
    </row>
    <row r="52604" spans="62:62" x14ac:dyDescent="0.2">
      <c r="BJ52604" s="201"/>
    </row>
    <row r="52605" spans="62:62" x14ac:dyDescent="0.2">
      <c r="BJ52605" s="201"/>
    </row>
    <row r="52606" spans="62:62" x14ac:dyDescent="0.2">
      <c r="BJ52606" s="201"/>
    </row>
    <row r="52607" spans="62:62" x14ac:dyDescent="0.2">
      <c r="BJ52607" s="201"/>
    </row>
    <row r="52608" spans="62:62" x14ac:dyDescent="0.2">
      <c r="BJ52608" s="201"/>
    </row>
    <row r="52609" spans="62:62" x14ac:dyDescent="0.2">
      <c r="BJ52609" s="201"/>
    </row>
    <row r="52610" spans="62:62" x14ac:dyDescent="0.2">
      <c r="BJ52610" s="201"/>
    </row>
    <row r="52611" spans="62:62" x14ac:dyDescent="0.2">
      <c r="BJ52611" s="201"/>
    </row>
    <row r="52612" spans="62:62" x14ac:dyDescent="0.2">
      <c r="BJ52612" s="201"/>
    </row>
    <row r="52613" spans="62:62" x14ac:dyDescent="0.2">
      <c r="BJ52613" s="201"/>
    </row>
    <row r="52614" spans="62:62" x14ac:dyDescent="0.2">
      <c r="BJ52614" s="201"/>
    </row>
    <row r="52615" spans="62:62" x14ac:dyDescent="0.2">
      <c r="BJ52615" s="201"/>
    </row>
    <row r="52616" spans="62:62" x14ac:dyDescent="0.2">
      <c r="BJ52616" s="201"/>
    </row>
    <row r="52617" spans="62:62" x14ac:dyDescent="0.2">
      <c r="BJ52617" s="201"/>
    </row>
    <row r="52618" spans="62:62" x14ac:dyDescent="0.2">
      <c r="BJ52618" s="201"/>
    </row>
    <row r="52619" spans="62:62" x14ac:dyDescent="0.2">
      <c r="BJ52619" s="201"/>
    </row>
    <row r="52620" spans="62:62" x14ac:dyDescent="0.2">
      <c r="BJ52620" s="201"/>
    </row>
    <row r="52621" spans="62:62" x14ac:dyDescent="0.2">
      <c r="BJ52621" s="201"/>
    </row>
    <row r="52622" spans="62:62" x14ac:dyDescent="0.2">
      <c r="BJ52622" s="201"/>
    </row>
    <row r="52623" spans="62:62" x14ac:dyDescent="0.2">
      <c r="BJ52623" s="201"/>
    </row>
    <row r="52624" spans="62:62" x14ac:dyDescent="0.2">
      <c r="BJ52624" s="201"/>
    </row>
    <row r="52625" spans="62:62" x14ac:dyDescent="0.2">
      <c r="BJ52625" s="201"/>
    </row>
    <row r="52626" spans="62:62" x14ac:dyDescent="0.2">
      <c r="BJ52626" s="201"/>
    </row>
    <row r="52627" spans="62:62" x14ac:dyDescent="0.2">
      <c r="BJ52627" s="201"/>
    </row>
    <row r="52628" spans="62:62" x14ac:dyDescent="0.2">
      <c r="BJ52628" s="201"/>
    </row>
    <row r="52629" spans="62:62" x14ac:dyDescent="0.2">
      <c r="BJ52629" s="201"/>
    </row>
    <row r="52630" spans="62:62" x14ac:dyDescent="0.2">
      <c r="BJ52630" s="201"/>
    </row>
    <row r="52631" spans="62:62" x14ac:dyDescent="0.2">
      <c r="BJ52631" s="201"/>
    </row>
    <row r="52632" spans="62:62" x14ac:dyDescent="0.2">
      <c r="BJ52632" s="201"/>
    </row>
    <row r="52633" spans="62:62" x14ac:dyDescent="0.2">
      <c r="BJ52633" s="201"/>
    </row>
    <row r="52634" spans="62:62" x14ac:dyDescent="0.2">
      <c r="BJ52634" s="201"/>
    </row>
    <row r="52635" spans="62:62" x14ac:dyDescent="0.2">
      <c r="BJ52635" s="201"/>
    </row>
    <row r="52636" spans="62:62" x14ac:dyDescent="0.2">
      <c r="BJ52636" s="201"/>
    </row>
    <row r="52637" spans="62:62" x14ac:dyDescent="0.2">
      <c r="BJ52637" s="201"/>
    </row>
    <row r="52638" spans="62:62" x14ac:dyDescent="0.2">
      <c r="BJ52638" s="201"/>
    </row>
    <row r="52639" spans="62:62" x14ac:dyDescent="0.2">
      <c r="BJ52639" s="201"/>
    </row>
    <row r="52640" spans="62:62" x14ac:dyDescent="0.2">
      <c r="BJ52640" s="201"/>
    </row>
    <row r="52641" spans="62:62" x14ac:dyDescent="0.2">
      <c r="BJ52641" s="201"/>
    </row>
    <row r="52642" spans="62:62" x14ac:dyDescent="0.2">
      <c r="BJ52642" s="201"/>
    </row>
    <row r="52643" spans="62:62" x14ac:dyDescent="0.2">
      <c r="BJ52643" s="201"/>
    </row>
    <row r="52644" spans="62:62" x14ac:dyDescent="0.2">
      <c r="BJ52644" s="201"/>
    </row>
    <row r="52645" spans="62:62" x14ac:dyDescent="0.2">
      <c r="BJ52645" s="201"/>
    </row>
    <row r="52646" spans="62:62" x14ac:dyDescent="0.2">
      <c r="BJ52646" s="201"/>
    </row>
    <row r="52647" spans="62:62" x14ac:dyDescent="0.2">
      <c r="BJ52647" s="201"/>
    </row>
    <row r="52648" spans="62:62" x14ac:dyDescent="0.2">
      <c r="BJ52648" s="201"/>
    </row>
    <row r="52649" spans="62:62" x14ac:dyDescent="0.2">
      <c r="BJ52649" s="201"/>
    </row>
    <row r="52650" spans="62:62" x14ac:dyDescent="0.2">
      <c r="BJ52650" s="201"/>
    </row>
    <row r="52651" spans="62:62" x14ac:dyDescent="0.2">
      <c r="BJ52651" s="201"/>
    </row>
    <row r="52652" spans="62:62" x14ac:dyDescent="0.2">
      <c r="BJ52652" s="201"/>
    </row>
    <row r="52653" spans="62:62" x14ac:dyDescent="0.2">
      <c r="BJ52653" s="201"/>
    </row>
    <row r="52654" spans="62:62" x14ac:dyDescent="0.2">
      <c r="BJ52654" s="201"/>
    </row>
    <row r="52655" spans="62:62" x14ac:dyDescent="0.2">
      <c r="BJ52655" s="201"/>
    </row>
    <row r="52656" spans="62:62" x14ac:dyDescent="0.2">
      <c r="BJ52656" s="201"/>
    </row>
    <row r="52657" spans="62:62" x14ac:dyDescent="0.2">
      <c r="BJ52657" s="201"/>
    </row>
    <row r="52658" spans="62:62" x14ac:dyDescent="0.2">
      <c r="BJ52658" s="201"/>
    </row>
    <row r="52659" spans="62:62" x14ac:dyDescent="0.2">
      <c r="BJ52659" s="201"/>
    </row>
    <row r="52660" spans="62:62" x14ac:dyDescent="0.2">
      <c r="BJ52660" s="201"/>
    </row>
    <row r="52661" spans="62:62" x14ac:dyDescent="0.2">
      <c r="BJ52661" s="201"/>
    </row>
    <row r="52662" spans="62:62" x14ac:dyDescent="0.2">
      <c r="BJ52662" s="201"/>
    </row>
    <row r="52663" spans="62:62" x14ac:dyDescent="0.2">
      <c r="BJ52663" s="201"/>
    </row>
    <row r="52664" spans="62:62" x14ac:dyDescent="0.2">
      <c r="BJ52664" s="201"/>
    </row>
    <row r="52665" spans="62:62" x14ac:dyDescent="0.2">
      <c r="BJ52665" s="201"/>
    </row>
    <row r="52666" spans="62:62" x14ac:dyDescent="0.2">
      <c r="BJ52666" s="201"/>
    </row>
    <row r="52667" spans="62:62" x14ac:dyDescent="0.2">
      <c r="BJ52667" s="201"/>
    </row>
    <row r="52668" spans="62:62" x14ac:dyDescent="0.2">
      <c r="BJ52668" s="201"/>
    </row>
    <row r="52669" spans="62:62" x14ac:dyDescent="0.2">
      <c r="BJ52669" s="201"/>
    </row>
    <row r="52670" spans="62:62" x14ac:dyDescent="0.2">
      <c r="BJ52670" s="201"/>
    </row>
    <row r="52671" spans="62:62" x14ac:dyDescent="0.2">
      <c r="BJ52671" s="201"/>
    </row>
    <row r="52672" spans="62:62" x14ac:dyDescent="0.2">
      <c r="BJ52672" s="201"/>
    </row>
    <row r="52673" spans="62:62" x14ac:dyDescent="0.2">
      <c r="BJ52673" s="201"/>
    </row>
    <row r="52674" spans="62:62" x14ac:dyDescent="0.2">
      <c r="BJ52674" s="201"/>
    </row>
    <row r="52675" spans="62:62" x14ac:dyDescent="0.2">
      <c r="BJ52675" s="201"/>
    </row>
    <row r="52676" spans="62:62" x14ac:dyDescent="0.2">
      <c r="BJ52676" s="201"/>
    </row>
    <row r="52677" spans="62:62" x14ac:dyDescent="0.2">
      <c r="BJ52677" s="201"/>
    </row>
    <row r="52678" spans="62:62" x14ac:dyDescent="0.2">
      <c r="BJ52678" s="201"/>
    </row>
    <row r="52679" spans="62:62" x14ac:dyDescent="0.2">
      <c r="BJ52679" s="201"/>
    </row>
    <row r="52680" spans="62:62" x14ac:dyDescent="0.2">
      <c r="BJ52680" s="201"/>
    </row>
    <row r="52681" spans="62:62" x14ac:dyDescent="0.2">
      <c r="BJ52681" s="201"/>
    </row>
    <row r="52682" spans="62:62" x14ac:dyDescent="0.2">
      <c r="BJ52682" s="201"/>
    </row>
    <row r="52683" spans="62:62" x14ac:dyDescent="0.2">
      <c r="BJ52683" s="201"/>
    </row>
    <row r="52684" spans="62:62" x14ac:dyDescent="0.2">
      <c r="BJ52684" s="201"/>
    </row>
    <row r="52685" spans="62:62" x14ac:dyDescent="0.2">
      <c r="BJ52685" s="201"/>
    </row>
    <row r="52686" spans="62:62" x14ac:dyDescent="0.2">
      <c r="BJ52686" s="201"/>
    </row>
    <row r="52687" spans="62:62" x14ac:dyDescent="0.2">
      <c r="BJ52687" s="201"/>
    </row>
    <row r="52688" spans="62:62" x14ac:dyDescent="0.2">
      <c r="BJ52688" s="201"/>
    </row>
    <row r="52689" spans="62:62" x14ac:dyDescent="0.2">
      <c r="BJ52689" s="201"/>
    </row>
    <row r="52690" spans="62:62" x14ac:dyDescent="0.2">
      <c r="BJ52690" s="201"/>
    </row>
    <row r="52691" spans="62:62" x14ac:dyDescent="0.2">
      <c r="BJ52691" s="201"/>
    </row>
    <row r="52692" spans="62:62" x14ac:dyDescent="0.2">
      <c r="BJ52692" s="201"/>
    </row>
    <row r="52693" spans="62:62" x14ac:dyDescent="0.2">
      <c r="BJ52693" s="201"/>
    </row>
    <row r="52694" spans="62:62" x14ac:dyDescent="0.2">
      <c r="BJ52694" s="201"/>
    </row>
    <row r="52695" spans="62:62" x14ac:dyDescent="0.2">
      <c r="BJ52695" s="201"/>
    </row>
    <row r="52696" spans="62:62" x14ac:dyDescent="0.2">
      <c r="BJ52696" s="201"/>
    </row>
    <row r="52697" spans="62:62" x14ac:dyDescent="0.2">
      <c r="BJ52697" s="201"/>
    </row>
    <row r="52698" spans="62:62" x14ac:dyDescent="0.2">
      <c r="BJ52698" s="201"/>
    </row>
    <row r="52699" spans="62:62" x14ac:dyDescent="0.2">
      <c r="BJ52699" s="201"/>
    </row>
    <row r="52700" spans="62:62" x14ac:dyDescent="0.2">
      <c r="BJ52700" s="201"/>
    </row>
    <row r="52701" spans="62:62" x14ac:dyDescent="0.2">
      <c r="BJ52701" s="201"/>
    </row>
    <row r="52702" spans="62:62" x14ac:dyDescent="0.2">
      <c r="BJ52702" s="201"/>
    </row>
    <row r="52703" spans="62:62" x14ac:dyDescent="0.2">
      <c r="BJ52703" s="201"/>
    </row>
    <row r="52704" spans="62:62" x14ac:dyDescent="0.2">
      <c r="BJ52704" s="201"/>
    </row>
    <row r="52705" spans="62:62" x14ac:dyDescent="0.2">
      <c r="BJ52705" s="201"/>
    </row>
    <row r="52706" spans="62:62" x14ac:dyDescent="0.2">
      <c r="BJ52706" s="201"/>
    </row>
    <row r="52707" spans="62:62" x14ac:dyDescent="0.2">
      <c r="BJ52707" s="201"/>
    </row>
    <row r="52708" spans="62:62" x14ac:dyDescent="0.2">
      <c r="BJ52708" s="201"/>
    </row>
    <row r="52709" spans="62:62" x14ac:dyDescent="0.2">
      <c r="BJ52709" s="201"/>
    </row>
    <row r="52710" spans="62:62" x14ac:dyDescent="0.2">
      <c r="BJ52710" s="201"/>
    </row>
    <row r="52711" spans="62:62" x14ac:dyDescent="0.2">
      <c r="BJ52711" s="201"/>
    </row>
    <row r="52712" spans="62:62" x14ac:dyDescent="0.2">
      <c r="BJ52712" s="201"/>
    </row>
    <row r="52713" spans="62:62" x14ac:dyDescent="0.2">
      <c r="BJ52713" s="201"/>
    </row>
    <row r="52714" spans="62:62" x14ac:dyDescent="0.2">
      <c r="BJ52714" s="201"/>
    </row>
    <row r="52715" spans="62:62" x14ac:dyDescent="0.2">
      <c r="BJ52715" s="201"/>
    </row>
    <row r="52716" spans="62:62" x14ac:dyDescent="0.2">
      <c r="BJ52716" s="201"/>
    </row>
    <row r="52717" spans="62:62" x14ac:dyDescent="0.2">
      <c r="BJ52717" s="201"/>
    </row>
    <row r="52718" spans="62:62" x14ac:dyDescent="0.2">
      <c r="BJ52718" s="201"/>
    </row>
    <row r="52719" spans="62:62" x14ac:dyDescent="0.2">
      <c r="BJ52719" s="201"/>
    </row>
    <row r="52720" spans="62:62" x14ac:dyDescent="0.2">
      <c r="BJ52720" s="201"/>
    </row>
    <row r="52721" spans="62:62" x14ac:dyDescent="0.2">
      <c r="BJ52721" s="201"/>
    </row>
    <row r="52722" spans="62:62" x14ac:dyDescent="0.2">
      <c r="BJ52722" s="201"/>
    </row>
    <row r="52723" spans="62:62" x14ac:dyDescent="0.2">
      <c r="BJ52723" s="201"/>
    </row>
    <row r="52724" spans="62:62" x14ac:dyDescent="0.2">
      <c r="BJ52724" s="201"/>
    </row>
    <row r="52725" spans="62:62" x14ac:dyDescent="0.2">
      <c r="BJ52725" s="201"/>
    </row>
    <row r="52726" spans="62:62" x14ac:dyDescent="0.2">
      <c r="BJ52726" s="201"/>
    </row>
    <row r="52727" spans="62:62" x14ac:dyDescent="0.2">
      <c r="BJ52727" s="201"/>
    </row>
    <row r="52728" spans="62:62" x14ac:dyDescent="0.2">
      <c r="BJ52728" s="201"/>
    </row>
    <row r="52729" spans="62:62" x14ac:dyDescent="0.2">
      <c r="BJ52729" s="201"/>
    </row>
    <row r="52730" spans="62:62" x14ac:dyDescent="0.2">
      <c r="BJ52730" s="201"/>
    </row>
    <row r="52731" spans="62:62" x14ac:dyDescent="0.2">
      <c r="BJ52731" s="201"/>
    </row>
    <row r="52732" spans="62:62" x14ac:dyDescent="0.2">
      <c r="BJ52732" s="201"/>
    </row>
    <row r="52733" spans="62:62" x14ac:dyDescent="0.2">
      <c r="BJ52733" s="201"/>
    </row>
    <row r="52734" spans="62:62" x14ac:dyDescent="0.2">
      <c r="BJ52734" s="201"/>
    </row>
    <row r="52735" spans="62:62" x14ac:dyDescent="0.2">
      <c r="BJ52735" s="201"/>
    </row>
    <row r="52736" spans="62:62" x14ac:dyDescent="0.2">
      <c r="BJ52736" s="201"/>
    </row>
    <row r="52737" spans="62:62" x14ac:dyDescent="0.2">
      <c r="BJ52737" s="201"/>
    </row>
    <row r="52738" spans="62:62" x14ac:dyDescent="0.2">
      <c r="BJ52738" s="201"/>
    </row>
    <row r="52739" spans="62:62" x14ac:dyDescent="0.2">
      <c r="BJ52739" s="201"/>
    </row>
    <row r="52740" spans="62:62" x14ac:dyDescent="0.2">
      <c r="BJ52740" s="201"/>
    </row>
    <row r="52741" spans="62:62" x14ac:dyDescent="0.2">
      <c r="BJ52741" s="201"/>
    </row>
    <row r="52742" spans="62:62" x14ac:dyDescent="0.2">
      <c r="BJ52742" s="201"/>
    </row>
    <row r="52743" spans="62:62" x14ac:dyDescent="0.2">
      <c r="BJ52743" s="201"/>
    </row>
    <row r="52744" spans="62:62" x14ac:dyDescent="0.2">
      <c r="BJ52744" s="201"/>
    </row>
    <row r="52745" spans="62:62" x14ac:dyDescent="0.2">
      <c r="BJ52745" s="201"/>
    </row>
    <row r="52746" spans="62:62" x14ac:dyDescent="0.2">
      <c r="BJ52746" s="201"/>
    </row>
    <row r="52747" spans="62:62" x14ac:dyDescent="0.2">
      <c r="BJ52747" s="201"/>
    </row>
    <row r="52748" spans="62:62" x14ac:dyDescent="0.2">
      <c r="BJ52748" s="201"/>
    </row>
    <row r="52749" spans="62:62" x14ac:dyDescent="0.2">
      <c r="BJ52749" s="201"/>
    </row>
    <row r="52750" spans="62:62" x14ac:dyDescent="0.2">
      <c r="BJ52750" s="201"/>
    </row>
    <row r="52751" spans="62:62" x14ac:dyDescent="0.2">
      <c r="BJ52751" s="201"/>
    </row>
    <row r="52752" spans="62:62" x14ac:dyDescent="0.2">
      <c r="BJ52752" s="201"/>
    </row>
    <row r="52753" spans="62:62" x14ac:dyDescent="0.2">
      <c r="BJ52753" s="201"/>
    </row>
    <row r="52754" spans="62:62" x14ac:dyDescent="0.2">
      <c r="BJ52754" s="201"/>
    </row>
    <row r="52755" spans="62:62" x14ac:dyDescent="0.2">
      <c r="BJ52755" s="201"/>
    </row>
    <row r="52756" spans="62:62" x14ac:dyDescent="0.2">
      <c r="BJ52756" s="201"/>
    </row>
    <row r="52757" spans="62:62" x14ac:dyDescent="0.2">
      <c r="BJ52757" s="201"/>
    </row>
    <row r="52758" spans="62:62" x14ac:dyDescent="0.2">
      <c r="BJ52758" s="201"/>
    </row>
    <row r="52759" spans="62:62" x14ac:dyDescent="0.2">
      <c r="BJ52759" s="201"/>
    </row>
    <row r="52760" spans="62:62" x14ac:dyDescent="0.2">
      <c r="BJ52760" s="201"/>
    </row>
    <row r="52761" spans="62:62" x14ac:dyDescent="0.2">
      <c r="BJ52761" s="201"/>
    </row>
    <row r="52762" spans="62:62" x14ac:dyDescent="0.2">
      <c r="BJ52762" s="201"/>
    </row>
    <row r="52763" spans="62:62" x14ac:dyDescent="0.2">
      <c r="BJ52763" s="201"/>
    </row>
    <row r="52764" spans="62:62" x14ac:dyDescent="0.2">
      <c r="BJ52764" s="201"/>
    </row>
    <row r="52765" spans="62:62" x14ac:dyDescent="0.2">
      <c r="BJ52765" s="201"/>
    </row>
    <row r="52766" spans="62:62" x14ac:dyDescent="0.2">
      <c r="BJ52766" s="201"/>
    </row>
    <row r="52767" spans="62:62" x14ac:dyDescent="0.2">
      <c r="BJ52767" s="201"/>
    </row>
    <row r="52768" spans="62:62" x14ac:dyDescent="0.2">
      <c r="BJ52768" s="201"/>
    </row>
    <row r="52769" spans="62:62" x14ac:dyDescent="0.2">
      <c r="BJ52769" s="201"/>
    </row>
    <row r="52770" spans="62:62" x14ac:dyDescent="0.2">
      <c r="BJ52770" s="201"/>
    </row>
    <row r="52771" spans="62:62" x14ac:dyDescent="0.2">
      <c r="BJ52771" s="201"/>
    </row>
    <row r="52772" spans="62:62" x14ac:dyDescent="0.2">
      <c r="BJ52772" s="201"/>
    </row>
    <row r="52773" spans="62:62" x14ac:dyDescent="0.2">
      <c r="BJ52773" s="201"/>
    </row>
    <row r="52774" spans="62:62" x14ac:dyDescent="0.2">
      <c r="BJ52774" s="201"/>
    </row>
    <row r="52775" spans="62:62" x14ac:dyDescent="0.2">
      <c r="BJ52775" s="201"/>
    </row>
    <row r="52776" spans="62:62" x14ac:dyDescent="0.2">
      <c r="BJ52776" s="201"/>
    </row>
    <row r="52777" spans="62:62" x14ac:dyDescent="0.2">
      <c r="BJ52777" s="201"/>
    </row>
    <row r="52778" spans="62:62" x14ac:dyDescent="0.2">
      <c r="BJ52778" s="201"/>
    </row>
    <row r="52779" spans="62:62" x14ac:dyDescent="0.2">
      <c r="BJ52779" s="201"/>
    </row>
    <row r="52780" spans="62:62" x14ac:dyDescent="0.2">
      <c r="BJ52780" s="201"/>
    </row>
    <row r="52781" spans="62:62" x14ac:dyDescent="0.2">
      <c r="BJ52781" s="201"/>
    </row>
    <row r="52782" spans="62:62" x14ac:dyDescent="0.2">
      <c r="BJ52782" s="201"/>
    </row>
    <row r="52783" spans="62:62" x14ac:dyDescent="0.2">
      <c r="BJ52783" s="201"/>
    </row>
    <row r="52784" spans="62:62" x14ac:dyDescent="0.2">
      <c r="BJ52784" s="201"/>
    </row>
    <row r="52785" spans="62:62" x14ac:dyDescent="0.2">
      <c r="BJ52785" s="201"/>
    </row>
    <row r="52786" spans="62:62" x14ac:dyDescent="0.2">
      <c r="BJ52786" s="201"/>
    </row>
    <row r="52787" spans="62:62" x14ac:dyDescent="0.2">
      <c r="BJ52787" s="201"/>
    </row>
    <row r="52788" spans="62:62" x14ac:dyDescent="0.2">
      <c r="BJ52788" s="201"/>
    </row>
    <row r="52789" spans="62:62" x14ac:dyDescent="0.2">
      <c r="BJ52789" s="201"/>
    </row>
    <row r="52790" spans="62:62" x14ac:dyDescent="0.2">
      <c r="BJ52790" s="201"/>
    </row>
    <row r="52791" spans="62:62" x14ac:dyDescent="0.2">
      <c r="BJ52791" s="201"/>
    </row>
    <row r="52792" spans="62:62" x14ac:dyDescent="0.2">
      <c r="BJ52792" s="201"/>
    </row>
    <row r="52793" spans="62:62" x14ac:dyDescent="0.2">
      <c r="BJ52793" s="201"/>
    </row>
    <row r="52794" spans="62:62" x14ac:dyDescent="0.2">
      <c r="BJ52794" s="201"/>
    </row>
    <row r="52795" spans="62:62" x14ac:dyDescent="0.2">
      <c r="BJ52795" s="201"/>
    </row>
    <row r="52796" spans="62:62" x14ac:dyDescent="0.2">
      <c r="BJ52796" s="201"/>
    </row>
    <row r="52797" spans="62:62" x14ac:dyDescent="0.2">
      <c r="BJ52797" s="201"/>
    </row>
    <row r="52798" spans="62:62" x14ac:dyDescent="0.2">
      <c r="BJ52798" s="201"/>
    </row>
    <row r="52799" spans="62:62" x14ac:dyDescent="0.2">
      <c r="BJ52799" s="201"/>
    </row>
    <row r="52800" spans="62:62" x14ac:dyDescent="0.2">
      <c r="BJ52800" s="201"/>
    </row>
    <row r="52801" spans="62:62" x14ac:dyDescent="0.2">
      <c r="BJ52801" s="201"/>
    </row>
    <row r="52802" spans="62:62" x14ac:dyDescent="0.2">
      <c r="BJ52802" s="201"/>
    </row>
    <row r="52803" spans="62:62" x14ac:dyDescent="0.2">
      <c r="BJ52803" s="201"/>
    </row>
    <row r="52804" spans="62:62" x14ac:dyDescent="0.2">
      <c r="BJ52804" s="201"/>
    </row>
    <row r="52805" spans="62:62" x14ac:dyDescent="0.2">
      <c r="BJ52805" s="201"/>
    </row>
    <row r="52806" spans="62:62" x14ac:dyDescent="0.2">
      <c r="BJ52806" s="201"/>
    </row>
    <row r="52807" spans="62:62" x14ac:dyDescent="0.2">
      <c r="BJ52807" s="201"/>
    </row>
    <row r="52808" spans="62:62" x14ac:dyDescent="0.2">
      <c r="BJ52808" s="201"/>
    </row>
    <row r="52809" spans="62:62" x14ac:dyDescent="0.2">
      <c r="BJ52809" s="201"/>
    </row>
    <row r="52810" spans="62:62" x14ac:dyDescent="0.2">
      <c r="BJ52810" s="201"/>
    </row>
    <row r="52811" spans="62:62" x14ac:dyDescent="0.2">
      <c r="BJ52811" s="201"/>
    </row>
    <row r="52812" spans="62:62" x14ac:dyDescent="0.2">
      <c r="BJ52812" s="201"/>
    </row>
    <row r="52813" spans="62:62" x14ac:dyDescent="0.2">
      <c r="BJ52813" s="201"/>
    </row>
    <row r="52814" spans="62:62" x14ac:dyDescent="0.2">
      <c r="BJ52814" s="201"/>
    </row>
    <row r="52815" spans="62:62" x14ac:dyDescent="0.2">
      <c r="BJ52815" s="201"/>
    </row>
    <row r="52816" spans="62:62" x14ac:dyDescent="0.2">
      <c r="BJ52816" s="201"/>
    </row>
    <row r="52817" spans="62:62" x14ac:dyDescent="0.2">
      <c r="BJ52817" s="201"/>
    </row>
    <row r="52818" spans="62:62" x14ac:dyDescent="0.2">
      <c r="BJ52818" s="201"/>
    </row>
    <row r="52819" spans="62:62" x14ac:dyDescent="0.2">
      <c r="BJ52819" s="201"/>
    </row>
    <row r="52820" spans="62:62" x14ac:dyDescent="0.2">
      <c r="BJ52820" s="201"/>
    </row>
    <row r="52821" spans="62:62" x14ac:dyDescent="0.2">
      <c r="BJ52821" s="201"/>
    </row>
    <row r="52822" spans="62:62" x14ac:dyDescent="0.2">
      <c r="BJ52822" s="201"/>
    </row>
    <row r="52823" spans="62:62" x14ac:dyDescent="0.2">
      <c r="BJ52823" s="201"/>
    </row>
    <row r="52824" spans="62:62" x14ac:dyDescent="0.2">
      <c r="BJ52824" s="201"/>
    </row>
    <row r="52825" spans="62:62" x14ac:dyDescent="0.2">
      <c r="BJ52825" s="201"/>
    </row>
    <row r="52826" spans="62:62" x14ac:dyDescent="0.2">
      <c r="BJ52826" s="201"/>
    </row>
    <row r="52827" spans="62:62" x14ac:dyDescent="0.2">
      <c r="BJ52827" s="201"/>
    </row>
    <row r="52828" spans="62:62" x14ac:dyDescent="0.2">
      <c r="BJ52828" s="201"/>
    </row>
    <row r="52829" spans="62:62" x14ac:dyDescent="0.2">
      <c r="BJ52829" s="201"/>
    </row>
    <row r="52830" spans="62:62" x14ac:dyDescent="0.2">
      <c r="BJ52830" s="201"/>
    </row>
    <row r="52831" spans="62:62" x14ac:dyDescent="0.2">
      <c r="BJ52831" s="201"/>
    </row>
    <row r="52832" spans="62:62" x14ac:dyDescent="0.2">
      <c r="BJ52832" s="201"/>
    </row>
    <row r="52833" spans="62:62" x14ac:dyDescent="0.2">
      <c r="BJ52833" s="201"/>
    </row>
    <row r="52834" spans="62:62" x14ac:dyDescent="0.2">
      <c r="BJ52834" s="201"/>
    </row>
    <row r="52835" spans="62:62" x14ac:dyDescent="0.2">
      <c r="BJ52835" s="201"/>
    </row>
    <row r="52836" spans="62:62" x14ac:dyDescent="0.2">
      <c r="BJ52836" s="201"/>
    </row>
    <row r="52837" spans="62:62" x14ac:dyDescent="0.2">
      <c r="BJ52837" s="201"/>
    </row>
    <row r="52838" spans="62:62" x14ac:dyDescent="0.2">
      <c r="BJ52838" s="201"/>
    </row>
    <row r="52839" spans="62:62" x14ac:dyDescent="0.2">
      <c r="BJ52839" s="201"/>
    </row>
    <row r="52840" spans="62:62" x14ac:dyDescent="0.2">
      <c r="BJ52840" s="201"/>
    </row>
    <row r="52841" spans="62:62" x14ac:dyDescent="0.2">
      <c r="BJ52841" s="201"/>
    </row>
    <row r="52842" spans="62:62" x14ac:dyDescent="0.2">
      <c r="BJ52842" s="201"/>
    </row>
    <row r="52843" spans="62:62" x14ac:dyDescent="0.2">
      <c r="BJ52843" s="201"/>
    </row>
    <row r="52844" spans="62:62" x14ac:dyDescent="0.2">
      <c r="BJ52844" s="201"/>
    </row>
    <row r="52845" spans="62:62" x14ac:dyDescent="0.2">
      <c r="BJ52845" s="201"/>
    </row>
    <row r="52846" spans="62:62" x14ac:dyDescent="0.2">
      <c r="BJ52846" s="201"/>
    </row>
    <row r="52847" spans="62:62" x14ac:dyDescent="0.2">
      <c r="BJ52847" s="201"/>
    </row>
    <row r="52848" spans="62:62" x14ac:dyDescent="0.2">
      <c r="BJ52848" s="201"/>
    </row>
    <row r="52849" spans="62:62" x14ac:dyDescent="0.2">
      <c r="BJ52849" s="201"/>
    </row>
    <row r="52850" spans="62:62" x14ac:dyDescent="0.2">
      <c r="BJ52850" s="201"/>
    </row>
    <row r="52851" spans="62:62" x14ac:dyDescent="0.2">
      <c r="BJ52851" s="201"/>
    </row>
    <row r="52852" spans="62:62" x14ac:dyDescent="0.2">
      <c r="BJ52852" s="201"/>
    </row>
    <row r="52853" spans="62:62" x14ac:dyDescent="0.2">
      <c r="BJ52853" s="201"/>
    </row>
    <row r="52854" spans="62:62" x14ac:dyDescent="0.2">
      <c r="BJ52854" s="201"/>
    </row>
    <row r="52855" spans="62:62" x14ac:dyDescent="0.2">
      <c r="BJ52855" s="201"/>
    </row>
    <row r="52856" spans="62:62" x14ac:dyDescent="0.2">
      <c r="BJ52856" s="201"/>
    </row>
    <row r="52857" spans="62:62" x14ac:dyDescent="0.2">
      <c r="BJ52857" s="201"/>
    </row>
    <row r="52858" spans="62:62" x14ac:dyDescent="0.2">
      <c r="BJ52858" s="201"/>
    </row>
    <row r="52859" spans="62:62" x14ac:dyDescent="0.2">
      <c r="BJ52859" s="201"/>
    </row>
    <row r="52860" spans="62:62" x14ac:dyDescent="0.2">
      <c r="BJ52860" s="201"/>
    </row>
    <row r="52861" spans="62:62" x14ac:dyDescent="0.2">
      <c r="BJ52861" s="201"/>
    </row>
    <row r="52862" spans="62:62" x14ac:dyDescent="0.2">
      <c r="BJ52862" s="201"/>
    </row>
    <row r="52863" spans="62:62" x14ac:dyDescent="0.2">
      <c r="BJ52863" s="201"/>
    </row>
    <row r="52864" spans="62:62" x14ac:dyDescent="0.2">
      <c r="BJ52864" s="201"/>
    </row>
    <row r="52865" spans="62:62" x14ac:dyDescent="0.2">
      <c r="BJ52865" s="201"/>
    </row>
    <row r="52866" spans="62:62" x14ac:dyDescent="0.2">
      <c r="BJ52866" s="201"/>
    </row>
    <row r="52867" spans="62:62" x14ac:dyDescent="0.2">
      <c r="BJ52867" s="201"/>
    </row>
    <row r="52868" spans="62:62" x14ac:dyDescent="0.2">
      <c r="BJ52868" s="201"/>
    </row>
    <row r="52869" spans="62:62" x14ac:dyDescent="0.2">
      <c r="BJ52869" s="201"/>
    </row>
    <row r="52870" spans="62:62" x14ac:dyDescent="0.2">
      <c r="BJ52870" s="201"/>
    </row>
    <row r="52871" spans="62:62" x14ac:dyDescent="0.2">
      <c r="BJ52871" s="201"/>
    </row>
    <row r="52872" spans="62:62" x14ac:dyDescent="0.2">
      <c r="BJ52872" s="201"/>
    </row>
    <row r="52873" spans="62:62" x14ac:dyDescent="0.2">
      <c r="BJ52873" s="201"/>
    </row>
    <row r="52874" spans="62:62" x14ac:dyDescent="0.2">
      <c r="BJ52874" s="201"/>
    </row>
    <row r="52875" spans="62:62" x14ac:dyDescent="0.2">
      <c r="BJ52875" s="201"/>
    </row>
    <row r="52876" spans="62:62" x14ac:dyDescent="0.2">
      <c r="BJ52876" s="201"/>
    </row>
    <row r="52877" spans="62:62" x14ac:dyDescent="0.2">
      <c r="BJ52877" s="201"/>
    </row>
    <row r="52878" spans="62:62" x14ac:dyDescent="0.2">
      <c r="BJ52878" s="201"/>
    </row>
    <row r="52879" spans="62:62" x14ac:dyDescent="0.2">
      <c r="BJ52879" s="201"/>
    </row>
    <row r="52880" spans="62:62" x14ac:dyDescent="0.2">
      <c r="BJ52880" s="201"/>
    </row>
    <row r="52881" spans="62:62" x14ac:dyDescent="0.2">
      <c r="BJ52881" s="201"/>
    </row>
    <row r="52882" spans="62:62" x14ac:dyDescent="0.2">
      <c r="BJ52882" s="201"/>
    </row>
    <row r="52883" spans="62:62" x14ac:dyDescent="0.2">
      <c r="BJ52883" s="201"/>
    </row>
    <row r="52884" spans="62:62" x14ac:dyDescent="0.2">
      <c r="BJ52884" s="201"/>
    </row>
    <row r="52885" spans="62:62" x14ac:dyDescent="0.2">
      <c r="BJ52885" s="201"/>
    </row>
    <row r="52886" spans="62:62" x14ac:dyDescent="0.2">
      <c r="BJ52886" s="201"/>
    </row>
    <row r="52887" spans="62:62" x14ac:dyDescent="0.2">
      <c r="BJ52887" s="201"/>
    </row>
    <row r="52888" spans="62:62" x14ac:dyDescent="0.2">
      <c r="BJ52888" s="201"/>
    </row>
    <row r="52889" spans="62:62" x14ac:dyDescent="0.2">
      <c r="BJ52889" s="201"/>
    </row>
    <row r="52890" spans="62:62" x14ac:dyDescent="0.2">
      <c r="BJ52890" s="201"/>
    </row>
    <row r="52891" spans="62:62" x14ac:dyDescent="0.2">
      <c r="BJ52891" s="201"/>
    </row>
    <row r="52892" spans="62:62" x14ac:dyDescent="0.2">
      <c r="BJ52892" s="201"/>
    </row>
    <row r="52893" spans="62:62" x14ac:dyDescent="0.2">
      <c r="BJ52893" s="201"/>
    </row>
    <row r="52894" spans="62:62" x14ac:dyDescent="0.2">
      <c r="BJ52894" s="201"/>
    </row>
    <row r="52895" spans="62:62" x14ac:dyDescent="0.2">
      <c r="BJ52895" s="201"/>
    </row>
    <row r="52896" spans="62:62" x14ac:dyDescent="0.2">
      <c r="BJ52896" s="201"/>
    </row>
    <row r="52897" spans="62:62" x14ac:dyDescent="0.2">
      <c r="BJ52897" s="201"/>
    </row>
    <row r="52898" spans="62:62" x14ac:dyDescent="0.2">
      <c r="BJ52898" s="201"/>
    </row>
    <row r="52899" spans="62:62" x14ac:dyDescent="0.2">
      <c r="BJ52899" s="201"/>
    </row>
    <row r="52900" spans="62:62" x14ac:dyDescent="0.2">
      <c r="BJ52900" s="201"/>
    </row>
    <row r="52901" spans="62:62" x14ac:dyDescent="0.2">
      <c r="BJ52901" s="201"/>
    </row>
    <row r="52902" spans="62:62" x14ac:dyDescent="0.2">
      <c r="BJ52902" s="201"/>
    </row>
    <row r="52903" spans="62:62" x14ac:dyDescent="0.2">
      <c r="BJ52903" s="201"/>
    </row>
    <row r="52904" spans="62:62" x14ac:dyDescent="0.2">
      <c r="BJ52904" s="201"/>
    </row>
    <row r="52905" spans="62:62" x14ac:dyDescent="0.2">
      <c r="BJ52905" s="201"/>
    </row>
    <row r="52906" spans="62:62" x14ac:dyDescent="0.2">
      <c r="BJ52906" s="201"/>
    </row>
    <row r="52907" spans="62:62" x14ac:dyDescent="0.2">
      <c r="BJ52907" s="201"/>
    </row>
    <row r="52908" spans="62:62" x14ac:dyDescent="0.2">
      <c r="BJ52908" s="201"/>
    </row>
    <row r="52909" spans="62:62" x14ac:dyDescent="0.2">
      <c r="BJ52909" s="201"/>
    </row>
    <row r="52910" spans="62:62" x14ac:dyDescent="0.2">
      <c r="BJ52910" s="201"/>
    </row>
    <row r="52911" spans="62:62" x14ac:dyDescent="0.2">
      <c r="BJ52911" s="201"/>
    </row>
    <row r="52912" spans="62:62" x14ac:dyDescent="0.2">
      <c r="BJ52912" s="201"/>
    </row>
    <row r="52913" spans="62:62" x14ac:dyDescent="0.2">
      <c r="BJ52913" s="201"/>
    </row>
    <row r="52914" spans="62:62" x14ac:dyDescent="0.2">
      <c r="BJ52914" s="201"/>
    </row>
    <row r="52915" spans="62:62" x14ac:dyDescent="0.2">
      <c r="BJ52915" s="201"/>
    </row>
    <row r="52916" spans="62:62" x14ac:dyDescent="0.2">
      <c r="BJ52916" s="201"/>
    </row>
    <row r="52917" spans="62:62" x14ac:dyDescent="0.2">
      <c r="BJ52917" s="201"/>
    </row>
    <row r="52918" spans="62:62" x14ac:dyDescent="0.2">
      <c r="BJ52918" s="201"/>
    </row>
    <row r="52919" spans="62:62" x14ac:dyDescent="0.2">
      <c r="BJ52919" s="201"/>
    </row>
    <row r="52920" spans="62:62" x14ac:dyDescent="0.2">
      <c r="BJ52920" s="201"/>
    </row>
    <row r="52921" spans="62:62" x14ac:dyDescent="0.2">
      <c r="BJ52921" s="201"/>
    </row>
    <row r="52922" spans="62:62" x14ac:dyDescent="0.2">
      <c r="BJ52922" s="201"/>
    </row>
    <row r="52923" spans="62:62" x14ac:dyDescent="0.2">
      <c r="BJ52923" s="201"/>
    </row>
    <row r="52924" spans="62:62" x14ac:dyDescent="0.2">
      <c r="BJ52924" s="201"/>
    </row>
    <row r="52925" spans="62:62" x14ac:dyDescent="0.2">
      <c r="BJ52925" s="201"/>
    </row>
    <row r="52926" spans="62:62" x14ac:dyDescent="0.2">
      <c r="BJ52926" s="201"/>
    </row>
    <row r="52927" spans="62:62" x14ac:dyDescent="0.2">
      <c r="BJ52927" s="201"/>
    </row>
    <row r="52928" spans="62:62" x14ac:dyDescent="0.2">
      <c r="BJ52928" s="201"/>
    </row>
    <row r="52929" spans="62:62" x14ac:dyDescent="0.2">
      <c r="BJ52929" s="201"/>
    </row>
    <row r="52930" spans="62:62" x14ac:dyDescent="0.2">
      <c r="BJ52930" s="201"/>
    </row>
    <row r="52931" spans="62:62" x14ac:dyDescent="0.2">
      <c r="BJ52931" s="201"/>
    </row>
    <row r="52932" spans="62:62" x14ac:dyDescent="0.2">
      <c r="BJ52932" s="201"/>
    </row>
    <row r="52933" spans="62:62" x14ac:dyDescent="0.2">
      <c r="BJ52933" s="201"/>
    </row>
    <row r="52934" spans="62:62" x14ac:dyDescent="0.2">
      <c r="BJ52934" s="201"/>
    </row>
    <row r="52935" spans="62:62" x14ac:dyDescent="0.2">
      <c r="BJ52935" s="201"/>
    </row>
    <row r="52936" spans="62:62" x14ac:dyDescent="0.2">
      <c r="BJ52936" s="201"/>
    </row>
    <row r="52937" spans="62:62" x14ac:dyDescent="0.2">
      <c r="BJ52937" s="201"/>
    </row>
    <row r="52938" spans="62:62" x14ac:dyDescent="0.2">
      <c r="BJ52938" s="201"/>
    </row>
    <row r="52939" spans="62:62" x14ac:dyDescent="0.2">
      <c r="BJ52939" s="201"/>
    </row>
    <row r="52940" spans="62:62" x14ac:dyDescent="0.2">
      <c r="BJ52940" s="201"/>
    </row>
    <row r="52941" spans="62:62" x14ac:dyDescent="0.2">
      <c r="BJ52941" s="201"/>
    </row>
    <row r="52942" spans="62:62" x14ac:dyDescent="0.2">
      <c r="BJ52942" s="201"/>
    </row>
    <row r="52943" spans="62:62" x14ac:dyDescent="0.2">
      <c r="BJ52943" s="201"/>
    </row>
    <row r="52944" spans="62:62" x14ac:dyDescent="0.2">
      <c r="BJ52944" s="201"/>
    </row>
    <row r="52945" spans="62:62" x14ac:dyDescent="0.2">
      <c r="BJ52945" s="201"/>
    </row>
    <row r="52946" spans="62:62" x14ac:dyDescent="0.2">
      <c r="BJ52946" s="201"/>
    </row>
    <row r="52947" spans="62:62" x14ac:dyDescent="0.2">
      <c r="BJ52947" s="201"/>
    </row>
    <row r="52948" spans="62:62" x14ac:dyDescent="0.2">
      <c r="BJ52948" s="201"/>
    </row>
    <row r="52949" spans="62:62" x14ac:dyDescent="0.2">
      <c r="BJ52949" s="201"/>
    </row>
    <row r="52950" spans="62:62" x14ac:dyDescent="0.2">
      <c r="BJ52950" s="201"/>
    </row>
    <row r="52951" spans="62:62" x14ac:dyDescent="0.2">
      <c r="BJ52951" s="201"/>
    </row>
    <row r="52952" spans="62:62" x14ac:dyDescent="0.2">
      <c r="BJ52952" s="201"/>
    </row>
    <row r="52953" spans="62:62" x14ac:dyDescent="0.2">
      <c r="BJ52953" s="201"/>
    </row>
    <row r="52954" spans="62:62" x14ac:dyDescent="0.2">
      <c r="BJ52954" s="201"/>
    </row>
    <row r="52955" spans="62:62" x14ac:dyDescent="0.2">
      <c r="BJ52955" s="201"/>
    </row>
    <row r="52956" spans="62:62" x14ac:dyDescent="0.2">
      <c r="BJ52956" s="201"/>
    </row>
    <row r="52957" spans="62:62" x14ac:dyDescent="0.2">
      <c r="BJ52957" s="201"/>
    </row>
    <row r="52958" spans="62:62" x14ac:dyDescent="0.2">
      <c r="BJ52958" s="201"/>
    </row>
    <row r="52959" spans="62:62" x14ac:dyDescent="0.2">
      <c r="BJ52959" s="201"/>
    </row>
    <row r="52960" spans="62:62" x14ac:dyDescent="0.2">
      <c r="BJ52960" s="201"/>
    </row>
    <row r="52961" spans="62:62" x14ac:dyDescent="0.2">
      <c r="BJ52961" s="201"/>
    </row>
    <row r="52962" spans="62:62" x14ac:dyDescent="0.2">
      <c r="BJ52962" s="201"/>
    </row>
    <row r="52963" spans="62:62" x14ac:dyDescent="0.2">
      <c r="BJ52963" s="201"/>
    </row>
    <row r="52964" spans="62:62" x14ac:dyDescent="0.2">
      <c r="BJ52964" s="201"/>
    </row>
    <row r="52965" spans="62:62" x14ac:dyDescent="0.2">
      <c r="BJ52965" s="201"/>
    </row>
    <row r="52966" spans="62:62" x14ac:dyDescent="0.2">
      <c r="BJ52966" s="201"/>
    </row>
    <row r="52967" spans="62:62" x14ac:dyDescent="0.2">
      <c r="BJ52967" s="201"/>
    </row>
    <row r="52968" spans="62:62" x14ac:dyDescent="0.2">
      <c r="BJ52968" s="201"/>
    </row>
    <row r="52969" spans="62:62" x14ac:dyDescent="0.2">
      <c r="BJ52969" s="201"/>
    </row>
    <row r="52970" spans="62:62" x14ac:dyDescent="0.2">
      <c r="BJ52970" s="201"/>
    </row>
    <row r="52971" spans="62:62" x14ac:dyDescent="0.2">
      <c r="BJ52971" s="201"/>
    </row>
    <row r="52972" spans="62:62" x14ac:dyDescent="0.2">
      <c r="BJ52972" s="201"/>
    </row>
    <row r="52973" spans="62:62" x14ac:dyDescent="0.2">
      <c r="BJ52973" s="201"/>
    </row>
    <row r="52974" spans="62:62" x14ac:dyDescent="0.2">
      <c r="BJ52974" s="201"/>
    </row>
    <row r="52975" spans="62:62" x14ac:dyDescent="0.2">
      <c r="BJ52975" s="201"/>
    </row>
    <row r="52976" spans="62:62" x14ac:dyDescent="0.2">
      <c r="BJ52976" s="201"/>
    </row>
    <row r="52977" spans="62:62" x14ac:dyDescent="0.2">
      <c r="BJ52977" s="201"/>
    </row>
    <row r="52978" spans="62:62" x14ac:dyDescent="0.2">
      <c r="BJ52978" s="201"/>
    </row>
    <row r="52979" spans="62:62" x14ac:dyDescent="0.2">
      <c r="BJ52979" s="201"/>
    </row>
    <row r="52980" spans="62:62" x14ac:dyDescent="0.2">
      <c r="BJ52980" s="201"/>
    </row>
    <row r="52981" spans="62:62" x14ac:dyDescent="0.2">
      <c r="BJ52981" s="201"/>
    </row>
    <row r="52982" spans="62:62" x14ac:dyDescent="0.2">
      <c r="BJ52982" s="201"/>
    </row>
    <row r="52983" spans="62:62" x14ac:dyDescent="0.2">
      <c r="BJ52983" s="201"/>
    </row>
    <row r="52984" spans="62:62" x14ac:dyDescent="0.2">
      <c r="BJ52984" s="201"/>
    </row>
    <row r="52985" spans="62:62" x14ac:dyDescent="0.2">
      <c r="BJ52985" s="201"/>
    </row>
    <row r="52986" spans="62:62" x14ac:dyDescent="0.2">
      <c r="BJ52986" s="201"/>
    </row>
    <row r="52987" spans="62:62" x14ac:dyDescent="0.2">
      <c r="BJ52987" s="201"/>
    </row>
    <row r="52988" spans="62:62" x14ac:dyDescent="0.2">
      <c r="BJ52988" s="201"/>
    </row>
    <row r="52989" spans="62:62" x14ac:dyDescent="0.2">
      <c r="BJ52989" s="201"/>
    </row>
    <row r="52990" spans="62:62" x14ac:dyDescent="0.2">
      <c r="BJ52990" s="201"/>
    </row>
    <row r="52991" spans="62:62" x14ac:dyDescent="0.2">
      <c r="BJ52991" s="201"/>
    </row>
    <row r="52992" spans="62:62" x14ac:dyDescent="0.2">
      <c r="BJ52992" s="201"/>
    </row>
    <row r="52993" spans="62:62" x14ac:dyDescent="0.2">
      <c r="BJ52993" s="201"/>
    </row>
    <row r="52994" spans="62:62" x14ac:dyDescent="0.2">
      <c r="BJ52994" s="201"/>
    </row>
    <row r="52995" spans="62:62" x14ac:dyDescent="0.2">
      <c r="BJ52995" s="201"/>
    </row>
    <row r="52996" spans="62:62" x14ac:dyDescent="0.2">
      <c r="BJ52996" s="201"/>
    </row>
    <row r="52997" spans="62:62" x14ac:dyDescent="0.2">
      <c r="BJ52997" s="201"/>
    </row>
    <row r="52998" spans="62:62" x14ac:dyDescent="0.2">
      <c r="BJ52998" s="201"/>
    </row>
    <row r="52999" spans="62:62" x14ac:dyDescent="0.2">
      <c r="BJ52999" s="201"/>
    </row>
    <row r="53000" spans="62:62" x14ac:dyDescent="0.2">
      <c r="BJ53000" s="201"/>
    </row>
    <row r="53001" spans="62:62" x14ac:dyDescent="0.2">
      <c r="BJ53001" s="201"/>
    </row>
    <row r="53002" spans="62:62" x14ac:dyDescent="0.2">
      <c r="BJ53002" s="201"/>
    </row>
    <row r="53003" spans="62:62" x14ac:dyDescent="0.2">
      <c r="BJ53003" s="201"/>
    </row>
    <row r="53004" spans="62:62" x14ac:dyDescent="0.2">
      <c r="BJ53004" s="201"/>
    </row>
    <row r="53005" spans="62:62" x14ac:dyDescent="0.2">
      <c r="BJ53005" s="201"/>
    </row>
    <row r="53006" spans="62:62" x14ac:dyDescent="0.2">
      <c r="BJ53006" s="201"/>
    </row>
    <row r="53007" spans="62:62" x14ac:dyDescent="0.2">
      <c r="BJ53007" s="201"/>
    </row>
    <row r="53008" spans="62:62" x14ac:dyDescent="0.2">
      <c r="BJ53008" s="201"/>
    </row>
    <row r="53009" spans="62:62" x14ac:dyDescent="0.2">
      <c r="BJ53009" s="201"/>
    </row>
    <row r="53010" spans="62:62" x14ac:dyDescent="0.2">
      <c r="BJ53010" s="201"/>
    </row>
    <row r="53011" spans="62:62" x14ac:dyDescent="0.2">
      <c r="BJ53011" s="201"/>
    </row>
    <row r="53012" spans="62:62" x14ac:dyDescent="0.2">
      <c r="BJ53012" s="201"/>
    </row>
    <row r="53013" spans="62:62" x14ac:dyDescent="0.2">
      <c r="BJ53013" s="201"/>
    </row>
    <row r="53014" spans="62:62" x14ac:dyDescent="0.2">
      <c r="BJ53014" s="201"/>
    </row>
    <row r="53015" spans="62:62" x14ac:dyDescent="0.2">
      <c r="BJ53015" s="201"/>
    </row>
    <row r="53016" spans="62:62" x14ac:dyDescent="0.2">
      <c r="BJ53016" s="201"/>
    </row>
    <row r="53017" spans="62:62" x14ac:dyDescent="0.2">
      <c r="BJ53017" s="201"/>
    </row>
    <row r="53018" spans="62:62" x14ac:dyDescent="0.2">
      <c r="BJ53018" s="201"/>
    </row>
    <row r="53019" spans="62:62" x14ac:dyDescent="0.2">
      <c r="BJ53019" s="201"/>
    </row>
    <row r="53020" spans="62:62" x14ac:dyDescent="0.2">
      <c r="BJ53020" s="201"/>
    </row>
    <row r="53021" spans="62:62" x14ac:dyDescent="0.2">
      <c r="BJ53021" s="201"/>
    </row>
    <row r="53022" spans="62:62" x14ac:dyDescent="0.2">
      <c r="BJ53022" s="201"/>
    </row>
    <row r="53023" spans="62:62" x14ac:dyDescent="0.2">
      <c r="BJ53023" s="201"/>
    </row>
    <row r="53024" spans="62:62" x14ac:dyDescent="0.2">
      <c r="BJ53024" s="201"/>
    </row>
    <row r="53025" spans="62:62" x14ac:dyDescent="0.2">
      <c r="BJ53025" s="201"/>
    </row>
    <row r="53026" spans="62:62" x14ac:dyDescent="0.2">
      <c r="BJ53026" s="201"/>
    </row>
    <row r="53027" spans="62:62" x14ac:dyDescent="0.2">
      <c r="BJ53027" s="201"/>
    </row>
    <row r="53028" spans="62:62" x14ac:dyDescent="0.2">
      <c r="BJ53028" s="201"/>
    </row>
    <row r="53029" spans="62:62" x14ac:dyDescent="0.2">
      <c r="BJ53029" s="201"/>
    </row>
    <row r="53030" spans="62:62" x14ac:dyDescent="0.2">
      <c r="BJ53030" s="201"/>
    </row>
    <row r="53031" spans="62:62" x14ac:dyDescent="0.2">
      <c r="BJ53031" s="201"/>
    </row>
    <row r="53032" spans="62:62" x14ac:dyDescent="0.2">
      <c r="BJ53032" s="201"/>
    </row>
    <row r="53033" spans="62:62" x14ac:dyDescent="0.2">
      <c r="BJ53033" s="201"/>
    </row>
    <row r="53034" spans="62:62" x14ac:dyDescent="0.2">
      <c r="BJ53034" s="201"/>
    </row>
    <row r="53035" spans="62:62" x14ac:dyDescent="0.2">
      <c r="BJ53035" s="201"/>
    </row>
    <row r="53036" spans="62:62" x14ac:dyDescent="0.2">
      <c r="BJ53036" s="201"/>
    </row>
    <row r="53037" spans="62:62" x14ac:dyDescent="0.2">
      <c r="BJ53037" s="201"/>
    </row>
    <row r="53038" spans="62:62" x14ac:dyDescent="0.2">
      <c r="BJ53038" s="201"/>
    </row>
    <row r="53039" spans="62:62" x14ac:dyDescent="0.2">
      <c r="BJ53039" s="201"/>
    </row>
    <row r="53040" spans="62:62" x14ac:dyDescent="0.2">
      <c r="BJ53040" s="201"/>
    </row>
    <row r="53041" spans="62:62" x14ac:dyDescent="0.2">
      <c r="BJ53041" s="201"/>
    </row>
    <row r="53042" spans="62:62" x14ac:dyDescent="0.2">
      <c r="BJ53042" s="201"/>
    </row>
    <row r="53043" spans="62:62" x14ac:dyDescent="0.2">
      <c r="BJ53043" s="201"/>
    </row>
    <row r="53044" spans="62:62" x14ac:dyDescent="0.2">
      <c r="BJ53044" s="201"/>
    </row>
    <row r="53045" spans="62:62" x14ac:dyDescent="0.2">
      <c r="BJ53045" s="201"/>
    </row>
    <row r="53046" spans="62:62" x14ac:dyDescent="0.2">
      <c r="BJ53046" s="201"/>
    </row>
    <row r="53047" spans="62:62" x14ac:dyDescent="0.2">
      <c r="BJ53047" s="201"/>
    </row>
    <row r="53048" spans="62:62" x14ac:dyDescent="0.2">
      <c r="BJ53048" s="201"/>
    </row>
    <row r="53049" spans="62:62" x14ac:dyDescent="0.2">
      <c r="BJ53049" s="201"/>
    </row>
    <row r="53050" spans="62:62" x14ac:dyDescent="0.2">
      <c r="BJ53050" s="201"/>
    </row>
    <row r="53051" spans="62:62" x14ac:dyDescent="0.2">
      <c r="BJ53051" s="201"/>
    </row>
    <row r="53052" spans="62:62" x14ac:dyDescent="0.2">
      <c r="BJ53052" s="201"/>
    </row>
    <row r="53053" spans="62:62" x14ac:dyDescent="0.2">
      <c r="BJ53053" s="201"/>
    </row>
    <row r="53054" spans="62:62" x14ac:dyDescent="0.2">
      <c r="BJ53054" s="201"/>
    </row>
    <row r="53055" spans="62:62" x14ac:dyDescent="0.2">
      <c r="BJ53055" s="201"/>
    </row>
    <row r="53056" spans="62:62" x14ac:dyDescent="0.2">
      <c r="BJ53056" s="201"/>
    </row>
    <row r="53057" spans="62:62" x14ac:dyDescent="0.2">
      <c r="BJ53057" s="201"/>
    </row>
    <row r="53058" spans="62:62" x14ac:dyDescent="0.2">
      <c r="BJ53058" s="201"/>
    </row>
    <row r="53059" spans="62:62" x14ac:dyDescent="0.2">
      <c r="BJ53059" s="201"/>
    </row>
    <row r="53060" spans="62:62" x14ac:dyDescent="0.2">
      <c r="BJ53060" s="201"/>
    </row>
    <row r="53061" spans="62:62" x14ac:dyDescent="0.2">
      <c r="BJ53061" s="201"/>
    </row>
    <row r="53062" spans="62:62" x14ac:dyDescent="0.2">
      <c r="BJ53062" s="201"/>
    </row>
    <row r="53063" spans="62:62" x14ac:dyDescent="0.2">
      <c r="BJ53063" s="201"/>
    </row>
    <row r="53064" spans="62:62" x14ac:dyDescent="0.2">
      <c r="BJ53064" s="201"/>
    </row>
    <row r="53065" spans="62:62" x14ac:dyDescent="0.2">
      <c r="BJ53065" s="201"/>
    </row>
    <row r="53066" spans="62:62" x14ac:dyDescent="0.2">
      <c r="BJ53066" s="201"/>
    </row>
    <row r="53067" spans="62:62" x14ac:dyDescent="0.2">
      <c r="BJ53067" s="201"/>
    </row>
    <row r="53068" spans="62:62" x14ac:dyDescent="0.2">
      <c r="BJ53068" s="201"/>
    </row>
    <row r="53069" spans="62:62" x14ac:dyDescent="0.2">
      <c r="BJ53069" s="201"/>
    </row>
    <row r="53070" spans="62:62" x14ac:dyDescent="0.2">
      <c r="BJ53070" s="201"/>
    </row>
    <row r="53071" spans="62:62" x14ac:dyDescent="0.2">
      <c r="BJ53071" s="201"/>
    </row>
    <row r="53072" spans="62:62" x14ac:dyDescent="0.2">
      <c r="BJ53072" s="201"/>
    </row>
    <row r="53073" spans="62:62" x14ac:dyDescent="0.2">
      <c r="BJ53073" s="201"/>
    </row>
    <row r="53074" spans="62:62" x14ac:dyDescent="0.2">
      <c r="BJ53074" s="201"/>
    </row>
    <row r="53075" spans="62:62" x14ac:dyDescent="0.2">
      <c r="BJ53075" s="201"/>
    </row>
    <row r="53076" spans="62:62" x14ac:dyDescent="0.2">
      <c r="BJ53076" s="201"/>
    </row>
    <row r="53077" spans="62:62" x14ac:dyDescent="0.2">
      <c r="BJ53077" s="201"/>
    </row>
    <row r="53078" spans="62:62" x14ac:dyDescent="0.2">
      <c r="BJ53078" s="201"/>
    </row>
    <row r="53079" spans="62:62" x14ac:dyDescent="0.2">
      <c r="BJ53079" s="201"/>
    </row>
    <row r="53080" spans="62:62" x14ac:dyDescent="0.2">
      <c r="BJ53080" s="201"/>
    </row>
    <row r="53081" spans="62:62" x14ac:dyDescent="0.2">
      <c r="BJ53081" s="201"/>
    </row>
    <row r="53082" spans="62:62" x14ac:dyDescent="0.2">
      <c r="BJ53082" s="201"/>
    </row>
    <row r="53083" spans="62:62" x14ac:dyDescent="0.2">
      <c r="BJ53083" s="201"/>
    </row>
    <row r="53084" spans="62:62" x14ac:dyDescent="0.2">
      <c r="BJ53084" s="201"/>
    </row>
    <row r="53085" spans="62:62" x14ac:dyDescent="0.2">
      <c r="BJ53085" s="201"/>
    </row>
    <row r="53086" spans="62:62" x14ac:dyDescent="0.2">
      <c r="BJ53086" s="201"/>
    </row>
    <row r="53087" spans="62:62" x14ac:dyDescent="0.2">
      <c r="BJ53087" s="201"/>
    </row>
    <row r="53088" spans="62:62" x14ac:dyDescent="0.2">
      <c r="BJ53088" s="201"/>
    </row>
    <row r="53089" spans="62:62" x14ac:dyDescent="0.2">
      <c r="BJ53089" s="201"/>
    </row>
    <row r="53090" spans="62:62" x14ac:dyDescent="0.2">
      <c r="BJ53090" s="201"/>
    </row>
    <row r="53091" spans="62:62" x14ac:dyDescent="0.2">
      <c r="BJ53091" s="201"/>
    </row>
    <row r="53092" spans="62:62" x14ac:dyDescent="0.2">
      <c r="BJ53092" s="201"/>
    </row>
    <row r="53093" spans="62:62" x14ac:dyDescent="0.2">
      <c r="BJ53093" s="201"/>
    </row>
    <row r="53094" spans="62:62" x14ac:dyDescent="0.2">
      <c r="BJ53094" s="201"/>
    </row>
    <row r="53095" spans="62:62" x14ac:dyDescent="0.2">
      <c r="BJ53095" s="201"/>
    </row>
    <row r="53096" spans="62:62" x14ac:dyDescent="0.2">
      <c r="BJ53096" s="201"/>
    </row>
    <row r="53097" spans="62:62" x14ac:dyDescent="0.2">
      <c r="BJ53097" s="201"/>
    </row>
    <row r="53098" spans="62:62" x14ac:dyDescent="0.2">
      <c r="BJ53098" s="201"/>
    </row>
    <row r="53099" spans="62:62" x14ac:dyDescent="0.2">
      <c r="BJ53099" s="201"/>
    </row>
    <row r="53100" spans="62:62" x14ac:dyDescent="0.2">
      <c r="BJ53100" s="201"/>
    </row>
    <row r="53101" spans="62:62" x14ac:dyDescent="0.2">
      <c r="BJ53101" s="201"/>
    </row>
    <row r="53102" spans="62:62" x14ac:dyDescent="0.2">
      <c r="BJ53102" s="201"/>
    </row>
    <row r="53103" spans="62:62" x14ac:dyDescent="0.2">
      <c r="BJ53103" s="201"/>
    </row>
    <row r="53104" spans="62:62" x14ac:dyDescent="0.2">
      <c r="BJ53104" s="201"/>
    </row>
    <row r="53105" spans="62:62" x14ac:dyDescent="0.2">
      <c r="BJ53105" s="201"/>
    </row>
    <row r="53106" spans="62:62" x14ac:dyDescent="0.2">
      <c r="BJ53106" s="201"/>
    </row>
    <row r="53107" spans="62:62" x14ac:dyDescent="0.2">
      <c r="BJ53107" s="201"/>
    </row>
    <row r="53108" spans="62:62" x14ac:dyDescent="0.2">
      <c r="BJ53108" s="201"/>
    </row>
    <row r="53109" spans="62:62" x14ac:dyDescent="0.2">
      <c r="BJ53109" s="201"/>
    </row>
    <row r="53110" spans="62:62" x14ac:dyDescent="0.2">
      <c r="BJ53110" s="201"/>
    </row>
    <row r="53111" spans="62:62" x14ac:dyDescent="0.2">
      <c r="BJ53111" s="201"/>
    </row>
    <row r="53112" spans="62:62" x14ac:dyDescent="0.2">
      <c r="BJ53112" s="201"/>
    </row>
    <row r="53113" spans="62:62" x14ac:dyDescent="0.2">
      <c r="BJ53113" s="201"/>
    </row>
    <row r="53114" spans="62:62" x14ac:dyDescent="0.2">
      <c r="BJ53114" s="201"/>
    </row>
    <row r="53115" spans="62:62" x14ac:dyDescent="0.2">
      <c r="BJ53115" s="201"/>
    </row>
    <row r="53116" spans="62:62" x14ac:dyDescent="0.2">
      <c r="BJ53116" s="201"/>
    </row>
    <row r="53117" spans="62:62" x14ac:dyDescent="0.2">
      <c r="BJ53117" s="201"/>
    </row>
    <row r="53118" spans="62:62" x14ac:dyDescent="0.2">
      <c r="BJ53118" s="201"/>
    </row>
    <row r="53119" spans="62:62" x14ac:dyDescent="0.2">
      <c r="BJ53119" s="201"/>
    </row>
    <row r="53120" spans="62:62" x14ac:dyDescent="0.2">
      <c r="BJ53120" s="201"/>
    </row>
    <row r="53121" spans="62:62" x14ac:dyDescent="0.2">
      <c r="BJ53121" s="201"/>
    </row>
    <row r="53122" spans="62:62" x14ac:dyDescent="0.2">
      <c r="BJ53122" s="201"/>
    </row>
    <row r="53123" spans="62:62" x14ac:dyDescent="0.2">
      <c r="BJ53123" s="201"/>
    </row>
    <row r="53124" spans="62:62" x14ac:dyDescent="0.2">
      <c r="BJ53124" s="201"/>
    </row>
    <row r="53125" spans="62:62" x14ac:dyDescent="0.2">
      <c r="BJ53125" s="201"/>
    </row>
    <row r="53126" spans="62:62" x14ac:dyDescent="0.2">
      <c r="BJ53126" s="201"/>
    </row>
    <row r="53127" spans="62:62" x14ac:dyDescent="0.2">
      <c r="BJ53127" s="201"/>
    </row>
    <row r="53128" spans="62:62" x14ac:dyDescent="0.2">
      <c r="BJ53128" s="201"/>
    </row>
    <row r="53129" spans="62:62" x14ac:dyDescent="0.2">
      <c r="BJ53129" s="201"/>
    </row>
    <row r="53130" spans="62:62" x14ac:dyDescent="0.2">
      <c r="BJ53130" s="201"/>
    </row>
    <row r="53131" spans="62:62" x14ac:dyDescent="0.2">
      <c r="BJ53131" s="201"/>
    </row>
    <row r="53132" spans="62:62" x14ac:dyDescent="0.2">
      <c r="BJ53132" s="201"/>
    </row>
    <row r="53133" spans="62:62" x14ac:dyDescent="0.2">
      <c r="BJ53133" s="201"/>
    </row>
    <row r="53134" spans="62:62" x14ac:dyDescent="0.2">
      <c r="BJ53134" s="201"/>
    </row>
    <row r="53135" spans="62:62" x14ac:dyDescent="0.2">
      <c r="BJ53135" s="201"/>
    </row>
    <row r="53136" spans="62:62" x14ac:dyDescent="0.2">
      <c r="BJ53136" s="201"/>
    </row>
    <row r="53137" spans="62:62" x14ac:dyDescent="0.2">
      <c r="BJ53137" s="201"/>
    </row>
    <row r="53138" spans="62:62" x14ac:dyDescent="0.2">
      <c r="BJ53138" s="201"/>
    </row>
    <row r="53139" spans="62:62" x14ac:dyDescent="0.2">
      <c r="BJ53139" s="201"/>
    </row>
    <row r="53140" spans="62:62" x14ac:dyDescent="0.2">
      <c r="BJ53140" s="201"/>
    </row>
    <row r="53141" spans="62:62" x14ac:dyDescent="0.2">
      <c r="BJ53141" s="201"/>
    </row>
    <row r="53142" spans="62:62" x14ac:dyDescent="0.2">
      <c r="BJ53142" s="201"/>
    </row>
    <row r="53143" spans="62:62" x14ac:dyDescent="0.2">
      <c r="BJ53143" s="201"/>
    </row>
    <row r="53144" spans="62:62" x14ac:dyDescent="0.2">
      <c r="BJ53144" s="201"/>
    </row>
    <row r="53145" spans="62:62" x14ac:dyDescent="0.2">
      <c r="BJ53145" s="201"/>
    </row>
    <row r="53146" spans="62:62" x14ac:dyDescent="0.2">
      <c r="BJ53146" s="201"/>
    </row>
    <row r="53147" spans="62:62" x14ac:dyDescent="0.2">
      <c r="BJ53147" s="201"/>
    </row>
    <row r="53148" spans="62:62" x14ac:dyDescent="0.2">
      <c r="BJ53148" s="201"/>
    </row>
    <row r="53149" spans="62:62" x14ac:dyDescent="0.2">
      <c r="BJ53149" s="201"/>
    </row>
    <row r="53150" spans="62:62" x14ac:dyDescent="0.2">
      <c r="BJ53150" s="201"/>
    </row>
    <row r="53151" spans="62:62" x14ac:dyDescent="0.2">
      <c r="BJ53151" s="201"/>
    </row>
    <row r="53152" spans="62:62" x14ac:dyDescent="0.2">
      <c r="BJ53152" s="201"/>
    </row>
    <row r="53153" spans="62:62" x14ac:dyDescent="0.2">
      <c r="BJ53153" s="201"/>
    </row>
    <row r="53154" spans="62:62" x14ac:dyDescent="0.2">
      <c r="BJ53154" s="201"/>
    </row>
    <row r="53155" spans="62:62" x14ac:dyDescent="0.2">
      <c r="BJ53155" s="201"/>
    </row>
    <row r="53156" spans="62:62" x14ac:dyDescent="0.2">
      <c r="BJ53156" s="201"/>
    </row>
    <row r="53157" spans="62:62" x14ac:dyDescent="0.2">
      <c r="BJ53157" s="201"/>
    </row>
    <row r="53158" spans="62:62" x14ac:dyDescent="0.2">
      <c r="BJ53158" s="201"/>
    </row>
    <row r="53159" spans="62:62" x14ac:dyDescent="0.2">
      <c r="BJ53159" s="201"/>
    </row>
    <row r="53160" spans="62:62" x14ac:dyDescent="0.2">
      <c r="BJ53160" s="201"/>
    </row>
    <row r="53161" spans="62:62" x14ac:dyDescent="0.2">
      <c r="BJ53161" s="201"/>
    </row>
    <row r="53162" spans="62:62" x14ac:dyDescent="0.2">
      <c r="BJ53162" s="201"/>
    </row>
    <row r="53163" spans="62:62" x14ac:dyDescent="0.2">
      <c r="BJ53163" s="201"/>
    </row>
    <row r="53164" spans="62:62" x14ac:dyDescent="0.2">
      <c r="BJ53164" s="201"/>
    </row>
    <row r="53165" spans="62:62" x14ac:dyDescent="0.2">
      <c r="BJ53165" s="201"/>
    </row>
    <row r="53166" spans="62:62" x14ac:dyDescent="0.2">
      <c r="BJ53166" s="201"/>
    </row>
    <row r="53167" spans="62:62" x14ac:dyDescent="0.2">
      <c r="BJ53167" s="201"/>
    </row>
    <row r="53168" spans="62:62" x14ac:dyDescent="0.2">
      <c r="BJ53168" s="201"/>
    </row>
    <row r="53169" spans="62:62" x14ac:dyDescent="0.2">
      <c r="BJ53169" s="201"/>
    </row>
    <row r="53170" spans="62:62" x14ac:dyDescent="0.2">
      <c r="BJ53170" s="201"/>
    </row>
    <row r="53171" spans="62:62" x14ac:dyDescent="0.2">
      <c r="BJ53171" s="201"/>
    </row>
    <row r="53172" spans="62:62" x14ac:dyDescent="0.2">
      <c r="BJ53172" s="201"/>
    </row>
    <row r="53173" spans="62:62" x14ac:dyDescent="0.2">
      <c r="BJ53173" s="201"/>
    </row>
    <row r="53174" spans="62:62" x14ac:dyDescent="0.2">
      <c r="BJ53174" s="201"/>
    </row>
    <row r="53175" spans="62:62" x14ac:dyDescent="0.2">
      <c r="BJ53175" s="201"/>
    </row>
    <row r="53176" spans="62:62" x14ac:dyDescent="0.2">
      <c r="BJ53176" s="201"/>
    </row>
    <row r="53177" spans="62:62" x14ac:dyDescent="0.2">
      <c r="BJ53177" s="201"/>
    </row>
    <row r="53178" spans="62:62" x14ac:dyDescent="0.2">
      <c r="BJ53178" s="201"/>
    </row>
    <row r="53179" spans="62:62" x14ac:dyDescent="0.2">
      <c r="BJ53179" s="201"/>
    </row>
    <row r="53180" spans="62:62" x14ac:dyDescent="0.2">
      <c r="BJ53180" s="201"/>
    </row>
    <row r="53181" spans="62:62" x14ac:dyDescent="0.2">
      <c r="BJ53181" s="201"/>
    </row>
    <row r="53182" spans="62:62" x14ac:dyDescent="0.2">
      <c r="BJ53182" s="201"/>
    </row>
    <row r="53183" spans="62:62" x14ac:dyDescent="0.2">
      <c r="BJ53183" s="201"/>
    </row>
    <row r="53184" spans="62:62" x14ac:dyDescent="0.2">
      <c r="BJ53184" s="201"/>
    </row>
    <row r="53185" spans="62:62" x14ac:dyDescent="0.2">
      <c r="BJ53185" s="201"/>
    </row>
    <row r="53186" spans="62:62" x14ac:dyDescent="0.2">
      <c r="BJ53186" s="201"/>
    </row>
    <row r="53187" spans="62:62" x14ac:dyDescent="0.2">
      <c r="BJ53187" s="201"/>
    </row>
    <row r="53188" spans="62:62" x14ac:dyDescent="0.2">
      <c r="BJ53188" s="201"/>
    </row>
    <row r="53189" spans="62:62" x14ac:dyDescent="0.2">
      <c r="BJ53189" s="201"/>
    </row>
    <row r="53190" spans="62:62" x14ac:dyDescent="0.2">
      <c r="BJ53190" s="201"/>
    </row>
    <row r="53191" spans="62:62" x14ac:dyDescent="0.2">
      <c r="BJ53191" s="201"/>
    </row>
    <row r="53192" spans="62:62" x14ac:dyDescent="0.2">
      <c r="BJ53192" s="201"/>
    </row>
    <row r="53193" spans="62:62" x14ac:dyDescent="0.2">
      <c r="BJ53193" s="201"/>
    </row>
    <row r="53194" spans="62:62" x14ac:dyDescent="0.2">
      <c r="BJ53194" s="201"/>
    </row>
    <row r="53195" spans="62:62" x14ac:dyDescent="0.2">
      <c r="BJ53195" s="201"/>
    </row>
    <row r="53196" spans="62:62" x14ac:dyDescent="0.2">
      <c r="BJ53196" s="201"/>
    </row>
    <row r="53197" spans="62:62" x14ac:dyDescent="0.2">
      <c r="BJ53197" s="201"/>
    </row>
    <row r="53198" spans="62:62" x14ac:dyDescent="0.2">
      <c r="BJ53198" s="201"/>
    </row>
    <row r="53199" spans="62:62" x14ac:dyDescent="0.2">
      <c r="BJ53199" s="201"/>
    </row>
    <row r="53200" spans="62:62" x14ac:dyDescent="0.2">
      <c r="BJ53200" s="201"/>
    </row>
    <row r="53201" spans="62:62" x14ac:dyDescent="0.2">
      <c r="BJ53201" s="201"/>
    </row>
    <row r="53202" spans="62:62" x14ac:dyDescent="0.2">
      <c r="BJ53202" s="201"/>
    </row>
    <row r="53203" spans="62:62" x14ac:dyDescent="0.2">
      <c r="BJ53203" s="201"/>
    </row>
    <row r="53204" spans="62:62" x14ac:dyDescent="0.2">
      <c r="BJ53204" s="201"/>
    </row>
    <row r="53205" spans="62:62" x14ac:dyDescent="0.2">
      <c r="BJ53205" s="201"/>
    </row>
    <row r="53206" spans="62:62" x14ac:dyDescent="0.2">
      <c r="BJ53206" s="201"/>
    </row>
    <row r="53207" spans="62:62" x14ac:dyDescent="0.2">
      <c r="BJ53207" s="201"/>
    </row>
    <row r="53208" spans="62:62" x14ac:dyDescent="0.2">
      <c r="BJ53208" s="201"/>
    </row>
    <row r="53209" spans="62:62" x14ac:dyDescent="0.2">
      <c r="BJ53209" s="201"/>
    </row>
    <row r="53210" spans="62:62" x14ac:dyDescent="0.2">
      <c r="BJ53210" s="201"/>
    </row>
    <row r="53211" spans="62:62" x14ac:dyDescent="0.2">
      <c r="BJ53211" s="201"/>
    </row>
    <row r="53212" spans="62:62" x14ac:dyDescent="0.2">
      <c r="BJ53212" s="201"/>
    </row>
    <row r="53213" spans="62:62" x14ac:dyDescent="0.2">
      <c r="BJ53213" s="201"/>
    </row>
    <row r="53214" spans="62:62" x14ac:dyDescent="0.2">
      <c r="BJ53214" s="201"/>
    </row>
    <row r="53215" spans="62:62" x14ac:dyDescent="0.2">
      <c r="BJ53215" s="201"/>
    </row>
    <row r="53216" spans="62:62" x14ac:dyDescent="0.2">
      <c r="BJ53216" s="201"/>
    </row>
    <row r="53217" spans="62:62" x14ac:dyDescent="0.2">
      <c r="BJ53217" s="201"/>
    </row>
    <row r="53218" spans="62:62" x14ac:dyDescent="0.2">
      <c r="BJ53218" s="201"/>
    </row>
    <row r="53219" spans="62:62" x14ac:dyDescent="0.2">
      <c r="BJ53219" s="201"/>
    </row>
    <row r="53220" spans="62:62" x14ac:dyDescent="0.2">
      <c r="BJ53220" s="201"/>
    </row>
    <row r="53221" spans="62:62" x14ac:dyDescent="0.2">
      <c r="BJ53221" s="201"/>
    </row>
    <row r="53222" spans="62:62" x14ac:dyDescent="0.2">
      <c r="BJ53222" s="201"/>
    </row>
    <row r="53223" spans="62:62" x14ac:dyDescent="0.2">
      <c r="BJ53223" s="201"/>
    </row>
    <row r="53224" spans="62:62" x14ac:dyDescent="0.2">
      <c r="BJ53224" s="201"/>
    </row>
    <row r="53225" spans="62:62" x14ac:dyDescent="0.2">
      <c r="BJ53225" s="201"/>
    </row>
    <row r="53226" spans="62:62" x14ac:dyDescent="0.2">
      <c r="BJ53226" s="201"/>
    </row>
    <row r="53227" spans="62:62" x14ac:dyDescent="0.2">
      <c r="BJ53227" s="201"/>
    </row>
    <row r="53228" spans="62:62" x14ac:dyDescent="0.2">
      <c r="BJ53228" s="201"/>
    </row>
    <row r="53229" spans="62:62" x14ac:dyDescent="0.2">
      <c r="BJ53229" s="201"/>
    </row>
    <row r="53230" spans="62:62" x14ac:dyDescent="0.2">
      <c r="BJ53230" s="201"/>
    </row>
    <row r="53231" spans="62:62" x14ac:dyDescent="0.2">
      <c r="BJ53231" s="201"/>
    </row>
    <row r="53232" spans="62:62" x14ac:dyDescent="0.2">
      <c r="BJ53232" s="201"/>
    </row>
    <row r="53233" spans="62:62" x14ac:dyDescent="0.2">
      <c r="BJ53233" s="201"/>
    </row>
    <row r="53234" spans="62:62" x14ac:dyDescent="0.2">
      <c r="BJ53234" s="201"/>
    </row>
    <row r="53235" spans="62:62" x14ac:dyDescent="0.2">
      <c r="BJ53235" s="201"/>
    </row>
    <row r="53236" spans="62:62" x14ac:dyDescent="0.2">
      <c r="BJ53236" s="201"/>
    </row>
    <row r="53237" spans="62:62" x14ac:dyDescent="0.2">
      <c r="BJ53237" s="201"/>
    </row>
    <row r="53238" spans="62:62" x14ac:dyDescent="0.2">
      <c r="BJ53238" s="201"/>
    </row>
    <row r="53239" spans="62:62" x14ac:dyDescent="0.2">
      <c r="BJ53239" s="201"/>
    </row>
    <row r="53240" spans="62:62" x14ac:dyDescent="0.2">
      <c r="BJ53240" s="201"/>
    </row>
    <row r="53241" spans="62:62" x14ac:dyDescent="0.2">
      <c r="BJ53241" s="201"/>
    </row>
    <row r="53242" spans="62:62" x14ac:dyDescent="0.2">
      <c r="BJ53242" s="201"/>
    </row>
    <row r="53243" spans="62:62" x14ac:dyDescent="0.2">
      <c r="BJ53243" s="201"/>
    </row>
    <row r="53244" spans="62:62" x14ac:dyDescent="0.2">
      <c r="BJ53244" s="201"/>
    </row>
    <row r="53245" spans="62:62" x14ac:dyDescent="0.2">
      <c r="BJ53245" s="201"/>
    </row>
    <row r="53246" spans="62:62" x14ac:dyDescent="0.2">
      <c r="BJ53246" s="201"/>
    </row>
    <row r="53247" spans="62:62" x14ac:dyDescent="0.2">
      <c r="BJ53247" s="201"/>
    </row>
    <row r="53248" spans="62:62" x14ac:dyDescent="0.2">
      <c r="BJ53248" s="201"/>
    </row>
    <row r="53249" spans="62:62" x14ac:dyDescent="0.2">
      <c r="BJ53249" s="201"/>
    </row>
    <row r="53250" spans="62:62" x14ac:dyDescent="0.2">
      <c r="BJ53250" s="201"/>
    </row>
    <row r="53251" spans="62:62" x14ac:dyDescent="0.2">
      <c r="BJ53251" s="201"/>
    </row>
    <row r="53252" spans="62:62" x14ac:dyDescent="0.2">
      <c r="BJ53252" s="201"/>
    </row>
    <row r="53253" spans="62:62" x14ac:dyDescent="0.2">
      <c r="BJ53253" s="201"/>
    </row>
    <row r="53254" spans="62:62" x14ac:dyDescent="0.2">
      <c r="BJ53254" s="201"/>
    </row>
    <row r="53255" spans="62:62" x14ac:dyDescent="0.2">
      <c r="BJ53255" s="201"/>
    </row>
    <row r="53256" spans="62:62" x14ac:dyDescent="0.2">
      <c r="BJ53256" s="201"/>
    </row>
    <row r="53257" spans="62:62" x14ac:dyDescent="0.2">
      <c r="BJ53257" s="201"/>
    </row>
    <row r="53258" spans="62:62" x14ac:dyDescent="0.2">
      <c r="BJ53258" s="201"/>
    </row>
    <row r="53259" spans="62:62" x14ac:dyDescent="0.2">
      <c r="BJ53259" s="201"/>
    </row>
    <row r="53260" spans="62:62" x14ac:dyDescent="0.2">
      <c r="BJ53260" s="201"/>
    </row>
    <row r="53261" spans="62:62" x14ac:dyDescent="0.2">
      <c r="BJ53261" s="201"/>
    </row>
    <row r="53262" spans="62:62" x14ac:dyDescent="0.2">
      <c r="BJ53262" s="201"/>
    </row>
    <row r="53263" spans="62:62" x14ac:dyDescent="0.2">
      <c r="BJ53263" s="201"/>
    </row>
    <row r="53264" spans="62:62" x14ac:dyDescent="0.2">
      <c r="BJ53264" s="201"/>
    </row>
    <row r="53265" spans="62:62" x14ac:dyDescent="0.2">
      <c r="BJ53265" s="201"/>
    </row>
    <row r="53266" spans="62:62" x14ac:dyDescent="0.2">
      <c r="BJ53266" s="201"/>
    </row>
    <row r="53267" spans="62:62" x14ac:dyDescent="0.2">
      <c r="BJ53267" s="201"/>
    </row>
    <row r="53268" spans="62:62" x14ac:dyDescent="0.2">
      <c r="BJ53268" s="201"/>
    </row>
    <row r="53269" spans="62:62" x14ac:dyDescent="0.2">
      <c r="BJ53269" s="201"/>
    </row>
    <row r="53270" spans="62:62" x14ac:dyDescent="0.2">
      <c r="BJ53270" s="201"/>
    </row>
    <row r="53271" spans="62:62" x14ac:dyDescent="0.2">
      <c r="BJ53271" s="201"/>
    </row>
    <row r="53272" spans="62:62" x14ac:dyDescent="0.2">
      <c r="BJ53272" s="201"/>
    </row>
    <row r="53273" spans="62:62" x14ac:dyDescent="0.2">
      <c r="BJ53273" s="201"/>
    </row>
    <row r="53274" spans="62:62" x14ac:dyDescent="0.2">
      <c r="BJ53274" s="201"/>
    </row>
    <row r="53275" spans="62:62" x14ac:dyDescent="0.2">
      <c r="BJ53275" s="201"/>
    </row>
    <row r="53276" spans="62:62" x14ac:dyDescent="0.2">
      <c r="BJ53276" s="201"/>
    </row>
    <row r="53277" spans="62:62" x14ac:dyDescent="0.2">
      <c r="BJ53277" s="201"/>
    </row>
    <row r="53278" spans="62:62" x14ac:dyDescent="0.2">
      <c r="BJ53278" s="201"/>
    </row>
    <row r="53279" spans="62:62" x14ac:dyDescent="0.2">
      <c r="BJ53279" s="201"/>
    </row>
    <row r="53280" spans="62:62" x14ac:dyDescent="0.2">
      <c r="BJ53280" s="201"/>
    </row>
    <row r="53281" spans="62:62" x14ac:dyDescent="0.2">
      <c r="BJ53281" s="201"/>
    </row>
    <row r="53282" spans="62:62" x14ac:dyDescent="0.2">
      <c r="BJ53282" s="201"/>
    </row>
    <row r="53283" spans="62:62" x14ac:dyDescent="0.2">
      <c r="BJ53283" s="201"/>
    </row>
    <row r="53284" spans="62:62" x14ac:dyDescent="0.2">
      <c r="BJ53284" s="201"/>
    </row>
    <row r="53285" spans="62:62" x14ac:dyDescent="0.2">
      <c r="BJ53285" s="201"/>
    </row>
    <row r="53286" spans="62:62" x14ac:dyDescent="0.2">
      <c r="BJ53286" s="201"/>
    </row>
    <row r="53287" spans="62:62" x14ac:dyDescent="0.2">
      <c r="BJ53287" s="201"/>
    </row>
    <row r="53288" spans="62:62" x14ac:dyDescent="0.2">
      <c r="BJ53288" s="201"/>
    </row>
    <row r="53289" spans="62:62" x14ac:dyDescent="0.2">
      <c r="BJ53289" s="201"/>
    </row>
    <row r="53290" spans="62:62" x14ac:dyDescent="0.2">
      <c r="BJ53290" s="201"/>
    </row>
    <row r="53291" spans="62:62" x14ac:dyDescent="0.2">
      <c r="BJ53291" s="201"/>
    </row>
    <row r="53292" spans="62:62" x14ac:dyDescent="0.2">
      <c r="BJ53292" s="201"/>
    </row>
    <row r="53293" spans="62:62" x14ac:dyDescent="0.2">
      <c r="BJ53293" s="201"/>
    </row>
    <row r="53294" spans="62:62" x14ac:dyDescent="0.2">
      <c r="BJ53294" s="201"/>
    </row>
    <row r="53295" spans="62:62" x14ac:dyDescent="0.2">
      <c r="BJ53295" s="201"/>
    </row>
    <row r="53296" spans="62:62" x14ac:dyDescent="0.2">
      <c r="BJ53296" s="201"/>
    </row>
    <row r="53297" spans="62:62" x14ac:dyDescent="0.2">
      <c r="BJ53297" s="201"/>
    </row>
    <row r="53298" spans="62:62" x14ac:dyDescent="0.2">
      <c r="BJ53298" s="201"/>
    </row>
    <row r="53299" spans="62:62" x14ac:dyDescent="0.2">
      <c r="BJ53299" s="201"/>
    </row>
    <row r="53300" spans="62:62" x14ac:dyDescent="0.2">
      <c r="BJ53300" s="201"/>
    </row>
    <row r="53301" spans="62:62" x14ac:dyDescent="0.2">
      <c r="BJ53301" s="201"/>
    </row>
    <row r="53302" spans="62:62" x14ac:dyDescent="0.2">
      <c r="BJ53302" s="201"/>
    </row>
    <row r="53303" spans="62:62" x14ac:dyDescent="0.2">
      <c r="BJ53303" s="201"/>
    </row>
    <row r="53304" spans="62:62" x14ac:dyDescent="0.2">
      <c r="BJ53304" s="201"/>
    </row>
    <row r="53305" spans="62:62" x14ac:dyDescent="0.2">
      <c r="BJ53305" s="201"/>
    </row>
    <row r="53306" spans="62:62" x14ac:dyDescent="0.2">
      <c r="BJ53306" s="201"/>
    </row>
    <row r="53307" spans="62:62" x14ac:dyDescent="0.2">
      <c r="BJ53307" s="201"/>
    </row>
    <row r="53308" spans="62:62" x14ac:dyDescent="0.2">
      <c r="BJ53308" s="201"/>
    </row>
    <row r="53309" spans="62:62" x14ac:dyDescent="0.2">
      <c r="BJ53309" s="201"/>
    </row>
    <row r="53310" spans="62:62" x14ac:dyDescent="0.2">
      <c r="BJ53310" s="201"/>
    </row>
    <row r="53311" spans="62:62" x14ac:dyDescent="0.2">
      <c r="BJ53311" s="201"/>
    </row>
    <row r="53312" spans="62:62" x14ac:dyDescent="0.2">
      <c r="BJ53312" s="201"/>
    </row>
    <row r="53313" spans="62:62" x14ac:dyDescent="0.2">
      <c r="BJ53313" s="201"/>
    </row>
    <row r="53314" spans="62:62" x14ac:dyDescent="0.2">
      <c r="BJ53314" s="201"/>
    </row>
    <row r="53315" spans="62:62" x14ac:dyDescent="0.2">
      <c r="BJ53315" s="201"/>
    </row>
    <row r="53316" spans="62:62" x14ac:dyDescent="0.2">
      <c r="BJ53316" s="201"/>
    </row>
    <row r="53317" spans="62:62" x14ac:dyDescent="0.2">
      <c r="BJ53317" s="201"/>
    </row>
    <row r="53318" spans="62:62" x14ac:dyDescent="0.2">
      <c r="BJ53318" s="201"/>
    </row>
    <row r="53319" spans="62:62" x14ac:dyDescent="0.2">
      <c r="BJ53319" s="201"/>
    </row>
    <row r="53320" spans="62:62" x14ac:dyDescent="0.2">
      <c r="BJ53320" s="201"/>
    </row>
    <row r="53321" spans="62:62" x14ac:dyDescent="0.2">
      <c r="BJ53321" s="201"/>
    </row>
    <row r="53322" spans="62:62" x14ac:dyDescent="0.2">
      <c r="BJ53322" s="201"/>
    </row>
    <row r="53323" spans="62:62" x14ac:dyDescent="0.2">
      <c r="BJ53323" s="201"/>
    </row>
    <row r="53324" spans="62:62" x14ac:dyDescent="0.2">
      <c r="BJ53324" s="201"/>
    </row>
    <row r="53325" spans="62:62" x14ac:dyDescent="0.2">
      <c r="BJ53325" s="201"/>
    </row>
    <row r="53326" spans="62:62" x14ac:dyDescent="0.2">
      <c r="BJ53326" s="201"/>
    </row>
    <row r="53327" spans="62:62" x14ac:dyDescent="0.2">
      <c r="BJ53327" s="201"/>
    </row>
    <row r="53328" spans="62:62" x14ac:dyDescent="0.2">
      <c r="BJ53328" s="201"/>
    </row>
    <row r="53329" spans="62:62" x14ac:dyDescent="0.2">
      <c r="BJ53329" s="201"/>
    </row>
    <row r="53330" spans="62:62" x14ac:dyDescent="0.2">
      <c r="BJ53330" s="201"/>
    </row>
    <row r="53331" spans="62:62" x14ac:dyDescent="0.2">
      <c r="BJ53331" s="201"/>
    </row>
    <row r="53332" spans="62:62" x14ac:dyDescent="0.2">
      <c r="BJ53332" s="201"/>
    </row>
    <row r="53333" spans="62:62" x14ac:dyDescent="0.2">
      <c r="BJ53333" s="201"/>
    </row>
    <row r="53334" spans="62:62" x14ac:dyDescent="0.2">
      <c r="BJ53334" s="201"/>
    </row>
    <row r="53335" spans="62:62" x14ac:dyDescent="0.2">
      <c r="BJ53335" s="201"/>
    </row>
    <row r="53336" spans="62:62" x14ac:dyDescent="0.2">
      <c r="BJ53336" s="201"/>
    </row>
    <row r="53337" spans="62:62" x14ac:dyDescent="0.2">
      <c r="BJ53337" s="201"/>
    </row>
    <row r="53338" spans="62:62" x14ac:dyDescent="0.2">
      <c r="BJ53338" s="201"/>
    </row>
    <row r="53339" spans="62:62" x14ac:dyDescent="0.2">
      <c r="BJ53339" s="201"/>
    </row>
    <row r="53340" spans="62:62" x14ac:dyDescent="0.2">
      <c r="BJ53340" s="201"/>
    </row>
    <row r="53341" spans="62:62" x14ac:dyDescent="0.2">
      <c r="BJ53341" s="201"/>
    </row>
    <row r="53342" spans="62:62" x14ac:dyDescent="0.2">
      <c r="BJ53342" s="201"/>
    </row>
    <row r="53343" spans="62:62" x14ac:dyDescent="0.2">
      <c r="BJ53343" s="201"/>
    </row>
    <row r="53344" spans="62:62" x14ac:dyDescent="0.2">
      <c r="BJ53344" s="201"/>
    </row>
    <row r="53345" spans="62:62" x14ac:dyDescent="0.2">
      <c r="BJ53345" s="201"/>
    </row>
    <row r="53346" spans="62:62" x14ac:dyDescent="0.2">
      <c r="BJ53346" s="201"/>
    </row>
    <row r="53347" spans="62:62" x14ac:dyDescent="0.2">
      <c r="BJ53347" s="201"/>
    </row>
    <row r="53348" spans="62:62" x14ac:dyDescent="0.2">
      <c r="BJ53348" s="201"/>
    </row>
    <row r="53349" spans="62:62" x14ac:dyDescent="0.2">
      <c r="BJ53349" s="201"/>
    </row>
    <row r="53350" spans="62:62" x14ac:dyDescent="0.2">
      <c r="BJ53350" s="201"/>
    </row>
    <row r="53351" spans="62:62" x14ac:dyDescent="0.2">
      <c r="BJ53351" s="201"/>
    </row>
    <row r="53352" spans="62:62" x14ac:dyDescent="0.2">
      <c r="BJ53352" s="201"/>
    </row>
    <row r="53353" spans="62:62" x14ac:dyDescent="0.2">
      <c r="BJ53353" s="201"/>
    </row>
    <row r="53354" spans="62:62" x14ac:dyDescent="0.2">
      <c r="BJ53354" s="201"/>
    </row>
    <row r="53355" spans="62:62" x14ac:dyDescent="0.2">
      <c r="BJ53355" s="201"/>
    </row>
    <row r="53356" spans="62:62" x14ac:dyDescent="0.2">
      <c r="BJ53356" s="201"/>
    </row>
    <row r="53357" spans="62:62" x14ac:dyDescent="0.2">
      <c r="BJ53357" s="201"/>
    </row>
    <row r="53358" spans="62:62" x14ac:dyDescent="0.2">
      <c r="BJ53358" s="201"/>
    </row>
    <row r="53359" spans="62:62" x14ac:dyDescent="0.2">
      <c r="BJ53359" s="201"/>
    </row>
    <row r="53360" spans="62:62" x14ac:dyDescent="0.2">
      <c r="BJ53360" s="201"/>
    </row>
    <row r="53361" spans="62:62" x14ac:dyDescent="0.2">
      <c r="BJ53361" s="201"/>
    </row>
    <row r="53362" spans="62:62" x14ac:dyDescent="0.2">
      <c r="BJ53362" s="201"/>
    </row>
    <row r="53363" spans="62:62" x14ac:dyDescent="0.2">
      <c r="BJ53363" s="201"/>
    </row>
    <row r="53364" spans="62:62" x14ac:dyDescent="0.2">
      <c r="BJ53364" s="201"/>
    </row>
    <row r="53365" spans="62:62" x14ac:dyDescent="0.2">
      <c r="BJ53365" s="201"/>
    </row>
    <row r="53366" spans="62:62" x14ac:dyDescent="0.2">
      <c r="BJ53366" s="201"/>
    </row>
    <row r="53367" spans="62:62" x14ac:dyDescent="0.2">
      <c r="BJ53367" s="201"/>
    </row>
    <row r="53368" spans="62:62" x14ac:dyDescent="0.2">
      <c r="BJ53368" s="201"/>
    </row>
    <row r="53369" spans="62:62" x14ac:dyDescent="0.2">
      <c r="BJ53369" s="201"/>
    </row>
    <row r="53370" spans="62:62" x14ac:dyDescent="0.2">
      <c r="BJ53370" s="201"/>
    </row>
    <row r="53371" spans="62:62" x14ac:dyDescent="0.2">
      <c r="BJ53371" s="201"/>
    </row>
    <row r="53372" spans="62:62" x14ac:dyDescent="0.2">
      <c r="BJ53372" s="201"/>
    </row>
    <row r="53373" spans="62:62" x14ac:dyDescent="0.2">
      <c r="BJ53373" s="201"/>
    </row>
    <row r="53374" spans="62:62" x14ac:dyDescent="0.2">
      <c r="BJ53374" s="201"/>
    </row>
    <row r="53375" spans="62:62" x14ac:dyDescent="0.2">
      <c r="BJ53375" s="201"/>
    </row>
    <row r="53376" spans="62:62" x14ac:dyDescent="0.2">
      <c r="BJ53376" s="201"/>
    </row>
    <row r="53377" spans="62:62" x14ac:dyDescent="0.2">
      <c r="BJ53377" s="201"/>
    </row>
    <row r="53378" spans="62:62" x14ac:dyDescent="0.2">
      <c r="BJ53378" s="201"/>
    </row>
    <row r="53379" spans="62:62" x14ac:dyDescent="0.2">
      <c r="BJ53379" s="201"/>
    </row>
    <row r="53380" spans="62:62" x14ac:dyDescent="0.2">
      <c r="BJ53380" s="201"/>
    </row>
    <row r="53381" spans="62:62" x14ac:dyDescent="0.2">
      <c r="BJ53381" s="201"/>
    </row>
    <row r="53382" spans="62:62" x14ac:dyDescent="0.2">
      <c r="BJ53382" s="201"/>
    </row>
    <row r="53383" spans="62:62" x14ac:dyDescent="0.2">
      <c r="BJ53383" s="201"/>
    </row>
    <row r="53384" spans="62:62" x14ac:dyDescent="0.2">
      <c r="BJ53384" s="201"/>
    </row>
    <row r="53385" spans="62:62" x14ac:dyDescent="0.2">
      <c r="BJ53385" s="201"/>
    </row>
    <row r="53386" spans="62:62" x14ac:dyDescent="0.2">
      <c r="BJ53386" s="201"/>
    </row>
    <row r="53387" spans="62:62" x14ac:dyDescent="0.2">
      <c r="BJ53387" s="201"/>
    </row>
    <row r="53388" spans="62:62" x14ac:dyDescent="0.2">
      <c r="BJ53388" s="201"/>
    </row>
    <row r="53389" spans="62:62" x14ac:dyDescent="0.2">
      <c r="BJ53389" s="201"/>
    </row>
    <row r="53390" spans="62:62" x14ac:dyDescent="0.2">
      <c r="BJ53390" s="201"/>
    </row>
    <row r="53391" spans="62:62" x14ac:dyDescent="0.2">
      <c r="BJ53391" s="201"/>
    </row>
    <row r="53392" spans="62:62" x14ac:dyDescent="0.2">
      <c r="BJ53392" s="201"/>
    </row>
    <row r="53393" spans="62:62" x14ac:dyDescent="0.2">
      <c r="BJ53393" s="201"/>
    </row>
    <row r="53394" spans="62:62" x14ac:dyDescent="0.2">
      <c r="BJ53394" s="201"/>
    </row>
    <row r="53395" spans="62:62" x14ac:dyDescent="0.2">
      <c r="BJ53395" s="201"/>
    </row>
    <row r="53396" spans="62:62" x14ac:dyDescent="0.2">
      <c r="BJ53396" s="201"/>
    </row>
    <row r="53397" spans="62:62" x14ac:dyDescent="0.2">
      <c r="BJ53397" s="201"/>
    </row>
    <row r="53398" spans="62:62" x14ac:dyDescent="0.2">
      <c r="BJ53398" s="201"/>
    </row>
    <row r="53399" spans="62:62" x14ac:dyDescent="0.2">
      <c r="BJ53399" s="201"/>
    </row>
    <row r="53400" spans="62:62" x14ac:dyDescent="0.2">
      <c r="BJ53400" s="201"/>
    </row>
    <row r="53401" spans="62:62" x14ac:dyDescent="0.2">
      <c r="BJ53401" s="201"/>
    </row>
    <row r="53402" spans="62:62" x14ac:dyDescent="0.2">
      <c r="BJ53402" s="201"/>
    </row>
    <row r="53403" spans="62:62" x14ac:dyDescent="0.2">
      <c r="BJ53403" s="201"/>
    </row>
    <row r="53404" spans="62:62" x14ac:dyDescent="0.2">
      <c r="BJ53404" s="201"/>
    </row>
    <row r="53405" spans="62:62" x14ac:dyDescent="0.2">
      <c r="BJ53405" s="201"/>
    </row>
    <row r="53406" spans="62:62" x14ac:dyDescent="0.2">
      <c r="BJ53406" s="201"/>
    </row>
    <row r="53407" spans="62:62" x14ac:dyDescent="0.2">
      <c r="BJ53407" s="201"/>
    </row>
    <row r="53408" spans="62:62" x14ac:dyDescent="0.2">
      <c r="BJ53408" s="201"/>
    </row>
    <row r="53409" spans="62:62" x14ac:dyDescent="0.2">
      <c r="BJ53409" s="201"/>
    </row>
    <row r="53410" spans="62:62" x14ac:dyDescent="0.2">
      <c r="BJ53410" s="201"/>
    </row>
    <row r="53411" spans="62:62" x14ac:dyDescent="0.2">
      <c r="BJ53411" s="201"/>
    </row>
    <row r="53412" spans="62:62" x14ac:dyDescent="0.2">
      <c r="BJ53412" s="201"/>
    </row>
    <row r="53413" spans="62:62" x14ac:dyDescent="0.2">
      <c r="BJ53413" s="201"/>
    </row>
    <row r="53414" spans="62:62" x14ac:dyDescent="0.2">
      <c r="BJ53414" s="201"/>
    </row>
    <row r="53415" spans="62:62" x14ac:dyDescent="0.2">
      <c r="BJ53415" s="201"/>
    </row>
    <row r="53416" spans="62:62" x14ac:dyDescent="0.2">
      <c r="BJ53416" s="201"/>
    </row>
    <row r="53417" spans="62:62" x14ac:dyDescent="0.2">
      <c r="BJ53417" s="201"/>
    </row>
    <row r="53418" spans="62:62" x14ac:dyDescent="0.2">
      <c r="BJ53418" s="201"/>
    </row>
    <row r="53419" spans="62:62" x14ac:dyDescent="0.2">
      <c r="BJ53419" s="201"/>
    </row>
    <row r="53420" spans="62:62" x14ac:dyDescent="0.2">
      <c r="BJ53420" s="201"/>
    </row>
    <row r="53421" spans="62:62" x14ac:dyDescent="0.2">
      <c r="BJ53421" s="201"/>
    </row>
    <row r="53422" spans="62:62" x14ac:dyDescent="0.2">
      <c r="BJ53422" s="201"/>
    </row>
    <row r="53423" spans="62:62" x14ac:dyDescent="0.2">
      <c r="BJ53423" s="201"/>
    </row>
    <row r="53424" spans="62:62" x14ac:dyDescent="0.2">
      <c r="BJ53424" s="201"/>
    </row>
    <row r="53425" spans="62:62" x14ac:dyDescent="0.2">
      <c r="BJ53425" s="201"/>
    </row>
    <row r="53426" spans="62:62" x14ac:dyDescent="0.2">
      <c r="BJ53426" s="201"/>
    </row>
    <row r="53427" spans="62:62" x14ac:dyDescent="0.2">
      <c r="BJ53427" s="201"/>
    </row>
    <row r="53428" spans="62:62" x14ac:dyDescent="0.2">
      <c r="BJ53428" s="201"/>
    </row>
    <row r="53429" spans="62:62" x14ac:dyDescent="0.2">
      <c r="BJ53429" s="201"/>
    </row>
    <row r="53430" spans="62:62" x14ac:dyDescent="0.2">
      <c r="BJ53430" s="201"/>
    </row>
    <row r="53431" spans="62:62" x14ac:dyDescent="0.2">
      <c r="BJ53431" s="201"/>
    </row>
    <row r="53432" spans="62:62" x14ac:dyDescent="0.2">
      <c r="BJ53432" s="201"/>
    </row>
    <row r="53433" spans="62:62" x14ac:dyDescent="0.2">
      <c r="BJ53433" s="201"/>
    </row>
    <row r="53434" spans="62:62" x14ac:dyDescent="0.2">
      <c r="BJ53434" s="201"/>
    </row>
    <row r="53435" spans="62:62" x14ac:dyDescent="0.2">
      <c r="BJ53435" s="201"/>
    </row>
    <row r="53436" spans="62:62" x14ac:dyDescent="0.2">
      <c r="BJ53436" s="201"/>
    </row>
    <row r="53437" spans="62:62" x14ac:dyDescent="0.2">
      <c r="BJ53437" s="201"/>
    </row>
    <row r="53438" spans="62:62" x14ac:dyDescent="0.2">
      <c r="BJ53438" s="201"/>
    </row>
    <row r="53439" spans="62:62" x14ac:dyDescent="0.2">
      <c r="BJ53439" s="201"/>
    </row>
    <row r="53440" spans="62:62" x14ac:dyDescent="0.2">
      <c r="BJ53440" s="201"/>
    </row>
    <row r="53441" spans="62:62" x14ac:dyDescent="0.2">
      <c r="BJ53441" s="201"/>
    </row>
    <row r="53442" spans="62:62" x14ac:dyDescent="0.2">
      <c r="BJ53442" s="201"/>
    </row>
    <row r="53443" spans="62:62" x14ac:dyDescent="0.2">
      <c r="BJ53443" s="201"/>
    </row>
    <row r="53444" spans="62:62" x14ac:dyDescent="0.2">
      <c r="BJ53444" s="201"/>
    </row>
    <row r="53445" spans="62:62" x14ac:dyDescent="0.2">
      <c r="BJ53445" s="201"/>
    </row>
    <row r="53446" spans="62:62" x14ac:dyDescent="0.2">
      <c r="BJ53446" s="201"/>
    </row>
    <row r="53447" spans="62:62" x14ac:dyDescent="0.2">
      <c r="BJ53447" s="201"/>
    </row>
    <row r="53448" spans="62:62" x14ac:dyDescent="0.2">
      <c r="BJ53448" s="201"/>
    </row>
    <row r="53449" spans="62:62" x14ac:dyDescent="0.2">
      <c r="BJ53449" s="201"/>
    </row>
    <row r="53450" spans="62:62" x14ac:dyDescent="0.2">
      <c r="BJ53450" s="201"/>
    </row>
    <row r="53451" spans="62:62" x14ac:dyDescent="0.2">
      <c r="BJ53451" s="201"/>
    </row>
    <row r="53452" spans="62:62" x14ac:dyDescent="0.2">
      <c r="BJ53452" s="201"/>
    </row>
    <row r="53453" spans="62:62" x14ac:dyDescent="0.2">
      <c r="BJ53453" s="201"/>
    </row>
    <row r="53454" spans="62:62" x14ac:dyDescent="0.2">
      <c r="BJ53454" s="201"/>
    </row>
    <row r="53455" spans="62:62" x14ac:dyDescent="0.2">
      <c r="BJ53455" s="201"/>
    </row>
    <row r="53456" spans="62:62" x14ac:dyDescent="0.2">
      <c r="BJ53456" s="201"/>
    </row>
    <row r="53457" spans="62:62" x14ac:dyDescent="0.2">
      <c r="BJ53457" s="201"/>
    </row>
    <row r="53458" spans="62:62" x14ac:dyDescent="0.2">
      <c r="BJ53458" s="201"/>
    </row>
    <row r="53459" spans="62:62" x14ac:dyDescent="0.2">
      <c r="BJ53459" s="201"/>
    </row>
    <row r="53460" spans="62:62" x14ac:dyDescent="0.2">
      <c r="BJ53460" s="201"/>
    </row>
    <row r="53461" spans="62:62" x14ac:dyDescent="0.2">
      <c r="BJ53461" s="201"/>
    </row>
    <row r="53462" spans="62:62" x14ac:dyDescent="0.2">
      <c r="BJ53462" s="201"/>
    </row>
    <row r="53463" spans="62:62" x14ac:dyDescent="0.2">
      <c r="BJ53463" s="201"/>
    </row>
    <row r="53464" spans="62:62" x14ac:dyDescent="0.2">
      <c r="BJ53464" s="201"/>
    </row>
    <row r="53465" spans="62:62" x14ac:dyDescent="0.2">
      <c r="BJ53465" s="201"/>
    </row>
    <row r="53466" spans="62:62" x14ac:dyDescent="0.2">
      <c r="BJ53466" s="201"/>
    </row>
    <row r="53467" spans="62:62" x14ac:dyDescent="0.2">
      <c r="BJ53467" s="201"/>
    </row>
    <row r="53468" spans="62:62" x14ac:dyDescent="0.2">
      <c r="BJ53468" s="201"/>
    </row>
    <row r="53469" spans="62:62" x14ac:dyDescent="0.2">
      <c r="BJ53469" s="201"/>
    </row>
    <row r="53470" spans="62:62" x14ac:dyDescent="0.2">
      <c r="BJ53470" s="201"/>
    </row>
    <row r="53471" spans="62:62" x14ac:dyDescent="0.2">
      <c r="BJ53471" s="201"/>
    </row>
    <row r="53472" spans="62:62" x14ac:dyDescent="0.2">
      <c r="BJ53472" s="201"/>
    </row>
    <row r="53473" spans="62:62" x14ac:dyDescent="0.2">
      <c r="BJ53473" s="201"/>
    </row>
    <row r="53474" spans="62:62" x14ac:dyDescent="0.2">
      <c r="BJ53474" s="201"/>
    </row>
    <row r="53475" spans="62:62" x14ac:dyDescent="0.2">
      <c r="BJ53475" s="201"/>
    </row>
    <row r="53476" spans="62:62" x14ac:dyDescent="0.2">
      <c r="BJ53476" s="201"/>
    </row>
    <row r="53477" spans="62:62" x14ac:dyDescent="0.2">
      <c r="BJ53477" s="201"/>
    </row>
    <row r="53478" spans="62:62" x14ac:dyDescent="0.2">
      <c r="BJ53478" s="201"/>
    </row>
    <row r="53479" spans="62:62" x14ac:dyDescent="0.2">
      <c r="BJ53479" s="201"/>
    </row>
    <row r="53480" spans="62:62" x14ac:dyDescent="0.2">
      <c r="BJ53480" s="201"/>
    </row>
    <row r="53481" spans="62:62" x14ac:dyDescent="0.2">
      <c r="BJ53481" s="201"/>
    </row>
    <row r="53482" spans="62:62" x14ac:dyDescent="0.2">
      <c r="BJ53482" s="201"/>
    </row>
    <row r="53483" spans="62:62" x14ac:dyDescent="0.2">
      <c r="BJ53483" s="201"/>
    </row>
    <row r="53484" spans="62:62" x14ac:dyDescent="0.2">
      <c r="BJ53484" s="201"/>
    </row>
    <row r="53485" spans="62:62" x14ac:dyDescent="0.2">
      <c r="BJ53485" s="201"/>
    </row>
    <row r="53486" spans="62:62" x14ac:dyDescent="0.2">
      <c r="BJ53486" s="201"/>
    </row>
    <row r="53487" spans="62:62" x14ac:dyDescent="0.2">
      <c r="BJ53487" s="201"/>
    </row>
    <row r="53488" spans="62:62" x14ac:dyDescent="0.2">
      <c r="BJ53488" s="201"/>
    </row>
    <row r="53489" spans="62:62" x14ac:dyDescent="0.2">
      <c r="BJ53489" s="201"/>
    </row>
    <row r="53490" spans="62:62" x14ac:dyDescent="0.2">
      <c r="BJ53490" s="201"/>
    </row>
    <row r="53491" spans="62:62" x14ac:dyDescent="0.2">
      <c r="BJ53491" s="201"/>
    </row>
    <row r="53492" spans="62:62" x14ac:dyDescent="0.2">
      <c r="BJ53492" s="201"/>
    </row>
    <row r="53493" spans="62:62" x14ac:dyDescent="0.2">
      <c r="BJ53493" s="201"/>
    </row>
    <row r="53494" spans="62:62" x14ac:dyDescent="0.2">
      <c r="BJ53494" s="201"/>
    </row>
    <row r="53495" spans="62:62" x14ac:dyDescent="0.2">
      <c r="BJ53495" s="201"/>
    </row>
    <row r="53496" spans="62:62" x14ac:dyDescent="0.2">
      <c r="BJ53496" s="201"/>
    </row>
    <row r="53497" spans="62:62" x14ac:dyDescent="0.2">
      <c r="BJ53497" s="201"/>
    </row>
    <row r="53498" spans="62:62" x14ac:dyDescent="0.2">
      <c r="BJ53498" s="201"/>
    </row>
    <row r="53499" spans="62:62" x14ac:dyDescent="0.2">
      <c r="BJ53499" s="201"/>
    </row>
    <row r="53500" spans="62:62" x14ac:dyDescent="0.2">
      <c r="BJ53500" s="201"/>
    </row>
    <row r="53501" spans="62:62" x14ac:dyDescent="0.2">
      <c r="BJ53501" s="201"/>
    </row>
    <row r="53502" spans="62:62" x14ac:dyDescent="0.2">
      <c r="BJ53502" s="201"/>
    </row>
    <row r="53503" spans="62:62" x14ac:dyDescent="0.2">
      <c r="BJ53503" s="201"/>
    </row>
    <row r="53504" spans="62:62" x14ac:dyDescent="0.2">
      <c r="BJ53504" s="201"/>
    </row>
    <row r="53505" spans="62:62" x14ac:dyDescent="0.2">
      <c r="BJ53505" s="201"/>
    </row>
    <row r="53506" spans="62:62" x14ac:dyDescent="0.2">
      <c r="BJ53506" s="201"/>
    </row>
    <row r="53507" spans="62:62" x14ac:dyDescent="0.2">
      <c r="BJ53507" s="201"/>
    </row>
    <row r="53508" spans="62:62" x14ac:dyDescent="0.2">
      <c r="BJ53508" s="201"/>
    </row>
    <row r="53509" spans="62:62" x14ac:dyDescent="0.2">
      <c r="BJ53509" s="201"/>
    </row>
    <row r="53510" spans="62:62" x14ac:dyDescent="0.2">
      <c r="BJ53510" s="201"/>
    </row>
    <row r="53511" spans="62:62" x14ac:dyDescent="0.2">
      <c r="BJ53511" s="201"/>
    </row>
    <row r="53512" spans="62:62" x14ac:dyDescent="0.2">
      <c r="BJ53512" s="201"/>
    </row>
    <row r="53513" spans="62:62" x14ac:dyDescent="0.2">
      <c r="BJ53513" s="201"/>
    </row>
    <row r="53514" spans="62:62" x14ac:dyDescent="0.2">
      <c r="BJ53514" s="201"/>
    </row>
    <row r="53515" spans="62:62" x14ac:dyDescent="0.2">
      <c r="BJ53515" s="201"/>
    </row>
    <row r="53516" spans="62:62" x14ac:dyDescent="0.2">
      <c r="BJ53516" s="201"/>
    </row>
    <row r="53517" spans="62:62" x14ac:dyDescent="0.2">
      <c r="BJ53517" s="201"/>
    </row>
    <row r="53518" spans="62:62" x14ac:dyDescent="0.2">
      <c r="BJ53518" s="201"/>
    </row>
    <row r="53519" spans="62:62" x14ac:dyDescent="0.2">
      <c r="BJ53519" s="201"/>
    </row>
    <row r="53520" spans="62:62" x14ac:dyDescent="0.2">
      <c r="BJ53520" s="201"/>
    </row>
    <row r="53521" spans="62:62" x14ac:dyDescent="0.2">
      <c r="BJ53521" s="201"/>
    </row>
    <row r="53522" spans="62:62" x14ac:dyDescent="0.2">
      <c r="BJ53522" s="201"/>
    </row>
    <row r="53523" spans="62:62" x14ac:dyDescent="0.2">
      <c r="BJ53523" s="201"/>
    </row>
    <row r="53524" spans="62:62" x14ac:dyDescent="0.2">
      <c r="BJ53524" s="201"/>
    </row>
    <row r="53525" spans="62:62" x14ac:dyDescent="0.2">
      <c r="BJ53525" s="201"/>
    </row>
    <row r="53526" spans="62:62" x14ac:dyDescent="0.2">
      <c r="BJ53526" s="201"/>
    </row>
    <row r="53527" spans="62:62" x14ac:dyDescent="0.2">
      <c r="BJ53527" s="201"/>
    </row>
    <row r="53528" spans="62:62" x14ac:dyDescent="0.2">
      <c r="BJ53528" s="201"/>
    </row>
    <row r="53529" spans="62:62" x14ac:dyDescent="0.2">
      <c r="BJ53529" s="201"/>
    </row>
    <row r="53530" spans="62:62" x14ac:dyDescent="0.2">
      <c r="BJ53530" s="201"/>
    </row>
    <row r="53531" spans="62:62" x14ac:dyDescent="0.2">
      <c r="BJ53531" s="201"/>
    </row>
    <row r="53532" spans="62:62" x14ac:dyDescent="0.2">
      <c r="BJ53532" s="201"/>
    </row>
    <row r="53533" spans="62:62" x14ac:dyDescent="0.2">
      <c r="BJ53533" s="201"/>
    </row>
    <row r="53534" spans="62:62" x14ac:dyDescent="0.2">
      <c r="BJ53534" s="201"/>
    </row>
    <row r="53535" spans="62:62" x14ac:dyDescent="0.2">
      <c r="BJ53535" s="201"/>
    </row>
    <row r="53536" spans="62:62" x14ac:dyDescent="0.2">
      <c r="BJ53536" s="201"/>
    </row>
    <row r="53537" spans="62:62" x14ac:dyDescent="0.2">
      <c r="BJ53537" s="201"/>
    </row>
    <row r="53538" spans="62:62" x14ac:dyDescent="0.2">
      <c r="BJ53538" s="201"/>
    </row>
    <row r="53539" spans="62:62" x14ac:dyDescent="0.2">
      <c r="BJ53539" s="201"/>
    </row>
    <row r="53540" spans="62:62" x14ac:dyDescent="0.2">
      <c r="BJ53540" s="201"/>
    </row>
    <row r="53541" spans="62:62" x14ac:dyDescent="0.2">
      <c r="BJ53541" s="201"/>
    </row>
    <row r="53542" spans="62:62" x14ac:dyDescent="0.2">
      <c r="BJ53542" s="201"/>
    </row>
    <row r="53543" spans="62:62" x14ac:dyDescent="0.2">
      <c r="BJ53543" s="201"/>
    </row>
    <row r="53544" spans="62:62" x14ac:dyDescent="0.2">
      <c r="BJ53544" s="201"/>
    </row>
    <row r="53545" spans="62:62" x14ac:dyDescent="0.2">
      <c r="BJ53545" s="201"/>
    </row>
    <row r="53546" spans="62:62" x14ac:dyDescent="0.2">
      <c r="BJ53546" s="201"/>
    </row>
    <row r="53547" spans="62:62" x14ac:dyDescent="0.2">
      <c r="BJ53547" s="201"/>
    </row>
    <row r="53548" spans="62:62" x14ac:dyDescent="0.2">
      <c r="BJ53548" s="201"/>
    </row>
    <row r="53549" spans="62:62" x14ac:dyDescent="0.2">
      <c r="BJ53549" s="201"/>
    </row>
    <row r="53550" spans="62:62" x14ac:dyDescent="0.2">
      <c r="BJ53550" s="201"/>
    </row>
    <row r="53551" spans="62:62" x14ac:dyDescent="0.2">
      <c r="BJ53551" s="201"/>
    </row>
    <row r="53552" spans="62:62" x14ac:dyDescent="0.2">
      <c r="BJ53552" s="201"/>
    </row>
    <row r="53553" spans="62:62" x14ac:dyDescent="0.2">
      <c r="BJ53553" s="201"/>
    </row>
    <row r="53554" spans="62:62" x14ac:dyDescent="0.2">
      <c r="BJ53554" s="201"/>
    </row>
    <row r="53555" spans="62:62" x14ac:dyDescent="0.2">
      <c r="BJ53555" s="201"/>
    </row>
    <row r="53556" spans="62:62" x14ac:dyDescent="0.2">
      <c r="BJ53556" s="201"/>
    </row>
    <row r="53557" spans="62:62" x14ac:dyDescent="0.2">
      <c r="BJ53557" s="201"/>
    </row>
    <row r="53558" spans="62:62" x14ac:dyDescent="0.2">
      <c r="BJ53558" s="201"/>
    </row>
    <row r="53559" spans="62:62" x14ac:dyDescent="0.2">
      <c r="BJ53559" s="201"/>
    </row>
    <row r="53560" spans="62:62" x14ac:dyDescent="0.2">
      <c r="BJ53560" s="201"/>
    </row>
    <row r="53561" spans="62:62" x14ac:dyDescent="0.2">
      <c r="BJ53561" s="201"/>
    </row>
    <row r="53562" spans="62:62" x14ac:dyDescent="0.2">
      <c r="BJ53562" s="201"/>
    </row>
    <row r="53563" spans="62:62" x14ac:dyDescent="0.2">
      <c r="BJ53563" s="201"/>
    </row>
    <row r="53564" spans="62:62" x14ac:dyDescent="0.2">
      <c r="BJ53564" s="201"/>
    </row>
    <row r="53565" spans="62:62" x14ac:dyDescent="0.2">
      <c r="BJ53565" s="201"/>
    </row>
    <row r="53566" spans="62:62" x14ac:dyDescent="0.2">
      <c r="BJ53566" s="201"/>
    </row>
    <row r="53567" spans="62:62" x14ac:dyDescent="0.2">
      <c r="BJ53567" s="201"/>
    </row>
    <row r="53568" spans="62:62" x14ac:dyDescent="0.2">
      <c r="BJ53568" s="201"/>
    </row>
    <row r="53569" spans="62:62" x14ac:dyDescent="0.2">
      <c r="BJ53569" s="201"/>
    </row>
    <row r="53570" spans="62:62" x14ac:dyDescent="0.2">
      <c r="BJ53570" s="201"/>
    </row>
    <row r="53571" spans="62:62" x14ac:dyDescent="0.2">
      <c r="BJ53571" s="201"/>
    </row>
    <row r="53572" spans="62:62" x14ac:dyDescent="0.2">
      <c r="BJ53572" s="201"/>
    </row>
    <row r="53573" spans="62:62" x14ac:dyDescent="0.2">
      <c r="BJ53573" s="201"/>
    </row>
    <row r="53574" spans="62:62" x14ac:dyDescent="0.2">
      <c r="BJ53574" s="201"/>
    </row>
    <row r="53575" spans="62:62" x14ac:dyDescent="0.2">
      <c r="BJ53575" s="201"/>
    </row>
    <row r="53576" spans="62:62" x14ac:dyDescent="0.2">
      <c r="BJ53576" s="201"/>
    </row>
    <row r="53577" spans="62:62" x14ac:dyDescent="0.2">
      <c r="BJ53577" s="201"/>
    </row>
    <row r="53578" spans="62:62" x14ac:dyDescent="0.2">
      <c r="BJ53578" s="201"/>
    </row>
    <row r="53579" spans="62:62" x14ac:dyDescent="0.2">
      <c r="BJ53579" s="201"/>
    </row>
    <row r="53580" spans="62:62" x14ac:dyDescent="0.2">
      <c r="BJ53580" s="201"/>
    </row>
    <row r="53581" spans="62:62" x14ac:dyDescent="0.2">
      <c r="BJ53581" s="201"/>
    </row>
    <row r="53582" spans="62:62" x14ac:dyDescent="0.2">
      <c r="BJ53582" s="201"/>
    </row>
    <row r="53583" spans="62:62" x14ac:dyDescent="0.2">
      <c r="BJ53583" s="201"/>
    </row>
    <row r="53584" spans="62:62" x14ac:dyDescent="0.2">
      <c r="BJ53584" s="201"/>
    </row>
    <row r="53585" spans="62:62" x14ac:dyDescent="0.2">
      <c r="BJ53585" s="201"/>
    </row>
    <row r="53586" spans="62:62" x14ac:dyDescent="0.2">
      <c r="BJ53586" s="201"/>
    </row>
    <row r="53587" spans="62:62" x14ac:dyDescent="0.2">
      <c r="BJ53587" s="201"/>
    </row>
    <row r="53588" spans="62:62" x14ac:dyDescent="0.2">
      <c r="BJ53588" s="201"/>
    </row>
    <row r="53589" spans="62:62" x14ac:dyDescent="0.2">
      <c r="BJ53589" s="201"/>
    </row>
    <row r="53590" spans="62:62" x14ac:dyDescent="0.2">
      <c r="BJ53590" s="201"/>
    </row>
    <row r="53591" spans="62:62" x14ac:dyDescent="0.2">
      <c r="BJ53591" s="201"/>
    </row>
    <row r="53592" spans="62:62" x14ac:dyDescent="0.2">
      <c r="BJ53592" s="201"/>
    </row>
    <row r="53593" spans="62:62" x14ac:dyDescent="0.2">
      <c r="BJ53593" s="201"/>
    </row>
    <row r="53594" spans="62:62" x14ac:dyDescent="0.2">
      <c r="BJ53594" s="201"/>
    </row>
    <row r="53595" spans="62:62" x14ac:dyDescent="0.2">
      <c r="BJ53595" s="201"/>
    </row>
    <row r="53596" spans="62:62" x14ac:dyDescent="0.2">
      <c r="BJ53596" s="201"/>
    </row>
    <row r="53597" spans="62:62" x14ac:dyDescent="0.2">
      <c r="BJ53597" s="201"/>
    </row>
    <row r="53598" spans="62:62" x14ac:dyDescent="0.2">
      <c r="BJ53598" s="201"/>
    </row>
    <row r="53599" spans="62:62" x14ac:dyDescent="0.2">
      <c r="BJ53599" s="201"/>
    </row>
    <row r="53600" spans="62:62" x14ac:dyDescent="0.2">
      <c r="BJ53600" s="201"/>
    </row>
    <row r="53601" spans="62:62" x14ac:dyDescent="0.2">
      <c r="BJ53601" s="201"/>
    </row>
    <row r="53602" spans="62:62" x14ac:dyDescent="0.2">
      <c r="BJ53602" s="201"/>
    </row>
    <row r="53603" spans="62:62" x14ac:dyDescent="0.2">
      <c r="BJ53603" s="201"/>
    </row>
    <row r="53604" spans="62:62" x14ac:dyDescent="0.2">
      <c r="BJ53604" s="201"/>
    </row>
    <row r="53605" spans="62:62" x14ac:dyDescent="0.2">
      <c r="BJ53605" s="201"/>
    </row>
    <row r="53606" spans="62:62" x14ac:dyDescent="0.2">
      <c r="BJ53606" s="201"/>
    </row>
    <row r="53607" spans="62:62" x14ac:dyDescent="0.2">
      <c r="BJ53607" s="201"/>
    </row>
    <row r="53608" spans="62:62" x14ac:dyDescent="0.2">
      <c r="BJ53608" s="201"/>
    </row>
    <row r="53609" spans="62:62" x14ac:dyDescent="0.2">
      <c r="BJ53609" s="201"/>
    </row>
    <row r="53610" spans="62:62" x14ac:dyDescent="0.2">
      <c r="BJ53610" s="201"/>
    </row>
    <row r="53611" spans="62:62" x14ac:dyDescent="0.2">
      <c r="BJ53611" s="201"/>
    </row>
    <row r="53612" spans="62:62" x14ac:dyDescent="0.2">
      <c r="BJ53612" s="201"/>
    </row>
    <row r="53613" spans="62:62" x14ac:dyDescent="0.2">
      <c r="BJ53613" s="201"/>
    </row>
    <row r="53614" spans="62:62" x14ac:dyDescent="0.2">
      <c r="BJ53614" s="201"/>
    </row>
    <row r="53615" spans="62:62" x14ac:dyDescent="0.2">
      <c r="BJ53615" s="201"/>
    </row>
    <row r="53616" spans="62:62" x14ac:dyDescent="0.2">
      <c r="BJ53616" s="201"/>
    </row>
    <row r="53617" spans="62:62" x14ac:dyDescent="0.2">
      <c r="BJ53617" s="201"/>
    </row>
    <row r="53618" spans="62:62" x14ac:dyDescent="0.2">
      <c r="BJ53618" s="201"/>
    </row>
    <row r="53619" spans="62:62" x14ac:dyDescent="0.2">
      <c r="BJ53619" s="201"/>
    </row>
    <row r="53620" spans="62:62" x14ac:dyDescent="0.2">
      <c r="BJ53620" s="201"/>
    </row>
    <row r="53621" spans="62:62" x14ac:dyDescent="0.2">
      <c r="BJ53621" s="201"/>
    </row>
    <row r="53622" spans="62:62" x14ac:dyDescent="0.2">
      <c r="BJ53622" s="201"/>
    </row>
    <row r="53623" spans="62:62" x14ac:dyDescent="0.2">
      <c r="BJ53623" s="201"/>
    </row>
    <row r="53624" spans="62:62" x14ac:dyDescent="0.2">
      <c r="BJ53624" s="201"/>
    </row>
    <row r="53625" spans="62:62" x14ac:dyDescent="0.2">
      <c r="BJ53625" s="201"/>
    </row>
    <row r="53626" spans="62:62" x14ac:dyDescent="0.2">
      <c r="BJ53626" s="201"/>
    </row>
    <row r="53627" spans="62:62" x14ac:dyDescent="0.2">
      <c r="BJ53627" s="201"/>
    </row>
    <row r="53628" spans="62:62" x14ac:dyDescent="0.2">
      <c r="BJ53628" s="201"/>
    </row>
    <row r="53629" spans="62:62" x14ac:dyDescent="0.2">
      <c r="BJ53629" s="201"/>
    </row>
    <row r="53630" spans="62:62" x14ac:dyDescent="0.2">
      <c r="BJ53630" s="201"/>
    </row>
    <row r="53631" spans="62:62" x14ac:dyDescent="0.2">
      <c r="BJ53631" s="201"/>
    </row>
    <row r="53632" spans="62:62" x14ac:dyDescent="0.2">
      <c r="BJ53632" s="201"/>
    </row>
    <row r="53633" spans="62:62" x14ac:dyDescent="0.2">
      <c r="BJ53633" s="201"/>
    </row>
    <row r="53634" spans="62:62" x14ac:dyDescent="0.2">
      <c r="BJ53634" s="201"/>
    </row>
    <row r="53635" spans="62:62" x14ac:dyDescent="0.2">
      <c r="BJ53635" s="201"/>
    </row>
    <row r="53636" spans="62:62" x14ac:dyDescent="0.2">
      <c r="BJ53636" s="201"/>
    </row>
    <row r="53637" spans="62:62" x14ac:dyDescent="0.2">
      <c r="BJ53637" s="201"/>
    </row>
    <row r="53638" spans="62:62" x14ac:dyDescent="0.2">
      <c r="BJ53638" s="201"/>
    </row>
    <row r="53639" spans="62:62" x14ac:dyDescent="0.2">
      <c r="BJ53639" s="201"/>
    </row>
    <row r="53640" spans="62:62" x14ac:dyDescent="0.2">
      <c r="BJ53640" s="201"/>
    </row>
    <row r="53641" spans="62:62" x14ac:dyDescent="0.2">
      <c r="BJ53641" s="201"/>
    </row>
    <row r="53642" spans="62:62" x14ac:dyDescent="0.2">
      <c r="BJ53642" s="201"/>
    </row>
    <row r="53643" spans="62:62" x14ac:dyDescent="0.2">
      <c r="BJ53643" s="201"/>
    </row>
    <row r="53644" spans="62:62" x14ac:dyDescent="0.2">
      <c r="BJ53644" s="201"/>
    </row>
    <row r="53645" spans="62:62" x14ac:dyDescent="0.2">
      <c r="BJ53645" s="201"/>
    </row>
    <row r="53646" spans="62:62" x14ac:dyDescent="0.2">
      <c r="BJ53646" s="201"/>
    </row>
    <row r="53647" spans="62:62" x14ac:dyDescent="0.2">
      <c r="BJ53647" s="201"/>
    </row>
    <row r="53648" spans="62:62" x14ac:dyDescent="0.2">
      <c r="BJ53648" s="201"/>
    </row>
    <row r="53649" spans="62:62" x14ac:dyDescent="0.2">
      <c r="BJ53649" s="201"/>
    </row>
    <row r="53650" spans="62:62" x14ac:dyDescent="0.2">
      <c r="BJ53650" s="201"/>
    </row>
    <row r="53651" spans="62:62" x14ac:dyDescent="0.2">
      <c r="BJ53651" s="201"/>
    </row>
    <row r="53652" spans="62:62" x14ac:dyDescent="0.2">
      <c r="BJ53652" s="201"/>
    </row>
    <row r="53653" spans="62:62" x14ac:dyDescent="0.2">
      <c r="BJ53653" s="201"/>
    </row>
    <row r="53654" spans="62:62" x14ac:dyDescent="0.2">
      <c r="BJ53654" s="201"/>
    </row>
    <row r="53655" spans="62:62" x14ac:dyDescent="0.2">
      <c r="BJ53655" s="201"/>
    </row>
    <row r="53656" spans="62:62" x14ac:dyDescent="0.2">
      <c r="BJ53656" s="201"/>
    </row>
    <row r="53657" spans="62:62" x14ac:dyDescent="0.2">
      <c r="BJ53657" s="201"/>
    </row>
    <row r="53658" spans="62:62" x14ac:dyDescent="0.2">
      <c r="BJ53658" s="201"/>
    </row>
    <row r="53659" spans="62:62" x14ac:dyDescent="0.2">
      <c r="BJ53659" s="201"/>
    </row>
    <row r="53660" spans="62:62" x14ac:dyDescent="0.2">
      <c r="BJ53660" s="201"/>
    </row>
    <row r="53661" spans="62:62" x14ac:dyDescent="0.2">
      <c r="BJ53661" s="201"/>
    </row>
    <row r="53662" spans="62:62" x14ac:dyDescent="0.2">
      <c r="BJ53662" s="201"/>
    </row>
    <row r="53663" spans="62:62" x14ac:dyDescent="0.2">
      <c r="BJ53663" s="201"/>
    </row>
    <row r="53664" spans="62:62" x14ac:dyDescent="0.2">
      <c r="BJ53664" s="201"/>
    </row>
    <row r="53665" spans="62:62" x14ac:dyDescent="0.2">
      <c r="BJ53665" s="201"/>
    </row>
    <row r="53666" spans="62:62" x14ac:dyDescent="0.2">
      <c r="BJ53666" s="201"/>
    </row>
    <row r="53667" spans="62:62" x14ac:dyDescent="0.2">
      <c r="BJ53667" s="201"/>
    </row>
    <row r="53668" spans="62:62" x14ac:dyDescent="0.2">
      <c r="BJ53668" s="201"/>
    </row>
    <row r="53669" spans="62:62" x14ac:dyDescent="0.2">
      <c r="BJ53669" s="201"/>
    </row>
    <row r="53670" spans="62:62" x14ac:dyDescent="0.2">
      <c r="BJ53670" s="201"/>
    </row>
    <row r="53671" spans="62:62" x14ac:dyDescent="0.2">
      <c r="BJ53671" s="201"/>
    </row>
    <row r="53672" spans="62:62" x14ac:dyDescent="0.2">
      <c r="BJ53672" s="201"/>
    </row>
    <row r="53673" spans="62:62" x14ac:dyDescent="0.2">
      <c r="BJ53673" s="201"/>
    </row>
    <row r="53674" spans="62:62" x14ac:dyDescent="0.2">
      <c r="BJ53674" s="201"/>
    </row>
    <row r="53675" spans="62:62" x14ac:dyDescent="0.2">
      <c r="BJ53675" s="201"/>
    </row>
    <row r="53676" spans="62:62" x14ac:dyDescent="0.2">
      <c r="BJ53676" s="201"/>
    </row>
    <row r="53677" spans="62:62" x14ac:dyDescent="0.2">
      <c r="BJ53677" s="201"/>
    </row>
    <row r="53678" spans="62:62" x14ac:dyDescent="0.2">
      <c r="BJ53678" s="201"/>
    </row>
    <row r="53679" spans="62:62" x14ac:dyDescent="0.2">
      <c r="BJ53679" s="201"/>
    </row>
    <row r="53680" spans="62:62" x14ac:dyDescent="0.2">
      <c r="BJ53680" s="201"/>
    </row>
    <row r="53681" spans="62:62" x14ac:dyDescent="0.2">
      <c r="BJ53681" s="201"/>
    </row>
    <row r="53682" spans="62:62" x14ac:dyDescent="0.2">
      <c r="BJ53682" s="201"/>
    </row>
    <row r="53683" spans="62:62" x14ac:dyDescent="0.2">
      <c r="BJ53683" s="201"/>
    </row>
    <row r="53684" spans="62:62" x14ac:dyDescent="0.2">
      <c r="BJ53684" s="201"/>
    </row>
    <row r="53685" spans="62:62" x14ac:dyDescent="0.2">
      <c r="BJ53685" s="201"/>
    </row>
    <row r="53686" spans="62:62" x14ac:dyDescent="0.2">
      <c r="BJ53686" s="201"/>
    </row>
    <row r="53687" spans="62:62" x14ac:dyDescent="0.2">
      <c r="BJ53687" s="201"/>
    </row>
    <row r="53688" spans="62:62" x14ac:dyDescent="0.2">
      <c r="BJ53688" s="201"/>
    </row>
    <row r="53689" spans="62:62" x14ac:dyDescent="0.2">
      <c r="BJ53689" s="201"/>
    </row>
    <row r="53690" spans="62:62" x14ac:dyDescent="0.2">
      <c r="BJ53690" s="201"/>
    </row>
    <row r="53691" spans="62:62" x14ac:dyDescent="0.2">
      <c r="BJ53691" s="201"/>
    </row>
    <row r="53692" spans="62:62" x14ac:dyDescent="0.2">
      <c r="BJ53692" s="201"/>
    </row>
    <row r="53693" spans="62:62" x14ac:dyDescent="0.2">
      <c r="BJ53693" s="201"/>
    </row>
    <row r="53694" spans="62:62" x14ac:dyDescent="0.2">
      <c r="BJ53694" s="201"/>
    </row>
    <row r="53695" spans="62:62" x14ac:dyDescent="0.2">
      <c r="BJ53695" s="201"/>
    </row>
    <row r="53696" spans="62:62" x14ac:dyDescent="0.2">
      <c r="BJ53696" s="201"/>
    </row>
    <row r="53697" spans="62:62" x14ac:dyDescent="0.2">
      <c r="BJ53697" s="201"/>
    </row>
    <row r="53698" spans="62:62" x14ac:dyDescent="0.2">
      <c r="BJ53698" s="201"/>
    </row>
    <row r="53699" spans="62:62" x14ac:dyDescent="0.2">
      <c r="BJ53699" s="201"/>
    </row>
    <row r="53700" spans="62:62" x14ac:dyDescent="0.2">
      <c r="BJ53700" s="201"/>
    </row>
    <row r="53701" spans="62:62" x14ac:dyDescent="0.2">
      <c r="BJ53701" s="201"/>
    </row>
    <row r="53702" spans="62:62" x14ac:dyDescent="0.2">
      <c r="BJ53702" s="201"/>
    </row>
    <row r="53703" spans="62:62" x14ac:dyDescent="0.2">
      <c r="BJ53703" s="201"/>
    </row>
    <row r="53704" spans="62:62" x14ac:dyDescent="0.2">
      <c r="BJ53704" s="201"/>
    </row>
    <row r="53705" spans="62:62" x14ac:dyDescent="0.2">
      <c r="BJ53705" s="201"/>
    </row>
    <row r="53706" spans="62:62" x14ac:dyDescent="0.2">
      <c r="BJ53706" s="201"/>
    </row>
    <row r="53707" spans="62:62" x14ac:dyDescent="0.2">
      <c r="BJ53707" s="201"/>
    </row>
    <row r="53708" spans="62:62" x14ac:dyDescent="0.2">
      <c r="BJ53708" s="201"/>
    </row>
    <row r="53709" spans="62:62" x14ac:dyDescent="0.2">
      <c r="BJ53709" s="201"/>
    </row>
    <row r="53710" spans="62:62" x14ac:dyDescent="0.2">
      <c r="BJ53710" s="201"/>
    </row>
    <row r="53711" spans="62:62" x14ac:dyDescent="0.2">
      <c r="BJ53711" s="201"/>
    </row>
    <row r="53712" spans="62:62" x14ac:dyDescent="0.2">
      <c r="BJ53712" s="201"/>
    </row>
    <row r="53713" spans="62:62" x14ac:dyDescent="0.2">
      <c r="BJ53713" s="201"/>
    </row>
    <row r="53714" spans="62:62" x14ac:dyDescent="0.2">
      <c r="BJ53714" s="201"/>
    </row>
    <row r="53715" spans="62:62" x14ac:dyDescent="0.2">
      <c r="BJ53715" s="201"/>
    </row>
    <row r="53716" spans="62:62" x14ac:dyDescent="0.2">
      <c r="BJ53716" s="201"/>
    </row>
    <row r="53717" spans="62:62" x14ac:dyDescent="0.2">
      <c r="BJ53717" s="201"/>
    </row>
    <row r="53718" spans="62:62" x14ac:dyDescent="0.2">
      <c r="BJ53718" s="201"/>
    </row>
    <row r="53719" spans="62:62" x14ac:dyDescent="0.2">
      <c r="BJ53719" s="201"/>
    </row>
    <row r="53720" spans="62:62" x14ac:dyDescent="0.2">
      <c r="BJ53720" s="201"/>
    </row>
    <row r="53721" spans="62:62" x14ac:dyDescent="0.2">
      <c r="BJ53721" s="201"/>
    </row>
    <row r="53722" spans="62:62" x14ac:dyDescent="0.2">
      <c r="BJ53722" s="201"/>
    </row>
    <row r="53723" spans="62:62" x14ac:dyDescent="0.2">
      <c r="BJ53723" s="201"/>
    </row>
    <row r="53724" spans="62:62" x14ac:dyDescent="0.2">
      <c r="BJ53724" s="201"/>
    </row>
    <row r="53725" spans="62:62" x14ac:dyDescent="0.2">
      <c r="BJ53725" s="201"/>
    </row>
    <row r="53726" spans="62:62" x14ac:dyDescent="0.2">
      <c r="BJ53726" s="201"/>
    </row>
    <row r="53727" spans="62:62" x14ac:dyDescent="0.2">
      <c r="BJ53727" s="201"/>
    </row>
    <row r="53728" spans="62:62" x14ac:dyDescent="0.2">
      <c r="BJ53728" s="201"/>
    </row>
    <row r="53729" spans="62:62" x14ac:dyDescent="0.2">
      <c r="BJ53729" s="201"/>
    </row>
    <row r="53730" spans="62:62" x14ac:dyDescent="0.2">
      <c r="BJ53730" s="201"/>
    </row>
    <row r="53731" spans="62:62" x14ac:dyDescent="0.2">
      <c r="BJ53731" s="201"/>
    </row>
    <row r="53732" spans="62:62" x14ac:dyDescent="0.2">
      <c r="BJ53732" s="201"/>
    </row>
    <row r="53733" spans="62:62" x14ac:dyDescent="0.2">
      <c r="BJ53733" s="201"/>
    </row>
    <row r="53734" spans="62:62" x14ac:dyDescent="0.2">
      <c r="BJ53734" s="201"/>
    </row>
    <row r="53735" spans="62:62" x14ac:dyDescent="0.2">
      <c r="BJ53735" s="201"/>
    </row>
    <row r="53736" spans="62:62" x14ac:dyDescent="0.2">
      <c r="BJ53736" s="201"/>
    </row>
    <row r="53737" spans="62:62" x14ac:dyDescent="0.2">
      <c r="BJ53737" s="201"/>
    </row>
    <row r="53738" spans="62:62" x14ac:dyDescent="0.2">
      <c r="BJ53738" s="201"/>
    </row>
    <row r="53739" spans="62:62" x14ac:dyDescent="0.2">
      <c r="BJ53739" s="201"/>
    </row>
    <row r="53740" spans="62:62" x14ac:dyDescent="0.2">
      <c r="BJ53740" s="201"/>
    </row>
    <row r="53741" spans="62:62" x14ac:dyDescent="0.2">
      <c r="BJ53741" s="201"/>
    </row>
    <row r="53742" spans="62:62" x14ac:dyDescent="0.2">
      <c r="BJ53742" s="201"/>
    </row>
    <row r="53743" spans="62:62" x14ac:dyDescent="0.2">
      <c r="BJ53743" s="201"/>
    </row>
    <row r="53744" spans="62:62" x14ac:dyDescent="0.2">
      <c r="BJ53744" s="201"/>
    </row>
    <row r="53745" spans="62:62" x14ac:dyDescent="0.2">
      <c r="BJ53745" s="201"/>
    </row>
    <row r="53746" spans="62:62" x14ac:dyDescent="0.2">
      <c r="BJ53746" s="201"/>
    </row>
    <row r="53747" spans="62:62" x14ac:dyDescent="0.2">
      <c r="BJ53747" s="201"/>
    </row>
    <row r="53748" spans="62:62" x14ac:dyDescent="0.2">
      <c r="BJ53748" s="201"/>
    </row>
    <row r="53749" spans="62:62" x14ac:dyDescent="0.2">
      <c r="BJ53749" s="201"/>
    </row>
    <row r="53750" spans="62:62" x14ac:dyDescent="0.2">
      <c r="BJ53750" s="201"/>
    </row>
    <row r="53751" spans="62:62" x14ac:dyDescent="0.2">
      <c r="BJ53751" s="201"/>
    </row>
    <row r="53752" spans="62:62" x14ac:dyDescent="0.2">
      <c r="BJ53752" s="201"/>
    </row>
    <row r="53753" spans="62:62" x14ac:dyDescent="0.2">
      <c r="BJ53753" s="201"/>
    </row>
    <row r="53754" spans="62:62" x14ac:dyDescent="0.2">
      <c r="BJ53754" s="201"/>
    </row>
    <row r="53755" spans="62:62" x14ac:dyDescent="0.2">
      <c r="BJ53755" s="201"/>
    </row>
    <row r="53756" spans="62:62" x14ac:dyDescent="0.2">
      <c r="BJ53756" s="201"/>
    </row>
    <row r="53757" spans="62:62" x14ac:dyDescent="0.2">
      <c r="BJ53757" s="201"/>
    </row>
    <row r="53758" spans="62:62" x14ac:dyDescent="0.2">
      <c r="BJ53758" s="201"/>
    </row>
    <row r="53759" spans="62:62" x14ac:dyDescent="0.2">
      <c r="BJ53759" s="201"/>
    </row>
    <row r="53760" spans="62:62" x14ac:dyDescent="0.2">
      <c r="BJ53760" s="201"/>
    </row>
    <row r="53761" spans="62:62" x14ac:dyDescent="0.2">
      <c r="BJ53761" s="201"/>
    </row>
    <row r="53762" spans="62:62" x14ac:dyDescent="0.2">
      <c r="BJ53762" s="201"/>
    </row>
    <row r="53763" spans="62:62" x14ac:dyDescent="0.2">
      <c r="BJ53763" s="201"/>
    </row>
    <row r="53764" spans="62:62" x14ac:dyDescent="0.2">
      <c r="BJ53764" s="201"/>
    </row>
    <row r="53765" spans="62:62" x14ac:dyDescent="0.2">
      <c r="BJ53765" s="201"/>
    </row>
    <row r="53766" spans="62:62" x14ac:dyDescent="0.2">
      <c r="BJ53766" s="201"/>
    </row>
    <row r="53767" spans="62:62" x14ac:dyDescent="0.2">
      <c r="BJ53767" s="201"/>
    </row>
    <row r="53768" spans="62:62" x14ac:dyDescent="0.2">
      <c r="BJ53768" s="201"/>
    </row>
    <row r="53769" spans="62:62" x14ac:dyDescent="0.2">
      <c r="BJ53769" s="201"/>
    </row>
    <row r="53770" spans="62:62" x14ac:dyDescent="0.2">
      <c r="BJ53770" s="201"/>
    </row>
    <row r="53771" spans="62:62" x14ac:dyDescent="0.2">
      <c r="BJ53771" s="201"/>
    </row>
    <row r="53772" spans="62:62" x14ac:dyDescent="0.2">
      <c r="BJ53772" s="201"/>
    </row>
    <row r="53773" spans="62:62" x14ac:dyDescent="0.2">
      <c r="BJ53773" s="201"/>
    </row>
    <row r="53774" spans="62:62" x14ac:dyDescent="0.2">
      <c r="BJ53774" s="201"/>
    </row>
    <row r="53775" spans="62:62" x14ac:dyDescent="0.2">
      <c r="BJ53775" s="201"/>
    </row>
    <row r="53776" spans="62:62" x14ac:dyDescent="0.2">
      <c r="BJ53776" s="201"/>
    </row>
    <row r="53777" spans="62:62" x14ac:dyDescent="0.2">
      <c r="BJ53777" s="201"/>
    </row>
    <row r="53778" spans="62:62" x14ac:dyDescent="0.2">
      <c r="BJ53778" s="201"/>
    </row>
    <row r="53779" spans="62:62" x14ac:dyDescent="0.2">
      <c r="BJ53779" s="201"/>
    </row>
    <row r="53780" spans="62:62" x14ac:dyDescent="0.2">
      <c r="BJ53780" s="201"/>
    </row>
    <row r="53781" spans="62:62" x14ac:dyDescent="0.2">
      <c r="BJ53781" s="201"/>
    </row>
    <row r="53782" spans="62:62" x14ac:dyDescent="0.2">
      <c r="BJ53782" s="201"/>
    </row>
    <row r="53783" spans="62:62" x14ac:dyDescent="0.2">
      <c r="BJ53783" s="201"/>
    </row>
    <row r="53784" spans="62:62" x14ac:dyDescent="0.2">
      <c r="BJ53784" s="201"/>
    </row>
    <row r="53785" spans="62:62" x14ac:dyDescent="0.2">
      <c r="BJ53785" s="201"/>
    </row>
    <row r="53786" spans="62:62" x14ac:dyDescent="0.2">
      <c r="BJ53786" s="201"/>
    </row>
    <row r="53787" spans="62:62" x14ac:dyDescent="0.2">
      <c r="BJ53787" s="201"/>
    </row>
    <row r="53788" spans="62:62" x14ac:dyDescent="0.2">
      <c r="BJ53788" s="201"/>
    </row>
    <row r="53789" spans="62:62" x14ac:dyDescent="0.2">
      <c r="BJ53789" s="201"/>
    </row>
    <row r="53790" spans="62:62" x14ac:dyDescent="0.2">
      <c r="BJ53790" s="201"/>
    </row>
    <row r="53791" spans="62:62" x14ac:dyDescent="0.2">
      <c r="BJ53791" s="201"/>
    </row>
    <row r="53792" spans="62:62" x14ac:dyDescent="0.2">
      <c r="BJ53792" s="201"/>
    </row>
    <row r="53793" spans="62:62" x14ac:dyDescent="0.2">
      <c r="BJ53793" s="201"/>
    </row>
    <row r="53794" spans="62:62" x14ac:dyDescent="0.2">
      <c r="BJ53794" s="201"/>
    </row>
    <row r="53795" spans="62:62" x14ac:dyDescent="0.2">
      <c r="BJ53795" s="201"/>
    </row>
    <row r="53796" spans="62:62" x14ac:dyDescent="0.2">
      <c r="BJ53796" s="201"/>
    </row>
    <row r="53797" spans="62:62" x14ac:dyDescent="0.2">
      <c r="BJ53797" s="201"/>
    </row>
    <row r="53798" spans="62:62" x14ac:dyDescent="0.2">
      <c r="BJ53798" s="201"/>
    </row>
    <row r="53799" spans="62:62" x14ac:dyDescent="0.2">
      <c r="BJ53799" s="201"/>
    </row>
    <row r="53800" spans="62:62" x14ac:dyDescent="0.2">
      <c r="BJ53800" s="201"/>
    </row>
    <row r="53801" spans="62:62" x14ac:dyDescent="0.2">
      <c r="BJ53801" s="201"/>
    </row>
    <row r="53802" spans="62:62" x14ac:dyDescent="0.2">
      <c r="BJ53802" s="201"/>
    </row>
    <row r="53803" spans="62:62" x14ac:dyDescent="0.2">
      <c r="BJ53803" s="201"/>
    </row>
    <row r="53804" spans="62:62" x14ac:dyDescent="0.2">
      <c r="BJ53804" s="201"/>
    </row>
    <row r="53805" spans="62:62" x14ac:dyDescent="0.2">
      <c r="BJ53805" s="201"/>
    </row>
    <row r="53806" spans="62:62" x14ac:dyDescent="0.2">
      <c r="BJ53806" s="201"/>
    </row>
    <row r="53807" spans="62:62" x14ac:dyDescent="0.2">
      <c r="BJ53807" s="201"/>
    </row>
    <row r="53808" spans="62:62" x14ac:dyDescent="0.2">
      <c r="BJ53808" s="201"/>
    </row>
    <row r="53809" spans="62:62" x14ac:dyDescent="0.2">
      <c r="BJ53809" s="201"/>
    </row>
    <row r="53810" spans="62:62" x14ac:dyDescent="0.2">
      <c r="BJ53810" s="201"/>
    </row>
    <row r="53811" spans="62:62" x14ac:dyDescent="0.2">
      <c r="BJ53811" s="201"/>
    </row>
    <row r="53812" spans="62:62" x14ac:dyDescent="0.2">
      <c r="BJ53812" s="201"/>
    </row>
    <row r="53813" spans="62:62" x14ac:dyDescent="0.2">
      <c r="BJ53813" s="201"/>
    </row>
    <row r="53814" spans="62:62" x14ac:dyDescent="0.2">
      <c r="BJ53814" s="201"/>
    </row>
    <row r="53815" spans="62:62" x14ac:dyDescent="0.2">
      <c r="BJ53815" s="201"/>
    </row>
    <row r="53816" spans="62:62" x14ac:dyDescent="0.2">
      <c r="BJ53816" s="201"/>
    </row>
    <row r="53817" spans="62:62" x14ac:dyDescent="0.2">
      <c r="BJ53817" s="201"/>
    </row>
    <row r="53818" spans="62:62" x14ac:dyDescent="0.2">
      <c r="BJ53818" s="201"/>
    </row>
    <row r="53819" spans="62:62" x14ac:dyDescent="0.2">
      <c r="BJ53819" s="201"/>
    </row>
    <row r="53820" spans="62:62" x14ac:dyDescent="0.2">
      <c r="BJ53820" s="201"/>
    </row>
    <row r="53821" spans="62:62" x14ac:dyDescent="0.2">
      <c r="BJ53821" s="201"/>
    </row>
    <row r="53822" spans="62:62" x14ac:dyDescent="0.2">
      <c r="BJ53822" s="201"/>
    </row>
    <row r="53823" spans="62:62" x14ac:dyDescent="0.2">
      <c r="BJ53823" s="201"/>
    </row>
    <row r="53824" spans="62:62" x14ac:dyDescent="0.2">
      <c r="BJ53824" s="201"/>
    </row>
    <row r="53825" spans="62:62" x14ac:dyDescent="0.2">
      <c r="BJ53825" s="201"/>
    </row>
    <row r="53826" spans="62:62" x14ac:dyDescent="0.2">
      <c r="BJ53826" s="201"/>
    </row>
    <row r="53827" spans="62:62" x14ac:dyDescent="0.2">
      <c r="BJ53827" s="201"/>
    </row>
    <row r="53828" spans="62:62" x14ac:dyDescent="0.2">
      <c r="BJ53828" s="201"/>
    </row>
    <row r="53829" spans="62:62" x14ac:dyDescent="0.2">
      <c r="BJ53829" s="201"/>
    </row>
    <row r="53830" spans="62:62" x14ac:dyDescent="0.2">
      <c r="BJ53830" s="201"/>
    </row>
    <row r="53831" spans="62:62" x14ac:dyDescent="0.2">
      <c r="BJ53831" s="201"/>
    </row>
    <row r="53832" spans="62:62" x14ac:dyDescent="0.2">
      <c r="BJ53832" s="201"/>
    </row>
    <row r="53833" spans="62:62" x14ac:dyDescent="0.2">
      <c r="BJ53833" s="201"/>
    </row>
    <row r="53834" spans="62:62" x14ac:dyDescent="0.2">
      <c r="BJ53834" s="201"/>
    </row>
    <row r="53835" spans="62:62" x14ac:dyDescent="0.2">
      <c r="BJ53835" s="201"/>
    </row>
    <row r="53836" spans="62:62" x14ac:dyDescent="0.2">
      <c r="BJ53836" s="201"/>
    </row>
    <row r="53837" spans="62:62" x14ac:dyDescent="0.2">
      <c r="BJ53837" s="201"/>
    </row>
    <row r="53838" spans="62:62" x14ac:dyDescent="0.2">
      <c r="BJ53838" s="201"/>
    </row>
    <row r="53839" spans="62:62" x14ac:dyDescent="0.2">
      <c r="BJ53839" s="201"/>
    </row>
    <row r="53840" spans="62:62" x14ac:dyDescent="0.2">
      <c r="BJ53840" s="201"/>
    </row>
    <row r="53841" spans="62:62" x14ac:dyDescent="0.2">
      <c r="BJ53841" s="201"/>
    </row>
    <row r="53842" spans="62:62" x14ac:dyDescent="0.2">
      <c r="BJ53842" s="201"/>
    </row>
    <row r="53843" spans="62:62" x14ac:dyDescent="0.2">
      <c r="BJ53843" s="201"/>
    </row>
    <row r="53844" spans="62:62" x14ac:dyDescent="0.2">
      <c r="BJ53844" s="201"/>
    </row>
    <row r="53845" spans="62:62" x14ac:dyDescent="0.2">
      <c r="BJ53845" s="201"/>
    </row>
    <row r="53846" spans="62:62" x14ac:dyDescent="0.2">
      <c r="BJ53846" s="201"/>
    </row>
    <row r="53847" spans="62:62" x14ac:dyDescent="0.2">
      <c r="BJ53847" s="201"/>
    </row>
    <row r="53848" spans="62:62" x14ac:dyDescent="0.2">
      <c r="BJ53848" s="201"/>
    </row>
    <row r="53849" spans="62:62" x14ac:dyDescent="0.2">
      <c r="BJ53849" s="201"/>
    </row>
    <row r="53850" spans="62:62" x14ac:dyDescent="0.2">
      <c r="BJ53850" s="201"/>
    </row>
    <row r="53851" spans="62:62" x14ac:dyDescent="0.2">
      <c r="BJ53851" s="201"/>
    </row>
    <row r="53852" spans="62:62" x14ac:dyDescent="0.2">
      <c r="BJ53852" s="201"/>
    </row>
    <row r="53853" spans="62:62" x14ac:dyDescent="0.2">
      <c r="BJ53853" s="201"/>
    </row>
    <row r="53854" spans="62:62" x14ac:dyDescent="0.2">
      <c r="BJ53854" s="201"/>
    </row>
    <row r="53855" spans="62:62" x14ac:dyDescent="0.2">
      <c r="BJ53855" s="201"/>
    </row>
    <row r="53856" spans="62:62" x14ac:dyDescent="0.2">
      <c r="BJ53856" s="201"/>
    </row>
    <row r="53857" spans="62:62" x14ac:dyDescent="0.2">
      <c r="BJ53857" s="201"/>
    </row>
    <row r="53858" spans="62:62" x14ac:dyDescent="0.2">
      <c r="BJ53858" s="201"/>
    </row>
    <row r="53859" spans="62:62" x14ac:dyDescent="0.2">
      <c r="BJ53859" s="201"/>
    </row>
    <row r="53860" spans="62:62" x14ac:dyDescent="0.2">
      <c r="BJ53860" s="201"/>
    </row>
    <row r="53861" spans="62:62" x14ac:dyDescent="0.2">
      <c r="BJ53861" s="201"/>
    </row>
    <row r="53862" spans="62:62" x14ac:dyDescent="0.2">
      <c r="BJ53862" s="201"/>
    </row>
    <row r="53863" spans="62:62" x14ac:dyDescent="0.2">
      <c r="BJ53863" s="201"/>
    </row>
    <row r="53864" spans="62:62" x14ac:dyDescent="0.2">
      <c r="BJ53864" s="201"/>
    </row>
    <row r="53865" spans="62:62" x14ac:dyDescent="0.2">
      <c r="BJ53865" s="201"/>
    </row>
    <row r="53866" spans="62:62" x14ac:dyDescent="0.2">
      <c r="BJ53866" s="201"/>
    </row>
    <row r="53867" spans="62:62" x14ac:dyDescent="0.2">
      <c r="BJ53867" s="201"/>
    </row>
    <row r="53868" spans="62:62" x14ac:dyDescent="0.2">
      <c r="BJ53868" s="201"/>
    </row>
    <row r="53869" spans="62:62" x14ac:dyDescent="0.2">
      <c r="BJ53869" s="201"/>
    </row>
    <row r="53870" spans="62:62" x14ac:dyDescent="0.2">
      <c r="BJ53870" s="201"/>
    </row>
    <row r="53871" spans="62:62" x14ac:dyDescent="0.2">
      <c r="BJ53871" s="201"/>
    </row>
    <row r="53872" spans="62:62" x14ac:dyDescent="0.2">
      <c r="BJ53872" s="201"/>
    </row>
    <row r="53873" spans="62:62" x14ac:dyDescent="0.2">
      <c r="BJ53873" s="201"/>
    </row>
    <row r="53874" spans="62:62" x14ac:dyDescent="0.2">
      <c r="BJ53874" s="201"/>
    </row>
    <row r="53875" spans="62:62" x14ac:dyDescent="0.2">
      <c r="BJ53875" s="201"/>
    </row>
    <row r="53876" spans="62:62" x14ac:dyDescent="0.2">
      <c r="BJ53876" s="201"/>
    </row>
    <row r="53877" spans="62:62" x14ac:dyDescent="0.2">
      <c r="BJ53877" s="201"/>
    </row>
    <row r="53878" spans="62:62" x14ac:dyDescent="0.2">
      <c r="BJ53878" s="201"/>
    </row>
    <row r="53879" spans="62:62" x14ac:dyDescent="0.2">
      <c r="BJ53879" s="201"/>
    </row>
    <row r="53880" spans="62:62" x14ac:dyDescent="0.2">
      <c r="BJ53880" s="201"/>
    </row>
    <row r="53881" spans="62:62" x14ac:dyDescent="0.2">
      <c r="BJ53881" s="201"/>
    </row>
    <row r="53882" spans="62:62" x14ac:dyDescent="0.2">
      <c r="BJ53882" s="201"/>
    </row>
    <row r="53883" spans="62:62" x14ac:dyDescent="0.2">
      <c r="BJ53883" s="201"/>
    </row>
    <row r="53884" spans="62:62" x14ac:dyDescent="0.2">
      <c r="BJ53884" s="201"/>
    </row>
    <row r="53885" spans="62:62" x14ac:dyDescent="0.2">
      <c r="BJ53885" s="201"/>
    </row>
    <row r="53886" spans="62:62" x14ac:dyDescent="0.2">
      <c r="BJ53886" s="201"/>
    </row>
    <row r="53887" spans="62:62" x14ac:dyDescent="0.2">
      <c r="BJ53887" s="201"/>
    </row>
    <row r="53888" spans="62:62" x14ac:dyDescent="0.2">
      <c r="BJ53888" s="201"/>
    </row>
    <row r="53889" spans="62:62" x14ac:dyDescent="0.2">
      <c r="BJ53889" s="201"/>
    </row>
    <row r="53890" spans="62:62" x14ac:dyDescent="0.2">
      <c r="BJ53890" s="201"/>
    </row>
    <row r="53891" spans="62:62" x14ac:dyDescent="0.2">
      <c r="BJ53891" s="201"/>
    </row>
    <row r="53892" spans="62:62" x14ac:dyDescent="0.2">
      <c r="BJ53892" s="201"/>
    </row>
    <row r="53893" spans="62:62" x14ac:dyDescent="0.2">
      <c r="BJ53893" s="201"/>
    </row>
    <row r="53894" spans="62:62" x14ac:dyDescent="0.2">
      <c r="BJ53894" s="201"/>
    </row>
    <row r="53895" spans="62:62" x14ac:dyDescent="0.2">
      <c r="BJ53895" s="201"/>
    </row>
    <row r="53896" spans="62:62" x14ac:dyDescent="0.2">
      <c r="BJ53896" s="201"/>
    </row>
    <row r="53897" spans="62:62" x14ac:dyDescent="0.2">
      <c r="BJ53897" s="201"/>
    </row>
    <row r="53898" spans="62:62" x14ac:dyDescent="0.2">
      <c r="BJ53898" s="201"/>
    </row>
    <row r="53899" spans="62:62" x14ac:dyDescent="0.2">
      <c r="BJ53899" s="201"/>
    </row>
    <row r="53900" spans="62:62" x14ac:dyDescent="0.2">
      <c r="BJ53900" s="201"/>
    </row>
    <row r="53901" spans="62:62" x14ac:dyDescent="0.2">
      <c r="BJ53901" s="201"/>
    </row>
    <row r="53902" spans="62:62" x14ac:dyDescent="0.2">
      <c r="BJ53902" s="201"/>
    </row>
    <row r="53903" spans="62:62" x14ac:dyDescent="0.2">
      <c r="BJ53903" s="201"/>
    </row>
    <row r="53904" spans="62:62" x14ac:dyDescent="0.2">
      <c r="BJ53904" s="201"/>
    </row>
    <row r="53905" spans="62:62" x14ac:dyDescent="0.2">
      <c r="BJ53905" s="201"/>
    </row>
    <row r="53906" spans="62:62" x14ac:dyDescent="0.2">
      <c r="BJ53906" s="201"/>
    </row>
    <row r="53907" spans="62:62" x14ac:dyDescent="0.2">
      <c r="BJ53907" s="201"/>
    </row>
    <row r="53908" spans="62:62" x14ac:dyDescent="0.2">
      <c r="BJ53908" s="201"/>
    </row>
    <row r="53909" spans="62:62" x14ac:dyDescent="0.2">
      <c r="BJ53909" s="201"/>
    </row>
    <row r="53910" spans="62:62" x14ac:dyDescent="0.2">
      <c r="BJ53910" s="201"/>
    </row>
    <row r="53911" spans="62:62" x14ac:dyDescent="0.2">
      <c r="BJ53911" s="201"/>
    </row>
    <row r="53912" spans="62:62" x14ac:dyDescent="0.2">
      <c r="BJ53912" s="201"/>
    </row>
    <row r="53913" spans="62:62" x14ac:dyDescent="0.2">
      <c r="BJ53913" s="201"/>
    </row>
    <row r="53914" spans="62:62" x14ac:dyDescent="0.2">
      <c r="BJ53914" s="201"/>
    </row>
    <row r="53915" spans="62:62" x14ac:dyDescent="0.2">
      <c r="BJ53915" s="201"/>
    </row>
    <row r="53916" spans="62:62" x14ac:dyDescent="0.2">
      <c r="BJ53916" s="201"/>
    </row>
    <row r="53917" spans="62:62" x14ac:dyDescent="0.2">
      <c r="BJ53917" s="201"/>
    </row>
    <row r="53918" spans="62:62" x14ac:dyDescent="0.2">
      <c r="BJ53918" s="201"/>
    </row>
    <row r="53919" spans="62:62" x14ac:dyDescent="0.2">
      <c r="BJ53919" s="201"/>
    </row>
    <row r="53920" spans="62:62" x14ac:dyDescent="0.2">
      <c r="BJ53920" s="201"/>
    </row>
    <row r="53921" spans="62:62" x14ac:dyDescent="0.2">
      <c r="BJ53921" s="201"/>
    </row>
    <row r="53922" spans="62:62" x14ac:dyDescent="0.2">
      <c r="BJ53922" s="201"/>
    </row>
    <row r="53923" spans="62:62" x14ac:dyDescent="0.2">
      <c r="BJ53923" s="201"/>
    </row>
    <row r="53924" spans="62:62" x14ac:dyDescent="0.2">
      <c r="BJ53924" s="201"/>
    </row>
    <row r="53925" spans="62:62" x14ac:dyDescent="0.2">
      <c r="BJ53925" s="201"/>
    </row>
    <row r="53926" spans="62:62" x14ac:dyDescent="0.2">
      <c r="BJ53926" s="201"/>
    </row>
    <row r="53927" spans="62:62" x14ac:dyDescent="0.2">
      <c r="BJ53927" s="201"/>
    </row>
    <row r="53928" spans="62:62" x14ac:dyDescent="0.2">
      <c r="BJ53928" s="201"/>
    </row>
    <row r="53929" spans="62:62" x14ac:dyDescent="0.2">
      <c r="BJ53929" s="201"/>
    </row>
    <row r="53930" spans="62:62" x14ac:dyDescent="0.2">
      <c r="BJ53930" s="201"/>
    </row>
    <row r="53931" spans="62:62" x14ac:dyDescent="0.2">
      <c r="BJ53931" s="201"/>
    </row>
    <row r="53932" spans="62:62" x14ac:dyDescent="0.2">
      <c r="BJ53932" s="201"/>
    </row>
    <row r="53933" spans="62:62" x14ac:dyDescent="0.2">
      <c r="BJ53933" s="201"/>
    </row>
    <row r="53934" spans="62:62" x14ac:dyDescent="0.2">
      <c r="BJ53934" s="201"/>
    </row>
    <row r="53935" spans="62:62" x14ac:dyDescent="0.2">
      <c r="BJ53935" s="201"/>
    </row>
    <row r="53936" spans="62:62" x14ac:dyDescent="0.2">
      <c r="BJ53936" s="201"/>
    </row>
    <row r="53937" spans="62:62" x14ac:dyDescent="0.2">
      <c r="BJ53937" s="201"/>
    </row>
    <row r="53938" spans="62:62" x14ac:dyDescent="0.2">
      <c r="BJ53938" s="201"/>
    </row>
    <row r="53939" spans="62:62" x14ac:dyDescent="0.2">
      <c r="BJ53939" s="201"/>
    </row>
    <row r="53940" spans="62:62" x14ac:dyDescent="0.2">
      <c r="BJ53940" s="201"/>
    </row>
    <row r="53941" spans="62:62" x14ac:dyDescent="0.2">
      <c r="BJ53941" s="201"/>
    </row>
    <row r="53942" spans="62:62" x14ac:dyDescent="0.2">
      <c r="BJ53942" s="201"/>
    </row>
    <row r="53943" spans="62:62" x14ac:dyDescent="0.2">
      <c r="BJ53943" s="201"/>
    </row>
    <row r="53944" spans="62:62" x14ac:dyDescent="0.2">
      <c r="BJ53944" s="201"/>
    </row>
    <row r="53945" spans="62:62" x14ac:dyDescent="0.2">
      <c r="BJ53945" s="201"/>
    </row>
    <row r="53946" spans="62:62" x14ac:dyDescent="0.2">
      <c r="BJ53946" s="201"/>
    </row>
    <row r="53947" spans="62:62" x14ac:dyDescent="0.2">
      <c r="BJ53947" s="201"/>
    </row>
    <row r="53948" spans="62:62" x14ac:dyDescent="0.2">
      <c r="BJ53948" s="201"/>
    </row>
    <row r="53949" spans="62:62" x14ac:dyDescent="0.2">
      <c r="BJ53949" s="201"/>
    </row>
    <row r="53950" spans="62:62" x14ac:dyDescent="0.2">
      <c r="BJ53950" s="201"/>
    </row>
    <row r="53951" spans="62:62" x14ac:dyDescent="0.2">
      <c r="BJ53951" s="201"/>
    </row>
    <row r="53952" spans="62:62" x14ac:dyDescent="0.2">
      <c r="BJ53952" s="201"/>
    </row>
    <row r="53953" spans="62:62" x14ac:dyDescent="0.2">
      <c r="BJ53953" s="201"/>
    </row>
    <row r="53954" spans="62:62" x14ac:dyDescent="0.2">
      <c r="BJ53954" s="201"/>
    </row>
    <row r="53955" spans="62:62" x14ac:dyDescent="0.2">
      <c r="BJ53955" s="201"/>
    </row>
    <row r="53956" spans="62:62" x14ac:dyDescent="0.2">
      <c r="BJ53956" s="201"/>
    </row>
    <row r="53957" spans="62:62" x14ac:dyDescent="0.2">
      <c r="BJ53957" s="201"/>
    </row>
    <row r="53958" spans="62:62" x14ac:dyDescent="0.2">
      <c r="BJ53958" s="201"/>
    </row>
    <row r="53959" spans="62:62" x14ac:dyDescent="0.2">
      <c r="BJ53959" s="201"/>
    </row>
    <row r="53960" spans="62:62" x14ac:dyDescent="0.2">
      <c r="BJ53960" s="201"/>
    </row>
    <row r="53961" spans="62:62" x14ac:dyDescent="0.2">
      <c r="BJ53961" s="201"/>
    </row>
    <row r="53962" spans="62:62" x14ac:dyDescent="0.2">
      <c r="BJ53962" s="201"/>
    </row>
    <row r="53963" spans="62:62" x14ac:dyDescent="0.2">
      <c r="BJ53963" s="201"/>
    </row>
    <row r="53964" spans="62:62" x14ac:dyDescent="0.2">
      <c r="BJ53964" s="201"/>
    </row>
    <row r="53965" spans="62:62" x14ac:dyDescent="0.2">
      <c r="BJ53965" s="201"/>
    </row>
    <row r="53966" spans="62:62" x14ac:dyDescent="0.2">
      <c r="BJ53966" s="201"/>
    </row>
    <row r="53967" spans="62:62" x14ac:dyDescent="0.2">
      <c r="BJ53967" s="201"/>
    </row>
    <row r="53968" spans="62:62" x14ac:dyDescent="0.2">
      <c r="BJ53968" s="201"/>
    </row>
    <row r="53969" spans="62:62" x14ac:dyDescent="0.2">
      <c r="BJ53969" s="201"/>
    </row>
    <row r="53970" spans="62:62" x14ac:dyDescent="0.2">
      <c r="BJ53970" s="201"/>
    </row>
    <row r="53971" spans="62:62" x14ac:dyDescent="0.2">
      <c r="BJ53971" s="201"/>
    </row>
    <row r="53972" spans="62:62" x14ac:dyDescent="0.2">
      <c r="BJ53972" s="201"/>
    </row>
    <row r="53973" spans="62:62" x14ac:dyDescent="0.2">
      <c r="BJ53973" s="201"/>
    </row>
    <row r="53974" spans="62:62" x14ac:dyDescent="0.2">
      <c r="BJ53974" s="201"/>
    </row>
    <row r="53975" spans="62:62" x14ac:dyDescent="0.2">
      <c r="BJ53975" s="201"/>
    </row>
    <row r="53976" spans="62:62" x14ac:dyDescent="0.2">
      <c r="BJ53976" s="201"/>
    </row>
    <row r="53977" spans="62:62" x14ac:dyDescent="0.2">
      <c r="BJ53977" s="201"/>
    </row>
    <row r="53978" spans="62:62" x14ac:dyDescent="0.2">
      <c r="BJ53978" s="201"/>
    </row>
    <row r="53979" spans="62:62" x14ac:dyDescent="0.2">
      <c r="BJ53979" s="201"/>
    </row>
    <row r="53980" spans="62:62" x14ac:dyDescent="0.2">
      <c r="BJ53980" s="201"/>
    </row>
    <row r="53981" spans="62:62" x14ac:dyDescent="0.2">
      <c r="BJ53981" s="201"/>
    </row>
    <row r="53982" spans="62:62" x14ac:dyDescent="0.2">
      <c r="BJ53982" s="201"/>
    </row>
    <row r="53983" spans="62:62" x14ac:dyDescent="0.2">
      <c r="BJ53983" s="201"/>
    </row>
    <row r="53984" spans="62:62" x14ac:dyDescent="0.2">
      <c r="BJ53984" s="201"/>
    </row>
    <row r="53985" spans="62:62" x14ac:dyDescent="0.2">
      <c r="BJ53985" s="201"/>
    </row>
    <row r="53986" spans="62:62" x14ac:dyDescent="0.2">
      <c r="BJ53986" s="201"/>
    </row>
    <row r="53987" spans="62:62" x14ac:dyDescent="0.2">
      <c r="BJ53987" s="201"/>
    </row>
    <row r="53988" spans="62:62" x14ac:dyDescent="0.2">
      <c r="BJ53988" s="201"/>
    </row>
    <row r="53989" spans="62:62" x14ac:dyDescent="0.2">
      <c r="BJ53989" s="201"/>
    </row>
    <row r="53990" spans="62:62" x14ac:dyDescent="0.2">
      <c r="BJ53990" s="201"/>
    </row>
    <row r="53991" spans="62:62" x14ac:dyDescent="0.2">
      <c r="BJ53991" s="201"/>
    </row>
    <row r="53992" spans="62:62" x14ac:dyDescent="0.2">
      <c r="BJ53992" s="201"/>
    </row>
    <row r="53993" spans="62:62" x14ac:dyDescent="0.2">
      <c r="BJ53993" s="201"/>
    </row>
    <row r="53994" spans="62:62" x14ac:dyDescent="0.2">
      <c r="BJ53994" s="201"/>
    </row>
    <row r="53995" spans="62:62" x14ac:dyDescent="0.2">
      <c r="BJ53995" s="201"/>
    </row>
    <row r="53996" spans="62:62" x14ac:dyDescent="0.2">
      <c r="BJ53996" s="201"/>
    </row>
    <row r="53997" spans="62:62" x14ac:dyDescent="0.2">
      <c r="BJ53997" s="201"/>
    </row>
    <row r="53998" spans="62:62" x14ac:dyDescent="0.2">
      <c r="BJ53998" s="201"/>
    </row>
    <row r="53999" spans="62:62" x14ac:dyDescent="0.2">
      <c r="BJ53999" s="201"/>
    </row>
    <row r="54000" spans="62:62" x14ac:dyDescent="0.2">
      <c r="BJ54000" s="201"/>
    </row>
    <row r="54001" spans="62:62" x14ac:dyDescent="0.2">
      <c r="BJ54001" s="201"/>
    </row>
    <row r="54002" spans="62:62" x14ac:dyDescent="0.2">
      <c r="BJ54002" s="201"/>
    </row>
    <row r="54003" spans="62:62" x14ac:dyDescent="0.2">
      <c r="BJ54003" s="201"/>
    </row>
    <row r="54004" spans="62:62" x14ac:dyDescent="0.2">
      <c r="BJ54004" s="201"/>
    </row>
    <row r="54005" spans="62:62" x14ac:dyDescent="0.2">
      <c r="BJ54005" s="201"/>
    </row>
    <row r="54006" spans="62:62" x14ac:dyDescent="0.2">
      <c r="BJ54006" s="201"/>
    </row>
    <row r="54007" spans="62:62" x14ac:dyDescent="0.2">
      <c r="BJ54007" s="201"/>
    </row>
    <row r="54008" spans="62:62" x14ac:dyDescent="0.2">
      <c r="BJ54008" s="201"/>
    </row>
    <row r="54009" spans="62:62" x14ac:dyDescent="0.2">
      <c r="BJ54009" s="201"/>
    </row>
    <row r="54010" spans="62:62" x14ac:dyDescent="0.2">
      <c r="BJ54010" s="201"/>
    </row>
    <row r="54011" spans="62:62" x14ac:dyDescent="0.2">
      <c r="BJ54011" s="201"/>
    </row>
    <row r="54012" spans="62:62" x14ac:dyDescent="0.2">
      <c r="BJ54012" s="201"/>
    </row>
    <row r="54013" spans="62:62" x14ac:dyDescent="0.2">
      <c r="BJ54013" s="201"/>
    </row>
    <row r="54014" spans="62:62" x14ac:dyDescent="0.2">
      <c r="BJ54014" s="201"/>
    </row>
    <row r="54015" spans="62:62" x14ac:dyDescent="0.2">
      <c r="BJ54015" s="201"/>
    </row>
    <row r="54016" spans="62:62" x14ac:dyDescent="0.2">
      <c r="BJ54016" s="201"/>
    </row>
    <row r="54017" spans="62:62" x14ac:dyDescent="0.2">
      <c r="BJ54017" s="201"/>
    </row>
    <row r="54018" spans="62:62" x14ac:dyDescent="0.2">
      <c r="BJ54018" s="201"/>
    </row>
    <row r="54019" spans="62:62" x14ac:dyDescent="0.2">
      <c r="BJ54019" s="201"/>
    </row>
    <row r="54020" spans="62:62" x14ac:dyDescent="0.2">
      <c r="BJ54020" s="201"/>
    </row>
    <row r="54021" spans="62:62" x14ac:dyDescent="0.2">
      <c r="BJ54021" s="201"/>
    </row>
    <row r="54022" spans="62:62" x14ac:dyDescent="0.2">
      <c r="BJ54022" s="201"/>
    </row>
    <row r="54023" spans="62:62" x14ac:dyDescent="0.2">
      <c r="BJ54023" s="201"/>
    </row>
    <row r="54024" spans="62:62" x14ac:dyDescent="0.2">
      <c r="BJ54024" s="201"/>
    </row>
    <row r="54025" spans="62:62" x14ac:dyDescent="0.2">
      <c r="BJ54025" s="201"/>
    </row>
    <row r="54026" spans="62:62" x14ac:dyDescent="0.2">
      <c r="BJ54026" s="201"/>
    </row>
    <row r="54027" spans="62:62" x14ac:dyDescent="0.2">
      <c r="BJ54027" s="201"/>
    </row>
    <row r="54028" spans="62:62" x14ac:dyDescent="0.2">
      <c r="BJ54028" s="201"/>
    </row>
    <row r="54029" spans="62:62" x14ac:dyDescent="0.2">
      <c r="BJ54029" s="201"/>
    </row>
    <row r="54030" spans="62:62" x14ac:dyDescent="0.2">
      <c r="BJ54030" s="201"/>
    </row>
    <row r="54031" spans="62:62" x14ac:dyDescent="0.2">
      <c r="BJ54031" s="201"/>
    </row>
    <row r="54032" spans="62:62" x14ac:dyDescent="0.2">
      <c r="BJ54032" s="201"/>
    </row>
    <row r="54033" spans="62:62" x14ac:dyDescent="0.2">
      <c r="BJ54033" s="201"/>
    </row>
    <row r="54034" spans="62:62" x14ac:dyDescent="0.2">
      <c r="BJ54034" s="201"/>
    </row>
    <row r="54035" spans="62:62" x14ac:dyDescent="0.2">
      <c r="BJ54035" s="201"/>
    </row>
    <row r="54036" spans="62:62" x14ac:dyDescent="0.2">
      <c r="BJ54036" s="201"/>
    </row>
    <row r="54037" spans="62:62" x14ac:dyDescent="0.2">
      <c r="BJ54037" s="201"/>
    </row>
    <row r="54038" spans="62:62" x14ac:dyDescent="0.2">
      <c r="BJ54038" s="201"/>
    </row>
    <row r="54039" spans="62:62" x14ac:dyDescent="0.2">
      <c r="BJ54039" s="201"/>
    </row>
    <row r="54040" spans="62:62" x14ac:dyDescent="0.2">
      <c r="BJ54040" s="201"/>
    </row>
    <row r="54041" spans="62:62" x14ac:dyDescent="0.2">
      <c r="BJ54041" s="201"/>
    </row>
    <row r="54042" spans="62:62" x14ac:dyDescent="0.2">
      <c r="BJ54042" s="201"/>
    </row>
    <row r="54043" spans="62:62" x14ac:dyDescent="0.2">
      <c r="BJ54043" s="201"/>
    </row>
    <row r="54044" spans="62:62" x14ac:dyDescent="0.2">
      <c r="BJ54044" s="201"/>
    </row>
    <row r="54045" spans="62:62" x14ac:dyDescent="0.2">
      <c r="BJ54045" s="201"/>
    </row>
    <row r="54046" spans="62:62" x14ac:dyDescent="0.2">
      <c r="BJ54046" s="201"/>
    </row>
    <row r="54047" spans="62:62" x14ac:dyDescent="0.2">
      <c r="BJ54047" s="201"/>
    </row>
    <row r="54048" spans="62:62" x14ac:dyDescent="0.2">
      <c r="BJ54048" s="201"/>
    </row>
    <row r="54049" spans="62:62" x14ac:dyDescent="0.2">
      <c r="BJ54049" s="201"/>
    </row>
    <row r="54050" spans="62:62" x14ac:dyDescent="0.2">
      <c r="BJ54050" s="201"/>
    </row>
    <row r="54051" spans="62:62" x14ac:dyDescent="0.2">
      <c r="BJ54051" s="201"/>
    </row>
    <row r="54052" spans="62:62" x14ac:dyDescent="0.2">
      <c r="BJ54052" s="201"/>
    </row>
    <row r="54053" spans="62:62" x14ac:dyDescent="0.2">
      <c r="BJ54053" s="201"/>
    </row>
    <row r="54054" spans="62:62" x14ac:dyDescent="0.2">
      <c r="BJ54054" s="201"/>
    </row>
    <row r="54055" spans="62:62" x14ac:dyDescent="0.2">
      <c r="BJ54055" s="201"/>
    </row>
    <row r="54056" spans="62:62" x14ac:dyDescent="0.2">
      <c r="BJ54056" s="201"/>
    </row>
    <row r="54057" spans="62:62" x14ac:dyDescent="0.2">
      <c r="BJ54057" s="201"/>
    </row>
    <row r="54058" spans="62:62" x14ac:dyDescent="0.2">
      <c r="BJ54058" s="201"/>
    </row>
    <row r="54059" spans="62:62" x14ac:dyDescent="0.2">
      <c r="BJ54059" s="201"/>
    </row>
    <row r="54060" spans="62:62" x14ac:dyDescent="0.2">
      <c r="BJ54060" s="201"/>
    </row>
    <row r="54061" spans="62:62" x14ac:dyDescent="0.2">
      <c r="BJ54061" s="201"/>
    </row>
    <row r="54062" spans="62:62" x14ac:dyDescent="0.2">
      <c r="BJ54062" s="201"/>
    </row>
    <row r="54063" spans="62:62" x14ac:dyDescent="0.2">
      <c r="BJ54063" s="201"/>
    </row>
    <row r="54064" spans="62:62" x14ac:dyDescent="0.2">
      <c r="BJ54064" s="201"/>
    </row>
    <row r="54065" spans="62:62" x14ac:dyDescent="0.2">
      <c r="BJ54065" s="201"/>
    </row>
    <row r="54066" spans="62:62" x14ac:dyDescent="0.2">
      <c r="BJ54066" s="201"/>
    </row>
    <row r="54067" spans="62:62" x14ac:dyDescent="0.2">
      <c r="BJ54067" s="201"/>
    </row>
    <row r="54068" spans="62:62" x14ac:dyDescent="0.2">
      <c r="BJ54068" s="201"/>
    </row>
    <row r="54069" spans="62:62" x14ac:dyDescent="0.2">
      <c r="BJ54069" s="201"/>
    </row>
    <row r="54070" spans="62:62" x14ac:dyDescent="0.2">
      <c r="BJ54070" s="201"/>
    </row>
    <row r="54071" spans="62:62" x14ac:dyDescent="0.2">
      <c r="BJ54071" s="201"/>
    </row>
    <row r="54072" spans="62:62" x14ac:dyDescent="0.2">
      <c r="BJ54072" s="201"/>
    </row>
    <row r="54073" spans="62:62" x14ac:dyDescent="0.2">
      <c r="BJ54073" s="201"/>
    </row>
    <row r="54074" spans="62:62" x14ac:dyDescent="0.2">
      <c r="BJ54074" s="201"/>
    </row>
    <row r="54075" spans="62:62" x14ac:dyDescent="0.2">
      <c r="BJ54075" s="201"/>
    </row>
    <row r="54076" spans="62:62" x14ac:dyDescent="0.2">
      <c r="BJ54076" s="201"/>
    </row>
    <row r="54077" spans="62:62" x14ac:dyDescent="0.2">
      <c r="BJ54077" s="201"/>
    </row>
    <row r="54078" spans="62:62" x14ac:dyDescent="0.2">
      <c r="BJ54078" s="201"/>
    </row>
    <row r="54079" spans="62:62" x14ac:dyDescent="0.2">
      <c r="BJ54079" s="201"/>
    </row>
    <row r="54080" spans="62:62" x14ac:dyDescent="0.2">
      <c r="BJ54080" s="201"/>
    </row>
    <row r="54081" spans="62:62" x14ac:dyDescent="0.2">
      <c r="BJ54081" s="201"/>
    </row>
    <row r="54082" spans="62:62" x14ac:dyDescent="0.2">
      <c r="BJ54082" s="201"/>
    </row>
    <row r="54083" spans="62:62" x14ac:dyDescent="0.2">
      <c r="BJ54083" s="201"/>
    </row>
    <row r="54084" spans="62:62" x14ac:dyDescent="0.2">
      <c r="BJ54084" s="201"/>
    </row>
    <row r="54085" spans="62:62" x14ac:dyDescent="0.2">
      <c r="BJ54085" s="201"/>
    </row>
    <row r="54086" spans="62:62" x14ac:dyDescent="0.2">
      <c r="BJ54086" s="201"/>
    </row>
    <row r="54087" spans="62:62" x14ac:dyDescent="0.2">
      <c r="BJ54087" s="201"/>
    </row>
    <row r="54088" spans="62:62" x14ac:dyDescent="0.2">
      <c r="BJ54088" s="201"/>
    </row>
    <row r="54089" spans="62:62" x14ac:dyDescent="0.2">
      <c r="BJ54089" s="201"/>
    </row>
    <row r="54090" spans="62:62" x14ac:dyDescent="0.2">
      <c r="BJ54090" s="201"/>
    </row>
    <row r="54091" spans="62:62" x14ac:dyDescent="0.2">
      <c r="BJ54091" s="201"/>
    </row>
    <row r="54092" spans="62:62" x14ac:dyDescent="0.2">
      <c r="BJ54092" s="201"/>
    </row>
    <row r="54093" spans="62:62" x14ac:dyDescent="0.2">
      <c r="BJ54093" s="201"/>
    </row>
    <row r="54094" spans="62:62" x14ac:dyDescent="0.2">
      <c r="BJ54094" s="201"/>
    </row>
    <row r="54095" spans="62:62" x14ac:dyDescent="0.2">
      <c r="BJ54095" s="201"/>
    </row>
    <row r="54096" spans="62:62" x14ac:dyDescent="0.2">
      <c r="BJ54096" s="201"/>
    </row>
    <row r="54097" spans="62:62" x14ac:dyDescent="0.2">
      <c r="BJ54097" s="201"/>
    </row>
    <row r="54098" spans="62:62" x14ac:dyDescent="0.2">
      <c r="BJ54098" s="201"/>
    </row>
    <row r="54099" spans="62:62" x14ac:dyDescent="0.2">
      <c r="BJ54099" s="201"/>
    </row>
    <row r="54100" spans="62:62" x14ac:dyDescent="0.2">
      <c r="BJ54100" s="201"/>
    </row>
    <row r="54101" spans="62:62" x14ac:dyDescent="0.2">
      <c r="BJ54101" s="201"/>
    </row>
    <row r="54102" spans="62:62" x14ac:dyDescent="0.2">
      <c r="BJ54102" s="201"/>
    </row>
    <row r="54103" spans="62:62" x14ac:dyDescent="0.2">
      <c r="BJ54103" s="201"/>
    </row>
    <row r="54104" spans="62:62" x14ac:dyDescent="0.2">
      <c r="BJ54104" s="201"/>
    </row>
    <row r="54105" spans="62:62" x14ac:dyDescent="0.2">
      <c r="BJ54105" s="201"/>
    </row>
    <row r="54106" spans="62:62" x14ac:dyDescent="0.2">
      <c r="BJ54106" s="201"/>
    </row>
    <row r="54107" spans="62:62" x14ac:dyDescent="0.2">
      <c r="BJ54107" s="201"/>
    </row>
    <row r="54108" spans="62:62" x14ac:dyDescent="0.2">
      <c r="BJ54108" s="201"/>
    </row>
    <row r="54109" spans="62:62" x14ac:dyDescent="0.2">
      <c r="BJ54109" s="201"/>
    </row>
    <row r="54110" spans="62:62" x14ac:dyDescent="0.2">
      <c r="BJ54110" s="201"/>
    </row>
    <row r="54111" spans="62:62" x14ac:dyDescent="0.2">
      <c r="BJ54111" s="201"/>
    </row>
    <row r="54112" spans="62:62" x14ac:dyDescent="0.2">
      <c r="BJ54112" s="201"/>
    </row>
    <row r="54113" spans="62:62" x14ac:dyDescent="0.2">
      <c r="BJ54113" s="201"/>
    </row>
    <row r="54114" spans="62:62" x14ac:dyDescent="0.2">
      <c r="BJ54114" s="201"/>
    </row>
    <row r="54115" spans="62:62" x14ac:dyDescent="0.2">
      <c r="BJ54115" s="201"/>
    </row>
    <row r="54116" spans="62:62" x14ac:dyDescent="0.2">
      <c r="BJ54116" s="201"/>
    </row>
    <row r="54117" spans="62:62" x14ac:dyDescent="0.2">
      <c r="BJ54117" s="201"/>
    </row>
    <row r="54118" spans="62:62" x14ac:dyDescent="0.2">
      <c r="BJ54118" s="201"/>
    </row>
    <row r="54119" spans="62:62" x14ac:dyDescent="0.2">
      <c r="BJ54119" s="201"/>
    </row>
    <row r="54120" spans="62:62" x14ac:dyDescent="0.2">
      <c r="BJ54120" s="201"/>
    </row>
    <row r="54121" spans="62:62" x14ac:dyDescent="0.2">
      <c r="BJ54121" s="201"/>
    </row>
    <row r="54122" spans="62:62" x14ac:dyDescent="0.2">
      <c r="BJ54122" s="201"/>
    </row>
    <row r="54123" spans="62:62" x14ac:dyDescent="0.2">
      <c r="BJ54123" s="201"/>
    </row>
    <row r="54124" spans="62:62" x14ac:dyDescent="0.2">
      <c r="BJ54124" s="201"/>
    </row>
    <row r="54125" spans="62:62" x14ac:dyDescent="0.2">
      <c r="BJ54125" s="201"/>
    </row>
    <row r="54126" spans="62:62" x14ac:dyDescent="0.2">
      <c r="BJ54126" s="201"/>
    </row>
    <row r="54127" spans="62:62" x14ac:dyDescent="0.2">
      <c r="BJ54127" s="201"/>
    </row>
    <row r="54128" spans="62:62" x14ac:dyDescent="0.2">
      <c r="BJ54128" s="201"/>
    </row>
    <row r="54129" spans="62:62" x14ac:dyDescent="0.2">
      <c r="BJ54129" s="201"/>
    </row>
    <row r="54130" spans="62:62" x14ac:dyDescent="0.2">
      <c r="BJ54130" s="201"/>
    </row>
    <row r="54131" spans="62:62" x14ac:dyDescent="0.2">
      <c r="BJ54131" s="201"/>
    </row>
    <row r="54132" spans="62:62" x14ac:dyDescent="0.2">
      <c r="BJ54132" s="201"/>
    </row>
    <row r="54133" spans="62:62" x14ac:dyDescent="0.2">
      <c r="BJ54133" s="201"/>
    </row>
    <row r="54134" spans="62:62" x14ac:dyDescent="0.2">
      <c r="BJ54134" s="201"/>
    </row>
    <row r="54135" spans="62:62" x14ac:dyDescent="0.2">
      <c r="BJ54135" s="201"/>
    </row>
    <row r="54136" spans="62:62" x14ac:dyDescent="0.2">
      <c r="BJ54136" s="201"/>
    </row>
    <row r="54137" spans="62:62" x14ac:dyDescent="0.2">
      <c r="BJ54137" s="201"/>
    </row>
    <row r="54138" spans="62:62" x14ac:dyDescent="0.2">
      <c r="BJ54138" s="201"/>
    </row>
    <row r="54139" spans="62:62" x14ac:dyDescent="0.2">
      <c r="BJ54139" s="201"/>
    </row>
    <row r="54140" spans="62:62" x14ac:dyDescent="0.2">
      <c r="BJ54140" s="201"/>
    </row>
    <row r="54141" spans="62:62" x14ac:dyDescent="0.2">
      <c r="BJ54141" s="201"/>
    </row>
    <row r="54142" spans="62:62" x14ac:dyDescent="0.2">
      <c r="BJ54142" s="201"/>
    </row>
    <row r="54143" spans="62:62" x14ac:dyDescent="0.2">
      <c r="BJ54143" s="201"/>
    </row>
    <row r="54144" spans="62:62" x14ac:dyDescent="0.2">
      <c r="BJ54144" s="201"/>
    </row>
    <row r="54145" spans="62:62" x14ac:dyDescent="0.2">
      <c r="BJ54145" s="201"/>
    </row>
    <row r="54146" spans="62:62" x14ac:dyDescent="0.2">
      <c r="BJ54146" s="201"/>
    </row>
    <row r="54147" spans="62:62" x14ac:dyDescent="0.2">
      <c r="BJ54147" s="201"/>
    </row>
    <row r="54148" spans="62:62" x14ac:dyDescent="0.2">
      <c r="BJ54148" s="201"/>
    </row>
    <row r="54149" spans="62:62" x14ac:dyDescent="0.2">
      <c r="BJ54149" s="201"/>
    </row>
    <row r="54150" spans="62:62" x14ac:dyDescent="0.2">
      <c r="BJ54150" s="201"/>
    </row>
    <row r="54151" spans="62:62" x14ac:dyDescent="0.2">
      <c r="BJ54151" s="201"/>
    </row>
    <row r="54152" spans="62:62" x14ac:dyDescent="0.2">
      <c r="BJ54152" s="201"/>
    </row>
    <row r="54153" spans="62:62" x14ac:dyDescent="0.2">
      <c r="BJ54153" s="201"/>
    </row>
    <row r="54154" spans="62:62" x14ac:dyDescent="0.2">
      <c r="BJ54154" s="201"/>
    </row>
    <row r="54155" spans="62:62" x14ac:dyDescent="0.2">
      <c r="BJ54155" s="201"/>
    </row>
    <row r="54156" spans="62:62" x14ac:dyDescent="0.2">
      <c r="BJ54156" s="201"/>
    </row>
    <row r="54157" spans="62:62" x14ac:dyDescent="0.2">
      <c r="BJ54157" s="201"/>
    </row>
    <row r="54158" spans="62:62" x14ac:dyDescent="0.2">
      <c r="BJ54158" s="201"/>
    </row>
    <row r="54159" spans="62:62" x14ac:dyDescent="0.2">
      <c r="BJ54159" s="201"/>
    </row>
    <row r="54160" spans="62:62" x14ac:dyDescent="0.2">
      <c r="BJ54160" s="201"/>
    </row>
    <row r="54161" spans="62:62" x14ac:dyDescent="0.2">
      <c r="BJ54161" s="201"/>
    </row>
    <row r="54162" spans="62:62" x14ac:dyDescent="0.2">
      <c r="BJ54162" s="201"/>
    </row>
    <row r="54163" spans="62:62" x14ac:dyDescent="0.2">
      <c r="BJ54163" s="201"/>
    </row>
    <row r="54164" spans="62:62" x14ac:dyDescent="0.2">
      <c r="BJ54164" s="201"/>
    </row>
    <row r="54165" spans="62:62" x14ac:dyDescent="0.2">
      <c r="BJ54165" s="201"/>
    </row>
    <row r="54166" spans="62:62" x14ac:dyDescent="0.2">
      <c r="BJ54166" s="201"/>
    </row>
    <row r="54167" spans="62:62" x14ac:dyDescent="0.2">
      <c r="BJ54167" s="201"/>
    </row>
    <row r="54168" spans="62:62" x14ac:dyDescent="0.2">
      <c r="BJ54168" s="201"/>
    </row>
    <row r="54169" spans="62:62" x14ac:dyDescent="0.2">
      <c r="BJ54169" s="201"/>
    </row>
    <row r="54170" spans="62:62" x14ac:dyDescent="0.2">
      <c r="BJ54170" s="201"/>
    </row>
    <row r="54171" spans="62:62" x14ac:dyDescent="0.2">
      <c r="BJ54171" s="201"/>
    </row>
    <row r="54172" spans="62:62" x14ac:dyDescent="0.2">
      <c r="BJ54172" s="201"/>
    </row>
    <row r="54173" spans="62:62" x14ac:dyDescent="0.2">
      <c r="BJ54173" s="201"/>
    </row>
    <row r="54174" spans="62:62" x14ac:dyDescent="0.2">
      <c r="BJ54174" s="201"/>
    </row>
    <row r="54175" spans="62:62" x14ac:dyDescent="0.2">
      <c r="BJ54175" s="201"/>
    </row>
    <row r="54176" spans="62:62" x14ac:dyDescent="0.2">
      <c r="BJ54176" s="201"/>
    </row>
    <row r="54177" spans="62:62" x14ac:dyDescent="0.2">
      <c r="BJ54177" s="201"/>
    </row>
    <row r="54178" spans="62:62" x14ac:dyDescent="0.2">
      <c r="BJ54178" s="201"/>
    </row>
    <row r="54179" spans="62:62" x14ac:dyDescent="0.2">
      <c r="BJ54179" s="201"/>
    </row>
    <row r="54180" spans="62:62" x14ac:dyDescent="0.2">
      <c r="BJ54180" s="201"/>
    </row>
    <row r="54181" spans="62:62" x14ac:dyDescent="0.2">
      <c r="BJ54181" s="201"/>
    </row>
    <row r="54182" spans="62:62" x14ac:dyDescent="0.2">
      <c r="BJ54182" s="201"/>
    </row>
    <row r="54183" spans="62:62" x14ac:dyDescent="0.2">
      <c r="BJ54183" s="201"/>
    </row>
    <row r="54184" spans="62:62" x14ac:dyDescent="0.2">
      <c r="BJ54184" s="201"/>
    </row>
    <row r="54185" spans="62:62" x14ac:dyDescent="0.2">
      <c r="BJ54185" s="201"/>
    </row>
    <row r="54186" spans="62:62" x14ac:dyDescent="0.2">
      <c r="BJ54186" s="201"/>
    </row>
    <row r="54187" spans="62:62" x14ac:dyDescent="0.2">
      <c r="BJ54187" s="201"/>
    </row>
    <row r="54188" spans="62:62" x14ac:dyDescent="0.2">
      <c r="BJ54188" s="201"/>
    </row>
    <row r="54189" spans="62:62" x14ac:dyDescent="0.2">
      <c r="BJ54189" s="201"/>
    </row>
    <row r="54190" spans="62:62" x14ac:dyDescent="0.2">
      <c r="BJ54190" s="201"/>
    </row>
    <row r="54191" spans="62:62" x14ac:dyDescent="0.2">
      <c r="BJ54191" s="201"/>
    </row>
    <row r="54192" spans="62:62" x14ac:dyDescent="0.2">
      <c r="BJ54192" s="201"/>
    </row>
    <row r="54193" spans="62:62" x14ac:dyDescent="0.2">
      <c r="BJ54193" s="201"/>
    </row>
    <row r="54194" spans="62:62" x14ac:dyDescent="0.2">
      <c r="BJ54194" s="201"/>
    </row>
    <row r="54195" spans="62:62" x14ac:dyDescent="0.2">
      <c r="BJ54195" s="201"/>
    </row>
    <row r="54196" spans="62:62" x14ac:dyDescent="0.2">
      <c r="BJ54196" s="201"/>
    </row>
    <row r="54197" spans="62:62" x14ac:dyDescent="0.2">
      <c r="BJ54197" s="201"/>
    </row>
    <row r="54198" spans="62:62" x14ac:dyDescent="0.2">
      <c r="BJ54198" s="201"/>
    </row>
    <row r="54199" spans="62:62" x14ac:dyDescent="0.2">
      <c r="BJ54199" s="201"/>
    </row>
    <row r="54200" spans="62:62" x14ac:dyDescent="0.2">
      <c r="BJ54200" s="201"/>
    </row>
    <row r="54201" spans="62:62" x14ac:dyDescent="0.2">
      <c r="BJ54201" s="201"/>
    </row>
    <row r="54202" spans="62:62" x14ac:dyDescent="0.2">
      <c r="BJ54202" s="201"/>
    </row>
    <row r="54203" spans="62:62" x14ac:dyDescent="0.2">
      <c r="BJ54203" s="201"/>
    </row>
    <row r="54204" spans="62:62" x14ac:dyDescent="0.2">
      <c r="BJ54204" s="201"/>
    </row>
    <row r="54205" spans="62:62" x14ac:dyDescent="0.2">
      <c r="BJ54205" s="201"/>
    </row>
    <row r="54206" spans="62:62" x14ac:dyDescent="0.2">
      <c r="BJ54206" s="201"/>
    </row>
    <row r="54207" spans="62:62" x14ac:dyDescent="0.2">
      <c r="BJ54207" s="201"/>
    </row>
    <row r="54208" spans="62:62" x14ac:dyDescent="0.2">
      <c r="BJ54208" s="201"/>
    </row>
    <row r="54209" spans="62:62" x14ac:dyDescent="0.2">
      <c r="BJ54209" s="201"/>
    </row>
    <row r="54210" spans="62:62" x14ac:dyDescent="0.2">
      <c r="BJ54210" s="201"/>
    </row>
    <row r="54211" spans="62:62" x14ac:dyDescent="0.2">
      <c r="BJ54211" s="201"/>
    </row>
    <row r="54212" spans="62:62" x14ac:dyDescent="0.2">
      <c r="BJ54212" s="201"/>
    </row>
    <row r="54213" spans="62:62" x14ac:dyDescent="0.2">
      <c r="BJ54213" s="201"/>
    </row>
    <row r="54214" spans="62:62" x14ac:dyDescent="0.2">
      <c r="BJ54214" s="201"/>
    </row>
    <row r="54215" spans="62:62" x14ac:dyDescent="0.2">
      <c r="BJ54215" s="201"/>
    </row>
    <row r="54216" spans="62:62" x14ac:dyDescent="0.2">
      <c r="BJ54216" s="201"/>
    </row>
    <row r="54217" spans="62:62" x14ac:dyDescent="0.2">
      <c r="BJ54217" s="201"/>
    </row>
    <row r="54218" spans="62:62" x14ac:dyDescent="0.2">
      <c r="BJ54218" s="201"/>
    </row>
    <row r="54219" spans="62:62" x14ac:dyDescent="0.2">
      <c r="BJ54219" s="201"/>
    </row>
    <row r="54220" spans="62:62" x14ac:dyDescent="0.2">
      <c r="BJ54220" s="201"/>
    </row>
    <row r="54221" spans="62:62" x14ac:dyDescent="0.2">
      <c r="BJ54221" s="201"/>
    </row>
    <row r="54222" spans="62:62" x14ac:dyDescent="0.2">
      <c r="BJ54222" s="201"/>
    </row>
    <row r="54223" spans="62:62" x14ac:dyDescent="0.2">
      <c r="BJ54223" s="201"/>
    </row>
    <row r="54224" spans="62:62" x14ac:dyDescent="0.2">
      <c r="BJ54224" s="201"/>
    </row>
    <row r="54225" spans="62:62" x14ac:dyDescent="0.2">
      <c r="BJ54225" s="201"/>
    </row>
    <row r="54226" spans="62:62" x14ac:dyDescent="0.2">
      <c r="BJ54226" s="201"/>
    </row>
    <row r="54227" spans="62:62" x14ac:dyDescent="0.2">
      <c r="BJ54227" s="201"/>
    </row>
    <row r="54228" spans="62:62" x14ac:dyDescent="0.2">
      <c r="BJ54228" s="201"/>
    </row>
    <row r="54229" spans="62:62" x14ac:dyDescent="0.2">
      <c r="BJ54229" s="201"/>
    </row>
    <row r="54230" spans="62:62" x14ac:dyDescent="0.2">
      <c r="BJ54230" s="201"/>
    </row>
    <row r="54231" spans="62:62" x14ac:dyDescent="0.2">
      <c r="BJ54231" s="201"/>
    </row>
    <row r="54232" spans="62:62" x14ac:dyDescent="0.2">
      <c r="BJ54232" s="201"/>
    </row>
    <row r="54233" spans="62:62" x14ac:dyDescent="0.2">
      <c r="BJ54233" s="201"/>
    </row>
    <row r="54234" spans="62:62" x14ac:dyDescent="0.2">
      <c r="BJ54234" s="201"/>
    </row>
    <row r="54235" spans="62:62" x14ac:dyDescent="0.2">
      <c r="BJ54235" s="201"/>
    </row>
    <row r="54236" spans="62:62" x14ac:dyDescent="0.2">
      <c r="BJ54236" s="201"/>
    </row>
    <row r="54237" spans="62:62" x14ac:dyDescent="0.2">
      <c r="BJ54237" s="201"/>
    </row>
    <row r="54238" spans="62:62" x14ac:dyDescent="0.2">
      <c r="BJ54238" s="201"/>
    </row>
    <row r="54239" spans="62:62" x14ac:dyDescent="0.2">
      <c r="BJ54239" s="201"/>
    </row>
    <row r="54240" spans="62:62" x14ac:dyDescent="0.2">
      <c r="BJ54240" s="201"/>
    </row>
    <row r="54241" spans="62:62" x14ac:dyDescent="0.2">
      <c r="BJ54241" s="201"/>
    </row>
    <row r="54242" spans="62:62" x14ac:dyDescent="0.2">
      <c r="BJ54242" s="201"/>
    </row>
    <row r="54243" spans="62:62" x14ac:dyDescent="0.2">
      <c r="BJ54243" s="201"/>
    </row>
    <row r="54244" spans="62:62" x14ac:dyDescent="0.2">
      <c r="BJ54244" s="201"/>
    </row>
    <row r="54245" spans="62:62" x14ac:dyDescent="0.2">
      <c r="BJ54245" s="201"/>
    </row>
    <row r="54246" spans="62:62" x14ac:dyDescent="0.2">
      <c r="BJ54246" s="201"/>
    </row>
    <row r="54247" spans="62:62" x14ac:dyDescent="0.2">
      <c r="BJ54247" s="201"/>
    </row>
    <row r="54248" spans="62:62" x14ac:dyDescent="0.2">
      <c r="BJ54248" s="201"/>
    </row>
    <row r="54249" spans="62:62" x14ac:dyDescent="0.2">
      <c r="BJ54249" s="201"/>
    </row>
    <row r="54250" spans="62:62" x14ac:dyDescent="0.2">
      <c r="BJ54250" s="201"/>
    </row>
    <row r="54251" spans="62:62" x14ac:dyDescent="0.2">
      <c r="BJ54251" s="201"/>
    </row>
    <row r="54252" spans="62:62" x14ac:dyDescent="0.2">
      <c r="BJ54252" s="201"/>
    </row>
    <row r="54253" spans="62:62" x14ac:dyDescent="0.2">
      <c r="BJ54253" s="201"/>
    </row>
    <row r="54254" spans="62:62" x14ac:dyDescent="0.2">
      <c r="BJ54254" s="201"/>
    </row>
    <row r="54255" spans="62:62" x14ac:dyDescent="0.2">
      <c r="BJ54255" s="201"/>
    </row>
    <row r="54256" spans="62:62" x14ac:dyDescent="0.2">
      <c r="BJ54256" s="201"/>
    </row>
    <row r="54257" spans="62:62" x14ac:dyDescent="0.2">
      <c r="BJ54257" s="201"/>
    </row>
    <row r="54258" spans="62:62" x14ac:dyDescent="0.2">
      <c r="BJ54258" s="201"/>
    </row>
    <row r="54259" spans="62:62" x14ac:dyDescent="0.2">
      <c r="BJ54259" s="201"/>
    </row>
    <row r="54260" spans="62:62" x14ac:dyDescent="0.2">
      <c r="BJ54260" s="201"/>
    </row>
    <row r="54261" spans="62:62" x14ac:dyDescent="0.2">
      <c r="BJ54261" s="201"/>
    </row>
    <row r="54262" spans="62:62" x14ac:dyDescent="0.2">
      <c r="BJ54262" s="201"/>
    </row>
    <row r="54263" spans="62:62" x14ac:dyDescent="0.2">
      <c r="BJ54263" s="201"/>
    </row>
    <row r="54264" spans="62:62" x14ac:dyDescent="0.2">
      <c r="BJ54264" s="201"/>
    </row>
    <row r="54265" spans="62:62" x14ac:dyDescent="0.2">
      <c r="BJ54265" s="201"/>
    </row>
    <row r="54266" spans="62:62" x14ac:dyDescent="0.2">
      <c r="BJ54266" s="201"/>
    </row>
    <row r="54267" spans="62:62" x14ac:dyDescent="0.2">
      <c r="BJ54267" s="201"/>
    </row>
    <row r="54268" spans="62:62" x14ac:dyDescent="0.2">
      <c r="BJ54268" s="201"/>
    </row>
    <row r="54269" spans="62:62" x14ac:dyDescent="0.2">
      <c r="BJ54269" s="201"/>
    </row>
    <row r="54270" spans="62:62" x14ac:dyDescent="0.2">
      <c r="BJ54270" s="201"/>
    </row>
    <row r="54271" spans="62:62" x14ac:dyDescent="0.2">
      <c r="BJ54271" s="201"/>
    </row>
    <row r="54272" spans="62:62" x14ac:dyDescent="0.2">
      <c r="BJ54272" s="201"/>
    </row>
    <row r="54273" spans="62:62" x14ac:dyDescent="0.2">
      <c r="BJ54273" s="201"/>
    </row>
    <row r="54274" spans="62:62" x14ac:dyDescent="0.2">
      <c r="BJ54274" s="201"/>
    </row>
    <row r="54275" spans="62:62" x14ac:dyDescent="0.2">
      <c r="BJ54275" s="201"/>
    </row>
    <row r="54276" spans="62:62" x14ac:dyDescent="0.2">
      <c r="BJ54276" s="201"/>
    </row>
    <row r="54277" spans="62:62" x14ac:dyDescent="0.2">
      <c r="BJ54277" s="201"/>
    </row>
    <row r="54278" spans="62:62" x14ac:dyDescent="0.2">
      <c r="BJ54278" s="201"/>
    </row>
    <row r="54279" spans="62:62" x14ac:dyDescent="0.2">
      <c r="BJ54279" s="201"/>
    </row>
    <row r="54280" spans="62:62" x14ac:dyDescent="0.2">
      <c r="BJ54280" s="201"/>
    </row>
    <row r="54281" spans="62:62" x14ac:dyDescent="0.2">
      <c r="BJ54281" s="201"/>
    </row>
    <row r="54282" spans="62:62" x14ac:dyDescent="0.2">
      <c r="BJ54282" s="201"/>
    </row>
    <row r="54283" spans="62:62" x14ac:dyDescent="0.2">
      <c r="BJ54283" s="201"/>
    </row>
    <row r="54284" spans="62:62" x14ac:dyDescent="0.2">
      <c r="BJ54284" s="201"/>
    </row>
    <row r="54285" spans="62:62" x14ac:dyDescent="0.2">
      <c r="BJ54285" s="201"/>
    </row>
    <row r="54286" spans="62:62" x14ac:dyDescent="0.2">
      <c r="BJ54286" s="201"/>
    </row>
    <row r="54287" spans="62:62" x14ac:dyDescent="0.2">
      <c r="BJ54287" s="201"/>
    </row>
    <row r="54288" spans="62:62" x14ac:dyDescent="0.2">
      <c r="BJ54288" s="201"/>
    </row>
    <row r="54289" spans="62:62" x14ac:dyDescent="0.2">
      <c r="BJ54289" s="201"/>
    </row>
    <row r="54290" spans="62:62" x14ac:dyDescent="0.2">
      <c r="BJ54290" s="201"/>
    </row>
    <row r="54291" spans="62:62" x14ac:dyDescent="0.2">
      <c r="BJ54291" s="201"/>
    </row>
    <row r="54292" spans="62:62" x14ac:dyDescent="0.2">
      <c r="BJ54292" s="201"/>
    </row>
    <row r="54293" spans="62:62" x14ac:dyDescent="0.2">
      <c r="BJ54293" s="201"/>
    </row>
    <row r="54294" spans="62:62" x14ac:dyDescent="0.2">
      <c r="BJ54294" s="201"/>
    </row>
    <row r="54295" spans="62:62" x14ac:dyDescent="0.2">
      <c r="BJ54295" s="201"/>
    </row>
    <row r="54296" spans="62:62" x14ac:dyDescent="0.2">
      <c r="BJ54296" s="201"/>
    </row>
    <row r="54297" spans="62:62" x14ac:dyDescent="0.2">
      <c r="BJ54297" s="201"/>
    </row>
    <row r="54298" spans="62:62" x14ac:dyDescent="0.2">
      <c r="BJ54298" s="201"/>
    </row>
    <row r="54299" spans="62:62" x14ac:dyDescent="0.2">
      <c r="BJ54299" s="201"/>
    </row>
    <row r="54300" spans="62:62" x14ac:dyDescent="0.2">
      <c r="BJ54300" s="201"/>
    </row>
    <row r="54301" spans="62:62" x14ac:dyDescent="0.2">
      <c r="BJ54301" s="201"/>
    </row>
    <row r="54302" spans="62:62" x14ac:dyDescent="0.2">
      <c r="BJ54302" s="201"/>
    </row>
    <row r="54303" spans="62:62" x14ac:dyDescent="0.2">
      <c r="BJ54303" s="201"/>
    </row>
    <row r="54304" spans="62:62" x14ac:dyDescent="0.2">
      <c r="BJ54304" s="201"/>
    </row>
    <row r="54305" spans="62:62" x14ac:dyDescent="0.2">
      <c r="BJ54305" s="201"/>
    </row>
    <row r="54306" spans="62:62" x14ac:dyDescent="0.2">
      <c r="BJ54306" s="201"/>
    </row>
    <row r="54307" spans="62:62" x14ac:dyDescent="0.2">
      <c r="BJ54307" s="201"/>
    </row>
    <row r="54308" spans="62:62" x14ac:dyDescent="0.2">
      <c r="BJ54308" s="201"/>
    </row>
    <row r="54309" spans="62:62" x14ac:dyDescent="0.2">
      <c r="BJ54309" s="201"/>
    </row>
    <row r="54310" spans="62:62" x14ac:dyDescent="0.2">
      <c r="BJ54310" s="201"/>
    </row>
    <row r="54311" spans="62:62" x14ac:dyDescent="0.2">
      <c r="BJ54311" s="201"/>
    </row>
    <row r="54312" spans="62:62" x14ac:dyDescent="0.2">
      <c r="BJ54312" s="201"/>
    </row>
    <row r="54313" spans="62:62" x14ac:dyDescent="0.2">
      <c r="BJ54313" s="201"/>
    </row>
    <row r="54314" spans="62:62" x14ac:dyDescent="0.2">
      <c r="BJ54314" s="201"/>
    </row>
    <row r="54315" spans="62:62" x14ac:dyDescent="0.2">
      <c r="BJ54315" s="201"/>
    </row>
    <row r="54316" spans="62:62" x14ac:dyDescent="0.2">
      <c r="BJ54316" s="201"/>
    </row>
    <row r="54317" spans="62:62" x14ac:dyDescent="0.2">
      <c r="BJ54317" s="201"/>
    </row>
    <row r="54318" spans="62:62" x14ac:dyDescent="0.2">
      <c r="BJ54318" s="201"/>
    </row>
    <row r="54319" spans="62:62" x14ac:dyDescent="0.2">
      <c r="BJ54319" s="201"/>
    </row>
    <row r="54320" spans="62:62" x14ac:dyDescent="0.2">
      <c r="BJ54320" s="201"/>
    </row>
    <row r="54321" spans="62:62" x14ac:dyDescent="0.2">
      <c r="BJ54321" s="201"/>
    </row>
    <row r="54322" spans="62:62" x14ac:dyDescent="0.2">
      <c r="BJ54322" s="201"/>
    </row>
    <row r="54323" spans="62:62" x14ac:dyDescent="0.2">
      <c r="BJ54323" s="201"/>
    </row>
    <row r="54324" spans="62:62" x14ac:dyDescent="0.2">
      <c r="BJ54324" s="201"/>
    </row>
    <row r="54325" spans="62:62" x14ac:dyDescent="0.2">
      <c r="BJ54325" s="201"/>
    </row>
    <row r="54326" spans="62:62" x14ac:dyDescent="0.2">
      <c r="BJ54326" s="201"/>
    </row>
    <row r="54327" spans="62:62" x14ac:dyDescent="0.2">
      <c r="BJ54327" s="201"/>
    </row>
    <row r="54328" spans="62:62" x14ac:dyDescent="0.2">
      <c r="BJ54328" s="201"/>
    </row>
    <row r="54329" spans="62:62" x14ac:dyDescent="0.2">
      <c r="BJ54329" s="201"/>
    </row>
    <row r="54330" spans="62:62" x14ac:dyDescent="0.2">
      <c r="BJ54330" s="201"/>
    </row>
    <row r="54331" spans="62:62" x14ac:dyDescent="0.2">
      <c r="BJ54331" s="201"/>
    </row>
    <row r="54332" spans="62:62" x14ac:dyDescent="0.2">
      <c r="BJ54332" s="201"/>
    </row>
    <row r="54333" spans="62:62" x14ac:dyDescent="0.2">
      <c r="BJ54333" s="201"/>
    </row>
    <row r="54334" spans="62:62" x14ac:dyDescent="0.2">
      <c r="BJ54334" s="201"/>
    </row>
    <row r="54335" spans="62:62" x14ac:dyDescent="0.2">
      <c r="BJ54335" s="201"/>
    </row>
    <row r="54336" spans="62:62" x14ac:dyDescent="0.2">
      <c r="BJ54336" s="201"/>
    </row>
    <row r="54337" spans="62:62" x14ac:dyDescent="0.2">
      <c r="BJ54337" s="201"/>
    </row>
    <row r="54338" spans="62:62" x14ac:dyDescent="0.2">
      <c r="BJ54338" s="201"/>
    </row>
    <row r="54339" spans="62:62" x14ac:dyDescent="0.2">
      <c r="BJ54339" s="201"/>
    </row>
    <row r="54340" spans="62:62" x14ac:dyDescent="0.2">
      <c r="BJ54340" s="201"/>
    </row>
    <row r="54341" spans="62:62" x14ac:dyDescent="0.2">
      <c r="BJ54341" s="201"/>
    </row>
    <row r="54342" spans="62:62" x14ac:dyDescent="0.2">
      <c r="BJ54342" s="201"/>
    </row>
    <row r="54343" spans="62:62" x14ac:dyDescent="0.2">
      <c r="BJ54343" s="201"/>
    </row>
    <row r="54344" spans="62:62" x14ac:dyDescent="0.2">
      <c r="BJ54344" s="201"/>
    </row>
    <row r="54345" spans="62:62" x14ac:dyDescent="0.2">
      <c r="BJ54345" s="201"/>
    </row>
    <row r="54346" spans="62:62" x14ac:dyDescent="0.2">
      <c r="BJ54346" s="201"/>
    </row>
    <row r="54347" spans="62:62" x14ac:dyDescent="0.2">
      <c r="BJ54347" s="201"/>
    </row>
    <row r="54348" spans="62:62" x14ac:dyDescent="0.2">
      <c r="BJ54348" s="201"/>
    </row>
    <row r="54349" spans="62:62" x14ac:dyDescent="0.2">
      <c r="BJ54349" s="201"/>
    </row>
    <row r="54350" spans="62:62" x14ac:dyDescent="0.2">
      <c r="BJ54350" s="201"/>
    </row>
    <row r="54351" spans="62:62" x14ac:dyDescent="0.2">
      <c r="BJ54351" s="201"/>
    </row>
    <row r="54352" spans="62:62" x14ac:dyDescent="0.2">
      <c r="BJ54352" s="201"/>
    </row>
    <row r="54353" spans="62:62" x14ac:dyDescent="0.2">
      <c r="BJ54353" s="201"/>
    </row>
    <row r="54354" spans="62:62" x14ac:dyDescent="0.2">
      <c r="BJ54354" s="201"/>
    </row>
    <row r="54355" spans="62:62" x14ac:dyDescent="0.2">
      <c r="BJ54355" s="201"/>
    </row>
    <row r="54356" spans="62:62" x14ac:dyDescent="0.2">
      <c r="BJ54356" s="201"/>
    </row>
    <row r="54357" spans="62:62" x14ac:dyDescent="0.2">
      <c r="BJ54357" s="201"/>
    </row>
    <row r="54358" spans="62:62" x14ac:dyDescent="0.2">
      <c r="BJ54358" s="201"/>
    </row>
    <row r="54359" spans="62:62" x14ac:dyDescent="0.2">
      <c r="BJ54359" s="201"/>
    </row>
    <row r="54360" spans="62:62" x14ac:dyDescent="0.2">
      <c r="BJ54360" s="201"/>
    </row>
    <row r="54361" spans="62:62" x14ac:dyDescent="0.2">
      <c r="BJ54361" s="201"/>
    </row>
    <row r="54362" spans="62:62" x14ac:dyDescent="0.2">
      <c r="BJ54362" s="201"/>
    </row>
    <row r="54363" spans="62:62" x14ac:dyDescent="0.2">
      <c r="BJ54363" s="201"/>
    </row>
    <row r="54364" spans="62:62" x14ac:dyDescent="0.2">
      <c r="BJ54364" s="201"/>
    </row>
    <row r="54365" spans="62:62" x14ac:dyDescent="0.2">
      <c r="BJ54365" s="201"/>
    </row>
    <row r="54366" spans="62:62" x14ac:dyDescent="0.2">
      <c r="BJ54366" s="201"/>
    </row>
    <row r="54367" spans="62:62" x14ac:dyDescent="0.2">
      <c r="BJ54367" s="201"/>
    </row>
    <row r="54368" spans="62:62" x14ac:dyDescent="0.2">
      <c r="BJ54368" s="201"/>
    </row>
    <row r="54369" spans="62:62" x14ac:dyDescent="0.2">
      <c r="BJ54369" s="201"/>
    </row>
    <row r="54370" spans="62:62" x14ac:dyDescent="0.2">
      <c r="BJ54370" s="201"/>
    </row>
    <row r="54371" spans="62:62" x14ac:dyDescent="0.2">
      <c r="BJ54371" s="201"/>
    </row>
    <row r="54372" spans="62:62" x14ac:dyDescent="0.2">
      <c r="BJ54372" s="201"/>
    </row>
    <row r="54373" spans="62:62" x14ac:dyDescent="0.2">
      <c r="BJ54373" s="201"/>
    </row>
    <row r="54374" spans="62:62" x14ac:dyDescent="0.2">
      <c r="BJ54374" s="201"/>
    </row>
    <row r="54375" spans="62:62" x14ac:dyDescent="0.2">
      <c r="BJ54375" s="201"/>
    </row>
    <row r="54376" spans="62:62" x14ac:dyDescent="0.2">
      <c r="BJ54376" s="201"/>
    </row>
    <row r="54377" spans="62:62" x14ac:dyDescent="0.2">
      <c r="BJ54377" s="201"/>
    </row>
    <row r="54378" spans="62:62" x14ac:dyDescent="0.2">
      <c r="BJ54378" s="201"/>
    </row>
    <row r="54379" spans="62:62" x14ac:dyDescent="0.2">
      <c r="BJ54379" s="201"/>
    </row>
    <row r="54380" spans="62:62" x14ac:dyDescent="0.2">
      <c r="BJ54380" s="201"/>
    </row>
    <row r="54381" spans="62:62" x14ac:dyDescent="0.2">
      <c r="BJ54381" s="201"/>
    </row>
    <row r="54382" spans="62:62" x14ac:dyDescent="0.2">
      <c r="BJ54382" s="201"/>
    </row>
    <row r="54383" spans="62:62" x14ac:dyDescent="0.2">
      <c r="BJ54383" s="201"/>
    </row>
    <row r="54384" spans="62:62" x14ac:dyDescent="0.2">
      <c r="BJ54384" s="201"/>
    </row>
    <row r="54385" spans="62:62" x14ac:dyDescent="0.2">
      <c r="BJ54385" s="201"/>
    </row>
    <row r="54386" spans="62:62" x14ac:dyDescent="0.2">
      <c r="BJ54386" s="201"/>
    </row>
    <row r="54387" spans="62:62" x14ac:dyDescent="0.2">
      <c r="BJ54387" s="201"/>
    </row>
    <row r="54388" spans="62:62" x14ac:dyDescent="0.2">
      <c r="BJ54388" s="201"/>
    </row>
    <row r="54389" spans="62:62" x14ac:dyDescent="0.2">
      <c r="BJ54389" s="201"/>
    </row>
    <row r="54390" spans="62:62" x14ac:dyDescent="0.2">
      <c r="BJ54390" s="201"/>
    </row>
    <row r="54391" spans="62:62" x14ac:dyDescent="0.2">
      <c r="BJ54391" s="201"/>
    </row>
    <row r="54392" spans="62:62" x14ac:dyDescent="0.2">
      <c r="BJ54392" s="201"/>
    </row>
    <row r="54393" spans="62:62" x14ac:dyDescent="0.2">
      <c r="BJ54393" s="201"/>
    </row>
    <row r="54394" spans="62:62" x14ac:dyDescent="0.2">
      <c r="BJ54394" s="201"/>
    </row>
    <row r="54395" spans="62:62" x14ac:dyDescent="0.2">
      <c r="BJ54395" s="201"/>
    </row>
    <row r="54396" spans="62:62" x14ac:dyDescent="0.2">
      <c r="BJ54396" s="201"/>
    </row>
    <row r="54397" spans="62:62" x14ac:dyDescent="0.2">
      <c r="BJ54397" s="201"/>
    </row>
    <row r="54398" spans="62:62" x14ac:dyDescent="0.2">
      <c r="BJ54398" s="201"/>
    </row>
    <row r="54399" spans="62:62" x14ac:dyDescent="0.2">
      <c r="BJ54399" s="201"/>
    </row>
    <row r="54400" spans="62:62" x14ac:dyDescent="0.2">
      <c r="BJ54400" s="201"/>
    </row>
    <row r="54401" spans="62:62" x14ac:dyDescent="0.2">
      <c r="BJ54401" s="201"/>
    </row>
    <row r="54402" spans="62:62" x14ac:dyDescent="0.2">
      <c r="BJ54402" s="201"/>
    </row>
    <row r="54403" spans="62:62" x14ac:dyDescent="0.2">
      <c r="BJ54403" s="201"/>
    </row>
    <row r="54404" spans="62:62" x14ac:dyDescent="0.2">
      <c r="BJ54404" s="201"/>
    </row>
    <row r="54405" spans="62:62" x14ac:dyDescent="0.2">
      <c r="BJ54405" s="201"/>
    </row>
    <row r="54406" spans="62:62" x14ac:dyDescent="0.2">
      <c r="BJ54406" s="201"/>
    </row>
    <row r="54407" spans="62:62" x14ac:dyDescent="0.2">
      <c r="BJ54407" s="201"/>
    </row>
    <row r="54408" spans="62:62" x14ac:dyDescent="0.2">
      <c r="BJ54408" s="201"/>
    </row>
    <row r="54409" spans="62:62" x14ac:dyDescent="0.2">
      <c r="BJ54409" s="201"/>
    </row>
    <row r="54410" spans="62:62" x14ac:dyDescent="0.2">
      <c r="BJ54410" s="201"/>
    </row>
    <row r="54411" spans="62:62" x14ac:dyDescent="0.2">
      <c r="BJ54411" s="201"/>
    </row>
    <row r="54412" spans="62:62" x14ac:dyDescent="0.2">
      <c r="BJ54412" s="201"/>
    </row>
    <row r="54413" spans="62:62" x14ac:dyDescent="0.2">
      <c r="BJ54413" s="201"/>
    </row>
    <row r="54414" spans="62:62" x14ac:dyDescent="0.2">
      <c r="BJ54414" s="201"/>
    </row>
    <row r="54415" spans="62:62" x14ac:dyDescent="0.2">
      <c r="BJ54415" s="201"/>
    </row>
    <row r="54416" spans="62:62" x14ac:dyDescent="0.2">
      <c r="BJ54416" s="201"/>
    </row>
    <row r="54417" spans="62:62" x14ac:dyDescent="0.2">
      <c r="BJ54417" s="201"/>
    </row>
    <row r="54418" spans="62:62" x14ac:dyDescent="0.2">
      <c r="BJ54418" s="201"/>
    </row>
    <row r="54419" spans="62:62" x14ac:dyDescent="0.2">
      <c r="BJ54419" s="201"/>
    </row>
    <row r="54420" spans="62:62" x14ac:dyDescent="0.2">
      <c r="BJ54420" s="201"/>
    </row>
    <row r="54421" spans="62:62" x14ac:dyDescent="0.2">
      <c r="BJ54421" s="201"/>
    </row>
    <row r="54422" spans="62:62" x14ac:dyDescent="0.2">
      <c r="BJ54422" s="201"/>
    </row>
    <row r="54423" spans="62:62" x14ac:dyDescent="0.2">
      <c r="BJ54423" s="201"/>
    </row>
    <row r="54424" spans="62:62" x14ac:dyDescent="0.2">
      <c r="BJ54424" s="201"/>
    </row>
    <row r="54425" spans="62:62" x14ac:dyDescent="0.2">
      <c r="BJ54425" s="201"/>
    </row>
    <row r="54426" spans="62:62" x14ac:dyDescent="0.2">
      <c r="BJ54426" s="201"/>
    </row>
    <row r="54427" spans="62:62" x14ac:dyDescent="0.2">
      <c r="BJ54427" s="201"/>
    </row>
    <row r="54428" spans="62:62" x14ac:dyDescent="0.2">
      <c r="BJ54428" s="201"/>
    </row>
    <row r="54429" spans="62:62" x14ac:dyDescent="0.2">
      <c r="BJ54429" s="201"/>
    </row>
    <row r="54430" spans="62:62" x14ac:dyDescent="0.2">
      <c r="BJ54430" s="201"/>
    </row>
    <row r="54431" spans="62:62" x14ac:dyDescent="0.2">
      <c r="BJ54431" s="201"/>
    </row>
    <row r="54432" spans="62:62" x14ac:dyDescent="0.2">
      <c r="BJ54432" s="201"/>
    </row>
    <row r="54433" spans="62:62" x14ac:dyDescent="0.2">
      <c r="BJ54433" s="201"/>
    </row>
    <row r="54434" spans="62:62" x14ac:dyDescent="0.2">
      <c r="BJ54434" s="201"/>
    </row>
    <row r="54435" spans="62:62" x14ac:dyDescent="0.2">
      <c r="BJ54435" s="201"/>
    </row>
    <row r="54436" spans="62:62" x14ac:dyDescent="0.2">
      <c r="BJ54436" s="201"/>
    </row>
    <row r="54437" spans="62:62" x14ac:dyDescent="0.2">
      <c r="BJ54437" s="201"/>
    </row>
    <row r="54438" spans="62:62" x14ac:dyDescent="0.2">
      <c r="BJ54438" s="201"/>
    </row>
    <row r="54439" spans="62:62" x14ac:dyDescent="0.2">
      <c r="BJ54439" s="201"/>
    </row>
    <row r="54440" spans="62:62" x14ac:dyDescent="0.2">
      <c r="BJ54440" s="201"/>
    </row>
    <row r="54441" spans="62:62" x14ac:dyDescent="0.2">
      <c r="BJ54441" s="201"/>
    </row>
    <row r="54442" spans="62:62" x14ac:dyDescent="0.2">
      <c r="BJ54442" s="201"/>
    </row>
    <row r="54443" spans="62:62" x14ac:dyDescent="0.2">
      <c r="BJ54443" s="201"/>
    </row>
    <row r="54444" spans="62:62" x14ac:dyDescent="0.2">
      <c r="BJ54444" s="201"/>
    </row>
    <row r="54445" spans="62:62" x14ac:dyDescent="0.2">
      <c r="BJ54445" s="201"/>
    </row>
    <row r="54446" spans="62:62" x14ac:dyDescent="0.2">
      <c r="BJ54446" s="201"/>
    </row>
    <row r="54447" spans="62:62" x14ac:dyDescent="0.2">
      <c r="BJ54447" s="201"/>
    </row>
    <row r="54448" spans="62:62" x14ac:dyDescent="0.2">
      <c r="BJ54448" s="201"/>
    </row>
    <row r="54449" spans="62:62" x14ac:dyDescent="0.2">
      <c r="BJ54449" s="201"/>
    </row>
    <row r="54450" spans="62:62" x14ac:dyDescent="0.2">
      <c r="BJ54450" s="201"/>
    </row>
    <row r="54451" spans="62:62" x14ac:dyDescent="0.2">
      <c r="BJ54451" s="201"/>
    </row>
    <row r="54452" spans="62:62" x14ac:dyDescent="0.2">
      <c r="BJ54452" s="201"/>
    </row>
    <row r="54453" spans="62:62" x14ac:dyDescent="0.2">
      <c r="BJ54453" s="201"/>
    </row>
    <row r="54454" spans="62:62" x14ac:dyDescent="0.2">
      <c r="BJ54454" s="201"/>
    </row>
    <row r="54455" spans="62:62" x14ac:dyDescent="0.2">
      <c r="BJ54455" s="201"/>
    </row>
    <row r="54456" spans="62:62" x14ac:dyDescent="0.2">
      <c r="BJ54456" s="201"/>
    </row>
    <row r="54457" spans="62:62" x14ac:dyDescent="0.2">
      <c r="BJ54457" s="201"/>
    </row>
    <row r="54458" spans="62:62" x14ac:dyDescent="0.2">
      <c r="BJ54458" s="201"/>
    </row>
    <row r="54459" spans="62:62" x14ac:dyDescent="0.2">
      <c r="BJ54459" s="201"/>
    </row>
    <row r="54460" spans="62:62" x14ac:dyDescent="0.2">
      <c r="BJ54460" s="201"/>
    </row>
    <row r="54461" spans="62:62" x14ac:dyDescent="0.2">
      <c r="BJ54461" s="201"/>
    </row>
    <row r="54462" spans="62:62" x14ac:dyDescent="0.2">
      <c r="BJ54462" s="201"/>
    </row>
    <row r="54463" spans="62:62" x14ac:dyDescent="0.2">
      <c r="BJ54463" s="201"/>
    </row>
    <row r="54464" spans="62:62" x14ac:dyDescent="0.2">
      <c r="BJ54464" s="201"/>
    </row>
    <row r="54465" spans="62:62" x14ac:dyDescent="0.2">
      <c r="BJ54465" s="201"/>
    </row>
    <row r="54466" spans="62:62" x14ac:dyDescent="0.2">
      <c r="BJ54466" s="201"/>
    </row>
    <row r="54467" spans="62:62" x14ac:dyDescent="0.2">
      <c r="BJ54467" s="201"/>
    </row>
    <row r="54468" spans="62:62" x14ac:dyDescent="0.2">
      <c r="BJ54468" s="201"/>
    </row>
    <row r="54469" spans="62:62" x14ac:dyDescent="0.2">
      <c r="BJ54469" s="201"/>
    </row>
    <row r="54470" spans="62:62" x14ac:dyDescent="0.2">
      <c r="BJ54470" s="201"/>
    </row>
    <row r="54471" spans="62:62" x14ac:dyDescent="0.2">
      <c r="BJ54471" s="201"/>
    </row>
    <row r="54472" spans="62:62" x14ac:dyDescent="0.2">
      <c r="BJ54472" s="201"/>
    </row>
    <row r="54473" spans="62:62" x14ac:dyDescent="0.2">
      <c r="BJ54473" s="201"/>
    </row>
    <row r="54474" spans="62:62" x14ac:dyDescent="0.2">
      <c r="BJ54474" s="201"/>
    </row>
    <row r="54475" spans="62:62" x14ac:dyDescent="0.2">
      <c r="BJ54475" s="201"/>
    </row>
    <row r="54476" spans="62:62" x14ac:dyDescent="0.2">
      <c r="BJ54476" s="201"/>
    </row>
    <row r="54477" spans="62:62" x14ac:dyDescent="0.2">
      <c r="BJ54477" s="201"/>
    </row>
    <row r="54478" spans="62:62" x14ac:dyDescent="0.2">
      <c r="BJ54478" s="201"/>
    </row>
    <row r="54479" spans="62:62" x14ac:dyDescent="0.2">
      <c r="BJ54479" s="201"/>
    </row>
    <row r="54480" spans="62:62" x14ac:dyDescent="0.2">
      <c r="BJ54480" s="201"/>
    </row>
    <row r="54481" spans="62:62" x14ac:dyDescent="0.2">
      <c r="BJ54481" s="201"/>
    </row>
    <row r="54482" spans="62:62" x14ac:dyDescent="0.2">
      <c r="BJ54482" s="201"/>
    </row>
    <row r="54483" spans="62:62" x14ac:dyDescent="0.2">
      <c r="BJ54483" s="201"/>
    </row>
    <row r="54484" spans="62:62" x14ac:dyDescent="0.2">
      <c r="BJ54484" s="201"/>
    </row>
    <row r="54485" spans="62:62" x14ac:dyDescent="0.2">
      <c r="BJ54485" s="201"/>
    </row>
    <row r="54486" spans="62:62" x14ac:dyDescent="0.2">
      <c r="BJ54486" s="201"/>
    </row>
    <row r="54487" spans="62:62" x14ac:dyDescent="0.2">
      <c r="BJ54487" s="201"/>
    </row>
    <row r="54488" spans="62:62" x14ac:dyDescent="0.2">
      <c r="BJ54488" s="201"/>
    </row>
    <row r="54489" spans="62:62" x14ac:dyDescent="0.2">
      <c r="BJ54489" s="201"/>
    </row>
    <row r="54490" spans="62:62" x14ac:dyDescent="0.2">
      <c r="BJ54490" s="201"/>
    </row>
    <row r="54491" spans="62:62" x14ac:dyDescent="0.2">
      <c r="BJ54491" s="201"/>
    </row>
    <row r="54492" spans="62:62" x14ac:dyDescent="0.2">
      <c r="BJ54492" s="201"/>
    </row>
    <row r="54493" spans="62:62" x14ac:dyDescent="0.2">
      <c r="BJ54493" s="201"/>
    </row>
    <row r="54494" spans="62:62" x14ac:dyDescent="0.2">
      <c r="BJ54494" s="201"/>
    </row>
    <row r="54495" spans="62:62" x14ac:dyDescent="0.2">
      <c r="BJ54495" s="201"/>
    </row>
    <row r="54496" spans="62:62" x14ac:dyDescent="0.2">
      <c r="BJ54496" s="201"/>
    </row>
    <row r="54497" spans="62:62" x14ac:dyDescent="0.2">
      <c r="BJ54497" s="201"/>
    </row>
    <row r="54498" spans="62:62" x14ac:dyDescent="0.2">
      <c r="BJ54498" s="201"/>
    </row>
    <row r="54499" spans="62:62" x14ac:dyDescent="0.2">
      <c r="BJ54499" s="201"/>
    </row>
    <row r="54500" spans="62:62" x14ac:dyDescent="0.2">
      <c r="BJ54500" s="201"/>
    </row>
    <row r="54501" spans="62:62" x14ac:dyDescent="0.2">
      <c r="BJ54501" s="201"/>
    </row>
    <row r="54502" spans="62:62" x14ac:dyDescent="0.2">
      <c r="BJ54502" s="201"/>
    </row>
    <row r="54503" spans="62:62" x14ac:dyDescent="0.2">
      <c r="BJ54503" s="201"/>
    </row>
    <row r="54504" spans="62:62" x14ac:dyDescent="0.2">
      <c r="BJ54504" s="201"/>
    </row>
    <row r="54505" spans="62:62" x14ac:dyDescent="0.2">
      <c r="BJ54505" s="201"/>
    </row>
    <row r="54506" spans="62:62" x14ac:dyDescent="0.2">
      <c r="BJ54506" s="201"/>
    </row>
    <row r="54507" spans="62:62" x14ac:dyDescent="0.2">
      <c r="BJ54507" s="201"/>
    </row>
    <row r="54508" spans="62:62" x14ac:dyDescent="0.2">
      <c r="BJ54508" s="201"/>
    </row>
    <row r="54509" spans="62:62" x14ac:dyDescent="0.2">
      <c r="BJ54509" s="201"/>
    </row>
    <row r="54510" spans="62:62" x14ac:dyDescent="0.2">
      <c r="BJ54510" s="201"/>
    </row>
    <row r="54511" spans="62:62" x14ac:dyDescent="0.2">
      <c r="BJ54511" s="201"/>
    </row>
    <row r="54512" spans="62:62" x14ac:dyDescent="0.2">
      <c r="BJ54512" s="201"/>
    </row>
    <row r="54513" spans="62:62" x14ac:dyDescent="0.2">
      <c r="BJ54513" s="201"/>
    </row>
    <row r="54514" spans="62:62" x14ac:dyDescent="0.2">
      <c r="BJ54514" s="201"/>
    </row>
    <row r="54515" spans="62:62" x14ac:dyDescent="0.2">
      <c r="BJ54515" s="201"/>
    </row>
    <row r="54516" spans="62:62" x14ac:dyDescent="0.2">
      <c r="BJ54516" s="201"/>
    </row>
    <row r="54517" spans="62:62" x14ac:dyDescent="0.2">
      <c r="BJ54517" s="201"/>
    </row>
    <row r="54518" spans="62:62" x14ac:dyDescent="0.2">
      <c r="BJ54518" s="201"/>
    </row>
    <row r="54519" spans="62:62" x14ac:dyDescent="0.2">
      <c r="BJ54519" s="201"/>
    </row>
    <row r="54520" spans="62:62" x14ac:dyDescent="0.2">
      <c r="BJ54520" s="201"/>
    </row>
    <row r="54521" spans="62:62" x14ac:dyDescent="0.2">
      <c r="BJ54521" s="201"/>
    </row>
    <row r="54522" spans="62:62" x14ac:dyDescent="0.2">
      <c r="BJ54522" s="201"/>
    </row>
    <row r="54523" spans="62:62" x14ac:dyDescent="0.2">
      <c r="BJ54523" s="201"/>
    </row>
    <row r="54524" spans="62:62" x14ac:dyDescent="0.2">
      <c r="BJ54524" s="201"/>
    </row>
    <row r="54525" spans="62:62" x14ac:dyDescent="0.2">
      <c r="BJ54525" s="201"/>
    </row>
    <row r="54526" spans="62:62" x14ac:dyDescent="0.2">
      <c r="BJ54526" s="201"/>
    </row>
    <row r="54527" spans="62:62" x14ac:dyDescent="0.2">
      <c r="BJ54527" s="201"/>
    </row>
    <row r="54528" spans="62:62" x14ac:dyDescent="0.2">
      <c r="BJ54528" s="201"/>
    </row>
    <row r="54529" spans="62:62" x14ac:dyDescent="0.2">
      <c r="BJ54529" s="201"/>
    </row>
    <row r="54530" spans="62:62" x14ac:dyDescent="0.2">
      <c r="BJ54530" s="201"/>
    </row>
    <row r="54531" spans="62:62" x14ac:dyDescent="0.2">
      <c r="BJ54531" s="201"/>
    </row>
    <row r="54532" spans="62:62" x14ac:dyDescent="0.2">
      <c r="BJ54532" s="201"/>
    </row>
    <row r="54533" spans="62:62" x14ac:dyDescent="0.2">
      <c r="BJ54533" s="201"/>
    </row>
    <row r="54534" spans="62:62" x14ac:dyDescent="0.2">
      <c r="BJ54534" s="201"/>
    </row>
    <row r="54535" spans="62:62" x14ac:dyDescent="0.2">
      <c r="BJ54535" s="201"/>
    </row>
    <row r="54536" spans="62:62" x14ac:dyDescent="0.2">
      <c r="BJ54536" s="201"/>
    </row>
    <row r="54537" spans="62:62" x14ac:dyDescent="0.2">
      <c r="BJ54537" s="201"/>
    </row>
    <row r="54538" spans="62:62" x14ac:dyDescent="0.2">
      <c r="BJ54538" s="201"/>
    </row>
    <row r="54539" spans="62:62" x14ac:dyDescent="0.2">
      <c r="BJ54539" s="201"/>
    </row>
    <row r="54540" spans="62:62" x14ac:dyDescent="0.2">
      <c r="BJ54540" s="201"/>
    </row>
    <row r="54541" spans="62:62" x14ac:dyDescent="0.2">
      <c r="BJ54541" s="201"/>
    </row>
    <row r="54542" spans="62:62" x14ac:dyDescent="0.2">
      <c r="BJ54542" s="201"/>
    </row>
    <row r="54543" spans="62:62" x14ac:dyDescent="0.2">
      <c r="BJ54543" s="201"/>
    </row>
    <row r="54544" spans="62:62" x14ac:dyDescent="0.2">
      <c r="BJ54544" s="201"/>
    </row>
    <row r="54545" spans="62:62" x14ac:dyDescent="0.2">
      <c r="BJ54545" s="201"/>
    </row>
    <row r="54546" spans="62:62" x14ac:dyDescent="0.2">
      <c r="BJ54546" s="201"/>
    </row>
    <row r="54547" spans="62:62" x14ac:dyDescent="0.2">
      <c r="BJ54547" s="201"/>
    </row>
    <row r="54548" spans="62:62" x14ac:dyDescent="0.2">
      <c r="BJ54548" s="201"/>
    </row>
    <row r="54549" spans="62:62" x14ac:dyDescent="0.2">
      <c r="BJ54549" s="201"/>
    </row>
    <row r="54550" spans="62:62" x14ac:dyDescent="0.2">
      <c r="BJ54550" s="201"/>
    </row>
    <row r="54551" spans="62:62" x14ac:dyDescent="0.2">
      <c r="BJ54551" s="201"/>
    </row>
    <row r="54552" spans="62:62" x14ac:dyDescent="0.2">
      <c r="BJ54552" s="201"/>
    </row>
    <row r="54553" spans="62:62" x14ac:dyDescent="0.2">
      <c r="BJ54553" s="201"/>
    </row>
    <row r="54554" spans="62:62" x14ac:dyDescent="0.2">
      <c r="BJ54554" s="201"/>
    </row>
    <row r="54555" spans="62:62" x14ac:dyDescent="0.2">
      <c r="BJ54555" s="201"/>
    </row>
    <row r="54556" spans="62:62" x14ac:dyDescent="0.2">
      <c r="BJ54556" s="201"/>
    </row>
    <row r="54557" spans="62:62" x14ac:dyDescent="0.2">
      <c r="BJ54557" s="201"/>
    </row>
    <row r="54558" spans="62:62" x14ac:dyDescent="0.2">
      <c r="BJ54558" s="201"/>
    </row>
    <row r="54559" spans="62:62" x14ac:dyDescent="0.2">
      <c r="BJ54559" s="201"/>
    </row>
    <row r="54560" spans="62:62" x14ac:dyDescent="0.2">
      <c r="BJ54560" s="201"/>
    </row>
    <row r="54561" spans="62:62" x14ac:dyDescent="0.2">
      <c r="BJ54561" s="201"/>
    </row>
    <row r="54562" spans="62:62" x14ac:dyDescent="0.2">
      <c r="BJ54562" s="201"/>
    </row>
    <row r="54563" spans="62:62" x14ac:dyDescent="0.2">
      <c r="BJ54563" s="201"/>
    </row>
    <row r="54564" spans="62:62" x14ac:dyDescent="0.2">
      <c r="BJ54564" s="201"/>
    </row>
    <row r="54565" spans="62:62" x14ac:dyDescent="0.2">
      <c r="BJ54565" s="201"/>
    </row>
    <row r="54566" spans="62:62" x14ac:dyDescent="0.2">
      <c r="BJ54566" s="201"/>
    </row>
    <row r="54567" spans="62:62" x14ac:dyDescent="0.2">
      <c r="BJ54567" s="201"/>
    </row>
    <row r="54568" spans="62:62" x14ac:dyDescent="0.2">
      <c r="BJ54568" s="201"/>
    </row>
    <row r="54569" spans="62:62" x14ac:dyDescent="0.2">
      <c r="BJ54569" s="201"/>
    </row>
    <row r="54570" spans="62:62" x14ac:dyDescent="0.2">
      <c r="BJ54570" s="201"/>
    </row>
    <row r="54571" spans="62:62" x14ac:dyDescent="0.2">
      <c r="BJ54571" s="201"/>
    </row>
    <row r="54572" spans="62:62" x14ac:dyDescent="0.2">
      <c r="BJ54572" s="201"/>
    </row>
    <row r="54573" spans="62:62" x14ac:dyDescent="0.2">
      <c r="BJ54573" s="201"/>
    </row>
    <row r="54574" spans="62:62" x14ac:dyDescent="0.2">
      <c r="BJ54574" s="201"/>
    </row>
    <row r="54575" spans="62:62" x14ac:dyDescent="0.2">
      <c r="BJ54575" s="201"/>
    </row>
    <row r="54576" spans="62:62" x14ac:dyDescent="0.2">
      <c r="BJ54576" s="201"/>
    </row>
    <row r="54577" spans="62:62" x14ac:dyDescent="0.2">
      <c r="BJ54577" s="201"/>
    </row>
    <row r="54578" spans="62:62" x14ac:dyDescent="0.2">
      <c r="BJ54578" s="201"/>
    </row>
    <row r="54579" spans="62:62" x14ac:dyDescent="0.2">
      <c r="BJ54579" s="201"/>
    </row>
    <row r="54580" spans="62:62" x14ac:dyDescent="0.2">
      <c r="BJ54580" s="201"/>
    </row>
    <row r="54581" spans="62:62" x14ac:dyDescent="0.2">
      <c r="BJ54581" s="201"/>
    </row>
    <row r="54582" spans="62:62" x14ac:dyDescent="0.2">
      <c r="BJ54582" s="201"/>
    </row>
    <row r="54583" spans="62:62" x14ac:dyDescent="0.2">
      <c r="BJ54583" s="201"/>
    </row>
    <row r="54584" spans="62:62" x14ac:dyDescent="0.2">
      <c r="BJ54584" s="201"/>
    </row>
    <row r="54585" spans="62:62" x14ac:dyDescent="0.2">
      <c r="BJ54585" s="201"/>
    </row>
    <row r="54586" spans="62:62" x14ac:dyDescent="0.2">
      <c r="BJ54586" s="201"/>
    </row>
    <row r="54587" spans="62:62" x14ac:dyDescent="0.2">
      <c r="BJ54587" s="201"/>
    </row>
    <row r="54588" spans="62:62" x14ac:dyDescent="0.2">
      <c r="BJ54588" s="201"/>
    </row>
    <row r="54589" spans="62:62" x14ac:dyDescent="0.2">
      <c r="BJ54589" s="201"/>
    </row>
    <row r="54590" spans="62:62" x14ac:dyDescent="0.2">
      <c r="BJ54590" s="201"/>
    </row>
    <row r="54591" spans="62:62" x14ac:dyDescent="0.2">
      <c r="BJ54591" s="201"/>
    </row>
    <row r="54592" spans="62:62" x14ac:dyDescent="0.2">
      <c r="BJ54592" s="201"/>
    </row>
    <row r="54593" spans="62:62" x14ac:dyDescent="0.2">
      <c r="BJ54593" s="201"/>
    </row>
    <row r="54594" spans="62:62" x14ac:dyDescent="0.2">
      <c r="BJ54594" s="201"/>
    </row>
    <row r="54595" spans="62:62" x14ac:dyDescent="0.2">
      <c r="BJ54595" s="201"/>
    </row>
    <row r="54596" spans="62:62" x14ac:dyDescent="0.2">
      <c r="BJ54596" s="201"/>
    </row>
    <row r="54597" spans="62:62" x14ac:dyDescent="0.2">
      <c r="BJ54597" s="201"/>
    </row>
    <row r="54598" spans="62:62" x14ac:dyDescent="0.2">
      <c r="BJ54598" s="201"/>
    </row>
    <row r="54599" spans="62:62" x14ac:dyDescent="0.2">
      <c r="BJ54599" s="201"/>
    </row>
    <row r="54600" spans="62:62" x14ac:dyDescent="0.2">
      <c r="BJ54600" s="201"/>
    </row>
    <row r="54601" spans="62:62" x14ac:dyDescent="0.2">
      <c r="BJ54601" s="201"/>
    </row>
    <row r="54602" spans="62:62" x14ac:dyDescent="0.2">
      <c r="BJ54602" s="201"/>
    </row>
    <row r="54603" spans="62:62" x14ac:dyDescent="0.2">
      <c r="BJ54603" s="201"/>
    </row>
    <row r="54604" spans="62:62" x14ac:dyDescent="0.2">
      <c r="BJ54604" s="201"/>
    </row>
    <row r="54605" spans="62:62" x14ac:dyDescent="0.2">
      <c r="BJ54605" s="201"/>
    </row>
    <row r="54606" spans="62:62" x14ac:dyDescent="0.2">
      <c r="BJ54606" s="201"/>
    </row>
    <row r="54607" spans="62:62" x14ac:dyDescent="0.2">
      <c r="BJ54607" s="201"/>
    </row>
    <row r="54608" spans="62:62" x14ac:dyDescent="0.2">
      <c r="BJ54608" s="201"/>
    </row>
    <row r="54609" spans="62:62" x14ac:dyDescent="0.2">
      <c r="BJ54609" s="201"/>
    </row>
    <row r="54610" spans="62:62" x14ac:dyDescent="0.2">
      <c r="BJ54610" s="201"/>
    </row>
    <row r="54611" spans="62:62" x14ac:dyDescent="0.2">
      <c r="BJ54611" s="201"/>
    </row>
    <row r="54612" spans="62:62" x14ac:dyDescent="0.2">
      <c r="BJ54612" s="201"/>
    </row>
    <row r="54613" spans="62:62" x14ac:dyDescent="0.2">
      <c r="BJ54613" s="201"/>
    </row>
    <row r="54614" spans="62:62" x14ac:dyDescent="0.2">
      <c r="BJ54614" s="201"/>
    </row>
    <row r="54615" spans="62:62" x14ac:dyDescent="0.2">
      <c r="BJ54615" s="201"/>
    </row>
    <row r="54616" spans="62:62" x14ac:dyDescent="0.2">
      <c r="BJ54616" s="201"/>
    </row>
    <row r="54617" spans="62:62" x14ac:dyDescent="0.2">
      <c r="BJ54617" s="201"/>
    </row>
    <row r="54618" spans="62:62" x14ac:dyDescent="0.2">
      <c r="BJ54618" s="201"/>
    </row>
    <row r="54619" spans="62:62" x14ac:dyDescent="0.2">
      <c r="BJ54619" s="201"/>
    </row>
    <row r="54620" spans="62:62" x14ac:dyDescent="0.2">
      <c r="BJ54620" s="201"/>
    </row>
    <row r="54621" spans="62:62" x14ac:dyDescent="0.2">
      <c r="BJ54621" s="201"/>
    </row>
    <row r="54622" spans="62:62" x14ac:dyDescent="0.2">
      <c r="BJ54622" s="201"/>
    </row>
    <row r="54623" spans="62:62" x14ac:dyDescent="0.2">
      <c r="BJ54623" s="201"/>
    </row>
    <row r="54624" spans="62:62" x14ac:dyDescent="0.2">
      <c r="BJ54624" s="201"/>
    </row>
    <row r="54625" spans="62:62" x14ac:dyDescent="0.2">
      <c r="BJ54625" s="201"/>
    </row>
    <row r="54626" spans="62:62" x14ac:dyDescent="0.2">
      <c r="BJ54626" s="201"/>
    </row>
    <row r="54627" spans="62:62" x14ac:dyDescent="0.2">
      <c r="BJ54627" s="201"/>
    </row>
    <row r="54628" spans="62:62" x14ac:dyDescent="0.2">
      <c r="BJ54628" s="201"/>
    </row>
    <row r="54629" spans="62:62" x14ac:dyDescent="0.2">
      <c r="BJ54629" s="201"/>
    </row>
    <row r="54630" spans="62:62" x14ac:dyDescent="0.2">
      <c r="BJ54630" s="201"/>
    </row>
    <row r="54631" spans="62:62" x14ac:dyDescent="0.2">
      <c r="BJ54631" s="201"/>
    </row>
    <row r="54632" spans="62:62" x14ac:dyDescent="0.2">
      <c r="BJ54632" s="201"/>
    </row>
    <row r="54633" spans="62:62" x14ac:dyDescent="0.2">
      <c r="BJ54633" s="201"/>
    </row>
    <row r="54634" spans="62:62" x14ac:dyDescent="0.2">
      <c r="BJ54634" s="201"/>
    </row>
    <row r="54635" spans="62:62" x14ac:dyDescent="0.2">
      <c r="BJ54635" s="201"/>
    </row>
    <row r="54636" spans="62:62" x14ac:dyDescent="0.2">
      <c r="BJ54636" s="201"/>
    </row>
    <row r="54637" spans="62:62" x14ac:dyDescent="0.2">
      <c r="BJ54637" s="201"/>
    </row>
    <row r="54638" spans="62:62" x14ac:dyDescent="0.2">
      <c r="BJ54638" s="201"/>
    </row>
    <row r="54639" spans="62:62" x14ac:dyDescent="0.2">
      <c r="BJ54639" s="201"/>
    </row>
    <row r="54640" spans="62:62" x14ac:dyDescent="0.2">
      <c r="BJ54640" s="201"/>
    </row>
    <row r="54641" spans="62:62" x14ac:dyDescent="0.2">
      <c r="BJ54641" s="201"/>
    </row>
    <row r="54642" spans="62:62" x14ac:dyDescent="0.2">
      <c r="BJ54642" s="201"/>
    </row>
    <row r="54643" spans="62:62" x14ac:dyDescent="0.2">
      <c r="BJ54643" s="201"/>
    </row>
    <row r="54644" spans="62:62" x14ac:dyDescent="0.2">
      <c r="BJ54644" s="201"/>
    </row>
    <row r="54645" spans="62:62" x14ac:dyDescent="0.2">
      <c r="BJ54645" s="201"/>
    </row>
    <row r="54646" spans="62:62" x14ac:dyDescent="0.2">
      <c r="BJ54646" s="201"/>
    </row>
    <row r="54647" spans="62:62" x14ac:dyDescent="0.2">
      <c r="BJ54647" s="201"/>
    </row>
    <row r="54648" spans="62:62" x14ac:dyDescent="0.2">
      <c r="BJ54648" s="201"/>
    </row>
    <row r="54649" spans="62:62" x14ac:dyDescent="0.2">
      <c r="BJ54649" s="201"/>
    </row>
    <row r="54650" spans="62:62" x14ac:dyDescent="0.2">
      <c r="BJ54650" s="201"/>
    </row>
    <row r="54651" spans="62:62" x14ac:dyDescent="0.2">
      <c r="BJ54651" s="201"/>
    </row>
    <row r="54652" spans="62:62" x14ac:dyDescent="0.2">
      <c r="BJ54652" s="201"/>
    </row>
    <row r="54653" spans="62:62" x14ac:dyDescent="0.2">
      <c r="BJ54653" s="201"/>
    </row>
    <row r="54654" spans="62:62" x14ac:dyDescent="0.2">
      <c r="BJ54654" s="201"/>
    </row>
    <row r="54655" spans="62:62" x14ac:dyDescent="0.2">
      <c r="BJ54655" s="201"/>
    </row>
    <row r="54656" spans="62:62" x14ac:dyDescent="0.2">
      <c r="BJ54656" s="201"/>
    </row>
    <row r="54657" spans="62:62" x14ac:dyDescent="0.2">
      <c r="BJ54657" s="201"/>
    </row>
    <row r="54658" spans="62:62" x14ac:dyDescent="0.2">
      <c r="BJ54658" s="201"/>
    </row>
    <row r="54659" spans="62:62" x14ac:dyDescent="0.2">
      <c r="BJ54659" s="201"/>
    </row>
    <row r="54660" spans="62:62" x14ac:dyDescent="0.2">
      <c r="BJ54660" s="201"/>
    </row>
    <row r="54661" spans="62:62" x14ac:dyDescent="0.2">
      <c r="BJ54661" s="201"/>
    </row>
    <row r="54662" spans="62:62" x14ac:dyDescent="0.2">
      <c r="BJ54662" s="201"/>
    </row>
    <row r="54663" spans="62:62" x14ac:dyDescent="0.2">
      <c r="BJ54663" s="201"/>
    </row>
    <row r="54664" spans="62:62" x14ac:dyDescent="0.2">
      <c r="BJ54664" s="201"/>
    </row>
    <row r="54665" spans="62:62" x14ac:dyDescent="0.2">
      <c r="BJ54665" s="201"/>
    </row>
    <row r="54666" spans="62:62" x14ac:dyDescent="0.2">
      <c r="BJ54666" s="201"/>
    </row>
    <row r="54667" spans="62:62" x14ac:dyDescent="0.2">
      <c r="BJ54667" s="201"/>
    </row>
    <row r="54668" spans="62:62" x14ac:dyDescent="0.2">
      <c r="BJ54668" s="201"/>
    </row>
    <row r="54669" spans="62:62" x14ac:dyDescent="0.2">
      <c r="BJ54669" s="201"/>
    </row>
    <row r="54670" spans="62:62" x14ac:dyDescent="0.2">
      <c r="BJ54670" s="201"/>
    </row>
    <row r="54671" spans="62:62" x14ac:dyDescent="0.2">
      <c r="BJ54671" s="201"/>
    </row>
    <row r="54672" spans="62:62" x14ac:dyDescent="0.2">
      <c r="BJ54672" s="201"/>
    </row>
    <row r="54673" spans="62:62" x14ac:dyDescent="0.2">
      <c r="BJ54673" s="201"/>
    </row>
    <row r="54674" spans="62:62" x14ac:dyDescent="0.2">
      <c r="BJ54674" s="201"/>
    </row>
    <row r="54675" spans="62:62" x14ac:dyDescent="0.2">
      <c r="BJ54675" s="201"/>
    </row>
    <row r="54676" spans="62:62" x14ac:dyDescent="0.2">
      <c r="BJ54676" s="201"/>
    </row>
    <row r="54677" spans="62:62" x14ac:dyDescent="0.2">
      <c r="BJ54677" s="201"/>
    </row>
    <row r="54678" spans="62:62" x14ac:dyDescent="0.2">
      <c r="BJ54678" s="201"/>
    </row>
    <row r="54679" spans="62:62" x14ac:dyDescent="0.2">
      <c r="BJ54679" s="201"/>
    </row>
    <row r="54680" spans="62:62" x14ac:dyDescent="0.2">
      <c r="BJ54680" s="201"/>
    </row>
    <row r="54681" spans="62:62" x14ac:dyDescent="0.2">
      <c r="BJ54681" s="201"/>
    </row>
    <row r="54682" spans="62:62" x14ac:dyDescent="0.2">
      <c r="BJ54682" s="201"/>
    </row>
    <row r="54683" spans="62:62" x14ac:dyDescent="0.2">
      <c r="BJ54683" s="201"/>
    </row>
    <row r="54684" spans="62:62" x14ac:dyDescent="0.2">
      <c r="BJ54684" s="201"/>
    </row>
    <row r="54685" spans="62:62" x14ac:dyDescent="0.2">
      <c r="BJ54685" s="201"/>
    </row>
    <row r="54686" spans="62:62" x14ac:dyDescent="0.2">
      <c r="BJ54686" s="201"/>
    </row>
    <row r="54687" spans="62:62" x14ac:dyDescent="0.2">
      <c r="BJ54687" s="201"/>
    </row>
    <row r="54688" spans="62:62" x14ac:dyDescent="0.2">
      <c r="BJ54688" s="201"/>
    </row>
    <row r="54689" spans="62:62" x14ac:dyDescent="0.2">
      <c r="BJ54689" s="201"/>
    </row>
    <row r="54690" spans="62:62" x14ac:dyDescent="0.2">
      <c r="BJ54690" s="201"/>
    </row>
    <row r="54691" spans="62:62" x14ac:dyDescent="0.2">
      <c r="BJ54691" s="201"/>
    </row>
    <row r="54692" spans="62:62" x14ac:dyDescent="0.2">
      <c r="BJ54692" s="201"/>
    </row>
    <row r="54693" spans="62:62" x14ac:dyDescent="0.2">
      <c r="BJ54693" s="201"/>
    </row>
    <row r="54694" spans="62:62" x14ac:dyDescent="0.2">
      <c r="BJ54694" s="201"/>
    </row>
    <row r="54695" spans="62:62" x14ac:dyDescent="0.2">
      <c r="BJ54695" s="201"/>
    </row>
    <row r="54696" spans="62:62" x14ac:dyDescent="0.2">
      <c r="BJ54696" s="201"/>
    </row>
    <row r="54697" spans="62:62" x14ac:dyDescent="0.2">
      <c r="BJ54697" s="201"/>
    </row>
    <row r="54698" spans="62:62" x14ac:dyDescent="0.2">
      <c r="BJ54698" s="201"/>
    </row>
    <row r="54699" spans="62:62" x14ac:dyDescent="0.2">
      <c r="BJ54699" s="201"/>
    </row>
    <row r="54700" spans="62:62" x14ac:dyDescent="0.2">
      <c r="BJ54700" s="201"/>
    </row>
    <row r="54701" spans="62:62" x14ac:dyDescent="0.2">
      <c r="BJ54701" s="201"/>
    </row>
    <row r="54702" spans="62:62" x14ac:dyDescent="0.2">
      <c r="BJ54702" s="201"/>
    </row>
    <row r="54703" spans="62:62" x14ac:dyDescent="0.2">
      <c r="BJ54703" s="201"/>
    </row>
    <row r="54704" spans="62:62" x14ac:dyDescent="0.2">
      <c r="BJ54704" s="201"/>
    </row>
    <row r="54705" spans="62:62" x14ac:dyDescent="0.2">
      <c r="BJ54705" s="201"/>
    </row>
    <row r="54706" spans="62:62" x14ac:dyDescent="0.2">
      <c r="BJ54706" s="201"/>
    </row>
    <row r="54707" spans="62:62" x14ac:dyDescent="0.2">
      <c r="BJ54707" s="201"/>
    </row>
    <row r="54708" spans="62:62" x14ac:dyDescent="0.2">
      <c r="BJ54708" s="201"/>
    </row>
    <row r="54709" spans="62:62" x14ac:dyDescent="0.2">
      <c r="BJ54709" s="201"/>
    </row>
    <row r="54710" spans="62:62" x14ac:dyDescent="0.2">
      <c r="BJ54710" s="201"/>
    </row>
    <row r="54711" spans="62:62" x14ac:dyDescent="0.2">
      <c r="BJ54711" s="201"/>
    </row>
    <row r="54712" spans="62:62" x14ac:dyDescent="0.2">
      <c r="BJ54712" s="201"/>
    </row>
    <row r="54713" spans="62:62" x14ac:dyDescent="0.2">
      <c r="BJ54713" s="201"/>
    </row>
    <row r="54714" spans="62:62" x14ac:dyDescent="0.2">
      <c r="BJ54714" s="201"/>
    </row>
    <row r="54715" spans="62:62" x14ac:dyDescent="0.2">
      <c r="BJ54715" s="201"/>
    </row>
    <row r="54716" spans="62:62" x14ac:dyDescent="0.2">
      <c r="BJ54716" s="201"/>
    </row>
    <row r="54717" spans="62:62" x14ac:dyDescent="0.2">
      <c r="BJ54717" s="201"/>
    </row>
    <row r="54718" spans="62:62" x14ac:dyDescent="0.2">
      <c r="BJ54718" s="201"/>
    </row>
    <row r="54719" spans="62:62" x14ac:dyDescent="0.2">
      <c r="BJ54719" s="201"/>
    </row>
    <row r="54720" spans="62:62" x14ac:dyDescent="0.2">
      <c r="BJ54720" s="201"/>
    </row>
    <row r="54721" spans="62:62" x14ac:dyDescent="0.2">
      <c r="BJ54721" s="201"/>
    </row>
    <row r="54722" spans="62:62" x14ac:dyDescent="0.2">
      <c r="BJ54722" s="201"/>
    </row>
    <row r="54723" spans="62:62" x14ac:dyDescent="0.2">
      <c r="BJ54723" s="201"/>
    </row>
    <row r="54724" spans="62:62" x14ac:dyDescent="0.2">
      <c r="BJ54724" s="201"/>
    </row>
    <row r="54725" spans="62:62" x14ac:dyDescent="0.2">
      <c r="BJ54725" s="201"/>
    </row>
    <row r="54726" spans="62:62" x14ac:dyDescent="0.2">
      <c r="BJ54726" s="201"/>
    </row>
    <row r="54727" spans="62:62" x14ac:dyDescent="0.2">
      <c r="BJ54727" s="201"/>
    </row>
    <row r="54728" spans="62:62" x14ac:dyDescent="0.2">
      <c r="BJ54728" s="201"/>
    </row>
    <row r="54729" spans="62:62" x14ac:dyDescent="0.2">
      <c r="BJ54729" s="201"/>
    </row>
    <row r="54730" spans="62:62" x14ac:dyDescent="0.2">
      <c r="BJ54730" s="201"/>
    </row>
    <row r="54731" spans="62:62" x14ac:dyDescent="0.2">
      <c r="BJ54731" s="201"/>
    </row>
    <row r="54732" spans="62:62" x14ac:dyDescent="0.2">
      <c r="BJ54732" s="201"/>
    </row>
    <row r="54733" spans="62:62" x14ac:dyDescent="0.2">
      <c r="BJ54733" s="201"/>
    </row>
    <row r="54734" spans="62:62" x14ac:dyDescent="0.2">
      <c r="BJ54734" s="201"/>
    </row>
    <row r="54735" spans="62:62" x14ac:dyDescent="0.2">
      <c r="BJ54735" s="201"/>
    </row>
    <row r="54736" spans="62:62" x14ac:dyDescent="0.2">
      <c r="BJ54736" s="201"/>
    </row>
    <row r="54737" spans="62:62" x14ac:dyDescent="0.2">
      <c r="BJ54737" s="201"/>
    </row>
    <row r="54738" spans="62:62" x14ac:dyDescent="0.2">
      <c r="BJ54738" s="201"/>
    </row>
    <row r="54739" spans="62:62" x14ac:dyDescent="0.2">
      <c r="BJ54739" s="201"/>
    </row>
    <row r="54740" spans="62:62" x14ac:dyDescent="0.2">
      <c r="BJ54740" s="201"/>
    </row>
    <row r="54741" spans="62:62" x14ac:dyDescent="0.2">
      <c r="BJ54741" s="201"/>
    </row>
    <row r="54742" spans="62:62" x14ac:dyDescent="0.2">
      <c r="BJ54742" s="201"/>
    </row>
    <row r="54743" spans="62:62" x14ac:dyDescent="0.2">
      <c r="BJ54743" s="201"/>
    </row>
    <row r="54744" spans="62:62" x14ac:dyDescent="0.2">
      <c r="BJ54744" s="201"/>
    </row>
    <row r="54745" spans="62:62" x14ac:dyDescent="0.2">
      <c r="BJ54745" s="201"/>
    </row>
    <row r="54746" spans="62:62" x14ac:dyDescent="0.2">
      <c r="BJ54746" s="201"/>
    </row>
    <row r="54747" spans="62:62" x14ac:dyDescent="0.2">
      <c r="BJ54747" s="201"/>
    </row>
    <row r="54748" spans="62:62" x14ac:dyDescent="0.2">
      <c r="BJ54748" s="201"/>
    </row>
    <row r="54749" spans="62:62" x14ac:dyDescent="0.2">
      <c r="BJ54749" s="201"/>
    </row>
    <row r="54750" spans="62:62" x14ac:dyDescent="0.2">
      <c r="BJ54750" s="201"/>
    </row>
    <row r="54751" spans="62:62" x14ac:dyDescent="0.2">
      <c r="BJ54751" s="201"/>
    </row>
    <row r="54752" spans="62:62" x14ac:dyDescent="0.2">
      <c r="BJ54752" s="201"/>
    </row>
    <row r="54753" spans="62:62" x14ac:dyDescent="0.2">
      <c r="BJ54753" s="201"/>
    </row>
    <row r="54754" spans="62:62" x14ac:dyDescent="0.2">
      <c r="BJ54754" s="201"/>
    </row>
    <row r="54755" spans="62:62" x14ac:dyDescent="0.2">
      <c r="BJ54755" s="201"/>
    </row>
    <row r="54756" spans="62:62" x14ac:dyDescent="0.2">
      <c r="BJ54756" s="201"/>
    </row>
    <row r="54757" spans="62:62" x14ac:dyDescent="0.2">
      <c r="BJ54757" s="201"/>
    </row>
    <row r="54758" spans="62:62" x14ac:dyDescent="0.2">
      <c r="BJ54758" s="201"/>
    </row>
    <row r="54759" spans="62:62" x14ac:dyDescent="0.2">
      <c r="BJ54759" s="201"/>
    </row>
    <row r="54760" spans="62:62" x14ac:dyDescent="0.2">
      <c r="BJ54760" s="201"/>
    </row>
    <row r="54761" spans="62:62" x14ac:dyDescent="0.2">
      <c r="BJ54761" s="201"/>
    </row>
    <row r="54762" spans="62:62" x14ac:dyDescent="0.2">
      <c r="BJ54762" s="201"/>
    </row>
    <row r="54763" spans="62:62" x14ac:dyDescent="0.2">
      <c r="BJ54763" s="201"/>
    </row>
    <row r="54764" spans="62:62" x14ac:dyDescent="0.2">
      <c r="BJ54764" s="201"/>
    </row>
    <row r="54765" spans="62:62" x14ac:dyDescent="0.2">
      <c r="BJ54765" s="201"/>
    </row>
    <row r="54766" spans="62:62" x14ac:dyDescent="0.2">
      <c r="BJ54766" s="201"/>
    </row>
    <row r="54767" spans="62:62" x14ac:dyDescent="0.2">
      <c r="BJ54767" s="201"/>
    </row>
    <row r="54768" spans="62:62" x14ac:dyDescent="0.2">
      <c r="BJ54768" s="201"/>
    </row>
    <row r="54769" spans="62:62" x14ac:dyDescent="0.2">
      <c r="BJ54769" s="201"/>
    </row>
    <row r="54770" spans="62:62" x14ac:dyDescent="0.2">
      <c r="BJ54770" s="201"/>
    </row>
    <row r="54771" spans="62:62" x14ac:dyDescent="0.2">
      <c r="BJ54771" s="201"/>
    </row>
    <row r="54772" spans="62:62" x14ac:dyDescent="0.2">
      <c r="BJ54772" s="201"/>
    </row>
    <row r="54773" spans="62:62" x14ac:dyDescent="0.2">
      <c r="BJ54773" s="201"/>
    </row>
    <row r="54774" spans="62:62" x14ac:dyDescent="0.2">
      <c r="BJ54774" s="201"/>
    </row>
    <row r="54775" spans="62:62" x14ac:dyDescent="0.2">
      <c r="BJ54775" s="201"/>
    </row>
    <row r="54776" spans="62:62" x14ac:dyDescent="0.2">
      <c r="BJ54776" s="201"/>
    </row>
    <row r="54777" spans="62:62" x14ac:dyDescent="0.2">
      <c r="BJ54777" s="201"/>
    </row>
    <row r="54778" spans="62:62" x14ac:dyDescent="0.2">
      <c r="BJ54778" s="201"/>
    </row>
    <row r="54779" spans="62:62" x14ac:dyDescent="0.2">
      <c r="BJ54779" s="201"/>
    </row>
    <row r="54780" spans="62:62" x14ac:dyDescent="0.2">
      <c r="BJ54780" s="201"/>
    </row>
    <row r="54781" spans="62:62" x14ac:dyDescent="0.2">
      <c r="BJ54781" s="201"/>
    </row>
    <row r="54782" spans="62:62" x14ac:dyDescent="0.2">
      <c r="BJ54782" s="201"/>
    </row>
    <row r="54783" spans="62:62" x14ac:dyDescent="0.2">
      <c r="BJ54783" s="201"/>
    </row>
    <row r="54784" spans="62:62" x14ac:dyDescent="0.2">
      <c r="BJ54784" s="201"/>
    </row>
    <row r="54785" spans="62:62" x14ac:dyDescent="0.2">
      <c r="BJ54785" s="201"/>
    </row>
    <row r="54786" spans="62:62" x14ac:dyDescent="0.2">
      <c r="BJ54786" s="201"/>
    </row>
    <row r="54787" spans="62:62" x14ac:dyDescent="0.2">
      <c r="BJ54787" s="201"/>
    </row>
    <row r="54788" spans="62:62" x14ac:dyDescent="0.2">
      <c r="BJ54788" s="201"/>
    </row>
    <row r="54789" spans="62:62" x14ac:dyDescent="0.2">
      <c r="BJ54789" s="201"/>
    </row>
    <row r="54790" spans="62:62" x14ac:dyDescent="0.2">
      <c r="BJ54790" s="201"/>
    </row>
    <row r="54791" spans="62:62" x14ac:dyDescent="0.2">
      <c r="BJ54791" s="201"/>
    </row>
    <row r="54792" spans="62:62" x14ac:dyDescent="0.2">
      <c r="BJ54792" s="201"/>
    </row>
    <row r="54793" spans="62:62" x14ac:dyDescent="0.2">
      <c r="BJ54793" s="201"/>
    </row>
    <row r="54794" spans="62:62" x14ac:dyDescent="0.2">
      <c r="BJ54794" s="201"/>
    </row>
    <row r="54795" spans="62:62" x14ac:dyDescent="0.2">
      <c r="BJ54795" s="201"/>
    </row>
    <row r="54796" spans="62:62" x14ac:dyDescent="0.2">
      <c r="BJ54796" s="201"/>
    </row>
    <row r="54797" spans="62:62" x14ac:dyDescent="0.2">
      <c r="BJ54797" s="201"/>
    </row>
    <row r="54798" spans="62:62" x14ac:dyDescent="0.2">
      <c r="BJ54798" s="201"/>
    </row>
    <row r="54799" spans="62:62" x14ac:dyDescent="0.2">
      <c r="BJ54799" s="201"/>
    </row>
    <row r="54800" spans="62:62" x14ac:dyDescent="0.2">
      <c r="BJ54800" s="201"/>
    </row>
    <row r="54801" spans="62:62" x14ac:dyDescent="0.2">
      <c r="BJ54801" s="201"/>
    </row>
    <row r="54802" spans="62:62" x14ac:dyDescent="0.2">
      <c r="BJ54802" s="201"/>
    </row>
    <row r="54803" spans="62:62" x14ac:dyDescent="0.2">
      <c r="BJ54803" s="201"/>
    </row>
    <row r="54804" spans="62:62" x14ac:dyDescent="0.2">
      <c r="BJ54804" s="201"/>
    </row>
    <row r="54805" spans="62:62" x14ac:dyDescent="0.2">
      <c r="BJ54805" s="201"/>
    </row>
    <row r="54806" spans="62:62" x14ac:dyDescent="0.2">
      <c r="BJ54806" s="201"/>
    </row>
    <row r="54807" spans="62:62" x14ac:dyDescent="0.2">
      <c r="BJ54807" s="201"/>
    </row>
    <row r="54808" spans="62:62" x14ac:dyDescent="0.2">
      <c r="BJ54808" s="201"/>
    </row>
    <row r="54809" spans="62:62" x14ac:dyDescent="0.2">
      <c r="BJ54809" s="201"/>
    </row>
    <row r="54810" spans="62:62" x14ac:dyDescent="0.2">
      <c r="BJ54810" s="201"/>
    </row>
    <row r="54811" spans="62:62" x14ac:dyDescent="0.2">
      <c r="BJ54811" s="201"/>
    </row>
    <row r="54812" spans="62:62" x14ac:dyDescent="0.2">
      <c r="BJ54812" s="201"/>
    </row>
    <row r="54813" spans="62:62" x14ac:dyDescent="0.2">
      <c r="BJ54813" s="201"/>
    </row>
    <row r="54814" spans="62:62" x14ac:dyDescent="0.2">
      <c r="BJ54814" s="201"/>
    </row>
    <row r="54815" spans="62:62" x14ac:dyDescent="0.2">
      <c r="BJ54815" s="201"/>
    </row>
    <row r="54816" spans="62:62" x14ac:dyDescent="0.2">
      <c r="BJ54816" s="201"/>
    </row>
    <row r="54817" spans="62:62" x14ac:dyDescent="0.2">
      <c r="BJ54817" s="201"/>
    </row>
    <row r="54818" spans="62:62" x14ac:dyDescent="0.2">
      <c r="BJ54818" s="201"/>
    </row>
    <row r="54819" spans="62:62" x14ac:dyDescent="0.2">
      <c r="BJ54819" s="201"/>
    </row>
    <row r="54820" spans="62:62" x14ac:dyDescent="0.2">
      <c r="BJ54820" s="201"/>
    </row>
    <row r="54821" spans="62:62" x14ac:dyDescent="0.2">
      <c r="BJ54821" s="201"/>
    </row>
    <row r="54822" spans="62:62" x14ac:dyDescent="0.2">
      <c r="BJ54822" s="201"/>
    </row>
    <row r="54823" spans="62:62" x14ac:dyDescent="0.2">
      <c r="BJ54823" s="201"/>
    </row>
    <row r="54824" spans="62:62" x14ac:dyDescent="0.2">
      <c r="BJ54824" s="201"/>
    </row>
    <row r="54825" spans="62:62" x14ac:dyDescent="0.2">
      <c r="BJ54825" s="201"/>
    </row>
    <row r="54826" spans="62:62" x14ac:dyDescent="0.2">
      <c r="BJ54826" s="201"/>
    </row>
    <row r="54827" spans="62:62" x14ac:dyDescent="0.2">
      <c r="BJ54827" s="201"/>
    </row>
    <row r="54828" spans="62:62" x14ac:dyDescent="0.2">
      <c r="BJ54828" s="201"/>
    </row>
    <row r="54829" spans="62:62" x14ac:dyDescent="0.2">
      <c r="BJ54829" s="201"/>
    </row>
    <row r="54830" spans="62:62" x14ac:dyDescent="0.2">
      <c r="BJ54830" s="201"/>
    </row>
    <row r="54831" spans="62:62" x14ac:dyDescent="0.2">
      <c r="BJ54831" s="201"/>
    </row>
    <row r="54832" spans="62:62" x14ac:dyDescent="0.2">
      <c r="BJ54832" s="201"/>
    </row>
    <row r="54833" spans="62:62" x14ac:dyDescent="0.2">
      <c r="BJ54833" s="201"/>
    </row>
    <row r="54834" spans="62:62" x14ac:dyDescent="0.2">
      <c r="BJ54834" s="201"/>
    </row>
    <row r="54835" spans="62:62" x14ac:dyDescent="0.2">
      <c r="BJ54835" s="201"/>
    </row>
    <row r="54836" spans="62:62" x14ac:dyDescent="0.2">
      <c r="BJ54836" s="201"/>
    </row>
    <row r="54837" spans="62:62" x14ac:dyDescent="0.2">
      <c r="BJ54837" s="201"/>
    </row>
    <row r="54838" spans="62:62" x14ac:dyDescent="0.2">
      <c r="BJ54838" s="201"/>
    </row>
    <row r="54839" spans="62:62" x14ac:dyDescent="0.2">
      <c r="BJ54839" s="201"/>
    </row>
    <row r="54840" spans="62:62" x14ac:dyDescent="0.2">
      <c r="BJ54840" s="201"/>
    </row>
    <row r="54841" spans="62:62" x14ac:dyDescent="0.2">
      <c r="BJ54841" s="201"/>
    </row>
    <row r="54842" spans="62:62" x14ac:dyDescent="0.2">
      <c r="BJ54842" s="201"/>
    </row>
    <row r="54843" spans="62:62" x14ac:dyDescent="0.2">
      <c r="BJ54843" s="201"/>
    </row>
    <row r="54844" spans="62:62" x14ac:dyDescent="0.2">
      <c r="BJ54844" s="201"/>
    </row>
    <row r="54845" spans="62:62" x14ac:dyDescent="0.2">
      <c r="BJ54845" s="201"/>
    </row>
    <row r="54846" spans="62:62" x14ac:dyDescent="0.2">
      <c r="BJ54846" s="201"/>
    </row>
    <row r="54847" spans="62:62" x14ac:dyDescent="0.2">
      <c r="BJ54847" s="201"/>
    </row>
    <row r="54848" spans="62:62" x14ac:dyDescent="0.2">
      <c r="BJ54848" s="201"/>
    </row>
    <row r="54849" spans="62:62" x14ac:dyDescent="0.2">
      <c r="BJ54849" s="201"/>
    </row>
    <row r="54850" spans="62:62" x14ac:dyDescent="0.2">
      <c r="BJ54850" s="201"/>
    </row>
    <row r="54851" spans="62:62" x14ac:dyDescent="0.2">
      <c r="BJ54851" s="201"/>
    </row>
    <row r="54852" spans="62:62" x14ac:dyDescent="0.2">
      <c r="BJ54852" s="201"/>
    </row>
    <row r="54853" spans="62:62" x14ac:dyDescent="0.2">
      <c r="BJ54853" s="201"/>
    </row>
    <row r="54854" spans="62:62" x14ac:dyDescent="0.2">
      <c r="BJ54854" s="201"/>
    </row>
    <row r="54855" spans="62:62" x14ac:dyDescent="0.2">
      <c r="BJ54855" s="201"/>
    </row>
    <row r="54856" spans="62:62" x14ac:dyDescent="0.2">
      <c r="BJ54856" s="201"/>
    </row>
    <row r="54857" spans="62:62" x14ac:dyDescent="0.2">
      <c r="BJ54857" s="201"/>
    </row>
    <row r="54858" spans="62:62" x14ac:dyDescent="0.2">
      <c r="BJ54858" s="201"/>
    </row>
    <row r="54859" spans="62:62" x14ac:dyDescent="0.2">
      <c r="BJ54859" s="201"/>
    </row>
    <row r="54860" spans="62:62" x14ac:dyDescent="0.2">
      <c r="BJ54860" s="201"/>
    </row>
    <row r="54861" spans="62:62" x14ac:dyDescent="0.2">
      <c r="BJ54861" s="201"/>
    </row>
    <row r="54862" spans="62:62" x14ac:dyDescent="0.2">
      <c r="BJ54862" s="201"/>
    </row>
    <row r="54863" spans="62:62" x14ac:dyDescent="0.2">
      <c r="BJ54863" s="201"/>
    </row>
    <row r="54864" spans="62:62" x14ac:dyDescent="0.2">
      <c r="BJ54864" s="201"/>
    </row>
    <row r="54865" spans="62:62" x14ac:dyDescent="0.2">
      <c r="BJ54865" s="201"/>
    </row>
    <row r="54866" spans="62:62" x14ac:dyDescent="0.2">
      <c r="BJ54866" s="201"/>
    </row>
    <row r="54867" spans="62:62" x14ac:dyDescent="0.2">
      <c r="BJ54867" s="201"/>
    </row>
    <row r="54868" spans="62:62" x14ac:dyDescent="0.2">
      <c r="BJ54868" s="201"/>
    </row>
    <row r="54869" spans="62:62" x14ac:dyDescent="0.2">
      <c r="BJ54869" s="201"/>
    </row>
    <row r="54870" spans="62:62" x14ac:dyDescent="0.2">
      <c r="BJ54870" s="201"/>
    </row>
    <row r="54871" spans="62:62" x14ac:dyDescent="0.2">
      <c r="BJ54871" s="201"/>
    </row>
    <row r="54872" spans="62:62" x14ac:dyDescent="0.2">
      <c r="BJ54872" s="201"/>
    </row>
    <row r="54873" spans="62:62" x14ac:dyDescent="0.2">
      <c r="BJ54873" s="201"/>
    </row>
    <row r="54874" spans="62:62" x14ac:dyDescent="0.2">
      <c r="BJ54874" s="201"/>
    </row>
    <row r="54875" spans="62:62" x14ac:dyDescent="0.2">
      <c r="BJ54875" s="201"/>
    </row>
    <row r="54876" spans="62:62" x14ac:dyDescent="0.2">
      <c r="BJ54876" s="201"/>
    </row>
    <row r="54877" spans="62:62" x14ac:dyDescent="0.2">
      <c r="BJ54877" s="201"/>
    </row>
    <row r="54878" spans="62:62" x14ac:dyDescent="0.2">
      <c r="BJ54878" s="201"/>
    </row>
    <row r="54879" spans="62:62" x14ac:dyDescent="0.2">
      <c r="BJ54879" s="201"/>
    </row>
    <row r="54880" spans="62:62" x14ac:dyDescent="0.2">
      <c r="BJ54880" s="201"/>
    </row>
    <row r="54881" spans="62:62" x14ac:dyDescent="0.2">
      <c r="BJ54881" s="201"/>
    </row>
    <row r="54882" spans="62:62" x14ac:dyDescent="0.2">
      <c r="BJ54882" s="201"/>
    </row>
    <row r="54883" spans="62:62" x14ac:dyDescent="0.2">
      <c r="BJ54883" s="201"/>
    </row>
    <row r="54884" spans="62:62" x14ac:dyDescent="0.2">
      <c r="BJ54884" s="201"/>
    </row>
    <row r="54885" spans="62:62" x14ac:dyDescent="0.2">
      <c r="BJ54885" s="201"/>
    </row>
    <row r="54886" spans="62:62" x14ac:dyDescent="0.2">
      <c r="BJ54886" s="201"/>
    </row>
    <row r="54887" spans="62:62" x14ac:dyDescent="0.2">
      <c r="BJ54887" s="201"/>
    </row>
    <row r="54888" spans="62:62" x14ac:dyDescent="0.2">
      <c r="BJ54888" s="201"/>
    </row>
    <row r="54889" spans="62:62" x14ac:dyDescent="0.2">
      <c r="BJ54889" s="201"/>
    </row>
    <row r="54890" spans="62:62" x14ac:dyDescent="0.2">
      <c r="BJ54890" s="201"/>
    </row>
    <row r="54891" spans="62:62" x14ac:dyDescent="0.2">
      <c r="BJ54891" s="201"/>
    </row>
    <row r="54892" spans="62:62" x14ac:dyDescent="0.2">
      <c r="BJ54892" s="201"/>
    </row>
    <row r="54893" spans="62:62" x14ac:dyDescent="0.2">
      <c r="BJ54893" s="201"/>
    </row>
    <row r="54894" spans="62:62" x14ac:dyDescent="0.2">
      <c r="BJ54894" s="201"/>
    </row>
    <row r="54895" spans="62:62" x14ac:dyDescent="0.2">
      <c r="BJ54895" s="201"/>
    </row>
    <row r="54896" spans="62:62" x14ac:dyDescent="0.2">
      <c r="BJ54896" s="201"/>
    </row>
    <row r="54897" spans="62:62" x14ac:dyDescent="0.2">
      <c r="BJ54897" s="201"/>
    </row>
    <row r="54898" spans="62:62" x14ac:dyDescent="0.2">
      <c r="BJ54898" s="201"/>
    </row>
    <row r="54899" spans="62:62" x14ac:dyDescent="0.2">
      <c r="BJ54899" s="201"/>
    </row>
    <row r="54900" spans="62:62" x14ac:dyDescent="0.2">
      <c r="BJ54900" s="201"/>
    </row>
    <row r="54901" spans="62:62" x14ac:dyDescent="0.2">
      <c r="BJ54901" s="201"/>
    </row>
    <row r="54902" spans="62:62" x14ac:dyDescent="0.2">
      <c r="BJ54902" s="201"/>
    </row>
    <row r="54903" spans="62:62" x14ac:dyDescent="0.2">
      <c r="BJ54903" s="201"/>
    </row>
    <row r="54904" spans="62:62" x14ac:dyDescent="0.2">
      <c r="BJ54904" s="201"/>
    </row>
    <row r="54905" spans="62:62" x14ac:dyDescent="0.2">
      <c r="BJ54905" s="201"/>
    </row>
    <row r="54906" spans="62:62" x14ac:dyDescent="0.2">
      <c r="BJ54906" s="201"/>
    </row>
    <row r="54907" spans="62:62" x14ac:dyDescent="0.2">
      <c r="BJ54907" s="201"/>
    </row>
    <row r="54908" spans="62:62" x14ac:dyDescent="0.2">
      <c r="BJ54908" s="201"/>
    </row>
    <row r="54909" spans="62:62" x14ac:dyDescent="0.2">
      <c r="BJ54909" s="201"/>
    </row>
    <row r="54910" spans="62:62" x14ac:dyDescent="0.2">
      <c r="BJ54910" s="201"/>
    </row>
    <row r="54911" spans="62:62" x14ac:dyDescent="0.2">
      <c r="BJ54911" s="201"/>
    </row>
    <row r="54912" spans="62:62" x14ac:dyDescent="0.2">
      <c r="BJ54912" s="201"/>
    </row>
    <row r="54913" spans="62:62" x14ac:dyDescent="0.2">
      <c r="BJ54913" s="201"/>
    </row>
    <row r="54914" spans="62:62" x14ac:dyDescent="0.2">
      <c r="BJ54914" s="201"/>
    </row>
    <row r="54915" spans="62:62" x14ac:dyDescent="0.2">
      <c r="BJ54915" s="201"/>
    </row>
    <row r="54916" spans="62:62" x14ac:dyDescent="0.2">
      <c r="BJ54916" s="201"/>
    </row>
    <row r="54917" spans="62:62" x14ac:dyDescent="0.2">
      <c r="BJ54917" s="201"/>
    </row>
    <row r="54918" spans="62:62" x14ac:dyDescent="0.2">
      <c r="BJ54918" s="201"/>
    </row>
    <row r="54919" spans="62:62" x14ac:dyDescent="0.2">
      <c r="BJ54919" s="201"/>
    </row>
    <row r="54920" spans="62:62" x14ac:dyDescent="0.2">
      <c r="BJ54920" s="201"/>
    </row>
    <row r="54921" spans="62:62" x14ac:dyDescent="0.2">
      <c r="BJ54921" s="201"/>
    </row>
    <row r="54922" spans="62:62" x14ac:dyDescent="0.2">
      <c r="BJ54922" s="201"/>
    </row>
    <row r="54923" spans="62:62" x14ac:dyDescent="0.2">
      <c r="BJ54923" s="201"/>
    </row>
    <row r="54924" spans="62:62" x14ac:dyDescent="0.2">
      <c r="BJ54924" s="201"/>
    </row>
    <row r="54925" spans="62:62" x14ac:dyDescent="0.2">
      <c r="BJ54925" s="201"/>
    </row>
    <row r="54926" spans="62:62" x14ac:dyDescent="0.2">
      <c r="BJ54926" s="201"/>
    </row>
    <row r="54927" spans="62:62" x14ac:dyDescent="0.2">
      <c r="BJ54927" s="201"/>
    </row>
    <row r="54928" spans="62:62" x14ac:dyDescent="0.2">
      <c r="BJ54928" s="201"/>
    </row>
    <row r="54929" spans="62:62" x14ac:dyDescent="0.2">
      <c r="BJ54929" s="201"/>
    </row>
    <row r="54930" spans="62:62" x14ac:dyDescent="0.2">
      <c r="BJ54930" s="201"/>
    </row>
    <row r="54931" spans="62:62" x14ac:dyDescent="0.2">
      <c r="BJ54931" s="201"/>
    </row>
    <row r="54932" spans="62:62" x14ac:dyDescent="0.2">
      <c r="BJ54932" s="201"/>
    </row>
    <row r="54933" spans="62:62" x14ac:dyDescent="0.2">
      <c r="BJ54933" s="201"/>
    </row>
    <row r="54934" spans="62:62" x14ac:dyDescent="0.2">
      <c r="BJ54934" s="201"/>
    </row>
    <row r="54935" spans="62:62" x14ac:dyDescent="0.2">
      <c r="BJ54935" s="201"/>
    </row>
    <row r="54936" spans="62:62" x14ac:dyDescent="0.2">
      <c r="BJ54936" s="201"/>
    </row>
    <row r="54937" spans="62:62" x14ac:dyDescent="0.2">
      <c r="BJ54937" s="201"/>
    </row>
    <row r="54938" spans="62:62" x14ac:dyDescent="0.2">
      <c r="BJ54938" s="201"/>
    </row>
    <row r="54939" spans="62:62" x14ac:dyDescent="0.2">
      <c r="BJ54939" s="201"/>
    </row>
    <row r="54940" spans="62:62" x14ac:dyDescent="0.2">
      <c r="BJ54940" s="201"/>
    </row>
    <row r="54941" spans="62:62" x14ac:dyDescent="0.2">
      <c r="BJ54941" s="201"/>
    </row>
    <row r="54942" spans="62:62" x14ac:dyDescent="0.2">
      <c r="BJ54942" s="201"/>
    </row>
    <row r="54943" spans="62:62" x14ac:dyDescent="0.2">
      <c r="BJ54943" s="201"/>
    </row>
    <row r="54944" spans="62:62" x14ac:dyDescent="0.2">
      <c r="BJ54944" s="201"/>
    </row>
    <row r="54945" spans="62:62" x14ac:dyDescent="0.2">
      <c r="BJ54945" s="201"/>
    </row>
    <row r="54946" spans="62:62" x14ac:dyDescent="0.2">
      <c r="BJ54946" s="201"/>
    </row>
    <row r="54947" spans="62:62" x14ac:dyDescent="0.2">
      <c r="BJ54947" s="201"/>
    </row>
    <row r="54948" spans="62:62" x14ac:dyDescent="0.2">
      <c r="BJ54948" s="201"/>
    </row>
    <row r="54949" spans="62:62" x14ac:dyDescent="0.2">
      <c r="BJ54949" s="201"/>
    </row>
    <row r="54950" spans="62:62" x14ac:dyDescent="0.2">
      <c r="BJ54950" s="201"/>
    </row>
    <row r="54951" spans="62:62" x14ac:dyDescent="0.2">
      <c r="BJ54951" s="201"/>
    </row>
    <row r="54952" spans="62:62" x14ac:dyDescent="0.2">
      <c r="BJ54952" s="201"/>
    </row>
    <row r="54953" spans="62:62" x14ac:dyDescent="0.2">
      <c r="BJ54953" s="201"/>
    </row>
    <row r="54954" spans="62:62" x14ac:dyDescent="0.2">
      <c r="BJ54954" s="201"/>
    </row>
    <row r="54955" spans="62:62" x14ac:dyDescent="0.2">
      <c r="BJ54955" s="201"/>
    </row>
    <row r="54956" spans="62:62" x14ac:dyDescent="0.2">
      <c r="BJ54956" s="201"/>
    </row>
    <row r="54957" spans="62:62" x14ac:dyDescent="0.2">
      <c r="BJ54957" s="201"/>
    </row>
    <row r="54958" spans="62:62" x14ac:dyDescent="0.2">
      <c r="BJ54958" s="201"/>
    </row>
    <row r="54959" spans="62:62" x14ac:dyDescent="0.2">
      <c r="BJ54959" s="201"/>
    </row>
    <row r="54960" spans="62:62" x14ac:dyDescent="0.2">
      <c r="BJ54960" s="201"/>
    </row>
    <row r="54961" spans="62:62" x14ac:dyDescent="0.2">
      <c r="BJ54961" s="201"/>
    </row>
    <row r="54962" spans="62:62" x14ac:dyDescent="0.2">
      <c r="BJ54962" s="201"/>
    </row>
    <row r="54963" spans="62:62" x14ac:dyDescent="0.2">
      <c r="BJ54963" s="201"/>
    </row>
    <row r="54964" spans="62:62" x14ac:dyDescent="0.2">
      <c r="BJ54964" s="201"/>
    </row>
    <row r="54965" spans="62:62" x14ac:dyDescent="0.2">
      <c r="BJ54965" s="201"/>
    </row>
    <row r="54966" spans="62:62" x14ac:dyDescent="0.2">
      <c r="BJ54966" s="201"/>
    </row>
    <row r="54967" spans="62:62" x14ac:dyDescent="0.2">
      <c r="BJ54967" s="201"/>
    </row>
    <row r="54968" spans="62:62" x14ac:dyDescent="0.2">
      <c r="BJ54968" s="201"/>
    </row>
    <row r="54969" spans="62:62" x14ac:dyDescent="0.2">
      <c r="BJ54969" s="201"/>
    </row>
    <row r="54970" spans="62:62" x14ac:dyDescent="0.2">
      <c r="BJ54970" s="201"/>
    </row>
    <row r="54971" spans="62:62" x14ac:dyDescent="0.2">
      <c r="BJ54971" s="201"/>
    </row>
    <row r="54972" spans="62:62" x14ac:dyDescent="0.2">
      <c r="BJ54972" s="201"/>
    </row>
    <row r="54973" spans="62:62" x14ac:dyDescent="0.2">
      <c r="BJ54973" s="201"/>
    </row>
    <row r="54974" spans="62:62" x14ac:dyDescent="0.2">
      <c r="BJ54974" s="201"/>
    </row>
    <row r="54975" spans="62:62" x14ac:dyDescent="0.2">
      <c r="BJ54975" s="201"/>
    </row>
    <row r="54976" spans="62:62" x14ac:dyDescent="0.2">
      <c r="BJ54976" s="201"/>
    </row>
    <row r="54977" spans="62:62" x14ac:dyDescent="0.2">
      <c r="BJ54977" s="201"/>
    </row>
    <row r="54978" spans="62:62" x14ac:dyDescent="0.2">
      <c r="BJ54978" s="201"/>
    </row>
    <row r="54979" spans="62:62" x14ac:dyDescent="0.2">
      <c r="BJ54979" s="201"/>
    </row>
    <row r="54980" spans="62:62" x14ac:dyDescent="0.2">
      <c r="BJ54980" s="201"/>
    </row>
    <row r="54981" spans="62:62" x14ac:dyDescent="0.2">
      <c r="BJ54981" s="201"/>
    </row>
    <row r="54982" spans="62:62" x14ac:dyDescent="0.2">
      <c r="BJ54982" s="201"/>
    </row>
    <row r="54983" spans="62:62" x14ac:dyDescent="0.2">
      <c r="BJ54983" s="201"/>
    </row>
    <row r="54984" spans="62:62" x14ac:dyDescent="0.2">
      <c r="BJ54984" s="201"/>
    </row>
    <row r="54985" spans="62:62" x14ac:dyDescent="0.2">
      <c r="BJ54985" s="201"/>
    </row>
    <row r="54986" spans="62:62" x14ac:dyDescent="0.2">
      <c r="BJ54986" s="201"/>
    </row>
    <row r="54987" spans="62:62" x14ac:dyDescent="0.2">
      <c r="BJ54987" s="201"/>
    </row>
    <row r="54988" spans="62:62" x14ac:dyDescent="0.2">
      <c r="BJ54988" s="201"/>
    </row>
    <row r="54989" spans="62:62" x14ac:dyDescent="0.2">
      <c r="BJ54989" s="201"/>
    </row>
    <row r="54990" spans="62:62" x14ac:dyDescent="0.2">
      <c r="BJ54990" s="201"/>
    </row>
    <row r="54991" spans="62:62" x14ac:dyDescent="0.2">
      <c r="BJ54991" s="201"/>
    </row>
    <row r="54992" spans="62:62" x14ac:dyDescent="0.2">
      <c r="BJ54992" s="201"/>
    </row>
    <row r="54993" spans="62:62" x14ac:dyDescent="0.2">
      <c r="BJ54993" s="201"/>
    </row>
    <row r="54994" spans="62:62" x14ac:dyDescent="0.2">
      <c r="BJ54994" s="201"/>
    </row>
    <row r="54995" spans="62:62" x14ac:dyDescent="0.2">
      <c r="BJ54995" s="201"/>
    </row>
    <row r="54996" spans="62:62" x14ac:dyDescent="0.2">
      <c r="BJ54996" s="201"/>
    </row>
    <row r="54997" spans="62:62" x14ac:dyDescent="0.2">
      <c r="BJ54997" s="201"/>
    </row>
    <row r="54998" spans="62:62" x14ac:dyDescent="0.2">
      <c r="BJ54998" s="201"/>
    </row>
    <row r="54999" spans="62:62" x14ac:dyDescent="0.2">
      <c r="BJ54999" s="201"/>
    </row>
    <row r="55000" spans="62:62" x14ac:dyDescent="0.2">
      <c r="BJ55000" s="201"/>
    </row>
    <row r="55001" spans="62:62" x14ac:dyDescent="0.2">
      <c r="BJ55001" s="201"/>
    </row>
    <row r="55002" spans="62:62" x14ac:dyDescent="0.2">
      <c r="BJ55002" s="201"/>
    </row>
    <row r="55003" spans="62:62" x14ac:dyDescent="0.2">
      <c r="BJ55003" s="201"/>
    </row>
    <row r="55004" spans="62:62" x14ac:dyDescent="0.2">
      <c r="BJ55004" s="201"/>
    </row>
    <row r="55005" spans="62:62" x14ac:dyDescent="0.2">
      <c r="BJ55005" s="201"/>
    </row>
    <row r="55006" spans="62:62" x14ac:dyDescent="0.2">
      <c r="BJ55006" s="201"/>
    </row>
    <row r="55007" spans="62:62" x14ac:dyDescent="0.2">
      <c r="BJ55007" s="201"/>
    </row>
    <row r="55008" spans="62:62" x14ac:dyDescent="0.2">
      <c r="BJ55008" s="201"/>
    </row>
    <row r="55009" spans="62:62" x14ac:dyDescent="0.2">
      <c r="BJ55009" s="201"/>
    </row>
    <row r="55010" spans="62:62" x14ac:dyDescent="0.2">
      <c r="BJ55010" s="201"/>
    </row>
    <row r="55011" spans="62:62" x14ac:dyDescent="0.2">
      <c r="BJ55011" s="201"/>
    </row>
    <row r="55012" spans="62:62" x14ac:dyDescent="0.2">
      <c r="BJ55012" s="201"/>
    </row>
    <row r="55013" spans="62:62" x14ac:dyDescent="0.2">
      <c r="BJ55013" s="201"/>
    </row>
    <row r="55014" spans="62:62" x14ac:dyDescent="0.2">
      <c r="BJ55014" s="201"/>
    </row>
    <row r="55015" spans="62:62" x14ac:dyDescent="0.2">
      <c r="BJ55015" s="201"/>
    </row>
    <row r="55016" spans="62:62" x14ac:dyDescent="0.2">
      <c r="BJ55016" s="201"/>
    </row>
    <row r="55017" spans="62:62" x14ac:dyDescent="0.2">
      <c r="BJ55017" s="201"/>
    </row>
    <row r="55018" spans="62:62" x14ac:dyDescent="0.2">
      <c r="BJ55018" s="201"/>
    </row>
    <row r="55019" spans="62:62" x14ac:dyDescent="0.2">
      <c r="BJ55019" s="201"/>
    </row>
    <row r="55020" spans="62:62" x14ac:dyDescent="0.2">
      <c r="BJ55020" s="201"/>
    </row>
    <row r="55021" spans="62:62" x14ac:dyDescent="0.2">
      <c r="BJ55021" s="201"/>
    </row>
    <row r="55022" spans="62:62" x14ac:dyDescent="0.2">
      <c r="BJ55022" s="201"/>
    </row>
    <row r="55023" spans="62:62" x14ac:dyDescent="0.2">
      <c r="BJ55023" s="201"/>
    </row>
    <row r="55024" spans="62:62" x14ac:dyDescent="0.2">
      <c r="BJ55024" s="201"/>
    </row>
    <row r="55025" spans="62:62" x14ac:dyDescent="0.2">
      <c r="BJ55025" s="201"/>
    </row>
    <row r="55026" spans="62:62" x14ac:dyDescent="0.2">
      <c r="BJ55026" s="201"/>
    </row>
    <row r="55027" spans="62:62" x14ac:dyDescent="0.2">
      <c r="BJ55027" s="201"/>
    </row>
    <row r="55028" spans="62:62" x14ac:dyDescent="0.2">
      <c r="BJ55028" s="201"/>
    </row>
    <row r="55029" spans="62:62" x14ac:dyDescent="0.2">
      <c r="BJ55029" s="201"/>
    </row>
    <row r="55030" spans="62:62" x14ac:dyDescent="0.2">
      <c r="BJ55030" s="201"/>
    </row>
    <row r="55031" spans="62:62" x14ac:dyDescent="0.2">
      <c r="BJ55031" s="201"/>
    </row>
    <row r="55032" spans="62:62" x14ac:dyDescent="0.2">
      <c r="BJ55032" s="201"/>
    </row>
    <row r="55033" spans="62:62" x14ac:dyDescent="0.2">
      <c r="BJ55033" s="201"/>
    </row>
    <row r="55034" spans="62:62" x14ac:dyDescent="0.2">
      <c r="BJ55034" s="201"/>
    </row>
    <row r="55035" spans="62:62" x14ac:dyDescent="0.2">
      <c r="BJ55035" s="201"/>
    </row>
    <row r="55036" spans="62:62" x14ac:dyDescent="0.2">
      <c r="BJ55036" s="201"/>
    </row>
    <row r="55037" spans="62:62" x14ac:dyDescent="0.2">
      <c r="BJ55037" s="201"/>
    </row>
    <row r="55038" spans="62:62" x14ac:dyDescent="0.2">
      <c r="BJ55038" s="201"/>
    </row>
    <row r="55039" spans="62:62" x14ac:dyDescent="0.2">
      <c r="BJ55039" s="201"/>
    </row>
    <row r="55040" spans="62:62" x14ac:dyDescent="0.2">
      <c r="BJ55040" s="201"/>
    </row>
    <row r="55041" spans="62:62" x14ac:dyDescent="0.2">
      <c r="BJ55041" s="201"/>
    </row>
    <row r="55042" spans="62:62" x14ac:dyDescent="0.2">
      <c r="BJ55042" s="201"/>
    </row>
    <row r="55043" spans="62:62" x14ac:dyDescent="0.2">
      <c r="BJ55043" s="201"/>
    </row>
    <row r="55044" spans="62:62" x14ac:dyDescent="0.2">
      <c r="BJ55044" s="201"/>
    </row>
    <row r="55045" spans="62:62" x14ac:dyDescent="0.2">
      <c r="BJ55045" s="201"/>
    </row>
    <row r="55046" spans="62:62" x14ac:dyDescent="0.2">
      <c r="BJ55046" s="201"/>
    </row>
    <row r="55047" spans="62:62" x14ac:dyDescent="0.2">
      <c r="BJ55047" s="201"/>
    </row>
    <row r="55048" spans="62:62" x14ac:dyDescent="0.2">
      <c r="BJ55048" s="201"/>
    </row>
    <row r="55049" spans="62:62" x14ac:dyDescent="0.2">
      <c r="BJ55049" s="201"/>
    </row>
    <row r="55050" spans="62:62" x14ac:dyDescent="0.2">
      <c r="BJ55050" s="201"/>
    </row>
    <row r="55051" spans="62:62" x14ac:dyDescent="0.2">
      <c r="BJ55051" s="201"/>
    </row>
    <row r="55052" spans="62:62" x14ac:dyDescent="0.2">
      <c r="BJ55052" s="201"/>
    </row>
    <row r="55053" spans="62:62" x14ac:dyDescent="0.2">
      <c r="BJ55053" s="201"/>
    </row>
    <row r="55054" spans="62:62" x14ac:dyDescent="0.2">
      <c r="BJ55054" s="201"/>
    </row>
    <row r="55055" spans="62:62" x14ac:dyDescent="0.2">
      <c r="BJ55055" s="201"/>
    </row>
    <row r="55056" spans="62:62" x14ac:dyDescent="0.2">
      <c r="BJ55056" s="201"/>
    </row>
    <row r="55057" spans="62:62" x14ac:dyDescent="0.2">
      <c r="BJ55057" s="201"/>
    </row>
    <row r="55058" spans="62:62" x14ac:dyDescent="0.2">
      <c r="BJ55058" s="201"/>
    </row>
    <row r="55059" spans="62:62" x14ac:dyDescent="0.2">
      <c r="BJ55059" s="201"/>
    </row>
    <row r="55060" spans="62:62" x14ac:dyDescent="0.2">
      <c r="BJ55060" s="201"/>
    </row>
    <row r="55061" spans="62:62" x14ac:dyDescent="0.2">
      <c r="BJ55061" s="201"/>
    </row>
    <row r="55062" spans="62:62" x14ac:dyDescent="0.2">
      <c r="BJ55062" s="201"/>
    </row>
    <row r="55063" spans="62:62" x14ac:dyDescent="0.2">
      <c r="BJ55063" s="201"/>
    </row>
    <row r="55064" spans="62:62" x14ac:dyDescent="0.2">
      <c r="BJ55064" s="201"/>
    </row>
    <row r="55065" spans="62:62" x14ac:dyDescent="0.2">
      <c r="BJ55065" s="201"/>
    </row>
    <row r="55066" spans="62:62" x14ac:dyDescent="0.2">
      <c r="BJ55066" s="201"/>
    </row>
    <row r="55067" spans="62:62" x14ac:dyDescent="0.2">
      <c r="BJ55067" s="201"/>
    </row>
    <row r="55068" spans="62:62" x14ac:dyDescent="0.2">
      <c r="BJ55068" s="201"/>
    </row>
    <row r="55069" spans="62:62" x14ac:dyDescent="0.2">
      <c r="BJ55069" s="201"/>
    </row>
    <row r="55070" spans="62:62" x14ac:dyDescent="0.2">
      <c r="BJ55070" s="201"/>
    </row>
    <row r="55071" spans="62:62" x14ac:dyDescent="0.2">
      <c r="BJ55071" s="201"/>
    </row>
    <row r="55072" spans="62:62" x14ac:dyDescent="0.2">
      <c r="BJ55072" s="201"/>
    </row>
    <row r="55073" spans="62:62" x14ac:dyDescent="0.2">
      <c r="BJ55073" s="201"/>
    </row>
    <row r="55074" spans="62:62" x14ac:dyDescent="0.2">
      <c r="BJ55074" s="201"/>
    </row>
    <row r="55075" spans="62:62" x14ac:dyDescent="0.2">
      <c r="BJ55075" s="201"/>
    </row>
    <row r="55076" spans="62:62" x14ac:dyDescent="0.2">
      <c r="BJ55076" s="201"/>
    </row>
    <row r="55077" spans="62:62" x14ac:dyDescent="0.2">
      <c r="BJ55077" s="201"/>
    </row>
    <row r="55078" spans="62:62" x14ac:dyDescent="0.2">
      <c r="BJ55078" s="201"/>
    </row>
    <row r="55079" spans="62:62" x14ac:dyDescent="0.2">
      <c r="BJ55079" s="201"/>
    </row>
    <row r="55080" spans="62:62" x14ac:dyDescent="0.2">
      <c r="BJ55080" s="201"/>
    </row>
    <row r="55081" spans="62:62" x14ac:dyDescent="0.2">
      <c r="BJ55081" s="201"/>
    </row>
    <row r="55082" spans="62:62" x14ac:dyDescent="0.2">
      <c r="BJ55082" s="201"/>
    </row>
    <row r="55083" spans="62:62" x14ac:dyDescent="0.2">
      <c r="BJ55083" s="201"/>
    </row>
    <row r="55084" spans="62:62" x14ac:dyDescent="0.2">
      <c r="BJ55084" s="201"/>
    </row>
    <row r="55085" spans="62:62" x14ac:dyDescent="0.2">
      <c r="BJ55085" s="201"/>
    </row>
    <row r="55086" spans="62:62" x14ac:dyDescent="0.2">
      <c r="BJ55086" s="201"/>
    </row>
    <row r="55087" spans="62:62" x14ac:dyDescent="0.2">
      <c r="BJ55087" s="201"/>
    </row>
    <row r="55088" spans="62:62" x14ac:dyDescent="0.2">
      <c r="BJ55088" s="201"/>
    </row>
    <row r="55089" spans="62:62" x14ac:dyDescent="0.2">
      <c r="BJ55089" s="201"/>
    </row>
    <row r="55090" spans="62:62" x14ac:dyDescent="0.2">
      <c r="BJ55090" s="201"/>
    </row>
    <row r="55091" spans="62:62" x14ac:dyDescent="0.2">
      <c r="BJ55091" s="201"/>
    </row>
    <row r="55092" spans="62:62" x14ac:dyDescent="0.2">
      <c r="BJ55092" s="201"/>
    </row>
    <row r="55093" spans="62:62" x14ac:dyDescent="0.2">
      <c r="BJ55093" s="201"/>
    </row>
    <row r="55094" spans="62:62" x14ac:dyDescent="0.2">
      <c r="BJ55094" s="201"/>
    </row>
    <row r="55095" spans="62:62" x14ac:dyDescent="0.2">
      <c r="BJ55095" s="201"/>
    </row>
    <row r="55096" spans="62:62" x14ac:dyDescent="0.2">
      <c r="BJ55096" s="201"/>
    </row>
    <row r="55097" spans="62:62" x14ac:dyDescent="0.2">
      <c r="BJ55097" s="201"/>
    </row>
    <row r="55098" spans="62:62" x14ac:dyDescent="0.2">
      <c r="BJ55098" s="201"/>
    </row>
    <row r="55099" spans="62:62" x14ac:dyDescent="0.2">
      <c r="BJ55099" s="201"/>
    </row>
    <row r="55100" spans="62:62" x14ac:dyDescent="0.2">
      <c r="BJ55100" s="201"/>
    </row>
    <row r="55101" spans="62:62" x14ac:dyDescent="0.2">
      <c r="BJ55101" s="201"/>
    </row>
    <row r="55102" spans="62:62" x14ac:dyDescent="0.2">
      <c r="BJ55102" s="201"/>
    </row>
    <row r="55103" spans="62:62" x14ac:dyDescent="0.2">
      <c r="BJ55103" s="201"/>
    </row>
    <row r="55104" spans="62:62" x14ac:dyDescent="0.2">
      <c r="BJ55104" s="201"/>
    </row>
    <row r="55105" spans="62:62" x14ac:dyDescent="0.2">
      <c r="BJ55105" s="201"/>
    </row>
    <row r="55106" spans="62:62" x14ac:dyDescent="0.2">
      <c r="BJ55106" s="201"/>
    </row>
    <row r="55107" spans="62:62" x14ac:dyDescent="0.2">
      <c r="BJ55107" s="201"/>
    </row>
    <row r="55108" spans="62:62" x14ac:dyDescent="0.2">
      <c r="BJ55108" s="201"/>
    </row>
    <row r="55109" spans="62:62" x14ac:dyDescent="0.2">
      <c r="BJ55109" s="201"/>
    </row>
    <row r="55110" spans="62:62" x14ac:dyDescent="0.2">
      <c r="BJ55110" s="201"/>
    </row>
    <row r="55111" spans="62:62" x14ac:dyDescent="0.2">
      <c r="BJ55111" s="201"/>
    </row>
    <row r="55112" spans="62:62" x14ac:dyDescent="0.2">
      <c r="BJ55112" s="201"/>
    </row>
    <row r="55113" spans="62:62" x14ac:dyDescent="0.2">
      <c r="BJ55113" s="201"/>
    </row>
    <row r="55114" spans="62:62" x14ac:dyDescent="0.2">
      <c r="BJ55114" s="201"/>
    </row>
    <row r="55115" spans="62:62" x14ac:dyDescent="0.2">
      <c r="BJ55115" s="201"/>
    </row>
    <row r="55116" spans="62:62" x14ac:dyDescent="0.2">
      <c r="BJ55116" s="201"/>
    </row>
    <row r="55117" spans="62:62" x14ac:dyDescent="0.2">
      <c r="BJ55117" s="201"/>
    </row>
    <row r="55118" spans="62:62" x14ac:dyDescent="0.2">
      <c r="BJ55118" s="201"/>
    </row>
    <row r="55119" spans="62:62" x14ac:dyDescent="0.2">
      <c r="BJ55119" s="201"/>
    </row>
    <row r="55120" spans="62:62" x14ac:dyDescent="0.2">
      <c r="BJ55120" s="201"/>
    </row>
    <row r="55121" spans="62:62" x14ac:dyDescent="0.2">
      <c r="BJ55121" s="201"/>
    </row>
    <row r="55122" spans="62:62" x14ac:dyDescent="0.2">
      <c r="BJ55122" s="201"/>
    </row>
    <row r="55123" spans="62:62" x14ac:dyDescent="0.2">
      <c r="BJ55123" s="201"/>
    </row>
    <row r="55124" spans="62:62" x14ac:dyDescent="0.2">
      <c r="BJ55124" s="201"/>
    </row>
    <row r="55125" spans="62:62" x14ac:dyDescent="0.2">
      <c r="BJ55125" s="201"/>
    </row>
    <row r="55126" spans="62:62" x14ac:dyDescent="0.2">
      <c r="BJ55126" s="201"/>
    </row>
    <row r="55127" spans="62:62" x14ac:dyDescent="0.2">
      <c r="BJ55127" s="201"/>
    </row>
    <row r="55128" spans="62:62" x14ac:dyDescent="0.2">
      <c r="BJ55128" s="201"/>
    </row>
    <row r="55129" spans="62:62" x14ac:dyDescent="0.2">
      <c r="BJ55129" s="201"/>
    </row>
    <row r="55130" spans="62:62" x14ac:dyDescent="0.2">
      <c r="BJ55130" s="201"/>
    </row>
    <row r="55131" spans="62:62" x14ac:dyDescent="0.2">
      <c r="BJ55131" s="201"/>
    </row>
    <row r="55132" spans="62:62" x14ac:dyDescent="0.2">
      <c r="BJ55132" s="201"/>
    </row>
    <row r="55133" spans="62:62" x14ac:dyDescent="0.2">
      <c r="BJ55133" s="201"/>
    </row>
    <row r="55134" spans="62:62" x14ac:dyDescent="0.2">
      <c r="BJ55134" s="201"/>
    </row>
    <row r="55135" spans="62:62" x14ac:dyDescent="0.2">
      <c r="BJ55135" s="201"/>
    </row>
    <row r="55136" spans="62:62" x14ac:dyDescent="0.2">
      <c r="BJ55136" s="201"/>
    </row>
    <row r="55137" spans="62:62" x14ac:dyDescent="0.2">
      <c r="BJ55137" s="201"/>
    </row>
    <row r="55138" spans="62:62" x14ac:dyDescent="0.2">
      <c r="BJ55138" s="201"/>
    </row>
    <row r="55139" spans="62:62" x14ac:dyDescent="0.2">
      <c r="BJ55139" s="201"/>
    </row>
    <row r="55140" spans="62:62" x14ac:dyDescent="0.2">
      <c r="BJ55140" s="201"/>
    </row>
    <row r="55141" spans="62:62" x14ac:dyDescent="0.2">
      <c r="BJ55141" s="201"/>
    </row>
    <row r="55142" spans="62:62" x14ac:dyDescent="0.2">
      <c r="BJ55142" s="201"/>
    </row>
    <row r="55143" spans="62:62" x14ac:dyDescent="0.2">
      <c r="BJ55143" s="201"/>
    </row>
    <row r="55144" spans="62:62" x14ac:dyDescent="0.2">
      <c r="BJ55144" s="201"/>
    </row>
    <row r="55145" spans="62:62" x14ac:dyDescent="0.2">
      <c r="BJ55145" s="201"/>
    </row>
    <row r="55146" spans="62:62" x14ac:dyDescent="0.2">
      <c r="BJ55146" s="201"/>
    </row>
    <row r="55147" spans="62:62" x14ac:dyDescent="0.2">
      <c r="BJ55147" s="201"/>
    </row>
    <row r="55148" spans="62:62" x14ac:dyDescent="0.2">
      <c r="BJ55148" s="201"/>
    </row>
    <row r="55149" spans="62:62" x14ac:dyDescent="0.2">
      <c r="BJ55149" s="201"/>
    </row>
    <row r="55150" spans="62:62" x14ac:dyDescent="0.2">
      <c r="BJ55150" s="201"/>
    </row>
    <row r="55151" spans="62:62" x14ac:dyDescent="0.2">
      <c r="BJ55151" s="201"/>
    </row>
    <row r="55152" spans="62:62" x14ac:dyDescent="0.2">
      <c r="BJ55152" s="201"/>
    </row>
    <row r="55153" spans="62:62" x14ac:dyDescent="0.2">
      <c r="BJ55153" s="201"/>
    </row>
    <row r="55154" spans="62:62" x14ac:dyDescent="0.2">
      <c r="BJ55154" s="201"/>
    </row>
    <row r="55155" spans="62:62" x14ac:dyDescent="0.2">
      <c r="BJ55155" s="201"/>
    </row>
    <row r="55156" spans="62:62" x14ac:dyDescent="0.2">
      <c r="BJ55156" s="201"/>
    </row>
    <row r="55157" spans="62:62" x14ac:dyDescent="0.2">
      <c r="BJ55157" s="201"/>
    </row>
    <row r="55158" spans="62:62" x14ac:dyDescent="0.2">
      <c r="BJ55158" s="201"/>
    </row>
    <row r="55159" spans="62:62" x14ac:dyDescent="0.2">
      <c r="BJ55159" s="201"/>
    </row>
    <row r="55160" spans="62:62" x14ac:dyDescent="0.2">
      <c r="BJ55160" s="201"/>
    </row>
    <row r="55161" spans="62:62" x14ac:dyDescent="0.2">
      <c r="BJ55161" s="201"/>
    </row>
    <row r="55162" spans="62:62" x14ac:dyDescent="0.2">
      <c r="BJ55162" s="201"/>
    </row>
    <row r="55163" spans="62:62" x14ac:dyDescent="0.2">
      <c r="BJ55163" s="201"/>
    </row>
    <row r="55164" spans="62:62" x14ac:dyDescent="0.2">
      <c r="BJ55164" s="201"/>
    </row>
    <row r="55165" spans="62:62" x14ac:dyDescent="0.2">
      <c r="BJ55165" s="201"/>
    </row>
    <row r="55166" spans="62:62" x14ac:dyDescent="0.2">
      <c r="BJ55166" s="201"/>
    </row>
    <row r="55167" spans="62:62" x14ac:dyDescent="0.2">
      <c r="BJ55167" s="201"/>
    </row>
    <row r="55168" spans="62:62" x14ac:dyDescent="0.2">
      <c r="BJ55168" s="201"/>
    </row>
    <row r="55169" spans="62:62" x14ac:dyDescent="0.2">
      <c r="BJ55169" s="201"/>
    </row>
    <row r="55170" spans="62:62" x14ac:dyDescent="0.2">
      <c r="BJ55170" s="201"/>
    </row>
    <row r="55171" spans="62:62" x14ac:dyDescent="0.2">
      <c r="BJ55171" s="201"/>
    </row>
    <row r="55172" spans="62:62" x14ac:dyDescent="0.2">
      <c r="BJ55172" s="201"/>
    </row>
    <row r="55173" spans="62:62" x14ac:dyDescent="0.2">
      <c r="BJ55173" s="201"/>
    </row>
    <row r="55174" spans="62:62" x14ac:dyDescent="0.2">
      <c r="BJ55174" s="201"/>
    </row>
    <row r="55175" spans="62:62" x14ac:dyDescent="0.2">
      <c r="BJ55175" s="201"/>
    </row>
    <row r="55176" spans="62:62" x14ac:dyDescent="0.2">
      <c r="BJ55176" s="201"/>
    </row>
    <row r="55177" spans="62:62" x14ac:dyDescent="0.2">
      <c r="BJ55177" s="201"/>
    </row>
    <row r="55178" spans="62:62" x14ac:dyDescent="0.2">
      <c r="BJ55178" s="201"/>
    </row>
    <row r="55179" spans="62:62" x14ac:dyDescent="0.2">
      <c r="BJ55179" s="201"/>
    </row>
    <row r="55180" spans="62:62" x14ac:dyDescent="0.2">
      <c r="BJ55180" s="201"/>
    </row>
    <row r="55181" spans="62:62" x14ac:dyDescent="0.2">
      <c r="BJ55181" s="201"/>
    </row>
    <row r="55182" spans="62:62" x14ac:dyDescent="0.2">
      <c r="BJ55182" s="201"/>
    </row>
    <row r="55183" spans="62:62" x14ac:dyDescent="0.2">
      <c r="BJ55183" s="201"/>
    </row>
    <row r="55184" spans="62:62" x14ac:dyDescent="0.2">
      <c r="BJ55184" s="201"/>
    </row>
    <row r="55185" spans="62:62" x14ac:dyDescent="0.2">
      <c r="BJ55185" s="201"/>
    </row>
    <row r="55186" spans="62:62" x14ac:dyDescent="0.2">
      <c r="BJ55186" s="201"/>
    </row>
    <row r="55187" spans="62:62" x14ac:dyDescent="0.2">
      <c r="BJ55187" s="201"/>
    </row>
    <row r="55188" spans="62:62" x14ac:dyDescent="0.2">
      <c r="BJ55188" s="201"/>
    </row>
    <row r="55189" spans="62:62" x14ac:dyDescent="0.2">
      <c r="BJ55189" s="201"/>
    </row>
    <row r="55190" spans="62:62" x14ac:dyDescent="0.2">
      <c r="BJ55190" s="201"/>
    </row>
    <row r="55191" spans="62:62" x14ac:dyDescent="0.2">
      <c r="BJ55191" s="201"/>
    </row>
    <row r="55192" spans="62:62" x14ac:dyDescent="0.2">
      <c r="BJ55192" s="201"/>
    </row>
    <row r="55193" spans="62:62" x14ac:dyDescent="0.2">
      <c r="BJ55193" s="201"/>
    </row>
    <row r="55194" spans="62:62" x14ac:dyDescent="0.2">
      <c r="BJ55194" s="201"/>
    </row>
    <row r="55195" spans="62:62" x14ac:dyDescent="0.2">
      <c r="BJ55195" s="201"/>
    </row>
    <row r="55196" spans="62:62" x14ac:dyDescent="0.2">
      <c r="BJ55196" s="201"/>
    </row>
    <row r="55197" spans="62:62" x14ac:dyDescent="0.2">
      <c r="BJ55197" s="201"/>
    </row>
    <row r="55198" spans="62:62" x14ac:dyDescent="0.2">
      <c r="BJ55198" s="201"/>
    </row>
    <row r="55199" spans="62:62" x14ac:dyDescent="0.2">
      <c r="BJ55199" s="201"/>
    </row>
    <row r="55200" spans="62:62" x14ac:dyDescent="0.2">
      <c r="BJ55200" s="201"/>
    </row>
    <row r="55201" spans="62:62" x14ac:dyDescent="0.2">
      <c r="BJ55201" s="201"/>
    </row>
    <row r="55202" spans="62:62" x14ac:dyDescent="0.2">
      <c r="BJ55202" s="201"/>
    </row>
    <row r="55203" spans="62:62" x14ac:dyDescent="0.2">
      <c r="BJ55203" s="201"/>
    </row>
    <row r="55204" spans="62:62" x14ac:dyDescent="0.2">
      <c r="BJ55204" s="201"/>
    </row>
    <row r="55205" spans="62:62" x14ac:dyDescent="0.2">
      <c r="BJ55205" s="201"/>
    </row>
    <row r="55206" spans="62:62" x14ac:dyDescent="0.2">
      <c r="BJ55206" s="201"/>
    </row>
    <row r="55207" spans="62:62" x14ac:dyDescent="0.2">
      <c r="BJ55207" s="201"/>
    </row>
    <row r="55208" spans="62:62" x14ac:dyDescent="0.2">
      <c r="BJ55208" s="201"/>
    </row>
    <row r="55209" spans="62:62" x14ac:dyDescent="0.2">
      <c r="BJ55209" s="201"/>
    </row>
    <row r="55210" spans="62:62" x14ac:dyDescent="0.2">
      <c r="BJ55210" s="201"/>
    </row>
    <row r="55211" spans="62:62" x14ac:dyDescent="0.2">
      <c r="BJ55211" s="201"/>
    </row>
    <row r="55212" spans="62:62" x14ac:dyDescent="0.2">
      <c r="BJ55212" s="201"/>
    </row>
    <row r="55213" spans="62:62" x14ac:dyDescent="0.2">
      <c r="BJ55213" s="201"/>
    </row>
    <row r="55214" spans="62:62" x14ac:dyDescent="0.2">
      <c r="BJ55214" s="201"/>
    </row>
    <row r="55215" spans="62:62" x14ac:dyDescent="0.2">
      <c r="BJ55215" s="201"/>
    </row>
    <row r="55216" spans="62:62" x14ac:dyDescent="0.2">
      <c r="BJ55216" s="201"/>
    </row>
    <row r="55217" spans="62:62" x14ac:dyDescent="0.2">
      <c r="BJ55217" s="201"/>
    </row>
    <row r="55218" spans="62:62" x14ac:dyDescent="0.2">
      <c r="BJ55218" s="201"/>
    </row>
    <row r="55219" spans="62:62" x14ac:dyDescent="0.2">
      <c r="BJ55219" s="201"/>
    </row>
    <row r="55220" spans="62:62" x14ac:dyDescent="0.2">
      <c r="BJ55220" s="201"/>
    </row>
    <row r="55221" spans="62:62" x14ac:dyDescent="0.2">
      <c r="BJ55221" s="201"/>
    </row>
    <row r="55222" spans="62:62" x14ac:dyDescent="0.2">
      <c r="BJ55222" s="201"/>
    </row>
    <row r="55223" spans="62:62" x14ac:dyDescent="0.2">
      <c r="BJ55223" s="201"/>
    </row>
    <row r="55224" spans="62:62" x14ac:dyDescent="0.2">
      <c r="BJ55224" s="201"/>
    </row>
    <row r="55225" spans="62:62" x14ac:dyDescent="0.2">
      <c r="BJ55225" s="201"/>
    </row>
    <row r="55226" spans="62:62" x14ac:dyDescent="0.2">
      <c r="BJ55226" s="201"/>
    </row>
    <row r="55227" spans="62:62" x14ac:dyDescent="0.2">
      <c r="BJ55227" s="201"/>
    </row>
    <row r="55228" spans="62:62" x14ac:dyDescent="0.2">
      <c r="BJ55228" s="201"/>
    </row>
    <row r="55229" spans="62:62" x14ac:dyDescent="0.2">
      <c r="BJ55229" s="201"/>
    </row>
    <row r="55230" spans="62:62" x14ac:dyDescent="0.2">
      <c r="BJ55230" s="201"/>
    </row>
    <row r="55231" spans="62:62" x14ac:dyDescent="0.2">
      <c r="BJ55231" s="201"/>
    </row>
    <row r="55232" spans="62:62" x14ac:dyDescent="0.2">
      <c r="BJ55232" s="201"/>
    </row>
    <row r="55233" spans="62:62" x14ac:dyDescent="0.2">
      <c r="BJ55233" s="201"/>
    </row>
    <row r="55234" spans="62:62" x14ac:dyDescent="0.2">
      <c r="BJ55234" s="201"/>
    </row>
    <row r="55235" spans="62:62" x14ac:dyDescent="0.2">
      <c r="BJ55235" s="201"/>
    </row>
    <row r="55236" spans="62:62" x14ac:dyDescent="0.2">
      <c r="BJ55236" s="201"/>
    </row>
    <row r="55237" spans="62:62" x14ac:dyDescent="0.2">
      <c r="BJ55237" s="201"/>
    </row>
    <row r="55238" spans="62:62" x14ac:dyDescent="0.2">
      <c r="BJ55238" s="201"/>
    </row>
    <row r="55239" spans="62:62" x14ac:dyDescent="0.2">
      <c r="BJ55239" s="201"/>
    </row>
    <row r="55240" spans="62:62" x14ac:dyDescent="0.2">
      <c r="BJ55240" s="201"/>
    </row>
    <row r="55241" spans="62:62" x14ac:dyDescent="0.2">
      <c r="BJ55241" s="201"/>
    </row>
    <row r="55242" spans="62:62" x14ac:dyDescent="0.2">
      <c r="BJ55242" s="201"/>
    </row>
    <row r="55243" spans="62:62" x14ac:dyDescent="0.2">
      <c r="BJ55243" s="201"/>
    </row>
    <row r="55244" spans="62:62" x14ac:dyDescent="0.2">
      <c r="BJ55244" s="201"/>
    </row>
    <row r="55245" spans="62:62" x14ac:dyDescent="0.2">
      <c r="BJ55245" s="201"/>
    </row>
    <row r="55246" spans="62:62" x14ac:dyDescent="0.2">
      <c r="BJ55246" s="201"/>
    </row>
    <row r="55247" spans="62:62" x14ac:dyDescent="0.2">
      <c r="BJ55247" s="201"/>
    </row>
    <row r="55248" spans="62:62" x14ac:dyDescent="0.2">
      <c r="BJ55248" s="201"/>
    </row>
    <row r="55249" spans="62:62" x14ac:dyDescent="0.2">
      <c r="BJ55249" s="201"/>
    </row>
    <row r="55250" spans="62:62" x14ac:dyDescent="0.2">
      <c r="BJ55250" s="201"/>
    </row>
    <row r="55251" spans="62:62" x14ac:dyDescent="0.2">
      <c r="BJ55251" s="201"/>
    </row>
    <row r="55252" spans="62:62" x14ac:dyDescent="0.2">
      <c r="BJ55252" s="201"/>
    </row>
    <row r="55253" spans="62:62" x14ac:dyDescent="0.2">
      <c r="BJ55253" s="201"/>
    </row>
    <row r="55254" spans="62:62" x14ac:dyDescent="0.2">
      <c r="BJ55254" s="201"/>
    </row>
    <row r="55255" spans="62:62" x14ac:dyDescent="0.2">
      <c r="BJ55255" s="201"/>
    </row>
    <row r="55256" spans="62:62" x14ac:dyDescent="0.2">
      <c r="BJ55256" s="201"/>
    </row>
    <row r="55257" spans="62:62" x14ac:dyDescent="0.2">
      <c r="BJ55257" s="201"/>
    </row>
    <row r="55258" spans="62:62" x14ac:dyDescent="0.2">
      <c r="BJ55258" s="201"/>
    </row>
    <row r="55259" spans="62:62" x14ac:dyDescent="0.2">
      <c r="BJ55259" s="201"/>
    </row>
    <row r="55260" spans="62:62" x14ac:dyDescent="0.2">
      <c r="BJ55260" s="201"/>
    </row>
    <row r="55261" spans="62:62" x14ac:dyDescent="0.2">
      <c r="BJ55261" s="201"/>
    </row>
    <row r="55262" spans="62:62" x14ac:dyDescent="0.2">
      <c r="BJ55262" s="201"/>
    </row>
    <row r="55263" spans="62:62" x14ac:dyDescent="0.2">
      <c r="BJ55263" s="201"/>
    </row>
    <row r="55264" spans="62:62" x14ac:dyDescent="0.2">
      <c r="BJ55264" s="201"/>
    </row>
    <row r="55265" spans="62:62" x14ac:dyDescent="0.2">
      <c r="BJ55265" s="201"/>
    </row>
    <row r="55266" spans="62:62" x14ac:dyDescent="0.2">
      <c r="BJ55266" s="201"/>
    </row>
    <row r="55267" spans="62:62" x14ac:dyDescent="0.2">
      <c r="BJ55267" s="201"/>
    </row>
    <row r="55268" spans="62:62" x14ac:dyDescent="0.2">
      <c r="BJ55268" s="201"/>
    </row>
    <row r="55269" spans="62:62" x14ac:dyDescent="0.2">
      <c r="BJ55269" s="201"/>
    </row>
    <row r="55270" spans="62:62" x14ac:dyDescent="0.2">
      <c r="BJ55270" s="201"/>
    </row>
    <row r="55271" spans="62:62" x14ac:dyDescent="0.2">
      <c r="BJ55271" s="201"/>
    </row>
    <row r="55272" spans="62:62" x14ac:dyDescent="0.2">
      <c r="BJ55272" s="201"/>
    </row>
    <row r="55273" spans="62:62" x14ac:dyDescent="0.2">
      <c r="BJ55273" s="201"/>
    </row>
    <row r="55274" spans="62:62" x14ac:dyDescent="0.2">
      <c r="BJ55274" s="201"/>
    </row>
    <row r="55275" spans="62:62" x14ac:dyDescent="0.2">
      <c r="BJ55275" s="201"/>
    </row>
    <row r="55276" spans="62:62" x14ac:dyDescent="0.2">
      <c r="BJ55276" s="201"/>
    </row>
    <row r="55277" spans="62:62" x14ac:dyDescent="0.2">
      <c r="BJ55277" s="201"/>
    </row>
    <row r="55278" spans="62:62" x14ac:dyDescent="0.2">
      <c r="BJ55278" s="201"/>
    </row>
    <row r="55279" spans="62:62" x14ac:dyDescent="0.2">
      <c r="BJ55279" s="201"/>
    </row>
    <row r="55280" spans="62:62" x14ac:dyDescent="0.2">
      <c r="BJ55280" s="201"/>
    </row>
    <row r="55281" spans="62:62" x14ac:dyDescent="0.2">
      <c r="BJ55281" s="201"/>
    </row>
    <row r="55282" spans="62:62" x14ac:dyDescent="0.2">
      <c r="BJ55282" s="201"/>
    </row>
    <row r="55283" spans="62:62" x14ac:dyDescent="0.2">
      <c r="BJ55283" s="201"/>
    </row>
    <row r="55284" spans="62:62" x14ac:dyDescent="0.2">
      <c r="BJ55284" s="201"/>
    </row>
    <row r="55285" spans="62:62" x14ac:dyDescent="0.2">
      <c r="BJ55285" s="201"/>
    </row>
    <row r="55286" spans="62:62" x14ac:dyDescent="0.2">
      <c r="BJ55286" s="201"/>
    </row>
    <row r="55287" spans="62:62" x14ac:dyDescent="0.2">
      <c r="BJ55287" s="201"/>
    </row>
    <row r="55288" spans="62:62" x14ac:dyDescent="0.2">
      <c r="BJ55288" s="201"/>
    </row>
    <row r="55289" spans="62:62" x14ac:dyDescent="0.2">
      <c r="BJ55289" s="201"/>
    </row>
    <row r="55290" spans="62:62" x14ac:dyDescent="0.2">
      <c r="BJ55290" s="201"/>
    </row>
    <row r="55291" spans="62:62" x14ac:dyDescent="0.2">
      <c r="BJ55291" s="201"/>
    </row>
    <row r="55292" spans="62:62" x14ac:dyDescent="0.2">
      <c r="BJ55292" s="201"/>
    </row>
    <row r="55293" spans="62:62" x14ac:dyDescent="0.2">
      <c r="BJ55293" s="201"/>
    </row>
    <row r="55294" spans="62:62" x14ac:dyDescent="0.2">
      <c r="BJ55294" s="201"/>
    </row>
    <row r="55295" spans="62:62" x14ac:dyDescent="0.2">
      <c r="BJ55295" s="201"/>
    </row>
    <row r="55296" spans="62:62" x14ac:dyDescent="0.2">
      <c r="BJ55296" s="201"/>
    </row>
    <row r="55297" spans="62:62" x14ac:dyDescent="0.2">
      <c r="BJ55297" s="201"/>
    </row>
    <row r="55298" spans="62:62" x14ac:dyDescent="0.2">
      <c r="BJ55298" s="201"/>
    </row>
    <row r="55299" spans="62:62" x14ac:dyDescent="0.2">
      <c r="BJ55299" s="201"/>
    </row>
    <row r="55300" spans="62:62" x14ac:dyDescent="0.2">
      <c r="BJ55300" s="201"/>
    </row>
    <row r="55301" spans="62:62" x14ac:dyDescent="0.2">
      <c r="BJ55301" s="201"/>
    </row>
    <row r="55302" spans="62:62" x14ac:dyDescent="0.2">
      <c r="BJ55302" s="201"/>
    </row>
    <row r="55303" spans="62:62" x14ac:dyDescent="0.2">
      <c r="BJ55303" s="201"/>
    </row>
    <row r="55304" spans="62:62" x14ac:dyDescent="0.2">
      <c r="BJ55304" s="201"/>
    </row>
    <row r="55305" spans="62:62" x14ac:dyDescent="0.2">
      <c r="BJ55305" s="201"/>
    </row>
    <row r="55306" spans="62:62" x14ac:dyDescent="0.2">
      <c r="BJ55306" s="201"/>
    </row>
    <row r="55307" spans="62:62" x14ac:dyDescent="0.2">
      <c r="BJ55307" s="201"/>
    </row>
    <row r="55308" spans="62:62" x14ac:dyDescent="0.2">
      <c r="BJ55308" s="201"/>
    </row>
    <row r="55309" spans="62:62" x14ac:dyDescent="0.2">
      <c r="BJ55309" s="201"/>
    </row>
    <row r="55310" spans="62:62" x14ac:dyDescent="0.2">
      <c r="BJ55310" s="201"/>
    </row>
    <row r="55311" spans="62:62" x14ac:dyDescent="0.2">
      <c r="BJ55311" s="201"/>
    </row>
    <row r="55312" spans="62:62" x14ac:dyDescent="0.2">
      <c r="BJ55312" s="201"/>
    </row>
    <row r="55313" spans="62:62" x14ac:dyDescent="0.2">
      <c r="BJ55313" s="201"/>
    </row>
    <row r="55314" spans="62:62" x14ac:dyDescent="0.2">
      <c r="BJ55314" s="201"/>
    </row>
    <row r="55315" spans="62:62" x14ac:dyDescent="0.2">
      <c r="BJ55315" s="201"/>
    </row>
    <row r="55316" spans="62:62" x14ac:dyDescent="0.2">
      <c r="BJ55316" s="201"/>
    </row>
    <row r="55317" spans="62:62" x14ac:dyDescent="0.2">
      <c r="BJ55317" s="201"/>
    </row>
    <row r="55318" spans="62:62" x14ac:dyDescent="0.2">
      <c r="BJ55318" s="201"/>
    </row>
    <row r="55319" spans="62:62" x14ac:dyDescent="0.2">
      <c r="BJ55319" s="201"/>
    </row>
    <row r="55320" spans="62:62" x14ac:dyDescent="0.2">
      <c r="BJ55320" s="201"/>
    </row>
    <row r="55321" spans="62:62" x14ac:dyDescent="0.2">
      <c r="BJ55321" s="201"/>
    </row>
    <row r="55322" spans="62:62" x14ac:dyDescent="0.2">
      <c r="BJ55322" s="201"/>
    </row>
    <row r="55323" spans="62:62" x14ac:dyDescent="0.2">
      <c r="BJ55323" s="201"/>
    </row>
    <row r="55324" spans="62:62" x14ac:dyDescent="0.2">
      <c r="BJ55324" s="201"/>
    </row>
    <row r="55325" spans="62:62" x14ac:dyDescent="0.2">
      <c r="BJ55325" s="201"/>
    </row>
    <row r="55326" spans="62:62" x14ac:dyDescent="0.2">
      <c r="BJ55326" s="201"/>
    </row>
    <row r="55327" spans="62:62" x14ac:dyDescent="0.2">
      <c r="BJ55327" s="201"/>
    </row>
    <row r="55328" spans="62:62" x14ac:dyDescent="0.2">
      <c r="BJ55328" s="201"/>
    </row>
    <row r="55329" spans="62:62" x14ac:dyDescent="0.2">
      <c r="BJ55329" s="201"/>
    </row>
    <row r="55330" spans="62:62" x14ac:dyDescent="0.2">
      <c r="BJ55330" s="201"/>
    </row>
    <row r="55331" spans="62:62" x14ac:dyDescent="0.2">
      <c r="BJ55331" s="201"/>
    </row>
    <row r="55332" spans="62:62" x14ac:dyDescent="0.2">
      <c r="BJ55332" s="201"/>
    </row>
    <row r="55333" spans="62:62" x14ac:dyDescent="0.2">
      <c r="BJ55333" s="201"/>
    </row>
    <row r="55334" spans="62:62" x14ac:dyDescent="0.2">
      <c r="BJ55334" s="201"/>
    </row>
    <row r="55335" spans="62:62" x14ac:dyDescent="0.2">
      <c r="BJ55335" s="201"/>
    </row>
    <row r="55336" spans="62:62" x14ac:dyDescent="0.2">
      <c r="BJ55336" s="201"/>
    </row>
    <row r="55337" spans="62:62" x14ac:dyDescent="0.2">
      <c r="BJ55337" s="201"/>
    </row>
    <row r="55338" spans="62:62" x14ac:dyDescent="0.2">
      <c r="BJ55338" s="201"/>
    </row>
    <row r="55339" spans="62:62" x14ac:dyDescent="0.2">
      <c r="BJ55339" s="201"/>
    </row>
    <row r="55340" spans="62:62" x14ac:dyDescent="0.2">
      <c r="BJ55340" s="201"/>
    </row>
    <row r="55341" spans="62:62" x14ac:dyDescent="0.2">
      <c r="BJ55341" s="201"/>
    </row>
    <row r="55342" spans="62:62" x14ac:dyDescent="0.2">
      <c r="BJ55342" s="201"/>
    </row>
    <row r="55343" spans="62:62" x14ac:dyDescent="0.2">
      <c r="BJ55343" s="201"/>
    </row>
    <row r="55344" spans="62:62" x14ac:dyDescent="0.2">
      <c r="BJ55344" s="201"/>
    </row>
    <row r="55345" spans="62:62" x14ac:dyDescent="0.2">
      <c r="BJ55345" s="201"/>
    </row>
    <row r="55346" spans="62:62" x14ac:dyDescent="0.2">
      <c r="BJ55346" s="201"/>
    </row>
    <row r="55347" spans="62:62" x14ac:dyDescent="0.2">
      <c r="BJ55347" s="201"/>
    </row>
    <row r="55348" spans="62:62" x14ac:dyDescent="0.2">
      <c r="BJ55348" s="201"/>
    </row>
    <row r="55349" spans="62:62" x14ac:dyDescent="0.2">
      <c r="BJ55349" s="201"/>
    </row>
    <row r="55350" spans="62:62" x14ac:dyDescent="0.2">
      <c r="BJ55350" s="201"/>
    </row>
    <row r="55351" spans="62:62" x14ac:dyDescent="0.2">
      <c r="BJ55351" s="201"/>
    </row>
    <row r="55352" spans="62:62" x14ac:dyDescent="0.2">
      <c r="BJ55352" s="201"/>
    </row>
    <row r="55353" spans="62:62" x14ac:dyDescent="0.2">
      <c r="BJ55353" s="201"/>
    </row>
    <row r="55354" spans="62:62" x14ac:dyDescent="0.2">
      <c r="BJ55354" s="201"/>
    </row>
    <row r="55355" spans="62:62" x14ac:dyDescent="0.2">
      <c r="BJ55355" s="201"/>
    </row>
    <row r="55356" spans="62:62" x14ac:dyDescent="0.2">
      <c r="BJ55356" s="201"/>
    </row>
    <row r="55357" spans="62:62" x14ac:dyDescent="0.2">
      <c r="BJ55357" s="201"/>
    </row>
    <row r="55358" spans="62:62" x14ac:dyDescent="0.2">
      <c r="BJ55358" s="201"/>
    </row>
    <row r="55359" spans="62:62" x14ac:dyDescent="0.2">
      <c r="BJ55359" s="201"/>
    </row>
    <row r="55360" spans="62:62" x14ac:dyDescent="0.2">
      <c r="BJ55360" s="201"/>
    </row>
    <row r="55361" spans="62:62" x14ac:dyDescent="0.2">
      <c r="BJ55361" s="201"/>
    </row>
    <row r="55362" spans="62:62" x14ac:dyDescent="0.2">
      <c r="BJ55362" s="201"/>
    </row>
    <row r="55363" spans="62:62" x14ac:dyDescent="0.2">
      <c r="BJ55363" s="201"/>
    </row>
    <row r="55364" spans="62:62" x14ac:dyDescent="0.2">
      <c r="BJ55364" s="201"/>
    </row>
    <row r="55365" spans="62:62" x14ac:dyDescent="0.2">
      <c r="BJ55365" s="201"/>
    </row>
    <row r="55366" spans="62:62" x14ac:dyDescent="0.2">
      <c r="BJ55366" s="201"/>
    </row>
    <row r="55367" spans="62:62" x14ac:dyDescent="0.2">
      <c r="BJ55367" s="201"/>
    </row>
    <row r="55368" spans="62:62" x14ac:dyDescent="0.2">
      <c r="BJ55368" s="201"/>
    </row>
    <row r="55369" spans="62:62" x14ac:dyDescent="0.2">
      <c r="BJ55369" s="201"/>
    </row>
    <row r="55370" spans="62:62" x14ac:dyDescent="0.2">
      <c r="BJ55370" s="201"/>
    </row>
    <row r="55371" spans="62:62" x14ac:dyDescent="0.2">
      <c r="BJ55371" s="201"/>
    </row>
    <row r="55372" spans="62:62" x14ac:dyDescent="0.2">
      <c r="BJ55372" s="201"/>
    </row>
    <row r="55373" spans="62:62" x14ac:dyDescent="0.2">
      <c r="BJ55373" s="201"/>
    </row>
    <row r="55374" spans="62:62" x14ac:dyDescent="0.2">
      <c r="BJ55374" s="201"/>
    </row>
    <row r="55375" spans="62:62" x14ac:dyDescent="0.2">
      <c r="BJ55375" s="201"/>
    </row>
    <row r="55376" spans="62:62" x14ac:dyDescent="0.2">
      <c r="BJ55376" s="201"/>
    </row>
    <row r="55377" spans="62:62" x14ac:dyDescent="0.2">
      <c r="BJ55377" s="201"/>
    </row>
    <row r="55378" spans="62:62" x14ac:dyDescent="0.2">
      <c r="BJ55378" s="201"/>
    </row>
    <row r="55379" spans="62:62" x14ac:dyDescent="0.2">
      <c r="BJ55379" s="201"/>
    </row>
    <row r="55380" spans="62:62" x14ac:dyDescent="0.2">
      <c r="BJ55380" s="201"/>
    </row>
    <row r="55381" spans="62:62" x14ac:dyDescent="0.2">
      <c r="BJ55381" s="201"/>
    </row>
    <row r="55382" spans="62:62" x14ac:dyDescent="0.2">
      <c r="BJ55382" s="201"/>
    </row>
    <row r="55383" spans="62:62" x14ac:dyDescent="0.2">
      <c r="BJ55383" s="201"/>
    </row>
    <row r="55384" spans="62:62" x14ac:dyDescent="0.2">
      <c r="BJ55384" s="201"/>
    </row>
    <row r="55385" spans="62:62" x14ac:dyDescent="0.2">
      <c r="BJ55385" s="201"/>
    </row>
    <row r="55386" spans="62:62" x14ac:dyDescent="0.2">
      <c r="BJ55386" s="201"/>
    </row>
    <row r="55387" spans="62:62" x14ac:dyDescent="0.2">
      <c r="BJ55387" s="201"/>
    </row>
    <row r="55388" spans="62:62" x14ac:dyDescent="0.2">
      <c r="BJ55388" s="201"/>
    </row>
    <row r="55389" spans="62:62" x14ac:dyDescent="0.2">
      <c r="BJ55389" s="201"/>
    </row>
    <row r="55390" spans="62:62" x14ac:dyDescent="0.2">
      <c r="BJ55390" s="201"/>
    </row>
    <row r="55391" spans="62:62" x14ac:dyDescent="0.2">
      <c r="BJ55391" s="201"/>
    </row>
    <row r="55392" spans="62:62" x14ac:dyDescent="0.2">
      <c r="BJ55392" s="201"/>
    </row>
    <row r="55393" spans="62:62" x14ac:dyDescent="0.2">
      <c r="BJ55393" s="201"/>
    </row>
    <row r="55394" spans="62:62" x14ac:dyDescent="0.2">
      <c r="BJ55394" s="201"/>
    </row>
    <row r="55395" spans="62:62" x14ac:dyDescent="0.2">
      <c r="BJ55395" s="201"/>
    </row>
    <row r="55396" spans="62:62" x14ac:dyDescent="0.2">
      <c r="BJ55396" s="201"/>
    </row>
    <row r="55397" spans="62:62" x14ac:dyDescent="0.2">
      <c r="BJ55397" s="201"/>
    </row>
    <row r="55398" spans="62:62" x14ac:dyDescent="0.2">
      <c r="BJ55398" s="201"/>
    </row>
    <row r="55399" spans="62:62" x14ac:dyDescent="0.2">
      <c r="BJ55399" s="201"/>
    </row>
    <row r="55400" spans="62:62" x14ac:dyDescent="0.2">
      <c r="BJ55400" s="201"/>
    </row>
    <row r="55401" spans="62:62" x14ac:dyDescent="0.2">
      <c r="BJ55401" s="201"/>
    </row>
    <row r="55402" spans="62:62" x14ac:dyDescent="0.2">
      <c r="BJ55402" s="201"/>
    </row>
    <row r="55403" spans="62:62" x14ac:dyDescent="0.2">
      <c r="BJ55403" s="201"/>
    </row>
    <row r="55404" spans="62:62" x14ac:dyDescent="0.2">
      <c r="BJ55404" s="201"/>
    </row>
    <row r="55405" spans="62:62" x14ac:dyDescent="0.2">
      <c r="BJ55405" s="201"/>
    </row>
    <row r="55406" spans="62:62" x14ac:dyDescent="0.2">
      <c r="BJ55406" s="201"/>
    </row>
    <row r="55407" spans="62:62" x14ac:dyDescent="0.2">
      <c r="BJ55407" s="201"/>
    </row>
    <row r="55408" spans="62:62" x14ac:dyDescent="0.2">
      <c r="BJ55408" s="201"/>
    </row>
    <row r="55409" spans="62:62" x14ac:dyDescent="0.2">
      <c r="BJ55409" s="201"/>
    </row>
    <row r="55410" spans="62:62" x14ac:dyDescent="0.2">
      <c r="BJ55410" s="201"/>
    </row>
    <row r="55411" spans="62:62" x14ac:dyDescent="0.2">
      <c r="BJ55411" s="201"/>
    </row>
    <row r="55412" spans="62:62" x14ac:dyDescent="0.2">
      <c r="BJ55412" s="201"/>
    </row>
    <row r="55413" spans="62:62" x14ac:dyDescent="0.2">
      <c r="BJ55413" s="201"/>
    </row>
    <row r="55414" spans="62:62" x14ac:dyDescent="0.2">
      <c r="BJ55414" s="201"/>
    </row>
    <row r="55415" spans="62:62" x14ac:dyDescent="0.2">
      <c r="BJ55415" s="201"/>
    </row>
    <row r="55416" spans="62:62" x14ac:dyDescent="0.2">
      <c r="BJ55416" s="201"/>
    </row>
    <row r="55417" spans="62:62" x14ac:dyDescent="0.2">
      <c r="BJ55417" s="201"/>
    </row>
    <row r="55418" spans="62:62" x14ac:dyDescent="0.2">
      <c r="BJ55418" s="201"/>
    </row>
    <row r="55419" spans="62:62" x14ac:dyDescent="0.2">
      <c r="BJ55419" s="201"/>
    </row>
    <row r="55420" spans="62:62" x14ac:dyDescent="0.2">
      <c r="BJ55420" s="201"/>
    </row>
    <row r="55421" spans="62:62" x14ac:dyDescent="0.2">
      <c r="BJ55421" s="201"/>
    </row>
    <row r="55422" spans="62:62" x14ac:dyDescent="0.2">
      <c r="BJ55422" s="201"/>
    </row>
    <row r="55423" spans="62:62" x14ac:dyDescent="0.2">
      <c r="BJ55423" s="201"/>
    </row>
    <row r="55424" spans="62:62" x14ac:dyDescent="0.2">
      <c r="BJ55424" s="201"/>
    </row>
    <row r="55425" spans="62:62" x14ac:dyDescent="0.2">
      <c r="BJ55425" s="201"/>
    </row>
    <row r="55426" spans="62:62" x14ac:dyDescent="0.2">
      <c r="BJ55426" s="201"/>
    </row>
    <row r="55427" spans="62:62" x14ac:dyDescent="0.2">
      <c r="BJ55427" s="201"/>
    </row>
    <row r="55428" spans="62:62" x14ac:dyDescent="0.2">
      <c r="BJ55428" s="201"/>
    </row>
    <row r="55429" spans="62:62" x14ac:dyDescent="0.2">
      <c r="BJ55429" s="201"/>
    </row>
    <row r="55430" spans="62:62" x14ac:dyDescent="0.2">
      <c r="BJ55430" s="201"/>
    </row>
    <row r="55431" spans="62:62" x14ac:dyDescent="0.2">
      <c r="BJ55431" s="201"/>
    </row>
    <row r="55432" spans="62:62" x14ac:dyDescent="0.2">
      <c r="BJ55432" s="201"/>
    </row>
    <row r="55433" spans="62:62" x14ac:dyDescent="0.2">
      <c r="BJ55433" s="201"/>
    </row>
    <row r="55434" spans="62:62" x14ac:dyDescent="0.2">
      <c r="BJ55434" s="201"/>
    </row>
    <row r="55435" spans="62:62" x14ac:dyDescent="0.2">
      <c r="BJ55435" s="201"/>
    </row>
    <row r="55436" spans="62:62" x14ac:dyDescent="0.2">
      <c r="BJ55436" s="201"/>
    </row>
    <row r="55437" spans="62:62" x14ac:dyDescent="0.2">
      <c r="BJ55437" s="201"/>
    </row>
    <row r="55438" spans="62:62" x14ac:dyDescent="0.2">
      <c r="BJ55438" s="201"/>
    </row>
    <row r="55439" spans="62:62" x14ac:dyDescent="0.2">
      <c r="BJ55439" s="201"/>
    </row>
    <row r="55440" spans="62:62" x14ac:dyDescent="0.2">
      <c r="BJ55440" s="201"/>
    </row>
    <row r="55441" spans="62:62" x14ac:dyDescent="0.2">
      <c r="BJ55441" s="201"/>
    </row>
    <row r="55442" spans="62:62" x14ac:dyDescent="0.2">
      <c r="BJ55442" s="201"/>
    </row>
    <row r="55443" spans="62:62" x14ac:dyDescent="0.2">
      <c r="BJ55443" s="201"/>
    </row>
    <row r="55444" spans="62:62" x14ac:dyDescent="0.2">
      <c r="BJ55444" s="201"/>
    </row>
    <row r="55445" spans="62:62" x14ac:dyDescent="0.2">
      <c r="BJ55445" s="201"/>
    </row>
    <row r="55446" spans="62:62" x14ac:dyDescent="0.2">
      <c r="BJ55446" s="201"/>
    </row>
    <row r="55447" spans="62:62" x14ac:dyDescent="0.2">
      <c r="BJ55447" s="201"/>
    </row>
    <row r="55448" spans="62:62" x14ac:dyDescent="0.2">
      <c r="BJ55448" s="201"/>
    </row>
    <row r="55449" spans="62:62" x14ac:dyDescent="0.2">
      <c r="BJ55449" s="201"/>
    </row>
    <row r="55450" spans="62:62" x14ac:dyDescent="0.2">
      <c r="BJ55450" s="201"/>
    </row>
    <row r="55451" spans="62:62" x14ac:dyDescent="0.2">
      <c r="BJ55451" s="201"/>
    </row>
    <row r="55452" spans="62:62" x14ac:dyDescent="0.2">
      <c r="BJ55452" s="201"/>
    </row>
    <row r="55453" spans="62:62" x14ac:dyDescent="0.2">
      <c r="BJ55453" s="201"/>
    </row>
    <row r="55454" spans="62:62" x14ac:dyDescent="0.2">
      <c r="BJ55454" s="201"/>
    </row>
    <row r="55455" spans="62:62" x14ac:dyDescent="0.2">
      <c r="BJ55455" s="201"/>
    </row>
    <row r="55456" spans="62:62" x14ac:dyDescent="0.2">
      <c r="BJ55456" s="201"/>
    </row>
    <row r="55457" spans="62:62" x14ac:dyDescent="0.2">
      <c r="BJ55457" s="201"/>
    </row>
    <row r="55458" spans="62:62" x14ac:dyDescent="0.2">
      <c r="BJ55458" s="201"/>
    </row>
    <row r="55459" spans="62:62" x14ac:dyDescent="0.2">
      <c r="BJ55459" s="201"/>
    </row>
    <row r="55460" spans="62:62" x14ac:dyDescent="0.2">
      <c r="BJ55460" s="201"/>
    </row>
    <row r="55461" spans="62:62" x14ac:dyDescent="0.2">
      <c r="BJ55461" s="201"/>
    </row>
    <row r="55462" spans="62:62" x14ac:dyDescent="0.2">
      <c r="BJ55462" s="201"/>
    </row>
    <row r="55463" spans="62:62" x14ac:dyDescent="0.2">
      <c r="BJ55463" s="201"/>
    </row>
    <row r="55464" spans="62:62" x14ac:dyDescent="0.2">
      <c r="BJ55464" s="201"/>
    </row>
    <row r="55465" spans="62:62" x14ac:dyDescent="0.2">
      <c r="BJ55465" s="201"/>
    </row>
    <row r="55466" spans="62:62" x14ac:dyDescent="0.2">
      <c r="BJ55466" s="201"/>
    </row>
    <row r="55467" spans="62:62" x14ac:dyDescent="0.2">
      <c r="BJ55467" s="201"/>
    </row>
    <row r="55468" spans="62:62" x14ac:dyDescent="0.2">
      <c r="BJ55468" s="201"/>
    </row>
    <row r="55469" spans="62:62" x14ac:dyDescent="0.2">
      <c r="BJ55469" s="201"/>
    </row>
    <row r="55470" spans="62:62" x14ac:dyDescent="0.2">
      <c r="BJ55470" s="201"/>
    </row>
    <row r="55471" spans="62:62" x14ac:dyDescent="0.2">
      <c r="BJ55471" s="201"/>
    </row>
    <row r="55472" spans="62:62" x14ac:dyDescent="0.2">
      <c r="BJ55472" s="201"/>
    </row>
    <row r="55473" spans="62:62" x14ac:dyDescent="0.2">
      <c r="BJ55473" s="201"/>
    </row>
    <row r="55474" spans="62:62" x14ac:dyDescent="0.2">
      <c r="BJ55474" s="201"/>
    </row>
    <row r="55475" spans="62:62" x14ac:dyDescent="0.2">
      <c r="BJ55475" s="201"/>
    </row>
    <row r="55476" spans="62:62" x14ac:dyDescent="0.2">
      <c r="BJ55476" s="201"/>
    </row>
    <row r="55477" spans="62:62" x14ac:dyDescent="0.2">
      <c r="BJ55477" s="201"/>
    </row>
    <row r="55478" spans="62:62" x14ac:dyDescent="0.2">
      <c r="BJ55478" s="201"/>
    </row>
    <row r="55479" spans="62:62" x14ac:dyDescent="0.2">
      <c r="BJ55479" s="201"/>
    </row>
    <row r="55480" spans="62:62" x14ac:dyDescent="0.2">
      <c r="BJ55480" s="201"/>
    </row>
    <row r="55481" spans="62:62" x14ac:dyDescent="0.2">
      <c r="BJ55481" s="201"/>
    </row>
    <row r="55482" spans="62:62" x14ac:dyDescent="0.2">
      <c r="BJ55482" s="201"/>
    </row>
    <row r="55483" spans="62:62" x14ac:dyDescent="0.2">
      <c r="BJ55483" s="201"/>
    </row>
    <row r="55484" spans="62:62" x14ac:dyDescent="0.2">
      <c r="BJ55484" s="201"/>
    </row>
    <row r="55485" spans="62:62" x14ac:dyDescent="0.2">
      <c r="BJ55485" s="201"/>
    </row>
    <row r="55486" spans="62:62" x14ac:dyDescent="0.2">
      <c r="BJ55486" s="201"/>
    </row>
    <row r="55487" spans="62:62" x14ac:dyDescent="0.2">
      <c r="BJ55487" s="201"/>
    </row>
    <row r="55488" spans="62:62" x14ac:dyDescent="0.2">
      <c r="BJ55488" s="201"/>
    </row>
    <row r="55489" spans="62:62" x14ac:dyDescent="0.2">
      <c r="BJ55489" s="201"/>
    </row>
    <row r="55490" spans="62:62" x14ac:dyDescent="0.2">
      <c r="BJ55490" s="201"/>
    </row>
    <row r="55491" spans="62:62" x14ac:dyDescent="0.2">
      <c r="BJ55491" s="201"/>
    </row>
    <row r="55492" spans="62:62" x14ac:dyDescent="0.2">
      <c r="BJ55492" s="201"/>
    </row>
    <row r="55493" spans="62:62" x14ac:dyDescent="0.2">
      <c r="BJ55493" s="201"/>
    </row>
    <row r="55494" spans="62:62" x14ac:dyDescent="0.2">
      <c r="BJ55494" s="201"/>
    </row>
    <row r="55495" spans="62:62" x14ac:dyDescent="0.2">
      <c r="BJ55495" s="201"/>
    </row>
    <row r="55496" spans="62:62" x14ac:dyDescent="0.2">
      <c r="BJ55496" s="201"/>
    </row>
    <row r="55497" spans="62:62" x14ac:dyDescent="0.2">
      <c r="BJ55497" s="201"/>
    </row>
    <row r="55498" spans="62:62" x14ac:dyDescent="0.2">
      <c r="BJ55498" s="201"/>
    </row>
    <row r="55499" spans="62:62" x14ac:dyDescent="0.2">
      <c r="BJ55499" s="201"/>
    </row>
    <row r="55500" spans="62:62" x14ac:dyDescent="0.2">
      <c r="BJ55500" s="201"/>
    </row>
    <row r="55501" spans="62:62" x14ac:dyDescent="0.2">
      <c r="BJ55501" s="201"/>
    </row>
    <row r="55502" spans="62:62" x14ac:dyDescent="0.2">
      <c r="BJ55502" s="201"/>
    </row>
    <row r="55503" spans="62:62" x14ac:dyDescent="0.2">
      <c r="BJ55503" s="201"/>
    </row>
    <row r="55504" spans="62:62" x14ac:dyDescent="0.2">
      <c r="BJ55504" s="201"/>
    </row>
    <row r="55505" spans="62:62" x14ac:dyDescent="0.2">
      <c r="BJ55505" s="201"/>
    </row>
    <row r="55506" spans="62:62" x14ac:dyDescent="0.2">
      <c r="BJ55506" s="201"/>
    </row>
    <row r="55507" spans="62:62" x14ac:dyDescent="0.2">
      <c r="BJ55507" s="201"/>
    </row>
    <row r="55508" spans="62:62" x14ac:dyDescent="0.2">
      <c r="BJ55508" s="201"/>
    </row>
    <row r="55509" spans="62:62" x14ac:dyDescent="0.2">
      <c r="BJ55509" s="201"/>
    </row>
    <row r="55510" spans="62:62" x14ac:dyDescent="0.2">
      <c r="BJ55510" s="201"/>
    </row>
    <row r="55511" spans="62:62" x14ac:dyDescent="0.2">
      <c r="BJ55511" s="201"/>
    </row>
    <row r="55512" spans="62:62" x14ac:dyDescent="0.2">
      <c r="BJ55512" s="201"/>
    </row>
    <row r="55513" spans="62:62" x14ac:dyDescent="0.2">
      <c r="BJ55513" s="201"/>
    </row>
    <row r="55514" spans="62:62" x14ac:dyDescent="0.2">
      <c r="BJ55514" s="201"/>
    </row>
    <row r="55515" spans="62:62" x14ac:dyDescent="0.2">
      <c r="BJ55515" s="201"/>
    </row>
    <row r="55516" spans="62:62" x14ac:dyDescent="0.2">
      <c r="BJ55516" s="201"/>
    </row>
    <row r="55517" spans="62:62" x14ac:dyDescent="0.2">
      <c r="BJ55517" s="201"/>
    </row>
    <row r="55518" spans="62:62" x14ac:dyDescent="0.2">
      <c r="BJ55518" s="201"/>
    </row>
    <row r="55519" spans="62:62" x14ac:dyDescent="0.2">
      <c r="BJ55519" s="201"/>
    </row>
    <row r="55520" spans="62:62" x14ac:dyDescent="0.2">
      <c r="BJ55520" s="201"/>
    </row>
    <row r="55521" spans="62:62" x14ac:dyDescent="0.2">
      <c r="BJ55521" s="201"/>
    </row>
    <row r="55522" spans="62:62" x14ac:dyDescent="0.2">
      <c r="BJ55522" s="201"/>
    </row>
    <row r="55523" spans="62:62" x14ac:dyDescent="0.2">
      <c r="BJ55523" s="201"/>
    </row>
    <row r="55524" spans="62:62" x14ac:dyDescent="0.2">
      <c r="BJ55524" s="201"/>
    </row>
    <row r="55525" spans="62:62" x14ac:dyDescent="0.2">
      <c r="BJ55525" s="201"/>
    </row>
    <row r="55526" spans="62:62" x14ac:dyDescent="0.2">
      <c r="BJ55526" s="201"/>
    </row>
    <row r="55527" spans="62:62" x14ac:dyDescent="0.2">
      <c r="BJ55527" s="201"/>
    </row>
    <row r="55528" spans="62:62" x14ac:dyDescent="0.2">
      <c r="BJ55528" s="201"/>
    </row>
    <row r="55529" spans="62:62" x14ac:dyDescent="0.2">
      <c r="BJ55529" s="201"/>
    </row>
    <row r="55530" spans="62:62" x14ac:dyDescent="0.2">
      <c r="BJ55530" s="201"/>
    </row>
    <row r="55531" spans="62:62" x14ac:dyDescent="0.2">
      <c r="BJ55531" s="201"/>
    </row>
    <row r="55532" spans="62:62" x14ac:dyDescent="0.2">
      <c r="BJ55532" s="201"/>
    </row>
    <row r="55533" spans="62:62" x14ac:dyDescent="0.2">
      <c r="BJ55533" s="201"/>
    </row>
    <row r="55534" spans="62:62" x14ac:dyDescent="0.2">
      <c r="BJ55534" s="201"/>
    </row>
    <row r="55535" spans="62:62" x14ac:dyDescent="0.2">
      <c r="BJ55535" s="201"/>
    </row>
    <row r="55536" spans="62:62" x14ac:dyDescent="0.2">
      <c r="BJ55536" s="201"/>
    </row>
    <row r="55537" spans="62:62" x14ac:dyDescent="0.2">
      <c r="BJ55537" s="201"/>
    </row>
    <row r="55538" spans="62:62" x14ac:dyDescent="0.2">
      <c r="BJ55538" s="201"/>
    </row>
    <row r="55539" spans="62:62" x14ac:dyDescent="0.2">
      <c r="BJ55539" s="201"/>
    </row>
    <row r="55540" spans="62:62" x14ac:dyDescent="0.2">
      <c r="BJ55540" s="201"/>
    </row>
    <row r="55541" spans="62:62" x14ac:dyDescent="0.2">
      <c r="BJ55541" s="201"/>
    </row>
    <row r="55542" spans="62:62" x14ac:dyDescent="0.2">
      <c r="BJ55542" s="201"/>
    </row>
    <row r="55543" spans="62:62" x14ac:dyDescent="0.2">
      <c r="BJ55543" s="201"/>
    </row>
    <row r="55544" spans="62:62" x14ac:dyDescent="0.2">
      <c r="BJ55544" s="201"/>
    </row>
    <row r="55545" spans="62:62" x14ac:dyDescent="0.2">
      <c r="BJ55545" s="201"/>
    </row>
    <row r="55546" spans="62:62" x14ac:dyDescent="0.2">
      <c r="BJ55546" s="201"/>
    </row>
    <row r="55547" spans="62:62" x14ac:dyDescent="0.2">
      <c r="BJ55547" s="201"/>
    </row>
    <row r="55548" spans="62:62" x14ac:dyDescent="0.2">
      <c r="BJ55548" s="201"/>
    </row>
    <row r="55549" spans="62:62" x14ac:dyDescent="0.2">
      <c r="BJ55549" s="201"/>
    </row>
    <row r="55550" spans="62:62" x14ac:dyDescent="0.2">
      <c r="BJ55550" s="201"/>
    </row>
    <row r="55551" spans="62:62" x14ac:dyDescent="0.2">
      <c r="BJ55551" s="201"/>
    </row>
    <row r="55552" spans="62:62" x14ac:dyDescent="0.2">
      <c r="BJ55552" s="201"/>
    </row>
    <row r="55553" spans="62:62" x14ac:dyDescent="0.2">
      <c r="BJ55553" s="201"/>
    </row>
    <row r="55554" spans="62:62" x14ac:dyDescent="0.2">
      <c r="BJ55554" s="201"/>
    </row>
    <row r="55555" spans="62:62" x14ac:dyDescent="0.2">
      <c r="BJ55555" s="201"/>
    </row>
    <row r="55556" spans="62:62" x14ac:dyDescent="0.2">
      <c r="BJ55556" s="201"/>
    </row>
    <row r="55557" spans="62:62" x14ac:dyDescent="0.2">
      <c r="BJ55557" s="201"/>
    </row>
    <row r="55558" spans="62:62" x14ac:dyDescent="0.2">
      <c r="BJ55558" s="201"/>
    </row>
    <row r="55559" spans="62:62" x14ac:dyDescent="0.2">
      <c r="BJ55559" s="201"/>
    </row>
    <row r="55560" spans="62:62" x14ac:dyDescent="0.2">
      <c r="BJ55560" s="201"/>
    </row>
    <row r="55561" spans="62:62" x14ac:dyDescent="0.2">
      <c r="BJ55561" s="201"/>
    </row>
    <row r="55562" spans="62:62" x14ac:dyDescent="0.2">
      <c r="BJ55562" s="201"/>
    </row>
    <row r="55563" spans="62:62" x14ac:dyDescent="0.2">
      <c r="BJ55563" s="201"/>
    </row>
    <row r="55564" spans="62:62" x14ac:dyDescent="0.2">
      <c r="BJ55564" s="201"/>
    </row>
    <row r="55565" spans="62:62" x14ac:dyDescent="0.2">
      <c r="BJ55565" s="201"/>
    </row>
    <row r="55566" spans="62:62" x14ac:dyDescent="0.2">
      <c r="BJ55566" s="201"/>
    </row>
    <row r="55567" spans="62:62" x14ac:dyDescent="0.2">
      <c r="BJ55567" s="201"/>
    </row>
    <row r="55568" spans="62:62" x14ac:dyDescent="0.2">
      <c r="BJ55568" s="201"/>
    </row>
    <row r="55569" spans="62:62" x14ac:dyDescent="0.2">
      <c r="BJ55569" s="201"/>
    </row>
    <row r="55570" spans="62:62" x14ac:dyDescent="0.2">
      <c r="BJ55570" s="201"/>
    </row>
    <row r="55571" spans="62:62" x14ac:dyDescent="0.2">
      <c r="BJ55571" s="201"/>
    </row>
    <row r="55572" spans="62:62" x14ac:dyDescent="0.2">
      <c r="BJ55572" s="201"/>
    </row>
    <row r="55573" spans="62:62" x14ac:dyDescent="0.2">
      <c r="BJ55573" s="201"/>
    </row>
    <row r="55574" spans="62:62" x14ac:dyDescent="0.2">
      <c r="BJ55574" s="201"/>
    </row>
    <row r="55575" spans="62:62" x14ac:dyDescent="0.2">
      <c r="BJ55575" s="201"/>
    </row>
    <row r="55576" spans="62:62" x14ac:dyDescent="0.2">
      <c r="BJ55576" s="201"/>
    </row>
    <row r="55577" spans="62:62" x14ac:dyDescent="0.2">
      <c r="BJ55577" s="201"/>
    </row>
    <row r="55578" spans="62:62" x14ac:dyDescent="0.2">
      <c r="BJ55578" s="201"/>
    </row>
    <row r="55579" spans="62:62" x14ac:dyDescent="0.2">
      <c r="BJ55579" s="201"/>
    </row>
    <row r="55580" spans="62:62" x14ac:dyDescent="0.2">
      <c r="BJ55580" s="201"/>
    </row>
    <row r="55581" spans="62:62" x14ac:dyDescent="0.2">
      <c r="BJ55581" s="201"/>
    </row>
    <row r="55582" spans="62:62" x14ac:dyDescent="0.2">
      <c r="BJ55582" s="201"/>
    </row>
    <row r="55583" spans="62:62" x14ac:dyDescent="0.2">
      <c r="BJ55583" s="201"/>
    </row>
    <row r="55584" spans="62:62" x14ac:dyDescent="0.2">
      <c r="BJ55584" s="201"/>
    </row>
    <row r="55585" spans="62:62" x14ac:dyDescent="0.2">
      <c r="BJ55585" s="201"/>
    </row>
    <row r="55586" spans="62:62" x14ac:dyDescent="0.2">
      <c r="BJ55586" s="201"/>
    </row>
    <row r="55587" spans="62:62" x14ac:dyDescent="0.2">
      <c r="BJ55587" s="201"/>
    </row>
    <row r="55588" spans="62:62" x14ac:dyDescent="0.2">
      <c r="BJ55588" s="201"/>
    </row>
    <row r="55589" spans="62:62" x14ac:dyDescent="0.2">
      <c r="BJ55589" s="201"/>
    </row>
    <row r="55590" spans="62:62" x14ac:dyDescent="0.2">
      <c r="BJ55590" s="201"/>
    </row>
    <row r="55591" spans="62:62" x14ac:dyDescent="0.2">
      <c r="BJ55591" s="201"/>
    </row>
    <row r="55592" spans="62:62" x14ac:dyDescent="0.2">
      <c r="BJ55592" s="201"/>
    </row>
    <row r="55593" spans="62:62" x14ac:dyDescent="0.2">
      <c r="BJ55593" s="201"/>
    </row>
    <row r="55594" spans="62:62" x14ac:dyDescent="0.2">
      <c r="BJ55594" s="201"/>
    </row>
    <row r="55595" spans="62:62" x14ac:dyDescent="0.2">
      <c r="BJ55595" s="201"/>
    </row>
    <row r="55596" spans="62:62" x14ac:dyDescent="0.2">
      <c r="BJ55596" s="201"/>
    </row>
    <row r="55597" spans="62:62" x14ac:dyDescent="0.2">
      <c r="BJ55597" s="201"/>
    </row>
    <row r="55598" spans="62:62" x14ac:dyDescent="0.2">
      <c r="BJ55598" s="201"/>
    </row>
    <row r="55599" spans="62:62" x14ac:dyDescent="0.2">
      <c r="BJ55599" s="201"/>
    </row>
    <row r="55600" spans="62:62" x14ac:dyDescent="0.2">
      <c r="BJ55600" s="201"/>
    </row>
    <row r="55601" spans="62:62" x14ac:dyDescent="0.2">
      <c r="BJ55601" s="201"/>
    </row>
    <row r="55602" spans="62:62" x14ac:dyDescent="0.2">
      <c r="BJ55602" s="201"/>
    </row>
    <row r="55603" spans="62:62" x14ac:dyDescent="0.2">
      <c r="BJ55603" s="201"/>
    </row>
    <row r="55604" spans="62:62" x14ac:dyDescent="0.2">
      <c r="BJ55604" s="201"/>
    </row>
    <row r="55605" spans="62:62" x14ac:dyDescent="0.2">
      <c r="BJ55605" s="201"/>
    </row>
    <row r="55606" spans="62:62" x14ac:dyDescent="0.2">
      <c r="BJ55606" s="201"/>
    </row>
    <row r="55607" spans="62:62" x14ac:dyDescent="0.2">
      <c r="BJ55607" s="201"/>
    </row>
    <row r="55608" spans="62:62" x14ac:dyDescent="0.2">
      <c r="BJ55608" s="201"/>
    </row>
    <row r="55609" spans="62:62" x14ac:dyDescent="0.2">
      <c r="BJ55609" s="201"/>
    </row>
    <row r="55610" spans="62:62" x14ac:dyDescent="0.2">
      <c r="BJ55610" s="201"/>
    </row>
    <row r="55611" spans="62:62" x14ac:dyDescent="0.2">
      <c r="BJ55611" s="201"/>
    </row>
    <row r="55612" spans="62:62" x14ac:dyDescent="0.2">
      <c r="BJ55612" s="201"/>
    </row>
    <row r="55613" spans="62:62" x14ac:dyDescent="0.2">
      <c r="BJ55613" s="201"/>
    </row>
    <row r="55614" spans="62:62" x14ac:dyDescent="0.2">
      <c r="BJ55614" s="201"/>
    </row>
    <row r="55615" spans="62:62" x14ac:dyDescent="0.2">
      <c r="BJ55615" s="201"/>
    </row>
    <row r="55616" spans="62:62" x14ac:dyDescent="0.2">
      <c r="BJ55616" s="201"/>
    </row>
    <row r="55617" spans="62:62" x14ac:dyDescent="0.2">
      <c r="BJ55617" s="201"/>
    </row>
    <row r="55618" spans="62:62" x14ac:dyDescent="0.2">
      <c r="BJ55618" s="201"/>
    </row>
    <row r="55619" spans="62:62" x14ac:dyDescent="0.2">
      <c r="BJ55619" s="201"/>
    </row>
    <row r="55620" spans="62:62" x14ac:dyDescent="0.2">
      <c r="BJ55620" s="201"/>
    </row>
    <row r="55621" spans="62:62" x14ac:dyDescent="0.2">
      <c r="BJ55621" s="201"/>
    </row>
    <row r="55622" spans="62:62" x14ac:dyDescent="0.2">
      <c r="BJ55622" s="201"/>
    </row>
    <row r="55623" spans="62:62" x14ac:dyDescent="0.2">
      <c r="BJ55623" s="201"/>
    </row>
    <row r="55624" spans="62:62" x14ac:dyDescent="0.2">
      <c r="BJ55624" s="201"/>
    </row>
    <row r="55625" spans="62:62" x14ac:dyDescent="0.2">
      <c r="BJ55625" s="201"/>
    </row>
    <row r="55626" spans="62:62" x14ac:dyDescent="0.2">
      <c r="BJ55626" s="201"/>
    </row>
    <row r="55627" spans="62:62" x14ac:dyDescent="0.2">
      <c r="BJ55627" s="201"/>
    </row>
    <row r="55628" spans="62:62" x14ac:dyDescent="0.2">
      <c r="BJ55628" s="201"/>
    </row>
    <row r="55629" spans="62:62" x14ac:dyDescent="0.2">
      <c r="BJ55629" s="201"/>
    </row>
    <row r="55630" spans="62:62" x14ac:dyDescent="0.2">
      <c r="BJ55630" s="201"/>
    </row>
    <row r="55631" spans="62:62" x14ac:dyDescent="0.2">
      <c r="BJ55631" s="201"/>
    </row>
    <row r="55632" spans="62:62" x14ac:dyDescent="0.2">
      <c r="BJ55632" s="201"/>
    </row>
    <row r="55633" spans="62:62" x14ac:dyDescent="0.2">
      <c r="BJ55633" s="201"/>
    </row>
    <row r="55634" spans="62:62" x14ac:dyDescent="0.2">
      <c r="BJ55634" s="201"/>
    </row>
    <row r="55635" spans="62:62" x14ac:dyDescent="0.2">
      <c r="BJ55635" s="201"/>
    </row>
    <row r="55636" spans="62:62" x14ac:dyDescent="0.2">
      <c r="BJ55636" s="201"/>
    </row>
    <row r="55637" spans="62:62" x14ac:dyDescent="0.2">
      <c r="BJ55637" s="201"/>
    </row>
    <row r="55638" spans="62:62" x14ac:dyDescent="0.2">
      <c r="BJ55638" s="201"/>
    </row>
    <row r="55639" spans="62:62" x14ac:dyDescent="0.2">
      <c r="BJ55639" s="201"/>
    </row>
    <row r="55640" spans="62:62" x14ac:dyDescent="0.2">
      <c r="BJ55640" s="201"/>
    </row>
    <row r="55641" spans="62:62" x14ac:dyDescent="0.2">
      <c r="BJ55641" s="201"/>
    </row>
    <row r="55642" spans="62:62" x14ac:dyDescent="0.2">
      <c r="BJ55642" s="201"/>
    </row>
    <row r="55643" spans="62:62" x14ac:dyDescent="0.2">
      <c r="BJ55643" s="201"/>
    </row>
    <row r="55644" spans="62:62" x14ac:dyDescent="0.2">
      <c r="BJ55644" s="201"/>
    </row>
    <row r="55645" spans="62:62" x14ac:dyDescent="0.2">
      <c r="BJ55645" s="201"/>
    </row>
    <row r="55646" spans="62:62" x14ac:dyDescent="0.2">
      <c r="BJ55646" s="201"/>
    </row>
    <row r="55647" spans="62:62" x14ac:dyDescent="0.2">
      <c r="BJ55647" s="201"/>
    </row>
    <row r="55648" spans="62:62" x14ac:dyDescent="0.2">
      <c r="BJ55648" s="201"/>
    </row>
    <row r="55649" spans="62:62" x14ac:dyDescent="0.2">
      <c r="BJ55649" s="201"/>
    </row>
    <row r="55650" spans="62:62" x14ac:dyDescent="0.2">
      <c r="BJ55650" s="201"/>
    </row>
    <row r="55651" spans="62:62" x14ac:dyDescent="0.2">
      <c r="BJ55651" s="201"/>
    </row>
    <row r="55652" spans="62:62" x14ac:dyDescent="0.2">
      <c r="BJ55652" s="201"/>
    </row>
    <row r="55653" spans="62:62" x14ac:dyDescent="0.2">
      <c r="BJ55653" s="201"/>
    </row>
    <row r="55654" spans="62:62" x14ac:dyDescent="0.2">
      <c r="BJ55654" s="201"/>
    </row>
    <row r="55655" spans="62:62" x14ac:dyDescent="0.2">
      <c r="BJ55655" s="201"/>
    </row>
    <row r="55656" spans="62:62" x14ac:dyDescent="0.2">
      <c r="BJ55656" s="201"/>
    </row>
    <row r="55657" spans="62:62" x14ac:dyDescent="0.2">
      <c r="BJ55657" s="201"/>
    </row>
    <row r="55658" spans="62:62" x14ac:dyDescent="0.2">
      <c r="BJ55658" s="201"/>
    </row>
    <row r="55659" spans="62:62" x14ac:dyDescent="0.2">
      <c r="BJ55659" s="201"/>
    </row>
    <row r="55660" spans="62:62" x14ac:dyDescent="0.2">
      <c r="BJ55660" s="201"/>
    </row>
    <row r="55661" spans="62:62" x14ac:dyDescent="0.2">
      <c r="BJ55661" s="201"/>
    </row>
    <row r="55662" spans="62:62" x14ac:dyDescent="0.2">
      <c r="BJ55662" s="201"/>
    </row>
    <row r="55663" spans="62:62" x14ac:dyDescent="0.2">
      <c r="BJ55663" s="201"/>
    </row>
    <row r="55664" spans="62:62" x14ac:dyDescent="0.2">
      <c r="BJ55664" s="201"/>
    </row>
    <row r="55665" spans="62:62" x14ac:dyDescent="0.2">
      <c r="BJ55665" s="201"/>
    </row>
    <row r="55666" spans="62:62" x14ac:dyDescent="0.2">
      <c r="BJ55666" s="201"/>
    </row>
    <row r="55667" spans="62:62" x14ac:dyDescent="0.2">
      <c r="BJ55667" s="201"/>
    </row>
    <row r="55668" spans="62:62" x14ac:dyDescent="0.2">
      <c r="BJ55668" s="201"/>
    </row>
    <row r="55669" spans="62:62" x14ac:dyDescent="0.2">
      <c r="BJ55669" s="201"/>
    </row>
    <row r="55670" spans="62:62" x14ac:dyDescent="0.2">
      <c r="BJ55670" s="201"/>
    </row>
    <row r="55671" spans="62:62" x14ac:dyDescent="0.2">
      <c r="BJ55671" s="201"/>
    </row>
    <row r="55672" spans="62:62" x14ac:dyDescent="0.2">
      <c r="BJ55672" s="201"/>
    </row>
    <row r="55673" spans="62:62" x14ac:dyDescent="0.2">
      <c r="BJ55673" s="201"/>
    </row>
    <row r="55674" spans="62:62" x14ac:dyDescent="0.2">
      <c r="BJ55674" s="201"/>
    </row>
    <row r="55675" spans="62:62" x14ac:dyDescent="0.2">
      <c r="BJ55675" s="201"/>
    </row>
    <row r="55676" spans="62:62" x14ac:dyDescent="0.2">
      <c r="BJ55676" s="201"/>
    </row>
    <row r="55677" spans="62:62" x14ac:dyDescent="0.2">
      <c r="BJ55677" s="201"/>
    </row>
    <row r="55678" spans="62:62" x14ac:dyDescent="0.2">
      <c r="BJ55678" s="201"/>
    </row>
    <row r="55679" spans="62:62" x14ac:dyDescent="0.2">
      <c r="BJ55679" s="201"/>
    </row>
    <row r="55680" spans="62:62" x14ac:dyDescent="0.2">
      <c r="BJ55680" s="201"/>
    </row>
    <row r="55681" spans="62:62" x14ac:dyDescent="0.2">
      <c r="BJ55681" s="201"/>
    </row>
    <row r="55682" spans="62:62" x14ac:dyDescent="0.2">
      <c r="BJ55682" s="201"/>
    </row>
    <row r="55683" spans="62:62" x14ac:dyDescent="0.2">
      <c r="BJ55683" s="201"/>
    </row>
    <row r="55684" spans="62:62" x14ac:dyDescent="0.2">
      <c r="BJ55684" s="201"/>
    </row>
    <row r="55685" spans="62:62" x14ac:dyDescent="0.2">
      <c r="BJ55685" s="201"/>
    </row>
    <row r="55686" spans="62:62" x14ac:dyDescent="0.2">
      <c r="BJ55686" s="201"/>
    </row>
    <row r="55687" spans="62:62" x14ac:dyDescent="0.2">
      <c r="BJ55687" s="201"/>
    </row>
    <row r="55688" spans="62:62" x14ac:dyDescent="0.2">
      <c r="BJ55688" s="201"/>
    </row>
    <row r="55689" spans="62:62" x14ac:dyDescent="0.2">
      <c r="BJ55689" s="201"/>
    </row>
    <row r="55690" spans="62:62" x14ac:dyDescent="0.2">
      <c r="BJ55690" s="201"/>
    </row>
    <row r="55691" spans="62:62" x14ac:dyDescent="0.2">
      <c r="BJ55691" s="201"/>
    </row>
    <row r="55692" spans="62:62" x14ac:dyDescent="0.2">
      <c r="BJ55692" s="201"/>
    </row>
    <row r="55693" spans="62:62" x14ac:dyDescent="0.2">
      <c r="BJ55693" s="201"/>
    </row>
    <row r="55694" spans="62:62" x14ac:dyDescent="0.2">
      <c r="BJ55694" s="201"/>
    </row>
    <row r="55695" spans="62:62" x14ac:dyDescent="0.2">
      <c r="BJ55695" s="201"/>
    </row>
    <row r="55696" spans="62:62" x14ac:dyDescent="0.2">
      <c r="BJ55696" s="201"/>
    </row>
    <row r="55697" spans="62:62" x14ac:dyDescent="0.2">
      <c r="BJ55697" s="201"/>
    </row>
    <row r="55698" spans="62:62" x14ac:dyDescent="0.2">
      <c r="BJ55698" s="201"/>
    </row>
    <row r="55699" spans="62:62" x14ac:dyDescent="0.2">
      <c r="BJ55699" s="201"/>
    </row>
    <row r="55700" spans="62:62" x14ac:dyDescent="0.2">
      <c r="BJ55700" s="201"/>
    </row>
    <row r="55701" spans="62:62" x14ac:dyDescent="0.2">
      <c r="BJ55701" s="201"/>
    </row>
    <row r="55702" spans="62:62" x14ac:dyDescent="0.2">
      <c r="BJ55702" s="201"/>
    </row>
    <row r="55703" spans="62:62" x14ac:dyDescent="0.2">
      <c r="BJ55703" s="201"/>
    </row>
    <row r="55704" spans="62:62" x14ac:dyDescent="0.2">
      <c r="BJ55704" s="201"/>
    </row>
    <row r="55705" spans="62:62" x14ac:dyDescent="0.2">
      <c r="BJ55705" s="201"/>
    </row>
    <row r="55706" spans="62:62" x14ac:dyDescent="0.2">
      <c r="BJ55706" s="201"/>
    </row>
    <row r="55707" spans="62:62" x14ac:dyDescent="0.2">
      <c r="BJ55707" s="201"/>
    </row>
    <row r="55708" spans="62:62" x14ac:dyDescent="0.2">
      <c r="BJ55708" s="201"/>
    </row>
    <row r="55709" spans="62:62" x14ac:dyDescent="0.2">
      <c r="BJ55709" s="201"/>
    </row>
    <row r="55710" spans="62:62" x14ac:dyDescent="0.2">
      <c r="BJ55710" s="201"/>
    </row>
    <row r="55711" spans="62:62" x14ac:dyDescent="0.2">
      <c r="BJ55711" s="201"/>
    </row>
    <row r="55712" spans="62:62" x14ac:dyDescent="0.2">
      <c r="BJ55712" s="201"/>
    </row>
    <row r="55713" spans="62:62" x14ac:dyDescent="0.2">
      <c r="BJ55713" s="201"/>
    </row>
    <row r="55714" spans="62:62" x14ac:dyDescent="0.2">
      <c r="BJ55714" s="201"/>
    </row>
    <row r="55715" spans="62:62" x14ac:dyDescent="0.2">
      <c r="BJ55715" s="201"/>
    </row>
    <row r="55716" spans="62:62" x14ac:dyDescent="0.2">
      <c r="BJ55716" s="201"/>
    </row>
    <row r="55717" spans="62:62" x14ac:dyDescent="0.2">
      <c r="BJ55717" s="201"/>
    </row>
    <row r="55718" spans="62:62" x14ac:dyDescent="0.2">
      <c r="BJ55718" s="201"/>
    </row>
    <row r="55719" spans="62:62" x14ac:dyDescent="0.2">
      <c r="BJ55719" s="201"/>
    </row>
    <row r="55720" spans="62:62" x14ac:dyDescent="0.2">
      <c r="BJ55720" s="201"/>
    </row>
    <row r="55721" spans="62:62" x14ac:dyDescent="0.2">
      <c r="BJ55721" s="201"/>
    </row>
    <row r="55722" spans="62:62" x14ac:dyDescent="0.2">
      <c r="BJ55722" s="201"/>
    </row>
    <row r="55723" spans="62:62" x14ac:dyDescent="0.2">
      <c r="BJ55723" s="201"/>
    </row>
    <row r="55724" spans="62:62" x14ac:dyDescent="0.2">
      <c r="BJ55724" s="201"/>
    </row>
    <row r="55725" spans="62:62" x14ac:dyDescent="0.2">
      <c r="BJ55725" s="201"/>
    </row>
    <row r="55726" spans="62:62" x14ac:dyDescent="0.2">
      <c r="BJ55726" s="201"/>
    </row>
    <row r="55727" spans="62:62" x14ac:dyDescent="0.2">
      <c r="BJ55727" s="201"/>
    </row>
    <row r="55728" spans="62:62" x14ac:dyDescent="0.2">
      <c r="BJ55728" s="201"/>
    </row>
    <row r="55729" spans="62:62" x14ac:dyDescent="0.2">
      <c r="BJ55729" s="201"/>
    </row>
    <row r="55730" spans="62:62" x14ac:dyDescent="0.2">
      <c r="BJ55730" s="201"/>
    </row>
    <row r="55731" spans="62:62" x14ac:dyDescent="0.2">
      <c r="BJ55731" s="201"/>
    </row>
    <row r="55732" spans="62:62" x14ac:dyDescent="0.2">
      <c r="BJ55732" s="201"/>
    </row>
    <row r="55733" spans="62:62" x14ac:dyDescent="0.2">
      <c r="BJ55733" s="201"/>
    </row>
    <row r="55734" spans="62:62" x14ac:dyDescent="0.2">
      <c r="BJ55734" s="201"/>
    </row>
    <row r="55735" spans="62:62" x14ac:dyDescent="0.2">
      <c r="BJ55735" s="201"/>
    </row>
    <row r="55736" spans="62:62" x14ac:dyDescent="0.2">
      <c r="BJ55736" s="201"/>
    </row>
    <row r="55737" spans="62:62" x14ac:dyDescent="0.2">
      <c r="BJ55737" s="201"/>
    </row>
    <row r="55738" spans="62:62" x14ac:dyDescent="0.2">
      <c r="BJ55738" s="201"/>
    </row>
    <row r="55739" spans="62:62" x14ac:dyDescent="0.2">
      <c r="BJ55739" s="201"/>
    </row>
    <row r="55740" spans="62:62" x14ac:dyDescent="0.2">
      <c r="BJ55740" s="201"/>
    </row>
    <row r="55741" spans="62:62" x14ac:dyDescent="0.2">
      <c r="BJ55741" s="201"/>
    </row>
    <row r="55742" spans="62:62" x14ac:dyDescent="0.2">
      <c r="BJ55742" s="201"/>
    </row>
    <row r="55743" spans="62:62" x14ac:dyDescent="0.2">
      <c r="BJ55743" s="201"/>
    </row>
    <row r="55744" spans="62:62" x14ac:dyDescent="0.2">
      <c r="BJ55744" s="201"/>
    </row>
    <row r="55745" spans="62:62" x14ac:dyDescent="0.2">
      <c r="BJ55745" s="201"/>
    </row>
    <row r="55746" spans="62:62" x14ac:dyDescent="0.2">
      <c r="BJ55746" s="201"/>
    </row>
    <row r="55747" spans="62:62" x14ac:dyDescent="0.2">
      <c r="BJ55747" s="201"/>
    </row>
    <row r="55748" spans="62:62" x14ac:dyDescent="0.2">
      <c r="BJ55748" s="201"/>
    </row>
    <row r="55749" spans="62:62" x14ac:dyDescent="0.2">
      <c r="BJ55749" s="201"/>
    </row>
    <row r="55750" spans="62:62" x14ac:dyDescent="0.2">
      <c r="BJ55750" s="201"/>
    </row>
    <row r="55751" spans="62:62" x14ac:dyDescent="0.2">
      <c r="BJ55751" s="201"/>
    </row>
    <row r="55752" spans="62:62" x14ac:dyDescent="0.2">
      <c r="BJ55752" s="201"/>
    </row>
    <row r="55753" spans="62:62" x14ac:dyDescent="0.2">
      <c r="BJ55753" s="201"/>
    </row>
    <row r="55754" spans="62:62" x14ac:dyDescent="0.2">
      <c r="BJ55754" s="201"/>
    </row>
    <row r="55755" spans="62:62" x14ac:dyDescent="0.2">
      <c r="BJ55755" s="201"/>
    </row>
    <row r="55756" spans="62:62" x14ac:dyDescent="0.2">
      <c r="BJ55756" s="201"/>
    </row>
    <row r="55757" spans="62:62" x14ac:dyDescent="0.2">
      <c r="BJ55757" s="201"/>
    </row>
    <row r="55758" spans="62:62" x14ac:dyDescent="0.2">
      <c r="BJ55758" s="201"/>
    </row>
    <row r="55759" spans="62:62" x14ac:dyDescent="0.2">
      <c r="BJ55759" s="201"/>
    </row>
    <row r="55760" spans="62:62" x14ac:dyDescent="0.2">
      <c r="BJ55760" s="201"/>
    </row>
    <row r="55761" spans="62:62" x14ac:dyDescent="0.2">
      <c r="BJ55761" s="201"/>
    </row>
    <row r="55762" spans="62:62" x14ac:dyDescent="0.2">
      <c r="BJ55762" s="201"/>
    </row>
    <row r="55763" spans="62:62" x14ac:dyDescent="0.2">
      <c r="BJ55763" s="201"/>
    </row>
    <row r="55764" spans="62:62" x14ac:dyDescent="0.2">
      <c r="BJ55764" s="201"/>
    </row>
    <row r="55765" spans="62:62" x14ac:dyDescent="0.2">
      <c r="BJ55765" s="201"/>
    </row>
    <row r="55766" spans="62:62" x14ac:dyDescent="0.2">
      <c r="BJ55766" s="201"/>
    </row>
    <row r="55767" spans="62:62" x14ac:dyDescent="0.2">
      <c r="BJ55767" s="201"/>
    </row>
    <row r="55768" spans="62:62" x14ac:dyDescent="0.2">
      <c r="BJ55768" s="201"/>
    </row>
    <row r="55769" spans="62:62" x14ac:dyDescent="0.2">
      <c r="BJ55769" s="201"/>
    </row>
    <row r="55770" spans="62:62" x14ac:dyDescent="0.2">
      <c r="BJ55770" s="201"/>
    </row>
    <row r="55771" spans="62:62" x14ac:dyDescent="0.2">
      <c r="BJ55771" s="201"/>
    </row>
    <row r="55772" spans="62:62" x14ac:dyDescent="0.2">
      <c r="BJ55772" s="201"/>
    </row>
    <row r="55773" spans="62:62" x14ac:dyDescent="0.2">
      <c r="BJ55773" s="201"/>
    </row>
    <row r="55774" spans="62:62" x14ac:dyDescent="0.2">
      <c r="BJ55774" s="201"/>
    </row>
    <row r="55775" spans="62:62" x14ac:dyDescent="0.2">
      <c r="BJ55775" s="201"/>
    </row>
    <row r="55776" spans="62:62" x14ac:dyDescent="0.2">
      <c r="BJ55776" s="201"/>
    </row>
    <row r="55777" spans="62:62" x14ac:dyDescent="0.2">
      <c r="BJ55777" s="201"/>
    </row>
    <row r="55778" spans="62:62" x14ac:dyDescent="0.2">
      <c r="BJ55778" s="201"/>
    </row>
    <row r="55779" spans="62:62" x14ac:dyDescent="0.2">
      <c r="BJ55779" s="201"/>
    </row>
    <row r="55780" spans="62:62" x14ac:dyDescent="0.2">
      <c r="BJ55780" s="201"/>
    </row>
    <row r="55781" spans="62:62" x14ac:dyDescent="0.2">
      <c r="BJ55781" s="201"/>
    </row>
    <row r="55782" spans="62:62" x14ac:dyDescent="0.2">
      <c r="BJ55782" s="201"/>
    </row>
    <row r="55783" spans="62:62" x14ac:dyDescent="0.2">
      <c r="BJ55783" s="201"/>
    </row>
    <row r="55784" spans="62:62" x14ac:dyDescent="0.2">
      <c r="BJ55784" s="201"/>
    </row>
    <row r="55785" spans="62:62" x14ac:dyDescent="0.2">
      <c r="BJ55785" s="201"/>
    </row>
    <row r="55786" spans="62:62" x14ac:dyDescent="0.2">
      <c r="BJ55786" s="201"/>
    </row>
    <row r="55787" spans="62:62" x14ac:dyDescent="0.2">
      <c r="BJ55787" s="201"/>
    </row>
    <row r="55788" spans="62:62" x14ac:dyDescent="0.2">
      <c r="BJ55788" s="201"/>
    </row>
    <row r="55789" spans="62:62" x14ac:dyDescent="0.2">
      <c r="BJ55789" s="201"/>
    </row>
    <row r="55790" spans="62:62" x14ac:dyDescent="0.2">
      <c r="BJ55790" s="201"/>
    </row>
    <row r="55791" spans="62:62" x14ac:dyDescent="0.2">
      <c r="BJ55791" s="201"/>
    </row>
    <row r="55792" spans="62:62" x14ac:dyDescent="0.2">
      <c r="BJ55792" s="201"/>
    </row>
    <row r="55793" spans="62:62" x14ac:dyDescent="0.2">
      <c r="BJ55793" s="201"/>
    </row>
    <row r="55794" spans="62:62" x14ac:dyDescent="0.2">
      <c r="BJ55794" s="201"/>
    </row>
    <row r="55795" spans="62:62" x14ac:dyDescent="0.2">
      <c r="BJ55795" s="201"/>
    </row>
    <row r="55796" spans="62:62" x14ac:dyDescent="0.2">
      <c r="BJ55796" s="201"/>
    </row>
    <row r="55797" spans="62:62" x14ac:dyDescent="0.2">
      <c r="BJ55797" s="201"/>
    </row>
    <row r="55798" spans="62:62" x14ac:dyDescent="0.2">
      <c r="BJ55798" s="201"/>
    </row>
    <row r="55799" spans="62:62" x14ac:dyDescent="0.2">
      <c r="BJ55799" s="201"/>
    </row>
    <row r="55800" spans="62:62" x14ac:dyDescent="0.2">
      <c r="BJ55800" s="201"/>
    </row>
    <row r="55801" spans="62:62" x14ac:dyDescent="0.2">
      <c r="BJ55801" s="201"/>
    </row>
    <row r="55802" spans="62:62" x14ac:dyDescent="0.2">
      <c r="BJ55802" s="201"/>
    </row>
    <row r="55803" spans="62:62" x14ac:dyDescent="0.2">
      <c r="BJ55803" s="201"/>
    </row>
    <row r="55804" spans="62:62" x14ac:dyDescent="0.2">
      <c r="BJ55804" s="201"/>
    </row>
    <row r="55805" spans="62:62" x14ac:dyDescent="0.2">
      <c r="BJ55805" s="201"/>
    </row>
    <row r="55806" spans="62:62" x14ac:dyDescent="0.2">
      <c r="BJ55806" s="201"/>
    </row>
    <row r="55807" spans="62:62" x14ac:dyDescent="0.2">
      <c r="BJ55807" s="201"/>
    </row>
    <row r="55808" spans="62:62" x14ac:dyDescent="0.2">
      <c r="BJ55808" s="201"/>
    </row>
    <row r="55809" spans="62:62" x14ac:dyDescent="0.2">
      <c r="BJ55809" s="201"/>
    </row>
    <row r="55810" spans="62:62" x14ac:dyDescent="0.2">
      <c r="BJ55810" s="201"/>
    </row>
    <row r="55811" spans="62:62" x14ac:dyDescent="0.2">
      <c r="BJ55811" s="201"/>
    </row>
    <row r="55812" spans="62:62" x14ac:dyDescent="0.2">
      <c r="BJ55812" s="201"/>
    </row>
    <row r="55813" spans="62:62" x14ac:dyDescent="0.2">
      <c r="BJ55813" s="201"/>
    </row>
    <row r="55814" spans="62:62" x14ac:dyDescent="0.2">
      <c r="BJ55814" s="201"/>
    </row>
    <row r="55815" spans="62:62" x14ac:dyDescent="0.2">
      <c r="BJ55815" s="201"/>
    </row>
    <row r="55816" spans="62:62" x14ac:dyDescent="0.2">
      <c r="BJ55816" s="201"/>
    </row>
    <row r="55817" spans="62:62" x14ac:dyDescent="0.2">
      <c r="BJ55817" s="201"/>
    </row>
    <row r="55818" spans="62:62" x14ac:dyDescent="0.2">
      <c r="BJ55818" s="201"/>
    </row>
    <row r="55819" spans="62:62" x14ac:dyDescent="0.2">
      <c r="BJ55819" s="201"/>
    </row>
    <row r="55820" spans="62:62" x14ac:dyDescent="0.2">
      <c r="BJ55820" s="201"/>
    </row>
    <row r="55821" spans="62:62" x14ac:dyDescent="0.2">
      <c r="BJ55821" s="201"/>
    </row>
    <row r="55822" spans="62:62" x14ac:dyDescent="0.2">
      <c r="BJ55822" s="201"/>
    </row>
    <row r="55823" spans="62:62" x14ac:dyDescent="0.2">
      <c r="BJ55823" s="201"/>
    </row>
    <row r="55824" spans="62:62" x14ac:dyDescent="0.2">
      <c r="BJ55824" s="201"/>
    </row>
    <row r="55825" spans="62:62" x14ac:dyDescent="0.2">
      <c r="BJ55825" s="201"/>
    </row>
    <row r="55826" spans="62:62" x14ac:dyDescent="0.2">
      <c r="BJ55826" s="201"/>
    </row>
    <row r="55827" spans="62:62" x14ac:dyDescent="0.2">
      <c r="BJ55827" s="201"/>
    </row>
    <row r="55828" spans="62:62" x14ac:dyDescent="0.2">
      <c r="BJ55828" s="201"/>
    </row>
    <row r="55829" spans="62:62" x14ac:dyDescent="0.2">
      <c r="BJ55829" s="201"/>
    </row>
    <row r="55830" spans="62:62" x14ac:dyDescent="0.2">
      <c r="BJ55830" s="201"/>
    </row>
    <row r="55831" spans="62:62" x14ac:dyDescent="0.2">
      <c r="BJ55831" s="201"/>
    </row>
    <row r="55832" spans="62:62" x14ac:dyDescent="0.2">
      <c r="BJ55832" s="201"/>
    </row>
    <row r="55833" spans="62:62" x14ac:dyDescent="0.2">
      <c r="BJ55833" s="201"/>
    </row>
    <row r="55834" spans="62:62" x14ac:dyDescent="0.2">
      <c r="BJ55834" s="201"/>
    </row>
    <row r="55835" spans="62:62" x14ac:dyDescent="0.2">
      <c r="BJ55835" s="201"/>
    </row>
    <row r="55836" spans="62:62" x14ac:dyDescent="0.2">
      <c r="BJ55836" s="201"/>
    </row>
    <row r="55837" spans="62:62" x14ac:dyDescent="0.2">
      <c r="BJ55837" s="201"/>
    </row>
    <row r="55838" spans="62:62" x14ac:dyDescent="0.2">
      <c r="BJ55838" s="201"/>
    </row>
    <row r="55839" spans="62:62" x14ac:dyDescent="0.2">
      <c r="BJ55839" s="201"/>
    </row>
    <row r="55840" spans="62:62" x14ac:dyDescent="0.2">
      <c r="BJ55840" s="201"/>
    </row>
    <row r="55841" spans="62:62" x14ac:dyDescent="0.2">
      <c r="BJ55841" s="201"/>
    </row>
    <row r="55842" spans="62:62" x14ac:dyDescent="0.2">
      <c r="BJ55842" s="201"/>
    </row>
    <row r="55843" spans="62:62" x14ac:dyDescent="0.2">
      <c r="BJ55843" s="201"/>
    </row>
    <row r="55844" spans="62:62" x14ac:dyDescent="0.2">
      <c r="BJ55844" s="201"/>
    </row>
    <row r="55845" spans="62:62" x14ac:dyDescent="0.2">
      <c r="BJ55845" s="201"/>
    </row>
    <row r="55846" spans="62:62" x14ac:dyDescent="0.2">
      <c r="BJ55846" s="201"/>
    </row>
    <row r="55847" spans="62:62" x14ac:dyDescent="0.2">
      <c r="BJ55847" s="201"/>
    </row>
    <row r="55848" spans="62:62" x14ac:dyDescent="0.2">
      <c r="BJ55848" s="201"/>
    </row>
    <row r="55849" spans="62:62" x14ac:dyDescent="0.2">
      <c r="BJ55849" s="201"/>
    </row>
    <row r="55850" spans="62:62" x14ac:dyDescent="0.2">
      <c r="BJ55850" s="201"/>
    </row>
    <row r="55851" spans="62:62" x14ac:dyDescent="0.2">
      <c r="BJ55851" s="201"/>
    </row>
    <row r="55852" spans="62:62" x14ac:dyDescent="0.2">
      <c r="BJ55852" s="201"/>
    </row>
    <row r="55853" spans="62:62" x14ac:dyDescent="0.2">
      <c r="BJ55853" s="201"/>
    </row>
    <row r="55854" spans="62:62" x14ac:dyDescent="0.2">
      <c r="BJ55854" s="201"/>
    </row>
    <row r="55855" spans="62:62" x14ac:dyDescent="0.2">
      <c r="BJ55855" s="201"/>
    </row>
    <row r="55856" spans="62:62" x14ac:dyDescent="0.2">
      <c r="BJ55856" s="201"/>
    </row>
    <row r="55857" spans="62:62" x14ac:dyDescent="0.2">
      <c r="BJ55857" s="201"/>
    </row>
    <row r="55858" spans="62:62" x14ac:dyDescent="0.2">
      <c r="BJ55858" s="201"/>
    </row>
    <row r="55859" spans="62:62" x14ac:dyDescent="0.2">
      <c r="BJ55859" s="201"/>
    </row>
    <row r="55860" spans="62:62" x14ac:dyDescent="0.2">
      <c r="BJ55860" s="201"/>
    </row>
    <row r="55861" spans="62:62" x14ac:dyDescent="0.2">
      <c r="BJ55861" s="201"/>
    </row>
    <row r="55862" spans="62:62" x14ac:dyDescent="0.2">
      <c r="BJ55862" s="201"/>
    </row>
    <row r="55863" spans="62:62" x14ac:dyDescent="0.2">
      <c r="BJ55863" s="201"/>
    </row>
    <row r="55864" spans="62:62" x14ac:dyDescent="0.2">
      <c r="BJ55864" s="201"/>
    </row>
    <row r="55865" spans="62:62" x14ac:dyDescent="0.2">
      <c r="BJ55865" s="201"/>
    </row>
    <row r="55866" spans="62:62" x14ac:dyDescent="0.2">
      <c r="BJ55866" s="201"/>
    </row>
    <row r="55867" spans="62:62" x14ac:dyDescent="0.2">
      <c r="BJ55867" s="201"/>
    </row>
    <row r="55868" spans="62:62" x14ac:dyDescent="0.2">
      <c r="BJ55868" s="201"/>
    </row>
    <row r="55869" spans="62:62" x14ac:dyDescent="0.2">
      <c r="BJ55869" s="201"/>
    </row>
    <row r="55870" spans="62:62" x14ac:dyDescent="0.2">
      <c r="BJ55870" s="201"/>
    </row>
    <row r="55871" spans="62:62" x14ac:dyDescent="0.2">
      <c r="BJ55871" s="201"/>
    </row>
    <row r="55872" spans="62:62" x14ac:dyDescent="0.2">
      <c r="BJ55872" s="201"/>
    </row>
    <row r="55873" spans="62:62" x14ac:dyDescent="0.2">
      <c r="BJ55873" s="201"/>
    </row>
    <row r="55874" spans="62:62" x14ac:dyDescent="0.2">
      <c r="BJ55874" s="201"/>
    </row>
    <row r="55875" spans="62:62" x14ac:dyDescent="0.2">
      <c r="BJ55875" s="201"/>
    </row>
    <row r="55876" spans="62:62" x14ac:dyDescent="0.2">
      <c r="BJ55876" s="201"/>
    </row>
    <row r="55877" spans="62:62" x14ac:dyDescent="0.2">
      <c r="BJ55877" s="201"/>
    </row>
    <row r="55878" spans="62:62" x14ac:dyDescent="0.2">
      <c r="BJ55878" s="201"/>
    </row>
    <row r="55879" spans="62:62" x14ac:dyDescent="0.2">
      <c r="BJ55879" s="201"/>
    </row>
    <row r="55880" spans="62:62" x14ac:dyDescent="0.2">
      <c r="BJ55880" s="201"/>
    </row>
    <row r="55881" spans="62:62" x14ac:dyDescent="0.2">
      <c r="BJ55881" s="201"/>
    </row>
    <row r="55882" spans="62:62" x14ac:dyDescent="0.2">
      <c r="BJ55882" s="201"/>
    </row>
    <row r="55883" spans="62:62" x14ac:dyDescent="0.2">
      <c r="BJ55883" s="201"/>
    </row>
    <row r="55884" spans="62:62" x14ac:dyDescent="0.2">
      <c r="BJ55884" s="201"/>
    </row>
    <row r="55885" spans="62:62" x14ac:dyDescent="0.2">
      <c r="BJ55885" s="201"/>
    </row>
    <row r="55886" spans="62:62" x14ac:dyDescent="0.2">
      <c r="BJ55886" s="201"/>
    </row>
    <row r="55887" spans="62:62" x14ac:dyDescent="0.2">
      <c r="BJ55887" s="201"/>
    </row>
    <row r="55888" spans="62:62" x14ac:dyDescent="0.2">
      <c r="BJ55888" s="201"/>
    </row>
    <row r="55889" spans="62:62" x14ac:dyDescent="0.2">
      <c r="BJ55889" s="201"/>
    </row>
    <row r="55890" spans="62:62" x14ac:dyDescent="0.2">
      <c r="BJ55890" s="201"/>
    </row>
    <row r="55891" spans="62:62" x14ac:dyDescent="0.2">
      <c r="BJ55891" s="201"/>
    </row>
    <row r="55892" spans="62:62" x14ac:dyDescent="0.2">
      <c r="BJ55892" s="201"/>
    </row>
    <row r="55893" spans="62:62" x14ac:dyDescent="0.2">
      <c r="BJ55893" s="201"/>
    </row>
    <row r="55894" spans="62:62" x14ac:dyDescent="0.2">
      <c r="BJ55894" s="201"/>
    </row>
    <row r="55895" spans="62:62" x14ac:dyDescent="0.2">
      <c r="BJ55895" s="201"/>
    </row>
    <row r="55896" spans="62:62" x14ac:dyDescent="0.2">
      <c r="BJ55896" s="201"/>
    </row>
    <row r="55897" spans="62:62" x14ac:dyDescent="0.2">
      <c r="BJ55897" s="201"/>
    </row>
    <row r="55898" spans="62:62" x14ac:dyDescent="0.2">
      <c r="BJ55898" s="201"/>
    </row>
    <row r="55899" spans="62:62" x14ac:dyDescent="0.2">
      <c r="BJ55899" s="201"/>
    </row>
    <row r="55900" spans="62:62" x14ac:dyDescent="0.2">
      <c r="BJ55900" s="201"/>
    </row>
    <row r="55901" spans="62:62" x14ac:dyDescent="0.2">
      <c r="BJ55901" s="201"/>
    </row>
    <row r="55902" spans="62:62" x14ac:dyDescent="0.2">
      <c r="BJ55902" s="201"/>
    </row>
    <row r="55903" spans="62:62" x14ac:dyDescent="0.2">
      <c r="BJ55903" s="201"/>
    </row>
    <row r="55904" spans="62:62" x14ac:dyDescent="0.2">
      <c r="BJ55904" s="201"/>
    </row>
    <row r="55905" spans="62:62" x14ac:dyDescent="0.2">
      <c r="BJ55905" s="201"/>
    </row>
    <row r="55906" spans="62:62" x14ac:dyDescent="0.2">
      <c r="BJ55906" s="201"/>
    </row>
    <row r="55907" spans="62:62" x14ac:dyDescent="0.2">
      <c r="BJ55907" s="201"/>
    </row>
    <row r="55908" spans="62:62" x14ac:dyDescent="0.2">
      <c r="BJ55908" s="201"/>
    </row>
    <row r="55909" spans="62:62" x14ac:dyDescent="0.2">
      <c r="BJ55909" s="201"/>
    </row>
    <row r="55910" spans="62:62" x14ac:dyDescent="0.2">
      <c r="BJ55910" s="201"/>
    </row>
    <row r="55911" spans="62:62" x14ac:dyDescent="0.2">
      <c r="BJ55911" s="201"/>
    </row>
    <row r="55912" spans="62:62" x14ac:dyDescent="0.2">
      <c r="BJ55912" s="201"/>
    </row>
    <row r="55913" spans="62:62" x14ac:dyDescent="0.2">
      <c r="BJ55913" s="201"/>
    </row>
    <row r="55914" spans="62:62" x14ac:dyDescent="0.2">
      <c r="BJ55914" s="201"/>
    </row>
    <row r="55915" spans="62:62" x14ac:dyDescent="0.2">
      <c r="BJ55915" s="201"/>
    </row>
    <row r="55916" spans="62:62" x14ac:dyDescent="0.2">
      <c r="BJ55916" s="201"/>
    </row>
    <row r="55917" spans="62:62" x14ac:dyDescent="0.2">
      <c r="BJ55917" s="201"/>
    </row>
    <row r="55918" spans="62:62" x14ac:dyDescent="0.2">
      <c r="BJ55918" s="201"/>
    </row>
    <row r="55919" spans="62:62" x14ac:dyDescent="0.2">
      <c r="BJ55919" s="201"/>
    </row>
    <row r="55920" spans="62:62" x14ac:dyDescent="0.2">
      <c r="BJ55920" s="201"/>
    </row>
    <row r="55921" spans="62:62" x14ac:dyDescent="0.2">
      <c r="BJ55921" s="201"/>
    </row>
    <row r="55922" spans="62:62" x14ac:dyDescent="0.2">
      <c r="BJ55922" s="201"/>
    </row>
    <row r="55923" spans="62:62" x14ac:dyDescent="0.2">
      <c r="BJ55923" s="201"/>
    </row>
    <row r="55924" spans="62:62" x14ac:dyDescent="0.2">
      <c r="BJ55924" s="201"/>
    </row>
    <row r="55925" spans="62:62" x14ac:dyDescent="0.2">
      <c r="BJ55925" s="201"/>
    </row>
    <row r="55926" spans="62:62" x14ac:dyDescent="0.2">
      <c r="BJ55926" s="201"/>
    </row>
    <row r="55927" spans="62:62" x14ac:dyDescent="0.2">
      <c r="BJ55927" s="201"/>
    </row>
    <row r="55928" spans="62:62" x14ac:dyDescent="0.2">
      <c r="BJ55928" s="201"/>
    </row>
    <row r="55929" spans="62:62" x14ac:dyDescent="0.2">
      <c r="BJ55929" s="201"/>
    </row>
    <row r="55930" spans="62:62" x14ac:dyDescent="0.2">
      <c r="BJ55930" s="201"/>
    </row>
    <row r="55931" spans="62:62" x14ac:dyDescent="0.2">
      <c r="BJ55931" s="201"/>
    </row>
    <row r="55932" spans="62:62" x14ac:dyDescent="0.2">
      <c r="BJ55932" s="201"/>
    </row>
    <row r="55933" spans="62:62" x14ac:dyDescent="0.2">
      <c r="BJ55933" s="201"/>
    </row>
    <row r="55934" spans="62:62" x14ac:dyDescent="0.2">
      <c r="BJ55934" s="201"/>
    </row>
    <row r="55935" spans="62:62" x14ac:dyDescent="0.2">
      <c r="BJ55935" s="201"/>
    </row>
    <row r="55936" spans="62:62" x14ac:dyDescent="0.2">
      <c r="BJ55936" s="201"/>
    </row>
    <row r="55937" spans="62:62" x14ac:dyDescent="0.2">
      <c r="BJ55937" s="201"/>
    </row>
    <row r="55938" spans="62:62" x14ac:dyDescent="0.2">
      <c r="BJ55938" s="201"/>
    </row>
    <row r="55939" spans="62:62" x14ac:dyDescent="0.2">
      <c r="BJ55939" s="201"/>
    </row>
    <row r="55940" spans="62:62" x14ac:dyDescent="0.2">
      <c r="BJ55940" s="201"/>
    </row>
    <row r="55941" spans="62:62" x14ac:dyDescent="0.2">
      <c r="BJ55941" s="201"/>
    </row>
    <row r="55942" spans="62:62" x14ac:dyDescent="0.2">
      <c r="BJ55942" s="201"/>
    </row>
    <row r="55943" spans="62:62" x14ac:dyDescent="0.2">
      <c r="BJ55943" s="201"/>
    </row>
    <row r="55944" spans="62:62" x14ac:dyDescent="0.2">
      <c r="BJ55944" s="201"/>
    </row>
    <row r="55945" spans="62:62" x14ac:dyDescent="0.2">
      <c r="BJ55945" s="201"/>
    </row>
    <row r="55946" spans="62:62" x14ac:dyDescent="0.2">
      <c r="BJ55946" s="201"/>
    </row>
    <row r="55947" spans="62:62" x14ac:dyDescent="0.2">
      <c r="BJ55947" s="201"/>
    </row>
    <row r="55948" spans="62:62" x14ac:dyDescent="0.2">
      <c r="BJ55948" s="201"/>
    </row>
    <row r="55949" spans="62:62" x14ac:dyDescent="0.2">
      <c r="BJ55949" s="201"/>
    </row>
    <row r="55950" spans="62:62" x14ac:dyDescent="0.2">
      <c r="BJ55950" s="201"/>
    </row>
    <row r="55951" spans="62:62" x14ac:dyDescent="0.2">
      <c r="BJ55951" s="201"/>
    </row>
    <row r="55952" spans="62:62" x14ac:dyDescent="0.2">
      <c r="BJ55952" s="201"/>
    </row>
    <row r="55953" spans="62:62" x14ac:dyDescent="0.2">
      <c r="BJ55953" s="201"/>
    </row>
    <row r="55954" spans="62:62" x14ac:dyDescent="0.2">
      <c r="BJ55954" s="201"/>
    </row>
    <row r="55955" spans="62:62" x14ac:dyDescent="0.2">
      <c r="BJ55955" s="201"/>
    </row>
    <row r="55956" spans="62:62" x14ac:dyDescent="0.2">
      <c r="BJ55956" s="201"/>
    </row>
    <row r="55957" spans="62:62" x14ac:dyDescent="0.2">
      <c r="BJ55957" s="201"/>
    </row>
    <row r="55958" spans="62:62" x14ac:dyDescent="0.2">
      <c r="BJ55958" s="201"/>
    </row>
    <row r="55959" spans="62:62" x14ac:dyDescent="0.2">
      <c r="BJ55959" s="201"/>
    </row>
    <row r="55960" spans="62:62" x14ac:dyDescent="0.2">
      <c r="BJ55960" s="201"/>
    </row>
    <row r="55961" spans="62:62" x14ac:dyDescent="0.2">
      <c r="BJ55961" s="201"/>
    </row>
    <row r="55962" spans="62:62" x14ac:dyDescent="0.2">
      <c r="BJ55962" s="201"/>
    </row>
    <row r="55963" spans="62:62" x14ac:dyDescent="0.2">
      <c r="BJ55963" s="201"/>
    </row>
    <row r="55964" spans="62:62" x14ac:dyDescent="0.2">
      <c r="BJ55964" s="201"/>
    </row>
    <row r="55965" spans="62:62" x14ac:dyDescent="0.2">
      <c r="BJ55965" s="201"/>
    </row>
    <row r="55966" spans="62:62" x14ac:dyDescent="0.2">
      <c r="BJ55966" s="201"/>
    </row>
    <row r="55967" spans="62:62" x14ac:dyDescent="0.2">
      <c r="BJ55967" s="201"/>
    </row>
    <row r="55968" spans="62:62" x14ac:dyDescent="0.2">
      <c r="BJ55968" s="201"/>
    </row>
    <row r="55969" spans="62:62" x14ac:dyDescent="0.2">
      <c r="BJ55969" s="201"/>
    </row>
    <row r="55970" spans="62:62" x14ac:dyDescent="0.2">
      <c r="BJ55970" s="201"/>
    </row>
    <row r="55971" spans="62:62" x14ac:dyDescent="0.2">
      <c r="BJ55971" s="201"/>
    </row>
    <row r="55972" spans="62:62" x14ac:dyDescent="0.2">
      <c r="BJ55972" s="201"/>
    </row>
    <row r="55973" spans="62:62" x14ac:dyDescent="0.2">
      <c r="BJ55973" s="201"/>
    </row>
    <row r="55974" spans="62:62" x14ac:dyDescent="0.2">
      <c r="BJ55974" s="201"/>
    </row>
    <row r="55975" spans="62:62" x14ac:dyDescent="0.2">
      <c r="BJ55975" s="201"/>
    </row>
    <row r="55976" spans="62:62" x14ac:dyDescent="0.2">
      <c r="BJ55976" s="201"/>
    </row>
    <row r="55977" spans="62:62" x14ac:dyDescent="0.2">
      <c r="BJ55977" s="201"/>
    </row>
    <row r="55978" spans="62:62" x14ac:dyDescent="0.2">
      <c r="BJ55978" s="201"/>
    </row>
    <row r="55979" spans="62:62" x14ac:dyDescent="0.2">
      <c r="BJ55979" s="201"/>
    </row>
    <row r="55980" spans="62:62" x14ac:dyDescent="0.2">
      <c r="BJ55980" s="201"/>
    </row>
    <row r="55981" spans="62:62" x14ac:dyDescent="0.2">
      <c r="BJ55981" s="201"/>
    </row>
    <row r="55982" spans="62:62" x14ac:dyDescent="0.2">
      <c r="BJ55982" s="201"/>
    </row>
    <row r="55983" spans="62:62" x14ac:dyDescent="0.2">
      <c r="BJ55983" s="201"/>
    </row>
    <row r="55984" spans="62:62" x14ac:dyDescent="0.2">
      <c r="BJ55984" s="201"/>
    </row>
    <row r="55985" spans="62:62" x14ac:dyDescent="0.2">
      <c r="BJ55985" s="201"/>
    </row>
    <row r="55986" spans="62:62" x14ac:dyDescent="0.2">
      <c r="BJ55986" s="201"/>
    </row>
    <row r="55987" spans="62:62" x14ac:dyDescent="0.2">
      <c r="BJ55987" s="201"/>
    </row>
    <row r="55988" spans="62:62" x14ac:dyDescent="0.2">
      <c r="BJ55988" s="201"/>
    </row>
    <row r="55989" spans="62:62" x14ac:dyDescent="0.2">
      <c r="BJ55989" s="201"/>
    </row>
    <row r="55990" spans="62:62" x14ac:dyDescent="0.2">
      <c r="BJ55990" s="201"/>
    </row>
    <row r="55991" spans="62:62" x14ac:dyDescent="0.2">
      <c r="BJ55991" s="201"/>
    </row>
    <row r="55992" spans="62:62" x14ac:dyDescent="0.2">
      <c r="BJ55992" s="201"/>
    </row>
    <row r="55993" spans="62:62" x14ac:dyDescent="0.2">
      <c r="BJ55993" s="201"/>
    </row>
    <row r="55994" spans="62:62" x14ac:dyDescent="0.2">
      <c r="BJ55994" s="201"/>
    </row>
    <row r="55995" spans="62:62" x14ac:dyDescent="0.2">
      <c r="BJ55995" s="201"/>
    </row>
    <row r="55996" spans="62:62" x14ac:dyDescent="0.2">
      <c r="BJ55996" s="201"/>
    </row>
    <row r="55997" spans="62:62" x14ac:dyDescent="0.2">
      <c r="BJ55997" s="201"/>
    </row>
    <row r="55998" spans="62:62" x14ac:dyDescent="0.2">
      <c r="BJ55998" s="201"/>
    </row>
    <row r="55999" spans="62:62" x14ac:dyDescent="0.2">
      <c r="BJ55999" s="201"/>
    </row>
    <row r="56000" spans="62:62" x14ac:dyDescent="0.2">
      <c r="BJ56000" s="201"/>
    </row>
    <row r="56001" spans="62:62" x14ac:dyDescent="0.2">
      <c r="BJ56001" s="201"/>
    </row>
    <row r="56002" spans="62:62" x14ac:dyDescent="0.2">
      <c r="BJ56002" s="201"/>
    </row>
    <row r="56003" spans="62:62" x14ac:dyDescent="0.2">
      <c r="BJ56003" s="201"/>
    </row>
    <row r="56004" spans="62:62" x14ac:dyDescent="0.2">
      <c r="BJ56004" s="201"/>
    </row>
    <row r="56005" spans="62:62" x14ac:dyDescent="0.2">
      <c r="BJ56005" s="201"/>
    </row>
    <row r="56006" spans="62:62" x14ac:dyDescent="0.2">
      <c r="BJ56006" s="201"/>
    </row>
    <row r="56007" spans="62:62" x14ac:dyDescent="0.2">
      <c r="BJ56007" s="201"/>
    </row>
    <row r="56008" spans="62:62" x14ac:dyDescent="0.2">
      <c r="BJ56008" s="201"/>
    </row>
    <row r="56009" spans="62:62" x14ac:dyDescent="0.2">
      <c r="BJ56009" s="201"/>
    </row>
    <row r="56010" spans="62:62" x14ac:dyDescent="0.2">
      <c r="BJ56010" s="201"/>
    </row>
    <row r="56011" spans="62:62" x14ac:dyDescent="0.2">
      <c r="BJ56011" s="201"/>
    </row>
    <row r="56012" spans="62:62" x14ac:dyDescent="0.2">
      <c r="BJ56012" s="201"/>
    </row>
    <row r="56013" spans="62:62" x14ac:dyDescent="0.2">
      <c r="BJ56013" s="201"/>
    </row>
    <row r="56014" spans="62:62" x14ac:dyDescent="0.2">
      <c r="BJ56014" s="201"/>
    </row>
    <row r="56015" spans="62:62" x14ac:dyDescent="0.2">
      <c r="BJ56015" s="201"/>
    </row>
    <row r="56016" spans="62:62" x14ac:dyDescent="0.2">
      <c r="BJ56016" s="201"/>
    </row>
    <row r="56017" spans="62:62" x14ac:dyDescent="0.2">
      <c r="BJ56017" s="201"/>
    </row>
    <row r="56018" spans="62:62" x14ac:dyDescent="0.2">
      <c r="BJ56018" s="201"/>
    </row>
    <row r="56019" spans="62:62" x14ac:dyDescent="0.2">
      <c r="BJ56019" s="201"/>
    </row>
    <row r="56020" spans="62:62" x14ac:dyDescent="0.2">
      <c r="BJ56020" s="201"/>
    </row>
    <row r="56021" spans="62:62" x14ac:dyDescent="0.2">
      <c r="BJ56021" s="201"/>
    </row>
    <row r="56022" spans="62:62" x14ac:dyDescent="0.2">
      <c r="BJ56022" s="201"/>
    </row>
    <row r="56023" spans="62:62" x14ac:dyDescent="0.2">
      <c r="BJ56023" s="201"/>
    </row>
    <row r="56024" spans="62:62" x14ac:dyDescent="0.2">
      <c r="BJ56024" s="201"/>
    </row>
    <row r="56025" spans="62:62" x14ac:dyDescent="0.2">
      <c r="BJ56025" s="201"/>
    </row>
    <row r="56026" spans="62:62" x14ac:dyDescent="0.2">
      <c r="BJ56026" s="201"/>
    </row>
    <row r="56027" spans="62:62" x14ac:dyDescent="0.2">
      <c r="BJ56027" s="201"/>
    </row>
    <row r="56028" spans="62:62" x14ac:dyDescent="0.2">
      <c r="BJ56028" s="201"/>
    </row>
    <row r="56029" spans="62:62" x14ac:dyDescent="0.2">
      <c r="BJ56029" s="201"/>
    </row>
    <row r="56030" spans="62:62" x14ac:dyDescent="0.2">
      <c r="BJ56030" s="201"/>
    </row>
    <row r="56031" spans="62:62" x14ac:dyDescent="0.2">
      <c r="BJ56031" s="201"/>
    </row>
    <row r="56032" spans="62:62" x14ac:dyDescent="0.2">
      <c r="BJ56032" s="201"/>
    </row>
    <row r="56033" spans="62:62" x14ac:dyDescent="0.2">
      <c r="BJ56033" s="201"/>
    </row>
    <row r="56034" spans="62:62" x14ac:dyDescent="0.2">
      <c r="BJ56034" s="201"/>
    </row>
    <row r="56035" spans="62:62" x14ac:dyDescent="0.2">
      <c r="BJ56035" s="201"/>
    </row>
    <row r="56036" spans="62:62" x14ac:dyDescent="0.2">
      <c r="BJ56036" s="201"/>
    </row>
    <row r="56037" spans="62:62" x14ac:dyDescent="0.2">
      <c r="BJ56037" s="201"/>
    </row>
    <row r="56038" spans="62:62" x14ac:dyDescent="0.2">
      <c r="BJ56038" s="201"/>
    </row>
    <row r="56039" spans="62:62" x14ac:dyDescent="0.2">
      <c r="BJ56039" s="201"/>
    </row>
    <row r="56040" spans="62:62" x14ac:dyDescent="0.2">
      <c r="BJ56040" s="201"/>
    </row>
    <row r="56041" spans="62:62" x14ac:dyDescent="0.2">
      <c r="BJ56041" s="201"/>
    </row>
    <row r="56042" spans="62:62" x14ac:dyDescent="0.2">
      <c r="BJ56042" s="201"/>
    </row>
    <row r="56043" spans="62:62" x14ac:dyDescent="0.2">
      <c r="BJ56043" s="201"/>
    </row>
    <row r="56044" spans="62:62" x14ac:dyDescent="0.2">
      <c r="BJ56044" s="201"/>
    </row>
    <row r="56045" spans="62:62" x14ac:dyDescent="0.2">
      <c r="BJ56045" s="201"/>
    </row>
    <row r="56046" spans="62:62" x14ac:dyDescent="0.2">
      <c r="BJ56046" s="201"/>
    </row>
    <row r="56047" spans="62:62" x14ac:dyDescent="0.2">
      <c r="BJ56047" s="201"/>
    </row>
    <row r="56048" spans="62:62" x14ac:dyDescent="0.2">
      <c r="BJ56048" s="201"/>
    </row>
    <row r="56049" spans="62:62" x14ac:dyDescent="0.2">
      <c r="BJ56049" s="201"/>
    </row>
    <row r="56050" spans="62:62" x14ac:dyDescent="0.2">
      <c r="BJ56050" s="201"/>
    </row>
    <row r="56051" spans="62:62" x14ac:dyDescent="0.2">
      <c r="BJ56051" s="201"/>
    </row>
    <row r="56052" spans="62:62" x14ac:dyDescent="0.2">
      <c r="BJ56052" s="201"/>
    </row>
    <row r="56053" spans="62:62" x14ac:dyDescent="0.2">
      <c r="BJ56053" s="201"/>
    </row>
    <row r="56054" spans="62:62" x14ac:dyDescent="0.2">
      <c r="BJ56054" s="201"/>
    </row>
    <row r="56055" spans="62:62" x14ac:dyDescent="0.2">
      <c r="BJ56055" s="201"/>
    </row>
    <row r="56056" spans="62:62" x14ac:dyDescent="0.2">
      <c r="BJ56056" s="201"/>
    </row>
    <row r="56057" spans="62:62" x14ac:dyDescent="0.2">
      <c r="BJ56057" s="201"/>
    </row>
    <row r="56058" spans="62:62" x14ac:dyDescent="0.2">
      <c r="BJ56058" s="201"/>
    </row>
    <row r="56059" spans="62:62" x14ac:dyDescent="0.2">
      <c r="BJ56059" s="201"/>
    </row>
    <row r="56060" spans="62:62" x14ac:dyDescent="0.2">
      <c r="BJ56060" s="201"/>
    </row>
    <row r="56061" spans="62:62" x14ac:dyDescent="0.2">
      <c r="BJ56061" s="201"/>
    </row>
    <row r="56062" spans="62:62" x14ac:dyDescent="0.2">
      <c r="BJ56062" s="201"/>
    </row>
    <row r="56063" spans="62:62" x14ac:dyDescent="0.2">
      <c r="BJ56063" s="201"/>
    </row>
    <row r="56064" spans="62:62" x14ac:dyDescent="0.2">
      <c r="BJ56064" s="201"/>
    </row>
    <row r="56065" spans="62:62" x14ac:dyDescent="0.2">
      <c r="BJ56065" s="201"/>
    </row>
    <row r="56066" spans="62:62" x14ac:dyDescent="0.2">
      <c r="BJ56066" s="201"/>
    </row>
    <row r="56067" spans="62:62" x14ac:dyDescent="0.2">
      <c r="BJ56067" s="201"/>
    </row>
    <row r="56068" spans="62:62" x14ac:dyDescent="0.2">
      <c r="BJ56068" s="201"/>
    </row>
    <row r="56069" spans="62:62" x14ac:dyDescent="0.2">
      <c r="BJ56069" s="201"/>
    </row>
    <row r="56070" spans="62:62" x14ac:dyDescent="0.2">
      <c r="BJ56070" s="201"/>
    </row>
    <row r="56071" spans="62:62" x14ac:dyDescent="0.2">
      <c r="BJ56071" s="201"/>
    </row>
    <row r="56072" spans="62:62" x14ac:dyDescent="0.2">
      <c r="BJ56072" s="201"/>
    </row>
    <row r="56073" spans="62:62" x14ac:dyDescent="0.2">
      <c r="BJ56073" s="201"/>
    </row>
    <row r="56074" spans="62:62" x14ac:dyDescent="0.2">
      <c r="BJ56074" s="201"/>
    </row>
    <row r="56075" spans="62:62" x14ac:dyDescent="0.2">
      <c r="BJ56075" s="201"/>
    </row>
    <row r="56076" spans="62:62" x14ac:dyDescent="0.2">
      <c r="BJ56076" s="201"/>
    </row>
    <row r="56077" spans="62:62" x14ac:dyDescent="0.2">
      <c r="BJ56077" s="201"/>
    </row>
    <row r="56078" spans="62:62" x14ac:dyDescent="0.2">
      <c r="BJ56078" s="201"/>
    </row>
    <row r="56079" spans="62:62" x14ac:dyDescent="0.2">
      <c r="BJ56079" s="201"/>
    </row>
    <row r="56080" spans="62:62" x14ac:dyDescent="0.2">
      <c r="BJ56080" s="201"/>
    </row>
    <row r="56081" spans="62:62" x14ac:dyDescent="0.2">
      <c r="BJ56081" s="201"/>
    </row>
    <row r="56082" spans="62:62" x14ac:dyDescent="0.2">
      <c r="BJ56082" s="201"/>
    </row>
    <row r="56083" spans="62:62" x14ac:dyDescent="0.2">
      <c r="BJ56083" s="201"/>
    </row>
    <row r="56084" spans="62:62" x14ac:dyDescent="0.2">
      <c r="BJ56084" s="201"/>
    </row>
    <row r="56085" spans="62:62" x14ac:dyDescent="0.2">
      <c r="BJ56085" s="201"/>
    </row>
    <row r="56086" spans="62:62" x14ac:dyDescent="0.2">
      <c r="BJ56086" s="201"/>
    </row>
    <row r="56087" spans="62:62" x14ac:dyDescent="0.2">
      <c r="BJ56087" s="201"/>
    </row>
    <row r="56088" spans="62:62" x14ac:dyDescent="0.2">
      <c r="BJ56088" s="201"/>
    </row>
    <row r="56089" spans="62:62" x14ac:dyDescent="0.2">
      <c r="BJ56089" s="201"/>
    </row>
    <row r="56090" spans="62:62" x14ac:dyDescent="0.2">
      <c r="BJ56090" s="201"/>
    </row>
    <row r="56091" spans="62:62" x14ac:dyDescent="0.2">
      <c r="BJ56091" s="201"/>
    </row>
    <row r="56092" spans="62:62" x14ac:dyDescent="0.2">
      <c r="BJ56092" s="201"/>
    </row>
    <row r="56093" spans="62:62" x14ac:dyDescent="0.2">
      <c r="BJ56093" s="201"/>
    </row>
    <row r="56094" spans="62:62" x14ac:dyDescent="0.2">
      <c r="BJ56094" s="201"/>
    </row>
    <row r="56095" spans="62:62" x14ac:dyDescent="0.2">
      <c r="BJ56095" s="201"/>
    </row>
    <row r="56096" spans="62:62" x14ac:dyDescent="0.2">
      <c r="BJ56096" s="201"/>
    </row>
    <row r="56097" spans="62:62" x14ac:dyDescent="0.2">
      <c r="BJ56097" s="201"/>
    </row>
    <row r="56098" spans="62:62" x14ac:dyDescent="0.2">
      <c r="BJ56098" s="201"/>
    </row>
    <row r="56099" spans="62:62" x14ac:dyDescent="0.2">
      <c r="BJ56099" s="201"/>
    </row>
    <row r="56100" spans="62:62" x14ac:dyDescent="0.2">
      <c r="BJ56100" s="201"/>
    </row>
    <row r="56101" spans="62:62" x14ac:dyDescent="0.2">
      <c r="BJ56101" s="201"/>
    </row>
    <row r="56102" spans="62:62" x14ac:dyDescent="0.2">
      <c r="BJ56102" s="201"/>
    </row>
    <row r="56103" spans="62:62" x14ac:dyDescent="0.2">
      <c r="BJ56103" s="201"/>
    </row>
    <row r="56104" spans="62:62" x14ac:dyDescent="0.2">
      <c r="BJ56104" s="201"/>
    </row>
    <row r="56105" spans="62:62" x14ac:dyDescent="0.2">
      <c r="BJ56105" s="201"/>
    </row>
    <row r="56106" spans="62:62" x14ac:dyDescent="0.2">
      <c r="BJ56106" s="201"/>
    </row>
    <row r="56107" spans="62:62" x14ac:dyDescent="0.2">
      <c r="BJ56107" s="201"/>
    </row>
    <row r="56108" spans="62:62" x14ac:dyDescent="0.2">
      <c r="BJ56108" s="201"/>
    </row>
    <row r="56109" spans="62:62" x14ac:dyDescent="0.2">
      <c r="BJ56109" s="201"/>
    </row>
    <row r="56110" spans="62:62" x14ac:dyDescent="0.2">
      <c r="BJ56110" s="201"/>
    </row>
    <row r="56111" spans="62:62" x14ac:dyDescent="0.2">
      <c r="BJ56111" s="201"/>
    </row>
    <row r="56112" spans="62:62" x14ac:dyDescent="0.2">
      <c r="BJ56112" s="201"/>
    </row>
    <row r="56113" spans="62:62" x14ac:dyDescent="0.2">
      <c r="BJ56113" s="201"/>
    </row>
    <row r="56114" spans="62:62" x14ac:dyDescent="0.2">
      <c r="BJ56114" s="201"/>
    </row>
    <row r="56115" spans="62:62" x14ac:dyDescent="0.2">
      <c r="BJ56115" s="201"/>
    </row>
    <row r="56116" spans="62:62" x14ac:dyDescent="0.2">
      <c r="BJ56116" s="201"/>
    </row>
    <row r="56117" spans="62:62" x14ac:dyDescent="0.2">
      <c r="BJ56117" s="201"/>
    </row>
    <row r="56118" spans="62:62" x14ac:dyDescent="0.2">
      <c r="BJ56118" s="201"/>
    </row>
    <row r="56119" spans="62:62" x14ac:dyDescent="0.2">
      <c r="BJ56119" s="201"/>
    </row>
    <row r="56120" spans="62:62" x14ac:dyDescent="0.2">
      <c r="BJ56120" s="201"/>
    </row>
    <row r="56121" spans="62:62" x14ac:dyDescent="0.2">
      <c r="BJ56121" s="201"/>
    </row>
    <row r="56122" spans="62:62" x14ac:dyDescent="0.2">
      <c r="BJ56122" s="201"/>
    </row>
    <row r="56123" spans="62:62" x14ac:dyDescent="0.2">
      <c r="BJ56123" s="201"/>
    </row>
    <row r="56124" spans="62:62" x14ac:dyDescent="0.2">
      <c r="BJ56124" s="201"/>
    </row>
    <row r="56125" spans="62:62" x14ac:dyDescent="0.2">
      <c r="BJ56125" s="201"/>
    </row>
    <row r="56126" spans="62:62" x14ac:dyDescent="0.2">
      <c r="BJ56126" s="201"/>
    </row>
    <row r="56127" spans="62:62" x14ac:dyDescent="0.2">
      <c r="BJ56127" s="201"/>
    </row>
    <row r="56128" spans="62:62" x14ac:dyDescent="0.2">
      <c r="BJ56128" s="201"/>
    </row>
    <row r="56129" spans="62:62" x14ac:dyDescent="0.2">
      <c r="BJ56129" s="201"/>
    </row>
    <row r="56130" spans="62:62" x14ac:dyDescent="0.2">
      <c r="BJ56130" s="201"/>
    </row>
    <row r="56131" spans="62:62" x14ac:dyDescent="0.2">
      <c r="BJ56131" s="201"/>
    </row>
    <row r="56132" spans="62:62" x14ac:dyDescent="0.2">
      <c r="BJ56132" s="201"/>
    </row>
    <row r="56133" spans="62:62" x14ac:dyDescent="0.2">
      <c r="BJ56133" s="201"/>
    </row>
    <row r="56134" spans="62:62" x14ac:dyDescent="0.2">
      <c r="BJ56134" s="201"/>
    </row>
    <row r="56135" spans="62:62" x14ac:dyDescent="0.2">
      <c r="BJ56135" s="201"/>
    </row>
    <row r="56136" spans="62:62" x14ac:dyDescent="0.2">
      <c r="BJ56136" s="201"/>
    </row>
    <row r="56137" spans="62:62" x14ac:dyDescent="0.2">
      <c r="BJ56137" s="201"/>
    </row>
    <row r="56138" spans="62:62" x14ac:dyDescent="0.2">
      <c r="BJ56138" s="201"/>
    </row>
    <row r="56139" spans="62:62" x14ac:dyDescent="0.2">
      <c r="BJ56139" s="201"/>
    </row>
    <row r="56140" spans="62:62" x14ac:dyDescent="0.2">
      <c r="BJ56140" s="201"/>
    </row>
    <row r="56141" spans="62:62" x14ac:dyDescent="0.2">
      <c r="BJ56141" s="201"/>
    </row>
    <row r="56142" spans="62:62" x14ac:dyDescent="0.2">
      <c r="BJ56142" s="201"/>
    </row>
    <row r="56143" spans="62:62" x14ac:dyDescent="0.2">
      <c r="BJ56143" s="201"/>
    </row>
    <row r="56144" spans="62:62" x14ac:dyDescent="0.2">
      <c r="BJ56144" s="201"/>
    </row>
    <row r="56145" spans="62:62" x14ac:dyDescent="0.2">
      <c r="BJ56145" s="201"/>
    </row>
    <row r="56146" spans="62:62" x14ac:dyDescent="0.2">
      <c r="BJ56146" s="201"/>
    </row>
    <row r="56147" spans="62:62" x14ac:dyDescent="0.2">
      <c r="BJ56147" s="201"/>
    </row>
    <row r="56148" spans="62:62" x14ac:dyDescent="0.2">
      <c r="BJ56148" s="201"/>
    </row>
    <row r="56149" spans="62:62" x14ac:dyDescent="0.2">
      <c r="BJ56149" s="201"/>
    </row>
    <row r="56150" spans="62:62" x14ac:dyDescent="0.2">
      <c r="BJ56150" s="201"/>
    </row>
    <row r="56151" spans="62:62" x14ac:dyDescent="0.2">
      <c r="BJ56151" s="201"/>
    </row>
    <row r="56152" spans="62:62" x14ac:dyDescent="0.2">
      <c r="BJ56152" s="201"/>
    </row>
    <row r="56153" spans="62:62" x14ac:dyDescent="0.2">
      <c r="BJ56153" s="201"/>
    </row>
    <row r="56154" spans="62:62" x14ac:dyDescent="0.2">
      <c r="BJ56154" s="201"/>
    </row>
    <row r="56155" spans="62:62" x14ac:dyDescent="0.2">
      <c r="BJ56155" s="201"/>
    </row>
    <row r="56156" spans="62:62" x14ac:dyDescent="0.2">
      <c r="BJ56156" s="201"/>
    </row>
    <row r="56157" spans="62:62" x14ac:dyDescent="0.2">
      <c r="BJ56157" s="201"/>
    </row>
    <row r="56158" spans="62:62" x14ac:dyDescent="0.2">
      <c r="BJ56158" s="201"/>
    </row>
    <row r="56159" spans="62:62" x14ac:dyDescent="0.2">
      <c r="BJ56159" s="201"/>
    </row>
    <row r="56160" spans="62:62" x14ac:dyDescent="0.2">
      <c r="BJ56160" s="201"/>
    </row>
    <row r="56161" spans="62:62" x14ac:dyDescent="0.2">
      <c r="BJ56161" s="201"/>
    </row>
    <row r="56162" spans="62:62" x14ac:dyDescent="0.2">
      <c r="BJ56162" s="201"/>
    </row>
    <row r="56163" spans="62:62" x14ac:dyDescent="0.2">
      <c r="BJ56163" s="201"/>
    </row>
    <row r="56164" spans="62:62" x14ac:dyDescent="0.2">
      <c r="BJ56164" s="201"/>
    </row>
    <row r="56165" spans="62:62" x14ac:dyDescent="0.2">
      <c r="BJ56165" s="201"/>
    </row>
    <row r="56166" spans="62:62" x14ac:dyDescent="0.2">
      <c r="BJ56166" s="201"/>
    </row>
    <row r="56167" spans="62:62" x14ac:dyDescent="0.2">
      <c r="BJ56167" s="201"/>
    </row>
    <row r="56168" spans="62:62" x14ac:dyDescent="0.2">
      <c r="BJ56168" s="201"/>
    </row>
    <row r="56169" spans="62:62" x14ac:dyDescent="0.2">
      <c r="BJ56169" s="201"/>
    </row>
    <row r="56170" spans="62:62" x14ac:dyDescent="0.2">
      <c r="BJ56170" s="201"/>
    </row>
    <row r="56171" spans="62:62" x14ac:dyDescent="0.2">
      <c r="BJ56171" s="201"/>
    </row>
    <row r="56172" spans="62:62" x14ac:dyDescent="0.2">
      <c r="BJ56172" s="201"/>
    </row>
    <row r="56173" spans="62:62" x14ac:dyDescent="0.2">
      <c r="BJ56173" s="201"/>
    </row>
    <row r="56174" spans="62:62" x14ac:dyDescent="0.2">
      <c r="BJ56174" s="201"/>
    </row>
    <row r="56175" spans="62:62" x14ac:dyDescent="0.2">
      <c r="BJ56175" s="201"/>
    </row>
    <row r="56176" spans="62:62" x14ac:dyDescent="0.2">
      <c r="BJ56176" s="201"/>
    </row>
    <row r="56177" spans="62:62" x14ac:dyDescent="0.2">
      <c r="BJ56177" s="201"/>
    </row>
    <row r="56178" spans="62:62" x14ac:dyDescent="0.2">
      <c r="BJ56178" s="201"/>
    </row>
    <row r="56179" spans="62:62" x14ac:dyDescent="0.2">
      <c r="BJ56179" s="201"/>
    </row>
    <row r="56180" spans="62:62" x14ac:dyDescent="0.2">
      <c r="BJ56180" s="201"/>
    </row>
    <row r="56181" spans="62:62" x14ac:dyDescent="0.2">
      <c r="BJ56181" s="201"/>
    </row>
    <row r="56182" spans="62:62" x14ac:dyDescent="0.2">
      <c r="BJ56182" s="201"/>
    </row>
    <row r="56183" spans="62:62" x14ac:dyDescent="0.2">
      <c r="BJ56183" s="201"/>
    </row>
    <row r="56184" spans="62:62" x14ac:dyDescent="0.2">
      <c r="BJ56184" s="201"/>
    </row>
    <row r="56185" spans="62:62" x14ac:dyDescent="0.2">
      <c r="BJ56185" s="201"/>
    </row>
    <row r="56186" spans="62:62" x14ac:dyDescent="0.2">
      <c r="BJ56186" s="201"/>
    </row>
    <row r="56187" spans="62:62" x14ac:dyDescent="0.2">
      <c r="BJ56187" s="201"/>
    </row>
    <row r="56188" spans="62:62" x14ac:dyDescent="0.2">
      <c r="BJ56188" s="201"/>
    </row>
    <row r="56189" spans="62:62" x14ac:dyDescent="0.2">
      <c r="BJ56189" s="201"/>
    </row>
    <row r="56190" spans="62:62" x14ac:dyDescent="0.2">
      <c r="BJ56190" s="201"/>
    </row>
    <row r="56191" spans="62:62" x14ac:dyDescent="0.2">
      <c r="BJ56191" s="201"/>
    </row>
    <row r="56192" spans="62:62" x14ac:dyDescent="0.2">
      <c r="BJ56192" s="201"/>
    </row>
    <row r="56193" spans="62:62" x14ac:dyDescent="0.2">
      <c r="BJ56193" s="201"/>
    </row>
    <row r="56194" spans="62:62" x14ac:dyDescent="0.2">
      <c r="BJ56194" s="201"/>
    </row>
    <row r="56195" spans="62:62" x14ac:dyDescent="0.2">
      <c r="BJ56195" s="201"/>
    </row>
    <row r="56196" spans="62:62" x14ac:dyDescent="0.2">
      <c r="BJ56196" s="201"/>
    </row>
    <row r="56197" spans="62:62" x14ac:dyDescent="0.2">
      <c r="BJ56197" s="201"/>
    </row>
    <row r="56198" spans="62:62" x14ac:dyDescent="0.2">
      <c r="BJ56198" s="201"/>
    </row>
    <row r="56199" spans="62:62" x14ac:dyDescent="0.2">
      <c r="BJ56199" s="201"/>
    </row>
    <row r="56200" spans="62:62" x14ac:dyDescent="0.2">
      <c r="BJ56200" s="201"/>
    </row>
    <row r="56201" spans="62:62" x14ac:dyDescent="0.2">
      <c r="BJ56201" s="201"/>
    </row>
    <row r="56202" spans="62:62" x14ac:dyDescent="0.2">
      <c r="BJ56202" s="201"/>
    </row>
    <row r="56203" spans="62:62" x14ac:dyDescent="0.2">
      <c r="BJ56203" s="201"/>
    </row>
    <row r="56204" spans="62:62" x14ac:dyDescent="0.2">
      <c r="BJ56204" s="201"/>
    </row>
    <row r="56205" spans="62:62" x14ac:dyDescent="0.2">
      <c r="BJ56205" s="201"/>
    </row>
    <row r="56206" spans="62:62" x14ac:dyDescent="0.2">
      <c r="BJ56206" s="201"/>
    </row>
    <row r="56207" spans="62:62" x14ac:dyDescent="0.2">
      <c r="BJ56207" s="201"/>
    </row>
    <row r="56208" spans="62:62" x14ac:dyDescent="0.2">
      <c r="BJ56208" s="201"/>
    </row>
    <row r="56209" spans="62:62" x14ac:dyDescent="0.2">
      <c r="BJ56209" s="201"/>
    </row>
    <row r="56210" spans="62:62" x14ac:dyDescent="0.2">
      <c r="BJ56210" s="201"/>
    </row>
    <row r="56211" spans="62:62" x14ac:dyDescent="0.2">
      <c r="BJ56211" s="201"/>
    </row>
    <row r="56212" spans="62:62" x14ac:dyDescent="0.2">
      <c r="BJ56212" s="201"/>
    </row>
    <row r="56213" spans="62:62" x14ac:dyDescent="0.2">
      <c r="BJ56213" s="201"/>
    </row>
    <row r="56214" spans="62:62" x14ac:dyDescent="0.2">
      <c r="BJ56214" s="201"/>
    </row>
    <row r="56215" spans="62:62" x14ac:dyDescent="0.2">
      <c r="BJ56215" s="201"/>
    </row>
    <row r="56216" spans="62:62" x14ac:dyDescent="0.2">
      <c r="BJ56216" s="201"/>
    </row>
    <row r="56217" spans="62:62" x14ac:dyDescent="0.2">
      <c r="BJ56217" s="201"/>
    </row>
    <row r="56218" spans="62:62" x14ac:dyDescent="0.2">
      <c r="BJ56218" s="201"/>
    </row>
    <row r="56219" spans="62:62" x14ac:dyDescent="0.2">
      <c r="BJ56219" s="201"/>
    </row>
    <row r="56220" spans="62:62" x14ac:dyDescent="0.2">
      <c r="BJ56220" s="201"/>
    </row>
    <row r="56221" spans="62:62" x14ac:dyDescent="0.2">
      <c r="BJ56221" s="201"/>
    </row>
    <row r="56222" spans="62:62" x14ac:dyDescent="0.2">
      <c r="BJ56222" s="201"/>
    </row>
    <row r="56223" spans="62:62" x14ac:dyDescent="0.2">
      <c r="BJ56223" s="201"/>
    </row>
    <row r="56224" spans="62:62" x14ac:dyDescent="0.2">
      <c r="BJ56224" s="201"/>
    </row>
    <row r="56225" spans="62:62" x14ac:dyDescent="0.2">
      <c r="BJ56225" s="201"/>
    </row>
    <row r="56226" spans="62:62" x14ac:dyDescent="0.2">
      <c r="BJ56226" s="201"/>
    </row>
    <row r="56227" spans="62:62" x14ac:dyDescent="0.2">
      <c r="BJ56227" s="201"/>
    </row>
    <row r="56228" spans="62:62" x14ac:dyDescent="0.2">
      <c r="BJ56228" s="201"/>
    </row>
    <row r="56229" spans="62:62" x14ac:dyDescent="0.2">
      <c r="BJ56229" s="201"/>
    </row>
    <row r="56230" spans="62:62" x14ac:dyDescent="0.2">
      <c r="BJ56230" s="201"/>
    </row>
    <row r="56231" spans="62:62" x14ac:dyDescent="0.2">
      <c r="BJ56231" s="201"/>
    </row>
    <row r="56232" spans="62:62" x14ac:dyDescent="0.2">
      <c r="BJ56232" s="201"/>
    </row>
    <row r="56233" spans="62:62" x14ac:dyDescent="0.2">
      <c r="BJ56233" s="201"/>
    </row>
    <row r="56234" spans="62:62" x14ac:dyDescent="0.2">
      <c r="BJ56234" s="201"/>
    </row>
    <row r="56235" spans="62:62" x14ac:dyDescent="0.2">
      <c r="BJ56235" s="201"/>
    </row>
    <row r="56236" spans="62:62" x14ac:dyDescent="0.2">
      <c r="BJ56236" s="201"/>
    </row>
    <row r="56237" spans="62:62" x14ac:dyDescent="0.2">
      <c r="BJ56237" s="201"/>
    </row>
    <row r="56238" spans="62:62" x14ac:dyDescent="0.2">
      <c r="BJ56238" s="201"/>
    </row>
    <row r="56239" spans="62:62" x14ac:dyDescent="0.2">
      <c r="BJ56239" s="201"/>
    </row>
    <row r="56240" spans="62:62" x14ac:dyDescent="0.2">
      <c r="BJ56240" s="201"/>
    </row>
    <row r="56241" spans="62:62" x14ac:dyDescent="0.2">
      <c r="BJ56241" s="201"/>
    </row>
    <row r="56242" spans="62:62" x14ac:dyDescent="0.2">
      <c r="BJ56242" s="201"/>
    </row>
    <row r="56243" spans="62:62" x14ac:dyDescent="0.2">
      <c r="BJ56243" s="201"/>
    </row>
    <row r="56244" spans="62:62" x14ac:dyDescent="0.2">
      <c r="BJ56244" s="201"/>
    </row>
    <row r="56245" spans="62:62" x14ac:dyDescent="0.2">
      <c r="BJ56245" s="201"/>
    </row>
    <row r="56246" spans="62:62" x14ac:dyDescent="0.2">
      <c r="BJ56246" s="201"/>
    </row>
    <row r="56247" spans="62:62" x14ac:dyDescent="0.2">
      <c r="BJ56247" s="201"/>
    </row>
    <row r="56248" spans="62:62" x14ac:dyDescent="0.2">
      <c r="BJ56248" s="201"/>
    </row>
    <row r="56249" spans="62:62" x14ac:dyDescent="0.2">
      <c r="BJ56249" s="201"/>
    </row>
    <row r="56250" spans="62:62" x14ac:dyDescent="0.2">
      <c r="BJ56250" s="201"/>
    </row>
    <row r="56251" spans="62:62" x14ac:dyDescent="0.2">
      <c r="BJ56251" s="201"/>
    </row>
    <row r="56252" spans="62:62" x14ac:dyDescent="0.2">
      <c r="BJ56252" s="201"/>
    </row>
    <row r="56253" spans="62:62" x14ac:dyDescent="0.2">
      <c r="BJ56253" s="201"/>
    </row>
    <row r="56254" spans="62:62" x14ac:dyDescent="0.2">
      <c r="BJ56254" s="201"/>
    </row>
    <row r="56255" spans="62:62" x14ac:dyDescent="0.2">
      <c r="BJ56255" s="201"/>
    </row>
    <row r="56256" spans="62:62" x14ac:dyDescent="0.2">
      <c r="BJ56256" s="201"/>
    </row>
    <row r="56257" spans="62:62" x14ac:dyDescent="0.2">
      <c r="BJ56257" s="201"/>
    </row>
    <row r="56258" spans="62:62" x14ac:dyDescent="0.2">
      <c r="BJ56258" s="201"/>
    </row>
    <row r="56259" spans="62:62" x14ac:dyDescent="0.2">
      <c r="BJ56259" s="201"/>
    </row>
    <row r="56260" spans="62:62" x14ac:dyDescent="0.2">
      <c r="BJ56260" s="201"/>
    </row>
    <row r="56261" spans="62:62" x14ac:dyDescent="0.2">
      <c r="BJ56261" s="201"/>
    </row>
    <row r="56262" spans="62:62" x14ac:dyDescent="0.2">
      <c r="BJ56262" s="201"/>
    </row>
    <row r="56263" spans="62:62" x14ac:dyDescent="0.2">
      <c r="BJ56263" s="201"/>
    </row>
    <row r="56264" spans="62:62" x14ac:dyDescent="0.2">
      <c r="BJ56264" s="201"/>
    </row>
    <row r="56265" spans="62:62" x14ac:dyDescent="0.2">
      <c r="BJ56265" s="201"/>
    </row>
    <row r="56266" spans="62:62" x14ac:dyDescent="0.2">
      <c r="BJ56266" s="201"/>
    </row>
    <row r="56267" spans="62:62" x14ac:dyDescent="0.2">
      <c r="BJ56267" s="201"/>
    </row>
    <row r="56268" spans="62:62" x14ac:dyDescent="0.2">
      <c r="BJ56268" s="201"/>
    </row>
    <row r="56269" spans="62:62" x14ac:dyDescent="0.2">
      <c r="BJ56269" s="201"/>
    </row>
    <row r="56270" spans="62:62" x14ac:dyDescent="0.2">
      <c r="BJ56270" s="201"/>
    </row>
    <row r="56271" spans="62:62" x14ac:dyDescent="0.2">
      <c r="BJ56271" s="201"/>
    </row>
    <row r="56272" spans="62:62" x14ac:dyDescent="0.2">
      <c r="BJ56272" s="201"/>
    </row>
    <row r="56273" spans="62:62" x14ac:dyDescent="0.2">
      <c r="BJ56273" s="201"/>
    </row>
    <row r="56274" spans="62:62" x14ac:dyDescent="0.2">
      <c r="BJ56274" s="201"/>
    </row>
    <row r="56275" spans="62:62" x14ac:dyDescent="0.2">
      <c r="BJ56275" s="201"/>
    </row>
    <row r="56276" spans="62:62" x14ac:dyDescent="0.2">
      <c r="BJ56276" s="201"/>
    </row>
    <row r="56277" spans="62:62" x14ac:dyDescent="0.2">
      <c r="BJ56277" s="201"/>
    </row>
    <row r="56278" spans="62:62" x14ac:dyDescent="0.2">
      <c r="BJ56278" s="201"/>
    </row>
    <row r="56279" spans="62:62" x14ac:dyDescent="0.2">
      <c r="BJ56279" s="201"/>
    </row>
    <row r="56280" spans="62:62" x14ac:dyDescent="0.2">
      <c r="BJ56280" s="201"/>
    </row>
    <row r="56281" spans="62:62" x14ac:dyDescent="0.2">
      <c r="BJ56281" s="201"/>
    </row>
    <row r="56282" spans="62:62" x14ac:dyDescent="0.2">
      <c r="BJ56282" s="201"/>
    </row>
    <row r="56283" spans="62:62" x14ac:dyDescent="0.2">
      <c r="BJ56283" s="201"/>
    </row>
    <row r="56284" spans="62:62" x14ac:dyDescent="0.2">
      <c r="BJ56284" s="201"/>
    </row>
    <row r="56285" spans="62:62" x14ac:dyDescent="0.2">
      <c r="BJ56285" s="201"/>
    </row>
    <row r="56286" spans="62:62" x14ac:dyDescent="0.2">
      <c r="BJ56286" s="201"/>
    </row>
    <row r="56287" spans="62:62" x14ac:dyDescent="0.2">
      <c r="BJ56287" s="201"/>
    </row>
    <row r="56288" spans="62:62" x14ac:dyDescent="0.2">
      <c r="BJ56288" s="201"/>
    </row>
    <row r="56289" spans="62:62" x14ac:dyDescent="0.2">
      <c r="BJ56289" s="201"/>
    </row>
    <row r="56290" spans="62:62" x14ac:dyDescent="0.2">
      <c r="BJ56290" s="201"/>
    </row>
    <row r="56291" spans="62:62" x14ac:dyDescent="0.2">
      <c r="BJ56291" s="201"/>
    </row>
    <row r="56292" spans="62:62" x14ac:dyDescent="0.2">
      <c r="BJ56292" s="201"/>
    </row>
    <row r="56293" spans="62:62" x14ac:dyDescent="0.2">
      <c r="BJ56293" s="201"/>
    </row>
    <row r="56294" spans="62:62" x14ac:dyDescent="0.2">
      <c r="BJ56294" s="201"/>
    </row>
    <row r="56295" spans="62:62" x14ac:dyDescent="0.2">
      <c r="BJ56295" s="201"/>
    </row>
    <row r="56296" spans="62:62" x14ac:dyDescent="0.2">
      <c r="BJ56296" s="201"/>
    </row>
    <row r="56297" spans="62:62" x14ac:dyDescent="0.2">
      <c r="BJ56297" s="201"/>
    </row>
    <row r="56298" spans="62:62" x14ac:dyDescent="0.2">
      <c r="BJ56298" s="201"/>
    </row>
    <row r="56299" spans="62:62" x14ac:dyDescent="0.2">
      <c r="BJ56299" s="201"/>
    </row>
    <row r="56300" spans="62:62" x14ac:dyDescent="0.2">
      <c r="BJ56300" s="201"/>
    </row>
    <row r="56301" spans="62:62" x14ac:dyDescent="0.2">
      <c r="BJ56301" s="201"/>
    </row>
    <row r="56302" spans="62:62" x14ac:dyDescent="0.2">
      <c r="BJ56302" s="201"/>
    </row>
    <row r="56303" spans="62:62" x14ac:dyDescent="0.2">
      <c r="BJ56303" s="201"/>
    </row>
    <row r="56304" spans="62:62" x14ac:dyDescent="0.2">
      <c r="BJ56304" s="201"/>
    </row>
    <row r="56305" spans="62:62" x14ac:dyDescent="0.2">
      <c r="BJ56305" s="201"/>
    </row>
    <row r="56306" spans="62:62" x14ac:dyDescent="0.2">
      <c r="BJ56306" s="201"/>
    </row>
    <row r="56307" spans="62:62" x14ac:dyDescent="0.2">
      <c r="BJ56307" s="201"/>
    </row>
    <row r="56308" spans="62:62" x14ac:dyDescent="0.2">
      <c r="BJ56308" s="201"/>
    </row>
    <row r="56309" spans="62:62" x14ac:dyDescent="0.2">
      <c r="BJ56309" s="201"/>
    </row>
    <row r="56310" spans="62:62" x14ac:dyDescent="0.2">
      <c r="BJ56310" s="201"/>
    </row>
    <row r="56311" spans="62:62" x14ac:dyDescent="0.2">
      <c r="BJ56311" s="201"/>
    </row>
    <row r="56312" spans="62:62" x14ac:dyDescent="0.2">
      <c r="BJ56312" s="201"/>
    </row>
    <row r="56313" spans="62:62" x14ac:dyDescent="0.2">
      <c r="BJ56313" s="201"/>
    </row>
    <row r="56314" spans="62:62" x14ac:dyDescent="0.2">
      <c r="BJ56314" s="201"/>
    </row>
    <row r="56315" spans="62:62" x14ac:dyDescent="0.2">
      <c r="BJ56315" s="201"/>
    </row>
    <row r="56316" spans="62:62" x14ac:dyDescent="0.2">
      <c r="BJ56316" s="201"/>
    </row>
    <row r="56317" spans="62:62" x14ac:dyDescent="0.2">
      <c r="BJ56317" s="201"/>
    </row>
    <row r="56318" spans="62:62" x14ac:dyDescent="0.2">
      <c r="BJ56318" s="201"/>
    </row>
    <row r="56319" spans="62:62" x14ac:dyDescent="0.2">
      <c r="BJ56319" s="201"/>
    </row>
    <row r="56320" spans="62:62" x14ac:dyDescent="0.2">
      <c r="BJ56320" s="201"/>
    </row>
    <row r="56321" spans="62:62" x14ac:dyDescent="0.2">
      <c r="BJ56321" s="201"/>
    </row>
    <row r="56322" spans="62:62" x14ac:dyDescent="0.2">
      <c r="BJ56322" s="201"/>
    </row>
    <row r="56323" spans="62:62" x14ac:dyDescent="0.2">
      <c r="BJ56323" s="201"/>
    </row>
    <row r="56324" spans="62:62" x14ac:dyDescent="0.2">
      <c r="BJ56324" s="201"/>
    </row>
    <row r="56325" spans="62:62" x14ac:dyDescent="0.2">
      <c r="BJ56325" s="201"/>
    </row>
    <row r="56326" spans="62:62" x14ac:dyDescent="0.2">
      <c r="BJ56326" s="201"/>
    </row>
    <row r="56327" spans="62:62" x14ac:dyDescent="0.2">
      <c r="BJ56327" s="201"/>
    </row>
    <row r="56328" spans="62:62" x14ac:dyDescent="0.2">
      <c r="BJ56328" s="201"/>
    </row>
    <row r="56329" spans="62:62" x14ac:dyDescent="0.2">
      <c r="BJ56329" s="201"/>
    </row>
    <row r="56330" spans="62:62" x14ac:dyDescent="0.2">
      <c r="BJ56330" s="201"/>
    </row>
    <row r="56331" spans="62:62" x14ac:dyDescent="0.2">
      <c r="BJ56331" s="201"/>
    </row>
    <row r="56332" spans="62:62" x14ac:dyDescent="0.2">
      <c r="BJ56332" s="201"/>
    </row>
    <row r="56333" spans="62:62" x14ac:dyDescent="0.2">
      <c r="BJ56333" s="201"/>
    </row>
    <row r="56334" spans="62:62" x14ac:dyDescent="0.2">
      <c r="BJ56334" s="201"/>
    </row>
    <row r="56335" spans="62:62" x14ac:dyDescent="0.2">
      <c r="BJ56335" s="201"/>
    </row>
    <row r="56336" spans="62:62" x14ac:dyDescent="0.2">
      <c r="BJ56336" s="201"/>
    </row>
    <row r="56337" spans="62:62" x14ac:dyDescent="0.2">
      <c r="BJ56337" s="201"/>
    </row>
    <row r="56338" spans="62:62" x14ac:dyDescent="0.2">
      <c r="BJ56338" s="201"/>
    </row>
    <row r="56339" spans="62:62" x14ac:dyDescent="0.2">
      <c r="BJ56339" s="201"/>
    </row>
    <row r="56340" spans="62:62" x14ac:dyDescent="0.2">
      <c r="BJ56340" s="201"/>
    </row>
    <row r="56341" spans="62:62" x14ac:dyDescent="0.2">
      <c r="BJ56341" s="201"/>
    </row>
    <row r="56342" spans="62:62" x14ac:dyDescent="0.2">
      <c r="BJ56342" s="201"/>
    </row>
    <row r="56343" spans="62:62" x14ac:dyDescent="0.2">
      <c r="BJ56343" s="201"/>
    </row>
    <row r="56344" spans="62:62" x14ac:dyDescent="0.2">
      <c r="BJ56344" s="201"/>
    </row>
    <row r="56345" spans="62:62" x14ac:dyDescent="0.2">
      <c r="BJ56345" s="201"/>
    </row>
    <row r="56346" spans="62:62" x14ac:dyDescent="0.2">
      <c r="BJ56346" s="201"/>
    </row>
    <row r="56347" spans="62:62" x14ac:dyDescent="0.2">
      <c r="BJ56347" s="201"/>
    </row>
    <row r="56348" spans="62:62" x14ac:dyDescent="0.2">
      <c r="BJ56348" s="201"/>
    </row>
    <row r="56349" spans="62:62" x14ac:dyDescent="0.2">
      <c r="BJ56349" s="201"/>
    </row>
    <row r="56350" spans="62:62" x14ac:dyDescent="0.2">
      <c r="BJ56350" s="201"/>
    </row>
    <row r="56351" spans="62:62" x14ac:dyDescent="0.2">
      <c r="BJ56351" s="201"/>
    </row>
    <row r="56352" spans="62:62" x14ac:dyDescent="0.2">
      <c r="BJ56352" s="201"/>
    </row>
    <row r="56353" spans="62:62" x14ac:dyDescent="0.2">
      <c r="BJ56353" s="201"/>
    </row>
    <row r="56354" spans="62:62" x14ac:dyDescent="0.2">
      <c r="BJ56354" s="201"/>
    </row>
    <row r="56355" spans="62:62" x14ac:dyDescent="0.2">
      <c r="BJ56355" s="201"/>
    </row>
    <row r="56356" spans="62:62" x14ac:dyDescent="0.2">
      <c r="BJ56356" s="201"/>
    </row>
    <row r="56357" spans="62:62" x14ac:dyDescent="0.2">
      <c r="BJ56357" s="201"/>
    </row>
    <row r="56358" spans="62:62" x14ac:dyDescent="0.2">
      <c r="BJ56358" s="201"/>
    </row>
    <row r="56359" spans="62:62" x14ac:dyDescent="0.2">
      <c r="BJ56359" s="201"/>
    </row>
    <row r="56360" spans="62:62" x14ac:dyDescent="0.2">
      <c r="BJ56360" s="201"/>
    </row>
    <row r="56361" spans="62:62" x14ac:dyDescent="0.2">
      <c r="BJ56361" s="201"/>
    </row>
    <row r="56362" spans="62:62" x14ac:dyDescent="0.2">
      <c r="BJ56362" s="201"/>
    </row>
    <row r="56363" spans="62:62" x14ac:dyDescent="0.2">
      <c r="BJ56363" s="201"/>
    </row>
    <row r="56364" spans="62:62" x14ac:dyDescent="0.2">
      <c r="BJ56364" s="201"/>
    </row>
    <row r="56365" spans="62:62" x14ac:dyDescent="0.2">
      <c r="BJ56365" s="201"/>
    </row>
    <row r="56366" spans="62:62" x14ac:dyDescent="0.2">
      <c r="BJ56366" s="201"/>
    </row>
    <row r="56367" spans="62:62" x14ac:dyDescent="0.2">
      <c r="BJ56367" s="201"/>
    </row>
    <row r="56368" spans="62:62" x14ac:dyDescent="0.2">
      <c r="BJ56368" s="201"/>
    </row>
    <row r="56369" spans="62:62" x14ac:dyDescent="0.2">
      <c r="BJ56369" s="201"/>
    </row>
    <row r="56370" spans="62:62" x14ac:dyDescent="0.2">
      <c r="BJ56370" s="201"/>
    </row>
    <row r="56371" spans="62:62" x14ac:dyDescent="0.2">
      <c r="BJ56371" s="201"/>
    </row>
    <row r="56372" spans="62:62" x14ac:dyDescent="0.2">
      <c r="BJ56372" s="201"/>
    </row>
    <row r="56373" spans="62:62" x14ac:dyDescent="0.2">
      <c r="BJ56373" s="201"/>
    </row>
    <row r="56374" spans="62:62" x14ac:dyDescent="0.2">
      <c r="BJ56374" s="201"/>
    </row>
    <row r="56375" spans="62:62" x14ac:dyDescent="0.2">
      <c r="BJ56375" s="201"/>
    </row>
    <row r="56376" spans="62:62" x14ac:dyDescent="0.2">
      <c r="BJ56376" s="201"/>
    </row>
    <row r="56377" spans="62:62" x14ac:dyDescent="0.2">
      <c r="BJ56377" s="201"/>
    </row>
    <row r="56378" spans="62:62" x14ac:dyDescent="0.2">
      <c r="BJ56378" s="201"/>
    </row>
    <row r="56379" spans="62:62" x14ac:dyDescent="0.2">
      <c r="BJ56379" s="201"/>
    </row>
    <row r="56380" spans="62:62" x14ac:dyDescent="0.2">
      <c r="BJ56380" s="201"/>
    </row>
    <row r="56381" spans="62:62" x14ac:dyDescent="0.2">
      <c r="BJ56381" s="201"/>
    </row>
    <row r="56382" spans="62:62" x14ac:dyDescent="0.2">
      <c r="BJ56382" s="201"/>
    </row>
    <row r="56383" spans="62:62" x14ac:dyDescent="0.2">
      <c r="BJ56383" s="201"/>
    </row>
    <row r="56384" spans="62:62" x14ac:dyDescent="0.2">
      <c r="BJ56384" s="201"/>
    </row>
    <row r="56385" spans="62:62" x14ac:dyDescent="0.2">
      <c r="BJ56385" s="201"/>
    </row>
    <row r="56386" spans="62:62" x14ac:dyDescent="0.2">
      <c r="BJ56386" s="201"/>
    </row>
    <row r="56387" spans="62:62" x14ac:dyDescent="0.2">
      <c r="BJ56387" s="201"/>
    </row>
    <row r="56388" spans="62:62" x14ac:dyDescent="0.2">
      <c r="BJ56388" s="201"/>
    </row>
    <row r="56389" spans="62:62" x14ac:dyDescent="0.2">
      <c r="BJ56389" s="201"/>
    </row>
    <row r="56390" spans="62:62" x14ac:dyDescent="0.2">
      <c r="BJ56390" s="201"/>
    </row>
    <row r="56391" spans="62:62" x14ac:dyDescent="0.2">
      <c r="BJ56391" s="201"/>
    </row>
    <row r="56392" spans="62:62" x14ac:dyDescent="0.2">
      <c r="BJ56392" s="201"/>
    </row>
    <row r="56393" spans="62:62" x14ac:dyDescent="0.2">
      <c r="BJ56393" s="201"/>
    </row>
    <row r="56394" spans="62:62" x14ac:dyDescent="0.2">
      <c r="BJ56394" s="201"/>
    </row>
    <row r="56395" spans="62:62" x14ac:dyDescent="0.2">
      <c r="BJ56395" s="201"/>
    </row>
    <row r="56396" spans="62:62" x14ac:dyDescent="0.2">
      <c r="BJ56396" s="201"/>
    </row>
    <row r="56397" spans="62:62" x14ac:dyDescent="0.2">
      <c r="BJ56397" s="201"/>
    </row>
    <row r="56398" spans="62:62" x14ac:dyDescent="0.2">
      <c r="BJ56398" s="201"/>
    </row>
    <row r="56399" spans="62:62" x14ac:dyDescent="0.2">
      <c r="BJ56399" s="201"/>
    </row>
    <row r="56400" spans="62:62" x14ac:dyDescent="0.2">
      <c r="BJ56400" s="201"/>
    </row>
    <row r="56401" spans="62:62" x14ac:dyDescent="0.2">
      <c r="BJ56401" s="201"/>
    </row>
    <row r="56402" spans="62:62" x14ac:dyDescent="0.2">
      <c r="BJ56402" s="201"/>
    </row>
    <row r="56403" spans="62:62" x14ac:dyDescent="0.2">
      <c r="BJ56403" s="201"/>
    </row>
    <row r="56404" spans="62:62" x14ac:dyDescent="0.2">
      <c r="BJ56404" s="201"/>
    </row>
    <row r="56405" spans="62:62" x14ac:dyDescent="0.2">
      <c r="BJ56405" s="201"/>
    </row>
    <row r="56406" spans="62:62" x14ac:dyDescent="0.2">
      <c r="BJ56406" s="201"/>
    </row>
    <row r="56407" spans="62:62" x14ac:dyDescent="0.2">
      <c r="BJ56407" s="201"/>
    </row>
    <row r="56408" spans="62:62" x14ac:dyDescent="0.2">
      <c r="BJ56408" s="201"/>
    </row>
    <row r="56409" spans="62:62" x14ac:dyDescent="0.2">
      <c r="BJ56409" s="201"/>
    </row>
    <row r="56410" spans="62:62" x14ac:dyDescent="0.2">
      <c r="BJ56410" s="201"/>
    </row>
    <row r="56411" spans="62:62" x14ac:dyDescent="0.2">
      <c r="BJ56411" s="201"/>
    </row>
    <row r="56412" spans="62:62" x14ac:dyDescent="0.2">
      <c r="BJ56412" s="201"/>
    </row>
    <row r="56413" spans="62:62" x14ac:dyDescent="0.2">
      <c r="BJ56413" s="201"/>
    </row>
    <row r="56414" spans="62:62" x14ac:dyDescent="0.2">
      <c r="BJ56414" s="201"/>
    </row>
    <row r="56415" spans="62:62" x14ac:dyDescent="0.2">
      <c r="BJ56415" s="201"/>
    </row>
    <row r="56416" spans="62:62" x14ac:dyDescent="0.2">
      <c r="BJ56416" s="201"/>
    </row>
    <row r="56417" spans="62:62" x14ac:dyDescent="0.2">
      <c r="BJ56417" s="201"/>
    </row>
    <row r="56418" spans="62:62" x14ac:dyDescent="0.2">
      <c r="BJ56418" s="201"/>
    </row>
    <row r="56419" spans="62:62" x14ac:dyDescent="0.2">
      <c r="BJ56419" s="201"/>
    </row>
    <row r="56420" spans="62:62" x14ac:dyDescent="0.2">
      <c r="BJ56420" s="201"/>
    </row>
    <row r="56421" spans="62:62" x14ac:dyDescent="0.2">
      <c r="BJ56421" s="201"/>
    </row>
    <row r="56422" spans="62:62" x14ac:dyDescent="0.2">
      <c r="BJ56422" s="201"/>
    </row>
    <row r="56423" spans="62:62" x14ac:dyDescent="0.2">
      <c r="BJ56423" s="201"/>
    </row>
    <row r="56424" spans="62:62" x14ac:dyDescent="0.2">
      <c r="BJ56424" s="201"/>
    </row>
    <row r="56425" spans="62:62" x14ac:dyDescent="0.2">
      <c r="BJ56425" s="201"/>
    </row>
    <row r="56426" spans="62:62" x14ac:dyDescent="0.2">
      <c r="BJ56426" s="201"/>
    </row>
    <row r="56427" spans="62:62" x14ac:dyDescent="0.2">
      <c r="BJ56427" s="201"/>
    </row>
    <row r="56428" spans="62:62" x14ac:dyDescent="0.2">
      <c r="BJ56428" s="201"/>
    </row>
    <row r="56429" spans="62:62" x14ac:dyDescent="0.2">
      <c r="BJ56429" s="201"/>
    </row>
    <row r="56430" spans="62:62" x14ac:dyDescent="0.2">
      <c r="BJ56430" s="201"/>
    </row>
    <row r="56431" spans="62:62" x14ac:dyDescent="0.2">
      <c r="BJ56431" s="201"/>
    </row>
    <row r="56432" spans="62:62" x14ac:dyDescent="0.2">
      <c r="BJ56432" s="201"/>
    </row>
    <row r="56433" spans="62:62" x14ac:dyDescent="0.2">
      <c r="BJ56433" s="201"/>
    </row>
    <row r="56434" spans="62:62" x14ac:dyDescent="0.2">
      <c r="BJ56434" s="201"/>
    </row>
    <row r="56435" spans="62:62" x14ac:dyDescent="0.2">
      <c r="BJ56435" s="201"/>
    </row>
    <row r="56436" spans="62:62" x14ac:dyDescent="0.2">
      <c r="BJ56436" s="201"/>
    </row>
    <row r="56437" spans="62:62" x14ac:dyDescent="0.2">
      <c r="BJ56437" s="201"/>
    </row>
    <row r="56438" spans="62:62" x14ac:dyDescent="0.2">
      <c r="BJ56438" s="201"/>
    </row>
    <row r="56439" spans="62:62" x14ac:dyDescent="0.2">
      <c r="BJ56439" s="201"/>
    </row>
    <row r="56440" spans="62:62" x14ac:dyDescent="0.2">
      <c r="BJ56440" s="201"/>
    </row>
    <row r="56441" spans="62:62" x14ac:dyDescent="0.2">
      <c r="BJ56441" s="201"/>
    </row>
    <row r="56442" spans="62:62" x14ac:dyDescent="0.2">
      <c r="BJ56442" s="201"/>
    </row>
    <row r="56443" spans="62:62" x14ac:dyDescent="0.2">
      <c r="BJ56443" s="201"/>
    </row>
    <row r="56444" spans="62:62" x14ac:dyDescent="0.2">
      <c r="BJ56444" s="201"/>
    </row>
    <row r="56445" spans="62:62" x14ac:dyDescent="0.2">
      <c r="BJ56445" s="201"/>
    </row>
    <row r="56446" spans="62:62" x14ac:dyDescent="0.2">
      <c r="BJ56446" s="201"/>
    </row>
    <row r="56447" spans="62:62" x14ac:dyDescent="0.2">
      <c r="BJ56447" s="201"/>
    </row>
    <row r="56448" spans="62:62" x14ac:dyDescent="0.2">
      <c r="BJ56448" s="201"/>
    </row>
    <row r="56449" spans="62:62" x14ac:dyDescent="0.2">
      <c r="BJ56449" s="201"/>
    </row>
    <row r="56450" spans="62:62" x14ac:dyDescent="0.2">
      <c r="BJ56450" s="201"/>
    </row>
    <row r="56451" spans="62:62" x14ac:dyDescent="0.2">
      <c r="BJ56451" s="201"/>
    </row>
    <row r="56452" spans="62:62" x14ac:dyDescent="0.2">
      <c r="BJ56452" s="201"/>
    </row>
    <row r="56453" spans="62:62" x14ac:dyDescent="0.2">
      <c r="BJ56453" s="201"/>
    </row>
    <row r="56454" spans="62:62" x14ac:dyDescent="0.2">
      <c r="BJ56454" s="201"/>
    </row>
    <row r="56455" spans="62:62" x14ac:dyDescent="0.2">
      <c r="BJ56455" s="201"/>
    </row>
    <row r="56456" spans="62:62" x14ac:dyDescent="0.2">
      <c r="BJ56456" s="201"/>
    </row>
    <row r="56457" spans="62:62" x14ac:dyDescent="0.2">
      <c r="BJ56457" s="201"/>
    </row>
    <row r="56458" spans="62:62" x14ac:dyDescent="0.2">
      <c r="BJ56458" s="201"/>
    </row>
    <row r="56459" spans="62:62" x14ac:dyDescent="0.2">
      <c r="BJ56459" s="201"/>
    </row>
    <row r="56460" spans="62:62" x14ac:dyDescent="0.2">
      <c r="BJ56460" s="201"/>
    </row>
    <row r="56461" spans="62:62" x14ac:dyDescent="0.2">
      <c r="BJ56461" s="201"/>
    </row>
    <row r="56462" spans="62:62" x14ac:dyDescent="0.2">
      <c r="BJ56462" s="201"/>
    </row>
    <row r="56463" spans="62:62" x14ac:dyDescent="0.2">
      <c r="BJ56463" s="201"/>
    </row>
    <row r="56464" spans="62:62" x14ac:dyDescent="0.2">
      <c r="BJ56464" s="201"/>
    </row>
    <row r="56465" spans="62:62" x14ac:dyDescent="0.2">
      <c r="BJ56465" s="201"/>
    </row>
    <row r="56466" spans="62:62" x14ac:dyDescent="0.2">
      <c r="BJ56466" s="201"/>
    </row>
    <row r="56467" spans="62:62" x14ac:dyDescent="0.2">
      <c r="BJ56467" s="201"/>
    </row>
    <row r="56468" spans="62:62" x14ac:dyDescent="0.2">
      <c r="BJ56468" s="201"/>
    </row>
    <row r="56469" spans="62:62" x14ac:dyDescent="0.2">
      <c r="BJ56469" s="201"/>
    </row>
    <row r="56470" spans="62:62" x14ac:dyDescent="0.2">
      <c r="BJ56470" s="201"/>
    </row>
    <row r="56471" spans="62:62" x14ac:dyDescent="0.2">
      <c r="BJ56471" s="201"/>
    </row>
    <row r="56472" spans="62:62" x14ac:dyDescent="0.2">
      <c r="BJ56472" s="201"/>
    </row>
    <row r="56473" spans="62:62" x14ac:dyDescent="0.2">
      <c r="BJ56473" s="201"/>
    </row>
    <row r="56474" spans="62:62" x14ac:dyDescent="0.2">
      <c r="BJ56474" s="201"/>
    </row>
    <row r="56475" spans="62:62" x14ac:dyDescent="0.2">
      <c r="BJ56475" s="201"/>
    </row>
    <row r="56476" spans="62:62" x14ac:dyDescent="0.2">
      <c r="BJ56476" s="201"/>
    </row>
    <row r="56477" spans="62:62" x14ac:dyDescent="0.2">
      <c r="BJ56477" s="201"/>
    </row>
    <row r="56478" spans="62:62" x14ac:dyDescent="0.2">
      <c r="BJ56478" s="201"/>
    </row>
    <row r="56479" spans="62:62" x14ac:dyDescent="0.2">
      <c r="BJ56479" s="201"/>
    </row>
    <row r="56480" spans="62:62" x14ac:dyDescent="0.2">
      <c r="BJ56480" s="201"/>
    </row>
    <row r="56481" spans="62:62" x14ac:dyDescent="0.2">
      <c r="BJ56481" s="201"/>
    </row>
    <row r="56482" spans="62:62" x14ac:dyDescent="0.2">
      <c r="BJ56482" s="201"/>
    </row>
    <row r="56483" spans="62:62" x14ac:dyDescent="0.2">
      <c r="BJ56483" s="201"/>
    </row>
    <row r="56484" spans="62:62" x14ac:dyDescent="0.2">
      <c r="BJ56484" s="201"/>
    </row>
    <row r="56485" spans="62:62" x14ac:dyDescent="0.2">
      <c r="BJ56485" s="201"/>
    </row>
    <row r="56486" spans="62:62" x14ac:dyDescent="0.2">
      <c r="BJ56486" s="201"/>
    </row>
    <row r="56487" spans="62:62" x14ac:dyDescent="0.2">
      <c r="BJ56487" s="201"/>
    </row>
    <row r="56488" spans="62:62" x14ac:dyDescent="0.2">
      <c r="BJ56488" s="201"/>
    </row>
    <row r="56489" spans="62:62" x14ac:dyDescent="0.2">
      <c r="BJ56489" s="201"/>
    </row>
    <row r="56490" spans="62:62" x14ac:dyDescent="0.2">
      <c r="BJ56490" s="201"/>
    </row>
    <row r="56491" spans="62:62" x14ac:dyDescent="0.2">
      <c r="BJ56491" s="201"/>
    </row>
    <row r="56492" spans="62:62" x14ac:dyDescent="0.2">
      <c r="BJ56492" s="201"/>
    </row>
    <row r="56493" spans="62:62" x14ac:dyDescent="0.2">
      <c r="BJ56493" s="201"/>
    </row>
    <row r="56494" spans="62:62" x14ac:dyDescent="0.2">
      <c r="BJ56494" s="201"/>
    </row>
    <row r="56495" spans="62:62" x14ac:dyDescent="0.2">
      <c r="BJ56495" s="201"/>
    </row>
    <row r="56496" spans="62:62" x14ac:dyDescent="0.2">
      <c r="BJ56496" s="201"/>
    </row>
    <row r="56497" spans="62:62" x14ac:dyDescent="0.2">
      <c r="BJ56497" s="201"/>
    </row>
    <row r="56498" spans="62:62" x14ac:dyDescent="0.2">
      <c r="BJ56498" s="201"/>
    </row>
    <row r="56499" spans="62:62" x14ac:dyDescent="0.2">
      <c r="BJ56499" s="201"/>
    </row>
    <row r="56500" spans="62:62" x14ac:dyDescent="0.2">
      <c r="BJ56500" s="201"/>
    </row>
    <row r="56501" spans="62:62" x14ac:dyDescent="0.2">
      <c r="BJ56501" s="201"/>
    </row>
    <row r="56502" spans="62:62" x14ac:dyDescent="0.2">
      <c r="BJ56502" s="201"/>
    </row>
    <row r="56503" spans="62:62" x14ac:dyDescent="0.2">
      <c r="BJ56503" s="201"/>
    </row>
    <row r="56504" spans="62:62" x14ac:dyDescent="0.2">
      <c r="BJ56504" s="201"/>
    </row>
    <row r="56505" spans="62:62" x14ac:dyDescent="0.2">
      <c r="BJ56505" s="201"/>
    </row>
    <row r="56506" spans="62:62" x14ac:dyDescent="0.2">
      <c r="BJ56506" s="201"/>
    </row>
    <row r="56507" spans="62:62" x14ac:dyDescent="0.2">
      <c r="BJ56507" s="201"/>
    </row>
    <row r="56508" spans="62:62" x14ac:dyDescent="0.2">
      <c r="BJ56508" s="201"/>
    </row>
    <row r="56509" spans="62:62" x14ac:dyDescent="0.2">
      <c r="BJ56509" s="201"/>
    </row>
    <row r="56510" spans="62:62" x14ac:dyDescent="0.2">
      <c r="BJ56510" s="201"/>
    </row>
    <row r="56511" spans="62:62" x14ac:dyDescent="0.2">
      <c r="BJ56511" s="201"/>
    </row>
    <row r="56512" spans="62:62" x14ac:dyDescent="0.2">
      <c r="BJ56512" s="201"/>
    </row>
    <row r="56513" spans="62:62" x14ac:dyDescent="0.2">
      <c r="BJ56513" s="201"/>
    </row>
    <row r="56514" spans="62:62" x14ac:dyDescent="0.2">
      <c r="BJ56514" s="201"/>
    </row>
    <row r="56515" spans="62:62" x14ac:dyDescent="0.2">
      <c r="BJ56515" s="201"/>
    </row>
    <row r="56516" spans="62:62" x14ac:dyDescent="0.2">
      <c r="BJ56516" s="201"/>
    </row>
    <row r="56517" spans="62:62" x14ac:dyDescent="0.2">
      <c r="BJ56517" s="201"/>
    </row>
    <row r="56518" spans="62:62" x14ac:dyDescent="0.2">
      <c r="BJ56518" s="201"/>
    </row>
    <row r="56519" spans="62:62" x14ac:dyDescent="0.2">
      <c r="BJ56519" s="201"/>
    </row>
    <row r="56520" spans="62:62" x14ac:dyDescent="0.2">
      <c r="BJ56520" s="201"/>
    </row>
    <row r="56521" spans="62:62" x14ac:dyDescent="0.2">
      <c r="BJ56521" s="201"/>
    </row>
    <row r="56522" spans="62:62" x14ac:dyDescent="0.2">
      <c r="BJ56522" s="201"/>
    </row>
    <row r="56523" spans="62:62" x14ac:dyDescent="0.2">
      <c r="BJ56523" s="201"/>
    </row>
    <row r="56524" spans="62:62" x14ac:dyDescent="0.2">
      <c r="BJ56524" s="201"/>
    </row>
    <row r="56525" spans="62:62" x14ac:dyDescent="0.2">
      <c r="BJ56525" s="201"/>
    </row>
    <row r="56526" spans="62:62" x14ac:dyDescent="0.2">
      <c r="BJ56526" s="201"/>
    </row>
    <row r="56527" spans="62:62" x14ac:dyDescent="0.2">
      <c r="BJ56527" s="201"/>
    </row>
    <row r="56528" spans="62:62" x14ac:dyDescent="0.2">
      <c r="BJ56528" s="201"/>
    </row>
    <row r="56529" spans="62:62" x14ac:dyDescent="0.2">
      <c r="BJ56529" s="201"/>
    </row>
    <row r="56530" spans="62:62" x14ac:dyDescent="0.2">
      <c r="BJ56530" s="201"/>
    </row>
    <row r="56531" spans="62:62" x14ac:dyDescent="0.2">
      <c r="BJ56531" s="201"/>
    </row>
    <row r="56532" spans="62:62" x14ac:dyDescent="0.2">
      <c r="BJ56532" s="201"/>
    </row>
    <row r="56533" spans="62:62" x14ac:dyDescent="0.2">
      <c r="BJ56533" s="201"/>
    </row>
    <row r="56534" spans="62:62" x14ac:dyDescent="0.2">
      <c r="BJ56534" s="201"/>
    </row>
    <row r="56535" spans="62:62" x14ac:dyDescent="0.2">
      <c r="BJ56535" s="201"/>
    </row>
    <row r="56536" spans="62:62" x14ac:dyDescent="0.2">
      <c r="BJ56536" s="201"/>
    </row>
    <row r="56537" spans="62:62" x14ac:dyDescent="0.2">
      <c r="BJ56537" s="201"/>
    </row>
    <row r="56538" spans="62:62" x14ac:dyDescent="0.2">
      <c r="BJ56538" s="201"/>
    </row>
    <row r="56539" spans="62:62" x14ac:dyDescent="0.2">
      <c r="BJ56539" s="201"/>
    </row>
    <row r="56540" spans="62:62" x14ac:dyDescent="0.2">
      <c r="BJ56540" s="201"/>
    </row>
    <row r="56541" spans="62:62" x14ac:dyDescent="0.2">
      <c r="BJ56541" s="201"/>
    </row>
    <row r="56542" spans="62:62" x14ac:dyDescent="0.2">
      <c r="BJ56542" s="201"/>
    </row>
    <row r="56543" spans="62:62" x14ac:dyDescent="0.2">
      <c r="BJ56543" s="201"/>
    </row>
    <row r="56544" spans="62:62" x14ac:dyDescent="0.2">
      <c r="BJ56544" s="201"/>
    </row>
    <row r="56545" spans="62:62" x14ac:dyDescent="0.2">
      <c r="BJ56545" s="201"/>
    </row>
    <row r="56546" spans="62:62" x14ac:dyDescent="0.2">
      <c r="BJ56546" s="201"/>
    </row>
    <row r="56547" spans="62:62" x14ac:dyDescent="0.2">
      <c r="BJ56547" s="201"/>
    </row>
    <row r="56548" spans="62:62" x14ac:dyDescent="0.2">
      <c r="BJ56548" s="201"/>
    </row>
    <row r="56549" spans="62:62" x14ac:dyDescent="0.2">
      <c r="BJ56549" s="201"/>
    </row>
    <row r="56550" spans="62:62" x14ac:dyDescent="0.2">
      <c r="BJ56550" s="201"/>
    </row>
    <row r="56551" spans="62:62" x14ac:dyDescent="0.2">
      <c r="BJ56551" s="201"/>
    </row>
    <row r="56552" spans="62:62" x14ac:dyDescent="0.2">
      <c r="BJ56552" s="201"/>
    </row>
    <row r="56553" spans="62:62" x14ac:dyDescent="0.2">
      <c r="BJ56553" s="201"/>
    </row>
    <row r="56554" spans="62:62" x14ac:dyDescent="0.2">
      <c r="BJ56554" s="201"/>
    </row>
    <row r="56555" spans="62:62" x14ac:dyDescent="0.2">
      <c r="BJ56555" s="201"/>
    </row>
    <row r="56556" spans="62:62" x14ac:dyDescent="0.2">
      <c r="BJ56556" s="201"/>
    </row>
    <row r="56557" spans="62:62" x14ac:dyDescent="0.2">
      <c r="BJ56557" s="201"/>
    </row>
    <row r="56558" spans="62:62" x14ac:dyDescent="0.2">
      <c r="BJ56558" s="201"/>
    </row>
    <row r="56559" spans="62:62" x14ac:dyDescent="0.2">
      <c r="BJ56559" s="201"/>
    </row>
    <row r="56560" spans="62:62" x14ac:dyDescent="0.2">
      <c r="BJ56560" s="201"/>
    </row>
    <row r="56561" spans="62:62" x14ac:dyDescent="0.2">
      <c r="BJ56561" s="201"/>
    </row>
    <row r="56562" spans="62:62" x14ac:dyDescent="0.2">
      <c r="BJ56562" s="201"/>
    </row>
    <row r="56563" spans="62:62" x14ac:dyDescent="0.2">
      <c r="BJ56563" s="201"/>
    </row>
    <row r="56564" spans="62:62" x14ac:dyDescent="0.2">
      <c r="BJ56564" s="201"/>
    </row>
    <row r="56565" spans="62:62" x14ac:dyDescent="0.2">
      <c r="BJ56565" s="201"/>
    </row>
    <row r="56566" spans="62:62" x14ac:dyDescent="0.2">
      <c r="BJ56566" s="201"/>
    </row>
    <row r="56567" spans="62:62" x14ac:dyDescent="0.2">
      <c r="BJ56567" s="201"/>
    </row>
    <row r="56568" spans="62:62" x14ac:dyDescent="0.2">
      <c r="BJ56568" s="201"/>
    </row>
    <row r="56569" spans="62:62" x14ac:dyDescent="0.2">
      <c r="BJ56569" s="201"/>
    </row>
    <row r="56570" spans="62:62" x14ac:dyDescent="0.2">
      <c r="BJ56570" s="201"/>
    </row>
    <row r="56571" spans="62:62" x14ac:dyDescent="0.2">
      <c r="BJ56571" s="201"/>
    </row>
    <row r="56572" spans="62:62" x14ac:dyDescent="0.2">
      <c r="BJ56572" s="201"/>
    </row>
    <row r="56573" spans="62:62" x14ac:dyDescent="0.2">
      <c r="BJ56573" s="201"/>
    </row>
    <row r="56574" spans="62:62" x14ac:dyDescent="0.2">
      <c r="BJ56574" s="201"/>
    </row>
    <row r="56575" spans="62:62" x14ac:dyDescent="0.2">
      <c r="BJ56575" s="201"/>
    </row>
    <row r="56576" spans="62:62" x14ac:dyDescent="0.2">
      <c r="BJ56576" s="201"/>
    </row>
    <row r="56577" spans="62:62" x14ac:dyDescent="0.2">
      <c r="BJ56577" s="201"/>
    </row>
    <row r="56578" spans="62:62" x14ac:dyDescent="0.2">
      <c r="BJ56578" s="201"/>
    </row>
    <row r="56579" spans="62:62" x14ac:dyDescent="0.2">
      <c r="BJ56579" s="201"/>
    </row>
    <row r="56580" spans="62:62" x14ac:dyDescent="0.2">
      <c r="BJ56580" s="201"/>
    </row>
    <row r="56581" spans="62:62" x14ac:dyDescent="0.2">
      <c r="BJ56581" s="201"/>
    </row>
    <row r="56582" spans="62:62" x14ac:dyDescent="0.2">
      <c r="BJ56582" s="201"/>
    </row>
    <row r="56583" spans="62:62" x14ac:dyDescent="0.2">
      <c r="BJ56583" s="201"/>
    </row>
    <row r="56584" spans="62:62" x14ac:dyDescent="0.2">
      <c r="BJ56584" s="201"/>
    </row>
    <row r="56585" spans="62:62" x14ac:dyDescent="0.2">
      <c r="BJ56585" s="201"/>
    </row>
    <row r="56586" spans="62:62" x14ac:dyDescent="0.2">
      <c r="BJ56586" s="201"/>
    </row>
    <row r="56587" spans="62:62" x14ac:dyDescent="0.2">
      <c r="BJ56587" s="201"/>
    </row>
    <row r="56588" spans="62:62" x14ac:dyDescent="0.2">
      <c r="BJ56588" s="201"/>
    </row>
    <row r="56589" spans="62:62" x14ac:dyDescent="0.2">
      <c r="BJ56589" s="201"/>
    </row>
    <row r="56590" spans="62:62" x14ac:dyDescent="0.2">
      <c r="BJ56590" s="201"/>
    </row>
    <row r="56591" spans="62:62" x14ac:dyDescent="0.2">
      <c r="BJ56591" s="201"/>
    </row>
    <row r="56592" spans="62:62" x14ac:dyDescent="0.2">
      <c r="BJ56592" s="201"/>
    </row>
    <row r="56593" spans="62:62" x14ac:dyDescent="0.2">
      <c r="BJ56593" s="201"/>
    </row>
    <row r="56594" spans="62:62" x14ac:dyDescent="0.2">
      <c r="BJ56594" s="201"/>
    </row>
    <row r="56595" spans="62:62" x14ac:dyDescent="0.2">
      <c r="BJ56595" s="201"/>
    </row>
    <row r="56596" spans="62:62" x14ac:dyDescent="0.2">
      <c r="BJ56596" s="201"/>
    </row>
    <row r="56597" spans="62:62" x14ac:dyDescent="0.2">
      <c r="BJ56597" s="201"/>
    </row>
    <row r="56598" spans="62:62" x14ac:dyDescent="0.2">
      <c r="BJ56598" s="201"/>
    </row>
    <row r="56599" spans="62:62" x14ac:dyDescent="0.2">
      <c r="BJ56599" s="201"/>
    </row>
    <row r="56600" spans="62:62" x14ac:dyDescent="0.2">
      <c r="BJ56600" s="201"/>
    </row>
    <row r="56601" spans="62:62" x14ac:dyDescent="0.2">
      <c r="BJ56601" s="201"/>
    </row>
    <row r="56602" spans="62:62" x14ac:dyDescent="0.2">
      <c r="BJ56602" s="201"/>
    </row>
    <row r="56603" spans="62:62" x14ac:dyDescent="0.2">
      <c r="BJ56603" s="201"/>
    </row>
    <row r="56604" spans="62:62" x14ac:dyDescent="0.2">
      <c r="BJ56604" s="201"/>
    </row>
    <row r="56605" spans="62:62" x14ac:dyDescent="0.2">
      <c r="BJ56605" s="201"/>
    </row>
    <row r="56606" spans="62:62" x14ac:dyDescent="0.2">
      <c r="BJ56606" s="201"/>
    </row>
    <row r="56607" spans="62:62" x14ac:dyDescent="0.2">
      <c r="BJ56607" s="201"/>
    </row>
    <row r="56608" spans="62:62" x14ac:dyDescent="0.2">
      <c r="BJ56608" s="201"/>
    </row>
    <row r="56609" spans="62:62" x14ac:dyDescent="0.2">
      <c r="BJ56609" s="201"/>
    </row>
    <row r="56610" spans="62:62" x14ac:dyDescent="0.2">
      <c r="BJ56610" s="201"/>
    </row>
    <row r="56611" spans="62:62" x14ac:dyDescent="0.2">
      <c r="BJ56611" s="201"/>
    </row>
    <row r="56612" spans="62:62" x14ac:dyDescent="0.2">
      <c r="BJ56612" s="201"/>
    </row>
    <row r="56613" spans="62:62" x14ac:dyDescent="0.2">
      <c r="BJ56613" s="201"/>
    </row>
    <row r="56614" spans="62:62" x14ac:dyDescent="0.2">
      <c r="BJ56614" s="201"/>
    </row>
    <row r="56615" spans="62:62" x14ac:dyDescent="0.2">
      <c r="BJ56615" s="201"/>
    </row>
    <row r="56616" spans="62:62" x14ac:dyDescent="0.2">
      <c r="BJ56616" s="201"/>
    </row>
    <row r="56617" spans="62:62" x14ac:dyDescent="0.2">
      <c r="BJ56617" s="201"/>
    </row>
    <row r="56618" spans="62:62" x14ac:dyDescent="0.2">
      <c r="BJ56618" s="201"/>
    </row>
    <row r="56619" spans="62:62" x14ac:dyDescent="0.2">
      <c r="BJ56619" s="201"/>
    </row>
    <row r="56620" spans="62:62" x14ac:dyDescent="0.2">
      <c r="BJ56620" s="201"/>
    </row>
    <row r="56621" spans="62:62" x14ac:dyDescent="0.2">
      <c r="BJ56621" s="201"/>
    </row>
    <row r="56622" spans="62:62" x14ac:dyDescent="0.2">
      <c r="BJ56622" s="201"/>
    </row>
    <row r="56623" spans="62:62" x14ac:dyDescent="0.2">
      <c r="BJ56623" s="201"/>
    </row>
    <row r="56624" spans="62:62" x14ac:dyDescent="0.2">
      <c r="BJ56624" s="201"/>
    </row>
    <row r="56625" spans="62:62" x14ac:dyDescent="0.2">
      <c r="BJ56625" s="201"/>
    </row>
    <row r="56626" spans="62:62" x14ac:dyDescent="0.2">
      <c r="BJ56626" s="201"/>
    </row>
    <row r="56627" spans="62:62" x14ac:dyDescent="0.2">
      <c r="BJ56627" s="201"/>
    </row>
    <row r="56628" spans="62:62" x14ac:dyDescent="0.2">
      <c r="BJ56628" s="201"/>
    </row>
    <row r="56629" spans="62:62" x14ac:dyDescent="0.2">
      <c r="BJ56629" s="201"/>
    </row>
    <row r="56630" spans="62:62" x14ac:dyDescent="0.2">
      <c r="BJ56630" s="201"/>
    </row>
    <row r="56631" spans="62:62" x14ac:dyDescent="0.2">
      <c r="BJ56631" s="201"/>
    </row>
    <row r="56632" spans="62:62" x14ac:dyDescent="0.2">
      <c r="BJ56632" s="201"/>
    </row>
    <row r="56633" spans="62:62" x14ac:dyDescent="0.2">
      <c r="BJ56633" s="201"/>
    </row>
    <row r="56634" spans="62:62" x14ac:dyDescent="0.2">
      <c r="BJ56634" s="201"/>
    </row>
    <row r="56635" spans="62:62" x14ac:dyDescent="0.2">
      <c r="BJ56635" s="201"/>
    </row>
    <row r="56636" spans="62:62" x14ac:dyDescent="0.2">
      <c r="BJ56636" s="201"/>
    </row>
    <row r="56637" spans="62:62" x14ac:dyDescent="0.2">
      <c r="BJ56637" s="201"/>
    </row>
    <row r="56638" spans="62:62" x14ac:dyDescent="0.2">
      <c r="BJ56638" s="201"/>
    </row>
    <row r="56639" spans="62:62" x14ac:dyDescent="0.2">
      <c r="BJ56639" s="201"/>
    </row>
    <row r="56640" spans="62:62" x14ac:dyDescent="0.2">
      <c r="BJ56640" s="201"/>
    </row>
    <row r="56641" spans="62:62" x14ac:dyDescent="0.2">
      <c r="BJ56641" s="201"/>
    </row>
    <row r="56642" spans="62:62" x14ac:dyDescent="0.2">
      <c r="BJ56642" s="201"/>
    </row>
    <row r="56643" spans="62:62" x14ac:dyDescent="0.2">
      <c r="BJ56643" s="201"/>
    </row>
    <row r="56644" spans="62:62" x14ac:dyDescent="0.2">
      <c r="BJ56644" s="201"/>
    </row>
    <row r="56645" spans="62:62" x14ac:dyDescent="0.2">
      <c r="BJ56645" s="201"/>
    </row>
    <row r="56646" spans="62:62" x14ac:dyDescent="0.2">
      <c r="BJ56646" s="201"/>
    </row>
    <row r="56647" spans="62:62" x14ac:dyDescent="0.2">
      <c r="BJ56647" s="201"/>
    </row>
    <row r="56648" spans="62:62" x14ac:dyDescent="0.2">
      <c r="BJ56648" s="201"/>
    </row>
    <row r="56649" spans="62:62" x14ac:dyDescent="0.2">
      <c r="BJ56649" s="201"/>
    </row>
    <row r="56650" spans="62:62" x14ac:dyDescent="0.2">
      <c r="BJ56650" s="201"/>
    </row>
    <row r="56651" spans="62:62" x14ac:dyDescent="0.2">
      <c r="BJ56651" s="201"/>
    </row>
    <row r="56652" spans="62:62" x14ac:dyDescent="0.2">
      <c r="BJ56652" s="201"/>
    </row>
    <row r="56653" spans="62:62" x14ac:dyDescent="0.2">
      <c r="BJ56653" s="201"/>
    </row>
    <row r="56654" spans="62:62" x14ac:dyDescent="0.2">
      <c r="BJ56654" s="201"/>
    </row>
    <row r="56655" spans="62:62" x14ac:dyDescent="0.2">
      <c r="BJ56655" s="201"/>
    </row>
    <row r="56656" spans="62:62" x14ac:dyDescent="0.2">
      <c r="BJ56656" s="201"/>
    </row>
    <row r="56657" spans="62:62" x14ac:dyDescent="0.2">
      <c r="BJ56657" s="201"/>
    </row>
    <row r="56658" spans="62:62" x14ac:dyDescent="0.2">
      <c r="BJ56658" s="201"/>
    </row>
    <row r="56659" spans="62:62" x14ac:dyDescent="0.2">
      <c r="BJ56659" s="201"/>
    </row>
    <row r="56660" spans="62:62" x14ac:dyDescent="0.2">
      <c r="BJ56660" s="201"/>
    </row>
    <row r="56661" spans="62:62" x14ac:dyDescent="0.2">
      <c r="BJ56661" s="201"/>
    </row>
    <row r="56662" spans="62:62" x14ac:dyDescent="0.2">
      <c r="BJ56662" s="201"/>
    </row>
    <row r="56663" spans="62:62" x14ac:dyDescent="0.2">
      <c r="BJ56663" s="201"/>
    </row>
    <row r="56664" spans="62:62" x14ac:dyDescent="0.2">
      <c r="BJ56664" s="201"/>
    </row>
    <row r="56665" spans="62:62" x14ac:dyDescent="0.2">
      <c r="BJ56665" s="201"/>
    </row>
    <row r="56666" spans="62:62" x14ac:dyDescent="0.2">
      <c r="BJ56666" s="201"/>
    </row>
    <row r="56667" spans="62:62" x14ac:dyDescent="0.2">
      <c r="BJ56667" s="201"/>
    </row>
    <row r="56668" spans="62:62" x14ac:dyDescent="0.2">
      <c r="BJ56668" s="201"/>
    </row>
    <row r="56669" spans="62:62" x14ac:dyDescent="0.2">
      <c r="BJ56669" s="201"/>
    </row>
    <row r="56670" spans="62:62" x14ac:dyDescent="0.2">
      <c r="BJ56670" s="201"/>
    </row>
    <row r="56671" spans="62:62" x14ac:dyDescent="0.2">
      <c r="BJ56671" s="201"/>
    </row>
    <row r="56672" spans="62:62" x14ac:dyDescent="0.2">
      <c r="BJ56672" s="201"/>
    </row>
    <row r="56673" spans="62:62" x14ac:dyDescent="0.2">
      <c r="BJ56673" s="201"/>
    </row>
    <row r="56674" spans="62:62" x14ac:dyDescent="0.2">
      <c r="BJ56674" s="201"/>
    </row>
    <row r="56675" spans="62:62" x14ac:dyDescent="0.2">
      <c r="BJ56675" s="201"/>
    </row>
    <row r="56676" spans="62:62" x14ac:dyDescent="0.2">
      <c r="BJ56676" s="201"/>
    </row>
    <row r="56677" spans="62:62" x14ac:dyDescent="0.2">
      <c r="BJ56677" s="201"/>
    </row>
    <row r="56678" spans="62:62" x14ac:dyDescent="0.2">
      <c r="BJ56678" s="201"/>
    </row>
    <row r="56679" spans="62:62" x14ac:dyDescent="0.2">
      <c r="BJ56679" s="201"/>
    </row>
    <row r="56680" spans="62:62" x14ac:dyDescent="0.2">
      <c r="BJ56680" s="201"/>
    </row>
    <row r="56681" spans="62:62" x14ac:dyDescent="0.2">
      <c r="BJ56681" s="201"/>
    </row>
    <row r="56682" spans="62:62" x14ac:dyDescent="0.2">
      <c r="BJ56682" s="201"/>
    </row>
    <row r="56683" spans="62:62" x14ac:dyDescent="0.2">
      <c r="BJ56683" s="201"/>
    </row>
    <row r="56684" spans="62:62" x14ac:dyDescent="0.2">
      <c r="BJ56684" s="201"/>
    </row>
    <row r="56685" spans="62:62" x14ac:dyDescent="0.2">
      <c r="BJ56685" s="201"/>
    </row>
    <row r="56686" spans="62:62" x14ac:dyDescent="0.2">
      <c r="BJ56686" s="201"/>
    </row>
    <row r="56687" spans="62:62" x14ac:dyDescent="0.2">
      <c r="BJ56687" s="201"/>
    </row>
    <row r="56688" spans="62:62" x14ac:dyDescent="0.2">
      <c r="BJ56688" s="201"/>
    </row>
    <row r="56689" spans="62:62" x14ac:dyDescent="0.2">
      <c r="BJ56689" s="201"/>
    </row>
    <row r="56690" spans="62:62" x14ac:dyDescent="0.2">
      <c r="BJ56690" s="201"/>
    </row>
    <row r="56691" spans="62:62" x14ac:dyDescent="0.2">
      <c r="BJ56691" s="201"/>
    </row>
    <row r="56692" spans="62:62" x14ac:dyDescent="0.2">
      <c r="BJ56692" s="201"/>
    </row>
    <row r="56693" spans="62:62" x14ac:dyDescent="0.2">
      <c r="BJ56693" s="201"/>
    </row>
    <row r="56694" spans="62:62" x14ac:dyDescent="0.2">
      <c r="BJ56694" s="201"/>
    </row>
    <row r="56695" spans="62:62" x14ac:dyDescent="0.2">
      <c r="BJ56695" s="201"/>
    </row>
    <row r="56696" spans="62:62" x14ac:dyDescent="0.2">
      <c r="BJ56696" s="201"/>
    </row>
    <row r="56697" spans="62:62" x14ac:dyDescent="0.2">
      <c r="BJ56697" s="201"/>
    </row>
    <row r="56698" spans="62:62" x14ac:dyDescent="0.2">
      <c r="BJ56698" s="201"/>
    </row>
    <row r="56699" spans="62:62" x14ac:dyDescent="0.2">
      <c r="BJ56699" s="201"/>
    </row>
    <row r="56700" spans="62:62" x14ac:dyDescent="0.2">
      <c r="BJ56700" s="201"/>
    </row>
    <row r="56701" spans="62:62" x14ac:dyDescent="0.2">
      <c r="BJ56701" s="201"/>
    </row>
    <row r="56702" spans="62:62" x14ac:dyDescent="0.2">
      <c r="BJ56702" s="201"/>
    </row>
    <row r="56703" spans="62:62" x14ac:dyDescent="0.2">
      <c r="BJ56703" s="201"/>
    </row>
    <row r="56704" spans="62:62" x14ac:dyDescent="0.2">
      <c r="BJ56704" s="201"/>
    </row>
    <row r="56705" spans="62:62" x14ac:dyDescent="0.2">
      <c r="BJ56705" s="201"/>
    </row>
    <row r="56706" spans="62:62" x14ac:dyDescent="0.2">
      <c r="BJ56706" s="201"/>
    </row>
    <row r="56707" spans="62:62" x14ac:dyDescent="0.2">
      <c r="BJ56707" s="201"/>
    </row>
    <row r="56708" spans="62:62" x14ac:dyDescent="0.2">
      <c r="BJ56708" s="201"/>
    </row>
    <row r="56709" spans="62:62" x14ac:dyDescent="0.2">
      <c r="BJ56709" s="201"/>
    </row>
    <row r="56710" spans="62:62" x14ac:dyDescent="0.2">
      <c r="BJ56710" s="201"/>
    </row>
    <row r="56711" spans="62:62" x14ac:dyDescent="0.2">
      <c r="BJ56711" s="201"/>
    </row>
    <row r="56712" spans="62:62" x14ac:dyDescent="0.2">
      <c r="BJ56712" s="201"/>
    </row>
    <row r="56713" spans="62:62" x14ac:dyDescent="0.2">
      <c r="BJ56713" s="201"/>
    </row>
    <row r="56714" spans="62:62" x14ac:dyDescent="0.2">
      <c r="BJ56714" s="201"/>
    </row>
    <row r="56715" spans="62:62" x14ac:dyDescent="0.2">
      <c r="BJ56715" s="201"/>
    </row>
    <row r="56716" spans="62:62" x14ac:dyDescent="0.2">
      <c r="BJ56716" s="201"/>
    </row>
    <row r="56717" spans="62:62" x14ac:dyDescent="0.2">
      <c r="BJ56717" s="201"/>
    </row>
    <row r="56718" spans="62:62" x14ac:dyDescent="0.2">
      <c r="BJ56718" s="201"/>
    </row>
    <row r="56719" spans="62:62" x14ac:dyDescent="0.2">
      <c r="BJ56719" s="201"/>
    </row>
    <row r="56720" spans="62:62" x14ac:dyDescent="0.2">
      <c r="BJ56720" s="201"/>
    </row>
    <row r="56721" spans="62:62" x14ac:dyDescent="0.2">
      <c r="BJ56721" s="201"/>
    </row>
    <row r="56722" spans="62:62" x14ac:dyDescent="0.2">
      <c r="BJ56722" s="201"/>
    </row>
    <row r="56723" spans="62:62" x14ac:dyDescent="0.2">
      <c r="BJ56723" s="201"/>
    </row>
    <row r="56724" spans="62:62" x14ac:dyDescent="0.2">
      <c r="BJ56724" s="201"/>
    </row>
    <row r="56725" spans="62:62" x14ac:dyDescent="0.2">
      <c r="BJ56725" s="201"/>
    </row>
    <row r="56726" spans="62:62" x14ac:dyDescent="0.2">
      <c r="BJ56726" s="201"/>
    </row>
    <row r="56727" spans="62:62" x14ac:dyDescent="0.2">
      <c r="BJ56727" s="201"/>
    </row>
    <row r="56728" spans="62:62" x14ac:dyDescent="0.2">
      <c r="BJ56728" s="201"/>
    </row>
    <row r="56729" spans="62:62" x14ac:dyDescent="0.2">
      <c r="BJ56729" s="201"/>
    </row>
    <row r="56730" spans="62:62" x14ac:dyDescent="0.2">
      <c r="BJ56730" s="201"/>
    </row>
    <row r="56731" spans="62:62" x14ac:dyDescent="0.2">
      <c r="BJ56731" s="201"/>
    </row>
    <row r="56732" spans="62:62" x14ac:dyDescent="0.2">
      <c r="BJ56732" s="201"/>
    </row>
    <row r="56733" spans="62:62" x14ac:dyDescent="0.2">
      <c r="BJ56733" s="201"/>
    </row>
    <row r="56734" spans="62:62" x14ac:dyDescent="0.2">
      <c r="BJ56734" s="201"/>
    </row>
    <row r="56735" spans="62:62" x14ac:dyDescent="0.2">
      <c r="BJ56735" s="201"/>
    </row>
    <row r="56736" spans="62:62" x14ac:dyDescent="0.2">
      <c r="BJ56736" s="201"/>
    </row>
    <row r="56737" spans="62:62" x14ac:dyDescent="0.2">
      <c r="BJ56737" s="201"/>
    </row>
    <row r="56738" spans="62:62" x14ac:dyDescent="0.2">
      <c r="BJ56738" s="201"/>
    </row>
    <row r="56739" spans="62:62" x14ac:dyDescent="0.2">
      <c r="BJ56739" s="201"/>
    </row>
    <row r="56740" spans="62:62" x14ac:dyDescent="0.2">
      <c r="BJ56740" s="201"/>
    </row>
    <row r="56741" spans="62:62" x14ac:dyDescent="0.2">
      <c r="BJ56741" s="201"/>
    </row>
    <row r="56742" spans="62:62" x14ac:dyDescent="0.2">
      <c r="BJ56742" s="201"/>
    </row>
    <row r="56743" spans="62:62" x14ac:dyDescent="0.2">
      <c r="BJ56743" s="201"/>
    </row>
    <row r="56744" spans="62:62" x14ac:dyDescent="0.2">
      <c r="BJ56744" s="201"/>
    </row>
    <row r="56745" spans="62:62" x14ac:dyDescent="0.2">
      <c r="BJ56745" s="201"/>
    </row>
    <row r="56746" spans="62:62" x14ac:dyDescent="0.2">
      <c r="BJ56746" s="201"/>
    </row>
    <row r="56747" spans="62:62" x14ac:dyDescent="0.2">
      <c r="BJ56747" s="201"/>
    </row>
    <row r="56748" spans="62:62" x14ac:dyDescent="0.2">
      <c r="BJ56748" s="201"/>
    </row>
    <row r="56749" spans="62:62" x14ac:dyDescent="0.2">
      <c r="BJ56749" s="201"/>
    </row>
    <row r="56750" spans="62:62" x14ac:dyDescent="0.2">
      <c r="BJ56750" s="201"/>
    </row>
    <row r="56751" spans="62:62" x14ac:dyDescent="0.2">
      <c r="BJ56751" s="201"/>
    </row>
    <row r="56752" spans="62:62" x14ac:dyDescent="0.2">
      <c r="BJ56752" s="201"/>
    </row>
    <row r="56753" spans="62:62" x14ac:dyDescent="0.2">
      <c r="BJ56753" s="201"/>
    </row>
    <row r="56754" spans="62:62" x14ac:dyDescent="0.2">
      <c r="BJ56754" s="201"/>
    </row>
    <row r="56755" spans="62:62" x14ac:dyDescent="0.2">
      <c r="BJ56755" s="201"/>
    </row>
    <row r="56756" spans="62:62" x14ac:dyDescent="0.2">
      <c r="BJ56756" s="201"/>
    </row>
    <row r="56757" spans="62:62" x14ac:dyDescent="0.2">
      <c r="BJ56757" s="201"/>
    </row>
    <row r="56758" spans="62:62" x14ac:dyDescent="0.2">
      <c r="BJ56758" s="201"/>
    </row>
    <row r="56759" spans="62:62" x14ac:dyDescent="0.2">
      <c r="BJ56759" s="201"/>
    </row>
    <row r="56760" spans="62:62" x14ac:dyDescent="0.2">
      <c r="BJ56760" s="201"/>
    </row>
    <row r="56761" spans="62:62" x14ac:dyDescent="0.2">
      <c r="BJ56761" s="201"/>
    </row>
    <row r="56762" spans="62:62" x14ac:dyDescent="0.2">
      <c r="BJ56762" s="201"/>
    </row>
    <row r="56763" spans="62:62" x14ac:dyDescent="0.2">
      <c r="BJ56763" s="201"/>
    </row>
    <row r="56764" spans="62:62" x14ac:dyDescent="0.2">
      <c r="BJ56764" s="201"/>
    </row>
    <row r="56765" spans="62:62" x14ac:dyDescent="0.2">
      <c r="BJ56765" s="201"/>
    </row>
    <row r="56766" spans="62:62" x14ac:dyDescent="0.2">
      <c r="BJ56766" s="201"/>
    </row>
    <row r="56767" spans="62:62" x14ac:dyDescent="0.2">
      <c r="BJ56767" s="201"/>
    </row>
    <row r="56768" spans="62:62" x14ac:dyDescent="0.2">
      <c r="BJ56768" s="201"/>
    </row>
    <row r="56769" spans="62:62" x14ac:dyDescent="0.2">
      <c r="BJ56769" s="201"/>
    </row>
    <row r="56770" spans="62:62" x14ac:dyDescent="0.2">
      <c r="BJ56770" s="201"/>
    </row>
    <row r="56771" spans="62:62" x14ac:dyDescent="0.2">
      <c r="BJ56771" s="201"/>
    </row>
    <row r="56772" spans="62:62" x14ac:dyDescent="0.2">
      <c r="BJ56772" s="201"/>
    </row>
    <row r="56773" spans="62:62" x14ac:dyDescent="0.2">
      <c r="BJ56773" s="201"/>
    </row>
    <row r="56774" spans="62:62" x14ac:dyDescent="0.2">
      <c r="BJ56774" s="201"/>
    </row>
    <row r="56775" spans="62:62" x14ac:dyDescent="0.2">
      <c r="BJ56775" s="201"/>
    </row>
    <row r="56776" spans="62:62" x14ac:dyDescent="0.2">
      <c r="BJ56776" s="201"/>
    </row>
    <row r="56777" spans="62:62" x14ac:dyDescent="0.2">
      <c r="BJ56777" s="201"/>
    </row>
    <row r="56778" spans="62:62" x14ac:dyDescent="0.2">
      <c r="BJ56778" s="201"/>
    </row>
    <row r="56779" spans="62:62" x14ac:dyDescent="0.2">
      <c r="BJ56779" s="201"/>
    </row>
    <row r="56780" spans="62:62" x14ac:dyDescent="0.2">
      <c r="BJ56780" s="201"/>
    </row>
    <row r="56781" spans="62:62" x14ac:dyDescent="0.2">
      <c r="BJ56781" s="201"/>
    </row>
    <row r="56782" spans="62:62" x14ac:dyDescent="0.2">
      <c r="BJ56782" s="201"/>
    </row>
    <row r="56783" spans="62:62" x14ac:dyDescent="0.2">
      <c r="BJ56783" s="201"/>
    </row>
    <row r="56784" spans="62:62" x14ac:dyDescent="0.2">
      <c r="BJ56784" s="201"/>
    </row>
    <row r="56785" spans="62:62" x14ac:dyDescent="0.2">
      <c r="BJ56785" s="201"/>
    </row>
    <row r="56786" spans="62:62" x14ac:dyDescent="0.2">
      <c r="BJ56786" s="201"/>
    </row>
    <row r="56787" spans="62:62" x14ac:dyDescent="0.2">
      <c r="BJ56787" s="201"/>
    </row>
    <row r="56788" spans="62:62" x14ac:dyDescent="0.2">
      <c r="BJ56788" s="201"/>
    </row>
    <row r="56789" spans="62:62" x14ac:dyDescent="0.2">
      <c r="BJ56789" s="201"/>
    </row>
    <row r="56790" spans="62:62" x14ac:dyDescent="0.2">
      <c r="BJ56790" s="201"/>
    </row>
    <row r="56791" spans="62:62" x14ac:dyDescent="0.2">
      <c r="BJ56791" s="201"/>
    </row>
    <row r="56792" spans="62:62" x14ac:dyDescent="0.2">
      <c r="BJ56792" s="201"/>
    </row>
    <row r="56793" spans="62:62" x14ac:dyDescent="0.2">
      <c r="BJ56793" s="201"/>
    </row>
    <row r="56794" spans="62:62" x14ac:dyDescent="0.2">
      <c r="BJ56794" s="201"/>
    </row>
    <row r="56795" spans="62:62" x14ac:dyDescent="0.2">
      <c r="BJ56795" s="201"/>
    </row>
    <row r="56796" spans="62:62" x14ac:dyDescent="0.2">
      <c r="BJ56796" s="201"/>
    </row>
    <row r="56797" spans="62:62" x14ac:dyDescent="0.2">
      <c r="BJ56797" s="201"/>
    </row>
    <row r="56798" spans="62:62" x14ac:dyDescent="0.2">
      <c r="BJ56798" s="201"/>
    </row>
    <row r="56799" spans="62:62" x14ac:dyDescent="0.2">
      <c r="BJ56799" s="201"/>
    </row>
    <row r="56800" spans="62:62" x14ac:dyDescent="0.2">
      <c r="BJ56800" s="201"/>
    </row>
    <row r="56801" spans="62:62" x14ac:dyDescent="0.2">
      <c r="BJ56801" s="201"/>
    </row>
    <row r="56802" spans="62:62" x14ac:dyDescent="0.2">
      <c r="BJ56802" s="201"/>
    </row>
    <row r="56803" spans="62:62" x14ac:dyDescent="0.2">
      <c r="BJ56803" s="201"/>
    </row>
    <row r="56804" spans="62:62" x14ac:dyDescent="0.2">
      <c r="BJ56804" s="201"/>
    </row>
    <row r="56805" spans="62:62" x14ac:dyDescent="0.2">
      <c r="BJ56805" s="201"/>
    </row>
    <row r="56806" spans="62:62" x14ac:dyDescent="0.2">
      <c r="BJ56806" s="201"/>
    </row>
    <row r="56807" spans="62:62" x14ac:dyDescent="0.2">
      <c r="BJ56807" s="201"/>
    </row>
    <row r="56808" spans="62:62" x14ac:dyDescent="0.2">
      <c r="BJ56808" s="201"/>
    </row>
    <row r="56809" spans="62:62" x14ac:dyDescent="0.2">
      <c r="BJ56809" s="201"/>
    </row>
    <row r="56810" spans="62:62" x14ac:dyDescent="0.2">
      <c r="BJ56810" s="201"/>
    </row>
    <row r="56811" spans="62:62" x14ac:dyDescent="0.2">
      <c r="BJ56811" s="201"/>
    </row>
    <row r="56812" spans="62:62" x14ac:dyDescent="0.2">
      <c r="BJ56812" s="201"/>
    </row>
    <row r="56813" spans="62:62" x14ac:dyDescent="0.2">
      <c r="BJ56813" s="201"/>
    </row>
    <row r="56814" spans="62:62" x14ac:dyDescent="0.2">
      <c r="BJ56814" s="201"/>
    </row>
    <row r="56815" spans="62:62" x14ac:dyDescent="0.2">
      <c r="BJ56815" s="201"/>
    </row>
    <row r="56816" spans="62:62" x14ac:dyDescent="0.2">
      <c r="BJ56816" s="201"/>
    </row>
    <row r="56817" spans="62:62" x14ac:dyDescent="0.2">
      <c r="BJ56817" s="201"/>
    </row>
    <row r="56818" spans="62:62" x14ac:dyDescent="0.2">
      <c r="BJ56818" s="201"/>
    </row>
    <row r="56819" spans="62:62" x14ac:dyDescent="0.2">
      <c r="BJ56819" s="201"/>
    </row>
    <row r="56820" spans="62:62" x14ac:dyDescent="0.2">
      <c r="BJ56820" s="201"/>
    </row>
    <row r="56821" spans="62:62" x14ac:dyDescent="0.2">
      <c r="BJ56821" s="201"/>
    </row>
    <row r="56822" spans="62:62" x14ac:dyDescent="0.2">
      <c r="BJ56822" s="201"/>
    </row>
    <row r="56823" spans="62:62" x14ac:dyDescent="0.2">
      <c r="BJ56823" s="201"/>
    </row>
    <row r="56824" spans="62:62" x14ac:dyDescent="0.2">
      <c r="BJ56824" s="201"/>
    </row>
    <row r="56825" spans="62:62" x14ac:dyDescent="0.2">
      <c r="BJ56825" s="201"/>
    </row>
    <row r="56826" spans="62:62" x14ac:dyDescent="0.2">
      <c r="BJ56826" s="201"/>
    </row>
    <row r="56827" spans="62:62" x14ac:dyDescent="0.2">
      <c r="BJ56827" s="201"/>
    </row>
    <row r="56828" spans="62:62" x14ac:dyDescent="0.2">
      <c r="BJ56828" s="201"/>
    </row>
    <row r="56829" spans="62:62" x14ac:dyDescent="0.2">
      <c r="BJ56829" s="201"/>
    </row>
    <row r="56830" spans="62:62" x14ac:dyDescent="0.2">
      <c r="BJ56830" s="201"/>
    </row>
    <row r="56831" spans="62:62" x14ac:dyDescent="0.2">
      <c r="BJ56831" s="201"/>
    </row>
    <row r="56832" spans="62:62" x14ac:dyDescent="0.2">
      <c r="BJ56832" s="201"/>
    </row>
    <row r="56833" spans="62:62" x14ac:dyDescent="0.2">
      <c r="BJ56833" s="201"/>
    </row>
    <row r="56834" spans="62:62" x14ac:dyDescent="0.2">
      <c r="BJ56834" s="201"/>
    </row>
    <row r="56835" spans="62:62" x14ac:dyDescent="0.2">
      <c r="BJ56835" s="201"/>
    </row>
    <row r="56836" spans="62:62" x14ac:dyDescent="0.2">
      <c r="BJ56836" s="201"/>
    </row>
    <row r="56837" spans="62:62" x14ac:dyDescent="0.2">
      <c r="BJ56837" s="201"/>
    </row>
    <row r="56838" spans="62:62" x14ac:dyDescent="0.2">
      <c r="BJ56838" s="201"/>
    </row>
    <row r="56839" spans="62:62" x14ac:dyDescent="0.2">
      <c r="BJ56839" s="201"/>
    </row>
    <row r="56840" spans="62:62" x14ac:dyDescent="0.2">
      <c r="BJ56840" s="201"/>
    </row>
    <row r="56841" spans="62:62" x14ac:dyDescent="0.2">
      <c r="BJ56841" s="201"/>
    </row>
    <row r="56842" spans="62:62" x14ac:dyDescent="0.2">
      <c r="BJ56842" s="201"/>
    </row>
    <row r="56843" spans="62:62" x14ac:dyDescent="0.2">
      <c r="BJ56843" s="201"/>
    </row>
    <row r="56844" spans="62:62" x14ac:dyDescent="0.2">
      <c r="BJ56844" s="201"/>
    </row>
    <row r="56845" spans="62:62" x14ac:dyDescent="0.2">
      <c r="BJ56845" s="201"/>
    </row>
    <row r="56846" spans="62:62" x14ac:dyDescent="0.2">
      <c r="BJ56846" s="201"/>
    </row>
    <row r="56847" spans="62:62" x14ac:dyDescent="0.2">
      <c r="BJ56847" s="201"/>
    </row>
    <row r="56848" spans="62:62" x14ac:dyDescent="0.2">
      <c r="BJ56848" s="201"/>
    </row>
    <row r="56849" spans="62:62" x14ac:dyDescent="0.2">
      <c r="BJ56849" s="201"/>
    </row>
    <row r="56850" spans="62:62" x14ac:dyDescent="0.2">
      <c r="BJ56850" s="201"/>
    </row>
    <row r="56851" spans="62:62" x14ac:dyDescent="0.2">
      <c r="BJ56851" s="201"/>
    </row>
    <row r="56852" spans="62:62" x14ac:dyDescent="0.2">
      <c r="BJ56852" s="201"/>
    </row>
    <row r="56853" spans="62:62" x14ac:dyDescent="0.2">
      <c r="BJ56853" s="201"/>
    </row>
    <row r="56854" spans="62:62" x14ac:dyDescent="0.2">
      <c r="BJ56854" s="201"/>
    </row>
    <row r="56855" spans="62:62" x14ac:dyDescent="0.2">
      <c r="BJ56855" s="201"/>
    </row>
    <row r="56856" spans="62:62" x14ac:dyDescent="0.2">
      <c r="BJ56856" s="201"/>
    </row>
    <row r="56857" spans="62:62" x14ac:dyDescent="0.2">
      <c r="BJ56857" s="201"/>
    </row>
    <row r="56858" spans="62:62" x14ac:dyDescent="0.2">
      <c r="BJ56858" s="201"/>
    </row>
    <row r="56859" spans="62:62" x14ac:dyDescent="0.2">
      <c r="BJ56859" s="201"/>
    </row>
    <row r="56860" spans="62:62" x14ac:dyDescent="0.2">
      <c r="BJ56860" s="201"/>
    </row>
    <row r="56861" spans="62:62" x14ac:dyDescent="0.2">
      <c r="BJ56861" s="201"/>
    </row>
    <row r="56862" spans="62:62" x14ac:dyDescent="0.2">
      <c r="BJ56862" s="201"/>
    </row>
    <row r="56863" spans="62:62" x14ac:dyDescent="0.2">
      <c r="BJ56863" s="201"/>
    </row>
    <row r="56864" spans="62:62" x14ac:dyDescent="0.2">
      <c r="BJ56864" s="201"/>
    </row>
    <row r="56865" spans="62:62" x14ac:dyDescent="0.2">
      <c r="BJ56865" s="201"/>
    </row>
    <row r="56866" spans="62:62" x14ac:dyDescent="0.2">
      <c r="BJ56866" s="201"/>
    </row>
    <row r="56867" spans="62:62" x14ac:dyDescent="0.2">
      <c r="BJ56867" s="201"/>
    </row>
    <row r="56868" spans="62:62" x14ac:dyDescent="0.2">
      <c r="BJ56868" s="201"/>
    </row>
    <row r="56869" spans="62:62" x14ac:dyDescent="0.2">
      <c r="BJ56869" s="201"/>
    </row>
    <row r="56870" spans="62:62" x14ac:dyDescent="0.2">
      <c r="BJ56870" s="201"/>
    </row>
    <row r="56871" spans="62:62" x14ac:dyDescent="0.2">
      <c r="BJ56871" s="201"/>
    </row>
    <row r="56872" spans="62:62" x14ac:dyDescent="0.2">
      <c r="BJ56872" s="201"/>
    </row>
    <row r="56873" spans="62:62" x14ac:dyDescent="0.2">
      <c r="BJ56873" s="201"/>
    </row>
    <row r="56874" spans="62:62" x14ac:dyDescent="0.2">
      <c r="BJ56874" s="201"/>
    </row>
    <row r="56875" spans="62:62" x14ac:dyDescent="0.2">
      <c r="BJ56875" s="201"/>
    </row>
    <row r="56876" spans="62:62" x14ac:dyDescent="0.2">
      <c r="BJ56876" s="201"/>
    </row>
    <row r="56877" spans="62:62" x14ac:dyDescent="0.2">
      <c r="BJ56877" s="201"/>
    </row>
    <row r="56878" spans="62:62" x14ac:dyDescent="0.2">
      <c r="BJ56878" s="201"/>
    </row>
    <row r="56879" spans="62:62" x14ac:dyDescent="0.2">
      <c r="BJ56879" s="201"/>
    </row>
    <row r="56880" spans="62:62" x14ac:dyDescent="0.2">
      <c r="BJ56880" s="201"/>
    </row>
    <row r="56881" spans="62:62" x14ac:dyDescent="0.2">
      <c r="BJ56881" s="201"/>
    </row>
    <row r="56882" spans="62:62" x14ac:dyDescent="0.2">
      <c r="BJ56882" s="201"/>
    </row>
    <row r="56883" spans="62:62" x14ac:dyDescent="0.2">
      <c r="BJ56883" s="201"/>
    </row>
    <row r="56884" spans="62:62" x14ac:dyDescent="0.2">
      <c r="BJ56884" s="201"/>
    </row>
    <row r="56885" spans="62:62" x14ac:dyDescent="0.2">
      <c r="BJ56885" s="201"/>
    </row>
    <row r="56886" spans="62:62" x14ac:dyDescent="0.2">
      <c r="BJ56886" s="201"/>
    </row>
    <row r="56887" spans="62:62" x14ac:dyDescent="0.2">
      <c r="BJ56887" s="201"/>
    </row>
    <row r="56888" spans="62:62" x14ac:dyDescent="0.2">
      <c r="BJ56888" s="201"/>
    </row>
    <row r="56889" spans="62:62" x14ac:dyDescent="0.2">
      <c r="BJ56889" s="201"/>
    </row>
    <row r="56890" spans="62:62" x14ac:dyDescent="0.2">
      <c r="BJ56890" s="201"/>
    </row>
    <row r="56891" spans="62:62" x14ac:dyDescent="0.2">
      <c r="BJ56891" s="201"/>
    </row>
    <row r="56892" spans="62:62" x14ac:dyDescent="0.2">
      <c r="BJ56892" s="201"/>
    </row>
    <row r="56893" spans="62:62" x14ac:dyDescent="0.2">
      <c r="BJ56893" s="201"/>
    </row>
    <row r="56894" spans="62:62" x14ac:dyDescent="0.2">
      <c r="BJ56894" s="201"/>
    </row>
    <row r="56895" spans="62:62" x14ac:dyDescent="0.2">
      <c r="BJ56895" s="201"/>
    </row>
    <row r="56896" spans="62:62" x14ac:dyDescent="0.2">
      <c r="BJ56896" s="201"/>
    </row>
    <row r="56897" spans="62:62" x14ac:dyDescent="0.2">
      <c r="BJ56897" s="201"/>
    </row>
    <row r="56898" spans="62:62" x14ac:dyDescent="0.2">
      <c r="BJ56898" s="201"/>
    </row>
    <row r="56899" spans="62:62" x14ac:dyDescent="0.2">
      <c r="BJ56899" s="201"/>
    </row>
    <row r="56900" spans="62:62" x14ac:dyDescent="0.2">
      <c r="BJ56900" s="201"/>
    </row>
    <row r="56901" spans="62:62" x14ac:dyDescent="0.2">
      <c r="BJ56901" s="201"/>
    </row>
    <row r="56902" spans="62:62" x14ac:dyDescent="0.2">
      <c r="BJ56902" s="201"/>
    </row>
    <row r="56903" spans="62:62" x14ac:dyDescent="0.2">
      <c r="BJ56903" s="201"/>
    </row>
    <row r="56904" spans="62:62" x14ac:dyDescent="0.2">
      <c r="BJ56904" s="201"/>
    </row>
    <row r="56905" spans="62:62" x14ac:dyDescent="0.2">
      <c r="BJ56905" s="201"/>
    </row>
    <row r="56906" spans="62:62" x14ac:dyDescent="0.2">
      <c r="BJ56906" s="201"/>
    </row>
    <row r="56907" spans="62:62" x14ac:dyDescent="0.2">
      <c r="BJ56907" s="201"/>
    </row>
    <row r="56908" spans="62:62" x14ac:dyDescent="0.2">
      <c r="BJ56908" s="201"/>
    </row>
    <row r="56909" spans="62:62" x14ac:dyDescent="0.2">
      <c r="BJ56909" s="201"/>
    </row>
    <row r="56910" spans="62:62" x14ac:dyDescent="0.2">
      <c r="BJ56910" s="201"/>
    </row>
    <row r="56911" spans="62:62" x14ac:dyDescent="0.2">
      <c r="BJ56911" s="201"/>
    </row>
    <row r="56912" spans="62:62" x14ac:dyDescent="0.2">
      <c r="BJ56912" s="201"/>
    </row>
    <row r="56913" spans="62:62" x14ac:dyDescent="0.2">
      <c r="BJ56913" s="201"/>
    </row>
    <row r="56914" spans="62:62" x14ac:dyDescent="0.2">
      <c r="BJ56914" s="201"/>
    </row>
    <row r="56915" spans="62:62" x14ac:dyDescent="0.2">
      <c r="BJ56915" s="201"/>
    </row>
    <row r="56916" spans="62:62" x14ac:dyDescent="0.2">
      <c r="BJ56916" s="201"/>
    </row>
    <row r="56917" spans="62:62" x14ac:dyDescent="0.2">
      <c r="BJ56917" s="201"/>
    </row>
    <row r="56918" spans="62:62" x14ac:dyDescent="0.2">
      <c r="BJ56918" s="201"/>
    </row>
    <row r="56919" spans="62:62" x14ac:dyDescent="0.2">
      <c r="BJ56919" s="201"/>
    </row>
    <row r="56920" spans="62:62" x14ac:dyDescent="0.2">
      <c r="BJ56920" s="201"/>
    </row>
    <row r="56921" spans="62:62" x14ac:dyDescent="0.2">
      <c r="BJ56921" s="201"/>
    </row>
    <row r="56922" spans="62:62" x14ac:dyDescent="0.2">
      <c r="BJ56922" s="201"/>
    </row>
    <row r="56923" spans="62:62" x14ac:dyDescent="0.2">
      <c r="BJ56923" s="201"/>
    </row>
    <row r="56924" spans="62:62" x14ac:dyDescent="0.2">
      <c r="BJ56924" s="201"/>
    </row>
    <row r="56925" spans="62:62" x14ac:dyDescent="0.2">
      <c r="BJ56925" s="201"/>
    </row>
    <row r="56926" spans="62:62" x14ac:dyDescent="0.2">
      <c r="BJ56926" s="201"/>
    </row>
    <row r="56927" spans="62:62" x14ac:dyDescent="0.2">
      <c r="BJ56927" s="201"/>
    </row>
    <row r="56928" spans="62:62" x14ac:dyDescent="0.2">
      <c r="BJ56928" s="201"/>
    </row>
    <row r="56929" spans="62:62" x14ac:dyDescent="0.2">
      <c r="BJ56929" s="201"/>
    </row>
    <row r="56930" spans="62:62" x14ac:dyDescent="0.2">
      <c r="BJ56930" s="201"/>
    </row>
    <row r="56931" spans="62:62" x14ac:dyDescent="0.2">
      <c r="BJ56931" s="201"/>
    </row>
    <row r="56932" spans="62:62" x14ac:dyDescent="0.2">
      <c r="BJ56932" s="201"/>
    </row>
    <row r="56933" spans="62:62" x14ac:dyDescent="0.2">
      <c r="BJ56933" s="201"/>
    </row>
    <row r="56934" spans="62:62" x14ac:dyDescent="0.2">
      <c r="BJ56934" s="201"/>
    </row>
    <row r="56935" spans="62:62" x14ac:dyDescent="0.2">
      <c r="BJ56935" s="201"/>
    </row>
    <row r="56936" spans="62:62" x14ac:dyDescent="0.2">
      <c r="BJ56936" s="201"/>
    </row>
    <row r="56937" spans="62:62" x14ac:dyDescent="0.2">
      <c r="BJ56937" s="201"/>
    </row>
    <row r="56938" spans="62:62" x14ac:dyDescent="0.2">
      <c r="BJ56938" s="201"/>
    </row>
    <row r="56939" spans="62:62" x14ac:dyDescent="0.2">
      <c r="BJ56939" s="201"/>
    </row>
    <row r="56940" spans="62:62" x14ac:dyDescent="0.2">
      <c r="BJ56940" s="201"/>
    </row>
    <row r="56941" spans="62:62" x14ac:dyDescent="0.2">
      <c r="BJ56941" s="201"/>
    </row>
    <row r="56942" spans="62:62" x14ac:dyDescent="0.2">
      <c r="BJ56942" s="201"/>
    </row>
    <row r="56943" spans="62:62" x14ac:dyDescent="0.2">
      <c r="BJ56943" s="201"/>
    </row>
    <row r="56944" spans="62:62" x14ac:dyDescent="0.2">
      <c r="BJ56944" s="201"/>
    </row>
    <row r="56945" spans="62:62" x14ac:dyDescent="0.2">
      <c r="BJ56945" s="201"/>
    </row>
    <row r="56946" spans="62:62" x14ac:dyDescent="0.2">
      <c r="BJ56946" s="201"/>
    </row>
    <row r="56947" spans="62:62" x14ac:dyDescent="0.2">
      <c r="BJ56947" s="201"/>
    </row>
    <row r="56948" spans="62:62" x14ac:dyDescent="0.2">
      <c r="BJ56948" s="201"/>
    </row>
    <row r="56949" spans="62:62" x14ac:dyDescent="0.2">
      <c r="BJ56949" s="201"/>
    </row>
    <row r="56950" spans="62:62" x14ac:dyDescent="0.2">
      <c r="BJ56950" s="201"/>
    </row>
    <row r="56951" spans="62:62" x14ac:dyDescent="0.2">
      <c r="BJ56951" s="201"/>
    </row>
    <row r="56952" spans="62:62" x14ac:dyDescent="0.2">
      <c r="BJ56952" s="201"/>
    </row>
    <row r="56953" spans="62:62" x14ac:dyDescent="0.2">
      <c r="BJ56953" s="201"/>
    </row>
    <row r="56954" spans="62:62" x14ac:dyDescent="0.2">
      <c r="BJ56954" s="201"/>
    </row>
    <row r="56955" spans="62:62" x14ac:dyDescent="0.2">
      <c r="BJ56955" s="201"/>
    </row>
    <row r="56956" spans="62:62" x14ac:dyDescent="0.2">
      <c r="BJ56956" s="201"/>
    </row>
    <row r="56957" spans="62:62" x14ac:dyDescent="0.2">
      <c r="BJ56957" s="201"/>
    </row>
    <row r="56958" spans="62:62" x14ac:dyDescent="0.2">
      <c r="BJ56958" s="201"/>
    </row>
    <row r="56959" spans="62:62" x14ac:dyDescent="0.2">
      <c r="BJ56959" s="201"/>
    </row>
    <row r="56960" spans="62:62" x14ac:dyDescent="0.2">
      <c r="BJ56960" s="201"/>
    </row>
    <row r="56961" spans="62:62" x14ac:dyDescent="0.2">
      <c r="BJ56961" s="201"/>
    </row>
    <row r="56962" spans="62:62" x14ac:dyDescent="0.2">
      <c r="BJ56962" s="201"/>
    </row>
    <row r="56963" spans="62:62" x14ac:dyDescent="0.2">
      <c r="BJ56963" s="201"/>
    </row>
    <row r="56964" spans="62:62" x14ac:dyDescent="0.2">
      <c r="BJ56964" s="201"/>
    </row>
    <row r="56965" spans="62:62" x14ac:dyDescent="0.2">
      <c r="BJ56965" s="201"/>
    </row>
    <row r="56966" spans="62:62" x14ac:dyDescent="0.2">
      <c r="BJ56966" s="201"/>
    </row>
    <row r="56967" spans="62:62" x14ac:dyDescent="0.2">
      <c r="BJ56967" s="201"/>
    </row>
    <row r="56968" spans="62:62" x14ac:dyDescent="0.2">
      <c r="BJ56968" s="201"/>
    </row>
    <row r="56969" spans="62:62" x14ac:dyDescent="0.2">
      <c r="BJ56969" s="201"/>
    </row>
    <row r="56970" spans="62:62" x14ac:dyDescent="0.2">
      <c r="BJ56970" s="201"/>
    </row>
    <row r="56971" spans="62:62" x14ac:dyDescent="0.2">
      <c r="BJ56971" s="201"/>
    </row>
    <row r="56972" spans="62:62" x14ac:dyDescent="0.2">
      <c r="BJ56972" s="201"/>
    </row>
    <row r="56973" spans="62:62" x14ac:dyDescent="0.2">
      <c r="BJ56973" s="201"/>
    </row>
    <row r="56974" spans="62:62" x14ac:dyDescent="0.2">
      <c r="BJ56974" s="201"/>
    </row>
    <row r="56975" spans="62:62" x14ac:dyDescent="0.2">
      <c r="BJ56975" s="201"/>
    </row>
    <row r="56976" spans="62:62" x14ac:dyDescent="0.2">
      <c r="BJ56976" s="201"/>
    </row>
    <row r="56977" spans="62:62" x14ac:dyDescent="0.2">
      <c r="BJ56977" s="201"/>
    </row>
    <row r="56978" spans="62:62" x14ac:dyDescent="0.2">
      <c r="BJ56978" s="201"/>
    </row>
    <row r="56979" spans="62:62" x14ac:dyDescent="0.2">
      <c r="BJ56979" s="201"/>
    </row>
    <row r="56980" spans="62:62" x14ac:dyDescent="0.2">
      <c r="BJ56980" s="201"/>
    </row>
    <row r="56981" spans="62:62" x14ac:dyDescent="0.2">
      <c r="BJ56981" s="201"/>
    </row>
    <row r="56982" spans="62:62" x14ac:dyDescent="0.2">
      <c r="BJ56982" s="201"/>
    </row>
    <row r="56983" spans="62:62" x14ac:dyDescent="0.2">
      <c r="BJ56983" s="201"/>
    </row>
    <row r="56984" spans="62:62" x14ac:dyDescent="0.2">
      <c r="BJ56984" s="201"/>
    </row>
    <row r="56985" spans="62:62" x14ac:dyDescent="0.2">
      <c r="BJ56985" s="201"/>
    </row>
    <row r="56986" spans="62:62" x14ac:dyDescent="0.2">
      <c r="BJ56986" s="201"/>
    </row>
    <row r="56987" spans="62:62" x14ac:dyDescent="0.2">
      <c r="BJ56987" s="201"/>
    </row>
    <row r="56988" spans="62:62" x14ac:dyDescent="0.2">
      <c r="BJ56988" s="201"/>
    </row>
    <row r="56989" spans="62:62" x14ac:dyDescent="0.2">
      <c r="BJ56989" s="201"/>
    </row>
    <row r="56990" spans="62:62" x14ac:dyDescent="0.2">
      <c r="BJ56990" s="201"/>
    </row>
    <row r="56991" spans="62:62" x14ac:dyDescent="0.2">
      <c r="BJ56991" s="201"/>
    </row>
    <row r="56992" spans="62:62" x14ac:dyDescent="0.2">
      <c r="BJ56992" s="201"/>
    </row>
    <row r="56993" spans="62:62" x14ac:dyDescent="0.2">
      <c r="BJ56993" s="201"/>
    </row>
    <row r="56994" spans="62:62" x14ac:dyDescent="0.2">
      <c r="BJ56994" s="201"/>
    </row>
    <row r="56995" spans="62:62" x14ac:dyDescent="0.2">
      <c r="BJ56995" s="201"/>
    </row>
    <row r="56996" spans="62:62" x14ac:dyDescent="0.2">
      <c r="BJ56996" s="201"/>
    </row>
    <row r="56997" spans="62:62" x14ac:dyDescent="0.2">
      <c r="BJ56997" s="201"/>
    </row>
    <row r="56998" spans="62:62" x14ac:dyDescent="0.2">
      <c r="BJ56998" s="201"/>
    </row>
    <row r="56999" spans="62:62" x14ac:dyDescent="0.2">
      <c r="BJ56999" s="201"/>
    </row>
    <row r="57000" spans="62:62" x14ac:dyDescent="0.2">
      <c r="BJ57000" s="201"/>
    </row>
    <row r="57001" spans="62:62" x14ac:dyDescent="0.2">
      <c r="BJ57001" s="201"/>
    </row>
    <row r="57002" spans="62:62" x14ac:dyDescent="0.2">
      <c r="BJ57002" s="201"/>
    </row>
    <row r="57003" spans="62:62" x14ac:dyDescent="0.2">
      <c r="BJ57003" s="201"/>
    </row>
    <row r="57004" spans="62:62" x14ac:dyDescent="0.2">
      <c r="BJ57004" s="201"/>
    </row>
    <row r="57005" spans="62:62" x14ac:dyDescent="0.2">
      <c r="BJ57005" s="201"/>
    </row>
    <row r="57006" spans="62:62" x14ac:dyDescent="0.2">
      <c r="BJ57006" s="201"/>
    </row>
    <row r="57007" spans="62:62" x14ac:dyDescent="0.2">
      <c r="BJ57007" s="201"/>
    </row>
    <row r="57008" spans="62:62" x14ac:dyDescent="0.2">
      <c r="BJ57008" s="201"/>
    </row>
    <row r="57009" spans="62:62" x14ac:dyDescent="0.2">
      <c r="BJ57009" s="201"/>
    </row>
    <row r="57010" spans="62:62" x14ac:dyDescent="0.2">
      <c r="BJ57010" s="201"/>
    </row>
    <row r="57011" spans="62:62" x14ac:dyDescent="0.2">
      <c r="BJ57011" s="201"/>
    </row>
    <row r="57012" spans="62:62" x14ac:dyDescent="0.2">
      <c r="BJ57012" s="201"/>
    </row>
    <row r="57013" spans="62:62" x14ac:dyDescent="0.2">
      <c r="BJ57013" s="201"/>
    </row>
    <row r="57014" spans="62:62" x14ac:dyDescent="0.2">
      <c r="BJ57014" s="201"/>
    </row>
    <row r="57015" spans="62:62" x14ac:dyDescent="0.2">
      <c r="BJ57015" s="201"/>
    </row>
    <row r="57016" spans="62:62" x14ac:dyDescent="0.2">
      <c r="BJ57016" s="201"/>
    </row>
    <row r="57017" spans="62:62" x14ac:dyDescent="0.2">
      <c r="BJ57017" s="201"/>
    </row>
    <row r="57018" spans="62:62" x14ac:dyDescent="0.2">
      <c r="BJ57018" s="201"/>
    </row>
    <row r="57019" spans="62:62" x14ac:dyDescent="0.2">
      <c r="BJ57019" s="201"/>
    </row>
    <row r="57020" spans="62:62" x14ac:dyDescent="0.2">
      <c r="BJ57020" s="201"/>
    </row>
    <row r="57021" spans="62:62" x14ac:dyDescent="0.2">
      <c r="BJ57021" s="201"/>
    </row>
    <row r="57022" spans="62:62" x14ac:dyDescent="0.2">
      <c r="BJ57022" s="201"/>
    </row>
    <row r="57023" spans="62:62" x14ac:dyDescent="0.2">
      <c r="BJ57023" s="201"/>
    </row>
    <row r="57024" spans="62:62" x14ac:dyDescent="0.2">
      <c r="BJ57024" s="201"/>
    </row>
    <row r="57025" spans="62:62" x14ac:dyDescent="0.2">
      <c r="BJ57025" s="201"/>
    </row>
    <row r="57026" spans="62:62" x14ac:dyDescent="0.2">
      <c r="BJ57026" s="201"/>
    </row>
    <row r="57027" spans="62:62" x14ac:dyDescent="0.2">
      <c r="BJ57027" s="201"/>
    </row>
    <row r="57028" spans="62:62" x14ac:dyDescent="0.2">
      <c r="BJ57028" s="201"/>
    </row>
    <row r="57029" spans="62:62" x14ac:dyDescent="0.2">
      <c r="BJ57029" s="201"/>
    </row>
    <row r="57030" spans="62:62" x14ac:dyDescent="0.2">
      <c r="BJ57030" s="201"/>
    </row>
    <row r="57031" spans="62:62" x14ac:dyDescent="0.2">
      <c r="BJ57031" s="201"/>
    </row>
    <row r="57032" spans="62:62" x14ac:dyDescent="0.2">
      <c r="BJ57032" s="201"/>
    </row>
    <row r="57033" spans="62:62" x14ac:dyDescent="0.2">
      <c r="BJ57033" s="201"/>
    </row>
    <row r="57034" spans="62:62" x14ac:dyDescent="0.2">
      <c r="BJ57034" s="201"/>
    </row>
    <row r="57035" spans="62:62" x14ac:dyDescent="0.2">
      <c r="BJ57035" s="201"/>
    </row>
    <row r="57036" spans="62:62" x14ac:dyDescent="0.2">
      <c r="BJ57036" s="201"/>
    </row>
    <row r="57037" spans="62:62" x14ac:dyDescent="0.2">
      <c r="BJ57037" s="201"/>
    </row>
    <row r="57038" spans="62:62" x14ac:dyDescent="0.2">
      <c r="BJ57038" s="201"/>
    </row>
    <row r="57039" spans="62:62" x14ac:dyDescent="0.2">
      <c r="BJ57039" s="201"/>
    </row>
    <row r="57040" spans="62:62" x14ac:dyDescent="0.2">
      <c r="BJ57040" s="201"/>
    </row>
    <row r="57041" spans="62:62" x14ac:dyDescent="0.2">
      <c r="BJ57041" s="201"/>
    </row>
    <row r="57042" spans="62:62" x14ac:dyDescent="0.2">
      <c r="BJ57042" s="201"/>
    </row>
    <row r="57043" spans="62:62" x14ac:dyDescent="0.2">
      <c r="BJ57043" s="201"/>
    </row>
    <row r="57044" spans="62:62" x14ac:dyDescent="0.2">
      <c r="BJ57044" s="201"/>
    </row>
    <row r="57045" spans="62:62" x14ac:dyDescent="0.2">
      <c r="BJ57045" s="201"/>
    </row>
    <row r="57046" spans="62:62" x14ac:dyDescent="0.2">
      <c r="BJ57046" s="201"/>
    </row>
    <row r="57047" spans="62:62" x14ac:dyDescent="0.2">
      <c r="BJ57047" s="201"/>
    </row>
    <row r="57048" spans="62:62" x14ac:dyDescent="0.2">
      <c r="BJ57048" s="201"/>
    </row>
    <row r="57049" spans="62:62" x14ac:dyDescent="0.2">
      <c r="BJ57049" s="201"/>
    </row>
    <row r="57050" spans="62:62" x14ac:dyDescent="0.2">
      <c r="BJ57050" s="201"/>
    </row>
    <row r="57051" spans="62:62" x14ac:dyDescent="0.2">
      <c r="BJ57051" s="201"/>
    </row>
    <row r="57052" spans="62:62" x14ac:dyDescent="0.2">
      <c r="BJ57052" s="201"/>
    </row>
    <row r="57053" spans="62:62" x14ac:dyDescent="0.2">
      <c r="BJ57053" s="201"/>
    </row>
    <row r="57054" spans="62:62" x14ac:dyDescent="0.2">
      <c r="BJ57054" s="201"/>
    </row>
    <row r="57055" spans="62:62" x14ac:dyDescent="0.2">
      <c r="BJ57055" s="201"/>
    </row>
    <row r="57056" spans="62:62" x14ac:dyDescent="0.2">
      <c r="BJ57056" s="201"/>
    </row>
    <row r="57057" spans="62:62" x14ac:dyDescent="0.2">
      <c r="BJ57057" s="201"/>
    </row>
    <row r="57058" spans="62:62" x14ac:dyDescent="0.2">
      <c r="BJ57058" s="201"/>
    </row>
    <row r="57059" spans="62:62" x14ac:dyDescent="0.2">
      <c r="BJ57059" s="201"/>
    </row>
    <row r="57060" spans="62:62" x14ac:dyDescent="0.2">
      <c r="BJ57060" s="201"/>
    </row>
    <row r="57061" spans="62:62" x14ac:dyDescent="0.2">
      <c r="BJ57061" s="201"/>
    </row>
    <row r="57062" spans="62:62" x14ac:dyDescent="0.2">
      <c r="BJ57062" s="201"/>
    </row>
    <row r="57063" spans="62:62" x14ac:dyDescent="0.2">
      <c r="BJ57063" s="201"/>
    </row>
    <row r="57064" spans="62:62" x14ac:dyDescent="0.2">
      <c r="BJ57064" s="201"/>
    </row>
    <row r="57065" spans="62:62" x14ac:dyDescent="0.2">
      <c r="BJ57065" s="201"/>
    </row>
    <row r="57066" spans="62:62" x14ac:dyDescent="0.2">
      <c r="BJ57066" s="201"/>
    </row>
    <row r="57067" spans="62:62" x14ac:dyDescent="0.2">
      <c r="BJ57067" s="201"/>
    </row>
    <row r="57068" spans="62:62" x14ac:dyDescent="0.2">
      <c r="BJ57068" s="201"/>
    </row>
    <row r="57069" spans="62:62" x14ac:dyDescent="0.2">
      <c r="BJ57069" s="201"/>
    </row>
    <row r="57070" spans="62:62" x14ac:dyDescent="0.2">
      <c r="BJ57070" s="201"/>
    </row>
    <row r="57071" spans="62:62" x14ac:dyDescent="0.2">
      <c r="BJ57071" s="201"/>
    </row>
    <row r="57072" spans="62:62" x14ac:dyDescent="0.2">
      <c r="BJ57072" s="201"/>
    </row>
    <row r="57073" spans="62:62" x14ac:dyDescent="0.2">
      <c r="BJ57073" s="201"/>
    </row>
    <row r="57074" spans="62:62" x14ac:dyDescent="0.2">
      <c r="BJ57074" s="201"/>
    </row>
    <row r="57075" spans="62:62" x14ac:dyDescent="0.2">
      <c r="BJ57075" s="201"/>
    </row>
    <row r="57076" spans="62:62" x14ac:dyDescent="0.2">
      <c r="BJ57076" s="201"/>
    </row>
    <row r="57077" spans="62:62" x14ac:dyDescent="0.2">
      <c r="BJ57077" s="201"/>
    </row>
    <row r="57078" spans="62:62" x14ac:dyDescent="0.2">
      <c r="BJ57078" s="201"/>
    </row>
    <row r="57079" spans="62:62" x14ac:dyDescent="0.2">
      <c r="BJ57079" s="201"/>
    </row>
    <row r="57080" spans="62:62" x14ac:dyDescent="0.2">
      <c r="BJ57080" s="201"/>
    </row>
    <row r="57081" spans="62:62" x14ac:dyDescent="0.2">
      <c r="BJ57081" s="201"/>
    </row>
    <row r="57082" spans="62:62" x14ac:dyDescent="0.2">
      <c r="BJ57082" s="201"/>
    </row>
    <row r="57083" spans="62:62" x14ac:dyDescent="0.2">
      <c r="BJ57083" s="201"/>
    </row>
    <row r="57084" spans="62:62" x14ac:dyDescent="0.2">
      <c r="BJ57084" s="201"/>
    </row>
    <row r="57085" spans="62:62" x14ac:dyDescent="0.2">
      <c r="BJ57085" s="201"/>
    </row>
    <row r="57086" spans="62:62" x14ac:dyDescent="0.2">
      <c r="BJ57086" s="201"/>
    </row>
    <row r="57087" spans="62:62" x14ac:dyDescent="0.2">
      <c r="BJ57087" s="201"/>
    </row>
    <row r="57088" spans="62:62" x14ac:dyDescent="0.2">
      <c r="BJ57088" s="201"/>
    </row>
    <row r="57089" spans="62:62" x14ac:dyDescent="0.2">
      <c r="BJ57089" s="201"/>
    </row>
    <row r="57090" spans="62:62" x14ac:dyDescent="0.2">
      <c r="BJ57090" s="201"/>
    </row>
    <row r="57091" spans="62:62" x14ac:dyDescent="0.2">
      <c r="BJ57091" s="201"/>
    </row>
    <row r="57092" spans="62:62" x14ac:dyDescent="0.2">
      <c r="BJ57092" s="201"/>
    </row>
    <row r="57093" spans="62:62" x14ac:dyDescent="0.2">
      <c r="BJ57093" s="201"/>
    </row>
    <row r="57094" spans="62:62" x14ac:dyDescent="0.2">
      <c r="BJ57094" s="201"/>
    </row>
    <row r="57095" spans="62:62" x14ac:dyDescent="0.2">
      <c r="BJ57095" s="201"/>
    </row>
    <row r="57096" spans="62:62" x14ac:dyDescent="0.2">
      <c r="BJ57096" s="201"/>
    </row>
    <row r="57097" spans="62:62" x14ac:dyDescent="0.2">
      <c r="BJ57097" s="201"/>
    </row>
    <row r="57098" spans="62:62" x14ac:dyDescent="0.2">
      <c r="BJ57098" s="201"/>
    </row>
    <row r="57099" spans="62:62" x14ac:dyDescent="0.2">
      <c r="BJ57099" s="201"/>
    </row>
    <row r="57100" spans="62:62" x14ac:dyDescent="0.2">
      <c r="BJ57100" s="201"/>
    </row>
    <row r="57101" spans="62:62" x14ac:dyDescent="0.2">
      <c r="BJ57101" s="201"/>
    </row>
    <row r="57102" spans="62:62" x14ac:dyDescent="0.2">
      <c r="BJ57102" s="201"/>
    </row>
    <row r="57103" spans="62:62" x14ac:dyDescent="0.2">
      <c r="BJ57103" s="201"/>
    </row>
    <row r="57104" spans="62:62" x14ac:dyDescent="0.2">
      <c r="BJ57104" s="201"/>
    </row>
    <row r="57105" spans="62:62" x14ac:dyDescent="0.2">
      <c r="BJ57105" s="201"/>
    </row>
    <row r="57106" spans="62:62" x14ac:dyDescent="0.2">
      <c r="BJ57106" s="201"/>
    </row>
    <row r="57107" spans="62:62" x14ac:dyDescent="0.2">
      <c r="BJ57107" s="201"/>
    </row>
    <row r="57108" spans="62:62" x14ac:dyDescent="0.2">
      <c r="BJ57108" s="201"/>
    </row>
    <row r="57109" spans="62:62" x14ac:dyDescent="0.2">
      <c r="BJ57109" s="201"/>
    </row>
    <row r="57110" spans="62:62" x14ac:dyDescent="0.2">
      <c r="BJ57110" s="201"/>
    </row>
    <row r="57111" spans="62:62" x14ac:dyDescent="0.2">
      <c r="BJ57111" s="201"/>
    </row>
    <row r="57112" spans="62:62" x14ac:dyDescent="0.2">
      <c r="BJ57112" s="201"/>
    </row>
    <row r="57113" spans="62:62" x14ac:dyDescent="0.2">
      <c r="BJ57113" s="201"/>
    </row>
    <row r="57114" spans="62:62" x14ac:dyDescent="0.2">
      <c r="BJ57114" s="201"/>
    </row>
    <row r="57115" spans="62:62" x14ac:dyDescent="0.2">
      <c r="BJ57115" s="201"/>
    </row>
    <row r="57116" spans="62:62" x14ac:dyDescent="0.2">
      <c r="BJ57116" s="201"/>
    </row>
    <row r="57117" spans="62:62" x14ac:dyDescent="0.2">
      <c r="BJ57117" s="201"/>
    </row>
    <row r="57118" spans="62:62" x14ac:dyDescent="0.2">
      <c r="BJ57118" s="201"/>
    </row>
    <row r="57119" spans="62:62" x14ac:dyDescent="0.2">
      <c r="BJ57119" s="201"/>
    </row>
    <row r="57120" spans="62:62" x14ac:dyDescent="0.2">
      <c r="BJ57120" s="201"/>
    </row>
    <row r="57121" spans="62:62" x14ac:dyDescent="0.2">
      <c r="BJ57121" s="201"/>
    </row>
    <row r="57122" spans="62:62" x14ac:dyDescent="0.2">
      <c r="BJ57122" s="201"/>
    </row>
    <row r="57123" spans="62:62" x14ac:dyDescent="0.2">
      <c r="BJ57123" s="201"/>
    </row>
    <row r="57124" spans="62:62" x14ac:dyDescent="0.2">
      <c r="BJ57124" s="201"/>
    </row>
    <row r="57125" spans="62:62" x14ac:dyDescent="0.2">
      <c r="BJ57125" s="201"/>
    </row>
    <row r="57126" spans="62:62" x14ac:dyDescent="0.2">
      <c r="BJ57126" s="201"/>
    </row>
    <row r="57127" spans="62:62" x14ac:dyDescent="0.2">
      <c r="BJ57127" s="201"/>
    </row>
    <row r="57128" spans="62:62" x14ac:dyDescent="0.2">
      <c r="BJ57128" s="201"/>
    </row>
    <row r="57129" spans="62:62" x14ac:dyDescent="0.2">
      <c r="BJ57129" s="201"/>
    </row>
    <row r="57130" spans="62:62" x14ac:dyDescent="0.2">
      <c r="BJ57130" s="201"/>
    </row>
    <row r="57131" spans="62:62" x14ac:dyDescent="0.2">
      <c r="BJ57131" s="201"/>
    </row>
    <row r="57132" spans="62:62" x14ac:dyDescent="0.2">
      <c r="BJ57132" s="201"/>
    </row>
    <row r="57133" spans="62:62" x14ac:dyDescent="0.2">
      <c r="BJ57133" s="201"/>
    </row>
    <row r="57134" spans="62:62" x14ac:dyDescent="0.2">
      <c r="BJ57134" s="201"/>
    </row>
    <row r="57135" spans="62:62" x14ac:dyDescent="0.2">
      <c r="BJ57135" s="201"/>
    </row>
    <row r="57136" spans="62:62" x14ac:dyDescent="0.2">
      <c r="BJ57136" s="201"/>
    </row>
    <row r="57137" spans="62:62" x14ac:dyDescent="0.2">
      <c r="BJ57137" s="201"/>
    </row>
    <row r="57138" spans="62:62" x14ac:dyDescent="0.2">
      <c r="BJ57138" s="201"/>
    </row>
    <row r="57139" spans="62:62" x14ac:dyDescent="0.2">
      <c r="BJ57139" s="201"/>
    </row>
    <row r="57140" spans="62:62" x14ac:dyDescent="0.2">
      <c r="BJ57140" s="201"/>
    </row>
    <row r="57141" spans="62:62" x14ac:dyDescent="0.2">
      <c r="BJ57141" s="201"/>
    </row>
    <row r="57142" spans="62:62" x14ac:dyDescent="0.2">
      <c r="BJ57142" s="201"/>
    </row>
    <row r="57143" spans="62:62" x14ac:dyDescent="0.2">
      <c r="BJ57143" s="201"/>
    </row>
    <row r="57144" spans="62:62" x14ac:dyDescent="0.2">
      <c r="BJ57144" s="201"/>
    </row>
    <row r="57145" spans="62:62" x14ac:dyDescent="0.2">
      <c r="BJ57145" s="201"/>
    </row>
    <row r="57146" spans="62:62" x14ac:dyDescent="0.2">
      <c r="BJ57146" s="201"/>
    </row>
    <row r="57147" spans="62:62" x14ac:dyDescent="0.2">
      <c r="BJ57147" s="201"/>
    </row>
    <row r="57148" spans="62:62" x14ac:dyDescent="0.2">
      <c r="BJ57148" s="201"/>
    </row>
    <row r="57149" spans="62:62" x14ac:dyDescent="0.2">
      <c r="BJ57149" s="201"/>
    </row>
    <row r="57150" spans="62:62" x14ac:dyDescent="0.2">
      <c r="BJ57150" s="201"/>
    </row>
    <row r="57151" spans="62:62" x14ac:dyDescent="0.2">
      <c r="BJ57151" s="201"/>
    </row>
    <row r="57152" spans="62:62" x14ac:dyDescent="0.2">
      <c r="BJ57152" s="201"/>
    </row>
    <row r="57153" spans="62:62" x14ac:dyDescent="0.2">
      <c r="BJ57153" s="201"/>
    </row>
    <row r="57154" spans="62:62" x14ac:dyDescent="0.2">
      <c r="BJ57154" s="201"/>
    </row>
    <row r="57155" spans="62:62" x14ac:dyDescent="0.2">
      <c r="BJ57155" s="201"/>
    </row>
    <row r="57156" spans="62:62" x14ac:dyDescent="0.2">
      <c r="BJ57156" s="201"/>
    </row>
    <row r="57157" spans="62:62" x14ac:dyDescent="0.2">
      <c r="BJ57157" s="201"/>
    </row>
    <row r="57158" spans="62:62" x14ac:dyDescent="0.2">
      <c r="BJ57158" s="201"/>
    </row>
    <row r="57159" spans="62:62" x14ac:dyDescent="0.2">
      <c r="BJ57159" s="201"/>
    </row>
    <row r="57160" spans="62:62" x14ac:dyDescent="0.2">
      <c r="BJ57160" s="201"/>
    </row>
    <row r="57161" spans="62:62" x14ac:dyDescent="0.2">
      <c r="BJ57161" s="201"/>
    </row>
    <row r="57162" spans="62:62" x14ac:dyDescent="0.2">
      <c r="BJ57162" s="201"/>
    </row>
    <row r="57163" spans="62:62" x14ac:dyDescent="0.2">
      <c r="BJ57163" s="201"/>
    </row>
    <row r="57164" spans="62:62" x14ac:dyDescent="0.2">
      <c r="BJ57164" s="201"/>
    </row>
    <row r="57165" spans="62:62" x14ac:dyDescent="0.2">
      <c r="BJ57165" s="201"/>
    </row>
    <row r="57166" spans="62:62" x14ac:dyDescent="0.2">
      <c r="BJ57166" s="201"/>
    </row>
    <row r="57167" spans="62:62" x14ac:dyDescent="0.2">
      <c r="BJ57167" s="201"/>
    </row>
    <row r="57168" spans="62:62" x14ac:dyDescent="0.2">
      <c r="BJ57168" s="201"/>
    </row>
    <row r="57169" spans="62:62" x14ac:dyDescent="0.2">
      <c r="BJ57169" s="201"/>
    </row>
    <row r="57170" spans="62:62" x14ac:dyDescent="0.2">
      <c r="BJ57170" s="201"/>
    </row>
    <row r="57171" spans="62:62" x14ac:dyDescent="0.2">
      <c r="BJ57171" s="201"/>
    </row>
    <row r="57172" spans="62:62" x14ac:dyDescent="0.2">
      <c r="BJ57172" s="201"/>
    </row>
    <row r="57173" spans="62:62" x14ac:dyDescent="0.2">
      <c r="BJ57173" s="201"/>
    </row>
    <row r="57174" spans="62:62" x14ac:dyDescent="0.2">
      <c r="BJ57174" s="201"/>
    </row>
    <row r="57175" spans="62:62" x14ac:dyDescent="0.2">
      <c r="BJ57175" s="201"/>
    </row>
    <row r="57176" spans="62:62" x14ac:dyDescent="0.2">
      <c r="BJ57176" s="201"/>
    </row>
    <row r="57177" spans="62:62" x14ac:dyDescent="0.2">
      <c r="BJ57177" s="201"/>
    </row>
    <row r="57178" spans="62:62" x14ac:dyDescent="0.2">
      <c r="BJ57178" s="201"/>
    </row>
    <row r="57179" spans="62:62" x14ac:dyDescent="0.2">
      <c r="BJ57179" s="201"/>
    </row>
    <row r="57180" spans="62:62" x14ac:dyDescent="0.2">
      <c r="BJ57180" s="201"/>
    </row>
    <row r="57181" spans="62:62" x14ac:dyDescent="0.2">
      <c r="BJ57181" s="201"/>
    </row>
    <row r="57182" spans="62:62" x14ac:dyDescent="0.2">
      <c r="BJ57182" s="201"/>
    </row>
    <row r="57183" spans="62:62" x14ac:dyDescent="0.2">
      <c r="BJ57183" s="201"/>
    </row>
    <row r="57184" spans="62:62" x14ac:dyDescent="0.2">
      <c r="BJ57184" s="201"/>
    </row>
    <row r="57185" spans="62:62" x14ac:dyDescent="0.2">
      <c r="BJ57185" s="201"/>
    </row>
    <row r="57186" spans="62:62" x14ac:dyDescent="0.2">
      <c r="BJ57186" s="201"/>
    </row>
    <row r="57187" spans="62:62" x14ac:dyDescent="0.2">
      <c r="BJ57187" s="201"/>
    </row>
    <row r="57188" spans="62:62" x14ac:dyDescent="0.2">
      <c r="BJ57188" s="201"/>
    </row>
    <row r="57189" spans="62:62" x14ac:dyDescent="0.2">
      <c r="BJ57189" s="201"/>
    </row>
    <row r="57190" spans="62:62" x14ac:dyDescent="0.2">
      <c r="BJ57190" s="201"/>
    </row>
    <row r="57191" spans="62:62" x14ac:dyDescent="0.2">
      <c r="BJ57191" s="201"/>
    </row>
    <row r="57192" spans="62:62" x14ac:dyDescent="0.2">
      <c r="BJ57192" s="201"/>
    </row>
    <row r="57193" spans="62:62" x14ac:dyDescent="0.2">
      <c r="BJ57193" s="201"/>
    </row>
    <row r="57194" spans="62:62" x14ac:dyDescent="0.2">
      <c r="BJ57194" s="201"/>
    </row>
    <row r="57195" spans="62:62" x14ac:dyDescent="0.2">
      <c r="BJ57195" s="201"/>
    </row>
    <row r="57196" spans="62:62" x14ac:dyDescent="0.2">
      <c r="BJ57196" s="201"/>
    </row>
    <row r="57197" spans="62:62" x14ac:dyDescent="0.2">
      <c r="BJ57197" s="201"/>
    </row>
    <row r="57198" spans="62:62" x14ac:dyDescent="0.2">
      <c r="BJ57198" s="201"/>
    </row>
    <row r="57199" spans="62:62" x14ac:dyDescent="0.2">
      <c r="BJ57199" s="201"/>
    </row>
    <row r="57200" spans="62:62" x14ac:dyDescent="0.2">
      <c r="BJ57200" s="201"/>
    </row>
    <row r="57201" spans="62:62" x14ac:dyDescent="0.2">
      <c r="BJ57201" s="201"/>
    </row>
    <row r="57202" spans="62:62" x14ac:dyDescent="0.2">
      <c r="BJ57202" s="201"/>
    </row>
    <row r="57203" spans="62:62" x14ac:dyDescent="0.2">
      <c r="BJ57203" s="201"/>
    </row>
    <row r="57204" spans="62:62" x14ac:dyDescent="0.2">
      <c r="BJ57204" s="201"/>
    </row>
    <row r="57205" spans="62:62" x14ac:dyDescent="0.2">
      <c r="BJ57205" s="201"/>
    </row>
    <row r="57206" spans="62:62" x14ac:dyDescent="0.2">
      <c r="BJ57206" s="201"/>
    </row>
    <row r="57207" spans="62:62" x14ac:dyDescent="0.2">
      <c r="BJ57207" s="201"/>
    </row>
    <row r="57208" spans="62:62" x14ac:dyDescent="0.2">
      <c r="BJ57208" s="201"/>
    </row>
    <row r="57209" spans="62:62" x14ac:dyDescent="0.2">
      <c r="BJ57209" s="201"/>
    </row>
    <row r="57210" spans="62:62" x14ac:dyDescent="0.2">
      <c r="BJ57210" s="201"/>
    </row>
    <row r="57211" spans="62:62" x14ac:dyDescent="0.2">
      <c r="BJ57211" s="201"/>
    </row>
    <row r="57212" spans="62:62" x14ac:dyDescent="0.2">
      <c r="BJ57212" s="201"/>
    </row>
    <row r="57213" spans="62:62" x14ac:dyDescent="0.2">
      <c r="BJ57213" s="201"/>
    </row>
    <row r="57214" spans="62:62" x14ac:dyDescent="0.2">
      <c r="BJ57214" s="201"/>
    </row>
    <row r="57215" spans="62:62" x14ac:dyDescent="0.2">
      <c r="BJ57215" s="201"/>
    </row>
    <row r="57216" spans="62:62" x14ac:dyDescent="0.2">
      <c r="BJ57216" s="201"/>
    </row>
    <row r="57217" spans="62:62" x14ac:dyDescent="0.2">
      <c r="BJ57217" s="201"/>
    </row>
    <row r="57218" spans="62:62" x14ac:dyDescent="0.2">
      <c r="BJ57218" s="201"/>
    </row>
    <row r="57219" spans="62:62" x14ac:dyDescent="0.2">
      <c r="BJ57219" s="201"/>
    </row>
    <row r="57220" spans="62:62" x14ac:dyDescent="0.2">
      <c r="BJ57220" s="201"/>
    </row>
    <row r="57221" spans="62:62" x14ac:dyDescent="0.2">
      <c r="BJ57221" s="201"/>
    </row>
    <row r="57222" spans="62:62" x14ac:dyDescent="0.2">
      <c r="BJ57222" s="201"/>
    </row>
    <row r="57223" spans="62:62" x14ac:dyDescent="0.2">
      <c r="BJ57223" s="201"/>
    </row>
    <row r="57224" spans="62:62" x14ac:dyDescent="0.2">
      <c r="BJ57224" s="201"/>
    </row>
    <row r="57225" spans="62:62" x14ac:dyDescent="0.2">
      <c r="BJ57225" s="201"/>
    </row>
    <row r="57226" spans="62:62" x14ac:dyDescent="0.2">
      <c r="BJ57226" s="201"/>
    </row>
    <row r="57227" spans="62:62" x14ac:dyDescent="0.2">
      <c r="BJ57227" s="201"/>
    </row>
    <row r="57228" spans="62:62" x14ac:dyDescent="0.2">
      <c r="BJ57228" s="201"/>
    </row>
    <row r="57229" spans="62:62" x14ac:dyDescent="0.2">
      <c r="BJ57229" s="201"/>
    </row>
    <row r="57230" spans="62:62" x14ac:dyDescent="0.2">
      <c r="BJ57230" s="201"/>
    </row>
    <row r="57231" spans="62:62" x14ac:dyDescent="0.2">
      <c r="BJ57231" s="201"/>
    </row>
    <row r="57232" spans="62:62" x14ac:dyDescent="0.2">
      <c r="BJ57232" s="201"/>
    </row>
    <row r="57233" spans="62:62" x14ac:dyDescent="0.2">
      <c r="BJ57233" s="201"/>
    </row>
    <row r="57234" spans="62:62" x14ac:dyDescent="0.2">
      <c r="BJ57234" s="201"/>
    </row>
    <row r="57235" spans="62:62" x14ac:dyDescent="0.2">
      <c r="BJ57235" s="201"/>
    </row>
    <row r="57236" spans="62:62" x14ac:dyDescent="0.2">
      <c r="BJ57236" s="201"/>
    </row>
    <row r="57237" spans="62:62" x14ac:dyDescent="0.2">
      <c r="BJ57237" s="201"/>
    </row>
    <row r="57238" spans="62:62" x14ac:dyDescent="0.2">
      <c r="BJ57238" s="201"/>
    </row>
    <row r="57239" spans="62:62" x14ac:dyDescent="0.2">
      <c r="BJ57239" s="201"/>
    </row>
    <row r="57240" spans="62:62" x14ac:dyDescent="0.2">
      <c r="BJ57240" s="201"/>
    </row>
    <row r="57241" spans="62:62" x14ac:dyDescent="0.2">
      <c r="BJ57241" s="201"/>
    </row>
    <row r="57242" spans="62:62" x14ac:dyDescent="0.2">
      <c r="BJ57242" s="201"/>
    </row>
    <row r="57243" spans="62:62" x14ac:dyDescent="0.2">
      <c r="BJ57243" s="201"/>
    </row>
    <row r="57244" spans="62:62" x14ac:dyDescent="0.2">
      <c r="BJ57244" s="201"/>
    </row>
    <row r="57245" spans="62:62" x14ac:dyDescent="0.2">
      <c r="BJ57245" s="201"/>
    </row>
    <row r="57246" spans="62:62" x14ac:dyDescent="0.2">
      <c r="BJ57246" s="201"/>
    </row>
    <row r="57247" spans="62:62" x14ac:dyDescent="0.2">
      <c r="BJ57247" s="201"/>
    </row>
    <row r="57248" spans="62:62" x14ac:dyDescent="0.2">
      <c r="BJ57248" s="201"/>
    </row>
    <row r="57249" spans="62:62" x14ac:dyDescent="0.2">
      <c r="BJ57249" s="201"/>
    </row>
    <row r="57250" spans="62:62" x14ac:dyDescent="0.2">
      <c r="BJ57250" s="201"/>
    </row>
    <row r="57251" spans="62:62" x14ac:dyDescent="0.2">
      <c r="BJ57251" s="201"/>
    </row>
    <row r="57252" spans="62:62" x14ac:dyDescent="0.2">
      <c r="BJ57252" s="201"/>
    </row>
    <row r="57253" spans="62:62" x14ac:dyDescent="0.2">
      <c r="BJ57253" s="201"/>
    </row>
    <row r="57254" spans="62:62" x14ac:dyDescent="0.2">
      <c r="BJ57254" s="201"/>
    </row>
    <row r="57255" spans="62:62" x14ac:dyDescent="0.2">
      <c r="BJ57255" s="201"/>
    </row>
    <row r="57256" spans="62:62" x14ac:dyDescent="0.2">
      <c r="BJ57256" s="201"/>
    </row>
    <row r="57257" spans="62:62" x14ac:dyDescent="0.2">
      <c r="BJ57257" s="201"/>
    </row>
    <row r="57258" spans="62:62" x14ac:dyDescent="0.2">
      <c r="BJ57258" s="201"/>
    </row>
    <row r="57259" spans="62:62" x14ac:dyDescent="0.2">
      <c r="BJ57259" s="201"/>
    </row>
    <row r="57260" spans="62:62" x14ac:dyDescent="0.2">
      <c r="BJ57260" s="201"/>
    </row>
    <row r="57261" spans="62:62" x14ac:dyDescent="0.2">
      <c r="BJ57261" s="201"/>
    </row>
    <row r="57262" spans="62:62" x14ac:dyDescent="0.2">
      <c r="BJ57262" s="201"/>
    </row>
    <row r="57263" spans="62:62" x14ac:dyDescent="0.2">
      <c r="BJ57263" s="201"/>
    </row>
    <row r="57264" spans="62:62" x14ac:dyDescent="0.2">
      <c r="BJ57264" s="201"/>
    </row>
    <row r="57265" spans="62:62" x14ac:dyDescent="0.2">
      <c r="BJ57265" s="201"/>
    </row>
    <row r="57266" spans="62:62" x14ac:dyDescent="0.2">
      <c r="BJ57266" s="201"/>
    </row>
    <row r="57267" spans="62:62" x14ac:dyDescent="0.2">
      <c r="BJ57267" s="201"/>
    </row>
    <row r="57268" spans="62:62" x14ac:dyDescent="0.2">
      <c r="BJ57268" s="201"/>
    </row>
    <row r="57269" spans="62:62" x14ac:dyDescent="0.2">
      <c r="BJ57269" s="201"/>
    </row>
    <row r="57270" spans="62:62" x14ac:dyDescent="0.2">
      <c r="BJ57270" s="201"/>
    </row>
    <row r="57271" spans="62:62" x14ac:dyDescent="0.2">
      <c r="BJ57271" s="201"/>
    </row>
    <row r="57272" spans="62:62" x14ac:dyDescent="0.2">
      <c r="BJ57272" s="201"/>
    </row>
    <row r="57273" spans="62:62" x14ac:dyDescent="0.2">
      <c r="BJ57273" s="201"/>
    </row>
    <row r="57274" spans="62:62" x14ac:dyDescent="0.2">
      <c r="BJ57274" s="201"/>
    </row>
    <row r="57275" spans="62:62" x14ac:dyDescent="0.2">
      <c r="BJ57275" s="201"/>
    </row>
    <row r="57276" spans="62:62" x14ac:dyDescent="0.2">
      <c r="BJ57276" s="201"/>
    </row>
    <row r="57277" spans="62:62" x14ac:dyDescent="0.2">
      <c r="BJ57277" s="201"/>
    </row>
    <row r="57278" spans="62:62" x14ac:dyDescent="0.2">
      <c r="BJ57278" s="201"/>
    </row>
    <row r="57279" spans="62:62" x14ac:dyDescent="0.2">
      <c r="BJ57279" s="201"/>
    </row>
    <row r="57280" spans="62:62" x14ac:dyDescent="0.2">
      <c r="BJ57280" s="201"/>
    </row>
    <row r="57281" spans="62:62" x14ac:dyDescent="0.2">
      <c r="BJ57281" s="201"/>
    </row>
    <row r="57282" spans="62:62" x14ac:dyDescent="0.2">
      <c r="BJ57282" s="201"/>
    </row>
    <row r="57283" spans="62:62" x14ac:dyDescent="0.2">
      <c r="BJ57283" s="201"/>
    </row>
    <row r="57284" spans="62:62" x14ac:dyDescent="0.2">
      <c r="BJ57284" s="201"/>
    </row>
    <row r="57285" spans="62:62" x14ac:dyDescent="0.2">
      <c r="BJ57285" s="201"/>
    </row>
    <row r="57286" spans="62:62" x14ac:dyDescent="0.2">
      <c r="BJ57286" s="201"/>
    </row>
    <row r="57287" spans="62:62" x14ac:dyDescent="0.2">
      <c r="BJ57287" s="201"/>
    </row>
    <row r="57288" spans="62:62" x14ac:dyDescent="0.2">
      <c r="BJ57288" s="201"/>
    </row>
    <row r="57289" spans="62:62" x14ac:dyDescent="0.2">
      <c r="BJ57289" s="201"/>
    </row>
    <row r="57290" spans="62:62" x14ac:dyDescent="0.2">
      <c r="BJ57290" s="201"/>
    </row>
    <row r="57291" spans="62:62" x14ac:dyDescent="0.2">
      <c r="BJ57291" s="201"/>
    </row>
    <row r="57292" spans="62:62" x14ac:dyDescent="0.2">
      <c r="BJ57292" s="201"/>
    </row>
    <row r="57293" spans="62:62" x14ac:dyDescent="0.2">
      <c r="BJ57293" s="201"/>
    </row>
    <row r="57294" spans="62:62" x14ac:dyDescent="0.2">
      <c r="BJ57294" s="201"/>
    </row>
    <row r="57295" spans="62:62" x14ac:dyDescent="0.2">
      <c r="BJ57295" s="201"/>
    </row>
    <row r="57296" spans="62:62" x14ac:dyDescent="0.2">
      <c r="BJ57296" s="201"/>
    </row>
    <row r="57297" spans="62:62" x14ac:dyDescent="0.2">
      <c r="BJ57297" s="201"/>
    </row>
    <row r="57298" spans="62:62" x14ac:dyDescent="0.2">
      <c r="BJ57298" s="201"/>
    </row>
    <row r="57299" spans="62:62" x14ac:dyDescent="0.2">
      <c r="BJ57299" s="201"/>
    </row>
    <row r="57300" spans="62:62" x14ac:dyDescent="0.2">
      <c r="BJ57300" s="201"/>
    </row>
    <row r="57301" spans="62:62" x14ac:dyDescent="0.2">
      <c r="BJ57301" s="201"/>
    </row>
    <row r="57302" spans="62:62" x14ac:dyDescent="0.2">
      <c r="BJ57302" s="201"/>
    </row>
    <row r="57303" spans="62:62" x14ac:dyDescent="0.2">
      <c r="BJ57303" s="201"/>
    </row>
    <row r="57304" spans="62:62" x14ac:dyDescent="0.2">
      <c r="BJ57304" s="201"/>
    </row>
    <row r="57305" spans="62:62" x14ac:dyDescent="0.2">
      <c r="BJ57305" s="201"/>
    </row>
    <row r="57306" spans="62:62" x14ac:dyDescent="0.2">
      <c r="BJ57306" s="201"/>
    </row>
    <row r="57307" spans="62:62" x14ac:dyDescent="0.2">
      <c r="BJ57307" s="201"/>
    </row>
    <row r="57308" spans="62:62" x14ac:dyDescent="0.2">
      <c r="BJ57308" s="201"/>
    </row>
    <row r="57309" spans="62:62" x14ac:dyDescent="0.2">
      <c r="BJ57309" s="201"/>
    </row>
    <row r="57310" spans="62:62" x14ac:dyDescent="0.2">
      <c r="BJ57310" s="201"/>
    </row>
    <row r="57311" spans="62:62" x14ac:dyDescent="0.2">
      <c r="BJ57311" s="201"/>
    </row>
    <row r="57312" spans="62:62" x14ac:dyDescent="0.2">
      <c r="BJ57312" s="201"/>
    </row>
    <row r="57313" spans="62:62" x14ac:dyDescent="0.2">
      <c r="BJ57313" s="201"/>
    </row>
    <row r="57314" spans="62:62" x14ac:dyDescent="0.2">
      <c r="BJ57314" s="201"/>
    </row>
    <row r="57315" spans="62:62" x14ac:dyDescent="0.2">
      <c r="BJ57315" s="201"/>
    </row>
    <row r="57316" spans="62:62" x14ac:dyDescent="0.2">
      <c r="BJ57316" s="201"/>
    </row>
    <row r="57317" spans="62:62" x14ac:dyDescent="0.2">
      <c r="BJ57317" s="201"/>
    </row>
    <row r="57318" spans="62:62" x14ac:dyDescent="0.2">
      <c r="BJ57318" s="201"/>
    </row>
    <row r="57319" spans="62:62" x14ac:dyDescent="0.2">
      <c r="BJ57319" s="201"/>
    </row>
    <row r="57320" spans="62:62" x14ac:dyDescent="0.2">
      <c r="BJ57320" s="201"/>
    </row>
    <row r="57321" spans="62:62" x14ac:dyDescent="0.2">
      <c r="BJ57321" s="201"/>
    </row>
    <row r="57322" spans="62:62" x14ac:dyDescent="0.2">
      <c r="BJ57322" s="201"/>
    </row>
    <row r="57323" spans="62:62" x14ac:dyDescent="0.2">
      <c r="BJ57323" s="201"/>
    </row>
    <row r="57324" spans="62:62" x14ac:dyDescent="0.2">
      <c r="BJ57324" s="201"/>
    </row>
    <row r="57325" spans="62:62" x14ac:dyDescent="0.2">
      <c r="BJ57325" s="201"/>
    </row>
    <row r="57326" spans="62:62" x14ac:dyDescent="0.2">
      <c r="BJ57326" s="201"/>
    </row>
    <row r="57327" spans="62:62" x14ac:dyDescent="0.2">
      <c r="BJ57327" s="201"/>
    </row>
    <row r="57328" spans="62:62" x14ac:dyDescent="0.2">
      <c r="BJ57328" s="201"/>
    </row>
    <row r="57329" spans="62:62" x14ac:dyDescent="0.2">
      <c r="BJ57329" s="201"/>
    </row>
    <row r="57330" spans="62:62" x14ac:dyDescent="0.2">
      <c r="BJ57330" s="201"/>
    </row>
    <row r="57331" spans="62:62" x14ac:dyDescent="0.2">
      <c r="BJ57331" s="201"/>
    </row>
    <row r="57332" spans="62:62" x14ac:dyDescent="0.2">
      <c r="BJ57332" s="201"/>
    </row>
    <row r="57333" spans="62:62" x14ac:dyDescent="0.2">
      <c r="BJ57333" s="201"/>
    </row>
    <row r="57334" spans="62:62" x14ac:dyDescent="0.2">
      <c r="BJ57334" s="201"/>
    </row>
    <row r="57335" spans="62:62" x14ac:dyDescent="0.2">
      <c r="BJ57335" s="201"/>
    </row>
    <row r="57336" spans="62:62" x14ac:dyDescent="0.2">
      <c r="BJ57336" s="201"/>
    </row>
    <row r="57337" spans="62:62" x14ac:dyDescent="0.2">
      <c r="BJ57337" s="201"/>
    </row>
    <row r="57338" spans="62:62" x14ac:dyDescent="0.2">
      <c r="BJ57338" s="201"/>
    </row>
    <row r="57339" spans="62:62" x14ac:dyDescent="0.2">
      <c r="BJ57339" s="201"/>
    </row>
    <row r="57340" spans="62:62" x14ac:dyDescent="0.2">
      <c r="BJ57340" s="201"/>
    </row>
    <row r="57341" spans="62:62" x14ac:dyDescent="0.2">
      <c r="BJ57341" s="201"/>
    </row>
    <row r="57342" spans="62:62" x14ac:dyDescent="0.2">
      <c r="BJ57342" s="201"/>
    </row>
    <row r="57343" spans="62:62" x14ac:dyDescent="0.2">
      <c r="BJ57343" s="201"/>
    </row>
    <row r="57344" spans="62:62" x14ac:dyDescent="0.2">
      <c r="BJ57344" s="201"/>
    </row>
    <row r="57345" spans="62:62" x14ac:dyDescent="0.2">
      <c r="BJ57345" s="201"/>
    </row>
    <row r="57346" spans="62:62" x14ac:dyDescent="0.2">
      <c r="BJ57346" s="201"/>
    </row>
    <row r="57347" spans="62:62" x14ac:dyDescent="0.2">
      <c r="BJ57347" s="201"/>
    </row>
    <row r="57348" spans="62:62" x14ac:dyDescent="0.2">
      <c r="BJ57348" s="201"/>
    </row>
    <row r="57349" spans="62:62" x14ac:dyDescent="0.2">
      <c r="BJ57349" s="201"/>
    </row>
    <row r="57350" spans="62:62" x14ac:dyDescent="0.2">
      <c r="BJ57350" s="201"/>
    </row>
    <row r="57351" spans="62:62" x14ac:dyDescent="0.2">
      <c r="BJ57351" s="201"/>
    </row>
    <row r="57352" spans="62:62" x14ac:dyDescent="0.2">
      <c r="BJ57352" s="201"/>
    </row>
    <row r="57353" spans="62:62" x14ac:dyDescent="0.2">
      <c r="BJ57353" s="201"/>
    </row>
    <row r="57354" spans="62:62" x14ac:dyDescent="0.2">
      <c r="BJ57354" s="201"/>
    </row>
    <row r="57355" spans="62:62" x14ac:dyDescent="0.2">
      <c r="BJ57355" s="201"/>
    </row>
    <row r="57356" spans="62:62" x14ac:dyDescent="0.2">
      <c r="BJ57356" s="201"/>
    </row>
    <row r="57357" spans="62:62" x14ac:dyDescent="0.2">
      <c r="BJ57357" s="201"/>
    </row>
    <row r="57358" spans="62:62" x14ac:dyDescent="0.2">
      <c r="BJ57358" s="201"/>
    </row>
    <row r="57359" spans="62:62" x14ac:dyDescent="0.2">
      <c r="BJ57359" s="201"/>
    </row>
    <row r="57360" spans="62:62" x14ac:dyDescent="0.2">
      <c r="BJ57360" s="201"/>
    </row>
    <row r="57361" spans="62:62" x14ac:dyDescent="0.2">
      <c r="BJ57361" s="201"/>
    </row>
    <row r="57362" spans="62:62" x14ac:dyDescent="0.2">
      <c r="BJ57362" s="201"/>
    </row>
    <row r="57363" spans="62:62" x14ac:dyDescent="0.2">
      <c r="BJ57363" s="201"/>
    </row>
    <row r="57364" spans="62:62" x14ac:dyDescent="0.2">
      <c r="BJ57364" s="201"/>
    </row>
    <row r="57365" spans="62:62" x14ac:dyDescent="0.2">
      <c r="BJ57365" s="201"/>
    </row>
    <row r="57366" spans="62:62" x14ac:dyDescent="0.2">
      <c r="BJ57366" s="201"/>
    </row>
    <row r="57367" spans="62:62" x14ac:dyDescent="0.2">
      <c r="BJ57367" s="201"/>
    </row>
    <row r="57368" spans="62:62" x14ac:dyDescent="0.2">
      <c r="BJ57368" s="201"/>
    </row>
    <row r="57369" spans="62:62" x14ac:dyDescent="0.2">
      <c r="BJ57369" s="201"/>
    </row>
    <row r="57370" spans="62:62" x14ac:dyDescent="0.2">
      <c r="BJ57370" s="201"/>
    </row>
    <row r="57371" spans="62:62" x14ac:dyDescent="0.2">
      <c r="BJ57371" s="201"/>
    </row>
    <row r="57372" spans="62:62" x14ac:dyDescent="0.2">
      <c r="BJ57372" s="201"/>
    </row>
    <row r="57373" spans="62:62" x14ac:dyDescent="0.2">
      <c r="BJ57373" s="201"/>
    </row>
    <row r="57374" spans="62:62" x14ac:dyDescent="0.2">
      <c r="BJ57374" s="201"/>
    </row>
    <row r="57375" spans="62:62" x14ac:dyDescent="0.2">
      <c r="BJ57375" s="201"/>
    </row>
    <row r="57376" spans="62:62" x14ac:dyDescent="0.2">
      <c r="BJ57376" s="201"/>
    </row>
    <row r="57377" spans="62:62" x14ac:dyDescent="0.2">
      <c r="BJ57377" s="201"/>
    </row>
    <row r="57378" spans="62:62" x14ac:dyDescent="0.2">
      <c r="BJ57378" s="201"/>
    </row>
    <row r="57379" spans="62:62" x14ac:dyDescent="0.2">
      <c r="BJ57379" s="201"/>
    </row>
    <row r="57380" spans="62:62" x14ac:dyDescent="0.2">
      <c r="BJ57380" s="201"/>
    </row>
    <row r="57381" spans="62:62" x14ac:dyDescent="0.2">
      <c r="BJ57381" s="201"/>
    </row>
    <row r="57382" spans="62:62" x14ac:dyDescent="0.2">
      <c r="BJ57382" s="201"/>
    </row>
    <row r="57383" spans="62:62" x14ac:dyDescent="0.2">
      <c r="BJ57383" s="201"/>
    </row>
    <row r="57384" spans="62:62" x14ac:dyDescent="0.2">
      <c r="BJ57384" s="201"/>
    </row>
    <row r="57385" spans="62:62" x14ac:dyDescent="0.2">
      <c r="BJ57385" s="201"/>
    </row>
    <row r="57386" spans="62:62" x14ac:dyDescent="0.2">
      <c r="BJ57386" s="201"/>
    </row>
    <row r="57387" spans="62:62" x14ac:dyDescent="0.2">
      <c r="BJ57387" s="201"/>
    </row>
    <row r="57388" spans="62:62" x14ac:dyDescent="0.2">
      <c r="BJ57388" s="201"/>
    </row>
    <row r="57389" spans="62:62" x14ac:dyDescent="0.2">
      <c r="BJ57389" s="201"/>
    </row>
    <row r="57390" spans="62:62" x14ac:dyDescent="0.2">
      <c r="BJ57390" s="201"/>
    </row>
    <row r="57391" spans="62:62" x14ac:dyDescent="0.2">
      <c r="BJ57391" s="201"/>
    </row>
    <row r="57392" spans="62:62" x14ac:dyDescent="0.2">
      <c r="BJ57392" s="201"/>
    </row>
    <row r="57393" spans="62:62" x14ac:dyDescent="0.2">
      <c r="BJ57393" s="201"/>
    </row>
    <row r="57394" spans="62:62" x14ac:dyDescent="0.2">
      <c r="BJ57394" s="201"/>
    </row>
    <row r="57395" spans="62:62" x14ac:dyDescent="0.2">
      <c r="BJ57395" s="201"/>
    </row>
    <row r="57396" spans="62:62" x14ac:dyDescent="0.2">
      <c r="BJ57396" s="201"/>
    </row>
    <row r="57397" spans="62:62" x14ac:dyDescent="0.2">
      <c r="BJ57397" s="201"/>
    </row>
    <row r="57398" spans="62:62" x14ac:dyDescent="0.2">
      <c r="BJ57398" s="201"/>
    </row>
    <row r="57399" spans="62:62" x14ac:dyDescent="0.2">
      <c r="BJ57399" s="201"/>
    </row>
    <row r="57400" spans="62:62" x14ac:dyDescent="0.2">
      <c r="BJ57400" s="201"/>
    </row>
    <row r="57401" spans="62:62" x14ac:dyDescent="0.2">
      <c r="BJ57401" s="201"/>
    </row>
    <row r="57402" spans="62:62" x14ac:dyDescent="0.2">
      <c r="BJ57402" s="201"/>
    </row>
    <row r="57403" spans="62:62" x14ac:dyDescent="0.2">
      <c r="BJ57403" s="201"/>
    </row>
    <row r="57404" spans="62:62" x14ac:dyDescent="0.2">
      <c r="BJ57404" s="201"/>
    </row>
    <row r="57405" spans="62:62" x14ac:dyDescent="0.2">
      <c r="BJ57405" s="201"/>
    </row>
    <row r="57406" spans="62:62" x14ac:dyDescent="0.2">
      <c r="BJ57406" s="201"/>
    </row>
    <row r="57407" spans="62:62" x14ac:dyDescent="0.2">
      <c r="BJ57407" s="201"/>
    </row>
    <row r="57408" spans="62:62" x14ac:dyDescent="0.2">
      <c r="BJ57408" s="201"/>
    </row>
    <row r="57409" spans="62:62" x14ac:dyDescent="0.2">
      <c r="BJ57409" s="201"/>
    </row>
    <row r="57410" spans="62:62" x14ac:dyDescent="0.2">
      <c r="BJ57410" s="201"/>
    </row>
    <row r="57411" spans="62:62" x14ac:dyDescent="0.2">
      <c r="BJ57411" s="201"/>
    </row>
    <row r="57412" spans="62:62" x14ac:dyDescent="0.2">
      <c r="BJ57412" s="201"/>
    </row>
    <row r="57413" spans="62:62" x14ac:dyDescent="0.2">
      <c r="BJ57413" s="201"/>
    </row>
    <row r="57414" spans="62:62" x14ac:dyDescent="0.2">
      <c r="BJ57414" s="201"/>
    </row>
    <row r="57415" spans="62:62" x14ac:dyDescent="0.2">
      <c r="BJ57415" s="201"/>
    </row>
    <row r="57416" spans="62:62" x14ac:dyDescent="0.2">
      <c r="BJ57416" s="201"/>
    </row>
    <row r="57417" spans="62:62" x14ac:dyDescent="0.2">
      <c r="BJ57417" s="201"/>
    </row>
    <row r="57418" spans="62:62" x14ac:dyDescent="0.2">
      <c r="BJ57418" s="201"/>
    </row>
    <row r="57419" spans="62:62" x14ac:dyDescent="0.2">
      <c r="BJ57419" s="201"/>
    </row>
    <row r="57420" spans="62:62" x14ac:dyDescent="0.2">
      <c r="BJ57420" s="201"/>
    </row>
    <row r="57421" spans="62:62" x14ac:dyDescent="0.2">
      <c r="BJ57421" s="201"/>
    </row>
    <row r="57422" spans="62:62" x14ac:dyDescent="0.2">
      <c r="BJ57422" s="201"/>
    </row>
    <row r="57423" spans="62:62" x14ac:dyDescent="0.2">
      <c r="BJ57423" s="201"/>
    </row>
    <row r="57424" spans="62:62" x14ac:dyDescent="0.2">
      <c r="BJ57424" s="201"/>
    </row>
    <row r="57425" spans="62:62" x14ac:dyDescent="0.2">
      <c r="BJ57425" s="201"/>
    </row>
    <row r="57426" spans="62:62" x14ac:dyDescent="0.2">
      <c r="BJ57426" s="201"/>
    </row>
    <row r="57427" spans="62:62" x14ac:dyDescent="0.2">
      <c r="BJ57427" s="201"/>
    </row>
    <row r="57428" spans="62:62" x14ac:dyDescent="0.2">
      <c r="BJ57428" s="201"/>
    </row>
    <row r="57429" spans="62:62" x14ac:dyDescent="0.2">
      <c r="BJ57429" s="201"/>
    </row>
    <row r="57430" spans="62:62" x14ac:dyDescent="0.2">
      <c r="BJ57430" s="201"/>
    </row>
    <row r="57431" spans="62:62" x14ac:dyDescent="0.2">
      <c r="BJ57431" s="201"/>
    </row>
    <row r="57432" spans="62:62" x14ac:dyDescent="0.2">
      <c r="BJ57432" s="201"/>
    </row>
    <row r="57433" spans="62:62" x14ac:dyDescent="0.2">
      <c r="BJ57433" s="201"/>
    </row>
    <row r="57434" spans="62:62" x14ac:dyDescent="0.2">
      <c r="BJ57434" s="201"/>
    </row>
    <row r="57435" spans="62:62" x14ac:dyDescent="0.2">
      <c r="BJ57435" s="201"/>
    </row>
    <row r="57436" spans="62:62" x14ac:dyDescent="0.2">
      <c r="BJ57436" s="201"/>
    </row>
    <row r="57437" spans="62:62" x14ac:dyDescent="0.2">
      <c r="BJ57437" s="201"/>
    </row>
    <row r="57438" spans="62:62" x14ac:dyDescent="0.2">
      <c r="BJ57438" s="201"/>
    </row>
    <row r="57439" spans="62:62" x14ac:dyDescent="0.2">
      <c r="BJ57439" s="201"/>
    </row>
    <row r="57440" spans="62:62" x14ac:dyDescent="0.2">
      <c r="BJ57440" s="201"/>
    </row>
    <row r="57441" spans="62:62" x14ac:dyDescent="0.2">
      <c r="BJ57441" s="201"/>
    </row>
    <row r="57442" spans="62:62" x14ac:dyDescent="0.2">
      <c r="BJ57442" s="201"/>
    </row>
    <row r="57443" spans="62:62" x14ac:dyDescent="0.2">
      <c r="BJ57443" s="201"/>
    </row>
    <row r="57444" spans="62:62" x14ac:dyDescent="0.2">
      <c r="BJ57444" s="201"/>
    </row>
    <row r="57445" spans="62:62" x14ac:dyDescent="0.2">
      <c r="BJ57445" s="201"/>
    </row>
    <row r="57446" spans="62:62" x14ac:dyDescent="0.2">
      <c r="BJ57446" s="201"/>
    </row>
    <row r="57447" spans="62:62" x14ac:dyDescent="0.2">
      <c r="BJ57447" s="201"/>
    </row>
    <row r="57448" spans="62:62" x14ac:dyDescent="0.2">
      <c r="BJ57448" s="201"/>
    </row>
    <row r="57449" spans="62:62" x14ac:dyDescent="0.2">
      <c r="BJ57449" s="201"/>
    </row>
    <row r="57450" spans="62:62" x14ac:dyDescent="0.2">
      <c r="BJ57450" s="201"/>
    </row>
    <row r="57451" spans="62:62" x14ac:dyDescent="0.2">
      <c r="BJ57451" s="201"/>
    </row>
    <row r="57452" spans="62:62" x14ac:dyDescent="0.2">
      <c r="BJ57452" s="201"/>
    </row>
    <row r="57453" spans="62:62" x14ac:dyDescent="0.2">
      <c r="BJ57453" s="201"/>
    </row>
    <row r="57454" spans="62:62" x14ac:dyDescent="0.2">
      <c r="BJ57454" s="201"/>
    </row>
    <row r="57455" spans="62:62" x14ac:dyDescent="0.2">
      <c r="BJ57455" s="201"/>
    </row>
    <row r="57456" spans="62:62" x14ac:dyDescent="0.2">
      <c r="BJ57456" s="201"/>
    </row>
    <row r="57457" spans="62:62" x14ac:dyDescent="0.2">
      <c r="BJ57457" s="201"/>
    </row>
    <row r="57458" spans="62:62" x14ac:dyDescent="0.2">
      <c r="BJ57458" s="201"/>
    </row>
    <row r="57459" spans="62:62" x14ac:dyDescent="0.2">
      <c r="BJ57459" s="201"/>
    </row>
    <row r="57460" spans="62:62" x14ac:dyDescent="0.2">
      <c r="BJ57460" s="201"/>
    </row>
    <row r="57461" spans="62:62" x14ac:dyDescent="0.2">
      <c r="BJ57461" s="201"/>
    </row>
    <row r="57462" spans="62:62" x14ac:dyDescent="0.2">
      <c r="BJ57462" s="201"/>
    </row>
    <row r="57463" spans="62:62" x14ac:dyDescent="0.2">
      <c r="BJ57463" s="201"/>
    </row>
    <row r="57464" spans="62:62" x14ac:dyDescent="0.2">
      <c r="BJ57464" s="201"/>
    </row>
    <row r="57465" spans="62:62" x14ac:dyDescent="0.2">
      <c r="BJ57465" s="201"/>
    </row>
    <row r="57466" spans="62:62" x14ac:dyDescent="0.2">
      <c r="BJ57466" s="201"/>
    </row>
    <row r="57467" spans="62:62" x14ac:dyDescent="0.2">
      <c r="BJ57467" s="201"/>
    </row>
    <row r="57468" spans="62:62" x14ac:dyDescent="0.2">
      <c r="BJ57468" s="201"/>
    </row>
    <row r="57469" spans="62:62" x14ac:dyDescent="0.2">
      <c r="BJ57469" s="201"/>
    </row>
    <row r="57470" spans="62:62" x14ac:dyDescent="0.2">
      <c r="BJ57470" s="201"/>
    </row>
    <row r="57471" spans="62:62" x14ac:dyDescent="0.2">
      <c r="BJ57471" s="201"/>
    </row>
    <row r="57472" spans="62:62" x14ac:dyDescent="0.2">
      <c r="BJ57472" s="201"/>
    </row>
    <row r="57473" spans="62:62" x14ac:dyDescent="0.2">
      <c r="BJ57473" s="201"/>
    </row>
    <row r="57474" spans="62:62" x14ac:dyDescent="0.2">
      <c r="BJ57474" s="201"/>
    </row>
    <row r="57475" spans="62:62" x14ac:dyDescent="0.2">
      <c r="BJ57475" s="201"/>
    </row>
    <row r="57476" spans="62:62" x14ac:dyDescent="0.2">
      <c r="BJ57476" s="201"/>
    </row>
    <row r="57477" spans="62:62" x14ac:dyDescent="0.2">
      <c r="BJ57477" s="201"/>
    </row>
    <row r="57478" spans="62:62" x14ac:dyDescent="0.2">
      <c r="BJ57478" s="201"/>
    </row>
    <row r="57479" spans="62:62" x14ac:dyDescent="0.2">
      <c r="BJ57479" s="201"/>
    </row>
    <row r="57480" spans="62:62" x14ac:dyDescent="0.2">
      <c r="BJ57480" s="201"/>
    </row>
    <row r="57481" spans="62:62" x14ac:dyDescent="0.2">
      <c r="BJ57481" s="201"/>
    </row>
    <row r="57482" spans="62:62" x14ac:dyDescent="0.2">
      <c r="BJ57482" s="201"/>
    </row>
    <row r="57483" spans="62:62" x14ac:dyDescent="0.2">
      <c r="BJ57483" s="201"/>
    </row>
    <row r="57484" spans="62:62" x14ac:dyDescent="0.2">
      <c r="BJ57484" s="201"/>
    </row>
    <row r="57485" spans="62:62" x14ac:dyDescent="0.2">
      <c r="BJ57485" s="201"/>
    </row>
    <row r="57486" spans="62:62" x14ac:dyDescent="0.2">
      <c r="BJ57486" s="201"/>
    </row>
    <row r="57487" spans="62:62" x14ac:dyDescent="0.2">
      <c r="BJ57487" s="201"/>
    </row>
    <row r="57488" spans="62:62" x14ac:dyDescent="0.2">
      <c r="BJ57488" s="201"/>
    </row>
    <row r="57489" spans="62:62" x14ac:dyDescent="0.2">
      <c r="BJ57489" s="201"/>
    </row>
    <row r="57490" spans="62:62" x14ac:dyDescent="0.2">
      <c r="BJ57490" s="201"/>
    </row>
    <row r="57491" spans="62:62" x14ac:dyDescent="0.2">
      <c r="BJ57491" s="201"/>
    </row>
    <row r="57492" spans="62:62" x14ac:dyDescent="0.2">
      <c r="BJ57492" s="201"/>
    </row>
    <row r="57493" spans="62:62" x14ac:dyDescent="0.2">
      <c r="BJ57493" s="201"/>
    </row>
    <row r="57494" spans="62:62" x14ac:dyDescent="0.2">
      <c r="BJ57494" s="201"/>
    </row>
    <row r="57495" spans="62:62" x14ac:dyDescent="0.2">
      <c r="BJ57495" s="201"/>
    </row>
    <row r="57496" spans="62:62" x14ac:dyDescent="0.2">
      <c r="BJ57496" s="201"/>
    </row>
    <row r="57497" spans="62:62" x14ac:dyDescent="0.2">
      <c r="BJ57497" s="201"/>
    </row>
    <row r="57498" spans="62:62" x14ac:dyDescent="0.2">
      <c r="BJ57498" s="201"/>
    </row>
    <row r="57499" spans="62:62" x14ac:dyDescent="0.2">
      <c r="BJ57499" s="201"/>
    </row>
    <row r="57500" spans="62:62" x14ac:dyDescent="0.2">
      <c r="BJ57500" s="201"/>
    </row>
    <row r="57501" spans="62:62" x14ac:dyDescent="0.2">
      <c r="BJ57501" s="201"/>
    </row>
    <row r="57502" spans="62:62" x14ac:dyDescent="0.2">
      <c r="BJ57502" s="201"/>
    </row>
    <row r="57503" spans="62:62" x14ac:dyDescent="0.2">
      <c r="BJ57503" s="201"/>
    </row>
    <row r="57504" spans="62:62" x14ac:dyDescent="0.2">
      <c r="BJ57504" s="201"/>
    </row>
    <row r="57505" spans="62:62" x14ac:dyDescent="0.2">
      <c r="BJ57505" s="201"/>
    </row>
    <row r="57506" spans="62:62" x14ac:dyDescent="0.2">
      <c r="BJ57506" s="201"/>
    </row>
    <row r="57507" spans="62:62" x14ac:dyDescent="0.2">
      <c r="BJ57507" s="201"/>
    </row>
    <row r="57508" spans="62:62" x14ac:dyDescent="0.2">
      <c r="BJ57508" s="201"/>
    </row>
    <row r="57509" spans="62:62" x14ac:dyDescent="0.2">
      <c r="BJ57509" s="201"/>
    </row>
    <row r="57510" spans="62:62" x14ac:dyDescent="0.2">
      <c r="BJ57510" s="201"/>
    </row>
    <row r="57511" spans="62:62" x14ac:dyDescent="0.2">
      <c r="BJ57511" s="201"/>
    </row>
    <row r="57512" spans="62:62" x14ac:dyDescent="0.2">
      <c r="BJ57512" s="201"/>
    </row>
    <row r="57513" spans="62:62" x14ac:dyDescent="0.2">
      <c r="BJ57513" s="201"/>
    </row>
    <row r="57514" spans="62:62" x14ac:dyDescent="0.2">
      <c r="BJ57514" s="201"/>
    </row>
    <row r="57515" spans="62:62" x14ac:dyDescent="0.2">
      <c r="BJ57515" s="201"/>
    </row>
    <row r="57516" spans="62:62" x14ac:dyDescent="0.2">
      <c r="BJ57516" s="201"/>
    </row>
    <row r="57517" spans="62:62" x14ac:dyDescent="0.2">
      <c r="BJ57517" s="201"/>
    </row>
    <row r="57518" spans="62:62" x14ac:dyDescent="0.2">
      <c r="BJ57518" s="201"/>
    </row>
    <row r="57519" spans="62:62" x14ac:dyDescent="0.2">
      <c r="BJ57519" s="201"/>
    </row>
    <row r="57520" spans="62:62" x14ac:dyDescent="0.2">
      <c r="BJ57520" s="201"/>
    </row>
    <row r="57521" spans="62:62" x14ac:dyDescent="0.2">
      <c r="BJ57521" s="201"/>
    </row>
    <row r="57522" spans="62:62" x14ac:dyDescent="0.2">
      <c r="BJ57522" s="201"/>
    </row>
    <row r="57523" spans="62:62" x14ac:dyDescent="0.2">
      <c r="BJ57523" s="201"/>
    </row>
    <row r="57524" spans="62:62" x14ac:dyDescent="0.2">
      <c r="BJ57524" s="201"/>
    </row>
    <row r="57525" spans="62:62" x14ac:dyDescent="0.2">
      <c r="BJ57525" s="201"/>
    </row>
    <row r="57526" spans="62:62" x14ac:dyDescent="0.2">
      <c r="BJ57526" s="201"/>
    </row>
    <row r="57527" spans="62:62" x14ac:dyDescent="0.2">
      <c r="BJ57527" s="201"/>
    </row>
    <row r="57528" spans="62:62" x14ac:dyDescent="0.2">
      <c r="BJ57528" s="201"/>
    </row>
    <row r="57529" spans="62:62" x14ac:dyDescent="0.2">
      <c r="BJ57529" s="201"/>
    </row>
    <row r="57530" spans="62:62" x14ac:dyDescent="0.2">
      <c r="BJ57530" s="201"/>
    </row>
    <row r="57531" spans="62:62" x14ac:dyDescent="0.2">
      <c r="BJ57531" s="201"/>
    </row>
    <row r="57532" spans="62:62" x14ac:dyDescent="0.2">
      <c r="BJ57532" s="201"/>
    </row>
    <row r="57533" spans="62:62" x14ac:dyDescent="0.2">
      <c r="BJ57533" s="201"/>
    </row>
    <row r="57534" spans="62:62" x14ac:dyDescent="0.2">
      <c r="BJ57534" s="201"/>
    </row>
    <row r="57535" spans="62:62" x14ac:dyDescent="0.2">
      <c r="BJ57535" s="201"/>
    </row>
    <row r="57536" spans="62:62" x14ac:dyDescent="0.2">
      <c r="BJ57536" s="201"/>
    </row>
    <row r="57537" spans="62:62" x14ac:dyDescent="0.2">
      <c r="BJ57537" s="201"/>
    </row>
    <row r="57538" spans="62:62" x14ac:dyDescent="0.2">
      <c r="BJ57538" s="201"/>
    </row>
    <row r="57539" spans="62:62" x14ac:dyDescent="0.2">
      <c r="BJ57539" s="201"/>
    </row>
    <row r="57540" spans="62:62" x14ac:dyDescent="0.2">
      <c r="BJ57540" s="201"/>
    </row>
    <row r="57541" spans="62:62" x14ac:dyDescent="0.2">
      <c r="BJ57541" s="201"/>
    </row>
    <row r="57542" spans="62:62" x14ac:dyDescent="0.2">
      <c r="BJ57542" s="201"/>
    </row>
    <row r="57543" spans="62:62" x14ac:dyDescent="0.2">
      <c r="BJ57543" s="201"/>
    </row>
    <row r="57544" spans="62:62" x14ac:dyDescent="0.2">
      <c r="BJ57544" s="201"/>
    </row>
    <row r="57545" spans="62:62" x14ac:dyDescent="0.2">
      <c r="BJ57545" s="201"/>
    </row>
    <row r="57546" spans="62:62" x14ac:dyDescent="0.2">
      <c r="BJ57546" s="201"/>
    </row>
    <row r="57547" spans="62:62" x14ac:dyDescent="0.2">
      <c r="BJ57547" s="201"/>
    </row>
    <row r="57548" spans="62:62" x14ac:dyDescent="0.2">
      <c r="BJ57548" s="201"/>
    </row>
    <row r="57549" spans="62:62" x14ac:dyDescent="0.2">
      <c r="BJ57549" s="201"/>
    </row>
    <row r="57550" spans="62:62" x14ac:dyDescent="0.2">
      <c r="BJ57550" s="201"/>
    </row>
    <row r="57551" spans="62:62" x14ac:dyDescent="0.2">
      <c r="BJ57551" s="201"/>
    </row>
    <row r="57552" spans="62:62" x14ac:dyDescent="0.2">
      <c r="BJ57552" s="201"/>
    </row>
    <row r="57553" spans="62:62" x14ac:dyDescent="0.2">
      <c r="BJ57553" s="201"/>
    </row>
    <row r="57554" spans="62:62" x14ac:dyDescent="0.2">
      <c r="BJ57554" s="201"/>
    </row>
    <row r="57555" spans="62:62" x14ac:dyDescent="0.2">
      <c r="BJ57555" s="201"/>
    </row>
    <row r="57556" spans="62:62" x14ac:dyDescent="0.2">
      <c r="BJ57556" s="201"/>
    </row>
    <row r="57557" spans="62:62" x14ac:dyDescent="0.2">
      <c r="BJ57557" s="201"/>
    </row>
    <row r="57558" spans="62:62" x14ac:dyDescent="0.2">
      <c r="BJ57558" s="201"/>
    </row>
    <row r="57559" spans="62:62" x14ac:dyDescent="0.2">
      <c r="BJ57559" s="201"/>
    </row>
    <row r="57560" spans="62:62" x14ac:dyDescent="0.2">
      <c r="BJ57560" s="201"/>
    </row>
    <row r="57561" spans="62:62" x14ac:dyDescent="0.2">
      <c r="BJ57561" s="201"/>
    </row>
    <row r="57562" spans="62:62" x14ac:dyDescent="0.2">
      <c r="BJ57562" s="201"/>
    </row>
    <row r="57563" spans="62:62" x14ac:dyDescent="0.2">
      <c r="BJ57563" s="201"/>
    </row>
    <row r="57564" spans="62:62" x14ac:dyDescent="0.2">
      <c r="BJ57564" s="201"/>
    </row>
    <row r="57565" spans="62:62" x14ac:dyDescent="0.2">
      <c r="BJ57565" s="201"/>
    </row>
    <row r="57566" spans="62:62" x14ac:dyDescent="0.2">
      <c r="BJ57566" s="201"/>
    </row>
    <row r="57567" spans="62:62" x14ac:dyDescent="0.2">
      <c r="BJ57567" s="201"/>
    </row>
    <row r="57568" spans="62:62" x14ac:dyDescent="0.2">
      <c r="BJ57568" s="201"/>
    </row>
    <row r="57569" spans="62:62" x14ac:dyDescent="0.2">
      <c r="BJ57569" s="201"/>
    </row>
    <row r="57570" spans="62:62" x14ac:dyDescent="0.2">
      <c r="BJ57570" s="201"/>
    </row>
    <row r="57571" spans="62:62" x14ac:dyDescent="0.2">
      <c r="BJ57571" s="201"/>
    </row>
    <row r="57572" spans="62:62" x14ac:dyDescent="0.2">
      <c r="BJ57572" s="201"/>
    </row>
    <row r="57573" spans="62:62" x14ac:dyDescent="0.2">
      <c r="BJ57573" s="201"/>
    </row>
    <row r="57574" spans="62:62" x14ac:dyDescent="0.2">
      <c r="BJ57574" s="201"/>
    </row>
    <row r="57575" spans="62:62" x14ac:dyDescent="0.2">
      <c r="BJ57575" s="201"/>
    </row>
    <row r="57576" spans="62:62" x14ac:dyDescent="0.2">
      <c r="BJ57576" s="201"/>
    </row>
    <row r="57577" spans="62:62" x14ac:dyDescent="0.2">
      <c r="BJ57577" s="201"/>
    </row>
    <row r="57578" spans="62:62" x14ac:dyDescent="0.2">
      <c r="BJ57578" s="201"/>
    </row>
    <row r="57579" spans="62:62" x14ac:dyDescent="0.2">
      <c r="BJ57579" s="201"/>
    </row>
    <row r="57580" spans="62:62" x14ac:dyDescent="0.2">
      <c r="BJ57580" s="201"/>
    </row>
    <row r="57581" spans="62:62" x14ac:dyDescent="0.2">
      <c r="BJ57581" s="201"/>
    </row>
    <row r="57582" spans="62:62" x14ac:dyDescent="0.2">
      <c r="BJ57582" s="201"/>
    </row>
    <row r="57583" spans="62:62" x14ac:dyDescent="0.2">
      <c r="BJ57583" s="201"/>
    </row>
    <row r="57584" spans="62:62" x14ac:dyDescent="0.2">
      <c r="BJ57584" s="201"/>
    </row>
    <row r="57585" spans="62:62" x14ac:dyDescent="0.2">
      <c r="BJ57585" s="201"/>
    </row>
    <row r="57586" spans="62:62" x14ac:dyDescent="0.2">
      <c r="BJ57586" s="201"/>
    </row>
    <row r="57587" spans="62:62" x14ac:dyDescent="0.2">
      <c r="BJ57587" s="201"/>
    </row>
    <row r="57588" spans="62:62" x14ac:dyDescent="0.2">
      <c r="BJ57588" s="201"/>
    </row>
    <row r="57589" spans="62:62" x14ac:dyDescent="0.2">
      <c r="BJ57589" s="201"/>
    </row>
    <row r="57590" spans="62:62" x14ac:dyDescent="0.2">
      <c r="BJ57590" s="201"/>
    </row>
    <row r="57591" spans="62:62" x14ac:dyDescent="0.2">
      <c r="BJ57591" s="201"/>
    </row>
    <row r="57592" spans="62:62" x14ac:dyDescent="0.2">
      <c r="BJ57592" s="201"/>
    </row>
    <row r="57593" spans="62:62" x14ac:dyDescent="0.2">
      <c r="BJ57593" s="201"/>
    </row>
    <row r="57594" spans="62:62" x14ac:dyDescent="0.2">
      <c r="BJ57594" s="201"/>
    </row>
    <row r="57595" spans="62:62" x14ac:dyDescent="0.2">
      <c r="BJ57595" s="201"/>
    </row>
    <row r="57596" spans="62:62" x14ac:dyDescent="0.2">
      <c r="BJ57596" s="201"/>
    </row>
    <row r="57597" spans="62:62" x14ac:dyDescent="0.2">
      <c r="BJ57597" s="201"/>
    </row>
    <row r="57598" spans="62:62" x14ac:dyDescent="0.2">
      <c r="BJ57598" s="201"/>
    </row>
    <row r="57599" spans="62:62" x14ac:dyDescent="0.2">
      <c r="BJ57599" s="201"/>
    </row>
    <row r="57600" spans="62:62" x14ac:dyDescent="0.2">
      <c r="BJ57600" s="201"/>
    </row>
    <row r="57601" spans="62:62" x14ac:dyDescent="0.2">
      <c r="BJ57601" s="201"/>
    </row>
    <row r="57602" spans="62:62" x14ac:dyDescent="0.2">
      <c r="BJ57602" s="201"/>
    </row>
    <row r="57603" spans="62:62" x14ac:dyDescent="0.2">
      <c r="BJ57603" s="201"/>
    </row>
    <row r="57604" spans="62:62" x14ac:dyDescent="0.2">
      <c r="BJ57604" s="201"/>
    </row>
    <row r="57605" spans="62:62" x14ac:dyDescent="0.2">
      <c r="BJ57605" s="201"/>
    </row>
    <row r="57606" spans="62:62" x14ac:dyDescent="0.2">
      <c r="BJ57606" s="201"/>
    </row>
    <row r="57607" spans="62:62" x14ac:dyDescent="0.2">
      <c r="BJ57607" s="201"/>
    </row>
    <row r="57608" spans="62:62" x14ac:dyDescent="0.2">
      <c r="BJ57608" s="201"/>
    </row>
    <row r="57609" spans="62:62" x14ac:dyDescent="0.2">
      <c r="BJ57609" s="201"/>
    </row>
    <row r="57610" spans="62:62" x14ac:dyDescent="0.2">
      <c r="BJ57610" s="201"/>
    </row>
    <row r="57611" spans="62:62" x14ac:dyDescent="0.2">
      <c r="BJ57611" s="201"/>
    </row>
    <row r="57612" spans="62:62" x14ac:dyDescent="0.2">
      <c r="BJ57612" s="201"/>
    </row>
    <row r="57613" spans="62:62" x14ac:dyDescent="0.2">
      <c r="BJ57613" s="201"/>
    </row>
    <row r="57614" spans="62:62" x14ac:dyDescent="0.2">
      <c r="BJ57614" s="201"/>
    </row>
    <row r="57615" spans="62:62" x14ac:dyDescent="0.2">
      <c r="BJ57615" s="201"/>
    </row>
    <row r="57616" spans="62:62" x14ac:dyDescent="0.2">
      <c r="BJ57616" s="201"/>
    </row>
    <row r="57617" spans="62:62" x14ac:dyDescent="0.2">
      <c r="BJ57617" s="201"/>
    </row>
    <row r="57618" spans="62:62" x14ac:dyDescent="0.2">
      <c r="BJ57618" s="201"/>
    </row>
    <row r="57619" spans="62:62" x14ac:dyDescent="0.2">
      <c r="BJ57619" s="201"/>
    </row>
    <row r="57620" spans="62:62" x14ac:dyDescent="0.2">
      <c r="BJ57620" s="201"/>
    </row>
    <row r="57621" spans="62:62" x14ac:dyDescent="0.2">
      <c r="BJ57621" s="201"/>
    </row>
    <row r="57622" spans="62:62" x14ac:dyDescent="0.2">
      <c r="BJ57622" s="201"/>
    </row>
    <row r="57623" spans="62:62" x14ac:dyDescent="0.2">
      <c r="BJ57623" s="201"/>
    </row>
    <row r="57624" spans="62:62" x14ac:dyDescent="0.2">
      <c r="BJ57624" s="201"/>
    </row>
    <row r="57625" spans="62:62" x14ac:dyDescent="0.2">
      <c r="BJ57625" s="201"/>
    </row>
    <row r="57626" spans="62:62" x14ac:dyDescent="0.2">
      <c r="BJ57626" s="201"/>
    </row>
    <row r="57627" spans="62:62" x14ac:dyDescent="0.2">
      <c r="BJ57627" s="201"/>
    </row>
    <row r="57628" spans="62:62" x14ac:dyDescent="0.2">
      <c r="BJ57628" s="201"/>
    </row>
    <row r="57629" spans="62:62" x14ac:dyDescent="0.2">
      <c r="BJ57629" s="201"/>
    </row>
    <row r="57630" spans="62:62" x14ac:dyDescent="0.2">
      <c r="BJ57630" s="201"/>
    </row>
    <row r="57631" spans="62:62" x14ac:dyDescent="0.2">
      <c r="BJ57631" s="201"/>
    </row>
    <row r="57632" spans="62:62" x14ac:dyDescent="0.2">
      <c r="BJ57632" s="201"/>
    </row>
    <row r="57633" spans="62:62" x14ac:dyDescent="0.2">
      <c r="BJ57633" s="201"/>
    </row>
    <row r="57634" spans="62:62" x14ac:dyDescent="0.2">
      <c r="BJ57634" s="201"/>
    </row>
    <row r="57635" spans="62:62" x14ac:dyDescent="0.2">
      <c r="BJ57635" s="201"/>
    </row>
    <row r="57636" spans="62:62" x14ac:dyDescent="0.2">
      <c r="BJ57636" s="201"/>
    </row>
    <row r="57637" spans="62:62" x14ac:dyDescent="0.2">
      <c r="BJ57637" s="201"/>
    </row>
    <row r="57638" spans="62:62" x14ac:dyDescent="0.2">
      <c r="BJ57638" s="201"/>
    </row>
    <row r="57639" spans="62:62" x14ac:dyDescent="0.2">
      <c r="BJ57639" s="201"/>
    </row>
    <row r="57640" spans="62:62" x14ac:dyDescent="0.2">
      <c r="BJ57640" s="201"/>
    </row>
    <row r="57641" spans="62:62" x14ac:dyDescent="0.2">
      <c r="BJ57641" s="201"/>
    </row>
    <row r="57642" spans="62:62" x14ac:dyDescent="0.2">
      <c r="BJ57642" s="201"/>
    </row>
    <row r="57643" spans="62:62" x14ac:dyDescent="0.2">
      <c r="BJ57643" s="201"/>
    </row>
    <row r="57644" spans="62:62" x14ac:dyDescent="0.2">
      <c r="BJ57644" s="201"/>
    </row>
    <row r="57645" spans="62:62" x14ac:dyDescent="0.2">
      <c r="BJ57645" s="201"/>
    </row>
    <row r="57646" spans="62:62" x14ac:dyDescent="0.2">
      <c r="BJ57646" s="201"/>
    </row>
    <row r="57647" spans="62:62" x14ac:dyDescent="0.2">
      <c r="BJ57647" s="201"/>
    </row>
    <row r="57648" spans="62:62" x14ac:dyDescent="0.2">
      <c r="BJ57648" s="201"/>
    </row>
    <row r="57649" spans="62:62" x14ac:dyDescent="0.2">
      <c r="BJ57649" s="201"/>
    </row>
    <row r="57650" spans="62:62" x14ac:dyDescent="0.2">
      <c r="BJ57650" s="201"/>
    </row>
    <row r="57651" spans="62:62" x14ac:dyDescent="0.2">
      <c r="BJ57651" s="201"/>
    </row>
    <row r="57652" spans="62:62" x14ac:dyDescent="0.2">
      <c r="BJ57652" s="201"/>
    </row>
    <row r="57653" spans="62:62" x14ac:dyDescent="0.2">
      <c r="BJ57653" s="201"/>
    </row>
    <row r="57654" spans="62:62" x14ac:dyDescent="0.2">
      <c r="BJ57654" s="201"/>
    </row>
    <row r="57655" spans="62:62" x14ac:dyDescent="0.2">
      <c r="BJ57655" s="201"/>
    </row>
    <row r="57656" spans="62:62" x14ac:dyDescent="0.2">
      <c r="BJ57656" s="201"/>
    </row>
    <row r="57657" spans="62:62" x14ac:dyDescent="0.2">
      <c r="BJ57657" s="201"/>
    </row>
    <row r="57658" spans="62:62" x14ac:dyDescent="0.2">
      <c r="BJ57658" s="201"/>
    </row>
    <row r="57659" spans="62:62" x14ac:dyDescent="0.2">
      <c r="BJ57659" s="201"/>
    </row>
    <row r="57660" spans="62:62" x14ac:dyDescent="0.2">
      <c r="BJ57660" s="201"/>
    </row>
    <row r="57661" spans="62:62" x14ac:dyDescent="0.2">
      <c r="BJ57661" s="201"/>
    </row>
    <row r="57662" spans="62:62" x14ac:dyDescent="0.2">
      <c r="BJ57662" s="201"/>
    </row>
    <row r="57663" spans="62:62" x14ac:dyDescent="0.2">
      <c r="BJ57663" s="201"/>
    </row>
    <row r="57664" spans="62:62" x14ac:dyDescent="0.2">
      <c r="BJ57664" s="201"/>
    </row>
    <row r="57665" spans="62:62" x14ac:dyDescent="0.2">
      <c r="BJ57665" s="201"/>
    </row>
    <row r="57666" spans="62:62" x14ac:dyDescent="0.2">
      <c r="BJ57666" s="201"/>
    </row>
    <row r="57667" spans="62:62" x14ac:dyDescent="0.2">
      <c r="BJ57667" s="201"/>
    </row>
    <row r="57668" spans="62:62" x14ac:dyDescent="0.2">
      <c r="BJ57668" s="201"/>
    </row>
    <row r="57669" spans="62:62" x14ac:dyDescent="0.2">
      <c r="BJ57669" s="201"/>
    </row>
    <row r="57670" spans="62:62" x14ac:dyDescent="0.2">
      <c r="BJ57670" s="201"/>
    </row>
    <row r="57671" spans="62:62" x14ac:dyDescent="0.2">
      <c r="BJ57671" s="201"/>
    </row>
    <row r="57672" spans="62:62" x14ac:dyDescent="0.2">
      <c r="BJ57672" s="201"/>
    </row>
    <row r="57673" spans="62:62" x14ac:dyDescent="0.2">
      <c r="BJ57673" s="201"/>
    </row>
    <row r="57674" spans="62:62" x14ac:dyDescent="0.2">
      <c r="BJ57674" s="201"/>
    </row>
    <row r="57675" spans="62:62" x14ac:dyDescent="0.2">
      <c r="BJ57675" s="201"/>
    </row>
    <row r="57676" spans="62:62" x14ac:dyDescent="0.2">
      <c r="BJ57676" s="201"/>
    </row>
    <row r="57677" spans="62:62" x14ac:dyDescent="0.2">
      <c r="BJ57677" s="201"/>
    </row>
    <row r="57678" spans="62:62" x14ac:dyDescent="0.2">
      <c r="BJ57678" s="201"/>
    </row>
    <row r="57679" spans="62:62" x14ac:dyDescent="0.2">
      <c r="BJ57679" s="201"/>
    </row>
    <row r="57680" spans="62:62" x14ac:dyDescent="0.2">
      <c r="BJ57680" s="201"/>
    </row>
    <row r="57681" spans="62:62" x14ac:dyDescent="0.2">
      <c r="BJ57681" s="201"/>
    </row>
    <row r="57682" spans="62:62" x14ac:dyDescent="0.2">
      <c r="BJ57682" s="201"/>
    </row>
    <row r="57683" spans="62:62" x14ac:dyDescent="0.2">
      <c r="BJ57683" s="201"/>
    </row>
    <row r="57684" spans="62:62" x14ac:dyDescent="0.2">
      <c r="BJ57684" s="201"/>
    </row>
    <row r="57685" spans="62:62" x14ac:dyDescent="0.2">
      <c r="BJ57685" s="201"/>
    </row>
    <row r="57686" spans="62:62" x14ac:dyDescent="0.2">
      <c r="BJ57686" s="201"/>
    </row>
    <row r="57687" spans="62:62" x14ac:dyDescent="0.2">
      <c r="BJ57687" s="201"/>
    </row>
    <row r="57688" spans="62:62" x14ac:dyDescent="0.2">
      <c r="BJ57688" s="201"/>
    </row>
    <row r="57689" spans="62:62" x14ac:dyDescent="0.2">
      <c r="BJ57689" s="201"/>
    </row>
    <row r="57690" spans="62:62" x14ac:dyDescent="0.2">
      <c r="BJ57690" s="201"/>
    </row>
    <row r="57691" spans="62:62" x14ac:dyDescent="0.2">
      <c r="BJ57691" s="201"/>
    </row>
    <row r="57692" spans="62:62" x14ac:dyDescent="0.2">
      <c r="BJ57692" s="201"/>
    </row>
    <row r="57693" spans="62:62" x14ac:dyDescent="0.2">
      <c r="BJ57693" s="201"/>
    </row>
    <row r="57694" spans="62:62" x14ac:dyDescent="0.2">
      <c r="BJ57694" s="201"/>
    </row>
    <row r="57695" spans="62:62" x14ac:dyDescent="0.2">
      <c r="BJ57695" s="201"/>
    </row>
    <row r="57696" spans="62:62" x14ac:dyDescent="0.2">
      <c r="BJ57696" s="201"/>
    </row>
    <row r="57697" spans="62:62" x14ac:dyDescent="0.2">
      <c r="BJ57697" s="201"/>
    </row>
    <row r="57698" spans="62:62" x14ac:dyDescent="0.2">
      <c r="BJ57698" s="201"/>
    </row>
    <row r="57699" spans="62:62" x14ac:dyDescent="0.2">
      <c r="BJ57699" s="201"/>
    </row>
    <row r="57700" spans="62:62" x14ac:dyDescent="0.2">
      <c r="BJ57700" s="201"/>
    </row>
    <row r="57701" spans="62:62" x14ac:dyDescent="0.2">
      <c r="BJ57701" s="201"/>
    </row>
    <row r="57702" spans="62:62" x14ac:dyDescent="0.2">
      <c r="BJ57702" s="201"/>
    </row>
    <row r="57703" spans="62:62" x14ac:dyDescent="0.2">
      <c r="BJ57703" s="201"/>
    </row>
    <row r="57704" spans="62:62" x14ac:dyDescent="0.2">
      <c r="BJ57704" s="201"/>
    </row>
    <row r="57705" spans="62:62" x14ac:dyDescent="0.2">
      <c r="BJ57705" s="201"/>
    </row>
    <row r="57706" spans="62:62" x14ac:dyDescent="0.2">
      <c r="BJ57706" s="201"/>
    </row>
    <row r="57707" spans="62:62" x14ac:dyDescent="0.2">
      <c r="BJ57707" s="201"/>
    </row>
    <row r="57708" spans="62:62" x14ac:dyDescent="0.2">
      <c r="BJ57708" s="201"/>
    </row>
    <row r="57709" spans="62:62" x14ac:dyDescent="0.2">
      <c r="BJ57709" s="201"/>
    </row>
    <row r="57710" spans="62:62" x14ac:dyDescent="0.2">
      <c r="BJ57710" s="201"/>
    </row>
    <row r="57711" spans="62:62" x14ac:dyDescent="0.2">
      <c r="BJ57711" s="201"/>
    </row>
    <row r="57712" spans="62:62" x14ac:dyDescent="0.2">
      <c r="BJ57712" s="201"/>
    </row>
    <row r="57713" spans="62:62" x14ac:dyDescent="0.2">
      <c r="BJ57713" s="201"/>
    </row>
    <row r="57714" spans="62:62" x14ac:dyDescent="0.2">
      <c r="BJ57714" s="201"/>
    </row>
    <row r="57715" spans="62:62" x14ac:dyDescent="0.2">
      <c r="BJ57715" s="201"/>
    </row>
    <row r="57716" spans="62:62" x14ac:dyDescent="0.2">
      <c r="BJ57716" s="201"/>
    </row>
    <row r="57717" spans="62:62" x14ac:dyDescent="0.2">
      <c r="BJ57717" s="201"/>
    </row>
    <row r="57718" spans="62:62" x14ac:dyDescent="0.2">
      <c r="BJ57718" s="201"/>
    </row>
    <row r="57719" spans="62:62" x14ac:dyDescent="0.2">
      <c r="BJ57719" s="201"/>
    </row>
    <row r="57720" spans="62:62" x14ac:dyDescent="0.2">
      <c r="BJ57720" s="201"/>
    </row>
    <row r="57721" spans="62:62" x14ac:dyDescent="0.2">
      <c r="BJ57721" s="201"/>
    </row>
    <row r="57722" spans="62:62" x14ac:dyDescent="0.2">
      <c r="BJ57722" s="201"/>
    </row>
    <row r="57723" spans="62:62" x14ac:dyDescent="0.2">
      <c r="BJ57723" s="201"/>
    </row>
    <row r="57724" spans="62:62" x14ac:dyDescent="0.2">
      <c r="BJ57724" s="201"/>
    </row>
    <row r="57725" spans="62:62" x14ac:dyDescent="0.2">
      <c r="BJ57725" s="201"/>
    </row>
    <row r="57726" spans="62:62" x14ac:dyDescent="0.2">
      <c r="BJ57726" s="201"/>
    </row>
    <row r="57727" spans="62:62" x14ac:dyDescent="0.2">
      <c r="BJ57727" s="201"/>
    </row>
    <row r="57728" spans="62:62" x14ac:dyDescent="0.2">
      <c r="BJ57728" s="201"/>
    </row>
    <row r="57729" spans="62:62" x14ac:dyDescent="0.2">
      <c r="BJ57729" s="201"/>
    </row>
    <row r="57730" spans="62:62" x14ac:dyDescent="0.2">
      <c r="BJ57730" s="201"/>
    </row>
    <row r="57731" spans="62:62" x14ac:dyDescent="0.2">
      <c r="BJ57731" s="201"/>
    </row>
    <row r="57732" spans="62:62" x14ac:dyDescent="0.2">
      <c r="BJ57732" s="201"/>
    </row>
    <row r="57733" spans="62:62" x14ac:dyDescent="0.2">
      <c r="BJ57733" s="201"/>
    </row>
    <row r="57734" spans="62:62" x14ac:dyDescent="0.2">
      <c r="BJ57734" s="201"/>
    </row>
    <row r="57735" spans="62:62" x14ac:dyDescent="0.2">
      <c r="BJ57735" s="201"/>
    </row>
    <row r="57736" spans="62:62" x14ac:dyDescent="0.2">
      <c r="BJ57736" s="201"/>
    </row>
    <row r="57737" spans="62:62" x14ac:dyDescent="0.2">
      <c r="BJ57737" s="201"/>
    </row>
    <row r="57738" spans="62:62" x14ac:dyDescent="0.2">
      <c r="BJ57738" s="201"/>
    </row>
    <row r="57739" spans="62:62" x14ac:dyDescent="0.2">
      <c r="BJ57739" s="201"/>
    </row>
    <row r="57740" spans="62:62" x14ac:dyDescent="0.2">
      <c r="BJ57740" s="201"/>
    </row>
    <row r="57741" spans="62:62" x14ac:dyDescent="0.2">
      <c r="BJ57741" s="201"/>
    </row>
    <row r="57742" spans="62:62" x14ac:dyDescent="0.2">
      <c r="BJ57742" s="201"/>
    </row>
    <row r="57743" spans="62:62" x14ac:dyDescent="0.2">
      <c r="BJ57743" s="201"/>
    </row>
    <row r="57744" spans="62:62" x14ac:dyDescent="0.2">
      <c r="BJ57744" s="201"/>
    </row>
    <row r="57745" spans="62:62" x14ac:dyDescent="0.2">
      <c r="BJ57745" s="201"/>
    </row>
    <row r="57746" spans="62:62" x14ac:dyDescent="0.2">
      <c r="BJ57746" s="201"/>
    </row>
    <row r="57747" spans="62:62" x14ac:dyDescent="0.2">
      <c r="BJ57747" s="201"/>
    </row>
    <row r="57748" spans="62:62" x14ac:dyDescent="0.2">
      <c r="BJ57748" s="201"/>
    </row>
    <row r="57749" spans="62:62" x14ac:dyDescent="0.2">
      <c r="BJ57749" s="201"/>
    </row>
    <row r="57750" spans="62:62" x14ac:dyDescent="0.2">
      <c r="BJ57750" s="201"/>
    </row>
    <row r="57751" spans="62:62" x14ac:dyDescent="0.2">
      <c r="BJ57751" s="201"/>
    </row>
    <row r="57752" spans="62:62" x14ac:dyDescent="0.2">
      <c r="BJ57752" s="201"/>
    </row>
    <row r="57753" spans="62:62" x14ac:dyDescent="0.2">
      <c r="BJ57753" s="201"/>
    </row>
    <row r="57754" spans="62:62" x14ac:dyDescent="0.2">
      <c r="BJ57754" s="201"/>
    </row>
    <row r="57755" spans="62:62" x14ac:dyDescent="0.2">
      <c r="BJ57755" s="201"/>
    </row>
    <row r="57756" spans="62:62" x14ac:dyDescent="0.2">
      <c r="BJ57756" s="201"/>
    </row>
    <row r="57757" spans="62:62" x14ac:dyDescent="0.2">
      <c r="BJ57757" s="201"/>
    </row>
    <row r="57758" spans="62:62" x14ac:dyDescent="0.2">
      <c r="BJ57758" s="201"/>
    </row>
    <row r="57759" spans="62:62" x14ac:dyDescent="0.2">
      <c r="BJ57759" s="201"/>
    </row>
    <row r="57760" spans="62:62" x14ac:dyDescent="0.2">
      <c r="BJ57760" s="201"/>
    </row>
    <row r="57761" spans="62:62" x14ac:dyDescent="0.2">
      <c r="BJ57761" s="201"/>
    </row>
    <row r="57762" spans="62:62" x14ac:dyDescent="0.2">
      <c r="BJ57762" s="201"/>
    </row>
    <row r="57763" spans="62:62" x14ac:dyDescent="0.2">
      <c r="BJ57763" s="201"/>
    </row>
    <row r="57764" spans="62:62" x14ac:dyDescent="0.2">
      <c r="BJ57764" s="201"/>
    </row>
    <row r="57765" spans="62:62" x14ac:dyDescent="0.2">
      <c r="BJ57765" s="201"/>
    </row>
    <row r="57766" spans="62:62" x14ac:dyDescent="0.2">
      <c r="BJ57766" s="201"/>
    </row>
    <row r="57767" spans="62:62" x14ac:dyDescent="0.2">
      <c r="BJ57767" s="201"/>
    </row>
    <row r="57768" spans="62:62" x14ac:dyDescent="0.2">
      <c r="BJ57768" s="201"/>
    </row>
    <row r="57769" spans="62:62" x14ac:dyDescent="0.2">
      <c r="BJ57769" s="201"/>
    </row>
    <row r="57770" spans="62:62" x14ac:dyDescent="0.2">
      <c r="BJ57770" s="201"/>
    </row>
    <row r="57771" spans="62:62" x14ac:dyDescent="0.2">
      <c r="BJ57771" s="201"/>
    </row>
    <row r="57772" spans="62:62" x14ac:dyDescent="0.2">
      <c r="BJ57772" s="201"/>
    </row>
    <row r="57773" spans="62:62" x14ac:dyDescent="0.2">
      <c r="BJ57773" s="201"/>
    </row>
    <row r="57774" spans="62:62" x14ac:dyDescent="0.2">
      <c r="BJ57774" s="201"/>
    </row>
    <row r="57775" spans="62:62" x14ac:dyDescent="0.2">
      <c r="BJ57775" s="201"/>
    </row>
    <row r="57776" spans="62:62" x14ac:dyDescent="0.2">
      <c r="BJ57776" s="201"/>
    </row>
    <row r="57777" spans="62:62" x14ac:dyDescent="0.2">
      <c r="BJ57777" s="201"/>
    </row>
    <row r="57778" spans="62:62" x14ac:dyDescent="0.2">
      <c r="BJ57778" s="201"/>
    </row>
    <row r="57779" spans="62:62" x14ac:dyDescent="0.2">
      <c r="BJ57779" s="201"/>
    </row>
    <row r="57780" spans="62:62" x14ac:dyDescent="0.2">
      <c r="BJ57780" s="201"/>
    </row>
    <row r="57781" spans="62:62" x14ac:dyDescent="0.2">
      <c r="BJ57781" s="201"/>
    </row>
    <row r="57782" spans="62:62" x14ac:dyDescent="0.2">
      <c r="BJ57782" s="201"/>
    </row>
    <row r="57783" spans="62:62" x14ac:dyDescent="0.2">
      <c r="BJ57783" s="201"/>
    </row>
    <row r="57784" spans="62:62" x14ac:dyDescent="0.2">
      <c r="BJ57784" s="201"/>
    </row>
    <row r="57785" spans="62:62" x14ac:dyDescent="0.2">
      <c r="BJ57785" s="201"/>
    </row>
    <row r="57786" spans="62:62" x14ac:dyDescent="0.2">
      <c r="BJ57786" s="201"/>
    </row>
    <row r="57787" spans="62:62" x14ac:dyDescent="0.2">
      <c r="BJ57787" s="201"/>
    </row>
    <row r="57788" spans="62:62" x14ac:dyDescent="0.2">
      <c r="BJ57788" s="201"/>
    </row>
    <row r="57789" spans="62:62" x14ac:dyDescent="0.2">
      <c r="BJ57789" s="201"/>
    </row>
    <row r="57790" spans="62:62" x14ac:dyDescent="0.2">
      <c r="BJ57790" s="201"/>
    </row>
    <row r="57791" spans="62:62" x14ac:dyDescent="0.2">
      <c r="BJ57791" s="201"/>
    </row>
    <row r="57792" spans="62:62" x14ac:dyDescent="0.2">
      <c r="BJ57792" s="201"/>
    </row>
    <row r="57793" spans="62:62" x14ac:dyDescent="0.2">
      <c r="BJ57793" s="201"/>
    </row>
    <row r="57794" spans="62:62" x14ac:dyDescent="0.2">
      <c r="BJ57794" s="201"/>
    </row>
    <row r="57795" spans="62:62" x14ac:dyDescent="0.2">
      <c r="BJ57795" s="201"/>
    </row>
    <row r="57796" spans="62:62" x14ac:dyDescent="0.2">
      <c r="BJ57796" s="201"/>
    </row>
    <row r="57797" spans="62:62" x14ac:dyDescent="0.2">
      <c r="BJ57797" s="201"/>
    </row>
    <row r="57798" spans="62:62" x14ac:dyDescent="0.2">
      <c r="BJ57798" s="201"/>
    </row>
    <row r="57799" spans="62:62" x14ac:dyDescent="0.2">
      <c r="BJ57799" s="201"/>
    </row>
    <row r="57800" spans="62:62" x14ac:dyDescent="0.2">
      <c r="BJ57800" s="201"/>
    </row>
    <row r="57801" spans="62:62" x14ac:dyDescent="0.2">
      <c r="BJ57801" s="201"/>
    </row>
    <row r="57802" spans="62:62" x14ac:dyDescent="0.2">
      <c r="BJ57802" s="201"/>
    </row>
    <row r="57803" spans="62:62" x14ac:dyDescent="0.2">
      <c r="BJ57803" s="201"/>
    </row>
    <row r="57804" spans="62:62" x14ac:dyDescent="0.2">
      <c r="BJ57804" s="201"/>
    </row>
    <row r="57805" spans="62:62" x14ac:dyDescent="0.2">
      <c r="BJ57805" s="201"/>
    </row>
    <row r="57806" spans="62:62" x14ac:dyDescent="0.2">
      <c r="BJ57806" s="201"/>
    </row>
    <row r="57807" spans="62:62" x14ac:dyDescent="0.2">
      <c r="BJ57807" s="201"/>
    </row>
    <row r="57808" spans="62:62" x14ac:dyDescent="0.2">
      <c r="BJ57808" s="201"/>
    </row>
    <row r="57809" spans="62:62" x14ac:dyDescent="0.2">
      <c r="BJ57809" s="201"/>
    </row>
    <row r="57810" spans="62:62" x14ac:dyDescent="0.2">
      <c r="BJ57810" s="201"/>
    </row>
    <row r="57811" spans="62:62" x14ac:dyDescent="0.2">
      <c r="BJ57811" s="201"/>
    </row>
    <row r="57812" spans="62:62" x14ac:dyDescent="0.2">
      <c r="BJ57812" s="201"/>
    </row>
    <row r="57813" spans="62:62" x14ac:dyDescent="0.2">
      <c r="BJ57813" s="201"/>
    </row>
    <row r="57814" spans="62:62" x14ac:dyDescent="0.2">
      <c r="BJ57814" s="201"/>
    </row>
    <row r="57815" spans="62:62" x14ac:dyDescent="0.2">
      <c r="BJ57815" s="201"/>
    </row>
    <row r="57816" spans="62:62" x14ac:dyDescent="0.2">
      <c r="BJ57816" s="201"/>
    </row>
    <row r="57817" spans="62:62" x14ac:dyDescent="0.2">
      <c r="BJ57817" s="201"/>
    </row>
    <row r="57818" spans="62:62" x14ac:dyDescent="0.2">
      <c r="BJ57818" s="201"/>
    </row>
    <row r="57819" spans="62:62" x14ac:dyDescent="0.2">
      <c r="BJ57819" s="201"/>
    </row>
    <row r="57820" spans="62:62" x14ac:dyDescent="0.2">
      <c r="BJ57820" s="201"/>
    </row>
    <row r="57821" spans="62:62" x14ac:dyDescent="0.2">
      <c r="BJ57821" s="201"/>
    </row>
    <row r="57822" spans="62:62" x14ac:dyDescent="0.2">
      <c r="BJ57822" s="201"/>
    </row>
    <row r="57823" spans="62:62" x14ac:dyDescent="0.2">
      <c r="BJ57823" s="201"/>
    </row>
    <row r="57824" spans="62:62" x14ac:dyDescent="0.2">
      <c r="BJ57824" s="201"/>
    </row>
    <row r="57825" spans="62:62" x14ac:dyDescent="0.2">
      <c r="BJ57825" s="201"/>
    </row>
    <row r="57826" spans="62:62" x14ac:dyDescent="0.2">
      <c r="BJ57826" s="201"/>
    </row>
    <row r="57827" spans="62:62" x14ac:dyDescent="0.2">
      <c r="BJ57827" s="201"/>
    </row>
    <row r="57828" spans="62:62" x14ac:dyDescent="0.2">
      <c r="BJ57828" s="201"/>
    </row>
    <row r="57829" spans="62:62" x14ac:dyDescent="0.2">
      <c r="BJ57829" s="201"/>
    </row>
    <row r="57830" spans="62:62" x14ac:dyDescent="0.2">
      <c r="BJ57830" s="201"/>
    </row>
    <row r="57831" spans="62:62" x14ac:dyDescent="0.2">
      <c r="BJ57831" s="201"/>
    </row>
    <row r="57832" spans="62:62" x14ac:dyDescent="0.2">
      <c r="BJ57832" s="201"/>
    </row>
    <row r="57833" spans="62:62" x14ac:dyDescent="0.2">
      <c r="BJ57833" s="201"/>
    </row>
    <row r="57834" spans="62:62" x14ac:dyDescent="0.2">
      <c r="BJ57834" s="201"/>
    </row>
    <row r="57835" spans="62:62" x14ac:dyDescent="0.2">
      <c r="BJ57835" s="201"/>
    </row>
    <row r="57836" spans="62:62" x14ac:dyDescent="0.2">
      <c r="BJ57836" s="201"/>
    </row>
    <row r="57837" spans="62:62" x14ac:dyDescent="0.2">
      <c r="BJ57837" s="201"/>
    </row>
    <row r="57838" spans="62:62" x14ac:dyDescent="0.2">
      <c r="BJ57838" s="201"/>
    </row>
    <row r="57839" spans="62:62" x14ac:dyDescent="0.2">
      <c r="BJ57839" s="201"/>
    </row>
    <row r="57840" spans="62:62" x14ac:dyDescent="0.2">
      <c r="BJ57840" s="201"/>
    </row>
    <row r="57841" spans="62:62" x14ac:dyDescent="0.2">
      <c r="BJ57841" s="201"/>
    </row>
    <row r="57842" spans="62:62" x14ac:dyDescent="0.2">
      <c r="BJ57842" s="201"/>
    </row>
    <row r="57843" spans="62:62" x14ac:dyDescent="0.2">
      <c r="BJ57843" s="201"/>
    </row>
    <row r="57844" spans="62:62" x14ac:dyDescent="0.2">
      <c r="BJ57844" s="201"/>
    </row>
    <row r="57845" spans="62:62" x14ac:dyDescent="0.2">
      <c r="BJ57845" s="201"/>
    </row>
    <row r="57846" spans="62:62" x14ac:dyDescent="0.2">
      <c r="BJ57846" s="201"/>
    </row>
    <row r="57847" spans="62:62" x14ac:dyDescent="0.2">
      <c r="BJ57847" s="201"/>
    </row>
    <row r="57848" spans="62:62" x14ac:dyDescent="0.2">
      <c r="BJ57848" s="201"/>
    </row>
    <row r="57849" spans="62:62" x14ac:dyDescent="0.2">
      <c r="BJ57849" s="201"/>
    </row>
    <row r="57850" spans="62:62" x14ac:dyDescent="0.2">
      <c r="BJ57850" s="201"/>
    </row>
    <row r="57851" spans="62:62" x14ac:dyDescent="0.2">
      <c r="BJ57851" s="201"/>
    </row>
    <row r="57852" spans="62:62" x14ac:dyDescent="0.2">
      <c r="BJ57852" s="201"/>
    </row>
    <row r="57853" spans="62:62" x14ac:dyDescent="0.2">
      <c r="BJ57853" s="201"/>
    </row>
    <row r="57854" spans="62:62" x14ac:dyDescent="0.2">
      <c r="BJ57854" s="201"/>
    </row>
    <row r="57855" spans="62:62" x14ac:dyDescent="0.2">
      <c r="BJ57855" s="201"/>
    </row>
    <row r="57856" spans="62:62" x14ac:dyDescent="0.2">
      <c r="BJ57856" s="201"/>
    </row>
    <row r="57857" spans="62:62" x14ac:dyDescent="0.2">
      <c r="BJ57857" s="201"/>
    </row>
    <row r="57858" spans="62:62" x14ac:dyDescent="0.2">
      <c r="BJ57858" s="201"/>
    </row>
    <row r="57859" spans="62:62" x14ac:dyDescent="0.2">
      <c r="BJ57859" s="201"/>
    </row>
    <row r="57860" spans="62:62" x14ac:dyDescent="0.2">
      <c r="BJ57860" s="201"/>
    </row>
    <row r="57861" spans="62:62" x14ac:dyDescent="0.2">
      <c r="BJ57861" s="201"/>
    </row>
    <row r="57862" spans="62:62" x14ac:dyDescent="0.2">
      <c r="BJ57862" s="201"/>
    </row>
    <row r="57863" spans="62:62" x14ac:dyDescent="0.2">
      <c r="BJ57863" s="201"/>
    </row>
    <row r="57864" spans="62:62" x14ac:dyDescent="0.2">
      <c r="BJ57864" s="201"/>
    </row>
    <row r="57865" spans="62:62" x14ac:dyDescent="0.2">
      <c r="BJ57865" s="201"/>
    </row>
    <row r="57866" spans="62:62" x14ac:dyDescent="0.2">
      <c r="BJ57866" s="201"/>
    </row>
    <row r="57867" spans="62:62" x14ac:dyDescent="0.2">
      <c r="BJ57867" s="201"/>
    </row>
    <row r="57868" spans="62:62" x14ac:dyDescent="0.2">
      <c r="BJ57868" s="201"/>
    </row>
    <row r="57869" spans="62:62" x14ac:dyDescent="0.2">
      <c r="BJ57869" s="201"/>
    </row>
    <row r="57870" spans="62:62" x14ac:dyDescent="0.2">
      <c r="BJ57870" s="201"/>
    </row>
    <row r="57871" spans="62:62" x14ac:dyDescent="0.2">
      <c r="BJ57871" s="201"/>
    </row>
    <row r="57872" spans="62:62" x14ac:dyDescent="0.2">
      <c r="BJ57872" s="201"/>
    </row>
    <row r="57873" spans="62:62" x14ac:dyDescent="0.2">
      <c r="BJ57873" s="201"/>
    </row>
    <row r="57874" spans="62:62" x14ac:dyDescent="0.2">
      <c r="BJ57874" s="201"/>
    </row>
    <row r="57875" spans="62:62" x14ac:dyDescent="0.2">
      <c r="BJ57875" s="201"/>
    </row>
    <row r="57876" spans="62:62" x14ac:dyDescent="0.2">
      <c r="BJ57876" s="201"/>
    </row>
    <row r="57877" spans="62:62" x14ac:dyDescent="0.2">
      <c r="BJ57877" s="201"/>
    </row>
    <row r="57878" spans="62:62" x14ac:dyDescent="0.2">
      <c r="BJ57878" s="201"/>
    </row>
    <row r="57879" spans="62:62" x14ac:dyDescent="0.2">
      <c r="BJ57879" s="201"/>
    </row>
    <row r="57880" spans="62:62" x14ac:dyDescent="0.2">
      <c r="BJ57880" s="201"/>
    </row>
    <row r="57881" spans="62:62" x14ac:dyDescent="0.2">
      <c r="BJ57881" s="201"/>
    </row>
    <row r="57882" spans="62:62" x14ac:dyDescent="0.2">
      <c r="BJ57882" s="201"/>
    </row>
    <row r="57883" spans="62:62" x14ac:dyDescent="0.2">
      <c r="BJ57883" s="201"/>
    </row>
    <row r="57884" spans="62:62" x14ac:dyDescent="0.2">
      <c r="BJ57884" s="201"/>
    </row>
    <row r="57885" spans="62:62" x14ac:dyDescent="0.2">
      <c r="BJ57885" s="201"/>
    </row>
    <row r="57886" spans="62:62" x14ac:dyDescent="0.2">
      <c r="BJ57886" s="201"/>
    </row>
    <row r="57887" spans="62:62" x14ac:dyDescent="0.2">
      <c r="BJ57887" s="201"/>
    </row>
    <row r="57888" spans="62:62" x14ac:dyDescent="0.2">
      <c r="BJ57888" s="201"/>
    </row>
    <row r="57889" spans="62:62" x14ac:dyDescent="0.2">
      <c r="BJ57889" s="201"/>
    </row>
    <row r="57890" spans="62:62" x14ac:dyDescent="0.2">
      <c r="BJ57890" s="201"/>
    </row>
    <row r="57891" spans="62:62" x14ac:dyDescent="0.2">
      <c r="BJ57891" s="201"/>
    </row>
    <row r="57892" spans="62:62" x14ac:dyDescent="0.2">
      <c r="BJ57892" s="201"/>
    </row>
    <row r="57893" spans="62:62" x14ac:dyDescent="0.2">
      <c r="BJ57893" s="201"/>
    </row>
    <row r="57894" spans="62:62" x14ac:dyDescent="0.2">
      <c r="BJ57894" s="201"/>
    </row>
    <row r="57895" spans="62:62" x14ac:dyDescent="0.2">
      <c r="BJ57895" s="201"/>
    </row>
    <row r="57896" spans="62:62" x14ac:dyDescent="0.2">
      <c r="BJ57896" s="201"/>
    </row>
    <row r="57897" spans="62:62" x14ac:dyDescent="0.2">
      <c r="BJ57897" s="201"/>
    </row>
    <row r="57898" spans="62:62" x14ac:dyDescent="0.2">
      <c r="BJ57898" s="201"/>
    </row>
    <row r="57899" spans="62:62" x14ac:dyDescent="0.2">
      <c r="BJ57899" s="201"/>
    </row>
    <row r="57900" spans="62:62" x14ac:dyDescent="0.2">
      <c r="BJ57900" s="201"/>
    </row>
    <row r="57901" spans="62:62" x14ac:dyDescent="0.2">
      <c r="BJ57901" s="201"/>
    </row>
    <row r="57902" spans="62:62" x14ac:dyDescent="0.2">
      <c r="BJ57902" s="201"/>
    </row>
    <row r="57903" spans="62:62" x14ac:dyDescent="0.2">
      <c r="BJ57903" s="201"/>
    </row>
    <row r="57904" spans="62:62" x14ac:dyDescent="0.2">
      <c r="BJ57904" s="201"/>
    </row>
    <row r="57905" spans="62:62" x14ac:dyDescent="0.2">
      <c r="BJ57905" s="201"/>
    </row>
    <row r="57906" spans="62:62" x14ac:dyDescent="0.2">
      <c r="BJ57906" s="201"/>
    </row>
    <row r="57907" spans="62:62" x14ac:dyDescent="0.2">
      <c r="BJ57907" s="201"/>
    </row>
    <row r="57908" spans="62:62" x14ac:dyDescent="0.2">
      <c r="BJ57908" s="201"/>
    </row>
    <row r="57909" spans="62:62" x14ac:dyDescent="0.2">
      <c r="BJ57909" s="201"/>
    </row>
    <row r="57910" spans="62:62" x14ac:dyDescent="0.2">
      <c r="BJ57910" s="201"/>
    </row>
    <row r="57911" spans="62:62" x14ac:dyDescent="0.2">
      <c r="BJ57911" s="201"/>
    </row>
    <row r="57912" spans="62:62" x14ac:dyDescent="0.2">
      <c r="BJ57912" s="201"/>
    </row>
    <row r="57913" spans="62:62" x14ac:dyDescent="0.2">
      <c r="BJ57913" s="201"/>
    </row>
    <row r="57914" spans="62:62" x14ac:dyDescent="0.2">
      <c r="BJ57914" s="201"/>
    </row>
    <row r="57915" spans="62:62" x14ac:dyDescent="0.2">
      <c r="BJ57915" s="201"/>
    </row>
    <row r="57916" spans="62:62" x14ac:dyDescent="0.2">
      <c r="BJ57916" s="201"/>
    </row>
    <row r="57917" spans="62:62" x14ac:dyDescent="0.2">
      <c r="BJ57917" s="201"/>
    </row>
    <row r="57918" spans="62:62" x14ac:dyDescent="0.2">
      <c r="BJ57918" s="201"/>
    </row>
    <row r="57919" spans="62:62" x14ac:dyDescent="0.2">
      <c r="BJ57919" s="201"/>
    </row>
    <row r="57920" spans="62:62" x14ac:dyDescent="0.2">
      <c r="BJ57920" s="201"/>
    </row>
    <row r="57921" spans="62:62" x14ac:dyDescent="0.2">
      <c r="BJ57921" s="201"/>
    </row>
    <row r="57922" spans="62:62" x14ac:dyDescent="0.2">
      <c r="BJ57922" s="201"/>
    </row>
    <row r="57923" spans="62:62" x14ac:dyDescent="0.2">
      <c r="BJ57923" s="201"/>
    </row>
    <row r="57924" spans="62:62" x14ac:dyDescent="0.2">
      <c r="BJ57924" s="201"/>
    </row>
    <row r="57925" spans="62:62" x14ac:dyDescent="0.2">
      <c r="BJ57925" s="201"/>
    </row>
    <row r="57926" spans="62:62" x14ac:dyDescent="0.2">
      <c r="BJ57926" s="201"/>
    </row>
    <row r="57927" spans="62:62" x14ac:dyDescent="0.2">
      <c r="BJ57927" s="201"/>
    </row>
    <row r="57928" spans="62:62" x14ac:dyDescent="0.2">
      <c r="BJ57928" s="201"/>
    </row>
    <row r="57929" spans="62:62" x14ac:dyDescent="0.2">
      <c r="BJ57929" s="201"/>
    </row>
    <row r="57930" spans="62:62" x14ac:dyDescent="0.2">
      <c r="BJ57930" s="201"/>
    </row>
    <row r="57931" spans="62:62" x14ac:dyDescent="0.2">
      <c r="BJ57931" s="201"/>
    </row>
    <row r="57932" spans="62:62" x14ac:dyDescent="0.2">
      <c r="BJ57932" s="201"/>
    </row>
    <row r="57933" spans="62:62" x14ac:dyDescent="0.2">
      <c r="BJ57933" s="201"/>
    </row>
    <row r="57934" spans="62:62" x14ac:dyDescent="0.2">
      <c r="BJ57934" s="201"/>
    </row>
    <row r="57935" spans="62:62" x14ac:dyDescent="0.2">
      <c r="BJ57935" s="201"/>
    </row>
    <row r="57936" spans="62:62" x14ac:dyDescent="0.2">
      <c r="BJ57936" s="201"/>
    </row>
    <row r="57937" spans="62:62" x14ac:dyDescent="0.2">
      <c r="BJ57937" s="201"/>
    </row>
    <row r="57938" spans="62:62" x14ac:dyDescent="0.2">
      <c r="BJ57938" s="201"/>
    </row>
    <row r="57939" spans="62:62" x14ac:dyDescent="0.2">
      <c r="BJ57939" s="201"/>
    </row>
    <row r="57940" spans="62:62" x14ac:dyDescent="0.2">
      <c r="BJ57940" s="201"/>
    </row>
    <row r="57941" spans="62:62" x14ac:dyDescent="0.2">
      <c r="BJ57941" s="201"/>
    </row>
    <row r="57942" spans="62:62" x14ac:dyDescent="0.2">
      <c r="BJ57942" s="201"/>
    </row>
    <row r="57943" spans="62:62" x14ac:dyDescent="0.2">
      <c r="BJ57943" s="201"/>
    </row>
    <row r="57944" spans="62:62" x14ac:dyDescent="0.2">
      <c r="BJ57944" s="201"/>
    </row>
    <row r="57945" spans="62:62" x14ac:dyDescent="0.2">
      <c r="BJ57945" s="201"/>
    </row>
    <row r="57946" spans="62:62" x14ac:dyDescent="0.2">
      <c r="BJ57946" s="201"/>
    </row>
    <row r="57947" spans="62:62" x14ac:dyDescent="0.2">
      <c r="BJ57947" s="201"/>
    </row>
    <row r="57948" spans="62:62" x14ac:dyDescent="0.2">
      <c r="BJ57948" s="201"/>
    </row>
    <row r="57949" spans="62:62" x14ac:dyDescent="0.2">
      <c r="BJ57949" s="201"/>
    </row>
    <row r="57950" spans="62:62" x14ac:dyDescent="0.2">
      <c r="BJ57950" s="201"/>
    </row>
    <row r="57951" spans="62:62" x14ac:dyDescent="0.2">
      <c r="BJ57951" s="201"/>
    </row>
    <row r="57952" spans="62:62" x14ac:dyDescent="0.2">
      <c r="BJ57952" s="201"/>
    </row>
    <row r="57953" spans="62:62" x14ac:dyDescent="0.2">
      <c r="BJ57953" s="201"/>
    </row>
    <row r="57954" spans="62:62" x14ac:dyDescent="0.2">
      <c r="BJ57954" s="201"/>
    </row>
    <row r="57955" spans="62:62" x14ac:dyDescent="0.2">
      <c r="BJ57955" s="201"/>
    </row>
    <row r="57956" spans="62:62" x14ac:dyDescent="0.2">
      <c r="BJ57956" s="201"/>
    </row>
    <row r="57957" spans="62:62" x14ac:dyDescent="0.2">
      <c r="BJ57957" s="201"/>
    </row>
    <row r="57958" spans="62:62" x14ac:dyDescent="0.2">
      <c r="BJ57958" s="201"/>
    </row>
    <row r="57959" spans="62:62" x14ac:dyDescent="0.2">
      <c r="BJ57959" s="201"/>
    </row>
    <row r="57960" spans="62:62" x14ac:dyDescent="0.2">
      <c r="BJ57960" s="201"/>
    </row>
    <row r="57961" spans="62:62" x14ac:dyDescent="0.2">
      <c r="BJ57961" s="201"/>
    </row>
    <row r="57962" spans="62:62" x14ac:dyDescent="0.2">
      <c r="BJ57962" s="201"/>
    </row>
    <row r="57963" spans="62:62" x14ac:dyDescent="0.2">
      <c r="BJ57963" s="201"/>
    </row>
    <row r="57964" spans="62:62" x14ac:dyDescent="0.2">
      <c r="BJ57964" s="201"/>
    </row>
    <row r="57965" spans="62:62" x14ac:dyDescent="0.2">
      <c r="BJ57965" s="201"/>
    </row>
    <row r="57966" spans="62:62" x14ac:dyDescent="0.2">
      <c r="BJ57966" s="201"/>
    </row>
    <row r="57967" spans="62:62" x14ac:dyDescent="0.2">
      <c r="BJ57967" s="201"/>
    </row>
    <row r="57968" spans="62:62" x14ac:dyDescent="0.2">
      <c r="BJ57968" s="201"/>
    </row>
    <row r="57969" spans="62:62" x14ac:dyDescent="0.2">
      <c r="BJ57969" s="201"/>
    </row>
    <row r="57970" spans="62:62" x14ac:dyDescent="0.2">
      <c r="BJ57970" s="201"/>
    </row>
    <row r="57971" spans="62:62" x14ac:dyDescent="0.2">
      <c r="BJ57971" s="201"/>
    </row>
    <row r="57972" spans="62:62" x14ac:dyDescent="0.2">
      <c r="BJ57972" s="201"/>
    </row>
    <row r="57973" spans="62:62" x14ac:dyDescent="0.2">
      <c r="BJ57973" s="201"/>
    </row>
    <row r="57974" spans="62:62" x14ac:dyDescent="0.2">
      <c r="BJ57974" s="201"/>
    </row>
    <row r="57975" spans="62:62" x14ac:dyDescent="0.2">
      <c r="BJ57975" s="201"/>
    </row>
    <row r="57976" spans="62:62" x14ac:dyDescent="0.2">
      <c r="BJ57976" s="201"/>
    </row>
    <row r="57977" spans="62:62" x14ac:dyDescent="0.2">
      <c r="BJ57977" s="201"/>
    </row>
    <row r="57978" spans="62:62" x14ac:dyDescent="0.2">
      <c r="BJ57978" s="201"/>
    </row>
    <row r="57979" spans="62:62" x14ac:dyDescent="0.2">
      <c r="BJ57979" s="201"/>
    </row>
    <row r="57980" spans="62:62" x14ac:dyDescent="0.2">
      <c r="BJ57980" s="201"/>
    </row>
    <row r="57981" spans="62:62" x14ac:dyDescent="0.2">
      <c r="BJ57981" s="201"/>
    </row>
    <row r="57982" spans="62:62" x14ac:dyDescent="0.2">
      <c r="BJ57982" s="201"/>
    </row>
    <row r="57983" spans="62:62" x14ac:dyDescent="0.2">
      <c r="BJ57983" s="201"/>
    </row>
    <row r="57984" spans="62:62" x14ac:dyDescent="0.2">
      <c r="BJ57984" s="201"/>
    </row>
    <row r="57985" spans="62:62" x14ac:dyDescent="0.2">
      <c r="BJ57985" s="201"/>
    </row>
    <row r="57986" spans="62:62" x14ac:dyDescent="0.2">
      <c r="BJ57986" s="201"/>
    </row>
    <row r="57987" spans="62:62" x14ac:dyDescent="0.2">
      <c r="BJ57987" s="201"/>
    </row>
    <row r="57988" spans="62:62" x14ac:dyDescent="0.2">
      <c r="BJ57988" s="201"/>
    </row>
    <row r="57989" spans="62:62" x14ac:dyDescent="0.2">
      <c r="BJ57989" s="201"/>
    </row>
    <row r="57990" spans="62:62" x14ac:dyDescent="0.2">
      <c r="BJ57990" s="201"/>
    </row>
    <row r="57991" spans="62:62" x14ac:dyDescent="0.2">
      <c r="BJ57991" s="201"/>
    </row>
    <row r="57992" spans="62:62" x14ac:dyDescent="0.2">
      <c r="BJ57992" s="201"/>
    </row>
    <row r="57993" spans="62:62" x14ac:dyDescent="0.2">
      <c r="BJ57993" s="201"/>
    </row>
    <row r="57994" spans="62:62" x14ac:dyDescent="0.2">
      <c r="BJ57994" s="201"/>
    </row>
    <row r="57995" spans="62:62" x14ac:dyDescent="0.2">
      <c r="BJ57995" s="201"/>
    </row>
    <row r="57996" spans="62:62" x14ac:dyDescent="0.2">
      <c r="BJ57996" s="201"/>
    </row>
    <row r="57997" spans="62:62" x14ac:dyDescent="0.2">
      <c r="BJ57997" s="201"/>
    </row>
    <row r="57998" spans="62:62" x14ac:dyDescent="0.2">
      <c r="BJ57998" s="201"/>
    </row>
    <row r="57999" spans="62:62" x14ac:dyDescent="0.2">
      <c r="BJ57999" s="201"/>
    </row>
    <row r="58000" spans="62:62" x14ac:dyDescent="0.2">
      <c r="BJ58000" s="201"/>
    </row>
    <row r="58001" spans="62:62" x14ac:dyDescent="0.2">
      <c r="BJ58001" s="201"/>
    </row>
    <row r="58002" spans="62:62" x14ac:dyDescent="0.2">
      <c r="BJ58002" s="201"/>
    </row>
    <row r="58003" spans="62:62" x14ac:dyDescent="0.2">
      <c r="BJ58003" s="201"/>
    </row>
    <row r="58004" spans="62:62" x14ac:dyDescent="0.2">
      <c r="BJ58004" s="201"/>
    </row>
    <row r="58005" spans="62:62" x14ac:dyDescent="0.2">
      <c r="BJ58005" s="201"/>
    </row>
    <row r="58006" spans="62:62" x14ac:dyDescent="0.2">
      <c r="BJ58006" s="201"/>
    </row>
    <row r="58007" spans="62:62" x14ac:dyDescent="0.2">
      <c r="BJ58007" s="201"/>
    </row>
    <row r="58008" spans="62:62" x14ac:dyDescent="0.2">
      <c r="BJ58008" s="201"/>
    </row>
    <row r="58009" spans="62:62" x14ac:dyDescent="0.2">
      <c r="BJ58009" s="201"/>
    </row>
    <row r="58010" spans="62:62" x14ac:dyDescent="0.2">
      <c r="BJ58010" s="201"/>
    </row>
    <row r="58011" spans="62:62" x14ac:dyDescent="0.2">
      <c r="BJ58011" s="201"/>
    </row>
    <row r="58012" spans="62:62" x14ac:dyDescent="0.2">
      <c r="BJ58012" s="201"/>
    </row>
    <row r="58013" spans="62:62" x14ac:dyDescent="0.2">
      <c r="BJ58013" s="201"/>
    </row>
    <row r="58014" spans="62:62" x14ac:dyDescent="0.2">
      <c r="BJ58014" s="201"/>
    </row>
    <row r="58015" spans="62:62" x14ac:dyDescent="0.2">
      <c r="BJ58015" s="201"/>
    </row>
    <row r="58016" spans="62:62" x14ac:dyDescent="0.2">
      <c r="BJ58016" s="201"/>
    </row>
    <row r="58017" spans="62:62" x14ac:dyDescent="0.2">
      <c r="BJ58017" s="201"/>
    </row>
    <row r="58018" spans="62:62" x14ac:dyDescent="0.2">
      <c r="BJ58018" s="201"/>
    </row>
    <row r="58019" spans="62:62" x14ac:dyDescent="0.2">
      <c r="BJ58019" s="201"/>
    </row>
    <row r="58020" spans="62:62" x14ac:dyDescent="0.2">
      <c r="BJ58020" s="201"/>
    </row>
    <row r="58021" spans="62:62" x14ac:dyDescent="0.2">
      <c r="BJ58021" s="201"/>
    </row>
    <row r="58022" spans="62:62" x14ac:dyDescent="0.2">
      <c r="BJ58022" s="201"/>
    </row>
    <row r="58023" spans="62:62" x14ac:dyDescent="0.2">
      <c r="BJ58023" s="201"/>
    </row>
    <row r="58024" spans="62:62" x14ac:dyDescent="0.2">
      <c r="BJ58024" s="201"/>
    </row>
    <row r="58025" spans="62:62" x14ac:dyDescent="0.2">
      <c r="BJ58025" s="201"/>
    </row>
    <row r="58026" spans="62:62" x14ac:dyDescent="0.2">
      <c r="BJ58026" s="201"/>
    </row>
    <row r="58027" spans="62:62" x14ac:dyDescent="0.2">
      <c r="BJ58027" s="201"/>
    </row>
    <row r="58028" spans="62:62" x14ac:dyDescent="0.2">
      <c r="BJ58028" s="201"/>
    </row>
    <row r="58029" spans="62:62" x14ac:dyDescent="0.2">
      <c r="BJ58029" s="201"/>
    </row>
    <row r="58030" spans="62:62" x14ac:dyDescent="0.2">
      <c r="BJ58030" s="201"/>
    </row>
    <row r="58031" spans="62:62" x14ac:dyDescent="0.2">
      <c r="BJ58031" s="201"/>
    </row>
    <row r="58032" spans="62:62" x14ac:dyDescent="0.2">
      <c r="BJ58032" s="201"/>
    </row>
    <row r="58033" spans="62:62" x14ac:dyDescent="0.2">
      <c r="BJ58033" s="201"/>
    </row>
    <row r="58034" spans="62:62" x14ac:dyDescent="0.2">
      <c r="BJ58034" s="201"/>
    </row>
    <row r="58035" spans="62:62" x14ac:dyDescent="0.2">
      <c r="BJ58035" s="201"/>
    </row>
    <row r="58036" spans="62:62" x14ac:dyDescent="0.2">
      <c r="BJ58036" s="201"/>
    </row>
    <row r="58037" spans="62:62" x14ac:dyDescent="0.2">
      <c r="BJ58037" s="201"/>
    </row>
    <row r="58038" spans="62:62" x14ac:dyDescent="0.2">
      <c r="BJ58038" s="201"/>
    </row>
    <row r="58039" spans="62:62" x14ac:dyDescent="0.2">
      <c r="BJ58039" s="201"/>
    </row>
    <row r="58040" spans="62:62" x14ac:dyDescent="0.2">
      <c r="BJ58040" s="201"/>
    </row>
    <row r="58041" spans="62:62" x14ac:dyDescent="0.2">
      <c r="BJ58041" s="201"/>
    </row>
    <row r="58042" spans="62:62" x14ac:dyDescent="0.2">
      <c r="BJ58042" s="201"/>
    </row>
    <row r="58043" spans="62:62" x14ac:dyDescent="0.2">
      <c r="BJ58043" s="201"/>
    </row>
    <row r="58044" spans="62:62" x14ac:dyDescent="0.2">
      <c r="BJ58044" s="201"/>
    </row>
    <row r="58045" spans="62:62" x14ac:dyDescent="0.2">
      <c r="BJ58045" s="201"/>
    </row>
    <row r="58046" spans="62:62" x14ac:dyDescent="0.2">
      <c r="BJ58046" s="201"/>
    </row>
    <row r="58047" spans="62:62" x14ac:dyDescent="0.2">
      <c r="BJ58047" s="201"/>
    </row>
    <row r="58048" spans="62:62" x14ac:dyDescent="0.2">
      <c r="BJ58048" s="201"/>
    </row>
    <row r="58049" spans="62:62" x14ac:dyDescent="0.2">
      <c r="BJ58049" s="201"/>
    </row>
    <row r="58050" spans="62:62" x14ac:dyDescent="0.2">
      <c r="BJ58050" s="201"/>
    </row>
    <row r="58051" spans="62:62" x14ac:dyDescent="0.2">
      <c r="BJ58051" s="201"/>
    </row>
    <row r="58052" spans="62:62" x14ac:dyDescent="0.2">
      <c r="BJ58052" s="201"/>
    </row>
    <row r="58053" spans="62:62" x14ac:dyDescent="0.2">
      <c r="BJ58053" s="201"/>
    </row>
    <row r="58054" spans="62:62" x14ac:dyDescent="0.2">
      <c r="BJ58054" s="201"/>
    </row>
    <row r="58055" spans="62:62" x14ac:dyDescent="0.2">
      <c r="BJ58055" s="201"/>
    </row>
    <row r="58056" spans="62:62" x14ac:dyDescent="0.2">
      <c r="BJ58056" s="201"/>
    </row>
    <row r="58057" spans="62:62" x14ac:dyDescent="0.2">
      <c r="BJ58057" s="201"/>
    </row>
    <row r="58058" spans="62:62" x14ac:dyDescent="0.2">
      <c r="BJ58058" s="201"/>
    </row>
    <row r="58059" spans="62:62" x14ac:dyDescent="0.2">
      <c r="BJ58059" s="201"/>
    </row>
    <row r="58060" spans="62:62" x14ac:dyDescent="0.2">
      <c r="BJ58060" s="201"/>
    </row>
    <row r="58061" spans="62:62" x14ac:dyDescent="0.2">
      <c r="BJ58061" s="201"/>
    </row>
    <row r="58062" spans="62:62" x14ac:dyDescent="0.2">
      <c r="BJ58062" s="201"/>
    </row>
    <row r="58063" spans="62:62" x14ac:dyDescent="0.2">
      <c r="BJ58063" s="201"/>
    </row>
    <row r="58064" spans="62:62" x14ac:dyDescent="0.2">
      <c r="BJ58064" s="201"/>
    </row>
    <row r="58065" spans="62:62" x14ac:dyDescent="0.2">
      <c r="BJ58065" s="201"/>
    </row>
    <row r="58066" spans="62:62" x14ac:dyDescent="0.2">
      <c r="BJ58066" s="201"/>
    </row>
    <row r="58067" spans="62:62" x14ac:dyDescent="0.2">
      <c r="BJ58067" s="201"/>
    </row>
    <row r="58068" spans="62:62" x14ac:dyDescent="0.2">
      <c r="BJ58068" s="201"/>
    </row>
    <row r="58069" spans="62:62" x14ac:dyDescent="0.2">
      <c r="BJ58069" s="201"/>
    </row>
    <row r="58070" spans="62:62" x14ac:dyDescent="0.2">
      <c r="BJ58070" s="201"/>
    </row>
    <row r="58071" spans="62:62" x14ac:dyDescent="0.2">
      <c r="BJ58071" s="201"/>
    </row>
    <row r="58072" spans="62:62" x14ac:dyDescent="0.2">
      <c r="BJ58072" s="201"/>
    </row>
    <row r="58073" spans="62:62" x14ac:dyDescent="0.2">
      <c r="BJ58073" s="201"/>
    </row>
    <row r="58074" spans="62:62" x14ac:dyDescent="0.2">
      <c r="BJ58074" s="201"/>
    </row>
    <row r="58075" spans="62:62" x14ac:dyDescent="0.2">
      <c r="BJ58075" s="201"/>
    </row>
    <row r="58076" spans="62:62" x14ac:dyDescent="0.2">
      <c r="BJ58076" s="201"/>
    </row>
    <row r="58077" spans="62:62" x14ac:dyDescent="0.2">
      <c r="BJ58077" s="201"/>
    </row>
    <row r="58078" spans="62:62" x14ac:dyDescent="0.2">
      <c r="BJ58078" s="201"/>
    </row>
    <row r="58079" spans="62:62" x14ac:dyDescent="0.2">
      <c r="BJ58079" s="201"/>
    </row>
    <row r="58080" spans="62:62" x14ac:dyDescent="0.2">
      <c r="BJ58080" s="201"/>
    </row>
    <row r="58081" spans="62:62" x14ac:dyDescent="0.2">
      <c r="BJ58081" s="201"/>
    </row>
    <row r="58082" spans="62:62" x14ac:dyDescent="0.2">
      <c r="BJ58082" s="201"/>
    </row>
    <row r="58083" spans="62:62" x14ac:dyDescent="0.2">
      <c r="BJ58083" s="201"/>
    </row>
    <row r="58084" spans="62:62" x14ac:dyDescent="0.2">
      <c r="BJ58084" s="201"/>
    </row>
    <row r="58085" spans="62:62" x14ac:dyDescent="0.2">
      <c r="BJ58085" s="201"/>
    </row>
    <row r="58086" spans="62:62" x14ac:dyDescent="0.2">
      <c r="BJ58086" s="201"/>
    </row>
    <row r="58087" spans="62:62" x14ac:dyDescent="0.2">
      <c r="BJ58087" s="201"/>
    </row>
    <row r="58088" spans="62:62" x14ac:dyDescent="0.2">
      <c r="BJ58088" s="201"/>
    </row>
    <row r="58089" spans="62:62" x14ac:dyDescent="0.2">
      <c r="BJ58089" s="201"/>
    </row>
    <row r="58090" spans="62:62" x14ac:dyDescent="0.2">
      <c r="BJ58090" s="201"/>
    </row>
    <row r="58091" spans="62:62" x14ac:dyDescent="0.2">
      <c r="BJ58091" s="201"/>
    </row>
    <row r="58092" spans="62:62" x14ac:dyDescent="0.2">
      <c r="BJ58092" s="201"/>
    </row>
    <row r="58093" spans="62:62" x14ac:dyDescent="0.2">
      <c r="BJ58093" s="201"/>
    </row>
    <row r="58094" spans="62:62" x14ac:dyDescent="0.2">
      <c r="BJ58094" s="201"/>
    </row>
    <row r="58095" spans="62:62" x14ac:dyDescent="0.2">
      <c r="BJ58095" s="201"/>
    </row>
    <row r="58096" spans="62:62" x14ac:dyDescent="0.2">
      <c r="BJ58096" s="201"/>
    </row>
    <row r="58097" spans="62:62" x14ac:dyDescent="0.2">
      <c r="BJ58097" s="201"/>
    </row>
    <row r="58098" spans="62:62" x14ac:dyDescent="0.2">
      <c r="BJ58098" s="201"/>
    </row>
    <row r="58099" spans="62:62" x14ac:dyDescent="0.2">
      <c r="BJ58099" s="201"/>
    </row>
    <row r="58100" spans="62:62" x14ac:dyDescent="0.2">
      <c r="BJ58100" s="201"/>
    </row>
    <row r="58101" spans="62:62" x14ac:dyDescent="0.2">
      <c r="BJ58101" s="201"/>
    </row>
    <row r="58102" spans="62:62" x14ac:dyDescent="0.2">
      <c r="BJ58102" s="201"/>
    </row>
    <row r="58103" spans="62:62" x14ac:dyDescent="0.2">
      <c r="BJ58103" s="201"/>
    </row>
    <row r="58104" spans="62:62" x14ac:dyDescent="0.2">
      <c r="BJ58104" s="201"/>
    </row>
    <row r="58105" spans="62:62" x14ac:dyDescent="0.2">
      <c r="BJ58105" s="201"/>
    </row>
    <row r="58106" spans="62:62" x14ac:dyDescent="0.2">
      <c r="BJ58106" s="201"/>
    </row>
    <row r="58107" spans="62:62" x14ac:dyDescent="0.2">
      <c r="BJ58107" s="201"/>
    </row>
    <row r="58108" spans="62:62" x14ac:dyDescent="0.2">
      <c r="BJ58108" s="201"/>
    </row>
    <row r="58109" spans="62:62" x14ac:dyDescent="0.2">
      <c r="BJ58109" s="201"/>
    </row>
    <row r="58110" spans="62:62" x14ac:dyDescent="0.2">
      <c r="BJ58110" s="201"/>
    </row>
    <row r="58111" spans="62:62" x14ac:dyDescent="0.2">
      <c r="BJ58111" s="201"/>
    </row>
    <row r="58112" spans="62:62" x14ac:dyDescent="0.2">
      <c r="BJ58112" s="201"/>
    </row>
    <row r="58113" spans="62:62" x14ac:dyDescent="0.2">
      <c r="BJ58113" s="201"/>
    </row>
    <row r="58114" spans="62:62" x14ac:dyDescent="0.2">
      <c r="BJ58114" s="201"/>
    </row>
    <row r="58115" spans="62:62" x14ac:dyDescent="0.2">
      <c r="BJ58115" s="201"/>
    </row>
    <row r="58116" spans="62:62" x14ac:dyDescent="0.2">
      <c r="BJ58116" s="201"/>
    </row>
    <row r="58117" spans="62:62" x14ac:dyDescent="0.2">
      <c r="BJ58117" s="201"/>
    </row>
    <row r="58118" spans="62:62" x14ac:dyDescent="0.2">
      <c r="BJ58118" s="201"/>
    </row>
    <row r="58119" spans="62:62" x14ac:dyDescent="0.2">
      <c r="BJ58119" s="201"/>
    </row>
    <row r="58120" spans="62:62" x14ac:dyDescent="0.2">
      <c r="BJ58120" s="201"/>
    </row>
    <row r="58121" spans="62:62" x14ac:dyDescent="0.2">
      <c r="BJ58121" s="201"/>
    </row>
    <row r="58122" spans="62:62" x14ac:dyDescent="0.2">
      <c r="BJ58122" s="201"/>
    </row>
    <row r="58123" spans="62:62" x14ac:dyDescent="0.2">
      <c r="BJ58123" s="201"/>
    </row>
    <row r="58124" spans="62:62" x14ac:dyDescent="0.2">
      <c r="BJ58124" s="201"/>
    </row>
    <row r="58125" spans="62:62" x14ac:dyDescent="0.2">
      <c r="BJ58125" s="201"/>
    </row>
    <row r="58126" spans="62:62" x14ac:dyDescent="0.2">
      <c r="BJ58126" s="201"/>
    </row>
    <row r="58127" spans="62:62" x14ac:dyDescent="0.2">
      <c r="BJ58127" s="201"/>
    </row>
    <row r="58128" spans="62:62" x14ac:dyDescent="0.2">
      <c r="BJ58128" s="201"/>
    </row>
    <row r="58129" spans="62:62" x14ac:dyDescent="0.2">
      <c r="BJ58129" s="201"/>
    </row>
    <row r="58130" spans="62:62" x14ac:dyDescent="0.2">
      <c r="BJ58130" s="201"/>
    </row>
    <row r="58131" spans="62:62" x14ac:dyDescent="0.2">
      <c r="BJ58131" s="201"/>
    </row>
    <row r="58132" spans="62:62" x14ac:dyDescent="0.2">
      <c r="BJ58132" s="201"/>
    </row>
    <row r="58133" spans="62:62" x14ac:dyDescent="0.2">
      <c r="BJ58133" s="201"/>
    </row>
    <row r="58134" spans="62:62" x14ac:dyDescent="0.2">
      <c r="BJ58134" s="201"/>
    </row>
    <row r="58135" spans="62:62" x14ac:dyDescent="0.2">
      <c r="BJ58135" s="201"/>
    </row>
    <row r="58136" spans="62:62" x14ac:dyDescent="0.2">
      <c r="BJ58136" s="201"/>
    </row>
    <row r="58137" spans="62:62" x14ac:dyDescent="0.2">
      <c r="BJ58137" s="201"/>
    </row>
    <row r="58138" spans="62:62" x14ac:dyDescent="0.2">
      <c r="BJ58138" s="201"/>
    </row>
    <row r="58139" spans="62:62" x14ac:dyDescent="0.2">
      <c r="BJ58139" s="201"/>
    </row>
    <row r="58140" spans="62:62" x14ac:dyDescent="0.2">
      <c r="BJ58140" s="201"/>
    </row>
    <row r="58141" spans="62:62" x14ac:dyDescent="0.2">
      <c r="BJ58141" s="201"/>
    </row>
    <row r="58142" spans="62:62" x14ac:dyDescent="0.2">
      <c r="BJ58142" s="201"/>
    </row>
    <row r="58143" spans="62:62" x14ac:dyDescent="0.2">
      <c r="BJ58143" s="201"/>
    </row>
    <row r="58144" spans="62:62" x14ac:dyDescent="0.2">
      <c r="BJ58144" s="201"/>
    </row>
    <row r="58145" spans="62:62" x14ac:dyDescent="0.2">
      <c r="BJ58145" s="201"/>
    </row>
    <row r="58146" spans="62:62" x14ac:dyDescent="0.2">
      <c r="BJ58146" s="201"/>
    </row>
    <row r="58147" spans="62:62" x14ac:dyDescent="0.2">
      <c r="BJ58147" s="201"/>
    </row>
    <row r="58148" spans="62:62" x14ac:dyDescent="0.2">
      <c r="BJ58148" s="201"/>
    </row>
    <row r="58149" spans="62:62" x14ac:dyDescent="0.2">
      <c r="BJ58149" s="201"/>
    </row>
    <row r="58150" spans="62:62" x14ac:dyDescent="0.2">
      <c r="BJ58150" s="201"/>
    </row>
    <row r="58151" spans="62:62" x14ac:dyDescent="0.2">
      <c r="BJ58151" s="201"/>
    </row>
    <row r="58152" spans="62:62" x14ac:dyDescent="0.2">
      <c r="BJ58152" s="201"/>
    </row>
    <row r="58153" spans="62:62" x14ac:dyDescent="0.2">
      <c r="BJ58153" s="201"/>
    </row>
    <row r="58154" spans="62:62" x14ac:dyDescent="0.2">
      <c r="BJ58154" s="201"/>
    </row>
    <row r="58155" spans="62:62" x14ac:dyDescent="0.2">
      <c r="BJ58155" s="201"/>
    </row>
    <row r="58156" spans="62:62" x14ac:dyDescent="0.2">
      <c r="BJ58156" s="201"/>
    </row>
    <row r="58157" spans="62:62" x14ac:dyDescent="0.2">
      <c r="BJ58157" s="201"/>
    </row>
    <row r="58158" spans="62:62" x14ac:dyDescent="0.2">
      <c r="BJ58158" s="201"/>
    </row>
    <row r="58159" spans="62:62" x14ac:dyDescent="0.2">
      <c r="BJ58159" s="201"/>
    </row>
    <row r="58160" spans="62:62" x14ac:dyDescent="0.2">
      <c r="BJ58160" s="201"/>
    </row>
    <row r="58161" spans="62:62" x14ac:dyDescent="0.2">
      <c r="BJ58161" s="201"/>
    </row>
    <row r="58162" spans="62:62" x14ac:dyDescent="0.2">
      <c r="BJ58162" s="201"/>
    </row>
    <row r="58163" spans="62:62" x14ac:dyDescent="0.2">
      <c r="BJ58163" s="201"/>
    </row>
    <row r="58164" spans="62:62" x14ac:dyDescent="0.2">
      <c r="BJ58164" s="201"/>
    </row>
    <row r="58165" spans="62:62" x14ac:dyDescent="0.2">
      <c r="BJ58165" s="201"/>
    </row>
    <row r="58166" spans="62:62" x14ac:dyDescent="0.2">
      <c r="BJ58166" s="201"/>
    </row>
    <row r="58167" spans="62:62" x14ac:dyDescent="0.2">
      <c r="BJ58167" s="201"/>
    </row>
    <row r="58168" spans="62:62" x14ac:dyDescent="0.2">
      <c r="BJ58168" s="201"/>
    </row>
    <row r="58169" spans="62:62" x14ac:dyDescent="0.2">
      <c r="BJ58169" s="201"/>
    </row>
    <row r="58170" spans="62:62" x14ac:dyDescent="0.2">
      <c r="BJ58170" s="201"/>
    </row>
    <row r="58171" spans="62:62" x14ac:dyDescent="0.2">
      <c r="BJ58171" s="201"/>
    </row>
    <row r="58172" spans="62:62" x14ac:dyDescent="0.2">
      <c r="BJ58172" s="201"/>
    </row>
    <row r="58173" spans="62:62" x14ac:dyDescent="0.2">
      <c r="BJ58173" s="201"/>
    </row>
    <row r="58174" spans="62:62" x14ac:dyDescent="0.2">
      <c r="BJ58174" s="201"/>
    </row>
    <row r="58175" spans="62:62" x14ac:dyDescent="0.2">
      <c r="BJ58175" s="201"/>
    </row>
    <row r="58176" spans="62:62" x14ac:dyDescent="0.2">
      <c r="BJ58176" s="201"/>
    </row>
    <row r="58177" spans="62:62" x14ac:dyDescent="0.2">
      <c r="BJ58177" s="201"/>
    </row>
    <row r="58178" spans="62:62" x14ac:dyDescent="0.2">
      <c r="BJ58178" s="201"/>
    </row>
    <row r="58179" spans="62:62" x14ac:dyDescent="0.2">
      <c r="BJ58179" s="201"/>
    </row>
    <row r="58180" spans="62:62" x14ac:dyDescent="0.2">
      <c r="BJ58180" s="201"/>
    </row>
    <row r="58181" spans="62:62" x14ac:dyDescent="0.2">
      <c r="BJ58181" s="201"/>
    </row>
    <row r="58182" spans="62:62" x14ac:dyDescent="0.2">
      <c r="BJ58182" s="201"/>
    </row>
    <row r="58183" spans="62:62" x14ac:dyDescent="0.2">
      <c r="BJ58183" s="201"/>
    </row>
    <row r="58184" spans="62:62" x14ac:dyDescent="0.2">
      <c r="BJ58184" s="201"/>
    </row>
    <row r="58185" spans="62:62" x14ac:dyDescent="0.2">
      <c r="BJ58185" s="201"/>
    </row>
    <row r="58186" spans="62:62" x14ac:dyDescent="0.2">
      <c r="BJ58186" s="201"/>
    </row>
    <row r="58187" spans="62:62" x14ac:dyDescent="0.2">
      <c r="BJ58187" s="201"/>
    </row>
    <row r="58188" spans="62:62" x14ac:dyDescent="0.2">
      <c r="BJ58188" s="201"/>
    </row>
    <row r="58189" spans="62:62" x14ac:dyDescent="0.2">
      <c r="BJ58189" s="201"/>
    </row>
    <row r="58190" spans="62:62" x14ac:dyDescent="0.2">
      <c r="BJ58190" s="201"/>
    </row>
    <row r="58191" spans="62:62" x14ac:dyDescent="0.2">
      <c r="BJ58191" s="201"/>
    </row>
    <row r="58192" spans="62:62" x14ac:dyDescent="0.2">
      <c r="BJ58192" s="201"/>
    </row>
    <row r="58193" spans="62:62" x14ac:dyDescent="0.2">
      <c r="BJ58193" s="201"/>
    </row>
    <row r="58194" spans="62:62" x14ac:dyDescent="0.2">
      <c r="BJ58194" s="201"/>
    </row>
    <row r="58195" spans="62:62" x14ac:dyDescent="0.2">
      <c r="BJ58195" s="201"/>
    </row>
    <row r="58196" spans="62:62" x14ac:dyDescent="0.2">
      <c r="BJ58196" s="201"/>
    </row>
    <row r="58197" spans="62:62" x14ac:dyDescent="0.2">
      <c r="BJ58197" s="201"/>
    </row>
    <row r="58198" spans="62:62" x14ac:dyDescent="0.2">
      <c r="BJ58198" s="201"/>
    </row>
    <row r="58199" spans="62:62" x14ac:dyDescent="0.2">
      <c r="BJ58199" s="201"/>
    </row>
    <row r="58200" spans="62:62" x14ac:dyDescent="0.2">
      <c r="BJ58200" s="201"/>
    </row>
    <row r="58201" spans="62:62" x14ac:dyDescent="0.2">
      <c r="BJ58201" s="201"/>
    </row>
    <row r="58202" spans="62:62" x14ac:dyDescent="0.2">
      <c r="BJ58202" s="201"/>
    </row>
    <row r="58203" spans="62:62" x14ac:dyDescent="0.2">
      <c r="BJ58203" s="201"/>
    </row>
    <row r="58204" spans="62:62" x14ac:dyDescent="0.2">
      <c r="BJ58204" s="201"/>
    </row>
    <row r="58205" spans="62:62" x14ac:dyDescent="0.2">
      <c r="BJ58205" s="201"/>
    </row>
    <row r="58206" spans="62:62" x14ac:dyDescent="0.2">
      <c r="BJ58206" s="201"/>
    </row>
    <row r="58207" spans="62:62" x14ac:dyDescent="0.2">
      <c r="BJ58207" s="201"/>
    </row>
    <row r="58208" spans="62:62" x14ac:dyDescent="0.2">
      <c r="BJ58208" s="201"/>
    </row>
    <row r="58209" spans="62:62" x14ac:dyDescent="0.2">
      <c r="BJ58209" s="201"/>
    </row>
    <row r="58210" spans="62:62" x14ac:dyDescent="0.2">
      <c r="BJ58210" s="201"/>
    </row>
    <row r="58211" spans="62:62" x14ac:dyDescent="0.2">
      <c r="BJ58211" s="201"/>
    </row>
    <row r="58212" spans="62:62" x14ac:dyDescent="0.2">
      <c r="BJ58212" s="201"/>
    </row>
    <row r="58213" spans="62:62" x14ac:dyDescent="0.2">
      <c r="BJ58213" s="201"/>
    </row>
    <row r="58214" spans="62:62" x14ac:dyDescent="0.2">
      <c r="BJ58214" s="201"/>
    </row>
    <row r="58215" spans="62:62" x14ac:dyDescent="0.2">
      <c r="BJ58215" s="201"/>
    </row>
    <row r="58216" spans="62:62" x14ac:dyDescent="0.2">
      <c r="BJ58216" s="201"/>
    </row>
    <row r="58217" spans="62:62" x14ac:dyDescent="0.2">
      <c r="BJ58217" s="201"/>
    </row>
    <row r="58218" spans="62:62" x14ac:dyDescent="0.2">
      <c r="BJ58218" s="201"/>
    </row>
    <row r="58219" spans="62:62" x14ac:dyDescent="0.2">
      <c r="BJ58219" s="201"/>
    </row>
    <row r="58220" spans="62:62" x14ac:dyDescent="0.2">
      <c r="BJ58220" s="201"/>
    </row>
    <row r="58221" spans="62:62" x14ac:dyDescent="0.2">
      <c r="BJ58221" s="201"/>
    </row>
    <row r="58222" spans="62:62" x14ac:dyDescent="0.2">
      <c r="BJ58222" s="201"/>
    </row>
    <row r="58223" spans="62:62" x14ac:dyDescent="0.2">
      <c r="BJ58223" s="201"/>
    </row>
    <row r="58224" spans="62:62" x14ac:dyDescent="0.2">
      <c r="BJ58224" s="201"/>
    </row>
    <row r="58225" spans="62:62" x14ac:dyDescent="0.2">
      <c r="BJ58225" s="201"/>
    </row>
    <row r="58226" spans="62:62" x14ac:dyDescent="0.2">
      <c r="BJ58226" s="201"/>
    </row>
    <row r="58227" spans="62:62" x14ac:dyDescent="0.2">
      <c r="BJ58227" s="201"/>
    </row>
    <row r="58228" spans="62:62" x14ac:dyDescent="0.2">
      <c r="BJ58228" s="201"/>
    </row>
    <row r="58229" spans="62:62" x14ac:dyDescent="0.2">
      <c r="BJ58229" s="201"/>
    </row>
    <row r="58230" spans="62:62" x14ac:dyDescent="0.2">
      <c r="BJ58230" s="201"/>
    </row>
    <row r="58231" spans="62:62" x14ac:dyDescent="0.2">
      <c r="BJ58231" s="201"/>
    </row>
    <row r="58232" spans="62:62" x14ac:dyDescent="0.2">
      <c r="BJ58232" s="201"/>
    </row>
    <row r="58233" spans="62:62" x14ac:dyDescent="0.2">
      <c r="BJ58233" s="201"/>
    </row>
    <row r="58234" spans="62:62" x14ac:dyDescent="0.2">
      <c r="BJ58234" s="201"/>
    </row>
    <row r="58235" spans="62:62" x14ac:dyDescent="0.2">
      <c r="BJ58235" s="201"/>
    </row>
    <row r="58236" spans="62:62" x14ac:dyDescent="0.2">
      <c r="BJ58236" s="201"/>
    </row>
    <row r="58237" spans="62:62" x14ac:dyDescent="0.2">
      <c r="BJ58237" s="201"/>
    </row>
    <row r="58238" spans="62:62" x14ac:dyDescent="0.2">
      <c r="BJ58238" s="201"/>
    </row>
    <row r="58239" spans="62:62" x14ac:dyDescent="0.2">
      <c r="BJ58239" s="201"/>
    </row>
    <row r="58240" spans="62:62" x14ac:dyDescent="0.2">
      <c r="BJ58240" s="201"/>
    </row>
    <row r="58241" spans="62:62" x14ac:dyDescent="0.2">
      <c r="BJ58241" s="201"/>
    </row>
    <row r="58242" spans="62:62" x14ac:dyDescent="0.2">
      <c r="BJ58242" s="201"/>
    </row>
    <row r="58243" spans="62:62" x14ac:dyDescent="0.2">
      <c r="BJ58243" s="201"/>
    </row>
    <row r="58244" spans="62:62" x14ac:dyDescent="0.2">
      <c r="BJ58244" s="201"/>
    </row>
    <row r="58245" spans="62:62" x14ac:dyDescent="0.2">
      <c r="BJ58245" s="201"/>
    </row>
    <row r="58246" spans="62:62" x14ac:dyDescent="0.2">
      <c r="BJ58246" s="201"/>
    </row>
    <row r="58247" spans="62:62" x14ac:dyDescent="0.2">
      <c r="BJ58247" s="201"/>
    </row>
    <row r="58248" spans="62:62" x14ac:dyDescent="0.2">
      <c r="BJ58248" s="201"/>
    </row>
    <row r="58249" spans="62:62" x14ac:dyDescent="0.2">
      <c r="BJ58249" s="201"/>
    </row>
    <row r="58250" spans="62:62" x14ac:dyDescent="0.2">
      <c r="BJ58250" s="201"/>
    </row>
    <row r="58251" spans="62:62" x14ac:dyDescent="0.2">
      <c r="BJ58251" s="201"/>
    </row>
    <row r="58252" spans="62:62" x14ac:dyDescent="0.2">
      <c r="BJ58252" s="201"/>
    </row>
    <row r="58253" spans="62:62" x14ac:dyDescent="0.2">
      <c r="BJ58253" s="201"/>
    </row>
    <row r="58254" spans="62:62" x14ac:dyDescent="0.2">
      <c r="BJ58254" s="201"/>
    </row>
    <row r="58255" spans="62:62" x14ac:dyDescent="0.2">
      <c r="BJ58255" s="201"/>
    </row>
    <row r="58256" spans="62:62" x14ac:dyDescent="0.2">
      <c r="BJ58256" s="201"/>
    </row>
    <row r="58257" spans="62:62" x14ac:dyDescent="0.2">
      <c r="BJ58257" s="201"/>
    </row>
    <row r="58258" spans="62:62" x14ac:dyDescent="0.2">
      <c r="BJ58258" s="201"/>
    </row>
    <row r="58259" spans="62:62" x14ac:dyDescent="0.2">
      <c r="BJ58259" s="201"/>
    </row>
    <row r="58260" spans="62:62" x14ac:dyDescent="0.2">
      <c r="BJ58260" s="201"/>
    </row>
    <row r="58261" spans="62:62" x14ac:dyDescent="0.2">
      <c r="BJ58261" s="201"/>
    </row>
    <row r="58262" spans="62:62" x14ac:dyDescent="0.2">
      <c r="BJ58262" s="201"/>
    </row>
    <row r="58263" spans="62:62" x14ac:dyDescent="0.2">
      <c r="BJ58263" s="201"/>
    </row>
    <row r="58264" spans="62:62" x14ac:dyDescent="0.2">
      <c r="BJ58264" s="201"/>
    </row>
    <row r="58265" spans="62:62" x14ac:dyDescent="0.2">
      <c r="BJ58265" s="201"/>
    </row>
    <row r="58266" spans="62:62" x14ac:dyDescent="0.2">
      <c r="BJ58266" s="201"/>
    </row>
    <row r="58267" spans="62:62" x14ac:dyDescent="0.2">
      <c r="BJ58267" s="201"/>
    </row>
    <row r="58268" spans="62:62" x14ac:dyDescent="0.2">
      <c r="BJ58268" s="201"/>
    </row>
    <row r="58269" spans="62:62" x14ac:dyDescent="0.2">
      <c r="BJ58269" s="201"/>
    </row>
    <row r="58270" spans="62:62" x14ac:dyDescent="0.2">
      <c r="BJ58270" s="201"/>
    </row>
    <row r="58271" spans="62:62" x14ac:dyDescent="0.2">
      <c r="BJ58271" s="201"/>
    </row>
    <row r="58272" spans="62:62" x14ac:dyDescent="0.2">
      <c r="BJ58272" s="201"/>
    </row>
    <row r="58273" spans="62:62" x14ac:dyDescent="0.2">
      <c r="BJ58273" s="201"/>
    </row>
    <row r="58274" spans="62:62" x14ac:dyDescent="0.2">
      <c r="BJ58274" s="201"/>
    </row>
    <row r="58275" spans="62:62" x14ac:dyDescent="0.2">
      <c r="BJ58275" s="201"/>
    </row>
    <row r="58276" spans="62:62" x14ac:dyDescent="0.2">
      <c r="BJ58276" s="201"/>
    </row>
    <row r="58277" spans="62:62" x14ac:dyDescent="0.2">
      <c r="BJ58277" s="201"/>
    </row>
    <row r="58278" spans="62:62" x14ac:dyDescent="0.2">
      <c r="BJ58278" s="201"/>
    </row>
    <row r="58279" spans="62:62" x14ac:dyDescent="0.2">
      <c r="BJ58279" s="201"/>
    </row>
    <row r="58280" spans="62:62" x14ac:dyDescent="0.2">
      <c r="BJ58280" s="201"/>
    </row>
    <row r="58281" spans="62:62" x14ac:dyDescent="0.2">
      <c r="BJ58281" s="201"/>
    </row>
    <row r="58282" spans="62:62" x14ac:dyDescent="0.2">
      <c r="BJ58282" s="201"/>
    </row>
    <row r="58283" spans="62:62" x14ac:dyDescent="0.2">
      <c r="BJ58283" s="201"/>
    </row>
    <row r="58284" spans="62:62" x14ac:dyDescent="0.2">
      <c r="BJ58284" s="201"/>
    </row>
    <row r="58285" spans="62:62" x14ac:dyDescent="0.2">
      <c r="BJ58285" s="201"/>
    </row>
    <row r="58286" spans="62:62" x14ac:dyDescent="0.2">
      <c r="BJ58286" s="201"/>
    </row>
    <row r="58287" spans="62:62" x14ac:dyDescent="0.2">
      <c r="BJ58287" s="201"/>
    </row>
    <row r="58288" spans="62:62" x14ac:dyDescent="0.2">
      <c r="BJ58288" s="201"/>
    </row>
    <row r="58289" spans="62:62" x14ac:dyDescent="0.2">
      <c r="BJ58289" s="201"/>
    </row>
    <row r="58290" spans="62:62" x14ac:dyDescent="0.2">
      <c r="BJ58290" s="201"/>
    </row>
    <row r="58291" spans="62:62" x14ac:dyDescent="0.2">
      <c r="BJ58291" s="201"/>
    </row>
    <row r="58292" spans="62:62" x14ac:dyDescent="0.2">
      <c r="BJ58292" s="201"/>
    </row>
    <row r="58293" spans="62:62" x14ac:dyDescent="0.2">
      <c r="BJ58293" s="201"/>
    </row>
    <row r="58294" spans="62:62" x14ac:dyDescent="0.2">
      <c r="BJ58294" s="201"/>
    </row>
    <row r="58295" spans="62:62" x14ac:dyDescent="0.2">
      <c r="BJ58295" s="201"/>
    </row>
    <row r="58296" spans="62:62" x14ac:dyDescent="0.2">
      <c r="BJ58296" s="201"/>
    </row>
    <row r="58297" spans="62:62" x14ac:dyDescent="0.2">
      <c r="BJ58297" s="201"/>
    </row>
    <row r="58298" spans="62:62" x14ac:dyDescent="0.2">
      <c r="BJ58298" s="201"/>
    </row>
    <row r="58299" spans="62:62" x14ac:dyDescent="0.2">
      <c r="BJ58299" s="201"/>
    </row>
    <row r="58300" spans="62:62" x14ac:dyDescent="0.2">
      <c r="BJ58300" s="201"/>
    </row>
    <row r="58301" spans="62:62" x14ac:dyDescent="0.2">
      <c r="BJ58301" s="201"/>
    </row>
    <row r="58302" spans="62:62" x14ac:dyDescent="0.2">
      <c r="BJ58302" s="201"/>
    </row>
    <row r="58303" spans="62:62" x14ac:dyDescent="0.2">
      <c r="BJ58303" s="201"/>
    </row>
    <row r="58304" spans="62:62" x14ac:dyDescent="0.2">
      <c r="BJ58304" s="201"/>
    </row>
    <row r="58305" spans="62:62" x14ac:dyDescent="0.2">
      <c r="BJ58305" s="201"/>
    </row>
    <row r="58306" spans="62:62" x14ac:dyDescent="0.2">
      <c r="BJ58306" s="201"/>
    </row>
    <row r="58307" spans="62:62" x14ac:dyDescent="0.2">
      <c r="BJ58307" s="201"/>
    </row>
    <row r="58308" spans="62:62" x14ac:dyDescent="0.2">
      <c r="BJ58308" s="201"/>
    </row>
    <row r="58309" spans="62:62" x14ac:dyDescent="0.2">
      <c r="BJ58309" s="201"/>
    </row>
    <row r="58310" spans="62:62" x14ac:dyDescent="0.2">
      <c r="BJ58310" s="201"/>
    </row>
    <row r="58311" spans="62:62" x14ac:dyDescent="0.2">
      <c r="BJ58311" s="201"/>
    </row>
    <row r="58312" spans="62:62" x14ac:dyDescent="0.2">
      <c r="BJ58312" s="201"/>
    </row>
    <row r="58313" spans="62:62" x14ac:dyDescent="0.2">
      <c r="BJ58313" s="201"/>
    </row>
    <row r="58314" spans="62:62" x14ac:dyDescent="0.2">
      <c r="BJ58314" s="201"/>
    </row>
    <row r="58315" spans="62:62" x14ac:dyDescent="0.2">
      <c r="BJ58315" s="201"/>
    </row>
    <row r="58316" spans="62:62" x14ac:dyDescent="0.2">
      <c r="BJ58316" s="201"/>
    </row>
    <row r="58317" spans="62:62" x14ac:dyDescent="0.2">
      <c r="BJ58317" s="201"/>
    </row>
    <row r="58318" spans="62:62" x14ac:dyDescent="0.2">
      <c r="BJ58318" s="201"/>
    </row>
    <row r="58319" spans="62:62" x14ac:dyDescent="0.2">
      <c r="BJ58319" s="201"/>
    </row>
    <row r="58320" spans="62:62" x14ac:dyDescent="0.2">
      <c r="BJ58320" s="201"/>
    </row>
    <row r="58321" spans="62:62" x14ac:dyDescent="0.2">
      <c r="BJ58321" s="201"/>
    </row>
    <row r="58322" spans="62:62" x14ac:dyDescent="0.2">
      <c r="BJ58322" s="201"/>
    </row>
    <row r="58323" spans="62:62" x14ac:dyDescent="0.2">
      <c r="BJ58323" s="201"/>
    </row>
    <row r="58324" spans="62:62" x14ac:dyDescent="0.2">
      <c r="BJ58324" s="201"/>
    </row>
    <row r="58325" spans="62:62" x14ac:dyDescent="0.2">
      <c r="BJ58325" s="201"/>
    </row>
    <row r="58326" spans="62:62" x14ac:dyDescent="0.2">
      <c r="BJ58326" s="201"/>
    </row>
    <row r="58327" spans="62:62" x14ac:dyDescent="0.2">
      <c r="BJ58327" s="201"/>
    </row>
    <row r="58328" spans="62:62" x14ac:dyDescent="0.2">
      <c r="BJ58328" s="201"/>
    </row>
    <row r="58329" spans="62:62" x14ac:dyDescent="0.2">
      <c r="BJ58329" s="201"/>
    </row>
    <row r="58330" spans="62:62" x14ac:dyDescent="0.2">
      <c r="BJ58330" s="201"/>
    </row>
    <row r="58331" spans="62:62" x14ac:dyDescent="0.2">
      <c r="BJ58331" s="201"/>
    </row>
    <row r="58332" spans="62:62" x14ac:dyDescent="0.2">
      <c r="BJ58332" s="201"/>
    </row>
    <row r="58333" spans="62:62" x14ac:dyDescent="0.2">
      <c r="BJ58333" s="201"/>
    </row>
    <row r="58334" spans="62:62" x14ac:dyDescent="0.2">
      <c r="BJ58334" s="201"/>
    </row>
    <row r="58335" spans="62:62" x14ac:dyDescent="0.2">
      <c r="BJ58335" s="201"/>
    </row>
    <row r="58336" spans="62:62" x14ac:dyDescent="0.2">
      <c r="BJ58336" s="201"/>
    </row>
    <row r="58337" spans="62:62" x14ac:dyDescent="0.2">
      <c r="BJ58337" s="201"/>
    </row>
    <row r="58338" spans="62:62" x14ac:dyDescent="0.2">
      <c r="BJ58338" s="201"/>
    </row>
    <row r="58339" spans="62:62" x14ac:dyDescent="0.2">
      <c r="BJ58339" s="201"/>
    </row>
    <row r="58340" spans="62:62" x14ac:dyDescent="0.2">
      <c r="BJ58340" s="201"/>
    </row>
    <row r="58341" spans="62:62" x14ac:dyDescent="0.2">
      <c r="BJ58341" s="201"/>
    </row>
    <row r="58342" spans="62:62" x14ac:dyDescent="0.2">
      <c r="BJ58342" s="201"/>
    </row>
    <row r="58343" spans="62:62" x14ac:dyDescent="0.2">
      <c r="BJ58343" s="201"/>
    </row>
    <row r="58344" spans="62:62" x14ac:dyDescent="0.2">
      <c r="BJ58344" s="201"/>
    </row>
    <row r="58345" spans="62:62" x14ac:dyDescent="0.2">
      <c r="BJ58345" s="201"/>
    </row>
    <row r="58346" spans="62:62" x14ac:dyDescent="0.2">
      <c r="BJ58346" s="201"/>
    </row>
    <row r="58347" spans="62:62" x14ac:dyDescent="0.2">
      <c r="BJ58347" s="201"/>
    </row>
    <row r="58348" spans="62:62" x14ac:dyDescent="0.2">
      <c r="BJ58348" s="201"/>
    </row>
    <row r="58349" spans="62:62" x14ac:dyDescent="0.2">
      <c r="BJ58349" s="201"/>
    </row>
    <row r="58350" spans="62:62" x14ac:dyDescent="0.2">
      <c r="BJ58350" s="201"/>
    </row>
    <row r="58351" spans="62:62" x14ac:dyDescent="0.2">
      <c r="BJ58351" s="201"/>
    </row>
    <row r="58352" spans="62:62" x14ac:dyDescent="0.2">
      <c r="BJ58352" s="201"/>
    </row>
    <row r="58353" spans="62:62" x14ac:dyDescent="0.2">
      <c r="BJ58353" s="201"/>
    </row>
    <row r="58354" spans="62:62" x14ac:dyDescent="0.2">
      <c r="BJ58354" s="201"/>
    </row>
    <row r="58355" spans="62:62" x14ac:dyDescent="0.2">
      <c r="BJ58355" s="201"/>
    </row>
    <row r="58356" spans="62:62" x14ac:dyDescent="0.2">
      <c r="BJ58356" s="201"/>
    </row>
    <row r="58357" spans="62:62" x14ac:dyDescent="0.2">
      <c r="BJ58357" s="201"/>
    </row>
    <row r="58358" spans="62:62" x14ac:dyDescent="0.2">
      <c r="BJ58358" s="201"/>
    </row>
    <row r="58359" spans="62:62" x14ac:dyDescent="0.2">
      <c r="BJ58359" s="201"/>
    </row>
    <row r="58360" spans="62:62" x14ac:dyDescent="0.2">
      <c r="BJ58360" s="201"/>
    </row>
    <row r="58361" spans="62:62" x14ac:dyDescent="0.2">
      <c r="BJ58361" s="201"/>
    </row>
    <row r="58362" spans="62:62" x14ac:dyDescent="0.2">
      <c r="BJ58362" s="201"/>
    </row>
    <row r="58363" spans="62:62" x14ac:dyDescent="0.2">
      <c r="BJ58363" s="201"/>
    </row>
    <row r="58364" spans="62:62" x14ac:dyDescent="0.2">
      <c r="BJ58364" s="201"/>
    </row>
    <row r="58365" spans="62:62" x14ac:dyDescent="0.2">
      <c r="BJ58365" s="201"/>
    </row>
    <row r="58366" spans="62:62" x14ac:dyDescent="0.2">
      <c r="BJ58366" s="201"/>
    </row>
    <row r="58367" spans="62:62" x14ac:dyDescent="0.2">
      <c r="BJ58367" s="201"/>
    </row>
    <row r="58368" spans="62:62" x14ac:dyDescent="0.2">
      <c r="BJ58368" s="201"/>
    </row>
    <row r="58369" spans="62:62" x14ac:dyDescent="0.2">
      <c r="BJ58369" s="201"/>
    </row>
    <row r="58370" spans="62:62" x14ac:dyDescent="0.2">
      <c r="BJ58370" s="201"/>
    </row>
    <row r="58371" spans="62:62" x14ac:dyDescent="0.2">
      <c r="BJ58371" s="201"/>
    </row>
    <row r="58372" spans="62:62" x14ac:dyDescent="0.2">
      <c r="BJ58372" s="201"/>
    </row>
    <row r="58373" spans="62:62" x14ac:dyDescent="0.2">
      <c r="BJ58373" s="201"/>
    </row>
    <row r="58374" spans="62:62" x14ac:dyDescent="0.2">
      <c r="BJ58374" s="201"/>
    </row>
    <row r="58375" spans="62:62" x14ac:dyDescent="0.2">
      <c r="BJ58375" s="201"/>
    </row>
    <row r="58376" spans="62:62" x14ac:dyDescent="0.2">
      <c r="BJ58376" s="201"/>
    </row>
    <row r="58377" spans="62:62" x14ac:dyDescent="0.2">
      <c r="BJ58377" s="201"/>
    </row>
    <row r="58378" spans="62:62" x14ac:dyDescent="0.2">
      <c r="BJ58378" s="201"/>
    </row>
    <row r="58379" spans="62:62" x14ac:dyDescent="0.2">
      <c r="BJ58379" s="201"/>
    </row>
    <row r="58380" spans="62:62" x14ac:dyDescent="0.2">
      <c r="BJ58380" s="201"/>
    </row>
    <row r="58381" spans="62:62" x14ac:dyDescent="0.2">
      <c r="BJ58381" s="201"/>
    </row>
    <row r="58382" spans="62:62" x14ac:dyDescent="0.2">
      <c r="BJ58382" s="201"/>
    </row>
    <row r="58383" spans="62:62" x14ac:dyDescent="0.2">
      <c r="BJ58383" s="201"/>
    </row>
    <row r="58384" spans="62:62" x14ac:dyDescent="0.2">
      <c r="BJ58384" s="201"/>
    </row>
    <row r="58385" spans="62:62" x14ac:dyDescent="0.2">
      <c r="BJ58385" s="201"/>
    </row>
    <row r="58386" spans="62:62" x14ac:dyDescent="0.2">
      <c r="BJ58386" s="201"/>
    </row>
    <row r="58387" spans="62:62" x14ac:dyDescent="0.2">
      <c r="BJ58387" s="201"/>
    </row>
    <row r="58388" spans="62:62" x14ac:dyDescent="0.2">
      <c r="BJ58388" s="201"/>
    </row>
    <row r="58389" spans="62:62" x14ac:dyDescent="0.2">
      <c r="BJ58389" s="201"/>
    </row>
    <row r="58390" spans="62:62" x14ac:dyDescent="0.2">
      <c r="BJ58390" s="201"/>
    </row>
    <row r="58391" spans="62:62" x14ac:dyDescent="0.2">
      <c r="BJ58391" s="201"/>
    </row>
    <row r="58392" spans="62:62" x14ac:dyDescent="0.2">
      <c r="BJ58392" s="201"/>
    </row>
    <row r="58393" spans="62:62" x14ac:dyDescent="0.2">
      <c r="BJ58393" s="201"/>
    </row>
    <row r="58394" spans="62:62" x14ac:dyDescent="0.2">
      <c r="BJ58394" s="201"/>
    </row>
    <row r="58395" spans="62:62" x14ac:dyDescent="0.2">
      <c r="BJ58395" s="201"/>
    </row>
    <row r="58396" spans="62:62" x14ac:dyDescent="0.2">
      <c r="BJ58396" s="201"/>
    </row>
    <row r="58397" spans="62:62" x14ac:dyDescent="0.2">
      <c r="BJ58397" s="201"/>
    </row>
    <row r="58398" spans="62:62" x14ac:dyDescent="0.2">
      <c r="BJ58398" s="201"/>
    </row>
    <row r="58399" spans="62:62" x14ac:dyDescent="0.2">
      <c r="BJ58399" s="201"/>
    </row>
    <row r="58400" spans="62:62" x14ac:dyDescent="0.2">
      <c r="BJ58400" s="201"/>
    </row>
    <row r="58401" spans="62:62" x14ac:dyDescent="0.2">
      <c r="BJ58401" s="201"/>
    </row>
    <row r="58402" spans="62:62" x14ac:dyDescent="0.2">
      <c r="BJ58402" s="201"/>
    </row>
    <row r="58403" spans="62:62" x14ac:dyDescent="0.2">
      <c r="BJ58403" s="201"/>
    </row>
    <row r="58404" spans="62:62" x14ac:dyDescent="0.2">
      <c r="BJ58404" s="201"/>
    </row>
    <row r="58405" spans="62:62" x14ac:dyDescent="0.2">
      <c r="BJ58405" s="201"/>
    </row>
    <row r="58406" spans="62:62" x14ac:dyDescent="0.2">
      <c r="BJ58406" s="201"/>
    </row>
    <row r="58407" spans="62:62" x14ac:dyDescent="0.2">
      <c r="BJ58407" s="201"/>
    </row>
    <row r="58408" spans="62:62" x14ac:dyDescent="0.2">
      <c r="BJ58408" s="201"/>
    </row>
    <row r="58409" spans="62:62" x14ac:dyDescent="0.2">
      <c r="BJ58409" s="201"/>
    </row>
    <row r="58410" spans="62:62" x14ac:dyDescent="0.2">
      <c r="BJ58410" s="201"/>
    </row>
    <row r="58411" spans="62:62" x14ac:dyDescent="0.2">
      <c r="BJ58411" s="201"/>
    </row>
    <row r="58412" spans="62:62" x14ac:dyDescent="0.2">
      <c r="BJ58412" s="201"/>
    </row>
    <row r="58413" spans="62:62" x14ac:dyDescent="0.2">
      <c r="BJ58413" s="201"/>
    </row>
    <row r="58414" spans="62:62" x14ac:dyDescent="0.2">
      <c r="BJ58414" s="201"/>
    </row>
    <row r="58415" spans="62:62" x14ac:dyDescent="0.2">
      <c r="BJ58415" s="201"/>
    </row>
    <row r="58416" spans="62:62" x14ac:dyDescent="0.2">
      <c r="BJ58416" s="201"/>
    </row>
    <row r="58417" spans="62:62" x14ac:dyDescent="0.2">
      <c r="BJ58417" s="201"/>
    </row>
    <row r="58418" spans="62:62" x14ac:dyDescent="0.2">
      <c r="BJ58418" s="201"/>
    </row>
    <row r="58419" spans="62:62" x14ac:dyDescent="0.2">
      <c r="BJ58419" s="201"/>
    </row>
    <row r="58420" spans="62:62" x14ac:dyDescent="0.2">
      <c r="BJ58420" s="201"/>
    </row>
    <row r="58421" spans="62:62" x14ac:dyDescent="0.2">
      <c r="BJ58421" s="201"/>
    </row>
    <row r="58422" spans="62:62" x14ac:dyDescent="0.2">
      <c r="BJ58422" s="201"/>
    </row>
    <row r="58423" spans="62:62" x14ac:dyDescent="0.2">
      <c r="BJ58423" s="201"/>
    </row>
    <row r="58424" spans="62:62" x14ac:dyDescent="0.2">
      <c r="BJ58424" s="201"/>
    </row>
    <row r="58425" spans="62:62" x14ac:dyDescent="0.2">
      <c r="BJ58425" s="201"/>
    </row>
    <row r="58426" spans="62:62" x14ac:dyDescent="0.2">
      <c r="BJ58426" s="201"/>
    </row>
    <row r="58427" spans="62:62" x14ac:dyDescent="0.2">
      <c r="BJ58427" s="201"/>
    </row>
    <row r="58428" spans="62:62" x14ac:dyDescent="0.2">
      <c r="BJ58428" s="201"/>
    </row>
    <row r="58429" spans="62:62" x14ac:dyDescent="0.2">
      <c r="BJ58429" s="201"/>
    </row>
    <row r="58430" spans="62:62" x14ac:dyDescent="0.2">
      <c r="BJ58430" s="201"/>
    </row>
    <row r="58431" spans="62:62" x14ac:dyDescent="0.2">
      <c r="BJ58431" s="201"/>
    </row>
    <row r="58432" spans="62:62" x14ac:dyDescent="0.2">
      <c r="BJ58432" s="201"/>
    </row>
    <row r="58433" spans="62:62" x14ac:dyDescent="0.2">
      <c r="BJ58433" s="201"/>
    </row>
    <row r="58434" spans="62:62" x14ac:dyDescent="0.2">
      <c r="BJ58434" s="201"/>
    </row>
    <row r="58435" spans="62:62" x14ac:dyDescent="0.2">
      <c r="BJ58435" s="201"/>
    </row>
    <row r="58436" spans="62:62" x14ac:dyDescent="0.2">
      <c r="BJ58436" s="201"/>
    </row>
    <row r="58437" spans="62:62" x14ac:dyDescent="0.2">
      <c r="BJ58437" s="201"/>
    </row>
    <row r="58438" spans="62:62" x14ac:dyDescent="0.2">
      <c r="BJ58438" s="201"/>
    </row>
    <row r="58439" spans="62:62" x14ac:dyDescent="0.2">
      <c r="BJ58439" s="201"/>
    </row>
    <row r="58440" spans="62:62" x14ac:dyDescent="0.2">
      <c r="BJ58440" s="201"/>
    </row>
    <row r="58441" spans="62:62" x14ac:dyDescent="0.2">
      <c r="BJ58441" s="201"/>
    </row>
    <row r="58442" spans="62:62" x14ac:dyDescent="0.2">
      <c r="BJ58442" s="201"/>
    </row>
    <row r="58443" spans="62:62" x14ac:dyDescent="0.2">
      <c r="BJ58443" s="201"/>
    </row>
    <row r="58444" spans="62:62" x14ac:dyDescent="0.2">
      <c r="BJ58444" s="201"/>
    </row>
    <row r="58445" spans="62:62" x14ac:dyDescent="0.2">
      <c r="BJ58445" s="201"/>
    </row>
    <row r="58446" spans="62:62" x14ac:dyDescent="0.2">
      <c r="BJ58446" s="201"/>
    </row>
    <row r="58447" spans="62:62" x14ac:dyDescent="0.2">
      <c r="BJ58447" s="201"/>
    </row>
    <row r="58448" spans="62:62" x14ac:dyDescent="0.2">
      <c r="BJ58448" s="201"/>
    </row>
    <row r="58449" spans="62:62" x14ac:dyDescent="0.2">
      <c r="BJ58449" s="201"/>
    </row>
    <row r="58450" spans="62:62" x14ac:dyDescent="0.2">
      <c r="BJ58450" s="201"/>
    </row>
    <row r="58451" spans="62:62" x14ac:dyDescent="0.2">
      <c r="BJ58451" s="201"/>
    </row>
    <row r="58452" spans="62:62" x14ac:dyDescent="0.2">
      <c r="BJ58452" s="201"/>
    </row>
    <row r="58453" spans="62:62" x14ac:dyDescent="0.2">
      <c r="BJ58453" s="201"/>
    </row>
    <row r="58454" spans="62:62" x14ac:dyDescent="0.2">
      <c r="BJ58454" s="201"/>
    </row>
    <row r="58455" spans="62:62" x14ac:dyDescent="0.2">
      <c r="BJ58455" s="201"/>
    </row>
    <row r="58456" spans="62:62" x14ac:dyDescent="0.2">
      <c r="BJ58456" s="201"/>
    </row>
    <row r="58457" spans="62:62" x14ac:dyDescent="0.2">
      <c r="BJ58457" s="201"/>
    </row>
    <row r="58458" spans="62:62" x14ac:dyDescent="0.2">
      <c r="BJ58458" s="201"/>
    </row>
    <row r="58459" spans="62:62" x14ac:dyDescent="0.2">
      <c r="BJ58459" s="201"/>
    </row>
    <row r="58460" spans="62:62" x14ac:dyDescent="0.2">
      <c r="BJ58460" s="201"/>
    </row>
    <row r="58461" spans="62:62" x14ac:dyDescent="0.2">
      <c r="BJ58461" s="201"/>
    </row>
    <row r="58462" spans="62:62" x14ac:dyDescent="0.2">
      <c r="BJ58462" s="201"/>
    </row>
    <row r="58463" spans="62:62" x14ac:dyDescent="0.2">
      <c r="BJ58463" s="201"/>
    </row>
    <row r="58464" spans="62:62" x14ac:dyDescent="0.2">
      <c r="BJ58464" s="201"/>
    </row>
    <row r="58465" spans="62:62" x14ac:dyDescent="0.2">
      <c r="BJ58465" s="201"/>
    </row>
    <row r="58466" spans="62:62" x14ac:dyDescent="0.2">
      <c r="BJ58466" s="201"/>
    </row>
    <row r="58467" spans="62:62" x14ac:dyDescent="0.2">
      <c r="BJ58467" s="201"/>
    </row>
    <row r="58468" spans="62:62" x14ac:dyDescent="0.2">
      <c r="BJ58468" s="201"/>
    </row>
    <row r="58469" spans="62:62" x14ac:dyDescent="0.2">
      <c r="BJ58469" s="201"/>
    </row>
    <row r="58470" spans="62:62" x14ac:dyDescent="0.2">
      <c r="BJ58470" s="201"/>
    </row>
    <row r="58471" spans="62:62" x14ac:dyDescent="0.2">
      <c r="BJ58471" s="201"/>
    </row>
    <row r="58472" spans="62:62" x14ac:dyDescent="0.2">
      <c r="BJ58472" s="201"/>
    </row>
    <row r="58473" spans="62:62" x14ac:dyDescent="0.2">
      <c r="BJ58473" s="201"/>
    </row>
    <row r="58474" spans="62:62" x14ac:dyDescent="0.2">
      <c r="BJ58474" s="201"/>
    </row>
    <row r="58475" spans="62:62" x14ac:dyDescent="0.2">
      <c r="BJ58475" s="201"/>
    </row>
    <row r="58476" spans="62:62" x14ac:dyDescent="0.2">
      <c r="BJ58476" s="201"/>
    </row>
    <row r="58477" spans="62:62" x14ac:dyDescent="0.2">
      <c r="BJ58477" s="201"/>
    </row>
    <row r="58478" spans="62:62" x14ac:dyDescent="0.2">
      <c r="BJ58478" s="201"/>
    </row>
    <row r="58479" spans="62:62" x14ac:dyDescent="0.2">
      <c r="BJ58479" s="201"/>
    </row>
    <row r="58480" spans="62:62" x14ac:dyDescent="0.2">
      <c r="BJ58480" s="201"/>
    </row>
    <row r="58481" spans="62:62" x14ac:dyDescent="0.2">
      <c r="BJ58481" s="201"/>
    </row>
    <row r="58482" spans="62:62" x14ac:dyDescent="0.2">
      <c r="BJ58482" s="201"/>
    </row>
    <row r="58483" spans="62:62" x14ac:dyDescent="0.2">
      <c r="BJ58483" s="201"/>
    </row>
    <row r="58484" spans="62:62" x14ac:dyDescent="0.2">
      <c r="BJ58484" s="201"/>
    </row>
    <row r="58485" spans="62:62" x14ac:dyDescent="0.2">
      <c r="BJ58485" s="201"/>
    </row>
    <row r="58486" spans="62:62" x14ac:dyDescent="0.2">
      <c r="BJ58486" s="201"/>
    </row>
    <row r="58487" spans="62:62" x14ac:dyDescent="0.2">
      <c r="BJ58487" s="201"/>
    </row>
    <row r="58488" spans="62:62" x14ac:dyDescent="0.2">
      <c r="BJ58488" s="201"/>
    </row>
    <row r="58489" spans="62:62" x14ac:dyDescent="0.2">
      <c r="BJ58489" s="201"/>
    </row>
    <row r="58490" spans="62:62" x14ac:dyDescent="0.2">
      <c r="BJ58490" s="201"/>
    </row>
    <row r="58491" spans="62:62" x14ac:dyDescent="0.2">
      <c r="BJ58491" s="201"/>
    </row>
    <row r="58492" spans="62:62" x14ac:dyDescent="0.2">
      <c r="BJ58492" s="201"/>
    </row>
    <row r="58493" spans="62:62" x14ac:dyDescent="0.2">
      <c r="BJ58493" s="201"/>
    </row>
    <row r="58494" spans="62:62" x14ac:dyDescent="0.2">
      <c r="BJ58494" s="201"/>
    </row>
    <row r="58495" spans="62:62" x14ac:dyDescent="0.2">
      <c r="BJ58495" s="201"/>
    </row>
    <row r="58496" spans="62:62" x14ac:dyDescent="0.2">
      <c r="BJ58496" s="201"/>
    </row>
    <row r="58497" spans="62:62" x14ac:dyDescent="0.2">
      <c r="BJ58497" s="201"/>
    </row>
    <row r="58498" spans="62:62" x14ac:dyDescent="0.2">
      <c r="BJ58498" s="201"/>
    </row>
    <row r="58499" spans="62:62" x14ac:dyDescent="0.2">
      <c r="BJ58499" s="201"/>
    </row>
    <row r="58500" spans="62:62" x14ac:dyDescent="0.2">
      <c r="BJ58500" s="201"/>
    </row>
    <row r="58501" spans="62:62" x14ac:dyDescent="0.2">
      <c r="BJ58501" s="201"/>
    </row>
    <row r="58502" spans="62:62" x14ac:dyDescent="0.2">
      <c r="BJ58502" s="201"/>
    </row>
    <row r="58503" spans="62:62" x14ac:dyDescent="0.2">
      <c r="BJ58503" s="201"/>
    </row>
    <row r="58504" spans="62:62" x14ac:dyDescent="0.2">
      <c r="BJ58504" s="201"/>
    </row>
    <row r="58505" spans="62:62" x14ac:dyDescent="0.2">
      <c r="BJ58505" s="201"/>
    </row>
    <row r="58506" spans="62:62" x14ac:dyDescent="0.2">
      <c r="BJ58506" s="201"/>
    </row>
    <row r="58507" spans="62:62" x14ac:dyDescent="0.2">
      <c r="BJ58507" s="201"/>
    </row>
    <row r="58508" spans="62:62" x14ac:dyDescent="0.2">
      <c r="BJ58508" s="201"/>
    </row>
    <row r="58509" spans="62:62" x14ac:dyDescent="0.2">
      <c r="BJ58509" s="201"/>
    </row>
    <row r="58510" spans="62:62" x14ac:dyDescent="0.2">
      <c r="BJ58510" s="201"/>
    </row>
    <row r="58511" spans="62:62" x14ac:dyDescent="0.2">
      <c r="BJ58511" s="201"/>
    </row>
    <row r="58512" spans="62:62" x14ac:dyDescent="0.2">
      <c r="BJ58512" s="201"/>
    </row>
    <row r="58513" spans="62:62" x14ac:dyDescent="0.2">
      <c r="BJ58513" s="201"/>
    </row>
    <row r="58514" spans="62:62" x14ac:dyDescent="0.2">
      <c r="BJ58514" s="201"/>
    </row>
    <row r="58515" spans="62:62" x14ac:dyDescent="0.2">
      <c r="BJ58515" s="201"/>
    </row>
    <row r="58516" spans="62:62" x14ac:dyDescent="0.2">
      <c r="BJ58516" s="201"/>
    </row>
    <row r="58517" spans="62:62" x14ac:dyDescent="0.2">
      <c r="BJ58517" s="201"/>
    </row>
    <row r="58518" spans="62:62" x14ac:dyDescent="0.2">
      <c r="BJ58518" s="201"/>
    </row>
    <row r="58519" spans="62:62" x14ac:dyDescent="0.2">
      <c r="BJ58519" s="201"/>
    </row>
    <row r="58520" spans="62:62" x14ac:dyDescent="0.2">
      <c r="BJ58520" s="201"/>
    </row>
    <row r="58521" spans="62:62" x14ac:dyDescent="0.2">
      <c r="BJ58521" s="201"/>
    </row>
    <row r="58522" spans="62:62" x14ac:dyDescent="0.2">
      <c r="BJ58522" s="201"/>
    </row>
    <row r="58523" spans="62:62" x14ac:dyDescent="0.2">
      <c r="BJ58523" s="201"/>
    </row>
    <row r="58524" spans="62:62" x14ac:dyDescent="0.2">
      <c r="BJ58524" s="201"/>
    </row>
    <row r="58525" spans="62:62" x14ac:dyDescent="0.2">
      <c r="BJ58525" s="201"/>
    </row>
    <row r="58526" spans="62:62" x14ac:dyDescent="0.2">
      <c r="BJ58526" s="201"/>
    </row>
    <row r="58527" spans="62:62" x14ac:dyDescent="0.2">
      <c r="BJ58527" s="201"/>
    </row>
    <row r="58528" spans="62:62" x14ac:dyDescent="0.2">
      <c r="BJ58528" s="201"/>
    </row>
    <row r="58529" spans="62:62" x14ac:dyDescent="0.2">
      <c r="BJ58529" s="201"/>
    </row>
    <row r="58530" spans="62:62" x14ac:dyDescent="0.2">
      <c r="BJ58530" s="201"/>
    </row>
    <row r="58531" spans="62:62" x14ac:dyDescent="0.2">
      <c r="BJ58531" s="201"/>
    </row>
    <row r="58532" spans="62:62" x14ac:dyDescent="0.2">
      <c r="BJ58532" s="201"/>
    </row>
    <row r="58533" spans="62:62" x14ac:dyDescent="0.2">
      <c r="BJ58533" s="201"/>
    </row>
    <row r="58534" spans="62:62" x14ac:dyDescent="0.2">
      <c r="BJ58534" s="201"/>
    </row>
    <row r="58535" spans="62:62" x14ac:dyDescent="0.2">
      <c r="BJ58535" s="201"/>
    </row>
    <row r="58536" spans="62:62" x14ac:dyDescent="0.2">
      <c r="BJ58536" s="201"/>
    </row>
    <row r="58537" spans="62:62" x14ac:dyDescent="0.2">
      <c r="BJ58537" s="201"/>
    </row>
    <row r="58538" spans="62:62" x14ac:dyDescent="0.2">
      <c r="BJ58538" s="201"/>
    </row>
    <row r="58539" spans="62:62" x14ac:dyDescent="0.2">
      <c r="BJ58539" s="201"/>
    </row>
    <row r="58540" spans="62:62" x14ac:dyDescent="0.2">
      <c r="BJ58540" s="201"/>
    </row>
    <row r="58541" spans="62:62" x14ac:dyDescent="0.2">
      <c r="BJ58541" s="201"/>
    </row>
    <row r="58542" spans="62:62" x14ac:dyDescent="0.2">
      <c r="BJ58542" s="201"/>
    </row>
    <row r="58543" spans="62:62" x14ac:dyDescent="0.2">
      <c r="BJ58543" s="201"/>
    </row>
    <row r="58544" spans="62:62" x14ac:dyDescent="0.2">
      <c r="BJ58544" s="201"/>
    </row>
    <row r="58545" spans="62:62" x14ac:dyDescent="0.2">
      <c r="BJ58545" s="201"/>
    </row>
    <row r="58546" spans="62:62" x14ac:dyDescent="0.2">
      <c r="BJ58546" s="201"/>
    </row>
    <row r="58547" spans="62:62" x14ac:dyDescent="0.2">
      <c r="BJ58547" s="201"/>
    </row>
    <row r="58548" spans="62:62" x14ac:dyDescent="0.2">
      <c r="BJ58548" s="201"/>
    </row>
    <row r="58549" spans="62:62" x14ac:dyDescent="0.2">
      <c r="BJ58549" s="201"/>
    </row>
    <row r="58550" spans="62:62" x14ac:dyDescent="0.2">
      <c r="BJ58550" s="201"/>
    </row>
    <row r="58551" spans="62:62" x14ac:dyDescent="0.2">
      <c r="BJ58551" s="201"/>
    </row>
    <row r="58552" spans="62:62" x14ac:dyDescent="0.2">
      <c r="BJ58552" s="201"/>
    </row>
    <row r="58553" spans="62:62" x14ac:dyDescent="0.2">
      <c r="BJ58553" s="201"/>
    </row>
    <row r="58554" spans="62:62" x14ac:dyDescent="0.2">
      <c r="BJ58554" s="201"/>
    </row>
    <row r="58555" spans="62:62" x14ac:dyDescent="0.2">
      <c r="BJ58555" s="201"/>
    </row>
    <row r="58556" spans="62:62" x14ac:dyDescent="0.2">
      <c r="BJ58556" s="201"/>
    </row>
    <row r="58557" spans="62:62" x14ac:dyDescent="0.2">
      <c r="BJ58557" s="201"/>
    </row>
    <row r="58558" spans="62:62" x14ac:dyDescent="0.2">
      <c r="BJ58558" s="201"/>
    </row>
    <row r="58559" spans="62:62" x14ac:dyDescent="0.2">
      <c r="BJ58559" s="201"/>
    </row>
    <row r="58560" spans="62:62" x14ac:dyDescent="0.2">
      <c r="BJ58560" s="201"/>
    </row>
    <row r="58561" spans="62:62" x14ac:dyDescent="0.2">
      <c r="BJ58561" s="201"/>
    </row>
    <row r="58562" spans="62:62" x14ac:dyDescent="0.2">
      <c r="BJ58562" s="201"/>
    </row>
    <row r="58563" spans="62:62" x14ac:dyDescent="0.2">
      <c r="BJ58563" s="201"/>
    </row>
    <row r="58564" spans="62:62" x14ac:dyDescent="0.2">
      <c r="BJ58564" s="201"/>
    </row>
    <row r="58565" spans="62:62" x14ac:dyDescent="0.2">
      <c r="BJ58565" s="201"/>
    </row>
    <row r="58566" spans="62:62" x14ac:dyDescent="0.2">
      <c r="BJ58566" s="201"/>
    </row>
    <row r="58567" spans="62:62" x14ac:dyDescent="0.2">
      <c r="BJ58567" s="201"/>
    </row>
    <row r="58568" spans="62:62" x14ac:dyDescent="0.2">
      <c r="BJ58568" s="201"/>
    </row>
    <row r="58569" spans="62:62" x14ac:dyDescent="0.2">
      <c r="BJ58569" s="201"/>
    </row>
    <row r="58570" spans="62:62" x14ac:dyDescent="0.2">
      <c r="BJ58570" s="201"/>
    </row>
    <row r="58571" spans="62:62" x14ac:dyDescent="0.2">
      <c r="BJ58571" s="201"/>
    </row>
    <row r="58572" spans="62:62" x14ac:dyDescent="0.2">
      <c r="BJ58572" s="201"/>
    </row>
    <row r="58573" spans="62:62" x14ac:dyDescent="0.2">
      <c r="BJ58573" s="201"/>
    </row>
    <row r="58574" spans="62:62" x14ac:dyDescent="0.2">
      <c r="BJ58574" s="201"/>
    </row>
    <row r="58575" spans="62:62" x14ac:dyDescent="0.2">
      <c r="BJ58575" s="201"/>
    </row>
    <row r="58576" spans="62:62" x14ac:dyDescent="0.2">
      <c r="BJ58576" s="201"/>
    </row>
    <row r="58577" spans="62:62" x14ac:dyDescent="0.2">
      <c r="BJ58577" s="201"/>
    </row>
    <row r="58578" spans="62:62" x14ac:dyDescent="0.2">
      <c r="BJ58578" s="201"/>
    </row>
    <row r="58579" spans="62:62" x14ac:dyDescent="0.2">
      <c r="BJ58579" s="201"/>
    </row>
    <row r="58580" spans="62:62" x14ac:dyDescent="0.2">
      <c r="BJ58580" s="201"/>
    </row>
    <row r="58581" spans="62:62" x14ac:dyDescent="0.2">
      <c r="BJ58581" s="201"/>
    </row>
    <row r="58582" spans="62:62" x14ac:dyDescent="0.2">
      <c r="BJ58582" s="201"/>
    </row>
    <row r="58583" spans="62:62" x14ac:dyDescent="0.2">
      <c r="BJ58583" s="201"/>
    </row>
    <row r="58584" spans="62:62" x14ac:dyDescent="0.2">
      <c r="BJ58584" s="201"/>
    </row>
    <row r="58585" spans="62:62" x14ac:dyDescent="0.2">
      <c r="BJ58585" s="201"/>
    </row>
    <row r="58586" spans="62:62" x14ac:dyDescent="0.2">
      <c r="BJ58586" s="201"/>
    </row>
    <row r="58587" spans="62:62" x14ac:dyDescent="0.2">
      <c r="BJ58587" s="201"/>
    </row>
    <row r="58588" spans="62:62" x14ac:dyDescent="0.2">
      <c r="BJ58588" s="201"/>
    </row>
    <row r="58589" spans="62:62" x14ac:dyDescent="0.2">
      <c r="BJ58589" s="201"/>
    </row>
    <row r="58590" spans="62:62" x14ac:dyDescent="0.2">
      <c r="BJ58590" s="201"/>
    </row>
    <row r="58591" spans="62:62" x14ac:dyDescent="0.2">
      <c r="BJ58591" s="201"/>
    </row>
    <row r="58592" spans="62:62" x14ac:dyDescent="0.2">
      <c r="BJ58592" s="201"/>
    </row>
    <row r="58593" spans="62:62" x14ac:dyDescent="0.2">
      <c r="BJ58593" s="201"/>
    </row>
    <row r="58594" spans="62:62" x14ac:dyDescent="0.2">
      <c r="BJ58594" s="201"/>
    </row>
    <row r="58595" spans="62:62" x14ac:dyDescent="0.2">
      <c r="BJ58595" s="201"/>
    </row>
    <row r="58596" spans="62:62" x14ac:dyDescent="0.2">
      <c r="BJ58596" s="201"/>
    </row>
    <row r="58597" spans="62:62" x14ac:dyDescent="0.2">
      <c r="BJ58597" s="201"/>
    </row>
    <row r="58598" spans="62:62" x14ac:dyDescent="0.2">
      <c r="BJ58598" s="201"/>
    </row>
    <row r="58599" spans="62:62" x14ac:dyDescent="0.2">
      <c r="BJ58599" s="201"/>
    </row>
    <row r="58600" spans="62:62" x14ac:dyDescent="0.2">
      <c r="BJ58600" s="201"/>
    </row>
    <row r="58601" spans="62:62" x14ac:dyDescent="0.2">
      <c r="BJ58601" s="201"/>
    </row>
    <row r="58602" spans="62:62" x14ac:dyDescent="0.2">
      <c r="BJ58602" s="201"/>
    </row>
    <row r="58603" spans="62:62" x14ac:dyDescent="0.2">
      <c r="BJ58603" s="201"/>
    </row>
    <row r="58604" spans="62:62" x14ac:dyDescent="0.2">
      <c r="BJ58604" s="201"/>
    </row>
    <row r="58605" spans="62:62" x14ac:dyDescent="0.2">
      <c r="BJ58605" s="201"/>
    </row>
    <row r="58606" spans="62:62" x14ac:dyDescent="0.2">
      <c r="BJ58606" s="201"/>
    </row>
    <row r="58607" spans="62:62" x14ac:dyDescent="0.2">
      <c r="BJ58607" s="201"/>
    </row>
    <row r="58608" spans="62:62" x14ac:dyDescent="0.2">
      <c r="BJ58608" s="201"/>
    </row>
    <row r="58609" spans="62:62" x14ac:dyDescent="0.2">
      <c r="BJ58609" s="201"/>
    </row>
    <row r="58610" spans="62:62" x14ac:dyDescent="0.2">
      <c r="BJ58610" s="201"/>
    </row>
    <row r="58611" spans="62:62" x14ac:dyDescent="0.2">
      <c r="BJ58611" s="201"/>
    </row>
    <row r="58612" spans="62:62" x14ac:dyDescent="0.2">
      <c r="BJ58612" s="201"/>
    </row>
    <row r="58613" spans="62:62" x14ac:dyDescent="0.2">
      <c r="BJ58613" s="201"/>
    </row>
    <row r="58614" spans="62:62" x14ac:dyDescent="0.2">
      <c r="BJ58614" s="201"/>
    </row>
    <row r="58615" spans="62:62" x14ac:dyDescent="0.2">
      <c r="BJ58615" s="201"/>
    </row>
    <row r="58616" spans="62:62" x14ac:dyDescent="0.2">
      <c r="BJ58616" s="201"/>
    </row>
    <row r="58617" spans="62:62" x14ac:dyDescent="0.2">
      <c r="BJ58617" s="201"/>
    </row>
    <row r="58618" spans="62:62" x14ac:dyDescent="0.2">
      <c r="BJ58618" s="201"/>
    </row>
    <row r="58619" spans="62:62" x14ac:dyDescent="0.2">
      <c r="BJ58619" s="201"/>
    </row>
    <row r="58620" spans="62:62" x14ac:dyDescent="0.2">
      <c r="BJ58620" s="201"/>
    </row>
    <row r="58621" spans="62:62" x14ac:dyDescent="0.2">
      <c r="BJ58621" s="201"/>
    </row>
    <row r="58622" spans="62:62" x14ac:dyDescent="0.2">
      <c r="BJ58622" s="201"/>
    </row>
    <row r="58623" spans="62:62" x14ac:dyDescent="0.2">
      <c r="BJ58623" s="201"/>
    </row>
    <row r="58624" spans="62:62" x14ac:dyDescent="0.2">
      <c r="BJ58624" s="201"/>
    </row>
    <row r="58625" spans="62:62" x14ac:dyDescent="0.2">
      <c r="BJ58625" s="201"/>
    </row>
    <row r="58626" spans="62:62" x14ac:dyDescent="0.2">
      <c r="BJ58626" s="201"/>
    </row>
    <row r="58627" spans="62:62" x14ac:dyDescent="0.2">
      <c r="BJ58627" s="201"/>
    </row>
    <row r="58628" spans="62:62" x14ac:dyDescent="0.2">
      <c r="BJ58628" s="201"/>
    </row>
    <row r="58629" spans="62:62" x14ac:dyDescent="0.2">
      <c r="BJ58629" s="201"/>
    </row>
    <row r="58630" spans="62:62" x14ac:dyDescent="0.2">
      <c r="BJ58630" s="201"/>
    </row>
    <row r="58631" spans="62:62" x14ac:dyDescent="0.2">
      <c r="BJ58631" s="201"/>
    </row>
    <row r="58632" spans="62:62" x14ac:dyDescent="0.2">
      <c r="BJ58632" s="201"/>
    </row>
    <row r="58633" spans="62:62" x14ac:dyDescent="0.2">
      <c r="BJ58633" s="201"/>
    </row>
    <row r="58634" spans="62:62" x14ac:dyDescent="0.2">
      <c r="BJ58634" s="201"/>
    </row>
    <row r="58635" spans="62:62" x14ac:dyDescent="0.2">
      <c r="BJ58635" s="201"/>
    </row>
    <row r="58636" spans="62:62" x14ac:dyDescent="0.2">
      <c r="BJ58636" s="201"/>
    </row>
    <row r="58637" spans="62:62" x14ac:dyDescent="0.2">
      <c r="BJ58637" s="201"/>
    </row>
    <row r="58638" spans="62:62" x14ac:dyDescent="0.2">
      <c r="BJ58638" s="201"/>
    </row>
    <row r="58639" spans="62:62" x14ac:dyDescent="0.2">
      <c r="BJ58639" s="201"/>
    </row>
    <row r="58640" spans="62:62" x14ac:dyDescent="0.2">
      <c r="BJ58640" s="201"/>
    </row>
    <row r="58641" spans="62:62" x14ac:dyDescent="0.2">
      <c r="BJ58641" s="201"/>
    </row>
    <row r="58642" spans="62:62" x14ac:dyDescent="0.2">
      <c r="BJ58642" s="201"/>
    </row>
    <row r="58643" spans="62:62" x14ac:dyDescent="0.2">
      <c r="BJ58643" s="201"/>
    </row>
    <row r="58644" spans="62:62" x14ac:dyDescent="0.2">
      <c r="BJ58644" s="201"/>
    </row>
    <row r="58645" spans="62:62" x14ac:dyDescent="0.2">
      <c r="BJ58645" s="201"/>
    </row>
    <row r="58646" spans="62:62" x14ac:dyDescent="0.2">
      <c r="BJ58646" s="201"/>
    </row>
    <row r="58647" spans="62:62" x14ac:dyDescent="0.2">
      <c r="BJ58647" s="201"/>
    </row>
    <row r="58648" spans="62:62" x14ac:dyDescent="0.2">
      <c r="BJ58648" s="201"/>
    </row>
    <row r="58649" spans="62:62" x14ac:dyDescent="0.2">
      <c r="BJ58649" s="201"/>
    </row>
    <row r="58650" spans="62:62" x14ac:dyDescent="0.2">
      <c r="BJ58650" s="201"/>
    </row>
    <row r="58651" spans="62:62" x14ac:dyDescent="0.2">
      <c r="BJ58651" s="201"/>
    </row>
    <row r="58652" spans="62:62" x14ac:dyDescent="0.2">
      <c r="BJ58652" s="201"/>
    </row>
    <row r="58653" spans="62:62" x14ac:dyDescent="0.2">
      <c r="BJ58653" s="201"/>
    </row>
    <row r="58654" spans="62:62" x14ac:dyDescent="0.2">
      <c r="BJ58654" s="201"/>
    </row>
    <row r="58655" spans="62:62" x14ac:dyDescent="0.2">
      <c r="BJ58655" s="201"/>
    </row>
    <row r="58656" spans="62:62" x14ac:dyDescent="0.2">
      <c r="BJ58656" s="201"/>
    </row>
    <row r="58657" spans="62:62" x14ac:dyDescent="0.2">
      <c r="BJ58657" s="201"/>
    </row>
    <row r="58658" spans="62:62" x14ac:dyDescent="0.2">
      <c r="BJ58658" s="201"/>
    </row>
    <row r="58659" spans="62:62" x14ac:dyDescent="0.2">
      <c r="BJ58659" s="201"/>
    </row>
    <row r="58660" spans="62:62" x14ac:dyDescent="0.2">
      <c r="BJ58660" s="201"/>
    </row>
    <row r="58661" spans="62:62" x14ac:dyDescent="0.2">
      <c r="BJ58661" s="201"/>
    </row>
    <row r="58662" spans="62:62" x14ac:dyDescent="0.2">
      <c r="BJ58662" s="201"/>
    </row>
    <row r="58663" spans="62:62" x14ac:dyDescent="0.2">
      <c r="BJ58663" s="201"/>
    </row>
    <row r="58664" spans="62:62" x14ac:dyDescent="0.2">
      <c r="BJ58664" s="201"/>
    </row>
    <row r="58665" spans="62:62" x14ac:dyDescent="0.2">
      <c r="BJ58665" s="201"/>
    </row>
    <row r="58666" spans="62:62" x14ac:dyDescent="0.2">
      <c r="BJ58666" s="201"/>
    </row>
    <row r="58667" spans="62:62" x14ac:dyDescent="0.2">
      <c r="BJ58667" s="201"/>
    </row>
    <row r="58668" spans="62:62" x14ac:dyDescent="0.2">
      <c r="BJ58668" s="201"/>
    </row>
    <row r="58669" spans="62:62" x14ac:dyDescent="0.2">
      <c r="BJ58669" s="201"/>
    </row>
    <row r="58670" spans="62:62" x14ac:dyDescent="0.2">
      <c r="BJ58670" s="201"/>
    </row>
    <row r="58671" spans="62:62" x14ac:dyDescent="0.2">
      <c r="BJ58671" s="201"/>
    </row>
    <row r="58672" spans="62:62" x14ac:dyDescent="0.2">
      <c r="BJ58672" s="201"/>
    </row>
    <row r="58673" spans="62:62" x14ac:dyDescent="0.2">
      <c r="BJ58673" s="201"/>
    </row>
    <row r="58674" spans="62:62" x14ac:dyDescent="0.2">
      <c r="BJ58674" s="201"/>
    </row>
    <row r="58675" spans="62:62" x14ac:dyDescent="0.2">
      <c r="BJ58675" s="201"/>
    </row>
    <row r="58676" spans="62:62" x14ac:dyDescent="0.2">
      <c r="BJ58676" s="201"/>
    </row>
    <row r="58677" spans="62:62" x14ac:dyDescent="0.2">
      <c r="BJ58677" s="201"/>
    </row>
    <row r="58678" spans="62:62" x14ac:dyDescent="0.2">
      <c r="BJ58678" s="201"/>
    </row>
    <row r="58679" spans="62:62" x14ac:dyDescent="0.2">
      <c r="BJ58679" s="201"/>
    </row>
    <row r="58680" spans="62:62" x14ac:dyDescent="0.2">
      <c r="BJ58680" s="201"/>
    </row>
    <row r="58681" spans="62:62" x14ac:dyDescent="0.2">
      <c r="BJ58681" s="201"/>
    </row>
    <row r="58682" spans="62:62" x14ac:dyDescent="0.2">
      <c r="BJ58682" s="201"/>
    </row>
    <row r="58683" spans="62:62" x14ac:dyDescent="0.2">
      <c r="BJ58683" s="201"/>
    </row>
    <row r="58684" spans="62:62" x14ac:dyDescent="0.2">
      <c r="BJ58684" s="201"/>
    </row>
    <row r="58685" spans="62:62" x14ac:dyDescent="0.2">
      <c r="BJ58685" s="201"/>
    </row>
    <row r="58686" spans="62:62" x14ac:dyDescent="0.2">
      <c r="BJ58686" s="201"/>
    </row>
    <row r="58687" spans="62:62" x14ac:dyDescent="0.2">
      <c r="BJ58687" s="201"/>
    </row>
    <row r="58688" spans="62:62" x14ac:dyDescent="0.2">
      <c r="BJ58688" s="201"/>
    </row>
    <row r="58689" spans="62:62" x14ac:dyDescent="0.2">
      <c r="BJ58689" s="201"/>
    </row>
    <row r="58690" spans="62:62" x14ac:dyDescent="0.2">
      <c r="BJ58690" s="201"/>
    </row>
    <row r="58691" spans="62:62" x14ac:dyDescent="0.2">
      <c r="BJ58691" s="201"/>
    </row>
    <row r="58692" spans="62:62" x14ac:dyDescent="0.2">
      <c r="BJ58692" s="201"/>
    </row>
    <row r="58693" spans="62:62" x14ac:dyDescent="0.2">
      <c r="BJ58693" s="201"/>
    </row>
    <row r="58694" spans="62:62" x14ac:dyDescent="0.2">
      <c r="BJ58694" s="201"/>
    </row>
    <row r="58695" spans="62:62" x14ac:dyDescent="0.2">
      <c r="BJ58695" s="201"/>
    </row>
    <row r="58696" spans="62:62" x14ac:dyDescent="0.2">
      <c r="BJ58696" s="201"/>
    </row>
    <row r="58697" spans="62:62" x14ac:dyDescent="0.2">
      <c r="BJ58697" s="201"/>
    </row>
    <row r="58698" spans="62:62" x14ac:dyDescent="0.2">
      <c r="BJ58698" s="201"/>
    </row>
    <row r="58699" spans="62:62" x14ac:dyDescent="0.2">
      <c r="BJ58699" s="201"/>
    </row>
    <row r="58700" spans="62:62" x14ac:dyDescent="0.2">
      <c r="BJ58700" s="201"/>
    </row>
    <row r="58701" spans="62:62" x14ac:dyDescent="0.2">
      <c r="BJ58701" s="201"/>
    </row>
    <row r="58702" spans="62:62" x14ac:dyDescent="0.2">
      <c r="BJ58702" s="201"/>
    </row>
    <row r="58703" spans="62:62" x14ac:dyDescent="0.2">
      <c r="BJ58703" s="201"/>
    </row>
    <row r="58704" spans="62:62" x14ac:dyDescent="0.2">
      <c r="BJ58704" s="201"/>
    </row>
    <row r="58705" spans="62:62" x14ac:dyDescent="0.2">
      <c r="BJ58705" s="201"/>
    </row>
    <row r="58706" spans="62:62" x14ac:dyDescent="0.2">
      <c r="BJ58706" s="201"/>
    </row>
    <row r="58707" spans="62:62" x14ac:dyDescent="0.2">
      <c r="BJ58707" s="201"/>
    </row>
    <row r="58708" spans="62:62" x14ac:dyDescent="0.2">
      <c r="BJ58708" s="201"/>
    </row>
    <row r="58709" spans="62:62" x14ac:dyDescent="0.2">
      <c r="BJ58709" s="201"/>
    </row>
    <row r="58710" spans="62:62" x14ac:dyDescent="0.2">
      <c r="BJ58710" s="201"/>
    </row>
    <row r="58711" spans="62:62" x14ac:dyDescent="0.2">
      <c r="BJ58711" s="201"/>
    </row>
    <row r="58712" spans="62:62" x14ac:dyDescent="0.2">
      <c r="BJ58712" s="201"/>
    </row>
    <row r="58713" spans="62:62" x14ac:dyDescent="0.2">
      <c r="BJ58713" s="201"/>
    </row>
    <row r="58714" spans="62:62" x14ac:dyDescent="0.2">
      <c r="BJ58714" s="201"/>
    </row>
    <row r="58715" spans="62:62" x14ac:dyDescent="0.2">
      <c r="BJ58715" s="201"/>
    </row>
    <row r="58716" spans="62:62" x14ac:dyDescent="0.2">
      <c r="BJ58716" s="201"/>
    </row>
    <row r="58717" spans="62:62" x14ac:dyDescent="0.2">
      <c r="BJ58717" s="201"/>
    </row>
    <row r="58718" spans="62:62" x14ac:dyDescent="0.2">
      <c r="BJ58718" s="201"/>
    </row>
    <row r="58719" spans="62:62" x14ac:dyDescent="0.2">
      <c r="BJ58719" s="201"/>
    </row>
    <row r="58720" spans="62:62" x14ac:dyDescent="0.2">
      <c r="BJ58720" s="201"/>
    </row>
    <row r="58721" spans="62:62" x14ac:dyDescent="0.2">
      <c r="BJ58721" s="201"/>
    </row>
    <row r="58722" spans="62:62" x14ac:dyDescent="0.2">
      <c r="BJ58722" s="201"/>
    </row>
    <row r="58723" spans="62:62" x14ac:dyDescent="0.2">
      <c r="BJ58723" s="201"/>
    </row>
    <row r="58724" spans="62:62" x14ac:dyDescent="0.2">
      <c r="BJ58724" s="201"/>
    </row>
    <row r="58725" spans="62:62" x14ac:dyDescent="0.2">
      <c r="BJ58725" s="201"/>
    </row>
    <row r="58726" spans="62:62" x14ac:dyDescent="0.2">
      <c r="BJ58726" s="201"/>
    </row>
    <row r="58727" spans="62:62" x14ac:dyDescent="0.2">
      <c r="BJ58727" s="201"/>
    </row>
    <row r="58728" spans="62:62" x14ac:dyDescent="0.2">
      <c r="BJ58728" s="201"/>
    </row>
    <row r="58729" spans="62:62" x14ac:dyDescent="0.2">
      <c r="BJ58729" s="201"/>
    </row>
    <row r="58730" spans="62:62" x14ac:dyDescent="0.2">
      <c r="BJ58730" s="201"/>
    </row>
    <row r="58731" spans="62:62" x14ac:dyDescent="0.2">
      <c r="BJ58731" s="201"/>
    </row>
    <row r="58732" spans="62:62" x14ac:dyDescent="0.2">
      <c r="BJ58732" s="201"/>
    </row>
    <row r="58733" spans="62:62" x14ac:dyDescent="0.2">
      <c r="BJ58733" s="201"/>
    </row>
    <row r="58734" spans="62:62" x14ac:dyDescent="0.2">
      <c r="BJ58734" s="201"/>
    </row>
    <row r="58735" spans="62:62" x14ac:dyDescent="0.2">
      <c r="BJ58735" s="201"/>
    </row>
    <row r="58736" spans="62:62" x14ac:dyDescent="0.2">
      <c r="BJ58736" s="201"/>
    </row>
    <row r="58737" spans="62:62" x14ac:dyDescent="0.2">
      <c r="BJ58737" s="201"/>
    </row>
    <row r="58738" spans="62:62" x14ac:dyDescent="0.2">
      <c r="BJ58738" s="201"/>
    </row>
    <row r="58739" spans="62:62" x14ac:dyDescent="0.2">
      <c r="BJ58739" s="201"/>
    </row>
    <row r="58740" spans="62:62" x14ac:dyDescent="0.2">
      <c r="BJ58740" s="201"/>
    </row>
    <row r="58741" spans="62:62" x14ac:dyDescent="0.2">
      <c r="BJ58741" s="201"/>
    </row>
    <row r="58742" spans="62:62" x14ac:dyDescent="0.2">
      <c r="BJ58742" s="201"/>
    </row>
    <row r="58743" spans="62:62" x14ac:dyDescent="0.2">
      <c r="BJ58743" s="201"/>
    </row>
    <row r="58744" spans="62:62" x14ac:dyDescent="0.2">
      <c r="BJ58744" s="201"/>
    </row>
    <row r="58745" spans="62:62" x14ac:dyDescent="0.2">
      <c r="BJ58745" s="201"/>
    </row>
    <row r="58746" spans="62:62" x14ac:dyDescent="0.2">
      <c r="BJ58746" s="201"/>
    </row>
    <row r="58747" spans="62:62" x14ac:dyDescent="0.2">
      <c r="BJ58747" s="201"/>
    </row>
    <row r="58748" spans="62:62" x14ac:dyDescent="0.2">
      <c r="BJ58748" s="201"/>
    </row>
    <row r="58749" spans="62:62" x14ac:dyDescent="0.2">
      <c r="BJ58749" s="201"/>
    </row>
    <row r="58750" spans="62:62" x14ac:dyDescent="0.2">
      <c r="BJ58750" s="201"/>
    </row>
    <row r="58751" spans="62:62" x14ac:dyDescent="0.2">
      <c r="BJ58751" s="201"/>
    </row>
    <row r="58752" spans="62:62" x14ac:dyDescent="0.2">
      <c r="BJ58752" s="201"/>
    </row>
    <row r="58753" spans="62:62" x14ac:dyDescent="0.2">
      <c r="BJ58753" s="201"/>
    </row>
    <row r="58754" spans="62:62" x14ac:dyDescent="0.2">
      <c r="BJ58754" s="201"/>
    </row>
    <row r="58755" spans="62:62" x14ac:dyDescent="0.2">
      <c r="BJ58755" s="201"/>
    </row>
    <row r="58756" spans="62:62" x14ac:dyDescent="0.2">
      <c r="BJ58756" s="201"/>
    </row>
    <row r="58757" spans="62:62" x14ac:dyDescent="0.2">
      <c r="BJ58757" s="201"/>
    </row>
    <row r="58758" spans="62:62" x14ac:dyDescent="0.2">
      <c r="BJ58758" s="201"/>
    </row>
    <row r="58759" spans="62:62" x14ac:dyDescent="0.2">
      <c r="BJ58759" s="201"/>
    </row>
    <row r="58760" spans="62:62" x14ac:dyDescent="0.2">
      <c r="BJ58760" s="201"/>
    </row>
    <row r="58761" spans="62:62" x14ac:dyDescent="0.2">
      <c r="BJ58761" s="201"/>
    </row>
    <row r="58762" spans="62:62" x14ac:dyDescent="0.2">
      <c r="BJ58762" s="201"/>
    </row>
    <row r="58763" spans="62:62" x14ac:dyDescent="0.2">
      <c r="BJ58763" s="201"/>
    </row>
    <row r="58764" spans="62:62" x14ac:dyDescent="0.2">
      <c r="BJ58764" s="201"/>
    </row>
    <row r="58765" spans="62:62" x14ac:dyDescent="0.2">
      <c r="BJ58765" s="201"/>
    </row>
    <row r="58766" spans="62:62" x14ac:dyDescent="0.2">
      <c r="BJ58766" s="201"/>
    </row>
    <row r="58767" spans="62:62" x14ac:dyDescent="0.2">
      <c r="BJ58767" s="201"/>
    </row>
    <row r="58768" spans="62:62" x14ac:dyDescent="0.2">
      <c r="BJ58768" s="201"/>
    </row>
    <row r="58769" spans="62:62" x14ac:dyDescent="0.2">
      <c r="BJ58769" s="201"/>
    </row>
    <row r="58770" spans="62:62" x14ac:dyDescent="0.2">
      <c r="BJ58770" s="201"/>
    </row>
    <row r="58771" spans="62:62" x14ac:dyDescent="0.2">
      <c r="BJ58771" s="201"/>
    </row>
    <row r="58772" spans="62:62" x14ac:dyDescent="0.2">
      <c r="BJ58772" s="201"/>
    </row>
    <row r="58773" spans="62:62" x14ac:dyDescent="0.2">
      <c r="BJ58773" s="201"/>
    </row>
    <row r="58774" spans="62:62" x14ac:dyDescent="0.2">
      <c r="BJ58774" s="201"/>
    </row>
    <row r="58775" spans="62:62" x14ac:dyDescent="0.2">
      <c r="BJ58775" s="201"/>
    </row>
    <row r="58776" spans="62:62" x14ac:dyDescent="0.2">
      <c r="BJ58776" s="201"/>
    </row>
    <row r="58777" spans="62:62" x14ac:dyDescent="0.2">
      <c r="BJ58777" s="201"/>
    </row>
    <row r="58778" spans="62:62" x14ac:dyDescent="0.2">
      <c r="BJ58778" s="201"/>
    </row>
    <row r="58779" spans="62:62" x14ac:dyDescent="0.2">
      <c r="BJ58779" s="201"/>
    </row>
    <row r="58780" spans="62:62" x14ac:dyDescent="0.2">
      <c r="BJ58780" s="201"/>
    </row>
    <row r="58781" spans="62:62" x14ac:dyDescent="0.2">
      <c r="BJ58781" s="201"/>
    </row>
    <row r="58782" spans="62:62" x14ac:dyDescent="0.2">
      <c r="BJ58782" s="201"/>
    </row>
    <row r="58783" spans="62:62" x14ac:dyDescent="0.2">
      <c r="BJ58783" s="201"/>
    </row>
    <row r="58784" spans="62:62" x14ac:dyDescent="0.2">
      <c r="BJ58784" s="201"/>
    </row>
    <row r="58785" spans="62:62" x14ac:dyDescent="0.2">
      <c r="BJ58785" s="201"/>
    </row>
    <row r="58786" spans="62:62" x14ac:dyDescent="0.2">
      <c r="BJ58786" s="201"/>
    </row>
    <row r="58787" spans="62:62" x14ac:dyDescent="0.2">
      <c r="BJ58787" s="201"/>
    </row>
    <row r="58788" spans="62:62" x14ac:dyDescent="0.2">
      <c r="BJ58788" s="201"/>
    </row>
    <row r="58789" spans="62:62" x14ac:dyDescent="0.2">
      <c r="BJ58789" s="201"/>
    </row>
    <row r="58790" spans="62:62" x14ac:dyDescent="0.2">
      <c r="BJ58790" s="201"/>
    </row>
    <row r="58791" spans="62:62" x14ac:dyDescent="0.2">
      <c r="BJ58791" s="201"/>
    </row>
    <row r="58792" spans="62:62" x14ac:dyDescent="0.2">
      <c r="BJ58792" s="201"/>
    </row>
    <row r="58793" spans="62:62" x14ac:dyDescent="0.2">
      <c r="BJ58793" s="201"/>
    </row>
    <row r="58794" spans="62:62" x14ac:dyDescent="0.2">
      <c r="BJ58794" s="201"/>
    </row>
    <row r="58795" spans="62:62" x14ac:dyDescent="0.2">
      <c r="BJ58795" s="201"/>
    </row>
    <row r="58796" spans="62:62" x14ac:dyDescent="0.2">
      <c r="BJ58796" s="201"/>
    </row>
    <row r="58797" spans="62:62" x14ac:dyDescent="0.2">
      <c r="BJ58797" s="201"/>
    </row>
    <row r="58798" spans="62:62" x14ac:dyDescent="0.2">
      <c r="BJ58798" s="201"/>
    </row>
    <row r="58799" spans="62:62" x14ac:dyDescent="0.2">
      <c r="BJ58799" s="201"/>
    </row>
    <row r="58800" spans="62:62" x14ac:dyDescent="0.2">
      <c r="BJ58800" s="201"/>
    </row>
    <row r="58801" spans="62:62" x14ac:dyDescent="0.2">
      <c r="BJ58801" s="201"/>
    </row>
    <row r="58802" spans="62:62" x14ac:dyDescent="0.2">
      <c r="BJ58802" s="201"/>
    </row>
    <row r="58803" spans="62:62" x14ac:dyDescent="0.2">
      <c r="BJ58803" s="201"/>
    </row>
    <row r="58804" spans="62:62" x14ac:dyDescent="0.2">
      <c r="BJ58804" s="201"/>
    </row>
    <row r="58805" spans="62:62" x14ac:dyDescent="0.2">
      <c r="BJ58805" s="201"/>
    </row>
    <row r="58806" spans="62:62" x14ac:dyDescent="0.2">
      <c r="BJ58806" s="201"/>
    </row>
    <row r="58807" spans="62:62" x14ac:dyDescent="0.2">
      <c r="BJ58807" s="201"/>
    </row>
    <row r="58808" spans="62:62" x14ac:dyDescent="0.2">
      <c r="BJ58808" s="201"/>
    </row>
    <row r="58809" spans="62:62" x14ac:dyDescent="0.2">
      <c r="BJ58809" s="201"/>
    </row>
    <row r="58810" spans="62:62" x14ac:dyDescent="0.2">
      <c r="BJ58810" s="201"/>
    </row>
    <row r="58811" spans="62:62" x14ac:dyDescent="0.2">
      <c r="BJ58811" s="201"/>
    </row>
    <row r="58812" spans="62:62" x14ac:dyDescent="0.2">
      <c r="BJ58812" s="201"/>
    </row>
    <row r="58813" spans="62:62" x14ac:dyDescent="0.2">
      <c r="BJ58813" s="201"/>
    </row>
    <row r="58814" spans="62:62" x14ac:dyDescent="0.2">
      <c r="BJ58814" s="201"/>
    </row>
    <row r="58815" spans="62:62" x14ac:dyDescent="0.2">
      <c r="BJ58815" s="201"/>
    </row>
    <row r="58816" spans="62:62" x14ac:dyDescent="0.2">
      <c r="BJ58816" s="201"/>
    </row>
    <row r="58817" spans="62:62" x14ac:dyDescent="0.2">
      <c r="BJ58817" s="201"/>
    </row>
    <row r="58818" spans="62:62" x14ac:dyDescent="0.2">
      <c r="BJ58818" s="201"/>
    </row>
    <row r="58819" spans="62:62" x14ac:dyDescent="0.2">
      <c r="BJ58819" s="201"/>
    </row>
    <row r="58820" spans="62:62" x14ac:dyDescent="0.2">
      <c r="BJ58820" s="201"/>
    </row>
    <row r="58821" spans="62:62" x14ac:dyDescent="0.2">
      <c r="BJ58821" s="201"/>
    </row>
    <row r="58822" spans="62:62" x14ac:dyDescent="0.2">
      <c r="BJ58822" s="201"/>
    </row>
    <row r="58823" spans="62:62" x14ac:dyDescent="0.2">
      <c r="BJ58823" s="201"/>
    </row>
    <row r="58824" spans="62:62" x14ac:dyDescent="0.2">
      <c r="BJ58824" s="201"/>
    </row>
    <row r="58825" spans="62:62" x14ac:dyDescent="0.2">
      <c r="BJ58825" s="201"/>
    </row>
    <row r="58826" spans="62:62" x14ac:dyDescent="0.2">
      <c r="BJ58826" s="201"/>
    </row>
    <row r="58827" spans="62:62" x14ac:dyDescent="0.2">
      <c r="BJ58827" s="201"/>
    </row>
    <row r="58828" spans="62:62" x14ac:dyDescent="0.2">
      <c r="BJ58828" s="201"/>
    </row>
    <row r="58829" spans="62:62" x14ac:dyDescent="0.2">
      <c r="BJ58829" s="201"/>
    </row>
    <row r="58830" spans="62:62" x14ac:dyDescent="0.2">
      <c r="BJ58830" s="201"/>
    </row>
    <row r="58831" spans="62:62" x14ac:dyDescent="0.2">
      <c r="BJ58831" s="201"/>
    </row>
    <row r="58832" spans="62:62" x14ac:dyDescent="0.2">
      <c r="BJ58832" s="201"/>
    </row>
    <row r="58833" spans="62:62" x14ac:dyDescent="0.2">
      <c r="BJ58833" s="201"/>
    </row>
    <row r="58834" spans="62:62" x14ac:dyDescent="0.2">
      <c r="BJ58834" s="201"/>
    </row>
    <row r="58835" spans="62:62" x14ac:dyDescent="0.2">
      <c r="BJ58835" s="201"/>
    </row>
    <row r="58836" spans="62:62" x14ac:dyDescent="0.2">
      <c r="BJ58836" s="201"/>
    </row>
    <row r="58837" spans="62:62" x14ac:dyDescent="0.2">
      <c r="BJ58837" s="201"/>
    </row>
    <row r="58838" spans="62:62" x14ac:dyDescent="0.2">
      <c r="BJ58838" s="201"/>
    </row>
    <row r="58839" spans="62:62" x14ac:dyDescent="0.2">
      <c r="BJ58839" s="201"/>
    </row>
    <row r="58840" spans="62:62" x14ac:dyDescent="0.2">
      <c r="BJ58840" s="201"/>
    </row>
    <row r="58841" spans="62:62" x14ac:dyDescent="0.2">
      <c r="BJ58841" s="201"/>
    </row>
    <row r="58842" spans="62:62" x14ac:dyDescent="0.2">
      <c r="BJ58842" s="201"/>
    </row>
    <row r="58843" spans="62:62" x14ac:dyDescent="0.2">
      <c r="BJ58843" s="201"/>
    </row>
    <row r="58844" spans="62:62" x14ac:dyDescent="0.2">
      <c r="BJ58844" s="201"/>
    </row>
    <row r="58845" spans="62:62" x14ac:dyDescent="0.2">
      <c r="BJ58845" s="201"/>
    </row>
    <row r="58846" spans="62:62" x14ac:dyDescent="0.2">
      <c r="BJ58846" s="201"/>
    </row>
    <row r="58847" spans="62:62" x14ac:dyDescent="0.2">
      <c r="BJ58847" s="201"/>
    </row>
    <row r="58848" spans="62:62" x14ac:dyDescent="0.2">
      <c r="BJ58848" s="201"/>
    </row>
    <row r="58849" spans="62:62" x14ac:dyDescent="0.2">
      <c r="BJ58849" s="201"/>
    </row>
    <row r="58850" spans="62:62" x14ac:dyDescent="0.2">
      <c r="BJ58850" s="201"/>
    </row>
    <row r="58851" spans="62:62" x14ac:dyDescent="0.2">
      <c r="BJ58851" s="201"/>
    </row>
    <row r="58852" spans="62:62" x14ac:dyDescent="0.2">
      <c r="BJ58852" s="201"/>
    </row>
    <row r="58853" spans="62:62" x14ac:dyDescent="0.2">
      <c r="BJ58853" s="201"/>
    </row>
    <row r="58854" spans="62:62" x14ac:dyDescent="0.2">
      <c r="BJ58854" s="201"/>
    </row>
    <row r="58855" spans="62:62" x14ac:dyDescent="0.2">
      <c r="BJ58855" s="201"/>
    </row>
    <row r="58856" spans="62:62" x14ac:dyDescent="0.2">
      <c r="BJ58856" s="201"/>
    </row>
    <row r="58857" spans="62:62" x14ac:dyDescent="0.2">
      <c r="BJ58857" s="201"/>
    </row>
    <row r="58858" spans="62:62" x14ac:dyDescent="0.2">
      <c r="BJ58858" s="201"/>
    </row>
    <row r="58859" spans="62:62" x14ac:dyDescent="0.2">
      <c r="BJ58859" s="201"/>
    </row>
    <row r="58860" spans="62:62" x14ac:dyDescent="0.2">
      <c r="BJ58860" s="201"/>
    </row>
    <row r="58861" spans="62:62" x14ac:dyDescent="0.2">
      <c r="BJ58861" s="201"/>
    </row>
    <row r="58862" spans="62:62" x14ac:dyDescent="0.2">
      <c r="BJ58862" s="201"/>
    </row>
    <row r="58863" spans="62:62" x14ac:dyDescent="0.2">
      <c r="BJ58863" s="201"/>
    </row>
    <row r="58864" spans="62:62" x14ac:dyDescent="0.2">
      <c r="BJ58864" s="201"/>
    </row>
    <row r="58865" spans="62:62" x14ac:dyDescent="0.2">
      <c r="BJ58865" s="201"/>
    </row>
    <row r="58866" spans="62:62" x14ac:dyDescent="0.2">
      <c r="BJ58866" s="201"/>
    </row>
    <row r="58867" spans="62:62" x14ac:dyDescent="0.2">
      <c r="BJ58867" s="201"/>
    </row>
    <row r="58868" spans="62:62" x14ac:dyDescent="0.2">
      <c r="BJ58868" s="201"/>
    </row>
    <row r="58869" spans="62:62" x14ac:dyDescent="0.2">
      <c r="BJ58869" s="201"/>
    </row>
    <row r="58870" spans="62:62" x14ac:dyDescent="0.2">
      <c r="BJ58870" s="201"/>
    </row>
    <row r="58871" spans="62:62" x14ac:dyDescent="0.2">
      <c r="BJ58871" s="201"/>
    </row>
    <row r="58872" spans="62:62" x14ac:dyDescent="0.2">
      <c r="BJ58872" s="201"/>
    </row>
    <row r="58873" spans="62:62" x14ac:dyDescent="0.2">
      <c r="BJ58873" s="201"/>
    </row>
    <row r="58874" spans="62:62" x14ac:dyDescent="0.2">
      <c r="BJ58874" s="201"/>
    </row>
    <row r="58875" spans="62:62" x14ac:dyDescent="0.2">
      <c r="BJ58875" s="201"/>
    </row>
    <row r="58876" spans="62:62" x14ac:dyDescent="0.2">
      <c r="BJ58876" s="201"/>
    </row>
    <row r="58877" spans="62:62" x14ac:dyDescent="0.2">
      <c r="BJ58877" s="201"/>
    </row>
    <row r="58878" spans="62:62" x14ac:dyDescent="0.2">
      <c r="BJ58878" s="201"/>
    </row>
    <row r="58879" spans="62:62" x14ac:dyDescent="0.2">
      <c r="BJ58879" s="201"/>
    </row>
    <row r="58880" spans="62:62" x14ac:dyDescent="0.2">
      <c r="BJ58880" s="201"/>
    </row>
    <row r="58881" spans="62:62" x14ac:dyDescent="0.2">
      <c r="BJ58881" s="201"/>
    </row>
    <row r="58882" spans="62:62" x14ac:dyDescent="0.2">
      <c r="BJ58882" s="201"/>
    </row>
    <row r="58883" spans="62:62" x14ac:dyDescent="0.2">
      <c r="BJ58883" s="201"/>
    </row>
    <row r="58884" spans="62:62" x14ac:dyDescent="0.2">
      <c r="BJ58884" s="201"/>
    </row>
    <row r="58885" spans="62:62" x14ac:dyDescent="0.2">
      <c r="BJ58885" s="201"/>
    </row>
    <row r="58886" spans="62:62" x14ac:dyDescent="0.2">
      <c r="BJ58886" s="201"/>
    </row>
    <row r="58887" spans="62:62" x14ac:dyDescent="0.2">
      <c r="BJ58887" s="201"/>
    </row>
    <row r="58888" spans="62:62" x14ac:dyDescent="0.2">
      <c r="BJ58888" s="201"/>
    </row>
    <row r="58889" spans="62:62" x14ac:dyDescent="0.2">
      <c r="BJ58889" s="201"/>
    </row>
    <row r="58890" spans="62:62" x14ac:dyDescent="0.2">
      <c r="BJ58890" s="201"/>
    </row>
    <row r="58891" spans="62:62" x14ac:dyDescent="0.2">
      <c r="BJ58891" s="201"/>
    </row>
    <row r="58892" spans="62:62" x14ac:dyDescent="0.2">
      <c r="BJ58892" s="201"/>
    </row>
    <row r="58893" spans="62:62" x14ac:dyDescent="0.2">
      <c r="BJ58893" s="201"/>
    </row>
    <row r="58894" spans="62:62" x14ac:dyDescent="0.2">
      <c r="BJ58894" s="201"/>
    </row>
    <row r="58895" spans="62:62" x14ac:dyDescent="0.2">
      <c r="BJ58895" s="201"/>
    </row>
    <row r="58896" spans="62:62" x14ac:dyDescent="0.2">
      <c r="BJ58896" s="201"/>
    </row>
    <row r="58897" spans="62:62" x14ac:dyDescent="0.2">
      <c r="BJ58897" s="201"/>
    </row>
    <row r="58898" spans="62:62" x14ac:dyDescent="0.2">
      <c r="BJ58898" s="201"/>
    </row>
    <row r="58899" spans="62:62" x14ac:dyDescent="0.2">
      <c r="BJ58899" s="201"/>
    </row>
    <row r="58900" spans="62:62" x14ac:dyDescent="0.2">
      <c r="BJ58900" s="201"/>
    </row>
    <row r="58901" spans="62:62" x14ac:dyDescent="0.2">
      <c r="BJ58901" s="201"/>
    </row>
    <row r="58902" spans="62:62" x14ac:dyDescent="0.2">
      <c r="BJ58902" s="201"/>
    </row>
    <row r="58903" spans="62:62" x14ac:dyDescent="0.2">
      <c r="BJ58903" s="201"/>
    </row>
    <row r="58904" spans="62:62" x14ac:dyDescent="0.2">
      <c r="BJ58904" s="201"/>
    </row>
    <row r="58905" spans="62:62" x14ac:dyDescent="0.2">
      <c r="BJ58905" s="201"/>
    </row>
    <row r="58906" spans="62:62" x14ac:dyDescent="0.2">
      <c r="BJ58906" s="201"/>
    </row>
    <row r="58907" spans="62:62" x14ac:dyDescent="0.2">
      <c r="BJ58907" s="201"/>
    </row>
    <row r="58908" spans="62:62" x14ac:dyDescent="0.2">
      <c r="BJ58908" s="201"/>
    </row>
    <row r="58909" spans="62:62" x14ac:dyDescent="0.2">
      <c r="BJ58909" s="201"/>
    </row>
    <row r="58910" spans="62:62" x14ac:dyDescent="0.2">
      <c r="BJ58910" s="201"/>
    </row>
    <row r="58911" spans="62:62" x14ac:dyDescent="0.2">
      <c r="BJ58911" s="201"/>
    </row>
    <row r="58912" spans="62:62" x14ac:dyDescent="0.2">
      <c r="BJ58912" s="201"/>
    </row>
    <row r="58913" spans="62:62" x14ac:dyDescent="0.2">
      <c r="BJ58913" s="201"/>
    </row>
    <row r="58914" spans="62:62" x14ac:dyDescent="0.2">
      <c r="BJ58914" s="201"/>
    </row>
    <row r="58915" spans="62:62" x14ac:dyDescent="0.2">
      <c r="BJ58915" s="201"/>
    </row>
    <row r="58916" spans="62:62" x14ac:dyDescent="0.2">
      <c r="BJ58916" s="201"/>
    </row>
    <row r="58917" spans="62:62" x14ac:dyDescent="0.2">
      <c r="BJ58917" s="201"/>
    </row>
    <row r="58918" spans="62:62" x14ac:dyDescent="0.2">
      <c r="BJ58918" s="201"/>
    </row>
    <row r="58919" spans="62:62" x14ac:dyDescent="0.2">
      <c r="BJ58919" s="201"/>
    </row>
    <row r="58920" spans="62:62" x14ac:dyDescent="0.2">
      <c r="BJ58920" s="201"/>
    </row>
    <row r="58921" spans="62:62" x14ac:dyDescent="0.2">
      <c r="BJ58921" s="201"/>
    </row>
    <row r="58922" spans="62:62" x14ac:dyDescent="0.2">
      <c r="BJ58922" s="201"/>
    </row>
    <row r="58923" spans="62:62" x14ac:dyDescent="0.2">
      <c r="BJ58923" s="201"/>
    </row>
    <row r="58924" spans="62:62" x14ac:dyDescent="0.2">
      <c r="BJ58924" s="201"/>
    </row>
    <row r="58925" spans="62:62" x14ac:dyDescent="0.2">
      <c r="BJ58925" s="201"/>
    </row>
    <row r="58926" spans="62:62" x14ac:dyDescent="0.2">
      <c r="BJ58926" s="201"/>
    </row>
    <row r="58927" spans="62:62" x14ac:dyDescent="0.2">
      <c r="BJ58927" s="201"/>
    </row>
    <row r="58928" spans="62:62" x14ac:dyDescent="0.2">
      <c r="BJ58928" s="201"/>
    </row>
    <row r="58929" spans="62:62" x14ac:dyDescent="0.2">
      <c r="BJ58929" s="201"/>
    </row>
    <row r="58930" spans="62:62" x14ac:dyDescent="0.2">
      <c r="BJ58930" s="201"/>
    </row>
    <row r="58931" spans="62:62" x14ac:dyDescent="0.2">
      <c r="BJ58931" s="201"/>
    </row>
    <row r="58932" spans="62:62" x14ac:dyDescent="0.2">
      <c r="BJ58932" s="201"/>
    </row>
    <row r="58933" spans="62:62" x14ac:dyDescent="0.2">
      <c r="BJ58933" s="201"/>
    </row>
    <row r="58934" spans="62:62" x14ac:dyDescent="0.2">
      <c r="BJ58934" s="201"/>
    </row>
    <row r="58935" spans="62:62" x14ac:dyDescent="0.2">
      <c r="BJ58935" s="201"/>
    </row>
    <row r="58936" spans="62:62" x14ac:dyDescent="0.2">
      <c r="BJ58936" s="201"/>
    </row>
    <row r="58937" spans="62:62" x14ac:dyDescent="0.2">
      <c r="BJ58937" s="201"/>
    </row>
    <row r="58938" spans="62:62" x14ac:dyDescent="0.2">
      <c r="BJ58938" s="201"/>
    </row>
    <row r="58939" spans="62:62" x14ac:dyDescent="0.2">
      <c r="BJ58939" s="201"/>
    </row>
    <row r="58940" spans="62:62" x14ac:dyDescent="0.2">
      <c r="BJ58940" s="201"/>
    </row>
    <row r="58941" spans="62:62" x14ac:dyDescent="0.2">
      <c r="BJ58941" s="201"/>
    </row>
    <row r="58942" spans="62:62" x14ac:dyDescent="0.2">
      <c r="BJ58942" s="201"/>
    </row>
    <row r="58943" spans="62:62" x14ac:dyDescent="0.2">
      <c r="BJ58943" s="201"/>
    </row>
    <row r="58944" spans="62:62" x14ac:dyDescent="0.2">
      <c r="BJ58944" s="201"/>
    </row>
    <row r="58945" spans="62:62" x14ac:dyDescent="0.2">
      <c r="BJ58945" s="201"/>
    </row>
    <row r="58946" spans="62:62" x14ac:dyDescent="0.2">
      <c r="BJ58946" s="201"/>
    </row>
    <row r="58947" spans="62:62" x14ac:dyDescent="0.2">
      <c r="BJ58947" s="201"/>
    </row>
    <row r="58948" spans="62:62" x14ac:dyDescent="0.2">
      <c r="BJ58948" s="201"/>
    </row>
    <row r="58949" spans="62:62" x14ac:dyDescent="0.2">
      <c r="BJ58949" s="201"/>
    </row>
    <row r="58950" spans="62:62" x14ac:dyDescent="0.2">
      <c r="BJ58950" s="201"/>
    </row>
    <row r="58951" spans="62:62" x14ac:dyDescent="0.2">
      <c r="BJ58951" s="201"/>
    </row>
    <row r="58952" spans="62:62" x14ac:dyDescent="0.2">
      <c r="BJ58952" s="201"/>
    </row>
    <row r="58953" spans="62:62" x14ac:dyDescent="0.2">
      <c r="BJ58953" s="201"/>
    </row>
    <row r="58954" spans="62:62" x14ac:dyDescent="0.2">
      <c r="BJ58954" s="201"/>
    </row>
    <row r="58955" spans="62:62" x14ac:dyDescent="0.2">
      <c r="BJ58955" s="201"/>
    </row>
    <row r="58956" spans="62:62" x14ac:dyDescent="0.2">
      <c r="BJ58956" s="201"/>
    </row>
    <row r="58957" spans="62:62" x14ac:dyDescent="0.2">
      <c r="BJ58957" s="201"/>
    </row>
    <row r="58958" spans="62:62" x14ac:dyDescent="0.2">
      <c r="BJ58958" s="201"/>
    </row>
    <row r="58959" spans="62:62" x14ac:dyDescent="0.2">
      <c r="BJ58959" s="201"/>
    </row>
    <row r="58960" spans="62:62" x14ac:dyDescent="0.2">
      <c r="BJ58960" s="201"/>
    </row>
    <row r="58961" spans="62:62" x14ac:dyDescent="0.2">
      <c r="BJ58961" s="201"/>
    </row>
    <row r="58962" spans="62:62" x14ac:dyDescent="0.2">
      <c r="BJ58962" s="201"/>
    </row>
    <row r="58963" spans="62:62" x14ac:dyDescent="0.2">
      <c r="BJ58963" s="201"/>
    </row>
    <row r="58964" spans="62:62" x14ac:dyDescent="0.2">
      <c r="BJ58964" s="201"/>
    </row>
    <row r="58965" spans="62:62" x14ac:dyDescent="0.2">
      <c r="BJ58965" s="201"/>
    </row>
    <row r="58966" spans="62:62" x14ac:dyDescent="0.2">
      <c r="BJ58966" s="201"/>
    </row>
    <row r="58967" spans="62:62" x14ac:dyDescent="0.2">
      <c r="BJ58967" s="201"/>
    </row>
    <row r="58968" spans="62:62" x14ac:dyDescent="0.2">
      <c r="BJ58968" s="201"/>
    </row>
    <row r="58969" spans="62:62" x14ac:dyDescent="0.2">
      <c r="BJ58969" s="201"/>
    </row>
    <row r="58970" spans="62:62" x14ac:dyDescent="0.2">
      <c r="BJ58970" s="201"/>
    </row>
    <row r="58971" spans="62:62" x14ac:dyDescent="0.2">
      <c r="BJ58971" s="201"/>
    </row>
    <row r="58972" spans="62:62" x14ac:dyDescent="0.2">
      <c r="BJ58972" s="201"/>
    </row>
    <row r="58973" spans="62:62" x14ac:dyDescent="0.2">
      <c r="BJ58973" s="201"/>
    </row>
    <row r="58974" spans="62:62" x14ac:dyDescent="0.2">
      <c r="BJ58974" s="201"/>
    </row>
    <row r="58975" spans="62:62" x14ac:dyDescent="0.2">
      <c r="BJ58975" s="201"/>
    </row>
    <row r="58976" spans="62:62" x14ac:dyDescent="0.2">
      <c r="BJ58976" s="201"/>
    </row>
    <row r="58977" spans="62:62" x14ac:dyDescent="0.2">
      <c r="BJ58977" s="201"/>
    </row>
    <row r="58978" spans="62:62" x14ac:dyDescent="0.2">
      <c r="BJ58978" s="201"/>
    </row>
    <row r="58979" spans="62:62" x14ac:dyDescent="0.2">
      <c r="BJ58979" s="201"/>
    </row>
    <row r="58980" spans="62:62" x14ac:dyDescent="0.2">
      <c r="BJ58980" s="201"/>
    </row>
    <row r="58981" spans="62:62" x14ac:dyDescent="0.2">
      <c r="BJ58981" s="201"/>
    </row>
    <row r="58982" spans="62:62" x14ac:dyDescent="0.2">
      <c r="BJ58982" s="201"/>
    </row>
    <row r="58983" spans="62:62" x14ac:dyDescent="0.2">
      <c r="BJ58983" s="201"/>
    </row>
    <row r="58984" spans="62:62" x14ac:dyDescent="0.2">
      <c r="BJ58984" s="201"/>
    </row>
    <row r="58985" spans="62:62" x14ac:dyDescent="0.2">
      <c r="BJ58985" s="201"/>
    </row>
    <row r="58986" spans="62:62" x14ac:dyDescent="0.2">
      <c r="BJ58986" s="201"/>
    </row>
    <row r="58987" spans="62:62" x14ac:dyDescent="0.2">
      <c r="BJ58987" s="201"/>
    </row>
    <row r="58988" spans="62:62" x14ac:dyDescent="0.2">
      <c r="BJ58988" s="201"/>
    </row>
    <row r="58989" spans="62:62" x14ac:dyDescent="0.2">
      <c r="BJ58989" s="201"/>
    </row>
    <row r="58990" spans="62:62" x14ac:dyDescent="0.2">
      <c r="BJ58990" s="201"/>
    </row>
    <row r="58991" spans="62:62" x14ac:dyDescent="0.2">
      <c r="BJ58991" s="201"/>
    </row>
    <row r="58992" spans="62:62" x14ac:dyDescent="0.2">
      <c r="BJ58992" s="201"/>
    </row>
    <row r="58993" spans="62:62" x14ac:dyDescent="0.2">
      <c r="BJ58993" s="201"/>
    </row>
    <row r="58994" spans="62:62" x14ac:dyDescent="0.2">
      <c r="BJ58994" s="201"/>
    </row>
    <row r="58995" spans="62:62" x14ac:dyDescent="0.2">
      <c r="BJ58995" s="201"/>
    </row>
    <row r="58996" spans="62:62" x14ac:dyDescent="0.2">
      <c r="BJ58996" s="201"/>
    </row>
    <row r="58997" spans="62:62" x14ac:dyDescent="0.2">
      <c r="BJ58997" s="201"/>
    </row>
    <row r="58998" spans="62:62" x14ac:dyDescent="0.2">
      <c r="BJ58998" s="201"/>
    </row>
    <row r="58999" spans="62:62" x14ac:dyDescent="0.2">
      <c r="BJ58999" s="201"/>
    </row>
    <row r="59000" spans="62:62" x14ac:dyDescent="0.2">
      <c r="BJ59000" s="201"/>
    </row>
    <row r="59001" spans="62:62" x14ac:dyDescent="0.2">
      <c r="BJ59001" s="201"/>
    </row>
    <row r="59002" spans="62:62" x14ac:dyDescent="0.2">
      <c r="BJ59002" s="201"/>
    </row>
    <row r="59003" spans="62:62" x14ac:dyDescent="0.2">
      <c r="BJ59003" s="201"/>
    </row>
    <row r="59004" spans="62:62" x14ac:dyDescent="0.2">
      <c r="BJ59004" s="201"/>
    </row>
    <row r="59005" spans="62:62" x14ac:dyDescent="0.2">
      <c r="BJ59005" s="201"/>
    </row>
    <row r="59006" spans="62:62" x14ac:dyDescent="0.2">
      <c r="BJ59006" s="201"/>
    </row>
    <row r="59007" spans="62:62" x14ac:dyDescent="0.2">
      <c r="BJ59007" s="201"/>
    </row>
    <row r="59008" spans="62:62" x14ac:dyDescent="0.2">
      <c r="BJ59008" s="201"/>
    </row>
    <row r="59009" spans="62:62" x14ac:dyDescent="0.2">
      <c r="BJ59009" s="201"/>
    </row>
    <row r="59010" spans="62:62" x14ac:dyDescent="0.2">
      <c r="BJ59010" s="201"/>
    </row>
    <row r="59011" spans="62:62" x14ac:dyDescent="0.2">
      <c r="BJ59011" s="201"/>
    </row>
    <row r="59012" spans="62:62" x14ac:dyDescent="0.2">
      <c r="BJ59012" s="201"/>
    </row>
    <row r="59013" spans="62:62" x14ac:dyDescent="0.2">
      <c r="BJ59013" s="201"/>
    </row>
    <row r="59014" spans="62:62" x14ac:dyDescent="0.2">
      <c r="BJ59014" s="201"/>
    </row>
    <row r="59015" spans="62:62" x14ac:dyDescent="0.2">
      <c r="BJ59015" s="201"/>
    </row>
    <row r="59016" spans="62:62" x14ac:dyDescent="0.2">
      <c r="BJ59016" s="201"/>
    </row>
    <row r="59017" spans="62:62" x14ac:dyDescent="0.2">
      <c r="BJ59017" s="201"/>
    </row>
    <row r="59018" spans="62:62" x14ac:dyDescent="0.2">
      <c r="BJ59018" s="201"/>
    </row>
    <row r="59019" spans="62:62" x14ac:dyDescent="0.2">
      <c r="BJ59019" s="201"/>
    </row>
    <row r="59020" spans="62:62" x14ac:dyDescent="0.2">
      <c r="BJ59020" s="201"/>
    </row>
    <row r="59021" spans="62:62" x14ac:dyDescent="0.2">
      <c r="BJ59021" s="201"/>
    </row>
    <row r="59022" spans="62:62" x14ac:dyDescent="0.2">
      <c r="BJ59022" s="201"/>
    </row>
    <row r="59023" spans="62:62" x14ac:dyDescent="0.2">
      <c r="BJ59023" s="201"/>
    </row>
    <row r="59024" spans="62:62" x14ac:dyDescent="0.2">
      <c r="BJ59024" s="201"/>
    </row>
    <row r="59025" spans="62:62" x14ac:dyDescent="0.2">
      <c r="BJ59025" s="201"/>
    </row>
    <row r="59026" spans="62:62" x14ac:dyDescent="0.2">
      <c r="BJ59026" s="201"/>
    </row>
    <row r="59027" spans="62:62" x14ac:dyDescent="0.2">
      <c r="BJ59027" s="201"/>
    </row>
    <row r="59028" spans="62:62" x14ac:dyDescent="0.2">
      <c r="BJ59028" s="201"/>
    </row>
    <row r="59029" spans="62:62" x14ac:dyDescent="0.2">
      <c r="BJ59029" s="201"/>
    </row>
    <row r="59030" spans="62:62" x14ac:dyDescent="0.2">
      <c r="BJ59030" s="201"/>
    </row>
    <row r="59031" spans="62:62" x14ac:dyDescent="0.2">
      <c r="BJ59031" s="201"/>
    </row>
    <row r="59032" spans="62:62" x14ac:dyDescent="0.2">
      <c r="BJ59032" s="201"/>
    </row>
    <row r="59033" spans="62:62" x14ac:dyDescent="0.2">
      <c r="BJ59033" s="201"/>
    </row>
    <row r="59034" spans="62:62" x14ac:dyDescent="0.2">
      <c r="BJ59034" s="201"/>
    </row>
    <row r="59035" spans="62:62" x14ac:dyDescent="0.2">
      <c r="BJ59035" s="201"/>
    </row>
    <row r="59036" spans="62:62" x14ac:dyDescent="0.2">
      <c r="BJ59036" s="201"/>
    </row>
    <row r="59037" spans="62:62" x14ac:dyDescent="0.2">
      <c r="BJ59037" s="201"/>
    </row>
    <row r="59038" spans="62:62" x14ac:dyDescent="0.2">
      <c r="BJ59038" s="201"/>
    </row>
    <row r="59039" spans="62:62" x14ac:dyDescent="0.2">
      <c r="BJ59039" s="201"/>
    </row>
    <row r="59040" spans="62:62" x14ac:dyDescent="0.2">
      <c r="BJ59040" s="201"/>
    </row>
    <row r="59041" spans="62:62" x14ac:dyDescent="0.2">
      <c r="BJ59041" s="201"/>
    </row>
    <row r="59042" spans="62:62" x14ac:dyDescent="0.2">
      <c r="BJ59042" s="201"/>
    </row>
    <row r="59043" spans="62:62" x14ac:dyDescent="0.2">
      <c r="BJ59043" s="201"/>
    </row>
    <row r="59044" spans="62:62" x14ac:dyDescent="0.2">
      <c r="BJ59044" s="201"/>
    </row>
    <row r="59045" spans="62:62" x14ac:dyDescent="0.2">
      <c r="BJ59045" s="201"/>
    </row>
    <row r="59046" spans="62:62" x14ac:dyDescent="0.2">
      <c r="BJ59046" s="201"/>
    </row>
    <row r="59047" spans="62:62" x14ac:dyDescent="0.2">
      <c r="BJ59047" s="201"/>
    </row>
    <row r="59048" spans="62:62" x14ac:dyDescent="0.2">
      <c r="BJ59048" s="201"/>
    </row>
    <row r="59049" spans="62:62" x14ac:dyDescent="0.2">
      <c r="BJ59049" s="201"/>
    </row>
    <row r="59050" spans="62:62" x14ac:dyDescent="0.2">
      <c r="BJ59050" s="201"/>
    </row>
    <row r="59051" spans="62:62" x14ac:dyDescent="0.2">
      <c r="BJ59051" s="201"/>
    </row>
    <row r="59052" spans="62:62" x14ac:dyDescent="0.2">
      <c r="BJ59052" s="201"/>
    </row>
    <row r="59053" spans="62:62" x14ac:dyDescent="0.2">
      <c r="BJ59053" s="201"/>
    </row>
    <row r="59054" spans="62:62" x14ac:dyDescent="0.2">
      <c r="BJ59054" s="201"/>
    </row>
    <row r="59055" spans="62:62" x14ac:dyDescent="0.2">
      <c r="BJ59055" s="201"/>
    </row>
    <row r="59056" spans="62:62" x14ac:dyDescent="0.2">
      <c r="BJ59056" s="201"/>
    </row>
    <row r="59057" spans="62:62" x14ac:dyDescent="0.2">
      <c r="BJ59057" s="201"/>
    </row>
    <row r="59058" spans="62:62" x14ac:dyDescent="0.2">
      <c r="BJ59058" s="201"/>
    </row>
    <row r="59059" spans="62:62" x14ac:dyDescent="0.2">
      <c r="BJ59059" s="201"/>
    </row>
    <row r="59060" spans="62:62" x14ac:dyDescent="0.2">
      <c r="BJ59060" s="201"/>
    </row>
    <row r="59061" spans="62:62" x14ac:dyDescent="0.2">
      <c r="BJ59061" s="201"/>
    </row>
    <row r="59062" spans="62:62" x14ac:dyDescent="0.2">
      <c r="BJ59062" s="201"/>
    </row>
    <row r="59063" spans="62:62" x14ac:dyDescent="0.2">
      <c r="BJ59063" s="201"/>
    </row>
    <row r="59064" spans="62:62" x14ac:dyDescent="0.2">
      <c r="BJ59064" s="201"/>
    </row>
    <row r="59065" spans="62:62" x14ac:dyDescent="0.2">
      <c r="BJ59065" s="201"/>
    </row>
    <row r="59066" spans="62:62" x14ac:dyDescent="0.2">
      <c r="BJ59066" s="201"/>
    </row>
    <row r="59067" spans="62:62" x14ac:dyDescent="0.2">
      <c r="BJ59067" s="201"/>
    </row>
    <row r="59068" spans="62:62" x14ac:dyDescent="0.2">
      <c r="BJ59068" s="201"/>
    </row>
    <row r="59069" spans="62:62" x14ac:dyDescent="0.2">
      <c r="BJ59069" s="201"/>
    </row>
    <row r="59070" spans="62:62" x14ac:dyDescent="0.2">
      <c r="BJ59070" s="201"/>
    </row>
    <row r="59071" spans="62:62" x14ac:dyDescent="0.2">
      <c r="BJ59071" s="201"/>
    </row>
    <row r="59072" spans="62:62" x14ac:dyDescent="0.2">
      <c r="BJ59072" s="201"/>
    </row>
    <row r="59073" spans="62:62" x14ac:dyDescent="0.2">
      <c r="BJ59073" s="201"/>
    </row>
    <row r="59074" spans="62:62" x14ac:dyDescent="0.2">
      <c r="BJ59074" s="201"/>
    </row>
    <row r="59075" spans="62:62" x14ac:dyDescent="0.2">
      <c r="BJ59075" s="201"/>
    </row>
    <row r="59076" spans="62:62" x14ac:dyDescent="0.2">
      <c r="BJ59076" s="201"/>
    </row>
    <row r="59077" spans="62:62" x14ac:dyDescent="0.2">
      <c r="BJ59077" s="201"/>
    </row>
    <row r="59078" spans="62:62" x14ac:dyDescent="0.2">
      <c r="BJ59078" s="201"/>
    </row>
    <row r="59079" spans="62:62" x14ac:dyDescent="0.2">
      <c r="BJ59079" s="201"/>
    </row>
    <row r="59080" spans="62:62" x14ac:dyDescent="0.2">
      <c r="BJ59080" s="201"/>
    </row>
    <row r="59081" spans="62:62" x14ac:dyDescent="0.2">
      <c r="BJ59081" s="201"/>
    </row>
    <row r="59082" spans="62:62" x14ac:dyDescent="0.2">
      <c r="BJ59082" s="201"/>
    </row>
    <row r="59083" spans="62:62" x14ac:dyDescent="0.2">
      <c r="BJ59083" s="201"/>
    </row>
    <row r="59084" spans="62:62" x14ac:dyDescent="0.2">
      <c r="BJ59084" s="201"/>
    </row>
    <row r="59085" spans="62:62" x14ac:dyDescent="0.2">
      <c r="BJ59085" s="201"/>
    </row>
    <row r="59086" spans="62:62" x14ac:dyDescent="0.2">
      <c r="BJ59086" s="201"/>
    </row>
    <row r="59087" spans="62:62" x14ac:dyDescent="0.2">
      <c r="BJ59087" s="201"/>
    </row>
    <row r="59088" spans="62:62" x14ac:dyDescent="0.2">
      <c r="BJ59088" s="201"/>
    </row>
    <row r="59089" spans="62:62" x14ac:dyDescent="0.2">
      <c r="BJ59089" s="201"/>
    </row>
    <row r="59090" spans="62:62" x14ac:dyDescent="0.2">
      <c r="BJ59090" s="201"/>
    </row>
    <row r="59091" spans="62:62" x14ac:dyDescent="0.2">
      <c r="BJ59091" s="201"/>
    </row>
    <row r="59092" spans="62:62" x14ac:dyDescent="0.2">
      <c r="BJ59092" s="201"/>
    </row>
    <row r="59093" spans="62:62" x14ac:dyDescent="0.2">
      <c r="BJ59093" s="201"/>
    </row>
    <row r="59094" spans="62:62" x14ac:dyDescent="0.2">
      <c r="BJ59094" s="201"/>
    </row>
    <row r="59095" spans="62:62" x14ac:dyDescent="0.2">
      <c r="BJ59095" s="201"/>
    </row>
    <row r="59096" spans="62:62" x14ac:dyDescent="0.2">
      <c r="BJ59096" s="201"/>
    </row>
    <row r="59097" spans="62:62" x14ac:dyDescent="0.2">
      <c r="BJ59097" s="201"/>
    </row>
    <row r="59098" spans="62:62" x14ac:dyDescent="0.2">
      <c r="BJ59098" s="201"/>
    </row>
    <row r="59099" spans="62:62" x14ac:dyDescent="0.2">
      <c r="BJ59099" s="201"/>
    </row>
    <row r="59100" spans="62:62" x14ac:dyDescent="0.2">
      <c r="BJ59100" s="201"/>
    </row>
    <row r="59101" spans="62:62" x14ac:dyDescent="0.2">
      <c r="BJ59101" s="201"/>
    </row>
    <row r="59102" spans="62:62" x14ac:dyDescent="0.2">
      <c r="BJ59102" s="201"/>
    </row>
    <row r="59103" spans="62:62" x14ac:dyDescent="0.2">
      <c r="BJ59103" s="201"/>
    </row>
    <row r="59104" spans="62:62" x14ac:dyDescent="0.2">
      <c r="BJ59104" s="201"/>
    </row>
    <row r="59105" spans="62:62" x14ac:dyDescent="0.2">
      <c r="BJ59105" s="201"/>
    </row>
    <row r="59106" spans="62:62" x14ac:dyDescent="0.2">
      <c r="BJ59106" s="201"/>
    </row>
    <row r="59107" spans="62:62" x14ac:dyDescent="0.2">
      <c r="BJ59107" s="201"/>
    </row>
    <row r="59108" spans="62:62" x14ac:dyDescent="0.2">
      <c r="BJ59108" s="201"/>
    </row>
    <row r="59109" spans="62:62" x14ac:dyDescent="0.2">
      <c r="BJ59109" s="201"/>
    </row>
    <row r="59110" spans="62:62" x14ac:dyDescent="0.2">
      <c r="BJ59110" s="201"/>
    </row>
    <row r="59111" spans="62:62" x14ac:dyDescent="0.2">
      <c r="BJ59111" s="201"/>
    </row>
    <row r="59112" spans="62:62" x14ac:dyDescent="0.2">
      <c r="BJ59112" s="201"/>
    </row>
    <row r="59113" spans="62:62" x14ac:dyDescent="0.2">
      <c r="BJ59113" s="201"/>
    </row>
    <row r="59114" spans="62:62" x14ac:dyDescent="0.2">
      <c r="BJ59114" s="201"/>
    </row>
    <row r="59115" spans="62:62" x14ac:dyDescent="0.2">
      <c r="BJ59115" s="201"/>
    </row>
    <row r="59116" spans="62:62" x14ac:dyDescent="0.2">
      <c r="BJ59116" s="201"/>
    </row>
    <row r="59117" spans="62:62" x14ac:dyDescent="0.2">
      <c r="BJ59117" s="201"/>
    </row>
    <row r="59118" spans="62:62" x14ac:dyDescent="0.2">
      <c r="BJ59118" s="201"/>
    </row>
    <row r="59119" spans="62:62" x14ac:dyDescent="0.2">
      <c r="BJ59119" s="201"/>
    </row>
    <row r="59120" spans="62:62" x14ac:dyDescent="0.2">
      <c r="BJ59120" s="201"/>
    </row>
    <row r="59121" spans="62:62" x14ac:dyDescent="0.2">
      <c r="BJ59121" s="201"/>
    </row>
    <row r="59122" spans="62:62" x14ac:dyDescent="0.2">
      <c r="BJ59122" s="201"/>
    </row>
    <row r="59123" spans="62:62" x14ac:dyDescent="0.2">
      <c r="BJ59123" s="201"/>
    </row>
    <row r="59124" spans="62:62" x14ac:dyDescent="0.2">
      <c r="BJ59124" s="201"/>
    </row>
    <row r="59125" spans="62:62" x14ac:dyDescent="0.2">
      <c r="BJ59125" s="201"/>
    </row>
    <row r="59126" spans="62:62" x14ac:dyDescent="0.2">
      <c r="BJ59126" s="201"/>
    </row>
    <row r="59127" spans="62:62" x14ac:dyDescent="0.2">
      <c r="BJ59127" s="201"/>
    </row>
    <row r="59128" spans="62:62" x14ac:dyDescent="0.2">
      <c r="BJ59128" s="201"/>
    </row>
    <row r="59129" spans="62:62" x14ac:dyDescent="0.2">
      <c r="BJ59129" s="201"/>
    </row>
    <row r="59130" spans="62:62" x14ac:dyDescent="0.2">
      <c r="BJ59130" s="201"/>
    </row>
    <row r="59131" spans="62:62" x14ac:dyDescent="0.2">
      <c r="BJ59131" s="201"/>
    </row>
    <row r="59132" spans="62:62" x14ac:dyDescent="0.2">
      <c r="BJ59132" s="201"/>
    </row>
    <row r="59133" spans="62:62" x14ac:dyDescent="0.2">
      <c r="BJ59133" s="201"/>
    </row>
    <row r="59134" spans="62:62" x14ac:dyDescent="0.2">
      <c r="BJ59134" s="201"/>
    </row>
    <row r="59135" spans="62:62" x14ac:dyDescent="0.2">
      <c r="BJ59135" s="201"/>
    </row>
    <row r="59136" spans="62:62" x14ac:dyDescent="0.2">
      <c r="BJ59136" s="201"/>
    </row>
    <row r="59137" spans="62:62" x14ac:dyDescent="0.2">
      <c r="BJ59137" s="201"/>
    </row>
    <row r="59138" spans="62:62" x14ac:dyDescent="0.2">
      <c r="BJ59138" s="201"/>
    </row>
    <row r="59139" spans="62:62" x14ac:dyDescent="0.2">
      <c r="BJ59139" s="201"/>
    </row>
    <row r="59140" spans="62:62" x14ac:dyDescent="0.2">
      <c r="BJ59140" s="201"/>
    </row>
    <row r="59141" spans="62:62" x14ac:dyDescent="0.2">
      <c r="BJ59141" s="201"/>
    </row>
    <row r="59142" spans="62:62" x14ac:dyDescent="0.2">
      <c r="BJ59142" s="201"/>
    </row>
    <row r="59143" spans="62:62" x14ac:dyDescent="0.2">
      <c r="BJ59143" s="201"/>
    </row>
    <row r="59144" spans="62:62" x14ac:dyDescent="0.2">
      <c r="BJ59144" s="201"/>
    </row>
    <row r="59145" spans="62:62" x14ac:dyDescent="0.2">
      <c r="BJ59145" s="201"/>
    </row>
    <row r="59146" spans="62:62" x14ac:dyDescent="0.2">
      <c r="BJ59146" s="201"/>
    </row>
    <row r="59147" spans="62:62" x14ac:dyDescent="0.2">
      <c r="BJ59147" s="201"/>
    </row>
    <row r="59148" spans="62:62" x14ac:dyDescent="0.2">
      <c r="BJ59148" s="201"/>
    </row>
    <row r="59149" spans="62:62" x14ac:dyDescent="0.2">
      <c r="BJ59149" s="201"/>
    </row>
    <row r="59150" spans="62:62" x14ac:dyDescent="0.2">
      <c r="BJ59150" s="201"/>
    </row>
    <row r="59151" spans="62:62" x14ac:dyDescent="0.2">
      <c r="BJ59151" s="201"/>
    </row>
    <row r="59152" spans="62:62" x14ac:dyDescent="0.2">
      <c r="BJ59152" s="201"/>
    </row>
    <row r="59153" spans="62:62" x14ac:dyDescent="0.2">
      <c r="BJ59153" s="201"/>
    </row>
    <row r="59154" spans="62:62" x14ac:dyDescent="0.2">
      <c r="BJ59154" s="201"/>
    </row>
    <row r="59155" spans="62:62" x14ac:dyDescent="0.2">
      <c r="BJ59155" s="201"/>
    </row>
    <row r="59156" spans="62:62" x14ac:dyDescent="0.2">
      <c r="BJ59156" s="201"/>
    </row>
    <row r="59157" spans="62:62" x14ac:dyDescent="0.2">
      <c r="BJ59157" s="201"/>
    </row>
    <row r="59158" spans="62:62" x14ac:dyDescent="0.2">
      <c r="BJ59158" s="201"/>
    </row>
    <row r="59159" spans="62:62" x14ac:dyDescent="0.2">
      <c r="BJ59159" s="201"/>
    </row>
    <row r="59160" spans="62:62" x14ac:dyDescent="0.2">
      <c r="BJ59160" s="201"/>
    </row>
    <row r="59161" spans="62:62" x14ac:dyDescent="0.2">
      <c r="BJ59161" s="201"/>
    </row>
    <row r="59162" spans="62:62" x14ac:dyDescent="0.2">
      <c r="BJ59162" s="201"/>
    </row>
    <row r="59163" spans="62:62" x14ac:dyDescent="0.2">
      <c r="BJ59163" s="201"/>
    </row>
    <row r="59164" spans="62:62" x14ac:dyDescent="0.2">
      <c r="BJ59164" s="201"/>
    </row>
    <row r="59165" spans="62:62" x14ac:dyDescent="0.2">
      <c r="BJ59165" s="201"/>
    </row>
    <row r="59166" spans="62:62" x14ac:dyDescent="0.2">
      <c r="BJ59166" s="201"/>
    </row>
    <row r="59167" spans="62:62" x14ac:dyDescent="0.2">
      <c r="BJ59167" s="201"/>
    </row>
    <row r="59168" spans="62:62" x14ac:dyDescent="0.2">
      <c r="BJ59168" s="201"/>
    </row>
    <row r="59169" spans="62:62" x14ac:dyDescent="0.2">
      <c r="BJ59169" s="201"/>
    </row>
    <row r="59170" spans="62:62" x14ac:dyDescent="0.2">
      <c r="BJ59170" s="201"/>
    </row>
    <row r="59171" spans="62:62" x14ac:dyDescent="0.2">
      <c r="BJ59171" s="201"/>
    </row>
    <row r="59172" spans="62:62" x14ac:dyDescent="0.2">
      <c r="BJ59172" s="201"/>
    </row>
    <row r="59173" spans="62:62" x14ac:dyDescent="0.2">
      <c r="BJ59173" s="201"/>
    </row>
    <row r="59174" spans="62:62" x14ac:dyDescent="0.2">
      <c r="BJ59174" s="201"/>
    </row>
    <row r="59175" spans="62:62" x14ac:dyDescent="0.2">
      <c r="BJ59175" s="201"/>
    </row>
    <row r="59176" spans="62:62" x14ac:dyDescent="0.2">
      <c r="BJ59176" s="201"/>
    </row>
    <row r="59177" spans="62:62" x14ac:dyDescent="0.2">
      <c r="BJ59177" s="201"/>
    </row>
    <row r="59178" spans="62:62" x14ac:dyDescent="0.2">
      <c r="BJ59178" s="201"/>
    </row>
    <row r="59179" spans="62:62" x14ac:dyDescent="0.2">
      <c r="BJ59179" s="201"/>
    </row>
    <row r="59180" spans="62:62" x14ac:dyDescent="0.2">
      <c r="BJ59180" s="201"/>
    </row>
    <row r="59181" spans="62:62" x14ac:dyDescent="0.2">
      <c r="BJ59181" s="201"/>
    </row>
    <row r="59182" spans="62:62" x14ac:dyDescent="0.2">
      <c r="BJ59182" s="201"/>
    </row>
    <row r="59183" spans="62:62" x14ac:dyDescent="0.2">
      <c r="BJ59183" s="201"/>
    </row>
    <row r="59184" spans="62:62" x14ac:dyDescent="0.2">
      <c r="BJ59184" s="201"/>
    </row>
    <row r="59185" spans="62:62" x14ac:dyDescent="0.2">
      <c r="BJ59185" s="201"/>
    </row>
    <row r="59186" spans="62:62" x14ac:dyDescent="0.2">
      <c r="BJ59186" s="201"/>
    </row>
    <row r="59187" spans="62:62" x14ac:dyDescent="0.2">
      <c r="BJ59187" s="201"/>
    </row>
    <row r="59188" spans="62:62" x14ac:dyDescent="0.2">
      <c r="BJ59188" s="201"/>
    </row>
    <row r="59189" spans="62:62" x14ac:dyDescent="0.2">
      <c r="BJ59189" s="201"/>
    </row>
    <row r="59190" spans="62:62" x14ac:dyDescent="0.2">
      <c r="BJ59190" s="201"/>
    </row>
    <row r="59191" spans="62:62" x14ac:dyDescent="0.2">
      <c r="BJ59191" s="201"/>
    </row>
    <row r="59192" spans="62:62" x14ac:dyDescent="0.2">
      <c r="BJ59192" s="201"/>
    </row>
    <row r="59193" spans="62:62" x14ac:dyDescent="0.2">
      <c r="BJ59193" s="201"/>
    </row>
    <row r="59194" spans="62:62" x14ac:dyDescent="0.2">
      <c r="BJ59194" s="201"/>
    </row>
    <row r="59195" spans="62:62" x14ac:dyDescent="0.2">
      <c r="BJ59195" s="201"/>
    </row>
    <row r="59196" spans="62:62" x14ac:dyDescent="0.2">
      <c r="BJ59196" s="201"/>
    </row>
    <row r="59197" spans="62:62" x14ac:dyDescent="0.2">
      <c r="BJ59197" s="201"/>
    </row>
    <row r="59198" spans="62:62" x14ac:dyDescent="0.2">
      <c r="BJ59198" s="201"/>
    </row>
    <row r="59199" spans="62:62" x14ac:dyDescent="0.2">
      <c r="BJ59199" s="201"/>
    </row>
    <row r="59200" spans="62:62" x14ac:dyDescent="0.2">
      <c r="BJ59200" s="201"/>
    </row>
    <row r="59201" spans="62:62" x14ac:dyDescent="0.2">
      <c r="BJ59201" s="201"/>
    </row>
    <row r="59202" spans="62:62" x14ac:dyDescent="0.2">
      <c r="BJ59202" s="201"/>
    </row>
    <row r="59203" spans="62:62" x14ac:dyDescent="0.2">
      <c r="BJ59203" s="201"/>
    </row>
    <row r="59204" spans="62:62" x14ac:dyDescent="0.2">
      <c r="BJ59204" s="201"/>
    </row>
    <row r="59205" spans="62:62" x14ac:dyDescent="0.2">
      <c r="BJ59205" s="201"/>
    </row>
    <row r="59206" spans="62:62" x14ac:dyDescent="0.2">
      <c r="BJ59206" s="201"/>
    </row>
    <row r="59207" spans="62:62" x14ac:dyDescent="0.2">
      <c r="BJ59207" s="201"/>
    </row>
    <row r="59208" spans="62:62" x14ac:dyDescent="0.2">
      <c r="BJ59208" s="201"/>
    </row>
    <row r="59209" spans="62:62" x14ac:dyDescent="0.2">
      <c r="BJ59209" s="201"/>
    </row>
    <row r="59210" spans="62:62" x14ac:dyDescent="0.2">
      <c r="BJ59210" s="201"/>
    </row>
    <row r="59211" spans="62:62" x14ac:dyDescent="0.2">
      <c r="BJ59211" s="201"/>
    </row>
    <row r="59212" spans="62:62" x14ac:dyDescent="0.2">
      <c r="BJ59212" s="201"/>
    </row>
    <row r="59213" spans="62:62" x14ac:dyDescent="0.2">
      <c r="BJ59213" s="201"/>
    </row>
    <row r="59214" spans="62:62" x14ac:dyDescent="0.2">
      <c r="BJ59214" s="201"/>
    </row>
    <row r="59215" spans="62:62" x14ac:dyDescent="0.2">
      <c r="BJ59215" s="201"/>
    </row>
    <row r="59216" spans="62:62" x14ac:dyDescent="0.2">
      <c r="BJ59216" s="201"/>
    </row>
    <row r="59217" spans="62:62" x14ac:dyDescent="0.2">
      <c r="BJ59217" s="201"/>
    </row>
    <row r="59218" spans="62:62" x14ac:dyDescent="0.2">
      <c r="BJ59218" s="201"/>
    </row>
    <row r="59219" spans="62:62" x14ac:dyDescent="0.2">
      <c r="BJ59219" s="201"/>
    </row>
    <row r="59220" spans="62:62" x14ac:dyDescent="0.2">
      <c r="BJ59220" s="201"/>
    </row>
    <row r="59221" spans="62:62" x14ac:dyDescent="0.2">
      <c r="BJ59221" s="201"/>
    </row>
    <row r="59222" spans="62:62" x14ac:dyDescent="0.2">
      <c r="BJ59222" s="201"/>
    </row>
    <row r="59223" spans="62:62" x14ac:dyDescent="0.2">
      <c r="BJ59223" s="201"/>
    </row>
    <row r="59224" spans="62:62" x14ac:dyDescent="0.2">
      <c r="BJ59224" s="201"/>
    </row>
    <row r="59225" spans="62:62" x14ac:dyDescent="0.2">
      <c r="BJ59225" s="201"/>
    </row>
    <row r="59226" spans="62:62" x14ac:dyDescent="0.2">
      <c r="BJ59226" s="201"/>
    </row>
    <row r="59227" spans="62:62" x14ac:dyDescent="0.2">
      <c r="BJ59227" s="201"/>
    </row>
    <row r="59228" spans="62:62" x14ac:dyDescent="0.2">
      <c r="BJ59228" s="201"/>
    </row>
    <row r="59229" spans="62:62" x14ac:dyDescent="0.2">
      <c r="BJ59229" s="201"/>
    </row>
    <row r="59230" spans="62:62" x14ac:dyDescent="0.2">
      <c r="BJ59230" s="201"/>
    </row>
    <row r="59231" spans="62:62" x14ac:dyDescent="0.2">
      <c r="BJ59231" s="201"/>
    </row>
    <row r="59232" spans="62:62" x14ac:dyDescent="0.2">
      <c r="BJ59232" s="201"/>
    </row>
    <row r="59233" spans="62:62" x14ac:dyDescent="0.2">
      <c r="BJ59233" s="201"/>
    </row>
    <row r="59234" spans="62:62" x14ac:dyDescent="0.2">
      <c r="BJ59234" s="201"/>
    </row>
    <row r="59235" spans="62:62" x14ac:dyDescent="0.2">
      <c r="BJ59235" s="201"/>
    </row>
    <row r="59236" spans="62:62" x14ac:dyDescent="0.2">
      <c r="BJ59236" s="201"/>
    </row>
    <row r="59237" spans="62:62" x14ac:dyDescent="0.2">
      <c r="BJ59237" s="201"/>
    </row>
    <row r="59238" spans="62:62" x14ac:dyDescent="0.2">
      <c r="BJ59238" s="201"/>
    </row>
    <row r="59239" spans="62:62" x14ac:dyDescent="0.2">
      <c r="BJ59239" s="201"/>
    </row>
    <row r="59240" spans="62:62" x14ac:dyDescent="0.2">
      <c r="BJ59240" s="201"/>
    </row>
    <row r="59241" spans="62:62" x14ac:dyDescent="0.2">
      <c r="BJ59241" s="201"/>
    </row>
    <row r="59242" spans="62:62" x14ac:dyDescent="0.2">
      <c r="BJ59242" s="201"/>
    </row>
    <row r="59243" spans="62:62" x14ac:dyDescent="0.2">
      <c r="BJ59243" s="201"/>
    </row>
    <row r="59244" spans="62:62" x14ac:dyDescent="0.2">
      <c r="BJ59244" s="201"/>
    </row>
    <row r="59245" spans="62:62" x14ac:dyDescent="0.2">
      <c r="BJ59245" s="201"/>
    </row>
    <row r="59246" spans="62:62" x14ac:dyDescent="0.2">
      <c r="BJ59246" s="201"/>
    </row>
    <row r="59247" spans="62:62" x14ac:dyDescent="0.2">
      <c r="BJ59247" s="201"/>
    </row>
    <row r="59248" spans="62:62" x14ac:dyDescent="0.2">
      <c r="BJ59248" s="201"/>
    </row>
    <row r="59249" spans="62:62" x14ac:dyDescent="0.2">
      <c r="BJ59249" s="201"/>
    </row>
    <row r="59250" spans="62:62" x14ac:dyDescent="0.2">
      <c r="BJ59250" s="201"/>
    </row>
    <row r="59251" spans="62:62" x14ac:dyDescent="0.2">
      <c r="BJ59251" s="201"/>
    </row>
    <row r="59252" spans="62:62" x14ac:dyDescent="0.2">
      <c r="BJ59252" s="201"/>
    </row>
    <row r="59253" spans="62:62" x14ac:dyDescent="0.2">
      <c r="BJ59253" s="201"/>
    </row>
    <row r="59254" spans="62:62" x14ac:dyDescent="0.2">
      <c r="BJ59254" s="201"/>
    </row>
    <row r="59255" spans="62:62" x14ac:dyDescent="0.2">
      <c r="BJ59255" s="201"/>
    </row>
    <row r="59256" spans="62:62" x14ac:dyDescent="0.2">
      <c r="BJ59256" s="201"/>
    </row>
    <row r="59257" spans="62:62" x14ac:dyDescent="0.2">
      <c r="BJ59257" s="201"/>
    </row>
    <row r="59258" spans="62:62" x14ac:dyDescent="0.2">
      <c r="BJ59258" s="201"/>
    </row>
    <row r="59259" spans="62:62" x14ac:dyDescent="0.2">
      <c r="BJ59259" s="201"/>
    </row>
    <row r="59260" spans="62:62" x14ac:dyDescent="0.2">
      <c r="BJ59260" s="201"/>
    </row>
    <row r="59261" spans="62:62" x14ac:dyDescent="0.2">
      <c r="BJ59261" s="201"/>
    </row>
    <row r="59262" spans="62:62" x14ac:dyDescent="0.2">
      <c r="BJ59262" s="201"/>
    </row>
    <row r="59263" spans="62:62" x14ac:dyDescent="0.2">
      <c r="BJ59263" s="201"/>
    </row>
    <row r="59264" spans="62:62" x14ac:dyDescent="0.2">
      <c r="BJ59264" s="201"/>
    </row>
    <row r="59265" spans="62:62" x14ac:dyDescent="0.2">
      <c r="BJ59265" s="201"/>
    </row>
    <row r="59266" spans="62:62" x14ac:dyDescent="0.2">
      <c r="BJ59266" s="201"/>
    </row>
    <row r="59267" spans="62:62" x14ac:dyDescent="0.2">
      <c r="BJ59267" s="201"/>
    </row>
    <row r="59268" spans="62:62" x14ac:dyDescent="0.2">
      <c r="BJ59268" s="201"/>
    </row>
    <row r="59269" spans="62:62" x14ac:dyDescent="0.2">
      <c r="BJ59269" s="201"/>
    </row>
    <row r="59270" spans="62:62" x14ac:dyDescent="0.2">
      <c r="BJ59270" s="201"/>
    </row>
    <row r="59271" spans="62:62" x14ac:dyDescent="0.2">
      <c r="BJ59271" s="201"/>
    </row>
    <row r="59272" spans="62:62" x14ac:dyDescent="0.2">
      <c r="BJ59272" s="201"/>
    </row>
    <row r="59273" spans="62:62" x14ac:dyDescent="0.2">
      <c r="BJ59273" s="201"/>
    </row>
    <row r="59274" spans="62:62" x14ac:dyDescent="0.2">
      <c r="BJ59274" s="201"/>
    </row>
    <row r="59275" spans="62:62" x14ac:dyDescent="0.2">
      <c r="BJ59275" s="201"/>
    </row>
    <row r="59276" spans="62:62" x14ac:dyDescent="0.2">
      <c r="BJ59276" s="201"/>
    </row>
    <row r="59277" spans="62:62" x14ac:dyDescent="0.2">
      <c r="BJ59277" s="201"/>
    </row>
    <row r="59278" spans="62:62" x14ac:dyDescent="0.2">
      <c r="BJ59278" s="201"/>
    </row>
    <row r="59279" spans="62:62" x14ac:dyDescent="0.2">
      <c r="BJ59279" s="201"/>
    </row>
    <row r="59280" spans="62:62" x14ac:dyDescent="0.2">
      <c r="BJ59280" s="201"/>
    </row>
    <row r="59281" spans="62:62" x14ac:dyDescent="0.2">
      <c r="BJ59281" s="201"/>
    </row>
    <row r="59282" spans="62:62" x14ac:dyDescent="0.2">
      <c r="BJ59282" s="201"/>
    </row>
    <row r="59283" spans="62:62" x14ac:dyDescent="0.2">
      <c r="BJ59283" s="201"/>
    </row>
    <row r="59284" spans="62:62" x14ac:dyDescent="0.2">
      <c r="BJ59284" s="201"/>
    </row>
    <row r="59285" spans="62:62" x14ac:dyDescent="0.2">
      <c r="BJ59285" s="201"/>
    </row>
    <row r="59286" spans="62:62" x14ac:dyDescent="0.2">
      <c r="BJ59286" s="201"/>
    </row>
    <row r="59287" spans="62:62" x14ac:dyDescent="0.2">
      <c r="BJ59287" s="201"/>
    </row>
    <row r="59288" spans="62:62" x14ac:dyDescent="0.2">
      <c r="BJ59288" s="201"/>
    </row>
    <row r="59289" spans="62:62" x14ac:dyDescent="0.2">
      <c r="BJ59289" s="201"/>
    </row>
    <row r="59290" spans="62:62" x14ac:dyDescent="0.2">
      <c r="BJ59290" s="201"/>
    </row>
    <row r="59291" spans="62:62" x14ac:dyDescent="0.2">
      <c r="BJ59291" s="201"/>
    </row>
    <row r="59292" spans="62:62" x14ac:dyDescent="0.2">
      <c r="BJ59292" s="201"/>
    </row>
    <row r="59293" spans="62:62" x14ac:dyDescent="0.2">
      <c r="BJ59293" s="201"/>
    </row>
    <row r="59294" spans="62:62" x14ac:dyDescent="0.2">
      <c r="BJ59294" s="201"/>
    </row>
    <row r="59295" spans="62:62" x14ac:dyDescent="0.2">
      <c r="BJ59295" s="201"/>
    </row>
    <row r="59296" spans="62:62" x14ac:dyDescent="0.2">
      <c r="BJ59296" s="201"/>
    </row>
    <row r="59297" spans="62:62" x14ac:dyDescent="0.2">
      <c r="BJ59297" s="201"/>
    </row>
    <row r="59298" spans="62:62" x14ac:dyDescent="0.2">
      <c r="BJ59298" s="201"/>
    </row>
    <row r="59299" spans="62:62" x14ac:dyDescent="0.2">
      <c r="BJ59299" s="201"/>
    </row>
    <row r="59300" spans="62:62" x14ac:dyDescent="0.2">
      <c r="BJ59300" s="201"/>
    </row>
    <row r="59301" spans="62:62" x14ac:dyDescent="0.2">
      <c r="BJ59301" s="201"/>
    </row>
    <row r="59302" spans="62:62" x14ac:dyDescent="0.2">
      <c r="BJ59302" s="201"/>
    </row>
    <row r="59303" spans="62:62" x14ac:dyDescent="0.2">
      <c r="BJ59303" s="201"/>
    </row>
    <row r="59304" spans="62:62" x14ac:dyDescent="0.2">
      <c r="BJ59304" s="201"/>
    </row>
    <row r="59305" spans="62:62" x14ac:dyDescent="0.2">
      <c r="BJ59305" s="201"/>
    </row>
    <row r="59306" spans="62:62" x14ac:dyDescent="0.2">
      <c r="BJ59306" s="201"/>
    </row>
    <row r="59307" spans="62:62" x14ac:dyDescent="0.2">
      <c r="BJ59307" s="201"/>
    </row>
    <row r="59308" spans="62:62" x14ac:dyDescent="0.2">
      <c r="BJ59308" s="201"/>
    </row>
    <row r="59309" spans="62:62" x14ac:dyDescent="0.2">
      <c r="BJ59309" s="201"/>
    </row>
    <row r="59310" spans="62:62" x14ac:dyDescent="0.2">
      <c r="BJ59310" s="201"/>
    </row>
    <row r="59311" spans="62:62" x14ac:dyDescent="0.2">
      <c r="BJ59311" s="201"/>
    </row>
    <row r="59312" spans="62:62" x14ac:dyDescent="0.2">
      <c r="BJ59312" s="201"/>
    </row>
    <row r="59313" spans="62:62" x14ac:dyDescent="0.2">
      <c r="BJ59313" s="201"/>
    </row>
    <row r="59314" spans="62:62" x14ac:dyDescent="0.2">
      <c r="BJ59314" s="201"/>
    </row>
    <row r="59315" spans="62:62" x14ac:dyDescent="0.2">
      <c r="BJ59315" s="201"/>
    </row>
    <row r="59316" spans="62:62" x14ac:dyDescent="0.2">
      <c r="BJ59316" s="201"/>
    </row>
    <row r="59317" spans="62:62" x14ac:dyDescent="0.2">
      <c r="BJ59317" s="201"/>
    </row>
    <row r="59318" spans="62:62" x14ac:dyDescent="0.2">
      <c r="BJ59318" s="201"/>
    </row>
    <row r="59319" spans="62:62" x14ac:dyDescent="0.2">
      <c r="BJ59319" s="201"/>
    </row>
    <row r="59320" spans="62:62" x14ac:dyDescent="0.2">
      <c r="BJ59320" s="201"/>
    </row>
    <row r="59321" spans="62:62" x14ac:dyDescent="0.2">
      <c r="BJ59321" s="201"/>
    </row>
    <row r="59322" spans="62:62" x14ac:dyDescent="0.2">
      <c r="BJ59322" s="201"/>
    </row>
    <row r="59323" spans="62:62" x14ac:dyDescent="0.2">
      <c r="BJ59323" s="201"/>
    </row>
    <row r="59324" spans="62:62" x14ac:dyDescent="0.2">
      <c r="BJ59324" s="201"/>
    </row>
    <row r="59325" spans="62:62" x14ac:dyDescent="0.2">
      <c r="BJ59325" s="201"/>
    </row>
    <row r="59326" spans="62:62" x14ac:dyDescent="0.2">
      <c r="BJ59326" s="201"/>
    </row>
    <row r="59327" spans="62:62" x14ac:dyDescent="0.2">
      <c r="BJ59327" s="201"/>
    </row>
    <row r="59328" spans="62:62" x14ac:dyDescent="0.2">
      <c r="BJ59328" s="201"/>
    </row>
    <row r="59329" spans="62:62" x14ac:dyDescent="0.2">
      <c r="BJ59329" s="201"/>
    </row>
    <row r="59330" spans="62:62" x14ac:dyDescent="0.2">
      <c r="BJ59330" s="201"/>
    </row>
    <row r="59331" spans="62:62" x14ac:dyDescent="0.2">
      <c r="BJ59331" s="201"/>
    </row>
    <row r="59332" spans="62:62" x14ac:dyDescent="0.2">
      <c r="BJ59332" s="201"/>
    </row>
    <row r="59333" spans="62:62" x14ac:dyDescent="0.2">
      <c r="BJ59333" s="201"/>
    </row>
    <row r="59334" spans="62:62" x14ac:dyDescent="0.2">
      <c r="BJ59334" s="201"/>
    </row>
    <row r="59335" spans="62:62" x14ac:dyDescent="0.2">
      <c r="BJ59335" s="201"/>
    </row>
    <row r="59336" spans="62:62" x14ac:dyDescent="0.2">
      <c r="BJ59336" s="201"/>
    </row>
    <row r="59337" spans="62:62" x14ac:dyDescent="0.2">
      <c r="BJ59337" s="201"/>
    </row>
    <row r="59338" spans="62:62" x14ac:dyDescent="0.2">
      <c r="BJ59338" s="201"/>
    </row>
    <row r="59339" spans="62:62" x14ac:dyDescent="0.2">
      <c r="BJ59339" s="201"/>
    </row>
    <row r="59340" spans="62:62" x14ac:dyDescent="0.2">
      <c r="BJ59340" s="201"/>
    </row>
    <row r="59341" spans="62:62" x14ac:dyDescent="0.2">
      <c r="BJ59341" s="201"/>
    </row>
    <row r="59342" spans="62:62" x14ac:dyDescent="0.2">
      <c r="BJ59342" s="201"/>
    </row>
    <row r="59343" spans="62:62" x14ac:dyDescent="0.2">
      <c r="BJ59343" s="201"/>
    </row>
    <row r="59344" spans="62:62" x14ac:dyDescent="0.2">
      <c r="BJ59344" s="201"/>
    </row>
    <row r="59345" spans="62:62" x14ac:dyDescent="0.2">
      <c r="BJ59345" s="201"/>
    </row>
    <row r="59346" spans="62:62" x14ac:dyDescent="0.2">
      <c r="BJ59346" s="201"/>
    </row>
    <row r="59347" spans="62:62" x14ac:dyDescent="0.2">
      <c r="BJ59347" s="201"/>
    </row>
    <row r="59348" spans="62:62" x14ac:dyDescent="0.2">
      <c r="BJ59348" s="201"/>
    </row>
    <row r="59349" spans="62:62" x14ac:dyDescent="0.2">
      <c r="BJ59349" s="201"/>
    </row>
    <row r="59350" spans="62:62" x14ac:dyDescent="0.2">
      <c r="BJ59350" s="201"/>
    </row>
    <row r="59351" spans="62:62" x14ac:dyDescent="0.2">
      <c r="BJ59351" s="201"/>
    </row>
    <row r="59352" spans="62:62" x14ac:dyDescent="0.2">
      <c r="BJ59352" s="201"/>
    </row>
    <row r="59353" spans="62:62" x14ac:dyDescent="0.2">
      <c r="BJ59353" s="201"/>
    </row>
    <row r="59354" spans="62:62" x14ac:dyDescent="0.2">
      <c r="BJ59354" s="201"/>
    </row>
    <row r="59355" spans="62:62" x14ac:dyDescent="0.2">
      <c r="BJ59355" s="201"/>
    </row>
    <row r="59356" spans="62:62" x14ac:dyDescent="0.2">
      <c r="BJ59356" s="201"/>
    </row>
    <row r="59357" spans="62:62" x14ac:dyDescent="0.2">
      <c r="BJ59357" s="201"/>
    </row>
    <row r="59358" spans="62:62" x14ac:dyDescent="0.2">
      <c r="BJ59358" s="201"/>
    </row>
    <row r="59359" spans="62:62" x14ac:dyDescent="0.2">
      <c r="BJ59359" s="201"/>
    </row>
    <row r="59360" spans="62:62" x14ac:dyDescent="0.2">
      <c r="BJ59360" s="201"/>
    </row>
    <row r="59361" spans="62:62" x14ac:dyDescent="0.2">
      <c r="BJ59361" s="201"/>
    </row>
    <row r="59362" spans="62:62" x14ac:dyDescent="0.2">
      <c r="BJ59362" s="201"/>
    </row>
    <row r="59363" spans="62:62" x14ac:dyDescent="0.2">
      <c r="BJ59363" s="201"/>
    </row>
    <row r="59364" spans="62:62" x14ac:dyDescent="0.2">
      <c r="BJ59364" s="201"/>
    </row>
    <row r="59365" spans="62:62" x14ac:dyDescent="0.2">
      <c r="BJ59365" s="201"/>
    </row>
    <row r="59366" spans="62:62" x14ac:dyDescent="0.2">
      <c r="BJ59366" s="201"/>
    </row>
    <row r="59367" spans="62:62" x14ac:dyDescent="0.2">
      <c r="BJ59367" s="201"/>
    </row>
    <row r="59368" spans="62:62" x14ac:dyDescent="0.2">
      <c r="BJ59368" s="201"/>
    </row>
    <row r="59369" spans="62:62" x14ac:dyDescent="0.2">
      <c r="BJ59369" s="201"/>
    </row>
    <row r="59370" spans="62:62" x14ac:dyDescent="0.2">
      <c r="BJ59370" s="201"/>
    </row>
    <row r="59371" spans="62:62" x14ac:dyDescent="0.2">
      <c r="BJ59371" s="201"/>
    </row>
    <row r="59372" spans="62:62" x14ac:dyDescent="0.2">
      <c r="BJ59372" s="201"/>
    </row>
    <row r="59373" spans="62:62" x14ac:dyDescent="0.2">
      <c r="BJ59373" s="201"/>
    </row>
    <row r="59374" spans="62:62" x14ac:dyDescent="0.2">
      <c r="BJ59374" s="201"/>
    </row>
    <row r="59375" spans="62:62" x14ac:dyDescent="0.2">
      <c r="BJ59375" s="201"/>
    </row>
    <row r="59376" spans="62:62" x14ac:dyDescent="0.2">
      <c r="BJ59376" s="201"/>
    </row>
    <row r="59377" spans="62:62" x14ac:dyDescent="0.2">
      <c r="BJ59377" s="201"/>
    </row>
    <row r="59378" spans="62:62" x14ac:dyDescent="0.2">
      <c r="BJ59378" s="201"/>
    </row>
    <row r="59379" spans="62:62" x14ac:dyDescent="0.2">
      <c r="BJ59379" s="201"/>
    </row>
    <row r="59380" spans="62:62" x14ac:dyDescent="0.2">
      <c r="BJ59380" s="201"/>
    </row>
    <row r="59381" spans="62:62" x14ac:dyDescent="0.2">
      <c r="BJ59381" s="201"/>
    </row>
    <row r="59382" spans="62:62" x14ac:dyDescent="0.2">
      <c r="BJ59382" s="201"/>
    </row>
    <row r="59383" spans="62:62" x14ac:dyDescent="0.2">
      <c r="BJ59383" s="201"/>
    </row>
    <row r="59384" spans="62:62" x14ac:dyDescent="0.2">
      <c r="BJ59384" s="201"/>
    </row>
    <row r="59385" spans="62:62" x14ac:dyDescent="0.2">
      <c r="BJ59385" s="201"/>
    </row>
    <row r="59386" spans="62:62" x14ac:dyDescent="0.2">
      <c r="BJ59386" s="201"/>
    </row>
    <row r="59387" spans="62:62" x14ac:dyDescent="0.2">
      <c r="BJ59387" s="201"/>
    </row>
    <row r="59388" spans="62:62" x14ac:dyDescent="0.2">
      <c r="BJ59388" s="201"/>
    </row>
    <row r="59389" spans="62:62" x14ac:dyDescent="0.2">
      <c r="BJ59389" s="201"/>
    </row>
    <row r="59390" spans="62:62" x14ac:dyDescent="0.2">
      <c r="BJ59390" s="201"/>
    </row>
    <row r="59391" spans="62:62" x14ac:dyDescent="0.2">
      <c r="BJ59391" s="201"/>
    </row>
    <row r="59392" spans="62:62" x14ac:dyDescent="0.2">
      <c r="BJ59392" s="201"/>
    </row>
    <row r="59393" spans="62:62" x14ac:dyDescent="0.2">
      <c r="BJ59393" s="201"/>
    </row>
    <row r="59394" spans="62:62" x14ac:dyDescent="0.2">
      <c r="BJ59394" s="201"/>
    </row>
    <row r="59395" spans="62:62" x14ac:dyDescent="0.2">
      <c r="BJ59395" s="201"/>
    </row>
    <row r="59396" spans="62:62" x14ac:dyDescent="0.2">
      <c r="BJ59396" s="201"/>
    </row>
    <row r="59397" spans="62:62" x14ac:dyDescent="0.2">
      <c r="BJ59397" s="201"/>
    </row>
    <row r="59398" spans="62:62" x14ac:dyDescent="0.2">
      <c r="BJ59398" s="201"/>
    </row>
    <row r="59399" spans="62:62" x14ac:dyDescent="0.2">
      <c r="BJ59399" s="201"/>
    </row>
    <row r="59400" spans="62:62" x14ac:dyDescent="0.2">
      <c r="BJ59400" s="201"/>
    </row>
    <row r="59401" spans="62:62" x14ac:dyDescent="0.2">
      <c r="BJ59401" s="201"/>
    </row>
    <row r="59402" spans="62:62" x14ac:dyDescent="0.2">
      <c r="BJ59402" s="201"/>
    </row>
    <row r="59403" spans="62:62" x14ac:dyDescent="0.2">
      <c r="BJ59403" s="201"/>
    </row>
    <row r="59404" spans="62:62" x14ac:dyDescent="0.2">
      <c r="BJ59404" s="201"/>
    </row>
    <row r="59405" spans="62:62" x14ac:dyDescent="0.2">
      <c r="BJ59405" s="201"/>
    </row>
    <row r="59406" spans="62:62" x14ac:dyDescent="0.2">
      <c r="BJ59406" s="201"/>
    </row>
    <row r="59407" spans="62:62" x14ac:dyDescent="0.2">
      <c r="BJ59407" s="201"/>
    </row>
    <row r="59408" spans="62:62" x14ac:dyDescent="0.2">
      <c r="BJ59408" s="201"/>
    </row>
    <row r="59409" spans="62:62" x14ac:dyDescent="0.2">
      <c r="BJ59409" s="201"/>
    </row>
    <row r="59410" spans="62:62" x14ac:dyDescent="0.2">
      <c r="BJ59410" s="201"/>
    </row>
    <row r="59411" spans="62:62" x14ac:dyDescent="0.2">
      <c r="BJ59411" s="201"/>
    </row>
    <row r="59412" spans="62:62" x14ac:dyDescent="0.2">
      <c r="BJ59412" s="201"/>
    </row>
    <row r="59413" spans="62:62" x14ac:dyDescent="0.2">
      <c r="BJ59413" s="201"/>
    </row>
    <row r="59414" spans="62:62" x14ac:dyDescent="0.2">
      <c r="BJ59414" s="201"/>
    </row>
    <row r="59415" spans="62:62" x14ac:dyDescent="0.2">
      <c r="BJ59415" s="201"/>
    </row>
    <row r="59416" spans="62:62" x14ac:dyDescent="0.2">
      <c r="BJ59416" s="201"/>
    </row>
    <row r="59417" spans="62:62" x14ac:dyDescent="0.2">
      <c r="BJ59417" s="201"/>
    </row>
    <row r="59418" spans="62:62" x14ac:dyDescent="0.2">
      <c r="BJ59418" s="201"/>
    </row>
    <row r="59419" spans="62:62" x14ac:dyDescent="0.2">
      <c r="BJ59419" s="201"/>
    </row>
    <row r="59420" spans="62:62" x14ac:dyDescent="0.2">
      <c r="BJ59420" s="201"/>
    </row>
    <row r="59421" spans="62:62" x14ac:dyDescent="0.2">
      <c r="BJ59421" s="201"/>
    </row>
    <row r="59422" spans="62:62" x14ac:dyDescent="0.2">
      <c r="BJ59422" s="201"/>
    </row>
    <row r="59423" spans="62:62" x14ac:dyDescent="0.2">
      <c r="BJ59423" s="201"/>
    </row>
    <row r="59424" spans="62:62" x14ac:dyDescent="0.2">
      <c r="BJ59424" s="201"/>
    </row>
    <row r="59425" spans="62:62" x14ac:dyDescent="0.2">
      <c r="BJ59425" s="201"/>
    </row>
    <row r="59426" spans="62:62" x14ac:dyDescent="0.2">
      <c r="BJ59426" s="201"/>
    </row>
    <row r="59427" spans="62:62" x14ac:dyDescent="0.2">
      <c r="BJ59427" s="201"/>
    </row>
    <row r="59428" spans="62:62" x14ac:dyDescent="0.2">
      <c r="BJ59428" s="201"/>
    </row>
    <row r="59429" spans="62:62" x14ac:dyDescent="0.2">
      <c r="BJ59429" s="201"/>
    </row>
    <row r="59430" spans="62:62" x14ac:dyDescent="0.2">
      <c r="BJ59430" s="201"/>
    </row>
    <row r="59431" spans="62:62" x14ac:dyDescent="0.2">
      <c r="BJ59431" s="201"/>
    </row>
    <row r="59432" spans="62:62" x14ac:dyDescent="0.2">
      <c r="BJ59432" s="201"/>
    </row>
    <row r="59433" spans="62:62" x14ac:dyDescent="0.2">
      <c r="BJ59433" s="201"/>
    </row>
    <row r="59434" spans="62:62" x14ac:dyDescent="0.2">
      <c r="BJ59434" s="201"/>
    </row>
    <row r="59435" spans="62:62" x14ac:dyDescent="0.2">
      <c r="BJ59435" s="201"/>
    </row>
    <row r="59436" spans="62:62" x14ac:dyDescent="0.2">
      <c r="BJ59436" s="201"/>
    </row>
    <row r="59437" spans="62:62" x14ac:dyDescent="0.2">
      <c r="BJ59437" s="201"/>
    </row>
    <row r="59438" spans="62:62" x14ac:dyDescent="0.2">
      <c r="BJ59438" s="201"/>
    </row>
    <row r="59439" spans="62:62" x14ac:dyDescent="0.2">
      <c r="BJ59439" s="201"/>
    </row>
    <row r="59440" spans="62:62" x14ac:dyDescent="0.2">
      <c r="BJ59440" s="201"/>
    </row>
    <row r="59441" spans="62:62" x14ac:dyDescent="0.2">
      <c r="BJ59441" s="201"/>
    </row>
    <row r="59442" spans="62:62" x14ac:dyDescent="0.2">
      <c r="BJ59442" s="201"/>
    </row>
    <row r="59443" spans="62:62" x14ac:dyDescent="0.2">
      <c r="BJ59443" s="201"/>
    </row>
    <row r="59444" spans="62:62" x14ac:dyDescent="0.2">
      <c r="BJ59444" s="201"/>
    </row>
    <row r="59445" spans="62:62" x14ac:dyDescent="0.2">
      <c r="BJ59445" s="201"/>
    </row>
    <row r="59446" spans="62:62" x14ac:dyDescent="0.2">
      <c r="BJ59446" s="201"/>
    </row>
    <row r="59447" spans="62:62" x14ac:dyDescent="0.2">
      <c r="BJ59447" s="201"/>
    </row>
    <row r="59448" spans="62:62" x14ac:dyDescent="0.2">
      <c r="BJ59448" s="201"/>
    </row>
    <row r="59449" spans="62:62" x14ac:dyDescent="0.2">
      <c r="BJ59449" s="201"/>
    </row>
    <row r="59450" spans="62:62" x14ac:dyDescent="0.2">
      <c r="BJ59450" s="201"/>
    </row>
    <row r="59451" spans="62:62" x14ac:dyDescent="0.2">
      <c r="BJ59451" s="201"/>
    </row>
    <row r="59452" spans="62:62" x14ac:dyDescent="0.2">
      <c r="BJ59452" s="201"/>
    </row>
    <row r="59453" spans="62:62" x14ac:dyDescent="0.2">
      <c r="BJ59453" s="201"/>
    </row>
    <row r="59454" spans="62:62" x14ac:dyDescent="0.2">
      <c r="BJ59454" s="201"/>
    </row>
    <row r="59455" spans="62:62" x14ac:dyDescent="0.2">
      <c r="BJ59455" s="201"/>
    </row>
    <row r="59456" spans="62:62" x14ac:dyDescent="0.2">
      <c r="BJ59456" s="201"/>
    </row>
    <row r="59457" spans="62:62" x14ac:dyDescent="0.2">
      <c r="BJ59457" s="201"/>
    </row>
    <row r="59458" spans="62:62" x14ac:dyDescent="0.2">
      <c r="BJ59458" s="201"/>
    </row>
    <row r="59459" spans="62:62" x14ac:dyDescent="0.2">
      <c r="BJ59459" s="201"/>
    </row>
    <row r="59460" spans="62:62" x14ac:dyDescent="0.2">
      <c r="BJ59460" s="201"/>
    </row>
    <row r="59461" spans="62:62" x14ac:dyDescent="0.2">
      <c r="BJ59461" s="201"/>
    </row>
    <row r="59462" spans="62:62" x14ac:dyDescent="0.2">
      <c r="BJ59462" s="201"/>
    </row>
    <row r="59463" spans="62:62" x14ac:dyDescent="0.2">
      <c r="BJ59463" s="201"/>
    </row>
    <row r="59464" spans="62:62" x14ac:dyDescent="0.2">
      <c r="BJ59464" s="201"/>
    </row>
    <row r="59465" spans="62:62" x14ac:dyDescent="0.2">
      <c r="BJ59465" s="201"/>
    </row>
    <row r="59466" spans="62:62" x14ac:dyDescent="0.2">
      <c r="BJ59466" s="201"/>
    </row>
    <row r="59467" spans="62:62" x14ac:dyDescent="0.2">
      <c r="BJ59467" s="201"/>
    </row>
    <row r="59468" spans="62:62" x14ac:dyDescent="0.2">
      <c r="BJ59468" s="201"/>
    </row>
    <row r="59469" spans="62:62" x14ac:dyDescent="0.2">
      <c r="BJ59469" s="201"/>
    </row>
    <row r="59470" spans="62:62" x14ac:dyDescent="0.2">
      <c r="BJ59470" s="201"/>
    </row>
    <row r="59471" spans="62:62" x14ac:dyDescent="0.2">
      <c r="BJ59471" s="201"/>
    </row>
    <row r="59472" spans="62:62" x14ac:dyDescent="0.2">
      <c r="BJ59472" s="201"/>
    </row>
    <row r="59473" spans="62:62" x14ac:dyDescent="0.2">
      <c r="BJ59473" s="201"/>
    </row>
    <row r="59474" spans="62:62" x14ac:dyDescent="0.2">
      <c r="BJ59474" s="201"/>
    </row>
    <row r="59475" spans="62:62" x14ac:dyDescent="0.2">
      <c r="BJ59475" s="201"/>
    </row>
    <row r="59476" spans="62:62" x14ac:dyDescent="0.2">
      <c r="BJ59476" s="201"/>
    </row>
    <row r="59477" spans="62:62" x14ac:dyDescent="0.2">
      <c r="BJ59477" s="201"/>
    </row>
    <row r="59478" spans="62:62" x14ac:dyDescent="0.2">
      <c r="BJ59478" s="201"/>
    </row>
    <row r="59479" spans="62:62" x14ac:dyDescent="0.2">
      <c r="BJ59479" s="201"/>
    </row>
    <row r="59480" spans="62:62" x14ac:dyDescent="0.2">
      <c r="BJ59480" s="201"/>
    </row>
    <row r="59481" spans="62:62" x14ac:dyDescent="0.2">
      <c r="BJ59481" s="201"/>
    </row>
    <row r="59482" spans="62:62" x14ac:dyDescent="0.2">
      <c r="BJ59482" s="201"/>
    </row>
    <row r="59483" spans="62:62" x14ac:dyDescent="0.2">
      <c r="BJ59483" s="201"/>
    </row>
    <row r="59484" spans="62:62" x14ac:dyDescent="0.2">
      <c r="BJ59484" s="201"/>
    </row>
    <row r="59485" spans="62:62" x14ac:dyDescent="0.2">
      <c r="BJ59485" s="201"/>
    </row>
    <row r="59486" spans="62:62" x14ac:dyDescent="0.2">
      <c r="BJ59486" s="201"/>
    </row>
    <row r="59487" spans="62:62" x14ac:dyDescent="0.2">
      <c r="BJ59487" s="201"/>
    </row>
    <row r="59488" spans="62:62" x14ac:dyDescent="0.2">
      <c r="BJ59488" s="201"/>
    </row>
    <row r="59489" spans="62:62" x14ac:dyDescent="0.2">
      <c r="BJ59489" s="201"/>
    </row>
    <row r="59490" spans="62:62" x14ac:dyDescent="0.2">
      <c r="BJ59490" s="201"/>
    </row>
    <row r="59491" spans="62:62" x14ac:dyDescent="0.2">
      <c r="BJ59491" s="201"/>
    </row>
    <row r="59492" spans="62:62" x14ac:dyDescent="0.2">
      <c r="BJ59492" s="201"/>
    </row>
    <row r="59493" spans="62:62" x14ac:dyDescent="0.2">
      <c r="BJ59493" s="201"/>
    </row>
    <row r="59494" spans="62:62" x14ac:dyDescent="0.2">
      <c r="BJ59494" s="201"/>
    </row>
    <row r="59495" spans="62:62" x14ac:dyDescent="0.2">
      <c r="BJ59495" s="201"/>
    </row>
    <row r="59496" spans="62:62" x14ac:dyDescent="0.2">
      <c r="BJ59496" s="201"/>
    </row>
    <row r="59497" spans="62:62" x14ac:dyDescent="0.2">
      <c r="BJ59497" s="201"/>
    </row>
    <row r="59498" spans="62:62" x14ac:dyDescent="0.2">
      <c r="BJ59498" s="201"/>
    </row>
    <row r="59499" spans="62:62" x14ac:dyDescent="0.2">
      <c r="BJ59499" s="201"/>
    </row>
    <row r="59500" spans="62:62" x14ac:dyDescent="0.2">
      <c r="BJ59500" s="201"/>
    </row>
    <row r="59501" spans="62:62" x14ac:dyDescent="0.2">
      <c r="BJ59501" s="201"/>
    </row>
    <row r="59502" spans="62:62" x14ac:dyDescent="0.2">
      <c r="BJ59502" s="201"/>
    </row>
    <row r="59503" spans="62:62" x14ac:dyDescent="0.2">
      <c r="BJ59503" s="201"/>
    </row>
    <row r="59504" spans="62:62" x14ac:dyDescent="0.2">
      <c r="BJ59504" s="201"/>
    </row>
    <row r="59505" spans="62:62" x14ac:dyDescent="0.2">
      <c r="BJ59505" s="201"/>
    </row>
    <row r="59506" spans="62:62" x14ac:dyDescent="0.2">
      <c r="BJ59506" s="201"/>
    </row>
    <row r="59507" spans="62:62" x14ac:dyDescent="0.2">
      <c r="BJ59507" s="201"/>
    </row>
    <row r="59508" spans="62:62" x14ac:dyDescent="0.2">
      <c r="BJ59508" s="201"/>
    </row>
    <row r="59509" spans="62:62" x14ac:dyDescent="0.2">
      <c r="BJ59509" s="201"/>
    </row>
    <row r="59510" spans="62:62" x14ac:dyDescent="0.2">
      <c r="BJ59510" s="201"/>
    </row>
    <row r="59511" spans="62:62" x14ac:dyDescent="0.2">
      <c r="BJ59511" s="201"/>
    </row>
    <row r="59512" spans="62:62" x14ac:dyDescent="0.2">
      <c r="BJ59512" s="201"/>
    </row>
    <row r="59513" spans="62:62" x14ac:dyDescent="0.2">
      <c r="BJ59513" s="201"/>
    </row>
    <row r="59514" spans="62:62" x14ac:dyDescent="0.2">
      <c r="BJ59514" s="201"/>
    </row>
    <row r="59515" spans="62:62" x14ac:dyDescent="0.2">
      <c r="BJ59515" s="201"/>
    </row>
    <row r="59516" spans="62:62" x14ac:dyDescent="0.2">
      <c r="BJ59516" s="201"/>
    </row>
    <row r="59517" spans="62:62" x14ac:dyDescent="0.2">
      <c r="BJ59517" s="201"/>
    </row>
    <row r="59518" spans="62:62" x14ac:dyDescent="0.2">
      <c r="BJ59518" s="201"/>
    </row>
    <row r="59519" spans="62:62" x14ac:dyDescent="0.2">
      <c r="BJ59519" s="201"/>
    </row>
    <row r="59520" spans="62:62" x14ac:dyDescent="0.2">
      <c r="BJ59520" s="201"/>
    </row>
    <row r="59521" spans="62:62" x14ac:dyDescent="0.2">
      <c r="BJ59521" s="201"/>
    </row>
    <row r="59522" spans="62:62" x14ac:dyDescent="0.2">
      <c r="BJ59522" s="201"/>
    </row>
    <row r="59523" spans="62:62" x14ac:dyDescent="0.2">
      <c r="BJ59523" s="201"/>
    </row>
    <row r="59524" spans="62:62" x14ac:dyDescent="0.2">
      <c r="BJ59524" s="201"/>
    </row>
    <row r="59525" spans="62:62" x14ac:dyDescent="0.2">
      <c r="BJ59525" s="201"/>
    </row>
    <row r="59526" spans="62:62" x14ac:dyDescent="0.2">
      <c r="BJ59526" s="201"/>
    </row>
    <row r="59527" spans="62:62" x14ac:dyDescent="0.2">
      <c r="BJ59527" s="201"/>
    </row>
    <row r="59528" spans="62:62" x14ac:dyDescent="0.2">
      <c r="BJ59528" s="201"/>
    </row>
    <row r="59529" spans="62:62" x14ac:dyDescent="0.2">
      <c r="BJ59529" s="201"/>
    </row>
    <row r="59530" spans="62:62" x14ac:dyDescent="0.2">
      <c r="BJ59530" s="201"/>
    </row>
    <row r="59531" spans="62:62" x14ac:dyDescent="0.2">
      <c r="BJ59531" s="201"/>
    </row>
    <row r="59532" spans="62:62" x14ac:dyDescent="0.2">
      <c r="BJ59532" s="201"/>
    </row>
    <row r="59533" spans="62:62" x14ac:dyDescent="0.2">
      <c r="BJ59533" s="201"/>
    </row>
    <row r="59534" spans="62:62" x14ac:dyDescent="0.2">
      <c r="BJ59534" s="201"/>
    </row>
    <row r="59535" spans="62:62" x14ac:dyDescent="0.2">
      <c r="BJ59535" s="201"/>
    </row>
    <row r="59536" spans="62:62" x14ac:dyDescent="0.2">
      <c r="BJ59536" s="201"/>
    </row>
    <row r="59537" spans="62:62" x14ac:dyDescent="0.2">
      <c r="BJ59537" s="201"/>
    </row>
    <row r="59538" spans="62:62" x14ac:dyDescent="0.2">
      <c r="BJ59538" s="201"/>
    </row>
    <row r="59539" spans="62:62" x14ac:dyDescent="0.2">
      <c r="BJ59539" s="201"/>
    </row>
    <row r="59540" spans="62:62" x14ac:dyDescent="0.2">
      <c r="BJ59540" s="201"/>
    </row>
    <row r="59541" spans="62:62" x14ac:dyDescent="0.2">
      <c r="BJ59541" s="201"/>
    </row>
    <row r="59542" spans="62:62" x14ac:dyDescent="0.2">
      <c r="BJ59542" s="201"/>
    </row>
    <row r="59543" spans="62:62" x14ac:dyDescent="0.2">
      <c r="BJ59543" s="201"/>
    </row>
    <row r="59544" spans="62:62" x14ac:dyDescent="0.2">
      <c r="BJ59544" s="201"/>
    </row>
    <row r="59545" spans="62:62" x14ac:dyDescent="0.2">
      <c r="BJ59545" s="201"/>
    </row>
    <row r="59546" spans="62:62" x14ac:dyDescent="0.2">
      <c r="BJ59546" s="201"/>
    </row>
    <row r="59547" spans="62:62" x14ac:dyDescent="0.2">
      <c r="BJ59547" s="201"/>
    </row>
    <row r="59548" spans="62:62" x14ac:dyDescent="0.2">
      <c r="BJ59548" s="201"/>
    </row>
    <row r="59549" spans="62:62" x14ac:dyDescent="0.2">
      <c r="BJ59549" s="201"/>
    </row>
    <row r="59550" spans="62:62" x14ac:dyDescent="0.2">
      <c r="BJ59550" s="201"/>
    </row>
    <row r="59551" spans="62:62" x14ac:dyDescent="0.2">
      <c r="BJ59551" s="201"/>
    </row>
    <row r="59552" spans="62:62" x14ac:dyDescent="0.2">
      <c r="BJ59552" s="201"/>
    </row>
    <row r="59553" spans="62:62" x14ac:dyDescent="0.2">
      <c r="BJ59553" s="201"/>
    </row>
    <row r="59554" spans="62:62" x14ac:dyDescent="0.2">
      <c r="BJ59554" s="201"/>
    </row>
    <row r="59555" spans="62:62" x14ac:dyDescent="0.2">
      <c r="BJ59555" s="201"/>
    </row>
    <row r="59556" spans="62:62" x14ac:dyDescent="0.2">
      <c r="BJ59556" s="201"/>
    </row>
    <row r="59557" spans="62:62" x14ac:dyDescent="0.2">
      <c r="BJ59557" s="201"/>
    </row>
    <row r="59558" spans="62:62" x14ac:dyDescent="0.2">
      <c r="BJ59558" s="201"/>
    </row>
    <row r="59559" spans="62:62" x14ac:dyDescent="0.2">
      <c r="BJ59559" s="201"/>
    </row>
    <row r="59560" spans="62:62" x14ac:dyDescent="0.2">
      <c r="BJ59560" s="201"/>
    </row>
    <row r="59561" spans="62:62" x14ac:dyDescent="0.2">
      <c r="BJ59561" s="201"/>
    </row>
    <row r="59562" spans="62:62" x14ac:dyDescent="0.2">
      <c r="BJ59562" s="201"/>
    </row>
    <row r="59563" spans="62:62" x14ac:dyDescent="0.2">
      <c r="BJ59563" s="201"/>
    </row>
    <row r="59564" spans="62:62" x14ac:dyDescent="0.2">
      <c r="BJ59564" s="201"/>
    </row>
    <row r="59565" spans="62:62" x14ac:dyDescent="0.2">
      <c r="BJ59565" s="201"/>
    </row>
    <row r="59566" spans="62:62" x14ac:dyDescent="0.2">
      <c r="BJ59566" s="201"/>
    </row>
    <row r="59567" spans="62:62" x14ac:dyDescent="0.2">
      <c r="BJ59567" s="201"/>
    </row>
    <row r="59568" spans="62:62" x14ac:dyDescent="0.2">
      <c r="BJ59568" s="201"/>
    </row>
    <row r="59569" spans="62:62" x14ac:dyDescent="0.2">
      <c r="BJ59569" s="201"/>
    </row>
    <row r="59570" spans="62:62" x14ac:dyDescent="0.2">
      <c r="BJ59570" s="201"/>
    </row>
    <row r="59571" spans="62:62" x14ac:dyDescent="0.2">
      <c r="BJ59571" s="201"/>
    </row>
    <row r="59572" spans="62:62" x14ac:dyDescent="0.2">
      <c r="BJ59572" s="201"/>
    </row>
    <row r="59573" spans="62:62" x14ac:dyDescent="0.2">
      <c r="BJ59573" s="201"/>
    </row>
    <row r="59574" spans="62:62" x14ac:dyDescent="0.2">
      <c r="BJ59574" s="201"/>
    </row>
    <row r="59575" spans="62:62" x14ac:dyDescent="0.2">
      <c r="BJ59575" s="201"/>
    </row>
    <row r="59576" spans="62:62" x14ac:dyDescent="0.2">
      <c r="BJ59576" s="201"/>
    </row>
    <row r="59577" spans="62:62" x14ac:dyDescent="0.2">
      <c r="BJ59577" s="201"/>
    </row>
    <row r="59578" spans="62:62" x14ac:dyDescent="0.2">
      <c r="BJ59578" s="201"/>
    </row>
    <row r="59579" spans="62:62" x14ac:dyDescent="0.2">
      <c r="BJ59579" s="201"/>
    </row>
    <row r="59580" spans="62:62" x14ac:dyDescent="0.2">
      <c r="BJ59580" s="201"/>
    </row>
    <row r="59581" spans="62:62" x14ac:dyDescent="0.2">
      <c r="BJ59581" s="201"/>
    </row>
    <row r="59582" spans="62:62" x14ac:dyDescent="0.2">
      <c r="BJ59582" s="201"/>
    </row>
    <row r="59583" spans="62:62" x14ac:dyDescent="0.2">
      <c r="BJ59583" s="201"/>
    </row>
    <row r="59584" spans="62:62" x14ac:dyDescent="0.2">
      <c r="BJ59584" s="201"/>
    </row>
    <row r="59585" spans="62:62" x14ac:dyDescent="0.2">
      <c r="BJ59585" s="201"/>
    </row>
    <row r="59586" spans="62:62" x14ac:dyDescent="0.2">
      <c r="BJ59586" s="201"/>
    </row>
    <row r="59587" spans="62:62" x14ac:dyDescent="0.2">
      <c r="BJ59587" s="201"/>
    </row>
    <row r="59588" spans="62:62" x14ac:dyDescent="0.2">
      <c r="BJ59588" s="201"/>
    </row>
    <row r="59589" spans="62:62" x14ac:dyDescent="0.2">
      <c r="BJ59589" s="201"/>
    </row>
    <row r="59590" spans="62:62" x14ac:dyDescent="0.2">
      <c r="BJ59590" s="201"/>
    </row>
    <row r="59591" spans="62:62" x14ac:dyDescent="0.2">
      <c r="BJ59591" s="201"/>
    </row>
    <row r="59592" spans="62:62" x14ac:dyDescent="0.2">
      <c r="BJ59592" s="201"/>
    </row>
    <row r="59593" spans="62:62" x14ac:dyDescent="0.2">
      <c r="BJ59593" s="201"/>
    </row>
    <row r="59594" spans="62:62" x14ac:dyDescent="0.2">
      <c r="BJ59594" s="201"/>
    </row>
    <row r="59595" spans="62:62" x14ac:dyDescent="0.2">
      <c r="BJ59595" s="201"/>
    </row>
    <row r="59596" spans="62:62" x14ac:dyDescent="0.2">
      <c r="BJ59596" s="201"/>
    </row>
    <row r="59597" spans="62:62" x14ac:dyDescent="0.2">
      <c r="BJ59597" s="201"/>
    </row>
    <row r="59598" spans="62:62" x14ac:dyDescent="0.2">
      <c r="BJ59598" s="201"/>
    </row>
    <row r="59599" spans="62:62" x14ac:dyDescent="0.2">
      <c r="BJ59599" s="201"/>
    </row>
    <row r="59600" spans="62:62" x14ac:dyDescent="0.2">
      <c r="BJ59600" s="201"/>
    </row>
    <row r="59601" spans="62:62" x14ac:dyDescent="0.2">
      <c r="BJ59601" s="201"/>
    </row>
    <row r="59602" spans="62:62" x14ac:dyDescent="0.2">
      <c r="BJ59602" s="201"/>
    </row>
    <row r="59603" spans="62:62" x14ac:dyDescent="0.2">
      <c r="BJ59603" s="201"/>
    </row>
    <row r="59604" spans="62:62" x14ac:dyDescent="0.2">
      <c r="BJ59604" s="201"/>
    </row>
    <row r="59605" spans="62:62" x14ac:dyDescent="0.2">
      <c r="BJ59605" s="201"/>
    </row>
    <row r="59606" spans="62:62" x14ac:dyDescent="0.2">
      <c r="BJ59606" s="201"/>
    </row>
    <row r="59607" spans="62:62" x14ac:dyDescent="0.2">
      <c r="BJ59607" s="201"/>
    </row>
    <row r="59608" spans="62:62" x14ac:dyDescent="0.2">
      <c r="BJ59608" s="201"/>
    </row>
    <row r="59609" spans="62:62" x14ac:dyDescent="0.2">
      <c r="BJ59609" s="201"/>
    </row>
    <row r="59610" spans="62:62" x14ac:dyDescent="0.2">
      <c r="BJ59610" s="201"/>
    </row>
    <row r="59611" spans="62:62" x14ac:dyDescent="0.2">
      <c r="BJ59611" s="201"/>
    </row>
    <row r="59612" spans="62:62" x14ac:dyDescent="0.2">
      <c r="BJ59612" s="201"/>
    </row>
    <row r="59613" spans="62:62" x14ac:dyDescent="0.2">
      <c r="BJ59613" s="201"/>
    </row>
    <row r="59614" spans="62:62" x14ac:dyDescent="0.2">
      <c r="BJ59614" s="201"/>
    </row>
    <row r="59615" spans="62:62" x14ac:dyDescent="0.2">
      <c r="BJ59615" s="201"/>
    </row>
    <row r="59616" spans="62:62" x14ac:dyDescent="0.2">
      <c r="BJ59616" s="201"/>
    </row>
    <row r="59617" spans="62:62" x14ac:dyDescent="0.2">
      <c r="BJ59617" s="201"/>
    </row>
    <row r="59618" spans="62:62" x14ac:dyDescent="0.2">
      <c r="BJ59618" s="201"/>
    </row>
    <row r="59619" spans="62:62" x14ac:dyDescent="0.2">
      <c r="BJ59619" s="201"/>
    </row>
    <row r="59620" spans="62:62" x14ac:dyDescent="0.2">
      <c r="BJ59620" s="201"/>
    </row>
    <row r="59621" spans="62:62" x14ac:dyDescent="0.2">
      <c r="BJ59621" s="201"/>
    </row>
    <row r="59622" spans="62:62" x14ac:dyDescent="0.2">
      <c r="BJ59622" s="201"/>
    </row>
    <row r="59623" spans="62:62" x14ac:dyDescent="0.2">
      <c r="BJ59623" s="201"/>
    </row>
    <row r="59624" spans="62:62" x14ac:dyDescent="0.2">
      <c r="BJ59624" s="201"/>
    </row>
    <row r="59625" spans="62:62" x14ac:dyDescent="0.2">
      <c r="BJ59625" s="201"/>
    </row>
    <row r="59626" spans="62:62" x14ac:dyDescent="0.2">
      <c r="BJ59626" s="201"/>
    </row>
    <row r="59627" spans="62:62" x14ac:dyDescent="0.2">
      <c r="BJ59627" s="201"/>
    </row>
    <row r="59628" spans="62:62" x14ac:dyDescent="0.2">
      <c r="BJ59628" s="201"/>
    </row>
    <row r="59629" spans="62:62" x14ac:dyDescent="0.2">
      <c r="BJ59629" s="201"/>
    </row>
    <row r="59630" spans="62:62" x14ac:dyDescent="0.2">
      <c r="BJ59630" s="201"/>
    </row>
    <row r="59631" spans="62:62" x14ac:dyDescent="0.2">
      <c r="BJ59631" s="201"/>
    </row>
    <row r="59632" spans="62:62" x14ac:dyDescent="0.2">
      <c r="BJ59632" s="201"/>
    </row>
    <row r="59633" spans="62:62" x14ac:dyDescent="0.2">
      <c r="BJ59633" s="201"/>
    </row>
    <row r="59634" spans="62:62" x14ac:dyDescent="0.2">
      <c r="BJ59634" s="201"/>
    </row>
    <row r="59635" spans="62:62" x14ac:dyDescent="0.2">
      <c r="BJ59635" s="201"/>
    </row>
    <row r="59636" spans="62:62" x14ac:dyDescent="0.2">
      <c r="BJ59636" s="201"/>
    </row>
    <row r="59637" spans="62:62" x14ac:dyDescent="0.2">
      <c r="BJ59637" s="201"/>
    </row>
    <row r="59638" spans="62:62" x14ac:dyDescent="0.2">
      <c r="BJ59638" s="201"/>
    </row>
    <row r="59639" spans="62:62" x14ac:dyDescent="0.2">
      <c r="BJ59639" s="201"/>
    </row>
    <row r="59640" spans="62:62" x14ac:dyDescent="0.2">
      <c r="BJ59640" s="201"/>
    </row>
    <row r="59641" spans="62:62" x14ac:dyDescent="0.2">
      <c r="BJ59641" s="201"/>
    </row>
    <row r="59642" spans="62:62" x14ac:dyDescent="0.2">
      <c r="BJ59642" s="201"/>
    </row>
    <row r="59643" spans="62:62" x14ac:dyDescent="0.2">
      <c r="BJ59643" s="201"/>
    </row>
    <row r="59644" spans="62:62" x14ac:dyDescent="0.2">
      <c r="BJ59644" s="201"/>
    </row>
    <row r="59645" spans="62:62" x14ac:dyDescent="0.2">
      <c r="BJ59645" s="201"/>
    </row>
    <row r="59646" spans="62:62" x14ac:dyDescent="0.2">
      <c r="BJ59646" s="201"/>
    </row>
    <row r="59647" spans="62:62" x14ac:dyDescent="0.2">
      <c r="BJ59647" s="201"/>
    </row>
    <row r="59648" spans="62:62" x14ac:dyDescent="0.2">
      <c r="BJ59648" s="201"/>
    </row>
    <row r="59649" spans="62:62" x14ac:dyDescent="0.2">
      <c r="BJ59649" s="201"/>
    </row>
    <row r="59650" spans="62:62" x14ac:dyDescent="0.2">
      <c r="BJ59650" s="201"/>
    </row>
    <row r="59651" spans="62:62" x14ac:dyDescent="0.2">
      <c r="BJ59651" s="201"/>
    </row>
    <row r="59652" spans="62:62" x14ac:dyDescent="0.2">
      <c r="BJ59652" s="201"/>
    </row>
    <row r="59653" spans="62:62" x14ac:dyDescent="0.2">
      <c r="BJ59653" s="201"/>
    </row>
    <row r="59654" spans="62:62" x14ac:dyDescent="0.2">
      <c r="BJ59654" s="201"/>
    </row>
    <row r="59655" spans="62:62" x14ac:dyDescent="0.2">
      <c r="BJ59655" s="201"/>
    </row>
    <row r="59656" spans="62:62" x14ac:dyDescent="0.2">
      <c r="BJ59656" s="201"/>
    </row>
    <row r="59657" spans="62:62" x14ac:dyDescent="0.2">
      <c r="BJ59657" s="201"/>
    </row>
    <row r="59658" spans="62:62" x14ac:dyDescent="0.2">
      <c r="BJ59658" s="201"/>
    </row>
    <row r="59659" spans="62:62" x14ac:dyDescent="0.2">
      <c r="BJ59659" s="201"/>
    </row>
    <row r="59660" spans="62:62" x14ac:dyDescent="0.2">
      <c r="BJ59660" s="201"/>
    </row>
    <row r="59661" spans="62:62" x14ac:dyDescent="0.2">
      <c r="BJ59661" s="201"/>
    </row>
    <row r="59662" spans="62:62" x14ac:dyDescent="0.2">
      <c r="BJ59662" s="201"/>
    </row>
    <row r="59663" spans="62:62" x14ac:dyDescent="0.2">
      <c r="BJ59663" s="201"/>
    </row>
    <row r="59664" spans="62:62" x14ac:dyDescent="0.2">
      <c r="BJ59664" s="201"/>
    </row>
    <row r="59665" spans="62:62" x14ac:dyDescent="0.2">
      <c r="BJ59665" s="201"/>
    </row>
    <row r="59666" spans="62:62" x14ac:dyDescent="0.2">
      <c r="BJ59666" s="201"/>
    </row>
    <row r="59667" spans="62:62" x14ac:dyDescent="0.2">
      <c r="BJ59667" s="201"/>
    </row>
    <row r="59668" spans="62:62" x14ac:dyDescent="0.2">
      <c r="BJ59668" s="201"/>
    </row>
    <row r="59669" spans="62:62" x14ac:dyDescent="0.2">
      <c r="BJ59669" s="201"/>
    </row>
    <row r="59670" spans="62:62" x14ac:dyDescent="0.2">
      <c r="BJ59670" s="201"/>
    </row>
    <row r="59671" spans="62:62" x14ac:dyDescent="0.2">
      <c r="BJ59671" s="201"/>
    </row>
    <row r="59672" spans="62:62" x14ac:dyDescent="0.2">
      <c r="BJ59672" s="201"/>
    </row>
    <row r="59673" spans="62:62" x14ac:dyDescent="0.2">
      <c r="BJ59673" s="201"/>
    </row>
    <row r="59674" spans="62:62" x14ac:dyDescent="0.2">
      <c r="BJ59674" s="201"/>
    </row>
    <row r="59675" spans="62:62" x14ac:dyDescent="0.2">
      <c r="BJ59675" s="201"/>
    </row>
    <row r="59676" spans="62:62" x14ac:dyDescent="0.2">
      <c r="BJ59676" s="201"/>
    </row>
    <row r="59677" spans="62:62" x14ac:dyDescent="0.2">
      <c r="BJ59677" s="201"/>
    </row>
    <row r="59678" spans="62:62" x14ac:dyDescent="0.2">
      <c r="BJ59678" s="201"/>
    </row>
    <row r="59679" spans="62:62" x14ac:dyDescent="0.2">
      <c r="BJ59679" s="201"/>
    </row>
    <row r="59680" spans="62:62" x14ac:dyDescent="0.2">
      <c r="BJ59680" s="201"/>
    </row>
    <row r="59681" spans="62:62" x14ac:dyDescent="0.2">
      <c r="BJ59681" s="201"/>
    </row>
    <row r="59682" spans="62:62" x14ac:dyDescent="0.2">
      <c r="BJ59682" s="201"/>
    </row>
    <row r="59683" spans="62:62" x14ac:dyDescent="0.2">
      <c r="BJ59683" s="201"/>
    </row>
    <row r="59684" spans="62:62" x14ac:dyDescent="0.2">
      <c r="BJ59684" s="201"/>
    </row>
    <row r="59685" spans="62:62" x14ac:dyDescent="0.2">
      <c r="BJ59685" s="201"/>
    </row>
    <row r="59686" spans="62:62" x14ac:dyDescent="0.2">
      <c r="BJ59686" s="201"/>
    </row>
    <row r="59687" spans="62:62" x14ac:dyDescent="0.2">
      <c r="BJ59687" s="201"/>
    </row>
    <row r="59688" spans="62:62" x14ac:dyDescent="0.2">
      <c r="BJ59688" s="201"/>
    </row>
    <row r="59689" spans="62:62" x14ac:dyDescent="0.2">
      <c r="BJ59689" s="201"/>
    </row>
    <row r="59690" spans="62:62" x14ac:dyDescent="0.2">
      <c r="BJ59690" s="201"/>
    </row>
    <row r="59691" spans="62:62" x14ac:dyDescent="0.2">
      <c r="BJ59691" s="201"/>
    </row>
    <row r="59692" spans="62:62" x14ac:dyDescent="0.2">
      <c r="BJ59692" s="201"/>
    </row>
    <row r="59693" spans="62:62" x14ac:dyDescent="0.2">
      <c r="BJ59693" s="201"/>
    </row>
    <row r="59694" spans="62:62" x14ac:dyDescent="0.2">
      <c r="BJ59694" s="201"/>
    </row>
    <row r="59695" spans="62:62" x14ac:dyDescent="0.2">
      <c r="BJ59695" s="201"/>
    </row>
    <row r="59696" spans="62:62" x14ac:dyDescent="0.2">
      <c r="BJ59696" s="201"/>
    </row>
    <row r="59697" spans="62:62" x14ac:dyDescent="0.2">
      <c r="BJ59697" s="201"/>
    </row>
    <row r="59698" spans="62:62" x14ac:dyDescent="0.2">
      <c r="BJ59698" s="201"/>
    </row>
    <row r="59699" spans="62:62" x14ac:dyDescent="0.2">
      <c r="BJ59699" s="201"/>
    </row>
    <row r="59700" spans="62:62" x14ac:dyDescent="0.2">
      <c r="BJ59700" s="201"/>
    </row>
    <row r="59701" spans="62:62" x14ac:dyDescent="0.2">
      <c r="BJ59701" s="201"/>
    </row>
    <row r="59702" spans="62:62" x14ac:dyDescent="0.2">
      <c r="BJ59702" s="201"/>
    </row>
    <row r="59703" spans="62:62" x14ac:dyDescent="0.2">
      <c r="BJ59703" s="201"/>
    </row>
    <row r="59704" spans="62:62" x14ac:dyDescent="0.2">
      <c r="BJ59704" s="201"/>
    </row>
    <row r="59705" spans="62:62" x14ac:dyDescent="0.2">
      <c r="BJ59705" s="201"/>
    </row>
    <row r="59706" spans="62:62" x14ac:dyDescent="0.2">
      <c r="BJ59706" s="201"/>
    </row>
    <row r="59707" spans="62:62" x14ac:dyDescent="0.2">
      <c r="BJ59707" s="201"/>
    </row>
    <row r="59708" spans="62:62" x14ac:dyDescent="0.2">
      <c r="BJ59708" s="201"/>
    </row>
    <row r="59709" spans="62:62" x14ac:dyDescent="0.2">
      <c r="BJ59709" s="201"/>
    </row>
    <row r="59710" spans="62:62" x14ac:dyDescent="0.2">
      <c r="BJ59710" s="201"/>
    </row>
    <row r="59711" spans="62:62" x14ac:dyDescent="0.2">
      <c r="BJ59711" s="201"/>
    </row>
    <row r="59712" spans="62:62" x14ac:dyDescent="0.2">
      <c r="BJ59712" s="201"/>
    </row>
    <row r="59713" spans="62:62" x14ac:dyDescent="0.2">
      <c r="BJ59713" s="201"/>
    </row>
    <row r="59714" spans="62:62" x14ac:dyDescent="0.2">
      <c r="BJ59714" s="201"/>
    </row>
    <row r="59715" spans="62:62" x14ac:dyDescent="0.2">
      <c r="BJ59715" s="201"/>
    </row>
    <row r="59716" spans="62:62" x14ac:dyDescent="0.2">
      <c r="BJ59716" s="201"/>
    </row>
    <row r="59717" spans="62:62" x14ac:dyDescent="0.2">
      <c r="BJ59717" s="201"/>
    </row>
    <row r="59718" spans="62:62" x14ac:dyDescent="0.2">
      <c r="BJ59718" s="201"/>
    </row>
    <row r="59719" spans="62:62" x14ac:dyDescent="0.2">
      <c r="BJ59719" s="201"/>
    </row>
    <row r="59720" spans="62:62" x14ac:dyDescent="0.2">
      <c r="BJ59720" s="201"/>
    </row>
    <row r="59721" spans="62:62" x14ac:dyDescent="0.2">
      <c r="BJ59721" s="201"/>
    </row>
    <row r="59722" spans="62:62" x14ac:dyDescent="0.2">
      <c r="BJ59722" s="201"/>
    </row>
    <row r="59723" spans="62:62" x14ac:dyDescent="0.2">
      <c r="BJ59723" s="201"/>
    </row>
    <row r="59724" spans="62:62" x14ac:dyDescent="0.2">
      <c r="BJ59724" s="201"/>
    </row>
    <row r="59725" spans="62:62" x14ac:dyDescent="0.2">
      <c r="BJ59725" s="201"/>
    </row>
    <row r="59726" spans="62:62" x14ac:dyDescent="0.2">
      <c r="BJ59726" s="201"/>
    </row>
    <row r="59727" spans="62:62" x14ac:dyDescent="0.2">
      <c r="BJ59727" s="201"/>
    </row>
    <row r="59728" spans="62:62" x14ac:dyDescent="0.2">
      <c r="BJ59728" s="201"/>
    </row>
    <row r="59729" spans="62:62" x14ac:dyDescent="0.2">
      <c r="BJ59729" s="201"/>
    </row>
    <row r="59730" spans="62:62" x14ac:dyDescent="0.2">
      <c r="BJ59730" s="201"/>
    </row>
    <row r="59731" spans="62:62" x14ac:dyDescent="0.2">
      <c r="BJ59731" s="201"/>
    </row>
    <row r="59732" spans="62:62" x14ac:dyDescent="0.2">
      <c r="BJ59732" s="201"/>
    </row>
    <row r="59733" spans="62:62" x14ac:dyDescent="0.2">
      <c r="BJ59733" s="201"/>
    </row>
    <row r="59734" spans="62:62" x14ac:dyDescent="0.2">
      <c r="BJ59734" s="201"/>
    </row>
    <row r="59735" spans="62:62" x14ac:dyDescent="0.2">
      <c r="BJ59735" s="201"/>
    </row>
    <row r="59736" spans="62:62" x14ac:dyDescent="0.2">
      <c r="BJ59736" s="201"/>
    </row>
    <row r="59737" spans="62:62" x14ac:dyDescent="0.2">
      <c r="BJ59737" s="201"/>
    </row>
    <row r="59738" spans="62:62" x14ac:dyDescent="0.2">
      <c r="BJ59738" s="201"/>
    </row>
    <row r="59739" spans="62:62" x14ac:dyDescent="0.2">
      <c r="BJ59739" s="201"/>
    </row>
    <row r="59740" spans="62:62" x14ac:dyDescent="0.2">
      <c r="BJ59740" s="201"/>
    </row>
    <row r="59741" spans="62:62" x14ac:dyDescent="0.2">
      <c r="BJ59741" s="201"/>
    </row>
    <row r="59742" spans="62:62" x14ac:dyDescent="0.2">
      <c r="BJ59742" s="201"/>
    </row>
    <row r="59743" spans="62:62" x14ac:dyDescent="0.2">
      <c r="BJ59743" s="201"/>
    </row>
    <row r="59744" spans="62:62" x14ac:dyDescent="0.2">
      <c r="BJ59744" s="201"/>
    </row>
    <row r="59745" spans="62:62" x14ac:dyDescent="0.2">
      <c r="BJ59745" s="201"/>
    </row>
    <row r="59746" spans="62:62" x14ac:dyDescent="0.2">
      <c r="BJ59746" s="201"/>
    </row>
    <row r="59747" spans="62:62" x14ac:dyDescent="0.2">
      <c r="BJ59747" s="201"/>
    </row>
    <row r="59748" spans="62:62" x14ac:dyDescent="0.2">
      <c r="BJ59748" s="201"/>
    </row>
    <row r="59749" spans="62:62" x14ac:dyDescent="0.2">
      <c r="BJ59749" s="201"/>
    </row>
    <row r="59750" spans="62:62" x14ac:dyDescent="0.2">
      <c r="BJ59750" s="201"/>
    </row>
    <row r="59751" spans="62:62" x14ac:dyDescent="0.2">
      <c r="BJ59751" s="201"/>
    </row>
    <row r="59752" spans="62:62" x14ac:dyDescent="0.2">
      <c r="BJ59752" s="201"/>
    </row>
    <row r="59753" spans="62:62" x14ac:dyDescent="0.2">
      <c r="BJ59753" s="201"/>
    </row>
    <row r="59754" spans="62:62" x14ac:dyDescent="0.2">
      <c r="BJ59754" s="201"/>
    </row>
    <row r="59755" spans="62:62" x14ac:dyDescent="0.2">
      <c r="BJ59755" s="201"/>
    </row>
    <row r="59756" spans="62:62" x14ac:dyDescent="0.2">
      <c r="BJ59756" s="201"/>
    </row>
    <row r="59757" spans="62:62" x14ac:dyDescent="0.2">
      <c r="BJ59757" s="201"/>
    </row>
    <row r="59758" spans="62:62" x14ac:dyDescent="0.2">
      <c r="BJ59758" s="201"/>
    </row>
    <row r="59759" spans="62:62" x14ac:dyDescent="0.2">
      <c r="BJ59759" s="201"/>
    </row>
    <row r="59760" spans="62:62" x14ac:dyDescent="0.2">
      <c r="BJ59760" s="201"/>
    </row>
    <row r="59761" spans="62:62" x14ac:dyDescent="0.2">
      <c r="BJ59761" s="201"/>
    </row>
    <row r="59762" spans="62:62" x14ac:dyDescent="0.2">
      <c r="BJ59762" s="201"/>
    </row>
    <row r="59763" spans="62:62" x14ac:dyDescent="0.2">
      <c r="BJ59763" s="201"/>
    </row>
    <row r="59764" spans="62:62" x14ac:dyDescent="0.2">
      <c r="BJ59764" s="201"/>
    </row>
    <row r="59765" spans="62:62" x14ac:dyDescent="0.2">
      <c r="BJ59765" s="201"/>
    </row>
    <row r="59766" spans="62:62" x14ac:dyDescent="0.2">
      <c r="BJ59766" s="201"/>
    </row>
    <row r="59767" spans="62:62" x14ac:dyDescent="0.2">
      <c r="BJ59767" s="201"/>
    </row>
    <row r="59768" spans="62:62" x14ac:dyDescent="0.2">
      <c r="BJ59768" s="201"/>
    </row>
    <row r="59769" spans="62:62" x14ac:dyDescent="0.2">
      <c r="BJ59769" s="201"/>
    </row>
    <row r="59770" spans="62:62" x14ac:dyDescent="0.2">
      <c r="BJ59770" s="201"/>
    </row>
    <row r="59771" spans="62:62" x14ac:dyDescent="0.2">
      <c r="BJ59771" s="201"/>
    </row>
    <row r="59772" spans="62:62" x14ac:dyDescent="0.2">
      <c r="BJ59772" s="201"/>
    </row>
    <row r="59773" spans="62:62" x14ac:dyDescent="0.2">
      <c r="BJ59773" s="201"/>
    </row>
    <row r="59774" spans="62:62" x14ac:dyDescent="0.2">
      <c r="BJ59774" s="201"/>
    </row>
    <row r="59775" spans="62:62" x14ac:dyDescent="0.2">
      <c r="BJ59775" s="201"/>
    </row>
    <row r="59776" spans="62:62" x14ac:dyDescent="0.2">
      <c r="BJ59776" s="201"/>
    </row>
    <row r="59777" spans="62:62" x14ac:dyDescent="0.2">
      <c r="BJ59777" s="201"/>
    </row>
    <row r="59778" spans="62:62" x14ac:dyDescent="0.2">
      <c r="BJ59778" s="201"/>
    </row>
    <row r="59779" spans="62:62" x14ac:dyDescent="0.2">
      <c r="BJ59779" s="201"/>
    </row>
    <row r="59780" spans="62:62" x14ac:dyDescent="0.2">
      <c r="BJ59780" s="201"/>
    </row>
    <row r="59781" spans="62:62" x14ac:dyDescent="0.2">
      <c r="BJ59781" s="201"/>
    </row>
    <row r="59782" spans="62:62" x14ac:dyDescent="0.2">
      <c r="BJ59782" s="201"/>
    </row>
    <row r="59783" spans="62:62" x14ac:dyDescent="0.2">
      <c r="BJ59783" s="201"/>
    </row>
    <row r="59784" spans="62:62" x14ac:dyDescent="0.2">
      <c r="BJ59784" s="201"/>
    </row>
    <row r="59785" spans="62:62" x14ac:dyDescent="0.2">
      <c r="BJ59785" s="201"/>
    </row>
    <row r="59786" spans="62:62" x14ac:dyDescent="0.2">
      <c r="BJ59786" s="201"/>
    </row>
    <row r="59787" spans="62:62" x14ac:dyDescent="0.2">
      <c r="BJ59787" s="201"/>
    </row>
    <row r="59788" spans="62:62" x14ac:dyDescent="0.2">
      <c r="BJ59788" s="201"/>
    </row>
    <row r="59789" spans="62:62" x14ac:dyDescent="0.2">
      <c r="BJ59789" s="201"/>
    </row>
    <row r="59790" spans="62:62" x14ac:dyDescent="0.2">
      <c r="BJ59790" s="201"/>
    </row>
    <row r="59791" spans="62:62" x14ac:dyDescent="0.2">
      <c r="BJ59791" s="201"/>
    </row>
    <row r="59792" spans="62:62" x14ac:dyDescent="0.2">
      <c r="BJ59792" s="201"/>
    </row>
    <row r="59793" spans="62:62" x14ac:dyDescent="0.2">
      <c r="BJ59793" s="201"/>
    </row>
    <row r="59794" spans="62:62" x14ac:dyDescent="0.2">
      <c r="BJ59794" s="201"/>
    </row>
    <row r="59795" spans="62:62" x14ac:dyDescent="0.2">
      <c r="BJ59795" s="201"/>
    </row>
    <row r="59796" spans="62:62" x14ac:dyDescent="0.2">
      <c r="BJ59796" s="201"/>
    </row>
    <row r="59797" spans="62:62" x14ac:dyDescent="0.2">
      <c r="BJ59797" s="201"/>
    </row>
    <row r="59798" spans="62:62" x14ac:dyDescent="0.2">
      <c r="BJ59798" s="201"/>
    </row>
    <row r="59799" spans="62:62" x14ac:dyDescent="0.2">
      <c r="BJ59799" s="201"/>
    </row>
    <row r="59800" spans="62:62" x14ac:dyDescent="0.2">
      <c r="BJ59800" s="201"/>
    </row>
    <row r="59801" spans="62:62" x14ac:dyDescent="0.2">
      <c r="BJ59801" s="201"/>
    </row>
    <row r="59802" spans="62:62" x14ac:dyDescent="0.2">
      <c r="BJ59802" s="201"/>
    </row>
    <row r="59803" spans="62:62" x14ac:dyDescent="0.2">
      <c r="BJ59803" s="201"/>
    </row>
    <row r="59804" spans="62:62" x14ac:dyDescent="0.2">
      <c r="BJ59804" s="201"/>
    </row>
    <row r="59805" spans="62:62" x14ac:dyDescent="0.2">
      <c r="BJ59805" s="201"/>
    </row>
    <row r="59806" spans="62:62" x14ac:dyDescent="0.2">
      <c r="BJ59806" s="201"/>
    </row>
    <row r="59807" spans="62:62" x14ac:dyDescent="0.2">
      <c r="BJ59807" s="201"/>
    </row>
    <row r="59808" spans="62:62" x14ac:dyDescent="0.2">
      <c r="BJ59808" s="201"/>
    </row>
    <row r="59809" spans="62:62" x14ac:dyDescent="0.2">
      <c r="BJ59809" s="201"/>
    </row>
    <row r="59810" spans="62:62" x14ac:dyDescent="0.2">
      <c r="BJ59810" s="201"/>
    </row>
    <row r="59811" spans="62:62" x14ac:dyDescent="0.2">
      <c r="BJ59811" s="201"/>
    </row>
    <row r="59812" spans="62:62" x14ac:dyDescent="0.2">
      <c r="BJ59812" s="201"/>
    </row>
    <row r="59813" spans="62:62" x14ac:dyDescent="0.2">
      <c r="BJ59813" s="201"/>
    </row>
    <row r="59814" spans="62:62" x14ac:dyDescent="0.2">
      <c r="BJ59814" s="201"/>
    </row>
    <row r="59815" spans="62:62" x14ac:dyDescent="0.2">
      <c r="BJ59815" s="201"/>
    </row>
    <row r="59816" spans="62:62" x14ac:dyDescent="0.2">
      <c r="BJ59816" s="201"/>
    </row>
    <row r="59817" spans="62:62" x14ac:dyDescent="0.2">
      <c r="BJ59817" s="201"/>
    </row>
    <row r="59818" spans="62:62" x14ac:dyDescent="0.2">
      <c r="BJ59818" s="201"/>
    </row>
    <row r="59819" spans="62:62" x14ac:dyDescent="0.2">
      <c r="BJ59819" s="201"/>
    </row>
    <row r="59820" spans="62:62" x14ac:dyDescent="0.2">
      <c r="BJ59820" s="201"/>
    </row>
    <row r="59821" spans="62:62" x14ac:dyDescent="0.2">
      <c r="BJ59821" s="201"/>
    </row>
    <row r="59822" spans="62:62" x14ac:dyDescent="0.2">
      <c r="BJ59822" s="201"/>
    </row>
    <row r="59823" spans="62:62" x14ac:dyDescent="0.2">
      <c r="BJ59823" s="201"/>
    </row>
    <row r="59824" spans="62:62" x14ac:dyDescent="0.2">
      <c r="BJ59824" s="201"/>
    </row>
    <row r="59825" spans="62:62" x14ac:dyDescent="0.2">
      <c r="BJ59825" s="201"/>
    </row>
    <row r="59826" spans="62:62" x14ac:dyDescent="0.2">
      <c r="BJ59826" s="201"/>
    </row>
    <row r="59827" spans="62:62" x14ac:dyDescent="0.2">
      <c r="BJ59827" s="201"/>
    </row>
    <row r="59828" spans="62:62" x14ac:dyDescent="0.2">
      <c r="BJ59828" s="201"/>
    </row>
    <row r="59829" spans="62:62" x14ac:dyDescent="0.2">
      <c r="BJ59829" s="201"/>
    </row>
    <row r="59830" spans="62:62" x14ac:dyDescent="0.2">
      <c r="BJ59830" s="201"/>
    </row>
    <row r="59831" spans="62:62" x14ac:dyDescent="0.2">
      <c r="BJ59831" s="201"/>
    </row>
    <row r="59832" spans="62:62" x14ac:dyDescent="0.2">
      <c r="BJ59832" s="201"/>
    </row>
    <row r="59833" spans="62:62" x14ac:dyDescent="0.2">
      <c r="BJ59833" s="201"/>
    </row>
    <row r="59834" spans="62:62" x14ac:dyDescent="0.2">
      <c r="BJ59834" s="201"/>
    </row>
    <row r="59835" spans="62:62" x14ac:dyDescent="0.2">
      <c r="BJ59835" s="201"/>
    </row>
    <row r="59836" spans="62:62" x14ac:dyDescent="0.2">
      <c r="BJ59836" s="201"/>
    </row>
    <row r="59837" spans="62:62" x14ac:dyDescent="0.2">
      <c r="BJ59837" s="201"/>
    </row>
    <row r="59838" spans="62:62" x14ac:dyDescent="0.2">
      <c r="BJ59838" s="201"/>
    </row>
    <row r="59839" spans="62:62" x14ac:dyDescent="0.2">
      <c r="BJ59839" s="201"/>
    </row>
    <row r="59840" spans="62:62" x14ac:dyDescent="0.2">
      <c r="BJ59840" s="201"/>
    </row>
    <row r="59841" spans="62:62" x14ac:dyDescent="0.2">
      <c r="BJ59841" s="201"/>
    </row>
    <row r="59842" spans="62:62" x14ac:dyDescent="0.2">
      <c r="BJ59842" s="201"/>
    </row>
    <row r="59843" spans="62:62" x14ac:dyDescent="0.2">
      <c r="BJ59843" s="201"/>
    </row>
    <row r="59844" spans="62:62" x14ac:dyDescent="0.2">
      <c r="BJ59844" s="201"/>
    </row>
    <row r="59845" spans="62:62" x14ac:dyDescent="0.2">
      <c r="BJ59845" s="201"/>
    </row>
    <row r="59846" spans="62:62" x14ac:dyDescent="0.2">
      <c r="BJ59846" s="201"/>
    </row>
    <row r="59847" spans="62:62" x14ac:dyDescent="0.2">
      <c r="BJ59847" s="201"/>
    </row>
    <row r="59848" spans="62:62" x14ac:dyDescent="0.2">
      <c r="BJ59848" s="201"/>
    </row>
    <row r="59849" spans="62:62" x14ac:dyDescent="0.2">
      <c r="BJ59849" s="201"/>
    </row>
    <row r="59850" spans="62:62" x14ac:dyDescent="0.2">
      <c r="BJ59850" s="201"/>
    </row>
    <row r="59851" spans="62:62" x14ac:dyDescent="0.2">
      <c r="BJ59851" s="201"/>
    </row>
    <row r="59852" spans="62:62" x14ac:dyDescent="0.2">
      <c r="BJ59852" s="201"/>
    </row>
    <row r="59853" spans="62:62" x14ac:dyDescent="0.2">
      <c r="BJ59853" s="201"/>
    </row>
    <row r="59854" spans="62:62" x14ac:dyDescent="0.2">
      <c r="BJ59854" s="201"/>
    </row>
    <row r="59855" spans="62:62" x14ac:dyDescent="0.2">
      <c r="BJ59855" s="201"/>
    </row>
    <row r="59856" spans="62:62" x14ac:dyDescent="0.2">
      <c r="BJ59856" s="201"/>
    </row>
    <row r="59857" spans="62:62" x14ac:dyDescent="0.2">
      <c r="BJ59857" s="201"/>
    </row>
    <row r="59858" spans="62:62" x14ac:dyDescent="0.2">
      <c r="BJ59858" s="201"/>
    </row>
    <row r="59859" spans="62:62" x14ac:dyDescent="0.2">
      <c r="BJ59859" s="201"/>
    </row>
    <row r="59860" spans="62:62" x14ac:dyDescent="0.2">
      <c r="BJ59860" s="201"/>
    </row>
    <row r="59861" spans="62:62" x14ac:dyDescent="0.2">
      <c r="BJ59861" s="201"/>
    </row>
    <row r="59862" spans="62:62" x14ac:dyDescent="0.2">
      <c r="BJ59862" s="201"/>
    </row>
    <row r="59863" spans="62:62" x14ac:dyDescent="0.2">
      <c r="BJ59863" s="201"/>
    </row>
    <row r="59864" spans="62:62" x14ac:dyDescent="0.2">
      <c r="BJ59864" s="201"/>
    </row>
    <row r="59865" spans="62:62" x14ac:dyDescent="0.2">
      <c r="BJ59865" s="201"/>
    </row>
    <row r="59866" spans="62:62" x14ac:dyDescent="0.2">
      <c r="BJ59866" s="201"/>
    </row>
    <row r="59867" spans="62:62" x14ac:dyDescent="0.2">
      <c r="BJ59867" s="201"/>
    </row>
    <row r="59868" spans="62:62" x14ac:dyDescent="0.2">
      <c r="BJ59868" s="201"/>
    </row>
    <row r="59869" spans="62:62" x14ac:dyDescent="0.2">
      <c r="BJ59869" s="201"/>
    </row>
    <row r="59870" spans="62:62" x14ac:dyDescent="0.2">
      <c r="BJ59870" s="201"/>
    </row>
    <row r="59871" spans="62:62" x14ac:dyDescent="0.2">
      <c r="BJ59871" s="201"/>
    </row>
    <row r="59872" spans="62:62" x14ac:dyDescent="0.2">
      <c r="BJ59872" s="201"/>
    </row>
    <row r="59873" spans="62:62" x14ac:dyDescent="0.2">
      <c r="BJ59873" s="201"/>
    </row>
    <row r="59874" spans="62:62" x14ac:dyDescent="0.2">
      <c r="BJ59874" s="201"/>
    </row>
    <row r="59875" spans="62:62" x14ac:dyDescent="0.2">
      <c r="BJ59875" s="201"/>
    </row>
    <row r="59876" spans="62:62" x14ac:dyDescent="0.2">
      <c r="BJ59876" s="201"/>
    </row>
    <row r="59877" spans="62:62" x14ac:dyDescent="0.2">
      <c r="BJ59877" s="201"/>
    </row>
    <row r="59878" spans="62:62" x14ac:dyDescent="0.2">
      <c r="BJ59878" s="201"/>
    </row>
    <row r="59879" spans="62:62" x14ac:dyDescent="0.2">
      <c r="BJ59879" s="201"/>
    </row>
    <row r="59880" spans="62:62" x14ac:dyDescent="0.2">
      <c r="BJ59880" s="201"/>
    </row>
    <row r="59881" spans="62:62" x14ac:dyDescent="0.2">
      <c r="BJ59881" s="201"/>
    </row>
    <row r="59882" spans="62:62" x14ac:dyDescent="0.2">
      <c r="BJ59882" s="201"/>
    </row>
    <row r="59883" spans="62:62" x14ac:dyDescent="0.2">
      <c r="BJ59883" s="201"/>
    </row>
    <row r="59884" spans="62:62" x14ac:dyDescent="0.2">
      <c r="BJ59884" s="201"/>
    </row>
    <row r="59885" spans="62:62" x14ac:dyDescent="0.2">
      <c r="BJ59885" s="201"/>
    </row>
    <row r="59886" spans="62:62" x14ac:dyDescent="0.2">
      <c r="BJ59886" s="201"/>
    </row>
    <row r="59887" spans="62:62" x14ac:dyDescent="0.2">
      <c r="BJ59887" s="201"/>
    </row>
    <row r="59888" spans="62:62" x14ac:dyDescent="0.2">
      <c r="BJ59888" s="201"/>
    </row>
    <row r="59889" spans="62:62" x14ac:dyDescent="0.2">
      <c r="BJ59889" s="201"/>
    </row>
    <row r="59890" spans="62:62" x14ac:dyDescent="0.2">
      <c r="BJ59890" s="201"/>
    </row>
    <row r="59891" spans="62:62" x14ac:dyDescent="0.2">
      <c r="BJ59891" s="201"/>
    </row>
    <row r="59892" spans="62:62" x14ac:dyDescent="0.2">
      <c r="BJ59892" s="201"/>
    </row>
    <row r="59893" spans="62:62" x14ac:dyDescent="0.2">
      <c r="BJ59893" s="201"/>
    </row>
    <row r="59894" spans="62:62" x14ac:dyDescent="0.2">
      <c r="BJ59894" s="201"/>
    </row>
    <row r="59895" spans="62:62" x14ac:dyDescent="0.2">
      <c r="BJ59895" s="201"/>
    </row>
    <row r="59896" spans="62:62" x14ac:dyDescent="0.2">
      <c r="BJ59896" s="201"/>
    </row>
    <row r="59897" spans="62:62" x14ac:dyDescent="0.2">
      <c r="BJ59897" s="201"/>
    </row>
    <row r="59898" spans="62:62" x14ac:dyDescent="0.2">
      <c r="BJ59898" s="201"/>
    </row>
    <row r="59899" spans="62:62" x14ac:dyDescent="0.2">
      <c r="BJ59899" s="201"/>
    </row>
    <row r="59900" spans="62:62" x14ac:dyDescent="0.2">
      <c r="BJ59900" s="201"/>
    </row>
    <row r="59901" spans="62:62" x14ac:dyDescent="0.2">
      <c r="BJ59901" s="201"/>
    </row>
    <row r="59902" spans="62:62" x14ac:dyDescent="0.2">
      <c r="BJ59902" s="201"/>
    </row>
    <row r="59903" spans="62:62" x14ac:dyDescent="0.2">
      <c r="BJ59903" s="201"/>
    </row>
    <row r="59904" spans="62:62" x14ac:dyDescent="0.2">
      <c r="BJ59904" s="201"/>
    </row>
    <row r="59905" spans="62:62" x14ac:dyDescent="0.2">
      <c r="BJ59905" s="201"/>
    </row>
    <row r="59906" spans="62:62" x14ac:dyDescent="0.2">
      <c r="BJ59906" s="201"/>
    </row>
    <row r="59907" spans="62:62" x14ac:dyDescent="0.2">
      <c r="BJ59907" s="201"/>
    </row>
    <row r="59908" spans="62:62" x14ac:dyDescent="0.2">
      <c r="BJ59908" s="201"/>
    </row>
    <row r="59909" spans="62:62" x14ac:dyDescent="0.2">
      <c r="BJ59909" s="201"/>
    </row>
    <row r="59910" spans="62:62" x14ac:dyDescent="0.2">
      <c r="BJ59910" s="201"/>
    </row>
    <row r="59911" spans="62:62" x14ac:dyDescent="0.2">
      <c r="BJ59911" s="201"/>
    </row>
    <row r="59912" spans="62:62" x14ac:dyDescent="0.2">
      <c r="BJ59912" s="201"/>
    </row>
    <row r="59913" spans="62:62" x14ac:dyDescent="0.2">
      <c r="BJ59913" s="201"/>
    </row>
    <row r="59914" spans="62:62" x14ac:dyDescent="0.2">
      <c r="BJ59914" s="201"/>
    </row>
    <row r="59915" spans="62:62" x14ac:dyDescent="0.2">
      <c r="BJ59915" s="201"/>
    </row>
    <row r="59916" spans="62:62" x14ac:dyDescent="0.2">
      <c r="BJ59916" s="201"/>
    </row>
    <row r="59917" spans="62:62" x14ac:dyDescent="0.2">
      <c r="BJ59917" s="201"/>
    </row>
    <row r="59918" spans="62:62" x14ac:dyDescent="0.2">
      <c r="BJ59918" s="201"/>
    </row>
    <row r="59919" spans="62:62" x14ac:dyDescent="0.2">
      <c r="BJ59919" s="201"/>
    </row>
    <row r="59920" spans="62:62" x14ac:dyDescent="0.2">
      <c r="BJ59920" s="201"/>
    </row>
    <row r="59921" spans="62:62" x14ac:dyDescent="0.2">
      <c r="BJ59921" s="201"/>
    </row>
    <row r="59922" spans="62:62" x14ac:dyDescent="0.2">
      <c r="BJ59922" s="201"/>
    </row>
    <row r="59923" spans="62:62" x14ac:dyDescent="0.2">
      <c r="BJ59923" s="201"/>
    </row>
    <row r="59924" spans="62:62" x14ac:dyDescent="0.2">
      <c r="BJ59924" s="201"/>
    </row>
    <row r="59925" spans="62:62" x14ac:dyDescent="0.2">
      <c r="BJ59925" s="201"/>
    </row>
    <row r="59926" spans="62:62" x14ac:dyDescent="0.2">
      <c r="BJ59926" s="201"/>
    </row>
    <row r="59927" spans="62:62" x14ac:dyDescent="0.2">
      <c r="BJ59927" s="201"/>
    </row>
    <row r="59928" spans="62:62" x14ac:dyDescent="0.2">
      <c r="BJ59928" s="201"/>
    </row>
    <row r="59929" spans="62:62" x14ac:dyDescent="0.2">
      <c r="BJ59929" s="201"/>
    </row>
    <row r="59930" spans="62:62" x14ac:dyDescent="0.2">
      <c r="BJ59930" s="201"/>
    </row>
    <row r="59931" spans="62:62" x14ac:dyDescent="0.2">
      <c r="BJ59931" s="201"/>
    </row>
    <row r="59932" spans="62:62" x14ac:dyDescent="0.2">
      <c r="BJ59932" s="201"/>
    </row>
    <row r="59933" spans="62:62" x14ac:dyDescent="0.2">
      <c r="BJ59933" s="201"/>
    </row>
    <row r="59934" spans="62:62" x14ac:dyDescent="0.2">
      <c r="BJ59934" s="201"/>
    </row>
    <row r="59935" spans="62:62" x14ac:dyDescent="0.2">
      <c r="BJ59935" s="201"/>
    </row>
    <row r="59936" spans="62:62" x14ac:dyDescent="0.2">
      <c r="BJ59936" s="201"/>
    </row>
    <row r="59937" spans="62:62" x14ac:dyDescent="0.2">
      <c r="BJ59937" s="201"/>
    </row>
    <row r="59938" spans="62:62" x14ac:dyDescent="0.2">
      <c r="BJ59938" s="201"/>
    </row>
    <row r="59939" spans="62:62" x14ac:dyDescent="0.2">
      <c r="BJ59939" s="201"/>
    </row>
    <row r="59940" spans="62:62" x14ac:dyDescent="0.2">
      <c r="BJ59940" s="201"/>
    </row>
    <row r="59941" spans="62:62" x14ac:dyDescent="0.2">
      <c r="BJ59941" s="201"/>
    </row>
    <row r="59942" spans="62:62" x14ac:dyDescent="0.2">
      <c r="BJ59942" s="201"/>
    </row>
    <row r="59943" spans="62:62" x14ac:dyDescent="0.2">
      <c r="BJ59943" s="201"/>
    </row>
    <row r="59944" spans="62:62" x14ac:dyDescent="0.2">
      <c r="BJ59944" s="201"/>
    </row>
    <row r="59945" spans="62:62" x14ac:dyDescent="0.2">
      <c r="BJ59945" s="201"/>
    </row>
    <row r="59946" spans="62:62" x14ac:dyDescent="0.2">
      <c r="BJ59946" s="201"/>
    </row>
    <row r="59947" spans="62:62" x14ac:dyDescent="0.2">
      <c r="BJ59947" s="201"/>
    </row>
    <row r="59948" spans="62:62" x14ac:dyDescent="0.2">
      <c r="BJ59948" s="201"/>
    </row>
    <row r="59949" spans="62:62" x14ac:dyDescent="0.2">
      <c r="BJ59949" s="201"/>
    </row>
    <row r="59950" spans="62:62" x14ac:dyDescent="0.2">
      <c r="BJ59950" s="201"/>
    </row>
    <row r="59951" spans="62:62" x14ac:dyDescent="0.2">
      <c r="BJ59951" s="201"/>
    </row>
    <row r="59952" spans="62:62" x14ac:dyDescent="0.2">
      <c r="BJ59952" s="201"/>
    </row>
    <row r="59953" spans="62:62" x14ac:dyDescent="0.2">
      <c r="BJ59953" s="201"/>
    </row>
    <row r="59954" spans="62:62" x14ac:dyDescent="0.2">
      <c r="BJ59954" s="201"/>
    </row>
    <row r="59955" spans="62:62" x14ac:dyDescent="0.2">
      <c r="BJ59955" s="201"/>
    </row>
    <row r="59956" spans="62:62" x14ac:dyDescent="0.2">
      <c r="BJ59956" s="201"/>
    </row>
    <row r="59957" spans="62:62" x14ac:dyDescent="0.2">
      <c r="BJ59957" s="201"/>
    </row>
    <row r="59958" spans="62:62" x14ac:dyDescent="0.2">
      <c r="BJ59958" s="201"/>
    </row>
    <row r="59959" spans="62:62" x14ac:dyDescent="0.2">
      <c r="BJ59959" s="201"/>
    </row>
    <row r="59960" spans="62:62" x14ac:dyDescent="0.2">
      <c r="BJ59960" s="201"/>
    </row>
    <row r="59961" spans="62:62" x14ac:dyDescent="0.2">
      <c r="BJ59961" s="201"/>
    </row>
    <row r="59962" spans="62:62" x14ac:dyDescent="0.2">
      <c r="BJ59962" s="201"/>
    </row>
    <row r="59963" spans="62:62" x14ac:dyDescent="0.2">
      <c r="BJ59963" s="201"/>
    </row>
    <row r="59964" spans="62:62" x14ac:dyDescent="0.2">
      <c r="BJ59964" s="201"/>
    </row>
    <row r="59965" spans="62:62" x14ac:dyDescent="0.2">
      <c r="BJ59965" s="201"/>
    </row>
    <row r="59966" spans="62:62" x14ac:dyDescent="0.2">
      <c r="BJ59966" s="201"/>
    </row>
    <row r="59967" spans="62:62" x14ac:dyDescent="0.2">
      <c r="BJ59967" s="201"/>
    </row>
    <row r="59968" spans="62:62" x14ac:dyDescent="0.2">
      <c r="BJ59968" s="201"/>
    </row>
    <row r="59969" spans="62:62" x14ac:dyDescent="0.2">
      <c r="BJ59969" s="201"/>
    </row>
    <row r="59970" spans="62:62" x14ac:dyDescent="0.2">
      <c r="BJ59970" s="201"/>
    </row>
    <row r="59971" spans="62:62" x14ac:dyDescent="0.2">
      <c r="BJ59971" s="201"/>
    </row>
    <row r="59972" spans="62:62" x14ac:dyDescent="0.2">
      <c r="BJ59972" s="201"/>
    </row>
    <row r="59973" spans="62:62" x14ac:dyDescent="0.2">
      <c r="BJ59973" s="201"/>
    </row>
    <row r="59974" spans="62:62" x14ac:dyDescent="0.2">
      <c r="BJ59974" s="201"/>
    </row>
    <row r="59975" spans="62:62" x14ac:dyDescent="0.2">
      <c r="BJ59975" s="201"/>
    </row>
    <row r="59976" spans="62:62" x14ac:dyDescent="0.2">
      <c r="BJ59976" s="201"/>
    </row>
    <row r="59977" spans="62:62" x14ac:dyDescent="0.2">
      <c r="BJ59977" s="201"/>
    </row>
    <row r="59978" spans="62:62" x14ac:dyDescent="0.2">
      <c r="BJ59978" s="201"/>
    </row>
    <row r="59979" spans="62:62" x14ac:dyDescent="0.2">
      <c r="BJ59979" s="201"/>
    </row>
    <row r="59980" spans="62:62" x14ac:dyDescent="0.2">
      <c r="BJ59980" s="201"/>
    </row>
    <row r="59981" spans="62:62" x14ac:dyDescent="0.2">
      <c r="BJ59981" s="201"/>
    </row>
    <row r="59982" spans="62:62" x14ac:dyDescent="0.2">
      <c r="BJ59982" s="201"/>
    </row>
    <row r="59983" spans="62:62" x14ac:dyDescent="0.2">
      <c r="BJ59983" s="201"/>
    </row>
    <row r="59984" spans="62:62" x14ac:dyDescent="0.2">
      <c r="BJ59984" s="201"/>
    </row>
    <row r="59985" spans="62:62" x14ac:dyDescent="0.2">
      <c r="BJ59985" s="201"/>
    </row>
    <row r="59986" spans="62:62" x14ac:dyDescent="0.2">
      <c r="BJ59986" s="201"/>
    </row>
    <row r="59987" spans="62:62" x14ac:dyDescent="0.2">
      <c r="BJ59987" s="201"/>
    </row>
    <row r="59988" spans="62:62" x14ac:dyDescent="0.2">
      <c r="BJ59988" s="201"/>
    </row>
    <row r="59989" spans="62:62" x14ac:dyDescent="0.2">
      <c r="BJ59989" s="201"/>
    </row>
    <row r="59990" spans="62:62" x14ac:dyDescent="0.2">
      <c r="BJ59990" s="201"/>
    </row>
    <row r="59991" spans="62:62" x14ac:dyDescent="0.2">
      <c r="BJ59991" s="201"/>
    </row>
    <row r="59992" spans="62:62" x14ac:dyDescent="0.2">
      <c r="BJ59992" s="201"/>
    </row>
    <row r="59993" spans="62:62" x14ac:dyDescent="0.2">
      <c r="BJ59993" s="201"/>
    </row>
    <row r="59994" spans="62:62" x14ac:dyDescent="0.2">
      <c r="BJ59994" s="201"/>
    </row>
    <row r="59995" spans="62:62" x14ac:dyDescent="0.2">
      <c r="BJ59995" s="201"/>
    </row>
    <row r="59996" spans="62:62" x14ac:dyDescent="0.2">
      <c r="BJ59996" s="201"/>
    </row>
    <row r="59997" spans="62:62" x14ac:dyDescent="0.2">
      <c r="BJ59997" s="201"/>
    </row>
    <row r="59998" spans="62:62" x14ac:dyDescent="0.2">
      <c r="BJ59998" s="201"/>
    </row>
    <row r="59999" spans="62:62" x14ac:dyDescent="0.2">
      <c r="BJ59999" s="201"/>
    </row>
    <row r="60000" spans="62:62" x14ac:dyDescent="0.2">
      <c r="BJ60000" s="201"/>
    </row>
    <row r="60001" spans="62:62" x14ac:dyDescent="0.2">
      <c r="BJ60001" s="201"/>
    </row>
    <row r="60002" spans="62:62" x14ac:dyDescent="0.2">
      <c r="BJ60002" s="201"/>
    </row>
    <row r="60003" spans="62:62" x14ac:dyDescent="0.2">
      <c r="BJ60003" s="201"/>
    </row>
    <row r="60004" spans="62:62" x14ac:dyDescent="0.2">
      <c r="BJ60004" s="201"/>
    </row>
    <row r="60005" spans="62:62" x14ac:dyDescent="0.2">
      <c r="BJ60005" s="201"/>
    </row>
    <row r="60006" spans="62:62" x14ac:dyDescent="0.2">
      <c r="BJ60006" s="201"/>
    </row>
    <row r="60007" spans="62:62" x14ac:dyDescent="0.2">
      <c r="BJ60007" s="201"/>
    </row>
    <row r="60008" spans="62:62" x14ac:dyDescent="0.2">
      <c r="BJ60008" s="201"/>
    </row>
    <row r="60009" spans="62:62" x14ac:dyDescent="0.2">
      <c r="BJ60009" s="201"/>
    </row>
    <row r="60010" spans="62:62" x14ac:dyDescent="0.2">
      <c r="BJ60010" s="201"/>
    </row>
    <row r="60011" spans="62:62" x14ac:dyDescent="0.2">
      <c r="BJ60011" s="201"/>
    </row>
    <row r="60012" spans="62:62" x14ac:dyDescent="0.2">
      <c r="BJ60012" s="201"/>
    </row>
    <row r="60013" spans="62:62" x14ac:dyDescent="0.2">
      <c r="BJ60013" s="201"/>
    </row>
    <row r="60014" spans="62:62" x14ac:dyDescent="0.2">
      <c r="BJ60014" s="201"/>
    </row>
    <row r="60015" spans="62:62" x14ac:dyDescent="0.2">
      <c r="BJ60015" s="201"/>
    </row>
    <row r="60016" spans="62:62" x14ac:dyDescent="0.2">
      <c r="BJ60016" s="201"/>
    </row>
    <row r="60017" spans="62:62" x14ac:dyDescent="0.2">
      <c r="BJ60017" s="201"/>
    </row>
    <row r="60018" spans="62:62" x14ac:dyDescent="0.2">
      <c r="BJ60018" s="201"/>
    </row>
    <row r="60019" spans="62:62" x14ac:dyDescent="0.2">
      <c r="BJ60019" s="201"/>
    </row>
    <row r="60020" spans="62:62" x14ac:dyDescent="0.2">
      <c r="BJ60020" s="201"/>
    </row>
    <row r="60021" spans="62:62" x14ac:dyDescent="0.2">
      <c r="BJ60021" s="201"/>
    </row>
    <row r="60022" spans="62:62" x14ac:dyDescent="0.2">
      <c r="BJ60022" s="201"/>
    </row>
    <row r="60023" spans="62:62" x14ac:dyDescent="0.2">
      <c r="BJ60023" s="201"/>
    </row>
    <row r="60024" spans="62:62" x14ac:dyDescent="0.2">
      <c r="BJ60024" s="201"/>
    </row>
    <row r="60025" spans="62:62" x14ac:dyDescent="0.2">
      <c r="BJ60025" s="201"/>
    </row>
    <row r="60026" spans="62:62" x14ac:dyDescent="0.2">
      <c r="BJ60026" s="201"/>
    </row>
    <row r="60027" spans="62:62" x14ac:dyDescent="0.2">
      <c r="BJ60027" s="201"/>
    </row>
    <row r="60028" spans="62:62" x14ac:dyDescent="0.2">
      <c r="BJ60028" s="201"/>
    </row>
    <row r="60029" spans="62:62" x14ac:dyDescent="0.2">
      <c r="BJ60029" s="201"/>
    </row>
    <row r="60030" spans="62:62" x14ac:dyDescent="0.2">
      <c r="BJ60030" s="201"/>
    </row>
    <row r="60031" spans="62:62" x14ac:dyDescent="0.2">
      <c r="BJ60031" s="201"/>
    </row>
    <row r="60032" spans="62:62" x14ac:dyDescent="0.2">
      <c r="BJ60032" s="201"/>
    </row>
    <row r="60033" spans="62:62" x14ac:dyDescent="0.2">
      <c r="BJ60033" s="201"/>
    </row>
    <row r="60034" spans="62:62" x14ac:dyDescent="0.2">
      <c r="BJ60034" s="201"/>
    </row>
    <row r="60035" spans="62:62" x14ac:dyDescent="0.2">
      <c r="BJ60035" s="201"/>
    </row>
    <row r="60036" spans="62:62" x14ac:dyDescent="0.2">
      <c r="BJ60036" s="201"/>
    </row>
    <row r="60037" spans="62:62" x14ac:dyDescent="0.2">
      <c r="BJ60037" s="201"/>
    </row>
    <row r="60038" spans="62:62" x14ac:dyDescent="0.2">
      <c r="BJ60038" s="201"/>
    </row>
    <row r="60039" spans="62:62" x14ac:dyDescent="0.2">
      <c r="BJ60039" s="201"/>
    </row>
    <row r="60040" spans="62:62" x14ac:dyDescent="0.2">
      <c r="BJ60040" s="201"/>
    </row>
    <row r="60041" spans="62:62" x14ac:dyDescent="0.2">
      <c r="BJ60041" s="201"/>
    </row>
    <row r="60042" spans="62:62" x14ac:dyDescent="0.2">
      <c r="BJ60042" s="201"/>
    </row>
    <row r="60043" spans="62:62" x14ac:dyDescent="0.2">
      <c r="BJ60043" s="201"/>
    </row>
    <row r="60044" spans="62:62" x14ac:dyDescent="0.2">
      <c r="BJ60044" s="201"/>
    </row>
    <row r="60045" spans="62:62" x14ac:dyDescent="0.2">
      <c r="BJ60045" s="201"/>
    </row>
    <row r="60046" spans="62:62" x14ac:dyDescent="0.2">
      <c r="BJ60046" s="201"/>
    </row>
    <row r="60047" spans="62:62" x14ac:dyDescent="0.2">
      <c r="BJ60047" s="201"/>
    </row>
    <row r="60048" spans="62:62" x14ac:dyDescent="0.2">
      <c r="BJ60048" s="201"/>
    </row>
    <row r="60049" spans="62:62" x14ac:dyDescent="0.2">
      <c r="BJ60049" s="201"/>
    </row>
    <row r="60050" spans="62:62" x14ac:dyDescent="0.2">
      <c r="BJ60050" s="201"/>
    </row>
    <row r="60051" spans="62:62" x14ac:dyDescent="0.2">
      <c r="BJ60051" s="201"/>
    </row>
    <row r="60052" spans="62:62" x14ac:dyDescent="0.2">
      <c r="BJ60052" s="201"/>
    </row>
    <row r="60053" spans="62:62" x14ac:dyDescent="0.2">
      <c r="BJ60053" s="201"/>
    </row>
    <row r="60054" spans="62:62" x14ac:dyDescent="0.2">
      <c r="BJ60054" s="201"/>
    </row>
    <row r="60055" spans="62:62" x14ac:dyDescent="0.2">
      <c r="BJ60055" s="201"/>
    </row>
    <row r="60056" spans="62:62" x14ac:dyDescent="0.2">
      <c r="BJ60056" s="201"/>
    </row>
    <row r="60057" spans="62:62" x14ac:dyDescent="0.2">
      <c r="BJ60057" s="201"/>
    </row>
    <row r="60058" spans="62:62" x14ac:dyDescent="0.2">
      <c r="BJ60058" s="201"/>
    </row>
    <row r="60059" spans="62:62" x14ac:dyDescent="0.2">
      <c r="BJ60059" s="201"/>
    </row>
    <row r="60060" spans="62:62" x14ac:dyDescent="0.2">
      <c r="BJ60060" s="201"/>
    </row>
    <row r="60061" spans="62:62" x14ac:dyDescent="0.2">
      <c r="BJ60061" s="201"/>
    </row>
    <row r="60062" spans="62:62" x14ac:dyDescent="0.2">
      <c r="BJ60062" s="201"/>
    </row>
    <row r="60063" spans="62:62" x14ac:dyDescent="0.2">
      <c r="BJ60063" s="201"/>
    </row>
    <row r="60064" spans="62:62" x14ac:dyDescent="0.2">
      <c r="BJ60064" s="201"/>
    </row>
    <row r="60065" spans="62:62" x14ac:dyDescent="0.2">
      <c r="BJ60065" s="201"/>
    </row>
    <row r="60066" spans="62:62" x14ac:dyDescent="0.2">
      <c r="BJ60066" s="201"/>
    </row>
    <row r="60067" spans="62:62" x14ac:dyDescent="0.2">
      <c r="BJ60067" s="201"/>
    </row>
    <row r="60068" spans="62:62" x14ac:dyDescent="0.2">
      <c r="BJ60068" s="201"/>
    </row>
    <row r="60069" spans="62:62" x14ac:dyDescent="0.2">
      <c r="BJ60069" s="201"/>
    </row>
    <row r="60070" spans="62:62" x14ac:dyDescent="0.2">
      <c r="BJ60070" s="201"/>
    </row>
    <row r="60071" spans="62:62" x14ac:dyDescent="0.2">
      <c r="BJ60071" s="201"/>
    </row>
    <row r="60072" spans="62:62" x14ac:dyDescent="0.2">
      <c r="BJ60072" s="201"/>
    </row>
    <row r="60073" spans="62:62" x14ac:dyDescent="0.2">
      <c r="BJ60073" s="201"/>
    </row>
    <row r="60074" spans="62:62" x14ac:dyDescent="0.2">
      <c r="BJ60074" s="201"/>
    </row>
    <row r="60075" spans="62:62" x14ac:dyDescent="0.2">
      <c r="BJ60075" s="201"/>
    </row>
    <row r="60076" spans="62:62" x14ac:dyDescent="0.2">
      <c r="BJ60076" s="201"/>
    </row>
    <row r="60077" spans="62:62" x14ac:dyDescent="0.2">
      <c r="BJ60077" s="201"/>
    </row>
    <row r="60078" spans="62:62" x14ac:dyDescent="0.2">
      <c r="BJ60078" s="201"/>
    </row>
    <row r="60079" spans="62:62" x14ac:dyDescent="0.2">
      <c r="BJ60079" s="201"/>
    </row>
    <row r="60080" spans="62:62" x14ac:dyDescent="0.2">
      <c r="BJ60080" s="201"/>
    </row>
    <row r="60081" spans="62:62" x14ac:dyDescent="0.2">
      <c r="BJ60081" s="201"/>
    </row>
    <row r="60082" spans="62:62" x14ac:dyDescent="0.2">
      <c r="BJ60082" s="201"/>
    </row>
    <row r="60083" spans="62:62" x14ac:dyDescent="0.2">
      <c r="BJ60083" s="201"/>
    </row>
    <row r="60084" spans="62:62" x14ac:dyDescent="0.2">
      <c r="BJ60084" s="201"/>
    </row>
    <row r="60085" spans="62:62" x14ac:dyDescent="0.2">
      <c r="BJ60085" s="201"/>
    </row>
    <row r="60086" spans="62:62" x14ac:dyDescent="0.2">
      <c r="BJ60086" s="201"/>
    </row>
    <row r="60087" spans="62:62" x14ac:dyDescent="0.2">
      <c r="BJ60087" s="201"/>
    </row>
    <row r="60088" spans="62:62" x14ac:dyDescent="0.2">
      <c r="BJ60088" s="201"/>
    </row>
    <row r="60089" spans="62:62" x14ac:dyDescent="0.2">
      <c r="BJ60089" s="201"/>
    </row>
    <row r="60090" spans="62:62" x14ac:dyDescent="0.2">
      <c r="BJ60090" s="201"/>
    </row>
    <row r="60091" spans="62:62" x14ac:dyDescent="0.2">
      <c r="BJ60091" s="201"/>
    </row>
    <row r="60092" spans="62:62" x14ac:dyDescent="0.2">
      <c r="BJ60092" s="201"/>
    </row>
    <row r="60093" spans="62:62" x14ac:dyDescent="0.2">
      <c r="BJ60093" s="201"/>
    </row>
    <row r="60094" spans="62:62" x14ac:dyDescent="0.2">
      <c r="BJ60094" s="201"/>
    </row>
    <row r="60095" spans="62:62" x14ac:dyDescent="0.2">
      <c r="BJ60095" s="201"/>
    </row>
    <row r="60096" spans="62:62" x14ac:dyDescent="0.2">
      <c r="BJ60096" s="201"/>
    </row>
    <row r="60097" spans="62:62" x14ac:dyDescent="0.2">
      <c r="BJ60097" s="201"/>
    </row>
    <row r="60098" spans="62:62" x14ac:dyDescent="0.2">
      <c r="BJ60098" s="201"/>
    </row>
    <row r="60099" spans="62:62" x14ac:dyDescent="0.2">
      <c r="BJ60099" s="201"/>
    </row>
    <row r="60100" spans="62:62" x14ac:dyDescent="0.2">
      <c r="BJ60100" s="201"/>
    </row>
    <row r="60101" spans="62:62" x14ac:dyDescent="0.2">
      <c r="BJ60101" s="201"/>
    </row>
    <row r="60102" spans="62:62" x14ac:dyDescent="0.2">
      <c r="BJ60102" s="201"/>
    </row>
    <row r="60103" spans="62:62" x14ac:dyDescent="0.2">
      <c r="BJ60103" s="201"/>
    </row>
    <row r="60104" spans="62:62" x14ac:dyDescent="0.2">
      <c r="BJ60104" s="201"/>
    </row>
    <row r="60105" spans="62:62" x14ac:dyDescent="0.2">
      <c r="BJ60105" s="201"/>
    </row>
    <row r="60106" spans="62:62" x14ac:dyDescent="0.2">
      <c r="BJ60106" s="201"/>
    </row>
    <row r="60107" spans="62:62" x14ac:dyDescent="0.2">
      <c r="BJ60107" s="201"/>
    </row>
    <row r="60108" spans="62:62" x14ac:dyDescent="0.2">
      <c r="BJ60108" s="201"/>
    </row>
    <row r="60109" spans="62:62" x14ac:dyDescent="0.2">
      <c r="BJ60109" s="201"/>
    </row>
    <row r="60110" spans="62:62" x14ac:dyDescent="0.2">
      <c r="BJ60110" s="201"/>
    </row>
    <row r="60111" spans="62:62" x14ac:dyDescent="0.2">
      <c r="BJ60111" s="201"/>
    </row>
    <row r="60112" spans="62:62" x14ac:dyDescent="0.2">
      <c r="BJ60112" s="201"/>
    </row>
    <row r="60113" spans="62:62" x14ac:dyDescent="0.2">
      <c r="BJ60113" s="201"/>
    </row>
    <row r="60114" spans="62:62" x14ac:dyDescent="0.2">
      <c r="BJ60114" s="201"/>
    </row>
    <row r="60115" spans="62:62" x14ac:dyDescent="0.2">
      <c r="BJ60115" s="201"/>
    </row>
    <row r="60116" spans="62:62" x14ac:dyDescent="0.2">
      <c r="BJ60116" s="201"/>
    </row>
    <row r="60117" spans="62:62" x14ac:dyDescent="0.2">
      <c r="BJ60117" s="201"/>
    </row>
    <row r="60118" spans="62:62" x14ac:dyDescent="0.2">
      <c r="BJ60118" s="201"/>
    </row>
    <row r="60119" spans="62:62" x14ac:dyDescent="0.2">
      <c r="BJ60119" s="201"/>
    </row>
    <row r="60120" spans="62:62" x14ac:dyDescent="0.2">
      <c r="BJ60120" s="201"/>
    </row>
    <row r="60121" spans="62:62" x14ac:dyDescent="0.2">
      <c r="BJ60121" s="201"/>
    </row>
    <row r="60122" spans="62:62" x14ac:dyDescent="0.2">
      <c r="BJ60122" s="201"/>
    </row>
    <row r="60123" spans="62:62" x14ac:dyDescent="0.2">
      <c r="BJ60123" s="201"/>
    </row>
    <row r="60124" spans="62:62" x14ac:dyDescent="0.2">
      <c r="BJ60124" s="201"/>
    </row>
    <row r="60125" spans="62:62" x14ac:dyDescent="0.2">
      <c r="BJ60125" s="201"/>
    </row>
    <row r="60126" spans="62:62" x14ac:dyDescent="0.2">
      <c r="BJ60126" s="201"/>
    </row>
    <row r="60127" spans="62:62" x14ac:dyDescent="0.2">
      <c r="BJ60127" s="201"/>
    </row>
    <row r="60128" spans="62:62" x14ac:dyDescent="0.2">
      <c r="BJ60128" s="201"/>
    </row>
    <row r="60129" spans="62:62" x14ac:dyDescent="0.2">
      <c r="BJ60129" s="201"/>
    </row>
    <row r="60130" spans="62:62" x14ac:dyDescent="0.2">
      <c r="BJ60130" s="201"/>
    </row>
    <row r="60131" spans="62:62" x14ac:dyDescent="0.2">
      <c r="BJ60131" s="201"/>
    </row>
    <row r="60132" spans="62:62" x14ac:dyDescent="0.2">
      <c r="BJ60132" s="201"/>
    </row>
    <row r="60133" spans="62:62" x14ac:dyDescent="0.2">
      <c r="BJ60133" s="201"/>
    </row>
    <row r="60134" spans="62:62" x14ac:dyDescent="0.2">
      <c r="BJ60134" s="201"/>
    </row>
    <row r="60135" spans="62:62" x14ac:dyDescent="0.2">
      <c r="BJ60135" s="201"/>
    </row>
    <row r="60136" spans="62:62" x14ac:dyDescent="0.2">
      <c r="BJ60136" s="201"/>
    </row>
    <row r="60137" spans="62:62" x14ac:dyDescent="0.2">
      <c r="BJ60137" s="201"/>
    </row>
    <row r="60138" spans="62:62" x14ac:dyDescent="0.2">
      <c r="BJ60138" s="201"/>
    </row>
    <row r="60139" spans="62:62" x14ac:dyDescent="0.2">
      <c r="BJ60139" s="201"/>
    </row>
    <row r="60140" spans="62:62" x14ac:dyDescent="0.2">
      <c r="BJ60140" s="201"/>
    </row>
    <row r="60141" spans="62:62" x14ac:dyDescent="0.2">
      <c r="BJ60141" s="201"/>
    </row>
    <row r="60142" spans="62:62" x14ac:dyDescent="0.2">
      <c r="BJ60142" s="201"/>
    </row>
    <row r="60143" spans="62:62" x14ac:dyDescent="0.2">
      <c r="BJ60143" s="201"/>
    </row>
    <row r="60144" spans="62:62" x14ac:dyDescent="0.2">
      <c r="BJ60144" s="201"/>
    </row>
    <row r="60145" spans="62:62" x14ac:dyDescent="0.2">
      <c r="BJ60145" s="201"/>
    </row>
    <row r="60146" spans="62:62" x14ac:dyDescent="0.2">
      <c r="BJ60146" s="201"/>
    </row>
    <row r="60147" spans="62:62" x14ac:dyDescent="0.2">
      <c r="BJ60147" s="201"/>
    </row>
    <row r="60148" spans="62:62" x14ac:dyDescent="0.2">
      <c r="BJ60148" s="201"/>
    </row>
    <row r="60149" spans="62:62" x14ac:dyDescent="0.2">
      <c r="BJ60149" s="201"/>
    </row>
    <row r="60150" spans="62:62" x14ac:dyDescent="0.2">
      <c r="BJ60150" s="201"/>
    </row>
    <row r="60151" spans="62:62" x14ac:dyDescent="0.2">
      <c r="BJ60151" s="201"/>
    </row>
    <row r="60152" spans="62:62" x14ac:dyDescent="0.2">
      <c r="BJ60152" s="201"/>
    </row>
    <row r="60153" spans="62:62" x14ac:dyDescent="0.2">
      <c r="BJ60153" s="201"/>
    </row>
    <row r="60154" spans="62:62" x14ac:dyDescent="0.2">
      <c r="BJ60154" s="201"/>
    </row>
    <row r="60155" spans="62:62" x14ac:dyDescent="0.2">
      <c r="BJ60155" s="201"/>
    </row>
    <row r="60156" spans="62:62" x14ac:dyDescent="0.2">
      <c r="BJ60156" s="201"/>
    </row>
    <row r="60157" spans="62:62" x14ac:dyDescent="0.2">
      <c r="BJ60157" s="201"/>
    </row>
    <row r="60158" spans="62:62" x14ac:dyDescent="0.2">
      <c r="BJ60158" s="201"/>
    </row>
    <row r="60159" spans="62:62" x14ac:dyDescent="0.2">
      <c r="BJ60159" s="201"/>
    </row>
    <row r="60160" spans="62:62" x14ac:dyDescent="0.2">
      <c r="BJ60160" s="201"/>
    </row>
    <row r="60161" spans="62:62" x14ac:dyDescent="0.2">
      <c r="BJ60161" s="201"/>
    </row>
    <row r="60162" spans="62:62" x14ac:dyDescent="0.2">
      <c r="BJ60162" s="201"/>
    </row>
    <row r="60163" spans="62:62" x14ac:dyDescent="0.2">
      <c r="BJ60163" s="201"/>
    </row>
    <row r="60164" spans="62:62" x14ac:dyDescent="0.2">
      <c r="BJ60164" s="201"/>
    </row>
    <row r="60165" spans="62:62" x14ac:dyDescent="0.2">
      <c r="BJ60165" s="201"/>
    </row>
    <row r="60166" spans="62:62" x14ac:dyDescent="0.2">
      <c r="BJ60166" s="201"/>
    </row>
    <row r="60167" spans="62:62" x14ac:dyDescent="0.2">
      <c r="BJ60167" s="201"/>
    </row>
    <row r="60168" spans="62:62" x14ac:dyDescent="0.2">
      <c r="BJ60168" s="201"/>
    </row>
    <row r="60169" spans="62:62" x14ac:dyDescent="0.2">
      <c r="BJ60169" s="201"/>
    </row>
    <row r="60170" spans="62:62" x14ac:dyDescent="0.2">
      <c r="BJ60170" s="201"/>
    </row>
    <row r="60171" spans="62:62" x14ac:dyDescent="0.2">
      <c r="BJ60171" s="201"/>
    </row>
    <row r="60172" spans="62:62" x14ac:dyDescent="0.2">
      <c r="BJ60172" s="201"/>
    </row>
    <row r="60173" spans="62:62" x14ac:dyDescent="0.2">
      <c r="BJ60173" s="201"/>
    </row>
    <row r="60174" spans="62:62" x14ac:dyDescent="0.2">
      <c r="BJ60174" s="201"/>
    </row>
    <row r="60175" spans="62:62" x14ac:dyDescent="0.2">
      <c r="BJ60175" s="201"/>
    </row>
    <row r="60176" spans="62:62" x14ac:dyDescent="0.2">
      <c r="BJ60176" s="201"/>
    </row>
    <row r="60177" spans="62:62" x14ac:dyDescent="0.2">
      <c r="BJ60177" s="201"/>
    </row>
    <row r="60178" spans="62:62" x14ac:dyDescent="0.2">
      <c r="BJ60178" s="201"/>
    </row>
    <row r="60179" spans="62:62" x14ac:dyDescent="0.2">
      <c r="BJ60179" s="201"/>
    </row>
    <row r="60180" spans="62:62" x14ac:dyDescent="0.2">
      <c r="BJ60180" s="201"/>
    </row>
    <row r="60181" spans="62:62" x14ac:dyDescent="0.2">
      <c r="BJ60181" s="201"/>
    </row>
    <row r="60182" spans="62:62" x14ac:dyDescent="0.2">
      <c r="BJ60182" s="201"/>
    </row>
    <row r="60183" spans="62:62" x14ac:dyDescent="0.2">
      <c r="BJ60183" s="201"/>
    </row>
    <row r="60184" spans="62:62" x14ac:dyDescent="0.2">
      <c r="BJ60184" s="201"/>
    </row>
    <row r="60185" spans="62:62" x14ac:dyDescent="0.2">
      <c r="BJ60185" s="201"/>
    </row>
    <row r="60186" spans="62:62" x14ac:dyDescent="0.2">
      <c r="BJ60186" s="201"/>
    </row>
    <row r="60187" spans="62:62" x14ac:dyDescent="0.2">
      <c r="BJ60187" s="201"/>
    </row>
    <row r="60188" spans="62:62" x14ac:dyDescent="0.2">
      <c r="BJ60188" s="201"/>
    </row>
    <row r="60189" spans="62:62" x14ac:dyDescent="0.2">
      <c r="BJ60189" s="201"/>
    </row>
    <row r="60190" spans="62:62" x14ac:dyDescent="0.2">
      <c r="BJ60190" s="201"/>
    </row>
    <row r="60191" spans="62:62" x14ac:dyDescent="0.2">
      <c r="BJ60191" s="201"/>
    </row>
    <row r="60192" spans="62:62" x14ac:dyDescent="0.2">
      <c r="BJ60192" s="201"/>
    </row>
    <row r="60193" spans="62:62" x14ac:dyDescent="0.2">
      <c r="BJ60193" s="201"/>
    </row>
    <row r="60194" spans="62:62" x14ac:dyDescent="0.2">
      <c r="BJ60194" s="201"/>
    </row>
    <row r="60195" spans="62:62" x14ac:dyDescent="0.2">
      <c r="BJ60195" s="201"/>
    </row>
    <row r="60196" spans="62:62" x14ac:dyDescent="0.2">
      <c r="BJ60196" s="201"/>
    </row>
    <row r="60197" spans="62:62" x14ac:dyDescent="0.2">
      <c r="BJ60197" s="201"/>
    </row>
    <row r="60198" spans="62:62" x14ac:dyDescent="0.2">
      <c r="BJ60198" s="201"/>
    </row>
    <row r="60199" spans="62:62" x14ac:dyDescent="0.2">
      <c r="BJ60199" s="201"/>
    </row>
    <row r="60200" spans="62:62" x14ac:dyDescent="0.2">
      <c r="BJ60200" s="201"/>
    </row>
    <row r="60201" spans="62:62" x14ac:dyDescent="0.2">
      <c r="BJ60201" s="201"/>
    </row>
    <row r="60202" spans="62:62" x14ac:dyDescent="0.2">
      <c r="BJ60202" s="201"/>
    </row>
    <row r="60203" spans="62:62" x14ac:dyDescent="0.2">
      <c r="BJ60203" s="201"/>
    </row>
    <row r="60204" spans="62:62" x14ac:dyDescent="0.2">
      <c r="BJ60204" s="201"/>
    </row>
    <row r="60205" spans="62:62" x14ac:dyDescent="0.2">
      <c r="BJ60205" s="201"/>
    </row>
    <row r="60206" spans="62:62" x14ac:dyDescent="0.2">
      <c r="BJ60206" s="201"/>
    </row>
    <row r="60207" spans="62:62" x14ac:dyDescent="0.2">
      <c r="BJ60207" s="201"/>
    </row>
    <row r="60208" spans="62:62" x14ac:dyDescent="0.2">
      <c r="BJ60208" s="201"/>
    </row>
    <row r="60209" spans="62:62" x14ac:dyDescent="0.2">
      <c r="BJ60209" s="201"/>
    </row>
    <row r="60210" spans="62:62" x14ac:dyDescent="0.2">
      <c r="BJ60210" s="201"/>
    </row>
    <row r="60211" spans="62:62" x14ac:dyDescent="0.2">
      <c r="BJ60211" s="201"/>
    </row>
    <row r="60212" spans="62:62" x14ac:dyDescent="0.2">
      <c r="BJ60212" s="201"/>
    </row>
    <row r="60213" spans="62:62" x14ac:dyDescent="0.2">
      <c r="BJ60213" s="201"/>
    </row>
    <row r="60214" spans="62:62" x14ac:dyDescent="0.2">
      <c r="BJ60214" s="201"/>
    </row>
    <row r="60215" spans="62:62" x14ac:dyDescent="0.2">
      <c r="BJ60215" s="201"/>
    </row>
    <row r="60216" spans="62:62" x14ac:dyDescent="0.2">
      <c r="BJ60216" s="201"/>
    </row>
    <row r="60217" spans="62:62" x14ac:dyDescent="0.2">
      <c r="BJ60217" s="201"/>
    </row>
    <row r="60218" spans="62:62" x14ac:dyDescent="0.2">
      <c r="BJ60218" s="201"/>
    </row>
    <row r="60219" spans="62:62" x14ac:dyDescent="0.2">
      <c r="BJ60219" s="201"/>
    </row>
    <row r="60220" spans="62:62" x14ac:dyDescent="0.2">
      <c r="BJ60220" s="201"/>
    </row>
    <row r="60221" spans="62:62" x14ac:dyDescent="0.2">
      <c r="BJ60221" s="201"/>
    </row>
    <row r="60222" spans="62:62" x14ac:dyDescent="0.2">
      <c r="BJ60222" s="201"/>
    </row>
    <row r="60223" spans="62:62" x14ac:dyDescent="0.2">
      <c r="BJ60223" s="201"/>
    </row>
    <row r="60224" spans="62:62" x14ac:dyDescent="0.2">
      <c r="BJ60224" s="201"/>
    </row>
    <row r="60225" spans="62:62" x14ac:dyDescent="0.2">
      <c r="BJ60225" s="201"/>
    </row>
    <row r="60226" spans="62:62" x14ac:dyDescent="0.2">
      <c r="BJ60226" s="201"/>
    </row>
    <row r="60227" spans="62:62" x14ac:dyDescent="0.2">
      <c r="BJ60227" s="201"/>
    </row>
    <row r="60228" spans="62:62" x14ac:dyDescent="0.2">
      <c r="BJ60228" s="201"/>
    </row>
    <row r="60229" spans="62:62" x14ac:dyDescent="0.2">
      <c r="BJ60229" s="201"/>
    </row>
    <row r="60230" spans="62:62" x14ac:dyDescent="0.2">
      <c r="BJ60230" s="201"/>
    </row>
    <row r="60231" spans="62:62" x14ac:dyDescent="0.2">
      <c r="BJ60231" s="201"/>
    </row>
    <row r="60232" spans="62:62" x14ac:dyDescent="0.2">
      <c r="BJ60232" s="201"/>
    </row>
    <row r="60233" spans="62:62" x14ac:dyDescent="0.2">
      <c r="BJ60233" s="201"/>
    </row>
    <row r="60234" spans="62:62" x14ac:dyDescent="0.2">
      <c r="BJ60234" s="201"/>
    </row>
    <row r="60235" spans="62:62" x14ac:dyDescent="0.2">
      <c r="BJ60235" s="201"/>
    </row>
    <row r="60236" spans="62:62" x14ac:dyDescent="0.2">
      <c r="BJ60236" s="201"/>
    </row>
    <row r="60237" spans="62:62" x14ac:dyDescent="0.2">
      <c r="BJ60237" s="201"/>
    </row>
    <row r="60238" spans="62:62" x14ac:dyDescent="0.2">
      <c r="BJ60238" s="201"/>
    </row>
    <row r="60239" spans="62:62" x14ac:dyDescent="0.2">
      <c r="BJ60239" s="201"/>
    </row>
    <row r="60240" spans="62:62" x14ac:dyDescent="0.2">
      <c r="BJ60240" s="201"/>
    </row>
    <row r="60241" spans="62:62" x14ac:dyDescent="0.2">
      <c r="BJ60241" s="201"/>
    </row>
    <row r="60242" spans="62:62" x14ac:dyDescent="0.2">
      <c r="BJ60242" s="201"/>
    </row>
    <row r="60243" spans="62:62" x14ac:dyDescent="0.2">
      <c r="BJ60243" s="201"/>
    </row>
    <row r="60244" spans="62:62" x14ac:dyDescent="0.2">
      <c r="BJ60244" s="201"/>
    </row>
    <row r="60245" spans="62:62" x14ac:dyDescent="0.2">
      <c r="BJ60245" s="201"/>
    </row>
    <row r="60246" spans="62:62" x14ac:dyDescent="0.2">
      <c r="BJ60246" s="201"/>
    </row>
    <row r="60247" spans="62:62" x14ac:dyDescent="0.2">
      <c r="BJ60247" s="201"/>
    </row>
    <row r="60248" spans="62:62" x14ac:dyDescent="0.2">
      <c r="BJ60248" s="201"/>
    </row>
    <row r="60249" spans="62:62" x14ac:dyDescent="0.2">
      <c r="BJ60249" s="201"/>
    </row>
    <row r="60250" spans="62:62" x14ac:dyDescent="0.2">
      <c r="BJ60250" s="201"/>
    </row>
    <row r="60251" spans="62:62" x14ac:dyDescent="0.2">
      <c r="BJ60251" s="201"/>
    </row>
    <row r="60252" spans="62:62" x14ac:dyDescent="0.2">
      <c r="BJ60252" s="201"/>
    </row>
    <row r="60253" spans="62:62" x14ac:dyDescent="0.2">
      <c r="BJ60253" s="201"/>
    </row>
    <row r="60254" spans="62:62" x14ac:dyDescent="0.2">
      <c r="BJ60254" s="201"/>
    </row>
    <row r="60255" spans="62:62" x14ac:dyDescent="0.2">
      <c r="BJ60255" s="201"/>
    </row>
    <row r="60256" spans="62:62" x14ac:dyDescent="0.2">
      <c r="BJ60256" s="201"/>
    </row>
    <row r="60257" spans="62:62" x14ac:dyDescent="0.2">
      <c r="BJ60257" s="201"/>
    </row>
    <row r="60258" spans="62:62" x14ac:dyDescent="0.2">
      <c r="BJ60258" s="201"/>
    </row>
    <row r="60259" spans="62:62" x14ac:dyDescent="0.2">
      <c r="BJ60259" s="201"/>
    </row>
    <row r="60260" spans="62:62" x14ac:dyDescent="0.2">
      <c r="BJ60260" s="201"/>
    </row>
    <row r="60261" spans="62:62" x14ac:dyDescent="0.2">
      <c r="BJ60261" s="201"/>
    </row>
    <row r="60262" spans="62:62" x14ac:dyDescent="0.2">
      <c r="BJ60262" s="201"/>
    </row>
    <row r="60263" spans="62:62" x14ac:dyDescent="0.2">
      <c r="BJ60263" s="201"/>
    </row>
    <row r="60264" spans="62:62" x14ac:dyDescent="0.2">
      <c r="BJ60264" s="201"/>
    </row>
    <row r="60265" spans="62:62" x14ac:dyDescent="0.2">
      <c r="BJ60265" s="201"/>
    </row>
    <row r="60266" spans="62:62" x14ac:dyDescent="0.2">
      <c r="BJ60266" s="201"/>
    </row>
    <row r="60267" spans="62:62" x14ac:dyDescent="0.2">
      <c r="BJ60267" s="201"/>
    </row>
    <row r="60268" spans="62:62" x14ac:dyDescent="0.2">
      <c r="BJ60268" s="201"/>
    </row>
    <row r="60269" spans="62:62" x14ac:dyDescent="0.2">
      <c r="BJ60269" s="201"/>
    </row>
    <row r="60270" spans="62:62" x14ac:dyDescent="0.2">
      <c r="BJ60270" s="201"/>
    </row>
    <row r="60271" spans="62:62" x14ac:dyDescent="0.2">
      <c r="BJ60271" s="201"/>
    </row>
    <row r="60272" spans="62:62" x14ac:dyDescent="0.2">
      <c r="BJ60272" s="201"/>
    </row>
    <row r="60273" spans="62:62" x14ac:dyDescent="0.2">
      <c r="BJ60273" s="201"/>
    </row>
    <row r="60274" spans="62:62" x14ac:dyDescent="0.2">
      <c r="BJ60274" s="201"/>
    </row>
    <row r="60275" spans="62:62" x14ac:dyDescent="0.2">
      <c r="BJ60275" s="201"/>
    </row>
    <row r="60276" spans="62:62" x14ac:dyDescent="0.2">
      <c r="BJ60276" s="201"/>
    </row>
    <row r="60277" spans="62:62" x14ac:dyDescent="0.2">
      <c r="BJ60277" s="201"/>
    </row>
    <row r="60278" spans="62:62" x14ac:dyDescent="0.2">
      <c r="BJ60278" s="201"/>
    </row>
    <row r="60279" spans="62:62" x14ac:dyDescent="0.2">
      <c r="BJ60279" s="201"/>
    </row>
    <row r="60280" spans="62:62" x14ac:dyDescent="0.2">
      <c r="BJ60280" s="201"/>
    </row>
    <row r="60281" spans="62:62" x14ac:dyDescent="0.2">
      <c r="BJ60281" s="201"/>
    </row>
    <row r="60282" spans="62:62" x14ac:dyDescent="0.2">
      <c r="BJ60282" s="201"/>
    </row>
    <row r="60283" spans="62:62" x14ac:dyDescent="0.2">
      <c r="BJ60283" s="201"/>
    </row>
    <row r="60284" spans="62:62" x14ac:dyDescent="0.2">
      <c r="BJ60284" s="201"/>
    </row>
    <row r="60285" spans="62:62" x14ac:dyDescent="0.2">
      <c r="BJ60285" s="201"/>
    </row>
    <row r="60286" spans="62:62" x14ac:dyDescent="0.2">
      <c r="BJ60286" s="201"/>
    </row>
    <row r="60287" spans="62:62" x14ac:dyDescent="0.2">
      <c r="BJ60287" s="201"/>
    </row>
    <row r="60288" spans="62:62" x14ac:dyDescent="0.2">
      <c r="BJ60288" s="201"/>
    </row>
    <row r="60289" spans="62:62" x14ac:dyDescent="0.2">
      <c r="BJ60289" s="201"/>
    </row>
    <row r="60290" spans="62:62" x14ac:dyDescent="0.2">
      <c r="BJ60290" s="201"/>
    </row>
    <row r="60291" spans="62:62" x14ac:dyDescent="0.2">
      <c r="BJ60291" s="201"/>
    </row>
    <row r="60292" spans="62:62" x14ac:dyDescent="0.2">
      <c r="BJ60292" s="201"/>
    </row>
    <row r="60293" spans="62:62" x14ac:dyDescent="0.2">
      <c r="BJ60293" s="201"/>
    </row>
    <row r="60294" spans="62:62" x14ac:dyDescent="0.2">
      <c r="BJ60294" s="201"/>
    </row>
    <row r="60295" spans="62:62" x14ac:dyDescent="0.2">
      <c r="BJ60295" s="201"/>
    </row>
    <row r="60296" spans="62:62" x14ac:dyDescent="0.2">
      <c r="BJ60296" s="201"/>
    </row>
    <row r="60297" spans="62:62" x14ac:dyDescent="0.2">
      <c r="BJ60297" s="201"/>
    </row>
    <row r="60298" spans="62:62" x14ac:dyDescent="0.2">
      <c r="BJ60298" s="201"/>
    </row>
    <row r="60299" spans="62:62" x14ac:dyDescent="0.2">
      <c r="BJ60299" s="201"/>
    </row>
    <row r="60300" spans="62:62" x14ac:dyDescent="0.2">
      <c r="BJ60300" s="201"/>
    </row>
    <row r="60301" spans="62:62" x14ac:dyDescent="0.2">
      <c r="BJ60301" s="201"/>
    </row>
    <row r="60302" spans="62:62" x14ac:dyDescent="0.2">
      <c r="BJ60302" s="201"/>
    </row>
    <row r="60303" spans="62:62" x14ac:dyDescent="0.2">
      <c r="BJ60303" s="201"/>
    </row>
    <row r="60304" spans="62:62" x14ac:dyDescent="0.2">
      <c r="BJ60304" s="201"/>
    </row>
    <row r="60305" spans="62:62" x14ac:dyDescent="0.2">
      <c r="BJ60305" s="201"/>
    </row>
    <row r="60306" spans="62:62" x14ac:dyDescent="0.2">
      <c r="BJ60306" s="201"/>
    </row>
    <row r="60307" spans="62:62" x14ac:dyDescent="0.2">
      <c r="BJ60307" s="201"/>
    </row>
    <row r="60308" spans="62:62" x14ac:dyDescent="0.2">
      <c r="BJ60308" s="201"/>
    </row>
    <row r="60309" spans="62:62" x14ac:dyDescent="0.2">
      <c r="BJ60309" s="201"/>
    </row>
    <row r="60310" spans="62:62" x14ac:dyDescent="0.2">
      <c r="BJ60310" s="201"/>
    </row>
    <row r="60311" spans="62:62" x14ac:dyDescent="0.2">
      <c r="BJ60311" s="201"/>
    </row>
    <row r="60312" spans="62:62" x14ac:dyDescent="0.2">
      <c r="BJ60312" s="201"/>
    </row>
    <row r="60313" spans="62:62" x14ac:dyDescent="0.2">
      <c r="BJ60313" s="201"/>
    </row>
    <row r="60314" spans="62:62" x14ac:dyDescent="0.2">
      <c r="BJ60314" s="201"/>
    </row>
    <row r="60315" spans="62:62" x14ac:dyDescent="0.2">
      <c r="BJ60315" s="201"/>
    </row>
    <row r="60316" spans="62:62" x14ac:dyDescent="0.2">
      <c r="BJ60316" s="201"/>
    </row>
    <row r="60317" spans="62:62" x14ac:dyDescent="0.2">
      <c r="BJ60317" s="201"/>
    </row>
    <row r="60318" spans="62:62" x14ac:dyDescent="0.2">
      <c r="BJ60318" s="201"/>
    </row>
    <row r="60319" spans="62:62" x14ac:dyDescent="0.2">
      <c r="BJ60319" s="201"/>
    </row>
    <row r="60320" spans="62:62" x14ac:dyDescent="0.2">
      <c r="BJ60320" s="201"/>
    </row>
    <row r="60321" spans="62:62" x14ac:dyDescent="0.2">
      <c r="BJ60321" s="201"/>
    </row>
    <row r="60322" spans="62:62" x14ac:dyDescent="0.2">
      <c r="BJ60322" s="201"/>
    </row>
    <row r="60323" spans="62:62" x14ac:dyDescent="0.2">
      <c r="BJ60323" s="201"/>
    </row>
    <row r="60324" spans="62:62" x14ac:dyDescent="0.2">
      <c r="BJ60324" s="201"/>
    </row>
    <row r="60325" spans="62:62" x14ac:dyDescent="0.2">
      <c r="BJ60325" s="201"/>
    </row>
    <row r="60326" spans="62:62" x14ac:dyDescent="0.2">
      <c r="BJ60326" s="201"/>
    </row>
    <row r="60327" spans="62:62" x14ac:dyDescent="0.2">
      <c r="BJ60327" s="201"/>
    </row>
    <row r="60328" spans="62:62" x14ac:dyDescent="0.2">
      <c r="BJ60328" s="201"/>
    </row>
    <row r="60329" spans="62:62" x14ac:dyDescent="0.2">
      <c r="BJ60329" s="201"/>
    </row>
    <row r="60330" spans="62:62" x14ac:dyDescent="0.2">
      <c r="BJ60330" s="201"/>
    </row>
    <row r="60331" spans="62:62" x14ac:dyDescent="0.2">
      <c r="BJ60331" s="201"/>
    </row>
    <row r="60332" spans="62:62" x14ac:dyDescent="0.2">
      <c r="BJ60332" s="201"/>
    </row>
    <row r="60333" spans="62:62" x14ac:dyDescent="0.2">
      <c r="BJ60333" s="201"/>
    </row>
    <row r="60334" spans="62:62" x14ac:dyDescent="0.2">
      <c r="BJ60334" s="201"/>
    </row>
    <row r="60335" spans="62:62" x14ac:dyDescent="0.2">
      <c r="BJ60335" s="201"/>
    </row>
    <row r="60336" spans="62:62" x14ac:dyDescent="0.2">
      <c r="BJ60336" s="201"/>
    </row>
    <row r="60337" spans="62:62" x14ac:dyDescent="0.2">
      <c r="BJ60337" s="201"/>
    </row>
    <row r="60338" spans="62:62" x14ac:dyDescent="0.2">
      <c r="BJ60338" s="201"/>
    </row>
    <row r="60339" spans="62:62" x14ac:dyDescent="0.2">
      <c r="BJ60339" s="201"/>
    </row>
    <row r="60340" spans="62:62" x14ac:dyDescent="0.2">
      <c r="BJ60340" s="201"/>
    </row>
    <row r="60341" spans="62:62" x14ac:dyDescent="0.2">
      <c r="BJ60341" s="201"/>
    </row>
    <row r="60342" spans="62:62" x14ac:dyDescent="0.2">
      <c r="BJ60342" s="201"/>
    </row>
    <row r="60343" spans="62:62" x14ac:dyDescent="0.2">
      <c r="BJ60343" s="201"/>
    </row>
    <row r="60344" spans="62:62" x14ac:dyDescent="0.2">
      <c r="BJ60344" s="201"/>
    </row>
    <row r="60345" spans="62:62" x14ac:dyDescent="0.2">
      <c r="BJ60345" s="201"/>
    </row>
    <row r="60346" spans="62:62" x14ac:dyDescent="0.2">
      <c r="BJ60346" s="201"/>
    </row>
    <row r="60347" spans="62:62" x14ac:dyDescent="0.2">
      <c r="BJ60347" s="201"/>
    </row>
    <row r="60348" spans="62:62" x14ac:dyDescent="0.2">
      <c r="BJ60348" s="201"/>
    </row>
    <row r="60349" spans="62:62" x14ac:dyDescent="0.2">
      <c r="BJ60349" s="201"/>
    </row>
    <row r="60350" spans="62:62" x14ac:dyDescent="0.2">
      <c r="BJ60350" s="201"/>
    </row>
    <row r="60351" spans="62:62" x14ac:dyDescent="0.2">
      <c r="BJ60351" s="201"/>
    </row>
    <row r="60352" spans="62:62" x14ac:dyDescent="0.2">
      <c r="BJ60352" s="201"/>
    </row>
    <row r="60353" spans="62:62" x14ac:dyDescent="0.2">
      <c r="BJ60353" s="201"/>
    </row>
    <row r="60354" spans="62:62" x14ac:dyDescent="0.2">
      <c r="BJ60354" s="201"/>
    </row>
    <row r="60355" spans="62:62" x14ac:dyDescent="0.2">
      <c r="BJ60355" s="201"/>
    </row>
    <row r="60356" spans="62:62" x14ac:dyDescent="0.2">
      <c r="BJ60356" s="201"/>
    </row>
    <row r="60357" spans="62:62" x14ac:dyDescent="0.2">
      <c r="BJ60357" s="201"/>
    </row>
    <row r="60358" spans="62:62" x14ac:dyDescent="0.2">
      <c r="BJ60358" s="201"/>
    </row>
    <row r="60359" spans="62:62" x14ac:dyDescent="0.2">
      <c r="BJ60359" s="201"/>
    </row>
    <row r="60360" spans="62:62" x14ac:dyDescent="0.2">
      <c r="BJ60360" s="201"/>
    </row>
    <row r="60361" spans="62:62" x14ac:dyDescent="0.2">
      <c r="BJ60361" s="201"/>
    </row>
    <row r="60362" spans="62:62" x14ac:dyDescent="0.2">
      <c r="BJ60362" s="201"/>
    </row>
    <row r="60363" spans="62:62" x14ac:dyDescent="0.2">
      <c r="BJ60363" s="201"/>
    </row>
    <row r="60364" spans="62:62" x14ac:dyDescent="0.2">
      <c r="BJ60364" s="201"/>
    </row>
    <row r="60365" spans="62:62" x14ac:dyDescent="0.2">
      <c r="BJ60365" s="201"/>
    </row>
    <row r="60366" spans="62:62" x14ac:dyDescent="0.2">
      <c r="BJ60366" s="201"/>
    </row>
    <row r="60367" spans="62:62" x14ac:dyDescent="0.2">
      <c r="BJ60367" s="201"/>
    </row>
    <row r="60368" spans="62:62" x14ac:dyDescent="0.2">
      <c r="BJ60368" s="201"/>
    </row>
    <row r="60369" spans="62:62" x14ac:dyDescent="0.2">
      <c r="BJ60369" s="201"/>
    </row>
    <row r="60370" spans="62:62" x14ac:dyDescent="0.2">
      <c r="BJ60370" s="201"/>
    </row>
    <row r="60371" spans="62:62" x14ac:dyDescent="0.2">
      <c r="BJ60371" s="201"/>
    </row>
    <row r="60372" spans="62:62" x14ac:dyDescent="0.2">
      <c r="BJ60372" s="201"/>
    </row>
    <row r="60373" spans="62:62" x14ac:dyDescent="0.2">
      <c r="BJ60373" s="201"/>
    </row>
    <row r="60374" spans="62:62" x14ac:dyDescent="0.2">
      <c r="BJ60374" s="201"/>
    </row>
    <row r="60375" spans="62:62" x14ac:dyDescent="0.2">
      <c r="BJ60375" s="201"/>
    </row>
    <row r="60376" spans="62:62" x14ac:dyDescent="0.2">
      <c r="BJ60376" s="201"/>
    </row>
    <row r="60377" spans="62:62" x14ac:dyDescent="0.2">
      <c r="BJ60377" s="201"/>
    </row>
    <row r="60378" spans="62:62" x14ac:dyDescent="0.2">
      <c r="BJ60378" s="201"/>
    </row>
    <row r="60379" spans="62:62" x14ac:dyDescent="0.2">
      <c r="BJ60379" s="201"/>
    </row>
    <row r="60380" spans="62:62" x14ac:dyDescent="0.2">
      <c r="BJ60380" s="201"/>
    </row>
    <row r="60381" spans="62:62" x14ac:dyDescent="0.2">
      <c r="BJ60381" s="201"/>
    </row>
    <row r="60382" spans="62:62" x14ac:dyDescent="0.2">
      <c r="BJ60382" s="201"/>
    </row>
    <row r="60383" spans="62:62" x14ac:dyDescent="0.2">
      <c r="BJ60383" s="201"/>
    </row>
    <row r="60384" spans="62:62" x14ac:dyDescent="0.2">
      <c r="BJ60384" s="201"/>
    </row>
    <row r="60385" spans="62:62" x14ac:dyDescent="0.2">
      <c r="BJ60385" s="201"/>
    </row>
    <row r="60386" spans="62:62" x14ac:dyDescent="0.2">
      <c r="BJ60386" s="201"/>
    </row>
    <row r="60387" spans="62:62" x14ac:dyDescent="0.2">
      <c r="BJ60387" s="201"/>
    </row>
    <row r="60388" spans="62:62" x14ac:dyDescent="0.2">
      <c r="BJ60388" s="201"/>
    </row>
    <row r="60389" spans="62:62" x14ac:dyDescent="0.2">
      <c r="BJ60389" s="201"/>
    </row>
    <row r="60390" spans="62:62" x14ac:dyDescent="0.2">
      <c r="BJ60390" s="201"/>
    </row>
    <row r="60391" spans="62:62" x14ac:dyDescent="0.2">
      <c r="BJ60391" s="201"/>
    </row>
    <row r="60392" spans="62:62" x14ac:dyDescent="0.2">
      <c r="BJ60392" s="201"/>
    </row>
    <row r="60393" spans="62:62" x14ac:dyDescent="0.2">
      <c r="BJ60393" s="201"/>
    </row>
    <row r="60394" spans="62:62" x14ac:dyDescent="0.2">
      <c r="BJ60394" s="201"/>
    </row>
    <row r="60395" spans="62:62" x14ac:dyDescent="0.2">
      <c r="BJ60395" s="201"/>
    </row>
    <row r="60396" spans="62:62" x14ac:dyDescent="0.2">
      <c r="BJ60396" s="201"/>
    </row>
    <row r="60397" spans="62:62" x14ac:dyDescent="0.2">
      <c r="BJ60397" s="201"/>
    </row>
    <row r="60398" spans="62:62" x14ac:dyDescent="0.2">
      <c r="BJ60398" s="201"/>
    </row>
    <row r="60399" spans="62:62" x14ac:dyDescent="0.2">
      <c r="BJ60399" s="201"/>
    </row>
    <row r="60400" spans="62:62" x14ac:dyDescent="0.2">
      <c r="BJ60400" s="201"/>
    </row>
    <row r="60401" spans="62:62" x14ac:dyDescent="0.2">
      <c r="BJ60401" s="201"/>
    </row>
    <row r="60402" spans="62:62" x14ac:dyDescent="0.2">
      <c r="BJ60402" s="201"/>
    </row>
    <row r="60403" spans="62:62" x14ac:dyDescent="0.2">
      <c r="BJ60403" s="201"/>
    </row>
    <row r="60404" spans="62:62" x14ac:dyDescent="0.2">
      <c r="BJ60404" s="201"/>
    </row>
    <row r="60405" spans="62:62" x14ac:dyDescent="0.2">
      <c r="BJ60405" s="201"/>
    </row>
    <row r="60406" spans="62:62" x14ac:dyDescent="0.2">
      <c r="BJ60406" s="201"/>
    </row>
    <row r="60407" spans="62:62" x14ac:dyDescent="0.2">
      <c r="BJ60407" s="201"/>
    </row>
    <row r="60408" spans="62:62" x14ac:dyDescent="0.2">
      <c r="BJ60408" s="201"/>
    </row>
    <row r="60409" spans="62:62" x14ac:dyDescent="0.2">
      <c r="BJ60409" s="201"/>
    </row>
    <row r="60410" spans="62:62" x14ac:dyDescent="0.2">
      <c r="BJ60410" s="201"/>
    </row>
    <row r="60411" spans="62:62" x14ac:dyDescent="0.2">
      <c r="BJ60411" s="201"/>
    </row>
    <row r="60412" spans="62:62" x14ac:dyDescent="0.2">
      <c r="BJ60412" s="201"/>
    </row>
    <row r="60413" spans="62:62" x14ac:dyDescent="0.2">
      <c r="BJ60413" s="201"/>
    </row>
    <row r="60414" spans="62:62" x14ac:dyDescent="0.2">
      <c r="BJ60414" s="201"/>
    </row>
    <row r="60415" spans="62:62" x14ac:dyDescent="0.2">
      <c r="BJ60415" s="201"/>
    </row>
    <row r="60416" spans="62:62" x14ac:dyDescent="0.2">
      <c r="BJ60416" s="201"/>
    </row>
    <row r="60417" spans="62:62" x14ac:dyDescent="0.2">
      <c r="BJ60417" s="201"/>
    </row>
    <row r="60418" spans="62:62" x14ac:dyDescent="0.2">
      <c r="BJ60418" s="201"/>
    </row>
    <row r="60419" spans="62:62" x14ac:dyDescent="0.2">
      <c r="BJ60419" s="201"/>
    </row>
    <row r="60420" spans="62:62" x14ac:dyDescent="0.2">
      <c r="BJ60420" s="201"/>
    </row>
    <row r="60421" spans="62:62" x14ac:dyDescent="0.2">
      <c r="BJ60421" s="201"/>
    </row>
    <row r="60422" spans="62:62" x14ac:dyDescent="0.2">
      <c r="BJ60422" s="201"/>
    </row>
    <row r="60423" spans="62:62" x14ac:dyDescent="0.2">
      <c r="BJ60423" s="201"/>
    </row>
    <row r="60424" spans="62:62" x14ac:dyDescent="0.2">
      <c r="BJ60424" s="201"/>
    </row>
    <row r="60425" spans="62:62" x14ac:dyDescent="0.2">
      <c r="BJ60425" s="201"/>
    </row>
    <row r="60426" spans="62:62" x14ac:dyDescent="0.2">
      <c r="BJ60426" s="201"/>
    </row>
    <row r="60427" spans="62:62" x14ac:dyDescent="0.2">
      <c r="BJ60427" s="201"/>
    </row>
    <row r="60428" spans="62:62" x14ac:dyDescent="0.2">
      <c r="BJ60428" s="201"/>
    </row>
    <row r="60429" spans="62:62" x14ac:dyDescent="0.2">
      <c r="BJ60429" s="201"/>
    </row>
    <row r="60430" spans="62:62" x14ac:dyDescent="0.2">
      <c r="BJ60430" s="201"/>
    </row>
    <row r="60431" spans="62:62" x14ac:dyDescent="0.2">
      <c r="BJ60431" s="201"/>
    </row>
    <row r="60432" spans="62:62" x14ac:dyDescent="0.2">
      <c r="BJ60432" s="201"/>
    </row>
    <row r="60433" spans="62:62" x14ac:dyDescent="0.2">
      <c r="BJ60433" s="201"/>
    </row>
    <row r="60434" spans="62:62" x14ac:dyDescent="0.2">
      <c r="BJ60434" s="201"/>
    </row>
    <row r="60435" spans="62:62" x14ac:dyDescent="0.2">
      <c r="BJ60435" s="201"/>
    </row>
    <row r="60436" spans="62:62" x14ac:dyDescent="0.2">
      <c r="BJ60436" s="201"/>
    </row>
    <row r="60437" spans="62:62" x14ac:dyDescent="0.2">
      <c r="BJ60437" s="201"/>
    </row>
    <row r="60438" spans="62:62" x14ac:dyDescent="0.2">
      <c r="BJ60438" s="201"/>
    </row>
    <row r="60439" spans="62:62" x14ac:dyDescent="0.2">
      <c r="BJ60439" s="201"/>
    </row>
    <row r="60440" spans="62:62" x14ac:dyDescent="0.2">
      <c r="BJ60440" s="201"/>
    </row>
    <row r="60441" spans="62:62" x14ac:dyDescent="0.2">
      <c r="BJ60441" s="201"/>
    </row>
    <row r="60442" spans="62:62" x14ac:dyDescent="0.2">
      <c r="BJ60442" s="201"/>
    </row>
    <row r="60443" spans="62:62" x14ac:dyDescent="0.2">
      <c r="BJ60443" s="201"/>
    </row>
    <row r="60444" spans="62:62" x14ac:dyDescent="0.2">
      <c r="BJ60444" s="201"/>
    </row>
    <row r="60445" spans="62:62" x14ac:dyDescent="0.2">
      <c r="BJ60445" s="201"/>
    </row>
    <row r="60446" spans="62:62" x14ac:dyDescent="0.2">
      <c r="BJ60446" s="201"/>
    </row>
    <row r="60447" spans="62:62" x14ac:dyDescent="0.2">
      <c r="BJ60447" s="201"/>
    </row>
    <row r="60448" spans="62:62" x14ac:dyDescent="0.2">
      <c r="BJ60448" s="201"/>
    </row>
    <row r="60449" spans="62:62" x14ac:dyDescent="0.2">
      <c r="BJ60449" s="201"/>
    </row>
    <row r="60450" spans="62:62" x14ac:dyDescent="0.2">
      <c r="BJ60450" s="201"/>
    </row>
    <row r="60451" spans="62:62" x14ac:dyDescent="0.2">
      <c r="BJ60451" s="201"/>
    </row>
    <row r="60452" spans="62:62" x14ac:dyDescent="0.2">
      <c r="BJ60452" s="201"/>
    </row>
    <row r="60453" spans="62:62" x14ac:dyDescent="0.2">
      <c r="BJ60453" s="201"/>
    </row>
    <row r="60454" spans="62:62" x14ac:dyDescent="0.2">
      <c r="BJ60454" s="201"/>
    </row>
    <row r="60455" spans="62:62" x14ac:dyDescent="0.2">
      <c r="BJ60455" s="201"/>
    </row>
    <row r="60456" spans="62:62" x14ac:dyDescent="0.2">
      <c r="BJ60456" s="201"/>
    </row>
    <row r="60457" spans="62:62" x14ac:dyDescent="0.2">
      <c r="BJ60457" s="201"/>
    </row>
    <row r="60458" spans="62:62" x14ac:dyDescent="0.2">
      <c r="BJ60458" s="201"/>
    </row>
    <row r="60459" spans="62:62" x14ac:dyDescent="0.2">
      <c r="BJ60459" s="201"/>
    </row>
    <row r="60460" spans="62:62" x14ac:dyDescent="0.2">
      <c r="BJ60460" s="201"/>
    </row>
    <row r="60461" spans="62:62" x14ac:dyDescent="0.2">
      <c r="BJ60461" s="201"/>
    </row>
    <row r="60462" spans="62:62" x14ac:dyDescent="0.2">
      <c r="BJ60462" s="201"/>
    </row>
    <row r="60463" spans="62:62" x14ac:dyDescent="0.2">
      <c r="BJ60463" s="201"/>
    </row>
    <row r="60464" spans="62:62" x14ac:dyDescent="0.2">
      <c r="BJ60464" s="201"/>
    </row>
    <row r="60465" spans="62:62" x14ac:dyDescent="0.2">
      <c r="BJ60465" s="201"/>
    </row>
    <row r="60466" spans="62:62" x14ac:dyDescent="0.2">
      <c r="BJ60466" s="201"/>
    </row>
    <row r="60467" spans="62:62" x14ac:dyDescent="0.2">
      <c r="BJ60467" s="201"/>
    </row>
    <row r="60468" spans="62:62" x14ac:dyDescent="0.2">
      <c r="BJ60468" s="201"/>
    </row>
    <row r="60469" spans="62:62" x14ac:dyDescent="0.2">
      <c r="BJ60469" s="201"/>
    </row>
    <row r="60470" spans="62:62" x14ac:dyDescent="0.2">
      <c r="BJ60470" s="201"/>
    </row>
    <row r="60471" spans="62:62" x14ac:dyDescent="0.2">
      <c r="BJ60471" s="201"/>
    </row>
    <row r="60472" spans="62:62" x14ac:dyDescent="0.2">
      <c r="BJ60472" s="201"/>
    </row>
    <row r="60473" spans="62:62" x14ac:dyDescent="0.2">
      <c r="BJ60473" s="201"/>
    </row>
    <row r="60474" spans="62:62" x14ac:dyDescent="0.2">
      <c r="BJ60474" s="201"/>
    </row>
    <row r="60475" spans="62:62" x14ac:dyDescent="0.2">
      <c r="BJ60475" s="201"/>
    </row>
    <row r="60476" spans="62:62" x14ac:dyDescent="0.2">
      <c r="BJ60476" s="201"/>
    </row>
    <row r="60477" spans="62:62" x14ac:dyDescent="0.2">
      <c r="BJ60477" s="201"/>
    </row>
    <row r="60478" spans="62:62" x14ac:dyDescent="0.2">
      <c r="BJ60478" s="201"/>
    </row>
    <row r="60479" spans="62:62" x14ac:dyDescent="0.2">
      <c r="BJ60479" s="201"/>
    </row>
    <row r="60480" spans="62:62" x14ac:dyDescent="0.2">
      <c r="BJ60480" s="201"/>
    </row>
    <row r="60481" spans="62:62" x14ac:dyDescent="0.2">
      <c r="BJ60481" s="201"/>
    </row>
    <row r="60482" spans="62:62" x14ac:dyDescent="0.2">
      <c r="BJ60482" s="201"/>
    </row>
    <row r="60483" spans="62:62" x14ac:dyDescent="0.2">
      <c r="BJ60483" s="201"/>
    </row>
    <row r="60484" spans="62:62" x14ac:dyDescent="0.2">
      <c r="BJ60484" s="201"/>
    </row>
    <row r="60485" spans="62:62" x14ac:dyDescent="0.2">
      <c r="BJ60485" s="201"/>
    </row>
    <row r="60486" spans="62:62" x14ac:dyDescent="0.2">
      <c r="BJ60486" s="201"/>
    </row>
    <row r="60487" spans="62:62" x14ac:dyDescent="0.2">
      <c r="BJ60487" s="201"/>
    </row>
    <row r="60488" spans="62:62" x14ac:dyDescent="0.2">
      <c r="BJ60488" s="201"/>
    </row>
    <row r="60489" spans="62:62" x14ac:dyDescent="0.2">
      <c r="BJ60489" s="201"/>
    </row>
    <row r="60490" spans="62:62" x14ac:dyDescent="0.2">
      <c r="BJ60490" s="201"/>
    </row>
    <row r="60491" spans="62:62" x14ac:dyDescent="0.2">
      <c r="BJ60491" s="201"/>
    </row>
    <row r="60492" spans="62:62" x14ac:dyDescent="0.2">
      <c r="BJ60492" s="201"/>
    </row>
    <row r="60493" spans="62:62" x14ac:dyDescent="0.2">
      <c r="BJ60493" s="201"/>
    </row>
    <row r="60494" spans="62:62" x14ac:dyDescent="0.2">
      <c r="BJ60494" s="201"/>
    </row>
    <row r="60495" spans="62:62" x14ac:dyDescent="0.2">
      <c r="BJ60495" s="201"/>
    </row>
    <row r="60496" spans="62:62" x14ac:dyDescent="0.2">
      <c r="BJ60496" s="201"/>
    </row>
    <row r="60497" spans="62:62" x14ac:dyDescent="0.2">
      <c r="BJ60497" s="201"/>
    </row>
    <row r="60498" spans="62:62" x14ac:dyDescent="0.2">
      <c r="BJ60498" s="201"/>
    </row>
    <row r="60499" spans="62:62" x14ac:dyDescent="0.2">
      <c r="BJ60499" s="201"/>
    </row>
    <row r="60500" spans="62:62" x14ac:dyDescent="0.2">
      <c r="BJ60500" s="201"/>
    </row>
    <row r="60501" spans="62:62" x14ac:dyDescent="0.2">
      <c r="BJ60501" s="201"/>
    </row>
    <row r="60502" spans="62:62" x14ac:dyDescent="0.2">
      <c r="BJ60502" s="201"/>
    </row>
    <row r="60503" spans="62:62" x14ac:dyDescent="0.2">
      <c r="BJ60503" s="201"/>
    </row>
    <row r="60504" spans="62:62" x14ac:dyDescent="0.2">
      <c r="BJ60504" s="201"/>
    </row>
    <row r="60505" spans="62:62" x14ac:dyDescent="0.2">
      <c r="BJ60505" s="201"/>
    </row>
    <row r="60506" spans="62:62" x14ac:dyDescent="0.2">
      <c r="BJ60506" s="201"/>
    </row>
    <row r="60507" spans="62:62" x14ac:dyDescent="0.2">
      <c r="BJ60507" s="201"/>
    </row>
    <row r="60508" spans="62:62" x14ac:dyDescent="0.2">
      <c r="BJ60508" s="201"/>
    </row>
    <row r="60509" spans="62:62" x14ac:dyDescent="0.2">
      <c r="BJ60509" s="201"/>
    </row>
    <row r="60510" spans="62:62" x14ac:dyDescent="0.2">
      <c r="BJ60510" s="201"/>
    </row>
    <row r="60511" spans="62:62" x14ac:dyDescent="0.2">
      <c r="BJ60511" s="201"/>
    </row>
    <row r="60512" spans="62:62" x14ac:dyDescent="0.2">
      <c r="BJ60512" s="201"/>
    </row>
    <row r="60513" spans="62:62" x14ac:dyDescent="0.2">
      <c r="BJ60513" s="201"/>
    </row>
    <row r="60514" spans="62:62" x14ac:dyDescent="0.2">
      <c r="BJ60514" s="201"/>
    </row>
    <row r="60515" spans="62:62" x14ac:dyDescent="0.2">
      <c r="BJ60515" s="201"/>
    </row>
    <row r="60516" spans="62:62" x14ac:dyDescent="0.2">
      <c r="BJ60516" s="201"/>
    </row>
    <row r="60517" spans="62:62" x14ac:dyDescent="0.2">
      <c r="BJ60517" s="201"/>
    </row>
    <row r="60518" spans="62:62" x14ac:dyDescent="0.2">
      <c r="BJ60518" s="201"/>
    </row>
    <row r="60519" spans="62:62" x14ac:dyDescent="0.2">
      <c r="BJ60519" s="201"/>
    </row>
    <row r="60520" spans="62:62" x14ac:dyDescent="0.2">
      <c r="BJ60520" s="201"/>
    </row>
    <row r="60521" spans="62:62" x14ac:dyDescent="0.2">
      <c r="BJ60521" s="201"/>
    </row>
    <row r="60522" spans="62:62" x14ac:dyDescent="0.2">
      <c r="BJ60522" s="201"/>
    </row>
    <row r="60523" spans="62:62" x14ac:dyDescent="0.2">
      <c r="BJ60523" s="201"/>
    </row>
    <row r="60524" spans="62:62" x14ac:dyDescent="0.2">
      <c r="BJ60524" s="201"/>
    </row>
    <row r="60525" spans="62:62" x14ac:dyDescent="0.2">
      <c r="BJ60525" s="201"/>
    </row>
    <row r="60526" spans="62:62" x14ac:dyDescent="0.2">
      <c r="BJ60526" s="201"/>
    </row>
    <row r="60527" spans="62:62" x14ac:dyDescent="0.2">
      <c r="BJ60527" s="201"/>
    </row>
    <row r="60528" spans="62:62" x14ac:dyDescent="0.2">
      <c r="BJ60528" s="201"/>
    </row>
    <row r="60529" spans="62:62" x14ac:dyDescent="0.2">
      <c r="BJ60529" s="201"/>
    </row>
    <row r="60530" spans="62:62" x14ac:dyDescent="0.2">
      <c r="BJ60530" s="201"/>
    </row>
    <row r="60531" spans="62:62" x14ac:dyDescent="0.2">
      <c r="BJ60531" s="201"/>
    </row>
    <row r="60532" spans="62:62" x14ac:dyDescent="0.2">
      <c r="BJ60532" s="201"/>
    </row>
    <row r="60533" spans="62:62" x14ac:dyDescent="0.2">
      <c r="BJ60533" s="201"/>
    </row>
    <row r="60534" spans="62:62" x14ac:dyDescent="0.2">
      <c r="BJ60534" s="201"/>
    </row>
    <row r="60535" spans="62:62" x14ac:dyDescent="0.2">
      <c r="BJ60535" s="201"/>
    </row>
    <row r="60536" spans="62:62" x14ac:dyDescent="0.2">
      <c r="BJ60536" s="201"/>
    </row>
    <row r="60537" spans="62:62" x14ac:dyDescent="0.2">
      <c r="BJ60537" s="201"/>
    </row>
    <row r="60538" spans="62:62" x14ac:dyDescent="0.2">
      <c r="BJ60538" s="201"/>
    </row>
    <row r="60539" spans="62:62" x14ac:dyDescent="0.2">
      <c r="BJ60539" s="201"/>
    </row>
    <row r="60540" spans="62:62" x14ac:dyDescent="0.2">
      <c r="BJ60540" s="201"/>
    </row>
    <row r="60541" spans="62:62" x14ac:dyDescent="0.2">
      <c r="BJ60541" s="201"/>
    </row>
    <row r="60542" spans="62:62" x14ac:dyDescent="0.2">
      <c r="BJ60542" s="201"/>
    </row>
    <row r="60543" spans="62:62" x14ac:dyDescent="0.2">
      <c r="BJ60543" s="201"/>
    </row>
    <row r="60544" spans="62:62" x14ac:dyDescent="0.2">
      <c r="BJ60544" s="201"/>
    </row>
    <row r="60545" spans="62:62" x14ac:dyDescent="0.2">
      <c r="BJ60545" s="201"/>
    </row>
    <row r="60546" spans="62:62" x14ac:dyDescent="0.2">
      <c r="BJ60546" s="201"/>
    </row>
    <row r="60547" spans="62:62" x14ac:dyDescent="0.2">
      <c r="BJ60547" s="201"/>
    </row>
    <row r="60548" spans="62:62" x14ac:dyDescent="0.2">
      <c r="BJ60548" s="201"/>
    </row>
    <row r="60549" spans="62:62" x14ac:dyDescent="0.2">
      <c r="BJ60549" s="201"/>
    </row>
    <row r="60550" spans="62:62" x14ac:dyDescent="0.2">
      <c r="BJ60550" s="201"/>
    </row>
    <row r="60551" spans="62:62" x14ac:dyDescent="0.2">
      <c r="BJ60551" s="201"/>
    </row>
    <row r="60552" spans="62:62" x14ac:dyDescent="0.2">
      <c r="BJ60552" s="201"/>
    </row>
    <row r="60553" spans="62:62" x14ac:dyDescent="0.2">
      <c r="BJ60553" s="201"/>
    </row>
    <row r="60554" spans="62:62" x14ac:dyDescent="0.2">
      <c r="BJ60554" s="201"/>
    </row>
    <row r="60555" spans="62:62" x14ac:dyDescent="0.2">
      <c r="BJ60555" s="201"/>
    </row>
    <row r="60556" spans="62:62" x14ac:dyDescent="0.2">
      <c r="BJ60556" s="201"/>
    </row>
    <row r="60557" spans="62:62" x14ac:dyDescent="0.2">
      <c r="BJ60557" s="201"/>
    </row>
    <row r="60558" spans="62:62" x14ac:dyDescent="0.2">
      <c r="BJ60558" s="201"/>
    </row>
    <row r="60559" spans="62:62" x14ac:dyDescent="0.2">
      <c r="BJ60559" s="201"/>
    </row>
    <row r="60560" spans="62:62" x14ac:dyDescent="0.2">
      <c r="BJ60560" s="201"/>
    </row>
    <row r="60561" spans="62:62" x14ac:dyDescent="0.2">
      <c r="BJ60561" s="201"/>
    </row>
    <row r="60562" spans="62:62" x14ac:dyDescent="0.2">
      <c r="BJ60562" s="201"/>
    </row>
    <row r="60563" spans="62:62" x14ac:dyDescent="0.2">
      <c r="BJ60563" s="201"/>
    </row>
    <row r="60564" spans="62:62" x14ac:dyDescent="0.2">
      <c r="BJ60564" s="201"/>
    </row>
    <row r="60565" spans="62:62" x14ac:dyDescent="0.2">
      <c r="BJ60565" s="201"/>
    </row>
    <row r="60566" spans="62:62" x14ac:dyDescent="0.2">
      <c r="BJ60566" s="201"/>
    </row>
    <row r="60567" spans="62:62" x14ac:dyDescent="0.2">
      <c r="BJ60567" s="201"/>
    </row>
    <row r="60568" spans="62:62" x14ac:dyDescent="0.2">
      <c r="BJ60568" s="201"/>
    </row>
    <row r="60569" spans="62:62" x14ac:dyDescent="0.2">
      <c r="BJ60569" s="201"/>
    </row>
    <row r="60570" spans="62:62" x14ac:dyDescent="0.2">
      <c r="BJ60570" s="201"/>
    </row>
    <row r="60571" spans="62:62" x14ac:dyDescent="0.2">
      <c r="BJ60571" s="201"/>
    </row>
    <row r="60572" spans="62:62" x14ac:dyDescent="0.2">
      <c r="BJ60572" s="201"/>
    </row>
    <row r="60573" spans="62:62" x14ac:dyDescent="0.2">
      <c r="BJ60573" s="201"/>
    </row>
    <row r="60574" spans="62:62" x14ac:dyDescent="0.2">
      <c r="BJ60574" s="201"/>
    </row>
    <row r="60575" spans="62:62" x14ac:dyDescent="0.2">
      <c r="BJ60575" s="201"/>
    </row>
    <row r="60576" spans="62:62" x14ac:dyDescent="0.2">
      <c r="BJ60576" s="201"/>
    </row>
    <row r="60577" spans="62:62" x14ac:dyDescent="0.2">
      <c r="BJ60577" s="201"/>
    </row>
    <row r="60578" spans="62:62" x14ac:dyDescent="0.2">
      <c r="BJ60578" s="201"/>
    </row>
    <row r="60579" spans="62:62" x14ac:dyDescent="0.2">
      <c r="BJ60579" s="201"/>
    </row>
    <row r="60580" spans="62:62" x14ac:dyDescent="0.2">
      <c r="BJ60580" s="201"/>
    </row>
    <row r="60581" spans="62:62" x14ac:dyDescent="0.2">
      <c r="BJ60581" s="201"/>
    </row>
    <row r="60582" spans="62:62" x14ac:dyDescent="0.2">
      <c r="BJ60582" s="201"/>
    </row>
    <row r="60583" spans="62:62" x14ac:dyDescent="0.2">
      <c r="BJ60583" s="201"/>
    </row>
    <row r="60584" spans="62:62" x14ac:dyDescent="0.2">
      <c r="BJ60584" s="201"/>
    </row>
    <row r="60585" spans="62:62" x14ac:dyDescent="0.2">
      <c r="BJ60585" s="201"/>
    </row>
    <row r="60586" spans="62:62" x14ac:dyDescent="0.2">
      <c r="BJ60586" s="201"/>
    </row>
    <row r="60587" spans="62:62" x14ac:dyDescent="0.2">
      <c r="BJ60587" s="201"/>
    </row>
    <row r="60588" spans="62:62" x14ac:dyDescent="0.2">
      <c r="BJ60588" s="201"/>
    </row>
    <row r="60589" spans="62:62" x14ac:dyDescent="0.2">
      <c r="BJ60589" s="201"/>
    </row>
    <row r="60590" spans="62:62" x14ac:dyDescent="0.2">
      <c r="BJ60590" s="201"/>
    </row>
    <row r="60591" spans="62:62" x14ac:dyDescent="0.2">
      <c r="BJ60591" s="201"/>
    </row>
    <row r="60592" spans="62:62" x14ac:dyDescent="0.2">
      <c r="BJ60592" s="201"/>
    </row>
    <row r="60593" spans="62:62" x14ac:dyDescent="0.2">
      <c r="BJ60593" s="201"/>
    </row>
    <row r="60594" spans="62:62" x14ac:dyDescent="0.2">
      <c r="BJ60594" s="201"/>
    </row>
    <row r="60595" spans="62:62" x14ac:dyDescent="0.2">
      <c r="BJ60595" s="201"/>
    </row>
    <row r="60596" spans="62:62" x14ac:dyDescent="0.2">
      <c r="BJ60596" s="201"/>
    </row>
    <row r="60597" spans="62:62" x14ac:dyDescent="0.2">
      <c r="BJ60597" s="201"/>
    </row>
    <row r="60598" spans="62:62" x14ac:dyDescent="0.2">
      <c r="BJ60598" s="201"/>
    </row>
    <row r="60599" spans="62:62" x14ac:dyDescent="0.2">
      <c r="BJ60599" s="201"/>
    </row>
    <row r="60600" spans="62:62" x14ac:dyDescent="0.2">
      <c r="BJ60600" s="201"/>
    </row>
    <row r="60601" spans="62:62" x14ac:dyDescent="0.2">
      <c r="BJ60601" s="201"/>
    </row>
    <row r="60602" spans="62:62" x14ac:dyDescent="0.2">
      <c r="BJ60602" s="201"/>
    </row>
    <row r="60603" spans="62:62" x14ac:dyDescent="0.2">
      <c r="BJ60603" s="201"/>
    </row>
    <row r="60604" spans="62:62" x14ac:dyDescent="0.2">
      <c r="BJ60604" s="201"/>
    </row>
    <row r="60605" spans="62:62" x14ac:dyDescent="0.2">
      <c r="BJ60605" s="201"/>
    </row>
    <row r="60606" spans="62:62" x14ac:dyDescent="0.2">
      <c r="BJ60606" s="201"/>
    </row>
    <row r="60607" spans="62:62" x14ac:dyDescent="0.2">
      <c r="BJ60607" s="201"/>
    </row>
    <row r="60608" spans="62:62" x14ac:dyDescent="0.2">
      <c r="BJ60608" s="201"/>
    </row>
    <row r="60609" spans="62:62" x14ac:dyDescent="0.2">
      <c r="BJ60609" s="201"/>
    </row>
    <row r="60610" spans="62:62" x14ac:dyDescent="0.2">
      <c r="BJ60610" s="201"/>
    </row>
    <row r="60611" spans="62:62" x14ac:dyDescent="0.2">
      <c r="BJ60611" s="201"/>
    </row>
    <row r="60612" spans="62:62" x14ac:dyDescent="0.2">
      <c r="BJ60612" s="201"/>
    </row>
    <row r="60613" spans="62:62" x14ac:dyDescent="0.2">
      <c r="BJ60613" s="201"/>
    </row>
    <row r="60614" spans="62:62" x14ac:dyDescent="0.2">
      <c r="BJ60614" s="201"/>
    </row>
    <row r="60615" spans="62:62" x14ac:dyDescent="0.2">
      <c r="BJ60615" s="201"/>
    </row>
    <row r="60616" spans="62:62" x14ac:dyDescent="0.2">
      <c r="BJ60616" s="201"/>
    </row>
    <row r="60617" spans="62:62" x14ac:dyDescent="0.2">
      <c r="BJ60617" s="201"/>
    </row>
    <row r="60618" spans="62:62" x14ac:dyDescent="0.2">
      <c r="BJ60618" s="201"/>
    </row>
    <row r="60619" spans="62:62" x14ac:dyDescent="0.2">
      <c r="BJ60619" s="201"/>
    </row>
    <row r="60620" spans="62:62" x14ac:dyDescent="0.2">
      <c r="BJ60620" s="201"/>
    </row>
    <row r="60621" spans="62:62" x14ac:dyDescent="0.2">
      <c r="BJ60621" s="201"/>
    </row>
    <row r="60622" spans="62:62" x14ac:dyDescent="0.2">
      <c r="BJ60622" s="201"/>
    </row>
    <row r="60623" spans="62:62" x14ac:dyDescent="0.2">
      <c r="BJ60623" s="201"/>
    </row>
    <row r="60624" spans="62:62" x14ac:dyDescent="0.2">
      <c r="BJ60624" s="201"/>
    </row>
    <row r="60625" spans="62:62" x14ac:dyDescent="0.2">
      <c r="BJ60625" s="201"/>
    </row>
    <row r="60626" spans="62:62" x14ac:dyDescent="0.2">
      <c r="BJ60626" s="201"/>
    </row>
    <row r="60627" spans="62:62" x14ac:dyDescent="0.2">
      <c r="BJ60627" s="201"/>
    </row>
    <row r="60628" spans="62:62" x14ac:dyDescent="0.2">
      <c r="BJ60628" s="201"/>
    </row>
    <row r="60629" spans="62:62" x14ac:dyDescent="0.2">
      <c r="BJ60629" s="201"/>
    </row>
    <row r="60630" spans="62:62" x14ac:dyDescent="0.2">
      <c r="BJ60630" s="201"/>
    </row>
    <row r="60631" spans="62:62" x14ac:dyDescent="0.2">
      <c r="BJ60631" s="201"/>
    </row>
    <row r="60632" spans="62:62" x14ac:dyDescent="0.2">
      <c r="BJ60632" s="201"/>
    </row>
    <row r="60633" spans="62:62" x14ac:dyDescent="0.2">
      <c r="BJ60633" s="201"/>
    </row>
    <row r="60634" spans="62:62" x14ac:dyDescent="0.2">
      <c r="BJ60634" s="201"/>
    </row>
    <row r="60635" spans="62:62" x14ac:dyDescent="0.2">
      <c r="BJ60635" s="201"/>
    </row>
    <row r="60636" spans="62:62" x14ac:dyDescent="0.2">
      <c r="BJ60636" s="201"/>
    </row>
    <row r="60637" spans="62:62" x14ac:dyDescent="0.2">
      <c r="BJ60637" s="201"/>
    </row>
    <row r="60638" spans="62:62" x14ac:dyDescent="0.2">
      <c r="BJ60638" s="201"/>
    </row>
    <row r="60639" spans="62:62" x14ac:dyDescent="0.2">
      <c r="BJ60639" s="201"/>
    </row>
    <row r="60640" spans="62:62" x14ac:dyDescent="0.2">
      <c r="BJ60640" s="201"/>
    </row>
    <row r="60641" spans="62:62" x14ac:dyDescent="0.2">
      <c r="BJ60641" s="201"/>
    </row>
    <row r="60642" spans="62:62" x14ac:dyDescent="0.2">
      <c r="BJ60642" s="201"/>
    </row>
    <row r="60643" spans="62:62" x14ac:dyDescent="0.2">
      <c r="BJ60643" s="201"/>
    </row>
    <row r="60644" spans="62:62" x14ac:dyDescent="0.2">
      <c r="BJ60644" s="201"/>
    </row>
    <row r="60645" spans="62:62" x14ac:dyDescent="0.2">
      <c r="BJ60645" s="201"/>
    </row>
    <row r="60646" spans="62:62" x14ac:dyDescent="0.2">
      <c r="BJ60646" s="201"/>
    </row>
    <row r="60647" spans="62:62" x14ac:dyDescent="0.2">
      <c r="BJ60647" s="201"/>
    </row>
    <row r="60648" spans="62:62" x14ac:dyDescent="0.2">
      <c r="BJ60648" s="201"/>
    </row>
    <row r="60649" spans="62:62" x14ac:dyDescent="0.2">
      <c r="BJ60649" s="201"/>
    </row>
    <row r="60650" spans="62:62" x14ac:dyDescent="0.2">
      <c r="BJ60650" s="201"/>
    </row>
    <row r="60651" spans="62:62" x14ac:dyDescent="0.2">
      <c r="BJ60651" s="201"/>
    </row>
    <row r="60652" spans="62:62" x14ac:dyDescent="0.2">
      <c r="BJ60652" s="201"/>
    </row>
    <row r="60653" spans="62:62" x14ac:dyDescent="0.2">
      <c r="BJ60653" s="201"/>
    </row>
    <row r="60654" spans="62:62" x14ac:dyDescent="0.2">
      <c r="BJ60654" s="201"/>
    </row>
    <row r="60655" spans="62:62" x14ac:dyDescent="0.2">
      <c r="BJ60655" s="201"/>
    </row>
    <row r="60656" spans="62:62" x14ac:dyDescent="0.2">
      <c r="BJ60656" s="201"/>
    </row>
    <row r="60657" spans="62:62" x14ac:dyDescent="0.2">
      <c r="BJ60657" s="201"/>
    </row>
    <row r="60658" spans="62:62" x14ac:dyDescent="0.2">
      <c r="BJ60658" s="201"/>
    </row>
    <row r="60659" spans="62:62" x14ac:dyDescent="0.2">
      <c r="BJ60659" s="201"/>
    </row>
    <row r="60660" spans="62:62" x14ac:dyDescent="0.2">
      <c r="BJ60660" s="201"/>
    </row>
    <row r="60661" spans="62:62" x14ac:dyDescent="0.2">
      <c r="BJ60661" s="201"/>
    </row>
    <row r="60662" spans="62:62" x14ac:dyDescent="0.2">
      <c r="BJ60662" s="201"/>
    </row>
    <row r="60663" spans="62:62" x14ac:dyDescent="0.2">
      <c r="BJ60663" s="201"/>
    </row>
    <row r="60664" spans="62:62" x14ac:dyDescent="0.2">
      <c r="BJ60664" s="201"/>
    </row>
    <row r="60665" spans="62:62" x14ac:dyDescent="0.2">
      <c r="BJ60665" s="201"/>
    </row>
    <row r="60666" spans="62:62" x14ac:dyDescent="0.2">
      <c r="BJ60666" s="201"/>
    </row>
    <row r="60667" spans="62:62" x14ac:dyDescent="0.2">
      <c r="BJ60667" s="201"/>
    </row>
    <row r="60668" spans="62:62" x14ac:dyDescent="0.2">
      <c r="BJ60668" s="201"/>
    </row>
    <row r="60669" spans="62:62" x14ac:dyDescent="0.2">
      <c r="BJ60669" s="201"/>
    </row>
    <row r="60670" spans="62:62" x14ac:dyDescent="0.2">
      <c r="BJ60670" s="201"/>
    </row>
    <row r="60671" spans="62:62" x14ac:dyDescent="0.2">
      <c r="BJ60671" s="201"/>
    </row>
    <row r="60672" spans="62:62" x14ac:dyDescent="0.2">
      <c r="BJ60672" s="201"/>
    </row>
    <row r="60673" spans="62:62" x14ac:dyDescent="0.2">
      <c r="BJ60673" s="201"/>
    </row>
    <row r="60674" spans="62:62" x14ac:dyDescent="0.2">
      <c r="BJ60674" s="201"/>
    </row>
    <row r="60675" spans="62:62" x14ac:dyDescent="0.2">
      <c r="BJ60675" s="201"/>
    </row>
    <row r="60676" spans="62:62" x14ac:dyDescent="0.2">
      <c r="BJ60676" s="201"/>
    </row>
    <row r="60677" spans="62:62" x14ac:dyDescent="0.2">
      <c r="BJ60677" s="201"/>
    </row>
    <row r="60678" spans="62:62" x14ac:dyDescent="0.2">
      <c r="BJ60678" s="201"/>
    </row>
    <row r="60679" spans="62:62" x14ac:dyDescent="0.2">
      <c r="BJ60679" s="201"/>
    </row>
    <row r="60680" spans="62:62" x14ac:dyDescent="0.2">
      <c r="BJ60680" s="201"/>
    </row>
    <row r="60681" spans="62:62" x14ac:dyDescent="0.2">
      <c r="BJ60681" s="201"/>
    </row>
    <row r="60682" spans="62:62" x14ac:dyDescent="0.2">
      <c r="BJ60682" s="201"/>
    </row>
    <row r="60683" spans="62:62" x14ac:dyDescent="0.2">
      <c r="BJ60683" s="201"/>
    </row>
    <row r="60684" spans="62:62" x14ac:dyDescent="0.2">
      <c r="BJ60684" s="201"/>
    </row>
    <row r="60685" spans="62:62" x14ac:dyDescent="0.2">
      <c r="BJ60685" s="201"/>
    </row>
    <row r="60686" spans="62:62" x14ac:dyDescent="0.2">
      <c r="BJ60686" s="201"/>
    </row>
    <row r="60687" spans="62:62" x14ac:dyDescent="0.2">
      <c r="BJ60687" s="201"/>
    </row>
    <row r="60688" spans="62:62" x14ac:dyDescent="0.2">
      <c r="BJ60688" s="201"/>
    </row>
    <row r="60689" spans="62:62" x14ac:dyDescent="0.2">
      <c r="BJ60689" s="201"/>
    </row>
    <row r="60690" spans="62:62" x14ac:dyDescent="0.2">
      <c r="BJ60690" s="201"/>
    </row>
    <row r="60691" spans="62:62" x14ac:dyDescent="0.2">
      <c r="BJ60691" s="201"/>
    </row>
    <row r="60692" spans="62:62" x14ac:dyDescent="0.2">
      <c r="BJ60692" s="201"/>
    </row>
    <row r="60693" spans="62:62" x14ac:dyDescent="0.2">
      <c r="BJ60693" s="201"/>
    </row>
    <row r="60694" spans="62:62" x14ac:dyDescent="0.2">
      <c r="BJ60694" s="201"/>
    </row>
    <row r="60695" spans="62:62" x14ac:dyDescent="0.2">
      <c r="BJ60695" s="201"/>
    </row>
    <row r="60696" spans="62:62" x14ac:dyDescent="0.2">
      <c r="BJ60696" s="201"/>
    </row>
    <row r="60697" spans="62:62" x14ac:dyDescent="0.2">
      <c r="BJ60697" s="201"/>
    </row>
    <row r="60698" spans="62:62" x14ac:dyDescent="0.2">
      <c r="BJ60698" s="201"/>
    </row>
    <row r="60699" spans="62:62" x14ac:dyDescent="0.2">
      <c r="BJ60699" s="201"/>
    </row>
    <row r="60700" spans="62:62" x14ac:dyDescent="0.2">
      <c r="BJ60700" s="201"/>
    </row>
    <row r="60701" spans="62:62" x14ac:dyDescent="0.2">
      <c r="BJ60701" s="201"/>
    </row>
    <row r="60702" spans="62:62" x14ac:dyDescent="0.2">
      <c r="BJ60702" s="201"/>
    </row>
    <row r="60703" spans="62:62" x14ac:dyDescent="0.2">
      <c r="BJ60703" s="201"/>
    </row>
    <row r="60704" spans="62:62" x14ac:dyDescent="0.2">
      <c r="BJ60704" s="201"/>
    </row>
    <row r="60705" spans="62:62" x14ac:dyDescent="0.2">
      <c r="BJ60705" s="201"/>
    </row>
    <row r="60706" spans="62:62" x14ac:dyDescent="0.2">
      <c r="BJ60706" s="201"/>
    </row>
    <row r="60707" spans="62:62" x14ac:dyDescent="0.2">
      <c r="BJ60707" s="201"/>
    </row>
    <row r="60708" spans="62:62" x14ac:dyDescent="0.2">
      <c r="BJ60708" s="201"/>
    </row>
    <row r="60709" spans="62:62" x14ac:dyDescent="0.2">
      <c r="BJ60709" s="201"/>
    </row>
    <row r="60710" spans="62:62" x14ac:dyDescent="0.2">
      <c r="BJ60710" s="201"/>
    </row>
    <row r="60711" spans="62:62" x14ac:dyDescent="0.2">
      <c r="BJ60711" s="201"/>
    </row>
    <row r="60712" spans="62:62" x14ac:dyDescent="0.2">
      <c r="BJ60712" s="201"/>
    </row>
    <row r="60713" spans="62:62" x14ac:dyDescent="0.2">
      <c r="BJ60713" s="201"/>
    </row>
    <row r="60714" spans="62:62" x14ac:dyDescent="0.2">
      <c r="BJ60714" s="201"/>
    </row>
    <row r="60715" spans="62:62" x14ac:dyDescent="0.2">
      <c r="BJ60715" s="201"/>
    </row>
    <row r="60716" spans="62:62" x14ac:dyDescent="0.2">
      <c r="BJ60716" s="201"/>
    </row>
    <row r="60717" spans="62:62" x14ac:dyDescent="0.2">
      <c r="BJ60717" s="201"/>
    </row>
    <row r="60718" spans="62:62" x14ac:dyDescent="0.2">
      <c r="BJ60718" s="201"/>
    </row>
    <row r="60719" spans="62:62" x14ac:dyDescent="0.2">
      <c r="BJ60719" s="201"/>
    </row>
    <row r="60720" spans="62:62" x14ac:dyDescent="0.2">
      <c r="BJ60720" s="201"/>
    </row>
    <row r="60721" spans="62:62" x14ac:dyDescent="0.2">
      <c r="BJ60721" s="201"/>
    </row>
    <row r="60722" spans="62:62" x14ac:dyDescent="0.2">
      <c r="BJ60722" s="201"/>
    </row>
    <row r="60723" spans="62:62" x14ac:dyDescent="0.2">
      <c r="BJ60723" s="201"/>
    </row>
    <row r="60724" spans="62:62" x14ac:dyDescent="0.2">
      <c r="BJ60724" s="201"/>
    </row>
    <row r="60725" spans="62:62" x14ac:dyDescent="0.2">
      <c r="BJ60725" s="201"/>
    </row>
    <row r="60726" spans="62:62" x14ac:dyDescent="0.2">
      <c r="BJ60726" s="201"/>
    </row>
    <row r="60727" spans="62:62" x14ac:dyDescent="0.2">
      <c r="BJ60727" s="201"/>
    </row>
    <row r="60728" spans="62:62" x14ac:dyDescent="0.2">
      <c r="BJ60728" s="201"/>
    </row>
    <row r="60729" spans="62:62" x14ac:dyDescent="0.2">
      <c r="BJ60729" s="201"/>
    </row>
    <row r="60730" spans="62:62" x14ac:dyDescent="0.2">
      <c r="BJ60730" s="201"/>
    </row>
    <row r="60731" spans="62:62" x14ac:dyDescent="0.2">
      <c r="BJ60731" s="201"/>
    </row>
    <row r="60732" spans="62:62" x14ac:dyDescent="0.2">
      <c r="BJ60732" s="201"/>
    </row>
    <row r="60733" spans="62:62" x14ac:dyDescent="0.2">
      <c r="BJ60733" s="201"/>
    </row>
    <row r="60734" spans="62:62" x14ac:dyDescent="0.2">
      <c r="BJ60734" s="201"/>
    </row>
    <row r="60735" spans="62:62" x14ac:dyDescent="0.2">
      <c r="BJ60735" s="201"/>
    </row>
    <row r="60736" spans="62:62" x14ac:dyDescent="0.2">
      <c r="BJ60736" s="201"/>
    </row>
    <row r="60737" spans="62:62" x14ac:dyDescent="0.2">
      <c r="BJ60737" s="201"/>
    </row>
    <row r="60738" spans="62:62" x14ac:dyDescent="0.2">
      <c r="BJ60738" s="201"/>
    </row>
    <row r="60739" spans="62:62" x14ac:dyDescent="0.2">
      <c r="BJ60739" s="201"/>
    </row>
    <row r="60740" spans="62:62" x14ac:dyDescent="0.2">
      <c r="BJ60740" s="201"/>
    </row>
    <row r="60741" spans="62:62" x14ac:dyDescent="0.2">
      <c r="BJ60741" s="201"/>
    </row>
    <row r="60742" spans="62:62" x14ac:dyDescent="0.2">
      <c r="BJ60742" s="201"/>
    </row>
    <row r="60743" spans="62:62" x14ac:dyDescent="0.2">
      <c r="BJ60743" s="201"/>
    </row>
    <row r="60744" spans="62:62" x14ac:dyDescent="0.2">
      <c r="BJ60744" s="201"/>
    </row>
    <row r="60745" spans="62:62" x14ac:dyDescent="0.2">
      <c r="BJ60745" s="201"/>
    </row>
    <row r="60746" spans="62:62" x14ac:dyDescent="0.2">
      <c r="BJ60746" s="201"/>
    </row>
    <row r="60747" spans="62:62" x14ac:dyDescent="0.2">
      <c r="BJ60747" s="201"/>
    </row>
    <row r="60748" spans="62:62" x14ac:dyDescent="0.2">
      <c r="BJ60748" s="201"/>
    </row>
    <row r="60749" spans="62:62" x14ac:dyDescent="0.2">
      <c r="BJ60749" s="201"/>
    </row>
    <row r="60750" spans="62:62" x14ac:dyDescent="0.2">
      <c r="BJ60750" s="201"/>
    </row>
    <row r="60751" spans="62:62" x14ac:dyDescent="0.2">
      <c r="BJ60751" s="201"/>
    </row>
    <row r="60752" spans="62:62" x14ac:dyDescent="0.2">
      <c r="BJ60752" s="201"/>
    </row>
    <row r="60753" spans="62:62" x14ac:dyDescent="0.2">
      <c r="BJ60753" s="201"/>
    </row>
    <row r="60754" spans="62:62" x14ac:dyDescent="0.2">
      <c r="BJ60754" s="201"/>
    </row>
    <row r="60755" spans="62:62" x14ac:dyDescent="0.2">
      <c r="BJ60755" s="201"/>
    </row>
    <row r="60756" spans="62:62" x14ac:dyDescent="0.2">
      <c r="BJ60756" s="201"/>
    </row>
    <row r="60757" spans="62:62" x14ac:dyDescent="0.2">
      <c r="BJ60757" s="201"/>
    </row>
    <row r="60758" spans="62:62" x14ac:dyDescent="0.2">
      <c r="BJ60758" s="201"/>
    </row>
    <row r="60759" spans="62:62" x14ac:dyDescent="0.2">
      <c r="BJ60759" s="201"/>
    </row>
    <row r="60760" spans="62:62" x14ac:dyDescent="0.2">
      <c r="BJ60760" s="201"/>
    </row>
    <row r="60761" spans="62:62" x14ac:dyDescent="0.2">
      <c r="BJ60761" s="201"/>
    </row>
    <row r="60762" spans="62:62" x14ac:dyDescent="0.2">
      <c r="BJ60762" s="201"/>
    </row>
    <row r="60763" spans="62:62" x14ac:dyDescent="0.2">
      <c r="BJ60763" s="201"/>
    </row>
    <row r="60764" spans="62:62" x14ac:dyDescent="0.2">
      <c r="BJ60764" s="201"/>
    </row>
    <row r="60765" spans="62:62" x14ac:dyDescent="0.2">
      <c r="BJ60765" s="201"/>
    </row>
    <row r="60766" spans="62:62" x14ac:dyDescent="0.2">
      <c r="BJ60766" s="201"/>
    </row>
    <row r="60767" spans="62:62" x14ac:dyDescent="0.2">
      <c r="BJ60767" s="201"/>
    </row>
    <row r="60768" spans="62:62" x14ac:dyDescent="0.2">
      <c r="BJ60768" s="201"/>
    </row>
    <row r="60769" spans="62:62" x14ac:dyDescent="0.2">
      <c r="BJ60769" s="201"/>
    </row>
    <row r="60770" spans="62:62" x14ac:dyDescent="0.2">
      <c r="BJ60770" s="201"/>
    </row>
    <row r="60771" spans="62:62" x14ac:dyDescent="0.2">
      <c r="BJ60771" s="201"/>
    </row>
    <row r="60772" spans="62:62" x14ac:dyDescent="0.2">
      <c r="BJ60772" s="201"/>
    </row>
    <row r="60773" spans="62:62" x14ac:dyDescent="0.2">
      <c r="BJ60773" s="201"/>
    </row>
    <row r="60774" spans="62:62" x14ac:dyDescent="0.2">
      <c r="BJ60774" s="201"/>
    </row>
    <row r="60775" spans="62:62" x14ac:dyDescent="0.2">
      <c r="BJ60775" s="201"/>
    </row>
    <row r="60776" spans="62:62" x14ac:dyDescent="0.2">
      <c r="BJ60776" s="201"/>
    </row>
    <row r="60777" spans="62:62" x14ac:dyDescent="0.2">
      <c r="BJ60777" s="201"/>
    </row>
    <row r="60778" spans="62:62" x14ac:dyDescent="0.2">
      <c r="BJ60778" s="201"/>
    </row>
    <row r="60779" spans="62:62" x14ac:dyDescent="0.2">
      <c r="BJ60779" s="201"/>
    </row>
    <row r="60780" spans="62:62" x14ac:dyDescent="0.2">
      <c r="BJ60780" s="201"/>
    </row>
    <row r="60781" spans="62:62" x14ac:dyDescent="0.2">
      <c r="BJ60781" s="201"/>
    </row>
    <row r="60782" spans="62:62" x14ac:dyDescent="0.2">
      <c r="BJ60782" s="201"/>
    </row>
    <row r="60783" spans="62:62" x14ac:dyDescent="0.2">
      <c r="BJ60783" s="201"/>
    </row>
    <row r="60784" spans="62:62" x14ac:dyDescent="0.2">
      <c r="BJ60784" s="201"/>
    </row>
    <row r="60785" spans="62:62" x14ac:dyDescent="0.2">
      <c r="BJ60785" s="201"/>
    </row>
    <row r="60786" spans="62:62" x14ac:dyDescent="0.2">
      <c r="BJ60786" s="201"/>
    </row>
    <row r="60787" spans="62:62" x14ac:dyDescent="0.2">
      <c r="BJ60787" s="201"/>
    </row>
    <row r="60788" spans="62:62" x14ac:dyDescent="0.2">
      <c r="BJ60788" s="201"/>
    </row>
    <row r="60789" spans="62:62" x14ac:dyDescent="0.2">
      <c r="BJ60789" s="201"/>
    </row>
    <row r="60790" spans="62:62" x14ac:dyDescent="0.2">
      <c r="BJ60790" s="201"/>
    </row>
    <row r="60791" spans="62:62" x14ac:dyDescent="0.2">
      <c r="BJ60791" s="201"/>
    </row>
    <row r="60792" spans="62:62" x14ac:dyDescent="0.2">
      <c r="BJ60792" s="201"/>
    </row>
    <row r="60793" spans="62:62" x14ac:dyDescent="0.2">
      <c r="BJ60793" s="201"/>
    </row>
    <row r="60794" spans="62:62" x14ac:dyDescent="0.2">
      <c r="BJ60794" s="201"/>
    </row>
    <row r="60795" spans="62:62" x14ac:dyDescent="0.2">
      <c r="BJ60795" s="201"/>
    </row>
    <row r="60796" spans="62:62" x14ac:dyDescent="0.2">
      <c r="BJ60796" s="201"/>
    </row>
    <row r="60797" spans="62:62" x14ac:dyDescent="0.2">
      <c r="BJ60797" s="201"/>
    </row>
    <row r="60798" spans="62:62" x14ac:dyDescent="0.2">
      <c r="BJ60798" s="201"/>
    </row>
    <row r="60799" spans="62:62" x14ac:dyDescent="0.2">
      <c r="BJ60799" s="201"/>
    </row>
    <row r="60800" spans="62:62" x14ac:dyDescent="0.2">
      <c r="BJ60800" s="201"/>
    </row>
    <row r="60801" spans="62:62" x14ac:dyDescent="0.2">
      <c r="BJ60801" s="201"/>
    </row>
    <row r="60802" spans="62:62" x14ac:dyDescent="0.2">
      <c r="BJ60802" s="201"/>
    </row>
    <row r="60803" spans="62:62" x14ac:dyDescent="0.2">
      <c r="BJ60803" s="201"/>
    </row>
    <row r="60804" spans="62:62" x14ac:dyDescent="0.2">
      <c r="BJ60804" s="201"/>
    </row>
    <row r="60805" spans="62:62" x14ac:dyDescent="0.2">
      <c r="BJ60805" s="201"/>
    </row>
    <row r="60806" spans="62:62" x14ac:dyDescent="0.2">
      <c r="BJ60806" s="201"/>
    </row>
    <row r="60807" spans="62:62" x14ac:dyDescent="0.2">
      <c r="BJ60807" s="201"/>
    </row>
    <row r="60808" spans="62:62" x14ac:dyDescent="0.2">
      <c r="BJ60808" s="201"/>
    </row>
    <row r="60809" spans="62:62" x14ac:dyDescent="0.2">
      <c r="BJ60809" s="201"/>
    </row>
    <row r="60810" spans="62:62" x14ac:dyDescent="0.2">
      <c r="BJ60810" s="201"/>
    </row>
    <row r="60811" spans="62:62" x14ac:dyDescent="0.2">
      <c r="BJ60811" s="201"/>
    </row>
    <row r="60812" spans="62:62" x14ac:dyDescent="0.2">
      <c r="BJ60812" s="201"/>
    </row>
    <row r="60813" spans="62:62" x14ac:dyDescent="0.2">
      <c r="BJ60813" s="201"/>
    </row>
    <row r="60814" spans="62:62" x14ac:dyDescent="0.2">
      <c r="BJ60814" s="201"/>
    </row>
    <row r="60815" spans="62:62" x14ac:dyDescent="0.2">
      <c r="BJ60815" s="201"/>
    </row>
    <row r="60816" spans="62:62" x14ac:dyDescent="0.2">
      <c r="BJ60816" s="201"/>
    </row>
    <row r="60817" spans="62:62" x14ac:dyDescent="0.2">
      <c r="BJ60817" s="201"/>
    </row>
    <row r="60818" spans="62:62" x14ac:dyDescent="0.2">
      <c r="BJ60818" s="201"/>
    </row>
    <row r="60819" spans="62:62" x14ac:dyDescent="0.2">
      <c r="BJ60819" s="201"/>
    </row>
    <row r="60820" spans="62:62" x14ac:dyDescent="0.2">
      <c r="BJ60820" s="201"/>
    </row>
    <row r="60821" spans="62:62" x14ac:dyDescent="0.2">
      <c r="BJ60821" s="201"/>
    </row>
    <row r="60822" spans="62:62" x14ac:dyDescent="0.2">
      <c r="BJ60822" s="201"/>
    </row>
    <row r="60823" spans="62:62" x14ac:dyDescent="0.2">
      <c r="BJ60823" s="201"/>
    </row>
    <row r="60824" spans="62:62" x14ac:dyDescent="0.2">
      <c r="BJ60824" s="201"/>
    </row>
    <row r="60825" spans="62:62" x14ac:dyDescent="0.2">
      <c r="BJ60825" s="201"/>
    </row>
    <row r="60826" spans="62:62" x14ac:dyDescent="0.2">
      <c r="BJ60826" s="201"/>
    </row>
    <row r="60827" spans="62:62" x14ac:dyDescent="0.2">
      <c r="BJ60827" s="201"/>
    </row>
    <row r="60828" spans="62:62" x14ac:dyDescent="0.2">
      <c r="BJ60828" s="201"/>
    </row>
    <row r="60829" spans="62:62" x14ac:dyDescent="0.2">
      <c r="BJ60829" s="201"/>
    </row>
    <row r="60830" spans="62:62" x14ac:dyDescent="0.2">
      <c r="BJ60830" s="201"/>
    </row>
    <row r="60831" spans="62:62" x14ac:dyDescent="0.2">
      <c r="BJ60831" s="201"/>
    </row>
    <row r="60832" spans="62:62" x14ac:dyDescent="0.2">
      <c r="BJ60832" s="201"/>
    </row>
    <row r="60833" spans="62:62" x14ac:dyDescent="0.2">
      <c r="BJ60833" s="201"/>
    </row>
    <row r="60834" spans="62:62" x14ac:dyDescent="0.2">
      <c r="BJ60834" s="201"/>
    </row>
    <row r="60835" spans="62:62" x14ac:dyDescent="0.2">
      <c r="BJ60835" s="201"/>
    </row>
    <row r="60836" spans="62:62" x14ac:dyDescent="0.2">
      <c r="BJ60836" s="201"/>
    </row>
    <row r="60837" spans="62:62" x14ac:dyDescent="0.2">
      <c r="BJ60837" s="201"/>
    </row>
    <row r="60838" spans="62:62" x14ac:dyDescent="0.2">
      <c r="BJ60838" s="201"/>
    </row>
    <row r="60839" spans="62:62" x14ac:dyDescent="0.2">
      <c r="BJ60839" s="201"/>
    </row>
    <row r="60840" spans="62:62" x14ac:dyDescent="0.2">
      <c r="BJ60840" s="201"/>
    </row>
    <row r="60841" spans="62:62" x14ac:dyDescent="0.2">
      <c r="BJ60841" s="201"/>
    </row>
    <row r="60842" spans="62:62" x14ac:dyDescent="0.2">
      <c r="BJ60842" s="201"/>
    </row>
    <row r="60843" spans="62:62" x14ac:dyDescent="0.2">
      <c r="BJ60843" s="201"/>
    </row>
    <row r="60844" spans="62:62" x14ac:dyDescent="0.2">
      <c r="BJ60844" s="201"/>
    </row>
    <row r="60845" spans="62:62" x14ac:dyDescent="0.2">
      <c r="BJ60845" s="201"/>
    </row>
    <row r="60846" spans="62:62" x14ac:dyDescent="0.2">
      <c r="BJ60846" s="201"/>
    </row>
    <row r="60847" spans="62:62" x14ac:dyDescent="0.2">
      <c r="BJ60847" s="201"/>
    </row>
    <row r="60848" spans="62:62" x14ac:dyDescent="0.2">
      <c r="BJ60848" s="201"/>
    </row>
    <row r="60849" spans="62:62" x14ac:dyDescent="0.2">
      <c r="BJ60849" s="201"/>
    </row>
    <row r="60850" spans="62:62" x14ac:dyDescent="0.2">
      <c r="BJ60850" s="201"/>
    </row>
    <row r="60851" spans="62:62" x14ac:dyDescent="0.2">
      <c r="BJ60851" s="201"/>
    </row>
    <row r="60852" spans="62:62" x14ac:dyDescent="0.2">
      <c r="BJ60852" s="201"/>
    </row>
    <row r="60853" spans="62:62" x14ac:dyDescent="0.2">
      <c r="BJ60853" s="201"/>
    </row>
    <row r="60854" spans="62:62" x14ac:dyDescent="0.2">
      <c r="BJ60854" s="201"/>
    </row>
    <row r="60855" spans="62:62" x14ac:dyDescent="0.2">
      <c r="BJ60855" s="201"/>
    </row>
    <row r="60856" spans="62:62" x14ac:dyDescent="0.2">
      <c r="BJ60856" s="201"/>
    </row>
    <row r="60857" spans="62:62" x14ac:dyDescent="0.2">
      <c r="BJ60857" s="201"/>
    </row>
    <row r="60858" spans="62:62" x14ac:dyDescent="0.2">
      <c r="BJ60858" s="201"/>
    </row>
    <row r="60859" spans="62:62" x14ac:dyDescent="0.2">
      <c r="BJ60859" s="201"/>
    </row>
    <row r="60860" spans="62:62" x14ac:dyDescent="0.2">
      <c r="BJ60860" s="201"/>
    </row>
    <row r="60861" spans="62:62" x14ac:dyDescent="0.2">
      <c r="BJ60861" s="201"/>
    </row>
    <row r="60862" spans="62:62" x14ac:dyDescent="0.2">
      <c r="BJ60862" s="201"/>
    </row>
    <row r="60863" spans="62:62" x14ac:dyDescent="0.2">
      <c r="BJ60863" s="201"/>
    </row>
    <row r="60864" spans="62:62" x14ac:dyDescent="0.2">
      <c r="BJ60864" s="201"/>
    </row>
    <row r="60865" spans="62:62" x14ac:dyDescent="0.2">
      <c r="BJ60865" s="201"/>
    </row>
    <row r="60866" spans="62:62" x14ac:dyDescent="0.2">
      <c r="BJ60866" s="201"/>
    </row>
    <row r="60867" spans="62:62" x14ac:dyDescent="0.2">
      <c r="BJ60867" s="201"/>
    </row>
    <row r="60868" spans="62:62" x14ac:dyDescent="0.2">
      <c r="BJ60868" s="201"/>
    </row>
    <row r="60869" spans="62:62" x14ac:dyDescent="0.2">
      <c r="BJ60869" s="201"/>
    </row>
    <row r="60870" spans="62:62" x14ac:dyDescent="0.2">
      <c r="BJ60870" s="201"/>
    </row>
    <row r="60871" spans="62:62" x14ac:dyDescent="0.2">
      <c r="BJ60871" s="201"/>
    </row>
    <row r="60872" spans="62:62" x14ac:dyDescent="0.2">
      <c r="BJ60872" s="201"/>
    </row>
    <row r="60873" spans="62:62" x14ac:dyDescent="0.2">
      <c r="BJ60873" s="201"/>
    </row>
    <row r="60874" spans="62:62" x14ac:dyDescent="0.2">
      <c r="BJ60874" s="201"/>
    </row>
    <row r="60875" spans="62:62" x14ac:dyDescent="0.2">
      <c r="BJ60875" s="201"/>
    </row>
    <row r="60876" spans="62:62" x14ac:dyDescent="0.2">
      <c r="BJ60876" s="201"/>
    </row>
    <row r="60877" spans="62:62" x14ac:dyDescent="0.2">
      <c r="BJ60877" s="201"/>
    </row>
    <row r="60878" spans="62:62" x14ac:dyDescent="0.2">
      <c r="BJ60878" s="201"/>
    </row>
    <row r="60879" spans="62:62" x14ac:dyDescent="0.2">
      <c r="BJ60879" s="201"/>
    </row>
    <row r="60880" spans="62:62" x14ac:dyDescent="0.2">
      <c r="BJ60880" s="201"/>
    </row>
    <row r="60881" spans="62:62" x14ac:dyDescent="0.2">
      <c r="BJ60881" s="201"/>
    </row>
    <row r="60882" spans="62:62" x14ac:dyDescent="0.2">
      <c r="BJ60882" s="201"/>
    </row>
    <row r="60883" spans="62:62" x14ac:dyDescent="0.2">
      <c r="BJ60883" s="201"/>
    </row>
    <row r="60884" spans="62:62" x14ac:dyDescent="0.2">
      <c r="BJ60884" s="201"/>
    </row>
    <row r="60885" spans="62:62" x14ac:dyDescent="0.2">
      <c r="BJ60885" s="201"/>
    </row>
    <row r="60886" spans="62:62" x14ac:dyDescent="0.2">
      <c r="BJ60886" s="201"/>
    </row>
    <row r="60887" spans="62:62" x14ac:dyDescent="0.2">
      <c r="BJ60887" s="201"/>
    </row>
    <row r="60888" spans="62:62" x14ac:dyDescent="0.2">
      <c r="BJ60888" s="201"/>
    </row>
    <row r="60889" spans="62:62" x14ac:dyDescent="0.2">
      <c r="BJ60889" s="201"/>
    </row>
    <row r="60890" spans="62:62" x14ac:dyDescent="0.2">
      <c r="BJ60890" s="201"/>
    </row>
    <row r="60891" spans="62:62" x14ac:dyDescent="0.2">
      <c r="BJ60891" s="201"/>
    </row>
    <row r="60892" spans="62:62" x14ac:dyDescent="0.2">
      <c r="BJ60892" s="201"/>
    </row>
    <row r="60893" spans="62:62" x14ac:dyDescent="0.2">
      <c r="BJ60893" s="201"/>
    </row>
    <row r="60894" spans="62:62" x14ac:dyDescent="0.2">
      <c r="BJ60894" s="201"/>
    </row>
    <row r="60895" spans="62:62" x14ac:dyDescent="0.2">
      <c r="BJ60895" s="201"/>
    </row>
    <row r="60896" spans="62:62" x14ac:dyDescent="0.2">
      <c r="BJ60896" s="201"/>
    </row>
    <row r="60897" spans="62:62" x14ac:dyDescent="0.2">
      <c r="BJ60897" s="201"/>
    </row>
    <row r="60898" spans="62:62" x14ac:dyDescent="0.2">
      <c r="BJ60898" s="201"/>
    </row>
    <row r="60899" spans="62:62" x14ac:dyDescent="0.2">
      <c r="BJ60899" s="201"/>
    </row>
    <row r="60900" spans="62:62" x14ac:dyDescent="0.2">
      <c r="BJ60900" s="201"/>
    </row>
    <row r="60901" spans="62:62" x14ac:dyDescent="0.2">
      <c r="BJ60901" s="201"/>
    </row>
    <row r="60902" spans="62:62" x14ac:dyDescent="0.2">
      <c r="BJ60902" s="201"/>
    </row>
    <row r="60903" spans="62:62" x14ac:dyDescent="0.2">
      <c r="BJ60903" s="201"/>
    </row>
    <row r="60904" spans="62:62" x14ac:dyDescent="0.2">
      <c r="BJ60904" s="201"/>
    </row>
    <row r="60905" spans="62:62" x14ac:dyDescent="0.2">
      <c r="BJ60905" s="201"/>
    </row>
    <row r="60906" spans="62:62" x14ac:dyDescent="0.2">
      <c r="BJ60906" s="201"/>
    </row>
    <row r="60907" spans="62:62" x14ac:dyDescent="0.2">
      <c r="BJ60907" s="201"/>
    </row>
    <row r="60908" spans="62:62" x14ac:dyDescent="0.2">
      <c r="BJ60908" s="201"/>
    </row>
    <row r="60909" spans="62:62" x14ac:dyDescent="0.2">
      <c r="BJ60909" s="201"/>
    </row>
    <row r="60910" spans="62:62" x14ac:dyDescent="0.2">
      <c r="BJ60910" s="201"/>
    </row>
    <row r="60911" spans="62:62" x14ac:dyDescent="0.2">
      <c r="BJ60911" s="201"/>
    </row>
    <row r="60912" spans="62:62" x14ac:dyDescent="0.2">
      <c r="BJ60912" s="201"/>
    </row>
    <row r="60913" spans="62:62" x14ac:dyDescent="0.2">
      <c r="BJ60913" s="201"/>
    </row>
    <row r="60914" spans="62:62" x14ac:dyDescent="0.2">
      <c r="BJ60914" s="201"/>
    </row>
    <row r="60915" spans="62:62" x14ac:dyDescent="0.2">
      <c r="BJ60915" s="201"/>
    </row>
    <row r="60916" spans="62:62" x14ac:dyDescent="0.2">
      <c r="BJ60916" s="201"/>
    </row>
    <row r="60917" spans="62:62" x14ac:dyDescent="0.2">
      <c r="BJ60917" s="201"/>
    </row>
    <row r="60918" spans="62:62" x14ac:dyDescent="0.2">
      <c r="BJ60918" s="201"/>
    </row>
    <row r="60919" spans="62:62" x14ac:dyDescent="0.2">
      <c r="BJ60919" s="201"/>
    </row>
    <row r="60920" spans="62:62" x14ac:dyDescent="0.2">
      <c r="BJ60920" s="201"/>
    </row>
    <row r="60921" spans="62:62" x14ac:dyDescent="0.2">
      <c r="BJ60921" s="201"/>
    </row>
    <row r="60922" spans="62:62" x14ac:dyDescent="0.2">
      <c r="BJ60922" s="201"/>
    </row>
    <row r="60923" spans="62:62" x14ac:dyDescent="0.2">
      <c r="BJ60923" s="201"/>
    </row>
    <row r="60924" spans="62:62" x14ac:dyDescent="0.2">
      <c r="BJ60924" s="201"/>
    </row>
    <row r="60925" spans="62:62" x14ac:dyDescent="0.2">
      <c r="BJ60925" s="201"/>
    </row>
    <row r="60926" spans="62:62" x14ac:dyDescent="0.2">
      <c r="BJ60926" s="201"/>
    </row>
    <row r="60927" spans="62:62" x14ac:dyDescent="0.2">
      <c r="BJ60927" s="201"/>
    </row>
    <row r="60928" spans="62:62" x14ac:dyDescent="0.2">
      <c r="BJ60928" s="201"/>
    </row>
    <row r="60929" spans="62:62" x14ac:dyDescent="0.2">
      <c r="BJ60929" s="201"/>
    </row>
    <row r="60930" spans="62:62" x14ac:dyDescent="0.2">
      <c r="BJ60930" s="201"/>
    </row>
    <row r="60931" spans="62:62" x14ac:dyDescent="0.2">
      <c r="BJ60931" s="201"/>
    </row>
    <row r="60932" spans="62:62" x14ac:dyDescent="0.2">
      <c r="BJ60932" s="201"/>
    </row>
    <row r="60933" spans="62:62" x14ac:dyDescent="0.2">
      <c r="BJ60933" s="201"/>
    </row>
    <row r="60934" spans="62:62" x14ac:dyDescent="0.2">
      <c r="BJ60934" s="201"/>
    </row>
    <row r="60935" spans="62:62" x14ac:dyDescent="0.2">
      <c r="BJ60935" s="201"/>
    </row>
    <row r="60936" spans="62:62" x14ac:dyDescent="0.2">
      <c r="BJ60936" s="201"/>
    </row>
    <row r="60937" spans="62:62" x14ac:dyDescent="0.2">
      <c r="BJ60937" s="201"/>
    </row>
    <row r="60938" spans="62:62" x14ac:dyDescent="0.2">
      <c r="BJ60938" s="201"/>
    </row>
    <row r="60939" spans="62:62" x14ac:dyDescent="0.2">
      <c r="BJ60939" s="201"/>
    </row>
    <row r="60940" spans="62:62" x14ac:dyDescent="0.2">
      <c r="BJ60940" s="201"/>
    </row>
    <row r="60941" spans="62:62" x14ac:dyDescent="0.2">
      <c r="BJ60941" s="201"/>
    </row>
    <row r="60942" spans="62:62" x14ac:dyDescent="0.2">
      <c r="BJ60942" s="201"/>
    </row>
    <row r="60943" spans="62:62" x14ac:dyDescent="0.2">
      <c r="BJ60943" s="201"/>
    </row>
    <row r="60944" spans="62:62" x14ac:dyDescent="0.2">
      <c r="BJ60944" s="201"/>
    </row>
    <row r="60945" spans="62:62" x14ac:dyDescent="0.2">
      <c r="BJ60945" s="201"/>
    </row>
    <row r="60946" spans="62:62" x14ac:dyDescent="0.2">
      <c r="BJ60946" s="201"/>
    </row>
    <row r="60947" spans="62:62" x14ac:dyDescent="0.2">
      <c r="BJ60947" s="201"/>
    </row>
    <row r="60948" spans="62:62" x14ac:dyDescent="0.2">
      <c r="BJ60948" s="201"/>
    </row>
    <row r="60949" spans="62:62" x14ac:dyDescent="0.2">
      <c r="BJ60949" s="201"/>
    </row>
    <row r="60950" spans="62:62" x14ac:dyDescent="0.2">
      <c r="BJ60950" s="201"/>
    </row>
    <row r="60951" spans="62:62" x14ac:dyDescent="0.2">
      <c r="BJ60951" s="201"/>
    </row>
    <row r="60952" spans="62:62" x14ac:dyDescent="0.2">
      <c r="BJ60952" s="201"/>
    </row>
    <row r="60953" spans="62:62" x14ac:dyDescent="0.2">
      <c r="BJ60953" s="201"/>
    </row>
    <row r="60954" spans="62:62" x14ac:dyDescent="0.2">
      <c r="BJ60954" s="201"/>
    </row>
    <row r="60955" spans="62:62" x14ac:dyDescent="0.2">
      <c r="BJ60955" s="201"/>
    </row>
    <row r="60956" spans="62:62" x14ac:dyDescent="0.2">
      <c r="BJ60956" s="201"/>
    </row>
    <row r="60957" spans="62:62" x14ac:dyDescent="0.2">
      <c r="BJ60957" s="201"/>
    </row>
    <row r="60958" spans="62:62" x14ac:dyDescent="0.2">
      <c r="BJ60958" s="201"/>
    </row>
    <row r="60959" spans="62:62" x14ac:dyDescent="0.2">
      <c r="BJ60959" s="201"/>
    </row>
    <row r="60960" spans="62:62" x14ac:dyDescent="0.2">
      <c r="BJ60960" s="201"/>
    </row>
    <row r="60961" spans="62:62" x14ac:dyDescent="0.2">
      <c r="BJ60961" s="201"/>
    </row>
    <row r="60962" spans="62:62" x14ac:dyDescent="0.2">
      <c r="BJ60962" s="201"/>
    </row>
    <row r="60963" spans="62:62" x14ac:dyDescent="0.2">
      <c r="BJ60963" s="201"/>
    </row>
    <row r="60964" spans="62:62" x14ac:dyDescent="0.2">
      <c r="BJ60964" s="201"/>
    </row>
    <row r="60965" spans="62:62" x14ac:dyDescent="0.2">
      <c r="BJ60965" s="201"/>
    </row>
    <row r="60966" spans="62:62" x14ac:dyDescent="0.2">
      <c r="BJ60966" s="201"/>
    </row>
    <row r="60967" spans="62:62" x14ac:dyDescent="0.2">
      <c r="BJ60967" s="201"/>
    </row>
    <row r="60968" spans="62:62" x14ac:dyDescent="0.2">
      <c r="BJ60968" s="201"/>
    </row>
    <row r="60969" spans="62:62" x14ac:dyDescent="0.2">
      <c r="BJ60969" s="201"/>
    </row>
    <row r="60970" spans="62:62" x14ac:dyDescent="0.2">
      <c r="BJ60970" s="201"/>
    </row>
    <row r="60971" spans="62:62" x14ac:dyDescent="0.2">
      <c r="BJ60971" s="201"/>
    </row>
    <row r="60972" spans="62:62" x14ac:dyDescent="0.2">
      <c r="BJ60972" s="201"/>
    </row>
    <row r="60973" spans="62:62" x14ac:dyDescent="0.2">
      <c r="BJ60973" s="201"/>
    </row>
    <row r="60974" spans="62:62" x14ac:dyDescent="0.2">
      <c r="BJ60974" s="201"/>
    </row>
    <row r="60975" spans="62:62" x14ac:dyDescent="0.2">
      <c r="BJ60975" s="201"/>
    </row>
    <row r="60976" spans="62:62" x14ac:dyDescent="0.2">
      <c r="BJ60976" s="201"/>
    </row>
    <row r="60977" spans="62:62" x14ac:dyDescent="0.2">
      <c r="BJ60977" s="201"/>
    </row>
    <row r="60978" spans="62:62" x14ac:dyDescent="0.2">
      <c r="BJ60978" s="201"/>
    </row>
    <row r="60979" spans="62:62" x14ac:dyDescent="0.2">
      <c r="BJ60979" s="201"/>
    </row>
    <row r="60980" spans="62:62" x14ac:dyDescent="0.2">
      <c r="BJ60980" s="201"/>
    </row>
    <row r="60981" spans="62:62" x14ac:dyDescent="0.2">
      <c r="BJ60981" s="201"/>
    </row>
    <row r="60982" spans="62:62" x14ac:dyDescent="0.2">
      <c r="BJ60982" s="201"/>
    </row>
    <row r="60983" spans="62:62" x14ac:dyDescent="0.2">
      <c r="BJ60983" s="201"/>
    </row>
    <row r="60984" spans="62:62" x14ac:dyDescent="0.2">
      <c r="BJ60984" s="201"/>
    </row>
    <row r="60985" spans="62:62" x14ac:dyDescent="0.2">
      <c r="BJ60985" s="201"/>
    </row>
    <row r="60986" spans="62:62" x14ac:dyDescent="0.2">
      <c r="BJ60986" s="201"/>
    </row>
    <row r="60987" spans="62:62" x14ac:dyDescent="0.2">
      <c r="BJ60987" s="201"/>
    </row>
    <row r="60988" spans="62:62" x14ac:dyDescent="0.2">
      <c r="BJ60988" s="201"/>
    </row>
    <row r="60989" spans="62:62" x14ac:dyDescent="0.2">
      <c r="BJ60989" s="201"/>
    </row>
    <row r="60990" spans="62:62" x14ac:dyDescent="0.2">
      <c r="BJ60990" s="201"/>
    </row>
    <row r="60991" spans="62:62" x14ac:dyDescent="0.2">
      <c r="BJ60991" s="201"/>
    </row>
    <row r="60992" spans="62:62" x14ac:dyDescent="0.2">
      <c r="BJ60992" s="201"/>
    </row>
    <row r="60993" spans="62:62" x14ac:dyDescent="0.2">
      <c r="BJ60993" s="201"/>
    </row>
    <row r="60994" spans="62:62" x14ac:dyDescent="0.2">
      <c r="BJ60994" s="201"/>
    </row>
    <row r="60995" spans="62:62" x14ac:dyDescent="0.2">
      <c r="BJ60995" s="201"/>
    </row>
    <row r="60996" spans="62:62" x14ac:dyDescent="0.2">
      <c r="BJ60996" s="201"/>
    </row>
    <row r="60997" spans="62:62" x14ac:dyDescent="0.2">
      <c r="BJ60997" s="201"/>
    </row>
    <row r="60998" spans="62:62" x14ac:dyDescent="0.2">
      <c r="BJ60998" s="201"/>
    </row>
    <row r="60999" spans="62:62" x14ac:dyDescent="0.2">
      <c r="BJ60999" s="201"/>
    </row>
    <row r="61000" spans="62:62" x14ac:dyDescent="0.2">
      <c r="BJ61000" s="201"/>
    </row>
    <row r="61001" spans="62:62" x14ac:dyDescent="0.2">
      <c r="BJ61001" s="201"/>
    </row>
    <row r="61002" spans="62:62" x14ac:dyDescent="0.2">
      <c r="BJ61002" s="201"/>
    </row>
    <row r="61003" spans="62:62" x14ac:dyDescent="0.2">
      <c r="BJ61003" s="201"/>
    </row>
    <row r="61004" spans="62:62" x14ac:dyDescent="0.2">
      <c r="BJ61004" s="201"/>
    </row>
    <row r="61005" spans="62:62" x14ac:dyDescent="0.2">
      <c r="BJ61005" s="201"/>
    </row>
    <row r="61006" spans="62:62" x14ac:dyDescent="0.2">
      <c r="BJ61006" s="201"/>
    </row>
    <row r="61007" spans="62:62" x14ac:dyDescent="0.2">
      <c r="BJ61007" s="201"/>
    </row>
    <row r="61008" spans="62:62" x14ac:dyDescent="0.2">
      <c r="BJ61008" s="201"/>
    </row>
    <row r="61009" spans="62:62" x14ac:dyDescent="0.2">
      <c r="BJ61009" s="201"/>
    </row>
    <row r="61010" spans="62:62" x14ac:dyDescent="0.2">
      <c r="BJ61010" s="201"/>
    </row>
    <row r="61011" spans="62:62" x14ac:dyDescent="0.2">
      <c r="BJ61011" s="201"/>
    </row>
    <row r="61012" spans="62:62" x14ac:dyDescent="0.2">
      <c r="BJ61012" s="201"/>
    </row>
    <row r="61013" spans="62:62" x14ac:dyDescent="0.2">
      <c r="BJ61013" s="201"/>
    </row>
    <row r="61014" spans="62:62" x14ac:dyDescent="0.2">
      <c r="BJ61014" s="201"/>
    </row>
    <row r="61015" spans="62:62" x14ac:dyDescent="0.2">
      <c r="BJ61015" s="201"/>
    </row>
    <row r="61016" spans="62:62" x14ac:dyDescent="0.2">
      <c r="BJ61016" s="201"/>
    </row>
    <row r="61017" spans="62:62" x14ac:dyDescent="0.2">
      <c r="BJ61017" s="201"/>
    </row>
    <row r="61018" spans="62:62" x14ac:dyDescent="0.2">
      <c r="BJ61018" s="201"/>
    </row>
    <row r="61019" spans="62:62" x14ac:dyDescent="0.2">
      <c r="BJ61019" s="201"/>
    </row>
    <row r="61020" spans="62:62" x14ac:dyDescent="0.2">
      <c r="BJ61020" s="201"/>
    </row>
    <row r="61021" spans="62:62" x14ac:dyDescent="0.2">
      <c r="BJ61021" s="201"/>
    </row>
    <row r="61022" spans="62:62" x14ac:dyDescent="0.2">
      <c r="BJ61022" s="201"/>
    </row>
    <row r="61023" spans="62:62" x14ac:dyDescent="0.2">
      <c r="BJ61023" s="201"/>
    </row>
    <row r="61024" spans="62:62" x14ac:dyDescent="0.2">
      <c r="BJ61024" s="201"/>
    </row>
    <row r="61025" spans="62:62" x14ac:dyDescent="0.2">
      <c r="BJ61025" s="201"/>
    </row>
    <row r="61026" spans="62:62" x14ac:dyDescent="0.2">
      <c r="BJ61026" s="201"/>
    </row>
    <row r="61027" spans="62:62" x14ac:dyDescent="0.2">
      <c r="BJ61027" s="201"/>
    </row>
    <row r="61028" spans="62:62" x14ac:dyDescent="0.2">
      <c r="BJ61028" s="201"/>
    </row>
    <row r="61029" spans="62:62" x14ac:dyDescent="0.2">
      <c r="BJ61029" s="201"/>
    </row>
    <row r="61030" spans="62:62" x14ac:dyDescent="0.2">
      <c r="BJ61030" s="201"/>
    </row>
    <row r="61031" spans="62:62" x14ac:dyDescent="0.2">
      <c r="BJ61031" s="201"/>
    </row>
    <row r="61032" spans="62:62" x14ac:dyDescent="0.2">
      <c r="BJ61032" s="201"/>
    </row>
    <row r="61033" spans="62:62" x14ac:dyDescent="0.2">
      <c r="BJ61033" s="201"/>
    </row>
    <row r="61034" spans="62:62" x14ac:dyDescent="0.2">
      <c r="BJ61034" s="201"/>
    </row>
    <row r="61035" spans="62:62" x14ac:dyDescent="0.2">
      <c r="BJ61035" s="201"/>
    </row>
    <row r="61036" spans="62:62" x14ac:dyDescent="0.2">
      <c r="BJ61036" s="201"/>
    </row>
    <row r="61037" spans="62:62" x14ac:dyDescent="0.2">
      <c r="BJ61037" s="201"/>
    </row>
    <row r="61038" spans="62:62" x14ac:dyDescent="0.2">
      <c r="BJ61038" s="201"/>
    </row>
    <row r="61039" spans="62:62" x14ac:dyDescent="0.2">
      <c r="BJ61039" s="201"/>
    </row>
    <row r="61040" spans="62:62" x14ac:dyDescent="0.2">
      <c r="BJ61040" s="201"/>
    </row>
    <row r="61041" spans="62:62" x14ac:dyDescent="0.2">
      <c r="BJ61041" s="201"/>
    </row>
    <row r="61042" spans="62:62" x14ac:dyDescent="0.2">
      <c r="BJ61042" s="201"/>
    </row>
    <row r="61043" spans="62:62" x14ac:dyDescent="0.2">
      <c r="BJ61043" s="201"/>
    </row>
    <row r="61044" spans="62:62" x14ac:dyDescent="0.2">
      <c r="BJ61044" s="201"/>
    </row>
    <row r="61045" spans="62:62" x14ac:dyDescent="0.2">
      <c r="BJ61045" s="201"/>
    </row>
    <row r="61046" spans="62:62" x14ac:dyDescent="0.2">
      <c r="BJ61046" s="201"/>
    </row>
    <row r="61047" spans="62:62" x14ac:dyDescent="0.2">
      <c r="BJ61047" s="201"/>
    </row>
    <row r="61048" spans="62:62" x14ac:dyDescent="0.2">
      <c r="BJ61048" s="201"/>
    </row>
    <row r="61049" spans="62:62" x14ac:dyDescent="0.2">
      <c r="BJ61049" s="201"/>
    </row>
    <row r="61050" spans="62:62" x14ac:dyDescent="0.2">
      <c r="BJ61050" s="201"/>
    </row>
    <row r="61051" spans="62:62" x14ac:dyDescent="0.2">
      <c r="BJ61051" s="201"/>
    </row>
    <row r="61052" spans="62:62" x14ac:dyDescent="0.2">
      <c r="BJ61052" s="201"/>
    </row>
    <row r="61053" spans="62:62" x14ac:dyDescent="0.2">
      <c r="BJ61053" s="201"/>
    </row>
    <row r="61054" spans="62:62" x14ac:dyDescent="0.2">
      <c r="BJ61054" s="201"/>
    </row>
    <row r="61055" spans="62:62" x14ac:dyDescent="0.2">
      <c r="BJ61055" s="201"/>
    </row>
    <row r="61056" spans="62:62" x14ac:dyDescent="0.2">
      <c r="BJ61056" s="201"/>
    </row>
    <row r="61057" spans="62:62" x14ac:dyDescent="0.2">
      <c r="BJ61057" s="201"/>
    </row>
    <row r="61058" spans="62:62" x14ac:dyDescent="0.2">
      <c r="BJ61058" s="201"/>
    </row>
    <row r="61059" spans="62:62" x14ac:dyDescent="0.2">
      <c r="BJ61059" s="201"/>
    </row>
    <row r="61060" spans="62:62" x14ac:dyDescent="0.2">
      <c r="BJ61060" s="201"/>
    </row>
    <row r="61061" spans="62:62" x14ac:dyDescent="0.2">
      <c r="BJ61061" s="201"/>
    </row>
    <row r="61062" spans="62:62" x14ac:dyDescent="0.2">
      <c r="BJ61062" s="201"/>
    </row>
    <row r="61063" spans="62:62" x14ac:dyDescent="0.2">
      <c r="BJ61063" s="201"/>
    </row>
    <row r="61064" spans="62:62" x14ac:dyDescent="0.2">
      <c r="BJ61064" s="201"/>
    </row>
    <row r="61065" spans="62:62" x14ac:dyDescent="0.2">
      <c r="BJ61065" s="201"/>
    </row>
    <row r="61066" spans="62:62" x14ac:dyDescent="0.2">
      <c r="BJ61066" s="201"/>
    </row>
    <row r="61067" spans="62:62" x14ac:dyDescent="0.2">
      <c r="BJ61067" s="201"/>
    </row>
    <row r="61068" spans="62:62" x14ac:dyDescent="0.2">
      <c r="BJ61068" s="201"/>
    </row>
    <row r="61069" spans="62:62" x14ac:dyDescent="0.2">
      <c r="BJ61069" s="201"/>
    </row>
    <row r="61070" spans="62:62" x14ac:dyDescent="0.2">
      <c r="BJ61070" s="201"/>
    </row>
    <row r="61071" spans="62:62" x14ac:dyDescent="0.2">
      <c r="BJ61071" s="201"/>
    </row>
    <row r="61072" spans="62:62" x14ac:dyDescent="0.2">
      <c r="BJ61072" s="201"/>
    </row>
    <row r="61073" spans="62:62" x14ac:dyDescent="0.2">
      <c r="BJ61073" s="201"/>
    </row>
    <row r="61074" spans="62:62" x14ac:dyDescent="0.2">
      <c r="BJ61074" s="201"/>
    </row>
    <row r="61075" spans="62:62" x14ac:dyDescent="0.2">
      <c r="BJ61075" s="201"/>
    </row>
    <row r="61076" spans="62:62" x14ac:dyDescent="0.2">
      <c r="BJ61076" s="201"/>
    </row>
    <row r="61077" spans="62:62" x14ac:dyDescent="0.2">
      <c r="BJ61077" s="201"/>
    </row>
    <row r="61078" spans="62:62" x14ac:dyDescent="0.2">
      <c r="BJ61078" s="201"/>
    </row>
    <row r="61079" spans="62:62" x14ac:dyDescent="0.2">
      <c r="BJ61079" s="201"/>
    </row>
    <row r="61080" spans="62:62" x14ac:dyDescent="0.2">
      <c r="BJ61080" s="201"/>
    </row>
    <row r="61081" spans="62:62" x14ac:dyDescent="0.2">
      <c r="BJ61081" s="201"/>
    </row>
    <row r="61082" spans="62:62" x14ac:dyDescent="0.2">
      <c r="BJ61082" s="201"/>
    </row>
    <row r="61083" spans="62:62" x14ac:dyDescent="0.2">
      <c r="BJ61083" s="201"/>
    </row>
    <row r="61084" spans="62:62" x14ac:dyDescent="0.2">
      <c r="BJ61084" s="201"/>
    </row>
    <row r="61085" spans="62:62" x14ac:dyDescent="0.2">
      <c r="BJ61085" s="201"/>
    </row>
    <row r="61086" spans="62:62" x14ac:dyDescent="0.2">
      <c r="BJ61086" s="201"/>
    </row>
    <row r="61087" spans="62:62" x14ac:dyDescent="0.2">
      <c r="BJ61087" s="201"/>
    </row>
    <row r="61088" spans="62:62" x14ac:dyDescent="0.2">
      <c r="BJ61088" s="201"/>
    </row>
    <row r="61089" spans="62:62" x14ac:dyDescent="0.2">
      <c r="BJ61089" s="201"/>
    </row>
    <row r="61090" spans="62:62" x14ac:dyDescent="0.2">
      <c r="BJ61090" s="201"/>
    </row>
    <row r="61091" spans="62:62" x14ac:dyDescent="0.2">
      <c r="BJ61091" s="201"/>
    </row>
    <row r="61092" spans="62:62" x14ac:dyDescent="0.2">
      <c r="BJ61092" s="201"/>
    </row>
    <row r="61093" spans="62:62" x14ac:dyDescent="0.2">
      <c r="BJ61093" s="201"/>
    </row>
    <row r="61094" spans="62:62" x14ac:dyDescent="0.2">
      <c r="BJ61094" s="201"/>
    </row>
    <row r="61095" spans="62:62" x14ac:dyDescent="0.2">
      <c r="BJ61095" s="201"/>
    </row>
    <row r="61096" spans="62:62" x14ac:dyDescent="0.2">
      <c r="BJ61096" s="201"/>
    </row>
    <row r="61097" spans="62:62" x14ac:dyDescent="0.2">
      <c r="BJ61097" s="201"/>
    </row>
    <row r="61098" spans="62:62" x14ac:dyDescent="0.2">
      <c r="BJ61098" s="201"/>
    </row>
    <row r="61099" spans="62:62" x14ac:dyDescent="0.2">
      <c r="BJ61099" s="201"/>
    </row>
    <row r="61100" spans="62:62" x14ac:dyDescent="0.2">
      <c r="BJ61100" s="201"/>
    </row>
    <row r="61101" spans="62:62" x14ac:dyDescent="0.2">
      <c r="BJ61101" s="201"/>
    </row>
    <row r="61102" spans="62:62" x14ac:dyDescent="0.2">
      <c r="BJ61102" s="201"/>
    </row>
    <row r="61103" spans="62:62" x14ac:dyDescent="0.2">
      <c r="BJ61103" s="201"/>
    </row>
    <row r="61104" spans="62:62" x14ac:dyDescent="0.2">
      <c r="BJ61104" s="201"/>
    </row>
    <row r="61105" spans="62:62" x14ac:dyDescent="0.2">
      <c r="BJ61105" s="201"/>
    </row>
    <row r="61106" spans="62:62" x14ac:dyDescent="0.2">
      <c r="BJ61106" s="201"/>
    </row>
    <row r="61107" spans="62:62" x14ac:dyDescent="0.2">
      <c r="BJ61107" s="201"/>
    </row>
    <row r="61108" spans="62:62" x14ac:dyDescent="0.2">
      <c r="BJ61108" s="201"/>
    </row>
    <row r="61109" spans="62:62" x14ac:dyDescent="0.2">
      <c r="BJ61109" s="201"/>
    </row>
    <row r="61110" spans="62:62" x14ac:dyDescent="0.2">
      <c r="BJ61110" s="201"/>
    </row>
    <row r="61111" spans="62:62" x14ac:dyDescent="0.2">
      <c r="BJ61111" s="201"/>
    </row>
    <row r="61112" spans="62:62" x14ac:dyDescent="0.2">
      <c r="BJ61112" s="201"/>
    </row>
    <row r="61113" spans="62:62" x14ac:dyDescent="0.2">
      <c r="BJ61113" s="201"/>
    </row>
    <row r="61114" spans="62:62" x14ac:dyDescent="0.2">
      <c r="BJ61114" s="201"/>
    </row>
    <row r="61115" spans="62:62" x14ac:dyDescent="0.2">
      <c r="BJ61115" s="201"/>
    </row>
    <row r="61116" spans="62:62" x14ac:dyDescent="0.2">
      <c r="BJ61116" s="201"/>
    </row>
    <row r="61117" spans="62:62" x14ac:dyDescent="0.2">
      <c r="BJ61117" s="201"/>
    </row>
    <row r="61118" spans="62:62" x14ac:dyDescent="0.2">
      <c r="BJ61118" s="201"/>
    </row>
    <row r="61119" spans="62:62" x14ac:dyDescent="0.2">
      <c r="BJ61119" s="201"/>
    </row>
    <row r="61120" spans="62:62" x14ac:dyDescent="0.2">
      <c r="BJ61120" s="201"/>
    </row>
    <row r="61121" spans="62:62" x14ac:dyDescent="0.2">
      <c r="BJ61121" s="201"/>
    </row>
    <row r="61122" spans="62:62" x14ac:dyDescent="0.2">
      <c r="BJ61122" s="201"/>
    </row>
    <row r="61123" spans="62:62" x14ac:dyDescent="0.2">
      <c r="BJ61123" s="201"/>
    </row>
    <row r="61124" spans="62:62" x14ac:dyDescent="0.2">
      <c r="BJ61124" s="201"/>
    </row>
    <row r="61125" spans="62:62" x14ac:dyDescent="0.2">
      <c r="BJ61125" s="201"/>
    </row>
    <row r="61126" spans="62:62" x14ac:dyDescent="0.2">
      <c r="BJ61126" s="201"/>
    </row>
    <row r="61127" spans="62:62" x14ac:dyDescent="0.2">
      <c r="BJ61127" s="201"/>
    </row>
    <row r="61128" spans="62:62" x14ac:dyDescent="0.2">
      <c r="BJ61128" s="201"/>
    </row>
    <row r="61129" spans="62:62" x14ac:dyDescent="0.2">
      <c r="BJ61129" s="201"/>
    </row>
    <row r="61130" spans="62:62" x14ac:dyDescent="0.2">
      <c r="BJ61130" s="201"/>
    </row>
    <row r="61131" spans="62:62" x14ac:dyDescent="0.2">
      <c r="BJ61131" s="201"/>
    </row>
    <row r="61132" spans="62:62" x14ac:dyDescent="0.2">
      <c r="BJ61132" s="201"/>
    </row>
    <row r="61133" spans="62:62" x14ac:dyDescent="0.2">
      <c r="BJ61133" s="201"/>
    </row>
    <row r="61134" spans="62:62" x14ac:dyDescent="0.2">
      <c r="BJ61134" s="201"/>
    </row>
    <row r="61135" spans="62:62" x14ac:dyDescent="0.2">
      <c r="BJ61135" s="201"/>
    </row>
    <row r="61136" spans="62:62" x14ac:dyDescent="0.2">
      <c r="BJ61136" s="201"/>
    </row>
    <row r="61137" spans="62:62" x14ac:dyDescent="0.2">
      <c r="BJ61137" s="201"/>
    </row>
    <row r="61138" spans="62:62" x14ac:dyDescent="0.2">
      <c r="BJ61138" s="201"/>
    </row>
    <row r="61139" spans="62:62" x14ac:dyDescent="0.2">
      <c r="BJ61139" s="201"/>
    </row>
    <row r="61140" spans="62:62" x14ac:dyDescent="0.2">
      <c r="BJ61140" s="201"/>
    </row>
    <row r="61141" spans="62:62" x14ac:dyDescent="0.2">
      <c r="BJ61141" s="201"/>
    </row>
    <row r="61142" spans="62:62" x14ac:dyDescent="0.2">
      <c r="BJ61142" s="201"/>
    </row>
    <row r="61143" spans="62:62" x14ac:dyDescent="0.2">
      <c r="BJ61143" s="201"/>
    </row>
    <row r="61144" spans="62:62" x14ac:dyDescent="0.2">
      <c r="BJ61144" s="201"/>
    </row>
    <row r="61145" spans="62:62" x14ac:dyDescent="0.2">
      <c r="BJ61145" s="201"/>
    </row>
    <row r="61146" spans="62:62" x14ac:dyDescent="0.2">
      <c r="BJ61146" s="201"/>
    </row>
    <row r="61147" spans="62:62" x14ac:dyDescent="0.2">
      <c r="BJ61147" s="201"/>
    </row>
    <row r="61148" spans="62:62" x14ac:dyDescent="0.2">
      <c r="BJ61148" s="201"/>
    </row>
    <row r="61149" spans="62:62" x14ac:dyDescent="0.2">
      <c r="BJ61149" s="201"/>
    </row>
    <row r="61150" spans="62:62" x14ac:dyDescent="0.2">
      <c r="BJ61150" s="201"/>
    </row>
    <row r="61151" spans="62:62" x14ac:dyDescent="0.2">
      <c r="BJ61151" s="201"/>
    </row>
    <row r="61152" spans="62:62" x14ac:dyDescent="0.2">
      <c r="BJ61152" s="201"/>
    </row>
    <row r="61153" spans="62:62" x14ac:dyDescent="0.2">
      <c r="BJ61153" s="201"/>
    </row>
    <row r="61154" spans="62:62" x14ac:dyDescent="0.2">
      <c r="BJ61154" s="201"/>
    </row>
    <row r="61155" spans="62:62" x14ac:dyDescent="0.2">
      <c r="BJ61155" s="201"/>
    </row>
    <row r="61156" spans="62:62" x14ac:dyDescent="0.2">
      <c r="BJ61156" s="201"/>
    </row>
    <row r="61157" spans="62:62" x14ac:dyDescent="0.2">
      <c r="BJ61157" s="201"/>
    </row>
    <row r="61158" spans="62:62" x14ac:dyDescent="0.2">
      <c r="BJ61158" s="201"/>
    </row>
    <row r="61159" spans="62:62" x14ac:dyDescent="0.2">
      <c r="BJ61159" s="201"/>
    </row>
    <row r="61160" spans="62:62" x14ac:dyDescent="0.2">
      <c r="BJ61160" s="201"/>
    </row>
    <row r="61161" spans="62:62" x14ac:dyDescent="0.2">
      <c r="BJ61161" s="201"/>
    </row>
    <row r="61162" spans="62:62" x14ac:dyDescent="0.2">
      <c r="BJ61162" s="201"/>
    </row>
    <row r="61163" spans="62:62" x14ac:dyDescent="0.2">
      <c r="BJ61163" s="201"/>
    </row>
    <row r="61164" spans="62:62" x14ac:dyDescent="0.2">
      <c r="BJ61164" s="201"/>
    </row>
    <row r="61165" spans="62:62" x14ac:dyDescent="0.2">
      <c r="BJ61165" s="201"/>
    </row>
    <row r="61166" spans="62:62" x14ac:dyDescent="0.2">
      <c r="BJ61166" s="201"/>
    </row>
    <row r="61167" spans="62:62" x14ac:dyDescent="0.2">
      <c r="BJ61167" s="201"/>
    </row>
    <row r="61168" spans="62:62" x14ac:dyDescent="0.2">
      <c r="BJ61168" s="201"/>
    </row>
    <row r="61169" spans="62:62" x14ac:dyDescent="0.2">
      <c r="BJ61169" s="201"/>
    </row>
    <row r="61170" spans="62:62" x14ac:dyDescent="0.2">
      <c r="BJ61170" s="201"/>
    </row>
    <row r="61171" spans="62:62" x14ac:dyDescent="0.2">
      <c r="BJ61171" s="201"/>
    </row>
    <row r="61172" spans="62:62" x14ac:dyDescent="0.2">
      <c r="BJ61172" s="201"/>
    </row>
    <row r="61173" spans="62:62" x14ac:dyDescent="0.2">
      <c r="BJ61173" s="201"/>
    </row>
    <row r="61174" spans="62:62" x14ac:dyDescent="0.2">
      <c r="BJ61174" s="201"/>
    </row>
    <row r="61175" spans="62:62" x14ac:dyDescent="0.2">
      <c r="BJ61175" s="201"/>
    </row>
    <row r="61176" spans="62:62" x14ac:dyDescent="0.2">
      <c r="BJ61176" s="201"/>
    </row>
    <row r="61177" spans="62:62" x14ac:dyDescent="0.2">
      <c r="BJ61177" s="201"/>
    </row>
    <row r="61178" spans="62:62" x14ac:dyDescent="0.2">
      <c r="BJ61178" s="201"/>
    </row>
    <row r="61179" spans="62:62" x14ac:dyDescent="0.2">
      <c r="BJ61179" s="201"/>
    </row>
    <row r="61180" spans="62:62" x14ac:dyDescent="0.2">
      <c r="BJ61180" s="201"/>
    </row>
    <row r="61181" spans="62:62" x14ac:dyDescent="0.2">
      <c r="BJ61181" s="201"/>
    </row>
    <row r="61182" spans="62:62" x14ac:dyDescent="0.2">
      <c r="BJ61182" s="201"/>
    </row>
    <row r="61183" spans="62:62" x14ac:dyDescent="0.2">
      <c r="BJ61183" s="201"/>
    </row>
    <row r="61184" spans="62:62" x14ac:dyDescent="0.2">
      <c r="BJ61184" s="201"/>
    </row>
    <row r="61185" spans="62:62" x14ac:dyDescent="0.2">
      <c r="BJ61185" s="201"/>
    </row>
    <row r="61186" spans="62:62" x14ac:dyDescent="0.2">
      <c r="BJ61186" s="201"/>
    </row>
    <row r="61187" spans="62:62" x14ac:dyDescent="0.2">
      <c r="BJ61187" s="201"/>
    </row>
    <row r="61188" spans="62:62" x14ac:dyDescent="0.2">
      <c r="BJ61188" s="201"/>
    </row>
    <row r="61189" spans="62:62" x14ac:dyDescent="0.2">
      <c r="BJ61189" s="201"/>
    </row>
    <row r="61190" spans="62:62" x14ac:dyDescent="0.2">
      <c r="BJ61190" s="201"/>
    </row>
    <row r="61191" spans="62:62" x14ac:dyDescent="0.2">
      <c r="BJ61191" s="201"/>
    </row>
    <row r="61192" spans="62:62" x14ac:dyDescent="0.2">
      <c r="BJ61192" s="201"/>
    </row>
    <row r="61193" spans="62:62" x14ac:dyDescent="0.2">
      <c r="BJ61193" s="201"/>
    </row>
    <row r="61194" spans="62:62" x14ac:dyDescent="0.2">
      <c r="BJ61194" s="201"/>
    </row>
    <row r="61195" spans="62:62" x14ac:dyDescent="0.2">
      <c r="BJ61195" s="201"/>
    </row>
    <row r="61196" spans="62:62" x14ac:dyDescent="0.2">
      <c r="BJ61196" s="201"/>
    </row>
    <row r="61197" spans="62:62" x14ac:dyDescent="0.2">
      <c r="BJ61197" s="201"/>
    </row>
    <row r="61198" spans="62:62" x14ac:dyDescent="0.2">
      <c r="BJ61198" s="201"/>
    </row>
    <row r="61199" spans="62:62" x14ac:dyDescent="0.2">
      <c r="BJ61199" s="201"/>
    </row>
    <row r="61200" spans="62:62" x14ac:dyDescent="0.2">
      <c r="BJ61200" s="201"/>
    </row>
    <row r="61201" spans="62:62" x14ac:dyDescent="0.2">
      <c r="BJ61201" s="201"/>
    </row>
    <row r="61202" spans="62:62" x14ac:dyDescent="0.2">
      <c r="BJ61202" s="201"/>
    </row>
    <row r="61203" spans="62:62" x14ac:dyDescent="0.2">
      <c r="BJ61203" s="201"/>
    </row>
    <row r="61204" spans="62:62" x14ac:dyDescent="0.2">
      <c r="BJ61204" s="201"/>
    </row>
    <row r="61205" spans="62:62" x14ac:dyDescent="0.2">
      <c r="BJ61205" s="201"/>
    </row>
    <row r="61206" spans="62:62" x14ac:dyDescent="0.2">
      <c r="BJ61206" s="201"/>
    </row>
    <row r="61207" spans="62:62" x14ac:dyDescent="0.2">
      <c r="BJ61207" s="201"/>
    </row>
    <row r="61208" spans="62:62" x14ac:dyDescent="0.2">
      <c r="BJ61208" s="201"/>
    </row>
    <row r="61209" spans="62:62" x14ac:dyDescent="0.2">
      <c r="BJ61209" s="201"/>
    </row>
    <row r="61210" spans="62:62" x14ac:dyDescent="0.2">
      <c r="BJ61210" s="201"/>
    </row>
    <row r="61211" spans="62:62" x14ac:dyDescent="0.2">
      <c r="BJ61211" s="201"/>
    </row>
    <row r="61212" spans="62:62" x14ac:dyDescent="0.2">
      <c r="BJ61212" s="201"/>
    </row>
    <row r="61213" spans="62:62" x14ac:dyDescent="0.2">
      <c r="BJ61213" s="201"/>
    </row>
    <row r="61214" spans="62:62" x14ac:dyDescent="0.2">
      <c r="BJ61214" s="201"/>
    </row>
    <row r="61215" spans="62:62" x14ac:dyDescent="0.2">
      <c r="BJ61215" s="201"/>
    </row>
    <row r="61216" spans="62:62" x14ac:dyDescent="0.2">
      <c r="BJ61216" s="201"/>
    </row>
    <row r="61217" spans="62:62" x14ac:dyDescent="0.2">
      <c r="BJ61217" s="201"/>
    </row>
    <row r="61218" spans="62:62" x14ac:dyDescent="0.2">
      <c r="BJ61218" s="201"/>
    </row>
    <row r="61219" spans="62:62" x14ac:dyDescent="0.2">
      <c r="BJ61219" s="201"/>
    </row>
    <row r="61220" spans="62:62" x14ac:dyDescent="0.2">
      <c r="BJ61220" s="201"/>
    </row>
    <row r="61221" spans="62:62" x14ac:dyDescent="0.2">
      <c r="BJ61221" s="201"/>
    </row>
    <row r="61222" spans="62:62" x14ac:dyDescent="0.2">
      <c r="BJ61222" s="201"/>
    </row>
    <row r="61223" spans="62:62" x14ac:dyDescent="0.2">
      <c r="BJ61223" s="201"/>
    </row>
    <row r="61224" spans="62:62" x14ac:dyDescent="0.2">
      <c r="BJ61224" s="201"/>
    </row>
    <row r="61225" spans="62:62" x14ac:dyDescent="0.2">
      <c r="BJ61225" s="201"/>
    </row>
    <row r="61226" spans="62:62" x14ac:dyDescent="0.2">
      <c r="BJ61226" s="201"/>
    </row>
    <row r="61227" spans="62:62" x14ac:dyDescent="0.2">
      <c r="BJ61227" s="201"/>
    </row>
    <row r="61228" spans="62:62" x14ac:dyDescent="0.2">
      <c r="BJ61228" s="201"/>
    </row>
    <row r="61229" spans="62:62" x14ac:dyDescent="0.2">
      <c r="BJ61229" s="201"/>
    </row>
    <row r="61230" spans="62:62" x14ac:dyDescent="0.2">
      <c r="BJ61230" s="201"/>
    </row>
    <row r="61231" spans="62:62" x14ac:dyDescent="0.2">
      <c r="BJ61231" s="201"/>
    </row>
    <row r="61232" spans="62:62" x14ac:dyDescent="0.2">
      <c r="BJ61232" s="201"/>
    </row>
    <row r="61233" spans="62:62" x14ac:dyDescent="0.2">
      <c r="BJ61233" s="201"/>
    </row>
    <row r="61234" spans="62:62" x14ac:dyDescent="0.2">
      <c r="BJ61234" s="201"/>
    </row>
    <row r="61235" spans="62:62" x14ac:dyDescent="0.2">
      <c r="BJ61235" s="201"/>
    </row>
    <row r="61236" spans="62:62" x14ac:dyDescent="0.2">
      <c r="BJ61236" s="201"/>
    </row>
    <row r="61237" spans="62:62" x14ac:dyDescent="0.2">
      <c r="BJ61237" s="201"/>
    </row>
    <row r="61238" spans="62:62" x14ac:dyDescent="0.2">
      <c r="BJ61238" s="201"/>
    </row>
    <row r="61239" spans="62:62" x14ac:dyDescent="0.2">
      <c r="BJ61239" s="201"/>
    </row>
    <row r="61240" spans="62:62" x14ac:dyDescent="0.2">
      <c r="BJ61240" s="201"/>
    </row>
    <row r="61241" spans="62:62" x14ac:dyDescent="0.2">
      <c r="BJ61241" s="201"/>
    </row>
    <row r="61242" spans="62:62" x14ac:dyDescent="0.2">
      <c r="BJ61242" s="201"/>
    </row>
    <row r="61243" spans="62:62" x14ac:dyDescent="0.2">
      <c r="BJ61243" s="201"/>
    </row>
    <row r="61244" spans="62:62" x14ac:dyDescent="0.2">
      <c r="BJ61244" s="201"/>
    </row>
    <row r="61245" spans="62:62" x14ac:dyDescent="0.2">
      <c r="BJ61245" s="201"/>
    </row>
    <row r="61246" spans="62:62" x14ac:dyDescent="0.2">
      <c r="BJ61246" s="201"/>
    </row>
    <row r="61247" spans="62:62" x14ac:dyDescent="0.2">
      <c r="BJ61247" s="201"/>
    </row>
    <row r="61248" spans="62:62" x14ac:dyDescent="0.2">
      <c r="BJ61248" s="201"/>
    </row>
    <row r="61249" spans="62:62" x14ac:dyDescent="0.2">
      <c r="BJ61249" s="201"/>
    </row>
    <row r="61250" spans="62:62" x14ac:dyDescent="0.2">
      <c r="BJ61250" s="201"/>
    </row>
    <row r="61251" spans="62:62" x14ac:dyDescent="0.2">
      <c r="BJ61251" s="201"/>
    </row>
    <row r="61252" spans="62:62" x14ac:dyDescent="0.2">
      <c r="BJ61252" s="201"/>
    </row>
    <row r="61253" spans="62:62" x14ac:dyDescent="0.2">
      <c r="BJ61253" s="201"/>
    </row>
    <row r="61254" spans="62:62" x14ac:dyDescent="0.2">
      <c r="BJ61254" s="201"/>
    </row>
    <row r="61255" spans="62:62" x14ac:dyDescent="0.2">
      <c r="BJ61255" s="201"/>
    </row>
    <row r="61256" spans="62:62" x14ac:dyDescent="0.2">
      <c r="BJ61256" s="201"/>
    </row>
    <row r="61257" spans="62:62" x14ac:dyDescent="0.2">
      <c r="BJ61257" s="201"/>
    </row>
    <row r="61258" spans="62:62" x14ac:dyDescent="0.2">
      <c r="BJ61258" s="201"/>
    </row>
    <row r="61259" spans="62:62" x14ac:dyDescent="0.2">
      <c r="BJ61259" s="201"/>
    </row>
    <row r="61260" spans="62:62" x14ac:dyDescent="0.2">
      <c r="BJ61260" s="201"/>
    </row>
    <row r="61261" spans="62:62" x14ac:dyDescent="0.2">
      <c r="BJ61261" s="201"/>
    </row>
    <row r="61262" spans="62:62" x14ac:dyDescent="0.2">
      <c r="BJ61262" s="201"/>
    </row>
    <row r="61263" spans="62:62" x14ac:dyDescent="0.2">
      <c r="BJ61263" s="201"/>
    </row>
    <row r="61264" spans="62:62" x14ac:dyDescent="0.2">
      <c r="BJ61264" s="201"/>
    </row>
    <row r="61265" spans="62:62" x14ac:dyDescent="0.2">
      <c r="BJ61265" s="201"/>
    </row>
    <row r="61266" spans="62:62" x14ac:dyDescent="0.2">
      <c r="BJ61266" s="201"/>
    </row>
    <row r="61267" spans="62:62" x14ac:dyDescent="0.2">
      <c r="BJ61267" s="201"/>
    </row>
    <row r="61268" spans="62:62" x14ac:dyDescent="0.2">
      <c r="BJ61268" s="201"/>
    </row>
    <row r="61269" spans="62:62" x14ac:dyDescent="0.2">
      <c r="BJ61269" s="201"/>
    </row>
    <row r="61270" spans="62:62" x14ac:dyDescent="0.2">
      <c r="BJ61270" s="201"/>
    </row>
    <row r="61271" spans="62:62" x14ac:dyDescent="0.2">
      <c r="BJ61271" s="201"/>
    </row>
    <row r="61272" spans="62:62" x14ac:dyDescent="0.2">
      <c r="BJ61272" s="201"/>
    </row>
    <row r="61273" spans="62:62" x14ac:dyDescent="0.2">
      <c r="BJ61273" s="201"/>
    </row>
    <row r="61274" spans="62:62" x14ac:dyDescent="0.2">
      <c r="BJ61274" s="201"/>
    </row>
    <row r="61275" spans="62:62" x14ac:dyDescent="0.2">
      <c r="BJ61275" s="201"/>
    </row>
    <row r="61276" spans="62:62" x14ac:dyDescent="0.2">
      <c r="BJ61276" s="201"/>
    </row>
    <row r="61277" spans="62:62" x14ac:dyDescent="0.2">
      <c r="BJ61277" s="201"/>
    </row>
    <row r="61278" spans="62:62" x14ac:dyDescent="0.2">
      <c r="BJ61278" s="201"/>
    </row>
    <row r="61279" spans="62:62" x14ac:dyDescent="0.2">
      <c r="BJ61279" s="201"/>
    </row>
    <row r="61280" spans="62:62" x14ac:dyDescent="0.2">
      <c r="BJ61280" s="201"/>
    </row>
    <row r="61281" spans="62:62" x14ac:dyDescent="0.2">
      <c r="BJ61281" s="201"/>
    </row>
    <row r="61282" spans="62:62" x14ac:dyDescent="0.2">
      <c r="BJ61282" s="201"/>
    </row>
    <row r="61283" spans="62:62" x14ac:dyDescent="0.2">
      <c r="BJ61283" s="201"/>
    </row>
    <row r="61284" spans="62:62" x14ac:dyDescent="0.2">
      <c r="BJ61284" s="201"/>
    </row>
    <row r="61285" spans="62:62" x14ac:dyDescent="0.2">
      <c r="BJ61285" s="201"/>
    </row>
    <row r="61286" spans="62:62" x14ac:dyDescent="0.2">
      <c r="BJ61286" s="201"/>
    </row>
    <row r="61287" spans="62:62" x14ac:dyDescent="0.2">
      <c r="BJ61287" s="201"/>
    </row>
    <row r="61288" spans="62:62" x14ac:dyDescent="0.2">
      <c r="BJ61288" s="201"/>
    </row>
    <row r="61289" spans="62:62" x14ac:dyDescent="0.2">
      <c r="BJ61289" s="201"/>
    </row>
    <row r="61290" spans="62:62" x14ac:dyDescent="0.2">
      <c r="BJ61290" s="201"/>
    </row>
    <row r="61291" spans="62:62" x14ac:dyDescent="0.2">
      <c r="BJ61291" s="201"/>
    </row>
    <row r="61292" spans="62:62" x14ac:dyDescent="0.2">
      <c r="BJ61292" s="201"/>
    </row>
    <row r="61293" spans="62:62" x14ac:dyDescent="0.2">
      <c r="BJ61293" s="201"/>
    </row>
    <row r="61294" spans="62:62" x14ac:dyDescent="0.2">
      <c r="BJ61294" s="201"/>
    </row>
    <row r="61295" spans="62:62" x14ac:dyDescent="0.2">
      <c r="BJ61295" s="201"/>
    </row>
    <row r="61296" spans="62:62" x14ac:dyDescent="0.2">
      <c r="BJ61296" s="201"/>
    </row>
    <row r="61297" spans="62:62" x14ac:dyDescent="0.2">
      <c r="BJ61297" s="201"/>
    </row>
    <row r="61298" spans="62:62" x14ac:dyDescent="0.2">
      <c r="BJ61298" s="201"/>
    </row>
    <row r="61299" spans="62:62" x14ac:dyDescent="0.2">
      <c r="BJ61299" s="201"/>
    </row>
    <row r="61300" spans="62:62" x14ac:dyDescent="0.2">
      <c r="BJ61300" s="201"/>
    </row>
    <row r="61301" spans="62:62" x14ac:dyDescent="0.2">
      <c r="BJ61301" s="201"/>
    </row>
    <row r="61302" spans="62:62" x14ac:dyDescent="0.2">
      <c r="BJ61302" s="201"/>
    </row>
    <row r="61303" spans="62:62" x14ac:dyDescent="0.2">
      <c r="BJ61303" s="201"/>
    </row>
    <row r="61304" spans="62:62" x14ac:dyDescent="0.2">
      <c r="BJ61304" s="201"/>
    </row>
    <row r="61305" spans="62:62" x14ac:dyDescent="0.2">
      <c r="BJ61305" s="201"/>
    </row>
    <row r="61306" spans="62:62" x14ac:dyDescent="0.2">
      <c r="BJ61306" s="201"/>
    </row>
    <row r="61307" spans="62:62" x14ac:dyDescent="0.2">
      <c r="BJ61307" s="201"/>
    </row>
    <row r="61308" spans="62:62" x14ac:dyDescent="0.2">
      <c r="BJ61308" s="201"/>
    </row>
    <row r="61309" spans="62:62" x14ac:dyDescent="0.2">
      <c r="BJ61309" s="201"/>
    </row>
    <row r="61310" spans="62:62" x14ac:dyDescent="0.2">
      <c r="BJ61310" s="201"/>
    </row>
    <row r="61311" spans="62:62" x14ac:dyDescent="0.2">
      <c r="BJ61311" s="201"/>
    </row>
    <row r="61312" spans="62:62" x14ac:dyDescent="0.2">
      <c r="BJ61312" s="201"/>
    </row>
    <row r="61313" spans="62:62" x14ac:dyDescent="0.2">
      <c r="BJ61313" s="201"/>
    </row>
    <row r="61314" spans="62:62" x14ac:dyDescent="0.2">
      <c r="BJ61314" s="201"/>
    </row>
    <row r="61315" spans="62:62" x14ac:dyDescent="0.2">
      <c r="BJ61315" s="201"/>
    </row>
    <row r="61316" spans="62:62" x14ac:dyDescent="0.2">
      <c r="BJ61316" s="201"/>
    </row>
    <row r="61317" spans="62:62" x14ac:dyDescent="0.2">
      <c r="BJ61317" s="201"/>
    </row>
    <row r="61318" spans="62:62" x14ac:dyDescent="0.2">
      <c r="BJ61318" s="201"/>
    </row>
    <row r="61319" spans="62:62" x14ac:dyDescent="0.2">
      <c r="BJ61319" s="201"/>
    </row>
    <row r="61320" spans="62:62" x14ac:dyDescent="0.2">
      <c r="BJ61320" s="201"/>
    </row>
    <row r="61321" spans="62:62" x14ac:dyDescent="0.2">
      <c r="BJ61321" s="201"/>
    </row>
    <row r="61322" spans="62:62" x14ac:dyDescent="0.2">
      <c r="BJ61322" s="201"/>
    </row>
    <row r="61323" spans="62:62" x14ac:dyDescent="0.2">
      <c r="BJ61323" s="201"/>
    </row>
    <row r="61324" spans="62:62" x14ac:dyDescent="0.2">
      <c r="BJ61324" s="201"/>
    </row>
    <row r="61325" spans="62:62" x14ac:dyDescent="0.2">
      <c r="BJ61325" s="201"/>
    </row>
    <row r="61326" spans="62:62" x14ac:dyDescent="0.2">
      <c r="BJ61326" s="201"/>
    </row>
    <row r="61327" spans="62:62" x14ac:dyDescent="0.2">
      <c r="BJ61327" s="201"/>
    </row>
    <row r="61328" spans="62:62" x14ac:dyDescent="0.2">
      <c r="BJ61328" s="201"/>
    </row>
    <row r="61329" spans="62:62" x14ac:dyDescent="0.2">
      <c r="BJ61329" s="201"/>
    </row>
    <row r="61330" spans="62:62" x14ac:dyDescent="0.2">
      <c r="BJ61330" s="201"/>
    </row>
    <row r="61331" spans="62:62" x14ac:dyDescent="0.2">
      <c r="BJ61331" s="201"/>
    </row>
    <row r="61332" spans="62:62" x14ac:dyDescent="0.2">
      <c r="BJ61332" s="201"/>
    </row>
    <row r="61333" spans="62:62" x14ac:dyDescent="0.2">
      <c r="BJ61333" s="201"/>
    </row>
    <row r="61334" spans="62:62" x14ac:dyDescent="0.2">
      <c r="BJ61334" s="201"/>
    </row>
    <row r="61335" spans="62:62" x14ac:dyDescent="0.2">
      <c r="BJ61335" s="201"/>
    </row>
    <row r="61336" spans="62:62" x14ac:dyDescent="0.2">
      <c r="BJ61336" s="201"/>
    </row>
    <row r="61337" spans="62:62" x14ac:dyDescent="0.2">
      <c r="BJ61337" s="201"/>
    </row>
    <row r="61338" spans="62:62" x14ac:dyDescent="0.2">
      <c r="BJ61338" s="201"/>
    </row>
    <row r="61339" spans="62:62" x14ac:dyDescent="0.2">
      <c r="BJ61339" s="201"/>
    </row>
    <row r="61340" spans="62:62" x14ac:dyDescent="0.2">
      <c r="BJ61340" s="201"/>
    </row>
    <row r="61341" spans="62:62" x14ac:dyDescent="0.2">
      <c r="BJ61341" s="201"/>
    </row>
    <row r="61342" spans="62:62" x14ac:dyDescent="0.2">
      <c r="BJ61342" s="201"/>
    </row>
    <row r="61343" spans="62:62" x14ac:dyDescent="0.2">
      <c r="BJ61343" s="201"/>
    </row>
    <row r="61344" spans="62:62" x14ac:dyDescent="0.2">
      <c r="BJ61344" s="201"/>
    </row>
    <row r="61345" spans="62:62" x14ac:dyDescent="0.2">
      <c r="BJ61345" s="201"/>
    </row>
    <row r="61346" spans="62:62" x14ac:dyDescent="0.2">
      <c r="BJ61346" s="201"/>
    </row>
    <row r="61347" spans="62:62" x14ac:dyDescent="0.2">
      <c r="BJ61347" s="201"/>
    </row>
    <row r="61348" spans="62:62" x14ac:dyDescent="0.2">
      <c r="BJ61348" s="201"/>
    </row>
    <row r="61349" spans="62:62" x14ac:dyDescent="0.2">
      <c r="BJ61349" s="201"/>
    </row>
    <row r="61350" spans="62:62" x14ac:dyDescent="0.2">
      <c r="BJ61350" s="201"/>
    </row>
    <row r="61351" spans="62:62" x14ac:dyDescent="0.2">
      <c r="BJ61351" s="201"/>
    </row>
    <row r="61352" spans="62:62" x14ac:dyDescent="0.2">
      <c r="BJ61352" s="201"/>
    </row>
    <row r="61353" spans="62:62" x14ac:dyDescent="0.2">
      <c r="BJ61353" s="201"/>
    </row>
    <row r="61354" spans="62:62" x14ac:dyDescent="0.2">
      <c r="BJ61354" s="201"/>
    </row>
    <row r="61355" spans="62:62" x14ac:dyDescent="0.2">
      <c r="BJ61355" s="201"/>
    </row>
    <row r="61356" spans="62:62" x14ac:dyDescent="0.2">
      <c r="BJ61356" s="201"/>
    </row>
    <row r="61357" spans="62:62" x14ac:dyDescent="0.2">
      <c r="BJ61357" s="201"/>
    </row>
    <row r="61358" spans="62:62" x14ac:dyDescent="0.2">
      <c r="BJ61358" s="201"/>
    </row>
    <row r="61359" spans="62:62" x14ac:dyDescent="0.2">
      <c r="BJ61359" s="201"/>
    </row>
    <row r="61360" spans="62:62" x14ac:dyDescent="0.2">
      <c r="BJ61360" s="201"/>
    </row>
    <row r="61361" spans="62:62" x14ac:dyDescent="0.2">
      <c r="BJ61361" s="201"/>
    </row>
    <row r="61362" spans="62:62" x14ac:dyDescent="0.2">
      <c r="BJ61362" s="201"/>
    </row>
    <row r="61363" spans="62:62" x14ac:dyDescent="0.2">
      <c r="BJ61363" s="201"/>
    </row>
    <row r="61364" spans="62:62" x14ac:dyDescent="0.2">
      <c r="BJ61364" s="201"/>
    </row>
    <row r="61365" spans="62:62" x14ac:dyDescent="0.2">
      <c r="BJ61365" s="201"/>
    </row>
    <row r="61366" spans="62:62" x14ac:dyDescent="0.2">
      <c r="BJ61366" s="201"/>
    </row>
    <row r="61367" spans="62:62" x14ac:dyDescent="0.2">
      <c r="BJ61367" s="201"/>
    </row>
    <row r="61368" spans="62:62" x14ac:dyDescent="0.2">
      <c r="BJ61368" s="201"/>
    </row>
    <row r="61369" spans="62:62" x14ac:dyDescent="0.2">
      <c r="BJ61369" s="201"/>
    </row>
    <row r="61370" spans="62:62" x14ac:dyDescent="0.2">
      <c r="BJ61370" s="201"/>
    </row>
    <row r="61371" spans="62:62" x14ac:dyDescent="0.2">
      <c r="BJ61371" s="201"/>
    </row>
    <row r="61372" spans="62:62" x14ac:dyDescent="0.2">
      <c r="BJ61372" s="201"/>
    </row>
    <row r="61373" spans="62:62" x14ac:dyDescent="0.2">
      <c r="BJ61373" s="201"/>
    </row>
    <row r="61374" spans="62:62" x14ac:dyDescent="0.2">
      <c r="BJ61374" s="201"/>
    </row>
    <row r="61375" spans="62:62" x14ac:dyDescent="0.2">
      <c r="BJ61375" s="201"/>
    </row>
    <row r="61376" spans="62:62" x14ac:dyDescent="0.2">
      <c r="BJ61376" s="201"/>
    </row>
    <row r="61377" spans="62:62" x14ac:dyDescent="0.2">
      <c r="BJ61377" s="201"/>
    </row>
    <row r="61378" spans="62:62" x14ac:dyDescent="0.2">
      <c r="BJ61378" s="201"/>
    </row>
    <row r="61379" spans="62:62" x14ac:dyDescent="0.2">
      <c r="BJ61379" s="201"/>
    </row>
    <row r="61380" spans="62:62" x14ac:dyDescent="0.2">
      <c r="BJ61380" s="201"/>
    </row>
    <row r="61381" spans="62:62" x14ac:dyDescent="0.2">
      <c r="BJ61381" s="201"/>
    </row>
    <row r="61382" spans="62:62" x14ac:dyDescent="0.2">
      <c r="BJ61382" s="201"/>
    </row>
    <row r="61383" spans="62:62" x14ac:dyDescent="0.2">
      <c r="BJ61383" s="201"/>
    </row>
    <row r="61384" spans="62:62" x14ac:dyDescent="0.2">
      <c r="BJ61384" s="201"/>
    </row>
    <row r="61385" spans="62:62" x14ac:dyDescent="0.2">
      <c r="BJ61385" s="201"/>
    </row>
    <row r="61386" spans="62:62" x14ac:dyDescent="0.2">
      <c r="BJ61386" s="201"/>
    </row>
    <row r="61387" spans="62:62" x14ac:dyDescent="0.2">
      <c r="BJ61387" s="201"/>
    </row>
    <row r="61388" spans="62:62" x14ac:dyDescent="0.2">
      <c r="BJ61388" s="201"/>
    </row>
    <row r="61389" spans="62:62" x14ac:dyDescent="0.2">
      <c r="BJ61389" s="201"/>
    </row>
    <row r="61390" spans="62:62" x14ac:dyDescent="0.2">
      <c r="BJ61390" s="201"/>
    </row>
    <row r="61391" spans="62:62" x14ac:dyDescent="0.2">
      <c r="BJ61391" s="201"/>
    </row>
    <row r="61392" spans="62:62" x14ac:dyDescent="0.2">
      <c r="BJ61392" s="201"/>
    </row>
    <row r="61393" spans="62:62" x14ac:dyDescent="0.2">
      <c r="BJ61393" s="201"/>
    </row>
    <row r="61394" spans="62:62" x14ac:dyDescent="0.2">
      <c r="BJ61394" s="201"/>
    </row>
    <row r="61395" spans="62:62" x14ac:dyDescent="0.2">
      <c r="BJ61395" s="201"/>
    </row>
    <row r="61396" spans="62:62" x14ac:dyDescent="0.2">
      <c r="BJ61396" s="201"/>
    </row>
    <row r="61397" spans="62:62" x14ac:dyDescent="0.2">
      <c r="BJ61397" s="201"/>
    </row>
    <row r="61398" spans="62:62" x14ac:dyDescent="0.2">
      <c r="BJ61398" s="201"/>
    </row>
    <row r="61399" spans="62:62" x14ac:dyDescent="0.2">
      <c r="BJ61399" s="201"/>
    </row>
    <row r="61400" spans="62:62" x14ac:dyDescent="0.2">
      <c r="BJ61400" s="201"/>
    </row>
    <row r="61401" spans="62:62" x14ac:dyDescent="0.2">
      <c r="BJ61401" s="201"/>
    </row>
    <row r="61402" spans="62:62" x14ac:dyDescent="0.2">
      <c r="BJ61402" s="201"/>
    </row>
    <row r="61403" spans="62:62" x14ac:dyDescent="0.2">
      <c r="BJ61403" s="201"/>
    </row>
    <row r="61404" spans="62:62" x14ac:dyDescent="0.2">
      <c r="BJ61404" s="201"/>
    </row>
    <row r="61405" spans="62:62" x14ac:dyDescent="0.2">
      <c r="BJ61405" s="201"/>
    </row>
    <row r="61406" spans="62:62" x14ac:dyDescent="0.2">
      <c r="BJ61406" s="201"/>
    </row>
    <row r="61407" spans="62:62" x14ac:dyDescent="0.2">
      <c r="BJ61407" s="201"/>
    </row>
    <row r="61408" spans="62:62" x14ac:dyDescent="0.2">
      <c r="BJ61408" s="201"/>
    </row>
    <row r="61409" spans="62:62" x14ac:dyDescent="0.2">
      <c r="BJ61409" s="201"/>
    </row>
    <row r="61410" spans="62:62" x14ac:dyDescent="0.2">
      <c r="BJ61410" s="201"/>
    </row>
    <row r="61411" spans="62:62" x14ac:dyDescent="0.2">
      <c r="BJ61411" s="201"/>
    </row>
    <row r="61412" spans="62:62" x14ac:dyDescent="0.2">
      <c r="BJ61412" s="201"/>
    </row>
    <row r="61413" spans="62:62" x14ac:dyDescent="0.2">
      <c r="BJ61413" s="201"/>
    </row>
    <row r="61414" spans="62:62" x14ac:dyDescent="0.2">
      <c r="BJ61414" s="201"/>
    </row>
    <row r="61415" spans="62:62" x14ac:dyDescent="0.2">
      <c r="BJ61415" s="201"/>
    </row>
    <row r="61416" spans="62:62" x14ac:dyDescent="0.2">
      <c r="BJ61416" s="201"/>
    </row>
    <row r="61417" spans="62:62" x14ac:dyDescent="0.2">
      <c r="BJ61417" s="201"/>
    </row>
    <row r="61418" spans="62:62" x14ac:dyDescent="0.2">
      <c r="BJ61418" s="201"/>
    </row>
    <row r="61419" spans="62:62" x14ac:dyDescent="0.2">
      <c r="BJ61419" s="201"/>
    </row>
    <row r="61420" spans="62:62" x14ac:dyDescent="0.2">
      <c r="BJ61420" s="201"/>
    </row>
    <row r="61421" spans="62:62" x14ac:dyDescent="0.2">
      <c r="BJ61421" s="201"/>
    </row>
    <row r="61422" spans="62:62" x14ac:dyDescent="0.2">
      <c r="BJ61422" s="201"/>
    </row>
    <row r="61423" spans="62:62" x14ac:dyDescent="0.2">
      <c r="BJ61423" s="201"/>
    </row>
    <row r="61424" spans="62:62" x14ac:dyDescent="0.2">
      <c r="BJ61424" s="201"/>
    </row>
    <row r="61425" spans="62:62" x14ac:dyDescent="0.2">
      <c r="BJ61425" s="201"/>
    </row>
    <row r="61426" spans="62:62" x14ac:dyDescent="0.2">
      <c r="BJ61426" s="201"/>
    </row>
    <row r="61427" spans="62:62" x14ac:dyDescent="0.2">
      <c r="BJ61427" s="201"/>
    </row>
    <row r="61428" spans="62:62" x14ac:dyDescent="0.2">
      <c r="BJ61428" s="201"/>
    </row>
    <row r="61429" spans="62:62" x14ac:dyDescent="0.2">
      <c r="BJ61429" s="201"/>
    </row>
    <row r="61430" spans="62:62" x14ac:dyDescent="0.2">
      <c r="BJ61430" s="201"/>
    </row>
    <row r="61431" spans="62:62" x14ac:dyDescent="0.2">
      <c r="BJ61431" s="201"/>
    </row>
    <row r="61432" spans="62:62" x14ac:dyDescent="0.2">
      <c r="BJ61432" s="201"/>
    </row>
    <row r="61433" spans="62:62" x14ac:dyDescent="0.2">
      <c r="BJ61433" s="201"/>
    </row>
    <row r="61434" spans="62:62" x14ac:dyDescent="0.2">
      <c r="BJ61434" s="201"/>
    </row>
    <row r="61435" spans="62:62" x14ac:dyDescent="0.2">
      <c r="BJ61435" s="201"/>
    </row>
    <row r="61436" spans="62:62" x14ac:dyDescent="0.2">
      <c r="BJ61436" s="201"/>
    </row>
    <row r="61437" spans="62:62" x14ac:dyDescent="0.2">
      <c r="BJ61437" s="201"/>
    </row>
    <row r="61438" spans="62:62" x14ac:dyDescent="0.2">
      <c r="BJ61438" s="201"/>
    </row>
    <row r="61439" spans="62:62" x14ac:dyDescent="0.2">
      <c r="BJ61439" s="201"/>
    </row>
    <row r="61440" spans="62:62" x14ac:dyDescent="0.2">
      <c r="BJ61440" s="201"/>
    </row>
    <row r="61441" spans="62:62" x14ac:dyDescent="0.2">
      <c r="BJ61441" s="201"/>
    </row>
    <row r="61442" spans="62:62" x14ac:dyDescent="0.2">
      <c r="BJ61442" s="201"/>
    </row>
    <row r="61443" spans="62:62" x14ac:dyDescent="0.2">
      <c r="BJ61443" s="201"/>
    </row>
    <row r="61444" spans="62:62" x14ac:dyDescent="0.2">
      <c r="BJ61444" s="201"/>
    </row>
    <row r="61445" spans="62:62" x14ac:dyDescent="0.2">
      <c r="BJ61445" s="201"/>
    </row>
    <row r="61446" spans="62:62" x14ac:dyDescent="0.2">
      <c r="BJ61446" s="201"/>
    </row>
    <row r="61447" spans="62:62" x14ac:dyDescent="0.2">
      <c r="BJ61447" s="201"/>
    </row>
    <row r="61448" spans="62:62" x14ac:dyDescent="0.2">
      <c r="BJ61448" s="201"/>
    </row>
    <row r="61449" spans="62:62" x14ac:dyDescent="0.2">
      <c r="BJ61449" s="201"/>
    </row>
    <row r="61450" spans="62:62" x14ac:dyDescent="0.2">
      <c r="BJ61450" s="201"/>
    </row>
    <row r="61451" spans="62:62" x14ac:dyDescent="0.2">
      <c r="BJ61451" s="201"/>
    </row>
    <row r="61452" spans="62:62" x14ac:dyDescent="0.2">
      <c r="BJ61452" s="201"/>
    </row>
    <row r="61453" spans="62:62" x14ac:dyDescent="0.2">
      <c r="BJ61453" s="201"/>
    </row>
    <row r="61454" spans="62:62" x14ac:dyDescent="0.2">
      <c r="BJ61454" s="201"/>
    </row>
    <row r="61455" spans="62:62" x14ac:dyDescent="0.2">
      <c r="BJ61455" s="201"/>
    </row>
    <row r="61456" spans="62:62" x14ac:dyDescent="0.2">
      <c r="BJ61456" s="201"/>
    </row>
    <row r="61457" spans="62:62" x14ac:dyDescent="0.2">
      <c r="BJ61457" s="201"/>
    </row>
    <row r="61458" spans="62:62" x14ac:dyDescent="0.2">
      <c r="BJ61458" s="201"/>
    </row>
    <row r="61459" spans="62:62" x14ac:dyDescent="0.2">
      <c r="BJ61459" s="201"/>
    </row>
    <row r="61460" spans="62:62" x14ac:dyDescent="0.2">
      <c r="BJ61460" s="201"/>
    </row>
    <row r="61461" spans="62:62" x14ac:dyDescent="0.2">
      <c r="BJ61461" s="201"/>
    </row>
    <row r="61462" spans="62:62" x14ac:dyDescent="0.2">
      <c r="BJ61462" s="201"/>
    </row>
    <row r="61463" spans="62:62" x14ac:dyDescent="0.2">
      <c r="BJ61463" s="201"/>
    </row>
    <row r="61464" spans="62:62" x14ac:dyDescent="0.2">
      <c r="BJ61464" s="201"/>
    </row>
    <row r="61465" spans="62:62" x14ac:dyDescent="0.2">
      <c r="BJ61465" s="201"/>
    </row>
    <row r="61466" spans="62:62" x14ac:dyDescent="0.2">
      <c r="BJ61466" s="201"/>
    </row>
    <row r="61467" spans="62:62" x14ac:dyDescent="0.2">
      <c r="BJ61467" s="201"/>
    </row>
    <row r="61468" spans="62:62" x14ac:dyDescent="0.2">
      <c r="BJ61468" s="201"/>
    </row>
    <row r="61469" spans="62:62" x14ac:dyDescent="0.2">
      <c r="BJ61469" s="201"/>
    </row>
    <row r="61470" spans="62:62" x14ac:dyDescent="0.2">
      <c r="BJ61470" s="201"/>
    </row>
    <row r="61471" spans="62:62" x14ac:dyDescent="0.2">
      <c r="BJ61471" s="201"/>
    </row>
    <row r="61472" spans="62:62" x14ac:dyDescent="0.2">
      <c r="BJ61472" s="201"/>
    </row>
    <row r="61473" spans="62:62" x14ac:dyDescent="0.2">
      <c r="BJ61473" s="201"/>
    </row>
    <row r="61474" spans="62:62" x14ac:dyDescent="0.2">
      <c r="BJ61474" s="201"/>
    </row>
    <row r="61475" spans="62:62" x14ac:dyDescent="0.2">
      <c r="BJ61475" s="201"/>
    </row>
    <row r="61476" spans="62:62" x14ac:dyDescent="0.2">
      <c r="BJ61476" s="201"/>
    </row>
    <row r="61477" spans="62:62" x14ac:dyDescent="0.2">
      <c r="BJ61477" s="201"/>
    </row>
    <row r="61478" spans="62:62" x14ac:dyDescent="0.2">
      <c r="BJ61478" s="201"/>
    </row>
    <row r="61479" spans="62:62" x14ac:dyDescent="0.2">
      <c r="BJ61479" s="201"/>
    </row>
    <row r="61480" spans="62:62" x14ac:dyDescent="0.2">
      <c r="BJ61480" s="201"/>
    </row>
    <row r="61481" spans="62:62" x14ac:dyDescent="0.2">
      <c r="BJ61481" s="201"/>
    </row>
    <row r="61482" spans="62:62" x14ac:dyDescent="0.2">
      <c r="BJ61482" s="201"/>
    </row>
    <row r="61483" spans="62:62" x14ac:dyDescent="0.2">
      <c r="BJ61483" s="201"/>
    </row>
    <row r="61484" spans="62:62" x14ac:dyDescent="0.2">
      <c r="BJ61484" s="201"/>
    </row>
    <row r="61485" spans="62:62" x14ac:dyDescent="0.2">
      <c r="BJ61485" s="201"/>
    </row>
    <row r="61486" spans="62:62" x14ac:dyDescent="0.2">
      <c r="BJ61486" s="201"/>
    </row>
    <row r="61487" spans="62:62" x14ac:dyDescent="0.2">
      <c r="BJ61487" s="201"/>
    </row>
    <row r="61488" spans="62:62" x14ac:dyDescent="0.2">
      <c r="BJ61488" s="201"/>
    </row>
    <row r="61489" spans="62:62" x14ac:dyDescent="0.2">
      <c r="BJ61489" s="201"/>
    </row>
    <row r="61490" spans="62:62" x14ac:dyDescent="0.2">
      <c r="BJ61490" s="201"/>
    </row>
    <row r="61491" spans="62:62" x14ac:dyDescent="0.2">
      <c r="BJ61491" s="201"/>
    </row>
    <row r="61492" spans="62:62" x14ac:dyDescent="0.2">
      <c r="BJ61492" s="201"/>
    </row>
    <row r="61493" spans="62:62" x14ac:dyDescent="0.2">
      <c r="BJ61493" s="201"/>
    </row>
    <row r="61494" spans="62:62" x14ac:dyDescent="0.2">
      <c r="BJ61494" s="201"/>
    </row>
    <row r="61495" spans="62:62" x14ac:dyDescent="0.2">
      <c r="BJ61495" s="201"/>
    </row>
    <row r="61496" spans="62:62" x14ac:dyDescent="0.2">
      <c r="BJ61496" s="201"/>
    </row>
    <row r="61497" spans="62:62" x14ac:dyDescent="0.2">
      <c r="BJ61497" s="201"/>
    </row>
    <row r="61498" spans="62:62" x14ac:dyDescent="0.2">
      <c r="BJ61498" s="201"/>
    </row>
    <row r="61499" spans="62:62" x14ac:dyDescent="0.2">
      <c r="BJ61499" s="201"/>
    </row>
    <row r="61500" spans="62:62" x14ac:dyDescent="0.2">
      <c r="BJ61500" s="201"/>
    </row>
    <row r="61501" spans="62:62" x14ac:dyDescent="0.2">
      <c r="BJ61501" s="201"/>
    </row>
    <row r="61502" spans="62:62" x14ac:dyDescent="0.2">
      <c r="BJ61502" s="201"/>
    </row>
    <row r="61503" spans="62:62" x14ac:dyDescent="0.2">
      <c r="BJ61503" s="201"/>
    </row>
    <row r="61504" spans="62:62" x14ac:dyDescent="0.2">
      <c r="BJ61504" s="201"/>
    </row>
    <row r="61505" spans="62:62" x14ac:dyDescent="0.2">
      <c r="BJ61505" s="201"/>
    </row>
    <row r="61506" spans="62:62" x14ac:dyDescent="0.2">
      <c r="BJ61506" s="201"/>
    </row>
    <row r="61507" spans="62:62" x14ac:dyDescent="0.2">
      <c r="BJ61507" s="201"/>
    </row>
    <row r="61508" spans="62:62" x14ac:dyDescent="0.2">
      <c r="BJ61508" s="201"/>
    </row>
    <row r="61509" spans="62:62" x14ac:dyDescent="0.2">
      <c r="BJ61509" s="201"/>
    </row>
    <row r="61510" spans="62:62" x14ac:dyDescent="0.2">
      <c r="BJ61510" s="201"/>
    </row>
    <row r="61511" spans="62:62" x14ac:dyDescent="0.2">
      <c r="BJ61511" s="201"/>
    </row>
    <row r="61512" spans="62:62" x14ac:dyDescent="0.2">
      <c r="BJ61512" s="201"/>
    </row>
    <row r="61513" spans="62:62" x14ac:dyDescent="0.2">
      <c r="BJ61513" s="201"/>
    </row>
    <row r="61514" spans="62:62" x14ac:dyDescent="0.2">
      <c r="BJ61514" s="201"/>
    </row>
    <row r="61515" spans="62:62" x14ac:dyDescent="0.2">
      <c r="BJ61515" s="201"/>
    </row>
    <row r="61516" spans="62:62" x14ac:dyDescent="0.2">
      <c r="BJ61516" s="201"/>
    </row>
    <row r="61517" spans="62:62" x14ac:dyDescent="0.2">
      <c r="BJ61517" s="201"/>
    </row>
    <row r="61518" spans="62:62" x14ac:dyDescent="0.2">
      <c r="BJ61518" s="201"/>
    </row>
    <row r="61519" spans="62:62" x14ac:dyDescent="0.2">
      <c r="BJ61519" s="201"/>
    </row>
    <row r="61520" spans="62:62" x14ac:dyDescent="0.2">
      <c r="BJ61520" s="201"/>
    </row>
    <row r="61521" spans="62:62" x14ac:dyDescent="0.2">
      <c r="BJ61521" s="201"/>
    </row>
    <row r="61522" spans="62:62" x14ac:dyDescent="0.2">
      <c r="BJ61522" s="201"/>
    </row>
    <row r="61523" spans="62:62" x14ac:dyDescent="0.2">
      <c r="BJ61523" s="201"/>
    </row>
    <row r="61524" spans="62:62" x14ac:dyDescent="0.2">
      <c r="BJ61524" s="201"/>
    </row>
    <row r="61525" spans="62:62" x14ac:dyDescent="0.2">
      <c r="BJ61525" s="201"/>
    </row>
    <row r="61526" spans="62:62" x14ac:dyDescent="0.2">
      <c r="BJ61526" s="201"/>
    </row>
    <row r="61527" spans="62:62" x14ac:dyDescent="0.2">
      <c r="BJ61527" s="201"/>
    </row>
    <row r="61528" spans="62:62" x14ac:dyDescent="0.2">
      <c r="BJ61528" s="201"/>
    </row>
    <row r="61529" spans="62:62" x14ac:dyDescent="0.2">
      <c r="BJ61529" s="201"/>
    </row>
    <row r="61530" spans="62:62" x14ac:dyDescent="0.2">
      <c r="BJ61530" s="201"/>
    </row>
    <row r="61531" spans="62:62" x14ac:dyDescent="0.2">
      <c r="BJ61531" s="201"/>
    </row>
    <row r="61532" spans="62:62" x14ac:dyDescent="0.2">
      <c r="BJ61532" s="201"/>
    </row>
    <row r="61533" spans="62:62" x14ac:dyDescent="0.2">
      <c r="BJ61533" s="201"/>
    </row>
    <row r="61534" spans="62:62" x14ac:dyDescent="0.2">
      <c r="BJ61534" s="201"/>
    </row>
    <row r="61535" spans="62:62" x14ac:dyDescent="0.2">
      <c r="BJ61535" s="201"/>
    </row>
    <row r="61536" spans="62:62" x14ac:dyDescent="0.2">
      <c r="BJ61536" s="201"/>
    </row>
    <row r="61537" spans="62:62" x14ac:dyDescent="0.2">
      <c r="BJ61537" s="201"/>
    </row>
    <row r="61538" spans="62:62" x14ac:dyDescent="0.2">
      <c r="BJ61538" s="201"/>
    </row>
    <row r="61539" spans="62:62" x14ac:dyDescent="0.2">
      <c r="BJ61539" s="201"/>
    </row>
    <row r="61540" spans="62:62" x14ac:dyDescent="0.2">
      <c r="BJ61540" s="201"/>
    </row>
    <row r="61541" spans="62:62" x14ac:dyDescent="0.2">
      <c r="BJ61541" s="201"/>
    </row>
    <row r="61542" spans="62:62" x14ac:dyDescent="0.2">
      <c r="BJ61542" s="201"/>
    </row>
    <row r="61543" spans="62:62" x14ac:dyDescent="0.2">
      <c r="BJ61543" s="201"/>
    </row>
    <row r="61544" spans="62:62" x14ac:dyDescent="0.2">
      <c r="BJ61544" s="201"/>
    </row>
    <row r="61545" spans="62:62" x14ac:dyDescent="0.2">
      <c r="BJ61545" s="201"/>
    </row>
    <row r="61546" spans="62:62" x14ac:dyDescent="0.2">
      <c r="BJ61546" s="201"/>
    </row>
    <row r="61547" spans="62:62" x14ac:dyDescent="0.2">
      <c r="BJ61547" s="201"/>
    </row>
    <row r="61548" spans="62:62" x14ac:dyDescent="0.2">
      <c r="BJ61548" s="201"/>
    </row>
    <row r="61549" spans="62:62" x14ac:dyDescent="0.2">
      <c r="BJ61549" s="201"/>
    </row>
    <row r="61550" spans="62:62" x14ac:dyDescent="0.2">
      <c r="BJ61550" s="201"/>
    </row>
    <row r="61551" spans="62:62" x14ac:dyDescent="0.2">
      <c r="BJ61551" s="201"/>
    </row>
    <row r="61552" spans="62:62" x14ac:dyDescent="0.2">
      <c r="BJ61552" s="201"/>
    </row>
    <row r="61553" spans="62:62" x14ac:dyDescent="0.2">
      <c r="BJ61553" s="201"/>
    </row>
    <row r="61554" spans="62:62" x14ac:dyDescent="0.2">
      <c r="BJ61554" s="201"/>
    </row>
    <row r="61555" spans="62:62" x14ac:dyDescent="0.2">
      <c r="BJ61555" s="201"/>
    </row>
    <row r="61556" spans="62:62" x14ac:dyDescent="0.2">
      <c r="BJ61556" s="201"/>
    </row>
    <row r="61557" spans="62:62" x14ac:dyDescent="0.2">
      <c r="BJ61557" s="201"/>
    </row>
    <row r="61558" spans="62:62" x14ac:dyDescent="0.2">
      <c r="BJ61558" s="201"/>
    </row>
    <row r="61559" spans="62:62" x14ac:dyDescent="0.2">
      <c r="BJ61559" s="201"/>
    </row>
    <row r="61560" spans="62:62" x14ac:dyDescent="0.2">
      <c r="BJ61560" s="201"/>
    </row>
    <row r="61561" spans="62:62" x14ac:dyDescent="0.2">
      <c r="BJ61561" s="201"/>
    </row>
    <row r="61562" spans="62:62" x14ac:dyDescent="0.2">
      <c r="BJ61562" s="201"/>
    </row>
    <row r="61563" spans="62:62" x14ac:dyDescent="0.2">
      <c r="BJ61563" s="201"/>
    </row>
    <row r="61564" spans="62:62" x14ac:dyDescent="0.2">
      <c r="BJ61564" s="201"/>
    </row>
    <row r="61565" spans="62:62" x14ac:dyDescent="0.2">
      <c r="BJ61565" s="201"/>
    </row>
    <row r="61566" spans="62:62" x14ac:dyDescent="0.2">
      <c r="BJ61566" s="201"/>
    </row>
    <row r="61567" spans="62:62" x14ac:dyDescent="0.2">
      <c r="BJ61567" s="201"/>
    </row>
    <row r="61568" spans="62:62" x14ac:dyDescent="0.2">
      <c r="BJ61568" s="201"/>
    </row>
    <row r="61569" spans="62:62" x14ac:dyDescent="0.2">
      <c r="BJ61569" s="201"/>
    </row>
    <row r="61570" spans="62:62" x14ac:dyDescent="0.2">
      <c r="BJ61570" s="201"/>
    </row>
    <row r="61571" spans="62:62" x14ac:dyDescent="0.2">
      <c r="BJ61571" s="201"/>
    </row>
    <row r="61572" spans="62:62" x14ac:dyDescent="0.2">
      <c r="BJ61572" s="201"/>
    </row>
    <row r="61573" spans="62:62" x14ac:dyDescent="0.2">
      <c r="BJ61573" s="201"/>
    </row>
    <row r="61574" spans="62:62" x14ac:dyDescent="0.2">
      <c r="BJ61574" s="201"/>
    </row>
    <row r="61575" spans="62:62" x14ac:dyDescent="0.2">
      <c r="BJ61575" s="201"/>
    </row>
    <row r="61576" spans="62:62" x14ac:dyDescent="0.2">
      <c r="BJ61576" s="201"/>
    </row>
    <row r="61577" spans="62:62" x14ac:dyDescent="0.2">
      <c r="BJ61577" s="201"/>
    </row>
    <row r="61578" spans="62:62" x14ac:dyDescent="0.2">
      <c r="BJ61578" s="201"/>
    </row>
    <row r="61579" spans="62:62" x14ac:dyDescent="0.2">
      <c r="BJ61579" s="201"/>
    </row>
    <row r="61580" spans="62:62" x14ac:dyDescent="0.2">
      <c r="BJ61580" s="201"/>
    </row>
    <row r="61581" spans="62:62" x14ac:dyDescent="0.2">
      <c r="BJ61581" s="201"/>
    </row>
    <row r="61582" spans="62:62" x14ac:dyDescent="0.2">
      <c r="BJ61582" s="201"/>
    </row>
    <row r="61583" spans="62:62" x14ac:dyDescent="0.2">
      <c r="BJ61583" s="201"/>
    </row>
    <row r="61584" spans="62:62" x14ac:dyDescent="0.2">
      <c r="BJ61584" s="201"/>
    </row>
    <row r="61585" spans="62:62" x14ac:dyDescent="0.2">
      <c r="BJ61585" s="201"/>
    </row>
    <row r="61586" spans="62:62" x14ac:dyDescent="0.2">
      <c r="BJ61586" s="201"/>
    </row>
    <row r="61587" spans="62:62" x14ac:dyDescent="0.2">
      <c r="BJ61587" s="201"/>
    </row>
    <row r="61588" spans="62:62" x14ac:dyDescent="0.2">
      <c r="BJ61588" s="201"/>
    </row>
    <row r="61589" spans="62:62" x14ac:dyDescent="0.2">
      <c r="BJ61589" s="201"/>
    </row>
    <row r="61590" spans="62:62" x14ac:dyDescent="0.2">
      <c r="BJ61590" s="201"/>
    </row>
    <row r="61591" spans="62:62" x14ac:dyDescent="0.2">
      <c r="BJ61591" s="201"/>
    </row>
    <row r="61592" spans="62:62" x14ac:dyDescent="0.2">
      <c r="BJ61592" s="201"/>
    </row>
    <row r="61593" spans="62:62" x14ac:dyDescent="0.2">
      <c r="BJ61593" s="201"/>
    </row>
    <row r="61594" spans="62:62" x14ac:dyDescent="0.2">
      <c r="BJ61594" s="201"/>
    </row>
    <row r="61595" spans="62:62" x14ac:dyDescent="0.2">
      <c r="BJ61595" s="201"/>
    </row>
    <row r="61596" spans="62:62" x14ac:dyDescent="0.2">
      <c r="BJ61596" s="201"/>
    </row>
    <row r="61597" spans="62:62" x14ac:dyDescent="0.2">
      <c r="BJ61597" s="201"/>
    </row>
    <row r="61598" spans="62:62" x14ac:dyDescent="0.2">
      <c r="BJ61598" s="201"/>
    </row>
    <row r="61599" spans="62:62" x14ac:dyDescent="0.2">
      <c r="BJ61599" s="201"/>
    </row>
    <row r="61600" spans="62:62" x14ac:dyDescent="0.2">
      <c r="BJ61600" s="201"/>
    </row>
    <row r="61601" spans="62:62" x14ac:dyDescent="0.2">
      <c r="BJ61601" s="201"/>
    </row>
    <row r="61602" spans="62:62" x14ac:dyDescent="0.2">
      <c r="BJ61602" s="201"/>
    </row>
    <row r="61603" spans="62:62" x14ac:dyDescent="0.2">
      <c r="BJ61603" s="201"/>
    </row>
    <row r="61604" spans="62:62" x14ac:dyDescent="0.2">
      <c r="BJ61604" s="201"/>
    </row>
    <row r="61605" spans="62:62" x14ac:dyDescent="0.2">
      <c r="BJ61605" s="201"/>
    </row>
    <row r="61606" spans="62:62" x14ac:dyDescent="0.2">
      <c r="BJ61606" s="201"/>
    </row>
    <row r="61607" spans="62:62" x14ac:dyDescent="0.2">
      <c r="BJ61607" s="201"/>
    </row>
    <row r="61608" spans="62:62" x14ac:dyDescent="0.2">
      <c r="BJ61608" s="201"/>
    </row>
    <row r="61609" spans="62:62" x14ac:dyDescent="0.2">
      <c r="BJ61609" s="201"/>
    </row>
    <row r="61610" spans="62:62" x14ac:dyDescent="0.2">
      <c r="BJ61610" s="201"/>
    </row>
    <row r="61611" spans="62:62" x14ac:dyDescent="0.2">
      <c r="BJ61611" s="201"/>
    </row>
    <row r="61612" spans="62:62" x14ac:dyDescent="0.2">
      <c r="BJ61612" s="201"/>
    </row>
    <row r="61613" spans="62:62" x14ac:dyDescent="0.2">
      <c r="BJ61613" s="201"/>
    </row>
    <row r="61614" spans="62:62" x14ac:dyDescent="0.2">
      <c r="BJ61614" s="201"/>
    </row>
    <row r="61615" spans="62:62" x14ac:dyDescent="0.2">
      <c r="BJ61615" s="201"/>
    </row>
    <row r="61616" spans="62:62" x14ac:dyDescent="0.2">
      <c r="BJ61616" s="201"/>
    </row>
    <row r="61617" spans="62:62" x14ac:dyDescent="0.2">
      <c r="BJ61617" s="201"/>
    </row>
    <row r="61618" spans="62:62" x14ac:dyDescent="0.2">
      <c r="BJ61618" s="201"/>
    </row>
    <row r="61619" spans="62:62" x14ac:dyDescent="0.2">
      <c r="BJ61619" s="201"/>
    </row>
    <row r="61620" spans="62:62" x14ac:dyDescent="0.2">
      <c r="BJ61620" s="201"/>
    </row>
    <row r="61621" spans="62:62" x14ac:dyDescent="0.2">
      <c r="BJ61621" s="201"/>
    </row>
    <row r="61622" spans="62:62" x14ac:dyDescent="0.2">
      <c r="BJ61622" s="201"/>
    </row>
    <row r="61623" spans="62:62" x14ac:dyDescent="0.2">
      <c r="BJ61623" s="201"/>
    </row>
    <row r="61624" spans="62:62" x14ac:dyDescent="0.2">
      <c r="BJ61624" s="201"/>
    </row>
    <row r="61625" spans="62:62" x14ac:dyDescent="0.2">
      <c r="BJ61625" s="201"/>
    </row>
    <row r="61626" spans="62:62" x14ac:dyDescent="0.2">
      <c r="BJ61626" s="201"/>
    </row>
    <row r="61627" spans="62:62" x14ac:dyDescent="0.2">
      <c r="BJ61627" s="201"/>
    </row>
    <row r="61628" spans="62:62" x14ac:dyDescent="0.2">
      <c r="BJ61628" s="201"/>
    </row>
    <row r="61629" spans="62:62" x14ac:dyDescent="0.2">
      <c r="BJ61629" s="201"/>
    </row>
    <row r="61630" spans="62:62" x14ac:dyDescent="0.2">
      <c r="BJ61630" s="201"/>
    </row>
    <row r="61631" spans="62:62" x14ac:dyDescent="0.2">
      <c r="BJ61631" s="201"/>
    </row>
    <row r="61632" spans="62:62" x14ac:dyDescent="0.2">
      <c r="BJ61632" s="201"/>
    </row>
    <row r="61633" spans="62:62" x14ac:dyDescent="0.2">
      <c r="BJ61633" s="201"/>
    </row>
    <row r="61634" spans="62:62" x14ac:dyDescent="0.2">
      <c r="BJ61634" s="201"/>
    </row>
    <row r="61635" spans="62:62" x14ac:dyDescent="0.2">
      <c r="BJ61635" s="201"/>
    </row>
    <row r="61636" spans="62:62" x14ac:dyDescent="0.2">
      <c r="BJ61636" s="201"/>
    </row>
    <row r="61637" spans="62:62" x14ac:dyDescent="0.2">
      <c r="BJ61637" s="201"/>
    </row>
    <row r="61638" spans="62:62" x14ac:dyDescent="0.2">
      <c r="BJ61638" s="201"/>
    </row>
    <row r="61639" spans="62:62" x14ac:dyDescent="0.2">
      <c r="BJ61639" s="201"/>
    </row>
    <row r="61640" spans="62:62" x14ac:dyDescent="0.2">
      <c r="BJ61640" s="201"/>
    </row>
    <row r="61641" spans="62:62" x14ac:dyDescent="0.2">
      <c r="BJ61641" s="201"/>
    </row>
    <row r="61642" spans="62:62" x14ac:dyDescent="0.2">
      <c r="BJ61642" s="201"/>
    </row>
    <row r="61643" spans="62:62" x14ac:dyDescent="0.2">
      <c r="BJ61643" s="201"/>
    </row>
    <row r="61644" spans="62:62" x14ac:dyDescent="0.2">
      <c r="BJ61644" s="201"/>
    </row>
    <row r="61645" spans="62:62" x14ac:dyDescent="0.2">
      <c r="BJ61645" s="201"/>
    </row>
    <row r="61646" spans="62:62" x14ac:dyDescent="0.2">
      <c r="BJ61646" s="201"/>
    </row>
    <row r="61647" spans="62:62" x14ac:dyDescent="0.2">
      <c r="BJ61647" s="201"/>
    </row>
    <row r="61648" spans="62:62" x14ac:dyDescent="0.2">
      <c r="BJ61648" s="201"/>
    </row>
    <row r="61649" spans="62:62" x14ac:dyDescent="0.2">
      <c r="BJ61649" s="201"/>
    </row>
    <row r="61650" spans="62:62" x14ac:dyDescent="0.2">
      <c r="BJ61650" s="201"/>
    </row>
    <row r="61651" spans="62:62" x14ac:dyDescent="0.2">
      <c r="BJ61651" s="201"/>
    </row>
    <row r="61652" spans="62:62" x14ac:dyDescent="0.2">
      <c r="BJ61652" s="201"/>
    </row>
    <row r="61653" spans="62:62" x14ac:dyDescent="0.2">
      <c r="BJ61653" s="201"/>
    </row>
    <row r="61654" spans="62:62" x14ac:dyDescent="0.2">
      <c r="BJ61654" s="201"/>
    </row>
    <row r="61655" spans="62:62" x14ac:dyDescent="0.2">
      <c r="BJ61655" s="201"/>
    </row>
    <row r="61656" spans="62:62" x14ac:dyDescent="0.2">
      <c r="BJ61656" s="201"/>
    </row>
    <row r="61657" spans="62:62" x14ac:dyDescent="0.2">
      <c r="BJ61657" s="201"/>
    </row>
    <row r="61658" spans="62:62" x14ac:dyDescent="0.2">
      <c r="BJ61658" s="201"/>
    </row>
    <row r="61659" spans="62:62" x14ac:dyDescent="0.2">
      <c r="BJ61659" s="201"/>
    </row>
    <row r="61660" spans="62:62" x14ac:dyDescent="0.2">
      <c r="BJ61660" s="201"/>
    </row>
    <row r="61661" spans="62:62" x14ac:dyDescent="0.2">
      <c r="BJ61661" s="201"/>
    </row>
    <row r="61662" spans="62:62" x14ac:dyDescent="0.2">
      <c r="BJ61662" s="201"/>
    </row>
    <row r="61663" spans="62:62" x14ac:dyDescent="0.2">
      <c r="BJ61663" s="201"/>
    </row>
    <row r="61664" spans="62:62" x14ac:dyDescent="0.2">
      <c r="BJ61664" s="201"/>
    </row>
    <row r="61665" spans="62:62" x14ac:dyDescent="0.2">
      <c r="BJ61665" s="201"/>
    </row>
    <row r="61666" spans="62:62" x14ac:dyDescent="0.2">
      <c r="BJ61666" s="201"/>
    </row>
    <row r="61667" spans="62:62" x14ac:dyDescent="0.2">
      <c r="BJ61667" s="201"/>
    </row>
    <row r="61668" spans="62:62" x14ac:dyDescent="0.2">
      <c r="BJ61668" s="201"/>
    </row>
    <row r="61669" spans="62:62" x14ac:dyDescent="0.2">
      <c r="BJ61669" s="201"/>
    </row>
    <row r="61670" spans="62:62" x14ac:dyDescent="0.2">
      <c r="BJ61670" s="201"/>
    </row>
    <row r="61671" spans="62:62" x14ac:dyDescent="0.2">
      <c r="BJ61671" s="201"/>
    </row>
    <row r="61672" spans="62:62" x14ac:dyDescent="0.2">
      <c r="BJ61672" s="201"/>
    </row>
    <row r="61673" spans="62:62" x14ac:dyDescent="0.2">
      <c r="BJ61673" s="201"/>
    </row>
    <row r="61674" spans="62:62" x14ac:dyDescent="0.2">
      <c r="BJ61674" s="201"/>
    </row>
    <row r="61675" spans="62:62" x14ac:dyDescent="0.2">
      <c r="BJ61675" s="201"/>
    </row>
    <row r="61676" spans="62:62" x14ac:dyDescent="0.2">
      <c r="BJ61676" s="201"/>
    </row>
    <row r="61677" spans="62:62" x14ac:dyDescent="0.2">
      <c r="BJ61677" s="201"/>
    </row>
    <row r="61678" spans="62:62" x14ac:dyDescent="0.2">
      <c r="BJ61678" s="201"/>
    </row>
    <row r="61679" spans="62:62" x14ac:dyDescent="0.2">
      <c r="BJ61679" s="201"/>
    </row>
    <row r="61680" spans="62:62" x14ac:dyDescent="0.2">
      <c r="BJ61680" s="201"/>
    </row>
    <row r="61681" spans="62:62" x14ac:dyDescent="0.2">
      <c r="BJ61681" s="201"/>
    </row>
    <row r="61682" spans="62:62" x14ac:dyDescent="0.2">
      <c r="BJ61682" s="201"/>
    </row>
    <row r="61683" spans="62:62" x14ac:dyDescent="0.2">
      <c r="BJ61683" s="201"/>
    </row>
    <row r="61684" spans="62:62" x14ac:dyDescent="0.2">
      <c r="BJ61684" s="201"/>
    </row>
    <row r="61685" spans="62:62" x14ac:dyDescent="0.2">
      <c r="BJ61685" s="201"/>
    </row>
    <row r="61686" spans="62:62" x14ac:dyDescent="0.2">
      <c r="BJ61686" s="201"/>
    </row>
    <row r="61687" spans="62:62" x14ac:dyDescent="0.2">
      <c r="BJ61687" s="201"/>
    </row>
    <row r="61688" spans="62:62" x14ac:dyDescent="0.2">
      <c r="BJ61688" s="201"/>
    </row>
    <row r="61689" spans="62:62" x14ac:dyDescent="0.2">
      <c r="BJ61689" s="201"/>
    </row>
    <row r="61690" spans="62:62" x14ac:dyDescent="0.2">
      <c r="BJ61690" s="201"/>
    </row>
    <row r="61691" spans="62:62" x14ac:dyDescent="0.2">
      <c r="BJ61691" s="201"/>
    </row>
    <row r="61692" spans="62:62" x14ac:dyDescent="0.2">
      <c r="BJ61692" s="201"/>
    </row>
    <row r="61693" spans="62:62" x14ac:dyDescent="0.2">
      <c r="BJ61693" s="201"/>
    </row>
    <row r="61694" spans="62:62" x14ac:dyDescent="0.2">
      <c r="BJ61694" s="201"/>
    </row>
    <row r="61695" spans="62:62" x14ac:dyDescent="0.2">
      <c r="BJ61695" s="201"/>
    </row>
    <row r="61696" spans="62:62" x14ac:dyDescent="0.2">
      <c r="BJ61696" s="201"/>
    </row>
    <row r="61697" spans="62:62" x14ac:dyDescent="0.2">
      <c r="BJ61697" s="201"/>
    </row>
    <row r="61698" spans="62:62" x14ac:dyDescent="0.2">
      <c r="BJ61698" s="201"/>
    </row>
    <row r="61699" spans="62:62" x14ac:dyDescent="0.2">
      <c r="BJ61699" s="201"/>
    </row>
    <row r="61700" spans="62:62" x14ac:dyDescent="0.2">
      <c r="BJ61700" s="201"/>
    </row>
    <row r="61701" spans="62:62" x14ac:dyDescent="0.2">
      <c r="BJ61701" s="201"/>
    </row>
    <row r="61702" spans="62:62" x14ac:dyDescent="0.2">
      <c r="BJ61702" s="201"/>
    </row>
    <row r="61703" spans="62:62" x14ac:dyDescent="0.2">
      <c r="BJ61703" s="201"/>
    </row>
    <row r="61704" spans="62:62" x14ac:dyDescent="0.2">
      <c r="BJ61704" s="201"/>
    </row>
    <row r="61705" spans="62:62" x14ac:dyDescent="0.2">
      <c r="BJ61705" s="201"/>
    </row>
    <row r="61706" spans="62:62" x14ac:dyDescent="0.2">
      <c r="BJ61706" s="201"/>
    </row>
    <row r="61707" spans="62:62" x14ac:dyDescent="0.2">
      <c r="BJ61707" s="201"/>
    </row>
    <row r="61708" spans="62:62" x14ac:dyDescent="0.2">
      <c r="BJ61708" s="201"/>
    </row>
    <row r="61709" spans="62:62" x14ac:dyDescent="0.2">
      <c r="BJ61709" s="201"/>
    </row>
    <row r="61710" spans="62:62" x14ac:dyDescent="0.2">
      <c r="BJ61710" s="201"/>
    </row>
    <row r="61711" spans="62:62" x14ac:dyDescent="0.2">
      <c r="BJ61711" s="201"/>
    </row>
    <row r="61712" spans="62:62" x14ac:dyDescent="0.2">
      <c r="BJ61712" s="201"/>
    </row>
    <row r="61713" spans="62:62" x14ac:dyDescent="0.2">
      <c r="BJ61713" s="201"/>
    </row>
    <row r="61714" spans="62:62" x14ac:dyDescent="0.2">
      <c r="BJ61714" s="201"/>
    </row>
    <row r="61715" spans="62:62" x14ac:dyDescent="0.2">
      <c r="BJ61715" s="201"/>
    </row>
    <row r="61716" spans="62:62" x14ac:dyDescent="0.2">
      <c r="BJ61716" s="201"/>
    </row>
    <row r="61717" spans="62:62" x14ac:dyDescent="0.2">
      <c r="BJ61717" s="201"/>
    </row>
    <row r="61718" spans="62:62" x14ac:dyDescent="0.2">
      <c r="BJ61718" s="201"/>
    </row>
    <row r="61719" spans="62:62" x14ac:dyDescent="0.2">
      <c r="BJ61719" s="201"/>
    </row>
    <row r="61720" spans="62:62" x14ac:dyDescent="0.2">
      <c r="BJ61720" s="201"/>
    </row>
    <row r="61721" spans="62:62" x14ac:dyDescent="0.2">
      <c r="BJ61721" s="201"/>
    </row>
    <row r="61722" spans="62:62" x14ac:dyDescent="0.2">
      <c r="BJ61722" s="201"/>
    </row>
    <row r="61723" spans="62:62" x14ac:dyDescent="0.2">
      <c r="BJ61723" s="201"/>
    </row>
    <row r="61724" spans="62:62" x14ac:dyDescent="0.2">
      <c r="BJ61724" s="201"/>
    </row>
    <row r="61725" spans="62:62" x14ac:dyDescent="0.2">
      <c r="BJ61725" s="201"/>
    </row>
    <row r="61726" spans="62:62" x14ac:dyDescent="0.2">
      <c r="BJ61726" s="201"/>
    </row>
    <row r="61727" spans="62:62" x14ac:dyDescent="0.2">
      <c r="BJ61727" s="201"/>
    </row>
    <row r="61728" spans="62:62" x14ac:dyDescent="0.2">
      <c r="BJ61728" s="201"/>
    </row>
    <row r="61729" spans="62:62" x14ac:dyDescent="0.2">
      <c r="BJ61729" s="201"/>
    </row>
    <row r="61730" spans="62:62" x14ac:dyDescent="0.2">
      <c r="BJ61730" s="201"/>
    </row>
    <row r="61731" spans="62:62" x14ac:dyDescent="0.2">
      <c r="BJ61731" s="201"/>
    </row>
    <row r="61732" spans="62:62" x14ac:dyDescent="0.2">
      <c r="BJ61732" s="201"/>
    </row>
    <row r="61733" spans="62:62" x14ac:dyDescent="0.2">
      <c r="BJ61733" s="201"/>
    </row>
    <row r="61734" spans="62:62" x14ac:dyDescent="0.2">
      <c r="BJ61734" s="201"/>
    </row>
    <row r="61735" spans="62:62" x14ac:dyDescent="0.2">
      <c r="BJ61735" s="201"/>
    </row>
    <row r="61736" spans="62:62" x14ac:dyDescent="0.2">
      <c r="BJ61736" s="201"/>
    </row>
    <row r="61737" spans="62:62" x14ac:dyDescent="0.2">
      <c r="BJ61737" s="201"/>
    </row>
    <row r="61738" spans="62:62" x14ac:dyDescent="0.2">
      <c r="BJ61738" s="201"/>
    </row>
    <row r="61739" spans="62:62" x14ac:dyDescent="0.2">
      <c r="BJ61739" s="201"/>
    </row>
    <row r="61740" spans="62:62" x14ac:dyDescent="0.2">
      <c r="BJ61740" s="201"/>
    </row>
    <row r="61741" spans="62:62" x14ac:dyDescent="0.2">
      <c r="BJ61741" s="201"/>
    </row>
    <row r="61742" spans="62:62" x14ac:dyDescent="0.2">
      <c r="BJ61742" s="201"/>
    </row>
    <row r="61743" spans="62:62" x14ac:dyDescent="0.2">
      <c r="BJ61743" s="201"/>
    </row>
    <row r="61744" spans="62:62" x14ac:dyDescent="0.2">
      <c r="BJ61744" s="201"/>
    </row>
    <row r="61745" spans="62:62" x14ac:dyDescent="0.2">
      <c r="BJ61745" s="201"/>
    </row>
    <row r="61746" spans="62:62" x14ac:dyDescent="0.2">
      <c r="BJ61746" s="201"/>
    </row>
    <row r="61747" spans="62:62" x14ac:dyDescent="0.2">
      <c r="BJ61747" s="201"/>
    </row>
    <row r="61748" spans="62:62" x14ac:dyDescent="0.2">
      <c r="BJ61748" s="201"/>
    </row>
    <row r="61749" spans="62:62" x14ac:dyDescent="0.2">
      <c r="BJ61749" s="201"/>
    </row>
    <row r="61750" spans="62:62" x14ac:dyDescent="0.2">
      <c r="BJ61750" s="201"/>
    </row>
    <row r="61751" spans="62:62" x14ac:dyDescent="0.2">
      <c r="BJ61751" s="201"/>
    </row>
    <row r="61752" spans="62:62" x14ac:dyDescent="0.2">
      <c r="BJ61752" s="201"/>
    </row>
    <row r="61753" spans="62:62" x14ac:dyDescent="0.2">
      <c r="BJ61753" s="201"/>
    </row>
    <row r="61754" spans="62:62" x14ac:dyDescent="0.2">
      <c r="BJ61754" s="201"/>
    </row>
    <row r="61755" spans="62:62" x14ac:dyDescent="0.2">
      <c r="BJ61755" s="201"/>
    </row>
    <row r="61756" spans="62:62" x14ac:dyDescent="0.2">
      <c r="BJ61756" s="201"/>
    </row>
    <row r="61757" spans="62:62" x14ac:dyDescent="0.2">
      <c r="BJ61757" s="201"/>
    </row>
    <row r="61758" spans="62:62" x14ac:dyDescent="0.2">
      <c r="BJ61758" s="201"/>
    </row>
    <row r="61759" spans="62:62" x14ac:dyDescent="0.2">
      <c r="BJ61759" s="201"/>
    </row>
    <row r="61760" spans="62:62" x14ac:dyDescent="0.2">
      <c r="BJ61760" s="201"/>
    </row>
    <row r="61761" spans="62:62" x14ac:dyDescent="0.2">
      <c r="BJ61761" s="201"/>
    </row>
    <row r="61762" spans="62:62" x14ac:dyDescent="0.2">
      <c r="BJ61762" s="201"/>
    </row>
    <row r="61763" spans="62:62" x14ac:dyDescent="0.2">
      <c r="BJ61763" s="201"/>
    </row>
    <row r="61764" spans="62:62" x14ac:dyDescent="0.2">
      <c r="BJ61764" s="201"/>
    </row>
    <row r="61765" spans="62:62" x14ac:dyDescent="0.2">
      <c r="BJ61765" s="201"/>
    </row>
    <row r="61766" spans="62:62" x14ac:dyDescent="0.2">
      <c r="BJ61766" s="201"/>
    </row>
    <row r="61767" spans="62:62" x14ac:dyDescent="0.2">
      <c r="BJ61767" s="201"/>
    </row>
    <row r="61768" spans="62:62" x14ac:dyDescent="0.2">
      <c r="BJ61768" s="201"/>
    </row>
    <row r="61769" spans="62:62" x14ac:dyDescent="0.2">
      <c r="BJ61769" s="201"/>
    </row>
    <row r="61770" spans="62:62" x14ac:dyDescent="0.2">
      <c r="BJ61770" s="201"/>
    </row>
    <row r="61771" spans="62:62" x14ac:dyDescent="0.2">
      <c r="BJ61771" s="201"/>
    </row>
    <row r="61772" spans="62:62" x14ac:dyDescent="0.2">
      <c r="BJ61772" s="201"/>
    </row>
    <row r="61773" spans="62:62" x14ac:dyDescent="0.2">
      <c r="BJ61773" s="201"/>
    </row>
    <row r="61774" spans="62:62" x14ac:dyDescent="0.2">
      <c r="BJ61774" s="201"/>
    </row>
    <row r="61775" spans="62:62" x14ac:dyDescent="0.2">
      <c r="BJ61775" s="201"/>
    </row>
    <row r="61776" spans="62:62" x14ac:dyDescent="0.2">
      <c r="BJ61776" s="201"/>
    </row>
    <row r="61777" spans="62:62" x14ac:dyDescent="0.2">
      <c r="BJ61777" s="201"/>
    </row>
    <row r="61778" spans="62:62" x14ac:dyDescent="0.2">
      <c r="BJ61778" s="201"/>
    </row>
    <row r="61779" spans="62:62" x14ac:dyDescent="0.2">
      <c r="BJ61779" s="201"/>
    </row>
    <row r="61780" spans="62:62" x14ac:dyDescent="0.2">
      <c r="BJ61780" s="201"/>
    </row>
    <row r="61781" spans="62:62" x14ac:dyDescent="0.2">
      <c r="BJ61781" s="201"/>
    </row>
    <row r="61782" spans="62:62" x14ac:dyDescent="0.2">
      <c r="BJ61782" s="201"/>
    </row>
    <row r="61783" spans="62:62" x14ac:dyDescent="0.2">
      <c r="BJ61783" s="201"/>
    </row>
    <row r="61784" spans="62:62" x14ac:dyDescent="0.2">
      <c r="BJ61784" s="201"/>
    </row>
    <row r="61785" spans="62:62" x14ac:dyDescent="0.2">
      <c r="BJ61785" s="201"/>
    </row>
    <row r="61786" spans="62:62" x14ac:dyDescent="0.2">
      <c r="BJ61786" s="201"/>
    </row>
    <row r="61787" spans="62:62" x14ac:dyDescent="0.2">
      <c r="BJ61787" s="201"/>
    </row>
    <row r="61788" spans="62:62" x14ac:dyDescent="0.2">
      <c r="BJ61788" s="201"/>
    </row>
    <row r="61789" spans="62:62" x14ac:dyDescent="0.2">
      <c r="BJ61789" s="201"/>
    </row>
    <row r="61790" spans="62:62" x14ac:dyDescent="0.2">
      <c r="BJ61790" s="201"/>
    </row>
    <row r="61791" spans="62:62" x14ac:dyDescent="0.2">
      <c r="BJ61791" s="201"/>
    </row>
    <row r="61792" spans="62:62" x14ac:dyDescent="0.2">
      <c r="BJ61792" s="201"/>
    </row>
    <row r="61793" spans="62:62" x14ac:dyDescent="0.2">
      <c r="BJ61793" s="201"/>
    </row>
    <row r="61794" spans="62:62" x14ac:dyDescent="0.2">
      <c r="BJ61794" s="201"/>
    </row>
    <row r="61795" spans="62:62" x14ac:dyDescent="0.2">
      <c r="BJ61795" s="201"/>
    </row>
    <row r="61796" spans="62:62" x14ac:dyDescent="0.2">
      <c r="BJ61796" s="201"/>
    </row>
    <row r="61797" spans="62:62" x14ac:dyDescent="0.2">
      <c r="BJ61797" s="201"/>
    </row>
    <row r="61798" spans="62:62" x14ac:dyDescent="0.2">
      <c r="BJ61798" s="201"/>
    </row>
    <row r="61799" spans="62:62" x14ac:dyDescent="0.2">
      <c r="BJ61799" s="201"/>
    </row>
    <row r="61800" spans="62:62" x14ac:dyDescent="0.2">
      <c r="BJ61800" s="201"/>
    </row>
    <row r="61801" spans="62:62" x14ac:dyDescent="0.2">
      <c r="BJ61801" s="201"/>
    </row>
    <row r="61802" spans="62:62" x14ac:dyDescent="0.2">
      <c r="BJ61802" s="201"/>
    </row>
    <row r="61803" spans="62:62" x14ac:dyDescent="0.2">
      <c r="BJ61803" s="201"/>
    </row>
    <row r="61804" spans="62:62" x14ac:dyDescent="0.2">
      <c r="BJ61804" s="201"/>
    </row>
    <row r="61805" spans="62:62" x14ac:dyDescent="0.2">
      <c r="BJ61805" s="201"/>
    </row>
    <row r="61806" spans="62:62" x14ac:dyDescent="0.2">
      <c r="BJ61806" s="201"/>
    </row>
    <row r="61807" spans="62:62" x14ac:dyDescent="0.2">
      <c r="BJ61807" s="201"/>
    </row>
    <row r="61808" spans="62:62" x14ac:dyDescent="0.2">
      <c r="BJ61808" s="201"/>
    </row>
    <row r="61809" spans="62:62" x14ac:dyDescent="0.2">
      <c r="BJ61809" s="201"/>
    </row>
    <row r="61810" spans="62:62" x14ac:dyDescent="0.2">
      <c r="BJ61810" s="201"/>
    </row>
    <row r="61811" spans="62:62" x14ac:dyDescent="0.2">
      <c r="BJ61811" s="201"/>
    </row>
    <row r="61812" spans="62:62" x14ac:dyDescent="0.2">
      <c r="BJ61812" s="201"/>
    </row>
    <row r="61813" spans="62:62" x14ac:dyDescent="0.2">
      <c r="BJ61813" s="201"/>
    </row>
    <row r="61814" spans="62:62" x14ac:dyDescent="0.2">
      <c r="BJ61814" s="201"/>
    </row>
    <row r="61815" spans="62:62" x14ac:dyDescent="0.2">
      <c r="BJ61815" s="201"/>
    </row>
    <row r="61816" spans="62:62" x14ac:dyDescent="0.2">
      <c r="BJ61816" s="201"/>
    </row>
    <row r="61817" spans="62:62" x14ac:dyDescent="0.2">
      <c r="BJ61817" s="201"/>
    </row>
    <row r="61818" spans="62:62" x14ac:dyDescent="0.2">
      <c r="BJ61818" s="201"/>
    </row>
    <row r="61819" spans="62:62" x14ac:dyDescent="0.2">
      <c r="BJ61819" s="201"/>
    </row>
    <row r="61820" spans="62:62" x14ac:dyDescent="0.2">
      <c r="BJ61820" s="201"/>
    </row>
    <row r="61821" spans="62:62" x14ac:dyDescent="0.2">
      <c r="BJ61821" s="201"/>
    </row>
    <row r="61822" spans="62:62" x14ac:dyDescent="0.2">
      <c r="BJ61822" s="201"/>
    </row>
    <row r="61823" spans="62:62" x14ac:dyDescent="0.2">
      <c r="BJ61823" s="201"/>
    </row>
    <row r="61824" spans="62:62" x14ac:dyDescent="0.2">
      <c r="BJ61824" s="201"/>
    </row>
    <row r="61825" spans="62:62" x14ac:dyDescent="0.2">
      <c r="BJ61825" s="201"/>
    </row>
    <row r="61826" spans="62:62" x14ac:dyDescent="0.2">
      <c r="BJ61826" s="201"/>
    </row>
    <row r="61827" spans="62:62" x14ac:dyDescent="0.2">
      <c r="BJ61827" s="201"/>
    </row>
    <row r="61828" spans="62:62" x14ac:dyDescent="0.2">
      <c r="BJ61828" s="201"/>
    </row>
    <row r="61829" spans="62:62" x14ac:dyDescent="0.2">
      <c r="BJ61829" s="201"/>
    </row>
    <row r="61830" spans="62:62" x14ac:dyDescent="0.2">
      <c r="BJ61830" s="201"/>
    </row>
    <row r="61831" spans="62:62" x14ac:dyDescent="0.2">
      <c r="BJ61831" s="201"/>
    </row>
    <row r="61832" spans="62:62" x14ac:dyDescent="0.2">
      <c r="BJ61832" s="201"/>
    </row>
    <row r="61833" spans="62:62" x14ac:dyDescent="0.2">
      <c r="BJ61833" s="201"/>
    </row>
    <row r="61834" spans="62:62" x14ac:dyDescent="0.2">
      <c r="BJ61834" s="201"/>
    </row>
    <row r="61835" spans="62:62" x14ac:dyDescent="0.2">
      <c r="BJ61835" s="201"/>
    </row>
    <row r="61836" spans="62:62" x14ac:dyDescent="0.2">
      <c r="BJ61836" s="201"/>
    </row>
    <row r="61837" spans="62:62" x14ac:dyDescent="0.2">
      <c r="BJ61837" s="201"/>
    </row>
    <row r="61838" spans="62:62" x14ac:dyDescent="0.2">
      <c r="BJ61838" s="201"/>
    </row>
    <row r="61839" spans="62:62" x14ac:dyDescent="0.2">
      <c r="BJ61839" s="201"/>
    </row>
    <row r="61840" spans="62:62" x14ac:dyDescent="0.2">
      <c r="BJ61840" s="201"/>
    </row>
    <row r="61841" spans="62:62" x14ac:dyDescent="0.2">
      <c r="BJ61841" s="201"/>
    </row>
    <row r="61842" spans="62:62" x14ac:dyDescent="0.2">
      <c r="BJ61842" s="201"/>
    </row>
    <row r="61843" spans="62:62" x14ac:dyDescent="0.2">
      <c r="BJ61843" s="201"/>
    </row>
    <row r="61844" spans="62:62" x14ac:dyDescent="0.2">
      <c r="BJ61844" s="201"/>
    </row>
    <row r="61845" spans="62:62" x14ac:dyDescent="0.2">
      <c r="BJ61845" s="201"/>
    </row>
    <row r="61846" spans="62:62" x14ac:dyDescent="0.2">
      <c r="BJ61846" s="201"/>
    </row>
    <row r="61847" spans="62:62" x14ac:dyDescent="0.2">
      <c r="BJ61847" s="201"/>
    </row>
    <row r="61848" spans="62:62" x14ac:dyDescent="0.2">
      <c r="BJ61848" s="201"/>
    </row>
    <row r="61849" spans="62:62" x14ac:dyDescent="0.2">
      <c r="BJ61849" s="201"/>
    </row>
    <row r="61850" spans="62:62" x14ac:dyDescent="0.2">
      <c r="BJ61850" s="201"/>
    </row>
    <row r="61851" spans="62:62" x14ac:dyDescent="0.2">
      <c r="BJ61851" s="201"/>
    </row>
    <row r="61852" spans="62:62" x14ac:dyDescent="0.2">
      <c r="BJ61852" s="201"/>
    </row>
    <row r="61853" spans="62:62" x14ac:dyDescent="0.2">
      <c r="BJ61853" s="201"/>
    </row>
    <row r="61854" spans="62:62" x14ac:dyDescent="0.2">
      <c r="BJ61854" s="201"/>
    </row>
    <row r="61855" spans="62:62" x14ac:dyDescent="0.2">
      <c r="BJ61855" s="201"/>
    </row>
    <row r="61856" spans="62:62" x14ac:dyDescent="0.2">
      <c r="BJ61856" s="201"/>
    </row>
    <row r="61857" spans="62:62" x14ac:dyDescent="0.2">
      <c r="BJ61857" s="201"/>
    </row>
    <row r="61858" spans="62:62" x14ac:dyDescent="0.2">
      <c r="BJ61858" s="201"/>
    </row>
    <row r="61859" spans="62:62" x14ac:dyDescent="0.2">
      <c r="BJ61859" s="201"/>
    </row>
    <row r="61860" spans="62:62" x14ac:dyDescent="0.2">
      <c r="BJ61860" s="201"/>
    </row>
    <row r="61861" spans="62:62" x14ac:dyDescent="0.2">
      <c r="BJ61861" s="201"/>
    </row>
    <row r="61862" spans="62:62" x14ac:dyDescent="0.2">
      <c r="BJ61862" s="201"/>
    </row>
    <row r="61863" spans="62:62" x14ac:dyDescent="0.2">
      <c r="BJ61863" s="201"/>
    </row>
    <row r="61864" spans="62:62" x14ac:dyDescent="0.2">
      <c r="BJ61864" s="201"/>
    </row>
    <row r="61865" spans="62:62" x14ac:dyDescent="0.2">
      <c r="BJ61865" s="201"/>
    </row>
    <row r="61866" spans="62:62" x14ac:dyDescent="0.2">
      <c r="BJ61866" s="201"/>
    </row>
    <row r="61867" spans="62:62" x14ac:dyDescent="0.2">
      <c r="BJ61867" s="201"/>
    </row>
    <row r="61868" spans="62:62" x14ac:dyDescent="0.2">
      <c r="BJ61868" s="201"/>
    </row>
    <row r="61869" spans="62:62" x14ac:dyDescent="0.2">
      <c r="BJ61869" s="201"/>
    </row>
    <row r="61870" spans="62:62" x14ac:dyDescent="0.2">
      <c r="BJ61870" s="201"/>
    </row>
    <row r="61871" spans="62:62" x14ac:dyDescent="0.2">
      <c r="BJ61871" s="201"/>
    </row>
    <row r="61872" spans="62:62" x14ac:dyDescent="0.2">
      <c r="BJ61872" s="201"/>
    </row>
    <row r="61873" spans="62:62" x14ac:dyDescent="0.2">
      <c r="BJ61873" s="201"/>
    </row>
    <row r="61874" spans="62:62" x14ac:dyDescent="0.2">
      <c r="BJ61874" s="201"/>
    </row>
    <row r="61875" spans="62:62" x14ac:dyDescent="0.2">
      <c r="BJ61875" s="201"/>
    </row>
    <row r="61876" spans="62:62" x14ac:dyDescent="0.2">
      <c r="BJ61876" s="201"/>
    </row>
    <row r="61877" spans="62:62" x14ac:dyDescent="0.2">
      <c r="BJ61877" s="201"/>
    </row>
    <row r="61878" spans="62:62" x14ac:dyDescent="0.2">
      <c r="BJ61878" s="201"/>
    </row>
    <row r="61879" spans="62:62" x14ac:dyDescent="0.2">
      <c r="BJ61879" s="201"/>
    </row>
    <row r="61880" spans="62:62" x14ac:dyDescent="0.2">
      <c r="BJ61880" s="201"/>
    </row>
    <row r="61881" spans="62:62" x14ac:dyDescent="0.2">
      <c r="BJ61881" s="201"/>
    </row>
    <row r="61882" spans="62:62" x14ac:dyDescent="0.2">
      <c r="BJ61882" s="201"/>
    </row>
    <row r="61883" spans="62:62" x14ac:dyDescent="0.2">
      <c r="BJ61883" s="201"/>
    </row>
    <row r="61884" spans="62:62" x14ac:dyDescent="0.2">
      <c r="BJ61884" s="201"/>
    </row>
    <row r="61885" spans="62:62" x14ac:dyDescent="0.2">
      <c r="BJ61885" s="201"/>
    </row>
    <row r="61886" spans="62:62" x14ac:dyDescent="0.2">
      <c r="BJ61886" s="201"/>
    </row>
    <row r="61887" spans="62:62" x14ac:dyDescent="0.2">
      <c r="BJ61887" s="201"/>
    </row>
    <row r="61888" spans="62:62" x14ac:dyDescent="0.2">
      <c r="BJ61888" s="201"/>
    </row>
    <row r="61889" spans="62:62" x14ac:dyDescent="0.2">
      <c r="BJ61889" s="201"/>
    </row>
    <row r="61890" spans="62:62" x14ac:dyDescent="0.2">
      <c r="BJ61890" s="201"/>
    </row>
    <row r="61891" spans="62:62" x14ac:dyDescent="0.2">
      <c r="BJ61891" s="201"/>
    </row>
    <row r="61892" spans="62:62" x14ac:dyDescent="0.2">
      <c r="BJ61892" s="201"/>
    </row>
    <row r="61893" spans="62:62" x14ac:dyDescent="0.2">
      <c r="BJ61893" s="201"/>
    </row>
    <row r="61894" spans="62:62" x14ac:dyDescent="0.2">
      <c r="BJ61894" s="201"/>
    </row>
    <row r="61895" spans="62:62" x14ac:dyDescent="0.2">
      <c r="BJ61895" s="201"/>
    </row>
    <row r="61896" spans="62:62" x14ac:dyDescent="0.2">
      <c r="BJ61896" s="201"/>
    </row>
    <row r="61897" spans="62:62" x14ac:dyDescent="0.2">
      <c r="BJ61897" s="201"/>
    </row>
    <row r="61898" spans="62:62" x14ac:dyDescent="0.2">
      <c r="BJ61898" s="201"/>
    </row>
    <row r="61899" spans="62:62" x14ac:dyDescent="0.2">
      <c r="BJ61899" s="201"/>
    </row>
    <row r="61900" spans="62:62" x14ac:dyDescent="0.2">
      <c r="BJ61900" s="201"/>
    </row>
    <row r="61901" spans="62:62" x14ac:dyDescent="0.2">
      <c r="BJ61901" s="201"/>
    </row>
    <row r="61902" spans="62:62" x14ac:dyDescent="0.2">
      <c r="BJ61902" s="201"/>
    </row>
    <row r="61903" spans="62:62" x14ac:dyDescent="0.2">
      <c r="BJ61903" s="201"/>
    </row>
    <row r="61904" spans="62:62" x14ac:dyDescent="0.2">
      <c r="BJ61904" s="201"/>
    </row>
    <row r="61905" spans="62:62" x14ac:dyDescent="0.2">
      <c r="BJ61905" s="201"/>
    </row>
    <row r="61906" spans="62:62" x14ac:dyDescent="0.2">
      <c r="BJ61906" s="201"/>
    </row>
    <row r="61907" spans="62:62" x14ac:dyDescent="0.2">
      <c r="BJ61907" s="201"/>
    </row>
    <row r="61908" spans="62:62" x14ac:dyDescent="0.2">
      <c r="BJ61908" s="201"/>
    </row>
    <row r="61909" spans="62:62" x14ac:dyDescent="0.2">
      <c r="BJ61909" s="201"/>
    </row>
    <row r="61910" spans="62:62" x14ac:dyDescent="0.2">
      <c r="BJ61910" s="201"/>
    </row>
    <row r="61911" spans="62:62" x14ac:dyDescent="0.2">
      <c r="BJ61911" s="201"/>
    </row>
    <row r="61912" spans="62:62" x14ac:dyDescent="0.2">
      <c r="BJ61912" s="201"/>
    </row>
    <row r="61913" spans="62:62" x14ac:dyDescent="0.2">
      <c r="BJ61913" s="201"/>
    </row>
    <row r="61914" spans="62:62" x14ac:dyDescent="0.2">
      <c r="BJ61914" s="201"/>
    </row>
    <row r="61915" spans="62:62" x14ac:dyDescent="0.2">
      <c r="BJ61915" s="201"/>
    </row>
    <row r="61916" spans="62:62" x14ac:dyDescent="0.2">
      <c r="BJ61916" s="201"/>
    </row>
    <row r="61917" spans="62:62" x14ac:dyDescent="0.2">
      <c r="BJ61917" s="201"/>
    </row>
    <row r="61918" spans="62:62" x14ac:dyDescent="0.2">
      <c r="BJ61918" s="201"/>
    </row>
    <row r="61919" spans="62:62" x14ac:dyDescent="0.2">
      <c r="BJ61919" s="201"/>
    </row>
    <row r="61920" spans="62:62" x14ac:dyDescent="0.2">
      <c r="BJ61920" s="201"/>
    </row>
    <row r="61921" spans="62:62" x14ac:dyDescent="0.2">
      <c r="BJ61921" s="201"/>
    </row>
    <row r="61922" spans="62:62" x14ac:dyDescent="0.2">
      <c r="BJ61922" s="201"/>
    </row>
    <row r="61923" spans="62:62" x14ac:dyDescent="0.2">
      <c r="BJ61923" s="201"/>
    </row>
    <row r="61924" spans="62:62" x14ac:dyDescent="0.2">
      <c r="BJ61924" s="201"/>
    </row>
    <row r="61925" spans="62:62" x14ac:dyDescent="0.2">
      <c r="BJ61925" s="201"/>
    </row>
    <row r="61926" spans="62:62" x14ac:dyDescent="0.2">
      <c r="BJ61926" s="201"/>
    </row>
    <row r="61927" spans="62:62" x14ac:dyDescent="0.2">
      <c r="BJ61927" s="201"/>
    </row>
    <row r="61928" spans="62:62" x14ac:dyDescent="0.2">
      <c r="BJ61928" s="201"/>
    </row>
    <row r="61929" spans="62:62" x14ac:dyDescent="0.2">
      <c r="BJ61929" s="201"/>
    </row>
    <row r="61930" spans="62:62" x14ac:dyDescent="0.2">
      <c r="BJ61930" s="201"/>
    </row>
    <row r="61931" spans="62:62" x14ac:dyDescent="0.2">
      <c r="BJ61931" s="201"/>
    </row>
    <row r="61932" spans="62:62" x14ac:dyDescent="0.2">
      <c r="BJ61932" s="201"/>
    </row>
    <row r="61933" spans="62:62" x14ac:dyDescent="0.2">
      <c r="BJ61933" s="201"/>
    </row>
    <row r="61934" spans="62:62" x14ac:dyDescent="0.2">
      <c r="BJ61934" s="201"/>
    </row>
    <row r="61935" spans="62:62" x14ac:dyDescent="0.2">
      <c r="BJ61935" s="201"/>
    </row>
    <row r="61936" spans="62:62" x14ac:dyDescent="0.2">
      <c r="BJ61936" s="201"/>
    </row>
    <row r="61937" spans="62:62" x14ac:dyDescent="0.2">
      <c r="BJ61937" s="201"/>
    </row>
    <row r="61938" spans="62:62" x14ac:dyDescent="0.2">
      <c r="BJ61938" s="201"/>
    </row>
    <row r="61939" spans="62:62" x14ac:dyDescent="0.2">
      <c r="BJ61939" s="201"/>
    </row>
    <row r="61940" spans="62:62" x14ac:dyDescent="0.2">
      <c r="BJ61940" s="201"/>
    </row>
    <row r="61941" spans="62:62" x14ac:dyDescent="0.2">
      <c r="BJ61941" s="201"/>
    </row>
    <row r="61942" spans="62:62" x14ac:dyDescent="0.2">
      <c r="BJ61942" s="201"/>
    </row>
    <row r="61943" spans="62:62" x14ac:dyDescent="0.2">
      <c r="BJ61943" s="201"/>
    </row>
    <row r="61944" spans="62:62" x14ac:dyDescent="0.2">
      <c r="BJ61944" s="201"/>
    </row>
    <row r="61945" spans="62:62" x14ac:dyDescent="0.2">
      <c r="BJ61945" s="201"/>
    </row>
    <row r="61946" spans="62:62" x14ac:dyDescent="0.2">
      <c r="BJ61946" s="201"/>
    </row>
    <row r="61947" spans="62:62" x14ac:dyDescent="0.2">
      <c r="BJ61947" s="201"/>
    </row>
    <row r="61948" spans="62:62" x14ac:dyDescent="0.2">
      <c r="BJ61948" s="201"/>
    </row>
    <row r="61949" spans="62:62" x14ac:dyDescent="0.2">
      <c r="BJ61949" s="201"/>
    </row>
    <row r="61950" spans="62:62" x14ac:dyDescent="0.2">
      <c r="BJ61950" s="201"/>
    </row>
    <row r="61951" spans="62:62" x14ac:dyDescent="0.2">
      <c r="BJ61951" s="201"/>
    </row>
    <row r="61952" spans="62:62" x14ac:dyDescent="0.2">
      <c r="BJ61952" s="201"/>
    </row>
    <row r="61953" spans="62:62" x14ac:dyDescent="0.2">
      <c r="BJ61953" s="201"/>
    </row>
    <row r="61954" spans="62:62" x14ac:dyDescent="0.2">
      <c r="BJ61954" s="201"/>
    </row>
    <row r="61955" spans="62:62" x14ac:dyDescent="0.2">
      <c r="BJ61955" s="201"/>
    </row>
    <row r="61956" spans="62:62" x14ac:dyDescent="0.2">
      <c r="BJ61956" s="201"/>
    </row>
    <row r="61957" spans="62:62" x14ac:dyDescent="0.2">
      <c r="BJ61957" s="201"/>
    </row>
    <row r="61958" spans="62:62" x14ac:dyDescent="0.2">
      <c r="BJ61958" s="201"/>
    </row>
    <row r="61959" spans="62:62" x14ac:dyDescent="0.2">
      <c r="BJ61959" s="201"/>
    </row>
    <row r="61960" spans="62:62" x14ac:dyDescent="0.2">
      <c r="BJ61960" s="201"/>
    </row>
    <row r="61961" spans="62:62" x14ac:dyDescent="0.2">
      <c r="BJ61961" s="201"/>
    </row>
    <row r="61962" spans="62:62" x14ac:dyDescent="0.2">
      <c r="BJ61962" s="201"/>
    </row>
    <row r="61963" spans="62:62" x14ac:dyDescent="0.2">
      <c r="BJ61963" s="201"/>
    </row>
    <row r="61964" spans="62:62" x14ac:dyDescent="0.2">
      <c r="BJ61964" s="201"/>
    </row>
    <row r="61965" spans="62:62" x14ac:dyDescent="0.2">
      <c r="BJ61965" s="201"/>
    </row>
    <row r="61966" spans="62:62" x14ac:dyDescent="0.2">
      <c r="BJ61966" s="201"/>
    </row>
    <row r="61967" spans="62:62" x14ac:dyDescent="0.2">
      <c r="BJ61967" s="201"/>
    </row>
    <row r="61968" spans="62:62" x14ac:dyDescent="0.2">
      <c r="BJ61968" s="201"/>
    </row>
    <row r="61969" spans="62:62" x14ac:dyDescent="0.2">
      <c r="BJ61969" s="201"/>
    </row>
    <row r="61970" spans="62:62" x14ac:dyDescent="0.2">
      <c r="BJ61970" s="201"/>
    </row>
    <row r="61971" spans="62:62" x14ac:dyDescent="0.2">
      <c r="BJ61971" s="201"/>
    </row>
    <row r="61972" spans="62:62" x14ac:dyDescent="0.2">
      <c r="BJ61972" s="201"/>
    </row>
    <row r="61973" spans="62:62" x14ac:dyDescent="0.2">
      <c r="BJ61973" s="201"/>
    </row>
    <row r="61974" spans="62:62" x14ac:dyDescent="0.2">
      <c r="BJ61974" s="201"/>
    </row>
    <row r="61975" spans="62:62" x14ac:dyDescent="0.2">
      <c r="BJ61975" s="201"/>
    </row>
    <row r="61976" spans="62:62" x14ac:dyDescent="0.2">
      <c r="BJ61976" s="201"/>
    </row>
    <row r="61977" spans="62:62" x14ac:dyDescent="0.2">
      <c r="BJ61977" s="201"/>
    </row>
    <row r="61978" spans="62:62" x14ac:dyDescent="0.2">
      <c r="BJ61978" s="201"/>
    </row>
    <row r="61979" spans="62:62" x14ac:dyDescent="0.2">
      <c r="BJ61979" s="201"/>
    </row>
    <row r="61980" spans="62:62" x14ac:dyDescent="0.2">
      <c r="BJ61980" s="201"/>
    </row>
    <row r="61981" spans="62:62" x14ac:dyDescent="0.2">
      <c r="BJ61981" s="201"/>
    </row>
    <row r="61982" spans="62:62" x14ac:dyDescent="0.2">
      <c r="BJ61982" s="201"/>
    </row>
    <row r="61983" spans="62:62" x14ac:dyDescent="0.2">
      <c r="BJ61983" s="201"/>
    </row>
    <row r="61984" spans="62:62" x14ac:dyDescent="0.2">
      <c r="BJ61984" s="201"/>
    </row>
    <row r="61985" spans="62:62" x14ac:dyDescent="0.2">
      <c r="BJ61985" s="201"/>
    </row>
    <row r="61986" spans="62:62" x14ac:dyDescent="0.2">
      <c r="BJ61986" s="201"/>
    </row>
    <row r="61987" spans="62:62" x14ac:dyDescent="0.2">
      <c r="BJ61987" s="201"/>
    </row>
    <row r="61988" spans="62:62" x14ac:dyDescent="0.2">
      <c r="BJ61988" s="201"/>
    </row>
    <row r="61989" spans="62:62" x14ac:dyDescent="0.2">
      <c r="BJ61989" s="201"/>
    </row>
    <row r="61990" spans="62:62" x14ac:dyDescent="0.2">
      <c r="BJ61990" s="201"/>
    </row>
    <row r="61991" spans="62:62" x14ac:dyDescent="0.2">
      <c r="BJ61991" s="201"/>
    </row>
    <row r="61992" spans="62:62" x14ac:dyDescent="0.2">
      <c r="BJ61992" s="201"/>
    </row>
    <row r="61993" spans="62:62" x14ac:dyDescent="0.2">
      <c r="BJ61993" s="201"/>
    </row>
    <row r="61994" spans="62:62" x14ac:dyDescent="0.2">
      <c r="BJ61994" s="201"/>
    </row>
    <row r="61995" spans="62:62" x14ac:dyDescent="0.2">
      <c r="BJ61995" s="201"/>
    </row>
    <row r="61996" spans="62:62" x14ac:dyDescent="0.2">
      <c r="BJ61996" s="201"/>
    </row>
    <row r="61997" spans="62:62" x14ac:dyDescent="0.2">
      <c r="BJ61997" s="201"/>
    </row>
    <row r="61998" spans="62:62" x14ac:dyDescent="0.2">
      <c r="BJ61998" s="201"/>
    </row>
    <row r="61999" spans="62:62" x14ac:dyDescent="0.2">
      <c r="BJ61999" s="201"/>
    </row>
    <row r="62000" spans="62:62" x14ac:dyDescent="0.2">
      <c r="BJ62000" s="201"/>
    </row>
    <row r="62001" spans="62:62" x14ac:dyDescent="0.2">
      <c r="BJ62001" s="201"/>
    </row>
    <row r="62002" spans="62:62" x14ac:dyDescent="0.2">
      <c r="BJ62002" s="201"/>
    </row>
    <row r="62003" spans="62:62" x14ac:dyDescent="0.2">
      <c r="BJ62003" s="201"/>
    </row>
    <row r="62004" spans="62:62" x14ac:dyDescent="0.2">
      <c r="BJ62004" s="201"/>
    </row>
    <row r="62005" spans="62:62" x14ac:dyDescent="0.2">
      <c r="BJ62005" s="201"/>
    </row>
    <row r="62006" spans="62:62" x14ac:dyDescent="0.2">
      <c r="BJ62006" s="201"/>
    </row>
    <row r="62007" spans="62:62" x14ac:dyDescent="0.2">
      <c r="BJ62007" s="201"/>
    </row>
    <row r="62008" spans="62:62" x14ac:dyDescent="0.2">
      <c r="BJ62008" s="201"/>
    </row>
    <row r="62009" spans="62:62" x14ac:dyDescent="0.2">
      <c r="BJ62009" s="201"/>
    </row>
    <row r="62010" spans="62:62" x14ac:dyDescent="0.2">
      <c r="BJ62010" s="201"/>
    </row>
    <row r="62011" spans="62:62" x14ac:dyDescent="0.2">
      <c r="BJ62011" s="201"/>
    </row>
    <row r="62012" spans="62:62" x14ac:dyDescent="0.2">
      <c r="BJ62012" s="201"/>
    </row>
    <row r="62013" spans="62:62" x14ac:dyDescent="0.2">
      <c r="BJ62013" s="201"/>
    </row>
    <row r="62014" spans="62:62" x14ac:dyDescent="0.2">
      <c r="BJ62014" s="201"/>
    </row>
    <row r="62015" spans="62:62" x14ac:dyDescent="0.2">
      <c r="BJ62015" s="201"/>
    </row>
    <row r="62016" spans="62:62" x14ac:dyDescent="0.2">
      <c r="BJ62016" s="201"/>
    </row>
    <row r="62017" spans="62:62" x14ac:dyDescent="0.2">
      <c r="BJ62017" s="201"/>
    </row>
    <row r="62018" spans="62:62" x14ac:dyDescent="0.2">
      <c r="BJ62018" s="201"/>
    </row>
    <row r="62019" spans="62:62" x14ac:dyDescent="0.2">
      <c r="BJ62019" s="201"/>
    </row>
    <row r="62020" spans="62:62" x14ac:dyDescent="0.2">
      <c r="BJ62020" s="201"/>
    </row>
    <row r="62021" spans="62:62" x14ac:dyDescent="0.2">
      <c r="BJ62021" s="201"/>
    </row>
    <row r="62022" spans="62:62" x14ac:dyDescent="0.2">
      <c r="BJ62022" s="201"/>
    </row>
    <row r="62023" spans="62:62" x14ac:dyDescent="0.2">
      <c r="BJ62023" s="201"/>
    </row>
    <row r="62024" spans="62:62" x14ac:dyDescent="0.2">
      <c r="BJ62024" s="201"/>
    </row>
    <row r="62025" spans="62:62" x14ac:dyDescent="0.2">
      <c r="BJ62025" s="201"/>
    </row>
    <row r="62026" spans="62:62" x14ac:dyDescent="0.2">
      <c r="BJ62026" s="201"/>
    </row>
    <row r="62027" spans="62:62" x14ac:dyDescent="0.2">
      <c r="BJ62027" s="201"/>
    </row>
    <row r="62028" spans="62:62" x14ac:dyDescent="0.2">
      <c r="BJ62028" s="201"/>
    </row>
    <row r="62029" spans="62:62" x14ac:dyDescent="0.2">
      <c r="BJ62029" s="201"/>
    </row>
    <row r="62030" spans="62:62" x14ac:dyDescent="0.2">
      <c r="BJ62030" s="201"/>
    </row>
    <row r="62031" spans="62:62" x14ac:dyDescent="0.2">
      <c r="BJ62031" s="201"/>
    </row>
    <row r="62032" spans="62:62" x14ac:dyDescent="0.2">
      <c r="BJ62032" s="201"/>
    </row>
    <row r="62033" spans="62:62" x14ac:dyDescent="0.2">
      <c r="BJ62033" s="201"/>
    </row>
    <row r="62034" spans="62:62" x14ac:dyDescent="0.2">
      <c r="BJ62034" s="201"/>
    </row>
    <row r="62035" spans="62:62" x14ac:dyDescent="0.2">
      <c r="BJ62035" s="201"/>
    </row>
    <row r="62036" spans="62:62" x14ac:dyDescent="0.2">
      <c r="BJ62036" s="201"/>
    </row>
    <row r="62037" spans="62:62" x14ac:dyDescent="0.2">
      <c r="BJ62037" s="201"/>
    </row>
    <row r="62038" spans="62:62" x14ac:dyDescent="0.2">
      <c r="BJ62038" s="201"/>
    </row>
    <row r="62039" spans="62:62" x14ac:dyDescent="0.2">
      <c r="BJ62039" s="201"/>
    </row>
    <row r="62040" spans="62:62" x14ac:dyDescent="0.2">
      <c r="BJ62040" s="201"/>
    </row>
    <row r="62041" spans="62:62" x14ac:dyDescent="0.2">
      <c r="BJ62041" s="201"/>
    </row>
    <row r="62042" spans="62:62" x14ac:dyDescent="0.2">
      <c r="BJ62042" s="201"/>
    </row>
    <row r="62043" spans="62:62" x14ac:dyDescent="0.2">
      <c r="BJ62043" s="201"/>
    </row>
    <row r="62044" spans="62:62" x14ac:dyDescent="0.2">
      <c r="BJ62044" s="201"/>
    </row>
    <row r="62045" spans="62:62" x14ac:dyDescent="0.2">
      <c r="BJ62045" s="201"/>
    </row>
    <row r="62046" spans="62:62" x14ac:dyDescent="0.2">
      <c r="BJ62046" s="201"/>
    </row>
    <row r="62047" spans="62:62" x14ac:dyDescent="0.2">
      <c r="BJ62047" s="201"/>
    </row>
    <row r="62048" spans="62:62" x14ac:dyDescent="0.2">
      <c r="BJ62048" s="201"/>
    </row>
    <row r="62049" spans="62:62" x14ac:dyDescent="0.2">
      <c r="BJ62049" s="201"/>
    </row>
    <row r="62050" spans="62:62" x14ac:dyDescent="0.2">
      <c r="BJ62050" s="201"/>
    </row>
    <row r="62051" spans="62:62" x14ac:dyDescent="0.2">
      <c r="BJ62051" s="201"/>
    </row>
    <row r="62052" spans="62:62" x14ac:dyDescent="0.2">
      <c r="BJ62052" s="201"/>
    </row>
    <row r="62053" spans="62:62" x14ac:dyDescent="0.2">
      <c r="BJ62053" s="201"/>
    </row>
    <row r="62054" spans="62:62" x14ac:dyDescent="0.2">
      <c r="BJ62054" s="201"/>
    </row>
    <row r="62055" spans="62:62" x14ac:dyDescent="0.2">
      <c r="BJ62055" s="201"/>
    </row>
    <row r="62056" spans="62:62" x14ac:dyDescent="0.2">
      <c r="BJ62056" s="201"/>
    </row>
    <row r="62057" spans="62:62" x14ac:dyDescent="0.2">
      <c r="BJ62057" s="201"/>
    </row>
    <row r="62058" spans="62:62" x14ac:dyDescent="0.2">
      <c r="BJ62058" s="201"/>
    </row>
    <row r="62059" spans="62:62" x14ac:dyDescent="0.2">
      <c r="BJ62059" s="201"/>
    </row>
    <row r="62060" spans="62:62" x14ac:dyDescent="0.2">
      <c r="BJ62060" s="201"/>
    </row>
    <row r="62061" spans="62:62" x14ac:dyDescent="0.2">
      <c r="BJ62061" s="201"/>
    </row>
    <row r="62062" spans="62:62" x14ac:dyDescent="0.2">
      <c r="BJ62062" s="201"/>
    </row>
    <row r="62063" spans="62:62" x14ac:dyDescent="0.2">
      <c r="BJ62063" s="201"/>
    </row>
    <row r="62064" spans="62:62" x14ac:dyDescent="0.2">
      <c r="BJ62064" s="201"/>
    </row>
    <row r="62065" spans="62:62" x14ac:dyDescent="0.2">
      <c r="BJ62065" s="201"/>
    </row>
    <row r="62066" spans="62:62" x14ac:dyDescent="0.2">
      <c r="BJ62066" s="201"/>
    </row>
    <row r="62067" spans="62:62" x14ac:dyDescent="0.2">
      <c r="BJ62067" s="201"/>
    </row>
    <row r="62068" spans="62:62" x14ac:dyDescent="0.2">
      <c r="BJ62068" s="201"/>
    </row>
    <row r="62069" spans="62:62" x14ac:dyDescent="0.2">
      <c r="BJ62069" s="201"/>
    </row>
    <row r="62070" spans="62:62" x14ac:dyDescent="0.2">
      <c r="BJ62070" s="201"/>
    </row>
    <row r="62071" spans="62:62" x14ac:dyDescent="0.2">
      <c r="BJ62071" s="201"/>
    </row>
    <row r="62072" spans="62:62" x14ac:dyDescent="0.2">
      <c r="BJ62072" s="201"/>
    </row>
    <row r="62073" spans="62:62" x14ac:dyDescent="0.2">
      <c r="BJ62073" s="201"/>
    </row>
    <row r="62074" spans="62:62" x14ac:dyDescent="0.2">
      <c r="BJ62074" s="201"/>
    </row>
    <row r="62075" spans="62:62" x14ac:dyDescent="0.2">
      <c r="BJ62075" s="201"/>
    </row>
    <row r="62076" spans="62:62" x14ac:dyDescent="0.2">
      <c r="BJ62076" s="201"/>
    </row>
    <row r="62077" spans="62:62" x14ac:dyDescent="0.2">
      <c r="BJ62077" s="201"/>
    </row>
    <row r="62078" spans="62:62" x14ac:dyDescent="0.2">
      <c r="BJ62078" s="201"/>
    </row>
    <row r="62079" spans="62:62" x14ac:dyDescent="0.2">
      <c r="BJ62079" s="201"/>
    </row>
    <row r="62080" spans="62:62" x14ac:dyDescent="0.2">
      <c r="BJ62080" s="201"/>
    </row>
    <row r="62081" spans="62:62" x14ac:dyDescent="0.2">
      <c r="BJ62081" s="201"/>
    </row>
    <row r="62082" spans="62:62" x14ac:dyDescent="0.2">
      <c r="BJ62082" s="201"/>
    </row>
    <row r="62083" spans="62:62" x14ac:dyDescent="0.2">
      <c r="BJ62083" s="201"/>
    </row>
    <row r="62084" spans="62:62" x14ac:dyDescent="0.2">
      <c r="BJ62084" s="201"/>
    </row>
    <row r="62085" spans="62:62" x14ac:dyDescent="0.2">
      <c r="BJ62085" s="201"/>
    </row>
    <row r="62086" spans="62:62" x14ac:dyDescent="0.2">
      <c r="BJ62086" s="201"/>
    </row>
    <row r="62087" spans="62:62" x14ac:dyDescent="0.2">
      <c r="BJ62087" s="201"/>
    </row>
    <row r="62088" spans="62:62" x14ac:dyDescent="0.2">
      <c r="BJ62088" s="201"/>
    </row>
    <row r="62089" spans="62:62" x14ac:dyDescent="0.2">
      <c r="BJ62089" s="201"/>
    </row>
    <row r="62090" spans="62:62" x14ac:dyDescent="0.2">
      <c r="BJ62090" s="201"/>
    </row>
    <row r="62091" spans="62:62" x14ac:dyDescent="0.2">
      <c r="BJ62091" s="201"/>
    </row>
    <row r="62092" spans="62:62" x14ac:dyDescent="0.2">
      <c r="BJ62092" s="201"/>
    </row>
    <row r="62093" spans="62:62" x14ac:dyDescent="0.2">
      <c r="BJ62093" s="201"/>
    </row>
    <row r="62094" spans="62:62" x14ac:dyDescent="0.2">
      <c r="BJ62094" s="201"/>
    </row>
    <row r="62095" spans="62:62" x14ac:dyDescent="0.2">
      <c r="BJ62095" s="201"/>
    </row>
    <row r="62096" spans="62:62" x14ac:dyDescent="0.2">
      <c r="BJ62096" s="201"/>
    </row>
    <row r="62097" spans="62:62" x14ac:dyDescent="0.2">
      <c r="BJ62097" s="201"/>
    </row>
    <row r="62098" spans="62:62" x14ac:dyDescent="0.2">
      <c r="BJ62098" s="201"/>
    </row>
    <row r="62099" spans="62:62" x14ac:dyDescent="0.2">
      <c r="BJ62099" s="201"/>
    </row>
    <row r="62100" spans="62:62" x14ac:dyDescent="0.2">
      <c r="BJ62100" s="201"/>
    </row>
    <row r="62101" spans="62:62" x14ac:dyDescent="0.2">
      <c r="BJ62101" s="201"/>
    </row>
    <row r="62102" spans="62:62" x14ac:dyDescent="0.2">
      <c r="BJ62102" s="201"/>
    </row>
    <row r="62103" spans="62:62" x14ac:dyDescent="0.2">
      <c r="BJ62103" s="201"/>
    </row>
    <row r="62104" spans="62:62" x14ac:dyDescent="0.2">
      <c r="BJ62104" s="201"/>
    </row>
    <row r="62105" spans="62:62" x14ac:dyDescent="0.2">
      <c r="BJ62105" s="201"/>
    </row>
    <row r="62106" spans="62:62" x14ac:dyDescent="0.2">
      <c r="BJ62106" s="201"/>
    </row>
    <row r="62107" spans="62:62" x14ac:dyDescent="0.2">
      <c r="BJ62107" s="201"/>
    </row>
    <row r="62108" spans="62:62" x14ac:dyDescent="0.2">
      <c r="BJ62108" s="201"/>
    </row>
    <row r="62109" spans="62:62" x14ac:dyDescent="0.2">
      <c r="BJ62109" s="201"/>
    </row>
    <row r="62110" spans="62:62" x14ac:dyDescent="0.2">
      <c r="BJ62110" s="201"/>
    </row>
    <row r="62111" spans="62:62" x14ac:dyDescent="0.2">
      <c r="BJ62111" s="201"/>
    </row>
    <row r="62112" spans="62:62" x14ac:dyDescent="0.2">
      <c r="BJ62112" s="201"/>
    </row>
    <row r="62113" spans="62:62" x14ac:dyDescent="0.2">
      <c r="BJ62113" s="201"/>
    </row>
    <row r="62114" spans="62:62" x14ac:dyDescent="0.2">
      <c r="BJ62114" s="201"/>
    </row>
    <row r="62115" spans="62:62" x14ac:dyDescent="0.2">
      <c r="BJ62115" s="201"/>
    </row>
    <row r="62116" spans="62:62" x14ac:dyDescent="0.2">
      <c r="BJ62116" s="201"/>
    </row>
    <row r="62117" spans="62:62" x14ac:dyDescent="0.2">
      <c r="BJ62117" s="201"/>
    </row>
    <row r="62118" spans="62:62" x14ac:dyDescent="0.2">
      <c r="BJ62118" s="201"/>
    </row>
    <row r="62119" spans="62:62" x14ac:dyDescent="0.2">
      <c r="BJ62119" s="201"/>
    </row>
    <row r="62120" spans="62:62" x14ac:dyDescent="0.2">
      <c r="BJ62120" s="201"/>
    </row>
    <row r="62121" spans="62:62" x14ac:dyDescent="0.2">
      <c r="BJ62121" s="201"/>
    </row>
    <row r="62122" spans="62:62" x14ac:dyDescent="0.2">
      <c r="BJ62122" s="201"/>
    </row>
    <row r="62123" spans="62:62" x14ac:dyDescent="0.2">
      <c r="BJ62123" s="201"/>
    </row>
    <row r="62124" spans="62:62" x14ac:dyDescent="0.2">
      <c r="BJ62124" s="201"/>
    </row>
    <row r="62125" spans="62:62" x14ac:dyDescent="0.2">
      <c r="BJ62125" s="201"/>
    </row>
    <row r="62126" spans="62:62" x14ac:dyDescent="0.2">
      <c r="BJ62126" s="201"/>
    </row>
    <row r="62127" spans="62:62" x14ac:dyDescent="0.2">
      <c r="BJ62127" s="201"/>
    </row>
    <row r="62128" spans="62:62" x14ac:dyDescent="0.2">
      <c r="BJ62128" s="201"/>
    </row>
    <row r="62129" spans="62:62" x14ac:dyDescent="0.2">
      <c r="BJ62129" s="201"/>
    </row>
    <row r="62130" spans="62:62" x14ac:dyDescent="0.2">
      <c r="BJ62130" s="201"/>
    </row>
    <row r="62131" spans="62:62" x14ac:dyDescent="0.2">
      <c r="BJ62131" s="201"/>
    </row>
    <row r="62132" spans="62:62" x14ac:dyDescent="0.2">
      <c r="BJ62132" s="201"/>
    </row>
    <row r="62133" spans="62:62" x14ac:dyDescent="0.2">
      <c r="BJ62133" s="201"/>
    </row>
    <row r="62134" spans="62:62" x14ac:dyDescent="0.2">
      <c r="BJ62134" s="201"/>
    </row>
    <row r="62135" spans="62:62" x14ac:dyDescent="0.2">
      <c r="BJ62135" s="201"/>
    </row>
    <row r="62136" spans="62:62" x14ac:dyDescent="0.2">
      <c r="BJ62136" s="201"/>
    </row>
    <row r="62137" spans="62:62" x14ac:dyDescent="0.2">
      <c r="BJ62137" s="201"/>
    </row>
    <row r="62138" spans="62:62" x14ac:dyDescent="0.2">
      <c r="BJ62138" s="201"/>
    </row>
    <row r="62139" spans="62:62" x14ac:dyDescent="0.2">
      <c r="BJ62139" s="201"/>
    </row>
    <row r="62140" spans="62:62" x14ac:dyDescent="0.2">
      <c r="BJ62140" s="201"/>
    </row>
    <row r="62141" spans="62:62" x14ac:dyDescent="0.2">
      <c r="BJ62141" s="201"/>
    </row>
    <row r="62142" spans="62:62" x14ac:dyDescent="0.2">
      <c r="BJ62142" s="201"/>
    </row>
    <row r="62143" spans="62:62" x14ac:dyDescent="0.2">
      <c r="BJ62143" s="201"/>
    </row>
    <row r="62144" spans="62:62" x14ac:dyDescent="0.2">
      <c r="BJ62144" s="201"/>
    </row>
    <row r="62145" spans="62:62" x14ac:dyDescent="0.2">
      <c r="BJ62145" s="201"/>
    </row>
    <row r="62146" spans="62:62" x14ac:dyDescent="0.2">
      <c r="BJ62146" s="201"/>
    </row>
    <row r="62147" spans="62:62" x14ac:dyDescent="0.2">
      <c r="BJ62147" s="201"/>
    </row>
    <row r="62148" spans="62:62" x14ac:dyDescent="0.2">
      <c r="BJ62148" s="201"/>
    </row>
    <row r="62149" spans="62:62" x14ac:dyDescent="0.2">
      <c r="BJ62149" s="201"/>
    </row>
    <row r="62150" spans="62:62" x14ac:dyDescent="0.2">
      <c r="BJ62150" s="201"/>
    </row>
    <row r="62151" spans="62:62" x14ac:dyDescent="0.2">
      <c r="BJ62151" s="201"/>
    </row>
    <row r="62152" spans="62:62" x14ac:dyDescent="0.2">
      <c r="BJ62152" s="201"/>
    </row>
    <row r="62153" spans="62:62" x14ac:dyDescent="0.2">
      <c r="BJ62153" s="201"/>
    </row>
    <row r="62154" spans="62:62" x14ac:dyDescent="0.2">
      <c r="BJ62154" s="201"/>
    </row>
    <row r="62155" spans="62:62" x14ac:dyDescent="0.2">
      <c r="BJ62155" s="201"/>
    </row>
    <row r="62156" spans="62:62" x14ac:dyDescent="0.2">
      <c r="BJ62156" s="201"/>
    </row>
    <row r="62157" spans="62:62" x14ac:dyDescent="0.2">
      <c r="BJ62157" s="201"/>
    </row>
    <row r="62158" spans="62:62" x14ac:dyDescent="0.2">
      <c r="BJ62158" s="201"/>
    </row>
    <row r="62159" spans="62:62" x14ac:dyDescent="0.2">
      <c r="BJ62159" s="201"/>
    </row>
    <row r="62160" spans="62:62" x14ac:dyDescent="0.2">
      <c r="BJ62160" s="201"/>
    </row>
    <row r="62161" spans="62:62" x14ac:dyDescent="0.2">
      <c r="BJ62161" s="201"/>
    </row>
    <row r="62162" spans="62:62" x14ac:dyDescent="0.2">
      <c r="BJ62162" s="201"/>
    </row>
    <row r="62163" spans="62:62" x14ac:dyDescent="0.2">
      <c r="BJ62163" s="201"/>
    </row>
    <row r="62164" spans="62:62" x14ac:dyDescent="0.2">
      <c r="BJ62164" s="201"/>
    </row>
    <row r="62165" spans="62:62" x14ac:dyDescent="0.2">
      <c r="BJ62165" s="201"/>
    </row>
    <row r="62166" spans="62:62" x14ac:dyDescent="0.2">
      <c r="BJ62166" s="201"/>
    </row>
    <row r="62167" spans="62:62" x14ac:dyDescent="0.2">
      <c r="BJ62167" s="201"/>
    </row>
    <row r="62168" spans="62:62" x14ac:dyDescent="0.2">
      <c r="BJ62168" s="201"/>
    </row>
    <row r="62169" spans="62:62" x14ac:dyDescent="0.2">
      <c r="BJ62169" s="201"/>
    </row>
    <row r="62170" spans="62:62" x14ac:dyDescent="0.2">
      <c r="BJ62170" s="201"/>
    </row>
    <row r="62171" spans="62:62" x14ac:dyDescent="0.2">
      <c r="BJ62171" s="201"/>
    </row>
    <row r="62172" spans="62:62" x14ac:dyDescent="0.2">
      <c r="BJ62172" s="201"/>
    </row>
    <row r="62173" spans="62:62" x14ac:dyDescent="0.2">
      <c r="BJ62173" s="201"/>
    </row>
    <row r="62174" spans="62:62" x14ac:dyDescent="0.2">
      <c r="BJ62174" s="201"/>
    </row>
    <row r="62175" spans="62:62" x14ac:dyDescent="0.2">
      <c r="BJ62175" s="201"/>
    </row>
    <row r="62176" spans="62:62" x14ac:dyDescent="0.2">
      <c r="BJ62176" s="201"/>
    </row>
    <row r="62177" spans="62:62" x14ac:dyDescent="0.2">
      <c r="BJ62177" s="201"/>
    </row>
    <row r="62178" spans="62:62" x14ac:dyDescent="0.2">
      <c r="BJ62178" s="201"/>
    </row>
    <row r="62179" spans="62:62" x14ac:dyDescent="0.2">
      <c r="BJ62179" s="201"/>
    </row>
    <row r="62180" spans="62:62" x14ac:dyDescent="0.2">
      <c r="BJ62180" s="201"/>
    </row>
    <row r="62181" spans="62:62" x14ac:dyDescent="0.2">
      <c r="BJ62181" s="201"/>
    </row>
    <row r="62182" spans="62:62" x14ac:dyDescent="0.2">
      <c r="BJ62182" s="201"/>
    </row>
    <row r="62183" spans="62:62" x14ac:dyDescent="0.2">
      <c r="BJ62183" s="201"/>
    </row>
    <row r="62184" spans="62:62" x14ac:dyDescent="0.2">
      <c r="BJ62184" s="201"/>
    </row>
    <row r="62185" spans="62:62" x14ac:dyDescent="0.2">
      <c r="BJ62185" s="201"/>
    </row>
    <row r="62186" spans="62:62" x14ac:dyDescent="0.2">
      <c r="BJ62186" s="201"/>
    </row>
    <row r="62187" spans="62:62" x14ac:dyDescent="0.2">
      <c r="BJ62187" s="201"/>
    </row>
    <row r="62188" spans="62:62" x14ac:dyDescent="0.2">
      <c r="BJ62188" s="201"/>
    </row>
    <row r="62189" spans="62:62" x14ac:dyDescent="0.2">
      <c r="BJ62189" s="201"/>
    </row>
    <row r="62190" spans="62:62" x14ac:dyDescent="0.2">
      <c r="BJ62190" s="201"/>
    </row>
    <row r="62191" spans="62:62" x14ac:dyDescent="0.2">
      <c r="BJ62191" s="201"/>
    </row>
    <row r="62192" spans="62:62" x14ac:dyDescent="0.2">
      <c r="BJ62192" s="201"/>
    </row>
    <row r="62193" spans="62:62" x14ac:dyDescent="0.2">
      <c r="BJ62193" s="201"/>
    </row>
    <row r="62194" spans="62:62" x14ac:dyDescent="0.2">
      <c r="BJ62194" s="201"/>
    </row>
    <row r="62195" spans="62:62" x14ac:dyDescent="0.2">
      <c r="BJ62195" s="201"/>
    </row>
    <row r="62196" spans="62:62" x14ac:dyDescent="0.2">
      <c r="BJ62196" s="201"/>
    </row>
    <row r="62197" spans="62:62" x14ac:dyDescent="0.2">
      <c r="BJ62197" s="201"/>
    </row>
    <row r="62198" spans="62:62" x14ac:dyDescent="0.2">
      <c r="BJ62198" s="201"/>
    </row>
    <row r="62199" spans="62:62" x14ac:dyDescent="0.2">
      <c r="BJ62199" s="201"/>
    </row>
    <row r="62200" spans="62:62" x14ac:dyDescent="0.2">
      <c r="BJ62200" s="201"/>
    </row>
    <row r="62201" spans="62:62" x14ac:dyDescent="0.2">
      <c r="BJ62201" s="201"/>
    </row>
    <row r="62202" spans="62:62" x14ac:dyDescent="0.2">
      <c r="BJ62202" s="201"/>
    </row>
    <row r="62203" spans="62:62" x14ac:dyDescent="0.2">
      <c r="BJ62203" s="201"/>
    </row>
    <row r="62204" spans="62:62" x14ac:dyDescent="0.2">
      <c r="BJ62204" s="201"/>
    </row>
    <row r="62205" spans="62:62" x14ac:dyDescent="0.2">
      <c r="BJ62205" s="201"/>
    </row>
    <row r="62206" spans="62:62" x14ac:dyDescent="0.2">
      <c r="BJ62206" s="201"/>
    </row>
    <row r="62207" spans="62:62" x14ac:dyDescent="0.2">
      <c r="BJ62207" s="201"/>
    </row>
    <row r="62208" spans="62:62" x14ac:dyDescent="0.2">
      <c r="BJ62208" s="201"/>
    </row>
    <row r="62209" spans="62:62" x14ac:dyDescent="0.2">
      <c r="BJ62209" s="201"/>
    </row>
    <row r="62210" spans="62:62" x14ac:dyDescent="0.2">
      <c r="BJ62210" s="201"/>
    </row>
    <row r="62211" spans="62:62" x14ac:dyDescent="0.2">
      <c r="BJ62211" s="201"/>
    </row>
    <row r="62212" spans="62:62" x14ac:dyDescent="0.2">
      <c r="BJ62212" s="201"/>
    </row>
    <row r="62213" spans="62:62" x14ac:dyDescent="0.2">
      <c r="BJ62213" s="201"/>
    </row>
    <row r="62214" spans="62:62" x14ac:dyDescent="0.2">
      <c r="BJ62214" s="201"/>
    </row>
    <row r="62215" spans="62:62" x14ac:dyDescent="0.2">
      <c r="BJ62215" s="201"/>
    </row>
    <row r="62216" spans="62:62" x14ac:dyDescent="0.2">
      <c r="BJ62216" s="201"/>
    </row>
    <row r="62217" spans="62:62" x14ac:dyDescent="0.2">
      <c r="BJ62217" s="201"/>
    </row>
    <row r="62218" spans="62:62" x14ac:dyDescent="0.2">
      <c r="BJ62218" s="201"/>
    </row>
    <row r="62219" spans="62:62" x14ac:dyDescent="0.2">
      <c r="BJ62219" s="201"/>
    </row>
    <row r="62220" spans="62:62" x14ac:dyDescent="0.2">
      <c r="BJ62220" s="201"/>
    </row>
    <row r="62221" spans="62:62" x14ac:dyDescent="0.2">
      <c r="BJ62221" s="201"/>
    </row>
    <row r="62222" spans="62:62" x14ac:dyDescent="0.2">
      <c r="BJ62222" s="201"/>
    </row>
    <row r="62223" spans="62:62" x14ac:dyDescent="0.2">
      <c r="BJ62223" s="201"/>
    </row>
    <row r="62224" spans="62:62" x14ac:dyDescent="0.2">
      <c r="BJ62224" s="201"/>
    </row>
    <row r="62225" spans="62:62" x14ac:dyDescent="0.2">
      <c r="BJ62225" s="201"/>
    </row>
    <row r="62226" spans="62:62" x14ac:dyDescent="0.2">
      <c r="BJ62226" s="201"/>
    </row>
    <row r="62227" spans="62:62" x14ac:dyDescent="0.2">
      <c r="BJ62227" s="201"/>
    </row>
    <row r="62228" spans="62:62" x14ac:dyDescent="0.2">
      <c r="BJ62228" s="201"/>
    </row>
    <row r="62229" spans="62:62" x14ac:dyDescent="0.2">
      <c r="BJ62229" s="201"/>
    </row>
    <row r="62230" spans="62:62" x14ac:dyDescent="0.2">
      <c r="BJ62230" s="201"/>
    </row>
    <row r="62231" spans="62:62" x14ac:dyDescent="0.2">
      <c r="BJ62231" s="201"/>
    </row>
    <row r="62232" spans="62:62" x14ac:dyDescent="0.2">
      <c r="BJ62232" s="201"/>
    </row>
    <row r="62233" spans="62:62" x14ac:dyDescent="0.2">
      <c r="BJ62233" s="201"/>
    </row>
    <row r="62234" spans="62:62" x14ac:dyDescent="0.2">
      <c r="BJ62234" s="201"/>
    </row>
    <row r="62235" spans="62:62" x14ac:dyDescent="0.2">
      <c r="BJ62235" s="201"/>
    </row>
    <row r="62236" spans="62:62" x14ac:dyDescent="0.2">
      <c r="BJ62236" s="201"/>
    </row>
    <row r="62237" spans="62:62" x14ac:dyDescent="0.2">
      <c r="BJ62237" s="201"/>
    </row>
    <row r="62238" spans="62:62" x14ac:dyDescent="0.2">
      <c r="BJ62238" s="201"/>
    </row>
    <row r="62239" spans="62:62" x14ac:dyDescent="0.2">
      <c r="BJ62239" s="201"/>
    </row>
    <row r="62240" spans="62:62" x14ac:dyDescent="0.2">
      <c r="BJ62240" s="201"/>
    </row>
    <row r="62241" spans="62:62" x14ac:dyDescent="0.2">
      <c r="BJ62241" s="201"/>
    </row>
    <row r="62242" spans="62:62" x14ac:dyDescent="0.2">
      <c r="BJ62242" s="201"/>
    </row>
    <row r="62243" spans="62:62" x14ac:dyDescent="0.2">
      <c r="BJ62243" s="201"/>
    </row>
    <row r="62244" spans="62:62" x14ac:dyDescent="0.2">
      <c r="BJ62244" s="201"/>
    </row>
    <row r="62245" spans="62:62" x14ac:dyDescent="0.2">
      <c r="BJ62245" s="201"/>
    </row>
    <row r="62246" spans="62:62" x14ac:dyDescent="0.2">
      <c r="BJ62246" s="201"/>
    </row>
    <row r="62247" spans="62:62" x14ac:dyDescent="0.2">
      <c r="BJ62247" s="201"/>
    </row>
    <row r="62248" spans="62:62" x14ac:dyDescent="0.2">
      <c r="BJ62248" s="201"/>
    </row>
    <row r="62249" spans="62:62" x14ac:dyDescent="0.2">
      <c r="BJ62249" s="201"/>
    </row>
    <row r="62250" spans="62:62" x14ac:dyDescent="0.2">
      <c r="BJ62250" s="201"/>
    </row>
    <row r="62251" spans="62:62" x14ac:dyDescent="0.2">
      <c r="BJ62251" s="201"/>
    </row>
    <row r="62252" spans="62:62" x14ac:dyDescent="0.2">
      <c r="BJ62252" s="201"/>
    </row>
    <row r="62253" spans="62:62" x14ac:dyDescent="0.2">
      <c r="BJ62253" s="201"/>
    </row>
    <row r="62254" spans="62:62" x14ac:dyDescent="0.2">
      <c r="BJ62254" s="201"/>
    </row>
    <row r="62255" spans="62:62" x14ac:dyDescent="0.2">
      <c r="BJ62255" s="201"/>
    </row>
    <row r="62256" spans="62:62" x14ac:dyDescent="0.2">
      <c r="BJ62256" s="201"/>
    </row>
    <row r="62257" spans="62:62" x14ac:dyDescent="0.2">
      <c r="BJ62257" s="201"/>
    </row>
    <row r="62258" spans="62:62" x14ac:dyDescent="0.2">
      <c r="BJ62258" s="201"/>
    </row>
    <row r="62259" spans="62:62" x14ac:dyDescent="0.2">
      <c r="BJ62259" s="201"/>
    </row>
    <row r="62260" spans="62:62" x14ac:dyDescent="0.2">
      <c r="BJ62260" s="201"/>
    </row>
    <row r="62261" spans="62:62" x14ac:dyDescent="0.2">
      <c r="BJ62261" s="201"/>
    </row>
    <row r="62262" spans="62:62" x14ac:dyDescent="0.2">
      <c r="BJ62262" s="201"/>
    </row>
    <row r="62263" spans="62:62" x14ac:dyDescent="0.2">
      <c r="BJ62263" s="201"/>
    </row>
    <row r="62264" spans="62:62" x14ac:dyDescent="0.2">
      <c r="BJ62264" s="201"/>
    </row>
    <row r="62265" spans="62:62" x14ac:dyDescent="0.2">
      <c r="BJ62265" s="201"/>
    </row>
    <row r="62266" spans="62:62" x14ac:dyDescent="0.2">
      <c r="BJ62266" s="201"/>
    </row>
    <row r="62267" spans="62:62" x14ac:dyDescent="0.2">
      <c r="BJ62267" s="201"/>
    </row>
    <row r="62268" spans="62:62" x14ac:dyDescent="0.2">
      <c r="BJ62268" s="201"/>
    </row>
    <row r="62269" spans="62:62" x14ac:dyDescent="0.2">
      <c r="BJ62269" s="201"/>
    </row>
    <row r="62270" spans="62:62" x14ac:dyDescent="0.2">
      <c r="BJ62270" s="201"/>
    </row>
    <row r="62271" spans="62:62" x14ac:dyDescent="0.2">
      <c r="BJ62271" s="201"/>
    </row>
    <row r="62272" spans="62:62" x14ac:dyDescent="0.2">
      <c r="BJ62272" s="201"/>
    </row>
    <row r="62273" spans="62:62" x14ac:dyDescent="0.2">
      <c r="BJ62273" s="201"/>
    </row>
    <row r="62274" spans="62:62" x14ac:dyDescent="0.2">
      <c r="BJ62274" s="201"/>
    </row>
    <row r="62275" spans="62:62" x14ac:dyDescent="0.2">
      <c r="BJ62275" s="201"/>
    </row>
    <row r="62276" spans="62:62" x14ac:dyDescent="0.2">
      <c r="BJ62276" s="201"/>
    </row>
    <row r="62277" spans="62:62" x14ac:dyDescent="0.2">
      <c r="BJ62277" s="201"/>
    </row>
    <row r="62278" spans="62:62" x14ac:dyDescent="0.2">
      <c r="BJ62278" s="201"/>
    </row>
    <row r="62279" spans="62:62" x14ac:dyDescent="0.2">
      <c r="BJ62279" s="201"/>
    </row>
    <row r="62280" spans="62:62" x14ac:dyDescent="0.2">
      <c r="BJ62280" s="201"/>
    </row>
    <row r="62281" spans="62:62" x14ac:dyDescent="0.2">
      <c r="BJ62281" s="201"/>
    </row>
    <row r="62282" spans="62:62" x14ac:dyDescent="0.2">
      <c r="BJ62282" s="201"/>
    </row>
    <row r="62283" spans="62:62" x14ac:dyDescent="0.2">
      <c r="BJ62283" s="201"/>
    </row>
    <row r="62284" spans="62:62" x14ac:dyDescent="0.2">
      <c r="BJ62284" s="201"/>
    </row>
    <row r="62285" spans="62:62" x14ac:dyDescent="0.2">
      <c r="BJ62285" s="201"/>
    </row>
    <row r="62286" spans="62:62" x14ac:dyDescent="0.2">
      <c r="BJ62286" s="201"/>
    </row>
    <row r="62287" spans="62:62" x14ac:dyDescent="0.2">
      <c r="BJ62287" s="201"/>
    </row>
    <row r="62288" spans="62:62" x14ac:dyDescent="0.2">
      <c r="BJ62288" s="201"/>
    </row>
    <row r="62289" spans="62:62" x14ac:dyDescent="0.2">
      <c r="BJ62289" s="201"/>
    </row>
    <row r="62290" spans="62:62" x14ac:dyDescent="0.2">
      <c r="BJ62290" s="201"/>
    </row>
    <row r="62291" spans="62:62" x14ac:dyDescent="0.2">
      <c r="BJ62291" s="201"/>
    </row>
    <row r="62292" spans="62:62" x14ac:dyDescent="0.2">
      <c r="BJ62292" s="201"/>
    </row>
    <row r="62293" spans="62:62" x14ac:dyDescent="0.2">
      <c r="BJ62293" s="201"/>
    </row>
    <row r="62294" spans="62:62" x14ac:dyDescent="0.2">
      <c r="BJ62294" s="201"/>
    </row>
    <row r="62295" spans="62:62" x14ac:dyDescent="0.2">
      <c r="BJ62295" s="201"/>
    </row>
    <row r="62296" spans="62:62" x14ac:dyDescent="0.2">
      <c r="BJ62296" s="201"/>
    </row>
    <row r="62297" spans="62:62" x14ac:dyDescent="0.2">
      <c r="BJ62297" s="201"/>
    </row>
    <row r="62298" spans="62:62" x14ac:dyDescent="0.2">
      <c r="BJ62298" s="201"/>
    </row>
    <row r="62299" spans="62:62" x14ac:dyDescent="0.2">
      <c r="BJ62299" s="201"/>
    </row>
    <row r="62300" spans="62:62" x14ac:dyDescent="0.2">
      <c r="BJ62300" s="201"/>
    </row>
    <row r="62301" spans="62:62" x14ac:dyDescent="0.2">
      <c r="BJ62301" s="201"/>
    </row>
    <row r="62302" spans="62:62" x14ac:dyDescent="0.2">
      <c r="BJ62302" s="201"/>
    </row>
    <row r="62303" spans="62:62" x14ac:dyDescent="0.2">
      <c r="BJ62303" s="201"/>
    </row>
    <row r="62304" spans="62:62" x14ac:dyDescent="0.2">
      <c r="BJ62304" s="201"/>
    </row>
    <row r="62305" spans="62:62" x14ac:dyDescent="0.2">
      <c r="BJ62305" s="201"/>
    </row>
    <row r="62306" spans="62:62" x14ac:dyDescent="0.2">
      <c r="BJ62306" s="201"/>
    </row>
    <row r="62307" spans="62:62" x14ac:dyDescent="0.2">
      <c r="BJ62307" s="201"/>
    </row>
    <row r="62308" spans="62:62" x14ac:dyDescent="0.2">
      <c r="BJ62308" s="201"/>
    </row>
    <row r="62309" spans="62:62" x14ac:dyDescent="0.2">
      <c r="BJ62309" s="201"/>
    </row>
    <row r="62310" spans="62:62" x14ac:dyDescent="0.2">
      <c r="BJ62310" s="201"/>
    </row>
    <row r="62311" spans="62:62" x14ac:dyDescent="0.2">
      <c r="BJ62311" s="201"/>
    </row>
    <row r="62312" spans="62:62" x14ac:dyDescent="0.2">
      <c r="BJ62312" s="201"/>
    </row>
    <row r="62313" spans="62:62" x14ac:dyDescent="0.2">
      <c r="BJ62313" s="201"/>
    </row>
    <row r="62314" spans="62:62" x14ac:dyDescent="0.2">
      <c r="BJ62314" s="201"/>
    </row>
    <row r="62315" spans="62:62" x14ac:dyDescent="0.2">
      <c r="BJ62315" s="201"/>
    </row>
    <row r="62316" spans="62:62" x14ac:dyDescent="0.2">
      <c r="BJ62316" s="201"/>
    </row>
    <row r="62317" spans="62:62" x14ac:dyDescent="0.2">
      <c r="BJ62317" s="201"/>
    </row>
    <row r="62318" spans="62:62" x14ac:dyDescent="0.2">
      <c r="BJ62318" s="201"/>
    </row>
    <row r="62319" spans="62:62" x14ac:dyDescent="0.2">
      <c r="BJ62319" s="201"/>
    </row>
    <row r="62320" spans="62:62" x14ac:dyDescent="0.2">
      <c r="BJ62320" s="201"/>
    </row>
    <row r="62321" spans="62:62" x14ac:dyDescent="0.2">
      <c r="BJ62321" s="201"/>
    </row>
    <row r="62322" spans="62:62" x14ac:dyDescent="0.2">
      <c r="BJ62322" s="201"/>
    </row>
    <row r="62323" spans="62:62" x14ac:dyDescent="0.2">
      <c r="BJ62323" s="201"/>
    </row>
    <row r="62324" spans="62:62" x14ac:dyDescent="0.2">
      <c r="BJ62324" s="201"/>
    </row>
    <row r="62325" spans="62:62" x14ac:dyDescent="0.2">
      <c r="BJ62325" s="201"/>
    </row>
    <row r="62326" spans="62:62" x14ac:dyDescent="0.2">
      <c r="BJ62326" s="201"/>
    </row>
    <row r="62327" spans="62:62" x14ac:dyDescent="0.2">
      <c r="BJ62327" s="201"/>
    </row>
    <row r="62328" spans="62:62" x14ac:dyDescent="0.2">
      <c r="BJ62328" s="201"/>
    </row>
    <row r="62329" spans="62:62" x14ac:dyDescent="0.2">
      <c r="BJ62329" s="201"/>
    </row>
    <row r="62330" spans="62:62" x14ac:dyDescent="0.2">
      <c r="BJ62330" s="201"/>
    </row>
    <row r="62331" spans="62:62" x14ac:dyDescent="0.2">
      <c r="BJ62331" s="201"/>
    </row>
    <row r="62332" spans="62:62" x14ac:dyDescent="0.2">
      <c r="BJ62332" s="201"/>
    </row>
    <row r="62333" spans="62:62" x14ac:dyDescent="0.2">
      <c r="BJ62333" s="201"/>
    </row>
    <row r="62334" spans="62:62" x14ac:dyDescent="0.2">
      <c r="BJ62334" s="201"/>
    </row>
    <row r="62335" spans="62:62" x14ac:dyDescent="0.2">
      <c r="BJ62335" s="201"/>
    </row>
    <row r="62336" spans="62:62" x14ac:dyDescent="0.2">
      <c r="BJ62336" s="201"/>
    </row>
    <row r="62337" spans="62:62" x14ac:dyDescent="0.2">
      <c r="BJ62337" s="201"/>
    </row>
    <row r="62338" spans="62:62" x14ac:dyDescent="0.2">
      <c r="BJ62338" s="201"/>
    </row>
    <row r="62339" spans="62:62" x14ac:dyDescent="0.2">
      <c r="BJ62339" s="201"/>
    </row>
    <row r="62340" spans="62:62" x14ac:dyDescent="0.2">
      <c r="BJ62340" s="201"/>
    </row>
    <row r="62341" spans="62:62" x14ac:dyDescent="0.2">
      <c r="BJ62341" s="201"/>
    </row>
    <row r="62342" spans="62:62" x14ac:dyDescent="0.2">
      <c r="BJ62342" s="201"/>
    </row>
    <row r="62343" spans="62:62" x14ac:dyDescent="0.2">
      <c r="BJ62343" s="201"/>
    </row>
    <row r="62344" spans="62:62" x14ac:dyDescent="0.2">
      <c r="BJ62344" s="201"/>
    </row>
    <row r="62345" spans="62:62" x14ac:dyDescent="0.2">
      <c r="BJ62345" s="201"/>
    </row>
    <row r="62346" spans="62:62" x14ac:dyDescent="0.2">
      <c r="BJ62346" s="201"/>
    </row>
    <row r="62347" spans="62:62" x14ac:dyDescent="0.2">
      <c r="BJ62347" s="201"/>
    </row>
    <row r="62348" spans="62:62" x14ac:dyDescent="0.2">
      <c r="BJ62348" s="201"/>
    </row>
    <row r="62349" spans="62:62" x14ac:dyDescent="0.2">
      <c r="BJ62349" s="201"/>
    </row>
    <row r="62350" spans="62:62" x14ac:dyDescent="0.2">
      <c r="BJ62350" s="201"/>
    </row>
    <row r="62351" spans="62:62" x14ac:dyDescent="0.2">
      <c r="BJ62351" s="201"/>
    </row>
    <row r="62352" spans="62:62" x14ac:dyDescent="0.2">
      <c r="BJ62352" s="201"/>
    </row>
    <row r="62353" spans="62:62" x14ac:dyDescent="0.2">
      <c r="BJ62353" s="201"/>
    </row>
    <row r="62354" spans="62:62" x14ac:dyDescent="0.2">
      <c r="BJ62354" s="201"/>
    </row>
    <row r="62355" spans="62:62" x14ac:dyDescent="0.2">
      <c r="BJ62355" s="201"/>
    </row>
    <row r="62356" spans="62:62" x14ac:dyDescent="0.2">
      <c r="BJ62356" s="201"/>
    </row>
    <row r="62357" spans="62:62" x14ac:dyDescent="0.2">
      <c r="BJ62357" s="201"/>
    </row>
    <row r="62358" spans="62:62" x14ac:dyDescent="0.2">
      <c r="BJ62358" s="201"/>
    </row>
    <row r="62359" spans="62:62" x14ac:dyDescent="0.2">
      <c r="BJ62359" s="201"/>
    </row>
    <row r="62360" spans="62:62" x14ac:dyDescent="0.2">
      <c r="BJ62360" s="201"/>
    </row>
    <row r="62361" spans="62:62" x14ac:dyDescent="0.2">
      <c r="BJ62361" s="201"/>
    </row>
    <row r="62362" spans="62:62" x14ac:dyDescent="0.2">
      <c r="BJ62362" s="201"/>
    </row>
    <row r="62363" spans="62:62" x14ac:dyDescent="0.2">
      <c r="BJ62363" s="201"/>
    </row>
    <row r="62364" spans="62:62" x14ac:dyDescent="0.2">
      <c r="BJ62364" s="201"/>
    </row>
    <row r="62365" spans="62:62" x14ac:dyDescent="0.2">
      <c r="BJ62365" s="201"/>
    </row>
    <row r="62366" spans="62:62" x14ac:dyDescent="0.2">
      <c r="BJ62366" s="201"/>
    </row>
    <row r="62367" spans="62:62" x14ac:dyDescent="0.2">
      <c r="BJ62367" s="201"/>
    </row>
    <row r="62368" spans="62:62" x14ac:dyDescent="0.2">
      <c r="BJ62368" s="201"/>
    </row>
    <row r="62369" spans="62:62" x14ac:dyDescent="0.2">
      <c r="BJ62369" s="201"/>
    </row>
    <row r="62370" spans="62:62" x14ac:dyDescent="0.2">
      <c r="BJ62370" s="201"/>
    </row>
    <row r="62371" spans="62:62" x14ac:dyDescent="0.2">
      <c r="BJ62371" s="201"/>
    </row>
    <row r="62372" spans="62:62" x14ac:dyDescent="0.2">
      <c r="BJ62372" s="201"/>
    </row>
    <row r="62373" spans="62:62" x14ac:dyDescent="0.2">
      <c r="BJ62373" s="201"/>
    </row>
    <row r="62374" spans="62:62" x14ac:dyDescent="0.2">
      <c r="BJ62374" s="201"/>
    </row>
    <row r="62375" spans="62:62" x14ac:dyDescent="0.2">
      <c r="BJ62375" s="201"/>
    </row>
    <row r="62376" spans="62:62" x14ac:dyDescent="0.2">
      <c r="BJ62376" s="201"/>
    </row>
    <row r="62377" spans="62:62" x14ac:dyDescent="0.2">
      <c r="BJ62377" s="201"/>
    </row>
    <row r="62378" spans="62:62" x14ac:dyDescent="0.2">
      <c r="BJ62378" s="201"/>
    </row>
    <row r="62379" spans="62:62" x14ac:dyDescent="0.2">
      <c r="BJ62379" s="201"/>
    </row>
    <row r="62380" spans="62:62" x14ac:dyDescent="0.2">
      <c r="BJ62380" s="201"/>
    </row>
    <row r="62381" spans="62:62" x14ac:dyDescent="0.2">
      <c r="BJ62381" s="201"/>
    </row>
    <row r="62382" spans="62:62" x14ac:dyDescent="0.2">
      <c r="BJ62382" s="201"/>
    </row>
    <row r="62383" spans="62:62" x14ac:dyDescent="0.2">
      <c r="BJ62383" s="201"/>
    </row>
    <row r="62384" spans="62:62" x14ac:dyDescent="0.2">
      <c r="BJ62384" s="201"/>
    </row>
    <row r="62385" spans="62:62" x14ac:dyDescent="0.2">
      <c r="BJ62385" s="201"/>
    </row>
    <row r="62386" spans="62:62" x14ac:dyDescent="0.2">
      <c r="BJ62386" s="201"/>
    </row>
    <row r="62387" spans="62:62" x14ac:dyDescent="0.2">
      <c r="BJ62387" s="201"/>
    </row>
    <row r="62388" spans="62:62" x14ac:dyDescent="0.2">
      <c r="BJ62388" s="201"/>
    </row>
    <row r="62389" spans="62:62" x14ac:dyDescent="0.2">
      <c r="BJ62389" s="201"/>
    </row>
    <row r="62390" spans="62:62" x14ac:dyDescent="0.2">
      <c r="BJ62390" s="201"/>
    </row>
    <row r="62391" spans="62:62" x14ac:dyDescent="0.2">
      <c r="BJ62391" s="201"/>
    </row>
    <row r="62392" spans="62:62" x14ac:dyDescent="0.2">
      <c r="BJ62392" s="201"/>
    </row>
    <row r="62393" spans="62:62" x14ac:dyDescent="0.2">
      <c r="BJ62393" s="201"/>
    </row>
    <row r="62394" spans="62:62" x14ac:dyDescent="0.2">
      <c r="BJ62394" s="201"/>
    </row>
    <row r="62395" spans="62:62" x14ac:dyDescent="0.2">
      <c r="BJ62395" s="201"/>
    </row>
    <row r="62396" spans="62:62" x14ac:dyDescent="0.2">
      <c r="BJ62396" s="201"/>
    </row>
    <row r="62397" spans="62:62" x14ac:dyDescent="0.2">
      <c r="BJ62397" s="201"/>
    </row>
    <row r="62398" spans="62:62" x14ac:dyDescent="0.2">
      <c r="BJ62398" s="201"/>
    </row>
    <row r="62399" spans="62:62" x14ac:dyDescent="0.2">
      <c r="BJ62399" s="201"/>
    </row>
    <row r="62400" spans="62:62" x14ac:dyDescent="0.2">
      <c r="BJ62400" s="201"/>
    </row>
    <row r="62401" spans="62:62" x14ac:dyDescent="0.2">
      <c r="BJ62401" s="201"/>
    </row>
    <row r="62402" spans="62:62" x14ac:dyDescent="0.2">
      <c r="BJ62402" s="201"/>
    </row>
    <row r="62403" spans="62:62" x14ac:dyDescent="0.2">
      <c r="BJ62403" s="201"/>
    </row>
    <row r="62404" spans="62:62" x14ac:dyDescent="0.2">
      <c r="BJ62404" s="201"/>
    </row>
    <row r="62405" spans="62:62" x14ac:dyDescent="0.2">
      <c r="BJ62405" s="201"/>
    </row>
    <row r="62406" spans="62:62" x14ac:dyDescent="0.2">
      <c r="BJ62406" s="201"/>
    </row>
    <row r="62407" spans="62:62" x14ac:dyDescent="0.2">
      <c r="BJ62407" s="201"/>
    </row>
    <row r="62408" spans="62:62" x14ac:dyDescent="0.2">
      <c r="BJ62408" s="201"/>
    </row>
    <row r="62409" spans="62:62" x14ac:dyDescent="0.2">
      <c r="BJ62409" s="201"/>
    </row>
    <row r="62410" spans="62:62" x14ac:dyDescent="0.2">
      <c r="BJ62410" s="201"/>
    </row>
    <row r="62411" spans="62:62" x14ac:dyDescent="0.2">
      <c r="BJ62411" s="201"/>
    </row>
    <row r="62412" spans="62:62" x14ac:dyDescent="0.2">
      <c r="BJ62412" s="201"/>
    </row>
    <row r="62413" spans="62:62" x14ac:dyDescent="0.2">
      <c r="BJ62413" s="201"/>
    </row>
    <row r="62414" spans="62:62" x14ac:dyDescent="0.2">
      <c r="BJ62414" s="201"/>
    </row>
    <row r="62415" spans="62:62" x14ac:dyDescent="0.2">
      <c r="BJ62415" s="201"/>
    </row>
    <row r="62416" spans="62:62" x14ac:dyDescent="0.2">
      <c r="BJ62416" s="201"/>
    </row>
    <row r="62417" spans="62:62" x14ac:dyDescent="0.2">
      <c r="BJ62417" s="201"/>
    </row>
    <row r="62418" spans="62:62" x14ac:dyDescent="0.2">
      <c r="BJ62418" s="201"/>
    </row>
    <row r="62419" spans="62:62" x14ac:dyDescent="0.2">
      <c r="BJ62419" s="201"/>
    </row>
    <row r="62420" spans="62:62" x14ac:dyDescent="0.2">
      <c r="BJ62420" s="201"/>
    </row>
    <row r="62421" spans="62:62" x14ac:dyDescent="0.2">
      <c r="BJ62421" s="201"/>
    </row>
    <row r="62422" spans="62:62" x14ac:dyDescent="0.2">
      <c r="BJ62422" s="201"/>
    </row>
    <row r="62423" spans="62:62" x14ac:dyDescent="0.2">
      <c r="BJ62423" s="201"/>
    </row>
    <row r="62424" spans="62:62" x14ac:dyDescent="0.2">
      <c r="BJ62424" s="201"/>
    </row>
    <row r="62425" spans="62:62" x14ac:dyDescent="0.2">
      <c r="BJ62425" s="201"/>
    </row>
    <row r="62426" spans="62:62" x14ac:dyDescent="0.2">
      <c r="BJ62426" s="201"/>
    </row>
    <row r="62427" spans="62:62" x14ac:dyDescent="0.2">
      <c r="BJ62427" s="201"/>
    </row>
    <row r="62428" spans="62:62" x14ac:dyDescent="0.2">
      <c r="BJ62428" s="201"/>
    </row>
    <row r="62429" spans="62:62" x14ac:dyDescent="0.2">
      <c r="BJ62429" s="201"/>
    </row>
    <row r="62430" spans="62:62" x14ac:dyDescent="0.2">
      <c r="BJ62430" s="201"/>
    </row>
    <row r="62431" spans="62:62" x14ac:dyDescent="0.2">
      <c r="BJ62431" s="201"/>
    </row>
    <row r="62432" spans="62:62" x14ac:dyDescent="0.2">
      <c r="BJ62432" s="201"/>
    </row>
    <row r="62433" spans="62:62" x14ac:dyDescent="0.2">
      <c r="BJ62433" s="201"/>
    </row>
    <row r="62434" spans="62:62" x14ac:dyDescent="0.2">
      <c r="BJ62434" s="201"/>
    </row>
    <row r="62435" spans="62:62" x14ac:dyDescent="0.2">
      <c r="BJ62435" s="201"/>
    </row>
    <row r="62436" spans="62:62" x14ac:dyDescent="0.2">
      <c r="BJ62436" s="201"/>
    </row>
    <row r="62437" spans="62:62" x14ac:dyDescent="0.2">
      <c r="BJ62437" s="201"/>
    </row>
    <row r="62438" spans="62:62" x14ac:dyDescent="0.2">
      <c r="BJ62438" s="201"/>
    </row>
    <row r="62439" spans="62:62" x14ac:dyDescent="0.2">
      <c r="BJ62439" s="201"/>
    </row>
    <row r="62440" spans="62:62" x14ac:dyDescent="0.2">
      <c r="BJ62440" s="201"/>
    </row>
    <row r="62441" spans="62:62" x14ac:dyDescent="0.2">
      <c r="BJ62441" s="201"/>
    </row>
    <row r="62442" spans="62:62" x14ac:dyDescent="0.2">
      <c r="BJ62442" s="201"/>
    </row>
    <row r="62443" spans="62:62" x14ac:dyDescent="0.2">
      <c r="BJ62443" s="201"/>
    </row>
    <row r="62444" spans="62:62" x14ac:dyDescent="0.2">
      <c r="BJ62444" s="201"/>
    </row>
    <row r="62445" spans="62:62" x14ac:dyDescent="0.2">
      <c r="BJ62445" s="201"/>
    </row>
    <row r="62446" spans="62:62" x14ac:dyDescent="0.2">
      <c r="BJ62446" s="201"/>
    </row>
    <row r="62447" spans="62:62" x14ac:dyDescent="0.2">
      <c r="BJ62447" s="201"/>
    </row>
    <row r="62448" spans="62:62" x14ac:dyDescent="0.2">
      <c r="BJ62448" s="201"/>
    </row>
    <row r="62449" spans="62:62" x14ac:dyDescent="0.2">
      <c r="BJ62449" s="201"/>
    </row>
    <row r="62450" spans="62:62" x14ac:dyDescent="0.2">
      <c r="BJ62450" s="201"/>
    </row>
    <row r="62451" spans="62:62" x14ac:dyDescent="0.2">
      <c r="BJ62451" s="201"/>
    </row>
    <row r="62452" spans="62:62" x14ac:dyDescent="0.2">
      <c r="BJ62452" s="201"/>
    </row>
    <row r="62453" spans="62:62" x14ac:dyDescent="0.2">
      <c r="BJ62453" s="201"/>
    </row>
    <row r="62454" spans="62:62" x14ac:dyDescent="0.2">
      <c r="BJ62454" s="201"/>
    </row>
    <row r="62455" spans="62:62" x14ac:dyDescent="0.2">
      <c r="BJ62455" s="201"/>
    </row>
    <row r="62456" spans="62:62" x14ac:dyDescent="0.2">
      <c r="BJ62456" s="201"/>
    </row>
    <row r="62457" spans="62:62" x14ac:dyDescent="0.2">
      <c r="BJ62457" s="201"/>
    </row>
    <row r="62458" spans="62:62" x14ac:dyDescent="0.2">
      <c r="BJ62458" s="201"/>
    </row>
    <row r="62459" spans="62:62" x14ac:dyDescent="0.2">
      <c r="BJ62459" s="201"/>
    </row>
    <row r="62460" spans="62:62" x14ac:dyDescent="0.2">
      <c r="BJ62460" s="201"/>
    </row>
    <row r="62461" spans="62:62" x14ac:dyDescent="0.2">
      <c r="BJ62461" s="201"/>
    </row>
    <row r="62462" spans="62:62" x14ac:dyDescent="0.2">
      <c r="BJ62462" s="201"/>
    </row>
    <row r="62463" spans="62:62" x14ac:dyDescent="0.2">
      <c r="BJ62463" s="201"/>
    </row>
    <row r="62464" spans="62:62" x14ac:dyDescent="0.2">
      <c r="BJ62464" s="201"/>
    </row>
    <row r="62465" spans="62:62" x14ac:dyDescent="0.2">
      <c r="BJ62465" s="201"/>
    </row>
    <row r="62466" spans="62:62" x14ac:dyDescent="0.2">
      <c r="BJ62466" s="201"/>
    </row>
    <row r="62467" spans="62:62" x14ac:dyDescent="0.2">
      <c r="BJ62467" s="201"/>
    </row>
    <row r="62468" spans="62:62" x14ac:dyDescent="0.2">
      <c r="BJ62468" s="201"/>
    </row>
    <row r="62469" spans="62:62" x14ac:dyDescent="0.2">
      <c r="BJ62469" s="201"/>
    </row>
    <row r="62470" spans="62:62" x14ac:dyDescent="0.2">
      <c r="BJ62470" s="201"/>
    </row>
    <row r="62471" spans="62:62" x14ac:dyDescent="0.2">
      <c r="BJ62471" s="201"/>
    </row>
    <row r="62472" spans="62:62" x14ac:dyDescent="0.2">
      <c r="BJ62472" s="201"/>
    </row>
    <row r="62473" spans="62:62" x14ac:dyDescent="0.2">
      <c r="BJ62473" s="201"/>
    </row>
    <row r="62474" spans="62:62" x14ac:dyDescent="0.2">
      <c r="BJ62474" s="201"/>
    </row>
    <row r="62475" spans="62:62" x14ac:dyDescent="0.2">
      <c r="BJ62475" s="201"/>
    </row>
    <row r="62476" spans="62:62" x14ac:dyDescent="0.2">
      <c r="BJ62476" s="201"/>
    </row>
    <row r="62477" spans="62:62" x14ac:dyDescent="0.2">
      <c r="BJ62477" s="201"/>
    </row>
    <row r="62478" spans="62:62" x14ac:dyDescent="0.2">
      <c r="BJ62478" s="201"/>
    </row>
    <row r="62479" spans="62:62" x14ac:dyDescent="0.2">
      <c r="BJ62479" s="201"/>
    </row>
    <row r="62480" spans="62:62" x14ac:dyDescent="0.2">
      <c r="BJ62480" s="201"/>
    </row>
    <row r="62481" spans="62:62" x14ac:dyDescent="0.2">
      <c r="BJ62481" s="201"/>
    </row>
    <row r="62482" spans="62:62" x14ac:dyDescent="0.2">
      <c r="BJ62482" s="201"/>
    </row>
    <row r="62483" spans="62:62" x14ac:dyDescent="0.2">
      <c r="BJ62483" s="201"/>
    </row>
    <row r="62484" spans="62:62" x14ac:dyDescent="0.2">
      <c r="BJ62484" s="201"/>
    </row>
    <row r="62485" spans="62:62" x14ac:dyDescent="0.2">
      <c r="BJ62485" s="201"/>
    </row>
    <row r="62486" spans="62:62" x14ac:dyDescent="0.2">
      <c r="BJ62486" s="201"/>
    </row>
    <row r="62487" spans="62:62" x14ac:dyDescent="0.2">
      <c r="BJ62487" s="201"/>
    </row>
    <row r="62488" spans="62:62" x14ac:dyDescent="0.2">
      <c r="BJ62488" s="201"/>
    </row>
    <row r="62489" spans="62:62" x14ac:dyDescent="0.2">
      <c r="BJ62489" s="201"/>
    </row>
    <row r="62490" spans="62:62" x14ac:dyDescent="0.2">
      <c r="BJ62490" s="201"/>
    </row>
    <row r="62491" spans="62:62" x14ac:dyDescent="0.2">
      <c r="BJ62491" s="201"/>
    </row>
    <row r="62492" spans="62:62" x14ac:dyDescent="0.2">
      <c r="BJ62492" s="201"/>
    </row>
    <row r="62493" spans="62:62" x14ac:dyDescent="0.2">
      <c r="BJ62493" s="201"/>
    </row>
    <row r="62494" spans="62:62" x14ac:dyDescent="0.2">
      <c r="BJ62494" s="201"/>
    </row>
    <row r="62495" spans="62:62" x14ac:dyDescent="0.2">
      <c r="BJ62495" s="201"/>
    </row>
    <row r="62496" spans="62:62" x14ac:dyDescent="0.2">
      <c r="BJ62496" s="201"/>
    </row>
    <row r="62497" spans="62:62" x14ac:dyDescent="0.2">
      <c r="BJ62497" s="201"/>
    </row>
    <row r="62498" spans="62:62" x14ac:dyDescent="0.2">
      <c r="BJ62498" s="201"/>
    </row>
    <row r="62499" spans="62:62" x14ac:dyDescent="0.2">
      <c r="BJ62499" s="201"/>
    </row>
    <row r="62500" spans="62:62" x14ac:dyDescent="0.2">
      <c r="BJ62500" s="201"/>
    </row>
    <row r="62501" spans="62:62" x14ac:dyDescent="0.2">
      <c r="BJ62501" s="201"/>
    </row>
    <row r="62502" spans="62:62" x14ac:dyDescent="0.2">
      <c r="BJ62502" s="201"/>
    </row>
    <row r="62503" spans="62:62" x14ac:dyDescent="0.2">
      <c r="BJ62503" s="201"/>
    </row>
    <row r="62504" spans="62:62" x14ac:dyDescent="0.2">
      <c r="BJ62504" s="201"/>
    </row>
    <row r="62505" spans="62:62" x14ac:dyDescent="0.2">
      <c r="BJ62505" s="201"/>
    </row>
    <row r="62506" spans="62:62" x14ac:dyDescent="0.2">
      <c r="BJ62506" s="201"/>
    </row>
    <row r="62507" spans="62:62" x14ac:dyDescent="0.2">
      <c r="BJ62507" s="201"/>
    </row>
    <row r="62508" spans="62:62" x14ac:dyDescent="0.2">
      <c r="BJ62508" s="201"/>
    </row>
    <row r="62509" spans="62:62" x14ac:dyDescent="0.2">
      <c r="BJ62509" s="201"/>
    </row>
    <row r="62510" spans="62:62" x14ac:dyDescent="0.2">
      <c r="BJ62510" s="201"/>
    </row>
    <row r="62511" spans="62:62" x14ac:dyDescent="0.2">
      <c r="BJ62511" s="201"/>
    </row>
    <row r="62512" spans="62:62" x14ac:dyDescent="0.2">
      <c r="BJ62512" s="201"/>
    </row>
    <row r="62513" spans="62:62" x14ac:dyDescent="0.2">
      <c r="BJ62513" s="201"/>
    </row>
    <row r="62514" spans="62:62" x14ac:dyDescent="0.2">
      <c r="BJ62514" s="201"/>
    </row>
    <row r="62515" spans="62:62" x14ac:dyDescent="0.2">
      <c r="BJ62515" s="201"/>
    </row>
    <row r="62516" spans="62:62" x14ac:dyDescent="0.2">
      <c r="BJ62516" s="201"/>
    </row>
    <row r="62517" spans="62:62" x14ac:dyDescent="0.2">
      <c r="BJ62517" s="201"/>
    </row>
    <row r="62518" spans="62:62" x14ac:dyDescent="0.2">
      <c r="BJ62518" s="201"/>
    </row>
    <row r="62519" spans="62:62" x14ac:dyDescent="0.2">
      <c r="BJ62519" s="201"/>
    </row>
    <row r="62520" spans="62:62" x14ac:dyDescent="0.2">
      <c r="BJ62520" s="201"/>
    </row>
    <row r="62521" spans="62:62" x14ac:dyDescent="0.2">
      <c r="BJ62521" s="201"/>
    </row>
    <row r="62522" spans="62:62" x14ac:dyDescent="0.2">
      <c r="BJ62522" s="201"/>
    </row>
    <row r="62523" spans="62:62" x14ac:dyDescent="0.2">
      <c r="BJ62523" s="201"/>
    </row>
    <row r="62524" spans="62:62" x14ac:dyDescent="0.2">
      <c r="BJ62524" s="201"/>
    </row>
    <row r="62525" spans="62:62" x14ac:dyDescent="0.2">
      <c r="BJ62525" s="201"/>
    </row>
    <row r="62526" spans="62:62" x14ac:dyDescent="0.2">
      <c r="BJ62526" s="201"/>
    </row>
    <row r="62527" spans="62:62" x14ac:dyDescent="0.2">
      <c r="BJ62527" s="201"/>
    </row>
    <row r="62528" spans="62:62" x14ac:dyDescent="0.2">
      <c r="BJ62528" s="201"/>
    </row>
    <row r="62529" spans="62:62" x14ac:dyDescent="0.2">
      <c r="BJ62529" s="201"/>
    </row>
    <row r="62530" spans="62:62" x14ac:dyDescent="0.2">
      <c r="BJ62530" s="201"/>
    </row>
    <row r="62531" spans="62:62" x14ac:dyDescent="0.2">
      <c r="BJ62531" s="201"/>
    </row>
    <row r="62532" spans="62:62" x14ac:dyDescent="0.2">
      <c r="BJ62532" s="201"/>
    </row>
    <row r="62533" spans="62:62" x14ac:dyDescent="0.2">
      <c r="BJ62533" s="201"/>
    </row>
    <row r="62534" spans="62:62" x14ac:dyDescent="0.2">
      <c r="BJ62534" s="201"/>
    </row>
    <row r="62535" spans="62:62" x14ac:dyDescent="0.2">
      <c r="BJ62535" s="201"/>
    </row>
    <row r="62536" spans="62:62" x14ac:dyDescent="0.2">
      <c r="BJ62536" s="201"/>
    </row>
    <row r="62537" spans="62:62" x14ac:dyDescent="0.2">
      <c r="BJ62537" s="201"/>
    </row>
    <row r="62538" spans="62:62" x14ac:dyDescent="0.2">
      <c r="BJ62538" s="201"/>
    </row>
    <row r="62539" spans="62:62" x14ac:dyDescent="0.2">
      <c r="BJ62539" s="201"/>
    </row>
    <row r="62540" spans="62:62" x14ac:dyDescent="0.2">
      <c r="BJ62540" s="201"/>
    </row>
    <row r="62541" spans="62:62" x14ac:dyDescent="0.2">
      <c r="BJ62541" s="201"/>
    </row>
    <row r="62542" spans="62:62" x14ac:dyDescent="0.2">
      <c r="BJ62542" s="201"/>
    </row>
    <row r="62543" spans="62:62" x14ac:dyDescent="0.2">
      <c r="BJ62543" s="201"/>
    </row>
    <row r="62544" spans="62:62" x14ac:dyDescent="0.2">
      <c r="BJ62544" s="201"/>
    </row>
    <row r="62545" spans="62:62" x14ac:dyDescent="0.2">
      <c r="BJ62545" s="201"/>
    </row>
    <row r="62546" spans="62:62" x14ac:dyDescent="0.2">
      <c r="BJ62546" s="201"/>
    </row>
    <row r="62547" spans="62:62" x14ac:dyDescent="0.2">
      <c r="BJ62547" s="201"/>
    </row>
    <row r="62548" spans="62:62" x14ac:dyDescent="0.2">
      <c r="BJ62548" s="201"/>
    </row>
    <row r="62549" spans="62:62" x14ac:dyDescent="0.2">
      <c r="BJ62549" s="201"/>
    </row>
    <row r="62550" spans="62:62" x14ac:dyDescent="0.2">
      <c r="BJ62550" s="201"/>
    </row>
    <row r="62551" spans="62:62" x14ac:dyDescent="0.2">
      <c r="BJ62551" s="201"/>
    </row>
    <row r="62552" spans="62:62" x14ac:dyDescent="0.2">
      <c r="BJ62552" s="201"/>
    </row>
    <row r="62553" spans="62:62" x14ac:dyDescent="0.2">
      <c r="BJ62553" s="201"/>
    </row>
    <row r="62554" spans="62:62" x14ac:dyDescent="0.2">
      <c r="BJ62554" s="201"/>
    </row>
    <row r="62555" spans="62:62" x14ac:dyDescent="0.2">
      <c r="BJ62555" s="201"/>
    </row>
    <row r="62556" spans="62:62" x14ac:dyDescent="0.2">
      <c r="BJ62556" s="201"/>
    </row>
    <row r="62557" spans="62:62" x14ac:dyDescent="0.2">
      <c r="BJ62557" s="201"/>
    </row>
    <row r="62558" spans="62:62" x14ac:dyDescent="0.2">
      <c r="BJ62558" s="201"/>
    </row>
    <row r="62559" spans="62:62" x14ac:dyDescent="0.2">
      <c r="BJ62559" s="201"/>
    </row>
    <row r="62560" spans="62:62" x14ac:dyDescent="0.2">
      <c r="BJ62560" s="201"/>
    </row>
    <row r="62561" spans="62:62" x14ac:dyDescent="0.2">
      <c r="BJ62561" s="201"/>
    </row>
    <row r="62562" spans="62:62" x14ac:dyDescent="0.2">
      <c r="BJ62562" s="201"/>
    </row>
    <row r="62563" spans="62:62" x14ac:dyDescent="0.2">
      <c r="BJ62563" s="201"/>
    </row>
    <row r="62564" spans="62:62" x14ac:dyDescent="0.2">
      <c r="BJ62564" s="201"/>
    </row>
    <row r="62565" spans="62:62" x14ac:dyDescent="0.2">
      <c r="BJ62565" s="201"/>
    </row>
    <row r="62566" spans="62:62" x14ac:dyDescent="0.2">
      <c r="BJ62566" s="201"/>
    </row>
    <row r="62567" spans="62:62" x14ac:dyDescent="0.2">
      <c r="BJ62567" s="201"/>
    </row>
    <row r="62568" spans="62:62" x14ac:dyDescent="0.2">
      <c r="BJ62568" s="201"/>
    </row>
    <row r="62569" spans="62:62" x14ac:dyDescent="0.2">
      <c r="BJ62569" s="201"/>
    </row>
    <row r="62570" spans="62:62" x14ac:dyDescent="0.2">
      <c r="BJ62570" s="201"/>
    </row>
    <row r="62571" spans="62:62" x14ac:dyDescent="0.2">
      <c r="BJ62571" s="201"/>
    </row>
    <row r="62572" spans="62:62" x14ac:dyDescent="0.2">
      <c r="BJ62572" s="201"/>
    </row>
    <row r="62573" spans="62:62" x14ac:dyDescent="0.2">
      <c r="BJ62573" s="201"/>
    </row>
    <row r="62574" spans="62:62" x14ac:dyDescent="0.2">
      <c r="BJ62574" s="201"/>
    </row>
    <row r="62575" spans="62:62" x14ac:dyDescent="0.2">
      <c r="BJ62575" s="201"/>
    </row>
    <row r="62576" spans="62:62" x14ac:dyDescent="0.2">
      <c r="BJ62576" s="201"/>
    </row>
    <row r="62577" spans="62:62" x14ac:dyDescent="0.2">
      <c r="BJ62577" s="201"/>
    </row>
    <row r="62578" spans="62:62" x14ac:dyDescent="0.2">
      <c r="BJ62578" s="201"/>
    </row>
    <row r="62579" spans="62:62" x14ac:dyDescent="0.2">
      <c r="BJ62579" s="201"/>
    </row>
    <row r="62580" spans="62:62" x14ac:dyDescent="0.2">
      <c r="BJ62580" s="201"/>
    </row>
    <row r="62581" spans="62:62" x14ac:dyDescent="0.2">
      <c r="BJ62581" s="201"/>
    </row>
    <row r="62582" spans="62:62" x14ac:dyDescent="0.2">
      <c r="BJ62582" s="201"/>
    </row>
    <row r="62583" spans="62:62" x14ac:dyDescent="0.2">
      <c r="BJ62583" s="201"/>
    </row>
    <row r="62584" spans="62:62" x14ac:dyDescent="0.2">
      <c r="BJ62584" s="201"/>
    </row>
    <row r="62585" spans="62:62" x14ac:dyDescent="0.2">
      <c r="BJ62585" s="201"/>
    </row>
    <row r="62586" spans="62:62" x14ac:dyDescent="0.2">
      <c r="BJ62586" s="201"/>
    </row>
    <row r="62587" spans="62:62" x14ac:dyDescent="0.2">
      <c r="BJ62587" s="201"/>
    </row>
    <row r="62588" spans="62:62" x14ac:dyDescent="0.2">
      <c r="BJ62588" s="201"/>
    </row>
    <row r="62589" spans="62:62" x14ac:dyDescent="0.2">
      <c r="BJ62589" s="201"/>
    </row>
    <row r="62590" spans="62:62" x14ac:dyDescent="0.2">
      <c r="BJ62590" s="201"/>
    </row>
    <row r="62591" spans="62:62" x14ac:dyDescent="0.2">
      <c r="BJ62591" s="201"/>
    </row>
    <row r="62592" spans="62:62" x14ac:dyDescent="0.2">
      <c r="BJ62592" s="201"/>
    </row>
    <row r="62593" spans="62:62" x14ac:dyDescent="0.2">
      <c r="BJ62593" s="201"/>
    </row>
    <row r="62594" spans="62:62" x14ac:dyDescent="0.2">
      <c r="BJ62594" s="201"/>
    </row>
    <row r="62595" spans="62:62" x14ac:dyDescent="0.2">
      <c r="BJ62595" s="201"/>
    </row>
    <row r="62596" spans="62:62" x14ac:dyDescent="0.2">
      <c r="BJ62596" s="201"/>
    </row>
    <row r="62597" spans="62:62" x14ac:dyDescent="0.2">
      <c r="BJ62597" s="201"/>
    </row>
    <row r="62598" spans="62:62" x14ac:dyDescent="0.2">
      <c r="BJ62598" s="201"/>
    </row>
    <row r="62599" spans="62:62" x14ac:dyDescent="0.2">
      <c r="BJ62599" s="201"/>
    </row>
    <row r="62600" spans="62:62" x14ac:dyDescent="0.2">
      <c r="BJ62600" s="201"/>
    </row>
    <row r="62601" spans="62:62" x14ac:dyDescent="0.2">
      <c r="BJ62601" s="201"/>
    </row>
    <row r="62602" spans="62:62" x14ac:dyDescent="0.2">
      <c r="BJ62602" s="201"/>
    </row>
    <row r="62603" spans="62:62" x14ac:dyDescent="0.2">
      <c r="BJ62603" s="201"/>
    </row>
    <row r="62604" spans="62:62" x14ac:dyDescent="0.2">
      <c r="BJ62604" s="201"/>
    </row>
    <row r="62605" spans="62:62" x14ac:dyDescent="0.2">
      <c r="BJ62605" s="201"/>
    </row>
    <row r="62606" spans="62:62" x14ac:dyDescent="0.2">
      <c r="BJ62606" s="201"/>
    </row>
    <row r="62607" spans="62:62" x14ac:dyDescent="0.2">
      <c r="BJ62607" s="201"/>
    </row>
    <row r="62608" spans="62:62" x14ac:dyDescent="0.2">
      <c r="BJ62608" s="201"/>
    </row>
    <row r="62609" spans="62:62" x14ac:dyDescent="0.2">
      <c r="BJ62609" s="201"/>
    </row>
    <row r="62610" spans="62:62" x14ac:dyDescent="0.2">
      <c r="BJ62610" s="201"/>
    </row>
    <row r="62611" spans="62:62" x14ac:dyDescent="0.2">
      <c r="BJ62611" s="201"/>
    </row>
    <row r="62612" spans="62:62" x14ac:dyDescent="0.2">
      <c r="BJ62612" s="201"/>
    </row>
    <row r="62613" spans="62:62" x14ac:dyDescent="0.2">
      <c r="BJ62613" s="201"/>
    </row>
    <row r="62614" spans="62:62" x14ac:dyDescent="0.2">
      <c r="BJ62614" s="201"/>
    </row>
    <row r="62615" spans="62:62" x14ac:dyDescent="0.2">
      <c r="BJ62615" s="201"/>
    </row>
    <row r="62616" spans="62:62" x14ac:dyDescent="0.2">
      <c r="BJ62616" s="201"/>
    </row>
    <row r="62617" spans="62:62" x14ac:dyDescent="0.2">
      <c r="BJ62617" s="201"/>
    </row>
    <row r="62618" spans="62:62" x14ac:dyDescent="0.2">
      <c r="BJ62618" s="201"/>
    </row>
    <row r="62619" spans="62:62" x14ac:dyDescent="0.2">
      <c r="BJ62619" s="201"/>
    </row>
    <row r="62620" spans="62:62" x14ac:dyDescent="0.2">
      <c r="BJ62620" s="201"/>
    </row>
    <row r="62621" spans="62:62" x14ac:dyDescent="0.2">
      <c r="BJ62621" s="201"/>
    </row>
    <row r="62622" spans="62:62" x14ac:dyDescent="0.2">
      <c r="BJ62622" s="201"/>
    </row>
    <row r="62623" spans="62:62" x14ac:dyDescent="0.2">
      <c r="BJ62623" s="201"/>
    </row>
    <row r="62624" spans="62:62" x14ac:dyDescent="0.2">
      <c r="BJ62624" s="201"/>
    </row>
    <row r="62625" spans="62:62" x14ac:dyDescent="0.2">
      <c r="BJ62625" s="201"/>
    </row>
    <row r="62626" spans="62:62" x14ac:dyDescent="0.2">
      <c r="BJ62626" s="201"/>
    </row>
    <row r="62627" spans="62:62" x14ac:dyDescent="0.2">
      <c r="BJ62627" s="201"/>
    </row>
    <row r="62628" spans="62:62" x14ac:dyDescent="0.2">
      <c r="BJ62628" s="201"/>
    </row>
    <row r="62629" spans="62:62" x14ac:dyDescent="0.2">
      <c r="BJ62629" s="201"/>
    </row>
    <row r="62630" spans="62:62" x14ac:dyDescent="0.2">
      <c r="BJ62630" s="201"/>
    </row>
    <row r="62631" spans="62:62" x14ac:dyDescent="0.2">
      <c r="BJ62631" s="201"/>
    </row>
    <row r="62632" spans="62:62" x14ac:dyDescent="0.2">
      <c r="BJ62632" s="201"/>
    </row>
    <row r="62633" spans="62:62" x14ac:dyDescent="0.2">
      <c r="BJ62633" s="201"/>
    </row>
    <row r="62634" spans="62:62" x14ac:dyDescent="0.2">
      <c r="BJ62634" s="201"/>
    </row>
    <row r="62635" spans="62:62" x14ac:dyDescent="0.2">
      <c r="BJ62635" s="201"/>
    </row>
    <row r="62636" spans="62:62" x14ac:dyDescent="0.2">
      <c r="BJ62636" s="201"/>
    </row>
    <row r="62637" spans="62:62" x14ac:dyDescent="0.2">
      <c r="BJ62637" s="201"/>
    </row>
    <row r="62638" spans="62:62" x14ac:dyDescent="0.2">
      <c r="BJ62638" s="201"/>
    </row>
    <row r="62639" spans="62:62" x14ac:dyDescent="0.2">
      <c r="BJ62639" s="201"/>
    </row>
    <row r="62640" spans="62:62" x14ac:dyDescent="0.2">
      <c r="BJ62640" s="201"/>
    </row>
    <row r="62641" spans="62:62" x14ac:dyDescent="0.2">
      <c r="BJ62641" s="201"/>
    </row>
    <row r="62642" spans="62:62" x14ac:dyDescent="0.2">
      <c r="BJ62642" s="201"/>
    </row>
    <row r="62643" spans="62:62" x14ac:dyDescent="0.2">
      <c r="BJ62643" s="201"/>
    </row>
    <row r="62644" spans="62:62" x14ac:dyDescent="0.2">
      <c r="BJ62644" s="201"/>
    </row>
    <row r="62645" spans="62:62" x14ac:dyDescent="0.2">
      <c r="BJ62645" s="201"/>
    </row>
    <row r="62646" spans="62:62" x14ac:dyDescent="0.2">
      <c r="BJ62646" s="201"/>
    </row>
    <row r="62647" spans="62:62" x14ac:dyDescent="0.2">
      <c r="BJ62647" s="201"/>
    </row>
    <row r="62648" spans="62:62" x14ac:dyDescent="0.2">
      <c r="BJ62648" s="201"/>
    </row>
    <row r="62649" spans="62:62" x14ac:dyDescent="0.2">
      <c r="BJ62649" s="201"/>
    </row>
    <row r="62650" spans="62:62" x14ac:dyDescent="0.2">
      <c r="BJ62650" s="201"/>
    </row>
    <row r="62651" spans="62:62" x14ac:dyDescent="0.2">
      <c r="BJ62651" s="201"/>
    </row>
    <row r="62652" spans="62:62" x14ac:dyDescent="0.2">
      <c r="BJ62652" s="201"/>
    </row>
    <row r="62653" spans="62:62" x14ac:dyDescent="0.2">
      <c r="BJ62653" s="201"/>
    </row>
    <row r="62654" spans="62:62" x14ac:dyDescent="0.2">
      <c r="BJ62654" s="201"/>
    </row>
    <row r="62655" spans="62:62" x14ac:dyDescent="0.2">
      <c r="BJ62655" s="201"/>
    </row>
    <row r="62656" spans="62:62" x14ac:dyDescent="0.2">
      <c r="BJ62656" s="201"/>
    </row>
    <row r="62657" spans="62:62" x14ac:dyDescent="0.2">
      <c r="BJ62657" s="201"/>
    </row>
    <row r="62658" spans="62:62" x14ac:dyDescent="0.2">
      <c r="BJ62658" s="201"/>
    </row>
    <row r="62659" spans="62:62" x14ac:dyDescent="0.2">
      <c r="BJ62659" s="201"/>
    </row>
    <row r="62660" spans="62:62" x14ac:dyDescent="0.2">
      <c r="BJ62660" s="201"/>
    </row>
    <row r="62661" spans="62:62" x14ac:dyDescent="0.2">
      <c r="BJ62661" s="201"/>
    </row>
    <row r="62662" spans="62:62" x14ac:dyDescent="0.2">
      <c r="BJ62662" s="201"/>
    </row>
    <row r="62663" spans="62:62" x14ac:dyDescent="0.2">
      <c r="BJ62663" s="201"/>
    </row>
    <row r="62664" spans="62:62" x14ac:dyDescent="0.2">
      <c r="BJ62664" s="201"/>
    </row>
    <row r="62665" spans="62:62" x14ac:dyDescent="0.2">
      <c r="BJ62665" s="201"/>
    </row>
    <row r="62666" spans="62:62" x14ac:dyDescent="0.2">
      <c r="BJ62666" s="201"/>
    </row>
    <row r="62667" spans="62:62" x14ac:dyDescent="0.2">
      <c r="BJ62667" s="201"/>
    </row>
    <row r="62668" spans="62:62" x14ac:dyDescent="0.2">
      <c r="BJ62668" s="201"/>
    </row>
    <row r="62669" spans="62:62" x14ac:dyDescent="0.2">
      <c r="BJ62669" s="201"/>
    </row>
    <row r="62670" spans="62:62" x14ac:dyDescent="0.2">
      <c r="BJ62670" s="201"/>
    </row>
    <row r="62671" spans="62:62" x14ac:dyDescent="0.2">
      <c r="BJ62671" s="201"/>
    </row>
    <row r="62672" spans="62:62" x14ac:dyDescent="0.2">
      <c r="BJ62672" s="201"/>
    </row>
    <row r="62673" spans="62:62" x14ac:dyDescent="0.2">
      <c r="BJ62673" s="201"/>
    </row>
    <row r="62674" spans="62:62" x14ac:dyDescent="0.2">
      <c r="BJ62674" s="201"/>
    </row>
    <row r="62675" spans="62:62" x14ac:dyDescent="0.2">
      <c r="BJ62675" s="201"/>
    </row>
    <row r="62676" spans="62:62" x14ac:dyDescent="0.2">
      <c r="BJ62676" s="201"/>
    </row>
    <row r="62677" spans="62:62" x14ac:dyDescent="0.2">
      <c r="BJ62677" s="201"/>
    </row>
    <row r="62678" spans="62:62" x14ac:dyDescent="0.2">
      <c r="BJ62678" s="201"/>
    </row>
    <row r="62679" spans="62:62" x14ac:dyDescent="0.2">
      <c r="BJ62679" s="201"/>
    </row>
    <row r="62680" spans="62:62" x14ac:dyDescent="0.2">
      <c r="BJ62680" s="201"/>
    </row>
    <row r="62681" spans="62:62" x14ac:dyDescent="0.2">
      <c r="BJ62681" s="201"/>
    </row>
    <row r="62682" spans="62:62" x14ac:dyDescent="0.2">
      <c r="BJ62682" s="201"/>
    </row>
    <row r="62683" spans="62:62" x14ac:dyDescent="0.2">
      <c r="BJ62683" s="201"/>
    </row>
    <row r="62684" spans="62:62" x14ac:dyDescent="0.2">
      <c r="BJ62684" s="201"/>
    </row>
    <row r="62685" spans="62:62" x14ac:dyDescent="0.2">
      <c r="BJ62685" s="201"/>
    </row>
    <row r="62686" spans="62:62" x14ac:dyDescent="0.2">
      <c r="BJ62686" s="201"/>
    </row>
    <row r="62687" spans="62:62" x14ac:dyDescent="0.2">
      <c r="BJ62687" s="201"/>
    </row>
    <row r="62688" spans="62:62" x14ac:dyDescent="0.2">
      <c r="BJ62688" s="201"/>
    </row>
    <row r="62689" spans="62:62" x14ac:dyDescent="0.2">
      <c r="BJ62689" s="201"/>
    </row>
    <row r="62690" spans="62:62" x14ac:dyDescent="0.2">
      <c r="BJ62690" s="201"/>
    </row>
    <row r="62691" spans="62:62" x14ac:dyDescent="0.2">
      <c r="BJ62691" s="201"/>
    </row>
    <row r="62692" spans="62:62" x14ac:dyDescent="0.2">
      <c r="BJ62692" s="201"/>
    </row>
    <row r="62693" spans="62:62" x14ac:dyDescent="0.2">
      <c r="BJ62693" s="201"/>
    </row>
    <row r="62694" spans="62:62" x14ac:dyDescent="0.2">
      <c r="BJ62694" s="201"/>
    </row>
    <row r="62695" spans="62:62" x14ac:dyDescent="0.2">
      <c r="BJ62695" s="201"/>
    </row>
    <row r="62696" spans="62:62" x14ac:dyDescent="0.2">
      <c r="BJ62696" s="201"/>
    </row>
    <row r="62697" spans="62:62" x14ac:dyDescent="0.2">
      <c r="BJ62697" s="201"/>
    </row>
    <row r="62698" spans="62:62" x14ac:dyDescent="0.2">
      <c r="BJ62698" s="201"/>
    </row>
    <row r="62699" spans="62:62" x14ac:dyDescent="0.2">
      <c r="BJ62699" s="201"/>
    </row>
    <row r="62700" spans="62:62" x14ac:dyDescent="0.2">
      <c r="BJ62700" s="201"/>
    </row>
    <row r="62701" spans="62:62" x14ac:dyDescent="0.2">
      <c r="BJ62701" s="201"/>
    </row>
    <row r="62702" spans="62:62" x14ac:dyDescent="0.2">
      <c r="BJ62702" s="201"/>
    </row>
    <row r="62703" spans="62:62" x14ac:dyDescent="0.2">
      <c r="BJ62703" s="201"/>
    </row>
    <row r="62704" spans="62:62" x14ac:dyDescent="0.2">
      <c r="BJ62704" s="201"/>
    </row>
    <row r="62705" spans="62:62" x14ac:dyDescent="0.2">
      <c r="BJ62705" s="201"/>
    </row>
    <row r="62706" spans="62:62" x14ac:dyDescent="0.2">
      <c r="BJ62706" s="201"/>
    </row>
    <row r="62707" spans="62:62" x14ac:dyDescent="0.2">
      <c r="BJ62707" s="201"/>
    </row>
    <row r="62708" spans="62:62" x14ac:dyDescent="0.2">
      <c r="BJ62708" s="201"/>
    </row>
    <row r="62709" spans="62:62" x14ac:dyDescent="0.2">
      <c r="BJ62709" s="201"/>
    </row>
    <row r="62710" spans="62:62" x14ac:dyDescent="0.2">
      <c r="BJ62710" s="201"/>
    </row>
    <row r="62711" spans="62:62" x14ac:dyDescent="0.2">
      <c r="BJ62711" s="201"/>
    </row>
    <row r="62712" spans="62:62" x14ac:dyDescent="0.2">
      <c r="BJ62712" s="201"/>
    </row>
    <row r="62713" spans="62:62" x14ac:dyDescent="0.2">
      <c r="BJ62713" s="201"/>
    </row>
    <row r="62714" spans="62:62" x14ac:dyDescent="0.2">
      <c r="BJ62714" s="201"/>
    </row>
    <row r="62715" spans="62:62" x14ac:dyDescent="0.2">
      <c r="BJ62715" s="201"/>
    </row>
    <row r="62716" spans="62:62" x14ac:dyDescent="0.2">
      <c r="BJ62716" s="201"/>
    </row>
    <row r="62717" spans="62:62" x14ac:dyDescent="0.2">
      <c r="BJ62717" s="201"/>
    </row>
    <row r="62718" spans="62:62" x14ac:dyDescent="0.2">
      <c r="BJ62718" s="201"/>
    </row>
    <row r="62719" spans="62:62" x14ac:dyDescent="0.2">
      <c r="BJ62719" s="201"/>
    </row>
    <row r="62720" spans="62:62" x14ac:dyDescent="0.2">
      <c r="BJ62720" s="201"/>
    </row>
    <row r="62721" spans="62:62" x14ac:dyDescent="0.2">
      <c r="BJ62721" s="201"/>
    </row>
    <row r="62722" spans="62:62" x14ac:dyDescent="0.2">
      <c r="BJ62722" s="201"/>
    </row>
    <row r="62723" spans="62:62" x14ac:dyDescent="0.2">
      <c r="BJ62723" s="201"/>
    </row>
    <row r="62724" spans="62:62" x14ac:dyDescent="0.2">
      <c r="BJ62724" s="201"/>
    </row>
    <row r="62725" spans="62:62" x14ac:dyDescent="0.2">
      <c r="BJ62725" s="201"/>
    </row>
    <row r="62726" spans="62:62" x14ac:dyDescent="0.2">
      <c r="BJ62726" s="201"/>
    </row>
    <row r="62727" spans="62:62" x14ac:dyDescent="0.2">
      <c r="BJ62727" s="201"/>
    </row>
    <row r="62728" spans="62:62" x14ac:dyDescent="0.2">
      <c r="BJ62728" s="201"/>
    </row>
    <row r="62729" spans="62:62" x14ac:dyDescent="0.2">
      <c r="BJ62729" s="201"/>
    </row>
    <row r="62730" spans="62:62" x14ac:dyDescent="0.2">
      <c r="BJ62730" s="201"/>
    </row>
    <row r="62731" spans="62:62" x14ac:dyDescent="0.2">
      <c r="BJ62731" s="201"/>
    </row>
    <row r="62732" spans="62:62" x14ac:dyDescent="0.2">
      <c r="BJ62732" s="201"/>
    </row>
    <row r="62733" spans="62:62" x14ac:dyDescent="0.2">
      <c r="BJ62733" s="201"/>
    </row>
    <row r="62734" spans="62:62" x14ac:dyDescent="0.2">
      <c r="BJ62734" s="201"/>
    </row>
    <row r="62735" spans="62:62" x14ac:dyDescent="0.2">
      <c r="BJ62735" s="201"/>
    </row>
    <row r="62736" spans="62:62" x14ac:dyDescent="0.2">
      <c r="BJ62736" s="201"/>
    </row>
    <row r="62737" spans="62:62" x14ac:dyDescent="0.2">
      <c r="BJ62737" s="201"/>
    </row>
    <row r="62738" spans="62:62" x14ac:dyDescent="0.2">
      <c r="BJ62738" s="201"/>
    </row>
    <row r="62739" spans="62:62" x14ac:dyDescent="0.2">
      <c r="BJ62739" s="201"/>
    </row>
    <row r="62740" spans="62:62" x14ac:dyDescent="0.2">
      <c r="BJ62740" s="201"/>
    </row>
    <row r="62741" spans="62:62" x14ac:dyDescent="0.2">
      <c r="BJ62741" s="201"/>
    </row>
    <row r="62742" spans="62:62" x14ac:dyDescent="0.2">
      <c r="BJ62742" s="201"/>
    </row>
    <row r="62743" spans="62:62" x14ac:dyDescent="0.2">
      <c r="BJ62743" s="201"/>
    </row>
    <row r="62744" spans="62:62" x14ac:dyDescent="0.2">
      <c r="BJ62744" s="201"/>
    </row>
    <row r="62745" spans="62:62" x14ac:dyDescent="0.2">
      <c r="BJ62745" s="201"/>
    </row>
    <row r="62746" spans="62:62" x14ac:dyDescent="0.2">
      <c r="BJ62746" s="201"/>
    </row>
    <row r="62747" spans="62:62" x14ac:dyDescent="0.2">
      <c r="BJ62747" s="201"/>
    </row>
    <row r="62748" spans="62:62" x14ac:dyDescent="0.2">
      <c r="BJ62748" s="201"/>
    </row>
    <row r="62749" spans="62:62" x14ac:dyDescent="0.2">
      <c r="BJ62749" s="201"/>
    </row>
    <row r="62750" spans="62:62" x14ac:dyDescent="0.2">
      <c r="BJ62750" s="201"/>
    </row>
    <row r="62751" spans="62:62" x14ac:dyDescent="0.2">
      <c r="BJ62751" s="201"/>
    </row>
    <row r="62752" spans="62:62" x14ac:dyDescent="0.2">
      <c r="BJ62752" s="201"/>
    </row>
    <row r="62753" spans="62:62" x14ac:dyDescent="0.2">
      <c r="BJ62753" s="201"/>
    </row>
    <row r="62754" spans="62:62" x14ac:dyDescent="0.2">
      <c r="BJ62754" s="201"/>
    </row>
    <row r="62755" spans="62:62" x14ac:dyDescent="0.2">
      <c r="BJ62755" s="201"/>
    </row>
    <row r="62756" spans="62:62" x14ac:dyDescent="0.2">
      <c r="BJ62756" s="201"/>
    </row>
    <row r="62757" spans="62:62" x14ac:dyDescent="0.2">
      <c r="BJ62757" s="201"/>
    </row>
    <row r="62758" spans="62:62" x14ac:dyDescent="0.2">
      <c r="BJ62758" s="201"/>
    </row>
    <row r="62759" spans="62:62" x14ac:dyDescent="0.2">
      <c r="BJ62759" s="201"/>
    </row>
    <row r="62760" spans="62:62" x14ac:dyDescent="0.2">
      <c r="BJ62760" s="201"/>
    </row>
    <row r="62761" spans="62:62" x14ac:dyDescent="0.2">
      <c r="BJ62761" s="201"/>
    </row>
    <row r="62762" spans="62:62" x14ac:dyDescent="0.2">
      <c r="BJ62762" s="201"/>
    </row>
    <row r="62763" spans="62:62" x14ac:dyDescent="0.2">
      <c r="BJ62763" s="201"/>
    </row>
    <row r="62764" spans="62:62" x14ac:dyDescent="0.2">
      <c r="BJ62764" s="201"/>
    </row>
    <row r="62765" spans="62:62" x14ac:dyDescent="0.2">
      <c r="BJ62765" s="201"/>
    </row>
    <row r="62766" spans="62:62" x14ac:dyDescent="0.2">
      <c r="BJ62766" s="201"/>
    </row>
    <row r="62767" spans="62:62" x14ac:dyDescent="0.2">
      <c r="BJ62767" s="201"/>
    </row>
    <row r="62768" spans="62:62" x14ac:dyDescent="0.2">
      <c r="BJ62768" s="201"/>
    </row>
    <row r="62769" spans="62:62" x14ac:dyDescent="0.2">
      <c r="BJ62769" s="201"/>
    </row>
    <row r="62770" spans="62:62" x14ac:dyDescent="0.2">
      <c r="BJ62770" s="201"/>
    </row>
    <row r="62771" spans="62:62" x14ac:dyDescent="0.2">
      <c r="BJ62771" s="201"/>
    </row>
    <row r="62772" spans="62:62" x14ac:dyDescent="0.2">
      <c r="BJ62772" s="201"/>
    </row>
    <row r="62773" spans="62:62" x14ac:dyDescent="0.2">
      <c r="BJ62773" s="201"/>
    </row>
    <row r="62774" spans="62:62" x14ac:dyDescent="0.2">
      <c r="BJ62774" s="201"/>
    </row>
    <row r="62775" spans="62:62" x14ac:dyDescent="0.2">
      <c r="BJ62775" s="201"/>
    </row>
    <row r="62776" spans="62:62" x14ac:dyDescent="0.2">
      <c r="BJ62776" s="201"/>
    </row>
    <row r="62777" spans="62:62" x14ac:dyDescent="0.2">
      <c r="BJ62777" s="201"/>
    </row>
    <row r="62778" spans="62:62" x14ac:dyDescent="0.2">
      <c r="BJ62778" s="201"/>
    </row>
    <row r="62779" spans="62:62" x14ac:dyDescent="0.2">
      <c r="BJ62779" s="201"/>
    </row>
    <row r="62780" spans="62:62" x14ac:dyDescent="0.2">
      <c r="BJ62780" s="201"/>
    </row>
    <row r="62781" spans="62:62" x14ac:dyDescent="0.2">
      <c r="BJ62781" s="201"/>
    </row>
    <row r="62782" spans="62:62" x14ac:dyDescent="0.2">
      <c r="BJ62782" s="201"/>
    </row>
    <row r="62783" spans="62:62" x14ac:dyDescent="0.2">
      <c r="BJ62783" s="201"/>
    </row>
    <row r="62784" spans="62:62" x14ac:dyDescent="0.2">
      <c r="BJ62784" s="201"/>
    </row>
    <row r="62785" spans="62:62" x14ac:dyDescent="0.2">
      <c r="BJ62785" s="201"/>
    </row>
    <row r="62786" spans="62:62" x14ac:dyDescent="0.2">
      <c r="BJ62786" s="201"/>
    </row>
    <row r="62787" spans="62:62" x14ac:dyDescent="0.2">
      <c r="BJ62787" s="201"/>
    </row>
    <row r="62788" spans="62:62" x14ac:dyDescent="0.2">
      <c r="BJ62788" s="201"/>
    </row>
    <row r="62789" spans="62:62" x14ac:dyDescent="0.2">
      <c r="BJ62789" s="201"/>
    </row>
    <row r="62790" spans="62:62" x14ac:dyDescent="0.2">
      <c r="BJ62790" s="201"/>
    </row>
    <row r="62791" spans="62:62" x14ac:dyDescent="0.2">
      <c r="BJ62791" s="201"/>
    </row>
    <row r="62792" spans="62:62" x14ac:dyDescent="0.2">
      <c r="BJ62792" s="201"/>
    </row>
    <row r="62793" spans="62:62" x14ac:dyDescent="0.2">
      <c r="BJ62793" s="201"/>
    </row>
    <row r="62794" spans="62:62" x14ac:dyDescent="0.2">
      <c r="BJ62794" s="201"/>
    </row>
    <row r="62795" spans="62:62" x14ac:dyDescent="0.2">
      <c r="BJ62795" s="201"/>
    </row>
    <row r="62796" spans="62:62" x14ac:dyDescent="0.2">
      <c r="BJ62796" s="201"/>
    </row>
    <row r="62797" spans="62:62" x14ac:dyDescent="0.2">
      <c r="BJ62797" s="201"/>
    </row>
    <row r="62798" spans="62:62" x14ac:dyDescent="0.2">
      <c r="BJ62798" s="201"/>
    </row>
    <row r="62799" spans="62:62" x14ac:dyDescent="0.2">
      <c r="BJ62799" s="201"/>
    </row>
    <row r="62800" spans="62:62" x14ac:dyDescent="0.2">
      <c r="BJ62800" s="201"/>
    </row>
    <row r="62801" spans="62:62" x14ac:dyDescent="0.2">
      <c r="BJ62801" s="201"/>
    </row>
    <row r="62802" spans="62:62" x14ac:dyDescent="0.2">
      <c r="BJ62802" s="201"/>
    </row>
    <row r="62803" spans="62:62" x14ac:dyDescent="0.2">
      <c r="BJ62803" s="201"/>
    </row>
    <row r="62804" spans="62:62" x14ac:dyDescent="0.2">
      <c r="BJ62804" s="201"/>
    </row>
    <row r="62805" spans="62:62" x14ac:dyDescent="0.2">
      <c r="BJ62805" s="201"/>
    </row>
    <row r="62806" spans="62:62" x14ac:dyDescent="0.2">
      <c r="BJ62806" s="201"/>
    </row>
    <row r="62807" spans="62:62" x14ac:dyDescent="0.2">
      <c r="BJ62807" s="201"/>
    </row>
    <row r="62808" spans="62:62" x14ac:dyDescent="0.2">
      <c r="BJ62808" s="201"/>
    </row>
    <row r="62809" spans="62:62" x14ac:dyDescent="0.2">
      <c r="BJ62809" s="201"/>
    </row>
    <row r="62810" spans="62:62" x14ac:dyDescent="0.2">
      <c r="BJ62810" s="201"/>
    </row>
    <row r="62811" spans="62:62" x14ac:dyDescent="0.2">
      <c r="BJ62811" s="201"/>
    </row>
    <row r="62812" spans="62:62" x14ac:dyDescent="0.2">
      <c r="BJ62812" s="201"/>
    </row>
    <row r="62813" spans="62:62" x14ac:dyDescent="0.2">
      <c r="BJ62813" s="201"/>
    </row>
    <row r="62814" spans="62:62" x14ac:dyDescent="0.2">
      <c r="BJ62814" s="201"/>
    </row>
    <row r="62815" spans="62:62" x14ac:dyDescent="0.2">
      <c r="BJ62815" s="201"/>
    </row>
    <row r="62816" spans="62:62" x14ac:dyDescent="0.2">
      <c r="BJ62816" s="201"/>
    </row>
    <row r="62817" spans="62:62" x14ac:dyDescent="0.2">
      <c r="BJ62817" s="201"/>
    </row>
    <row r="62818" spans="62:62" x14ac:dyDescent="0.2">
      <c r="BJ62818" s="201"/>
    </row>
    <row r="62819" spans="62:62" x14ac:dyDescent="0.2">
      <c r="BJ62819" s="201"/>
    </row>
    <row r="62820" spans="62:62" x14ac:dyDescent="0.2">
      <c r="BJ62820" s="201"/>
    </row>
    <row r="62821" spans="62:62" x14ac:dyDescent="0.2">
      <c r="BJ62821" s="201"/>
    </row>
    <row r="62822" spans="62:62" x14ac:dyDescent="0.2">
      <c r="BJ62822" s="201"/>
    </row>
    <row r="62823" spans="62:62" x14ac:dyDescent="0.2">
      <c r="BJ62823" s="201"/>
    </row>
    <row r="62824" spans="62:62" x14ac:dyDescent="0.2">
      <c r="BJ62824" s="201"/>
    </row>
    <row r="62825" spans="62:62" x14ac:dyDescent="0.2">
      <c r="BJ62825" s="201"/>
    </row>
    <row r="62826" spans="62:62" x14ac:dyDescent="0.2">
      <c r="BJ62826" s="201"/>
    </row>
    <row r="62827" spans="62:62" x14ac:dyDescent="0.2">
      <c r="BJ62827" s="201"/>
    </row>
    <row r="62828" spans="62:62" x14ac:dyDescent="0.2">
      <c r="BJ62828" s="201"/>
    </row>
    <row r="62829" spans="62:62" x14ac:dyDescent="0.2">
      <c r="BJ62829" s="201"/>
    </row>
    <row r="62830" spans="62:62" x14ac:dyDescent="0.2">
      <c r="BJ62830" s="201"/>
    </row>
    <row r="62831" spans="62:62" x14ac:dyDescent="0.2">
      <c r="BJ62831" s="201"/>
    </row>
    <row r="62832" spans="62:62" x14ac:dyDescent="0.2">
      <c r="BJ62832" s="201"/>
    </row>
    <row r="62833" spans="62:62" x14ac:dyDescent="0.2">
      <c r="BJ62833" s="201"/>
    </row>
    <row r="62834" spans="62:62" x14ac:dyDescent="0.2">
      <c r="BJ62834" s="201"/>
    </row>
    <row r="62835" spans="62:62" x14ac:dyDescent="0.2">
      <c r="BJ62835" s="201"/>
    </row>
    <row r="62836" spans="62:62" x14ac:dyDescent="0.2">
      <c r="BJ62836" s="201"/>
    </row>
    <row r="62837" spans="62:62" x14ac:dyDescent="0.2">
      <c r="BJ62837" s="201"/>
    </row>
    <row r="62838" spans="62:62" x14ac:dyDescent="0.2">
      <c r="BJ62838" s="201"/>
    </row>
    <row r="62839" spans="62:62" x14ac:dyDescent="0.2">
      <c r="BJ62839" s="201"/>
    </row>
    <row r="62840" spans="62:62" x14ac:dyDescent="0.2">
      <c r="BJ62840" s="201"/>
    </row>
    <row r="62841" spans="62:62" x14ac:dyDescent="0.2">
      <c r="BJ62841" s="201"/>
    </row>
    <row r="62842" spans="62:62" x14ac:dyDescent="0.2">
      <c r="BJ62842" s="201"/>
    </row>
    <row r="62843" spans="62:62" x14ac:dyDescent="0.2">
      <c r="BJ62843" s="201"/>
    </row>
    <row r="62844" spans="62:62" x14ac:dyDescent="0.2">
      <c r="BJ62844" s="201"/>
    </row>
    <row r="62845" spans="62:62" x14ac:dyDescent="0.2">
      <c r="BJ62845" s="201"/>
    </row>
    <row r="62846" spans="62:62" x14ac:dyDescent="0.2">
      <c r="BJ62846" s="201"/>
    </row>
    <row r="62847" spans="62:62" x14ac:dyDescent="0.2">
      <c r="BJ62847" s="201"/>
    </row>
    <row r="62848" spans="62:62" x14ac:dyDescent="0.2">
      <c r="BJ62848" s="201"/>
    </row>
    <row r="62849" spans="62:62" x14ac:dyDescent="0.2">
      <c r="BJ62849" s="201"/>
    </row>
    <row r="62850" spans="62:62" x14ac:dyDescent="0.2">
      <c r="BJ62850" s="201"/>
    </row>
    <row r="62851" spans="62:62" x14ac:dyDescent="0.2">
      <c r="BJ62851" s="201"/>
    </row>
    <row r="62852" spans="62:62" x14ac:dyDescent="0.2">
      <c r="BJ62852" s="201"/>
    </row>
    <row r="62853" spans="62:62" x14ac:dyDescent="0.2">
      <c r="BJ62853" s="201"/>
    </row>
    <row r="62854" spans="62:62" x14ac:dyDescent="0.2">
      <c r="BJ62854" s="201"/>
    </row>
    <row r="62855" spans="62:62" x14ac:dyDescent="0.2">
      <c r="BJ62855" s="201"/>
    </row>
    <row r="62856" spans="62:62" x14ac:dyDescent="0.2">
      <c r="BJ62856" s="201"/>
    </row>
    <row r="62857" spans="62:62" x14ac:dyDescent="0.2">
      <c r="BJ62857" s="201"/>
    </row>
    <row r="62858" spans="62:62" x14ac:dyDescent="0.2">
      <c r="BJ62858" s="201"/>
    </row>
    <row r="62859" spans="62:62" x14ac:dyDescent="0.2">
      <c r="BJ62859" s="201"/>
    </row>
    <row r="62860" spans="62:62" x14ac:dyDescent="0.2">
      <c r="BJ62860" s="201"/>
    </row>
    <row r="62861" spans="62:62" x14ac:dyDescent="0.2">
      <c r="BJ62861" s="201"/>
    </row>
    <row r="62862" spans="62:62" x14ac:dyDescent="0.2">
      <c r="BJ62862" s="201"/>
    </row>
    <row r="62863" spans="62:62" x14ac:dyDescent="0.2">
      <c r="BJ62863" s="201"/>
    </row>
    <row r="62864" spans="62:62" x14ac:dyDescent="0.2">
      <c r="BJ62864" s="201"/>
    </row>
    <row r="62865" spans="62:62" x14ac:dyDescent="0.2">
      <c r="BJ62865" s="201"/>
    </row>
    <row r="62866" spans="62:62" x14ac:dyDescent="0.2">
      <c r="BJ62866" s="201"/>
    </row>
    <row r="62867" spans="62:62" x14ac:dyDescent="0.2">
      <c r="BJ62867" s="201"/>
    </row>
    <row r="62868" spans="62:62" x14ac:dyDescent="0.2">
      <c r="BJ62868" s="201"/>
    </row>
    <row r="62869" spans="62:62" x14ac:dyDescent="0.2">
      <c r="BJ62869" s="201"/>
    </row>
    <row r="62870" spans="62:62" x14ac:dyDescent="0.2">
      <c r="BJ62870" s="201"/>
    </row>
    <row r="62871" spans="62:62" x14ac:dyDescent="0.2">
      <c r="BJ62871" s="201"/>
    </row>
    <row r="62872" spans="62:62" x14ac:dyDescent="0.2">
      <c r="BJ62872" s="201"/>
    </row>
    <row r="62873" spans="62:62" x14ac:dyDescent="0.2">
      <c r="BJ62873" s="201"/>
    </row>
    <row r="62874" spans="62:62" x14ac:dyDescent="0.2">
      <c r="BJ62874" s="201"/>
    </row>
    <row r="62875" spans="62:62" x14ac:dyDescent="0.2">
      <c r="BJ62875" s="201"/>
    </row>
    <row r="62876" spans="62:62" x14ac:dyDescent="0.2">
      <c r="BJ62876" s="201"/>
    </row>
    <row r="62877" spans="62:62" x14ac:dyDescent="0.2">
      <c r="BJ62877" s="201"/>
    </row>
    <row r="62878" spans="62:62" x14ac:dyDescent="0.2">
      <c r="BJ62878" s="201"/>
    </row>
    <row r="62879" spans="62:62" x14ac:dyDescent="0.2">
      <c r="BJ62879" s="201"/>
    </row>
    <row r="62880" spans="62:62" x14ac:dyDescent="0.2">
      <c r="BJ62880" s="201"/>
    </row>
    <row r="62881" spans="62:62" x14ac:dyDescent="0.2">
      <c r="BJ62881" s="201"/>
    </row>
    <row r="62882" spans="62:62" x14ac:dyDescent="0.2">
      <c r="BJ62882" s="201"/>
    </row>
    <row r="62883" spans="62:62" x14ac:dyDescent="0.2">
      <c r="BJ62883" s="201"/>
    </row>
    <row r="62884" spans="62:62" x14ac:dyDescent="0.2">
      <c r="BJ62884" s="201"/>
    </row>
    <row r="62885" spans="62:62" x14ac:dyDescent="0.2">
      <c r="BJ62885" s="201"/>
    </row>
    <row r="62886" spans="62:62" x14ac:dyDescent="0.2">
      <c r="BJ62886" s="201"/>
    </row>
    <row r="62887" spans="62:62" x14ac:dyDescent="0.2">
      <c r="BJ62887" s="201"/>
    </row>
    <row r="62888" spans="62:62" x14ac:dyDescent="0.2">
      <c r="BJ62888" s="201"/>
    </row>
    <row r="62889" spans="62:62" x14ac:dyDescent="0.2">
      <c r="BJ62889" s="201"/>
    </row>
    <row r="62890" spans="62:62" x14ac:dyDescent="0.2">
      <c r="BJ62890" s="201"/>
    </row>
    <row r="62891" spans="62:62" x14ac:dyDescent="0.2">
      <c r="BJ62891" s="201"/>
    </row>
    <row r="62892" spans="62:62" x14ac:dyDescent="0.2">
      <c r="BJ62892" s="201"/>
    </row>
    <row r="62893" spans="62:62" x14ac:dyDescent="0.2">
      <c r="BJ62893" s="201"/>
    </row>
    <row r="62894" spans="62:62" x14ac:dyDescent="0.2">
      <c r="BJ62894" s="201"/>
    </row>
    <row r="62895" spans="62:62" x14ac:dyDescent="0.2">
      <c r="BJ62895" s="201"/>
    </row>
    <row r="62896" spans="62:62" x14ac:dyDescent="0.2">
      <c r="BJ62896" s="201"/>
    </row>
    <row r="62897" spans="62:62" x14ac:dyDescent="0.2">
      <c r="BJ62897" s="201"/>
    </row>
    <row r="62898" spans="62:62" x14ac:dyDescent="0.2">
      <c r="BJ62898" s="201"/>
    </row>
    <row r="62899" spans="62:62" x14ac:dyDescent="0.2">
      <c r="BJ62899" s="201"/>
    </row>
    <row r="62900" spans="62:62" x14ac:dyDescent="0.2">
      <c r="BJ62900" s="201"/>
    </row>
    <row r="62901" spans="62:62" x14ac:dyDescent="0.2">
      <c r="BJ62901" s="201"/>
    </row>
    <row r="62902" spans="62:62" x14ac:dyDescent="0.2">
      <c r="BJ62902" s="201"/>
    </row>
    <row r="62903" spans="62:62" x14ac:dyDescent="0.2">
      <c r="BJ62903" s="201"/>
    </row>
    <row r="62904" spans="62:62" x14ac:dyDescent="0.2">
      <c r="BJ62904" s="201"/>
    </row>
    <row r="62905" spans="62:62" x14ac:dyDescent="0.2">
      <c r="BJ62905" s="201"/>
    </row>
    <row r="62906" spans="62:62" x14ac:dyDescent="0.2">
      <c r="BJ62906" s="201"/>
    </row>
    <row r="62907" spans="62:62" x14ac:dyDescent="0.2">
      <c r="BJ62907" s="201"/>
    </row>
    <row r="62908" spans="62:62" x14ac:dyDescent="0.2">
      <c r="BJ62908" s="201"/>
    </row>
    <row r="62909" spans="62:62" x14ac:dyDescent="0.2">
      <c r="BJ62909" s="201"/>
    </row>
    <row r="62910" spans="62:62" x14ac:dyDescent="0.2">
      <c r="BJ62910" s="201"/>
    </row>
    <row r="62911" spans="62:62" x14ac:dyDescent="0.2">
      <c r="BJ62911" s="201"/>
    </row>
    <row r="62912" spans="62:62" x14ac:dyDescent="0.2">
      <c r="BJ62912" s="201"/>
    </row>
    <row r="62913" spans="62:62" x14ac:dyDescent="0.2">
      <c r="BJ62913" s="201"/>
    </row>
    <row r="62914" spans="62:62" x14ac:dyDescent="0.2">
      <c r="BJ62914" s="201"/>
    </row>
    <row r="62915" spans="62:62" x14ac:dyDescent="0.2">
      <c r="BJ62915" s="201"/>
    </row>
    <row r="62916" spans="62:62" x14ac:dyDescent="0.2">
      <c r="BJ62916" s="201"/>
    </row>
    <row r="62917" spans="62:62" x14ac:dyDescent="0.2">
      <c r="BJ62917" s="201"/>
    </row>
    <row r="62918" spans="62:62" x14ac:dyDescent="0.2">
      <c r="BJ62918" s="201"/>
    </row>
    <row r="62919" spans="62:62" x14ac:dyDescent="0.2">
      <c r="BJ62919" s="201"/>
    </row>
    <row r="62920" spans="62:62" x14ac:dyDescent="0.2">
      <c r="BJ62920" s="201"/>
    </row>
    <row r="62921" spans="62:62" x14ac:dyDescent="0.2">
      <c r="BJ62921" s="201"/>
    </row>
    <row r="62922" spans="62:62" x14ac:dyDescent="0.2">
      <c r="BJ62922" s="201"/>
    </row>
    <row r="62923" spans="62:62" x14ac:dyDescent="0.2">
      <c r="BJ62923" s="201"/>
    </row>
    <row r="62924" spans="62:62" x14ac:dyDescent="0.2">
      <c r="BJ62924" s="201"/>
    </row>
    <row r="62925" spans="62:62" x14ac:dyDescent="0.2">
      <c r="BJ62925" s="201"/>
    </row>
    <row r="62926" spans="62:62" x14ac:dyDescent="0.2">
      <c r="BJ62926" s="201"/>
    </row>
    <row r="62927" spans="62:62" x14ac:dyDescent="0.2">
      <c r="BJ62927" s="201"/>
    </row>
    <row r="62928" spans="62:62" x14ac:dyDescent="0.2">
      <c r="BJ62928" s="201"/>
    </row>
    <row r="62929" spans="62:62" x14ac:dyDescent="0.2">
      <c r="BJ62929" s="201"/>
    </row>
    <row r="62930" spans="62:62" x14ac:dyDescent="0.2">
      <c r="BJ62930" s="201"/>
    </row>
    <row r="62931" spans="62:62" x14ac:dyDescent="0.2">
      <c r="BJ62931" s="201"/>
    </row>
    <row r="62932" spans="62:62" x14ac:dyDescent="0.2">
      <c r="BJ62932" s="201"/>
    </row>
    <row r="62933" spans="62:62" x14ac:dyDescent="0.2">
      <c r="BJ62933" s="201"/>
    </row>
    <row r="62934" spans="62:62" x14ac:dyDescent="0.2">
      <c r="BJ62934" s="201"/>
    </row>
    <row r="62935" spans="62:62" x14ac:dyDescent="0.2">
      <c r="BJ62935" s="201"/>
    </row>
    <row r="62936" spans="62:62" x14ac:dyDescent="0.2">
      <c r="BJ62936" s="201"/>
    </row>
    <row r="62937" spans="62:62" x14ac:dyDescent="0.2">
      <c r="BJ62937" s="201"/>
    </row>
    <row r="62938" spans="62:62" x14ac:dyDescent="0.2">
      <c r="BJ62938" s="201"/>
    </row>
    <row r="62939" spans="62:62" x14ac:dyDescent="0.2">
      <c r="BJ62939" s="201"/>
    </row>
    <row r="62940" spans="62:62" x14ac:dyDescent="0.2">
      <c r="BJ62940" s="201"/>
    </row>
    <row r="62941" spans="62:62" x14ac:dyDescent="0.2">
      <c r="BJ62941" s="201"/>
    </row>
    <row r="62942" spans="62:62" x14ac:dyDescent="0.2">
      <c r="BJ62942" s="201"/>
    </row>
    <row r="62943" spans="62:62" x14ac:dyDescent="0.2">
      <c r="BJ62943" s="201"/>
    </row>
    <row r="62944" spans="62:62" x14ac:dyDescent="0.2">
      <c r="BJ62944" s="201"/>
    </row>
    <row r="62945" spans="62:62" x14ac:dyDescent="0.2">
      <c r="BJ62945" s="201"/>
    </row>
    <row r="62946" spans="62:62" x14ac:dyDescent="0.2">
      <c r="BJ62946" s="201"/>
    </row>
    <row r="62947" spans="62:62" x14ac:dyDescent="0.2">
      <c r="BJ62947" s="201"/>
    </row>
    <row r="62948" spans="62:62" x14ac:dyDescent="0.2">
      <c r="BJ62948" s="201"/>
    </row>
    <row r="62949" spans="62:62" x14ac:dyDescent="0.2">
      <c r="BJ62949" s="201"/>
    </row>
    <row r="62950" spans="62:62" x14ac:dyDescent="0.2">
      <c r="BJ62950" s="201"/>
    </row>
    <row r="62951" spans="62:62" x14ac:dyDescent="0.2">
      <c r="BJ62951" s="201"/>
    </row>
    <row r="62952" spans="62:62" x14ac:dyDescent="0.2">
      <c r="BJ62952" s="201"/>
    </row>
    <row r="62953" spans="62:62" x14ac:dyDescent="0.2">
      <c r="BJ62953" s="201"/>
    </row>
    <row r="62954" spans="62:62" x14ac:dyDescent="0.2">
      <c r="BJ62954" s="201"/>
    </row>
    <row r="62955" spans="62:62" x14ac:dyDescent="0.2">
      <c r="BJ62955" s="201"/>
    </row>
    <row r="62956" spans="62:62" x14ac:dyDescent="0.2">
      <c r="BJ62956" s="201"/>
    </row>
    <row r="62957" spans="62:62" x14ac:dyDescent="0.2">
      <c r="BJ62957" s="201"/>
    </row>
    <row r="62958" spans="62:62" x14ac:dyDescent="0.2">
      <c r="BJ62958" s="201"/>
    </row>
    <row r="62959" spans="62:62" x14ac:dyDescent="0.2">
      <c r="BJ62959" s="201"/>
    </row>
    <row r="62960" spans="62:62" x14ac:dyDescent="0.2">
      <c r="BJ62960" s="201"/>
    </row>
    <row r="62961" spans="62:62" x14ac:dyDescent="0.2">
      <c r="BJ62961" s="201"/>
    </row>
    <row r="62962" spans="62:62" x14ac:dyDescent="0.2">
      <c r="BJ62962" s="201"/>
    </row>
    <row r="62963" spans="62:62" x14ac:dyDescent="0.2">
      <c r="BJ62963" s="201"/>
    </row>
    <row r="62964" spans="62:62" x14ac:dyDescent="0.2">
      <c r="BJ62964" s="201"/>
    </row>
    <row r="62965" spans="62:62" x14ac:dyDescent="0.2">
      <c r="BJ62965" s="201"/>
    </row>
    <row r="62966" spans="62:62" x14ac:dyDescent="0.2">
      <c r="BJ62966" s="201"/>
    </row>
    <row r="62967" spans="62:62" x14ac:dyDescent="0.2">
      <c r="BJ62967" s="201"/>
    </row>
    <row r="62968" spans="62:62" x14ac:dyDescent="0.2">
      <c r="BJ62968" s="201"/>
    </row>
    <row r="62969" spans="62:62" x14ac:dyDescent="0.2">
      <c r="BJ62969" s="201"/>
    </row>
    <row r="62970" spans="62:62" x14ac:dyDescent="0.2">
      <c r="BJ62970" s="201"/>
    </row>
    <row r="62971" spans="62:62" x14ac:dyDescent="0.2">
      <c r="BJ62971" s="201"/>
    </row>
    <row r="62972" spans="62:62" x14ac:dyDescent="0.2">
      <c r="BJ62972" s="201"/>
    </row>
    <row r="62973" spans="62:62" x14ac:dyDescent="0.2">
      <c r="BJ62973" s="201"/>
    </row>
    <row r="62974" spans="62:62" x14ac:dyDescent="0.2">
      <c r="BJ62974" s="201"/>
    </row>
    <row r="62975" spans="62:62" x14ac:dyDescent="0.2">
      <c r="BJ62975" s="201"/>
    </row>
    <row r="62976" spans="62:62" x14ac:dyDescent="0.2">
      <c r="BJ62976" s="201"/>
    </row>
    <row r="62977" spans="62:62" x14ac:dyDescent="0.2">
      <c r="BJ62977" s="201"/>
    </row>
    <row r="62978" spans="62:62" x14ac:dyDescent="0.2">
      <c r="BJ62978" s="201"/>
    </row>
    <row r="62979" spans="62:62" x14ac:dyDescent="0.2">
      <c r="BJ62979" s="201"/>
    </row>
    <row r="62980" spans="62:62" x14ac:dyDescent="0.2">
      <c r="BJ62980" s="201"/>
    </row>
    <row r="62981" spans="62:62" x14ac:dyDescent="0.2">
      <c r="BJ62981" s="201"/>
    </row>
    <row r="62982" spans="62:62" x14ac:dyDescent="0.2">
      <c r="BJ62982" s="201"/>
    </row>
    <row r="62983" spans="62:62" x14ac:dyDescent="0.2">
      <c r="BJ62983" s="201"/>
    </row>
    <row r="62984" spans="62:62" x14ac:dyDescent="0.2">
      <c r="BJ62984" s="201"/>
    </row>
    <row r="62985" spans="62:62" x14ac:dyDescent="0.2">
      <c r="BJ62985" s="201"/>
    </row>
    <row r="62986" spans="62:62" x14ac:dyDescent="0.2">
      <c r="BJ62986" s="201"/>
    </row>
    <row r="62987" spans="62:62" x14ac:dyDescent="0.2">
      <c r="BJ62987" s="201"/>
    </row>
    <row r="62988" spans="62:62" x14ac:dyDescent="0.2">
      <c r="BJ62988" s="201"/>
    </row>
    <row r="62989" spans="62:62" x14ac:dyDescent="0.2">
      <c r="BJ62989" s="201"/>
    </row>
    <row r="62990" spans="62:62" x14ac:dyDescent="0.2">
      <c r="BJ62990" s="201"/>
    </row>
    <row r="62991" spans="62:62" x14ac:dyDescent="0.2">
      <c r="BJ62991" s="201"/>
    </row>
    <row r="62992" spans="62:62" x14ac:dyDescent="0.2">
      <c r="BJ62992" s="201"/>
    </row>
    <row r="62993" spans="62:62" x14ac:dyDescent="0.2">
      <c r="BJ62993" s="201"/>
    </row>
    <row r="62994" spans="62:62" x14ac:dyDescent="0.2">
      <c r="BJ62994" s="201"/>
    </row>
    <row r="62995" spans="62:62" x14ac:dyDescent="0.2">
      <c r="BJ62995" s="201"/>
    </row>
    <row r="62996" spans="62:62" x14ac:dyDescent="0.2">
      <c r="BJ62996" s="201"/>
    </row>
    <row r="62997" spans="62:62" x14ac:dyDescent="0.2">
      <c r="BJ62997" s="201"/>
    </row>
    <row r="62998" spans="62:62" x14ac:dyDescent="0.2">
      <c r="BJ62998" s="201"/>
    </row>
    <row r="62999" spans="62:62" x14ac:dyDescent="0.2">
      <c r="BJ62999" s="201"/>
    </row>
    <row r="63000" spans="62:62" x14ac:dyDescent="0.2">
      <c r="BJ63000" s="201"/>
    </row>
    <row r="63001" spans="62:62" x14ac:dyDescent="0.2">
      <c r="BJ63001" s="201"/>
    </row>
    <row r="63002" spans="62:62" x14ac:dyDescent="0.2">
      <c r="BJ63002" s="201"/>
    </row>
    <row r="63003" spans="62:62" x14ac:dyDescent="0.2">
      <c r="BJ63003" s="201"/>
    </row>
    <row r="63004" spans="62:62" x14ac:dyDescent="0.2">
      <c r="BJ63004" s="201"/>
    </row>
    <row r="63005" spans="62:62" x14ac:dyDescent="0.2">
      <c r="BJ63005" s="201"/>
    </row>
    <row r="63006" spans="62:62" x14ac:dyDescent="0.2">
      <c r="BJ63006" s="201"/>
    </row>
    <row r="63007" spans="62:62" x14ac:dyDescent="0.2">
      <c r="BJ63007" s="201"/>
    </row>
    <row r="63008" spans="62:62" x14ac:dyDescent="0.2">
      <c r="BJ63008" s="201"/>
    </row>
    <row r="63009" spans="62:62" x14ac:dyDescent="0.2">
      <c r="BJ63009" s="201"/>
    </row>
    <row r="63010" spans="62:62" x14ac:dyDescent="0.2">
      <c r="BJ63010" s="201"/>
    </row>
    <row r="63011" spans="62:62" x14ac:dyDescent="0.2">
      <c r="BJ63011" s="201"/>
    </row>
    <row r="63012" spans="62:62" x14ac:dyDescent="0.2">
      <c r="BJ63012" s="201"/>
    </row>
    <row r="63013" spans="62:62" x14ac:dyDescent="0.2">
      <c r="BJ63013" s="201"/>
    </row>
    <row r="63014" spans="62:62" x14ac:dyDescent="0.2">
      <c r="BJ63014" s="201"/>
    </row>
    <row r="63015" spans="62:62" x14ac:dyDescent="0.2">
      <c r="BJ63015" s="201"/>
    </row>
    <row r="63016" spans="62:62" x14ac:dyDescent="0.2">
      <c r="BJ63016" s="201"/>
    </row>
    <row r="63017" spans="62:62" x14ac:dyDescent="0.2">
      <c r="BJ63017" s="201"/>
    </row>
    <row r="63018" spans="62:62" x14ac:dyDescent="0.2">
      <c r="BJ63018" s="201"/>
    </row>
    <row r="63019" spans="62:62" x14ac:dyDescent="0.2">
      <c r="BJ63019" s="201"/>
    </row>
    <row r="63020" spans="62:62" x14ac:dyDescent="0.2">
      <c r="BJ63020" s="201"/>
    </row>
    <row r="63021" spans="62:62" x14ac:dyDescent="0.2">
      <c r="BJ63021" s="201"/>
    </row>
    <row r="63022" spans="62:62" x14ac:dyDescent="0.2">
      <c r="BJ63022" s="201"/>
    </row>
    <row r="63023" spans="62:62" x14ac:dyDescent="0.2">
      <c r="BJ63023" s="201"/>
    </row>
    <row r="63024" spans="62:62" x14ac:dyDescent="0.2">
      <c r="BJ63024" s="201"/>
    </row>
    <row r="63025" spans="62:62" x14ac:dyDescent="0.2">
      <c r="BJ63025" s="201"/>
    </row>
    <row r="63026" spans="62:62" x14ac:dyDescent="0.2">
      <c r="BJ63026" s="201"/>
    </row>
    <row r="63027" spans="62:62" x14ac:dyDescent="0.2">
      <c r="BJ63027" s="201"/>
    </row>
    <row r="63028" spans="62:62" x14ac:dyDescent="0.2">
      <c r="BJ63028" s="201"/>
    </row>
    <row r="63029" spans="62:62" x14ac:dyDescent="0.2">
      <c r="BJ63029" s="201"/>
    </row>
    <row r="63030" spans="62:62" x14ac:dyDescent="0.2">
      <c r="BJ63030" s="201"/>
    </row>
    <row r="63031" spans="62:62" x14ac:dyDescent="0.2">
      <c r="BJ63031" s="201"/>
    </row>
    <row r="63032" spans="62:62" x14ac:dyDescent="0.2">
      <c r="BJ63032" s="201"/>
    </row>
    <row r="63033" spans="62:62" x14ac:dyDescent="0.2">
      <c r="BJ63033" s="201"/>
    </row>
    <row r="63034" spans="62:62" x14ac:dyDescent="0.2">
      <c r="BJ63034" s="201"/>
    </row>
    <row r="63035" spans="62:62" x14ac:dyDescent="0.2">
      <c r="BJ63035" s="201"/>
    </row>
    <row r="63036" spans="62:62" x14ac:dyDescent="0.2">
      <c r="BJ63036" s="201"/>
    </row>
    <row r="63037" spans="62:62" x14ac:dyDescent="0.2">
      <c r="BJ63037" s="201"/>
    </row>
    <row r="63038" spans="62:62" x14ac:dyDescent="0.2">
      <c r="BJ63038" s="201"/>
    </row>
    <row r="63039" spans="62:62" x14ac:dyDescent="0.2">
      <c r="BJ63039" s="201"/>
    </row>
    <row r="63040" spans="62:62" x14ac:dyDescent="0.2">
      <c r="BJ63040" s="201"/>
    </row>
    <row r="63041" spans="62:62" x14ac:dyDescent="0.2">
      <c r="BJ63041" s="201"/>
    </row>
    <row r="63042" spans="62:62" x14ac:dyDescent="0.2">
      <c r="BJ63042" s="201"/>
    </row>
    <row r="63043" spans="62:62" x14ac:dyDescent="0.2">
      <c r="BJ63043" s="201"/>
    </row>
    <row r="63044" spans="62:62" x14ac:dyDescent="0.2">
      <c r="BJ63044" s="201"/>
    </row>
    <row r="63045" spans="62:62" x14ac:dyDescent="0.2">
      <c r="BJ63045" s="201"/>
    </row>
    <row r="63046" spans="62:62" x14ac:dyDescent="0.2">
      <c r="BJ63046" s="201"/>
    </row>
    <row r="63047" spans="62:62" x14ac:dyDescent="0.2">
      <c r="BJ63047" s="201"/>
    </row>
    <row r="63048" spans="62:62" x14ac:dyDescent="0.2">
      <c r="BJ63048" s="201"/>
    </row>
    <row r="63049" spans="62:62" x14ac:dyDescent="0.2">
      <c r="BJ63049" s="201"/>
    </row>
    <row r="63050" spans="62:62" x14ac:dyDescent="0.2">
      <c r="BJ63050" s="201"/>
    </row>
    <row r="63051" spans="62:62" x14ac:dyDescent="0.2">
      <c r="BJ63051" s="201"/>
    </row>
    <row r="63052" spans="62:62" x14ac:dyDescent="0.2">
      <c r="BJ63052" s="201"/>
    </row>
    <row r="63053" spans="62:62" x14ac:dyDescent="0.2">
      <c r="BJ63053" s="201"/>
    </row>
    <row r="63054" spans="62:62" x14ac:dyDescent="0.2">
      <c r="BJ63054" s="201"/>
    </row>
    <row r="63055" spans="62:62" x14ac:dyDescent="0.2">
      <c r="BJ63055" s="201"/>
    </row>
    <row r="63056" spans="62:62" x14ac:dyDescent="0.2">
      <c r="BJ63056" s="201"/>
    </row>
    <row r="63057" spans="62:62" x14ac:dyDescent="0.2">
      <c r="BJ63057" s="201"/>
    </row>
    <row r="63058" spans="62:62" x14ac:dyDescent="0.2">
      <c r="BJ63058" s="201"/>
    </row>
    <row r="63059" spans="62:62" x14ac:dyDescent="0.2">
      <c r="BJ63059" s="201"/>
    </row>
    <row r="63060" spans="62:62" x14ac:dyDescent="0.2">
      <c r="BJ63060" s="201"/>
    </row>
    <row r="63061" spans="62:62" x14ac:dyDescent="0.2">
      <c r="BJ63061" s="201"/>
    </row>
    <row r="63062" spans="62:62" x14ac:dyDescent="0.2">
      <c r="BJ63062" s="201"/>
    </row>
    <row r="63063" spans="62:62" x14ac:dyDescent="0.2">
      <c r="BJ63063" s="201"/>
    </row>
    <row r="63064" spans="62:62" x14ac:dyDescent="0.2">
      <c r="BJ63064" s="201"/>
    </row>
    <row r="63065" spans="62:62" x14ac:dyDescent="0.2">
      <c r="BJ63065" s="201"/>
    </row>
    <row r="63066" spans="62:62" x14ac:dyDescent="0.2">
      <c r="BJ63066" s="201"/>
    </row>
    <row r="63067" spans="62:62" x14ac:dyDescent="0.2">
      <c r="BJ63067" s="201"/>
    </row>
    <row r="63068" spans="62:62" x14ac:dyDescent="0.2">
      <c r="BJ63068" s="201"/>
    </row>
    <row r="63069" spans="62:62" x14ac:dyDescent="0.2">
      <c r="BJ63069" s="201"/>
    </row>
    <row r="63070" spans="62:62" x14ac:dyDescent="0.2">
      <c r="BJ63070" s="201"/>
    </row>
    <row r="63071" spans="62:62" x14ac:dyDescent="0.2">
      <c r="BJ63071" s="201"/>
    </row>
    <row r="63072" spans="62:62" x14ac:dyDescent="0.2">
      <c r="BJ63072" s="201"/>
    </row>
    <row r="63073" spans="62:62" x14ac:dyDescent="0.2">
      <c r="BJ63073" s="201"/>
    </row>
    <row r="63074" spans="62:62" x14ac:dyDescent="0.2">
      <c r="BJ63074" s="201"/>
    </row>
    <row r="63075" spans="62:62" x14ac:dyDescent="0.2">
      <c r="BJ63075" s="201"/>
    </row>
    <row r="63076" spans="62:62" x14ac:dyDescent="0.2">
      <c r="BJ63076" s="201"/>
    </row>
    <row r="63077" spans="62:62" x14ac:dyDescent="0.2">
      <c r="BJ63077" s="201"/>
    </row>
    <row r="63078" spans="62:62" x14ac:dyDescent="0.2">
      <c r="BJ63078" s="201"/>
    </row>
    <row r="63079" spans="62:62" x14ac:dyDescent="0.2">
      <c r="BJ63079" s="201"/>
    </row>
    <row r="63080" spans="62:62" x14ac:dyDescent="0.2">
      <c r="BJ63080" s="201"/>
    </row>
    <row r="63081" spans="62:62" x14ac:dyDescent="0.2">
      <c r="BJ63081" s="201"/>
    </row>
    <row r="63082" spans="62:62" x14ac:dyDescent="0.2">
      <c r="BJ63082" s="201"/>
    </row>
    <row r="63083" spans="62:62" x14ac:dyDescent="0.2">
      <c r="BJ63083" s="201"/>
    </row>
    <row r="63084" spans="62:62" x14ac:dyDescent="0.2">
      <c r="BJ63084" s="201"/>
    </row>
    <row r="63085" spans="62:62" x14ac:dyDescent="0.2">
      <c r="BJ63085" s="201"/>
    </row>
    <row r="63086" spans="62:62" x14ac:dyDescent="0.2">
      <c r="BJ63086" s="201"/>
    </row>
    <row r="63087" spans="62:62" x14ac:dyDescent="0.2">
      <c r="BJ63087" s="201"/>
    </row>
    <row r="63088" spans="62:62" x14ac:dyDescent="0.2">
      <c r="BJ63088" s="201"/>
    </row>
    <row r="63089" spans="62:62" x14ac:dyDescent="0.2">
      <c r="BJ63089" s="201"/>
    </row>
    <row r="63090" spans="62:62" x14ac:dyDescent="0.2">
      <c r="BJ63090" s="201"/>
    </row>
    <row r="63091" spans="62:62" x14ac:dyDescent="0.2">
      <c r="BJ63091" s="201"/>
    </row>
    <row r="63092" spans="62:62" x14ac:dyDescent="0.2">
      <c r="BJ63092" s="201"/>
    </row>
    <row r="63093" spans="62:62" x14ac:dyDescent="0.2">
      <c r="BJ63093" s="201"/>
    </row>
    <row r="63094" spans="62:62" x14ac:dyDescent="0.2">
      <c r="BJ63094" s="201"/>
    </row>
    <row r="63095" spans="62:62" x14ac:dyDescent="0.2">
      <c r="BJ63095" s="201"/>
    </row>
    <row r="63096" spans="62:62" x14ac:dyDescent="0.2">
      <c r="BJ63096" s="201"/>
    </row>
    <row r="63097" spans="62:62" x14ac:dyDescent="0.2">
      <c r="BJ63097" s="201"/>
    </row>
    <row r="63098" spans="62:62" x14ac:dyDescent="0.2">
      <c r="BJ63098" s="201"/>
    </row>
    <row r="63099" spans="62:62" x14ac:dyDescent="0.2">
      <c r="BJ63099" s="201"/>
    </row>
    <row r="63100" spans="62:62" x14ac:dyDescent="0.2">
      <c r="BJ63100" s="201"/>
    </row>
    <row r="63101" spans="62:62" x14ac:dyDescent="0.2">
      <c r="BJ63101" s="201"/>
    </row>
    <row r="63102" spans="62:62" x14ac:dyDescent="0.2">
      <c r="BJ63102" s="201"/>
    </row>
    <row r="63103" spans="62:62" x14ac:dyDescent="0.2">
      <c r="BJ63103" s="201"/>
    </row>
    <row r="63104" spans="62:62" x14ac:dyDescent="0.2">
      <c r="BJ63104" s="201"/>
    </row>
    <row r="63105" spans="62:62" x14ac:dyDescent="0.2">
      <c r="BJ63105" s="201"/>
    </row>
    <row r="63106" spans="62:62" x14ac:dyDescent="0.2">
      <c r="BJ63106" s="201"/>
    </row>
    <row r="63107" spans="62:62" x14ac:dyDescent="0.2">
      <c r="BJ63107" s="201"/>
    </row>
    <row r="63108" spans="62:62" x14ac:dyDescent="0.2">
      <c r="BJ63108" s="201"/>
    </row>
    <row r="63109" spans="62:62" x14ac:dyDescent="0.2">
      <c r="BJ63109" s="201"/>
    </row>
    <row r="63110" spans="62:62" x14ac:dyDescent="0.2">
      <c r="BJ63110" s="201"/>
    </row>
    <row r="63111" spans="62:62" x14ac:dyDescent="0.2">
      <c r="BJ63111" s="201"/>
    </row>
    <row r="63112" spans="62:62" x14ac:dyDescent="0.2">
      <c r="BJ63112" s="201"/>
    </row>
    <row r="63113" spans="62:62" x14ac:dyDescent="0.2">
      <c r="BJ63113" s="201"/>
    </row>
    <row r="63114" spans="62:62" x14ac:dyDescent="0.2">
      <c r="BJ63114" s="201"/>
    </row>
    <row r="63115" spans="62:62" x14ac:dyDescent="0.2">
      <c r="BJ63115" s="201"/>
    </row>
    <row r="63116" spans="62:62" x14ac:dyDescent="0.2">
      <c r="BJ63116" s="201"/>
    </row>
    <row r="63117" spans="62:62" x14ac:dyDescent="0.2">
      <c r="BJ63117" s="201"/>
    </row>
    <row r="63118" spans="62:62" x14ac:dyDescent="0.2">
      <c r="BJ63118" s="201"/>
    </row>
    <row r="63119" spans="62:62" x14ac:dyDescent="0.2">
      <c r="BJ63119" s="201"/>
    </row>
    <row r="63120" spans="62:62" x14ac:dyDescent="0.2">
      <c r="BJ63120" s="201"/>
    </row>
    <row r="63121" spans="62:62" x14ac:dyDescent="0.2">
      <c r="BJ63121" s="201"/>
    </row>
    <row r="63122" spans="62:62" x14ac:dyDescent="0.2">
      <c r="BJ63122" s="201"/>
    </row>
    <row r="63123" spans="62:62" x14ac:dyDescent="0.2">
      <c r="BJ63123" s="201"/>
    </row>
    <row r="63124" spans="62:62" x14ac:dyDescent="0.2">
      <c r="BJ63124" s="201"/>
    </row>
    <row r="63125" spans="62:62" x14ac:dyDescent="0.2">
      <c r="BJ63125" s="201"/>
    </row>
    <row r="63126" spans="62:62" x14ac:dyDescent="0.2">
      <c r="BJ63126" s="201"/>
    </row>
    <row r="63127" spans="62:62" x14ac:dyDescent="0.2">
      <c r="BJ63127" s="201"/>
    </row>
    <row r="63128" spans="62:62" x14ac:dyDescent="0.2">
      <c r="BJ63128" s="201"/>
    </row>
    <row r="63129" spans="62:62" x14ac:dyDescent="0.2">
      <c r="BJ63129" s="201"/>
    </row>
    <row r="63130" spans="62:62" x14ac:dyDescent="0.2">
      <c r="BJ63130" s="201"/>
    </row>
    <row r="63131" spans="62:62" x14ac:dyDescent="0.2">
      <c r="BJ63131" s="201"/>
    </row>
    <row r="63132" spans="62:62" x14ac:dyDescent="0.2">
      <c r="BJ63132" s="201"/>
    </row>
    <row r="63133" spans="62:62" x14ac:dyDescent="0.2">
      <c r="BJ63133" s="201"/>
    </row>
    <row r="63134" spans="62:62" x14ac:dyDescent="0.2">
      <c r="BJ63134" s="201"/>
    </row>
    <row r="63135" spans="62:62" x14ac:dyDescent="0.2">
      <c r="BJ63135" s="201"/>
    </row>
    <row r="63136" spans="62:62" x14ac:dyDescent="0.2">
      <c r="BJ63136" s="201"/>
    </row>
    <row r="63137" spans="62:62" x14ac:dyDescent="0.2">
      <c r="BJ63137" s="201"/>
    </row>
    <row r="63138" spans="62:62" x14ac:dyDescent="0.2">
      <c r="BJ63138" s="201"/>
    </row>
    <row r="63139" spans="62:62" x14ac:dyDescent="0.2">
      <c r="BJ63139" s="201"/>
    </row>
    <row r="63140" spans="62:62" x14ac:dyDescent="0.2">
      <c r="BJ63140" s="201"/>
    </row>
    <row r="63141" spans="62:62" x14ac:dyDescent="0.2">
      <c r="BJ63141" s="201"/>
    </row>
    <row r="63142" spans="62:62" x14ac:dyDescent="0.2">
      <c r="BJ63142" s="201"/>
    </row>
    <row r="63143" spans="62:62" x14ac:dyDescent="0.2">
      <c r="BJ63143" s="201"/>
    </row>
    <row r="63144" spans="62:62" x14ac:dyDescent="0.2">
      <c r="BJ63144" s="201"/>
    </row>
    <row r="63145" spans="62:62" x14ac:dyDescent="0.2">
      <c r="BJ63145" s="201"/>
    </row>
    <row r="63146" spans="62:62" x14ac:dyDescent="0.2">
      <c r="BJ63146" s="201"/>
    </row>
    <row r="63147" spans="62:62" x14ac:dyDescent="0.2">
      <c r="BJ63147" s="201"/>
    </row>
    <row r="63148" spans="62:62" x14ac:dyDescent="0.2">
      <c r="BJ63148" s="201"/>
    </row>
    <row r="63149" spans="62:62" x14ac:dyDescent="0.2">
      <c r="BJ63149" s="201"/>
    </row>
    <row r="63150" spans="62:62" x14ac:dyDescent="0.2">
      <c r="BJ63150" s="201"/>
    </row>
    <row r="63151" spans="62:62" x14ac:dyDescent="0.2">
      <c r="BJ63151" s="201"/>
    </row>
    <row r="63152" spans="62:62" x14ac:dyDescent="0.2">
      <c r="BJ63152" s="201"/>
    </row>
    <row r="63153" spans="62:62" x14ac:dyDescent="0.2">
      <c r="BJ63153" s="201"/>
    </row>
    <row r="63154" spans="62:62" x14ac:dyDescent="0.2">
      <c r="BJ63154" s="201"/>
    </row>
    <row r="63155" spans="62:62" x14ac:dyDescent="0.2">
      <c r="BJ63155" s="201"/>
    </row>
    <row r="63156" spans="62:62" x14ac:dyDescent="0.2">
      <c r="BJ63156" s="201"/>
    </row>
    <row r="63157" spans="62:62" x14ac:dyDescent="0.2">
      <c r="BJ63157" s="201"/>
    </row>
    <row r="63158" spans="62:62" x14ac:dyDescent="0.2">
      <c r="BJ63158" s="201"/>
    </row>
    <row r="63159" spans="62:62" x14ac:dyDescent="0.2">
      <c r="BJ63159" s="201"/>
    </row>
    <row r="63160" spans="62:62" x14ac:dyDescent="0.2">
      <c r="BJ63160" s="201"/>
    </row>
    <row r="63161" spans="62:62" x14ac:dyDescent="0.2">
      <c r="BJ63161" s="201"/>
    </row>
    <row r="63162" spans="62:62" x14ac:dyDescent="0.2">
      <c r="BJ63162" s="201"/>
    </row>
    <row r="63163" spans="62:62" x14ac:dyDescent="0.2">
      <c r="BJ63163" s="201"/>
    </row>
    <row r="63164" spans="62:62" x14ac:dyDescent="0.2">
      <c r="BJ63164" s="201"/>
    </row>
    <row r="63165" spans="62:62" x14ac:dyDescent="0.2">
      <c r="BJ63165" s="201"/>
    </row>
    <row r="63166" spans="62:62" x14ac:dyDescent="0.2">
      <c r="BJ63166" s="201"/>
    </row>
    <row r="63167" spans="62:62" x14ac:dyDescent="0.2">
      <c r="BJ63167" s="201"/>
    </row>
    <row r="63168" spans="62:62" x14ac:dyDescent="0.2">
      <c r="BJ63168" s="201"/>
    </row>
    <row r="63169" spans="62:62" x14ac:dyDescent="0.2">
      <c r="BJ63169" s="201"/>
    </row>
    <row r="63170" spans="62:62" x14ac:dyDescent="0.2">
      <c r="BJ63170" s="201"/>
    </row>
    <row r="63171" spans="62:62" x14ac:dyDescent="0.2">
      <c r="BJ63171" s="201"/>
    </row>
    <row r="63172" spans="62:62" x14ac:dyDescent="0.2">
      <c r="BJ63172" s="201"/>
    </row>
    <row r="63173" spans="62:62" x14ac:dyDescent="0.2">
      <c r="BJ63173" s="201"/>
    </row>
    <row r="63174" spans="62:62" x14ac:dyDescent="0.2">
      <c r="BJ63174" s="201"/>
    </row>
    <row r="63175" spans="62:62" x14ac:dyDescent="0.2">
      <c r="BJ63175" s="201"/>
    </row>
    <row r="63176" spans="62:62" x14ac:dyDescent="0.2">
      <c r="BJ63176" s="201"/>
    </row>
    <row r="63177" spans="62:62" x14ac:dyDescent="0.2">
      <c r="BJ63177" s="201"/>
    </row>
    <row r="63178" spans="62:62" x14ac:dyDescent="0.2">
      <c r="BJ63178" s="201"/>
    </row>
    <row r="63179" spans="62:62" x14ac:dyDescent="0.2">
      <c r="BJ63179" s="201"/>
    </row>
    <row r="63180" spans="62:62" x14ac:dyDescent="0.2">
      <c r="BJ63180" s="201"/>
    </row>
    <row r="63181" spans="62:62" x14ac:dyDescent="0.2">
      <c r="BJ63181" s="201"/>
    </row>
    <row r="63182" spans="62:62" x14ac:dyDescent="0.2">
      <c r="BJ63182" s="201"/>
    </row>
    <row r="63183" spans="62:62" x14ac:dyDescent="0.2">
      <c r="BJ63183" s="201"/>
    </row>
    <row r="63184" spans="62:62" x14ac:dyDescent="0.2">
      <c r="BJ63184" s="201"/>
    </row>
    <row r="63185" spans="62:62" x14ac:dyDescent="0.2">
      <c r="BJ63185" s="201"/>
    </row>
    <row r="63186" spans="62:62" x14ac:dyDescent="0.2">
      <c r="BJ63186" s="201"/>
    </row>
    <row r="63187" spans="62:62" x14ac:dyDescent="0.2">
      <c r="BJ63187" s="201"/>
    </row>
    <row r="63188" spans="62:62" x14ac:dyDescent="0.2">
      <c r="BJ63188" s="201"/>
    </row>
    <row r="63189" spans="62:62" x14ac:dyDescent="0.2">
      <c r="BJ63189" s="201"/>
    </row>
    <row r="63190" spans="62:62" x14ac:dyDescent="0.2">
      <c r="BJ63190" s="201"/>
    </row>
    <row r="63191" spans="62:62" x14ac:dyDescent="0.2">
      <c r="BJ63191" s="201"/>
    </row>
    <row r="63192" spans="62:62" x14ac:dyDescent="0.2">
      <c r="BJ63192" s="201"/>
    </row>
    <row r="63193" spans="62:62" x14ac:dyDescent="0.2">
      <c r="BJ63193" s="201"/>
    </row>
    <row r="63194" spans="62:62" x14ac:dyDescent="0.2">
      <c r="BJ63194" s="201"/>
    </row>
    <row r="63195" spans="62:62" x14ac:dyDescent="0.2">
      <c r="BJ63195" s="201"/>
    </row>
    <row r="63196" spans="62:62" x14ac:dyDescent="0.2">
      <c r="BJ63196" s="201"/>
    </row>
    <row r="63197" spans="62:62" x14ac:dyDescent="0.2">
      <c r="BJ63197" s="201"/>
    </row>
    <row r="63198" spans="62:62" x14ac:dyDescent="0.2">
      <c r="BJ63198" s="201"/>
    </row>
    <row r="63199" spans="62:62" x14ac:dyDescent="0.2">
      <c r="BJ63199" s="201"/>
    </row>
    <row r="63200" spans="62:62" x14ac:dyDescent="0.2">
      <c r="BJ63200" s="201"/>
    </row>
    <row r="63201" spans="62:62" x14ac:dyDescent="0.2">
      <c r="BJ63201" s="201"/>
    </row>
    <row r="63202" spans="62:62" x14ac:dyDescent="0.2">
      <c r="BJ63202" s="201"/>
    </row>
    <row r="63203" spans="62:62" x14ac:dyDescent="0.2">
      <c r="BJ63203" s="201"/>
    </row>
    <row r="63204" spans="62:62" x14ac:dyDescent="0.2">
      <c r="BJ63204" s="201"/>
    </row>
    <row r="63205" spans="62:62" x14ac:dyDescent="0.2">
      <c r="BJ63205" s="201"/>
    </row>
    <row r="63206" spans="62:62" x14ac:dyDescent="0.2">
      <c r="BJ63206" s="201"/>
    </row>
    <row r="63207" spans="62:62" x14ac:dyDescent="0.2">
      <c r="BJ63207" s="201"/>
    </row>
    <row r="63208" spans="62:62" x14ac:dyDescent="0.2">
      <c r="BJ63208" s="201"/>
    </row>
    <row r="63209" spans="62:62" x14ac:dyDescent="0.2">
      <c r="BJ63209" s="201"/>
    </row>
    <row r="63210" spans="62:62" x14ac:dyDescent="0.2">
      <c r="BJ63210" s="201"/>
    </row>
    <row r="63211" spans="62:62" x14ac:dyDescent="0.2">
      <c r="BJ63211" s="201"/>
    </row>
    <row r="63212" spans="62:62" x14ac:dyDescent="0.2">
      <c r="BJ63212" s="201"/>
    </row>
    <row r="63213" spans="62:62" x14ac:dyDescent="0.2">
      <c r="BJ63213" s="201"/>
    </row>
    <row r="63214" spans="62:62" x14ac:dyDescent="0.2">
      <c r="BJ63214" s="201"/>
    </row>
    <row r="63215" spans="62:62" x14ac:dyDescent="0.2">
      <c r="BJ63215" s="201"/>
    </row>
    <row r="63216" spans="62:62" x14ac:dyDescent="0.2">
      <c r="BJ63216" s="201"/>
    </row>
    <row r="63217" spans="62:62" x14ac:dyDescent="0.2">
      <c r="BJ63217" s="201"/>
    </row>
    <row r="63218" spans="62:62" x14ac:dyDescent="0.2">
      <c r="BJ63218" s="201"/>
    </row>
    <row r="63219" spans="62:62" x14ac:dyDescent="0.2">
      <c r="BJ63219" s="201"/>
    </row>
    <row r="63220" spans="62:62" x14ac:dyDescent="0.2">
      <c r="BJ63220" s="201"/>
    </row>
    <row r="63221" spans="62:62" x14ac:dyDescent="0.2">
      <c r="BJ63221" s="201"/>
    </row>
    <row r="63222" spans="62:62" x14ac:dyDescent="0.2">
      <c r="BJ63222" s="201"/>
    </row>
    <row r="63223" spans="62:62" x14ac:dyDescent="0.2">
      <c r="BJ63223" s="201"/>
    </row>
    <row r="63224" spans="62:62" x14ac:dyDescent="0.2">
      <c r="BJ63224" s="201"/>
    </row>
    <row r="63225" spans="62:62" x14ac:dyDescent="0.2">
      <c r="BJ63225" s="201"/>
    </row>
    <row r="63226" spans="62:62" x14ac:dyDescent="0.2">
      <c r="BJ63226" s="201"/>
    </row>
    <row r="63227" spans="62:62" x14ac:dyDescent="0.2">
      <c r="BJ63227" s="201"/>
    </row>
    <row r="63228" spans="62:62" x14ac:dyDescent="0.2">
      <c r="BJ63228" s="201"/>
    </row>
    <row r="63229" spans="62:62" x14ac:dyDescent="0.2">
      <c r="BJ63229" s="201"/>
    </row>
    <row r="63230" spans="62:62" x14ac:dyDescent="0.2">
      <c r="BJ63230" s="201"/>
    </row>
    <row r="63231" spans="62:62" x14ac:dyDescent="0.2">
      <c r="BJ63231" s="201"/>
    </row>
    <row r="63232" spans="62:62" x14ac:dyDescent="0.2">
      <c r="BJ63232" s="201"/>
    </row>
    <row r="63233" spans="62:62" x14ac:dyDescent="0.2">
      <c r="BJ63233" s="201"/>
    </row>
    <row r="63234" spans="62:62" x14ac:dyDescent="0.2">
      <c r="BJ63234" s="201"/>
    </row>
    <row r="63235" spans="62:62" x14ac:dyDescent="0.2">
      <c r="BJ63235" s="201"/>
    </row>
    <row r="63236" spans="62:62" x14ac:dyDescent="0.2">
      <c r="BJ63236" s="201"/>
    </row>
    <row r="63237" spans="62:62" x14ac:dyDescent="0.2">
      <c r="BJ63237" s="201"/>
    </row>
    <row r="63238" spans="62:62" x14ac:dyDescent="0.2">
      <c r="BJ63238" s="201"/>
    </row>
    <row r="63239" spans="62:62" x14ac:dyDescent="0.2">
      <c r="BJ63239" s="201"/>
    </row>
    <row r="63240" spans="62:62" x14ac:dyDescent="0.2">
      <c r="BJ63240" s="201"/>
    </row>
    <row r="63241" spans="62:62" x14ac:dyDescent="0.2">
      <c r="BJ63241" s="201"/>
    </row>
    <row r="63242" spans="62:62" x14ac:dyDescent="0.2">
      <c r="BJ63242" s="201"/>
    </row>
    <row r="63243" spans="62:62" x14ac:dyDescent="0.2">
      <c r="BJ63243" s="201"/>
    </row>
    <row r="63244" spans="62:62" x14ac:dyDescent="0.2">
      <c r="BJ63244" s="201"/>
    </row>
    <row r="63245" spans="62:62" x14ac:dyDescent="0.2">
      <c r="BJ63245" s="201"/>
    </row>
    <row r="63246" spans="62:62" x14ac:dyDescent="0.2">
      <c r="BJ63246" s="201"/>
    </row>
    <row r="63247" spans="62:62" x14ac:dyDescent="0.2">
      <c r="BJ63247" s="201"/>
    </row>
    <row r="63248" spans="62:62" x14ac:dyDescent="0.2">
      <c r="BJ63248" s="201"/>
    </row>
    <row r="63249" spans="62:62" x14ac:dyDescent="0.2">
      <c r="BJ63249" s="201"/>
    </row>
    <row r="63250" spans="62:62" x14ac:dyDescent="0.2">
      <c r="BJ63250" s="201"/>
    </row>
    <row r="63251" spans="62:62" x14ac:dyDescent="0.2">
      <c r="BJ63251" s="201"/>
    </row>
    <row r="63252" spans="62:62" x14ac:dyDescent="0.2">
      <c r="BJ63252" s="201"/>
    </row>
    <row r="63253" spans="62:62" x14ac:dyDescent="0.2">
      <c r="BJ63253" s="201"/>
    </row>
    <row r="63254" spans="62:62" x14ac:dyDescent="0.2">
      <c r="BJ63254" s="201"/>
    </row>
    <row r="63255" spans="62:62" x14ac:dyDescent="0.2">
      <c r="BJ63255" s="201"/>
    </row>
    <row r="63256" spans="62:62" x14ac:dyDescent="0.2">
      <c r="BJ63256" s="201"/>
    </row>
    <row r="63257" spans="62:62" x14ac:dyDescent="0.2">
      <c r="BJ63257" s="201"/>
    </row>
    <row r="63258" spans="62:62" x14ac:dyDescent="0.2">
      <c r="BJ63258" s="201"/>
    </row>
    <row r="63259" spans="62:62" x14ac:dyDescent="0.2">
      <c r="BJ63259" s="201"/>
    </row>
    <row r="63260" spans="62:62" x14ac:dyDescent="0.2">
      <c r="BJ63260" s="201"/>
    </row>
    <row r="63261" spans="62:62" x14ac:dyDescent="0.2">
      <c r="BJ63261" s="201"/>
    </row>
    <row r="63262" spans="62:62" x14ac:dyDescent="0.2">
      <c r="BJ63262" s="201"/>
    </row>
    <row r="63263" spans="62:62" x14ac:dyDescent="0.2">
      <c r="BJ63263" s="201"/>
    </row>
    <row r="63264" spans="62:62" x14ac:dyDescent="0.2">
      <c r="BJ63264" s="201"/>
    </row>
    <row r="63265" spans="62:62" x14ac:dyDescent="0.2">
      <c r="BJ63265" s="201"/>
    </row>
    <row r="63266" spans="62:62" x14ac:dyDescent="0.2">
      <c r="BJ63266" s="201"/>
    </row>
    <row r="63267" spans="62:62" x14ac:dyDescent="0.2">
      <c r="BJ63267" s="201"/>
    </row>
    <row r="63268" spans="62:62" x14ac:dyDescent="0.2">
      <c r="BJ63268" s="201"/>
    </row>
    <row r="63269" spans="62:62" x14ac:dyDescent="0.2">
      <c r="BJ63269" s="201"/>
    </row>
    <row r="63270" spans="62:62" x14ac:dyDescent="0.2">
      <c r="BJ63270" s="201"/>
    </row>
    <row r="63271" spans="62:62" x14ac:dyDescent="0.2">
      <c r="BJ63271" s="201"/>
    </row>
    <row r="63272" spans="62:62" x14ac:dyDescent="0.2">
      <c r="BJ63272" s="201"/>
    </row>
    <row r="63273" spans="62:62" x14ac:dyDescent="0.2">
      <c r="BJ63273" s="201"/>
    </row>
    <row r="63274" spans="62:62" x14ac:dyDescent="0.2">
      <c r="BJ63274" s="201"/>
    </row>
    <row r="63275" spans="62:62" x14ac:dyDescent="0.2">
      <c r="BJ63275" s="201"/>
    </row>
    <row r="63276" spans="62:62" x14ac:dyDescent="0.2">
      <c r="BJ63276" s="201"/>
    </row>
    <row r="63277" spans="62:62" x14ac:dyDescent="0.2">
      <c r="BJ63277" s="201"/>
    </row>
    <row r="63278" spans="62:62" x14ac:dyDescent="0.2">
      <c r="BJ63278" s="201"/>
    </row>
    <row r="63279" spans="62:62" x14ac:dyDescent="0.2">
      <c r="BJ63279" s="201"/>
    </row>
    <row r="63280" spans="62:62" x14ac:dyDescent="0.2">
      <c r="BJ63280" s="201"/>
    </row>
    <row r="63281" spans="62:62" x14ac:dyDescent="0.2">
      <c r="BJ63281" s="201"/>
    </row>
    <row r="63282" spans="62:62" x14ac:dyDescent="0.2">
      <c r="BJ63282" s="201"/>
    </row>
    <row r="63283" spans="62:62" x14ac:dyDescent="0.2">
      <c r="BJ63283" s="201"/>
    </row>
    <row r="63284" spans="62:62" x14ac:dyDescent="0.2">
      <c r="BJ63284" s="201"/>
    </row>
    <row r="63285" spans="62:62" x14ac:dyDescent="0.2">
      <c r="BJ63285" s="201"/>
    </row>
    <row r="63286" spans="62:62" x14ac:dyDescent="0.2">
      <c r="BJ63286" s="201"/>
    </row>
    <row r="63287" spans="62:62" x14ac:dyDescent="0.2">
      <c r="BJ63287" s="201"/>
    </row>
    <row r="63288" spans="62:62" x14ac:dyDescent="0.2">
      <c r="BJ63288" s="201"/>
    </row>
    <row r="63289" spans="62:62" x14ac:dyDescent="0.2">
      <c r="BJ63289" s="201"/>
    </row>
    <row r="63290" spans="62:62" x14ac:dyDescent="0.2">
      <c r="BJ63290" s="201"/>
    </row>
    <row r="63291" spans="62:62" x14ac:dyDescent="0.2">
      <c r="BJ63291" s="201"/>
    </row>
    <row r="63292" spans="62:62" x14ac:dyDescent="0.2">
      <c r="BJ63292" s="201"/>
    </row>
    <row r="63293" spans="62:62" x14ac:dyDescent="0.2">
      <c r="BJ63293" s="201"/>
    </row>
    <row r="63294" spans="62:62" x14ac:dyDescent="0.2">
      <c r="BJ63294" s="201"/>
    </row>
    <row r="63295" spans="62:62" x14ac:dyDescent="0.2">
      <c r="BJ63295" s="201"/>
    </row>
    <row r="63296" spans="62:62" x14ac:dyDescent="0.2">
      <c r="BJ63296" s="201"/>
    </row>
    <row r="63297" spans="62:62" x14ac:dyDescent="0.2">
      <c r="BJ63297" s="201"/>
    </row>
    <row r="63298" spans="62:62" x14ac:dyDescent="0.2">
      <c r="BJ63298" s="201"/>
    </row>
    <row r="63299" spans="62:62" x14ac:dyDescent="0.2">
      <c r="BJ63299" s="201"/>
    </row>
    <row r="63300" spans="62:62" x14ac:dyDescent="0.2">
      <c r="BJ63300" s="201"/>
    </row>
    <row r="63301" spans="62:62" x14ac:dyDescent="0.2">
      <c r="BJ63301" s="201"/>
    </row>
    <row r="63302" spans="62:62" x14ac:dyDescent="0.2">
      <c r="BJ63302" s="201"/>
    </row>
    <row r="63303" spans="62:62" x14ac:dyDescent="0.2">
      <c r="BJ63303" s="201"/>
    </row>
    <row r="63304" spans="62:62" x14ac:dyDescent="0.2">
      <c r="BJ63304" s="201"/>
    </row>
    <row r="63305" spans="62:62" x14ac:dyDescent="0.2">
      <c r="BJ63305" s="201"/>
    </row>
    <row r="63306" spans="62:62" x14ac:dyDescent="0.2">
      <c r="BJ63306" s="201"/>
    </row>
    <row r="63307" spans="62:62" x14ac:dyDescent="0.2">
      <c r="BJ63307" s="201"/>
    </row>
    <row r="63308" spans="62:62" x14ac:dyDescent="0.2">
      <c r="BJ63308" s="201"/>
    </row>
    <row r="63309" spans="62:62" x14ac:dyDescent="0.2">
      <c r="BJ63309" s="201"/>
    </row>
    <row r="63310" spans="62:62" x14ac:dyDescent="0.2">
      <c r="BJ63310" s="201"/>
    </row>
    <row r="63311" spans="62:62" x14ac:dyDescent="0.2">
      <c r="BJ63311" s="201"/>
    </row>
    <row r="63312" spans="62:62" x14ac:dyDescent="0.2">
      <c r="BJ63312" s="201"/>
    </row>
    <row r="63313" spans="62:62" x14ac:dyDescent="0.2">
      <c r="BJ63313" s="201"/>
    </row>
    <row r="63314" spans="62:62" x14ac:dyDescent="0.2">
      <c r="BJ63314" s="201"/>
    </row>
    <row r="63315" spans="62:62" x14ac:dyDescent="0.2">
      <c r="BJ63315" s="201"/>
    </row>
    <row r="63316" spans="62:62" x14ac:dyDescent="0.2">
      <c r="BJ63316" s="201"/>
    </row>
    <row r="63317" spans="62:62" x14ac:dyDescent="0.2">
      <c r="BJ63317" s="201"/>
    </row>
    <row r="63318" spans="62:62" x14ac:dyDescent="0.2">
      <c r="BJ63318" s="201"/>
    </row>
    <row r="63319" spans="62:62" x14ac:dyDescent="0.2">
      <c r="BJ63319" s="201"/>
    </row>
    <row r="63320" spans="62:62" x14ac:dyDescent="0.2">
      <c r="BJ63320" s="201"/>
    </row>
    <row r="63321" spans="62:62" x14ac:dyDescent="0.2">
      <c r="BJ63321" s="201"/>
    </row>
    <row r="63322" spans="62:62" x14ac:dyDescent="0.2">
      <c r="BJ63322" s="201"/>
    </row>
    <row r="63323" spans="62:62" x14ac:dyDescent="0.2">
      <c r="BJ63323" s="201"/>
    </row>
    <row r="63324" spans="62:62" x14ac:dyDescent="0.2">
      <c r="BJ63324" s="201"/>
    </row>
    <row r="63325" spans="62:62" x14ac:dyDescent="0.2">
      <c r="BJ63325" s="201"/>
    </row>
    <row r="63326" spans="62:62" x14ac:dyDescent="0.2">
      <c r="BJ63326" s="201"/>
    </row>
    <row r="63327" spans="62:62" x14ac:dyDescent="0.2">
      <c r="BJ63327" s="201"/>
    </row>
    <row r="63328" spans="62:62" x14ac:dyDescent="0.2">
      <c r="BJ63328" s="201"/>
    </row>
    <row r="63329" spans="62:62" x14ac:dyDescent="0.2">
      <c r="BJ63329" s="201"/>
    </row>
    <row r="63330" spans="62:62" x14ac:dyDescent="0.2">
      <c r="BJ63330" s="201"/>
    </row>
    <row r="63331" spans="62:62" x14ac:dyDescent="0.2">
      <c r="BJ63331" s="201"/>
    </row>
    <row r="63332" spans="62:62" x14ac:dyDescent="0.2">
      <c r="BJ63332" s="201"/>
    </row>
    <row r="63333" spans="62:62" x14ac:dyDescent="0.2">
      <c r="BJ63333" s="201"/>
    </row>
    <row r="63334" spans="62:62" x14ac:dyDescent="0.2">
      <c r="BJ63334" s="201"/>
    </row>
    <row r="63335" spans="62:62" x14ac:dyDescent="0.2">
      <c r="BJ63335" s="201"/>
    </row>
    <row r="63336" spans="62:62" x14ac:dyDescent="0.2">
      <c r="BJ63336" s="201"/>
    </row>
    <row r="63337" spans="62:62" x14ac:dyDescent="0.2">
      <c r="BJ63337" s="201"/>
    </row>
    <row r="63338" spans="62:62" x14ac:dyDescent="0.2">
      <c r="BJ63338" s="201"/>
    </row>
    <row r="63339" spans="62:62" x14ac:dyDescent="0.2">
      <c r="BJ63339" s="201"/>
    </row>
    <row r="63340" spans="62:62" x14ac:dyDescent="0.2">
      <c r="BJ63340" s="201"/>
    </row>
    <row r="63341" spans="62:62" x14ac:dyDescent="0.2">
      <c r="BJ63341" s="201"/>
    </row>
    <row r="63342" spans="62:62" x14ac:dyDescent="0.2">
      <c r="BJ63342" s="201"/>
    </row>
    <row r="63343" spans="62:62" x14ac:dyDescent="0.2">
      <c r="BJ63343" s="201"/>
    </row>
    <row r="63344" spans="62:62" x14ac:dyDescent="0.2">
      <c r="BJ63344" s="201"/>
    </row>
    <row r="63345" spans="62:62" x14ac:dyDescent="0.2">
      <c r="BJ63345" s="201"/>
    </row>
    <row r="63346" spans="62:62" x14ac:dyDescent="0.2">
      <c r="BJ63346" s="201"/>
    </row>
    <row r="63347" spans="62:62" x14ac:dyDescent="0.2">
      <c r="BJ63347" s="201"/>
    </row>
    <row r="63348" spans="62:62" x14ac:dyDescent="0.2">
      <c r="BJ63348" s="201"/>
    </row>
    <row r="63349" spans="62:62" x14ac:dyDescent="0.2">
      <c r="BJ63349" s="201"/>
    </row>
    <row r="63350" spans="62:62" x14ac:dyDescent="0.2">
      <c r="BJ63350" s="201"/>
    </row>
    <row r="63351" spans="62:62" x14ac:dyDescent="0.2">
      <c r="BJ63351" s="201"/>
    </row>
    <row r="63352" spans="62:62" x14ac:dyDescent="0.2">
      <c r="BJ63352" s="201"/>
    </row>
    <row r="63353" spans="62:62" x14ac:dyDescent="0.2">
      <c r="BJ63353" s="201"/>
    </row>
    <row r="63354" spans="62:62" x14ac:dyDescent="0.2">
      <c r="BJ63354" s="201"/>
    </row>
    <row r="63355" spans="62:62" x14ac:dyDescent="0.2">
      <c r="BJ63355" s="201"/>
    </row>
    <row r="63356" spans="62:62" x14ac:dyDescent="0.2">
      <c r="BJ63356" s="201"/>
    </row>
    <row r="63357" spans="62:62" x14ac:dyDescent="0.2">
      <c r="BJ63357" s="201"/>
    </row>
    <row r="63358" spans="62:62" x14ac:dyDescent="0.2">
      <c r="BJ63358" s="201"/>
    </row>
    <row r="63359" spans="62:62" x14ac:dyDescent="0.2">
      <c r="BJ63359" s="201"/>
    </row>
    <row r="63360" spans="62:62" x14ac:dyDescent="0.2">
      <c r="BJ63360" s="201"/>
    </row>
    <row r="63361" spans="62:62" x14ac:dyDescent="0.2">
      <c r="BJ63361" s="201"/>
    </row>
    <row r="63362" spans="62:62" x14ac:dyDescent="0.2">
      <c r="BJ63362" s="201"/>
    </row>
    <row r="63363" spans="62:62" x14ac:dyDescent="0.2">
      <c r="BJ63363" s="201"/>
    </row>
    <row r="63364" spans="62:62" x14ac:dyDescent="0.2">
      <c r="BJ63364" s="201"/>
    </row>
    <row r="63365" spans="62:62" x14ac:dyDescent="0.2">
      <c r="BJ63365" s="201"/>
    </row>
    <row r="63366" spans="62:62" x14ac:dyDescent="0.2">
      <c r="BJ63366" s="201"/>
    </row>
    <row r="63367" spans="62:62" x14ac:dyDescent="0.2">
      <c r="BJ63367" s="201"/>
    </row>
    <row r="63368" spans="62:62" x14ac:dyDescent="0.2">
      <c r="BJ63368" s="201"/>
    </row>
    <row r="63369" spans="62:62" x14ac:dyDescent="0.2">
      <c r="BJ63369" s="201"/>
    </row>
    <row r="63370" spans="62:62" x14ac:dyDescent="0.2">
      <c r="BJ63370" s="201"/>
    </row>
    <row r="63371" spans="62:62" x14ac:dyDescent="0.2">
      <c r="BJ63371" s="201"/>
    </row>
    <row r="63372" spans="62:62" x14ac:dyDescent="0.2">
      <c r="BJ63372" s="201"/>
    </row>
    <row r="63373" spans="62:62" x14ac:dyDescent="0.2">
      <c r="BJ63373" s="201"/>
    </row>
    <row r="63374" spans="62:62" x14ac:dyDescent="0.2">
      <c r="BJ63374" s="201"/>
    </row>
    <row r="63375" spans="62:62" x14ac:dyDescent="0.2">
      <c r="BJ63375" s="201"/>
    </row>
    <row r="63376" spans="62:62" x14ac:dyDescent="0.2">
      <c r="BJ63376" s="201"/>
    </row>
    <row r="63377" spans="62:62" x14ac:dyDescent="0.2">
      <c r="BJ63377" s="201"/>
    </row>
    <row r="63378" spans="62:62" x14ac:dyDescent="0.2">
      <c r="BJ63378" s="201"/>
    </row>
    <row r="63379" spans="62:62" x14ac:dyDescent="0.2">
      <c r="BJ63379" s="201"/>
    </row>
    <row r="63380" spans="62:62" x14ac:dyDescent="0.2">
      <c r="BJ63380" s="201"/>
    </row>
    <row r="63381" spans="62:62" x14ac:dyDescent="0.2">
      <c r="BJ63381" s="201"/>
    </row>
    <row r="63382" spans="62:62" x14ac:dyDescent="0.2">
      <c r="BJ63382" s="201"/>
    </row>
    <row r="63383" spans="62:62" x14ac:dyDescent="0.2">
      <c r="BJ63383" s="201"/>
    </row>
    <row r="63384" spans="62:62" x14ac:dyDescent="0.2">
      <c r="BJ63384" s="201"/>
    </row>
    <row r="63385" spans="62:62" x14ac:dyDescent="0.2">
      <c r="BJ63385" s="201"/>
    </row>
    <row r="63386" spans="62:62" x14ac:dyDescent="0.2">
      <c r="BJ63386" s="201"/>
    </row>
    <row r="63387" spans="62:62" x14ac:dyDescent="0.2">
      <c r="BJ63387" s="201"/>
    </row>
    <row r="63388" spans="62:62" x14ac:dyDescent="0.2">
      <c r="BJ63388" s="201"/>
    </row>
    <row r="63389" spans="62:62" x14ac:dyDescent="0.2">
      <c r="BJ63389" s="201"/>
    </row>
    <row r="63390" spans="62:62" x14ac:dyDescent="0.2">
      <c r="BJ63390" s="201"/>
    </row>
    <row r="63391" spans="62:62" x14ac:dyDescent="0.2">
      <c r="BJ63391" s="201"/>
    </row>
    <row r="63392" spans="62:62" x14ac:dyDescent="0.2">
      <c r="BJ63392" s="201"/>
    </row>
    <row r="63393" spans="62:62" x14ac:dyDescent="0.2">
      <c r="BJ63393" s="201"/>
    </row>
    <row r="63394" spans="62:62" x14ac:dyDescent="0.2">
      <c r="BJ63394" s="201"/>
    </row>
    <row r="63395" spans="62:62" x14ac:dyDescent="0.2">
      <c r="BJ63395" s="201"/>
    </row>
    <row r="63396" spans="62:62" x14ac:dyDescent="0.2">
      <c r="BJ63396" s="201"/>
    </row>
    <row r="63397" spans="62:62" x14ac:dyDescent="0.2">
      <c r="BJ63397" s="201"/>
    </row>
    <row r="63398" spans="62:62" x14ac:dyDescent="0.2">
      <c r="BJ63398" s="201"/>
    </row>
    <row r="63399" spans="62:62" x14ac:dyDescent="0.2">
      <c r="BJ63399" s="201"/>
    </row>
    <row r="63400" spans="62:62" x14ac:dyDescent="0.2">
      <c r="BJ63400" s="201"/>
    </row>
    <row r="63401" spans="62:62" x14ac:dyDescent="0.2">
      <c r="BJ63401" s="201"/>
    </row>
    <row r="63402" spans="62:62" x14ac:dyDescent="0.2">
      <c r="BJ63402" s="201"/>
    </row>
    <row r="63403" spans="62:62" x14ac:dyDescent="0.2">
      <c r="BJ63403" s="201"/>
    </row>
    <row r="63404" spans="62:62" x14ac:dyDescent="0.2">
      <c r="BJ63404" s="201"/>
    </row>
    <row r="63405" spans="62:62" x14ac:dyDescent="0.2">
      <c r="BJ63405" s="201"/>
    </row>
    <row r="63406" spans="62:62" x14ac:dyDescent="0.2">
      <c r="BJ63406" s="201"/>
    </row>
    <row r="63407" spans="62:62" x14ac:dyDescent="0.2">
      <c r="BJ63407" s="201"/>
    </row>
    <row r="63408" spans="62:62" x14ac:dyDescent="0.2">
      <c r="BJ63408" s="201"/>
    </row>
    <row r="63409" spans="62:62" x14ac:dyDescent="0.2">
      <c r="BJ63409" s="201"/>
    </row>
    <row r="63410" spans="62:62" x14ac:dyDescent="0.2">
      <c r="BJ63410" s="201"/>
    </row>
    <row r="63411" spans="62:62" x14ac:dyDescent="0.2">
      <c r="BJ63411" s="201"/>
    </row>
    <row r="63412" spans="62:62" x14ac:dyDescent="0.2">
      <c r="BJ63412" s="201"/>
    </row>
    <row r="63413" spans="62:62" x14ac:dyDescent="0.2">
      <c r="BJ63413" s="201"/>
    </row>
    <row r="63414" spans="62:62" x14ac:dyDescent="0.2">
      <c r="BJ63414" s="201"/>
    </row>
    <row r="63415" spans="62:62" x14ac:dyDescent="0.2">
      <c r="BJ63415" s="201"/>
    </row>
    <row r="63416" spans="62:62" x14ac:dyDescent="0.2">
      <c r="BJ63416" s="201"/>
    </row>
    <row r="63417" spans="62:62" x14ac:dyDescent="0.2">
      <c r="BJ63417" s="201"/>
    </row>
    <row r="63418" spans="62:62" x14ac:dyDescent="0.2">
      <c r="BJ63418" s="201"/>
    </row>
    <row r="63419" spans="62:62" x14ac:dyDescent="0.2">
      <c r="BJ63419" s="201"/>
    </row>
    <row r="63420" spans="62:62" x14ac:dyDescent="0.2">
      <c r="BJ63420" s="201"/>
    </row>
    <row r="63421" spans="62:62" x14ac:dyDescent="0.2">
      <c r="BJ63421" s="201"/>
    </row>
    <row r="63422" spans="62:62" x14ac:dyDescent="0.2">
      <c r="BJ63422" s="201"/>
    </row>
    <row r="63423" spans="62:62" x14ac:dyDescent="0.2">
      <c r="BJ63423" s="201"/>
    </row>
    <row r="63424" spans="62:62" x14ac:dyDescent="0.2">
      <c r="BJ63424" s="201"/>
    </row>
    <row r="63425" spans="62:62" x14ac:dyDescent="0.2">
      <c r="BJ63425" s="201"/>
    </row>
    <row r="63426" spans="62:62" x14ac:dyDescent="0.2">
      <c r="BJ63426" s="201"/>
    </row>
    <row r="63427" spans="62:62" x14ac:dyDescent="0.2">
      <c r="BJ63427" s="201"/>
    </row>
    <row r="63428" spans="62:62" x14ac:dyDescent="0.2">
      <c r="BJ63428" s="201"/>
    </row>
    <row r="63429" spans="62:62" x14ac:dyDescent="0.2">
      <c r="BJ63429" s="201"/>
    </row>
    <row r="63430" spans="62:62" x14ac:dyDescent="0.2">
      <c r="BJ63430" s="201"/>
    </row>
    <row r="63431" spans="62:62" x14ac:dyDescent="0.2">
      <c r="BJ63431" s="201"/>
    </row>
    <row r="63432" spans="62:62" x14ac:dyDescent="0.2">
      <c r="BJ63432" s="201"/>
    </row>
    <row r="63433" spans="62:62" x14ac:dyDescent="0.2">
      <c r="BJ63433" s="201"/>
    </row>
    <row r="63434" spans="62:62" x14ac:dyDescent="0.2">
      <c r="BJ63434" s="201"/>
    </row>
    <row r="63435" spans="62:62" x14ac:dyDescent="0.2">
      <c r="BJ63435" s="201"/>
    </row>
    <row r="63436" spans="62:62" x14ac:dyDescent="0.2">
      <c r="BJ63436" s="201"/>
    </row>
    <row r="63437" spans="62:62" x14ac:dyDescent="0.2">
      <c r="BJ63437" s="201"/>
    </row>
    <row r="63438" spans="62:62" x14ac:dyDescent="0.2">
      <c r="BJ63438" s="201"/>
    </row>
    <row r="63439" spans="62:62" x14ac:dyDescent="0.2">
      <c r="BJ63439" s="201"/>
    </row>
    <row r="63440" spans="62:62" x14ac:dyDescent="0.2">
      <c r="BJ63440" s="201"/>
    </row>
    <row r="63441" spans="62:62" x14ac:dyDescent="0.2">
      <c r="BJ63441" s="201"/>
    </row>
    <row r="63442" spans="62:62" x14ac:dyDescent="0.2">
      <c r="BJ63442" s="201"/>
    </row>
    <row r="63443" spans="62:62" x14ac:dyDescent="0.2">
      <c r="BJ63443" s="201"/>
    </row>
    <row r="63444" spans="62:62" x14ac:dyDescent="0.2">
      <c r="BJ63444" s="201"/>
    </row>
    <row r="63445" spans="62:62" x14ac:dyDescent="0.2">
      <c r="BJ63445" s="201"/>
    </row>
    <row r="63446" spans="62:62" x14ac:dyDescent="0.2">
      <c r="BJ63446" s="201"/>
    </row>
    <row r="63447" spans="62:62" x14ac:dyDescent="0.2">
      <c r="BJ63447" s="201"/>
    </row>
    <row r="63448" spans="62:62" x14ac:dyDescent="0.2">
      <c r="BJ63448" s="201"/>
    </row>
    <row r="63449" spans="62:62" x14ac:dyDescent="0.2">
      <c r="BJ63449" s="201"/>
    </row>
    <row r="63450" spans="62:62" x14ac:dyDescent="0.2">
      <c r="BJ63450" s="201"/>
    </row>
    <row r="63451" spans="62:62" x14ac:dyDescent="0.2">
      <c r="BJ63451" s="201"/>
    </row>
    <row r="63452" spans="62:62" x14ac:dyDescent="0.2">
      <c r="BJ63452" s="201"/>
    </row>
    <row r="63453" spans="62:62" x14ac:dyDescent="0.2">
      <c r="BJ63453" s="201"/>
    </row>
    <row r="63454" spans="62:62" x14ac:dyDescent="0.2">
      <c r="BJ63454" s="201"/>
    </row>
    <row r="63455" spans="62:62" x14ac:dyDescent="0.2">
      <c r="BJ63455" s="201"/>
    </row>
    <row r="63456" spans="62:62" x14ac:dyDescent="0.2">
      <c r="BJ63456" s="201"/>
    </row>
    <row r="63457" spans="62:62" x14ac:dyDescent="0.2">
      <c r="BJ63457" s="201"/>
    </row>
    <row r="63458" spans="62:62" x14ac:dyDescent="0.2">
      <c r="BJ63458" s="201"/>
    </row>
    <row r="63459" spans="62:62" x14ac:dyDescent="0.2">
      <c r="BJ63459" s="201"/>
    </row>
    <row r="63460" spans="62:62" x14ac:dyDescent="0.2">
      <c r="BJ63460" s="201"/>
    </row>
    <row r="63461" spans="62:62" x14ac:dyDescent="0.2">
      <c r="BJ63461" s="201"/>
    </row>
    <row r="63462" spans="62:62" x14ac:dyDescent="0.2">
      <c r="BJ63462" s="201"/>
    </row>
    <row r="63463" spans="62:62" x14ac:dyDescent="0.2">
      <c r="BJ63463" s="201"/>
    </row>
    <row r="63464" spans="62:62" x14ac:dyDescent="0.2">
      <c r="BJ63464" s="201"/>
    </row>
    <row r="63465" spans="62:62" x14ac:dyDescent="0.2">
      <c r="BJ63465" s="201"/>
    </row>
    <row r="63466" spans="62:62" x14ac:dyDescent="0.2">
      <c r="BJ63466" s="201"/>
    </row>
    <row r="63467" spans="62:62" x14ac:dyDescent="0.2">
      <c r="BJ63467" s="201"/>
    </row>
    <row r="63468" spans="62:62" x14ac:dyDescent="0.2">
      <c r="BJ63468" s="201"/>
    </row>
    <row r="63469" spans="62:62" x14ac:dyDescent="0.2">
      <c r="BJ63469" s="201"/>
    </row>
    <row r="63470" spans="62:62" x14ac:dyDescent="0.2">
      <c r="BJ63470" s="201"/>
    </row>
    <row r="63471" spans="62:62" x14ac:dyDescent="0.2">
      <c r="BJ63471" s="201"/>
    </row>
    <row r="63472" spans="62:62" x14ac:dyDescent="0.2">
      <c r="BJ63472" s="201"/>
    </row>
    <row r="63473" spans="62:62" x14ac:dyDescent="0.2">
      <c r="BJ63473" s="201"/>
    </row>
    <row r="63474" spans="62:62" x14ac:dyDescent="0.2">
      <c r="BJ63474" s="201"/>
    </row>
    <row r="63475" spans="62:62" x14ac:dyDescent="0.2">
      <c r="BJ63475" s="201"/>
    </row>
    <row r="63476" spans="62:62" x14ac:dyDescent="0.2">
      <c r="BJ63476" s="201"/>
    </row>
    <row r="63477" spans="62:62" x14ac:dyDescent="0.2">
      <c r="BJ63477" s="201"/>
    </row>
    <row r="63478" spans="62:62" x14ac:dyDescent="0.2">
      <c r="BJ63478" s="201"/>
    </row>
    <row r="63479" spans="62:62" x14ac:dyDescent="0.2">
      <c r="BJ63479" s="201"/>
    </row>
    <row r="63480" spans="62:62" x14ac:dyDescent="0.2">
      <c r="BJ63480" s="201"/>
    </row>
    <row r="63481" spans="62:62" x14ac:dyDescent="0.2">
      <c r="BJ63481" s="201"/>
    </row>
    <row r="63482" spans="62:62" x14ac:dyDescent="0.2">
      <c r="BJ63482" s="201"/>
    </row>
    <row r="63483" spans="62:62" x14ac:dyDescent="0.2">
      <c r="BJ63483" s="201"/>
    </row>
    <row r="63484" spans="62:62" x14ac:dyDescent="0.2">
      <c r="BJ63484" s="201"/>
    </row>
    <row r="63485" spans="62:62" x14ac:dyDescent="0.2">
      <c r="BJ63485" s="201"/>
    </row>
    <row r="63486" spans="62:62" x14ac:dyDescent="0.2">
      <c r="BJ63486" s="201"/>
    </row>
    <row r="63487" spans="62:62" x14ac:dyDescent="0.2">
      <c r="BJ63487" s="201"/>
    </row>
    <row r="63488" spans="62:62" x14ac:dyDescent="0.2">
      <c r="BJ63488" s="201"/>
    </row>
    <row r="63489" spans="62:62" x14ac:dyDescent="0.2">
      <c r="BJ63489" s="201"/>
    </row>
    <row r="63490" spans="62:62" x14ac:dyDescent="0.2">
      <c r="BJ63490" s="201"/>
    </row>
    <row r="63491" spans="62:62" x14ac:dyDescent="0.2">
      <c r="BJ63491" s="201"/>
    </row>
    <row r="63492" spans="62:62" x14ac:dyDescent="0.2">
      <c r="BJ63492" s="201"/>
    </row>
    <row r="63493" spans="62:62" x14ac:dyDescent="0.2">
      <c r="BJ63493" s="201"/>
    </row>
    <row r="63494" spans="62:62" x14ac:dyDescent="0.2">
      <c r="BJ63494" s="201"/>
    </row>
    <row r="63495" spans="62:62" x14ac:dyDescent="0.2">
      <c r="BJ63495" s="201"/>
    </row>
    <row r="63496" spans="62:62" x14ac:dyDescent="0.2">
      <c r="BJ63496" s="201"/>
    </row>
    <row r="63497" spans="62:62" x14ac:dyDescent="0.2">
      <c r="BJ63497" s="201"/>
    </row>
    <row r="63498" spans="62:62" x14ac:dyDescent="0.2">
      <c r="BJ63498" s="201"/>
    </row>
    <row r="63499" spans="62:62" x14ac:dyDescent="0.2">
      <c r="BJ63499" s="201"/>
    </row>
    <row r="63500" spans="62:62" x14ac:dyDescent="0.2">
      <c r="BJ63500" s="201"/>
    </row>
    <row r="63501" spans="62:62" x14ac:dyDescent="0.2">
      <c r="BJ63501" s="201"/>
    </row>
    <row r="63502" spans="62:62" x14ac:dyDescent="0.2">
      <c r="BJ63502" s="201"/>
    </row>
    <row r="63503" spans="62:62" x14ac:dyDescent="0.2">
      <c r="BJ63503" s="201"/>
    </row>
    <row r="63504" spans="62:62" x14ac:dyDescent="0.2">
      <c r="BJ63504" s="201"/>
    </row>
    <row r="63505" spans="62:62" x14ac:dyDescent="0.2">
      <c r="BJ63505" s="201"/>
    </row>
    <row r="63506" spans="62:62" x14ac:dyDescent="0.2">
      <c r="BJ63506" s="201"/>
    </row>
    <row r="63507" spans="62:62" x14ac:dyDescent="0.2">
      <c r="BJ63507" s="201"/>
    </row>
    <row r="63508" spans="62:62" x14ac:dyDescent="0.2">
      <c r="BJ63508" s="201"/>
    </row>
    <row r="63509" spans="62:62" x14ac:dyDescent="0.2">
      <c r="BJ63509" s="201"/>
    </row>
    <row r="63510" spans="62:62" x14ac:dyDescent="0.2">
      <c r="BJ63510" s="201"/>
    </row>
    <row r="63511" spans="62:62" x14ac:dyDescent="0.2">
      <c r="BJ63511" s="201"/>
    </row>
    <row r="63512" spans="62:62" x14ac:dyDescent="0.2">
      <c r="BJ63512" s="201"/>
    </row>
    <row r="63513" spans="62:62" x14ac:dyDescent="0.2">
      <c r="BJ63513" s="201"/>
    </row>
    <row r="63514" spans="62:62" x14ac:dyDescent="0.2">
      <c r="BJ63514" s="201"/>
    </row>
    <row r="63515" spans="62:62" x14ac:dyDescent="0.2">
      <c r="BJ63515" s="201"/>
    </row>
    <row r="63516" spans="62:62" x14ac:dyDescent="0.2">
      <c r="BJ63516" s="201"/>
    </row>
    <row r="63517" spans="62:62" x14ac:dyDescent="0.2">
      <c r="BJ63517" s="201"/>
    </row>
    <row r="63518" spans="62:62" x14ac:dyDescent="0.2">
      <c r="BJ63518" s="201"/>
    </row>
    <row r="63519" spans="62:62" x14ac:dyDescent="0.2">
      <c r="BJ63519" s="201"/>
    </row>
    <row r="63520" spans="62:62" x14ac:dyDescent="0.2">
      <c r="BJ63520" s="201"/>
    </row>
    <row r="63521" spans="62:62" x14ac:dyDescent="0.2">
      <c r="BJ63521" s="201"/>
    </row>
    <row r="63522" spans="62:62" x14ac:dyDescent="0.2">
      <c r="BJ63522" s="201"/>
    </row>
    <row r="63523" spans="62:62" x14ac:dyDescent="0.2">
      <c r="BJ63523" s="201"/>
    </row>
    <row r="63524" spans="62:62" x14ac:dyDescent="0.2">
      <c r="BJ63524" s="201"/>
    </row>
    <row r="63525" spans="62:62" x14ac:dyDescent="0.2">
      <c r="BJ63525" s="201"/>
    </row>
    <row r="63526" spans="62:62" x14ac:dyDescent="0.2">
      <c r="BJ63526" s="201"/>
    </row>
    <row r="63527" spans="62:62" x14ac:dyDescent="0.2">
      <c r="BJ63527" s="201"/>
    </row>
    <row r="63528" spans="62:62" x14ac:dyDescent="0.2">
      <c r="BJ63528" s="201"/>
    </row>
    <row r="63529" spans="62:62" x14ac:dyDescent="0.2">
      <c r="BJ63529" s="201"/>
    </row>
    <row r="63530" spans="62:62" x14ac:dyDescent="0.2">
      <c r="BJ63530" s="201"/>
    </row>
    <row r="63531" spans="62:62" x14ac:dyDescent="0.2">
      <c r="BJ63531" s="201"/>
    </row>
    <row r="63532" spans="62:62" x14ac:dyDescent="0.2">
      <c r="BJ63532" s="201"/>
    </row>
    <row r="63533" spans="62:62" x14ac:dyDescent="0.2">
      <c r="BJ63533" s="201"/>
    </row>
    <row r="63534" spans="62:62" x14ac:dyDescent="0.2">
      <c r="BJ63534" s="201"/>
    </row>
    <row r="63535" spans="62:62" x14ac:dyDescent="0.2">
      <c r="BJ63535" s="201"/>
    </row>
    <row r="63536" spans="62:62" x14ac:dyDescent="0.2">
      <c r="BJ63536" s="201"/>
    </row>
    <row r="63537" spans="62:62" x14ac:dyDescent="0.2">
      <c r="BJ63537" s="201"/>
    </row>
    <row r="63538" spans="62:62" x14ac:dyDescent="0.2">
      <c r="BJ63538" s="201"/>
    </row>
    <row r="63539" spans="62:62" x14ac:dyDescent="0.2">
      <c r="BJ63539" s="201"/>
    </row>
    <row r="63540" spans="62:62" x14ac:dyDescent="0.2">
      <c r="BJ63540" s="201"/>
    </row>
    <row r="63541" spans="62:62" x14ac:dyDescent="0.2">
      <c r="BJ63541" s="201"/>
    </row>
    <row r="63542" spans="62:62" x14ac:dyDescent="0.2">
      <c r="BJ63542" s="201"/>
    </row>
    <row r="63543" spans="62:62" x14ac:dyDescent="0.2">
      <c r="BJ63543" s="201"/>
    </row>
    <row r="63544" spans="62:62" x14ac:dyDescent="0.2">
      <c r="BJ63544" s="201"/>
    </row>
    <row r="63545" spans="62:62" x14ac:dyDescent="0.2">
      <c r="BJ63545" s="201"/>
    </row>
    <row r="63546" spans="62:62" x14ac:dyDescent="0.2">
      <c r="BJ63546" s="201"/>
    </row>
    <row r="63547" spans="62:62" x14ac:dyDescent="0.2">
      <c r="BJ63547" s="201"/>
    </row>
    <row r="63548" spans="62:62" x14ac:dyDescent="0.2">
      <c r="BJ63548" s="201"/>
    </row>
    <row r="63549" spans="62:62" x14ac:dyDescent="0.2">
      <c r="BJ63549" s="201"/>
    </row>
    <row r="63550" spans="62:62" x14ac:dyDescent="0.2">
      <c r="BJ63550" s="201"/>
    </row>
    <row r="63551" spans="62:62" x14ac:dyDescent="0.2">
      <c r="BJ63551" s="201"/>
    </row>
    <row r="63552" spans="62:62" x14ac:dyDescent="0.2">
      <c r="BJ63552" s="201"/>
    </row>
    <row r="63553" spans="62:62" x14ac:dyDescent="0.2">
      <c r="BJ63553" s="201"/>
    </row>
    <row r="63554" spans="62:62" x14ac:dyDescent="0.2">
      <c r="BJ63554" s="201"/>
    </row>
    <row r="63555" spans="62:62" x14ac:dyDescent="0.2">
      <c r="BJ63555" s="201"/>
    </row>
    <row r="63556" spans="62:62" x14ac:dyDescent="0.2">
      <c r="BJ63556" s="201"/>
    </row>
    <row r="63557" spans="62:62" x14ac:dyDescent="0.2">
      <c r="BJ63557" s="201"/>
    </row>
    <row r="63558" spans="62:62" x14ac:dyDescent="0.2">
      <c r="BJ63558" s="201"/>
    </row>
    <row r="63559" spans="62:62" x14ac:dyDescent="0.2">
      <c r="BJ63559" s="201"/>
    </row>
    <row r="63560" spans="62:62" x14ac:dyDescent="0.2">
      <c r="BJ63560" s="201"/>
    </row>
    <row r="63561" spans="62:62" x14ac:dyDescent="0.2">
      <c r="BJ63561" s="201"/>
    </row>
    <row r="63562" spans="62:62" x14ac:dyDescent="0.2">
      <c r="BJ63562" s="201"/>
    </row>
    <row r="63563" spans="62:62" x14ac:dyDescent="0.2">
      <c r="BJ63563" s="201"/>
    </row>
    <row r="63564" spans="62:62" x14ac:dyDescent="0.2">
      <c r="BJ63564" s="201"/>
    </row>
    <row r="63565" spans="62:62" x14ac:dyDescent="0.2">
      <c r="BJ63565" s="201"/>
    </row>
    <row r="63566" spans="62:62" x14ac:dyDescent="0.2">
      <c r="BJ63566" s="201"/>
    </row>
    <row r="63567" spans="62:62" x14ac:dyDescent="0.2">
      <c r="BJ63567" s="201"/>
    </row>
    <row r="63568" spans="62:62" x14ac:dyDescent="0.2">
      <c r="BJ63568" s="201"/>
    </row>
    <row r="63569" spans="62:62" x14ac:dyDescent="0.2">
      <c r="BJ63569" s="201"/>
    </row>
    <row r="63570" spans="62:62" x14ac:dyDescent="0.2">
      <c r="BJ63570" s="201"/>
    </row>
    <row r="63571" spans="62:62" x14ac:dyDescent="0.2">
      <c r="BJ63571" s="201"/>
    </row>
    <row r="63572" spans="62:62" x14ac:dyDescent="0.2">
      <c r="BJ63572" s="201"/>
    </row>
    <row r="63573" spans="62:62" x14ac:dyDescent="0.2">
      <c r="BJ63573" s="201"/>
    </row>
    <row r="63574" spans="62:62" x14ac:dyDescent="0.2">
      <c r="BJ63574" s="201"/>
    </row>
    <row r="63575" spans="62:62" x14ac:dyDescent="0.2">
      <c r="BJ63575" s="201"/>
    </row>
    <row r="63576" spans="62:62" x14ac:dyDescent="0.2">
      <c r="BJ63576" s="201"/>
    </row>
    <row r="63577" spans="62:62" x14ac:dyDescent="0.2">
      <c r="BJ63577" s="201"/>
    </row>
    <row r="63578" spans="62:62" x14ac:dyDescent="0.2">
      <c r="BJ63578" s="201"/>
    </row>
    <row r="63579" spans="62:62" x14ac:dyDescent="0.2">
      <c r="BJ63579" s="201"/>
    </row>
    <row r="63580" spans="62:62" x14ac:dyDescent="0.2">
      <c r="BJ63580" s="201"/>
    </row>
    <row r="63581" spans="62:62" x14ac:dyDescent="0.2">
      <c r="BJ63581" s="201"/>
    </row>
    <row r="63582" spans="62:62" x14ac:dyDescent="0.2">
      <c r="BJ63582" s="201"/>
    </row>
    <row r="63583" spans="62:62" x14ac:dyDescent="0.2">
      <c r="BJ63583" s="201"/>
    </row>
    <row r="63584" spans="62:62" x14ac:dyDescent="0.2">
      <c r="BJ63584" s="201"/>
    </row>
    <row r="63585" spans="62:62" x14ac:dyDescent="0.2">
      <c r="BJ63585" s="201"/>
    </row>
    <row r="63586" spans="62:62" x14ac:dyDescent="0.2">
      <c r="BJ63586" s="201"/>
    </row>
    <row r="63587" spans="62:62" x14ac:dyDescent="0.2">
      <c r="BJ63587" s="201"/>
    </row>
    <row r="63588" spans="62:62" x14ac:dyDescent="0.2">
      <c r="BJ63588" s="201"/>
    </row>
    <row r="63589" spans="62:62" x14ac:dyDescent="0.2">
      <c r="BJ63589" s="201"/>
    </row>
    <row r="63590" spans="62:62" x14ac:dyDescent="0.2">
      <c r="BJ63590" s="201"/>
    </row>
    <row r="63591" spans="62:62" x14ac:dyDescent="0.2">
      <c r="BJ63591" s="201"/>
    </row>
    <row r="63592" spans="62:62" x14ac:dyDescent="0.2">
      <c r="BJ63592" s="201"/>
    </row>
    <row r="63593" spans="62:62" x14ac:dyDescent="0.2">
      <c r="BJ63593" s="201"/>
    </row>
    <row r="63594" spans="62:62" x14ac:dyDescent="0.2">
      <c r="BJ63594" s="201"/>
    </row>
    <row r="63595" spans="62:62" x14ac:dyDescent="0.2">
      <c r="BJ63595" s="201"/>
    </row>
    <row r="63596" spans="62:62" x14ac:dyDescent="0.2">
      <c r="BJ63596" s="201"/>
    </row>
    <row r="63597" spans="62:62" x14ac:dyDescent="0.2">
      <c r="BJ63597" s="201"/>
    </row>
    <row r="63598" spans="62:62" x14ac:dyDescent="0.2">
      <c r="BJ63598" s="201"/>
    </row>
    <row r="63599" spans="62:62" x14ac:dyDescent="0.2">
      <c r="BJ63599" s="201"/>
    </row>
    <row r="63600" spans="62:62" x14ac:dyDescent="0.2">
      <c r="BJ63600" s="201"/>
    </row>
    <row r="63601" spans="62:62" x14ac:dyDescent="0.2">
      <c r="BJ63601" s="201"/>
    </row>
    <row r="63602" spans="62:62" x14ac:dyDescent="0.2">
      <c r="BJ63602" s="201"/>
    </row>
    <row r="63603" spans="62:62" x14ac:dyDescent="0.2">
      <c r="BJ63603" s="201"/>
    </row>
    <row r="63604" spans="62:62" x14ac:dyDescent="0.2">
      <c r="BJ63604" s="201"/>
    </row>
    <row r="63605" spans="62:62" x14ac:dyDescent="0.2">
      <c r="BJ63605" s="201"/>
    </row>
    <row r="63606" spans="62:62" x14ac:dyDescent="0.2">
      <c r="BJ63606" s="201"/>
    </row>
    <row r="63607" spans="62:62" x14ac:dyDescent="0.2">
      <c r="BJ63607" s="201"/>
    </row>
    <row r="63608" spans="62:62" x14ac:dyDescent="0.2">
      <c r="BJ63608" s="201"/>
    </row>
    <row r="63609" spans="62:62" x14ac:dyDescent="0.2">
      <c r="BJ63609" s="201"/>
    </row>
    <row r="63610" spans="62:62" x14ac:dyDescent="0.2">
      <c r="BJ63610" s="201"/>
    </row>
    <row r="63611" spans="62:62" x14ac:dyDescent="0.2">
      <c r="BJ63611" s="201"/>
    </row>
    <row r="63612" spans="62:62" x14ac:dyDescent="0.2">
      <c r="BJ63612" s="201"/>
    </row>
    <row r="63613" spans="62:62" x14ac:dyDescent="0.2">
      <c r="BJ63613" s="201"/>
    </row>
    <row r="63614" spans="62:62" x14ac:dyDescent="0.2">
      <c r="BJ63614" s="201"/>
    </row>
    <row r="63615" spans="62:62" x14ac:dyDescent="0.2">
      <c r="BJ63615" s="201"/>
    </row>
    <row r="63616" spans="62:62" x14ac:dyDescent="0.2">
      <c r="BJ63616" s="201"/>
    </row>
    <row r="63617" spans="62:62" x14ac:dyDescent="0.2">
      <c r="BJ63617" s="201"/>
    </row>
    <row r="63618" spans="62:62" x14ac:dyDescent="0.2">
      <c r="BJ63618" s="201"/>
    </row>
    <row r="63619" spans="62:62" x14ac:dyDescent="0.2">
      <c r="BJ63619" s="201"/>
    </row>
    <row r="63620" spans="62:62" x14ac:dyDescent="0.2">
      <c r="BJ63620" s="201"/>
    </row>
    <row r="63621" spans="62:62" x14ac:dyDescent="0.2">
      <c r="BJ63621" s="201"/>
    </row>
    <row r="63622" spans="62:62" x14ac:dyDescent="0.2">
      <c r="BJ63622" s="201"/>
    </row>
    <row r="63623" spans="62:62" x14ac:dyDescent="0.2">
      <c r="BJ63623" s="201"/>
    </row>
    <row r="63624" spans="62:62" x14ac:dyDescent="0.2">
      <c r="BJ63624" s="201"/>
    </row>
    <row r="63625" spans="62:62" x14ac:dyDescent="0.2">
      <c r="BJ63625" s="201"/>
    </row>
    <row r="63626" spans="62:62" x14ac:dyDescent="0.2">
      <c r="BJ63626" s="201"/>
    </row>
    <row r="63627" spans="62:62" x14ac:dyDescent="0.2">
      <c r="BJ63627" s="201"/>
    </row>
    <row r="63628" spans="62:62" x14ac:dyDescent="0.2">
      <c r="BJ63628" s="201"/>
    </row>
    <row r="63629" spans="62:62" x14ac:dyDescent="0.2">
      <c r="BJ63629" s="201"/>
    </row>
    <row r="63630" spans="62:62" x14ac:dyDescent="0.2">
      <c r="BJ63630" s="201"/>
    </row>
    <row r="63631" spans="62:62" x14ac:dyDescent="0.2">
      <c r="BJ63631" s="201"/>
    </row>
    <row r="63632" spans="62:62" x14ac:dyDescent="0.2">
      <c r="BJ63632" s="201"/>
    </row>
    <row r="63633" spans="62:62" x14ac:dyDescent="0.2">
      <c r="BJ63633" s="201"/>
    </row>
    <row r="63634" spans="62:62" x14ac:dyDescent="0.2">
      <c r="BJ63634" s="201"/>
    </row>
    <row r="63635" spans="62:62" x14ac:dyDescent="0.2">
      <c r="BJ63635" s="201"/>
    </row>
    <row r="63636" spans="62:62" x14ac:dyDescent="0.2">
      <c r="BJ63636" s="201"/>
    </row>
    <row r="63637" spans="62:62" x14ac:dyDescent="0.2">
      <c r="BJ63637" s="201"/>
    </row>
    <row r="63638" spans="62:62" x14ac:dyDescent="0.2">
      <c r="BJ63638" s="201"/>
    </row>
    <row r="63639" spans="62:62" x14ac:dyDescent="0.2">
      <c r="BJ63639" s="201"/>
    </row>
    <row r="63640" spans="62:62" x14ac:dyDescent="0.2">
      <c r="BJ63640" s="201"/>
    </row>
    <row r="63641" spans="62:62" x14ac:dyDescent="0.2">
      <c r="BJ63641" s="201"/>
    </row>
    <row r="63642" spans="62:62" x14ac:dyDescent="0.2">
      <c r="BJ63642" s="201"/>
    </row>
    <row r="63643" spans="62:62" x14ac:dyDescent="0.2">
      <c r="BJ63643" s="201"/>
    </row>
    <row r="63644" spans="62:62" x14ac:dyDescent="0.2">
      <c r="BJ63644" s="201"/>
    </row>
    <row r="63645" spans="62:62" x14ac:dyDescent="0.2">
      <c r="BJ63645" s="201"/>
    </row>
    <row r="63646" spans="62:62" x14ac:dyDescent="0.2">
      <c r="BJ63646" s="201"/>
    </row>
    <row r="63647" spans="62:62" x14ac:dyDescent="0.2">
      <c r="BJ63647" s="201"/>
    </row>
    <row r="63648" spans="62:62" x14ac:dyDescent="0.2">
      <c r="BJ63648" s="201"/>
    </row>
    <row r="63649" spans="62:62" x14ac:dyDescent="0.2">
      <c r="BJ63649" s="201"/>
    </row>
    <row r="63650" spans="62:62" x14ac:dyDescent="0.2">
      <c r="BJ63650" s="201"/>
    </row>
    <row r="63651" spans="62:62" x14ac:dyDescent="0.2">
      <c r="BJ63651" s="201"/>
    </row>
    <row r="63652" spans="62:62" x14ac:dyDescent="0.2">
      <c r="BJ63652" s="201"/>
    </row>
    <row r="63653" spans="62:62" x14ac:dyDescent="0.2">
      <c r="BJ63653" s="201"/>
    </row>
    <row r="63654" spans="62:62" x14ac:dyDescent="0.2">
      <c r="BJ63654" s="201"/>
    </row>
    <row r="63655" spans="62:62" x14ac:dyDescent="0.2">
      <c r="BJ63655" s="201"/>
    </row>
    <row r="63656" spans="62:62" x14ac:dyDescent="0.2">
      <c r="BJ63656" s="201"/>
    </row>
    <row r="63657" spans="62:62" x14ac:dyDescent="0.2">
      <c r="BJ63657" s="201"/>
    </row>
    <row r="63658" spans="62:62" x14ac:dyDescent="0.2">
      <c r="BJ63658" s="201"/>
    </row>
    <row r="63659" spans="62:62" x14ac:dyDescent="0.2">
      <c r="BJ63659" s="201"/>
    </row>
    <row r="63660" spans="62:62" x14ac:dyDescent="0.2">
      <c r="BJ63660" s="201"/>
    </row>
    <row r="63661" spans="62:62" x14ac:dyDescent="0.2">
      <c r="BJ63661" s="201"/>
    </row>
    <row r="63662" spans="62:62" x14ac:dyDescent="0.2">
      <c r="BJ63662" s="201"/>
    </row>
    <row r="63663" spans="62:62" x14ac:dyDescent="0.2">
      <c r="BJ63663" s="201"/>
    </row>
    <row r="63664" spans="62:62" x14ac:dyDescent="0.2">
      <c r="BJ63664" s="201"/>
    </row>
    <row r="63665" spans="62:62" x14ac:dyDescent="0.2">
      <c r="BJ63665" s="201"/>
    </row>
    <row r="63666" spans="62:62" x14ac:dyDescent="0.2">
      <c r="BJ63666" s="201"/>
    </row>
    <row r="63667" spans="62:62" x14ac:dyDescent="0.2">
      <c r="BJ63667" s="201"/>
    </row>
    <row r="63668" spans="62:62" x14ac:dyDescent="0.2">
      <c r="BJ63668" s="201"/>
    </row>
    <row r="63669" spans="62:62" x14ac:dyDescent="0.2">
      <c r="BJ63669" s="201"/>
    </row>
    <row r="63670" spans="62:62" x14ac:dyDescent="0.2">
      <c r="BJ63670" s="201"/>
    </row>
    <row r="63671" spans="62:62" x14ac:dyDescent="0.2">
      <c r="BJ63671" s="201"/>
    </row>
    <row r="63672" spans="62:62" x14ac:dyDescent="0.2">
      <c r="BJ63672" s="201"/>
    </row>
    <row r="63673" spans="62:62" x14ac:dyDescent="0.2">
      <c r="BJ63673" s="201"/>
    </row>
    <row r="63674" spans="62:62" x14ac:dyDescent="0.2">
      <c r="BJ63674" s="201"/>
    </row>
    <row r="63675" spans="62:62" x14ac:dyDescent="0.2">
      <c r="BJ63675" s="201"/>
    </row>
    <row r="63676" spans="62:62" x14ac:dyDescent="0.2">
      <c r="BJ63676" s="201"/>
    </row>
    <row r="63677" spans="62:62" x14ac:dyDescent="0.2">
      <c r="BJ63677" s="201"/>
    </row>
    <row r="63678" spans="62:62" x14ac:dyDescent="0.2">
      <c r="BJ63678" s="201"/>
    </row>
    <row r="63679" spans="62:62" x14ac:dyDescent="0.2">
      <c r="BJ63679" s="201"/>
    </row>
    <row r="63680" spans="62:62" x14ac:dyDescent="0.2">
      <c r="BJ63680" s="201"/>
    </row>
    <row r="63681" spans="62:62" x14ac:dyDescent="0.2">
      <c r="BJ63681" s="201"/>
    </row>
    <row r="63682" spans="62:62" x14ac:dyDescent="0.2">
      <c r="BJ63682" s="201"/>
    </row>
    <row r="63683" spans="62:62" x14ac:dyDescent="0.2">
      <c r="BJ63683" s="201"/>
    </row>
    <row r="63684" spans="62:62" x14ac:dyDescent="0.2">
      <c r="BJ63684" s="201"/>
    </row>
    <row r="63685" spans="62:62" x14ac:dyDescent="0.2">
      <c r="BJ63685" s="201"/>
    </row>
    <row r="63686" spans="62:62" x14ac:dyDescent="0.2">
      <c r="BJ63686" s="201"/>
    </row>
    <row r="63687" spans="62:62" x14ac:dyDescent="0.2">
      <c r="BJ63687" s="201"/>
    </row>
    <row r="63688" spans="62:62" x14ac:dyDescent="0.2">
      <c r="BJ63688" s="201"/>
    </row>
    <row r="63689" spans="62:62" x14ac:dyDescent="0.2">
      <c r="BJ63689" s="201"/>
    </row>
    <row r="63690" spans="62:62" x14ac:dyDescent="0.2">
      <c r="BJ63690" s="201"/>
    </row>
    <row r="63691" spans="62:62" x14ac:dyDescent="0.2">
      <c r="BJ63691" s="201"/>
    </row>
    <row r="63692" spans="62:62" x14ac:dyDescent="0.2">
      <c r="BJ63692" s="201"/>
    </row>
    <row r="63693" spans="62:62" x14ac:dyDescent="0.2">
      <c r="BJ63693" s="201"/>
    </row>
    <row r="63694" spans="62:62" x14ac:dyDescent="0.2">
      <c r="BJ63694" s="201"/>
    </row>
    <row r="63695" spans="62:62" x14ac:dyDescent="0.2">
      <c r="BJ63695" s="201"/>
    </row>
    <row r="63696" spans="62:62" x14ac:dyDescent="0.2">
      <c r="BJ63696" s="201"/>
    </row>
    <row r="63697" spans="62:62" x14ac:dyDescent="0.2">
      <c r="BJ63697" s="201"/>
    </row>
    <row r="63698" spans="62:62" x14ac:dyDescent="0.2">
      <c r="BJ63698" s="201"/>
    </row>
    <row r="63699" spans="62:62" x14ac:dyDescent="0.2">
      <c r="BJ63699" s="201"/>
    </row>
    <row r="63700" spans="62:62" x14ac:dyDescent="0.2">
      <c r="BJ63700" s="201"/>
    </row>
    <row r="63701" spans="62:62" x14ac:dyDescent="0.2">
      <c r="BJ63701" s="201"/>
    </row>
    <row r="63702" spans="62:62" x14ac:dyDescent="0.2">
      <c r="BJ63702" s="201"/>
    </row>
    <row r="63703" spans="62:62" x14ac:dyDescent="0.2">
      <c r="BJ63703" s="201"/>
    </row>
    <row r="63704" spans="62:62" x14ac:dyDescent="0.2">
      <c r="BJ63704" s="201"/>
    </row>
    <row r="63705" spans="62:62" x14ac:dyDescent="0.2">
      <c r="BJ63705" s="201"/>
    </row>
    <row r="63706" spans="62:62" x14ac:dyDescent="0.2">
      <c r="BJ63706" s="201"/>
    </row>
    <row r="63707" spans="62:62" x14ac:dyDescent="0.2">
      <c r="BJ63707" s="201"/>
    </row>
    <row r="63708" spans="62:62" x14ac:dyDescent="0.2">
      <c r="BJ63708" s="201"/>
    </row>
    <row r="63709" spans="62:62" x14ac:dyDescent="0.2">
      <c r="BJ63709" s="201"/>
    </row>
    <row r="63710" spans="62:62" x14ac:dyDescent="0.2">
      <c r="BJ63710" s="201"/>
    </row>
    <row r="63711" spans="62:62" x14ac:dyDescent="0.2">
      <c r="BJ63711" s="201"/>
    </row>
    <row r="63712" spans="62:62" x14ac:dyDescent="0.2">
      <c r="BJ63712" s="201"/>
    </row>
    <row r="63713" spans="62:62" x14ac:dyDescent="0.2">
      <c r="BJ63713" s="201"/>
    </row>
    <row r="63714" spans="62:62" x14ac:dyDescent="0.2">
      <c r="BJ63714" s="201"/>
    </row>
    <row r="63715" spans="62:62" x14ac:dyDescent="0.2">
      <c r="BJ63715" s="201"/>
    </row>
    <row r="63716" spans="62:62" x14ac:dyDescent="0.2">
      <c r="BJ63716" s="201"/>
    </row>
    <row r="63717" spans="62:62" x14ac:dyDescent="0.2">
      <c r="BJ63717" s="201"/>
    </row>
    <row r="63718" spans="62:62" x14ac:dyDescent="0.2">
      <c r="BJ63718" s="201"/>
    </row>
    <row r="63719" spans="62:62" x14ac:dyDescent="0.2">
      <c r="BJ63719" s="201"/>
    </row>
    <row r="63720" spans="62:62" x14ac:dyDescent="0.2">
      <c r="BJ63720" s="201"/>
    </row>
    <row r="63721" spans="62:62" x14ac:dyDescent="0.2">
      <c r="BJ63721" s="201"/>
    </row>
    <row r="63722" spans="62:62" x14ac:dyDescent="0.2">
      <c r="BJ63722" s="201"/>
    </row>
    <row r="63723" spans="62:62" x14ac:dyDescent="0.2">
      <c r="BJ63723" s="201"/>
    </row>
    <row r="63724" spans="62:62" x14ac:dyDescent="0.2">
      <c r="BJ63724" s="201"/>
    </row>
    <row r="63725" spans="62:62" x14ac:dyDescent="0.2">
      <c r="BJ63725" s="201"/>
    </row>
    <row r="63726" spans="62:62" x14ac:dyDescent="0.2">
      <c r="BJ63726" s="201"/>
    </row>
    <row r="63727" spans="62:62" x14ac:dyDescent="0.2">
      <c r="BJ63727" s="201"/>
    </row>
    <row r="63728" spans="62:62" x14ac:dyDescent="0.2">
      <c r="BJ63728" s="201"/>
    </row>
    <row r="63729" spans="62:62" x14ac:dyDescent="0.2">
      <c r="BJ63729" s="201"/>
    </row>
    <row r="63730" spans="62:62" x14ac:dyDescent="0.2">
      <c r="BJ63730" s="201"/>
    </row>
    <row r="63731" spans="62:62" x14ac:dyDescent="0.2">
      <c r="BJ63731" s="201"/>
    </row>
    <row r="63732" spans="62:62" x14ac:dyDescent="0.2">
      <c r="BJ63732" s="201"/>
    </row>
    <row r="63733" spans="62:62" x14ac:dyDescent="0.2">
      <c r="BJ63733" s="201"/>
    </row>
    <row r="63734" spans="62:62" x14ac:dyDescent="0.2">
      <c r="BJ63734" s="201"/>
    </row>
    <row r="63735" spans="62:62" x14ac:dyDescent="0.2">
      <c r="BJ63735" s="201"/>
    </row>
    <row r="63736" spans="62:62" x14ac:dyDescent="0.2">
      <c r="BJ63736" s="201"/>
    </row>
    <row r="63737" spans="62:62" x14ac:dyDescent="0.2">
      <c r="BJ63737" s="201"/>
    </row>
    <row r="63738" spans="62:62" x14ac:dyDescent="0.2">
      <c r="BJ63738" s="201"/>
    </row>
    <row r="63739" spans="62:62" x14ac:dyDescent="0.2">
      <c r="BJ63739" s="201"/>
    </row>
    <row r="63740" spans="62:62" x14ac:dyDescent="0.2">
      <c r="BJ63740" s="201"/>
    </row>
    <row r="63741" spans="62:62" x14ac:dyDescent="0.2">
      <c r="BJ63741" s="201"/>
    </row>
    <row r="63742" spans="62:62" x14ac:dyDescent="0.2">
      <c r="BJ63742" s="201"/>
    </row>
    <row r="63743" spans="62:62" x14ac:dyDescent="0.2">
      <c r="BJ63743" s="201"/>
    </row>
    <row r="63744" spans="62:62" x14ac:dyDescent="0.2">
      <c r="BJ63744" s="201"/>
    </row>
    <row r="63745" spans="62:62" x14ac:dyDescent="0.2">
      <c r="BJ63745" s="201"/>
    </row>
    <row r="63746" spans="62:62" x14ac:dyDescent="0.2">
      <c r="BJ63746" s="201"/>
    </row>
    <row r="63747" spans="62:62" x14ac:dyDescent="0.2">
      <c r="BJ63747" s="201"/>
    </row>
    <row r="63748" spans="62:62" x14ac:dyDescent="0.2">
      <c r="BJ63748" s="201"/>
    </row>
    <row r="63749" spans="62:62" x14ac:dyDescent="0.2">
      <c r="BJ63749" s="201"/>
    </row>
    <row r="63750" spans="62:62" x14ac:dyDescent="0.2">
      <c r="BJ63750" s="201"/>
    </row>
    <row r="63751" spans="62:62" x14ac:dyDescent="0.2">
      <c r="BJ63751" s="201"/>
    </row>
    <row r="63752" spans="62:62" x14ac:dyDescent="0.2">
      <c r="BJ63752" s="201"/>
    </row>
    <row r="63753" spans="62:62" x14ac:dyDescent="0.2">
      <c r="BJ63753" s="201"/>
    </row>
    <row r="63754" spans="62:62" x14ac:dyDescent="0.2">
      <c r="BJ63754" s="201"/>
    </row>
    <row r="63755" spans="62:62" x14ac:dyDescent="0.2">
      <c r="BJ63755" s="201"/>
    </row>
    <row r="63756" spans="62:62" x14ac:dyDescent="0.2">
      <c r="BJ63756" s="201"/>
    </row>
    <row r="63757" spans="62:62" x14ac:dyDescent="0.2">
      <c r="BJ63757" s="201"/>
    </row>
    <row r="63758" spans="62:62" x14ac:dyDescent="0.2">
      <c r="BJ63758" s="201"/>
    </row>
    <row r="63759" spans="62:62" x14ac:dyDescent="0.2">
      <c r="BJ63759" s="201"/>
    </row>
    <row r="63760" spans="62:62" x14ac:dyDescent="0.2">
      <c r="BJ63760" s="201"/>
    </row>
    <row r="63761" spans="62:62" x14ac:dyDescent="0.2">
      <c r="BJ63761" s="201"/>
    </row>
    <row r="63762" spans="62:62" x14ac:dyDescent="0.2">
      <c r="BJ63762" s="201"/>
    </row>
    <row r="63763" spans="62:62" x14ac:dyDescent="0.2">
      <c r="BJ63763" s="201"/>
    </row>
    <row r="63764" spans="62:62" x14ac:dyDescent="0.2">
      <c r="BJ63764" s="201"/>
    </row>
    <row r="63765" spans="62:62" x14ac:dyDescent="0.2">
      <c r="BJ63765" s="201"/>
    </row>
    <row r="63766" spans="62:62" x14ac:dyDescent="0.2">
      <c r="BJ63766" s="201"/>
    </row>
    <row r="63767" spans="62:62" x14ac:dyDescent="0.2">
      <c r="BJ63767" s="201"/>
    </row>
    <row r="63768" spans="62:62" x14ac:dyDescent="0.2">
      <c r="BJ63768" s="201"/>
    </row>
    <row r="63769" spans="62:62" x14ac:dyDescent="0.2">
      <c r="BJ63769" s="201"/>
    </row>
    <row r="63770" spans="62:62" x14ac:dyDescent="0.2">
      <c r="BJ63770" s="201"/>
    </row>
    <row r="63771" spans="62:62" x14ac:dyDescent="0.2">
      <c r="BJ63771" s="201"/>
    </row>
    <row r="63772" spans="62:62" x14ac:dyDescent="0.2">
      <c r="BJ63772" s="201"/>
    </row>
    <row r="63773" spans="62:62" x14ac:dyDescent="0.2">
      <c r="BJ63773" s="201"/>
    </row>
    <row r="63774" spans="62:62" x14ac:dyDescent="0.2">
      <c r="BJ63774" s="201"/>
    </row>
    <row r="63775" spans="62:62" x14ac:dyDescent="0.2">
      <c r="BJ63775" s="201"/>
    </row>
    <row r="63776" spans="62:62" x14ac:dyDescent="0.2">
      <c r="BJ63776" s="201"/>
    </row>
    <row r="63777" spans="62:62" x14ac:dyDescent="0.2">
      <c r="BJ63777" s="201"/>
    </row>
    <row r="63778" spans="62:62" x14ac:dyDescent="0.2">
      <c r="BJ63778" s="201"/>
    </row>
    <row r="63779" spans="62:62" x14ac:dyDescent="0.2">
      <c r="BJ63779" s="201"/>
    </row>
    <row r="63780" spans="62:62" x14ac:dyDescent="0.2">
      <c r="BJ63780" s="201"/>
    </row>
    <row r="63781" spans="62:62" x14ac:dyDescent="0.2">
      <c r="BJ63781" s="201"/>
    </row>
    <row r="63782" spans="62:62" x14ac:dyDescent="0.2">
      <c r="BJ63782" s="201"/>
    </row>
    <row r="63783" spans="62:62" x14ac:dyDescent="0.2">
      <c r="BJ63783" s="201"/>
    </row>
    <row r="63784" spans="62:62" x14ac:dyDescent="0.2">
      <c r="BJ63784" s="201"/>
    </row>
    <row r="63785" spans="62:62" x14ac:dyDescent="0.2">
      <c r="BJ63785" s="201"/>
    </row>
    <row r="63786" spans="62:62" x14ac:dyDescent="0.2">
      <c r="BJ63786" s="201"/>
    </row>
    <row r="63787" spans="62:62" x14ac:dyDescent="0.2">
      <c r="BJ63787" s="201"/>
    </row>
    <row r="63788" spans="62:62" x14ac:dyDescent="0.2">
      <c r="BJ63788" s="201"/>
    </row>
    <row r="63789" spans="62:62" x14ac:dyDescent="0.2">
      <c r="BJ63789" s="201"/>
    </row>
    <row r="63790" spans="62:62" x14ac:dyDescent="0.2">
      <c r="BJ63790" s="201"/>
    </row>
    <row r="63791" spans="62:62" x14ac:dyDescent="0.2">
      <c r="BJ63791" s="201"/>
    </row>
    <row r="63792" spans="62:62" x14ac:dyDescent="0.2">
      <c r="BJ63792" s="201"/>
    </row>
    <row r="63793" spans="62:62" x14ac:dyDescent="0.2">
      <c r="BJ63793" s="201"/>
    </row>
    <row r="63794" spans="62:62" x14ac:dyDescent="0.2">
      <c r="BJ63794" s="201"/>
    </row>
    <row r="63795" spans="62:62" x14ac:dyDescent="0.2">
      <c r="BJ63795" s="201"/>
    </row>
    <row r="63796" spans="62:62" x14ac:dyDescent="0.2">
      <c r="BJ63796" s="201"/>
    </row>
    <row r="63797" spans="62:62" x14ac:dyDescent="0.2">
      <c r="BJ63797" s="201"/>
    </row>
    <row r="63798" spans="62:62" x14ac:dyDescent="0.2">
      <c r="BJ63798" s="201"/>
    </row>
    <row r="63799" spans="62:62" x14ac:dyDescent="0.2">
      <c r="BJ63799" s="201"/>
    </row>
    <row r="63800" spans="62:62" x14ac:dyDescent="0.2">
      <c r="BJ63800" s="201"/>
    </row>
    <row r="63801" spans="62:62" x14ac:dyDescent="0.2">
      <c r="BJ63801" s="201"/>
    </row>
    <row r="63802" spans="62:62" x14ac:dyDescent="0.2">
      <c r="BJ63802" s="201"/>
    </row>
    <row r="63803" spans="62:62" x14ac:dyDescent="0.2">
      <c r="BJ63803" s="201"/>
    </row>
    <row r="63804" spans="62:62" x14ac:dyDescent="0.2">
      <c r="BJ63804" s="201"/>
    </row>
    <row r="63805" spans="62:62" x14ac:dyDescent="0.2">
      <c r="BJ63805" s="201"/>
    </row>
    <row r="63806" spans="62:62" x14ac:dyDescent="0.2">
      <c r="BJ63806" s="201"/>
    </row>
    <row r="63807" spans="62:62" x14ac:dyDescent="0.2">
      <c r="BJ63807" s="201"/>
    </row>
    <row r="63808" spans="62:62" x14ac:dyDescent="0.2">
      <c r="BJ63808" s="201"/>
    </row>
    <row r="63809" spans="62:62" x14ac:dyDescent="0.2">
      <c r="BJ63809" s="201"/>
    </row>
    <row r="63810" spans="62:62" x14ac:dyDescent="0.2">
      <c r="BJ63810" s="201"/>
    </row>
    <row r="63811" spans="62:62" x14ac:dyDescent="0.2">
      <c r="BJ63811" s="201"/>
    </row>
    <row r="63812" spans="62:62" x14ac:dyDescent="0.2">
      <c r="BJ63812" s="201"/>
    </row>
    <row r="63813" spans="62:62" x14ac:dyDescent="0.2">
      <c r="BJ63813" s="201"/>
    </row>
    <row r="63814" spans="62:62" x14ac:dyDescent="0.2">
      <c r="BJ63814" s="201"/>
    </row>
    <row r="63815" spans="62:62" x14ac:dyDescent="0.2">
      <c r="BJ63815" s="201"/>
    </row>
    <row r="63816" spans="62:62" x14ac:dyDescent="0.2">
      <c r="BJ63816" s="201"/>
    </row>
    <row r="63817" spans="62:62" x14ac:dyDescent="0.2">
      <c r="BJ63817" s="201"/>
    </row>
    <row r="63818" spans="62:62" x14ac:dyDescent="0.2">
      <c r="BJ63818" s="201"/>
    </row>
    <row r="63819" spans="62:62" x14ac:dyDescent="0.2">
      <c r="BJ63819" s="201"/>
    </row>
    <row r="63820" spans="62:62" x14ac:dyDescent="0.2">
      <c r="BJ63820" s="201"/>
    </row>
    <row r="63821" spans="62:62" x14ac:dyDescent="0.2">
      <c r="BJ63821" s="201"/>
    </row>
    <row r="63822" spans="62:62" x14ac:dyDescent="0.2">
      <c r="BJ63822" s="201"/>
    </row>
    <row r="63823" spans="62:62" x14ac:dyDescent="0.2">
      <c r="BJ63823" s="201"/>
    </row>
    <row r="63824" spans="62:62" x14ac:dyDescent="0.2">
      <c r="BJ63824" s="201"/>
    </row>
    <row r="63825" spans="62:62" x14ac:dyDescent="0.2">
      <c r="BJ63825" s="201"/>
    </row>
    <row r="63826" spans="62:62" x14ac:dyDescent="0.2">
      <c r="BJ63826" s="201"/>
    </row>
    <row r="63827" spans="62:62" x14ac:dyDescent="0.2">
      <c r="BJ63827" s="201"/>
    </row>
    <row r="63828" spans="62:62" x14ac:dyDescent="0.2">
      <c r="BJ63828" s="201"/>
    </row>
    <row r="63829" spans="62:62" x14ac:dyDescent="0.2">
      <c r="BJ63829" s="201"/>
    </row>
    <row r="63830" spans="62:62" x14ac:dyDescent="0.2">
      <c r="BJ63830" s="201"/>
    </row>
    <row r="63831" spans="62:62" x14ac:dyDescent="0.2">
      <c r="BJ63831" s="201"/>
    </row>
    <row r="63832" spans="62:62" x14ac:dyDescent="0.2">
      <c r="BJ63832" s="201"/>
    </row>
    <row r="63833" spans="62:62" x14ac:dyDescent="0.2">
      <c r="BJ63833" s="201"/>
    </row>
    <row r="63834" spans="62:62" x14ac:dyDescent="0.2">
      <c r="BJ63834" s="201"/>
    </row>
    <row r="63835" spans="62:62" x14ac:dyDescent="0.2">
      <c r="BJ63835" s="201"/>
    </row>
    <row r="63836" spans="62:62" x14ac:dyDescent="0.2">
      <c r="BJ63836" s="201"/>
    </row>
    <row r="63837" spans="62:62" x14ac:dyDescent="0.2">
      <c r="BJ63837" s="201"/>
    </row>
    <row r="63838" spans="62:62" x14ac:dyDescent="0.2">
      <c r="BJ63838" s="201"/>
    </row>
    <row r="63839" spans="62:62" x14ac:dyDescent="0.2">
      <c r="BJ63839" s="201"/>
    </row>
    <row r="63840" spans="62:62" x14ac:dyDescent="0.2">
      <c r="BJ63840" s="201"/>
    </row>
    <row r="63841" spans="62:62" x14ac:dyDescent="0.2">
      <c r="BJ63841" s="201"/>
    </row>
    <row r="63842" spans="62:62" x14ac:dyDescent="0.2">
      <c r="BJ63842" s="201"/>
    </row>
    <row r="63843" spans="62:62" x14ac:dyDescent="0.2">
      <c r="BJ63843" s="201"/>
    </row>
    <row r="63844" spans="62:62" x14ac:dyDescent="0.2">
      <c r="BJ63844" s="201"/>
    </row>
    <row r="63845" spans="62:62" x14ac:dyDescent="0.2">
      <c r="BJ63845" s="201"/>
    </row>
    <row r="63846" spans="62:62" x14ac:dyDescent="0.2">
      <c r="BJ63846" s="201"/>
    </row>
    <row r="63847" spans="62:62" x14ac:dyDescent="0.2">
      <c r="BJ63847" s="201"/>
    </row>
    <row r="63848" spans="62:62" x14ac:dyDescent="0.2">
      <c r="BJ63848" s="201"/>
    </row>
    <row r="63849" spans="62:62" x14ac:dyDescent="0.2">
      <c r="BJ63849" s="201"/>
    </row>
    <row r="63850" spans="62:62" x14ac:dyDescent="0.2">
      <c r="BJ63850" s="201"/>
    </row>
    <row r="63851" spans="62:62" x14ac:dyDescent="0.2">
      <c r="BJ63851" s="201"/>
    </row>
    <row r="63852" spans="62:62" x14ac:dyDescent="0.2">
      <c r="BJ63852" s="201"/>
    </row>
    <row r="63853" spans="62:62" x14ac:dyDescent="0.2">
      <c r="BJ63853" s="201"/>
    </row>
    <row r="63854" spans="62:62" x14ac:dyDescent="0.2">
      <c r="BJ63854" s="201"/>
    </row>
    <row r="63855" spans="62:62" x14ac:dyDescent="0.2">
      <c r="BJ63855" s="201"/>
    </row>
    <row r="63856" spans="62:62" x14ac:dyDescent="0.2">
      <c r="BJ63856" s="201"/>
    </row>
    <row r="63857" spans="62:62" x14ac:dyDescent="0.2">
      <c r="BJ63857" s="201"/>
    </row>
    <row r="63858" spans="62:62" x14ac:dyDescent="0.2">
      <c r="BJ63858" s="201"/>
    </row>
    <row r="63859" spans="62:62" x14ac:dyDescent="0.2">
      <c r="BJ63859" s="201"/>
    </row>
    <row r="63860" spans="62:62" x14ac:dyDescent="0.2">
      <c r="BJ63860" s="201"/>
    </row>
    <row r="63861" spans="62:62" x14ac:dyDescent="0.2">
      <c r="BJ63861" s="201"/>
    </row>
    <row r="63862" spans="62:62" x14ac:dyDescent="0.2">
      <c r="BJ63862" s="201"/>
    </row>
    <row r="63863" spans="62:62" x14ac:dyDescent="0.2">
      <c r="BJ63863" s="201"/>
    </row>
    <row r="63864" spans="62:62" x14ac:dyDescent="0.2">
      <c r="BJ63864" s="201"/>
    </row>
    <row r="63865" spans="62:62" x14ac:dyDescent="0.2">
      <c r="BJ63865" s="201"/>
    </row>
    <row r="63866" spans="62:62" x14ac:dyDescent="0.2">
      <c r="BJ63866" s="201"/>
    </row>
    <row r="63867" spans="62:62" x14ac:dyDescent="0.2">
      <c r="BJ63867" s="201"/>
    </row>
    <row r="63868" spans="62:62" x14ac:dyDescent="0.2">
      <c r="BJ63868" s="201"/>
    </row>
    <row r="63869" spans="62:62" x14ac:dyDescent="0.2">
      <c r="BJ63869" s="201"/>
    </row>
    <row r="63870" spans="62:62" x14ac:dyDescent="0.2">
      <c r="BJ63870" s="201"/>
    </row>
    <row r="63871" spans="62:62" x14ac:dyDescent="0.2">
      <c r="BJ63871" s="201"/>
    </row>
    <row r="63872" spans="62:62" x14ac:dyDescent="0.2">
      <c r="BJ63872" s="201"/>
    </row>
    <row r="63873" spans="62:62" x14ac:dyDescent="0.2">
      <c r="BJ63873" s="201"/>
    </row>
    <row r="63874" spans="62:62" x14ac:dyDescent="0.2">
      <c r="BJ63874" s="201"/>
    </row>
    <row r="63875" spans="62:62" x14ac:dyDescent="0.2">
      <c r="BJ63875" s="201"/>
    </row>
    <row r="63876" spans="62:62" x14ac:dyDescent="0.2">
      <c r="BJ63876" s="201"/>
    </row>
    <row r="63877" spans="62:62" x14ac:dyDescent="0.2">
      <c r="BJ63877" s="201"/>
    </row>
    <row r="63878" spans="62:62" x14ac:dyDescent="0.2">
      <c r="BJ63878" s="201"/>
    </row>
    <row r="63879" spans="62:62" x14ac:dyDescent="0.2">
      <c r="BJ63879" s="201"/>
    </row>
    <row r="63880" spans="62:62" x14ac:dyDescent="0.2">
      <c r="BJ63880" s="201"/>
    </row>
    <row r="63881" spans="62:62" x14ac:dyDescent="0.2">
      <c r="BJ63881" s="201"/>
    </row>
    <row r="63882" spans="62:62" x14ac:dyDescent="0.2">
      <c r="BJ63882" s="201"/>
    </row>
    <row r="63883" spans="62:62" x14ac:dyDescent="0.2">
      <c r="BJ63883" s="201"/>
    </row>
    <row r="63884" spans="62:62" x14ac:dyDescent="0.2">
      <c r="BJ63884" s="201"/>
    </row>
    <row r="63885" spans="62:62" x14ac:dyDescent="0.2">
      <c r="BJ63885" s="201"/>
    </row>
    <row r="63886" spans="62:62" x14ac:dyDescent="0.2">
      <c r="BJ63886" s="201"/>
    </row>
    <row r="63887" spans="62:62" x14ac:dyDescent="0.2">
      <c r="BJ63887" s="201"/>
    </row>
    <row r="63888" spans="62:62" x14ac:dyDescent="0.2">
      <c r="BJ63888" s="201"/>
    </row>
    <row r="63889" spans="62:62" x14ac:dyDescent="0.2">
      <c r="BJ63889" s="201"/>
    </row>
    <row r="63890" spans="62:62" x14ac:dyDescent="0.2">
      <c r="BJ63890" s="201"/>
    </row>
    <row r="63891" spans="62:62" x14ac:dyDescent="0.2">
      <c r="BJ63891" s="201"/>
    </row>
    <row r="63892" spans="62:62" x14ac:dyDescent="0.2">
      <c r="BJ63892" s="201"/>
    </row>
    <row r="63893" spans="62:62" x14ac:dyDescent="0.2">
      <c r="BJ63893" s="201"/>
    </row>
    <row r="63894" spans="62:62" x14ac:dyDescent="0.2">
      <c r="BJ63894" s="201"/>
    </row>
    <row r="63895" spans="62:62" x14ac:dyDescent="0.2">
      <c r="BJ63895" s="201"/>
    </row>
    <row r="63896" spans="62:62" x14ac:dyDescent="0.2">
      <c r="BJ63896" s="201"/>
    </row>
    <row r="63897" spans="62:62" x14ac:dyDescent="0.2">
      <c r="BJ63897" s="201"/>
    </row>
    <row r="63898" spans="62:62" x14ac:dyDescent="0.2">
      <c r="BJ63898" s="201"/>
    </row>
    <row r="63899" spans="62:62" x14ac:dyDescent="0.2">
      <c r="BJ63899" s="201"/>
    </row>
    <row r="63900" spans="62:62" x14ac:dyDescent="0.2">
      <c r="BJ63900" s="201"/>
    </row>
    <row r="63901" spans="62:62" x14ac:dyDescent="0.2">
      <c r="BJ63901" s="201"/>
    </row>
    <row r="63902" spans="62:62" x14ac:dyDescent="0.2">
      <c r="BJ63902" s="201"/>
    </row>
    <row r="63903" spans="62:62" x14ac:dyDescent="0.2">
      <c r="BJ63903" s="201"/>
    </row>
    <row r="63904" spans="62:62" x14ac:dyDescent="0.2">
      <c r="BJ63904" s="201"/>
    </row>
    <row r="63905" spans="62:62" x14ac:dyDescent="0.2">
      <c r="BJ63905" s="201"/>
    </row>
    <row r="63906" spans="62:62" x14ac:dyDescent="0.2">
      <c r="BJ63906" s="201"/>
    </row>
    <row r="63907" spans="62:62" x14ac:dyDescent="0.2">
      <c r="BJ63907" s="201"/>
    </row>
    <row r="63908" spans="62:62" x14ac:dyDescent="0.2">
      <c r="BJ63908" s="201"/>
    </row>
    <row r="63909" spans="62:62" x14ac:dyDescent="0.2">
      <c r="BJ63909" s="201"/>
    </row>
    <row r="63910" spans="62:62" x14ac:dyDescent="0.2">
      <c r="BJ63910" s="201"/>
    </row>
    <row r="63911" spans="62:62" x14ac:dyDescent="0.2">
      <c r="BJ63911" s="201"/>
    </row>
    <row r="63912" spans="62:62" x14ac:dyDescent="0.2">
      <c r="BJ63912" s="201"/>
    </row>
    <row r="63913" spans="62:62" x14ac:dyDescent="0.2">
      <c r="BJ63913" s="201"/>
    </row>
    <row r="63914" spans="62:62" x14ac:dyDescent="0.2">
      <c r="BJ63914" s="201"/>
    </row>
    <row r="63915" spans="62:62" x14ac:dyDescent="0.2">
      <c r="BJ63915" s="201"/>
    </row>
    <row r="63916" spans="62:62" x14ac:dyDescent="0.2">
      <c r="BJ63916" s="201"/>
    </row>
    <row r="63917" spans="62:62" x14ac:dyDescent="0.2">
      <c r="BJ63917" s="201"/>
    </row>
    <row r="63918" spans="62:62" x14ac:dyDescent="0.2">
      <c r="BJ63918" s="201"/>
    </row>
    <row r="63919" spans="62:62" x14ac:dyDescent="0.2">
      <c r="BJ63919" s="201"/>
    </row>
    <row r="63920" spans="62:62" x14ac:dyDescent="0.2">
      <c r="BJ63920" s="201"/>
    </row>
    <row r="63921" spans="62:62" x14ac:dyDescent="0.2">
      <c r="BJ63921" s="201"/>
    </row>
    <row r="63922" spans="62:62" x14ac:dyDescent="0.2">
      <c r="BJ63922" s="201"/>
    </row>
    <row r="63923" spans="62:62" x14ac:dyDescent="0.2">
      <c r="BJ63923" s="201"/>
    </row>
    <row r="63924" spans="62:62" x14ac:dyDescent="0.2">
      <c r="BJ63924" s="201"/>
    </row>
    <row r="63925" spans="62:62" x14ac:dyDescent="0.2">
      <c r="BJ63925" s="201"/>
    </row>
    <row r="63926" spans="62:62" x14ac:dyDescent="0.2">
      <c r="BJ63926" s="201"/>
    </row>
    <row r="63927" spans="62:62" x14ac:dyDescent="0.2">
      <c r="BJ63927" s="201"/>
    </row>
    <row r="63928" spans="62:62" x14ac:dyDescent="0.2">
      <c r="BJ63928" s="201"/>
    </row>
    <row r="63929" spans="62:62" x14ac:dyDescent="0.2">
      <c r="BJ63929" s="201"/>
    </row>
    <row r="63930" spans="62:62" x14ac:dyDescent="0.2">
      <c r="BJ63930" s="201"/>
    </row>
    <row r="63931" spans="62:62" x14ac:dyDescent="0.2">
      <c r="BJ63931" s="201"/>
    </row>
    <row r="63932" spans="62:62" x14ac:dyDescent="0.2">
      <c r="BJ63932" s="201"/>
    </row>
    <row r="63933" spans="62:62" x14ac:dyDescent="0.2">
      <c r="BJ63933" s="201"/>
    </row>
    <row r="63934" spans="62:62" x14ac:dyDescent="0.2">
      <c r="BJ63934" s="201"/>
    </row>
    <row r="63935" spans="62:62" x14ac:dyDescent="0.2">
      <c r="BJ63935" s="201"/>
    </row>
    <row r="63936" spans="62:62" x14ac:dyDescent="0.2">
      <c r="BJ63936" s="201"/>
    </row>
    <row r="63937" spans="62:62" x14ac:dyDescent="0.2">
      <c r="BJ63937" s="201"/>
    </row>
    <row r="63938" spans="62:62" x14ac:dyDescent="0.2">
      <c r="BJ63938" s="201"/>
    </row>
    <row r="63939" spans="62:62" x14ac:dyDescent="0.2">
      <c r="BJ63939" s="201"/>
    </row>
    <row r="63940" spans="62:62" x14ac:dyDescent="0.2">
      <c r="BJ63940" s="201"/>
    </row>
    <row r="63941" spans="62:62" x14ac:dyDescent="0.2">
      <c r="BJ63941" s="201"/>
    </row>
    <row r="63942" spans="62:62" x14ac:dyDescent="0.2">
      <c r="BJ63942" s="201"/>
    </row>
    <row r="63943" spans="62:62" x14ac:dyDescent="0.2">
      <c r="BJ63943" s="201"/>
    </row>
    <row r="63944" spans="62:62" x14ac:dyDescent="0.2">
      <c r="BJ63944" s="201"/>
    </row>
    <row r="63945" spans="62:62" x14ac:dyDescent="0.2">
      <c r="BJ63945" s="201"/>
    </row>
    <row r="63946" spans="62:62" x14ac:dyDescent="0.2">
      <c r="BJ63946" s="201"/>
    </row>
    <row r="63947" spans="62:62" x14ac:dyDescent="0.2">
      <c r="BJ63947" s="201"/>
    </row>
    <row r="63948" spans="62:62" x14ac:dyDescent="0.2">
      <c r="BJ63948" s="201"/>
    </row>
    <row r="63949" spans="62:62" x14ac:dyDescent="0.2">
      <c r="BJ63949" s="201"/>
    </row>
    <row r="63950" spans="62:62" x14ac:dyDescent="0.2">
      <c r="BJ63950" s="201"/>
    </row>
    <row r="63951" spans="62:62" x14ac:dyDescent="0.2">
      <c r="BJ63951" s="201"/>
    </row>
    <row r="63952" spans="62:62" x14ac:dyDescent="0.2">
      <c r="BJ63952" s="201"/>
    </row>
    <row r="63953" spans="62:62" x14ac:dyDescent="0.2">
      <c r="BJ63953" s="201"/>
    </row>
    <row r="63954" spans="62:62" x14ac:dyDescent="0.2">
      <c r="BJ63954" s="201"/>
    </row>
    <row r="63955" spans="62:62" x14ac:dyDescent="0.2">
      <c r="BJ63955" s="201"/>
    </row>
    <row r="63956" spans="62:62" x14ac:dyDescent="0.2">
      <c r="BJ63956" s="201"/>
    </row>
    <row r="63957" spans="62:62" x14ac:dyDescent="0.2">
      <c r="BJ63957" s="201"/>
    </row>
    <row r="63958" spans="62:62" x14ac:dyDescent="0.2">
      <c r="BJ63958" s="201"/>
    </row>
    <row r="63959" spans="62:62" x14ac:dyDescent="0.2">
      <c r="BJ63959" s="201"/>
    </row>
    <row r="63960" spans="62:62" x14ac:dyDescent="0.2">
      <c r="BJ63960" s="201"/>
    </row>
    <row r="63961" spans="62:62" x14ac:dyDescent="0.2">
      <c r="BJ63961" s="201"/>
    </row>
    <row r="63962" spans="62:62" x14ac:dyDescent="0.2">
      <c r="BJ63962" s="201"/>
    </row>
    <row r="63963" spans="62:62" x14ac:dyDescent="0.2">
      <c r="BJ63963" s="201"/>
    </row>
    <row r="63964" spans="62:62" x14ac:dyDescent="0.2">
      <c r="BJ63964" s="201"/>
    </row>
    <row r="63965" spans="62:62" x14ac:dyDescent="0.2">
      <c r="BJ63965" s="201"/>
    </row>
    <row r="63966" spans="62:62" x14ac:dyDescent="0.2">
      <c r="BJ63966" s="201"/>
    </row>
    <row r="63967" spans="62:62" x14ac:dyDescent="0.2">
      <c r="BJ63967" s="201"/>
    </row>
    <row r="63968" spans="62:62" x14ac:dyDescent="0.2">
      <c r="BJ63968" s="201"/>
    </row>
    <row r="63969" spans="62:62" x14ac:dyDescent="0.2">
      <c r="BJ63969" s="201"/>
    </row>
    <row r="63970" spans="62:62" x14ac:dyDescent="0.2">
      <c r="BJ63970" s="201"/>
    </row>
    <row r="63971" spans="62:62" x14ac:dyDescent="0.2">
      <c r="BJ63971" s="201"/>
    </row>
    <row r="63972" spans="62:62" x14ac:dyDescent="0.2">
      <c r="BJ63972" s="201"/>
    </row>
    <row r="63973" spans="62:62" x14ac:dyDescent="0.2">
      <c r="BJ63973" s="201"/>
    </row>
    <row r="63974" spans="62:62" x14ac:dyDescent="0.2">
      <c r="BJ63974" s="201"/>
    </row>
    <row r="63975" spans="62:62" x14ac:dyDescent="0.2">
      <c r="BJ63975" s="201"/>
    </row>
    <row r="63976" spans="62:62" x14ac:dyDescent="0.2">
      <c r="BJ63976" s="201"/>
    </row>
    <row r="63977" spans="62:62" x14ac:dyDescent="0.2">
      <c r="BJ63977" s="201"/>
    </row>
    <row r="63978" spans="62:62" x14ac:dyDescent="0.2">
      <c r="BJ63978" s="201"/>
    </row>
    <row r="63979" spans="62:62" x14ac:dyDescent="0.2">
      <c r="BJ63979" s="201"/>
    </row>
    <row r="63980" spans="62:62" x14ac:dyDescent="0.2">
      <c r="BJ63980" s="201"/>
    </row>
    <row r="63981" spans="62:62" x14ac:dyDescent="0.2">
      <c r="BJ63981" s="201"/>
    </row>
    <row r="63982" spans="62:62" x14ac:dyDescent="0.2">
      <c r="BJ63982" s="201"/>
    </row>
    <row r="63983" spans="62:62" x14ac:dyDescent="0.2">
      <c r="BJ63983" s="201"/>
    </row>
    <row r="63984" spans="62:62" x14ac:dyDescent="0.2">
      <c r="BJ63984" s="201"/>
    </row>
    <row r="63985" spans="62:62" x14ac:dyDescent="0.2">
      <c r="BJ63985" s="201"/>
    </row>
    <row r="63986" spans="62:62" x14ac:dyDescent="0.2">
      <c r="BJ63986" s="201"/>
    </row>
    <row r="63987" spans="62:62" x14ac:dyDescent="0.2">
      <c r="BJ63987" s="201"/>
    </row>
    <row r="63988" spans="62:62" x14ac:dyDescent="0.2">
      <c r="BJ63988" s="201"/>
    </row>
    <row r="63989" spans="62:62" x14ac:dyDescent="0.2">
      <c r="BJ63989" s="201"/>
    </row>
    <row r="63990" spans="62:62" x14ac:dyDescent="0.2">
      <c r="BJ63990" s="201"/>
    </row>
    <row r="63991" spans="62:62" x14ac:dyDescent="0.2">
      <c r="BJ63991" s="201"/>
    </row>
    <row r="63992" spans="62:62" x14ac:dyDescent="0.2">
      <c r="BJ63992" s="201"/>
    </row>
    <row r="63993" spans="62:62" x14ac:dyDescent="0.2">
      <c r="BJ63993" s="201"/>
    </row>
    <row r="63994" spans="62:62" x14ac:dyDescent="0.2">
      <c r="BJ63994" s="201"/>
    </row>
    <row r="63995" spans="62:62" x14ac:dyDescent="0.2">
      <c r="BJ63995" s="201"/>
    </row>
    <row r="63996" spans="62:62" x14ac:dyDescent="0.2">
      <c r="BJ63996" s="201"/>
    </row>
    <row r="63997" spans="62:62" x14ac:dyDescent="0.2">
      <c r="BJ63997" s="201"/>
    </row>
    <row r="63998" spans="62:62" x14ac:dyDescent="0.2">
      <c r="BJ63998" s="201"/>
    </row>
    <row r="63999" spans="62:62" x14ac:dyDescent="0.2">
      <c r="BJ63999" s="201"/>
    </row>
    <row r="64000" spans="62:62" x14ac:dyDescent="0.2">
      <c r="BJ64000" s="201"/>
    </row>
    <row r="64001" spans="62:62" x14ac:dyDescent="0.2">
      <c r="BJ64001" s="201"/>
    </row>
    <row r="64002" spans="62:62" x14ac:dyDescent="0.2">
      <c r="BJ64002" s="201"/>
    </row>
    <row r="64003" spans="62:62" x14ac:dyDescent="0.2">
      <c r="BJ64003" s="201"/>
    </row>
    <row r="64004" spans="62:62" x14ac:dyDescent="0.2">
      <c r="BJ64004" s="201"/>
    </row>
    <row r="64005" spans="62:62" x14ac:dyDescent="0.2">
      <c r="BJ64005" s="201"/>
    </row>
    <row r="64006" spans="62:62" x14ac:dyDescent="0.2">
      <c r="BJ64006" s="201"/>
    </row>
    <row r="64007" spans="62:62" x14ac:dyDescent="0.2">
      <c r="BJ64007" s="201"/>
    </row>
    <row r="64008" spans="62:62" x14ac:dyDescent="0.2">
      <c r="BJ64008" s="201"/>
    </row>
    <row r="64009" spans="62:62" x14ac:dyDescent="0.2">
      <c r="BJ64009" s="201"/>
    </row>
    <row r="64010" spans="62:62" x14ac:dyDescent="0.2">
      <c r="BJ64010" s="201"/>
    </row>
    <row r="64011" spans="62:62" x14ac:dyDescent="0.2">
      <c r="BJ64011" s="201"/>
    </row>
    <row r="64012" spans="62:62" x14ac:dyDescent="0.2">
      <c r="BJ64012" s="201"/>
    </row>
    <row r="64013" spans="62:62" x14ac:dyDescent="0.2">
      <c r="BJ64013" s="201"/>
    </row>
    <row r="64014" spans="62:62" x14ac:dyDescent="0.2">
      <c r="BJ64014" s="201"/>
    </row>
    <row r="64015" spans="62:62" x14ac:dyDescent="0.2">
      <c r="BJ64015" s="201"/>
    </row>
    <row r="64016" spans="62:62" x14ac:dyDescent="0.2">
      <c r="BJ64016" s="201"/>
    </row>
    <row r="64017" spans="62:62" x14ac:dyDescent="0.2">
      <c r="BJ64017" s="201"/>
    </row>
    <row r="64018" spans="62:62" x14ac:dyDescent="0.2">
      <c r="BJ64018" s="201"/>
    </row>
    <row r="64019" spans="62:62" x14ac:dyDescent="0.2">
      <c r="BJ64019" s="201"/>
    </row>
    <row r="64020" spans="62:62" x14ac:dyDescent="0.2">
      <c r="BJ64020" s="201"/>
    </row>
    <row r="64021" spans="62:62" x14ac:dyDescent="0.2">
      <c r="BJ64021" s="201"/>
    </row>
    <row r="64022" spans="62:62" x14ac:dyDescent="0.2">
      <c r="BJ64022" s="201"/>
    </row>
    <row r="64023" spans="62:62" x14ac:dyDescent="0.2">
      <c r="BJ64023" s="201"/>
    </row>
    <row r="64024" spans="62:62" x14ac:dyDescent="0.2">
      <c r="BJ64024" s="201"/>
    </row>
    <row r="64025" spans="62:62" x14ac:dyDescent="0.2">
      <c r="BJ64025" s="201"/>
    </row>
    <row r="64026" spans="62:62" x14ac:dyDescent="0.2">
      <c r="BJ64026" s="201"/>
    </row>
    <row r="64027" spans="62:62" x14ac:dyDescent="0.2">
      <c r="BJ64027" s="201"/>
    </row>
    <row r="64028" spans="62:62" x14ac:dyDescent="0.2">
      <c r="BJ64028" s="201"/>
    </row>
    <row r="64029" spans="62:62" x14ac:dyDescent="0.2">
      <c r="BJ64029" s="201"/>
    </row>
    <row r="64030" spans="62:62" x14ac:dyDescent="0.2">
      <c r="BJ64030" s="201"/>
    </row>
    <row r="64031" spans="62:62" x14ac:dyDescent="0.2">
      <c r="BJ64031" s="201"/>
    </row>
    <row r="64032" spans="62:62" x14ac:dyDescent="0.2">
      <c r="BJ64032" s="201"/>
    </row>
    <row r="64033" spans="62:62" x14ac:dyDescent="0.2">
      <c r="BJ64033" s="201"/>
    </row>
    <row r="64034" spans="62:62" x14ac:dyDescent="0.2">
      <c r="BJ64034" s="201"/>
    </row>
    <row r="64035" spans="62:62" x14ac:dyDescent="0.2">
      <c r="BJ64035" s="201"/>
    </row>
    <row r="64036" spans="62:62" x14ac:dyDescent="0.2">
      <c r="BJ64036" s="201"/>
    </row>
    <row r="64037" spans="62:62" x14ac:dyDescent="0.2">
      <c r="BJ64037" s="201"/>
    </row>
    <row r="64038" spans="62:62" x14ac:dyDescent="0.2">
      <c r="BJ64038" s="201"/>
    </row>
    <row r="64039" spans="62:62" x14ac:dyDescent="0.2">
      <c r="BJ64039" s="201"/>
    </row>
    <row r="64040" spans="62:62" x14ac:dyDescent="0.2">
      <c r="BJ64040" s="201"/>
    </row>
    <row r="64041" spans="62:62" x14ac:dyDescent="0.2">
      <c r="BJ64041" s="201"/>
    </row>
    <row r="64042" spans="62:62" x14ac:dyDescent="0.2">
      <c r="BJ64042" s="201"/>
    </row>
    <row r="64043" spans="62:62" x14ac:dyDescent="0.2">
      <c r="BJ64043" s="201"/>
    </row>
    <row r="64044" spans="62:62" x14ac:dyDescent="0.2">
      <c r="BJ64044" s="201"/>
    </row>
    <row r="64045" spans="62:62" x14ac:dyDescent="0.2">
      <c r="BJ64045" s="201"/>
    </row>
    <row r="64046" spans="62:62" x14ac:dyDescent="0.2">
      <c r="BJ64046" s="201"/>
    </row>
    <row r="64047" spans="62:62" x14ac:dyDescent="0.2">
      <c r="BJ64047" s="201"/>
    </row>
    <row r="64048" spans="62:62" x14ac:dyDescent="0.2">
      <c r="BJ64048" s="201"/>
    </row>
    <row r="64049" spans="62:62" x14ac:dyDescent="0.2">
      <c r="BJ64049" s="201"/>
    </row>
    <row r="64050" spans="62:62" x14ac:dyDescent="0.2">
      <c r="BJ64050" s="201"/>
    </row>
    <row r="64051" spans="62:62" x14ac:dyDescent="0.2">
      <c r="BJ64051" s="201"/>
    </row>
    <row r="64052" spans="62:62" x14ac:dyDescent="0.2">
      <c r="BJ64052" s="201"/>
    </row>
    <row r="64053" spans="62:62" x14ac:dyDescent="0.2">
      <c r="BJ64053" s="201"/>
    </row>
    <row r="64054" spans="62:62" x14ac:dyDescent="0.2">
      <c r="BJ64054" s="201"/>
    </row>
    <row r="64055" spans="62:62" x14ac:dyDescent="0.2">
      <c r="BJ64055" s="201"/>
    </row>
    <row r="64056" spans="62:62" x14ac:dyDescent="0.2">
      <c r="BJ64056" s="201"/>
    </row>
    <row r="64057" spans="62:62" x14ac:dyDescent="0.2">
      <c r="BJ64057" s="201"/>
    </row>
    <row r="64058" spans="62:62" x14ac:dyDescent="0.2">
      <c r="BJ64058" s="201"/>
    </row>
    <row r="64059" spans="62:62" x14ac:dyDescent="0.2">
      <c r="BJ64059" s="201"/>
    </row>
    <row r="64060" spans="62:62" x14ac:dyDescent="0.2">
      <c r="BJ64060" s="201"/>
    </row>
    <row r="64061" spans="62:62" x14ac:dyDescent="0.2">
      <c r="BJ64061" s="201"/>
    </row>
    <row r="64062" spans="62:62" x14ac:dyDescent="0.2">
      <c r="BJ64062" s="201"/>
    </row>
    <row r="64063" spans="62:62" x14ac:dyDescent="0.2">
      <c r="BJ64063" s="201"/>
    </row>
    <row r="64064" spans="62:62" x14ac:dyDescent="0.2">
      <c r="BJ64064" s="201"/>
    </row>
    <row r="64065" spans="62:62" x14ac:dyDescent="0.2">
      <c r="BJ64065" s="201"/>
    </row>
    <row r="64066" spans="62:62" x14ac:dyDescent="0.2">
      <c r="BJ64066" s="201"/>
    </row>
    <row r="64067" spans="62:62" x14ac:dyDescent="0.2">
      <c r="BJ64067" s="201"/>
    </row>
    <row r="64068" spans="62:62" x14ac:dyDescent="0.2">
      <c r="BJ64068" s="201"/>
    </row>
    <row r="64069" spans="62:62" x14ac:dyDescent="0.2">
      <c r="BJ64069" s="201"/>
    </row>
    <row r="64070" spans="62:62" x14ac:dyDescent="0.2">
      <c r="BJ64070" s="201"/>
    </row>
    <row r="64071" spans="62:62" x14ac:dyDescent="0.2">
      <c r="BJ64071" s="201"/>
    </row>
    <row r="64072" spans="62:62" x14ac:dyDescent="0.2">
      <c r="BJ64072" s="201"/>
    </row>
    <row r="64073" spans="62:62" x14ac:dyDescent="0.2">
      <c r="BJ64073" s="201"/>
    </row>
    <row r="64074" spans="62:62" x14ac:dyDescent="0.2">
      <c r="BJ64074" s="201"/>
    </row>
    <row r="64075" spans="62:62" x14ac:dyDescent="0.2">
      <c r="BJ64075" s="201"/>
    </row>
    <row r="64076" spans="62:62" x14ac:dyDescent="0.2">
      <c r="BJ64076" s="201"/>
    </row>
    <row r="64077" spans="62:62" x14ac:dyDescent="0.2">
      <c r="BJ64077" s="201"/>
    </row>
    <row r="64078" spans="62:62" x14ac:dyDescent="0.2">
      <c r="BJ64078" s="201"/>
    </row>
    <row r="64079" spans="62:62" x14ac:dyDescent="0.2">
      <c r="BJ64079" s="201"/>
    </row>
    <row r="64080" spans="62:62" x14ac:dyDescent="0.2">
      <c r="BJ64080" s="201"/>
    </row>
    <row r="64081" spans="62:62" x14ac:dyDescent="0.2">
      <c r="BJ64081" s="201"/>
    </row>
    <row r="64082" spans="62:62" x14ac:dyDescent="0.2">
      <c r="BJ64082" s="201"/>
    </row>
    <row r="64083" spans="62:62" x14ac:dyDescent="0.2">
      <c r="BJ64083" s="201"/>
    </row>
    <row r="64084" spans="62:62" x14ac:dyDescent="0.2">
      <c r="BJ64084" s="201"/>
    </row>
    <row r="64085" spans="62:62" x14ac:dyDescent="0.2">
      <c r="BJ64085" s="201"/>
    </row>
    <row r="64086" spans="62:62" x14ac:dyDescent="0.2">
      <c r="BJ64086" s="201"/>
    </row>
    <row r="64087" spans="62:62" x14ac:dyDescent="0.2">
      <c r="BJ64087" s="201"/>
    </row>
    <row r="64088" spans="62:62" x14ac:dyDescent="0.2">
      <c r="BJ64088" s="201"/>
    </row>
    <row r="64089" spans="62:62" x14ac:dyDescent="0.2">
      <c r="BJ64089" s="201"/>
    </row>
    <row r="64090" spans="62:62" x14ac:dyDescent="0.2">
      <c r="BJ64090" s="201"/>
    </row>
    <row r="64091" spans="62:62" x14ac:dyDescent="0.2">
      <c r="BJ64091" s="201"/>
    </row>
    <row r="64092" spans="62:62" x14ac:dyDescent="0.2">
      <c r="BJ64092" s="201"/>
    </row>
    <row r="64093" spans="62:62" x14ac:dyDescent="0.2">
      <c r="BJ64093" s="201"/>
    </row>
    <row r="64094" spans="62:62" x14ac:dyDescent="0.2">
      <c r="BJ64094" s="201"/>
    </row>
    <row r="64095" spans="62:62" x14ac:dyDescent="0.2">
      <c r="BJ64095" s="201"/>
    </row>
    <row r="64096" spans="62:62" x14ac:dyDescent="0.2">
      <c r="BJ64096" s="201"/>
    </row>
    <row r="64097" spans="62:62" x14ac:dyDescent="0.2">
      <c r="BJ64097" s="201"/>
    </row>
    <row r="64098" spans="62:62" x14ac:dyDescent="0.2">
      <c r="BJ64098" s="201"/>
    </row>
    <row r="64099" spans="62:62" x14ac:dyDescent="0.2">
      <c r="BJ64099" s="201"/>
    </row>
    <row r="64100" spans="62:62" x14ac:dyDescent="0.2">
      <c r="BJ64100" s="201"/>
    </row>
    <row r="64101" spans="62:62" x14ac:dyDescent="0.2">
      <c r="BJ64101" s="201"/>
    </row>
    <row r="64102" spans="62:62" x14ac:dyDescent="0.2">
      <c r="BJ64102" s="201"/>
    </row>
    <row r="64103" spans="62:62" x14ac:dyDescent="0.2">
      <c r="BJ64103" s="201"/>
    </row>
    <row r="64104" spans="62:62" x14ac:dyDescent="0.2">
      <c r="BJ64104" s="201"/>
    </row>
    <row r="64105" spans="62:62" x14ac:dyDescent="0.2">
      <c r="BJ64105" s="201"/>
    </row>
    <row r="64106" spans="62:62" x14ac:dyDescent="0.2">
      <c r="BJ64106" s="201"/>
    </row>
    <row r="64107" spans="62:62" x14ac:dyDescent="0.2">
      <c r="BJ64107" s="201"/>
    </row>
    <row r="64108" spans="62:62" x14ac:dyDescent="0.2">
      <c r="BJ64108" s="201"/>
    </row>
    <row r="64109" spans="62:62" x14ac:dyDescent="0.2">
      <c r="BJ64109" s="201"/>
    </row>
    <row r="64110" spans="62:62" x14ac:dyDescent="0.2">
      <c r="BJ64110" s="201"/>
    </row>
    <row r="64111" spans="62:62" x14ac:dyDescent="0.2">
      <c r="BJ64111" s="201"/>
    </row>
    <row r="64112" spans="62:62" x14ac:dyDescent="0.2">
      <c r="BJ64112" s="201"/>
    </row>
    <row r="64113" spans="62:62" x14ac:dyDescent="0.2">
      <c r="BJ64113" s="201"/>
    </row>
    <row r="64114" spans="62:62" x14ac:dyDescent="0.2">
      <c r="BJ64114" s="201"/>
    </row>
    <row r="64115" spans="62:62" x14ac:dyDescent="0.2">
      <c r="BJ64115" s="201"/>
    </row>
    <row r="64116" spans="62:62" x14ac:dyDescent="0.2">
      <c r="BJ64116" s="201"/>
    </row>
    <row r="64117" spans="62:62" x14ac:dyDescent="0.2">
      <c r="BJ64117" s="201"/>
    </row>
    <row r="64118" spans="62:62" x14ac:dyDescent="0.2">
      <c r="BJ64118" s="201"/>
    </row>
    <row r="64119" spans="62:62" x14ac:dyDescent="0.2">
      <c r="BJ64119" s="201"/>
    </row>
    <row r="64120" spans="62:62" x14ac:dyDescent="0.2">
      <c r="BJ64120" s="201"/>
    </row>
    <row r="64121" spans="62:62" x14ac:dyDescent="0.2">
      <c r="BJ64121" s="201"/>
    </row>
    <row r="64122" spans="62:62" x14ac:dyDescent="0.2">
      <c r="BJ64122" s="201"/>
    </row>
    <row r="64123" spans="62:62" x14ac:dyDescent="0.2">
      <c r="BJ64123" s="201"/>
    </row>
    <row r="64124" spans="62:62" x14ac:dyDescent="0.2">
      <c r="BJ64124" s="201"/>
    </row>
    <row r="64125" spans="62:62" x14ac:dyDescent="0.2">
      <c r="BJ64125" s="201"/>
    </row>
    <row r="64126" spans="62:62" x14ac:dyDescent="0.2">
      <c r="BJ64126" s="201"/>
    </row>
    <row r="64127" spans="62:62" x14ac:dyDescent="0.2">
      <c r="BJ64127" s="201"/>
    </row>
    <row r="64128" spans="62:62" x14ac:dyDescent="0.2">
      <c r="BJ64128" s="201"/>
    </row>
    <row r="64129" spans="62:62" x14ac:dyDescent="0.2">
      <c r="BJ64129" s="201"/>
    </row>
    <row r="64130" spans="62:62" x14ac:dyDescent="0.2">
      <c r="BJ64130" s="201"/>
    </row>
    <row r="64131" spans="62:62" x14ac:dyDescent="0.2">
      <c r="BJ64131" s="201"/>
    </row>
    <row r="64132" spans="62:62" x14ac:dyDescent="0.2">
      <c r="BJ64132" s="201"/>
    </row>
    <row r="64133" spans="62:62" x14ac:dyDescent="0.2">
      <c r="BJ64133" s="201"/>
    </row>
    <row r="64134" spans="62:62" x14ac:dyDescent="0.2">
      <c r="BJ64134" s="201"/>
    </row>
    <row r="64135" spans="62:62" x14ac:dyDescent="0.2">
      <c r="BJ64135" s="201"/>
    </row>
    <row r="64136" spans="62:62" x14ac:dyDescent="0.2">
      <c r="BJ64136" s="201"/>
    </row>
    <row r="64137" spans="62:62" x14ac:dyDescent="0.2">
      <c r="BJ64137" s="201"/>
    </row>
    <row r="64138" spans="62:62" x14ac:dyDescent="0.2">
      <c r="BJ64138" s="201"/>
    </row>
    <row r="64139" spans="62:62" x14ac:dyDescent="0.2">
      <c r="BJ64139" s="201"/>
    </row>
    <row r="64140" spans="62:62" x14ac:dyDescent="0.2">
      <c r="BJ64140" s="201"/>
    </row>
    <row r="64141" spans="62:62" x14ac:dyDescent="0.2">
      <c r="BJ64141" s="201"/>
    </row>
    <row r="64142" spans="62:62" x14ac:dyDescent="0.2">
      <c r="BJ64142" s="201"/>
    </row>
    <row r="64143" spans="62:62" x14ac:dyDescent="0.2">
      <c r="BJ64143" s="201"/>
    </row>
    <row r="64144" spans="62:62" x14ac:dyDescent="0.2">
      <c r="BJ64144" s="201"/>
    </row>
    <row r="64145" spans="62:62" x14ac:dyDescent="0.2">
      <c r="BJ64145" s="201"/>
    </row>
    <row r="64146" spans="62:62" x14ac:dyDescent="0.2">
      <c r="BJ64146" s="201"/>
    </row>
    <row r="64147" spans="62:62" x14ac:dyDescent="0.2">
      <c r="BJ64147" s="201"/>
    </row>
    <row r="64148" spans="62:62" x14ac:dyDescent="0.2">
      <c r="BJ64148" s="201"/>
    </row>
    <row r="64149" spans="62:62" x14ac:dyDescent="0.2">
      <c r="BJ64149" s="201"/>
    </row>
    <row r="64150" spans="62:62" x14ac:dyDescent="0.2">
      <c r="BJ64150" s="201"/>
    </row>
    <row r="64151" spans="62:62" x14ac:dyDescent="0.2">
      <c r="BJ64151" s="201"/>
    </row>
    <row r="64152" spans="62:62" x14ac:dyDescent="0.2">
      <c r="BJ64152" s="201"/>
    </row>
    <row r="64153" spans="62:62" x14ac:dyDescent="0.2">
      <c r="BJ64153" s="201"/>
    </row>
    <row r="64154" spans="62:62" x14ac:dyDescent="0.2">
      <c r="BJ64154" s="201"/>
    </row>
    <row r="64155" spans="62:62" x14ac:dyDescent="0.2">
      <c r="BJ64155" s="201"/>
    </row>
    <row r="64156" spans="62:62" x14ac:dyDescent="0.2">
      <c r="BJ64156" s="201"/>
    </row>
    <row r="64157" spans="62:62" x14ac:dyDescent="0.2">
      <c r="BJ64157" s="201"/>
    </row>
    <row r="64158" spans="62:62" x14ac:dyDescent="0.2">
      <c r="BJ64158" s="201"/>
    </row>
    <row r="64159" spans="62:62" x14ac:dyDescent="0.2">
      <c r="BJ64159" s="201"/>
    </row>
    <row r="64160" spans="62:62" x14ac:dyDescent="0.2">
      <c r="BJ64160" s="201"/>
    </row>
    <row r="64161" spans="62:62" x14ac:dyDescent="0.2">
      <c r="BJ64161" s="201"/>
    </row>
    <row r="64162" spans="62:62" x14ac:dyDescent="0.2">
      <c r="BJ64162" s="201"/>
    </row>
    <row r="64163" spans="62:62" x14ac:dyDescent="0.2">
      <c r="BJ64163" s="201"/>
    </row>
    <row r="64164" spans="62:62" x14ac:dyDescent="0.2">
      <c r="BJ64164" s="201"/>
    </row>
    <row r="64165" spans="62:62" x14ac:dyDescent="0.2">
      <c r="BJ64165" s="201"/>
    </row>
    <row r="64166" spans="62:62" x14ac:dyDescent="0.2">
      <c r="BJ64166" s="201"/>
    </row>
    <row r="64167" spans="62:62" x14ac:dyDescent="0.2">
      <c r="BJ64167" s="201"/>
    </row>
    <row r="64168" spans="62:62" x14ac:dyDescent="0.2">
      <c r="BJ64168" s="201"/>
    </row>
    <row r="64169" spans="62:62" x14ac:dyDescent="0.2">
      <c r="BJ64169" s="201"/>
    </row>
    <row r="64170" spans="62:62" x14ac:dyDescent="0.2">
      <c r="BJ64170" s="201"/>
    </row>
    <row r="64171" spans="62:62" x14ac:dyDescent="0.2">
      <c r="BJ64171" s="201"/>
    </row>
    <row r="64172" spans="62:62" x14ac:dyDescent="0.2">
      <c r="BJ64172" s="201"/>
    </row>
    <row r="64173" spans="62:62" x14ac:dyDescent="0.2">
      <c r="BJ64173" s="201"/>
    </row>
    <row r="64174" spans="62:62" x14ac:dyDescent="0.2">
      <c r="BJ64174" s="201"/>
    </row>
    <row r="64175" spans="62:62" x14ac:dyDescent="0.2">
      <c r="BJ64175" s="201"/>
    </row>
    <row r="64176" spans="62:62" x14ac:dyDescent="0.2">
      <c r="BJ64176" s="201"/>
    </row>
    <row r="64177" spans="62:62" x14ac:dyDescent="0.2">
      <c r="BJ64177" s="201"/>
    </row>
    <row r="64178" spans="62:62" x14ac:dyDescent="0.2">
      <c r="BJ64178" s="201"/>
    </row>
    <row r="64179" spans="62:62" x14ac:dyDescent="0.2">
      <c r="BJ64179" s="201"/>
    </row>
    <row r="64180" spans="62:62" x14ac:dyDescent="0.2">
      <c r="BJ64180" s="201"/>
    </row>
    <row r="64181" spans="62:62" x14ac:dyDescent="0.2">
      <c r="BJ64181" s="201"/>
    </row>
    <row r="64182" spans="62:62" x14ac:dyDescent="0.2">
      <c r="BJ64182" s="201"/>
    </row>
    <row r="64183" spans="62:62" x14ac:dyDescent="0.2">
      <c r="BJ64183" s="201"/>
    </row>
    <row r="64184" spans="62:62" x14ac:dyDescent="0.2">
      <c r="BJ64184" s="201"/>
    </row>
    <row r="64185" spans="62:62" x14ac:dyDescent="0.2">
      <c r="BJ64185" s="201"/>
    </row>
    <row r="64186" spans="62:62" x14ac:dyDescent="0.2">
      <c r="BJ64186" s="201"/>
    </row>
    <row r="64187" spans="62:62" x14ac:dyDescent="0.2">
      <c r="BJ64187" s="201"/>
    </row>
    <row r="64188" spans="62:62" x14ac:dyDescent="0.2">
      <c r="BJ64188" s="201"/>
    </row>
    <row r="64189" spans="62:62" x14ac:dyDescent="0.2">
      <c r="BJ64189" s="201"/>
    </row>
    <row r="64190" spans="62:62" x14ac:dyDescent="0.2">
      <c r="BJ64190" s="201"/>
    </row>
    <row r="64191" spans="62:62" x14ac:dyDescent="0.2">
      <c r="BJ64191" s="201"/>
    </row>
    <row r="64192" spans="62:62" x14ac:dyDescent="0.2">
      <c r="BJ64192" s="201"/>
    </row>
    <row r="64193" spans="62:62" x14ac:dyDescent="0.2">
      <c r="BJ64193" s="201"/>
    </row>
    <row r="64194" spans="62:62" x14ac:dyDescent="0.2">
      <c r="BJ64194" s="201"/>
    </row>
    <row r="64195" spans="62:62" x14ac:dyDescent="0.2">
      <c r="BJ64195" s="201"/>
    </row>
    <row r="64196" spans="62:62" x14ac:dyDescent="0.2">
      <c r="BJ64196" s="201"/>
    </row>
    <row r="64197" spans="62:62" x14ac:dyDescent="0.2">
      <c r="BJ64197" s="201"/>
    </row>
    <row r="64198" spans="62:62" x14ac:dyDescent="0.2">
      <c r="BJ64198" s="201"/>
    </row>
    <row r="64199" spans="62:62" x14ac:dyDescent="0.2">
      <c r="BJ64199" s="201"/>
    </row>
    <row r="64200" spans="62:62" x14ac:dyDescent="0.2">
      <c r="BJ64200" s="201"/>
    </row>
    <row r="64201" spans="62:62" x14ac:dyDescent="0.2">
      <c r="BJ64201" s="201"/>
    </row>
    <row r="64202" spans="62:62" x14ac:dyDescent="0.2">
      <c r="BJ64202" s="201"/>
    </row>
    <row r="64203" spans="62:62" x14ac:dyDescent="0.2">
      <c r="BJ64203" s="201"/>
    </row>
    <row r="64204" spans="62:62" x14ac:dyDescent="0.2">
      <c r="BJ64204" s="201"/>
    </row>
    <row r="64205" spans="62:62" x14ac:dyDescent="0.2">
      <c r="BJ64205" s="201"/>
    </row>
    <row r="64206" spans="62:62" x14ac:dyDescent="0.2">
      <c r="BJ64206" s="201"/>
    </row>
    <row r="64207" spans="62:62" x14ac:dyDescent="0.2">
      <c r="BJ64207" s="201"/>
    </row>
    <row r="64208" spans="62:62" x14ac:dyDescent="0.2">
      <c r="BJ64208" s="201"/>
    </row>
    <row r="64209" spans="62:62" x14ac:dyDescent="0.2">
      <c r="BJ64209" s="201"/>
    </row>
    <row r="64210" spans="62:62" x14ac:dyDescent="0.2">
      <c r="BJ64210" s="201"/>
    </row>
    <row r="64211" spans="62:62" x14ac:dyDescent="0.2">
      <c r="BJ64211" s="201"/>
    </row>
    <row r="64212" spans="62:62" x14ac:dyDescent="0.2">
      <c r="BJ64212" s="201"/>
    </row>
    <row r="64213" spans="62:62" x14ac:dyDescent="0.2">
      <c r="BJ64213" s="201"/>
    </row>
    <row r="64214" spans="62:62" x14ac:dyDescent="0.2">
      <c r="BJ64214" s="201"/>
    </row>
    <row r="64215" spans="62:62" x14ac:dyDescent="0.2">
      <c r="BJ64215" s="201"/>
    </row>
    <row r="64216" spans="62:62" x14ac:dyDescent="0.2">
      <c r="BJ64216" s="201"/>
    </row>
    <row r="64217" spans="62:62" x14ac:dyDescent="0.2">
      <c r="BJ64217" s="201"/>
    </row>
    <row r="64218" spans="62:62" x14ac:dyDescent="0.2">
      <c r="BJ64218" s="201"/>
    </row>
    <row r="64219" spans="62:62" x14ac:dyDescent="0.2">
      <c r="BJ64219" s="201"/>
    </row>
    <row r="64220" spans="62:62" x14ac:dyDescent="0.2">
      <c r="BJ64220" s="201"/>
    </row>
    <row r="64221" spans="62:62" x14ac:dyDescent="0.2">
      <c r="BJ64221" s="201"/>
    </row>
    <row r="64222" spans="62:62" x14ac:dyDescent="0.2">
      <c r="BJ64222" s="201"/>
    </row>
    <row r="64223" spans="62:62" x14ac:dyDescent="0.2">
      <c r="BJ64223" s="201"/>
    </row>
    <row r="64224" spans="62:62" x14ac:dyDescent="0.2">
      <c r="BJ64224" s="201"/>
    </row>
    <row r="64225" spans="62:62" x14ac:dyDescent="0.2">
      <c r="BJ64225" s="201"/>
    </row>
    <row r="64226" spans="62:62" x14ac:dyDescent="0.2">
      <c r="BJ64226" s="201"/>
    </row>
    <row r="64227" spans="62:62" x14ac:dyDescent="0.2">
      <c r="BJ64227" s="201"/>
    </row>
    <row r="64228" spans="62:62" x14ac:dyDescent="0.2">
      <c r="BJ64228" s="201"/>
    </row>
    <row r="64229" spans="62:62" x14ac:dyDescent="0.2">
      <c r="BJ64229" s="201"/>
    </row>
    <row r="64230" spans="62:62" x14ac:dyDescent="0.2">
      <c r="BJ64230" s="201"/>
    </row>
    <row r="64231" spans="62:62" x14ac:dyDescent="0.2">
      <c r="BJ64231" s="201"/>
    </row>
    <row r="64232" spans="62:62" x14ac:dyDescent="0.2">
      <c r="BJ64232" s="201"/>
    </row>
    <row r="64233" spans="62:62" x14ac:dyDescent="0.2">
      <c r="BJ64233" s="201"/>
    </row>
    <row r="64234" spans="62:62" x14ac:dyDescent="0.2">
      <c r="BJ64234" s="201"/>
    </row>
    <row r="64235" spans="62:62" x14ac:dyDescent="0.2">
      <c r="BJ64235" s="201"/>
    </row>
    <row r="64236" spans="62:62" x14ac:dyDescent="0.2">
      <c r="BJ64236" s="201"/>
    </row>
    <row r="64237" spans="62:62" x14ac:dyDescent="0.2">
      <c r="BJ64237" s="201"/>
    </row>
    <row r="64238" spans="62:62" x14ac:dyDescent="0.2">
      <c r="BJ64238" s="201"/>
    </row>
    <row r="64239" spans="62:62" x14ac:dyDescent="0.2">
      <c r="BJ64239" s="201"/>
    </row>
    <row r="64240" spans="62:62" x14ac:dyDescent="0.2">
      <c r="BJ64240" s="201"/>
    </row>
    <row r="64241" spans="62:62" x14ac:dyDescent="0.2">
      <c r="BJ64241" s="201"/>
    </row>
    <row r="64242" spans="62:62" x14ac:dyDescent="0.2">
      <c r="BJ64242" s="201"/>
    </row>
    <row r="64243" spans="62:62" x14ac:dyDescent="0.2">
      <c r="BJ64243" s="201"/>
    </row>
    <row r="64244" spans="62:62" x14ac:dyDescent="0.2">
      <c r="BJ64244" s="201"/>
    </row>
    <row r="64245" spans="62:62" x14ac:dyDescent="0.2">
      <c r="BJ64245" s="201"/>
    </row>
    <row r="64246" spans="62:62" x14ac:dyDescent="0.2">
      <c r="BJ64246" s="201"/>
    </row>
    <row r="64247" spans="62:62" x14ac:dyDescent="0.2">
      <c r="BJ64247" s="201"/>
    </row>
    <row r="64248" spans="62:62" x14ac:dyDescent="0.2">
      <c r="BJ64248" s="201"/>
    </row>
    <row r="64249" spans="62:62" x14ac:dyDescent="0.2">
      <c r="BJ64249" s="201"/>
    </row>
    <row r="64250" spans="62:62" x14ac:dyDescent="0.2">
      <c r="BJ64250" s="201"/>
    </row>
    <row r="64251" spans="62:62" x14ac:dyDescent="0.2">
      <c r="BJ64251" s="201"/>
    </row>
    <row r="64252" spans="62:62" x14ac:dyDescent="0.2">
      <c r="BJ64252" s="201"/>
    </row>
    <row r="64253" spans="62:62" x14ac:dyDescent="0.2">
      <c r="BJ64253" s="201"/>
    </row>
    <row r="64254" spans="62:62" x14ac:dyDescent="0.2">
      <c r="BJ64254" s="201"/>
    </row>
    <row r="64255" spans="62:62" x14ac:dyDescent="0.2">
      <c r="BJ64255" s="201"/>
    </row>
    <row r="64256" spans="62:62" x14ac:dyDescent="0.2">
      <c r="BJ64256" s="201"/>
    </row>
    <row r="64257" spans="62:62" x14ac:dyDescent="0.2">
      <c r="BJ64257" s="201"/>
    </row>
    <row r="64258" spans="62:62" x14ac:dyDescent="0.2">
      <c r="BJ64258" s="201"/>
    </row>
    <row r="64259" spans="62:62" x14ac:dyDescent="0.2">
      <c r="BJ64259" s="201"/>
    </row>
    <row r="64260" spans="62:62" x14ac:dyDescent="0.2">
      <c r="BJ64260" s="201"/>
    </row>
    <row r="64261" spans="62:62" x14ac:dyDescent="0.2">
      <c r="BJ64261" s="201"/>
    </row>
    <row r="64262" spans="62:62" x14ac:dyDescent="0.2">
      <c r="BJ64262" s="201"/>
    </row>
    <row r="64263" spans="62:62" x14ac:dyDescent="0.2">
      <c r="BJ64263" s="201"/>
    </row>
    <row r="64264" spans="62:62" x14ac:dyDescent="0.2">
      <c r="BJ64264" s="201"/>
    </row>
    <row r="64265" spans="62:62" x14ac:dyDescent="0.2">
      <c r="BJ64265" s="201"/>
    </row>
    <row r="64266" spans="62:62" x14ac:dyDescent="0.2">
      <c r="BJ64266" s="201"/>
    </row>
    <row r="64267" spans="62:62" x14ac:dyDescent="0.2">
      <c r="BJ64267" s="201"/>
    </row>
    <row r="64268" spans="62:62" x14ac:dyDescent="0.2">
      <c r="BJ64268" s="201"/>
    </row>
    <row r="64269" spans="62:62" x14ac:dyDescent="0.2">
      <c r="BJ64269" s="201"/>
    </row>
    <row r="64270" spans="62:62" x14ac:dyDescent="0.2">
      <c r="BJ64270" s="201"/>
    </row>
    <row r="64271" spans="62:62" x14ac:dyDescent="0.2">
      <c r="BJ64271" s="201"/>
    </row>
    <row r="64272" spans="62:62" x14ac:dyDescent="0.2">
      <c r="BJ64272" s="201"/>
    </row>
    <row r="64273" spans="62:62" x14ac:dyDescent="0.2">
      <c r="BJ64273" s="201"/>
    </row>
    <row r="64274" spans="62:62" x14ac:dyDescent="0.2">
      <c r="BJ64274" s="201"/>
    </row>
    <row r="64275" spans="62:62" x14ac:dyDescent="0.2">
      <c r="BJ64275" s="201"/>
    </row>
    <row r="64276" spans="62:62" x14ac:dyDescent="0.2">
      <c r="BJ64276" s="201"/>
    </row>
    <row r="64277" spans="62:62" x14ac:dyDescent="0.2">
      <c r="BJ64277" s="201"/>
    </row>
    <row r="64278" spans="62:62" x14ac:dyDescent="0.2">
      <c r="BJ64278" s="201"/>
    </row>
    <row r="64279" spans="62:62" x14ac:dyDescent="0.2">
      <c r="BJ64279" s="201"/>
    </row>
    <row r="64280" spans="62:62" x14ac:dyDescent="0.2">
      <c r="BJ64280" s="201"/>
    </row>
    <row r="64281" spans="62:62" x14ac:dyDescent="0.2">
      <c r="BJ64281" s="201"/>
    </row>
    <row r="64282" spans="62:62" x14ac:dyDescent="0.2">
      <c r="BJ64282" s="201"/>
    </row>
    <row r="64283" spans="62:62" x14ac:dyDescent="0.2">
      <c r="BJ64283" s="201"/>
    </row>
    <row r="64284" spans="62:62" x14ac:dyDescent="0.2">
      <c r="BJ64284" s="201"/>
    </row>
    <row r="64285" spans="62:62" x14ac:dyDescent="0.2">
      <c r="BJ64285" s="201"/>
    </row>
    <row r="64286" spans="62:62" x14ac:dyDescent="0.2">
      <c r="BJ64286" s="201"/>
    </row>
    <row r="64287" spans="62:62" x14ac:dyDescent="0.2">
      <c r="BJ64287" s="201"/>
    </row>
    <row r="64288" spans="62:62" x14ac:dyDescent="0.2">
      <c r="BJ64288" s="201"/>
    </row>
    <row r="64289" spans="62:62" x14ac:dyDescent="0.2">
      <c r="BJ64289" s="201"/>
    </row>
    <row r="64290" spans="62:62" x14ac:dyDescent="0.2">
      <c r="BJ64290" s="201"/>
    </row>
    <row r="64291" spans="62:62" x14ac:dyDescent="0.2">
      <c r="BJ64291" s="201"/>
    </row>
    <row r="64292" spans="62:62" x14ac:dyDescent="0.2">
      <c r="BJ64292" s="201"/>
    </row>
    <row r="64293" spans="62:62" x14ac:dyDescent="0.2">
      <c r="BJ64293" s="201"/>
    </row>
    <row r="64294" spans="62:62" x14ac:dyDescent="0.2">
      <c r="BJ64294" s="201"/>
    </row>
    <row r="64295" spans="62:62" x14ac:dyDescent="0.2">
      <c r="BJ64295" s="201"/>
    </row>
    <row r="64296" spans="62:62" x14ac:dyDescent="0.2">
      <c r="BJ64296" s="201"/>
    </row>
    <row r="64297" spans="62:62" x14ac:dyDescent="0.2">
      <c r="BJ64297" s="201"/>
    </row>
    <row r="64298" spans="62:62" x14ac:dyDescent="0.2">
      <c r="BJ64298" s="201"/>
    </row>
    <row r="64299" spans="62:62" x14ac:dyDescent="0.2">
      <c r="BJ64299" s="201"/>
    </row>
    <row r="64300" spans="62:62" x14ac:dyDescent="0.2">
      <c r="BJ64300" s="201"/>
    </row>
    <row r="64301" spans="62:62" x14ac:dyDescent="0.2">
      <c r="BJ64301" s="201"/>
    </row>
    <row r="64302" spans="62:62" x14ac:dyDescent="0.2">
      <c r="BJ64302" s="201"/>
    </row>
    <row r="64303" spans="62:62" x14ac:dyDescent="0.2">
      <c r="BJ64303" s="201"/>
    </row>
    <row r="64304" spans="62:62" x14ac:dyDescent="0.2">
      <c r="BJ64304" s="201"/>
    </row>
    <row r="64305" spans="62:62" x14ac:dyDescent="0.2">
      <c r="BJ64305" s="201"/>
    </row>
    <row r="64306" spans="62:62" x14ac:dyDescent="0.2">
      <c r="BJ64306" s="201"/>
    </row>
    <row r="64307" spans="62:62" x14ac:dyDescent="0.2">
      <c r="BJ64307" s="201"/>
    </row>
    <row r="64308" spans="62:62" x14ac:dyDescent="0.2">
      <c r="BJ64308" s="201"/>
    </row>
    <row r="64309" spans="62:62" x14ac:dyDescent="0.2">
      <c r="BJ64309" s="201"/>
    </row>
    <row r="64310" spans="62:62" x14ac:dyDescent="0.2">
      <c r="BJ64310" s="201"/>
    </row>
    <row r="64311" spans="62:62" x14ac:dyDescent="0.2">
      <c r="BJ64311" s="201"/>
    </row>
    <row r="64312" spans="62:62" x14ac:dyDescent="0.2">
      <c r="BJ64312" s="201"/>
    </row>
    <row r="64313" spans="62:62" x14ac:dyDescent="0.2">
      <c r="BJ64313" s="201"/>
    </row>
    <row r="64314" spans="62:62" x14ac:dyDescent="0.2">
      <c r="BJ64314" s="201"/>
    </row>
    <row r="64315" spans="62:62" x14ac:dyDescent="0.2">
      <c r="BJ64315" s="201"/>
    </row>
    <row r="64316" spans="62:62" x14ac:dyDescent="0.2">
      <c r="BJ64316" s="201"/>
    </row>
    <row r="64317" spans="62:62" x14ac:dyDescent="0.2">
      <c r="BJ64317" s="201"/>
    </row>
    <row r="64318" spans="62:62" x14ac:dyDescent="0.2">
      <c r="BJ64318" s="201"/>
    </row>
    <row r="64319" spans="62:62" x14ac:dyDescent="0.2">
      <c r="BJ64319" s="201"/>
    </row>
    <row r="64320" spans="62:62" x14ac:dyDescent="0.2">
      <c r="BJ64320" s="201"/>
    </row>
    <row r="64321" spans="62:62" x14ac:dyDescent="0.2">
      <c r="BJ64321" s="201"/>
    </row>
    <row r="64322" spans="62:62" x14ac:dyDescent="0.2">
      <c r="BJ64322" s="201"/>
    </row>
    <row r="64323" spans="62:62" x14ac:dyDescent="0.2">
      <c r="BJ64323" s="201"/>
    </row>
    <row r="64324" spans="62:62" x14ac:dyDescent="0.2">
      <c r="BJ64324" s="201"/>
    </row>
    <row r="64325" spans="62:62" x14ac:dyDescent="0.2">
      <c r="BJ64325" s="201"/>
    </row>
    <row r="64326" spans="62:62" x14ac:dyDescent="0.2">
      <c r="BJ64326" s="201"/>
    </row>
    <row r="64327" spans="62:62" x14ac:dyDescent="0.2">
      <c r="BJ64327" s="201"/>
    </row>
    <row r="64328" spans="62:62" x14ac:dyDescent="0.2">
      <c r="BJ64328" s="201"/>
    </row>
    <row r="64329" spans="62:62" x14ac:dyDescent="0.2">
      <c r="BJ64329" s="201"/>
    </row>
    <row r="64330" spans="62:62" x14ac:dyDescent="0.2">
      <c r="BJ64330" s="201"/>
    </row>
    <row r="64331" spans="62:62" x14ac:dyDescent="0.2">
      <c r="BJ64331" s="201"/>
    </row>
    <row r="64332" spans="62:62" x14ac:dyDescent="0.2">
      <c r="BJ64332" s="201"/>
    </row>
    <row r="64333" spans="62:62" x14ac:dyDescent="0.2">
      <c r="BJ64333" s="201"/>
    </row>
    <row r="64334" spans="62:62" x14ac:dyDescent="0.2">
      <c r="BJ64334" s="201"/>
    </row>
    <row r="64335" spans="62:62" x14ac:dyDescent="0.2">
      <c r="BJ64335" s="201"/>
    </row>
    <row r="64336" spans="62:62" x14ac:dyDescent="0.2">
      <c r="BJ64336" s="201"/>
    </row>
    <row r="64337" spans="62:62" x14ac:dyDescent="0.2">
      <c r="BJ64337" s="201"/>
    </row>
    <row r="64338" spans="62:62" x14ac:dyDescent="0.2">
      <c r="BJ64338" s="201"/>
    </row>
    <row r="64339" spans="62:62" x14ac:dyDescent="0.2">
      <c r="BJ64339" s="201"/>
    </row>
    <row r="64340" spans="62:62" x14ac:dyDescent="0.2">
      <c r="BJ64340" s="201"/>
    </row>
    <row r="64341" spans="62:62" x14ac:dyDescent="0.2">
      <c r="BJ64341" s="201"/>
    </row>
    <row r="64342" spans="62:62" x14ac:dyDescent="0.2">
      <c r="BJ64342" s="201"/>
    </row>
    <row r="64343" spans="62:62" x14ac:dyDescent="0.2">
      <c r="BJ64343" s="201"/>
    </row>
    <row r="64344" spans="62:62" x14ac:dyDescent="0.2">
      <c r="BJ64344" s="201"/>
    </row>
    <row r="64345" spans="62:62" x14ac:dyDescent="0.2">
      <c r="BJ64345" s="201"/>
    </row>
    <row r="64346" spans="62:62" x14ac:dyDescent="0.2">
      <c r="BJ64346" s="201"/>
    </row>
    <row r="64347" spans="62:62" x14ac:dyDescent="0.2">
      <c r="BJ64347" s="201"/>
    </row>
    <row r="64348" spans="62:62" x14ac:dyDescent="0.2">
      <c r="BJ64348" s="201"/>
    </row>
    <row r="64349" spans="62:62" x14ac:dyDescent="0.2">
      <c r="BJ64349" s="201"/>
    </row>
    <row r="64350" spans="62:62" x14ac:dyDescent="0.2">
      <c r="BJ64350" s="201"/>
    </row>
    <row r="64351" spans="62:62" x14ac:dyDescent="0.2">
      <c r="BJ64351" s="201"/>
    </row>
    <row r="64352" spans="62:62" x14ac:dyDescent="0.2">
      <c r="BJ64352" s="201"/>
    </row>
    <row r="64353" spans="62:62" x14ac:dyDescent="0.2">
      <c r="BJ64353" s="201"/>
    </row>
    <row r="64354" spans="62:62" x14ac:dyDescent="0.2">
      <c r="BJ64354" s="201"/>
    </row>
    <row r="64355" spans="62:62" x14ac:dyDescent="0.2">
      <c r="BJ64355" s="201"/>
    </row>
    <row r="64356" spans="62:62" x14ac:dyDescent="0.2">
      <c r="BJ64356" s="201"/>
    </row>
    <row r="64357" spans="62:62" x14ac:dyDescent="0.2">
      <c r="BJ64357" s="201"/>
    </row>
    <row r="64358" spans="62:62" x14ac:dyDescent="0.2">
      <c r="BJ64358" s="201"/>
    </row>
    <row r="64359" spans="62:62" x14ac:dyDescent="0.2">
      <c r="BJ64359" s="201"/>
    </row>
    <row r="64360" spans="62:62" x14ac:dyDescent="0.2">
      <c r="BJ64360" s="201"/>
    </row>
    <row r="64361" spans="62:62" x14ac:dyDescent="0.2">
      <c r="BJ64361" s="201"/>
    </row>
    <row r="64362" spans="62:62" x14ac:dyDescent="0.2">
      <c r="BJ64362" s="201"/>
    </row>
    <row r="64363" spans="62:62" x14ac:dyDescent="0.2">
      <c r="BJ64363" s="201"/>
    </row>
    <row r="64364" spans="62:62" x14ac:dyDescent="0.2">
      <c r="BJ64364" s="201"/>
    </row>
    <row r="64365" spans="62:62" x14ac:dyDescent="0.2">
      <c r="BJ64365" s="201"/>
    </row>
    <row r="64366" spans="62:62" x14ac:dyDescent="0.2">
      <c r="BJ64366" s="201"/>
    </row>
    <row r="64367" spans="62:62" x14ac:dyDescent="0.2">
      <c r="BJ64367" s="201"/>
    </row>
    <row r="64368" spans="62:62" x14ac:dyDescent="0.2">
      <c r="BJ64368" s="201"/>
    </row>
    <row r="64369" spans="62:62" x14ac:dyDescent="0.2">
      <c r="BJ64369" s="201"/>
    </row>
    <row r="64370" spans="62:62" x14ac:dyDescent="0.2">
      <c r="BJ64370" s="201"/>
    </row>
    <row r="64371" spans="62:62" x14ac:dyDescent="0.2">
      <c r="BJ64371" s="201"/>
    </row>
    <row r="64372" spans="62:62" x14ac:dyDescent="0.2">
      <c r="BJ64372" s="201"/>
    </row>
    <row r="64373" spans="62:62" x14ac:dyDescent="0.2">
      <c r="BJ64373" s="201"/>
    </row>
    <row r="64374" spans="62:62" x14ac:dyDescent="0.2">
      <c r="BJ64374" s="201"/>
    </row>
    <row r="64375" spans="62:62" x14ac:dyDescent="0.2">
      <c r="BJ64375" s="201"/>
    </row>
    <row r="64376" spans="62:62" x14ac:dyDescent="0.2">
      <c r="BJ64376" s="201"/>
    </row>
    <row r="64377" spans="62:62" x14ac:dyDescent="0.2">
      <c r="BJ64377" s="201"/>
    </row>
    <row r="64378" spans="62:62" x14ac:dyDescent="0.2">
      <c r="BJ64378" s="201"/>
    </row>
    <row r="64379" spans="62:62" x14ac:dyDescent="0.2">
      <c r="BJ64379" s="201"/>
    </row>
    <row r="64380" spans="62:62" x14ac:dyDescent="0.2">
      <c r="BJ64380" s="201"/>
    </row>
    <row r="64381" spans="62:62" x14ac:dyDescent="0.2">
      <c r="BJ64381" s="201"/>
    </row>
    <row r="64382" spans="62:62" x14ac:dyDescent="0.2">
      <c r="BJ64382" s="201"/>
    </row>
    <row r="64383" spans="62:62" x14ac:dyDescent="0.2">
      <c r="BJ64383" s="201"/>
    </row>
    <row r="64384" spans="62:62" x14ac:dyDescent="0.2">
      <c r="BJ64384" s="201"/>
    </row>
    <row r="64385" spans="62:62" x14ac:dyDescent="0.2">
      <c r="BJ64385" s="201"/>
    </row>
    <row r="64386" spans="62:62" x14ac:dyDescent="0.2">
      <c r="BJ64386" s="201"/>
    </row>
    <row r="64387" spans="62:62" x14ac:dyDescent="0.2">
      <c r="BJ64387" s="201"/>
    </row>
    <row r="64388" spans="62:62" x14ac:dyDescent="0.2">
      <c r="BJ64388" s="201"/>
    </row>
    <row r="64389" spans="62:62" x14ac:dyDescent="0.2">
      <c r="BJ64389" s="201"/>
    </row>
    <row r="64390" spans="62:62" x14ac:dyDescent="0.2">
      <c r="BJ64390" s="201"/>
    </row>
    <row r="64391" spans="62:62" x14ac:dyDescent="0.2">
      <c r="BJ64391" s="201"/>
    </row>
    <row r="64392" spans="62:62" x14ac:dyDescent="0.2">
      <c r="BJ64392" s="201"/>
    </row>
    <row r="64393" spans="62:62" x14ac:dyDescent="0.2">
      <c r="BJ64393" s="201"/>
    </row>
    <row r="64394" spans="62:62" x14ac:dyDescent="0.2">
      <c r="BJ64394" s="201"/>
    </row>
    <row r="64395" spans="62:62" x14ac:dyDescent="0.2">
      <c r="BJ64395" s="201"/>
    </row>
    <row r="64396" spans="62:62" x14ac:dyDescent="0.2">
      <c r="BJ64396" s="201"/>
    </row>
    <row r="64397" spans="62:62" x14ac:dyDescent="0.2">
      <c r="BJ64397" s="201"/>
    </row>
    <row r="64398" spans="62:62" x14ac:dyDescent="0.2">
      <c r="BJ64398" s="201"/>
    </row>
    <row r="64399" spans="62:62" x14ac:dyDescent="0.2">
      <c r="BJ64399" s="201"/>
    </row>
    <row r="64400" spans="62:62" x14ac:dyDescent="0.2">
      <c r="BJ64400" s="201"/>
    </row>
    <row r="64401" spans="62:62" x14ac:dyDescent="0.2">
      <c r="BJ64401" s="201"/>
    </row>
    <row r="64402" spans="62:62" x14ac:dyDescent="0.2">
      <c r="BJ64402" s="201"/>
    </row>
    <row r="64403" spans="62:62" x14ac:dyDescent="0.2">
      <c r="BJ64403" s="201"/>
    </row>
    <row r="64404" spans="62:62" x14ac:dyDescent="0.2">
      <c r="BJ64404" s="201"/>
    </row>
    <row r="64405" spans="62:62" x14ac:dyDescent="0.2">
      <c r="BJ64405" s="201"/>
    </row>
    <row r="64406" spans="62:62" x14ac:dyDescent="0.2">
      <c r="BJ64406" s="201"/>
    </row>
    <row r="64407" spans="62:62" x14ac:dyDescent="0.2">
      <c r="BJ64407" s="201"/>
    </row>
    <row r="64408" spans="62:62" x14ac:dyDescent="0.2">
      <c r="BJ64408" s="201"/>
    </row>
    <row r="64409" spans="62:62" x14ac:dyDescent="0.2">
      <c r="BJ64409" s="201"/>
    </row>
    <row r="64410" spans="62:62" x14ac:dyDescent="0.2">
      <c r="BJ64410" s="201"/>
    </row>
    <row r="64411" spans="62:62" x14ac:dyDescent="0.2">
      <c r="BJ64411" s="201"/>
    </row>
    <row r="64412" spans="62:62" x14ac:dyDescent="0.2">
      <c r="BJ64412" s="201"/>
    </row>
    <row r="64413" spans="62:62" x14ac:dyDescent="0.2">
      <c r="BJ64413" s="201"/>
    </row>
    <row r="64414" spans="62:62" x14ac:dyDescent="0.2">
      <c r="BJ64414" s="201"/>
    </row>
    <row r="64415" spans="62:62" x14ac:dyDescent="0.2">
      <c r="BJ64415" s="201"/>
    </row>
    <row r="64416" spans="62:62" x14ac:dyDescent="0.2">
      <c r="BJ64416" s="201"/>
    </row>
    <row r="64417" spans="62:62" x14ac:dyDescent="0.2">
      <c r="BJ64417" s="201"/>
    </row>
    <row r="64418" spans="62:62" x14ac:dyDescent="0.2">
      <c r="BJ64418" s="201"/>
    </row>
    <row r="64419" spans="62:62" x14ac:dyDescent="0.2">
      <c r="BJ64419" s="201"/>
    </row>
    <row r="64420" spans="62:62" x14ac:dyDescent="0.2">
      <c r="BJ64420" s="201"/>
    </row>
    <row r="64421" spans="62:62" x14ac:dyDescent="0.2">
      <c r="BJ64421" s="201"/>
    </row>
    <row r="64422" spans="62:62" x14ac:dyDescent="0.2">
      <c r="BJ64422" s="201"/>
    </row>
    <row r="64423" spans="62:62" x14ac:dyDescent="0.2">
      <c r="BJ64423" s="201"/>
    </row>
    <row r="64424" spans="62:62" x14ac:dyDescent="0.2">
      <c r="BJ64424" s="201"/>
    </row>
    <row r="64425" spans="62:62" x14ac:dyDescent="0.2">
      <c r="BJ64425" s="201"/>
    </row>
    <row r="64426" spans="62:62" x14ac:dyDescent="0.2">
      <c r="BJ64426" s="201"/>
    </row>
    <row r="64427" spans="62:62" x14ac:dyDescent="0.2">
      <c r="BJ64427" s="201"/>
    </row>
    <row r="64428" spans="62:62" x14ac:dyDescent="0.2">
      <c r="BJ64428" s="201"/>
    </row>
    <row r="64429" spans="62:62" x14ac:dyDescent="0.2">
      <c r="BJ64429" s="201"/>
    </row>
    <row r="64430" spans="62:62" x14ac:dyDescent="0.2">
      <c r="BJ64430" s="201"/>
    </row>
    <row r="64431" spans="62:62" x14ac:dyDescent="0.2">
      <c r="BJ64431" s="201"/>
    </row>
    <row r="64432" spans="62:62" x14ac:dyDescent="0.2">
      <c r="BJ64432" s="201"/>
    </row>
    <row r="64433" spans="62:62" x14ac:dyDescent="0.2">
      <c r="BJ64433" s="201"/>
    </row>
    <row r="64434" spans="62:62" x14ac:dyDescent="0.2">
      <c r="BJ64434" s="201"/>
    </row>
    <row r="64435" spans="62:62" x14ac:dyDescent="0.2">
      <c r="BJ64435" s="201"/>
    </row>
    <row r="64436" spans="62:62" x14ac:dyDescent="0.2">
      <c r="BJ64436" s="201"/>
    </row>
    <row r="64437" spans="62:62" x14ac:dyDescent="0.2">
      <c r="BJ64437" s="201"/>
    </row>
    <row r="64438" spans="62:62" x14ac:dyDescent="0.2">
      <c r="BJ64438" s="201"/>
    </row>
    <row r="64439" spans="62:62" x14ac:dyDescent="0.2">
      <c r="BJ64439" s="201"/>
    </row>
    <row r="64440" spans="62:62" x14ac:dyDescent="0.2">
      <c r="BJ64440" s="201"/>
    </row>
    <row r="64441" spans="62:62" x14ac:dyDescent="0.2">
      <c r="BJ64441" s="201"/>
    </row>
    <row r="64442" spans="62:62" x14ac:dyDescent="0.2">
      <c r="BJ64442" s="201"/>
    </row>
    <row r="64443" spans="62:62" x14ac:dyDescent="0.2">
      <c r="BJ64443" s="201"/>
    </row>
    <row r="64444" spans="62:62" x14ac:dyDescent="0.2">
      <c r="BJ64444" s="201"/>
    </row>
    <row r="64445" spans="62:62" x14ac:dyDescent="0.2">
      <c r="BJ64445" s="201"/>
    </row>
    <row r="64446" spans="62:62" x14ac:dyDescent="0.2">
      <c r="BJ64446" s="201"/>
    </row>
    <row r="64447" spans="62:62" x14ac:dyDescent="0.2">
      <c r="BJ64447" s="201"/>
    </row>
    <row r="64448" spans="62:62" x14ac:dyDescent="0.2">
      <c r="BJ64448" s="201"/>
    </row>
    <row r="64449" spans="62:62" x14ac:dyDescent="0.2">
      <c r="BJ64449" s="201"/>
    </row>
    <row r="64450" spans="62:62" x14ac:dyDescent="0.2">
      <c r="BJ64450" s="201"/>
    </row>
    <row r="64451" spans="62:62" x14ac:dyDescent="0.2">
      <c r="BJ64451" s="201"/>
    </row>
    <row r="64452" spans="62:62" x14ac:dyDescent="0.2">
      <c r="BJ64452" s="201"/>
    </row>
    <row r="64453" spans="62:62" x14ac:dyDescent="0.2">
      <c r="BJ64453" s="201"/>
    </row>
    <row r="64454" spans="62:62" x14ac:dyDescent="0.2">
      <c r="BJ64454" s="201"/>
    </row>
    <row r="64455" spans="62:62" x14ac:dyDescent="0.2">
      <c r="BJ64455" s="201"/>
    </row>
    <row r="64456" spans="62:62" x14ac:dyDescent="0.2">
      <c r="BJ64456" s="201"/>
    </row>
    <row r="64457" spans="62:62" x14ac:dyDescent="0.2">
      <c r="BJ64457" s="201"/>
    </row>
    <row r="64458" spans="62:62" x14ac:dyDescent="0.2">
      <c r="BJ64458" s="201"/>
    </row>
    <row r="64459" spans="62:62" x14ac:dyDescent="0.2">
      <c r="BJ64459" s="201"/>
    </row>
    <row r="64460" spans="62:62" x14ac:dyDescent="0.2">
      <c r="BJ64460" s="201"/>
    </row>
    <row r="64461" spans="62:62" x14ac:dyDescent="0.2">
      <c r="BJ64461" s="201"/>
    </row>
    <row r="64462" spans="62:62" x14ac:dyDescent="0.2">
      <c r="BJ64462" s="201"/>
    </row>
    <row r="64463" spans="62:62" x14ac:dyDescent="0.2">
      <c r="BJ64463" s="201"/>
    </row>
    <row r="64464" spans="62:62" x14ac:dyDescent="0.2">
      <c r="BJ64464" s="201"/>
    </row>
    <row r="64465" spans="62:62" x14ac:dyDescent="0.2">
      <c r="BJ64465" s="201"/>
    </row>
    <row r="64466" spans="62:62" x14ac:dyDescent="0.2">
      <c r="BJ64466" s="201"/>
    </row>
    <row r="64467" spans="62:62" x14ac:dyDescent="0.2">
      <c r="BJ64467" s="201"/>
    </row>
    <row r="64468" spans="62:62" x14ac:dyDescent="0.2">
      <c r="BJ64468" s="201"/>
    </row>
    <row r="64469" spans="62:62" x14ac:dyDescent="0.2">
      <c r="BJ64469" s="201"/>
    </row>
    <row r="64470" spans="62:62" x14ac:dyDescent="0.2">
      <c r="BJ64470" s="201"/>
    </row>
    <row r="64471" spans="62:62" x14ac:dyDescent="0.2">
      <c r="BJ64471" s="201"/>
    </row>
    <row r="64472" spans="62:62" x14ac:dyDescent="0.2">
      <c r="BJ64472" s="201"/>
    </row>
    <row r="64473" spans="62:62" x14ac:dyDescent="0.2">
      <c r="BJ64473" s="201"/>
    </row>
    <row r="64474" spans="62:62" x14ac:dyDescent="0.2">
      <c r="BJ64474" s="201"/>
    </row>
    <row r="64475" spans="62:62" x14ac:dyDescent="0.2">
      <c r="BJ64475" s="201"/>
    </row>
    <row r="64476" spans="62:62" x14ac:dyDescent="0.2">
      <c r="BJ64476" s="201"/>
    </row>
    <row r="64477" spans="62:62" x14ac:dyDescent="0.2">
      <c r="BJ64477" s="201"/>
    </row>
    <row r="64478" spans="62:62" x14ac:dyDescent="0.2">
      <c r="BJ64478" s="201"/>
    </row>
    <row r="64479" spans="62:62" x14ac:dyDescent="0.2">
      <c r="BJ64479" s="201"/>
    </row>
    <row r="64480" spans="62:62" x14ac:dyDescent="0.2">
      <c r="BJ64480" s="201"/>
    </row>
    <row r="64481" spans="62:62" x14ac:dyDescent="0.2">
      <c r="BJ64481" s="201"/>
    </row>
    <row r="64482" spans="62:62" x14ac:dyDescent="0.2">
      <c r="BJ64482" s="201"/>
    </row>
    <row r="64483" spans="62:62" x14ac:dyDescent="0.2">
      <c r="BJ64483" s="201"/>
    </row>
    <row r="64484" spans="62:62" x14ac:dyDescent="0.2">
      <c r="BJ64484" s="201"/>
    </row>
    <row r="64485" spans="62:62" x14ac:dyDescent="0.2">
      <c r="BJ64485" s="201"/>
    </row>
    <row r="64486" spans="62:62" x14ac:dyDescent="0.2">
      <c r="BJ64486" s="201"/>
    </row>
    <row r="64487" spans="62:62" x14ac:dyDescent="0.2">
      <c r="BJ64487" s="201"/>
    </row>
    <row r="64488" spans="62:62" x14ac:dyDescent="0.2">
      <c r="BJ64488" s="201"/>
    </row>
    <row r="64489" spans="62:62" x14ac:dyDescent="0.2">
      <c r="BJ64489" s="201"/>
    </row>
    <row r="64490" spans="62:62" x14ac:dyDescent="0.2">
      <c r="BJ64490" s="201"/>
    </row>
    <row r="64491" spans="62:62" x14ac:dyDescent="0.2">
      <c r="BJ64491" s="201"/>
    </row>
    <row r="64492" spans="62:62" x14ac:dyDescent="0.2">
      <c r="BJ64492" s="201"/>
    </row>
    <row r="64493" spans="62:62" x14ac:dyDescent="0.2">
      <c r="BJ64493" s="201"/>
    </row>
    <row r="64494" spans="62:62" x14ac:dyDescent="0.2">
      <c r="BJ64494" s="201"/>
    </row>
    <row r="64495" spans="62:62" x14ac:dyDescent="0.2">
      <c r="BJ64495" s="201"/>
    </row>
    <row r="64496" spans="62:62" x14ac:dyDescent="0.2">
      <c r="BJ64496" s="201"/>
    </row>
    <row r="64497" spans="62:62" x14ac:dyDescent="0.2">
      <c r="BJ64497" s="201"/>
    </row>
    <row r="64498" spans="62:62" x14ac:dyDescent="0.2">
      <c r="BJ64498" s="201"/>
    </row>
    <row r="64499" spans="62:62" x14ac:dyDescent="0.2">
      <c r="BJ64499" s="201"/>
    </row>
    <row r="64500" spans="62:62" x14ac:dyDescent="0.2">
      <c r="BJ64500" s="201"/>
    </row>
    <row r="64501" spans="62:62" x14ac:dyDescent="0.2">
      <c r="BJ64501" s="201"/>
    </row>
    <row r="64502" spans="62:62" x14ac:dyDescent="0.2">
      <c r="BJ64502" s="201"/>
    </row>
    <row r="64503" spans="62:62" x14ac:dyDescent="0.2">
      <c r="BJ64503" s="201"/>
    </row>
    <row r="64504" spans="62:62" x14ac:dyDescent="0.2">
      <c r="BJ64504" s="201"/>
    </row>
    <row r="64505" spans="62:62" x14ac:dyDescent="0.2">
      <c r="BJ64505" s="201"/>
    </row>
    <row r="64506" spans="62:62" x14ac:dyDescent="0.2">
      <c r="BJ64506" s="201"/>
    </row>
    <row r="64507" spans="62:62" x14ac:dyDescent="0.2">
      <c r="BJ64507" s="201"/>
    </row>
    <row r="64508" spans="62:62" x14ac:dyDescent="0.2">
      <c r="BJ64508" s="201"/>
    </row>
    <row r="64509" spans="62:62" x14ac:dyDescent="0.2">
      <c r="BJ64509" s="201"/>
    </row>
    <row r="64510" spans="62:62" x14ac:dyDescent="0.2">
      <c r="BJ64510" s="201"/>
    </row>
    <row r="64511" spans="62:62" x14ac:dyDescent="0.2">
      <c r="BJ64511" s="201"/>
    </row>
    <row r="64512" spans="62:62" x14ac:dyDescent="0.2">
      <c r="BJ64512" s="201"/>
    </row>
    <row r="64513" spans="62:62" x14ac:dyDescent="0.2">
      <c r="BJ64513" s="201"/>
    </row>
    <row r="64514" spans="62:62" x14ac:dyDescent="0.2">
      <c r="BJ64514" s="201"/>
    </row>
    <row r="64515" spans="62:62" x14ac:dyDescent="0.2">
      <c r="BJ64515" s="201"/>
    </row>
    <row r="64516" spans="62:62" x14ac:dyDescent="0.2">
      <c r="BJ64516" s="201"/>
    </row>
    <row r="64517" spans="62:62" x14ac:dyDescent="0.2">
      <c r="BJ64517" s="201"/>
    </row>
    <row r="64518" spans="62:62" x14ac:dyDescent="0.2">
      <c r="BJ64518" s="201"/>
    </row>
    <row r="64519" spans="62:62" x14ac:dyDescent="0.2">
      <c r="BJ64519" s="201"/>
    </row>
    <row r="64520" spans="62:62" x14ac:dyDescent="0.2">
      <c r="BJ64520" s="201"/>
    </row>
    <row r="64521" spans="62:62" x14ac:dyDescent="0.2">
      <c r="BJ64521" s="201"/>
    </row>
    <row r="64522" spans="62:62" x14ac:dyDescent="0.2">
      <c r="BJ64522" s="201"/>
    </row>
    <row r="64523" spans="62:62" x14ac:dyDescent="0.2">
      <c r="BJ64523" s="201"/>
    </row>
    <row r="64524" spans="62:62" x14ac:dyDescent="0.2">
      <c r="BJ64524" s="201"/>
    </row>
    <row r="64525" spans="62:62" x14ac:dyDescent="0.2">
      <c r="BJ64525" s="201"/>
    </row>
    <row r="64526" spans="62:62" x14ac:dyDescent="0.2">
      <c r="BJ64526" s="201"/>
    </row>
    <row r="64527" spans="62:62" x14ac:dyDescent="0.2">
      <c r="BJ64527" s="201"/>
    </row>
    <row r="64528" spans="62:62" x14ac:dyDescent="0.2">
      <c r="BJ64528" s="201"/>
    </row>
    <row r="64529" spans="62:62" x14ac:dyDescent="0.2">
      <c r="BJ64529" s="201"/>
    </row>
    <row r="64530" spans="62:62" x14ac:dyDescent="0.2">
      <c r="BJ64530" s="201"/>
    </row>
    <row r="64531" spans="62:62" x14ac:dyDescent="0.2">
      <c r="BJ64531" s="201"/>
    </row>
    <row r="64532" spans="62:62" x14ac:dyDescent="0.2">
      <c r="BJ64532" s="201"/>
    </row>
    <row r="64533" spans="62:62" x14ac:dyDescent="0.2">
      <c r="BJ64533" s="201"/>
    </row>
    <row r="64534" spans="62:62" x14ac:dyDescent="0.2">
      <c r="BJ64534" s="201"/>
    </row>
    <row r="64535" spans="62:62" x14ac:dyDescent="0.2">
      <c r="BJ64535" s="201"/>
    </row>
    <row r="64536" spans="62:62" x14ac:dyDescent="0.2">
      <c r="BJ64536" s="201"/>
    </row>
    <row r="64537" spans="62:62" x14ac:dyDescent="0.2">
      <c r="BJ64537" s="201"/>
    </row>
    <row r="64538" spans="62:62" x14ac:dyDescent="0.2">
      <c r="BJ64538" s="201"/>
    </row>
    <row r="64539" spans="62:62" x14ac:dyDescent="0.2">
      <c r="BJ64539" s="201"/>
    </row>
    <row r="64540" spans="62:62" x14ac:dyDescent="0.2">
      <c r="BJ64540" s="201"/>
    </row>
    <row r="64541" spans="62:62" x14ac:dyDescent="0.2">
      <c r="BJ64541" s="201"/>
    </row>
    <row r="64542" spans="62:62" x14ac:dyDescent="0.2">
      <c r="BJ64542" s="201"/>
    </row>
    <row r="64543" spans="62:62" x14ac:dyDescent="0.2">
      <c r="BJ64543" s="201"/>
    </row>
    <row r="64544" spans="62:62" x14ac:dyDescent="0.2">
      <c r="BJ64544" s="201"/>
    </row>
    <row r="64545" spans="62:62" x14ac:dyDescent="0.2">
      <c r="BJ64545" s="201"/>
    </row>
    <row r="64546" spans="62:62" x14ac:dyDescent="0.2">
      <c r="BJ64546" s="201"/>
    </row>
    <row r="64547" spans="62:62" x14ac:dyDescent="0.2">
      <c r="BJ64547" s="201"/>
    </row>
    <row r="64548" spans="62:62" x14ac:dyDescent="0.2">
      <c r="BJ64548" s="201"/>
    </row>
    <row r="64549" spans="62:62" x14ac:dyDescent="0.2">
      <c r="BJ64549" s="201"/>
    </row>
    <row r="64550" spans="62:62" x14ac:dyDescent="0.2">
      <c r="BJ64550" s="201"/>
    </row>
    <row r="64551" spans="62:62" x14ac:dyDescent="0.2">
      <c r="BJ64551" s="201"/>
    </row>
    <row r="64552" spans="62:62" x14ac:dyDescent="0.2">
      <c r="BJ64552" s="201"/>
    </row>
    <row r="64553" spans="62:62" x14ac:dyDescent="0.2">
      <c r="BJ64553" s="201"/>
    </row>
    <row r="64554" spans="62:62" x14ac:dyDescent="0.2">
      <c r="BJ64554" s="201"/>
    </row>
    <row r="64555" spans="62:62" x14ac:dyDescent="0.2">
      <c r="BJ64555" s="201"/>
    </row>
    <row r="64556" spans="62:62" x14ac:dyDescent="0.2">
      <c r="BJ64556" s="201"/>
    </row>
    <row r="64557" spans="62:62" x14ac:dyDescent="0.2">
      <c r="BJ64557" s="201"/>
    </row>
    <row r="64558" spans="62:62" x14ac:dyDescent="0.2">
      <c r="BJ64558" s="201"/>
    </row>
    <row r="64559" spans="62:62" x14ac:dyDescent="0.2">
      <c r="BJ64559" s="201"/>
    </row>
    <row r="64560" spans="62:62" x14ac:dyDescent="0.2">
      <c r="BJ64560" s="201"/>
    </row>
    <row r="64561" spans="62:62" x14ac:dyDescent="0.2">
      <c r="BJ64561" s="201"/>
    </row>
    <row r="64562" spans="62:62" x14ac:dyDescent="0.2">
      <c r="BJ64562" s="201"/>
    </row>
    <row r="64563" spans="62:62" x14ac:dyDescent="0.2">
      <c r="BJ64563" s="201"/>
    </row>
    <row r="64564" spans="62:62" x14ac:dyDescent="0.2">
      <c r="BJ64564" s="201"/>
    </row>
    <row r="64565" spans="62:62" x14ac:dyDescent="0.2">
      <c r="BJ64565" s="201"/>
    </row>
    <row r="64566" spans="62:62" x14ac:dyDescent="0.2">
      <c r="BJ64566" s="201"/>
    </row>
    <row r="64567" spans="62:62" x14ac:dyDescent="0.2">
      <c r="BJ64567" s="201"/>
    </row>
    <row r="64568" spans="62:62" x14ac:dyDescent="0.2">
      <c r="BJ64568" s="201"/>
    </row>
    <row r="64569" spans="62:62" x14ac:dyDescent="0.2">
      <c r="BJ64569" s="201"/>
    </row>
    <row r="64570" spans="62:62" x14ac:dyDescent="0.2">
      <c r="BJ64570" s="201"/>
    </row>
    <row r="64571" spans="62:62" x14ac:dyDescent="0.2">
      <c r="BJ64571" s="201"/>
    </row>
    <row r="64572" spans="62:62" x14ac:dyDescent="0.2">
      <c r="BJ64572" s="201"/>
    </row>
    <row r="64573" spans="62:62" x14ac:dyDescent="0.2">
      <c r="BJ64573" s="201"/>
    </row>
    <row r="64574" spans="62:62" x14ac:dyDescent="0.2">
      <c r="BJ64574" s="201"/>
    </row>
    <row r="64575" spans="62:62" x14ac:dyDescent="0.2">
      <c r="BJ64575" s="201"/>
    </row>
    <row r="64576" spans="62:62" x14ac:dyDescent="0.2">
      <c r="BJ64576" s="201"/>
    </row>
    <row r="64577" spans="62:62" x14ac:dyDescent="0.2">
      <c r="BJ64577" s="201"/>
    </row>
    <row r="64578" spans="62:62" x14ac:dyDescent="0.2">
      <c r="BJ64578" s="201"/>
    </row>
    <row r="64579" spans="62:62" x14ac:dyDescent="0.2">
      <c r="BJ64579" s="201"/>
    </row>
    <row r="64580" spans="62:62" x14ac:dyDescent="0.2">
      <c r="BJ64580" s="201"/>
    </row>
    <row r="64581" spans="62:62" x14ac:dyDescent="0.2">
      <c r="BJ64581" s="201"/>
    </row>
    <row r="64582" spans="62:62" x14ac:dyDescent="0.2">
      <c r="BJ64582" s="201"/>
    </row>
    <row r="64583" spans="62:62" x14ac:dyDescent="0.2">
      <c r="BJ64583" s="201"/>
    </row>
    <row r="64584" spans="62:62" x14ac:dyDescent="0.2">
      <c r="BJ64584" s="201"/>
    </row>
    <row r="64585" spans="62:62" x14ac:dyDescent="0.2">
      <c r="BJ64585" s="201"/>
    </row>
    <row r="64586" spans="62:62" x14ac:dyDescent="0.2">
      <c r="BJ64586" s="201"/>
    </row>
    <row r="64587" spans="62:62" x14ac:dyDescent="0.2">
      <c r="BJ64587" s="201"/>
    </row>
    <row r="64588" spans="62:62" x14ac:dyDescent="0.2">
      <c r="BJ64588" s="201"/>
    </row>
    <row r="64589" spans="62:62" x14ac:dyDescent="0.2">
      <c r="BJ64589" s="201"/>
    </row>
    <row r="64590" spans="62:62" x14ac:dyDescent="0.2">
      <c r="BJ64590" s="201"/>
    </row>
    <row r="64591" spans="62:62" x14ac:dyDescent="0.2">
      <c r="BJ64591" s="201"/>
    </row>
    <row r="64592" spans="62:62" x14ac:dyDescent="0.2">
      <c r="BJ64592" s="201"/>
    </row>
    <row r="64593" spans="62:62" x14ac:dyDescent="0.2">
      <c r="BJ64593" s="201"/>
    </row>
    <row r="64594" spans="62:62" x14ac:dyDescent="0.2">
      <c r="BJ64594" s="201"/>
    </row>
    <row r="64595" spans="62:62" x14ac:dyDescent="0.2">
      <c r="BJ64595" s="201"/>
    </row>
    <row r="64596" spans="62:62" x14ac:dyDescent="0.2">
      <c r="BJ64596" s="201"/>
    </row>
    <row r="64597" spans="62:62" x14ac:dyDescent="0.2">
      <c r="BJ64597" s="201"/>
    </row>
    <row r="64598" spans="62:62" x14ac:dyDescent="0.2">
      <c r="BJ64598" s="201"/>
    </row>
    <row r="64599" spans="62:62" x14ac:dyDescent="0.2">
      <c r="BJ64599" s="201"/>
    </row>
    <row r="64600" spans="62:62" x14ac:dyDescent="0.2">
      <c r="BJ64600" s="201"/>
    </row>
    <row r="64601" spans="62:62" x14ac:dyDescent="0.2">
      <c r="BJ64601" s="201"/>
    </row>
    <row r="64602" spans="62:62" x14ac:dyDescent="0.2">
      <c r="BJ64602" s="201"/>
    </row>
    <row r="64603" spans="62:62" x14ac:dyDescent="0.2">
      <c r="BJ64603" s="201"/>
    </row>
    <row r="64604" spans="62:62" x14ac:dyDescent="0.2">
      <c r="BJ64604" s="201"/>
    </row>
    <row r="64605" spans="62:62" x14ac:dyDescent="0.2">
      <c r="BJ64605" s="201"/>
    </row>
    <row r="64606" spans="62:62" x14ac:dyDescent="0.2">
      <c r="BJ64606" s="201"/>
    </row>
    <row r="64607" spans="62:62" x14ac:dyDescent="0.2">
      <c r="BJ64607" s="201"/>
    </row>
    <row r="64608" spans="62:62" x14ac:dyDescent="0.2">
      <c r="BJ64608" s="201"/>
    </row>
    <row r="64609" spans="62:62" x14ac:dyDescent="0.2">
      <c r="BJ64609" s="201"/>
    </row>
    <row r="64610" spans="62:62" x14ac:dyDescent="0.2">
      <c r="BJ64610" s="201"/>
    </row>
    <row r="64611" spans="62:62" x14ac:dyDescent="0.2">
      <c r="BJ64611" s="201"/>
    </row>
    <row r="64612" spans="62:62" x14ac:dyDescent="0.2">
      <c r="BJ64612" s="201"/>
    </row>
    <row r="64613" spans="62:62" x14ac:dyDescent="0.2">
      <c r="BJ64613" s="201"/>
    </row>
    <row r="64614" spans="62:62" x14ac:dyDescent="0.2">
      <c r="BJ64614" s="201"/>
    </row>
    <row r="64615" spans="62:62" x14ac:dyDescent="0.2">
      <c r="BJ64615" s="201"/>
    </row>
    <row r="64616" spans="62:62" x14ac:dyDescent="0.2">
      <c r="BJ64616" s="201"/>
    </row>
    <row r="64617" spans="62:62" x14ac:dyDescent="0.2">
      <c r="BJ64617" s="201"/>
    </row>
    <row r="64618" spans="62:62" x14ac:dyDescent="0.2">
      <c r="BJ64618" s="201"/>
    </row>
    <row r="64619" spans="62:62" x14ac:dyDescent="0.2">
      <c r="BJ64619" s="201"/>
    </row>
    <row r="64620" spans="62:62" x14ac:dyDescent="0.2">
      <c r="BJ64620" s="201"/>
    </row>
    <row r="64621" spans="62:62" x14ac:dyDescent="0.2">
      <c r="BJ64621" s="201"/>
    </row>
    <row r="64622" spans="62:62" x14ac:dyDescent="0.2">
      <c r="BJ64622" s="201"/>
    </row>
    <row r="64623" spans="62:62" x14ac:dyDescent="0.2">
      <c r="BJ64623" s="201"/>
    </row>
    <row r="64624" spans="62:62" x14ac:dyDescent="0.2">
      <c r="BJ64624" s="201"/>
    </row>
    <row r="64625" spans="62:62" x14ac:dyDescent="0.2">
      <c r="BJ64625" s="201"/>
    </row>
    <row r="64626" spans="62:62" x14ac:dyDescent="0.2">
      <c r="BJ64626" s="201"/>
    </row>
    <row r="64627" spans="62:62" x14ac:dyDescent="0.2">
      <c r="BJ64627" s="201"/>
    </row>
    <row r="64628" spans="62:62" x14ac:dyDescent="0.2">
      <c r="BJ64628" s="201"/>
    </row>
    <row r="64629" spans="62:62" x14ac:dyDescent="0.2">
      <c r="BJ64629" s="201"/>
    </row>
    <row r="64630" spans="62:62" x14ac:dyDescent="0.2">
      <c r="BJ64630" s="201"/>
    </row>
    <row r="64631" spans="62:62" x14ac:dyDescent="0.2">
      <c r="BJ64631" s="201"/>
    </row>
    <row r="64632" spans="62:62" x14ac:dyDescent="0.2">
      <c r="BJ64632" s="201"/>
    </row>
    <row r="64633" spans="62:62" x14ac:dyDescent="0.2">
      <c r="BJ64633" s="201"/>
    </row>
    <row r="64634" spans="62:62" x14ac:dyDescent="0.2">
      <c r="BJ64634" s="201"/>
    </row>
    <row r="64635" spans="62:62" x14ac:dyDescent="0.2">
      <c r="BJ64635" s="201"/>
    </row>
    <row r="64636" spans="62:62" x14ac:dyDescent="0.2">
      <c r="BJ64636" s="201"/>
    </row>
    <row r="64637" spans="62:62" x14ac:dyDescent="0.2">
      <c r="BJ64637" s="201"/>
    </row>
    <row r="64638" spans="62:62" x14ac:dyDescent="0.2">
      <c r="BJ64638" s="201"/>
    </row>
    <row r="64639" spans="62:62" x14ac:dyDescent="0.2">
      <c r="BJ64639" s="201"/>
    </row>
    <row r="64640" spans="62:62" x14ac:dyDescent="0.2">
      <c r="BJ64640" s="201"/>
    </row>
    <row r="64641" spans="62:62" x14ac:dyDescent="0.2">
      <c r="BJ64641" s="201"/>
    </row>
    <row r="64642" spans="62:62" x14ac:dyDescent="0.2">
      <c r="BJ64642" s="201"/>
    </row>
    <row r="64643" spans="62:62" x14ac:dyDescent="0.2">
      <c r="BJ64643" s="201"/>
    </row>
    <row r="64644" spans="62:62" x14ac:dyDescent="0.2">
      <c r="BJ64644" s="201"/>
    </row>
    <row r="64645" spans="62:62" x14ac:dyDescent="0.2">
      <c r="BJ64645" s="201"/>
    </row>
    <row r="64646" spans="62:62" x14ac:dyDescent="0.2">
      <c r="BJ64646" s="201"/>
    </row>
    <row r="64647" spans="62:62" x14ac:dyDescent="0.2">
      <c r="BJ64647" s="201"/>
    </row>
    <row r="64648" spans="62:62" x14ac:dyDescent="0.2">
      <c r="BJ64648" s="201"/>
    </row>
    <row r="64649" spans="62:62" x14ac:dyDescent="0.2">
      <c r="BJ64649" s="201"/>
    </row>
    <row r="64650" spans="62:62" x14ac:dyDescent="0.2">
      <c r="BJ64650" s="201"/>
    </row>
    <row r="64651" spans="62:62" x14ac:dyDescent="0.2">
      <c r="BJ64651" s="201"/>
    </row>
    <row r="64652" spans="62:62" x14ac:dyDescent="0.2">
      <c r="BJ64652" s="201"/>
    </row>
    <row r="64653" spans="62:62" x14ac:dyDescent="0.2">
      <c r="BJ64653" s="201"/>
    </row>
    <row r="64654" spans="62:62" x14ac:dyDescent="0.2">
      <c r="BJ64654" s="201"/>
    </row>
    <row r="64655" spans="62:62" x14ac:dyDescent="0.2">
      <c r="BJ64655" s="201"/>
    </row>
    <row r="64656" spans="62:62" x14ac:dyDescent="0.2">
      <c r="BJ64656" s="201"/>
    </row>
    <row r="64657" spans="62:62" x14ac:dyDescent="0.2">
      <c r="BJ64657" s="201"/>
    </row>
    <row r="64658" spans="62:62" x14ac:dyDescent="0.2">
      <c r="BJ64658" s="201"/>
    </row>
    <row r="64659" spans="62:62" x14ac:dyDescent="0.2">
      <c r="BJ64659" s="201"/>
    </row>
    <row r="64660" spans="62:62" x14ac:dyDescent="0.2">
      <c r="BJ64660" s="201"/>
    </row>
    <row r="64661" spans="62:62" x14ac:dyDescent="0.2">
      <c r="BJ64661" s="201"/>
    </row>
    <row r="64662" spans="62:62" x14ac:dyDescent="0.2">
      <c r="BJ64662" s="201"/>
    </row>
    <row r="64663" spans="62:62" x14ac:dyDescent="0.2">
      <c r="BJ64663" s="201"/>
    </row>
    <row r="64664" spans="62:62" x14ac:dyDescent="0.2">
      <c r="BJ64664" s="201"/>
    </row>
    <row r="64665" spans="62:62" x14ac:dyDescent="0.2">
      <c r="BJ64665" s="201"/>
    </row>
    <row r="64666" spans="62:62" x14ac:dyDescent="0.2">
      <c r="BJ64666" s="201"/>
    </row>
    <row r="64667" spans="62:62" x14ac:dyDescent="0.2">
      <c r="BJ64667" s="201"/>
    </row>
    <row r="64668" spans="62:62" x14ac:dyDescent="0.2">
      <c r="BJ64668" s="201"/>
    </row>
    <row r="64669" spans="62:62" x14ac:dyDescent="0.2">
      <c r="BJ64669" s="201"/>
    </row>
    <row r="64670" spans="62:62" x14ac:dyDescent="0.2">
      <c r="BJ64670" s="201"/>
    </row>
    <row r="64671" spans="62:62" x14ac:dyDescent="0.2">
      <c r="BJ64671" s="201"/>
    </row>
    <row r="64672" spans="62:62" x14ac:dyDescent="0.2">
      <c r="BJ64672" s="201"/>
    </row>
    <row r="64673" spans="62:62" x14ac:dyDescent="0.2">
      <c r="BJ64673" s="201"/>
    </row>
    <row r="64674" spans="62:62" x14ac:dyDescent="0.2">
      <c r="BJ64674" s="201"/>
    </row>
    <row r="64675" spans="62:62" x14ac:dyDescent="0.2">
      <c r="BJ64675" s="201"/>
    </row>
    <row r="64676" spans="62:62" x14ac:dyDescent="0.2">
      <c r="BJ64676" s="201"/>
    </row>
    <row r="64677" spans="62:62" x14ac:dyDescent="0.2">
      <c r="BJ64677" s="201"/>
    </row>
    <row r="64678" spans="62:62" x14ac:dyDescent="0.2">
      <c r="BJ64678" s="201"/>
    </row>
    <row r="64679" spans="62:62" x14ac:dyDescent="0.2">
      <c r="BJ64679" s="201"/>
    </row>
    <row r="64680" spans="62:62" x14ac:dyDescent="0.2">
      <c r="BJ64680" s="201"/>
    </row>
    <row r="64681" spans="62:62" x14ac:dyDescent="0.2">
      <c r="BJ64681" s="201"/>
    </row>
    <row r="64682" spans="62:62" x14ac:dyDescent="0.2">
      <c r="BJ64682" s="201"/>
    </row>
    <row r="64683" spans="62:62" x14ac:dyDescent="0.2">
      <c r="BJ64683" s="201"/>
    </row>
    <row r="64684" spans="62:62" x14ac:dyDescent="0.2">
      <c r="BJ64684" s="201"/>
    </row>
    <row r="64685" spans="62:62" x14ac:dyDescent="0.2">
      <c r="BJ64685" s="201"/>
    </row>
    <row r="64686" spans="62:62" x14ac:dyDescent="0.2">
      <c r="BJ64686" s="201"/>
    </row>
    <row r="64687" spans="62:62" x14ac:dyDescent="0.2">
      <c r="BJ64687" s="201"/>
    </row>
    <row r="64688" spans="62:62" x14ac:dyDescent="0.2">
      <c r="BJ64688" s="201"/>
    </row>
    <row r="64689" spans="62:62" x14ac:dyDescent="0.2">
      <c r="BJ64689" s="201"/>
    </row>
    <row r="64690" spans="62:62" x14ac:dyDescent="0.2">
      <c r="BJ64690" s="201"/>
    </row>
    <row r="64691" spans="62:62" x14ac:dyDescent="0.2">
      <c r="BJ64691" s="201"/>
    </row>
    <row r="64692" spans="62:62" x14ac:dyDescent="0.2">
      <c r="BJ64692" s="201"/>
    </row>
    <row r="64693" spans="62:62" x14ac:dyDescent="0.2">
      <c r="BJ64693" s="201"/>
    </row>
    <row r="64694" spans="62:62" x14ac:dyDescent="0.2">
      <c r="BJ64694" s="201"/>
    </row>
    <row r="64695" spans="62:62" x14ac:dyDescent="0.2">
      <c r="BJ64695" s="201"/>
    </row>
    <row r="64696" spans="62:62" x14ac:dyDescent="0.2">
      <c r="BJ64696" s="201"/>
    </row>
    <row r="64697" spans="62:62" x14ac:dyDescent="0.2">
      <c r="BJ64697" s="201"/>
    </row>
    <row r="64698" spans="62:62" x14ac:dyDescent="0.2">
      <c r="BJ64698" s="201"/>
    </row>
    <row r="64699" spans="62:62" x14ac:dyDescent="0.2">
      <c r="BJ64699" s="201"/>
    </row>
    <row r="64700" spans="62:62" x14ac:dyDescent="0.2">
      <c r="BJ64700" s="201"/>
    </row>
    <row r="64701" spans="62:62" x14ac:dyDescent="0.2">
      <c r="BJ64701" s="201"/>
    </row>
    <row r="64702" spans="62:62" x14ac:dyDescent="0.2">
      <c r="BJ64702" s="201"/>
    </row>
    <row r="64703" spans="62:62" x14ac:dyDescent="0.2">
      <c r="BJ64703" s="201"/>
    </row>
    <row r="64704" spans="62:62" x14ac:dyDescent="0.2">
      <c r="BJ64704" s="201"/>
    </row>
    <row r="64705" spans="62:62" x14ac:dyDescent="0.2">
      <c r="BJ64705" s="201"/>
    </row>
    <row r="64706" spans="62:62" x14ac:dyDescent="0.2">
      <c r="BJ64706" s="201"/>
    </row>
    <row r="64707" spans="62:62" x14ac:dyDescent="0.2">
      <c r="BJ64707" s="201"/>
    </row>
    <row r="64708" spans="62:62" x14ac:dyDescent="0.2">
      <c r="BJ64708" s="201"/>
    </row>
    <row r="64709" spans="62:62" x14ac:dyDescent="0.2">
      <c r="BJ64709" s="201"/>
    </row>
    <row r="64710" spans="62:62" x14ac:dyDescent="0.2">
      <c r="BJ64710" s="201"/>
    </row>
    <row r="64711" spans="62:62" x14ac:dyDescent="0.2">
      <c r="BJ64711" s="201"/>
    </row>
    <row r="64712" spans="62:62" x14ac:dyDescent="0.2">
      <c r="BJ64712" s="201"/>
    </row>
    <row r="64713" spans="62:62" x14ac:dyDescent="0.2">
      <c r="BJ64713" s="201"/>
    </row>
    <row r="64714" spans="62:62" x14ac:dyDescent="0.2">
      <c r="BJ64714" s="201"/>
    </row>
    <row r="64715" spans="62:62" x14ac:dyDescent="0.2">
      <c r="BJ64715" s="201"/>
    </row>
    <row r="64716" spans="62:62" x14ac:dyDescent="0.2">
      <c r="BJ64716" s="201"/>
    </row>
    <row r="64717" spans="62:62" x14ac:dyDescent="0.2">
      <c r="BJ64717" s="201"/>
    </row>
    <row r="64718" spans="62:62" x14ac:dyDescent="0.2">
      <c r="BJ64718" s="201"/>
    </row>
    <row r="64719" spans="62:62" x14ac:dyDescent="0.2">
      <c r="BJ64719" s="201"/>
    </row>
    <row r="64720" spans="62:62" x14ac:dyDescent="0.2">
      <c r="BJ64720" s="201"/>
    </row>
    <row r="64721" spans="62:62" x14ac:dyDescent="0.2">
      <c r="BJ64721" s="201"/>
    </row>
    <row r="64722" spans="62:62" x14ac:dyDescent="0.2">
      <c r="BJ64722" s="201"/>
    </row>
    <row r="64723" spans="62:62" x14ac:dyDescent="0.2">
      <c r="BJ64723" s="201"/>
    </row>
    <row r="64724" spans="62:62" x14ac:dyDescent="0.2">
      <c r="BJ64724" s="201"/>
    </row>
    <row r="64725" spans="62:62" x14ac:dyDescent="0.2">
      <c r="BJ64725" s="201"/>
    </row>
    <row r="64726" spans="62:62" x14ac:dyDescent="0.2">
      <c r="BJ64726" s="201"/>
    </row>
    <row r="64727" spans="62:62" x14ac:dyDescent="0.2">
      <c r="BJ64727" s="201"/>
    </row>
    <row r="64728" spans="62:62" x14ac:dyDescent="0.2">
      <c r="BJ64728" s="201"/>
    </row>
    <row r="64729" spans="62:62" x14ac:dyDescent="0.2">
      <c r="BJ64729" s="201"/>
    </row>
    <row r="64730" spans="62:62" x14ac:dyDescent="0.2">
      <c r="BJ64730" s="201"/>
    </row>
    <row r="64731" spans="62:62" x14ac:dyDescent="0.2">
      <c r="BJ64731" s="201"/>
    </row>
    <row r="64732" spans="62:62" x14ac:dyDescent="0.2">
      <c r="BJ64732" s="201"/>
    </row>
    <row r="64733" spans="62:62" x14ac:dyDescent="0.2">
      <c r="BJ64733" s="201"/>
    </row>
    <row r="64734" spans="62:62" x14ac:dyDescent="0.2">
      <c r="BJ64734" s="201"/>
    </row>
    <row r="64735" spans="62:62" x14ac:dyDescent="0.2">
      <c r="BJ64735" s="201"/>
    </row>
    <row r="64736" spans="62:62" x14ac:dyDescent="0.2">
      <c r="BJ64736" s="201"/>
    </row>
    <row r="64737" spans="62:62" x14ac:dyDescent="0.2">
      <c r="BJ64737" s="201"/>
    </row>
    <row r="64738" spans="62:62" x14ac:dyDescent="0.2">
      <c r="BJ64738" s="201"/>
    </row>
    <row r="64739" spans="62:62" x14ac:dyDescent="0.2">
      <c r="BJ64739" s="201"/>
    </row>
    <row r="64740" spans="62:62" x14ac:dyDescent="0.2">
      <c r="BJ64740" s="201"/>
    </row>
    <row r="64741" spans="62:62" x14ac:dyDescent="0.2">
      <c r="BJ64741" s="201"/>
    </row>
    <row r="64742" spans="62:62" x14ac:dyDescent="0.2">
      <c r="BJ64742" s="201"/>
    </row>
    <row r="64743" spans="62:62" x14ac:dyDescent="0.2">
      <c r="BJ64743" s="201"/>
    </row>
    <row r="64744" spans="62:62" x14ac:dyDescent="0.2">
      <c r="BJ64744" s="201"/>
    </row>
    <row r="64745" spans="62:62" x14ac:dyDescent="0.2">
      <c r="BJ64745" s="201"/>
    </row>
    <row r="64746" spans="62:62" x14ac:dyDescent="0.2">
      <c r="BJ64746" s="201"/>
    </row>
    <row r="64747" spans="62:62" x14ac:dyDescent="0.2">
      <c r="BJ64747" s="201"/>
    </row>
    <row r="64748" spans="62:62" x14ac:dyDescent="0.2">
      <c r="BJ64748" s="201"/>
    </row>
    <row r="64749" spans="62:62" x14ac:dyDescent="0.2">
      <c r="BJ64749" s="201"/>
    </row>
    <row r="64750" spans="62:62" x14ac:dyDescent="0.2">
      <c r="BJ64750" s="201"/>
    </row>
    <row r="64751" spans="62:62" x14ac:dyDescent="0.2">
      <c r="BJ64751" s="201"/>
    </row>
    <row r="64752" spans="62:62" x14ac:dyDescent="0.2">
      <c r="BJ64752" s="201"/>
    </row>
    <row r="64753" spans="62:62" x14ac:dyDescent="0.2">
      <c r="BJ64753" s="201"/>
    </row>
    <row r="64754" spans="62:62" x14ac:dyDescent="0.2">
      <c r="BJ64754" s="201"/>
    </row>
    <row r="64755" spans="62:62" x14ac:dyDescent="0.2">
      <c r="BJ64755" s="201"/>
    </row>
    <row r="64756" spans="62:62" x14ac:dyDescent="0.2">
      <c r="BJ64756" s="201"/>
    </row>
    <row r="64757" spans="62:62" x14ac:dyDescent="0.2">
      <c r="BJ64757" s="201"/>
    </row>
    <row r="64758" spans="62:62" x14ac:dyDescent="0.2">
      <c r="BJ64758" s="201"/>
    </row>
    <row r="64759" spans="62:62" x14ac:dyDescent="0.2">
      <c r="BJ64759" s="201"/>
    </row>
    <row r="64760" spans="62:62" x14ac:dyDescent="0.2">
      <c r="BJ64760" s="201"/>
    </row>
    <row r="64761" spans="62:62" x14ac:dyDescent="0.2">
      <c r="BJ64761" s="201"/>
    </row>
    <row r="64762" spans="62:62" x14ac:dyDescent="0.2">
      <c r="BJ64762" s="201"/>
    </row>
    <row r="64763" spans="62:62" x14ac:dyDescent="0.2">
      <c r="BJ64763" s="201"/>
    </row>
    <row r="64764" spans="62:62" x14ac:dyDescent="0.2">
      <c r="BJ64764" s="201"/>
    </row>
    <row r="64765" spans="62:62" x14ac:dyDescent="0.2">
      <c r="BJ64765" s="201"/>
    </row>
    <row r="64766" spans="62:62" x14ac:dyDescent="0.2">
      <c r="BJ64766" s="201"/>
    </row>
    <row r="64767" spans="62:62" x14ac:dyDescent="0.2">
      <c r="BJ64767" s="201"/>
    </row>
    <row r="64768" spans="62:62" x14ac:dyDescent="0.2">
      <c r="BJ64768" s="201"/>
    </row>
    <row r="64769" spans="62:62" x14ac:dyDescent="0.2">
      <c r="BJ64769" s="201"/>
    </row>
    <row r="64770" spans="62:62" x14ac:dyDescent="0.2">
      <c r="BJ64770" s="201"/>
    </row>
    <row r="64771" spans="62:62" x14ac:dyDescent="0.2">
      <c r="BJ64771" s="201"/>
    </row>
    <row r="64772" spans="62:62" x14ac:dyDescent="0.2">
      <c r="BJ64772" s="201"/>
    </row>
    <row r="64773" spans="62:62" x14ac:dyDescent="0.2">
      <c r="BJ64773" s="201"/>
    </row>
    <row r="64774" spans="62:62" x14ac:dyDescent="0.2">
      <c r="BJ64774" s="201"/>
    </row>
    <row r="64775" spans="62:62" x14ac:dyDescent="0.2">
      <c r="BJ64775" s="201"/>
    </row>
    <row r="64776" spans="62:62" x14ac:dyDescent="0.2">
      <c r="BJ64776" s="201"/>
    </row>
    <row r="64777" spans="62:62" x14ac:dyDescent="0.2">
      <c r="BJ64777" s="201"/>
    </row>
    <row r="64778" spans="62:62" x14ac:dyDescent="0.2">
      <c r="BJ64778" s="201"/>
    </row>
    <row r="64779" spans="62:62" x14ac:dyDescent="0.2">
      <c r="BJ64779" s="201"/>
    </row>
    <row r="64780" spans="62:62" x14ac:dyDescent="0.2">
      <c r="BJ64780" s="201"/>
    </row>
    <row r="64781" spans="62:62" x14ac:dyDescent="0.2">
      <c r="BJ64781" s="201"/>
    </row>
    <row r="64782" spans="62:62" x14ac:dyDescent="0.2">
      <c r="BJ64782" s="201"/>
    </row>
    <row r="64783" spans="62:62" x14ac:dyDescent="0.2">
      <c r="BJ64783" s="201"/>
    </row>
    <row r="64784" spans="62:62" x14ac:dyDescent="0.2">
      <c r="BJ64784" s="201"/>
    </row>
    <row r="64785" spans="62:62" x14ac:dyDescent="0.2">
      <c r="BJ64785" s="201"/>
    </row>
    <row r="64786" spans="62:62" x14ac:dyDescent="0.2">
      <c r="BJ64786" s="201"/>
    </row>
    <row r="64787" spans="62:62" x14ac:dyDescent="0.2">
      <c r="BJ64787" s="201"/>
    </row>
    <row r="64788" spans="62:62" x14ac:dyDescent="0.2">
      <c r="BJ64788" s="201"/>
    </row>
    <row r="64789" spans="62:62" x14ac:dyDescent="0.2">
      <c r="BJ64789" s="201"/>
    </row>
    <row r="64790" spans="62:62" x14ac:dyDescent="0.2">
      <c r="BJ64790" s="201"/>
    </row>
    <row r="64791" spans="62:62" x14ac:dyDescent="0.2">
      <c r="BJ64791" s="201"/>
    </row>
    <row r="64792" spans="62:62" x14ac:dyDescent="0.2">
      <c r="BJ64792" s="201"/>
    </row>
    <row r="64793" spans="62:62" x14ac:dyDescent="0.2">
      <c r="BJ64793" s="201"/>
    </row>
    <row r="64794" spans="62:62" x14ac:dyDescent="0.2">
      <c r="BJ64794" s="201"/>
    </row>
    <row r="64795" spans="62:62" x14ac:dyDescent="0.2">
      <c r="BJ64795" s="201"/>
    </row>
    <row r="64796" spans="62:62" x14ac:dyDescent="0.2">
      <c r="BJ64796" s="201"/>
    </row>
    <row r="64797" spans="62:62" x14ac:dyDescent="0.2">
      <c r="BJ64797" s="201"/>
    </row>
    <row r="64798" spans="62:62" x14ac:dyDescent="0.2">
      <c r="BJ64798" s="201"/>
    </row>
    <row r="64799" spans="62:62" x14ac:dyDescent="0.2">
      <c r="BJ64799" s="201"/>
    </row>
    <row r="64800" spans="62:62" x14ac:dyDescent="0.2">
      <c r="BJ64800" s="201"/>
    </row>
    <row r="64801" spans="62:62" x14ac:dyDescent="0.2">
      <c r="BJ64801" s="201"/>
    </row>
    <row r="64802" spans="62:62" x14ac:dyDescent="0.2">
      <c r="BJ64802" s="201"/>
    </row>
    <row r="64803" spans="62:62" x14ac:dyDescent="0.2">
      <c r="BJ64803" s="201"/>
    </row>
    <row r="64804" spans="62:62" x14ac:dyDescent="0.2">
      <c r="BJ64804" s="201"/>
    </row>
    <row r="64805" spans="62:62" x14ac:dyDescent="0.2">
      <c r="BJ64805" s="201"/>
    </row>
    <row r="64806" spans="62:62" x14ac:dyDescent="0.2">
      <c r="BJ64806" s="201"/>
    </row>
    <row r="64807" spans="62:62" x14ac:dyDescent="0.2">
      <c r="BJ64807" s="201"/>
    </row>
    <row r="64808" spans="62:62" x14ac:dyDescent="0.2">
      <c r="BJ64808" s="201"/>
    </row>
    <row r="64809" spans="62:62" x14ac:dyDescent="0.2">
      <c r="BJ64809" s="201"/>
    </row>
    <row r="64810" spans="62:62" x14ac:dyDescent="0.2">
      <c r="BJ64810" s="201"/>
    </row>
    <row r="64811" spans="62:62" x14ac:dyDescent="0.2">
      <c r="BJ64811" s="201"/>
    </row>
    <row r="64812" spans="62:62" x14ac:dyDescent="0.2">
      <c r="BJ64812" s="201"/>
    </row>
    <row r="64813" spans="62:62" x14ac:dyDescent="0.2">
      <c r="BJ64813" s="201"/>
    </row>
    <row r="64814" spans="62:62" x14ac:dyDescent="0.2">
      <c r="BJ64814" s="201"/>
    </row>
    <row r="64815" spans="62:62" x14ac:dyDescent="0.2">
      <c r="BJ64815" s="201"/>
    </row>
    <row r="64816" spans="62:62" x14ac:dyDescent="0.2">
      <c r="BJ64816" s="201"/>
    </row>
    <row r="64817" spans="62:62" x14ac:dyDescent="0.2">
      <c r="BJ64817" s="201"/>
    </row>
    <row r="64818" spans="62:62" x14ac:dyDescent="0.2">
      <c r="BJ64818" s="201"/>
    </row>
    <row r="64819" spans="62:62" x14ac:dyDescent="0.2">
      <c r="BJ64819" s="201"/>
    </row>
    <row r="64820" spans="62:62" x14ac:dyDescent="0.2">
      <c r="BJ64820" s="201"/>
    </row>
    <row r="64821" spans="62:62" x14ac:dyDescent="0.2">
      <c r="BJ64821" s="201"/>
    </row>
    <row r="64822" spans="62:62" x14ac:dyDescent="0.2">
      <c r="BJ64822" s="201"/>
    </row>
    <row r="64823" spans="62:62" x14ac:dyDescent="0.2">
      <c r="BJ64823" s="201"/>
    </row>
    <row r="64824" spans="62:62" x14ac:dyDescent="0.2">
      <c r="BJ64824" s="201"/>
    </row>
    <row r="64825" spans="62:62" x14ac:dyDescent="0.2">
      <c r="BJ64825" s="201"/>
    </row>
    <row r="64826" spans="62:62" x14ac:dyDescent="0.2">
      <c r="BJ64826" s="201"/>
    </row>
    <row r="64827" spans="62:62" x14ac:dyDescent="0.2">
      <c r="BJ64827" s="201"/>
    </row>
    <row r="64828" spans="62:62" x14ac:dyDescent="0.2">
      <c r="BJ64828" s="201"/>
    </row>
    <row r="64829" spans="62:62" x14ac:dyDescent="0.2">
      <c r="BJ64829" s="201"/>
    </row>
    <row r="64830" spans="62:62" x14ac:dyDescent="0.2">
      <c r="BJ64830" s="201"/>
    </row>
    <row r="64831" spans="62:62" x14ac:dyDescent="0.2">
      <c r="BJ64831" s="201"/>
    </row>
    <row r="64832" spans="62:62" x14ac:dyDescent="0.2">
      <c r="BJ64832" s="201"/>
    </row>
    <row r="64833" spans="62:62" x14ac:dyDescent="0.2">
      <c r="BJ64833" s="201"/>
    </row>
    <row r="64834" spans="62:62" x14ac:dyDescent="0.2">
      <c r="BJ64834" s="201"/>
    </row>
    <row r="64835" spans="62:62" x14ac:dyDescent="0.2">
      <c r="BJ64835" s="201"/>
    </row>
    <row r="64836" spans="62:62" x14ac:dyDescent="0.2">
      <c r="BJ64836" s="201"/>
    </row>
    <row r="64837" spans="62:62" x14ac:dyDescent="0.2">
      <c r="BJ64837" s="201"/>
    </row>
    <row r="64838" spans="62:62" x14ac:dyDescent="0.2">
      <c r="BJ64838" s="201"/>
    </row>
    <row r="64839" spans="62:62" x14ac:dyDescent="0.2">
      <c r="BJ64839" s="201"/>
    </row>
    <row r="64840" spans="62:62" x14ac:dyDescent="0.2">
      <c r="BJ64840" s="201"/>
    </row>
    <row r="64841" spans="62:62" x14ac:dyDescent="0.2">
      <c r="BJ64841" s="201"/>
    </row>
    <row r="64842" spans="62:62" x14ac:dyDescent="0.2">
      <c r="BJ64842" s="201"/>
    </row>
    <row r="64843" spans="62:62" x14ac:dyDescent="0.2">
      <c r="BJ64843" s="201"/>
    </row>
    <row r="64844" spans="62:62" x14ac:dyDescent="0.2">
      <c r="BJ64844" s="201"/>
    </row>
    <row r="64845" spans="62:62" x14ac:dyDescent="0.2">
      <c r="BJ64845" s="201"/>
    </row>
    <row r="64846" spans="62:62" x14ac:dyDescent="0.2">
      <c r="BJ64846" s="201"/>
    </row>
    <row r="64847" spans="62:62" x14ac:dyDescent="0.2">
      <c r="BJ64847" s="201"/>
    </row>
    <row r="64848" spans="62:62" x14ac:dyDescent="0.2">
      <c r="BJ64848" s="201"/>
    </row>
    <row r="64849" spans="62:62" x14ac:dyDescent="0.2">
      <c r="BJ64849" s="201"/>
    </row>
    <row r="64850" spans="62:62" x14ac:dyDescent="0.2">
      <c r="BJ64850" s="201"/>
    </row>
    <row r="64851" spans="62:62" x14ac:dyDescent="0.2">
      <c r="BJ64851" s="201"/>
    </row>
    <row r="64852" spans="62:62" x14ac:dyDescent="0.2">
      <c r="BJ64852" s="201"/>
    </row>
    <row r="64853" spans="62:62" x14ac:dyDescent="0.2">
      <c r="BJ64853" s="201"/>
    </row>
    <row r="64854" spans="62:62" x14ac:dyDescent="0.2">
      <c r="BJ64854" s="201"/>
    </row>
    <row r="64855" spans="62:62" x14ac:dyDescent="0.2">
      <c r="BJ64855" s="201"/>
    </row>
    <row r="64856" spans="62:62" x14ac:dyDescent="0.2">
      <c r="BJ64856" s="201"/>
    </row>
    <row r="64857" spans="62:62" x14ac:dyDescent="0.2">
      <c r="BJ64857" s="201"/>
    </row>
    <row r="64858" spans="62:62" x14ac:dyDescent="0.2">
      <c r="BJ64858" s="201"/>
    </row>
    <row r="64859" spans="62:62" x14ac:dyDescent="0.2">
      <c r="BJ64859" s="201"/>
    </row>
    <row r="64860" spans="62:62" x14ac:dyDescent="0.2">
      <c r="BJ64860" s="201"/>
    </row>
    <row r="64861" spans="62:62" x14ac:dyDescent="0.2">
      <c r="BJ64861" s="201"/>
    </row>
    <row r="64862" spans="62:62" x14ac:dyDescent="0.2">
      <c r="BJ64862" s="201"/>
    </row>
    <row r="64863" spans="62:62" x14ac:dyDescent="0.2">
      <c r="BJ64863" s="201"/>
    </row>
    <row r="64864" spans="62:62" x14ac:dyDescent="0.2">
      <c r="BJ64864" s="201"/>
    </row>
    <row r="64865" spans="62:62" x14ac:dyDescent="0.2">
      <c r="BJ64865" s="201"/>
    </row>
    <row r="64866" spans="62:62" x14ac:dyDescent="0.2">
      <c r="BJ64866" s="201"/>
    </row>
    <row r="64867" spans="62:62" x14ac:dyDescent="0.2">
      <c r="BJ64867" s="201"/>
    </row>
    <row r="64868" spans="62:62" x14ac:dyDescent="0.2">
      <c r="BJ64868" s="201"/>
    </row>
    <row r="64869" spans="62:62" x14ac:dyDescent="0.2">
      <c r="BJ64869" s="201"/>
    </row>
    <row r="64870" spans="62:62" x14ac:dyDescent="0.2">
      <c r="BJ64870" s="201"/>
    </row>
    <row r="64871" spans="62:62" x14ac:dyDescent="0.2">
      <c r="BJ64871" s="201"/>
    </row>
    <row r="64872" spans="62:62" x14ac:dyDescent="0.2">
      <c r="BJ64872" s="201"/>
    </row>
    <row r="64873" spans="62:62" x14ac:dyDescent="0.2">
      <c r="BJ64873" s="201"/>
    </row>
    <row r="64874" spans="62:62" x14ac:dyDescent="0.2">
      <c r="BJ64874" s="201"/>
    </row>
    <row r="64875" spans="62:62" x14ac:dyDescent="0.2">
      <c r="BJ64875" s="201"/>
    </row>
    <row r="64876" spans="62:62" x14ac:dyDescent="0.2">
      <c r="BJ64876" s="201"/>
    </row>
    <row r="64877" spans="62:62" x14ac:dyDescent="0.2">
      <c r="BJ64877" s="201"/>
    </row>
    <row r="64878" spans="62:62" x14ac:dyDescent="0.2">
      <c r="BJ64878" s="201"/>
    </row>
    <row r="64879" spans="62:62" x14ac:dyDescent="0.2">
      <c r="BJ64879" s="201"/>
    </row>
    <row r="64880" spans="62:62" x14ac:dyDescent="0.2">
      <c r="BJ64880" s="201"/>
    </row>
    <row r="64881" spans="62:62" x14ac:dyDescent="0.2">
      <c r="BJ64881" s="201"/>
    </row>
    <row r="64882" spans="62:62" x14ac:dyDescent="0.2">
      <c r="BJ64882" s="201"/>
    </row>
    <row r="64883" spans="62:62" x14ac:dyDescent="0.2">
      <c r="BJ64883" s="201"/>
    </row>
    <row r="64884" spans="62:62" x14ac:dyDescent="0.2">
      <c r="BJ64884" s="201"/>
    </row>
    <row r="64885" spans="62:62" x14ac:dyDescent="0.2">
      <c r="BJ64885" s="201"/>
    </row>
    <row r="64886" spans="62:62" x14ac:dyDescent="0.2">
      <c r="BJ64886" s="201"/>
    </row>
    <row r="64887" spans="62:62" x14ac:dyDescent="0.2">
      <c r="BJ64887" s="201"/>
    </row>
    <row r="64888" spans="62:62" x14ac:dyDescent="0.2">
      <c r="BJ64888" s="201"/>
    </row>
    <row r="64889" spans="62:62" x14ac:dyDescent="0.2">
      <c r="BJ64889" s="201"/>
    </row>
    <row r="64890" spans="62:62" x14ac:dyDescent="0.2">
      <c r="BJ64890" s="201"/>
    </row>
    <row r="64891" spans="62:62" x14ac:dyDescent="0.2">
      <c r="BJ64891" s="201"/>
    </row>
    <row r="64892" spans="62:62" x14ac:dyDescent="0.2">
      <c r="BJ64892" s="201"/>
    </row>
    <row r="64893" spans="62:62" x14ac:dyDescent="0.2">
      <c r="BJ64893" s="201"/>
    </row>
    <row r="64894" spans="62:62" x14ac:dyDescent="0.2">
      <c r="BJ64894" s="201"/>
    </row>
    <row r="64895" spans="62:62" x14ac:dyDescent="0.2">
      <c r="BJ64895" s="201"/>
    </row>
    <row r="64896" spans="62:62" x14ac:dyDescent="0.2">
      <c r="BJ64896" s="201"/>
    </row>
    <row r="64897" spans="62:62" x14ac:dyDescent="0.2">
      <c r="BJ64897" s="201"/>
    </row>
    <row r="64898" spans="62:62" x14ac:dyDescent="0.2">
      <c r="BJ64898" s="201"/>
    </row>
    <row r="64899" spans="62:62" x14ac:dyDescent="0.2">
      <c r="BJ64899" s="201"/>
    </row>
    <row r="64900" spans="62:62" x14ac:dyDescent="0.2">
      <c r="BJ64900" s="201"/>
    </row>
    <row r="64901" spans="62:62" x14ac:dyDescent="0.2">
      <c r="BJ64901" s="201"/>
    </row>
    <row r="64902" spans="62:62" x14ac:dyDescent="0.2">
      <c r="BJ64902" s="201"/>
    </row>
    <row r="64903" spans="62:62" x14ac:dyDescent="0.2">
      <c r="BJ64903" s="201"/>
    </row>
    <row r="64904" spans="62:62" x14ac:dyDescent="0.2">
      <c r="BJ64904" s="201"/>
    </row>
    <row r="64905" spans="62:62" x14ac:dyDescent="0.2">
      <c r="BJ64905" s="201"/>
    </row>
    <row r="64906" spans="62:62" x14ac:dyDescent="0.2">
      <c r="BJ64906" s="201"/>
    </row>
    <row r="64907" spans="62:62" x14ac:dyDescent="0.2">
      <c r="BJ64907" s="201"/>
    </row>
    <row r="64908" spans="62:62" x14ac:dyDescent="0.2">
      <c r="BJ64908" s="201"/>
    </row>
    <row r="64909" spans="62:62" x14ac:dyDescent="0.2">
      <c r="BJ64909" s="201"/>
    </row>
    <row r="64910" spans="62:62" x14ac:dyDescent="0.2">
      <c r="BJ64910" s="201"/>
    </row>
    <row r="64911" spans="62:62" x14ac:dyDescent="0.2">
      <c r="BJ64911" s="201"/>
    </row>
    <row r="64912" spans="62:62" x14ac:dyDescent="0.2">
      <c r="BJ64912" s="201"/>
    </row>
    <row r="64913" spans="62:62" x14ac:dyDescent="0.2">
      <c r="BJ64913" s="201"/>
    </row>
    <row r="64914" spans="62:62" x14ac:dyDescent="0.2">
      <c r="BJ64914" s="201"/>
    </row>
    <row r="64915" spans="62:62" x14ac:dyDescent="0.2">
      <c r="BJ64915" s="201"/>
    </row>
    <row r="64916" spans="62:62" x14ac:dyDescent="0.2">
      <c r="BJ64916" s="201"/>
    </row>
    <row r="64917" spans="62:62" x14ac:dyDescent="0.2">
      <c r="BJ64917" s="201"/>
    </row>
    <row r="64918" spans="62:62" x14ac:dyDescent="0.2">
      <c r="BJ64918" s="201"/>
    </row>
    <row r="64919" spans="62:62" x14ac:dyDescent="0.2">
      <c r="BJ64919" s="201"/>
    </row>
    <row r="64920" spans="62:62" x14ac:dyDescent="0.2">
      <c r="BJ64920" s="201"/>
    </row>
    <row r="64921" spans="62:62" x14ac:dyDescent="0.2">
      <c r="BJ64921" s="201"/>
    </row>
    <row r="64922" spans="62:62" x14ac:dyDescent="0.2">
      <c r="BJ64922" s="201"/>
    </row>
    <row r="64923" spans="62:62" x14ac:dyDescent="0.2">
      <c r="BJ64923" s="201"/>
    </row>
    <row r="64924" spans="62:62" x14ac:dyDescent="0.2">
      <c r="BJ64924" s="201"/>
    </row>
    <row r="64925" spans="62:62" x14ac:dyDescent="0.2">
      <c r="BJ64925" s="201"/>
    </row>
    <row r="64926" spans="62:62" x14ac:dyDescent="0.2">
      <c r="BJ64926" s="201"/>
    </row>
    <row r="64927" spans="62:62" x14ac:dyDescent="0.2">
      <c r="BJ64927" s="201"/>
    </row>
    <row r="64928" spans="62:62" x14ac:dyDescent="0.2">
      <c r="BJ64928" s="201"/>
    </row>
    <row r="64929" spans="62:62" x14ac:dyDescent="0.2">
      <c r="BJ64929" s="201"/>
    </row>
    <row r="64930" spans="62:62" x14ac:dyDescent="0.2">
      <c r="BJ64930" s="201"/>
    </row>
    <row r="64931" spans="62:62" x14ac:dyDescent="0.2">
      <c r="BJ64931" s="201"/>
    </row>
    <row r="64932" spans="62:62" x14ac:dyDescent="0.2">
      <c r="BJ64932" s="201"/>
    </row>
    <row r="64933" spans="62:62" x14ac:dyDescent="0.2">
      <c r="BJ64933" s="201"/>
    </row>
    <row r="64934" spans="62:62" x14ac:dyDescent="0.2">
      <c r="BJ64934" s="201"/>
    </row>
    <row r="64935" spans="62:62" x14ac:dyDescent="0.2">
      <c r="BJ64935" s="201"/>
    </row>
    <row r="64936" spans="62:62" x14ac:dyDescent="0.2">
      <c r="BJ64936" s="201"/>
    </row>
    <row r="64937" spans="62:62" x14ac:dyDescent="0.2">
      <c r="BJ64937" s="201"/>
    </row>
    <row r="64938" spans="62:62" x14ac:dyDescent="0.2">
      <c r="BJ64938" s="201"/>
    </row>
    <row r="64939" spans="62:62" x14ac:dyDescent="0.2">
      <c r="BJ64939" s="201"/>
    </row>
    <row r="64940" spans="62:62" x14ac:dyDescent="0.2">
      <c r="BJ64940" s="201"/>
    </row>
    <row r="64941" spans="62:62" x14ac:dyDescent="0.2">
      <c r="BJ64941" s="201"/>
    </row>
    <row r="64942" spans="62:62" x14ac:dyDescent="0.2">
      <c r="BJ64942" s="201"/>
    </row>
    <row r="64943" spans="62:62" x14ac:dyDescent="0.2">
      <c r="BJ64943" s="201"/>
    </row>
    <row r="64944" spans="62:62" x14ac:dyDescent="0.2">
      <c r="BJ64944" s="201"/>
    </row>
    <row r="64945" spans="62:62" x14ac:dyDescent="0.2">
      <c r="BJ64945" s="201"/>
    </row>
    <row r="64946" spans="62:62" x14ac:dyDescent="0.2">
      <c r="BJ64946" s="201"/>
    </row>
    <row r="64947" spans="62:62" x14ac:dyDescent="0.2">
      <c r="BJ64947" s="201"/>
    </row>
    <row r="64948" spans="62:62" x14ac:dyDescent="0.2">
      <c r="BJ64948" s="201"/>
    </row>
    <row r="64949" spans="62:62" x14ac:dyDescent="0.2">
      <c r="BJ64949" s="201"/>
    </row>
    <row r="64950" spans="62:62" x14ac:dyDescent="0.2">
      <c r="BJ64950" s="201"/>
    </row>
    <row r="64951" spans="62:62" x14ac:dyDescent="0.2">
      <c r="BJ64951" s="201"/>
    </row>
    <row r="64952" spans="62:62" x14ac:dyDescent="0.2">
      <c r="BJ64952" s="201"/>
    </row>
    <row r="64953" spans="62:62" x14ac:dyDescent="0.2">
      <c r="BJ64953" s="201"/>
    </row>
    <row r="64954" spans="62:62" x14ac:dyDescent="0.2">
      <c r="BJ64954" s="201"/>
    </row>
    <row r="64955" spans="62:62" x14ac:dyDescent="0.2">
      <c r="BJ64955" s="201"/>
    </row>
    <row r="64956" spans="62:62" x14ac:dyDescent="0.2">
      <c r="BJ64956" s="201"/>
    </row>
    <row r="64957" spans="62:62" x14ac:dyDescent="0.2">
      <c r="BJ64957" s="201"/>
    </row>
    <row r="64958" spans="62:62" x14ac:dyDescent="0.2">
      <c r="BJ64958" s="201"/>
    </row>
    <row r="64959" spans="62:62" x14ac:dyDescent="0.2">
      <c r="BJ64959" s="201"/>
    </row>
    <row r="64960" spans="62:62" x14ac:dyDescent="0.2">
      <c r="BJ64960" s="201"/>
    </row>
    <row r="64961" spans="62:62" x14ac:dyDescent="0.2">
      <c r="BJ64961" s="201"/>
    </row>
    <row r="64962" spans="62:62" x14ac:dyDescent="0.2">
      <c r="BJ64962" s="201"/>
    </row>
    <row r="64963" spans="62:62" x14ac:dyDescent="0.2">
      <c r="BJ64963" s="201"/>
    </row>
    <row r="64964" spans="62:62" x14ac:dyDescent="0.2">
      <c r="BJ64964" s="201"/>
    </row>
    <row r="64965" spans="62:62" x14ac:dyDescent="0.2">
      <c r="BJ64965" s="201"/>
    </row>
    <row r="64966" spans="62:62" x14ac:dyDescent="0.2">
      <c r="BJ64966" s="201"/>
    </row>
    <row r="64967" spans="62:62" x14ac:dyDescent="0.2">
      <c r="BJ64967" s="201"/>
    </row>
    <row r="64968" spans="62:62" x14ac:dyDescent="0.2">
      <c r="BJ64968" s="201"/>
    </row>
    <row r="64969" spans="62:62" x14ac:dyDescent="0.2">
      <c r="BJ64969" s="201"/>
    </row>
    <row r="64970" spans="62:62" x14ac:dyDescent="0.2">
      <c r="BJ64970" s="201"/>
    </row>
    <row r="64971" spans="62:62" x14ac:dyDescent="0.2">
      <c r="BJ64971" s="201"/>
    </row>
    <row r="64972" spans="62:62" x14ac:dyDescent="0.2">
      <c r="BJ64972" s="201"/>
    </row>
    <row r="64973" spans="62:62" x14ac:dyDescent="0.2">
      <c r="BJ64973" s="201"/>
    </row>
    <row r="64974" spans="62:62" x14ac:dyDescent="0.2">
      <c r="BJ64974" s="201"/>
    </row>
    <row r="64975" spans="62:62" x14ac:dyDescent="0.2">
      <c r="BJ64975" s="201"/>
    </row>
    <row r="64976" spans="62:62" x14ac:dyDescent="0.2">
      <c r="BJ64976" s="201"/>
    </row>
    <row r="64977" spans="62:62" x14ac:dyDescent="0.2">
      <c r="BJ64977" s="201"/>
    </row>
    <row r="64978" spans="62:62" x14ac:dyDescent="0.2">
      <c r="BJ64978" s="201"/>
    </row>
    <row r="64979" spans="62:62" x14ac:dyDescent="0.2">
      <c r="BJ64979" s="201"/>
    </row>
    <row r="64980" spans="62:62" x14ac:dyDescent="0.2">
      <c r="BJ64980" s="201"/>
    </row>
    <row r="64981" spans="62:62" x14ac:dyDescent="0.2">
      <c r="BJ64981" s="201"/>
    </row>
    <row r="64982" spans="62:62" x14ac:dyDescent="0.2">
      <c r="BJ64982" s="201"/>
    </row>
    <row r="64983" spans="62:62" x14ac:dyDescent="0.2">
      <c r="BJ64983" s="201"/>
    </row>
    <row r="64984" spans="62:62" x14ac:dyDescent="0.2">
      <c r="BJ64984" s="201"/>
    </row>
    <row r="64985" spans="62:62" x14ac:dyDescent="0.2">
      <c r="BJ64985" s="201"/>
    </row>
    <row r="64986" spans="62:62" x14ac:dyDescent="0.2">
      <c r="BJ64986" s="201"/>
    </row>
    <row r="64987" spans="62:62" x14ac:dyDescent="0.2">
      <c r="BJ64987" s="201"/>
    </row>
    <row r="64988" spans="62:62" x14ac:dyDescent="0.2">
      <c r="BJ64988" s="201"/>
    </row>
    <row r="64989" spans="62:62" x14ac:dyDescent="0.2">
      <c r="BJ64989" s="201"/>
    </row>
    <row r="64990" spans="62:62" x14ac:dyDescent="0.2">
      <c r="BJ64990" s="201"/>
    </row>
    <row r="64991" spans="62:62" x14ac:dyDescent="0.2">
      <c r="BJ64991" s="201"/>
    </row>
    <row r="64992" spans="62:62" x14ac:dyDescent="0.2">
      <c r="BJ64992" s="201"/>
    </row>
    <row r="64993" spans="62:62" x14ac:dyDescent="0.2">
      <c r="BJ64993" s="201"/>
    </row>
    <row r="64994" spans="62:62" x14ac:dyDescent="0.2">
      <c r="BJ64994" s="201"/>
    </row>
    <row r="64995" spans="62:62" x14ac:dyDescent="0.2">
      <c r="BJ64995" s="201"/>
    </row>
    <row r="64996" spans="62:62" x14ac:dyDescent="0.2">
      <c r="BJ64996" s="201"/>
    </row>
    <row r="64997" spans="62:62" x14ac:dyDescent="0.2">
      <c r="BJ64997" s="201"/>
    </row>
    <row r="64998" spans="62:62" x14ac:dyDescent="0.2">
      <c r="BJ64998" s="201"/>
    </row>
    <row r="64999" spans="62:62" x14ac:dyDescent="0.2">
      <c r="BJ64999" s="201"/>
    </row>
    <row r="65000" spans="62:62" x14ac:dyDescent="0.2">
      <c r="BJ65000" s="201"/>
    </row>
    <row r="65001" spans="62:62" x14ac:dyDescent="0.2">
      <c r="BJ65001" s="201"/>
    </row>
    <row r="65002" spans="62:62" x14ac:dyDescent="0.2">
      <c r="BJ65002" s="201"/>
    </row>
    <row r="65003" spans="62:62" x14ac:dyDescent="0.2">
      <c r="BJ65003" s="201"/>
    </row>
    <row r="65004" spans="62:62" x14ac:dyDescent="0.2">
      <c r="BJ65004" s="201"/>
    </row>
    <row r="65005" spans="62:62" x14ac:dyDescent="0.2">
      <c r="BJ65005" s="201"/>
    </row>
    <row r="65006" spans="62:62" x14ac:dyDescent="0.2">
      <c r="BJ65006" s="201"/>
    </row>
    <row r="65007" spans="62:62" x14ac:dyDescent="0.2">
      <c r="BJ65007" s="201"/>
    </row>
    <row r="65008" spans="62:62" x14ac:dyDescent="0.2">
      <c r="BJ65008" s="201"/>
    </row>
    <row r="65009" spans="62:62" x14ac:dyDescent="0.2">
      <c r="BJ65009" s="201"/>
    </row>
    <row r="65010" spans="62:62" x14ac:dyDescent="0.2">
      <c r="BJ65010" s="201"/>
    </row>
    <row r="65011" spans="62:62" x14ac:dyDescent="0.2">
      <c r="BJ65011" s="201"/>
    </row>
    <row r="65012" spans="62:62" x14ac:dyDescent="0.2">
      <c r="BJ65012" s="201"/>
    </row>
    <row r="65013" spans="62:62" x14ac:dyDescent="0.2">
      <c r="BJ65013" s="201"/>
    </row>
    <row r="65014" spans="62:62" x14ac:dyDescent="0.2">
      <c r="BJ65014" s="201"/>
    </row>
    <row r="65015" spans="62:62" x14ac:dyDescent="0.2">
      <c r="BJ65015" s="201"/>
    </row>
    <row r="65016" spans="62:62" x14ac:dyDescent="0.2">
      <c r="BJ65016" s="201"/>
    </row>
    <row r="65017" spans="62:62" x14ac:dyDescent="0.2">
      <c r="BJ65017" s="201"/>
    </row>
    <row r="65018" spans="62:62" x14ac:dyDescent="0.2">
      <c r="BJ65018" s="201"/>
    </row>
    <row r="65019" spans="62:62" x14ac:dyDescent="0.2">
      <c r="BJ65019" s="201"/>
    </row>
    <row r="65020" spans="62:62" x14ac:dyDescent="0.2">
      <c r="BJ65020" s="201"/>
    </row>
    <row r="65021" spans="62:62" x14ac:dyDescent="0.2">
      <c r="BJ65021" s="201"/>
    </row>
    <row r="65022" spans="62:62" x14ac:dyDescent="0.2">
      <c r="BJ65022" s="201"/>
    </row>
    <row r="65023" spans="62:62" x14ac:dyDescent="0.2">
      <c r="BJ65023" s="201"/>
    </row>
    <row r="65024" spans="62:62" x14ac:dyDescent="0.2">
      <c r="BJ65024" s="201"/>
    </row>
    <row r="65025" spans="62:62" x14ac:dyDescent="0.2">
      <c r="BJ65025" s="201"/>
    </row>
    <row r="65026" spans="62:62" x14ac:dyDescent="0.2">
      <c r="BJ65026" s="201"/>
    </row>
    <row r="65027" spans="62:62" x14ac:dyDescent="0.2">
      <c r="BJ65027" s="201"/>
    </row>
    <row r="65028" spans="62:62" x14ac:dyDescent="0.2">
      <c r="BJ65028" s="201"/>
    </row>
    <row r="65029" spans="62:62" x14ac:dyDescent="0.2">
      <c r="BJ65029" s="201"/>
    </row>
    <row r="65030" spans="62:62" x14ac:dyDescent="0.2">
      <c r="BJ65030" s="201"/>
    </row>
    <row r="65031" spans="62:62" x14ac:dyDescent="0.2">
      <c r="BJ65031" s="201"/>
    </row>
    <row r="65032" spans="62:62" x14ac:dyDescent="0.2">
      <c r="BJ65032" s="201"/>
    </row>
    <row r="65033" spans="62:62" x14ac:dyDescent="0.2">
      <c r="BJ65033" s="201"/>
    </row>
    <row r="65034" spans="62:62" x14ac:dyDescent="0.2">
      <c r="BJ65034" s="201"/>
    </row>
    <row r="65035" spans="62:62" x14ac:dyDescent="0.2">
      <c r="BJ65035" s="201"/>
    </row>
    <row r="65036" spans="62:62" x14ac:dyDescent="0.2">
      <c r="BJ65036" s="201"/>
    </row>
    <row r="65037" spans="62:62" x14ac:dyDescent="0.2">
      <c r="BJ65037" s="201"/>
    </row>
    <row r="65038" spans="62:62" x14ac:dyDescent="0.2">
      <c r="BJ65038" s="201"/>
    </row>
    <row r="65039" spans="62:62" x14ac:dyDescent="0.2">
      <c r="BJ65039" s="201"/>
    </row>
    <row r="65040" spans="62:62" x14ac:dyDescent="0.2">
      <c r="BJ65040" s="201"/>
    </row>
    <row r="65041" spans="62:62" x14ac:dyDescent="0.2">
      <c r="BJ65041" s="201"/>
    </row>
    <row r="65042" spans="62:62" x14ac:dyDescent="0.2">
      <c r="BJ65042" s="201"/>
    </row>
    <row r="65043" spans="62:62" x14ac:dyDescent="0.2">
      <c r="BJ65043" s="201"/>
    </row>
    <row r="65044" spans="62:62" x14ac:dyDescent="0.2">
      <c r="BJ65044" s="201"/>
    </row>
    <row r="65045" spans="62:62" x14ac:dyDescent="0.2">
      <c r="BJ65045" s="201"/>
    </row>
    <row r="65046" spans="62:62" x14ac:dyDescent="0.2">
      <c r="BJ65046" s="201"/>
    </row>
    <row r="65047" spans="62:62" x14ac:dyDescent="0.2">
      <c r="BJ65047" s="201"/>
    </row>
    <row r="65048" spans="62:62" x14ac:dyDescent="0.2">
      <c r="BJ65048" s="201"/>
    </row>
    <row r="65049" spans="62:62" x14ac:dyDescent="0.2">
      <c r="BJ65049" s="201"/>
    </row>
    <row r="65050" spans="62:62" x14ac:dyDescent="0.2">
      <c r="BJ65050" s="201"/>
    </row>
    <row r="65051" spans="62:62" x14ac:dyDescent="0.2">
      <c r="BJ65051" s="201"/>
    </row>
    <row r="65052" spans="62:62" x14ac:dyDescent="0.2">
      <c r="BJ65052" s="201"/>
    </row>
    <row r="65053" spans="62:62" x14ac:dyDescent="0.2">
      <c r="BJ65053" s="201"/>
    </row>
    <row r="65054" spans="62:62" x14ac:dyDescent="0.2">
      <c r="BJ65054" s="201"/>
    </row>
    <row r="65055" spans="62:62" x14ac:dyDescent="0.2">
      <c r="BJ65055" s="201"/>
    </row>
    <row r="65056" spans="62:62" x14ac:dyDescent="0.2">
      <c r="BJ65056" s="201"/>
    </row>
    <row r="65057" spans="62:62" x14ac:dyDescent="0.2">
      <c r="BJ65057" s="201"/>
    </row>
    <row r="65058" spans="62:62" x14ac:dyDescent="0.2">
      <c r="BJ65058" s="201"/>
    </row>
    <row r="65059" spans="62:62" x14ac:dyDescent="0.2">
      <c r="BJ65059" s="201"/>
    </row>
    <row r="65060" spans="62:62" x14ac:dyDescent="0.2">
      <c r="BJ65060" s="201"/>
    </row>
    <row r="65061" spans="62:62" x14ac:dyDescent="0.2">
      <c r="BJ65061" s="201"/>
    </row>
    <row r="65062" spans="62:62" x14ac:dyDescent="0.2">
      <c r="BJ65062" s="201"/>
    </row>
    <row r="65063" spans="62:62" x14ac:dyDescent="0.2">
      <c r="BJ65063" s="201"/>
    </row>
    <row r="65064" spans="62:62" x14ac:dyDescent="0.2">
      <c r="BJ65064" s="201"/>
    </row>
    <row r="65065" spans="62:62" x14ac:dyDescent="0.2">
      <c r="BJ65065" s="201"/>
    </row>
    <row r="65066" spans="62:62" x14ac:dyDescent="0.2">
      <c r="BJ65066" s="201"/>
    </row>
    <row r="65067" spans="62:62" x14ac:dyDescent="0.2">
      <c r="BJ65067" s="201"/>
    </row>
    <row r="65068" spans="62:62" x14ac:dyDescent="0.2">
      <c r="BJ65068" s="201"/>
    </row>
    <row r="65069" spans="62:62" x14ac:dyDescent="0.2">
      <c r="BJ65069" s="201"/>
    </row>
    <row r="65070" spans="62:62" x14ac:dyDescent="0.2">
      <c r="BJ65070" s="201"/>
    </row>
    <row r="65071" spans="62:62" x14ac:dyDescent="0.2">
      <c r="BJ65071" s="201"/>
    </row>
    <row r="65072" spans="62:62" x14ac:dyDescent="0.2">
      <c r="BJ65072" s="201"/>
    </row>
    <row r="65073" spans="62:62" x14ac:dyDescent="0.2">
      <c r="BJ65073" s="201"/>
    </row>
    <row r="65074" spans="62:62" x14ac:dyDescent="0.2">
      <c r="BJ65074" s="201"/>
    </row>
    <row r="65075" spans="62:62" x14ac:dyDescent="0.2">
      <c r="BJ65075" s="201"/>
    </row>
    <row r="65076" spans="62:62" x14ac:dyDescent="0.2">
      <c r="BJ65076" s="201"/>
    </row>
    <row r="65077" spans="62:62" x14ac:dyDescent="0.2">
      <c r="BJ65077" s="201"/>
    </row>
    <row r="65078" spans="62:62" x14ac:dyDescent="0.2">
      <c r="BJ65078" s="201"/>
    </row>
    <row r="65079" spans="62:62" x14ac:dyDescent="0.2">
      <c r="BJ65079" s="201"/>
    </row>
    <row r="65080" spans="62:62" x14ac:dyDescent="0.2">
      <c r="BJ65080" s="201"/>
    </row>
    <row r="65081" spans="62:62" x14ac:dyDescent="0.2">
      <c r="BJ65081" s="201"/>
    </row>
    <row r="65082" spans="62:62" x14ac:dyDescent="0.2">
      <c r="BJ65082" s="201"/>
    </row>
    <row r="65083" spans="62:62" x14ac:dyDescent="0.2">
      <c r="BJ65083" s="201"/>
    </row>
    <row r="65084" spans="62:62" x14ac:dyDescent="0.2">
      <c r="BJ65084" s="201"/>
    </row>
    <row r="65085" spans="62:62" x14ac:dyDescent="0.2">
      <c r="BJ65085" s="201"/>
    </row>
    <row r="65086" spans="62:62" x14ac:dyDescent="0.2">
      <c r="BJ65086" s="201"/>
    </row>
    <row r="65087" spans="62:62" x14ac:dyDescent="0.2">
      <c r="BJ65087" s="201"/>
    </row>
    <row r="65088" spans="62:62" x14ac:dyDescent="0.2">
      <c r="BJ65088" s="201"/>
    </row>
    <row r="65089" spans="62:62" x14ac:dyDescent="0.2">
      <c r="BJ65089" s="201"/>
    </row>
    <row r="65090" spans="62:62" x14ac:dyDescent="0.2">
      <c r="BJ65090" s="201"/>
    </row>
    <row r="65091" spans="62:62" x14ac:dyDescent="0.2">
      <c r="BJ65091" s="201"/>
    </row>
    <row r="65092" spans="62:62" x14ac:dyDescent="0.2">
      <c r="BJ65092" s="201"/>
    </row>
    <row r="65093" spans="62:62" x14ac:dyDescent="0.2">
      <c r="BJ65093" s="201"/>
    </row>
    <row r="65094" spans="62:62" x14ac:dyDescent="0.2">
      <c r="BJ65094" s="201"/>
    </row>
    <row r="65095" spans="62:62" x14ac:dyDescent="0.2">
      <c r="BJ65095" s="201"/>
    </row>
    <row r="65096" spans="62:62" x14ac:dyDescent="0.2">
      <c r="BJ65096" s="201"/>
    </row>
    <row r="65097" spans="62:62" x14ac:dyDescent="0.2">
      <c r="BJ65097" s="201"/>
    </row>
    <row r="65098" spans="62:62" x14ac:dyDescent="0.2">
      <c r="BJ65098" s="201"/>
    </row>
    <row r="65099" spans="62:62" x14ac:dyDescent="0.2">
      <c r="BJ65099" s="201"/>
    </row>
    <row r="65100" spans="62:62" x14ac:dyDescent="0.2">
      <c r="BJ65100" s="201"/>
    </row>
    <row r="65101" spans="62:62" x14ac:dyDescent="0.2">
      <c r="BJ65101" s="201"/>
    </row>
    <row r="65102" spans="62:62" x14ac:dyDescent="0.2">
      <c r="BJ65102" s="201"/>
    </row>
    <row r="65103" spans="62:62" x14ac:dyDescent="0.2">
      <c r="BJ65103" s="201"/>
    </row>
    <row r="65104" spans="62:62" x14ac:dyDescent="0.2">
      <c r="BJ65104" s="201"/>
    </row>
    <row r="65105" spans="62:62" x14ac:dyDescent="0.2">
      <c r="BJ65105" s="201"/>
    </row>
    <row r="65106" spans="62:62" x14ac:dyDescent="0.2">
      <c r="BJ65106" s="201"/>
    </row>
    <row r="65107" spans="62:62" x14ac:dyDescent="0.2">
      <c r="BJ65107" s="201"/>
    </row>
    <row r="65108" spans="62:62" x14ac:dyDescent="0.2">
      <c r="BJ65108" s="201"/>
    </row>
    <row r="65109" spans="62:62" x14ac:dyDescent="0.2">
      <c r="BJ65109" s="201"/>
    </row>
    <row r="65110" spans="62:62" x14ac:dyDescent="0.2">
      <c r="BJ65110" s="201"/>
    </row>
    <row r="65111" spans="62:62" x14ac:dyDescent="0.2">
      <c r="BJ65111" s="201"/>
    </row>
    <row r="65112" spans="62:62" x14ac:dyDescent="0.2">
      <c r="BJ65112" s="201"/>
    </row>
    <row r="65113" spans="62:62" x14ac:dyDescent="0.2">
      <c r="BJ65113" s="201"/>
    </row>
    <row r="65114" spans="62:62" x14ac:dyDescent="0.2">
      <c r="BJ65114" s="201"/>
    </row>
    <row r="65115" spans="62:62" x14ac:dyDescent="0.2">
      <c r="BJ65115" s="201"/>
    </row>
    <row r="65116" spans="62:62" x14ac:dyDescent="0.2">
      <c r="BJ65116" s="201"/>
    </row>
    <row r="65117" spans="62:62" x14ac:dyDescent="0.2">
      <c r="BJ65117" s="201"/>
    </row>
    <row r="65118" spans="62:62" x14ac:dyDescent="0.2">
      <c r="BJ65118" s="201"/>
    </row>
    <row r="65119" spans="62:62" x14ac:dyDescent="0.2">
      <c r="BJ65119" s="201"/>
    </row>
    <row r="65120" spans="62:62" x14ac:dyDescent="0.2">
      <c r="BJ65120" s="201"/>
    </row>
    <row r="65121" spans="62:62" x14ac:dyDescent="0.2">
      <c r="BJ65121" s="201"/>
    </row>
    <row r="65122" spans="62:62" x14ac:dyDescent="0.2">
      <c r="BJ65122" s="201"/>
    </row>
    <row r="65123" spans="62:62" x14ac:dyDescent="0.2">
      <c r="BJ65123" s="201"/>
    </row>
    <row r="65124" spans="62:62" x14ac:dyDescent="0.2">
      <c r="BJ65124" s="201"/>
    </row>
    <row r="65125" spans="62:62" x14ac:dyDescent="0.2">
      <c r="BJ65125" s="201"/>
    </row>
    <row r="65126" spans="62:62" x14ac:dyDescent="0.2">
      <c r="BJ65126" s="201"/>
    </row>
    <row r="65127" spans="62:62" x14ac:dyDescent="0.2">
      <c r="BJ65127" s="201"/>
    </row>
    <row r="65128" spans="62:62" x14ac:dyDescent="0.2">
      <c r="BJ65128" s="201"/>
    </row>
    <row r="65129" spans="62:62" x14ac:dyDescent="0.2">
      <c r="BJ65129" s="201"/>
    </row>
    <row r="65130" spans="62:62" x14ac:dyDescent="0.2">
      <c r="BJ65130" s="201"/>
    </row>
    <row r="65131" spans="62:62" x14ac:dyDescent="0.2">
      <c r="BJ65131" s="201"/>
    </row>
    <row r="65132" spans="62:62" x14ac:dyDescent="0.2">
      <c r="BJ65132" s="201"/>
    </row>
    <row r="65133" spans="62:62" x14ac:dyDescent="0.2">
      <c r="BJ65133" s="201"/>
    </row>
    <row r="65134" spans="62:62" x14ac:dyDescent="0.2">
      <c r="BJ65134" s="201"/>
    </row>
    <row r="65135" spans="62:62" x14ac:dyDescent="0.2">
      <c r="BJ65135" s="201"/>
    </row>
    <row r="65136" spans="62:62" x14ac:dyDescent="0.2">
      <c r="BJ65136" s="201"/>
    </row>
    <row r="65137" spans="62:62" x14ac:dyDescent="0.2">
      <c r="BJ65137" s="201"/>
    </row>
    <row r="65138" spans="62:62" x14ac:dyDescent="0.2">
      <c r="BJ65138" s="201"/>
    </row>
    <row r="65139" spans="62:62" x14ac:dyDescent="0.2">
      <c r="BJ65139" s="201"/>
    </row>
    <row r="65140" spans="62:62" x14ac:dyDescent="0.2">
      <c r="BJ65140" s="201"/>
    </row>
    <row r="65141" spans="62:62" x14ac:dyDescent="0.2">
      <c r="BJ65141" s="201"/>
    </row>
    <row r="65142" spans="62:62" x14ac:dyDescent="0.2">
      <c r="BJ65142" s="201"/>
    </row>
    <row r="65143" spans="62:62" x14ac:dyDescent="0.2">
      <c r="BJ65143" s="201"/>
    </row>
    <row r="65144" spans="62:62" x14ac:dyDescent="0.2">
      <c r="BJ65144" s="201"/>
    </row>
    <row r="65145" spans="62:62" x14ac:dyDescent="0.2">
      <c r="BJ65145" s="201"/>
    </row>
    <row r="65146" spans="62:62" x14ac:dyDescent="0.2">
      <c r="BJ65146" s="201"/>
    </row>
    <row r="65147" spans="62:62" x14ac:dyDescent="0.2">
      <c r="BJ65147" s="201"/>
    </row>
    <row r="65148" spans="62:62" x14ac:dyDescent="0.2">
      <c r="BJ65148" s="201"/>
    </row>
    <row r="65149" spans="62:62" x14ac:dyDescent="0.2">
      <c r="BJ65149" s="201"/>
    </row>
    <row r="65150" spans="62:62" x14ac:dyDescent="0.2">
      <c r="BJ65150" s="201"/>
    </row>
    <row r="65151" spans="62:62" x14ac:dyDescent="0.2">
      <c r="BJ65151" s="201"/>
    </row>
    <row r="65152" spans="62:62" x14ac:dyDescent="0.2">
      <c r="BJ65152" s="201"/>
    </row>
    <row r="65153" spans="62:62" x14ac:dyDescent="0.2">
      <c r="BJ65153" s="201"/>
    </row>
    <row r="65154" spans="62:62" x14ac:dyDescent="0.2">
      <c r="BJ65154" s="201"/>
    </row>
    <row r="65155" spans="62:62" x14ac:dyDescent="0.2">
      <c r="BJ65155" s="201"/>
    </row>
    <row r="65156" spans="62:62" x14ac:dyDescent="0.2">
      <c r="BJ65156" s="201"/>
    </row>
    <row r="65157" spans="62:62" x14ac:dyDescent="0.2">
      <c r="BJ65157" s="201"/>
    </row>
    <row r="65158" spans="62:62" x14ac:dyDescent="0.2">
      <c r="BJ65158" s="201"/>
    </row>
    <row r="65159" spans="62:62" x14ac:dyDescent="0.2">
      <c r="BJ65159" s="201"/>
    </row>
    <row r="65160" spans="62:62" x14ac:dyDescent="0.2">
      <c r="BJ65160" s="201"/>
    </row>
    <row r="65161" spans="62:62" x14ac:dyDescent="0.2">
      <c r="BJ65161" s="201"/>
    </row>
    <row r="65162" spans="62:62" x14ac:dyDescent="0.2">
      <c r="BJ65162" s="201"/>
    </row>
    <row r="65163" spans="62:62" x14ac:dyDescent="0.2">
      <c r="BJ65163" s="201"/>
    </row>
    <row r="65164" spans="62:62" x14ac:dyDescent="0.2">
      <c r="BJ65164" s="201"/>
    </row>
    <row r="65165" spans="62:62" x14ac:dyDescent="0.2">
      <c r="BJ65165" s="201"/>
    </row>
    <row r="65166" spans="62:62" x14ac:dyDescent="0.2">
      <c r="BJ65166" s="201"/>
    </row>
    <row r="65167" spans="62:62" x14ac:dyDescent="0.2">
      <c r="BJ65167" s="201"/>
    </row>
    <row r="65168" spans="62:62" x14ac:dyDescent="0.2">
      <c r="BJ65168" s="201"/>
    </row>
    <row r="65169" spans="62:62" x14ac:dyDescent="0.2">
      <c r="BJ65169" s="201"/>
    </row>
    <row r="65170" spans="62:62" x14ac:dyDescent="0.2">
      <c r="BJ65170" s="201"/>
    </row>
    <row r="65171" spans="62:62" x14ac:dyDescent="0.2">
      <c r="BJ65171" s="201"/>
    </row>
    <row r="65172" spans="62:62" x14ac:dyDescent="0.2">
      <c r="BJ65172" s="201"/>
    </row>
    <row r="65173" spans="62:62" x14ac:dyDescent="0.2">
      <c r="BJ65173" s="201"/>
    </row>
    <row r="65174" spans="62:62" x14ac:dyDescent="0.2">
      <c r="BJ65174" s="201"/>
    </row>
    <row r="65175" spans="62:62" x14ac:dyDescent="0.2">
      <c r="BJ65175" s="201"/>
    </row>
    <row r="65176" spans="62:62" x14ac:dyDescent="0.2">
      <c r="BJ65176" s="201"/>
    </row>
    <row r="65177" spans="62:62" x14ac:dyDescent="0.2">
      <c r="BJ65177" s="201"/>
    </row>
    <row r="65178" spans="62:62" x14ac:dyDescent="0.2">
      <c r="BJ65178" s="201"/>
    </row>
    <row r="65179" spans="62:62" x14ac:dyDescent="0.2">
      <c r="BJ65179" s="201"/>
    </row>
    <row r="65180" spans="62:62" x14ac:dyDescent="0.2">
      <c r="BJ65180" s="201"/>
    </row>
    <row r="65181" spans="62:62" x14ac:dyDescent="0.2">
      <c r="BJ65181" s="201"/>
    </row>
    <row r="65182" spans="62:62" x14ac:dyDescent="0.2">
      <c r="BJ65182" s="201"/>
    </row>
    <row r="65183" spans="62:62" x14ac:dyDescent="0.2">
      <c r="BJ65183" s="201"/>
    </row>
    <row r="65184" spans="62:62" x14ac:dyDescent="0.2">
      <c r="BJ65184" s="201"/>
    </row>
    <row r="65185" spans="62:62" x14ac:dyDescent="0.2">
      <c r="BJ65185" s="201"/>
    </row>
    <row r="65186" spans="62:62" x14ac:dyDescent="0.2">
      <c r="BJ65186" s="201"/>
    </row>
    <row r="65187" spans="62:62" x14ac:dyDescent="0.2">
      <c r="BJ65187" s="201"/>
    </row>
    <row r="65188" spans="62:62" x14ac:dyDescent="0.2">
      <c r="BJ65188" s="201"/>
    </row>
    <row r="65189" spans="62:62" x14ac:dyDescent="0.2">
      <c r="BJ65189" s="201"/>
    </row>
    <row r="65190" spans="62:62" x14ac:dyDescent="0.2">
      <c r="BJ65190" s="201"/>
    </row>
    <row r="65191" spans="62:62" x14ac:dyDescent="0.2">
      <c r="BJ65191" s="201"/>
    </row>
    <row r="65192" spans="62:62" x14ac:dyDescent="0.2">
      <c r="BJ65192" s="201"/>
    </row>
    <row r="65193" spans="62:62" x14ac:dyDescent="0.2">
      <c r="BJ65193" s="201"/>
    </row>
    <row r="65194" spans="62:62" x14ac:dyDescent="0.2">
      <c r="BJ65194" s="201"/>
    </row>
    <row r="65195" spans="62:62" x14ac:dyDescent="0.2">
      <c r="BJ65195" s="201"/>
    </row>
    <row r="65196" spans="62:62" x14ac:dyDescent="0.2">
      <c r="BJ65196" s="201"/>
    </row>
    <row r="65197" spans="62:62" x14ac:dyDescent="0.2">
      <c r="BJ65197" s="201"/>
    </row>
    <row r="65198" spans="62:62" x14ac:dyDescent="0.2">
      <c r="BJ65198" s="201"/>
    </row>
    <row r="65199" spans="62:62" x14ac:dyDescent="0.2">
      <c r="BJ65199" s="201"/>
    </row>
    <row r="65200" spans="62:62" x14ac:dyDescent="0.2">
      <c r="BJ65200" s="201"/>
    </row>
    <row r="65201" spans="62:62" x14ac:dyDescent="0.2">
      <c r="BJ65201" s="201"/>
    </row>
    <row r="65202" spans="62:62" x14ac:dyDescent="0.2">
      <c r="BJ65202" s="201"/>
    </row>
    <row r="65203" spans="62:62" x14ac:dyDescent="0.2">
      <c r="BJ65203" s="201"/>
    </row>
    <row r="65204" spans="62:62" x14ac:dyDescent="0.2">
      <c r="BJ65204" s="201"/>
    </row>
    <row r="65205" spans="62:62" x14ac:dyDescent="0.2">
      <c r="BJ65205" s="201"/>
    </row>
    <row r="65206" spans="62:62" x14ac:dyDescent="0.2">
      <c r="BJ65206" s="201"/>
    </row>
    <row r="65207" spans="62:62" x14ac:dyDescent="0.2">
      <c r="BJ65207" s="201"/>
    </row>
    <row r="65208" spans="62:62" x14ac:dyDescent="0.2">
      <c r="BJ65208" s="201"/>
    </row>
    <row r="65209" spans="62:62" x14ac:dyDescent="0.2">
      <c r="BJ65209" s="201"/>
    </row>
    <row r="65210" spans="62:62" x14ac:dyDescent="0.2">
      <c r="BJ65210" s="201"/>
    </row>
    <row r="65211" spans="62:62" x14ac:dyDescent="0.2">
      <c r="BJ65211" s="201"/>
    </row>
    <row r="65212" spans="62:62" x14ac:dyDescent="0.2">
      <c r="BJ65212" s="201"/>
    </row>
    <row r="65213" spans="62:62" x14ac:dyDescent="0.2">
      <c r="BJ65213" s="201"/>
    </row>
    <row r="65214" spans="62:62" x14ac:dyDescent="0.2">
      <c r="BJ65214" s="201"/>
    </row>
    <row r="65215" spans="62:62" x14ac:dyDescent="0.2">
      <c r="BJ65215" s="201"/>
    </row>
    <row r="65216" spans="62:62" x14ac:dyDescent="0.2">
      <c r="BJ65216" s="201"/>
    </row>
    <row r="65217" spans="62:62" x14ac:dyDescent="0.2">
      <c r="BJ65217" s="201"/>
    </row>
    <row r="65218" spans="62:62" x14ac:dyDescent="0.2">
      <c r="BJ65218" s="201"/>
    </row>
    <row r="65219" spans="62:62" x14ac:dyDescent="0.2">
      <c r="BJ65219" s="201"/>
    </row>
    <row r="65220" spans="62:62" x14ac:dyDescent="0.2">
      <c r="BJ65220" s="201"/>
    </row>
    <row r="65221" spans="62:62" x14ac:dyDescent="0.2">
      <c r="BJ65221" s="201"/>
    </row>
    <row r="65222" spans="62:62" x14ac:dyDescent="0.2">
      <c r="BJ65222" s="201"/>
    </row>
    <row r="65223" spans="62:62" x14ac:dyDescent="0.2">
      <c r="BJ65223" s="201"/>
    </row>
    <row r="65224" spans="62:62" x14ac:dyDescent="0.2">
      <c r="BJ65224" s="201"/>
    </row>
    <row r="65225" spans="62:62" x14ac:dyDescent="0.2">
      <c r="BJ65225" s="201"/>
    </row>
    <row r="65226" spans="62:62" x14ac:dyDescent="0.2">
      <c r="BJ65226" s="201"/>
    </row>
    <row r="65227" spans="62:62" x14ac:dyDescent="0.2">
      <c r="BJ65227" s="201"/>
    </row>
    <row r="65228" spans="62:62" x14ac:dyDescent="0.2">
      <c r="BJ65228" s="201"/>
    </row>
    <row r="65229" spans="62:62" x14ac:dyDescent="0.2">
      <c r="BJ65229" s="201"/>
    </row>
    <row r="65230" spans="62:62" x14ac:dyDescent="0.2">
      <c r="BJ65230" s="201"/>
    </row>
    <row r="65231" spans="62:62" x14ac:dyDescent="0.2">
      <c r="BJ65231" s="201"/>
    </row>
    <row r="65232" spans="62:62" x14ac:dyDescent="0.2">
      <c r="BJ65232" s="201"/>
    </row>
    <row r="65233" spans="62:62" x14ac:dyDescent="0.2">
      <c r="BJ65233" s="201"/>
    </row>
    <row r="65234" spans="62:62" x14ac:dyDescent="0.2">
      <c r="BJ65234" s="201"/>
    </row>
    <row r="65235" spans="62:62" x14ac:dyDescent="0.2">
      <c r="BJ65235" s="201"/>
    </row>
    <row r="65236" spans="62:62" x14ac:dyDescent="0.2">
      <c r="BJ65236" s="201"/>
    </row>
    <row r="65237" spans="62:62" x14ac:dyDescent="0.2">
      <c r="BJ65237" s="201"/>
    </row>
    <row r="65238" spans="62:62" x14ac:dyDescent="0.2">
      <c r="BJ65238" s="201"/>
    </row>
    <row r="65239" spans="62:62" x14ac:dyDescent="0.2">
      <c r="BJ65239" s="201"/>
    </row>
    <row r="65240" spans="62:62" x14ac:dyDescent="0.2">
      <c r="BJ65240" s="201"/>
    </row>
    <row r="65241" spans="62:62" x14ac:dyDescent="0.2">
      <c r="BJ65241" s="201"/>
    </row>
    <row r="65242" spans="62:62" x14ac:dyDescent="0.2">
      <c r="BJ65242" s="201"/>
    </row>
    <row r="65243" spans="62:62" x14ac:dyDescent="0.2">
      <c r="BJ65243" s="201"/>
    </row>
    <row r="65244" spans="62:62" x14ac:dyDescent="0.2">
      <c r="BJ65244" s="201"/>
    </row>
    <row r="65245" spans="62:62" x14ac:dyDescent="0.2">
      <c r="BJ65245" s="201"/>
    </row>
    <row r="65246" spans="62:62" x14ac:dyDescent="0.2">
      <c r="BJ65246" s="201"/>
    </row>
    <row r="65247" spans="62:62" x14ac:dyDescent="0.2">
      <c r="BJ65247" s="201"/>
    </row>
    <row r="65248" spans="62:62" x14ac:dyDescent="0.2">
      <c r="BJ65248" s="201"/>
    </row>
    <row r="65249" spans="62:62" x14ac:dyDescent="0.2">
      <c r="BJ65249" s="201"/>
    </row>
    <row r="65250" spans="62:62" x14ac:dyDescent="0.2">
      <c r="BJ65250" s="201"/>
    </row>
    <row r="65251" spans="62:62" x14ac:dyDescent="0.2">
      <c r="BJ65251" s="201"/>
    </row>
    <row r="65252" spans="62:62" x14ac:dyDescent="0.2">
      <c r="BJ65252" s="201"/>
    </row>
    <row r="65253" spans="62:62" x14ac:dyDescent="0.2">
      <c r="BJ65253" s="201"/>
    </row>
    <row r="65254" spans="62:62" x14ac:dyDescent="0.2">
      <c r="BJ65254" s="201"/>
    </row>
    <row r="65255" spans="62:62" x14ac:dyDescent="0.2">
      <c r="BJ65255" s="201"/>
    </row>
    <row r="65256" spans="62:62" x14ac:dyDescent="0.2">
      <c r="BJ65256" s="201"/>
    </row>
    <row r="65257" spans="62:62" x14ac:dyDescent="0.2">
      <c r="BJ65257" s="201"/>
    </row>
    <row r="65258" spans="62:62" x14ac:dyDescent="0.2">
      <c r="BJ65258" s="201"/>
    </row>
    <row r="65259" spans="62:62" x14ac:dyDescent="0.2">
      <c r="BJ65259" s="201"/>
    </row>
    <row r="65260" spans="62:62" x14ac:dyDescent="0.2">
      <c r="BJ65260" s="201"/>
    </row>
    <row r="65261" spans="62:62" x14ac:dyDescent="0.2">
      <c r="BJ65261" s="201"/>
    </row>
    <row r="65262" spans="62:62" x14ac:dyDescent="0.2">
      <c r="BJ65262" s="201"/>
    </row>
    <row r="65263" spans="62:62" x14ac:dyDescent="0.2">
      <c r="BJ65263" s="201"/>
    </row>
    <row r="65264" spans="62:62" x14ac:dyDescent="0.2">
      <c r="BJ65264" s="201"/>
    </row>
    <row r="65265" spans="62:62" x14ac:dyDescent="0.2">
      <c r="BJ65265" s="201"/>
    </row>
    <row r="65266" spans="62:62" x14ac:dyDescent="0.2">
      <c r="BJ65266" s="201"/>
    </row>
    <row r="65267" spans="62:62" x14ac:dyDescent="0.2">
      <c r="BJ65267" s="201"/>
    </row>
    <row r="65268" spans="62:62" x14ac:dyDescent="0.2">
      <c r="BJ65268" s="201"/>
    </row>
    <row r="65269" spans="62:62" x14ac:dyDescent="0.2">
      <c r="BJ65269" s="201"/>
    </row>
    <row r="65270" spans="62:62" x14ac:dyDescent="0.2">
      <c r="BJ65270" s="201"/>
    </row>
    <row r="65271" spans="62:62" x14ac:dyDescent="0.2">
      <c r="BJ65271" s="201"/>
    </row>
    <row r="65272" spans="62:62" x14ac:dyDescent="0.2">
      <c r="BJ65272" s="201"/>
    </row>
    <row r="65273" spans="62:62" x14ac:dyDescent="0.2">
      <c r="BJ65273" s="201"/>
    </row>
    <row r="65274" spans="62:62" x14ac:dyDescent="0.2">
      <c r="BJ65274" s="201"/>
    </row>
    <row r="65275" spans="62:62" x14ac:dyDescent="0.2">
      <c r="BJ65275" s="201"/>
    </row>
    <row r="65276" spans="62:62" x14ac:dyDescent="0.2">
      <c r="BJ65276" s="201"/>
    </row>
    <row r="65277" spans="62:62" x14ac:dyDescent="0.2">
      <c r="BJ65277" s="201"/>
    </row>
    <row r="65278" spans="62:62" x14ac:dyDescent="0.2">
      <c r="BJ65278" s="201"/>
    </row>
    <row r="65279" spans="62:62" x14ac:dyDescent="0.2">
      <c r="BJ65279" s="201"/>
    </row>
    <row r="65280" spans="62:62" x14ac:dyDescent="0.2">
      <c r="BJ65280" s="201"/>
    </row>
    <row r="65281" spans="62:62" x14ac:dyDescent="0.2">
      <c r="BJ65281" s="201"/>
    </row>
    <row r="65282" spans="62:62" x14ac:dyDescent="0.2">
      <c r="BJ65282" s="201"/>
    </row>
    <row r="65283" spans="62:62" x14ac:dyDescent="0.2">
      <c r="BJ65283" s="201"/>
    </row>
    <row r="65284" spans="62:62" x14ac:dyDescent="0.2">
      <c r="BJ65284" s="201"/>
    </row>
    <row r="65285" spans="62:62" x14ac:dyDescent="0.2">
      <c r="BJ65285" s="201"/>
    </row>
    <row r="65286" spans="62:62" x14ac:dyDescent="0.2">
      <c r="BJ65286" s="201"/>
    </row>
    <row r="65287" spans="62:62" x14ac:dyDescent="0.2">
      <c r="BJ65287" s="201"/>
    </row>
    <row r="65288" spans="62:62" x14ac:dyDescent="0.2">
      <c r="BJ65288" s="201"/>
    </row>
    <row r="65289" spans="62:62" x14ac:dyDescent="0.2">
      <c r="BJ65289" s="201"/>
    </row>
    <row r="65290" spans="62:62" x14ac:dyDescent="0.2">
      <c r="BJ65290" s="201"/>
    </row>
    <row r="65291" spans="62:62" x14ac:dyDescent="0.2">
      <c r="BJ65291" s="201"/>
    </row>
    <row r="65292" spans="62:62" x14ac:dyDescent="0.2">
      <c r="BJ65292" s="201"/>
    </row>
    <row r="65293" spans="62:62" x14ac:dyDescent="0.2">
      <c r="BJ65293" s="201"/>
    </row>
    <row r="65294" spans="62:62" x14ac:dyDescent="0.2">
      <c r="BJ65294" s="201"/>
    </row>
    <row r="65295" spans="62:62" x14ac:dyDescent="0.2">
      <c r="BJ65295" s="201"/>
    </row>
    <row r="65296" spans="62:62" x14ac:dyDescent="0.2">
      <c r="BJ65296" s="201"/>
    </row>
    <row r="65297" spans="62:62" x14ac:dyDescent="0.2">
      <c r="BJ65297" s="201"/>
    </row>
    <row r="65298" spans="62:62" x14ac:dyDescent="0.2">
      <c r="BJ65298" s="201"/>
    </row>
    <row r="65299" spans="62:62" x14ac:dyDescent="0.2">
      <c r="BJ65299" s="201"/>
    </row>
    <row r="65300" spans="62:62" x14ac:dyDescent="0.2">
      <c r="BJ65300" s="201"/>
    </row>
    <row r="65301" spans="62:62" x14ac:dyDescent="0.2">
      <c r="BJ65301" s="201"/>
    </row>
    <row r="65302" spans="62:62" x14ac:dyDescent="0.2">
      <c r="BJ65302" s="201"/>
    </row>
    <row r="65303" spans="62:62" x14ac:dyDescent="0.2">
      <c r="BJ65303" s="201"/>
    </row>
    <row r="65304" spans="62:62" x14ac:dyDescent="0.2">
      <c r="BJ65304" s="201"/>
    </row>
    <row r="65305" spans="62:62" x14ac:dyDescent="0.2">
      <c r="BJ65305" s="201"/>
    </row>
    <row r="65306" spans="62:62" x14ac:dyDescent="0.2">
      <c r="BJ65306" s="201"/>
    </row>
    <row r="65307" spans="62:62" x14ac:dyDescent="0.2">
      <c r="BJ65307" s="201"/>
    </row>
    <row r="65308" spans="62:62" x14ac:dyDescent="0.2">
      <c r="BJ65308" s="201"/>
    </row>
    <row r="65309" spans="62:62" x14ac:dyDescent="0.2">
      <c r="BJ65309" s="201"/>
    </row>
    <row r="65310" spans="62:62" x14ac:dyDescent="0.2">
      <c r="BJ65310" s="201"/>
    </row>
    <row r="65311" spans="62:62" x14ac:dyDescent="0.2">
      <c r="BJ65311" s="201"/>
    </row>
    <row r="65312" spans="62:62" x14ac:dyDescent="0.2">
      <c r="BJ65312" s="201"/>
    </row>
    <row r="65313" spans="62:62" x14ac:dyDescent="0.2">
      <c r="BJ65313" s="201"/>
    </row>
    <row r="65314" spans="62:62" x14ac:dyDescent="0.2">
      <c r="BJ65314" s="201"/>
    </row>
    <row r="65315" spans="62:62" x14ac:dyDescent="0.2">
      <c r="BJ65315" s="201"/>
    </row>
    <row r="65316" spans="62:62" x14ac:dyDescent="0.2">
      <c r="BJ65316" s="201"/>
    </row>
    <row r="65317" spans="62:62" x14ac:dyDescent="0.2">
      <c r="BJ65317" s="201"/>
    </row>
    <row r="65318" spans="62:62" x14ac:dyDescent="0.2">
      <c r="BJ65318" s="201"/>
    </row>
    <row r="65319" spans="62:62" x14ac:dyDescent="0.2">
      <c r="BJ65319" s="201"/>
    </row>
    <row r="65320" spans="62:62" x14ac:dyDescent="0.2">
      <c r="BJ65320" s="201"/>
    </row>
    <row r="65321" spans="62:62" x14ac:dyDescent="0.2">
      <c r="BJ65321" s="201"/>
    </row>
    <row r="65322" spans="62:62" x14ac:dyDescent="0.2">
      <c r="BJ65322" s="201"/>
    </row>
    <row r="65323" spans="62:62" x14ac:dyDescent="0.2">
      <c r="BJ65323" s="201"/>
    </row>
    <row r="65324" spans="62:62" x14ac:dyDescent="0.2">
      <c r="BJ65324" s="201"/>
    </row>
    <row r="65325" spans="62:62" x14ac:dyDescent="0.2">
      <c r="BJ65325" s="201"/>
    </row>
    <row r="65326" spans="62:62" x14ac:dyDescent="0.2">
      <c r="BJ65326" s="201"/>
    </row>
    <row r="65327" spans="62:62" x14ac:dyDescent="0.2">
      <c r="BJ65327" s="201"/>
    </row>
    <row r="65328" spans="62:62" x14ac:dyDescent="0.2">
      <c r="BJ65328" s="201"/>
    </row>
    <row r="65329" spans="62:62" x14ac:dyDescent="0.2">
      <c r="BJ65329" s="201"/>
    </row>
    <row r="65330" spans="62:62" x14ac:dyDescent="0.2">
      <c r="BJ65330" s="201"/>
    </row>
    <row r="65331" spans="62:62" x14ac:dyDescent="0.2">
      <c r="BJ65331" s="201"/>
    </row>
    <row r="65332" spans="62:62" x14ac:dyDescent="0.2">
      <c r="BJ65332" s="201"/>
    </row>
    <row r="65333" spans="62:62" x14ac:dyDescent="0.2">
      <c r="BJ65333" s="201"/>
    </row>
    <row r="65334" spans="62:62" x14ac:dyDescent="0.2">
      <c r="BJ65334" s="201"/>
    </row>
    <row r="65335" spans="62:62" x14ac:dyDescent="0.2">
      <c r="BJ65335" s="201"/>
    </row>
    <row r="65336" spans="62:62" x14ac:dyDescent="0.2">
      <c r="BJ65336" s="201"/>
    </row>
    <row r="65337" spans="62:62" x14ac:dyDescent="0.2">
      <c r="BJ65337" s="201"/>
    </row>
    <row r="65338" spans="62:62" x14ac:dyDescent="0.2">
      <c r="BJ65338" s="201"/>
    </row>
    <row r="65339" spans="62:62" x14ac:dyDescent="0.2">
      <c r="BJ65339" s="201"/>
    </row>
    <row r="65340" spans="62:62" x14ac:dyDescent="0.2">
      <c r="BJ65340" s="201"/>
    </row>
    <row r="65341" spans="62:62" x14ac:dyDescent="0.2">
      <c r="BJ65341" s="201"/>
    </row>
    <row r="65342" spans="62:62" x14ac:dyDescent="0.2">
      <c r="BJ65342" s="201"/>
    </row>
    <row r="65343" spans="62:62" x14ac:dyDescent="0.2">
      <c r="BJ65343" s="201"/>
    </row>
    <row r="65344" spans="62:62" x14ac:dyDescent="0.2">
      <c r="BJ65344" s="201"/>
    </row>
    <row r="65345" spans="62:62" x14ac:dyDescent="0.2">
      <c r="BJ65345" s="201"/>
    </row>
    <row r="65346" spans="62:62" x14ac:dyDescent="0.2">
      <c r="BJ65346" s="201"/>
    </row>
    <row r="65347" spans="62:62" x14ac:dyDescent="0.2">
      <c r="BJ65347" s="201"/>
    </row>
    <row r="65348" spans="62:62" x14ac:dyDescent="0.2">
      <c r="BJ65348" s="201"/>
    </row>
    <row r="65349" spans="62:62" x14ac:dyDescent="0.2">
      <c r="BJ65349" s="201"/>
    </row>
    <row r="65350" spans="62:62" x14ac:dyDescent="0.2">
      <c r="BJ65350" s="201"/>
    </row>
    <row r="65351" spans="62:62" x14ac:dyDescent="0.2">
      <c r="BJ65351" s="201"/>
    </row>
    <row r="65352" spans="62:62" x14ac:dyDescent="0.2">
      <c r="BJ65352" s="201"/>
    </row>
    <row r="65353" spans="62:62" x14ac:dyDescent="0.2">
      <c r="BJ65353" s="201"/>
    </row>
    <row r="65354" spans="62:62" x14ac:dyDescent="0.2">
      <c r="BJ65354" s="201"/>
    </row>
    <row r="65355" spans="62:62" x14ac:dyDescent="0.2">
      <c r="BJ65355" s="201"/>
    </row>
    <row r="65356" spans="62:62" x14ac:dyDescent="0.2">
      <c r="BJ65356" s="201"/>
    </row>
    <row r="65357" spans="62:62" x14ac:dyDescent="0.2">
      <c r="BJ65357" s="201"/>
    </row>
    <row r="65358" spans="62:62" x14ac:dyDescent="0.2">
      <c r="BJ65358" s="201"/>
    </row>
    <row r="65359" spans="62:62" x14ac:dyDescent="0.2">
      <c r="BJ65359" s="201"/>
    </row>
    <row r="65360" spans="62:62" x14ac:dyDescent="0.2">
      <c r="BJ65360" s="201"/>
    </row>
    <row r="65361" spans="62:62" x14ac:dyDescent="0.2">
      <c r="BJ65361" s="201"/>
    </row>
    <row r="65362" spans="62:62" x14ac:dyDescent="0.2">
      <c r="BJ65362" s="201"/>
    </row>
    <row r="65363" spans="62:62" x14ac:dyDescent="0.2">
      <c r="BJ65363" s="201"/>
    </row>
    <row r="65364" spans="62:62" x14ac:dyDescent="0.2">
      <c r="BJ65364" s="201"/>
    </row>
    <row r="65365" spans="62:62" x14ac:dyDescent="0.2">
      <c r="BJ65365" s="201"/>
    </row>
    <row r="65366" spans="62:62" x14ac:dyDescent="0.2">
      <c r="BJ65366" s="201"/>
    </row>
    <row r="65367" spans="62:62" x14ac:dyDescent="0.2">
      <c r="BJ65367" s="201"/>
    </row>
    <row r="65368" spans="62:62" x14ac:dyDescent="0.2">
      <c r="BJ65368" s="201"/>
    </row>
    <row r="65369" spans="62:62" x14ac:dyDescent="0.2">
      <c r="BJ65369" s="201"/>
    </row>
    <row r="65370" spans="62:62" x14ac:dyDescent="0.2">
      <c r="BJ65370" s="201"/>
    </row>
    <row r="65371" spans="62:62" x14ac:dyDescent="0.2">
      <c r="BJ65371" s="201"/>
    </row>
    <row r="65372" spans="62:62" x14ac:dyDescent="0.2">
      <c r="BJ65372" s="201"/>
    </row>
    <row r="65373" spans="62:62" x14ac:dyDescent="0.2">
      <c r="BJ65373" s="201"/>
    </row>
    <row r="65374" spans="62:62" x14ac:dyDescent="0.2">
      <c r="BJ65374" s="201"/>
    </row>
    <row r="65375" spans="62:62" x14ac:dyDescent="0.2">
      <c r="BJ65375" s="201"/>
    </row>
    <row r="65376" spans="62:62" x14ac:dyDescent="0.2">
      <c r="BJ65376" s="201"/>
    </row>
    <row r="65377" spans="62:62" x14ac:dyDescent="0.2">
      <c r="BJ65377" s="201"/>
    </row>
    <row r="65378" spans="62:62" x14ac:dyDescent="0.2">
      <c r="BJ65378" s="201"/>
    </row>
    <row r="65379" spans="62:62" x14ac:dyDescent="0.2">
      <c r="BJ65379" s="201"/>
    </row>
    <row r="65380" spans="62:62" x14ac:dyDescent="0.2">
      <c r="BJ65380" s="201"/>
    </row>
    <row r="65381" spans="62:62" x14ac:dyDescent="0.2">
      <c r="BJ65381" s="201"/>
    </row>
    <row r="65382" spans="62:62" x14ac:dyDescent="0.2">
      <c r="BJ65382" s="201"/>
    </row>
    <row r="65383" spans="62:62" x14ac:dyDescent="0.2">
      <c r="BJ65383" s="201"/>
    </row>
    <row r="65384" spans="62:62" x14ac:dyDescent="0.2">
      <c r="BJ65384" s="201"/>
    </row>
    <row r="65385" spans="62:62" x14ac:dyDescent="0.2">
      <c r="BJ65385" s="201"/>
    </row>
    <row r="65386" spans="62:62" x14ac:dyDescent="0.2">
      <c r="BJ65386" s="201"/>
    </row>
    <row r="65387" spans="62:62" x14ac:dyDescent="0.2">
      <c r="BJ65387" s="201"/>
    </row>
    <row r="65388" spans="62:62" x14ac:dyDescent="0.2">
      <c r="BJ65388" s="201"/>
    </row>
    <row r="65389" spans="62:62" x14ac:dyDescent="0.2">
      <c r="BJ65389" s="201"/>
    </row>
    <row r="65390" spans="62:62" x14ac:dyDescent="0.2">
      <c r="BJ65390" s="201"/>
    </row>
    <row r="65391" spans="62:62" x14ac:dyDescent="0.2">
      <c r="BJ65391" s="201"/>
    </row>
    <row r="65392" spans="62:62" x14ac:dyDescent="0.2">
      <c r="BJ65392" s="201"/>
    </row>
    <row r="65393" spans="62:62" x14ac:dyDescent="0.2">
      <c r="BJ65393" s="201"/>
    </row>
    <row r="65394" spans="62:62" x14ac:dyDescent="0.2">
      <c r="BJ65394" s="201"/>
    </row>
    <row r="65395" spans="62:62" x14ac:dyDescent="0.2">
      <c r="BJ65395" s="201"/>
    </row>
    <row r="65396" spans="62:62" x14ac:dyDescent="0.2">
      <c r="BJ65396" s="201"/>
    </row>
    <row r="65397" spans="62:62" x14ac:dyDescent="0.2">
      <c r="BJ65397" s="201"/>
    </row>
    <row r="65398" spans="62:62" x14ac:dyDescent="0.2">
      <c r="BJ65398" s="201"/>
    </row>
    <row r="65399" spans="62:62" x14ac:dyDescent="0.2">
      <c r="BJ65399" s="201"/>
    </row>
    <row r="65400" spans="62:62" x14ac:dyDescent="0.2">
      <c r="BJ65400" s="201"/>
    </row>
    <row r="65401" spans="62:62" x14ac:dyDescent="0.2">
      <c r="BJ65401" s="201"/>
    </row>
    <row r="65402" spans="62:62" x14ac:dyDescent="0.2">
      <c r="BJ65402" s="201"/>
    </row>
    <row r="65403" spans="62:62" x14ac:dyDescent="0.2">
      <c r="BJ65403" s="201"/>
    </row>
    <row r="65404" spans="62:62" x14ac:dyDescent="0.2">
      <c r="BJ65404" s="201"/>
    </row>
    <row r="65405" spans="62:62" x14ac:dyDescent="0.2">
      <c r="BJ65405" s="201"/>
    </row>
    <row r="65406" spans="62:62" x14ac:dyDescent="0.2">
      <c r="BJ65406" s="201"/>
    </row>
    <row r="65407" spans="62:62" x14ac:dyDescent="0.2">
      <c r="BJ65407" s="201"/>
    </row>
    <row r="65408" spans="62:62" x14ac:dyDescent="0.2">
      <c r="BJ65408" s="201"/>
    </row>
    <row r="65409" spans="62:62" x14ac:dyDescent="0.2">
      <c r="BJ65409" s="201"/>
    </row>
    <row r="65410" spans="62:62" x14ac:dyDescent="0.2">
      <c r="BJ65410" s="201"/>
    </row>
    <row r="65411" spans="62:62" x14ac:dyDescent="0.2">
      <c r="BJ65411" s="201"/>
    </row>
    <row r="65412" spans="62:62" x14ac:dyDescent="0.2">
      <c r="BJ65412" s="201"/>
    </row>
    <row r="65413" spans="62:62" x14ac:dyDescent="0.2">
      <c r="BJ65413" s="201"/>
    </row>
    <row r="65414" spans="62:62" x14ac:dyDescent="0.2">
      <c r="BJ65414" s="201"/>
    </row>
    <row r="65415" spans="62:62" x14ac:dyDescent="0.2">
      <c r="BJ65415" s="201"/>
    </row>
    <row r="65416" spans="62:62" x14ac:dyDescent="0.2">
      <c r="BJ65416" s="201"/>
    </row>
    <row r="65417" spans="62:62" x14ac:dyDescent="0.2">
      <c r="BJ65417" s="201"/>
    </row>
    <row r="65418" spans="62:62" x14ac:dyDescent="0.2">
      <c r="BJ65418" s="201"/>
    </row>
    <row r="65419" spans="62:62" x14ac:dyDescent="0.2">
      <c r="BJ65419" s="201"/>
    </row>
    <row r="65420" spans="62:62" x14ac:dyDescent="0.2">
      <c r="BJ65420" s="201"/>
    </row>
    <row r="65421" spans="62:62" x14ac:dyDescent="0.2">
      <c r="BJ65421" s="201"/>
    </row>
    <row r="65422" spans="62:62" x14ac:dyDescent="0.2">
      <c r="BJ65422" s="201"/>
    </row>
    <row r="65423" spans="62:62" x14ac:dyDescent="0.2">
      <c r="BJ65423" s="201"/>
    </row>
    <row r="65424" spans="62:62" x14ac:dyDescent="0.2">
      <c r="BJ65424" s="201"/>
    </row>
    <row r="65425" spans="62:62" x14ac:dyDescent="0.2">
      <c r="BJ65425" s="201"/>
    </row>
    <row r="65426" spans="62:62" x14ac:dyDescent="0.2">
      <c r="BJ65426" s="201"/>
    </row>
    <row r="65427" spans="62:62" x14ac:dyDescent="0.2">
      <c r="BJ65427" s="201"/>
    </row>
    <row r="65428" spans="62:62" x14ac:dyDescent="0.2">
      <c r="BJ65428" s="201"/>
    </row>
    <row r="65429" spans="62:62" x14ac:dyDescent="0.2">
      <c r="BJ65429" s="201"/>
    </row>
    <row r="65430" spans="62:62" x14ac:dyDescent="0.2">
      <c r="BJ65430" s="201"/>
    </row>
    <row r="65431" spans="62:62" x14ac:dyDescent="0.2">
      <c r="BJ65431" s="201"/>
    </row>
    <row r="65432" spans="62:62" x14ac:dyDescent="0.2">
      <c r="BJ65432" s="201"/>
    </row>
    <row r="65433" spans="62:62" x14ac:dyDescent="0.2">
      <c r="BJ65433" s="201"/>
    </row>
    <row r="65434" spans="62:62" x14ac:dyDescent="0.2">
      <c r="BJ65434" s="201"/>
    </row>
    <row r="65435" spans="62:62" x14ac:dyDescent="0.2">
      <c r="BJ65435" s="201"/>
    </row>
    <row r="65436" spans="62:62" x14ac:dyDescent="0.2">
      <c r="BJ65436" s="201"/>
    </row>
    <row r="65437" spans="62:62" x14ac:dyDescent="0.2">
      <c r="BJ65437" s="201"/>
    </row>
    <row r="65438" spans="62:62" x14ac:dyDescent="0.2">
      <c r="BJ65438" s="201"/>
    </row>
    <row r="65439" spans="62:62" x14ac:dyDescent="0.2">
      <c r="BJ65439" s="201"/>
    </row>
    <row r="65440" spans="62:62" x14ac:dyDescent="0.2">
      <c r="BJ65440" s="201"/>
    </row>
    <row r="65441" spans="62:62" x14ac:dyDescent="0.2">
      <c r="BJ65441" s="201"/>
    </row>
    <row r="65442" spans="62:62" x14ac:dyDescent="0.2">
      <c r="BJ65442" s="201"/>
    </row>
    <row r="65443" spans="62:62" x14ac:dyDescent="0.2">
      <c r="BJ65443" s="201"/>
    </row>
    <row r="65444" spans="62:62" x14ac:dyDescent="0.2">
      <c r="BJ65444" s="201"/>
    </row>
    <row r="65445" spans="62:62" x14ac:dyDescent="0.2">
      <c r="BJ65445" s="201"/>
    </row>
    <row r="65446" spans="62:62" x14ac:dyDescent="0.2">
      <c r="BJ65446" s="201"/>
    </row>
    <row r="65447" spans="62:62" x14ac:dyDescent="0.2">
      <c r="BJ65447" s="201"/>
    </row>
    <row r="65448" spans="62:62" x14ac:dyDescent="0.2">
      <c r="BJ65448" s="201"/>
    </row>
    <row r="65449" spans="62:62" x14ac:dyDescent="0.2">
      <c r="BJ65449" s="201"/>
    </row>
    <row r="65450" spans="62:62" x14ac:dyDescent="0.2">
      <c r="BJ65450" s="201"/>
    </row>
    <row r="65451" spans="62:62" x14ac:dyDescent="0.2">
      <c r="BJ65451" s="201"/>
    </row>
    <row r="65452" spans="62:62" x14ac:dyDescent="0.2">
      <c r="BJ65452" s="201"/>
    </row>
    <row r="65453" spans="62:62" x14ac:dyDescent="0.2">
      <c r="BJ65453" s="201"/>
    </row>
    <row r="65454" spans="62:62" x14ac:dyDescent="0.2">
      <c r="BJ65454" s="201"/>
    </row>
    <row r="65455" spans="62:62" x14ac:dyDescent="0.2">
      <c r="BJ65455" s="201"/>
    </row>
    <row r="65456" spans="62:62" x14ac:dyDescent="0.2">
      <c r="BJ65456" s="201"/>
    </row>
    <row r="65457" spans="62:62" x14ac:dyDescent="0.2">
      <c r="BJ65457" s="201"/>
    </row>
    <row r="65458" spans="62:62" x14ac:dyDescent="0.2">
      <c r="BJ65458" s="201"/>
    </row>
    <row r="65459" spans="62:62" x14ac:dyDescent="0.2">
      <c r="BJ65459" s="201"/>
    </row>
    <row r="65460" spans="62:62" x14ac:dyDescent="0.2">
      <c r="BJ65460" s="201"/>
    </row>
    <row r="65461" spans="62:62" x14ac:dyDescent="0.2">
      <c r="BJ65461" s="201"/>
    </row>
    <row r="65462" spans="62:62" x14ac:dyDescent="0.2">
      <c r="BJ65462" s="201"/>
    </row>
    <row r="65463" spans="62:62" x14ac:dyDescent="0.2">
      <c r="BJ65463" s="201"/>
    </row>
    <row r="65464" spans="62:62" x14ac:dyDescent="0.2">
      <c r="BJ65464" s="201"/>
    </row>
    <row r="65465" spans="62:62" x14ac:dyDescent="0.2">
      <c r="BJ65465" s="201"/>
    </row>
    <row r="65466" spans="62:62" x14ac:dyDescent="0.2">
      <c r="BJ65466" s="201"/>
    </row>
    <row r="65467" spans="62:62" x14ac:dyDescent="0.2">
      <c r="BJ65467" s="201"/>
    </row>
    <row r="65468" spans="62:62" x14ac:dyDescent="0.2">
      <c r="BJ65468" s="201"/>
    </row>
    <row r="65469" spans="62:62" x14ac:dyDescent="0.2">
      <c r="BJ65469" s="201"/>
    </row>
    <row r="65470" spans="62:62" x14ac:dyDescent="0.2">
      <c r="BJ65470" s="201"/>
    </row>
    <row r="65471" spans="62:62" x14ac:dyDescent="0.2">
      <c r="BJ65471" s="201"/>
    </row>
    <row r="65472" spans="62:62" x14ac:dyDescent="0.2">
      <c r="BJ65472" s="201"/>
    </row>
    <row r="65473" spans="62:62" x14ac:dyDescent="0.2">
      <c r="BJ65473" s="201"/>
    </row>
    <row r="65474" spans="62:62" x14ac:dyDescent="0.2">
      <c r="BJ65474" s="201"/>
    </row>
    <row r="65475" spans="62:62" x14ac:dyDescent="0.2">
      <c r="BJ65475" s="201"/>
    </row>
    <row r="65476" spans="62:62" x14ac:dyDescent="0.2">
      <c r="BJ65476" s="201"/>
    </row>
    <row r="65477" spans="62:62" x14ac:dyDescent="0.2">
      <c r="BJ65477" s="201"/>
    </row>
    <row r="65478" spans="62:62" x14ac:dyDescent="0.2">
      <c r="BJ65478" s="201"/>
    </row>
    <row r="65479" spans="62:62" x14ac:dyDescent="0.2">
      <c r="BJ65479" s="201"/>
    </row>
    <row r="65480" spans="62:62" x14ac:dyDescent="0.2">
      <c r="BJ65480" s="201"/>
    </row>
    <row r="65481" spans="62:62" x14ac:dyDescent="0.2">
      <c r="BJ65481" s="201"/>
    </row>
    <row r="65482" spans="62:62" x14ac:dyDescent="0.2">
      <c r="BJ65482" s="201"/>
    </row>
    <row r="65483" spans="62:62" x14ac:dyDescent="0.2">
      <c r="BJ65483" s="201"/>
    </row>
    <row r="65484" spans="62:62" x14ac:dyDescent="0.2">
      <c r="BJ65484" s="201"/>
    </row>
    <row r="65485" spans="62:62" x14ac:dyDescent="0.2">
      <c r="BJ65485" s="201"/>
    </row>
    <row r="65486" spans="62:62" x14ac:dyDescent="0.2">
      <c r="BJ65486" s="201"/>
    </row>
    <row r="65487" spans="62:62" x14ac:dyDescent="0.2">
      <c r="BJ65487" s="201"/>
    </row>
    <row r="65488" spans="62:62" x14ac:dyDescent="0.2">
      <c r="BJ65488" s="201"/>
    </row>
    <row r="65489" spans="62:62" x14ac:dyDescent="0.2">
      <c r="BJ65489" s="201"/>
    </row>
    <row r="65490" spans="62:62" x14ac:dyDescent="0.2">
      <c r="BJ65490" s="201"/>
    </row>
    <row r="65491" spans="62:62" x14ac:dyDescent="0.2">
      <c r="BJ65491" s="201"/>
    </row>
    <row r="65492" spans="62:62" x14ac:dyDescent="0.2">
      <c r="BJ65492" s="201"/>
    </row>
    <row r="65493" spans="62:62" x14ac:dyDescent="0.2">
      <c r="BJ65493" s="201"/>
    </row>
    <row r="65494" spans="62:62" x14ac:dyDescent="0.2">
      <c r="BJ65494" s="201"/>
    </row>
    <row r="65495" spans="62:62" x14ac:dyDescent="0.2">
      <c r="BJ65495" s="201"/>
    </row>
    <row r="65496" spans="62:62" x14ac:dyDescent="0.2">
      <c r="BJ65496" s="201"/>
    </row>
    <row r="65497" spans="62:62" x14ac:dyDescent="0.2">
      <c r="BJ65497" s="201"/>
    </row>
    <row r="65498" spans="62:62" x14ac:dyDescent="0.2">
      <c r="BJ65498" s="201"/>
    </row>
    <row r="65499" spans="62:62" x14ac:dyDescent="0.2">
      <c r="BJ65499" s="201"/>
    </row>
    <row r="65500" spans="62:62" x14ac:dyDescent="0.2">
      <c r="BJ65500" s="201"/>
    </row>
    <row r="65501" spans="62:62" x14ac:dyDescent="0.2">
      <c r="BJ65501" s="201"/>
    </row>
    <row r="65502" spans="62:62" x14ac:dyDescent="0.2">
      <c r="BJ65502" s="201"/>
    </row>
    <row r="65503" spans="62:62" x14ac:dyDescent="0.2">
      <c r="BJ65503" s="201"/>
    </row>
    <row r="65504" spans="62:62" x14ac:dyDescent="0.2">
      <c r="BJ65504" s="201"/>
    </row>
    <row r="65505" spans="62:62" x14ac:dyDescent="0.2">
      <c r="BJ65505" s="201"/>
    </row>
    <row r="65506" spans="62:62" x14ac:dyDescent="0.2">
      <c r="BJ65506" s="201"/>
    </row>
    <row r="65507" spans="62:62" x14ac:dyDescent="0.2">
      <c r="BJ65507" s="201"/>
    </row>
    <row r="65508" spans="62:62" x14ac:dyDescent="0.2">
      <c r="BJ65508" s="201"/>
    </row>
    <row r="65509" spans="62:62" x14ac:dyDescent="0.2">
      <c r="BJ65509" s="201"/>
    </row>
    <row r="65510" spans="62:62" x14ac:dyDescent="0.2">
      <c r="BJ65510" s="201"/>
    </row>
    <row r="65511" spans="62:62" x14ac:dyDescent="0.2">
      <c r="BJ65511" s="201"/>
    </row>
    <row r="65512" spans="62:62" x14ac:dyDescent="0.2">
      <c r="BJ65512" s="201"/>
    </row>
    <row r="65513" spans="62:62" x14ac:dyDescent="0.2">
      <c r="BJ65513" s="201"/>
    </row>
    <row r="65514" spans="62:62" x14ac:dyDescent="0.2">
      <c r="BJ65514" s="201"/>
    </row>
    <row r="65515" spans="62:62" x14ac:dyDescent="0.2">
      <c r="BJ65515" s="201"/>
    </row>
    <row r="65516" spans="62:62" x14ac:dyDescent="0.2">
      <c r="BJ65516" s="201"/>
    </row>
    <row r="65517" spans="62:62" x14ac:dyDescent="0.2">
      <c r="BJ65517" s="201"/>
    </row>
    <row r="65518" spans="62:62" x14ac:dyDescent="0.2">
      <c r="BJ65518" s="201"/>
    </row>
    <row r="65519" spans="62:62" x14ac:dyDescent="0.2">
      <c r="BJ65519" s="201"/>
    </row>
    <row r="65520" spans="62:62" x14ac:dyDescent="0.2">
      <c r="BJ65520" s="201"/>
    </row>
    <row r="65521" spans="62:62" x14ac:dyDescent="0.2">
      <c r="BJ65521" s="201"/>
    </row>
    <row r="65522" spans="62:62" x14ac:dyDescent="0.2">
      <c r="BJ65522" s="201"/>
    </row>
    <row r="65523" spans="62:62" x14ac:dyDescent="0.2">
      <c r="BJ65523" s="201"/>
    </row>
    <row r="65524" spans="62:62" x14ac:dyDescent="0.2">
      <c r="BJ65524" s="201"/>
    </row>
    <row r="65525" spans="62:62" x14ac:dyDescent="0.2">
      <c r="BJ65525" s="201"/>
    </row>
    <row r="65526" spans="62:62" x14ac:dyDescent="0.2">
      <c r="BJ65526" s="201"/>
    </row>
    <row r="65527" spans="62:62" x14ac:dyDescent="0.2">
      <c r="BJ65527" s="201"/>
    </row>
    <row r="65528" spans="62:62" x14ac:dyDescent="0.2">
      <c r="BJ65528" s="201"/>
    </row>
    <row r="65529" spans="62:62" x14ac:dyDescent="0.2">
      <c r="BJ65529" s="201"/>
    </row>
    <row r="65530" spans="62:62" x14ac:dyDescent="0.2">
      <c r="BJ65530" s="201"/>
    </row>
    <row r="65531" spans="62:62" x14ac:dyDescent="0.2">
      <c r="BJ65531" s="201"/>
    </row>
    <row r="65532" spans="62:62" x14ac:dyDescent="0.2">
      <c r="BJ65532" s="201"/>
    </row>
    <row r="65533" spans="62:62" x14ac:dyDescent="0.2">
      <c r="BJ65533" s="201"/>
    </row>
    <row r="65534" spans="62:62" x14ac:dyDescent="0.2">
      <c r="BJ65534" s="201"/>
    </row>
    <row r="65535" spans="62:62" x14ac:dyDescent="0.2">
      <c r="BJ65535" s="201"/>
    </row>
    <row r="65536" spans="62:62" x14ac:dyDescent="0.2">
      <c r="BJ65536" s="201"/>
    </row>
  </sheetData>
  <mergeCells count="6">
    <mergeCell ref="A1:A2"/>
    <mergeCell ref="DO99:DQ99"/>
    <mergeCell ref="DO100:DQ100"/>
    <mergeCell ref="DO101:DQ101"/>
    <mergeCell ref="DL225:DM225"/>
    <mergeCell ref="DN225:DO225"/>
  </mergeCells>
  <phoneticPr fontId="9" type="noConversion"/>
  <pageMargins left="0.74" right="0.37" top="1" bottom="1" header="0.5" footer="0.5"/>
  <pageSetup scale="53" fitToHeight="5" orientation="landscape" horizontalDpi="300" r:id="rId1"/>
  <headerFooter alignWithMargins="0">
    <oddHeader>&amp;L&amp;"Arial,Bold"&amp;18Morgan Stanley&amp;R&amp;"Arial,Bold"&amp;16JetBlue Airways</oddHeader>
  </headerFooter>
  <rowBreaks count="4" manualBreakCount="4">
    <brk id="43" min="32" max="56" man="1"/>
    <brk id="80" min="32" max="56" man="1"/>
    <brk id="90" min="32" max="56" man="1"/>
    <brk id="113" min="32" max="56" man="1"/>
  </row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3"/>
  <sheetViews>
    <sheetView workbookViewId="0">
      <selection activeCell="B42" sqref="B42"/>
    </sheetView>
  </sheetViews>
  <sheetFormatPr defaultRowHeight="12.75" x14ac:dyDescent="0.2"/>
  <cols>
    <col min="1" max="1" width="34.5" style="1" bestFit="1" customWidth="1"/>
    <col min="2" max="2" width="23.1640625" style="888" customWidth="1"/>
    <col min="3" max="3" width="14" style="1" bestFit="1" customWidth="1"/>
    <col min="4" max="256" width="9.33203125" style="1"/>
    <col min="257" max="257" width="34.5" style="1" bestFit="1" customWidth="1"/>
    <col min="258" max="258" width="23.1640625" style="1" customWidth="1"/>
    <col min="259" max="259" width="14" style="1" bestFit="1" customWidth="1"/>
    <col min="260" max="512" width="9.33203125" style="1"/>
    <col min="513" max="513" width="34.5" style="1" bestFit="1" customWidth="1"/>
    <col min="514" max="514" width="23.1640625" style="1" customWidth="1"/>
    <col min="515" max="515" width="14" style="1" bestFit="1" customWidth="1"/>
    <col min="516" max="768" width="9.33203125" style="1"/>
    <col min="769" max="769" width="34.5" style="1" bestFit="1" customWidth="1"/>
    <col min="770" max="770" width="23.1640625" style="1" customWidth="1"/>
    <col min="771" max="771" width="14" style="1" bestFit="1" customWidth="1"/>
    <col min="772" max="1024" width="9.33203125" style="1"/>
    <col min="1025" max="1025" width="34.5" style="1" bestFit="1" customWidth="1"/>
    <col min="1026" max="1026" width="23.1640625" style="1" customWidth="1"/>
    <col min="1027" max="1027" width="14" style="1" bestFit="1" customWidth="1"/>
    <col min="1028" max="1280" width="9.33203125" style="1"/>
    <col min="1281" max="1281" width="34.5" style="1" bestFit="1" customWidth="1"/>
    <col min="1282" max="1282" width="23.1640625" style="1" customWidth="1"/>
    <col min="1283" max="1283" width="14" style="1" bestFit="1" customWidth="1"/>
    <col min="1284" max="1536" width="9.33203125" style="1"/>
    <col min="1537" max="1537" width="34.5" style="1" bestFit="1" customWidth="1"/>
    <col min="1538" max="1538" width="23.1640625" style="1" customWidth="1"/>
    <col min="1539" max="1539" width="14" style="1" bestFit="1" customWidth="1"/>
    <col min="1540" max="1792" width="9.33203125" style="1"/>
    <col min="1793" max="1793" width="34.5" style="1" bestFit="1" customWidth="1"/>
    <col min="1794" max="1794" width="23.1640625" style="1" customWidth="1"/>
    <col min="1795" max="1795" width="14" style="1" bestFit="1" customWidth="1"/>
    <col min="1796" max="2048" width="9.33203125" style="1"/>
    <col min="2049" max="2049" width="34.5" style="1" bestFit="1" customWidth="1"/>
    <col min="2050" max="2050" width="23.1640625" style="1" customWidth="1"/>
    <col min="2051" max="2051" width="14" style="1" bestFit="1" customWidth="1"/>
    <col min="2052" max="2304" width="9.33203125" style="1"/>
    <col min="2305" max="2305" width="34.5" style="1" bestFit="1" customWidth="1"/>
    <col min="2306" max="2306" width="23.1640625" style="1" customWidth="1"/>
    <col min="2307" max="2307" width="14" style="1" bestFit="1" customWidth="1"/>
    <col min="2308" max="2560" width="9.33203125" style="1"/>
    <col min="2561" max="2561" width="34.5" style="1" bestFit="1" customWidth="1"/>
    <col min="2562" max="2562" width="23.1640625" style="1" customWidth="1"/>
    <col min="2563" max="2563" width="14" style="1" bestFit="1" customWidth="1"/>
    <col min="2564" max="2816" width="9.33203125" style="1"/>
    <col min="2817" max="2817" width="34.5" style="1" bestFit="1" customWidth="1"/>
    <col min="2818" max="2818" width="23.1640625" style="1" customWidth="1"/>
    <col min="2819" max="2819" width="14" style="1" bestFit="1" customWidth="1"/>
    <col min="2820" max="3072" width="9.33203125" style="1"/>
    <col min="3073" max="3073" width="34.5" style="1" bestFit="1" customWidth="1"/>
    <col min="3074" max="3074" width="23.1640625" style="1" customWidth="1"/>
    <col min="3075" max="3075" width="14" style="1" bestFit="1" customWidth="1"/>
    <col min="3076" max="3328" width="9.33203125" style="1"/>
    <col min="3329" max="3329" width="34.5" style="1" bestFit="1" customWidth="1"/>
    <col min="3330" max="3330" width="23.1640625" style="1" customWidth="1"/>
    <col min="3331" max="3331" width="14" style="1" bestFit="1" customWidth="1"/>
    <col min="3332" max="3584" width="9.33203125" style="1"/>
    <col min="3585" max="3585" width="34.5" style="1" bestFit="1" customWidth="1"/>
    <col min="3586" max="3586" width="23.1640625" style="1" customWidth="1"/>
    <col min="3587" max="3587" width="14" style="1" bestFit="1" customWidth="1"/>
    <col min="3588" max="3840" width="9.33203125" style="1"/>
    <col min="3841" max="3841" width="34.5" style="1" bestFit="1" customWidth="1"/>
    <col min="3842" max="3842" width="23.1640625" style="1" customWidth="1"/>
    <col min="3843" max="3843" width="14" style="1" bestFit="1" customWidth="1"/>
    <col min="3844" max="4096" width="9.33203125" style="1"/>
    <col min="4097" max="4097" width="34.5" style="1" bestFit="1" customWidth="1"/>
    <col min="4098" max="4098" width="23.1640625" style="1" customWidth="1"/>
    <col min="4099" max="4099" width="14" style="1" bestFit="1" customWidth="1"/>
    <col min="4100" max="4352" width="9.33203125" style="1"/>
    <col min="4353" max="4353" width="34.5" style="1" bestFit="1" customWidth="1"/>
    <col min="4354" max="4354" width="23.1640625" style="1" customWidth="1"/>
    <col min="4355" max="4355" width="14" style="1" bestFit="1" customWidth="1"/>
    <col min="4356" max="4608" width="9.33203125" style="1"/>
    <col min="4609" max="4609" width="34.5" style="1" bestFit="1" customWidth="1"/>
    <col min="4610" max="4610" width="23.1640625" style="1" customWidth="1"/>
    <col min="4611" max="4611" width="14" style="1" bestFit="1" customWidth="1"/>
    <col min="4612" max="4864" width="9.33203125" style="1"/>
    <col min="4865" max="4865" width="34.5" style="1" bestFit="1" customWidth="1"/>
    <col min="4866" max="4866" width="23.1640625" style="1" customWidth="1"/>
    <col min="4867" max="4867" width="14" style="1" bestFit="1" customWidth="1"/>
    <col min="4868" max="5120" width="9.33203125" style="1"/>
    <col min="5121" max="5121" width="34.5" style="1" bestFit="1" customWidth="1"/>
    <col min="5122" max="5122" width="23.1640625" style="1" customWidth="1"/>
    <col min="5123" max="5123" width="14" style="1" bestFit="1" customWidth="1"/>
    <col min="5124" max="5376" width="9.33203125" style="1"/>
    <col min="5377" max="5377" width="34.5" style="1" bestFit="1" customWidth="1"/>
    <col min="5378" max="5378" width="23.1640625" style="1" customWidth="1"/>
    <col min="5379" max="5379" width="14" style="1" bestFit="1" customWidth="1"/>
    <col min="5380" max="5632" width="9.33203125" style="1"/>
    <col min="5633" max="5633" width="34.5" style="1" bestFit="1" customWidth="1"/>
    <col min="5634" max="5634" width="23.1640625" style="1" customWidth="1"/>
    <col min="5635" max="5635" width="14" style="1" bestFit="1" customWidth="1"/>
    <col min="5636" max="5888" width="9.33203125" style="1"/>
    <col min="5889" max="5889" width="34.5" style="1" bestFit="1" customWidth="1"/>
    <col min="5890" max="5890" width="23.1640625" style="1" customWidth="1"/>
    <col min="5891" max="5891" width="14" style="1" bestFit="1" customWidth="1"/>
    <col min="5892" max="6144" width="9.33203125" style="1"/>
    <col min="6145" max="6145" width="34.5" style="1" bestFit="1" customWidth="1"/>
    <col min="6146" max="6146" width="23.1640625" style="1" customWidth="1"/>
    <col min="6147" max="6147" width="14" style="1" bestFit="1" customWidth="1"/>
    <col min="6148" max="6400" width="9.33203125" style="1"/>
    <col min="6401" max="6401" width="34.5" style="1" bestFit="1" customWidth="1"/>
    <col min="6402" max="6402" width="23.1640625" style="1" customWidth="1"/>
    <col min="6403" max="6403" width="14" style="1" bestFit="1" customWidth="1"/>
    <col min="6404" max="6656" width="9.33203125" style="1"/>
    <col min="6657" max="6657" width="34.5" style="1" bestFit="1" customWidth="1"/>
    <col min="6658" max="6658" width="23.1640625" style="1" customWidth="1"/>
    <col min="6659" max="6659" width="14" style="1" bestFit="1" customWidth="1"/>
    <col min="6660" max="6912" width="9.33203125" style="1"/>
    <col min="6913" max="6913" width="34.5" style="1" bestFit="1" customWidth="1"/>
    <col min="6914" max="6914" width="23.1640625" style="1" customWidth="1"/>
    <col min="6915" max="6915" width="14" style="1" bestFit="1" customWidth="1"/>
    <col min="6916" max="7168" width="9.33203125" style="1"/>
    <col min="7169" max="7169" width="34.5" style="1" bestFit="1" customWidth="1"/>
    <col min="7170" max="7170" width="23.1640625" style="1" customWidth="1"/>
    <col min="7171" max="7171" width="14" style="1" bestFit="1" customWidth="1"/>
    <col min="7172" max="7424" width="9.33203125" style="1"/>
    <col min="7425" max="7425" width="34.5" style="1" bestFit="1" customWidth="1"/>
    <col min="7426" max="7426" width="23.1640625" style="1" customWidth="1"/>
    <col min="7427" max="7427" width="14" style="1" bestFit="1" customWidth="1"/>
    <col min="7428" max="7680" width="9.33203125" style="1"/>
    <col min="7681" max="7681" width="34.5" style="1" bestFit="1" customWidth="1"/>
    <col min="7682" max="7682" width="23.1640625" style="1" customWidth="1"/>
    <col min="7683" max="7683" width="14" style="1" bestFit="1" customWidth="1"/>
    <col min="7684" max="7936" width="9.33203125" style="1"/>
    <col min="7937" max="7937" width="34.5" style="1" bestFit="1" customWidth="1"/>
    <col min="7938" max="7938" width="23.1640625" style="1" customWidth="1"/>
    <col min="7939" max="7939" width="14" style="1" bestFit="1" customWidth="1"/>
    <col min="7940" max="8192" width="9.33203125" style="1"/>
    <col min="8193" max="8193" width="34.5" style="1" bestFit="1" customWidth="1"/>
    <col min="8194" max="8194" width="23.1640625" style="1" customWidth="1"/>
    <col min="8195" max="8195" width="14" style="1" bestFit="1" customWidth="1"/>
    <col min="8196" max="8448" width="9.33203125" style="1"/>
    <col min="8449" max="8449" width="34.5" style="1" bestFit="1" customWidth="1"/>
    <col min="8450" max="8450" width="23.1640625" style="1" customWidth="1"/>
    <col min="8451" max="8451" width="14" style="1" bestFit="1" customWidth="1"/>
    <col min="8452" max="8704" width="9.33203125" style="1"/>
    <col min="8705" max="8705" width="34.5" style="1" bestFit="1" customWidth="1"/>
    <col min="8706" max="8706" width="23.1640625" style="1" customWidth="1"/>
    <col min="8707" max="8707" width="14" style="1" bestFit="1" customWidth="1"/>
    <col min="8708" max="8960" width="9.33203125" style="1"/>
    <col min="8961" max="8961" width="34.5" style="1" bestFit="1" customWidth="1"/>
    <col min="8962" max="8962" width="23.1640625" style="1" customWidth="1"/>
    <col min="8963" max="8963" width="14" style="1" bestFit="1" customWidth="1"/>
    <col min="8964" max="9216" width="9.33203125" style="1"/>
    <col min="9217" max="9217" width="34.5" style="1" bestFit="1" customWidth="1"/>
    <col min="9218" max="9218" width="23.1640625" style="1" customWidth="1"/>
    <col min="9219" max="9219" width="14" style="1" bestFit="1" customWidth="1"/>
    <col min="9220" max="9472" width="9.33203125" style="1"/>
    <col min="9473" max="9473" width="34.5" style="1" bestFit="1" customWidth="1"/>
    <col min="9474" max="9474" width="23.1640625" style="1" customWidth="1"/>
    <col min="9475" max="9475" width="14" style="1" bestFit="1" customWidth="1"/>
    <col min="9476" max="9728" width="9.33203125" style="1"/>
    <col min="9729" max="9729" width="34.5" style="1" bestFit="1" customWidth="1"/>
    <col min="9730" max="9730" width="23.1640625" style="1" customWidth="1"/>
    <col min="9731" max="9731" width="14" style="1" bestFit="1" customWidth="1"/>
    <col min="9732" max="9984" width="9.33203125" style="1"/>
    <col min="9985" max="9985" width="34.5" style="1" bestFit="1" customWidth="1"/>
    <col min="9986" max="9986" width="23.1640625" style="1" customWidth="1"/>
    <col min="9987" max="9987" width="14" style="1" bestFit="1" customWidth="1"/>
    <col min="9988" max="10240" width="9.33203125" style="1"/>
    <col min="10241" max="10241" width="34.5" style="1" bestFit="1" customWidth="1"/>
    <col min="10242" max="10242" width="23.1640625" style="1" customWidth="1"/>
    <col min="10243" max="10243" width="14" style="1" bestFit="1" customWidth="1"/>
    <col min="10244" max="10496" width="9.33203125" style="1"/>
    <col min="10497" max="10497" width="34.5" style="1" bestFit="1" customWidth="1"/>
    <col min="10498" max="10498" width="23.1640625" style="1" customWidth="1"/>
    <col min="10499" max="10499" width="14" style="1" bestFit="1" customWidth="1"/>
    <col min="10500" max="10752" width="9.33203125" style="1"/>
    <col min="10753" max="10753" width="34.5" style="1" bestFit="1" customWidth="1"/>
    <col min="10754" max="10754" width="23.1640625" style="1" customWidth="1"/>
    <col min="10755" max="10755" width="14" style="1" bestFit="1" customWidth="1"/>
    <col min="10756" max="11008" width="9.33203125" style="1"/>
    <col min="11009" max="11009" width="34.5" style="1" bestFit="1" customWidth="1"/>
    <col min="11010" max="11010" width="23.1640625" style="1" customWidth="1"/>
    <col min="11011" max="11011" width="14" style="1" bestFit="1" customWidth="1"/>
    <col min="11012" max="11264" width="9.33203125" style="1"/>
    <col min="11265" max="11265" width="34.5" style="1" bestFit="1" customWidth="1"/>
    <col min="11266" max="11266" width="23.1640625" style="1" customWidth="1"/>
    <col min="11267" max="11267" width="14" style="1" bestFit="1" customWidth="1"/>
    <col min="11268" max="11520" width="9.33203125" style="1"/>
    <col min="11521" max="11521" width="34.5" style="1" bestFit="1" customWidth="1"/>
    <col min="11522" max="11522" width="23.1640625" style="1" customWidth="1"/>
    <col min="11523" max="11523" width="14" style="1" bestFit="1" customWidth="1"/>
    <col min="11524" max="11776" width="9.33203125" style="1"/>
    <col min="11777" max="11777" width="34.5" style="1" bestFit="1" customWidth="1"/>
    <col min="11778" max="11778" width="23.1640625" style="1" customWidth="1"/>
    <col min="11779" max="11779" width="14" style="1" bestFit="1" customWidth="1"/>
    <col min="11780" max="12032" width="9.33203125" style="1"/>
    <col min="12033" max="12033" width="34.5" style="1" bestFit="1" customWidth="1"/>
    <col min="12034" max="12034" width="23.1640625" style="1" customWidth="1"/>
    <col min="12035" max="12035" width="14" style="1" bestFit="1" customWidth="1"/>
    <col min="12036" max="12288" width="9.33203125" style="1"/>
    <col min="12289" max="12289" width="34.5" style="1" bestFit="1" customWidth="1"/>
    <col min="12290" max="12290" width="23.1640625" style="1" customWidth="1"/>
    <col min="12291" max="12291" width="14" style="1" bestFit="1" customWidth="1"/>
    <col min="12292" max="12544" width="9.33203125" style="1"/>
    <col min="12545" max="12545" width="34.5" style="1" bestFit="1" customWidth="1"/>
    <col min="12546" max="12546" width="23.1640625" style="1" customWidth="1"/>
    <col min="12547" max="12547" width="14" style="1" bestFit="1" customWidth="1"/>
    <col min="12548" max="12800" width="9.33203125" style="1"/>
    <col min="12801" max="12801" width="34.5" style="1" bestFit="1" customWidth="1"/>
    <col min="12802" max="12802" width="23.1640625" style="1" customWidth="1"/>
    <col min="12803" max="12803" width="14" style="1" bestFit="1" customWidth="1"/>
    <col min="12804" max="13056" width="9.33203125" style="1"/>
    <col min="13057" max="13057" width="34.5" style="1" bestFit="1" customWidth="1"/>
    <col min="13058" max="13058" width="23.1640625" style="1" customWidth="1"/>
    <col min="13059" max="13059" width="14" style="1" bestFit="1" customWidth="1"/>
    <col min="13060" max="13312" width="9.33203125" style="1"/>
    <col min="13313" max="13313" width="34.5" style="1" bestFit="1" customWidth="1"/>
    <col min="13314" max="13314" width="23.1640625" style="1" customWidth="1"/>
    <col min="13315" max="13315" width="14" style="1" bestFit="1" customWidth="1"/>
    <col min="13316" max="13568" width="9.33203125" style="1"/>
    <col min="13569" max="13569" width="34.5" style="1" bestFit="1" customWidth="1"/>
    <col min="13570" max="13570" width="23.1640625" style="1" customWidth="1"/>
    <col min="13571" max="13571" width="14" style="1" bestFit="1" customWidth="1"/>
    <col min="13572" max="13824" width="9.33203125" style="1"/>
    <col min="13825" max="13825" width="34.5" style="1" bestFit="1" customWidth="1"/>
    <col min="13826" max="13826" width="23.1640625" style="1" customWidth="1"/>
    <col min="13827" max="13827" width="14" style="1" bestFit="1" customWidth="1"/>
    <col min="13828" max="14080" width="9.33203125" style="1"/>
    <col min="14081" max="14081" width="34.5" style="1" bestFit="1" customWidth="1"/>
    <col min="14082" max="14082" width="23.1640625" style="1" customWidth="1"/>
    <col min="14083" max="14083" width="14" style="1" bestFit="1" customWidth="1"/>
    <col min="14084" max="14336" width="9.33203125" style="1"/>
    <col min="14337" max="14337" width="34.5" style="1" bestFit="1" customWidth="1"/>
    <col min="14338" max="14338" width="23.1640625" style="1" customWidth="1"/>
    <col min="14339" max="14339" width="14" style="1" bestFit="1" customWidth="1"/>
    <col min="14340" max="14592" width="9.33203125" style="1"/>
    <col min="14593" max="14593" width="34.5" style="1" bestFit="1" customWidth="1"/>
    <col min="14594" max="14594" width="23.1640625" style="1" customWidth="1"/>
    <col min="14595" max="14595" width="14" style="1" bestFit="1" customWidth="1"/>
    <col min="14596" max="14848" width="9.33203125" style="1"/>
    <col min="14849" max="14849" width="34.5" style="1" bestFit="1" customWidth="1"/>
    <col min="14850" max="14850" width="23.1640625" style="1" customWidth="1"/>
    <col min="14851" max="14851" width="14" style="1" bestFit="1" customWidth="1"/>
    <col min="14852" max="15104" width="9.33203125" style="1"/>
    <col min="15105" max="15105" width="34.5" style="1" bestFit="1" customWidth="1"/>
    <col min="15106" max="15106" width="23.1640625" style="1" customWidth="1"/>
    <col min="15107" max="15107" width="14" style="1" bestFit="1" customWidth="1"/>
    <col min="15108" max="15360" width="9.33203125" style="1"/>
    <col min="15361" max="15361" width="34.5" style="1" bestFit="1" customWidth="1"/>
    <col min="15362" max="15362" width="23.1640625" style="1" customWidth="1"/>
    <col min="15363" max="15363" width="14" style="1" bestFit="1" customWidth="1"/>
    <col min="15364" max="15616" width="9.33203125" style="1"/>
    <col min="15617" max="15617" width="34.5" style="1" bestFit="1" customWidth="1"/>
    <col min="15618" max="15618" width="23.1640625" style="1" customWidth="1"/>
    <col min="15619" max="15619" width="14" style="1" bestFit="1" customWidth="1"/>
    <col min="15620" max="15872" width="9.33203125" style="1"/>
    <col min="15873" max="15873" width="34.5" style="1" bestFit="1" customWidth="1"/>
    <col min="15874" max="15874" width="23.1640625" style="1" customWidth="1"/>
    <col min="15875" max="15875" width="14" style="1" bestFit="1" customWidth="1"/>
    <col min="15876" max="16128" width="9.33203125" style="1"/>
    <col min="16129" max="16129" width="34.5" style="1" bestFit="1" customWidth="1"/>
    <col min="16130" max="16130" width="23.1640625" style="1" customWidth="1"/>
    <col min="16131" max="16131" width="14" style="1" bestFit="1" customWidth="1"/>
    <col min="16132" max="16384" width="9.33203125" style="1"/>
  </cols>
  <sheetData>
    <row r="1" spans="1:2" x14ac:dyDescent="0.2">
      <c r="A1" s="1" t="s">
        <v>805</v>
      </c>
      <c r="B1" s="887">
        <v>6.1</v>
      </c>
    </row>
    <row r="2" spans="1:2" x14ac:dyDescent="0.2">
      <c r="A2" s="1" t="s">
        <v>806</v>
      </c>
      <c r="B2" s="891">
        <v>43206.382754629631</v>
      </c>
    </row>
    <row r="3" spans="1:2" x14ac:dyDescent="0.2">
      <c r="A3" s="1" t="s">
        <v>807</v>
      </c>
      <c r="B3" s="888" t="s">
        <v>508</v>
      </c>
    </row>
    <row r="4" spans="1:2" x14ac:dyDescent="0.2">
      <c r="A4" s="1" t="s">
        <v>808</v>
      </c>
      <c r="B4" s="888" t="s">
        <v>809</v>
      </c>
    </row>
    <row r="5" spans="1:2" x14ac:dyDescent="0.2">
      <c r="A5" s="1" t="s">
        <v>810</v>
      </c>
      <c r="B5" s="888" t="s">
        <v>811</v>
      </c>
    </row>
    <row r="6" spans="1:2" x14ac:dyDescent="0.2">
      <c r="A6" s="1" t="s">
        <v>812</v>
      </c>
    </row>
    <row r="7" spans="1:2" x14ac:dyDescent="0.2">
      <c r="A7" s="1" t="s">
        <v>813</v>
      </c>
      <c r="B7" s="888" t="s">
        <v>228</v>
      </c>
    </row>
    <row r="8" spans="1:2" x14ac:dyDescent="0.2">
      <c r="A8" s="1" t="s">
        <v>814</v>
      </c>
      <c r="B8" s="888" t="s">
        <v>815</v>
      </c>
    </row>
    <row r="9" spans="1:2" x14ac:dyDescent="0.2">
      <c r="A9" s="1" t="s">
        <v>816</v>
      </c>
      <c r="B9" s="888" t="s">
        <v>853</v>
      </c>
    </row>
    <row r="10" spans="1:2" x14ac:dyDescent="0.2">
      <c r="A10" s="1" t="s">
        <v>817</v>
      </c>
    </row>
    <row r="11" spans="1:2" x14ac:dyDescent="0.2">
      <c r="A11" s="1" t="s">
        <v>818</v>
      </c>
    </row>
    <row r="12" spans="1:2" x14ac:dyDescent="0.2">
      <c r="A12" s="1" t="s">
        <v>819</v>
      </c>
    </row>
    <row r="13" spans="1:2" x14ac:dyDescent="0.2">
      <c r="A13" s="1" t="s">
        <v>820</v>
      </c>
    </row>
    <row r="14" spans="1:2" x14ac:dyDescent="0.2">
      <c r="A14" s="1" t="s">
        <v>821</v>
      </c>
    </row>
    <row r="15" spans="1:2" x14ac:dyDescent="0.2">
      <c r="A15" s="1" t="s">
        <v>822</v>
      </c>
    </row>
    <row r="16" spans="1:2" x14ac:dyDescent="0.2">
      <c r="A16" s="1" t="s">
        <v>823</v>
      </c>
    </row>
    <row r="17" spans="1:4" x14ac:dyDescent="0.2">
      <c r="A17" s="1" t="s">
        <v>824</v>
      </c>
      <c r="B17" s="888" t="s">
        <v>854</v>
      </c>
    </row>
    <row r="18" spans="1:4" x14ac:dyDescent="0.2">
      <c r="A18" s="1" t="s">
        <v>825</v>
      </c>
      <c r="B18" s="888" t="s">
        <v>509</v>
      </c>
    </row>
    <row r="19" spans="1:4" x14ac:dyDescent="0.2">
      <c r="A19" s="1" t="s">
        <v>826</v>
      </c>
      <c r="B19" s="888" t="s">
        <v>5</v>
      </c>
    </row>
    <row r="20" spans="1:4" x14ac:dyDescent="0.2">
      <c r="A20" s="1" t="s">
        <v>827</v>
      </c>
      <c r="B20" s="889">
        <v>477143101</v>
      </c>
    </row>
    <row r="21" spans="1:4" x14ac:dyDescent="0.2">
      <c r="A21" s="1" t="s">
        <v>828</v>
      </c>
      <c r="B21" s="888" t="s">
        <v>5</v>
      </c>
    </row>
    <row r="22" spans="1:4" x14ac:dyDescent="0.2">
      <c r="A22" s="1" t="s">
        <v>829</v>
      </c>
      <c r="B22" s="889">
        <v>2852760</v>
      </c>
    </row>
    <row r="23" spans="1:4" x14ac:dyDescent="0.2">
      <c r="A23" s="1" t="s">
        <v>284</v>
      </c>
      <c r="B23" s="887">
        <v>19.510000000000002</v>
      </c>
    </row>
    <row r="24" spans="1:4" x14ac:dyDescent="0.2">
      <c r="A24" s="1" t="s">
        <v>282</v>
      </c>
      <c r="B24" s="888" t="s">
        <v>279</v>
      </c>
      <c r="D24" s="1" t="s">
        <v>484</v>
      </c>
    </row>
    <row r="25" spans="1:4" x14ac:dyDescent="0.2">
      <c r="A25" s="1" t="s">
        <v>830</v>
      </c>
      <c r="B25" s="888" t="s">
        <v>857</v>
      </c>
    </row>
    <row r="26" spans="1:4" x14ac:dyDescent="0.2">
      <c r="A26" s="1" t="s">
        <v>831</v>
      </c>
      <c r="B26" s="888">
        <v>0</v>
      </c>
    </row>
    <row r="27" spans="1:4" x14ac:dyDescent="0.2">
      <c r="A27" s="1" t="s">
        <v>832</v>
      </c>
      <c r="B27" s="888" t="s">
        <v>833</v>
      </c>
    </row>
    <row r="28" spans="1:4" x14ac:dyDescent="0.2">
      <c r="A28" s="1" t="s">
        <v>834</v>
      </c>
      <c r="B28" s="888" t="s">
        <v>835</v>
      </c>
    </row>
    <row r="29" spans="1:4" x14ac:dyDescent="0.2">
      <c r="A29" s="1" t="s">
        <v>836</v>
      </c>
    </row>
    <row r="30" spans="1:4" x14ac:dyDescent="0.2">
      <c r="A30" s="1" t="s">
        <v>837</v>
      </c>
    </row>
    <row r="31" spans="1:4" x14ac:dyDescent="0.2">
      <c r="A31" s="1" t="s">
        <v>838</v>
      </c>
    </row>
    <row r="32" spans="1:4" x14ac:dyDescent="0.2">
      <c r="A32" s="1" t="s">
        <v>839</v>
      </c>
      <c r="B32" s="887"/>
    </row>
    <row r="33" spans="1:2" x14ac:dyDescent="0.2">
      <c r="A33" s="1" t="s">
        <v>840</v>
      </c>
      <c r="B33" s="887"/>
    </row>
    <row r="34" spans="1:2" x14ac:dyDescent="0.2">
      <c r="A34" s="1" t="s">
        <v>841</v>
      </c>
      <c r="B34" s="887"/>
    </row>
    <row r="35" spans="1:2" x14ac:dyDescent="0.2">
      <c r="A35" s="1" t="s">
        <v>842</v>
      </c>
      <c r="B35" s="888">
        <v>1000000</v>
      </c>
    </row>
    <row r="36" spans="1:2" x14ac:dyDescent="0.2">
      <c r="A36" s="1" t="s">
        <v>843</v>
      </c>
      <c r="B36" s="888" t="s">
        <v>855</v>
      </c>
    </row>
    <row r="37" spans="1:2" x14ac:dyDescent="0.2">
      <c r="A37" s="1" t="s">
        <v>844</v>
      </c>
      <c r="B37" s="888" t="s">
        <v>845</v>
      </c>
    </row>
    <row r="38" spans="1:2" x14ac:dyDescent="0.2">
      <c r="A38" s="1" t="s">
        <v>846</v>
      </c>
      <c r="B38" s="888" t="s">
        <v>847</v>
      </c>
    </row>
    <row r="39" spans="1:2" x14ac:dyDescent="0.2">
      <c r="A39" s="1" t="s">
        <v>848</v>
      </c>
      <c r="B39" s="888" t="s">
        <v>856</v>
      </c>
    </row>
    <row r="40" spans="1:2" x14ac:dyDescent="0.2">
      <c r="A40" s="1" t="s">
        <v>849</v>
      </c>
      <c r="B40" s="888">
        <v>1500005409</v>
      </c>
    </row>
    <row r="41" spans="1:2" x14ac:dyDescent="0.2">
      <c r="A41" s="1" t="s">
        <v>850</v>
      </c>
      <c r="B41" s="888">
        <v>1</v>
      </c>
    </row>
    <row r="42" spans="1:2" x14ac:dyDescent="0.2">
      <c r="A42" s="890" t="s">
        <v>851</v>
      </c>
    </row>
    <row r="43" spans="1:2" x14ac:dyDescent="0.2">
      <c r="A43" s="1" t="s">
        <v>852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x14ac:dyDescent="0.2"/>
  <cols>
    <col min="1" max="1" width="33.33203125" style="1" bestFit="1" customWidth="1"/>
    <col min="2" max="256" width="9.33203125" style="1"/>
    <col min="257" max="257" width="33.33203125" style="1" bestFit="1" customWidth="1"/>
    <col min="258" max="512" width="9.33203125" style="1"/>
    <col min="513" max="513" width="33.33203125" style="1" bestFit="1" customWidth="1"/>
    <col min="514" max="768" width="9.33203125" style="1"/>
    <col min="769" max="769" width="33.33203125" style="1" bestFit="1" customWidth="1"/>
    <col min="770" max="1024" width="9.33203125" style="1"/>
    <col min="1025" max="1025" width="33.33203125" style="1" bestFit="1" customWidth="1"/>
    <col min="1026" max="1280" width="9.33203125" style="1"/>
    <col min="1281" max="1281" width="33.33203125" style="1" bestFit="1" customWidth="1"/>
    <col min="1282" max="1536" width="9.33203125" style="1"/>
    <col min="1537" max="1537" width="33.33203125" style="1" bestFit="1" customWidth="1"/>
    <col min="1538" max="1792" width="9.33203125" style="1"/>
    <col min="1793" max="1793" width="33.33203125" style="1" bestFit="1" customWidth="1"/>
    <col min="1794" max="2048" width="9.33203125" style="1"/>
    <col min="2049" max="2049" width="33.33203125" style="1" bestFit="1" customWidth="1"/>
    <col min="2050" max="2304" width="9.33203125" style="1"/>
    <col min="2305" max="2305" width="33.33203125" style="1" bestFit="1" customWidth="1"/>
    <col min="2306" max="2560" width="9.33203125" style="1"/>
    <col min="2561" max="2561" width="33.33203125" style="1" bestFit="1" customWidth="1"/>
    <col min="2562" max="2816" width="9.33203125" style="1"/>
    <col min="2817" max="2817" width="33.33203125" style="1" bestFit="1" customWidth="1"/>
    <col min="2818" max="3072" width="9.33203125" style="1"/>
    <col min="3073" max="3073" width="33.33203125" style="1" bestFit="1" customWidth="1"/>
    <col min="3074" max="3328" width="9.33203125" style="1"/>
    <col min="3329" max="3329" width="33.33203125" style="1" bestFit="1" customWidth="1"/>
    <col min="3330" max="3584" width="9.33203125" style="1"/>
    <col min="3585" max="3585" width="33.33203125" style="1" bestFit="1" customWidth="1"/>
    <col min="3586" max="3840" width="9.33203125" style="1"/>
    <col min="3841" max="3841" width="33.33203125" style="1" bestFit="1" customWidth="1"/>
    <col min="3842" max="4096" width="9.33203125" style="1"/>
    <col min="4097" max="4097" width="33.33203125" style="1" bestFit="1" customWidth="1"/>
    <col min="4098" max="4352" width="9.33203125" style="1"/>
    <col min="4353" max="4353" width="33.33203125" style="1" bestFit="1" customWidth="1"/>
    <col min="4354" max="4608" width="9.33203125" style="1"/>
    <col min="4609" max="4609" width="33.33203125" style="1" bestFit="1" customWidth="1"/>
    <col min="4610" max="4864" width="9.33203125" style="1"/>
    <col min="4865" max="4865" width="33.33203125" style="1" bestFit="1" customWidth="1"/>
    <col min="4866" max="5120" width="9.33203125" style="1"/>
    <col min="5121" max="5121" width="33.33203125" style="1" bestFit="1" customWidth="1"/>
    <col min="5122" max="5376" width="9.33203125" style="1"/>
    <col min="5377" max="5377" width="33.33203125" style="1" bestFit="1" customWidth="1"/>
    <col min="5378" max="5632" width="9.33203125" style="1"/>
    <col min="5633" max="5633" width="33.33203125" style="1" bestFit="1" customWidth="1"/>
    <col min="5634" max="5888" width="9.33203125" style="1"/>
    <col min="5889" max="5889" width="33.33203125" style="1" bestFit="1" customWidth="1"/>
    <col min="5890" max="6144" width="9.33203125" style="1"/>
    <col min="6145" max="6145" width="33.33203125" style="1" bestFit="1" customWidth="1"/>
    <col min="6146" max="6400" width="9.33203125" style="1"/>
    <col min="6401" max="6401" width="33.33203125" style="1" bestFit="1" customWidth="1"/>
    <col min="6402" max="6656" width="9.33203125" style="1"/>
    <col min="6657" max="6657" width="33.33203125" style="1" bestFit="1" customWidth="1"/>
    <col min="6658" max="6912" width="9.33203125" style="1"/>
    <col min="6913" max="6913" width="33.33203125" style="1" bestFit="1" customWidth="1"/>
    <col min="6914" max="7168" width="9.33203125" style="1"/>
    <col min="7169" max="7169" width="33.33203125" style="1" bestFit="1" customWidth="1"/>
    <col min="7170" max="7424" width="9.33203125" style="1"/>
    <col min="7425" max="7425" width="33.33203125" style="1" bestFit="1" customWidth="1"/>
    <col min="7426" max="7680" width="9.33203125" style="1"/>
    <col min="7681" max="7681" width="33.33203125" style="1" bestFit="1" customWidth="1"/>
    <col min="7682" max="7936" width="9.33203125" style="1"/>
    <col min="7937" max="7937" width="33.33203125" style="1" bestFit="1" customWidth="1"/>
    <col min="7938" max="8192" width="9.33203125" style="1"/>
    <col min="8193" max="8193" width="33.33203125" style="1" bestFit="1" customWidth="1"/>
    <col min="8194" max="8448" width="9.33203125" style="1"/>
    <col min="8449" max="8449" width="33.33203125" style="1" bestFit="1" customWidth="1"/>
    <col min="8450" max="8704" width="9.33203125" style="1"/>
    <col min="8705" max="8705" width="33.33203125" style="1" bestFit="1" customWidth="1"/>
    <col min="8706" max="8960" width="9.33203125" style="1"/>
    <col min="8961" max="8961" width="33.33203125" style="1" bestFit="1" customWidth="1"/>
    <col min="8962" max="9216" width="9.33203125" style="1"/>
    <col min="9217" max="9217" width="33.33203125" style="1" bestFit="1" customWidth="1"/>
    <col min="9218" max="9472" width="9.33203125" style="1"/>
    <col min="9473" max="9473" width="33.33203125" style="1" bestFit="1" customWidth="1"/>
    <col min="9474" max="9728" width="9.33203125" style="1"/>
    <col min="9729" max="9729" width="33.33203125" style="1" bestFit="1" customWidth="1"/>
    <col min="9730" max="9984" width="9.33203125" style="1"/>
    <col min="9985" max="9985" width="33.33203125" style="1" bestFit="1" customWidth="1"/>
    <col min="9986" max="10240" width="9.33203125" style="1"/>
    <col min="10241" max="10241" width="33.33203125" style="1" bestFit="1" customWidth="1"/>
    <col min="10242" max="10496" width="9.33203125" style="1"/>
    <col min="10497" max="10497" width="33.33203125" style="1" bestFit="1" customWidth="1"/>
    <col min="10498" max="10752" width="9.33203125" style="1"/>
    <col min="10753" max="10753" width="33.33203125" style="1" bestFit="1" customWidth="1"/>
    <col min="10754" max="11008" width="9.33203125" style="1"/>
    <col min="11009" max="11009" width="33.33203125" style="1" bestFit="1" customWidth="1"/>
    <col min="11010" max="11264" width="9.33203125" style="1"/>
    <col min="11265" max="11265" width="33.33203125" style="1" bestFit="1" customWidth="1"/>
    <col min="11266" max="11520" width="9.33203125" style="1"/>
    <col min="11521" max="11521" width="33.33203125" style="1" bestFit="1" customWidth="1"/>
    <col min="11522" max="11776" width="9.33203125" style="1"/>
    <col min="11777" max="11777" width="33.33203125" style="1" bestFit="1" customWidth="1"/>
    <col min="11778" max="12032" width="9.33203125" style="1"/>
    <col min="12033" max="12033" width="33.33203125" style="1" bestFit="1" customWidth="1"/>
    <col min="12034" max="12288" width="9.33203125" style="1"/>
    <col min="12289" max="12289" width="33.33203125" style="1" bestFit="1" customWidth="1"/>
    <col min="12290" max="12544" width="9.33203125" style="1"/>
    <col min="12545" max="12545" width="33.33203125" style="1" bestFit="1" customWidth="1"/>
    <col min="12546" max="12800" width="9.33203125" style="1"/>
    <col min="12801" max="12801" width="33.33203125" style="1" bestFit="1" customWidth="1"/>
    <col min="12802" max="13056" width="9.33203125" style="1"/>
    <col min="13057" max="13057" width="33.33203125" style="1" bestFit="1" customWidth="1"/>
    <col min="13058" max="13312" width="9.33203125" style="1"/>
    <col min="13313" max="13313" width="33.33203125" style="1" bestFit="1" customWidth="1"/>
    <col min="13314" max="13568" width="9.33203125" style="1"/>
    <col min="13569" max="13569" width="33.33203125" style="1" bestFit="1" customWidth="1"/>
    <col min="13570" max="13824" width="9.33203125" style="1"/>
    <col min="13825" max="13825" width="33.33203125" style="1" bestFit="1" customWidth="1"/>
    <col min="13826" max="14080" width="9.33203125" style="1"/>
    <col min="14081" max="14081" width="33.33203125" style="1" bestFit="1" customWidth="1"/>
    <col min="14082" max="14336" width="9.33203125" style="1"/>
    <col min="14337" max="14337" width="33.33203125" style="1" bestFit="1" customWidth="1"/>
    <col min="14338" max="14592" width="9.33203125" style="1"/>
    <col min="14593" max="14593" width="33.33203125" style="1" bestFit="1" customWidth="1"/>
    <col min="14594" max="14848" width="9.33203125" style="1"/>
    <col min="14849" max="14849" width="33.33203125" style="1" bestFit="1" customWidth="1"/>
    <col min="14850" max="15104" width="9.33203125" style="1"/>
    <col min="15105" max="15105" width="33.33203125" style="1" bestFit="1" customWidth="1"/>
    <col min="15106" max="15360" width="9.33203125" style="1"/>
    <col min="15361" max="15361" width="33.33203125" style="1" bestFit="1" customWidth="1"/>
    <col min="15362" max="15616" width="9.33203125" style="1"/>
    <col min="15617" max="15617" width="33.33203125" style="1" bestFit="1" customWidth="1"/>
    <col min="15618" max="15872" width="9.33203125" style="1"/>
    <col min="15873" max="15873" width="33.33203125" style="1" bestFit="1" customWidth="1"/>
    <col min="15874" max="16128" width="9.33203125" style="1"/>
    <col min="16129" max="16129" width="33.33203125" style="1" bestFit="1" customWidth="1"/>
    <col min="16130" max="16384" width="9.33203125" style="1"/>
  </cols>
  <sheetData>
    <row r="1" spans="1:1" x14ac:dyDescent="0.2">
      <c r="A1" s="892" t="s">
        <v>858</v>
      </c>
    </row>
    <row r="2" spans="1:1" x14ac:dyDescent="0.2">
      <c r="A2" s="892" t="s">
        <v>863</v>
      </c>
    </row>
    <row r="3" spans="1:1" x14ac:dyDescent="0.2">
      <c r="A3" s="892" t="s">
        <v>864</v>
      </c>
    </row>
    <row r="4" spans="1:1" x14ac:dyDescent="0.2">
      <c r="A4" s="892" t="s">
        <v>865</v>
      </c>
    </row>
    <row r="5" spans="1:1" x14ac:dyDescent="0.2">
      <c r="A5" s="892" t="s">
        <v>866</v>
      </c>
    </row>
    <row r="6" spans="1:1" x14ac:dyDescent="0.2">
      <c r="A6" s="892" t="s">
        <v>859</v>
      </c>
    </row>
    <row r="7" spans="1:1" x14ac:dyDescent="0.2">
      <c r="A7" s="892" t="s">
        <v>867</v>
      </c>
    </row>
    <row r="8" spans="1:1" x14ac:dyDescent="0.2">
      <c r="A8" s="892" t="s">
        <v>868</v>
      </c>
    </row>
    <row r="9" spans="1:1" x14ac:dyDescent="0.2">
      <c r="A9" s="892" t="s">
        <v>869</v>
      </c>
    </row>
    <row r="10" spans="1:1" x14ac:dyDescent="0.2">
      <c r="A10" s="892" t="s">
        <v>860</v>
      </c>
    </row>
    <row r="11" spans="1:1" x14ac:dyDescent="0.2">
      <c r="A11" s="892" t="s">
        <v>870</v>
      </c>
    </row>
    <row r="12" spans="1:1" x14ac:dyDescent="0.2">
      <c r="A12" s="892" t="s">
        <v>861</v>
      </c>
    </row>
    <row r="13" spans="1:1" x14ac:dyDescent="0.2">
      <c r="A13" s="892" t="s">
        <v>862</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
  <sheetViews>
    <sheetView workbookViewId="0"/>
  </sheetViews>
  <sheetFormatPr defaultRowHeight="12.75" x14ac:dyDescent="0.2"/>
  <sheetData>
    <row r="1" spans="1:16" x14ac:dyDescent="0.2">
      <c r="A1" t="s">
        <v>491</v>
      </c>
    </row>
    <row r="2" spans="1:16" x14ac:dyDescent="0.2">
      <c r="A2" s="2" t="s">
        <v>490</v>
      </c>
      <c r="B2" s="2" t="s">
        <v>279</v>
      </c>
      <c r="C2" s="2" t="s">
        <v>310</v>
      </c>
      <c r="D2" s="2" t="s">
        <v>316</v>
      </c>
      <c r="E2" s="2" t="s">
        <v>308</v>
      </c>
      <c r="F2" s="2" t="s">
        <v>316</v>
      </c>
      <c r="G2" s="2" t="s">
        <v>311</v>
      </c>
      <c r="H2" s="2" t="s">
        <v>316</v>
      </c>
      <c r="I2" s="2" t="s">
        <v>304</v>
      </c>
      <c r="J2" s="2" t="s">
        <v>502</v>
      </c>
      <c r="K2" s="2" t="s">
        <v>301</v>
      </c>
      <c r="L2" s="2" t="s">
        <v>302</v>
      </c>
      <c r="M2" s="2" t="s">
        <v>303</v>
      </c>
      <c r="N2" s="2" t="s">
        <v>279</v>
      </c>
      <c r="O2" s="2" t="s">
        <v>309</v>
      </c>
      <c r="P2" s="2" t="s">
        <v>316</v>
      </c>
    </row>
  </sheetData>
  <phoneticPr fontId="9"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823DFAF0-703D-40E4-8074-0927486B9420}">
  <ds:schemaRefs>
    <ds:schemaRef ds:uri="thomsonreuters.linking.metadatachange"/>
  </ds:schemaRefs>
</ds:datastoreItem>
</file>

<file path=customXml/itemProps2.xml><?xml version="1.0" encoding="utf-8"?>
<ds:datastoreItem xmlns:ds="http://schemas.openxmlformats.org/officeDocument/2006/customXml" ds:itemID="{7D8862F2-6A9A-479E-A8E6-8D4533F57733}">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79</vt:i4>
      </vt:variant>
    </vt:vector>
  </HeadingPairs>
  <TitlesOfParts>
    <vt:vector size="85" baseType="lpstr">
      <vt:lpstr>ImportantDisclosures</vt:lpstr>
      <vt:lpstr>Cover</vt:lpstr>
      <vt:lpstr>Valuation</vt:lpstr>
      <vt:lpstr>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Linking_5</vt:lpstr>
      <vt:lpstr>Linking_6</vt:lpstr>
      <vt:lpstr>Linking_7</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Valuation!Print_Area</vt:lpstr>
      <vt:lpstr>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2005-01-05T19:04:04Z</dcterms:created>
  <dc:creator>wappler</dc:creator>
  <cp:lastModifiedBy>Jenson, Andrea (Research)</cp:lastModifiedBy>
  <cp:lastPrinted>2018-01-26T03:21:09Z</cp:lastPrinted>
  <dcterms:modified xsi:type="dcterms:W3CDTF">2018-04-16T13:13:55Z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761867</vt:lpwstr>
  </property>
  <property fmtid="{D5CDD505-2E9C-101B-9397-08002B2CF9AE}" name="ERModPubCompanyName" pid="6">
    <vt:lpwstr>JetBlue Airways</vt:lpwstr>
  </property>
  <property fmtid="{D5CDD505-2E9C-101B-9397-08002B2CF9AE}" name="MSDH34TAG" pid="7">
    <vt:lpwstr>.TEZUF76X5TAHATHESADREYAK-00-INB160+*94600-06=a600b97a/-4177/-11e8/-9695/-5e5c95fbb3b1,MD=20180416091725/-0400,ZZ=000Z-fc35.</vt:lpwstr>
  </property>
</Properties>
</file>